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<sst xmlns="http://schemas.openxmlformats.org/spreadsheetml/2006/main" count="11516" uniqueCount="2303">
  <si>
    <t>ID</t>
  </si>
  <si>
    <t>PRED_ID</t>
  </si>
  <si>
    <t>MARKER_AUTO</t>
  </si>
  <si>
    <t>PREDICATE</t>
  </si>
  <si>
    <t>TEXT</t>
  </si>
  <si>
    <t>SENTENCE</t>
  </si>
  <si>
    <t>MARKER</t>
  </si>
  <si>
    <t>TARGET</t>
  </si>
  <si>
    <t>RELATION</t>
  </si>
  <si>
    <t>COMMENT</t>
  </si>
  <si>
    <t>1</t>
  </si>
  <si>
    <t>3</t>
  </si>
  <si>
    <t>_</t>
  </si>
  <si>
    <t>go</t>
  </si>
  <si>
    <t>I 'm going to talk today about energy and climate .</t>
  </si>
  <si>
    <t>file://conllu/en/teddy-918.conllu#s1_0</t>
  </si>
  <si>
    <t>2</t>
  </si>
  <si>
    <t>4</t>
  </si>
  <si>
    <t>because?</t>
  </si>
  <si>
    <t>seem</t>
  </si>
  <si>
    <t>And that might seem a bit surprising , because my full time work at the foundation is mostly about vaccines and seeds , about the things that we need to invent and deliver to help the poorest two billion live better lives .</t>
  </si>
  <si>
    <t>file://conllu/en/teddy-918.conllu#s2_0</t>
  </si>
  <si>
    <t>5</t>
  </si>
  <si>
    <t>but?</t>
  </si>
  <si>
    <t>be (be important)</t>
  </si>
  <si>
    <t>But energy and climate are extremely important to these people ; in fact , more important than to anyone else on the planet .</t>
  </si>
  <si>
    <t>file://conllu/en/teddy-918.conllu#s3_0</t>
  </si>
  <si>
    <t>climate</t>
  </si>
  <si>
    <t>The climate getting worse means that many years , their crops wo n't grow : there will be too much rain , not enough rain ; things will change in ways their fragile environment simply ca n't support .</t>
  </si>
  <si>
    <t>file://conllu/en/teddy-918.conllu#s4_0</t>
  </si>
  <si>
    <t>and?</t>
  </si>
  <si>
    <t>lead</t>
  </si>
  <si>
    <t>And that leads to starvation , it leads to uncertainty , it leads to unrest .</t>
  </si>
  <si>
    <t>file://conllu/en/teddy-918.conllu#s5_0</t>
  </si>
  <si>
    <t>6</t>
  </si>
  <si>
    <t>7</t>
  </si>
  <si>
    <t>for?</t>
  </si>
  <si>
    <t>be (be terrible)</t>
  </si>
  <si>
    <t>So , the climate changes will be terrible for them .</t>
  </si>
  <si>
    <t>file://conllu/en/teddy-918.conllu#s6_0</t>
  </si>
  <si>
    <t>also?</t>
  </si>
  <si>
    <t>Also , the price of energy is very important to them .</t>
  </si>
  <si>
    <t>file://conllu/en/teddy-918.conllu#s7_0</t>
  </si>
  <si>
    <t>8</t>
  </si>
  <si>
    <t>24</t>
  </si>
  <si>
    <t>in fact?</t>
  </si>
  <si>
    <t>pick</t>
  </si>
  <si>
    <t>In fact , if you could pick just one thing to lower the price of to reduce poverty , by far you would pick energy .</t>
  </si>
  <si>
    <t>file://conllu/en/teddy-918.conllu#s8_0</t>
  </si>
  <si>
    <t>9</t>
  </si>
  <si>
    <t>come</t>
  </si>
  <si>
    <t>Now , the price of energy has come down over time .</t>
  </si>
  <si>
    <t>file://conllu/en/teddy-918.conllu#s9_0</t>
  </si>
  <si>
    <t>10</t>
  </si>
  <si>
    <t>base</t>
  </si>
  <si>
    <t>Really advanced civilization is based on advances in energy .</t>
  </si>
  <si>
    <t>file://conllu/en/teddy-918.conllu#s10_0</t>
  </si>
  <si>
    <t>11</t>
  </si>
  <si>
    <t>fuel</t>
  </si>
  <si>
    <t>The coal revolution fueled the Industrial Revolution , and , even in the 1900s , we 've seen a very rapid decline in the price of electricity , and that 's why we have refrigerators , air conditioning ; we can make modern materials and do so many things .</t>
  </si>
  <si>
    <t>file://conllu/en/teddy-918.conllu#s11_0</t>
  </si>
  <si>
    <t>12</t>
  </si>
  <si>
    <t>be (be situation)</t>
  </si>
  <si>
    <t>And so , we 're in a wonderful situation with electricity in the rich world .</t>
  </si>
  <si>
    <t>file://conllu/en/teddy-918.conllu#s12_0</t>
  </si>
  <si>
    <t>13</t>
  </si>
  <si>
    <t>let</t>
  </si>
  <si>
    <t>But as we make it cheaper and let 's say , let 's go for making it twice as cheap we need to meet a new constraint , and that constraint has to do with CO2 .</t>
  </si>
  <si>
    <t>file://conllu/en/teddy-918.conllu#s13_0</t>
  </si>
  <si>
    <t>14</t>
  </si>
  <si>
    <t>war</t>
  </si>
  <si>
    <t>CO2 is warming the planet , and the equation on CO2 is actually a very straightforward one .</t>
  </si>
  <si>
    <t>file://conllu/en/teddy-918.conllu#s14_0</t>
  </si>
  <si>
    <t>15</t>
  </si>
  <si>
    <t>If you sum up the CO2 that gets emitted , that leads to a temperature increase , and that temperature increase leads to some very negative effects : the effects on the weather ; perhaps worse , the indirect effects , in that the natural ecosystems ca n't adjust to these rapid changes , and so you get ecosystem collapses .</t>
  </si>
  <si>
    <t>file://conllu/en/teddy-918.conllu#s15_0</t>
  </si>
  <si>
    <t>16</t>
  </si>
  <si>
    <t>32</t>
  </si>
  <si>
    <t>uncertainty</t>
  </si>
  <si>
    <t>Now , the exact amount of how you map from a certain increase of CO2 to what temperature will be , and where the positive feedbacks are there 's some uncertainty there , but not very much .</t>
  </si>
  <si>
    <t>file://conllu/en/teddy-918.conllu#s16_0</t>
  </si>
  <si>
    <t>17</t>
  </si>
  <si>
    <t>be</t>
  </si>
  <si>
    <t>And there 's certainly uncertainty about how bad those effects will be , but they will be extremely bad .</t>
  </si>
  <si>
    <t>file://conllu/en/teddy-918.conllu#s17_0</t>
  </si>
  <si>
    <t>18</t>
  </si>
  <si>
    <t>ask</t>
  </si>
  <si>
    <t>I asked the top scientists on this several times :</t>
  </si>
  <si>
    <t>file://conllu/en/teddy-918.conllu#s18_0</t>
  </si>
  <si>
    <t>19</t>
  </si>
  <si>
    <t>have</t>
  </si>
  <si>
    <t>Do we really have to get down to near zero ?</t>
  </si>
  <si>
    <t>file://conllu/en/teddy-918.conllu#s19_0</t>
  </si>
  <si>
    <t>20</t>
  </si>
  <si>
    <t>or?</t>
  </si>
  <si>
    <t>cut</t>
  </si>
  <si>
    <t>Ca n't we just cut it in half or a quarter ?</t>
  </si>
  <si>
    <t>file://conllu/en/teddy-918.conllu#s20_0</t>
  </si>
  <si>
    <t>21</t>
  </si>
  <si>
    <t>And the answer is , until we get near to zero , the temperature will continue to rise .</t>
  </si>
  <si>
    <t>file://conllu/en/teddy-918.conllu#s21_0</t>
  </si>
  <si>
    <t>22</t>
  </si>
  <si>
    <t>so that?</t>
  </si>
  <si>
    <t>be (be challenge)</t>
  </si>
  <si>
    <t>And so that 's a big challenge .</t>
  </si>
  <si>
    <t>file://conllu/en/teddy-918.conllu#s22_0</t>
  </si>
  <si>
    <t>23</t>
  </si>
  <si>
    <t>be (be different)</t>
  </si>
  <si>
    <t>It 's very different than saying , &amp;quot; We 're a twelve foot high truck trying to get under a ten foot bridge , and we can just sort of squeeze under . &amp;quot;</t>
  </si>
  <si>
    <t>file://conllu/en/teddy-918.conllu#s23_0</t>
  </si>
  <si>
    <t>be (be something)</t>
  </si>
  <si>
    <t>This is something that has to get to zero .</t>
  </si>
  <si>
    <t>file://conllu/en/teddy-918.conllu#s24_0</t>
  </si>
  <si>
    <t>25</t>
  </si>
  <si>
    <t>put</t>
  </si>
  <si>
    <t>Now , we put out a lot of carbon dioxide every year over 26 billion tons .</t>
  </si>
  <si>
    <t>file://conllu/en/teddy-918.conllu#s25_0</t>
  </si>
  <si>
    <t>26</t>
  </si>
  <si>
    <t>be (be ton)</t>
  </si>
  <si>
    <t>For each American , it 's about 20 tons .</t>
  </si>
  <si>
    <t>file://conllu/en/teddy-918.conllu#s26_0</t>
  </si>
  <si>
    <t>27</t>
  </si>
  <si>
    <t>people</t>
  </si>
  <si>
    <t>For people in poor countries , it 's less than one ton .</t>
  </si>
  <si>
    <t>file://conllu/en/teddy-918.conllu#s27_0</t>
  </si>
  <si>
    <t>28</t>
  </si>
  <si>
    <t>be (be average)</t>
  </si>
  <si>
    <t>It 's an average of about five tons for everyone on the planet .</t>
  </si>
  <si>
    <t>file://conllu/en/teddy-918.conllu#s28_0</t>
  </si>
  <si>
    <t>29</t>
  </si>
  <si>
    <t>And somehow , we have to make changes that will bring that down to zero .</t>
  </si>
  <si>
    <t>file://conllu/en/teddy-918.conllu#s29_0</t>
  </si>
  <si>
    <t>30</t>
  </si>
  <si>
    <t>It 's been constantly going up .</t>
  </si>
  <si>
    <t>file://conllu/en/teddy-918.conllu#s30_0</t>
  </si>
  <si>
    <t>31</t>
  </si>
  <si>
    <t>be (be change)</t>
  </si>
  <si>
    <t>It 's only various economic changes that have even flattened it at all , so we have to go from rapidly rising to falling , and falling all the way to zero .</t>
  </si>
  <si>
    <t>file://conllu/en/teddy-918.conllu#s31_0</t>
  </si>
  <si>
    <t>This equation has four factors , a little bit of multiplication .</t>
  </si>
  <si>
    <t>file://conllu/en/teddy-918.conllu#s32_0</t>
  </si>
  <si>
    <t>33</t>
  </si>
  <si>
    <t>get</t>
  </si>
  <si>
    <t>So you 've got a thing on the left , CO2 , that you want to get to zero , and that 's going to be based on the number of people , the services each person is using on average , the energy , on average , for each service , and the CO2 being put out per unit of energy .</t>
  </si>
  <si>
    <t>file://conllu/en/teddy-918.conllu#s33_0</t>
  </si>
  <si>
    <t>34</t>
  </si>
  <si>
    <t>so?</t>
  </si>
  <si>
    <t>So let 's look at each one of these , and see how we can get this down to zero .</t>
  </si>
  <si>
    <t>file://conllu/en/teddy-918.conllu#s34_0</t>
  </si>
  <si>
    <t>35</t>
  </si>
  <si>
    <t>Probably , one of these numbers is going to have to get pretty near to zero .</t>
  </si>
  <si>
    <t>file://conllu/en/teddy-918.conllu#s35_0</t>
  </si>
  <si>
    <t>36</t>
  </si>
  <si>
    <t>laughter</t>
  </si>
  <si>
    <t>( Laughter )</t>
  </si>
  <si>
    <t>file://conllu/en/teddy-918.conllu#s36_0</t>
  </si>
  <si>
    <t>37</t>
  </si>
  <si>
    <t>be (be back)</t>
  </si>
  <si>
    <t>That 's back from high school algebra .</t>
  </si>
  <si>
    <t>file://conllu/en/teddy-918.conllu#s37_0</t>
  </si>
  <si>
    <t>38</t>
  </si>
  <si>
    <t>But let 's take a look .</t>
  </si>
  <si>
    <t>file://conllu/en/teddy-918.conllu#s38_0</t>
  </si>
  <si>
    <t>39</t>
  </si>
  <si>
    <t>First , we 've got population .</t>
  </si>
  <si>
    <t>file://conllu/en/teddy-918.conllu#s39_0</t>
  </si>
  <si>
    <t>40</t>
  </si>
  <si>
    <t>The world today has 6.8 billion people .</t>
  </si>
  <si>
    <t>file://conllu/en/teddy-918.conllu#s40_0</t>
  </si>
  <si>
    <t>41</t>
  </si>
  <si>
    <t>head</t>
  </si>
  <si>
    <t>That 's headed up to about nine billion .</t>
  </si>
  <si>
    <t>file://conllu/en/teddy-918.conllu#s41_0</t>
  </si>
  <si>
    <t>42</t>
  </si>
  <si>
    <t>if?</t>
  </si>
  <si>
    <t>lower</t>
  </si>
  <si>
    <t>Now , if we do a really great job on new vaccines , health care , reproductive health services , we could lower that by , perhaps , 10 or 15 percent .</t>
  </si>
  <si>
    <t>file://conllu/en/teddy-918.conllu#s42_0</t>
  </si>
  <si>
    <t>43</t>
  </si>
  <si>
    <t>see</t>
  </si>
  <si>
    <t>But there , we see an increase of about 1.3 .</t>
  </si>
  <si>
    <t>file://conllu/en/teddy-918.conllu#s43_0</t>
  </si>
  <si>
    <t>44</t>
  </si>
  <si>
    <t>be (be service)</t>
  </si>
  <si>
    <t>The second factor is the services we use .</t>
  </si>
  <si>
    <t>file://conllu/en/teddy-918.conllu#s44_0</t>
  </si>
  <si>
    <t>45</t>
  </si>
  <si>
    <t>encompass</t>
  </si>
  <si>
    <t>This encompasses everything : the food we eat , clothing , TV , heating .</t>
  </si>
  <si>
    <t>file://conllu/en/teddy-918.conllu#s45_0</t>
  </si>
  <si>
    <t>46</t>
  </si>
  <si>
    <t>be (be thing)</t>
  </si>
  <si>
    <t>These are very good things .</t>
  </si>
  <si>
    <t>file://conllu/en/teddy-918.conllu#s46_0</t>
  </si>
  <si>
    <t>47</t>
  </si>
  <si>
    <t>Getting rid of poverty means providing these services to almost everyone on the planet .</t>
  </si>
  <si>
    <t>file://conllu/en/teddy-918.conllu#s47_0</t>
  </si>
  <si>
    <t>48</t>
  </si>
  <si>
    <t>And it 's a great thing for this number to go up .</t>
  </si>
  <si>
    <t>file://conllu/en/teddy-918.conllu#s48_0</t>
  </si>
  <si>
    <t>49</t>
  </si>
  <si>
    <t>top</t>
  </si>
  <si>
    <t>In the rich world , perhaps the top one billion , we probably could cut back and use less , but every year , this number , on average , is going to go up , and so , overall , that will more than double the services delivered per person .</t>
  </si>
  <si>
    <t>file://conllu/en/teddy-918.conllu#s49_0</t>
  </si>
  <si>
    <t>50</t>
  </si>
  <si>
    <t>Here we have a very basic service :</t>
  </si>
  <si>
    <t>file://conllu/en/teddy-918.conllu#s50_0</t>
  </si>
  <si>
    <t>51</t>
  </si>
  <si>
    <t>Do you have lighting in your house to be able to read your homework ?</t>
  </si>
  <si>
    <t>file://conllu/en/teddy-918.conllu#s51_0</t>
  </si>
  <si>
    <t>52</t>
  </si>
  <si>
    <t>And , in fact , these kids do n't , so they 're going out and reading their schoolwork under the street lamps .</t>
  </si>
  <si>
    <t>file://conllu/en/teddy-918.conllu#s52_0</t>
  </si>
  <si>
    <t>53</t>
  </si>
  <si>
    <t>finally?</t>
  </si>
  <si>
    <t>efficiency</t>
  </si>
  <si>
    <t>Now , efficiency , &amp;quot; E , &amp;quot; the energy for each service here , finally we have some good news .</t>
  </si>
  <si>
    <t>file://conllu/en/teddy-918.conllu#s53_0</t>
  </si>
  <si>
    <t>54</t>
  </si>
  <si>
    <t>We have something that 's not going up .</t>
  </si>
  <si>
    <t>file://conllu/en/teddy-918.conllu#s54_0</t>
  </si>
  <si>
    <t>55</t>
  </si>
  <si>
    <t>Through various inventions and new ways of doing lighting , through different types of cars , different ways of building buildings there are a lot of services where you can bring the energy for that service down quite substantially .</t>
  </si>
  <si>
    <t>file://conllu/en/teddy-918.conllu#s55_0</t>
  </si>
  <si>
    <t>56</t>
  </si>
  <si>
    <t>bring</t>
  </si>
  <si>
    <t>Some individual services even bring it down by 90 percent .</t>
  </si>
  <si>
    <t>file://conllu/en/teddy-918.conllu#s56_0</t>
  </si>
  <si>
    <t>57</t>
  </si>
  <si>
    <t>There are other services , like how we make fertilizer , or how we do air transport , where the rooms for improvement are far , far less .</t>
  </si>
  <si>
    <t>file://conllu/en/teddy-918.conllu#s57_0</t>
  </si>
  <si>
    <t>58</t>
  </si>
  <si>
    <t>overall?</t>
  </si>
  <si>
    <t>And so overall , if we 're optimistic , we may get a reduction of a factor of three to even , perhaps , a factor of six .</t>
  </si>
  <si>
    <t>file://conllu/en/teddy-918.conllu#s58_0</t>
  </si>
  <si>
    <t>59</t>
  </si>
  <si>
    <t>But for these first three factors now , we 've gone from 26 billion to , at best , maybe 13 billion tons , and that just wo n't cut it .</t>
  </si>
  <si>
    <t>file://conllu/en/teddy-918.conllu#s59_0</t>
  </si>
  <si>
    <t>60</t>
  </si>
  <si>
    <t>So let 's look at this fourth factor this is going to be a key one and this is the amount of CO2 put out per each unit of energy .</t>
  </si>
  <si>
    <t>file://conllu/en/teddy-918.conllu#s60_0</t>
  </si>
  <si>
    <t>61</t>
  </si>
  <si>
    <t>So the question is : Can you actually get that to zero ?</t>
  </si>
  <si>
    <t>file://conllu/en/teddy-918.conllu#s61_0</t>
  </si>
  <si>
    <t>62</t>
  </si>
  <si>
    <t>burn</t>
  </si>
  <si>
    <t>If you burn coal , no .</t>
  </si>
  <si>
    <t>file://conllu/en/teddy-918.conllu#s62_0</t>
  </si>
  <si>
    <t>63</t>
  </si>
  <si>
    <t>If you burn natural gas , no .</t>
  </si>
  <si>
    <t>file://conllu/en/teddy-918.conllu#s63_0</t>
  </si>
  <si>
    <t>64</t>
  </si>
  <si>
    <t>Almost every way we make electricity today , except for the emerging renewables and nuclear , puts out CO2 .</t>
  </si>
  <si>
    <t>file://conllu/en/teddy-918.conllu#s64_0</t>
  </si>
  <si>
    <t>65</t>
  </si>
  <si>
    <t>be (be create)</t>
  </si>
  <si>
    <t>And so , what we 're going to have to do at a global scale , is create a new system .</t>
  </si>
  <si>
    <t>file://conllu/en/teddy-918.conllu#s65_0</t>
  </si>
  <si>
    <t>66</t>
  </si>
  <si>
    <t>need</t>
  </si>
  <si>
    <t>So we need energy miracles .</t>
  </si>
  <si>
    <t>file://conllu/en/teddy-918.conllu#s66_0</t>
  </si>
  <si>
    <t>67</t>
  </si>
  <si>
    <t>now</t>
  </si>
  <si>
    <t>Now , when I use the term &amp;quot; miracle , &amp;quot;</t>
  </si>
  <si>
    <t>file://conllu/en/teddy-918.conllu#s67_0</t>
  </si>
  <si>
    <t>68</t>
  </si>
  <si>
    <t>mean</t>
  </si>
  <si>
    <t>I do n't mean something that 's impossible .</t>
  </si>
  <si>
    <t>file://conllu/en/teddy-918.conllu#s68_0</t>
  </si>
  <si>
    <t>69</t>
  </si>
  <si>
    <t>be (be miracle)</t>
  </si>
  <si>
    <t>The microprocessor is a miracle .</t>
  </si>
  <si>
    <t>file://conllu/en/teddy-918.conllu#s69_0</t>
  </si>
  <si>
    <t>70</t>
  </si>
  <si>
    <t>The personal computer is a miracle .</t>
  </si>
  <si>
    <t>file://conllu/en/teddy-918.conllu#s70_0</t>
  </si>
  <si>
    <t>71</t>
  </si>
  <si>
    <t>The Internet and its services are a miracle .</t>
  </si>
  <si>
    <t>file://conllu/en/teddy-918.conllu#s71_0</t>
  </si>
  <si>
    <t>72</t>
  </si>
  <si>
    <t>participate</t>
  </si>
  <si>
    <t>So the people here have participated in the creation of many miracles .</t>
  </si>
  <si>
    <t>file://conllu/en/teddy-918.conllu#s72_0</t>
  </si>
  <si>
    <t>73</t>
  </si>
  <si>
    <t>Usually , we do n't have a deadline where you have to get the miracle by a certain date .</t>
  </si>
  <si>
    <t>file://conllu/en/teddy-918.conllu#s73_0</t>
  </si>
  <si>
    <t>74</t>
  </si>
  <si>
    <t>stand</t>
  </si>
  <si>
    <t>Usually , you just kind of stand by , and some come along , some do n't .</t>
  </si>
  <si>
    <t>file://conllu/en/teddy-918.conllu#s74_0</t>
  </si>
  <si>
    <t>75</t>
  </si>
  <si>
    <t>be (be case)</t>
  </si>
  <si>
    <t>This is a case where we actually have to drive at full speed and get a miracle in a pretty tight timeline .</t>
  </si>
  <si>
    <t>file://conllu/en/teddy-918.conllu#s75_0</t>
  </si>
  <si>
    <t>76</t>
  </si>
  <si>
    <t>think</t>
  </si>
  <si>
    <t>Now , I thought , &amp;quot; How could I really capture this ?</t>
  </si>
  <si>
    <t>file://conllu/en/teddy-918.conllu#s76_0</t>
  </si>
  <si>
    <t>77</t>
  </si>
  <si>
    <t>Is there some kind of natural illustration , some demonstration that would grab people 's imagination here ? &amp;quot;</t>
  </si>
  <si>
    <t>file://conllu/en/teddy-918.conllu#s77_0</t>
  </si>
  <si>
    <t>78</t>
  </si>
  <si>
    <t>when?</t>
  </si>
  <si>
    <t>I thought back to a year ago when I brought mosquitoes , and somehow people enjoyed that .</t>
  </si>
  <si>
    <t>file://conllu/en/teddy-918.conllu#s78_0</t>
  </si>
  <si>
    <t>79</t>
  </si>
  <si>
    <t>It really got them involved in the idea of , you know , there are people who live with mosquitoes .</t>
  </si>
  <si>
    <t>file://conllu/en/teddy-918.conllu#s79_0</t>
  </si>
  <si>
    <t>80</t>
  </si>
  <si>
    <t>With energy , all I could come up with is this .</t>
  </si>
  <si>
    <t>file://conllu/en/teddy-918.conllu#s80_0</t>
  </si>
  <si>
    <t>81</t>
  </si>
  <si>
    <t>decide</t>
  </si>
  <si>
    <t>I decided that releasing fireflies would be my contribution to the environment here this year .</t>
  </si>
  <si>
    <t>file://conllu/en/teddy-918.conllu#s81_0</t>
  </si>
  <si>
    <t>82</t>
  </si>
  <si>
    <t>So here we have some natural fireflies .</t>
  </si>
  <si>
    <t>file://conllu/en/teddy-918.conllu#s82_0</t>
  </si>
  <si>
    <t>83</t>
  </si>
  <si>
    <t>tell</t>
  </si>
  <si>
    <t>I 'm told they do n't bite ; in fact , they might not even leave that jar .</t>
  </si>
  <si>
    <t>file://conllu/en/teddy-918.conllu#s83_0</t>
  </si>
  <si>
    <t>84</t>
  </si>
  <si>
    <t>Now , there 's all sorts of gimmicky solutions like that one , but they do n't really add up to much .</t>
  </si>
  <si>
    <t>file://conllu/en/teddy-918.conllu#s84_0</t>
  </si>
  <si>
    <t>85</t>
  </si>
  <si>
    <t>We need solutions , either one or several , that have unbelievable scale and unbelievable reliability .</t>
  </si>
  <si>
    <t>file://conllu/en/teddy-918.conllu#s85_0</t>
  </si>
  <si>
    <t>86</t>
  </si>
  <si>
    <t>although?</t>
  </si>
  <si>
    <t>And although there 's many directions that people are seeking , I really only see five that can achieve the big numbers .</t>
  </si>
  <si>
    <t>file://conllu/en/teddy-918.conllu#s86_0</t>
  </si>
  <si>
    <t>87</t>
  </si>
  <si>
    <t>leave</t>
  </si>
  <si>
    <t>I 've left out tide , geothermal , fusion , biofuels .</t>
  </si>
  <si>
    <t>file://conllu/en/teddy-918.conllu#s87_0</t>
  </si>
  <si>
    <t>88</t>
  </si>
  <si>
    <t>make</t>
  </si>
  <si>
    <t>Those may make some contribution , and if they can do better than I expect , so much the better .</t>
  </si>
  <si>
    <t>file://conllu/en/teddy-918.conllu#s88_0</t>
  </si>
  <si>
    <t>89</t>
  </si>
  <si>
    <t>But my key point here is that we 're going to have to work on each of these five , and we ca n't give up any of them because they look daunting , because they all have significant challenges .</t>
  </si>
  <si>
    <t>file://conllu/en/teddy-918.conllu#s89_0</t>
  </si>
  <si>
    <t>90</t>
  </si>
  <si>
    <t>Let 's look first at burning fossil fuels , either burning coal or burning natural gas .</t>
  </si>
  <si>
    <t>file://conllu/en/teddy-918.conllu#s90_0</t>
  </si>
  <si>
    <t>91</t>
  </si>
  <si>
    <t>What you need to do there seems like it might be simple , but it 's not .</t>
  </si>
  <si>
    <t>file://conllu/en/teddy-918.conllu#s91_0</t>
  </si>
  <si>
    <t>92</t>
  </si>
  <si>
    <t>after?</t>
  </si>
  <si>
    <t>And that 's to take all the CO2 , after you 've burned it , going out the flue , pressurize it , create a liquid , put it somewhere , and hope it stays there .</t>
  </si>
  <si>
    <t>file://conllu/en/teddy-918.conllu#s92_0</t>
  </si>
  <si>
    <t>93</t>
  </si>
  <si>
    <t>Now , we have some pilot things that do this at the 60 to 80 percent level .</t>
  </si>
  <si>
    <t>file://conllu/en/teddy-918.conllu#s93_0</t>
  </si>
  <si>
    <t>94</t>
  </si>
  <si>
    <t>But getting up to that full percentage that will be very tricky .</t>
  </si>
  <si>
    <t>file://conllu/en/teddy-918.conllu#s94_0</t>
  </si>
  <si>
    <t>95</t>
  </si>
  <si>
    <t>agree</t>
  </si>
  <si>
    <t>And agreeing on where these CO2 quantities should be put will be hard , but the toughest one here is this long term issue :</t>
  </si>
  <si>
    <t>file://conllu/en/teddy-918.conllu#s95_0</t>
  </si>
  <si>
    <t>96</t>
  </si>
  <si>
    <t>Who 's going to be sure ?</t>
  </si>
  <si>
    <t>file://conllu/en/teddy-918.conllu#s96_0</t>
  </si>
  <si>
    <t>97</t>
  </si>
  <si>
    <t>Who 's going to guarantee something that is literally billions of times larger than any type of waste you think of in terms of nuclear or other things ?</t>
  </si>
  <si>
    <t>file://conllu/en/teddy-918.conllu#s97_0</t>
  </si>
  <si>
    <t>98</t>
  </si>
  <si>
    <t>be (be lot)</t>
  </si>
  <si>
    <t>This is a lot of volume .</t>
  </si>
  <si>
    <t>file://conllu/en/teddy-918.conllu#s98_0</t>
  </si>
  <si>
    <t>99</t>
  </si>
  <si>
    <t>be (be one)</t>
  </si>
  <si>
    <t>So that 's a tough one .</t>
  </si>
  <si>
    <t>file://conllu/en/teddy-918.conllu#s99_0</t>
  </si>
  <si>
    <t>100</t>
  </si>
  <si>
    <t>next?</t>
  </si>
  <si>
    <t>be (be nuclear)</t>
  </si>
  <si>
    <t>Next would be nuclear .</t>
  </si>
  <si>
    <t>file://conllu/en/teddy-918.conllu#s100_0</t>
  </si>
  <si>
    <t>101</t>
  </si>
  <si>
    <t>It also has three big problems : cost , particularly in highly regulated countries , is high ; the issue of safety , really feeling good about nothing could go wrong , that , even though you have these human operators , the fuel does n't get used for weapons .</t>
  </si>
  <si>
    <t>file://conllu/en/teddy-918.conllu#s101_0</t>
  </si>
  <si>
    <t>102</t>
  </si>
  <si>
    <t>then?</t>
  </si>
  <si>
    <t>do</t>
  </si>
  <si>
    <t>And then what do you do with the waste ?</t>
  </si>
  <si>
    <t>file://conllu/en/teddy-918.conllu#s102_0</t>
  </si>
  <si>
    <t>103</t>
  </si>
  <si>
    <t>Although it 's not very large , there are a lot of concerns about that .</t>
  </si>
  <si>
    <t>file://conllu/en/teddy-918.conllu#s103_0</t>
  </si>
  <si>
    <t>104</t>
  </si>
  <si>
    <t>People need to feel good about it .</t>
  </si>
  <si>
    <t>file://conllu/en/teddy-918.conllu#s104_0</t>
  </si>
  <si>
    <t>105</t>
  </si>
  <si>
    <t>problem</t>
  </si>
  <si>
    <t>So three very tough problems that might be solvable , and so , should be worked on .</t>
  </si>
  <si>
    <t>file://conllu/en/teddy-918.conllu#s105_0</t>
  </si>
  <si>
    <t>106</t>
  </si>
  <si>
    <t>group</t>
  </si>
  <si>
    <t>The last three of the five , I 've grouped together .</t>
  </si>
  <si>
    <t>file://conllu/en/teddy-918.conllu#s106_0</t>
  </si>
  <si>
    <t>107</t>
  </si>
  <si>
    <t>be (be what)</t>
  </si>
  <si>
    <t>These are what people often refer to as the renewable sources .</t>
  </si>
  <si>
    <t>file://conllu/en/teddy-918.conllu#s107_0</t>
  </si>
  <si>
    <t>108</t>
  </si>
  <si>
    <t>require</t>
  </si>
  <si>
    <t>And they actually although it 's great they do n't require fuel they have some disadvantages .</t>
  </si>
  <si>
    <t>file://conllu/en/teddy-918.conllu#s108_0</t>
  </si>
  <si>
    <t>109</t>
  </si>
  <si>
    <t>One is that the density of energy gathered in these technologies is dramatically less than a power plant .</t>
  </si>
  <si>
    <t>file://conllu/en/teddy-918.conllu#s109_0</t>
  </si>
  <si>
    <t>110</t>
  </si>
  <si>
    <t>thousand</t>
  </si>
  <si>
    <t>This is energy farming , so you 're talking about many square miles , thousands of times more area than you think of as a normal energy plant .</t>
  </si>
  <si>
    <t>file://conllu/en/teddy-918.conllu#s110_0</t>
  </si>
  <si>
    <t>111</t>
  </si>
  <si>
    <t>be (be source)</t>
  </si>
  <si>
    <t>Also , these are intermittent sources .</t>
  </si>
  <si>
    <t>file://conllu/en/teddy-918.conllu#s111_0</t>
  </si>
  <si>
    <t>112</t>
  </si>
  <si>
    <t>likewise?</t>
  </si>
  <si>
    <t>shine</t>
  </si>
  <si>
    <t>The sun does n't shine all day , it does n't shine every day , and likewise , the wind does n't blow all the time .</t>
  </si>
  <si>
    <t>file://conllu/en/teddy-918.conllu#s112_0</t>
  </si>
  <si>
    <t>113</t>
  </si>
  <si>
    <t>And so , if you depend on these sources , you have to have some way of getting the energy during those time periods that it 's not available .</t>
  </si>
  <si>
    <t>file://conllu/en/teddy-918.conllu#s113_0</t>
  </si>
  <si>
    <t>114</t>
  </si>
  <si>
    <t>So we 've got big cost challenges here .</t>
  </si>
  <si>
    <t>file://conllu/en/teddy-918.conllu#s114_0</t>
  </si>
  <si>
    <t>115</t>
  </si>
  <si>
    <t>for example?</t>
  </si>
  <si>
    <t>We have transmission challenges ; for example , say this energy source is outside your country , you not only need the technology , but you have to deal with the risk of the energy coming from elsewhere .</t>
  </si>
  <si>
    <t>file://conllu/en/teddy-918.conllu#s115_0</t>
  </si>
  <si>
    <t>116</t>
  </si>
  <si>
    <t>And , finally , this storage problem .</t>
  </si>
  <si>
    <t>file://conllu/en/teddy-918.conllu#s116_0</t>
  </si>
  <si>
    <t>117</t>
  </si>
  <si>
    <t>To dimensionalize this , I went through and looked at all the types of batteries made for cars , for computers , for phones , for flashlights , for everything and compared that to the amount of electrical energy the world uses .</t>
  </si>
  <si>
    <t>file://conllu/en/teddy-918.conllu#s117_0</t>
  </si>
  <si>
    <t>118</t>
  </si>
  <si>
    <t>What I found is that all the batteries we make now could store less than 10 minutes of all the energy .</t>
  </si>
  <si>
    <t>file://conllu/en/teddy-918.conllu#s118_0</t>
  </si>
  <si>
    <t>119</t>
  </si>
  <si>
    <t>And so , in fact , we need a big breakthrough here , something that 's going to be a factor of 100 better than the approaches we have now .</t>
  </si>
  <si>
    <t>file://conllu/en/teddy-918.conllu#s119_0</t>
  </si>
  <si>
    <t>120</t>
  </si>
  <si>
    <t>be (be impossible)</t>
  </si>
  <si>
    <t>It 's not impossible , but it 's not a very easy thing .</t>
  </si>
  <si>
    <t>file://conllu/en/teddy-918.conllu#s120_0</t>
  </si>
  <si>
    <t>121</t>
  </si>
  <si>
    <t>try (try show)</t>
  </si>
  <si>
    <t>Now , this shows up when you try to get the intermittent source to be above , say , 20 to 30 percent of what you 're using .</t>
  </si>
  <si>
    <t>file://conllu/en/teddy-918.conllu#s121_0</t>
  </si>
  <si>
    <t>122</t>
  </si>
  <si>
    <t>If you 're counting on it for 100 percent , you need an incredible miracle battery .</t>
  </si>
  <si>
    <t>file://conllu/en/teddy-918.conllu#s122_0</t>
  </si>
  <si>
    <t>123</t>
  </si>
  <si>
    <t>Now , how are we going to go forward on this what 's the right approach ?</t>
  </si>
  <si>
    <t>file://conllu/en/teddy-918.conllu#s123_0</t>
  </si>
  <si>
    <t>124</t>
  </si>
  <si>
    <t>be (be project)</t>
  </si>
  <si>
    <t>Is it a Manhattan Project ?</t>
  </si>
  <si>
    <t>file://conllu/en/teddy-918.conllu#s124_0</t>
  </si>
  <si>
    <t>125</t>
  </si>
  <si>
    <t>What 's the thing that can get us there ?</t>
  </si>
  <si>
    <t>file://conllu/en/teddy-918.conllu#s125_0</t>
  </si>
  <si>
    <t>126</t>
  </si>
  <si>
    <t>Well , we need lots of companies working on this hundreds .</t>
  </si>
  <si>
    <t>file://conllu/en/teddy-918.conllu#s126_0</t>
  </si>
  <si>
    <t>127</t>
  </si>
  <si>
    <t>In each of these five paths , we need at least a hundred people .</t>
  </si>
  <si>
    <t>file://conllu/en/teddy-918.conllu#s127_0</t>
  </si>
  <si>
    <t>128</t>
  </si>
  <si>
    <t>look</t>
  </si>
  <si>
    <t>A lot of them , you 'll look at and say , &amp;quot; They 're crazy . &amp;quot;</t>
  </si>
  <si>
    <t>file://conllu/en/teddy-918.conllu#s128_0</t>
  </si>
  <si>
    <t>129</t>
  </si>
  <si>
    <t>be (be good)</t>
  </si>
  <si>
    <t>That 's good .</t>
  </si>
  <si>
    <t>file://conllu/en/teddy-918.conllu#s129_0</t>
  </si>
  <si>
    <t>130</t>
  </si>
  <si>
    <t>And , I think , here in the TED group , we have many people who are already pursuing this .</t>
  </si>
  <si>
    <t>file://conllu/en/teddy-918.conllu#s130_0</t>
  </si>
  <si>
    <t>131</t>
  </si>
  <si>
    <t>Bill Gross has several companies , including one called eSolar that has some great solar thermal technologies .</t>
  </si>
  <si>
    <t>file://conllu/en/teddy-918.conllu#s131_0</t>
  </si>
  <si>
    <t>132</t>
  </si>
  <si>
    <t>Vinod</t>
  </si>
  <si>
    <t>file://conllu/en/teddy-918.conllu#s132_0</t>
  </si>
  <si>
    <t>133</t>
  </si>
  <si>
    <t>invest</t>
  </si>
  <si>
    <t>Khosla is investing in dozens of companies that are doing great things and have interesting possibilities , and I 'm trying to help back that .</t>
  </si>
  <si>
    <t>file://conllu/en/teddy-918.conllu#s133_0</t>
  </si>
  <si>
    <t>134</t>
  </si>
  <si>
    <t>back</t>
  </si>
  <si>
    <t>Nathan Myhrvold and I actually are backing a company that , perhaps surprisingly , is actually taking the nuclear approach .</t>
  </si>
  <si>
    <t>file://conllu/en/teddy-918.conllu#s134_0</t>
  </si>
  <si>
    <t>135</t>
  </si>
  <si>
    <t>There are some innovations in nuclear : modular , liquid .</t>
  </si>
  <si>
    <t>file://conllu/en/teddy-918.conllu#s135_0</t>
  </si>
  <si>
    <t>136</t>
  </si>
  <si>
    <t>stop</t>
  </si>
  <si>
    <t>Innovation really stopped in this industry quite some ago , so the idea that there 's some good ideas laying around is not all that surprising .</t>
  </si>
  <si>
    <t>file://conllu/en/teddy-918.conllu#s136_0</t>
  </si>
  <si>
    <t>137</t>
  </si>
  <si>
    <t>instead?</t>
  </si>
  <si>
    <t>The idea of TerraPower is that , instead of burning a part of uranium the one percent , which is the U235 we decided , &amp;quot; Let 's burn the 99 percent , the U238 . &amp;quot;</t>
  </si>
  <si>
    <t>file://conllu/en/teddy-918.conllu#s137_0</t>
  </si>
  <si>
    <t>138</t>
  </si>
  <si>
    <t>be (be idea)</t>
  </si>
  <si>
    <t>It is kind of a crazy idea .</t>
  </si>
  <si>
    <t>file://conllu/en/teddy-918.conllu#s138_0</t>
  </si>
  <si>
    <t>139</t>
  </si>
  <si>
    <t>talk</t>
  </si>
  <si>
    <t>In fact , people had talked about it for a long time , but they could never simulate properly whether it would work or not , and so it 's through the advent of modern supercomputers that now you can simulate and see that , yes , with the right materials approach , this looks like it would work .</t>
  </si>
  <si>
    <t>file://conllu/en/teddy-918.conllu#s139_0</t>
  </si>
  <si>
    <t>140</t>
  </si>
  <si>
    <t>And because you 're burning that 99 percent , you have greatly improved cost profile .</t>
  </si>
  <si>
    <t>file://conllu/en/teddy-918.conllu#s140_0</t>
  </si>
  <si>
    <t>141</t>
  </si>
  <si>
    <t>You actually burn up the waste , and you can actually use as fuel all the leftover waste from today 's reactors .</t>
  </si>
  <si>
    <t>file://conllu/en/teddy-918.conllu#s141_0</t>
  </si>
  <si>
    <t>142</t>
  </si>
  <si>
    <t>So instead of worrying about them , you just take that , it 's a great thing .</t>
  </si>
  <si>
    <t>file://conllu/en/teddy-918.conllu#s142_0</t>
  </si>
  <si>
    <t>143</t>
  </si>
  <si>
    <t>breed</t>
  </si>
  <si>
    <t>It breeds this uranium as it goes along , so it 's kind of like a candle .</t>
  </si>
  <si>
    <t>file://conllu/en/teddy-918.conllu#s143_0</t>
  </si>
  <si>
    <t>144</t>
  </si>
  <si>
    <t>You see it 's a log there , often referred to as a traveling wave reactor .</t>
  </si>
  <si>
    <t>file://conllu/en/teddy-918.conllu#s144_0</t>
  </si>
  <si>
    <t>145</t>
  </si>
  <si>
    <t>solve</t>
  </si>
  <si>
    <t>In terms of fuel , this really solves the problem .</t>
  </si>
  <si>
    <t>file://conllu/en/teddy-918.conllu#s145_0</t>
  </si>
  <si>
    <t>146</t>
  </si>
  <si>
    <t>I 've got a picture here of a place in Kentucky .</t>
  </si>
  <si>
    <t>file://conllu/en/teddy-918.conllu#s146_0</t>
  </si>
  <si>
    <t>147</t>
  </si>
  <si>
    <t>be (be leftover)</t>
  </si>
  <si>
    <t>This is the leftover , the 99 percent , where they 've taken out the part they burn now , so it 's called depleted uranium .</t>
  </si>
  <si>
    <t>file://conllu/en/teddy-918.conllu#s147_0</t>
  </si>
  <si>
    <t>148</t>
  </si>
  <si>
    <t>power</t>
  </si>
  <si>
    <t>That would power the US for hundreds of years .</t>
  </si>
  <si>
    <t>file://conllu/en/teddy-918.conllu#s148_0</t>
  </si>
  <si>
    <t>149</t>
  </si>
  <si>
    <t>And simply by filtering seawater in an inexpensive process , you 'd have enough fuel for the entire lifetime of the rest of the planet .</t>
  </si>
  <si>
    <t>file://conllu/en/teddy-918.conllu#s149_0</t>
  </si>
  <si>
    <t>150</t>
  </si>
  <si>
    <t>know</t>
  </si>
  <si>
    <t>So , you know , it 's got lots of challenges ahead , but it is an example of the many hundreds and hundreds of ideas that we need to move forward .</t>
  </si>
  <si>
    <t>file://conllu/en/teddy-918.conllu#s150_0</t>
  </si>
  <si>
    <t>151</t>
  </si>
  <si>
    <t>So let 's think :</t>
  </si>
  <si>
    <t>file://conllu/en/teddy-918.conllu#s151_0</t>
  </si>
  <si>
    <t>152</t>
  </si>
  <si>
    <t>measure</t>
  </si>
  <si>
    <t>How should we measure ourselves ?</t>
  </si>
  <si>
    <t>file://conllu/en/teddy-918.conllu#s152_0</t>
  </si>
  <si>
    <t>153</t>
  </si>
  <si>
    <t>What should our report card look like ?</t>
  </si>
  <si>
    <t>file://conllu/en/teddy-918.conllu#s153_0</t>
  </si>
  <si>
    <t>154</t>
  </si>
  <si>
    <t>Well , let 's go out to where we really need to get , and then look at the intermediate .</t>
  </si>
  <si>
    <t>file://conllu/en/teddy-918.conllu#s154_0</t>
  </si>
  <si>
    <t>155</t>
  </si>
  <si>
    <t>talk (talk hear)</t>
  </si>
  <si>
    <t>For 2050 , you 've heard many people talk about this 80 percent reduction .</t>
  </si>
  <si>
    <t>file://conllu/en/teddy-918.conllu#s155_0</t>
  </si>
  <si>
    <t>156</t>
  </si>
  <si>
    <t>That really is very important , that we get there .</t>
  </si>
  <si>
    <t>file://conllu/en/teddy-918.conllu#s156_0</t>
  </si>
  <si>
    <t>157</t>
  </si>
  <si>
    <t>still?</t>
  </si>
  <si>
    <t>use</t>
  </si>
  <si>
    <t>And that 20 percent will be used up by things going on in poor countries still some agriculture ; hopefully , we will have cleaned up forestry , cement .</t>
  </si>
  <si>
    <t>file://conllu/en/teddy-918.conllu#s157_0</t>
  </si>
  <si>
    <t>158</t>
  </si>
  <si>
    <t>So , to get to that 80 percent , the developed countries , including countries like China , will have had to switch their electricity generation altogether .</t>
  </si>
  <si>
    <t>file://conllu/en/teddy-918.conllu#s158_0</t>
  </si>
  <si>
    <t>159</t>
  </si>
  <si>
    <t>deploy</t>
  </si>
  <si>
    <t>The other grade is : Are we deploying this zero-emission technology , have we deployed it in all the developed countries and are in the process of getting it elsewhere ?</t>
  </si>
  <si>
    <t>file://conllu/en/teddy-918.conllu#s159_0</t>
  </si>
  <si>
    <t>160</t>
  </si>
  <si>
    <t>That 's super important .</t>
  </si>
  <si>
    <t>file://conllu/en/teddy-918.conllu#s160_0</t>
  </si>
  <si>
    <t>161</t>
  </si>
  <si>
    <t>be (be element)</t>
  </si>
  <si>
    <t>That 's a key element of making that report card .</t>
  </si>
  <si>
    <t>file://conllu/en/teddy-918.conllu#s161_0</t>
  </si>
  <si>
    <t>162</t>
  </si>
  <si>
    <t>Backing up from there , what should the 2020 report card look like ?</t>
  </si>
  <si>
    <t>file://conllu/en/teddy-918.conllu#s162_0</t>
  </si>
  <si>
    <t>163</t>
  </si>
  <si>
    <t>Well , again , it should have the two elements .</t>
  </si>
  <si>
    <t>file://conllu/en/teddy-918.conllu#s163_0</t>
  </si>
  <si>
    <t>164</t>
  </si>
  <si>
    <t>We should go through these efficiency measures to start getting reductions :</t>
  </si>
  <si>
    <t>file://conllu/en/teddy-918.conllu#s164_0</t>
  </si>
  <si>
    <t>165</t>
  </si>
  <si>
    <t>therefore?</t>
  </si>
  <si>
    <t>be (be co2)</t>
  </si>
  <si>
    <t>The less we emit , the less that sum will be of CO2 , and therefore , the less the temperature .</t>
  </si>
  <si>
    <t>file://conllu/en/teddy-918.conllu#s165_0</t>
  </si>
  <si>
    <t>166</t>
  </si>
  <si>
    <t>be (be equally)</t>
  </si>
  <si>
    <t>But in some ways , the grade we get there , doing things that do n't get us all the way to the big reductions , is only equally , or maybe even slightly less , important than the other , which is the piece of innovation on these breakthroughs .</t>
  </si>
  <si>
    <t>file://conllu/en/teddy-918.conllu#s166_0</t>
  </si>
  <si>
    <t>167</t>
  </si>
  <si>
    <t>breakthrough</t>
  </si>
  <si>
    <t>These breakthroughs , we need to move those at full speed , and we can measure that in terms of companies , pilot projects , regulatory things that have been changed .</t>
  </si>
  <si>
    <t>file://conllu/en/teddy-918.conllu#s167_0</t>
  </si>
  <si>
    <t>168</t>
  </si>
  <si>
    <t>There 's a lot of great books that have been written about this .</t>
  </si>
  <si>
    <t>file://conllu/en/teddy-918.conllu#s168_0</t>
  </si>
  <si>
    <t>169</t>
  </si>
  <si>
    <t>book</t>
  </si>
  <si>
    <t>The Al Gore book , &amp;quot; Our Choice , &amp;quot; and the David MacKay book , &amp;quot; Sustainable Energy Without the Hot Air . &amp;quot;</t>
  </si>
  <si>
    <t>file://conllu/en/teddy-918.conllu#s169_0</t>
  </si>
  <si>
    <t>170</t>
  </si>
  <si>
    <t>They really go through it and create a framework that this can be discussed broadly , because we need broad backing for this .</t>
  </si>
  <si>
    <t>file://conllu/en/teddy-918.conllu#s170_0</t>
  </si>
  <si>
    <t>171</t>
  </si>
  <si>
    <t>There 's a lot that has to come together .</t>
  </si>
  <si>
    <t>file://conllu/en/teddy-918.conllu#s171_0</t>
  </si>
  <si>
    <t>172</t>
  </si>
  <si>
    <t>be (be wish)</t>
  </si>
  <si>
    <t>So this is a wish .</t>
  </si>
  <si>
    <t>file://conllu/en/teddy-918.conllu#s172_0</t>
  </si>
  <si>
    <t>173</t>
  </si>
  <si>
    <t>It 's a very concrete wish that we invent this technology .</t>
  </si>
  <si>
    <t>file://conllu/en/teddy-918.conllu#s173_0</t>
  </si>
  <si>
    <t>174</t>
  </si>
  <si>
    <t>If you gave me only one wish for the next 50 years I could pick who 's president , I could pick a vaccine , which is something I love , or I could pick that this thing that 's half the cost with no CO2 gets invented this is the wish I would pick .</t>
  </si>
  <si>
    <t>file://conllu/en/teddy-918.conllu#s174_0</t>
  </si>
  <si>
    <t>175</t>
  </si>
  <si>
    <t>This is the one with the greatest impact .</t>
  </si>
  <si>
    <t>file://conllu/en/teddy-918.conllu#s175_0</t>
  </si>
  <si>
    <t>176</t>
  </si>
  <si>
    <t>be (be worse)</t>
  </si>
  <si>
    <t>If we do n't get this wish , the division between the people who think short term and long term will be terrible , between the US and China , between poor countries and rich , and most of all , the lives of those two billion will be far worse .</t>
  </si>
  <si>
    <t>file://conllu/en/teddy-918.conllu#s176_0</t>
  </si>
  <si>
    <t>177</t>
  </si>
  <si>
    <t>So what do we have to do ?</t>
  </si>
  <si>
    <t>file://conllu/en/teddy-918.conllu#s177_0</t>
  </si>
  <si>
    <t>178</t>
  </si>
  <si>
    <t>appeal</t>
  </si>
  <si>
    <t>What am I appealing to you to step forward and drive ?</t>
  </si>
  <si>
    <t>file://conllu/en/teddy-918.conllu#s178_0</t>
  </si>
  <si>
    <t>179</t>
  </si>
  <si>
    <t>We need to go for more research funding .</t>
  </si>
  <si>
    <t>file://conllu/en/teddy-918.conllu#s179_0</t>
  </si>
  <si>
    <t>180</t>
  </si>
  <si>
    <t>discuss</t>
  </si>
  <si>
    <t>When countries get together in places like Copenhagen , they should n't just discuss the CO2 .</t>
  </si>
  <si>
    <t>file://conllu/en/teddy-918.conllu#s180_0</t>
  </si>
  <si>
    <t>181</t>
  </si>
  <si>
    <t>They should discuss this innovation agenda .</t>
  </si>
  <si>
    <t>file://conllu/en/teddy-918.conllu#s181_0</t>
  </si>
  <si>
    <t>182</t>
  </si>
  <si>
    <t>stun</t>
  </si>
  <si>
    <t>You 'd be stunned at the ridiculously low levels of spending on these innovative approaches .</t>
  </si>
  <si>
    <t>file://conllu/en/teddy-918.conllu#s182_0</t>
  </si>
  <si>
    <t>183</t>
  </si>
  <si>
    <t>We do need the market incentives CO2 tax , cap and trade something that gets that price signal out there .</t>
  </si>
  <si>
    <t>file://conllu/en/teddy-918.conllu#s183_0</t>
  </si>
  <si>
    <t>184</t>
  </si>
  <si>
    <t>We need to get the message out .</t>
  </si>
  <si>
    <t>file://conllu/en/teddy-918.conllu#s184_0</t>
  </si>
  <si>
    <t>185</t>
  </si>
  <si>
    <t>We need to have this dialogue be a more rational , more understandable dialogue , including the steps that the government takes .</t>
  </si>
  <si>
    <t>file://conllu/en/teddy-918.conllu#s185_0</t>
  </si>
  <si>
    <t>186</t>
  </si>
  <si>
    <t>This is an important wish , but it is one I think we can achieve .</t>
  </si>
  <si>
    <t>file://conllu/en/teddy-918.conllu#s186_0</t>
  </si>
  <si>
    <t>187</t>
  </si>
  <si>
    <t>thank</t>
  </si>
  <si>
    <t>Thank you .</t>
  </si>
  <si>
    <t>file://conllu/en/teddy-918.conllu#s187_0</t>
  </si>
  <si>
    <t>188</t>
  </si>
  <si>
    <t>Applause</t>
  </si>
  <si>
    <t>( Applause ) ( Applause ends ) Chris Anderson :</t>
  </si>
  <si>
    <t>file://conllu/en/teddy-918.conllu#s188_0</t>
  </si>
  <si>
    <t>189</t>
  </si>
  <si>
    <t>file://conllu/en/teddy-918.conllu#s189_0</t>
  </si>
  <si>
    <t>190</t>
  </si>
  <si>
    <t>file://conllu/en/teddy-918.conllu#s190_0</t>
  </si>
  <si>
    <t>191</t>
  </si>
  <si>
    <t>ca</t>
  </si>
  <si>
    <t>CA : Thank you .</t>
  </si>
  <si>
    <t>file://conllu/en/teddy-918.conllu#s191_0</t>
  </si>
  <si>
    <t>192</t>
  </si>
  <si>
    <t>understand</t>
  </si>
  <si>
    <t>So to understand more about TerraPower .</t>
  </si>
  <si>
    <t>file://conllu/en/teddy-918.conllu#s192_0</t>
  </si>
  <si>
    <t>193</t>
  </si>
  <si>
    <t>be (be mean)</t>
  </si>
  <si>
    <t>I mean , first of all , can you give a sense of what scale of investment this is ?</t>
  </si>
  <si>
    <t>file://conllu/en/teddy-918.conllu#s193_0</t>
  </si>
  <si>
    <t>194</t>
  </si>
  <si>
    <t>Bill</t>
  </si>
  <si>
    <t>Bill Gates :</t>
  </si>
  <si>
    <t>file://conllu/en/teddy-918.conllu#s194_0</t>
  </si>
  <si>
    <t>195</t>
  </si>
  <si>
    <t>buy</t>
  </si>
  <si>
    <t>To actually do the software , buy the supercomputer , hire all the great scientists , which we 've done , that 's only tens of millions .</t>
  </si>
  <si>
    <t>file://conllu/en/teddy-918.conllu#s195_0</t>
  </si>
  <si>
    <t>196</t>
  </si>
  <si>
    <t>be (be hundred)</t>
  </si>
  <si>
    <t>And even once we test our materials out in a Russian reactor to make sure our materials work properly , then you 'll only be up in the hundreds of millions .</t>
  </si>
  <si>
    <t>file://conllu/en/teddy-918.conllu#s196_0</t>
  </si>
  <si>
    <t>197</t>
  </si>
  <si>
    <t>build</t>
  </si>
  <si>
    <t>The tough thing is building the pilot reactor finding the several billion , finding the regulator , the location that will actually build the first one of these .</t>
  </si>
  <si>
    <t>file://conllu/en/teddy-918.conllu#s197_0</t>
  </si>
  <si>
    <t>198</t>
  </si>
  <si>
    <t>be (be clear)</t>
  </si>
  <si>
    <t>Once you get the first one built , if it works as advertised , then it 's just clear as day , because the economics , the energy density , are so different than nuclear as we know it .</t>
  </si>
  <si>
    <t>file://conllu/en/teddy-918.conllu#s198_0</t>
  </si>
  <si>
    <t>199</t>
  </si>
  <si>
    <t>Ca</t>
  </si>
  <si>
    <t>CA :</t>
  </si>
  <si>
    <t>file://conllu/en/teddy-918.conllu#s199_0</t>
  </si>
  <si>
    <t>200</t>
  </si>
  <si>
    <t>involve</t>
  </si>
  <si>
    <t>So to understand it right , this involves building deep into the ground , almost like a vertical column of nuclear fuel , of this spent uranium , and then the process starts at the top and kind of works down ?</t>
  </si>
  <si>
    <t>file://conllu/en/teddy-918.conllu#s200_0</t>
  </si>
  <si>
    <t>201</t>
  </si>
  <si>
    <t>be (be right)</t>
  </si>
  <si>
    <t>BG : That 's right .</t>
  </si>
  <si>
    <t>file://conllu/en/teddy-918.conllu#s201_0</t>
  </si>
  <si>
    <t>202</t>
  </si>
  <si>
    <t>refuel</t>
  </si>
  <si>
    <t>Today , you 're always refueling the reactor , so you have lots of people and lots of controls that can go wrong , where you 're opening it up and moving things in and out that 's not good .</t>
  </si>
  <si>
    <t>file://conllu/en/teddy-918.conllu#s202_0</t>
  </si>
  <si>
    <t>203</t>
  </si>
  <si>
    <t>as?</t>
  </si>
  <si>
    <t>So if you have very very cheap fuel that you can put 60 years in just think of it as a log put it down and not have those same complexities .</t>
  </si>
  <si>
    <t>file://conllu/en/teddy-918.conllu#s203_0</t>
  </si>
  <si>
    <t>204</t>
  </si>
  <si>
    <t>sit</t>
  </si>
  <si>
    <t>And it just sits there and burns for the 60 years , and then it 's done .</t>
  </si>
  <si>
    <t>file://conllu/en/teddy-918.conllu#s204_0</t>
  </si>
  <si>
    <t>205</t>
  </si>
  <si>
    <t>file://conllu/en/teddy-918.conllu#s205_0</t>
  </si>
  <si>
    <t>206</t>
  </si>
  <si>
    <t>be (be plant)</t>
  </si>
  <si>
    <t>It 's a nuclear power plant that is its own waste disposal solution .</t>
  </si>
  <si>
    <t>file://conllu/en/teddy-918.conllu#s206_0</t>
  </si>
  <si>
    <t>207</t>
  </si>
  <si>
    <t>happen</t>
  </si>
  <si>
    <t>BG : Yeah ; what happens with the waste , you can let it sit there there 's a lot less waste under this approach then you can actually take that and put it into another one and burn that .</t>
  </si>
  <si>
    <t>file://conllu/en/teddy-918.conllu#s207_0</t>
  </si>
  <si>
    <t>208</t>
  </si>
  <si>
    <t>start</t>
  </si>
  <si>
    <t>And we start out , actually , by taking the waste that exists today that 's sitting in these cooling pools or dry casking by reactors that 's our fuel to begin with .</t>
  </si>
  <si>
    <t>file://conllu/en/teddy-918.conllu#s208_0</t>
  </si>
  <si>
    <t>209</t>
  </si>
  <si>
    <t>so</t>
  </si>
  <si>
    <t>So the thing that 's been a problem from those reactors is actually what gets fed into ours , and you 're reducing the volume of the waste quite dramatically as you 're going through this process .</t>
  </si>
  <si>
    <t>file://conllu/en/teddy-918.conllu#s209_0</t>
  </si>
  <si>
    <t>210</t>
  </si>
  <si>
    <t>CA : You 're talking to different people around the world about the possibilities .</t>
  </si>
  <si>
    <t>file://conllu/en/teddy-918.conllu#s210_0</t>
  </si>
  <si>
    <t>211</t>
  </si>
  <si>
    <t>be (be where)</t>
  </si>
  <si>
    <t>Where is there most interest in actually doing something with this ?</t>
  </si>
  <si>
    <t>file://conllu/en/teddy-918.conllu#s211_0</t>
  </si>
  <si>
    <t>212</t>
  </si>
  <si>
    <t>BG : Well , we have n't picked a particular place , and there 's all these interesting disclosure rules about anything that 's called &amp;quot; nuclear . &amp;quot;</t>
  </si>
  <si>
    <t>file://conllu/en/teddy-918.conllu#s212_0</t>
  </si>
  <si>
    <t>213</t>
  </si>
  <si>
    <t>So we 've got a lot of interest .</t>
  </si>
  <si>
    <t>file://conllu/en/teddy-918.conllu#s213_0</t>
  </si>
  <si>
    <t>214</t>
  </si>
  <si>
    <t>be (be Russia)</t>
  </si>
  <si>
    <t>People from the company have been in Russia , India , China .</t>
  </si>
  <si>
    <t>file://conllu/en/teddy-918.conllu#s214_0</t>
  </si>
  <si>
    <t>215</t>
  </si>
  <si>
    <t>I 've been back seeing the secretary of energy here , talking about how this fits into the energy agenda .</t>
  </si>
  <si>
    <t>file://conllu/en/teddy-918.conllu#s215_0</t>
  </si>
  <si>
    <t>216</t>
  </si>
  <si>
    <t>be (be optimistic)</t>
  </si>
  <si>
    <t>So I 'm optimistic .</t>
  </si>
  <si>
    <t>file://conllu/en/teddy-918.conllu#s216_0</t>
  </si>
  <si>
    <t>217</t>
  </si>
  <si>
    <t>The French and Japanese have done some work .</t>
  </si>
  <si>
    <t>file://conllu/en/teddy-918.conllu#s217_0</t>
  </si>
  <si>
    <t>218</t>
  </si>
  <si>
    <t>be (be variant)</t>
  </si>
  <si>
    <t>This is a variant on something that has been done .</t>
  </si>
  <si>
    <t>file://conllu/en/teddy-918.conllu#s218_0</t>
  </si>
  <si>
    <t>219</t>
  </si>
  <si>
    <t>be (be advance)</t>
  </si>
  <si>
    <t>It 's an important advance , but it 's like a fast reactor , and a lot of countries have built them , so anybody who 's done a fast reactor is a candidate to be where the first one gets built .</t>
  </si>
  <si>
    <t>file://conllu/en/teddy-918.conllu#s219_0</t>
  </si>
  <si>
    <t>220</t>
  </si>
  <si>
    <t>file://conllu/en/teddy-918.conllu#s220_0</t>
  </si>
  <si>
    <t>221</t>
  </si>
  <si>
    <t>timescale</t>
  </si>
  <si>
    <t>So , in your mind , timescale and likelihood of actually taking something like this live ?</t>
  </si>
  <si>
    <t>file://conllu/en/teddy-918.conllu#s221_0</t>
  </si>
  <si>
    <t>222</t>
  </si>
  <si>
    <t>BG : Well , we need for one of these high scale , electro-generation things that 's very cheap , we have 20 years to invent and then 20 years to deploy .</t>
  </si>
  <si>
    <t>file://conllu/en/teddy-918.conllu#s222_0</t>
  </si>
  <si>
    <t>223</t>
  </si>
  <si>
    <t>be (be sort)</t>
  </si>
  <si>
    <t>That 's sort of the deadline that the environmental models have shown us that we have to meet .</t>
  </si>
  <si>
    <t>file://conllu/en/teddy-918.conllu#s223_0</t>
  </si>
  <si>
    <t>224</t>
  </si>
  <si>
    <t>meet</t>
  </si>
  <si>
    <t>And TerraPower if things go well , which is wishing for a lot could easily meet that .</t>
  </si>
  <si>
    <t>file://conllu/en/teddy-918.conllu#s224_0</t>
  </si>
  <si>
    <t>225</t>
  </si>
  <si>
    <t>And there are , fortunately now , dozens of companies we need it to be hundreds who , likewise , if their science goes well , if the funding for their pilot plants goes well , that they can compete for this .</t>
  </si>
  <si>
    <t>file://conllu/en/teddy-918.conllu#s225_0</t>
  </si>
  <si>
    <t>226</t>
  </si>
  <si>
    <t>be (be best)</t>
  </si>
  <si>
    <t>And it 's best if multiple succeed , because then you could use a mix of these things .</t>
  </si>
  <si>
    <t>file://conllu/en/teddy-918.conllu#s226_0</t>
  </si>
  <si>
    <t>227</t>
  </si>
  <si>
    <t>We certainly need one to succeed .</t>
  </si>
  <si>
    <t>file://conllu/en/teddy-918.conllu#s227_0</t>
  </si>
  <si>
    <t>228</t>
  </si>
  <si>
    <t>CA : In terms of big scale possible game changers , is this the biggest that you 're aware of out there ?</t>
  </si>
  <si>
    <t>file://conllu/en/teddy-918.conllu#s228_0</t>
  </si>
  <si>
    <t>229</t>
  </si>
  <si>
    <t>BG : An energy breakthrough is the most important thing .</t>
  </si>
  <si>
    <t>file://conllu/en/teddy-918.conllu#s229_0</t>
  </si>
  <si>
    <t>230</t>
  </si>
  <si>
    <t>be (be constraint)</t>
  </si>
  <si>
    <t>It would have been , even without the environmental constraint , but the environmental constraint just makes it so much greater .</t>
  </si>
  <si>
    <t>file://conllu/en/teddy-918.conllu#s230_0</t>
  </si>
  <si>
    <t>231</t>
  </si>
  <si>
    <t>In the nuclear space , there are other innovators .</t>
  </si>
  <si>
    <t>file://conllu/en/teddy-918.conllu#s231_0</t>
  </si>
  <si>
    <t>232</t>
  </si>
  <si>
    <t>know (know know)</t>
  </si>
  <si>
    <t>You know , we do n't know their work as well as we know this one , but the modular people , that 's a different approach .</t>
  </si>
  <si>
    <t>file://conllu/en/teddy-918.conllu#s232_0</t>
  </si>
  <si>
    <t>233</t>
  </si>
  <si>
    <t>There 's a liquid type reactor , which seems a little hard , but maybe they say that about us .</t>
  </si>
  <si>
    <t>file://conllu/en/teddy-918.conllu#s233_0</t>
  </si>
  <si>
    <t>234</t>
  </si>
  <si>
    <t>And so , there are different ones , but the beauty of this is a molecule of uranium has a million times as much energy as a molecule of , say , coal .</t>
  </si>
  <si>
    <t>file://conllu/en/teddy-918.conllu#s234_0</t>
  </si>
  <si>
    <t>235</t>
  </si>
  <si>
    <t>be (be class)</t>
  </si>
  <si>
    <t>And so , if you can deal with the negatives , which are essentially the radiation , the footprint and cost , the potential , in terms of effect on land and various things , is almost in a class of its own .</t>
  </si>
  <si>
    <t>file://conllu/en/teddy-918.conllu#s235_0</t>
  </si>
  <si>
    <t>236</t>
  </si>
  <si>
    <t>CA : If this does n't work , then what ?</t>
  </si>
  <si>
    <t>file://conllu/en/teddy-918.conllu#s236_0</t>
  </si>
  <si>
    <t>237</t>
  </si>
  <si>
    <t>Do we have to start taking emergency measures to try and keep the temperature of the earth stable ?</t>
  </si>
  <si>
    <t>file://conllu/en/teddy-918.conllu#s237_0</t>
  </si>
  <si>
    <t>238</t>
  </si>
  <si>
    <t>Bg</t>
  </si>
  <si>
    <t>BG : If you get into that situation , it 's like if you 've been overeating , and you 're about to have a heart attack .</t>
  </si>
  <si>
    <t>file://conllu/en/teddy-918.conllu#s238_0</t>
  </si>
  <si>
    <t>239</t>
  </si>
  <si>
    <t>Then where do you go ?</t>
  </si>
  <si>
    <t>file://conllu/en/teddy-918.conllu#s239_0</t>
  </si>
  <si>
    <t>240</t>
  </si>
  <si>
    <t>You may need heart surgery or something .</t>
  </si>
  <si>
    <t>file://conllu/en/teddy-918.conllu#s240_0</t>
  </si>
  <si>
    <t>241</t>
  </si>
  <si>
    <t>There is a line of research on what 's called geoengineering , which are various techniques that would delay the heating to buy us 20 or 30 years to get our act together .</t>
  </si>
  <si>
    <t>file://conllu/en/teddy-918.conllu#s241_0</t>
  </si>
  <si>
    <t>242</t>
  </si>
  <si>
    <t>be (be policy)</t>
  </si>
  <si>
    <t>Now , that 's just an insurance policy ; you hope you do n't need to do that .</t>
  </si>
  <si>
    <t>file://conllu/en/teddy-918.conllu#s242_0</t>
  </si>
  <si>
    <t>243</t>
  </si>
  <si>
    <t>say</t>
  </si>
  <si>
    <t>Some people say you should n't even work on the insurance policy because it might make you lazy , that you 'll keep eating because you know heart surgery will be there to save you .</t>
  </si>
  <si>
    <t>file://conllu/en/teddy-918.conllu#s243_0</t>
  </si>
  <si>
    <t>244</t>
  </si>
  <si>
    <t>be (be sure)</t>
  </si>
  <si>
    <t>I 'm not sure that 's wise , given the importance of the problem , but there 's now the geoengineering discussion about :</t>
  </si>
  <si>
    <t>file://conllu/en/teddy-918.conllu#s244_0</t>
  </si>
  <si>
    <t>245</t>
  </si>
  <si>
    <t>Should that be in the back pocket in case things happen faster , or this innovation goes a lot slower than we expect ?</t>
  </si>
  <si>
    <t>file://conllu/en/teddy-918.conllu#s245_0</t>
  </si>
  <si>
    <t>246</t>
  </si>
  <si>
    <t>CA : Climate skeptics :</t>
  </si>
  <si>
    <t>file://conllu/en/teddy-918.conllu#s246_0</t>
  </si>
  <si>
    <t>247</t>
  </si>
  <si>
    <t>persuade</t>
  </si>
  <si>
    <t>If you had a sentence or two to say to them , how might you persuade them that they 're wrong ?</t>
  </si>
  <si>
    <t>file://conllu/en/teddy-918.conllu#s247_0</t>
  </si>
  <si>
    <t>248</t>
  </si>
  <si>
    <t>BG : Well , unfortunately , the skeptics come in different camps .</t>
  </si>
  <si>
    <t>file://conllu/en/teddy-918.conllu#s248_0</t>
  </si>
  <si>
    <t>249</t>
  </si>
  <si>
    <t>be (be few)</t>
  </si>
  <si>
    <t>The ones who make scientific arguments are very few .</t>
  </si>
  <si>
    <t>file://conllu/en/teddy-918.conllu#s249_0</t>
  </si>
  <si>
    <t>250</t>
  </si>
  <si>
    <t>Are they saying there 's negative feedback effects that have to do with clouds that offset things ?</t>
  </si>
  <si>
    <t>file://conllu/en/teddy-918.conllu#s250_0</t>
  </si>
  <si>
    <t>251</t>
  </si>
  <si>
    <t>There are very , very few things that they can even say there 's a chance in a million of those things .</t>
  </si>
  <si>
    <t>file://conllu/en/teddy-918.conllu#s251_0</t>
  </si>
  <si>
    <t>252</t>
  </si>
  <si>
    <t>The main problem we have here it 's kind of like with AIDS : you make the mistake now , and you pay for it a lot later .</t>
  </si>
  <si>
    <t>file://conllu/en/teddy-918.conllu#s252_0</t>
  </si>
  <si>
    <t>253</t>
  </si>
  <si>
    <t>idea</t>
  </si>
  <si>
    <t>And so , when you have all sorts of urgent problems , the idea of taking pain now that has to do with a gain later , and a somewhat uncertain pain thing .</t>
  </si>
  <si>
    <t>file://conllu/en/teddy-918.conllu#s253_0</t>
  </si>
  <si>
    <t>254</t>
  </si>
  <si>
    <t>report</t>
  </si>
  <si>
    <t>In fact , the IPCC report that 's not necessarily the worst case , and there are people in the rich world who look at IPCC and say , &amp;quot; OK , that is n't that big of a deal . &amp;quot;</t>
  </si>
  <si>
    <t>file://conllu/en/teddy-918.conllu#s254_0</t>
  </si>
  <si>
    <t>255</t>
  </si>
  <si>
    <t>The fact is it 's that uncertain part that should move us towards this .</t>
  </si>
  <si>
    <t>file://conllu/en/teddy-918.conllu#s255_0</t>
  </si>
  <si>
    <t>256</t>
  </si>
  <si>
    <t>wish (wish say)</t>
  </si>
  <si>
    <t>But my dream here is that , if you can make it economic , and meet the CO2 constraints , then the skeptics say , &amp;quot; OK , I do n't care that it does n't put out CO2 , I kind of wish it did put out CO2 .</t>
  </si>
  <si>
    <t>file://conllu/en/teddy-918.conllu#s256_0</t>
  </si>
  <si>
    <t>257</t>
  </si>
  <si>
    <t>guess</t>
  </si>
  <si>
    <t>But I guess I 'll accept it , because it 's cheaper than what 's come before . &amp;quot;</t>
  </si>
  <si>
    <t>file://conllu/en/teddy-918.conllu#s257_0</t>
  </si>
  <si>
    <t>258</t>
  </si>
  <si>
    <t>file://conllu/en/teddy-918.conllu#s258_0</t>
  </si>
  <si>
    <t>259</t>
  </si>
  <si>
    <t>be (be response)</t>
  </si>
  <si>
    <t>So that would be your response to the Bjørn Lomborg argument , basically if you spend all this energy trying to solve the CO2 problem , it 's going to take away all your other goals of trying to rid the world of poverty and malaria and so forth , it 's a stupid waste of the Earth 's resources to put money towards that when there are better things we can do .</t>
  </si>
  <si>
    <t>file://conllu/en/teddy-918.conllu#s259_0</t>
  </si>
  <si>
    <t>260</t>
  </si>
  <si>
    <t>spending</t>
  </si>
  <si>
    <t>BG : Well , the actual spending on the R&amp;amp; amp;D piece say the US should spend 10 billion a year more than it is right now it 's not that dramatic .</t>
  </si>
  <si>
    <t>file://conllu/en/teddy-918.conllu#s260_0</t>
  </si>
  <si>
    <t>261</t>
  </si>
  <si>
    <t>take</t>
  </si>
  <si>
    <t>It should n't take away from other things .</t>
  </si>
  <si>
    <t>file://conllu/en/teddy-918.conllu#s261_0</t>
  </si>
  <si>
    <t>262</t>
  </si>
  <si>
    <t>disagree</t>
  </si>
  <si>
    <t>The thing you get into big money on , and reasonable people can disagree , is when you have something that 's non-economic and you 're trying to fund that that , to me , mostly is a waste .</t>
  </si>
  <si>
    <t>file://conllu/en/teddy-918.conllu#s262_0</t>
  </si>
  <si>
    <t>263</t>
  </si>
  <si>
    <t>unless?</t>
  </si>
  <si>
    <t>try (try believe)</t>
  </si>
  <si>
    <t>Unless you 're very close , and you 're just funding the learning curve and it 's going to get very cheap , I believe we should try more things that have a potential to be far less expensive .</t>
  </si>
  <si>
    <t>file://conllu/en/teddy-918.conllu#s263_0</t>
  </si>
  <si>
    <t>264</t>
  </si>
  <si>
    <t>afford</t>
  </si>
  <si>
    <t>If the trade off you get into is , &amp;quot; Let 's make energy super expensive , &amp;quot; then the rich can afford that .</t>
  </si>
  <si>
    <t>file://conllu/en/teddy-918.conllu#s264_0</t>
  </si>
  <si>
    <t>265</t>
  </si>
  <si>
    <t>I mean , all of us here could pay five times as much for our energy and not change our lifestyle .</t>
  </si>
  <si>
    <t>file://conllu/en/teddy-918.conllu#s265_0</t>
  </si>
  <si>
    <t>266</t>
  </si>
  <si>
    <t>be (be billion)</t>
  </si>
  <si>
    <t>The disaster is for that two billion .</t>
  </si>
  <si>
    <t>file://conllu/en/teddy-918.conllu#s266_0</t>
  </si>
  <si>
    <t>267</t>
  </si>
  <si>
    <t>change</t>
  </si>
  <si>
    <t>And even Lomborg has changed .</t>
  </si>
  <si>
    <t>file://conllu/en/teddy-918.conllu#s267_0</t>
  </si>
  <si>
    <t>268</t>
  </si>
  <si>
    <t>His shtick now is , &amp;quot; Why is n't the R&amp;amp; amp ;D getting more discussed ? &amp;quot;</t>
  </si>
  <si>
    <t>file://conllu/en/teddy-918.conllu#s268_0</t>
  </si>
  <si>
    <t>269</t>
  </si>
  <si>
    <t>earlier?</t>
  </si>
  <si>
    <t>He 's still , because of his earlier stuff , still associated with the skeptic camp , but he 's realized that 's a pretty lonely camp , and so , he 's making the R&amp;amp; amp ;D point .</t>
  </si>
  <si>
    <t>file://conllu/en/teddy-918.conllu#s269_0</t>
  </si>
  <si>
    <t>270</t>
  </si>
  <si>
    <t>And so there is a thread of something that I think is appropriate .</t>
  </si>
  <si>
    <t>file://conllu/en/teddy-918.conllu#s270_0</t>
  </si>
  <si>
    <t>271</t>
  </si>
  <si>
    <t>piece</t>
  </si>
  <si>
    <t>The R&amp;amp; amp ;D piece it 's crazy how little it 's funded .</t>
  </si>
  <si>
    <t>file://conllu/en/teddy-918.conllu#s271_0</t>
  </si>
  <si>
    <t>272</t>
  </si>
  <si>
    <t>CA : Well , Bill , I suspect I speak on behalf of most people here to say I really hope your wish comes true .</t>
  </si>
  <si>
    <t>file://conllu/en/teddy-918.conllu#s272_0</t>
  </si>
  <si>
    <t>273</t>
  </si>
  <si>
    <t>Thank you so much .</t>
  </si>
  <si>
    <t>file://conllu/en/teddy-918.conllu#s273_0</t>
  </si>
  <si>
    <t>274</t>
  </si>
  <si>
    <t>BG : Thank you .</t>
  </si>
  <si>
    <t>file://conllu/en/teddy-918.conllu#s274_0</t>
  </si>
  <si>
    <t>WORD</t>
  </si>
  <si>
    <t>GR</t>
  </si>
  <si>
    <t>NP_TYPE</t>
  </si>
  <si>
    <t>REF_AUTO</t>
  </si>
  <si>
    <t>COREF</t>
  </si>
  <si>
    <t>REF</t>
  </si>
  <si>
    <t>IS</t>
  </si>
  <si>
    <t>CB</t>
  </si>
  <si>
    <t>GR_ANTE</t>
  </si>
  <si>
    <t>REF_DIST</t>
  </si>
  <si>
    <t>REF_DIST_ANTE</t>
  </si>
  <si>
    <t># text = I'm going to talk today about energy and climate.</t>
  </si>
  <si>
    <t>I</t>
  </si>
  <si>
    <t>SBJ</t>
  </si>
  <si>
    <t>pron.pper</t>
  </si>
  <si>
    <t>?OLD</t>
  </si>
  <si>
    <t>'m</t>
  </si>
  <si>
    <t>going</t>
  </si>
  <si>
    <t>to</t>
  </si>
  <si>
    <t>today</t>
  </si>
  <si>
    <t>other_2</t>
  </si>
  <si>
    <t>indef-np.bare</t>
  </si>
  <si>
    <t>about</t>
  </si>
  <si>
    <t>energy</t>
  </si>
  <si>
    <t>and</t>
  </si>
  <si>
    <t>other_3</t>
  </si>
  <si>
    <t>.</t>
  </si>
  <si>
    <t># text = And that might seem a bit surprising, because my full-time work at the foundation is mostly about vaccines and seeds, about the things that we need to invent and deliver to help the poorest two billion live better lives.</t>
  </si>
  <si>
    <t>And</t>
  </si>
  <si>
    <t>that</t>
  </si>
  <si>
    <t>pron.pds</t>
  </si>
  <si>
    <t>might</t>
  </si>
  <si>
    <t>a</t>
  </si>
  <si>
    <t>bit</t>
  </si>
  <si>
    <t>indef-np.a</t>
  </si>
  <si>
    <t>surprising</t>
  </si>
  <si>
    <t>,</t>
  </si>
  <si>
    <t>because</t>
  </si>
  <si>
    <t>my</t>
  </si>
  <si>
    <t>pron.ppos</t>
  </si>
  <si>
    <t>full</t>
  </si>
  <si>
    <t>time</t>
  </si>
  <si>
    <t>work</t>
  </si>
  <si>
    <t>SBJ_2</t>
  </si>
  <si>
    <t>def-np.poss</t>
  </si>
  <si>
    <t>at</t>
  </si>
  <si>
    <t>the</t>
  </si>
  <si>
    <t>foundation</t>
  </si>
  <si>
    <t>def-np.the</t>
  </si>
  <si>
    <t>is</t>
  </si>
  <si>
    <t>mostly</t>
  </si>
  <si>
    <t>vaccines</t>
  </si>
  <si>
    <t>OBJ</t>
  </si>
  <si>
    <t>seeds</t>
  </si>
  <si>
    <t>things</t>
  </si>
  <si>
    <t>OBJ_4</t>
  </si>
  <si>
    <t>we</t>
  </si>
  <si>
    <t>SBJ_4</t>
  </si>
  <si>
    <t>invent</t>
  </si>
  <si>
    <t>deliver</t>
  </si>
  <si>
    <t>help</t>
  </si>
  <si>
    <t>poorest</t>
  </si>
  <si>
    <t>two</t>
  </si>
  <si>
    <t>billion</t>
  </si>
  <si>
    <t>OBJ_7</t>
  </si>
  <si>
    <t>live</t>
  </si>
  <si>
    <t>better</t>
  </si>
  <si>
    <t>lives</t>
  </si>
  <si>
    <t>other_8</t>
  </si>
  <si>
    <t># text = But energy and climate are extremely important to these people; in fact, more important than to anyone else on the planet.</t>
  </si>
  <si>
    <t>But</t>
  </si>
  <si>
    <t>are</t>
  </si>
  <si>
    <t>extremely</t>
  </si>
  <si>
    <t>important</t>
  </si>
  <si>
    <t>these</t>
  </si>
  <si>
    <t>other</t>
  </si>
  <si>
    <t>def-np.dem</t>
  </si>
  <si>
    <t>;</t>
  </si>
  <si>
    <t>in</t>
  </si>
  <si>
    <t>fact</t>
  </si>
  <si>
    <t>more</t>
  </si>
  <si>
    <t>than</t>
  </si>
  <si>
    <t>anyone</t>
  </si>
  <si>
    <t>pron.pind</t>
  </si>
  <si>
    <t>else</t>
  </si>
  <si>
    <t>on</t>
  </si>
  <si>
    <t>planet</t>
  </si>
  <si>
    <t># text = The climate getting worse means that many years, their crops won't grow: there will be too much rain, not enough rain; things will change in ways their fragile environment simply can't support.</t>
  </si>
  <si>
    <t>The</t>
  </si>
  <si>
    <t>getting</t>
  </si>
  <si>
    <t>worse</t>
  </si>
  <si>
    <t>means</t>
  </si>
  <si>
    <t>OBJ_2</t>
  </si>
  <si>
    <t>many</t>
  </si>
  <si>
    <t>years</t>
  </si>
  <si>
    <t>other_4</t>
  </si>
  <si>
    <t>indef-np.quant</t>
  </si>
  <si>
    <t>their</t>
  </si>
  <si>
    <t>other_5</t>
  </si>
  <si>
    <t>crops</t>
  </si>
  <si>
    <t>wo</t>
  </si>
  <si>
    <t>n't</t>
  </si>
  <si>
    <t>grow</t>
  </si>
  <si>
    <t>:</t>
  </si>
  <si>
    <t>there</t>
  </si>
  <si>
    <t>SBJ_5</t>
  </si>
  <si>
    <t>pron</t>
  </si>
  <si>
    <t>will</t>
  </si>
  <si>
    <t>too</t>
  </si>
  <si>
    <t>much</t>
  </si>
  <si>
    <t>rain</t>
  </si>
  <si>
    <t>not</t>
  </si>
  <si>
    <t>enough</t>
  </si>
  <si>
    <t>SBJ_6</t>
  </si>
  <si>
    <t>ways</t>
  </si>
  <si>
    <t>other_6</t>
  </si>
  <si>
    <t>other_9</t>
  </si>
  <si>
    <t>fragile</t>
  </si>
  <si>
    <t>environment</t>
  </si>
  <si>
    <t>SBJ_8</t>
  </si>
  <si>
    <t>simply</t>
  </si>
  <si>
    <t>support</t>
  </si>
  <si>
    <t># text = And that leads to starvation, it leads to uncertainty, it leads to unrest.</t>
  </si>
  <si>
    <t>leads</t>
  </si>
  <si>
    <t>starvation</t>
  </si>
  <si>
    <t>it</t>
  </si>
  <si>
    <t>unrest</t>
  </si>
  <si>
    <t># text = So, the climate changes will be terrible for them.</t>
  </si>
  <si>
    <t>So</t>
  </si>
  <si>
    <t>changes</t>
  </si>
  <si>
    <t>terrible</t>
  </si>
  <si>
    <t>for</t>
  </si>
  <si>
    <t>them</t>
  </si>
  <si>
    <t># text = Also, the price of energy is very important to them.</t>
  </si>
  <si>
    <t>Also</t>
  </si>
  <si>
    <t>price</t>
  </si>
  <si>
    <t>of</t>
  </si>
  <si>
    <t>very</t>
  </si>
  <si>
    <t># text = In fact, if you could pick just one thing to lower the price of to reduce poverty, by far you would pick energy.</t>
  </si>
  <si>
    <t>In</t>
  </si>
  <si>
    <t>if</t>
  </si>
  <si>
    <t>you</t>
  </si>
  <si>
    <t>could</t>
  </si>
  <si>
    <t>just</t>
  </si>
  <si>
    <t>one</t>
  </si>
  <si>
    <t>thing</t>
  </si>
  <si>
    <t>OBJ_3</t>
  </si>
  <si>
    <t>reduce</t>
  </si>
  <si>
    <t>poverty</t>
  </si>
  <si>
    <t>by</t>
  </si>
  <si>
    <t>far</t>
  </si>
  <si>
    <t>would</t>
  </si>
  <si>
    <t># text = Now, the price of energy has come down over time.</t>
  </si>
  <si>
    <t>Now</t>
  </si>
  <si>
    <t>has</t>
  </si>
  <si>
    <t>down</t>
  </si>
  <si>
    <t>over</t>
  </si>
  <si>
    <t># text = Really advanced civilization is based on advances in energy.</t>
  </si>
  <si>
    <t>Really</t>
  </si>
  <si>
    <t>advanced</t>
  </si>
  <si>
    <t>civilization</t>
  </si>
  <si>
    <t>based</t>
  </si>
  <si>
    <t>advances</t>
  </si>
  <si>
    <t># text = The coal revolution fueled the Industrial Revolution, and, even in the 1900s, we've seen a very rapid decline in the price of electricity, and that's why we have refrigerators, air-conditioning; we can make modern materials and do so many things.</t>
  </si>
  <si>
    <t>coal</t>
  </si>
  <si>
    <t>revolution</t>
  </si>
  <si>
    <t>fueled</t>
  </si>
  <si>
    <t>Industrial</t>
  </si>
  <si>
    <t>Revolution</t>
  </si>
  <si>
    <t>ne</t>
  </si>
  <si>
    <t>even</t>
  </si>
  <si>
    <t>1900s</t>
  </si>
  <si>
    <t>'ve</t>
  </si>
  <si>
    <t>seen</t>
  </si>
  <si>
    <t>rapid</t>
  </si>
  <si>
    <t>decline</t>
  </si>
  <si>
    <t>electricity</t>
  </si>
  <si>
    <t>'s</t>
  </si>
  <si>
    <t>why</t>
  </si>
  <si>
    <t>SBJ_3</t>
  </si>
  <si>
    <t>refrigerators</t>
  </si>
  <si>
    <t>air</t>
  </si>
  <si>
    <t>conditioning</t>
  </si>
  <si>
    <t>can</t>
  </si>
  <si>
    <t>modern</t>
  </si>
  <si>
    <t>materials</t>
  </si>
  <si>
    <t># text = And so, we're in a wonderful situation with electricity in the rich world.</t>
  </si>
  <si>
    <t>'re</t>
  </si>
  <si>
    <t>wonderful</t>
  </si>
  <si>
    <t>situation</t>
  </si>
  <si>
    <t>with</t>
  </si>
  <si>
    <t>rich</t>
  </si>
  <si>
    <t>world</t>
  </si>
  <si>
    <t># text = But as we make it cheaper -- and let's say, let's go for making it twice as cheap -- we need to meet a new constraint, and that constraint has to do with CO2.</t>
  </si>
  <si>
    <t>as</t>
  </si>
  <si>
    <t>cheaper</t>
  </si>
  <si>
    <t>making</t>
  </si>
  <si>
    <t>twice</t>
  </si>
  <si>
    <t>cheap</t>
  </si>
  <si>
    <t>new</t>
  </si>
  <si>
    <t>constraint</t>
  </si>
  <si>
    <t>CO2</t>
  </si>
  <si>
    <t># text = CO2 is warming the planet, and the equation on CO2 is actually a very straightforward one.</t>
  </si>
  <si>
    <t>warming</t>
  </si>
  <si>
    <t>equation</t>
  </si>
  <si>
    <t>actually</t>
  </si>
  <si>
    <t>straightforward</t>
  </si>
  <si>
    <t># text = If you sum up the CO2 that gets emitted, that leads to a temperature increase, and that temperature increase leads to some very negative effects: the effects on the weather; perhaps worse, the indirect effects, in that the natural ecosystems can't adjust to these rapid changes, and so you get ecosystem collapses.</t>
  </si>
  <si>
    <t>If</t>
  </si>
  <si>
    <t>sum</t>
  </si>
  <si>
    <t>up</t>
  </si>
  <si>
    <t>gets</t>
  </si>
  <si>
    <t>emitted</t>
  </si>
  <si>
    <t>temperature</t>
  </si>
  <si>
    <t>increase</t>
  </si>
  <si>
    <t>some</t>
  </si>
  <si>
    <t>negative</t>
  </si>
  <si>
    <t>effects</t>
  </si>
  <si>
    <t>weather</t>
  </si>
  <si>
    <t>perhaps</t>
  </si>
  <si>
    <t>indirect</t>
  </si>
  <si>
    <t>natural</t>
  </si>
  <si>
    <t>ecosystems</t>
  </si>
  <si>
    <t>adjust</t>
  </si>
  <si>
    <t>ecosystem</t>
  </si>
  <si>
    <t>collapses</t>
  </si>
  <si>
    <t># text = Now, the exact amount of how you map from a certain increase of CO2 to what temperature will be, and where the positive feedbacks are -- there's some uncertainty there, but not very much.</t>
  </si>
  <si>
    <t>exact</t>
  </si>
  <si>
    <t>amount</t>
  </si>
  <si>
    <t>how</t>
  </si>
  <si>
    <t>map</t>
  </si>
  <si>
    <t>from</t>
  </si>
  <si>
    <t>certain</t>
  </si>
  <si>
    <t>what</t>
  </si>
  <si>
    <t>pron.pint</t>
  </si>
  <si>
    <t>where</t>
  </si>
  <si>
    <t>positive</t>
  </si>
  <si>
    <t>feedbacks</t>
  </si>
  <si>
    <t>but</t>
  </si>
  <si>
    <t># text = And there's certainly uncertainty about how bad those effects will be, but they will be extremely bad.</t>
  </si>
  <si>
    <t>certainly</t>
  </si>
  <si>
    <t>bad</t>
  </si>
  <si>
    <t>those</t>
  </si>
  <si>
    <t>they</t>
  </si>
  <si>
    <t># text = I asked the top scientists on this several times:</t>
  </si>
  <si>
    <t>asked</t>
  </si>
  <si>
    <t>scientists</t>
  </si>
  <si>
    <t>this</t>
  </si>
  <si>
    <t>several</t>
  </si>
  <si>
    <t>times</t>
  </si>
  <si>
    <t># text = Do we really have to get down to near zero?</t>
  </si>
  <si>
    <t>Do</t>
  </si>
  <si>
    <t>really</t>
  </si>
  <si>
    <t>near</t>
  </si>
  <si>
    <t>zero</t>
  </si>
  <si>
    <t>?</t>
  </si>
  <si>
    <t># text = Can't we just cut it in half or a quarter?</t>
  </si>
  <si>
    <t>half</t>
  </si>
  <si>
    <t>or</t>
  </si>
  <si>
    <t>quarter</t>
  </si>
  <si>
    <t># text = And the answer is, until we get near to zero, the temperature will continue to rise.</t>
  </si>
  <si>
    <t>answer</t>
  </si>
  <si>
    <t>until</t>
  </si>
  <si>
    <t>continue</t>
  </si>
  <si>
    <t>rise</t>
  </si>
  <si>
    <t># text = And so that's a big challenge.</t>
  </si>
  <si>
    <t>big</t>
  </si>
  <si>
    <t>challenge</t>
  </si>
  <si>
    <t>--</t>
  </si>
  <si>
    <t># text = It's very different than saying, "We're a twelve-foot-high truck trying to get under a ten-foot bridge, and we can just sort of squeeze under."</t>
  </si>
  <si>
    <t>It</t>
  </si>
  <si>
    <t>different</t>
  </si>
  <si>
    <t>saying</t>
  </si>
  <si>
    <t>&amp;quot;</t>
  </si>
  <si>
    <t>We</t>
  </si>
  <si>
    <t>twelve</t>
  </si>
  <si>
    <t>foot</t>
  </si>
  <si>
    <t>high</t>
  </si>
  <si>
    <t>truck</t>
  </si>
  <si>
    <t>trying</t>
  </si>
  <si>
    <t>under</t>
  </si>
  <si>
    <t>ten</t>
  </si>
  <si>
    <t>bridge</t>
  </si>
  <si>
    <t>sort</t>
  </si>
  <si>
    <t>squeeze</t>
  </si>
  <si>
    <t># text = This is something that has to get to zero.</t>
  </si>
  <si>
    <t>This</t>
  </si>
  <si>
    <t>something</t>
  </si>
  <si>
    <t># text = Now, we put out a lot of carbon dioxide every year -- over 26 billion tons.</t>
  </si>
  <si>
    <t>out</t>
  </si>
  <si>
    <t>lot</t>
  </si>
  <si>
    <t>carbon</t>
  </si>
  <si>
    <t>dioxide</t>
  </si>
  <si>
    <t>every</t>
  </si>
  <si>
    <t>year</t>
  </si>
  <si>
    <t>indef-np</t>
  </si>
  <si>
    <t>tons</t>
  </si>
  <si>
    <t># text = For each American, it's about 20 tons.</t>
  </si>
  <si>
    <t>For</t>
  </si>
  <si>
    <t>each</t>
  </si>
  <si>
    <t>American</t>
  </si>
  <si>
    <t># text = For people in poor countries, it's less than one ton.</t>
  </si>
  <si>
    <t>poor</t>
  </si>
  <si>
    <t>countries</t>
  </si>
  <si>
    <t>less</t>
  </si>
  <si>
    <t>ton</t>
  </si>
  <si>
    <t># text = It's an average of about five tons for everyone on the planet.</t>
  </si>
  <si>
    <t>an</t>
  </si>
  <si>
    <t>average</t>
  </si>
  <si>
    <t>five</t>
  </si>
  <si>
    <t>everyone</t>
  </si>
  <si>
    <t># text = And somehow, we have to make changes that will bring that down to zero.</t>
  </si>
  <si>
    <t>somehow</t>
  </si>
  <si>
    <t># text = It's been constantly going up.</t>
  </si>
  <si>
    <t>been</t>
  </si>
  <si>
    <t>constantly</t>
  </si>
  <si>
    <t># text = It's only various economic changes that have even flattened it at all, so we have to go from rapidly rising to falling, and falling all the way to zero.</t>
  </si>
  <si>
    <t>only</t>
  </si>
  <si>
    <t>various</t>
  </si>
  <si>
    <t>economic</t>
  </si>
  <si>
    <t>flattened</t>
  </si>
  <si>
    <t>all</t>
  </si>
  <si>
    <t>rapidly</t>
  </si>
  <si>
    <t>rising</t>
  </si>
  <si>
    <t>falling</t>
  </si>
  <si>
    <t>way</t>
  </si>
  <si>
    <t>def-np.quant</t>
  </si>
  <si>
    <t># text = This equation has four factors, a little bit of multiplication.</t>
  </si>
  <si>
    <t>four</t>
  </si>
  <si>
    <t>factors</t>
  </si>
  <si>
    <t>little</t>
  </si>
  <si>
    <t>multiplication</t>
  </si>
  <si>
    <t># text = So you've got a thing on the left, CO2, that you want to get to zero, and that's going to be based on the number of people, the services each person is using on average, the energy, on average, for each service, and the CO2 being put out per unit of energy.</t>
  </si>
  <si>
    <t>got</t>
  </si>
  <si>
    <t>left</t>
  </si>
  <si>
    <t>want</t>
  </si>
  <si>
    <t>number</t>
  </si>
  <si>
    <t>services</t>
  </si>
  <si>
    <t>person</t>
  </si>
  <si>
    <t>using</t>
  </si>
  <si>
    <t>service</t>
  </si>
  <si>
    <t>being</t>
  </si>
  <si>
    <t>per</t>
  </si>
  <si>
    <t>unit</t>
  </si>
  <si>
    <t># text = So let's look at each one of these, and see how we can get this down to zero.</t>
  </si>
  <si>
    <t># text = Probably, one of these numbers is going to have to get pretty near to zero.</t>
  </si>
  <si>
    <t>Probably</t>
  </si>
  <si>
    <t>numbers</t>
  </si>
  <si>
    <t>pretty</t>
  </si>
  <si>
    <t># text = (Laughter)</t>
  </si>
  <si>
    <t>(</t>
  </si>
  <si>
    <t>Laughter</t>
  </si>
  <si>
    <t>)</t>
  </si>
  <si>
    <t># text = That's back from high school algebra.</t>
  </si>
  <si>
    <t>That</t>
  </si>
  <si>
    <t>school</t>
  </si>
  <si>
    <t>algebra</t>
  </si>
  <si>
    <t># text = But let's take a look.</t>
  </si>
  <si>
    <t># text = First, we've got population.</t>
  </si>
  <si>
    <t>First</t>
  </si>
  <si>
    <t>population</t>
  </si>
  <si>
    <t># text = The world today has 6.8 billion people.</t>
  </si>
  <si>
    <t>6.8</t>
  </si>
  <si>
    <t># text = That's headed up to about nine billion.</t>
  </si>
  <si>
    <t>headed</t>
  </si>
  <si>
    <t>nine</t>
  </si>
  <si>
    <t># text = Now, if we do a really great job on new vaccines, health care, reproductive health services, we could lower that by, perhaps, 10 or 15 percent.</t>
  </si>
  <si>
    <t>great</t>
  </si>
  <si>
    <t>job</t>
  </si>
  <si>
    <t>health</t>
  </si>
  <si>
    <t>care</t>
  </si>
  <si>
    <t>reproductive</t>
  </si>
  <si>
    <t>percent</t>
  </si>
  <si>
    <t># text = But there, we see an increase of about 1.3.</t>
  </si>
  <si>
    <t>1.3</t>
  </si>
  <si>
    <t># text = The second factor is the services we use.</t>
  </si>
  <si>
    <t>second</t>
  </si>
  <si>
    <t>factor</t>
  </si>
  <si>
    <t># text = This encompasses everything: the food we eat, clothing, TV, heating.</t>
  </si>
  <si>
    <t>encompasses</t>
  </si>
  <si>
    <t>everything</t>
  </si>
  <si>
    <t>food</t>
  </si>
  <si>
    <t>eat</t>
  </si>
  <si>
    <t>clothing</t>
  </si>
  <si>
    <t>TV</t>
  </si>
  <si>
    <t>heating</t>
  </si>
  <si>
    <t># text = These are very good things.</t>
  </si>
  <si>
    <t>These</t>
  </si>
  <si>
    <t>good</t>
  </si>
  <si>
    <t># text = Getting rid of poverty means providing these services to almost everyone on the planet.</t>
  </si>
  <si>
    <t>Getting</t>
  </si>
  <si>
    <t>rid</t>
  </si>
  <si>
    <t>providing</t>
  </si>
  <si>
    <t>almost</t>
  </si>
  <si>
    <t># text = And it's a great thing for this number to go up.</t>
  </si>
  <si>
    <t># text = In the rich world, perhaps the top one billion, we probably could cut back and use less, but every year, this number, on average, is going to go up, and so, overall, that will more than double the services delivered per person.</t>
  </si>
  <si>
    <t>probably</t>
  </si>
  <si>
    <t>overall</t>
  </si>
  <si>
    <t>double</t>
  </si>
  <si>
    <t>delivered</t>
  </si>
  <si>
    <t># text = Here we have a very basic service:</t>
  </si>
  <si>
    <t>Here</t>
  </si>
  <si>
    <t>basic</t>
  </si>
  <si>
    <t># text = Do you have lighting in your house to be able to read your homework?</t>
  </si>
  <si>
    <t>lighting</t>
  </si>
  <si>
    <t>your</t>
  </si>
  <si>
    <t>house</t>
  </si>
  <si>
    <t>able</t>
  </si>
  <si>
    <t>read</t>
  </si>
  <si>
    <t>homework</t>
  </si>
  <si>
    <t># text = And, in fact, these kids don't, so they're going out and reading their schoolwork under the street lamps.</t>
  </si>
  <si>
    <t>kids</t>
  </si>
  <si>
    <t>reading</t>
  </si>
  <si>
    <t>schoolwork</t>
  </si>
  <si>
    <t>street</t>
  </si>
  <si>
    <t>lamps</t>
  </si>
  <si>
    <t># text = Now, efficiency, \"E,\" the energy for each service -- here, finally we have some good news.</t>
  </si>
  <si>
    <t>E</t>
  </si>
  <si>
    <t>here</t>
  </si>
  <si>
    <t>finally</t>
  </si>
  <si>
    <t>news</t>
  </si>
  <si>
    <t># text = We have something that's not going up.</t>
  </si>
  <si>
    <t># text = Through various inventions and new ways of doing lighting, through different types of cars, different ways of building buildings -- there are a lot of services where you can bring the energy for that service down quite substantially.</t>
  </si>
  <si>
    <t>Through</t>
  </si>
  <si>
    <t>inventions</t>
  </si>
  <si>
    <t>doing</t>
  </si>
  <si>
    <t>through</t>
  </si>
  <si>
    <t>types</t>
  </si>
  <si>
    <t>cars</t>
  </si>
  <si>
    <t>building</t>
  </si>
  <si>
    <t>buildings</t>
  </si>
  <si>
    <t>quite</t>
  </si>
  <si>
    <t>substantially</t>
  </si>
  <si>
    <t># text = Some individual services even bring it down by 90 percent.</t>
  </si>
  <si>
    <t>Some</t>
  </si>
  <si>
    <t>individual</t>
  </si>
  <si>
    <t># text = There are other services, like how we make fertilizer, or how we do air transport, where the rooms for improvement are far, far less.</t>
  </si>
  <si>
    <t>There</t>
  </si>
  <si>
    <t>like</t>
  </si>
  <si>
    <t>fertilizer</t>
  </si>
  <si>
    <t>transport</t>
  </si>
  <si>
    <t>rooms</t>
  </si>
  <si>
    <t>improvement</t>
  </si>
  <si>
    <t># text = And so overall, if we're optimistic, we may get a reduction of a factor of three to even, perhaps, a factor of six.</t>
  </si>
  <si>
    <t>optimistic</t>
  </si>
  <si>
    <t>may</t>
  </si>
  <si>
    <t>reduction</t>
  </si>
  <si>
    <t>three</t>
  </si>
  <si>
    <t>six</t>
  </si>
  <si>
    <t># text = But for these first three factors now, we've gone from 26 billion to, at best, maybe 13 billion tons, and that just won't cut it.</t>
  </si>
  <si>
    <t>first</t>
  </si>
  <si>
    <t>gone</t>
  </si>
  <si>
    <t>best</t>
  </si>
  <si>
    <t>maybe</t>
  </si>
  <si>
    <t># text = So let's look at this fourth factor -- this is going to be a key one -- and this is the amount of CO2 put out per each unit of energy.</t>
  </si>
  <si>
    <t>fourth</t>
  </si>
  <si>
    <t>key</t>
  </si>
  <si>
    <t># text = So the question is: Can you actually get that to zero?</t>
  </si>
  <si>
    <t>question</t>
  </si>
  <si>
    <t>Can</t>
  </si>
  <si>
    <t># text = If you burn coal, no.</t>
  </si>
  <si>
    <t>no</t>
  </si>
  <si>
    <t># text = If you burn natural gas, no.</t>
  </si>
  <si>
    <t>gas</t>
  </si>
  <si>
    <t># text = Almost every way we make electricity today, except for the emerging renewables and nuclear, puts out CO2.</t>
  </si>
  <si>
    <t>Almost</t>
  </si>
  <si>
    <t>except</t>
  </si>
  <si>
    <t>emerging</t>
  </si>
  <si>
    <t>renewables</t>
  </si>
  <si>
    <t>nuclear</t>
  </si>
  <si>
    <t>puts</t>
  </si>
  <si>
    <t># text = And so, what we're going to have to do at a global scale, is create a new system.</t>
  </si>
  <si>
    <t>global</t>
  </si>
  <si>
    <t>scale</t>
  </si>
  <si>
    <t>create</t>
  </si>
  <si>
    <t>system</t>
  </si>
  <si>
    <t># text = So we need energy miracles.</t>
  </si>
  <si>
    <t>miracles</t>
  </si>
  <si>
    <t># text = Now, when I use the term \"miracle,\"</t>
  </si>
  <si>
    <t>when</t>
  </si>
  <si>
    <t>term</t>
  </si>
  <si>
    <t>miracle</t>
  </si>
  <si>
    <t># text = I don't mean something that's impossible.</t>
  </si>
  <si>
    <t>impossible</t>
  </si>
  <si>
    <t># text = The microprocessor is a miracle.</t>
  </si>
  <si>
    <t>microprocessor</t>
  </si>
  <si>
    <t># text = The personal computer is a miracle.</t>
  </si>
  <si>
    <t>personal</t>
  </si>
  <si>
    <t>computer</t>
  </si>
  <si>
    <t># text = The Internet and its services are a miracle.</t>
  </si>
  <si>
    <t>Internet</t>
  </si>
  <si>
    <t>its</t>
  </si>
  <si>
    <t># text = So the people here have participated in the creation of many miracles.</t>
  </si>
  <si>
    <t>participated</t>
  </si>
  <si>
    <t>creation</t>
  </si>
  <si>
    <t># text = Usually, we don't have a deadline where you have to get the miracle by a certain date.</t>
  </si>
  <si>
    <t>Usually</t>
  </si>
  <si>
    <t>deadline</t>
  </si>
  <si>
    <t>date</t>
  </si>
  <si>
    <t># text = Usually, you just kind of stand by, and some come along, some don't.</t>
  </si>
  <si>
    <t>kind</t>
  </si>
  <si>
    <t>along</t>
  </si>
  <si>
    <t># text = This is a case where we actually have to drive at full speed and get a miracle in a pretty tight timeline.</t>
  </si>
  <si>
    <t>case</t>
  </si>
  <si>
    <t>drive</t>
  </si>
  <si>
    <t>speed</t>
  </si>
  <si>
    <t>tight</t>
  </si>
  <si>
    <t>timeline</t>
  </si>
  <si>
    <t># text = Now, I thought, \"How could I really capture this?</t>
  </si>
  <si>
    <t>thought</t>
  </si>
  <si>
    <t>How</t>
  </si>
  <si>
    <t>capture</t>
  </si>
  <si>
    <t># text = Is there some kind of natural illustration, some demonstration that would grab people's imagination here?\"</t>
  </si>
  <si>
    <t>Is</t>
  </si>
  <si>
    <t>illustration</t>
  </si>
  <si>
    <t>demonstration</t>
  </si>
  <si>
    <t>grab</t>
  </si>
  <si>
    <t>imagination</t>
  </si>
  <si>
    <t># text = I thought back to a year ago when I brought mosquitoes, and somehow people enjoyed that.</t>
  </si>
  <si>
    <t>ago</t>
  </si>
  <si>
    <t>brought</t>
  </si>
  <si>
    <t>mosquitoes</t>
  </si>
  <si>
    <t>enjoyed</t>
  </si>
  <si>
    <t># text = It really got them involved in the idea of, you know, there are people who live with mosquitoes.</t>
  </si>
  <si>
    <t>involved</t>
  </si>
  <si>
    <t>who</t>
  </si>
  <si>
    <t># text = With energy, all I could come up with is this.</t>
  </si>
  <si>
    <t>With</t>
  </si>
  <si>
    <t># text = I decided that releasing fireflies would be my contribution to the environment here this year.</t>
  </si>
  <si>
    <t>decided</t>
  </si>
  <si>
    <t>releasing</t>
  </si>
  <si>
    <t>fireflies</t>
  </si>
  <si>
    <t>contribution</t>
  </si>
  <si>
    <t># text = So here we have some natural fireflies.</t>
  </si>
  <si>
    <t># text = I'm told they don't bite; in fact, they might not even leave that jar.</t>
  </si>
  <si>
    <t>told</t>
  </si>
  <si>
    <t>bite</t>
  </si>
  <si>
    <t>jar</t>
  </si>
  <si>
    <t># text = Now, there's all sorts of gimmicky solutions like that one, but they don't really add up to much.</t>
  </si>
  <si>
    <t>sorts</t>
  </si>
  <si>
    <t>gimmicky</t>
  </si>
  <si>
    <t>solutions</t>
  </si>
  <si>
    <t>add</t>
  </si>
  <si>
    <t># text = We need solutions, either one or several, that have unbelievable scale and unbelievable reliability.</t>
  </si>
  <si>
    <t>either</t>
  </si>
  <si>
    <t>unbelievable</t>
  </si>
  <si>
    <t>reliability</t>
  </si>
  <si>
    <t># text = And although there's many directions that people are seeking, I really only see five that can achieve the big numbers.</t>
  </si>
  <si>
    <t>although</t>
  </si>
  <si>
    <t>directions</t>
  </si>
  <si>
    <t>seeking</t>
  </si>
  <si>
    <t>achieve</t>
  </si>
  <si>
    <t># text = I've left out tide, geothermal, fusion, biofuels.</t>
  </si>
  <si>
    <t>tide</t>
  </si>
  <si>
    <t>geothermal</t>
  </si>
  <si>
    <t>fusion</t>
  </si>
  <si>
    <t>biofuels</t>
  </si>
  <si>
    <t># text = Those may make some contribution, and if they can do better than I expect, so much the better.</t>
  </si>
  <si>
    <t>Those</t>
  </si>
  <si>
    <t>expect</t>
  </si>
  <si>
    <t># text = But my key point here is that we're going to have to work on each of these five, and we can't give up any of them because they look daunting, because they all have significant challenges.</t>
  </si>
  <si>
    <t>point</t>
  </si>
  <si>
    <t>give</t>
  </si>
  <si>
    <t>any</t>
  </si>
  <si>
    <t>daunting</t>
  </si>
  <si>
    <t>significant</t>
  </si>
  <si>
    <t>challenges</t>
  </si>
  <si>
    <t># text = Let's look first at burning fossil fuels, either burning coal or burning natural gas.</t>
  </si>
  <si>
    <t>Let</t>
  </si>
  <si>
    <t>burning</t>
  </si>
  <si>
    <t>fossil</t>
  </si>
  <si>
    <t>fuels</t>
  </si>
  <si>
    <t># text = What you need to do there seems like it might be simple, but it's not.</t>
  </si>
  <si>
    <t>What</t>
  </si>
  <si>
    <t>seems</t>
  </si>
  <si>
    <t>simple</t>
  </si>
  <si>
    <t># text = And that's to take all the CO2, after you've burned it, going out the flue, pressurize it, create a liquid, put it somewhere, and hope it stays there.</t>
  </si>
  <si>
    <t>after</t>
  </si>
  <si>
    <t>burned</t>
  </si>
  <si>
    <t>flue</t>
  </si>
  <si>
    <t>pressurize</t>
  </si>
  <si>
    <t>liquid</t>
  </si>
  <si>
    <t>somewhere</t>
  </si>
  <si>
    <t>hope</t>
  </si>
  <si>
    <t>stays</t>
  </si>
  <si>
    <t># text = Now, we have some pilot things that do this at the 60 to 80 percent level.</t>
  </si>
  <si>
    <t>pilot</t>
  </si>
  <si>
    <t>level</t>
  </si>
  <si>
    <t># text = But getting up to that full percentage -- that will be very tricky.</t>
  </si>
  <si>
    <t>percentage</t>
  </si>
  <si>
    <t>tricky</t>
  </si>
  <si>
    <t># text = And agreeing on where these CO2 quantities should be put will be hard, but the toughest one here is this long-term issue:</t>
  </si>
  <si>
    <t>agreeing</t>
  </si>
  <si>
    <t>quantities</t>
  </si>
  <si>
    <t>should</t>
  </si>
  <si>
    <t>hard</t>
  </si>
  <si>
    <t>toughest</t>
  </si>
  <si>
    <t>long</t>
  </si>
  <si>
    <t>issue</t>
  </si>
  <si>
    <t># text = Who's going to be sure?</t>
  </si>
  <si>
    <t>Who</t>
  </si>
  <si>
    <t>sure</t>
  </si>
  <si>
    <t># text = Who's going to guarantee something that is literally billions of times larger than any type of waste you think of in terms of nuclear or other things?</t>
  </si>
  <si>
    <t>guarantee</t>
  </si>
  <si>
    <t>literally</t>
  </si>
  <si>
    <t>billions</t>
  </si>
  <si>
    <t>larger</t>
  </si>
  <si>
    <t>type</t>
  </si>
  <si>
    <t>waste</t>
  </si>
  <si>
    <t>other_7</t>
  </si>
  <si>
    <t>terms</t>
  </si>
  <si>
    <t># text = This is a lot of volume.</t>
  </si>
  <si>
    <t>volume</t>
  </si>
  <si>
    <t># text = So that's a tough one.</t>
  </si>
  <si>
    <t>tough</t>
  </si>
  <si>
    <t># text = Next would be nuclear.</t>
  </si>
  <si>
    <t>Next</t>
  </si>
  <si>
    <t># text = It also has three big problems: cost, particularly in highly regulated countries, is high; the issue of safety, really feeling good about nothing could go wrong, that, even though you have these human operators, the fuel doesn't get used for weapons.</t>
  </si>
  <si>
    <t>also</t>
  </si>
  <si>
    <t>problems</t>
  </si>
  <si>
    <t>cost</t>
  </si>
  <si>
    <t>particularly</t>
  </si>
  <si>
    <t>highly</t>
  </si>
  <si>
    <t>regulated</t>
  </si>
  <si>
    <t>safety</t>
  </si>
  <si>
    <t>feeling</t>
  </si>
  <si>
    <t>nothing</t>
  </si>
  <si>
    <t>wrong</t>
  </si>
  <si>
    <t>though</t>
  </si>
  <si>
    <t>human</t>
  </si>
  <si>
    <t>operators</t>
  </si>
  <si>
    <t>does</t>
  </si>
  <si>
    <t>used</t>
  </si>
  <si>
    <t>weapons</t>
  </si>
  <si>
    <t># text = And then what do you do with the waste?</t>
  </si>
  <si>
    <t>then</t>
  </si>
  <si>
    <t># text = Although it's not very large, there are a lot of concerns about that.</t>
  </si>
  <si>
    <t>Although</t>
  </si>
  <si>
    <t>large</t>
  </si>
  <si>
    <t>concerns</t>
  </si>
  <si>
    <t># text = People need to feel good about it.</t>
  </si>
  <si>
    <t>People</t>
  </si>
  <si>
    <t>feel</t>
  </si>
  <si>
    <t># text = So three very tough problems that might be solvable, and so, should be worked on.</t>
  </si>
  <si>
    <t>solvable</t>
  </si>
  <si>
    <t>worked</t>
  </si>
  <si>
    <t># text = The last three of the five, I've grouped together.</t>
  </si>
  <si>
    <t>last</t>
  </si>
  <si>
    <t>grouped</t>
  </si>
  <si>
    <t>together</t>
  </si>
  <si>
    <t># text = These are what people often refer to as the renewable sources.</t>
  </si>
  <si>
    <t>often</t>
  </si>
  <si>
    <t>refer</t>
  </si>
  <si>
    <t>renewable</t>
  </si>
  <si>
    <t>sources</t>
  </si>
  <si>
    <t># text = And they actually -- although it's great they don't require fuel -- they have some disadvantages.</t>
  </si>
  <si>
    <t>disadvantages</t>
  </si>
  <si>
    <t># text = One is that the density of energy gathered in these technologies is dramatically less than a power plant.</t>
  </si>
  <si>
    <t>One</t>
  </si>
  <si>
    <t>density</t>
  </si>
  <si>
    <t>gathered</t>
  </si>
  <si>
    <t>technologies</t>
  </si>
  <si>
    <t>dramatically</t>
  </si>
  <si>
    <t>plant</t>
  </si>
  <si>
    <t># text = This is energy farming, so you're talking about many square miles, thousands of times more area than you think of as a normal energy plant.</t>
  </si>
  <si>
    <t>farming</t>
  </si>
  <si>
    <t>talking</t>
  </si>
  <si>
    <t>square</t>
  </si>
  <si>
    <t>miles</t>
  </si>
  <si>
    <t>thousands</t>
  </si>
  <si>
    <t>area</t>
  </si>
  <si>
    <t>normal</t>
  </si>
  <si>
    <t># text = Also, these are intermittent sources.</t>
  </si>
  <si>
    <t>intermittent</t>
  </si>
  <si>
    <t># text = The sun doesn't shine all day, it doesn't shine every day, and likewise, the wind doesn't blow all the time.</t>
  </si>
  <si>
    <t>sun</t>
  </si>
  <si>
    <t>day</t>
  </si>
  <si>
    <t>likewise</t>
  </si>
  <si>
    <t>wind</t>
  </si>
  <si>
    <t>blow</t>
  </si>
  <si>
    <t># text = And so, if you depend on these sources, you have to have some way of getting the energy during those time periods that it's not available.</t>
  </si>
  <si>
    <t>depend</t>
  </si>
  <si>
    <t>during</t>
  </si>
  <si>
    <t>periods</t>
  </si>
  <si>
    <t>available</t>
  </si>
  <si>
    <t># text = So we've got big cost challenges here.</t>
  </si>
  <si>
    <t># text = We have transmission challenges; for example, say this energy source is outside your country, you not only need the technology, but you have to deal with the risk of the energy coming from elsewhere.</t>
  </si>
  <si>
    <t>transmission</t>
  </si>
  <si>
    <t>example</t>
  </si>
  <si>
    <t>source</t>
  </si>
  <si>
    <t>outside</t>
  </si>
  <si>
    <t>country</t>
  </si>
  <si>
    <t>technology</t>
  </si>
  <si>
    <t>deal</t>
  </si>
  <si>
    <t>risk</t>
  </si>
  <si>
    <t>coming</t>
  </si>
  <si>
    <t>elsewhere</t>
  </si>
  <si>
    <t># text = And, finally, this storage problem.</t>
  </si>
  <si>
    <t>storage</t>
  </si>
  <si>
    <t># text = To dimensionalize this, I went through and looked at all the types of batteries made -- for cars, for computers, for phones, for flashlights, for everything -- and compared that to the amount of electrical energy the world uses.</t>
  </si>
  <si>
    <t>To</t>
  </si>
  <si>
    <t>dimensionalize</t>
  </si>
  <si>
    <t>went</t>
  </si>
  <si>
    <t>looked</t>
  </si>
  <si>
    <t>batteries</t>
  </si>
  <si>
    <t>made</t>
  </si>
  <si>
    <t>computers</t>
  </si>
  <si>
    <t>phones</t>
  </si>
  <si>
    <t>flashlights</t>
  </si>
  <si>
    <t>compared</t>
  </si>
  <si>
    <t>electrical</t>
  </si>
  <si>
    <t>uses</t>
  </si>
  <si>
    <t># text = What I found is that all the batteries we make now could store less than 10 minutes of all the energy.</t>
  </si>
  <si>
    <t>found</t>
  </si>
  <si>
    <t>store</t>
  </si>
  <si>
    <t>minutes</t>
  </si>
  <si>
    <t># text = And so, in fact, we need a big breakthrough here, something that's going to be a factor of 100 better than the approaches we have now.</t>
  </si>
  <si>
    <t>approaches</t>
  </si>
  <si>
    <t># text = It's not impossible, but it's not a very easy thing.</t>
  </si>
  <si>
    <t>easy</t>
  </si>
  <si>
    <t># text = Now, this shows up when you try to get the intermittent source to be above, say, 20 to 30 percent of what you're using.</t>
  </si>
  <si>
    <t>shows</t>
  </si>
  <si>
    <t>try</t>
  </si>
  <si>
    <t>above</t>
  </si>
  <si>
    <t># text = If you're counting on it for 100 percent, you need an incredible miracle battery.</t>
  </si>
  <si>
    <t>counting</t>
  </si>
  <si>
    <t>incredible</t>
  </si>
  <si>
    <t>battery</t>
  </si>
  <si>
    <t># text = Now, how are we going to go forward on this -- what's the right approach?</t>
  </si>
  <si>
    <t>forward</t>
  </si>
  <si>
    <t>right</t>
  </si>
  <si>
    <t>approach</t>
  </si>
  <si>
    <t># text = Is it a Manhattan Project?</t>
  </si>
  <si>
    <t>Manhattan</t>
  </si>
  <si>
    <t>Project</t>
  </si>
  <si>
    <t># text = What's the thing that can get us there?</t>
  </si>
  <si>
    <t>us</t>
  </si>
  <si>
    <t># text = Well, we need lots of companies working on this -- hundreds.</t>
  </si>
  <si>
    <t>Well</t>
  </si>
  <si>
    <t>lots</t>
  </si>
  <si>
    <t>companies</t>
  </si>
  <si>
    <t>working</t>
  </si>
  <si>
    <t>hundreds</t>
  </si>
  <si>
    <t># text = In each of these five paths, we need at least a hundred people.</t>
  </si>
  <si>
    <t>paths</t>
  </si>
  <si>
    <t>least</t>
  </si>
  <si>
    <t>hundred</t>
  </si>
  <si>
    <t># text = A lot of them, you'll look at and say, "They're crazy."</t>
  </si>
  <si>
    <t>A</t>
  </si>
  <si>
    <t>'ll</t>
  </si>
  <si>
    <t>They</t>
  </si>
  <si>
    <t>crazy</t>
  </si>
  <si>
    <t># text = That's good.</t>
  </si>
  <si>
    <t># text = And, I think, here in the TED group, we have many people who are already pursuing this.</t>
  </si>
  <si>
    <t>TED</t>
  </si>
  <si>
    <t>already</t>
  </si>
  <si>
    <t>pursuing</t>
  </si>
  <si>
    <t># text = Bill Gross has several companies, including one called eSolar that has some great solar thermal technologies.</t>
  </si>
  <si>
    <t>Gross</t>
  </si>
  <si>
    <t>including</t>
  </si>
  <si>
    <t>called</t>
  </si>
  <si>
    <t>eSolar</t>
  </si>
  <si>
    <t>solar</t>
  </si>
  <si>
    <t>thermal</t>
  </si>
  <si>
    <t># text = Vinod</t>
  </si>
  <si>
    <t># text = Khosla is investing in dozens of companies that are doing great things and have interesting possibilities, and I'm trying to help back that.</t>
  </si>
  <si>
    <t>Khosla</t>
  </si>
  <si>
    <t>investing</t>
  </si>
  <si>
    <t>dozens</t>
  </si>
  <si>
    <t>interesting</t>
  </si>
  <si>
    <t>possibilities</t>
  </si>
  <si>
    <t>OBJ_5</t>
  </si>
  <si>
    <t># text = Nathan Myhrvold and I actually are backing a company that, perhaps surprisingly, is actually taking the nuclear approach.</t>
  </si>
  <si>
    <t>Nathan</t>
  </si>
  <si>
    <t>Myhrvold</t>
  </si>
  <si>
    <t>backing</t>
  </si>
  <si>
    <t>company</t>
  </si>
  <si>
    <t>surprisingly</t>
  </si>
  <si>
    <t>taking</t>
  </si>
  <si>
    <t># text = There are some innovations in nuclear: modular, liquid.</t>
  </si>
  <si>
    <t>innovations</t>
  </si>
  <si>
    <t>modular</t>
  </si>
  <si>
    <t># text = Innovation really stopped in this industry quite some ago, so the idea that there's some good ideas laying around is not all that surprising.</t>
  </si>
  <si>
    <t>Innovation</t>
  </si>
  <si>
    <t>stopped</t>
  </si>
  <si>
    <t>industry</t>
  </si>
  <si>
    <t>ideas</t>
  </si>
  <si>
    <t>laying</t>
  </si>
  <si>
    <t>around</t>
  </si>
  <si>
    <t># text = The idea of TerraPower is that, instead of burning a part of uranium -- the one percent, which is the U235 -- we decided, \"Let's burn the 99 percent, the U238.\"</t>
  </si>
  <si>
    <t>TerraPower</t>
  </si>
  <si>
    <t>instead</t>
  </si>
  <si>
    <t>part</t>
  </si>
  <si>
    <t>uranium</t>
  </si>
  <si>
    <t>which</t>
  </si>
  <si>
    <t>U235</t>
  </si>
  <si>
    <t>U238</t>
  </si>
  <si>
    <t># text = It is kind of a crazy idea.</t>
  </si>
  <si>
    <t># text = In fact, people had talked about it for a long time, but they could never simulate properly whether it would work or not, and so it's through the advent of modern supercomputers that now you can simulate and see that, yes, with the right materials approach, this looks like it would work.</t>
  </si>
  <si>
    <t>had</t>
  </si>
  <si>
    <t>talked</t>
  </si>
  <si>
    <t>never</t>
  </si>
  <si>
    <t>simulate</t>
  </si>
  <si>
    <t>properly</t>
  </si>
  <si>
    <t>whether</t>
  </si>
  <si>
    <t>advent</t>
  </si>
  <si>
    <t>supercomputers</t>
  </si>
  <si>
    <t>OBJ_6</t>
  </si>
  <si>
    <t>yes</t>
  </si>
  <si>
    <t>SBJ_9</t>
  </si>
  <si>
    <t>looks</t>
  </si>
  <si>
    <t>SBJ_10</t>
  </si>
  <si>
    <t># text = And because you're burning that 99 percent, you have greatly improved cost profile.</t>
  </si>
  <si>
    <t>greatly</t>
  </si>
  <si>
    <t>improved</t>
  </si>
  <si>
    <t>profile</t>
  </si>
  <si>
    <t># text = You actually burn up the waste, and you can actually use as fuel all the leftover waste from today's reactors.</t>
  </si>
  <si>
    <t>You</t>
  </si>
  <si>
    <t>leftover</t>
  </si>
  <si>
    <t>reactors</t>
  </si>
  <si>
    <t># text = So instead of worrying about them, you just take that, it's a great thing.</t>
  </si>
  <si>
    <t>worrying</t>
  </si>
  <si>
    <t># text = It breeds this uranium as it goes along, so it's kind of like a candle.</t>
  </si>
  <si>
    <t>breeds</t>
  </si>
  <si>
    <t>goes</t>
  </si>
  <si>
    <t>candle</t>
  </si>
  <si>
    <t># text = You see it's a log there, often referred to as a traveling wave reactor.</t>
  </si>
  <si>
    <t>log</t>
  </si>
  <si>
    <t>referred</t>
  </si>
  <si>
    <t>traveling</t>
  </si>
  <si>
    <t>wave</t>
  </si>
  <si>
    <t>reactor</t>
  </si>
  <si>
    <t># text = In terms of fuel, this really solves the problem.</t>
  </si>
  <si>
    <t>solves</t>
  </si>
  <si>
    <t># text = I've got a picture here of a place in Kentucky.</t>
  </si>
  <si>
    <t>picture</t>
  </si>
  <si>
    <t>place</t>
  </si>
  <si>
    <t>Kentucky</t>
  </si>
  <si>
    <t># text = This is the leftover, the 99 percent, where they've taken out the part they burn now, so it's called depleted uranium.</t>
  </si>
  <si>
    <t>taken</t>
  </si>
  <si>
    <t>depleted</t>
  </si>
  <si>
    <t># text = That would power the US for hundreds of years.</t>
  </si>
  <si>
    <t>US</t>
  </si>
  <si>
    <t># text = And simply by filtering seawater in an inexpensive process, you'd have enough fuel for the entire lifetime of the rest of the planet.</t>
  </si>
  <si>
    <t>filtering</t>
  </si>
  <si>
    <t>seawater</t>
  </si>
  <si>
    <t>inexpensive</t>
  </si>
  <si>
    <t>process</t>
  </si>
  <si>
    <t>'d</t>
  </si>
  <si>
    <t>entire</t>
  </si>
  <si>
    <t>lifetime</t>
  </si>
  <si>
    <t>rest</t>
  </si>
  <si>
    <t># text = So, you know, it's got lots of challenges ahead, but it is an example of the many hundreds and hundreds of ideas that we need to move forward.</t>
  </si>
  <si>
    <t>ahead</t>
  </si>
  <si>
    <t>move</t>
  </si>
  <si>
    <t># text = So let's think:</t>
  </si>
  <si>
    <t># text = How should we measure ourselves?</t>
  </si>
  <si>
    <t>ourselves</t>
  </si>
  <si>
    <t># text = What should our report card look like?</t>
  </si>
  <si>
    <t>our</t>
  </si>
  <si>
    <t>card</t>
  </si>
  <si>
    <t># text = Well, let's go out to where we really need to get, and then look at the intermediate.</t>
  </si>
  <si>
    <t>intermediate</t>
  </si>
  <si>
    <t># text = For 2050, you've heard many people talk about this 80 percent reduction.</t>
  </si>
  <si>
    <t>2050</t>
  </si>
  <si>
    <t>heard</t>
  </si>
  <si>
    <t># text = That really is very important, that we get there.</t>
  </si>
  <si>
    <t># text = And that 20 percent will be used up by things going on in poor countries -- still some agriculture; hopefully, we will have cleaned up forestry, cement.</t>
  </si>
  <si>
    <t>still</t>
  </si>
  <si>
    <t>agriculture</t>
  </si>
  <si>
    <t>hopefully</t>
  </si>
  <si>
    <t>cleaned</t>
  </si>
  <si>
    <t>forestry</t>
  </si>
  <si>
    <t>cement</t>
  </si>
  <si>
    <t># text = So, to get to that 80 percent, the developed countries, including countries like China, will have had to switch their electricity generation altogether.</t>
  </si>
  <si>
    <t>developed</t>
  </si>
  <si>
    <t>China</t>
  </si>
  <si>
    <t>switch</t>
  </si>
  <si>
    <t>generation</t>
  </si>
  <si>
    <t>altogether</t>
  </si>
  <si>
    <t># text = The other grade is: Are we deploying this zero-emission technology, have we deployed it in all the developed countries and are in the process of getting it elsewhere?</t>
  </si>
  <si>
    <t>grade</t>
  </si>
  <si>
    <t>def-np.the.other</t>
  </si>
  <si>
    <t>Are</t>
  </si>
  <si>
    <t>deploying</t>
  </si>
  <si>
    <t>zero-emission</t>
  </si>
  <si>
    <t>deployed</t>
  </si>
  <si>
    <t># text = That's super important.</t>
  </si>
  <si>
    <t>super</t>
  </si>
  <si>
    <t># text = That's a key element of making that report card.</t>
  </si>
  <si>
    <t>element</t>
  </si>
  <si>
    <t># text = Backing up from there, what should the 2020 report card look like?</t>
  </si>
  <si>
    <t>Backing</t>
  </si>
  <si>
    <t>pron.padv</t>
  </si>
  <si>
    <t>2020</t>
  </si>
  <si>
    <t># text = Well, again, it should have the two elements.</t>
  </si>
  <si>
    <t>again</t>
  </si>
  <si>
    <t>elements</t>
  </si>
  <si>
    <t># text = We should go through these efficiency measures to start getting reductions:</t>
  </si>
  <si>
    <t>measures</t>
  </si>
  <si>
    <t>reductions</t>
  </si>
  <si>
    <t># text = The less we emit, the less that sum will be of CO2, and therefore, the less the temperature.</t>
  </si>
  <si>
    <t>emit</t>
  </si>
  <si>
    <t>therefore</t>
  </si>
  <si>
    <t># text = But in some ways, the grade we get there, doing things that don't get us all the way to the big reductions, is only equally, or maybe even slightly less, important than the other, which is the piece of innovation on these breakthroughs.</t>
  </si>
  <si>
    <t>equally</t>
  </si>
  <si>
    <t>slightly</t>
  </si>
  <si>
    <t>innovation</t>
  </si>
  <si>
    <t>breakthroughs</t>
  </si>
  <si>
    <t># text = These breakthroughs, we need to move those at full speed, and we can measure that in terms of companies, pilot projects, regulatory things that have been changed.</t>
  </si>
  <si>
    <t>projects</t>
  </si>
  <si>
    <t>regulatory</t>
  </si>
  <si>
    <t>changed</t>
  </si>
  <si>
    <t># text = There's a lot of great books that have been written about this.</t>
  </si>
  <si>
    <t>books</t>
  </si>
  <si>
    <t>written</t>
  </si>
  <si>
    <t># text = The Al Gore book, \"Our Choice,\" and the David MacKay book, \"Sustainable Energy Without the Hot Air.\"</t>
  </si>
  <si>
    <t>Al</t>
  </si>
  <si>
    <t>Gore</t>
  </si>
  <si>
    <t>Our</t>
  </si>
  <si>
    <t>Choice</t>
  </si>
  <si>
    <t>David</t>
  </si>
  <si>
    <t>MacKay</t>
  </si>
  <si>
    <t>Sustainable</t>
  </si>
  <si>
    <t>Energy</t>
  </si>
  <si>
    <t>Without</t>
  </si>
  <si>
    <t>Hot</t>
  </si>
  <si>
    <t>Air</t>
  </si>
  <si>
    <t># text = They really go through it and create a framework that this can be discussed broadly, because we need broad backing for this.</t>
  </si>
  <si>
    <t>framework</t>
  </si>
  <si>
    <t>discussed</t>
  </si>
  <si>
    <t>broadly</t>
  </si>
  <si>
    <t>broad</t>
  </si>
  <si>
    <t># text = There's a lot that has to come together.</t>
  </si>
  <si>
    <t># text = So this is a wish.</t>
  </si>
  <si>
    <t>wish</t>
  </si>
  <si>
    <t># text = It's a very concrete wish that we invent this technology.</t>
  </si>
  <si>
    <t>concrete</t>
  </si>
  <si>
    <t># text = If you gave me only one wish for the next 50 years -- I could pick who's president, I could pick a vaccine, which is something I love, or I could pick that this thing that's half the cost with no CO2 gets invented -- this is the wish I would pick.</t>
  </si>
  <si>
    <t>gave</t>
  </si>
  <si>
    <t>me</t>
  </si>
  <si>
    <t>next</t>
  </si>
  <si>
    <t>president</t>
  </si>
  <si>
    <t>vaccine</t>
  </si>
  <si>
    <t>love</t>
  </si>
  <si>
    <t>SBJ_7</t>
  </si>
  <si>
    <t>invented</t>
  </si>
  <si>
    <t># text = This is the one with the greatest impact.</t>
  </si>
  <si>
    <t>greatest</t>
  </si>
  <si>
    <t>impact</t>
  </si>
  <si>
    <t># text = If we don't get this wish, the division between the people who think short term and long term will be terrible, between the US and China, between poor countries and rich, and most of all, the lives of those two billion will be far worse.</t>
  </si>
  <si>
    <t>division</t>
  </si>
  <si>
    <t>between</t>
  </si>
  <si>
    <t>short</t>
  </si>
  <si>
    <t>most</t>
  </si>
  <si>
    <t># text = So what do we have to do?</t>
  </si>
  <si>
    <t># text = What am I appealing to you to step forward and drive?</t>
  </si>
  <si>
    <t>am</t>
  </si>
  <si>
    <t>appealing</t>
  </si>
  <si>
    <t>step</t>
  </si>
  <si>
    <t># text = We need to go for more research funding.</t>
  </si>
  <si>
    <t>research</t>
  </si>
  <si>
    <t>funding</t>
  </si>
  <si>
    <t># text = When countries get together in places like Copenhagen, they shouldn't just discuss the CO2.</t>
  </si>
  <si>
    <t>When</t>
  </si>
  <si>
    <t>places</t>
  </si>
  <si>
    <t>Copenhagen</t>
  </si>
  <si>
    <t># text = They should discuss this innovation agenda.</t>
  </si>
  <si>
    <t>agenda</t>
  </si>
  <si>
    <t># text = You'd be stunned at the ridiculously low levels of spending on these innovative approaches.</t>
  </si>
  <si>
    <t>stunned</t>
  </si>
  <si>
    <t>ridiculously</t>
  </si>
  <si>
    <t>low</t>
  </si>
  <si>
    <t>levels</t>
  </si>
  <si>
    <t>innovative</t>
  </si>
  <si>
    <t># text = We do need the market incentives -- CO2 tax, cap and trade -- something that gets that price signal out there.</t>
  </si>
  <si>
    <t>market</t>
  </si>
  <si>
    <t>incentives</t>
  </si>
  <si>
    <t>tax</t>
  </si>
  <si>
    <t>cap</t>
  </si>
  <si>
    <t>trade</t>
  </si>
  <si>
    <t>signal</t>
  </si>
  <si>
    <t># text = We need to get the message out.</t>
  </si>
  <si>
    <t>message</t>
  </si>
  <si>
    <t># text = We need to have this dialogue be a more rational, more understandable dialogue, including the steps that the government takes.</t>
  </si>
  <si>
    <t>dialogue</t>
  </si>
  <si>
    <t>rational</t>
  </si>
  <si>
    <t>understandable</t>
  </si>
  <si>
    <t>steps</t>
  </si>
  <si>
    <t>government</t>
  </si>
  <si>
    <t>takes</t>
  </si>
  <si>
    <t># text = This is an important wish, but it is one I think we can achieve.</t>
  </si>
  <si>
    <t># text = Thank you.</t>
  </si>
  <si>
    <t>Thank</t>
  </si>
  <si>
    <t># text = (Applause) (Applause ends) Chris Anderson:</t>
  </si>
  <si>
    <t>ends</t>
  </si>
  <si>
    <t>Chris</t>
  </si>
  <si>
    <t>Anderson</t>
  </si>
  <si>
    <t># text = CA: Thank you.</t>
  </si>
  <si>
    <t>CA</t>
  </si>
  <si>
    <t># text = So to understand more about TerraPower.</t>
  </si>
  <si>
    <t># text = I mean, first of all, can you give a sense of what scale of investment this is?</t>
  </si>
  <si>
    <t>sense</t>
  </si>
  <si>
    <t>investment</t>
  </si>
  <si>
    <t># text = Bill Gates:</t>
  </si>
  <si>
    <t>Gates</t>
  </si>
  <si>
    <t># text = To actually do the software, buy the supercomputer, hire all the great scientists, which we've done, that's only tens of millions.</t>
  </si>
  <si>
    <t>software</t>
  </si>
  <si>
    <t>supercomputer</t>
  </si>
  <si>
    <t>hire</t>
  </si>
  <si>
    <t>done</t>
  </si>
  <si>
    <t>tens</t>
  </si>
  <si>
    <t>millions</t>
  </si>
  <si>
    <t># text = And even once we test our materials out in a Russian reactor to make sure our materials work properly, then you'll only be up in the hundreds of millions.</t>
  </si>
  <si>
    <t>once</t>
  </si>
  <si>
    <t>test</t>
  </si>
  <si>
    <t>Russian</t>
  </si>
  <si>
    <t># text = The tough thing is building the pilot reactor -- finding the several billion, finding the regulator, the location that will actually build the first one of these.</t>
  </si>
  <si>
    <t>finding</t>
  </si>
  <si>
    <t>regulator</t>
  </si>
  <si>
    <t>location</t>
  </si>
  <si>
    <t># text = Once you get the first one built, if it works as advertised, then it's just clear as day, because the economics, the energy density, are so different than nuclear as we know it.</t>
  </si>
  <si>
    <t>Once</t>
  </si>
  <si>
    <t>built</t>
  </si>
  <si>
    <t>works</t>
  </si>
  <si>
    <t>advertised</t>
  </si>
  <si>
    <t>clear</t>
  </si>
  <si>
    <t>economics</t>
  </si>
  <si>
    <t># text = CA:</t>
  </si>
  <si>
    <t># text = So to understand it right, this involves building deep into the ground, almost like a vertical column of nuclear fuel, of this spent uranium, and then the process starts at the top and kind of works down?</t>
  </si>
  <si>
    <t>involves</t>
  </si>
  <si>
    <t>deep</t>
  </si>
  <si>
    <t>into</t>
  </si>
  <si>
    <t>ground</t>
  </si>
  <si>
    <t>vertical</t>
  </si>
  <si>
    <t>column</t>
  </si>
  <si>
    <t>spent</t>
  </si>
  <si>
    <t>starts</t>
  </si>
  <si>
    <t># text = BG: That's right.</t>
  </si>
  <si>
    <t>BG</t>
  </si>
  <si>
    <t># text = Today, you're always refueling the reactor, so you have lots of people and lots of controls that can go wrong, where you're opening it up and moving things in and out -- that's not good.</t>
  </si>
  <si>
    <t>Today</t>
  </si>
  <si>
    <t>always</t>
  </si>
  <si>
    <t>refueling</t>
  </si>
  <si>
    <t>controls</t>
  </si>
  <si>
    <t>opening</t>
  </si>
  <si>
    <t>moving</t>
  </si>
  <si>
    <t># text = So if you have very -- very cheap fuel that you can put 60 years in -- just think of it as a log -- put it down and not have those same complexities.</t>
  </si>
  <si>
    <t>same</t>
  </si>
  <si>
    <t>complexities</t>
  </si>
  <si>
    <t># text = And it just sits there and burns for the 60 years, and then it's done.</t>
  </si>
  <si>
    <t>sits</t>
  </si>
  <si>
    <t>burns</t>
  </si>
  <si>
    <t># text = It's a nuclear power plant that is its own waste disposal solution.</t>
  </si>
  <si>
    <t>own</t>
  </si>
  <si>
    <t>disposal</t>
  </si>
  <si>
    <t>solution</t>
  </si>
  <si>
    <t># text = BG: Yeah; what happens with the waste, you can let it sit there -- there's a lot less waste under this approach -- then you can actually take that and put it into another one and burn that.</t>
  </si>
  <si>
    <t>Yeah</t>
  </si>
  <si>
    <t>happens</t>
  </si>
  <si>
    <t>another</t>
  </si>
  <si>
    <t># text = And we start out, actually, by taking the waste that exists today that's sitting in these cooling pools or dry-casking by reactors -- that's our fuel to begin with.</t>
  </si>
  <si>
    <t>exists</t>
  </si>
  <si>
    <t>sitting</t>
  </si>
  <si>
    <t>cooling</t>
  </si>
  <si>
    <t>pools</t>
  </si>
  <si>
    <t>dry</t>
  </si>
  <si>
    <t>casking</t>
  </si>
  <si>
    <t>begin</t>
  </si>
  <si>
    <t># text = So the thing that's been a problem from those reactors is actually what gets fed into ours, and you're reducing the volume of the waste quite dramatically as you're going through this process.</t>
  </si>
  <si>
    <t>fed</t>
  </si>
  <si>
    <t>ours</t>
  </si>
  <si>
    <t>reducing</t>
  </si>
  <si>
    <t># text = CA: You're talking to different people around the world about the possibilities.</t>
  </si>
  <si>
    <t># text = Where is there most interest in actually doing something with this?</t>
  </si>
  <si>
    <t>Where</t>
  </si>
  <si>
    <t>interest</t>
  </si>
  <si>
    <t># text = BG: Well, we haven't picked a particular place, and there's all these interesting disclosure rules about anything that's called \"nuclear.\"</t>
  </si>
  <si>
    <t>picked</t>
  </si>
  <si>
    <t>particular</t>
  </si>
  <si>
    <t>disclosure</t>
  </si>
  <si>
    <t>rules</t>
  </si>
  <si>
    <t>anything</t>
  </si>
  <si>
    <t># text = So we've got a lot of interest.</t>
  </si>
  <si>
    <t># text = People from the company have been in Russia, India, China.</t>
  </si>
  <si>
    <t>Russia</t>
  </si>
  <si>
    <t>India</t>
  </si>
  <si>
    <t># text = I've been back seeing the secretary of energy here, talking about how this fits into the energy agenda.</t>
  </si>
  <si>
    <t>seeing</t>
  </si>
  <si>
    <t>secretary</t>
  </si>
  <si>
    <t>fits</t>
  </si>
  <si>
    <t># text = So I'm optimistic.</t>
  </si>
  <si>
    <t># text = The French and Japanese have done some work.</t>
  </si>
  <si>
    <t>French</t>
  </si>
  <si>
    <t>Japanese</t>
  </si>
  <si>
    <t># text = This is a variant on something that has been done.</t>
  </si>
  <si>
    <t>variant</t>
  </si>
  <si>
    <t># text = It's an important advance, but it's like a fast reactor, and a lot of countries have built them, so anybody who's done a fast reactor is a candidate to be where the first one gets built.</t>
  </si>
  <si>
    <t>advance</t>
  </si>
  <si>
    <t>fast</t>
  </si>
  <si>
    <t>anybody</t>
  </si>
  <si>
    <t>candidate</t>
  </si>
  <si>
    <t># text = So, in your mind, timescale and likelihood of actually taking something like this live?</t>
  </si>
  <si>
    <t>mind</t>
  </si>
  <si>
    <t>likelihood</t>
  </si>
  <si>
    <t># text = BG: Well, we need -- for one of these high-scale, electro-generation things that's very cheap, we have 20 years to invent and then 20 years to deploy.</t>
  </si>
  <si>
    <t>electro-generation</t>
  </si>
  <si>
    <t># text = That's sort of the deadline that the environmental models have shown us that we have to meet.</t>
  </si>
  <si>
    <t>environmental</t>
  </si>
  <si>
    <t>models</t>
  </si>
  <si>
    <t>shown</t>
  </si>
  <si>
    <t># text = And TerraPower -- if things go well, which is wishing for a lot -- could easily meet that.</t>
  </si>
  <si>
    <t>well</t>
  </si>
  <si>
    <t>wishing</t>
  </si>
  <si>
    <t>easily</t>
  </si>
  <si>
    <t># text = And there are, fortunately now, dozens of companies -- we need it to be hundreds -- who, likewise, if their science goes well, if the funding for their pilot plants goes well, that they can compete for this.</t>
  </si>
  <si>
    <t>fortunately</t>
  </si>
  <si>
    <t>science</t>
  </si>
  <si>
    <t>plants</t>
  </si>
  <si>
    <t>compete</t>
  </si>
  <si>
    <t># text = And it's best if multiple succeed, because then you could use a mix of these things.</t>
  </si>
  <si>
    <t>multiple</t>
  </si>
  <si>
    <t>succeed</t>
  </si>
  <si>
    <t>mix</t>
  </si>
  <si>
    <t># text = We certainly need one to succeed.</t>
  </si>
  <si>
    <t># text = CA: In terms of big-scale possible game changers, is this the biggest that you're aware of out there?</t>
  </si>
  <si>
    <t>possible</t>
  </si>
  <si>
    <t>game</t>
  </si>
  <si>
    <t>changers</t>
  </si>
  <si>
    <t>biggest</t>
  </si>
  <si>
    <t>aware</t>
  </si>
  <si>
    <t># text = BG: An energy breakthrough is the most important thing.</t>
  </si>
  <si>
    <t>An</t>
  </si>
  <si>
    <t># text = It would have been, even without the environmental constraint, but the environmental constraint just makes it so much greater.</t>
  </si>
  <si>
    <t>without</t>
  </si>
  <si>
    <t>makes</t>
  </si>
  <si>
    <t>greater</t>
  </si>
  <si>
    <t># text = In the nuclear space, there are other innovators.</t>
  </si>
  <si>
    <t>space</t>
  </si>
  <si>
    <t>innovators</t>
  </si>
  <si>
    <t># text = You know, we don't know their work as well as we know this one, but the modular people, that's a different approach.</t>
  </si>
  <si>
    <t># text = There's a liquid-type reactor, which seems a little hard, but maybe they say that about us.</t>
  </si>
  <si>
    <t># text = And so, there are different ones, but the beauty of this is a molecule of uranium has a million times as much energy as a molecule of, say, coal.</t>
  </si>
  <si>
    <t>ones</t>
  </si>
  <si>
    <t>beauty</t>
  </si>
  <si>
    <t>molecule</t>
  </si>
  <si>
    <t>million</t>
  </si>
  <si>
    <t># text = And so, if you can deal with the negatives, which are essentially the radiation, the footprint and cost, the potential, in terms of effect on land and various things, is almost in a class of its own.</t>
  </si>
  <si>
    <t>negatives</t>
  </si>
  <si>
    <t>essentially</t>
  </si>
  <si>
    <t>radiation</t>
  </si>
  <si>
    <t>footprint</t>
  </si>
  <si>
    <t>potential</t>
  </si>
  <si>
    <t>effect</t>
  </si>
  <si>
    <t>land</t>
  </si>
  <si>
    <t>class</t>
  </si>
  <si>
    <t># text = CA: If this doesn't work, then what?</t>
  </si>
  <si>
    <t># text = Do we have to start taking emergency measures to try and keep the temperature of the earth stable?</t>
  </si>
  <si>
    <t>emergency</t>
  </si>
  <si>
    <t>keep</t>
  </si>
  <si>
    <t>earth</t>
  </si>
  <si>
    <t>stable</t>
  </si>
  <si>
    <t># text = BG: If you get into that situation, it's like if you've been overeating, and you're about to have a heart attack.</t>
  </si>
  <si>
    <t>overeating</t>
  </si>
  <si>
    <t>heart</t>
  </si>
  <si>
    <t>attack</t>
  </si>
  <si>
    <t># text = Then where do you go?</t>
  </si>
  <si>
    <t>Then</t>
  </si>
  <si>
    <t># text = You may need heart surgery or something.</t>
  </si>
  <si>
    <t>surgery</t>
  </si>
  <si>
    <t># text = There is a line of research on what's called geoengineering, which are various techniques that would delay the heating to buy us 20 or 30 years to get our act together.</t>
  </si>
  <si>
    <t>line</t>
  </si>
  <si>
    <t>geoengineering</t>
  </si>
  <si>
    <t>techniques</t>
  </si>
  <si>
    <t>delay</t>
  </si>
  <si>
    <t>act</t>
  </si>
  <si>
    <t># text = Now, that's just an insurance policy; you hope you don't need to do that.</t>
  </si>
  <si>
    <t>insurance</t>
  </si>
  <si>
    <t>policy</t>
  </si>
  <si>
    <t># text = Some people say you shouldn't even work on the insurance policy because it might make you lazy, that you'll keep eating because you know heart surgery will be there to save you.</t>
  </si>
  <si>
    <t>lazy</t>
  </si>
  <si>
    <t>eating</t>
  </si>
  <si>
    <t>save</t>
  </si>
  <si>
    <t># text = I'm not sure that's wise, given the importance of the problem, but there's now the geoengineering discussion about:</t>
  </si>
  <si>
    <t>wise</t>
  </si>
  <si>
    <t>given</t>
  </si>
  <si>
    <t>importance</t>
  </si>
  <si>
    <t>discussion</t>
  </si>
  <si>
    <t># text = Should that be in the back pocket in case things happen faster, or this innovation goes a lot slower than we expect?</t>
  </si>
  <si>
    <t>Should</t>
  </si>
  <si>
    <t>pocket</t>
  </si>
  <si>
    <t>faster</t>
  </si>
  <si>
    <t>slower</t>
  </si>
  <si>
    <t># text = CA: Climate skeptics:</t>
  </si>
  <si>
    <t>Climate</t>
  </si>
  <si>
    <t>skeptics</t>
  </si>
  <si>
    <t># text = If you had a sentence or two to say to them, how might you persuade them that they're wrong?</t>
  </si>
  <si>
    <t>sentence</t>
  </si>
  <si>
    <t># text = BG: Well, unfortunately, the skeptics come in different camps.</t>
  </si>
  <si>
    <t>unfortunately</t>
  </si>
  <si>
    <t>camps</t>
  </si>
  <si>
    <t># text = The ones who make scientific arguments are very few.</t>
  </si>
  <si>
    <t>scientific</t>
  </si>
  <si>
    <t>arguments</t>
  </si>
  <si>
    <t>few</t>
  </si>
  <si>
    <t># text = Are they saying there's negative feedback effects that have to do with clouds that offset things?</t>
  </si>
  <si>
    <t>feedback</t>
  </si>
  <si>
    <t>clouds</t>
  </si>
  <si>
    <t>offset</t>
  </si>
  <si>
    <t># text = There are very, very few things that they can even say there's a chance in a million of those things.</t>
  </si>
  <si>
    <t>chance</t>
  </si>
  <si>
    <t># text = The main problem we have here -- it's kind of like with AIDS: you make the mistake now, and you pay for it a lot later.</t>
  </si>
  <si>
    <t>main</t>
  </si>
  <si>
    <t>AIDS</t>
  </si>
  <si>
    <t>mistake</t>
  </si>
  <si>
    <t>pay</t>
  </si>
  <si>
    <t>later</t>
  </si>
  <si>
    <t># text = And so, when you have all sorts of urgent problems, the idea of taking pain now that has to do with a gain later, and a somewhat uncertain pain thing.</t>
  </si>
  <si>
    <t>urgent</t>
  </si>
  <si>
    <t>pain</t>
  </si>
  <si>
    <t>gain</t>
  </si>
  <si>
    <t>somewhat</t>
  </si>
  <si>
    <t>uncertain</t>
  </si>
  <si>
    <t># text = In fact, the IPCC report -- that's not necessarily the worst case, and there are people in the rich world who look at IPCC and say, "OK, that isn't that big of a deal."</t>
  </si>
  <si>
    <t>IPCC</t>
  </si>
  <si>
    <t>necessarily</t>
  </si>
  <si>
    <t>worst</t>
  </si>
  <si>
    <t>OK</t>
  </si>
  <si>
    <t># text = The fact is it's that uncertain part that should move us towards this.</t>
  </si>
  <si>
    <t>towards</t>
  </si>
  <si>
    <t># text = But my dream here is that, if you can make it economic, and meet the CO2 constraints, then the skeptics say, "OK, I don't care that it doesn't put out CO2, I kind of wish it did put out CO2.</t>
  </si>
  <si>
    <t>dream</t>
  </si>
  <si>
    <t>constraints</t>
  </si>
  <si>
    <t>did</t>
  </si>
  <si>
    <t># text = But I guess I'll accept it, because it's cheaper than what's come before.\"</t>
  </si>
  <si>
    <t>accept</t>
  </si>
  <si>
    <t>before</t>
  </si>
  <si>
    <t># text = So that would be your response to the Bjørn Lomborg argument, basically if you spend all this energy trying to solve the CO2 problem, it's going to take away all your other goals of trying to rid the world of poverty and malaria and so forth, it's a stupid waste of the Earth's resources to put money towards that when there are better things we can do.</t>
  </si>
  <si>
    <t>response</t>
  </si>
  <si>
    <t>Bjørn</t>
  </si>
  <si>
    <t>Lomborg</t>
  </si>
  <si>
    <t>argument</t>
  </si>
  <si>
    <t>basically</t>
  </si>
  <si>
    <t>spend</t>
  </si>
  <si>
    <t>away</t>
  </si>
  <si>
    <t>goals</t>
  </si>
  <si>
    <t>def-np.poss.other</t>
  </si>
  <si>
    <t>malaria</t>
  </si>
  <si>
    <t>forth</t>
  </si>
  <si>
    <t>stupid</t>
  </si>
  <si>
    <t>Earth</t>
  </si>
  <si>
    <t>resources</t>
  </si>
  <si>
    <t>money</t>
  </si>
  <si>
    <t># text = BG: Well, the actual spending on the R&amp;amp;D piece -- say the US should spend 10 billion a year more than it is right now -- it's not that dramatic.</t>
  </si>
  <si>
    <t>actual</t>
  </si>
  <si>
    <t>R&amp;amp;</t>
  </si>
  <si>
    <t>amp;D</t>
  </si>
  <si>
    <t>dramatic</t>
  </si>
  <si>
    <t># text = It shouldn't take away from other things.</t>
  </si>
  <si>
    <t># text = The thing you get into big money on, and reasonable people can disagree, is when you have something that's non-economic and you're trying to fund that -- that, to me, mostly is a waste.</t>
  </si>
  <si>
    <t>reasonable</t>
  </si>
  <si>
    <t>non-economic</t>
  </si>
  <si>
    <t>fund</t>
  </si>
  <si>
    <t># text = Unless you're very close, and you're just funding the learning curve and it's going to get very cheap, I believe we should try more things that have a potential to be far less expensive.</t>
  </si>
  <si>
    <t>Unless</t>
  </si>
  <si>
    <t>close</t>
  </si>
  <si>
    <t>learning</t>
  </si>
  <si>
    <t>curve</t>
  </si>
  <si>
    <t>believe</t>
  </si>
  <si>
    <t>expensive</t>
  </si>
  <si>
    <t># text = If the trade-off you get into is, \"Let's make energy super expensive,\" then the rich can afford that.</t>
  </si>
  <si>
    <t>off</t>
  </si>
  <si>
    <t># text = I mean, all of us here could pay five times as much for our energy and not change our lifestyle.</t>
  </si>
  <si>
    <t>lifestyle</t>
  </si>
  <si>
    <t># text = The disaster is for that two billion.</t>
  </si>
  <si>
    <t>disaster</t>
  </si>
  <si>
    <t># text = And even Lomborg has changed.</t>
  </si>
  <si>
    <t># text = His shtick now is, \"Why isn't the R&amp;amp;D getting more discussed?\"</t>
  </si>
  <si>
    <t>His</t>
  </si>
  <si>
    <t>shtick</t>
  </si>
  <si>
    <t>Why</t>
  </si>
  <si>
    <t>amp</t>
  </si>
  <si>
    <t>;D</t>
  </si>
  <si>
    <t># text = He's still, because of his earlier stuff, still associated with the skeptic camp, but he's realized that's a pretty lonely camp, and so, he's making the R&amp;amp;D point.</t>
  </si>
  <si>
    <t>He</t>
  </si>
  <si>
    <t>his</t>
  </si>
  <si>
    <t>earlier</t>
  </si>
  <si>
    <t>stuff</t>
  </si>
  <si>
    <t>associated</t>
  </si>
  <si>
    <t>skeptic</t>
  </si>
  <si>
    <t>camp</t>
  </si>
  <si>
    <t>he</t>
  </si>
  <si>
    <t>realized</t>
  </si>
  <si>
    <t>lonely</t>
  </si>
  <si>
    <t># text = And so there is a thread of something that I think is appropriate.</t>
  </si>
  <si>
    <t>thread</t>
  </si>
  <si>
    <t>appropriate</t>
  </si>
  <si>
    <t># text = The R&amp;amp;D piece -- it's crazy how little it's funded.</t>
  </si>
  <si>
    <t>funded</t>
  </si>
  <si>
    <t># text = CA: Well, Bill, I suspect I speak on behalf of most people here to say I really hope your wish comes true.</t>
  </si>
  <si>
    <t>suspect</t>
  </si>
  <si>
    <t>speak</t>
  </si>
  <si>
    <t>behalf</t>
  </si>
  <si>
    <t>comes</t>
  </si>
  <si>
    <t>true</t>
  </si>
  <si>
    <t># text = Thank you so much.</t>
  </si>
  <si>
    <t># text = BG: Thank you.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</si>
</sst>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75"/>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18</v>
      </c>
      <c r="D3" s="7" t="s">
        <v>19</v>
      </c>
      <c r="E3" s="8" t="s">
        <v>20</v>
      </c>
      <c r="F3" s="6" t="s">
        <v>21</v>
      </c>
      <c r="G3" s="9">
        <f>IF(A3=1,"_",IF(C3="_","???",C3))</f>
        <v/>
      </c>
      <c r="H3" s="10" t="s">
        <v>12</v>
      </c>
      <c r="I3" s="11" t="s">
        <v>12</v>
      </c>
      <c r="J3" s="12"/>
    </row>
    <row r="4" spans="1:10" ht="60" customHeight="1">
      <c r="A4" s="6" t="s">
        <v>11</v>
      </c>
      <c r="B4" s="6" t="s">
        <v>22</v>
      </c>
      <c r="C4" s="6" t="s">
        <v>23</v>
      </c>
      <c r="D4" s="7" t="s">
        <v>24</v>
      </c>
      <c r="E4" s="8" t="s">
        <v>25</v>
      </c>
      <c r="F4" s="6" t="s">
        <v>26</v>
      </c>
      <c r="G4" s="9">
        <f>IF(A4=1,"_",IF(C4="_","???",C4))</f>
        <v/>
      </c>
      <c r="H4" s="10" t="s">
        <v>12</v>
      </c>
      <c r="I4" s="11" t="s">
        <v>12</v>
      </c>
      <c r="J4" s="12"/>
    </row>
    <row r="5" spans="1:10" ht="60" customHeight="1">
      <c r="A5" s="6" t="s">
        <v>17</v>
      </c>
      <c r="B5" s="6" t="s">
        <v>16</v>
      </c>
      <c r="C5" s="6" t="s">
        <v>12</v>
      </c>
      <c r="D5" s="7" t="s">
        <v>27</v>
      </c>
      <c r="E5" s="8" t="s">
        <v>28</v>
      </c>
      <c r="F5" s="6" t="s">
        <v>29</v>
      </c>
      <c r="G5" s="9">
        <f>IF(A5=1,"_",IF(C5="_","???",C5))</f>
        <v/>
      </c>
      <c r="H5" s="10" t="s">
        <v>12</v>
      </c>
      <c r="I5" s="11" t="s">
        <v>12</v>
      </c>
      <c r="J5" s="12"/>
    </row>
    <row r="6" spans="1:10" ht="60" customHeight="1">
      <c r="A6" s="6" t="s">
        <v>22</v>
      </c>
      <c r="B6" s="6" t="s">
        <v>11</v>
      </c>
      <c r="C6" s="6" t="s">
        <v>30</v>
      </c>
      <c r="D6" s="7" t="s">
        <v>31</v>
      </c>
      <c r="E6" s="8" t="s">
        <v>32</v>
      </c>
      <c r="F6" s="6" t="s">
        <v>33</v>
      </c>
      <c r="G6" s="9">
        <f>IF(A6=1,"_",IF(C6="_","???",C6))</f>
        <v/>
      </c>
      <c r="H6" s="10" t="s">
        <v>12</v>
      </c>
      <c r="I6" s="11" t="s">
        <v>12</v>
      </c>
      <c r="J6" s="12"/>
    </row>
    <row r="7" spans="1:10" ht="60" customHeight="1">
      <c r="A7" s="6" t="s">
        <v>34</v>
      </c>
      <c r="B7" s="6" t="s">
        <v>35</v>
      </c>
      <c r="C7" s="6" t="s">
        <v>36</v>
      </c>
      <c r="D7" s="7" t="s">
        <v>37</v>
      </c>
      <c r="E7" s="8" t="s">
        <v>38</v>
      </c>
      <c r="F7" s="6" t="s">
        <v>39</v>
      </c>
      <c r="G7" s="9">
        <f>IF(A7=1,"_",IF(C7="_","???",C7))</f>
        <v/>
      </c>
      <c r="H7" s="10" t="s">
        <v>12</v>
      </c>
      <c r="I7" s="11" t="s">
        <v>12</v>
      </c>
      <c r="J7" s="12"/>
    </row>
    <row r="8" spans="1:10" ht="60" customHeight="1">
      <c r="A8" s="6" t="s">
        <v>35</v>
      </c>
      <c r="B8" s="6" t="s">
        <v>35</v>
      </c>
      <c r="C8" s="6" t="s">
        <v>40</v>
      </c>
      <c r="D8" s="7" t="s">
        <v>24</v>
      </c>
      <c r="E8" s="8" t="s">
        <v>41</v>
      </c>
      <c r="F8" s="6" t="s">
        <v>42</v>
      </c>
      <c r="G8" s="9">
        <f>IF(A8=1,"_",IF(C8="_","???",C8))</f>
        <v/>
      </c>
      <c r="H8" s="10" t="s">
        <v>12</v>
      </c>
      <c r="I8" s="11" t="s">
        <v>12</v>
      </c>
      <c r="J8" s="12"/>
    </row>
    <row r="9" spans="1:10" ht="60" customHeight="1">
      <c r="A9" s="6" t="s">
        <v>43</v>
      </c>
      <c r="B9" s="6" t="s">
        <v>44</v>
      </c>
      <c r="C9" s="6" t="s">
        <v>45</v>
      </c>
      <c r="D9" s="7" t="s">
        <v>46</v>
      </c>
      <c r="E9" s="8" t="s">
        <v>47</v>
      </c>
      <c r="F9" s="6" t="s">
        <v>48</v>
      </c>
      <c r="G9" s="9">
        <f>IF(A9=1,"_",IF(C9="_","???",C9))</f>
        <v/>
      </c>
      <c r="H9" s="10" t="s">
        <v>12</v>
      </c>
      <c r="I9" s="11" t="s">
        <v>12</v>
      </c>
      <c r="J9" s="12"/>
    </row>
    <row r="10" spans="1:10" ht="60" customHeight="1">
      <c r="A10" s="6" t="s">
        <v>49</v>
      </c>
      <c r="B10" s="6" t="s">
        <v>43</v>
      </c>
      <c r="C10" s="6" t="s">
        <v>12</v>
      </c>
      <c r="D10" s="7" t="s">
        <v>50</v>
      </c>
      <c r="E10" s="8" t="s">
        <v>51</v>
      </c>
      <c r="F10" s="6" t="s">
        <v>52</v>
      </c>
      <c r="G10" s="9">
        <f>IF(A10=1,"_",IF(C10="_","???",C10))</f>
        <v/>
      </c>
      <c r="H10" s="10" t="s">
        <v>12</v>
      </c>
      <c r="I10" s="11" t="s">
        <v>12</v>
      </c>
      <c r="J10" s="12"/>
    </row>
    <row r="11" spans="1:10" ht="60" customHeight="1">
      <c r="A11" s="6" t="s">
        <v>53</v>
      </c>
      <c r="B11" s="6" t="s">
        <v>22</v>
      </c>
      <c r="C11" s="6" t="s">
        <v>12</v>
      </c>
      <c r="D11" s="7" t="s">
        <v>54</v>
      </c>
      <c r="E11" s="8" t="s">
        <v>55</v>
      </c>
      <c r="F11" s="6" t="s">
        <v>56</v>
      </c>
      <c r="G11" s="9">
        <f>IF(A11=1,"_",IF(C11="_","???",C11))</f>
        <v/>
      </c>
      <c r="H11" s="10" t="s">
        <v>12</v>
      </c>
      <c r="I11" s="11" t="s">
        <v>12</v>
      </c>
      <c r="J11" s="12"/>
    </row>
    <row r="12" spans="1:10" ht="60" customHeight="1">
      <c r="A12" s="6" t="s">
        <v>57</v>
      </c>
      <c r="B12" s="6" t="s">
        <v>17</v>
      </c>
      <c r="C12" s="6" t="s">
        <v>30</v>
      </c>
      <c r="D12" s="7" t="s">
        <v>58</v>
      </c>
      <c r="E12" s="8" t="s">
        <v>59</v>
      </c>
      <c r="F12" s="6" t="s">
        <v>60</v>
      </c>
      <c r="G12" s="9">
        <f>IF(A12=1,"_",IF(C12="_","???",C12))</f>
        <v/>
      </c>
      <c r="H12" s="10" t="s">
        <v>12</v>
      </c>
      <c r="I12" s="11" t="s">
        <v>12</v>
      </c>
      <c r="J12" s="12"/>
    </row>
    <row r="13" spans="1:10" ht="60" customHeight="1">
      <c r="A13" s="6" t="s">
        <v>61</v>
      </c>
      <c r="B13" s="6" t="s">
        <v>22</v>
      </c>
      <c r="C13" s="6" t="s">
        <v>30</v>
      </c>
      <c r="D13" s="7" t="s">
        <v>62</v>
      </c>
      <c r="E13" s="8" t="s">
        <v>63</v>
      </c>
      <c r="F13" s="6" t="s">
        <v>64</v>
      </c>
      <c r="G13" s="9">
        <f>IF(A13=1,"_",IF(C13="_","???",C13))</f>
        <v/>
      </c>
      <c r="H13" s="10" t="s">
        <v>12</v>
      </c>
      <c r="I13" s="11" t="s">
        <v>12</v>
      </c>
      <c r="J13" s="12"/>
    </row>
    <row r="14" spans="1:10" ht="60" customHeight="1">
      <c r="A14" s="6" t="s">
        <v>65</v>
      </c>
      <c r="B14" s="6" t="s">
        <v>65</v>
      </c>
      <c r="C14" s="6" t="s">
        <v>23</v>
      </c>
      <c r="D14" s="7" t="s">
        <v>66</v>
      </c>
      <c r="E14" s="8" t="s">
        <v>67</v>
      </c>
      <c r="F14" s="6" t="s">
        <v>68</v>
      </c>
      <c r="G14" s="9">
        <f>IF(A14=1,"_",IF(C14="_","???",C14))</f>
        <v/>
      </c>
      <c r="H14" s="10" t="s">
        <v>12</v>
      </c>
      <c r="I14" s="11" t="s">
        <v>12</v>
      </c>
      <c r="J14" s="12"/>
    </row>
    <row r="15" spans="1:10" ht="60" customHeight="1">
      <c r="A15" s="6" t="s">
        <v>69</v>
      </c>
      <c r="B15" s="6" t="s">
        <v>11</v>
      </c>
      <c r="C15" s="6" t="s">
        <v>30</v>
      </c>
      <c r="D15" s="7" t="s">
        <v>70</v>
      </c>
      <c r="E15" s="8" t="s">
        <v>71</v>
      </c>
      <c r="F15" s="6" t="s">
        <v>72</v>
      </c>
      <c r="G15" s="9">
        <f>IF(A15=1,"_",IF(C15="_","???",C15))</f>
        <v/>
      </c>
      <c r="H15" s="10" t="s">
        <v>12</v>
      </c>
      <c r="I15" s="11" t="s">
        <v>12</v>
      </c>
      <c r="J15" s="12"/>
    </row>
    <row r="16" spans="1:10" ht="60" customHeight="1">
      <c r="A16" s="6" t="s">
        <v>73</v>
      </c>
      <c r="B16" s="6" t="s">
        <v>61</v>
      </c>
      <c r="C16" s="6" t="s">
        <v>30</v>
      </c>
      <c r="D16" s="7" t="s">
        <v>31</v>
      </c>
      <c r="E16" s="8" t="s">
        <v>74</v>
      </c>
      <c r="F16" s="6" t="s">
        <v>75</v>
      </c>
      <c r="G16" s="9">
        <f>IF(A16=1,"_",IF(C16="_","???",C16))</f>
        <v/>
      </c>
      <c r="H16" s="10" t="s">
        <v>12</v>
      </c>
      <c r="I16" s="11" t="s">
        <v>12</v>
      </c>
      <c r="J16" s="12"/>
    </row>
    <row r="17" spans="1:10" ht="60" customHeight="1">
      <c r="A17" s="6" t="s">
        <v>76</v>
      </c>
      <c r="B17" s="6" t="s">
        <v>77</v>
      </c>
      <c r="C17" s="6" t="s">
        <v>23</v>
      </c>
      <c r="D17" s="7" t="s">
        <v>78</v>
      </c>
      <c r="E17" s="8" t="s">
        <v>79</v>
      </c>
      <c r="F17" s="6" t="s">
        <v>80</v>
      </c>
      <c r="G17" s="9">
        <f>IF(A17=1,"_",IF(C17="_","???",C17))</f>
        <v/>
      </c>
      <c r="H17" s="10" t="s">
        <v>12</v>
      </c>
      <c r="I17" s="11" t="s">
        <v>12</v>
      </c>
      <c r="J17" s="12"/>
    </row>
    <row r="18" spans="1:10" ht="60" customHeight="1">
      <c r="A18" s="6" t="s">
        <v>81</v>
      </c>
      <c r="B18" s="6" t="s">
        <v>11</v>
      </c>
      <c r="C18" s="6" t="s">
        <v>30</v>
      </c>
      <c r="D18" s="7" t="s">
        <v>82</v>
      </c>
      <c r="E18" s="8" t="s">
        <v>83</v>
      </c>
      <c r="F18" s="6" t="s">
        <v>84</v>
      </c>
      <c r="G18" s="9">
        <f>IF(A18=1,"_",IF(C18="_","???",C18))</f>
        <v/>
      </c>
      <c r="H18" s="10" t="s">
        <v>12</v>
      </c>
      <c r="I18" s="11" t="s">
        <v>12</v>
      </c>
      <c r="J18" s="12"/>
    </row>
    <row r="19" spans="1:10" ht="60" customHeight="1">
      <c r="A19" s="6" t="s">
        <v>85</v>
      </c>
      <c r="B19" s="6" t="s">
        <v>16</v>
      </c>
      <c r="C19" s="6" t="s">
        <v>12</v>
      </c>
      <c r="D19" s="7" t="s">
        <v>86</v>
      </c>
      <c r="E19" s="8" t="s">
        <v>87</v>
      </c>
      <c r="F19" s="6" t="s">
        <v>88</v>
      </c>
      <c r="G19" s="9">
        <f>IF(A19=1,"_",IF(C19="_","???",C19))</f>
        <v/>
      </c>
      <c r="H19" s="10" t="s">
        <v>12</v>
      </c>
      <c r="I19" s="11" t="s">
        <v>12</v>
      </c>
      <c r="J19" s="12"/>
    </row>
    <row r="20" spans="1:10" ht="60" customHeight="1">
      <c r="A20" s="6" t="s">
        <v>89</v>
      </c>
      <c r="B20" s="6" t="s">
        <v>17</v>
      </c>
      <c r="C20" s="6" t="s">
        <v>12</v>
      </c>
      <c r="D20" s="7" t="s">
        <v>90</v>
      </c>
      <c r="E20" s="8" t="s">
        <v>91</v>
      </c>
      <c r="F20" s="6" t="s">
        <v>92</v>
      </c>
      <c r="G20" s="9">
        <f>IF(A20=1,"_",IF(C20="_","???",C20))</f>
        <v/>
      </c>
      <c r="H20" s="10" t="s">
        <v>12</v>
      </c>
      <c r="I20" s="11" t="s">
        <v>12</v>
      </c>
      <c r="J20" s="12"/>
    </row>
    <row r="21" spans="1:10" ht="60" customHeight="1">
      <c r="A21" s="6" t="s">
        <v>93</v>
      </c>
      <c r="B21" s="6" t="s">
        <v>22</v>
      </c>
      <c r="C21" s="6" t="s">
        <v>94</v>
      </c>
      <c r="D21" s="7" t="s">
        <v>95</v>
      </c>
      <c r="E21" s="8" t="s">
        <v>96</v>
      </c>
      <c r="F21" s="6" t="s">
        <v>97</v>
      </c>
      <c r="G21" s="9">
        <f>IF(A21=1,"_",IF(C21="_","???",C21))</f>
        <v/>
      </c>
      <c r="H21" s="10" t="s">
        <v>12</v>
      </c>
      <c r="I21" s="11" t="s">
        <v>12</v>
      </c>
      <c r="J21" s="12"/>
    </row>
    <row r="22" spans="1:10" ht="60" customHeight="1">
      <c r="A22" s="6" t="s">
        <v>98</v>
      </c>
      <c r="B22" s="6" t="s">
        <v>17</v>
      </c>
      <c r="C22" s="6" t="s">
        <v>30</v>
      </c>
      <c r="D22" s="7" t="s">
        <v>82</v>
      </c>
      <c r="E22" s="8" t="s">
        <v>99</v>
      </c>
      <c r="F22" s="6" t="s">
        <v>100</v>
      </c>
      <c r="G22" s="9">
        <f>IF(A22=1,"_",IF(C22="_","???",C22))</f>
        <v/>
      </c>
      <c r="H22" s="10" t="s">
        <v>12</v>
      </c>
      <c r="I22" s="11" t="s">
        <v>12</v>
      </c>
      <c r="J22" s="12"/>
    </row>
    <row r="23" spans="1:10" ht="60" customHeight="1">
      <c r="A23" s="6" t="s">
        <v>101</v>
      </c>
      <c r="B23" s="6" t="s">
        <v>17</v>
      </c>
      <c r="C23" s="6" t="s">
        <v>102</v>
      </c>
      <c r="D23" s="7" t="s">
        <v>103</v>
      </c>
      <c r="E23" s="8" t="s">
        <v>104</v>
      </c>
      <c r="F23" s="6" t="s">
        <v>105</v>
      </c>
      <c r="G23" s="9">
        <f>IF(A23=1,"_",IF(C23="_","???",C23))</f>
        <v/>
      </c>
      <c r="H23" s="10" t="s">
        <v>12</v>
      </c>
      <c r="I23" s="11" t="s">
        <v>12</v>
      </c>
      <c r="J23" s="12"/>
    </row>
    <row r="24" spans="1:10" ht="60" customHeight="1">
      <c r="A24" s="6" t="s">
        <v>106</v>
      </c>
      <c r="B24" s="6" t="s">
        <v>16</v>
      </c>
      <c r="C24" s="6" t="s">
        <v>30</v>
      </c>
      <c r="D24" s="7" t="s">
        <v>107</v>
      </c>
      <c r="E24" s="8" t="s">
        <v>108</v>
      </c>
      <c r="F24" s="6" t="s">
        <v>109</v>
      </c>
      <c r="G24" s="9">
        <f>IF(A24=1,"_",IF(C24="_","???",C24))</f>
        <v/>
      </c>
      <c r="H24" s="10" t="s">
        <v>12</v>
      </c>
      <c r="I24" s="11" t="s">
        <v>12</v>
      </c>
      <c r="J24" s="12"/>
    </row>
    <row r="25" spans="1:10" ht="60" customHeight="1">
      <c r="A25" s="6" t="s">
        <v>44</v>
      </c>
      <c r="B25" s="6" t="s">
        <v>16</v>
      </c>
      <c r="C25" s="6" t="s">
        <v>12</v>
      </c>
      <c r="D25" s="7" t="s">
        <v>110</v>
      </c>
      <c r="E25" s="8" t="s">
        <v>111</v>
      </c>
      <c r="F25" s="6" t="s">
        <v>112</v>
      </c>
      <c r="G25" s="9">
        <f>IF(A25=1,"_",IF(C25="_","???",C25))</f>
        <v/>
      </c>
      <c r="H25" s="10" t="s">
        <v>12</v>
      </c>
      <c r="I25" s="11" t="s">
        <v>12</v>
      </c>
      <c r="J25" s="12"/>
    </row>
    <row r="26" spans="1:10" ht="60" customHeight="1">
      <c r="A26" s="6" t="s">
        <v>113</v>
      </c>
      <c r="B26" s="6" t="s">
        <v>17</v>
      </c>
      <c r="C26" s="6" t="s">
        <v>12</v>
      </c>
      <c r="D26" s="7" t="s">
        <v>114</v>
      </c>
      <c r="E26" s="8" t="s">
        <v>115</v>
      </c>
      <c r="F26" s="6" t="s">
        <v>116</v>
      </c>
      <c r="G26" s="9">
        <f>IF(A26=1,"_",IF(C26="_","???",C26))</f>
        <v/>
      </c>
      <c r="H26" s="10" t="s">
        <v>12</v>
      </c>
      <c r="I26" s="11" t="s">
        <v>12</v>
      </c>
      <c r="J26" s="12"/>
    </row>
    <row r="27" spans="1:10" ht="60" customHeight="1">
      <c r="A27" s="6" t="s">
        <v>117</v>
      </c>
      <c r="B27" s="6" t="s">
        <v>34</v>
      </c>
      <c r="C27" s="6" t="s">
        <v>36</v>
      </c>
      <c r="D27" s="7" t="s">
        <v>118</v>
      </c>
      <c r="E27" s="8" t="s">
        <v>119</v>
      </c>
      <c r="F27" s="6" t="s">
        <v>120</v>
      </c>
      <c r="G27" s="9">
        <f>IF(A27=1,"_",IF(C27="_","???",C27))</f>
        <v/>
      </c>
      <c r="H27" s="10" t="s">
        <v>12</v>
      </c>
      <c r="I27" s="11" t="s">
        <v>12</v>
      </c>
      <c r="J27" s="12"/>
    </row>
    <row r="28" spans="1:10" ht="60" customHeight="1">
      <c r="A28" s="6" t="s">
        <v>121</v>
      </c>
      <c r="B28" s="6" t="s">
        <v>16</v>
      </c>
      <c r="C28" s="6" t="s">
        <v>36</v>
      </c>
      <c r="D28" s="7" t="s">
        <v>122</v>
      </c>
      <c r="E28" s="8" t="s">
        <v>123</v>
      </c>
      <c r="F28" s="6" t="s">
        <v>124</v>
      </c>
      <c r="G28" s="9">
        <f>IF(A28=1,"_",IF(C28="_","???",C28))</f>
        <v/>
      </c>
      <c r="H28" s="10" t="s">
        <v>12</v>
      </c>
      <c r="I28" s="11" t="s">
        <v>12</v>
      </c>
      <c r="J28" s="12"/>
    </row>
    <row r="29" spans="1:10" ht="60" customHeight="1">
      <c r="A29" s="6" t="s">
        <v>125</v>
      </c>
      <c r="B29" s="6" t="s">
        <v>16</v>
      </c>
      <c r="C29" s="6" t="s">
        <v>12</v>
      </c>
      <c r="D29" s="7" t="s">
        <v>126</v>
      </c>
      <c r="E29" s="8" t="s">
        <v>127</v>
      </c>
      <c r="F29" s="6" t="s">
        <v>128</v>
      </c>
      <c r="G29" s="9">
        <f>IF(A29=1,"_",IF(C29="_","???",C29))</f>
        <v/>
      </c>
      <c r="H29" s="10" t="s">
        <v>12</v>
      </c>
      <c r="I29" s="11" t="s">
        <v>12</v>
      </c>
      <c r="J29" s="12"/>
    </row>
    <row r="30" spans="1:10" ht="60" customHeight="1">
      <c r="A30" s="6" t="s">
        <v>129</v>
      </c>
      <c r="B30" s="6" t="s">
        <v>22</v>
      </c>
      <c r="C30" s="6" t="s">
        <v>30</v>
      </c>
      <c r="D30" s="7" t="s">
        <v>90</v>
      </c>
      <c r="E30" s="8" t="s">
        <v>130</v>
      </c>
      <c r="F30" s="6" t="s">
        <v>131</v>
      </c>
      <c r="G30" s="9">
        <f>IF(A30=1,"_",IF(C30="_","???",C30))</f>
        <v/>
      </c>
      <c r="H30" s="10" t="s">
        <v>12</v>
      </c>
      <c r="I30" s="11" t="s">
        <v>12</v>
      </c>
      <c r="J30" s="12"/>
    </row>
    <row r="31" spans="1:10" ht="60" customHeight="1">
      <c r="A31" s="6" t="s">
        <v>132</v>
      </c>
      <c r="B31" s="6" t="s">
        <v>22</v>
      </c>
      <c r="C31" s="6" t="s">
        <v>12</v>
      </c>
      <c r="D31" s="7" t="s">
        <v>13</v>
      </c>
      <c r="E31" s="8" t="s">
        <v>133</v>
      </c>
      <c r="F31" s="6" t="s">
        <v>134</v>
      </c>
      <c r="G31" s="9">
        <f>IF(A31=1,"_",IF(C31="_","???",C31))</f>
        <v/>
      </c>
      <c r="H31" s="10" t="s">
        <v>12</v>
      </c>
      <c r="I31" s="11" t="s">
        <v>12</v>
      </c>
      <c r="J31" s="12"/>
    </row>
    <row r="32" spans="1:10" ht="60" customHeight="1">
      <c r="A32" s="6" t="s">
        <v>135</v>
      </c>
      <c r="B32" s="6" t="s">
        <v>16</v>
      </c>
      <c r="C32" s="6" t="s">
        <v>30</v>
      </c>
      <c r="D32" s="7" t="s">
        <v>136</v>
      </c>
      <c r="E32" s="8" t="s">
        <v>137</v>
      </c>
      <c r="F32" s="6" t="s">
        <v>138</v>
      </c>
      <c r="G32" s="9">
        <f>IF(A32=1,"_",IF(C32="_","???",C32))</f>
        <v/>
      </c>
      <c r="H32" s="10" t="s">
        <v>12</v>
      </c>
      <c r="I32" s="11" t="s">
        <v>12</v>
      </c>
      <c r="J32" s="12"/>
    </row>
    <row r="33" spans="1:10" ht="60" customHeight="1">
      <c r="A33" s="6" t="s">
        <v>77</v>
      </c>
      <c r="B33" s="6" t="s">
        <v>11</v>
      </c>
      <c r="C33" s="6" t="s">
        <v>12</v>
      </c>
      <c r="D33" s="7" t="s">
        <v>90</v>
      </c>
      <c r="E33" s="8" t="s">
        <v>139</v>
      </c>
      <c r="F33" s="6" t="s">
        <v>140</v>
      </c>
      <c r="G33" s="9">
        <f>IF(A33=1,"_",IF(C33="_","???",C33))</f>
        <v/>
      </c>
      <c r="H33" s="10" t="s">
        <v>12</v>
      </c>
      <c r="I33" s="11" t="s">
        <v>12</v>
      </c>
      <c r="J33" s="12"/>
    </row>
    <row r="34" spans="1:10" ht="60" customHeight="1">
      <c r="A34" s="6" t="s">
        <v>141</v>
      </c>
      <c r="B34" s="6" t="s">
        <v>17</v>
      </c>
      <c r="C34" s="6" t="s">
        <v>36</v>
      </c>
      <c r="D34" s="7" t="s">
        <v>142</v>
      </c>
      <c r="E34" s="8" t="s">
        <v>143</v>
      </c>
      <c r="F34" s="6" t="s">
        <v>144</v>
      </c>
      <c r="G34" s="9">
        <f>IF(A34=1,"_",IF(C34="_","???",C34))</f>
        <v/>
      </c>
      <c r="H34" s="10" t="s">
        <v>12</v>
      </c>
      <c r="I34" s="11" t="s">
        <v>12</v>
      </c>
      <c r="J34" s="12"/>
    </row>
    <row r="35" spans="1:10" ht="60" customHeight="1">
      <c r="A35" s="6" t="s">
        <v>145</v>
      </c>
      <c r="B35" s="6" t="s">
        <v>16</v>
      </c>
      <c r="C35" s="6" t="s">
        <v>146</v>
      </c>
      <c r="D35" s="7" t="s">
        <v>66</v>
      </c>
      <c r="E35" s="8" t="s">
        <v>147</v>
      </c>
      <c r="F35" s="6" t="s">
        <v>148</v>
      </c>
      <c r="G35" s="9">
        <f>IF(A35=1,"_",IF(C35="_","???",C35))</f>
        <v/>
      </c>
      <c r="H35" s="10" t="s">
        <v>12</v>
      </c>
      <c r="I35" s="11" t="s">
        <v>12</v>
      </c>
      <c r="J35" s="12"/>
    </row>
    <row r="36" spans="1:10" ht="60" customHeight="1">
      <c r="A36" s="6" t="s">
        <v>149</v>
      </c>
      <c r="B36" s="6" t="s">
        <v>43</v>
      </c>
      <c r="C36" s="6" t="s">
        <v>12</v>
      </c>
      <c r="D36" s="7" t="s">
        <v>13</v>
      </c>
      <c r="E36" s="8" t="s">
        <v>150</v>
      </c>
      <c r="F36" s="6" t="s">
        <v>151</v>
      </c>
      <c r="G36" s="9">
        <f>IF(A36=1,"_",IF(C36="_","???",C36))</f>
        <v/>
      </c>
      <c r="H36" s="10" t="s">
        <v>12</v>
      </c>
      <c r="I36" s="11" t="s">
        <v>12</v>
      </c>
      <c r="J36" s="12"/>
    </row>
    <row r="37" spans="1:10" ht="60" customHeight="1">
      <c r="A37" s="6" t="s">
        <v>152</v>
      </c>
      <c r="B37" s="6" t="s">
        <v>16</v>
      </c>
      <c r="C37" s="6" t="s">
        <v>12</v>
      </c>
      <c r="D37" s="7" t="s">
        <v>153</v>
      </c>
      <c r="E37" s="8" t="s">
        <v>154</v>
      </c>
      <c r="F37" s="6" t="s">
        <v>155</v>
      </c>
      <c r="G37" s="9">
        <f>IF(A37=1,"_",IF(C37="_","???",C37))</f>
        <v/>
      </c>
      <c r="H37" s="10" t="s">
        <v>12</v>
      </c>
      <c r="I37" s="11" t="s">
        <v>12</v>
      </c>
      <c r="J37" s="12"/>
    </row>
    <row r="38" spans="1:10" ht="60" customHeight="1">
      <c r="A38" s="6" t="s">
        <v>156</v>
      </c>
      <c r="B38" s="6" t="s">
        <v>16</v>
      </c>
      <c r="C38" s="6" t="s">
        <v>12</v>
      </c>
      <c r="D38" s="7" t="s">
        <v>157</v>
      </c>
      <c r="E38" s="8" t="s">
        <v>158</v>
      </c>
      <c r="F38" s="6" t="s">
        <v>159</v>
      </c>
      <c r="G38" s="9">
        <f>IF(A38=1,"_",IF(C38="_","???",C38))</f>
        <v/>
      </c>
      <c r="H38" s="10" t="s">
        <v>12</v>
      </c>
      <c r="I38" s="11" t="s">
        <v>12</v>
      </c>
      <c r="J38" s="12"/>
    </row>
    <row r="39" spans="1:10" ht="60" customHeight="1">
      <c r="A39" s="6" t="s">
        <v>160</v>
      </c>
      <c r="B39" s="6" t="s">
        <v>16</v>
      </c>
      <c r="C39" s="6" t="s">
        <v>23</v>
      </c>
      <c r="D39" s="7" t="s">
        <v>66</v>
      </c>
      <c r="E39" s="8" t="s">
        <v>161</v>
      </c>
      <c r="F39" s="6" t="s">
        <v>162</v>
      </c>
      <c r="G39" s="9">
        <f>IF(A39=1,"_",IF(C39="_","???",C39))</f>
        <v/>
      </c>
      <c r="H39" s="10" t="s">
        <v>12</v>
      </c>
      <c r="I39" s="11" t="s">
        <v>12</v>
      </c>
      <c r="J39" s="12"/>
    </row>
    <row r="40" spans="1:10" ht="60" customHeight="1">
      <c r="A40" s="6" t="s">
        <v>163</v>
      </c>
      <c r="B40" s="6" t="s">
        <v>22</v>
      </c>
      <c r="C40" s="6" t="s">
        <v>12</v>
      </c>
      <c r="D40" s="7" t="s">
        <v>142</v>
      </c>
      <c r="E40" s="8" t="s">
        <v>164</v>
      </c>
      <c r="F40" s="6" t="s">
        <v>165</v>
      </c>
      <c r="G40" s="9">
        <f>IF(A40=1,"_",IF(C40="_","???",C40))</f>
        <v/>
      </c>
      <c r="H40" s="10" t="s">
        <v>12</v>
      </c>
      <c r="I40" s="11" t="s">
        <v>12</v>
      </c>
      <c r="J40" s="12"/>
    </row>
    <row r="41" spans="1:10" ht="60" customHeight="1">
      <c r="A41" s="6" t="s">
        <v>166</v>
      </c>
      <c r="B41" s="6" t="s">
        <v>17</v>
      </c>
      <c r="C41" s="6" t="s">
        <v>12</v>
      </c>
      <c r="D41" s="7" t="s">
        <v>90</v>
      </c>
      <c r="E41" s="8" t="s">
        <v>167</v>
      </c>
      <c r="F41" s="6" t="s">
        <v>168</v>
      </c>
      <c r="G41" s="9">
        <f>IF(A41=1,"_",IF(C41="_","???",C41))</f>
        <v/>
      </c>
      <c r="H41" s="10" t="s">
        <v>12</v>
      </c>
      <c r="I41" s="11" t="s">
        <v>12</v>
      </c>
      <c r="J41" s="12"/>
    </row>
    <row r="42" spans="1:10" ht="60" customHeight="1">
      <c r="A42" s="6" t="s">
        <v>169</v>
      </c>
      <c r="B42" s="6" t="s">
        <v>11</v>
      </c>
      <c r="C42" s="6" t="s">
        <v>12</v>
      </c>
      <c r="D42" s="7" t="s">
        <v>170</v>
      </c>
      <c r="E42" s="8" t="s">
        <v>171</v>
      </c>
      <c r="F42" s="6" t="s">
        <v>172</v>
      </c>
      <c r="G42" s="9">
        <f>IF(A42=1,"_",IF(C42="_","???",C42))</f>
        <v/>
      </c>
      <c r="H42" s="10" t="s">
        <v>12</v>
      </c>
      <c r="I42" s="11" t="s">
        <v>12</v>
      </c>
      <c r="J42" s="12"/>
    </row>
    <row r="43" spans="1:10" ht="60" customHeight="1">
      <c r="A43" s="6" t="s">
        <v>173</v>
      </c>
      <c r="B43" s="6" t="s">
        <v>106</v>
      </c>
      <c r="C43" s="6" t="s">
        <v>174</v>
      </c>
      <c r="D43" s="7" t="s">
        <v>175</v>
      </c>
      <c r="E43" s="8" t="s">
        <v>176</v>
      </c>
      <c r="F43" s="6" t="s">
        <v>177</v>
      </c>
      <c r="G43" s="9">
        <f>IF(A43=1,"_",IF(C43="_","???",C43))</f>
        <v/>
      </c>
      <c r="H43" s="10" t="s">
        <v>12</v>
      </c>
      <c r="I43" s="11" t="s">
        <v>12</v>
      </c>
      <c r="J43" s="12"/>
    </row>
    <row r="44" spans="1:10" ht="60" customHeight="1">
      <c r="A44" s="6" t="s">
        <v>178</v>
      </c>
      <c r="B44" s="6" t="s">
        <v>22</v>
      </c>
      <c r="C44" s="6" t="s">
        <v>23</v>
      </c>
      <c r="D44" s="7" t="s">
        <v>179</v>
      </c>
      <c r="E44" s="8" t="s">
        <v>180</v>
      </c>
      <c r="F44" s="6" t="s">
        <v>181</v>
      </c>
      <c r="G44" s="9">
        <f>IF(A44=1,"_",IF(C44="_","???",C44))</f>
        <v/>
      </c>
      <c r="H44" s="10" t="s">
        <v>12</v>
      </c>
      <c r="I44" s="11" t="s">
        <v>12</v>
      </c>
      <c r="J44" s="12"/>
    </row>
    <row r="45" spans="1:10" ht="60" customHeight="1">
      <c r="A45" s="6" t="s">
        <v>182</v>
      </c>
      <c r="B45" s="6" t="s">
        <v>17</v>
      </c>
      <c r="C45" s="6" t="s">
        <v>12</v>
      </c>
      <c r="D45" s="7" t="s">
        <v>183</v>
      </c>
      <c r="E45" s="8" t="s">
        <v>184</v>
      </c>
      <c r="F45" s="6" t="s">
        <v>185</v>
      </c>
      <c r="G45" s="9">
        <f>IF(A45=1,"_",IF(C45="_","???",C45))</f>
        <v/>
      </c>
      <c r="H45" s="10" t="s">
        <v>12</v>
      </c>
      <c r="I45" s="11" t="s">
        <v>12</v>
      </c>
      <c r="J45" s="12"/>
    </row>
    <row r="46" spans="1:10" ht="60" customHeight="1">
      <c r="A46" s="6" t="s">
        <v>186</v>
      </c>
      <c r="B46" s="6" t="s">
        <v>16</v>
      </c>
      <c r="C46" s="6" t="s">
        <v>12</v>
      </c>
      <c r="D46" s="7" t="s">
        <v>187</v>
      </c>
      <c r="E46" s="8" t="s">
        <v>188</v>
      </c>
      <c r="F46" s="6" t="s">
        <v>189</v>
      </c>
      <c r="G46" s="9">
        <f>IF(A46=1,"_",IF(C46="_","???",C46))</f>
        <v/>
      </c>
      <c r="H46" s="10" t="s">
        <v>12</v>
      </c>
      <c r="I46" s="11" t="s">
        <v>12</v>
      </c>
      <c r="J46" s="12"/>
    </row>
    <row r="47" spans="1:10" ht="60" customHeight="1">
      <c r="A47" s="6" t="s">
        <v>190</v>
      </c>
      <c r="B47" s="6" t="s">
        <v>16</v>
      </c>
      <c r="C47" s="6" t="s">
        <v>12</v>
      </c>
      <c r="D47" s="7" t="s">
        <v>191</v>
      </c>
      <c r="E47" s="8" t="s">
        <v>192</v>
      </c>
      <c r="F47" s="6" t="s">
        <v>193</v>
      </c>
      <c r="G47" s="9">
        <f>IF(A47=1,"_",IF(C47="_","???",C47))</f>
        <v/>
      </c>
      <c r="H47" s="10" t="s">
        <v>12</v>
      </c>
      <c r="I47" s="11" t="s">
        <v>12</v>
      </c>
      <c r="J47" s="12"/>
    </row>
    <row r="48" spans="1:10" ht="60" customHeight="1">
      <c r="A48" s="6" t="s">
        <v>194</v>
      </c>
      <c r="B48" s="6" t="s">
        <v>10</v>
      </c>
      <c r="C48" s="6" t="s">
        <v>12</v>
      </c>
      <c r="D48" s="7" t="s">
        <v>142</v>
      </c>
      <c r="E48" s="8" t="s">
        <v>195</v>
      </c>
      <c r="F48" s="6" t="s">
        <v>196</v>
      </c>
      <c r="G48" s="9">
        <f>IF(A48=1,"_",IF(C48="_","???",C48))</f>
        <v/>
      </c>
      <c r="H48" s="10" t="s">
        <v>12</v>
      </c>
      <c r="I48" s="11" t="s">
        <v>12</v>
      </c>
      <c r="J48" s="12"/>
    </row>
    <row r="49" spans="1:10" ht="60" customHeight="1">
      <c r="A49" s="6" t="s">
        <v>197</v>
      </c>
      <c r="B49" s="6" t="s">
        <v>11</v>
      </c>
      <c r="C49" s="6" t="s">
        <v>36</v>
      </c>
      <c r="D49" s="7" t="s">
        <v>191</v>
      </c>
      <c r="E49" s="8" t="s">
        <v>198</v>
      </c>
      <c r="F49" s="6" t="s">
        <v>199</v>
      </c>
      <c r="G49" s="9">
        <f>IF(A49=1,"_",IF(C49="_","???",C49))</f>
        <v/>
      </c>
      <c r="H49" s="10" t="s">
        <v>12</v>
      </c>
      <c r="I49" s="11" t="s">
        <v>12</v>
      </c>
      <c r="J49" s="12"/>
    </row>
    <row r="50" spans="1:10" ht="60" customHeight="1">
      <c r="A50" s="6" t="s">
        <v>200</v>
      </c>
      <c r="B50" s="6" t="s">
        <v>43</v>
      </c>
      <c r="C50" s="6" t="s">
        <v>23</v>
      </c>
      <c r="D50" s="7" t="s">
        <v>201</v>
      </c>
      <c r="E50" s="8" t="s">
        <v>202</v>
      </c>
      <c r="F50" s="6" t="s">
        <v>203</v>
      </c>
      <c r="G50" s="9">
        <f>IF(A50=1,"_",IF(C50="_","???",C50))</f>
        <v/>
      </c>
      <c r="H50" s="10" t="s">
        <v>12</v>
      </c>
      <c r="I50" s="11" t="s">
        <v>12</v>
      </c>
      <c r="J50" s="12"/>
    </row>
    <row r="51" spans="1:10" ht="60" customHeight="1">
      <c r="A51" s="6" t="s">
        <v>204</v>
      </c>
      <c r="B51" s="6" t="s">
        <v>11</v>
      </c>
      <c r="C51" s="6" t="s">
        <v>12</v>
      </c>
      <c r="D51" s="7" t="s">
        <v>90</v>
      </c>
      <c r="E51" s="8" t="s">
        <v>205</v>
      </c>
      <c r="F51" s="6" t="s">
        <v>206</v>
      </c>
      <c r="G51" s="9">
        <f>IF(A51=1,"_",IF(C51="_","???",C51))</f>
        <v/>
      </c>
      <c r="H51" s="10" t="s">
        <v>12</v>
      </c>
      <c r="I51" s="11" t="s">
        <v>12</v>
      </c>
      <c r="J51" s="12"/>
    </row>
    <row r="52" spans="1:10" ht="60" customHeight="1">
      <c r="A52" s="6" t="s">
        <v>207</v>
      </c>
      <c r="B52" s="6" t="s">
        <v>11</v>
      </c>
      <c r="C52" s="6" t="s">
        <v>12</v>
      </c>
      <c r="D52" s="7" t="s">
        <v>90</v>
      </c>
      <c r="E52" s="8" t="s">
        <v>208</v>
      </c>
      <c r="F52" s="6" t="s">
        <v>209</v>
      </c>
      <c r="G52" s="9">
        <f>IF(A52=1,"_",IF(C52="_","???",C52))</f>
        <v/>
      </c>
      <c r="H52" s="10" t="s">
        <v>12</v>
      </c>
      <c r="I52" s="11" t="s">
        <v>12</v>
      </c>
      <c r="J52" s="12"/>
    </row>
    <row r="53" spans="1:10" ht="60" customHeight="1">
      <c r="A53" s="6" t="s">
        <v>210</v>
      </c>
      <c r="B53" s="6" t="s">
        <v>69</v>
      </c>
      <c r="C53" s="6" t="s">
        <v>45</v>
      </c>
      <c r="D53" s="7" t="s">
        <v>13</v>
      </c>
      <c r="E53" s="8" t="s">
        <v>211</v>
      </c>
      <c r="F53" s="6" t="s">
        <v>212</v>
      </c>
      <c r="G53" s="9">
        <f>IF(A53=1,"_",IF(C53="_","???",C53))</f>
        <v/>
      </c>
      <c r="H53" s="10" t="s">
        <v>12</v>
      </c>
      <c r="I53" s="11" t="s">
        <v>12</v>
      </c>
      <c r="J53" s="12"/>
    </row>
    <row r="54" spans="1:10" ht="60" customHeight="1">
      <c r="A54" s="6" t="s">
        <v>213</v>
      </c>
      <c r="B54" s="6" t="s">
        <v>11</v>
      </c>
      <c r="C54" s="6" t="s">
        <v>214</v>
      </c>
      <c r="D54" s="7" t="s">
        <v>215</v>
      </c>
      <c r="E54" s="8" t="s">
        <v>216</v>
      </c>
      <c r="F54" s="6" t="s">
        <v>217</v>
      </c>
      <c r="G54" s="9">
        <f>IF(A54=1,"_",IF(C54="_","???",C54))</f>
        <v/>
      </c>
      <c r="H54" s="10" t="s">
        <v>12</v>
      </c>
      <c r="I54" s="11" t="s">
        <v>12</v>
      </c>
      <c r="J54" s="12"/>
    </row>
    <row r="55" spans="1:10" ht="60" customHeight="1">
      <c r="A55" s="6" t="s">
        <v>218</v>
      </c>
      <c r="B55" s="6" t="s">
        <v>16</v>
      </c>
      <c r="C55" s="6" t="s">
        <v>12</v>
      </c>
      <c r="D55" s="7" t="s">
        <v>90</v>
      </c>
      <c r="E55" s="8" t="s">
        <v>219</v>
      </c>
      <c r="F55" s="6" t="s">
        <v>220</v>
      </c>
      <c r="G55" s="9">
        <f>IF(A55=1,"_",IF(C55="_","???",C55))</f>
        <v/>
      </c>
      <c r="H55" s="10" t="s">
        <v>12</v>
      </c>
      <c r="I55" s="11" t="s">
        <v>12</v>
      </c>
      <c r="J55" s="12"/>
    </row>
    <row r="56" spans="1:10" ht="60" customHeight="1">
      <c r="A56" s="6" t="s">
        <v>221</v>
      </c>
      <c r="B56" s="6" t="s">
        <v>44</v>
      </c>
      <c r="C56" s="6" t="s">
        <v>12</v>
      </c>
      <c r="D56" s="7" t="s">
        <v>82</v>
      </c>
      <c r="E56" s="8" t="s">
        <v>222</v>
      </c>
      <c r="F56" s="6" t="s">
        <v>223</v>
      </c>
      <c r="G56" s="9">
        <f>IF(A56=1,"_",IF(C56="_","???",C56))</f>
        <v/>
      </c>
      <c r="H56" s="10" t="s">
        <v>12</v>
      </c>
      <c r="I56" s="11" t="s">
        <v>12</v>
      </c>
      <c r="J56" s="12"/>
    </row>
    <row r="57" spans="1:10" ht="60" customHeight="1">
      <c r="A57" s="6" t="s">
        <v>224</v>
      </c>
      <c r="B57" s="6" t="s">
        <v>22</v>
      </c>
      <c r="C57" s="6" t="s">
        <v>12</v>
      </c>
      <c r="D57" s="7" t="s">
        <v>225</v>
      </c>
      <c r="E57" s="8" t="s">
        <v>226</v>
      </c>
      <c r="F57" s="6" t="s">
        <v>227</v>
      </c>
      <c r="G57" s="9">
        <f>IF(A57=1,"_",IF(C57="_","???",C57))</f>
        <v/>
      </c>
      <c r="H57" s="10" t="s">
        <v>12</v>
      </c>
      <c r="I57" s="11" t="s">
        <v>12</v>
      </c>
      <c r="J57" s="12"/>
    </row>
    <row r="58" spans="1:10" ht="60" customHeight="1">
      <c r="A58" s="6" t="s">
        <v>228</v>
      </c>
      <c r="B58" s="6" t="s">
        <v>16</v>
      </c>
      <c r="C58" s="6" t="s">
        <v>12</v>
      </c>
      <c r="D58" s="7" t="s">
        <v>82</v>
      </c>
      <c r="E58" s="8" t="s">
        <v>229</v>
      </c>
      <c r="F58" s="6" t="s">
        <v>230</v>
      </c>
      <c r="G58" s="9">
        <f>IF(A58=1,"_",IF(C58="_","???",C58))</f>
        <v/>
      </c>
      <c r="H58" s="10" t="s">
        <v>12</v>
      </c>
      <c r="I58" s="11" t="s">
        <v>12</v>
      </c>
      <c r="J58" s="12"/>
    </row>
    <row r="59" spans="1:10" ht="60" customHeight="1">
      <c r="A59" s="6" t="s">
        <v>231</v>
      </c>
      <c r="B59" s="6" t="s">
        <v>61</v>
      </c>
      <c r="C59" s="6" t="s">
        <v>232</v>
      </c>
      <c r="D59" s="7" t="s">
        <v>142</v>
      </c>
      <c r="E59" s="8" t="s">
        <v>233</v>
      </c>
      <c r="F59" s="6" t="s">
        <v>234</v>
      </c>
      <c r="G59" s="9">
        <f>IF(A59=1,"_",IF(C59="_","???",C59))</f>
        <v/>
      </c>
      <c r="H59" s="10" t="s">
        <v>12</v>
      </c>
      <c r="I59" s="11" t="s">
        <v>12</v>
      </c>
      <c r="J59" s="12"/>
    </row>
    <row r="60" spans="1:10" ht="60" customHeight="1">
      <c r="A60" s="6" t="s">
        <v>235</v>
      </c>
      <c r="B60" s="6" t="s">
        <v>57</v>
      </c>
      <c r="C60" s="6" t="s">
        <v>36</v>
      </c>
      <c r="D60" s="7" t="s">
        <v>13</v>
      </c>
      <c r="E60" s="8" t="s">
        <v>236</v>
      </c>
      <c r="F60" s="6" t="s">
        <v>237</v>
      </c>
      <c r="G60" s="9">
        <f>IF(A60=1,"_",IF(C60="_","???",C60))</f>
        <v/>
      </c>
      <c r="H60" s="10" t="s">
        <v>12</v>
      </c>
      <c r="I60" s="11" t="s">
        <v>12</v>
      </c>
      <c r="J60" s="12"/>
    </row>
    <row r="61" spans="1:10" ht="60" customHeight="1">
      <c r="A61" s="6" t="s">
        <v>238</v>
      </c>
      <c r="B61" s="6" t="s">
        <v>16</v>
      </c>
      <c r="C61" s="6" t="s">
        <v>30</v>
      </c>
      <c r="D61" s="7" t="s">
        <v>66</v>
      </c>
      <c r="E61" s="8" t="s">
        <v>239</v>
      </c>
      <c r="F61" s="6" t="s">
        <v>240</v>
      </c>
      <c r="G61" s="9">
        <f>IF(A61=1,"_",IF(C61="_","???",C61))</f>
        <v/>
      </c>
      <c r="H61" s="10" t="s">
        <v>12</v>
      </c>
      <c r="I61" s="11" t="s">
        <v>12</v>
      </c>
      <c r="J61" s="12"/>
    </row>
    <row r="62" spans="1:10" ht="60" customHeight="1">
      <c r="A62" s="6" t="s">
        <v>241</v>
      </c>
      <c r="B62" s="6" t="s">
        <v>17</v>
      </c>
      <c r="C62" s="6" t="s">
        <v>146</v>
      </c>
      <c r="D62" s="7" t="s">
        <v>82</v>
      </c>
      <c r="E62" s="8" t="s">
        <v>242</v>
      </c>
      <c r="F62" s="6" t="s">
        <v>243</v>
      </c>
      <c r="G62" s="9">
        <f>IF(A62=1,"_",IF(C62="_","???",C62))</f>
        <v/>
      </c>
      <c r="H62" s="10" t="s">
        <v>12</v>
      </c>
      <c r="I62" s="11" t="s">
        <v>12</v>
      </c>
      <c r="J62" s="12"/>
    </row>
    <row r="63" spans="1:10" ht="60" customHeight="1">
      <c r="A63" s="6" t="s">
        <v>244</v>
      </c>
      <c r="B63" s="6" t="s">
        <v>11</v>
      </c>
      <c r="C63" s="6" t="s">
        <v>174</v>
      </c>
      <c r="D63" s="7" t="s">
        <v>245</v>
      </c>
      <c r="E63" s="8" t="s">
        <v>246</v>
      </c>
      <c r="F63" s="6" t="s">
        <v>247</v>
      </c>
      <c r="G63" s="9">
        <f>IF(A63=1,"_",IF(C63="_","???",C63))</f>
        <v/>
      </c>
      <c r="H63" s="10" t="s">
        <v>12</v>
      </c>
      <c r="I63" s="11" t="s">
        <v>12</v>
      </c>
      <c r="J63" s="12"/>
    </row>
    <row r="64" spans="1:10" ht="60" customHeight="1">
      <c r="A64" s="6" t="s">
        <v>248</v>
      </c>
      <c r="B64" s="6" t="s">
        <v>11</v>
      </c>
      <c r="C64" s="6" t="s">
        <v>174</v>
      </c>
      <c r="D64" s="7" t="s">
        <v>245</v>
      </c>
      <c r="E64" s="8" t="s">
        <v>249</v>
      </c>
      <c r="F64" s="6" t="s">
        <v>250</v>
      </c>
      <c r="G64" s="9">
        <f>IF(A64=1,"_",IF(C64="_","???",C64))</f>
        <v/>
      </c>
      <c r="H64" s="10" t="s">
        <v>12</v>
      </c>
      <c r="I64" s="11" t="s">
        <v>12</v>
      </c>
      <c r="J64" s="12"/>
    </row>
    <row r="65" spans="1:10" ht="60" customHeight="1">
      <c r="A65" s="6" t="s">
        <v>251</v>
      </c>
      <c r="B65" s="6" t="s">
        <v>81</v>
      </c>
      <c r="C65" s="6" t="s">
        <v>12</v>
      </c>
      <c r="D65" s="7" t="s">
        <v>114</v>
      </c>
      <c r="E65" s="8" t="s">
        <v>252</v>
      </c>
      <c r="F65" s="6" t="s">
        <v>253</v>
      </c>
      <c r="G65" s="9">
        <f>IF(A65=1,"_",IF(C65="_","???",C65))</f>
        <v/>
      </c>
      <c r="H65" s="10" t="s">
        <v>12</v>
      </c>
      <c r="I65" s="11" t="s">
        <v>12</v>
      </c>
      <c r="J65" s="12"/>
    </row>
    <row r="66" spans="1:10" ht="60" customHeight="1">
      <c r="A66" s="6" t="s">
        <v>254</v>
      </c>
      <c r="B66" s="6" t="s">
        <v>81</v>
      </c>
      <c r="C66" s="6" t="s">
        <v>30</v>
      </c>
      <c r="D66" s="7" t="s">
        <v>255</v>
      </c>
      <c r="E66" s="8" t="s">
        <v>256</v>
      </c>
      <c r="F66" s="6" t="s">
        <v>257</v>
      </c>
      <c r="G66" s="9">
        <f>IF(A66=1,"_",IF(C66="_","???",C66))</f>
        <v/>
      </c>
      <c r="H66" s="10" t="s">
        <v>12</v>
      </c>
      <c r="I66" s="11" t="s">
        <v>12</v>
      </c>
      <c r="J66" s="12"/>
    </row>
    <row r="67" spans="1:10" ht="60" customHeight="1">
      <c r="A67" s="6" t="s">
        <v>258</v>
      </c>
      <c r="B67" s="6" t="s">
        <v>11</v>
      </c>
      <c r="C67" s="6" t="s">
        <v>146</v>
      </c>
      <c r="D67" s="7" t="s">
        <v>259</v>
      </c>
      <c r="E67" s="8" t="s">
        <v>260</v>
      </c>
      <c r="F67" s="6" t="s">
        <v>261</v>
      </c>
      <c r="G67" s="9">
        <f>IF(A67=1,"_",IF(C67="_","???",C67))</f>
        <v/>
      </c>
      <c r="H67" s="10" t="s">
        <v>12</v>
      </c>
      <c r="I67" s="11" t="s">
        <v>12</v>
      </c>
      <c r="J67" s="12"/>
    </row>
    <row r="68" spans="1:10" ht="60" customHeight="1">
      <c r="A68" s="6" t="s">
        <v>262</v>
      </c>
      <c r="B68" s="6" t="s">
        <v>10</v>
      </c>
      <c r="C68" s="6" t="s">
        <v>12</v>
      </c>
      <c r="D68" s="7" t="s">
        <v>263</v>
      </c>
      <c r="E68" s="8" t="s">
        <v>264</v>
      </c>
      <c r="F68" s="6" t="s">
        <v>265</v>
      </c>
      <c r="G68" s="9">
        <f>IF(A68=1,"_",IF(C68="_","???",C68))</f>
        <v/>
      </c>
      <c r="H68" s="10" t="s">
        <v>12</v>
      </c>
      <c r="I68" s="11" t="s">
        <v>12</v>
      </c>
      <c r="J68" s="12"/>
    </row>
    <row r="69" spans="1:10" ht="60" customHeight="1">
      <c r="A69" s="6" t="s">
        <v>266</v>
      </c>
      <c r="B69" s="6" t="s">
        <v>17</v>
      </c>
      <c r="C69" s="6" t="s">
        <v>12</v>
      </c>
      <c r="D69" s="7" t="s">
        <v>267</v>
      </c>
      <c r="E69" s="8" t="s">
        <v>268</v>
      </c>
      <c r="F69" s="6" t="s">
        <v>269</v>
      </c>
      <c r="G69" s="9">
        <f>IF(A69=1,"_",IF(C69="_","???",C69))</f>
        <v/>
      </c>
      <c r="H69" s="10" t="s">
        <v>12</v>
      </c>
      <c r="I69" s="11" t="s">
        <v>12</v>
      </c>
      <c r="J69" s="12"/>
    </row>
    <row r="70" spans="1:10" ht="60" customHeight="1">
      <c r="A70" s="6" t="s">
        <v>270</v>
      </c>
      <c r="B70" s="6" t="s">
        <v>11</v>
      </c>
      <c r="C70" s="6" t="s">
        <v>12</v>
      </c>
      <c r="D70" s="7" t="s">
        <v>271</v>
      </c>
      <c r="E70" s="8" t="s">
        <v>272</v>
      </c>
      <c r="F70" s="6" t="s">
        <v>273</v>
      </c>
      <c r="G70" s="9">
        <f>IF(A70=1,"_",IF(C70="_","???",C70))</f>
        <v/>
      </c>
      <c r="H70" s="10" t="s">
        <v>12</v>
      </c>
      <c r="I70" s="11" t="s">
        <v>12</v>
      </c>
      <c r="J70" s="12"/>
    </row>
    <row r="71" spans="1:10" ht="60" customHeight="1">
      <c r="A71" s="6" t="s">
        <v>274</v>
      </c>
      <c r="B71" s="6" t="s">
        <v>17</v>
      </c>
      <c r="C71" s="6" t="s">
        <v>12</v>
      </c>
      <c r="D71" s="7" t="s">
        <v>271</v>
      </c>
      <c r="E71" s="8" t="s">
        <v>275</v>
      </c>
      <c r="F71" s="6" t="s">
        <v>276</v>
      </c>
      <c r="G71" s="9">
        <f>IF(A71=1,"_",IF(C71="_","???",C71))</f>
        <v/>
      </c>
      <c r="H71" s="10" t="s">
        <v>12</v>
      </c>
      <c r="I71" s="11" t="s">
        <v>12</v>
      </c>
      <c r="J71" s="12"/>
    </row>
    <row r="72" spans="1:10" ht="60" customHeight="1">
      <c r="A72" s="6" t="s">
        <v>277</v>
      </c>
      <c r="B72" s="6" t="s">
        <v>34</v>
      </c>
      <c r="C72" s="6" t="s">
        <v>12</v>
      </c>
      <c r="D72" s="7" t="s">
        <v>271</v>
      </c>
      <c r="E72" s="8" t="s">
        <v>278</v>
      </c>
      <c r="F72" s="6" t="s">
        <v>279</v>
      </c>
      <c r="G72" s="9">
        <f>IF(A72=1,"_",IF(C72="_","???",C72))</f>
        <v/>
      </c>
      <c r="H72" s="10" t="s">
        <v>12</v>
      </c>
      <c r="I72" s="11" t="s">
        <v>12</v>
      </c>
      <c r="J72" s="12"/>
    </row>
    <row r="73" spans="1:10" ht="60" customHeight="1">
      <c r="A73" s="6" t="s">
        <v>280</v>
      </c>
      <c r="B73" s="6" t="s">
        <v>34</v>
      </c>
      <c r="C73" s="6" t="s">
        <v>146</v>
      </c>
      <c r="D73" s="7" t="s">
        <v>281</v>
      </c>
      <c r="E73" s="8" t="s">
        <v>282</v>
      </c>
      <c r="F73" s="6" t="s">
        <v>283</v>
      </c>
      <c r="G73" s="9">
        <f>IF(A73=1,"_",IF(C73="_","???",C73))</f>
        <v/>
      </c>
      <c r="H73" s="10" t="s">
        <v>12</v>
      </c>
      <c r="I73" s="11" t="s">
        <v>12</v>
      </c>
      <c r="J73" s="12"/>
    </row>
    <row r="74" spans="1:10" ht="60" customHeight="1">
      <c r="A74" s="6" t="s">
        <v>284</v>
      </c>
      <c r="B74" s="6" t="s">
        <v>34</v>
      </c>
      <c r="C74" s="6" t="s">
        <v>12</v>
      </c>
      <c r="D74" s="7" t="s">
        <v>90</v>
      </c>
      <c r="E74" s="8" t="s">
        <v>285</v>
      </c>
      <c r="F74" s="6" t="s">
        <v>286</v>
      </c>
      <c r="G74" s="9">
        <f>IF(A74=1,"_",IF(C74="_","???",C74))</f>
        <v/>
      </c>
      <c r="H74" s="10" t="s">
        <v>12</v>
      </c>
      <c r="I74" s="11" t="s">
        <v>12</v>
      </c>
      <c r="J74" s="12"/>
    </row>
    <row r="75" spans="1:10" ht="60" customHeight="1">
      <c r="A75" s="6" t="s">
        <v>287</v>
      </c>
      <c r="B75" s="6" t="s">
        <v>35</v>
      </c>
      <c r="C75" s="6" t="s">
        <v>30</v>
      </c>
      <c r="D75" s="7" t="s">
        <v>288</v>
      </c>
      <c r="E75" s="8" t="s">
        <v>289</v>
      </c>
      <c r="F75" s="6" t="s">
        <v>290</v>
      </c>
      <c r="G75" s="9">
        <f>IF(A75=1,"_",IF(C75="_","???",C75))</f>
        <v/>
      </c>
      <c r="H75" s="10" t="s">
        <v>12</v>
      </c>
      <c r="I75" s="11" t="s">
        <v>12</v>
      </c>
      <c r="J75" s="12"/>
    </row>
    <row r="76" spans="1:10" ht="60" customHeight="1">
      <c r="A76" s="6" t="s">
        <v>291</v>
      </c>
      <c r="B76" s="6" t="s">
        <v>16</v>
      </c>
      <c r="C76" s="6" t="s">
        <v>12</v>
      </c>
      <c r="D76" s="7" t="s">
        <v>292</v>
      </c>
      <c r="E76" s="8" t="s">
        <v>293</v>
      </c>
      <c r="F76" s="6" t="s">
        <v>294</v>
      </c>
      <c r="G76" s="9">
        <f>IF(A76=1,"_",IF(C76="_","???",C76))</f>
        <v/>
      </c>
      <c r="H76" s="10" t="s">
        <v>12</v>
      </c>
      <c r="I76" s="11" t="s">
        <v>12</v>
      </c>
      <c r="J76" s="12"/>
    </row>
    <row r="77" spans="1:10" ht="60" customHeight="1">
      <c r="A77" s="6" t="s">
        <v>295</v>
      </c>
      <c r="B77" s="6" t="s">
        <v>17</v>
      </c>
      <c r="C77" s="6" t="s">
        <v>12</v>
      </c>
      <c r="D77" s="7" t="s">
        <v>296</v>
      </c>
      <c r="E77" s="8" t="s">
        <v>297</v>
      </c>
      <c r="F77" s="6" t="s">
        <v>298</v>
      </c>
      <c r="G77" s="9">
        <f>IF(A77=1,"_",IF(C77="_","???",C77))</f>
        <v/>
      </c>
      <c r="H77" s="10" t="s">
        <v>12</v>
      </c>
      <c r="I77" s="11" t="s">
        <v>12</v>
      </c>
      <c r="J77" s="12"/>
    </row>
    <row r="78" spans="1:10" ht="60" customHeight="1">
      <c r="A78" s="6" t="s">
        <v>299</v>
      </c>
      <c r="B78" s="6" t="s">
        <v>10</v>
      </c>
      <c r="C78" s="6" t="s">
        <v>12</v>
      </c>
      <c r="D78" s="7" t="s">
        <v>82</v>
      </c>
      <c r="E78" s="8" t="s">
        <v>300</v>
      </c>
      <c r="F78" s="6" t="s">
        <v>301</v>
      </c>
      <c r="G78" s="9">
        <f>IF(A78=1,"_",IF(C78="_","???",C78))</f>
        <v/>
      </c>
      <c r="H78" s="10" t="s">
        <v>12</v>
      </c>
      <c r="I78" s="11" t="s">
        <v>12</v>
      </c>
      <c r="J78" s="12"/>
    </row>
    <row r="79" spans="1:10" ht="60" customHeight="1">
      <c r="A79" s="6" t="s">
        <v>302</v>
      </c>
      <c r="B79" s="6" t="s">
        <v>16</v>
      </c>
      <c r="C79" s="6" t="s">
        <v>303</v>
      </c>
      <c r="D79" s="7" t="s">
        <v>296</v>
      </c>
      <c r="E79" s="8" t="s">
        <v>304</v>
      </c>
      <c r="F79" s="6" t="s">
        <v>305</v>
      </c>
      <c r="G79" s="9">
        <f>IF(A79=1,"_",IF(C79="_","???",C79))</f>
        <v/>
      </c>
      <c r="H79" s="10" t="s">
        <v>12</v>
      </c>
      <c r="I79" s="11" t="s">
        <v>12</v>
      </c>
      <c r="J79" s="12"/>
    </row>
    <row r="80" spans="1:10" ht="60" customHeight="1">
      <c r="A80" s="6" t="s">
        <v>306</v>
      </c>
      <c r="B80" s="6" t="s">
        <v>11</v>
      </c>
      <c r="C80" s="6" t="s">
        <v>12</v>
      </c>
      <c r="D80" s="7" t="s">
        <v>142</v>
      </c>
      <c r="E80" s="8" t="s">
        <v>307</v>
      </c>
      <c r="F80" s="6" t="s">
        <v>308</v>
      </c>
      <c r="G80" s="9">
        <f>IF(A80=1,"_",IF(C80="_","???",C80))</f>
        <v/>
      </c>
      <c r="H80" s="10" t="s">
        <v>12</v>
      </c>
      <c r="I80" s="11" t="s">
        <v>12</v>
      </c>
      <c r="J80" s="12"/>
    </row>
    <row r="81" spans="1:10" ht="60" customHeight="1">
      <c r="A81" s="6" t="s">
        <v>309</v>
      </c>
      <c r="B81" s="6" t="s">
        <v>35</v>
      </c>
      <c r="C81" s="6" t="s">
        <v>12</v>
      </c>
      <c r="D81" s="7" t="s">
        <v>50</v>
      </c>
      <c r="E81" s="8" t="s">
        <v>310</v>
      </c>
      <c r="F81" s="6" t="s">
        <v>311</v>
      </c>
      <c r="G81" s="9">
        <f>IF(A81=1,"_",IF(C81="_","???",C81))</f>
        <v/>
      </c>
      <c r="H81" s="10" t="s">
        <v>12</v>
      </c>
      <c r="I81" s="11" t="s">
        <v>12</v>
      </c>
      <c r="J81" s="12"/>
    </row>
    <row r="82" spans="1:10" ht="60" customHeight="1">
      <c r="A82" s="6" t="s">
        <v>312</v>
      </c>
      <c r="B82" s="6" t="s">
        <v>16</v>
      </c>
      <c r="C82" s="6" t="s">
        <v>12</v>
      </c>
      <c r="D82" s="7" t="s">
        <v>313</v>
      </c>
      <c r="E82" s="8" t="s">
        <v>314</v>
      </c>
      <c r="F82" s="6" t="s">
        <v>315</v>
      </c>
      <c r="G82" s="9">
        <f>IF(A82=1,"_",IF(C82="_","???",C82))</f>
        <v/>
      </c>
      <c r="H82" s="10" t="s">
        <v>12</v>
      </c>
      <c r="I82" s="11" t="s">
        <v>12</v>
      </c>
      <c r="J82" s="12"/>
    </row>
    <row r="83" spans="1:10" ht="60" customHeight="1">
      <c r="A83" s="6" t="s">
        <v>316</v>
      </c>
      <c r="B83" s="6" t="s">
        <v>17</v>
      </c>
      <c r="C83" s="6" t="s">
        <v>146</v>
      </c>
      <c r="D83" s="7" t="s">
        <v>90</v>
      </c>
      <c r="E83" s="8" t="s">
        <v>317</v>
      </c>
      <c r="F83" s="6" t="s">
        <v>318</v>
      </c>
      <c r="G83" s="9">
        <f>IF(A83=1,"_",IF(C83="_","???",C83))</f>
        <v/>
      </c>
      <c r="H83" s="10" t="s">
        <v>12</v>
      </c>
      <c r="I83" s="11" t="s">
        <v>12</v>
      </c>
      <c r="J83" s="12"/>
    </row>
    <row r="84" spans="1:10" ht="60" customHeight="1">
      <c r="A84" s="6" t="s">
        <v>319</v>
      </c>
      <c r="B84" s="6" t="s">
        <v>11</v>
      </c>
      <c r="C84" s="6" t="s">
        <v>12</v>
      </c>
      <c r="D84" s="7" t="s">
        <v>320</v>
      </c>
      <c r="E84" s="8" t="s">
        <v>321</v>
      </c>
      <c r="F84" s="6" t="s">
        <v>322</v>
      </c>
      <c r="G84" s="9">
        <f>IF(A84=1,"_",IF(C84="_","???",C84))</f>
        <v/>
      </c>
      <c r="H84" s="10" t="s">
        <v>12</v>
      </c>
      <c r="I84" s="11" t="s">
        <v>12</v>
      </c>
      <c r="J84" s="12"/>
    </row>
    <row r="85" spans="1:10" ht="60" customHeight="1">
      <c r="A85" s="6" t="s">
        <v>323</v>
      </c>
      <c r="B85" s="6" t="s">
        <v>17</v>
      </c>
      <c r="C85" s="6" t="s">
        <v>23</v>
      </c>
      <c r="D85" s="7" t="s">
        <v>82</v>
      </c>
      <c r="E85" s="8" t="s">
        <v>324</v>
      </c>
      <c r="F85" s="6" t="s">
        <v>325</v>
      </c>
      <c r="G85" s="9">
        <f>IF(A85=1,"_",IF(C85="_","???",C85))</f>
        <v/>
      </c>
      <c r="H85" s="10" t="s">
        <v>12</v>
      </c>
      <c r="I85" s="11" t="s">
        <v>12</v>
      </c>
      <c r="J85" s="12"/>
    </row>
    <row r="86" spans="1:10" ht="60" customHeight="1">
      <c r="A86" s="6" t="s">
        <v>326</v>
      </c>
      <c r="B86" s="6" t="s">
        <v>16</v>
      </c>
      <c r="C86" s="6" t="s">
        <v>12</v>
      </c>
      <c r="D86" s="7" t="s">
        <v>259</v>
      </c>
      <c r="E86" s="8" t="s">
        <v>327</v>
      </c>
      <c r="F86" s="6" t="s">
        <v>328</v>
      </c>
      <c r="G86" s="9">
        <f>IF(A86=1,"_",IF(C86="_","???",C86))</f>
        <v/>
      </c>
      <c r="H86" s="10" t="s">
        <v>12</v>
      </c>
      <c r="I86" s="11" t="s">
        <v>12</v>
      </c>
      <c r="J86" s="12"/>
    </row>
    <row r="87" spans="1:10" ht="60" customHeight="1">
      <c r="A87" s="6" t="s">
        <v>329</v>
      </c>
      <c r="B87" s="6" t="s">
        <v>73</v>
      </c>
      <c r="C87" s="6" t="s">
        <v>330</v>
      </c>
      <c r="D87" s="7" t="s">
        <v>179</v>
      </c>
      <c r="E87" s="8" t="s">
        <v>331</v>
      </c>
      <c r="F87" s="6" t="s">
        <v>332</v>
      </c>
      <c r="G87" s="9">
        <f>IF(A87=1,"_",IF(C87="_","???",C87))</f>
        <v/>
      </c>
      <c r="H87" s="10" t="s">
        <v>12</v>
      </c>
      <c r="I87" s="11" t="s">
        <v>12</v>
      </c>
      <c r="J87" s="12"/>
    </row>
    <row r="88" spans="1:10" ht="60" customHeight="1">
      <c r="A88" s="6" t="s">
        <v>333</v>
      </c>
      <c r="B88" s="6" t="s">
        <v>11</v>
      </c>
      <c r="C88" s="6" t="s">
        <v>12</v>
      </c>
      <c r="D88" s="7" t="s">
        <v>334</v>
      </c>
      <c r="E88" s="8" t="s">
        <v>335</v>
      </c>
      <c r="F88" s="6" t="s">
        <v>336</v>
      </c>
      <c r="G88" s="9">
        <f>IF(A88=1,"_",IF(C88="_","???",C88))</f>
        <v/>
      </c>
      <c r="H88" s="10" t="s">
        <v>12</v>
      </c>
      <c r="I88" s="11" t="s">
        <v>12</v>
      </c>
      <c r="J88" s="12"/>
    </row>
    <row r="89" spans="1:10" ht="60" customHeight="1">
      <c r="A89" s="6" t="s">
        <v>337</v>
      </c>
      <c r="B89" s="6" t="s">
        <v>11</v>
      </c>
      <c r="C89" s="6" t="s">
        <v>30</v>
      </c>
      <c r="D89" s="7" t="s">
        <v>338</v>
      </c>
      <c r="E89" s="8" t="s">
        <v>339</v>
      </c>
      <c r="F89" s="6" t="s">
        <v>340</v>
      </c>
      <c r="G89" s="9">
        <f>IF(A89=1,"_",IF(C89="_","???",C89))</f>
        <v/>
      </c>
      <c r="H89" s="10" t="s">
        <v>12</v>
      </c>
      <c r="I89" s="11" t="s">
        <v>12</v>
      </c>
      <c r="J89" s="12"/>
    </row>
    <row r="90" spans="1:10" ht="60" customHeight="1">
      <c r="A90" s="6" t="s">
        <v>341</v>
      </c>
      <c r="B90" s="6" t="s">
        <v>34</v>
      </c>
      <c r="C90" s="6" t="s">
        <v>18</v>
      </c>
      <c r="D90" s="7" t="s">
        <v>82</v>
      </c>
      <c r="E90" s="8" t="s">
        <v>342</v>
      </c>
      <c r="F90" s="6" t="s">
        <v>343</v>
      </c>
      <c r="G90" s="9">
        <f>IF(A90=1,"_",IF(C90="_","???",C90))</f>
        <v/>
      </c>
      <c r="H90" s="10" t="s">
        <v>12</v>
      </c>
      <c r="I90" s="11" t="s">
        <v>12</v>
      </c>
      <c r="J90" s="12"/>
    </row>
    <row r="91" spans="1:10" ht="60" customHeight="1">
      <c r="A91" s="6" t="s">
        <v>344</v>
      </c>
      <c r="B91" s="6" t="s">
        <v>10</v>
      </c>
      <c r="C91" s="6" t="s">
        <v>12</v>
      </c>
      <c r="D91" s="7" t="s">
        <v>66</v>
      </c>
      <c r="E91" s="8" t="s">
        <v>345</v>
      </c>
      <c r="F91" s="6" t="s">
        <v>346</v>
      </c>
      <c r="G91" s="9">
        <f>IF(A91=1,"_",IF(C91="_","???",C91))</f>
        <v/>
      </c>
      <c r="H91" s="10" t="s">
        <v>12</v>
      </c>
      <c r="I91" s="11" t="s">
        <v>12</v>
      </c>
      <c r="J91" s="12"/>
    </row>
    <row r="92" spans="1:10" ht="60" customHeight="1">
      <c r="A92" s="6" t="s">
        <v>347</v>
      </c>
      <c r="B92" s="6" t="s">
        <v>35</v>
      </c>
      <c r="C92" s="6" t="s">
        <v>23</v>
      </c>
      <c r="D92" s="7" t="s">
        <v>19</v>
      </c>
      <c r="E92" s="8" t="s">
        <v>348</v>
      </c>
      <c r="F92" s="6" t="s">
        <v>349</v>
      </c>
      <c r="G92" s="9">
        <f>IF(A92=1,"_",IF(C92="_","???",C92))</f>
        <v/>
      </c>
      <c r="H92" s="10" t="s">
        <v>12</v>
      </c>
      <c r="I92" s="11" t="s">
        <v>12</v>
      </c>
      <c r="J92" s="12"/>
    </row>
    <row r="93" spans="1:10" ht="60" customHeight="1">
      <c r="A93" s="6" t="s">
        <v>350</v>
      </c>
      <c r="B93" s="6" t="s">
        <v>11</v>
      </c>
      <c r="C93" s="6" t="s">
        <v>351</v>
      </c>
      <c r="D93" s="7" t="s">
        <v>82</v>
      </c>
      <c r="E93" s="8" t="s">
        <v>352</v>
      </c>
      <c r="F93" s="6" t="s">
        <v>353</v>
      </c>
      <c r="G93" s="9">
        <f>IF(A93=1,"_",IF(C93="_","???",C93))</f>
        <v/>
      </c>
      <c r="H93" s="10" t="s">
        <v>12</v>
      </c>
      <c r="I93" s="11" t="s">
        <v>12</v>
      </c>
      <c r="J93" s="12"/>
    </row>
    <row r="94" spans="1:10" ht="60" customHeight="1">
      <c r="A94" s="6" t="s">
        <v>354</v>
      </c>
      <c r="B94" s="6" t="s">
        <v>17</v>
      </c>
      <c r="C94" s="6" t="s">
        <v>12</v>
      </c>
      <c r="D94" s="7" t="s">
        <v>90</v>
      </c>
      <c r="E94" s="8" t="s">
        <v>355</v>
      </c>
      <c r="F94" s="6" t="s">
        <v>356</v>
      </c>
      <c r="G94" s="9">
        <f>IF(A94=1,"_",IF(C94="_","???",C94))</f>
        <v/>
      </c>
      <c r="H94" s="10" t="s">
        <v>12</v>
      </c>
      <c r="I94" s="11" t="s">
        <v>12</v>
      </c>
      <c r="J94" s="12"/>
    </row>
    <row r="95" spans="1:10" ht="60" customHeight="1">
      <c r="A95" s="6" t="s">
        <v>357</v>
      </c>
      <c r="B95" s="6" t="s">
        <v>16</v>
      </c>
      <c r="C95" s="6" t="s">
        <v>23</v>
      </c>
      <c r="D95" s="7" t="s">
        <v>142</v>
      </c>
      <c r="E95" s="8" t="s">
        <v>358</v>
      </c>
      <c r="F95" s="6" t="s">
        <v>359</v>
      </c>
      <c r="G95" s="9">
        <f>IF(A95=1,"_",IF(C95="_","???",C95))</f>
        <v/>
      </c>
      <c r="H95" s="10" t="s">
        <v>12</v>
      </c>
      <c r="I95" s="11" t="s">
        <v>12</v>
      </c>
      <c r="J95" s="12"/>
    </row>
    <row r="96" spans="1:10" ht="60" customHeight="1">
      <c r="A96" s="6" t="s">
        <v>360</v>
      </c>
      <c r="B96" s="6" t="s">
        <v>16</v>
      </c>
      <c r="C96" s="6" t="s">
        <v>23</v>
      </c>
      <c r="D96" s="7" t="s">
        <v>361</v>
      </c>
      <c r="E96" s="8" t="s">
        <v>362</v>
      </c>
      <c r="F96" s="6" t="s">
        <v>363</v>
      </c>
      <c r="G96" s="9">
        <f>IF(A96=1,"_",IF(C96="_","???",C96))</f>
        <v/>
      </c>
      <c r="H96" s="10" t="s">
        <v>12</v>
      </c>
      <c r="I96" s="11" t="s">
        <v>12</v>
      </c>
      <c r="J96" s="12"/>
    </row>
    <row r="97" spans="1:10" ht="60" customHeight="1">
      <c r="A97" s="6" t="s">
        <v>364</v>
      </c>
      <c r="B97" s="6" t="s">
        <v>11</v>
      </c>
      <c r="C97" s="6" t="s">
        <v>12</v>
      </c>
      <c r="D97" s="7" t="s">
        <v>13</v>
      </c>
      <c r="E97" s="8" t="s">
        <v>365</v>
      </c>
      <c r="F97" s="6" t="s">
        <v>366</v>
      </c>
      <c r="G97" s="9">
        <f>IF(A97=1,"_",IF(C97="_","???",C97))</f>
        <v/>
      </c>
      <c r="H97" s="10" t="s">
        <v>12</v>
      </c>
      <c r="I97" s="11" t="s">
        <v>12</v>
      </c>
      <c r="J97" s="12"/>
    </row>
    <row r="98" spans="1:10" ht="60" customHeight="1">
      <c r="A98" s="6" t="s">
        <v>367</v>
      </c>
      <c r="B98" s="6" t="s">
        <v>11</v>
      </c>
      <c r="C98" s="6" t="s">
        <v>12</v>
      </c>
      <c r="D98" s="7" t="s">
        <v>13</v>
      </c>
      <c r="E98" s="8" t="s">
        <v>368</v>
      </c>
      <c r="F98" s="6" t="s">
        <v>369</v>
      </c>
      <c r="G98" s="9">
        <f>IF(A98=1,"_",IF(C98="_","???",C98))</f>
        <v/>
      </c>
      <c r="H98" s="10" t="s">
        <v>12</v>
      </c>
      <c r="I98" s="11" t="s">
        <v>12</v>
      </c>
      <c r="J98" s="12"/>
    </row>
    <row r="99" spans="1:10" ht="60" customHeight="1">
      <c r="A99" s="6" t="s">
        <v>370</v>
      </c>
      <c r="B99" s="6" t="s">
        <v>16</v>
      </c>
      <c r="C99" s="6" t="s">
        <v>12</v>
      </c>
      <c r="D99" s="7" t="s">
        <v>371</v>
      </c>
      <c r="E99" s="8" t="s">
        <v>372</v>
      </c>
      <c r="F99" s="6" t="s">
        <v>373</v>
      </c>
      <c r="G99" s="9">
        <f>IF(A99=1,"_",IF(C99="_","???",C99))</f>
        <v/>
      </c>
      <c r="H99" s="10" t="s">
        <v>12</v>
      </c>
      <c r="I99" s="11" t="s">
        <v>12</v>
      </c>
      <c r="J99" s="12"/>
    </row>
    <row r="100" spans="1:10" ht="60" customHeight="1">
      <c r="A100" s="6" t="s">
        <v>374</v>
      </c>
      <c r="B100" s="6" t="s">
        <v>11</v>
      </c>
      <c r="C100" s="6" t="s">
        <v>102</v>
      </c>
      <c r="D100" s="7" t="s">
        <v>375</v>
      </c>
      <c r="E100" s="8" t="s">
        <v>376</v>
      </c>
      <c r="F100" s="6" t="s">
        <v>377</v>
      </c>
      <c r="G100" s="9">
        <f>IF(A100=1,"_",IF(C100="_","???",C100))</f>
        <v/>
      </c>
      <c r="H100" s="10" t="s">
        <v>12</v>
      </c>
      <c r="I100" s="11" t="s">
        <v>12</v>
      </c>
      <c r="J100" s="12"/>
    </row>
    <row r="101" spans="1:10" ht="60" customHeight="1">
      <c r="A101" s="6" t="s">
        <v>378</v>
      </c>
      <c r="B101" s="6" t="s">
        <v>11</v>
      </c>
      <c r="C101" s="6" t="s">
        <v>379</v>
      </c>
      <c r="D101" s="7" t="s">
        <v>380</v>
      </c>
      <c r="E101" s="8" t="s">
        <v>381</v>
      </c>
      <c r="F101" s="6" t="s">
        <v>382</v>
      </c>
      <c r="G101" s="9">
        <f>IF(A101=1,"_",IF(C101="_","???",C101))</f>
        <v/>
      </c>
      <c r="H101" s="10" t="s">
        <v>12</v>
      </c>
      <c r="I101" s="11" t="s">
        <v>12</v>
      </c>
      <c r="J101" s="12"/>
    </row>
    <row r="102" spans="1:10" ht="60" customHeight="1">
      <c r="A102" s="6" t="s">
        <v>383</v>
      </c>
      <c r="B102" s="6" t="s">
        <v>11</v>
      </c>
      <c r="C102" s="6" t="s">
        <v>40</v>
      </c>
      <c r="D102" s="7" t="s">
        <v>90</v>
      </c>
      <c r="E102" s="8" t="s">
        <v>384</v>
      </c>
      <c r="F102" s="6" t="s">
        <v>385</v>
      </c>
      <c r="G102" s="9">
        <f>IF(A102=1,"_",IF(C102="_","???",C102))</f>
        <v/>
      </c>
      <c r="H102" s="10" t="s">
        <v>12</v>
      </c>
      <c r="I102" s="11" t="s">
        <v>12</v>
      </c>
      <c r="J102" s="12"/>
    </row>
    <row r="103" spans="1:10" ht="60" customHeight="1">
      <c r="A103" s="6" t="s">
        <v>386</v>
      </c>
      <c r="B103" s="6" t="s">
        <v>34</v>
      </c>
      <c r="C103" s="6" t="s">
        <v>387</v>
      </c>
      <c r="D103" s="7" t="s">
        <v>388</v>
      </c>
      <c r="E103" s="8" t="s">
        <v>389</v>
      </c>
      <c r="F103" s="6" t="s">
        <v>390</v>
      </c>
      <c r="G103" s="9">
        <f>IF(A103=1,"_",IF(C103="_","???",C103))</f>
        <v/>
      </c>
      <c r="H103" s="10" t="s">
        <v>12</v>
      </c>
      <c r="I103" s="11" t="s">
        <v>12</v>
      </c>
      <c r="J103" s="12"/>
    </row>
    <row r="104" spans="1:10" ht="60" customHeight="1">
      <c r="A104" s="6" t="s">
        <v>391</v>
      </c>
      <c r="B104" s="6" t="s">
        <v>49</v>
      </c>
      <c r="C104" s="6" t="s">
        <v>330</v>
      </c>
      <c r="D104" s="7" t="s">
        <v>82</v>
      </c>
      <c r="E104" s="8" t="s">
        <v>392</v>
      </c>
      <c r="F104" s="6" t="s">
        <v>393</v>
      </c>
      <c r="G104" s="9">
        <f>IF(A104=1,"_",IF(C104="_","???",C104))</f>
        <v/>
      </c>
      <c r="H104" s="10" t="s">
        <v>12</v>
      </c>
      <c r="I104" s="11" t="s">
        <v>12</v>
      </c>
      <c r="J104" s="12"/>
    </row>
    <row r="105" spans="1:10" ht="60" customHeight="1">
      <c r="A105" s="6" t="s">
        <v>394</v>
      </c>
      <c r="B105" s="6" t="s">
        <v>16</v>
      </c>
      <c r="C105" s="6" t="s">
        <v>12</v>
      </c>
      <c r="D105" s="7" t="s">
        <v>259</v>
      </c>
      <c r="E105" s="8" t="s">
        <v>395</v>
      </c>
      <c r="F105" s="6" t="s">
        <v>396</v>
      </c>
      <c r="G105" s="9">
        <f>IF(A105=1,"_",IF(C105="_","???",C105))</f>
        <v/>
      </c>
      <c r="H105" s="10" t="s">
        <v>12</v>
      </c>
      <c r="I105" s="11" t="s">
        <v>12</v>
      </c>
      <c r="J105" s="12"/>
    </row>
    <row r="106" spans="1:10" ht="60" customHeight="1">
      <c r="A106" s="6" t="s">
        <v>397</v>
      </c>
      <c r="B106" s="6" t="s">
        <v>22</v>
      </c>
      <c r="C106" s="6" t="s">
        <v>146</v>
      </c>
      <c r="D106" s="7" t="s">
        <v>398</v>
      </c>
      <c r="E106" s="8" t="s">
        <v>399</v>
      </c>
      <c r="F106" s="6" t="s">
        <v>400</v>
      </c>
      <c r="G106" s="9">
        <f>IF(A106=1,"_",IF(C106="_","???",C106))</f>
        <v/>
      </c>
      <c r="H106" s="10" t="s">
        <v>12</v>
      </c>
      <c r="I106" s="11" t="s">
        <v>12</v>
      </c>
      <c r="J106" s="12"/>
    </row>
    <row r="107" spans="1:10" ht="60" customHeight="1">
      <c r="A107" s="6" t="s">
        <v>401</v>
      </c>
      <c r="B107" s="6" t="s">
        <v>53</v>
      </c>
      <c r="C107" s="6" t="s">
        <v>12</v>
      </c>
      <c r="D107" s="7" t="s">
        <v>402</v>
      </c>
      <c r="E107" s="8" t="s">
        <v>403</v>
      </c>
      <c r="F107" s="6" t="s">
        <v>404</v>
      </c>
      <c r="G107" s="9">
        <f>IF(A107=1,"_",IF(C107="_","???",C107))</f>
        <v/>
      </c>
      <c r="H107" s="10" t="s">
        <v>12</v>
      </c>
      <c r="I107" s="11" t="s">
        <v>12</v>
      </c>
      <c r="J107" s="12"/>
    </row>
    <row r="108" spans="1:10" ht="60" customHeight="1">
      <c r="A108" s="6" t="s">
        <v>405</v>
      </c>
      <c r="B108" s="6" t="s">
        <v>16</v>
      </c>
      <c r="C108" s="6" t="s">
        <v>12</v>
      </c>
      <c r="D108" s="7" t="s">
        <v>406</v>
      </c>
      <c r="E108" s="8" t="s">
        <v>407</v>
      </c>
      <c r="F108" s="6" t="s">
        <v>408</v>
      </c>
      <c r="G108" s="9">
        <f>IF(A108=1,"_",IF(C108="_","???",C108))</f>
        <v/>
      </c>
      <c r="H108" s="10" t="s">
        <v>12</v>
      </c>
      <c r="I108" s="11" t="s">
        <v>12</v>
      </c>
      <c r="J108" s="12"/>
    </row>
    <row r="109" spans="1:10" ht="60" customHeight="1">
      <c r="A109" s="6" t="s">
        <v>409</v>
      </c>
      <c r="B109" s="6" t="s">
        <v>61</v>
      </c>
      <c r="C109" s="6" t="s">
        <v>330</v>
      </c>
      <c r="D109" s="7" t="s">
        <v>410</v>
      </c>
      <c r="E109" s="8" t="s">
        <v>411</v>
      </c>
      <c r="F109" s="6" t="s">
        <v>412</v>
      </c>
      <c r="G109" s="9">
        <f>IF(A109=1,"_",IF(C109="_","???",C109))</f>
        <v/>
      </c>
      <c r="H109" s="10" t="s">
        <v>12</v>
      </c>
      <c r="I109" s="11" t="s">
        <v>12</v>
      </c>
      <c r="J109" s="12"/>
    </row>
    <row r="110" spans="1:10" ht="60" customHeight="1">
      <c r="A110" s="6" t="s">
        <v>413</v>
      </c>
      <c r="B110" s="6" t="s">
        <v>16</v>
      </c>
      <c r="C110" s="6" t="s">
        <v>12</v>
      </c>
      <c r="D110" s="7" t="s">
        <v>82</v>
      </c>
      <c r="E110" s="8" t="s">
        <v>414</v>
      </c>
      <c r="F110" s="6" t="s">
        <v>415</v>
      </c>
      <c r="G110" s="9">
        <f>IF(A110=1,"_",IF(C110="_","???",C110))</f>
        <v/>
      </c>
      <c r="H110" s="10" t="s">
        <v>12</v>
      </c>
      <c r="I110" s="11" t="s">
        <v>12</v>
      </c>
      <c r="J110" s="12"/>
    </row>
    <row r="111" spans="1:10" ht="60" customHeight="1">
      <c r="A111" s="6" t="s">
        <v>416</v>
      </c>
      <c r="B111" s="6" t="s">
        <v>73</v>
      </c>
      <c r="C111" s="6" t="s">
        <v>12</v>
      </c>
      <c r="D111" s="7" t="s">
        <v>417</v>
      </c>
      <c r="E111" s="8" t="s">
        <v>418</v>
      </c>
      <c r="F111" s="6" t="s">
        <v>419</v>
      </c>
      <c r="G111" s="9">
        <f>IF(A111=1,"_",IF(C111="_","???",C111))</f>
        <v/>
      </c>
      <c r="H111" s="10" t="s">
        <v>12</v>
      </c>
      <c r="I111" s="11" t="s">
        <v>12</v>
      </c>
      <c r="J111" s="12"/>
    </row>
    <row r="112" spans="1:10" ht="60" customHeight="1">
      <c r="A112" s="6" t="s">
        <v>420</v>
      </c>
      <c r="B112" s="6" t="s">
        <v>17</v>
      </c>
      <c r="C112" s="6" t="s">
        <v>40</v>
      </c>
      <c r="D112" s="7" t="s">
        <v>421</v>
      </c>
      <c r="E112" s="8" t="s">
        <v>422</v>
      </c>
      <c r="F112" s="6" t="s">
        <v>423</v>
      </c>
      <c r="G112" s="9">
        <f>IF(A112=1,"_",IF(C112="_","???",C112))</f>
        <v/>
      </c>
      <c r="H112" s="10" t="s">
        <v>12</v>
      </c>
      <c r="I112" s="11" t="s">
        <v>12</v>
      </c>
      <c r="J112" s="12"/>
    </row>
    <row r="113" spans="1:10" ht="60" customHeight="1">
      <c r="A113" s="6" t="s">
        <v>424</v>
      </c>
      <c r="B113" s="6" t="s">
        <v>22</v>
      </c>
      <c r="C113" s="6" t="s">
        <v>425</v>
      </c>
      <c r="D113" s="7" t="s">
        <v>426</v>
      </c>
      <c r="E113" s="8" t="s">
        <v>427</v>
      </c>
      <c r="F113" s="6" t="s">
        <v>428</v>
      </c>
      <c r="G113" s="9">
        <f>IF(A113=1,"_",IF(C113="_","???",C113))</f>
        <v/>
      </c>
      <c r="H113" s="10" t="s">
        <v>12</v>
      </c>
      <c r="I113" s="11" t="s">
        <v>12</v>
      </c>
      <c r="J113" s="12"/>
    </row>
    <row r="114" spans="1:10" ht="60" customHeight="1">
      <c r="A114" s="6" t="s">
        <v>429</v>
      </c>
      <c r="B114" s="6" t="s">
        <v>61</v>
      </c>
      <c r="C114" s="6" t="s">
        <v>30</v>
      </c>
      <c r="D114" s="7" t="s">
        <v>90</v>
      </c>
      <c r="E114" s="8" t="s">
        <v>430</v>
      </c>
      <c r="F114" s="6" t="s">
        <v>431</v>
      </c>
      <c r="G114" s="9">
        <f>IF(A114=1,"_",IF(C114="_","???",C114))</f>
        <v/>
      </c>
      <c r="H114" s="10" t="s">
        <v>12</v>
      </c>
      <c r="I114" s="11" t="s">
        <v>12</v>
      </c>
      <c r="J114" s="12"/>
    </row>
    <row r="115" spans="1:10" ht="60" customHeight="1">
      <c r="A115" s="6" t="s">
        <v>432</v>
      </c>
      <c r="B115" s="6" t="s">
        <v>17</v>
      </c>
      <c r="C115" s="6" t="s">
        <v>146</v>
      </c>
      <c r="D115" s="7" t="s">
        <v>142</v>
      </c>
      <c r="E115" s="8" t="s">
        <v>433</v>
      </c>
      <c r="F115" s="6" t="s">
        <v>434</v>
      </c>
      <c r="G115" s="9">
        <f>IF(A115=1,"_",IF(C115="_","???",C115))</f>
        <v/>
      </c>
      <c r="H115" s="10" t="s">
        <v>12</v>
      </c>
      <c r="I115" s="11" t="s">
        <v>12</v>
      </c>
      <c r="J115" s="12"/>
    </row>
    <row r="116" spans="1:10" ht="60" customHeight="1">
      <c r="A116" s="6" t="s">
        <v>435</v>
      </c>
      <c r="B116" s="6" t="s">
        <v>16</v>
      </c>
      <c r="C116" s="6" t="s">
        <v>436</v>
      </c>
      <c r="D116" s="7" t="s">
        <v>90</v>
      </c>
      <c r="E116" s="8" t="s">
        <v>437</v>
      </c>
      <c r="F116" s="6" t="s">
        <v>438</v>
      </c>
      <c r="G116" s="9">
        <f>IF(A116=1,"_",IF(C116="_","???",C116))</f>
        <v/>
      </c>
      <c r="H116" s="10" t="s">
        <v>12</v>
      </c>
      <c r="I116" s="11" t="s">
        <v>12</v>
      </c>
      <c r="J116" s="12"/>
    </row>
    <row r="117" spans="1:10" ht="60" customHeight="1">
      <c r="A117" s="6" t="s">
        <v>439</v>
      </c>
      <c r="B117" s="6" t="s">
        <v>35</v>
      </c>
      <c r="C117" s="6" t="s">
        <v>214</v>
      </c>
      <c r="D117" s="7" t="s">
        <v>398</v>
      </c>
      <c r="E117" s="8" t="s">
        <v>440</v>
      </c>
      <c r="F117" s="6" t="s">
        <v>441</v>
      </c>
      <c r="G117" s="9">
        <f>IF(A117=1,"_",IF(C117="_","???",C117))</f>
        <v/>
      </c>
      <c r="H117" s="10" t="s">
        <v>12</v>
      </c>
      <c r="I117" s="11" t="s">
        <v>12</v>
      </c>
      <c r="J117" s="12"/>
    </row>
    <row r="118" spans="1:10" ht="60" customHeight="1">
      <c r="A118" s="6" t="s">
        <v>442</v>
      </c>
      <c r="B118" s="6" t="s">
        <v>34</v>
      </c>
      <c r="C118" s="6" t="s">
        <v>36</v>
      </c>
      <c r="D118" s="7" t="s">
        <v>13</v>
      </c>
      <c r="E118" s="8" t="s">
        <v>443</v>
      </c>
      <c r="F118" s="6" t="s">
        <v>444</v>
      </c>
      <c r="G118" s="9">
        <f>IF(A118=1,"_",IF(C118="_","???",C118))</f>
        <v/>
      </c>
      <c r="H118" s="10" t="s">
        <v>12</v>
      </c>
      <c r="I118" s="11" t="s">
        <v>12</v>
      </c>
      <c r="J118" s="12"/>
    </row>
    <row r="119" spans="1:10" ht="60" customHeight="1">
      <c r="A119" s="6" t="s">
        <v>445</v>
      </c>
      <c r="B119" s="6" t="s">
        <v>17</v>
      </c>
      <c r="C119" s="6" t="s">
        <v>12</v>
      </c>
      <c r="D119" s="7" t="s">
        <v>82</v>
      </c>
      <c r="E119" s="8" t="s">
        <v>446</v>
      </c>
      <c r="F119" s="6" t="s">
        <v>447</v>
      </c>
      <c r="G119" s="9">
        <f>IF(A119=1,"_",IF(C119="_","???",C119))</f>
        <v/>
      </c>
      <c r="H119" s="10" t="s">
        <v>12</v>
      </c>
      <c r="I119" s="11" t="s">
        <v>12</v>
      </c>
      <c r="J119" s="12"/>
    </row>
    <row r="120" spans="1:10" ht="60" customHeight="1">
      <c r="A120" s="6" t="s">
        <v>448</v>
      </c>
      <c r="B120" s="6" t="s">
        <v>43</v>
      </c>
      <c r="C120" s="6" t="s">
        <v>45</v>
      </c>
      <c r="D120" s="7" t="s">
        <v>259</v>
      </c>
      <c r="E120" s="8" t="s">
        <v>449</v>
      </c>
      <c r="F120" s="6" t="s">
        <v>450</v>
      </c>
      <c r="G120" s="9">
        <f>IF(A120=1,"_",IF(C120="_","???",C120))</f>
        <v/>
      </c>
      <c r="H120" s="10" t="s">
        <v>12</v>
      </c>
      <c r="I120" s="11" t="s">
        <v>12</v>
      </c>
      <c r="J120" s="12"/>
    </row>
    <row r="121" spans="1:10" ht="60" customHeight="1">
      <c r="A121" s="6" t="s">
        <v>451</v>
      </c>
      <c r="B121" s="6" t="s">
        <v>16</v>
      </c>
      <c r="C121" s="6" t="s">
        <v>23</v>
      </c>
      <c r="D121" s="7" t="s">
        <v>452</v>
      </c>
      <c r="E121" s="8" t="s">
        <v>453</v>
      </c>
      <c r="F121" s="6" t="s">
        <v>454</v>
      </c>
      <c r="G121" s="9">
        <f>IF(A121=1,"_",IF(C121="_","???",C121))</f>
        <v/>
      </c>
      <c r="H121" s="10" t="s">
        <v>12</v>
      </c>
      <c r="I121" s="11" t="s">
        <v>12</v>
      </c>
      <c r="J121" s="12"/>
    </row>
    <row r="122" spans="1:10" ht="60" customHeight="1">
      <c r="A122" s="6" t="s">
        <v>455</v>
      </c>
      <c r="B122" s="6" t="s">
        <v>43</v>
      </c>
      <c r="C122" s="6" t="s">
        <v>303</v>
      </c>
      <c r="D122" s="7" t="s">
        <v>456</v>
      </c>
      <c r="E122" s="8" t="s">
        <v>457</v>
      </c>
      <c r="F122" s="6" t="s">
        <v>458</v>
      </c>
      <c r="G122" s="9">
        <f>IF(A122=1,"_",IF(C122="_","???",C122))</f>
        <v/>
      </c>
      <c r="H122" s="10" t="s">
        <v>12</v>
      </c>
      <c r="I122" s="11" t="s">
        <v>12</v>
      </c>
      <c r="J122" s="12"/>
    </row>
    <row r="123" spans="1:10" ht="60" customHeight="1">
      <c r="A123" s="6" t="s">
        <v>459</v>
      </c>
      <c r="B123" s="6" t="s">
        <v>61</v>
      </c>
      <c r="C123" s="6" t="s">
        <v>174</v>
      </c>
      <c r="D123" s="7" t="s">
        <v>259</v>
      </c>
      <c r="E123" s="8" t="s">
        <v>460</v>
      </c>
      <c r="F123" s="6" t="s">
        <v>461</v>
      </c>
      <c r="G123" s="9">
        <f>IF(A123=1,"_",IF(C123="_","???",C123))</f>
        <v/>
      </c>
      <c r="H123" s="10" t="s">
        <v>12</v>
      </c>
      <c r="I123" s="11" t="s">
        <v>12</v>
      </c>
      <c r="J123" s="12"/>
    </row>
    <row r="124" spans="1:10" ht="60" customHeight="1">
      <c r="A124" s="6" t="s">
        <v>462</v>
      </c>
      <c r="B124" s="6" t="s">
        <v>34</v>
      </c>
      <c r="C124" s="6" t="s">
        <v>12</v>
      </c>
      <c r="D124" s="7" t="s">
        <v>13</v>
      </c>
      <c r="E124" s="8" t="s">
        <v>463</v>
      </c>
      <c r="F124" s="6" t="s">
        <v>464</v>
      </c>
      <c r="G124" s="9">
        <f>IF(A124=1,"_",IF(C124="_","???",C124))</f>
        <v/>
      </c>
      <c r="H124" s="10" t="s">
        <v>12</v>
      </c>
      <c r="I124" s="11" t="s">
        <v>12</v>
      </c>
      <c r="J124" s="12"/>
    </row>
    <row r="125" spans="1:10" ht="60" customHeight="1">
      <c r="A125" s="6" t="s">
        <v>465</v>
      </c>
      <c r="B125" s="6" t="s">
        <v>10</v>
      </c>
      <c r="C125" s="6" t="s">
        <v>12</v>
      </c>
      <c r="D125" s="7" t="s">
        <v>466</v>
      </c>
      <c r="E125" s="8" t="s">
        <v>467</v>
      </c>
      <c r="F125" s="6" t="s">
        <v>468</v>
      </c>
      <c r="G125" s="9">
        <f>IF(A125=1,"_",IF(C125="_","???",C125))</f>
        <v/>
      </c>
      <c r="H125" s="10" t="s">
        <v>12</v>
      </c>
      <c r="I125" s="11" t="s">
        <v>12</v>
      </c>
      <c r="J125" s="12"/>
    </row>
    <row r="126" spans="1:10" ht="60" customHeight="1">
      <c r="A126" s="6" t="s">
        <v>469</v>
      </c>
      <c r="B126" s="6" t="s">
        <v>16</v>
      </c>
      <c r="C126" s="6" t="s">
        <v>12</v>
      </c>
      <c r="D126" s="7" t="s">
        <v>406</v>
      </c>
      <c r="E126" s="8" t="s">
        <v>470</v>
      </c>
      <c r="F126" s="6" t="s">
        <v>471</v>
      </c>
      <c r="G126" s="9">
        <f>IF(A126=1,"_",IF(C126="_","???",C126))</f>
        <v/>
      </c>
      <c r="H126" s="10" t="s">
        <v>12</v>
      </c>
      <c r="I126" s="11" t="s">
        <v>12</v>
      </c>
      <c r="J126" s="12"/>
    </row>
    <row r="127" spans="1:10" ht="60" customHeight="1">
      <c r="A127" s="6" t="s">
        <v>472</v>
      </c>
      <c r="B127" s="6" t="s">
        <v>17</v>
      </c>
      <c r="C127" s="6" t="s">
        <v>12</v>
      </c>
      <c r="D127" s="7" t="s">
        <v>259</v>
      </c>
      <c r="E127" s="8" t="s">
        <v>473</v>
      </c>
      <c r="F127" s="6" t="s">
        <v>474</v>
      </c>
      <c r="G127" s="9">
        <f>IF(A127=1,"_",IF(C127="_","???",C127))</f>
        <v/>
      </c>
      <c r="H127" s="10" t="s">
        <v>12</v>
      </c>
      <c r="I127" s="11" t="s">
        <v>12</v>
      </c>
      <c r="J127" s="12"/>
    </row>
    <row r="128" spans="1:10" ht="60" customHeight="1">
      <c r="A128" s="6" t="s">
        <v>475</v>
      </c>
      <c r="B128" s="6" t="s">
        <v>49</v>
      </c>
      <c r="C128" s="6" t="s">
        <v>12</v>
      </c>
      <c r="D128" s="7" t="s">
        <v>259</v>
      </c>
      <c r="E128" s="8" t="s">
        <v>476</v>
      </c>
      <c r="F128" s="6" t="s">
        <v>477</v>
      </c>
      <c r="G128" s="9">
        <f>IF(A128=1,"_",IF(C128="_","???",C128))</f>
        <v/>
      </c>
      <c r="H128" s="10" t="s">
        <v>12</v>
      </c>
      <c r="I128" s="11" t="s">
        <v>12</v>
      </c>
      <c r="J128" s="12"/>
    </row>
    <row r="129" spans="1:10" ht="60" customHeight="1">
      <c r="A129" s="6" t="s">
        <v>478</v>
      </c>
      <c r="B129" s="6" t="s">
        <v>43</v>
      </c>
      <c r="C129" s="6" t="s">
        <v>12</v>
      </c>
      <c r="D129" s="7" t="s">
        <v>479</v>
      </c>
      <c r="E129" s="8" t="s">
        <v>480</v>
      </c>
      <c r="F129" s="6" t="s">
        <v>481</v>
      </c>
      <c r="G129" s="9">
        <f>IF(A129=1,"_",IF(C129="_","???",C129))</f>
        <v/>
      </c>
      <c r="H129" s="10" t="s">
        <v>12</v>
      </c>
      <c r="I129" s="11" t="s">
        <v>12</v>
      </c>
      <c r="J129" s="12"/>
    </row>
    <row r="130" spans="1:10" ht="60" customHeight="1">
      <c r="A130" s="6" t="s">
        <v>482</v>
      </c>
      <c r="B130" s="6" t="s">
        <v>16</v>
      </c>
      <c r="C130" s="6" t="s">
        <v>12</v>
      </c>
      <c r="D130" s="7" t="s">
        <v>483</v>
      </c>
      <c r="E130" s="8" t="s">
        <v>484</v>
      </c>
      <c r="F130" s="6" t="s">
        <v>485</v>
      </c>
      <c r="G130" s="9">
        <f>IF(A130=1,"_",IF(C130="_","???",C130))</f>
        <v/>
      </c>
      <c r="H130" s="10" t="s">
        <v>12</v>
      </c>
      <c r="I130" s="11" t="s">
        <v>12</v>
      </c>
      <c r="J130" s="12"/>
    </row>
    <row r="131" spans="1:10" ht="60" customHeight="1">
      <c r="A131" s="6" t="s">
        <v>486</v>
      </c>
      <c r="B131" s="6" t="s">
        <v>17</v>
      </c>
      <c r="C131" s="6" t="s">
        <v>30</v>
      </c>
      <c r="D131" s="7" t="s">
        <v>296</v>
      </c>
      <c r="E131" s="8" t="s">
        <v>487</v>
      </c>
      <c r="F131" s="6" t="s">
        <v>488</v>
      </c>
      <c r="G131" s="9">
        <f>IF(A131=1,"_",IF(C131="_","???",C131))</f>
        <v/>
      </c>
      <c r="H131" s="10" t="s">
        <v>12</v>
      </c>
      <c r="I131" s="11" t="s">
        <v>12</v>
      </c>
      <c r="J131" s="12"/>
    </row>
    <row r="132" spans="1:10" ht="60" customHeight="1">
      <c r="A132" s="6" t="s">
        <v>489</v>
      </c>
      <c r="B132" s="6" t="s">
        <v>11</v>
      </c>
      <c r="C132" s="6" t="s">
        <v>12</v>
      </c>
      <c r="D132" s="7" t="s">
        <v>90</v>
      </c>
      <c r="E132" s="8" t="s">
        <v>490</v>
      </c>
      <c r="F132" s="6" t="s">
        <v>491</v>
      </c>
      <c r="G132" s="9">
        <f>IF(A132=1,"_",IF(C132="_","???",C132))</f>
        <v/>
      </c>
      <c r="H132" s="10" t="s">
        <v>12</v>
      </c>
      <c r="I132" s="11" t="s">
        <v>12</v>
      </c>
      <c r="J132" s="12"/>
    </row>
    <row r="133" spans="1:10" ht="60" customHeight="1">
      <c r="A133" s="6" t="s">
        <v>492</v>
      </c>
      <c r="B133" s="6" t="s">
        <v>10</v>
      </c>
      <c r="C133" s="6" t="s">
        <v>12</v>
      </c>
      <c r="D133" s="7" t="s">
        <v>493</v>
      </c>
      <c r="E133" s="8" t="s">
        <v>493</v>
      </c>
      <c r="F133" s="6" t="s">
        <v>494</v>
      </c>
      <c r="G133" s="9">
        <f>IF(A133=1,"_",IF(C133="_","???",C133))</f>
        <v/>
      </c>
      <c r="H133" s="10" t="s">
        <v>12</v>
      </c>
      <c r="I133" s="11" t="s">
        <v>12</v>
      </c>
      <c r="J133" s="12"/>
    </row>
    <row r="134" spans="1:10" ht="60" customHeight="1">
      <c r="A134" s="6" t="s">
        <v>495</v>
      </c>
      <c r="B134" s="6" t="s">
        <v>11</v>
      </c>
      <c r="C134" s="6" t="s">
        <v>30</v>
      </c>
      <c r="D134" s="7" t="s">
        <v>496</v>
      </c>
      <c r="E134" s="8" t="s">
        <v>497</v>
      </c>
      <c r="F134" s="6" t="s">
        <v>498</v>
      </c>
      <c r="G134" s="9">
        <f>IF(A134=1,"_",IF(C134="_","???",C134))</f>
        <v/>
      </c>
      <c r="H134" s="10" t="s">
        <v>12</v>
      </c>
      <c r="I134" s="11" t="s">
        <v>12</v>
      </c>
      <c r="J134" s="12"/>
    </row>
    <row r="135" spans="1:10" ht="60" customHeight="1">
      <c r="A135" s="6" t="s">
        <v>499</v>
      </c>
      <c r="B135" s="6" t="s">
        <v>35</v>
      </c>
      <c r="C135" s="6" t="s">
        <v>12</v>
      </c>
      <c r="D135" s="7" t="s">
        <v>500</v>
      </c>
      <c r="E135" s="8" t="s">
        <v>501</v>
      </c>
      <c r="F135" s="6" t="s">
        <v>502</v>
      </c>
      <c r="G135" s="9">
        <f>IF(A135=1,"_",IF(C135="_","???",C135))</f>
        <v/>
      </c>
      <c r="H135" s="10" t="s">
        <v>12</v>
      </c>
      <c r="I135" s="11" t="s">
        <v>12</v>
      </c>
      <c r="J135" s="12"/>
    </row>
    <row r="136" spans="1:10" ht="60" customHeight="1">
      <c r="A136" s="6" t="s">
        <v>503</v>
      </c>
      <c r="B136" s="6" t="s">
        <v>16</v>
      </c>
      <c r="C136" s="6" t="s">
        <v>12</v>
      </c>
      <c r="D136" s="7" t="s">
        <v>82</v>
      </c>
      <c r="E136" s="8" t="s">
        <v>504</v>
      </c>
      <c r="F136" s="6" t="s">
        <v>505</v>
      </c>
      <c r="G136" s="9">
        <f>IF(A136=1,"_",IF(C136="_","???",C136))</f>
        <v/>
      </c>
      <c r="H136" s="10" t="s">
        <v>12</v>
      </c>
      <c r="I136" s="11" t="s">
        <v>12</v>
      </c>
      <c r="J136" s="12"/>
    </row>
    <row r="137" spans="1:10" ht="60" customHeight="1">
      <c r="A137" s="6" t="s">
        <v>506</v>
      </c>
      <c r="B137" s="6" t="s">
        <v>11</v>
      </c>
      <c r="C137" s="6" t="s">
        <v>12</v>
      </c>
      <c r="D137" s="7" t="s">
        <v>507</v>
      </c>
      <c r="E137" s="8" t="s">
        <v>508</v>
      </c>
      <c r="F137" s="6" t="s">
        <v>509</v>
      </c>
      <c r="G137" s="9">
        <f>IF(A137=1,"_",IF(C137="_","???",C137))</f>
        <v/>
      </c>
      <c r="H137" s="10" t="s">
        <v>12</v>
      </c>
      <c r="I137" s="11" t="s">
        <v>12</v>
      </c>
      <c r="J137" s="12"/>
    </row>
    <row r="138" spans="1:10" ht="60" customHeight="1">
      <c r="A138" s="6" t="s">
        <v>510</v>
      </c>
      <c r="B138" s="6" t="s">
        <v>117</v>
      </c>
      <c r="C138" s="6" t="s">
        <v>511</v>
      </c>
      <c r="D138" s="7" t="s">
        <v>313</v>
      </c>
      <c r="E138" s="8" t="s">
        <v>512</v>
      </c>
      <c r="F138" s="6" t="s">
        <v>513</v>
      </c>
      <c r="G138" s="9">
        <f>IF(A138=1,"_",IF(C138="_","???",C138))</f>
        <v/>
      </c>
      <c r="H138" s="10" t="s">
        <v>12</v>
      </c>
      <c r="I138" s="11" t="s">
        <v>12</v>
      </c>
      <c r="J138" s="12"/>
    </row>
    <row r="139" spans="1:10" ht="60" customHeight="1">
      <c r="A139" s="6" t="s">
        <v>514</v>
      </c>
      <c r="B139" s="6" t="s">
        <v>16</v>
      </c>
      <c r="C139" s="6" t="s">
        <v>12</v>
      </c>
      <c r="D139" s="7" t="s">
        <v>515</v>
      </c>
      <c r="E139" s="8" t="s">
        <v>516</v>
      </c>
      <c r="F139" s="6" t="s">
        <v>517</v>
      </c>
      <c r="G139" s="9">
        <f>IF(A139=1,"_",IF(C139="_","???",C139))</f>
        <v/>
      </c>
      <c r="H139" s="10" t="s">
        <v>12</v>
      </c>
      <c r="I139" s="11" t="s">
        <v>12</v>
      </c>
      <c r="J139" s="12"/>
    </row>
    <row r="140" spans="1:10" ht="60" customHeight="1">
      <c r="A140" s="6" t="s">
        <v>518</v>
      </c>
      <c r="B140" s="6" t="s">
        <v>34</v>
      </c>
      <c r="C140" s="6" t="s">
        <v>45</v>
      </c>
      <c r="D140" s="7" t="s">
        <v>519</v>
      </c>
      <c r="E140" s="8" t="s">
        <v>520</v>
      </c>
      <c r="F140" s="6" t="s">
        <v>521</v>
      </c>
      <c r="G140" s="9">
        <f>IF(A140=1,"_",IF(C140="_","???",C140))</f>
        <v/>
      </c>
      <c r="H140" s="10" t="s">
        <v>12</v>
      </c>
      <c r="I140" s="11" t="s">
        <v>12</v>
      </c>
      <c r="J140" s="12"/>
    </row>
    <row r="141" spans="1:10" ht="60" customHeight="1">
      <c r="A141" s="6" t="s">
        <v>522</v>
      </c>
      <c r="B141" s="6" t="s">
        <v>22</v>
      </c>
      <c r="C141" s="6" t="s">
        <v>18</v>
      </c>
      <c r="D141" s="7" t="s">
        <v>245</v>
      </c>
      <c r="E141" s="8" t="s">
        <v>523</v>
      </c>
      <c r="F141" s="6" t="s">
        <v>524</v>
      </c>
      <c r="G141" s="9">
        <f>IF(A141=1,"_",IF(C141="_","???",C141))</f>
        <v/>
      </c>
      <c r="H141" s="10" t="s">
        <v>12</v>
      </c>
      <c r="I141" s="11" t="s">
        <v>12</v>
      </c>
      <c r="J141" s="12"/>
    </row>
    <row r="142" spans="1:10" ht="60" customHeight="1">
      <c r="A142" s="6" t="s">
        <v>525</v>
      </c>
      <c r="B142" s="6" t="s">
        <v>11</v>
      </c>
      <c r="C142" s="6" t="s">
        <v>30</v>
      </c>
      <c r="D142" s="7" t="s">
        <v>245</v>
      </c>
      <c r="E142" s="8" t="s">
        <v>526</v>
      </c>
      <c r="F142" s="6" t="s">
        <v>527</v>
      </c>
      <c r="G142" s="9">
        <f>IF(A142=1,"_",IF(C142="_","???",C142))</f>
        <v/>
      </c>
      <c r="H142" s="10" t="s">
        <v>12</v>
      </c>
      <c r="I142" s="11" t="s">
        <v>12</v>
      </c>
      <c r="J142" s="12"/>
    </row>
    <row r="143" spans="1:10" ht="60" customHeight="1">
      <c r="A143" s="6" t="s">
        <v>528</v>
      </c>
      <c r="B143" s="6" t="s">
        <v>69</v>
      </c>
      <c r="C143" s="6" t="s">
        <v>12</v>
      </c>
      <c r="D143" s="7" t="s">
        <v>191</v>
      </c>
      <c r="E143" s="8" t="s">
        <v>529</v>
      </c>
      <c r="F143" s="6" t="s">
        <v>530</v>
      </c>
      <c r="G143" s="9">
        <f>IF(A143=1,"_",IF(C143="_","???",C143))</f>
        <v/>
      </c>
      <c r="H143" s="10" t="s">
        <v>12</v>
      </c>
      <c r="I143" s="11" t="s">
        <v>12</v>
      </c>
      <c r="J143" s="12"/>
    </row>
    <row r="144" spans="1:10" ht="60" customHeight="1">
      <c r="A144" s="6" t="s">
        <v>531</v>
      </c>
      <c r="B144" s="6" t="s">
        <v>16</v>
      </c>
      <c r="C144" s="6" t="s">
        <v>146</v>
      </c>
      <c r="D144" s="7" t="s">
        <v>532</v>
      </c>
      <c r="E144" s="8" t="s">
        <v>533</v>
      </c>
      <c r="F144" s="6" t="s">
        <v>534</v>
      </c>
      <c r="G144" s="9">
        <f>IF(A144=1,"_",IF(C144="_","???",C144))</f>
        <v/>
      </c>
      <c r="H144" s="10" t="s">
        <v>12</v>
      </c>
      <c r="I144" s="11" t="s">
        <v>12</v>
      </c>
      <c r="J144" s="12"/>
    </row>
    <row r="145" spans="1:10" ht="60" customHeight="1">
      <c r="A145" s="6" t="s">
        <v>535</v>
      </c>
      <c r="B145" s="6" t="s">
        <v>16</v>
      </c>
      <c r="C145" s="6" t="s">
        <v>12</v>
      </c>
      <c r="D145" s="7" t="s">
        <v>179</v>
      </c>
      <c r="E145" s="8" t="s">
        <v>536</v>
      </c>
      <c r="F145" s="6" t="s">
        <v>537</v>
      </c>
      <c r="G145" s="9">
        <f>IF(A145=1,"_",IF(C145="_","???",C145))</f>
        <v/>
      </c>
      <c r="H145" s="10" t="s">
        <v>12</v>
      </c>
      <c r="I145" s="11" t="s">
        <v>12</v>
      </c>
      <c r="J145" s="12"/>
    </row>
    <row r="146" spans="1:10" ht="60" customHeight="1">
      <c r="A146" s="6" t="s">
        <v>538</v>
      </c>
      <c r="B146" s="6" t="s">
        <v>43</v>
      </c>
      <c r="C146" s="6" t="s">
        <v>12</v>
      </c>
      <c r="D146" s="7" t="s">
        <v>539</v>
      </c>
      <c r="E146" s="8" t="s">
        <v>540</v>
      </c>
      <c r="F146" s="6" t="s">
        <v>541</v>
      </c>
      <c r="G146" s="9">
        <f>IF(A146=1,"_",IF(C146="_","???",C146))</f>
        <v/>
      </c>
      <c r="H146" s="10" t="s">
        <v>12</v>
      </c>
      <c r="I146" s="11" t="s">
        <v>12</v>
      </c>
      <c r="J146" s="12"/>
    </row>
    <row r="147" spans="1:10" ht="60" customHeight="1">
      <c r="A147" s="6" t="s">
        <v>542</v>
      </c>
      <c r="B147" s="6" t="s">
        <v>11</v>
      </c>
      <c r="C147" s="6" t="s">
        <v>12</v>
      </c>
      <c r="D147" s="7" t="s">
        <v>142</v>
      </c>
      <c r="E147" s="8" t="s">
        <v>543</v>
      </c>
      <c r="F147" s="6" t="s">
        <v>544</v>
      </c>
      <c r="G147" s="9">
        <f>IF(A147=1,"_",IF(C147="_","???",C147))</f>
        <v/>
      </c>
      <c r="H147" s="10" t="s">
        <v>12</v>
      </c>
      <c r="I147" s="11" t="s">
        <v>12</v>
      </c>
      <c r="J147" s="12"/>
    </row>
    <row r="148" spans="1:10" ht="60" customHeight="1">
      <c r="A148" s="6" t="s">
        <v>545</v>
      </c>
      <c r="B148" s="6" t="s">
        <v>16</v>
      </c>
      <c r="C148" s="6" t="s">
        <v>12</v>
      </c>
      <c r="D148" s="7" t="s">
        <v>546</v>
      </c>
      <c r="E148" s="8" t="s">
        <v>547</v>
      </c>
      <c r="F148" s="6" t="s">
        <v>548</v>
      </c>
      <c r="G148" s="9">
        <f>IF(A148=1,"_",IF(C148="_","???",C148))</f>
        <v/>
      </c>
      <c r="H148" s="10" t="s">
        <v>12</v>
      </c>
      <c r="I148" s="11" t="s">
        <v>12</v>
      </c>
      <c r="J148" s="12"/>
    </row>
    <row r="149" spans="1:10" ht="60" customHeight="1">
      <c r="A149" s="6" t="s">
        <v>549</v>
      </c>
      <c r="B149" s="6" t="s">
        <v>11</v>
      </c>
      <c r="C149" s="6" t="s">
        <v>36</v>
      </c>
      <c r="D149" s="7" t="s">
        <v>550</v>
      </c>
      <c r="E149" s="8" t="s">
        <v>551</v>
      </c>
      <c r="F149" s="6" t="s">
        <v>552</v>
      </c>
      <c r="G149" s="9">
        <f>IF(A149=1,"_",IF(C149="_","???",C149))</f>
        <v/>
      </c>
      <c r="H149" s="10" t="s">
        <v>12</v>
      </c>
      <c r="I149" s="11" t="s">
        <v>12</v>
      </c>
      <c r="J149" s="12"/>
    </row>
    <row r="150" spans="1:10" ht="60" customHeight="1">
      <c r="A150" s="6" t="s">
        <v>553</v>
      </c>
      <c r="B150" s="6" t="s">
        <v>65</v>
      </c>
      <c r="C150" s="6" t="s">
        <v>30</v>
      </c>
      <c r="D150" s="7" t="s">
        <v>90</v>
      </c>
      <c r="E150" s="8" t="s">
        <v>554</v>
      </c>
      <c r="F150" s="6" t="s">
        <v>555</v>
      </c>
      <c r="G150" s="9">
        <f>IF(A150=1,"_",IF(C150="_","???",C150))</f>
        <v/>
      </c>
      <c r="H150" s="10" t="s">
        <v>12</v>
      </c>
      <c r="I150" s="11" t="s">
        <v>12</v>
      </c>
      <c r="J150" s="12"/>
    </row>
    <row r="151" spans="1:10" ht="60" customHeight="1">
      <c r="A151" s="6" t="s">
        <v>556</v>
      </c>
      <c r="B151" s="6" t="s">
        <v>17</v>
      </c>
      <c r="C151" s="6" t="s">
        <v>23</v>
      </c>
      <c r="D151" s="7" t="s">
        <v>557</v>
      </c>
      <c r="E151" s="8" t="s">
        <v>558</v>
      </c>
      <c r="F151" s="6" t="s">
        <v>559</v>
      </c>
      <c r="G151" s="9">
        <f>IF(A151=1,"_",IF(C151="_","???",C151))</f>
        <v/>
      </c>
      <c r="H151" s="10" t="s">
        <v>12</v>
      </c>
      <c r="I151" s="11" t="s">
        <v>12</v>
      </c>
      <c r="J151" s="12"/>
    </row>
    <row r="152" spans="1:10" ht="60" customHeight="1">
      <c r="A152" s="6" t="s">
        <v>560</v>
      </c>
      <c r="B152" s="6" t="s">
        <v>16</v>
      </c>
      <c r="C152" s="6" t="s">
        <v>146</v>
      </c>
      <c r="D152" s="7" t="s">
        <v>66</v>
      </c>
      <c r="E152" s="8" t="s">
        <v>561</v>
      </c>
      <c r="F152" s="6" t="s">
        <v>562</v>
      </c>
      <c r="G152" s="9">
        <f>IF(A152=1,"_",IF(C152="_","???",C152))</f>
        <v/>
      </c>
      <c r="H152" s="10" t="s">
        <v>12</v>
      </c>
      <c r="I152" s="11" t="s">
        <v>12</v>
      </c>
      <c r="J152" s="12"/>
    </row>
    <row r="153" spans="1:10" ht="60" customHeight="1">
      <c r="A153" s="6" t="s">
        <v>563</v>
      </c>
      <c r="B153" s="6" t="s">
        <v>17</v>
      </c>
      <c r="C153" s="6" t="s">
        <v>12</v>
      </c>
      <c r="D153" s="7" t="s">
        <v>564</v>
      </c>
      <c r="E153" s="8" t="s">
        <v>565</v>
      </c>
      <c r="F153" s="6" t="s">
        <v>566</v>
      </c>
      <c r="G153" s="9">
        <f>IF(A153=1,"_",IF(C153="_","???",C153))</f>
        <v/>
      </c>
      <c r="H153" s="10" t="s">
        <v>12</v>
      </c>
      <c r="I153" s="11" t="s">
        <v>12</v>
      </c>
      <c r="J153" s="12"/>
    </row>
    <row r="154" spans="1:10" ht="60" customHeight="1">
      <c r="A154" s="6" t="s">
        <v>567</v>
      </c>
      <c r="B154" s="6" t="s">
        <v>34</v>
      </c>
      <c r="C154" s="6" t="s">
        <v>12</v>
      </c>
      <c r="D154" s="7" t="s">
        <v>479</v>
      </c>
      <c r="E154" s="8" t="s">
        <v>568</v>
      </c>
      <c r="F154" s="6" t="s">
        <v>569</v>
      </c>
      <c r="G154" s="9">
        <f>IF(A154=1,"_",IF(C154="_","???",C154))</f>
        <v/>
      </c>
      <c r="H154" s="10" t="s">
        <v>12</v>
      </c>
      <c r="I154" s="11" t="s">
        <v>12</v>
      </c>
      <c r="J154" s="12"/>
    </row>
    <row r="155" spans="1:10" ht="60" customHeight="1">
      <c r="A155" s="6" t="s">
        <v>570</v>
      </c>
      <c r="B155" s="6" t="s">
        <v>11</v>
      </c>
      <c r="C155" s="6" t="s">
        <v>387</v>
      </c>
      <c r="D155" s="7" t="s">
        <v>66</v>
      </c>
      <c r="E155" s="8" t="s">
        <v>571</v>
      </c>
      <c r="F155" s="6" t="s">
        <v>572</v>
      </c>
      <c r="G155" s="9">
        <f>IF(A155=1,"_",IF(C155="_","???",C155))</f>
        <v/>
      </c>
      <c r="H155" s="10" t="s">
        <v>12</v>
      </c>
      <c r="I155" s="11" t="s">
        <v>12</v>
      </c>
      <c r="J155" s="12"/>
    </row>
    <row r="156" spans="1:10" ht="60" customHeight="1">
      <c r="A156" s="6" t="s">
        <v>573</v>
      </c>
      <c r="B156" s="6" t="s">
        <v>49</v>
      </c>
      <c r="C156" s="6" t="s">
        <v>36</v>
      </c>
      <c r="D156" s="7" t="s">
        <v>574</v>
      </c>
      <c r="E156" s="8" t="s">
        <v>575</v>
      </c>
      <c r="F156" s="6" t="s">
        <v>576</v>
      </c>
      <c r="G156" s="9">
        <f>IF(A156=1,"_",IF(C156="_","???",C156))</f>
        <v/>
      </c>
      <c r="H156" s="10" t="s">
        <v>12</v>
      </c>
      <c r="I156" s="11" t="s">
        <v>12</v>
      </c>
      <c r="J156" s="12"/>
    </row>
    <row r="157" spans="1:10" ht="60" customHeight="1">
      <c r="A157" s="6" t="s">
        <v>577</v>
      </c>
      <c r="B157" s="6" t="s">
        <v>11</v>
      </c>
      <c r="C157" s="6" t="s">
        <v>12</v>
      </c>
      <c r="D157" s="7" t="s">
        <v>24</v>
      </c>
      <c r="E157" s="8" t="s">
        <v>578</v>
      </c>
      <c r="F157" s="6" t="s">
        <v>579</v>
      </c>
      <c r="G157" s="9">
        <f>IF(A157=1,"_",IF(C157="_","???",C157))</f>
        <v/>
      </c>
      <c r="H157" s="10" t="s">
        <v>12</v>
      </c>
      <c r="I157" s="11" t="s">
        <v>12</v>
      </c>
      <c r="J157" s="12"/>
    </row>
    <row r="158" spans="1:10" ht="60" customHeight="1">
      <c r="A158" s="6" t="s">
        <v>580</v>
      </c>
      <c r="B158" s="6" t="s">
        <v>35</v>
      </c>
      <c r="C158" s="6" t="s">
        <v>581</v>
      </c>
      <c r="D158" s="7" t="s">
        <v>582</v>
      </c>
      <c r="E158" s="8" t="s">
        <v>583</v>
      </c>
      <c r="F158" s="6" t="s">
        <v>584</v>
      </c>
      <c r="G158" s="9">
        <f>IF(A158=1,"_",IF(C158="_","???",C158))</f>
        <v/>
      </c>
      <c r="H158" s="10" t="s">
        <v>12</v>
      </c>
      <c r="I158" s="11" t="s">
        <v>12</v>
      </c>
      <c r="J158" s="12"/>
    </row>
    <row r="159" spans="1:10" ht="60" customHeight="1">
      <c r="A159" s="6" t="s">
        <v>585</v>
      </c>
      <c r="B159" s="6" t="s">
        <v>98</v>
      </c>
      <c r="C159" s="6" t="s">
        <v>146</v>
      </c>
      <c r="D159" s="7" t="s">
        <v>90</v>
      </c>
      <c r="E159" s="8" t="s">
        <v>586</v>
      </c>
      <c r="F159" s="6" t="s">
        <v>587</v>
      </c>
      <c r="G159" s="9">
        <f>IF(A159=1,"_",IF(C159="_","???",C159))</f>
        <v/>
      </c>
      <c r="H159" s="10" t="s">
        <v>12</v>
      </c>
      <c r="I159" s="11" t="s">
        <v>12</v>
      </c>
      <c r="J159" s="12"/>
    </row>
    <row r="160" spans="1:10" ht="60" customHeight="1">
      <c r="A160" s="6" t="s">
        <v>588</v>
      </c>
      <c r="B160" s="6" t="s">
        <v>43</v>
      </c>
      <c r="C160" s="6" t="s">
        <v>12</v>
      </c>
      <c r="D160" s="7" t="s">
        <v>589</v>
      </c>
      <c r="E160" s="8" t="s">
        <v>590</v>
      </c>
      <c r="F160" s="6" t="s">
        <v>591</v>
      </c>
      <c r="G160" s="9">
        <f>IF(A160=1,"_",IF(C160="_","???",C160))</f>
        <v/>
      </c>
      <c r="H160" s="10" t="s">
        <v>12</v>
      </c>
      <c r="I160" s="11" t="s">
        <v>12</v>
      </c>
      <c r="J160" s="12"/>
    </row>
    <row r="161" spans="1:10" ht="60" customHeight="1">
      <c r="A161" s="6" t="s">
        <v>592</v>
      </c>
      <c r="B161" s="6" t="s">
        <v>16</v>
      </c>
      <c r="C161" s="6" t="s">
        <v>12</v>
      </c>
      <c r="D161" s="7" t="s">
        <v>24</v>
      </c>
      <c r="E161" s="8" t="s">
        <v>593</v>
      </c>
      <c r="F161" s="6" t="s">
        <v>594</v>
      </c>
      <c r="G161" s="9">
        <f>IF(A161=1,"_",IF(C161="_","???",C161))</f>
        <v/>
      </c>
      <c r="H161" s="10" t="s">
        <v>12</v>
      </c>
      <c r="I161" s="11" t="s">
        <v>12</v>
      </c>
      <c r="J161" s="12"/>
    </row>
    <row r="162" spans="1:10" ht="60" customHeight="1">
      <c r="A162" s="6" t="s">
        <v>595</v>
      </c>
      <c r="B162" s="6" t="s">
        <v>16</v>
      </c>
      <c r="C162" s="6" t="s">
        <v>12</v>
      </c>
      <c r="D162" s="7" t="s">
        <v>596</v>
      </c>
      <c r="E162" s="8" t="s">
        <v>597</v>
      </c>
      <c r="F162" s="6" t="s">
        <v>598</v>
      </c>
      <c r="G162" s="9">
        <f>IF(A162=1,"_",IF(C162="_","???",C162))</f>
        <v/>
      </c>
      <c r="H162" s="10" t="s">
        <v>12</v>
      </c>
      <c r="I162" s="11" t="s">
        <v>12</v>
      </c>
      <c r="J162" s="12"/>
    </row>
    <row r="163" spans="1:10" ht="60" customHeight="1">
      <c r="A163" s="6" t="s">
        <v>599</v>
      </c>
      <c r="B163" s="6" t="s">
        <v>61</v>
      </c>
      <c r="C163" s="6" t="s">
        <v>12</v>
      </c>
      <c r="D163" s="7" t="s">
        <v>479</v>
      </c>
      <c r="E163" s="8" t="s">
        <v>600</v>
      </c>
      <c r="F163" s="6" t="s">
        <v>601</v>
      </c>
      <c r="G163" s="9">
        <f>IF(A163=1,"_",IF(C163="_","???",C163))</f>
        <v/>
      </c>
      <c r="H163" s="10" t="s">
        <v>12</v>
      </c>
      <c r="I163" s="11" t="s">
        <v>12</v>
      </c>
      <c r="J163" s="12"/>
    </row>
    <row r="164" spans="1:10" ht="60" customHeight="1">
      <c r="A164" s="6" t="s">
        <v>602</v>
      </c>
      <c r="B164" s="6" t="s">
        <v>35</v>
      </c>
      <c r="C164" s="6" t="s">
        <v>12</v>
      </c>
      <c r="D164" s="7" t="s">
        <v>90</v>
      </c>
      <c r="E164" s="8" t="s">
        <v>603</v>
      </c>
      <c r="F164" s="6" t="s">
        <v>604</v>
      </c>
      <c r="G164" s="9">
        <f>IF(A164=1,"_",IF(C164="_","???",C164))</f>
        <v/>
      </c>
      <c r="H164" s="10" t="s">
        <v>12</v>
      </c>
      <c r="I164" s="11" t="s">
        <v>12</v>
      </c>
      <c r="J164" s="12"/>
    </row>
    <row r="165" spans="1:10" ht="60" customHeight="1">
      <c r="A165" s="6" t="s">
        <v>605</v>
      </c>
      <c r="B165" s="6" t="s">
        <v>11</v>
      </c>
      <c r="C165" s="6" t="s">
        <v>12</v>
      </c>
      <c r="D165" s="7" t="s">
        <v>13</v>
      </c>
      <c r="E165" s="8" t="s">
        <v>606</v>
      </c>
      <c r="F165" s="6" t="s">
        <v>607</v>
      </c>
      <c r="G165" s="9">
        <f>IF(A165=1,"_",IF(C165="_","???",C165))</f>
        <v/>
      </c>
      <c r="H165" s="10" t="s">
        <v>12</v>
      </c>
      <c r="I165" s="11" t="s">
        <v>12</v>
      </c>
      <c r="J165" s="12"/>
    </row>
    <row r="166" spans="1:10" ht="60" customHeight="1">
      <c r="A166" s="6" t="s">
        <v>608</v>
      </c>
      <c r="B166" s="6" t="s">
        <v>57</v>
      </c>
      <c r="C166" s="6" t="s">
        <v>609</v>
      </c>
      <c r="D166" s="7" t="s">
        <v>610</v>
      </c>
      <c r="E166" s="8" t="s">
        <v>611</v>
      </c>
      <c r="F166" s="6" t="s">
        <v>612</v>
      </c>
      <c r="G166" s="9">
        <f>IF(A166=1,"_",IF(C166="_","???",C166))</f>
        <v/>
      </c>
      <c r="H166" s="10" t="s">
        <v>12</v>
      </c>
      <c r="I166" s="11" t="s">
        <v>12</v>
      </c>
      <c r="J166" s="12"/>
    </row>
    <row r="167" spans="1:10" ht="60" customHeight="1">
      <c r="A167" s="6" t="s">
        <v>613</v>
      </c>
      <c r="B167" s="6" t="s">
        <v>121</v>
      </c>
      <c r="C167" s="6" t="s">
        <v>23</v>
      </c>
      <c r="D167" s="7" t="s">
        <v>614</v>
      </c>
      <c r="E167" s="8" t="s">
        <v>615</v>
      </c>
      <c r="F167" s="6" t="s">
        <v>616</v>
      </c>
      <c r="G167" s="9">
        <f>IF(A167=1,"_",IF(C167="_","???",C167))</f>
        <v/>
      </c>
      <c r="H167" s="10" t="s">
        <v>12</v>
      </c>
      <c r="I167" s="11" t="s">
        <v>12</v>
      </c>
      <c r="J167" s="12"/>
    </row>
    <row r="168" spans="1:10" ht="60" customHeight="1">
      <c r="A168" s="6" t="s">
        <v>617</v>
      </c>
      <c r="B168" s="6" t="s">
        <v>16</v>
      </c>
      <c r="C168" s="6" t="s">
        <v>12</v>
      </c>
      <c r="D168" s="7" t="s">
        <v>618</v>
      </c>
      <c r="E168" s="8" t="s">
        <v>619</v>
      </c>
      <c r="F168" s="6" t="s">
        <v>620</v>
      </c>
      <c r="G168" s="9">
        <f>IF(A168=1,"_",IF(C168="_","???",C168))</f>
        <v/>
      </c>
      <c r="H168" s="10" t="s">
        <v>12</v>
      </c>
      <c r="I168" s="11" t="s">
        <v>12</v>
      </c>
      <c r="J168" s="12"/>
    </row>
    <row r="169" spans="1:10" ht="60" customHeight="1">
      <c r="A169" s="6" t="s">
        <v>621</v>
      </c>
      <c r="B169" s="6" t="s">
        <v>16</v>
      </c>
      <c r="C169" s="6" t="s">
        <v>12</v>
      </c>
      <c r="D169" s="7" t="s">
        <v>82</v>
      </c>
      <c r="E169" s="8" t="s">
        <v>622</v>
      </c>
      <c r="F169" s="6" t="s">
        <v>623</v>
      </c>
      <c r="G169" s="9">
        <f>IF(A169=1,"_",IF(C169="_","???",C169))</f>
        <v/>
      </c>
      <c r="H169" s="10" t="s">
        <v>12</v>
      </c>
      <c r="I169" s="11" t="s">
        <v>12</v>
      </c>
      <c r="J169" s="12"/>
    </row>
    <row r="170" spans="1:10" ht="60" customHeight="1">
      <c r="A170" s="6" t="s">
        <v>624</v>
      </c>
      <c r="B170" s="6" t="s">
        <v>17</v>
      </c>
      <c r="C170" s="6" t="s">
        <v>30</v>
      </c>
      <c r="D170" s="7" t="s">
        <v>625</v>
      </c>
      <c r="E170" s="8" t="s">
        <v>626</v>
      </c>
      <c r="F170" s="6" t="s">
        <v>627</v>
      </c>
      <c r="G170" s="9">
        <f>IF(A170=1,"_",IF(C170="_","???",C170))</f>
        <v/>
      </c>
      <c r="H170" s="10" t="s">
        <v>12</v>
      </c>
      <c r="I170" s="11" t="s">
        <v>12</v>
      </c>
      <c r="J170" s="12"/>
    </row>
    <row r="171" spans="1:10" ht="60" customHeight="1">
      <c r="A171" s="6" t="s">
        <v>628</v>
      </c>
      <c r="B171" s="6" t="s">
        <v>11</v>
      </c>
      <c r="C171" s="6" t="s">
        <v>18</v>
      </c>
      <c r="D171" s="7" t="s">
        <v>13</v>
      </c>
      <c r="E171" s="8" t="s">
        <v>629</v>
      </c>
      <c r="F171" s="6" t="s">
        <v>630</v>
      </c>
      <c r="G171" s="9">
        <f>IF(A171=1,"_",IF(C171="_","???",C171))</f>
        <v/>
      </c>
      <c r="H171" s="10" t="s">
        <v>12</v>
      </c>
      <c r="I171" s="11" t="s">
        <v>12</v>
      </c>
      <c r="J171" s="12"/>
    </row>
    <row r="172" spans="1:10" ht="60" customHeight="1">
      <c r="A172" s="6" t="s">
        <v>631</v>
      </c>
      <c r="B172" s="6" t="s">
        <v>16</v>
      </c>
      <c r="C172" s="6" t="s">
        <v>12</v>
      </c>
      <c r="D172" s="7" t="s">
        <v>82</v>
      </c>
      <c r="E172" s="8" t="s">
        <v>632</v>
      </c>
      <c r="F172" s="6" t="s">
        <v>633</v>
      </c>
      <c r="G172" s="9">
        <f>IF(A172=1,"_",IF(C172="_","???",C172))</f>
        <v/>
      </c>
      <c r="H172" s="10" t="s">
        <v>12</v>
      </c>
      <c r="I172" s="11" t="s">
        <v>12</v>
      </c>
      <c r="J172" s="12"/>
    </row>
    <row r="173" spans="1:10" ht="60" customHeight="1">
      <c r="A173" s="6" t="s">
        <v>634</v>
      </c>
      <c r="B173" s="6" t="s">
        <v>11</v>
      </c>
      <c r="C173" s="6" t="s">
        <v>146</v>
      </c>
      <c r="D173" s="7" t="s">
        <v>635</v>
      </c>
      <c r="E173" s="8" t="s">
        <v>636</v>
      </c>
      <c r="F173" s="6" t="s">
        <v>637</v>
      </c>
      <c r="G173" s="9">
        <f>IF(A173=1,"_",IF(C173="_","???",C173))</f>
        <v/>
      </c>
      <c r="H173" s="10" t="s">
        <v>12</v>
      </c>
      <c r="I173" s="11" t="s">
        <v>12</v>
      </c>
      <c r="J173" s="12"/>
    </row>
    <row r="174" spans="1:10" ht="60" customHeight="1">
      <c r="A174" s="6" t="s">
        <v>638</v>
      </c>
      <c r="B174" s="6" t="s">
        <v>16</v>
      </c>
      <c r="C174" s="6" t="s">
        <v>12</v>
      </c>
      <c r="D174" s="7" t="s">
        <v>635</v>
      </c>
      <c r="E174" s="8" t="s">
        <v>639</v>
      </c>
      <c r="F174" s="6" t="s">
        <v>640</v>
      </c>
      <c r="G174" s="9">
        <f>IF(A174=1,"_",IF(C174="_","???",C174))</f>
        <v/>
      </c>
      <c r="H174" s="10" t="s">
        <v>12</v>
      </c>
      <c r="I174" s="11" t="s">
        <v>12</v>
      </c>
      <c r="J174" s="12"/>
    </row>
    <row r="175" spans="1:10" ht="60" customHeight="1">
      <c r="A175" s="6" t="s">
        <v>641</v>
      </c>
      <c r="B175" s="6" t="s">
        <v>76</v>
      </c>
      <c r="C175" s="6" t="s">
        <v>174</v>
      </c>
      <c r="D175" s="7" t="s">
        <v>46</v>
      </c>
      <c r="E175" s="8" t="s">
        <v>642</v>
      </c>
      <c r="F175" s="6" t="s">
        <v>643</v>
      </c>
      <c r="G175" s="9">
        <f>IF(A175=1,"_",IF(C175="_","???",C175))</f>
        <v/>
      </c>
      <c r="H175" s="10" t="s">
        <v>12</v>
      </c>
      <c r="I175" s="11" t="s">
        <v>12</v>
      </c>
      <c r="J175" s="12"/>
    </row>
    <row r="176" spans="1:10" ht="60" customHeight="1">
      <c r="A176" s="6" t="s">
        <v>644</v>
      </c>
      <c r="B176" s="6" t="s">
        <v>16</v>
      </c>
      <c r="C176" s="6" t="s">
        <v>12</v>
      </c>
      <c r="D176" s="7" t="s">
        <v>375</v>
      </c>
      <c r="E176" s="8" t="s">
        <v>645</v>
      </c>
      <c r="F176" s="6" t="s">
        <v>646</v>
      </c>
      <c r="G176" s="9">
        <f>IF(A176=1,"_",IF(C176="_","???",C176))</f>
        <v/>
      </c>
      <c r="H176" s="10" t="s">
        <v>12</v>
      </c>
      <c r="I176" s="11" t="s">
        <v>12</v>
      </c>
      <c r="J176" s="12"/>
    </row>
    <row r="177" spans="1:10" ht="60" customHeight="1">
      <c r="A177" s="6" t="s">
        <v>647</v>
      </c>
      <c r="B177" s="6" t="s">
        <v>200</v>
      </c>
      <c r="C177" s="6" t="s">
        <v>174</v>
      </c>
      <c r="D177" s="7" t="s">
        <v>648</v>
      </c>
      <c r="E177" s="8" t="s">
        <v>649</v>
      </c>
      <c r="F177" s="6" t="s">
        <v>650</v>
      </c>
      <c r="G177" s="9">
        <f>IF(A177=1,"_",IF(C177="_","???",C177))</f>
        <v/>
      </c>
      <c r="H177" s="10" t="s">
        <v>12</v>
      </c>
      <c r="I177" s="11" t="s">
        <v>12</v>
      </c>
      <c r="J177" s="12"/>
    </row>
    <row r="178" spans="1:10" ht="60" customHeight="1">
      <c r="A178" s="6" t="s">
        <v>651</v>
      </c>
      <c r="B178" s="6" t="s">
        <v>22</v>
      </c>
      <c r="C178" s="6" t="s">
        <v>146</v>
      </c>
      <c r="D178" s="7" t="s">
        <v>90</v>
      </c>
      <c r="E178" s="8" t="s">
        <v>652</v>
      </c>
      <c r="F178" s="6" t="s">
        <v>653</v>
      </c>
      <c r="G178" s="9">
        <f>IF(A178=1,"_",IF(C178="_","???",C178))</f>
        <v/>
      </c>
      <c r="H178" s="10" t="s">
        <v>12</v>
      </c>
      <c r="I178" s="11" t="s">
        <v>12</v>
      </c>
      <c r="J178" s="12"/>
    </row>
    <row r="179" spans="1:10" ht="60" customHeight="1">
      <c r="A179" s="6" t="s">
        <v>654</v>
      </c>
      <c r="B179" s="6" t="s">
        <v>17</v>
      </c>
      <c r="C179" s="6" t="s">
        <v>12</v>
      </c>
      <c r="D179" s="7" t="s">
        <v>655</v>
      </c>
      <c r="E179" s="8" t="s">
        <v>656</v>
      </c>
      <c r="F179" s="6" t="s">
        <v>657</v>
      </c>
      <c r="G179" s="9">
        <f>IF(A179=1,"_",IF(C179="_","???",C179))</f>
        <v/>
      </c>
      <c r="H179" s="10" t="s">
        <v>12</v>
      </c>
      <c r="I179" s="11" t="s">
        <v>12</v>
      </c>
      <c r="J179" s="12"/>
    </row>
    <row r="180" spans="1:10" ht="60" customHeight="1">
      <c r="A180" s="6" t="s">
        <v>658</v>
      </c>
      <c r="B180" s="6" t="s">
        <v>16</v>
      </c>
      <c r="C180" s="6" t="s">
        <v>12</v>
      </c>
      <c r="D180" s="7" t="s">
        <v>259</v>
      </c>
      <c r="E180" s="8" t="s">
        <v>659</v>
      </c>
      <c r="F180" s="6" t="s">
        <v>660</v>
      </c>
      <c r="G180" s="9">
        <f>IF(A180=1,"_",IF(C180="_","???",C180))</f>
        <v/>
      </c>
      <c r="H180" s="10" t="s">
        <v>12</v>
      </c>
      <c r="I180" s="11" t="s">
        <v>12</v>
      </c>
      <c r="J180" s="12"/>
    </row>
    <row r="181" spans="1:10" ht="60" customHeight="1">
      <c r="A181" s="6" t="s">
        <v>661</v>
      </c>
      <c r="B181" s="6" t="s">
        <v>69</v>
      </c>
      <c r="C181" s="6" t="s">
        <v>303</v>
      </c>
      <c r="D181" s="7" t="s">
        <v>662</v>
      </c>
      <c r="E181" s="8" t="s">
        <v>663</v>
      </c>
      <c r="F181" s="6" t="s">
        <v>664</v>
      </c>
      <c r="G181" s="9">
        <f>IF(A181=1,"_",IF(C181="_","???",C181))</f>
        <v/>
      </c>
      <c r="H181" s="10" t="s">
        <v>12</v>
      </c>
      <c r="I181" s="11" t="s">
        <v>12</v>
      </c>
      <c r="J181" s="12"/>
    </row>
    <row r="182" spans="1:10" ht="60" customHeight="1">
      <c r="A182" s="6" t="s">
        <v>665</v>
      </c>
      <c r="B182" s="6" t="s">
        <v>11</v>
      </c>
      <c r="C182" s="6" t="s">
        <v>12</v>
      </c>
      <c r="D182" s="7" t="s">
        <v>662</v>
      </c>
      <c r="E182" s="8" t="s">
        <v>666</v>
      </c>
      <c r="F182" s="6" t="s">
        <v>667</v>
      </c>
      <c r="G182" s="9">
        <f>IF(A182=1,"_",IF(C182="_","???",C182))</f>
        <v/>
      </c>
      <c r="H182" s="10" t="s">
        <v>12</v>
      </c>
      <c r="I182" s="11" t="s">
        <v>12</v>
      </c>
      <c r="J182" s="12"/>
    </row>
    <row r="183" spans="1:10" ht="60" customHeight="1">
      <c r="A183" s="6" t="s">
        <v>668</v>
      </c>
      <c r="B183" s="6" t="s">
        <v>17</v>
      </c>
      <c r="C183" s="6" t="s">
        <v>12</v>
      </c>
      <c r="D183" s="7" t="s">
        <v>669</v>
      </c>
      <c r="E183" s="8" t="s">
        <v>670</v>
      </c>
      <c r="F183" s="6" t="s">
        <v>671</v>
      </c>
      <c r="G183" s="9">
        <f>IF(A183=1,"_",IF(C183="_","???",C183))</f>
        <v/>
      </c>
      <c r="H183" s="10" t="s">
        <v>12</v>
      </c>
      <c r="I183" s="11" t="s">
        <v>12</v>
      </c>
      <c r="J183" s="12"/>
    </row>
    <row r="184" spans="1:10" ht="60" customHeight="1">
      <c r="A184" s="6" t="s">
        <v>672</v>
      </c>
      <c r="B184" s="6" t="s">
        <v>11</v>
      </c>
      <c r="C184" s="6" t="s">
        <v>12</v>
      </c>
      <c r="D184" s="7" t="s">
        <v>259</v>
      </c>
      <c r="E184" s="8" t="s">
        <v>673</v>
      </c>
      <c r="F184" s="6" t="s">
        <v>674</v>
      </c>
      <c r="G184" s="9">
        <f>IF(A184=1,"_",IF(C184="_","???",C184))</f>
        <v/>
      </c>
      <c r="H184" s="10" t="s">
        <v>12</v>
      </c>
      <c r="I184" s="11" t="s">
        <v>12</v>
      </c>
      <c r="J184" s="12"/>
    </row>
    <row r="185" spans="1:10" ht="60" customHeight="1">
      <c r="A185" s="6" t="s">
        <v>675</v>
      </c>
      <c r="B185" s="6" t="s">
        <v>16</v>
      </c>
      <c r="C185" s="6" t="s">
        <v>12</v>
      </c>
      <c r="D185" s="7" t="s">
        <v>259</v>
      </c>
      <c r="E185" s="8" t="s">
        <v>676</v>
      </c>
      <c r="F185" s="6" t="s">
        <v>677</v>
      </c>
      <c r="G185" s="9">
        <f>IF(A185=1,"_",IF(C185="_","???",C185))</f>
        <v/>
      </c>
      <c r="H185" s="10" t="s">
        <v>12</v>
      </c>
      <c r="I185" s="11" t="s">
        <v>12</v>
      </c>
      <c r="J185" s="12"/>
    </row>
    <row r="186" spans="1:10" ht="60" customHeight="1">
      <c r="A186" s="6" t="s">
        <v>678</v>
      </c>
      <c r="B186" s="6" t="s">
        <v>16</v>
      </c>
      <c r="C186" s="6" t="s">
        <v>12</v>
      </c>
      <c r="D186" s="7" t="s">
        <v>259</v>
      </c>
      <c r="E186" s="8" t="s">
        <v>679</v>
      </c>
      <c r="F186" s="6" t="s">
        <v>680</v>
      </c>
      <c r="G186" s="9">
        <f>IF(A186=1,"_",IF(C186="_","???",C186))</f>
        <v/>
      </c>
      <c r="H186" s="10" t="s">
        <v>12</v>
      </c>
      <c r="I186" s="11" t="s">
        <v>12</v>
      </c>
      <c r="J186" s="12"/>
    </row>
    <row r="187" spans="1:10" ht="60" customHeight="1">
      <c r="A187" s="6" t="s">
        <v>681</v>
      </c>
      <c r="B187" s="6" t="s">
        <v>16</v>
      </c>
      <c r="C187" s="6" t="s">
        <v>23</v>
      </c>
      <c r="D187" s="7" t="s">
        <v>635</v>
      </c>
      <c r="E187" s="8" t="s">
        <v>682</v>
      </c>
      <c r="F187" s="6" t="s">
        <v>683</v>
      </c>
      <c r="G187" s="9">
        <f>IF(A187=1,"_",IF(C187="_","???",C187))</f>
        <v/>
      </c>
      <c r="H187" s="10" t="s">
        <v>12</v>
      </c>
      <c r="I187" s="11" t="s">
        <v>12</v>
      </c>
      <c r="J187" s="12"/>
    </row>
    <row r="188" spans="1:10" ht="60" customHeight="1">
      <c r="A188" s="6" t="s">
        <v>684</v>
      </c>
      <c r="B188" s="6" t="s">
        <v>10</v>
      </c>
      <c r="C188" s="6" t="s">
        <v>12</v>
      </c>
      <c r="D188" s="7" t="s">
        <v>685</v>
      </c>
      <c r="E188" s="8" t="s">
        <v>686</v>
      </c>
      <c r="F188" s="6" t="s">
        <v>687</v>
      </c>
      <c r="G188" s="9">
        <f>IF(A188=1,"_",IF(C188="_","???",C188))</f>
        <v/>
      </c>
      <c r="H188" s="10" t="s">
        <v>12</v>
      </c>
      <c r="I188" s="11" t="s">
        <v>12</v>
      </c>
      <c r="J188" s="12"/>
    </row>
    <row r="189" spans="1:10" ht="60" customHeight="1">
      <c r="A189" s="6" t="s">
        <v>688</v>
      </c>
      <c r="B189" s="6" t="s">
        <v>16</v>
      </c>
      <c r="C189" s="6" t="s">
        <v>12</v>
      </c>
      <c r="D189" s="7" t="s">
        <v>689</v>
      </c>
      <c r="E189" s="8" t="s">
        <v>690</v>
      </c>
      <c r="F189" s="6" t="s">
        <v>691</v>
      </c>
      <c r="G189" s="9">
        <f>IF(A189=1,"_",IF(C189="_","???",C189))</f>
        <v/>
      </c>
      <c r="H189" s="10" t="s">
        <v>12</v>
      </c>
      <c r="I189" s="11" t="s">
        <v>12</v>
      </c>
      <c r="J189" s="12"/>
    </row>
    <row r="190" spans="1:10" ht="60" customHeight="1">
      <c r="A190" s="6" t="s">
        <v>692</v>
      </c>
      <c r="B190" s="6" t="s">
        <v>10</v>
      </c>
      <c r="C190" s="6" t="s">
        <v>12</v>
      </c>
      <c r="D190" s="7" t="s">
        <v>685</v>
      </c>
      <c r="E190" s="8" t="s">
        <v>686</v>
      </c>
      <c r="F190" s="6" t="s">
        <v>693</v>
      </c>
      <c r="G190" s="9">
        <f>IF(A190=1,"_",IF(C190="_","???",C190))</f>
        <v/>
      </c>
      <c r="H190" s="10" t="s">
        <v>12</v>
      </c>
      <c r="I190" s="11" t="s">
        <v>12</v>
      </c>
      <c r="J190" s="12"/>
    </row>
    <row r="191" spans="1:10" ht="60" customHeight="1">
      <c r="A191" s="6" t="s">
        <v>694</v>
      </c>
      <c r="B191" s="6" t="s">
        <v>10</v>
      </c>
      <c r="C191" s="6" t="s">
        <v>12</v>
      </c>
      <c r="D191" s="7" t="s">
        <v>685</v>
      </c>
      <c r="E191" s="8" t="s">
        <v>686</v>
      </c>
      <c r="F191" s="6" t="s">
        <v>695</v>
      </c>
      <c r="G191" s="9">
        <f>IF(A191=1,"_",IF(C191="_","???",C191))</f>
        <v/>
      </c>
      <c r="H191" s="10" t="s">
        <v>12</v>
      </c>
      <c r="I191" s="11" t="s">
        <v>12</v>
      </c>
      <c r="J191" s="12"/>
    </row>
    <row r="192" spans="1:10" ht="60" customHeight="1">
      <c r="A192" s="6" t="s">
        <v>696</v>
      </c>
      <c r="B192" s="6" t="s">
        <v>10</v>
      </c>
      <c r="C192" s="6" t="s">
        <v>12</v>
      </c>
      <c r="D192" s="7" t="s">
        <v>697</v>
      </c>
      <c r="E192" s="8" t="s">
        <v>698</v>
      </c>
      <c r="F192" s="6" t="s">
        <v>699</v>
      </c>
      <c r="G192" s="9">
        <f>IF(A192=1,"_",IF(C192="_","???",C192))</f>
        <v/>
      </c>
      <c r="H192" s="10" t="s">
        <v>12</v>
      </c>
      <c r="I192" s="11" t="s">
        <v>12</v>
      </c>
      <c r="J192" s="12"/>
    </row>
    <row r="193" spans="1:10" ht="60" customHeight="1">
      <c r="A193" s="6" t="s">
        <v>700</v>
      </c>
      <c r="B193" s="6" t="s">
        <v>11</v>
      </c>
      <c r="C193" s="6" t="s">
        <v>146</v>
      </c>
      <c r="D193" s="7" t="s">
        <v>701</v>
      </c>
      <c r="E193" s="8" t="s">
        <v>702</v>
      </c>
      <c r="F193" s="6" t="s">
        <v>703</v>
      </c>
      <c r="G193" s="9">
        <f>IF(A193=1,"_",IF(C193="_","???",C193))</f>
        <v/>
      </c>
      <c r="H193" s="10" t="s">
        <v>12</v>
      </c>
      <c r="I193" s="11" t="s">
        <v>12</v>
      </c>
      <c r="J193" s="12"/>
    </row>
    <row r="194" spans="1:10" ht="60" customHeight="1">
      <c r="A194" s="6" t="s">
        <v>704</v>
      </c>
      <c r="B194" s="6" t="s">
        <v>89</v>
      </c>
      <c r="C194" s="6" t="s">
        <v>12</v>
      </c>
      <c r="D194" s="7" t="s">
        <v>705</v>
      </c>
      <c r="E194" s="8" t="s">
        <v>706</v>
      </c>
      <c r="F194" s="6" t="s">
        <v>707</v>
      </c>
      <c r="G194" s="9">
        <f>IF(A194=1,"_",IF(C194="_","???",C194))</f>
        <v/>
      </c>
      <c r="H194" s="10" t="s">
        <v>12</v>
      </c>
      <c r="I194" s="11" t="s">
        <v>12</v>
      </c>
      <c r="J194" s="12"/>
    </row>
    <row r="195" spans="1:10" ht="60" customHeight="1">
      <c r="A195" s="6" t="s">
        <v>708</v>
      </c>
      <c r="B195" s="6" t="s">
        <v>10</v>
      </c>
      <c r="C195" s="6" t="s">
        <v>12</v>
      </c>
      <c r="D195" s="7" t="s">
        <v>709</v>
      </c>
      <c r="E195" s="8" t="s">
        <v>710</v>
      </c>
      <c r="F195" s="6" t="s">
        <v>711</v>
      </c>
      <c r="G195" s="9">
        <f>IF(A195=1,"_",IF(C195="_","???",C195))</f>
        <v/>
      </c>
      <c r="H195" s="10" t="s">
        <v>12</v>
      </c>
      <c r="I195" s="11" t="s">
        <v>12</v>
      </c>
      <c r="J195" s="12"/>
    </row>
    <row r="196" spans="1:10" ht="60" customHeight="1">
      <c r="A196" s="6" t="s">
        <v>712</v>
      </c>
      <c r="B196" s="6" t="s">
        <v>35</v>
      </c>
      <c r="C196" s="6" t="s">
        <v>12</v>
      </c>
      <c r="D196" s="7" t="s">
        <v>713</v>
      </c>
      <c r="E196" s="8" t="s">
        <v>714</v>
      </c>
      <c r="F196" s="6" t="s">
        <v>715</v>
      </c>
      <c r="G196" s="9">
        <f>IF(A196=1,"_",IF(C196="_","???",C196))</f>
        <v/>
      </c>
      <c r="H196" s="10" t="s">
        <v>12</v>
      </c>
      <c r="I196" s="11" t="s">
        <v>12</v>
      </c>
      <c r="J196" s="12"/>
    </row>
    <row r="197" spans="1:10" ht="60" customHeight="1">
      <c r="A197" s="6" t="s">
        <v>716</v>
      </c>
      <c r="B197" s="6" t="s">
        <v>113</v>
      </c>
      <c r="C197" s="6" t="s">
        <v>387</v>
      </c>
      <c r="D197" s="7" t="s">
        <v>717</v>
      </c>
      <c r="E197" s="8" t="s">
        <v>718</v>
      </c>
      <c r="F197" s="6" t="s">
        <v>719</v>
      </c>
      <c r="G197" s="9">
        <f>IF(A197=1,"_",IF(C197="_","???",C197))</f>
        <v/>
      </c>
      <c r="H197" s="10" t="s">
        <v>12</v>
      </c>
      <c r="I197" s="11" t="s">
        <v>12</v>
      </c>
      <c r="J197" s="12"/>
    </row>
    <row r="198" spans="1:10" ht="60" customHeight="1">
      <c r="A198" s="6" t="s">
        <v>720</v>
      </c>
      <c r="B198" s="6" t="s">
        <v>22</v>
      </c>
      <c r="C198" s="6" t="s">
        <v>12</v>
      </c>
      <c r="D198" s="7" t="s">
        <v>721</v>
      </c>
      <c r="E198" s="8" t="s">
        <v>722</v>
      </c>
      <c r="F198" s="6" t="s">
        <v>723</v>
      </c>
      <c r="G198" s="9">
        <f>IF(A198=1,"_",IF(C198="_","???",C198))</f>
        <v/>
      </c>
      <c r="H198" s="10" t="s">
        <v>12</v>
      </c>
      <c r="I198" s="11" t="s">
        <v>12</v>
      </c>
      <c r="J198" s="12"/>
    </row>
    <row r="199" spans="1:10" ht="60" customHeight="1">
      <c r="A199" s="6" t="s">
        <v>724</v>
      </c>
      <c r="B199" s="6" t="s">
        <v>81</v>
      </c>
      <c r="C199" s="6" t="s">
        <v>18</v>
      </c>
      <c r="D199" s="7" t="s">
        <v>725</v>
      </c>
      <c r="E199" s="8" t="s">
        <v>726</v>
      </c>
      <c r="F199" s="6" t="s">
        <v>727</v>
      </c>
      <c r="G199" s="9">
        <f>IF(A199=1,"_",IF(C199="_","???",C199))</f>
        <v/>
      </c>
      <c r="H199" s="10" t="s">
        <v>12</v>
      </c>
      <c r="I199" s="11" t="s">
        <v>12</v>
      </c>
      <c r="J199" s="12"/>
    </row>
    <row r="200" spans="1:10" ht="60" customHeight="1">
      <c r="A200" s="6" t="s">
        <v>728</v>
      </c>
      <c r="B200" s="6" t="s">
        <v>10</v>
      </c>
      <c r="C200" s="6" t="s">
        <v>12</v>
      </c>
      <c r="D200" s="7" t="s">
        <v>729</v>
      </c>
      <c r="E200" s="8" t="s">
        <v>730</v>
      </c>
      <c r="F200" s="6" t="s">
        <v>731</v>
      </c>
      <c r="G200" s="9">
        <f>IF(A200=1,"_",IF(C200="_","???",C200))</f>
        <v/>
      </c>
      <c r="H200" s="10" t="s">
        <v>12</v>
      </c>
      <c r="I200" s="11" t="s">
        <v>12</v>
      </c>
      <c r="J200" s="12"/>
    </row>
    <row r="201" spans="1:10" ht="60" customHeight="1">
      <c r="A201" s="6" t="s">
        <v>732</v>
      </c>
      <c r="B201" s="6" t="s">
        <v>43</v>
      </c>
      <c r="C201" s="6" t="s">
        <v>387</v>
      </c>
      <c r="D201" s="7" t="s">
        <v>733</v>
      </c>
      <c r="E201" s="8" t="s">
        <v>734</v>
      </c>
      <c r="F201" s="6" t="s">
        <v>735</v>
      </c>
      <c r="G201" s="9">
        <f>IF(A201=1,"_",IF(C201="_","???",C201))</f>
        <v/>
      </c>
      <c r="H201" s="10" t="s">
        <v>12</v>
      </c>
      <c r="I201" s="11" t="s">
        <v>12</v>
      </c>
      <c r="J201" s="12"/>
    </row>
    <row r="202" spans="1:10" ht="60" customHeight="1">
      <c r="A202" s="6" t="s">
        <v>736</v>
      </c>
      <c r="B202" s="6" t="s">
        <v>17</v>
      </c>
      <c r="C202" s="6" t="s">
        <v>12</v>
      </c>
      <c r="D202" s="7" t="s">
        <v>737</v>
      </c>
      <c r="E202" s="8" t="s">
        <v>738</v>
      </c>
      <c r="F202" s="6" t="s">
        <v>739</v>
      </c>
      <c r="G202" s="9">
        <f>IF(A202=1,"_",IF(C202="_","???",C202))</f>
        <v/>
      </c>
      <c r="H202" s="10" t="s">
        <v>12</v>
      </c>
      <c r="I202" s="11" t="s">
        <v>12</v>
      </c>
      <c r="J202" s="12"/>
    </row>
    <row r="203" spans="1:10" ht="60" customHeight="1">
      <c r="A203" s="6" t="s">
        <v>740</v>
      </c>
      <c r="B203" s="6" t="s">
        <v>34</v>
      </c>
      <c r="C203" s="6" t="s">
        <v>146</v>
      </c>
      <c r="D203" s="7" t="s">
        <v>741</v>
      </c>
      <c r="E203" s="8" t="s">
        <v>742</v>
      </c>
      <c r="F203" s="6" t="s">
        <v>743</v>
      </c>
      <c r="G203" s="9">
        <f>IF(A203=1,"_",IF(C203="_","???",C203))</f>
        <v/>
      </c>
      <c r="H203" s="10" t="s">
        <v>12</v>
      </c>
      <c r="I203" s="11" t="s">
        <v>12</v>
      </c>
      <c r="J203" s="12"/>
    </row>
    <row r="204" spans="1:10" ht="60" customHeight="1">
      <c r="A204" s="6" t="s">
        <v>744</v>
      </c>
      <c r="B204" s="6" t="s">
        <v>89</v>
      </c>
      <c r="C204" s="6" t="s">
        <v>745</v>
      </c>
      <c r="D204" s="7" t="s">
        <v>296</v>
      </c>
      <c r="E204" s="8" t="s">
        <v>746</v>
      </c>
      <c r="F204" s="6" t="s">
        <v>747</v>
      </c>
      <c r="G204" s="9">
        <f>IF(A204=1,"_",IF(C204="_","???",C204))</f>
        <v/>
      </c>
      <c r="H204" s="10" t="s">
        <v>12</v>
      </c>
      <c r="I204" s="11" t="s">
        <v>12</v>
      </c>
      <c r="J204" s="12"/>
    </row>
    <row r="205" spans="1:10" ht="60" customHeight="1">
      <c r="A205" s="6" t="s">
        <v>748</v>
      </c>
      <c r="B205" s="6" t="s">
        <v>17</v>
      </c>
      <c r="C205" s="6" t="s">
        <v>387</v>
      </c>
      <c r="D205" s="7" t="s">
        <v>749</v>
      </c>
      <c r="E205" s="8" t="s">
        <v>750</v>
      </c>
      <c r="F205" s="6" t="s">
        <v>751</v>
      </c>
      <c r="G205" s="9">
        <f>IF(A205=1,"_",IF(C205="_","???",C205))</f>
        <v/>
      </c>
      <c r="H205" s="10" t="s">
        <v>12</v>
      </c>
      <c r="I205" s="11" t="s">
        <v>12</v>
      </c>
      <c r="J205" s="12"/>
    </row>
    <row r="206" spans="1:10" ht="60" customHeight="1">
      <c r="A206" s="6" t="s">
        <v>752</v>
      </c>
      <c r="B206" s="6" t="s">
        <v>10</v>
      </c>
      <c r="C206" s="6" t="s">
        <v>12</v>
      </c>
      <c r="D206" s="7" t="s">
        <v>729</v>
      </c>
      <c r="E206" s="8" t="s">
        <v>730</v>
      </c>
      <c r="F206" s="6" t="s">
        <v>753</v>
      </c>
      <c r="G206" s="9">
        <f>IF(A206=1,"_",IF(C206="_","???",C206))</f>
        <v/>
      </c>
      <c r="H206" s="10" t="s">
        <v>12</v>
      </c>
      <c r="I206" s="11" t="s">
        <v>12</v>
      </c>
      <c r="J206" s="12"/>
    </row>
    <row r="207" spans="1:10" ht="60" customHeight="1">
      <c r="A207" s="6" t="s">
        <v>754</v>
      </c>
      <c r="B207" s="6" t="s">
        <v>16</v>
      </c>
      <c r="C207" s="6" t="s">
        <v>12</v>
      </c>
      <c r="D207" s="7" t="s">
        <v>755</v>
      </c>
      <c r="E207" s="8" t="s">
        <v>756</v>
      </c>
      <c r="F207" s="6" t="s">
        <v>757</v>
      </c>
      <c r="G207" s="9">
        <f>IF(A207=1,"_",IF(C207="_","???",C207))</f>
        <v/>
      </c>
      <c r="H207" s="10" t="s">
        <v>12</v>
      </c>
      <c r="I207" s="11" t="s">
        <v>12</v>
      </c>
      <c r="J207" s="12"/>
    </row>
    <row r="208" spans="1:10" ht="60" customHeight="1">
      <c r="A208" s="6" t="s">
        <v>758</v>
      </c>
      <c r="B208" s="6" t="s">
        <v>34</v>
      </c>
      <c r="C208" s="6" t="s">
        <v>387</v>
      </c>
      <c r="D208" s="7" t="s">
        <v>759</v>
      </c>
      <c r="E208" s="8" t="s">
        <v>760</v>
      </c>
      <c r="F208" s="6" t="s">
        <v>761</v>
      </c>
      <c r="G208" s="9">
        <f>IF(A208=1,"_",IF(C208="_","???",C208))</f>
        <v/>
      </c>
      <c r="H208" s="10" t="s">
        <v>12</v>
      </c>
      <c r="I208" s="11" t="s">
        <v>12</v>
      </c>
      <c r="J208" s="12"/>
    </row>
    <row r="209" spans="1:10" ht="60" customHeight="1">
      <c r="A209" s="6" t="s">
        <v>762</v>
      </c>
      <c r="B209" s="6" t="s">
        <v>11</v>
      </c>
      <c r="C209" s="6" t="s">
        <v>30</v>
      </c>
      <c r="D209" s="7" t="s">
        <v>763</v>
      </c>
      <c r="E209" s="8" t="s">
        <v>764</v>
      </c>
      <c r="F209" s="6" t="s">
        <v>765</v>
      </c>
      <c r="G209" s="9">
        <f>IF(A209=1,"_",IF(C209="_","???",C209))</f>
        <v/>
      </c>
      <c r="H209" s="10" t="s">
        <v>12</v>
      </c>
      <c r="I209" s="11" t="s">
        <v>12</v>
      </c>
      <c r="J209" s="12"/>
    </row>
    <row r="210" spans="1:10" ht="60" customHeight="1">
      <c r="A210" s="6" t="s">
        <v>766</v>
      </c>
      <c r="B210" s="6" t="s">
        <v>10</v>
      </c>
      <c r="C210" s="6" t="s">
        <v>146</v>
      </c>
      <c r="D210" s="7" t="s">
        <v>767</v>
      </c>
      <c r="E210" s="8" t="s">
        <v>768</v>
      </c>
      <c r="F210" s="6" t="s">
        <v>769</v>
      </c>
      <c r="G210" s="9">
        <f>IF(A210=1,"_",IF(C210="_","???",C210))</f>
        <v/>
      </c>
      <c r="H210" s="10" t="s">
        <v>12</v>
      </c>
      <c r="I210" s="11" t="s">
        <v>12</v>
      </c>
      <c r="J210" s="12"/>
    </row>
    <row r="211" spans="1:10" ht="60" customHeight="1">
      <c r="A211" s="6" t="s">
        <v>770</v>
      </c>
      <c r="B211" s="6" t="s">
        <v>10</v>
      </c>
      <c r="C211" s="6" t="s">
        <v>12</v>
      </c>
      <c r="D211" s="7" t="s">
        <v>697</v>
      </c>
      <c r="E211" s="8" t="s">
        <v>771</v>
      </c>
      <c r="F211" s="6" t="s">
        <v>772</v>
      </c>
      <c r="G211" s="9">
        <f>IF(A211=1,"_",IF(C211="_","???",C211))</f>
        <v/>
      </c>
      <c r="H211" s="10" t="s">
        <v>12</v>
      </c>
      <c r="I211" s="11" t="s">
        <v>12</v>
      </c>
      <c r="J211" s="12"/>
    </row>
    <row r="212" spans="1:10" ht="60" customHeight="1">
      <c r="A212" s="6" t="s">
        <v>773</v>
      </c>
      <c r="B212" s="6" t="s">
        <v>16</v>
      </c>
      <c r="C212" s="6" t="s">
        <v>12</v>
      </c>
      <c r="D212" s="7" t="s">
        <v>774</v>
      </c>
      <c r="E212" s="8" t="s">
        <v>775</v>
      </c>
      <c r="F212" s="6" t="s">
        <v>776</v>
      </c>
      <c r="G212" s="9">
        <f>IF(A212=1,"_",IF(C212="_","???",C212))</f>
        <v/>
      </c>
      <c r="H212" s="10" t="s">
        <v>12</v>
      </c>
      <c r="I212" s="11" t="s">
        <v>12</v>
      </c>
      <c r="J212" s="12"/>
    </row>
    <row r="213" spans="1:10" ht="60" customHeight="1">
      <c r="A213" s="6" t="s">
        <v>777</v>
      </c>
      <c r="B213" s="6" t="s">
        <v>43</v>
      </c>
      <c r="C213" s="6" t="s">
        <v>30</v>
      </c>
      <c r="D213" s="7" t="s">
        <v>46</v>
      </c>
      <c r="E213" s="8" t="s">
        <v>778</v>
      </c>
      <c r="F213" s="6" t="s">
        <v>779</v>
      </c>
      <c r="G213" s="9">
        <f>IF(A213=1,"_",IF(C213="_","???",C213))</f>
        <v/>
      </c>
      <c r="H213" s="10" t="s">
        <v>12</v>
      </c>
      <c r="I213" s="11" t="s">
        <v>12</v>
      </c>
      <c r="J213" s="12"/>
    </row>
    <row r="214" spans="1:10" ht="60" customHeight="1">
      <c r="A214" s="6" t="s">
        <v>780</v>
      </c>
      <c r="B214" s="6" t="s">
        <v>17</v>
      </c>
      <c r="C214" s="6" t="s">
        <v>146</v>
      </c>
      <c r="D214" s="7" t="s">
        <v>142</v>
      </c>
      <c r="E214" s="8" t="s">
        <v>781</v>
      </c>
      <c r="F214" s="6" t="s">
        <v>782</v>
      </c>
      <c r="G214" s="9">
        <f>IF(A214=1,"_",IF(C214="_","???",C214))</f>
        <v/>
      </c>
      <c r="H214" s="10" t="s">
        <v>12</v>
      </c>
      <c r="I214" s="11" t="s">
        <v>12</v>
      </c>
      <c r="J214" s="12"/>
    </row>
    <row r="215" spans="1:10" ht="60" customHeight="1">
      <c r="A215" s="6" t="s">
        <v>783</v>
      </c>
      <c r="B215" s="6" t="s">
        <v>34</v>
      </c>
      <c r="C215" s="6" t="s">
        <v>12</v>
      </c>
      <c r="D215" s="7" t="s">
        <v>784</v>
      </c>
      <c r="E215" s="8" t="s">
        <v>785</v>
      </c>
      <c r="F215" s="6" t="s">
        <v>786</v>
      </c>
      <c r="G215" s="9">
        <f>IF(A215=1,"_",IF(C215="_","???",C215))</f>
        <v/>
      </c>
      <c r="H215" s="10" t="s">
        <v>12</v>
      </c>
      <c r="I215" s="11" t="s">
        <v>12</v>
      </c>
      <c r="J215" s="12"/>
    </row>
    <row r="216" spans="1:10" ht="60" customHeight="1">
      <c r="A216" s="6" t="s">
        <v>787</v>
      </c>
      <c r="B216" s="6" t="s">
        <v>11</v>
      </c>
      <c r="C216" s="6" t="s">
        <v>12</v>
      </c>
      <c r="D216" s="7" t="s">
        <v>157</v>
      </c>
      <c r="E216" s="8" t="s">
        <v>788</v>
      </c>
      <c r="F216" s="6" t="s">
        <v>789</v>
      </c>
      <c r="G216" s="9">
        <f>IF(A216=1,"_",IF(C216="_","???",C216))</f>
        <v/>
      </c>
      <c r="H216" s="10" t="s">
        <v>12</v>
      </c>
      <c r="I216" s="11" t="s">
        <v>12</v>
      </c>
      <c r="J216" s="12"/>
    </row>
    <row r="217" spans="1:10" ht="60" customHeight="1">
      <c r="A217" s="6" t="s">
        <v>790</v>
      </c>
      <c r="B217" s="6" t="s">
        <v>11</v>
      </c>
      <c r="C217" s="6" t="s">
        <v>146</v>
      </c>
      <c r="D217" s="7" t="s">
        <v>791</v>
      </c>
      <c r="E217" s="8" t="s">
        <v>792</v>
      </c>
      <c r="F217" s="6" t="s">
        <v>793</v>
      </c>
      <c r="G217" s="9">
        <f>IF(A217=1,"_",IF(C217="_","???",C217))</f>
        <v/>
      </c>
      <c r="H217" s="10" t="s">
        <v>12</v>
      </c>
      <c r="I217" s="11" t="s">
        <v>12</v>
      </c>
      <c r="J217" s="12"/>
    </row>
    <row r="218" spans="1:10" ht="60" customHeight="1">
      <c r="A218" s="6" t="s">
        <v>794</v>
      </c>
      <c r="B218" s="6" t="s">
        <v>34</v>
      </c>
      <c r="C218" s="6" t="s">
        <v>12</v>
      </c>
      <c r="D218" s="7" t="s">
        <v>388</v>
      </c>
      <c r="E218" s="8" t="s">
        <v>795</v>
      </c>
      <c r="F218" s="6" t="s">
        <v>796</v>
      </c>
      <c r="G218" s="9">
        <f>IF(A218=1,"_",IF(C218="_","???",C218))</f>
        <v/>
      </c>
      <c r="H218" s="10" t="s">
        <v>12</v>
      </c>
      <c r="I218" s="11" t="s">
        <v>12</v>
      </c>
      <c r="J218" s="12"/>
    </row>
    <row r="219" spans="1:10" ht="60" customHeight="1">
      <c r="A219" s="6" t="s">
        <v>797</v>
      </c>
      <c r="B219" s="6" t="s">
        <v>16</v>
      </c>
      <c r="C219" s="6" t="s">
        <v>12</v>
      </c>
      <c r="D219" s="7" t="s">
        <v>798</v>
      </c>
      <c r="E219" s="8" t="s">
        <v>799</v>
      </c>
      <c r="F219" s="6" t="s">
        <v>800</v>
      </c>
      <c r="G219" s="9">
        <f>IF(A219=1,"_",IF(C219="_","???",C219))</f>
        <v/>
      </c>
      <c r="H219" s="10" t="s">
        <v>12</v>
      </c>
      <c r="I219" s="11" t="s">
        <v>12</v>
      </c>
      <c r="J219" s="12"/>
    </row>
    <row r="220" spans="1:10" ht="60" customHeight="1">
      <c r="A220" s="6" t="s">
        <v>801</v>
      </c>
      <c r="B220" s="6" t="s">
        <v>16</v>
      </c>
      <c r="C220" s="6" t="s">
        <v>23</v>
      </c>
      <c r="D220" s="7" t="s">
        <v>802</v>
      </c>
      <c r="E220" s="8" t="s">
        <v>803</v>
      </c>
      <c r="F220" s="6" t="s">
        <v>804</v>
      </c>
      <c r="G220" s="9">
        <f>IF(A220=1,"_",IF(C220="_","???",C220))</f>
        <v/>
      </c>
      <c r="H220" s="10" t="s">
        <v>12</v>
      </c>
      <c r="I220" s="11" t="s">
        <v>12</v>
      </c>
      <c r="J220" s="12"/>
    </row>
    <row r="221" spans="1:10" ht="60" customHeight="1">
      <c r="A221" s="6" t="s">
        <v>805</v>
      </c>
      <c r="B221" s="6" t="s">
        <v>10</v>
      </c>
      <c r="C221" s="6" t="s">
        <v>12</v>
      </c>
      <c r="D221" s="7" t="s">
        <v>729</v>
      </c>
      <c r="E221" s="8" t="s">
        <v>730</v>
      </c>
      <c r="F221" s="6" t="s">
        <v>806</v>
      </c>
      <c r="G221" s="9">
        <f>IF(A221=1,"_",IF(C221="_","???",C221))</f>
        <v/>
      </c>
      <c r="H221" s="10" t="s">
        <v>12</v>
      </c>
      <c r="I221" s="11" t="s">
        <v>12</v>
      </c>
      <c r="J221" s="12"/>
    </row>
    <row r="222" spans="1:10" ht="60" customHeight="1">
      <c r="A222" s="6" t="s">
        <v>807</v>
      </c>
      <c r="B222" s="6" t="s">
        <v>35</v>
      </c>
      <c r="C222" s="6" t="s">
        <v>30</v>
      </c>
      <c r="D222" s="7" t="s">
        <v>808</v>
      </c>
      <c r="E222" s="8" t="s">
        <v>809</v>
      </c>
      <c r="F222" s="6" t="s">
        <v>810</v>
      </c>
      <c r="G222" s="9">
        <f>IF(A222=1,"_",IF(C222="_","???",C222))</f>
        <v/>
      </c>
      <c r="H222" s="10" t="s">
        <v>12</v>
      </c>
      <c r="I222" s="11" t="s">
        <v>12</v>
      </c>
      <c r="J222" s="12"/>
    </row>
    <row r="223" spans="1:10" ht="60" customHeight="1">
      <c r="A223" s="6" t="s">
        <v>811</v>
      </c>
      <c r="B223" s="6" t="s">
        <v>34</v>
      </c>
      <c r="C223" s="6" t="s">
        <v>36</v>
      </c>
      <c r="D223" s="7" t="s">
        <v>259</v>
      </c>
      <c r="E223" s="8" t="s">
        <v>812</v>
      </c>
      <c r="F223" s="6" t="s">
        <v>813</v>
      </c>
      <c r="G223" s="9">
        <f>IF(A223=1,"_",IF(C223="_","???",C223))</f>
        <v/>
      </c>
      <c r="H223" s="10" t="s">
        <v>12</v>
      </c>
      <c r="I223" s="11" t="s">
        <v>12</v>
      </c>
      <c r="J223" s="12"/>
    </row>
    <row r="224" spans="1:10" ht="60" customHeight="1">
      <c r="A224" s="6" t="s">
        <v>814</v>
      </c>
      <c r="B224" s="6" t="s">
        <v>16</v>
      </c>
      <c r="C224" s="6" t="s">
        <v>12</v>
      </c>
      <c r="D224" s="7" t="s">
        <v>815</v>
      </c>
      <c r="E224" s="8" t="s">
        <v>816</v>
      </c>
      <c r="F224" s="6" t="s">
        <v>817</v>
      </c>
      <c r="G224" s="9">
        <f>IF(A224=1,"_",IF(C224="_","???",C224))</f>
        <v/>
      </c>
      <c r="H224" s="10" t="s">
        <v>12</v>
      </c>
      <c r="I224" s="11" t="s">
        <v>12</v>
      </c>
      <c r="J224" s="12"/>
    </row>
    <row r="225" spans="1:10" ht="60" customHeight="1">
      <c r="A225" s="6" t="s">
        <v>818</v>
      </c>
      <c r="B225" s="6" t="s">
        <v>85</v>
      </c>
      <c r="C225" s="6" t="s">
        <v>30</v>
      </c>
      <c r="D225" s="7" t="s">
        <v>819</v>
      </c>
      <c r="E225" s="8" t="s">
        <v>820</v>
      </c>
      <c r="F225" s="6" t="s">
        <v>821</v>
      </c>
      <c r="G225" s="9">
        <f>IF(A225=1,"_",IF(C225="_","???",C225))</f>
        <v/>
      </c>
      <c r="H225" s="10" t="s">
        <v>12</v>
      </c>
      <c r="I225" s="11" t="s">
        <v>12</v>
      </c>
      <c r="J225" s="12"/>
    </row>
    <row r="226" spans="1:10" ht="60" customHeight="1">
      <c r="A226" s="6" t="s">
        <v>822</v>
      </c>
      <c r="B226" s="6" t="s">
        <v>11</v>
      </c>
      <c r="C226" s="6" t="s">
        <v>425</v>
      </c>
      <c r="D226" s="7" t="s">
        <v>82</v>
      </c>
      <c r="E226" s="8" t="s">
        <v>823</v>
      </c>
      <c r="F226" s="6" t="s">
        <v>824</v>
      </c>
      <c r="G226" s="9">
        <f>IF(A226=1,"_",IF(C226="_","???",C226))</f>
        <v/>
      </c>
      <c r="H226" s="10" t="s">
        <v>12</v>
      </c>
      <c r="I226" s="11" t="s">
        <v>12</v>
      </c>
      <c r="J226" s="12"/>
    </row>
    <row r="227" spans="1:10" ht="60" customHeight="1">
      <c r="A227" s="6" t="s">
        <v>825</v>
      </c>
      <c r="B227" s="6" t="s">
        <v>11</v>
      </c>
      <c r="C227" s="6" t="s">
        <v>30</v>
      </c>
      <c r="D227" s="7" t="s">
        <v>826</v>
      </c>
      <c r="E227" s="8" t="s">
        <v>827</v>
      </c>
      <c r="F227" s="6" t="s">
        <v>828</v>
      </c>
      <c r="G227" s="9">
        <f>IF(A227=1,"_",IF(C227="_","???",C227))</f>
        <v/>
      </c>
      <c r="H227" s="10" t="s">
        <v>12</v>
      </c>
      <c r="I227" s="11" t="s">
        <v>12</v>
      </c>
      <c r="J227" s="12"/>
    </row>
    <row r="228" spans="1:10" ht="60" customHeight="1">
      <c r="A228" s="6" t="s">
        <v>829</v>
      </c>
      <c r="B228" s="6" t="s">
        <v>11</v>
      </c>
      <c r="C228" s="6" t="s">
        <v>12</v>
      </c>
      <c r="D228" s="7" t="s">
        <v>259</v>
      </c>
      <c r="E228" s="8" t="s">
        <v>830</v>
      </c>
      <c r="F228" s="6" t="s">
        <v>831</v>
      </c>
      <c r="G228" s="9">
        <f>IF(A228=1,"_",IF(C228="_","???",C228))</f>
        <v/>
      </c>
      <c r="H228" s="10" t="s">
        <v>12</v>
      </c>
      <c r="I228" s="11" t="s">
        <v>12</v>
      </c>
      <c r="J228" s="12"/>
    </row>
    <row r="229" spans="1:10" ht="60" customHeight="1">
      <c r="A229" s="6" t="s">
        <v>832</v>
      </c>
      <c r="B229" s="6" t="s">
        <v>10</v>
      </c>
      <c r="C229" s="6" t="s">
        <v>12</v>
      </c>
      <c r="D229" s="7" t="s">
        <v>697</v>
      </c>
      <c r="E229" s="8" t="s">
        <v>833</v>
      </c>
      <c r="F229" s="6" t="s">
        <v>834</v>
      </c>
      <c r="G229" s="9">
        <f>IF(A229=1,"_",IF(C229="_","???",C229))</f>
        <v/>
      </c>
      <c r="H229" s="10" t="s">
        <v>12</v>
      </c>
      <c r="I229" s="11" t="s">
        <v>12</v>
      </c>
      <c r="J229" s="12"/>
    </row>
    <row r="230" spans="1:10" ht="60" customHeight="1">
      <c r="A230" s="6" t="s">
        <v>835</v>
      </c>
      <c r="B230" s="6" t="s">
        <v>34</v>
      </c>
      <c r="C230" s="6" t="s">
        <v>12</v>
      </c>
      <c r="D230" s="7" t="s">
        <v>191</v>
      </c>
      <c r="E230" s="8" t="s">
        <v>836</v>
      </c>
      <c r="F230" s="6" t="s">
        <v>837</v>
      </c>
      <c r="G230" s="9">
        <f>IF(A230=1,"_",IF(C230="_","???",C230))</f>
        <v/>
      </c>
      <c r="H230" s="10" t="s">
        <v>12</v>
      </c>
      <c r="I230" s="11" t="s">
        <v>12</v>
      </c>
      <c r="J230" s="12"/>
    </row>
    <row r="231" spans="1:10" ht="60" customHeight="1">
      <c r="A231" s="6" t="s">
        <v>838</v>
      </c>
      <c r="B231" s="6" t="s">
        <v>17</v>
      </c>
      <c r="C231" s="6" t="s">
        <v>23</v>
      </c>
      <c r="D231" s="7" t="s">
        <v>839</v>
      </c>
      <c r="E231" s="8" t="s">
        <v>840</v>
      </c>
      <c r="F231" s="6" t="s">
        <v>841</v>
      </c>
      <c r="G231" s="9">
        <f>IF(A231=1,"_",IF(C231="_","???",C231))</f>
        <v/>
      </c>
      <c r="H231" s="10" t="s">
        <v>12</v>
      </c>
      <c r="I231" s="11" t="s">
        <v>12</v>
      </c>
      <c r="J231" s="12"/>
    </row>
    <row r="232" spans="1:10" ht="60" customHeight="1">
      <c r="A232" s="6" t="s">
        <v>842</v>
      </c>
      <c r="B232" s="6" t="s">
        <v>35</v>
      </c>
      <c r="C232" s="6" t="s">
        <v>12</v>
      </c>
      <c r="D232" s="7" t="s">
        <v>82</v>
      </c>
      <c r="E232" s="8" t="s">
        <v>843</v>
      </c>
      <c r="F232" s="6" t="s">
        <v>844</v>
      </c>
      <c r="G232" s="9">
        <f>IF(A232=1,"_",IF(C232="_","???",C232))</f>
        <v/>
      </c>
      <c r="H232" s="10" t="s">
        <v>12</v>
      </c>
      <c r="I232" s="11" t="s">
        <v>12</v>
      </c>
      <c r="J232" s="12"/>
    </row>
    <row r="233" spans="1:10" ht="60" customHeight="1">
      <c r="A233" s="6" t="s">
        <v>845</v>
      </c>
      <c r="B233" s="6" t="s">
        <v>35</v>
      </c>
      <c r="C233" s="6" t="s">
        <v>23</v>
      </c>
      <c r="D233" s="7" t="s">
        <v>846</v>
      </c>
      <c r="E233" s="8" t="s">
        <v>847</v>
      </c>
      <c r="F233" s="6" t="s">
        <v>848</v>
      </c>
      <c r="G233" s="9">
        <f>IF(A233=1,"_",IF(C233="_","???",C233))</f>
        <v/>
      </c>
      <c r="H233" s="10" t="s">
        <v>12</v>
      </c>
      <c r="I233" s="11" t="s">
        <v>12</v>
      </c>
      <c r="J233" s="12"/>
    </row>
    <row r="234" spans="1:10" ht="60" customHeight="1">
      <c r="A234" s="6" t="s">
        <v>849</v>
      </c>
      <c r="B234" s="6" t="s">
        <v>16</v>
      </c>
      <c r="C234" s="6" t="s">
        <v>12</v>
      </c>
      <c r="D234" s="7" t="s">
        <v>82</v>
      </c>
      <c r="E234" s="8" t="s">
        <v>850</v>
      </c>
      <c r="F234" s="6" t="s">
        <v>851</v>
      </c>
      <c r="G234" s="9">
        <f>IF(A234=1,"_",IF(C234="_","???",C234))</f>
        <v/>
      </c>
      <c r="H234" s="10" t="s">
        <v>12</v>
      </c>
      <c r="I234" s="11" t="s">
        <v>12</v>
      </c>
      <c r="J234" s="12"/>
    </row>
    <row r="235" spans="1:10" ht="60" customHeight="1">
      <c r="A235" s="6" t="s">
        <v>852</v>
      </c>
      <c r="B235" s="6" t="s">
        <v>22</v>
      </c>
      <c r="C235" s="6" t="s">
        <v>30</v>
      </c>
      <c r="D235" s="7" t="s">
        <v>82</v>
      </c>
      <c r="E235" s="8" t="s">
        <v>853</v>
      </c>
      <c r="F235" s="6" t="s">
        <v>854</v>
      </c>
      <c r="G235" s="9">
        <f>IF(A235=1,"_",IF(C235="_","???",C235))</f>
        <v/>
      </c>
      <c r="H235" s="10" t="s">
        <v>12</v>
      </c>
      <c r="I235" s="11" t="s">
        <v>12</v>
      </c>
      <c r="J235" s="12"/>
    </row>
    <row r="236" spans="1:10" ht="60" customHeight="1">
      <c r="A236" s="6" t="s">
        <v>855</v>
      </c>
      <c r="B236" s="6" t="s">
        <v>152</v>
      </c>
      <c r="C236" s="6" t="s">
        <v>30</v>
      </c>
      <c r="D236" s="7" t="s">
        <v>856</v>
      </c>
      <c r="E236" s="8" t="s">
        <v>857</v>
      </c>
      <c r="F236" s="6" t="s">
        <v>858</v>
      </c>
      <c r="G236" s="9">
        <f>IF(A236=1,"_",IF(C236="_","???",C236))</f>
        <v/>
      </c>
      <c r="H236" s="10" t="s">
        <v>12</v>
      </c>
      <c r="I236" s="11" t="s">
        <v>12</v>
      </c>
      <c r="J236" s="12"/>
    </row>
    <row r="237" spans="1:10" ht="60" customHeight="1">
      <c r="A237" s="6" t="s">
        <v>859</v>
      </c>
      <c r="B237" s="6" t="s">
        <v>10</v>
      </c>
      <c r="C237" s="6" t="s">
        <v>387</v>
      </c>
      <c r="D237" s="7" t="s">
        <v>697</v>
      </c>
      <c r="E237" s="8" t="s">
        <v>860</v>
      </c>
      <c r="F237" s="6" t="s">
        <v>861</v>
      </c>
      <c r="G237" s="9">
        <f>IF(A237=1,"_",IF(C237="_","???",C237))</f>
        <v/>
      </c>
      <c r="H237" s="10" t="s">
        <v>12</v>
      </c>
      <c r="I237" s="11" t="s">
        <v>12</v>
      </c>
      <c r="J237" s="12"/>
    </row>
    <row r="238" spans="1:10" ht="60" customHeight="1">
      <c r="A238" s="6" t="s">
        <v>862</v>
      </c>
      <c r="B238" s="6" t="s">
        <v>11</v>
      </c>
      <c r="C238" s="6" t="s">
        <v>12</v>
      </c>
      <c r="D238" s="7" t="s">
        <v>90</v>
      </c>
      <c r="E238" s="8" t="s">
        <v>863</v>
      </c>
      <c r="F238" s="6" t="s">
        <v>864</v>
      </c>
      <c r="G238" s="9">
        <f>IF(A238=1,"_",IF(C238="_","???",C238))</f>
        <v/>
      </c>
      <c r="H238" s="10" t="s">
        <v>12</v>
      </c>
      <c r="I238" s="11" t="s">
        <v>12</v>
      </c>
      <c r="J238" s="12"/>
    </row>
    <row r="239" spans="1:10" ht="60" customHeight="1">
      <c r="A239" s="6" t="s">
        <v>865</v>
      </c>
      <c r="B239" s="6" t="s">
        <v>10</v>
      </c>
      <c r="C239" s="6" t="s">
        <v>12</v>
      </c>
      <c r="D239" s="7" t="s">
        <v>866</v>
      </c>
      <c r="E239" s="8" t="s">
        <v>867</v>
      </c>
      <c r="F239" s="6" t="s">
        <v>868</v>
      </c>
      <c r="G239" s="9">
        <f>IF(A239=1,"_",IF(C239="_","???",C239))</f>
        <v/>
      </c>
      <c r="H239" s="10" t="s">
        <v>12</v>
      </c>
      <c r="I239" s="11" t="s">
        <v>12</v>
      </c>
      <c r="J239" s="12"/>
    </row>
    <row r="240" spans="1:10" ht="60" customHeight="1">
      <c r="A240" s="6" t="s">
        <v>869</v>
      </c>
      <c r="B240" s="6" t="s">
        <v>22</v>
      </c>
      <c r="C240" s="6" t="s">
        <v>387</v>
      </c>
      <c r="D240" s="7" t="s">
        <v>13</v>
      </c>
      <c r="E240" s="8" t="s">
        <v>870</v>
      </c>
      <c r="F240" s="6" t="s">
        <v>871</v>
      </c>
      <c r="G240" s="9">
        <f>IF(A240=1,"_",IF(C240="_","???",C240))</f>
        <v/>
      </c>
      <c r="H240" s="10" t="s">
        <v>12</v>
      </c>
      <c r="I240" s="11" t="s">
        <v>12</v>
      </c>
      <c r="J240" s="12"/>
    </row>
    <row r="241" spans="1:10" ht="60" customHeight="1">
      <c r="A241" s="6" t="s">
        <v>872</v>
      </c>
      <c r="B241" s="6" t="s">
        <v>11</v>
      </c>
      <c r="C241" s="6" t="s">
        <v>12</v>
      </c>
      <c r="D241" s="7" t="s">
        <v>259</v>
      </c>
      <c r="E241" s="8" t="s">
        <v>873</v>
      </c>
      <c r="F241" s="6" t="s">
        <v>874</v>
      </c>
      <c r="G241" s="9">
        <f>IF(A241=1,"_",IF(C241="_","???",C241))</f>
        <v/>
      </c>
      <c r="H241" s="10" t="s">
        <v>12</v>
      </c>
      <c r="I241" s="11" t="s">
        <v>12</v>
      </c>
      <c r="J241" s="12"/>
    </row>
    <row r="242" spans="1:10" ht="60" customHeight="1">
      <c r="A242" s="6" t="s">
        <v>875</v>
      </c>
      <c r="B242" s="6" t="s">
        <v>16</v>
      </c>
      <c r="C242" s="6" t="s">
        <v>12</v>
      </c>
      <c r="D242" s="7" t="s">
        <v>82</v>
      </c>
      <c r="E242" s="8" t="s">
        <v>876</v>
      </c>
      <c r="F242" s="6" t="s">
        <v>877</v>
      </c>
      <c r="G242" s="9">
        <f>IF(A242=1,"_",IF(C242="_","???",C242))</f>
        <v/>
      </c>
      <c r="H242" s="10" t="s">
        <v>12</v>
      </c>
      <c r="I242" s="11" t="s">
        <v>12</v>
      </c>
      <c r="J242" s="12"/>
    </row>
    <row r="243" spans="1:10" ht="60" customHeight="1">
      <c r="A243" s="6" t="s">
        <v>878</v>
      </c>
      <c r="B243" s="6" t="s">
        <v>17</v>
      </c>
      <c r="C243" s="6" t="s">
        <v>12</v>
      </c>
      <c r="D243" s="7" t="s">
        <v>879</v>
      </c>
      <c r="E243" s="8" t="s">
        <v>880</v>
      </c>
      <c r="F243" s="6" t="s">
        <v>881</v>
      </c>
      <c r="G243" s="9">
        <f>IF(A243=1,"_",IF(C243="_","???",C243))</f>
        <v/>
      </c>
      <c r="H243" s="10" t="s">
        <v>12</v>
      </c>
      <c r="I243" s="11" t="s">
        <v>12</v>
      </c>
      <c r="J243" s="12"/>
    </row>
    <row r="244" spans="1:10" ht="60" customHeight="1">
      <c r="A244" s="6" t="s">
        <v>882</v>
      </c>
      <c r="B244" s="6" t="s">
        <v>11</v>
      </c>
      <c r="C244" s="6" t="s">
        <v>12</v>
      </c>
      <c r="D244" s="7" t="s">
        <v>883</v>
      </c>
      <c r="E244" s="8" t="s">
        <v>884</v>
      </c>
      <c r="F244" s="6" t="s">
        <v>885</v>
      </c>
      <c r="G244" s="9">
        <f>IF(A244=1,"_",IF(C244="_","???",C244))</f>
        <v/>
      </c>
      <c r="H244" s="10" t="s">
        <v>12</v>
      </c>
      <c r="I244" s="11" t="s">
        <v>12</v>
      </c>
      <c r="J244" s="12"/>
    </row>
    <row r="245" spans="1:10" ht="60" customHeight="1">
      <c r="A245" s="6" t="s">
        <v>886</v>
      </c>
      <c r="B245" s="6" t="s">
        <v>16</v>
      </c>
      <c r="C245" s="6" t="s">
        <v>23</v>
      </c>
      <c r="D245" s="7" t="s">
        <v>887</v>
      </c>
      <c r="E245" s="8" t="s">
        <v>888</v>
      </c>
      <c r="F245" s="6" t="s">
        <v>889</v>
      </c>
      <c r="G245" s="9">
        <f>IF(A245=1,"_",IF(C245="_","???",C245))</f>
        <v/>
      </c>
      <c r="H245" s="10" t="s">
        <v>12</v>
      </c>
      <c r="I245" s="11" t="s">
        <v>12</v>
      </c>
      <c r="J245" s="12"/>
    </row>
    <row r="246" spans="1:10" ht="60" customHeight="1">
      <c r="A246" s="6" t="s">
        <v>890</v>
      </c>
      <c r="B246" s="6" t="s">
        <v>57</v>
      </c>
      <c r="C246" s="6" t="s">
        <v>12</v>
      </c>
      <c r="D246" s="7" t="s">
        <v>759</v>
      </c>
      <c r="E246" s="8" t="s">
        <v>891</v>
      </c>
      <c r="F246" s="6" t="s">
        <v>892</v>
      </c>
      <c r="G246" s="9">
        <f>IF(A246=1,"_",IF(C246="_","???",C246))</f>
        <v/>
      </c>
      <c r="H246" s="10" t="s">
        <v>12</v>
      </c>
      <c r="I246" s="11" t="s">
        <v>12</v>
      </c>
      <c r="J246" s="12"/>
    </row>
    <row r="247" spans="1:10" ht="60" customHeight="1">
      <c r="A247" s="6" t="s">
        <v>893</v>
      </c>
      <c r="B247" s="6" t="s">
        <v>10</v>
      </c>
      <c r="C247" s="6" t="s">
        <v>12</v>
      </c>
      <c r="D247" s="7" t="s">
        <v>697</v>
      </c>
      <c r="E247" s="8" t="s">
        <v>894</v>
      </c>
      <c r="F247" s="6" t="s">
        <v>895</v>
      </c>
      <c r="G247" s="9">
        <f>IF(A247=1,"_",IF(C247="_","???",C247))</f>
        <v/>
      </c>
      <c r="H247" s="10" t="s">
        <v>12</v>
      </c>
      <c r="I247" s="11" t="s">
        <v>12</v>
      </c>
      <c r="J247" s="12"/>
    </row>
    <row r="248" spans="1:10" ht="60" customHeight="1">
      <c r="A248" s="6" t="s">
        <v>896</v>
      </c>
      <c r="B248" s="6" t="s">
        <v>76</v>
      </c>
      <c r="C248" s="6" t="s">
        <v>174</v>
      </c>
      <c r="D248" s="7" t="s">
        <v>897</v>
      </c>
      <c r="E248" s="8" t="s">
        <v>898</v>
      </c>
      <c r="F248" s="6" t="s">
        <v>899</v>
      </c>
      <c r="G248" s="9">
        <f>IF(A248=1,"_",IF(C248="_","???",C248))</f>
        <v/>
      </c>
      <c r="H248" s="10" t="s">
        <v>12</v>
      </c>
      <c r="I248" s="11" t="s">
        <v>12</v>
      </c>
      <c r="J248" s="12"/>
    </row>
    <row r="249" spans="1:10" ht="60" customHeight="1">
      <c r="A249" s="6" t="s">
        <v>900</v>
      </c>
      <c r="B249" s="6" t="s">
        <v>49</v>
      </c>
      <c r="C249" s="6" t="s">
        <v>12</v>
      </c>
      <c r="D249" s="7" t="s">
        <v>50</v>
      </c>
      <c r="E249" s="8" t="s">
        <v>901</v>
      </c>
      <c r="F249" s="6" t="s">
        <v>902</v>
      </c>
      <c r="G249" s="9">
        <f>IF(A249=1,"_",IF(C249="_","???",C249))</f>
        <v/>
      </c>
      <c r="H249" s="10" t="s">
        <v>12</v>
      </c>
      <c r="I249" s="11" t="s">
        <v>12</v>
      </c>
      <c r="J249" s="12"/>
    </row>
    <row r="250" spans="1:10" ht="60" customHeight="1">
      <c r="A250" s="6" t="s">
        <v>903</v>
      </c>
      <c r="B250" s="6" t="s">
        <v>35</v>
      </c>
      <c r="C250" s="6" t="s">
        <v>12</v>
      </c>
      <c r="D250" s="7" t="s">
        <v>904</v>
      </c>
      <c r="E250" s="8" t="s">
        <v>905</v>
      </c>
      <c r="F250" s="6" t="s">
        <v>906</v>
      </c>
      <c r="G250" s="9">
        <f>IF(A250=1,"_",IF(C250="_","???",C250))</f>
        <v/>
      </c>
      <c r="H250" s="10" t="s">
        <v>12</v>
      </c>
      <c r="I250" s="11" t="s">
        <v>12</v>
      </c>
      <c r="J250" s="12"/>
    </row>
    <row r="251" spans="1:10" ht="60" customHeight="1">
      <c r="A251" s="6" t="s">
        <v>907</v>
      </c>
      <c r="B251" s="6" t="s">
        <v>11</v>
      </c>
      <c r="C251" s="6" t="s">
        <v>12</v>
      </c>
      <c r="D251" s="7" t="s">
        <v>883</v>
      </c>
      <c r="E251" s="8" t="s">
        <v>908</v>
      </c>
      <c r="F251" s="6" t="s">
        <v>909</v>
      </c>
      <c r="G251" s="9">
        <f>IF(A251=1,"_",IF(C251="_","???",C251))</f>
        <v/>
      </c>
      <c r="H251" s="10" t="s">
        <v>12</v>
      </c>
      <c r="I251" s="11" t="s">
        <v>12</v>
      </c>
      <c r="J251" s="12"/>
    </row>
    <row r="252" spans="1:10" ht="60" customHeight="1">
      <c r="A252" s="6" t="s">
        <v>910</v>
      </c>
      <c r="B252" s="6" t="s">
        <v>16</v>
      </c>
      <c r="C252" s="6" t="s">
        <v>12</v>
      </c>
      <c r="D252" s="7" t="s">
        <v>82</v>
      </c>
      <c r="E252" s="8" t="s">
        <v>911</v>
      </c>
      <c r="F252" s="6" t="s">
        <v>912</v>
      </c>
      <c r="G252" s="9">
        <f>IF(A252=1,"_",IF(C252="_","???",C252))</f>
        <v/>
      </c>
      <c r="H252" s="10" t="s">
        <v>12</v>
      </c>
      <c r="I252" s="11" t="s">
        <v>12</v>
      </c>
      <c r="J252" s="12"/>
    </row>
    <row r="253" spans="1:10" ht="60" customHeight="1">
      <c r="A253" s="6" t="s">
        <v>913</v>
      </c>
      <c r="B253" s="6" t="s">
        <v>11</v>
      </c>
      <c r="C253" s="6" t="s">
        <v>12</v>
      </c>
      <c r="D253" s="7" t="s">
        <v>398</v>
      </c>
      <c r="E253" s="8" t="s">
        <v>914</v>
      </c>
      <c r="F253" s="6" t="s">
        <v>915</v>
      </c>
      <c r="G253" s="9">
        <f>IF(A253=1,"_",IF(C253="_","???",C253))</f>
        <v/>
      </c>
      <c r="H253" s="10" t="s">
        <v>12</v>
      </c>
      <c r="I253" s="11" t="s">
        <v>12</v>
      </c>
      <c r="J253" s="12"/>
    </row>
    <row r="254" spans="1:10" ht="60" customHeight="1">
      <c r="A254" s="6" t="s">
        <v>916</v>
      </c>
      <c r="B254" s="6" t="s">
        <v>69</v>
      </c>
      <c r="C254" s="6" t="s">
        <v>303</v>
      </c>
      <c r="D254" s="7" t="s">
        <v>917</v>
      </c>
      <c r="E254" s="8" t="s">
        <v>918</v>
      </c>
      <c r="F254" s="6" t="s">
        <v>919</v>
      </c>
      <c r="G254" s="9">
        <f>IF(A254=1,"_",IF(C254="_","???",C254))</f>
        <v/>
      </c>
      <c r="H254" s="10" t="s">
        <v>12</v>
      </c>
      <c r="I254" s="11" t="s">
        <v>12</v>
      </c>
      <c r="J254" s="12"/>
    </row>
    <row r="255" spans="1:10" ht="60" customHeight="1">
      <c r="A255" s="6" t="s">
        <v>920</v>
      </c>
      <c r="B255" s="6" t="s">
        <v>34</v>
      </c>
      <c r="C255" s="6" t="s">
        <v>45</v>
      </c>
      <c r="D255" s="7" t="s">
        <v>921</v>
      </c>
      <c r="E255" s="8" t="s">
        <v>922</v>
      </c>
      <c r="F255" s="6" t="s">
        <v>923</v>
      </c>
      <c r="G255" s="9">
        <f>IF(A255=1,"_",IF(C255="_","???",C255))</f>
        <v/>
      </c>
      <c r="H255" s="10" t="s">
        <v>12</v>
      </c>
      <c r="I255" s="11" t="s">
        <v>12</v>
      </c>
      <c r="J255" s="12"/>
    </row>
    <row r="256" spans="1:10" ht="60" customHeight="1">
      <c r="A256" s="6" t="s">
        <v>924</v>
      </c>
      <c r="B256" s="6" t="s">
        <v>11</v>
      </c>
      <c r="C256" s="6" t="s">
        <v>12</v>
      </c>
      <c r="D256" s="7" t="s">
        <v>82</v>
      </c>
      <c r="E256" s="8" t="s">
        <v>925</v>
      </c>
      <c r="F256" s="6" t="s">
        <v>926</v>
      </c>
      <c r="G256" s="9">
        <f>IF(A256=1,"_",IF(C256="_","???",C256))</f>
        <v/>
      </c>
      <c r="H256" s="10" t="s">
        <v>12</v>
      </c>
      <c r="I256" s="11" t="s">
        <v>12</v>
      </c>
      <c r="J256" s="12"/>
    </row>
    <row r="257" spans="1:10" ht="60" customHeight="1">
      <c r="A257" s="6" t="s">
        <v>927</v>
      </c>
      <c r="B257" s="6" t="s">
        <v>182</v>
      </c>
      <c r="C257" s="6" t="s">
        <v>387</v>
      </c>
      <c r="D257" s="7" t="s">
        <v>928</v>
      </c>
      <c r="E257" s="8" t="s">
        <v>929</v>
      </c>
      <c r="F257" s="6" t="s">
        <v>930</v>
      </c>
      <c r="G257" s="9">
        <f>IF(A257=1,"_",IF(C257="_","???",C257))</f>
        <v/>
      </c>
      <c r="H257" s="10" t="s">
        <v>12</v>
      </c>
      <c r="I257" s="11" t="s">
        <v>12</v>
      </c>
      <c r="J257" s="12"/>
    </row>
    <row r="258" spans="1:10" ht="60" customHeight="1">
      <c r="A258" s="6" t="s">
        <v>931</v>
      </c>
      <c r="B258" s="6" t="s">
        <v>11</v>
      </c>
      <c r="C258" s="6" t="s">
        <v>18</v>
      </c>
      <c r="D258" s="7" t="s">
        <v>932</v>
      </c>
      <c r="E258" s="8" t="s">
        <v>933</v>
      </c>
      <c r="F258" s="6" t="s">
        <v>934</v>
      </c>
      <c r="G258" s="9">
        <f>IF(A258=1,"_",IF(C258="_","???",C258))</f>
        <v/>
      </c>
      <c r="H258" s="10" t="s">
        <v>12</v>
      </c>
      <c r="I258" s="11" t="s">
        <v>12</v>
      </c>
      <c r="J258" s="12"/>
    </row>
    <row r="259" spans="1:10" ht="60" customHeight="1">
      <c r="A259" s="6" t="s">
        <v>935</v>
      </c>
      <c r="B259" s="6" t="s">
        <v>10</v>
      </c>
      <c r="C259" s="6" t="s">
        <v>12</v>
      </c>
      <c r="D259" s="7" t="s">
        <v>729</v>
      </c>
      <c r="E259" s="8" t="s">
        <v>730</v>
      </c>
      <c r="F259" s="6" t="s">
        <v>936</v>
      </c>
      <c r="G259" s="9">
        <f>IF(A259=1,"_",IF(C259="_","???",C259))</f>
        <v/>
      </c>
      <c r="H259" s="10" t="s">
        <v>12</v>
      </c>
      <c r="I259" s="11" t="s">
        <v>12</v>
      </c>
      <c r="J259" s="12"/>
    </row>
    <row r="260" spans="1:10" ht="60" customHeight="1">
      <c r="A260" s="6" t="s">
        <v>937</v>
      </c>
      <c r="B260" s="6" t="s">
        <v>17</v>
      </c>
      <c r="C260" s="6" t="s">
        <v>102</v>
      </c>
      <c r="D260" s="7" t="s">
        <v>938</v>
      </c>
      <c r="E260" s="8" t="s">
        <v>939</v>
      </c>
      <c r="F260" s="6" t="s">
        <v>940</v>
      </c>
      <c r="G260" s="9">
        <f>IF(A260=1,"_",IF(C260="_","???",C260))</f>
        <v/>
      </c>
      <c r="H260" s="10" t="s">
        <v>12</v>
      </c>
      <c r="I260" s="11" t="s">
        <v>12</v>
      </c>
      <c r="J260" s="12"/>
    </row>
    <row r="261" spans="1:10" ht="60" customHeight="1">
      <c r="A261" s="6" t="s">
        <v>941</v>
      </c>
      <c r="B261" s="6" t="s">
        <v>35</v>
      </c>
      <c r="C261" s="6" t="s">
        <v>12</v>
      </c>
      <c r="D261" s="7" t="s">
        <v>942</v>
      </c>
      <c r="E261" s="8" t="s">
        <v>943</v>
      </c>
      <c r="F261" s="6" t="s">
        <v>944</v>
      </c>
      <c r="G261" s="9">
        <f>IF(A261=1,"_",IF(C261="_","???",C261))</f>
        <v/>
      </c>
      <c r="H261" s="10" t="s">
        <v>12</v>
      </c>
      <c r="I261" s="11" t="s">
        <v>12</v>
      </c>
      <c r="J261" s="12"/>
    </row>
    <row r="262" spans="1:10" ht="60" customHeight="1">
      <c r="A262" s="6" t="s">
        <v>945</v>
      </c>
      <c r="B262" s="6" t="s">
        <v>17</v>
      </c>
      <c r="C262" s="6" t="s">
        <v>12</v>
      </c>
      <c r="D262" s="7" t="s">
        <v>946</v>
      </c>
      <c r="E262" s="8" t="s">
        <v>947</v>
      </c>
      <c r="F262" s="6" t="s">
        <v>948</v>
      </c>
      <c r="G262" s="9">
        <f>IF(A262=1,"_",IF(C262="_","???",C262))</f>
        <v/>
      </c>
      <c r="H262" s="10" t="s">
        <v>12</v>
      </c>
      <c r="I262" s="11" t="s">
        <v>12</v>
      </c>
      <c r="J262" s="12"/>
    </row>
    <row r="263" spans="1:10" ht="60" customHeight="1">
      <c r="A263" s="6" t="s">
        <v>949</v>
      </c>
      <c r="B263" s="6" t="s">
        <v>69</v>
      </c>
      <c r="C263" s="6" t="s">
        <v>303</v>
      </c>
      <c r="D263" s="7" t="s">
        <v>950</v>
      </c>
      <c r="E263" s="8" t="s">
        <v>951</v>
      </c>
      <c r="F263" s="6" t="s">
        <v>952</v>
      </c>
      <c r="G263" s="9">
        <f>IF(A263=1,"_",IF(C263="_","???",C263))</f>
        <v/>
      </c>
      <c r="H263" s="10" t="s">
        <v>12</v>
      </c>
      <c r="I263" s="11" t="s">
        <v>12</v>
      </c>
      <c r="J263" s="12"/>
    </row>
    <row r="264" spans="1:10" ht="60" customHeight="1">
      <c r="A264" s="6" t="s">
        <v>953</v>
      </c>
      <c r="B264" s="6" t="s">
        <v>125</v>
      </c>
      <c r="C264" s="6" t="s">
        <v>954</v>
      </c>
      <c r="D264" s="7" t="s">
        <v>955</v>
      </c>
      <c r="E264" s="8" t="s">
        <v>956</v>
      </c>
      <c r="F264" s="6" t="s">
        <v>957</v>
      </c>
      <c r="G264" s="9">
        <f>IF(A264=1,"_",IF(C264="_","???",C264))</f>
        <v/>
      </c>
      <c r="H264" s="10" t="s">
        <v>12</v>
      </c>
      <c r="I264" s="11" t="s">
        <v>12</v>
      </c>
      <c r="J264" s="12"/>
    </row>
    <row r="265" spans="1:10" ht="60" customHeight="1">
      <c r="A265" s="6" t="s">
        <v>958</v>
      </c>
      <c r="B265" s="6" t="s">
        <v>44</v>
      </c>
      <c r="C265" s="6" t="s">
        <v>387</v>
      </c>
      <c r="D265" s="7" t="s">
        <v>959</v>
      </c>
      <c r="E265" s="8" t="s">
        <v>960</v>
      </c>
      <c r="F265" s="6" t="s">
        <v>961</v>
      </c>
      <c r="G265" s="9">
        <f>IF(A265=1,"_",IF(C265="_","???",C265))</f>
        <v/>
      </c>
      <c r="H265" s="10" t="s">
        <v>12</v>
      </c>
      <c r="I265" s="11" t="s">
        <v>12</v>
      </c>
      <c r="J265" s="12"/>
    </row>
    <row r="266" spans="1:10" ht="60" customHeight="1">
      <c r="A266" s="6" t="s">
        <v>962</v>
      </c>
      <c r="B266" s="6" t="s">
        <v>16</v>
      </c>
      <c r="C266" s="6" t="s">
        <v>12</v>
      </c>
      <c r="D266" s="7" t="s">
        <v>267</v>
      </c>
      <c r="E266" s="8" t="s">
        <v>963</v>
      </c>
      <c r="F266" s="6" t="s">
        <v>964</v>
      </c>
      <c r="G266" s="9">
        <f>IF(A266=1,"_",IF(C266="_","???",C266))</f>
        <v/>
      </c>
      <c r="H266" s="10" t="s">
        <v>12</v>
      </c>
      <c r="I266" s="11" t="s">
        <v>12</v>
      </c>
      <c r="J266" s="12"/>
    </row>
    <row r="267" spans="1:10" ht="60" customHeight="1">
      <c r="A267" s="6" t="s">
        <v>965</v>
      </c>
      <c r="B267" s="6" t="s">
        <v>11</v>
      </c>
      <c r="C267" s="6" t="s">
        <v>36</v>
      </c>
      <c r="D267" s="7" t="s">
        <v>966</v>
      </c>
      <c r="E267" s="8" t="s">
        <v>967</v>
      </c>
      <c r="F267" s="6" t="s">
        <v>968</v>
      </c>
      <c r="G267" s="9">
        <f>IF(A267=1,"_",IF(C267="_","???",C267))</f>
        <v/>
      </c>
      <c r="H267" s="10" t="s">
        <v>12</v>
      </c>
      <c r="I267" s="11" t="s">
        <v>12</v>
      </c>
      <c r="J267" s="12"/>
    </row>
    <row r="268" spans="1:10" ht="60" customHeight="1">
      <c r="A268" s="6" t="s">
        <v>969</v>
      </c>
      <c r="B268" s="6" t="s">
        <v>22</v>
      </c>
      <c r="C268" s="6" t="s">
        <v>30</v>
      </c>
      <c r="D268" s="7" t="s">
        <v>970</v>
      </c>
      <c r="E268" s="8" t="s">
        <v>971</v>
      </c>
      <c r="F268" s="6" t="s">
        <v>972</v>
      </c>
      <c r="G268" s="9">
        <f>IF(A268=1,"_",IF(C268="_","???",C268))</f>
        <v/>
      </c>
      <c r="H268" s="10" t="s">
        <v>12</v>
      </c>
      <c r="I268" s="11" t="s">
        <v>12</v>
      </c>
      <c r="J268" s="12"/>
    </row>
    <row r="269" spans="1:10" ht="60" customHeight="1">
      <c r="A269" s="6" t="s">
        <v>973</v>
      </c>
      <c r="B269" s="6" t="s">
        <v>17</v>
      </c>
      <c r="C269" s="6" t="s">
        <v>12</v>
      </c>
      <c r="D269" s="7" t="s">
        <v>82</v>
      </c>
      <c r="E269" s="8" t="s">
        <v>974</v>
      </c>
      <c r="F269" s="6" t="s">
        <v>975</v>
      </c>
      <c r="G269" s="9">
        <f>IF(A269=1,"_",IF(C269="_","???",C269))</f>
        <v/>
      </c>
      <c r="H269" s="10" t="s">
        <v>12</v>
      </c>
      <c r="I269" s="11" t="s">
        <v>12</v>
      </c>
      <c r="J269" s="12"/>
    </row>
    <row r="270" spans="1:10" ht="60" customHeight="1">
      <c r="A270" s="6" t="s">
        <v>976</v>
      </c>
      <c r="B270" s="6" t="s">
        <v>16</v>
      </c>
      <c r="C270" s="6" t="s">
        <v>977</v>
      </c>
      <c r="D270" s="7" t="s">
        <v>82</v>
      </c>
      <c r="E270" s="8" t="s">
        <v>978</v>
      </c>
      <c r="F270" s="6" t="s">
        <v>979</v>
      </c>
      <c r="G270" s="9">
        <f>IF(A270=1,"_",IF(C270="_","???",C270))</f>
        <v/>
      </c>
      <c r="H270" s="10" t="s">
        <v>12</v>
      </c>
      <c r="I270" s="11" t="s">
        <v>12</v>
      </c>
      <c r="J270" s="12"/>
    </row>
    <row r="271" spans="1:10" ht="60" customHeight="1">
      <c r="A271" s="6" t="s">
        <v>980</v>
      </c>
      <c r="B271" s="6" t="s">
        <v>17</v>
      </c>
      <c r="C271" s="6" t="s">
        <v>30</v>
      </c>
      <c r="D271" s="7" t="s">
        <v>82</v>
      </c>
      <c r="E271" s="8" t="s">
        <v>981</v>
      </c>
      <c r="F271" s="6" t="s">
        <v>982</v>
      </c>
      <c r="G271" s="9">
        <f>IF(A271=1,"_",IF(C271="_","???",C271))</f>
        <v/>
      </c>
      <c r="H271" s="10" t="s">
        <v>12</v>
      </c>
      <c r="I271" s="11" t="s">
        <v>12</v>
      </c>
      <c r="J271" s="12"/>
    </row>
    <row r="272" spans="1:10" ht="60" customHeight="1">
      <c r="A272" s="6" t="s">
        <v>983</v>
      </c>
      <c r="B272" s="6" t="s">
        <v>22</v>
      </c>
      <c r="C272" s="6" t="s">
        <v>12</v>
      </c>
      <c r="D272" s="7" t="s">
        <v>984</v>
      </c>
      <c r="E272" s="8" t="s">
        <v>985</v>
      </c>
      <c r="F272" s="6" t="s">
        <v>986</v>
      </c>
      <c r="G272" s="9">
        <f>IF(A272=1,"_",IF(C272="_","???",C272))</f>
        <v/>
      </c>
      <c r="H272" s="10" t="s">
        <v>12</v>
      </c>
      <c r="I272" s="11" t="s">
        <v>12</v>
      </c>
      <c r="J272" s="12"/>
    </row>
    <row r="273" spans="1:10" ht="60" customHeight="1">
      <c r="A273" s="6" t="s">
        <v>987</v>
      </c>
      <c r="B273" s="6" t="s">
        <v>10</v>
      </c>
      <c r="C273" s="6" t="s">
        <v>12</v>
      </c>
      <c r="D273" s="7" t="s">
        <v>697</v>
      </c>
      <c r="E273" s="8" t="s">
        <v>988</v>
      </c>
      <c r="F273" s="6" t="s">
        <v>989</v>
      </c>
      <c r="G273" s="9">
        <f>IF(A273=1,"_",IF(C273="_","???",C273))</f>
        <v/>
      </c>
      <c r="H273" s="10" t="s">
        <v>12</v>
      </c>
      <c r="I273" s="11" t="s">
        <v>12</v>
      </c>
      <c r="J273" s="12"/>
    </row>
    <row r="274" spans="1:10" ht="60" customHeight="1">
      <c r="A274" s="6" t="s">
        <v>990</v>
      </c>
      <c r="B274" s="6" t="s">
        <v>10</v>
      </c>
      <c r="C274" s="6" t="s">
        <v>146</v>
      </c>
      <c r="D274" s="7" t="s">
        <v>685</v>
      </c>
      <c r="E274" s="8" t="s">
        <v>991</v>
      </c>
      <c r="F274" s="6" t="s">
        <v>992</v>
      </c>
      <c r="G274" s="9">
        <f>IF(A274=1,"_",IF(C274="_","???",C274))</f>
        <v/>
      </c>
      <c r="H274" s="10" t="s">
        <v>12</v>
      </c>
      <c r="I274" s="11" t="s">
        <v>12</v>
      </c>
      <c r="J274" s="12"/>
    </row>
    <row r="275" spans="1:10" ht="60" customHeight="1">
      <c r="A275" s="6" t="s">
        <v>993</v>
      </c>
      <c r="B275" s="6" t="s">
        <v>11</v>
      </c>
      <c r="C275" s="6" t="s">
        <v>12</v>
      </c>
      <c r="D275" s="7" t="s">
        <v>685</v>
      </c>
      <c r="E275" s="8" t="s">
        <v>994</v>
      </c>
      <c r="F275" s="6" t="s">
        <v>995</v>
      </c>
      <c r="G275" s="9">
        <f>IF(A275=1,"_",IF(C275="_","???",C275))</f>
        <v/>
      </c>
      <c r="H275" s="10" t="s">
        <v>12</v>
      </c>
      <c r="I275" s="11" t="s">
        <v>12</v>
      </c>
      <c r="J275"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96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996</v>
      </c>
      <c r="B1" s="13" t="s">
        <v>997</v>
      </c>
      <c r="C1" s="13" t="s">
        <v>998</v>
      </c>
      <c r="D1" s="13" t="s">
        <v>999</v>
      </c>
      <c r="E1" s="14" t="s">
        <v>1000</v>
      </c>
      <c r="F1" s="15" t="s">
        <v>1001</v>
      </c>
      <c r="G1" s="16" t="s">
        <v>1002</v>
      </c>
      <c r="H1" s="17" t="s">
        <v>1003</v>
      </c>
      <c r="I1" s="18" t="s">
        <v>1004</v>
      </c>
      <c r="J1" s="18" t="s">
        <v>1005</v>
      </c>
      <c r="K1" s="18" t="s">
        <v>1006</v>
      </c>
      <c r="L1" s="19" t="s">
        <v>9</v>
      </c>
    </row>
    <row r="2" spans="1:12">
      <c r="A2" s="20" t="s">
        <v>1007</v>
      </c>
    </row>
    <row r="3" spans="1:12">
      <c r="A3" s="20" t="s">
        <v>1008</v>
      </c>
      <c r="B3" s="21" t="s">
        <v>1009</v>
      </c>
      <c r="C3" s="21" t="s">
        <v>1010</v>
      </c>
      <c r="D3" s="21" t="s">
        <v>1011</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1012</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1013</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1014</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519</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1015</v>
      </c>
      <c r="B8" s="21" t="s">
        <v>1016</v>
      </c>
      <c r="C8" s="21" t="s">
        <v>1017</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1018</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1019</v>
      </c>
      <c r="B10" s="21" t="s">
        <v>1016</v>
      </c>
      <c r="C10" s="21" t="s">
        <v>1017</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1020</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27</v>
      </c>
      <c r="B12" s="21" t="s">
        <v>1021</v>
      </c>
      <c r="C12" s="21" t="s">
        <v>1017</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1022</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row>
    <row r="15" spans="1:12">
      <c r="A15" s="20" t="s">
        <v>1023</v>
      </c>
    </row>
    <row r="16" spans="1:12">
      <c r="A16" s="20" t="s">
        <v>1024</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1025</v>
      </c>
      <c r="B17" s="21" t="s">
        <v>1009</v>
      </c>
      <c r="C17" s="21" t="s">
        <v>1026</v>
      </c>
      <c r="D17" s="21" t="s">
        <v>1011</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1027</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19</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1028</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1029</v>
      </c>
      <c r="B21" s="21" t="s">
        <v>1021</v>
      </c>
      <c r="C21" s="21" t="s">
        <v>1030</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1031</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1032</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1033</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1034</v>
      </c>
      <c r="B25" s="21" t="s">
        <v>1021</v>
      </c>
      <c r="C25" s="21" t="s">
        <v>1035</v>
      </c>
      <c r="D25" s="21" t="s">
        <v>1011</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1036</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12</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1037</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1038</v>
      </c>
      <c r="B29" s="21" t="s">
        <v>1039</v>
      </c>
      <c r="C29" s="21" t="s">
        <v>1040</v>
      </c>
      <c r="D29" s="21" t="s">
        <v>1011</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1041</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1042</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1043</v>
      </c>
      <c r="B32" s="21" t="s">
        <v>1021</v>
      </c>
      <c r="C32" s="21" t="s">
        <v>1044</v>
      </c>
      <c r="D32" s="21" t="s">
        <v>1011</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1045</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1046</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1018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1047</v>
      </c>
      <c r="B36" s="21" t="s">
        <v>1048</v>
      </c>
      <c r="C36" s="21" t="s">
        <v>1017</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1020</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1049</v>
      </c>
      <c r="B38" s="21" t="s">
        <v>1016</v>
      </c>
      <c r="C38" s="21" t="s">
        <v>1017</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1032</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1018</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1042</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1050</v>
      </c>
      <c r="B42" s="21" t="s">
        <v>1016</v>
      </c>
      <c r="C42" s="21" t="s">
        <v>1044</v>
      </c>
      <c r="D42" s="21" t="s">
        <v>1011</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1025</v>
      </c>
      <c r="B43" s="21" t="s">
        <v>1051</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1052</v>
      </c>
      <c r="B44" s="21" t="s">
        <v>1053</v>
      </c>
      <c r="C44" s="21" t="s">
        <v>1010</v>
      </c>
      <c r="D44" s="21" t="s">
        <v>1011</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259</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1014</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1054</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1020</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1055</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1014</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1056</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1042</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1057</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1058</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1059</v>
      </c>
      <c r="B55" s="21" t="s">
        <v>1060</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1061</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1062</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1063</v>
      </c>
      <c r="B58" s="21" t="s">
        <v>1064</v>
      </c>
      <c r="C58" s="21" t="s">
        <v>1017</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1022</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row>
    <row r="61" spans="1:12">
      <c r="A61" s="20" t="s">
        <v>1065</v>
      </c>
    </row>
    <row r="62" spans="1:12">
      <c r="A62" s="20" t="s">
        <v>1066</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1019</v>
      </c>
      <c r="B63" s="21" t="s">
        <v>1009</v>
      </c>
      <c r="C63" s="21" t="s">
        <v>1017</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1020</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27</v>
      </c>
      <c r="B65" s="21" t="s">
        <v>1016</v>
      </c>
      <c r="C65" s="21" t="s">
        <v>1017</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1067</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1068</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1069</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1014</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1070</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122</v>
      </c>
      <c r="B71" s="21" t="s">
        <v>1071</v>
      </c>
      <c r="C71" s="21" t="s">
        <v>1072</v>
      </c>
      <c r="D71" s="21" t="s">
        <v>1011</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1073</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1074</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1075</v>
      </c>
      <c r="B74" s="21" t="s">
        <v>1016</v>
      </c>
      <c r="C74" s="21" t="s">
        <v>1017</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1032</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1076</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1069</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1077</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1014</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1078</v>
      </c>
      <c r="B80" s="21" t="s">
        <v>1016</v>
      </c>
      <c r="C80" s="21" t="s">
        <v>1079</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1080</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1081</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1042</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1082</v>
      </c>
      <c r="B84" s="21" t="s">
        <v>1021</v>
      </c>
      <c r="C84" s="21" t="s">
        <v>1044</v>
      </c>
      <c r="D84" s="21" t="s">
        <v>1011</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1022</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row>
    <row r="87" spans="1:12">
      <c r="A87" s="20" t="s">
        <v>1083</v>
      </c>
    </row>
    <row r="88" spans="1:12">
      <c r="A88" s="20" t="s">
        <v>1084</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27</v>
      </c>
      <c r="B89" s="21" t="s">
        <v>1071</v>
      </c>
      <c r="C89" s="21" t="s">
        <v>1044</v>
      </c>
      <c r="D89" s="21" t="s">
        <v>1011</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1085</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1086</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1087</v>
      </c>
      <c r="B92" s="21" t="s">
        <v>1088</v>
      </c>
      <c r="C92" s="21" t="s">
        <v>1017</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1025</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1089</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1090</v>
      </c>
      <c r="B95" s="21" t="s">
        <v>1091</v>
      </c>
      <c r="C95" s="21" t="s">
        <v>1092</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1032</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1093</v>
      </c>
      <c r="B97" s="21" t="s">
        <v>1094</v>
      </c>
      <c r="C97" s="21" t="s">
        <v>1035</v>
      </c>
      <c r="D97" s="21" t="s">
        <v>1011</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1095</v>
      </c>
      <c r="B98" s="21" t="s">
        <v>1053</v>
      </c>
      <c r="C98" s="21" t="s">
        <v>1040</v>
      </c>
      <c r="D98" s="21" t="s">
        <v>1011</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1096</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1097</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1098</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1099</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1100</v>
      </c>
      <c r="B103" s="21" t="s">
        <v>1101</v>
      </c>
      <c r="C103" s="21" t="s">
        <v>1102</v>
      </c>
      <c r="D103" s="21" t="s">
        <v>1011</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1103</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82</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1104</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1105</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1106</v>
      </c>
      <c r="B108" s="21" t="s">
        <v>1051</v>
      </c>
      <c r="C108" s="21" t="s">
        <v>1017</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1032</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1107</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1108</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1106</v>
      </c>
      <c r="B112" s="21" t="s">
        <v>1094</v>
      </c>
      <c r="C112" s="21" t="s">
        <v>1017</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1073</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1050</v>
      </c>
      <c r="B114" s="21" t="s">
        <v>1109</v>
      </c>
      <c r="C114" s="21" t="s">
        <v>1017</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1103</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970</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1074</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1110</v>
      </c>
      <c r="B118" s="21" t="s">
        <v>1111</v>
      </c>
      <c r="C118" s="21" t="s">
        <v>1017</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1093</v>
      </c>
      <c r="B119" s="21" t="s">
        <v>1112</v>
      </c>
      <c r="C119" s="21" t="s">
        <v>1035</v>
      </c>
      <c r="D119" s="21" t="s">
        <v>1011</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1113</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1114</v>
      </c>
      <c r="B121" s="21" t="s">
        <v>1115</v>
      </c>
      <c r="C121" s="21" t="s">
        <v>1040</v>
      </c>
      <c r="D121" s="21" t="s">
        <v>1011</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1116</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697</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1097</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1117</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1022</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row>
    <row r="128" spans="1:12">
      <c r="A128" s="20" t="s">
        <v>1118</v>
      </c>
    </row>
    <row r="129" spans="1:12">
      <c r="A129" s="20" t="s">
        <v>1024</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1025</v>
      </c>
      <c r="B130" s="21" t="s">
        <v>1009</v>
      </c>
      <c r="C130" s="21" t="s">
        <v>1026</v>
      </c>
      <c r="D130" s="21" t="s">
        <v>1011</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1119</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1014</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1120</v>
      </c>
      <c r="B133" s="21" t="s">
        <v>1071</v>
      </c>
      <c r="C133" s="21" t="s">
        <v>1017</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1032</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1121</v>
      </c>
      <c r="B135" s="21" t="s">
        <v>1039</v>
      </c>
      <c r="C135" s="21" t="s">
        <v>1010</v>
      </c>
      <c r="D135" s="21" t="s">
        <v>1011</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1119</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1014</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78</v>
      </c>
      <c r="B138" s="21" t="s">
        <v>1016</v>
      </c>
      <c r="C138" s="21" t="s">
        <v>1017</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1032</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1121</v>
      </c>
      <c r="B140" s="21" t="s">
        <v>1039</v>
      </c>
      <c r="C140" s="21" t="s">
        <v>1010</v>
      </c>
      <c r="D140" s="21" t="s">
        <v>1011</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1119</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1014</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1122</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1022</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row>
    <row r="146" spans="1:12">
      <c r="A146" s="20" t="s">
        <v>1123</v>
      </c>
    </row>
    <row r="147" spans="1:12">
      <c r="A147" s="20" t="s">
        <v>1124</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1032</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1042</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27</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1125</v>
      </c>
      <c r="B151" s="21" t="s">
        <v>1009</v>
      </c>
      <c r="C151" s="21" t="s">
        <v>1044</v>
      </c>
      <c r="D151" s="21" t="s">
        <v>1011</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1103</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82</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1126</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1127</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1128</v>
      </c>
      <c r="B156" s="21" t="s">
        <v>1071</v>
      </c>
      <c r="C156" s="21" t="s">
        <v>1010</v>
      </c>
      <c r="D156" s="21" t="s">
        <v>1011</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1022</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row>
    <row r="159" spans="1:12">
      <c r="A159" s="20" t="s">
        <v>1129</v>
      </c>
    </row>
    <row r="160" spans="1:12">
      <c r="A160" s="20" t="s">
        <v>1130</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1032</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1042</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1131</v>
      </c>
      <c r="B163" s="21" t="s">
        <v>1009</v>
      </c>
      <c r="C163" s="21" t="s">
        <v>1044</v>
      </c>
      <c r="D163" s="21" t="s">
        <v>1011</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1132</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1019</v>
      </c>
      <c r="B165" s="21" t="s">
        <v>1016</v>
      </c>
      <c r="C165" s="21" t="s">
        <v>1017</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1045</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1133</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1069</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1014</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1128</v>
      </c>
      <c r="B170" s="21" t="s">
        <v>1071</v>
      </c>
      <c r="C170" s="21" t="s">
        <v>1010</v>
      </c>
      <c r="D170" s="21" t="s">
        <v>1011</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1022</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row>
    <row r="173" spans="1:12">
      <c r="A173" s="20" t="s">
        <v>1134</v>
      </c>
    </row>
    <row r="174" spans="1:12">
      <c r="A174" s="20" t="s">
        <v>1135</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1075</v>
      </c>
      <c r="B175" s="21" t="s">
        <v>1071</v>
      </c>
      <c r="C175" s="21" t="s">
        <v>1017</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1032</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1136</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1137</v>
      </c>
      <c r="B178" s="21" t="s">
        <v>1039</v>
      </c>
      <c r="C178" s="21" t="s">
        <v>1010</v>
      </c>
      <c r="D178" s="21" t="s">
        <v>1011</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1138</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46</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1139</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1140</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1141</v>
      </c>
      <c r="B183" s="21" t="s">
        <v>1088</v>
      </c>
      <c r="C183" s="21" t="s">
        <v>1092</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1014</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175</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1042</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1131</v>
      </c>
      <c r="B187" s="21" t="s">
        <v>1142</v>
      </c>
      <c r="C187" s="21" t="s">
        <v>1044</v>
      </c>
      <c r="D187" s="21" t="s">
        <v>1011</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1132</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1014</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1143</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1144</v>
      </c>
      <c r="B191" s="21" t="s">
        <v>1091</v>
      </c>
      <c r="C191" s="21" t="s">
        <v>1017</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1032</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1145</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1146</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1137</v>
      </c>
      <c r="B195" s="21" t="s">
        <v>1009</v>
      </c>
      <c r="C195" s="21" t="s">
        <v>1010</v>
      </c>
      <c r="D195" s="21" t="s">
        <v>1011</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1147</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46</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1019</v>
      </c>
      <c r="B198" s="21" t="s">
        <v>1048</v>
      </c>
      <c r="C198" s="21" t="s">
        <v>1017</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1022</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row>
    <row r="201" spans="1:12">
      <c r="A201" s="20" t="s">
        <v>1148</v>
      </c>
    </row>
    <row r="202" spans="1:12">
      <c r="A202" s="20" t="s">
        <v>1149</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1032</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1042</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1131</v>
      </c>
      <c r="B205" s="21" t="s">
        <v>1009</v>
      </c>
      <c r="C205" s="21" t="s">
        <v>1044</v>
      </c>
      <c r="D205" s="21" t="s">
        <v>1011</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1132</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1019</v>
      </c>
      <c r="B207" s="21" t="s">
        <v>1016</v>
      </c>
      <c r="C207" s="21" t="s">
        <v>1017</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1150</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50</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1151</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1152</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1037</v>
      </c>
      <c r="B212" s="21" t="s">
        <v>1071</v>
      </c>
      <c r="C212" s="21" t="s">
        <v>1017</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1022</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row>
    <row r="215" spans="1:12">
      <c r="A215" s="20" t="s">
        <v>1153</v>
      </c>
    </row>
    <row r="216" spans="1:12">
      <c r="A216" s="20" t="s">
        <v>1154</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1155</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1156</v>
      </c>
      <c r="B218" s="21" t="s">
        <v>1009</v>
      </c>
      <c r="C218" s="21" t="s">
        <v>1017</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1045</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1157</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1081</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1158</v>
      </c>
      <c r="B222" s="21" t="s">
        <v>1071</v>
      </c>
      <c r="C222" s="21" t="s">
        <v>1017</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1074</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1019</v>
      </c>
      <c r="B224" s="21" t="s">
        <v>1016</v>
      </c>
      <c r="C224" s="21" t="s">
        <v>1017</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1022</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row>
    <row r="227" spans="1:12">
      <c r="A227" s="20" t="s">
        <v>1159</v>
      </c>
    </row>
    <row r="228" spans="1:12">
      <c r="A228" s="20" t="s">
        <v>1084</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1160</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1161</v>
      </c>
      <c r="B230" s="21" t="s">
        <v>1009</v>
      </c>
      <c r="C230" s="21" t="s">
        <v>1044</v>
      </c>
      <c r="D230" s="21" t="s">
        <v>1011</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1162</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1042</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1163</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1164</v>
      </c>
      <c r="B234" s="21" t="s">
        <v>1048</v>
      </c>
      <c r="C234" s="21" t="s">
        <v>1165</v>
      </c>
      <c r="D234" s="21" t="s">
        <v>1011</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1032</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1020</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1032</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1166</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1074</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1042</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1167</v>
      </c>
      <c r="B241" s="21" t="s">
        <v>1016</v>
      </c>
      <c r="C241" s="21" t="s">
        <v>1044</v>
      </c>
      <c r="D241" s="21" t="s">
        <v>1011</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1032</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1052</v>
      </c>
      <c r="B243" s="21" t="s">
        <v>1039</v>
      </c>
      <c r="C243" s="21" t="s">
        <v>1010</v>
      </c>
      <c r="D243" s="21" t="s">
        <v>1011</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1168</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1169</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1028</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1133</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1170</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1171</v>
      </c>
      <c r="B249" s="21" t="s">
        <v>1088</v>
      </c>
      <c r="C249" s="21" t="s">
        <v>1030</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1074</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1042</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1131</v>
      </c>
      <c r="B252" s="21" t="s">
        <v>1021</v>
      </c>
      <c r="C252" s="21" t="s">
        <v>1044</v>
      </c>
      <c r="D252" s="21" t="s">
        <v>1011</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1132</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1172</v>
      </c>
      <c r="B254" s="21" t="s">
        <v>1091</v>
      </c>
      <c r="C254" s="21" t="s">
        <v>1017</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1032</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1020</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1025</v>
      </c>
      <c r="B257" s="21" t="s">
        <v>1039</v>
      </c>
      <c r="C257" s="21" t="s">
        <v>1026</v>
      </c>
      <c r="D257" s="21" t="s">
        <v>1011</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1173</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1174</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1052</v>
      </c>
      <c r="B260" s="21" t="s">
        <v>1175</v>
      </c>
      <c r="C260" s="21" t="s">
        <v>1010</v>
      </c>
      <c r="D260" s="21" t="s">
        <v>1011</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90</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1176</v>
      </c>
      <c r="B262" s="21" t="s">
        <v>1142</v>
      </c>
      <c r="C262" s="21" t="s">
        <v>1017</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1032</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1177</v>
      </c>
      <c r="B264" s="21" t="s">
        <v>1094</v>
      </c>
      <c r="C264" s="21" t="s">
        <v>1017</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12</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1178</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1073</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1052</v>
      </c>
      <c r="B268" s="21" t="s">
        <v>1039</v>
      </c>
      <c r="C268" s="21" t="s">
        <v>1010</v>
      </c>
      <c r="D268" s="21" t="s">
        <v>1011</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1179</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338</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1180</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1181</v>
      </c>
      <c r="B272" s="21" t="s">
        <v>1088</v>
      </c>
      <c r="C272" s="21" t="s">
        <v>1017</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1020</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388</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767</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1089</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1050</v>
      </c>
      <c r="B277" s="21" t="s">
        <v>1142</v>
      </c>
      <c r="C277" s="21" t="s">
        <v>1092</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1022</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row>
    <row r="280" spans="1:12">
      <c r="A280" s="20" t="s">
        <v>1182</v>
      </c>
    </row>
    <row r="281" spans="1:12">
      <c r="A281" s="20" t="s">
        <v>1024</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767</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1032</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1052</v>
      </c>
      <c r="B284" s="21" t="s">
        <v>1009</v>
      </c>
      <c r="C284" s="21" t="s">
        <v>1010</v>
      </c>
      <c r="D284" s="21" t="s">
        <v>1011</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1183</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1074</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1028</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1184</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1185</v>
      </c>
      <c r="B289" s="21" t="s">
        <v>1071</v>
      </c>
      <c r="C289" s="21" t="s">
        <v>1030</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1186</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1172</v>
      </c>
      <c r="B291" s="21" t="s">
        <v>1071</v>
      </c>
      <c r="C291" s="21" t="s">
        <v>1017</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1074</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1042</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1187</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1188</v>
      </c>
      <c r="B295" s="21" t="s">
        <v>1016</v>
      </c>
      <c r="C295" s="21" t="s">
        <v>1044</v>
      </c>
      <c r="D295" s="21" t="s">
        <v>1011</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1022</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row>
    <row r="298" spans="1:12">
      <c r="A298" s="20" t="s">
        <v>1189</v>
      </c>
    </row>
    <row r="299" spans="1:12">
      <c r="A299" s="20" t="s">
        <v>1066</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1190</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1052</v>
      </c>
      <c r="B301" s="21" t="s">
        <v>1039</v>
      </c>
      <c r="C301" s="21" t="s">
        <v>1010</v>
      </c>
      <c r="D301" s="21" t="s">
        <v>1011</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338</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1121</v>
      </c>
      <c r="B303" s="21" t="s">
        <v>1088</v>
      </c>
      <c r="C303" s="21" t="s">
        <v>1010</v>
      </c>
      <c r="D303" s="21" t="s">
        <v>1011</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1191</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12</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1020</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66</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1173</v>
      </c>
      <c r="B308" s="21" t="s">
        <v>1142</v>
      </c>
      <c r="C308" s="21" t="s">
        <v>1010</v>
      </c>
      <c r="D308" s="21" t="s">
        <v>1011</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883</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1032</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66</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1173</v>
      </c>
      <c r="B312" s="21" t="s">
        <v>1048</v>
      </c>
      <c r="C312" s="21" t="s">
        <v>1010</v>
      </c>
      <c r="D312" s="21" t="s">
        <v>1011</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13</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1127</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1192</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1121</v>
      </c>
      <c r="B316" s="21" t="s">
        <v>1142</v>
      </c>
      <c r="C316" s="21" t="s">
        <v>1010</v>
      </c>
      <c r="D316" s="21" t="s">
        <v>1011</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1193</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1190</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1194</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12</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1052</v>
      </c>
      <c r="B321" s="21" t="s">
        <v>1039</v>
      </c>
      <c r="C321" s="21" t="s">
        <v>1010</v>
      </c>
      <c r="D321" s="21" t="s">
        <v>1011</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259</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1014</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819</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1028</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1195</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1196</v>
      </c>
      <c r="B327" s="21" t="s">
        <v>1142</v>
      </c>
      <c r="C327" s="21" t="s">
        <v>1030</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1032</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1020</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1025</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1196</v>
      </c>
      <c r="B331" s="21" t="s">
        <v>1175</v>
      </c>
      <c r="C331" s="21" t="s">
        <v>1017</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1150</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1014</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388</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1186</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1197</v>
      </c>
      <c r="B336" s="21" t="s">
        <v>1091</v>
      </c>
      <c r="C336" s="21" t="s">
        <v>1017</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1022</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row>
    <row r="339" spans="1:12">
      <c r="A339" s="20" t="s">
        <v>1198</v>
      </c>
    </row>
    <row r="340" spans="1:12">
      <c r="A340" s="20" t="s">
        <v>1197</v>
      </c>
      <c r="B340" s="21" t="s">
        <v>1009</v>
      </c>
      <c r="C340" s="21" t="s">
        <v>1017</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1045</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1199</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1042</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1082</v>
      </c>
      <c r="B344" s="21" t="s">
        <v>1048</v>
      </c>
      <c r="C344" s="21" t="s">
        <v>1044</v>
      </c>
      <c r="D344" s="21" t="s">
        <v>1011</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1032</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1020</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1042</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1200</v>
      </c>
      <c r="B348" s="21" t="s">
        <v>1039</v>
      </c>
      <c r="C348" s="21" t="s">
        <v>1044</v>
      </c>
      <c r="D348" s="21" t="s">
        <v>1011</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1081</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1197</v>
      </c>
      <c r="B350" s="21" t="s">
        <v>1021</v>
      </c>
      <c r="C350" s="21" t="s">
        <v>1017</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1045</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1201</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1028</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1133</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1202</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1140</v>
      </c>
      <c r="B356" s="21" t="s">
        <v>1071</v>
      </c>
      <c r="C356" s="21" t="s">
        <v>1030</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1022</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row>
    <row r="359" spans="1:12">
      <c r="A359" s="20" t="s">
        <v>1203</v>
      </c>
    </row>
    <row r="360" spans="1:12">
      <c r="A360" s="20" t="s">
        <v>1204</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1137</v>
      </c>
      <c r="B361" s="21" t="s">
        <v>1039</v>
      </c>
      <c r="C361" s="21" t="s">
        <v>1010</v>
      </c>
      <c r="D361" s="21" t="s">
        <v>1011</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1205</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1206</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1042</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1197</v>
      </c>
      <c r="B365" s="21" t="s">
        <v>1016</v>
      </c>
      <c r="C365" s="21" t="s">
        <v>1044</v>
      </c>
      <c r="D365" s="21" t="s">
        <v>1011</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1025</v>
      </c>
      <c r="B366" s="21" t="s">
        <v>1053</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1207</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1208</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1032</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1025</v>
      </c>
      <c r="B370" s="21" t="s">
        <v>1009</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1119</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1014</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1028</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1209</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1210</v>
      </c>
      <c r="B375" s="21" t="s">
        <v>1071</v>
      </c>
      <c r="C375" s="21" t="s">
        <v>1030</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1032</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1020</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1025</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1209</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1210</v>
      </c>
      <c r="B380" s="21" t="s">
        <v>1039</v>
      </c>
      <c r="C380" s="21" t="s">
        <v>1017</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1119</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1014</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1211</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1133</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1212</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1213</v>
      </c>
      <c r="B386" s="21" t="s">
        <v>1016</v>
      </c>
      <c r="C386" s="21" t="s">
        <v>1092</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1099</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1042</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1213</v>
      </c>
      <c r="B389" s="21" t="s">
        <v>1021</v>
      </c>
      <c r="C389" s="21" t="s">
        <v>1044</v>
      </c>
      <c r="D389" s="21" t="s">
        <v>1011</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1081</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1042</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1214</v>
      </c>
      <c r="B392" s="21" t="s">
        <v>1091</v>
      </c>
      <c r="C392" s="21" t="s">
        <v>1044</v>
      </c>
      <c r="D392" s="21" t="s">
        <v>1011</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1073</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1215</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1086</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1032</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1042</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1216</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1213</v>
      </c>
      <c r="B399" s="21" t="s">
        <v>1039</v>
      </c>
      <c r="C399" s="21" t="s">
        <v>1044</v>
      </c>
      <c r="D399" s="21" t="s">
        <v>1011</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1032</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1074</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1025</v>
      </c>
      <c r="B402" s="21" t="s">
        <v>1016</v>
      </c>
      <c r="C402" s="21" t="s">
        <v>1026</v>
      </c>
      <c r="D402" s="21" t="s">
        <v>1011</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1042</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1217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1218</v>
      </c>
      <c r="B405" s="21" t="s">
        <v>1039</v>
      </c>
      <c r="C405" s="21" t="s">
        <v>1044</v>
      </c>
      <c r="D405" s="21" t="s">
        <v>1011</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697</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1097</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1219</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1014</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1070</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1170</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1125</v>
      </c>
      <c r="B412" s="21" t="s">
        <v>1016</v>
      </c>
      <c r="C412" s="21" t="s">
        <v>1072</v>
      </c>
      <c r="D412" s="21" t="s">
        <v>1011</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1032</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1020</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767</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1137</v>
      </c>
      <c r="B416" s="21" t="s">
        <v>1175</v>
      </c>
      <c r="C416" s="21" t="s">
        <v>1010</v>
      </c>
      <c r="D416" s="21" t="s">
        <v>1011</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142</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1220</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1221</v>
      </c>
      <c r="B419" s="21" t="s">
        <v>1142</v>
      </c>
      <c r="C419" s="21" t="s">
        <v>1017</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1022</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row>
    <row r="422" spans="1:12">
      <c r="A422" s="20" t="s">
        <v>1222</v>
      </c>
    </row>
    <row r="423" spans="1:12">
      <c r="A423" s="20" t="s">
        <v>1149</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1032</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1042</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1223</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1224</v>
      </c>
      <c r="B427" s="21" t="s">
        <v>1009</v>
      </c>
      <c r="C427" s="21" t="s">
        <v>1044</v>
      </c>
      <c r="D427" s="21" t="s">
        <v>1011</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1132</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1225</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1137</v>
      </c>
      <c r="B430" s="21" t="s">
        <v>1175</v>
      </c>
      <c r="C430" s="21" t="s">
        <v>1010</v>
      </c>
      <c r="D430" s="21" t="s">
        <v>1011</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1226</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1227</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1028</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1228</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1210</v>
      </c>
      <c r="B435" s="21" t="s">
        <v>1021</v>
      </c>
      <c r="C435" s="21" t="s">
        <v>1030</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1132</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1197</v>
      </c>
      <c r="B437" s="21" t="s">
        <v>1091</v>
      </c>
      <c r="C437" s="21" t="s">
        <v>1017</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1014</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1229</v>
      </c>
      <c r="B439" s="21" t="s">
        <v>1091</v>
      </c>
      <c r="C439" s="21" t="s">
        <v>1230</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1209</v>
      </c>
      <c r="B440" s="21" t="s">
        <v>1109</v>
      </c>
      <c r="C440" s="21" t="s">
        <v>1017</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1103</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82</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1032</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1020</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1231</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1042</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1232</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1233</v>
      </c>
      <c r="B448" s="21" t="s">
        <v>1053</v>
      </c>
      <c r="C448" s="21" t="s">
        <v>1044</v>
      </c>
      <c r="D448" s="21" t="s">
        <v>1011</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1067</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12</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1100</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1173</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1211</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78</v>
      </c>
      <c r="B454" s="21" t="s">
        <v>1071</v>
      </c>
      <c r="C454" s="21" t="s">
        <v>1092</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1100</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1032</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1234</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1107</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1133</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1105</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1022</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row>
    <row r="463" spans="1:12">
      <c r="A463" s="20" t="s">
        <v>1235</v>
      </c>
    </row>
    <row r="464" spans="1:12">
      <c r="A464" s="20" t="s">
        <v>1024</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1100</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1173</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1236</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78</v>
      </c>
      <c r="B468" s="21" t="s">
        <v>1009</v>
      </c>
      <c r="C468" s="21" t="s">
        <v>1017</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1018</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1225</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1237</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1238</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1213</v>
      </c>
      <c r="B473" s="21" t="s">
        <v>1175</v>
      </c>
      <c r="C473" s="21" t="s">
        <v>1072</v>
      </c>
      <c r="D473" s="21" t="s">
        <v>1011</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1103</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82</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1032</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1234</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1239</v>
      </c>
      <c r="B478" s="21" t="s">
        <v>1175</v>
      </c>
      <c r="C478" s="21" t="s">
        <v>1010</v>
      </c>
      <c r="D478" s="21" t="s">
        <v>1011</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1103</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82</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1068</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1237</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1022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row>
    <row r="485" spans="1:12">
      <c r="A485" s="20" t="s">
        <v>1240</v>
      </c>
    </row>
    <row r="486" spans="1:12">
      <c r="A486" s="20" t="s">
        <v>1008</v>
      </c>
      <c r="B486" s="21" t="s">
        <v>1009</v>
      </c>
      <c r="C486" s="21" t="s">
        <v>1010</v>
      </c>
      <c r="D486" s="21" t="s">
        <v>1011</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1241</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1042</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201</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1242</v>
      </c>
      <c r="B490" s="21" t="s">
        <v>1048</v>
      </c>
      <c r="C490" s="21" t="s">
        <v>1044</v>
      </c>
      <c r="D490" s="21" t="s">
        <v>1011</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1081</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1243</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1244</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1245</v>
      </c>
      <c r="B494" s="21" t="s">
        <v>1071</v>
      </c>
      <c r="C494" s="21" t="s">
        <v>1072</v>
      </c>
      <c r="D494" s="21" t="s">
        <v>1011</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1099</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row>
    <row r="497" spans="1:12">
      <c r="A497" s="20" t="s">
        <v>1246</v>
      </c>
    </row>
    <row r="498" spans="1:12">
      <c r="A498" s="20" t="s">
        <v>1247</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1052</v>
      </c>
      <c r="B499" s="21" t="s">
        <v>1009</v>
      </c>
      <c r="C499" s="21" t="s">
        <v>1010</v>
      </c>
      <c r="D499" s="21" t="s">
        <v>1011</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1248</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90</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1014</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142</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1151</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1014</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1249</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1250</v>
      </c>
      <c r="B507" s="21" t="s">
        <v>1016</v>
      </c>
      <c r="C507" s="21" t="s">
        <v>1017</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1251</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row>
    <row r="510" spans="1:12">
      <c r="A510" s="20" t="s">
        <v>1252</v>
      </c>
    </row>
    <row r="511" spans="1:12">
      <c r="A511" s="20" t="s">
        <v>729</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1097</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1052</v>
      </c>
      <c r="B513" s="21" t="s">
        <v>1009</v>
      </c>
      <c r="C513" s="21" t="s">
        <v>1010</v>
      </c>
      <c r="D513" s="21" t="s">
        <v>1011</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1139</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95</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1121</v>
      </c>
      <c r="B516" s="21" t="s">
        <v>1048</v>
      </c>
      <c r="C516" s="21" t="s">
        <v>1010</v>
      </c>
      <c r="D516" s="21" t="s">
        <v>1011</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1074</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1253</v>
      </c>
      <c r="B518" s="21" t="s">
        <v>1071</v>
      </c>
      <c r="C518" s="21" t="s">
        <v>1017</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1254</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1028</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1255</v>
      </c>
      <c r="B521" s="21" t="s">
        <v>1071</v>
      </c>
      <c r="C521" s="21" t="s">
        <v>1030</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1251</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row>
    <row r="524" spans="1:12">
      <c r="A524" s="20" t="s">
        <v>1256</v>
      </c>
    </row>
    <row r="525" spans="1:12">
      <c r="A525" s="20" t="s">
        <v>1024</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1042</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1257</v>
      </c>
      <c r="B527" s="21" t="s">
        <v>1009</v>
      </c>
      <c r="C527" s="21" t="s">
        <v>1044</v>
      </c>
      <c r="D527" s="21" t="s">
        <v>1011</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1045</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1032</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1258</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1052</v>
      </c>
      <c r="B531" s="21" t="s">
        <v>1175</v>
      </c>
      <c r="C531" s="21" t="s">
        <v>1010</v>
      </c>
      <c r="D531" s="21" t="s">
        <v>1011</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142</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1249</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1014</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1250</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1032</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1042</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1209</v>
      </c>
      <c r="B538" s="21" t="s">
        <v>1039</v>
      </c>
      <c r="C538" s="21" t="s">
        <v>1044</v>
      </c>
      <c r="D538" s="21" t="s">
        <v>1011</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1103</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1259</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1014</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1260</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1022</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row>
    <row r="545" spans="1:12">
      <c r="A545" s="20" t="s">
        <v>1261</v>
      </c>
    </row>
    <row r="546" spans="1:12">
      <c r="A546" s="20" t="s">
        <v>1024</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767</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1025</v>
      </c>
      <c r="B548" s="21" t="s">
        <v>1009</v>
      </c>
      <c r="C548" s="21" t="s">
        <v>1026</v>
      </c>
      <c r="D548" s="21" t="s">
        <v>1011</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1173</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1028</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1262</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1263</v>
      </c>
      <c r="B552" s="21" t="s">
        <v>1071</v>
      </c>
      <c r="C552" s="21" t="s">
        <v>1030</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1022</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row>
    <row r="555" spans="1:12">
      <c r="A555" s="20" t="s">
        <v>1264</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1265</v>
      </c>
    </row>
    <row r="557" spans="1:12">
      <c r="A557" s="20" t="s">
        <v>1266</v>
      </c>
      <c r="B557" s="21" t="s">
        <v>1009</v>
      </c>
      <c r="C557" s="21" t="s">
        <v>1010</v>
      </c>
      <c r="D557" s="21" t="s">
        <v>1011</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1173</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1133</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1267</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1077</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1268</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1032</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1269</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1270</v>
      </c>
      <c r="B565" s="21" t="s">
        <v>1039</v>
      </c>
      <c r="C565" s="21" t="s">
        <v>1010</v>
      </c>
      <c r="D565" s="21" t="s">
        <v>1011</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1183</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1028</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1271</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12</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1272</v>
      </c>
      <c r="B570" s="21" t="s">
        <v>1021</v>
      </c>
      <c r="C570" s="21" t="s">
        <v>1092</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12</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1273</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1274</v>
      </c>
      <c r="B573" s="21" t="s">
        <v>1071</v>
      </c>
      <c r="C573" s="21" t="s">
        <v>1030</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1275</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1014</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142</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1276</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1028</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1277</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12</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1272</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1278</v>
      </c>
      <c r="B582" s="21" t="s">
        <v>1091</v>
      </c>
      <c r="C582" s="21" t="s">
        <v>1030</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1032</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1020</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1052</v>
      </c>
      <c r="B585" s="21" t="s">
        <v>1039</v>
      </c>
      <c r="C585" s="21" t="s">
        <v>1010</v>
      </c>
      <c r="D585" s="21" t="s">
        <v>1011</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1179</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1139</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1279</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1132</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1280</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1276</v>
      </c>
      <c r="B591" s="21" t="s">
        <v>1071</v>
      </c>
      <c r="C591" s="21" t="s">
        <v>1017</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1022</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1269</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row>
    <row r="595" spans="1:12">
      <c r="A595" s="20" t="s">
        <v>1281</v>
      </c>
    </row>
    <row r="596" spans="1:12">
      <c r="A596" s="20" t="s">
        <v>1282</v>
      </c>
      <c r="B596" s="21" t="s">
        <v>1009</v>
      </c>
      <c r="C596" s="21" t="s">
        <v>1026</v>
      </c>
      <c r="D596" s="21" t="s">
        <v>1011</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1045</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1283</v>
      </c>
      <c r="B598" s="21" t="s">
        <v>1071</v>
      </c>
      <c r="C598" s="21" t="s">
        <v>1102</v>
      </c>
      <c r="D598" s="21" t="s">
        <v>1011</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1025</v>
      </c>
      <c r="B599" s="21" t="s">
        <v>1039</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1150</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1014</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142</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1014</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1250</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1022</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row>
    <row r="607" spans="1:12">
      <c r="A607" s="20" t="s">
        <v>1284</v>
      </c>
    </row>
    <row r="608" spans="1:12">
      <c r="A608" s="20" t="s">
        <v>1149</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1032</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1052</v>
      </c>
      <c r="B610" s="21" t="s">
        <v>1009</v>
      </c>
      <c r="C610" s="21" t="s">
        <v>1010</v>
      </c>
      <c r="D610" s="21" t="s">
        <v>1011</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114</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1285</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1028</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1286</v>
      </c>
      <c r="B614" s="21" t="s">
        <v>1048</v>
      </c>
      <c r="C614" s="21" t="s">
        <v>1030</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1132</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1287</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1288</v>
      </c>
      <c r="B617" s="21" t="s">
        <v>1016</v>
      </c>
      <c r="C617" s="21" t="s">
        <v>1017</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1289</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1290</v>
      </c>
      <c r="B619" s="21" t="s">
        <v>1071</v>
      </c>
      <c r="C619" s="21" t="s">
        <v>1291</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12</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1152</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117</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1059</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1292</v>
      </c>
      <c r="B624" s="21" t="s">
        <v>1048</v>
      </c>
      <c r="C624" s="21" t="s">
        <v>1092</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1022</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row>
    <row r="627" spans="1:12">
      <c r="A627" s="20" t="s">
        <v>1293</v>
      </c>
    </row>
    <row r="628" spans="1:12">
      <c r="A628" s="20" t="s">
        <v>1294</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1295</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1296</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1032</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1121</v>
      </c>
      <c r="B632" s="21" t="s">
        <v>1009</v>
      </c>
      <c r="C632" s="21" t="s">
        <v>1010</v>
      </c>
      <c r="D632" s="21" t="s">
        <v>1011</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1173</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1018</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93</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1292</v>
      </c>
      <c r="B636" s="21" t="s">
        <v>1071</v>
      </c>
      <c r="C636" s="21" t="s">
        <v>1092</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1022</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row>
    <row r="639" spans="1:12">
      <c r="A639" s="20" t="s">
        <v>1297</v>
      </c>
    </row>
    <row r="640" spans="1:12">
      <c r="A640" s="20" t="s">
        <v>1294</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122</v>
      </c>
      <c r="B641" s="21" t="s">
        <v>1071</v>
      </c>
      <c r="C641" s="21" t="s">
        <v>1017</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1074</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1298</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1299</v>
      </c>
      <c r="B644" s="21" t="s">
        <v>1071</v>
      </c>
      <c r="C644" s="21" t="s">
        <v>1017</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1032</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1121</v>
      </c>
      <c r="B646" s="21" t="s">
        <v>1039</v>
      </c>
      <c r="C646" s="21" t="s">
        <v>1010</v>
      </c>
      <c r="D646" s="21" t="s">
        <v>1011</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1173</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1300</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1077</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1140</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1301</v>
      </c>
      <c r="B651" s="21" t="s">
        <v>1071</v>
      </c>
      <c r="C651" s="21" t="s">
        <v>1092</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1022</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row>
    <row r="654" spans="1:12">
      <c r="A654" s="20" t="s">
        <v>1302</v>
      </c>
    </row>
    <row r="655" spans="1:12">
      <c r="A655" s="20" t="s">
        <v>1266</v>
      </c>
      <c r="B655" s="21" t="s">
        <v>1009</v>
      </c>
      <c r="C655" s="21" t="s">
        <v>1010</v>
      </c>
      <c r="D655" s="21" t="s">
        <v>1011</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1173</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1303</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1304</v>
      </c>
      <c r="B658" s="21" t="s">
        <v>1071</v>
      </c>
      <c r="C658" s="21" t="s">
        <v>1030</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1132</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1018</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1305</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1292</v>
      </c>
      <c r="B662" s="21" t="s">
        <v>1071</v>
      </c>
      <c r="C662" s="21" t="s">
        <v>1092</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1127</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1306</v>
      </c>
      <c r="B664" s="21" t="s">
        <v>1016</v>
      </c>
      <c r="C664" s="21" t="s">
        <v>1079</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1081</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1042</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1082</v>
      </c>
      <c r="B667" s="21" t="s">
        <v>1021</v>
      </c>
      <c r="C667" s="21" t="s">
        <v>1044</v>
      </c>
      <c r="D667" s="21" t="s">
        <v>1011</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1022</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row>
    <row r="670" spans="1:12">
      <c r="A670" s="20" t="s">
        <v>1307</v>
      </c>
    </row>
    <row r="671" spans="1:12">
      <c r="A671" s="20" t="s">
        <v>1024</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1308</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1032</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1052</v>
      </c>
      <c r="B674" s="21" t="s">
        <v>1009</v>
      </c>
      <c r="C674" s="21" t="s">
        <v>1010</v>
      </c>
      <c r="D674" s="21" t="s">
        <v>1011</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90</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1014</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338</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1125</v>
      </c>
      <c r="B678" s="21" t="s">
        <v>1088</v>
      </c>
      <c r="C678" s="21" t="s">
        <v>1017</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1025</v>
      </c>
      <c r="B679" s="21" t="s">
        <v>1053</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1103</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225</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1025</v>
      </c>
      <c r="B682" s="21" t="s">
        <v>1051</v>
      </c>
      <c r="C682" s="21" t="s">
        <v>1026</v>
      </c>
      <c r="D682" s="21" t="s">
        <v>1011</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1151</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1014</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1250</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1022</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row>
    <row r="688" spans="1:12">
      <c r="A688" s="20" t="s">
        <v>1309</v>
      </c>
    </row>
    <row r="689" spans="1:12">
      <c r="A689" s="20" t="s">
        <v>1266</v>
      </c>
      <c r="B689" s="21" t="s">
        <v>1009</v>
      </c>
      <c r="C689" s="21" t="s">
        <v>1010</v>
      </c>
      <c r="D689" s="21" t="s">
        <v>1011</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1173</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1310</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1311</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1013</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1206</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1022</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row>
    <row r="697" spans="1:12">
      <c r="A697" s="20" t="s">
        <v>1312</v>
      </c>
    </row>
    <row r="698" spans="1:12">
      <c r="A698" s="20" t="s">
        <v>1266</v>
      </c>
      <c r="B698" s="21" t="s">
        <v>1009</v>
      </c>
      <c r="C698" s="21" t="s">
        <v>1010</v>
      </c>
      <c r="D698" s="21" t="s">
        <v>1011</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1173</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1313</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1314</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1315</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1125</v>
      </c>
      <c r="B703" s="21" t="s">
        <v>1071</v>
      </c>
      <c r="C703" s="21" t="s">
        <v>1017</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1025</v>
      </c>
      <c r="B704" s="21" t="s">
        <v>1039</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90</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1166</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1316</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1121</v>
      </c>
      <c r="B708" s="21" t="s">
        <v>1088</v>
      </c>
      <c r="C708" s="21" t="s">
        <v>1010</v>
      </c>
      <c r="D708" s="21" t="s">
        <v>1011</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1041</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1317</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1032</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767</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1052</v>
      </c>
      <c r="B713" s="21" t="s">
        <v>1039</v>
      </c>
      <c r="C713" s="21" t="s">
        <v>1010</v>
      </c>
      <c r="D713" s="21" t="s">
        <v>1011</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90</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1014</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13</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1227</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1318</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1319</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1014</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1320</v>
      </c>
      <c r="B721" s="21" t="s">
        <v>1091</v>
      </c>
      <c r="C721" s="21" t="s">
        <v>1017</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1032</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1020</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1320</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1317</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1042</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1321</v>
      </c>
      <c r="B727" s="21" t="s">
        <v>1088</v>
      </c>
      <c r="C727" s="21" t="s">
        <v>1322</v>
      </c>
      <c r="D727" s="21" t="s">
        <v>1011</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1014</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1250</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1022</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row>
    <row r="732" spans="1:12">
      <c r="A732" s="20" t="s">
        <v>1323</v>
      </c>
    </row>
    <row r="733" spans="1:12">
      <c r="A733" s="20" t="s">
        <v>1282</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1200</v>
      </c>
      <c r="B734" s="21" t="s">
        <v>1009</v>
      </c>
      <c r="C734" s="21" t="s">
        <v>1072</v>
      </c>
      <c r="D734" s="21" t="s">
        <v>1011</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1150</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1324</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1325</v>
      </c>
      <c r="B737" s="21" t="s">
        <v>1048</v>
      </c>
      <c r="C737" s="21" t="s">
        <v>1092</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1032</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1028</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1326</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1029</v>
      </c>
      <c r="B741" s="21" t="s">
        <v>1016</v>
      </c>
      <c r="C741" s="21" t="s">
        <v>1030</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1132</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1327</v>
      </c>
      <c r="B743" s="21" t="s">
        <v>1021</v>
      </c>
      <c r="C743" s="21" t="s">
        <v>1017</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1022</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row>
    <row r="746" spans="1:12">
      <c r="A746" s="20" t="s">
        <v>1328</v>
      </c>
    </row>
    <row r="747" spans="1:12">
      <c r="A747" s="20" t="s">
        <v>1124</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1137</v>
      </c>
      <c r="B748" s="21" t="s">
        <v>1009</v>
      </c>
      <c r="C748" s="21" t="s">
        <v>1010</v>
      </c>
      <c r="D748" s="21" t="s">
        <v>1011</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1168</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1329</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1028</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1141</v>
      </c>
      <c r="B752" s="21" t="s">
        <v>1048</v>
      </c>
      <c r="C752" s="21" t="s">
        <v>1030</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1081</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1042</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1330</v>
      </c>
      <c r="B755" s="21" t="s">
        <v>1071</v>
      </c>
      <c r="C755" s="21" t="s">
        <v>1044</v>
      </c>
      <c r="D755" s="21" t="s">
        <v>1011</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1032</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1197</v>
      </c>
      <c r="B757" s="21" t="s">
        <v>1016</v>
      </c>
      <c r="C757" s="21" t="s">
        <v>1017</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1032</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1025</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1137</v>
      </c>
      <c r="B760" s="21" t="s">
        <v>1039</v>
      </c>
      <c r="C760" s="21" t="s">
        <v>1010</v>
      </c>
      <c r="D760" s="21" t="s">
        <v>1011</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1331</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1014</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142</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1014</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1250</v>
      </c>
      <c r="B765" s="21" t="s">
        <v>1021</v>
      </c>
      <c r="C765" s="21" t="s">
        <v>1165</v>
      </c>
      <c r="D765" s="21" t="s">
        <v>1011</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1032</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1020</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1025</v>
      </c>
      <c r="B768" s="21" t="s">
        <v>1175</v>
      </c>
      <c r="C768" s="21" t="s">
        <v>1026</v>
      </c>
      <c r="D768" s="21" t="s">
        <v>1011</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1173</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1013</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1014</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82</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1157</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1081</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1042</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1332</v>
      </c>
      <c r="B776" s="21" t="s">
        <v>1091</v>
      </c>
      <c r="C776" s="21" t="s">
        <v>1044</v>
      </c>
      <c r="D776" s="21" t="s">
        <v>1011</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1132</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122</v>
      </c>
      <c r="B778" s="21" t="s">
        <v>1094</v>
      </c>
      <c r="C778" s="21" t="s">
        <v>1017</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1032</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1042</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1333</v>
      </c>
      <c r="B781" s="21" t="s">
        <v>1048</v>
      </c>
      <c r="C781" s="21" t="s">
        <v>1044</v>
      </c>
      <c r="D781" s="21" t="s">
        <v>1011</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1295</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1334</v>
      </c>
      <c r="B783" s="21" t="s">
        <v>1175</v>
      </c>
      <c r="C783" s="21" t="s">
        <v>1291</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1045</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1335</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1081</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1304</v>
      </c>
      <c r="B787" s="21" t="s">
        <v>1021</v>
      </c>
      <c r="C787" s="21" t="s">
        <v>1017</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1032</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1042</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1019</v>
      </c>
      <c r="B790" s="21" t="s">
        <v>1048</v>
      </c>
      <c r="C790" s="21" t="s">
        <v>1044</v>
      </c>
      <c r="D790" s="21" t="s">
        <v>1011</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1032</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1081</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1304</v>
      </c>
      <c r="B793" s="21" t="s">
        <v>1016</v>
      </c>
      <c r="C793" s="21" t="s">
        <v>1017</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1032</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1127</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1295</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1336</v>
      </c>
      <c r="B797" s="21" t="s">
        <v>1071</v>
      </c>
      <c r="C797" s="21" t="s">
        <v>1291</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1032</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1020</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1042</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1197</v>
      </c>
      <c r="B801" s="21" t="s">
        <v>1039</v>
      </c>
      <c r="C801" s="21" t="s">
        <v>1044</v>
      </c>
      <c r="D801" s="21" t="s">
        <v>1011</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1337</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114</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1285</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1338</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1339</v>
      </c>
      <c r="B806" s="21" t="s">
        <v>1016</v>
      </c>
      <c r="C806" s="21" t="s">
        <v>1017</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1132</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1019</v>
      </c>
      <c r="B808" s="21" t="s">
        <v>1021</v>
      </c>
      <c r="C808" s="21" t="s">
        <v>1017</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1022</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row>
    <row r="811" spans="1:12">
      <c r="A811" s="20" t="s">
        <v>1340</v>
      </c>
    </row>
    <row r="812" spans="1:12">
      <c r="A812" s="20" t="s">
        <v>1124</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66</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1173</v>
      </c>
      <c r="B814" s="21" t="s">
        <v>1048</v>
      </c>
      <c r="C814" s="21" t="s">
        <v>1010</v>
      </c>
      <c r="D814" s="21" t="s">
        <v>1011</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479</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1041</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1295</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1140</v>
      </c>
      <c r="B818" s="21" t="s">
        <v>1016</v>
      </c>
      <c r="C818" s="21" t="s">
        <v>1040</v>
      </c>
      <c r="D818" s="21" t="s">
        <v>1011</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1132</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1070</v>
      </c>
      <c r="B820" s="21" t="s">
        <v>1021</v>
      </c>
      <c r="C820" s="21" t="s">
        <v>1026</v>
      </c>
      <c r="D820" s="21" t="s">
        <v>1011</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1032</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1020</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179</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1225</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1052</v>
      </c>
      <c r="B825" s="21" t="s">
        <v>1053</v>
      </c>
      <c r="C825" s="21" t="s">
        <v>1010</v>
      </c>
      <c r="D825" s="21" t="s">
        <v>1011</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1179</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142</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1243</v>
      </c>
      <c r="B828" s="21" t="s">
        <v>1051</v>
      </c>
      <c r="C828" s="21" t="s">
        <v>1026</v>
      </c>
      <c r="D828" s="21" t="s">
        <v>1011</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1151</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1014</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1250</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1022</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row>
    <row r="834" spans="1:12">
      <c r="A834" s="20" t="s">
        <v>1341</v>
      </c>
    </row>
    <row r="835" spans="1:12">
      <c r="A835" s="20" t="s">
        <v>1342</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1032</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1140</v>
      </c>
      <c r="B837" s="21" t="s">
        <v>1009</v>
      </c>
      <c r="C837" s="21" t="s">
        <v>1040</v>
      </c>
      <c r="D837" s="21" t="s">
        <v>1011</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1132</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1070</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1343</v>
      </c>
      <c r="B840" s="21" t="s">
        <v>1016</v>
      </c>
      <c r="C840" s="21" t="s">
        <v>1072</v>
      </c>
      <c r="D840" s="21" t="s">
        <v>1011</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1045</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1013</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1014</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90</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1014</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142</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1344</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1249</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1014</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1250</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1022</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row>
    <row r="853" spans="1:12">
      <c r="A853" s="20" t="s">
        <v>1345</v>
      </c>
    </row>
    <row r="854" spans="1:12">
      <c r="A854" s="20" t="s">
        <v>1346</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1347</v>
      </c>
      <c r="B855" s="21" t="s">
        <v>1071</v>
      </c>
      <c r="C855" s="21" t="s">
        <v>1165</v>
      </c>
      <c r="D855" s="21" t="s">
        <v>1011</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1348</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row>
    <row r="858" spans="1:12">
      <c r="A858" s="20" t="s">
        <v>1349</v>
      </c>
    </row>
    <row r="859" spans="1:12">
      <c r="A859" s="20" t="s">
        <v>1350</v>
      </c>
      <c r="B859" s="21" t="s">
        <v>1009</v>
      </c>
      <c r="C859" s="21" t="s">
        <v>1026</v>
      </c>
      <c r="D859" s="21" t="s">
        <v>1011</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1173</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500</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1227</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1273</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1351</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1352</v>
      </c>
      <c r="B865" s="21" t="s">
        <v>1071</v>
      </c>
      <c r="C865" s="21" t="s">
        <v>1017</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1022</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row>
    <row r="868" spans="1:12">
      <c r="A868" s="20" t="s">
        <v>1353</v>
      </c>
    </row>
    <row r="869" spans="1:12">
      <c r="A869" s="20" t="s">
        <v>1066</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66</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1173</v>
      </c>
      <c r="B871" s="21" t="s">
        <v>1048</v>
      </c>
      <c r="C871" s="21" t="s">
        <v>1010</v>
      </c>
      <c r="D871" s="21" t="s">
        <v>1011</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946</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1028</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479</v>
      </c>
      <c r="B874" s="21" t="s">
        <v>1088</v>
      </c>
      <c r="C874" s="21" t="s">
        <v>1030</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1022</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row>
    <row r="877" spans="1:12">
      <c r="A877" s="20" t="s">
        <v>1354</v>
      </c>
    </row>
    <row r="878" spans="1:12">
      <c r="A878" s="20" t="s">
        <v>1355</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1032</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1052</v>
      </c>
      <c r="B880" s="21" t="s">
        <v>1009</v>
      </c>
      <c r="C880" s="21" t="s">
        <v>1010</v>
      </c>
      <c r="D880" s="21" t="s">
        <v>1011</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1168</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1329</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1356</v>
      </c>
      <c r="B883" s="21" t="s">
        <v>1048</v>
      </c>
      <c r="C883" s="21" t="s">
        <v>1017</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1022</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row>
    <row r="886" spans="1:12">
      <c r="A886" s="20" t="s">
        <v>1357</v>
      </c>
    </row>
    <row r="887" spans="1:12">
      <c r="A887" s="20" t="s">
        <v>1084</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1188</v>
      </c>
      <c r="B888" s="21" t="s">
        <v>1009</v>
      </c>
      <c r="C888" s="21" t="s">
        <v>1044</v>
      </c>
      <c r="D888" s="21" t="s">
        <v>1011</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1015</v>
      </c>
      <c r="B889" s="21" t="s">
        <v>1016</v>
      </c>
      <c r="C889" s="21" t="s">
        <v>1017</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1150</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1358</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1059</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122</v>
      </c>
      <c r="B893" s="21" t="s">
        <v>1048</v>
      </c>
      <c r="C893" s="21" t="s">
        <v>1092</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1022</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row>
    <row r="896" spans="1:12">
      <c r="A896" s="20" t="s">
        <v>1359</v>
      </c>
    </row>
    <row r="897" spans="1:12">
      <c r="A897" s="20" t="s">
        <v>1350</v>
      </c>
      <c r="B897" s="21" t="s">
        <v>1009</v>
      </c>
      <c r="C897" s="21" t="s">
        <v>1026</v>
      </c>
      <c r="D897" s="21" t="s">
        <v>1011</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1173</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1360</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1206</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1014</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1018</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1361</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1059</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1022</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row>
    <row r="907" spans="1:12">
      <c r="A907" s="20" t="s">
        <v>1362</v>
      </c>
    </row>
    <row r="908" spans="1:12">
      <c r="A908" s="20" t="s">
        <v>1149</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1032</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1136</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1052</v>
      </c>
      <c r="B911" s="21" t="s">
        <v>1039</v>
      </c>
      <c r="C911" s="21" t="s">
        <v>1010</v>
      </c>
      <c r="D911" s="21" t="s">
        <v>1011</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388</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1028</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1248</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1363</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1364</v>
      </c>
      <c r="B916" s="21" t="s">
        <v>1088</v>
      </c>
      <c r="C916" s="21" t="s">
        <v>1030</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1081</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1195</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1047</v>
      </c>
      <c r="B919" s="21" t="s">
        <v>1016</v>
      </c>
      <c r="C919" s="21" t="s">
        <v>1017</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1032</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1365</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1366</v>
      </c>
      <c r="B922" s="21" t="s">
        <v>1021</v>
      </c>
      <c r="C922" s="21" t="s">
        <v>1017</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1032</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1367</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1365</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1333</v>
      </c>
      <c r="B926" s="21" t="s">
        <v>1021</v>
      </c>
      <c r="C926" s="21" t="s">
        <v>1017</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1032</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1052</v>
      </c>
      <c r="B928" s="21" t="s">
        <v>1009</v>
      </c>
      <c r="C928" s="21" t="s">
        <v>1010</v>
      </c>
      <c r="D928" s="21" t="s">
        <v>1011</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1138</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175</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1025</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1145</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1032</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1215</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1032</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53</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1254</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73</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1368</v>
      </c>
      <c r="B939" s="21" t="s">
        <v>1071</v>
      </c>
      <c r="C939" s="21" t="s">
        <v>1092</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1022</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row>
    <row r="942" spans="1:12">
      <c r="A942" s="20" t="s">
        <v>1369</v>
      </c>
    </row>
    <row r="943" spans="1:12">
      <c r="A943" s="20" t="s">
        <v>1066</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1100</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1032</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1052</v>
      </c>
      <c r="B946" s="21" t="s">
        <v>1009</v>
      </c>
      <c r="C946" s="21" t="s">
        <v>1010</v>
      </c>
      <c r="D946" s="21" t="s">
        <v>1011</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179</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1303</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1210</v>
      </c>
      <c r="B949" s="21" t="s">
        <v>1048</v>
      </c>
      <c r="C949" s="21" t="s">
        <v>1030</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1132</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1018</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1370</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1022</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row>
    <row r="955" spans="1:12">
      <c r="A955" s="20" t="s">
        <v>1371</v>
      </c>
    </row>
    <row r="956" spans="1:12">
      <c r="A956" s="20" t="s">
        <v>1084</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1372</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1373</v>
      </c>
      <c r="B958" s="21" t="s">
        <v>1009</v>
      </c>
      <c r="C958" s="21" t="s">
        <v>1044</v>
      </c>
      <c r="D958" s="21" t="s">
        <v>1011</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1045</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1042</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1333</v>
      </c>
      <c r="B961" s="21" t="s">
        <v>1071</v>
      </c>
      <c r="C961" s="21" t="s">
        <v>1044</v>
      </c>
      <c r="D961" s="21" t="s">
        <v>1011</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1052</v>
      </c>
      <c r="B962" s="21" t="s">
        <v>1039</v>
      </c>
      <c r="C962" s="21" t="s">
        <v>1010</v>
      </c>
      <c r="D962" s="21" t="s">
        <v>1011</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582</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1022</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row>
    <row r="966" spans="1:12">
      <c r="A966" s="20" t="s">
        <v>1374</v>
      </c>
    </row>
    <row r="967" spans="1:12">
      <c r="A967" s="20" t="s">
        <v>1282</v>
      </c>
      <c r="B967" s="21" t="s">
        <v>1009</v>
      </c>
      <c r="C967" s="21" t="s">
        <v>1026</v>
      </c>
      <c r="D967" s="21" t="s">
        <v>1011</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1375</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1376</v>
      </c>
      <c r="B969" s="21" t="s">
        <v>1048</v>
      </c>
      <c r="C969" s="21" t="s">
        <v>1102</v>
      </c>
      <c r="D969" s="21" t="s">
        <v>1011</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1099</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1042</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1377</v>
      </c>
      <c r="B972" s="21" t="s">
        <v>1071</v>
      </c>
      <c r="C972" s="21" t="s">
        <v>1044</v>
      </c>
      <c r="D972" s="21" t="s">
        <v>1011</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1052</v>
      </c>
      <c r="B973" s="21" t="s">
        <v>1175</v>
      </c>
      <c r="C973" s="21" t="s">
        <v>1010</v>
      </c>
      <c r="D973" s="21" t="s">
        <v>1011</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1378</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1032</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1379</v>
      </c>
      <c r="B976" s="21" t="s">
        <v>1016</v>
      </c>
      <c r="C976" s="21" t="s">
        <v>1017</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1032</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1380</v>
      </c>
      <c r="B978" s="21" t="s">
        <v>1016</v>
      </c>
      <c r="C978" s="21" t="s">
        <v>1017</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1032</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1381</v>
      </c>
      <c r="B980" s="21" t="s">
        <v>1016</v>
      </c>
      <c r="C980" s="21" t="s">
        <v>1017</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1022</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row>
    <row r="983" spans="1:12">
      <c r="A983" s="20" t="s">
        <v>1382</v>
      </c>
    </row>
    <row r="984" spans="1:12">
      <c r="A984" s="20" t="s">
        <v>1383</v>
      </c>
      <c r="B984" s="21" t="s">
        <v>1009</v>
      </c>
      <c r="C984" s="21" t="s">
        <v>1026</v>
      </c>
      <c r="D984" s="21" t="s">
        <v>1011</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1067</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1133</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1384</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1050</v>
      </c>
      <c r="B988" s="21" t="s">
        <v>1071</v>
      </c>
      <c r="C988" s="21" t="s">
        <v>1017</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1022</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row>
    <row r="991" spans="1:12">
      <c r="A991" s="20" t="s">
        <v>1385</v>
      </c>
    </row>
    <row r="992" spans="1:12">
      <c r="A992" s="20" t="s">
        <v>1386</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1387</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1132</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1144</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1087</v>
      </c>
      <c r="B996" s="21" t="s">
        <v>1016</v>
      </c>
      <c r="C996" s="21" t="s">
        <v>1017</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1388</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1070</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1333</v>
      </c>
      <c r="B999" s="21" t="s">
        <v>1051</v>
      </c>
      <c r="C999" s="21" t="s">
        <v>1072</v>
      </c>
      <c r="D999" s="21" t="s">
        <v>1011</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1014</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1389</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1306</v>
      </c>
      <c r="B1002" s="21" t="s">
        <v>1091</v>
      </c>
      <c r="C1002" s="21" t="s">
        <v>1079</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1081</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1042</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1082</v>
      </c>
      <c r="B1005" s="21" t="s">
        <v>1094</v>
      </c>
      <c r="C1005" s="21" t="s">
        <v>1044</v>
      </c>
      <c r="D1005" s="21" t="s">
        <v>1011</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1022</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row>
    <row r="1008" spans="1:12">
      <c r="A1008" s="20" t="s">
        <v>1390</v>
      </c>
    </row>
    <row r="1009" spans="1:12">
      <c r="A1009" s="20" t="s">
        <v>1024</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1121</v>
      </c>
      <c r="B1010" s="21" t="s">
        <v>1009</v>
      </c>
      <c r="C1010" s="21" t="s">
        <v>1010</v>
      </c>
      <c r="D1010" s="21" t="s">
        <v>1011</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1173</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1028</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1363</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1141</v>
      </c>
      <c r="B1014" s="21" t="s">
        <v>1071</v>
      </c>
      <c r="C1014" s="21" t="s">
        <v>1030</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1127</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1243</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1332</v>
      </c>
      <c r="B1017" s="21" t="s">
        <v>1039</v>
      </c>
      <c r="C1017" s="21" t="s">
        <v>1072</v>
      </c>
      <c r="D1017" s="21" t="s">
        <v>1011</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1014</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13</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1206</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1022</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row>
    <row r="1023" spans="1:12">
      <c r="A1023" s="20" t="s">
        <v>1391</v>
      </c>
    </row>
    <row r="1024" spans="1:12">
      <c r="A1024" s="20" t="s">
        <v>1135</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1042</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1187</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1188</v>
      </c>
      <c r="B1027" s="21" t="s">
        <v>1071</v>
      </c>
      <c r="C1027" s="21" t="s">
        <v>1044</v>
      </c>
      <c r="D1027" s="21" t="s">
        <v>1011</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1032</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1215</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1042</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201</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1140</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1059</v>
      </c>
      <c r="B1033" s="21" t="s">
        <v>1048</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1032</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1052</v>
      </c>
      <c r="B1035" s="21" t="s">
        <v>1039</v>
      </c>
      <c r="C1035" s="21" t="s">
        <v>1010</v>
      </c>
      <c r="D1035" s="21" t="s">
        <v>1011</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1392</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1138</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95</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500</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1020</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582</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1300</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1032</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1234</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1289</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1290</v>
      </c>
      <c r="B1046" s="21" t="s">
        <v>1016</v>
      </c>
      <c r="C1046" s="21" t="s">
        <v>1291</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1032</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1243</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1332</v>
      </c>
      <c r="B1049" s="21" t="s">
        <v>1039</v>
      </c>
      <c r="C1049" s="21" t="s">
        <v>1072</v>
      </c>
      <c r="D1049" s="21" t="s">
        <v>1011</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1032</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1081</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1304</v>
      </c>
      <c r="B1052" s="21" t="s">
        <v>1021</v>
      </c>
      <c r="C1052" s="21" t="s">
        <v>1017</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1032</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1045</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1013</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1014</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13</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1206</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1032</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1020</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767</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1032</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1393</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1032</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1025</v>
      </c>
      <c r="B1065" s="21" t="s">
        <v>1175</v>
      </c>
      <c r="C1065" s="21" t="s">
        <v>1026</v>
      </c>
      <c r="D1065" s="21" t="s">
        <v>1011</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1103</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1076</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1077</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1394</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1042</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1333</v>
      </c>
      <c r="B1071" s="21" t="s">
        <v>1175</v>
      </c>
      <c r="C1071" s="21" t="s">
        <v>1044</v>
      </c>
      <c r="D1071" s="21" t="s">
        <v>1011</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1395</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1338</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1334</v>
      </c>
      <c r="B1074" s="21" t="s">
        <v>1021</v>
      </c>
      <c r="C1074" s="21" t="s">
        <v>1017</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1022</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row>
    <row r="1077" spans="1:12">
      <c r="A1077" s="20" t="s">
        <v>1396</v>
      </c>
    </row>
    <row r="1078" spans="1:12">
      <c r="A1078" s="20" t="s">
        <v>1397</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1052</v>
      </c>
      <c r="B1079" s="21" t="s">
        <v>1009</v>
      </c>
      <c r="C1079" s="21" t="s">
        <v>1010</v>
      </c>
      <c r="D1079" s="21" t="s">
        <v>1011</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90</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1028</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1133</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1398</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1336</v>
      </c>
      <c r="B1084" s="21" t="s">
        <v>1048</v>
      </c>
      <c r="C1084" s="21" t="s">
        <v>1030</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1099</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row>
    <row r="1087" spans="1:12">
      <c r="A1087" s="20" t="s">
        <v>1399</v>
      </c>
    </row>
    <row r="1088" spans="1:12">
      <c r="A1088" s="20" t="s">
        <v>1247</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1137</v>
      </c>
      <c r="B1089" s="21" t="s">
        <v>1009</v>
      </c>
      <c r="C1089" s="21" t="s">
        <v>1010</v>
      </c>
      <c r="D1089" s="21" t="s">
        <v>1011</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90</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1400</v>
      </c>
      <c r="B1091" s="21" t="s">
        <v>1048</v>
      </c>
      <c r="C1091" s="21" t="s">
        <v>1017</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1074</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1401</v>
      </c>
      <c r="B1093" s="21" t="s">
        <v>1016</v>
      </c>
      <c r="C1093" s="21" t="s">
        <v>1035</v>
      </c>
      <c r="D1093" s="21" t="s">
        <v>1011</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1402</v>
      </c>
      <c r="B1094" s="21" t="s">
        <v>1071</v>
      </c>
      <c r="C1094" s="21" t="s">
        <v>1040</v>
      </c>
      <c r="D1094" s="21" t="s">
        <v>1011</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1014</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82</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1403</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1014</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1404</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1401</v>
      </c>
      <c r="B1100" s="21" t="s">
        <v>1091</v>
      </c>
      <c r="C1100" s="21" t="s">
        <v>1035</v>
      </c>
      <c r="D1100" s="21" t="s">
        <v>1011</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1405</v>
      </c>
      <c r="B1101" s="21" t="s">
        <v>1142</v>
      </c>
      <c r="C1101" s="21" t="s">
        <v>1040</v>
      </c>
      <c r="D1101" s="21" t="s">
        <v>1011</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1251</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row>
    <row r="1104" spans="1:12">
      <c r="A1104" s="20" t="s">
        <v>1406</v>
      </c>
    </row>
    <row r="1105" spans="1:12">
      <c r="A1105" s="20" t="s">
        <v>1024</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1032</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1074</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1075</v>
      </c>
      <c r="B1108" s="21" t="s">
        <v>1071</v>
      </c>
      <c r="C1108" s="21" t="s">
        <v>1017</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1032</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1070</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1407</v>
      </c>
      <c r="B1111" s="21" t="s">
        <v>1009</v>
      </c>
      <c r="C1111" s="21" t="s">
        <v>1072</v>
      </c>
      <c r="D1111" s="21" t="s">
        <v>1011</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388</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1097</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1032</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767</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1239</v>
      </c>
      <c r="B1116" s="21" t="s">
        <v>1009</v>
      </c>
      <c r="C1116" s="21" t="s">
        <v>1010</v>
      </c>
      <c r="D1116" s="21" t="s">
        <v>1011</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1183</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1013</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1285</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1020</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1408</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1093</v>
      </c>
      <c r="B1122" s="21" t="s">
        <v>1021</v>
      </c>
      <c r="C1122" s="21" t="s">
        <v>1035</v>
      </c>
      <c r="D1122" s="21" t="s">
        <v>1011</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1409</v>
      </c>
      <c r="B1123" s="21" t="s">
        <v>1088</v>
      </c>
      <c r="C1123" s="21" t="s">
        <v>1040</v>
      </c>
      <c r="D1123" s="21" t="s">
        <v>1011</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1276</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1042</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1410</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1411</v>
      </c>
      <c r="B1127" s="21" t="s">
        <v>1016</v>
      </c>
      <c r="C1127" s="21" t="s">
        <v>1044</v>
      </c>
      <c r="D1127" s="21" t="s">
        <v>1011</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1022</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row>
    <row r="1130" spans="1:12">
      <c r="A1130" s="20" t="s">
        <v>1264</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1412</v>
      </c>
    </row>
    <row r="1132" spans="1:12">
      <c r="A1132" s="20" t="s">
        <v>1149</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1032</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215</v>
      </c>
      <c r="B1134" s="21" t="s">
        <v>1071</v>
      </c>
      <c r="C1134" s="21" t="s">
        <v>1017</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1032</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1269</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1413</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1032</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1269</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1042</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1019</v>
      </c>
      <c r="B1141" s="21" t="s">
        <v>1071</v>
      </c>
      <c r="C1141" s="21" t="s">
        <v>1044</v>
      </c>
      <c r="D1141" s="21" t="s">
        <v>1011</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1127</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1295</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1336</v>
      </c>
      <c r="B1144" s="21" t="s">
        <v>1016</v>
      </c>
      <c r="C1144" s="21" t="s">
        <v>1291</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12</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1414</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1032</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1415</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1052</v>
      </c>
      <c r="B1149" s="21" t="s">
        <v>1039</v>
      </c>
      <c r="C1149" s="21" t="s">
        <v>1010</v>
      </c>
      <c r="D1149" s="21" t="s">
        <v>1011</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90</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1211</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1384</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1416</v>
      </c>
      <c r="B1153" s="21" t="s">
        <v>1088</v>
      </c>
      <c r="C1153" s="21" t="s">
        <v>1092</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1022</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row>
    <row r="1156" spans="1:12">
      <c r="A1156" s="20" t="s">
        <v>1417</v>
      </c>
    </row>
    <row r="1157" spans="1:12">
      <c r="A1157" s="20" t="s">
        <v>1270</v>
      </c>
      <c r="B1157" s="21" t="s">
        <v>1009</v>
      </c>
      <c r="C1157" s="21" t="s">
        <v>1010</v>
      </c>
      <c r="D1157" s="21" t="s">
        <v>1011</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90</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1283</v>
      </c>
      <c r="B1159" s="21" t="s">
        <v>1048</v>
      </c>
      <c r="C1159" s="21" t="s">
        <v>1102</v>
      </c>
      <c r="D1159" s="21" t="s">
        <v>1011</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1025</v>
      </c>
      <c r="B1160" s="21" t="s">
        <v>1175</v>
      </c>
      <c r="C1160" s="21" t="s">
        <v>1026</v>
      </c>
      <c r="D1160" s="21" t="s">
        <v>1011</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1173</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1107</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1013</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1206</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1022</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row>
    <row r="1167" spans="1:12">
      <c r="A1167" s="20" t="s">
        <v>1418</v>
      </c>
    </row>
    <row r="1168" spans="1:12">
      <c r="A1168" s="20" t="s">
        <v>1419</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1314</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1420</v>
      </c>
      <c r="B1170" s="21" t="s">
        <v>1071</v>
      </c>
      <c r="C1170" s="21" t="s">
        <v>1017</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1020</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1195</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1110</v>
      </c>
      <c r="B1173" s="21" t="s">
        <v>1016</v>
      </c>
      <c r="C1173" s="21" t="s">
        <v>1017</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1132</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1421</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1400</v>
      </c>
      <c r="B1176" s="21" t="s">
        <v>1051</v>
      </c>
      <c r="C1176" s="21" t="s">
        <v>1017</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1032</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1422</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1267</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1423</v>
      </c>
      <c r="B1180" s="21" t="s">
        <v>1091</v>
      </c>
      <c r="C1180" s="21" t="s">
        <v>1017</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1132</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1424</v>
      </c>
      <c r="B1182" s="21" t="s">
        <v>1094</v>
      </c>
      <c r="C1182" s="21" t="s">
        <v>1017</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1032</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1267</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1110</v>
      </c>
      <c r="B1185" s="21" t="s">
        <v>1016</v>
      </c>
      <c r="C1185" s="21" t="s">
        <v>1017</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1132</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1425</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1426</v>
      </c>
      <c r="B1188" s="21" t="s">
        <v>1021</v>
      </c>
      <c r="C1188" s="21" t="s">
        <v>1017</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12</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1100</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1067</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1028</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1286</v>
      </c>
      <c r="B1193" s="21" t="s">
        <v>1009</v>
      </c>
      <c r="C1193" s="21" t="s">
        <v>1030</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1132</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1333</v>
      </c>
      <c r="B1195" s="21" t="s">
        <v>1016</v>
      </c>
      <c r="C1195" s="21" t="s">
        <v>1017</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1231</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1137</v>
      </c>
      <c r="B1197" s="21" t="s">
        <v>1053</v>
      </c>
      <c r="C1197" s="21" t="s">
        <v>1010</v>
      </c>
      <c r="D1197" s="21" t="s">
        <v>1011</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1179</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225</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1042</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1019</v>
      </c>
      <c r="B1201" s="21" t="s">
        <v>1051</v>
      </c>
      <c r="C1201" s="21" t="s">
        <v>1044</v>
      </c>
      <c r="D1201" s="21" t="s">
        <v>1011</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1127</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1025</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1336</v>
      </c>
      <c r="B1204" s="21" t="s">
        <v>1091</v>
      </c>
      <c r="C1204" s="21" t="s">
        <v>1072</v>
      </c>
      <c r="D1204" s="21" t="s">
        <v>1011</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1151</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1427</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1428</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1022</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row>
    <row r="1210" spans="1:12">
      <c r="A1210" s="20" t="s">
        <v>1429</v>
      </c>
    </row>
    <row r="1211" spans="1:12">
      <c r="A1211" s="20" t="s">
        <v>1430</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1431</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1333</v>
      </c>
      <c r="B1213" s="21" t="s">
        <v>1009</v>
      </c>
      <c r="C1213" s="21" t="s">
        <v>1092</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1166</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225</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1121</v>
      </c>
      <c r="B1216" s="21" t="s">
        <v>1048</v>
      </c>
      <c r="C1216" s="21" t="s">
        <v>1010</v>
      </c>
      <c r="D1216" s="21" t="s">
        <v>1011</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1151</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1145</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344</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1368</v>
      </c>
      <c r="B1220" s="21" t="s">
        <v>1071</v>
      </c>
      <c r="C1220" s="21" t="s">
        <v>1092</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1022</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row>
    <row r="1223" spans="1:12">
      <c r="A1223" s="20" t="s">
        <v>1432</v>
      </c>
    </row>
    <row r="1224" spans="1:12">
      <c r="A1224" s="20" t="s">
        <v>1433</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1067</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1071</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1333</v>
      </c>
      <c r="B1227" s="21" t="s">
        <v>1009</v>
      </c>
      <c r="C1227" s="21" t="s">
        <v>1017</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1032</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1434</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1225</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1052</v>
      </c>
      <c r="B1231" s="21" t="s">
        <v>1039</v>
      </c>
      <c r="C1231" s="21" t="s">
        <v>1010</v>
      </c>
      <c r="D1231" s="21" t="s">
        <v>1011</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338</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1435</v>
      </c>
      <c r="B1233" s="21" t="s">
        <v>1088</v>
      </c>
      <c r="C1233" s="21" t="s">
        <v>1017</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1032</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1254</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1225</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1052</v>
      </c>
      <c r="B1237" s="21" t="s">
        <v>1175</v>
      </c>
      <c r="C1237" s="21" t="s">
        <v>1010</v>
      </c>
      <c r="D1237" s="21" t="s">
        <v>1011</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388</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1177</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1436</v>
      </c>
      <c r="B1240" s="21" t="s">
        <v>1142</v>
      </c>
      <c r="C1240" s="21" t="s">
        <v>1017</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1032</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1231</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1042</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1437</v>
      </c>
      <c r="B1244" s="21" t="s">
        <v>1101</v>
      </c>
      <c r="C1244" s="21" t="s">
        <v>1044</v>
      </c>
      <c r="D1244" s="21" t="s">
        <v>1011</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1127</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1438</v>
      </c>
      <c r="B1246" s="21" t="s">
        <v>1111</v>
      </c>
      <c r="C1246" s="21" t="s">
        <v>1017</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1067</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1146</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1032</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1146</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1300</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1022</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row>
    <row r="1254" spans="1:12">
      <c r="A1254" s="20" t="s">
        <v>1439</v>
      </c>
    </row>
    <row r="1255" spans="1:12">
      <c r="A1255" s="20" t="s">
        <v>1024</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767</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1393</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1032</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1136</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1052</v>
      </c>
      <c r="B1260" s="21" t="s">
        <v>1039</v>
      </c>
      <c r="C1260" s="21" t="s">
        <v>1010</v>
      </c>
      <c r="D1260" s="21" t="s">
        <v>1011</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1183</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1440</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1032</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1052</v>
      </c>
      <c r="B1264" s="21" t="s">
        <v>1009</v>
      </c>
      <c r="C1264" s="21" t="s">
        <v>1010</v>
      </c>
      <c r="D1264" s="21" t="s">
        <v>1011</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1441</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142</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1028</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1442</v>
      </c>
      <c r="B1268" s="21" t="s">
        <v>1048</v>
      </c>
      <c r="C1268" s="21" t="s">
        <v>1030</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1132</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1028</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1373</v>
      </c>
      <c r="B1271" s="21" t="s">
        <v>1016</v>
      </c>
      <c r="C1271" s="21" t="s">
        <v>1030</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1132</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1443</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1014</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1166</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1032</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1215</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1032</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1028</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1373</v>
      </c>
      <c r="B1280" s="21" t="s">
        <v>1071</v>
      </c>
      <c r="C1280" s="21" t="s">
        <v>1030</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1132</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1444</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1022</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row>
    <row r="1285" spans="1:12">
      <c r="A1285" s="20" t="s">
        <v>1445</v>
      </c>
    </row>
    <row r="1286" spans="1:12">
      <c r="A1286" s="20" t="s">
        <v>1066</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1127</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1070</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1446</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1443</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1325</v>
      </c>
      <c r="B1291" s="21" t="s">
        <v>1071</v>
      </c>
      <c r="C1291" s="21" t="s">
        <v>1072</v>
      </c>
      <c r="D1291" s="21" t="s">
        <v>1011</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263</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1032</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1052</v>
      </c>
      <c r="B1294" s="21" t="s">
        <v>1009</v>
      </c>
      <c r="C1294" s="21" t="s">
        <v>1010</v>
      </c>
      <c r="D1294" s="21" t="s">
        <v>1011</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1168</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1447</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1227</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117</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1059</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1014</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1032</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1041</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1448</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1032</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1449</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65</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1059</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1292</v>
      </c>
      <c r="B1308" s="21" t="s">
        <v>1071</v>
      </c>
      <c r="C1308" s="21" t="s">
        <v>1092</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1032</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1020</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1025</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1139</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1096</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1097</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95</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1121</v>
      </c>
      <c r="B1316" s="21" t="s">
        <v>1142</v>
      </c>
      <c r="C1316" s="21" t="s">
        <v>1010</v>
      </c>
      <c r="D1316" s="21" t="s">
        <v>1011</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1022</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row>
    <row r="1319" spans="1:12">
      <c r="A1319" s="20" t="s">
        <v>1450</v>
      </c>
    </row>
    <row r="1320" spans="1:12">
      <c r="A1320" s="20" t="s">
        <v>1124</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66</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1173</v>
      </c>
      <c r="B1322" s="21" t="s">
        <v>1048</v>
      </c>
      <c r="C1322" s="21" t="s">
        <v>1010</v>
      </c>
      <c r="D1322" s="21" t="s">
        <v>1011</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479</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1041</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1243</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1451</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1373</v>
      </c>
      <c r="B1327" s="21" t="s">
        <v>1016</v>
      </c>
      <c r="C1327" s="21" t="s">
        <v>1072</v>
      </c>
      <c r="D1327" s="21" t="s">
        <v>1011</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12</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1243</v>
      </c>
      <c r="B1329" s="21" t="s">
        <v>1039</v>
      </c>
      <c r="C1329" s="21" t="s">
        <v>1026</v>
      </c>
      <c r="D1329" s="21" t="s">
        <v>1011</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1045</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1013</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1014</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82</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1028</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1452</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1140</v>
      </c>
      <c r="B1336" s="21" t="s">
        <v>1016</v>
      </c>
      <c r="C1336" s="21" t="s">
        <v>1030</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12</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1020</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1243</v>
      </c>
      <c r="B1339" s="21" t="s">
        <v>1039</v>
      </c>
      <c r="C1339" s="21" t="s">
        <v>1026</v>
      </c>
      <c r="D1339" s="21" t="s">
        <v>1011</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1045</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1042</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1224</v>
      </c>
      <c r="B1342" s="21" t="s">
        <v>1071</v>
      </c>
      <c r="C1342" s="21" t="s">
        <v>1044</v>
      </c>
      <c r="D1342" s="21" t="s">
        <v>1011</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1132</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1197</v>
      </c>
      <c r="B1344" s="21" t="s">
        <v>1016</v>
      </c>
      <c r="C1344" s="21" t="s">
        <v>1017</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114</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1285</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1338</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1295</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1339</v>
      </c>
      <c r="B1349" s="21" t="s">
        <v>1021</v>
      </c>
      <c r="C1349" s="21" t="s">
        <v>1291</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1132</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1019</v>
      </c>
      <c r="B1351" s="21" t="s">
        <v>1091</v>
      </c>
      <c r="C1351" s="21" t="s">
        <v>1017</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1022</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row>
    <row r="1354" spans="1:12">
      <c r="A1354" s="20" t="s">
        <v>1453</v>
      </c>
    </row>
    <row r="1355" spans="1:12">
      <c r="A1355" s="20" t="s">
        <v>1124</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1042</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1454</v>
      </c>
      <c r="B1357" s="21" t="s">
        <v>1009</v>
      </c>
      <c r="C1357" s="21" t="s">
        <v>1044</v>
      </c>
      <c r="D1357" s="21" t="s">
        <v>1011</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1045</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1099</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1455</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1137</v>
      </c>
      <c r="B1361" s="21" t="s">
        <v>1039</v>
      </c>
      <c r="C1361" s="21" t="s">
        <v>1010</v>
      </c>
      <c r="D1361" s="21" t="s">
        <v>1011</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1201</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142</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1025</v>
      </c>
      <c r="B1364" s="21" t="s">
        <v>1088</v>
      </c>
      <c r="C1364" s="21" t="s">
        <v>1026</v>
      </c>
      <c r="D1364" s="21" t="s">
        <v>1011</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1014</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1250</v>
      </c>
      <c r="B1366" s="21" t="s">
        <v>1016</v>
      </c>
      <c r="C1366" s="21" t="s">
        <v>1165</v>
      </c>
      <c r="D1366" s="21" t="s">
        <v>1011</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1251</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row>
    <row r="1369" spans="1:12">
      <c r="A1369" s="20" t="s">
        <v>1456</v>
      </c>
    </row>
    <row r="1370" spans="1:12">
      <c r="A1370" s="20" t="s">
        <v>1204</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1137</v>
      </c>
      <c r="B1371" s="21" t="s">
        <v>1009</v>
      </c>
      <c r="C1371" s="21" t="s">
        <v>1010</v>
      </c>
      <c r="D1371" s="21" t="s">
        <v>1011</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245</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1160</v>
      </c>
      <c r="B1373" s="21" t="s">
        <v>1048</v>
      </c>
      <c r="C1373" s="21" t="s">
        <v>1017</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1032</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1457</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1022</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row>
    <row r="1378" spans="1:12">
      <c r="A1378" s="20" t="s">
        <v>1458</v>
      </c>
    </row>
    <row r="1379" spans="1:12">
      <c r="A1379" s="20" t="s">
        <v>1204</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1137</v>
      </c>
      <c r="B1380" s="21" t="s">
        <v>1009</v>
      </c>
      <c r="C1380" s="21" t="s">
        <v>1010</v>
      </c>
      <c r="D1380" s="21" t="s">
        <v>1011</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245</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1217</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1459</v>
      </c>
      <c r="B1383" s="21" t="s">
        <v>1048</v>
      </c>
      <c r="C1383" s="21" t="s">
        <v>1017</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1032</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1457</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1022</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row>
    <row r="1388" spans="1:12">
      <c r="A1388" s="20" t="s">
        <v>1460</v>
      </c>
    </row>
    <row r="1389" spans="1:12">
      <c r="A1389" s="20" t="s">
        <v>1461</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1289</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1321</v>
      </c>
      <c r="B1391" s="21" t="s">
        <v>1009</v>
      </c>
      <c r="C1391" s="21" t="s">
        <v>1291</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1052</v>
      </c>
      <c r="B1392" s="21" t="s">
        <v>1175</v>
      </c>
      <c r="C1392" s="21" t="s">
        <v>1010</v>
      </c>
      <c r="D1392" s="21" t="s">
        <v>1011</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338</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1172</v>
      </c>
      <c r="B1394" s="21" t="s">
        <v>1142</v>
      </c>
      <c r="C1394" s="21" t="s">
        <v>1017</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1015</v>
      </c>
      <c r="B1395" s="21" t="s">
        <v>1021</v>
      </c>
      <c r="C1395" s="21" t="s">
        <v>1017</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1032</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1462</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1127</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1042</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1463</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1464</v>
      </c>
      <c r="B1401" s="21" t="s">
        <v>1021</v>
      </c>
      <c r="C1401" s="21" t="s">
        <v>1044</v>
      </c>
      <c r="D1401" s="21" t="s">
        <v>1011</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1020</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1465</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1032</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1466</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1285</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1197</v>
      </c>
      <c r="B1407" s="21" t="s">
        <v>1048</v>
      </c>
      <c r="C1407" s="21" t="s">
        <v>1017</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1022</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row>
    <row r="1410" spans="1:12">
      <c r="A1410" s="20" t="s">
        <v>1467</v>
      </c>
    </row>
    <row r="1411" spans="1:12">
      <c r="A1411" s="20" t="s">
        <v>1024</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767</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1032</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1229</v>
      </c>
      <c r="B1414" s="21" t="s">
        <v>1009</v>
      </c>
      <c r="C1414" s="21" t="s">
        <v>1230</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1052</v>
      </c>
      <c r="B1415" s="21" t="s">
        <v>1175</v>
      </c>
      <c r="C1415" s="21" t="s">
        <v>1010</v>
      </c>
      <c r="D1415" s="21" t="s">
        <v>1011</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1183</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1013</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1014</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90</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1014</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388</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1041</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1028</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1468</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1469</v>
      </c>
      <c r="B1425" s="21" t="s">
        <v>1094</v>
      </c>
      <c r="C1425" s="21" t="s">
        <v>1030</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1032</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1045</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1470</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1028</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1195</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1471</v>
      </c>
      <c r="B1431" s="21" t="s">
        <v>1048</v>
      </c>
      <c r="C1431" s="21" t="s">
        <v>1030</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1022</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row>
    <row r="1434" spans="1:12">
      <c r="A1434" s="20" t="s">
        <v>1472</v>
      </c>
    </row>
    <row r="1435" spans="1:12">
      <c r="A1435" s="20" t="s">
        <v>1124</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1052</v>
      </c>
      <c r="B1436" s="21" t="s">
        <v>1009</v>
      </c>
      <c r="C1436" s="21" t="s">
        <v>1010</v>
      </c>
      <c r="D1436" s="21" t="s">
        <v>1011</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259</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1019</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1473</v>
      </c>
      <c r="B1439" s="21" t="s">
        <v>1048</v>
      </c>
      <c r="C1439" s="21" t="s">
        <v>1017</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1022</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row>
    <row r="1442" spans="1:12">
      <c r="A1442" s="20" t="s">
        <v>1264</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1474</v>
      </c>
    </row>
    <row r="1444" spans="1:12">
      <c r="A1444" s="20" t="s">
        <v>1149</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1032</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1475</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1008</v>
      </c>
      <c r="B1447" s="21" t="s">
        <v>1175</v>
      </c>
      <c r="C1447" s="21" t="s">
        <v>1010</v>
      </c>
      <c r="D1447" s="21" t="s">
        <v>1011</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582</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1042</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1476</v>
      </c>
      <c r="B1450" s="21" t="s">
        <v>1142</v>
      </c>
      <c r="C1450" s="21" t="s">
        <v>1044</v>
      </c>
      <c r="D1450" s="21" t="s">
        <v>1011</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1269</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1477</v>
      </c>
      <c r="B1452" s="21" t="s">
        <v>1091</v>
      </c>
      <c r="C1452" s="21" t="s">
        <v>1017</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1032</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1269</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row>
    <row r="1456" spans="1:12">
      <c r="A1456" s="20" t="s">
        <v>1478</v>
      </c>
    </row>
    <row r="1457" spans="1:12">
      <c r="A1457" s="20" t="s">
        <v>1008</v>
      </c>
      <c r="B1457" s="21" t="s">
        <v>1009</v>
      </c>
      <c r="C1457" s="21" t="s">
        <v>1010</v>
      </c>
      <c r="D1457" s="21" t="s">
        <v>1011</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388</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1097</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267</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1283</v>
      </c>
      <c r="B1461" s="21" t="s">
        <v>1048</v>
      </c>
      <c r="C1461" s="21" t="s">
        <v>1102</v>
      </c>
      <c r="D1461" s="21" t="s">
        <v>1011</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1025</v>
      </c>
      <c r="B1462" s="21" t="s">
        <v>1175</v>
      </c>
      <c r="C1462" s="21" t="s">
        <v>1026</v>
      </c>
      <c r="D1462" s="21" t="s">
        <v>1011</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1173</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1479</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1022</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row>
    <row r="1467" spans="1:12">
      <c r="A1467" s="20" t="s">
        <v>1480</v>
      </c>
    </row>
    <row r="1468" spans="1:12">
      <c r="A1468" s="20" t="s">
        <v>1084</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1481</v>
      </c>
      <c r="B1469" s="21" t="s">
        <v>1009</v>
      </c>
      <c r="C1469" s="21" t="s">
        <v>1044</v>
      </c>
      <c r="D1469" s="21" t="s">
        <v>1011</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1045</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1028</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1477</v>
      </c>
      <c r="B1472" s="21" t="s">
        <v>1071</v>
      </c>
      <c r="C1472" s="21" t="s">
        <v>1030</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1022</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row>
    <row r="1475" spans="1:12">
      <c r="A1475" s="20" t="s">
        <v>1482</v>
      </c>
    </row>
    <row r="1476" spans="1:12">
      <c r="A1476" s="20" t="s">
        <v>1084</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1483</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1484</v>
      </c>
      <c r="B1478" s="21" t="s">
        <v>1009</v>
      </c>
      <c r="C1478" s="21" t="s">
        <v>1044</v>
      </c>
      <c r="D1478" s="21" t="s">
        <v>1011</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1045</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1028</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1477</v>
      </c>
      <c r="B1481" s="21" t="s">
        <v>1071</v>
      </c>
      <c r="C1481" s="21" t="s">
        <v>1030</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1022</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row>
    <row r="1484" spans="1:12">
      <c r="A1484" s="20" t="s">
        <v>1485</v>
      </c>
    </row>
    <row r="1485" spans="1:12">
      <c r="A1485" s="20" t="s">
        <v>1084</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1486</v>
      </c>
      <c r="B1486" s="21" t="s">
        <v>1009</v>
      </c>
      <c r="C1486" s="21" t="s">
        <v>1044</v>
      </c>
      <c r="D1486" s="21" t="s">
        <v>1011</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1020</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1487</v>
      </c>
      <c r="B1488" s="21" t="s">
        <v>1021</v>
      </c>
      <c r="C1488" s="21" t="s">
        <v>1035</v>
      </c>
      <c r="D1488" s="21" t="s">
        <v>1011</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1333</v>
      </c>
      <c r="B1489" s="21" t="s">
        <v>1016</v>
      </c>
      <c r="C1489" s="21" t="s">
        <v>1040</v>
      </c>
      <c r="D1489" s="21" t="s">
        <v>1011</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1067</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1028</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1477</v>
      </c>
      <c r="B1492" s="21" t="s">
        <v>1071</v>
      </c>
      <c r="C1492" s="21" t="s">
        <v>1030</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1022</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row>
    <row r="1495" spans="1:12">
      <c r="A1495" s="20" t="s">
        <v>1488</v>
      </c>
    </row>
    <row r="1496" spans="1:12">
      <c r="A1496" s="20" t="s">
        <v>1124</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1042</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122</v>
      </c>
      <c r="B1498" s="21" t="s">
        <v>1009</v>
      </c>
      <c r="C1498" s="21" t="s">
        <v>1044</v>
      </c>
      <c r="D1498" s="21" t="s">
        <v>1011</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1414</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90</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1489</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1074</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1042</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1490</v>
      </c>
      <c r="B1504" s="21" t="s">
        <v>1071</v>
      </c>
      <c r="C1504" s="21" t="s">
        <v>1044</v>
      </c>
      <c r="D1504" s="21" t="s">
        <v>1011</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1132</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1089</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1473</v>
      </c>
      <c r="B1507" s="21" t="s">
        <v>1016</v>
      </c>
      <c r="C1507" s="21" t="s">
        <v>1092</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1022</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row>
    <row r="1510" spans="1:12">
      <c r="A1510" s="20" t="s">
        <v>1491</v>
      </c>
    </row>
    <row r="1511" spans="1:12">
      <c r="A1511" s="20" t="s">
        <v>1492</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1032</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1052</v>
      </c>
      <c r="B1513" s="21" t="s">
        <v>1009</v>
      </c>
      <c r="C1513" s="21" t="s">
        <v>1010</v>
      </c>
      <c r="D1513" s="21" t="s">
        <v>1011</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388</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1097</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90</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1028</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1493</v>
      </c>
      <c r="B1518" s="21" t="s">
        <v>1048</v>
      </c>
      <c r="C1518" s="21" t="s">
        <v>1030</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1231</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1137</v>
      </c>
      <c r="B1520" s="21" t="s">
        <v>1175</v>
      </c>
      <c r="C1520" s="21" t="s">
        <v>1010</v>
      </c>
      <c r="D1520" s="21" t="s">
        <v>1011</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90</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1014</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142</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1042</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1477</v>
      </c>
      <c r="B1525" s="21" t="s">
        <v>1051</v>
      </c>
      <c r="C1525" s="21" t="s">
        <v>1044</v>
      </c>
      <c r="D1525" s="21" t="s">
        <v>1011</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1145</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1028</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1228</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1494</v>
      </c>
      <c r="B1529" s="21" t="s">
        <v>1091</v>
      </c>
      <c r="C1529" s="21" t="s">
        <v>1030</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1022</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row>
    <row r="1532" spans="1:12">
      <c r="A1532" s="20" t="s">
        <v>1495</v>
      </c>
    </row>
    <row r="1533" spans="1:12">
      <c r="A1533" s="20" t="s">
        <v>1492</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1032</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1137</v>
      </c>
      <c r="B1535" s="21" t="s">
        <v>1009</v>
      </c>
      <c r="C1535" s="21" t="s">
        <v>1010</v>
      </c>
      <c r="D1535" s="21" t="s">
        <v>1011</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1139</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1496</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1132</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288</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1145</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1032</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1020</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1211</v>
      </c>
      <c r="B1543" s="21" t="s">
        <v>1039</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50</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1497</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1032</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1211</v>
      </c>
      <c r="B1547" s="21" t="s">
        <v>1039</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388</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1097</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1022</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row>
    <row r="1552" spans="1:12">
      <c r="A1552" s="20" t="s">
        <v>1498</v>
      </c>
    </row>
    <row r="1553" spans="1:12">
      <c r="A1553" s="20" t="s">
        <v>1282</v>
      </c>
      <c r="B1553" s="21" t="s">
        <v>1009</v>
      </c>
      <c r="C1553" s="21" t="s">
        <v>1026</v>
      </c>
      <c r="D1553" s="21" t="s">
        <v>1011</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1045</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1028</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1499</v>
      </c>
      <c r="B1556" s="21" t="s">
        <v>1071</v>
      </c>
      <c r="C1556" s="21" t="s">
        <v>1030</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1231</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1052</v>
      </c>
      <c r="B1558" s="21" t="s">
        <v>1039</v>
      </c>
      <c r="C1558" s="21" t="s">
        <v>1010</v>
      </c>
      <c r="D1558" s="21" t="s">
        <v>1011</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1201</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90</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1014</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1500</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1041</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1036</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1501</v>
      </c>
      <c r="B1565" s="21" t="s">
        <v>1021</v>
      </c>
      <c r="C1565" s="21" t="s">
        <v>1017</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1020</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142</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1028</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1477</v>
      </c>
      <c r="B1569" s="21" t="s">
        <v>1051</v>
      </c>
      <c r="C1569" s="21" t="s">
        <v>1030</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1074</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1028</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1344</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1502</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1503</v>
      </c>
      <c r="B1574" s="21" t="s">
        <v>1091</v>
      </c>
      <c r="C1574" s="21" t="s">
        <v>1030</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1022</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row>
    <row r="1577" spans="1:12">
      <c r="A1577" s="20" t="s">
        <v>1264</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1504</v>
      </c>
    </row>
    <row r="1579" spans="1:12">
      <c r="A1579" s="20" t="s">
        <v>1149</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1032</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1008</v>
      </c>
      <c r="B1581" s="21" t="s">
        <v>1009</v>
      </c>
      <c r="C1581" s="21" t="s">
        <v>1010</v>
      </c>
      <c r="D1581" s="21" t="s">
        <v>1011</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1505</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1032</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1269</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1506</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1138</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1008</v>
      </c>
      <c r="B1587" s="21" t="s">
        <v>1039</v>
      </c>
      <c r="C1587" s="21" t="s">
        <v>1010</v>
      </c>
      <c r="D1587" s="21" t="s">
        <v>1011</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1248</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1507</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1243</v>
      </c>
      <c r="B1590" s="21" t="s">
        <v>1088</v>
      </c>
      <c r="C1590" s="21" t="s">
        <v>1026</v>
      </c>
      <c r="D1590" s="21" t="s">
        <v>1011</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1251</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row>
    <row r="1593" spans="1:12">
      <c r="A1593" s="20" t="s">
        <v>1264</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1508</v>
      </c>
    </row>
    <row r="1595" spans="1:12">
      <c r="A1595" s="20" t="s">
        <v>1509</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1100</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1211</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1496</v>
      </c>
      <c r="B1598" s="21" t="s">
        <v>1009</v>
      </c>
      <c r="C1598" s="21" t="s">
        <v>1092</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1132</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1217</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1510</v>
      </c>
      <c r="B1601" s="21" t="s">
        <v>1016</v>
      </c>
      <c r="C1601" s="21" t="s">
        <v>1017</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1032</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1211</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1511</v>
      </c>
      <c r="B1604" s="21" t="s">
        <v>1016</v>
      </c>
      <c r="C1604" s="21" t="s">
        <v>1092</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1025</v>
      </c>
      <c r="B1605" s="21" t="s">
        <v>1053</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1147</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1512</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122</v>
      </c>
      <c r="B1608" s="21" t="s">
        <v>1094</v>
      </c>
      <c r="C1608" s="21" t="s">
        <v>1017</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1173</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1513</v>
      </c>
      <c r="B1610" s="21" t="s">
        <v>1051</v>
      </c>
      <c r="C1610" s="21" t="s">
        <v>1040</v>
      </c>
      <c r="D1610" s="21" t="s">
        <v>1011</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1414</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1251</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1269</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row>
    <row r="1615" spans="1:12">
      <c r="A1615" s="20" t="s">
        <v>1514</v>
      </c>
    </row>
    <row r="1616" spans="1:12">
      <c r="A1616" s="20" t="s">
        <v>1008</v>
      </c>
      <c r="B1616" s="21" t="s">
        <v>1009</v>
      </c>
      <c r="C1616" s="21" t="s">
        <v>1010</v>
      </c>
      <c r="D1616" s="21" t="s">
        <v>1011</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1505</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500</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1014</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1028</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1290</v>
      </c>
      <c r="B1621" s="21" t="s">
        <v>1016</v>
      </c>
      <c r="C1621" s="21" t="s">
        <v>1030</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1515</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1475</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1008</v>
      </c>
      <c r="B1624" s="21" t="s">
        <v>1039</v>
      </c>
      <c r="C1624" s="21" t="s">
        <v>1010</v>
      </c>
      <c r="D1624" s="21" t="s">
        <v>1011</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1516</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1517</v>
      </c>
      <c r="B1626" s="21" t="s">
        <v>1088</v>
      </c>
      <c r="C1626" s="21" t="s">
        <v>1017</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1032</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1020</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1308</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122</v>
      </c>
      <c r="B1630" s="21" t="s">
        <v>1039</v>
      </c>
      <c r="C1630" s="21" t="s">
        <v>1017</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1518</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1025</v>
      </c>
      <c r="B1632" s="21" t="s">
        <v>1088</v>
      </c>
      <c r="C1632" s="21" t="s">
        <v>1026</v>
      </c>
      <c r="D1632" s="21" t="s">
        <v>1011</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1022</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row>
    <row r="1635" spans="1:12">
      <c r="A1635" s="20" t="s">
        <v>1519</v>
      </c>
    </row>
    <row r="1636" spans="1:12">
      <c r="A1636" s="20" t="s">
        <v>1266</v>
      </c>
      <c r="B1636" s="21" t="s">
        <v>1009</v>
      </c>
      <c r="C1636" s="21" t="s">
        <v>1010</v>
      </c>
      <c r="D1636" s="21" t="s">
        <v>1011</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1248</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1329</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1128</v>
      </c>
      <c r="B1639" s="21" t="s">
        <v>1048</v>
      </c>
      <c r="C1639" s="21" t="s">
        <v>1010</v>
      </c>
      <c r="D1639" s="21" t="s">
        <v>1011</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1520</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1074</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1042</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917</v>
      </c>
      <c r="B1643" s="21" t="s">
        <v>1016</v>
      </c>
      <c r="C1643" s="21" t="s">
        <v>1044</v>
      </c>
      <c r="D1643" s="21" t="s">
        <v>1011</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1132</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1032</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1137</v>
      </c>
      <c r="B1646" s="21" t="s">
        <v>1039</v>
      </c>
      <c r="C1646" s="21" t="s">
        <v>1010</v>
      </c>
      <c r="D1646" s="21" t="s">
        <v>1011</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557</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1032</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1100</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1067</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122</v>
      </c>
      <c r="B1651" s="21" t="s">
        <v>1039</v>
      </c>
      <c r="C1651" s="21" t="s">
        <v>1017</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1521</v>
      </c>
      <c r="B1652" s="21" t="s">
        <v>1053</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1061</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1186</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1517</v>
      </c>
      <c r="B1655" s="21" t="s">
        <v>1091</v>
      </c>
      <c r="C1655" s="21" t="s">
        <v>1017</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1022</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row>
    <row r="1658" spans="1:12">
      <c r="A1658" s="20" t="s">
        <v>1522</v>
      </c>
    </row>
    <row r="1659" spans="1:12">
      <c r="A1659" s="20" t="s">
        <v>1523</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1019</v>
      </c>
      <c r="B1660" s="21" t="s">
        <v>1071</v>
      </c>
      <c r="C1660" s="21" t="s">
        <v>1092</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1032</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1317</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1008</v>
      </c>
      <c r="B1663" s="21" t="s">
        <v>1009</v>
      </c>
      <c r="C1663" s="21" t="s">
        <v>1010</v>
      </c>
      <c r="D1663" s="21" t="s">
        <v>1011</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1138</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50</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1206</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1186</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1045</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1243</v>
      </c>
      <c r="B1669" s="21" t="s">
        <v>1071</v>
      </c>
      <c r="C1669" s="21" t="s">
        <v>1026</v>
      </c>
      <c r="D1669" s="21" t="s">
        <v>1011</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1022</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row>
    <row r="1672" spans="1:12">
      <c r="A1672" s="20" t="s">
        <v>1524</v>
      </c>
    </row>
    <row r="1673" spans="1:12">
      <c r="A1673" s="20" t="s">
        <v>1008</v>
      </c>
      <c r="B1673" s="21" t="s">
        <v>1009</v>
      </c>
      <c r="C1673" s="21" t="s">
        <v>1010</v>
      </c>
      <c r="D1673" s="21" t="s">
        <v>1011</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1525</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1025</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1526</v>
      </c>
      <c r="B1676" s="21" t="s">
        <v>1039</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1527</v>
      </c>
      <c r="B1677" s="21" t="s">
        <v>1142</v>
      </c>
      <c r="C1677" s="21" t="s">
        <v>1017</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1147</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82</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1034</v>
      </c>
      <c r="B1680" s="21" t="s">
        <v>1016</v>
      </c>
      <c r="C1680" s="21" t="s">
        <v>1035</v>
      </c>
      <c r="D1680" s="21" t="s">
        <v>1011</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1528</v>
      </c>
      <c r="B1681" s="21" t="s">
        <v>1071</v>
      </c>
      <c r="C1681" s="21" t="s">
        <v>1040</v>
      </c>
      <c r="D1681" s="21" t="s">
        <v>1011</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1014</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1042</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1114</v>
      </c>
      <c r="B1684" s="21" t="s">
        <v>1016</v>
      </c>
      <c r="C1684" s="21" t="s">
        <v>1044</v>
      </c>
      <c r="D1684" s="21" t="s">
        <v>1011</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1414</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1243</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1290</v>
      </c>
      <c r="B1687" s="21" t="s">
        <v>1016</v>
      </c>
      <c r="C1687" s="21" t="s">
        <v>1072</v>
      </c>
      <c r="D1687" s="21" t="s">
        <v>1011</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1022</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row>
    <row r="1690" spans="1:12">
      <c r="A1690" s="20" t="s">
        <v>1529</v>
      </c>
    </row>
    <row r="1691" spans="1:12">
      <c r="A1691" s="20" t="s">
        <v>1124</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1414</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1052</v>
      </c>
      <c r="B1693" s="21" t="s">
        <v>1009</v>
      </c>
      <c r="C1693" s="21" t="s">
        <v>1010</v>
      </c>
      <c r="D1693" s="21" t="s">
        <v>1011</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90</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1211</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1217</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1527</v>
      </c>
      <c r="B1697" s="21" t="s">
        <v>1048</v>
      </c>
      <c r="C1697" s="21" t="s">
        <v>1092</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1022</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row>
    <row r="1700" spans="1:12">
      <c r="A1700" s="20" t="s">
        <v>1530</v>
      </c>
    </row>
    <row r="1701" spans="1:12">
      <c r="A1701" s="20" t="s">
        <v>1008</v>
      </c>
      <c r="B1701" s="21" t="s">
        <v>1009</v>
      </c>
      <c r="C1701" s="21" t="s">
        <v>1010</v>
      </c>
      <c r="D1701" s="21" t="s">
        <v>1011</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1012</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1531</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1239</v>
      </c>
      <c r="B1704" s="21" t="s">
        <v>1039</v>
      </c>
      <c r="C1704" s="21" t="s">
        <v>1010</v>
      </c>
      <c r="D1704" s="21" t="s">
        <v>1011</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388</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1097</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1532</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1073</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1074</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1075</v>
      </c>
      <c r="B1710" s="21" t="s">
        <v>1016</v>
      </c>
      <c r="C1710" s="21" t="s">
        <v>1017</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1032</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1239</v>
      </c>
      <c r="B1712" s="21" t="s">
        <v>1039</v>
      </c>
      <c r="C1712" s="21" t="s">
        <v>1010</v>
      </c>
      <c r="D1712" s="21" t="s">
        <v>1011</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1027</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1107</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1166</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334</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1025</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1533</v>
      </c>
      <c r="B1718" s="21" t="s">
        <v>1088</v>
      </c>
      <c r="C1718" s="21" t="s">
        <v>1072</v>
      </c>
      <c r="D1718" s="21" t="s">
        <v>1011</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1022</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row>
    <row r="1721" spans="1:12">
      <c r="A1721" s="20" t="s">
        <v>1534</v>
      </c>
    </row>
    <row r="1722" spans="1:12">
      <c r="A1722" s="20" t="s">
        <v>1149</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1032</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1100</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1173</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1317</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1535</v>
      </c>
      <c r="B1727" s="21" t="s">
        <v>1009</v>
      </c>
      <c r="C1727" s="21" t="s">
        <v>1030</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1132</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1536</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1537</v>
      </c>
      <c r="B1730" s="21" t="s">
        <v>1016</v>
      </c>
      <c r="C1730" s="21" t="s">
        <v>1017</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1434</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1025</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1140</v>
      </c>
      <c r="B1733" s="21" t="s">
        <v>1021</v>
      </c>
      <c r="C1733" s="21" t="s">
        <v>1072</v>
      </c>
      <c r="D1733" s="21" t="s">
        <v>1011</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1032</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1234</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1239</v>
      </c>
      <c r="B1736" s="21" t="s">
        <v>1039</v>
      </c>
      <c r="C1736" s="21" t="s">
        <v>1010</v>
      </c>
      <c r="D1736" s="21" t="s">
        <v>1011</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388</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1097</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1248</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1538</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1206</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1014</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1105</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1022</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row>
    <row r="1746" spans="1:12">
      <c r="A1746" s="20" t="s">
        <v>1539</v>
      </c>
    </row>
    <row r="1747" spans="1:12">
      <c r="A1747" s="20" t="s">
        <v>1270</v>
      </c>
      <c r="B1747" s="21" t="s">
        <v>1009</v>
      </c>
      <c r="C1747" s="21" t="s">
        <v>1010</v>
      </c>
      <c r="D1747" s="21" t="s">
        <v>1011</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259</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1537</v>
      </c>
      <c r="B1749" s="21" t="s">
        <v>1048</v>
      </c>
      <c r="C1749" s="21" t="s">
        <v>1092</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1032</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1540</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1140</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1254</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1244</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1032</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1025</v>
      </c>
      <c r="B1756" s="21" t="s">
        <v>1175</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90</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1541</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1469</v>
      </c>
      <c r="B1759" s="21" t="s">
        <v>1142</v>
      </c>
      <c r="C1759" s="21" t="s">
        <v>1017</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1020</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1541</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1542</v>
      </c>
      <c r="B1762" s="21" t="s">
        <v>1091</v>
      </c>
      <c r="C1762" s="21" t="s">
        <v>1017</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1022</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row>
    <row r="1765" spans="1:12">
      <c r="A1765" s="20" t="s">
        <v>1543</v>
      </c>
    </row>
    <row r="1766" spans="1:12">
      <c r="A1766" s="20" t="s">
        <v>1024</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1544</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1100</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1173</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1089</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1545</v>
      </c>
      <c r="B1771" s="21" t="s">
        <v>1039</v>
      </c>
      <c r="C1771" s="21" t="s">
        <v>1092</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1025</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122</v>
      </c>
      <c r="B1773" s="21" t="s">
        <v>1053</v>
      </c>
      <c r="C1773" s="21" t="s">
        <v>1017</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1067</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1546</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1032</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1008</v>
      </c>
      <c r="B1777" s="21" t="s">
        <v>1009</v>
      </c>
      <c r="C1777" s="21" t="s">
        <v>1010</v>
      </c>
      <c r="D1777" s="21" t="s">
        <v>1011</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1248</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1313</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179</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1305</v>
      </c>
      <c r="B1781" s="21" t="s">
        <v>1048</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1025</v>
      </c>
      <c r="B1782" s="21" t="s">
        <v>1175</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1179</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1547</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1042</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1262</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1343</v>
      </c>
      <c r="B1787" s="21" t="s">
        <v>1142</v>
      </c>
      <c r="C1787" s="21" t="s">
        <v>1044</v>
      </c>
      <c r="D1787" s="21" t="s">
        <v>1011</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1022</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row>
    <row r="1790" spans="1:12">
      <c r="A1790" s="20" t="s">
        <v>1548</v>
      </c>
    </row>
    <row r="1791" spans="1:12">
      <c r="A1791" s="20" t="s">
        <v>1008</v>
      </c>
      <c r="B1791" s="21" t="s">
        <v>1009</v>
      </c>
      <c r="C1791" s="21" t="s">
        <v>1010</v>
      </c>
      <c r="D1791" s="21" t="s">
        <v>1011</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1168</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1330</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1285</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1549</v>
      </c>
      <c r="B1795" s="21" t="s">
        <v>1071</v>
      </c>
      <c r="C1795" s="21" t="s">
        <v>1017</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1032</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1550</v>
      </c>
      <c r="B1797" s="21" t="s">
        <v>1016</v>
      </c>
      <c r="C1797" s="21" t="s">
        <v>1017</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1032</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1551</v>
      </c>
      <c r="B1799" s="21" t="s">
        <v>1071</v>
      </c>
      <c r="C1799" s="21" t="s">
        <v>1017</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1032</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1552</v>
      </c>
      <c r="B1801" s="21" t="s">
        <v>1071</v>
      </c>
      <c r="C1801" s="21" t="s">
        <v>1017</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1022</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row>
    <row r="1804" spans="1:12">
      <c r="A1804" s="20" t="s">
        <v>1553</v>
      </c>
    </row>
    <row r="1805" spans="1:12">
      <c r="A1805" s="20" t="s">
        <v>1554</v>
      </c>
      <c r="B1805" s="21" t="s">
        <v>1009</v>
      </c>
      <c r="C1805" s="21" t="s">
        <v>1026</v>
      </c>
      <c r="D1805" s="21" t="s">
        <v>1011</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1441</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338</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1211</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1528</v>
      </c>
      <c r="B1809" s="21" t="s">
        <v>1048</v>
      </c>
      <c r="C1809" s="21" t="s">
        <v>1092</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1032</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1020</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1136</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1239</v>
      </c>
      <c r="B1813" s="21" t="s">
        <v>1175</v>
      </c>
      <c r="C1813" s="21" t="s">
        <v>1010</v>
      </c>
      <c r="D1813" s="21" t="s">
        <v>1011</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1179</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388</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1062</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1077</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1008</v>
      </c>
      <c r="B1818" s="21" t="s">
        <v>1053</v>
      </c>
      <c r="C1818" s="21" t="s">
        <v>1010</v>
      </c>
      <c r="D1818" s="21" t="s">
        <v>1011</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1555</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1032</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767</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1105</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1042</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1062</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1022</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row>
    <row r="1827" spans="1:12">
      <c r="A1827" s="20" t="s">
        <v>1556</v>
      </c>
    </row>
    <row r="1828" spans="1:12">
      <c r="A1828" s="20" t="s">
        <v>1066</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1034</v>
      </c>
      <c r="B1829" s="21" t="s">
        <v>1016</v>
      </c>
      <c r="C1829" s="21" t="s">
        <v>1035</v>
      </c>
      <c r="D1829" s="21" t="s">
        <v>1011</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1452</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1557</v>
      </c>
      <c r="B1831" s="21" t="s">
        <v>1009</v>
      </c>
      <c r="C1831" s="21" t="s">
        <v>1040</v>
      </c>
      <c r="D1831" s="21" t="s">
        <v>1011</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1414</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1045</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1025</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1052</v>
      </c>
      <c r="B1835" s="21" t="s">
        <v>1039</v>
      </c>
      <c r="C1835" s="21" t="s">
        <v>1010</v>
      </c>
      <c r="D1835" s="21" t="s">
        <v>1011</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1183</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1013</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1014</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90</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1014</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1038</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1081</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1295</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1132</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1070</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1305</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1032</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1020</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1052</v>
      </c>
      <c r="B1849" s="21" t="s">
        <v>1039</v>
      </c>
      <c r="C1849" s="21" t="s">
        <v>1010</v>
      </c>
      <c r="D1849" s="21" t="s">
        <v>1011</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697</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1097</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1558</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1206</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1559</v>
      </c>
      <c r="B1854" s="21" t="s">
        <v>1088</v>
      </c>
      <c r="C1854" s="21" t="s">
        <v>1040</v>
      </c>
      <c r="D1854" s="21" t="s">
        <v>1011</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1132</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1128</v>
      </c>
      <c r="B1856" s="21" t="s">
        <v>1021</v>
      </c>
      <c r="C1856" s="21" t="s">
        <v>1010</v>
      </c>
      <c r="D1856" s="21" t="s">
        <v>1011</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1033</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1239</v>
      </c>
      <c r="B1858" s="21" t="s">
        <v>1175</v>
      </c>
      <c r="C1858" s="21" t="s">
        <v>1010</v>
      </c>
      <c r="D1858" s="21" t="s">
        <v>1011</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479</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1560</v>
      </c>
      <c r="B1860" s="21" t="s">
        <v>1142</v>
      </c>
      <c r="C1860" s="21" t="s">
        <v>1017</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1032</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1033</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1239</v>
      </c>
      <c r="B1863" s="21" t="s">
        <v>1039</v>
      </c>
      <c r="C1863" s="21" t="s">
        <v>1010</v>
      </c>
      <c r="D1863" s="21" t="s">
        <v>1011</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1317</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90</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1561</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1562</v>
      </c>
      <c r="B1867" s="21" t="s">
        <v>1088</v>
      </c>
      <c r="C1867" s="21" t="s">
        <v>1017</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1022</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row>
    <row r="1870" spans="1:12">
      <c r="A1870" s="20" t="s">
        <v>1563</v>
      </c>
    </row>
    <row r="1871" spans="1:12">
      <c r="A1871" s="20" t="s">
        <v>1564</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1173</v>
      </c>
      <c r="B1872" s="21" t="s">
        <v>1048</v>
      </c>
      <c r="C1872" s="21" t="s">
        <v>1010</v>
      </c>
      <c r="D1872" s="21" t="s">
        <v>1011</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479</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1446</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1041</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1565</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1566</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1567</v>
      </c>
      <c r="B1878" s="21" t="s">
        <v>1142</v>
      </c>
      <c r="C1878" s="21" t="s">
        <v>1017</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1032</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1540</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1565</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1160</v>
      </c>
      <c r="B1882" s="21" t="s">
        <v>1051</v>
      </c>
      <c r="C1882" s="21" t="s">
        <v>1017</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1254</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1565</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1217</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1459</v>
      </c>
      <c r="B1886" s="21" t="s">
        <v>1051</v>
      </c>
      <c r="C1886" s="21" t="s">
        <v>1017</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1022</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row>
    <row r="1889" spans="1:12">
      <c r="A1889" s="20" t="s">
        <v>1568</v>
      </c>
    </row>
    <row r="1890" spans="1:12">
      <c r="A1890" s="20" t="s">
        <v>1569</v>
      </c>
      <c r="B1890" s="21" t="s">
        <v>1009</v>
      </c>
      <c r="C1890" s="21" t="s">
        <v>1230</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1137</v>
      </c>
      <c r="B1891" s="21" t="s">
        <v>1175</v>
      </c>
      <c r="C1891" s="21" t="s">
        <v>1010</v>
      </c>
      <c r="D1891" s="21" t="s">
        <v>1011</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259</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1014</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388</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1100</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1570</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1434</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1121</v>
      </c>
      <c r="B1898" s="21" t="s">
        <v>1039</v>
      </c>
      <c r="C1898" s="21" t="s">
        <v>1010</v>
      </c>
      <c r="D1898" s="21" t="s">
        <v>1011</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1027</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82</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1571</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1032</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1234</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1121</v>
      </c>
      <c r="B1904" s="21" t="s">
        <v>1039</v>
      </c>
      <c r="C1904" s="21" t="s">
        <v>1010</v>
      </c>
      <c r="D1904" s="21" t="s">
        <v>1011</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1173</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1107</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1022</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row>
    <row r="1909" spans="1:12">
      <c r="A1909" s="20" t="s">
        <v>1572</v>
      </c>
    </row>
    <row r="1910" spans="1:12">
      <c r="A1910" s="20" t="s">
        <v>1024</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1025</v>
      </c>
      <c r="B1911" s="21" t="s">
        <v>1009</v>
      </c>
      <c r="C1911" s="21" t="s">
        <v>1026</v>
      </c>
      <c r="D1911" s="21" t="s">
        <v>1011</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1173</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1014</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946</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1317</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1042</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1197</v>
      </c>
      <c r="B1917" s="21" t="s">
        <v>1088</v>
      </c>
      <c r="C1917" s="21" t="s">
        <v>1044</v>
      </c>
      <c r="D1917" s="21" t="s">
        <v>1011</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1032</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1573</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1137</v>
      </c>
      <c r="B1920" s="21" t="s">
        <v>1039</v>
      </c>
      <c r="C1920" s="21" t="s">
        <v>1010</v>
      </c>
      <c r="D1920" s="21" t="s">
        <v>1011</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1168</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1574</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1121</v>
      </c>
      <c r="B1923" s="21" t="s">
        <v>1088</v>
      </c>
      <c r="C1923" s="21" t="s">
        <v>1010</v>
      </c>
      <c r="D1923" s="21" t="s">
        <v>1011</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1032</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1013</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1285</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1042</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1575</v>
      </c>
      <c r="B1928" s="21" t="s">
        <v>1088</v>
      </c>
      <c r="C1928" s="21" t="s">
        <v>1044</v>
      </c>
      <c r="D1928" s="21" t="s">
        <v>1011</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1032</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1576</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1121</v>
      </c>
      <c r="B1931" s="21" t="s">
        <v>1088</v>
      </c>
      <c r="C1931" s="21" t="s">
        <v>1010</v>
      </c>
      <c r="D1931" s="21" t="s">
        <v>1011</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1032</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1470</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1028</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1577</v>
      </c>
      <c r="B1935" s="21" t="s">
        <v>1088</v>
      </c>
      <c r="C1935" s="21" t="s">
        <v>1030</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1032</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114</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1121</v>
      </c>
      <c r="B1938" s="21" t="s">
        <v>1088</v>
      </c>
      <c r="C1938" s="21" t="s">
        <v>1010</v>
      </c>
      <c r="D1938" s="21" t="s">
        <v>1011</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1578</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1032</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1020</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1579</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1121</v>
      </c>
      <c r="B1943" s="21" t="s">
        <v>1175</v>
      </c>
      <c r="C1943" s="21" t="s">
        <v>1010</v>
      </c>
      <c r="D1943" s="21" t="s">
        <v>1011</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1580</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1100</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1022</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row>
    <row r="1948" spans="1:12">
      <c r="A1948" s="20" t="s">
        <v>1581</v>
      </c>
    </row>
    <row r="1949" spans="1:12">
      <c r="A1949" s="20" t="s">
        <v>1149</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1032</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1052</v>
      </c>
      <c r="B1951" s="21" t="s">
        <v>1009</v>
      </c>
      <c r="C1951" s="21" t="s">
        <v>1010</v>
      </c>
      <c r="D1951" s="21" t="s">
        <v>1011</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90</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1211</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1582</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1050</v>
      </c>
      <c r="B1955" s="21" t="s">
        <v>1048</v>
      </c>
      <c r="C1955" s="21" t="s">
        <v>1092</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1025</v>
      </c>
      <c r="B1956" s="21" t="s">
        <v>1175</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388</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1243</v>
      </c>
      <c r="B1958" s="21" t="s">
        <v>1142</v>
      </c>
      <c r="C1958" s="21" t="s">
        <v>1026</v>
      </c>
      <c r="D1958" s="21" t="s">
        <v>1011</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1041</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1042</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238</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1014</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309</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1368</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1583</v>
      </c>
      <c r="B1965" s="21" t="s">
        <v>1021</v>
      </c>
      <c r="C1965" s="21" t="s">
        <v>1322</v>
      </c>
      <c r="D1965" s="21" t="s">
        <v>1011</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1022</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row>
    <row r="1968" spans="1:12">
      <c r="A1968" s="20" t="s">
        <v>1584</v>
      </c>
    </row>
    <row r="1969" spans="1:12">
      <c r="A1969" s="20" t="s">
        <v>1066</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1085</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1206</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1014</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1025</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1036</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1585</v>
      </c>
      <c r="B1975" s="21" t="s">
        <v>1071</v>
      </c>
      <c r="C1975" s="21" t="s">
        <v>1072</v>
      </c>
      <c r="D1975" s="21" t="s">
        <v>1011</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12</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1025</v>
      </c>
      <c r="B1977" s="21" t="s">
        <v>1175</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1103</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82</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1133</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1586</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1022</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row>
    <row r="1984" spans="1:12">
      <c r="A1984" s="20" t="s">
        <v>1587</v>
      </c>
    </row>
    <row r="1985" spans="1:12">
      <c r="A1985" s="20" t="s">
        <v>1024</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1588</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1081</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1231</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1070</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1197</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1589</v>
      </c>
      <c r="B1991" s="21" t="s">
        <v>1039</v>
      </c>
      <c r="C1991" s="21" t="s">
        <v>1072</v>
      </c>
      <c r="D1991" s="21" t="s">
        <v>1011</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1590</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82</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114</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1103</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82</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1591</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1032</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1234</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1042</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1592</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1140</v>
      </c>
      <c r="B2002" s="21" t="s">
        <v>1039</v>
      </c>
      <c r="C2002" s="21" t="s">
        <v>1044</v>
      </c>
      <c r="D2002" s="21" t="s">
        <v>1011</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1414</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1045</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1243</v>
      </c>
      <c r="B2005" s="21" t="s">
        <v>1016</v>
      </c>
      <c r="C2005" s="21" t="s">
        <v>1035</v>
      </c>
      <c r="D2005" s="21" t="s">
        <v>1011</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1593</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12</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1476</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1594</v>
      </c>
      <c r="B2009" s="21" t="s">
        <v>1071</v>
      </c>
      <c r="C2009" s="21" t="s">
        <v>1040</v>
      </c>
      <c r="D2009" s="21" t="s">
        <v>1011</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1099</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row>
    <row r="2012" spans="1:12">
      <c r="A2012" s="20" t="s">
        <v>1595</v>
      </c>
    </row>
    <row r="2013" spans="1:12">
      <c r="A2013" s="20" t="s">
        <v>1596</v>
      </c>
      <c r="B2013" s="21" t="s">
        <v>1009</v>
      </c>
      <c r="C2013" s="21" t="s">
        <v>1230</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1173</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1013</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1014</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82</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1597</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1251</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row>
    <row r="2021" spans="1:12">
      <c r="A2021" s="20" t="s">
        <v>1598</v>
      </c>
    </row>
    <row r="2022" spans="1:12">
      <c r="A2022" s="20" t="s">
        <v>1596</v>
      </c>
      <c r="B2022" s="21" t="s">
        <v>1009</v>
      </c>
      <c r="C2022" s="21" t="s">
        <v>1230</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1173</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1013</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1014</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1599</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1283</v>
      </c>
      <c r="B2027" s="21" t="s">
        <v>1088</v>
      </c>
      <c r="C2027" s="21" t="s">
        <v>1102</v>
      </c>
      <c r="D2027" s="21" t="s">
        <v>1011</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1025</v>
      </c>
      <c r="B2028" s="21" t="s">
        <v>1053</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1045</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1600</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1601</v>
      </c>
      <c r="B2031" s="21" t="s">
        <v>1021</v>
      </c>
      <c r="C2031" s="21" t="s">
        <v>1017</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1132</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1245</v>
      </c>
      <c r="B2033" s="21" t="s">
        <v>1091</v>
      </c>
      <c r="C2033" s="21" t="s">
        <v>1017</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1602</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1077</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1559</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1603</v>
      </c>
      <c r="B2037" s="21" t="s">
        <v>1111</v>
      </c>
      <c r="C2037" s="21" t="s">
        <v>1030</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1132</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1604</v>
      </c>
      <c r="B2039" s="21" t="s">
        <v>1605</v>
      </c>
      <c r="C2039" s="21" t="s">
        <v>1017</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1137</v>
      </c>
      <c r="B2040" s="21" t="s">
        <v>1109</v>
      </c>
      <c r="C2040" s="21" t="s">
        <v>1010</v>
      </c>
      <c r="D2040" s="21" t="s">
        <v>1011</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296</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1132</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1074</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1606</v>
      </c>
      <c r="B2044" s="21" t="s">
        <v>1111</v>
      </c>
      <c r="C2044" s="21" t="s">
        <v>1017</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1132</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1465</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1254</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1071</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1050</v>
      </c>
      <c r="B2049" s="21" t="s">
        <v>1605</v>
      </c>
      <c r="C2049" s="21" t="s">
        <v>1017</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1251</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row>
    <row r="2052" spans="1:12">
      <c r="A2052" s="20" t="s">
        <v>1607</v>
      </c>
    </row>
    <row r="2053" spans="1:12">
      <c r="A2053" s="20" t="s">
        <v>1282</v>
      </c>
      <c r="B2053" s="21" t="s">
        <v>1009</v>
      </c>
      <c r="C2053" s="21" t="s">
        <v>1026</v>
      </c>
      <c r="D2053" s="21" t="s">
        <v>1011</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1045</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1028</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1286</v>
      </c>
      <c r="B2056" s="21" t="s">
        <v>1071</v>
      </c>
      <c r="C2056" s="21" t="s">
        <v>1030</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1132</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1608</v>
      </c>
      <c r="B2058" s="21" t="s">
        <v>1071</v>
      </c>
      <c r="C2058" s="21" t="s">
        <v>1017</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1022</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row>
    <row r="2061" spans="1:12">
      <c r="A2061" s="20" t="s">
        <v>1609</v>
      </c>
    </row>
    <row r="2062" spans="1:12">
      <c r="A2062" s="20" t="s">
        <v>1124</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1025</v>
      </c>
      <c r="B2063" s="21" t="s">
        <v>1009</v>
      </c>
      <c r="C2063" s="21" t="s">
        <v>1026</v>
      </c>
      <c r="D2063" s="21" t="s">
        <v>1011</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1173</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1028</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1610</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1140</v>
      </c>
      <c r="B2067" s="21" t="s">
        <v>1071</v>
      </c>
      <c r="C2067" s="21" t="s">
        <v>1030</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1022</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row>
    <row r="2070" spans="1:12">
      <c r="A2070" s="20" t="s">
        <v>1611</v>
      </c>
    </row>
    <row r="2071" spans="1:12">
      <c r="A2071" s="20" t="s">
        <v>1612</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1147</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82</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1465</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1022</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row>
    <row r="2077" spans="1:12">
      <c r="A2077" s="20" t="s">
        <v>1613</v>
      </c>
    </row>
    <row r="2078" spans="1:12">
      <c r="A2078" s="20" t="s">
        <v>1266</v>
      </c>
      <c r="B2078" s="21" t="s">
        <v>1009</v>
      </c>
      <c r="C2078" s="21" t="s">
        <v>1010</v>
      </c>
      <c r="D2078" s="21" t="s">
        <v>1011</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1614</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1150</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1443</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1262</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1615</v>
      </c>
      <c r="B2083" s="21" t="s">
        <v>1048</v>
      </c>
      <c r="C2083" s="21" t="s">
        <v>1092</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1099</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1616</v>
      </c>
      <c r="B2085" s="21" t="s">
        <v>1016</v>
      </c>
      <c r="C2085" s="21" t="s">
        <v>1017</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1032</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1617</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1074</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1618</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1619</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1299</v>
      </c>
      <c r="B2091" s="21" t="s">
        <v>1021</v>
      </c>
      <c r="C2091" s="21" t="s">
        <v>1017</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1032</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1045</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1273</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1073</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1042</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1594</v>
      </c>
      <c r="B2097" s="21" t="s">
        <v>1016</v>
      </c>
      <c r="C2097" s="21" t="s">
        <v>1044</v>
      </c>
      <c r="D2097" s="21" t="s">
        <v>1011</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1132</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1620</v>
      </c>
      <c r="B2099" s="21" t="s">
        <v>1021</v>
      </c>
      <c r="C2099" s="21" t="s">
        <v>1017</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1032</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1248</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1621</v>
      </c>
      <c r="B2102" s="21" t="s">
        <v>1016</v>
      </c>
      <c r="C2102" s="21" t="s">
        <v>1017</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1384</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1018</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1622</v>
      </c>
      <c r="B2105" s="21" t="s">
        <v>1101</v>
      </c>
      <c r="C2105" s="21" t="s">
        <v>1102</v>
      </c>
      <c r="D2105" s="21" t="s">
        <v>1011</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1138</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13</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1623</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1032</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1025</v>
      </c>
      <c r="B2110" s="21" t="s">
        <v>1175</v>
      </c>
      <c r="C2110" s="21" t="s">
        <v>1026</v>
      </c>
      <c r="D2110" s="21" t="s">
        <v>1011</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1032</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1166</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1624</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1137</v>
      </c>
      <c r="B2114" s="21" t="s">
        <v>1053</v>
      </c>
      <c r="C2114" s="21" t="s">
        <v>1010</v>
      </c>
      <c r="D2114" s="21" t="s">
        <v>1011</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90</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1070</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1625</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1626</v>
      </c>
      <c r="B2118" s="21" t="s">
        <v>1051</v>
      </c>
      <c r="C2118" s="21" t="s">
        <v>1072</v>
      </c>
      <c r="D2118" s="21" t="s">
        <v>1011</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1032</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1042</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58</v>
      </c>
      <c r="B2121" s="21" t="s">
        <v>1175</v>
      </c>
      <c r="C2121" s="21" t="s">
        <v>1044</v>
      </c>
      <c r="D2121" s="21" t="s">
        <v>1011</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1627</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1097</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142</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1628</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1127</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1629</v>
      </c>
      <c r="B2127" s="21" t="s">
        <v>1021</v>
      </c>
      <c r="C2127" s="21" t="s">
        <v>1017</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1022</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row>
    <row r="2130" spans="1:12">
      <c r="A2130" s="20" t="s">
        <v>1630</v>
      </c>
    </row>
    <row r="2131" spans="1:12">
      <c r="A2131" s="20" t="s">
        <v>1024</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1631</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1229</v>
      </c>
      <c r="B2133" s="21" t="s">
        <v>1048</v>
      </c>
      <c r="C2133" s="21" t="s">
        <v>1230</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388</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1137</v>
      </c>
      <c r="B2135" s="21" t="s">
        <v>1009</v>
      </c>
      <c r="C2135" s="21" t="s">
        <v>1010</v>
      </c>
      <c r="D2135" s="21" t="s">
        <v>1011</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388</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1186</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1042</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1604</v>
      </c>
      <c r="B2139" s="21" t="s">
        <v>1071</v>
      </c>
      <c r="C2139" s="21" t="s">
        <v>1044</v>
      </c>
      <c r="D2139" s="21" t="s">
        <v>1011</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1251</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row>
    <row r="2142" spans="1:12">
      <c r="A2142" s="20" t="s">
        <v>1632</v>
      </c>
    </row>
    <row r="2143" spans="1:12">
      <c r="A2143" s="20" t="s">
        <v>1633</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1121</v>
      </c>
      <c r="B2144" s="21" t="s">
        <v>1039</v>
      </c>
      <c r="C2144" s="21" t="s">
        <v>1010</v>
      </c>
      <c r="D2144" s="21" t="s">
        <v>1011</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1173</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1107</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1133</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1634</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1032</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1100</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1067</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1028</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1286</v>
      </c>
      <c r="B2153" s="21" t="s">
        <v>1009</v>
      </c>
      <c r="C2153" s="21" t="s">
        <v>1030</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1132</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1635</v>
      </c>
      <c r="B2155" s="21" t="s">
        <v>1016</v>
      </c>
      <c r="C2155" s="21" t="s">
        <v>1017</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1018</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1025</v>
      </c>
      <c r="B2157" s="21" t="s">
        <v>1021</v>
      </c>
      <c r="C2157" s="21" t="s">
        <v>1026</v>
      </c>
      <c r="D2157" s="21" t="s">
        <v>1011</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1022</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row>
    <row r="2160" spans="1:12">
      <c r="A2160" s="20" t="s">
        <v>1636</v>
      </c>
    </row>
    <row r="2161" spans="1:12">
      <c r="A2161" s="20" t="s">
        <v>1637</v>
      </c>
      <c r="B2161" s="21" t="s">
        <v>1009</v>
      </c>
      <c r="C2161" s="21" t="s">
        <v>1017</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259</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1014</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1638</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1384</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1018</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1121</v>
      </c>
      <c r="B2167" s="21" t="s">
        <v>1021</v>
      </c>
      <c r="C2167" s="21" t="s">
        <v>1010</v>
      </c>
      <c r="D2167" s="21" t="s">
        <v>1011</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1022</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row>
    <row r="2170" spans="1:12">
      <c r="A2170" s="20" t="s">
        <v>1639</v>
      </c>
    </row>
    <row r="2171" spans="1:12">
      <c r="A2171" s="20" t="s">
        <v>1124</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1443</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1133</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1610</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1615</v>
      </c>
      <c r="B2175" s="21" t="s">
        <v>1071</v>
      </c>
      <c r="C2175" s="21" t="s">
        <v>1092</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1025</v>
      </c>
      <c r="B2176" s="21" t="s">
        <v>1039</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1027</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82</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1640</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1032</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1020</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767</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1032</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1590</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82</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1641</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1081</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1022</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row>
    <row r="2190" spans="1:12">
      <c r="A2190" s="20" t="s">
        <v>1642</v>
      </c>
    </row>
    <row r="2191" spans="1:12">
      <c r="A2191" s="20" t="s">
        <v>1084</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1643</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1443</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1132</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1042</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1305</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1032</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1008</v>
      </c>
      <c r="B2198" s="21" t="s">
        <v>1009</v>
      </c>
      <c r="C2198" s="21" t="s">
        <v>1010</v>
      </c>
      <c r="D2198" s="21" t="s">
        <v>1011</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1168</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1644</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1645</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1022</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row>
    <row r="2204" spans="1:12">
      <c r="A2204" s="20" t="s">
        <v>1646</v>
      </c>
    </row>
    <row r="2205" spans="1:12">
      <c r="A2205" s="20" t="s">
        <v>1383</v>
      </c>
      <c r="B2205" s="21" t="s">
        <v>1009</v>
      </c>
      <c r="C2205" s="21" t="s">
        <v>1026</v>
      </c>
      <c r="D2205" s="21" t="s">
        <v>1011</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1067</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1229</v>
      </c>
      <c r="B2207" s="21" t="s">
        <v>1071</v>
      </c>
      <c r="C2207" s="21" t="s">
        <v>1230</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122</v>
      </c>
      <c r="B2208" s="21" t="s">
        <v>1039</v>
      </c>
      <c r="C2208" s="21" t="s">
        <v>1017</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1647</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1648</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1014</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1190</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1042</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1649</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1650</v>
      </c>
      <c r="B2215" s="21" t="s">
        <v>1016</v>
      </c>
      <c r="C2215" s="21" t="s">
        <v>1044</v>
      </c>
      <c r="D2215" s="21" t="s">
        <v>1011</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1022</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row>
    <row r="2218" spans="1:12">
      <c r="A2218" s="20" t="s">
        <v>1651</v>
      </c>
    </row>
    <row r="2219" spans="1:12">
      <c r="A2219" s="20" t="s">
        <v>1024</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1239</v>
      </c>
      <c r="B2220" s="21" t="s">
        <v>1009</v>
      </c>
      <c r="C2220" s="21" t="s">
        <v>1010</v>
      </c>
      <c r="D2220" s="21" t="s">
        <v>1011</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1201</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12</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1544</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1121</v>
      </c>
      <c r="B2224" s="21" t="s">
        <v>1039</v>
      </c>
      <c r="C2224" s="21" t="s">
        <v>1010</v>
      </c>
      <c r="D2224" s="21" t="s">
        <v>1011</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1173</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1363</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1239</v>
      </c>
      <c r="B2227" s="21" t="s">
        <v>1009</v>
      </c>
      <c r="C2227" s="21" t="s">
        <v>1010</v>
      </c>
      <c r="D2227" s="21" t="s">
        <v>1011</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388</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1097</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410</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58</v>
      </c>
      <c r="B2231" s="21" t="s">
        <v>1048</v>
      </c>
      <c r="C2231" s="21" t="s">
        <v>1017</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12</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1239</v>
      </c>
      <c r="B2233" s="21" t="s">
        <v>1039</v>
      </c>
      <c r="C2233" s="21" t="s">
        <v>1010</v>
      </c>
      <c r="D2233" s="21" t="s">
        <v>1011</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90</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1211</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1652</v>
      </c>
      <c r="B2236" s="21" t="s">
        <v>1088</v>
      </c>
      <c r="C2236" s="21" t="s">
        <v>1092</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1022</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row>
    <row r="2239" spans="1:12">
      <c r="A2239" s="20" t="s">
        <v>1653</v>
      </c>
    </row>
    <row r="2240" spans="1:12">
      <c r="A2240" s="20" t="s">
        <v>1654</v>
      </c>
      <c r="B2240" s="21" t="s">
        <v>1009</v>
      </c>
      <c r="C2240" s="21" t="s">
        <v>1079</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1045</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1025</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1042</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1655</v>
      </c>
      <c r="B2244" s="21" t="s">
        <v>1039</v>
      </c>
      <c r="C2244" s="21" t="s">
        <v>1044</v>
      </c>
      <c r="D2244" s="21" t="s">
        <v>1011</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1132</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1019</v>
      </c>
      <c r="B2246" s="21" t="s">
        <v>1021</v>
      </c>
      <c r="C2246" s="21" t="s">
        <v>1017</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1656</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1074</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1070</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1657</v>
      </c>
      <c r="B2250" s="21" t="s">
        <v>1091</v>
      </c>
      <c r="C2250" s="21" t="s">
        <v>1072</v>
      </c>
      <c r="D2250" s="21" t="s">
        <v>1011</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1045</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1658</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1300</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1077</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1028</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550</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1659</v>
      </c>
      <c r="B2257" s="21" t="s">
        <v>1016</v>
      </c>
      <c r="C2257" s="21" t="s">
        <v>1030</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1022</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row>
    <row r="2260" spans="1:12">
      <c r="A2260" s="20" t="s">
        <v>1660</v>
      </c>
    </row>
    <row r="2261" spans="1:12">
      <c r="A2261" s="20" t="s">
        <v>1282</v>
      </c>
      <c r="B2261" s="21" t="s">
        <v>1039</v>
      </c>
      <c r="C2261" s="21" t="s">
        <v>1026</v>
      </c>
      <c r="D2261" s="21" t="s">
        <v>1011</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1045</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1019</v>
      </c>
      <c r="B2263" s="21" t="s">
        <v>1039</v>
      </c>
      <c r="C2263" s="21" t="s">
        <v>1017</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1661</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1032</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767</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1137</v>
      </c>
      <c r="B2267" s="21" t="s">
        <v>1175</v>
      </c>
      <c r="C2267" s="21" t="s">
        <v>1010</v>
      </c>
      <c r="D2267" s="21" t="s">
        <v>1011</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1183</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1662</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1018</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1089</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1663</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1664</v>
      </c>
      <c r="B2273" s="21" t="s">
        <v>1021</v>
      </c>
      <c r="C2273" s="21" t="s">
        <v>1092</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1032</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1665</v>
      </c>
      <c r="B2275" s="21" t="s">
        <v>1071</v>
      </c>
      <c r="C2275" s="21" t="s">
        <v>1017</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1132</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1245</v>
      </c>
      <c r="B2277" s="21" t="s">
        <v>1071</v>
      </c>
      <c r="C2277" s="21" t="s">
        <v>1017</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1076</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1666</v>
      </c>
      <c r="B2279" s="21" t="s">
        <v>1071</v>
      </c>
      <c r="C2279" s="21" t="s">
        <v>1017</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1077</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1137</v>
      </c>
      <c r="B2281" s="21" t="s">
        <v>1039</v>
      </c>
      <c r="C2281" s="21" t="s">
        <v>1010</v>
      </c>
      <c r="D2281" s="21" t="s">
        <v>1011</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296</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1132</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1190</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1028</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1667</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1019</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1659</v>
      </c>
      <c r="B2288" s="21" t="s">
        <v>1016</v>
      </c>
      <c r="C2288" s="21" t="s">
        <v>1030</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1022</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row>
    <row r="2291" spans="1:12">
      <c r="A2291" s="20" t="s">
        <v>1668</v>
      </c>
    </row>
    <row r="2292" spans="1:12">
      <c r="A2292" s="20" t="s">
        <v>1130</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1032</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1070</v>
      </c>
      <c r="B2294" s="21" t="s">
        <v>1009</v>
      </c>
      <c r="C2294" s="21" t="s">
        <v>1026</v>
      </c>
      <c r="D2294" s="21" t="s">
        <v>1011</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1067</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1669</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1650</v>
      </c>
      <c r="B2297" s="21" t="s">
        <v>1071</v>
      </c>
      <c r="C2297" s="21" t="s">
        <v>1017</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1022</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row>
    <row r="2300" spans="1:12">
      <c r="A2300" s="20" t="s">
        <v>1670</v>
      </c>
    </row>
    <row r="2301" spans="1:12">
      <c r="A2301" s="20" t="s">
        <v>1084</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1671</v>
      </c>
      <c r="B2302" s="21" t="s">
        <v>1009</v>
      </c>
      <c r="C2302" s="21" t="s">
        <v>1044</v>
      </c>
      <c r="D2302" s="21" t="s">
        <v>1011</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1627</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1097</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426</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1317</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1672</v>
      </c>
      <c r="B2307" s="21" t="s">
        <v>1071</v>
      </c>
      <c r="C2307" s="21" t="s">
        <v>1030</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1032</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1121</v>
      </c>
      <c r="B2309" s="21" t="s">
        <v>1039</v>
      </c>
      <c r="C2309" s="21" t="s">
        <v>1010</v>
      </c>
      <c r="D2309" s="21" t="s">
        <v>1011</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1627</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1097</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426</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1289</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1672</v>
      </c>
      <c r="B2314" s="21" t="s">
        <v>1016</v>
      </c>
      <c r="C2314" s="21" t="s">
        <v>1291</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1032</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1020</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1673</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1032</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1042</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1674</v>
      </c>
      <c r="B2320" s="21" t="s">
        <v>1039</v>
      </c>
      <c r="C2320" s="21" t="s">
        <v>1044</v>
      </c>
      <c r="D2320" s="21" t="s">
        <v>1011</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1627</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1097</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1675</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1317</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1042</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1037</v>
      </c>
      <c r="B2326" s="21" t="s">
        <v>1088</v>
      </c>
      <c r="C2326" s="21" t="s">
        <v>1044</v>
      </c>
      <c r="D2326" s="21" t="s">
        <v>1011</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1022</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row>
    <row r="2329" spans="1:12">
      <c r="A2329" s="20" t="s">
        <v>1676</v>
      </c>
    </row>
    <row r="2330" spans="1:12">
      <c r="A2330" s="20" t="s">
        <v>1024</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767</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1032</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1136</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1137</v>
      </c>
      <c r="B2334" s="21" t="s">
        <v>1039</v>
      </c>
      <c r="C2334" s="21" t="s">
        <v>1010</v>
      </c>
      <c r="D2334" s="21" t="s">
        <v>1011</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1677</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1081</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1070</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1650</v>
      </c>
      <c r="B2338" s="21" t="s">
        <v>1016</v>
      </c>
      <c r="C2338" s="21" t="s">
        <v>1072</v>
      </c>
      <c r="D2338" s="21" t="s">
        <v>1011</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1032</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1137</v>
      </c>
      <c r="B2340" s="21" t="s">
        <v>1009</v>
      </c>
      <c r="C2340" s="21" t="s">
        <v>1010</v>
      </c>
      <c r="D2340" s="21" t="s">
        <v>1011</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90</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1014</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90</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1211</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1321</v>
      </c>
      <c r="B2345" s="21" t="s">
        <v>1088</v>
      </c>
      <c r="C2345" s="21" t="s">
        <v>1092</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1132</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1085</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1042</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1019</v>
      </c>
      <c r="B2349" s="21" t="s">
        <v>1051</v>
      </c>
      <c r="C2349" s="21" t="s">
        <v>1044</v>
      </c>
      <c r="D2349" s="21" t="s">
        <v>1011</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1678</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1238</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1037</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1679</v>
      </c>
      <c r="B2353" s="21" t="s">
        <v>1091</v>
      </c>
      <c r="C2353" s="21" t="s">
        <v>1072</v>
      </c>
      <c r="D2353" s="21" t="s">
        <v>1011</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1025</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1121</v>
      </c>
      <c r="B2355" s="21" t="s">
        <v>1039</v>
      </c>
      <c r="C2355" s="21" t="s">
        <v>1010</v>
      </c>
      <c r="D2355" s="21" t="s">
        <v>1011</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1173</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1107</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1680</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1022</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row>
    <row r="2361" spans="1:12">
      <c r="A2361" s="20" t="s">
        <v>1681</v>
      </c>
    </row>
    <row r="2362" spans="1:12">
      <c r="A2362" s="20" t="s">
        <v>1124</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1052</v>
      </c>
      <c r="B2363" s="21" t="s">
        <v>1009</v>
      </c>
      <c r="C2363" s="21" t="s">
        <v>1010</v>
      </c>
      <c r="D2363" s="21" t="s">
        <v>1011</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1168</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1329</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1262</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1616</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1562</v>
      </c>
      <c r="B2368" s="21" t="s">
        <v>1048</v>
      </c>
      <c r="C2368" s="21" t="s">
        <v>1017</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1414</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1022</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row>
    <row r="2372" spans="1:12">
      <c r="A2372" s="20" t="s">
        <v>1682</v>
      </c>
    </row>
    <row r="2373" spans="1:12">
      <c r="A2373" s="20" t="s">
        <v>1270</v>
      </c>
      <c r="B2373" s="21" t="s">
        <v>1009</v>
      </c>
      <c r="C2373" s="21" t="s">
        <v>1010</v>
      </c>
      <c r="D2373" s="21" t="s">
        <v>1011</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90</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1683</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1562</v>
      </c>
      <c r="B2376" s="21" t="s">
        <v>1048</v>
      </c>
      <c r="C2376" s="21" t="s">
        <v>1017</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1073</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1127</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1684</v>
      </c>
      <c r="B2379" s="21" t="s">
        <v>1071</v>
      </c>
      <c r="C2379" s="21" t="s">
        <v>1017</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1032</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883</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1243</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1019</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1685</v>
      </c>
      <c r="B2384" s="21" t="s">
        <v>1175</v>
      </c>
      <c r="C2384" s="21" t="s">
        <v>1072</v>
      </c>
      <c r="D2384" s="21" t="s">
        <v>1011</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1045</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1686</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1401</v>
      </c>
      <c r="B2387" s="21" t="s">
        <v>1091</v>
      </c>
      <c r="C2387" s="21" t="s">
        <v>1035</v>
      </c>
      <c r="D2387" s="21" t="s">
        <v>1011</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1687</v>
      </c>
      <c r="B2388" s="21" t="s">
        <v>1142</v>
      </c>
      <c r="C2388" s="21" t="s">
        <v>1040</v>
      </c>
      <c r="D2388" s="21" t="s">
        <v>1011</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1032</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1137</v>
      </c>
      <c r="B2390" s="21" t="s">
        <v>1039</v>
      </c>
      <c r="C2390" s="21" t="s">
        <v>1010</v>
      </c>
      <c r="D2390" s="21" t="s">
        <v>1011</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1107</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1313</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259</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1042</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1688</v>
      </c>
      <c r="B2395" s="21" t="s">
        <v>1088</v>
      </c>
      <c r="C2395" s="21" t="s">
        <v>1044</v>
      </c>
      <c r="D2395" s="21" t="s">
        <v>1011</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1032</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1234</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1137</v>
      </c>
      <c r="B2398" s="21" t="s">
        <v>1039</v>
      </c>
      <c r="C2398" s="21" t="s">
        <v>1010</v>
      </c>
      <c r="D2398" s="21" t="s">
        <v>1011</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90</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1014</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1689</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1186</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1042</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1690</v>
      </c>
      <c r="B2404" s="21" t="s">
        <v>1021</v>
      </c>
      <c r="C2404" s="21" t="s">
        <v>1044</v>
      </c>
      <c r="D2404" s="21" t="s">
        <v>1011</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1132</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1042</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1019</v>
      </c>
      <c r="B2407" s="21" t="s">
        <v>1091</v>
      </c>
      <c r="C2407" s="21" t="s">
        <v>1044</v>
      </c>
      <c r="D2407" s="21" t="s">
        <v>1011</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1691</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1227</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1692</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1022</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row>
    <row r="2413" spans="1:12">
      <c r="A2413" s="20" t="s">
        <v>1693</v>
      </c>
    </row>
    <row r="2414" spans="1:12">
      <c r="A2414" s="20" t="s">
        <v>1024</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1032</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1415</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1032</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1243</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1694</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398</v>
      </c>
      <c r="B2420" s="21" t="s">
        <v>1071</v>
      </c>
      <c r="C2420" s="21" t="s">
        <v>1072</v>
      </c>
      <c r="D2420" s="21" t="s">
        <v>1011</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1022</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row>
    <row r="2423" spans="1:12">
      <c r="A2423" s="20" t="s">
        <v>1695</v>
      </c>
    </row>
    <row r="2424" spans="1:12">
      <c r="A2424" s="20" t="s">
        <v>1696</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1697</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1243</v>
      </c>
      <c r="B2426" s="21" t="s">
        <v>1088</v>
      </c>
      <c r="C2426" s="21" t="s">
        <v>1026</v>
      </c>
      <c r="D2426" s="21" t="s">
        <v>1011</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1032</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1008</v>
      </c>
      <c r="B2428" s="21" t="s">
        <v>1009</v>
      </c>
      <c r="C2428" s="21" t="s">
        <v>1010</v>
      </c>
      <c r="D2428" s="21" t="s">
        <v>1011</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1698</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1422</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1020</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1699</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1041</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1317</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1042</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1423</v>
      </c>
      <c r="B2436" s="21" t="s">
        <v>1016</v>
      </c>
      <c r="C2436" s="21" t="s">
        <v>1044</v>
      </c>
      <c r="D2436" s="21" t="s">
        <v>1011</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1132</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1700</v>
      </c>
      <c r="B2438" s="21" t="s">
        <v>1021</v>
      </c>
      <c r="C2438" s="21" t="s">
        <v>1017</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1701</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12</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1127</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1424</v>
      </c>
      <c r="B2442" s="21" t="s">
        <v>1071</v>
      </c>
      <c r="C2442" s="21" t="s">
        <v>1017</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1032</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1127</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1702</v>
      </c>
      <c r="B2445" s="21" t="s">
        <v>1071</v>
      </c>
      <c r="C2445" s="21" t="s">
        <v>1017</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1032</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1127</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1703</v>
      </c>
      <c r="B2448" s="21" t="s">
        <v>1071</v>
      </c>
      <c r="C2448" s="21" t="s">
        <v>1017</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1032</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1127</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1704</v>
      </c>
      <c r="B2451" s="21" t="s">
        <v>1071</v>
      </c>
      <c r="C2451" s="21" t="s">
        <v>1017</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1032</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1127</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1376</v>
      </c>
      <c r="B2454" s="21" t="s">
        <v>1071</v>
      </c>
      <c r="C2454" s="21" t="s">
        <v>1102</v>
      </c>
      <c r="D2454" s="21" t="s">
        <v>1011</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12</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1020</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1705</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1025</v>
      </c>
      <c r="B2458" s="21" t="s">
        <v>1088</v>
      </c>
      <c r="C2458" s="21" t="s">
        <v>1026</v>
      </c>
      <c r="D2458" s="21" t="s">
        <v>1011</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1014</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1042</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1224</v>
      </c>
      <c r="B2461" s="21" t="s">
        <v>1021</v>
      </c>
      <c r="C2461" s="21" t="s">
        <v>1044</v>
      </c>
      <c r="D2461" s="21" t="s">
        <v>1011</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1132</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1706</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1019</v>
      </c>
      <c r="B2464" s="21" t="s">
        <v>1091</v>
      </c>
      <c r="C2464" s="21" t="s">
        <v>1017</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1042</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1188</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1707</v>
      </c>
      <c r="B2467" s="21" t="s">
        <v>1094</v>
      </c>
      <c r="C2467" s="21" t="s">
        <v>1044</v>
      </c>
      <c r="D2467" s="21" t="s">
        <v>1011</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1022</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row>
    <row r="2470" spans="1:12">
      <c r="A2470" s="20" t="s">
        <v>1708</v>
      </c>
    </row>
    <row r="2471" spans="1:12">
      <c r="A2471" s="20" t="s">
        <v>1569</v>
      </c>
      <c r="B2471" s="21" t="s">
        <v>1009</v>
      </c>
      <c r="C2471" s="21" t="s">
        <v>1230</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1008</v>
      </c>
      <c r="B2472" s="21" t="s">
        <v>1175</v>
      </c>
      <c r="C2472" s="21" t="s">
        <v>1010</v>
      </c>
      <c r="D2472" s="21" t="s">
        <v>1011</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1709</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1045</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1025</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1317</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1042</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1700</v>
      </c>
      <c r="B2478" s="21" t="s">
        <v>1071</v>
      </c>
      <c r="C2478" s="21" t="s">
        <v>1044</v>
      </c>
      <c r="D2478" s="21" t="s">
        <v>1011</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1052</v>
      </c>
      <c r="B2479" s="21" t="s">
        <v>1175</v>
      </c>
      <c r="C2479" s="21" t="s">
        <v>1010</v>
      </c>
      <c r="D2479" s="21" t="s">
        <v>1011</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338</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263</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1138</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1710</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1300</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1077</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53</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1711</v>
      </c>
      <c r="B2487" s="21" t="s">
        <v>1051</v>
      </c>
      <c r="C2487" s="21" t="s">
        <v>1092</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1132</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1317</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1042</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1019</v>
      </c>
      <c r="B2491" s="21" t="s">
        <v>1094</v>
      </c>
      <c r="C2491" s="21" t="s">
        <v>1044</v>
      </c>
      <c r="D2491" s="21" t="s">
        <v>1011</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1022</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row>
    <row r="2494" spans="1:12">
      <c r="A2494" s="20" t="s">
        <v>1712</v>
      </c>
    </row>
    <row r="2495" spans="1:12">
      <c r="A2495" s="20" t="s">
        <v>1024</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767</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1032</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1074</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1075</v>
      </c>
      <c r="B2499" s="21" t="s">
        <v>1071</v>
      </c>
      <c r="C2499" s="21" t="s">
        <v>1017</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1032</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1052</v>
      </c>
      <c r="B2501" s="21" t="s">
        <v>1009</v>
      </c>
      <c r="C2501" s="21" t="s">
        <v>1010</v>
      </c>
      <c r="D2501" s="21" t="s">
        <v>1011</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259</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1028</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1262</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618</v>
      </c>
      <c r="B2505" s="21" t="s">
        <v>1048</v>
      </c>
      <c r="C2505" s="21" t="s">
        <v>1030</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1414</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1032</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1283</v>
      </c>
      <c r="B2508" s="21" t="s">
        <v>1048</v>
      </c>
      <c r="C2508" s="21" t="s">
        <v>1102</v>
      </c>
      <c r="D2508" s="21" t="s">
        <v>1011</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1025</v>
      </c>
      <c r="B2509" s="21" t="s">
        <v>1175</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1173</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1013</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1014</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82</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1028</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1373</v>
      </c>
      <c r="B2515" s="21" t="s">
        <v>1021</v>
      </c>
      <c r="C2515" s="21" t="s">
        <v>1030</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1132</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378</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1062</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1077</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1042</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1713</v>
      </c>
      <c r="B2521" s="21" t="s">
        <v>1094</v>
      </c>
      <c r="C2521" s="21" t="s">
        <v>1044</v>
      </c>
      <c r="D2521" s="21" t="s">
        <v>1011</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1052</v>
      </c>
      <c r="B2522" s="21" t="s">
        <v>1101</v>
      </c>
      <c r="C2522" s="21" t="s">
        <v>1010</v>
      </c>
      <c r="D2522" s="21" t="s">
        <v>1011</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90</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263</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1022</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row>
    <row r="2527" spans="1:12">
      <c r="A2527" s="20" t="s">
        <v>1714</v>
      </c>
    </row>
    <row r="2528" spans="1:12">
      <c r="A2528" s="20" t="s">
        <v>1266</v>
      </c>
      <c r="B2528" s="21" t="s">
        <v>1009</v>
      </c>
      <c r="C2528" s="21" t="s">
        <v>1010</v>
      </c>
      <c r="D2528" s="21" t="s">
        <v>1011</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1173</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1107</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1479</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1032</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1234</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1121</v>
      </c>
      <c r="B2534" s="21" t="s">
        <v>1039</v>
      </c>
      <c r="C2534" s="21" t="s">
        <v>1010</v>
      </c>
      <c r="D2534" s="21" t="s">
        <v>1011</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1173</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1107</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1028</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1133</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1715</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1141</v>
      </c>
      <c r="B2540" s="21" t="s">
        <v>1071</v>
      </c>
      <c r="C2540" s="21" t="s">
        <v>1030</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1022</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row>
    <row r="2543" spans="1:12">
      <c r="A2543" s="20" t="s">
        <v>1716</v>
      </c>
    </row>
    <row r="2544" spans="1:12">
      <c r="A2544" s="20" t="s">
        <v>1149</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1032</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1243</v>
      </c>
      <c r="B2546" s="21" t="s">
        <v>1009</v>
      </c>
      <c r="C2546" s="21" t="s">
        <v>1026</v>
      </c>
      <c r="D2546" s="21" t="s">
        <v>1011</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1717</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1206</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1475</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1137</v>
      </c>
      <c r="B2550" s="21" t="s">
        <v>1039</v>
      </c>
      <c r="C2550" s="21" t="s">
        <v>1010</v>
      </c>
      <c r="D2550" s="21" t="s">
        <v>1011</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1718</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1014</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142</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1042</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1669</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1685</v>
      </c>
      <c r="B2556" s="21" t="s">
        <v>1142</v>
      </c>
      <c r="C2556" s="21" t="s">
        <v>1044</v>
      </c>
      <c r="D2556" s="21" t="s">
        <v>1011</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1014</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82</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1719</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1032</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883</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1032</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93</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1014</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132</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1368</v>
      </c>
      <c r="B2566" s="21" t="s">
        <v>1088</v>
      </c>
      <c r="C2566" s="21" t="s">
        <v>1092</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1132</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1229</v>
      </c>
      <c r="B2568" s="21" t="s">
        <v>1021</v>
      </c>
      <c r="C2568" s="21" t="s">
        <v>1230</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1137</v>
      </c>
      <c r="B2569" s="21" t="s">
        <v>1101</v>
      </c>
      <c r="C2569" s="21" t="s">
        <v>1010</v>
      </c>
      <c r="D2569" s="21" t="s">
        <v>1011</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1183</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1335</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1022</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row>
    <row r="2574" spans="1:12">
      <c r="A2574" s="20" t="s">
        <v>1720</v>
      </c>
    </row>
    <row r="2575" spans="1:12">
      <c r="A2575" s="20" t="s">
        <v>1204</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1137</v>
      </c>
      <c r="B2576" s="21" t="s">
        <v>1039</v>
      </c>
      <c r="C2576" s="21" t="s">
        <v>1010</v>
      </c>
      <c r="D2576" s="21" t="s">
        <v>1011</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1183</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1721</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1081</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1121</v>
      </c>
      <c r="B2580" s="21" t="s">
        <v>1016</v>
      </c>
      <c r="C2580" s="21" t="s">
        <v>1010</v>
      </c>
      <c r="D2580" s="21" t="s">
        <v>1011</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1127</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378</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1368</v>
      </c>
      <c r="B2583" s="21" t="s">
        <v>1016</v>
      </c>
      <c r="C2583" s="21" t="s">
        <v>1092</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1032</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1137</v>
      </c>
      <c r="B2585" s="21" t="s">
        <v>1009</v>
      </c>
      <c r="C2585" s="21" t="s">
        <v>1010</v>
      </c>
      <c r="D2585" s="21" t="s">
        <v>1011</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259</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1303</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1722</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1477</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1723</v>
      </c>
      <c r="B2590" s="21" t="s">
        <v>1048</v>
      </c>
      <c r="C2590" s="21" t="s">
        <v>1030</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1022</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row>
    <row r="2593" spans="1:12">
      <c r="A2593" s="20" t="s">
        <v>1724</v>
      </c>
    </row>
    <row r="2594" spans="1:12">
      <c r="A2594" s="20" t="s">
        <v>1149</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1032</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1225</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1067</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1052</v>
      </c>
      <c r="B2598" s="21" t="s">
        <v>1009</v>
      </c>
      <c r="C2598" s="21" t="s">
        <v>1010</v>
      </c>
      <c r="D2598" s="21" t="s">
        <v>1011</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1013</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1014</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13</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1725</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1081</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1243</v>
      </c>
      <c r="B2604" s="21" t="s">
        <v>1016</v>
      </c>
      <c r="C2604" s="21" t="s">
        <v>1026</v>
      </c>
      <c r="D2604" s="21" t="s">
        <v>1011</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12</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1229</v>
      </c>
      <c r="B2606" s="21" t="s">
        <v>1039</v>
      </c>
      <c r="C2606" s="21" t="s">
        <v>1230</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1173</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1042</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1726</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1727</v>
      </c>
      <c r="B2610" s="21" t="s">
        <v>1071</v>
      </c>
      <c r="C2610" s="21" t="s">
        <v>1044</v>
      </c>
      <c r="D2610" s="21" t="s">
        <v>1011</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1251</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row>
    <row r="2613" spans="1:12">
      <c r="A2613" s="20" t="s">
        <v>1728</v>
      </c>
    </row>
    <row r="2614" spans="1:12">
      <c r="A2614" s="20" t="s">
        <v>1509</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1121</v>
      </c>
      <c r="B2615" s="21" t="s">
        <v>1009</v>
      </c>
      <c r="C2615" s="21" t="s">
        <v>1010</v>
      </c>
      <c r="D2615" s="21" t="s">
        <v>1011</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1028</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1729</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1730</v>
      </c>
      <c r="B2618" s="21" t="s">
        <v>1071</v>
      </c>
      <c r="C2618" s="21" t="s">
        <v>1165</v>
      </c>
      <c r="D2618" s="21" t="s">
        <v>1011</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1251</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row>
    <row r="2621" spans="1:12">
      <c r="A2621" s="20" t="s">
        <v>1731</v>
      </c>
    </row>
    <row r="2622" spans="1:12">
      <c r="A2622" s="20" t="s">
        <v>1569</v>
      </c>
      <c r="B2622" s="21" t="s">
        <v>1071</v>
      </c>
      <c r="C2622" s="21" t="s">
        <v>1230</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1173</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1042</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1141</v>
      </c>
      <c r="B2625" s="21" t="s">
        <v>1009</v>
      </c>
      <c r="C2625" s="21" t="s">
        <v>1044</v>
      </c>
      <c r="D2625" s="21" t="s">
        <v>1011</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1025</v>
      </c>
      <c r="B2626" s="21" t="s">
        <v>1175</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1179</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142</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1732</v>
      </c>
      <c r="B2629" s="21" t="s">
        <v>1142</v>
      </c>
      <c r="C2629" s="21" t="s">
        <v>1010</v>
      </c>
      <c r="D2629" s="21" t="s">
        <v>1011</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1100</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1251</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row>
    <row r="2633" spans="1:12">
      <c r="A2633" s="20" t="s">
        <v>1733</v>
      </c>
    </row>
    <row r="2634" spans="1:12">
      <c r="A2634" s="20" t="s">
        <v>1734</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1032</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1052</v>
      </c>
      <c r="B2636" s="21" t="s">
        <v>1009</v>
      </c>
      <c r="C2636" s="21" t="s">
        <v>1010</v>
      </c>
      <c r="D2636" s="21" t="s">
        <v>1011</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259</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1735</v>
      </c>
      <c r="B2638" s="21" t="s">
        <v>1048</v>
      </c>
      <c r="C2638" s="21" t="s">
        <v>1017</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1132</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1736</v>
      </c>
      <c r="B2640" s="21" t="s">
        <v>1016</v>
      </c>
      <c r="C2640" s="21" t="s">
        <v>1017</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1737</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1081</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1243</v>
      </c>
      <c r="B2643" s="21" t="s">
        <v>1021</v>
      </c>
      <c r="C2643" s="21" t="s">
        <v>1026</v>
      </c>
      <c r="D2643" s="21" t="s">
        <v>1011</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12</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1738</v>
      </c>
      <c r="B2645" s="21" t="s">
        <v>1071</v>
      </c>
      <c r="C2645" s="21" t="s">
        <v>1017</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1022</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row>
    <row r="2648" spans="1:12">
      <c r="A2648" s="20" t="s">
        <v>1739</v>
      </c>
    </row>
    <row r="2649" spans="1:12">
      <c r="A2649" s="20" t="s">
        <v>1135</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1295</v>
      </c>
      <c r="B2650" s="21" t="s">
        <v>1071</v>
      </c>
      <c r="C2650" s="21" t="s">
        <v>1040</v>
      </c>
      <c r="D2650" s="21" t="s">
        <v>1011</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1132</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1070</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1305</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1740</v>
      </c>
      <c r="B2654" s="21" t="s">
        <v>1016</v>
      </c>
      <c r="C2654" s="21" t="s">
        <v>1072</v>
      </c>
      <c r="D2654" s="21" t="s">
        <v>1011</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1032</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1052</v>
      </c>
      <c r="B2656" s="21" t="s">
        <v>1009</v>
      </c>
      <c r="C2656" s="21" t="s">
        <v>1010</v>
      </c>
      <c r="D2656" s="21" t="s">
        <v>1011</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259</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1041</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1741</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1028</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1742</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122</v>
      </c>
      <c r="B2662" s="21" t="s">
        <v>1048</v>
      </c>
      <c r="C2662" s="21" t="s">
        <v>1030</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1022</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row>
    <row r="2665" spans="1:12">
      <c r="A2665" s="20" t="s">
        <v>1264</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1743</v>
      </c>
    </row>
    <row r="2667" spans="1:12">
      <c r="A2667" s="20" t="s">
        <v>1744</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1286</v>
      </c>
      <c r="B2668" s="21" t="s">
        <v>1009</v>
      </c>
      <c r="C2668" s="21" t="s">
        <v>1040</v>
      </c>
      <c r="D2668" s="21" t="s">
        <v>1011</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1132</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1128</v>
      </c>
      <c r="B2670" s="21" t="s">
        <v>1016</v>
      </c>
      <c r="C2670" s="21" t="s">
        <v>1010</v>
      </c>
      <c r="D2670" s="21" t="s">
        <v>1011</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1032</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1137</v>
      </c>
      <c r="B2672" s="21" t="s">
        <v>1009</v>
      </c>
      <c r="C2672" s="21" t="s">
        <v>1010</v>
      </c>
      <c r="D2672" s="21" t="s">
        <v>1011</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1745</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479</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1041</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1020</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883</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1032</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1269</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1746</v>
      </c>
      <c r="B2680" s="21" t="s">
        <v>1039</v>
      </c>
      <c r="C2680" s="21" t="s">
        <v>1010</v>
      </c>
      <c r="D2680" s="21" t="s">
        <v>1011</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1183</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1747</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1022</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1269</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row>
    <row r="2686" spans="1:12">
      <c r="A2686" s="20" t="s">
        <v>1748</v>
      </c>
    </row>
    <row r="2687" spans="1:12">
      <c r="A2687" s="20" t="s">
        <v>1350</v>
      </c>
      <c r="B2687" s="21" t="s">
        <v>1009</v>
      </c>
      <c r="C2687" s="21" t="s">
        <v>1026</v>
      </c>
      <c r="D2687" s="21" t="s">
        <v>1011</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1173</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1384</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1022</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row>
    <row r="2692" spans="1:12">
      <c r="A2692" s="20" t="s">
        <v>1749</v>
      </c>
    </row>
    <row r="2693" spans="1:12">
      <c r="A2693" s="20" t="s">
        <v>1024</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1032</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1008</v>
      </c>
      <c r="B2695" s="21" t="s">
        <v>1009</v>
      </c>
      <c r="C2695" s="21" t="s">
        <v>1010</v>
      </c>
      <c r="D2695" s="21" t="s">
        <v>1011</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296</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1032</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1414</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1074</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1042</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1750</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402</v>
      </c>
      <c r="B2702" s="21" t="s">
        <v>1071</v>
      </c>
      <c r="C2702" s="21" t="s">
        <v>1044</v>
      </c>
      <c r="D2702" s="21" t="s">
        <v>1011</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1032</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1052</v>
      </c>
      <c r="B2704" s="21" t="s">
        <v>1039</v>
      </c>
      <c r="C2704" s="21" t="s">
        <v>1010</v>
      </c>
      <c r="D2704" s="21" t="s">
        <v>1011</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90</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1089</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122</v>
      </c>
      <c r="B2707" s="21" t="s">
        <v>1088</v>
      </c>
      <c r="C2707" s="21" t="s">
        <v>1092</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1521</v>
      </c>
      <c r="B2708" s="21" t="s">
        <v>1053</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1067</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1751</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1752</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1243</v>
      </c>
      <c r="B2712" s="21" t="s">
        <v>1051</v>
      </c>
      <c r="C2712" s="21" t="s">
        <v>1026</v>
      </c>
      <c r="D2712" s="21" t="s">
        <v>1011</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1022</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row>
    <row r="2715" spans="1:12">
      <c r="A2715" s="20" t="s">
        <v>1753</v>
      </c>
    </row>
    <row r="2716" spans="1:12">
      <c r="A2716" s="20" t="s">
        <v>709</v>
      </c>
      <c r="B2716" s="21" t="s">
        <v>1009</v>
      </c>
      <c r="C2716" s="21" t="s">
        <v>1165</v>
      </c>
      <c r="D2716" s="21" t="s">
        <v>1011</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1754</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1150</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1244</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1736</v>
      </c>
      <c r="B2720" s="21" t="s">
        <v>1048</v>
      </c>
      <c r="C2720" s="21" t="s">
        <v>1092</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1032</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1755</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1140</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1756</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1757</v>
      </c>
      <c r="B2725" s="21" t="s">
        <v>1091</v>
      </c>
      <c r="C2725" s="21" t="s">
        <v>1165</v>
      </c>
      <c r="D2725" s="21" t="s">
        <v>1011</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1025</v>
      </c>
      <c r="B2726" s="21" t="s">
        <v>1175</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1150</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1211</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1363</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1758</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1759</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1657</v>
      </c>
      <c r="B2732" s="21" t="s">
        <v>1142</v>
      </c>
      <c r="C2732" s="21" t="s">
        <v>1092</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1022</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row>
    <row r="2735" spans="1:12">
      <c r="A2735" s="20" t="s">
        <v>1760</v>
      </c>
    </row>
    <row r="2736" spans="1:12">
      <c r="A2736" s="20" t="s">
        <v>493</v>
      </c>
      <c r="B2736" s="21" t="s">
        <v>1071</v>
      </c>
      <c r="C2736" s="21" t="s">
        <v>1165</v>
      </c>
      <c r="D2736" s="21" t="s">
        <v>1011</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row>
    <row r="2738" spans="1:12">
      <c r="A2738" s="20" t="s">
        <v>1761</v>
      </c>
    </row>
    <row r="2739" spans="1:12">
      <c r="A2739" s="20" t="s">
        <v>1762</v>
      </c>
      <c r="B2739" s="21" t="s">
        <v>1009</v>
      </c>
      <c r="C2739" s="21" t="s">
        <v>1165</v>
      </c>
      <c r="D2739" s="21" t="s">
        <v>1011</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1045</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1763</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1074</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1764</v>
      </c>
      <c r="B2743" s="21" t="s">
        <v>1071</v>
      </c>
      <c r="C2743" s="21" t="s">
        <v>1017</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1132</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1736</v>
      </c>
      <c r="B2745" s="21" t="s">
        <v>1016</v>
      </c>
      <c r="C2745" s="21" t="s">
        <v>1017</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1025</v>
      </c>
      <c r="B2746" s="21" t="s">
        <v>1053</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1067</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1421</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1363</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1050</v>
      </c>
      <c r="B2750" s="21" t="s">
        <v>1051</v>
      </c>
      <c r="C2750" s="21" t="s">
        <v>1017</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1020</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90</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1765</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1766</v>
      </c>
      <c r="B2754" s="21" t="s">
        <v>1767</v>
      </c>
      <c r="C2754" s="21" t="s">
        <v>1017</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1032</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1020</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1008</v>
      </c>
      <c r="B2757" s="21" t="s">
        <v>1039</v>
      </c>
      <c r="C2757" s="21" t="s">
        <v>1010</v>
      </c>
      <c r="D2757" s="21" t="s">
        <v>1011</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1012</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1275</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1014</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1056</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500</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1025</v>
      </c>
      <c r="B2763" s="21" t="s">
        <v>1021</v>
      </c>
      <c r="C2763" s="21" t="s">
        <v>1026</v>
      </c>
      <c r="D2763" s="21" t="s">
        <v>1011</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1022</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row>
    <row r="2766" spans="1:12">
      <c r="A2766" s="20" t="s">
        <v>1768</v>
      </c>
    </row>
    <row r="2767" spans="1:12">
      <c r="A2767" s="20" t="s">
        <v>1769</v>
      </c>
      <c r="B2767" s="21" t="s">
        <v>1009</v>
      </c>
      <c r="C2767" s="21" t="s">
        <v>1165</v>
      </c>
      <c r="D2767" s="21" t="s">
        <v>1011</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1770</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1020</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1008</v>
      </c>
      <c r="B2770" s="21" t="s">
        <v>1016</v>
      </c>
      <c r="C2770" s="21" t="s">
        <v>1010</v>
      </c>
      <c r="D2770" s="21" t="s">
        <v>1011</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1201</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1067</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1771</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1028</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1772</v>
      </c>
      <c r="B2775" s="21" t="s">
        <v>1048</v>
      </c>
      <c r="C2775" s="21" t="s">
        <v>1030</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1025</v>
      </c>
      <c r="B2776" s="21" t="s">
        <v>1175</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1032</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1215</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1773</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1032</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1045</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1201</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1774</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1042</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1465</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1727</v>
      </c>
      <c r="B2786" s="21" t="s">
        <v>1142</v>
      </c>
      <c r="C2786" s="21" t="s">
        <v>1044</v>
      </c>
      <c r="D2786" s="21" t="s">
        <v>1011</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1022</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row>
    <row r="2789" spans="1:12">
      <c r="A2789" s="20" t="s">
        <v>1775</v>
      </c>
    </row>
    <row r="2790" spans="1:12">
      <c r="A2790" s="20" t="s">
        <v>1433</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1067</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1211</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1776</v>
      </c>
      <c r="B2793" s="21" t="s">
        <v>1009</v>
      </c>
      <c r="C2793" s="21" t="s">
        <v>1092</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1074</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1465</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1099</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1777</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1032</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1577</v>
      </c>
      <c r="B2799" s="21" t="s">
        <v>1071</v>
      </c>
      <c r="C2799" s="21" t="s">
        <v>1017</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1022</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row>
    <row r="2802" spans="1:12">
      <c r="A2802" s="20" t="s">
        <v>1778</v>
      </c>
    </row>
    <row r="2803" spans="1:12">
      <c r="A2803" s="20" t="s">
        <v>1779</v>
      </c>
      <c r="B2803" s="21" t="s">
        <v>1009</v>
      </c>
      <c r="C2803" s="21" t="s">
        <v>1017</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1248</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1780</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1074</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1243</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1781</v>
      </c>
      <c r="B2808" s="21" t="s">
        <v>1071</v>
      </c>
      <c r="C2808" s="21" t="s">
        <v>1072</v>
      </c>
      <c r="D2808" s="21" t="s">
        <v>1011</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1427</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1211</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1515</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1032</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767</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1042</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917</v>
      </c>
      <c r="B2815" s="21" t="s">
        <v>1039</v>
      </c>
      <c r="C2815" s="21" t="s">
        <v>1044</v>
      </c>
      <c r="D2815" s="21" t="s">
        <v>1011</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1025</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1100</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1173</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1211</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1384</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1782</v>
      </c>
      <c r="B2821" s="21" t="s">
        <v>1053</v>
      </c>
      <c r="C2821" s="21" t="s">
        <v>1092</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1783</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1784</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1045</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1107</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1317</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1025</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1031</v>
      </c>
      <c r="B2828" s="21" t="s">
        <v>1071</v>
      </c>
      <c r="C2828" s="21" t="s">
        <v>1072</v>
      </c>
      <c r="D2828" s="21" t="s">
        <v>1011</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1022</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row>
    <row r="2831" spans="1:12">
      <c r="A2831" s="20" t="s">
        <v>1264</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1785</v>
      </c>
    </row>
    <row r="2833" spans="1:12">
      <c r="A2833" s="20" t="s">
        <v>1084</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917</v>
      </c>
      <c r="B2834" s="21" t="s">
        <v>1039</v>
      </c>
      <c r="C2834" s="21" t="s">
        <v>1040</v>
      </c>
      <c r="D2834" s="21" t="s">
        <v>1011</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1132</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1786</v>
      </c>
      <c r="B2836" s="21" t="s">
        <v>1021</v>
      </c>
      <c r="C2836" s="21" t="s">
        <v>1165</v>
      </c>
      <c r="D2836" s="21" t="s">
        <v>1011</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1045</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1025</v>
      </c>
      <c r="B2838" s="21" t="s">
        <v>1009</v>
      </c>
      <c r="C2838" s="21" t="s">
        <v>1026</v>
      </c>
      <c r="D2838" s="21" t="s">
        <v>1011</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1032</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1787</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1132</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1565</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1028</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1788</v>
      </c>
      <c r="B2844" s="21" t="s">
        <v>1088</v>
      </c>
      <c r="C2844" s="21" t="s">
        <v>1030</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1132</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1789</v>
      </c>
      <c r="B2846" s="21" t="s">
        <v>1021</v>
      </c>
      <c r="C2846" s="21" t="s">
        <v>1017</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12</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1042</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1140</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1368</v>
      </c>
      <c r="B2850" s="21" t="s">
        <v>1016</v>
      </c>
      <c r="C2850" s="21" t="s">
        <v>1322</v>
      </c>
      <c r="D2850" s="21" t="s">
        <v>1011</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1032</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1790</v>
      </c>
      <c r="B2852" s="21" t="s">
        <v>1053</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1045</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1042</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1791</v>
      </c>
      <c r="B2855" s="21" t="s">
        <v>1021</v>
      </c>
      <c r="C2855" s="21" t="s">
        <v>1044</v>
      </c>
      <c r="D2855" s="21" t="s">
        <v>1011</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12</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1052</v>
      </c>
      <c r="B2857" s="21" t="s">
        <v>1009</v>
      </c>
      <c r="C2857" s="21" t="s">
        <v>1010</v>
      </c>
      <c r="D2857" s="21" t="s">
        <v>1011</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1525</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1032</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1269</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1564</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1173</v>
      </c>
      <c r="B2862" s="21" t="s">
        <v>1088</v>
      </c>
      <c r="C2862" s="21" t="s">
        <v>1010</v>
      </c>
      <c r="D2862" s="21" t="s">
        <v>1011</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245</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1042</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374</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1368</v>
      </c>
      <c r="B2866" s="21" t="s">
        <v>1142</v>
      </c>
      <c r="C2866" s="21" t="s">
        <v>1322</v>
      </c>
      <c r="D2866" s="21" t="s">
        <v>1011</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1032</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1042</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1792</v>
      </c>
      <c r="B2869" s="21" t="s">
        <v>1091</v>
      </c>
      <c r="C2869" s="21" t="s">
        <v>1044</v>
      </c>
      <c r="D2869" s="21" t="s">
        <v>1011</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1022</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1269</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row>
    <row r="2873" spans="1:12">
      <c r="A2873" s="20" t="s">
        <v>1793</v>
      </c>
    </row>
    <row r="2874" spans="1:12">
      <c r="A2874" s="20" t="s">
        <v>1266</v>
      </c>
      <c r="B2874" s="21" t="s">
        <v>1009</v>
      </c>
      <c r="C2874" s="21" t="s">
        <v>1010</v>
      </c>
      <c r="D2874" s="21" t="s">
        <v>1011</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1045</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1496</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1132</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1028</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1747</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917</v>
      </c>
      <c r="B2880" s="21" t="s">
        <v>1071</v>
      </c>
      <c r="C2880" s="21" t="s">
        <v>1030</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1022</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row>
    <row r="2883" spans="1:12">
      <c r="A2883" s="20" t="s">
        <v>1794</v>
      </c>
    </row>
    <row r="2884" spans="1:12">
      <c r="A2884" s="20" t="s">
        <v>1135</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1075</v>
      </c>
      <c r="B2885" s="21" t="s">
        <v>1071</v>
      </c>
      <c r="C2885" s="21" t="s">
        <v>1017</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1032</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122</v>
      </c>
      <c r="B2887" s="21" t="s">
        <v>1009</v>
      </c>
      <c r="C2887" s="21" t="s">
        <v>1017</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1795</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1796</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1018</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1121</v>
      </c>
      <c r="B2891" s="21" t="s">
        <v>1071</v>
      </c>
      <c r="C2891" s="21" t="s">
        <v>1010</v>
      </c>
      <c r="D2891" s="21" t="s">
        <v>1011</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1127</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1028</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1593</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1037</v>
      </c>
      <c r="B2895" s="21" t="s">
        <v>1071</v>
      </c>
      <c r="C2895" s="21" t="s">
        <v>1030</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1032</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1234</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1239</v>
      </c>
      <c r="B2898" s="21" t="s">
        <v>1039</v>
      </c>
      <c r="C2898" s="21" t="s">
        <v>1010</v>
      </c>
      <c r="D2898" s="21" t="s">
        <v>1011</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1138</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1797</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1798</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1799</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1800</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1121</v>
      </c>
      <c r="B2904" s="21" t="s">
        <v>1175</v>
      </c>
      <c r="C2904" s="21" t="s">
        <v>1010</v>
      </c>
      <c r="D2904" s="21" t="s">
        <v>1011</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1147</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1038</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1254</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1107</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1032</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1020</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767</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1121</v>
      </c>
      <c r="B2912" s="21" t="s">
        <v>1053</v>
      </c>
      <c r="C2912" s="21" t="s">
        <v>1010</v>
      </c>
      <c r="D2912" s="21" t="s">
        <v>1011</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1173</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1422</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1042</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1801</v>
      </c>
      <c r="B2916" s="21" t="s">
        <v>1021</v>
      </c>
      <c r="C2916" s="21" t="s">
        <v>1044</v>
      </c>
      <c r="D2916" s="21" t="s">
        <v>1011</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1132</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1180</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1802</v>
      </c>
      <c r="B2919" s="21" t="s">
        <v>1091</v>
      </c>
      <c r="C2919" s="21" t="s">
        <v>1017</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1025</v>
      </c>
      <c r="B2920" s="21" t="s">
        <v>1803</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263</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1137</v>
      </c>
      <c r="B2922" s="21" t="s">
        <v>1109</v>
      </c>
      <c r="C2922" s="21" t="s">
        <v>1010</v>
      </c>
      <c r="D2922" s="21" t="s">
        <v>1011</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1179</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1798</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1020</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179</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1025</v>
      </c>
      <c r="B2927" s="21" t="s">
        <v>1115</v>
      </c>
      <c r="C2927" s="21" t="s">
        <v>1026</v>
      </c>
      <c r="D2927" s="21" t="s">
        <v>1011</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1032</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1804</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1032</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1186</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1042</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1726</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1181</v>
      </c>
      <c r="B2934" s="21" t="s">
        <v>1115</v>
      </c>
      <c r="C2934" s="21" t="s">
        <v>1044</v>
      </c>
      <c r="D2934" s="21" t="s">
        <v>1011</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1727</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1032</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1243</v>
      </c>
      <c r="B2937" s="21" t="s">
        <v>1805</v>
      </c>
      <c r="C2937" s="21" t="s">
        <v>1026</v>
      </c>
      <c r="D2937" s="21" t="s">
        <v>1011</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1806</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1434</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1121</v>
      </c>
      <c r="B2940" s="21" t="s">
        <v>1807</v>
      </c>
      <c r="C2940" s="21" t="s">
        <v>1010</v>
      </c>
      <c r="D2940" s="21" t="s">
        <v>1011</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1147</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1038</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1022</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row>
    <row r="2945" spans="1:12">
      <c r="A2945" s="20" t="s">
        <v>1808</v>
      </c>
    </row>
    <row r="2946" spans="1:12">
      <c r="A2946" s="20" t="s">
        <v>1024</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1033</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1137</v>
      </c>
      <c r="B2948" s="21" t="s">
        <v>1009</v>
      </c>
      <c r="C2948" s="21" t="s">
        <v>1010</v>
      </c>
      <c r="D2948" s="21" t="s">
        <v>1011</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1183</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1565</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1025</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374</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1368</v>
      </c>
      <c r="B2953" s="21" t="s">
        <v>1016</v>
      </c>
      <c r="C2953" s="21" t="s">
        <v>1092</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1032</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1137</v>
      </c>
      <c r="B2955" s="21" t="s">
        <v>1039</v>
      </c>
      <c r="C2955" s="21" t="s">
        <v>1010</v>
      </c>
      <c r="D2955" s="21" t="s">
        <v>1011</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90</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1809</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1810</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1616</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1811</v>
      </c>
      <c r="B2960" s="21" t="s">
        <v>1088</v>
      </c>
      <c r="C2960" s="21" t="s">
        <v>1017</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1022</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row>
    <row r="2963" spans="1:12">
      <c r="A2963" s="20" t="s">
        <v>1812</v>
      </c>
    </row>
    <row r="2964" spans="1:12">
      <c r="A2964" s="20" t="s">
        <v>1813</v>
      </c>
      <c r="B2964" s="21" t="s">
        <v>1009</v>
      </c>
      <c r="C2964" s="21" t="s">
        <v>1010</v>
      </c>
      <c r="D2964" s="21" t="s">
        <v>1011</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1201</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245</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1206</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1042</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1604</v>
      </c>
      <c r="B2969" s="21" t="s">
        <v>1048</v>
      </c>
      <c r="C2969" s="21" t="s">
        <v>1044</v>
      </c>
      <c r="D2969" s="21" t="s">
        <v>1011</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1032</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1020</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1137</v>
      </c>
      <c r="B2972" s="21" t="s">
        <v>1039</v>
      </c>
      <c r="C2972" s="21" t="s">
        <v>1010</v>
      </c>
      <c r="D2972" s="21" t="s">
        <v>1011</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1179</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1201</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582</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1190</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58</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1317</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1042</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1814</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1604</v>
      </c>
      <c r="B2981" s="21" t="s">
        <v>1088</v>
      </c>
      <c r="C2981" s="21" t="s">
        <v>1044</v>
      </c>
      <c r="D2981" s="21" t="s">
        <v>1011</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1227</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1015</v>
      </c>
      <c r="B2983" s="21" t="s">
        <v>1021</v>
      </c>
      <c r="C2983" s="21" t="s">
        <v>1017</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1173</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1815</v>
      </c>
      <c r="B2985" s="21" t="s">
        <v>1016</v>
      </c>
      <c r="C2985" s="21" t="s">
        <v>1040</v>
      </c>
      <c r="D2985" s="21" t="s">
        <v>1011</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1022</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row>
    <row r="2988" spans="1:12">
      <c r="A2988" s="20" t="s">
        <v>1816</v>
      </c>
    </row>
    <row r="2989" spans="1:12">
      <c r="A2989" s="20" t="s">
        <v>1124</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1787</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1132</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1817</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1018</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1128</v>
      </c>
      <c r="B2994" s="21" t="s">
        <v>1021</v>
      </c>
      <c r="C2994" s="21" t="s">
        <v>1010</v>
      </c>
      <c r="D2994" s="21" t="s">
        <v>1011</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1032</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1137</v>
      </c>
      <c r="B2996" s="21" t="s">
        <v>1039</v>
      </c>
      <c r="C2996" s="21" t="s">
        <v>1010</v>
      </c>
      <c r="D2996" s="21" t="s">
        <v>1011</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1139</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946</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1025</v>
      </c>
      <c r="B2999" s="21" t="s">
        <v>1088</v>
      </c>
      <c r="C2999" s="21" t="s">
        <v>1026</v>
      </c>
      <c r="D2999" s="21" t="s">
        <v>1011</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1032</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1121</v>
      </c>
      <c r="B3001" s="21" t="s">
        <v>1009</v>
      </c>
      <c r="C3001" s="21" t="s">
        <v>1010</v>
      </c>
      <c r="D3001" s="21" t="s">
        <v>1011</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1173</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1028</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1363</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1141</v>
      </c>
      <c r="B3005" s="21" t="s">
        <v>1071</v>
      </c>
      <c r="C3005" s="21" t="s">
        <v>1030</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1022</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row>
    <row r="3008" spans="1:12">
      <c r="A3008" s="20" t="s">
        <v>1818</v>
      </c>
    </row>
    <row r="3009" spans="1:12">
      <c r="A3009" s="20" t="s">
        <v>1266</v>
      </c>
      <c r="B3009" s="21" t="s">
        <v>1009</v>
      </c>
      <c r="C3009" s="21" t="s">
        <v>1010</v>
      </c>
      <c r="D3009" s="21" t="s">
        <v>1011</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1819</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1243</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1789</v>
      </c>
      <c r="B3012" s="21" t="s">
        <v>1048</v>
      </c>
      <c r="C3012" s="21" t="s">
        <v>1072</v>
      </c>
      <c r="D3012" s="21" t="s">
        <v>1011</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1190</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1121</v>
      </c>
      <c r="B3014" s="21" t="s">
        <v>1039</v>
      </c>
      <c r="C3014" s="21" t="s">
        <v>1010</v>
      </c>
      <c r="D3014" s="21" t="s">
        <v>1011</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1820</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1497</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1032</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767</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1121</v>
      </c>
      <c r="B3019" s="21" t="s">
        <v>1039</v>
      </c>
      <c r="C3019" s="21" t="s">
        <v>1010</v>
      </c>
      <c r="D3019" s="21" t="s">
        <v>1011</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1173</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1496</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1132</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1434</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1028</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1821</v>
      </c>
      <c r="B3025" s="21" t="s">
        <v>1071</v>
      </c>
      <c r="C3025" s="21" t="s">
        <v>1030</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1022</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row>
    <row r="3028" spans="1:12">
      <c r="A3028" s="20" t="s">
        <v>1822</v>
      </c>
    </row>
    <row r="3029" spans="1:12">
      <c r="A3029" s="20" t="s">
        <v>1813</v>
      </c>
      <c r="B3029" s="21" t="s">
        <v>1009</v>
      </c>
      <c r="C3029" s="21" t="s">
        <v>1010</v>
      </c>
      <c r="D3029" s="21" t="s">
        <v>1011</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179</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1121</v>
      </c>
      <c r="B3031" s="21" t="s">
        <v>1039</v>
      </c>
      <c r="C3031" s="21" t="s">
        <v>1010</v>
      </c>
      <c r="D3031" s="21" t="s">
        <v>1011</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1173</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1028</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1823</v>
      </c>
      <c r="B3034" s="21" t="s">
        <v>1071</v>
      </c>
      <c r="C3034" s="21" t="s">
        <v>1030</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1100</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1032</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1647</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1824</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1014</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1190</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1028</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1825</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1826</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1827</v>
      </c>
      <c r="B3044" s="21" t="s">
        <v>1021</v>
      </c>
      <c r="C3044" s="21" t="s">
        <v>1030</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1022</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row>
    <row r="3047" spans="1:12">
      <c r="A3047" s="20" t="s">
        <v>1828</v>
      </c>
    </row>
    <row r="3048" spans="1:12">
      <c r="A3048" s="20" t="s">
        <v>1135</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1606</v>
      </c>
      <c r="B3049" s="21" t="s">
        <v>1071</v>
      </c>
      <c r="C3049" s="21" t="s">
        <v>1017</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1132</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58</v>
      </c>
      <c r="B3051" s="21" t="s">
        <v>1016</v>
      </c>
      <c r="C3051" s="21" t="s">
        <v>1017</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1032</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1243</v>
      </c>
      <c r="B3053" s="21" t="s">
        <v>1009</v>
      </c>
      <c r="C3053" s="21" t="s">
        <v>1026</v>
      </c>
      <c r="D3053" s="21" t="s">
        <v>1011</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1248</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1829</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1042</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398</v>
      </c>
      <c r="B3057" s="21" t="s">
        <v>1048</v>
      </c>
      <c r="C3057" s="21" t="s">
        <v>1044</v>
      </c>
      <c r="D3057" s="21" t="s">
        <v>1011</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1022</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row>
    <row r="3060" spans="1:12">
      <c r="A3060" s="20" t="s">
        <v>1830</v>
      </c>
    </row>
    <row r="3061" spans="1:12">
      <c r="A3061" s="20" t="s">
        <v>1008</v>
      </c>
      <c r="B3061" s="21" t="s">
        <v>1009</v>
      </c>
      <c r="C3061" s="21" t="s">
        <v>1010</v>
      </c>
      <c r="D3061" s="21" t="s">
        <v>1011</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1168</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1329</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1028</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1831</v>
      </c>
      <c r="B3065" s="21" t="s">
        <v>1048</v>
      </c>
      <c r="C3065" s="21" t="s">
        <v>1030</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1414</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1132</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1028</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1832</v>
      </c>
      <c r="B3069" s="21" t="s">
        <v>1016</v>
      </c>
      <c r="C3069" s="21" t="s">
        <v>1030</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1074</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1833</v>
      </c>
      <c r="B3071" s="21" t="s">
        <v>1021</v>
      </c>
      <c r="C3071" s="21" t="s">
        <v>1165</v>
      </c>
      <c r="D3071" s="21" t="s">
        <v>1011</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1022</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row>
    <row r="3074" spans="1:12">
      <c r="A3074" s="20" t="s">
        <v>1834</v>
      </c>
    </row>
    <row r="3075" spans="1:12">
      <c r="A3075" s="20" t="s">
        <v>1282</v>
      </c>
      <c r="B3075" s="21" t="s">
        <v>1009</v>
      </c>
      <c r="C3075" s="21" t="s">
        <v>1026</v>
      </c>
      <c r="D3075" s="21" t="s">
        <v>1011</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1045</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1042</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1814</v>
      </c>
      <c r="B3078" s="21" t="s">
        <v>1071</v>
      </c>
      <c r="C3078" s="21" t="s">
        <v>1044</v>
      </c>
      <c r="D3078" s="21" t="s">
        <v>1011</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1032</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1042</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374</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1368</v>
      </c>
      <c r="B3082" s="21" t="s">
        <v>1071</v>
      </c>
      <c r="C3082" s="21" t="s">
        <v>1322</v>
      </c>
      <c r="D3082" s="21" t="s">
        <v>1011</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1032</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1231</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1239</v>
      </c>
      <c r="B3085" s="21" t="s">
        <v>1175</v>
      </c>
      <c r="C3085" s="21" t="s">
        <v>1010</v>
      </c>
      <c r="D3085" s="21" t="s">
        <v>1011</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1168</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1835</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1285</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1042</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1788</v>
      </c>
      <c r="B3090" s="21" t="s">
        <v>1142</v>
      </c>
      <c r="C3090" s="21" t="s">
        <v>1044</v>
      </c>
      <c r="D3090" s="21" t="s">
        <v>1011</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1239</v>
      </c>
      <c r="B3091" s="21" t="s">
        <v>1101</v>
      </c>
      <c r="C3091" s="21" t="s">
        <v>1010</v>
      </c>
      <c r="D3091" s="21" t="s">
        <v>1011</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245</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263</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1032</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767</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1121</v>
      </c>
      <c r="B3096" s="21" t="s">
        <v>1053</v>
      </c>
      <c r="C3096" s="21" t="s">
        <v>1010</v>
      </c>
      <c r="D3096" s="21" t="s">
        <v>1011</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1173</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1756</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1836</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1789</v>
      </c>
      <c r="B3100" s="21" t="s">
        <v>1091</v>
      </c>
      <c r="C3100" s="21" t="s">
        <v>1017</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1022</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row>
    <row r="3103" spans="1:12">
      <c r="A3103" s="20" t="s">
        <v>1837</v>
      </c>
    </row>
    <row r="3104" spans="1:12">
      <c r="A3104" s="20" t="s">
        <v>1350</v>
      </c>
      <c r="B3104" s="21" t="s">
        <v>1009</v>
      </c>
      <c r="C3104" s="21" t="s">
        <v>1026</v>
      </c>
      <c r="D3104" s="21" t="s">
        <v>1011</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1147</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550</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1042</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1838</v>
      </c>
      <c r="B3108" s="21" t="s">
        <v>1048</v>
      </c>
      <c r="C3108" s="21" t="s">
        <v>1165</v>
      </c>
      <c r="D3108" s="21" t="s">
        <v>1011</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1127</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1738</v>
      </c>
      <c r="B3110" s="21" t="s">
        <v>1071</v>
      </c>
      <c r="C3110" s="21" t="s">
        <v>1017</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1132</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1090</v>
      </c>
      <c r="B3112" s="21" t="s">
        <v>1016</v>
      </c>
      <c r="C3112" s="21" t="s">
        <v>1017</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1022</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row>
    <row r="3115" spans="1:12">
      <c r="A3115" s="20" t="s">
        <v>1839</v>
      </c>
    </row>
    <row r="3116" spans="1:12">
      <c r="A3116" s="20" t="s">
        <v>1024</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1116</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1145</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1840</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1841</v>
      </c>
      <c r="B3120" s="21" t="s">
        <v>1088</v>
      </c>
      <c r="C3120" s="21" t="s">
        <v>1017</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1074</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1303</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1842</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1843</v>
      </c>
      <c r="B3124" s="21" t="s">
        <v>1016</v>
      </c>
      <c r="C3124" s="21" t="s">
        <v>1030</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1032</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1137</v>
      </c>
      <c r="B3126" s="21" t="s">
        <v>1009</v>
      </c>
      <c r="C3126" s="21" t="s">
        <v>1010</v>
      </c>
      <c r="D3126" s="21" t="s">
        <v>1011</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1844</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90</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1108</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58</v>
      </c>
      <c r="B3130" s="21" t="s">
        <v>1048</v>
      </c>
      <c r="C3130" s="21" t="s">
        <v>1017</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1127</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1042</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1845</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1846</v>
      </c>
      <c r="B3134" s="21" t="s">
        <v>1016</v>
      </c>
      <c r="C3134" s="21" t="s">
        <v>1044</v>
      </c>
      <c r="D3134" s="21" t="s">
        <v>1011</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1132</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1042</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1847</v>
      </c>
      <c r="B3137" s="21" t="s">
        <v>1021</v>
      </c>
      <c r="C3137" s="21" t="s">
        <v>1044</v>
      </c>
      <c r="D3137" s="21" t="s">
        <v>1011</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1132</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1042</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1082</v>
      </c>
      <c r="B3140" s="21" t="s">
        <v>1091</v>
      </c>
      <c r="C3140" s="21" t="s">
        <v>1044</v>
      </c>
      <c r="D3140" s="21" t="s">
        <v>1011</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1022</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row>
    <row r="3143" spans="1:12">
      <c r="A3143" s="20" t="s">
        <v>1848</v>
      </c>
    </row>
    <row r="3144" spans="1:12">
      <c r="A3144" s="20" t="s">
        <v>1124</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1032</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1137</v>
      </c>
      <c r="B3146" s="21" t="s">
        <v>1009</v>
      </c>
      <c r="C3146" s="21" t="s">
        <v>1010</v>
      </c>
      <c r="D3146" s="21" t="s">
        <v>1011</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557</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1032</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1121</v>
      </c>
      <c r="B3149" s="21" t="s">
        <v>1039</v>
      </c>
      <c r="C3149" s="21" t="s">
        <v>1010</v>
      </c>
      <c r="D3149" s="21" t="s">
        <v>1011</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1173</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1329</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1735</v>
      </c>
      <c r="B3152" s="21" t="s">
        <v>1088</v>
      </c>
      <c r="C3152" s="21" t="s">
        <v>1017</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1132</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1562</v>
      </c>
      <c r="B3154" s="21" t="s">
        <v>1021</v>
      </c>
      <c r="C3154" s="21" t="s">
        <v>1017</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1849</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1032</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1234</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1121</v>
      </c>
      <c r="B3158" s="21" t="s">
        <v>1039</v>
      </c>
      <c r="C3158" s="21" t="s">
        <v>1010</v>
      </c>
      <c r="D3158" s="21" t="s">
        <v>1011</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1045</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1303</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1684</v>
      </c>
      <c r="B3161" s="21" t="s">
        <v>1071</v>
      </c>
      <c r="C3161" s="21" t="s">
        <v>1030</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1132</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1042</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1089</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1738</v>
      </c>
      <c r="B3165" s="21" t="s">
        <v>1016</v>
      </c>
      <c r="C3165" s="21" t="s">
        <v>1044</v>
      </c>
      <c r="D3165" s="21" t="s">
        <v>1011</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1020</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1738</v>
      </c>
      <c r="B3167" s="21" t="s">
        <v>1021</v>
      </c>
      <c r="C3167" s="21" t="s">
        <v>1017</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1132</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1782</v>
      </c>
      <c r="B3169" s="21" t="s">
        <v>1021</v>
      </c>
      <c r="C3169" s="21" t="s">
        <v>1017</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1025</v>
      </c>
      <c r="B3170" s="21" t="s">
        <v>1051</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1052</v>
      </c>
      <c r="B3171" s="21" t="s">
        <v>1053</v>
      </c>
      <c r="C3171" s="21" t="s">
        <v>1010</v>
      </c>
      <c r="D3171" s="21" t="s">
        <v>1011</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259</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1014</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1850</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1725</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1022</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row>
    <row r="3178" spans="1:12">
      <c r="A3178" s="20" t="s">
        <v>1851</v>
      </c>
    </row>
    <row r="3179" spans="1:12">
      <c r="A3179" s="20" t="s">
        <v>1124</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66</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1173</v>
      </c>
      <c r="B3181" s="21" t="s">
        <v>1048</v>
      </c>
      <c r="C3181" s="21" t="s">
        <v>1010</v>
      </c>
      <c r="D3181" s="21" t="s">
        <v>1011</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296</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1099</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row>
    <row r="3185" spans="1:12">
      <c r="A3185" s="20" t="s">
        <v>1852</v>
      </c>
    </row>
    <row r="3186" spans="1:12">
      <c r="A3186" s="20" t="s">
        <v>1506</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1590</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1052</v>
      </c>
      <c r="B3188" s="21" t="s">
        <v>1009</v>
      </c>
      <c r="C3188" s="21" t="s">
        <v>1010</v>
      </c>
      <c r="D3188" s="21" t="s">
        <v>1011</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564</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1853</v>
      </c>
      <c r="B3190" s="21" t="s">
        <v>1048</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1251</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row>
    <row r="3193" spans="1:12">
      <c r="A3193" s="20" t="s">
        <v>1854</v>
      </c>
    </row>
    <row r="3194" spans="1:12">
      <c r="A3194" s="20" t="s">
        <v>1569</v>
      </c>
      <c r="B3194" s="21" t="s">
        <v>1048</v>
      </c>
      <c r="C3194" s="21" t="s">
        <v>1230</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1590</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1855</v>
      </c>
      <c r="B3196" s="21" t="s">
        <v>1016</v>
      </c>
      <c r="C3196" s="21" t="s">
        <v>1035</v>
      </c>
      <c r="D3196" s="21" t="s">
        <v>1011</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921</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1856</v>
      </c>
      <c r="B3198" s="21" t="s">
        <v>1009</v>
      </c>
      <c r="C3198" s="21" t="s">
        <v>1040</v>
      </c>
      <c r="D3198" s="21" t="s">
        <v>1011</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479</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1434</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1251</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row>
    <row r="3203" spans="1:12">
      <c r="A3203" s="20" t="s">
        <v>1857</v>
      </c>
    </row>
    <row r="3204" spans="1:12">
      <c r="A3204" s="20" t="s">
        <v>1734</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1032</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66</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1173</v>
      </c>
      <c r="B3207" s="21" t="s">
        <v>1048</v>
      </c>
      <c r="C3207" s="21" t="s">
        <v>1010</v>
      </c>
      <c r="D3207" s="21" t="s">
        <v>1011</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13</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1285</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1014</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1231</v>
      </c>
      <c r="B3211" s="21" t="s">
        <v>1016</v>
      </c>
      <c r="C3211" s="21" t="s">
        <v>1230</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1052</v>
      </c>
      <c r="B3212" s="21" t="s">
        <v>1053</v>
      </c>
      <c r="C3212" s="21" t="s">
        <v>1010</v>
      </c>
      <c r="D3212" s="21" t="s">
        <v>1011</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1248</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259</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1014</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142</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1032</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1020</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1631</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479</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1041</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1042</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1858</v>
      </c>
      <c r="B3223" s="21" t="s">
        <v>1016</v>
      </c>
      <c r="C3223" s="21" t="s">
        <v>1044</v>
      </c>
      <c r="D3223" s="21" t="s">
        <v>1011</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1022</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row>
    <row r="3226" spans="1:12">
      <c r="A3226" s="20" t="s">
        <v>1859</v>
      </c>
    </row>
    <row r="3227" spans="1:12">
      <c r="A3227" s="20" t="s">
        <v>1294</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1860</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1032</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1137</v>
      </c>
      <c r="B3230" s="21" t="s">
        <v>1009</v>
      </c>
      <c r="C3230" s="21" t="s">
        <v>1010</v>
      </c>
      <c r="D3230" s="21" t="s">
        <v>1011</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1168</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1861</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1089</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122</v>
      </c>
      <c r="B3234" s="21" t="s">
        <v>1039</v>
      </c>
      <c r="C3234" s="21" t="s">
        <v>1092</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519</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1018</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1243</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309</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1368</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1442</v>
      </c>
      <c r="B3240" s="21" t="s">
        <v>1016</v>
      </c>
      <c r="C3240" s="21" t="s">
        <v>1072</v>
      </c>
      <c r="D3240" s="21" t="s">
        <v>1011</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1022</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row>
    <row r="3243" spans="1:12">
      <c r="A3243" s="20" t="s">
        <v>1862</v>
      </c>
    </row>
    <row r="3244" spans="1:12">
      <c r="A3244" s="20" t="s">
        <v>1350</v>
      </c>
      <c r="B3244" s="21" t="s">
        <v>1009</v>
      </c>
      <c r="C3244" s="21" t="s">
        <v>1026</v>
      </c>
      <c r="D3244" s="21" t="s">
        <v>1011</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1248</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1045</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1133</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1069</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1032</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1025</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1052</v>
      </c>
      <c r="B3251" s="21" t="s">
        <v>1039</v>
      </c>
      <c r="C3251" s="21" t="s">
        <v>1010</v>
      </c>
      <c r="D3251" s="21" t="s">
        <v>1011</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142</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1100</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1022</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row>
    <row r="3256" spans="1:12">
      <c r="A3256" s="20" t="s">
        <v>1863</v>
      </c>
    </row>
    <row r="3257" spans="1:12">
      <c r="A3257" s="20" t="s">
        <v>1024</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1025</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93</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1368</v>
      </c>
      <c r="B3260" s="21" t="s">
        <v>1009</v>
      </c>
      <c r="C3260" s="21" t="s">
        <v>1072</v>
      </c>
      <c r="D3260" s="21" t="s">
        <v>1011</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1103</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82</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1628</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1206</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1145</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1050</v>
      </c>
      <c r="B3266" s="21" t="s">
        <v>1071</v>
      </c>
      <c r="C3266" s="21" t="s">
        <v>1017</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1013</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1081</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1074</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1298</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1299</v>
      </c>
      <c r="B3271" s="21" t="s">
        <v>1021</v>
      </c>
      <c r="C3271" s="21" t="s">
        <v>1017</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12</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1864</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1211</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1865</v>
      </c>
      <c r="B3275" s="21" t="s">
        <v>1048</v>
      </c>
      <c r="C3275" s="21" t="s">
        <v>1092</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1073</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1866</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1032</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1052</v>
      </c>
      <c r="B3279" s="21" t="s">
        <v>1039</v>
      </c>
      <c r="C3279" s="21" t="s">
        <v>1010</v>
      </c>
      <c r="D3279" s="21" t="s">
        <v>1011</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1103</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90</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1867</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1206</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1868</v>
      </c>
      <c r="B3284" s="21" t="s">
        <v>1016</v>
      </c>
      <c r="C3284" s="21" t="s">
        <v>1017</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1032</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1869</v>
      </c>
      <c r="B3286" s="21" t="s">
        <v>1021</v>
      </c>
      <c r="C3286" s="21" t="s">
        <v>1017</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1022</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row>
    <row r="3289" spans="1:12">
      <c r="A3289" s="20" t="s">
        <v>1870</v>
      </c>
    </row>
    <row r="3290" spans="1:12">
      <c r="A3290" s="20" t="s">
        <v>1124</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1032</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1014</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142</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1014</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1025</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309</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1368</v>
      </c>
      <c r="B3297" s="21" t="s">
        <v>1071</v>
      </c>
      <c r="C3297" s="21" t="s">
        <v>1072</v>
      </c>
      <c r="D3297" s="21" t="s">
        <v>1011</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1032</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1042</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1871</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1299</v>
      </c>
      <c r="B3301" s="21" t="s">
        <v>1009</v>
      </c>
      <c r="C3301" s="21" t="s">
        <v>1044</v>
      </c>
      <c r="D3301" s="21" t="s">
        <v>1011</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1032</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1755</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1299</v>
      </c>
      <c r="B3304" s="21" t="s">
        <v>1016</v>
      </c>
      <c r="C3304" s="21" t="s">
        <v>1017</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1434</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1872</v>
      </c>
      <c r="B3306" s="21" t="s">
        <v>1021</v>
      </c>
      <c r="C3306" s="21" t="s">
        <v>1165</v>
      </c>
      <c r="D3306" s="21" t="s">
        <v>1011</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1032</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1103</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90</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1795</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1014</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1873</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1093</v>
      </c>
      <c r="B3313" s="21" t="s">
        <v>1021</v>
      </c>
      <c r="C3313" s="21" t="s">
        <v>1035</v>
      </c>
      <c r="D3313" s="21" t="s">
        <v>1011</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1172</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1874</v>
      </c>
      <c r="B3315" s="21" t="s">
        <v>1088</v>
      </c>
      <c r="C3315" s="21" t="s">
        <v>1040</v>
      </c>
      <c r="D3315" s="21" t="s">
        <v>1011</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1875</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1022</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row>
    <row r="3319" spans="1:12">
      <c r="A3319" s="20" t="s">
        <v>1876</v>
      </c>
    </row>
    <row r="3320" spans="1:12">
      <c r="A3320" s="20" t="s">
        <v>1084</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1071</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1877</v>
      </c>
      <c r="B3322" s="21" t="s">
        <v>1009</v>
      </c>
      <c r="C3322" s="21" t="s">
        <v>1878</v>
      </c>
      <c r="D3322" s="21" t="s">
        <v>1011</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1045</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1099</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1879</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1052</v>
      </c>
      <c r="B3326" s="21" t="s">
        <v>1009</v>
      </c>
      <c r="C3326" s="21" t="s">
        <v>1010</v>
      </c>
      <c r="D3326" s="21" t="s">
        <v>1011</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1880</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1243</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1881</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1688</v>
      </c>
      <c r="B3330" s="21" t="s">
        <v>1048</v>
      </c>
      <c r="C3330" s="21" t="s">
        <v>1072</v>
      </c>
      <c r="D3330" s="21" t="s">
        <v>1011</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1032</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90</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1052</v>
      </c>
      <c r="B3333" s="21" t="s">
        <v>1039</v>
      </c>
      <c r="C3333" s="21" t="s">
        <v>1010</v>
      </c>
      <c r="D3333" s="21" t="s">
        <v>1011</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1882</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1121</v>
      </c>
      <c r="B3335" s="21" t="s">
        <v>1088</v>
      </c>
      <c r="C3335" s="21" t="s">
        <v>1010</v>
      </c>
      <c r="D3335" s="21" t="s">
        <v>1011</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1074</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1317</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1042</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1871</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1299</v>
      </c>
      <c r="B3340" s="21" t="s">
        <v>1016</v>
      </c>
      <c r="C3340" s="21" t="s">
        <v>1044</v>
      </c>
      <c r="D3340" s="21" t="s">
        <v>1011</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1020</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1067</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1074</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1042</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1843</v>
      </c>
      <c r="B3345" s="21" t="s">
        <v>1016</v>
      </c>
      <c r="C3345" s="21" t="s">
        <v>1044</v>
      </c>
      <c r="D3345" s="21" t="s">
        <v>1011</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1132</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1085</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1121</v>
      </c>
      <c r="B3348" s="21" t="s">
        <v>1051</v>
      </c>
      <c r="C3348" s="21" t="s">
        <v>1010</v>
      </c>
      <c r="D3348" s="21" t="s">
        <v>1011</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1692</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1251</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row>
    <row r="3352" spans="1:12">
      <c r="A3352" s="20" t="s">
        <v>1883</v>
      </c>
    </row>
    <row r="3353" spans="1:12">
      <c r="A3353" s="20" t="s">
        <v>1350</v>
      </c>
      <c r="B3353" s="21" t="s">
        <v>1009</v>
      </c>
      <c r="C3353" s="21" t="s">
        <v>1026</v>
      </c>
      <c r="D3353" s="21" t="s">
        <v>1011</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1173</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1884</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1069</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1022</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row>
    <row r="3359" spans="1:12">
      <c r="A3359" s="20" t="s">
        <v>1885</v>
      </c>
    </row>
    <row r="3360" spans="1:12">
      <c r="A3360" s="20" t="s">
        <v>1350</v>
      </c>
      <c r="B3360" s="21" t="s">
        <v>1009</v>
      </c>
      <c r="C3360" s="21" t="s">
        <v>1026</v>
      </c>
      <c r="D3360" s="21" t="s">
        <v>1011</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1173</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1028</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1452</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1886</v>
      </c>
      <c r="B3364" s="21" t="s">
        <v>1071</v>
      </c>
      <c r="C3364" s="21" t="s">
        <v>1030</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1132</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1192</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1025</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921</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1856</v>
      </c>
      <c r="B3369" s="21" t="s">
        <v>1088</v>
      </c>
      <c r="C3369" s="21" t="s">
        <v>1072</v>
      </c>
      <c r="D3369" s="21" t="s">
        <v>1011</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1022</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row>
    <row r="3372" spans="1:12">
      <c r="A3372" s="20" t="s">
        <v>1887</v>
      </c>
    </row>
    <row r="3373" spans="1:12">
      <c r="A3373" s="20" t="s">
        <v>1888</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1206</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1227</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1100</v>
      </c>
      <c r="B3376" s="21" t="s">
        <v>1016</v>
      </c>
      <c r="C3376" s="21" t="s">
        <v>1889</v>
      </c>
      <c r="D3376" s="21" t="s">
        <v>1011</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1032</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1229</v>
      </c>
      <c r="B3378" s="21" t="s">
        <v>1071</v>
      </c>
      <c r="C3378" s="21" t="s">
        <v>1230</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1590</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1042</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1890</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921</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1856</v>
      </c>
      <c r="B3383" s="21" t="s">
        <v>1009</v>
      </c>
      <c r="C3383" s="21" t="s">
        <v>1322</v>
      </c>
      <c r="D3383" s="21" t="s">
        <v>1011</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479</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1434</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1251</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row>
    <row r="3388" spans="1:12">
      <c r="A3388" s="20" t="s">
        <v>1891</v>
      </c>
    </row>
    <row r="3389" spans="1:12">
      <c r="A3389" s="20" t="s">
        <v>1734</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1032</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1892</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1032</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1121</v>
      </c>
      <c r="B3393" s="21" t="s">
        <v>1009</v>
      </c>
      <c r="C3393" s="21" t="s">
        <v>1010</v>
      </c>
      <c r="D3393" s="21" t="s">
        <v>1011</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1590</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90</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1042</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1058</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1893</v>
      </c>
      <c r="B3398" s="21" t="s">
        <v>1048</v>
      </c>
      <c r="C3398" s="21" t="s">
        <v>1322</v>
      </c>
      <c r="D3398" s="21" t="s">
        <v>1011</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1022</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row>
    <row r="3401" spans="1:12">
      <c r="A3401" s="20" t="s">
        <v>1894</v>
      </c>
    </row>
    <row r="3402" spans="1:12">
      <c r="A3402" s="20" t="s">
        <v>1270</v>
      </c>
      <c r="B3402" s="21" t="s">
        <v>1009</v>
      </c>
      <c r="C3402" s="21" t="s">
        <v>1010</v>
      </c>
      <c r="D3402" s="21" t="s">
        <v>1011</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1590</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13</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1422</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1070</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215</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1895</v>
      </c>
      <c r="B3408" s="21" t="s">
        <v>1071</v>
      </c>
      <c r="C3408" s="21" t="s">
        <v>1072</v>
      </c>
      <c r="D3408" s="21" t="s">
        <v>1011</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1014</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763</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1085</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1896</v>
      </c>
      <c r="B3412" s="21" t="s">
        <v>1142</v>
      </c>
      <c r="C3412" s="21" t="s">
        <v>1017</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1099</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row>
    <row r="3415" spans="1:12">
      <c r="A3415" s="20" t="s">
        <v>1897</v>
      </c>
    </row>
    <row r="3416" spans="1:12">
      <c r="A3416" s="20" t="s">
        <v>1084</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1300</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1052</v>
      </c>
      <c r="B3418" s="21" t="s">
        <v>1175</v>
      </c>
      <c r="C3418" s="21" t="s">
        <v>1010</v>
      </c>
      <c r="D3418" s="21" t="s">
        <v>1011</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1898</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1032</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1042</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1300</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1025</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1205</v>
      </c>
      <c r="B3424" s="21" t="s">
        <v>1009</v>
      </c>
      <c r="C3424" s="21" t="s">
        <v>1072</v>
      </c>
      <c r="D3424" s="21" t="s">
        <v>1011</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1103</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82</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1132</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1197</v>
      </c>
      <c r="B3428" s="21" t="s">
        <v>1071</v>
      </c>
      <c r="C3428" s="21" t="s">
        <v>1017</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1032</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1020</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1899</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1032</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1042</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1300</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1042</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1209</v>
      </c>
      <c r="B3436" s="21" t="s">
        <v>1071</v>
      </c>
      <c r="C3436" s="21" t="s">
        <v>1044</v>
      </c>
      <c r="D3436" s="21" t="s">
        <v>1011</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1022</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row>
    <row r="3439" spans="1:12">
      <c r="A3439" s="20" t="s">
        <v>1900</v>
      </c>
    </row>
    <row r="3440" spans="1:12">
      <c r="A3440" s="20" t="s">
        <v>1066</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1074</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1211</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1110</v>
      </c>
      <c r="B3443" s="21" t="s">
        <v>1071</v>
      </c>
      <c r="C3443" s="21" t="s">
        <v>1092</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1032</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1042</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1877</v>
      </c>
      <c r="B3446" s="21" t="s">
        <v>1016</v>
      </c>
      <c r="C3446" s="21" t="s">
        <v>1044</v>
      </c>
      <c r="D3446" s="21" t="s">
        <v>1011</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1052</v>
      </c>
      <c r="B3447" s="21" t="s">
        <v>1053</v>
      </c>
      <c r="C3447" s="21" t="s">
        <v>1010</v>
      </c>
      <c r="D3447" s="21" t="s">
        <v>1011</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142</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1100</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1032</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1421</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1050</v>
      </c>
      <c r="B3452" s="21" t="s">
        <v>1051</v>
      </c>
      <c r="C3452" s="21" t="s">
        <v>1017</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1025</v>
      </c>
      <c r="B3453" s="21" t="s">
        <v>1109</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388</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1097</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142</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1732</v>
      </c>
      <c r="B3457" s="21" t="s">
        <v>1803</v>
      </c>
      <c r="C3457" s="21" t="s">
        <v>1010</v>
      </c>
      <c r="D3457" s="21" t="s">
        <v>1011</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1317</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1042</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1321</v>
      </c>
      <c r="B3460" s="21" t="s">
        <v>1803</v>
      </c>
      <c r="C3460" s="21" t="s">
        <v>1044</v>
      </c>
      <c r="D3460" s="21" t="s">
        <v>1011</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1014</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1042</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1262</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1896</v>
      </c>
      <c r="B3464" s="21" t="s">
        <v>1111</v>
      </c>
      <c r="C3464" s="21" t="s">
        <v>1044</v>
      </c>
      <c r="D3464" s="21" t="s">
        <v>1011</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1032</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1045</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1313</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1901</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1032</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1254</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1449</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1166</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1902</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1300</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1032</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1069</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1077</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1042</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1071</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1032</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1790</v>
      </c>
      <c r="B3481" s="21" t="s">
        <v>1039</v>
      </c>
      <c r="C3481" s="21" t="s">
        <v>1230</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1045</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1042</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984</v>
      </c>
      <c r="B3484" s="21" t="s">
        <v>1071</v>
      </c>
      <c r="C3484" s="21" t="s">
        <v>1044</v>
      </c>
      <c r="D3484" s="21" t="s">
        <v>1011</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1132</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1903</v>
      </c>
      <c r="B3486" s="21" t="s">
        <v>1016</v>
      </c>
      <c r="C3486" s="21" t="s">
        <v>1017</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1081</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1070</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1904</v>
      </c>
      <c r="B3489" s="21" t="s">
        <v>1016</v>
      </c>
      <c r="C3489" s="21" t="s">
        <v>1072</v>
      </c>
      <c r="D3489" s="21" t="s">
        <v>1011</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1022</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row>
    <row r="3492" spans="1:12">
      <c r="A3492" s="20" t="s">
        <v>1905</v>
      </c>
    </row>
    <row r="3493" spans="1:12">
      <c r="A3493" s="20" t="s">
        <v>1383</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1904</v>
      </c>
      <c r="B3494" s="21" t="s">
        <v>1071</v>
      </c>
      <c r="C3494" s="21" t="s">
        <v>1072</v>
      </c>
      <c r="D3494" s="21" t="s">
        <v>1011</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1032</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1052</v>
      </c>
      <c r="B3496" s="21" t="s">
        <v>1039</v>
      </c>
      <c r="C3496" s="21" t="s">
        <v>1010</v>
      </c>
      <c r="D3496" s="21" t="s">
        <v>1011</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259</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1014</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1850</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1238</v>
      </c>
      <c r="B3500" s="21" t="s">
        <v>1142</v>
      </c>
      <c r="C3500" s="21" t="s">
        <v>1026</v>
      </c>
      <c r="D3500" s="21" t="s">
        <v>1011</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1041</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1036</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1501</v>
      </c>
      <c r="B3503" s="21" t="s">
        <v>1021</v>
      </c>
      <c r="C3503" s="21" t="s">
        <v>1017</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1032</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1020</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1052</v>
      </c>
      <c r="B3506" s="21" t="s">
        <v>1175</v>
      </c>
      <c r="C3506" s="21" t="s">
        <v>1010</v>
      </c>
      <c r="D3506" s="21" t="s">
        <v>1011</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1179</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564</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1025</v>
      </c>
      <c r="B3509" s="21" t="s">
        <v>1142</v>
      </c>
      <c r="C3509" s="21" t="s">
        <v>1026</v>
      </c>
      <c r="D3509" s="21" t="s">
        <v>1011</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1074</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1606</v>
      </c>
      <c r="B3511" s="21" t="s">
        <v>1021</v>
      </c>
      <c r="C3511" s="21" t="s">
        <v>1017</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1132</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1736</v>
      </c>
      <c r="B3513" s="21" t="s">
        <v>1091</v>
      </c>
      <c r="C3513" s="21" t="s">
        <v>1017</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1032</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1582</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1906</v>
      </c>
      <c r="B3516" s="21" t="s">
        <v>1094</v>
      </c>
      <c r="C3516" s="21" t="s">
        <v>1017</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1032</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1907</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1050</v>
      </c>
      <c r="B3519" s="21" t="s">
        <v>1091</v>
      </c>
      <c r="C3519" s="21" t="s">
        <v>1017</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1025</v>
      </c>
      <c r="B3520" s="21" t="s">
        <v>1109</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90</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1310</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1908</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1022</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row>
    <row r="3526" spans="1:12">
      <c r="A3526" s="20" t="s">
        <v>1909</v>
      </c>
    </row>
    <row r="3527" spans="1:12">
      <c r="A3527" s="20" t="s">
        <v>1433</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1173</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1028</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1286</v>
      </c>
      <c r="B3530" s="21" t="s">
        <v>1009</v>
      </c>
      <c r="C3530" s="21" t="s">
        <v>1030</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1132</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1363</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1910</v>
      </c>
      <c r="B3533" s="21" t="s">
        <v>1016</v>
      </c>
      <c r="C3533" s="21" t="s">
        <v>1017</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1025</v>
      </c>
      <c r="B3534" s="21" t="s">
        <v>1053</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90</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1310</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1911</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1018</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1243</v>
      </c>
      <c r="B3539" s="21" t="s">
        <v>1091</v>
      </c>
      <c r="C3539" s="21" t="s">
        <v>1026</v>
      </c>
      <c r="D3539" s="21" t="s">
        <v>1011</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1022</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row>
    <row r="3542" spans="1:12">
      <c r="A3542" s="20" t="s">
        <v>1264</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1912</v>
      </c>
    </row>
    <row r="3544" spans="1:12">
      <c r="A3544" s="20" t="s">
        <v>1084</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1913</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1914</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625</v>
      </c>
      <c r="B3547" s="21" t="s">
        <v>1071</v>
      </c>
      <c r="C3547" s="21" t="s">
        <v>1044</v>
      </c>
      <c r="D3547" s="21" t="s">
        <v>1011</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1032</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1269</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1915</v>
      </c>
      <c r="B3550" s="21" t="s">
        <v>1016</v>
      </c>
      <c r="C3550" s="21" t="s">
        <v>1035</v>
      </c>
      <c r="D3550" s="21" t="s">
        <v>1011</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1916</v>
      </c>
      <c r="B3551" s="21" t="s">
        <v>1071</v>
      </c>
      <c r="C3551" s="21" t="s">
        <v>1040</v>
      </c>
      <c r="D3551" s="21" t="s">
        <v>1011</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1032</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1269</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1020</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1042</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1917</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1918</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625</v>
      </c>
      <c r="B3558" s="21" t="s">
        <v>1071</v>
      </c>
      <c r="C3558" s="21" t="s">
        <v>1044</v>
      </c>
      <c r="D3558" s="21" t="s">
        <v>1011</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1032</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1269</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1919</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1920</v>
      </c>
      <c r="B3562" s="21" t="s">
        <v>1071</v>
      </c>
      <c r="C3562" s="21" t="s">
        <v>1165</v>
      </c>
      <c r="D3562" s="21" t="s">
        <v>1011</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1921</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1042</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1922</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1923</v>
      </c>
      <c r="B3566" s="21" t="s">
        <v>1016</v>
      </c>
      <c r="C3566" s="21" t="s">
        <v>1165</v>
      </c>
      <c r="D3566" s="21" t="s">
        <v>1011</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1022</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1269</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row>
    <row r="3570" spans="1:12">
      <c r="A3570" s="20" t="s">
        <v>1924</v>
      </c>
    </row>
    <row r="3571" spans="1:12">
      <c r="A3571" s="20" t="s">
        <v>1746</v>
      </c>
      <c r="B3571" s="21" t="s">
        <v>1009</v>
      </c>
      <c r="C3571" s="21" t="s">
        <v>1010</v>
      </c>
      <c r="D3571" s="21" t="s">
        <v>1011</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1248</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13</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1422</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1121</v>
      </c>
      <c r="B3575" s="21" t="s">
        <v>1071</v>
      </c>
      <c r="C3575" s="21" t="s">
        <v>1010</v>
      </c>
      <c r="D3575" s="21" t="s">
        <v>1011</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1020</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1470</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1028</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1925</v>
      </c>
      <c r="B3579" s="21" t="s">
        <v>1088</v>
      </c>
      <c r="C3579" s="21" t="s">
        <v>1030</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1025</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1243</v>
      </c>
      <c r="B3581" s="21" t="s">
        <v>1053</v>
      </c>
      <c r="C3581" s="21" t="s">
        <v>1026</v>
      </c>
      <c r="D3581" s="21" t="s">
        <v>1011</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1179</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82</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1926</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1927</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1032</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1033</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1052</v>
      </c>
      <c r="B3588" s="21" t="s">
        <v>1039</v>
      </c>
      <c r="C3588" s="21" t="s">
        <v>1010</v>
      </c>
      <c r="D3588" s="21" t="s">
        <v>1011</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259</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1928</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1771</v>
      </c>
      <c r="B3591" s="21" t="s">
        <v>1088</v>
      </c>
      <c r="C3591" s="21" t="s">
        <v>1017</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1127</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1243</v>
      </c>
      <c r="B3593" s="21" t="s">
        <v>1016</v>
      </c>
      <c r="C3593" s="21" t="s">
        <v>1026</v>
      </c>
      <c r="D3593" s="21" t="s">
        <v>1011</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1022</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row>
    <row r="3596" spans="1:12">
      <c r="A3596" s="20" t="s">
        <v>1929</v>
      </c>
    </row>
    <row r="3597" spans="1:12">
      <c r="A3597" s="20" t="s">
        <v>1433</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1173</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1028</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1286</v>
      </c>
      <c r="B3600" s="21" t="s">
        <v>1009</v>
      </c>
      <c r="C3600" s="21" t="s">
        <v>1030</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1025</v>
      </c>
      <c r="B3601" s="21" t="s">
        <v>1175</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1150</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1014</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50</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1645</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1022</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row>
    <row r="3608" spans="1:12">
      <c r="A3608" s="20" t="s">
        <v>1930</v>
      </c>
    </row>
    <row r="3609" spans="1:12">
      <c r="A3609" s="20" t="s">
        <v>1124</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1243</v>
      </c>
      <c r="B3610" s="21" t="s">
        <v>1009</v>
      </c>
      <c r="C3610" s="21" t="s">
        <v>1026</v>
      </c>
      <c r="D3610" s="21" t="s">
        <v>1011</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1045</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1028</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1931</v>
      </c>
      <c r="B3613" s="21" t="s">
        <v>1071</v>
      </c>
      <c r="C3613" s="21" t="s">
        <v>1030</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1022</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row>
    <row r="3616" spans="1:12">
      <c r="A3616" s="20" t="s">
        <v>1932</v>
      </c>
    </row>
    <row r="3617" spans="1:12">
      <c r="A3617" s="20" t="s">
        <v>1266</v>
      </c>
      <c r="B3617" s="21" t="s">
        <v>1009</v>
      </c>
      <c r="C3617" s="21" t="s">
        <v>1010</v>
      </c>
      <c r="D3617" s="21" t="s">
        <v>1011</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1173</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1028</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1133</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1933</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1931</v>
      </c>
      <c r="B3622" s="21" t="s">
        <v>1071</v>
      </c>
      <c r="C3622" s="21" t="s">
        <v>1030</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1025</v>
      </c>
      <c r="B3623" s="21" t="s">
        <v>1088</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1052</v>
      </c>
      <c r="B3624" s="21" t="s">
        <v>1039</v>
      </c>
      <c r="C3624" s="21" t="s">
        <v>1010</v>
      </c>
      <c r="D3624" s="21" t="s">
        <v>1011</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1054</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1243</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1688</v>
      </c>
      <c r="B3627" s="21" t="s">
        <v>1088</v>
      </c>
      <c r="C3627" s="21" t="s">
        <v>1072</v>
      </c>
      <c r="D3627" s="21" t="s">
        <v>1011</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1022</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row>
    <row r="3630" spans="1:12">
      <c r="A3630" s="20" t="s">
        <v>1934</v>
      </c>
    </row>
    <row r="3631" spans="1:12">
      <c r="A3631" s="20" t="s">
        <v>1204</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1137</v>
      </c>
      <c r="B3632" s="21" t="s">
        <v>1039</v>
      </c>
      <c r="C3632" s="21" t="s">
        <v>1010</v>
      </c>
      <c r="D3632" s="21" t="s">
        <v>1011</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1935</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1936</v>
      </c>
      <c r="B3634" s="21" t="s">
        <v>1088</v>
      </c>
      <c r="C3634" s="21" t="s">
        <v>1010</v>
      </c>
      <c r="D3634" s="21" t="s">
        <v>1011</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1313</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1140</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1931</v>
      </c>
      <c r="B3637" s="21" t="s">
        <v>1088</v>
      </c>
      <c r="C3637" s="21" t="s">
        <v>1092</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1127</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1042</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1937</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204</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1090</v>
      </c>
      <c r="B3642" s="21" t="s">
        <v>1021</v>
      </c>
      <c r="C3642" s="21" t="s">
        <v>1322</v>
      </c>
      <c r="D3642" s="21" t="s">
        <v>1011</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12</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1008</v>
      </c>
      <c r="B3644" s="21" t="s">
        <v>1009</v>
      </c>
      <c r="C3644" s="21" t="s">
        <v>1010</v>
      </c>
      <c r="D3644" s="21" t="s">
        <v>1011</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1138</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46</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1521</v>
      </c>
      <c r="B3647" s="21" t="s">
        <v>1016</v>
      </c>
      <c r="C3647" s="21" t="s">
        <v>1230</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1173</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1938</v>
      </c>
      <c r="B3649" s="21" t="s">
        <v>1048</v>
      </c>
      <c r="C3649" s="21" t="s">
        <v>1165</v>
      </c>
      <c r="D3649" s="21" t="s">
        <v>1011</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1032</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1008</v>
      </c>
      <c r="B3651" s="21" t="s">
        <v>1039</v>
      </c>
      <c r="C3651" s="21" t="s">
        <v>1010</v>
      </c>
      <c r="D3651" s="21" t="s">
        <v>1011</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1138</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46</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1028</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1939</v>
      </c>
      <c r="B3655" s="21" t="s">
        <v>1088</v>
      </c>
      <c r="C3655" s="21" t="s">
        <v>1030</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1032</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1790</v>
      </c>
      <c r="B3657" s="21" t="s">
        <v>1053</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1045</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1283</v>
      </c>
      <c r="B3659" s="21" t="s">
        <v>1021</v>
      </c>
      <c r="C3659" s="21" t="s">
        <v>1102</v>
      </c>
      <c r="D3659" s="21" t="s">
        <v>1011</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1008</v>
      </c>
      <c r="B3660" s="21" t="s">
        <v>1101</v>
      </c>
      <c r="C3660" s="21" t="s">
        <v>1010</v>
      </c>
      <c r="D3660" s="21" t="s">
        <v>1011</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1940</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1032</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1254</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1008</v>
      </c>
      <c r="B3664" s="21" t="s">
        <v>1109</v>
      </c>
      <c r="C3664" s="21" t="s">
        <v>1010</v>
      </c>
      <c r="D3664" s="21" t="s">
        <v>1011</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1138</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46</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1025</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1243</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1141</v>
      </c>
      <c r="B3669" s="21" t="s">
        <v>1941</v>
      </c>
      <c r="C3669" s="21" t="s">
        <v>1072</v>
      </c>
      <c r="D3669" s="21" t="s">
        <v>1011</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1025</v>
      </c>
      <c r="B3670" s="21" t="s">
        <v>1805</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1173</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1253</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1042</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1616</v>
      </c>
      <c r="B3674" s="21" t="s">
        <v>1064</v>
      </c>
      <c r="C3674" s="21" t="s">
        <v>1044</v>
      </c>
      <c r="D3674" s="21" t="s">
        <v>1011</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1186</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1457</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1197</v>
      </c>
      <c r="B3677" s="21" t="s">
        <v>1112</v>
      </c>
      <c r="C3677" s="21" t="s">
        <v>1092</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1207</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1942</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12</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1243</v>
      </c>
      <c r="B3681" s="21" t="s">
        <v>1115</v>
      </c>
      <c r="C3681" s="21" t="s">
        <v>1026</v>
      </c>
      <c r="D3681" s="21" t="s">
        <v>1011</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1045</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1042</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1931</v>
      </c>
      <c r="B3684" s="21" t="s">
        <v>1605</v>
      </c>
      <c r="C3684" s="21" t="s">
        <v>1044</v>
      </c>
      <c r="D3684" s="21" t="s">
        <v>1011</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1008</v>
      </c>
      <c r="B3685" s="21" t="s">
        <v>1805</v>
      </c>
      <c r="C3685" s="21" t="s">
        <v>1010</v>
      </c>
      <c r="D3685" s="21" t="s">
        <v>1011</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1147</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46</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1022</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row>
    <row r="3690" spans="1:12">
      <c r="A3690" s="20" t="s">
        <v>1943</v>
      </c>
    </row>
    <row r="3691" spans="1:12">
      <c r="A3691" s="20" t="s">
        <v>1282</v>
      </c>
      <c r="B3691" s="21" t="s">
        <v>1009</v>
      </c>
      <c r="C3691" s="21" t="s">
        <v>1026</v>
      </c>
      <c r="D3691" s="21" t="s">
        <v>1011</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1045</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1042</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1140</v>
      </c>
      <c r="B3694" s="21" t="s">
        <v>1071</v>
      </c>
      <c r="C3694" s="21" t="s">
        <v>1044</v>
      </c>
      <c r="D3694" s="21" t="s">
        <v>1011</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1186</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1042</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1944</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1945</v>
      </c>
      <c r="B3698" s="21" t="s">
        <v>1071</v>
      </c>
      <c r="C3698" s="21" t="s">
        <v>1044</v>
      </c>
      <c r="D3698" s="21" t="s">
        <v>1011</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1022</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row>
    <row r="3701" spans="1:12">
      <c r="A3701" s="20" t="s">
        <v>1946</v>
      </c>
    </row>
    <row r="3702" spans="1:12">
      <c r="A3702" s="20" t="s">
        <v>1204</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1052</v>
      </c>
      <c r="B3703" s="21" t="s">
        <v>1039</v>
      </c>
      <c r="C3703" s="21" t="s">
        <v>1010</v>
      </c>
      <c r="D3703" s="21" t="s">
        <v>1011</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388</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1097</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142</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1243</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1931</v>
      </c>
      <c r="B3708" s="21" t="s">
        <v>1088</v>
      </c>
      <c r="C3708" s="21" t="s">
        <v>1072</v>
      </c>
      <c r="D3708" s="21" t="s">
        <v>1011</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1032</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1042</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1947</v>
      </c>
      <c r="B3711" s="21" t="s">
        <v>1016</v>
      </c>
      <c r="C3711" s="21" t="s">
        <v>1044</v>
      </c>
      <c r="D3711" s="21" t="s">
        <v>1011</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1948</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1042</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122</v>
      </c>
      <c r="B3714" s="21" t="s">
        <v>1021</v>
      </c>
      <c r="C3714" s="21" t="s">
        <v>1044</v>
      </c>
      <c r="D3714" s="21" t="s">
        <v>1011</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1521</v>
      </c>
      <c r="B3715" s="21" t="s">
        <v>1101</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296</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1949</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1476</v>
      </c>
      <c r="B3718" s="21" t="s">
        <v>1767</v>
      </c>
      <c r="C3718" s="21" t="s">
        <v>1017</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1020</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1593</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1476</v>
      </c>
      <c r="B3721" s="21" t="s">
        <v>1941</v>
      </c>
      <c r="C3721" s="21" t="s">
        <v>1017</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1103</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82</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1126</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1032</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1948</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1042</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1838</v>
      </c>
      <c r="B3728" s="21" t="s">
        <v>1111</v>
      </c>
      <c r="C3728" s="21" t="s">
        <v>1165</v>
      </c>
      <c r="D3728" s="21" t="s">
        <v>1011</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1020</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1872</v>
      </c>
      <c r="B3730" s="21" t="s">
        <v>1605</v>
      </c>
      <c r="C3730" s="21" t="s">
        <v>1165</v>
      </c>
      <c r="D3730" s="21" t="s">
        <v>1011</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1032</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1948</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1298</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1299</v>
      </c>
      <c r="B3734" s="21" t="s">
        <v>1111</v>
      </c>
      <c r="C3734" s="21" t="s">
        <v>1017</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1020</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1187</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1032</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1020</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1950</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1132</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1317</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1032</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1042</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1063</v>
      </c>
      <c r="B3744" s="21" t="s">
        <v>1009</v>
      </c>
      <c r="C3744" s="21" t="s">
        <v>1322</v>
      </c>
      <c r="D3744" s="21" t="s">
        <v>1011</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1132</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1238</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1058</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1059</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1103</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82</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1146</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1086</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1022</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row>
    <row r="3755" spans="1:12">
      <c r="A3755" s="20" t="s">
        <v>1951</v>
      </c>
    </row>
    <row r="3756" spans="1:12">
      <c r="A3756" s="20" t="s">
        <v>1124</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1229</v>
      </c>
      <c r="B3757" s="21" t="s">
        <v>1048</v>
      </c>
      <c r="C3757" s="21" t="s">
        <v>1230</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388</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1052</v>
      </c>
      <c r="B3759" s="21" t="s">
        <v>1009</v>
      </c>
      <c r="C3759" s="21" t="s">
        <v>1010</v>
      </c>
      <c r="D3759" s="21" t="s">
        <v>1011</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90</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1014</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388</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1251</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row>
    <row r="3765" spans="1:12">
      <c r="A3765" s="20" t="s">
        <v>1952</v>
      </c>
    </row>
    <row r="3766" spans="1:12">
      <c r="A3766" s="20" t="s">
        <v>1569</v>
      </c>
      <c r="B3766" s="21" t="s">
        <v>1048</v>
      </c>
      <c r="C3766" s="21" t="s">
        <v>1230</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1953</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1008</v>
      </c>
      <c r="B3768" s="21" t="s">
        <v>1009</v>
      </c>
      <c r="C3768" s="21" t="s">
        <v>1010</v>
      </c>
      <c r="D3768" s="21" t="s">
        <v>1011</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1954</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1014</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1137</v>
      </c>
      <c r="B3771" s="21" t="s">
        <v>1071</v>
      </c>
      <c r="C3771" s="21" t="s">
        <v>1010</v>
      </c>
      <c r="D3771" s="21" t="s">
        <v>1011</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1014</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1955</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1725</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1020</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1500</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1251</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row>
    <row r="3779" spans="1:12">
      <c r="A3779" s="20" t="s">
        <v>1956</v>
      </c>
    </row>
    <row r="3780" spans="1:12">
      <c r="A3780" s="20" t="s">
        <v>1270</v>
      </c>
      <c r="B3780" s="21" t="s">
        <v>1009</v>
      </c>
      <c r="C3780" s="21" t="s">
        <v>1010</v>
      </c>
      <c r="D3780" s="21" t="s">
        <v>1011</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259</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1014</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13</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1127</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1076</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1957</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1958</v>
      </c>
      <c r="B3787" s="21" t="s">
        <v>1016</v>
      </c>
      <c r="C3787" s="21" t="s">
        <v>1017</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1022</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row>
    <row r="3790" spans="1:12">
      <c r="A3790" s="20" t="s">
        <v>1959</v>
      </c>
    </row>
    <row r="3791" spans="1:12">
      <c r="A3791" s="20" t="s">
        <v>1960</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1299</v>
      </c>
      <c r="B3792" s="21" t="s">
        <v>1039</v>
      </c>
      <c r="C3792" s="21" t="s">
        <v>1017</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142</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1645</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1074</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1961</v>
      </c>
      <c r="B3796" s="21" t="s">
        <v>1016</v>
      </c>
      <c r="C3796" s="21" t="s">
        <v>1017</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1434</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1962</v>
      </c>
      <c r="B3798" s="21" t="s">
        <v>1021</v>
      </c>
      <c r="C3798" s="21" t="s">
        <v>1165</v>
      </c>
      <c r="D3798" s="21" t="s">
        <v>1011</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1032</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1239</v>
      </c>
      <c r="B3800" s="21" t="s">
        <v>1009</v>
      </c>
      <c r="C3800" s="21" t="s">
        <v>1010</v>
      </c>
      <c r="D3800" s="21" t="s">
        <v>1011</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1590</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1097</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1139</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662</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1042</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1197</v>
      </c>
      <c r="B3806" s="21" t="s">
        <v>1048</v>
      </c>
      <c r="C3806" s="21" t="s">
        <v>1044</v>
      </c>
      <c r="D3806" s="21" t="s">
        <v>1011</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1022</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row>
    <row r="3809" spans="1:12">
      <c r="A3809" s="20" t="s">
        <v>1963</v>
      </c>
    </row>
    <row r="3810" spans="1:12">
      <c r="A3810" s="20" t="s">
        <v>1746</v>
      </c>
      <c r="B3810" s="21" t="s">
        <v>1009</v>
      </c>
      <c r="C3810" s="21" t="s">
        <v>1010</v>
      </c>
      <c r="D3810" s="21" t="s">
        <v>1011</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1590</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662</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1243</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1903</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1964</v>
      </c>
      <c r="B3815" s="21" t="s">
        <v>1048</v>
      </c>
      <c r="C3815" s="21" t="s">
        <v>1072</v>
      </c>
      <c r="D3815" s="21" t="s">
        <v>1011</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1022</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row>
    <row r="3818" spans="1:12">
      <c r="A3818" s="20" t="s">
        <v>1965</v>
      </c>
    </row>
    <row r="3819" spans="1:12">
      <c r="A3819" s="20" t="s">
        <v>1813</v>
      </c>
      <c r="B3819" s="21" t="s">
        <v>1009</v>
      </c>
      <c r="C3819" s="21" t="s">
        <v>1010</v>
      </c>
      <c r="D3819" s="21" t="s">
        <v>1011</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1844</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82</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1966</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1041</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1042</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1967</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1968</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1969</v>
      </c>
      <c r="B3827" s="21" t="s">
        <v>1071</v>
      </c>
      <c r="C3827" s="21" t="s">
        <v>1044</v>
      </c>
      <c r="D3827" s="21" t="s">
        <v>1011</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1132</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942</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1081</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1070</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1970</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1713</v>
      </c>
      <c r="B3833" s="21" t="s">
        <v>1021</v>
      </c>
      <c r="C3833" s="21" t="s">
        <v>1072</v>
      </c>
      <c r="D3833" s="21" t="s">
        <v>1011</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1022</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row>
    <row r="3836" spans="1:12">
      <c r="A3836" s="20" t="s">
        <v>1971</v>
      </c>
    </row>
    <row r="3837" spans="1:12">
      <c r="A3837" s="20" t="s">
        <v>1270</v>
      </c>
      <c r="B3837" s="21" t="s">
        <v>1009</v>
      </c>
      <c r="C3837" s="21" t="s">
        <v>1010</v>
      </c>
      <c r="D3837" s="21" t="s">
        <v>1011</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388</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259</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1042</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1972</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1973</v>
      </c>
      <c r="B3842" s="21" t="s">
        <v>1048</v>
      </c>
      <c r="C3842" s="21" t="s">
        <v>1044</v>
      </c>
      <c r="D3842" s="21" t="s">
        <v>1011</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12</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1197</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1974</v>
      </c>
      <c r="B3845" s="21" t="s">
        <v>1071</v>
      </c>
      <c r="C3845" s="21" t="s">
        <v>1017</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1032</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1975</v>
      </c>
      <c r="B3847" s="21" t="s">
        <v>1016</v>
      </c>
      <c r="C3847" s="21" t="s">
        <v>1017</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1020</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1976</v>
      </c>
      <c r="B3849" s="21" t="s">
        <v>1016</v>
      </c>
      <c r="C3849" s="21" t="s">
        <v>1017</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12</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1283</v>
      </c>
      <c r="B3851" s="21" t="s">
        <v>1048</v>
      </c>
      <c r="C3851" s="21" t="s">
        <v>1102</v>
      </c>
      <c r="D3851" s="21" t="s">
        <v>1011</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1025</v>
      </c>
      <c r="B3852" s="21" t="s">
        <v>1175</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1207</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1025</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1131</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1977</v>
      </c>
      <c r="B3856" s="21" t="s">
        <v>1142</v>
      </c>
      <c r="C3856" s="21" t="s">
        <v>1072</v>
      </c>
      <c r="D3856" s="21" t="s">
        <v>1011</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1285</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1100</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1022</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row>
    <row r="3861" spans="1:12">
      <c r="A3861" s="20" t="s">
        <v>1978</v>
      </c>
    </row>
    <row r="3862" spans="1:12">
      <c r="A3862" s="20" t="s">
        <v>1270</v>
      </c>
      <c r="B3862" s="21" t="s">
        <v>1009</v>
      </c>
      <c r="C3862" s="21" t="s">
        <v>1010</v>
      </c>
      <c r="D3862" s="21" t="s">
        <v>1011</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259</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1014</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142</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1042</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1979</v>
      </c>
      <c r="B3867" s="21" t="s">
        <v>1088</v>
      </c>
      <c r="C3867" s="21" t="s">
        <v>1044</v>
      </c>
      <c r="D3867" s="21" t="s">
        <v>1011</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1285</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1022</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row>
    <row r="3871" spans="1:12">
      <c r="A3871" s="20" t="s">
        <v>1980</v>
      </c>
    </row>
    <row r="3872" spans="1:12">
      <c r="A3872" s="20" t="s">
        <v>1270</v>
      </c>
      <c r="B3872" s="21" t="s">
        <v>1009</v>
      </c>
      <c r="C3872" s="21" t="s">
        <v>1010</v>
      </c>
      <c r="D3872" s="21" t="s">
        <v>1011</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259</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1014</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90</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1243</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1981</v>
      </c>
      <c r="B3877" s="21" t="s">
        <v>1088</v>
      </c>
      <c r="C3877" s="21" t="s">
        <v>1072</v>
      </c>
      <c r="D3877" s="21" t="s">
        <v>1011</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82</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1028</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1076</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1982</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1032</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1076</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1983</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1981</v>
      </c>
      <c r="B3885" s="21" t="s">
        <v>1048</v>
      </c>
      <c r="C3885" s="21" t="s">
        <v>1030</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1032</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1755</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1042</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1984</v>
      </c>
      <c r="B3889" s="21" t="s">
        <v>1016</v>
      </c>
      <c r="C3889" s="21" t="s">
        <v>1044</v>
      </c>
      <c r="D3889" s="21" t="s">
        <v>1011</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1025</v>
      </c>
      <c r="B3890" s="21" t="s">
        <v>1051</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1042</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1985</v>
      </c>
      <c r="B3892" s="21" t="s">
        <v>1053</v>
      </c>
      <c r="C3892" s="21" t="s">
        <v>1044</v>
      </c>
      <c r="D3892" s="21" t="s">
        <v>1011</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1986</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1022</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row>
    <row r="3896" spans="1:12">
      <c r="A3896" s="20" t="s">
        <v>1987</v>
      </c>
    </row>
    <row r="3897" spans="1:12">
      <c r="A3897" s="20" t="s">
        <v>1282</v>
      </c>
      <c r="B3897" s="21" t="s">
        <v>1009</v>
      </c>
      <c r="C3897" s="21" t="s">
        <v>1026</v>
      </c>
      <c r="D3897" s="21" t="s">
        <v>1011</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1045</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1303</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1069</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1931</v>
      </c>
      <c r="B3901" s="21" t="s">
        <v>1071</v>
      </c>
      <c r="C3901" s="21" t="s">
        <v>1030</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1032</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1234</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1121</v>
      </c>
      <c r="B3904" s="21" t="s">
        <v>1039</v>
      </c>
      <c r="C3904" s="21" t="s">
        <v>1010</v>
      </c>
      <c r="D3904" s="21" t="s">
        <v>1011</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1045</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1140</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1008</v>
      </c>
      <c r="B3907" s="21" t="s">
        <v>1175</v>
      </c>
      <c r="C3907" s="21" t="s">
        <v>1010</v>
      </c>
      <c r="D3907" s="21" t="s">
        <v>1011</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296</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1052</v>
      </c>
      <c r="B3909" s="21" t="s">
        <v>1053</v>
      </c>
      <c r="C3909" s="21" t="s">
        <v>1010</v>
      </c>
      <c r="D3909" s="21" t="s">
        <v>1011</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1179</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1547</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1022</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row>
    <row r="3914" spans="1:12">
      <c r="A3914" s="20" t="s">
        <v>1988</v>
      </c>
    </row>
    <row r="3915" spans="1:12">
      <c r="A3915" s="20" t="s">
        <v>1989</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1137</v>
      </c>
      <c r="B3916" s="21" t="s">
        <v>1048</v>
      </c>
      <c r="C3916" s="21" t="s">
        <v>1010</v>
      </c>
      <c r="D3916" s="21" t="s">
        <v>1011</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1022</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row>
    <row r="3919" spans="1:12">
      <c r="A3919" s="20" t="s">
        <v>1990</v>
      </c>
    </row>
    <row r="3920" spans="1:12">
      <c r="A3920" s="20" t="s">
        <v>1346</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689</v>
      </c>
      <c r="B3921" s="21" t="s">
        <v>1071</v>
      </c>
      <c r="C3921" s="21" t="s">
        <v>1017</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1348</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1346</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689</v>
      </c>
      <c r="B3924" s="21" t="s">
        <v>1039</v>
      </c>
      <c r="C3924" s="21" t="s">
        <v>1165</v>
      </c>
      <c r="D3924" s="21" t="s">
        <v>1011</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1991</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1348</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1992</v>
      </c>
      <c r="B3927" s="21" t="s">
        <v>1071</v>
      </c>
      <c r="C3927" s="21" t="s">
        <v>1165</v>
      </c>
      <c r="D3927" s="21" t="s">
        <v>1011</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1993</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1099</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row>
    <row r="3931" spans="1:12">
      <c r="A3931" s="20" t="s">
        <v>1988</v>
      </c>
    </row>
    <row r="3932" spans="1:12">
      <c r="A3932" s="20" t="s">
        <v>1989</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1137</v>
      </c>
      <c r="B3933" s="21" t="s">
        <v>1048</v>
      </c>
      <c r="C3933" s="21" t="s">
        <v>1010</v>
      </c>
      <c r="D3933" s="21" t="s">
        <v>1011</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1022</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row>
    <row r="3936" spans="1:12">
      <c r="A3936" s="20" t="s">
        <v>1988</v>
      </c>
    </row>
    <row r="3937" spans="1:12">
      <c r="A3937" s="20" t="s">
        <v>1989</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1137</v>
      </c>
      <c r="B3938" s="21" t="s">
        <v>1048</v>
      </c>
      <c r="C3938" s="21" t="s">
        <v>1010</v>
      </c>
      <c r="D3938" s="21" t="s">
        <v>1011</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1022</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row>
    <row r="3941" spans="1:12">
      <c r="A3941" s="20" t="s">
        <v>1994</v>
      </c>
    </row>
    <row r="3942" spans="1:12">
      <c r="A3942" s="20" t="s">
        <v>1995</v>
      </c>
      <c r="B3942" s="21" t="s">
        <v>1071</v>
      </c>
      <c r="C3942" s="21" t="s">
        <v>1017</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1099</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1989</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1137</v>
      </c>
      <c r="B3945" s="21" t="s">
        <v>1088</v>
      </c>
      <c r="C3945" s="21" t="s">
        <v>1010</v>
      </c>
      <c r="D3945" s="21" t="s">
        <v>1011</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1022</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row>
    <row r="3948" spans="1:12">
      <c r="A3948" s="20" t="s">
        <v>1996</v>
      </c>
    </row>
    <row r="3949" spans="1:12">
      <c r="A3949" s="20" t="s">
        <v>1124</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1014</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701</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1076</v>
      </c>
      <c r="B3952" s="21" t="s">
        <v>1048</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1018</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1786</v>
      </c>
      <c r="B3954" s="21" t="s">
        <v>1016</v>
      </c>
      <c r="C3954" s="21" t="s">
        <v>1165</v>
      </c>
      <c r="D3954" s="21" t="s">
        <v>1011</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1022</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row>
    <row r="3957" spans="1:12">
      <c r="A3957" s="20" t="s">
        <v>1997</v>
      </c>
    </row>
    <row r="3958" spans="1:12">
      <c r="A3958" s="20" t="s">
        <v>1008</v>
      </c>
      <c r="B3958" s="21" t="s">
        <v>1009</v>
      </c>
      <c r="C3958" s="21" t="s">
        <v>1010</v>
      </c>
      <c r="D3958" s="21" t="s">
        <v>1011</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267</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1032</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1446</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1132</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1317</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1032</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1179</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1137</v>
      </c>
      <c r="B3966" s="21" t="s">
        <v>1039</v>
      </c>
      <c r="C3966" s="21" t="s">
        <v>1010</v>
      </c>
      <c r="D3966" s="21" t="s">
        <v>1011</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1558</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1028</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1998</v>
      </c>
      <c r="B3969" s="21" t="s">
        <v>1088</v>
      </c>
      <c r="C3969" s="21" t="s">
        <v>1030</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1132</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1229</v>
      </c>
      <c r="B3971" s="21" t="s">
        <v>1091</v>
      </c>
      <c r="C3971" s="21" t="s">
        <v>1230</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1469</v>
      </c>
      <c r="B3972" s="21" t="s">
        <v>1021</v>
      </c>
      <c r="C3972" s="21" t="s">
        <v>1291</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1132</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1999</v>
      </c>
      <c r="B3974" s="21" t="s">
        <v>1091</v>
      </c>
      <c r="C3974" s="21" t="s">
        <v>1017</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1243</v>
      </c>
      <c r="B3975" s="21" t="s">
        <v>1053</v>
      </c>
      <c r="C3975" s="21" t="s">
        <v>1026</v>
      </c>
      <c r="D3975" s="21" t="s">
        <v>1011</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1045</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1251</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row>
    <row r="3979" spans="1:12">
      <c r="A3979" s="20" t="s">
        <v>2000</v>
      </c>
    </row>
    <row r="3980" spans="1:12">
      <c r="A3980" s="20" t="s">
        <v>709</v>
      </c>
      <c r="B3980" s="21" t="s">
        <v>1071</v>
      </c>
      <c r="C3980" s="21" t="s">
        <v>1165</v>
      </c>
      <c r="D3980" s="21" t="s">
        <v>1011</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2001</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1099</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row>
    <row r="3984" spans="1:12">
      <c r="A3984" s="20" t="s">
        <v>2002</v>
      </c>
    </row>
    <row r="3985" spans="1:12">
      <c r="A3985" s="20" t="s">
        <v>1696</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1201</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388</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1042</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2003</v>
      </c>
      <c r="B3989" s="21" t="s">
        <v>1088</v>
      </c>
      <c r="C3989" s="21" t="s">
        <v>1044</v>
      </c>
      <c r="D3989" s="21" t="s">
        <v>1011</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1032</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713</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1042</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2004</v>
      </c>
      <c r="B3993" s="21" t="s">
        <v>1048</v>
      </c>
      <c r="C3993" s="21" t="s">
        <v>1044</v>
      </c>
      <c r="D3993" s="21" t="s">
        <v>1011</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1032</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2005</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1317</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1042</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1363</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1242</v>
      </c>
      <c r="B3999" s="21" t="s">
        <v>1088</v>
      </c>
      <c r="C3999" s="21" t="s">
        <v>1044</v>
      </c>
      <c r="D3999" s="21" t="s">
        <v>1011</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1032</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1790</v>
      </c>
      <c r="B4001" s="21" t="s">
        <v>1051</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1052</v>
      </c>
      <c r="B4002" s="21" t="s">
        <v>1053</v>
      </c>
      <c r="C4002" s="21" t="s">
        <v>1010</v>
      </c>
      <c r="D4002" s="21" t="s">
        <v>1011</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1168</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2006</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1032</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1025</v>
      </c>
      <c r="B4006" s="21" t="s">
        <v>1039</v>
      </c>
      <c r="C4006" s="21" t="s">
        <v>1026</v>
      </c>
      <c r="D4006" s="21" t="s">
        <v>1011</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1173</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1313</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2007</v>
      </c>
      <c r="B4009" s="21" t="s">
        <v>1071</v>
      </c>
      <c r="C4009" s="21" t="s">
        <v>1017</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1132</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2008</v>
      </c>
      <c r="B4011" s="21" t="s">
        <v>1016</v>
      </c>
      <c r="C4011" s="21" t="s">
        <v>1017</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1022</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row>
    <row r="4014" spans="1:12">
      <c r="A4014" s="20" t="s">
        <v>2009</v>
      </c>
    </row>
    <row r="4015" spans="1:12">
      <c r="A4015" s="20" t="s">
        <v>1024</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1166</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2010</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1052</v>
      </c>
      <c r="B4018" s="21" t="s">
        <v>1039</v>
      </c>
      <c r="C4018" s="21" t="s">
        <v>1010</v>
      </c>
      <c r="D4018" s="21" t="s">
        <v>1011</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2011</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1855</v>
      </c>
      <c r="B4020" s="21" t="s">
        <v>1021</v>
      </c>
      <c r="C4020" s="21" t="s">
        <v>1035</v>
      </c>
      <c r="D4020" s="21" t="s">
        <v>1011</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1181</v>
      </c>
      <c r="B4021" s="21" t="s">
        <v>1088</v>
      </c>
      <c r="C4021" s="21" t="s">
        <v>1040</v>
      </c>
      <c r="D4021" s="21" t="s">
        <v>1011</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1285</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1074</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1028</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2012</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1827</v>
      </c>
      <c r="B4026" s="21" t="s">
        <v>1016</v>
      </c>
      <c r="C4026" s="21" t="s">
        <v>1030</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1014</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338</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1597</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1855</v>
      </c>
      <c r="B4030" s="21" t="s">
        <v>1111</v>
      </c>
      <c r="C4030" s="21" t="s">
        <v>1035</v>
      </c>
      <c r="D4030" s="21" t="s">
        <v>1011</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1181</v>
      </c>
      <c r="B4031" s="21" t="s">
        <v>1101</v>
      </c>
      <c r="C4031" s="21" t="s">
        <v>1040</v>
      </c>
      <c r="D4031" s="21" t="s">
        <v>1011</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1038</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1799</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1032</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1631</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1137</v>
      </c>
      <c r="B4036" s="21" t="s">
        <v>1009</v>
      </c>
      <c r="C4036" s="21" t="s">
        <v>1010</v>
      </c>
      <c r="D4036" s="21" t="s">
        <v>1011</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1745</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1313</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82</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1206</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1074</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1042</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1738</v>
      </c>
      <c r="B4043" s="21" t="s">
        <v>1071</v>
      </c>
      <c r="C4043" s="21" t="s">
        <v>1044</v>
      </c>
      <c r="D4043" s="21" t="s">
        <v>1011</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1132</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2008</v>
      </c>
      <c r="B4045" s="21" t="s">
        <v>1071</v>
      </c>
      <c r="C4045" s="21" t="s">
        <v>1017</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1022</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row>
    <row r="4048" spans="1:12">
      <c r="A4048" s="20" t="s">
        <v>2013</v>
      </c>
    </row>
    <row r="4049" spans="1:12">
      <c r="A4049" s="20" t="s">
        <v>1084</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1610</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1141</v>
      </c>
      <c r="B4051" s="21" t="s">
        <v>1009</v>
      </c>
      <c r="C4051" s="21" t="s">
        <v>1044</v>
      </c>
      <c r="D4051" s="21" t="s">
        <v>1011</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1045</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1425</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1042</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1582</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1827</v>
      </c>
      <c r="B4056" s="21" t="s">
        <v>1048</v>
      </c>
      <c r="C4056" s="21" t="s">
        <v>1044</v>
      </c>
      <c r="D4056" s="21" t="s">
        <v>1011</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12</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2014</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1042</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1244</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1059</v>
      </c>
      <c r="B4061" s="21" t="s">
        <v>1088</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1032</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2014</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1042</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2015</v>
      </c>
      <c r="B4065" s="21" t="s">
        <v>1142</v>
      </c>
      <c r="C4065" s="21" t="s">
        <v>1044</v>
      </c>
      <c r="D4065" s="21" t="s">
        <v>1011</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1032</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1042</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2016</v>
      </c>
      <c r="B4068" s="21" t="s">
        <v>1048</v>
      </c>
      <c r="C4068" s="21" t="s">
        <v>1044</v>
      </c>
      <c r="D4068" s="21" t="s">
        <v>1011</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1025</v>
      </c>
      <c r="B4069" s="21" t="s">
        <v>1175</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1103</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1201</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721</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1042</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1446</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1140</v>
      </c>
      <c r="B4075" s="21" t="s">
        <v>1142</v>
      </c>
      <c r="C4075" s="21" t="s">
        <v>1040</v>
      </c>
      <c r="D4075" s="21" t="s">
        <v>1011</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1132</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1070</v>
      </c>
      <c r="B4077" s="21" t="s">
        <v>1091</v>
      </c>
      <c r="C4077" s="21" t="s">
        <v>1026</v>
      </c>
      <c r="D4077" s="21" t="s">
        <v>1011</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1022</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row>
    <row r="4080" spans="1:12">
      <c r="A4080" s="20" t="s">
        <v>2017</v>
      </c>
    </row>
    <row r="4081" spans="1:12">
      <c r="A4081" s="20" t="s">
        <v>2018</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1137</v>
      </c>
      <c r="B4082" s="21" t="s">
        <v>1039</v>
      </c>
      <c r="C4082" s="21" t="s">
        <v>1010</v>
      </c>
      <c r="D4082" s="21" t="s">
        <v>1011</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142</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1042</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1446</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1140</v>
      </c>
      <c r="B4086" s="21" t="s">
        <v>1088</v>
      </c>
      <c r="C4086" s="21" t="s">
        <v>1044</v>
      </c>
      <c r="D4086" s="21" t="s">
        <v>1011</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2019</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1032</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1136</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1121</v>
      </c>
      <c r="B4090" s="21" t="s">
        <v>1175</v>
      </c>
      <c r="C4090" s="21" t="s">
        <v>1010</v>
      </c>
      <c r="D4090" s="21" t="s">
        <v>1011</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2020</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1190</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2021</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1032</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1631</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1121</v>
      </c>
      <c r="B4096" s="21" t="s">
        <v>1009</v>
      </c>
      <c r="C4096" s="21" t="s">
        <v>1010</v>
      </c>
      <c r="D4096" s="21" t="s">
        <v>1011</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1173</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1139</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2022</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1190</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1672</v>
      </c>
      <c r="B4101" s="21" t="s">
        <v>1071</v>
      </c>
      <c r="C4101" s="21" t="s">
        <v>1017</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1032</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1033</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1042</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2023</v>
      </c>
      <c r="B4105" s="21" t="s">
        <v>1039</v>
      </c>
      <c r="C4105" s="21" t="s">
        <v>1044</v>
      </c>
      <c r="D4105" s="21" t="s">
        <v>1011</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1032</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1042</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1019</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1655</v>
      </c>
      <c r="B4109" s="21" t="s">
        <v>1021</v>
      </c>
      <c r="C4109" s="21" t="s">
        <v>1044</v>
      </c>
      <c r="D4109" s="21" t="s">
        <v>1011</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1032</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1067</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767</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1267</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1077</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1465</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1190</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1052</v>
      </c>
      <c r="B4117" s="21" t="s">
        <v>1053</v>
      </c>
      <c r="C4117" s="21" t="s">
        <v>1010</v>
      </c>
      <c r="D4117" s="21" t="s">
        <v>1011</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557</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1121</v>
      </c>
      <c r="B4119" s="21" t="s">
        <v>1051</v>
      </c>
      <c r="C4119" s="21" t="s">
        <v>1010</v>
      </c>
      <c r="D4119" s="21" t="s">
        <v>1011</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1022</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row>
    <row r="4122" spans="1:12">
      <c r="A4122" s="20" t="s">
        <v>2024</v>
      </c>
    </row>
    <row r="4123" spans="1:12">
      <c r="A4123" s="20" t="s">
        <v>1995</v>
      </c>
      <c r="B4123" s="21" t="s">
        <v>1071</v>
      </c>
      <c r="C4123" s="21" t="s">
        <v>1017</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1099</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row>
    <row r="4126" spans="1:12">
      <c r="A4126" s="20" t="s">
        <v>2025</v>
      </c>
    </row>
    <row r="4127" spans="1:12">
      <c r="A4127" s="20" t="s">
        <v>1124</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1014</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701</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1121</v>
      </c>
      <c r="B4130" s="21" t="s">
        <v>1088</v>
      </c>
      <c r="C4130" s="21" t="s">
        <v>1010</v>
      </c>
      <c r="D4130" s="21" t="s">
        <v>1011</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1726</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1032</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1243</v>
      </c>
      <c r="B4133" s="21" t="s">
        <v>1009</v>
      </c>
      <c r="C4133" s="21" t="s">
        <v>1026</v>
      </c>
      <c r="D4133" s="21" t="s">
        <v>1011</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2026</v>
      </c>
      <c r="B4134" s="21" t="s">
        <v>1071</v>
      </c>
      <c r="C4134" s="21" t="s">
        <v>1040</v>
      </c>
      <c r="D4134" s="21" t="s">
        <v>1011</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1425</v>
      </c>
      <c r="B4135" s="21" t="s">
        <v>1048</v>
      </c>
      <c r="C4135" s="21" t="s">
        <v>1017</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2027</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2028</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1042</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2029</v>
      </c>
      <c r="B4139" s="21" t="s">
        <v>1016</v>
      </c>
      <c r="C4139" s="21" t="s">
        <v>1044</v>
      </c>
      <c r="D4139" s="21" t="s">
        <v>1011</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1032</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1389</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1434</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1028</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2030</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2031</v>
      </c>
      <c r="B4145" s="21" t="s">
        <v>1071</v>
      </c>
      <c r="C4145" s="21" t="s">
        <v>1030</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1132</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1465</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58</v>
      </c>
      <c r="B4148" s="21" t="s">
        <v>1016</v>
      </c>
      <c r="C4148" s="21" t="s">
        <v>1017</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1032</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1132</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1243</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2032</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1789</v>
      </c>
      <c r="B4153" s="21" t="s">
        <v>1071</v>
      </c>
      <c r="C4153" s="21" t="s">
        <v>1072</v>
      </c>
      <c r="D4153" s="21" t="s">
        <v>1011</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1032</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1020</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1631</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1042</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t="s">
        <v>1843</v>
      </c>
      <c r="B4158" s="21" t="s">
        <v>1039</v>
      </c>
      <c r="C4158" s="21" t="s">
        <v>1044</v>
      </c>
      <c r="D4158" s="21" t="s">
        <v>1011</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2033</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1041</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1042</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201</v>
      </c>
      <c r="B4162" s="21" t="s">
        <v>1016</v>
      </c>
      <c r="C4162" s="21" t="s">
        <v>1044</v>
      </c>
      <c r="D4162" s="21" t="s">
        <v>1011</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1020</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1496</v>
      </c>
      <c r="B4164" s="21" t="s">
        <v>1021</v>
      </c>
      <c r="C4164" s="21" t="s">
        <v>1017</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1132</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2020</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1151</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1251</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row>
    <row r="4170" spans="1:12">
      <c r="A4170" s="20" t="s">
        <v>2034</v>
      </c>
    </row>
    <row r="4171" spans="1:12">
      <c r="A4171" s="20" t="s">
        <v>2035</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1099</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1350</v>
      </c>
      <c r="B4173" s="21" t="s">
        <v>1009</v>
      </c>
      <c r="C4173" s="21" t="s">
        <v>1026</v>
      </c>
      <c r="D4173" s="21" t="s">
        <v>1011</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1173</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1726</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1022</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row>
    <row r="4178" spans="1:12">
      <c r="A4178" s="20" t="s">
        <v>2036</v>
      </c>
    </row>
    <row r="4179" spans="1:12">
      <c r="A4179" s="20" t="s">
        <v>2037</v>
      </c>
      <c r="B4179" s="21" t="s">
        <v>1071</v>
      </c>
      <c r="C4179" s="21" t="s">
        <v>1017</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1032</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1137</v>
      </c>
      <c r="B4181" s="21" t="s">
        <v>1009</v>
      </c>
      <c r="C4181" s="21" t="s">
        <v>1010</v>
      </c>
      <c r="D4181" s="21" t="s">
        <v>1011</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1183</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2038</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2039</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1042</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1827</v>
      </c>
      <c r="B4186" s="21" t="s">
        <v>1048</v>
      </c>
      <c r="C4186" s="21" t="s">
        <v>1044</v>
      </c>
      <c r="D4186" s="21" t="s">
        <v>1011</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1032</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767</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1137</v>
      </c>
      <c r="B4189" s="21" t="s">
        <v>1039</v>
      </c>
      <c r="C4189" s="21" t="s">
        <v>1010</v>
      </c>
      <c r="D4189" s="21" t="s">
        <v>1011</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90</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1735</v>
      </c>
      <c r="B4191" s="21" t="s">
        <v>1088</v>
      </c>
      <c r="C4191" s="21" t="s">
        <v>1017</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1132</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122</v>
      </c>
      <c r="B4193" s="21" t="s">
        <v>1021</v>
      </c>
      <c r="C4193" s="21" t="s">
        <v>1017</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1020</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1735</v>
      </c>
      <c r="B4195" s="21" t="s">
        <v>1091</v>
      </c>
      <c r="C4195" s="21" t="s">
        <v>1017</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1132</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2040</v>
      </c>
      <c r="B4197" s="21" t="s">
        <v>1094</v>
      </c>
      <c r="C4197" s="21" t="s">
        <v>1017</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1025</v>
      </c>
      <c r="B4198" s="21" t="s">
        <v>1109</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1179</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13</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1623</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1032</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1231</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1137</v>
      </c>
      <c r="B4204" s="21" t="s">
        <v>1175</v>
      </c>
      <c r="C4204" s="21" t="s">
        <v>1010</v>
      </c>
      <c r="D4204" s="21" t="s">
        <v>1011</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1183</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2041</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1121</v>
      </c>
      <c r="B4207" s="21" t="s">
        <v>1142</v>
      </c>
      <c r="C4207" s="21" t="s">
        <v>1010</v>
      </c>
      <c r="D4207" s="21" t="s">
        <v>1011</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1206</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1020</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2042</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1050</v>
      </c>
      <c r="B4211" s="21" t="s">
        <v>1051</v>
      </c>
      <c r="C4211" s="21" t="s">
        <v>1017</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1074</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t="s">
        <v>1020</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1285</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12</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1025</v>
      </c>
      <c r="B4216" s="21" t="s">
        <v>1039</v>
      </c>
      <c r="C4216" s="21" t="s">
        <v>1026</v>
      </c>
      <c r="D4216" s="21" t="s">
        <v>1011</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1173</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1107</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1384</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1022</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row>
    <row r="4222" spans="1:12">
      <c r="A4222" s="20" t="s">
        <v>2043</v>
      </c>
    </row>
    <row r="4223" spans="1:12">
      <c r="A4223" s="20" t="s">
        <v>1124</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1136</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1137</v>
      </c>
      <c r="B4225" s="21" t="s">
        <v>1175</v>
      </c>
      <c r="C4225" s="21" t="s">
        <v>1010</v>
      </c>
      <c r="D4225" s="21" t="s">
        <v>1011</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90</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1133</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12</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1133</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1194</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58</v>
      </c>
      <c r="B4231" s="21" t="s">
        <v>1142</v>
      </c>
      <c r="C4231" s="21" t="s">
        <v>1017</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1025</v>
      </c>
      <c r="B4232" s="21" t="s">
        <v>1767</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1137</v>
      </c>
      <c r="B4233" s="21" t="s">
        <v>1101</v>
      </c>
      <c r="C4233" s="21" t="s">
        <v>1010</v>
      </c>
      <c r="D4233" s="21" t="s">
        <v>1011</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1179</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114</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238</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1090</v>
      </c>
      <c r="B4237" s="21" t="s">
        <v>1767</v>
      </c>
      <c r="C4237" s="21" t="s">
        <v>1092</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1074</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12</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1139</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296</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1132</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1121</v>
      </c>
      <c r="B4243" s="21" t="s">
        <v>1071</v>
      </c>
      <c r="C4243" s="21" t="s">
        <v>1010</v>
      </c>
      <c r="D4243" s="21" t="s">
        <v>1011</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1190</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1028</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1823</v>
      </c>
      <c r="B4246" s="21" t="s">
        <v>1071</v>
      </c>
      <c r="C4246" s="21" t="s">
        <v>1030</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12</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114</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1121</v>
      </c>
      <c r="B4249" s="21" t="s">
        <v>1088</v>
      </c>
      <c r="C4249" s="21" t="s">
        <v>1010</v>
      </c>
      <c r="D4249" s="21" t="s">
        <v>1011</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1151</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1020</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1107</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90</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1238</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2044</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2045</v>
      </c>
      <c r="B4256" s="21" t="s">
        <v>1142</v>
      </c>
      <c r="C4256" s="21" t="s">
        <v>1072</v>
      </c>
      <c r="D4256" s="21" t="s">
        <v>1011</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1022</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row>
    <row r="4259" spans="1:12">
      <c r="A4259" s="20" t="s">
        <v>2046</v>
      </c>
    </row>
    <row r="4260" spans="1:12">
      <c r="A4260" s="20" t="s">
        <v>1024</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1121</v>
      </c>
      <c r="B4261" s="21" t="s">
        <v>1009</v>
      </c>
      <c r="C4261" s="21" t="s">
        <v>1010</v>
      </c>
      <c r="D4261" s="21" t="s">
        <v>1011</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1139</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2047</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1100</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1020</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2048</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1127</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1042</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238</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1090</v>
      </c>
      <c r="B4270" s="21" t="s">
        <v>1016</v>
      </c>
      <c r="C4270" s="21" t="s">
        <v>1322</v>
      </c>
      <c r="D4270" s="21" t="s">
        <v>1011</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1032</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1020</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1631</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1121</v>
      </c>
      <c r="B4274" s="21" t="s">
        <v>1039</v>
      </c>
      <c r="C4274" s="21" t="s">
        <v>1010</v>
      </c>
      <c r="D4274" s="21" t="s">
        <v>1011</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1173</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2006</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1022</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row>
    <row r="4279" spans="1:12">
      <c r="A4279" s="20" t="s">
        <v>2024</v>
      </c>
    </row>
    <row r="4280" spans="1:12">
      <c r="A4280" s="20" t="s">
        <v>1995</v>
      </c>
      <c r="B4280" s="21" t="s">
        <v>1071</v>
      </c>
      <c r="C4280" s="21" t="s">
        <v>1017</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1099</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row>
    <row r="4283" spans="1:12">
      <c r="A4283" s="20" t="s">
        <v>2049</v>
      </c>
    </row>
    <row r="4284" spans="1:12">
      <c r="A4284" s="20" t="s">
        <v>1266</v>
      </c>
      <c r="B4284" s="21" t="s">
        <v>1009</v>
      </c>
      <c r="C4284" s="21" t="s">
        <v>1010</v>
      </c>
      <c r="D4284" s="21" t="s">
        <v>1011</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1173</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1028</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t="s">
        <v>1465</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t="s">
        <v>550</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1659</v>
      </c>
      <c r="B4289" s="21" t="s">
        <v>1071</v>
      </c>
      <c r="C4289" s="21" t="s">
        <v>1030</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1025</v>
      </c>
      <c r="B4290" s="21" t="s">
        <v>1039</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1045</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1487</v>
      </c>
      <c r="B4292" s="21" t="s">
        <v>1016</v>
      </c>
      <c r="C4292" s="21" t="s">
        <v>1035</v>
      </c>
      <c r="D4292" s="21" t="s">
        <v>1011</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2050</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1604</v>
      </c>
      <c r="B4294" s="21" t="s">
        <v>1071</v>
      </c>
      <c r="C4294" s="21" t="s">
        <v>1040</v>
      </c>
      <c r="D4294" s="21" t="s">
        <v>1011</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2051</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2052</v>
      </c>
      <c r="B4296" s="21" t="s">
        <v>1016</v>
      </c>
      <c r="C4296" s="21" t="s">
        <v>1017</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1022</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row>
    <row r="4299" spans="1:12">
      <c r="A4299" s="20" t="s">
        <v>2053</v>
      </c>
    </row>
    <row r="4300" spans="1:12">
      <c r="A4300" s="20" t="s">
        <v>2035</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1099</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2054</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1073</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1229</v>
      </c>
      <c r="B4304" s="21" t="s">
        <v>1009</v>
      </c>
      <c r="C4304" s="21" t="s">
        <v>1230</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t="s">
        <v>2055</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1186</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1042</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1604</v>
      </c>
      <c r="B4308" s="21" t="s">
        <v>1071</v>
      </c>
      <c r="C4308" s="21" t="s">
        <v>1044</v>
      </c>
      <c r="D4308" s="21" t="s">
        <v>1011</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1032</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1137</v>
      </c>
      <c r="B4310" s="21" t="s">
        <v>1039</v>
      </c>
      <c r="C4310" s="21" t="s">
        <v>1010</v>
      </c>
      <c r="D4310" s="21" t="s">
        <v>1011</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1179</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66</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1121</v>
      </c>
      <c r="B4313" s="21" t="s">
        <v>1088</v>
      </c>
      <c r="C4313" s="21" t="s">
        <v>1010</v>
      </c>
      <c r="D4313" s="21" t="s">
        <v>1011</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749</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1100</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12</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1100</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1173</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1028</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1286</v>
      </c>
      <c r="B4320" s="21" t="s">
        <v>1021</v>
      </c>
      <c r="C4320" s="21" t="s">
        <v>1030</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1300</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1604</v>
      </c>
      <c r="B4322" s="21" t="s">
        <v>1039</v>
      </c>
      <c r="C4322" s="21" t="s">
        <v>1017</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1276</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1243</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1727</v>
      </c>
      <c r="B4325" s="21" t="s">
        <v>1021</v>
      </c>
      <c r="C4325" s="21" t="s">
        <v>1072</v>
      </c>
      <c r="D4325" s="21" t="s">
        <v>1011</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12</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1631</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1137</v>
      </c>
      <c r="B4328" s="21" t="s">
        <v>1039</v>
      </c>
      <c r="C4328" s="21" t="s">
        <v>1010</v>
      </c>
      <c r="D4328" s="21" t="s">
        <v>1011</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1179</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1201</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946</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1025</v>
      </c>
      <c r="B4332" s="21" t="s">
        <v>1088</v>
      </c>
      <c r="C4332" s="21" t="s">
        <v>1026</v>
      </c>
      <c r="D4332" s="21" t="s">
        <v>1011</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1020</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114</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1121</v>
      </c>
      <c r="B4335" s="21" t="s">
        <v>1142</v>
      </c>
      <c r="C4335" s="21" t="s">
        <v>1010</v>
      </c>
      <c r="D4335" s="21" t="s">
        <v>1011</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2028</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2056</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1140</v>
      </c>
      <c r="B4338" s="21" t="s">
        <v>1021</v>
      </c>
      <c r="C4338" s="21" t="s">
        <v>1030</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1020</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245</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1025</v>
      </c>
      <c r="B4341" s="21" t="s">
        <v>1051</v>
      </c>
      <c r="C4341" s="21" t="s">
        <v>1026</v>
      </c>
      <c r="D4341" s="21" t="s">
        <v>1011</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1022</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row>
    <row r="4344" spans="1:12">
      <c r="A4344" s="20" t="s">
        <v>2057</v>
      </c>
    </row>
    <row r="4345" spans="1:12">
      <c r="A4345" s="20" t="s">
        <v>1024</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1052</v>
      </c>
      <c r="B4346" s="21" t="s">
        <v>1009</v>
      </c>
      <c r="C4346" s="21" t="s">
        <v>1010</v>
      </c>
      <c r="D4346" s="21" t="s">
        <v>1011</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763</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1285</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1032</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1201</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1032</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1145</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1774</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1042</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1604</v>
      </c>
      <c r="B4355" s="21" t="s">
        <v>1088</v>
      </c>
      <c r="C4355" s="21" t="s">
        <v>1044</v>
      </c>
      <c r="D4355" s="21" t="s">
        <v>1011</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1025</v>
      </c>
      <c r="B4356" s="21" t="s">
        <v>1053</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2058</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1015</v>
      </c>
      <c r="B4358" s="21" t="s">
        <v>1051</v>
      </c>
      <c r="C4358" s="21" t="s">
        <v>1017</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1025</v>
      </c>
      <c r="B4359" s="21" t="s">
        <v>1109</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1173</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2059</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1074</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1070</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2060</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2061</v>
      </c>
      <c r="B4365" s="21" t="s">
        <v>1111</v>
      </c>
      <c r="C4365" s="21" t="s">
        <v>1072</v>
      </c>
      <c r="D4365" s="21" t="s">
        <v>1011</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1254</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2062</v>
      </c>
      <c r="B4367" s="21" t="s">
        <v>1605</v>
      </c>
      <c r="C4367" s="21" t="s">
        <v>1017</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12</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2063</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1145</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1815</v>
      </c>
      <c r="B4371" s="21" t="s">
        <v>1605</v>
      </c>
      <c r="C4371" s="21" t="s">
        <v>1017</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12</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1025</v>
      </c>
      <c r="B4373" s="21" t="s">
        <v>1039</v>
      </c>
      <c r="C4373" s="21" t="s">
        <v>1026</v>
      </c>
      <c r="D4373" s="21" t="s">
        <v>1011</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1173</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1855</v>
      </c>
      <c r="B4375" s="21" t="s">
        <v>1016</v>
      </c>
      <c r="C4375" s="21" t="s">
        <v>1035</v>
      </c>
      <c r="D4375" s="21" t="s">
        <v>1011</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58</v>
      </c>
      <c r="B4376" s="21" t="s">
        <v>1071</v>
      </c>
      <c r="C4376" s="21" t="s">
        <v>1040</v>
      </c>
      <c r="D4376" s="21" t="s">
        <v>1011</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1014</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2064</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1186</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1022</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row>
    <row r="4382" spans="1:12">
      <c r="A4382" s="20" t="s">
        <v>2065</v>
      </c>
    </row>
    <row r="4383" spans="1:12">
      <c r="A4383" s="20" t="s">
        <v>1124</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1042</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1141</v>
      </c>
      <c r="B4385" s="21" t="s">
        <v>1009</v>
      </c>
      <c r="C4385" s="21" t="s">
        <v>1044</v>
      </c>
      <c r="D4385" s="21" t="s">
        <v>1011</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t="s">
        <v>1025</v>
      </c>
      <c r="B4386" s="21" t="s">
        <v>1175</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1173</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1310</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1028</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398</v>
      </c>
      <c r="B4390" s="21" t="s">
        <v>1016</v>
      </c>
      <c r="C4390" s="21" t="s">
        <v>1030</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1227</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1238</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1815</v>
      </c>
      <c r="B4393" s="21" t="s">
        <v>1021</v>
      </c>
      <c r="C4393" s="21" t="s">
        <v>1072</v>
      </c>
      <c r="D4393" s="21" t="s">
        <v>1011</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1045</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1201</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1229</v>
      </c>
      <c r="B4396" s="21" t="s">
        <v>1071</v>
      </c>
      <c r="C4396" s="21" t="s">
        <v>1230</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1207</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2066</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2028</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2067</v>
      </c>
      <c r="B4400" s="21" t="s">
        <v>1021</v>
      </c>
      <c r="C4400" s="21" t="s">
        <v>1102</v>
      </c>
      <c r="D4400" s="21" t="s">
        <v>1011</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1032</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1020</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t="s">
        <v>1137</v>
      </c>
      <c r="B4403" s="21" t="s">
        <v>1053</v>
      </c>
      <c r="C4403" s="21" t="s">
        <v>1010</v>
      </c>
      <c r="D4403" s="21" t="s">
        <v>1011</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1183</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2068</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t="s">
        <v>1042</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1608</v>
      </c>
      <c r="B4407" s="21" t="s">
        <v>1051</v>
      </c>
      <c r="C4407" s="21" t="s">
        <v>1044</v>
      </c>
      <c r="D4407" s="21" t="s">
        <v>1011</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1132</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1042</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1604</v>
      </c>
      <c r="B4410" s="21" t="s">
        <v>1094</v>
      </c>
      <c r="C4410" s="21" t="s">
        <v>1044</v>
      </c>
      <c r="D4410" s="21" t="s">
        <v>1011</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1427</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1658</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1190</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1137</v>
      </c>
      <c r="B4414" s="21" t="s">
        <v>1109</v>
      </c>
      <c r="C4414" s="21" t="s">
        <v>1010</v>
      </c>
      <c r="D4414" s="21" t="s">
        <v>1011</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1183</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1013</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1422</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1243</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1843</v>
      </c>
      <c r="B4419" s="21" t="s">
        <v>1111</v>
      </c>
      <c r="C4419" s="21" t="s">
        <v>1072</v>
      </c>
      <c r="D4419" s="21" t="s">
        <v>1011</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1022</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row>
    <row r="4422" spans="1:12">
      <c r="A4422" s="20" t="s">
        <v>2069</v>
      </c>
    </row>
    <row r="4423" spans="1:12">
      <c r="A4423" s="20" t="s">
        <v>1995</v>
      </c>
      <c r="B4423" s="21" t="s">
        <v>1071</v>
      </c>
      <c r="C4423" s="21" t="s">
        <v>1017</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1099</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1813</v>
      </c>
      <c r="B4425" s="21" t="s">
        <v>1039</v>
      </c>
      <c r="C4425" s="21" t="s">
        <v>1010</v>
      </c>
      <c r="D4425" s="21" t="s">
        <v>1011</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1183</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1662</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1014</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1267</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122</v>
      </c>
      <c r="B4430" s="21" t="s">
        <v>1016</v>
      </c>
      <c r="C4430" s="21" t="s">
        <v>1017</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1784</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1042</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1188</v>
      </c>
      <c r="B4433" s="21" t="s">
        <v>1021</v>
      </c>
      <c r="C4433" s="21" t="s">
        <v>1044</v>
      </c>
      <c r="D4433" s="21" t="s">
        <v>1011</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1018</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1042</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1766</v>
      </c>
      <c r="B4436" s="21" t="s">
        <v>1091</v>
      </c>
      <c r="C4436" s="21" t="s">
        <v>1044</v>
      </c>
      <c r="D4436" s="21" t="s">
        <v>1011</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1022</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row>
    <row r="4439" spans="1:12">
      <c r="A4439" s="20" t="s">
        <v>2070</v>
      </c>
    </row>
    <row r="4440" spans="1:12">
      <c r="A4440" s="20" t="s">
        <v>2071</v>
      </c>
      <c r="B4440" s="21" t="s">
        <v>1071</v>
      </c>
      <c r="C4440" s="21" t="s">
        <v>1230</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1045</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1100</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1950</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2072</v>
      </c>
      <c r="B4444" s="21" t="s">
        <v>1009</v>
      </c>
      <c r="C4444" s="21" t="s">
        <v>1017</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1074</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1201</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1421</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1283</v>
      </c>
      <c r="B4448" s="21" t="s">
        <v>1142</v>
      </c>
      <c r="C4448" s="21" t="s">
        <v>1102</v>
      </c>
      <c r="D4448" s="21" t="s">
        <v>1011</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1186</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1243</v>
      </c>
      <c r="B4450" s="21" t="s">
        <v>1091</v>
      </c>
      <c r="C4450" s="21" t="s">
        <v>1026</v>
      </c>
      <c r="D4450" s="21" t="s">
        <v>1011</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1251</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row>
    <row r="4453" spans="1:12">
      <c r="A4453" s="20" t="s">
        <v>1264</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2073</v>
      </c>
    </row>
    <row r="4455" spans="1:12">
      <c r="A4455" s="20" t="s">
        <v>2035</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1099</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1734</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1032</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1052</v>
      </c>
      <c r="B4459" s="21" t="s">
        <v>1009</v>
      </c>
      <c r="C4459" s="21" t="s">
        <v>1010</v>
      </c>
      <c r="D4459" s="21" t="s">
        <v>1011</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90</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1097</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2074</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1028</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2075</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1832</v>
      </c>
      <c r="B4465" s="21" t="s">
        <v>1048</v>
      </c>
      <c r="C4465" s="21" t="s">
        <v>1030</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1032</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1020</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1100</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1173</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1317</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1070</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1765</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2076</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2077</v>
      </c>
      <c r="B4474" s="21" t="s">
        <v>1039</v>
      </c>
      <c r="C4474" s="21" t="s">
        <v>1072</v>
      </c>
      <c r="D4474" s="21" t="s">
        <v>1011</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1018</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2078</v>
      </c>
      <c r="B4476" s="21" t="s">
        <v>1021</v>
      </c>
      <c r="C4476" s="21" t="s">
        <v>1102</v>
      </c>
      <c r="D4476" s="21" t="s">
        <v>1011</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1025</v>
      </c>
      <c r="B4477" s="21" t="s">
        <v>1101</v>
      </c>
      <c r="C4477" s="21" t="s">
        <v>1026</v>
      </c>
      <c r="D4477" s="21" t="s">
        <v>1011</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1173</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1756</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1269</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t="s">
        <v>1465</v>
      </c>
      <c r="E4481" s="22">
        <f>IF(D4481="?OLD","!!!","")</f>
        <v/>
      </c>
      <c r="F4481" s="23" t="str">
        <f>IF(OR(E4481="",E4481="!!!"),"",IF(NOT(ISNA(VLOOKUP(E4481,E$1:E4480,1,FALSE()))),"OLD",IF(AND(E4481&lt;&gt;"",E4481&lt;&gt;"!!!"),"NEW","")))</f>
        <v> </v>
      </c>
      <c r="G4481" s="24" t="str">
        <f>IF(OR(E4481="",E4481="!!!"),"",IF(OR(J4481=0,AND(J4481=1,K4481=1),AND(J4481=1,I4481="SBJ"),AND(J4481=1,I4481=0)),"?IN_FOCUS",IF(J4481&lt;=2,"?ACTIVATED",IF(J4481&lt;&gt;"","?FAMILIAR",IF(F4481="NEW",IF(ISNA(VLOOKUP(E4481,#REF!,1,FALSE())),"?TYPE_IDENTIFIABLE","?REFERENTIAL"),"_")))))</f>
        <v> </v>
      </c>
      <c r="H4481" s="25" t="str">
        <f>IF(J4481&lt;&gt;1,"",IF(I4481="SBJ","CB","?"))</f>
        <v> </v>
      </c>
      <c r="I4481" s="26" t="str">
        <f>IF(OR(E4481="",E4481="!!!",F4481="NEW"),"",INDEX(B4480:B$2,-1+SUMPRODUCT(MAX(ROW(E4480:E$2)*(E4481=E4480:E$2)))))</f>
        <v> </v>
      </c>
      <c r="J4481" s="26" t="str">
        <f>IF(OR(E4481="",E4481="!!!",F4481="NEW"),"",COUNTBLANK(OFFSET(A$1,,,SUMPRODUCT(MAX(ROW(E$2:E4481)*(E4481=E$2:E4481)))))-COUNTBLANK(OFFSET(A$1,,,SUMPRODUCT(MAX(ROW(E$1:E4480)*(E2=E$1:E4480))))))</f>
        <v> </v>
      </c>
      <c r="K4481" s="26" t="str">
        <f>IF(OR(E4481="",E4481="!!!",F4481="NEW"),"",INDEX(J$1:J4480,SUMPRODUCT(MAX(ROW(E$1:E4480)*(E4481=E$1:E4480)))))</f>
        <v> </v>
      </c>
      <c r="L4481" s="27"/>
    </row>
    <row r="4482" spans="1:12">
      <c r="A4482" s="20" t="s">
        <v>1022</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1269</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row>
    <row r="4485" spans="1:12">
      <c r="A4485" s="20" t="s">
        <v>2079</v>
      </c>
    </row>
    <row r="4486" spans="1:12">
      <c r="A4486" s="20" t="s">
        <v>1124</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1052</v>
      </c>
      <c r="B4487" s="21" t="s">
        <v>1009</v>
      </c>
      <c r="C4487" s="21" t="s">
        <v>1010</v>
      </c>
      <c r="D4487" s="21" t="s">
        <v>1011</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1168</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1329</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1028</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1286</v>
      </c>
      <c r="B4491" s="21" t="s">
        <v>1048</v>
      </c>
      <c r="C4491" s="21" t="s">
        <v>1030</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1132</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2072</v>
      </c>
      <c r="B4493" s="21" t="s">
        <v>1016</v>
      </c>
      <c r="C4493" s="21" t="s">
        <v>1017</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1022</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row>
    <row r="4496" spans="1:12">
      <c r="A4496" s="20" t="s">
        <v>2080</v>
      </c>
    </row>
    <row r="4497" spans="1:12">
      <c r="A4497" s="20" t="s">
        <v>1637</v>
      </c>
      <c r="B4497" s="21" t="s">
        <v>1009</v>
      </c>
      <c r="C4497" s="21" t="s">
        <v>1017</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1227</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1042</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1772</v>
      </c>
      <c r="B4500" s="21" t="s">
        <v>1016</v>
      </c>
      <c r="C4500" s="21" t="s">
        <v>1044</v>
      </c>
      <c r="D4500" s="21" t="s">
        <v>1011</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90</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1310</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1074</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2081</v>
      </c>
      <c r="B4504" s="21" t="s">
        <v>1071</v>
      </c>
      <c r="C4504" s="21" t="s">
        <v>1165</v>
      </c>
      <c r="D4504" s="21" t="s">
        <v>1011</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t="s">
        <v>1032</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2082</v>
      </c>
      <c r="B4506" s="21" t="s">
        <v>1071</v>
      </c>
      <c r="C4506" s="21" t="s">
        <v>1165</v>
      </c>
      <c r="D4506" s="21" t="s">
        <v>1011</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1032</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1872</v>
      </c>
      <c r="B4508" s="21" t="s">
        <v>1071</v>
      </c>
      <c r="C4508" s="21" t="s">
        <v>1165</v>
      </c>
      <c r="D4508" s="21" t="s">
        <v>1011</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1022</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row>
    <row r="4511" spans="1:12">
      <c r="A4511" s="20" t="s">
        <v>2083</v>
      </c>
    </row>
    <row r="4512" spans="1:12">
      <c r="A4512" s="20" t="s">
        <v>1008</v>
      </c>
      <c r="B4512" s="21" t="s">
        <v>1009</v>
      </c>
      <c r="C4512" s="21" t="s">
        <v>1010</v>
      </c>
      <c r="D4512" s="21" t="s">
        <v>1011</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1168</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1310</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500</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2084</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1042</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2085</v>
      </c>
      <c r="B4518" s="21" t="s">
        <v>1088</v>
      </c>
      <c r="C4518" s="21" t="s">
        <v>1044</v>
      </c>
      <c r="D4518" s="21" t="s">
        <v>1011</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1132</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1019</v>
      </c>
      <c r="B4520" s="21" t="s">
        <v>1021</v>
      </c>
      <c r="C4520" s="21" t="s">
        <v>1017</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1414</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1032</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1662</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1018</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1225</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1243</v>
      </c>
      <c r="B4526" s="21" t="s">
        <v>1053</v>
      </c>
      <c r="C4526" s="21" t="s">
        <v>1026</v>
      </c>
      <c r="D4526" s="21" t="s">
        <v>1011</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2086</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2028</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1042</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1019</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1964</v>
      </c>
      <c r="B4531" s="21" t="s">
        <v>1091</v>
      </c>
      <c r="C4531" s="21" t="s">
        <v>1044</v>
      </c>
      <c r="D4531" s="21" t="s">
        <v>1011</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1022</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row>
    <row r="4534" spans="1:12">
      <c r="A4534" s="20" t="s">
        <v>2087</v>
      </c>
    </row>
    <row r="4535" spans="1:12">
      <c r="A4535" s="20" t="s">
        <v>1124</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1008</v>
      </c>
      <c r="B4536" s="21" t="s">
        <v>1009</v>
      </c>
      <c r="C4536" s="21" t="s">
        <v>1010</v>
      </c>
      <c r="D4536" s="21" t="s">
        <v>1011</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1012</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1440</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1022</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row>
    <row r="4541" spans="1:12">
      <c r="A4541" s="20" t="s">
        <v>2088</v>
      </c>
    </row>
    <row r="4542" spans="1:12">
      <c r="A4542" s="20" t="s">
        <v>1084</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2089</v>
      </c>
      <c r="B4543" s="21" t="s">
        <v>1009</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1020</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2090</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90</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2006</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1211</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1038</v>
      </c>
      <c r="B4549" s="21" t="s">
        <v>1048</v>
      </c>
      <c r="C4549" s="21" t="s">
        <v>1092</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1022</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row>
    <row r="4552" spans="1:12">
      <c r="A4552" s="20" t="s">
        <v>2091</v>
      </c>
    </row>
    <row r="4553" spans="1:12">
      <c r="A4553" s="20" t="s">
        <v>1282</v>
      </c>
      <c r="B4553" s="21" t="s">
        <v>1009</v>
      </c>
      <c r="C4553" s="21" t="s">
        <v>1026</v>
      </c>
      <c r="D4553" s="21" t="s">
        <v>1011</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1045</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t="s">
        <v>1028</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2092</v>
      </c>
      <c r="B4556" s="21" t="s">
        <v>1071</v>
      </c>
      <c r="C4556" s="21" t="s">
        <v>1030</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1081</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1283</v>
      </c>
      <c r="B4558" s="21" t="s">
        <v>1071</v>
      </c>
      <c r="C4558" s="21" t="s">
        <v>1102</v>
      </c>
      <c r="D4558" s="21" t="s">
        <v>1011</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1025</v>
      </c>
      <c r="B4559" s="21" t="s">
        <v>1175</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1150</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1310</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2006</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1022</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row>
    <row r="4565" spans="1:12">
      <c r="A4565" s="20" t="s">
        <v>2093</v>
      </c>
    </row>
    <row r="4566" spans="1:12">
      <c r="A4566" s="20" t="s">
        <v>1266</v>
      </c>
      <c r="B4566" s="21" t="s">
        <v>1009</v>
      </c>
      <c r="C4566" s="21" t="s">
        <v>1010</v>
      </c>
      <c r="D4566" s="21" t="s">
        <v>1011</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1173</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1303</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1069</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2094</v>
      </c>
      <c r="B4570" s="21" t="s">
        <v>1071</v>
      </c>
      <c r="C4570" s="21" t="s">
        <v>1030</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1032</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1234</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1121</v>
      </c>
      <c r="B4573" s="21" t="s">
        <v>1039</v>
      </c>
      <c r="C4573" s="21" t="s">
        <v>1010</v>
      </c>
      <c r="D4573" s="21" t="s">
        <v>1011</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1173</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1434</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1028</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2095</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1827</v>
      </c>
      <c r="B4578" s="21" t="s">
        <v>1071</v>
      </c>
      <c r="C4578" s="21" t="s">
        <v>1030</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1032</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1020</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1028</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1286</v>
      </c>
      <c r="B4582" s="21" t="s">
        <v>1039</v>
      </c>
      <c r="C4582" s="21" t="s">
        <v>1030</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1132</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1299</v>
      </c>
      <c r="B4584" s="21" t="s">
        <v>1021</v>
      </c>
      <c r="C4584" s="21" t="s">
        <v>1017</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90</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t="s">
        <v>2019</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1128</v>
      </c>
      <c r="B4587" s="21" t="s">
        <v>1088</v>
      </c>
      <c r="C4587" s="21" t="s">
        <v>1010</v>
      </c>
      <c r="D4587" s="21" t="s">
        <v>1011</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1032</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767</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2096</v>
      </c>
      <c r="B4590" s="21" t="s">
        <v>1039</v>
      </c>
      <c r="C4590" s="21" t="s">
        <v>1102</v>
      </c>
      <c r="D4590" s="21" t="s">
        <v>1011</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1521</v>
      </c>
      <c r="B4591" s="21" t="s">
        <v>1053</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1173</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2006</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1028</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2095</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1827</v>
      </c>
      <c r="B4596" s="21" t="s">
        <v>1051</v>
      </c>
      <c r="C4596" s="21" t="s">
        <v>1030</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1045</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1028</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2097</v>
      </c>
      <c r="B4599" s="21" t="s">
        <v>1071</v>
      </c>
      <c r="C4599" s="21" t="s">
        <v>1030</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1014</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82</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1231</v>
      </c>
      <c r="B4602" s="21" t="s">
        <v>1021</v>
      </c>
      <c r="C4602" s="21" t="s">
        <v>1230</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1042</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1446</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1140</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1207</v>
      </c>
      <c r="B4606" s="21" t="s">
        <v>1053</v>
      </c>
      <c r="C4606" s="21" t="s">
        <v>1322</v>
      </c>
      <c r="D4606" s="21" t="s">
        <v>1011</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2019</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1022</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row>
    <row r="4610" spans="1:12">
      <c r="A4610" s="20" t="s">
        <v>2024</v>
      </c>
    </row>
    <row r="4611" spans="1:12">
      <c r="A4611" s="20" t="s">
        <v>1995</v>
      </c>
      <c r="B4611" s="21" t="s">
        <v>1071</v>
      </c>
      <c r="C4611" s="21" t="s">
        <v>1017</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1099</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row>
    <row r="4614" spans="1:12">
      <c r="A4614" s="20" t="s">
        <v>2098</v>
      </c>
    </row>
    <row r="4615" spans="1:12">
      <c r="A4615" s="20" t="s">
        <v>1124</v>
      </c>
      <c r="E4615" s="22">
        <f>IF(D4615="?OLD","!!!","")</f>
        <v/>
      </c>
      <c r="F4615" s="23" t="str">
        <f>IF(OR(E4615="",E4615="!!!"),"",IF(NOT(ISNA(VLOOKUP(E4615,E$1:E4614,1,FALSE()))),"OLD",IF(AND(E4615&lt;&gt;"",E4615&lt;&gt;"!!!"),"NEW","")))</f>
        <v> </v>
      </c>
      <c r="G4615" s="24" t="str">
        <f>IF(OR(E4615="",E4615="!!!"),"",IF(OR(J4615=0,AND(J4615=1,K4615=1),AND(J4615=1,I4615="SBJ"),AND(J4615=1,I4615=0)),"?IN_FOCUS",IF(J4615&lt;=2,"?ACTIVATED",IF(J4615&lt;&gt;"","?FAMILIAR",IF(F4615="NEW",IF(ISNA(VLOOKUP(E4615,#REF!,1,FALSE())),"?TYPE_IDENTIFIABLE","?REFERENTIAL"),"_")))))</f>
        <v> </v>
      </c>
      <c r="H4615" s="25" t="str">
        <f>IF(J4615&lt;&gt;1,"",IF(I4615="SBJ","CB","?"))</f>
        <v> </v>
      </c>
      <c r="I4615" s="26" t="str">
        <f>IF(OR(E4615="",E4615="!!!",F4615="NEW"),"",INDEX(B4614:B$2,-1+SUMPRODUCT(MAX(ROW(E4614:E$2)*(E4615=E4614:E$2)))))</f>
        <v> </v>
      </c>
      <c r="J4615" s="26" t="str">
        <f>IF(OR(E4615="",E4615="!!!",F4615="NEW"),"",COUNTBLANK(OFFSET(A$1,,,SUMPRODUCT(MAX(ROW(E$2:E4615)*(E4615=E$2:E4615)))))-COUNTBLANK(OFFSET(A$1,,,SUMPRODUCT(MAX(ROW(E$1:E4614)*(E2=E$1:E4614))))))</f>
        <v> </v>
      </c>
      <c r="K4615" s="26" t="str">
        <f>IF(OR(E4615="",E4615="!!!",F4615="NEW"),"",INDEX(J$1:J4614,SUMPRODUCT(MAX(ROW(E$1:E4614)*(E4615=E$1:E4614)))))</f>
        <v> </v>
      </c>
      <c r="L4615" s="27"/>
    </row>
    <row r="4616" spans="1:12">
      <c r="A4616" s="20" t="s">
        <v>1032</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1074</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1401</v>
      </c>
      <c r="B4618" s="21" t="s">
        <v>1016</v>
      </c>
      <c r="C4618" s="21" t="s">
        <v>1035</v>
      </c>
      <c r="D4618" s="21" t="s">
        <v>1011</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2099</v>
      </c>
      <c r="B4619" s="21" t="s">
        <v>1071</v>
      </c>
      <c r="C4619" s="21" t="s">
        <v>1040</v>
      </c>
      <c r="D4619" s="21" t="s">
        <v>1011</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1032</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808</v>
      </c>
      <c r="B4621" s="21" t="s">
        <v>1071</v>
      </c>
      <c r="C4621" s="21" t="s">
        <v>1017</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1020</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2100</v>
      </c>
      <c r="B4623" s="21" t="s">
        <v>1071</v>
      </c>
      <c r="C4623" s="21" t="s">
        <v>1017</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1132</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1201</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1774</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1283</v>
      </c>
      <c r="B4627" s="21" t="s">
        <v>1142</v>
      </c>
      <c r="C4627" s="21" t="s">
        <v>1102</v>
      </c>
      <c r="D4627" s="21" t="s">
        <v>1011</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1434</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1243</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1061</v>
      </c>
      <c r="B4630" s="21" t="s">
        <v>1021</v>
      </c>
      <c r="C4630" s="21" t="s">
        <v>1072</v>
      </c>
      <c r="D4630" s="21" t="s">
        <v>1011</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1251</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row>
    <row r="4633" spans="1:12">
      <c r="A4633" s="20" t="s">
        <v>2101</v>
      </c>
    </row>
    <row r="4634" spans="1:12">
      <c r="A4634" s="20" t="s">
        <v>2035</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t="s">
        <v>1099</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t="s">
        <v>1734</v>
      </c>
      <c r="E4636" s="22">
        <f>IF(D4636="?OLD","!!!","")</f>
        <v/>
      </c>
      <c r="F4636" s="23" t="str">
        <f>IF(OR(E4636="",E4636="!!!"),"",IF(NOT(ISNA(VLOOKUP(E4636,E$1:E4635,1,FALSE()))),"OLD",IF(AND(E4636&lt;&gt;"",E4636&lt;&gt;"!!!"),"NEW","")))</f>
        <v> </v>
      </c>
      <c r="G4636" s="24" t="str">
        <f>IF(OR(E4636="",E4636="!!!"),"",IF(OR(J4636=0,AND(J4636=1,K4636=1),AND(J4636=1,I4636="SBJ"),AND(J4636=1,I4636=0)),"?IN_FOCUS",IF(J4636&lt;=2,"?ACTIVATED",IF(J4636&lt;&gt;"","?FAMILIAR",IF(F4636="NEW",IF(ISNA(VLOOKUP(E4636,#REF!,1,FALSE())),"?TYPE_IDENTIFIABLE","?REFERENTIAL"),"_")))))</f>
        <v> </v>
      </c>
      <c r="H4636" s="25" t="str">
        <f>IF(J4636&lt;&gt;1,"",IF(I4636="SBJ","CB","?"))</f>
        <v> </v>
      </c>
      <c r="I4636" s="26" t="str">
        <f>IF(OR(E4636="",E4636="!!!",F4636="NEW"),"",INDEX(B4635:B$2,-1+SUMPRODUCT(MAX(ROW(E4635:E$2)*(E4636=E4635:E$2)))))</f>
        <v> </v>
      </c>
      <c r="J4636" s="26" t="str">
        <f>IF(OR(E4636="",E4636="!!!",F4636="NEW"),"",COUNTBLANK(OFFSET(A$1,,,SUMPRODUCT(MAX(ROW(E$2:E4636)*(E4636=E$2:E4636)))))-COUNTBLANK(OFFSET(A$1,,,SUMPRODUCT(MAX(ROW(E$1:E4635)*(E2=E$1:E4635))))))</f>
        <v> </v>
      </c>
      <c r="K4636" s="26" t="str">
        <f>IF(OR(E4636="",E4636="!!!",F4636="NEW"),"",INDEX(J$1:J4635,SUMPRODUCT(MAX(ROW(E$1:E4635)*(E4636=E$1:E4635)))))</f>
        <v> </v>
      </c>
      <c r="L4636" s="27"/>
    </row>
    <row r="4637" spans="1:12">
      <c r="A4637" s="20" t="s">
        <v>1032</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1052</v>
      </c>
      <c r="B4638" s="21" t="s">
        <v>1009</v>
      </c>
      <c r="C4638" s="21" t="s">
        <v>1010</v>
      </c>
      <c r="D4638" s="21" t="s">
        <v>1011</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259</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12</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1127</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1140</v>
      </c>
      <c r="B4642" s="21" t="s">
        <v>1071</v>
      </c>
      <c r="C4642" s="21" t="s">
        <v>1040</v>
      </c>
      <c r="D4642" s="21" t="s">
        <v>1011</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1132</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1070</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1273</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12</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1469</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1032</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2102</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1050</v>
      </c>
      <c r="B4650" s="21" t="s">
        <v>1016</v>
      </c>
      <c r="C4650" s="21" t="s">
        <v>1072</v>
      </c>
      <c r="D4650" s="21" t="s">
        <v>1011</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t="s">
        <v>1025</v>
      </c>
      <c r="B4651" s="21" t="s">
        <v>1053</v>
      </c>
      <c r="E4651" s="22">
        <f>IF(D4651="?OLD","!!!","")</f>
        <v/>
      </c>
      <c r="F4651" s="23" t="str">
        <f>IF(OR(E4651="",E4651="!!!"),"",IF(NOT(ISNA(VLOOKUP(E4651,E$1:E4650,1,FALSE()))),"OLD",IF(AND(E4651&lt;&gt;"",E4651&lt;&gt;"!!!"),"NEW","")))</f>
        <v> </v>
      </c>
      <c r="G4651" s="24" t="str">
        <f>IF(OR(E4651="",E4651="!!!"),"",IF(OR(J4651=0,AND(J4651=1,K4651=1),AND(J4651=1,I4651="SBJ"),AND(J4651=1,I4651=0)),"?IN_FOCUS",IF(J4651&lt;=2,"?ACTIVATED",IF(J4651&lt;&gt;"","?FAMILIAR",IF(F4651="NEW",IF(ISNA(VLOOKUP(E4651,#REF!,1,FALSE())),"?TYPE_IDENTIFIABLE","?REFERENTIAL"),"_")))))</f>
        <v> </v>
      </c>
      <c r="H4651" s="25" t="str">
        <f>IF(J4651&lt;&gt;1,"",IF(I4651="SBJ","CB","?"))</f>
        <v> </v>
      </c>
      <c r="I4651" s="26" t="str">
        <f>IF(OR(E4651="",E4651="!!!",F4651="NEW"),"",INDEX(B4650:B$2,-1+SUMPRODUCT(MAX(ROW(E4650:E$2)*(E4651=E4650:E$2)))))</f>
        <v> </v>
      </c>
      <c r="J4651" s="26" t="str">
        <f>IF(OR(E4651="",E4651="!!!",F4651="NEW"),"",COUNTBLANK(OFFSET(A$1,,,SUMPRODUCT(MAX(ROW(E$2:E4651)*(E4651=E$2:E4651)))))-COUNTBLANK(OFFSET(A$1,,,SUMPRODUCT(MAX(ROW(E$1:E4650)*(E2=E$1:E4650))))))</f>
        <v> </v>
      </c>
      <c r="K4651" s="26" t="str">
        <f>IF(OR(E4651="",E4651="!!!",F4651="NEW"),"",INDEX(J$1:J4650,SUMPRODUCT(MAX(ROW(E$1:E4650)*(E4651=E$1:E4650)))))</f>
        <v> </v>
      </c>
      <c r="L4651" s="27"/>
    </row>
    <row r="4652" spans="1:12">
      <c r="A4652" s="20" t="s">
        <v>1173</v>
      </c>
      <c r="E4652" s="22">
        <f>IF(D4652="?OLD","!!!","")</f>
        <v/>
      </c>
      <c r="F4652" s="23" t="str">
        <f>IF(OR(E4652="",E4652="!!!"),"",IF(NOT(ISNA(VLOOKUP(E4652,E$1:E4651,1,FALSE()))),"OLD",IF(AND(E4652&lt;&gt;"",E4652&lt;&gt;"!!!"),"NEW","")))</f>
        <v> </v>
      </c>
      <c r="G4652" s="24" t="str">
        <f>IF(OR(E4652="",E4652="!!!"),"",IF(OR(J4652=0,AND(J4652=1,K4652=1),AND(J4652=1,I4652="SBJ"),AND(J4652=1,I4652=0)),"?IN_FOCUS",IF(J4652&lt;=2,"?ACTIVATED",IF(J4652&lt;&gt;"","?FAMILIAR",IF(F4652="NEW",IF(ISNA(VLOOKUP(E4652,#REF!,1,FALSE())),"?TYPE_IDENTIFIABLE","?REFERENTIAL"),"_")))))</f>
        <v> </v>
      </c>
      <c r="H4652" s="25" t="str">
        <f>IF(J4652&lt;&gt;1,"",IF(I4652="SBJ","CB","?"))</f>
        <v> </v>
      </c>
      <c r="I4652" s="26" t="str">
        <f>IF(OR(E4652="",E4652="!!!",F4652="NEW"),"",INDEX(B4651:B$2,-1+SUMPRODUCT(MAX(ROW(E4651:E$2)*(E4652=E4651:E$2)))))</f>
        <v> </v>
      </c>
      <c r="J4652" s="26" t="str">
        <f>IF(OR(E4652="",E4652="!!!",F4652="NEW"),"",COUNTBLANK(OFFSET(A$1,,,SUMPRODUCT(MAX(ROW(E$2:E4652)*(E4652=E$2:E4652)))))-COUNTBLANK(OFFSET(A$1,,,SUMPRODUCT(MAX(ROW(E$1:E4651)*(E2=E$1:E4651))))))</f>
        <v> </v>
      </c>
      <c r="K4652" s="26" t="str">
        <f>IF(OR(E4652="",E4652="!!!",F4652="NEW"),"",INDEX(J$1:J4651,SUMPRODUCT(MAX(ROW(E$1:E4651)*(E4652=E$1:E4651)))))</f>
        <v> </v>
      </c>
      <c r="L4652" s="27"/>
    </row>
    <row r="4653" spans="1:12">
      <c r="A4653" s="20" t="s">
        <v>1133</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1194</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1032</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1052</v>
      </c>
      <c r="B4656" s="21" t="s">
        <v>1039</v>
      </c>
      <c r="C4656" s="21" t="s">
        <v>1010</v>
      </c>
      <c r="D4656" s="21" t="s">
        <v>1011</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90</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93</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1090</v>
      </c>
      <c r="B4659" s="21" t="s">
        <v>1088</v>
      </c>
      <c r="C4659" s="21" t="s">
        <v>1092</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1014</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1054</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1020</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1631</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93</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1090</v>
      </c>
      <c r="B4665" s="21" t="s">
        <v>1016</v>
      </c>
      <c r="C4665" s="21" t="s">
        <v>1092</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1014</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589</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1022</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row>
    <row r="4670" spans="1:12">
      <c r="A4670" s="20" t="s">
        <v>2103</v>
      </c>
    </row>
    <row r="4671" spans="1:12">
      <c r="A4671" s="20" t="s">
        <v>1350</v>
      </c>
      <c r="B4671" s="21" t="s">
        <v>1009</v>
      </c>
      <c r="C4671" s="21" t="s">
        <v>1026</v>
      </c>
      <c r="D4671" s="21" t="s">
        <v>1011</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1173</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1279</v>
      </c>
      <c r="B4673" s="21" t="s">
        <v>1071</v>
      </c>
      <c r="C4673" s="21" t="s">
        <v>1017</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1132</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t="s">
        <v>1042</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1493</v>
      </c>
      <c r="B4676" s="21" t="s">
        <v>1071</v>
      </c>
      <c r="C4676" s="21" t="s">
        <v>1044</v>
      </c>
      <c r="D4676" s="21" t="s">
        <v>1011</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t="s">
        <v>1025</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1042</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2104</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2105</v>
      </c>
      <c r="B4680" s="21" t="s">
        <v>1175</v>
      </c>
      <c r="C4680" s="21" t="s">
        <v>1044</v>
      </c>
      <c r="D4680" s="21" t="s">
        <v>1011</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90</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2106</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1732</v>
      </c>
      <c r="B4683" s="21" t="s">
        <v>1142</v>
      </c>
      <c r="C4683" s="21" t="s">
        <v>1010</v>
      </c>
      <c r="D4683" s="21" t="s">
        <v>1011</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1025</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1052</v>
      </c>
      <c r="B4685" s="21" t="s">
        <v>1053</v>
      </c>
      <c r="C4685" s="21" t="s">
        <v>1010</v>
      </c>
      <c r="D4685" s="21" t="s">
        <v>1011</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90</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1014</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t="s">
        <v>819</v>
      </c>
      <c r="E4688" s="22">
        <f>IF(D4688="?OLD","!!!","")</f>
        <v/>
      </c>
      <c r="F4688" s="23" t="str">
        <f>IF(OR(E4688="",E4688="!!!"),"",IF(NOT(ISNA(VLOOKUP(E4688,E$1:E4687,1,FALSE()))),"OLD",IF(AND(E4688&lt;&gt;"",E4688&lt;&gt;"!!!"),"NEW","")))</f>
        <v> </v>
      </c>
      <c r="G4688" s="24" t="str">
        <f>IF(OR(E4688="",E4688="!!!"),"",IF(OR(J4688=0,AND(J4688=1,K4688=1),AND(J4688=1,I4688="SBJ"),AND(J4688=1,I4688=0)),"?IN_FOCUS",IF(J4688&lt;=2,"?ACTIVATED",IF(J4688&lt;&gt;"","?FAMILIAR",IF(F4688="NEW",IF(ISNA(VLOOKUP(E4688,#REF!,1,FALSE())),"?TYPE_IDENTIFIABLE","?REFERENTIAL"),"_")))))</f>
        <v> </v>
      </c>
      <c r="H4688" s="25" t="str">
        <f>IF(J4688&lt;&gt;1,"",IF(I4688="SBJ","CB","?"))</f>
        <v> </v>
      </c>
      <c r="I4688" s="26" t="str">
        <f>IF(OR(E4688="",E4688="!!!",F4688="NEW"),"",INDEX(B4687:B$2,-1+SUMPRODUCT(MAX(ROW(E4687:E$2)*(E4688=E4687:E$2)))))</f>
        <v> </v>
      </c>
      <c r="J4688" s="26" t="str">
        <f>IF(OR(E4688="",E4688="!!!",F4688="NEW"),"",COUNTBLANK(OFFSET(A$1,,,SUMPRODUCT(MAX(ROW(E$2:E4688)*(E4688=E$2:E4688)))))-COUNTBLANK(OFFSET(A$1,,,SUMPRODUCT(MAX(ROW(E$1:E4687)*(E2=E$1:E4687))))))</f>
        <v> </v>
      </c>
      <c r="K4688" s="26" t="str">
        <f>IF(OR(E4688="",E4688="!!!",F4688="NEW"),"",INDEX(J$1:J4687,SUMPRODUCT(MAX(ROW(E$1:E4687)*(E4688=E$1:E4687)))))</f>
        <v> </v>
      </c>
      <c r="L4688" s="27"/>
    </row>
    <row r="4689" spans="1:12">
      <c r="A4689" s="20" t="s">
        <v>1022</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row>
    <row r="4691" spans="1:12">
      <c r="A4691" s="20" t="s">
        <v>2107</v>
      </c>
    </row>
    <row r="4692" spans="1:12">
      <c r="A4692" s="20" t="s">
        <v>1024</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1786</v>
      </c>
      <c r="B4693" s="21" t="s">
        <v>1009</v>
      </c>
      <c r="C4693" s="21" t="s">
        <v>1017</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12</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1136</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1050</v>
      </c>
      <c r="B4696" s="21" t="s">
        <v>1175</v>
      </c>
      <c r="C4696" s="21" t="s">
        <v>1017</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13</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2108</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1032</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1790</v>
      </c>
      <c r="B4700" s="21" t="s">
        <v>1175</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t="s">
        <v>1045</v>
      </c>
      <c r="E4701" s="22">
        <f>IF(D4701="?OLD","!!!","")</f>
        <v/>
      </c>
      <c r="F4701" s="23" t="str">
        <f>IF(OR(E4701="",E4701="!!!"),"",IF(NOT(ISNA(VLOOKUP(E4701,E$1:E4700,1,FALSE()))),"OLD",IF(AND(E4701&lt;&gt;"",E4701&lt;&gt;"!!!"),"NEW","")))</f>
        <v> </v>
      </c>
      <c r="G4701" s="24" t="str">
        <f>IF(OR(E4701="",E4701="!!!"),"",IF(OR(J4701=0,AND(J4701=1,K4701=1),AND(J4701=1,I4701="SBJ"),AND(J4701=1,I4701=0)),"?IN_FOCUS",IF(J4701&lt;=2,"?ACTIVATED",IF(J4701&lt;&gt;"","?FAMILIAR",IF(F4701="NEW",IF(ISNA(VLOOKUP(E4701,#REF!,1,FALSE())),"?TYPE_IDENTIFIABLE","?REFERENTIAL"),"_")))))</f>
        <v> </v>
      </c>
      <c r="H4701" s="25" t="str">
        <f>IF(J4701&lt;&gt;1,"",IF(I4701="SBJ","CB","?"))</f>
        <v> </v>
      </c>
      <c r="I4701" s="26" t="str">
        <f>IF(OR(E4701="",E4701="!!!",F4701="NEW"),"",INDEX(B4700:B$2,-1+SUMPRODUCT(MAX(ROW(E4700:E$2)*(E4701=E4700:E$2)))))</f>
        <v> </v>
      </c>
      <c r="J4701" s="26" t="str">
        <f>IF(OR(E4701="",E4701="!!!",F4701="NEW"),"",COUNTBLANK(OFFSET(A$1,,,SUMPRODUCT(MAX(ROW(E$2:E4701)*(E4701=E$2:E4701)))))-COUNTBLANK(OFFSET(A$1,,,SUMPRODUCT(MAX(ROW(E$1:E4700)*(E2=E$1:E4700))))))</f>
        <v> </v>
      </c>
      <c r="K4701" s="26" t="str">
        <f>IF(OR(E4701="",E4701="!!!",F4701="NEW"),"",INDEX(J$1:J4700,SUMPRODUCT(MAX(ROW(E$1:E4700)*(E4701=E$1:E4700)))))</f>
        <v> </v>
      </c>
      <c r="L4701" s="27"/>
    </row>
    <row r="4702" spans="1:12">
      <c r="A4702" s="20" t="s">
        <v>2109</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t="s">
        <v>1127</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1028</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1286</v>
      </c>
      <c r="B4705" s="21" t="s">
        <v>1021</v>
      </c>
      <c r="C4705" s="21" t="s">
        <v>1030</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12</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1138</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2110</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819</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1025</v>
      </c>
      <c r="B4710" s="21" t="s">
        <v>1048</v>
      </c>
      <c r="C4710" s="21" t="s">
        <v>1026</v>
      </c>
      <c r="D4710" s="21" t="s">
        <v>1011</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1022</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row>
    <row r="4713" spans="1:12">
      <c r="A4713" s="20" t="s">
        <v>2111</v>
      </c>
    </row>
    <row r="4714" spans="1:12">
      <c r="A4714" s="20" t="s">
        <v>1024</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1100</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1067</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1032</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2112</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263</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1032</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t="s">
        <v>1764</v>
      </c>
      <c r="B4721" s="21" t="s">
        <v>1009</v>
      </c>
      <c r="C4721" s="21" t="s">
        <v>1017</v>
      </c>
      <c r="E4721" s="22">
        <f>IF(D4721="?OLD","!!!","")</f>
        <v/>
      </c>
      <c r="F4721" s="23" t="str">
        <f>IF(OR(E4721="",E4721="!!!"),"",IF(NOT(ISNA(VLOOKUP(E4721,E$1:E4720,1,FALSE()))),"OLD",IF(AND(E4721&lt;&gt;"",E4721&lt;&gt;"!!!"),"NEW","")))</f>
        <v> </v>
      </c>
      <c r="G4721" s="24" t="str">
        <f>IF(OR(E4721="",E4721="!!!"),"",IF(OR(J4721=0,AND(J4721=1,K4721=1),AND(J4721=1,I4721="SBJ"),AND(J4721=1,I4721=0)),"?IN_FOCUS",IF(J4721&lt;=2,"?ACTIVATED",IF(J4721&lt;&gt;"","?FAMILIAR",IF(F4721="NEW",IF(ISNA(VLOOKUP(E4721,#REF!,1,FALSE())),"?TYPE_IDENTIFIABLE","?REFERENTIAL"),"_")))))</f>
        <v> </v>
      </c>
      <c r="H4721" s="25" t="str">
        <f>IF(J4721&lt;&gt;1,"",IF(I4721="SBJ","CB","?"))</f>
        <v> </v>
      </c>
      <c r="I4721" s="26" t="str">
        <f>IF(OR(E4721="",E4721="!!!",F4721="NEW"),"",INDEX(B4720:B$2,-1+SUMPRODUCT(MAX(ROW(E4720:E$2)*(E4721=E4720:E$2)))))</f>
        <v> </v>
      </c>
      <c r="J4721" s="26" t="str">
        <f>IF(OR(E4721="",E4721="!!!",F4721="NEW"),"",COUNTBLANK(OFFSET(A$1,,,SUMPRODUCT(MAX(ROW(E$2:E4721)*(E4721=E$2:E4721)))))-COUNTBLANK(OFFSET(A$1,,,SUMPRODUCT(MAX(ROW(E$1:E4720)*(E2=E$1:E4720))))))</f>
        <v> </v>
      </c>
      <c r="K4721" s="26" t="str">
        <f>IF(OR(E4721="",E4721="!!!",F4721="NEW"),"",INDEX(J$1:J4720,SUMPRODUCT(MAX(ROW(E$1:E4720)*(E4721=E$1:E4720)))))</f>
        <v> </v>
      </c>
      <c r="L4721" s="27"/>
    </row>
    <row r="4722" spans="1:12">
      <c r="A4722" s="20" t="s">
        <v>1132</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1736</v>
      </c>
      <c r="B4723" s="21" t="s">
        <v>1016</v>
      </c>
      <c r="C4723" s="21" t="s">
        <v>1017</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12</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1052</v>
      </c>
      <c r="B4725" s="21" t="s">
        <v>1039</v>
      </c>
      <c r="C4725" s="21" t="s">
        <v>1010</v>
      </c>
      <c r="D4725" s="21" t="s">
        <v>1011</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259</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1121</v>
      </c>
      <c r="B4727" s="21" t="s">
        <v>1088</v>
      </c>
      <c r="C4727" s="21" t="s">
        <v>1010</v>
      </c>
      <c r="D4727" s="21" t="s">
        <v>1011</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1014</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82</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1738</v>
      </c>
      <c r="B4730" s="21" t="s">
        <v>1016</v>
      </c>
      <c r="C4730" s="21" t="s">
        <v>1017</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12</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1521</v>
      </c>
      <c r="B4732" s="21" t="s">
        <v>1039</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1032</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1673</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t="s">
        <v>1032</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1136</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1093</v>
      </c>
      <c r="B4737" s="21" t="s">
        <v>1091</v>
      </c>
      <c r="C4737" s="21" t="s">
        <v>1035</v>
      </c>
      <c r="D4737" s="21" t="s">
        <v>1011</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2113</v>
      </c>
      <c r="B4738" s="21" t="s">
        <v>1175</v>
      </c>
      <c r="C4738" s="21" t="s">
        <v>1040</v>
      </c>
      <c r="D4738" s="21" t="s">
        <v>1011</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1820</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2108</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1032</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1136</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1042</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1958</v>
      </c>
      <c r="B4744" s="21" t="s">
        <v>1039</v>
      </c>
      <c r="C4744" s="21" t="s">
        <v>1044</v>
      </c>
      <c r="D4744" s="21" t="s">
        <v>1011</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t="s">
        <v>1127</v>
      </c>
      <c r="E4745" s="22">
        <f>IF(D4745="?OLD","!!!","")</f>
        <v/>
      </c>
      <c r="F4745" s="23" t="str">
        <f>IF(OR(E4745="",E4745="!!!"),"",IF(NOT(ISNA(VLOOKUP(E4745,E$1:E4744,1,FALSE()))),"OLD",IF(AND(E4745&lt;&gt;"",E4745&lt;&gt;"!!!"),"NEW","")))</f>
        <v> </v>
      </c>
      <c r="G4745" s="24" t="str">
        <f>IF(OR(E4745="",E4745="!!!"),"",IF(OR(J4745=0,AND(J4745=1,K4745=1),AND(J4745=1,I4745="SBJ"),AND(J4745=1,I4745=0)),"?IN_FOCUS",IF(J4745&lt;=2,"?ACTIVATED",IF(J4745&lt;&gt;"","?FAMILIAR",IF(F4745="NEW",IF(ISNA(VLOOKUP(E4745,#REF!,1,FALSE())),"?TYPE_IDENTIFIABLE","?REFERENTIAL"),"_")))))</f>
        <v> </v>
      </c>
      <c r="H4745" s="25" t="str">
        <f>IF(J4745&lt;&gt;1,"",IF(I4745="SBJ","CB","?"))</f>
        <v> </v>
      </c>
      <c r="I4745" s="26" t="str">
        <f>IF(OR(E4745="",E4745="!!!",F4745="NEW"),"",INDEX(B4744:B$2,-1+SUMPRODUCT(MAX(ROW(E4744:E$2)*(E4745=E4744:E$2)))))</f>
        <v> </v>
      </c>
      <c r="J4745" s="26" t="str">
        <f>IF(OR(E4745="",E4745="!!!",F4745="NEW"),"",COUNTBLANK(OFFSET(A$1,,,SUMPRODUCT(MAX(ROW(E$2:E4745)*(E4745=E$2:E4745)))))-COUNTBLANK(OFFSET(A$1,,,SUMPRODUCT(MAX(ROW(E$1:E4744)*(E2=E$1:E4744))))))</f>
        <v> </v>
      </c>
      <c r="K4745" s="26" t="str">
        <f>IF(OR(E4745="",E4745="!!!",F4745="NEW"),"",INDEX(J$1:J4744,SUMPRODUCT(MAX(ROW(E$1:E4744)*(E4745=E$1:E4744)))))</f>
        <v> </v>
      </c>
      <c r="L4745" s="27"/>
    </row>
    <row r="4746" spans="1:12">
      <c r="A4746" s="20" t="s">
        <v>1093</v>
      </c>
      <c r="B4746" s="21" t="s">
        <v>1021</v>
      </c>
      <c r="C4746" s="21" t="s">
        <v>1035</v>
      </c>
      <c r="D4746" s="21" t="s">
        <v>1011</v>
      </c>
      <c r="E4746" s="22">
        <f>IF(D4746="?OLD","!!!","")</f>
        <v/>
      </c>
      <c r="F4746" s="23" t="str">
        <f>IF(OR(E4746="",E4746="!!!"),"",IF(NOT(ISNA(VLOOKUP(E4746,E$1:E4745,1,FALSE()))),"OLD",IF(AND(E4746&lt;&gt;"",E4746&lt;&gt;"!!!"),"NEW","")))</f>
        <v> </v>
      </c>
      <c r="G4746" s="24" t="str">
        <f>IF(OR(E4746="",E4746="!!!"),"",IF(OR(J4746=0,AND(J4746=1,K4746=1),AND(J4746=1,I4746="SBJ"),AND(J4746=1,I4746=0)),"?IN_FOCUS",IF(J4746&lt;=2,"?ACTIVATED",IF(J4746&lt;&gt;"","?FAMILIAR",IF(F4746="NEW",IF(ISNA(VLOOKUP(E4746,#REF!,1,FALSE())),"?TYPE_IDENTIFIABLE","?REFERENTIAL"),"_")))))</f>
        <v> </v>
      </c>
      <c r="H4746" s="25" t="str">
        <f>IF(J4746&lt;&gt;1,"",IF(I4746="SBJ","CB","?"))</f>
        <v> </v>
      </c>
      <c r="I4746" s="26" t="str">
        <f>IF(OR(E4746="",E4746="!!!",F4746="NEW"),"",INDEX(B4745:B$2,-1+SUMPRODUCT(MAX(ROW(E4745:E$2)*(E4746=E4745:E$2)))))</f>
        <v> </v>
      </c>
      <c r="J4746" s="26" t="str">
        <f>IF(OR(E4746="",E4746="!!!",F4746="NEW"),"",COUNTBLANK(OFFSET(A$1,,,SUMPRODUCT(MAX(ROW(E$2:E4746)*(E4746=E$2:E4746)))))-COUNTBLANK(OFFSET(A$1,,,SUMPRODUCT(MAX(ROW(E$1:E4745)*(E2=E$1:E4745))))))</f>
        <v> </v>
      </c>
      <c r="K4746" s="26" t="str">
        <f>IF(OR(E4746="",E4746="!!!",F4746="NEW"),"",INDEX(J$1:J4745,SUMPRODUCT(MAX(ROW(E$1:E4745)*(E4746=E$1:E4745)))))</f>
        <v> </v>
      </c>
      <c r="L4746" s="27"/>
    </row>
    <row r="4747" spans="1:12">
      <c r="A4747" s="20" t="s">
        <v>1582</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2114</v>
      </c>
      <c r="B4748" s="21" t="s">
        <v>1039</v>
      </c>
      <c r="C4748" s="21" t="s">
        <v>1040</v>
      </c>
      <c r="D4748" s="21" t="s">
        <v>1011</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1820</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2108</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1032</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1025</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1239</v>
      </c>
      <c r="B4753" s="21" t="s">
        <v>1175</v>
      </c>
      <c r="C4753" s="21" t="s">
        <v>1010</v>
      </c>
      <c r="D4753" s="21" t="s">
        <v>1011</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1179</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2115</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1127</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1243</v>
      </c>
      <c r="B4757" s="21" t="s">
        <v>1021</v>
      </c>
      <c r="C4757" s="21" t="s">
        <v>1026</v>
      </c>
      <c r="D4757" s="21" t="s">
        <v>1011</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1022</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row>
    <row r="4760" spans="1:12">
      <c r="A4760" s="20" t="s">
        <v>2116</v>
      </c>
    </row>
    <row r="4761" spans="1:12">
      <c r="A4761" s="20" t="s">
        <v>1024</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t="s">
        <v>1121</v>
      </c>
      <c r="B4762" s="21" t="s">
        <v>1009</v>
      </c>
      <c r="C4762" s="21" t="s">
        <v>1010</v>
      </c>
      <c r="D4762" s="21" t="s">
        <v>1011</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t="s">
        <v>1173</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t="s">
        <v>1448</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t="s">
        <v>1136</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t="s">
        <v>2117</v>
      </c>
      <c r="B4766" s="21" t="s">
        <v>1039</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t="s">
        <v>2118</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1032</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1033</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1631</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1137</v>
      </c>
      <c r="B4771" s="21" t="s">
        <v>1175</v>
      </c>
      <c r="C4771" s="21" t="s">
        <v>1010</v>
      </c>
      <c r="D4771" s="21" t="s">
        <v>1011</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1138</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582</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1028</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2119</v>
      </c>
      <c r="B4775" s="21" t="s">
        <v>1142</v>
      </c>
      <c r="C4775" s="21" t="s">
        <v>1040</v>
      </c>
      <c r="D4775" s="21" t="s">
        <v>1011</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1132</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1070</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1050</v>
      </c>
      <c r="B4778" s="21" t="s">
        <v>1091</v>
      </c>
      <c r="C4778" s="21" t="s">
        <v>1072</v>
      </c>
      <c r="D4778" s="21" t="s">
        <v>1011</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1022</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row>
    <row r="4781" spans="1:12">
      <c r="A4781" s="20" t="s">
        <v>2120</v>
      </c>
    </row>
    <row r="4782" spans="1:12">
      <c r="A4782" s="20" t="s">
        <v>1270</v>
      </c>
      <c r="B4782" s="21" t="s">
        <v>1009</v>
      </c>
      <c r="C4782" s="21" t="s">
        <v>1010</v>
      </c>
      <c r="D4782" s="21" t="s">
        <v>1011</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1236</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259</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1140</v>
      </c>
      <c r="B4785" s="21" t="s">
        <v>1048</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1014</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2118</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1022</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row>
    <row r="4790" spans="1:12">
      <c r="A4790" s="20" t="s">
        <v>2121</v>
      </c>
    </row>
    <row r="4791" spans="1:12">
      <c r="A4791" s="20" t="s">
        <v>1995</v>
      </c>
      <c r="B4791" s="21" t="s">
        <v>1071</v>
      </c>
      <c r="C4791" s="21" t="s">
        <v>1017</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1099</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1135</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1606</v>
      </c>
      <c r="B4794" s="21" t="s">
        <v>1016</v>
      </c>
      <c r="C4794" s="21" t="s">
        <v>1017</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1132</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1262</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12</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1469</v>
      </c>
      <c r="B4798" s="21" t="s">
        <v>1021</v>
      </c>
      <c r="C4798" s="21" t="s">
        <v>1017</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2122</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2123</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2124</v>
      </c>
      <c r="B4801" s="21" t="s">
        <v>1021</v>
      </c>
      <c r="C4801" s="21" t="s">
        <v>1017</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1032</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1045</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t="s">
        <v>1243</v>
      </c>
      <c r="B4804" s="21" t="s">
        <v>1039</v>
      </c>
      <c r="C4804" s="21" t="s">
        <v>1026</v>
      </c>
      <c r="D4804" s="21" t="s">
        <v>1011</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1042</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2125</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1025</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1137</v>
      </c>
      <c r="B4808" s="21" t="s">
        <v>1175</v>
      </c>
      <c r="C4808" s="21" t="s">
        <v>1010</v>
      </c>
      <c r="D4808" s="21" t="s">
        <v>1011</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1183</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t="s">
        <v>2126</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1132</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t="s">
        <v>1285</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1100</v>
      </c>
      <c r="B4813" s="21" t="s">
        <v>1021</v>
      </c>
      <c r="C4813" s="21" t="s">
        <v>1889</v>
      </c>
      <c r="D4813" s="21" t="s">
        <v>1011</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t="s">
        <v>1251</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row>
    <row r="4816" spans="1:12">
      <c r="A4816" s="20" t="s">
        <v>2127</v>
      </c>
    </row>
    <row r="4817" spans="1:12">
      <c r="A4817" s="20" t="s">
        <v>2035</v>
      </c>
      <c r="B4817" s="21" t="s">
        <v>1009</v>
      </c>
      <c r="C4817" s="21" t="s">
        <v>1165</v>
      </c>
      <c r="D4817" s="21" t="s">
        <v>1011</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1099</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2128</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1019</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618</v>
      </c>
      <c r="B4821" s="21" t="s">
        <v>1016</v>
      </c>
      <c r="C4821" s="21" t="s">
        <v>1030</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1045</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1042</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1950</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t="s">
        <v>1069</v>
      </c>
      <c r="E4825" s="22">
        <f>IF(D4825="?OLD","!!!","")</f>
        <v/>
      </c>
      <c r="F4825" s="23" t="str">
        <f>IF(OR(E4825="",E4825="!!!"),"",IF(NOT(ISNA(VLOOKUP(E4825,E$1:E4824,1,FALSE()))),"OLD",IF(AND(E4825&lt;&gt;"",E4825&lt;&gt;"!!!"),"NEW","")))</f>
        <v> </v>
      </c>
      <c r="G4825" s="24" t="str">
        <f>IF(OR(E4825="",E4825="!!!"),"",IF(OR(J4825=0,AND(J4825=1,K4825=1),AND(J4825=1,I4825="SBJ"),AND(J4825=1,I4825=0)),"?IN_FOCUS",IF(J4825&lt;=2,"?ACTIVATED",IF(J4825&lt;&gt;"","?FAMILIAR",IF(F4825="NEW",IF(ISNA(VLOOKUP(E4825,#REF!,1,FALSE())),"?TYPE_IDENTIFIABLE","?REFERENTIAL"),"_")))))</f>
        <v> </v>
      </c>
      <c r="H4825" s="25" t="str">
        <f>IF(J4825&lt;&gt;1,"",IF(I4825="SBJ","CB","?"))</f>
        <v> </v>
      </c>
      <c r="I4825" s="26" t="str">
        <f>IF(OR(E4825="",E4825="!!!",F4825="NEW"),"",INDEX(B4824:B$2,-1+SUMPRODUCT(MAX(ROW(E4824:E$2)*(E4825=E4824:E$2)))))</f>
        <v> </v>
      </c>
      <c r="J4825" s="26" t="str">
        <f>IF(OR(E4825="",E4825="!!!",F4825="NEW"),"",COUNTBLANK(OFFSET(A$1,,,SUMPRODUCT(MAX(ROW(E$2:E4825)*(E4825=E$2:E4825)))))-COUNTBLANK(OFFSET(A$1,,,SUMPRODUCT(MAX(ROW(E$1:E4824)*(E2=E$1:E4824))))))</f>
        <v> </v>
      </c>
      <c r="K4825" s="26" t="str">
        <f>IF(OR(E4825="",E4825="!!!",F4825="NEW"),"",INDEX(J$1:J4824,SUMPRODUCT(MAX(ROW(E$1:E4824)*(E4825=E$1:E4824)))))</f>
        <v> </v>
      </c>
      <c r="L4825" s="27"/>
    </row>
    <row r="4826" spans="1:12">
      <c r="A4826" s="20" t="s">
        <v>1141</v>
      </c>
      <c r="B4826" s="21" t="s">
        <v>1071</v>
      </c>
      <c r="C4826" s="21" t="s">
        <v>1044</v>
      </c>
      <c r="D4826" s="21" t="s">
        <v>1011</v>
      </c>
      <c r="E4826" s="22">
        <f>IF(D4826="?OLD","!!!","")</f>
        <v/>
      </c>
      <c r="F4826" s="23" t="str">
        <f>IF(OR(E4826="",E4826="!!!"),"",IF(NOT(ISNA(VLOOKUP(E4826,E$1:E4825,1,FALSE()))),"OLD",IF(AND(E4826&lt;&gt;"",E4826&lt;&gt;"!!!"),"NEW","")))</f>
        <v> </v>
      </c>
      <c r="G4826" s="24" t="str">
        <f>IF(OR(E4826="",E4826="!!!"),"",IF(OR(J4826=0,AND(J4826=1,K4826=1),AND(J4826=1,I4826="SBJ"),AND(J4826=1,I4826=0)),"?IN_FOCUS",IF(J4826&lt;=2,"?ACTIVATED",IF(J4826&lt;&gt;"","?FAMILIAR",IF(F4826="NEW",IF(ISNA(VLOOKUP(E4826,#REF!,1,FALSE())),"?TYPE_IDENTIFIABLE","?REFERENTIAL"),"_")))))</f>
        <v> </v>
      </c>
      <c r="H4826" s="25" t="str">
        <f>IF(J4826&lt;&gt;1,"",IF(I4826="SBJ","CB","?"))</f>
        <v> </v>
      </c>
      <c r="I4826" s="26" t="str">
        <f>IF(OR(E4826="",E4826="!!!",F4826="NEW"),"",INDEX(B4825:B$2,-1+SUMPRODUCT(MAX(ROW(E4825:E$2)*(E4826=E4825:E$2)))))</f>
        <v> </v>
      </c>
      <c r="J4826" s="26" t="str">
        <f>IF(OR(E4826="",E4826="!!!",F4826="NEW"),"",COUNTBLANK(OFFSET(A$1,,,SUMPRODUCT(MAX(ROW(E$2:E4826)*(E4826=E$2:E4826)))))-COUNTBLANK(OFFSET(A$1,,,SUMPRODUCT(MAX(ROW(E$1:E4825)*(E2=E$1:E4825))))))</f>
        <v> </v>
      </c>
      <c r="K4826" s="26" t="str">
        <f>IF(OR(E4826="",E4826="!!!",F4826="NEW"),"",INDEX(J$1:J4825,SUMPRODUCT(MAX(ROW(E$1:E4825)*(E4826=E$1:E4825)))))</f>
        <v> </v>
      </c>
      <c r="L4826" s="27"/>
    </row>
    <row r="4827" spans="1:12">
      <c r="A4827" s="20" t="s">
        <v>1022</v>
      </c>
      <c r="E4827" s="22">
        <f>IF(D4827="?OLD","!!!","")</f>
        <v/>
      </c>
      <c r="F4827" s="23" t="str">
        <f>IF(OR(E4827="",E4827="!!!"),"",IF(NOT(ISNA(VLOOKUP(E4827,E$1:E4826,1,FALSE()))),"OLD",IF(AND(E4827&lt;&gt;"",E4827&lt;&gt;"!!!"),"NEW","")))</f>
        <v> </v>
      </c>
      <c r="G4827" s="24" t="str">
        <f>IF(OR(E4827="",E4827="!!!"),"",IF(OR(J4827=0,AND(J4827=1,K4827=1),AND(J4827=1,I4827="SBJ"),AND(J4827=1,I4827=0)),"?IN_FOCUS",IF(J4827&lt;=2,"?ACTIVATED",IF(J4827&lt;&gt;"","?FAMILIAR",IF(F4827="NEW",IF(ISNA(VLOOKUP(E4827,#REF!,1,FALSE())),"?TYPE_IDENTIFIABLE","?REFERENTIAL"),"_")))))</f>
        <v> </v>
      </c>
      <c r="H4827" s="25" t="str">
        <f>IF(J4827&lt;&gt;1,"",IF(I4827="SBJ","CB","?"))</f>
        <v> </v>
      </c>
      <c r="I4827" s="26" t="str">
        <f>IF(OR(E4827="",E4827="!!!",F4827="NEW"),"",INDEX(B4826:B$2,-1+SUMPRODUCT(MAX(ROW(E4826:E$2)*(E4827=E4826:E$2)))))</f>
        <v> </v>
      </c>
      <c r="J4827" s="26" t="str">
        <f>IF(OR(E4827="",E4827="!!!",F4827="NEW"),"",COUNTBLANK(OFFSET(A$1,,,SUMPRODUCT(MAX(ROW(E$2:E4827)*(E4827=E$2:E4827)))))-COUNTBLANK(OFFSET(A$1,,,SUMPRODUCT(MAX(ROW(E$1:E4826)*(E2=E$1:E4826))))))</f>
        <v> </v>
      </c>
      <c r="K4827" s="26" t="str">
        <f>IF(OR(E4827="",E4827="!!!",F4827="NEW"),"",INDEX(J$1:J4826,SUMPRODUCT(MAX(ROW(E$1:E4826)*(E4827=E$1:E4826)))))</f>
        <v> </v>
      </c>
      <c r="L4827" s="27"/>
    </row>
    <row r="4828" spans="1:12">
      <c r="A4828" s="20"/>
    </row>
    <row r="4829" spans="1:12">
      <c r="A4829" s="20" t="s">
        <v>2129</v>
      </c>
    </row>
    <row r="4830" spans="1:12">
      <c r="A4830" s="20" t="s">
        <v>1266</v>
      </c>
      <c r="B4830" s="21" t="s">
        <v>1009</v>
      </c>
      <c r="C4830" s="21" t="s">
        <v>1010</v>
      </c>
      <c r="D4830" s="21" t="s">
        <v>1011</v>
      </c>
      <c r="E4830" s="22">
        <f>IF(D4830="?OLD","!!!","")</f>
        <v/>
      </c>
      <c r="F4830" s="23" t="str">
        <f>IF(OR(E4830="",E4830="!!!"),"",IF(NOT(ISNA(VLOOKUP(E4830,E$1:E4829,1,FALSE()))),"OLD",IF(AND(E4830&lt;&gt;"",E4830&lt;&gt;"!!!"),"NEW","")))</f>
        <v> </v>
      </c>
      <c r="G4830" s="24" t="str">
        <f>IF(OR(E4830="",E4830="!!!"),"",IF(OR(J4830=0,AND(J4830=1,K4830=1),AND(J4830=1,I4830="SBJ"),AND(J4830=1,I4830=0)),"?IN_FOCUS",IF(J4830&lt;=2,"?ACTIVATED",IF(J4830&lt;&gt;"","?FAMILIAR",IF(F4830="NEW",IF(ISNA(VLOOKUP(E4830,#REF!,1,FALSE())),"?TYPE_IDENTIFIABLE","?REFERENTIAL"),"_")))))</f>
        <v> </v>
      </c>
      <c r="H4830" s="25" t="str">
        <f>IF(J4830&lt;&gt;1,"",IF(I4830="SBJ","CB","?"))</f>
        <v> </v>
      </c>
      <c r="I4830" s="26" t="str">
        <f>IF(OR(E4830="",E4830="!!!",F4830="NEW"),"",INDEX(B4829:B$2,-1+SUMPRODUCT(MAX(ROW(E4829:E$2)*(E4830=E4829:E$2)))))</f>
        <v> </v>
      </c>
      <c r="J4830" s="26" t="str">
        <f>IF(OR(E4830="",E4830="!!!",F4830="NEW"),"",COUNTBLANK(OFFSET(A$1,,,SUMPRODUCT(MAX(ROW(E$2:E4830)*(E4830=E$2:E4830)))))-COUNTBLANK(OFFSET(A$1,,,SUMPRODUCT(MAX(ROW(E$1:E4829)*(E2=E$1:E4829))))))</f>
        <v> </v>
      </c>
      <c r="K4830" s="26" t="str">
        <f>IF(OR(E4830="",E4830="!!!",F4830="NEW"),"",INDEX(J$1:J4829,SUMPRODUCT(MAX(ROW(E$1:E4829)*(E4830=E$1:E4829)))))</f>
        <v> </v>
      </c>
      <c r="L4830" s="27"/>
    </row>
    <row r="4831" spans="1:12">
      <c r="A4831" s="20" t="s">
        <v>1147</v>
      </c>
      <c r="E4831" s="22">
        <f>IF(D4831="?OLD","!!!","")</f>
        <v/>
      </c>
      <c r="F4831" s="23" t="str">
        <f>IF(OR(E4831="",E4831="!!!"),"",IF(NOT(ISNA(VLOOKUP(E4831,E$1:E4830,1,FALSE()))),"OLD",IF(AND(E4831&lt;&gt;"",E4831&lt;&gt;"!!!"),"NEW","")))</f>
        <v> </v>
      </c>
      <c r="G4831" s="24" t="str">
        <f>IF(OR(E4831="",E4831="!!!"),"",IF(OR(J4831=0,AND(J4831=1,K4831=1),AND(J4831=1,I4831="SBJ"),AND(J4831=1,I4831=0)),"?IN_FOCUS",IF(J4831&lt;=2,"?ACTIVATED",IF(J4831&lt;&gt;"","?FAMILIAR",IF(F4831="NEW",IF(ISNA(VLOOKUP(E4831,#REF!,1,FALSE())),"?TYPE_IDENTIFIABLE","?REFERENTIAL"),"_")))))</f>
        <v> </v>
      </c>
      <c r="H4831" s="25" t="str">
        <f>IF(J4831&lt;&gt;1,"",IF(I4831="SBJ","CB","?"))</f>
        <v> </v>
      </c>
      <c r="I4831" s="26" t="str">
        <f>IF(OR(E4831="",E4831="!!!",F4831="NEW"),"",INDEX(B4830:B$2,-1+SUMPRODUCT(MAX(ROW(E4830:E$2)*(E4831=E4830:E$2)))))</f>
        <v> </v>
      </c>
      <c r="J4831" s="26" t="str">
        <f>IF(OR(E4831="",E4831="!!!",F4831="NEW"),"",COUNTBLANK(OFFSET(A$1,,,SUMPRODUCT(MAX(ROW(E$2:E4831)*(E4831=E$2:E4831)))))-COUNTBLANK(OFFSET(A$1,,,SUMPRODUCT(MAX(ROW(E$1:E4830)*(E2=E$1:E4830))))))</f>
        <v> </v>
      </c>
      <c r="K4831" s="26" t="str">
        <f>IF(OR(E4831="",E4831="!!!",F4831="NEW"),"",INDEX(J$1:J4830,SUMPRODUCT(MAX(ROW(E$1:E4830)*(E4831=E$1:E4830)))))</f>
        <v> </v>
      </c>
      <c r="L4831" s="27"/>
    </row>
    <row r="4832" spans="1:12">
      <c r="A4832" s="20" t="s">
        <v>90</v>
      </c>
      <c r="E4832" s="22">
        <f>IF(D4832="?OLD","!!!","")</f>
        <v/>
      </c>
      <c r="F4832" s="23" t="str">
        <f>IF(OR(E4832="",E4832="!!!"),"",IF(NOT(ISNA(VLOOKUP(E4832,E$1:E4831,1,FALSE()))),"OLD",IF(AND(E4832&lt;&gt;"",E4832&lt;&gt;"!!!"),"NEW","")))</f>
        <v> </v>
      </c>
      <c r="G4832" s="24" t="str">
        <f>IF(OR(E4832="",E4832="!!!"),"",IF(OR(J4832=0,AND(J4832=1,K4832=1),AND(J4832=1,I4832="SBJ"),AND(J4832=1,I4832=0)),"?IN_FOCUS",IF(J4832&lt;=2,"?ACTIVATED",IF(J4832&lt;&gt;"","?FAMILIAR",IF(F4832="NEW",IF(ISNA(VLOOKUP(E4832,#REF!,1,FALSE())),"?TYPE_IDENTIFIABLE","?REFERENTIAL"),"_")))))</f>
        <v> </v>
      </c>
      <c r="H4832" s="25" t="str">
        <f>IF(J4832&lt;&gt;1,"",IF(I4832="SBJ","CB","?"))</f>
        <v> </v>
      </c>
      <c r="I4832" s="26" t="str">
        <f>IF(OR(E4832="",E4832="!!!",F4832="NEW"),"",INDEX(B4831:B$2,-1+SUMPRODUCT(MAX(ROW(E4831:E$2)*(E4832=E4831:E$2)))))</f>
        <v> </v>
      </c>
      <c r="J4832" s="26" t="str">
        <f>IF(OR(E4832="",E4832="!!!",F4832="NEW"),"",COUNTBLANK(OFFSET(A$1,,,SUMPRODUCT(MAX(ROW(E$2:E4832)*(E4832=E$2:E4832)))))-COUNTBLANK(OFFSET(A$1,,,SUMPRODUCT(MAX(ROW(E$1:E4831)*(E2=E$1:E4831))))))</f>
        <v> </v>
      </c>
      <c r="K4832" s="26" t="str">
        <f>IF(OR(E4832="",E4832="!!!",F4832="NEW"),"",INDEX(J$1:J4831,SUMPRODUCT(MAX(ROW(E$1:E4831)*(E4832=E$1:E4831)))))</f>
        <v> </v>
      </c>
      <c r="L4832" s="27"/>
    </row>
    <row r="4833" spans="1:12">
      <c r="A4833" s="20" t="s">
        <v>1310</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1032</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1166</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t="s">
        <v>2130</v>
      </c>
      <c r="E4836" s="22">
        <f>IF(D4836="?OLD","!!!","")</f>
        <v/>
      </c>
      <c r="F4836" s="23" t="str">
        <f>IF(OR(E4836="",E4836="!!!"),"",IF(NOT(ISNA(VLOOKUP(E4836,E$1:E4835,1,FALSE()))),"OLD",IF(AND(E4836&lt;&gt;"",E4836&lt;&gt;"!!!"),"NEW","")))</f>
        <v> </v>
      </c>
      <c r="G4836" s="24" t="str">
        <f>IF(OR(E4836="",E4836="!!!"),"",IF(OR(J4836=0,AND(J4836=1,K4836=1),AND(J4836=1,I4836="SBJ"),AND(J4836=1,I4836=0)),"?IN_FOCUS",IF(J4836&lt;=2,"?ACTIVATED",IF(J4836&lt;&gt;"","?FAMILIAR",IF(F4836="NEW",IF(ISNA(VLOOKUP(E4836,#REF!,1,FALSE())),"?TYPE_IDENTIFIABLE","?REFERENTIAL"),"_")))))</f>
        <v> </v>
      </c>
      <c r="H4836" s="25" t="str">
        <f>IF(J4836&lt;&gt;1,"",IF(I4836="SBJ","CB","?"))</f>
        <v> </v>
      </c>
      <c r="I4836" s="26" t="str">
        <f>IF(OR(E4836="",E4836="!!!",F4836="NEW"),"",INDEX(B4835:B$2,-1+SUMPRODUCT(MAX(ROW(E4835:E$2)*(E4836=E4835:E$2)))))</f>
        <v> </v>
      </c>
      <c r="J4836" s="26" t="str">
        <f>IF(OR(E4836="",E4836="!!!",F4836="NEW"),"",COUNTBLANK(OFFSET(A$1,,,SUMPRODUCT(MAX(ROW(E$2:E4836)*(E4836=E$2:E4836)))))-COUNTBLANK(OFFSET(A$1,,,SUMPRODUCT(MAX(ROW(E$1:E4835)*(E2=E$1:E4835))))))</f>
        <v> </v>
      </c>
      <c r="K4836" s="26" t="str">
        <f>IF(OR(E4836="",E4836="!!!",F4836="NEW"),"",INDEX(J$1:J4835,SUMPRODUCT(MAX(ROW(E$1:E4835)*(E4836=E$1:E4835)))))</f>
        <v> </v>
      </c>
      <c r="L4836" s="27"/>
    </row>
    <row r="4837" spans="1:12">
      <c r="A4837" s="20" t="s">
        <v>1042</v>
      </c>
      <c r="E4837" s="22">
        <f>IF(D4837="?OLD","!!!","")</f>
        <v/>
      </c>
      <c r="F4837" s="23" t="str">
        <f>IF(OR(E4837="",E4837="!!!"),"",IF(NOT(ISNA(VLOOKUP(E4837,E$1:E4836,1,FALSE()))),"OLD",IF(AND(E4837&lt;&gt;"",E4837&lt;&gt;"!!!"),"NEW","")))</f>
        <v> </v>
      </c>
      <c r="G4837" s="24" t="str">
        <f>IF(OR(E4837="",E4837="!!!"),"",IF(OR(J4837=0,AND(J4837=1,K4837=1),AND(J4837=1,I4837="SBJ"),AND(J4837=1,I4837=0)),"?IN_FOCUS",IF(J4837&lt;=2,"?ACTIVATED",IF(J4837&lt;&gt;"","?FAMILIAR",IF(F4837="NEW",IF(ISNA(VLOOKUP(E4837,#REF!,1,FALSE())),"?TYPE_IDENTIFIABLE","?REFERENTIAL"),"_")))))</f>
        <v> </v>
      </c>
      <c r="H4837" s="25" t="str">
        <f>IF(J4837&lt;&gt;1,"",IF(I4837="SBJ","CB","?"))</f>
        <v> </v>
      </c>
      <c r="I4837" s="26" t="str">
        <f>IF(OR(E4837="",E4837="!!!",F4837="NEW"),"",INDEX(B4836:B$2,-1+SUMPRODUCT(MAX(ROW(E4836:E$2)*(E4837=E4836:E$2)))))</f>
        <v> </v>
      </c>
      <c r="J4837" s="26" t="str">
        <f>IF(OR(E4837="",E4837="!!!",F4837="NEW"),"",COUNTBLANK(OFFSET(A$1,,,SUMPRODUCT(MAX(ROW(E$2:E4837)*(E4837=E$2:E4837)))))-COUNTBLANK(OFFSET(A$1,,,SUMPRODUCT(MAX(ROW(E$1:E4836)*(E2=E$1:E4836))))))</f>
        <v> </v>
      </c>
      <c r="K4837" s="26" t="str">
        <f>IF(OR(E4837="",E4837="!!!",F4837="NEW"),"",INDEX(J$1:J4836,SUMPRODUCT(MAX(ROW(E$1:E4836)*(E4837=E$1:E4836)))))</f>
        <v> </v>
      </c>
      <c r="L4837" s="27"/>
    </row>
    <row r="4838" spans="1:12">
      <c r="A4838" s="20" t="s">
        <v>2104</v>
      </c>
      <c r="E4838" s="22">
        <f>IF(D4838="?OLD","!!!","")</f>
        <v/>
      </c>
      <c r="F4838" s="23" t="str">
        <f>IF(OR(E4838="",E4838="!!!"),"",IF(NOT(ISNA(VLOOKUP(E4838,E$1:E4837,1,FALSE()))),"OLD",IF(AND(E4838&lt;&gt;"",E4838&lt;&gt;"!!!"),"NEW","")))</f>
        <v> </v>
      </c>
      <c r="G4838" s="24" t="str">
        <f>IF(OR(E4838="",E4838="!!!"),"",IF(OR(J4838=0,AND(J4838=1,K4838=1),AND(J4838=1,I4838="SBJ"),AND(J4838=1,I4838=0)),"?IN_FOCUS",IF(J4838&lt;=2,"?ACTIVATED",IF(J4838&lt;&gt;"","?FAMILIAR",IF(F4838="NEW",IF(ISNA(VLOOKUP(E4838,#REF!,1,FALSE())),"?TYPE_IDENTIFIABLE","?REFERENTIAL"),"_")))))</f>
        <v> </v>
      </c>
      <c r="H4838" s="25" t="str">
        <f>IF(J4838&lt;&gt;1,"",IF(I4838="SBJ","CB","?"))</f>
        <v> </v>
      </c>
      <c r="I4838" s="26" t="str">
        <f>IF(OR(E4838="",E4838="!!!",F4838="NEW"),"",INDEX(B4837:B$2,-1+SUMPRODUCT(MAX(ROW(E4837:E$2)*(E4838=E4837:E$2)))))</f>
        <v> </v>
      </c>
      <c r="J4838" s="26" t="str">
        <f>IF(OR(E4838="",E4838="!!!",F4838="NEW"),"",COUNTBLANK(OFFSET(A$1,,,SUMPRODUCT(MAX(ROW(E$2:E4838)*(E4838=E$2:E4838)))))-COUNTBLANK(OFFSET(A$1,,,SUMPRODUCT(MAX(ROW(E$1:E4837)*(E2=E$1:E4837))))))</f>
        <v> </v>
      </c>
      <c r="K4838" s="26" t="str">
        <f>IF(OR(E4838="",E4838="!!!",F4838="NEW"),"",INDEX(J$1:J4837,SUMPRODUCT(MAX(ROW(E$1:E4837)*(E4838=E$1:E4837)))))</f>
        <v> </v>
      </c>
      <c r="L4838" s="27"/>
    </row>
    <row r="4839" spans="1:12">
      <c r="A4839" s="20" t="s">
        <v>1196</v>
      </c>
      <c r="B4839" s="21" t="s">
        <v>1071</v>
      </c>
      <c r="C4839" s="21" t="s">
        <v>1044</v>
      </c>
      <c r="D4839" s="21" t="s">
        <v>1011</v>
      </c>
      <c r="E4839" s="22">
        <f>IF(D4839="?OLD","!!!","")</f>
        <v/>
      </c>
      <c r="F4839" s="23" t="str">
        <f>IF(OR(E4839="",E4839="!!!"),"",IF(NOT(ISNA(VLOOKUP(E4839,E$1:E4838,1,FALSE()))),"OLD",IF(AND(E4839&lt;&gt;"",E4839&lt;&gt;"!!!"),"NEW","")))</f>
        <v> </v>
      </c>
      <c r="G4839" s="24" t="str">
        <f>IF(OR(E4839="",E4839="!!!"),"",IF(OR(J4839=0,AND(J4839=1,K4839=1),AND(J4839=1,I4839="SBJ"),AND(J4839=1,I4839=0)),"?IN_FOCUS",IF(J4839&lt;=2,"?ACTIVATED",IF(J4839&lt;&gt;"","?FAMILIAR",IF(F4839="NEW",IF(ISNA(VLOOKUP(E4839,#REF!,1,FALSE())),"?TYPE_IDENTIFIABLE","?REFERENTIAL"),"_")))))</f>
        <v> </v>
      </c>
      <c r="H4839" s="25" t="str">
        <f>IF(J4839&lt;&gt;1,"",IF(I4839="SBJ","CB","?"))</f>
        <v> </v>
      </c>
      <c r="I4839" s="26" t="str">
        <f>IF(OR(E4839="",E4839="!!!",F4839="NEW"),"",INDEX(B4838:B$2,-1+SUMPRODUCT(MAX(ROW(E4838:E$2)*(E4839=E4838:E$2)))))</f>
        <v> </v>
      </c>
      <c r="J4839" s="26" t="str">
        <f>IF(OR(E4839="",E4839="!!!",F4839="NEW"),"",COUNTBLANK(OFFSET(A$1,,,SUMPRODUCT(MAX(ROW(E$2:E4839)*(E4839=E$2:E4839)))))-COUNTBLANK(OFFSET(A$1,,,SUMPRODUCT(MAX(ROW(E$1:E4838)*(E2=E$1:E4838))))))</f>
        <v> </v>
      </c>
      <c r="K4839" s="26" t="str">
        <f>IF(OR(E4839="",E4839="!!!",F4839="NEW"),"",INDEX(J$1:J4838,SUMPRODUCT(MAX(ROW(E$1:E4838)*(E4839=E$1:E4838)))))</f>
        <v> </v>
      </c>
      <c r="L4839" s="27"/>
    </row>
    <row r="4840" spans="1:12">
      <c r="A4840" s="20" t="s">
        <v>1032</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t="s">
        <v>1234</v>
      </c>
      <c r="E4841" s="22">
        <f>IF(D4841="?OLD","!!!","")</f>
        <v/>
      </c>
      <c r="F4841" s="23" t="str">
        <f>IF(OR(E4841="",E4841="!!!"),"",IF(NOT(ISNA(VLOOKUP(E4841,E$1:E4840,1,FALSE()))),"OLD",IF(AND(E4841&lt;&gt;"",E4841&lt;&gt;"!!!"),"NEW","")))</f>
        <v> </v>
      </c>
      <c r="G4841" s="24" t="str">
        <f>IF(OR(E4841="",E4841="!!!"),"",IF(OR(J4841=0,AND(J4841=1,K4841=1),AND(J4841=1,I4841="SBJ"),AND(J4841=1,I4841=0)),"?IN_FOCUS",IF(J4841&lt;=2,"?ACTIVATED",IF(J4841&lt;&gt;"","?FAMILIAR",IF(F4841="NEW",IF(ISNA(VLOOKUP(E4841,#REF!,1,FALSE())),"?TYPE_IDENTIFIABLE","?REFERENTIAL"),"_")))))</f>
        <v> </v>
      </c>
      <c r="H4841" s="25" t="str">
        <f>IF(J4841&lt;&gt;1,"",IF(I4841="SBJ","CB","?"))</f>
        <v> </v>
      </c>
      <c r="I4841" s="26" t="str">
        <f>IF(OR(E4841="",E4841="!!!",F4841="NEW"),"",INDEX(B4840:B$2,-1+SUMPRODUCT(MAX(ROW(E4840:E$2)*(E4841=E4840:E$2)))))</f>
        <v> </v>
      </c>
      <c r="J4841" s="26" t="str">
        <f>IF(OR(E4841="",E4841="!!!",F4841="NEW"),"",COUNTBLANK(OFFSET(A$1,,,SUMPRODUCT(MAX(ROW(E$2:E4841)*(E4841=E$2:E4841)))))-COUNTBLANK(OFFSET(A$1,,,SUMPRODUCT(MAX(ROW(E$1:E4840)*(E2=E$1:E4840))))))</f>
        <v> </v>
      </c>
      <c r="K4841" s="26" t="str">
        <f>IF(OR(E4841="",E4841="!!!",F4841="NEW"),"",INDEX(J$1:J4840,SUMPRODUCT(MAX(ROW(E$1:E4840)*(E4841=E$1:E4840)))))</f>
        <v> </v>
      </c>
      <c r="L4841" s="27"/>
    </row>
    <row r="4842" spans="1:12">
      <c r="A4842" s="20" t="s">
        <v>1042</v>
      </c>
      <c r="E4842" s="22">
        <f>IF(D4842="?OLD","!!!","")</f>
        <v/>
      </c>
      <c r="F4842" s="23" t="str">
        <f>IF(OR(E4842="",E4842="!!!"),"",IF(NOT(ISNA(VLOOKUP(E4842,E$1:E4841,1,FALSE()))),"OLD",IF(AND(E4842&lt;&gt;"",E4842&lt;&gt;"!!!"),"NEW","")))</f>
        <v> </v>
      </c>
      <c r="G4842" s="24" t="str">
        <f>IF(OR(E4842="",E4842="!!!"),"",IF(OR(J4842=0,AND(J4842=1,K4842=1),AND(J4842=1,I4842="SBJ"),AND(J4842=1,I4842=0)),"?IN_FOCUS",IF(J4842&lt;=2,"?ACTIVATED",IF(J4842&lt;&gt;"","?FAMILIAR",IF(F4842="NEW",IF(ISNA(VLOOKUP(E4842,#REF!,1,FALSE())),"?TYPE_IDENTIFIABLE","?REFERENTIAL"),"_")))))</f>
        <v> </v>
      </c>
      <c r="H4842" s="25" t="str">
        <f>IF(J4842&lt;&gt;1,"",IF(I4842="SBJ","CB","?"))</f>
        <v> </v>
      </c>
      <c r="I4842" s="26" t="str">
        <f>IF(OR(E4842="",E4842="!!!",F4842="NEW"),"",INDEX(B4841:B$2,-1+SUMPRODUCT(MAX(ROW(E4841:E$2)*(E4842=E4841:E$2)))))</f>
        <v> </v>
      </c>
      <c r="J4842" s="26" t="str">
        <f>IF(OR(E4842="",E4842="!!!",F4842="NEW"),"",COUNTBLANK(OFFSET(A$1,,,SUMPRODUCT(MAX(ROW(E$2:E4842)*(E4842=E$2:E4842)))))-COUNTBLANK(OFFSET(A$1,,,SUMPRODUCT(MAX(ROW(E$1:E4841)*(E2=E$1:E4841))))))</f>
        <v> </v>
      </c>
      <c r="K4842" s="26" t="str">
        <f>IF(OR(E4842="",E4842="!!!",F4842="NEW"),"",INDEX(J$1:J4841,SUMPRODUCT(MAX(ROW(E$1:E4841)*(E4842=E$1:E4841)))))</f>
        <v> </v>
      </c>
      <c r="L4842" s="27"/>
    </row>
    <row r="4843" spans="1:12">
      <c r="A4843" s="20" t="s">
        <v>2104</v>
      </c>
      <c r="E4843" s="22">
        <f>IF(D4843="?OLD","!!!","")</f>
        <v/>
      </c>
      <c r="F4843" s="23" t="str">
        <f>IF(OR(E4843="",E4843="!!!"),"",IF(NOT(ISNA(VLOOKUP(E4843,E$1:E4842,1,FALSE()))),"OLD",IF(AND(E4843&lt;&gt;"",E4843&lt;&gt;"!!!"),"NEW","")))</f>
        <v> </v>
      </c>
      <c r="G4843" s="24" t="str">
        <f>IF(OR(E4843="",E4843="!!!"),"",IF(OR(J4843=0,AND(J4843=1,K4843=1),AND(J4843=1,I4843="SBJ"),AND(J4843=1,I4843=0)),"?IN_FOCUS",IF(J4843&lt;=2,"?ACTIVATED",IF(J4843&lt;&gt;"","?FAMILIAR",IF(F4843="NEW",IF(ISNA(VLOOKUP(E4843,#REF!,1,FALSE())),"?TYPE_IDENTIFIABLE","?REFERENTIAL"),"_")))))</f>
        <v> </v>
      </c>
      <c r="H4843" s="25" t="str">
        <f>IF(J4843&lt;&gt;1,"",IF(I4843="SBJ","CB","?"))</f>
        <v> </v>
      </c>
      <c r="I4843" s="26" t="str">
        <f>IF(OR(E4843="",E4843="!!!",F4843="NEW"),"",INDEX(B4842:B$2,-1+SUMPRODUCT(MAX(ROW(E4842:E$2)*(E4843=E4842:E$2)))))</f>
        <v> </v>
      </c>
      <c r="J4843" s="26" t="str">
        <f>IF(OR(E4843="",E4843="!!!",F4843="NEW"),"",COUNTBLANK(OFFSET(A$1,,,SUMPRODUCT(MAX(ROW(E$2:E4843)*(E4843=E$2:E4843)))))-COUNTBLANK(OFFSET(A$1,,,SUMPRODUCT(MAX(ROW(E$1:E4842)*(E2=E$1:E4842))))))</f>
        <v> </v>
      </c>
      <c r="K4843" s="26" t="str">
        <f>IF(OR(E4843="",E4843="!!!",F4843="NEW"),"",INDEX(J$1:J4842,SUMPRODUCT(MAX(ROW(E$1:E4842)*(E4843=E$1:E4842)))))</f>
        <v> </v>
      </c>
      <c r="L4843" s="27"/>
    </row>
    <row r="4844" spans="1:12">
      <c r="A4844" s="20" t="s">
        <v>1196</v>
      </c>
      <c r="B4844" s="21" t="s">
        <v>1039</v>
      </c>
      <c r="C4844" s="21" t="s">
        <v>1044</v>
      </c>
      <c r="D4844" s="21" t="s">
        <v>1011</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t="s">
        <v>1139</v>
      </c>
      <c r="E4845" s="22">
        <f>IF(D4845="?OLD","!!!","")</f>
        <v/>
      </c>
      <c r="F4845" s="23" t="str">
        <f>IF(OR(E4845="",E4845="!!!"),"",IF(NOT(ISNA(VLOOKUP(E4845,E$1:E4844,1,FALSE()))),"OLD",IF(AND(E4845&lt;&gt;"",E4845&lt;&gt;"!!!"),"NEW","")))</f>
        <v> </v>
      </c>
      <c r="G4845" s="24" t="str">
        <f>IF(OR(E4845="",E4845="!!!"),"",IF(OR(J4845=0,AND(J4845=1,K4845=1),AND(J4845=1,I4845="SBJ"),AND(J4845=1,I4845=0)),"?IN_FOCUS",IF(J4845&lt;=2,"?ACTIVATED",IF(J4845&lt;&gt;"","?FAMILIAR",IF(F4845="NEW",IF(ISNA(VLOOKUP(E4845,#REF!,1,FALSE())),"?TYPE_IDENTIFIABLE","?REFERENTIAL"),"_")))))</f>
        <v> </v>
      </c>
      <c r="H4845" s="25" t="str">
        <f>IF(J4845&lt;&gt;1,"",IF(I4845="SBJ","CB","?"))</f>
        <v> </v>
      </c>
      <c r="I4845" s="26" t="str">
        <f>IF(OR(E4845="",E4845="!!!",F4845="NEW"),"",INDEX(B4844:B$2,-1+SUMPRODUCT(MAX(ROW(E4844:E$2)*(E4845=E4844:E$2)))))</f>
        <v> </v>
      </c>
      <c r="J4845" s="26" t="str">
        <f>IF(OR(E4845="",E4845="!!!",F4845="NEW"),"",COUNTBLANK(OFFSET(A$1,,,SUMPRODUCT(MAX(ROW(E$2:E4845)*(E4845=E$2:E4845)))))-COUNTBLANK(OFFSET(A$1,,,SUMPRODUCT(MAX(ROW(E$1:E4844)*(E2=E$1:E4844))))))</f>
        <v> </v>
      </c>
      <c r="K4845" s="26" t="str">
        <f>IF(OR(E4845="",E4845="!!!",F4845="NEW"),"",INDEX(J$1:J4844,SUMPRODUCT(MAX(ROW(E$1:E4844)*(E4845=E$1:E4844)))))</f>
        <v> </v>
      </c>
      <c r="L4845" s="27"/>
    </row>
    <row r="4846" spans="1:12">
      <c r="A4846" s="20" t="s">
        <v>2131</v>
      </c>
      <c r="E4846" s="22">
        <f>IF(D4846="?OLD","!!!","")</f>
        <v/>
      </c>
      <c r="F4846" s="23" t="str">
        <f>IF(OR(E4846="",E4846="!!!"),"",IF(NOT(ISNA(VLOOKUP(E4846,E$1:E4845,1,FALSE()))),"OLD",IF(AND(E4846&lt;&gt;"",E4846&lt;&gt;"!!!"),"NEW","")))</f>
        <v> </v>
      </c>
      <c r="G4846" s="24" t="str">
        <f>IF(OR(E4846="",E4846="!!!"),"",IF(OR(J4846=0,AND(J4846=1,K4846=1),AND(J4846=1,I4846="SBJ"),AND(J4846=1,I4846=0)),"?IN_FOCUS",IF(J4846&lt;=2,"?ACTIVATED",IF(J4846&lt;&gt;"","?FAMILIAR",IF(F4846="NEW",IF(ISNA(VLOOKUP(E4846,#REF!,1,FALSE())),"?TYPE_IDENTIFIABLE","?REFERENTIAL"),"_")))))</f>
        <v> </v>
      </c>
      <c r="H4846" s="25" t="str">
        <f>IF(J4846&lt;&gt;1,"",IF(I4846="SBJ","CB","?"))</f>
        <v> </v>
      </c>
      <c r="I4846" s="26" t="str">
        <f>IF(OR(E4846="",E4846="!!!",F4846="NEW"),"",INDEX(B4845:B$2,-1+SUMPRODUCT(MAX(ROW(E4845:E$2)*(E4846=E4845:E$2)))))</f>
        <v> </v>
      </c>
      <c r="J4846" s="26" t="str">
        <f>IF(OR(E4846="",E4846="!!!",F4846="NEW"),"",COUNTBLANK(OFFSET(A$1,,,SUMPRODUCT(MAX(ROW(E$2:E4846)*(E4846=E$2:E4846)))))-COUNTBLANK(OFFSET(A$1,,,SUMPRODUCT(MAX(ROW(E$1:E4845)*(E2=E$1:E4845))))))</f>
        <v> </v>
      </c>
      <c r="K4846" s="26" t="str">
        <f>IF(OR(E4846="",E4846="!!!",F4846="NEW"),"",INDEX(J$1:J4845,SUMPRODUCT(MAX(ROW(E$1:E4845)*(E4846=E$1:E4845)))))</f>
        <v> </v>
      </c>
      <c r="L4846" s="27"/>
    </row>
    <row r="4847" spans="1:12">
      <c r="A4847" s="20" t="s">
        <v>1121</v>
      </c>
      <c r="B4847" s="21" t="s">
        <v>1088</v>
      </c>
      <c r="C4847" s="21" t="s">
        <v>1010</v>
      </c>
      <c r="D4847" s="21" t="s">
        <v>1011</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t="s">
        <v>767</v>
      </c>
      <c r="E4848" s="22">
        <f>IF(D4848="?OLD","!!!","")</f>
        <v/>
      </c>
      <c r="F4848" s="23" t="str">
        <f>IF(OR(E4848="",E4848="!!!"),"",IF(NOT(ISNA(VLOOKUP(E4848,E$1:E4847,1,FALSE()))),"OLD",IF(AND(E4848&lt;&gt;"",E4848&lt;&gt;"!!!"),"NEW","")))</f>
        <v> </v>
      </c>
      <c r="G4848" s="24" t="str">
        <f>IF(OR(E4848="",E4848="!!!"),"",IF(OR(J4848=0,AND(J4848=1,K4848=1),AND(J4848=1,I4848="SBJ"),AND(J4848=1,I4848=0)),"?IN_FOCUS",IF(J4848&lt;=2,"?ACTIVATED",IF(J4848&lt;&gt;"","?FAMILIAR",IF(F4848="NEW",IF(ISNA(VLOOKUP(E4848,#REF!,1,FALSE())),"?TYPE_IDENTIFIABLE","?REFERENTIAL"),"_")))))</f>
        <v> </v>
      </c>
      <c r="H4848" s="25" t="str">
        <f>IF(J4848&lt;&gt;1,"",IF(I4848="SBJ","CB","?"))</f>
        <v> </v>
      </c>
      <c r="I4848" s="26" t="str">
        <f>IF(OR(E4848="",E4848="!!!",F4848="NEW"),"",INDEX(B4847:B$2,-1+SUMPRODUCT(MAX(ROW(E4847:E$2)*(E4848=E4847:E$2)))))</f>
        <v> </v>
      </c>
      <c r="J4848" s="26" t="str">
        <f>IF(OR(E4848="",E4848="!!!",F4848="NEW"),"",COUNTBLANK(OFFSET(A$1,,,SUMPRODUCT(MAX(ROW(E$2:E4848)*(E4848=E$2:E4848)))))-COUNTBLANK(OFFSET(A$1,,,SUMPRODUCT(MAX(ROW(E$1:E4847)*(E2=E$1:E4847))))))</f>
        <v> </v>
      </c>
      <c r="K4848" s="26" t="str">
        <f>IF(OR(E4848="",E4848="!!!",F4848="NEW"),"",INDEX(J$1:J4847,SUMPRODUCT(MAX(ROW(E$1:E4847)*(E4848=E$1:E4847)))))</f>
        <v> </v>
      </c>
      <c r="L4848" s="27"/>
    </row>
    <row r="4849" spans="1:12">
      <c r="A4849" s="20" t="s">
        <v>1105</v>
      </c>
      <c r="E4849" s="22">
        <f>IF(D4849="?OLD","!!!","")</f>
        <v/>
      </c>
      <c r="F4849" s="23" t="str">
        <f>IF(OR(E4849="",E4849="!!!"),"",IF(NOT(ISNA(VLOOKUP(E4849,E$1:E4848,1,FALSE()))),"OLD",IF(AND(E4849&lt;&gt;"",E4849&lt;&gt;"!!!"),"NEW","")))</f>
        <v> </v>
      </c>
      <c r="G4849" s="24" t="str">
        <f>IF(OR(E4849="",E4849="!!!"),"",IF(OR(J4849=0,AND(J4849=1,K4849=1),AND(J4849=1,I4849="SBJ"),AND(J4849=1,I4849=0)),"?IN_FOCUS",IF(J4849&lt;=2,"?ACTIVATED",IF(J4849&lt;&gt;"","?FAMILIAR",IF(F4849="NEW",IF(ISNA(VLOOKUP(E4849,#REF!,1,FALSE())),"?TYPE_IDENTIFIABLE","?REFERENTIAL"),"_")))))</f>
        <v> </v>
      </c>
      <c r="H4849" s="25" t="str">
        <f>IF(J4849&lt;&gt;1,"",IF(I4849="SBJ","CB","?"))</f>
        <v> </v>
      </c>
      <c r="I4849" s="26" t="str">
        <f>IF(OR(E4849="",E4849="!!!",F4849="NEW"),"",INDEX(B4848:B$2,-1+SUMPRODUCT(MAX(ROW(E4848:E$2)*(E4849=E4848:E$2)))))</f>
        <v> </v>
      </c>
      <c r="J4849" s="26" t="str">
        <f>IF(OR(E4849="",E4849="!!!",F4849="NEW"),"",COUNTBLANK(OFFSET(A$1,,,SUMPRODUCT(MAX(ROW(E$2:E4849)*(E4849=E$2:E4849)))))-COUNTBLANK(OFFSET(A$1,,,SUMPRODUCT(MAX(ROW(E$1:E4848)*(E2=E$1:E4848))))))</f>
        <v> </v>
      </c>
      <c r="K4849" s="26" t="str">
        <f>IF(OR(E4849="",E4849="!!!",F4849="NEW"),"",INDEX(J$1:J4848,SUMPRODUCT(MAX(ROW(E$1:E4848)*(E4849=E$1:E4848)))))</f>
        <v> </v>
      </c>
      <c r="L4849" s="27"/>
    </row>
    <row r="4850" spans="1:12">
      <c r="A4850" s="20" t="s">
        <v>2132</v>
      </c>
      <c r="E4850" s="22">
        <f>IF(D4850="?OLD","!!!","")</f>
        <v/>
      </c>
      <c r="F4850" s="23" t="str">
        <f>IF(OR(E4850="",E4850="!!!"),"",IF(NOT(ISNA(VLOOKUP(E4850,E$1:E4849,1,FALSE()))),"OLD",IF(AND(E4850&lt;&gt;"",E4850&lt;&gt;"!!!"),"NEW","")))</f>
        <v> </v>
      </c>
      <c r="G4850" s="24" t="str">
        <f>IF(OR(E4850="",E4850="!!!"),"",IF(OR(J4850=0,AND(J4850=1,K4850=1),AND(J4850=1,I4850="SBJ"),AND(J4850=1,I4850=0)),"?IN_FOCUS",IF(J4850&lt;=2,"?ACTIVATED",IF(J4850&lt;&gt;"","?FAMILIAR",IF(F4850="NEW",IF(ISNA(VLOOKUP(E4850,#REF!,1,FALSE())),"?TYPE_IDENTIFIABLE","?REFERENTIAL"),"_")))))</f>
        <v> </v>
      </c>
      <c r="H4850" s="25" t="str">
        <f>IF(J4850&lt;&gt;1,"",IF(I4850="SBJ","CB","?"))</f>
        <v> </v>
      </c>
      <c r="I4850" s="26" t="str">
        <f>IF(OR(E4850="",E4850="!!!",F4850="NEW"),"",INDEX(B4849:B$2,-1+SUMPRODUCT(MAX(ROW(E4849:E$2)*(E4850=E4849:E$2)))))</f>
        <v> </v>
      </c>
      <c r="J4850" s="26" t="str">
        <f>IF(OR(E4850="",E4850="!!!",F4850="NEW"),"",COUNTBLANK(OFFSET(A$1,,,SUMPRODUCT(MAX(ROW(E$2:E4850)*(E4850=E$2:E4850)))))-COUNTBLANK(OFFSET(A$1,,,SUMPRODUCT(MAX(ROW(E$1:E4849)*(E2=E$1:E4849))))))</f>
        <v> </v>
      </c>
      <c r="K4850" s="26" t="str">
        <f>IF(OR(E4850="",E4850="!!!",F4850="NEW"),"",INDEX(J$1:J4849,SUMPRODUCT(MAX(ROW(E$1:E4849)*(E4850=E$1:E4849)))))</f>
        <v> </v>
      </c>
      <c r="L4850" s="27"/>
    </row>
    <row r="4851" spans="1:12">
      <c r="A4851" s="20" t="s">
        <v>1022</v>
      </c>
      <c r="E4851" s="22">
        <f>IF(D4851="?OLD","!!!","")</f>
        <v/>
      </c>
      <c r="F4851" s="23" t="str">
        <f>IF(OR(E4851="",E4851="!!!"),"",IF(NOT(ISNA(VLOOKUP(E4851,E$1:E4850,1,FALSE()))),"OLD",IF(AND(E4851&lt;&gt;"",E4851&lt;&gt;"!!!"),"NEW","")))</f>
        <v> </v>
      </c>
      <c r="G4851" s="24" t="str">
        <f>IF(OR(E4851="",E4851="!!!"),"",IF(OR(J4851=0,AND(J4851=1,K4851=1),AND(J4851=1,I4851="SBJ"),AND(J4851=1,I4851=0)),"?IN_FOCUS",IF(J4851&lt;=2,"?ACTIVATED",IF(J4851&lt;&gt;"","?FAMILIAR",IF(F4851="NEW",IF(ISNA(VLOOKUP(E4851,#REF!,1,FALSE())),"?TYPE_IDENTIFIABLE","?REFERENTIAL"),"_")))))</f>
        <v> </v>
      </c>
      <c r="H4851" s="25" t="str">
        <f>IF(J4851&lt;&gt;1,"",IF(I4851="SBJ","CB","?"))</f>
        <v> </v>
      </c>
      <c r="I4851" s="26" t="str">
        <f>IF(OR(E4851="",E4851="!!!",F4851="NEW"),"",INDEX(B4850:B$2,-1+SUMPRODUCT(MAX(ROW(E4850:E$2)*(E4851=E4850:E$2)))))</f>
        <v> </v>
      </c>
      <c r="J4851" s="26" t="str">
        <f>IF(OR(E4851="",E4851="!!!",F4851="NEW"),"",COUNTBLANK(OFFSET(A$1,,,SUMPRODUCT(MAX(ROW(E$2:E4851)*(E4851=E$2:E4851)))))-COUNTBLANK(OFFSET(A$1,,,SUMPRODUCT(MAX(ROW(E$1:E4850)*(E2=E$1:E4850))))))</f>
        <v> </v>
      </c>
      <c r="K4851" s="26" t="str">
        <f>IF(OR(E4851="",E4851="!!!",F4851="NEW"),"",INDEX(J$1:J4850,SUMPRODUCT(MAX(ROW(E$1:E4850)*(E4851=E$1:E4850)))))</f>
        <v> </v>
      </c>
      <c r="L4851" s="27"/>
    </row>
    <row r="4852" spans="1:12">
      <c r="A4852" s="20"/>
    </row>
    <row r="4853" spans="1:12">
      <c r="A4853" s="20" t="s">
        <v>2133</v>
      </c>
    </row>
    <row r="4854" spans="1:12">
      <c r="A4854" s="20" t="s">
        <v>1135</v>
      </c>
      <c r="E4854" s="22">
        <f>IF(D4854="?OLD","!!!","")</f>
        <v/>
      </c>
      <c r="F4854" s="23" t="str">
        <f>IF(OR(E4854="",E4854="!!!"),"",IF(NOT(ISNA(VLOOKUP(E4854,E$1:E4853,1,FALSE()))),"OLD",IF(AND(E4854&lt;&gt;"",E4854&lt;&gt;"!!!"),"NEW","")))</f>
        <v> </v>
      </c>
      <c r="G4854" s="24" t="str">
        <f>IF(OR(E4854="",E4854="!!!"),"",IF(OR(J4854=0,AND(J4854=1,K4854=1),AND(J4854=1,I4854="SBJ"),AND(J4854=1,I4854=0)),"?IN_FOCUS",IF(J4854&lt;=2,"?ACTIVATED",IF(J4854&lt;&gt;"","?FAMILIAR",IF(F4854="NEW",IF(ISNA(VLOOKUP(E4854,#REF!,1,FALSE())),"?TYPE_IDENTIFIABLE","?REFERENTIAL"),"_")))))</f>
        <v> </v>
      </c>
      <c r="H4854" s="25" t="str">
        <f>IF(J4854&lt;&gt;1,"",IF(I4854="SBJ","CB","?"))</f>
        <v> </v>
      </c>
      <c r="I4854" s="26" t="str">
        <f>IF(OR(E4854="",E4854="!!!",F4854="NEW"),"",INDEX(B4853:B$2,-1+SUMPRODUCT(MAX(ROW(E4853:E$2)*(E4854=E4853:E$2)))))</f>
        <v> </v>
      </c>
      <c r="J4854" s="26" t="str">
        <f>IF(OR(E4854="",E4854="!!!",F4854="NEW"),"",COUNTBLANK(OFFSET(A$1,,,SUMPRODUCT(MAX(ROW(E$2:E4854)*(E4854=E$2:E4854)))))-COUNTBLANK(OFFSET(A$1,,,SUMPRODUCT(MAX(ROW(E$1:E4853)*(E2=E$1:E4853))))))</f>
        <v> </v>
      </c>
      <c r="K4854" s="26" t="str">
        <f>IF(OR(E4854="",E4854="!!!",F4854="NEW"),"",INDEX(J$1:J4853,SUMPRODUCT(MAX(ROW(E$1:E4853)*(E4854=E$1:E4853)))))</f>
        <v> </v>
      </c>
      <c r="L4854" s="27"/>
    </row>
    <row r="4855" spans="1:12">
      <c r="A4855" s="20" t="s">
        <v>1042</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t="s">
        <v>1465</v>
      </c>
      <c r="E4856" s="22">
        <f>IF(D4856="?OLD","!!!","")</f>
        <v/>
      </c>
      <c r="F4856" s="23" t="str">
        <f>IF(OR(E4856="",E4856="!!!"),"",IF(NOT(ISNA(VLOOKUP(E4856,E$1:E4855,1,FALSE()))),"OLD",IF(AND(E4856&lt;&gt;"",E4856&lt;&gt;"!!!"),"NEW","")))</f>
        <v> </v>
      </c>
      <c r="G4856" s="24" t="str">
        <f>IF(OR(E4856="",E4856="!!!"),"",IF(OR(J4856=0,AND(J4856=1,K4856=1),AND(J4856=1,I4856="SBJ"),AND(J4856=1,I4856=0)),"?IN_FOCUS",IF(J4856&lt;=2,"?ACTIVATED",IF(J4856&lt;&gt;"","?FAMILIAR",IF(F4856="NEW",IF(ISNA(VLOOKUP(E4856,#REF!,1,FALSE())),"?TYPE_IDENTIFIABLE","?REFERENTIAL"),"_")))))</f>
        <v> </v>
      </c>
      <c r="H4856" s="25" t="str">
        <f>IF(J4856&lt;&gt;1,"",IF(I4856="SBJ","CB","?"))</f>
        <v> </v>
      </c>
      <c r="I4856" s="26" t="str">
        <f>IF(OR(E4856="",E4856="!!!",F4856="NEW"),"",INDEX(B4855:B$2,-1+SUMPRODUCT(MAX(ROW(E4855:E$2)*(E4856=E4855:E$2)))))</f>
        <v> </v>
      </c>
      <c r="J4856" s="26" t="str">
        <f>IF(OR(E4856="",E4856="!!!",F4856="NEW"),"",COUNTBLANK(OFFSET(A$1,,,SUMPRODUCT(MAX(ROW(E$2:E4856)*(E4856=E$2:E4856)))))-COUNTBLANK(OFFSET(A$1,,,SUMPRODUCT(MAX(ROW(E$1:E4855)*(E2=E$1:E4855))))))</f>
        <v> </v>
      </c>
      <c r="K4856" s="26" t="str">
        <f>IF(OR(E4856="",E4856="!!!",F4856="NEW"),"",INDEX(J$1:J4855,SUMPRODUCT(MAX(ROW(E$1:E4855)*(E4856=E$1:E4855)))))</f>
        <v> </v>
      </c>
      <c r="L4856" s="27"/>
    </row>
    <row r="4857" spans="1:12">
      <c r="A4857" s="20" t="s">
        <v>2134</v>
      </c>
      <c r="B4857" s="21" t="s">
        <v>1071</v>
      </c>
      <c r="C4857" s="21" t="s">
        <v>1044</v>
      </c>
      <c r="D4857" s="21" t="s">
        <v>1011</v>
      </c>
      <c r="E4857" s="22">
        <f>IF(D4857="?OLD","!!!","")</f>
        <v/>
      </c>
      <c r="F4857" s="23" t="str">
        <f>IF(OR(E4857="",E4857="!!!"),"",IF(NOT(ISNA(VLOOKUP(E4857,E$1:E4856,1,FALSE()))),"OLD",IF(AND(E4857&lt;&gt;"",E4857&lt;&gt;"!!!"),"NEW","")))</f>
        <v> </v>
      </c>
      <c r="G4857" s="24" t="str">
        <f>IF(OR(E4857="",E4857="!!!"),"",IF(OR(J4857=0,AND(J4857=1,K4857=1),AND(J4857=1,I4857="SBJ"),AND(J4857=1,I4857=0)),"?IN_FOCUS",IF(J4857&lt;=2,"?ACTIVATED",IF(J4857&lt;&gt;"","?FAMILIAR",IF(F4857="NEW",IF(ISNA(VLOOKUP(E4857,#REF!,1,FALSE())),"?TYPE_IDENTIFIABLE","?REFERENTIAL"),"_")))))</f>
        <v> </v>
      </c>
      <c r="H4857" s="25" t="str">
        <f>IF(J4857&lt;&gt;1,"",IF(I4857="SBJ","CB","?"))</f>
        <v> </v>
      </c>
      <c r="I4857" s="26" t="str">
        <f>IF(OR(E4857="",E4857="!!!",F4857="NEW"),"",INDEX(B4856:B$2,-1+SUMPRODUCT(MAX(ROW(E4856:E$2)*(E4857=E4856:E$2)))))</f>
        <v> </v>
      </c>
      <c r="J4857" s="26" t="str">
        <f>IF(OR(E4857="",E4857="!!!",F4857="NEW"),"",COUNTBLANK(OFFSET(A$1,,,SUMPRODUCT(MAX(ROW(E$2:E4857)*(E4857=E$2:E4857)))))-COUNTBLANK(OFFSET(A$1,,,SUMPRODUCT(MAX(ROW(E$1:E4856)*(E2=E$1:E4856))))))</f>
        <v> </v>
      </c>
      <c r="K4857" s="26" t="str">
        <f>IF(OR(E4857="",E4857="!!!",F4857="NEW"),"",INDEX(J$1:J4856,SUMPRODUCT(MAX(ROW(E$1:E4856)*(E4857=E$1:E4856)))))</f>
        <v> </v>
      </c>
      <c r="L4857" s="27"/>
    </row>
    <row r="4858" spans="1:12">
      <c r="A4858" s="20" t="s">
        <v>1032</v>
      </c>
      <c r="E4858" s="22">
        <f>IF(D4858="?OLD","!!!","")</f>
        <v/>
      </c>
      <c r="F4858" s="23" t="str">
        <f>IF(OR(E4858="",E4858="!!!"),"",IF(NOT(ISNA(VLOOKUP(E4858,E$1:E4857,1,FALSE()))),"OLD",IF(AND(E4858&lt;&gt;"",E4858&lt;&gt;"!!!"),"NEW","")))</f>
        <v> </v>
      </c>
      <c r="G4858" s="24" t="str">
        <f>IF(OR(E4858="",E4858="!!!"),"",IF(OR(J4858=0,AND(J4858=1,K4858=1),AND(J4858=1,I4858="SBJ"),AND(J4858=1,I4858=0)),"?IN_FOCUS",IF(J4858&lt;=2,"?ACTIVATED",IF(J4858&lt;&gt;"","?FAMILIAR",IF(F4858="NEW",IF(ISNA(VLOOKUP(E4858,#REF!,1,FALSE())),"?TYPE_IDENTIFIABLE","?REFERENTIAL"),"_")))))</f>
        <v> </v>
      </c>
      <c r="H4858" s="25" t="str">
        <f>IF(J4858&lt;&gt;1,"",IF(I4858="SBJ","CB","?"))</f>
        <v> </v>
      </c>
      <c r="I4858" s="26" t="str">
        <f>IF(OR(E4858="",E4858="!!!",F4858="NEW"),"",INDEX(B4857:B$2,-1+SUMPRODUCT(MAX(ROW(E4857:E$2)*(E4858=E4857:E$2)))))</f>
        <v> </v>
      </c>
      <c r="J4858" s="26" t="str">
        <f>IF(OR(E4858="",E4858="!!!",F4858="NEW"),"",COUNTBLANK(OFFSET(A$1,,,SUMPRODUCT(MAX(ROW(E$2:E4858)*(E4858=E$2:E4858)))))-COUNTBLANK(OFFSET(A$1,,,SUMPRODUCT(MAX(ROW(E$1:E4857)*(E2=E$1:E4857))))))</f>
        <v> </v>
      </c>
      <c r="K4858" s="26" t="str">
        <f>IF(OR(E4858="",E4858="!!!",F4858="NEW"),"",INDEX(J$1:J4857,SUMPRODUCT(MAX(ROW(E$1:E4857)*(E4858=E$1:E4857)))))</f>
        <v> </v>
      </c>
      <c r="L4858" s="27"/>
    </row>
    <row r="4859" spans="1:12">
      <c r="A4859" s="20" t="s">
        <v>1100</v>
      </c>
      <c r="E4859" s="22">
        <f>IF(D4859="?OLD","!!!","")</f>
        <v/>
      </c>
      <c r="F4859" s="23" t="str">
        <f>IF(OR(E4859="",E4859="!!!"),"",IF(NOT(ISNA(VLOOKUP(E4859,E$1:E4858,1,FALSE()))),"OLD",IF(AND(E4859&lt;&gt;"",E4859&lt;&gt;"!!!"),"NEW","")))</f>
        <v> </v>
      </c>
      <c r="G4859" s="24" t="str">
        <f>IF(OR(E4859="",E4859="!!!"),"",IF(OR(J4859=0,AND(J4859=1,K4859=1),AND(J4859=1,I4859="SBJ"),AND(J4859=1,I4859=0)),"?IN_FOCUS",IF(J4859&lt;=2,"?ACTIVATED",IF(J4859&lt;&gt;"","?FAMILIAR",IF(F4859="NEW",IF(ISNA(VLOOKUP(E4859,#REF!,1,FALSE())),"?TYPE_IDENTIFIABLE","?REFERENTIAL"),"_")))))</f>
        <v> </v>
      </c>
      <c r="H4859" s="25" t="str">
        <f>IF(J4859&lt;&gt;1,"",IF(I4859="SBJ","CB","?"))</f>
        <v> </v>
      </c>
      <c r="I4859" s="26" t="str">
        <f>IF(OR(E4859="",E4859="!!!",F4859="NEW"),"",INDEX(B4858:B$2,-1+SUMPRODUCT(MAX(ROW(E4858:E$2)*(E4859=E4858:E$2)))))</f>
        <v> </v>
      </c>
      <c r="J4859" s="26" t="str">
        <f>IF(OR(E4859="",E4859="!!!",F4859="NEW"),"",COUNTBLANK(OFFSET(A$1,,,SUMPRODUCT(MAX(ROW(E$2:E4859)*(E4859=E$2:E4859)))))-COUNTBLANK(OFFSET(A$1,,,SUMPRODUCT(MAX(ROW(E$1:E4858)*(E2=E$1:E4858))))))</f>
        <v> </v>
      </c>
      <c r="K4859" s="26" t="str">
        <f>IF(OR(E4859="",E4859="!!!",F4859="NEW"),"",INDEX(J$1:J4858,SUMPRODUCT(MAX(ROW(E$1:E4858)*(E4859=E$1:E4858)))))</f>
        <v> </v>
      </c>
      <c r="L4859" s="27"/>
    </row>
    <row r="4860" spans="1:12">
      <c r="A4860" s="20" t="s">
        <v>1067</v>
      </c>
      <c r="E4860" s="22">
        <f>IF(D4860="?OLD","!!!","")</f>
        <v/>
      </c>
      <c r="F4860" s="23" t="str">
        <f>IF(OR(E4860="",E4860="!!!"),"",IF(NOT(ISNA(VLOOKUP(E4860,E$1:E4859,1,FALSE()))),"OLD",IF(AND(E4860&lt;&gt;"",E4860&lt;&gt;"!!!"),"NEW","")))</f>
        <v> </v>
      </c>
      <c r="G4860" s="24" t="str">
        <f>IF(OR(E4860="",E4860="!!!"),"",IF(OR(J4860=0,AND(J4860=1,K4860=1),AND(J4860=1,I4860="SBJ"),AND(J4860=1,I4860=0)),"?IN_FOCUS",IF(J4860&lt;=2,"?ACTIVATED",IF(J4860&lt;&gt;"","?FAMILIAR",IF(F4860="NEW",IF(ISNA(VLOOKUP(E4860,#REF!,1,FALSE())),"?TYPE_IDENTIFIABLE","?REFERENTIAL"),"_")))))</f>
        <v> </v>
      </c>
      <c r="H4860" s="25" t="str">
        <f>IF(J4860&lt;&gt;1,"",IF(I4860="SBJ","CB","?"))</f>
        <v> </v>
      </c>
      <c r="I4860" s="26" t="str">
        <f>IF(OR(E4860="",E4860="!!!",F4860="NEW"),"",INDEX(B4859:B$2,-1+SUMPRODUCT(MAX(ROW(E4859:E$2)*(E4860=E4859:E$2)))))</f>
        <v> </v>
      </c>
      <c r="J4860" s="26" t="str">
        <f>IF(OR(E4860="",E4860="!!!",F4860="NEW"),"",COUNTBLANK(OFFSET(A$1,,,SUMPRODUCT(MAX(ROW(E$2:E4860)*(E4860=E$2:E4860)))))-COUNTBLANK(OFFSET(A$1,,,SUMPRODUCT(MAX(ROW(E$1:E4859)*(E2=E$1:E4859))))))</f>
        <v> </v>
      </c>
      <c r="K4860" s="26" t="str">
        <f>IF(OR(E4860="",E4860="!!!",F4860="NEW"),"",INDEX(J$1:J4859,SUMPRODUCT(MAX(ROW(E$1:E4859)*(E4860=E$1:E4859)))))</f>
        <v> </v>
      </c>
      <c r="L4860" s="27"/>
    </row>
    <row r="4861" spans="1:12">
      <c r="A4861" s="20" t="s">
        <v>1071</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2135</v>
      </c>
      <c r="B4862" s="21" t="s">
        <v>1009</v>
      </c>
      <c r="C4862" s="21" t="s">
        <v>1017</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1022</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row>
    <row r="4865" spans="1:12">
      <c r="A4865" s="20" t="s">
        <v>2136</v>
      </c>
    </row>
    <row r="4866" spans="1:12">
      <c r="A4866" s="20" t="s">
        <v>1813</v>
      </c>
      <c r="B4866" s="21" t="s">
        <v>1009</v>
      </c>
      <c r="C4866" s="21" t="s">
        <v>1010</v>
      </c>
      <c r="D4866" s="21" t="s">
        <v>1011</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557</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t="s">
        <v>1032</v>
      </c>
      <c r="E4868" s="22">
        <f>IF(D4868="?OLD","!!!","")</f>
        <v/>
      </c>
      <c r="F4868" s="23" t="str">
        <f>IF(OR(E4868="",E4868="!!!"),"",IF(NOT(ISNA(VLOOKUP(E4868,E$1:E4867,1,FALSE()))),"OLD",IF(AND(E4868&lt;&gt;"",E4868&lt;&gt;"!!!"),"NEW","")))</f>
        <v> </v>
      </c>
      <c r="G4868" s="24" t="str">
        <f>IF(OR(E4868="",E4868="!!!"),"",IF(OR(J4868=0,AND(J4868=1,K4868=1),AND(J4868=1,I4868="SBJ"),AND(J4868=1,I4868=0)),"?IN_FOCUS",IF(J4868&lt;=2,"?ACTIVATED",IF(J4868&lt;&gt;"","?FAMILIAR",IF(F4868="NEW",IF(ISNA(VLOOKUP(E4868,#REF!,1,FALSE())),"?TYPE_IDENTIFIABLE","?REFERENTIAL"),"_")))))</f>
        <v> </v>
      </c>
      <c r="H4868" s="25" t="str">
        <f>IF(J4868&lt;&gt;1,"",IF(I4868="SBJ","CB","?"))</f>
        <v> </v>
      </c>
      <c r="I4868" s="26" t="str">
        <f>IF(OR(E4868="",E4868="!!!",F4868="NEW"),"",INDEX(B4867:B$2,-1+SUMPRODUCT(MAX(ROW(E4867:E$2)*(E4868=E4867:E$2)))))</f>
        <v> </v>
      </c>
      <c r="J4868" s="26" t="str">
        <f>IF(OR(E4868="",E4868="!!!",F4868="NEW"),"",COUNTBLANK(OFFSET(A$1,,,SUMPRODUCT(MAX(ROW(E$2:E4868)*(E4868=E$2:E4868)))))-COUNTBLANK(OFFSET(A$1,,,SUMPRODUCT(MAX(ROW(E$1:E4867)*(E2=E$1:E4867))))))</f>
        <v> </v>
      </c>
      <c r="K4868" s="26" t="str">
        <f>IF(OR(E4868="",E4868="!!!",F4868="NEW"),"",INDEX(J$1:J4867,SUMPRODUCT(MAX(ROW(E$1:E4867)*(E4868=E$1:E4867)))))</f>
        <v> </v>
      </c>
      <c r="L4868" s="27"/>
    </row>
    <row r="4869" spans="1:12">
      <c r="A4869" s="20" t="s">
        <v>1052</v>
      </c>
      <c r="B4869" s="21" t="s">
        <v>1039</v>
      </c>
      <c r="C4869" s="21" t="s">
        <v>1010</v>
      </c>
      <c r="D4869" s="21" t="s">
        <v>1011</v>
      </c>
      <c r="E4869" s="22">
        <f>IF(D4869="?OLD","!!!","")</f>
        <v/>
      </c>
      <c r="F4869" s="23" t="str">
        <f>IF(OR(E4869="",E4869="!!!"),"",IF(NOT(ISNA(VLOOKUP(E4869,E$1:E4868,1,FALSE()))),"OLD",IF(AND(E4869&lt;&gt;"",E4869&lt;&gt;"!!!"),"NEW","")))</f>
        <v> </v>
      </c>
      <c r="G4869" s="24" t="str">
        <f>IF(OR(E4869="",E4869="!!!"),"",IF(OR(J4869=0,AND(J4869=1,K4869=1),AND(J4869=1,I4869="SBJ"),AND(J4869=1,I4869=0)),"?IN_FOCUS",IF(J4869&lt;=2,"?ACTIVATED",IF(J4869&lt;&gt;"","?FAMILIAR",IF(F4869="NEW",IF(ISNA(VLOOKUP(E4869,#REF!,1,FALSE())),"?TYPE_IDENTIFIABLE","?REFERENTIAL"),"_")))))</f>
        <v> </v>
      </c>
      <c r="H4869" s="25" t="str">
        <f>IF(J4869&lt;&gt;1,"",IF(I4869="SBJ","CB","?"))</f>
        <v> </v>
      </c>
      <c r="I4869" s="26" t="str">
        <f>IF(OR(E4869="",E4869="!!!",F4869="NEW"),"",INDEX(B4868:B$2,-1+SUMPRODUCT(MAX(ROW(E4868:E$2)*(E4869=E4868:E$2)))))</f>
        <v> </v>
      </c>
      <c r="J4869" s="26" t="str">
        <f>IF(OR(E4869="",E4869="!!!",F4869="NEW"),"",COUNTBLANK(OFFSET(A$1,,,SUMPRODUCT(MAX(ROW(E$2:E4869)*(E4869=E$2:E4869)))))-COUNTBLANK(OFFSET(A$1,,,SUMPRODUCT(MAX(ROW(E$1:E4868)*(E2=E$1:E4868))))))</f>
        <v> </v>
      </c>
      <c r="K4869" s="26" t="str">
        <f>IF(OR(E4869="",E4869="!!!",F4869="NEW"),"",INDEX(J$1:J4868,SUMPRODUCT(MAX(ROW(E$1:E4868)*(E4869=E$1:E4868)))))</f>
        <v> </v>
      </c>
      <c r="L4869" s="27"/>
    </row>
    <row r="4870" spans="1:12">
      <c r="A4870" s="20" t="s">
        <v>388</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t="s">
        <v>1097</v>
      </c>
      <c r="E4871" s="22">
        <f>IF(D4871="?OLD","!!!","")</f>
        <v/>
      </c>
      <c r="F4871" s="23" t="str">
        <f>IF(OR(E4871="",E4871="!!!"),"",IF(NOT(ISNA(VLOOKUP(E4871,E$1:E4870,1,FALSE()))),"OLD",IF(AND(E4871&lt;&gt;"",E4871&lt;&gt;"!!!"),"NEW","")))</f>
        <v> </v>
      </c>
      <c r="G4871" s="24" t="str">
        <f>IF(OR(E4871="",E4871="!!!"),"",IF(OR(J4871=0,AND(J4871=1,K4871=1),AND(J4871=1,I4871="SBJ"),AND(J4871=1,I4871=0)),"?IN_FOCUS",IF(J4871&lt;=2,"?ACTIVATED",IF(J4871&lt;&gt;"","?FAMILIAR",IF(F4871="NEW",IF(ISNA(VLOOKUP(E4871,#REF!,1,FALSE())),"?TYPE_IDENTIFIABLE","?REFERENTIAL"),"_")))))</f>
        <v> </v>
      </c>
      <c r="H4871" s="25" t="str">
        <f>IF(J4871&lt;&gt;1,"",IF(I4871="SBJ","CB","?"))</f>
        <v> </v>
      </c>
      <c r="I4871" s="26" t="str">
        <f>IF(OR(E4871="",E4871="!!!",F4871="NEW"),"",INDEX(B4870:B$2,-1+SUMPRODUCT(MAX(ROW(E4870:E$2)*(E4871=E4870:E$2)))))</f>
        <v> </v>
      </c>
      <c r="J4871" s="26" t="str">
        <f>IF(OR(E4871="",E4871="!!!",F4871="NEW"),"",COUNTBLANK(OFFSET(A$1,,,SUMPRODUCT(MAX(ROW(E$2:E4871)*(E4871=E$2:E4871)))))-COUNTBLANK(OFFSET(A$1,,,SUMPRODUCT(MAX(ROW(E$1:E4870)*(E2=E$1:E4870))))))</f>
        <v> </v>
      </c>
      <c r="K4871" s="26" t="str">
        <f>IF(OR(E4871="",E4871="!!!",F4871="NEW"),"",INDEX(J$1:J4870,SUMPRODUCT(MAX(ROW(E$1:E4870)*(E4871=E$1:E4870)))))</f>
        <v> </v>
      </c>
      <c r="L4871" s="27"/>
    </row>
    <row r="4872" spans="1:12">
      <c r="A4872" s="20" t="s">
        <v>557</v>
      </c>
      <c r="E4872" s="22">
        <f>IF(D4872="?OLD","!!!","")</f>
        <v/>
      </c>
      <c r="F4872" s="23" t="str">
        <f>IF(OR(E4872="",E4872="!!!"),"",IF(NOT(ISNA(VLOOKUP(E4872,E$1:E4871,1,FALSE()))),"OLD",IF(AND(E4872&lt;&gt;"",E4872&lt;&gt;"!!!"),"NEW","")))</f>
        <v> </v>
      </c>
      <c r="G4872" s="24" t="str">
        <f>IF(OR(E4872="",E4872="!!!"),"",IF(OR(J4872=0,AND(J4872=1,K4872=1),AND(J4872=1,I4872="SBJ"),AND(J4872=1,I4872=0)),"?IN_FOCUS",IF(J4872&lt;=2,"?ACTIVATED",IF(J4872&lt;&gt;"","?FAMILIAR",IF(F4872="NEW",IF(ISNA(VLOOKUP(E4872,#REF!,1,FALSE())),"?TYPE_IDENTIFIABLE","?REFERENTIAL"),"_")))))</f>
        <v> </v>
      </c>
      <c r="H4872" s="25" t="str">
        <f>IF(J4872&lt;&gt;1,"",IF(I4872="SBJ","CB","?"))</f>
        <v> </v>
      </c>
      <c r="I4872" s="26" t="str">
        <f>IF(OR(E4872="",E4872="!!!",F4872="NEW"),"",INDEX(B4871:B$2,-1+SUMPRODUCT(MAX(ROW(E4871:E$2)*(E4872=E4871:E$2)))))</f>
        <v> </v>
      </c>
      <c r="J4872" s="26" t="str">
        <f>IF(OR(E4872="",E4872="!!!",F4872="NEW"),"",COUNTBLANK(OFFSET(A$1,,,SUMPRODUCT(MAX(ROW(E$2:E4872)*(E4872=E$2:E4872)))))-COUNTBLANK(OFFSET(A$1,,,SUMPRODUCT(MAX(ROW(E$1:E4871)*(E2=E$1:E4871))))))</f>
        <v> </v>
      </c>
      <c r="K4872" s="26" t="str">
        <f>IF(OR(E4872="",E4872="!!!",F4872="NEW"),"",INDEX(J$1:J4871,SUMPRODUCT(MAX(ROW(E$1:E4871)*(E4872=E$1:E4871)))))</f>
        <v> </v>
      </c>
      <c r="L4872" s="27"/>
    </row>
    <row r="4873" spans="1:12">
      <c r="A4873" s="20" t="s">
        <v>1093</v>
      </c>
      <c r="B4873" s="21" t="s">
        <v>1021</v>
      </c>
      <c r="C4873" s="21" t="s">
        <v>1035</v>
      </c>
      <c r="D4873" s="21" t="s">
        <v>1011</v>
      </c>
      <c r="E4873" s="22">
        <f>IF(D4873="?OLD","!!!","")</f>
        <v/>
      </c>
      <c r="F4873" s="23" t="str">
        <f>IF(OR(E4873="",E4873="!!!"),"",IF(NOT(ISNA(VLOOKUP(E4873,E$1:E4872,1,FALSE()))),"OLD",IF(AND(E4873&lt;&gt;"",E4873&lt;&gt;"!!!"),"NEW","")))</f>
        <v> </v>
      </c>
      <c r="G4873" s="24" t="str">
        <f>IF(OR(E4873="",E4873="!!!"),"",IF(OR(J4873=0,AND(J4873=1,K4873=1),AND(J4873=1,I4873="SBJ"),AND(J4873=1,I4873=0)),"?IN_FOCUS",IF(J4873&lt;=2,"?ACTIVATED",IF(J4873&lt;&gt;"","?FAMILIAR",IF(F4873="NEW",IF(ISNA(VLOOKUP(E4873,#REF!,1,FALSE())),"?TYPE_IDENTIFIABLE","?REFERENTIAL"),"_")))))</f>
        <v> </v>
      </c>
      <c r="H4873" s="25" t="str">
        <f>IF(J4873&lt;&gt;1,"",IF(I4873="SBJ","CB","?"))</f>
        <v> </v>
      </c>
      <c r="I4873" s="26" t="str">
        <f>IF(OR(E4873="",E4873="!!!",F4873="NEW"),"",INDEX(B4872:B$2,-1+SUMPRODUCT(MAX(ROW(E4872:E$2)*(E4873=E4872:E$2)))))</f>
        <v> </v>
      </c>
      <c r="J4873" s="26" t="str">
        <f>IF(OR(E4873="",E4873="!!!",F4873="NEW"),"",COUNTBLANK(OFFSET(A$1,,,SUMPRODUCT(MAX(ROW(E$2:E4873)*(E4873=E$2:E4873)))))-COUNTBLANK(OFFSET(A$1,,,SUMPRODUCT(MAX(ROW(E$1:E4872)*(E2=E$1:E4872))))))</f>
        <v> </v>
      </c>
      <c r="K4873" s="26" t="str">
        <f>IF(OR(E4873="",E4873="!!!",F4873="NEW"),"",INDEX(J$1:J4872,SUMPRODUCT(MAX(ROW(E$1:E4872)*(E4873=E$1:E4872)))))</f>
        <v> </v>
      </c>
      <c r="L4873" s="27"/>
    </row>
    <row r="4874" spans="1:12">
      <c r="A4874" s="20" t="s">
        <v>1038</v>
      </c>
      <c r="B4874" s="21" t="s">
        <v>1088</v>
      </c>
      <c r="C4874" s="21" t="s">
        <v>1040</v>
      </c>
      <c r="D4874" s="21" t="s">
        <v>1011</v>
      </c>
      <c r="E4874" s="22">
        <f>IF(D4874="?OLD","!!!","")</f>
        <v/>
      </c>
      <c r="F4874" s="23" t="str">
        <f>IF(OR(E4874="",E4874="!!!"),"",IF(NOT(ISNA(VLOOKUP(E4874,E$1:E4873,1,FALSE()))),"OLD",IF(AND(E4874&lt;&gt;"",E4874&lt;&gt;"!!!"),"NEW","")))</f>
        <v> </v>
      </c>
      <c r="G4874" s="24" t="str">
        <f>IF(OR(E4874="",E4874="!!!"),"",IF(OR(J4874=0,AND(J4874=1,K4874=1),AND(J4874=1,I4874="SBJ"),AND(J4874=1,I4874=0)),"?IN_FOCUS",IF(J4874&lt;=2,"?ACTIVATED",IF(J4874&lt;&gt;"","?FAMILIAR",IF(F4874="NEW",IF(ISNA(VLOOKUP(E4874,#REF!,1,FALSE())),"?TYPE_IDENTIFIABLE","?REFERENTIAL"),"_")))))</f>
        <v> </v>
      </c>
      <c r="H4874" s="25" t="str">
        <f>IF(J4874&lt;&gt;1,"",IF(I4874="SBJ","CB","?"))</f>
        <v> </v>
      </c>
      <c r="I4874" s="26" t="str">
        <f>IF(OR(E4874="",E4874="!!!",F4874="NEW"),"",INDEX(B4873:B$2,-1+SUMPRODUCT(MAX(ROW(E4873:E$2)*(E4874=E4873:E$2)))))</f>
        <v> </v>
      </c>
      <c r="J4874" s="26" t="str">
        <f>IF(OR(E4874="",E4874="!!!",F4874="NEW"),"",COUNTBLANK(OFFSET(A$1,,,SUMPRODUCT(MAX(ROW(E$2:E4874)*(E4874=E$2:E4874)))))-COUNTBLANK(OFFSET(A$1,,,SUMPRODUCT(MAX(ROW(E$1:E4873)*(E2=E$1:E4873))))))</f>
        <v> </v>
      </c>
      <c r="K4874" s="26" t="str">
        <f>IF(OR(E4874="",E4874="!!!",F4874="NEW"),"",INDEX(J$1:J4873,SUMPRODUCT(MAX(ROW(E$1:E4873)*(E4874=E$1:E4873)))))</f>
        <v> </v>
      </c>
      <c r="L4874" s="27"/>
    </row>
    <row r="4875" spans="1:12">
      <c r="A4875" s="20" t="s">
        <v>1190</v>
      </c>
      <c r="E4875" s="22">
        <f>IF(D4875="?OLD","!!!","")</f>
        <v/>
      </c>
      <c r="F4875" s="23" t="str">
        <f>IF(OR(E4875="",E4875="!!!"),"",IF(NOT(ISNA(VLOOKUP(E4875,E$1:E4874,1,FALSE()))),"OLD",IF(AND(E4875&lt;&gt;"",E4875&lt;&gt;"!!!"),"NEW","")))</f>
        <v> </v>
      </c>
      <c r="G4875" s="24" t="str">
        <f>IF(OR(E4875="",E4875="!!!"),"",IF(OR(J4875=0,AND(J4875=1,K4875=1),AND(J4875=1,I4875="SBJ"),AND(J4875=1,I4875=0)),"?IN_FOCUS",IF(J4875&lt;=2,"?ACTIVATED",IF(J4875&lt;&gt;"","?FAMILIAR",IF(F4875="NEW",IF(ISNA(VLOOKUP(E4875,#REF!,1,FALSE())),"?TYPE_IDENTIFIABLE","?REFERENTIAL"),"_")))))</f>
        <v> </v>
      </c>
      <c r="H4875" s="25" t="str">
        <f>IF(J4875&lt;&gt;1,"",IF(I4875="SBJ","CB","?"))</f>
        <v> </v>
      </c>
      <c r="I4875" s="26" t="str">
        <f>IF(OR(E4875="",E4875="!!!",F4875="NEW"),"",INDEX(B4874:B$2,-1+SUMPRODUCT(MAX(ROW(E4874:E$2)*(E4875=E4874:E$2)))))</f>
        <v> </v>
      </c>
      <c r="J4875" s="26" t="str">
        <f>IF(OR(E4875="",E4875="!!!",F4875="NEW"),"",COUNTBLANK(OFFSET(A$1,,,SUMPRODUCT(MAX(ROW(E$2:E4875)*(E4875=E$2:E4875)))))-COUNTBLANK(OFFSET(A$1,,,SUMPRODUCT(MAX(ROW(E$1:E4874)*(E2=E$1:E4874))))))</f>
        <v> </v>
      </c>
      <c r="K4875" s="26" t="str">
        <f>IF(OR(E4875="",E4875="!!!",F4875="NEW"),"",INDEX(J$1:J4874,SUMPRODUCT(MAX(ROW(E$1:E4874)*(E4875=E$1:E4874)))))</f>
        <v> </v>
      </c>
      <c r="L4875" s="27"/>
    </row>
    <row r="4876" spans="1:12">
      <c r="A4876" s="20" t="s">
        <v>2108</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t="s">
        <v>1190</v>
      </c>
      <c r="E4877" s="22">
        <f>IF(D4877="?OLD","!!!","")</f>
        <v/>
      </c>
      <c r="F4877" s="23" t="str">
        <f>IF(OR(E4877="",E4877="!!!"),"",IF(NOT(ISNA(VLOOKUP(E4877,E$1:E4876,1,FALSE()))),"OLD",IF(AND(E4877&lt;&gt;"",E4877&lt;&gt;"!!!"),"NEW","")))</f>
        <v> </v>
      </c>
      <c r="G4877" s="24" t="str">
        <f>IF(OR(E4877="",E4877="!!!"),"",IF(OR(J4877=0,AND(J4877=1,K4877=1),AND(J4877=1,I4877="SBJ"),AND(J4877=1,I4877=0)),"?IN_FOCUS",IF(J4877&lt;=2,"?ACTIVATED",IF(J4877&lt;&gt;"","?FAMILIAR",IF(F4877="NEW",IF(ISNA(VLOOKUP(E4877,#REF!,1,FALSE())),"?TYPE_IDENTIFIABLE","?REFERENTIAL"),"_")))))</f>
        <v> </v>
      </c>
      <c r="H4877" s="25" t="str">
        <f>IF(J4877&lt;&gt;1,"",IF(I4877="SBJ","CB","?"))</f>
        <v> </v>
      </c>
      <c r="I4877" s="26" t="str">
        <f>IF(OR(E4877="",E4877="!!!",F4877="NEW"),"",INDEX(B4876:B$2,-1+SUMPRODUCT(MAX(ROW(E4876:E$2)*(E4877=E4876:E$2)))))</f>
        <v> </v>
      </c>
      <c r="J4877" s="26" t="str">
        <f>IF(OR(E4877="",E4877="!!!",F4877="NEW"),"",COUNTBLANK(OFFSET(A$1,,,SUMPRODUCT(MAX(ROW(E$2:E4877)*(E4877=E$2:E4877)))))-COUNTBLANK(OFFSET(A$1,,,SUMPRODUCT(MAX(ROW(E$1:E4876)*(E2=E$1:E4876))))))</f>
        <v> </v>
      </c>
      <c r="K4877" s="26" t="str">
        <f>IF(OR(E4877="",E4877="!!!",F4877="NEW"),"",INDEX(J$1:J4876,SUMPRODUCT(MAX(ROW(E$1:E4876)*(E4877=E$1:E4876)))))</f>
        <v> </v>
      </c>
      <c r="L4877" s="27"/>
    </row>
    <row r="4878" spans="1:12">
      <c r="A4878" s="20" t="s">
        <v>1052</v>
      </c>
      <c r="B4878" s="21" t="s">
        <v>1039</v>
      </c>
      <c r="C4878" s="21" t="s">
        <v>1010</v>
      </c>
      <c r="D4878" s="21" t="s">
        <v>1011</v>
      </c>
      <c r="E4878" s="22">
        <f>IF(D4878="?OLD","!!!","")</f>
        <v/>
      </c>
      <c r="F4878" s="23" t="str">
        <f>IF(OR(E4878="",E4878="!!!"),"",IF(NOT(ISNA(VLOOKUP(E4878,E$1:E4877,1,FALSE()))),"OLD",IF(AND(E4878&lt;&gt;"",E4878&lt;&gt;"!!!"),"NEW","")))</f>
        <v> </v>
      </c>
      <c r="G4878" s="24" t="str">
        <f>IF(OR(E4878="",E4878="!!!"),"",IF(OR(J4878=0,AND(J4878=1,K4878=1),AND(J4878=1,I4878="SBJ"),AND(J4878=1,I4878=0)),"?IN_FOCUS",IF(J4878&lt;=2,"?ACTIVATED",IF(J4878&lt;&gt;"","?FAMILIAR",IF(F4878="NEW",IF(ISNA(VLOOKUP(E4878,#REF!,1,FALSE())),"?TYPE_IDENTIFIABLE","?REFERENTIAL"),"_")))))</f>
        <v> </v>
      </c>
      <c r="H4878" s="25" t="str">
        <f>IF(J4878&lt;&gt;1,"",IF(I4878="SBJ","CB","?"))</f>
        <v> </v>
      </c>
      <c r="I4878" s="26" t="str">
        <f>IF(OR(E4878="",E4878="!!!",F4878="NEW"),"",INDEX(B4877:B$2,-1+SUMPRODUCT(MAX(ROW(E4877:E$2)*(E4878=E4877:E$2)))))</f>
        <v> </v>
      </c>
      <c r="J4878" s="26" t="str">
        <f>IF(OR(E4878="",E4878="!!!",F4878="NEW"),"",COUNTBLANK(OFFSET(A$1,,,SUMPRODUCT(MAX(ROW(E$2:E4878)*(E4878=E$2:E4878)))))-COUNTBLANK(OFFSET(A$1,,,SUMPRODUCT(MAX(ROW(E$1:E4877)*(E2=E$1:E4877))))))</f>
        <v> </v>
      </c>
      <c r="K4878" s="26" t="str">
        <f>IF(OR(E4878="",E4878="!!!",F4878="NEW"),"",INDEX(J$1:J4877,SUMPRODUCT(MAX(ROW(E$1:E4877)*(E4878=E$1:E4877)))))</f>
        <v> </v>
      </c>
      <c r="L4878" s="27"/>
    </row>
    <row r="4879" spans="1:12">
      <c r="A4879" s="20" t="s">
        <v>557</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1243</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t="s">
        <v>1140</v>
      </c>
      <c r="B4881" s="21" t="s">
        <v>1088</v>
      </c>
      <c r="C4881" s="21" t="s">
        <v>1072</v>
      </c>
      <c r="D4881" s="21" t="s">
        <v>1011</v>
      </c>
      <c r="E4881" s="22">
        <f>IF(D4881="?OLD","!!!","")</f>
        <v/>
      </c>
      <c r="F4881" s="23" t="str">
        <f>IF(OR(E4881="",E4881="!!!"),"",IF(NOT(ISNA(VLOOKUP(E4881,E$1:E4880,1,FALSE()))),"OLD",IF(AND(E4881&lt;&gt;"",E4881&lt;&gt;"!!!"),"NEW","")))</f>
        <v> </v>
      </c>
      <c r="G4881" s="24" t="str">
        <f>IF(OR(E4881="",E4881="!!!"),"",IF(OR(J4881=0,AND(J4881=1,K4881=1),AND(J4881=1,I4881="SBJ"),AND(J4881=1,I4881=0)),"?IN_FOCUS",IF(J4881&lt;=2,"?ACTIVATED",IF(J4881&lt;&gt;"","?FAMILIAR",IF(F4881="NEW",IF(ISNA(VLOOKUP(E4881,#REF!,1,FALSE())),"?TYPE_IDENTIFIABLE","?REFERENTIAL"),"_")))))</f>
        <v> </v>
      </c>
      <c r="H4881" s="25" t="str">
        <f>IF(J4881&lt;&gt;1,"",IF(I4881="SBJ","CB","?"))</f>
        <v> </v>
      </c>
      <c r="I4881" s="26" t="str">
        <f>IF(OR(E4881="",E4881="!!!",F4881="NEW"),"",INDEX(B4880:B$2,-1+SUMPRODUCT(MAX(ROW(E4880:E$2)*(E4881=E4880:E$2)))))</f>
        <v> </v>
      </c>
      <c r="J4881" s="26" t="str">
        <f>IF(OR(E4881="",E4881="!!!",F4881="NEW"),"",COUNTBLANK(OFFSET(A$1,,,SUMPRODUCT(MAX(ROW(E$2:E4881)*(E4881=E$2:E4881)))))-COUNTBLANK(OFFSET(A$1,,,SUMPRODUCT(MAX(ROW(E$1:E4880)*(E2=E$1:E4880))))))</f>
        <v> </v>
      </c>
      <c r="K4881" s="26" t="str">
        <f>IF(OR(E4881="",E4881="!!!",F4881="NEW"),"",INDEX(J$1:J4880,SUMPRODUCT(MAX(ROW(E$1:E4880)*(E4881=E$1:E4880)))))</f>
        <v> </v>
      </c>
      <c r="L4881" s="27"/>
    </row>
    <row r="4882" spans="1:12">
      <c r="A4882" s="20" t="s">
        <v>1032</v>
      </c>
      <c r="E4882" s="22">
        <f>IF(D4882="?OLD","!!!","")</f>
        <v/>
      </c>
      <c r="F4882" s="23" t="str">
        <f>IF(OR(E4882="",E4882="!!!"),"",IF(NOT(ISNA(VLOOKUP(E4882,E$1:E4881,1,FALSE()))),"OLD",IF(AND(E4882&lt;&gt;"",E4882&lt;&gt;"!!!"),"NEW","")))</f>
        <v> </v>
      </c>
      <c r="G4882" s="24" t="str">
        <f>IF(OR(E4882="",E4882="!!!"),"",IF(OR(J4882=0,AND(J4882=1,K4882=1),AND(J4882=1,I4882="SBJ"),AND(J4882=1,I4882=0)),"?IN_FOCUS",IF(J4882&lt;=2,"?ACTIVATED",IF(J4882&lt;&gt;"","?FAMILIAR",IF(F4882="NEW",IF(ISNA(VLOOKUP(E4882,#REF!,1,FALSE())),"?TYPE_IDENTIFIABLE","?REFERENTIAL"),"_")))))</f>
        <v> </v>
      </c>
      <c r="H4882" s="25" t="str">
        <f>IF(J4882&lt;&gt;1,"",IF(I4882="SBJ","CB","?"))</f>
        <v> </v>
      </c>
      <c r="I4882" s="26" t="str">
        <f>IF(OR(E4882="",E4882="!!!",F4882="NEW"),"",INDEX(B4881:B$2,-1+SUMPRODUCT(MAX(ROW(E4881:E$2)*(E4882=E4881:E$2)))))</f>
        <v> </v>
      </c>
      <c r="J4882" s="26" t="str">
        <f>IF(OR(E4882="",E4882="!!!",F4882="NEW"),"",COUNTBLANK(OFFSET(A$1,,,SUMPRODUCT(MAX(ROW(E$2:E4882)*(E4882=E$2:E4882)))))-COUNTBLANK(OFFSET(A$1,,,SUMPRODUCT(MAX(ROW(E$1:E4881)*(E2=E$1:E4881))))))</f>
        <v> </v>
      </c>
      <c r="K4882" s="26" t="str">
        <f>IF(OR(E4882="",E4882="!!!",F4882="NEW"),"",INDEX(J$1:J4881,SUMPRODUCT(MAX(ROW(E$1:E4881)*(E4882=E$1:E4881)))))</f>
        <v> </v>
      </c>
      <c r="L4882" s="27"/>
    </row>
    <row r="4883" spans="1:12">
      <c r="A4883" s="20" t="s">
        <v>1234</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1042</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1777</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t="s">
        <v>122</v>
      </c>
      <c r="B4886" s="21" t="s">
        <v>1039</v>
      </c>
      <c r="C4886" s="21" t="s">
        <v>1044</v>
      </c>
      <c r="D4886" s="21" t="s">
        <v>1011</v>
      </c>
      <c r="E4886" s="22">
        <f>IF(D4886="?OLD","!!!","")</f>
        <v/>
      </c>
      <c r="F4886" s="23" t="str">
        <f>IF(OR(E4886="",E4886="!!!"),"",IF(NOT(ISNA(VLOOKUP(E4886,E$1:E4885,1,FALSE()))),"OLD",IF(AND(E4886&lt;&gt;"",E4886&lt;&gt;"!!!"),"NEW","")))</f>
        <v> </v>
      </c>
      <c r="G4886" s="24" t="str">
        <f>IF(OR(E4886="",E4886="!!!"),"",IF(OR(J4886=0,AND(J4886=1,K4886=1),AND(J4886=1,I4886="SBJ"),AND(J4886=1,I4886=0)),"?IN_FOCUS",IF(J4886&lt;=2,"?ACTIVATED",IF(J4886&lt;&gt;"","?FAMILIAR",IF(F4886="NEW",IF(ISNA(VLOOKUP(E4886,#REF!,1,FALSE())),"?TYPE_IDENTIFIABLE","?REFERENTIAL"),"_")))))</f>
        <v> </v>
      </c>
      <c r="H4886" s="25" t="str">
        <f>IF(J4886&lt;&gt;1,"",IF(I4886="SBJ","CB","?"))</f>
        <v> </v>
      </c>
      <c r="I4886" s="26" t="str">
        <f>IF(OR(E4886="",E4886="!!!",F4886="NEW"),"",INDEX(B4885:B$2,-1+SUMPRODUCT(MAX(ROW(E4885:E$2)*(E4886=E4885:E$2)))))</f>
        <v> </v>
      </c>
      <c r="J4886" s="26" t="str">
        <f>IF(OR(E4886="",E4886="!!!",F4886="NEW"),"",COUNTBLANK(OFFSET(A$1,,,SUMPRODUCT(MAX(ROW(E$2:E4886)*(E4886=E$2:E4886)))))-COUNTBLANK(OFFSET(A$1,,,SUMPRODUCT(MAX(ROW(E$1:E4885)*(E2=E$1:E4885))))))</f>
        <v> </v>
      </c>
      <c r="K4886" s="26" t="str">
        <f>IF(OR(E4886="",E4886="!!!",F4886="NEW"),"",INDEX(J$1:J4885,SUMPRODUCT(MAX(ROW(E$1:E4885)*(E4886=E$1:E4885)))))</f>
        <v> </v>
      </c>
      <c r="L4886" s="27"/>
    </row>
    <row r="4887" spans="1:12">
      <c r="A4887" s="20" t="s">
        <v>1032</v>
      </c>
      <c r="E4887" s="22">
        <f>IF(D4887="?OLD","!!!","")</f>
        <v/>
      </c>
      <c r="F4887" s="23" t="str">
        <f>IF(OR(E4887="",E4887="!!!"),"",IF(NOT(ISNA(VLOOKUP(E4887,E$1:E4886,1,FALSE()))),"OLD",IF(AND(E4887&lt;&gt;"",E4887&lt;&gt;"!!!"),"NEW","")))</f>
        <v> </v>
      </c>
      <c r="G4887" s="24" t="str">
        <f>IF(OR(E4887="",E4887="!!!"),"",IF(OR(J4887=0,AND(J4887=1,K4887=1),AND(J4887=1,I4887="SBJ"),AND(J4887=1,I4887=0)),"?IN_FOCUS",IF(J4887&lt;=2,"?ACTIVATED",IF(J4887&lt;&gt;"","?FAMILIAR",IF(F4887="NEW",IF(ISNA(VLOOKUP(E4887,#REF!,1,FALSE())),"?TYPE_IDENTIFIABLE","?REFERENTIAL"),"_")))))</f>
        <v> </v>
      </c>
      <c r="H4887" s="25" t="str">
        <f>IF(J4887&lt;&gt;1,"",IF(I4887="SBJ","CB","?"))</f>
        <v> </v>
      </c>
      <c r="I4887" s="26" t="str">
        <f>IF(OR(E4887="",E4887="!!!",F4887="NEW"),"",INDEX(B4886:B$2,-1+SUMPRODUCT(MAX(ROW(E4886:E$2)*(E4887=E4886:E$2)))))</f>
        <v> </v>
      </c>
      <c r="J4887" s="26" t="str">
        <f>IF(OR(E4887="",E4887="!!!",F4887="NEW"),"",COUNTBLANK(OFFSET(A$1,,,SUMPRODUCT(MAX(ROW(E$2:E4887)*(E4887=E$2:E4887)))))-COUNTBLANK(OFFSET(A$1,,,SUMPRODUCT(MAX(ROW(E$1:E4886)*(E2=E$1:E4886))))))</f>
        <v> </v>
      </c>
      <c r="K4887" s="26" t="str">
        <f>IF(OR(E4887="",E4887="!!!",F4887="NEW"),"",INDEX(J$1:J4886,SUMPRODUCT(MAX(ROW(E$1:E4886)*(E4887=E$1:E4886)))))</f>
        <v> </v>
      </c>
      <c r="L4887" s="27"/>
    </row>
    <row r="4888" spans="1:12">
      <c r="A4888" s="20" t="s">
        <v>1025</v>
      </c>
      <c r="B4888" s="21" t="s">
        <v>1039</v>
      </c>
      <c r="C4888" s="21" t="s">
        <v>1026</v>
      </c>
      <c r="D4888" s="21" t="s">
        <v>1011</v>
      </c>
      <c r="E4888" s="22">
        <f>IF(D4888="?OLD","!!!","")</f>
        <v/>
      </c>
      <c r="F4888" s="23" t="str">
        <f>IF(OR(E4888="",E4888="!!!"),"",IF(NOT(ISNA(VLOOKUP(E4888,E$1:E4887,1,FALSE()))),"OLD",IF(AND(E4888&lt;&gt;"",E4888&lt;&gt;"!!!"),"NEW","")))</f>
        <v> </v>
      </c>
      <c r="G4888" s="24" t="str">
        <f>IF(OR(E4888="",E4888="!!!"),"",IF(OR(J4888=0,AND(J4888=1,K4888=1),AND(J4888=1,I4888="SBJ"),AND(J4888=1,I4888=0)),"?IN_FOCUS",IF(J4888&lt;=2,"?ACTIVATED",IF(J4888&lt;&gt;"","?FAMILIAR",IF(F4888="NEW",IF(ISNA(VLOOKUP(E4888,#REF!,1,FALSE())),"?TYPE_IDENTIFIABLE","?REFERENTIAL"),"_")))))</f>
        <v> </v>
      </c>
      <c r="H4888" s="25" t="str">
        <f>IF(J4888&lt;&gt;1,"",IF(I4888="SBJ","CB","?"))</f>
        <v> </v>
      </c>
      <c r="I4888" s="26" t="str">
        <f>IF(OR(E4888="",E4888="!!!",F4888="NEW"),"",INDEX(B4887:B$2,-1+SUMPRODUCT(MAX(ROW(E4887:E$2)*(E4888=E4887:E$2)))))</f>
        <v> </v>
      </c>
      <c r="J4888" s="26" t="str">
        <f>IF(OR(E4888="",E4888="!!!",F4888="NEW"),"",COUNTBLANK(OFFSET(A$1,,,SUMPRODUCT(MAX(ROW(E$2:E4888)*(E4888=E$2:E4888)))))-COUNTBLANK(OFFSET(A$1,,,SUMPRODUCT(MAX(ROW(E$1:E4887)*(E2=E$1:E4887))))))</f>
        <v> </v>
      </c>
      <c r="K4888" s="26" t="str">
        <f>IF(OR(E4888="",E4888="!!!",F4888="NEW"),"",INDEX(J$1:J4887,SUMPRODUCT(MAX(ROW(E$1:E4887)*(E4888=E$1:E4887)))))</f>
        <v> </v>
      </c>
      <c r="L4888" s="27"/>
    </row>
    <row r="4889" spans="1:12">
      <c r="A4889" s="20" t="s">
        <v>1173</v>
      </c>
      <c r="E4889" s="22">
        <f>IF(D4889="?OLD","!!!","")</f>
        <v/>
      </c>
      <c r="F4889" s="23" t="str">
        <f>IF(OR(E4889="",E4889="!!!"),"",IF(NOT(ISNA(VLOOKUP(E4889,E$1:E4888,1,FALSE()))),"OLD",IF(AND(E4889&lt;&gt;"",E4889&lt;&gt;"!!!"),"NEW","")))</f>
        <v> </v>
      </c>
      <c r="G4889" s="24" t="str">
        <f>IF(OR(E4889="",E4889="!!!"),"",IF(OR(J4889=0,AND(J4889=1,K4889=1),AND(J4889=1,I4889="SBJ"),AND(J4889=1,I4889=0)),"?IN_FOCUS",IF(J4889&lt;=2,"?ACTIVATED",IF(J4889&lt;&gt;"","?FAMILIAR",IF(F4889="NEW",IF(ISNA(VLOOKUP(E4889,#REF!,1,FALSE())),"?TYPE_IDENTIFIABLE","?REFERENTIAL"),"_")))))</f>
        <v> </v>
      </c>
      <c r="H4889" s="25" t="str">
        <f>IF(J4889&lt;&gt;1,"",IF(I4889="SBJ","CB","?"))</f>
        <v> </v>
      </c>
      <c r="I4889" s="26" t="str">
        <f>IF(OR(E4889="",E4889="!!!",F4889="NEW"),"",INDEX(B4888:B$2,-1+SUMPRODUCT(MAX(ROW(E4888:E$2)*(E4889=E4888:E$2)))))</f>
        <v> </v>
      </c>
      <c r="J4889" s="26" t="str">
        <f>IF(OR(E4889="",E4889="!!!",F4889="NEW"),"",COUNTBLANK(OFFSET(A$1,,,SUMPRODUCT(MAX(ROW(E$2:E4889)*(E4889=E$2:E4889)))))-COUNTBLANK(OFFSET(A$1,,,SUMPRODUCT(MAX(ROW(E$1:E4888)*(E2=E$1:E4888))))))</f>
        <v> </v>
      </c>
      <c r="K4889" s="26" t="str">
        <f>IF(OR(E4889="",E4889="!!!",F4889="NEW"),"",INDEX(J$1:J4888,SUMPRODUCT(MAX(ROW(E$1:E4888)*(E4889=E$1:E4888)))))</f>
        <v> </v>
      </c>
      <c r="L4889" s="27"/>
    </row>
    <row r="4890" spans="1:12">
      <c r="A4890" s="20" t="s">
        <v>1028</v>
      </c>
      <c r="E4890" s="22">
        <f>IF(D4890="?OLD","!!!","")</f>
        <v/>
      </c>
      <c r="F4890" s="23" t="str">
        <f>IF(OR(E4890="",E4890="!!!"),"",IF(NOT(ISNA(VLOOKUP(E4890,E$1:E4889,1,FALSE()))),"OLD",IF(AND(E4890&lt;&gt;"",E4890&lt;&gt;"!!!"),"NEW","")))</f>
        <v> </v>
      </c>
      <c r="G4890" s="24" t="str">
        <f>IF(OR(E4890="",E4890="!!!"),"",IF(OR(J4890=0,AND(J4890=1,K4890=1),AND(J4890=1,I4890="SBJ"),AND(J4890=1,I4890=0)),"?IN_FOCUS",IF(J4890&lt;=2,"?ACTIVATED",IF(J4890&lt;&gt;"","?FAMILIAR",IF(F4890="NEW",IF(ISNA(VLOOKUP(E4890,#REF!,1,FALSE())),"?TYPE_IDENTIFIABLE","?REFERENTIAL"),"_")))))</f>
        <v> </v>
      </c>
      <c r="H4890" s="25" t="str">
        <f>IF(J4890&lt;&gt;1,"",IF(I4890="SBJ","CB","?"))</f>
        <v> </v>
      </c>
      <c r="I4890" s="26" t="str">
        <f>IF(OR(E4890="",E4890="!!!",F4890="NEW"),"",INDEX(B4889:B$2,-1+SUMPRODUCT(MAX(ROW(E4889:E$2)*(E4890=E4889:E$2)))))</f>
        <v> </v>
      </c>
      <c r="J4890" s="26" t="str">
        <f>IF(OR(E4890="",E4890="!!!",F4890="NEW"),"",COUNTBLANK(OFFSET(A$1,,,SUMPRODUCT(MAX(ROW(E$2:E4890)*(E4890=E$2:E4890)))))-COUNTBLANK(OFFSET(A$1,,,SUMPRODUCT(MAX(ROW(E$1:E4889)*(E2=E$1:E4889))))))</f>
        <v> </v>
      </c>
      <c r="K4890" s="26" t="str">
        <f>IF(OR(E4890="",E4890="!!!",F4890="NEW"),"",INDEX(J$1:J4889,SUMPRODUCT(MAX(ROW(E$1:E4889)*(E4890=E$1:E4889)))))</f>
        <v> </v>
      </c>
      <c r="L4890" s="27"/>
    </row>
    <row r="4891" spans="1:12">
      <c r="A4891" s="20" t="s">
        <v>1267</v>
      </c>
      <c r="E4891" s="22">
        <f>IF(D4891="?OLD","!!!","")</f>
        <v/>
      </c>
      <c r="F4891" s="23" t="str">
        <f>IF(OR(E4891="",E4891="!!!"),"",IF(NOT(ISNA(VLOOKUP(E4891,E$1:E4890,1,FALSE()))),"OLD",IF(AND(E4891&lt;&gt;"",E4891&lt;&gt;"!!!"),"NEW","")))</f>
        <v> </v>
      </c>
      <c r="G4891" s="24" t="str">
        <f>IF(OR(E4891="",E4891="!!!"),"",IF(OR(J4891=0,AND(J4891=1,K4891=1),AND(J4891=1,I4891="SBJ"),AND(J4891=1,I4891=0)),"?IN_FOCUS",IF(J4891&lt;=2,"?ACTIVATED",IF(J4891&lt;&gt;"","?FAMILIAR",IF(F4891="NEW",IF(ISNA(VLOOKUP(E4891,#REF!,1,FALSE())),"?TYPE_IDENTIFIABLE","?REFERENTIAL"),"_")))))</f>
        <v> </v>
      </c>
      <c r="H4891" s="25" t="str">
        <f>IF(J4891&lt;&gt;1,"",IF(I4891="SBJ","CB","?"))</f>
        <v> </v>
      </c>
      <c r="I4891" s="26" t="str">
        <f>IF(OR(E4891="",E4891="!!!",F4891="NEW"),"",INDEX(B4890:B$2,-1+SUMPRODUCT(MAX(ROW(E4890:E$2)*(E4891=E4890:E$2)))))</f>
        <v> </v>
      </c>
      <c r="J4891" s="26" t="str">
        <f>IF(OR(E4891="",E4891="!!!",F4891="NEW"),"",COUNTBLANK(OFFSET(A$1,,,SUMPRODUCT(MAX(ROW(E$2:E4891)*(E4891=E$2:E4891)))))-COUNTBLANK(OFFSET(A$1,,,SUMPRODUCT(MAX(ROW(E$1:E4890)*(E2=E$1:E4890))))))</f>
        <v> </v>
      </c>
      <c r="K4891" s="26" t="str">
        <f>IF(OR(E4891="",E4891="!!!",F4891="NEW"),"",INDEX(J$1:J4890,SUMPRODUCT(MAX(ROW(E$1:E4890)*(E4891=E$1:E4890)))))</f>
        <v> </v>
      </c>
      <c r="L4891" s="27"/>
    </row>
    <row r="4892" spans="1:12">
      <c r="A4892" s="20" t="s">
        <v>1727</v>
      </c>
      <c r="B4892" s="21" t="s">
        <v>1071</v>
      </c>
      <c r="C4892" s="21" t="s">
        <v>1030</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t="s">
        <v>1022</v>
      </c>
      <c r="E4893" s="22">
        <f>IF(D4893="?OLD","!!!","")</f>
        <v/>
      </c>
      <c r="F4893" s="23" t="str">
        <f>IF(OR(E4893="",E4893="!!!"),"",IF(NOT(ISNA(VLOOKUP(E4893,E$1:E4892,1,FALSE()))),"OLD",IF(AND(E4893&lt;&gt;"",E4893&lt;&gt;"!!!"),"NEW","")))</f>
        <v> </v>
      </c>
      <c r="G4893" s="24" t="str">
        <f>IF(OR(E4893="",E4893="!!!"),"",IF(OR(J4893=0,AND(J4893=1,K4893=1),AND(J4893=1,I4893="SBJ"),AND(J4893=1,I4893=0)),"?IN_FOCUS",IF(J4893&lt;=2,"?ACTIVATED",IF(J4893&lt;&gt;"","?FAMILIAR",IF(F4893="NEW",IF(ISNA(VLOOKUP(E4893,#REF!,1,FALSE())),"?TYPE_IDENTIFIABLE","?REFERENTIAL"),"_")))))</f>
        <v> </v>
      </c>
      <c r="H4893" s="25" t="str">
        <f>IF(J4893&lt;&gt;1,"",IF(I4893="SBJ","CB","?"))</f>
        <v> </v>
      </c>
      <c r="I4893" s="26" t="str">
        <f>IF(OR(E4893="",E4893="!!!",F4893="NEW"),"",INDEX(B4892:B$2,-1+SUMPRODUCT(MAX(ROW(E4892:E$2)*(E4893=E4892:E$2)))))</f>
        <v> </v>
      </c>
      <c r="J4893" s="26" t="str">
        <f>IF(OR(E4893="",E4893="!!!",F4893="NEW"),"",COUNTBLANK(OFFSET(A$1,,,SUMPRODUCT(MAX(ROW(E$2:E4893)*(E4893=E$2:E4893)))))-COUNTBLANK(OFFSET(A$1,,,SUMPRODUCT(MAX(ROW(E$1:E4892)*(E2=E$1:E4892))))))</f>
        <v> </v>
      </c>
      <c r="K4893" s="26" t="str">
        <f>IF(OR(E4893="",E4893="!!!",F4893="NEW"),"",INDEX(J$1:J4892,SUMPRODUCT(MAX(ROW(E$1:E4892)*(E4893=E$1:E4892)))))</f>
        <v> </v>
      </c>
      <c r="L4893" s="27"/>
    </row>
    <row r="4894" spans="1:12">
      <c r="A4894" s="20"/>
    </row>
    <row r="4895" spans="1:12">
      <c r="A4895" s="20" t="s">
        <v>2137</v>
      </c>
    </row>
    <row r="4896" spans="1:12">
      <c r="A4896" s="20" t="s">
        <v>1433</v>
      </c>
      <c r="E4896" s="22">
        <f>IF(D4896="?OLD","!!!","")</f>
        <v/>
      </c>
      <c r="F4896" s="23" t="str">
        <f>IF(OR(E4896="",E4896="!!!"),"",IF(NOT(ISNA(VLOOKUP(E4896,E$1:E4895,1,FALSE()))),"OLD",IF(AND(E4896&lt;&gt;"",E4896&lt;&gt;"!!!"),"NEW","")))</f>
        <v> </v>
      </c>
      <c r="G4896" s="24" t="str">
        <f>IF(OR(E4896="",E4896="!!!"),"",IF(OR(J4896=0,AND(J4896=1,K4896=1),AND(J4896=1,I4896="SBJ"),AND(J4896=1,I4896=0)),"?IN_FOCUS",IF(J4896&lt;=2,"?ACTIVATED",IF(J4896&lt;&gt;"","?FAMILIAR",IF(F4896="NEW",IF(ISNA(VLOOKUP(E4896,#REF!,1,FALSE())),"?TYPE_IDENTIFIABLE","?REFERENTIAL"),"_")))))</f>
        <v> </v>
      </c>
      <c r="H4896" s="25" t="str">
        <f>IF(J4896&lt;&gt;1,"",IF(I4896="SBJ","CB","?"))</f>
        <v> </v>
      </c>
      <c r="I4896" s="26" t="str">
        <f>IF(OR(E4896="",E4896="!!!",F4896="NEW"),"",INDEX(B4895:B$2,-1+SUMPRODUCT(MAX(ROW(E4895:E$2)*(E4896=E4895:E$2)))))</f>
        <v> </v>
      </c>
      <c r="J4896" s="26" t="str">
        <f>IF(OR(E4896="",E4896="!!!",F4896="NEW"),"",COUNTBLANK(OFFSET(A$1,,,SUMPRODUCT(MAX(ROW(E$2:E4896)*(E4896=E$2:E4896)))))-COUNTBLANK(OFFSET(A$1,,,SUMPRODUCT(MAX(ROW(E$1:E4895)*(E2=E$1:E4895))))))</f>
        <v> </v>
      </c>
      <c r="K4896" s="26" t="str">
        <f>IF(OR(E4896="",E4896="!!!",F4896="NEW"),"",INDEX(J$1:J4895,SUMPRODUCT(MAX(ROW(E$1:E4895)*(E4896=E$1:E4895)))))</f>
        <v> </v>
      </c>
      <c r="L4896" s="27"/>
    </row>
    <row r="4897" spans="1:12">
      <c r="A4897" s="20" t="s">
        <v>1173</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1028</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1577</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t="s">
        <v>12</v>
      </c>
      <c r="E4900" s="22">
        <f>IF(D4900="?OLD","!!!","")</f>
        <v/>
      </c>
      <c r="F4900" s="23" t="str">
        <f>IF(OR(E4900="",E4900="!!!"),"",IF(NOT(ISNA(VLOOKUP(E4900,E$1:E4899,1,FALSE()))),"OLD",IF(AND(E4900&lt;&gt;"",E4900&lt;&gt;"!!!"),"NEW","")))</f>
        <v> </v>
      </c>
      <c r="G4900" s="24" t="str">
        <f>IF(OR(E4900="",E4900="!!!"),"",IF(OR(J4900=0,AND(J4900=1,K4900=1),AND(J4900=1,I4900="SBJ"),AND(J4900=1,I4900=0)),"?IN_FOCUS",IF(J4900&lt;=2,"?ACTIVATED",IF(J4900&lt;&gt;"","?FAMILIAR",IF(F4900="NEW",IF(ISNA(VLOOKUP(E4900,#REF!,1,FALSE())),"?TYPE_IDENTIFIABLE","?REFERENTIAL"),"_")))))</f>
        <v> </v>
      </c>
      <c r="H4900" s="25" t="str">
        <f>IF(J4900&lt;&gt;1,"",IF(I4900="SBJ","CB","?"))</f>
        <v> </v>
      </c>
      <c r="I4900" s="26" t="str">
        <f>IF(OR(E4900="",E4900="!!!",F4900="NEW"),"",INDEX(B4899:B$2,-1+SUMPRODUCT(MAX(ROW(E4899:E$2)*(E4900=E4899:E$2)))))</f>
        <v> </v>
      </c>
      <c r="J4900" s="26" t="str">
        <f>IF(OR(E4900="",E4900="!!!",F4900="NEW"),"",COUNTBLANK(OFFSET(A$1,,,SUMPRODUCT(MAX(ROW(E$2:E4900)*(E4900=E$2:E4900)))))-COUNTBLANK(OFFSET(A$1,,,SUMPRODUCT(MAX(ROW(E$1:E4899)*(E2=E$1:E4899))))))</f>
        <v> </v>
      </c>
      <c r="K4900" s="26" t="str">
        <f>IF(OR(E4900="",E4900="!!!",F4900="NEW"),"",INDEX(J$1:J4899,SUMPRODUCT(MAX(ROW(E$1:E4899)*(E4900=E$1:E4899)))))</f>
        <v> </v>
      </c>
      <c r="L4900" s="27"/>
    </row>
    <row r="4901" spans="1:12">
      <c r="A4901" s="20" t="s">
        <v>1603</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1827</v>
      </c>
      <c r="B4902" s="21" t="s">
        <v>1009</v>
      </c>
      <c r="C4902" s="21" t="s">
        <v>1030</v>
      </c>
      <c r="E4902" s="22">
        <f>IF(D4902="?OLD","!!!","")</f>
        <v/>
      </c>
      <c r="F4902" s="23" t="str">
        <f>IF(OR(E4902="",E4902="!!!"),"",IF(NOT(ISNA(VLOOKUP(E4902,E$1:E4901,1,FALSE()))),"OLD",IF(AND(E4902&lt;&gt;"",E4902&lt;&gt;"!!!"),"NEW","")))</f>
        <v> </v>
      </c>
      <c r="G4902" s="24" t="str">
        <f>IF(OR(E4902="",E4902="!!!"),"",IF(OR(J4902=0,AND(J4902=1,K4902=1),AND(J4902=1,I4902="SBJ"),AND(J4902=1,I4902=0)),"?IN_FOCUS",IF(J4902&lt;=2,"?ACTIVATED",IF(J4902&lt;&gt;"","?FAMILIAR",IF(F4902="NEW",IF(ISNA(VLOOKUP(E4902,#REF!,1,FALSE())),"?TYPE_IDENTIFIABLE","?REFERENTIAL"),"_")))))</f>
        <v> </v>
      </c>
      <c r="H4902" s="25" t="str">
        <f>IF(J4902&lt;&gt;1,"",IF(I4902="SBJ","CB","?"))</f>
        <v> </v>
      </c>
      <c r="I4902" s="26" t="str">
        <f>IF(OR(E4902="",E4902="!!!",F4902="NEW"),"",INDEX(B4901:B$2,-1+SUMPRODUCT(MAX(ROW(E4901:E$2)*(E4902=E4901:E$2)))))</f>
        <v> </v>
      </c>
      <c r="J4902" s="26" t="str">
        <f>IF(OR(E4902="",E4902="!!!",F4902="NEW"),"",COUNTBLANK(OFFSET(A$1,,,SUMPRODUCT(MAX(ROW(E$2:E4902)*(E4902=E$2:E4902)))))-COUNTBLANK(OFFSET(A$1,,,SUMPRODUCT(MAX(ROW(E$1:E4901)*(E2=E$1:E4901))))))</f>
        <v> </v>
      </c>
      <c r="K4902" s="26" t="str">
        <f>IF(OR(E4902="",E4902="!!!",F4902="NEW"),"",INDEX(J$1:J4901,SUMPRODUCT(MAX(ROW(E$1:E4901)*(E4902=E$1:E4901)))))</f>
        <v> </v>
      </c>
      <c r="L4902" s="27"/>
    </row>
    <row r="4903" spans="1:12">
      <c r="A4903" s="20" t="s">
        <v>1032</v>
      </c>
      <c r="E4903" s="22">
        <f>IF(D4903="?OLD","!!!","")</f>
        <v/>
      </c>
      <c r="F4903" s="23" t="str">
        <f>IF(OR(E4903="",E4903="!!!"),"",IF(NOT(ISNA(VLOOKUP(E4903,E$1:E4902,1,FALSE()))),"OLD",IF(AND(E4903&lt;&gt;"",E4903&lt;&gt;"!!!"),"NEW","")))</f>
        <v> </v>
      </c>
      <c r="G4903" s="24" t="str">
        <f>IF(OR(E4903="",E4903="!!!"),"",IF(OR(J4903=0,AND(J4903=1,K4903=1),AND(J4903=1,I4903="SBJ"),AND(J4903=1,I4903=0)),"?IN_FOCUS",IF(J4903&lt;=2,"?ACTIVATED",IF(J4903&lt;&gt;"","?FAMILIAR",IF(F4903="NEW",IF(ISNA(VLOOKUP(E4903,#REF!,1,FALSE())),"?TYPE_IDENTIFIABLE","?REFERENTIAL"),"_")))))</f>
        <v> </v>
      </c>
      <c r="H4903" s="25" t="str">
        <f>IF(J4903&lt;&gt;1,"",IF(I4903="SBJ","CB","?"))</f>
        <v> </v>
      </c>
      <c r="I4903" s="26" t="str">
        <f>IF(OR(E4903="",E4903="!!!",F4903="NEW"),"",INDEX(B4902:B$2,-1+SUMPRODUCT(MAX(ROW(E4902:E$2)*(E4903=E4902:E$2)))))</f>
        <v> </v>
      </c>
      <c r="J4903" s="26" t="str">
        <f>IF(OR(E4903="",E4903="!!!",F4903="NEW"),"",COUNTBLANK(OFFSET(A$1,,,SUMPRODUCT(MAX(ROW(E$2:E4903)*(E4903=E$2:E4903)))))-COUNTBLANK(OFFSET(A$1,,,SUMPRODUCT(MAX(ROW(E$1:E4902)*(E2=E$1:E4902))))))</f>
        <v> </v>
      </c>
      <c r="K4903" s="26" t="str">
        <f>IF(OR(E4903="",E4903="!!!",F4903="NEW"),"",INDEX(J$1:J4902,SUMPRODUCT(MAX(ROW(E$1:E4902)*(E4903=E$1:E4902)))))</f>
        <v> </v>
      </c>
      <c r="L4903" s="27"/>
    </row>
    <row r="4904" spans="1:12">
      <c r="A4904" s="20" t="s">
        <v>1790</v>
      </c>
      <c r="B4904" s="21" t="s">
        <v>1175</v>
      </c>
      <c r="E4904" s="22">
        <f>IF(D4904="?OLD","!!!","")</f>
        <v/>
      </c>
      <c r="F4904" s="23" t="str">
        <f>IF(OR(E4904="",E4904="!!!"),"",IF(NOT(ISNA(VLOOKUP(E4904,E$1:E4903,1,FALSE()))),"OLD",IF(AND(E4904&lt;&gt;"",E4904&lt;&gt;"!!!"),"NEW","")))</f>
        <v> </v>
      </c>
      <c r="G4904" s="24" t="str">
        <f>IF(OR(E4904="",E4904="!!!"),"",IF(OR(J4904=0,AND(J4904=1,K4904=1),AND(J4904=1,I4904="SBJ"),AND(J4904=1,I4904=0)),"?IN_FOCUS",IF(J4904&lt;=2,"?ACTIVATED",IF(J4904&lt;&gt;"","?FAMILIAR",IF(F4904="NEW",IF(ISNA(VLOOKUP(E4904,#REF!,1,FALSE())),"?TYPE_IDENTIFIABLE","?REFERENTIAL"),"_")))))</f>
        <v> </v>
      </c>
      <c r="H4904" s="25" t="str">
        <f>IF(J4904&lt;&gt;1,"",IF(I4904="SBJ","CB","?"))</f>
        <v> </v>
      </c>
      <c r="I4904" s="26" t="str">
        <f>IF(OR(E4904="",E4904="!!!",F4904="NEW"),"",INDEX(B4903:B$2,-1+SUMPRODUCT(MAX(ROW(E4903:E$2)*(E4904=E4903:E$2)))))</f>
        <v> </v>
      </c>
      <c r="J4904" s="26" t="str">
        <f>IF(OR(E4904="",E4904="!!!",F4904="NEW"),"",COUNTBLANK(OFFSET(A$1,,,SUMPRODUCT(MAX(ROW(E$2:E4904)*(E4904=E$2:E4904)))))-COUNTBLANK(OFFSET(A$1,,,SUMPRODUCT(MAX(ROW(E$1:E4903)*(E2=E$1:E4903))))))</f>
        <v> </v>
      </c>
      <c r="K4904" s="26" t="str">
        <f>IF(OR(E4904="",E4904="!!!",F4904="NEW"),"",INDEX(J$1:J4903,SUMPRODUCT(MAX(ROW(E$1:E4903)*(E4904=E$1:E4903)))))</f>
        <v> </v>
      </c>
      <c r="L4904" s="27"/>
    </row>
    <row r="4905" spans="1:12">
      <c r="A4905" s="20" t="s">
        <v>1570</v>
      </c>
      <c r="E4905" s="22">
        <f>IF(D4905="?OLD","!!!","")</f>
        <v/>
      </c>
      <c r="F4905" s="23" t="str">
        <f>IF(OR(E4905="",E4905="!!!"),"",IF(NOT(ISNA(VLOOKUP(E4905,E$1:E4904,1,FALSE()))),"OLD",IF(AND(E4905&lt;&gt;"",E4905&lt;&gt;"!!!"),"NEW","")))</f>
        <v> </v>
      </c>
      <c r="G4905" s="24" t="str">
        <f>IF(OR(E4905="",E4905="!!!"),"",IF(OR(J4905=0,AND(J4905=1,K4905=1),AND(J4905=1,I4905="SBJ"),AND(J4905=1,I4905=0)),"?IN_FOCUS",IF(J4905&lt;=2,"?ACTIVATED",IF(J4905&lt;&gt;"","?FAMILIAR",IF(F4905="NEW",IF(ISNA(VLOOKUP(E4905,#REF!,1,FALSE())),"?TYPE_IDENTIFIABLE","?REFERENTIAL"),"_")))))</f>
        <v> </v>
      </c>
      <c r="H4905" s="25" t="str">
        <f>IF(J4905&lt;&gt;1,"",IF(I4905="SBJ","CB","?"))</f>
        <v> </v>
      </c>
      <c r="I4905" s="26" t="str">
        <f>IF(OR(E4905="",E4905="!!!",F4905="NEW"),"",INDEX(B4904:B$2,-1+SUMPRODUCT(MAX(ROW(E4904:E$2)*(E4905=E4904:E$2)))))</f>
        <v> </v>
      </c>
      <c r="J4905" s="26" t="str">
        <f>IF(OR(E4905="",E4905="!!!",F4905="NEW"),"",COUNTBLANK(OFFSET(A$1,,,SUMPRODUCT(MAX(ROW(E$2:E4905)*(E4905=E$2:E4905)))))-COUNTBLANK(OFFSET(A$1,,,SUMPRODUCT(MAX(ROW(E$1:E4904)*(E2=E$1:E4904))))))</f>
        <v> </v>
      </c>
      <c r="K4905" s="26" t="str">
        <f>IF(OR(E4905="",E4905="!!!",F4905="NEW"),"",INDEX(J$1:J4904,SUMPRODUCT(MAX(ROW(E$1:E4904)*(E4905=E$1:E4904)))))</f>
        <v> </v>
      </c>
      <c r="L4905" s="27"/>
    </row>
    <row r="4906" spans="1:12">
      <c r="A4906" s="20" t="s">
        <v>1028</v>
      </c>
      <c r="E4906" s="22">
        <f>IF(D4906="?OLD","!!!","")</f>
        <v/>
      </c>
      <c r="F4906" s="23" t="str">
        <f>IF(OR(E4906="",E4906="!!!"),"",IF(NOT(ISNA(VLOOKUP(E4906,E$1:E4905,1,FALSE()))),"OLD",IF(AND(E4906&lt;&gt;"",E4906&lt;&gt;"!!!"),"NEW","")))</f>
        <v> </v>
      </c>
      <c r="G4906" s="24" t="str">
        <f>IF(OR(E4906="",E4906="!!!"),"",IF(OR(J4906=0,AND(J4906=1,K4906=1),AND(J4906=1,I4906="SBJ"),AND(J4906=1,I4906=0)),"?IN_FOCUS",IF(J4906&lt;=2,"?ACTIVATED",IF(J4906&lt;&gt;"","?FAMILIAR",IF(F4906="NEW",IF(ISNA(VLOOKUP(E4906,#REF!,1,FALSE())),"?TYPE_IDENTIFIABLE","?REFERENTIAL"),"_")))))</f>
        <v> </v>
      </c>
      <c r="H4906" s="25" t="str">
        <f>IF(J4906&lt;&gt;1,"",IF(I4906="SBJ","CB","?"))</f>
        <v> </v>
      </c>
      <c r="I4906" s="26" t="str">
        <f>IF(OR(E4906="",E4906="!!!",F4906="NEW"),"",INDEX(B4905:B$2,-1+SUMPRODUCT(MAX(ROW(E4905:E$2)*(E4906=E4905:E$2)))))</f>
        <v> </v>
      </c>
      <c r="J4906" s="26" t="str">
        <f>IF(OR(E4906="",E4906="!!!",F4906="NEW"),"",COUNTBLANK(OFFSET(A$1,,,SUMPRODUCT(MAX(ROW(E$2:E4906)*(E4906=E$2:E4906)))))-COUNTBLANK(OFFSET(A$1,,,SUMPRODUCT(MAX(ROW(E$1:E4905)*(E2=E$1:E4905))))))</f>
        <v> </v>
      </c>
      <c r="K4906" s="26" t="str">
        <f>IF(OR(E4906="",E4906="!!!",F4906="NEW"),"",INDEX(J$1:J4905,SUMPRODUCT(MAX(ROW(E$1:E4905)*(E4906=E$1:E4905)))))</f>
        <v> </v>
      </c>
      <c r="L4906" s="27"/>
    </row>
    <row r="4907" spans="1:12">
      <c r="A4907" s="20" t="s">
        <v>1326</v>
      </c>
      <c r="E4907" s="22">
        <f>IF(D4907="?OLD","!!!","")</f>
        <v/>
      </c>
      <c r="F4907" s="23" t="str">
        <f>IF(OR(E4907="",E4907="!!!"),"",IF(NOT(ISNA(VLOOKUP(E4907,E$1:E4906,1,FALSE()))),"OLD",IF(AND(E4907&lt;&gt;"",E4907&lt;&gt;"!!!"),"NEW","")))</f>
        <v> </v>
      </c>
      <c r="G4907" s="24" t="str">
        <f>IF(OR(E4907="",E4907="!!!"),"",IF(OR(J4907=0,AND(J4907=1,K4907=1),AND(J4907=1,I4907="SBJ"),AND(J4907=1,I4907=0)),"?IN_FOCUS",IF(J4907&lt;=2,"?ACTIVATED",IF(J4907&lt;&gt;"","?FAMILIAR",IF(F4907="NEW",IF(ISNA(VLOOKUP(E4907,#REF!,1,FALSE())),"?TYPE_IDENTIFIABLE","?REFERENTIAL"),"_")))))</f>
        <v> </v>
      </c>
      <c r="H4907" s="25" t="str">
        <f>IF(J4907&lt;&gt;1,"",IF(I4907="SBJ","CB","?"))</f>
        <v> </v>
      </c>
      <c r="I4907" s="26" t="str">
        <f>IF(OR(E4907="",E4907="!!!",F4907="NEW"),"",INDEX(B4906:B$2,-1+SUMPRODUCT(MAX(ROW(E4906:E$2)*(E4907=E4906:E$2)))))</f>
        <v> </v>
      </c>
      <c r="J4907" s="26" t="str">
        <f>IF(OR(E4907="",E4907="!!!",F4907="NEW"),"",COUNTBLANK(OFFSET(A$1,,,SUMPRODUCT(MAX(ROW(E$2:E4907)*(E4907=E$2:E4907)))))-COUNTBLANK(OFFSET(A$1,,,SUMPRODUCT(MAX(ROW(E$1:E4906)*(E2=E$1:E4906))))))</f>
        <v> </v>
      </c>
      <c r="K4907" s="26" t="str">
        <f>IF(OR(E4907="",E4907="!!!",F4907="NEW"),"",INDEX(J$1:J4906,SUMPRODUCT(MAX(ROW(E$1:E4906)*(E4907=E$1:E4906)))))</f>
        <v> </v>
      </c>
      <c r="L4907" s="27"/>
    </row>
    <row r="4908" spans="1:12">
      <c r="A4908" s="20" t="s">
        <v>1591</v>
      </c>
      <c r="E4908" s="22">
        <f>IF(D4908="?OLD","!!!","")</f>
        <v/>
      </c>
      <c r="F4908" s="23" t="str">
        <f>IF(OR(E4908="",E4908="!!!"),"",IF(NOT(ISNA(VLOOKUP(E4908,E$1:E4907,1,FALSE()))),"OLD",IF(AND(E4908&lt;&gt;"",E4908&lt;&gt;"!!!"),"NEW","")))</f>
        <v> </v>
      </c>
      <c r="G4908" s="24" t="str">
        <f>IF(OR(E4908="",E4908="!!!"),"",IF(OR(J4908=0,AND(J4908=1,K4908=1),AND(J4908=1,I4908="SBJ"),AND(J4908=1,I4908=0)),"?IN_FOCUS",IF(J4908&lt;=2,"?ACTIVATED",IF(J4908&lt;&gt;"","?FAMILIAR",IF(F4908="NEW",IF(ISNA(VLOOKUP(E4908,#REF!,1,FALSE())),"?TYPE_IDENTIFIABLE","?REFERENTIAL"),"_")))))</f>
        <v> </v>
      </c>
      <c r="H4908" s="25" t="str">
        <f>IF(J4908&lt;&gt;1,"",IF(I4908="SBJ","CB","?"))</f>
        <v> </v>
      </c>
      <c r="I4908" s="26" t="str">
        <f>IF(OR(E4908="",E4908="!!!",F4908="NEW"),"",INDEX(B4907:B$2,-1+SUMPRODUCT(MAX(ROW(E4907:E$2)*(E4908=E4907:E$2)))))</f>
        <v> </v>
      </c>
      <c r="J4908" s="26" t="str">
        <f>IF(OR(E4908="",E4908="!!!",F4908="NEW"),"",COUNTBLANK(OFFSET(A$1,,,SUMPRODUCT(MAX(ROW(E$2:E4908)*(E4908=E$2:E4908)))))-COUNTBLANK(OFFSET(A$1,,,SUMPRODUCT(MAX(ROW(E$1:E4907)*(E2=E$1:E4907))))))</f>
        <v> </v>
      </c>
      <c r="K4908" s="26" t="str">
        <f>IF(OR(E4908="",E4908="!!!",F4908="NEW"),"",INDEX(J$1:J4907,SUMPRODUCT(MAX(ROW(E$1:E4907)*(E4908=E$1:E4907)))))</f>
        <v> </v>
      </c>
      <c r="L4908" s="27"/>
    </row>
    <row r="4909" spans="1:12">
      <c r="A4909" s="20" t="s">
        <v>1032</v>
      </c>
      <c r="E4909" s="22">
        <f>IF(D4909="?OLD","!!!","")</f>
        <v/>
      </c>
      <c r="F4909" s="23" t="str">
        <f>IF(OR(E4909="",E4909="!!!"),"",IF(NOT(ISNA(VLOOKUP(E4909,E$1:E4908,1,FALSE()))),"OLD",IF(AND(E4909&lt;&gt;"",E4909&lt;&gt;"!!!"),"NEW","")))</f>
        <v> </v>
      </c>
      <c r="G4909" s="24" t="str">
        <f>IF(OR(E4909="",E4909="!!!"),"",IF(OR(J4909=0,AND(J4909=1,K4909=1),AND(J4909=1,I4909="SBJ"),AND(J4909=1,I4909=0)),"?IN_FOCUS",IF(J4909&lt;=2,"?ACTIVATED",IF(J4909&lt;&gt;"","?FAMILIAR",IF(F4909="NEW",IF(ISNA(VLOOKUP(E4909,#REF!,1,FALSE())),"?TYPE_IDENTIFIABLE","?REFERENTIAL"),"_")))))</f>
        <v> </v>
      </c>
      <c r="H4909" s="25" t="str">
        <f>IF(J4909&lt;&gt;1,"",IF(I4909="SBJ","CB","?"))</f>
        <v> </v>
      </c>
      <c r="I4909" s="26" t="str">
        <f>IF(OR(E4909="",E4909="!!!",F4909="NEW"),"",INDEX(B4908:B$2,-1+SUMPRODUCT(MAX(ROW(E4908:E$2)*(E4909=E4908:E$2)))))</f>
        <v> </v>
      </c>
      <c r="J4909" s="26" t="str">
        <f>IF(OR(E4909="",E4909="!!!",F4909="NEW"),"",COUNTBLANK(OFFSET(A$1,,,SUMPRODUCT(MAX(ROW(E$2:E4909)*(E4909=E$2:E4909)))))-COUNTBLANK(OFFSET(A$1,,,SUMPRODUCT(MAX(ROW(E$1:E4908)*(E2=E$1:E4908))))))</f>
        <v> </v>
      </c>
      <c r="K4909" s="26" t="str">
        <f>IF(OR(E4909="",E4909="!!!",F4909="NEW"),"",INDEX(J$1:J4908,SUMPRODUCT(MAX(ROW(E$1:E4908)*(E4909=E$1:E4908)))))</f>
        <v> </v>
      </c>
      <c r="L4909" s="27"/>
    </row>
    <row r="4910" spans="1:12">
      <c r="A4910" s="20" t="s">
        <v>1234</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1449</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t="s">
        <v>1239</v>
      </c>
      <c r="B4912" s="21" t="s">
        <v>1053</v>
      </c>
      <c r="C4912" s="21" t="s">
        <v>1010</v>
      </c>
      <c r="D4912" s="21" t="s">
        <v>1011</v>
      </c>
      <c r="E4912" s="22">
        <f>IF(D4912="?OLD","!!!","")</f>
        <v/>
      </c>
      <c r="F4912" s="23" t="str">
        <f>IF(OR(E4912="",E4912="!!!"),"",IF(NOT(ISNA(VLOOKUP(E4912,E$1:E4911,1,FALSE()))),"OLD",IF(AND(E4912&lt;&gt;"",E4912&lt;&gt;"!!!"),"NEW","")))</f>
        <v> </v>
      </c>
      <c r="G4912" s="24" t="str">
        <f>IF(OR(E4912="",E4912="!!!"),"",IF(OR(J4912=0,AND(J4912=1,K4912=1),AND(J4912=1,I4912="SBJ"),AND(J4912=1,I4912=0)),"?IN_FOCUS",IF(J4912&lt;=2,"?ACTIVATED",IF(J4912&lt;&gt;"","?FAMILIAR",IF(F4912="NEW",IF(ISNA(VLOOKUP(E4912,#REF!,1,FALSE())),"?TYPE_IDENTIFIABLE","?REFERENTIAL"),"_")))))</f>
        <v> </v>
      </c>
      <c r="H4912" s="25" t="str">
        <f>IF(J4912&lt;&gt;1,"",IF(I4912="SBJ","CB","?"))</f>
        <v> </v>
      </c>
      <c r="I4912" s="26" t="str">
        <f>IF(OR(E4912="",E4912="!!!",F4912="NEW"),"",INDEX(B4911:B$2,-1+SUMPRODUCT(MAX(ROW(E4911:E$2)*(E4912=E4911:E$2)))))</f>
        <v> </v>
      </c>
      <c r="J4912" s="26" t="str">
        <f>IF(OR(E4912="",E4912="!!!",F4912="NEW"),"",COUNTBLANK(OFFSET(A$1,,,SUMPRODUCT(MAX(ROW(E$2:E4912)*(E4912=E$2:E4912)))))-COUNTBLANK(OFFSET(A$1,,,SUMPRODUCT(MAX(ROW(E$1:E4911)*(E2=E$1:E4911))))))</f>
        <v> </v>
      </c>
      <c r="K4912" s="26" t="str">
        <f>IF(OR(E4912="",E4912="!!!",F4912="NEW"),"",INDEX(J$1:J4911,SUMPRODUCT(MAX(ROW(E$1:E4911)*(E4912=E$1:E4911)))))</f>
        <v> </v>
      </c>
      <c r="L4912" s="27"/>
    </row>
    <row r="4913" spans="1:12">
      <c r="A4913" s="20" t="s">
        <v>883</v>
      </c>
      <c r="E4913" s="22">
        <f>IF(D4913="?OLD","!!!","")</f>
        <v/>
      </c>
      <c r="F4913" s="23" t="str">
        <f>IF(OR(E4913="",E4913="!!!"),"",IF(NOT(ISNA(VLOOKUP(E4913,E$1:E4912,1,FALSE()))),"OLD",IF(AND(E4913&lt;&gt;"",E4913&lt;&gt;"!!!"),"NEW","")))</f>
        <v> </v>
      </c>
      <c r="G4913" s="24" t="str">
        <f>IF(OR(E4913="",E4913="!!!"),"",IF(OR(J4913=0,AND(J4913=1,K4913=1),AND(J4913=1,I4913="SBJ"),AND(J4913=1,I4913=0)),"?IN_FOCUS",IF(J4913&lt;=2,"?ACTIVATED",IF(J4913&lt;&gt;"","?FAMILIAR",IF(F4913="NEW",IF(ISNA(VLOOKUP(E4913,#REF!,1,FALSE())),"?TYPE_IDENTIFIABLE","?REFERENTIAL"),"_")))))</f>
        <v> </v>
      </c>
      <c r="H4913" s="25" t="str">
        <f>IF(J4913&lt;&gt;1,"",IF(I4913="SBJ","CB","?"))</f>
        <v> </v>
      </c>
      <c r="I4913" s="26" t="str">
        <f>IF(OR(E4913="",E4913="!!!",F4913="NEW"),"",INDEX(B4912:B$2,-1+SUMPRODUCT(MAX(ROW(E4912:E$2)*(E4913=E4912:E$2)))))</f>
        <v> </v>
      </c>
      <c r="J4913" s="26" t="str">
        <f>IF(OR(E4913="",E4913="!!!",F4913="NEW"),"",COUNTBLANK(OFFSET(A$1,,,SUMPRODUCT(MAX(ROW(E$2:E4913)*(E4913=E$2:E4913)))))-COUNTBLANK(OFFSET(A$1,,,SUMPRODUCT(MAX(ROW(E$1:E4912)*(E2=E$1:E4912))))))</f>
        <v> </v>
      </c>
      <c r="K4913" s="26" t="str">
        <f>IF(OR(E4913="",E4913="!!!",F4913="NEW"),"",INDEX(J$1:J4912,SUMPRODUCT(MAX(ROW(E$1:E4912)*(E4913=E$1:E4912)))))</f>
        <v> </v>
      </c>
      <c r="L4913" s="27"/>
    </row>
    <row r="4914" spans="1:12">
      <c r="A4914" s="20" t="s">
        <v>1025</v>
      </c>
      <c r="E4914" s="22">
        <f>IF(D4914="?OLD","!!!","")</f>
        <v/>
      </c>
      <c r="F4914" s="23" t="str">
        <f>IF(OR(E4914="",E4914="!!!"),"",IF(NOT(ISNA(VLOOKUP(E4914,E$1:E4913,1,FALSE()))),"OLD",IF(AND(E4914&lt;&gt;"",E4914&lt;&gt;"!!!"),"NEW","")))</f>
        <v> </v>
      </c>
      <c r="G4914" s="24" t="str">
        <f>IF(OR(E4914="",E4914="!!!"),"",IF(OR(J4914=0,AND(J4914=1,K4914=1),AND(J4914=1,I4914="SBJ"),AND(J4914=1,I4914=0)),"?IN_FOCUS",IF(J4914&lt;=2,"?ACTIVATED",IF(J4914&lt;&gt;"","?FAMILIAR",IF(F4914="NEW",IF(ISNA(VLOOKUP(E4914,#REF!,1,FALSE())),"?TYPE_IDENTIFIABLE","?REFERENTIAL"),"_")))))</f>
        <v> </v>
      </c>
      <c r="H4914" s="25" t="str">
        <f>IF(J4914&lt;&gt;1,"",IF(I4914="SBJ","CB","?"))</f>
        <v> </v>
      </c>
      <c r="I4914" s="26" t="str">
        <f>IF(OR(E4914="",E4914="!!!",F4914="NEW"),"",INDEX(B4913:B$2,-1+SUMPRODUCT(MAX(ROW(E4913:E$2)*(E4914=E4913:E$2)))))</f>
        <v> </v>
      </c>
      <c r="J4914" s="26" t="str">
        <f>IF(OR(E4914="",E4914="!!!",F4914="NEW"),"",COUNTBLANK(OFFSET(A$1,,,SUMPRODUCT(MAX(ROW(E$2:E4914)*(E4914=E$2:E4914)))))-COUNTBLANK(OFFSET(A$1,,,SUMPRODUCT(MAX(ROW(E$1:E4913)*(E2=E$1:E4913))))))</f>
        <v> </v>
      </c>
      <c r="K4914" s="26" t="str">
        <f>IF(OR(E4914="",E4914="!!!",F4914="NEW"),"",INDEX(J$1:J4913,SUMPRODUCT(MAX(ROW(E$1:E4913)*(E4914=E$1:E4913)))))</f>
        <v> </v>
      </c>
      <c r="L4914" s="27"/>
    </row>
    <row r="4915" spans="1:12">
      <c r="A4915" s="20" t="s">
        <v>1018</v>
      </c>
      <c r="E4915" s="22">
        <f>IF(D4915="?OLD","!!!","")</f>
        <v/>
      </c>
      <c r="F4915" s="23" t="str">
        <f>IF(OR(E4915="",E4915="!!!"),"",IF(NOT(ISNA(VLOOKUP(E4915,E$1:E4914,1,FALSE()))),"OLD",IF(AND(E4915&lt;&gt;"",E4915&lt;&gt;"!!!"),"NEW","")))</f>
        <v> </v>
      </c>
      <c r="G4915" s="24" t="str">
        <f>IF(OR(E4915="",E4915="!!!"),"",IF(OR(J4915=0,AND(J4915=1,K4915=1),AND(J4915=1,I4915="SBJ"),AND(J4915=1,I4915=0)),"?IN_FOCUS",IF(J4915&lt;=2,"?ACTIVATED",IF(J4915&lt;&gt;"","?FAMILIAR",IF(F4915="NEW",IF(ISNA(VLOOKUP(E4915,#REF!,1,FALSE())),"?TYPE_IDENTIFIABLE","?REFERENTIAL"),"_")))))</f>
        <v> </v>
      </c>
      <c r="H4915" s="25" t="str">
        <f>IF(J4915&lt;&gt;1,"",IF(I4915="SBJ","CB","?"))</f>
        <v> </v>
      </c>
      <c r="I4915" s="26" t="str">
        <f>IF(OR(E4915="",E4915="!!!",F4915="NEW"),"",INDEX(B4914:B$2,-1+SUMPRODUCT(MAX(ROW(E4914:E$2)*(E4915=E4914:E$2)))))</f>
        <v> </v>
      </c>
      <c r="J4915" s="26" t="str">
        <f>IF(OR(E4915="",E4915="!!!",F4915="NEW"),"",COUNTBLANK(OFFSET(A$1,,,SUMPRODUCT(MAX(ROW(E$2:E4915)*(E4915=E$2:E4915)))))-COUNTBLANK(OFFSET(A$1,,,SUMPRODUCT(MAX(ROW(E$1:E4914)*(E2=E$1:E4914))))))</f>
        <v> </v>
      </c>
      <c r="K4915" s="26" t="str">
        <f>IF(OR(E4915="",E4915="!!!",F4915="NEW"),"",INDEX(J$1:J4914,SUMPRODUCT(MAX(ROW(E$1:E4914)*(E4915=E$1:E4914)))))</f>
        <v> </v>
      </c>
      <c r="L4915" s="27"/>
    </row>
    <row r="4916" spans="1:12">
      <c r="A4916" s="20" t="s">
        <v>1732</v>
      </c>
      <c r="B4916" s="21" t="s">
        <v>1091</v>
      </c>
      <c r="C4916" s="21" t="s">
        <v>1010</v>
      </c>
      <c r="D4916" s="21" t="s">
        <v>1011</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1022</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row>
    <row r="4919" spans="1:12">
      <c r="A4919" s="20" t="s">
        <v>2138</v>
      </c>
    </row>
    <row r="4920" spans="1:12">
      <c r="A4920" s="20" t="s">
        <v>1024</v>
      </c>
      <c r="E4920" s="22">
        <f>IF(D4920="?OLD","!!!","")</f>
        <v/>
      </c>
      <c r="F4920" s="23" t="str">
        <f>IF(OR(E4920="",E4920="!!!"),"",IF(NOT(ISNA(VLOOKUP(E4920,E$1:E4919,1,FALSE()))),"OLD",IF(AND(E4920&lt;&gt;"",E4920&lt;&gt;"!!!"),"NEW","")))</f>
        <v> </v>
      </c>
      <c r="G4920" s="24" t="str">
        <f>IF(OR(E4920="",E4920="!!!"),"",IF(OR(J4920=0,AND(J4920=1,K4920=1),AND(J4920=1,I4920="SBJ"),AND(J4920=1,I4920=0)),"?IN_FOCUS",IF(J4920&lt;=2,"?ACTIVATED",IF(J4920&lt;&gt;"","?FAMILIAR",IF(F4920="NEW",IF(ISNA(VLOOKUP(E4920,#REF!,1,FALSE())),"?TYPE_IDENTIFIABLE","?REFERENTIAL"),"_")))))</f>
        <v> </v>
      </c>
      <c r="H4920" s="25" t="str">
        <f>IF(J4920&lt;&gt;1,"",IF(I4920="SBJ","CB","?"))</f>
        <v> </v>
      </c>
      <c r="I4920" s="26" t="str">
        <f>IF(OR(E4920="",E4920="!!!",F4920="NEW"),"",INDEX(B4919:B$2,-1+SUMPRODUCT(MAX(ROW(E4919:E$2)*(E4920=E4919:E$2)))))</f>
        <v> </v>
      </c>
      <c r="J4920" s="26" t="str">
        <f>IF(OR(E4920="",E4920="!!!",F4920="NEW"),"",COUNTBLANK(OFFSET(A$1,,,SUMPRODUCT(MAX(ROW(E$2:E4920)*(E4920=E$2:E4920)))))-COUNTBLANK(OFFSET(A$1,,,SUMPRODUCT(MAX(ROW(E$1:E4919)*(E2=E$1:E4919))))))</f>
        <v> </v>
      </c>
      <c r="K4920" s="26" t="str">
        <f>IF(OR(E4920="",E4920="!!!",F4920="NEW"),"",INDEX(J$1:J4919,SUMPRODUCT(MAX(ROW(E$1:E4919)*(E4920=E$1:E4919)))))</f>
        <v> </v>
      </c>
      <c r="L4920" s="27"/>
    </row>
    <row r="4921" spans="1:12">
      <c r="A4921" s="20" t="s">
        <v>767</v>
      </c>
      <c r="E4921" s="22">
        <f>IF(D4921="?OLD","!!!","")</f>
        <v/>
      </c>
      <c r="F4921" s="23" t="str">
        <f>IF(OR(E4921="",E4921="!!!"),"",IF(NOT(ISNA(VLOOKUP(E4921,E$1:E4920,1,FALSE()))),"OLD",IF(AND(E4921&lt;&gt;"",E4921&lt;&gt;"!!!"),"NEW","")))</f>
        <v> </v>
      </c>
      <c r="G4921" s="24" t="str">
        <f>IF(OR(E4921="",E4921="!!!"),"",IF(OR(J4921=0,AND(J4921=1,K4921=1),AND(J4921=1,I4921="SBJ"),AND(J4921=1,I4921=0)),"?IN_FOCUS",IF(J4921&lt;=2,"?ACTIVATED",IF(J4921&lt;&gt;"","?FAMILIAR",IF(F4921="NEW",IF(ISNA(VLOOKUP(E4921,#REF!,1,FALSE())),"?TYPE_IDENTIFIABLE","?REFERENTIAL"),"_")))))</f>
        <v> </v>
      </c>
      <c r="H4921" s="25" t="str">
        <f>IF(J4921&lt;&gt;1,"",IF(I4921="SBJ","CB","?"))</f>
        <v> </v>
      </c>
      <c r="I4921" s="26" t="str">
        <f>IF(OR(E4921="",E4921="!!!",F4921="NEW"),"",INDEX(B4920:B$2,-1+SUMPRODUCT(MAX(ROW(E4920:E$2)*(E4921=E4920:E$2)))))</f>
        <v> </v>
      </c>
      <c r="J4921" s="26" t="str">
        <f>IF(OR(E4921="",E4921="!!!",F4921="NEW"),"",COUNTBLANK(OFFSET(A$1,,,SUMPRODUCT(MAX(ROW(E$2:E4921)*(E4921=E$2:E4921)))))-COUNTBLANK(OFFSET(A$1,,,SUMPRODUCT(MAX(ROW(E$1:E4920)*(E2=E$1:E4920))))))</f>
        <v> </v>
      </c>
      <c r="K4921" s="26" t="str">
        <f>IF(OR(E4921="",E4921="!!!",F4921="NEW"),"",INDEX(J$1:J4920,SUMPRODUCT(MAX(ROW(E$1:E4920)*(E4921=E$1:E4920)))))</f>
        <v> </v>
      </c>
      <c r="L4921" s="27"/>
    </row>
    <row r="4922" spans="1:12">
      <c r="A4922" s="20" t="s">
        <v>1032</v>
      </c>
      <c r="E4922" s="22">
        <f>IF(D4922="?OLD","!!!","")</f>
        <v/>
      </c>
      <c r="F4922" s="23" t="str">
        <f>IF(OR(E4922="",E4922="!!!"),"",IF(NOT(ISNA(VLOOKUP(E4922,E$1:E4921,1,FALSE()))),"OLD",IF(AND(E4922&lt;&gt;"",E4922&lt;&gt;"!!!"),"NEW","")))</f>
        <v> </v>
      </c>
      <c r="G4922" s="24" t="str">
        <f>IF(OR(E4922="",E4922="!!!"),"",IF(OR(J4922=0,AND(J4922=1,K4922=1),AND(J4922=1,I4922="SBJ"),AND(J4922=1,I4922=0)),"?IN_FOCUS",IF(J4922&lt;=2,"?ACTIVATED",IF(J4922&lt;&gt;"","?FAMILIAR",IF(F4922="NEW",IF(ISNA(VLOOKUP(E4922,#REF!,1,FALSE())),"?TYPE_IDENTIFIABLE","?REFERENTIAL"),"_")))))</f>
        <v> </v>
      </c>
      <c r="H4922" s="25" t="str">
        <f>IF(J4922&lt;&gt;1,"",IF(I4922="SBJ","CB","?"))</f>
        <v> </v>
      </c>
      <c r="I4922" s="26" t="str">
        <f>IF(OR(E4922="",E4922="!!!",F4922="NEW"),"",INDEX(B4921:B$2,-1+SUMPRODUCT(MAX(ROW(E4921:E$2)*(E4922=E4921:E$2)))))</f>
        <v> </v>
      </c>
      <c r="J4922" s="26" t="str">
        <f>IF(OR(E4922="",E4922="!!!",F4922="NEW"),"",COUNTBLANK(OFFSET(A$1,,,SUMPRODUCT(MAX(ROW(E$2:E4922)*(E4922=E$2:E4922)))))-COUNTBLANK(OFFSET(A$1,,,SUMPRODUCT(MAX(ROW(E$1:E4921)*(E2=E$1:E4921))))))</f>
        <v> </v>
      </c>
      <c r="K4922" s="26" t="str">
        <f>IF(OR(E4922="",E4922="!!!",F4922="NEW"),"",INDEX(J$1:J4921,SUMPRODUCT(MAX(ROW(E$1:E4921)*(E4922=E$1:E4921)))))</f>
        <v> </v>
      </c>
      <c r="L4922" s="27"/>
    </row>
    <row r="4923" spans="1:12">
      <c r="A4923" s="20" t="s">
        <v>1100</v>
      </c>
      <c r="E4923" s="22">
        <f>IF(D4923="?OLD","!!!","")</f>
        <v/>
      </c>
      <c r="F4923" s="23" t="str">
        <f>IF(OR(E4923="",E4923="!!!"),"",IF(NOT(ISNA(VLOOKUP(E4923,E$1:E4922,1,FALSE()))),"OLD",IF(AND(E4923&lt;&gt;"",E4923&lt;&gt;"!!!"),"NEW","")))</f>
        <v> </v>
      </c>
      <c r="G4923" s="24" t="str">
        <f>IF(OR(E4923="",E4923="!!!"),"",IF(OR(J4923=0,AND(J4923=1,K4923=1),AND(J4923=1,I4923="SBJ"),AND(J4923=1,I4923=0)),"?IN_FOCUS",IF(J4923&lt;=2,"?ACTIVATED",IF(J4923&lt;&gt;"","?FAMILIAR",IF(F4923="NEW",IF(ISNA(VLOOKUP(E4923,#REF!,1,FALSE())),"?TYPE_IDENTIFIABLE","?REFERENTIAL"),"_")))))</f>
        <v> </v>
      </c>
      <c r="H4923" s="25" t="str">
        <f>IF(J4923&lt;&gt;1,"",IF(I4923="SBJ","CB","?"))</f>
        <v> </v>
      </c>
      <c r="I4923" s="26" t="str">
        <f>IF(OR(E4923="",E4923="!!!",F4923="NEW"),"",INDEX(B4922:B$2,-1+SUMPRODUCT(MAX(ROW(E4922:E$2)*(E4923=E4922:E$2)))))</f>
        <v> </v>
      </c>
      <c r="J4923" s="26" t="str">
        <f>IF(OR(E4923="",E4923="!!!",F4923="NEW"),"",COUNTBLANK(OFFSET(A$1,,,SUMPRODUCT(MAX(ROW(E$2:E4923)*(E4923=E$2:E4923)))))-COUNTBLANK(OFFSET(A$1,,,SUMPRODUCT(MAX(ROW(E$1:E4922)*(E2=E$1:E4922))))))</f>
        <v> </v>
      </c>
      <c r="K4923" s="26" t="str">
        <f>IF(OR(E4923="",E4923="!!!",F4923="NEW"),"",INDEX(J$1:J4922,SUMPRODUCT(MAX(ROW(E$1:E4922)*(E4923=E$1:E4922)))))</f>
        <v> </v>
      </c>
      <c r="L4923" s="27"/>
    </row>
    <row r="4924" spans="1:12">
      <c r="A4924" s="20" t="s">
        <v>1067</v>
      </c>
      <c r="E4924" s="22">
        <f>IF(D4924="?OLD","!!!","")</f>
        <v/>
      </c>
      <c r="F4924" s="23" t="str">
        <f>IF(OR(E4924="",E4924="!!!"),"",IF(NOT(ISNA(VLOOKUP(E4924,E$1:E4923,1,FALSE()))),"OLD",IF(AND(E4924&lt;&gt;"",E4924&lt;&gt;"!!!"),"NEW","")))</f>
        <v> </v>
      </c>
      <c r="G4924" s="24" t="str">
        <f>IF(OR(E4924="",E4924="!!!"),"",IF(OR(J4924=0,AND(J4924=1,K4924=1),AND(J4924=1,I4924="SBJ"),AND(J4924=1,I4924=0)),"?IN_FOCUS",IF(J4924&lt;=2,"?ACTIVATED",IF(J4924&lt;&gt;"","?FAMILIAR",IF(F4924="NEW",IF(ISNA(VLOOKUP(E4924,#REF!,1,FALSE())),"?TYPE_IDENTIFIABLE","?REFERENTIAL"),"_")))))</f>
        <v> </v>
      </c>
      <c r="H4924" s="25" t="str">
        <f>IF(J4924&lt;&gt;1,"",IF(I4924="SBJ","CB","?"))</f>
        <v> </v>
      </c>
      <c r="I4924" s="26" t="str">
        <f>IF(OR(E4924="",E4924="!!!",F4924="NEW"),"",INDEX(B4923:B$2,-1+SUMPRODUCT(MAX(ROW(E4923:E$2)*(E4924=E4923:E$2)))))</f>
        <v> </v>
      </c>
      <c r="J4924" s="26" t="str">
        <f>IF(OR(E4924="",E4924="!!!",F4924="NEW"),"",COUNTBLANK(OFFSET(A$1,,,SUMPRODUCT(MAX(ROW(E$2:E4924)*(E4924=E$2:E4924)))))-COUNTBLANK(OFFSET(A$1,,,SUMPRODUCT(MAX(ROW(E$1:E4923)*(E2=E$1:E4923))))))</f>
        <v> </v>
      </c>
      <c r="K4924" s="26" t="str">
        <f>IF(OR(E4924="",E4924="!!!",F4924="NEW"),"",INDEX(J$1:J4923,SUMPRODUCT(MAX(ROW(E$1:E4923)*(E4924=E$1:E4923)))))</f>
        <v> </v>
      </c>
      <c r="L4924" s="27"/>
    </row>
    <row r="4925" spans="1:12">
      <c r="A4925" s="20" t="s">
        <v>1267</v>
      </c>
      <c r="E4925" s="22">
        <f>IF(D4925="?OLD","!!!","")</f>
        <v/>
      </c>
      <c r="F4925" s="23" t="str">
        <f>IF(OR(E4925="",E4925="!!!"),"",IF(NOT(ISNA(VLOOKUP(E4925,E$1:E4924,1,FALSE()))),"OLD",IF(AND(E4925&lt;&gt;"",E4925&lt;&gt;"!!!"),"NEW","")))</f>
        <v> </v>
      </c>
      <c r="G4925" s="24" t="str">
        <f>IF(OR(E4925="",E4925="!!!"),"",IF(OR(J4925=0,AND(J4925=1,K4925=1),AND(J4925=1,I4925="SBJ"),AND(J4925=1,I4925=0)),"?IN_FOCUS",IF(J4925&lt;=2,"?ACTIVATED",IF(J4925&lt;&gt;"","?FAMILIAR",IF(F4925="NEW",IF(ISNA(VLOOKUP(E4925,#REF!,1,FALSE())),"?TYPE_IDENTIFIABLE","?REFERENTIAL"),"_")))))</f>
        <v> </v>
      </c>
      <c r="H4925" s="25" t="str">
        <f>IF(J4925&lt;&gt;1,"",IF(I4925="SBJ","CB","?"))</f>
        <v> </v>
      </c>
      <c r="I4925" s="26" t="str">
        <f>IF(OR(E4925="",E4925="!!!",F4925="NEW"),"",INDEX(B4924:B$2,-1+SUMPRODUCT(MAX(ROW(E4924:E$2)*(E4925=E4924:E$2)))))</f>
        <v> </v>
      </c>
      <c r="J4925" s="26" t="str">
        <f>IF(OR(E4925="",E4925="!!!",F4925="NEW"),"",COUNTBLANK(OFFSET(A$1,,,SUMPRODUCT(MAX(ROW(E$2:E4925)*(E4925=E$2:E4925)))))-COUNTBLANK(OFFSET(A$1,,,SUMPRODUCT(MAX(ROW(E$1:E4924)*(E2=E$1:E4924))))))</f>
        <v> </v>
      </c>
      <c r="K4925" s="26" t="str">
        <f>IF(OR(E4925="",E4925="!!!",F4925="NEW"),"",INDEX(J$1:J4924,SUMPRODUCT(MAX(ROW(E$1:E4924)*(E4925=E$1:E4924)))))</f>
        <v> </v>
      </c>
      <c r="L4925" s="27"/>
    </row>
    <row r="4926" spans="1:12">
      <c r="A4926" s="20" t="s">
        <v>2139</v>
      </c>
      <c r="B4926" s="21" t="s">
        <v>1009</v>
      </c>
      <c r="C4926" s="21" t="s">
        <v>1017</v>
      </c>
      <c r="E4926" s="22">
        <f>IF(D4926="?OLD","!!!","")</f>
        <v/>
      </c>
      <c r="F4926" s="23" t="str">
        <f>IF(OR(E4926="",E4926="!!!"),"",IF(NOT(ISNA(VLOOKUP(E4926,E$1:E4925,1,FALSE()))),"OLD",IF(AND(E4926&lt;&gt;"",E4926&lt;&gt;"!!!"),"NEW","")))</f>
        <v> </v>
      </c>
      <c r="G4926" s="24" t="str">
        <f>IF(OR(E4926="",E4926="!!!"),"",IF(OR(J4926=0,AND(J4926=1,K4926=1),AND(J4926=1,I4926="SBJ"),AND(J4926=1,I4926=0)),"?IN_FOCUS",IF(J4926&lt;=2,"?ACTIVATED",IF(J4926&lt;&gt;"","?FAMILIAR",IF(F4926="NEW",IF(ISNA(VLOOKUP(E4926,#REF!,1,FALSE())),"?TYPE_IDENTIFIABLE","?REFERENTIAL"),"_")))))</f>
        <v> </v>
      </c>
      <c r="H4926" s="25" t="str">
        <f>IF(J4926&lt;&gt;1,"",IF(I4926="SBJ","CB","?"))</f>
        <v> </v>
      </c>
      <c r="I4926" s="26" t="str">
        <f>IF(OR(E4926="",E4926="!!!",F4926="NEW"),"",INDEX(B4925:B$2,-1+SUMPRODUCT(MAX(ROW(E4925:E$2)*(E4926=E4925:E$2)))))</f>
        <v> </v>
      </c>
      <c r="J4926" s="26" t="str">
        <f>IF(OR(E4926="",E4926="!!!",F4926="NEW"),"",COUNTBLANK(OFFSET(A$1,,,SUMPRODUCT(MAX(ROW(E$2:E4926)*(E4926=E$2:E4926)))))-COUNTBLANK(OFFSET(A$1,,,SUMPRODUCT(MAX(ROW(E$1:E4925)*(E2=E$1:E4925))))))</f>
        <v> </v>
      </c>
      <c r="K4926" s="26" t="str">
        <f>IF(OR(E4926="",E4926="!!!",F4926="NEW"),"",INDEX(J$1:J4925,SUMPRODUCT(MAX(ROW(E$1:E4925)*(E4926=E$1:E4925)))))</f>
        <v> </v>
      </c>
      <c r="L4926" s="27"/>
    </row>
    <row r="4927" spans="1:12">
      <c r="A4927" s="20" t="s">
        <v>1032</v>
      </c>
      <c r="E4927" s="22">
        <f>IF(D4927="?OLD","!!!","")</f>
        <v/>
      </c>
      <c r="F4927" s="23" t="str">
        <f>IF(OR(E4927="",E4927="!!!"),"",IF(NOT(ISNA(VLOOKUP(E4927,E$1:E4926,1,FALSE()))),"OLD",IF(AND(E4927&lt;&gt;"",E4927&lt;&gt;"!!!"),"NEW","")))</f>
        <v> </v>
      </c>
      <c r="G4927" s="24" t="str">
        <f>IF(OR(E4927="",E4927="!!!"),"",IF(OR(J4927=0,AND(J4927=1,K4927=1),AND(J4927=1,I4927="SBJ"),AND(J4927=1,I4927=0)),"?IN_FOCUS",IF(J4927&lt;=2,"?ACTIVATED",IF(J4927&lt;&gt;"","?FAMILIAR",IF(F4927="NEW",IF(ISNA(VLOOKUP(E4927,#REF!,1,FALSE())),"?TYPE_IDENTIFIABLE","?REFERENTIAL"),"_")))))</f>
        <v> </v>
      </c>
      <c r="H4927" s="25" t="str">
        <f>IF(J4927&lt;&gt;1,"",IF(I4927="SBJ","CB","?"))</f>
        <v> </v>
      </c>
      <c r="I4927" s="26" t="str">
        <f>IF(OR(E4927="",E4927="!!!",F4927="NEW"),"",INDEX(B4926:B$2,-1+SUMPRODUCT(MAX(ROW(E4926:E$2)*(E4927=E4926:E$2)))))</f>
        <v> </v>
      </c>
      <c r="J4927" s="26" t="str">
        <f>IF(OR(E4927="",E4927="!!!",F4927="NEW"),"",COUNTBLANK(OFFSET(A$1,,,SUMPRODUCT(MAX(ROW(E$2:E4927)*(E4927=E$2:E4927)))))-COUNTBLANK(OFFSET(A$1,,,SUMPRODUCT(MAX(ROW(E$1:E4926)*(E2=E$1:E4926))))))</f>
        <v> </v>
      </c>
      <c r="K4927" s="26" t="str">
        <f>IF(OR(E4927="",E4927="!!!",F4927="NEW"),"",INDEX(J$1:J4926,SUMPRODUCT(MAX(ROW(E$1:E4926)*(E4927=E$1:E4926)))))</f>
        <v> </v>
      </c>
      <c r="L4927" s="27"/>
    </row>
    <row r="4928" spans="1:12">
      <c r="A4928" s="20" t="s">
        <v>1234</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1042</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2140</v>
      </c>
      <c r="B4930" s="21" t="s">
        <v>1175</v>
      </c>
      <c r="C4930" s="21" t="s">
        <v>1040</v>
      </c>
      <c r="D4930" s="21" t="s">
        <v>1011</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t="s">
        <v>1132</v>
      </c>
      <c r="E4931" s="22">
        <f>IF(D4931="?OLD","!!!","")</f>
        <v/>
      </c>
      <c r="F4931" s="23" t="str">
        <f>IF(OR(E4931="",E4931="!!!"),"",IF(NOT(ISNA(VLOOKUP(E4931,E$1:E4930,1,FALSE()))),"OLD",IF(AND(E4931&lt;&gt;"",E4931&lt;&gt;"!!!"),"NEW","")))</f>
        <v> </v>
      </c>
      <c r="G4931" s="24" t="str">
        <f>IF(OR(E4931="",E4931="!!!"),"",IF(OR(J4931=0,AND(J4931=1,K4931=1),AND(J4931=1,I4931="SBJ"),AND(J4931=1,I4931=0)),"?IN_FOCUS",IF(J4931&lt;=2,"?ACTIVATED",IF(J4931&lt;&gt;"","?FAMILIAR",IF(F4931="NEW",IF(ISNA(VLOOKUP(E4931,#REF!,1,FALSE())),"?TYPE_IDENTIFIABLE","?REFERENTIAL"),"_")))))</f>
        <v> </v>
      </c>
      <c r="H4931" s="25" t="str">
        <f>IF(J4931&lt;&gt;1,"",IF(I4931="SBJ","CB","?"))</f>
        <v> </v>
      </c>
      <c r="I4931" s="26" t="str">
        <f>IF(OR(E4931="",E4931="!!!",F4931="NEW"),"",INDEX(B4930:B$2,-1+SUMPRODUCT(MAX(ROW(E4930:E$2)*(E4931=E4930:E$2)))))</f>
        <v> </v>
      </c>
      <c r="J4931" s="26" t="str">
        <f>IF(OR(E4931="",E4931="!!!",F4931="NEW"),"",COUNTBLANK(OFFSET(A$1,,,SUMPRODUCT(MAX(ROW(E$2:E4931)*(E4931=E$2:E4931)))))-COUNTBLANK(OFFSET(A$1,,,SUMPRODUCT(MAX(ROW(E$1:E4930)*(E2=E$1:E4930))))))</f>
        <v> </v>
      </c>
      <c r="K4931" s="26" t="str">
        <f>IF(OR(E4931="",E4931="!!!",F4931="NEW"),"",INDEX(J$1:J4930,SUMPRODUCT(MAX(ROW(E$1:E4930)*(E4931=E$1:E4930)))))</f>
        <v> </v>
      </c>
      <c r="L4931" s="27"/>
    </row>
    <row r="4932" spans="1:12">
      <c r="A4932" s="20" t="s">
        <v>1243</v>
      </c>
      <c r="B4932" s="21" t="s">
        <v>1091</v>
      </c>
      <c r="C4932" s="21" t="s">
        <v>1026</v>
      </c>
      <c r="D4932" s="21" t="s">
        <v>1011</v>
      </c>
      <c r="E4932" s="22">
        <f>IF(D4932="?OLD","!!!","")</f>
        <v/>
      </c>
      <c r="F4932" s="23" t="str">
        <f>IF(OR(E4932="",E4932="!!!"),"",IF(NOT(ISNA(VLOOKUP(E4932,E$1:E4931,1,FALSE()))),"OLD",IF(AND(E4932&lt;&gt;"",E4932&lt;&gt;"!!!"),"NEW","")))</f>
        <v> </v>
      </c>
      <c r="G4932" s="24" t="str">
        <f>IF(OR(E4932="",E4932="!!!"),"",IF(OR(J4932=0,AND(J4932=1,K4932=1),AND(J4932=1,I4932="SBJ"),AND(J4932=1,I4932=0)),"?IN_FOCUS",IF(J4932&lt;=2,"?ACTIVATED",IF(J4932&lt;&gt;"","?FAMILIAR",IF(F4932="NEW",IF(ISNA(VLOOKUP(E4932,#REF!,1,FALSE())),"?TYPE_IDENTIFIABLE","?REFERENTIAL"),"_")))))</f>
        <v> </v>
      </c>
      <c r="H4932" s="25" t="str">
        <f>IF(J4932&lt;&gt;1,"",IF(I4932="SBJ","CB","?"))</f>
        <v> </v>
      </c>
      <c r="I4932" s="26" t="str">
        <f>IF(OR(E4932="",E4932="!!!",F4932="NEW"),"",INDEX(B4931:B$2,-1+SUMPRODUCT(MAX(ROW(E4931:E$2)*(E4932=E4931:E$2)))))</f>
        <v> </v>
      </c>
      <c r="J4932" s="26" t="str">
        <f>IF(OR(E4932="",E4932="!!!",F4932="NEW"),"",COUNTBLANK(OFFSET(A$1,,,SUMPRODUCT(MAX(ROW(E$2:E4932)*(E4932=E$2:E4932)))))-COUNTBLANK(OFFSET(A$1,,,SUMPRODUCT(MAX(ROW(E$1:E4931)*(E2=E$1:E4931))))))</f>
        <v> </v>
      </c>
      <c r="K4932" s="26" t="str">
        <f>IF(OR(E4932="",E4932="!!!",F4932="NEW"),"",INDEX(J$1:J4931,SUMPRODUCT(MAX(ROW(E$1:E4931)*(E4932=E$1:E4931)))))</f>
        <v> </v>
      </c>
      <c r="L4932" s="27"/>
    </row>
    <row r="4933" spans="1:12">
      <c r="A4933" s="20" t="s">
        <v>1045</v>
      </c>
      <c r="E4933" s="22">
        <f>IF(D4933="?OLD","!!!","")</f>
        <v/>
      </c>
      <c r="F4933" s="23" t="str">
        <f>IF(OR(E4933="",E4933="!!!"),"",IF(NOT(ISNA(VLOOKUP(E4933,E$1:E4932,1,FALSE()))),"OLD",IF(AND(E4933&lt;&gt;"",E4933&lt;&gt;"!!!"),"NEW","")))</f>
        <v> </v>
      </c>
      <c r="G4933" s="24" t="str">
        <f>IF(OR(E4933="",E4933="!!!"),"",IF(OR(J4933=0,AND(J4933=1,K4933=1),AND(J4933=1,I4933="SBJ"),AND(J4933=1,I4933=0)),"?IN_FOCUS",IF(J4933&lt;=2,"?ACTIVATED",IF(J4933&lt;&gt;"","?FAMILIAR",IF(F4933="NEW",IF(ISNA(VLOOKUP(E4933,#REF!,1,FALSE())),"?TYPE_IDENTIFIABLE","?REFERENTIAL"),"_")))))</f>
        <v> </v>
      </c>
      <c r="H4933" s="25" t="str">
        <f>IF(J4933&lt;&gt;1,"",IF(I4933="SBJ","CB","?"))</f>
        <v> </v>
      </c>
      <c r="I4933" s="26" t="str">
        <f>IF(OR(E4933="",E4933="!!!",F4933="NEW"),"",INDEX(B4932:B$2,-1+SUMPRODUCT(MAX(ROW(E4932:E$2)*(E4933=E4932:E$2)))))</f>
        <v> </v>
      </c>
      <c r="J4933" s="26" t="str">
        <f>IF(OR(E4933="",E4933="!!!",F4933="NEW"),"",COUNTBLANK(OFFSET(A$1,,,SUMPRODUCT(MAX(ROW(E$2:E4933)*(E4933=E$2:E4933)))))-COUNTBLANK(OFFSET(A$1,,,SUMPRODUCT(MAX(ROW(E$1:E4932)*(E2=E$1:E4932))))))</f>
        <v> </v>
      </c>
      <c r="K4933" s="26" t="str">
        <f>IF(OR(E4933="",E4933="!!!",F4933="NEW"),"",INDEX(J$1:J4932,SUMPRODUCT(MAX(ROW(E$1:E4932)*(E4933=E$1:E4932)))))</f>
        <v> </v>
      </c>
      <c r="L4933" s="27"/>
    </row>
    <row r="4934" spans="1:12">
      <c r="A4934" s="20" t="s">
        <v>1028</v>
      </c>
      <c r="E4934" s="22">
        <f>IF(D4934="?OLD","!!!","")</f>
        <v/>
      </c>
      <c r="F4934" s="23" t="str">
        <f>IF(OR(E4934="",E4934="!!!"),"",IF(NOT(ISNA(VLOOKUP(E4934,E$1:E4933,1,FALSE()))),"OLD",IF(AND(E4934&lt;&gt;"",E4934&lt;&gt;"!!!"),"NEW","")))</f>
        <v> </v>
      </c>
      <c r="G4934" s="24" t="str">
        <f>IF(OR(E4934="",E4934="!!!"),"",IF(OR(J4934=0,AND(J4934=1,K4934=1),AND(J4934=1,I4934="SBJ"),AND(J4934=1,I4934=0)),"?IN_FOCUS",IF(J4934&lt;=2,"?ACTIVATED",IF(J4934&lt;&gt;"","?FAMILIAR",IF(F4934="NEW",IF(ISNA(VLOOKUP(E4934,#REF!,1,FALSE())),"?TYPE_IDENTIFIABLE","?REFERENTIAL"),"_")))))</f>
        <v> </v>
      </c>
      <c r="H4934" s="25" t="str">
        <f>IF(J4934&lt;&gt;1,"",IF(I4934="SBJ","CB","?"))</f>
        <v> </v>
      </c>
      <c r="I4934" s="26" t="str">
        <f>IF(OR(E4934="",E4934="!!!",F4934="NEW"),"",INDEX(B4933:B$2,-1+SUMPRODUCT(MAX(ROW(E4933:E$2)*(E4934=E4933:E$2)))))</f>
        <v> </v>
      </c>
      <c r="J4934" s="26" t="str">
        <f>IF(OR(E4934="",E4934="!!!",F4934="NEW"),"",COUNTBLANK(OFFSET(A$1,,,SUMPRODUCT(MAX(ROW(E$2:E4934)*(E4934=E$2:E4934)))))-COUNTBLANK(OFFSET(A$1,,,SUMPRODUCT(MAX(ROW(E$1:E4933)*(E2=E$1:E4933))))))</f>
        <v> </v>
      </c>
      <c r="K4934" s="26" t="str">
        <f>IF(OR(E4934="",E4934="!!!",F4934="NEW"),"",INDEX(J$1:J4933,SUMPRODUCT(MAX(ROW(E$1:E4933)*(E4934=E$1:E4933)))))</f>
        <v> </v>
      </c>
      <c r="L4934" s="27"/>
    </row>
    <row r="4935" spans="1:12">
      <c r="A4935" s="20" t="s">
        <v>2141</v>
      </c>
      <c r="B4935" s="21" t="s">
        <v>1039</v>
      </c>
      <c r="C4935" s="21" t="s">
        <v>1030</v>
      </c>
      <c r="E4935" s="22">
        <f>IF(D4935="?OLD","!!!","")</f>
        <v/>
      </c>
      <c r="F4935" s="23" t="str">
        <f>IF(OR(E4935="",E4935="!!!"),"",IF(NOT(ISNA(VLOOKUP(E4935,E$1:E4934,1,FALSE()))),"OLD",IF(AND(E4935&lt;&gt;"",E4935&lt;&gt;"!!!"),"NEW","")))</f>
        <v> </v>
      </c>
      <c r="G4935" s="24" t="str">
        <f>IF(OR(E4935="",E4935="!!!"),"",IF(OR(J4935=0,AND(J4935=1,K4935=1),AND(J4935=1,I4935="SBJ"),AND(J4935=1,I4935=0)),"?IN_FOCUS",IF(J4935&lt;=2,"?ACTIVATED",IF(J4935&lt;&gt;"","?FAMILIAR",IF(F4935="NEW",IF(ISNA(VLOOKUP(E4935,#REF!,1,FALSE())),"?TYPE_IDENTIFIABLE","?REFERENTIAL"),"_")))))</f>
        <v> </v>
      </c>
      <c r="H4935" s="25" t="str">
        <f>IF(J4935&lt;&gt;1,"",IF(I4935="SBJ","CB","?"))</f>
        <v> </v>
      </c>
      <c r="I4935" s="26" t="str">
        <f>IF(OR(E4935="",E4935="!!!",F4935="NEW"),"",INDEX(B4934:B$2,-1+SUMPRODUCT(MAX(ROW(E4934:E$2)*(E4935=E4934:E$2)))))</f>
        <v> </v>
      </c>
      <c r="J4935" s="26" t="str">
        <f>IF(OR(E4935="",E4935="!!!",F4935="NEW"),"",COUNTBLANK(OFFSET(A$1,,,SUMPRODUCT(MAX(ROW(E$2:E4935)*(E4935=E$2:E4935)))))-COUNTBLANK(OFFSET(A$1,,,SUMPRODUCT(MAX(ROW(E$1:E4934)*(E2=E$1:E4934))))))</f>
        <v> </v>
      </c>
      <c r="K4935" s="26" t="str">
        <f>IF(OR(E4935="",E4935="!!!",F4935="NEW"),"",INDEX(J$1:J4934,SUMPRODUCT(MAX(ROW(E$1:E4934)*(E4935=E$1:E4934)))))</f>
        <v> </v>
      </c>
      <c r="L4935" s="27"/>
    </row>
    <row r="4936" spans="1:12">
      <c r="A4936" s="20" t="s">
        <v>1132</v>
      </c>
      <c r="E4936" s="22">
        <f>IF(D4936="?OLD","!!!","")</f>
        <v/>
      </c>
      <c r="F4936" s="23" t="str">
        <f>IF(OR(E4936="",E4936="!!!"),"",IF(NOT(ISNA(VLOOKUP(E4936,E$1:E4935,1,FALSE()))),"OLD",IF(AND(E4936&lt;&gt;"",E4936&lt;&gt;"!!!"),"NEW","")))</f>
        <v> </v>
      </c>
      <c r="G4936" s="24" t="str">
        <f>IF(OR(E4936="",E4936="!!!"),"",IF(OR(J4936=0,AND(J4936=1,K4936=1),AND(J4936=1,I4936="SBJ"),AND(J4936=1,I4936=0)),"?IN_FOCUS",IF(J4936&lt;=2,"?ACTIVATED",IF(J4936&lt;&gt;"","?FAMILIAR",IF(F4936="NEW",IF(ISNA(VLOOKUP(E4936,#REF!,1,FALSE())),"?TYPE_IDENTIFIABLE","?REFERENTIAL"),"_")))))</f>
        <v> </v>
      </c>
      <c r="H4936" s="25" t="str">
        <f>IF(J4936&lt;&gt;1,"",IF(I4936="SBJ","CB","?"))</f>
        <v> </v>
      </c>
      <c r="I4936" s="26" t="str">
        <f>IF(OR(E4936="",E4936="!!!",F4936="NEW"),"",INDEX(B4935:B$2,-1+SUMPRODUCT(MAX(ROW(E4935:E$2)*(E4936=E4935:E$2)))))</f>
        <v> </v>
      </c>
      <c r="J4936" s="26" t="str">
        <f>IF(OR(E4936="",E4936="!!!",F4936="NEW"),"",COUNTBLANK(OFFSET(A$1,,,SUMPRODUCT(MAX(ROW(E$2:E4936)*(E4936=E$2:E4936)))))-COUNTBLANK(OFFSET(A$1,,,SUMPRODUCT(MAX(ROW(E$1:E4935)*(E2=E$1:E4935))))))</f>
        <v> </v>
      </c>
      <c r="K4936" s="26" t="str">
        <f>IF(OR(E4936="",E4936="!!!",F4936="NEW"),"",INDEX(J$1:J4935,SUMPRODUCT(MAX(ROW(E$1:E4935)*(E4936=E$1:E4935)))))</f>
        <v> </v>
      </c>
      <c r="L4936" s="27"/>
    </row>
    <row r="4937" spans="1:12">
      <c r="A4937" s="20" t="s">
        <v>1789</v>
      </c>
      <c r="B4937" s="21" t="s">
        <v>1021</v>
      </c>
      <c r="C4937" s="21" t="s">
        <v>1017</v>
      </c>
      <c r="E4937" s="22">
        <f>IF(D4937="?OLD","!!!","")</f>
        <v/>
      </c>
      <c r="F4937" s="23" t="str">
        <f>IF(OR(E4937="",E4937="!!!"),"",IF(NOT(ISNA(VLOOKUP(E4937,E$1:E4936,1,FALSE()))),"OLD",IF(AND(E4937&lt;&gt;"",E4937&lt;&gt;"!!!"),"NEW","")))</f>
        <v> </v>
      </c>
      <c r="G4937" s="24" t="str">
        <f>IF(OR(E4937="",E4937="!!!"),"",IF(OR(J4937=0,AND(J4937=1,K4937=1),AND(J4937=1,I4937="SBJ"),AND(J4937=1,I4937=0)),"?IN_FOCUS",IF(J4937&lt;=2,"?ACTIVATED",IF(J4937&lt;&gt;"","?FAMILIAR",IF(F4937="NEW",IF(ISNA(VLOOKUP(E4937,#REF!,1,FALSE())),"?TYPE_IDENTIFIABLE","?REFERENTIAL"),"_")))))</f>
        <v> </v>
      </c>
      <c r="H4937" s="25" t="str">
        <f>IF(J4937&lt;&gt;1,"",IF(I4937="SBJ","CB","?"))</f>
        <v> </v>
      </c>
      <c r="I4937" s="26" t="str">
        <f>IF(OR(E4937="",E4937="!!!",F4937="NEW"),"",INDEX(B4936:B$2,-1+SUMPRODUCT(MAX(ROW(E4936:E$2)*(E4937=E4936:E$2)))))</f>
        <v> </v>
      </c>
      <c r="J4937" s="26" t="str">
        <f>IF(OR(E4937="",E4937="!!!",F4937="NEW"),"",COUNTBLANK(OFFSET(A$1,,,SUMPRODUCT(MAX(ROW(E$2:E4937)*(E4937=E$2:E4937)))))-COUNTBLANK(OFFSET(A$1,,,SUMPRODUCT(MAX(ROW(E$1:E4936)*(E2=E$1:E4936))))))</f>
        <v> </v>
      </c>
      <c r="K4937" s="26" t="str">
        <f>IF(OR(E4937="",E4937="!!!",F4937="NEW"),"",INDEX(J$1:J4936,SUMPRODUCT(MAX(ROW(E$1:E4936)*(E4937=E$1:E4936)))))</f>
        <v> </v>
      </c>
      <c r="L4937" s="27"/>
    </row>
    <row r="4938" spans="1:12">
      <c r="A4938" s="20" t="s">
        <v>1150</v>
      </c>
      <c r="E4938" s="22">
        <f>IF(D4938="?OLD","!!!","")</f>
        <v/>
      </c>
      <c r="F4938" s="23" t="str">
        <f>IF(OR(E4938="",E4938="!!!"),"",IF(NOT(ISNA(VLOOKUP(E4938,E$1:E4937,1,FALSE()))),"OLD",IF(AND(E4938&lt;&gt;"",E4938&lt;&gt;"!!!"),"NEW","")))</f>
        <v> </v>
      </c>
      <c r="G4938" s="24" t="str">
        <f>IF(OR(E4938="",E4938="!!!"),"",IF(OR(J4938=0,AND(J4938=1,K4938=1),AND(J4938=1,I4938="SBJ"),AND(J4938=1,I4938=0)),"?IN_FOCUS",IF(J4938&lt;=2,"?ACTIVATED",IF(J4938&lt;&gt;"","?FAMILIAR",IF(F4938="NEW",IF(ISNA(VLOOKUP(E4938,#REF!,1,FALSE())),"?TYPE_IDENTIFIABLE","?REFERENTIAL"),"_")))))</f>
        <v> </v>
      </c>
      <c r="H4938" s="25" t="str">
        <f>IF(J4938&lt;&gt;1,"",IF(I4938="SBJ","CB","?"))</f>
        <v> </v>
      </c>
      <c r="I4938" s="26" t="str">
        <f>IF(OR(E4938="",E4938="!!!",F4938="NEW"),"",INDEX(B4937:B$2,-1+SUMPRODUCT(MAX(ROW(E4937:E$2)*(E4938=E4937:E$2)))))</f>
        <v> </v>
      </c>
      <c r="J4938" s="26" t="str">
        <f>IF(OR(E4938="",E4938="!!!",F4938="NEW"),"",COUNTBLANK(OFFSET(A$1,,,SUMPRODUCT(MAX(ROW(E$2:E4938)*(E4938=E$2:E4938)))))-COUNTBLANK(OFFSET(A$1,,,SUMPRODUCT(MAX(ROW(E$1:E4937)*(E2=E$1:E4937))))))</f>
        <v> </v>
      </c>
      <c r="K4938" s="26" t="str">
        <f>IF(OR(E4938="",E4938="!!!",F4938="NEW"),"",INDEX(J$1:J4937,SUMPRODUCT(MAX(ROW(E$1:E4937)*(E4938=E$1:E4937)))))</f>
        <v> </v>
      </c>
      <c r="L4938" s="27"/>
    </row>
    <row r="4939" spans="1:12">
      <c r="A4939" s="20" t="s">
        <v>1028</v>
      </c>
      <c r="E4939" s="22">
        <f>IF(D4939="?OLD","!!!","")</f>
        <v/>
      </c>
      <c r="F4939" s="23" t="str">
        <f>IF(OR(E4939="",E4939="!!!"),"",IF(NOT(ISNA(VLOOKUP(E4939,E$1:E4938,1,FALSE()))),"OLD",IF(AND(E4939&lt;&gt;"",E4939&lt;&gt;"!!!"),"NEW","")))</f>
        <v> </v>
      </c>
      <c r="G4939" s="24" t="str">
        <f>IF(OR(E4939="",E4939="!!!"),"",IF(OR(J4939=0,AND(J4939=1,K4939=1),AND(J4939=1,I4939="SBJ"),AND(J4939=1,I4939=0)),"?IN_FOCUS",IF(J4939&lt;=2,"?ACTIVATED",IF(J4939&lt;&gt;"","?FAMILIAR",IF(F4939="NEW",IF(ISNA(VLOOKUP(E4939,#REF!,1,FALSE())),"?TYPE_IDENTIFIABLE","?REFERENTIAL"),"_")))))</f>
        <v> </v>
      </c>
      <c r="H4939" s="25" t="str">
        <f>IF(J4939&lt;&gt;1,"",IF(I4939="SBJ","CB","?"))</f>
        <v> </v>
      </c>
      <c r="I4939" s="26" t="str">
        <f>IF(OR(E4939="",E4939="!!!",F4939="NEW"),"",INDEX(B4938:B$2,-1+SUMPRODUCT(MAX(ROW(E4938:E$2)*(E4939=E4938:E$2)))))</f>
        <v> </v>
      </c>
      <c r="J4939" s="26" t="str">
        <f>IF(OR(E4939="",E4939="!!!",F4939="NEW"),"",COUNTBLANK(OFFSET(A$1,,,SUMPRODUCT(MAX(ROW(E$2:E4939)*(E4939=E$2:E4939)))))-COUNTBLANK(OFFSET(A$1,,,SUMPRODUCT(MAX(ROW(E$1:E4938)*(E2=E$1:E4938))))))</f>
        <v> </v>
      </c>
      <c r="K4939" s="26" t="str">
        <f>IF(OR(E4939="",E4939="!!!",F4939="NEW"),"",INDEX(J$1:J4938,SUMPRODUCT(MAX(ROW(E$1:E4938)*(E4939=E$1:E4938)))))</f>
        <v> </v>
      </c>
      <c r="L4939" s="27"/>
    </row>
    <row r="4940" spans="1:12">
      <c r="A4940" s="20" t="s">
        <v>2142</v>
      </c>
      <c r="E4940" s="22">
        <f>IF(D4940="?OLD","!!!","")</f>
        <v/>
      </c>
      <c r="F4940" s="23" t="str">
        <f>IF(OR(E4940="",E4940="!!!"),"",IF(NOT(ISNA(VLOOKUP(E4940,E$1:E4939,1,FALSE()))),"OLD",IF(AND(E4940&lt;&gt;"",E4940&lt;&gt;"!!!"),"NEW","")))</f>
        <v> </v>
      </c>
      <c r="G4940" s="24" t="str">
        <f>IF(OR(E4940="",E4940="!!!"),"",IF(OR(J4940=0,AND(J4940=1,K4940=1),AND(J4940=1,I4940="SBJ"),AND(J4940=1,I4940=0)),"?IN_FOCUS",IF(J4940&lt;=2,"?ACTIVATED",IF(J4940&lt;&gt;"","?FAMILIAR",IF(F4940="NEW",IF(ISNA(VLOOKUP(E4940,#REF!,1,FALSE())),"?TYPE_IDENTIFIABLE","?REFERENTIAL"),"_")))))</f>
        <v> </v>
      </c>
      <c r="H4940" s="25" t="str">
        <f>IF(J4940&lt;&gt;1,"",IF(I4940="SBJ","CB","?"))</f>
        <v> </v>
      </c>
      <c r="I4940" s="26" t="str">
        <f>IF(OR(E4940="",E4940="!!!",F4940="NEW"),"",INDEX(B4939:B$2,-1+SUMPRODUCT(MAX(ROW(E4939:E$2)*(E4940=E4939:E$2)))))</f>
        <v> </v>
      </c>
      <c r="J4940" s="26" t="str">
        <f>IF(OR(E4940="",E4940="!!!",F4940="NEW"),"",COUNTBLANK(OFFSET(A$1,,,SUMPRODUCT(MAX(ROW(E$2:E4940)*(E4940=E$2:E4940)))))-COUNTBLANK(OFFSET(A$1,,,SUMPRODUCT(MAX(ROW(E$1:E4939)*(E2=E$1:E4939))))))</f>
        <v> </v>
      </c>
      <c r="K4940" s="26" t="str">
        <f>IF(OR(E4940="",E4940="!!!",F4940="NEW"),"",INDEX(J$1:J4939,SUMPRODUCT(MAX(ROW(E$1:E4939)*(E4940=E$1:E4939)))))</f>
        <v> </v>
      </c>
      <c r="L4940" s="27"/>
    </row>
    <row r="4941" spans="1:12">
      <c r="A4941" s="20" t="s">
        <v>1245</v>
      </c>
      <c r="B4941" s="21" t="s">
        <v>1088</v>
      </c>
      <c r="C4941" s="21" t="s">
        <v>1030</v>
      </c>
      <c r="E4941" s="22">
        <f>IF(D4941="?OLD","!!!","")</f>
        <v/>
      </c>
      <c r="F4941" s="23" t="str">
        <f>IF(OR(E4941="",E4941="!!!"),"",IF(NOT(ISNA(VLOOKUP(E4941,E$1:E4940,1,FALSE()))),"OLD",IF(AND(E4941&lt;&gt;"",E4941&lt;&gt;"!!!"),"NEW","")))</f>
        <v> </v>
      </c>
      <c r="G4941" s="24" t="str">
        <f>IF(OR(E4941="",E4941="!!!"),"",IF(OR(J4941=0,AND(J4941=1,K4941=1),AND(J4941=1,I4941="SBJ"),AND(J4941=1,I4941=0)),"?IN_FOCUS",IF(J4941&lt;=2,"?ACTIVATED",IF(J4941&lt;&gt;"","?FAMILIAR",IF(F4941="NEW",IF(ISNA(VLOOKUP(E4941,#REF!,1,FALSE())),"?TYPE_IDENTIFIABLE","?REFERENTIAL"),"_")))))</f>
        <v> </v>
      </c>
      <c r="H4941" s="25" t="str">
        <f>IF(J4941&lt;&gt;1,"",IF(I4941="SBJ","CB","?"))</f>
        <v> </v>
      </c>
      <c r="I4941" s="26" t="str">
        <f>IF(OR(E4941="",E4941="!!!",F4941="NEW"),"",INDEX(B4940:B$2,-1+SUMPRODUCT(MAX(ROW(E4940:E$2)*(E4941=E4940:E$2)))))</f>
        <v> </v>
      </c>
      <c r="J4941" s="26" t="str">
        <f>IF(OR(E4941="",E4941="!!!",F4941="NEW"),"",COUNTBLANK(OFFSET(A$1,,,SUMPRODUCT(MAX(ROW(E$2:E4941)*(E4941=E$2:E4941)))))-COUNTBLANK(OFFSET(A$1,,,SUMPRODUCT(MAX(ROW(E$1:E4940)*(E2=E$1:E4940))))))</f>
        <v> </v>
      </c>
      <c r="K4941" s="26" t="str">
        <f>IF(OR(E4941="",E4941="!!!",F4941="NEW"),"",INDEX(J$1:J4940,SUMPRODUCT(MAX(ROW(E$1:E4940)*(E4941=E$1:E4940)))))</f>
        <v> </v>
      </c>
      <c r="L4941" s="27"/>
    </row>
    <row r="4942" spans="1:12">
      <c r="A4942" s="20" t="s">
        <v>1190</v>
      </c>
      <c r="E4942" s="22">
        <f>IF(D4942="?OLD","!!!","")</f>
        <v/>
      </c>
      <c r="F4942" s="23" t="str">
        <f>IF(OR(E4942="",E4942="!!!"),"",IF(NOT(ISNA(VLOOKUP(E4942,E$1:E4941,1,FALSE()))),"OLD",IF(AND(E4942&lt;&gt;"",E4942&lt;&gt;"!!!"),"NEW","")))</f>
        <v> </v>
      </c>
      <c r="G4942" s="24" t="str">
        <f>IF(OR(E4942="",E4942="!!!"),"",IF(OR(J4942=0,AND(J4942=1,K4942=1),AND(J4942=1,I4942="SBJ"),AND(J4942=1,I4942=0)),"?IN_FOCUS",IF(J4942&lt;=2,"?ACTIVATED",IF(J4942&lt;&gt;"","?FAMILIAR",IF(F4942="NEW",IF(ISNA(VLOOKUP(E4942,#REF!,1,FALSE())),"?TYPE_IDENTIFIABLE","?REFERENTIAL"),"_")))))</f>
        <v> </v>
      </c>
      <c r="H4942" s="25" t="str">
        <f>IF(J4942&lt;&gt;1,"",IF(I4942="SBJ","CB","?"))</f>
        <v> </v>
      </c>
      <c r="I4942" s="26" t="str">
        <f>IF(OR(E4942="",E4942="!!!",F4942="NEW"),"",INDEX(B4941:B$2,-1+SUMPRODUCT(MAX(ROW(E4941:E$2)*(E4942=E4941:E$2)))))</f>
        <v> </v>
      </c>
      <c r="J4942" s="26" t="str">
        <f>IF(OR(E4942="",E4942="!!!",F4942="NEW"),"",COUNTBLANK(OFFSET(A$1,,,SUMPRODUCT(MAX(ROW(E$2:E4942)*(E4942=E$2:E4942)))))-COUNTBLANK(OFFSET(A$1,,,SUMPRODUCT(MAX(ROW(E$1:E4941)*(E2=E$1:E4941))))))</f>
        <v> </v>
      </c>
      <c r="K4942" s="26" t="str">
        <f>IF(OR(E4942="",E4942="!!!",F4942="NEW"),"",INDEX(J$1:J4941,SUMPRODUCT(MAX(ROW(E$1:E4941)*(E4942=E$1:E4941)))))</f>
        <v> </v>
      </c>
      <c r="L4942" s="27"/>
    </row>
    <row r="4943" spans="1:12">
      <c r="A4943" s="20" t="s">
        <v>1105</v>
      </c>
      <c r="E4943" s="22">
        <f>IF(D4943="?OLD","!!!","")</f>
        <v/>
      </c>
      <c r="F4943" s="23" t="str">
        <f>IF(OR(E4943="",E4943="!!!"),"",IF(NOT(ISNA(VLOOKUP(E4943,E$1:E4942,1,FALSE()))),"OLD",IF(AND(E4943&lt;&gt;"",E4943&lt;&gt;"!!!"),"NEW","")))</f>
        <v> </v>
      </c>
      <c r="G4943" s="24" t="str">
        <f>IF(OR(E4943="",E4943="!!!"),"",IF(OR(J4943=0,AND(J4943=1,K4943=1),AND(J4943=1,I4943="SBJ"),AND(J4943=1,I4943=0)),"?IN_FOCUS",IF(J4943&lt;=2,"?ACTIVATED",IF(J4943&lt;&gt;"","?FAMILIAR",IF(F4943="NEW",IF(ISNA(VLOOKUP(E4943,#REF!,1,FALSE())),"?TYPE_IDENTIFIABLE","?REFERENTIAL"),"_")))))</f>
        <v> </v>
      </c>
      <c r="H4943" s="25" t="str">
        <f>IF(J4943&lt;&gt;1,"",IF(I4943="SBJ","CB","?"))</f>
        <v> </v>
      </c>
      <c r="I4943" s="26" t="str">
        <f>IF(OR(E4943="",E4943="!!!",F4943="NEW"),"",INDEX(B4942:B$2,-1+SUMPRODUCT(MAX(ROW(E4942:E$2)*(E4943=E4942:E$2)))))</f>
        <v> </v>
      </c>
      <c r="J4943" s="26" t="str">
        <f>IF(OR(E4943="",E4943="!!!",F4943="NEW"),"",COUNTBLANK(OFFSET(A$1,,,SUMPRODUCT(MAX(ROW(E$2:E4943)*(E4943=E$2:E4943)))))-COUNTBLANK(OFFSET(A$1,,,SUMPRODUCT(MAX(ROW(E$1:E4942)*(E2=E$1:E4942))))))</f>
        <v> </v>
      </c>
      <c r="K4943" s="26" t="str">
        <f>IF(OR(E4943="",E4943="!!!",F4943="NEW"),"",INDEX(J$1:J4942,SUMPRODUCT(MAX(ROW(E$1:E4942)*(E4943=E$1:E4942)))))</f>
        <v> </v>
      </c>
      <c r="L4943" s="27"/>
    </row>
    <row r="4944" spans="1:12">
      <c r="A4944" s="20" t="s">
        <v>1019</v>
      </c>
      <c r="B4944" s="21" t="s">
        <v>1021</v>
      </c>
      <c r="C4944" s="21" t="s">
        <v>1017</v>
      </c>
      <c r="E4944" s="22">
        <f>IF(D4944="?OLD","!!!","")</f>
        <v/>
      </c>
      <c r="F4944" s="23" t="str">
        <f>IF(OR(E4944="",E4944="!!!"),"",IF(NOT(ISNA(VLOOKUP(E4944,E$1:E4943,1,FALSE()))),"OLD",IF(AND(E4944&lt;&gt;"",E4944&lt;&gt;"!!!"),"NEW","")))</f>
        <v> </v>
      </c>
      <c r="G4944" s="24" t="str">
        <f>IF(OR(E4944="",E4944="!!!"),"",IF(OR(J4944=0,AND(J4944=1,K4944=1),AND(J4944=1,I4944="SBJ"),AND(J4944=1,I4944=0)),"?IN_FOCUS",IF(J4944&lt;=2,"?ACTIVATED",IF(J4944&lt;&gt;"","?FAMILIAR",IF(F4944="NEW",IF(ISNA(VLOOKUP(E4944,#REF!,1,FALSE())),"?TYPE_IDENTIFIABLE","?REFERENTIAL"),"_")))))</f>
        <v> </v>
      </c>
      <c r="H4944" s="25" t="str">
        <f>IF(J4944&lt;&gt;1,"",IF(I4944="SBJ","CB","?"))</f>
        <v> </v>
      </c>
      <c r="I4944" s="26" t="str">
        <f>IF(OR(E4944="",E4944="!!!",F4944="NEW"),"",INDEX(B4943:B$2,-1+SUMPRODUCT(MAX(ROW(E4943:E$2)*(E4944=E4943:E$2)))))</f>
        <v> </v>
      </c>
      <c r="J4944" s="26" t="str">
        <f>IF(OR(E4944="",E4944="!!!",F4944="NEW"),"",COUNTBLANK(OFFSET(A$1,,,SUMPRODUCT(MAX(ROW(E$2:E4944)*(E4944=E$2:E4944)))))-COUNTBLANK(OFFSET(A$1,,,SUMPRODUCT(MAX(ROW(E$1:E4943)*(E2=E$1:E4943))))))</f>
        <v> </v>
      </c>
      <c r="K4944" s="26" t="str">
        <f>IF(OR(E4944="",E4944="!!!",F4944="NEW"),"",INDEX(J$1:J4943,SUMPRODUCT(MAX(ROW(E$1:E4943)*(E4944=E$1:E4943)))))</f>
        <v> </v>
      </c>
      <c r="L4944" s="27"/>
    </row>
    <row r="4945" spans="1:12">
      <c r="A4945" s="20" t="s">
        <v>1190</v>
      </c>
      <c r="E4945" s="22">
        <f>IF(D4945="?OLD","!!!","")</f>
        <v/>
      </c>
      <c r="F4945" s="23" t="str">
        <f>IF(OR(E4945="",E4945="!!!"),"",IF(NOT(ISNA(VLOOKUP(E4945,E$1:E4944,1,FALSE()))),"OLD",IF(AND(E4945&lt;&gt;"",E4945&lt;&gt;"!!!"),"NEW","")))</f>
        <v> </v>
      </c>
      <c r="G4945" s="24" t="str">
        <f>IF(OR(E4945="",E4945="!!!"),"",IF(OR(J4945=0,AND(J4945=1,K4945=1),AND(J4945=1,I4945="SBJ"),AND(J4945=1,I4945=0)),"?IN_FOCUS",IF(J4945&lt;=2,"?ACTIVATED",IF(J4945&lt;&gt;"","?FAMILIAR",IF(F4945="NEW",IF(ISNA(VLOOKUP(E4945,#REF!,1,FALSE())),"?TYPE_IDENTIFIABLE","?REFERENTIAL"),"_")))))</f>
        <v> </v>
      </c>
      <c r="H4945" s="25" t="str">
        <f>IF(J4945&lt;&gt;1,"",IF(I4945="SBJ","CB","?"))</f>
        <v> </v>
      </c>
      <c r="I4945" s="26" t="str">
        <f>IF(OR(E4945="",E4945="!!!",F4945="NEW"),"",INDEX(B4944:B$2,-1+SUMPRODUCT(MAX(ROW(E4944:E$2)*(E4945=E4944:E$2)))))</f>
        <v> </v>
      </c>
      <c r="J4945" s="26" t="str">
        <f>IF(OR(E4945="",E4945="!!!",F4945="NEW"),"",COUNTBLANK(OFFSET(A$1,,,SUMPRODUCT(MAX(ROW(E$2:E4945)*(E4945=E$2:E4945)))))-COUNTBLANK(OFFSET(A$1,,,SUMPRODUCT(MAX(ROW(E$1:E4944)*(E2=E$1:E4944))))))</f>
        <v> </v>
      </c>
      <c r="K4945" s="26" t="str">
        <f>IF(OR(E4945="",E4945="!!!",F4945="NEW"),"",INDEX(J$1:J4944,SUMPRODUCT(MAX(ROW(E$1:E4944)*(E4945=E$1:E4944)))))</f>
        <v> </v>
      </c>
      <c r="L4945" s="27"/>
    </row>
    <row r="4946" spans="1:12">
      <c r="A4946" s="20" t="s">
        <v>1028</v>
      </c>
      <c r="E4946" s="22">
        <f>IF(D4946="?OLD","!!!","")</f>
        <v/>
      </c>
      <c r="F4946" s="23" t="str">
        <f>IF(OR(E4946="",E4946="!!!"),"",IF(NOT(ISNA(VLOOKUP(E4946,E$1:E4945,1,FALSE()))),"OLD",IF(AND(E4946&lt;&gt;"",E4946&lt;&gt;"!!!"),"NEW","")))</f>
        <v> </v>
      </c>
      <c r="G4946" s="24" t="str">
        <f>IF(OR(E4946="",E4946="!!!"),"",IF(OR(J4946=0,AND(J4946=1,K4946=1),AND(J4946=1,I4946="SBJ"),AND(J4946=1,I4946=0)),"?IN_FOCUS",IF(J4946&lt;=2,"?ACTIVATED",IF(J4946&lt;&gt;"","?FAMILIAR",IF(F4946="NEW",IF(ISNA(VLOOKUP(E4946,#REF!,1,FALSE())),"?TYPE_IDENTIFIABLE","?REFERENTIAL"),"_")))))</f>
        <v> </v>
      </c>
      <c r="H4946" s="25" t="str">
        <f>IF(J4946&lt;&gt;1,"",IF(I4946="SBJ","CB","?"))</f>
        <v> </v>
      </c>
      <c r="I4946" s="26" t="str">
        <f>IF(OR(E4946="",E4946="!!!",F4946="NEW"),"",INDEX(B4945:B$2,-1+SUMPRODUCT(MAX(ROW(E4945:E$2)*(E4946=E4945:E$2)))))</f>
        <v> </v>
      </c>
      <c r="J4946" s="26" t="str">
        <f>IF(OR(E4946="",E4946="!!!",F4946="NEW"),"",COUNTBLANK(OFFSET(A$1,,,SUMPRODUCT(MAX(ROW(E$2:E4946)*(E4946=E$2:E4946)))))-COUNTBLANK(OFFSET(A$1,,,SUMPRODUCT(MAX(ROW(E$1:E4945)*(E2=E$1:E4945))))))</f>
        <v> </v>
      </c>
      <c r="K4946" s="26" t="str">
        <f>IF(OR(E4946="",E4946="!!!",F4946="NEW"),"",INDEX(J$1:J4945,SUMPRODUCT(MAX(ROW(E$1:E4945)*(E4946=E$1:E4945)))))</f>
        <v> </v>
      </c>
      <c r="L4946" s="27"/>
    </row>
    <row r="4947" spans="1:12">
      <c r="A4947" s="20" t="s">
        <v>2141</v>
      </c>
      <c r="B4947" s="21" t="s">
        <v>1021</v>
      </c>
      <c r="C4947" s="21" t="s">
        <v>1030</v>
      </c>
      <c r="E4947" s="22">
        <f>IF(D4947="?OLD","!!!","")</f>
        <v/>
      </c>
      <c r="F4947" s="23" t="str">
        <f>IF(OR(E4947="",E4947="!!!"),"",IF(NOT(ISNA(VLOOKUP(E4947,E$1:E4946,1,FALSE()))),"OLD",IF(AND(E4947&lt;&gt;"",E4947&lt;&gt;"!!!"),"NEW","")))</f>
        <v> </v>
      </c>
      <c r="G4947" s="24" t="str">
        <f>IF(OR(E4947="",E4947="!!!"),"",IF(OR(J4947=0,AND(J4947=1,K4947=1),AND(J4947=1,I4947="SBJ"),AND(J4947=1,I4947=0)),"?IN_FOCUS",IF(J4947&lt;=2,"?ACTIVATED",IF(J4947&lt;&gt;"","?FAMILIAR",IF(F4947="NEW",IF(ISNA(VLOOKUP(E4947,#REF!,1,FALSE())),"?TYPE_IDENTIFIABLE","?REFERENTIAL"),"_")))))</f>
        <v> </v>
      </c>
      <c r="H4947" s="25" t="str">
        <f>IF(J4947&lt;&gt;1,"",IF(I4947="SBJ","CB","?"))</f>
        <v> </v>
      </c>
      <c r="I4947" s="26" t="str">
        <f>IF(OR(E4947="",E4947="!!!",F4947="NEW"),"",INDEX(B4946:B$2,-1+SUMPRODUCT(MAX(ROW(E4946:E$2)*(E4947=E4946:E$2)))))</f>
        <v> </v>
      </c>
      <c r="J4947" s="26" t="str">
        <f>IF(OR(E4947="",E4947="!!!",F4947="NEW"),"",COUNTBLANK(OFFSET(A$1,,,SUMPRODUCT(MAX(ROW(E$2:E4947)*(E4947=E$2:E4947)))))-COUNTBLANK(OFFSET(A$1,,,SUMPRODUCT(MAX(ROW(E$1:E4946)*(E2=E$1:E4946))))))</f>
        <v> </v>
      </c>
      <c r="K4947" s="26" t="str">
        <f>IF(OR(E4947="",E4947="!!!",F4947="NEW"),"",INDEX(J$1:J4946,SUMPRODUCT(MAX(ROW(E$1:E4946)*(E4947=E$1:E4946)))))</f>
        <v> </v>
      </c>
      <c r="L4947" s="27"/>
    </row>
    <row r="4948" spans="1:12">
      <c r="A4948" s="20" t="s">
        <v>1132</v>
      </c>
      <c r="E4948" s="22">
        <f>IF(D4948="?OLD","!!!","")</f>
        <v/>
      </c>
      <c r="F4948" s="23" t="str">
        <f>IF(OR(E4948="",E4948="!!!"),"",IF(NOT(ISNA(VLOOKUP(E4948,E$1:E4947,1,FALSE()))),"OLD",IF(AND(E4948&lt;&gt;"",E4948&lt;&gt;"!!!"),"NEW","")))</f>
        <v> </v>
      </c>
      <c r="G4948" s="24" t="str">
        <f>IF(OR(E4948="",E4948="!!!"),"",IF(OR(J4948=0,AND(J4948=1,K4948=1),AND(J4948=1,I4948="SBJ"),AND(J4948=1,I4948=0)),"?IN_FOCUS",IF(J4948&lt;=2,"?ACTIVATED",IF(J4948&lt;&gt;"","?FAMILIAR",IF(F4948="NEW",IF(ISNA(VLOOKUP(E4948,#REF!,1,FALSE())),"?TYPE_IDENTIFIABLE","?REFERENTIAL"),"_")))))</f>
        <v> </v>
      </c>
      <c r="H4948" s="25" t="str">
        <f>IF(J4948&lt;&gt;1,"",IF(I4948="SBJ","CB","?"))</f>
        <v> </v>
      </c>
      <c r="I4948" s="26" t="str">
        <f>IF(OR(E4948="",E4948="!!!",F4948="NEW"),"",INDEX(B4947:B$2,-1+SUMPRODUCT(MAX(ROW(E4947:E$2)*(E4948=E4947:E$2)))))</f>
        <v> </v>
      </c>
      <c r="J4948" s="26" t="str">
        <f>IF(OR(E4948="",E4948="!!!",F4948="NEW"),"",COUNTBLANK(OFFSET(A$1,,,SUMPRODUCT(MAX(ROW(E$2:E4948)*(E4948=E$2:E4948)))))-COUNTBLANK(OFFSET(A$1,,,SUMPRODUCT(MAX(ROW(E$1:E4947)*(E2=E$1:E4947))))))</f>
        <v> </v>
      </c>
      <c r="K4948" s="26" t="str">
        <f>IF(OR(E4948="",E4948="!!!",F4948="NEW"),"",INDEX(J$1:J4947,SUMPRODUCT(MAX(ROW(E$1:E4947)*(E4948=E$1:E4947)))))</f>
        <v> </v>
      </c>
      <c r="L4948" s="27"/>
    </row>
    <row r="4949" spans="1:12">
      <c r="A4949" s="20" t="s">
        <v>1032</v>
      </c>
      <c r="E4949" s="22">
        <f>IF(D4949="?OLD","!!!","")</f>
        <v/>
      </c>
      <c r="F4949" s="23" t="str">
        <f>IF(OR(E4949="",E4949="!!!"),"",IF(NOT(ISNA(VLOOKUP(E4949,E$1:E4948,1,FALSE()))),"OLD",IF(AND(E4949&lt;&gt;"",E4949&lt;&gt;"!!!"),"NEW","")))</f>
        <v> </v>
      </c>
      <c r="G4949" s="24" t="str">
        <f>IF(OR(E4949="",E4949="!!!"),"",IF(OR(J4949=0,AND(J4949=1,K4949=1),AND(J4949=1,I4949="SBJ"),AND(J4949=1,I4949=0)),"?IN_FOCUS",IF(J4949&lt;=2,"?ACTIVATED",IF(J4949&lt;&gt;"","?FAMILIAR",IF(F4949="NEW",IF(ISNA(VLOOKUP(E4949,#REF!,1,FALSE())),"?TYPE_IDENTIFIABLE","?REFERENTIAL"),"_")))))</f>
        <v> </v>
      </c>
      <c r="H4949" s="25" t="str">
        <f>IF(J4949&lt;&gt;1,"",IF(I4949="SBJ","CB","?"))</f>
        <v> </v>
      </c>
      <c r="I4949" s="26" t="str">
        <f>IF(OR(E4949="",E4949="!!!",F4949="NEW"),"",INDEX(B4948:B$2,-1+SUMPRODUCT(MAX(ROW(E4948:E$2)*(E4949=E4948:E$2)))))</f>
        <v> </v>
      </c>
      <c r="J4949" s="26" t="str">
        <f>IF(OR(E4949="",E4949="!!!",F4949="NEW"),"",COUNTBLANK(OFFSET(A$1,,,SUMPRODUCT(MAX(ROW(E$2:E4949)*(E4949=E$2:E4949)))))-COUNTBLANK(OFFSET(A$1,,,SUMPRODUCT(MAX(ROW(E$1:E4948)*(E2=E$1:E4948))))))</f>
        <v> </v>
      </c>
      <c r="K4949" s="26" t="str">
        <f>IF(OR(E4949="",E4949="!!!",F4949="NEW"),"",INDEX(J$1:J4948,SUMPRODUCT(MAX(ROW(E$1:E4948)*(E4949=E$1:E4948)))))</f>
        <v> </v>
      </c>
      <c r="L4949" s="27"/>
    </row>
    <row r="4950" spans="1:12">
      <c r="A4950" s="20" t="s">
        <v>883</v>
      </c>
      <c r="E4950" s="22">
        <f>IF(D4950="?OLD","!!!","")</f>
        <v/>
      </c>
      <c r="F4950" s="23" t="str">
        <f>IF(OR(E4950="",E4950="!!!"),"",IF(NOT(ISNA(VLOOKUP(E4950,E$1:E4949,1,FALSE()))),"OLD",IF(AND(E4950&lt;&gt;"",E4950&lt;&gt;"!!!"),"NEW","")))</f>
        <v> </v>
      </c>
      <c r="G4950" s="24" t="str">
        <f>IF(OR(E4950="",E4950="!!!"),"",IF(OR(J4950=0,AND(J4950=1,K4950=1),AND(J4950=1,I4950="SBJ"),AND(J4950=1,I4950=0)),"?IN_FOCUS",IF(J4950&lt;=2,"?ACTIVATED",IF(J4950&lt;&gt;"","?FAMILIAR",IF(F4950="NEW",IF(ISNA(VLOOKUP(E4950,#REF!,1,FALSE())),"?TYPE_IDENTIFIABLE","?REFERENTIAL"),"_")))))</f>
        <v> </v>
      </c>
      <c r="H4950" s="25" t="str">
        <f>IF(J4950&lt;&gt;1,"",IF(I4950="SBJ","CB","?"))</f>
        <v> </v>
      </c>
      <c r="I4950" s="26" t="str">
        <f>IF(OR(E4950="",E4950="!!!",F4950="NEW"),"",INDEX(B4949:B$2,-1+SUMPRODUCT(MAX(ROW(E4949:E$2)*(E4950=E4949:E$2)))))</f>
        <v> </v>
      </c>
      <c r="J4950" s="26" t="str">
        <f>IF(OR(E4950="",E4950="!!!",F4950="NEW"),"",COUNTBLANK(OFFSET(A$1,,,SUMPRODUCT(MAX(ROW(E$2:E4950)*(E4950=E$2:E4950)))))-COUNTBLANK(OFFSET(A$1,,,SUMPRODUCT(MAX(ROW(E$1:E4949)*(E2=E$1:E4949))))))</f>
        <v> </v>
      </c>
      <c r="K4950" s="26" t="str">
        <f>IF(OR(E4950="",E4950="!!!",F4950="NEW"),"",INDEX(J$1:J4949,SUMPRODUCT(MAX(ROW(E$1:E4949)*(E4950=E$1:E4949)))))</f>
        <v> </v>
      </c>
      <c r="L4950" s="27"/>
    </row>
    <row r="4951" spans="1:12">
      <c r="A4951" s="20" t="s">
        <v>1032</v>
      </c>
      <c r="E4951" s="22">
        <f>IF(D4951="?OLD","!!!","")</f>
        <v/>
      </c>
      <c r="F4951" s="23" t="str">
        <f>IF(OR(E4951="",E4951="!!!"),"",IF(NOT(ISNA(VLOOKUP(E4951,E$1:E4950,1,FALSE()))),"OLD",IF(AND(E4951&lt;&gt;"",E4951&lt;&gt;"!!!"),"NEW","")))</f>
        <v> </v>
      </c>
      <c r="G4951" s="24" t="str">
        <f>IF(OR(E4951="",E4951="!!!"),"",IF(OR(J4951=0,AND(J4951=1,K4951=1),AND(J4951=1,I4951="SBJ"),AND(J4951=1,I4951=0)),"?IN_FOCUS",IF(J4951&lt;=2,"?ACTIVATED",IF(J4951&lt;&gt;"","?FAMILIAR",IF(F4951="NEW",IF(ISNA(VLOOKUP(E4951,#REF!,1,FALSE())),"?TYPE_IDENTIFIABLE","?REFERENTIAL"),"_")))))</f>
        <v> </v>
      </c>
      <c r="H4951" s="25" t="str">
        <f>IF(J4951&lt;&gt;1,"",IF(I4951="SBJ","CB","?"))</f>
        <v> </v>
      </c>
      <c r="I4951" s="26" t="str">
        <f>IF(OR(E4951="",E4951="!!!",F4951="NEW"),"",INDEX(B4950:B$2,-1+SUMPRODUCT(MAX(ROW(E4950:E$2)*(E4951=E4950:E$2)))))</f>
        <v> </v>
      </c>
      <c r="J4951" s="26" t="str">
        <f>IF(OR(E4951="",E4951="!!!",F4951="NEW"),"",COUNTBLANK(OFFSET(A$1,,,SUMPRODUCT(MAX(ROW(E$2:E4951)*(E4951=E$2:E4951)))))-COUNTBLANK(OFFSET(A$1,,,SUMPRODUCT(MAX(ROW(E$1:E4950)*(E2=E$1:E4950))))))</f>
        <v> </v>
      </c>
      <c r="K4951" s="26" t="str">
        <f>IF(OR(E4951="",E4951="!!!",F4951="NEW"),"",INDEX(J$1:J4950,SUMPRODUCT(MAX(ROW(E$1:E4950)*(E4951=E$1:E4950)))))</f>
        <v> </v>
      </c>
      <c r="L4951" s="27"/>
    </row>
    <row r="4952" spans="1:12">
      <c r="A4952" s="20" t="s">
        <v>1160</v>
      </c>
      <c r="B4952" s="21" t="s">
        <v>1091</v>
      </c>
      <c r="C4952" s="21" t="s">
        <v>1017</v>
      </c>
      <c r="E4952" s="22">
        <f>IF(D4952="?OLD","!!!","")</f>
        <v/>
      </c>
      <c r="F4952" s="23" t="str">
        <f>IF(OR(E4952="",E4952="!!!"),"",IF(NOT(ISNA(VLOOKUP(E4952,E$1:E4951,1,FALSE()))),"OLD",IF(AND(E4952&lt;&gt;"",E4952&lt;&gt;"!!!"),"NEW","")))</f>
        <v> </v>
      </c>
      <c r="G4952" s="24" t="str">
        <f>IF(OR(E4952="",E4952="!!!"),"",IF(OR(J4952=0,AND(J4952=1,K4952=1),AND(J4952=1,I4952="SBJ"),AND(J4952=1,I4952=0)),"?IN_FOCUS",IF(J4952&lt;=2,"?ACTIVATED",IF(J4952&lt;&gt;"","?FAMILIAR",IF(F4952="NEW",IF(ISNA(VLOOKUP(E4952,#REF!,1,FALSE())),"?TYPE_IDENTIFIABLE","?REFERENTIAL"),"_")))))</f>
        <v> </v>
      </c>
      <c r="H4952" s="25" t="str">
        <f>IF(J4952&lt;&gt;1,"",IF(I4952="SBJ","CB","?"))</f>
        <v> </v>
      </c>
      <c r="I4952" s="26" t="str">
        <f>IF(OR(E4952="",E4952="!!!",F4952="NEW"),"",INDEX(B4951:B$2,-1+SUMPRODUCT(MAX(ROW(E4951:E$2)*(E4952=E4951:E$2)))))</f>
        <v> </v>
      </c>
      <c r="J4952" s="26" t="str">
        <f>IF(OR(E4952="",E4952="!!!",F4952="NEW"),"",COUNTBLANK(OFFSET(A$1,,,SUMPRODUCT(MAX(ROW(E$2:E4952)*(E4952=E$2:E4952)))))-COUNTBLANK(OFFSET(A$1,,,SUMPRODUCT(MAX(ROW(E$1:E4951)*(E2=E$1:E4951))))))</f>
        <v> </v>
      </c>
      <c r="K4952" s="26" t="str">
        <f>IF(OR(E4952="",E4952="!!!",F4952="NEW"),"",INDEX(J$1:J4951,SUMPRODUCT(MAX(ROW(E$1:E4951)*(E4952=E$1:E4951)))))</f>
        <v> </v>
      </c>
      <c r="L4952" s="27"/>
    </row>
    <row r="4953" spans="1:12">
      <c r="A4953" s="20" t="s">
        <v>1022</v>
      </c>
      <c r="E4953" s="22">
        <f>IF(D4953="?OLD","!!!","")</f>
        <v/>
      </c>
      <c r="F4953" s="23" t="str">
        <f>IF(OR(E4953="",E4953="!!!"),"",IF(NOT(ISNA(VLOOKUP(E4953,E$1:E4952,1,FALSE()))),"OLD",IF(AND(E4953&lt;&gt;"",E4953&lt;&gt;"!!!"),"NEW","")))</f>
        <v> </v>
      </c>
      <c r="G4953" s="24" t="str">
        <f>IF(OR(E4953="",E4953="!!!"),"",IF(OR(J4953=0,AND(J4953=1,K4953=1),AND(J4953=1,I4953="SBJ"),AND(J4953=1,I4953=0)),"?IN_FOCUS",IF(J4953&lt;=2,"?ACTIVATED",IF(J4953&lt;&gt;"","?FAMILIAR",IF(F4953="NEW",IF(ISNA(VLOOKUP(E4953,#REF!,1,FALSE())),"?TYPE_IDENTIFIABLE","?REFERENTIAL"),"_")))))</f>
        <v> </v>
      </c>
      <c r="H4953" s="25" t="str">
        <f>IF(J4953&lt;&gt;1,"",IF(I4953="SBJ","CB","?"))</f>
        <v> </v>
      </c>
      <c r="I4953" s="26" t="str">
        <f>IF(OR(E4953="",E4953="!!!",F4953="NEW"),"",INDEX(B4952:B$2,-1+SUMPRODUCT(MAX(ROW(E4952:E$2)*(E4953=E4952:E$2)))))</f>
        <v> </v>
      </c>
      <c r="J4953" s="26" t="str">
        <f>IF(OR(E4953="",E4953="!!!",F4953="NEW"),"",COUNTBLANK(OFFSET(A$1,,,SUMPRODUCT(MAX(ROW(E$2:E4953)*(E4953=E$2:E4953)))))-COUNTBLANK(OFFSET(A$1,,,SUMPRODUCT(MAX(ROW(E$1:E4952)*(E2=E$1:E4952))))))</f>
        <v> </v>
      </c>
      <c r="K4953" s="26" t="str">
        <f>IF(OR(E4953="",E4953="!!!",F4953="NEW"),"",INDEX(J$1:J4952,SUMPRODUCT(MAX(ROW(E$1:E4952)*(E4953=E$1:E4952)))))</f>
        <v> </v>
      </c>
      <c r="L4953" s="27"/>
    </row>
    <row r="4954" spans="1:12">
      <c r="A4954" s="20"/>
    </row>
    <row r="4955" spans="1:12">
      <c r="A4955" s="20" t="s">
        <v>2143</v>
      </c>
    </row>
    <row r="4956" spans="1:12">
      <c r="A4956" s="20" t="s">
        <v>1024</v>
      </c>
      <c r="E4956" s="22">
        <f>IF(D4956="?OLD","!!!","")</f>
        <v/>
      </c>
      <c r="F4956" s="23" t="str">
        <f>IF(OR(E4956="",E4956="!!!"),"",IF(NOT(ISNA(VLOOKUP(E4956,E$1:E4955,1,FALSE()))),"OLD",IF(AND(E4956&lt;&gt;"",E4956&lt;&gt;"!!!"),"NEW","")))</f>
        <v> </v>
      </c>
      <c r="G4956" s="24" t="str">
        <f>IF(OR(E4956="",E4956="!!!"),"",IF(OR(J4956=0,AND(J4956=1,K4956=1),AND(J4956=1,I4956="SBJ"),AND(J4956=1,I4956=0)),"?IN_FOCUS",IF(J4956&lt;=2,"?ACTIVATED",IF(J4956&lt;&gt;"","?FAMILIAR",IF(F4956="NEW",IF(ISNA(VLOOKUP(E4956,#REF!,1,FALSE())),"?TYPE_IDENTIFIABLE","?REFERENTIAL"),"_")))))</f>
        <v> </v>
      </c>
      <c r="H4956" s="25" t="str">
        <f>IF(J4956&lt;&gt;1,"",IF(I4956="SBJ","CB","?"))</f>
        <v> </v>
      </c>
      <c r="I4956" s="26" t="str">
        <f>IF(OR(E4956="",E4956="!!!",F4956="NEW"),"",INDEX(B4955:B$2,-1+SUMPRODUCT(MAX(ROW(E4955:E$2)*(E4956=E4955:E$2)))))</f>
        <v> </v>
      </c>
      <c r="J4956" s="26" t="str">
        <f>IF(OR(E4956="",E4956="!!!",F4956="NEW"),"",COUNTBLANK(OFFSET(A$1,,,SUMPRODUCT(MAX(ROW(E$2:E4956)*(E4956=E$2:E4956)))))-COUNTBLANK(OFFSET(A$1,,,SUMPRODUCT(MAX(ROW(E$1:E4955)*(E2=E$1:E4955))))))</f>
        <v> </v>
      </c>
      <c r="K4956" s="26" t="str">
        <f>IF(OR(E4956="",E4956="!!!",F4956="NEW"),"",INDEX(J$1:J4955,SUMPRODUCT(MAX(ROW(E$1:E4955)*(E4956=E$1:E4955)))))</f>
        <v> </v>
      </c>
      <c r="L4956" s="27"/>
    </row>
    <row r="4957" spans="1:12">
      <c r="A4957" s="20" t="s">
        <v>767</v>
      </c>
      <c r="E4957" s="22">
        <f>IF(D4957="?OLD","!!!","")</f>
        <v/>
      </c>
      <c r="F4957" s="23" t="str">
        <f>IF(OR(E4957="",E4957="!!!"),"",IF(NOT(ISNA(VLOOKUP(E4957,E$1:E4956,1,FALSE()))),"OLD",IF(AND(E4957&lt;&gt;"",E4957&lt;&gt;"!!!"),"NEW","")))</f>
        <v> </v>
      </c>
      <c r="G4957" s="24" t="str">
        <f>IF(OR(E4957="",E4957="!!!"),"",IF(OR(J4957=0,AND(J4957=1,K4957=1),AND(J4957=1,I4957="SBJ"),AND(J4957=1,I4957=0)),"?IN_FOCUS",IF(J4957&lt;=2,"?ACTIVATED",IF(J4957&lt;&gt;"","?FAMILIAR",IF(F4957="NEW",IF(ISNA(VLOOKUP(E4957,#REF!,1,FALSE())),"?TYPE_IDENTIFIABLE","?REFERENTIAL"),"_")))))</f>
        <v> </v>
      </c>
      <c r="H4957" s="25" t="str">
        <f>IF(J4957&lt;&gt;1,"",IF(I4957="SBJ","CB","?"))</f>
        <v> </v>
      </c>
      <c r="I4957" s="26" t="str">
        <f>IF(OR(E4957="",E4957="!!!",F4957="NEW"),"",INDEX(B4956:B$2,-1+SUMPRODUCT(MAX(ROW(E4956:E$2)*(E4957=E4956:E$2)))))</f>
        <v> </v>
      </c>
      <c r="J4957" s="26" t="str">
        <f>IF(OR(E4957="",E4957="!!!",F4957="NEW"),"",COUNTBLANK(OFFSET(A$1,,,SUMPRODUCT(MAX(ROW(E$2:E4957)*(E4957=E$2:E4957)))))-COUNTBLANK(OFFSET(A$1,,,SUMPRODUCT(MAX(ROW(E$1:E4956)*(E2=E$1:E4956))))))</f>
        <v> </v>
      </c>
      <c r="K4957" s="26" t="str">
        <f>IF(OR(E4957="",E4957="!!!",F4957="NEW"),"",INDEX(J$1:J4956,SUMPRODUCT(MAX(ROW(E$1:E4956)*(E4957=E$1:E4956)))))</f>
        <v> </v>
      </c>
      <c r="L4957" s="27"/>
    </row>
    <row r="4958" spans="1:12">
      <c r="A4958" s="20" t="s">
        <v>1032</v>
      </c>
      <c r="E4958" s="22">
        <f>IF(D4958="?OLD","!!!","")</f>
        <v/>
      </c>
      <c r="F4958" s="23" t="str">
        <f>IF(OR(E4958="",E4958="!!!"),"",IF(NOT(ISNA(VLOOKUP(E4958,E$1:E4957,1,FALSE()))),"OLD",IF(AND(E4958&lt;&gt;"",E4958&lt;&gt;"!!!"),"NEW","")))</f>
        <v> </v>
      </c>
      <c r="G4958" s="24" t="str">
        <f>IF(OR(E4958="",E4958="!!!"),"",IF(OR(J4958=0,AND(J4958=1,K4958=1),AND(J4958=1,I4958="SBJ"),AND(J4958=1,I4958=0)),"?IN_FOCUS",IF(J4958&lt;=2,"?ACTIVATED",IF(J4958&lt;&gt;"","?FAMILIAR",IF(F4958="NEW",IF(ISNA(VLOOKUP(E4958,#REF!,1,FALSE())),"?TYPE_IDENTIFIABLE","?REFERENTIAL"),"_")))))</f>
        <v> </v>
      </c>
      <c r="H4958" s="25" t="str">
        <f>IF(J4958&lt;&gt;1,"",IF(I4958="SBJ","CB","?"))</f>
        <v> </v>
      </c>
      <c r="I4958" s="26" t="str">
        <f>IF(OR(E4958="",E4958="!!!",F4958="NEW"),"",INDEX(B4957:B$2,-1+SUMPRODUCT(MAX(ROW(E4957:E$2)*(E4958=E4957:E$2)))))</f>
        <v> </v>
      </c>
      <c r="J4958" s="26" t="str">
        <f>IF(OR(E4958="",E4958="!!!",F4958="NEW"),"",COUNTBLANK(OFFSET(A$1,,,SUMPRODUCT(MAX(ROW(E$2:E4958)*(E4958=E$2:E4958)))))-COUNTBLANK(OFFSET(A$1,,,SUMPRODUCT(MAX(ROW(E$1:E4957)*(E2=E$1:E4957))))))</f>
        <v> </v>
      </c>
      <c r="K4958" s="26" t="str">
        <f>IF(OR(E4958="",E4958="!!!",F4958="NEW"),"",INDEX(J$1:J4957,SUMPRODUCT(MAX(ROW(E$1:E4957)*(E4958=E$1:E4957)))))</f>
        <v> </v>
      </c>
      <c r="L4958" s="27"/>
    </row>
    <row r="4959" spans="1:12">
      <c r="A4959" s="20" t="s">
        <v>1136</v>
      </c>
      <c r="E4959" s="22">
        <f>IF(D4959="?OLD","!!!","")</f>
        <v/>
      </c>
      <c r="F4959" s="23" t="str">
        <f>IF(OR(E4959="",E4959="!!!"),"",IF(NOT(ISNA(VLOOKUP(E4959,E$1:E4958,1,FALSE()))),"OLD",IF(AND(E4959&lt;&gt;"",E4959&lt;&gt;"!!!"),"NEW","")))</f>
        <v> </v>
      </c>
      <c r="G4959" s="24" t="str">
        <f>IF(OR(E4959="",E4959="!!!"),"",IF(OR(J4959=0,AND(J4959=1,K4959=1),AND(J4959=1,I4959="SBJ"),AND(J4959=1,I4959=0)),"?IN_FOCUS",IF(J4959&lt;=2,"?ACTIVATED",IF(J4959&lt;&gt;"","?FAMILIAR",IF(F4959="NEW",IF(ISNA(VLOOKUP(E4959,#REF!,1,FALSE())),"?TYPE_IDENTIFIABLE","?REFERENTIAL"),"_")))))</f>
        <v> </v>
      </c>
      <c r="H4959" s="25" t="str">
        <f>IF(J4959&lt;&gt;1,"",IF(I4959="SBJ","CB","?"))</f>
        <v> </v>
      </c>
      <c r="I4959" s="26" t="str">
        <f>IF(OR(E4959="",E4959="!!!",F4959="NEW"),"",INDEX(B4958:B$2,-1+SUMPRODUCT(MAX(ROW(E4958:E$2)*(E4959=E4958:E$2)))))</f>
        <v> </v>
      </c>
      <c r="J4959" s="26" t="str">
        <f>IF(OR(E4959="",E4959="!!!",F4959="NEW"),"",COUNTBLANK(OFFSET(A$1,,,SUMPRODUCT(MAX(ROW(E$2:E4959)*(E4959=E$2:E4959)))))-COUNTBLANK(OFFSET(A$1,,,SUMPRODUCT(MAX(ROW(E$1:E4958)*(E2=E$1:E4958))))))</f>
        <v> </v>
      </c>
      <c r="K4959" s="26" t="str">
        <f>IF(OR(E4959="",E4959="!!!",F4959="NEW"),"",INDEX(J$1:J4958,SUMPRODUCT(MAX(ROW(E$1:E4958)*(E4959=E$1:E4958)))))</f>
        <v> </v>
      </c>
      <c r="L4959" s="27"/>
    </row>
    <row r="4960" spans="1:12">
      <c r="A4960" s="20" t="s">
        <v>1137</v>
      </c>
      <c r="B4960" s="21" t="s">
        <v>1039</v>
      </c>
      <c r="C4960" s="21" t="s">
        <v>1010</v>
      </c>
      <c r="D4960" s="21" t="s">
        <v>1011</v>
      </c>
      <c r="E4960" s="22">
        <f>IF(D4960="?OLD","!!!","")</f>
        <v/>
      </c>
      <c r="F4960" s="23" t="str">
        <f>IF(OR(E4960="",E4960="!!!"),"",IF(NOT(ISNA(VLOOKUP(E4960,E$1:E4959,1,FALSE()))),"OLD",IF(AND(E4960&lt;&gt;"",E4960&lt;&gt;"!!!"),"NEW","")))</f>
        <v> </v>
      </c>
      <c r="G4960" s="24" t="str">
        <f>IF(OR(E4960="",E4960="!!!"),"",IF(OR(J4960=0,AND(J4960=1,K4960=1),AND(J4960=1,I4960="SBJ"),AND(J4960=1,I4960=0)),"?IN_FOCUS",IF(J4960&lt;=2,"?ACTIVATED",IF(J4960&lt;&gt;"","?FAMILIAR",IF(F4960="NEW",IF(ISNA(VLOOKUP(E4960,#REF!,1,FALSE())),"?TYPE_IDENTIFIABLE","?REFERENTIAL"),"_")))))</f>
        <v> </v>
      </c>
      <c r="H4960" s="25" t="str">
        <f>IF(J4960&lt;&gt;1,"",IF(I4960="SBJ","CB","?"))</f>
        <v> </v>
      </c>
      <c r="I4960" s="26" t="str">
        <f>IF(OR(E4960="",E4960="!!!",F4960="NEW"),"",INDEX(B4959:B$2,-1+SUMPRODUCT(MAX(ROW(E4959:E$2)*(E4960=E4959:E$2)))))</f>
        <v> </v>
      </c>
      <c r="J4960" s="26" t="str">
        <f>IF(OR(E4960="",E4960="!!!",F4960="NEW"),"",COUNTBLANK(OFFSET(A$1,,,SUMPRODUCT(MAX(ROW(E$2:E4960)*(E4960=E$2:E4960)))))-COUNTBLANK(OFFSET(A$1,,,SUMPRODUCT(MAX(ROW(E$1:E4959)*(E2=E$1:E4959))))))</f>
        <v> </v>
      </c>
      <c r="K4960" s="26" t="str">
        <f>IF(OR(E4960="",E4960="!!!",F4960="NEW"),"",INDEX(J$1:J4959,SUMPRODUCT(MAX(ROW(E$1:E4959)*(E4960=E$1:E4959)))))</f>
        <v> </v>
      </c>
      <c r="L4960" s="27"/>
    </row>
    <row r="4961" spans="1:12">
      <c r="A4961" s="20" t="s">
        <v>1179</v>
      </c>
      <c r="E4961" s="22">
        <f>IF(D4961="?OLD","!!!","")</f>
        <v/>
      </c>
      <c r="F4961" s="23" t="str">
        <f>IF(OR(E4961="",E4961="!!!"),"",IF(NOT(ISNA(VLOOKUP(E4961,E$1:E4960,1,FALSE()))),"OLD",IF(AND(E4961&lt;&gt;"",E4961&lt;&gt;"!!!"),"NEW","")))</f>
        <v> </v>
      </c>
      <c r="G4961" s="24" t="str">
        <f>IF(OR(E4961="",E4961="!!!"),"",IF(OR(J4961=0,AND(J4961=1,K4961=1),AND(J4961=1,I4961="SBJ"),AND(J4961=1,I4961=0)),"?IN_FOCUS",IF(J4961&lt;=2,"?ACTIVATED",IF(J4961&lt;&gt;"","?FAMILIAR",IF(F4961="NEW",IF(ISNA(VLOOKUP(E4961,#REF!,1,FALSE())),"?TYPE_IDENTIFIABLE","?REFERENTIAL"),"_")))))</f>
        <v> </v>
      </c>
      <c r="H4961" s="25" t="str">
        <f>IF(J4961&lt;&gt;1,"",IF(I4961="SBJ","CB","?"))</f>
        <v> </v>
      </c>
      <c r="I4961" s="26" t="str">
        <f>IF(OR(E4961="",E4961="!!!",F4961="NEW"),"",INDEX(B4960:B$2,-1+SUMPRODUCT(MAX(ROW(E4960:E$2)*(E4961=E4960:E$2)))))</f>
        <v> </v>
      </c>
      <c r="J4961" s="26" t="str">
        <f>IF(OR(E4961="",E4961="!!!",F4961="NEW"),"",COUNTBLANK(OFFSET(A$1,,,SUMPRODUCT(MAX(ROW(E$2:E4961)*(E4961=E$2:E4961)))))-COUNTBLANK(OFFSET(A$1,,,SUMPRODUCT(MAX(ROW(E$1:E4960)*(E2=E$1:E4960))))))</f>
        <v> </v>
      </c>
      <c r="K4961" s="26" t="str">
        <f>IF(OR(E4961="",E4961="!!!",F4961="NEW"),"",INDEX(J$1:J4960,SUMPRODUCT(MAX(ROW(E$1:E4960)*(E4961=E$1:E4960)))))</f>
        <v> </v>
      </c>
      <c r="L4961" s="27"/>
    </row>
    <row r="4962" spans="1:12">
      <c r="A4962" s="20" t="s">
        <v>1689</v>
      </c>
      <c r="E4962" s="22">
        <f>IF(D4962="?OLD","!!!","")</f>
        <v/>
      </c>
      <c r="F4962" s="23" t="str">
        <f>IF(OR(E4962="",E4962="!!!"),"",IF(NOT(ISNA(VLOOKUP(E4962,E$1:E4961,1,FALSE()))),"OLD",IF(AND(E4962&lt;&gt;"",E4962&lt;&gt;"!!!"),"NEW","")))</f>
        <v> </v>
      </c>
      <c r="G4962" s="24" t="str">
        <f>IF(OR(E4962="",E4962="!!!"),"",IF(OR(J4962=0,AND(J4962=1,K4962=1),AND(J4962=1,I4962="SBJ"),AND(J4962=1,I4962=0)),"?IN_FOCUS",IF(J4962&lt;=2,"?ACTIVATED",IF(J4962&lt;&gt;"","?FAMILIAR",IF(F4962="NEW",IF(ISNA(VLOOKUP(E4962,#REF!,1,FALSE())),"?TYPE_IDENTIFIABLE","?REFERENTIAL"),"_")))))</f>
        <v> </v>
      </c>
      <c r="H4962" s="25" t="str">
        <f>IF(J4962&lt;&gt;1,"",IF(I4962="SBJ","CB","?"))</f>
        <v> </v>
      </c>
      <c r="I4962" s="26" t="str">
        <f>IF(OR(E4962="",E4962="!!!",F4962="NEW"),"",INDEX(B4961:B$2,-1+SUMPRODUCT(MAX(ROW(E4961:E$2)*(E4962=E4961:E$2)))))</f>
        <v> </v>
      </c>
      <c r="J4962" s="26" t="str">
        <f>IF(OR(E4962="",E4962="!!!",F4962="NEW"),"",COUNTBLANK(OFFSET(A$1,,,SUMPRODUCT(MAX(ROW(E$2:E4962)*(E4962=E$2:E4962)))))-COUNTBLANK(OFFSET(A$1,,,SUMPRODUCT(MAX(ROW(E$1:E4961)*(E2=E$1:E4961))))))</f>
        <v> </v>
      </c>
      <c r="K4962" s="26" t="str">
        <f>IF(OR(E4962="",E4962="!!!",F4962="NEW"),"",INDEX(J$1:J4961,SUMPRODUCT(MAX(ROW(E$1:E4961)*(E4962=E$1:E4961)))))</f>
        <v> </v>
      </c>
      <c r="L4962" s="27"/>
    </row>
    <row r="4963" spans="1:12">
      <c r="A4963" s="20" t="s">
        <v>1186</v>
      </c>
      <c r="E4963" s="22">
        <f>IF(D4963="?OLD","!!!","")</f>
        <v/>
      </c>
      <c r="F4963" s="23" t="str">
        <f>IF(OR(E4963="",E4963="!!!"),"",IF(NOT(ISNA(VLOOKUP(E4963,E$1:E4962,1,FALSE()))),"OLD",IF(AND(E4963&lt;&gt;"",E4963&lt;&gt;"!!!"),"NEW","")))</f>
        <v> </v>
      </c>
      <c r="G4963" s="24" t="str">
        <f>IF(OR(E4963="",E4963="!!!"),"",IF(OR(J4963=0,AND(J4963=1,K4963=1),AND(J4963=1,I4963="SBJ"),AND(J4963=1,I4963=0)),"?IN_FOCUS",IF(J4963&lt;=2,"?ACTIVATED",IF(J4963&lt;&gt;"","?FAMILIAR",IF(F4963="NEW",IF(ISNA(VLOOKUP(E4963,#REF!,1,FALSE())),"?TYPE_IDENTIFIABLE","?REFERENTIAL"),"_")))))</f>
        <v> </v>
      </c>
      <c r="H4963" s="25" t="str">
        <f>IF(J4963&lt;&gt;1,"",IF(I4963="SBJ","CB","?"))</f>
        <v> </v>
      </c>
      <c r="I4963" s="26" t="str">
        <f>IF(OR(E4963="",E4963="!!!",F4963="NEW"),"",INDEX(B4962:B$2,-1+SUMPRODUCT(MAX(ROW(E4962:E$2)*(E4963=E4962:E$2)))))</f>
        <v> </v>
      </c>
      <c r="J4963" s="26" t="str">
        <f>IF(OR(E4963="",E4963="!!!",F4963="NEW"),"",COUNTBLANK(OFFSET(A$1,,,SUMPRODUCT(MAX(ROW(E$2:E4963)*(E4963=E$2:E4963)))))-COUNTBLANK(OFFSET(A$1,,,SUMPRODUCT(MAX(ROW(E$1:E4962)*(E2=E$1:E4962))))))</f>
        <v> </v>
      </c>
      <c r="K4963" s="26" t="str">
        <f>IF(OR(E4963="",E4963="!!!",F4963="NEW"),"",INDEX(J$1:J4962,SUMPRODUCT(MAX(ROW(E$1:E4962)*(E4963=E$1:E4962)))))</f>
        <v> </v>
      </c>
      <c r="L4963" s="27"/>
    </row>
    <row r="4964" spans="1:12">
      <c r="A4964" s="20" t="s">
        <v>1042</v>
      </c>
      <c r="E4964" s="22">
        <f>IF(D4964="?OLD","!!!","")</f>
        <v/>
      </c>
      <c r="F4964" s="23" t="str">
        <f>IF(OR(E4964="",E4964="!!!"),"",IF(NOT(ISNA(VLOOKUP(E4964,E$1:E4963,1,FALSE()))),"OLD",IF(AND(E4964&lt;&gt;"",E4964&lt;&gt;"!!!"),"NEW","")))</f>
        <v> </v>
      </c>
      <c r="G4964" s="24" t="str">
        <f>IF(OR(E4964="",E4964="!!!"),"",IF(OR(J4964=0,AND(J4964=1,K4964=1),AND(J4964=1,I4964="SBJ"),AND(J4964=1,I4964=0)),"?IN_FOCUS",IF(J4964&lt;=2,"?ACTIVATED",IF(J4964&lt;&gt;"","?FAMILIAR",IF(F4964="NEW",IF(ISNA(VLOOKUP(E4964,#REF!,1,FALSE())),"?TYPE_IDENTIFIABLE","?REFERENTIAL"),"_")))))</f>
        <v> </v>
      </c>
      <c r="H4964" s="25" t="str">
        <f>IF(J4964&lt;&gt;1,"",IF(I4964="SBJ","CB","?"))</f>
        <v> </v>
      </c>
      <c r="I4964" s="26" t="str">
        <f>IF(OR(E4964="",E4964="!!!",F4964="NEW"),"",INDEX(B4963:B$2,-1+SUMPRODUCT(MAX(ROW(E4963:E$2)*(E4964=E4963:E$2)))))</f>
        <v> </v>
      </c>
      <c r="J4964" s="26" t="str">
        <f>IF(OR(E4964="",E4964="!!!",F4964="NEW"),"",COUNTBLANK(OFFSET(A$1,,,SUMPRODUCT(MAX(ROW(E$2:E4964)*(E4964=E$2:E4964)))))-COUNTBLANK(OFFSET(A$1,,,SUMPRODUCT(MAX(ROW(E$1:E4963)*(E2=E$1:E4963))))))</f>
        <v> </v>
      </c>
      <c r="K4964" s="26" t="str">
        <f>IF(OR(E4964="",E4964="!!!",F4964="NEW"),"",INDEX(J$1:J4963,SUMPRODUCT(MAX(ROW(E$1:E4963)*(E4964=E$1:E4963)))))</f>
        <v> </v>
      </c>
      <c r="L4964" s="27"/>
    </row>
    <row r="4965" spans="1:12">
      <c r="A4965" s="20" t="s">
        <v>2144</v>
      </c>
      <c r="B4965" s="21" t="s">
        <v>1016</v>
      </c>
      <c r="C4965" s="21" t="s">
        <v>1044</v>
      </c>
      <c r="D4965" s="21" t="s">
        <v>1011</v>
      </c>
      <c r="E4965" s="22">
        <f>IF(D4965="?OLD","!!!","")</f>
        <v/>
      </c>
      <c r="F4965" s="23" t="str">
        <f>IF(OR(E4965="",E4965="!!!"),"",IF(NOT(ISNA(VLOOKUP(E4965,E$1:E4964,1,FALSE()))),"OLD",IF(AND(E4965&lt;&gt;"",E4965&lt;&gt;"!!!"),"NEW","")))</f>
        <v> </v>
      </c>
      <c r="G4965" s="24" t="str">
        <f>IF(OR(E4965="",E4965="!!!"),"",IF(OR(J4965=0,AND(J4965=1,K4965=1),AND(J4965=1,I4965="SBJ"),AND(J4965=1,I4965=0)),"?IN_FOCUS",IF(J4965&lt;=2,"?ACTIVATED",IF(J4965&lt;&gt;"","?FAMILIAR",IF(F4965="NEW",IF(ISNA(VLOOKUP(E4965,#REF!,1,FALSE())),"?TYPE_IDENTIFIABLE","?REFERENTIAL"),"_")))))</f>
        <v> </v>
      </c>
      <c r="H4965" s="25" t="str">
        <f>IF(J4965&lt;&gt;1,"",IF(I4965="SBJ","CB","?"))</f>
        <v> </v>
      </c>
      <c r="I4965" s="26" t="str">
        <f>IF(OR(E4965="",E4965="!!!",F4965="NEW"),"",INDEX(B4964:B$2,-1+SUMPRODUCT(MAX(ROW(E4964:E$2)*(E4965=E4964:E$2)))))</f>
        <v> </v>
      </c>
      <c r="J4965" s="26" t="str">
        <f>IF(OR(E4965="",E4965="!!!",F4965="NEW"),"",COUNTBLANK(OFFSET(A$1,,,SUMPRODUCT(MAX(ROW(E$2:E4965)*(E4965=E$2:E4965)))))-COUNTBLANK(OFFSET(A$1,,,SUMPRODUCT(MAX(ROW(E$1:E4964)*(E2=E$1:E4964))))))</f>
        <v> </v>
      </c>
      <c r="K4965" s="26" t="str">
        <f>IF(OR(E4965="",E4965="!!!",F4965="NEW"),"",INDEX(J$1:J4964,SUMPRODUCT(MAX(ROW(E$1:E4964)*(E4965=E$1:E4964)))))</f>
        <v> </v>
      </c>
      <c r="L4965" s="27"/>
    </row>
    <row r="4966" spans="1:12">
      <c r="A4966" s="20" t="s">
        <v>1032</v>
      </c>
      <c r="E4966" s="22">
        <f>IF(D4966="?OLD","!!!","")</f>
        <v/>
      </c>
      <c r="F4966" s="23" t="str">
        <f>IF(OR(E4966="",E4966="!!!"),"",IF(NOT(ISNA(VLOOKUP(E4966,E$1:E4965,1,FALSE()))),"OLD",IF(AND(E4966&lt;&gt;"",E4966&lt;&gt;"!!!"),"NEW","")))</f>
        <v> </v>
      </c>
      <c r="G4966" s="24" t="str">
        <f>IF(OR(E4966="",E4966="!!!"),"",IF(OR(J4966=0,AND(J4966=1,K4966=1),AND(J4966=1,I4966="SBJ"),AND(J4966=1,I4966=0)),"?IN_FOCUS",IF(J4966&lt;=2,"?ACTIVATED",IF(J4966&lt;&gt;"","?FAMILIAR",IF(F4966="NEW",IF(ISNA(VLOOKUP(E4966,#REF!,1,FALSE())),"?TYPE_IDENTIFIABLE","?REFERENTIAL"),"_")))))</f>
        <v> </v>
      </c>
      <c r="H4966" s="25" t="str">
        <f>IF(J4966&lt;&gt;1,"",IF(I4966="SBJ","CB","?"))</f>
        <v> </v>
      </c>
      <c r="I4966" s="26" t="str">
        <f>IF(OR(E4966="",E4966="!!!",F4966="NEW"),"",INDEX(B4965:B$2,-1+SUMPRODUCT(MAX(ROW(E4965:E$2)*(E4966=E4965:E$2)))))</f>
        <v> </v>
      </c>
      <c r="J4966" s="26" t="str">
        <f>IF(OR(E4966="",E4966="!!!",F4966="NEW"),"",COUNTBLANK(OFFSET(A$1,,,SUMPRODUCT(MAX(ROW(E$2:E4966)*(E4966=E$2:E4966)))))-COUNTBLANK(OFFSET(A$1,,,SUMPRODUCT(MAX(ROW(E$1:E4965)*(E2=E$1:E4965))))))</f>
        <v> </v>
      </c>
      <c r="K4966" s="26" t="str">
        <f>IF(OR(E4966="",E4966="!!!",F4966="NEW"),"",INDEX(J$1:J4965,SUMPRODUCT(MAX(ROW(E$1:E4965)*(E4966=E$1:E4965)))))</f>
        <v> </v>
      </c>
      <c r="L4966" s="27"/>
    </row>
    <row r="4967" spans="1:12">
      <c r="A4967" s="20" t="s">
        <v>1790</v>
      </c>
      <c r="B4967" s="21" t="s">
        <v>1053</v>
      </c>
      <c r="E4967" s="22">
        <f>IF(D4967="?OLD","!!!","")</f>
        <v/>
      </c>
      <c r="F4967" s="23" t="str">
        <f>IF(OR(E4967="",E4967="!!!"),"",IF(NOT(ISNA(VLOOKUP(E4967,E$1:E4966,1,FALSE()))),"OLD",IF(AND(E4967&lt;&gt;"",E4967&lt;&gt;"!!!"),"NEW","")))</f>
        <v> </v>
      </c>
      <c r="G4967" s="24" t="str">
        <f>IF(OR(E4967="",E4967="!!!"),"",IF(OR(J4967=0,AND(J4967=1,K4967=1),AND(J4967=1,I4967="SBJ"),AND(J4967=1,I4967=0)),"?IN_FOCUS",IF(J4967&lt;=2,"?ACTIVATED",IF(J4967&lt;&gt;"","?FAMILIAR",IF(F4967="NEW",IF(ISNA(VLOOKUP(E4967,#REF!,1,FALSE())),"?TYPE_IDENTIFIABLE","?REFERENTIAL"),"_")))))</f>
        <v> </v>
      </c>
      <c r="H4967" s="25" t="str">
        <f>IF(J4967&lt;&gt;1,"",IF(I4967="SBJ","CB","?"))</f>
        <v> </v>
      </c>
      <c r="I4967" s="26" t="str">
        <f>IF(OR(E4967="",E4967="!!!",F4967="NEW"),"",INDEX(B4966:B$2,-1+SUMPRODUCT(MAX(ROW(E4966:E$2)*(E4967=E4966:E$2)))))</f>
        <v> </v>
      </c>
      <c r="J4967" s="26" t="str">
        <f>IF(OR(E4967="",E4967="!!!",F4967="NEW"),"",COUNTBLANK(OFFSET(A$1,,,SUMPRODUCT(MAX(ROW(E$2:E4967)*(E4967=E$2:E4967)))))-COUNTBLANK(OFFSET(A$1,,,SUMPRODUCT(MAX(ROW(E$1:E4966)*(E2=E$1:E4966))))))</f>
        <v> </v>
      </c>
      <c r="K4967" s="26" t="str">
        <f>IF(OR(E4967="",E4967="!!!",F4967="NEW"),"",INDEX(J$1:J4966,SUMPRODUCT(MAX(ROW(E$1:E4966)*(E4967=E$1:E4966)))))</f>
        <v> </v>
      </c>
      <c r="L4967" s="27"/>
    </row>
    <row r="4968" spans="1:12">
      <c r="A4968" s="20" t="s">
        <v>1067</v>
      </c>
      <c r="E4968" s="22">
        <f>IF(D4968="?OLD","!!!","")</f>
        <v/>
      </c>
      <c r="F4968" s="23" t="str">
        <f>IF(OR(E4968="",E4968="!!!"),"",IF(NOT(ISNA(VLOOKUP(E4968,E$1:E4967,1,FALSE()))),"OLD",IF(AND(E4968&lt;&gt;"",E4968&lt;&gt;"!!!"),"NEW","")))</f>
        <v> </v>
      </c>
      <c r="G4968" s="24" t="str">
        <f>IF(OR(E4968="",E4968="!!!"),"",IF(OR(J4968=0,AND(J4968=1,K4968=1),AND(J4968=1,I4968="SBJ"),AND(J4968=1,I4968=0)),"?IN_FOCUS",IF(J4968&lt;=2,"?ACTIVATED",IF(J4968&lt;&gt;"","?FAMILIAR",IF(F4968="NEW",IF(ISNA(VLOOKUP(E4968,#REF!,1,FALSE())),"?TYPE_IDENTIFIABLE","?REFERENTIAL"),"_")))))</f>
        <v> </v>
      </c>
      <c r="H4968" s="25" t="str">
        <f>IF(J4968&lt;&gt;1,"",IF(I4968="SBJ","CB","?"))</f>
        <v> </v>
      </c>
      <c r="I4968" s="26" t="str">
        <f>IF(OR(E4968="",E4968="!!!",F4968="NEW"),"",INDEX(B4967:B$2,-1+SUMPRODUCT(MAX(ROW(E4967:E$2)*(E4968=E4967:E$2)))))</f>
        <v> </v>
      </c>
      <c r="J4968" s="26" t="str">
        <f>IF(OR(E4968="",E4968="!!!",F4968="NEW"),"",COUNTBLANK(OFFSET(A$1,,,SUMPRODUCT(MAX(ROW(E$2:E4968)*(E4968=E$2:E4968)))))-COUNTBLANK(OFFSET(A$1,,,SUMPRODUCT(MAX(ROW(E$1:E4967)*(E2=E$1:E4967))))))</f>
        <v> </v>
      </c>
      <c r="K4968" s="26" t="str">
        <f>IF(OR(E4968="",E4968="!!!",F4968="NEW"),"",INDEX(J$1:J4967,SUMPRODUCT(MAX(ROW(E$1:E4967)*(E4968=E$1:E4967)))))</f>
        <v> </v>
      </c>
      <c r="L4968" s="27"/>
    </row>
    <row r="4969" spans="1:12">
      <c r="A4969" s="20" t="s">
        <v>2145</v>
      </c>
      <c r="E4969" s="22">
        <f>IF(D4969="?OLD","!!!","")</f>
        <v/>
      </c>
      <c r="F4969" s="23" t="str">
        <f>IF(OR(E4969="",E4969="!!!"),"",IF(NOT(ISNA(VLOOKUP(E4969,E$1:E4968,1,FALSE()))),"OLD",IF(AND(E4969&lt;&gt;"",E4969&lt;&gt;"!!!"),"NEW","")))</f>
        <v> </v>
      </c>
      <c r="G4969" s="24" t="str">
        <f>IF(OR(E4969="",E4969="!!!"),"",IF(OR(J4969=0,AND(J4969=1,K4969=1),AND(J4969=1,I4969="SBJ"),AND(J4969=1,I4969=0)),"?IN_FOCUS",IF(J4969&lt;=2,"?ACTIVATED",IF(J4969&lt;&gt;"","?FAMILIAR",IF(F4969="NEW",IF(ISNA(VLOOKUP(E4969,#REF!,1,FALSE())),"?TYPE_IDENTIFIABLE","?REFERENTIAL"),"_")))))</f>
        <v> </v>
      </c>
      <c r="H4969" s="25" t="str">
        <f>IF(J4969&lt;&gt;1,"",IF(I4969="SBJ","CB","?"))</f>
        <v> </v>
      </c>
      <c r="I4969" s="26" t="str">
        <f>IF(OR(E4969="",E4969="!!!",F4969="NEW"),"",INDEX(B4968:B$2,-1+SUMPRODUCT(MAX(ROW(E4968:E$2)*(E4969=E4968:E$2)))))</f>
        <v> </v>
      </c>
      <c r="J4969" s="26" t="str">
        <f>IF(OR(E4969="",E4969="!!!",F4969="NEW"),"",COUNTBLANK(OFFSET(A$1,,,SUMPRODUCT(MAX(ROW(E$2:E4969)*(E4969=E$2:E4969)))))-COUNTBLANK(OFFSET(A$1,,,SUMPRODUCT(MAX(ROW(E$1:E4968)*(E2=E$1:E4968))))))</f>
        <v> </v>
      </c>
      <c r="K4969" s="26" t="str">
        <f>IF(OR(E4969="",E4969="!!!",F4969="NEW"),"",INDEX(J$1:J4968,SUMPRODUCT(MAX(ROW(E$1:E4968)*(E4969=E$1:E4968)))))</f>
        <v> </v>
      </c>
      <c r="L4969" s="27"/>
    </row>
    <row r="4970" spans="1:12">
      <c r="A4970" s="20" t="s">
        <v>1042</v>
      </c>
      <c r="E4970" s="22">
        <f>IF(D4970="?OLD","!!!","")</f>
        <v/>
      </c>
      <c r="F4970" s="23" t="str">
        <f>IF(OR(E4970="",E4970="!!!"),"",IF(NOT(ISNA(VLOOKUP(E4970,E$1:E4969,1,FALSE()))),"OLD",IF(AND(E4970&lt;&gt;"",E4970&lt;&gt;"!!!"),"NEW","")))</f>
        <v> </v>
      </c>
      <c r="G4970" s="24" t="str">
        <f>IF(OR(E4970="",E4970="!!!"),"",IF(OR(J4970=0,AND(J4970=1,K4970=1),AND(J4970=1,I4970="SBJ"),AND(J4970=1,I4970=0)),"?IN_FOCUS",IF(J4970&lt;=2,"?ACTIVATED",IF(J4970&lt;&gt;"","?FAMILIAR",IF(F4970="NEW",IF(ISNA(VLOOKUP(E4970,#REF!,1,FALSE())),"?TYPE_IDENTIFIABLE","?REFERENTIAL"),"_")))))</f>
        <v> </v>
      </c>
      <c r="H4970" s="25" t="str">
        <f>IF(J4970&lt;&gt;1,"",IF(I4970="SBJ","CB","?"))</f>
        <v> </v>
      </c>
      <c r="I4970" s="26" t="str">
        <f>IF(OR(E4970="",E4970="!!!",F4970="NEW"),"",INDEX(B4969:B$2,-1+SUMPRODUCT(MAX(ROW(E4969:E$2)*(E4970=E4969:E$2)))))</f>
        <v> </v>
      </c>
      <c r="J4970" s="26" t="str">
        <f>IF(OR(E4970="",E4970="!!!",F4970="NEW"),"",COUNTBLANK(OFFSET(A$1,,,SUMPRODUCT(MAX(ROW(E$2:E4970)*(E4970=E$2:E4970)))))-COUNTBLANK(OFFSET(A$1,,,SUMPRODUCT(MAX(ROW(E$1:E4969)*(E2=E$1:E4969))))))</f>
        <v> </v>
      </c>
      <c r="K4970" s="26" t="str">
        <f>IF(OR(E4970="",E4970="!!!",F4970="NEW"),"",INDEX(J$1:J4969,SUMPRODUCT(MAX(ROW(E$1:E4969)*(E4970=E$1:E4969)))))</f>
        <v> </v>
      </c>
      <c r="L4970" s="27"/>
    </row>
    <row r="4971" spans="1:12">
      <c r="A4971" s="20" t="s">
        <v>2146</v>
      </c>
      <c r="B4971" s="21" t="s">
        <v>1021</v>
      </c>
      <c r="C4971" s="21" t="s">
        <v>1044</v>
      </c>
      <c r="D4971" s="21" t="s">
        <v>1011</v>
      </c>
      <c r="E4971" s="22">
        <f>IF(D4971="?OLD","!!!","")</f>
        <v/>
      </c>
      <c r="F4971" s="23" t="str">
        <f>IF(OR(E4971="",E4971="!!!"),"",IF(NOT(ISNA(VLOOKUP(E4971,E$1:E4970,1,FALSE()))),"OLD",IF(AND(E4971&lt;&gt;"",E4971&lt;&gt;"!!!"),"NEW","")))</f>
        <v> </v>
      </c>
      <c r="G4971" s="24" t="str">
        <f>IF(OR(E4971="",E4971="!!!"),"",IF(OR(J4971=0,AND(J4971=1,K4971=1),AND(J4971=1,I4971="SBJ"),AND(J4971=1,I4971=0)),"?IN_FOCUS",IF(J4971&lt;=2,"?ACTIVATED",IF(J4971&lt;&gt;"","?FAMILIAR",IF(F4971="NEW",IF(ISNA(VLOOKUP(E4971,#REF!,1,FALSE())),"?TYPE_IDENTIFIABLE","?REFERENTIAL"),"_")))))</f>
        <v> </v>
      </c>
      <c r="H4971" s="25" t="str">
        <f>IF(J4971&lt;&gt;1,"",IF(I4971="SBJ","CB","?"))</f>
        <v> </v>
      </c>
      <c r="I4971" s="26" t="str">
        <f>IF(OR(E4971="",E4971="!!!",F4971="NEW"),"",INDEX(B4970:B$2,-1+SUMPRODUCT(MAX(ROW(E4970:E$2)*(E4971=E4970:E$2)))))</f>
        <v> </v>
      </c>
      <c r="J4971" s="26" t="str">
        <f>IF(OR(E4971="",E4971="!!!",F4971="NEW"),"",COUNTBLANK(OFFSET(A$1,,,SUMPRODUCT(MAX(ROW(E$2:E4971)*(E4971=E$2:E4971)))))-COUNTBLANK(OFFSET(A$1,,,SUMPRODUCT(MAX(ROW(E$1:E4970)*(E2=E$1:E4970))))))</f>
        <v> </v>
      </c>
      <c r="K4971" s="26" t="str">
        <f>IF(OR(E4971="",E4971="!!!",F4971="NEW"),"",INDEX(J$1:J4970,SUMPRODUCT(MAX(ROW(E$1:E4970)*(E4971=E$1:E4970)))))</f>
        <v> </v>
      </c>
      <c r="L4971" s="27"/>
    </row>
    <row r="4972" spans="1:12">
      <c r="A4972" s="20" t="s">
        <v>1032</v>
      </c>
      <c r="E4972" s="22">
        <f>IF(D4972="?OLD","!!!","")</f>
        <v/>
      </c>
      <c r="F4972" s="23" t="str">
        <f>IF(OR(E4972="",E4972="!!!"),"",IF(NOT(ISNA(VLOOKUP(E4972,E$1:E4971,1,FALSE()))),"OLD",IF(AND(E4972&lt;&gt;"",E4972&lt;&gt;"!!!"),"NEW","")))</f>
        <v> </v>
      </c>
      <c r="G4972" s="24" t="str">
        <f>IF(OR(E4972="",E4972="!!!"),"",IF(OR(J4972=0,AND(J4972=1,K4972=1),AND(J4972=1,I4972="SBJ"),AND(J4972=1,I4972=0)),"?IN_FOCUS",IF(J4972&lt;=2,"?ACTIVATED",IF(J4972&lt;&gt;"","?FAMILIAR",IF(F4972="NEW",IF(ISNA(VLOOKUP(E4972,#REF!,1,FALSE())),"?TYPE_IDENTIFIABLE","?REFERENTIAL"),"_")))))</f>
        <v> </v>
      </c>
      <c r="H4972" s="25" t="str">
        <f>IF(J4972&lt;&gt;1,"",IF(I4972="SBJ","CB","?"))</f>
        <v> </v>
      </c>
      <c r="I4972" s="26" t="str">
        <f>IF(OR(E4972="",E4972="!!!",F4972="NEW"),"",INDEX(B4971:B$2,-1+SUMPRODUCT(MAX(ROW(E4971:E$2)*(E4972=E4971:E$2)))))</f>
        <v> </v>
      </c>
      <c r="J4972" s="26" t="str">
        <f>IF(OR(E4972="",E4972="!!!",F4972="NEW"),"",COUNTBLANK(OFFSET(A$1,,,SUMPRODUCT(MAX(ROW(E$2:E4972)*(E4972=E$2:E4972)))))-COUNTBLANK(OFFSET(A$1,,,SUMPRODUCT(MAX(ROW(E$1:E4971)*(E2=E$1:E4971))))))</f>
        <v> </v>
      </c>
      <c r="K4972" s="26" t="str">
        <f>IF(OR(E4972="",E4972="!!!",F4972="NEW"),"",INDEX(J$1:J4971,SUMPRODUCT(MAX(ROW(E$1:E4971)*(E4972=E$1:E4971)))))</f>
        <v> </v>
      </c>
      <c r="L4972" s="27"/>
    </row>
    <row r="4973" spans="1:12">
      <c r="A4973" s="20" t="s">
        <v>1042</v>
      </c>
      <c r="E4973" s="22">
        <f>IF(D4973="?OLD","!!!","")</f>
        <v/>
      </c>
      <c r="F4973" s="23" t="str">
        <f>IF(OR(E4973="",E4973="!!!"),"",IF(NOT(ISNA(VLOOKUP(E4973,E$1:E4972,1,FALSE()))),"OLD",IF(AND(E4973&lt;&gt;"",E4973&lt;&gt;"!!!"),"NEW","")))</f>
        <v> </v>
      </c>
      <c r="G4973" s="24" t="str">
        <f>IF(OR(E4973="",E4973="!!!"),"",IF(OR(J4973=0,AND(J4973=1,K4973=1),AND(J4973=1,I4973="SBJ"),AND(J4973=1,I4973=0)),"?IN_FOCUS",IF(J4973&lt;=2,"?ACTIVATED",IF(J4973&lt;&gt;"","?FAMILIAR",IF(F4973="NEW",IF(ISNA(VLOOKUP(E4973,#REF!,1,FALSE())),"?TYPE_IDENTIFIABLE","?REFERENTIAL"),"_")))))</f>
        <v> </v>
      </c>
      <c r="H4973" s="25" t="str">
        <f>IF(J4973&lt;&gt;1,"",IF(I4973="SBJ","CB","?"))</f>
        <v> </v>
      </c>
      <c r="I4973" s="26" t="str">
        <f>IF(OR(E4973="",E4973="!!!",F4973="NEW"),"",INDEX(B4972:B$2,-1+SUMPRODUCT(MAX(ROW(E4972:E$2)*(E4973=E4972:E$2)))))</f>
        <v> </v>
      </c>
      <c r="J4973" s="26" t="str">
        <f>IF(OR(E4973="",E4973="!!!",F4973="NEW"),"",COUNTBLANK(OFFSET(A$1,,,SUMPRODUCT(MAX(ROW(E$2:E4973)*(E4973=E$2:E4973)))))-COUNTBLANK(OFFSET(A$1,,,SUMPRODUCT(MAX(ROW(E$1:E4972)*(E2=E$1:E4972))))))</f>
        <v> </v>
      </c>
      <c r="K4973" s="26" t="str">
        <f>IF(OR(E4973="",E4973="!!!",F4973="NEW"),"",INDEX(J$1:J4972,SUMPRODUCT(MAX(ROW(E$1:E4972)*(E4973=E$1:E4972)))))</f>
        <v> </v>
      </c>
      <c r="L4973" s="27"/>
    </row>
    <row r="4974" spans="1:12">
      <c r="A4974" s="20" t="s">
        <v>2147</v>
      </c>
      <c r="B4974" s="21" t="s">
        <v>1016</v>
      </c>
      <c r="C4974" s="21" t="s">
        <v>1044</v>
      </c>
      <c r="D4974" s="21" t="s">
        <v>1011</v>
      </c>
      <c r="E4974" s="22">
        <f>IF(D4974="?OLD","!!!","")</f>
        <v/>
      </c>
      <c r="F4974" s="23" t="str">
        <f>IF(OR(E4974="",E4974="!!!"),"",IF(NOT(ISNA(VLOOKUP(E4974,E$1:E4973,1,FALSE()))),"OLD",IF(AND(E4974&lt;&gt;"",E4974&lt;&gt;"!!!"),"NEW","")))</f>
        <v> </v>
      </c>
      <c r="G4974" s="24" t="str">
        <f>IF(OR(E4974="",E4974="!!!"),"",IF(OR(J4974=0,AND(J4974=1,K4974=1),AND(J4974=1,I4974="SBJ"),AND(J4974=1,I4974=0)),"?IN_FOCUS",IF(J4974&lt;=2,"?ACTIVATED",IF(J4974&lt;&gt;"","?FAMILIAR",IF(F4974="NEW",IF(ISNA(VLOOKUP(E4974,#REF!,1,FALSE())),"?TYPE_IDENTIFIABLE","?REFERENTIAL"),"_")))))</f>
        <v> </v>
      </c>
      <c r="H4974" s="25" t="str">
        <f>IF(J4974&lt;&gt;1,"",IF(I4974="SBJ","CB","?"))</f>
        <v> </v>
      </c>
      <c r="I4974" s="26" t="str">
        <f>IF(OR(E4974="",E4974="!!!",F4974="NEW"),"",INDEX(B4973:B$2,-1+SUMPRODUCT(MAX(ROW(E4973:E$2)*(E4974=E4973:E$2)))))</f>
        <v> </v>
      </c>
      <c r="J4974" s="26" t="str">
        <f>IF(OR(E4974="",E4974="!!!",F4974="NEW"),"",COUNTBLANK(OFFSET(A$1,,,SUMPRODUCT(MAX(ROW(E$2:E4974)*(E4974=E$2:E4974)))))-COUNTBLANK(OFFSET(A$1,,,SUMPRODUCT(MAX(ROW(E$1:E4973)*(E2=E$1:E4973))))))</f>
        <v> </v>
      </c>
      <c r="K4974" s="26" t="str">
        <f>IF(OR(E4974="",E4974="!!!",F4974="NEW"),"",INDEX(J$1:J4973,SUMPRODUCT(MAX(ROW(E$1:E4973)*(E4974=E$1:E4973)))))</f>
        <v> </v>
      </c>
      <c r="L4974" s="27"/>
    </row>
    <row r="4975" spans="1:12">
      <c r="A4975" s="20" t="s">
        <v>1020</v>
      </c>
      <c r="E4975" s="22">
        <f>IF(D4975="?OLD","!!!","")</f>
        <v/>
      </c>
      <c r="F4975" s="23" t="str">
        <f>IF(OR(E4975="",E4975="!!!"),"",IF(NOT(ISNA(VLOOKUP(E4975,E$1:E4974,1,FALSE()))),"OLD",IF(AND(E4975&lt;&gt;"",E4975&lt;&gt;"!!!"),"NEW","")))</f>
        <v> </v>
      </c>
      <c r="G4975" s="24" t="str">
        <f>IF(OR(E4975="",E4975="!!!"),"",IF(OR(J4975=0,AND(J4975=1,K4975=1),AND(J4975=1,I4975="SBJ"),AND(J4975=1,I4975=0)),"?IN_FOCUS",IF(J4975&lt;=2,"?ACTIVATED",IF(J4975&lt;&gt;"","?FAMILIAR",IF(F4975="NEW",IF(ISNA(VLOOKUP(E4975,#REF!,1,FALSE())),"?TYPE_IDENTIFIABLE","?REFERENTIAL"),"_")))))</f>
        <v> </v>
      </c>
      <c r="H4975" s="25" t="str">
        <f>IF(J4975&lt;&gt;1,"",IF(I4975="SBJ","CB","?"))</f>
        <v> </v>
      </c>
      <c r="I4975" s="26" t="str">
        <f>IF(OR(E4975="",E4975="!!!",F4975="NEW"),"",INDEX(B4974:B$2,-1+SUMPRODUCT(MAX(ROW(E4974:E$2)*(E4975=E4974:E$2)))))</f>
        <v> </v>
      </c>
      <c r="J4975" s="26" t="str">
        <f>IF(OR(E4975="",E4975="!!!",F4975="NEW"),"",COUNTBLANK(OFFSET(A$1,,,SUMPRODUCT(MAX(ROW(E$2:E4975)*(E4975=E$2:E4975)))))-COUNTBLANK(OFFSET(A$1,,,SUMPRODUCT(MAX(ROW(E$1:E4974)*(E2=E$1:E4974))))))</f>
        <v> </v>
      </c>
      <c r="K4975" s="26" t="str">
        <f>IF(OR(E4975="",E4975="!!!",F4975="NEW"),"",INDEX(J$1:J4974,SUMPRODUCT(MAX(ROW(E$1:E4974)*(E4975=E$1:E4974)))))</f>
        <v> </v>
      </c>
      <c r="L4975" s="27"/>
    </row>
    <row r="4976" spans="1:12">
      <c r="A4976" s="20" t="s">
        <v>1616</v>
      </c>
      <c r="B4976" s="21" t="s">
        <v>1021</v>
      </c>
      <c r="C4976" s="21" t="s">
        <v>1017</v>
      </c>
      <c r="E4976" s="22">
        <f>IF(D4976="?OLD","!!!","")</f>
        <v/>
      </c>
      <c r="F4976" s="23" t="str">
        <f>IF(OR(E4976="",E4976="!!!"),"",IF(NOT(ISNA(VLOOKUP(E4976,E$1:E4975,1,FALSE()))),"OLD",IF(AND(E4976&lt;&gt;"",E4976&lt;&gt;"!!!"),"NEW","")))</f>
        <v> </v>
      </c>
      <c r="G4976" s="24" t="str">
        <f>IF(OR(E4976="",E4976="!!!"),"",IF(OR(J4976=0,AND(J4976=1,K4976=1),AND(J4976=1,I4976="SBJ"),AND(J4976=1,I4976=0)),"?IN_FOCUS",IF(J4976&lt;=2,"?ACTIVATED",IF(J4976&lt;&gt;"","?FAMILIAR",IF(F4976="NEW",IF(ISNA(VLOOKUP(E4976,#REF!,1,FALSE())),"?TYPE_IDENTIFIABLE","?REFERENTIAL"),"_")))))</f>
        <v> </v>
      </c>
      <c r="H4976" s="25" t="str">
        <f>IF(J4976&lt;&gt;1,"",IF(I4976="SBJ","CB","?"))</f>
        <v> </v>
      </c>
      <c r="I4976" s="26" t="str">
        <f>IF(OR(E4976="",E4976="!!!",F4976="NEW"),"",INDEX(B4975:B$2,-1+SUMPRODUCT(MAX(ROW(E4975:E$2)*(E4976=E4975:E$2)))))</f>
        <v> </v>
      </c>
      <c r="J4976" s="26" t="str">
        <f>IF(OR(E4976="",E4976="!!!",F4976="NEW"),"",COUNTBLANK(OFFSET(A$1,,,SUMPRODUCT(MAX(ROW(E$2:E4976)*(E4976=E$2:E4976)))))-COUNTBLANK(OFFSET(A$1,,,SUMPRODUCT(MAX(ROW(E$1:E4975)*(E2=E$1:E4975))))))</f>
        <v> </v>
      </c>
      <c r="K4976" s="26" t="str">
        <f>IF(OR(E4976="",E4976="!!!",F4976="NEW"),"",INDEX(J$1:J4975,SUMPRODUCT(MAX(ROW(E$1:E4975)*(E4976=E$1:E4975)))))</f>
        <v> </v>
      </c>
      <c r="L4976" s="27"/>
    </row>
    <row r="4977" spans="1:12">
      <c r="A4977" s="20" t="s">
        <v>1032</v>
      </c>
      <c r="E4977" s="22">
        <f>IF(D4977="?OLD","!!!","")</f>
        <v/>
      </c>
      <c r="F4977" s="23" t="str">
        <f>IF(OR(E4977="",E4977="!!!"),"",IF(NOT(ISNA(VLOOKUP(E4977,E$1:E4976,1,FALSE()))),"OLD",IF(AND(E4977&lt;&gt;"",E4977&lt;&gt;"!!!"),"NEW","")))</f>
        <v> </v>
      </c>
      <c r="G4977" s="24" t="str">
        <f>IF(OR(E4977="",E4977="!!!"),"",IF(OR(J4977=0,AND(J4977=1,K4977=1),AND(J4977=1,I4977="SBJ"),AND(J4977=1,I4977=0)),"?IN_FOCUS",IF(J4977&lt;=2,"?ACTIVATED",IF(J4977&lt;&gt;"","?FAMILIAR",IF(F4977="NEW",IF(ISNA(VLOOKUP(E4977,#REF!,1,FALSE())),"?TYPE_IDENTIFIABLE","?REFERENTIAL"),"_")))))</f>
        <v> </v>
      </c>
      <c r="H4977" s="25" t="str">
        <f>IF(J4977&lt;&gt;1,"",IF(I4977="SBJ","CB","?"))</f>
        <v> </v>
      </c>
      <c r="I4977" s="26" t="str">
        <f>IF(OR(E4977="",E4977="!!!",F4977="NEW"),"",INDEX(B4976:B$2,-1+SUMPRODUCT(MAX(ROW(E4976:E$2)*(E4977=E4976:E$2)))))</f>
        <v> </v>
      </c>
      <c r="J4977" s="26" t="str">
        <f>IF(OR(E4977="",E4977="!!!",F4977="NEW"),"",COUNTBLANK(OFFSET(A$1,,,SUMPRODUCT(MAX(ROW(E$2:E4977)*(E4977=E$2:E4977)))))-COUNTBLANK(OFFSET(A$1,,,SUMPRODUCT(MAX(ROW(E$1:E4976)*(E2=E$1:E4976))))))</f>
        <v> </v>
      </c>
      <c r="K4977" s="26" t="str">
        <f>IF(OR(E4977="",E4977="!!!",F4977="NEW"),"",INDEX(J$1:J4976,SUMPRODUCT(MAX(ROW(E$1:E4976)*(E4977=E$1:E4976)))))</f>
        <v> </v>
      </c>
      <c r="L4977" s="27"/>
    </row>
    <row r="4978" spans="1:12">
      <c r="A4978" s="20" t="s">
        <v>1042</v>
      </c>
      <c r="E4978" s="22">
        <f>IF(D4978="?OLD","!!!","")</f>
        <v/>
      </c>
      <c r="F4978" s="23" t="str">
        <f>IF(OR(E4978="",E4978="!!!"),"",IF(NOT(ISNA(VLOOKUP(E4978,E$1:E4977,1,FALSE()))),"OLD",IF(AND(E4978&lt;&gt;"",E4978&lt;&gt;"!!!"),"NEW","")))</f>
        <v> </v>
      </c>
      <c r="G4978" s="24" t="str">
        <f>IF(OR(E4978="",E4978="!!!"),"",IF(OR(J4978=0,AND(J4978=1,K4978=1),AND(J4978=1,I4978="SBJ"),AND(J4978=1,I4978=0)),"?IN_FOCUS",IF(J4978&lt;=2,"?ACTIVATED",IF(J4978&lt;&gt;"","?FAMILIAR",IF(F4978="NEW",IF(ISNA(VLOOKUP(E4978,#REF!,1,FALSE())),"?TYPE_IDENTIFIABLE","?REFERENTIAL"),"_")))))</f>
        <v> </v>
      </c>
      <c r="H4978" s="25" t="str">
        <f>IF(J4978&lt;&gt;1,"",IF(I4978="SBJ","CB","?"))</f>
        <v> </v>
      </c>
      <c r="I4978" s="26" t="str">
        <f>IF(OR(E4978="",E4978="!!!",F4978="NEW"),"",INDEX(B4977:B$2,-1+SUMPRODUCT(MAX(ROW(E4977:E$2)*(E4978=E4977:E$2)))))</f>
        <v> </v>
      </c>
      <c r="J4978" s="26" t="str">
        <f>IF(OR(E4978="",E4978="!!!",F4978="NEW"),"",COUNTBLANK(OFFSET(A$1,,,SUMPRODUCT(MAX(ROW(E$2:E4978)*(E4978=E$2:E4978)))))-COUNTBLANK(OFFSET(A$1,,,SUMPRODUCT(MAX(ROW(E$1:E4977)*(E2=E$1:E4977))))))</f>
        <v> </v>
      </c>
      <c r="K4978" s="26" t="str">
        <f>IF(OR(E4978="",E4978="!!!",F4978="NEW"),"",INDEX(J$1:J4977,SUMPRODUCT(MAX(ROW(E$1:E4977)*(E4978=E$1:E4977)))))</f>
        <v> </v>
      </c>
      <c r="L4978" s="27"/>
    </row>
    <row r="4979" spans="1:12">
      <c r="A4979" s="20" t="s">
        <v>2148</v>
      </c>
      <c r="E4979" s="22">
        <f>IF(D4979="?OLD","!!!","")</f>
        <v/>
      </c>
      <c r="F4979" s="23" t="str">
        <f>IF(OR(E4979="",E4979="!!!"),"",IF(NOT(ISNA(VLOOKUP(E4979,E$1:E4978,1,FALSE()))),"OLD",IF(AND(E4979&lt;&gt;"",E4979&lt;&gt;"!!!"),"NEW","")))</f>
        <v> </v>
      </c>
      <c r="G4979" s="24" t="str">
        <f>IF(OR(E4979="",E4979="!!!"),"",IF(OR(J4979=0,AND(J4979=1,K4979=1),AND(J4979=1,I4979="SBJ"),AND(J4979=1,I4979=0)),"?IN_FOCUS",IF(J4979&lt;=2,"?ACTIVATED",IF(J4979&lt;&gt;"","?FAMILIAR",IF(F4979="NEW",IF(ISNA(VLOOKUP(E4979,#REF!,1,FALSE())),"?TYPE_IDENTIFIABLE","?REFERENTIAL"),"_")))))</f>
        <v> </v>
      </c>
      <c r="H4979" s="25" t="str">
        <f>IF(J4979&lt;&gt;1,"",IF(I4979="SBJ","CB","?"))</f>
        <v> </v>
      </c>
      <c r="I4979" s="26" t="str">
        <f>IF(OR(E4979="",E4979="!!!",F4979="NEW"),"",INDEX(B4978:B$2,-1+SUMPRODUCT(MAX(ROW(E4978:E$2)*(E4979=E4978:E$2)))))</f>
        <v> </v>
      </c>
      <c r="J4979" s="26" t="str">
        <f>IF(OR(E4979="",E4979="!!!",F4979="NEW"),"",COUNTBLANK(OFFSET(A$1,,,SUMPRODUCT(MAX(ROW(E$2:E4979)*(E4979=E$2:E4979)))))-COUNTBLANK(OFFSET(A$1,,,SUMPRODUCT(MAX(ROW(E$1:E4978)*(E2=E$1:E4978))))))</f>
        <v> </v>
      </c>
      <c r="K4979" s="26" t="str">
        <f>IF(OR(E4979="",E4979="!!!",F4979="NEW"),"",INDEX(J$1:J4978,SUMPRODUCT(MAX(ROW(E$1:E4978)*(E4979=E$1:E4978)))))</f>
        <v> </v>
      </c>
      <c r="L4979" s="27"/>
    </row>
    <row r="4980" spans="1:12">
      <c r="A4980" s="20" t="s">
        <v>1032</v>
      </c>
      <c r="E4980" s="22">
        <f>IF(D4980="?OLD","!!!","")</f>
        <v/>
      </c>
      <c r="F4980" s="23" t="str">
        <f>IF(OR(E4980="",E4980="!!!"),"",IF(NOT(ISNA(VLOOKUP(E4980,E$1:E4979,1,FALSE()))),"OLD",IF(AND(E4980&lt;&gt;"",E4980&lt;&gt;"!!!"),"NEW","")))</f>
        <v> </v>
      </c>
      <c r="G4980" s="24" t="str">
        <f>IF(OR(E4980="",E4980="!!!"),"",IF(OR(J4980=0,AND(J4980=1,K4980=1),AND(J4980=1,I4980="SBJ"),AND(J4980=1,I4980=0)),"?IN_FOCUS",IF(J4980&lt;=2,"?ACTIVATED",IF(J4980&lt;&gt;"","?FAMILIAR",IF(F4980="NEW",IF(ISNA(VLOOKUP(E4980,#REF!,1,FALSE())),"?TYPE_IDENTIFIABLE","?REFERENTIAL"),"_")))))</f>
        <v> </v>
      </c>
      <c r="H4980" s="25" t="str">
        <f>IF(J4980&lt;&gt;1,"",IF(I4980="SBJ","CB","?"))</f>
        <v> </v>
      </c>
      <c r="I4980" s="26" t="str">
        <f>IF(OR(E4980="",E4980="!!!",F4980="NEW"),"",INDEX(B4979:B$2,-1+SUMPRODUCT(MAX(ROW(E4979:E$2)*(E4980=E4979:E$2)))))</f>
        <v> </v>
      </c>
      <c r="J4980" s="26" t="str">
        <f>IF(OR(E4980="",E4980="!!!",F4980="NEW"),"",COUNTBLANK(OFFSET(A$1,,,SUMPRODUCT(MAX(ROW(E$2:E4980)*(E4980=E$2:E4980)))))-COUNTBLANK(OFFSET(A$1,,,SUMPRODUCT(MAX(ROW(E$1:E4979)*(E2=E$1:E4979))))))</f>
        <v> </v>
      </c>
      <c r="K4980" s="26" t="str">
        <f>IF(OR(E4980="",E4980="!!!",F4980="NEW"),"",INDEX(J$1:J4979,SUMPRODUCT(MAX(ROW(E$1:E4979)*(E4980=E$1:E4979)))))</f>
        <v> </v>
      </c>
      <c r="L4980" s="27"/>
    </row>
    <row r="4981" spans="1:12">
      <c r="A4981" s="20" t="s">
        <v>1074</v>
      </c>
      <c r="E4981" s="22">
        <f>IF(D4981="?OLD","!!!","")</f>
        <v/>
      </c>
      <c r="F4981" s="23" t="str">
        <f>IF(OR(E4981="",E4981="!!!"),"",IF(NOT(ISNA(VLOOKUP(E4981,E$1:E4980,1,FALSE()))),"OLD",IF(AND(E4981&lt;&gt;"",E4981&lt;&gt;"!!!"),"NEW","")))</f>
        <v> </v>
      </c>
      <c r="G4981" s="24" t="str">
        <f>IF(OR(E4981="",E4981="!!!"),"",IF(OR(J4981=0,AND(J4981=1,K4981=1),AND(J4981=1,I4981="SBJ"),AND(J4981=1,I4981=0)),"?IN_FOCUS",IF(J4981&lt;=2,"?ACTIVATED",IF(J4981&lt;&gt;"","?FAMILIAR",IF(F4981="NEW",IF(ISNA(VLOOKUP(E4981,#REF!,1,FALSE())),"?TYPE_IDENTIFIABLE","?REFERENTIAL"),"_")))))</f>
        <v> </v>
      </c>
      <c r="H4981" s="25" t="str">
        <f>IF(J4981&lt;&gt;1,"",IF(I4981="SBJ","CB","?"))</f>
        <v> </v>
      </c>
      <c r="I4981" s="26" t="str">
        <f>IF(OR(E4981="",E4981="!!!",F4981="NEW"),"",INDEX(B4980:B$2,-1+SUMPRODUCT(MAX(ROW(E4980:E$2)*(E4981=E4980:E$2)))))</f>
        <v> </v>
      </c>
      <c r="J4981" s="26" t="str">
        <f>IF(OR(E4981="",E4981="!!!",F4981="NEW"),"",COUNTBLANK(OFFSET(A$1,,,SUMPRODUCT(MAX(ROW(E$2:E4981)*(E4981=E$2:E4981)))))-COUNTBLANK(OFFSET(A$1,,,SUMPRODUCT(MAX(ROW(E$1:E4980)*(E2=E$1:E4980))))))</f>
        <v> </v>
      </c>
      <c r="K4981" s="26" t="str">
        <f>IF(OR(E4981="",E4981="!!!",F4981="NEW"),"",INDEX(J$1:J4980,SUMPRODUCT(MAX(ROW(E$1:E4980)*(E4981=E$1:E4980)))))</f>
        <v> </v>
      </c>
      <c r="L4981" s="27"/>
    </row>
    <row r="4982" spans="1:12">
      <c r="A4982" s="20" t="s">
        <v>1606</v>
      </c>
      <c r="B4982" s="21" t="s">
        <v>1071</v>
      </c>
      <c r="C4982" s="21" t="s">
        <v>1017</v>
      </c>
      <c r="E4982" s="22">
        <f>IF(D4982="?OLD","!!!","")</f>
        <v/>
      </c>
      <c r="F4982" s="23" t="str">
        <f>IF(OR(E4982="",E4982="!!!"),"",IF(NOT(ISNA(VLOOKUP(E4982,E$1:E4981,1,FALSE()))),"OLD",IF(AND(E4982&lt;&gt;"",E4982&lt;&gt;"!!!"),"NEW","")))</f>
        <v> </v>
      </c>
      <c r="G4982" s="24" t="str">
        <f>IF(OR(E4982="",E4982="!!!"),"",IF(OR(J4982=0,AND(J4982=1,K4982=1),AND(J4982=1,I4982="SBJ"),AND(J4982=1,I4982=0)),"?IN_FOCUS",IF(J4982&lt;=2,"?ACTIVATED",IF(J4982&lt;&gt;"","?FAMILIAR",IF(F4982="NEW",IF(ISNA(VLOOKUP(E4982,#REF!,1,FALSE())),"?TYPE_IDENTIFIABLE","?REFERENTIAL"),"_")))))</f>
        <v> </v>
      </c>
      <c r="H4982" s="25" t="str">
        <f>IF(J4982&lt;&gt;1,"",IF(I4982="SBJ","CB","?"))</f>
        <v> </v>
      </c>
      <c r="I4982" s="26" t="str">
        <f>IF(OR(E4982="",E4982="!!!",F4982="NEW"),"",INDEX(B4981:B$2,-1+SUMPRODUCT(MAX(ROW(E4981:E$2)*(E4982=E4981:E$2)))))</f>
        <v> </v>
      </c>
      <c r="J4982" s="26" t="str">
        <f>IF(OR(E4982="",E4982="!!!",F4982="NEW"),"",COUNTBLANK(OFFSET(A$1,,,SUMPRODUCT(MAX(ROW(E$2:E4982)*(E4982=E$2:E4982)))))-COUNTBLANK(OFFSET(A$1,,,SUMPRODUCT(MAX(ROW(E$1:E4981)*(E2=E$1:E4981))))))</f>
        <v> </v>
      </c>
      <c r="K4982" s="26" t="str">
        <f>IF(OR(E4982="",E4982="!!!",F4982="NEW"),"",INDEX(J$1:J4981,SUMPRODUCT(MAX(ROW(E$1:E4981)*(E4982=E$1:E4981)))))</f>
        <v> </v>
      </c>
      <c r="L4982" s="27"/>
    </row>
    <row r="4983" spans="1:12">
      <c r="A4983" s="20" t="s">
        <v>1132</v>
      </c>
      <c r="E4983" s="22">
        <f>IF(D4983="?OLD","!!!","")</f>
        <v/>
      </c>
      <c r="F4983" s="23" t="str">
        <f>IF(OR(E4983="",E4983="!!!"),"",IF(NOT(ISNA(VLOOKUP(E4983,E$1:E4982,1,FALSE()))),"OLD",IF(AND(E4983&lt;&gt;"",E4983&lt;&gt;"!!!"),"NEW","")))</f>
        <v> </v>
      </c>
      <c r="G4983" s="24" t="str">
        <f>IF(OR(E4983="",E4983="!!!"),"",IF(OR(J4983=0,AND(J4983=1,K4983=1),AND(J4983=1,I4983="SBJ"),AND(J4983=1,I4983=0)),"?IN_FOCUS",IF(J4983&lt;=2,"?ACTIVATED",IF(J4983&lt;&gt;"","?FAMILIAR",IF(F4983="NEW",IF(ISNA(VLOOKUP(E4983,#REF!,1,FALSE())),"?TYPE_IDENTIFIABLE","?REFERENTIAL"),"_")))))</f>
        <v> </v>
      </c>
      <c r="H4983" s="25" t="str">
        <f>IF(J4983&lt;&gt;1,"",IF(I4983="SBJ","CB","?"))</f>
        <v> </v>
      </c>
      <c r="I4983" s="26" t="str">
        <f>IF(OR(E4983="",E4983="!!!",F4983="NEW"),"",INDEX(B4982:B$2,-1+SUMPRODUCT(MAX(ROW(E4982:E$2)*(E4983=E4982:E$2)))))</f>
        <v> </v>
      </c>
      <c r="J4983" s="26" t="str">
        <f>IF(OR(E4983="",E4983="!!!",F4983="NEW"),"",COUNTBLANK(OFFSET(A$1,,,SUMPRODUCT(MAX(ROW(E$2:E4983)*(E4983=E$2:E4983)))))-COUNTBLANK(OFFSET(A$1,,,SUMPRODUCT(MAX(ROW(E$1:E4982)*(E2=E$1:E4982))))))</f>
        <v> </v>
      </c>
      <c r="K4983" s="26" t="str">
        <f>IF(OR(E4983="",E4983="!!!",F4983="NEW"),"",INDEX(J$1:J4982,SUMPRODUCT(MAX(ROW(E$1:E4982)*(E4983=E$1:E4982)))))</f>
        <v> </v>
      </c>
      <c r="L4983" s="27"/>
    </row>
    <row r="4984" spans="1:12">
      <c r="A4984" s="20" t="s">
        <v>2149</v>
      </c>
      <c r="B4984" s="21" t="s">
        <v>1016</v>
      </c>
      <c r="C4984" s="21" t="s">
        <v>1017</v>
      </c>
      <c r="E4984" s="22">
        <f>IF(D4984="?OLD","!!!","")</f>
        <v/>
      </c>
      <c r="F4984" s="23" t="str">
        <f>IF(OR(E4984="",E4984="!!!"),"",IF(NOT(ISNA(VLOOKUP(E4984,E$1:E4983,1,FALSE()))),"OLD",IF(AND(E4984&lt;&gt;"",E4984&lt;&gt;"!!!"),"NEW","")))</f>
        <v> </v>
      </c>
      <c r="G4984" s="24" t="str">
        <f>IF(OR(E4984="",E4984="!!!"),"",IF(OR(J4984=0,AND(J4984=1,K4984=1),AND(J4984=1,I4984="SBJ"),AND(J4984=1,I4984=0)),"?IN_FOCUS",IF(J4984&lt;=2,"?ACTIVATED",IF(J4984&lt;&gt;"","?FAMILIAR",IF(F4984="NEW",IF(ISNA(VLOOKUP(E4984,#REF!,1,FALSE())),"?TYPE_IDENTIFIABLE","?REFERENTIAL"),"_")))))</f>
        <v> </v>
      </c>
      <c r="H4984" s="25" t="str">
        <f>IF(J4984&lt;&gt;1,"",IF(I4984="SBJ","CB","?"))</f>
        <v> </v>
      </c>
      <c r="I4984" s="26" t="str">
        <f>IF(OR(E4984="",E4984="!!!",F4984="NEW"),"",INDEX(B4983:B$2,-1+SUMPRODUCT(MAX(ROW(E4983:E$2)*(E4984=E4983:E$2)))))</f>
        <v> </v>
      </c>
      <c r="J4984" s="26" t="str">
        <f>IF(OR(E4984="",E4984="!!!",F4984="NEW"),"",COUNTBLANK(OFFSET(A$1,,,SUMPRODUCT(MAX(ROW(E$2:E4984)*(E4984=E$2:E4984)))))-COUNTBLANK(OFFSET(A$1,,,SUMPRODUCT(MAX(ROW(E$1:E4983)*(E2=E$1:E4983))))))</f>
        <v> </v>
      </c>
      <c r="K4984" s="26" t="str">
        <f>IF(OR(E4984="",E4984="!!!",F4984="NEW"),"",INDEX(J$1:J4983,SUMPRODUCT(MAX(ROW(E$1:E4983)*(E4984=E$1:E4983)))))</f>
        <v> </v>
      </c>
      <c r="L4984" s="27"/>
    </row>
    <row r="4985" spans="1:12">
      <c r="A4985" s="20" t="s">
        <v>1081</v>
      </c>
      <c r="E4985" s="22">
        <f>IF(D4985="?OLD","!!!","")</f>
        <v/>
      </c>
      <c r="F4985" s="23" t="str">
        <f>IF(OR(E4985="",E4985="!!!"),"",IF(NOT(ISNA(VLOOKUP(E4985,E$1:E4984,1,FALSE()))),"OLD",IF(AND(E4985&lt;&gt;"",E4985&lt;&gt;"!!!"),"NEW","")))</f>
        <v> </v>
      </c>
      <c r="G4985" s="24" t="str">
        <f>IF(OR(E4985="",E4985="!!!"),"",IF(OR(J4985=0,AND(J4985=1,K4985=1),AND(J4985=1,I4985="SBJ"),AND(J4985=1,I4985=0)),"?IN_FOCUS",IF(J4985&lt;=2,"?ACTIVATED",IF(J4985&lt;&gt;"","?FAMILIAR",IF(F4985="NEW",IF(ISNA(VLOOKUP(E4985,#REF!,1,FALSE())),"?TYPE_IDENTIFIABLE","?REFERENTIAL"),"_")))))</f>
        <v> </v>
      </c>
      <c r="H4985" s="25" t="str">
        <f>IF(J4985&lt;&gt;1,"",IF(I4985="SBJ","CB","?"))</f>
        <v> </v>
      </c>
      <c r="I4985" s="26" t="str">
        <f>IF(OR(E4985="",E4985="!!!",F4985="NEW"),"",INDEX(B4984:B$2,-1+SUMPRODUCT(MAX(ROW(E4984:E$2)*(E4985=E4984:E$2)))))</f>
        <v> </v>
      </c>
      <c r="J4985" s="26" t="str">
        <f>IF(OR(E4985="",E4985="!!!",F4985="NEW"),"",COUNTBLANK(OFFSET(A$1,,,SUMPRODUCT(MAX(ROW(E$2:E4985)*(E4985=E$2:E4985)))))-COUNTBLANK(OFFSET(A$1,,,SUMPRODUCT(MAX(ROW(E$1:E4984)*(E2=E$1:E4984))))))</f>
        <v> </v>
      </c>
      <c r="K4985" s="26" t="str">
        <f>IF(OR(E4985="",E4985="!!!",F4985="NEW"),"",INDEX(J$1:J4984,SUMPRODUCT(MAX(ROW(E$1:E4984)*(E4985=E$1:E4984)))))</f>
        <v> </v>
      </c>
      <c r="L4985" s="27"/>
    </row>
    <row r="4986" spans="1:12">
      <c r="A4986" s="20" t="s">
        <v>2150</v>
      </c>
      <c r="B4986" s="21" t="s">
        <v>1021</v>
      </c>
      <c r="C4986" s="21" t="s">
        <v>1017</v>
      </c>
      <c r="E4986" s="22">
        <f>IF(D4986="?OLD","!!!","")</f>
        <v/>
      </c>
      <c r="F4986" s="23" t="str">
        <f>IF(OR(E4986="",E4986="!!!"),"",IF(NOT(ISNA(VLOOKUP(E4986,E$1:E4985,1,FALSE()))),"OLD",IF(AND(E4986&lt;&gt;"",E4986&lt;&gt;"!!!"),"NEW","")))</f>
        <v> </v>
      </c>
      <c r="G4986" s="24" t="str">
        <f>IF(OR(E4986="",E4986="!!!"),"",IF(OR(J4986=0,AND(J4986=1,K4986=1),AND(J4986=1,I4986="SBJ"),AND(J4986=1,I4986=0)),"?IN_FOCUS",IF(J4986&lt;=2,"?ACTIVATED",IF(J4986&lt;&gt;"","?FAMILIAR",IF(F4986="NEW",IF(ISNA(VLOOKUP(E4986,#REF!,1,FALSE())),"?TYPE_IDENTIFIABLE","?REFERENTIAL"),"_")))))</f>
        <v> </v>
      </c>
      <c r="H4986" s="25" t="str">
        <f>IF(J4986&lt;&gt;1,"",IF(I4986="SBJ","CB","?"))</f>
        <v> </v>
      </c>
      <c r="I4986" s="26" t="str">
        <f>IF(OR(E4986="",E4986="!!!",F4986="NEW"),"",INDEX(B4985:B$2,-1+SUMPRODUCT(MAX(ROW(E4985:E$2)*(E4986=E4985:E$2)))))</f>
        <v> </v>
      </c>
      <c r="J4986" s="26" t="str">
        <f>IF(OR(E4986="",E4986="!!!",F4986="NEW"),"",COUNTBLANK(OFFSET(A$1,,,SUMPRODUCT(MAX(ROW(E$2:E4986)*(E4986=E$2:E4986)))))-COUNTBLANK(OFFSET(A$1,,,SUMPRODUCT(MAX(ROW(E$1:E4985)*(E2=E$1:E4985))))))</f>
        <v> </v>
      </c>
      <c r="K4986" s="26" t="str">
        <f>IF(OR(E4986="",E4986="!!!",F4986="NEW"),"",INDEX(J$1:J4985,SUMPRODUCT(MAX(ROW(E$1:E4985)*(E4986=E$1:E4985)))))</f>
        <v> </v>
      </c>
      <c r="L4986" s="27"/>
    </row>
    <row r="4987" spans="1:12">
      <c r="A4987" s="20" t="s">
        <v>1020</v>
      </c>
      <c r="E4987" s="22">
        <f>IF(D4987="?OLD","!!!","")</f>
        <v/>
      </c>
      <c r="F4987" s="23" t="str">
        <f>IF(OR(E4987="",E4987="!!!"),"",IF(NOT(ISNA(VLOOKUP(E4987,E$1:E4986,1,FALSE()))),"OLD",IF(AND(E4987&lt;&gt;"",E4987&lt;&gt;"!!!"),"NEW","")))</f>
        <v> </v>
      </c>
      <c r="G4987" s="24" t="str">
        <f>IF(OR(E4987="",E4987="!!!"),"",IF(OR(J4987=0,AND(J4987=1,K4987=1),AND(J4987=1,I4987="SBJ"),AND(J4987=1,I4987=0)),"?IN_FOCUS",IF(J4987&lt;=2,"?ACTIVATED",IF(J4987&lt;&gt;"","?FAMILIAR",IF(F4987="NEW",IF(ISNA(VLOOKUP(E4987,#REF!,1,FALSE())),"?TYPE_IDENTIFIABLE","?REFERENTIAL"),"_")))))</f>
        <v> </v>
      </c>
      <c r="H4987" s="25" t="str">
        <f>IF(J4987&lt;&gt;1,"",IF(I4987="SBJ","CB","?"))</f>
        <v> </v>
      </c>
      <c r="I4987" s="26" t="str">
        <f>IF(OR(E4987="",E4987="!!!",F4987="NEW"),"",INDEX(B4986:B$2,-1+SUMPRODUCT(MAX(ROW(E4986:E$2)*(E4987=E4986:E$2)))))</f>
        <v> </v>
      </c>
      <c r="J4987" s="26" t="str">
        <f>IF(OR(E4987="",E4987="!!!",F4987="NEW"),"",COUNTBLANK(OFFSET(A$1,,,SUMPRODUCT(MAX(ROW(E$2:E4987)*(E4987=E$2:E4987)))))-COUNTBLANK(OFFSET(A$1,,,SUMPRODUCT(MAX(ROW(E$1:E4986)*(E2=E$1:E4986))))))</f>
        <v> </v>
      </c>
      <c r="K4987" s="26" t="str">
        <f>IF(OR(E4987="",E4987="!!!",F4987="NEW"),"",INDEX(J$1:J4986,SUMPRODUCT(MAX(ROW(E$1:E4986)*(E4987=E$1:E4986)))))</f>
        <v> </v>
      </c>
      <c r="L4987" s="27"/>
    </row>
    <row r="4988" spans="1:12">
      <c r="A4988" s="20" t="s">
        <v>1314</v>
      </c>
      <c r="E4988" s="22">
        <f>IF(D4988="?OLD","!!!","")</f>
        <v/>
      </c>
      <c r="F4988" s="23" t="str">
        <f>IF(OR(E4988="",E4988="!!!"),"",IF(NOT(ISNA(VLOOKUP(E4988,E$1:E4987,1,FALSE()))),"OLD",IF(AND(E4988&lt;&gt;"",E4988&lt;&gt;"!!!"),"NEW","")))</f>
        <v> </v>
      </c>
      <c r="G4988" s="24" t="str">
        <f>IF(OR(E4988="",E4988="!!!"),"",IF(OR(J4988=0,AND(J4988=1,K4988=1),AND(J4988=1,I4988="SBJ"),AND(J4988=1,I4988=0)),"?IN_FOCUS",IF(J4988&lt;=2,"?ACTIVATED",IF(J4988&lt;&gt;"","?FAMILIAR",IF(F4988="NEW",IF(ISNA(VLOOKUP(E4988,#REF!,1,FALSE())),"?TYPE_IDENTIFIABLE","?REFERENTIAL"),"_")))))</f>
        <v> </v>
      </c>
      <c r="H4988" s="25" t="str">
        <f>IF(J4988&lt;&gt;1,"",IF(I4988="SBJ","CB","?"))</f>
        <v> </v>
      </c>
      <c r="I4988" s="26" t="str">
        <f>IF(OR(E4988="",E4988="!!!",F4988="NEW"),"",INDEX(B4987:B$2,-1+SUMPRODUCT(MAX(ROW(E4987:E$2)*(E4988=E4987:E$2)))))</f>
        <v> </v>
      </c>
      <c r="J4988" s="26" t="str">
        <f>IF(OR(E4988="",E4988="!!!",F4988="NEW"),"",COUNTBLANK(OFFSET(A$1,,,SUMPRODUCT(MAX(ROW(E$2:E4988)*(E4988=E$2:E4988)))))-COUNTBLANK(OFFSET(A$1,,,SUMPRODUCT(MAX(ROW(E$1:E4987)*(E2=E$1:E4987))))))</f>
        <v> </v>
      </c>
      <c r="K4988" s="26" t="str">
        <f>IF(OR(E4988="",E4988="!!!",F4988="NEW"),"",INDEX(J$1:J4987,SUMPRODUCT(MAX(ROW(E$1:E4987)*(E4988=E$1:E4987)))))</f>
        <v> </v>
      </c>
      <c r="L4988" s="27"/>
    </row>
    <row r="4989" spans="1:12">
      <c r="A4989" s="20" t="s">
        <v>1050</v>
      </c>
      <c r="B4989" s="21" t="s">
        <v>1091</v>
      </c>
      <c r="C4989" s="21" t="s">
        <v>1017</v>
      </c>
      <c r="E4989" s="22">
        <f>IF(D4989="?OLD","!!!","")</f>
        <v/>
      </c>
      <c r="F4989" s="23" t="str">
        <f>IF(OR(E4989="",E4989="!!!"),"",IF(NOT(ISNA(VLOOKUP(E4989,E$1:E4988,1,FALSE()))),"OLD",IF(AND(E4989&lt;&gt;"",E4989&lt;&gt;"!!!"),"NEW","")))</f>
        <v> </v>
      </c>
      <c r="G4989" s="24" t="str">
        <f>IF(OR(E4989="",E4989="!!!"),"",IF(OR(J4989=0,AND(J4989=1,K4989=1),AND(J4989=1,I4989="SBJ"),AND(J4989=1,I4989=0)),"?IN_FOCUS",IF(J4989&lt;=2,"?ACTIVATED",IF(J4989&lt;&gt;"","?FAMILIAR",IF(F4989="NEW",IF(ISNA(VLOOKUP(E4989,#REF!,1,FALSE())),"?TYPE_IDENTIFIABLE","?REFERENTIAL"),"_")))))</f>
        <v> </v>
      </c>
      <c r="H4989" s="25" t="str">
        <f>IF(J4989&lt;&gt;1,"",IF(I4989="SBJ","CB","?"))</f>
        <v> </v>
      </c>
      <c r="I4989" s="26" t="str">
        <f>IF(OR(E4989="",E4989="!!!",F4989="NEW"),"",INDEX(B4988:B$2,-1+SUMPRODUCT(MAX(ROW(E4988:E$2)*(E4989=E4988:E$2)))))</f>
        <v> </v>
      </c>
      <c r="J4989" s="26" t="str">
        <f>IF(OR(E4989="",E4989="!!!",F4989="NEW"),"",COUNTBLANK(OFFSET(A$1,,,SUMPRODUCT(MAX(ROW(E$2:E4989)*(E4989=E$2:E4989)))))-COUNTBLANK(OFFSET(A$1,,,SUMPRODUCT(MAX(ROW(E$1:E4988)*(E2=E$1:E4988))))))</f>
        <v> </v>
      </c>
      <c r="K4989" s="26" t="str">
        <f>IF(OR(E4989="",E4989="!!!",F4989="NEW"),"",INDEX(J$1:J4988,SUMPRODUCT(MAX(ROW(E$1:E4988)*(E4989=E$1:E4988)))))</f>
        <v> </v>
      </c>
      <c r="L4989" s="27"/>
    </row>
    <row r="4990" spans="1:12">
      <c r="A4990" s="20" t="s">
        <v>1032</v>
      </c>
      <c r="E4990" s="22">
        <f>IF(D4990="?OLD","!!!","")</f>
        <v/>
      </c>
      <c r="F4990" s="23" t="str">
        <f>IF(OR(E4990="",E4990="!!!"),"",IF(NOT(ISNA(VLOOKUP(E4990,E$1:E4989,1,FALSE()))),"OLD",IF(AND(E4990&lt;&gt;"",E4990&lt;&gt;"!!!"),"NEW","")))</f>
        <v> </v>
      </c>
      <c r="G4990" s="24" t="str">
        <f>IF(OR(E4990="",E4990="!!!"),"",IF(OR(J4990=0,AND(J4990=1,K4990=1),AND(J4990=1,I4990="SBJ"),AND(J4990=1,I4990=0)),"?IN_FOCUS",IF(J4990&lt;=2,"?ACTIVATED",IF(J4990&lt;&gt;"","?FAMILIAR",IF(F4990="NEW",IF(ISNA(VLOOKUP(E4990,#REF!,1,FALSE())),"?TYPE_IDENTIFIABLE","?REFERENTIAL"),"_")))))</f>
        <v> </v>
      </c>
      <c r="H4990" s="25" t="str">
        <f>IF(J4990&lt;&gt;1,"",IF(I4990="SBJ","CB","?"))</f>
        <v> </v>
      </c>
      <c r="I4990" s="26" t="str">
        <f>IF(OR(E4990="",E4990="!!!",F4990="NEW"),"",INDEX(B4989:B$2,-1+SUMPRODUCT(MAX(ROW(E4989:E$2)*(E4990=E4989:E$2)))))</f>
        <v> </v>
      </c>
      <c r="J4990" s="26" t="str">
        <f>IF(OR(E4990="",E4990="!!!",F4990="NEW"),"",COUNTBLANK(OFFSET(A$1,,,SUMPRODUCT(MAX(ROW(E$2:E4990)*(E4990=E$2:E4990)))))-COUNTBLANK(OFFSET(A$1,,,SUMPRODUCT(MAX(ROW(E$1:E4989)*(E2=E$1:E4989))))))</f>
        <v> </v>
      </c>
      <c r="K4990" s="26" t="str">
        <f>IF(OR(E4990="",E4990="!!!",F4990="NEW"),"",INDEX(J$1:J4989,SUMPRODUCT(MAX(ROW(E$1:E4989)*(E4990=E$1:E4989)))))</f>
        <v> </v>
      </c>
      <c r="L4990" s="27"/>
    </row>
    <row r="4991" spans="1:12">
      <c r="A4991" s="20" t="s">
        <v>1045</v>
      </c>
      <c r="E4991" s="22">
        <f>IF(D4991="?OLD","!!!","")</f>
        <v/>
      </c>
      <c r="F4991" s="23" t="str">
        <f>IF(OR(E4991="",E4991="!!!"),"",IF(NOT(ISNA(VLOOKUP(E4991,E$1:E4990,1,FALSE()))),"OLD",IF(AND(E4991&lt;&gt;"",E4991&lt;&gt;"!!!"),"NEW","")))</f>
        <v> </v>
      </c>
      <c r="G4991" s="24" t="str">
        <f>IF(OR(E4991="",E4991="!!!"),"",IF(OR(J4991=0,AND(J4991=1,K4991=1),AND(J4991=1,I4991="SBJ"),AND(J4991=1,I4991=0)),"?IN_FOCUS",IF(J4991&lt;=2,"?ACTIVATED",IF(J4991&lt;&gt;"","?FAMILIAR",IF(F4991="NEW",IF(ISNA(VLOOKUP(E4991,#REF!,1,FALSE())),"?TYPE_IDENTIFIABLE","?REFERENTIAL"),"_")))))</f>
        <v> </v>
      </c>
      <c r="H4991" s="25" t="str">
        <f>IF(J4991&lt;&gt;1,"",IF(I4991="SBJ","CB","?"))</f>
        <v> </v>
      </c>
      <c r="I4991" s="26" t="str">
        <f>IF(OR(E4991="",E4991="!!!",F4991="NEW"),"",INDEX(B4990:B$2,-1+SUMPRODUCT(MAX(ROW(E4990:E$2)*(E4991=E4990:E$2)))))</f>
        <v> </v>
      </c>
      <c r="J4991" s="26" t="str">
        <f>IF(OR(E4991="",E4991="!!!",F4991="NEW"),"",COUNTBLANK(OFFSET(A$1,,,SUMPRODUCT(MAX(ROW(E$2:E4991)*(E4991=E$2:E4991)))))-COUNTBLANK(OFFSET(A$1,,,SUMPRODUCT(MAX(ROW(E$1:E4990)*(E2=E$1:E4990))))))</f>
        <v> </v>
      </c>
      <c r="K4991" s="26" t="str">
        <f>IF(OR(E4991="",E4991="!!!",F4991="NEW"),"",INDEX(J$1:J4990,SUMPRODUCT(MAX(ROW(E$1:E4990)*(E4991=E$1:E4990)))))</f>
        <v> </v>
      </c>
      <c r="L4991" s="27"/>
    </row>
    <row r="4992" spans="1:12">
      <c r="A4992" s="20" t="s">
        <v>1389</v>
      </c>
      <c r="E4992" s="22">
        <f>IF(D4992="?OLD","!!!","")</f>
        <v/>
      </c>
      <c r="F4992" s="23" t="str">
        <f>IF(OR(E4992="",E4992="!!!"),"",IF(NOT(ISNA(VLOOKUP(E4992,E$1:E4991,1,FALSE()))),"OLD",IF(AND(E4992&lt;&gt;"",E4992&lt;&gt;"!!!"),"NEW","")))</f>
        <v> </v>
      </c>
      <c r="G4992" s="24" t="str">
        <f>IF(OR(E4992="",E4992="!!!"),"",IF(OR(J4992=0,AND(J4992=1,K4992=1),AND(J4992=1,I4992="SBJ"),AND(J4992=1,I4992=0)),"?IN_FOCUS",IF(J4992&lt;=2,"?ACTIVATED",IF(J4992&lt;&gt;"","?FAMILIAR",IF(F4992="NEW",IF(ISNA(VLOOKUP(E4992,#REF!,1,FALSE())),"?TYPE_IDENTIFIABLE","?REFERENTIAL"),"_")))))</f>
        <v> </v>
      </c>
      <c r="H4992" s="25" t="str">
        <f>IF(J4992&lt;&gt;1,"",IF(I4992="SBJ","CB","?"))</f>
        <v> </v>
      </c>
      <c r="I4992" s="26" t="str">
        <f>IF(OR(E4992="",E4992="!!!",F4992="NEW"),"",INDEX(B4991:B$2,-1+SUMPRODUCT(MAX(ROW(E4991:E$2)*(E4992=E4991:E$2)))))</f>
        <v> </v>
      </c>
      <c r="J4992" s="26" t="str">
        <f>IF(OR(E4992="",E4992="!!!",F4992="NEW"),"",COUNTBLANK(OFFSET(A$1,,,SUMPRODUCT(MAX(ROW(E$2:E4992)*(E4992=E$2:E4992)))))-COUNTBLANK(OFFSET(A$1,,,SUMPRODUCT(MAX(ROW(E$1:E4991)*(E2=E$1:E4991))))))</f>
        <v> </v>
      </c>
      <c r="K4992" s="26" t="str">
        <f>IF(OR(E4992="",E4992="!!!",F4992="NEW"),"",INDEX(J$1:J4991,SUMPRODUCT(MAX(ROW(E$1:E4991)*(E4992=E$1:E4991)))))</f>
        <v> </v>
      </c>
      <c r="L4992" s="27"/>
    </row>
    <row r="4993" spans="1:12">
      <c r="A4993" s="20" t="s">
        <v>1074</v>
      </c>
      <c r="E4993" s="22">
        <f>IF(D4993="?OLD","!!!","")</f>
        <v/>
      </c>
      <c r="F4993" s="23" t="str">
        <f>IF(OR(E4993="",E4993="!!!"),"",IF(NOT(ISNA(VLOOKUP(E4993,E$1:E4992,1,FALSE()))),"OLD",IF(AND(E4993&lt;&gt;"",E4993&lt;&gt;"!!!"),"NEW","")))</f>
        <v> </v>
      </c>
      <c r="G4993" s="24" t="str">
        <f>IF(OR(E4993="",E4993="!!!"),"",IF(OR(J4993=0,AND(J4993=1,K4993=1),AND(J4993=1,I4993="SBJ"),AND(J4993=1,I4993=0)),"?IN_FOCUS",IF(J4993&lt;=2,"?ACTIVATED",IF(J4993&lt;&gt;"","?FAMILIAR",IF(F4993="NEW",IF(ISNA(VLOOKUP(E4993,#REF!,1,FALSE())),"?TYPE_IDENTIFIABLE","?REFERENTIAL"),"_")))))</f>
        <v> </v>
      </c>
      <c r="H4993" s="25" t="str">
        <f>IF(J4993&lt;&gt;1,"",IF(I4993="SBJ","CB","?"))</f>
        <v> </v>
      </c>
      <c r="I4993" s="26" t="str">
        <f>IF(OR(E4993="",E4993="!!!",F4993="NEW"),"",INDEX(B4992:B$2,-1+SUMPRODUCT(MAX(ROW(E4992:E$2)*(E4993=E4992:E$2)))))</f>
        <v> </v>
      </c>
      <c r="J4993" s="26" t="str">
        <f>IF(OR(E4993="",E4993="!!!",F4993="NEW"),"",COUNTBLANK(OFFSET(A$1,,,SUMPRODUCT(MAX(ROW(E$2:E4993)*(E4993=E$2:E4993)))))-COUNTBLANK(OFFSET(A$1,,,SUMPRODUCT(MAX(ROW(E$1:E4992)*(E2=E$1:E4992))))))</f>
        <v> </v>
      </c>
      <c r="K4993" s="26" t="str">
        <f>IF(OR(E4993="",E4993="!!!",F4993="NEW"),"",INDEX(J$1:J4992,SUMPRODUCT(MAX(ROW(E$1:E4992)*(E4993=E$1:E4992)))))</f>
        <v> </v>
      </c>
      <c r="L4993" s="27"/>
    </row>
    <row r="4994" spans="1:12">
      <c r="A4994" s="20" t="s">
        <v>1028</v>
      </c>
      <c r="E4994" s="22">
        <f>IF(D4994="?OLD","!!!","")</f>
        <v/>
      </c>
      <c r="F4994" s="23" t="str">
        <f>IF(OR(E4994="",E4994="!!!"),"",IF(NOT(ISNA(VLOOKUP(E4994,E$1:E4993,1,FALSE()))),"OLD",IF(AND(E4994&lt;&gt;"",E4994&lt;&gt;"!!!"),"NEW","")))</f>
        <v> </v>
      </c>
      <c r="G4994" s="24" t="str">
        <f>IF(OR(E4994="",E4994="!!!"),"",IF(OR(J4994=0,AND(J4994=1,K4994=1),AND(J4994=1,I4994="SBJ"),AND(J4994=1,I4994=0)),"?IN_FOCUS",IF(J4994&lt;=2,"?ACTIVATED",IF(J4994&lt;&gt;"","?FAMILIAR",IF(F4994="NEW",IF(ISNA(VLOOKUP(E4994,#REF!,1,FALSE())),"?TYPE_IDENTIFIABLE","?REFERENTIAL"),"_")))))</f>
        <v> </v>
      </c>
      <c r="H4994" s="25" t="str">
        <f>IF(J4994&lt;&gt;1,"",IF(I4994="SBJ","CB","?"))</f>
        <v> </v>
      </c>
      <c r="I4994" s="26" t="str">
        <f>IF(OR(E4994="",E4994="!!!",F4994="NEW"),"",INDEX(B4993:B$2,-1+SUMPRODUCT(MAX(ROW(E4993:E$2)*(E4994=E4993:E$2)))))</f>
        <v> </v>
      </c>
      <c r="J4994" s="26" t="str">
        <f>IF(OR(E4994="",E4994="!!!",F4994="NEW"),"",COUNTBLANK(OFFSET(A$1,,,SUMPRODUCT(MAX(ROW(E$2:E4994)*(E4994=E$2:E4994)))))-COUNTBLANK(OFFSET(A$1,,,SUMPRODUCT(MAX(ROW(E$1:E4993)*(E2=E$1:E4993))))))</f>
        <v> </v>
      </c>
      <c r="K4994" s="26" t="str">
        <f>IF(OR(E4994="",E4994="!!!",F4994="NEW"),"",INDEX(J$1:J4993,SUMPRODUCT(MAX(ROW(E$1:E4993)*(E4994=E$1:E4993)))))</f>
        <v> </v>
      </c>
      <c r="L4994" s="27"/>
    </row>
    <row r="4995" spans="1:12">
      <c r="A4995" s="20" t="s">
        <v>2151</v>
      </c>
      <c r="B4995" s="21" t="s">
        <v>1071</v>
      </c>
      <c r="C4995" s="21" t="s">
        <v>1044</v>
      </c>
      <c r="D4995" s="21" t="s">
        <v>1011</v>
      </c>
      <c r="E4995" s="22">
        <f>IF(D4995="?OLD","!!!","")</f>
        <v/>
      </c>
      <c r="F4995" s="23" t="str">
        <f>IF(OR(E4995="",E4995="!!!"),"",IF(NOT(ISNA(VLOOKUP(E4995,E$1:E4994,1,FALSE()))),"OLD",IF(AND(E4995&lt;&gt;"",E4995&lt;&gt;"!!!"),"NEW","")))</f>
        <v> </v>
      </c>
      <c r="G4995" s="24" t="str">
        <f>IF(OR(E4995="",E4995="!!!"),"",IF(OR(J4995=0,AND(J4995=1,K4995=1),AND(J4995=1,I4995="SBJ"),AND(J4995=1,I4995=0)),"?IN_FOCUS",IF(J4995&lt;=2,"?ACTIVATED",IF(J4995&lt;&gt;"","?FAMILIAR",IF(F4995="NEW",IF(ISNA(VLOOKUP(E4995,#REF!,1,FALSE())),"?TYPE_IDENTIFIABLE","?REFERENTIAL"),"_")))))</f>
        <v> </v>
      </c>
      <c r="H4995" s="25" t="str">
        <f>IF(J4995&lt;&gt;1,"",IF(I4995="SBJ","CB","?"))</f>
        <v> </v>
      </c>
      <c r="I4995" s="26" t="str">
        <f>IF(OR(E4995="",E4995="!!!",F4995="NEW"),"",INDEX(B4994:B$2,-1+SUMPRODUCT(MAX(ROW(E4994:E$2)*(E4995=E4994:E$2)))))</f>
        <v> </v>
      </c>
      <c r="J4995" s="26" t="str">
        <f>IF(OR(E4995="",E4995="!!!",F4995="NEW"),"",COUNTBLANK(OFFSET(A$1,,,SUMPRODUCT(MAX(ROW(E$2:E4995)*(E4995=E$2:E4995)))))-COUNTBLANK(OFFSET(A$1,,,SUMPRODUCT(MAX(ROW(E$1:E4994)*(E2=E$1:E4994))))))</f>
        <v> </v>
      </c>
      <c r="K4995" s="26" t="str">
        <f>IF(OR(E4995="",E4995="!!!",F4995="NEW"),"",INDEX(J$1:J4994,SUMPRODUCT(MAX(ROW(E$1:E4994)*(E4995=E$1:E4994)))))</f>
        <v> </v>
      </c>
      <c r="L4995" s="27"/>
    </row>
    <row r="4996" spans="1:12">
      <c r="A4996" s="20" t="s">
        <v>1132</v>
      </c>
      <c r="E4996" s="22">
        <f>IF(D4996="?OLD","!!!","")</f>
        <v/>
      </c>
      <c r="F4996" s="23" t="str">
        <f>IF(OR(E4996="",E4996="!!!"),"",IF(NOT(ISNA(VLOOKUP(E4996,E$1:E4995,1,FALSE()))),"OLD",IF(AND(E4996&lt;&gt;"",E4996&lt;&gt;"!!!"),"NEW","")))</f>
        <v> </v>
      </c>
      <c r="G4996" s="24" t="str">
        <f>IF(OR(E4996="",E4996="!!!"),"",IF(OR(J4996=0,AND(J4996=1,K4996=1),AND(J4996=1,I4996="SBJ"),AND(J4996=1,I4996=0)),"?IN_FOCUS",IF(J4996&lt;=2,"?ACTIVATED",IF(J4996&lt;&gt;"","?FAMILIAR",IF(F4996="NEW",IF(ISNA(VLOOKUP(E4996,#REF!,1,FALSE())),"?TYPE_IDENTIFIABLE","?REFERENTIAL"),"_")))))</f>
        <v> </v>
      </c>
      <c r="H4996" s="25" t="str">
        <f>IF(J4996&lt;&gt;1,"",IF(I4996="SBJ","CB","?"))</f>
        <v> </v>
      </c>
      <c r="I4996" s="26" t="str">
        <f>IF(OR(E4996="",E4996="!!!",F4996="NEW"),"",INDEX(B4995:B$2,-1+SUMPRODUCT(MAX(ROW(E4995:E$2)*(E4996=E4995:E$2)))))</f>
        <v> </v>
      </c>
      <c r="J4996" s="26" t="str">
        <f>IF(OR(E4996="",E4996="!!!",F4996="NEW"),"",COUNTBLANK(OFFSET(A$1,,,SUMPRODUCT(MAX(ROW(E$2:E4996)*(E4996=E$2:E4996)))))-COUNTBLANK(OFFSET(A$1,,,SUMPRODUCT(MAX(ROW(E$1:E4995)*(E2=E$1:E4995))))))</f>
        <v> </v>
      </c>
      <c r="K4996" s="26" t="str">
        <f>IF(OR(E4996="",E4996="!!!",F4996="NEW"),"",INDEX(J$1:J4995,SUMPRODUCT(MAX(ROW(E$1:E4995)*(E4996=E$1:E4995)))))</f>
        <v> </v>
      </c>
      <c r="L4996" s="27"/>
    </row>
    <row r="4997" spans="1:12">
      <c r="A4997" s="20" t="s">
        <v>1487</v>
      </c>
      <c r="B4997" s="21" t="s">
        <v>1016</v>
      </c>
      <c r="C4997" s="21" t="s">
        <v>1035</v>
      </c>
      <c r="D4997" s="21" t="s">
        <v>1011</v>
      </c>
      <c r="E4997" s="22">
        <f>IF(D4997="?OLD","!!!","")</f>
        <v/>
      </c>
      <c r="F4997" s="23" t="str">
        <f>IF(OR(E4997="",E4997="!!!"),"",IF(NOT(ISNA(VLOOKUP(E4997,E$1:E4996,1,FALSE()))),"OLD",IF(AND(E4997&lt;&gt;"",E4997&lt;&gt;"!!!"),"NEW","")))</f>
        <v> </v>
      </c>
      <c r="G4997" s="24" t="str">
        <f>IF(OR(E4997="",E4997="!!!"),"",IF(OR(J4997=0,AND(J4997=1,K4997=1),AND(J4997=1,I4997="SBJ"),AND(J4997=1,I4997=0)),"?IN_FOCUS",IF(J4997&lt;=2,"?ACTIVATED",IF(J4997&lt;&gt;"","?FAMILIAR",IF(F4997="NEW",IF(ISNA(VLOOKUP(E4997,#REF!,1,FALSE())),"?TYPE_IDENTIFIABLE","?REFERENTIAL"),"_")))))</f>
        <v> </v>
      </c>
      <c r="H4997" s="25" t="str">
        <f>IF(J4997&lt;&gt;1,"",IF(I4997="SBJ","CB","?"))</f>
        <v> </v>
      </c>
      <c r="I4997" s="26" t="str">
        <f>IF(OR(E4997="",E4997="!!!",F4997="NEW"),"",INDEX(B4996:B$2,-1+SUMPRODUCT(MAX(ROW(E4996:E$2)*(E4997=E4996:E$2)))))</f>
        <v> </v>
      </c>
      <c r="J4997" s="26" t="str">
        <f>IF(OR(E4997="",E4997="!!!",F4997="NEW"),"",COUNTBLANK(OFFSET(A$1,,,SUMPRODUCT(MAX(ROW(E$2:E4997)*(E4997=E$2:E4997)))))-COUNTBLANK(OFFSET(A$1,,,SUMPRODUCT(MAX(ROW(E$1:E4996)*(E2=E$1:E4996))))))</f>
        <v> </v>
      </c>
      <c r="K4997" s="26" t="str">
        <f>IF(OR(E4997="",E4997="!!!",F4997="NEW"),"",INDEX(J$1:J4996,SUMPRODUCT(MAX(ROW(E$1:E4996)*(E4997=E$1:E4996)))))</f>
        <v> </v>
      </c>
      <c r="L4997" s="27"/>
    </row>
    <row r="4998" spans="1:12">
      <c r="A4998" s="20" t="s">
        <v>2050</v>
      </c>
      <c r="E4998" s="22">
        <f>IF(D4998="?OLD","!!!","")</f>
        <v/>
      </c>
      <c r="F4998" s="23" t="str">
        <f>IF(OR(E4998="",E4998="!!!"),"",IF(NOT(ISNA(VLOOKUP(E4998,E$1:E4997,1,FALSE()))),"OLD",IF(AND(E4998&lt;&gt;"",E4998&lt;&gt;"!!!"),"NEW","")))</f>
        <v> </v>
      </c>
      <c r="G4998" s="24" t="str">
        <f>IF(OR(E4998="",E4998="!!!"),"",IF(OR(J4998=0,AND(J4998=1,K4998=1),AND(J4998=1,I4998="SBJ"),AND(J4998=1,I4998=0)),"?IN_FOCUS",IF(J4998&lt;=2,"?ACTIVATED",IF(J4998&lt;&gt;"","?FAMILIAR",IF(F4998="NEW",IF(ISNA(VLOOKUP(E4998,#REF!,1,FALSE())),"?TYPE_IDENTIFIABLE","?REFERENTIAL"),"_")))))</f>
        <v> </v>
      </c>
      <c r="H4998" s="25" t="str">
        <f>IF(J4998&lt;&gt;1,"",IF(I4998="SBJ","CB","?"))</f>
        <v> </v>
      </c>
      <c r="I4998" s="26" t="str">
        <f>IF(OR(E4998="",E4998="!!!",F4998="NEW"),"",INDEX(B4997:B$2,-1+SUMPRODUCT(MAX(ROW(E4997:E$2)*(E4998=E4997:E$2)))))</f>
        <v> </v>
      </c>
      <c r="J4998" s="26" t="str">
        <f>IF(OR(E4998="",E4998="!!!",F4998="NEW"),"",COUNTBLANK(OFFSET(A$1,,,SUMPRODUCT(MAX(ROW(E$2:E4998)*(E4998=E$2:E4998)))))-COUNTBLANK(OFFSET(A$1,,,SUMPRODUCT(MAX(ROW(E$1:E4997)*(E2=E$1:E4997))))))</f>
        <v> </v>
      </c>
      <c r="K4998" s="26" t="str">
        <f>IF(OR(E4998="",E4998="!!!",F4998="NEW"),"",INDEX(J$1:J4997,SUMPRODUCT(MAX(ROW(E$1:E4997)*(E4998=E$1:E4997)))))</f>
        <v> </v>
      </c>
      <c r="L4998" s="27"/>
    </row>
    <row r="4999" spans="1:12">
      <c r="A4999" s="20" t="s">
        <v>1022</v>
      </c>
      <c r="E4999" s="22">
        <f>IF(D4999="?OLD","!!!","")</f>
        <v/>
      </c>
      <c r="F4999" s="23" t="str">
        <f>IF(OR(E4999="",E4999="!!!"),"",IF(NOT(ISNA(VLOOKUP(E4999,E$1:E4998,1,FALSE()))),"OLD",IF(AND(E4999&lt;&gt;"",E4999&lt;&gt;"!!!"),"NEW","")))</f>
        <v> </v>
      </c>
      <c r="G4999" s="24" t="str">
        <f>IF(OR(E4999="",E4999="!!!"),"",IF(OR(J4999=0,AND(J4999=1,K4999=1),AND(J4999=1,I4999="SBJ"),AND(J4999=1,I4999=0)),"?IN_FOCUS",IF(J4999&lt;=2,"?ACTIVATED",IF(J4999&lt;&gt;"","?FAMILIAR",IF(F4999="NEW",IF(ISNA(VLOOKUP(E4999,#REF!,1,FALSE())),"?TYPE_IDENTIFIABLE","?REFERENTIAL"),"_")))))</f>
        <v> </v>
      </c>
      <c r="H4999" s="25" t="str">
        <f>IF(J4999&lt;&gt;1,"",IF(I4999="SBJ","CB","?"))</f>
        <v> </v>
      </c>
      <c r="I4999" s="26" t="str">
        <f>IF(OR(E4999="",E4999="!!!",F4999="NEW"),"",INDEX(B4998:B$2,-1+SUMPRODUCT(MAX(ROW(E4998:E$2)*(E4999=E4998:E$2)))))</f>
        <v> </v>
      </c>
      <c r="J4999" s="26" t="str">
        <f>IF(OR(E4999="",E4999="!!!",F4999="NEW"),"",COUNTBLANK(OFFSET(A$1,,,SUMPRODUCT(MAX(ROW(E$2:E4999)*(E4999=E$2:E4999)))))-COUNTBLANK(OFFSET(A$1,,,SUMPRODUCT(MAX(ROW(E$1:E4998)*(E2=E$1:E4998))))))</f>
        <v> </v>
      </c>
      <c r="K4999" s="26" t="str">
        <f>IF(OR(E4999="",E4999="!!!",F4999="NEW"),"",INDEX(J$1:J4998,SUMPRODUCT(MAX(ROW(E$1:E4998)*(E4999=E$1:E4998)))))</f>
        <v> </v>
      </c>
      <c r="L4999" s="27"/>
    </row>
    <row r="5000" spans="1:12">
      <c r="A5000" s="20"/>
    </row>
    <row r="5001" spans="1:12">
      <c r="A5001" s="20" t="s">
        <v>2152</v>
      </c>
    </row>
    <row r="5002" spans="1:12">
      <c r="A5002" s="20" t="s">
        <v>1995</v>
      </c>
      <c r="B5002" s="21" t="s">
        <v>1071</v>
      </c>
      <c r="C5002" s="21" t="s">
        <v>1017</v>
      </c>
      <c r="E5002" s="22">
        <f>IF(D5002="?OLD","!!!","")</f>
        <v/>
      </c>
      <c r="F5002" s="23" t="str">
        <f>IF(OR(E5002="",E5002="!!!"),"",IF(NOT(ISNA(VLOOKUP(E5002,E$1:E5001,1,FALSE()))),"OLD",IF(AND(E5002&lt;&gt;"",E5002&lt;&gt;"!!!"),"NEW","")))</f>
        <v> </v>
      </c>
      <c r="G5002" s="24" t="str">
        <f>IF(OR(E5002="",E5002="!!!"),"",IF(OR(J5002=0,AND(J5002=1,K5002=1),AND(J5002=1,I5002="SBJ"),AND(J5002=1,I5002=0)),"?IN_FOCUS",IF(J5002&lt;=2,"?ACTIVATED",IF(J5002&lt;&gt;"","?FAMILIAR",IF(F5002="NEW",IF(ISNA(VLOOKUP(E5002,#REF!,1,FALSE())),"?TYPE_IDENTIFIABLE","?REFERENTIAL"),"_")))))</f>
        <v> </v>
      </c>
      <c r="H5002" s="25" t="str">
        <f>IF(J5002&lt;&gt;1,"",IF(I5002="SBJ","CB","?"))</f>
        <v> </v>
      </c>
      <c r="I5002" s="26" t="str">
        <f>IF(OR(E5002="",E5002="!!!",F5002="NEW"),"",INDEX(B5001:B$2,-1+SUMPRODUCT(MAX(ROW(E5001:E$2)*(E5002=E5001:E$2)))))</f>
        <v> </v>
      </c>
      <c r="J5002" s="26" t="str">
        <f>IF(OR(E5002="",E5002="!!!",F5002="NEW"),"",COUNTBLANK(OFFSET(A$1,,,SUMPRODUCT(MAX(ROW(E$2:E5002)*(E5002=E$2:E5002)))))-COUNTBLANK(OFFSET(A$1,,,SUMPRODUCT(MAX(ROW(E$1:E5001)*(E2=E$1:E5001))))))</f>
        <v> </v>
      </c>
      <c r="K5002" s="26" t="str">
        <f>IF(OR(E5002="",E5002="!!!",F5002="NEW"),"",INDEX(J$1:J5001,SUMPRODUCT(MAX(ROW(E$1:E5001)*(E5002=E$1:E5001)))))</f>
        <v> </v>
      </c>
      <c r="L5002" s="27"/>
    </row>
    <row r="5003" spans="1:12">
      <c r="A5003" s="20" t="s">
        <v>1099</v>
      </c>
      <c r="E5003" s="22">
        <f>IF(D5003="?OLD","!!!","")</f>
        <v/>
      </c>
      <c r="F5003" s="23" t="str">
        <f>IF(OR(E5003="",E5003="!!!"),"",IF(NOT(ISNA(VLOOKUP(E5003,E$1:E5002,1,FALSE()))),"OLD",IF(AND(E5003&lt;&gt;"",E5003&lt;&gt;"!!!"),"NEW","")))</f>
        <v> </v>
      </c>
      <c r="G5003" s="24" t="str">
        <f>IF(OR(E5003="",E5003="!!!"),"",IF(OR(J5003=0,AND(J5003=1,K5003=1),AND(J5003=1,I5003="SBJ"),AND(J5003=1,I5003=0)),"?IN_FOCUS",IF(J5003&lt;=2,"?ACTIVATED",IF(J5003&lt;&gt;"","?FAMILIAR",IF(F5003="NEW",IF(ISNA(VLOOKUP(E5003,#REF!,1,FALSE())),"?TYPE_IDENTIFIABLE","?REFERENTIAL"),"_")))))</f>
        <v> </v>
      </c>
      <c r="H5003" s="25" t="str">
        <f>IF(J5003&lt;&gt;1,"",IF(I5003="SBJ","CB","?"))</f>
        <v> </v>
      </c>
      <c r="I5003" s="26" t="str">
        <f>IF(OR(E5003="",E5003="!!!",F5003="NEW"),"",INDEX(B5002:B$2,-1+SUMPRODUCT(MAX(ROW(E5002:E$2)*(E5003=E5002:E$2)))))</f>
        <v> </v>
      </c>
      <c r="J5003" s="26" t="str">
        <f>IF(OR(E5003="",E5003="!!!",F5003="NEW"),"",COUNTBLANK(OFFSET(A$1,,,SUMPRODUCT(MAX(ROW(E$2:E5003)*(E5003=E$2:E5003)))))-COUNTBLANK(OFFSET(A$1,,,SUMPRODUCT(MAX(ROW(E$1:E5002)*(E2=E$1:E5002))))))</f>
        <v> </v>
      </c>
      <c r="K5003" s="26" t="str">
        <f>IF(OR(E5003="",E5003="!!!",F5003="NEW"),"",INDEX(J$1:J5002,SUMPRODUCT(MAX(ROW(E$1:E5002)*(E5003=E$1:E5002)))))</f>
        <v> </v>
      </c>
      <c r="L5003" s="27"/>
    </row>
    <row r="5004" spans="1:12">
      <c r="A5004" s="20" t="s">
        <v>1204</v>
      </c>
      <c r="E5004" s="22">
        <f>IF(D5004="?OLD","!!!","")</f>
        <v/>
      </c>
      <c r="F5004" s="23" t="str">
        <f>IF(OR(E5004="",E5004="!!!"),"",IF(NOT(ISNA(VLOOKUP(E5004,E$1:E5003,1,FALSE()))),"OLD",IF(AND(E5004&lt;&gt;"",E5004&lt;&gt;"!!!"),"NEW","")))</f>
        <v> </v>
      </c>
      <c r="G5004" s="24" t="str">
        <f>IF(OR(E5004="",E5004="!!!"),"",IF(OR(J5004=0,AND(J5004=1,K5004=1),AND(J5004=1,I5004="SBJ"),AND(J5004=1,I5004=0)),"?IN_FOCUS",IF(J5004&lt;=2,"?ACTIVATED",IF(J5004&lt;&gt;"","?FAMILIAR",IF(F5004="NEW",IF(ISNA(VLOOKUP(E5004,#REF!,1,FALSE())),"?TYPE_IDENTIFIABLE","?REFERENTIAL"),"_")))))</f>
        <v> </v>
      </c>
      <c r="H5004" s="25" t="str">
        <f>IF(J5004&lt;&gt;1,"",IF(I5004="SBJ","CB","?"))</f>
        <v> </v>
      </c>
      <c r="I5004" s="26" t="str">
        <f>IF(OR(E5004="",E5004="!!!",F5004="NEW"),"",INDEX(B5003:B$2,-1+SUMPRODUCT(MAX(ROW(E5003:E$2)*(E5004=E5003:E$2)))))</f>
        <v> </v>
      </c>
      <c r="J5004" s="26" t="str">
        <f>IF(OR(E5004="",E5004="!!!",F5004="NEW"),"",COUNTBLANK(OFFSET(A$1,,,SUMPRODUCT(MAX(ROW(E$2:E5004)*(E5004=E$2:E5004)))))-COUNTBLANK(OFFSET(A$1,,,SUMPRODUCT(MAX(ROW(E$1:E5003)*(E2=E$1:E5003))))))</f>
        <v> </v>
      </c>
      <c r="K5004" s="26" t="str">
        <f>IF(OR(E5004="",E5004="!!!",F5004="NEW"),"",INDEX(J$1:J5003,SUMPRODUCT(MAX(ROW(E$1:E5003)*(E5004=E$1:E5003)))))</f>
        <v> </v>
      </c>
      <c r="L5004" s="27"/>
    </row>
    <row r="5005" spans="1:12">
      <c r="A5005" s="20" t="s">
        <v>1243</v>
      </c>
      <c r="B5005" s="21" t="s">
        <v>1175</v>
      </c>
      <c r="C5005" s="21" t="s">
        <v>1026</v>
      </c>
      <c r="D5005" s="21" t="s">
        <v>1011</v>
      </c>
      <c r="E5005" s="22">
        <f>IF(D5005="?OLD","!!!","")</f>
        <v/>
      </c>
      <c r="F5005" s="23" t="str">
        <f>IF(OR(E5005="",E5005="!!!"),"",IF(NOT(ISNA(VLOOKUP(E5005,E$1:E5004,1,FALSE()))),"OLD",IF(AND(E5005&lt;&gt;"",E5005&lt;&gt;"!!!"),"NEW","")))</f>
        <v> </v>
      </c>
      <c r="G5005" s="24" t="str">
        <f>IF(OR(E5005="",E5005="!!!"),"",IF(OR(J5005=0,AND(J5005=1,K5005=1),AND(J5005=1,I5005="SBJ"),AND(J5005=1,I5005=0)),"?IN_FOCUS",IF(J5005&lt;=2,"?ACTIVATED",IF(J5005&lt;&gt;"","?FAMILIAR",IF(F5005="NEW",IF(ISNA(VLOOKUP(E5005,#REF!,1,FALSE())),"?TYPE_IDENTIFIABLE","?REFERENTIAL"),"_")))))</f>
        <v> </v>
      </c>
      <c r="H5005" s="25" t="str">
        <f>IF(J5005&lt;&gt;1,"",IF(I5005="SBJ","CB","?"))</f>
        <v> </v>
      </c>
      <c r="I5005" s="26" t="str">
        <f>IF(OR(E5005="",E5005="!!!",F5005="NEW"),"",INDEX(B5004:B$2,-1+SUMPRODUCT(MAX(ROW(E5004:E$2)*(E5005=E5004:E$2)))))</f>
        <v> </v>
      </c>
      <c r="J5005" s="26" t="str">
        <f>IF(OR(E5005="",E5005="!!!",F5005="NEW"),"",COUNTBLANK(OFFSET(A$1,,,SUMPRODUCT(MAX(ROW(E$2:E5005)*(E5005=E$2:E5005)))))-COUNTBLANK(OFFSET(A$1,,,SUMPRODUCT(MAX(ROW(E$1:E5004)*(E2=E$1:E5004))))))</f>
        <v> </v>
      </c>
      <c r="K5005" s="26" t="str">
        <f>IF(OR(E5005="",E5005="!!!",F5005="NEW"),"",INDEX(J$1:J5004,SUMPRODUCT(MAX(ROW(E$1:E5004)*(E5005=E$1:E5004)))))</f>
        <v> </v>
      </c>
      <c r="L5005" s="27"/>
    </row>
    <row r="5006" spans="1:12">
      <c r="A5006" s="20" t="s">
        <v>1627</v>
      </c>
      <c r="E5006" s="22">
        <f>IF(D5006="?OLD","!!!","")</f>
        <v/>
      </c>
      <c r="F5006" s="23" t="str">
        <f>IF(OR(E5006="",E5006="!!!"),"",IF(NOT(ISNA(VLOOKUP(E5006,E$1:E5005,1,FALSE()))),"OLD",IF(AND(E5006&lt;&gt;"",E5006&lt;&gt;"!!!"),"NEW","")))</f>
        <v> </v>
      </c>
      <c r="G5006" s="24" t="str">
        <f>IF(OR(E5006="",E5006="!!!"),"",IF(OR(J5006=0,AND(J5006=1,K5006=1),AND(J5006=1,I5006="SBJ"),AND(J5006=1,I5006=0)),"?IN_FOCUS",IF(J5006&lt;=2,"?ACTIVATED",IF(J5006&lt;&gt;"","?FAMILIAR",IF(F5006="NEW",IF(ISNA(VLOOKUP(E5006,#REF!,1,FALSE())),"?TYPE_IDENTIFIABLE","?REFERENTIAL"),"_")))))</f>
        <v> </v>
      </c>
      <c r="H5006" s="25" t="str">
        <f>IF(J5006&lt;&gt;1,"",IF(I5006="SBJ","CB","?"))</f>
        <v> </v>
      </c>
      <c r="I5006" s="26" t="str">
        <f>IF(OR(E5006="",E5006="!!!",F5006="NEW"),"",INDEX(B5005:B$2,-1+SUMPRODUCT(MAX(ROW(E5005:E$2)*(E5006=E5005:E$2)))))</f>
        <v> </v>
      </c>
      <c r="J5006" s="26" t="str">
        <f>IF(OR(E5006="",E5006="!!!",F5006="NEW"),"",COUNTBLANK(OFFSET(A$1,,,SUMPRODUCT(MAX(ROW(E$2:E5006)*(E5006=E$2:E5006)))))-COUNTBLANK(OFFSET(A$1,,,SUMPRODUCT(MAX(ROW(E$1:E5005)*(E2=E$1:E5005))))))</f>
        <v> </v>
      </c>
      <c r="K5006" s="26" t="str">
        <f>IF(OR(E5006="",E5006="!!!",F5006="NEW"),"",INDEX(J$1:J5005,SUMPRODUCT(MAX(ROW(E$1:E5005)*(E5006=E$1:E5005)))))</f>
        <v> </v>
      </c>
      <c r="L5006" s="27"/>
    </row>
    <row r="5007" spans="1:12">
      <c r="A5007" s="20" t="s">
        <v>1097</v>
      </c>
      <c r="E5007" s="22">
        <f>IF(D5007="?OLD","!!!","")</f>
        <v/>
      </c>
      <c r="F5007" s="23" t="str">
        <f>IF(OR(E5007="",E5007="!!!"),"",IF(NOT(ISNA(VLOOKUP(E5007,E$1:E5006,1,FALSE()))),"OLD",IF(AND(E5007&lt;&gt;"",E5007&lt;&gt;"!!!"),"NEW","")))</f>
        <v> </v>
      </c>
      <c r="G5007" s="24" t="str">
        <f>IF(OR(E5007="",E5007="!!!"),"",IF(OR(J5007=0,AND(J5007=1,K5007=1),AND(J5007=1,I5007="SBJ"),AND(J5007=1,I5007=0)),"?IN_FOCUS",IF(J5007&lt;=2,"?ACTIVATED",IF(J5007&lt;&gt;"","?FAMILIAR",IF(F5007="NEW",IF(ISNA(VLOOKUP(E5007,#REF!,1,FALSE())),"?TYPE_IDENTIFIABLE","?REFERENTIAL"),"_")))))</f>
        <v> </v>
      </c>
      <c r="H5007" s="25" t="str">
        <f>IF(J5007&lt;&gt;1,"",IF(I5007="SBJ","CB","?"))</f>
        <v> </v>
      </c>
      <c r="I5007" s="26" t="str">
        <f>IF(OR(E5007="",E5007="!!!",F5007="NEW"),"",INDEX(B5006:B$2,-1+SUMPRODUCT(MAX(ROW(E5006:E$2)*(E5007=E5006:E$2)))))</f>
        <v> </v>
      </c>
      <c r="J5007" s="26" t="str">
        <f>IF(OR(E5007="",E5007="!!!",F5007="NEW"),"",COUNTBLANK(OFFSET(A$1,,,SUMPRODUCT(MAX(ROW(E$2:E5007)*(E5007=E$2:E5007)))))-COUNTBLANK(OFFSET(A$1,,,SUMPRODUCT(MAX(ROW(E$1:E5006)*(E2=E$1:E5006))))))</f>
        <v> </v>
      </c>
      <c r="K5007" s="26" t="str">
        <f>IF(OR(E5007="",E5007="!!!",F5007="NEW"),"",INDEX(J$1:J5006,SUMPRODUCT(MAX(ROW(E$1:E5006)*(E5007=E$1:E5006)))))</f>
        <v> </v>
      </c>
      <c r="L5007" s="27"/>
    </row>
    <row r="5008" spans="1:12">
      <c r="A5008" s="20" t="s">
        <v>1038</v>
      </c>
      <c r="E5008" s="22">
        <f>IF(D5008="?OLD","!!!","")</f>
        <v/>
      </c>
      <c r="F5008" s="23" t="str">
        <f>IF(OR(E5008="",E5008="!!!"),"",IF(NOT(ISNA(VLOOKUP(E5008,E$1:E5007,1,FALSE()))),"OLD",IF(AND(E5008&lt;&gt;"",E5008&lt;&gt;"!!!"),"NEW","")))</f>
        <v> </v>
      </c>
      <c r="G5008" s="24" t="str">
        <f>IF(OR(E5008="",E5008="!!!"),"",IF(OR(J5008=0,AND(J5008=1,K5008=1),AND(J5008=1,I5008="SBJ"),AND(J5008=1,I5008=0)),"?IN_FOCUS",IF(J5008&lt;=2,"?ACTIVATED",IF(J5008&lt;&gt;"","?FAMILIAR",IF(F5008="NEW",IF(ISNA(VLOOKUP(E5008,#REF!,1,FALSE())),"?TYPE_IDENTIFIABLE","?REFERENTIAL"),"_")))))</f>
        <v> </v>
      </c>
      <c r="H5008" s="25" t="str">
        <f>IF(J5008&lt;&gt;1,"",IF(I5008="SBJ","CB","?"))</f>
        <v> </v>
      </c>
      <c r="I5008" s="26" t="str">
        <f>IF(OR(E5008="",E5008="!!!",F5008="NEW"),"",INDEX(B5007:B$2,-1+SUMPRODUCT(MAX(ROW(E5007:E$2)*(E5008=E5007:E$2)))))</f>
        <v> </v>
      </c>
      <c r="J5008" s="26" t="str">
        <f>IF(OR(E5008="",E5008="!!!",F5008="NEW"),"",COUNTBLANK(OFFSET(A$1,,,SUMPRODUCT(MAX(ROW(E$2:E5008)*(E5008=E$2:E5008)))))-COUNTBLANK(OFFSET(A$1,,,SUMPRODUCT(MAX(ROW(E$1:E5007)*(E2=E$1:E5007))))))</f>
        <v> </v>
      </c>
      <c r="K5008" s="26" t="str">
        <f>IF(OR(E5008="",E5008="!!!",F5008="NEW"),"",INDEX(J$1:J5007,SUMPRODUCT(MAX(ROW(E$1:E5007)*(E5008=E$1:E5007)))))</f>
        <v> </v>
      </c>
      <c r="L5008" s="27"/>
    </row>
    <row r="5009" spans="1:12">
      <c r="A5009" s="20" t="s">
        <v>1032</v>
      </c>
      <c r="E5009" s="22">
        <f>IF(D5009="?OLD","!!!","")</f>
        <v/>
      </c>
      <c r="F5009" s="23" t="str">
        <f>IF(OR(E5009="",E5009="!!!"),"",IF(NOT(ISNA(VLOOKUP(E5009,E$1:E5008,1,FALSE()))),"OLD",IF(AND(E5009&lt;&gt;"",E5009&lt;&gt;"!!!"),"NEW","")))</f>
        <v> </v>
      </c>
      <c r="G5009" s="24" t="str">
        <f>IF(OR(E5009="",E5009="!!!"),"",IF(OR(J5009=0,AND(J5009=1,K5009=1),AND(J5009=1,I5009="SBJ"),AND(J5009=1,I5009=0)),"?IN_FOCUS",IF(J5009&lt;=2,"?ACTIVATED",IF(J5009&lt;&gt;"","?FAMILIAR",IF(F5009="NEW",IF(ISNA(VLOOKUP(E5009,#REF!,1,FALSE())),"?TYPE_IDENTIFIABLE","?REFERENTIAL"),"_")))))</f>
        <v> </v>
      </c>
      <c r="H5009" s="25" t="str">
        <f>IF(J5009&lt;&gt;1,"",IF(I5009="SBJ","CB","?"))</f>
        <v> </v>
      </c>
      <c r="I5009" s="26" t="str">
        <f>IF(OR(E5009="",E5009="!!!",F5009="NEW"),"",INDEX(B5008:B$2,-1+SUMPRODUCT(MAX(ROW(E5008:E$2)*(E5009=E5008:E$2)))))</f>
        <v> </v>
      </c>
      <c r="J5009" s="26" t="str">
        <f>IF(OR(E5009="",E5009="!!!",F5009="NEW"),"",COUNTBLANK(OFFSET(A$1,,,SUMPRODUCT(MAX(ROW(E$2:E5009)*(E5009=E$2:E5009)))))-COUNTBLANK(OFFSET(A$1,,,SUMPRODUCT(MAX(ROW(E$1:E5008)*(E2=E$1:E5008))))))</f>
        <v> </v>
      </c>
      <c r="K5009" s="26" t="str">
        <f>IF(OR(E5009="",E5009="!!!",F5009="NEW"),"",INDEX(J$1:J5008,SUMPRODUCT(MAX(ROW(E$1:E5008)*(E5009=E$1:E5008)))))</f>
        <v> </v>
      </c>
      <c r="L5009" s="27"/>
    </row>
    <row r="5010" spans="1:12">
      <c r="A5010" s="20" t="s">
        <v>1631</v>
      </c>
      <c r="E5010" s="22">
        <f>IF(D5010="?OLD","!!!","")</f>
        <v/>
      </c>
      <c r="F5010" s="23" t="str">
        <f>IF(OR(E5010="",E5010="!!!"),"",IF(NOT(ISNA(VLOOKUP(E5010,E$1:E5009,1,FALSE()))),"OLD",IF(AND(E5010&lt;&gt;"",E5010&lt;&gt;"!!!"),"NEW","")))</f>
        <v> </v>
      </c>
      <c r="G5010" s="24" t="str">
        <f>IF(OR(E5010="",E5010="!!!"),"",IF(OR(J5010=0,AND(J5010=1,K5010=1),AND(J5010=1,I5010="SBJ"),AND(J5010=1,I5010=0)),"?IN_FOCUS",IF(J5010&lt;=2,"?ACTIVATED",IF(J5010&lt;&gt;"","?FAMILIAR",IF(F5010="NEW",IF(ISNA(VLOOKUP(E5010,#REF!,1,FALSE())),"?TYPE_IDENTIFIABLE","?REFERENTIAL"),"_")))))</f>
        <v> </v>
      </c>
      <c r="H5010" s="25" t="str">
        <f>IF(J5010&lt;&gt;1,"",IF(I5010="SBJ","CB","?"))</f>
        <v> </v>
      </c>
      <c r="I5010" s="26" t="str">
        <f>IF(OR(E5010="",E5010="!!!",F5010="NEW"),"",INDEX(B5009:B$2,-1+SUMPRODUCT(MAX(ROW(E5009:E$2)*(E5010=E5009:E$2)))))</f>
        <v> </v>
      </c>
      <c r="J5010" s="26" t="str">
        <f>IF(OR(E5010="",E5010="!!!",F5010="NEW"),"",COUNTBLANK(OFFSET(A$1,,,SUMPRODUCT(MAX(ROW(E$2:E5010)*(E5010=E$2:E5010)))))-COUNTBLANK(OFFSET(A$1,,,SUMPRODUCT(MAX(ROW(E$1:E5009)*(E2=E$1:E5009))))))</f>
        <v> </v>
      </c>
      <c r="K5010" s="26" t="str">
        <f>IF(OR(E5010="",E5010="!!!",F5010="NEW"),"",INDEX(J$1:J5009,SUMPRODUCT(MAX(ROW(E$1:E5009)*(E5010=E$1:E5009)))))</f>
        <v> </v>
      </c>
      <c r="L5010" s="27"/>
    </row>
    <row r="5011" spans="1:12">
      <c r="A5011" s="20" t="s">
        <v>1229</v>
      </c>
      <c r="B5011" s="21" t="s">
        <v>1071</v>
      </c>
      <c r="C5011" s="21" t="s">
        <v>1230</v>
      </c>
      <c r="E5011" s="22">
        <f>IF(D5011="?OLD","!!!","")</f>
        <v/>
      </c>
      <c r="F5011" s="23" t="str">
        <f>IF(OR(E5011="",E5011="!!!"),"",IF(NOT(ISNA(VLOOKUP(E5011,E$1:E5010,1,FALSE()))),"OLD",IF(AND(E5011&lt;&gt;"",E5011&lt;&gt;"!!!"),"NEW","")))</f>
        <v> </v>
      </c>
      <c r="G5011" s="24" t="str">
        <f>IF(OR(E5011="",E5011="!!!"),"",IF(OR(J5011=0,AND(J5011=1,K5011=1),AND(J5011=1,I5011="SBJ"),AND(J5011=1,I5011=0)),"?IN_FOCUS",IF(J5011&lt;=2,"?ACTIVATED",IF(J5011&lt;&gt;"","?FAMILIAR",IF(F5011="NEW",IF(ISNA(VLOOKUP(E5011,#REF!,1,FALSE())),"?TYPE_IDENTIFIABLE","?REFERENTIAL"),"_")))))</f>
        <v> </v>
      </c>
      <c r="H5011" s="25" t="str">
        <f>IF(J5011&lt;&gt;1,"",IF(I5011="SBJ","CB","?"))</f>
        <v> </v>
      </c>
      <c r="I5011" s="26" t="str">
        <f>IF(OR(E5011="",E5011="!!!",F5011="NEW"),"",INDEX(B5010:B$2,-1+SUMPRODUCT(MAX(ROW(E5010:E$2)*(E5011=E5010:E$2)))))</f>
        <v> </v>
      </c>
      <c r="J5011" s="26" t="str">
        <f>IF(OR(E5011="",E5011="!!!",F5011="NEW"),"",COUNTBLANK(OFFSET(A$1,,,SUMPRODUCT(MAX(ROW(E$2:E5011)*(E5011=E$2:E5011)))))-COUNTBLANK(OFFSET(A$1,,,SUMPRODUCT(MAX(ROW(E$1:E5010)*(E2=E$1:E5010))))))</f>
        <v> </v>
      </c>
      <c r="K5011" s="26" t="str">
        <f>IF(OR(E5011="",E5011="!!!",F5011="NEW"),"",INDEX(J$1:J5010,SUMPRODUCT(MAX(ROW(E$1:E5010)*(E5011=E$1:E5010)))))</f>
        <v> </v>
      </c>
      <c r="L5011" s="27"/>
    </row>
    <row r="5012" spans="1:12">
      <c r="A5012" s="20" t="s">
        <v>1251</v>
      </c>
      <c r="E5012" s="22">
        <f>IF(D5012="?OLD","!!!","")</f>
        <v/>
      </c>
      <c r="F5012" s="23" t="str">
        <f>IF(OR(E5012="",E5012="!!!"),"",IF(NOT(ISNA(VLOOKUP(E5012,E$1:E5011,1,FALSE()))),"OLD",IF(AND(E5012&lt;&gt;"",E5012&lt;&gt;"!!!"),"NEW","")))</f>
        <v> </v>
      </c>
      <c r="G5012" s="24" t="str">
        <f>IF(OR(E5012="",E5012="!!!"),"",IF(OR(J5012=0,AND(J5012=1,K5012=1),AND(J5012=1,I5012="SBJ"),AND(J5012=1,I5012=0)),"?IN_FOCUS",IF(J5012&lt;=2,"?ACTIVATED",IF(J5012&lt;&gt;"","?FAMILIAR",IF(F5012="NEW",IF(ISNA(VLOOKUP(E5012,#REF!,1,FALSE())),"?TYPE_IDENTIFIABLE","?REFERENTIAL"),"_")))))</f>
        <v> </v>
      </c>
      <c r="H5012" s="25" t="str">
        <f>IF(J5012&lt;&gt;1,"",IF(I5012="SBJ","CB","?"))</f>
        <v> </v>
      </c>
      <c r="I5012" s="26" t="str">
        <f>IF(OR(E5012="",E5012="!!!",F5012="NEW"),"",INDEX(B5011:B$2,-1+SUMPRODUCT(MAX(ROW(E5011:E$2)*(E5012=E5011:E$2)))))</f>
        <v> </v>
      </c>
      <c r="J5012" s="26" t="str">
        <f>IF(OR(E5012="",E5012="!!!",F5012="NEW"),"",COUNTBLANK(OFFSET(A$1,,,SUMPRODUCT(MAX(ROW(E$2:E5012)*(E5012=E$2:E5012)))))-COUNTBLANK(OFFSET(A$1,,,SUMPRODUCT(MAX(ROW(E$1:E5011)*(E2=E$1:E5011))))))</f>
        <v> </v>
      </c>
      <c r="K5012" s="26" t="str">
        <f>IF(OR(E5012="",E5012="!!!",F5012="NEW"),"",INDEX(J$1:J5011,SUMPRODUCT(MAX(ROW(E$1:E5011)*(E5012=E$1:E5011)))))</f>
        <v> </v>
      </c>
      <c r="L5012" s="27"/>
    </row>
    <row r="5013" spans="1:12">
      <c r="A5013" s="20"/>
    </row>
    <row r="5014" spans="1:12">
      <c r="A5014" s="20" t="s">
        <v>2153</v>
      </c>
    </row>
    <row r="5015" spans="1:12">
      <c r="A5015" s="20" t="s">
        <v>1247</v>
      </c>
      <c r="E5015" s="22">
        <f>IF(D5015="?OLD","!!!","")</f>
        <v/>
      </c>
      <c r="F5015" s="23" t="str">
        <f>IF(OR(E5015="",E5015="!!!"),"",IF(NOT(ISNA(VLOOKUP(E5015,E$1:E5014,1,FALSE()))),"OLD",IF(AND(E5015&lt;&gt;"",E5015&lt;&gt;"!!!"),"NEW","")))</f>
        <v> </v>
      </c>
      <c r="G5015" s="24" t="str">
        <f>IF(OR(E5015="",E5015="!!!"),"",IF(OR(J5015=0,AND(J5015=1,K5015=1),AND(J5015=1,I5015="SBJ"),AND(J5015=1,I5015=0)),"?IN_FOCUS",IF(J5015&lt;=2,"?ACTIVATED",IF(J5015&lt;&gt;"","?FAMILIAR",IF(F5015="NEW",IF(ISNA(VLOOKUP(E5015,#REF!,1,FALSE())),"?TYPE_IDENTIFIABLE","?REFERENTIAL"),"_")))))</f>
        <v> </v>
      </c>
      <c r="H5015" s="25" t="str">
        <f>IF(J5015&lt;&gt;1,"",IF(I5015="SBJ","CB","?"))</f>
        <v> </v>
      </c>
      <c r="I5015" s="26" t="str">
        <f>IF(OR(E5015="",E5015="!!!",F5015="NEW"),"",INDEX(B5014:B$2,-1+SUMPRODUCT(MAX(ROW(E5014:E$2)*(E5015=E5014:E$2)))))</f>
        <v> </v>
      </c>
      <c r="J5015" s="26" t="str">
        <f>IF(OR(E5015="",E5015="!!!",F5015="NEW"),"",COUNTBLANK(OFFSET(A$1,,,SUMPRODUCT(MAX(ROW(E$2:E5015)*(E5015=E$2:E5015)))))-COUNTBLANK(OFFSET(A$1,,,SUMPRODUCT(MAX(ROW(E$1:E5014)*(E2=E$1:E5014))))))</f>
        <v> </v>
      </c>
      <c r="K5015" s="26" t="str">
        <f>IF(OR(E5015="",E5015="!!!",F5015="NEW"),"",INDEX(J$1:J5014,SUMPRODUCT(MAX(ROW(E$1:E5014)*(E5015=E$1:E5014)))))</f>
        <v> </v>
      </c>
      <c r="L5015" s="27"/>
    </row>
    <row r="5016" spans="1:12">
      <c r="A5016" s="20" t="s">
        <v>1052</v>
      </c>
      <c r="B5016" s="21" t="s">
        <v>1009</v>
      </c>
      <c r="C5016" s="21" t="s">
        <v>1010</v>
      </c>
      <c r="D5016" s="21" t="s">
        <v>1011</v>
      </c>
      <c r="E5016" s="22">
        <f>IF(D5016="?OLD","!!!","")</f>
        <v/>
      </c>
      <c r="F5016" s="23" t="str">
        <f>IF(OR(E5016="",E5016="!!!"),"",IF(NOT(ISNA(VLOOKUP(E5016,E$1:E5015,1,FALSE()))),"OLD",IF(AND(E5016&lt;&gt;"",E5016&lt;&gt;"!!!"),"NEW","")))</f>
        <v> </v>
      </c>
      <c r="G5016" s="24" t="str">
        <f>IF(OR(E5016="",E5016="!!!"),"",IF(OR(J5016=0,AND(J5016=1,K5016=1),AND(J5016=1,I5016="SBJ"),AND(J5016=1,I5016=0)),"?IN_FOCUS",IF(J5016&lt;=2,"?ACTIVATED",IF(J5016&lt;&gt;"","?FAMILIAR",IF(F5016="NEW",IF(ISNA(VLOOKUP(E5016,#REF!,1,FALSE())),"?TYPE_IDENTIFIABLE","?REFERENTIAL"),"_")))))</f>
        <v> </v>
      </c>
      <c r="H5016" s="25" t="str">
        <f>IF(J5016&lt;&gt;1,"",IF(I5016="SBJ","CB","?"))</f>
        <v> </v>
      </c>
      <c r="I5016" s="26" t="str">
        <f>IF(OR(E5016="",E5016="!!!",F5016="NEW"),"",INDEX(B5015:B$2,-1+SUMPRODUCT(MAX(ROW(E5015:E$2)*(E5016=E5015:E$2)))))</f>
        <v> </v>
      </c>
      <c r="J5016" s="26" t="str">
        <f>IF(OR(E5016="",E5016="!!!",F5016="NEW"),"",COUNTBLANK(OFFSET(A$1,,,SUMPRODUCT(MAX(ROW(E$2:E5016)*(E5016=E$2:E5016)))))-COUNTBLANK(OFFSET(A$1,,,SUMPRODUCT(MAX(ROW(E$1:E5015)*(E2=E$1:E5015))))))</f>
        <v> </v>
      </c>
      <c r="K5016" s="26" t="str">
        <f>IF(OR(E5016="",E5016="!!!",F5016="NEW"),"",INDEX(J$1:J5015,SUMPRODUCT(MAX(ROW(E$1:E5015)*(E5016=E$1:E5015)))))</f>
        <v> </v>
      </c>
      <c r="L5016" s="27"/>
    </row>
    <row r="5017" spans="1:12">
      <c r="A5017" s="20" t="s">
        <v>90</v>
      </c>
      <c r="E5017" s="22">
        <f>IF(D5017="?OLD","!!!","")</f>
        <v/>
      </c>
      <c r="F5017" s="23" t="str">
        <f>IF(OR(E5017="",E5017="!!!"),"",IF(NOT(ISNA(VLOOKUP(E5017,E$1:E5016,1,FALSE()))),"OLD",IF(AND(E5017&lt;&gt;"",E5017&lt;&gt;"!!!"),"NEW","")))</f>
        <v> </v>
      </c>
      <c r="G5017" s="24" t="str">
        <f>IF(OR(E5017="",E5017="!!!"),"",IF(OR(J5017=0,AND(J5017=1,K5017=1),AND(J5017=1,I5017="SBJ"),AND(J5017=1,I5017=0)),"?IN_FOCUS",IF(J5017&lt;=2,"?ACTIVATED",IF(J5017&lt;&gt;"","?FAMILIAR",IF(F5017="NEW",IF(ISNA(VLOOKUP(E5017,#REF!,1,FALSE())),"?TYPE_IDENTIFIABLE","?REFERENTIAL"),"_")))))</f>
        <v> </v>
      </c>
      <c r="H5017" s="25" t="str">
        <f>IF(J5017&lt;&gt;1,"",IF(I5017="SBJ","CB","?"))</f>
        <v> </v>
      </c>
      <c r="I5017" s="26" t="str">
        <f>IF(OR(E5017="",E5017="!!!",F5017="NEW"),"",INDEX(B5016:B$2,-1+SUMPRODUCT(MAX(ROW(E5016:E$2)*(E5017=E5016:E$2)))))</f>
        <v> </v>
      </c>
      <c r="J5017" s="26" t="str">
        <f>IF(OR(E5017="",E5017="!!!",F5017="NEW"),"",COUNTBLANK(OFFSET(A$1,,,SUMPRODUCT(MAX(ROW(E$2:E5017)*(E5017=E$2:E5017)))))-COUNTBLANK(OFFSET(A$1,,,SUMPRODUCT(MAX(ROW(E$1:E5016)*(E2=E$1:E5016))))))</f>
        <v> </v>
      </c>
      <c r="K5017" s="26" t="str">
        <f>IF(OR(E5017="",E5017="!!!",F5017="NEW"),"",INDEX(J$1:J5016,SUMPRODUCT(MAX(ROW(E$1:E5016)*(E5017=E$1:E5016)))))</f>
        <v> </v>
      </c>
      <c r="L5017" s="27"/>
    </row>
    <row r="5018" spans="1:12">
      <c r="A5018" s="20" t="s">
        <v>1014</v>
      </c>
      <c r="E5018" s="22">
        <f>IF(D5018="?OLD","!!!","")</f>
        <v/>
      </c>
      <c r="F5018" s="23" t="str">
        <f>IF(OR(E5018="",E5018="!!!"),"",IF(NOT(ISNA(VLOOKUP(E5018,E$1:E5017,1,FALSE()))),"OLD",IF(AND(E5018&lt;&gt;"",E5018&lt;&gt;"!!!"),"NEW","")))</f>
        <v> </v>
      </c>
      <c r="G5018" s="24" t="str">
        <f>IF(OR(E5018="",E5018="!!!"),"",IF(OR(J5018=0,AND(J5018=1,K5018=1),AND(J5018=1,I5018="SBJ"),AND(J5018=1,I5018=0)),"?IN_FOCUS",IF(J5018&lt;=2,"?ACTIVATED",IF(J5018&lt;&gt;"","?FAMILIAR",IF(F5018="NEW",IF(ISNA(VLOOKUP(E5018,#REF!,1,FALSE())),"?TYPE_IDENTIFIABLE","?REFERENTIAL"),"_")))))</f>
        <v> </v>
      </c>
      <c r="H5018" s="25" t="str">
        <f>IF(J5018&lt;&gt;1,"",IF(I5018="SBJ","CB","?"))</f>
        <v> </v>
      </c>
      <c r="I5018" s="26" t="str">
        <f>IF(OR(E5018="",E5018="!!!",F5018="NEW"),"",INDEX(B5017:B$2,-1+SUMPRODUCT(MAX(ROW(E5017:E$2)*(E5018=E5017:E$2)))))</f>
        <v> </v>
      </c>
      <c r="J5018" s="26" t="str">
        <f>IF(OR(E5018="",E5018="!!!",F5018="NEW"),"",COUNTBLANK(OFFSET(A$1,,,SUMPRODUCT(MAX(ROW(E$2:E5018)*(E5018=E$2:E5018)))))-COUNTBLANK(OFFSET(A$1,,,SUMPRODUCT(MAX(ROW(E$1:E5017)*(E2=E$1:E5017))))))</f>
        <v> </v>
      </c>
      <c r="K5018" s="26" t="str">
        <f>IF(OR(E5018="",E5018="!!!",F5018="NEW"),"",INDEX(J$1:J5017,SUMPRODUCT(MAX(ROW(E$1:E5017)*(E5018=E$1:E5017)))))</f>
        <v> </v>
      </c>
      <c r="L5018" s="27"/>
    </row>
    <row r="5019" spans="1:12">
      <c r="A5019" s="20" t="s">
        <v>763</v>
      </c>
      <c r="E5019" s="22">
        <f>IF(D5019="?OLD","!!!","")</f>
        <v/>
      </c>
      <c r="F5019" s="23" t="str">
        <f>IF(OR(E5019="",E5019="!!!"),"",IF(NOT(ISNA(VLOOKUP(E5019,E$1:E5018,1,FALSE()))),"OLD",IF(AND(E5019&lt;&gt;"",E5019&lt;&gt;"!!!"),"NEW","")))</f>
        <v> </v>
      </c>
      <c r="G5019" s="24" t="str">
        <f>IF(OR(E5019="",E5019="!!!"),"",IF(OR(J5019=0,AND(J5019=1,K5019=1),AND(J5019=1,I5019="SBJ"),AND(J5019=1,I5019=0)),"?IN_FOCUS",IF(J5019&lt;=2,"?ACTIVATED",IF(J5019&lt;&gt;"","?FAMILIAR",IF(F5019="NEW",IF(ISNA(VLOOKUP(E5019,#REF!,1,FALSE())),"?TYPE_IDENTIFIABLE","?REFERENTIAL"),"_")))))</f>
        <v> </v>
      </c>
      <c r="H5019" s="25" t="str">
        <f>IF(J5019&lt;&gt;1,"",IF(I5019="SBJ","CB","?"))</f>
        <v> </v>
      </c>
      <c r="I5019" s="26" t="str">
        <f>IF(OR(E5019="",E5019="!!!",F5019="NEW"),"",INDEX(B5018:B$2,-1+SUMPRODUCT(MAX(ROW(E5018:E$2)*(E5019=E5018:E$2)))))</f>
        <v> </v>
      </c>
      <c r="J5019" s="26" t="str">
        <f>IF(OR(E5019="",E5019="!!!",F5019="NEW"),"",COUNTBLANK(OFFSET(A$1,,,SUMPRODUCT(MAX(ROW(E$2:E5019)*(E5019=E$2:E5019)))))-COUNTBLANK(OFFSET(A$1,,,SUMPRODUCT(MAX(ROW(E$1:E5018)*(E2=E$1:E5018))))))</f>
        <v> </v>
      </c>
      <c r="K5019" s="26" t="str">
        <f>IF(OR(E5019="",E5019="!!!",F5019="NEW"),"",INDEX(J$1:J5018,SUMPRODUCT(MAX(ROW(E$1:E5018)*(E5019=E$1:E5018)))))</f>
        <v> </v>
      </c>
      <c r="L5019" s="27"/>
    </row>
    <row r="5020" spans="1:12">
      <c r="A5020" s="20" t="s">
        <v>1774</v>
      </c>
      <c r="E5020" s="22">
        <f>IF(D5020="?OLD","!!!","")</f>
        <v/>
      </c>
      <c r="F5020" s="23" t="str">
        <f>IF(OR(E5020="",E5020="!!!"),"",IF(NOT(ISNA(VLOOKUP(E5020,E$1:E5019,1,FALSE()))),"OLD",IF(AND(E5020&lt;&gt;"",E5020&lt;&gt;"!!!"),"NEW","")))</f>
        <v> </v>
      </c>
      <c r="G5020" s="24" t="str">
        <f>IF(OR(E5020="",E5020="!!!"),"",IF(OR(J5020=0,AND(J5020=1,K5020=1),AND(J5020=1,I5020="SBJ"),AND(J5020=1,I5020=0)),"?IN_FOCUS",IF(J5020&lt;=2,"?ACTIVATED",IF(J5020&lt;&gt;"","?FAMILIAR",IF(F5020="NEW",IF(ISNA(VLOOKUP(E5020,#REF!,1,FALSE())),"?TYPE_IDENTIFIABLE","?REFERENTIAL"),"_")))))</f>
        <v> </v>
      </c>
      <c r="H5020" s="25" t="str">
        <f>IF(J5020&lt;&gt;1,"",IF(I5020="SBJ","CB","?"))</f>
        <v> </v>
      </c>
      <c r="I5020" s="26" t="str">
        <f>IF(OR(E5020="",E5020="!!!",F5020="NEW"),"",INDEX(B5019:B$2,-1+SUMPRODUCT(MAX(ROW(E5019:E$2)*(E5020=E5019:E$2)))))</f>
        <v> </v>
      </c>
      <c r="J5020" s="26" t="str">
        <f>IF(OR(E5020="",E5020="!!!",F5020="NEW"),"",COUNTBLANK(OFFSET(A$1,,,SUMPRODUCT(MAX(ROW(E$2:E5020)*(E5020=E$2:E5020)))))-COUNTBLANK(OFFSET(A$1,,,SUMPRODUCT(MAX(ROW(E$1:E5019)*(E2=E$1:E5019))))))</f>
        <v> </v>
      </c>
      <c r="K5020" s="26" t="str">
        <f>IF(OR(E5020="",E5020="!!!",F5020="NEW"),"",INDEX(J$1:J5019,SUMPRODUCT(MAX(ROW(E$1:E5019)*(E5020=E$1:E5019)))))</f>
        <v> </v>
      </c>
      <c r="L5020" s="27"/>
    </row>
    <row r="5021" spans="1:12">
      <c r="A5021" s="20" t="s">
        <v>2154</v>
      </c>
      <c r="E5021" s="22">
        <f>IF(D5021="?OLD","!!!","")</f>
        <v/>
      </c>
      <c r="F5021" s="23" t="str">
        <f>IF(OR(E5021="",E5021="!!!"),"",IF(NOT(ISNA(VLOOKUP(E5021,E$1:E5020,1,FALSE()))),"OLD",IF(AND(E5021&lt;&gt;"",E5021&lt;&gt;"!!!"),"NEW","")))</f>
        <v> </v>
      </c>
      <c r="G5021" s="24" t="str">
        <f>IF(OR(E5021="",E5021="!!!"),"",IF(OR(J5021=0,AND(J5021=1,K5021=1),AND(J5021=1,I5021="SBJ"),AND(J5021=1,I5021=0)),"?IN_FOCUS",IF(J5021&lt;=2,"?ACTIVATED",IF(J5021&lt;&gt;"","?FAMILIAR",IF(F5021="NEW",IF(ISNA(VLOOKUP(E5021,#REF!,1,FALSE())),"?TYPE_IDENTIFIABLE","?REFERENTIAL"),"_")))))</f>
        <v> </v>
      </c>
      <c r="H5021" s="25" t="str">
        <f>IF(J5021&lt;&gt;1,"",IF(I5021="SBJ","CB","?"))</f>
        <v> </v>
      </c>
      <c r="I5021" s="26" t="str">
        <f>IF(OR(E5021="",E5021="!!!",F5021="NEW"),"",INDEX(B5020:B$2,-1+SUMPRODUCT(MAX(ROW(E5020:E$2)*(E5021=E5020:E$2)))))</f>
        <v> </v>
      </c>
      <c r="J5021" s="26" t="str">
        <f>IF(OR(E5021="",E5021="!!!",F5021="NEW"),"",COUNTBLANK(OFFSET(A$1,,,SUMPRODUCT(MAX(ROW(E$2:E5021)*(E5021=E$2:E5021)))))-COUNTBLANK(OFFSET(A$1,,,SUMPRODUCT(MAX(ROW(E$1:E5020)*(E2=E$1:E5020))))))</f>
        <v> </v>
      </c>
      <c r="K5021" s="26" t="str">
        <f>IF(OR(E5021="",E5021="!!!",F5021="NEW"),"",INDEX(J$1:J5020,SUMPRODUCT(MAX(ROW(E$1:E5020)*(E5021=E$1:E5020)))))</f>
        <v> </v>
      </c>
      <c r="L5021" s="27"/>
    </row>
    <row r="5022" spans="1:12">
      <c r="A5022" s="20" t="s">
        <v>1895</v>
      </c>
      <c r="B5022" s="21" t="s">
        <v>1142</v>
      </c>
      <c r="C5022" s="21" t="s">
        <v>1017</v>
      </c>
      <c r="E5022" s="22">
        <f>IF(D5022="?OLD","!!!","")</f>
        <v/>
      </c>
      <c r="F5022" s="23" t="str">
        <f>IF(OR(E5022="",E5022="!!!"),"",IF(NOT(ISNA(VLOOKUP(E5022,E$1:E5021,1,FALSE()))),"OLD",IF(AND(E5022&lt;&gt;"",E5022&lt;&gt;"!!!"),"NEW","")))</f>
        <v> </v>
      </c>
      <c r="G5022" s="24" t="str">
        <f>IF(OR(E5022="",E5022="!!!"),"",IF(OR(J5022=0,AND(J5022=1,K5022=1),AND(J5022=1,I5022="SBJ"),AND(J5022=1,I5022=0)),"?IN_FOCUS",IF(J5022&lt;=2,"?ACTIVATED",IF(J5022&lt;&gt;"","?FAMILIAR",IF(F5022="NEW",IF(ISNA(VLOOKUP(E5022,#REF!,1,FALSE())),"?TYPE_IDENTIFIABLE","?REFERENTIAL"),"_")))))</f>
        <v> </v>
      </c>
      <c r="H5022" s="25" t="str">
        <f>IF(J5022&lt;&gt;1,"",IF(I5022="SBJ","CB","?"))</f>
        <v> </v>
      </c>
      <c r="I5022" s="26" t="str">
        <f>IF(OR(E5022="",E5022="!!!",F5022="NEW"),"",INDEX(B5021:B$2,-1+SUMPRODUCT(MAX(ROW(E5021:E$2)*(E5022=E5021:E$2)))))</f>
        <v> </v>
      </c>
      <c r="J5022" s="26" t="str">
        <f>IF(OR(E5022="",E5022="!!!",F5022="NEW"),"",COUNTBLANK(OFFSET(A$1,,,SUMPRODUCT(MAX(ROW(E$2:E5022)*(E5022=E$2:E5022)))))-COUNTBLANK(OFFSET(A$1,,,SUMPRODUCT(MAX(ROW(E$1:E5021)*(E2=E$1:E5021))))))</f>
        <v> </v>
      </c>
      <c r="K5022" s="26" t="str">
        <f>IF(OR(E5022="",E5022="!!!",F5022="NEW"),"",INDEX(J$1:J5021,SUMPRODUCT(MAX(ROW(E$1:E5021)*(E5022=E$1:E5021)))))</f>
        <v> </v>
      </c>
      <c r="L5022" s="27"/>
    </row>
    <row r="5023" spans="1:12">
      <c r="A5023" s="20" t="s">
        <v>1014</v>
      </c>
      <c r="E5023" s="22">
        <f>IF(D5023="?OLD","!!!","")</f>
        <v/>
      </c>
      <c r="F5023" s="23" t="str">
        <f>IF(OR(E5023="",E5023="!!!"),"",IF(NOT(ISNA(VLOOKUP(E5023,E$1:E5022,1,FALSE()))),"OLD",IF(AND(E5023&lt;&gt;"",E5023&lt;&gt;"!!!"),"NEW","")))</f>
        <v> </v>
      </c>
      <c r="G5023" s="24" t="str">
        <f>IF(OR(E5023="",E5023="!!!"),"",IF(OR(J5023=0,AND(J5023=1,K5023=1),AND(J5023=1,I5023="SBJ"),AND(J5023=1,I5023=0)),"?IN_FOCUS",IF(J5023&lt;=2,"?ACTIVATED",IF(J5023&lt;&gt;"","?FAMILIAR",IF(F5023="NEW",IF(ISNA(VLOOKUP(E5023,#REF!,1,FALSE())),"?TYPE_IDENTIFIABLE","?REFERENTIAL"),"_")))))</f>
        <v> </v>
      </c>
      <c r="H5023" s="25" t="str">
        <f>IF(J5023&lt;&gt;1,"",IF(I5023="SBJ","CB","?"))</f>
        <v> </v>
      </c>
      <c r="I5023" s="26" t="str">
        <f>IF(OR(E5023="",E5023="!!!",F5023="NEW"),"",INDEX(B5022:B$2,-1+SUMPRODUCT(MAX(ROW(E5022:E$2)*(E5023=E5022:E$2)))))</f>
        <v> </v>
      </c>
      <c r="J5023" s="26" t="str">
        <f>IF(OR(E5023="",E5023="!!!",F5023="NEW"),"",COUNTBLANK(OFFSET(A$1,,,SUMPRODUCT(MAX(ROW(E$2:E5023)*(E5023=E$2:E5023)))))-COUNTBLANK(OFFSET(A$1,,,SUMPRODUCT(MAX(ROW(E$1:E5022)*(E2=E$1:E5022))))))</f>
        <v> </v>
      </c>
      <c r="K5023" s="26" t="str">
        <f>IF(OR(E5023="",E5023="!!!",F5023="NEW"),"",INDEX(J$1:J5022,SUMPRODUCT(MAX(ROW(E$1:E5022)*(E5023=E$1:E5022)))))</f>
        <v> </v>
      </c>
      <c r="L5023" s="27"/>
    </row>
    <row r="5024" spans="1:12">
      <c r="A5024" s="20" t="s">
        <v>1718</v>
      </c>
      <c r="E5024" s="22">
        <f>IF(D5024="?OLD","!!!","")</f>
        <v/>
      </c>
      <c r="F5024" s="23" t="str">
        <f>IF(OR(E5024="",E5024="!!!"),"",IF(NOT(ISNA(VLOOKUP(E5024,E$1:E5023,1,FALSE()))),"OLD",IF(AND(E5024&lt;&gt;"",E5024&lt;&gt;"!!!"),"NEW","")))</f>
        <v> </v>
      </c>
      <c r="G5024" s="24" t="str">
        <f>IF(OR(E5024="",E5024="!!!"),"",IF(OR(J5024=0,AND(J5024=1,K5024=1),AND(J5024=1,I5024="SBJ"),AND(J5024=1,I5024=0)),"?IN_FOCUS",IF(J5024&lt;=2,"?ACTIVATED",IF(J5024&lt;&gt;"","?FAMILIAR",IF(F5024="NEW",IF(ISNA(VLOOKUP(E5024,#REF!,1,FALSE())),"?TYPE_IDENTIFIABLE","?REFERENTIAL"),"_")))))</f>
        <v> </v>
      </c>
      <c r="H5024" s="25" t="str">
        <f>IF(J5024&lt;&gt;1,"",IF(I5024="SBJ","CB","?"))</f>
        <v> </v>
      </c>
      <c r="I5024" s="26" t="str">
        <f>IF(OR(E5024="",E5024="!!!",F5024="NEW"),"",INDEX(B5023:B$2,-1+SUMPRODUCT(MAX(ROW(E5023:E$2)*(E5024=E5023:E$2)))))</f>
        <v> </v>
      </c>
      <c r="J5024" s="26" t="str">
        <f>IF(OR(E5024="",E5024="!!!",F5024="NEW"),"",COUNTBLANK(OFFSET(A$1,,,SUMPRODUCT(MAX(ROW(E$2:E5024)*(E5024=E$2:E5024)))))-COUNTBLANK(OFFSET(A$1,,,SUMPRODUCT(MAX(ROW(E$1:E5023)*(E2=E$1:E5023))))))</f>
        <v> </v>
      </c>
      <c r="K5024" s="26" t="str">
        <f>IF(OR(E5024="",E5024="!!!",F5024="NEW"),"",INDEX(J$1:J5023,SUMPRODUCT(MAX(ROW(E$1:E5023)*(E5024=E$1:E5023)))))</f>
        <v> </v>
      </c>
      <c r="L5024" s="27"/>
    </row>
    <row r="5025" spans="1:12">
      <c r="A5025" s="20" t="s">
        <v>1020</v>
      </c>
      <c r="E5025" s="22">
        <f>IF(D5025="?OLD","!!!","")</f>
        <v/>
      </c>
      <c r="F5025" s="23" t="str">
        <f>IF(OR(E5025="",E5025="!!!"),"",IF(NOT(ISNA(VLOOKUP(E5025,E$1:E5024,1,FALSE()))),"OLD",IF(AND(E5025&lt;&gt;"",E5025&lt;&gt;"!!!"),"NEW","")))</f>
        <v> </v>
      </c>
      <c r="G5025" s="24" t="str">
        <f>IF(OR(E5025="",E5025="!!!"),"",IF(OR(J5025=0,AND(J5025=1,K5025=1),AND(J5025=1,I5025="SBJ"),AND(J5025=1,I5025=0)),"?IN_FOCUS",IF(J5025&lt;=2,"?ACTIVATED",IF(J5025&lt;&gt;"","?FAMILIAR",IF(F5025="NEW",IF(ISNA(VLOOKUP(E5025,#REF!,1,FALSE())),"?TYPE_IDENTIFIABLE","?REFERENTIAL"),"_")))))</f>
        <v> </v>
      </c>
      <c r="H5025" s="25" t="str">
        <f>IF(J5025&lt;&gt;1,"",IF(I5025="SBJ","CB","?"))</f>
        <v> </v>
      </c>
      <c r="I5025" s="26" t="str">
        <f>IF(OR(E5025="",E5025="!!!",F5025="NEW"),"",INDEX(B5024:B$2,-1+SUMPRODUCT(MAX(ROW(E5024:E$2)*(E5025=E5024:E$2)))))</f>
        <v> </v>
      </c>
      <c r="J5025" s="26" t="str">
        <f>IF(OR(E5025="",E5025="!!!",F5025="NEW"),"",COUNTBLANK(OFFSET(A$1,,,SUMPRODUCT(MAX(ROW(E$2:E5025)*(E5025=E$2:E5025)))))-COUNTBLANK(OFFSET(A$1,,,SUMPRODUCT(MAX(ROW(E$1:E5024)*(E2=E$1:E5024))))))</f>
        <v> </v>
      </c>
      <c r="K5025" s="26" t="str">
        <f>IF(OR(E5025="",E5025="!!!",F5025="NEW"),"",INDEX(J$1:J5024,SUMPRODUCT(MAX(ROW(E$1:E5024)*(E5025=E$1:E5024)))))</f>
        <v> </v>
      </c>
      <c r="L5025" s="27"/>
    </row>
    <row r="5026" spans="1:12">
      <c r="A5026" s="20" t="s">
        <v>2155</v>
      </c>
      <c r="E5026" s="22">
        <f>IF(D5026="?OLD","!!!","")</f>
        <v/>
      </c>
      <c r="F5026" s="23" t="str">
        <f>IF(OR(E5026="",E5026="!!!"),"",IF(NOT(ISNA(VLOOKUP(E5026,E$1:E5025,1,FALSE()))),"OLD",IF(AND(E5026&lt;&gt;"",E5026&lt;&gt;"!!!"),"NEW","")))</f>
        <v> </v>
      </c>
      <c r="G5026" s="24" t="str">
        <f>IF(OR(E5026="",E5026="!!!"),"",IF(OR(J5026=0,AND(J5026=1,K5026=1),AND(J5026=1,I5026="SBJ"),AND(J5026=1,I5026=0)),"?IN_FOCUS",IF(J5026&lt;=2,"?ACTIVATED",IF(J5026&lt;&gt;"","?FAMILIAR",IF(F5026="NEW",IF(ISNA(VLOOKUP(E5026,#REF!,1,FALSE())),"?TYPE_IDENTIFIABLE","?REFERENTIAL"),"_")))))</f>
        <v> </v>
      </c>
      <c r="H5026" s="25" t="str">
        <f>IF(J5026&lt;&gt;1,"",IF(I5026="SBJ","CB","?"))</f>
        <v> </v>
      </c>
      <c r="I5026" s="26" t="str">
        <f>IF(OR(E5026="",E5026="!!!",F5026="NEW"),"",INDEX(B5025:B$2,-1+SUMPRODUCT(MAX(ROW(E5025:E$2)*(E5026=E5025:E$2)))))</f>
        <v> </v>
      </c>
      <c r="J5026" s="26" t="str">
        <f>IF(OR(E5026="",E5026="!!!",F5026="NEW"),"",COUNTBLANK(OFFSET(A$1,,,SUMPRODUCT(MAX(ROW(E$2:E5026)*(E5026=E$2:E5026)))))-COUNTBLANK(OFFSET(A$1,,,SUMPRODUCT(MAX(ROW(E$1:E5025)*(E2=E$1:E5025))))))</f>
        <v> </v>
      </c>
      <c r="K5026" s="26" t="str">
        <f>IF(OR(E5026="",E5026="!!!",F5026="NEW"),"",INDEX(J$1:J5025,SUMPRODUCT(MAX(ROW(E$1:E5025)*(E5026=E$1:E5025)))))</f>
        <v> </v>
      </c>
      <c r="L5026" s="27"/>
    </row>
    <row r="5027" spans="1:12">
      <c r="A5027" s="20" t="s">
        <v>1042</v>
      </c>
      <c r="E5027" s="22">
        <f>IF(D5027="?OLD","!!!","")</f>
        <v/>
      </c>
      <c r="F5027" s="23" t="str">
        <f>IF(OR(E5027="",E5027="!!!"),"",IF(NOT(ISNA(VLOOKUP(E5027,E$1:E5026,1,FALSE()))),"OLD",IF(AND(E5027&lt;&gt;"",E5027&lt;&gt;"!!!"),"NEW","")))</f>
        <v> </v>
      </c>
      <c r="G5027" s="24" t="str">
        <f>IF(OR(E5027="",E5027="!!!"),"",IF(OR(J5027=0,AND(J5027=1,K5027=1),AND(J5027=1,I5027="SBJ"),AND(J5027=1,I5027=0)),"?IN_FOCUS",IF(J5027&lt;=2,"?ACTIVATED",IF(J5027&lt;&gt;"","?FAMILIAR",IF(F5027="NEW",IF(ISNA(VLOOKUP(E5027,#REF!,1,FALSE())),"?TYPE_IDENTIFIABLE","?REFERENTIAL"),"_")))))</f>
        <v> </v>
      </c>
      <c r="H5027" s="25" t="str">
        <f>IF(J5027&lt;&gt;1,"",IF(I5027="SBJ","CB","?"))</f>
        <v> </v>
      </c>
      <c r="I5027" s="26" t="str">
        <f>IF(OR(E5027="",E5027="!!!",F5027="NEW"),"",INDEX(B5026:B$2,-1+SUMPRODUCT(MAX(ROW(E5026:E$2)*(E5027=E5026:E$2)))))</f>
        <v> </v>
      </c>
      <c r="J5027" s="26" t="str">
        <f>IF(OR(E5027="",E5027="!!!",F5027="NEW"),"",COUNTBLANK(OFFSET(A$1,,,SUMPRODUCT(MAX(ROW(E$2:E5027)*(E5027=E$2:E5027)))))-COUNTBLANK(OFFSET(A$1,,,SUMPRODUCT(MAX(ROW(E$1:E5026)*(E2=E$1:E5026))))))</f>
        <v> </v>
      </c>
      <c r="K5027" s="26" t="str">
        <f>IF(OR(E5027="",E5027="!!!",F5027="NEW"),"",INDEX(J$1:J5026,SUMPRODUCT(MAX(ROW(E$1:E5026)*(E5027=E$1:E5026)))))</f>
        <v> </v>
      </c>
      <c r="L5027" s="27"/>
    </row>
    <row r="5028" spans="1:12">
      <c r="A5028" s="20" t="s">
        <v>1209</v>
      </c>
      <c r="B5028" s="21" t="s">
        <v>1767</v>
      </c>
      <c r="C5028" s="21" t="s">
        <v>1044</v>
      </c>
      <c r="D5028" s="21" t="s">
        <v>1011</v>
      </c>
      <c r="E5028" s="22">
        <f>IF(D5028="?OLD","!!!","")</f>
        <v/>
      </c>
      <c r="F5028" s="23" t="str">
        <f>IF(OR(E5028="",E5028="!!!"),"",IF(NOT(ISNA(VLOOKUP(E5028,E$1:E5027,1,FALSE()))),"OLD",IF(AND(E5028&lt;&gt;"",E5028&lt;&gt;"!!!"),"NEW","")))</f>
        <v> </v>
      </c>
      <c r="G5028" s="24" t="str">
        <f>IF(OR(E5028="",E5028="!!!"),"",IF(OR(J5028=0,AND(J5028=1,K5028=1),AND(J5028=1,I5028="SBJ"),AND(J5028=1,I5028=0)),"?IN_FOCUS",IF(J5028&lt;=2,"?ACTIVATED",IF(J5028&lt;&gt;"","?FAMILIAR",IF(F5028="NEW",IF(ISNA(VLOOKUP(E5028,#REF!,1,FALSE())),"?TYPE_IDENTIFIABLE","?REFERENTIAL"),"_")))))</f>
        <v> </v>
      </c>
      <c r="H5028" s="25" t="str">
        <f>IF(J5028&lt;&gt;1,"",IF(I5028="SBJ","CB","?"))</f>
        <v> </v>
      </c>
      <c r="I5028" s="26" t="str">
        <f>IF(OR(E5028="",E5028="!!!",F5028="NEW"),"",INDEX(B5027:B$2,-1+SUMPRODUCT(MAX(ROW(E5027:E$2)*(E5028=E5027:E$2)))))</f>
        <v> </v>
      </c>
      <c r="J5028" s="26" t="str">
        <f>IF(OR(E5028="",E5028="!!!",F5028="NEW"),"",COUNTBLANK(OFFSET(A$1,,,SUMPRODUCT(MAX(ROW(E$2:E5028)*(E5028=E$2:E5028)))))-COUNTBLANK(OFFSET(A$1,,,SUMPRODUCT(MAX(ROW(E$1:E5027)*(E2=E$1:E5027))))))</f>
        <v> </v>
      </c>
      <c r="K5028" s="26" t="str">
        <f>IF(OR(E5028="",E5028="!!!",F5028="NEW"),"",INDEX(J$1:J5027,SUMPRODUCT(MAX(ROW(E$1:E5027)*(E5028=E$1:E5027)))))</f>
        <v> </v>
      </c>
      <c r="L5028" s="27"/>
    </row>
    <row r="5029" spans="1:12">
      <c r="A5029" s="20" t="s">
        <v>1132</v>
      </c>
      <c r="E5029" s="22">
        <f>IF(D5029="?OLD","!!!","")</f>
        <v/>
      </c>
      <c r="F5029" s="23" t="str">
        <f>IF(OR(E5029="",E5029="!!!"),"",IF(NOT(ISNA(VLOOKUP(E5029,E$1:E5028,1,FALSE()))),"OLD",IF(AND(E5029&lt;&gt;"",E5029&lt;&gt;"!!!"),"NEW","")))</f>
        <v> </v>
      </c>
      <c r="G5029" s="24" t="str">
        <f>IF(OR(E5029="",E5029="!!!"),"",IF(OR(J5029=0,AND(J5029=1,K5029=1),AND(J5029=1,I5029="SBJ"),AND(J5029=1,I5029=0)),"?IN_FOCUS",IF(J5029&lt;=2,"?ACTIVATED",IF(J5029&lt;&gt;"","?FAMILIAR",IF(F5029="NEW",IF(ISNA(VLOOKUP(E5029,#REF!,1,FALSE())),"?TYPE_IDENTIFIABLE","?REFERENTIAL"),"_")))))</f>
        <v> </v>
      </c>
      <c r="H5029" s="25" t="str">
        <f>IF(J5029&lt;&gt;1,"",IF(I5029="SBJ","CB","?"))</f>
        <v> </v>
      </c>
      <c r="I5029" s="26" t="str">
        <f>IF(OR(E5029="",E5029="!!!",F5029="NEW"),"",INDEX(B5028:B$2,-1+SUMPRODUCT(MAX(ROW(E5028:E$2)*(E5029=E5028:E$2)))))</f>
        <v> </v>
      </c>
      <c r="J5029" s="26" t="str">
        <f>IF(OR(E5029="",E5029="!!!",F5029="NEW"),"",COUNTBLANK(OFFSET(A$1,,,SUMPRODUCT(MAX(ROW(E$2:E5029)*(E5029=E$2:E5029)))))-COUNTBLANK(OFFSET(A$1,,,SUMPRODUCT(MAX(ROW(E$1:E5028)*(E2=E$1:E5028))))))</f>
        <v> </v>
      </c>
      <c r="K5029" s="26" t="str">
        <f>IF(OR(E5029="",E5029="!!!",F5029="NEW"),"",INDEX(J$1:J5028,SUMPRODUCT(MAX(ROW(E$1:E5028)*(E5029=E$1:E5028)))))</f>
        <v> </v>
      </c>
      <c r="L5029" s="27"/>
    </row>
    <row r="5030" spans="1:12">
      <c r="A5030" s="20" t="s">
        <v>1042</v>
      </c>
      <c r="E5030" s="22">
        <f>IF(D5030="?OLD","!!!","")</f>
        <v/>
      </c>
      <c r="F5030" s="23" t="str">
        <f>IF(OR(E5030="",E5030="!!!"),"",IF(NOT(ISNA(VLOOKUP(E5030,E$1:E5029,1,FALSE()))),"OLD",IF(AND(E5030&lt;&gt;"",E5030&lt;&gt;"!!!"),"NEW","")))</f>
        <v> </v>
      </c>
      <c r="G5030" s="24" t="str">
        <f>IF(OR(E5030="",E5030="!!!"),"",IF(OR(J5030=0,AND(J5030=1,K5030=1),AND(J5030=1,I5030="SBJ"),AND(J5030=1,I5030=0)),"?IN_FOCUS",IF(J5030&lt;=2,"?ACTIVATED",IF(J5030&lt;&gt;"","?FAMILIAR",IF(F5030="NEW",IF(ISNA(VLOOKUP(E5030,#REF!,1,FALSE())),"?TYPE_IDENTIFIABLE","?REFERENTIAL"),"_")))))</f>
        <v> </v>
      </c>
      <c r="H5030" s="25" t="str">
        <f>IF(J5030&lt;&gt;1,"",IF(I5030="SBJ","CB","?"))</f>
        <v> </v>
      </c>
      <c r="I5030" s="26" t="str">
        <f>IF(OR(E5030="",E5030="!!!",F5030="NEW"),"",INDEX(B5029:B$2,-1+SUMPRODUCT(MAX(ROW(E5029:E$2)*(E5030=E5029:E$2)))))</f>
        <v> </v>
      </c>
      <c r="J5030" s="26" t="str">
        <f>IF(OR(E5030="",E5030="!!!",F5030="NEW"),"",COUNTBLANK(OFFSET(A$1,,,SUMPRODUCT(MAX(ROW(E$2:E5030)*(E5030=E$2:E5030)))))-COUNTBLANK(OFFSET(A$1,,,SUMPRODUCT(MAX(ROW(E$1:E5029)*(E2=E$1:E5029))))))</f>
        <v> </v>
      </c>
      <c r="K5030" s="26" t="str">
        <f>IF(OR(E5030="",E5030="!!!",F5030="NEW"),"",INDEX(J$1:J5029,SUMPRODUCT(MAX(ROW(E$1:E5029)*(E5030=E$1:E5029)))))</f>
        <v> </v>
      </c>
      <c r="L5030" s="27"/>
    </row>
    <row r="5031" spans="1:12">
      <c r="A5031" s="20" t="s">
        <v>2156</v>
      </c>
      <c r="E5031" s="22">
        <f>IF(D5031="?OLD","!!!","")</f>
        <v/>
      </c>
      <c r="F5031" s="23" t="str">
        <f>IF(OR(E5031="",E5031="!!!"),"",IF(NOT(ISNA(VLOOKUP(E5031,E$1:E5030,1,FALSE()))),"OLD",IF(AND(E5031&lt;&gt;"",E5031&lt;&gt;"!!!"),"NEW","")))</f>
        <v> </v>
      </c>
      <c r="G5031" s="24" t="str">
        <f>IF(OR(E5031="",E5031="!!!"),"",IF(OR(J5031=0,AND(J5031=1,K5031=1),AND(J5031=1,I5031="SBJ"),AND(J5031=1,I5031=0)),"?IN_FOCUS",IF(J5031&lt;=2,"?ACTIVATED",IF(J5031&lt;&gt;"","?FAMILIAR",IF(F5031="NEW",IF(ISNA(VLOOKUP(E5031,#REF!,1,FALSE())),"?TYPE_IDENTIFIABLE","?REFERENTIAL"),"_")))))</f>
        <v> </v>
      </c>
      <c r="H5031" s="25" t="str">
        <f>IF(J5031&lt;&gt;1,"",IF(I5031="SBJ","CB","?"))</f>
        <v> </v>
      </c>
      <c r="I5031" s="26" t="str">
        <f>IF(OR(E5031="",E5031="!!!",F5031="NEW"),"",INDEX(B5030:B$2,-1+SUMPRODUCT(MAX(ROW(E5030:E$2)*(E5031=E5030:E$2)))))</f>
        <v> </v>
      </c>
      <c r="J5031" s="26" t="str">
        <f>IF(OR(E5031="",E5031="!!!",F5031="NEW"),"",COUNTBLANK(OFFSET(A$1,,,SUMPRODUCT(MAX(ROW(E$2:E5031)*(E5031=E$2:E5031)))))-COUNTBLANK(OFFSET(A$1,,,SUMPRODUCT(MAX(ROW(E$1:E5030)*(E2=E$1:E5030))))))</f>
        <v> </v>
      </c>
      <c r="K5031" s="26" t="str">
        <f>IF(OR(E5031="",E5031="!!!",F5031="NEW"),"",INDEX(J$1:J5030,SUMPRODUCT(MAX(ROW(E$1:E5030)*(E5031=E$1:E5030)))))</f>
        <v> </v>
      </c>
      <c r="L5031" s="27"/>
    </row>
    <row r="5032" spans="1:12">
      <c r="A5032" s="20" t="s">
        <v>2157</v>
      </c>
      <c r="B5032" s="21" t="s">
        <v>1111</v>
      </c>
      <c r="C5032" s="21" t="s">
        <v>1044</v>
      </c>
      <c r="D5032" s="21" t="s">
        <v>1011</v>
      </c>
      <c r="E5032" s="22">
        <f>IF(D5032="?OLD","!!!","")</f>
        <v/>
      </c>
      <c r="F5032" s="23" t="str">
        <f>IF(OR(E5032="",E5032="!!!"),"",IF(NOT(ISNA(VLOOKUP(E5032,E$1:E5031,1,FALSE()))),"OLD",IF(AND(E5032&lt;&gt;"",E5032&lt;&gt;"!!!"),"NEW","")))</f>
        <v> </v>
      </c>
      <c r="G5032" s="24" t="str">
        <f>IF(OR(E5032="",E5032="!!!"),"",IF(OR(J5032=0,AND(J5032=1,K5032=1),AND(J5032=1,I5032="SBJ"),AND(J5032=1,I5032=0)),"?IN_FOCUS",IF(J5032&lt;=2,"?ACTIVATED",IF(J5032&lt;&gt;"","?FAMILIAR",IF(F5032="NEW",IF(ISNA(VLOOKUP(E5032,#REF!,1,FALSE())),"?TYPE_IDENTIFIABLE","?REFERENTIAL"),"_")))))</f>
        <v> </v>
      </c>
      <c r="H5032" s="25" t="str">
        <f>IF(J5032&lt;&gt;1,"",IF(I5032="SBJ","CB","?"))</f>
        <v> </v>
      </c>
      <c r="I5032" s="26" t="str">
        <f>IF(OR(E5032="",E5032="!!!",F5032="NEW"),"",INDEX(B5031:B$2,-1+SUMPRODUCT(MAX(ROW(E5031:E$2)*(E5032=E5031:E$2)))))</f>
        <v> </v>
      </c>
      <c r="J5032" s="26" t="str">
        <f>IF(OR(E5032="",E5032="!!!",F5032="NEW"),"",COUNTBLANK(OFFSET(A$1,,,SUMPRODUCT(MAX(ROW(E$2:E5032)*(E5032=E$2:E5032)))))-COUNTBLANK(OFFSET(A$1,,,SUMPRODUCT(MAX(ROW(E$1:E5031)*(E2=E$1:E5031))))))</f>
        <v> </v>
      </c>
      <c r="K5032" s="26" t="str">
        <f>IF(OR(E5032="",E5032="!!!",F5032="NEW"),"",INDEX(J$1:J5031,SUMPRODUCT(MAX(ROW(E$1:E5031)*(E5032=E$1:E5031)))))</f>
        <v> </v>
      </c>
      <c r="L5032" s="27"/>
    </row>
    <row r="5033" spans="1:12">
      <c r="A5033" s="20" t="s">
        <v>1251</v>
      </c>
      <c r="E5033" s="22">
        <f>IF(D5033="?OLD","!!!","")</f>
        <v/>
      </c>
      <c r="F5033" s="23" t="str">
        <f>IF(OR(E5033="",E5033="!!!"),"",IF(NOT(ISNA(VLOOKUP(E5033,E$1:E5032,1,FALSE()))),"OLD",IF(AND(E5033&lt;&gt;"",E5033&lt;&gt;"!!!"),"NEW","")))</f>
        <v> </v>
      </c>
      <c r="G5033" s="24" t="str">
        <f>IF(OR(E5033="",E5033="!!!"),"",IF(OR(J5033=0,AND(J5033=1,K5033=1),AND(J5033=1,I5033="SBJ"),AND(J5033=1,I5033=0)),"?IN_FOCUS",IF(J5033&lt;=2,"?ACTIVATED",IF(J5033&lt;&gt;"","?FAMILIAR",IF(F5033="NEW",IF(ISNA(VLOOKUP(E5033,#REF!,1,FALSE())),"?TYPE_IDENTIFIABLE","?REFERENTIAL"),"_")))))</f>
        <v> </v>
      </c>
      <c r="H5033" s="25" t="str">
        <f>IF(J5033&lt;&gt;1,"",IF(I5033="SBJ","CB","?"))</f>
        <v> </v>
      </c>
      <c r="I5033" s="26" t="str">
        <f>IF(OR(E5033="",E5033="!!!",F5033="NEW"),"",INDEX(B5032:B$2,-1+SUMPRODUCT(MAX(ROW(E5032:E$2)*(E5033=E5032:E$2)))))</f>
        <v> </v>
      </c>
      <c r="J5033" s="26" t="str">
        <f>IF(OR(E5033="",E5033="!!!",F5033="NEW"),"",COUNTBLANK(OFFSET(A$1,,,SUMPRODUCT(MAX(ROW(E$2:E5033)*(E5033=E$2:E5033)))))-COUNTBLANK(OFFSET(A$1,,,SUMPRODUCT(MAX(ROW(E$1:E5032)*(E2=E$1:E5032))))))</f>
        <v> </v>
      </c>
      <c r="K5033" s="26" t="str">
        <f>IF(OR(E5033="",E5033="!!!",F5033="NEW"),"",INDEX(J$1:J5032,SUMPRODUCT(MAX(ROW(E$1:E5032)*(E5033=E$1:E5032)))))</f>
        <v> </v>
      </c>
      <c r="L5033" s="27"/>
    </row>
    <row r="5034" spans="1:12">
      <c r="A5034" s="20"/>
    </row>
    <row r="5035" spans="1:12">
      <c r="A5035" s="20" t="s">
        <v>2158</v>
      </c>
    </row>
    <row r="5036" spans="1:12">
      <c r="A5036" s="20" t="s">
        <v>2035</v>
      </c>
      <c r="B5036" s="21" t="s">
        <v>1071</v>
      </c>
      <c r="C5036" s="21" t="s">
        <v>1017</v>
      </c>
      <c r="E5036" s="22">
        <f>IF(D5036="?OLD","!!!","")</f>
        <v/>
      </c>
      <c r="F5036" s="23" t="str">
        <f>IF(OR(E5036="",E5036="!!!"),"",IF(NOT(ISNA(VLOOKUP(E5036,E$1:E5035,1,FALSE()))),"OLD",IF(AND(E5036&lt;&gt;"",E5036&lt;&gt;"!!!"),"NEW","")))</f>
        <v> </v>
      </c>
      <c r="G5036" s="24" t="str">
        <f>IF(OR(E5036="",E5036="!!!"),"",IF(OR(J5036=0,AND(J5036=1,K5036=1),AND(J5036=1,I5036="SBJ"),AND(J5036=1,I5036=0)),"?IN_FOCUS",IF(J5036&lt;=2,"?ACTIVATED",IF(J5036&lt;&gt;"","?FAMILIAR",IF(F5036="NEW",IF(ISNA(VLOOKUP(E5036,#REF!,1,FALSE())),"?TYPE_IDENTIFIABLE","?REFERENTIAL"),"_")))))</f>
        <v> </v>
      </c>
      <c r="H5036" s="25" t="str">
        <f>IF(J5036&lt;&gt;1,"",IF(I5036="SBJ","CB","?"))</f>
        <v> </v>
      </c>
      <c r="I5036" s="26" t="str">
        <f>IF(OR(E5036="",E5036="!!!",F5036="NEW"),"",INDEX(B5035:B$2,-1+SUMPRODUCT(MAX(ROW(E5035:E$2)*(E5036=E5035:E$2)))))</f>
        <v> </v>
      </c>
      <c r="J5036" s="26" t="str">
        <f>IF(OR(E5036="",E5036="!!!",F5036="NEW"),"",COUNTBLANK(OFFSET(A$1,,,SUMPRODUCT(MAX(ROW(E$2:E5036)*(E5036=E$2:E5036)))))-COUNTBLANK(OFFSET(A$1,,,SUMPRODUCT(MAX(ROW(E$1:E5035)*(E2=E$1:E5035))))))</f>
        <v> </v>
      </c>
      <c r="K5036" s="26" t="str">
        <f>IF(OR(E5036="",E5036="!!!",F5036="NEW"),"",INDEX(J$1:J5035,SUMPRODUCT(MAX(ROW(E$1:E5035)*(E5036=E$1:E5035)))))</f>
        <v> </v>
      </c>
      <c r="L5036" s="27"/>
    </row>
    <row r="5037" spans="1:12">
      <c r="A5037" s="20" t="s">
        <v>1099</v>
      </c>
      <c r="E5037" s="22">
        <f>IF(D5037="?OLD","!!!","")</f>
        <v/>
      </c>
      <c r="F5037" s="23" t="str">
        <f>IF(OR(E5037="",E5037="!!!"),"",IF(NOT(ISNA(VLOOKUP(E5037,E$1:E5036,1,FALSE()))),"OLD",IF(AND(E5037&lt;&gt;"",E5037&lt;&gt;"!!!"),"NEW","")))</f>
        <v> </v>
      </c>
      <c r="G5037" s="24" t="str">
        <f>IF(OR(E5037="",E5037="!!!"),"",IF(OR(J5037=0,AND(J5037=1,K5037=1),AND(J5037=1,I5037="SBJ"),AND(J5037=1,I5037=0)),"?IN_FOCUS",IF(J5037&lt;=2,"?ACTIVATED",IF(J5037&lt;&gt;"","?FAMILIAR",IF(F5037="NEW",IF(ISNA(VLOOKUP(E5037,#REF!,1,FALSE())),"?TYPE_IDENTIFIABLE","?REFERENTIAL"),"_")))))</f>
        <v> </v>
      </c>
      <c r="H5037" s="25" t="str">
        <f>IF(J5037&lt;&gt;1,"",IF(I5037="SBJ","CB","?"))</f>
        <v> </v>
      </c>
      <c r="I5037" s="26" t="str">
        <f>IF(OR(E5037="",E5037="!!!",F5037="NEW"),"",INDEX(B5036:B$2,-1+SUMPRODUCT(MAX(ROW(E5036:E$2)*(E5037=E5036:E$2)))))</f>
        <v> </v>
      </c>
      <c r="J5037" s="26" t="str">
        <f>IF(OR(E5037="",E5037="!!!",F5037="NEW"),"",COUNTBLANK(OFFSET(A$1,,,SUMPRODUCT(MAX(ROW(E$2:E5037)*(E5037=E$2:E5037)))))-COUNTBLANK(OFFSET(A$1,,,SUMPRODUCT(MAX(ROW(E$1:E5036)*(E2=E$1:E5036))))))</f>
        <v> </v>
      </c>
      <c r="K5037" s="26" t="str">
        <f>IF(OR(E5037="",E5037="!!!",F5037="NEW"),"",INDEX(J$1:J5036,SUMPRODUCT(MAX(ROW(E$1:E5036)*(E5037=E$1:E5036)))))</f>
        <v> </v>
      </c>
      <c r="L5037" s="27"/>
    </row>
    <row r="5038" spans="1:12">
      <c r="A5038" s="20" t="s">
        <v>1204</v>
      </c>
      <c r="E5038" s="22">
        <f>IF(D5038="?OLD","!!!","")</f>
        <v/>
      </c>
      <c r="F5038" s="23" t="str">
        <f>IF(OR(E5038="",E5038="!!!"),"",IF(NOT(ISNA(VLOOKUP(E5038,E$1:E5037,1,FALSE()))),"OLD",IF(AND(E5038&lt;&gt;"",E5038&lt;&gt;"!!!"),"NEW","")))</f>
        <v> </v>
      </c>
      <c r="G5038" s="24" t="str">
        <f>IF(OR(E5038="",E5038="!!!"),"",IF(OR(J5038=0,AND(J5038=1,K5038=1),AND(J5038=1,I5038="SBJ"),AND(J5038=1,I5038=0)),"?IN_FOCUS",IF(J5038&lt;=2,"?ACTIVATED",IF(J5038&lt;&gt;"","?FAMILIAR",IF(F5038="NEW",IF(ISNA(VLOOKUP(E5038,#REF!,1,FALSE())),"?TYPE_IDENTIFIABLE","?REFERENTIAL"),"_")))))</f>
        <v> </v>
      </c>
      <c r="H5038" s="25" t="str">
        <f>IF(J5038&lt;&gt;1,"",IF(I5038="SBJ","CB","?"))</f>
        <v> </v>
      </c>
      <c r="I5038" s="26" t="str">
        <f>IF(OR(E5038="",E5038="!!!",F5038="NEW"),"",INDEX(B5037:B$2,-1+SUMPRODUCT(MAX(ROW(E5037:E$2)*(E5038=E5037:E$2)))))</f>
        <v> </v>
      </c>
      <c r="J5038" s="26" t="str">
        <f>IF(OR(E5038="",E5038="!!!",F5038="NEW"),"",COUNTBLANK(OFFSET(A$1,,,SUMPRODUCT(MAX(ROW(E$2:E5038)*(E5038=E$2:E5038)))))-COUNTBLANK(OFFSET(A$1,,,SUMPRODUCT(MAX(ROW(E$1:E5037)*(E2=E$1:E5037))))))</f>
        <v> </v>
      </c>
      <c r="K5038" s="26" t="str">
        <f>IF(OR(E5038="",E5038="!!!",F5038="NEW"),"",INDEX(J$1:J5037,SUMPRODUCT(MAX(ROW(E$1:E5037)*(E5038=E$1:E5037)))))</f>
        <v> </v>
      </c>
      <c r="L5038" s="27"/>
    </row>
    <row r="5039" spans="1:12">
      <c r="A5039" s="20" t="s">
        <v>1137</v>
      </c>
      <c r="B5039" s="21" t="s">
        <v>1175</v>
      </c>
      <c r="C5039" s="21" t="s">
        <v>1010</v>
      </c>
      <c r="D5039" s="21" t="s">
        <v>1011</v>
      </c>
      <c r="E5039" s="22">
        <f>IF(D5039="?OLD","!!!","")</f>
        <v/>
      </c>
      <c r="F5039" s="23" t="str">
        <f>IF(OR(E5039="",E5039="!!!"),"",IF(NOT(ISNA(VLOOKUP(E5039,E$1:E5038,1,FALSE()))),"OLD",IF(AND(E5039&lt;&gt;"",E5039&lt;&gt;"!!!"),"NEW","")))</f>
        <v> </v>
      </c>
      <c r="G5039" s="24" t="str">
        <f>IF(OR(E5039="",E5039="!!!"),"",IF(OR(J5039=0,AND(J5039=1,K5039=1),AND(J5039=1,I5039="SBJ"),AND(J5039=1,I5039=0)),"?IN_FOCUS",IF(J5039&lt;=2,"?ACTIVATED",IF(J5039&lt;&gt;"","?FAMILIAR",IF(F5039="NEW",IF(ISNA(VLOOKUP(E5039,#REF!,1,FALSE())),"?TYPE_IDENTIFIABLE","?REFERENTIAL"),"_")))))</f>
        <v> </v>
      </c>
      <c r="H5039" s="25" t="str">
        <f>IF(J5039&lt;&gt;1,"",IF(I5039="SBJ","CB","?"))</f>
        <v> </v>
      </c>
      <c r="I5039" s="26" t="str">
        <f>IF(OR(E5039="",E5039="!!!",F5039="NEW"),"",INDEX(B5038:B$2,-1+SUMPRODUCT(MAX(ROW(E5038:E$2)*(E5039=E5038:E$2)))))</f>
        <v> </v>
      </c>
      <c r="J5039" s="26" t="str">
        <f>IF(OR(E5039="",E5039="!!!",F5039="NEW"),"",COUNTBLANK(OFFSET(A$1,,,SUMPRODUCT(MAX(ROW(E$2:E5039)*(E5039=E$2:E5039)))))-COUNTBLANK(OFFSET(A$1,,,SUMPRODUCT(MAX(ROW(E$1:E5038)*(E2=E$1:E5038))))))</f>
        <v> </v>
      </c>
      <c r="K5039" s="26" t="str">
        <f>IF(OR(E5039="",E5039="!!!",F5039="NEW"),"",INDEX(J$1:J5038,SUMPRODUCT(MAX(ROW(E$1:E5038)*(E5039=E$1:E5038)))))</f>
        <v> </v>
      </c>
      <c r="L5039" s="27"/>
    </row>
    <row r="5040" spans="1:12">
      <c r="A5040" s="20" t="s">
        <v>142</v>
      </c>
      <c r="E5040" s="22">
        <f>IF(D5040="?OLD","!!!","")</f>
        <v/>
      </c>
      <c r="F5040" s="23" t="str">
        <f>IF(OR(E5040="",E5040="!!!"),"",IF(NOT(ISNA(VLOOKUP(E5040,E$1:E5039,1,FALSE()))),"OLD",IF(AND(E5040&lt;&gt;"",E5040&lt;&gt;"!!!"),"NEW","")))</f>
        <v> </v>
      </c>
      <c r="G5040" s="24" t="str">
        <f>IF(OR(E5040="",E5040="!!!"),"",IF(OR(J5040=0,AND(J5040=1,K5040=1),AND(J5040=1,I5040="SBJ"),AND(J5040=1,I5040=0)),"?IN_FOCUS",IF(J5040&lt;=2,"?ACTIVATED",IF(J5040&lt;&gt;"","?FAMILIAR",IF(F5040="NEW",IF(ISNA(VLOOKUP(E5040,#REF!,1,FALSE())),"?TYPE_IDENTIFIABLE","?REFERENTIAL"),"_")))))</f>
        <v> </v>
      </c>
      <c r="H5040" s="25" t="str">
        <f>IF(J5040&lt;&gt;1,"",IF(I5040="SBJ","CB","?"))</f>
        <v> </v>
      </c>
      <c r="I5040" s="26" t="str">
        <f>IF(OR(E5040="",E5040="!!!",F5040="NEW"),"",INDEX(B5039:B$2,-1+SUMPRODUCT(MAX(ROW(E5039:E$2)*(E5040=E5039:E$2)))))</f>
        <v> </v>
      </c>
      <c r="J5040" s="26" t="str">
        <f>IF(OR(E5040="",E5040="!!!",F5040="NEW"),"",COUNTBLANK(OFFSET(A$1,,,SUMPRODUCT(MAX(ROW(E$2:E5040)*(E5040=E$2:E5040)))))-COUNTBLANK(OFFSET(A$1,,,SUMPRODUCT(MAX(ROW(E$1:E5039)*(E2=E$1:E5039))))))</f>
        <v> </v>
      </c>
      <c r="K5040" s="26" t="str">
        <f>IF(OR(E5040="",E5040="!!!",F5040="NEW"),"",INDEX(J$1:J5039,SUMPRODUCT(MAX(ROW(E$1:E5039)*(E5040=E$1:E5039)))))</f>
        <v> </v>
      </c>
      <c r="L5040" s="27"/>
    </row>
    <row r="5041" spans="1:12">
      <c r="A5041" s="20" t="s">
        <v>2028</v>
      </c>
      <c r="E5041" s="22">
        <f>IF(D5041="?OLD","!!!","")</f>
        <v/>
      </c>
      <c r="F5041" s="23" t="str">
        <f>IF(OR(E5041="",E5041="!!!"),"",IF(NOT(ISNA(VLOOKUP(E5041,E$1:E5040,1,FALSE()))),"OLD",IF(AND(E5041&lt;&gt;"",E5041&lt;&gt;"!!!"),"NEW","")))</f>
        <v> </v>
      </c>
      <c r="G5041" s="24" t="str">
        <f>IF(OR(E5041="",E5041="!!!"),"",IF(OR(J5041=0,AND(J5041=1,K5041=1),AND(J5041=1,I5041="SBJ"),AND(J5041=1,I5041=0)),"?IN_FOCUS",IF(J5041&lt;=2,"?ACTIVATED",IF(J5041&lt;&gt;"","?FAMILIAR",IF(F5041="NEW",IF(ISNA(VLOOKUP(E5041,#REF!,1,FALSE())),"?TYPE_IDENTIFIABLE","?REFERENTIAL"),"_")))))</f>
        <v> </v>
      </c>
      <c r="H5041" s="25" t="str">
        <f>IF(J5041&lt;&gt;1,"",IF(I5041="SBJ","CB","?"))</f>
        <v> </v>
      </c>
      <c r="I5041" s="26" t="str">
        <f>IF(OR(E5041="",E5041="!!!",F5041="NEW"),"",INDEX(B5040:B$2,-1+SUMPRODUCT(MAX(ROW(E5040:E$2)*(E5041=E5040:E$2)))))</f>
        <v> </v>
      </c>
      <c r="J5041" s="26" t="str">
        <f>IF(OR(E5041="",E5041="!!!",F5041="NEW"),"",COUNTBLANK(OFFSET(A$1,,,SUMPRODUCT(MAX(ROW(E$2:E5041)*(E5041=E$2:E5041)))))-COUNTBLANK(OFFSET(A$1,,,SUMPRODUCT(MAX(ROW(E$1:E5040)*(E2=E$1:E5040))))))</f>
        <v> </v>
      </c>
      <c r="K5041" s="26" t="str">
        <f>IF(OR(E5041="",E5041="!!!",F5041="NEW"),"",INDEX(J$1:J5040,SUMPRODUCT(MAX(ROW(E$1:E5040)*(E5041=E$1:E5040)))))</f>
        <v> </v>
      </c>
      <c r="L5041" s="27"/>
    </row>
    <row r="5042" spans="1:12">
      <c r="A5042" s="20" t="s">
        <v>1025</v>
      </c>
      <c r="E5042" s="22">
        <f>IF(D5042="?OLD","!!!","")</f>
        <v/>
      </c>
      <c r="F5042" s="23" t="str">
        <f>IF(OR(E5042="",E5042="!!!"),"",IF(NOT(ISNA(VLOOKUP(E5042,E$1:E5041,1,FALSE()))),"OLD",IF(AND(E5042&lt;&gt;"",E5042&lt;&gt;"!!!"),"NEW","")))</f>
        <v> </v>
      </c>
      <c r="G5042" s="24" t="str">
        <f>IF(OR(E5042="",E5042="!!!"),"",IF(OR(J5042=0,AND(J5042=1,K5042=1),AND(J5042=1,I5042="SBJ"),AND(J5042=1,I5042=0)),"?IN_FOCUS",IF(J5042&lt;=2,"?ACTIVATED",IF(J5042&lt;&gt;"","?FAMILIAR",IF(F5042="NEW",IF(ISNA(VLOOKUP(E5042,#REF!,1,FALSE())),"?TYPE_IDENTIFIABLE","?REFERENTIAL"),"_")))))</f>
        <v> </v>
      </c>
      <c r="H5042" s="25" t="str">
        <f>IF(J5042&lt;&gt;1,"",IF(I5042="SBJ","CB","?"))</f>
        <v> </v>
      </c>
      <c r="I5042" s="26" t="str">
        <f>IF(OR(E5042="",E5042="!!!",F5042="NEW"),"",INDEX(B5041:B$2,-1+SUMPRODUCT(MAX(ROW(E5041:E$2)*(E5042=E5041:E$2)))))</f>
        <v> </v>
      </c>
      <c r="J5042" s="26" t="str">
        <f>IF(OR(E5042="",E5042="!!!",F5042="NEW"),"",COUNTBLANK(OFFSET(A$1,,,SUMPRODUCT(MAX(ROW(E$2:E5042)*(E5042=E$2:E5042)))))-COUNTBLANK(OFFSET(A$1,,,SUMPRODUCT(MAX(ROW(E$1:E5041)*(E2=E$1:E5041))))))</f>
        <v> </v>
      </c>
      <c r="K5042" s="26" t="str">
        <f>IF(OR(E5042="",E5042="!!!",F5042="NEW"),"",INDEX(J$1:J5041,SUMPRODUCT(MAX(ROW(E$1:E5041)*(E5042=E$1:E5041)))))</f>
        <v> </v>
      </c>
      <c r="L5042" s="27"/>
    </row>
    <row r="5043" spans="1:12">
      <c r="A5043" s="20" t="s">
        <v>1185</v>
      </c>
      <c r="B5043" s="21" t="s">
        <v>1021</v>
      </c>
      <c r="C5043" s="21" t="s">
        <v>1072</v>
      </c>
      <c r="D5043" s="21" t="s">
        <v>1011</v>
      </c>
      <c r="E5043" s="22">
        <f>IF(D5043="?OLD","!!!","")</f>
        <v/>
      </c>
      <c r="F5043" s="23" t="str">
        <f>IF(OR(E5043="",E5043="!!!"),"",IF(NOT(ISNA(VLOOKUP(E5043,E$1:E5042,1,FALSE()))),"OLD",IF(AND(E5043&lt;&gt;"",E5043&lt;&gt;"!!!"),"NEW","")))</f>
        <v> </v>
      </c>
      <c r="G5043" s="24" t="str">
        <f>IF(OR(E5043="",E5043="!!!"),"",IF(OR(J5043=0,AND(J5043=1,K5043=1),AND(J5043=1,I5043="SBJ"),AND(J5043=1,I5043=0)),"?IN_FOCUS",IF(J5043&lt;=2,"?ACTIVATED",IF(J5043&lt;&gt;"","?FAMILIAR",IF(F5043="NEW",IF(ISNA(VLOOKUP(E5043,#REF!,1,FALSE())),"?TYPE_IDENTIFIABLE","?REFERENTIAL"),"_")))))</f>
        <v> </v>
      </c>
      <c r="H5043" s="25" t="str">
        <f>IF(J5043&lt;&gt;1,"",IF(I5043="SBJ","CB","?"))</f>
        <v> </v>
      </c>
      <c r="I5043" s="26" t="str">
        <f>IF(OR(E5043="",E5043="!!!",F5043="NEW"),"",INDEX(B5042:B$2,-1+SUMPRODUCT(MAX(ROW(E5042:E$2)*(E5043=E5042:E$2)))))</f>
        <v> </v>
      </c>
      <c r="J5043" s="26" t="str">
        <f>IF(OR(E5043="",E5043="!!!",F5043="NEW"),"",COUNTBLANK(OFFSET(A$1,,,SUMPRODUCT(MAX(ROW(E$2:E5043)*(E5043=E$2:E5043)))))-COUNTBLANK(OFFSET(A$1,,,SUMPRODUCT(MAX(ROW(E$1:E5042)*(E2=E$1:E5042))))))</f>
        <v> </v>
      </c>
      <c r="K5043" s="26" t="str">
        <f>IF(OR(E5043="",E5043="!!!",F5043="NEW"),"",INDEX(J$1:J5042,SUMPRODUCT(MAX(ROW(E$1:E5042)*(E5043=E$1:E5042)))))</f>
        <v> </v>
      </c>
      <c r="L5043" s="27"/>
    </row>
    <row r="5044" spans="1:12">
      <c r="A5044" s="20" t="s">
        <v>1032</v>
      </c>
      <c r="E5044" s="22">
        <f>IF(D5044="?OLD","!!!","")</f>
        <v/>
      </c>
      <c r="F5044" s="23" t="str">
        <f>IF(OR(E5044="",E5044="!!!"),"",IF(NOT(ISNA(VLOOKUP(E5044,E$1:E5043,1,FALSE()))),"OLD",IF(AND(E5044&lt;&gt;"",E5044&lt;&gt;"!!!"),"NEW","")))</f>
        <v> </v>
      </c>
      <c r="G5044" s="24" t="str">
        <f>IF(OR(E5044="",E5044="!!!"),"",IF(OR(J5044=0,AND(J5044=1,K5044=1),AND(J5044=1,I5044="SBJ"),AND(J5044=1,I5044=0)),"?IN_FOCUS",IF(J5044&lt;=2,"?ACTIVATED",IF(J5044&lt;&gt;"","?FAMILIAR",IF(F5044="NEW",IF(ISNA(VLOOKUP(E5044,#REF!,1,FALSE())),"?TYPE_IDENTIFIABLE","?REFERENTIAL"),"_")))))</f>
        <v> </v>
      </c>
      <c r="H5044" s="25" t="str">
        <f>IF(J5044&lt;&gt;1,"",IF(I5044="SBJ","CB","?"))</f>
        <v> </v>
      </c>
      <c r="I5044" s="26" t="str">
        <f>IF(OR(E5044="",E5044="!!!",F5044="NEW"),"",INDEX(B5043:B$2,-1+SUMPRODUCT(MAX(ROW(E5043:E$2)*(E5044=E5043:E$2)))))</f>
        <v> </v>
      </c>
      <c r="J5044" s="26" t="str">
        <f>IF(OR(E5044="",E5044="!!!",F5044="NEW"),"",COUNTBLANK(OFFSET(A$1,,,SUMPRODUCT(MAX(ROW(E$2:E5044)*(E5044=E$2:E5044)))))-COUNTBLANK(OFFSET(A$1,,,SUMPRODUCT(MAX(ROW(E$1:E5043)*(E2=E$1:E5043))))))</f>
        <v> </v>
      </c>
      <c r="K5044" s="26" t="str">
        <f>IF(OR(E5044="",E5044="!!!",F5044="NEW"),"",INDEX(J$1:J5043,SUMPRODUCT(MAX(ROW(E$1:E5043)*(E5044=E$1:E5043)))))</f>
        <v> </v>
      </c>
      <c r="L5044" s="27"/>
    </row>
    <row r="5045" spans="1:12">
      <c r="A5045" s="20" t="s">
        <v>1121</v>
      </c>
      <c r="B5045" s="21" t="s">
        <v>1039</v>
      </c>
      <c r="C5045" s="21" t="s">
        <v>1010</v>
      </c>
      <c r="D5045" s="21" t="s">
        <v>1011</v>
      </c>
      <c r="E5045" s="22">
        <f>IF(D5045="?OLD","!!!","")</f>
        <v/>
      </c>
      <c r="F5045" s="23" t="str">
        <f>IF(OR(E5045="",E5045="!!!"),"",IF(NOT(ISNA(VLOOKUP(E5045,E$1:E5044,1,FALSE()))),"OLD",IF(AND(E5045&lt;&gt;"",E5045&lt;&gt;"!!!"),"NEW","")))</f>
        <v> </v>
      </c>
      <c r="G5045" s="24" t="str">
        <f>IF(OR(E5045="",E5045="!!!"),"",IF(OR(J5045=0,AND(J5045=1,K5045=1),AND(J5045=1,I5045="SBJ"),AND(J5045=1,I5045=0)),"?IN_FOCUS",IF(J5045&lt;=2,"?ACTIVATED",IF(J5045&lt;&gt;"","?FAMILIAR",IF(F5045="NEW",IF(ISNA(VLOOKUP(E5045,#REF!,1,FALSE())),"?TYPE_IDENTIFIABLE","?REFERENTIAL"),"_")))))</f>
        <v> </v>
      </c>
      <c r="H5045" s="25" t="str">
        <f>IF(J5045&lt;&gt;1,"",IF(I5045="SBJ","CB","?"))</f>
        <v> </v>
      </c>
      <c r="I5045" s="26" t="str">
        <f>IF(OR(E5045="",E5045="!!!",F5045="NEW"),"",INDEX(B5044:B$2,-1+SUMPRODUCT(MAX(ROW(E5044:E$2)*(E5045=E5044:E$2)))))</f>
        <v> </v>
      </c>
      <c r="J5045" s="26" t="str">
        <f>IF(OR(E5045="",E5045="!!!",F5045="NEW"),"",COUNTBLANK(OFFSET(A$1,,,SUMPRODUCT(MAX(ROW(E$2:E5045)*(E5045=E$2:E5045)))))-COUNTBLANK(OFFSET(A$1,,,SUMPRODUCT(MAX(ROW(E$1:E5044)*(E2=E$1:E5044))))))</f>
        <v> </v>
      </c>
      <c r="K5045" s="26" t="str">
        <f>IF(OR(E5045="",E5045="!!!",F5045="NEW"),"",INDEX(J$1:J5044,SUMPRODUCT(MAX(ROW(E$1:E5044)*(E5045=E$1:E5044)))))</f>
        <v> </v>
      </c>
      <c r="L5045" s="27"/>
    </row>
    <row r="5046" spans="1:12">
      <c r="A5046" s="20" t="s">
        <v>1173</v>
      </c>
      <c r="E5046" s="22">
        <f>IF(D5046="?OLD","!!!","")</f>
        <v/>
      </c>
      <c r="F5046" s="23" t="str">
        <f>IF(OR(E5046="",E5046="!!!"),"",IF(NOT(ISNA(VLOOKUP(E5046,E$1:E5045,1,FALSE()))),"OLD",IF(AND(E5046&lt;&gt;"",E5046&lt;&gt;"!!!"),"NEW","")))</f>
        <v> </v>
      </c>
      <c r="G5046" s="24" t="str">
        <f>IF(OR(E5046="",E5046="!!!"),"",IF(OR(J5046=0,AND(J5046=1,K5046=1),AND(J5046=1,I5046="SBJ"),AND(J5046=1,I5046=0)),"?IN_FOCUS",IF(J5046&lt;=2,"?ACTIVATED",IF(J5046&lt;&gt;"","?FAMILIAR",IF(F5046="NEW",IF(ISNA(VLOOKUP(E5046,#REF!,1,FALSE())),"?TYPE_IDENTIFIABLE","?REFERENTIAL"),"_")))))</f>
        <v> </v>
      </c>
      <c r="H5046" s="25" t="str">
        <f>IF(J5046&lt;&gt;1,"",IF(I5046="SBJ","CB","?"))</f>
        <v> </v>
      </c>
      <c r="I5046" s="26" t="str">
        <f>IF(OR(E5046="",E5046="!!!",F5046="NEW"),"",INDEX(B5045:B$2,-1+SUMPRODUCT(MAX(ROW(E5045:E$2)*(E5046=E5045:E$2)))))</f>
        <v> </v>
      </c>
      <c r="J5046" s="26" t="str">
        <f>IF(OR(E5046="",E5046="!!!",F5046="NEW"),"",COUNTBLANK(OFFSET(A$1,,,SUMPRODUCT(MAX(ROW(E$2:E5046)*(E5046=E$2:E5046)))))-COUNTBLANK(OFFSET(A$1,,,SUMPRODUCT(MAX(ROW(E$1:E5045)*(E2=E$1:E5045))))))</f>
        <v> </v>
      </c>
      <c r="K5046" s="26" t="str">
        <f>IF(OR(E5046="",E5046="!!!",F5046="NEW"),"",INDEX(J$1:J5045,SUMPRODUCT(MAX(ROW(E$1:E5045)*(E5046=E$1:E5045)))))</f>
        <v> </v>
      </c>
      <c r="L5046" s="27"/>
    </row>
    <row r="5047" spans="1:12">
      <c r="A5047" s="20" t="s">
        <v>1434</v>
      </c>
      <c r="E5047" s="22">
        <f>IF(D5047="?OLD","!!!","")</f>
        <v/>
      </c>
      <c r="F5047" s="23" t="str">
        <f>IF(OR(E5047="",E5047="!!!"),"",IF(NOT(ISNA(VLOOKUP(E5047,E$1:E5046,1,FALSE()))),"OLD",IF(AND(E5047&lt;&gt;"",E5047&lt;&gt;"!!!"),"NEW","")))</f>
        <v> </v>
      </c>
      <c r="G5047" s="24" t="str">
        <f>IF(OR(E5047="",E5047="!!!"),"",IF(OR(J5047=0,AND(J5047=1,K5047=1),AND(J5047=1,I5047="SBJ"),AND(J5047=1,I5047=0)),"?IN_FOCUS",IF(J5047&lt;=2,"?ACTIVATED",IF(J5047&lt;&gt;"","?FAMILIAR",IF(F5047="NEW",IF(ISNA(VLOOKUP(E5047,#REF!,1,FALSE())),"?TYPE_IDENTIFIABLE","?REFERENTIAL"),"_")))))</f>
        <v> </v>
      </c>
      <c r="H5047" s="25" t="str">
        <f>IF(J5047&lt;&gt;1,"",IF(I5047="SBJ","CB","?"))</f>
        <v> </v>
      </c>
      <c r="I5047" s="26" t="str">
        <f>IF(OR(E5047="",E5047="!!!",F5047="NEW"),"",INDEX(B5046:B$2,-1+SUMPRODUCT(MAX(ROW(E5046:E$2)*(E5047=E5046:E$2)))))</f>
        <v> </v>
      </c>
      <c r="J5047" s="26" t="str">
        <f>IF(OR(E5047="",E5047="!!!",F5047="NEW"),"",COUNTBLANK(OFFSET(A$1,,,SUMPRODUCT(MAX(ROW(E$2:E5047)*(E5047=E$2:E5047)))))-COUNTBLANK(OFFSET(A$1,,,SUMPRODUCT(MAX(ROW(E$1:E5046)*(E2=E$1:E5046))))))</f>
        <v> </v>
      </c>
      <c r="K5047" s="26" t="str">
        <f>IF(OR(E5047="",E5047="!!!",F5047="NEW"),"",INDEX(J$1:J5046,SUMPRODUCT(MAX(ROW(E$1:E5046)*(E5047=E$1:E5046)))))</f>
        <v> </v>
      </c>
      <c r="L5047" s="27"/>
    </row>
    <row r="5048" spans="1:12">
      <c r="A5048" s="20" t="s">
        <v>1136</v>
      </c>
      <c r="E5048" s="22">
        <f>IF(D5048="?OLD","!!!","")</f>
        <v/>
      </c>
      <c r="F5048" s="23" t="str">
        <f>IF(OR(E5048="",E5048="!!!"),"",IF(NOT(ISNA(VLOOKUP(E5048,E$1:E5047,1,FALSE()))),"OLD",IF(AND(E5048&lt;&gt;"",E5048&lt;&gt;"!!!"),"NEW","")))</f>
        <v> </v>
      </c>
      <c r="G5048" s="24" t="str">
        <f>IF(OR(E5048="",E5048="!!!"),"",IF(OR(J5048=0,AND(J5048=1,K5048=1),AND(J5048=1,I5048="SBJ"),AND(J5048=1,I5048=0)),"?IN_FOCUS",IF(J5048&lt;=2,"?ACTIVATED",IF(J5048&lt;&gt;"","?FAMILIAR",IF(F5048="NEW",IF(ISNA(VLOOKUP(E5048,#REF!,1,FALSE())),"?TYPE_IDENTIFIABLE","?REFERENTIAL"),"_")))))</f>
        <v> </v>
      </c>
      <c r="H5048" s="25" t="str">
        <f>IF(J5048&lt;&gt;1,"",IF(I5048="SBJ","CB","?"))</f>
        <v> </v>
      </c>
      <c r="I5048" s="26" t="str">
        <f>IF(OR(E5048="",E5048="!!!",F5048="NEW"),"",INDEX(B5047:B$2,-1+SUMPRODUCT(MAX(ROW(E5047:E$2)*(E5048=E5047:E$2)))))</f>
        <v> </v>
      </c>
      <c r="J5048" s="26" t="str">
        <f>IF(OR(E5048="",E5048="!!!",F5048="NEW"),"",COUNTBLANK(OFFSET(A$1,,,SUMPRODUCT(MAX(ROW(E$2:E5048)*(E5048=E$2:E5048)))))-COUNTBLANK(OFFSET(A$1,,,SUMPRODUCT(MAX(ROW(E$1:E5047)*(E2=E$1:E5047))))))</f>
        <v> </v>
      </c>
      <c r="K5048" s="26" t="str">
        <f>IF(OR(E5048="",E5048="!!!",F5048="NEW"),"",INDEX(J$1:J5047,SUMPRODUCT(MAX(ROW(E$1:E5047)*(E5048=E$1:E5047)))))</f>
        <v> </v>
      </c>
      <c r="L5048" s="27"/>
    </row>
    <row r="5049" spans="1:12">
      <c r="A5049" s="20" t="s">
        <v>1137</v>
      </c>
      <c r="B5049" s="21" t="s">
        <v>1175</v>
      </c>
      <c r="C5049" s="21" t="s">
        <v>1010</v>
      </c>
      <c r="D5049" s="21" t="s">
        <v>1011</v>
      </c>
      <c r="E5049" s="22">
        <f>IF(D5049="?OLD","!!!","")</f>
        <v/>
      </c>
      <c r="F5049" s="23" t="str">
        <f>IF(OR(E5049="",E5049="!!!"),"",IF(NOT(ISNA(VLOOKUP(E5049,E$1:E5048,1,FALSE()))),"OLD",IF(AND(E5049&lt;&gt;"",E5049&lt;&gt;"!!!"),"NEW","")))</f>
        <v> </v>
      </c>
      <c r="G5049" s="24" t="str">
        <f>IF(OR(E5049="",E5049="!!!"),"",IF(OR(J5049=0,AND(J5049=1,K5049=1),AND(J5049=1,I5049="SBJ"),AND(J5049=1,I5049=0)),"?IN_FOCUS",IF(J5049&lt;=2,"?ACTIVATED",IF(J5049&lt;&gt;"","?FAMILIAR",IF(F5049="NEW",IF(ISNA(VLOOKUP(E5049,#REF!,1,FALSE())),"?TYPE_IDENTIFIABLE","?REFERENTIAL"),"_")))))</f>
        <v> </v>
      </c>
      <c r="H5049" s="25" t="str">
        <f>IF(J5049&lt;&gt;1,"",IF(I5049="SBJ","CB","?"))</f>
        <v> </v>
      </c>
      <c r="I5049" s="26" t="str">
        <f>IF(OR(E5049="",E5049="!!!",F5049="NEW"),"",INDEX(B5048:B$2,-1+SUMPRODUCT(MAX(ROW(E5048:E$2)*(E5049=E5048:E$2)))))</f>
        <v> </v>
      </c>
      <c r="J5049" s="26" t="str">
        <f>IF(OR(E5049="",E5049="!!!",F5049="NEW"),"",COUNTBLANK(OFFSET(A$1,,,SUMPRODUCT(MAX(ROW(E$2:E5049)*(E5049=E$2:E5049)))))-COUNTBLANK(OFFSET(A$1,,,SUMPRODUCT(MAX(ROW(E$1:E5048)*(E2=E$1:E5048))))))</f>
        <v> </v>
      </c>
      <c r="K5049" s="26" t="str">
        <f>IF(OR(E5049="",E5049="!!!",F5049="NEW"),"",INDEX(J$1:J5048,SUMPRODUCT(MAX(ROW(E$1:E5048)*(E5049=E$1:E5048)))))</f>
        <v> </v>
      </c>
      <c r="L5049" s="27"/>
    </row>
    <row r="5050" spans="1:12">
      <c r="A5050" s="20" t="s">
        <v>1168</v>
      </c>
      <c r="E5050" s="22">
        <f>IF(D5050="?OLD","!!!","")</f>
        <v/>
      </c>
      <c r="F5050" s="23" t="str">
        <f>IF(OR(E5050="",E5050="!!!"),"",IF(NOT(ISNA(VLOOKUP(E5050,E$1:E5049,1,FALSE()))),"OLD",IF(AND(E5050&lt;&gt;"",E5050&lt;&gt;"!!!"),"NEW","")))</f>
        <v> </v>
      </c>
      <c r="G5050" s="24" t="str">
        <f>IF(OR(E5050="",E5050="!!!"),"",IF(OR(J5050=0,AND(J5050=1,K5050=1),AND(J5050=1,I5050="SBJ"),AND(J5050=1,I5050=0)),"?IN_FOCUS",IF(J5050&lt;=2,"?ACTIVATED",IF(J5050&lt;&gt;"","?FAMILIAR",IF(F5050="NEW",IF(ISNA(VLOOKUP(E5050,#REF!,1,FALSE())),"?TYPE_IDENTIFIABLE","?REFERENTIAL"),"_")))))</f>
        <v> </v>
      </c>
      <c r="H5050" s="25" t="str">
        <f>IF(J5050&lt;&gt;1,"",IF(I5050="SBJ","CB","?"))</f>
        <v> </v>
      </c>
      <c r="I5050" s="26" t="str">
        <f>IF(OR(E5050="",E5050="!!!",F5050="NEW"),"",INDEX(B5049:B$2,-1+SUMPRODUCT(MAX(ROW(E5049:E$2)*(E5050=E5049:E$2)))))</f>
        <v> </v>
      </c>
      <c r="J5050" s="26" t="str">
        <f>IF(OR(E5050="",E5050="!!!",F5050="NEW"),"",COUNTBLANK(OFFSET(A$1,,,SUMPRODUCT(MAX(ROW(E$2:E5050)*(E5050=E$2:E5050)))))-COUNTBLANK(OFFSET(A$1,,,SUMPRODUCT(MAX(ROW(E$1:E5049)*(E2=E$1:E5049))))))</f>
        <v> </v>
      </c>
      <c r="K5050" s="26" t="str">
        <f>IF(OR(E5050="",E5050="!!!",F5050="NEW"),"",INDEX(J$1:J5049,SUMPRODUCT(MAX(ROW(E$1:E5049)*(E5050=E$1:E5049)))))</f>
        <v> </v>
      </c>
      <c r="L5050" s="27"/>
    </row>
    <row r="5051" spans="1:12">
      <c r="A5051" s="20" t="s">
        <v>1310</v>
      </c>
      <c r="E5051" s="22">
        <f>IF(D5051="?OLD","!!!","")</f>
        <v/>
      </c>
      <c r="F5051" s="23" t="str">
        <f>IF(OR(E5051="",E5051="!!!"),"",IF(NOT(ISNA(VLOOKUP(E5051,E$1:E5050,1,FALSE()))),"OLD",IF(AND(E5051&lt;&gt;"",E5051&lt;&gt;"!!!"),"NEW","")))</f>
        <v> </v>
      </c>
      <c r="G5051" s="24" t="str">
        <f>IF(OR(E5051="",E5051="!!!"),"",IF(OR(J5051=0,AND(J5051=1,K5051=1),AND(J5051=1,I5051="SBJ"),AND(J5051=1,I5051=0)),"?IN_FOCUS",IF(J5051&lt;=2,"?ACTIVATED",IF(J5051&lt;&gt;"","?FAMILIAR",IF(F5051="NEW",IF(ISNA(VLOOKUP(E5051,#REF!,1,FALSE())),"?TYPE_IDENTIFIABLE","?REFERENTIAL"),"_")))))</f>
        <v> </v>
      </c>
      <c r="H5051" s="25" t="str">
        <f>IF(J5051&lt;&gt;1,"",IF(I5051="SBJ","CB","?"))</f>
        <v> </v>
      </c>
      <c r="I5051" s="26" t="str">
        <f>IF(OR(E5051="",E5051="!!!",F5051="NEW"),"",INDEX(B5050:B$2,-1+SUMPRODUCT(MAX(ROW(E5050:E$2)*(E5051=E5050:E$2)))))</f>
        <v> </v>
      </c>
      <c r="J5051" s="26" t="str">
        <f>IF(OR(E5051="",E5051="!!!",F5051="NEW"),"",COUNTBLANK(OFFSET(A$1,,,SUMPRODUCT(MAX(ROW(E$2:E5051)*(E5051=E$2:E5051)))))-COUNTBLANK(OFFSET(A$1,,,SUMPRODUCT(MAX(ROW(E$1:E5050)*(E2=E$1:E5050))))))</f>
        <v> </v>
      </c>
      <c r="K5051" s="26" t="str">
        <f>IF(OR(E5051="",E5051="!!!",F5051="NEW"),"",INDEX(J$1:J5050,SUMPRODUCT(MAX(ROW(E$1:E5050)*(E5051=E$1:E5050)))))</f>
        <v> </v>
      </c>
      <c r="L5051" s="27"/>
    </row>
    <row r="5052" spans="1:12">
      <c r="A5052" s="20" t="s">
        <v>2159</v>
      </c>
      <c r="E5052" s="22">
        <f>IF(D5052="?OLD","!!!","")</f>
        <v/>
      </c>
      <c r="F5052" s="23" t="str">
        <f>IF(OR(E5052="",E5052="!!!"),"",IF(NOT(ISNA(VLOOKUP(E5052,E$1:E5051,1,FALSE()))),"OLD",IF(AND(E5052&lt;&gt;"",E5052&lt;&gt;"!!!"),"NEW","")))</f>
        <v> </v>
      </c>
      <c r="G5052" s="24" t="str">
        <f>IF(OR(E5052="",E5052="!!!"),"",IF(OR(J5052=0,AND(J5052=1,K5052=1),AND(J5052=1,I5052="SBJ"),AND(J5052=1,I5052=0)),"?IN_FOCUS",IF(J5052&lt;=2,"?ACTIVATED",IF(J5052&lt;&gt;"","?FAMILIAR",IF(F5052="NEW",IF(ISNA(VLOOKUP(E5052,#REF!,1,FALSE())),"?TYPE_IDENTIFIABLE","?REFERENTIAL"),"_")))))</f>
        <v> </v>
      </c>
      <c r="H5052" s="25" t="str">
        <f>IF(J5052&lt;&gt;1,"",IF(I5052="SBJ","CB","?"))</f>
        <v> </v>
      </c>
      <c r="I5052" s="26" t="str">
        <f>IF(OR(E5052="",E5052="!!!",F5052="NEW"),"",INDEX(B5051:B$2,-1+SUMPRODUCT(MAX(ROW(E5051:E$2)*(E5052=E5051:E$2)))))</f>
        <v> </v>
      </c>
      <c r="J5052" s="26" t="str">
        <f>IF(OR(E5052="",E5052="!!!",F5052="NEW"),"",COUNTBLANK(OFFSET(A$1,,,SUMPRODUCT(MAX(ROW(E$2:E5052)*(E5052=E$2:E5052)))))-COUNTBLANK(OFFSET(A$1,,,SUMPRODUCT(MAX(ROW(E$1:E5051)*(E2=E$1:E5051))))))</f>
        <v> </v>
      </c>
      <c r="K5052" s="26" t="str">
        <f>IF(OR(E5052="",E5052="!!!",F5052="NEW"),"",INDEX(J$1:J5051,SUMPRODUCT(MAX(ROW(E$1:E5051)*(E5052=E$1:E5051)))))</f>
        <v> </v>
      </c>
      <c r="L5052" s="27"/>
    </row>
    <row r="5053" spans="1:12">
      <c r="A5053" s="20" t="s">
        <v>1032</v>
      </c>
      <c r="E5053" s="22">
        <f>IF(D5053="?OLD","!!!","")</f>
        <v/>
      </c>
      <c r="F5053" s="23" t="str">
        <f>IF(OR(E5053="",E5053="!!!"),"",IF(NOT(ISNA(VLOOKUP(E5053,E$1:E5052,1,FALSE()))),"OLD",IF(AND(E5053&lt;&gt;"",E5053&lt;&gt;"!!!"),"NEW","")))</f>
        <v> </v>
      </c>
      <c r="G5053" s="24" t="str">
        <f>IF(OR(E5053="",E5053="!!!"),"",IF(OR(J5053=0,AND(J5053=1,K5053=1),AND(J5053=1,I5053="SBJ"),AND(J5053=1,I5053=0)),"?IN_FOCUS",IF(J5053&lt;=2,"?ACTIVATED",IF(J5053&lt;&gt;"","?FAMILIAR",IF(F5053="NEW",IF(ISNA(VLOOKUP(E5053,#REF!,1,FALSE())),"?TYPE_IDENTIFIABLE","?REFERENTIAL"),"_")))))</f>
        <v> </v>
      </c>
      <c r="H5053" s="25" t="str">
        <f>IF(J5053&lt;&gt;1,"",IF(I5053="SBJ","CB","?"))</f>
        <v> </v>
      </c>
      <c r="I5053" s="26" t="str">
        <f>IF(OR(E5053="",E5053="!!!",F5053="NEW"),"",INDEX(B5052:B$2,-1+SUMPRODUCT(MAX(ROW(E5052:E$2)*(E5053=E5052:E$2)))))</f>
        <v> </v>
      </c>
      <c r="J5053" s="26" t="str">
        <f>IF(OR(E5053="",E5053="!!!",F5053="NEW"),"",COUNTBLANK(OFFSET(A$1,,,SUMPRODUCT(MAX(ROW(E$2:E5053)*(E5053=E$2:E5053)))))-COUNTBLANK(OFFSET(A$1,,,SUMPRODUCT(MAX(ROW(E$1:E5052)*(E2=E$1:E5052))))))</f>
        <v> </v>
      </c>
      <c r="K5053" s="26" t="str">
        <f>IF(OR(E5053="",E5053="!!!",F5053="NEW"),"",INDEX(J$1:J5052,SUMPRODUCT(MAX(ROW(E$1:E5052)*(E5053=E$1:E5052)))))</f>
        <v> </v>
      </c>
      <c r="L5053" s="27"/>
    </row>
    <row r="5054" spans="1:12">
      <c r="A5054" s="20" t="s">
        <v>1020</v>
      </c>
      <c r="E5054" s="22">
        <f>IF(D5054="?OLD","!!!","")</f>
        <v/>
      </c>
      <c r="F5054" s="23" t="str">
        <f>IF(OR(E5054="",E5054="!!!"),"",IF(NOT(ISNA(VLOOKUP(E5054,E$1:E5053,1,FALSE()))),"OLD",IF(AND(E5054&lt;&gt;"",E5054&lt;&gt;"!!!"),"NEW","")))</f>
        <v> </v>
      </c>
      <c r="G5054" s="24" t="str">
        <f>IF(OR(E5054="",E5054="!!!"),"",IF(OR(J5054=0,AND(J5054=1,K5054=1),AND(J5054=1,I5054="SBJ"),AND(J5054=1,I5054=0)),"?IN_FOCUS",IF(J5054&lt;=2,"?ACTIVATED",IF(J5054&lt;&gt;"","?FAMILIAR",IF(F5054="NEW",IF(ISNA(VLOOKUP(E5054,#REF!,1,FALSE())),"?TYPE_IDENTIFIABLE","?REFERENTIAL"),"_")))))</f>
        <v> </v>
      </c>
      <c r="H5054" s="25" t="str">
        <f>IF(J5054&lt;&gt;1,"",IF(I5054="SBJ","CB","?"))</f>
        <v> </v>
      </c>
      <c r="I5054" s="26" t="str">
        <f>IF(OR(E5054="",E5054="!!!",F5054="NEW"),"",INDEX(B5053:B$2,-1+SUMPRODUCT(MAX(ROW(E5053:E$2)*(E5054=E5053:E$2)))))</f>
        <v> </v>
      </c>
      <c r="J5054" s="26" t="str">
        <f>IF(OR(E5054="",E5054="!!!",F5054="NEW"),"",COUNTBLANK(OFFSET(A$1,,,SUMPRODUCT(MAX(ROW(E$2:E5054)*(E5054=E$2:E5054)))))-COUNTBLANK(OFFSET(A$1,,,SUMPRODUCT(MAX(ROW(E$1:E5053)*(E2=E$1:E5053))))))</f>
        <v> </v>
      </c>
      <c r="K5054" s="26" t="str">
        <f>IF(OR(E5054="",E5054="!!!",F5054="NEW"),"",INDEX(J$1:J5053,SUMPRODUCT(MAX(ROW(E$1:E5053)*(E5054=E$1:E5053)))))</f>
        <v> </v>
      </c>
      <c r="L5054" s="27"/>
    </row>
    <row r="5055" spans="1:12">
      <c r="A5055" s="20" t="s">
        <v>1137</v>
      </c>
      <c r="B5055" s="21" t="s">
        <v>1053</v>
      </c>
      <c r="C5055" s="21" t="s">
        <v>1010</v>
      </c>
      <c r="D5055" s="21" t="s">
        <v>1011</v>
      </c>
      <c r="E5055" s="22">
        <f>IF(D5055="?OLD","!!!","")</f>
        <v/>
      </c>
      <c r="F5055" s="23" t="str">
        <f>IF(OR(E5055="",E5055="!!!"),"",IF(NOT(ISNA(VLOOKUP(E5055,E$1:E5054,1,FALSE()))),"OLD",IF(AND(E5055&lt;&gt;"",E5055&lt;&gt;"!!!"),"NEW","")))</f>
        <v> </v>
      </c>
      <c r="G5055" s="24" t="str">
        <f>IF(OR(E5055="",E5055="!!!"),"",IF(OR(J5055=0,AND(J5055=1,K5055=1),AND(J5055=1,I5055="SBJ"),AND(J5055=1,I5055=0)),"?IN_FOCUS",IF(J5055&lt;=2,"?ACTIVATED",IF(J5055&lt;&gt;"","?FAMILIAR",IF(F5055="NEW",IF(ISNA(VLOOKUP(E5055,#REF!,1,FALSE())),"?TYPE_IDENTIFIABLE","?REFERENTIAL"),"_")))))</f>
        <v> </v>
      </c>
      <c r="H5055" s="25" t="str">
        <f>IF(J5055&lt;&gt;1,"",IF(I5055="SBJ","CB","?"))</f>
        <v> </v>
      </c>
      <c r="I5055" s="26" t="str">
        <f>IF(OR(E5055="",E5055="!!!",F5055="NEW"),"",INDEX(B5054:B$2,-1+SUMPRODUCT(MAX(ROW(E5054:E$2)*(E5055=E5054:E$2)))))</f>
        <v> </v>
      </c>
      <c r="J5055" s="26" t="str">
        <f>IF(OR(E5055="",E5055="!!!",F5055="NEW"),"",COUNTBLANK(OFFSET(A$1,,,SUMPRODUCT(MAX(ROW(E$2:E5055)*(E5055=E$2:E5055)))))-COUNTBLANK(OFFSET(A$1,,,SUMPRODUCT(MAX(ROW(E$1:E5054)*(E2=E$1:E5054))))))</f>
        <v> </v>
      </c>
      <c r="K5055" s="26" t="str">
        <f>IF(OR(E5055="",E5055="!!!",F5055="NEW"),"",INDEX(J$1:J5054,SUMPRODUCT(MAX(ROW(E$1:E5054)*(E5055=E$1:E5054)))))</f>
        <v> </v>
      </c>
      <c r="L5055" s="27"/>
    </row>
    <row r="5056" spans="1:12">
      <c r="A5056" s="20" t="s">
        <v>1183</v>
      </c>
      <c r="E5056" s="22">
        <f>IF(D5056="?OLD","!!!","")</f>
        <v/>
      </c>
      <c r="F5056" s="23" t="str">
        <f>IF(OR(E5056="",E5056="!!!"),"",IF(NOT(ISNA(VLOOKUP(E5056,E$1:E5055,1,FALSE()))),"OLD",IF(AND(E5056&lt;&gt;"",E5056&lt;&gt;"!!!"),"NEW","")))</f>
        <v> </v>
      </c>
      <c r="G5056" s="24" t="str">
        <f>IF(OR(E5056="",E5056="!!!"),"",IF(OR(J5056=0,AND(J5056=1,K5056=1),AND(J5056=1,I5056="SBJ"),AND(J5056=1,I5056=0)),"?IN_FOCUS",IF(J5056&lt;=2,"?ACTIVATED",IF(J5056&lt;&gt;"","?FAMILIAR",IF(F5056="NEW",IF(ISNA(VLOOKUP(E5056,#REF!,1,FALSE())),"?TYPE_IDENTIFIABLE","?REFERENTIAL"),"_")))))</f>
        <v> </v>
      </c>
      <c r="H5056" s="25" t="str">
        <f>IF(J5056&lt;&gt;1,"",IF(I5056="SBJ","CB","?"))</f>
        <v> </v>
      </c>
      <c r="I5056" s="26" t="str">
        <f>IF(OR(E5056="",E5056="!!!",F5056="NEW"),"",INDEX(B5055:B$2,-1+SUMPRODUCT(MAX(ROW(E5055:E$2)*(E5056=E5055:E$2)))))</f>
        <v> </v>
      </c>
      <c r="J5056" s="26" t="str">
        <f>IF(OR(E5056="",E5056="!!!",F5056="NEW"),"",COUNTBLANK(OFFSET(A$1,,,SUMPRODUCT(MAX(ROW(E$2:E5056)*(E5056=E$2:E5056)))))-COUNTBLANK(OFFSET(A$1,,,SUMPRODUCT(MAX(ROW(E$1:E5055)*(E2=E$1:E5055))))))</f>
        <v> </v>
      </c>
      <c r="K5056" s="26" t="str">
        <f>IF(OR(E5056="",E5056="!!!",F5056="NEW"),"",INDEX(J$1:J5055,SUMPRODUCT(MAX(ROW(E$1:E5055)*(E5056=E$1:E5055)))))</f>
        <v> </v>
      </c>
      <c r="L5056" s="27"/>
    </row>
    <row r="5057" spans="1:12">
      <c r="A5057" s="20" t="s">
        <v>1018</v>
      </c>
      <c r="E5057" s="22">
        <f>IF(D5057="?OLD","!!!","")</f>
        <v/>
      </c>
      <c r="F5057" s="23" t="str">
        <f>IF(OR(E5057="",E5057="!!!"),"",IF(NOT(ISNA(VLOOKUP(E5057,E$1:E5056,1,FALSE()))),"OLD",IF(AND(E5057&lt;&gt;"",E5057&lt;&gt;"!!!"),"NEW","")))</f>
        <v> </v>
      </c>
      <c r="G5057" s="24" t="str">
        <f>IF(OR(E5057="",E5057="!!!"),"",IF(OR(J5057=0,AND(J5057=1,K5057=1),AND(J5057=1,I5057="SBJ"),AND(J5057=1,I5057=0)),"?IN_FOCUS",IF(J5057&lt;=2,"?ACTIVATED",IF(J5057&lt;&gt;"","?FAMILIAR",IF(F5057="NEW",IF(ISNA(VLOOKUP(E5057,#REF!,1,FALSE())),"?TYPE_IDENTIFIABLE","?REFERENTIAL"),"_")))))</f>
        <v> </v>
      </c>
      <c r="H5057" s="25" t="str">
        <f>IF(J5057&lt;&gt;1,"",IF(I5057="SBJ","CB","?"))</f>
        <v> </v>
      </c>
      <c r="I5057" s="26" t="str">
        <f>IF(OR(E5057="",E5057="!!!",F5057="NEW"),"",INDEX(B5056:B$2,-1+SUMPRODUCT(MAX(ROW(E5056:E$2)*(E5057=E5056:E$2)))))</f>
        <v> </v>
      </c>
      <c r="J5057" s="26" t="str">
        <f>IF(OR(E5057="",E5057="!!!",F5057="NEW"),"",COUNTBLANK(OFFSET(A$1,,,SUMPRODUCT(MAX(ROW(E$2:E5057)*(E5057=E$2:E5057)))))-COUNTBLANK(OFFSET(A$1,,,SUMPRODUCT(MAX(ROW(E$1:E5056)*(E2=E$1:E5056))))))</f>
        <v> </v>
      </c>
      <c r="K5057" s="26" t="str">
        <f>IF(OR(E5057="",E5057="!!!",F5057="NEW"),"",INDEX(J$1:J5056,SUMPRODUCT(MAX(ROW(E$1:E5056)*(E5057=E$1:E5056)))))</f>
        <v> </v>
      </c>
      <c r="L5057" s="27"/>
    </row>
    <row r="5058" spans="1:12">
      <c r="A5058" s="20" t="s">
        <v>1014</v>
      </c>
      <c r="E5058" s="22">
        <f>IF(D5058="?OLD","!!!","")</f>
        <v/>
      </c>
      <c r="F5058" s="23" t="str">
        <f>IF(OR(E5058="",E5058="!!!"),"",IF(NOT(ISNA(VLOOKUP(E5058,E$1:E5057,1,FALSE()))),"OLD",IF(AND(E5058&lt;&gt;"",E5058&lt;&gt;"!!!"),"NEW","")))</f>
        <v> </v>
      </c>
      <c r="G5058" s="24" t="str">
        <f>IF(OR(E5058="",E5058="!!!"),"",IF(OR(J5058=0,AND(J5058=1,K5058=1),AND(J5058=1,I5058="SBJ"),AND(J5058=1,I5058=0)),"?IN_FOCUS",IF(J5058&lt;=2,"?ACTIVATED",IF(J5058&lt;&gt;"","?FAMILIAR",IF(F5058="NEW",IF(ISNA(VLOOKUP(E5058,#REF!,1,FALSE())),"?TYPE_IDENTIFIABLE","?REFERENTIAL"),"_")))))</f>
        <v> </v>
      </c>
      <c r="H5058" s="25" t="str">
        <f>IF(J5058&lt;&gt;1,"",IF(I5058="SBJ","CB","?"))</f>
        <v> </v>
      </c>
      <c r="I5058" s="26" t="str">
        <f>IF(OR(E5058="",E5058="!!!",F5058="NEW"),"",INDEX(B5057:B$2,-1+SUMPRODUCT(MAX(ROW(E5057:E$2)*(E5058=E5057:E$2)))))</f>
        <v> </v>
      </c>
      <c r="J5058" s="26" t="str">
        <f>IF(OR(E5058="",E5058="!!!",F5058="NEW"),"",COUNTBLANK(OFFSET(A$1,,,SUMPRODUCT(MAX(ROW(E$2:E5058)*(E5058=E$2:E5058)))))-COUNTBLANK(OFFSET(A$1,,,SUMPRODUCT(MAX(ROW(E$1:E5057)*(E2=E$1:E5057))))))</f>
        <v> </v>
      </c>
      <c r="K5058" s="26" t="str">
        <f>IF(OR(E5058="",E5058="!!!",F5058="NEW"),"",INDEX(J$1:J5057,SUMPRODUCT(MAX(ROW(E$1:E5057)*(E5058=E$1:E5057)))))</f>
        <v> </v>
      </c>
      <c r="L5058" s="27"/>
    </row>
    <row r="5059" spans="1:12">
      <c r="A5059" s="20" t="s">
        <v>90</v>
      </c>
      <c r="E5059" s="22">
        <f>IF(D5059="?OLD","!!!","")</f>
        <v/>
      </c>
      <c r="F5059" s="23" t="str">
        <f>IF(OR(E5059="",E5059="!!!"),"",IF(NOT(ISNA(VLOOKUP(E5059,E$1:E5058,1,FALSE()))),"OLD",IF(AND(E5059&lt;&gt;"",E5059&lt;&gt;"!!!"),"NEW","")))</f>
        <v> </v>
      </c>
      <c r="G5059" s="24" t="str">
        <f>IF(OR(E5059="",E5059="!!!"),"",IF(OR(J5059=0,AND(J5059=1,K5059=1),AND(J5059=1,I5059="SBJ"),AND(J5059=1,I5059=0)),"?IN_FOCUS",IF(J5059&lt;=2,"?ACTIVATED",IF(J5059&lt;&gt;"","?FAMILIAR",IF(F5059="NEW",IF(ISNA(VLOOKUP(E5059,#REF!,1,FALSE())),"?TYPE_IDENTIFIABLE","?REFERENTIAL"),"_")))))</f>
        <v> </v>
      </c>
      <c r="H5059" s="25" t="str">
        <f>IF(J5059&lt;&gt;1,"",IF(I5059="SBJ","CB","?"))</f>
        <v> </v>
      </c>
      <c r="I5059" s="26" t="str">
        <f>IF(OR(E5059="",E5059="!!!",F5059="NEW"),"",INDEX(B5058:B$2,-1+SUMPRODUCT(MAX(ROW(E5058:E$2)*(E5059=E5058:E$2)))))</f>
        <v> </v>
      </c>
      <c r="J5059" s="26" t="str">
        <f>IF(OR(E5059="",E5059="!!!",F5059="NEW"),"",COUNTBLANK(OFFSET(A$1,,,SUMPRODUCT(MAX(ROW(E$2:E5059)*(E5059=E$2:E5059)))))-COUNTBLANK(OFFSET(A$1,,,SUMPRODUCT(MAX(ROW(E$1:E5058)*(E2=E$1:E5058))))))</f>
        <v> </v>
      </c>
      <c r="K5059" s="26" t="str">
        <f>IF(OR(E5059="",E5059="!!!",F5059="NEW"),"",INDEX(J$1:J5058,SUMPRODUCT(MAX(ROW(E$1:E5058)*(E5059=E$1:E5058)))))</f>
        <v> </v>
      </c>
      <c r="L5059" s="27"/>
    </row>
    <row r="5060" spans="1:12">
      <c r="A5060" s="20" t="s">
        <v>1028</v>
      </c>
      <c r="E5060" s="22">
        <f>IF(D5060="?OLD","!!!","")</f>
        <v/>
      </c>
      <c r="F5060" s="23" t="str">
        <f>IF(OR(E5060="",E5060="!!!"),"",IF(NOT(ISNA(VLOOKUP(E5060,E$1:E5059,1,FALSE()))),"OLD",IF(AND(E5060&lt;&gt;"",E5060&lt;&gt;"!!!"),"NEW","")))</f>
        <v> </v>
      </c>
      <c r="G5060" s="24" t="str">
        <f>IF(OR(E5060="",E5060="!!!"),"",IF(OR(J5060=0,AND(J5060=1,K5060=1),AND(J5060=1,I5060="SBJ"),AND(J5060=1,I5060=0)),"?IN_FOCUS",IF(J5060&lt;=2,"?ACTIVATED",IF(J5060&lt;&gt;"","?FAMILIAR",IF(F5060="NEW",IF(ISNA(VLOOKUP(E5060,#REF!,1,FALSE())),"?TYPE_IDENTIFIABLE","?REFERENTIAL"),"_")))))</f>
        <v> </v>
      </c>
      <c r="H5060" s="25" t="str">
        <f>IF(J5060&lt;&gt;1,"",IF(I5060="SBJ","CB","?"))</f>
        <v> </v>
      </c>
      <c r="I5060" s="26" t="str">
        <f>IF(OR(E5060="",E5060="!!!",F5060="NEW"),"",INDEX(B5059:B$2,-1+SUMPRODUCT(MAX(ROW(E5059:E$2)*(E5060=E5059:E$2)))))</f>
        <v> </v>
      </c>
      <c r="J5060" s="26" t="str">
        <f>IF(OR(E5060="",E5060="!!!",F5060="NEW"),"",COUNTBLANK(OFFSET(A$1,,,SUMPRODUCT(MAX(ROW(E$2:E5060)*(E5060=E$2:E5060)))))-COUNTBLANK(OFFSET(A$1,,,SUMPRODUCT(MAX(ROW(E$1:E5059)*(E2=E$1:E5059))))))</f>
        <v> </v>
      </c>
      <c r="K5060" s="26" t="str">
        <f>IF(OR(E5060="",E5060="!!!",F5060="NEW"),"",INDEX(J$1:J5059,SUMPRODUCT(MAX(ROW(E$1:E5059)*(E5060=E$1:E5059)))))</f>
        <v> </v>
      </c>
      <c r="L5060" s="27"/>
    </row>
    <row r="5061" spans="1:12">
      <c r="A5061" s="20" t="s">
        <v>2160</v>
      </c>
      <c r="E5061" s="22">
        <f>IF(D5061="?OLD","!!!","")</f>
        <v/>
      </c>
      <c r="F5061" s="23" t="str">
        <f>IF(OR(E5061="",E5061="!!!"),"",IF(NOT(ISNA(VLOOKUP(E5061,E$1:E5060,1,FALSE()))),"OLD",IF(AND(E5061&lt;&gt;"",E5061&lt;&gt;"!!!"),"NEW","")))</f>
        <v> </v>
      </c>
      <c r="G5061" s="24" t="str">
        <f>IF(OR(E5061="",E5061="!!!"),"",IF(OR(J5061=0,AND(J5061=1,K5061=1),AND(J5061=1,I5061="SBJ"),AND(J5061=1,I5061=0)),"?IN_FOCUS",IF(J5061&lt;=2,"?ACTIVATED",IF(J5061&lt;&gt;"","?FAMILIAR",IF(F5061="NEW",IF(ISNA(VLOOKUP(E5061,#REF!,1,FALSE())),"?TYPE_IDENTIFIABLE","?REFERENTIAL"),"_")))))</f>
        <v> </v>
      </c>
      <c r="H5061" s="25" t="str">
        <f>IF(J5061&lt;&gt;1,"",IF(I5061="SBJ","CB","?"))</f>
        <v> </v>
      </c>
      <c r="I5061" s="26" t="str">
        <f>IF(OR(E5061="",E5061="!!!",F5061="NEW"),"",INDEX(B5060:B$2,-1+SUMPRODUCT(MAX(ROW(E5060:E$2)*(E5061=E5060:E$2)))))</f>
        <v> </v>
      </c>
      <c r="J5061" s="26" t="str">
        <f>IF(OR(E5061="",E5061="!!!",F5061="NEW"),"",COUNTBLANK(OFFSET(A$1,,,SUMPRODUCT(MAX(ROW(E$2:E5061)*(E5061=E$2:E5061)))))-COUNTBLANK(OFFSET(A$1,,,SUMPRODUCT(MAX(ROW(E$1:E5060)*(E2=E$1:E5060))))))</f>
        <v> </v>
      </c>
      <c r="K5061" s="26" t="str">
        <f>IF(OR(E5061="",E5061="!!!",F5061="NEW"),"",INDEX(J$1:J5060,SUMPRODUCT(MAX(ROW(E$1:E5060)*(E5061=E$1:E5060)))))</f>
        <v> </v>
      </c>
      <c r="L5061" s="27"/>
    </row>
    <row r="5062" spans="1:12">
      <c r="A5062" s="20" t="s">
        <v>2161</v>
      </c>
      <c r="B5062" s="21" t="s">
        <v>1051</v>
      </c>
      <c r="C5062" s="21" t="s">
        <v>1030</v>
      </c>
      <c r="E5062" s="22">
        <f>IF(D5062="?OLD","!!!","")</f>
        <v/>
      </c>
      <c r="F5062" s="23" t="str">
        <f>IF(OR(E5062="",E5062="!!!"),"",IF(NOT(ISNA(VLOOKUP(E5062,E$1:E5061,1,FALSE()))),"OLD",IF(AND(E5062&lt;&gt;"",E5062&lt;&gt;"!!!"),"NEW","")))</f>
        <v> </v>
      </c>
      <c r="G5062" s="24" t="str">
        <f>IF(OR(E5062="",E5062="!!!"),"",IF(OR(J5062=0,AND(J5062=1,K5062=1),AND(J5062=1,I5062="SBJ"),AND(J5062=1,I5062=0)),"?IN_FOCUS",IF(J5062&lt;=2,"?ACTIVATED",IF(J5062&lt;&gt;"","?FAMILIAR",IF(F5062="NEW",IF(ISNA(VLOOKUP(E5062,#REF!,1,FALSE())),"?TYPE_IDENTIFIABLE","?REFERENTIAL"),"_")))))</f>
        <v> </v>
      </c>
      <c r="H5062" s="25" t="str">
        <f>IF(J5062&lt;&gt;1,"",IF(I5062="SBJ","CB","?"))</f>
        <v> </v>
      </c>
      <c r="I5062" s="26" t="str">
        <f>IF(OR(E5062="",E5062="!!!",F5062="NEW"),"",INDEX(B5061:B$2,-1+SUMPRODUCT(MAX(ROW(E5061:E$2)*(E5062=E5061:E$2)))))</f>
        <v> </v>
      </c>
      <c r="J5062" s="26" t="str">
        <f>IF(OR(E5062="",E5062="!!!",F5062="NEW"),"",COUNTBLANK(OFFSET(A$1,,,SUMPRODUCT(MAX(ROW(E$2:E5062)*(E5062=E$2:E5062)))))-COUNTBLANK(OFFSET(A$1,,,SUMPRODUCT(MAX(ROW(E$1:E5061)*(E2=E$1:E5061))))))</f>
        <v> </v>
      </c>
      <c r="K5062" s="26" t="str">
        <f>IF(OR(E5062="",E5062="!!!",F5062="NEW"),"",INDEX(J$1:J5061,SUMPRODUCT(MAX(ROW(E$1:E5061)*(E5062=E$1:E5061)))))</f>
        <v> </v>
      </c>
      <c r="L5062" s="27"/>
    </row>
    <row r="5063" spans="1:12">
      <c r="A5063" s="20" t="s">
        <v>1022</v>
      </c>
      <c r="E5063" s="22">
        <f>IF(D5063="?OLD","!!!","")</f>
        <v/>
      </c>
      <c r="F5063" s="23" t="str">
        <f>IF(OR(E5063="",E5063="!!!"),"",IF(NOT(ISNA(VLOOKUP(E5063,E$1:E5062,1,FALSE()))),"OLD",IF(AND(E5063&lt;&gt;"",E5063&lt;&gt;"!!!"),"NEW","")))</f>
        <v> </v>
      </c>
      <c r="G5063" s="24" t="str">
        <f>IF(OR(E5063="",E5063="!!!"),"",IF(OR(J5063=0,AND(J5063=1,K5063=1),AND(J5063=1,I5063="SBJ"),AND(J5063=1,I5063=0)),"?IN_FOCUS",IF(J5063&lt;=2,"?ACTIVATED",IF(J5063&lt;&gt;"","?FAMILIAR",IF(F5063="NEW",IF(ISNA(VLOOKUP(E5063,#REF!,1,FALSE())),"?TYPE_IDENTIFIABLE","?REFERENTIAL"),"_")))))</f>
        <v> </v>
      </c>
      <c r="H5063" s="25" t="str">
        <f>IF(J5063&lt;&gt;1,"",IF(I5063="SBJ","CB","?"))</f>
        <v> </v>
      </c>
      <c r="I5063" s="26" t="str">
        <f>IF(OR(E5063="",E5063="!!!",F5063="NEW"),"",INDEX(B5062:B$2,-1+SUMPRODUCT(MAX(ROW(E5062:E$2)*(E5063=E5062:E$2)))))</f>
        <v> </v>
      </c>
      <c r="J5063" s="26" t="str">
        <f>IF(OR(E5063="",E5063="!!!",F5063="NEW"),"",COUNTBLANK(OFFSET(A$1,,,SUMPRODUCT(MAX(ROW(E$2:E5063)*(E5063=E$2:E5063)))))-COUNTBLANK(OFFSET(A$1,,,SUMPRODUCT(MAX(ROW(E$1:E5062)*(E2=E$1:E5062))))))</f>
        <v> </v>
      </c>
      <c r="K5063" s="26" t="str">
        <f>IF(OR(E5063="",E5063="!!!",F5063="NEW"),"",INDEX(J$1:J5062,SUMPRODUCT(MAX(ROW(E$1:E5062)*(E5063=E$1:E5062)))))</f>
        <v> </v>
      </c>
      <c r="L5063" s="27"/>
    </row>
    <row r="5064" spans="1:12">
      <c r="A5064" s="20"/>
    </row>
    <row r="5065" spans="1:12">
      <c r="A5065" s="20" t="s">
        <v>2162</v>
      </c>
    </row>
    <row r="5066" spans="1:12">
      <c r="A5066" s="20" t="s">
        <v>2163</v>
      </c>
      <c r="E5066" s="22">
        <f>IF(D5066="?OLD","!!!","")</f>
        <v/>
      </c>
      <c r="F5066" s="23" t="str">
        <f>IF(OR(E5066="",E5066="!!!"),"",IF(NOT(ISNA(VLOOKUP(E5066,E$1:E5065,1,FALSE()))),"OLD",IF(AND(E5066&lt;&gt;"",E5066&lt;&gt;"!!!"),"NEW","")))</f>
        <v> </v>
      </c>
      <c r="G5066" s="24" t="str">
        <f>IF(OR(E5066="",E5066="!!!"),"",IF(OR(J5066=0,AND(J5066=1,K5066=1),AND(J5066=1,I5066="SBJ"),AND(J5066=1,I5066=0)),"?IN_FOCUS",IF(J5066&lt;=2,"?ACTIVATED",IF(J5066&lt;&gt;"","?FAMILIAR",IF(F5066="NEW",IF(ISNA(VLOOKUP(E5066,#REF!,1,FALSE())),"?TYPE_IDENTIFIABLE","?REFERENTIAL"),"_")))))</f>
        <v> </v>
      </c>
      <c r="H5066" s="25" t="str">
        <f>IF(J5066&lt;&gt;1,"",IF(I5066="SBJ","CB","?"))</f>
        <v> </v>
      </c>
      <c r="I5066" s="26" t="str">
        <f>IF(OR(E5066="",E5066="!!!",F5066="NEW"),"",INDEX(B5065:B$2,-1+SUMPRODUCT(MAX(ROW(E5065:E$2)*(E5066=E5065:E$2)))))</f>
        <v> </v>
      </c>
      <c r="J5066" s="26" t="str">
        <f>IF(OR(E5066="",E5066="!!!",F5066="NEW"),"",COUNTBLANK(OFFSET(A$1,,,SUMPRODUCT(MAX(ROW(E$2:E5066)*(E5066=E$2:E5066)))))-COUNTBLANK(OFFSET(A$1,,,SUMPRODUCT(MAX(ROW(E$1:E5065)*(E2=E$1:E5065))))))</f>
        <v> </v>
      </c>
      <c r="K5066" s="26" t="str">
        <f>IF(OR(E5066="",E5066="!!!",F5066="NEW"),"",INDEX(J$1:J5065,SUMPRODUCT(MAX(ROW(E$1:E5065)*(E5066=E$1:E5065)))))</f>
        <v> </v>
      </c>
      <c r="L5066" s="27"/>
    </row>
    <row r="5067" spans="1:12">
      <c r="A5067" s="20" t="s">
        <v>1231</v>
      </c>
      <c r="E5067" s="22">
        <f>IF(D5067="?OLD","!!!","")</f>
        <v/>
      </c>
      <c r="F5067" s="23" t="str">
        <f>IF(OR(E5067="",E5067="!!!"),"",IF(NOT(ISNA(VLOOKUP(E5067,E$1:E5066,1,FALSE()))),"OLD",IF(AND(E5067&lt;&gt;"",E5067&lt;&gt;"!!!"),"NEW","")))</f>
        <v> </v>
      </c>
      <c r="G5067" s="24" t="str">
        <f>IF(OR(E5067="",E5067="!!!"),"",IF(OR(J5067=0,AND(J5067=1,K5067=1),AND(J5067=1,I5067="SBJ"),AND(J5067=1,I5067=0)),"?IN_FOCUS",IF(J5067&lt;=2,"?ACTIVATED",IF(J5067&lt;&gt;"","?FAMILIAR",IF(F5067="NEW",IF(ISNA(VLOOKUP(E5067,#REF!,1,FALSE())),"?TYPE_IDENTIFIABLE","?REFERENTIAL"),"_")))))</f>
        <v> </v>
      </c>
      <c r="H5067" s="25" t="str">
        <f>IF(J5067&lt;&gt;1,"",IF(I5067="SBJ","CB","?"))</f>
        <v> </v>
      </c>
      <c r="I5067" s="26" t="str">
        <f>IF(OR(E5067="",E5067="!!!",F5067="NEW"),"",INDEX(B5066:B$2,-1+SUMPRODUCT(MAX(ROW(E5066:E$2)*(E5067=E5066:E$2)))))</f>
        <v> </v>
      </c>
      <c r="J5067" s="26" t="str">
        <f>IF(OR(E5067="",E5067="!!!",F5067="NEW"),"",COUNTBLANK(OFFSET(A$1,,,SUMPRODUCT(MAX(ROW(E$2:E5067)*(E5067=E$2:E5067)))))-COUNTBLANK(OFFSET(A$1,,,SUMPRODUCT(MAX(ROW(E$1:E5066)*(E2=E$1:E5066))))))</f>
        <v> </v>
      </c>
      <c r="K5067" s="26" t="str">
        <f>IF(OR(E5067="",E5067="!!!",F5067="NEW"),"",INDEX(J$1:J5066,SUMPRODUCT(MAX(ROW(E$1:E5066)*(E5067=E$1:E5066)))))</f>
        <v> </v>
      </c>
      <c r="L5067" s="27"/>
    </row>
    <row r="5068" spans="1:12">
      <c r="A5068" s="20" t="s">
        <v>388</v>
      </c>
      <c r="E5068" s="22">
        <f>IF(D5068="?OLD","!!!","")</f>
        <v/>
      </c>
      <c r="F5068" s="23" t="str">
        <f>IF(OR(E5068="",E5068="!!!"),"",IF(NOT(ISNA(VLOOKUP(E5068,E$1:E5067,1,FALSE()))),"OLD",IF(AND(E5068&lt;&gt;"",E5068&lt;&gt;"!!!"),"NEW","")))</f>
        <v> </v>
      </c>
      <c r="G5068" s="24" t="str">
        <f>IF(OR(E5068="",E5068="!!!"),"",IF(OR(J5068=0,AND(J5068=1,K5068=1),AND(J5068=1,I5068="SBJ"),AND(J5068=1,I5068=0)),"?IN_FOCUS",IF(J5068&lt;=2,"?ACTIVATED",IF(J5068&lt;&gt;"","?FAMILIAR",IF(F5068="NEW",IF(ISNA(VLOOKUP(E5068,#REF!,1,FALSE())),"?TYPE_IDENTIFIABLE","?REFERENTIAL"),"_")))))</f>
        <v> </v>
      </c>
      <c r="H5068" s="25" t="str">
        <f>IF(J5068&lt;&gt;1,"",IF(I5068="SBJ","CB","?"))</f>
        <v> </v>
      </c>
      <c r="I5068" s="26" t="str">
        <f>IF(OR(E5068="",E5068="!!!",F5068="NEW"),"",INDEX(B5067:B$2,-1+SUMPRODUCT(MAX(ROW(E5067:E$2)*(E5068=E5067:E$2)))))</f>
        <v> </v>
      </c>
      <c r="J5068" s="26" t="str">
        <f>IF(OR(E5068="",E5068="!!!",F5068="NEW"),"",COUNTBLANK(OFFSET(A$1,,,SUMPRODUCT(MAX(ROW(E$2:E5068)*(E5068=E$2:E5068)))))-COUNTBLANK(OFFSET(A$1,,,SUMPRODUCT(MAX(ROW(E$1:E5067)*(E2=E$1:E5067))))))</f>
        <v> </v>
      </c>
      <c r="K5068" s="26" t="str">
        <f>IF(OR(E5068="",E5068="!!!",F5068="NEW"),"",INDEX(J$1:J5067,SUMPRODUCT(MAX(ROW(E$1:E5067)*(E5068=E$1:E5067)))))</f>
        <v> </v>
      </c>
      <c r="L5068" s="27"/>
    </row>
    <row r="5069" spans="1:12">
      <c r="A5069" s="20" t="s">
        <v>1137</v>
      </c>
      <c r="B5069" s="21" t="s">
        <v>1009</v>
      </c>
      <c r="C5069" s="21" t="s">
        <v>1010</v>
      </c>
      <c r="D5069" s="21" t="s">
        <v>1011</v>
      </c>
      <c r="E5069" s="22">
        <f>IF(D5069="?OLD","!!!","")</f>
        <v/>
      </c>
      <c r="F5069" s="23" t="str">
        <f>IF(OR(E5069="",E5069="!!!"),"",IF(NOT(ISNA(VLOOKUP(E5069,E$1:E5068,1,FALSE()))),"OLD",IF(AND(E5069&lt;&gt;"",E5069&lt;&gt;"!!!"),"NEW","")))</f>
        <v> </v>
      </c>
      <c r="G5069" s="24" t="str">
        <f>IF(OR(E5069="",E5069="!!!"),"",IF(OR(J5069=0,AND(J5069=1,K5069=1),AND(J5069=1,I5069="SBJ"),AND(J5069=1,I5069=0)),"?IN_FOCUS",IF(J5069&lt;=2,"?ACTIVATED",IF(J5069&lt;&gt;"","?FAMILIAR",IF(F5069="NEW",IF(ISNA(VLOOKUP(E5069,#REF!,1,FALSE())),"?TYPE_IDENTIFIABLE","?REFERENTIAL"),"_")))))</f>
        <v> </v>
      </c>
      <c r="H5069" s="25" t="str">
        <f>IF(J5069&lt;&gt;1,"",IF(I5069="SBJ","CB","?"))</f>
        <v> </v>
      </c>
      <c r="I5069" s="26" t="str">
        <f>IF(OR(E5069="",E5069="!!!",F5069="NEW"),"",INDEX(B5068:B$2,-1+SUMPRODUCT(MAX(ROW(E5068:E$2)*(E5069=E5068:E$2)))))</f>
        <v> </v>
      </c>
      <c r="J5069" s="26" t="str">
        <f>IF(OR(E5069="",E5069="!!!",F5069="NEW"),"",COUNTBLANK(OFFSET(A$1,,,SUMPRODUCT(MAX(ROW(E$2:E5069)*(E5069=E$2:E5069)))))-COUNTBLANK(OFFSET(A$1,,,SUMPRODUCT(MAX(ROW(E$1:E5068)*(E2=E$1:E5068))))))</f>
        <v> </v>
      </c>
      <c r="K5069" s="26" t="str">
        <f>IF(OR(E5069="",E5069="!!!",F5069="NEW"),"",INDEX(J$1:J5068,SUMPRODUCT(MAX(ROW(E$1:E5068)*(E5069=E$1:E5068)))))</f>
        <v> </v>
      </c>
      <c r="L5069" s="27"/>
    </row>
    <row r="5070" spans="1:12">
      <c r="A5070" s="20" t="s">
        <v>13</v>
      </c>
      <c r="E5070" s="22">
        <f>IF(D5070="?OLD","!!!","")</f>
        <v/>
      </c>
      <c r="F5070" s="23" t="str">
        <f>IF(OR(E5070="",E5070="!!!"),"",IF(NOT(ISNA(VLOOKUP(E5070,E$1:E5069,1,FALSE()))),"OLD",IF(AND(E5070&lt;&gt;"",E5070&lt;&gt;"!!!"),"NEW","")))</f>
        <v> </v>
      </c>
      <c r="G5070" s="24" t="str">
        <f>IF(OR(E5070="",E5070="!!!"),"",IF(OR(J5070=0,AND(J5070=1,K5070=1),AND(J5070=1,I5070="SBJ"),AND(J5070=1,I5070=0)),"?IN_FOCUS",IF(J5070&lt;=2,"?ACTIVATED",IF(J5070&lt;&gt;"","?FAMILIAR",IF(F5070="NEW",IF(ISNA(VLOOKUP(E5070,#REF!,1,FALSE())),"?TYPE_IDENTIFIABLE","?REFERENTIAL"),"_")))))</f>
        <v> </v>
      </c>
      <c r="H5070" s="25" t="str">
        <f>IF(J5070&lt;&gt;1,"",IF(I5070="SBJ","CB","?"))</f>
        <v> </v>
      </c>
      <c r="I5070" s="26" t="str">
        <f>IF(OR(E5070="",E5070="!!!",F5070="NEW"),"",INDEX(B5069:B$2,-1+SUMPRODUCT(MAX(ROW(E5069:E$2)*(E5070=E5069:E$2)))))</f>
        <v> </v>
      </c>
      <c r="J5070" s="26" t="str">
        <f>IF(OR(E5070="",E5070="!!!",F5070="NEW"),"",COUNTBLANK(OFFSET(A$1,,,SUMPRODUCT(MAX(ROW(E$2:E5070)*(E5070=E$2:E5070)))))-COUNTBLANK(OFFSET(A$1,,,SUMPRODUCT(MAX(ROW(E$1:E5069)*(E2=E$1:E5069))))))</f>
        <v> </v>
      </c>
      <c r="K5070" s="26" t="str">
        <f>IF(OR(E5070="",E5070="!!!",F5070="NEW"),"",INDEX(J$1:J5069,SUMPRODUCT(MAX(ROW(E$1:E5069)*(E5070=E$1:E5069)))))</f>
        <v> </v>
      </c>
      <c r="L5070" s="27"/>
    </row>
    <row r="5071" spans="1:12">
      <c r="A5071" s="20" t="s">
        <v>1251</v>
      </c>
      <c r="E5071" s="22">
        <f>IF(D5071="?OLD","!!!","")</f>
        <v/>
      </c>
      <c r="F5071" s="23" t="str">
        <f>IF(OR(E5071="",E5071="!!!"),"",IF(NOT(ISNA(VLOOKUP(E5071,E$1:E5070,1,FALSE()))),"OLD",IF(AND(E5071&lt;&gt;"",E5071&lt;&gt;"!!!"),"NEW","")))</f>
        <v> </v>
      </c>
      <c r="G5071" s="24" t="str">
        <f>IF(OR(E5071="",E5071="!!!"),"",IF(OR(J5071=0,AND(J5071=1,K5071=1),AND(J5071=1,I5071="SBJ"),AND(J5071=1,I5071=0)),"?IN_FOCUS",IF(J5071&lt;=2,"?ACTIVATED",IF(J5071&lt;&gt;"","?FAMILIAR",IF(F5071="NEW",IF(ISNA(VLOOKUP(E5071,#REF!,1,FALSE())),"?TYPE_IDENTIFIABLE","?REFERENTIAL"),"_")))))</f>
        <v> </v>
      </c>
      <c r="H5071" s="25" t="str">
        <f>IF(J5071&lt;&gt;1,"",IF(I5071="SBJ","CB","?"))</f>
        <v> </v>
      </c>
      <c r="I5071" s="26" t="str">
        <f>IF(OR(E5071="",E5071="!!!",F5071="NEW"),"",INDEX(B5070:B$2,-1+SUMPRODUCT(MAX(ROW(E5070:E$2)*(E5071=E5070:E$2)))))</f>
        <v> </v>
      </c>
      <c r="J5071" s="26" t="str">
        <f>IF(OR(E5071="",E5071="!!!",F5071="NEW"),"",COUNTBLANK(OFFSET(A$1,,,SUMPRODUCT(MAX(ROW(E$2:E5071)*(E5071=E$2:E5071)))))-COUNTBLANK(OFFSET(A$1,,,SUMPRODUCT(MAX(ROW(E$1:E5070)*(E2=E$1:E5070))))))</f>
        <v> </v>
      </c>
      <c r="K5071" s="26" t="str">
        <f>IF(OR(E5071="",E5071="!!!",F5071="NEW"),"",INDEX(J$1:J5070,SUMPRODUCT(MAX(ROW(E$1:E5070)*(E5071=E$1:E5070)))))</f>
        <v> </v>
      </c>
      <c r="L5071" s="27"/>
    </row>
    <row r="5072" spans="1:12">
      <c r="A5072" s="20"/>
    </row>
    <row r="5073" spans="1:12">
      <c r="A5073" s="20" t="s">
        <v>2164</v>
      </c>
    </row>
    <row r="5074" spans="1:12">
      <c r="A5074" s="20" t="s">
        <v>1813</v>
      </c>
      <c r="B5074" s="21" t="s">
        <v>1009</v>
      </c>
      <c r="C5074" s="21" t="s">
        <v>1010</v>
      </c>
      <c r="D5074" s="21" t="s">
        <v>1011</v>
      </c>
      <c r="E5074" s="22">
        <f>IF(D5074="?OLD","!!!","")</f>
        <v/>
      </c>
      <c r="F5074" s="23" t="str">
        <f>IF(OR(E5074="",E5074="!!!"),"",IF(NOT(ISNA(VLOOKUP(E5074,E$1:E5073,1,FALSE()))),"OLD",IF(AND(E5074&lt;&gt;"",E5074&lt;&gt;"!!!"),"NEW","")))</f>
        <v> </v>
      </c>
      <c r="G5074" s="24" t="str">
        <f>IF(OR(E5074="",E5074="!!!"),"",IF(OR(J5074=0,AND(J5074=1,K5074=1),AND(J5074=1,I5074="SBJ"),AND(J5074=1,I5074=0)),"?IN_FOCUS",IF(J5074&lt;=2,"?ACTIVATED",IF(J5074&lt;&gt;"","?FAMILIAR",IF(F5074="NEW",IF(ISNA(VLOOKUP(E5074,#REF!,1,FALSE())),"?TYPE_IDENTIFIABLE","?REFERENTIAL"),"_")))))</f>
        <v> </v>
      </c>
      <c r="H5074" s="25" t="str">
        <f>IF(J5074&lt;&gt;1,"",IF(I5074="SBJ","CB","?"))</f>
        <v> </v>
      </c>
      <c r="I5074" s="26" t="str">
        <f>IF(OR(E5074="",E5074="!!!",F5074="NEW"),"",INDEX(B5073:B$2,-1+SUMPRODUCT(MAX(ROW(E5073:E$2)*(E5074=E5073:E$2)))))</f>
        <v> </v>
      </c>
      <c r="J5074" s="26" t="str">
        <f>IF(OR(E5074="",E5074="!!!",F5074="NEW"),"",COUNTBLANK(OFFSET(A$1,,,SUMPRODUCT(MAX(ROW(E$2:E5074)*(E5074=E$2:E5074)))))-COUNTBLANK(OFFSET(A$1,,,SUMPRODUCT(MAX(ROW(E$1:E5073)*(E2=E$1:E5073))))))</f>
        <v> </v>
      </c>
      <c r="K5074" s="26" t="str">
        <f>IF(OR(E5074="",E5074="!!!",F5074="NEW"),"",INDEX(J$1:J5073,SUMPRODUCT(MAX(ROW(E$1:E5073)*(E5074=E$1:E5073)))))</f>
        <v> </v>
      </c>
      <c r="L5074" s="27"/>
    </row>
    <row r="5075" spans="1:12">
      <c r="A5075" s="20" t="s">
        <v>1441</v>
      </c>
      <c r="E5075" s="22">
        <f>IF(D5075="?OLD","!!!","")</f>
        <v/>
      </c>
      <c r="F5075" s="23" t="str">
        <f>IF(OR(E5075="",E5075="!!!"),"",IF(NOT(ISNA(VLOOKUP(E5075,E$1:E5074,1,FALSE()))),"OLD",IF(AND(E5075&lt;&gt;"",E5075&lt;&gt;"!!!"),"NEW","")))</f>
        <v> </v>
      </c>
      <c r="G5075" s="24" t="str">
        <f>IF(OR(E5075="",E5075="!!!"),"",IF(OR(J5075=0,AND(J5075=1,K5075=1),AND(J5075=1,I5075="SBJ"),AND(J5075=1,I5075=0)),"?IN_FOCUS",IF(J5075&lt;=2,"?ACTIVATED",IF(J5075&lt;&gt;"","?FAMILIAR",IF(F5075="NEW",IF(ISNA(VLOOKUP(E5075,#REF!,1,FALSE())),"?TYPE_IDENTIFIABLE","?REFERENTIAL"),"_")))))</f>
        <v> </v>
      </c>
      <c r="H5075" s="25" t="str">
        <f>IF(J5075&lt;&gt;1,"",IF(I5075="SBJ","CB","?"))</f>
        <v> </v>
      </c>
      <c r="I5075" s="26" t="str">
        <f>IF(OR(E5075="",E5075="!!!",F5075="NEW"),"",INDEX(B5074:B$2,-1+SUMPRODUCT(MAX(ROW(E5074:E$2)*(E5075=E5074:E$2)))))</f>
        <v> </v>
      </c>
      <c r="J5075" s="26" t="str">
        <f>IF(OR(E5075="",E5075="!!!",F5075="NEW"),"",COUNTBLANK(OFFSET(A$1,,,SUMPRODUCT(MAX(ROW(E$2:E5075)*(E5075=E$2:E5075)))))-COUNTBLANK(OFFSET(A$1,,,SUMPRODUCT(MAX(ROW(E$1:E5074)*(E2=E$1:E5074))))))</f>
        <v> </v>
      </c>
      <c r="K5075" s="26" t="str">
        <f>IF(OR(E5075="",E5075="!!!",F5075="NEW"),"",INDEX(J$1:J5074,SUMPRODUCT(MAX(ROW(E$1:E5074)*(E5075=E$1:E5074)))))</f>
        <v> </v>
      </c>
      <c r="L5075" s="27"/>
    </row>
    <row r="5076" spans="1:12">
      <c r="A5076" s="20" t="s">
        <v>259</v>
      </c>
      <c r="E5076" s="22">
        <f>IF(D5076="?OLD","!!!","")</f>
        <v/>
      </c>
      <c r="F5076" s="23" t="str">
        <f>IF(OR(E5076="",E5076="!!!"),"",IF(NOT(ISNA(VLOOKUP(E5076,E$1:E5075,1,FALSE()))),"OLD",IF(AND(E5076&lt;&gt;"",E5076&lt;&gt;"!!!"),"NEW","")))</f>
        <v> </v>
      </c>
      <c r="G5076" s="24" t="str">
        <f>IF(OR(E5076="",E5076="!!!"),"",IF(OR(J5076=0,AND(J5076=1,K5076=1),AND(J5076=1,I5076="SBJ"),AND(J5076=1,I5076=0)),"?IN_FOCUS",IF(J5076&lt;=2,"?ACTIVATED",IF(J5076&lt;&gt;"","?FAMILIAR",IF(F5076="NEW",IF(ISNA(VLOOKUP(E5076,#REF!,1,FALSE())),"?TYPE_IDENTIFIABLE","?REFERENTIAL"),"_")))))</f>
        <v> </v>
      </c>
      <c r="H5076" s="25" t="str">
        <f>IF(J5076&lt;&gt;1,"",IF(I5076="SBJ","CB","?"))</f>
        <v> </v>
      </c>
      <c r="I5076" s="26" t="str">
        <f>IF(OR(E5076="",E5076="!!!",F5076="NEW"),"",INDEX(B5075:B$2,-1+SUMPRODUCT(MAX(ROW(E5075:E$2)*(E5076=E5075:E$2)))))</f>
        <v> </v>
      </c>
      <c r="J5076" s="26" t="str">
        <f>IF(OR(E5076="",E5076="!!!",F5076="NEW"),"",COUNTBLANK(OFFSET(A$1,,,SUMPRODUCT(MAX(ROW(E$2:E5076)*(E5076=E$2:E5076)))))-COUNTBLANK(OFFSET(A$1,,,SUMPRODUCT(MAX(ROW(E$1:E5075)*(E2=E$1:E5075))))))</f>
        <v> </v>
      </c>
      <c r="K5076" s="26" t="str">
        <f>IF(OR(E5076="",E5076="!!!",F5076="NEW"),"",INDEX(J$1:J5075,SUMPRODUCT(MAX(ROW(E$1:E5075)*(E5076=E$1:E5075)))))</f>
        <v> </v>
      </c>
      <c r="L5076" s="27"/>
    </row>
    <row r="5077" spans="1:12">
      <c r="A5077" s="20" t="s">
        <v>2160</v>
      </c>
      <c r="E5077" s="22">
        <f>IF(D5077="?OLD","!!!","")</f>
        <v/>
      </c>
      <c r="F5077" s="23" t="str">
        <f>IF(OR(E5077="",E5077="!!!"),"",IF(NOT(ISNA(VLOOKUP(E5077,E$1:E5076,1,FALSE()))),"OLD",IF(AND(E5077&lt;&gt;"",E5077&lt;&gt;"!!!"),"NEW","")))</f>
        <v> </v>
      </c>
      <c r="G5077" s="24" t="str">
        <f>IF(OR(E5077="",E5077="!!!"),"",IF(OR(J5077=0,AND(J5077=1,K5077=1),AND(J5077=1,I5077="SBJ"),AND(J5077=1,I5077=0)),"?IN_FOCUS",IF(J5077&lt;=2,"?ACTIVATED",IF(J5077&lt;&gt;"","?FAMILIAR",IF(F5077="NEW",IF(ISNA(VLOOKUP(E5077,#REF!,1,FALSE())),"?TYPE_IDENTIFIABLE","?REFERENTIAL"),"_")))))</f>
        <v> </v>
      </c>
      <c r="H5077" s="25" t="str">
        <f>IF(J5077&lt;&gt;1,"",IF(I5077="SBJ","CB","?"))</f>
        <v> </v>
      </c>
      <c r="I5077" s="26" t="str">
        <f>IF(OR(E5077="",E5077="!!!",F5077="NEW"),"",INDEX(B5076:B$2,-1+SUMPRODUCT(MAX(ROW(E5076:E$2)*(E5077=E5076:E$2)))))</f>
        <v> </v>
      </c>
      <c r="J5077" s="26" t="str">
        <f>IF(OR(E5077="",E5077="!!!",F5077="NEW"),"",COUNTBLANK(OFFSET(A$1,,,SUMPRODUCT(MAX(ROW(E$2:E5077)*(E5077=E$2:E5077)))))-COUNTBLANK(OFFSET(A$1,,,SUMPRODUCT(MAX(ROW(E$1:E5076)*(E2=E$1:E5076))))))</f>
        <v> </v>
      </c>
      <c r="K5077" s="26" t="str">
        <f>IF(OR(E5077="",E5077="!!!",F5077="NEW"),"",INDEX(J$1:J5076,SUMPRODUCT(MAX(ROW(E$1:E5076)*(E5077=E$1:E5076)))))</f>
        <v> </v>
      </c>
      <c r="L5077" s="27"/>
    </row>
    <row r="5078" spans="1:12">
      <c r="A5078" s="20" t="s">
        <v>2165</v>
      </c>
      <c r="B5078" s="21" t="s">
        <v>1048</v>
      </c>
      <c r="C5078" s="21" t="s">
        <v>1017</v>
      </c>
      <c r="E5078" s="22">
        <f>IF(D5078="?OLD","!!!","")</f>
        <v/>
      </c>
      <c r="F5078" s="23" t="str">
        <f>IF(OR(E5078="",E5078="!!!"),"",IF(NOT(ISNA(VLOOKUP(E5078,E$1:E5077,1,FALSE()))),"OLD",IF(AND(E5078&lt;&gt;"",E5078&lt;&gt;"!!!"),"NEW","")))</f>
        <v> </v>
      </c>
      <c r="G5078" s="24" t="str">
        <f>IF(OR(E5078="",E5078="!!!"),"",IF(OR(J5078=0,AND(J5078=1,K5078=1),AND(J5078=1,I5078="SBJ"),AND(J5078=1,I5078=0)),"?IN_FOCUS",IF(J5078&lt;=2,"?ACTIVATED",IF(J5078&lt;&gt;"","?FAMILIAR",IF(F5078="NEW",IF(ISNA(VLOOKUP(E5078,#REF!,1,FALSE())),"?TYPE_IDENTIFIABLE","?REFERENTIAL"),"_")))))</f>
        <v> </v>
      </c>
      <c r="H5078" s="25" t="str">
        <f>IF(J5078&lt;&gt;1,"",IF(I5078="SBJ","CB","?"))</f>
        <v> </v>
      </c>
      <c r="I5078" s="26" t="str">
        <f>IF(OR(E5078="",E5078="!!!",F5078="NEW"),"",INDEX(B5077:B$2,-1+SUMPRODUCT(MAX(ROW(E5077:E$2)*(E5078=E5077:E$2)))))</f>
        <v> </v>
      </c>
      <c r="J5078" s="26" t="str">
        <f>IF(OR(E5078="",E5078="!!!",F5078="NEW"),"",COUNTBLANK(OFFSET(A$1,,,SUMPRODUCT(MAX(ROW(E$2:E5078)*(E5078=E$2:E5078)))))-COUNTBLANK(OFFSET(A$1,,,SUMPRODUCT(MAX(ROW(E$1:E5077)*(E2=E$1:E5077))))))</f>
        <v> </v>
      </c>
      <c r="K5078" s="26" t="str">
        <f>IF(OR(E5078="",E5078="!!!",F5078="NEW"),"",INDEX(J$1:J5077,SUMPRODUCT(MAX(ROW(E$1:E5077)*(E5078=E$1:E5077)))))</f>
        <v> </v>
      </c>
      <c r="L5078" s="27"/>
    </row>
    <row r="5079" spans="1:12">
      <c r="A5079" s="20" t="s">
        <v>1254</v>
      </c>
      <c r="E5079" s="22">
        <f>IF(D5079="?OLD","!!!","")</f>
        <v/>
      </c>
      <c r="F5079" s="23" t="str">
        <f>IF(OR(E5079="",E5079="!!!"),"",IF(NOT(ISNA(VLOOKUP(E5079,E$1:E5078,1,FALSE()))),"OLD",IF(AND(E5079&lt;&gt;"",E5079&lt;&gt;"!!!"),"NEW","")))</f>
        <v> </v>
      </c>
      <c r="G5079" s="24" t="str">
        <f>IF(OR(E5079="",E5079="!!!"),"",IF(OR(J5079=0,AND(J5079=1,K5079=1),AND(J5079=1,I5079="SBJ"),AND(J5079=1,I5079=0)),"?IN_FOCUS",IF(J5079&lt;=2,"?ACTIVATED",IF(J5079&lt;&gt;"","?FAMILIAR",IF(F5079="NEW",IF(ISNA(VLOOKUP(E5079,#REF!,1,FALSE())),"?TYPE_IDENTIFIABLE","?REFERENTIAL"),"_")))))</f>
        <v> </v>
      </c>
      <c r="H5079" s="25" t="str">
        <f>IF(J5079&lt;&gt;1,"",IF(I5079="SBJ","CB","?"))</f>
        <v> </v>
      </c>
      <c r="I5079" s="26" t="str">
        <f>IF(OR(E5079="",E5079="!!!",F5079="NEW"),"",INDEX(B5078:B$2,-1+SUMPRODUCT(MAX(ROW(E5078:E$2)*(E5079=E5078:E$2)))))</f>
        <v> </v>
      </c>
      <c r="J5079" s="26" t="str">
        <f>IF(OR(E5079="",E5079="!!!",F5079="NEW"),"",COUNTBLANK(OFFSET(A$1,,,SUMPRODUCT(MAX(ROW(E$2:E5079)*(E5079=E$2:E5079)))))-COUNTBLANK(OFFSET(A$1,,,SUMPRODUCT(MAX(ROW(E$1:E5078)*(E2=E$1:E5078))))))</f>
        <v> </v>
      </c>
      <c r="K5079" s="26" t="str">
        <f>IF(OR(E5079="",E5079="!!!",F5079="NEW"),"",INDEX(J$1:J5078,SUMPRODUCT(MAX(ROW(E$1:E5078)*(E5079=E$1:E5078)))))</f>
        <v> </v>
      </c>
      <c r="L5079" s="27"/>
    </row>
    <row r="5080" spans="1:12">
      <c r="A5080" s="20" t="s">
        <v>1283</v>
      </c>
      <c r="B5080" s="21" t="s">
        <v>1016</v>
      </c>
      <c r="C5080" s="21" t="s">
        <v>1102</v>
      </c>
      <c r="D5080" s="21" t="s">
        <v>1011</v>
      </c>
      <c r="E5080" s="22">
        <f>IF(D5080="?OLD","!!!","")</f>
        <v/>
      </c>
      <c r="F5080" s="23" t="str">
        <f>IF(OR(E5080="",E5080="!!!"),"",IF(NOT(ISNA(VLOOKUP(E5080,E$1:E5079,1,FALSE()))),"OLD",IF(AND(E5080&lt;&gt;"",E5080&lt;&gt;"!!!"),"NEW","")))</f>
        <v> </v>
      </c>
      <c r="G5080" s="24" t="str">
        <f>IF(OR(E5080="",E5080="!!!"),"",IF(OR(J5080=0,AND(J5080=1,K5080=1),AND(J5080=1,I5080="SBJ"),AND(J5080=1,I5080=0)),"?IN_FOCUS",IF(J5080&lt;=2,"?ACTIVATED",IF(J5080&lt;&gt;"","?FAMILIAR",IF(F5080="NEW",IF(ISNA(VLOOKUP(E5080,#REF!,1,FALSE())),"?TYPE_IDENTIFIABLE","?REFERENTIAL"),"_")))))</f>
        <v> </v>
      </c>
      <c r="H5080" s="25" t="str">
        <f>IF(J5080&lt;&gt;1,"",IF(I5080="SBJ","CB","?"))</f>
        <v> </v>
      </c>
      <c r="I5080" s="26" t="str">
        <f>IF(OR(E5080="",E5080="!!!",F5080="NEW"),"",INDEX(B5079:B$2,-1+SUMPRODUCT(MAX(ROW(E5079:E$2)*(E5080=E5079:E$2)))))</f>
        <v> </v>
      </c>
      <c r="J5080" s="26" t="str">
        <f>IF(OR(E5080="",E5080="!!!",F5080="NEW"),"",COUNTBLANK(OFFSET(A$1,,,SUMPRODUCT(MAX(ROW(E$2:E5080)*(E5080=E$2:E5080)))))-COUNTBLANK(OFFSET(A$1,,,SUMPRODUCT(MAX(ROW(E$1:E5079)*(E2=E$1:E5079))))))</f>
        <v> </v>
      </c>
      <c r="K5080" s="26" t="str">
        <f>IF(OR(E5080="",E5080="!!!",F5080="NEW"),"",INDEX(J$1:J5079,SUMPRODUCT(MAX(ROW(E$1:E5079)*(E5080=E$1:E5079)))))</f>
        <v> </v>
      </c>
      <c r="L5080" s="27"/>
    </row>
    <row r="5081" spans="1:12">
      <c r="A5081" s="20" t="s">
        <v>1022</v>
      </c>
      <c r="E5081" s="22">
        <f>IF(D5081="?OLD","!!!","")</f>
        <v/>
      </c>
      <c r="F5081" s="23" t="str">
        <f>IF(OR(E5081="",E5081="!!!"),"",IF(NOT(ISNA(VLOOKUP(E5081,E$1:E5080,1,FALSE()))),"OLD",IF(AND(E5081&lt;&gt;"",E5081&lt;&gt;"!!!"),"NEW","")))</f>
        <v> </v>
      </c>
      <c r="G5081" s="24" t="str">
        <f>IF(OR(E5081="",E5081="!!!"),"",IF(OR(J5081=0,AND(J5081=1,K5081=1),AND(J5081=1,I5081="SBJ"),AND(J5081=1,I5081=0)),"?IN_FOCUS",IF(J5081&lt;=2,"?ACTIVATED",IF(J5081&lt;&gt;"","?FAMILIAR",IF(F5081="NEW",IF(ISNA(VLOOKUP(E5081,#REF!,1,FALSE())),"?TYPE_IDENTIFIABLE","?REFERENTIAL"),"_")))))</f>
        <v> </v>
      </c>
      <c r="H5081" s="25" t="str">
        <f>IF(J5081&lt;&gt;1,"",IF(I5081="SBJ","CB","?"))</f>
        <v> </v>
      </c>
      <c r="I5081" s="26" t="str">
        <f>IF(OR(E5081="",E5081="!!!",F5081="NEW"),"",INDEX(B5080:B$2,-1+SUMPRODUCT(MAX(ROW(E5080:E$2)*(E5081=E5080:E$2)))))</f>
        <v> </v>
      </c>
      <c r="J5081" s="26" t="str">
        <f>IF(OR(E5081="",E5081="!!!",F5081="NEW"),"",COUNTBLANK(OFFSET(A$1,,,SUMPRODUCT(MAX(ROW(E$2:E5081)*(E5081=E$2:E5081)))))-COUNTBLANK(OFFSET(A$1,,,SUMPRODUCT(MAX(ROW(E$1:E5080)*(E2=E$1:E5080))))))</f>
        <v> </v>
      </c>
      <c r="K5081" s="26" t="str">
        <f>IF(OR(E5081="",E5081="!!!",F5081="NEW"),"",INDEX(J$1:J5080,SUMPRODUCT(MAX(ROW(E$1:E5080)*(E5081=E$1:E5080)))))</f>
        <v> </v>
      </c>
      <c r="L5081" s="27"/>
    </row>
    <row r="5082" spans="1:12">
      <c r="A5082" s="20"/>
    </row>
    <row r="5083" spans="1:12">
      <c r="A5083" s="20" t="s">
        <v>2166</v>
      </c>
    </row>
    <row r="5084" spans="1:12">
      <c r="A5084" s="20" t="s">
        <v>1433</v>
      </c>
      <c r="E5084" s="22">
        <f>IF(D5084="?OLD","!!!","")</f>
        <v/>
      </c>
      <c r="F5084" s="23" t="str">
        <f>IF(OR(E5084="",E5084="!!!"),"",IF(NOT(ISNA(VLOOKUP(E5084,E$1:E5083,1,FALSE()))),"OLD",IF(AND(E5084&lt;&gt;"",E5084&lt;&gt;"!!!"),"NEW","")))</f>
        <v> </v>
      </c>
      <c r="G5084" s="24" t="str">
        <f>IF(OR(E5084="",E5084="!!!"),"",IF(OR(J5084=0,AND(J5084=1,K5084=1),AND(J5084=1,I5084="SBJ"),AND(J5084=1,I5084=0)),"?IN_FOCUS",IF(J5084&lt;=2,"?ACTIVATED",IF(J5084&lt;&gt;"","?FAMILIAR",IF(F5084="NEW",IF(ISNA(VLOOKUP(E5084,#REF!,1,FALSE())),"?TYPE_IDENTIFIABLE","?REFERENTIAL"),"_")))))</f>
        <v> </v>
      </c>
      <c r="H5084" s="25" t="str">
        <f>IF(J5084&lt;&gt;1,"",IF(I5084="SBJ","CB","?"))</f>
        <v> </v>
      </c>
      <c r="I5084" s="26" t="str">
        <f>IF(OR(E5084="",E5084="!!!",F5084="NEW"),"",INDEX(B5083:B$2,-1+SUMPRODUCT(MAX(ROW(E5083:E$2)*(E5084=E5083:E$2)))))</f>
        <v> </v>
      </c>
      <c r="J5084" s="26" t="str">
        <f>IF(OR(E5084="",E5084="!!!",F5084="NEW"),"",COUNTBLANK(OFFSET(A$1,,,SUMPRODUCT(MAX(ROW(E$2:E5084)*(E5084=E$2:E5084)))))-COUNTBLANK(OFFSET(A$1,,,SUMPRODUCT(MAX(ROW(E$1:E5083)*(E2=E$1:E5083))))))</f>
        <v> </v>
      </c>
      <c r="K5084" s="26" t="str">
        <f>IF(OR(E5084="",E5084="!!!",F5084="NEW"),"",INDEX(J$1:J5083,SUMPRODUCT(MAX(ROW(E$1:E5083)*(E5084=E$1:E5083)))))</f>
        <v> </v>
      </c>
      <c r="L5084" s="27"/>
    </row>
    <row r="5085" spans="1:12">
      <c r="A5085" s="20" t="s">
        <v>1045</v>
      </c>
      <c r="E5085" s="22">
        <f>IF(D5085="?OLD","!!!","")</f>
        <v/>
      </c>
      <c r="F5085" s="23" t="str">
        <f>IF(OR(E5085="",E5085="!!!"),"",IF(NOT(ISNA(VLOOKUP(E5085,E$1:E5084,1,FALSE()))),"OLD",IF(AND(E5085&lt;&gt;"",E5085&lt;&gt;"!!!"),"NEW","")))</f>
        <v> </v>
      </c>
      <c r="G5085" s="24" t="str">
        <f>IF(OR(E5085="",E5085="!!!"),"",IF(OR(J5085=0,AND(J5085=1,K5085=1),AND(J5085=1,I5085="SBJ"),AND(J5085=1,I5085=0)),"?IN_FOCUS",IF(J5085&lt;=2,"?ACTIVATED",IF(J5085&lt;&gt;"","?FAMILIAR",IF(F5085="NEW",IF(ISNA(VLOOKUP(E5085,#REF!,1,FALSE())),"?TYPE_IDENTIFIABLE","?REFERENTIAL"),"_")))))</f>
        <v> </v>
      </c>
      <c r="H5085" s="25" t="str">
        <f>IF(J5085&lt;&gt;1,"",IF(I5085="SBJ","CB","?"))</f>
        <v> </v>
      </c>
      <c r="I5085" s="26" t="str">
        <f>IF(OR(E5085="",E5085="!!!",F5085="NEW"),"",INDEX(B5084:B$2,-1+SUMPRODUCT(MAX(ROW(E5084:E$2)*(E5085=E5084:E$2)))))</f>
        <v> </v>
      </c>
      <c r="J5085" s="26" t="str">
        <f>IF(OR(E5085="",E5085="!!!",F5085="NEW"),"",COUNTBLANK(OFFSET(A$1,,,SUMPRODUCT(MAX(ROW(E$2:E5085)*(E5085=E$2:E5085)))))-COUNTBLANK(OFFSET(A$1,,,SUMPRODUCT(MAX(ROW(E$1:E5084)*(E2=E$1:E5084))))))</f>
        <v> </v>
      </c>
      <c r="K5085" s="26" t="str">
        <f>IF(OR(E5085="",E5085="!!!",F5085="NEW"),"",INDEX(J$1:J5084,SUMPRODUCT(MAX(ROW(E$1:E5084)*(E5085=E$1:E5084)))))</f>
        <v> </v>
      </c>
      <c r="L5085" s="27"/>
    </row>
    <row r="5086" spans="1:12">
      <c r="A5086" s="20" t="s">
        <v>1028</v>
      </c>
      <c r="E5086" s="22">
        <f>IF(D5086="?OLD","!!!","")</f>
        <v/>
      </c>
      <c r="F5086" s="23" t="str">
        <f>IF(OR(E5086="",E5086="!!!"),"",IF(NOT(ISNA(VLOOKUP(E5086,E$1:E5085,1,FALSE()))),"OLD",IF(AND(E5086&lt;&gt;"",E5086&lt;&gt;"!!!"),"NEW","")))</f>
        <v> </v>
      </c>
      <c r="G5086" s="24" t="str">
        <f>IF(OR(E5086="",E5086="!!!"),"",IF(OR(J5086=0,AND(J5086=1,K5086=1),AND(J5086=1,I5086="SBJ"),AND(J5086=1,I5086=0)),"?IN_FOCUS",IF(J5086&lt;=2,"?ACTIVATED",IF(J5086&lt;&gt;"","?FAMILIAR",IF(F5086="NEW",IF(ISNA(VLOOKUP(E5086,#REF!,1,FALSE())),"?TYPE_IDENTIFIABLE","?REFERENTIAL"),"_")))))</f>
        <v> </v>
      </c>
      <c r="H5086" s="25" t="str">
        <f>IF(J5086&lt;&gt;1,"",IF(I5086="SBJ","CB","?"))</f>
        <v> </v>
      </c>
      <c r="I5086" s="26" t="str">
        <f>IF(OR(E5086="",E5086="!!!",F5086="NEW"),"",INDEX(B5085:B$2,-1+SUMPRODUCT(MAX(ROW(E5085:E$2)*(E5086=E5085:E$2)))))</f>
        <v> </v>
      </c>
      <c r="J5086" s="26" t="str">
        <f>IF(OR(E5086="",E5086="!!!",F5086="NEW"),"",COUNTBLANK(OFFSET(A$1,,,SUMPRODUCT(MAX(ROW(E$2:E5086)*(E5086=E$2:E5086)))))-COUNTBLANK(OFFSET(A$1,,,SUMPRODUCT(MAX(ROW(E$1:E5085)*(E2=E$1:E5085))))))</f>
        <v> </v>
      </c>
      <c r="K5086" s="26" t="str">
        <f>IF(OR(E5086="",E5086="!!!",F5086="NEW"),"",INDEX(J$1:J5085,SUMPRODUCT(MAX(ROW(E$1:E5085)*(E5086=E$1:E5085)))))</f>
        <v> </v>
      </c>
      <c r="L5086" s="27"/>
    </row>
    <row r="5087" spans="1:12">
      <c r="A5087" s="20" t="s">
        <v>2167</v>
      </c>
      <c r="B5087" s="21" t="s">
        <v>1009</v>
      </c>
      <c r="C5087" s="21" t="s">
        <v>1030</v>
      </c>
      <c r="E5087" s="22">
        <f>IF(D5087="?OLD","!!!","")</f>
        <v/>
      </c>
      <c r="F5087" s="23" t="str">
        <f>IF(OR(E5087="",E5087="!!!"),"",IF(NOT(ISNA(VLOOKUP(E5087,E$1:E5086,1,FALSE()))),"OLD",IF(AND(E5087&lt;&gt;"",E5087&lt;&gt;"!!!"),"NEW","")))</f>
        <v> </v>
      </c>
      <c r="G5087" s="24" t="str">
        <f>IF(OR(E5087="",E5087="!!!"),"",IF(OR(J5087=0,AND(J5087=1,K5087=1),AND(J5087=1,I5087="SBJ"),AND(J5087=1,I5087=0)),"?IN_FOCUS",IF(J5087&lt;=2,"?ACTIVATED",IF(J5087&lt;&gt;"","?FAMILIAR",IF(F5087="NEW",IF(ISNA(VLOOKUP(E5087,#REF!,1,FALSE())),"?TYPE_IDENTIFIABLE","?REFERENTIAL"),"_")))))</f>
        <v> </v>
      </c>
      <c r="H5087" s="25" t="str">
        <f>IF(J5087&lt;&gt;1,"",IF(I5087="SBJ","CB","?"))</f>
        <v> </v>
      </c>
      <c r="I5087" s="26" t="str">
        <f>IF(OR(E5087="",E5087="!!!",F5087="NEW"),"",INDEX(B5086:B$2,-1+SUMPRODUCT(MAX(ROW(E5086:E$2)*(E5087=E5086:E$2)))))</f>
        <v> </v>
      </c>
      <c r="J5087" s="26" t="str">
        <f>IF(OR(E5087="",E5087="!!!",F5087="NEW"),"",COUNTBLANK(OFFSET(A$1,,,SUMPRODUCT(MAX(ROW(E$2:E5087)*(E5087=E$2:E5087)))))-COUNTBLANK(OFFSET(A$1,,,SUMPRODUCT(MAX(ROW(E$1:E5086)*(E2=E$1:E5086))))))</f>
        <v> </v>
      </c>
      <c r="K5087" s="26" t="str">
        <f>IF(OR(E5087="",E5087="!!!",F5087="NEW"),"",INDEX(J$1:J5086,SUMPRODUCT(MAX(ROW(E$1:E5086)*(E5087=E$1:E5086)))))</f>
        <v> </v>
      </c>
      <c r="L5087" s="27"/>
    </row>
    <row r="5088" spans="1:12">
      <c r="A5088" s="20" t="s">
        <v>1132</v>
      </c>
      <c r="E5088" s="22">
        <f>IF(D5088="?OLD","!!!","")</f>
        <v/>
      </c>
      <c r="F5088" s="23" t="str">
        <f>IF(OR(E5088="",E5088="!!!"),"",IF(NOT(ISNA(VLOOKUP(E5088,E$1:E5087,1,FALSE()))),"OLD",IF(AND(E5088&lt;&gt;"",E5088&lt;&gt;"!!!"),"NEW","")))</f>
        <v> </v>
      </c>
      <c r="G5088" s="24" t="str">
        <f>IF(OR(E5088="",E5088="!!!"),"",IF(OR(J5088=0,AND(J5088=1,K5088=1),AND(J5088=1,I5088="SBJ"),AND(J5088=1,I5088=0)),"?IN_FOCUS",IF(J5088&lt;=2,"?ACTIVATED",IF(J5088&lt;&gt;"","?FAMILIAR",IF(F5088="NEW",IF(ISNA(VLOOKUP(E5088,#REF!,1,FALSE())),"?TYPE_IDENTIFIABLE","?REFERENTIAL"),"_")))))</f>
        <v> </v>
      </c>
      <c r="H5088" s="25" t="str">
        <f>IF(J5088&lt;&gt;1,"",IF(I5088="SBJ","CB","?"))</f>
        <v> </v>
      </c>
      <c r="I5088" s="26" t="str">
        <f>IF(OR(E5088="",E5088="!!!",F5088="NEW"),"",INDEX(B5087:B$2,-1+SUMPRODUCT(MAX(ROW(E5087:E$2)*(E5088=E5087:E$2)))))</f>
        <v> </v>
      </c>
      <c r="J5088" s="26" t="str">
        <f>IF(OR(E5088="",E5088="!!!",F5088="NEW"),"",COUNTBLANK(OFFSET(A$1,,,SUMPRODUCT(MAX(ROW(E$2:E5088)*(E5088=E$2:E5088)))))-COUNTBLANK(OFFSET(A$1,,,SUMPRODUCT(MAX(ROW(E$1:E5087)*(E2=E$1:E5087))))))</f>
        <v> </v>
      </c>
      <c r="K5088" s="26" t="str">
        <f>IF(OR(E5088="",E5088="!!!",F5088="NEW"),"",INDEX(J$1:J5087,SUMPRODUCT(MAX(ROW(E$1:E5087)*(E5088=E$1:E5087)))))</f>
        <v> </v>
      </c>
      <c r="L5088" s="27"/>
    </row>
    <row r="5089" spans="1:12">
      <c r="A5089" s="20" t="s">
        <v>1957</v>
      </c>
      <c r="B5089" s="21" t="s">
        <v>1016</v>
      </c>
      <c r="C5089" s="21" t="s">
        <v>1017</v>
      </c>
      <c r="E5089" s="22">
        <f>IF(D5089="?OLD","!!!","")</f>
        <v/>
      </c>
      <c r="F5089" s="23" t="str">
        <f>IF(OR(E5089="",E5089="!!!"),"",IF(NOT(ISNA(VLOOKUP(E5089,E$1:E5088,1,FALSE()))),"OLD",IF(AND(E5089&lt;&gt;"",E5089&lt;&gt;"!!!"),"NEW","")))</f>
        <v> </v>
      </c>
      <c r="G5089" s="24" t="str">
        <f>IF(OR(E5089="",E5089="!!!"),"",IF(OR(J5089=0,AND(J5089=1,K5089=1),AND(J5089=1,I5089="SBJ"),AND(J5089=1,I5089=0)),"?IN_FOCUS",IF(J5089&lt;=2,"?ACTIVATED",IF(J5089&lt;&gt;"","?FAMILIAR",IF(F5089="NEW",IF(ISNA(VLOOKUP(E5089,#REF!,1,FALSE())),"?TYPE_IDENTIFIABLE","?REFERENTIAL"),"_")))))</f>
        <v> </v>
      </c>
      <c r="H5089" s="25" t="str">
        <f>IF(J5089&lt;&gt;1,"",IF(I5089="SBJ","CB","?"))</f>
        <v> </v>
      </c>
      <c r="I5089" s="26" t="str">
        <f>IF(OR(E5089="",E5089="!!!",F5089="NEW"),"",INDEX(B5088:B$2,-1+SUMPRODUCT(MAX(ROW(E5088:E$2)*(E5089=E5088:E$2)))))</f>
        <v> </v>
      </c>
      <c r="J5089" s="26" t="str">
        <f>IF(OR(E5089="",E5089="!!!",F5089="NEW"),"",COUNTBLANK(OFFSET(A$1,,,SUMPRODUCT(MAX(ROW(E$2:E5089)*(E5089=E$2:E5089)))))-COUNTBLANK(OFFSET(A$1,,,SUMPRODUCT(MAX(ROW(E$1:E5088)*(E2=E$1:E5088))))))</f>
        <v> </v>
      </c>
      <c r="K5089" s="26" t="str">
        <f>IF(OR(E5089="",E5089="!!!",F5089="NEW"),"",INDEX(J$1:J5088,SUMPRODUCT(MAX(ROW(E$1:E5088)*(E5089=E$1:E5088)))))</f>
        <v> </v>
      </c>
      <c r="L5089" s="27"/>
    </row>
    <row r="5090" spans="1:12">
      <c r="A5090" s="20" t="s">
        <v>1081</v>
      </c>
      <c r="E5090" s="22">
        <f>IF(D5090="?OLD","!!!","")</f>
        <v/>
      </c>
      <c r="F5090" s="23" t="str">
        <f>IF(OR(E5090="",E5090="!!!"),"",IF(NOT(ISNA(VLOOKUP(E5090,E$1:E5089,1,FALSE()))),"OLD",IF(AND(E5090&lt;&gt;"",E5090&lt;&gt;"!!!"),"NEW","")))</f>
        <v> </v>
      </c>
      <c r="G5090" s="24" t="str">
        <f>IF(OR(E5090="",E5090="!!!"),"",IF(OR(J5090=0,AND(J5090=1,K5090=1),AND(J5090=1,I5090="SBJ"),AND(J5090=1,I5090=0)),"?IN_FOCUS",IF(J5090&lt;=2,"?ACTIVATED",IF(J5090&lt;&gt;"","?FAMILIAR",IF(F5090="NEW",IF(ISNA(VLOOKUP(E5090,#REF!,1,FALSE())),"?TYPE_IDENTIFIABLE","?REFERENTIAL"),"_")))))</f>
        <v> </v>
      </c>
      <c r="H5090" s="25" t="str">
        <f>IF(J5090&lt;&gt;1,"",IF(I5090="SBJ","CB","?"))</f>
        <v> </v>
      </c>
      <c r="I5090" s="26" t="str">
        <f>IF(OR(E5090="",E5090="!!!",F5090="NEW"),"",INDEX(B5089:B$2,-1+SUMPRODUCT(MAX(ROW(E5089:E$2)*(E5090=E5089:E$2)))))</f>
        <v> </v>
      </c>
      <c r="J5090" s="26" t="str">
        <f>IF(OR(E5090="",E5090="!!!",F5090="NEW"),"",COUNTBLANK(OFFSET(A$1,,,SUMPRODUCT(MAX(ROW(E$2:E5090)*(E5090=E$2:E5090)))))-COUNTBLANK(OFFSET(A$1,,,SUMPRODUCT(MAX(ROW(E$1:E5089)*(E2=E$1:E5089))))))</f>
        <v> </v>
      </c>
      <c r="K5090" s="26" t="str">
        <f>IF(OR(E5090="",E5090="!!!",F5090="NEW"),"",INDEX(J$1:J5089,SUMPRODUCT(MAX(ROW(E$1:E5089)*(E5090=E$1:E5089)))))</f>
        <v> </v>
      </c>
      <c r="L5090" s="27"/>
    </row>
    <row r="5091" spans="1:12">
      <c r="A5091" s="20" t="s">
        <v>1229</v>
      </c>
      <c r="B5091" s="21" t="s">
        <v>1039</v>
      </c>
      <c r="C5091" s="21" t="s">
        <v>1230</v>
      </c>
      <c r="E5091" s="22">
        <f>IF(D5091="?OLD","!!!","")</f>
        <v/>
      </c>
      <c r="F5091" s="23" t="str">
        <f>IF(OR(E5091="",E5091="!!!"),"",IF(NOT(ISNA(VLOOKUP(E5091,E$1:E5090,1,FALSE()))),"OLD",IF(AND(E5091&lt;&gt;"",E5091&lt;&gt;"!!!"),"NEW","")))</f>
        <v> </v>
      </c>
      <c r="G5091" s="24" t="str">
        <f>IF(OR(E5091="",E5091="!!!"),"",IF(OR(J5091=0,AND(J5091=1,K5091=1),AND(J5091=1,I5091="SBJ"),AND(J5091=1,I5091=0)),"?IN_FOCUS",IF(J5091&lt;=2,"?ACTIVATED",IF(J5091&lt;&gt;"","?FAMILIAR",IF(F5091="NEW",IF(ISNA(VLOOKUP(E5091,#REF!,1,FALSE())),"?TYPE_IDENTIFIABLE","?REFERENTIAL"),"_")))))</f>
        <v> </v>
      </c>
      <c r="H5091" s="25" t="str">
        <f>IF(J5091&lt;&gt;1,"",IF(I5091="SBJ","CB","?"))</f>
        <v> </v>
      </c>
      <c r="I5091" s="26" t="str">
        <f>IF(OR(E5091="",E5091="!!!",F5091="NEW"),"",INDEX(B5090:B$2,-1+SUMPRODUCT(MAX(ROW(E5090:E$2)*(E5091=E5090:E$2)))))</f>
        <v> </v>
      </c>
      <c r="J5091" s="26" t="str">
        <f>IF(OR(E5091="",E5091="!!!",F5091="NEW"),"",COUNTBLANK(OFFSET(A$1,,,SUMPRODUCT(MAX(ROW(E$2:E5091)*(E5091=E$2:E5091)))))-COUNTBLANK(OFFSET(A$1,,,SUMPRODUCT(MAX(ROW(E$1:E5090)*(E2=E$1:E5090))))))</f>
        <v> </v>
      </c>
      <c r="K5091" s="26" t="str">
        <f>IF(OR(E5091="",E5091="!!!",F5091="NEW"),"",INDEX(J$1:J5090,SUMPRODUCT(MAX(ROW(E$1:E5090)*(E5091=E$1:E5090)))))</f>
        <v> </v>
      </c>
      <c r="L5091" s="27"/>
    </row>
    <row r="5092" spans="1:12">
      <c r="A5092" s="20" t="s">
        <v>1173</v>
      </c>
      <c r="E5092" s="22">
        <f>IF(D5092="?OLD","!!!","")</f>
        <v/>
      </c>
      <c r="F5092" s="23" t="str">
        <f>IF(OR(E5092="",E5092="!!!"),"",IF(NOT(ISNA(VLOOKUP(E5092,E$1:E5091,1,FALSE()))),"OLD",IF(AND(E5092&lt;&gt;"",E5092&lt;&gt;"!!!"),"NEW","")))</f>
        <v> </v>
      </c>
      <c r="G5092" s="24" t="str">
        <f>IF(OR(E5092="",E5092="!!!"),"",IF(OR(J5092=0,AND(J5092=1,K5092=1),AND(J5092=1,I5092="SBJ"),AND(J5092=1,I5092=0)),"?IN_FOCUS",IF(J5092&lt;=2,"?ACTIVATED",IF(J5092&lt;&gt;"","?FAMILIAR",IF(F5092="NEW",IF(ISNA(VLOOKUP(E5092,#REF!,1,FALSE())),"?TYPE_IDENTIFIABLE","?REFERENTIAL"),"_")))))</f>
        <v> </v>
      </c>
      <c r="H5092" s="25" t="str">
        <f>IF(J5092&lt;&gt;1,"",IF(I5092="SBJ","CB","?"))</f>
        <v> </v>
      </c>
      <c r="I5092" s="26" t="str">
        <f>IF(OR(E5092="",E5092="!!!",F5092="NEW"),"",INDEX(B5091:B$2,-1+SUMPRODUCT(MAX(ROW(E5091:E$2)*(E5092=E5091:E$2)))))</f>
        <v> </v>
      </c>
      <c r="J5092" s="26" t="str">
        <f>IF(OR(E5092="",E5092="!!!",F5092="NEW"),"",COUNTBLANK(OFFSET(A$1,,,SUMPRODUCT(MAX(ROW(E$2:E5092)*(E5092=E$2:E5092)))))-COUNTBLANK(OFFSET(A$1,,,SUMPRODUCT(MAX(ROW(E$1:E5091)*(E2=E$1:E5091))))))</f>
        <v> </v>
      </c>
      <c r="K5092" s="26" t="str">
        <f>IF(OR(E5092="",E5092="!!!",F5092="NEW"),"",INDEX(J$1:J5091,SUMPRODUCT(MAX(ROW(E$1:E5091)*(E5092=E$1:E5091)))))</f>
        <v> </v>
      </c>
      <c r="L5092" s="27"/>
    </row>
    <row r="5093" spans="1:12">
      <c r="A5093" s="20" t="s">
        <v>1756</v>
      </c>
      <c r="E5093" s="22">
        <f>IF(D5093="?OLD","!!!","")</f>
        <v/>
      </c>
      <c r="F5093" s="23" t="str">
        <f>IF(OR(E5093="",E5093="!!!"),"",IF(NOT(ISNA(VLOOKUP(E5093,E$1:E5092,1,FALSE()))),"OLD",IF(AND(E5093&lt;&gt;"",E5093&lt;&gt;"!!!"),"NEW","")))</f>
        <v> </v>
      </c>
      <c r="G5093" s="24" t="str">
        <f>IF(OR(E5093="",E5093="!!!"),"",IF(OR(J5093=0,AND(J5093=1,K5093=1),AND(J5093=1,I5093="SBJ"),AND(J5093=1,I5093=0)),"?IN_FOCUS",IF(J5093&lt;=2,"?ACTIVATED",IF(J5093&lt;&gt;"","?FAMILIAR",IF(F5093="NEW",IF(ISNA(VLOOKUP(E5093,#REF!,1,FALSE())),"?TYPE_IDENTIFIABLE","?REFERENTIAL"),"_")))))</f>
        <v> </v>
      </c>
      <c r="H5093" s="25" t="str">
        <f>IF(J5093&lt;&gt;1,"",IF(I5093="SBJ","CB","?"))</f>
        <v> </v>
      </c>
      <c r="I5093" s="26" t="str">
        <f>IF(OR(E5093="",E5093="!!!",F5093="NEW"),"",INDEX(B5092:B$2,-1+SUMPRODUCT(MAX(ROW(E5092:E$2)*(E5093=E5092:E$2)))))</f>
        <v> </v>
      </c>
      <c r="J5093" s="26" t="str">
        <f>IF(OR(E5093="",E5093="!!!",F5093="NEW"),"",COUNTBLANK(OFFSET(A$1,,,SUMPRODUCT(MAX(ROW(E$2:E5093)*(E5093=E$2:E5093)))))-COUNTBLANK(OFFSET(A$1,,,SUMPRODUCT(MAX(ROW(E$1:E5092)*(E2=E$1:E5092))))))</f>
        <v> </v>
      </c>
      <c r="K5093" s="26" t="str">
        <f>IF(OR(E5093="",E5093="!!!",F5093="NEW"),"",INDEX(J$1:J5092,SUMPRODUCT(MAX(ROW(E$1:E5092)*(E5093=E$1:E5092)))))</f>
        <v> </v>
      </c>
      <c r="L5093" s="27"/>
    </row>
    <row r="5094" spans="1:12">
      <c r="A5094" s="20" t="s">
        <v>2168</v>
      </c>
      <c r="E5094" s="22">
        <f>IF(D5094="?OLD","!!!","")</f>
        <v/>
      </c>
      <c r="F5094" s="23" t="str">
        <f>IF(OR(E5094="",E5094="!!!"),"",IF(NOT(ISNA(VLOOKUP(E5094,E$1:E5093,1,FALSE()))),"OLD",IF(AND(E5094&lt;&gt;"",E5094&lt;&gt;"!!!"),"NEW","")))</f>
        <v> </v>
      </c>
      <c r="G5094" s="24" t="str">
        <f>IF(OR(E5094="",E5094="!!!"),"",IF(OR(J5094=0,AND(J5094=1,K5094=1),AND(J5094=1,I5094="SBJ"),AND(J5094=1,I5094=0)),"?IN_FOCUS",IF(J5094&lt;=2,"?ACTIVATED",IF(J5094&lt;&gt;"","?FAMILIAR",IF(F5094="NEW",IF(ISNA(VLOOKUP(E5094,#REF!,1,FALSE())),"?TYPE_IDENTIFIABLE","?REFERENTIAL"),"_")))))</f>
        <v> </v>
      </c>
      <c r="H5094" s="25" t="str">
        <f>IF(J5094&lt;&gt;1,"",IF(I5094="SBJ","CB","?"))</f>
        <v> </v>
      </c>
      <c r="I5094" s="26" t="str">
        <f>IF(OR(E5094="",E5094="!!!",F5094="NEW"),"",INDEX(B5093:B$2,-1+SUMPRODUCT(MAX(ROW(E5093:E$2)*(E5094=E5093:E$2)))))</f>
        <v> </v>
      </c>
      <c r="J5094" s="26" t="str">
        <f>IF(OR(E5094="",E5094="!!!",F5094="NEW"),"",COUNTBLANK(OFFSET(A$1,,,SUMPRODUCT(MAX(ROW(E$2:E5094)*(E5094=E$2:E5094)))))-COUNTBLANK(OFFSET(A$1,,,SUMPRODUCT(MAX(ROW(E$1:E5093)*(E2=E$1:E5093))))))</f>
        <v> </v>
      </c>
      <c r="K5094" s="26" t="str">
        <f>IF(OR(E5094="",E5094="!!!",F5094="NEW"),"",INDEX(J$1:J5093,SUMPRODUCT(MAX(ROW(E$1:E5093)*(E5094=E$1:E5093)))))</f>
        <v> </v>
      </c>
      <c r="L5094" s="27"/>
    </row>
    <row r="5095" spans="1:12">
      <c r="A5095" s="20" t="s">
        <v>1032</v>
      </c>
      <c r="E5095" s="22">
        <f>IF(D5095="?OLD","!!!","")</f>
        <v/>
      </c>
      <c r="F5095" s="23" t="str">
        <f>IF(OR(E5095="",E5095="!!!"),"",IF(NOT(ISNA(VLOOKUP(E5095,E$1:E5094,1,FALSE()))),"OLD",IF(AND(E5095&lt;&gt;"",E5095&lt;&gt;"!!!"),"NEW","")))</f>
        <v> </v>
      </c>
      <c r="G5095" s="24" t="str">
        <f>IF(OR(E5095="",E5095="!!!"),"",IF(OR(J5095=0,AND(J5095=1,K5095=1),AND(J5095=1,I5095="SBJ"),AND(J5095=1,I5095=0)),"?IN_FOCUS",IF(J5095&lt;=2,"?ACTIVATED",IF(J5095&lt;&gt;"","?FAMILIAR",IF(F5095="NEW",IF(ISNA(VLOOKUP(E5095,#REF!,1,FALSE())),"?TYPE_IDENTIFIABLE","?REFERENTIAL"),"_")))))</f>
        <v> </v>
      </c>
      <c r="H5095" s="25" t="str">
        <f>IF(J5095&lt;&gt;1,"",IF(I5095="SBJ","CB","?"))</f>
        <v> </v>
      </c>
      <c r="I5095" s="26" t="str">
        <f>IF(OR(E5095="",E5095="!!!",F5095="NEW"),"",INDEX(B5094:B$2,-1+SUMPRODUCT(MAX(ROW(E5094:E$2)*(E5095=E5094:E$2)))))</f>
        <v> </v>
      </c>
      <c r="J5095" s="26" t="str">
        <f>IF(OR(E5095="",E5095="!!!",F5095="NEW"),"",COUNTBLANK(OFFSET(A$1,,,SUMPRODUCT(MAX(ROW(E$2:E5095)*(E5095=E$2:E5095)))))-COUNTBLANK(OFFSET(A$1,,,SUMPRODUCT(MAX(ROW(E$1:E5094)*(E2=E$1:E5094))))))</f>
        <v> </v>
      </c>
      <c r="K5095" s="26" t="str">
        <f>IF(OR(E5095="",E5095="!!!",F5095="NEW"),"",INDEX(J$1:J5094,SUMPRODUCT(MAX(ROW(E$1:E5094)*(E5095=E$1:E5094)))))</f>
        <v> </v>
      </c>
      <c r="L5095" s="27"/>
    </row>
    <row r="5096" spans="1:12">
      <c r="A5096" s="20" t="s">
        <v>1790</v>
      </c>
      <c r="B5096" s="21" t="s">
        <v>1039</v>
      </c>
      <c r="E5096" s="22">
        <f>IF(D5096="?OLD","!!!","")</f>
        <v/>
      </c>
      <c r="F5096" s="23" t="str">
        <f>IF(OR(E5096="",E5096="!!!"),"",IF(NOT(ISNA(VLOOKUP(E5096,E$1:E5095,1,FALSE()))),"OLD",IF(AND(E5096&lt;&gt;"",E5096&lt;&gt;"!!!"),"NEW","")))</f>
        <v> </v>
      </c>
      <c r="G5096" s="24" t="str">
        <f>IF(OR(E5096="",E5096="!!!"),"",IF(OR(J5096=0,AND(J5096=1,K5096=1),AND(J5096=1,I5096="SBJ"),AND(J5096=1,I5096=0)),"?IN_FOCUS",IF(J5096&lt;=2,"?ACTIVATED",IF(J5096&lt;&gt;"","?FAMILIAR",IF(F5096="NEW",IF(ISNA(VLOOKUP(E5096,#REF!,1,FALSE())),"?TYPE_IDENTIFIABLE","?REFERENTIAL"),"_")))))</f>
        <v> </v>
      </c>
      <c r="H5096" s="25" t="str">
        <f>IF(J5096&lt;&gt;1,"",IF(I5096="SBJ","CB","?"))</f>
        <v> </v>
      </c>
      <c r="I5096" s="26" t="str">
        <f>IF(OR(E5096="",E5096="!!!",F5096="NEW"),"",INDEX(B5095:B$2,-1+SUMPRODUCT(MAX(ROW(E5095:E$2)*(E5096=E5095:E$2)))))</f>
        <v> </v>
      </c>
      <c r="J5096" s="26" t="str">
        <f>IF(OR(E5096="",E5096="!!!",F5096="NEW"),"",COUNTBLANK(OFFSET(A$1,,,SUMPRODUCT(MAX(ROW(E$2:E5096)*(E5096=E$2:E5096)))))-COUNTBLANK(OFFSET(A$1,,,SUMPRODUCT(MAX(ROW(E$1:E5095)*(E2=E$1:E5095))))))</f>
        <v> </v>
      </c>
      <c r="K5096" s="26" t="str">
        <f>IF(OR(E5096="",E5096="!!!",F5096="NEW"),"",INDEX(J$1:J5095,SUMPRODUCT(MAX(ROW(E$1:E5095)*(E5096=E$1:E5095)))))</f>
        <v> </v>
      </c>
      <c r="L5096" s="27"/>
    </row>
    <row r="5097" spans="1:12">
      <c r="A5097" s="20" t="s">
        <v>1067</v>
      </c>
      <c r="E5097" s="22">
        <f>IF(D5097="?OLD","!!!","")</f>
        <v/>
      </c>
      <c r="F5097" s="23" t="str">
        <f>IF(OR(E5097="",E5097="!!!"),"",IF(NOT(ISNA(VLOOKUP(E5097,E$1:E5096,1,FALSE()))),"OLD",IF(AND(E5097&lt;&gt;"",E5097&lt;&gt;"!!!"),"NEW","")))</f>
        <v> </v>
      </c>
      <c r="G5097" s="24" t="str">
        <f>IF(OR(E5097="",E5097="!!!"),"",IF(OR(J5097=0,AND(J5097=1,K5097=1),AND(J5097=1,I5097="SBJ"),AND(J5097=1,I5097=0)),"?IN_FOCUS",IF(J5097&lt;=2,"?ACTIVATED",IF(J5097&lt;&gt;"","?FAMILIAR",IF(F5097="NEW",IF(ISNA(VLOOKUP(E5097,#REF!,1,FALSE())),"?TYPE_IDENTIFIABLE","?REFERENTIAL"),"_")))))</f>
        <v> </v>
      </c>
      <c r="H5097" s="25" t="str">
        <f>IF(J5097&lt;&gt;1,"",IF(I5097="SBJ","CB","?"))</f>
        <v> </v>
      </c>
      <c r="I5097" s="26" t="str">
        <f>IF(OR(E5097="",E5097="!!!",F5097="NEW"),"",INDEX(B5096:B$2,-1+SUMPRODUCT(MAX(ROW(E5096:E$2)*(E5097=E5096:E$2)))))</f>
        <v> </v>
      </c>
      <c r="J5097" s="26" t="str">
        <f>IF(OR(E5097="",E5097="!!!",F5097="NEW"),"",COUNTBLANK(OFFSET(A$1,,,SUMPRODUCT(MAX(ROW(E$2:E5097)*(E5097=E$2:E5097)))))-COUNTBLANK(OFFSET(A$1,,,SUMPRODUCT(MAX(ROW(E$1:E5096)*(E2=E$1:E5096))))))</f>
        <v> </v>
      </c>
      <c r="K5097" s="26" t="str">
        <f>IF(OR(E5097="",E5097="!!!",F5097="NEW"),"",INDEX(J$1:J5096,SUMPRODUCT(MAX(ROW(E$1:E5096)*(E5097=E$1:E5096)))))</f>
        <v> </v>
      </c>
      <c r="L5097" s="27"/>
    </row>
    <row r="5098" spans="1:12">
      <c r="A5098" s="20" t="s">
        <v>1314</v>
      </c>
      <c r="E5098" s="22">
        <f>IF(D5098="?OLD","!!!","")</f>
        <v/>
      </c>
      <c r="F5098" s="23" t="str">
        <f>IF(OR(E5098="",E5098="!!!"),"",IF(NOT(ISNA(VLOOKUP(E5098,E$1:E5097,1,FALSE()))),"OLD",IF(AND(E5098&lt;&gt;"",E5098&lt;&gt;"!!!"),"NEW","")))</f>
        <v> </v>
      </c>
      <c r="G5098" s="24" t="str">
        <f>IF(OR(E5098="",E5098="!!!"),"",IF(OR(J5098=0,AND(J5098=1,K5098=1),AND(J5098=1,I5098="SBJ"),AND(J5098=1,I5098=0)),"?IN_FOCUS",IF(J5098&lt;=2,"?ACTIVATED",IF(J5098&lt;&gt;"","?FAMILIAR",IF(F5098="NEW",IF(ISNA(VLOOKUP(E5098,#REF!,1,FALSE())),"?TYPE_IDENTIFIABLE","?REFERENTIAL"),"_")))))</f>
        <v> </v>
      </c>
      <c r="H5098" s="25" t="str">
        <f>IF(J5098&lt;&gt;1,"",IF(I5098="SBJ","CB","?"))</f>
        <v> </v>
      </c>
      <c r="I5098" s="26" t="str">
        <f>IF(OR(E5098="",E5098="!!!",F5098="NEW"),"",INDEX(B5097:B$2,-1+SUMPRODUCT(MAX(ROW(E5097:E$2)*(E5098=E5097:E$2)))))</f>
        <v> </v>
      </c>
      <c r="J5098" s="26" t="str">
        <f>IF(OR(E5098="",E5098="!!!",F5098="NEW"),"",COUNTBLANK(OFFSET(A$1,,,SUMPRODUCT(MAX(ROW(E$2:E5098)*(E5098=E$2:E5098)))))-COUNTBLANK(OFFSET(A$1,,,SUMPRODUCT(MAX(ROW(E$1:E5097)*(E2=E$1:E5097))))))</f>
        <v> </v>
      </c>
      <c r="K5098" s="26" t="str">
        <f>IF(OR(E5098="",E5098="!!!",F5098="NEW"),"",INDEX(J$1:J5097,SUMPRODUCT(MAX(ROW(E$1:E5097)*(E5098=E$1:E5097)))))</f>
        <v> </v>
      </c>
      <c r="L5098" s="27"/>
    </row>
    <row r="5099" spans="1:12">
      <c r="A5099" s="20" t="s">
        <v>2169</v>
      </c>
      <c r="B5099" s="21" t="s">
        <v>1071</v>
      </c>
      <c r="C5099" s="21" t="s">
        <v>1017</v>
      </c>
      <c r="E5099" s="22">
        <f>IF(D5099="?OLD","!!!","")</f>
        <v/>
      </c>
      <c r="F5099" s="23" t="str">
        <f>IF(OR(E5099="",E5099="!!!"),"",IF(NOT(ISNA(VLOOKUP(E5099,E$1:E5098,1,FALSE()))),"OLD",IF(AND(E5099&lt;&gt;"",E5099&lt;&gt;"!!!"),"NEW","")))</f>
        <v> </v>
      </c>
      <c r="G5099" s="24" t="str">
        <f>IF(OR(E5099="",E5099="!!!"),"",IF(OR(J5099=0,AND(J5099=1,K5099=1),AND(J5099=1,I5099="SBJ"),AND(J5099=1,I5099=0)),"?IN_FOCUS",IF(J5099&lt;=2,"?ACTIVATED",IF(J5099&lt;&gt;"","?FAMILIAR",IF(F5099="NEW",IF(ISNA(VLOOKUP(E5099,#REF!,1,FALSE())),"?TYPE_IDENTIFIABLE","?REFERENTIAL"),"_")))))</f>
        <v> </v>
      </c>
      <c r="H5099" s="25" t="str">
        <f>IF(J5099&lt;&gt;1,"",IF(I5099="SBJ","CB","?"))</f>
        <v> </v>
      </c>
      <c r="I5099" s="26" t="str">
        <f>IF(OR(E5099="",E5099="!!!",F5099="NEW"),"",INDEX(B5098:B$2,-1+SUMPRODUCT(MAX(ROW(E5098:E$2)*(E5099=E5098:E$2)))))</f>
        <v> </v>
      </c>
      <c r="J5099" s="26" t="str">
        <f>IF(OR(E5099="",E5099="!!!",F5099="NEW"),"",COUNTBLANK(OFFSET(A$1,,,SUMPRODUCT(MAX(ROW(E$2:E5099)*(E5099=E$2:E5099)))))-COUNTBLANK(OFFSET(A$1,,,SUMPRODUCT(MAX(ROW(E$1:E5098)*(E2=E$1:E5098))))))</f>
        <v> </v>
      </c>
      <c r="K5099" s="26" t="str">
        <f>IF(OR(E5099="",E5099="!!!",F5099="NEW"),"",INDEX(J$1:J5098,SUMPRODUCT(MAX(ROW(E$1:E5098)*(E5099=E$1:E5098)))))</f>
        <v> </v>
      </c>
      <c r="L5099" s="27"/>
    </row>
    <row r="5100" spans="1:12">
      <c r="A5100" s="20" t="s">
        <v>1025</v>
      </c>
      <c r="B5100" s="21" t="s">
        <v>1175</v>
      </c>
      <c r="E5100" s="22">
        <f>IF(D5100="?OLD","!!!","")</f>
        <v/>
      </c>
      <c r="F5100" s="23" t="str">
        <f>IF(OR(E5100="",E5100="!!!"),"",IF(NOT(ISNA(VLOOKUP(E5100,E$1:E5099,1,FALSE()))),"OLD",IF(AND(E5100&lt;&gt;"",E5100&lt;&gt;"!!!"),"NEW","")))</f>
        <v> </v>
      </c>
      <c r="G5100" s="24" t="str">
        <f>IF(OR(E5100="",E5100="!!!"),"",IF(OR(J5100=0,AND(J5100=1,K5100=1),AND(J5100=1,I5100="SBJ"),AND(J5100=1,I5100=0)),"?IN_FOCUS",IF(J5100&lt;=2,"?ACTIVATED",IF(J5100&lt;&gt;"","?FAMILIAR",IF(F5100="NEW",IF(ISNA(VLOOKUP(E5100,#REF!,1,FALSE())),"?TYPE_IDENTIFIABLE","?REFERENTIAL"),"_")))))</f>
        <v> </v>
      </c>
      <c r="H5100" s="25" t="str">
        <f>IF(J5100&lt;&gt;1,"",IF(I5100="SBJ","CB","?"))</f>
        <v> </v>
      </c>
      <c r="I5100" s="26" t="str">
        <f>IF(OR(E5100="",E5100="!!!",F5100="NEW"),"",INDEX(B5099:B$2,-1+SUMPRODUCT(MAX(ROW(E5099:E$2)*(E5100=E5099:E$2)))))</f>
        <v> </v>
      </c>
      <c r="J5100" s="26" t="str">
        <f>IF(OR(E5100="",E5100="!!!",F5100="NEW"),"",COUNTBLANK(OFFSET(A$1,,,SUMPRODUCT(MAX(ROW(E$2:E5100)*(E5100=E$2:E5100)))))-COUNTBLANK(OFFSET(A$1,,,SUMPRODUCT(MAX(ROW(E$1:E5099)*(E2=E$1:E5099))))))</f>
        <v> </v>
      </c>
      <c r="K5100" s="26" t="str">
        <f>IF(OR(E5100="",E5100="!!!",F5100="NEW"),"",INDEX(J$1:J5099,SUMPRODUCT(MAX(ROW(E$1:E5099)*(E5100=E$1:E5099)))))</f>
        <v> </v>
      </c>
      <c r="L5100" s="27"/>
    </row>
    <row r="5101" spans="1:12">
      <c r="A5101" s="20" t="s">
        <v>1147</v>
      </c>
      <c r="E5101" s="22">
        <f>IF(D5101="?OLD","!!!","")</f>
        <v/>
      </c>
      <c r="F5101" s="23" t="str">
        <f>IF(OR(E5101="",E5101="!!!"),"",IF(NOT(ISNA(VLOOKUP(E5101,E$1:E5100,1,FALSE()))),"OLD",IF(AND(E5101&lt;&gt;"",E5101&lt;&gt;"!!!"),"NEW","")))</f>
        <v> </v>
      </c>
      <c r="G5101" s="24" t="str">
        <f>IF(OR(E5101="",E5101="!!!"),"",IF(OR(J5101=0,AND(J5101=1,K5101=1),AND(J5101=1,I5101="SBJ"),AND(J5101=1,I5101=0)),"?IN_FOCUS",IF(J5101&lt;=2,"?ACTIVATED",IF(J5101&lt;&gt;"","?FAMILIAR",IF(F5101="NEW",IF(ISNA(VLOOKUP(E5101,#REF!,1,FALSE())),"?TYPE_IDENTIFIABLE","?REFERENTIAL"),"_")))))</f>
        <v> </v>
      </c>
      <c r="H5101" s="25" t="str">
        <f>IF(J5101&lt;&gt;1,"",IF(I5101="SBJ","CB","?"))</f>
        <v> </v>
      </c>
      <c r="I5101" s="26" t="str">
        <f>IF(OR(E5101="",E5101="!!!",F5101="NEW"),"",INDEX(B5100:B$2,-1+SUMPRODUCT(MAX(ROW(E5100:E$2)*(E5101=E5100:E$2)))))</f>
        <v> </v>
      </c>
      <c r="J5101" s="26" t="str">
        <f>IF(OR(E5101="",E5101="!!!",F5101="NEW"),"",COUNTBLANK(OFFSET(A$1,,,SUMPRODUCT(MAX(ROW(E$2:E5101)*(E5101=E$2:E5101)))))-COUNTBLANK(OFFSET(A$1,,,SUMPRODUCT(MAX(ROW(E$1:E5100)*(E2=E$1:E5100))))))</f>
        <v> </v>
      </c>
      <c r="K5101" s="26" t="str">
        <f>IF(OR(E5101="",E5101="!!!",F5101="NEW"),"",INDEX(J$1:J5100,SUMPRODUCT(MAX(ROW(E$1:E5100)*(E5101=E$1:E5100)))))</f>
        <v> </v>
      </c>
      <c r="L5101" s="27"/>
    </row>
    <row r="5102" spans="1:12">
      <c r="A5102" s="20" t="s">
        <v>2170</v>
      </c>
      <c r="E5102" s="22">
        <f>IF(D5102="?OLD","!!!","")</f>
        <v/>
      </c>
      <c r="F5102" s="23" t="str">
        <f>IF(OR(E5102="",E5102="!!!"),"",IF(NOT(ISNA(VLOOKUP(E5102,E$1:E5101,1,FALSE()))),"OLD",IF(AND(E5102&lt;&gt;"",E5102&lt;&gt;"!!!"),"NEW","")))</f>
        <v> </v>
      </c>
      <c r="G5102" s="24" t="str">
        <f>IF(OR(E5102="",E5102="!!!"),"",IF(OR(J5102=0,AND(J5102=1,K5102=1),AND(J5102=1,I5102="SBJ"),AND(J5102=1,I5102=0)),"?IN_FOCUS",IF(J5102&lt;=2,"?ACTIVATED",IF(J5102&lt;&gt;"","?FAMILIAR",IF(F5102="NEW",IF(ISNA(VLOOKUP(E5102,#REF!,1,FALSE())),"?TYPE_IDENTIFIABLE","?REFERENTIAL"),"_")))))</f>
        <v> </v>
      </c>
      <c r="H5102" s="25" t="str">
        <f>IF(J5102&lt;&gt;1,"",IF(I5102="SBJ","CB","?"))</f>
        <v> </v>
      </c>
      <c r="I5102" s="26" t="str">
        <f>IF(OR(E5102="",E5102="!!!",F5102="NEW"),"",INDEX(B5101:B$2,-1+SUMPRODUCT(MAX(ROW(E5101:E$2)*(E5102=E5101:E$2)))))</f>
        <v> </v>
      </c>
      <c r="J5102" s="26" t="str">
        <f>IF(OR(E5102="",E5102="!!!",F5102="NEW"),"",COUNTBLANK(OFFSET(A$1,,,SUMPRODUCT(MAX(ROW(E$2:E5102)*(E5102=E$2:E5102)))))-COUNTBLANK(OFFSET(A$1,,,SUMPRODUCT(MAX(ROW(E$1:E5101)*(E2=E$1:E5101))))))</f>
        <v> </v>
      </c>
      <c r="K5102" s="26" t="str">
        <f>IF(OR(E5102="",E5102="!!!",F5102="NEW"),"",INDEX(J$1:J5101,SUMPRODUCT(MAX(ROW(E$1:E5101)*(E5102=E$1:E5101)))))</f>
        <v> </v>
      </c>
      <c r="L5102" s="27"/>
    </row>
    <row r="5103" spans="1:12">
      <c r="A5103" s="20" t="s">
        <v>1042</v>
      </c>
      <c r="E5103" s="22">
        <f>IF(D5103="?OLD","!!!","")</f>
        <v/>
      </c>
      <c r="F5103" s="23" t="str">
        <f>IF(OR(E5103="",E5103="!!!"),"",IF(NOT(ISNA(VLOOKUP(E5103,E$1:E5102,1,FALSE()))),"OLD",IF(AND(E5103&lt;&gt;"",E5103&lt;&gt;"!!!"),"NEW","")))</f>
        <v> </v>
      </c>
      <c r="G5103" s="24" t="str">
        <f>IF(OR(E5103="",E5103="!!!"),"",IF(OR(J5103=0,AND(J5103=1,K5103=1),AND(J5103=1,I5103="SBJ"),AND(J5103=1,I5103=0)),"?IN_FOCUS",IF(J5103&lt;=2,"?ACTIVATED",IF(J5103&lt;&gt;"","?FAMILIAR",IF(F5103="NEW",IF(ISNA(VLOOKUP(E5103,#REF!,1,FALSE())),"?TYPE_IDENTIFIABLE","?REFERENTIAL"),"_")))))</f>
        <v> </v>
      </c>
      <c r="H5103" s="25" t="str">
        <f>IF(J5103&lt;&gt;1,"",IF(I5103="SBJ","CB","?"))</f>
        <v> </v>
      </c>
      <c r="I5103" s="26" t="str">
        <f>IF(OR(E5103="",E5103="!!!",F5103="NEW"),"",INDEX(B5102:B$2,-1+SUMPRODUCT(MAX(ROW(E5102:E$2)*(E5103=E5102:E$2)))))</f>
        <v> </v>
      </c>
      <c r="J5103" s="26" t="str">
        <f>IF(OR(E5103="",E5103="!!!",F5103="NEW"),"",COUNTBLANK(OFFSET(A$1,,,SUMPRODUCT(MAX(ROW(E$2:E5103)*(E5103=E$2:E5103)))))-COUNTBLANK(OFFSET(A$1,,,SUMPRODUCT(MAX(ROW(E$1:E5102)*(E2=E$1:E5102))))))</f>
        <v> </v>
      </c>
      <c r="K5103" s="26" t="str">
        <f>IF(OR(E5103="",E5103="!!!",F5103="NEW"),"",INDEX(J$1:J5102,SUMPRODUCT(MAX(ROW(E$1:E5102)*(E5103=E$1:E5102)))))</f>
        <v> </v>
      </c>
      <c r="L5103" s="27"/>
    </row>
    <row r="5104" spans="1:12">
      <c r="A5104" s="20" t="s">
        <v>1381</v>
      </c>
      <c r="B5104" s="21" t="s">
        <v>1142</v>
      </c>
      <c r="C5104" s="21" t="s">
        <v>1044</v>
      </c>
      <c r="D5104" s="21" t="s">
        <v>1011</v>
      </c>
      <c r="E5104" s="22">
        <f>IF(D5104="?OLD","!!!","")</f>
        <v/>
      </c>
      <c r="F5104" s="23" t="str">
        <f>IF(OR(E5104="",E5104="!!!"),"",IF(NOT(ISNA(VLOOKUP(E5104,E$1:E5103,1,FALSE()))),"OLD",IF(AND(E5104&lt;&gt;"",E5104&lt;&gt;"!!!"),"NEW","")))</f>
        <v> </v>
      </c>
      <c r="G5104" s="24" t="str">
        <f>IF(OR(E5104="",E5104="!!!"),"",IF(OR(J5104=0,AND(J5104=1,K5104=1),AND(J5104=1,I5104="SBJ"),AND(J5104=1,I5104=0)),"?IN_FOCUS",IF(J5104&lt;=2,"?ACTIVATED",IF(J5104&lt;&gt;"","?FAMILIAR",IF(F5104="NEW",IF(ISNA(VLOOKUP(E5104,#REF!,1,FALSE())),"?TYPE_IDENTIFIABLE","?REFERENTIAL"),"_")))))</f>
        <v> </v>
      </c>
      <c r="H5104" s="25" t="str">
        <f>IF(J5104&lt;&gt;1,"",IF(I5104="SBJ","CB","?"))</f>
        <v> </v>
      </c>
      <c r="I5104" s="26" t="str">
        <f>IF(OR(E5104="",E5104="!!!",F5104="NEW"),"",INDEX(B5103:B$2,-1+SUMPRODUCT(MAX(ROW(E5103:E$2)*(E5104=E5103:E$2)))))</f>
        <v> </v>
      </c>
      <c r="J5104" s="26" t="str">
        <f>IF(OR(E5104="",E5104="!!!",F5104="NEW"),"",COUNTBLANK(OFFSET(A$1,,,SUMPRODUCT(MAX(ROW(E$2:E5104)*(E5104=E$2:E5104)))))-COUNTBLANK(OFFSET(A$1,,,SUMPRODUCT(MAX(ROW(E$1:E5103)*(E2=E$1:E5103))))))</f>
        <v> </v>
      </c>
      <c r="K5104" s="26" t="str">
        <f>IF(OR(E5104="",E5104="!!!",F5104="NEW"),"",INDEX(J$1:J5103,SUMPRODUCT(MAX(ROW(E$1:E5103)*(E5104=E$1:E5103)))))</f>
        <v> </v>
      </c>
      <c r="L5104" s="27"/>
    </row>
    <row r="5105" spans="1:12">
      <c r="A5105" s="20" t="s">
        <v>1014</v>
      </c>
      <c r="E5105" s="22">
        <f>IF(D5105="?OLD","!!!","")</f>
        <v/>
      </c>
      <c r="F5105" s="23" t="str">
        <f>IF(OR(E5105="",E5105="!!!"),"",IF(NOT(ISNA(VLOOKUP(E5105,E$1:E5104,1,FALSE()))),"OLD",IF(AND(E5105&lt;&gt;"",E5105&lt;&gt;"!!!"),"NEW","")))</f>
        <v> </v>
      </c>
      <c r="G5105" s="24" t="str">
        <f>IF(OR(E5105="",E5105="!!!"),"",IF(OR(J5105=0,AND(J5105=1,K5105=1),AND(J5105=1,I5105="SBJ"),AND(J5105=1,I5105=0)),"?IN_FOCUS",IF(J5105&lt;=2,"?ACTIVATED",IF(J5105&lt;&gt;"","?FAMILIAR",IF(F5105="NEW",IF(ISNA(VLOOKUP(E5105,#REF!,1,FALSE())),"?TYPE_IDENTIFIABLE","?REFERENTIAL"),"_")))))</f>
        <v> </v>
      </c>
      <c r="H5105" s="25" t="str">
        <f>IF(J5105&lt;&gt;1,"",IF(I5105="SBJ","CB","?"))</f>
        <v> </v>
      </c>
      <c r="I5105" s="26" t="str">
        <f>IF(OR(E5105="",E5105="!!!",F5105="NEW"),"",INDEX(B5104:B$2,-1+SUMPRODUCT(MAX(ROW(E5104:E$2)*(E5105=E5104:E$2)))))</f>
        <v> </v>
      </c>
      <c r="J5105" s="26" t="str">
        <f>IF(OR(E5105="",E5105="!!!",F5105="NEW"),"",COUNTBLANK(OFFSET(A$1,,,SUMPRODUCT(MAX(ROW(E$2:E5105)*(E5105=E$2:E5105)))))-COUNTBLANK(OFFSET(A$1,,,SUMPRODUCT(MAX(ROW(E$1:E5104)*(E2=E$1:E5104))))))</f>
        <v> </v>
      </c>
      <c r="K5105" s="26" t="str">
        <f>IF(OR(E5105="",E5105="!!!",F5105="NEW"),"",INDEX(J$1:J5104,SUMPRODUCT(MAX(ROW(E$1:E5104)*(E5105=E$1:E5104)))))</f>
        <v> </v>
      </c>
      <c r="L5105" s="27"/>
    </row>
    <row r="5106" spans="1:12">
      <c r="A5106" s="20" t="s">
        <v>713</v>
      </c>
      <c r="E5106" s="22">
        <f>IF(D5106="?OLD","!!!","")</f>
        <v/>
      </c>
      <c r="F5106" s="23" t="str">
        <f>IF(OR(E5106="",E5106="!!!"),"",IF(NOT(ISNA(VLOOKUP(E5106,E$1:E5105,1,FALSE()))),"OLD",IF(AND(E5106&lt;&gt;"",E5106&lt;&gt;"!!!"),"NEW","")))</f>
        <v> </v>
      </c>
      <c r="G5106" s="24" t="str">
        <f>IF(OR(E5106="",E5106="!!!"),"",IF(OR(J5106=0,AND(J5106=1,K5106=1),AND(J5106=1,I5106="SBJ"),AND(J5106=1,I5106=0)),"?IN_FOCUS",IF(J5106&lt;=2,"?ACTIVATED",IF(J5106&lt;&gt;"","?FAMILIAR",IF(F5106="NEW",IF(ISNA(VLOOKUP(E5106,#REF!,1,FALSE())),"?TYPE_IDENTIFIABLE","?REFERENTIAL"),"_")))))</f>
        <v> </v>
      </c>
      <c r="H5106" s="25" t="str">
        <f>IF(J5106&lt;&gt;1,"",IF(I5106="SBJ","CB","?"))</f>
        <v> </v>
      </c>
      <c r="I5106" s="26" t="str">
        <f>IF(OR(E5106="",E5106="!!!",F5106="NEW"),"",INDEX(B5105:B$2,-1+SUMPRODUCT(MAX(ROW(E5105:E$2)*(E5106=E5105:E$2)))))</f>
        <v> </v>
      </c>
      <c r="J5106" s="26" t="str">
        <f>IF(OR(E5106="",E5106="!!!",F5106="NEW"),"",COUNTBLANK(OFFSET(A$1,,,SUMPRODUCT(MAX(ROW(E$2:E5106)*(E5106=E$2:E5106)))))-COUNTBLANK(OFFSET(A$1,,,SUMPRODUCT(MAX(ROW(E$1:E5105)*(E2=E$1:E5105))))))</f>
        <v> </v>
      </c>
      <c r="K5106" s="26" t="str">
        <f>IF(OR(E5106="",E5106="!!!",F5106="NEW"),"",INDEX(J$1:J5105,SUMPRODUCT(MAX(ROW(E$1:E5105)*(E5106=E$1:E5105)))))</f>
        <v> </v>
      </c>
      <c r="L5106" s="27"/>
    </row>
    <row r="5107" spans="1:12">
      <c r="A5107" s="20" t="s">
        <v>1732</v>
      </c>
      <c r="B5107" s="21" t="s">
        <v>1051</v>
      </c>
      <c r="C5107" s="21" t="s">
        <v>1010</v>
      </c>
      <c r="D5107" s="21" t="s">
        <v>1011</v>
      </c>
      <c r="E5107" s="22">
        <f>IF(D5107="?OLD","!!!","")</f>
        <v/>
      </c>
      <c r="F5107" s="23" t="str">
        <f>IF(OR(E5107="",E5107="!!!"),"",IF(NOT(ISNA(VLOOKUP(E5107,E$1:E5106,1,FALSE()))),"OLD",IF(AND(E5107&lt;&gt;"",E5107&lt;&gt;"!!!"),"NEW","")))</f>
        <v> </v>
      </c>
      <c r="G5107" s="24" t="str">
        <f>IF(OR(E5107="",E5107="!!!"),"",IF(OR(J5107=0,AND(J5107=1,K5107=1),AND(J5107=1,I5107="SBJ"),AND(J5107=1,I5107=0)),"?IN_FOCUS",IF(J5107&lt;=2,"?ACTIVATED",IF(J5107&lt;&gt;"","?FAMILIAR",IF(F5107="NEW",IF(ISNA(VLOOKUP(E5107,#REF!,1,FALSE())),"?TYPE_IDENTIFIABLE","?REFERENTIAL"),"_")))))</f>
        <v> </v>
      </c>
      <c r="H5107" s="25" t="str">
        <f>IF(J5107&lt;&gt;1,"",IF(I5107="SBJ","CB","?"))</f>
        <v> </v>
      </c>
      <c r="I5107" s="26" t="str">
        <f>IF(OR(E5107="",E5107="!!!",F5107="NEW"),"",INDEX(B5106:B$2,-1+SUMPRODUCT(MAX(ROW(E5106:E$2)*(E5107=E5106:E$2)))))</f>
        <v> </v>
      </c>
      <c r="J5107" s="26" t="str">
        <f>IF(OR(E5107="",E5107="!!!",F5107="NEW"),"",COUNTBLANK(OFFSET(A$1,,,SUMPRODUCT(MAX(ROW(E$2:E5107)*(E5107=E$2:E5107)))))-COUNTBLANK(OFFSET(A$1,,,SUMPRODUCT(MAX(ROW(E$1:E5106)*(E2=E$1:E5106))))))</f>
        <v> </v>
      </c>
      <c r="K5107" s="26" t="str">
        <f>IF(OR(E5107="",E5107="!!!",F5107="NEW"),"",INDEX(J$1:J5106,SUMPRODUCT(MAX(ROW(E$1:E5106)*(E5107=E$1:E5106)))))</f>
        <v> </v>
      </c>
      <c r="L5107" s="27"/>
    </row>
    <row r="5108" spans="1:12">
      <c r="A5108" s="20" t="s">
        <v>93</v>
      </c>
      <c r="E5108" s="22">
        <f>IF(D5108="?OLD","!!!","")</f>
        <v/>
      </c>
      <c r="F5108" s="23" t="str">
        <f>IF(OR(E5108="",E5108="!!!"),"",IF(NOT(ISNA(VLOOKUP(E5108,E$1:E5107,1,FALSE()))),"OLD",IF(AND(E5108&lt;&gt;"",E5108&lt;&gt;"!!!"),"NEW","")))</f>
        <v> </v>
      </c>
      <c r="G5108" s="24" t="str">
        <f>IF(OR(E5108="",E5108="!!!"),"",IF(OR(J5108=0,AND(J5108=1,K5108=1),AND(J5108=1,I5108="SBJ"),AND(J5108=1,I5108=0)),"?IN_FOCUS",IF(J5108&lt;=2,"?ACTIVATED",IF(J5108&lt;&gt;"","?FAMILIAR",IF(F5108="NEW",IF(ISNA(VLOOKUP(E5108,#REF!,1,FALSE())),"?TYPE_IDENTIFIABLE","?REFERENTIAL"),"_")))))</f>
        <v> </v>
      </c>
      <c r="H5108" s="25" t="str">
        <f>IF(J5108&lt;&gt;1,"",IF(I5108="SBJ","CB","?"))</f>
        <v> </v>
      </c>
      <c r="I5108" s="26" t="str">
        <f>IF(OR(E5108="",E5108="!!!",F5108="NEW"),"",INDEX(B5107:B$2,-1+SUMPRODUCT(MAX(ROW(E5107:E$2)*(E5108=E5107:E$2)))))</f>
        <v> </v>
      </c>
      <c r="J5108" s="26" t="str">
        <f>IF(OR(E5108="",E5108="!!!",F5108="NEW"),"",COUNTBLANK(OFFSET(A$1,,,SUMPRODUCT(MAX(ROW(E$2:E5108)*(E5108=E$2:E5108)))))-COUNTBLANK(OFFSET(A$1,,,SUMPRODUCT(MAX(ROW(E$1:E5107)*(E2=E$1:E5107))))))</f>
        <v> </v>
      </c>
      <c r="K5108" s="26" t="str">
        <f>IF(OR(E5108="",E5108="!!!",F5108="NEW"),"",INDEX(J$1:J5107,SUMPRODUCT(MAX(ROW(E$1:E5107)*(E5108=E$1:E5107)))))</f>
        <v> </v>
      </c>
      <c r="L5108" s="27"/>
    </row>
    <row r="5109" spans="1:12">
      <c r="A5109" s="20" t="s">
        <v>1254</v>
      </c>
      <c r="E5109" s="22">
        <f>IF(D5109="?OLD","!!!","")</f>
        <v/>
      </c>
      <c r="F5109" s="23" t="str">
        <f>IF(OR(E5109="",E5109="!!!"),"",IF(NOT(ISNA(VLOOKUP(E5109,E$1:E5108,1,FALSE()))),"OLD",IF(AND(E5109&lt;&gt;"",E5109&lt;&gt;"!!!"),"NEW","")))</f>
        <v> </v>
      </c>
      <c r="G5109" s="24" t="str">
        <f>IF(OR(E5109="",E5109="!!!"),"",IF(OR(J5109=0,AND(J5109=1,K5109=1),AND(J5109=1,I5109="SBJ"),AND(J5109=1,I5109=0)),"?IN_FOCUS",IF(J5109&lt;=2,"?ACTIVATED",IF(J5109&lt;&gt;"","?FAMILIAR",IF(F5109="NEW",IF(ISNA(VLOOKUP(E5109,#REF!,1,FALSE())),"?TYPE_IDENTIFIABLE","?REFERENTIAL"),"_")))))</f>
        <v> </v>
      </c>
      <c r="H5109" s="25" t="str">
        <f>IF(J5109&lt;&gt;1,"",IF(I5109="SBJ","CB","?"))</f>
        <v> </v>
      </c>
      <c r="I5109" s="26" t="str">
        <f>IF(OR(E5109="",E5109="!!!",F5109="NEW"),"",INDEX(B5108:B$2,-1+SUMPRODUCT(MAX(ROW(E5108:E$2)*(E5109=E5108:E$2)))))</f>
        <v> </v>
      </c>
      <c r="J5109" s="26" t="str">
        <f>IF(OR(E5109="",E5109="!!!",F5109="NEW"),"",COUNTBLANK(OFFSET(A$1,,,SUMPRODUCT(MAX(ROW(E$2:E5109)*(E5109=E$2:E5109)))))-COUNTBLANK(OFFSET(A$1,,,SUMPRODUCT(MAX(ROW(E$1:E5108)*(E2=E$1:E5108))))))</f>
        <v> </v>
      </c>
      <c r="K5109" s="26" t="str">
        <f>IF(OR(E5109="",E5109="!!!",F5109="NEW"),"",INDEX(J$1:J5108,SUMPRODUCT(MAX(ROW(E$1:E5108)*(E5109=E$1:E5108)))))</f>
        <v> </v>
      </c>
      <c r="L5109" s="27"/>
    </row>
    <row r="5110" spans="1:12">
      <c r="A5110" s="20" t="s">
        <v>132</v>
      </c>
      <c r="E5110" s="22">
        <f>IF(D5110="?OLD","!!!","")</f>
        <v/>
      </c>
      <c r="F5110" s="23" t="str">
        <f>IF(OR(E5110="",E5110="!!!"),"",IF(NOT(ISNA(VLOOKUP(E5110,E$1:E5109,1,FALSE()))),"OLD",IF(AND(E5110&lt;&gt;"",E5110&lt;&gt;"!!!"),"NEW","")))</f>
        <v> </v>
      </c>
      <c r="G5110" s="24" t="str">
        <f>IF(OR(E5110="",E5110="!!!"),"",IF(OR(J5110=0,AND(J5110=1,K5110=1),AND(J5110=1,I5110="SBJ"),AND(J5110=1,I5110=0)),"?IN_FOCUS",IF(J5110&lt;=2,"?ACTIVATED",IF(J5110&lt;&gt;"","?FAMILIAR",IF(F5110="NEW",IF(ISNA(VLOOKUP(E5110,#REF!,1,FALSE())),"?TYPE_IDENTIFIABLE","?REFERENTIAL"),"_")))))</f>
        <v> </v>
      </c>
      <c r="H5110" s="25" t="str">
        <f>IF(J5110&lt;&gt;1,"",IF(I5110="SBJ","CB","?"))</f>
        <v> </v>
      </c>
      <c r="I5110" s="26" t="str">
        <f>IF(OR(E5110="",E5110="!!!",F5110="NEW"),"",INDEX(B5109:B$2,-1+SUMPRODUCT(MAX(ROW(E5109:E$2)*(E5110=E5109:E$2)))))</f>
        <v> </v>
      </c>
      <c r="J5110" s="26" t="str">
        <f>IF(OR(E5110="",E5110="!!!",F5110="NEW"),"",COUNTBLANK(OFFSET(A$1,,,SUMPRODUCT(MAX(ROW(E$2:E5110)*(E5110=E$2:E5110)))))-COUNTBLANK(OFFSET(A$1,,,SUMPRODUCT(MAX(ROW(E$1:E5109)*(E2=E$1:E5109))))))</f>
        <v> </v>
      </c>
      <c r="K5110" s="26" t="str">
        <f>IF(OR(E5110="",E5110="!!!",F5110="NEW"),"",INDEX(J$1:J5109,SUMPRODUCT(MAX(ROW(E$1:E5109)*(E5110=E$1:E5109)))))</f>
        <v> </v>
      </c>
      <c r="L5110" s="27"/>
    </row>
    <row r="5111" spans="1:12">
      <c r="A5111" s="20" t="s">
        <v>1090</v>
      </c>
      <c r="B5111" s="21" t="s">
        <v>1051</v>
      </c>
      <c r="C5111" s="21" t="s">
        <v>1092</v>
      </c>
      <c r="E5111" s="22">
        <f>IF(D5111="?OLD","!!!","")</f>
        <v/>
      </c>
      <c r="F5111" s="23" t="str">
        <f>IF(OR(E5111="",E5111="!!!"),"",IF(NOT(ISNA(VLOOKUP(E5111,E$1:E5110,1,FALSE()))),"OLD",IF(AND(E5111&lt;&gt;"",E5111&lt;&gt;"!!!"),"NEW","")))</f>
        <v> </v>
      </c>
      <c r="G5111" s="24" t="str">
        <f>IF(OR(E5111="",E5111="!!!"),"",IF(OR(J5111=0,AND(J5111=1,K5111=1),AND(J5111=1,I5111="SBJ"),AND(J5111=1,I5111=0)),"?IN_FOCUS",IF(J5111&lt;=2,"?ACTIVATED",IF(J5111&lt;&gt;"","?FAMILIAR",IF(F5111="NEW",IF(ISNA(VLOOKUP(E5111,#REF!,1,FALSE())),"?TYPE_IDENTIFIABLE","?REFERENTIAL"),"_")))))</f>
        <v> </v>
      </c>
      <c r="H5111" s="25" t="str">
        <f>IF(J5111&lt;&gt;1,"",IF(I5111="SBJ","CB","?"))</f>
        <v> </v>
      </c>
      <c r="I5111" s="26" t="str">
        <f>IF(OR(E5111="",E5111="!!!",F5111="NEW"),"",INDEX(B5110:B$2,-1+SUMPRODUCT(MAX(ROW(E5110:E$2)*(E5111=E5110:E$2)))))</f>
        <v> </v>
      </c>
      <c r="J5111" s="26" t="str">
        <f>IF(OR(E5111="",E5111="!!!",F5111="NEW"),"",COUNTBLANK(OFFSET(A$1,,,SUMPRODUCT(MAX(ROW(E$2:E5111)*(E5111=E$2:E5111)))))-COUNTBLANK(OFFSET(A$1,,,SUMPRODUCT(MAX(ROW(E$1:E5110)*(E2=E$1:E5110))))))</f>
        <v> </v>
      </c>
      <c r="K5111" s="26" t="str">
        <f>IF(OR(E5111="",E5111="!!!",F5111="NEW"),"",INDEX(J$1:J5110,SUMPRODUCT(MAX(ROW(E$1:E5110)*(E5111=E$1:E5110)))))</f>
        <v> </v>
      </c>
      <c r="L5111" s="27"/>
    </row>
    <row r="5112" spans="1:12">
      <c r="A5112" s="20" t="s">
        <v>1014</v>
      </c>
      <c r="E5112" s="22">
        <f>IF(D5112="?OLD","!!!","")</f>
        <v/>
      </c>
      <c r="F5112" s="23" t="str">
        <f>IF(OR(E5112="",E5112="!!!"),"",IF(NOT(ISNA(VLOOKUP(E5112,E$1:E5111,1,FALSE()))),"OLD",IF(AND(E5112&lt;&gt;"",E5112&lt;&gt;"!!!"),"NEW","")))</f>
        <v> </v>
      </c>
      <c r="G5112" s="24" t="str">
        <f>IF(OR(E5112="",E5112="!!!"),"",IF(OR(J5112=0,AND(J5112=1,K5112=1),AND(J5112=1,I5112="SBJ"),AND(J5112=1,I5112=0)),"?IN_FOCUS",IF(J5112&lt;=2,"?ACTIVATED",IF(J5112&lt;&gt;"","?FAMILIAR",IF(F5112="NEW",IF(ISNA(VLOOKUP(E5112,#REF!,1,FALSE())),"?TYPE_IDENTIFIABLE","?REFERENTIAL"),"_")))))</f>
        <v> </v>
      </c>
      <c r="H5112" s="25" t="str">
        <f>IF(J5112&lt;&gt;1,"",IF(I5112="SBJ","CB","?"))</f>
        <v> </v>
      </c>
      <c r="I5112" s="26" t="str">
        <f>IF(OR(E5112="",E5112="!!!",F5112="NEW"),"",INDEX(B5111:B$2,-1+SUMPRODUCT(MAX(ROW(E5111:E$2)*(E5112=E5111:E$2)))))</f>
        <v> </v>
      </c>
      <c r="J5112" s="26" t="str">
        <f>IF(OR(E5112="",E5112="!!!",F5112="NEW"),"",COUNTBLANK(OFFSET(A$1,,,SUMPRODUCT(MAX(ROW(E$2:E5112)*(E5112=E$2:E5112)))))-COUNTBLANK(OFFSET(A$1,,,SUMPRODUCT(MAX(ROW(E$1:E5111)*(E2=E$1:E5111))))))</f>
        <v> </v>
      </c>
      <c r="K5112" s="26" t="str">
        <f>IF(OR(E5112="",E5112="!!!",F5112="NEW"),"",INDEX(J$1:J5111,SUMPRODUCT(MAX(ROW(E$1:E5111)*(E5112=E$1:E5111)))))</f>
        <v> </v>
      </c>
      <c r="L5112" s="27"/>
    </row>
    <row r="5113" spans="1:12">
      <c r="A5113" s="20" t="s">
        <v>142</v>
      </c>
      <c r="E5113" s="22">
        <f>IF(D5113="?OLD","!!!","")</f>
        <v/>
      </c>
      <c r="F5113" s="23" t="str">
        <f>IF(OR(E5113="",E5113="!!!"),"",IF(NOT(ISNA(VLOOKUP(E5113,E$1:E5112,1,FALSE()))),"OLD",IF(AND(E5113&lt;&gt;"",E5113&lt;&gt;"!!!"),"NEW","")))</f>
        <v> </v>
      </c>
      <c r="G5113" s="24" t="str">
        <f>IF(OR(E5113="",E5113="!!!"),"",IF(OR(J5113=0,AND(J5113=1,K5113=1),AND(J5113=1,I5113="SBJ"),AND(J5113=1,I5113=0)),"?IN_FOCUS",IF(J5113&lt;=2,"?ACTIVATED",IF(J5113&lt;&gt;"","?FAMILIAR",IF(F5113="NEW",IF(ISNA(VLOOKUP(E5113,#REF!,1,FALSE())),"?TYPE_IDENTIFIABLE","?REFERENTIAL"),"_")))))</f>
        <v> </v>
      </c>
      <c r="H5113" s="25" t="str">
        <f>IF(J5113&lt;&gt;1,"",IF(I5113="SBJ","CB","?"))</f>
        <v> </v>
      </c>
      <c r="I5113" s="26" t="str">
        <f>IF(OR(E5113="",E5113="!!!",F5113="NEW"),"",INDEX(B5112:B$2,-1+SUMPRODUCT(MAX(ROW(E5112:E$2)*(E5113=E5112:E$2)))))</f>
        <v> </v>
      </c>
      <c r="J5113" s="26" t="str">
        <f>IF(OR(E5113="",E5113="!!!",F5113="NEW"),"",COUNTBLANK(OFFSET(A$1,,,SUMPRODUCT(MAX(ROW(E$2:E5113)*(E5113=E$2:E5113)))))-COUNTBLANK(OFFSET(A$1,,,SUMPRODUCT(MAX(ROW(E$1:E5112)*(E2=E$1:E5112))))))</f>
        <v> </v>
      </c>
      <c r="K5113" s="26" t="str">
        <f>IF(OR(E5113="",E5113="!!!",F5113="NEW"),"",INDEX(J$1:J5112,SUMPRODUCT(MAX(ROW(E$1:E5112)*(E5113=E$1:E5112)))))</f>
        <v> </v>
      </c>
      <c r="L5113" s="27"/>
    </row>
    <row r="5114" spans="1:12">
      <c r="A5114" s="20" t="s">
        <v>1855</v>
      </c>
      <c r="B5114" s="21" t="s">
        <v>1111</v>
      </c>
      <c r="C5114" s="21" t="s">
        <v>1035</v>
      </c>
      <c r="D5114" s="21" t="s">
        <v>1011</v>
      </c>
      <c r="E5114" s="22">
        <f>IF(D5114="?OLD","!!!","")</f>
        <v/>
      </c>
      <c r="F5114" s="23" t="str">
        <f>IF(OR(E5114="",E5114="!!!"),"",IF(NOT(ISNA(VLOOKUP(E5114,E$1:E5113,1,FALSE()))),"OLD",IF(AND(E5114&lt;&gt;"",E5114&lt;&gt;"!!!"),"NEW","")))</f>
        <v> </v>
      </c>
      <c r="G5114" s="24" t="str">
        <f>IF(OR(E5114="",E5114="!!!"),"",IF(OR(J5114=0,AND(J5114=1,K5114=1),AND(J5114=1,I5114="SBJ"),AND(J5114=1,I5114=0)),"?IN_FOCUS",IF(J5114&lt;=2,"?ACTIVATED",IF(J5114&lt;&gt;"","?FAMILIAR",IF(F5114="NEW",IF(ISNA(VLOOKUP(E5114,#REF!,1,FALSE())),"?TYPE_IDENTIFIABLE","?REFERENTIAL"),"_")))))</f>
        <v> </v>
      </c>
      <c r="H5114" s="25" t="str">
        <f>IF(J5114&lt;&gt;1,"",IF(I5114="SBJ","CB","?"))</f>
        <v> </v>
      </c>
      <c r="I5114" s="26" t="str">
        <f>IF(OR(E5114="",E5114="!!!",F5114="NEW"),"",INDEX(B5113:B$2,-1+SUMPRODUCT(MAX(ROW(E5113:E$2)*(E5114=E5113:E$2)))))</f>
        <v> </v>
      </c>
      <c r="J5114" s="26" t="str">
        <f>IF(OR(E5114="",E5114="!!!",F5114="NEW"),"",COUNTBLANK(OFFSET(A$1,,,SUMPRODUCT(MAX(ROW(E$2:E5114)*(E5114=E$2:E5114)))))-COUNTBLANK(OFFSET(A$1,,,SUMPRODUCT(MAX(ROW(E$1:E5113)*(E2=E$1:E5113))))))</f>
        <v> </v>
      </c>
      <c r="K5114" s="26" t="str">
        <f>IF(OR(E5114="",E5114="!!!",F5114="NEW"),"",INDEX(J$1:J5113,SUMPRODUCT(MAX(ROW(E$1:E5113)*(E5114=E$1:E5113)))))</f>
        <v> </v>
      </c>
      <c r="L5114" s="27"/>
    </row>
    <row r="5115" spans="1:12">
      <c r="A5115" s="20" t="s">
        <v>2171</v>
      </c>
      <c r="B5115" s="21" t="s">
        <v>1767</v>
      </c>
      <c r="C5115" s="21" t="s">
        <v>1040</v>
      </c>
      <c r="D5115" s="21" t="s">
        <v>1011</v>
      </c>
      <c r="E5115" s="22">
        <f>IF(D5115="?OLD","!!!","")</f>
        <v/>
      </c>
      <c r="F5115" s="23" t="str">
        <f>IF(OR(E5115="",E5115="!!!"),"",IF(NOT(ISNA(VLOOKUP(E5115,E$1:E5114,1,FALSE()))),"OLD",IF(AND(E5115&lt;&gt;"",E5115&lt;&gt;"!!!"),"NEW","")))</f>
        <v> </v>
      </c>
      <c r="G5115" s="24" t="str">
        <f>IF(OR(E5115="",E5115="!!!"),"",IF(OR(J5115=0,AND(J5115=1,K5115=1),AND(J5115=1,I5115="SBJ"),AND(J5115=1,I5115=0)),"?IN_FOCUS",IF(J5115&lt;=2,"?ACTIVATED",IF(J5115&lt;&gt;"","?FAMILIAR",IF(F5115="NEW",IF(ISNA(VLOOKUP(E5115,#REF!,1,FALSE())),"?TYPE_IDENTIFIABLE","?REFERENTIAL"),"_")))))</f>
        <v> </v>
      </c>
      <c r="H5115" s="25" t="str">
        <f>IF(J5115&lt;&gt;1,"",IF(I5115="SBJ","CB","?"))</f>
        <v> </v>
      </c>
      <c r="I5115" s="26" t="str">
        <f>IF(OR(E5115="",E5115="!!!",F5115="NEW"),"",INDEX(B5114:B$2,-1+SUMPRODUCT(MAX(ROW(E5114:E$2)*(E5115=E5114:E$2)))))</f>
        <v> </v>
      </c>
      <c r="J5115" s="26" t="str">
        <f>IF(OR(E5115="",E5115="!!!",F5115="NEW"),"",COUNTBLANK(OFFSET(A$1,,,SUMPRODUCT(MAX(ROW(E$2:E5115)*(E5115=E$2:E5115)))))-COUNTBLANK(OFFSET(A$1,,,SUMPRODUCT(MAX(ROW(E$1:E5114)*(E2=E$1:E5114))))))</f>
        <v> </v>
      </c>
      <c r="K5115" s="26" t="str">
        <f>IF(OR(E5115="",E5115="!!!",F5115="NEW"),"",INDEX(J$1:J5114,SUMPRODUCT(MAX(ROW(E$1:E5114)*(E5115=E$1:E5114)))))</f>
        <v> </v>
      </c>
      <c r="L5115" s="27"/>
    </row>
    <row r="5116" spans="1:12">
      <c r="A5116" s="20" t="s">
        <v>1645</v>
      </c>
      <c r="E5116" s="22">
        <f>IF(D5116="?OLD","!!!","")</f>
        <v/>
      </c>
      <c r="F5116" s="23" t="str">
        <f>IF(OR(E5116="",E5116="!!!"),"",IF(NOT(ISNA(VLOOKUP(E5116,E$1:E5115,1,FALSE()))),"OLD",IF(AND(E5116&lt;&gt;"",E5116&lt;&gt;"!!!"),"NEW","")))</f>
        <v> </v>
      </c>
      <c r="G5116" s="24" t="str">
        <f>IF(OR(E5116="",E5116="!!!"),"",IF(OR(J5116=0,AND(J5116=1,K5116=1),AND(J5116=1,I5116="SBJ"),AND(J5116=1,I5116=0)),"?IN_FOCUS",IF(J5116&lt;=2,"?ACTIVATED",IF(J5116&lt;&gt;"","?FAMILIAR",IF(F5116="NEW",IF(ISNA(VLOOKUP(E5116,#REF!,1,FALSE())),"?TYPE_IDENTIFIABLE","?REFERENTIAL"),"_")))))</f>
        <v> </v>
      </c>
      <c r="H5116" s="25" t="str">
        <f>IF(J5116&lt;&gt;1,"",IF(I5116="SBJ","CB","?"))</f>
        <v> </v>
      </c>
      <c r="I5116" s="26" t="str">
        <f>IF(OR(E5116="",E5116="!!!",F5116="NEW"),"",INDEX(B5115:B$2,-1+SUMPRODUCT(MAX(ROW(E5115:E$2)*(E5116=E5115:E$2)))))</f>
        <v> </v>
      </c>
      <c r="J5116" s="26" t="str">
        <f>IF(OR(E5116="",E5116="!!!",F5116="NEW"),"",COUNTBLANK(OFFSET(A$1,,,SUMPRODUCT(MAX(ROW(E$2:E5116)*(E5116=E$2:E5116)))))-COUNTBLANK(OFFSET(A$1,,,SUMPRODUCT(MAX(ROW(E$1:E5115)*(E2=E$1:E5115))))))</f>
        <v> </v>
      </c>
      <c r="K5116" s="26" t="str">
        <f>IF(OR(E5116="",E5116="!!!",F5116="NEW"),"",INDEX(J$1:J5115,SUMPRODUCT(MAX(ROW(E$1:E5115)*(E5116=E$1:E5115)))))</f>
        <v> </v>
      </c>
      <c r="L5116" s="27"/>
    </row>
    <row r="5117" spans="1:12">
      <c r="A5117" s="20" t="s">
        <v>1022</v>
      </c>
      <c r="E5117" s="22">
        <f>IF(D5117="?OLD","!!!","")</f>
        <v/>
      </c>
      <c r="F5117" s="23" t="str">
        <f>IF(OR(E5117="",E5117="!!!"),"",IF(NOT(ISNA(VLOOKUP(E5117,E$1:E5116,1,FALSE()))),"OLD",IF(AND(E5117&lt;&gt;"",E5117&lt;&gt;"!!!"),"NEW","")))</f>
        <v> </v>
      </c>
      <c r="G5117" s="24" t="str">
        <f>IF(OR(E5117="",E5117="!!!"),"",IF(OR(J5117=0,AND(J5117=1,K5117=1),AND(J5117=1,I5117="SBJ"),AND(J5117=1,I5117=0)),"?IN_FOCUS",IF(J5117&lt;=2,"?ACTIVATED",IF(J5117&lt;&gt;"","?FAMILIAR",IF(F5117="NEW",IF(ISNA(VLOOKUP(E5117,#REF!,1,FALSE())),"?TYPE_IDENTIFIABLE","?REFERENTIAL"),"_")))))</f>
        <v> </v>
      </c>
      <c r="H5117" s="25" t="str">
        <f>IF(J5117&lt;&gt;1,"",IF(I5117="SBJ","CB","?"))</f>
        <v> </v>
      </c>
      <c r="I5117" s="26" t="str">
        <f>IF(OR(E5117="",E5117="!!!",F5117="NEW"),"",INDEX(B5116:B$2,-1+SUMPRODUCT(MAX(ROW(E5116:E$2)*(E5117=E5116:E$2)))))</f>
        <v> </v>
      </c>
      <c r="J5117" s="26" t="str">
        <f>IF(OR(E5117="",E5117="!!!",F5117="NEW"),"",COUNTBLANK(OFFSET(A$1,,,SUMPRODUCT(MAX(ROW(E$2:E5117)*(E5117=E$2:E5117)))))-COUNTBLANK(OFFSET(A$1,,,SUMPRODUCT(MAX(ROW(E$1:E5116)*(E2=E$1:E5116))))))</f>
        <v> </v>
      </c>
      <c r="K5117" s="26" t="str">
        <f>IF(OR(E5117="",E5117="!!!",F5117="NEW"),"",INDEX(J$1:J5116,SUMPRODUCT(MAX(ROW(E$1:E5116)*(E5117=E$1:E5116)))))</f>
        <v> </v>
      </c>
      <c r="L5117" s="27"/>
    </row>
    <row r="5118" spans="1:12">
      <c r="A5118" s="20"/>
    </row>
    <row r="5119" spans="1:12">
      <c r="A5119" s="20" t="s">
        <v>2172</v>
      </c>
    </row>
    <row r="5120" spans="1:12">
      <c r="A5120" s="20" t="s">
        <v>1149</v>
      </c>
      <c r="E5120" s="22">
        <f>IF(D5120="?OLD","!!!","")</f>
        <v/>
      </c>
      <c r="F5120" s="23" t="str">
        <f>IF(OR(E5120="",E5120="!!!"),"",IF(NOT(ISNA(VLOOKUP(E5120,E$1:E5119,1,FALSE()))),"OLD",IF(AND(E5120&lt;&gt;"",E5120&lt;&gt;"!!!"),"NEW","")))</f>
        <v> </v>
      </c>
      <c r="G5120" s="24" t="str">
        <f>IF(OR(E5120="",E5120="!!!"),"",IF(OR(J5120=0,AND(J5120=1,K5120=1),AND(J5120=1,I5120="SBJ"),AND(J5120=1,I5120=0)),"?IN_FOCUS",IF(J5120&lt;=2,"?ACTIVATED",IF(J5120&lt;&gt;"","?FAMILIAR",IF(F5120="NEW",IF(ISNA(VLOOKUP(E5120,#REF!,1,FALSE())),"?TYPE_IDENTIFIABLE","?REFERENTIAL"),"_")))))</f>
        <v> </v>
      </c>
      <c r="H5120" s="25" t="str">
        <f>IF(J5120&lt;&gt;1,"",IF(I5120="SBJ","CB","?"))</f>
        <v> </v>
      </c>
      <c r="I5120" s="26" t="str">
        <f>IF(OR(E5120="",E5120="!!!",F5120="NEW"),"",INDEX(B5119:B$2,-1+SUMPRODUCT(MAX(ROW(E5119:E$2)*(E5120=E5119:E$2)))))</f>
        <v> </v>
      </c>
      <c r="J5120" s="26" t="str">
        <f>IF(OR(E5120="",E5120="!!!",F5120="NEW"),"",COUNTBLANK(OFFSET(A$1,,,SUMPRODUCT(MAX(ROW(E$2:E5120)*(E5120=E$2:E5120)))))-COUNTBLANK(OFFSET(A$1,,,SUMPRODUCT(MAX(ROW(E$1:E5119)*(E2=E$1:E5119))))))</f>
        <v> </v>
      </c>
      <c r="K5120" s="26" t="str">
        <f>IF(OR(E5120="",E5120="!!!",F5120="NEW"),"",INDEX(J$1:J5119,SUMPRODUCT(MAX(ROW(E$1:E5119)*(E5120=E$1:E5119)))))</f>
        <v> </v>
      </c>
      <c r="L5120" s="27"/>
    </row>
    <row r="5121" spans="1:12">
      <c r="A5121" s="20" t="s">
        <v>1032</v>
      </c>
      <c r="E5121" s="22">
        <f>IF(D5121="?OLD","!!!","")</f>
        <v/>
      </c>
      <c r="F5121" s="23" t="str">
        <f>IF(OR(E5121="",E5121="!!!"),"",IF(NOT(ISNA(VLOOKUP(E5121,E$1:E5120,1,FALSE()))),"OLD",IF(AND(E5121&lt;&gt;"",E5121&lt;&gt;"!!!"),"NEW","")))</f>
        <v> </v>
      </c>
      <c r="G5121" s="24" t="str">
        <f>IF(OR(E5121="",E5121="!!!"),"",IF(OR(J5121=0,AND(J5121=1,K5121=1),AND(J5121=1,I5121="SBJ"),AND(J5121=1,I5121=0)),"?IN_FOCUS",IF(J5121&lt;=2,"?ACTIVATED",IF(J5121&lt;&gt;"","?FAMILIAR",IF(F5121="NEW",IF(ISNA(VLOOKUP(E5121,#REF!,1,FALSE())),"?TYPE_IDENTIFIABLE","?REFERENTIAL"),"_")))))</f>
        <v> </v>
      </c>
      <c r="H5121" s="25" t="str">
        <f>IF(J5121&lt;&gt;1,"",IF(I5121="SBJ","CB","?"))</f>
        <v> </v>
      </c>
      <c r="I5121" s="26" t="str">
        <f>IF(OR(E5121="",E5121="!!!",F5121="NEW"),"",INDEX(B5120:B$2,-1+SUMPRODUCT(MAX(ROW(E5120:E$2)*(E5121=E5120:E$2)))))</f>
        <v> </v>
      </c>
      <c r="J5121" s="26" t="str">
        <f>IF(OR(E5121="",E5121="!!!",F5121="NEW"),"",COUNTBLANK(OFFSET(A$1,,,SUMPRODUCT(MAX(ROW(E$2:E5121)*(E5121=E$2:E5121)))))-COUNTBLANK(OFFSET(A$1,,,SUMPRODUCT(MAX(ROW(E$1:E5120)*(E2=E$1:E5120))))))</f>
        <v> </v>
      </c>
      <c r="K5121" s="26" t="str">
        <f>IF(OR(E5121="",E5121="!!!",F5121="NEW"),"",INDEX(J$1:J5120,SUMPRODUCT(MAX(ROW(E$1:E5120)*(E5121=E$1:E5120)))))</f>
        <v> </v>
      </c>
      <c r="L5121" s="27"/>
    </row>
    <row r="5122" spans="1:12">
      <c r="A5122" s="20" t="s">
        <v>1025</v>
      </c>
      <c r="B5122" s="21" t="s">
        <v>1009</v>
      </c>
      <c r="C5122" s="21" t="s">
        <v>1026</v>
      </c>
      <c r="D5122" s="21" t="s">
        <v>1011</v>
      </c>
      <c r="E5122" s="22">
        <f>IF(D5122="?OLD","!!!","")</f>
        <v/>
      </c>
      <c r="F5122" s="23" t="str">
        <f>IF(OR(E5122="",E5122="!!!"),"",IF(NOT(ISNA(VLOOKUP(E5122,E$1:E5121,1,FALSE()))),"OLD",IF(AND(E5122&lt;&gt;"",E5122&lt;&gt;"!!!"),"NEW","")))</f>
        <v> </v>
      </c>
      <c r="G5122" s="24" t="str">
        <f>IF(OR(E5122="",E5122="!!!"),"",IF(OR(J5122=0,AND(J5122=1,K5122=1),AND(J5122=1,I5122="SBJ"),AND(J5122=1,I5122=0)),"?IN_FOCUS",IF(J5122&lt;=2,"?ACTIVATED",IF(J5122&lt;&gt;"","?FAMILIAR",IF(F5122="NEW",IF(ISNA(VLOOKUP(E5122,#REF!,1,FALSE())),"?TYPE_IDENTIFIABLE","?REFERENTIAL"),"_")))))</f>
        <v> </v>
      </c>
      <c r="H5122" s="25" t="str">
        <f>IF(J5122&lt;&gt;1,"",IF(I5122="SBJ","CB","?"))</f>
        <v> </v>
      </c>
      <c r="I5122" s="26" t="str">
        <f>IF(OR(E5122="",E5122="!!!",F5122="NEW"),"",INDEX(B5121:B$2,-1+SUMPRODUCT(MAX(ROW(E5121:E$2)*(E5122=E5121:E$2)))))</f>
        <v> </v>
      </c>
      <c r="J5122" s="26" t="str">
        <f>IF(OR(E5122="",E5122="!!!",F5122="NEW"),"",COUNTBLANK(OFFSET(A$1,,,SUMPRODUCT(MAX(ROW(E$2:E5122)*(E5122=E$2:E5122)))))-COUNTBLANK(OFFSET(A$1,,,SUMPRODUCT(MAX(ROW(E$1:E5121)*(E2=E$1:E5121))))))</f>
        <v> </v>
      </c>
      <c r="K5122" s="26" t="str">
        <f>IF(OR(E5122="",E5122="!!!",F5122="NEW"),"",INDEX(J$1:J5121,SUMPRODUCT(MAX(ROW(E$1:E5121)*(E5122=E$1:E5121)))))</f>
        <v> </v>
      </c>
      <c r="L5122" s="27"/>
    </row>
    <row r="5123" spans="1:12">
      <c r="A5123" s="20" t="s">
        <v>1173</v>
      </c>
      <c r="E5123" s="22">
        <f>IF(D5123="?OLD","!!!","")</f>
        <v/>
      </c>
      <c r="F5123" s="23" t="str">
        <f>IF(OR(E5123="",E5123="!!!"),"",IF(NOT(ISNA(VLOOKUP(E5123,E$1:E5122,1,FALSE()))),"OLD",IF(AND(E5123&lt;&gt;"",E5123&lt;&gt;"!!!"),"NEW","")))</f>
        <v> </v>
      </c>
      <c r="G5123" s="24" t="str">
        <f>IF(OR(E5123="",E5123="!!!"),"",IF(OR(J5123=0,AND(J5123=1,K5123=1),AND(J5123=1,I5123="SBJ"),AND(J5123=1,I5123=0)),"?IN_FOCUS",IF(J5123&lt;=2,"?ACTIVATED",IF(J5123&lt;&gt;"","?FAMILIAR",IF(F5123="NEW",IF(ISNA(VLOOKUP(E5123,#REF!,1,FALSE())),"?TYPE_IDENTIFIABLE","?REFERENTIAL"),"_")))))</f>
        <v> </v>
      </c>
      <c r="H5123" s="25" t="str">
        <f>IF(J5123&lt;&gt;1,"",IF(I5123="SBJ","CB","?"))</f>
        <v> </v>
      </c>
      <c r="I5123" s="26" t="str">
        <f>IF(OR(E5123="",E5123="!!!",F5123="NEW"),"",INDEX(B5122:B$2,-1+SUMPRODUCT(MAX(ROW(E5122:E$2)*(E5123=E5122:E$2)))))</f>
        <v> </v>
      </c>
      <c r="J5123" s="26" t="str">
        <f>IF(OR(E5123="",E5123="!!!",F5123="NEW"),"",COUNTBLANK(OFFSET(A$1,,,SUMPRODUCT(MAX(ROW(E$2:E5123)*(E5123=E$2:E5123)))))-COUNTBLANK(OFFSET(A$1,,,SUMPRODUCT(MAX(ROW(E$1:E5122)*(E2=E$1:E5122))))))</f>
        <v> </v>
      </c>
      <c r="K5123" s="26" t="str">
        <f>IF(OR(E5123="",E5123="!!!",F5123="NEW"),"",INDEX(J$1:J5122,SUMPRODUCT(MAX(ROW(E$1:E5122)*(E5123=E$1:E5122)))))</f>
        <v> </v>
      </c>
      <c r="L5123" s="27"/>
    </row>
    <row r="5124" spans="1:12">
      <c r="A5124" s="20" t="s">
        <v>1139</v>
      </c>
      <c r="E5124" s="22">
        <f>IF(D5124="?OLD","!!!","")</f>
        <v/>
      </c>
      <c r="F5124" s="23" t="str">
        <f>IF(OR(E5124="",E5124="!!!"),"",IF(NOT(ISNA(VLOOKUP(E5124,E$1:E5123,1,FALSE()))),"OLD",IF(AND(E5124&lt;&gt;"",E5124&lt;&gt;"!!!"),"NEW","")))</f>
        <v> </v>
      </c>
      <c r="G5124" s="24" t="str">
        <f>IF(OR(E5124="",E5124="!!!"),"",IF(OR(J5124=0,AND(J5124=1,K5124=1),AND(J5124=1,I5124="SBJ"),AND(J5124=1,I5124=0)),"?IN_FOCUS",IF(J5124&lt;=2,"?ACTIVATED",IF(J5124&lt;&gt;"","?FAMILIAR",IF(F5124="NEW",IF(ISNA(VLOOKUP(E5124,#REF!,1,FALSE())),"?TYPE_IDENTIFIABLE","?REFERENTIAL"),"_")))))</f>
        <v> </v>
      </c>
      <c r="H5124" s="25" t="str">
        <f>IF(J5124&lt;&gt;1,"",IF(I5124="SBJ","CB","?"))</f>
        <v> </v>
      </c>
      <c r="I5124" s="26" t="str">
        <f>IF(OR(E5124="",E5124="!!!",F5124="NEW"),"",INDEX(B5123:B$2,-1+SUMPRODUCT(MAX(ROW(E5123:E$2)*(E5124=E5123:E$2)))))</f>
        <v> </v>
      </c>
      <c r="J5124" s="26" t="str">
        <f>IF(OR(E5124="",E5124="!!!",F5124="NEW"),"",COUNTBLANK(OFFSET(A$1,,,SUMPRODUCT(MAX(ROW(E$2:E5124)*(E5124=E$2:E5124)))))-COUNTBLANK(OFFSET(A$1,,,SUMPRODUCT(MAX(ROW(E$1:E5123)*(E2=E$1:E5123))))))</f>
        <v> </v>
      </c>
      <c r="K5124" s="26" t="str">
        <f>IF(OR(E5124="",E5124="!!!",F5124="NEW"),"",INDEX(J$1:J5123,SUMPRODUCT(MAX(ROW(E$1:E5123)*(E5124=E$1:E5123)))))</f>
        <v> </v>
      </c>
      <c r="L5124" s="27"/>
    </row>
    <row r="5125" spans="1:12">
      <c r="A5125" s="20" t="s">
        <v>1303</v>
      </c>
      <c r="E5125" s="22">
        <f>IF(D5125="?OLD","!!!","")</f>
        <v/>
      </c>
      <c r="F5125" s="23" t="str">
        <f>IF(OR(E5125="",E5125="!!!"),"",IF(NOT(ISNA(VLOOKUP(E5125,E$1:E5124,1,FALSE()))),"OLD",IF(AND(E5125&lt;&gt;"",E5125&lt;&gt;"!!!"),"NEW","")))</f>
        <v> </v>
      </c>
      <c r="G5125" s="24" t="str">
        <f>IF(OR(E5125="",E5125="!!!"),"",IF(OR(J5125=0,AND(J5125=1,K5125=1),AND(J5125=1,I5125="SBJ"),AND(J5125=1,I5125=0)),"?IN_FOCUS",IF(J5125&lt;=2,"?ACTIVATED",IF(J5125&lt;&gt;"","?FAMILIAR",IF(F5125="NEW",IF(ISNA(VLOOKUP(E5125,#REF!,1,FALSE())),"?TYPE_IDENTIFIABLE","?REFERENTIAL"),"_")))))</f>
        <v> </v>
      </c>
      <c r="H5125" s="25" t="str">
        <f>IF(J5125&lt;&gt;1,"",IF(I5125="SBJ","CB","?"))</f>
        <v> </v>
      </c>
      <c r="I5125" s="26" t="str">
        <f>IF(OR(E5125="",E5125="!!!",F5125="NEW"),"",INDEX(B5124:B$2,-1+SUMPRODUCT(MAX(ROW(E5124:E$2)*(E5125=E5124:E$2)))))</f>
        <v> </v>
      </c>
      <c r="J5125" s="26" t="str">
        <f>IF(OR(E5125="",E5125="!!!",F5125="NEW"),"",COUNTBLANK(OFFSET(A$1,,,SUMPRODUCT(MAX(ROW(E$2:E5125)*(E5125=E$2:E5125)))))-COUNTBLANK(OFFSET(A$1,,,SUMPRODUCT(MAX(ROW(E$1:E5124)*(E2=E$1:E5124))))))</f>
        <v> </v>
      </c>
      <c r="K5125" s="26" t="str">
        <f>IF(OR(E5125="",E5125="!!!",F5125="NEW"),"",INDEX(J$1:J5124,SUMPRODUCT(MAX(ROW(E$1:E5124)*(E5125=E$1:E5124)))))</f>
        <v> </v>
      </c>
      <c r="L5125" s="27"/>
    </row>
    <row r="5126" spans="1:12">
      <c r="A5126" s="20" t="s">
        <v>2173</v>
      </c>
      <c r="E5126" s="22">
        <f>IF(D5126="?OLD","!!!","")</f>
        <v/>
      </c>
      <c r="F5126" s="23" t="str">
        <f>IF(OR(E5126="",E5126="!!!"),"",IF(NOT(ISNA(VLOOKUP(E5126,E$1:E5125,1,FALSE()))),"OLD",IF(AND(E5126&lt;&gt;"",E5126&lt;&gt;"!!!"),"NEW","")))</f>
        <v> </v>
      </c>
      <c r="G5126" s="24" t="str">
        <f>IF(OR(E5126="",E5126="!!!"),"",IF(OR(J5126=0,AND(J5126=1,K5126=1),AND(J5126=1,I5126="SBJ"),AND(J5126=1,I5126=0)),"?IN_FOCUS",IF(J5126&lt;=2,"?ACTIVATED",IF(J5126&lt;&gt;"","?FAMILIAR",IF(F5126="NEW",IF(ISNA(VLOOKUP(E5126,#REF!,1,FALSE())),"?TYPE_IDENTIFIABLE","?REFERENTIAL"),"_")))))</f>
        <v> </v>
      </c>
      <c r="H5126" s="25" t="str">
        <f>IF(J5126&lt;&gt;1,"",IF(I5126="SBJ","CB","?"))</f>
        <v> </v>
      </c>
      <c r="I5126" s="26" t="str">
        <f>IF(OR(E5126="",E5126="!!!",F5126="NEW"),"",INDEX(B5125:B$2,-1+SUMPRODUCT(MAX(ROW(E5125:E$2)*(E5126=E5125:E$2)))))</f>
        <v> </v>
      </c>
      <c r="J5126" s="26" t="str">
        <f>IF(OR(E5126="",E5126="!!!",F5126="NEW"),"",COUNTBLANK(OFFSET(A$1,,,SUMPRODUCT(MAX(ROW(E$2:E5126)*(E5126=E$2:E5126)))))-COUNTBLANK(OFFSET(A$1,,,SUMPRODUCT(MAX(ROW(E$1:E5125)*(E2=E$1:E5125))))))</f>
        <v> </v>
      </c>
      <c r="K5126" s="26" t="str">
        <f>IF(OR(E5126="",E5126="!!!",F5126="NEW"),"",INDEX(J$1:J5125,SUMPRODUCT(MAX(ROW(E$1:E5125)*(E5126=E$1:E5125)))))</f>
        <v> </v>
      </c>
      <c r="L5126" s="27"/>
    </row>
    <row r="5127" spans="1:12">
      <c r="A5127" s="20" t="s">
        <v>2174</v>
      </c>
      <c r="B5127" s="21" t="s">
        <v>1071</v>
      </c>
      <c r="C5127" s="21" t="s">
        <v>1030</v>
      </c>
      <c r="E5127" s="22">
        <f>IF(D5127="?OLD","!!!","")</f>
        <v/>
      </c>
      <c r="F5127" s="23" t="str">
        <f>IF(OR(E5127="",E5127="!!!"),"",IF(NOT(ISNA(VLOOKUP(E5127,E$1:E5126,1,FALSE()))),"OLD",IF(AND(E5127&lt;&gt;"",E5127&lt;&gt;"!!!"),"NEW","")))</f>
        <v> </v>
      </c>
      <c r="G5127" s="24" t="str">
        <f>IF(OR(E5127="",E5127="!!!"),"",IF(OR(J5127=0,AND(J5127=1,K5127=1),AND(J5127=1,I5127="SBJ"),AND(J5127=1,I5127=0)),"?IN_FOCUS",IF(J5127&lt;=2,"?ACTIVATED",IF(J5127&lt;&gt;"","?FAMILIAR",IF(F5127="NEW",IF(ISNA(VLOOKUP(E5127,#REF!,1,FALSE())),"?TYPE_IDENTIFIABLE","?REFERENTIAL"),"_")))))</f>
        <v> </v>
      </c>
      <c r="H5127" s="25" t="str">
        <f>IF(J5127&lt;&gt;1,"",IF(I5127="SBJ","CB","?"))</f>
        <v> </v>
      </c>
      <c r="I5127" s="26" t="str">
        <f>IF(OR(E5127="",E5127="!!!",F5127="NEW"),"",INDEX(B5126:B$2,-1+SUMPRODUCT(MAX(ROW(E5126:E$2)*(E5127=E5126:E$2)))))</f>
        <v> </v>
      </c>
      <c r="J5127" s="26" t="str">
        <f>IF(OR(E5127="",E5127="!!!",F5127="NEW"),"",COUNTBLANK(OFFSET(A$1,,,SUMPRODUCT(MAX(ROW(E$2:E5127)*(E5127=E$2:E5127)))))-COUNTBLANK(OFFSET(A$1,,,SUMPRODUCT(MAX(ROW(E$1:E5126)*(E2=E$1:E5126))))))</f>
        <v> </v>
      </c>
      <c r="K5127" s="26" t="str">
        <f>IF(OR(E5127="",E5127="!!!",F5127="NEW"),"",INDEX(J$1:J5126,SUMPRODUCT(MAX(ROW(E$1:E5126)*(E5127=E$1:E5126)))))</f>
        <v> </v>
      </c>
      <c r="L5127" s="27"/>
    </row>
    <row r="5128" spans="1:12">
      <c r="A5128" s="20" t="s">
        <v>1073</v>
      </c>
      <c r="E5128" s="22">
        <f>IF(D5128="?OLD","!!!","")</f>
        <v/>
      </c>
      <c r="F5128" s="23" t="str">
        <f>IF(OR(E5128="",E5128="!!!"),"",IF(NOT(ISNA(VLOOKUP(E5128,E$1:E5127,1,FALSE()))),"OLD",IF(AND(E5128&lt;&gt;"",E5128&lt;&gt;"!!!"),"NEW","")))</f>
        <v> </v>
      </c>
      <c r="G5128" s="24" t="str">
        <f>IF(OR(E5128="",E5128="!!!"),"",IF(OR(J5128=0,AND(J5128=1,K5128=1),AND(J5128=1,I5128="SBJ"),AND(J5128=1,I5128=0)),"?IN_FOCUS",IF(J5128&lt;=2,"?ACTIVATED",IF(J5128&lt;&gt;"","?FAMILIAR",IF(F5128="NEW",IF(ISNA(VLOOKUP(E5128,#REF!,1,FALSE())),"?TYPE_IDENTIFIABLE","?REFERENTIAL"),"_")))))</f>
        <v> </v>
      </c>
      <c r="H5128" s="25" t="str">
        <f>IF(J5128&lt;&gt;1,"",IF(I5128="SBJ","CB","?"))</f>
        <v> </v>
      </c>
      <c r="I5128" s="26" t="str">
        <f>IF(OR(E5128="",E5128="!!!",F5128="NEW"),"",INDEX(B5127:B$2,-1+SUMPRODUCT(MAX(ROW(E5127:E$2)*(E5128=E5127:E$2)))))</f>
        <v> </v>
      </c>
      <c r="J5128" s="26" t="str">
        <f>IF(OR(E5128="",E5128="!!!",F5128="NEW"),"",COUNTBLANK(OFFSET(A$1,,,SUMPRODUCT(MAX(ROW(E$2:E5128)*(E5128=E$2:E5128)))))-COUNTBLANK(OFFSET(A$1,,,SUMPRODUCT(MAX(ROW(E$1:E5127)*(E2=E$1:E5127))))))</f>
        <v> </v>
      </c>
      <c r="K5128" s="26" t="str">
        <f>IF(OR(E5128="",E5128="!!!",F5128="NEW"),"",INDEX(J$1:J5127,SUMPRODUCT(MAX(ROW(E$1:E5127)*(E5128=E$1:E5127)))))</f>
        <v> </v>
      </c>
      <c r="L5128" s="27"/>
    </row>
    <row r="5129" spans="1:12">
      <c r="A5129" s="20" t="s">
        <v>1137</v>
      </c>
      <c r="B5129" s="21" t="s">
        <v>1039</v>
      </c>
      <c r="C5129" s="21" t="s">
        <v>1010</v>
      </c>
      <c r="D5129" s="21" t="s">
        <v>1011</v>
      </c>
      <c r="E5129" s="22">
        <f>IF(D5129="?OLD","!!!","")</f>
        <v/>
      </c>
      <c r="F5129" s="23" t="str">
        <f>IF(OR(E5129="",E5129="!!!"),"",IF(NOT(ISNA(VLOOKUP(E5129,E$1:E5128,1,FALSE()))),"OLD",IF(AND(E5129&lt;&gt;"",E5129&lt;&gt;"!!!"),"NEW","")))</f>
        <v> </v>
      </c>
      <c r="G5129" s="24" t="str">
        <f>IF(OR(E5129="",E5129="!!!"),"",IF(OR(J5129=0,AND(J5129=1,K5129=1),AND(J5129=1,I5129="SBJ"),AND(J5129=1,I5129=0)),"?IN_FOCUS",IF(J5129&lt;=2,"?ACTIVATED",IF(J5129&lt;&gt;"","?FAMILIAR",IF(F5129="NEW",IF(ISNA(VLOOKUP(E5129,#REF!,1,FALSE())),"?TYPE_IDENTIFIABLE","?REFERENTIAL"),"_")))))</f>
        <v> </v>
      </c>
      <c r="H5129" s="25" t="str">
        <f>IF(J5129&lt;&gt;1,"",IF(I5129="SBJ","CB","?"))</f>
        <v> </v>
      </c>
      <c r="I5129" s="26" t="str">
        <f>IF(OR(E5129="",E5129="!!!",F5129="NEW"),"",INDEX(B5128:B$2,-1+SUMPRODUCT(MAX(ROW(E5128:E$2)*(E5129=E5128:E$2)))))</f>
        <v> </v>
      </c>
      <c r="J5129" s="26" t="str">
        <f>IF(OR(E5129="",E5129="!!!",F5129="NEW"),"",COUNTBLANK(OFFSET(A$1,,,SUMPRODUCT(MAX(ROW(E$2:E5129)*(E5129=E$2:E5129)))))-COUNTBLANK(OFFSET(A$1,,,SUMPRODUCT(MAX(ROW(E$1:E5128)*(E2=E$1:E5128))))))</f>
        <v> </v>
      </c>
      <c r="K5129" s="26" t="str">
        <f>IF(OR(E5129="",E5129="!!!",F5129="NEW"),"",INDEX(J$1:J5128,SUMPRODUCT(MAX(ROW(E$1:E5128)*(E5129=E$1:E5128)))))</f>
        <v> </v>
      </c>
      <c r="L5129" s="27"/>
    </row>
    <row r="5130" spans="1:12">
      <c r="A5130" s="20" t="s">
        <v>1579</v>
      </c>
      <c r="E5130" s="22">
        <f>IF(D5130="?OLD","!!!","")</f>
        <v/>
      </c>
      <c r="F5130" s="23" t="str">
        <f>IF(OR(E5130="",E5130="!!!"),"",IF(NOT(ISNA(VLOOKUP(E5130,E$1:E5129,1,FALSE()))),"OLD",IF(AND(E5130&lt;&gt;"",E5130&lt;&gt;"!!!"),"NEW","")))</f>
        <v> </v>
      </c>
      <c r="G5130" s="24" t="str">
        <f>IF(OR(E5130="",E5130="!!!"),"",IF(OR(J5130=0,AND(J5130=1,K5130=1),AND(J5130=1,I5130="SBJ"),AND(J5130=1,I5130=0)),"?IN_FOCUS",IF(J5130&lt;=2,"?ACTIVATED",IF(J5130&lt;&gt;"","?FAMILIAR",IF(F5130="NEW",IF(ISNA(VLOOKUP(E5130,#REF!,1,FALSE())),"?TYPE_IDENTIFIABLE","?REFERENTIAL"),"_")))))</f>
        <v> </v>
      </c>
      <c r="H5130" s="25" t="str">
        <f>IF(J5130&lt;&gt;1,"",IF(I5130="SBJ","CB","?"))</f>
        <v> </v>
      </c>
      <c r="I5130" s="26" t="str">
        <f>IF(OR(E5130="",E5130="!!!",F5130="NEW"),"",INDEX(B5129:B$2,-1+SUMPRODUCT(MAX(ROW(E5129:E$2)*(E5130=E5129:E$2)))))</f>
        <v> </v>
      </c>
      <c r="J5130" s="26" t="str">
        <f>IF(OR(E5130="",E5130="!!!",F5130="NEW"),"",COUNTBLANK(OFFSET(A$1,,,SUMPRODUCT(MAX(ROW(E$2:E5130)*(E5130=E$2:E5130)))))-COUNTBLANK(OFFSET(A$1,,,SUMPRODUCT(MAX(ROW(E$1:E5129)*(E2=E$1:E5129))))))</f>
        <v> </v>
      </c>
      <c r="K5130" s="26" t="str">
        <f>IF(OR(E5130="",E5130="!!!",F5130="NEW"),"",INDEX(J$1:J5129,SUMPRODUCT(MAX(ROW(E$1:E5129)*(E5130=E$1:E5129)))))</f>
        <v> </v>
      </c>
      <c r="L5130" s="27"/>
    </row>
    <row r="5131" spans="1:12">
      <c r="A5131" s="20" t="s">
        <v>1137</v>
      </c>
      <c r="B5131" s="21" t="s">
        <v>1175</v>
      </c>
      <c r="C5131" s="21" t="s">
        <v>1010</v>
      </c>
      <c r="D5131" s="21" t="s">
        <v>1011</v>
      </c>
      <c r="E5131" s="22">
        <f>IF(D5131="?OLD","!!!","")</f>
        <v/>
      </c>
      <c r="F5131" s="23" t="str">
        <f>IF(OR(E5131="",E5131="!!!"),"",IF(NOT(ISNA(VLOOKUP(E5131,E$1:E5130,1,FALSE()))),"OLD",IF(AND(E5131&lt;&gt;"",E5131&lt;&gt;"!!!"),"NEW","")))</f>
        <v> </v>
      </c>
      <c r="G5131" s="24" t="str">
        <f>IF(OR(E5131="",E5131="!!!"),"",IF(OR(J5131=0,AND(J5131=1,K5131=1),AND(J5131=1,I5131="SBJ"),AND(J5131=1,I5131=0)),"?IN_FOCUS",IF(J5131&lt;=2,"?ACTIVATED",IF(J5131&lt;&gt;"","?FAMILIAR",IF(F5131="NEW",IF(ISNA(VLOOKUP(E5131,#REF!,1,FALSE())),"?TYPE_IDENTIFIABLE","?REFERENTIAL"),"_")))))</f>
        <v> </v>
      </c>
      <c r="H5131" s="25" t="str">
        <f>IF(J5131&lt;&gt;1,"",IF(I5131="SBJ","CB","?"))</f>
        <v> </v>
      </c>
      <c r="I5131" s="26" t="str">
        <f>IF(OR(E5131="",E5131="!!!",F5131="NEW"),"",INDEX(B5130:B$2,-1+SUMPRODUCT(MAX(ROW(E5130:E$2)*(E5131=E5130:E$2)))))</f>
        <v> </v>
      </c>
      <c r="J5131" s="26" t="str">
        <f>IF(OR(E5131="",E5131="!!!",F5131="NEW"),"",COUNTBLANK(OFFSET(A$1,,,SUMPRODUCT(MAX(ROW(E$2:E5131)*(E5131=E$2:E5131)))))-COUNTBLANK(OFFSET(A$1,,,SUMPRODUCT(MAX(ROW(E$1:E5130)*(E2=E$1:E5130))))))</f>
        <v> </v>
      </c>
      <c r="K5131" s="26" t="str">
        <f>IF(OR(E5131="",E5131="!!!",F5131="NEW"),"",INDEX(J$1:J5130,SUMPRODUCT(MAX(ROW(E$1:E5130)*(E5131=E$1:E5130)))))</f>
        <v> </v>
      </c>
      <c r="L5131" s="27"/>
    </row>
    <row r="5132" spans="1:12">
      <c r="A5132" s="20" t="s">
        <v>388</v>
      </c>
      <c r="E5132" s="22">
        <f>IF(D5132="?OLD","!!!","")</f>
        <v/>
      </c>
      <c r="F5132" s="23" t="str">
        <f>IF(OR(E5132="",E5132="!!!"),"",IF(NOT(ISNA(VLOOKUP(E5132,E$1:E5131,1,FALSE()))),"OLD",IF(AND(E5132&lt;&gt;"",E5132&lt;&gt;"!!!"),"NEW","")))</f>
        <v> </v>
      </c>
      <c r="G5132" s="24" t="str">
        <f>IF(OR(E5132="",E5132="!!!"),"",IF(OR(J5132=0,AND(J5132=1,K5132=1),AND(J5132=1,I5132="SBJ"),AND(J5132=1,I5132=0)),"?IN_FOCUS",IF(J5132&lt;=2,"?ACTIVATED",IF(J5132&lt;&gt;"","?FAMILIAR",IF(F5132="NEW",IF(ISNA(VLOOKUP(E5132,#REF!,1,FALSE())),"?TYPE_IDENTIFIABLE","?REFERENTIAL"),"_")))))</f>
        <v> </v>
      </c>
      <c r="H5132" s="25" t="str">
        <f>IF(J5132&lt;&gt;1,"",IF(I5132="SBJ","CB","?"))</f>
        <v> </v>
      </c>
      <c r="I5132" s="26" t="str">
        <f>IF(OR(E5132="",E5132="!!!",F5132="NEW"),"",INDEX(B5131:B$2,-1+SUMPRODUCT(MAX(ROW(E5131:E$2)*(E5132=E5131:E$2)))))</f>
        <v> </v>
      </c>
      <c r="J5132" s="26" t="str">
        <f>IF(OR(E5132="",E5132="!!!",F5132="NEW"),"",COUNTBLANK(OFFSET(A$1,,,SUMPRODUCT(MAX(ROW(E$2:E5132)*(E5132=E$2:E5132)))))-COUNTBLANK(OFFSET(A$1,,,SUMPRODUCT(MAX(ROW(E$1:E5131)*(E2=E$1:E5131))))))</f>
        <v> </v>
      </c>
      <c r="K5132" s="26" t="str">
        <f>IF(OR(E5132="",E5132="!!!",F5132="NEW"),"",INDEX(J$1:J5131,SUMPRODUCT(MAX(ROW(E$1:E5131)*(E5132=E$1:E5131)))))</f>
        <v> </v>
      </c>
      <c r="L5132" s="27"/>
    </row>
    <row r="5133" spans="1:12">
      <c r="A5133" s="20" t="s">
        <v>1097</v>
      </c>
      <c r="E5133" s="22">
        <f>IF(D5133="?OLD","!!!","")</f>
        <v/>
      </c>
      <c r="F5133" s="23" t="str">
        <f>IF(OR(E5133="",E5133="!!!"),"",IF(NOT(ISNA(VLOOKUP(E5133,E$1:E5132,1,FALSE()))),"OLD",IF(AND(E5133&lt;&gt;"",E5133&lt;&gt;"!!!"),"NEW","")))</f>
        <v> </v>
      </c>
      <c r="G5133" s="24" t="str">
        <f>IF(OR(E5133="",E5133="!!!"),"",IF(OR(J5133=0,AND(J5133=1,K5133=1),AND(J5133=1,I5133="SBJ"),AND(J5133=1,I5133=0)),"?IN_FOCUS",IF(J5133&lt;=2,"?ACTIVATED",IF(J5133&lt;&gt;"","?FAMILIAR",IF(F5133="NEW",IF(ISNA(VLOOKUP(E5133,#REF!,1,FALSE())),"?TYPE_IDENTIFIABLE","?REFERENTIAL"),"_")))))</f>
        <v> </v>
      </c>
      <c r="H5133" s="25" t="str">
        <f>IF(J5133&lt;&gt;1,"",IF(I5133="SBJ","CB","?"))</f>
        <v> </v>
      </c>
      <c r="I5133" s="26" t="str">
        <f>IF(OR(E5133="",E5133="!!!",F5133="NEW"),"",INDEX(B5132:B$2,-1+SUMPRODUCT(MAX(ROW(E5132:E$2)*(E5133=E5132:E$2)))))</f>
        <v> </v>
      </c>
      <c r="J5133" s="26" t="str">
        <f>IF(OR(E5133="",E5133="!!!",F5133="NEW"),"",COUNTBLANK(OFFSET(A$1,,,SUMPRODUCT(MAX(ROW(E$2:E5133)*(E5133=E$2:E5133)))))-COUNTBLANK(OFFSET(A$1,,,SUMPRODUCT(MAX(ROW(E$1:E5132)*(E2=E$1:E5132))))))</f>
        <v> </v>
      </c>
      <c r="K5133" s="26" t="str">
        <f>IF(OR(E5133="",E5133="!!!",F5133="NEW"),"",INDEX(J$1:J5132,SUMPRODUCT(MAX(ROW(E$1:E5132)*(E5133=E$1:E5132)))))</f>
        <v> </v>
      </c>
      <c r="L5133" s="27"/>
    </row>
    <row r="5134" spans="1:12">
      <c r="A5134" s="20" t="s">
        <v>259</v>
      </c>
      <c r="E5134" s="22">
        <f>IF(D5134="?OLD","!!!","")</f>
        <v/>
      </c>
      <c r="F5134" s="23" t="str">
        <f>IF(OR(E5134="",E5134="!!!"),"",IF(NOT(ISNA(VLOOKUP(E5134,E$1:E5133,1,FALSE()))),"OLD",IF(AND(E5134&lt;&gt;"",E5134&lt;&gt;"!!!"),"NEW","")))</f>
        <v> </v>
      </c>
      <c r="G5134" s="24" t="str">
        <f>IF(OR(E5134="",E5134="!!!"),"",IF(OR(J5134=0,AND(J5134=1,K5134=1),AND(J5134=1,I5134="SBJ"),AND(J5134=1,I5134=0)),"?IN_FOCUS",IF(J5134&lt;=2,"?ACTIVATED",IF(J5134&lt;&gt;"","?FAMILIAR",IF(F5134="NEW",IF(ISNA(VLOOKUP(E5134,#REF!,1,FALSE())),"?TYPE_IDENTIFIABLE","?REFERENTIAL"),"_")))))</f>
        <v> </v>
      </c>
      <c r="H5134" s="25" t="str">
        <f>IF(J5134&lt;&gt;1,"",IF(I5134="SBJ","CB","?"))</f>
        <v> </v>
      </c>
      <c r="I5134" s="26" t="str">
        <f>IF(OR(E5134="",E5134="!!!",F5134="NEW"),"",INDEX(B5133:B$2,-1+SUMPRODUCT(MAX(ROW(E5133:E$2)*(E5134=E5133:E$2)))))</f>
        <v> </v>
      </c>
      <c r="J5134" s="26" t="str">
        <f>IF(OR(E5134="",E5134="!!!",F5134="NEW"),"",COUNTBLANK(OFFSET(A$1,,,SUMPRODUCT(MAX(ROW(E$2:E5134)*(E5134=E$2:E5134)))))-COUNTBLANK(OFFSET(A$1,,,SUMPRODUCT(MAX(ROW(E$1:E5133)*(E2=E$1:E5133))))))</f>
        <v> </v>
      </c>
      <c r="K5134" s="26" t="str">
        <f>IF(OR(E5134="",E5134="!!!",F5134="NEW"),"",INDEX(J$1:J5133,SUMPRODUCT(MAX(ROW(E$1:E5133)*(E5134=E$1:E5133)))))</f>
        <v> </v>
      </c>
      <c r="L5134" s="27"/>
    </row>
    <row r="5135" spans="1:12">
      <c r="A5135" s="20" t="s">
        <v>1014</v>
      </c>
      <c r="E5135" s="22">
        <f>IF(D5135="?OLD","!!!","")</f>
        <v/>
      </c>
      <c r="F5135" s="23" t="str">
        <f>IF(OR(E5135="",E5135="!!!"),"",IF(NOT(ISNA(VLOOKUP(E5135,E$1:E5134,1,FALSE()))),"OLD",IF(AND(E5135&lt;&gt;"",E5135&lt;&gt;"!!!"),"NEW","")))</f>
        <v> </v>
      </c>
      <c r="G5135" s="24" t="str">
        <f>IF(OR(E5135="",E5135="!!!"),"",IF(OR(J5135=0,AND(J5135=1,K5135=1),AND(J5135=1,I5135="SBJ"),AND(J5135=1,I5135=0)),"?IN_FOCUS",IF(J5135&lt;=2,"?ACTIVATED",IF(J5135&lt;&gt;"","?FAMILIAR",IF(F5135="NEW",IF(ISNA(VLOOKUP(E5135,#REF!,1,FALSE())),"?TYPE_IDENTIFIABLE","?REFERENTIAL"),"_")))))</f>
        <v> </v>
      </c>
      <c r="H5135" s="25" t="str">
        <f>IF(J5135&lt;&gt;1,"",IF(I5135="SBJ","CB","?"))</f>
        <v> </v>
      </c>
      <c r="I5135" s="26" t="str">
        <f>IF(OR(E5135="",E5135="!!!",F5135="NEW"),"",INDEX(B5134:B$2,-1+SUMPRODUCT(MAX(ROW(E5134:E$2)*(E5135=E5134:E$2)))))</f>
        <v> </v>
      </c>
      <c r="J5135" s="26" t="str">
        <f>IF(OR(E5135="",E5135="!!!",F5135="NEW"),"",COUNTBLANK(OFFSET(A$1,,,SUMPRODUCT(MAX(ROW(E$2:E5135)*(E5135=E$2:E5135)))))-COUNTBLANK(OFFSET(A$1,,,SUMPRODUCT(MAX(ROW(E$1:E5134)*(E2=E$1:E5134))))))</f>
        <v> </v>
      </c>
      <c r="K5135" s="26" t="str">
        <f>IF(OR(E5135="",E5135="!!!",F5135="NEW"),"",INDEX(J$1:J5134,SUMPRODUCT(MAX(ROW(E$1:E5134)*(E5135=E$1:E5134)))))</f>
        <v> </v>
      </c>
      <c r="L5135" s="27"/>
    </row>
    <row r="5136" spans="1:12">
      <c r="A5136" s="20" t="s">
        <v>388</v>
      </c>
      <c r="E5136" s="22">
        <f>IF(D5136="?OLD","!!!","")</f>
        <v/>
      </c>
      <c r="F5136" s="23" t="str">
        <f>IF(OR(E5136="",E5136="!!!"),"",IF(NOT(ISNA(VLOOKUP(E5136,E$1:E5135,1,FALSE()))),"OLD",IF(AND(E5136&lt;&gt;"",E5136&lt;&gt;"!!!"),"NEW","")))</f>
        <v> </v>
      </c>
      <c r="G5136" s="24" t="str">
        <f>IF(OR(E5136="",E5136="!!!"),"",IF(OR(J5136=0,AND(J5136=1,K5136=1),AND(J5136=1,I5136="SBJ"),AND(J5136=1,I5136=0)),"?IN_FOCUS",IF(J5136&lt;=2,"?ACTIVATED",IF(J5136&lt;&gt;"","?FAMILIAR",IF(F5136="NEW",IF(ISNA(VLOOKUP(E5136,#REF!,1,FALSE())),"?TYPE_IDENTIFIABLE","?REFERENTIAL"),"_")))))</f>
        <v> </v>
      </c>
      <c r="H5136" s="25" t="str">
        <f>IF(J5136&lt;&gt;1,"",IF(I5136="SBJ","CB","?"))</f>
        <v> </v>
      </c>
      <c r="I5136" s="26" t="str">
        <f>IF(OR(E5136="",E5136="!!!",F5136="NEW"),"",INDEX(B5135:B$2,-1+SUMPRODUCT(MAX(ROW(E5135:E$2)*(E5136=E5135:E$2)))))</f>
        <v> </v>
      </c>
      <c r="J5136" s="26" t="str">
        <f>IF(OR(E5136="",E5136="!!!",F5136="NEW"),"",COUNTBLANK(OFFSET(A$1,,,SUMPRODUCT(MAX(ROW(E$2:E5136)*(E5136=E$2:E5136)))))-COUNTBLANK(OFFSET(A$1,,,SUMPRODUCT(MAX(ROW(E$1:E5135)*(E2=E$1:E5135))))))</f>
        <v> </v>
      </c>
      <c r="K5136" s="26" t="str">
        <f>IF(OR(E5136="",E5136="!!!",F5136="NEW"),"",INDEX(J$1:J5135,SUMPRODUCT(MAX(ROW(E$1:E5135)*(E5136=E$1:E5135)))))</f>
        <v> </v>
      </c>
      <c r="L5136" s="27"/>
    </row>
    <row r="5137" spans="1:12">
      <c r="A5137" s="20" t="s">
        <v>1025</v>
      </c>
      <c r="B5137" s="21" t="s">
        <v>1051</v>
      </c>
      <c r="C5137" s="21" t="s">
        <v>1026</v>
      </c>
      <c r="D5137" s="21" t="s">
        <v>1011</v>
      </c>
      <c r="E5137" s="22">
        <f>IF(D5137="?OLD","!!!","")</f>
        <v/>
      </c>
      <c r="F5137" s="23" t="str">
        <f>IF(OR(E5137="",E5137="!!!"),"",IF(NOT(ISNA(VLOOKUP(E5137,E$1:E5136,1,FALSE()))),"OLD",IF(AND(E5137&lt;&gt;"",E5137&lt;&gt;"!!!"),"NEW","")))</f>
        <v> </v>
      </c>
      <c r="G5137" s="24" t="str">
        <f>IF(OR(E5137="",E5137="!!!"),"",IF(OR(J5137=0,AND(J5137=1,K5137=1),AND(J5137=1,I5137="SBJ"),AND(J5137=1,I5137=0)),"?IN_FOCUS",IF(J5137&lt;=2,"?ACTIVATED",IF(J5137&lt;&gt;"","?FAMILIAR",IF(F5137="NEW",IF(ISNA(VLOOKUP(E5137,#REF!,1,FALSE())),"?TYPE_IDENTIFIABLE","?REFERENTIAL"),"_")))))</f>
        <v> </v>
      </c>
      <c r="H5137" s="25" t="str">
        <f>IF(J5137&lt;&gt;1,"",IF(I5137="SBJ","CB","?"))</f>
        <v> </v>
      </c>
      <c r="I5137" s="26" t="str">
        <f>IF(OR(E5137="",E5137="!!!",F5137="NEW"),"",INDEX(B5136:B$2,-1+SUMPRODUCT(MAX(ROW(E5136:E$2)*(E5137=E5136:E$2)))))</f>
        <v> </v>
      </c>
      <c r="J5137" s="26" t="str">
        <f>IF(OR(E5137="",E5137="!!!",F5137="NEW"),"",COUNTBLANK(OFFSET(A$1,,,SUMPRODUCT(MAX(ROW(E$2:E5137)*(E5137=E$2:E5137)))))-COUNTBLANK(OFFSET(A$1,,,SUMPRODUCT(MAX(ROW(E$1:E5136)*(E2=E$1:E5136))))))</f>
        <v> </v>
      </c>
      <c r="K5137" s="26" t="str">
        <f>IF(OR(E5137="",E5137="!!!",F5137="NEW"),"",INDEX(J$1:J5136,SUMPRODUCT(MAX(ROW(E$1:E5136)*(E5137=E$1:E5136)))))</f>
        <v> </v>
      </c>
      <c r="L5137" s="27"/>
    </row>
    <row r="5138" spans="1:12">
      <c r="A5138" s="20" t="s">
        <v>1022</v>
      </c>
      <c r="E5138" s="22">
        <f>IF(D5138="?OLD","!!!","")</f>
        <v/>
      </c>
      <c r="F5138" s="23" t="str">
        <f>IF(OR(E5138="",E5138="!!!"),"",IF(NOT(ISNA(VLOOKUP(E5138,E$1:E5137,1,FALSE()))),"OLD",IF(AND(E5138&lt;&gt;"",E5138&lt;&gt;"!!!"),"NEW","")))</f>
        <v> </v>
      </c>
      <c r="G5138" s="24" t="str">
        <f>IF(OR(E5138="",E5138="!!!"),"",IF(OR(J5138=0,AND(J5138=1,K5138=1),AND(J5138=1,I5138="SBJ"),AND(J5138=1,I5138=0)),"?IN_FOCUS",IF(J5138&lt;=2,"?ACTIVATED",IF(J5138&lt;&gt;"","?FAMILIAR",IF(F5138="NEW",IF(ISNA(VLOOKUP(E5138,#REF!,1,FALSE())),"?TYPE_IDENTIFIABLE","?REFERENTIAL"),"_")))))</f>
        <v> </v>
      </c>
      <c r="H5138" s="25" t="str">
        <f>IF(J5138&lt;&gt;1,"",IF(I5138="SBJ","CB","?"))</f>
        <v> </v>
      </c>
      <c r="I5138" s="26" t="str">
        <f>IF(OR(E5138="",E5138="!!!",F5138="NEW"),"",INDEX(B5137:B$2,-1+SUMPRODUCT(MAX(ROW(E5137:E$2)*(E5138=E5137:E$2)))))</f>
        <v> </v>
      </c>
      <c r="J5138" s="26" t="str">
        <f>IF(OR(E5138="",E5138="!!!",F5138="NEW"),"",COUNTBLANK(OFFSET(A$1,,,SUMPRODUCT(MAX(ROW(E$2:E5138)*(E5138=E$2:E5138)))))-COUNTBLANK(OFFSET(A$1,,,SUMPRODUCT(MAX(ROW(E$1:E5137)*(E2=E$1:E5137))))))</f>
        <v> </v>
      </c>
      <c r="K5138" s="26" t="str">
        <f>IF(OR(E5138="",E5138="!!!",F5138="NEW"),"",INDEX(J$1:J5137,SUMPRODUCT(MAX(ROW(E$1:E5137)*(E5138=E$1:E5137)))))</f>
        <v> </v>
      </c>
      <c r="L5138" s="27"/>
    </row>
    <row r="5139" spans="1:12">
      <c r="A5139" s="20"/>
    </row>
    <row r="5140" spans="1:12">
      <c r="A5140" s="20" t="s">
        <v>2175</v>
      </c>
    </row>
    <row r="5141" spans="1:12">
      <c r="A5141" s="20" t="s">
        <v>1430</v>
      </c>
      <c r="E5141" s="22">
        <f>IF(D5141="?OLD","!!!","")</f>
        <v/>
      </c>
      <c r="F5141" s="23" t="str">
        <f>IF(OR(E5141="",E5141="!!!"),"",IF(NOT(ISNA(VLOOKUP(E5141,E$1:E5140,1,FALSE()))),"OLD",IF(AND(E5141&lt;&gt;"",E5141&lt;&gt;"!!!"),"NEW","")))</f>
        <v> </v>
      </c>
      <c r="G5141" s="24" t="str">
        <f>IF(OR(E5141="",E5141="!!!"),"",IF(OR(J5141=0,AND(J5141=1,K5141=1),AND(J5141=1,I5141="SBJ"),AND(J5141=1,I5141=0)),"?IN_FOCUS",IF(J5141&lt;=2,"?ACTIVATED",IF(J5141&lt;&gt;"","?FAMILIAR",IF(F5141="NEW",IF(ISNA(VLOOKUP(E5141,#REF!,1,FALSE())),"?TYPE_IDENTIFIABLE","?REFERENTIAL"),"_")))))</f>
        <v> </v>
      </c>
      <c r="H5141" s="25" t="str">
        <f>IF(J5141&lt;&gt;1,"",IF(I5141="SBJ","CB","?"))</f>
        <v> </v>
      </c>
      <c r="I5141" s="26" t="str">
        <f>IF(OR(E5141="",E5141="!!!",F5141="NEW"),"",INDEX(B5140:B$2,-1+SUMPRODUCT(MAX(ROW(E5140:E$2)*(E5141=E5140:E$2)))))</f>
        <v> </v>
      </c>
      <c r="J5141" s="26" t="str">
        <f>IF(OR(E5141="",E5141="!!!",F5141="NEW"),"",COUNTBLANK(OFFSET(A$1,,,SUMPRODUCT(MAX(ROW(E$2:E5141)*(E5141=E$2:E5141)))))-COUNTBLANK(OFFSET(A$1,,,SUMPRODUCT(MAX(ROW(E$1:E5140)*(E2=E$1:E5140))))))</f>
        <v> </v>
      </c>
      <c r="K5141" s="26" t="str">
        <f>IF(OR(E5141="",E5141="!!!",F5141="NEW"),"",INDEX(J$1:J5140,SUMPRODUCT(MAX(ROW(E$1:E5140)*(E5141=E$1:E5140)))))</f>
        <v> </v>
      </c>
      <c r="L5141" s="27"/>
    </row>
    <row r="5142" spans="1:12">
      <c r="A5142" s="20" t="s">
        <v>122</v>
      </c>
      <c r="B5142" s="21" t="s">
        <v>1009</v>
      </c>
      <c r="C5142" s="21" t="s">
        <v>1092</v>
      </c>
      <c r="E5142" s="22">
        <f>IF(D5142="?OLD","!!!","")</f>
        <v/>
      </c>
      <c r="F5142" s="23" t="str">
        <f>IF(OR(E5142="",E5142="!!!"),"",IF(NOT(ISNA(VLOOKUP(E5142,E$1:E5141,1,FALSE()))),"OLD",IF(AND(E5142&lt;&gt;"",E5142&lt;&gt;"!!!"),"NEW","")))</f>
        <v> </v>
      </c>
      <c r="G5142" s="24" t="str">
        <f>IF(OR(E5142="",E5142="!!!"),"",IF(OR(J5142=0,AND(J5142=1,K5142=1),AND(J5142=1,I5142="SBJ"),AND(J5142=1,I5142=0)),"?IN_FOCUS",IF(J5142&lt;=2,"?ACTIVATED",IF(J5142&lt;&gt;"","?FAMILIAR",IF(F5142="NEW",IF(ISNA(VLOOKUP(E5142,#REF!,1,FALSE())),"?TYPE_IDENTIFIABLE","?REFERENTIAL"),"_")))))</f>
        <v> </v>
      </c>
      <c r="H5142" s="25" t="str">
        <f>IF(J5142&lt;&gt;1,"",IF(I5142="SBJ","CB","?"))</f>
        <v> </v>
      </c>
      <c r="I5142" s="26" t="str">
        <f>IF(OR(E5142="",E5142="!!!",F5142="NEW"),"",INDEX(B5141:B$2,-1+SUMPRODUCT(MAX(ROW(E5141:E$2)*(E5142=E5141:E$2)))))</f>
        <v> </v>
      </c>
      <c r="J5142" s="26" t="str">
        <f>IF(OR(E5142="",E5142="!!!",F5142="NEW"),"",COUNTBLANK(OFFSET(A$1,,,SUMPRODUCT(MAX(ROW(E$2:E5142)*(E5142=E$2:E5142)))))-COUNTBLANK(OFFSET(A$1,,,SUMPRODUCT(MAX(ROW(E$1:E5141)*(E2=E$1:E5141))))))</f>
        <v> </v>
      </c>
      <c r="K5142" s="26" t="str">
        <f>IF(OR(E5142="",E5142="!!!",F5142="NEW"),"",INDEX(J$1:J5141,SUMPRODUCT(MAX(ROW(E$1:E5141)*(E5142=E$1:E5141)))))</f>
        <v> </v>
      </c>
      <c r="L5142" s="27"/>
    </row>
    <row r="5143" spans="1:12">
      <c r="A5143" s="20" t="s">
        <v>883</v>
      </c>
      <c r="E5143" s="22">
        <f>IF(D5143="?OLD","!!!","")</f>
        <v/>
      </c>
      <c r="F5143" s="23" t="str">
        <f>IF(OR(E5143="",E5143="!!!"),"",IF(NOT(ISNA(VLOOKUP(E5143,E$1:E5142,1,FALSE()))),"OLD",IF(AND(E5143&lt;&gt;"",E5143&lt;&gt;"!!!"),"NEW","")))</f>
        <v> </v>
      </c>
      <c r="G5143" s="24" t="str">
        <f>IF(OR(E5143="",E5143="!!!"),"",IF(OR(J5143=0,AND(J5143=1,K5143=1),AND(J5143=1,I5143="SBJ"),AND(J5143=1,I5143=0)),"?IN_FOCUS",IF(J5143&lt;=2,"?ACTIVATED",IF(J5143&lt;&gt;"","?FAMILIAR",IF(F5143="NEW",IF(ISNA(VLOOKUP(E5143,#REF!,1,FALSE())),"?TYPE_IDENTIFIABLE","?REFERENTIAL"),"_")))))</f>
        <v> </v>
      </c>
      <c r="H5143" s="25" t="str">
        <f>IF(J5143&lt;&gt;1,"",IF(I5143="SBJ","CB","?"))</f>
        <v> </v>
      </c>
      <c r="I5143" s="26" t="str">
        <f>IF(OR(E5143="",E5143="!!!",F5143="NEW"),"",INDEX(B5142:B$2,-1+SUMPRODUCT(MAX(ROW(E5142:E$2)*(E5143=E5142:E$2)))))</f>
        <v> </v>
      </c>
      <c r="J5143" s="26" t="str">
        <f>IF(OR(E5143="",E5143="!!!",F5143="NEW"),"",COUNTBLANK(OFFSET(A$1,,,SUMPRODUCT(MAX(ROW(E$2:E5143)*(E5143=E$2:E5143)))))-COUNTBLANK(OFFSET(A$1,,,SUMPRODUCT(MAX(ROW(E$1:E5142)*(E2=E$1:E5142))))))</f>
        <v> </v>
      </c>
      <c r="K5143" s="26" t="str">
        <f>IF(OR(E5143="",E5143="!!!",F5143="NEW"),"",INDEX(J$1:J5142,SUMPRODUCT(MAX(ROW(E$1:E5142)*(E5143=E$1:E5142)))))</f>
        <v> </v>
      </c>
      <c r="L5143" s="27"/>
    </row>
    <row r="5144" spans="1:12">
      <c r="A5144" s="20" t="s">
        <v>1137</v>
      </c>
      <c r="B5144" s="21" t="s">
        <v>1039</v>
      </c>
      <c r="C5144" s="21" t="s">
        <v>1010</v>
      </c>
      <c r="D5144" s="21" t="s">
        <v>1011</v>
      </c>
      <c r="E5144" s="22">
        <f>IF(D5144="?OLD","!!!","")</f>
        <v/>
      </c>
      <c r="F5144" s="23" t="str">
        <f>IF(OR(E5144="",E5144="!!!"),"",IF(NOT(ISNA(VLOOKUP(E5144,E$1:E5143,1,FALSE()))),"OLD",IF(AND(E5144&lt;&gt;"",E5144&lt;&gt;"!!!"),"NEW","")))</f>
        <v> </v>
      </c>
      <c r="G5144" s="24" t="str">
        <f>IF(OR(E5144="",E5144="!!!"),"",IF(OR(J5144=0,AND(J5144=1,K5144=1),AND(J5144=1,I5144="SBJ"),AND(J5144=1,I5144=0)),"?IN_FOCUS",IF(J5144&lt;=2,"?ACTIVATED",IF(J5144&lt;&gt;"","?FAMILIAR",IF(F5144="NEW",IF(ISNA(VLOOKUP(E5144,#REF!,1,FALSE())),"?TYPE_IDENTIFIABLE","?REFERENTIAL"),"_")))))</f>
        <v> </v>
      </c>
      <c r="H5144" s="25" t="str">
        <f>IF(J5144&lt;&gt;1,"",IF(I5144="SBJ","CB","?"))</f>
        <v> </v>
      </c>
      <c r="I5144" s="26" t="str">
        <f>IF(OR(E5144="",E5144="!!!",F5144="NEW"),"",INDEX(B5143:B$2,-1+SUMPRODUCT(MAX(ROW(E5143:E$2)*(E5144=E5143:E$2)))))</f>
        <v> </v>
      </c>
      <c r="J5144" s="26" t="str">
        <f>IF(OR(E5144="",E5144="!!!",F5144="NEW"),"",COUNTBLANK(OFFSET(A$1,,,SUMPRODUCT(MAX(ROW(E$2:E5144)*(E5144=E$2:E5144)))))-COUNTBLANK(OFFSET(A$1,,,SUMPRODUCT(MAX(ROW(E$1:E5143)*(E2=E$1:E5143))))))</f>
        <v> </v>
      </c>
      <c r="K5144" s="26" t="str">
        <f>IF(OR(E5144="",E5144="!!!",F5144="NEW"),"",INDEX(J$1:J5143,SUMPRODUCT(MAX(ROW(E$1:E5143)*(E5144=E$1:E5143)))))</f>
        <v> </v>
      </c>
      <c r="L5144" s="27"/>
    </row>
    <row r="5145" spans="1:12">
      <c r="A5145" s="20" t="s">
        <v>1590</v>
      </c>
      <c r="E5145" s="22">
        <f>IF(D5145="?OLD","!!!","")</f>
        <v/>
      </c>
      <c r="F5145" s="23" t="str">
        <f>IF(OR(E5145="",E5145="!!!"),"",IF(NOT(ISNA(VLOOKUP(E5145,E$1:E5144,1,FALSE()))),"OLD",IF(AND(E5145&lt;&gt;"",E5145&lt;&gt;"!!!"),"NEW","")))</f>
        <v> </v>
      </c>
      <c r="G5145" s="24" t="str">
        <f>IF(OR(E5145="",E5145="!!!"),"",IF(OR(J5145=0,AND(J5145=1,K5145=1),AND(J5145=1,I5145="SBJ"),AND(J5145=1,I5145=0)),"?IN_FOCUS",IF(J5145&lt;=2,"?ACTIVATED",IF(J5145&lt;&gt;"","?FAMILIAR",IF(F5145="NEW",IF(ISNA(VLOOKUP(E5145,#REF!,1,FALSE())),"?TYPE_IDENTIFIABLE","?REFERENTIAL"),"_")))))</f>
        <v> </v>
      </c>
      <c r="H5145" s="25" t="str">
        <f>IF(J5145&lt;&gt;1,"",IF(I5145="SBJ","CB","?"))</f>
        <v> </v>
      </c>
      <c r="I5145" s="26" t="str">
        <f>IF(OR(E5145="",E5145="!!!",F5145="NEW"),"",INDEX(B5144:B$2,-1+SUMPRODUCT(MAX(ROW(E5144:E$2)*(E5145=E5144:E$2)))))</f>
        <v> </v>
      </c>
      <c r="J5145" s="26" t="str">
        <f>IF(OR(E5145="",E5145="!!!",F5145="NEW"),"",COUNTBLANK(OFFSET(A$1,,,SUMPRODUCT(MAX(ROW(E$2:E5145)*(E5145=E$2:E5145)))))-COUNTBLANK(OFFSET(A$1,,,SUMPRODUCT(MAX(ROW(E$1:E5144)*(E2=E$1:E5144))))))</f>
        <v> </v>
      </c>
      <c r="K5145" s="26" t="str">
        <f>IF(OR(E5145="",E5145="!!!",F5145="NEW"),"",INDEX(J$1:J5144,SUMPRODUCT(MAX(ROW(E$1:E5144)*(E5145=E$1:E5144)))))</f>
        <v> </v>
      </c>
      <c r="L5145" s="27"/>
    </row>
    <row r="5146" spans="1:12">
      <c r="A5146" s="20" t="s">
        <v>1097</v>
      </c>
      <c r="E5146" s="22">
        <f>IF(D5146="?OLD","!!!","")</f>
        <v/>
      </c>
      <c r="F5146" s="23" t="str">
        <f>IF(OR(E5146="",E5146="!!!"),"",IF(NOT(ISNA(VLOOKUP(E5146,E$1:E5145,1,FALSE()))),"OLD",IF(AND(E5146&lt;&gt;"",E5146&lt;&gt;"!!!"),"NEW","")))</f>
        <v> </v>
      </c>
      <c r="G5146" s="24" t="str">
        <f>IF(OR(E5146="",E5146="!!!"),"",IF(OR(J5146=0,AND(J5146=1,K5146=1),AND(J5146=1,I5146="SBJ"),AND(J5146=1,I5146=0)),"?IN_FOCUS",IF(J5146&lt;=2,"?ACTIVATED",IF(J5146&lt;&gt;"","?FAMILIAR",IF(F5146="NEW",IF(ISNA(VLOOKUP(E5146,#REF!,1,FALSE())),"?TYPE_IDENTIFIABLE","?REFERENTIAL"),"_")))))</f>
        <v> </v>
      </c>
      <c r="H5146" s="25" t="str">
        <f>IF(J5146&lt;&gt;1,"",IF(I5146="SBJ","CB","?"))</f>
        <v> </v>
      </c>
      <c r="I5146" s="26" t="str">
        <f>IF(OR(E5146="",E5146="!!!",F5146="NEW"),"",INDEX(B5145:B$2,-1+SUMPRODUCT(MAX(ROW(E5145:E$2)*(E5146=E5145:E$2)))))</f>
        <v> </v>
      </c>
      <c r="J5146" s="26" t="str">
        <f>IF(OR(E5146="",E5146="!!!",F5146="NEW"),"",COUNTBLANK(OFFSET(A$1,,,SUMPRODUCT(MAX(ROW(E$2:E5146)*(E5146=E$2:E5146)))))-COUNTBLANK(OFFSET(A$1,,,SUMPRODUCT(MAX(ROW(E$1:E5145)*(E2=E$1:E5145))))))</f>
        <v> </v>
      </c>
      <c r="K5146" s="26" t="str">
        <f>IF(OR(E5146="",E5146="!!!",F5146="NEW"),"",INDEX(J$1:J5145,SUMPRODUCT(MAX(ROW(E$1:E5145)*(E5146=E$1:E5145)))))</f>
        <v> </v>
      </c>
      <c r="L5146" s="27"/>
    </row>
    <row r="5147" spans="1:12">
      <c r="A5147" s="20" t="s">
        <v>1166</v>
      </c>
      <c r="E5147" s="22">
        <f>IF(D5147="?OLD","!!!","")</f>
        <v/>
      </c>
      <c r="F5147" s="23" t="str">
        <f>IF(OR(E5147="",E5147="!!!"),"",IF(NOT(ISNA(VLOOKUP(E5147,E$1:E5146,1,FALSE()))),"OLD",IF(AND(E5147&lt;&gt;"",E5147&lt;&gt;"!!!"),"NEW","")))</f>
        <v> </v>
      </c>
      <c r="G5147" s="24" t="str">
        <f>IF(OR(E5147="",E5147="!!!"),"",IF(OR(J5147=0,AND(J5147=1,K5147=1),AND(J5147=1,I5147="SBJ"),AND(J5147=1,I5147=0)),"?IN_FOCUS",IF(J5147&lt;=2,"?ACTIVATED",IF(J5147&lt;&gt;"","?FAMILIAR",IF(F5147="NEW",IF(ISNA(VLOOKUP(E5147,#REF!,1,FALSE())),"?TYPE_IDENTIFIABLE","?REFERENTIAL"),"_")))))</f>
        <v> </v>
      </c>
      <c r="H5147" s="25" t="str">
        <f>IF(J5147&lt;&gt;1,"",IF(I5147="SBJ","CB","?"))</f>
        <v> </v>
      </c>
      <c r="I5147" s="26" t="str">
        <f>IF(OR(E5147="",E5147="!!!",F5147="NEW"),"",INDEX(B5146:B$2,-1+SUMPRODUCT(MAX(ROW(E5146:E$2)*(E5147=E5146:E$2)))))</f>
        <v> </v>
      </c>
      <c r="J5147" s="26" t="str">
        <f>IF(OR(E5147="",E5147="!!!",F5147="NEW"),"",COUNTBLANK(OFFSET(A$1,,,SUMPRODUCT(MAX(ROW(E$2:E5147)*(E5147=E$2:E5147)))))-COUNTBLANK(OFFSET(A$1,,,SUMPRODUCT(MAX(ROW(E$1:E5146)*(E2=E$1:E5146))))))</f>
        <v> </v>
      </c>
      <c r="K5147" s="26" t="str">
        <f>IF(OR(E5147="",E5147="!!!",F5147="NEW"),"",INDEX(J$1:J5146,SUMPRODUCT(MAX(ROW(E$1:E5146)*(E5147=E$1:E5146)))))</f>
        <v> </v>
      </c>
      <c r="L5147" s="27"/>
    </row>
    <row r="5148" spans="1:12">
      <c r="A5148" s="20" t="s">
        <v>1038</v>
      </c>
      <c r="E5148" s="22">
        <f>IF(D5148="?OLD","!!!","")</f>
        <v/>
      </c>
      <c r="F5148" s="23" t="str">
        <f>IF(OR(E5148="",E5148="!!!"),"",IF(NOT(ISNA(VLOOKUP(E5148,E$1:E5147,1,FALSE()))),"OLD",IF(AND(E5148&lt;&gt;"",E5148&lt;&gt;"!!!"),"NEW","")))</f>
        <v> </v>
      </c>
      <c r="G5148" s="24" t="str">
        <f>IF(OR(E5148="",E5148="!!!"),"",IF(OR(J5148=0,AND(J5148=1,K5148=1),AND(J5148=1,I5148="SBJ"),AND(J5148=1,I5148=0)),"?IN_FOCUS",IF(J5148&lt;=2,"?ACTIVATED",IF(J5148&lt;&gt;"","?FAMILIAR",IF(F5148="NEW",IF(ISNA(VLOOKUP(E5148,#REF!,1,FALSE())),"?TYPE_IDENTIFIABLE","?REFERENTIAL"),"_")))))</f>
        <v> </v>
      </c>
      <c r="H5148" s="25" t="str">
        <f>IF(J5148&lt;&gt;1,"",IF(I5148="SBJ","CB","?"))</f>
        <v> </v>
      </c>
      <c r="I5148" s="26" t="str">
        <f>IF(OR(E5148="",E5148="!!!",F5148="NEW"),"",INDEX(B5147:B$2,-1+SUMPRODUCT(MAX(ROW(E5147:E$2)*(E5148=E5147:E$2)))))</f>
        <v> </v>
      </c>
      <c r="J5148" s="26" t="str">
        <f>IF(OR(E5148="",E5148="!!!",F5148="NEW"),"",COUNTBLANK(OFFSET(A$1,,,SUMPRODUCT(MAX(ROW(E$2:E5148)*(E5148=E$2:E5148)))))-COUNTBLANK(OFFSET(A$1,,,SUMPRODUCT(MAX(ROW(E$1:E5147)*(E2=E$1:E5147))))))</f>
        <v> </v>
      </c>
      <c r="K5148" s="26" t="str">
        <f>IF(OR(E5148="",E5148="!!!",F5148="NEW"),"",INDEX(J$1:J5147,SUMPRODUCT(MAX(ROW(E$1:E5147)*(E5148=E$1:E5147)))))</f>
        <v> </v>
      </c>
      <c r="L5148" s="27"/>
    </row>
    <row r="5149" spans="1:12">
      <c r="A5149" s="20" t="s">
        <v>1081</v>
      </c>
      <c r="E5149" s="22">
        <f>IF(D5149="?OLD","!!!","")</f>
        <v/>
      </c>
      <c r="F5149" s="23" t="str">
        <f>IF(OR(E5149="",E5149="!!!"),"",IF(NOT(ISNA(VLOOKUP(E5149,E$1:E5148,1,FALSE()))),"OLD",IF(AND(E5149&lt;&gt;"",E5149&lt;&gt;"!!!"),"NEW","")))</f>
        <v> </v>
      </c>
      <c r="G5149" s="24" t="str">
        <f>IF(OR(E5149="",E5149="!!!"),"",IF(OR(J5149=0,AND(J5149=1,K5149=1),AND(J5149=1,I5149="SBJ"),AND(J5149=1,I5149=0)),"?IN_FOCUS",IF(J5149&lt;=2,"?ACTIVATED",IF(J5149&lt;&gt;"","?FAMILIAR",IF(F5149="NEW",IF(ISNA(VLOOKUP(E5149,#REF!,1,FALSE())),"?TYPE_IDENTIFIABLE","?REFERENTIAL"),"_")))))</f>
        <v> </v>
      </c>
      <c r="H5149" s="25" t="str">
        <f>IF(J5149&lt;&gt;1,"",IF(I5149="SBJ","CB","?"))</f>
        <v> </v>
      </c>
      <c r="I5149" s="26" t="str">
        <f>IF(OR(E5149="",E5149="!!!",F5149="NEW"),"",INDEX(B5148:B$2,-1+SUMPRODUCT(MAX(ROW(E5148:E$2)*(E5149=E5148:E$2)))))</f>
        <v> </v>
      </c>
      <c r="J5149" s="26" t="str">
        <f>IF(OR(E5149="",E5149="!!!",F5149="NEW"),"",COUNTBLANK(OFFSET(A$1,,,SUMPRODUCT(MAX(ROW(E$2:E5149)*(E5149=E$2:E5149)))))-COUNTBLANK(OFFSET(A$1,,,SUMPRODUCT(MAX(ROW(E$1:E5148)*(E2=E$1:E5148))))))</f>
        <v> </v>
      </c>
      <c r="K5149" s="26" t="str">
        <f>IF(OR(E5149="",E5149="!!!",F5149="NEW"),"",INDEX(J$1:J5148,SUMPRODUCT(MAX(ROW(E$1:E5148)*(E5149=E$1:E5148)))))</f>
        <v> </v>
      </c>
      <c r="L5149" s="27"/>
    </row>
    <row r="5150" spans="1:12">
      <c r="A5150" s="20" t="s">
        <v>1042</v>
      </c>
      <c r="E5150" s="22">
        <f>IF(D5150="?OLD","!!!","")</f>
        <v/>
      </c>
      <c r="F5150" s="23" t="str">
        <f>IF(OR(E5150="",E5150="!!!"),"",IF(NOT(ISNA(VLOOKUP(E5150,E$1:E5149,1,FALSE()))),"OLD",IF(AND(E5150&lt;&gt;"",E5150&lt;&gt;"!!!"),"NEW","")))</f>
        <v> </v>
      </c>
      <c r="G5150" s="24" t="str">
        <f>IF(OR(E5150="",E5150="!!!"),"",IF(OR(J5150=0,AND(J5150=1,K5150=1),AND(J5150=1,I5150="SBJ"),AND(J5150=1,I5150=0)),"?IN_FOCUS",IF(J5150&lt;=2,"?ACTIVATED",IF(J5150&lt;&gt;"","?FAMILIAR",IF(F5150="NEW",IF(ISNA(VLOOKUP(E5150,#REF!,1,FALSE())),"?TYPE_IDENTIFIABLE","?REFERENTIAL"),"_")))))</f>
        <v> </v>
      </c>
      <c r="H5150" s="25" t="str">
        <f>IF(J5150&lt;&gt;1,"",IF(I5150="SBJ","CB","?"))</f>
        <v> </v>
      </c>
      <c r="I5150" s="26" t="str">
        <f>IF(OR(E5150="",E5150="!!!",F5150="NEW"),"",INDEX(B5149:B$2,-1+SUMPRODUCT(MAX(ROW(E5149:E$2)*(E5150=E5149:E$2)))))</f>
        <v> </v>
      </c>
      <c r="J5150" s="26" t="str">
        <f>IF(OR(E5150="",E5150="!!!",F5150="NEW"),"",COUNTBLANK(OFFSET(A$1,,,SUMPRODUCT(MAX(ROW(E$2:E5150)*(E5150=E$2:E5150)))))-COUNTBLANK(OFFSET(A$1,,,SUMPRODUCT(MAX(ROW(E$1:E5149)*(E2=E$1:E5149))))))</f>
        <v> </v>
      </c>
      <c r="K5150" s="26" t="str">
        <f>IF(OR(E5150="",E5150="!!!",F5150="NEW"),"",INDEX(J$1:J5149,SUMPRODUCT(MAX(ROW(E$1:E5149)*(E5150=E$1:E5149)))))</f>
        <v> </v>
      </c>
      <c r="L5150" s="27"/>
    </row>
    <row r="5151" spans="1:12">
      <c r="A5151" s="20" t="s">
        <v>2173</v>
      </c>
      <c r="E5151" s="22">
        <f>IF(D5151="?OLD","!!!","")</f>
        <v/>
      </c>
      <c r="F5151" s="23" t="str">
        <f>IF(OR(E5151="",E5151="!!!"),"",IF(NOT(ISNA(VLOOKUP(E5151,E$1:E5150,1,FALSE()))),"OLD",IF(AND(E5151&lt;&gt;"",E5151&lt;&gt;"!!!"),"NEW","")))</f>
        <v> </v>
      </c>
      <c r="G5151" s="24" t="str">
        <f>IF(OR(E5151="",E5151="!!!"),"",IF(OR(J5151=0,AND(J5151=1,K5151=1),AND(J5151=1,I5151="SBJ"),AND(J5151=1,I5151=0)),"?IN_FOCUS",IF(J5151&lt;=2,"?ACTIVATED",IF(J5151&lt;&gt;"","?FAMILIAR",IF(F5151="NEW",IF(ISNA(VLOOKUP(E5151,#REF!,1,FALSE())),"?TYPE_IDENTIFIABLE","?REFERENTIAL"),"_")))))</f>
        <v> </v>
      </c>
      <c r="H5151" s="25" t="str">
        <f>IF(J5151&lt;&gt;1,"",IF(I5151="SBJ","CB","?"))</f>
        <v> </v>
      </c>
      <c r="I5151" s="26" t="str">
        <f>IF(OR(E5151="",E5151="!!!",F5151="NEW"),"",INDEX(B5150:B$2,-1+SUMPRODUCT(MAX(ROW(E5150:E$2)*(E5151=E5150:E$2)))))</f>
        <v> </v>
      </c>
      <c r="J5151" s="26" t="str">
        <f>IF(OR(E5151="",E5151="!!!",F5151="NEW"),"",COUNTBLANK(OFFSET(A$1,,,SUMPRODUCT(MAX(ROW(E$2:E5151)*(E5151=E$2:E5151)))))-COUNTBLANK(OFFSET(A$1,,,SUMPRODUCT(MAX(ROW(E$1:E5150)*(E2=E$1:E5150))))))</f>
        <v> </v>
      </c>
      <c r="K5151" s="26" t="str">
        <f>IF(OR(E5151="",E5151="!!!",F5151="NEW"),"",INDEX(J$1:J5150,SUMPRODUCT(MAX(ROW(E$1:E5150)*(E5151=E$1:E5150)))))</f>
        <v> </v>
      </c>
      <c r="L5151" s="27"/>
    </row>
    <row r="5152" spans="1:12">
      <c r="A5152" s="20" t="s">
        <v>2174</v>
      </c>
      <c r="B5152" s="21" t="s">
        <v>1016</v>
      </c>
      <c r="C5152" s="21" t="s">
        <v>1044</v>
      </c>
      <c r="D5152" s="21" t="s">
        <v>1011</v>
      </c>
      <c r="E5152" s="22">
        <f>IF(D5152="?OLD","!!!","")</f>
        <v/>
      </c>
      <c r="F5152" s="23" t="str">
        <f>IF(OR(E5152="",E5152="!!!"),"",IF(NOT(ISNA(VLOOKUP(E5152,E$1:E5151,1,FALSE()))),"OLD",IF(AND(E5152&lt;&gt;"",E5152&lt;&gt;"!!!"),"NEW","")))</f>
        <v> </v>
      </c>
      <c r="G5152" s="24" t="str">
        <f>IF(OR(E5152="",E5152="!!!"),"",IF(OR(J5152=0,AND(J5152=1,K5152=1),AND(J5152=1,I5152="SBJ"),AND(J5152=1,I5152=0)),"?IN_FOCUS",IF(J5152&lt;=2,"?ACTIVATED",IF(J5152&lt;&gt;"","?FAMILIAR",IF(F5152="NEW",IF(ISNA(VLOOKUP(E5152,#REF!,1,FALSE())),"?TYPE_IDENTIFIABLE","?REFERENTIAL"),"_")))))</f>
        <v> </v>
      </c>
      <c r="H5152" s="25" t="str">
        <f>IF(J5152&lt;&gt;1,"",IF(I5152="SBJ","CB","?"))</f>
        <v> </v>
      </c>
      <c r="I5152" s="26" t="str">
        <f>IF(OR(E5152="",E5152="!!!",F5152="NEW"),"",INDEX(B5151:B$2,-1+SUMPRODUCT(MAX(ROW(E5151:E$2)*(E5152=E5151:E$2)))))</f>
        <v> </v>
      </c>
      <c r="J5152" s="26" t="str">
        <f>IF(OR(E5152="",E5152="!!!",F5152="NEW"),"",COUNTBLANK(OFFSET(A$1,,,SUMPRODUCT(MAX(ROW(E$2:E5152)*(E5152=E$2:E5152)))))-COUNTBLANK(OFFSET(A$1,,,SUMPRODUCT(MAX(ROW(E$1:E5151)*(E2=E$1:E5151))))))</f>
        <v> </v>
      </c>
      <c r="K5152" s="26" t="str">
        <f>IF(OR(E5152="",E5152="!!!",F5152="NEW"),"",INDEX(J$1:J5151,SUMPRODUCT(MAX(ROW(E$1:E5151)*(E5152=E$1:E5151)))))</f>
        <v> </v>
      </c>
      <c r="L5152" s="27"/>
    </row>
    <row r="5153" spans="1:12">
      <c r="A5153" s="20" t="s">
        <v>1033</v>
      </c>
      <c r="E5153" s="22">
        <f>IF(D5153="?OLD","!!!","")</f>
        <v/>
      </c>
      <c r="F5153" s="23" t="str">
        <f>IF(OR(E5153="",E5153="!!!"),"",IF(NOT(ISNA(VLOOKUP(E5153,E$1:E5152,1,FALSE()))),"OLD",IF(AND(E5153&lt;&gt;"",E5153&lt;&gt;"!!!"),"NEW","")))</f>
        <v> </v>
      </c>
      <c r="G5153" s="24" t="str">
        <f>IF(OR(E5153="",E5153="!!!"),"",IF(OR(J5153=0,AND(J5153=1,K5153=1),AND(J5153=1,I5153="SBJ"),AND(J5153=1,I5153=0)),"?IN_FOCUS",IF(J5153&lt;=2,"?ACTIVATED",IF(J5153&lt;&gt;"","?FAMILIAR",IF(F5153="NEW",IF(ISNA(VLOOKUP(E5153,#REF!,1,FALSE())),"?TYPE_IDENTIFIABLE","?REFERENTIAL"),"_")))))</f>
        <v> </v>
      </c>
      <c r="H5153" s="25" t="str">
        <f>IF(J5153&lt;&gt;1,"",IF(I5153="SBJ","CB","?"))</f>
        <v> </v>
      </c>
      <c r="I5153" s="26" t="str">
        <f>IF(OR(E5153="",E5153="!!!",F5153="NEW"),"",INDEX(B5152:B$2,-1+SUMPRODUCT(MAX(ROW(E5152:E$2)*(E5153=E5152:E$2)))))</f>
        <v> </v>
      </c>
      <c r="J5153" s="26" t="str">
        <f>IF(OR(E5153="",E5153="!!!",F5153="NEW"),"",COUNTBLANK(OFFSET(A$1,,,SUMPRODUCT(MAX(ROW(E$2:E5153)*(E5153=E$2:E5153)))))-COUNTBLANK(OFFSET(A$1,,,SUMPRODUCT(MAX(ROW(E$1:E5152)*(E2=E$1:E5152))))))</f>
        <v> </v>
      </c>
      <c r="K5153" s="26" t="str">
        <f>IF(OR(E5153="",E5153="!!!",F5153="NEW"),"",INDEX(J$1:J5152,SUMPRODUCT(MAX(ROW(E$1:E5152)*(E5153=E$1:E5152)))))</f>
        <v> </v>
      </c>
      <c r="L5153" s="27"/>
    </row>
    <row r="5154" spans="1:12">
      <c r="A5154" s="20" t="s">
        <v>1121</v>
      </c>
      <c r="B5154" s="21" t="s">
        <v>1175</v>
      </c>
      <c r="C5154" s="21" t="s">
        <v>1010</v>
      </c>
      <c r="D5154" s="21" t="s">
        <v>1011</v>
      </c>
      <c r="E5154" s="22">
        <f>IF(D5154="?OLD","!!!","")</f>
        <v/>
      </c>
      <c r="F5154" s="23" t="str">
        <f>IF(OR(E5154="",E5154="!!!"),"",IF(NOT(ISNA(VLOOKUP(E5154,E$1:E5153,1,FALSE()))),"OLD",IF(AND(E5154&lt;&gt;"",E5154&lt;&gt;"!!!"),"NEW","")))</f>
        <v> </v>
      </c>
      <c r="G5154" s="24" t="str">
        <f>IF(OR(E5154="",E5154="!!!"),"",IF(OR(J5154=0,AND(J5154=1,K5154=1),AND(J5154=1,I5154="SBJ"),AND(J5154=1,I5154=0)),"?IN_FOCUS",IF(J5154&lt;=2,"?ACTIVATED",IF(J5154&lt;&gt;"","?FAMILIAR",IF(F5154="NEW",IF(ISNA(VLOOKUP(E5154,#REF!,1,FALSE())),"?TYPE_IDENTIFIABLE","?REFERENTIAL"),"_")))))</f>
        <v> </v>
      </c>
      <c r="H5154" s="25" t="str">
        <f>IF(J5154&lt;&gt;1,"",IF(I5154="SBJ","CB","?"))</f>
        <v> </v>
      </c>
      <c r="I5154" s="26" t="str">
        <f>IF(OR(E5154="",E5154="!!!",F5154="NEW"),"",INDEX(B5153:B$2,-1+SUMPRODUCT(MAX(ROW(E5153:E$2)*(E5154=E5153:E$2)))))</f>
        <v> </v>
      </c>
      <c r="J5154" s="26" t="str">
        <f>IF(OR(E5154="",E5154="!!!",F5154="NEW"),"",COUNTBLANK(OFFSET(A$1,,,SUMPRODUCT(MAX(ROW(E$2:E5154)*(E5154=E$2:E5154)))))-COUNTBLANK(OFFSET(A$1,,,SUMPRODUCT(MAX(ROW(E$1:E5153)*(E2=E$1:E5153))))))</f>
        <v> </v>
      </c>
      <c r="K5154" s="26" t="str">
        <f>IF(OR(E5154="",E5154="!!!",F5154="NEW"),"",INDEX(J$1:J5153,SUMPRODUCT(MAX(ROW(E$1:E5153)*(E5154=E$1:E5153)))))</f>
        <v> </v>
      </c>
      <c r="L5154" s="27"/>
    </row>
    <row r="5155" spans="1:12">
      <c r="A5155" s="20" t="s">
        <v>1027</v>
      </c>
      <c r="E5155" s="22">
        <f>IF(D5155="?OLD","!!!","")</f>
        <v/>
      </c>
      <c r="F5155" s="23" t="str">
        <f>IF(OR(E5155="",E5155="!!!"),"",IF(NOT(ISNA(VLOOKUP(E5155,E$1:E5154,1,FALSE()))),"OLD",IF(AND(E5155&lt;&gt;"",E5155&lt;&gt;"!!!"),"NEW","")))</f>
        <v> </v>
      </c>
      <c r="G5155" s="24" t="str">
        <f>IF(OR(E5155="",E5155="!!!"),"",IF(OR(J5155=0,AND(J5155=1,K5155=1),AND(J5155=1,I5155="SBJ"),AND(J5155=1,I5155=0)),"?IN_FOCUS",IF(J5155&lt;=2,"?ACTIVATED",IF(J5155&lt;&gt;"","?FAMILIAR",IF(F5155="NEW",IF(ISNA(VLOOKUP(E5155,#REF!,1,FALSE())),"?TYPE_IDENTIFIABLE","?REFERENTIAL"),"_")))))</f>
        <v> </v>
      </c>
      <c r="H5155" s="25" t="str">
        <f>IF(J5155&lt;&gt;1,"",IF(I5155="SBJ","CB","?"))</f>
        <v> </v>
      </c>
      <c r="I5155" s="26" t="str">
        <f>IF(OR(E5155="",E5155="!!!",F5155="NEW"),"",INDEX(B5154:B$2,-1+SUMPRODUCT(MAX(ROW(E5154:E$2)*(E5155=E5154:E$2)))))</f>
        <v> </v>
      </c>
      <c r="J5155" s="26" t="str">
        <f>IF(OR(E5155="",E5155="!!!",F5155="NEW"),"",COUNTBLANK(OFFSET(A$1,,,SUMPRODUCT(MAX(ROW(E$2:E5155)*(E5155=E$2:E5155)))))-COUNTBLANK(OFFSET(A$1,,,SUMPRODUCT(MAX(ROW(E$1:E5154)*(E2=E$1:E5154))))))</f>
        <v> </v>
      </c>
      <c r="K5155" s="26" t="str">
        <f>IF(OR(E5155="",E5155="!!!",F5155="NEW"),"",INDEX(J$1:J5154,SUMPRODUCT(MAX(ROW(E$1:E5154)*(E5155=E$1:E5154)))))</f>
        <v> </v>
      </c>
      <c r="L5155" s="27"/>
    </row>
    <row r="5156" spans="1:12">
      <c r="A5156" s="20" t="s">
        <v>338</v>
      </c>
      <c r="E5156" s="22">
        <f>IF(D5156="?OLD","!!!","")</f>
        <v/>
      </c>
      <c r="F5156" s="23" t="str">
        <f>IF(OR(E5156="",E5156="!!!"),"",IF(NOT(ISNA(VLOOKUP(E5156,E$1:E5155,1,FALSE()))),"OLD",IF(AND(E5156&lt;&gt;"",E5156&lt;&gt;"!!!"),"NEW","")))</f>
        <v> </v>
      </c>
      <c r="G5156" s="24" t="str">
        <f>IF(OR(E5156="",E5156="!!!"),"",IF(OR(J5156=0,AND(J5156=1,K5156=1),AND(J5156=1,I5156="SBJ"),AND(J5156=1,I5156=0)),"?IN_FOCUS",IF(J5156&lt;=2,"?ACTIVATED",IF(J5156&lt;&gt;"","?FAMILIAR",IF(F5156="NEW",IF(ISNA(VLOOKUP(E5156,#REF!,1,FALSE())),"?TYPE_IDENTIFIABLE","?REFERENTIAL"),"_")))))</f>
        <v> </v>
      </c>
      <c r="H5156" s="25" t="str">
        <f>IF(J5156&lt;&gt;1,"",IF(I5156="SBJ","CB","?"))</f>
        <v> </v>
      </c>
      <c r="I5156" s="26" t="str">
        <f>IF(OR(E5156="",E5156="!!!",F5156="NEW"),"",INDEX(B5155:B$2,-1+SUMPRODUCT(MAX(ROW(E5155:E$2)*(E5156=E5155:E$2)))))</f>
        <v> </v>
      </c>
      <c r="J5156" s="26" t="str">
        <f>IF(OR(E5156="",E5156="!!!",F5156="NEW"),"",COUNTBLANK(OFFSET(A$1,,,SUMPRODUCT(MAX(ROW(E$2:E5156)*(E5156=E$2:E5156)))))-COUNTBLANK(OFFSET(A$1,,,SUMPRODUCT(MAX(ROW(E$1:E5155)*(E2=E$1:E5155))))))</f>
        <v> </v>
      </c>
      <c r="K5156" s="26" t="str">
        <f>IF(OR(E5156="",E5156="!!!",F5156="NEW"),"",INDEX(J$1:J5155,SUMPRODUCT(MAX(ROW(E$1:E5155)*(E5156=E$1:E5155)))))</f>
        <v> </v>
      </c>
      <c r="L5156" s="27"/>
    </row>
    <row r="5157" spans="1:12">
      <c r="A5157" s="20" t="s">
        <v>1137</v>
      </c>
      <c r="B5157" s="21" t="s">
        <v>1142</v>
      </c>
      <c r="C5157" s="21" t="s">
        <v>1010</v>
      </c>
      <c r="D5157" s="21" t="s">
        <v>1011</v>
      </c>
      <c r="E5157" s="22">
        <f>IF(D5157="?OLD","!!!","")</f>
        <v/>
      </c>
      <c r="F5157" s="23" t="str">
        <f>IF(OR(E5157="",E5157="!!!"),"",IF(NOT(ISNA(VLOOKUP(E5157,E$1:E5156,1,FALSE()))),"OLD",IF(AND(E5157&lt;&gt;"",E5157&lt;&gt;"!!!"),"NEW","")))</f>
        <v> </v>
      </c>
      <c r="G5157" s="24" t="str">
        <f>IF(OR(E5157="",E5157="!!!"),"",IF(OR(J5157=0,AND(J5157=1,K5157=1),AND(J5157=1,I5157="SBJ"),AND(J5157=1,I5157=0)),"?IN_FOCUS",IF(J5157&lt;=2,"?ACTIVATED",IF(J5157&lt;&gt;"","?FAMILIAR",IF(F5157="NEW",IF(ISNA(VLOOKUP(E5157,#REF!,1,FALSE())),"?TYPE_IDENTIFIABLE","?REFERENTIAL"),"_")))))</f>
        <v> </v>
      </c>
      <c r="H5157" s="25" t="str">
        <f>IF(J5157&lt;&gt;1,"",IF(I5157="SBJ","CB","?"))</f>
        <v> </v>
      </c>
      <c r="I5157" s="26" t="str">
        <f>IF(OR(E5157="",E5157="!!!",F5157="NEW"),"",INDEX(B5156:B$2,-1+SUMPRODUCT(MAX(ROW(E5156:E$2)*(E5157=E5156:E$2)))))</f>
        <v> </v>
      </c>
      <c r="J5157" s="26" t="str">
        <f>IF(OR(E5157="",E5157="!!!",F5157="NEW"),"",COUNTBLANK(OFFSET(A$1,,,SUMPRODUCT(MAX(ROW(E$2:E5157)*(E5157=E$2:E5157)))))-COUNTBLANK(OFFSET(A$1,,,SUMPRODUCT(MAX(ROW(E$1:E5156)*(E2=E$1:E5156))))))</f>
        <v> </v>
      </c>
      <c r="K5157" s="26" t="str">
        <f>IF(OR(E5157="",E5157="!!!",F5157="NEW"),"",INDEX(J$1:J5156,SUMPRODUCT(MAX(ROW(E$1:E5156)*(E5157=E$1:E5156)))))</f>
        <v> </v>
      </c>
      <c r="L5157" s="27"/>
    </row>
    <row r="5158" spans="1:12">
      <c r="A5158" s="20" t="s">
        <v>2176</v>
      </c>
      <c r="E5158" s="22">
        <f>IF(D5158="?OLD","!!!","")</f>
        <v/>
      </c>
      <c r="F5158" s="23" t="str">
        <f>IF(OR(E5158="",E5158="!!!"),"",IF(NOT(ISNA(VLOOKUP(E5158,E$1:E5157,1,FALSE()))),"OLD",IF(AND(E5158&lt;&gt;"",E5158&lt;&gt;"!!!"),"NEW","")))</f>
        <v> </v>
      </c>
      <c r="G5158" s="24" t="str">
        <f>IF(OR(E5158="",E5158="!!!"),"",IF(OR(J5158=0,AND(J5158=1,K5158=1),AND(J5158=1,I5158="SBJ"),AND(J5158=1,I5158=0)),"?IN_FOCUS",IF(J5158&lt;=2,"?ACTIVATED",IF(J5158&lt;&gt;"","?FAMILIAR",IF(F5158="NEW",IF(ISNA(VLOOKUP(E5158,#REF!,1,FALSE())),"?TYPE_IDENTIFIABLE","?REFERENTIAL"),"_")))))</f>
        <v> </v>
      </c>
      <c r="H5158" s="25" t="str">
        <f>IF(J5158&lt;&gt;1,"",IF(I5158="SBJ","CB","?"))</f>
        <v> </v>
      </c>
      <c r="I5158" s="26" t="str">
        <f>IF(OR(E5158="",E5158="!!!",F5158="NEW"),"",INDEX(B5157:B$2,-1+SUMPRODUCT(MAX(ROW(E5157:E$2)*(E5158=E5157:E$2)))))</f>
        <v> </v>
      </c>
      <c r="J5158" s="26" t="str">
        <f>IF(OR(E5158="",E5158="!!!",F5158="NEW"),"",COUNTBLANK(OFFSET(A$1,,,SUMPRODUCT(MAX(ROW(E$2:E5158)*(E5158=E$2:E5158)))))-COUNTBLANK(OFFSET(A$1,,,SUMPRODUCT(MAX(ROW(E$1:E5157)*(E2=E$1:E5157))))))</f>
        <v> </v>
      </c>
      <c r="K5158" s="26" t="str">
        <f>IF(OR(E5158="",E5158="!!!",F5158="NEW"),"",INDEX(J$1:J5157,SUMPRODUCT(MAX(ROW(E$1:E5157)*(E5158=E$1:E5157)))))</f>
        <v> </v>
      </c>
      <c r="L5158" s="27"/>
    </row>
    <row r="5159" spans="1:12">
      <c r="A5159" s="20" t="s">
        <v>1032</v>
      </c>
      <c r="E5159" s="22">
        <f>IF(D5159="?OLD","!!!","")</f>
        <v/>
      </c>
      <c r="F5159" s="23" t="str">
        <f>IF(OR(E5159="",E5159="!!!"),"",IF(NOT(ISNA(VLOOKUP(E5159,E$1:E5158,1,FALSE()))),"OLD",IF(AND(E5159&lt;&gt;"",E5159&lt;&gt;"!!!"),"NEW","")))</f>
        <v> </v>
      </c>
      <c r="G5159" s="24" t="str">
        <f>IF(OR(E5159="",E5159="!!!"),"",IF(OR(J5159=0,AND(J5159=1,K5159=1),AND(J5159=1,I5159="SBJ"),AND(J5159=1,I5159=0)),"?IN_FOCUS",IF(J5159&lt;=2,"?ACTIVATED",IF(J5159&lt;&gt;"","?FAMILIAR",IF(F5159="NEW",IF(ISNA(VLOOKUP(E5159,#REF!,1,FALSE())),"?TYPE_IDENTIFIABLE","?REFERENTIAL"),"_")))))</f>
        <v> </v>
      </c>
      <c r="H5159" s="25" t="str">
        <f>IF(J5159&lt;&gt;1,"",IF(I5159="SBJ","CB","?"))</f>
        <v> </v>
      </c>
      <c r="I5159" s="26" t="str">
        <f>IF(OR(E5159="",E5159="!!!",F5159="NEW"),"",INDEX(B5158:B$2,-1+SUMPRODUCT(MAX(ROW(E5158:E$2)*(E5159=E5158:E$2)))))</f>
        <v> </v>
      </c>
      <c r="J5159" s="26" t="str">
        <f>IF(OR(E5159="",E5159="!!!",F5159="NEW"),"",COUNTBLANK(OFFSET(A$1,,,SUMPRODUCT(MAX(ROW(E$2:E5159)*(E5159=E$2:E5159)))))-COUNTBLANK(OFFSET(A$1,,,SUMPRODUCT(MAX(ROW(E$1:E5158)*(E2=E$1:E5158))))))</f>
        <v> </v>
      </c>
      <c r="K5159" s="26" t="str">
        <f>IF(OR(E5159="",E5159="!!!",F5159="NEW"),"",INDEX(J$1:J5158,SUMPRODUCT(MAX(ROW(E$1:E5158)*(E5159=E$1:E5158)))))</f>
        <v> </v>
      </c>
      <c r="L5159" s="27"/>
    </row>
    <row r="5160" spans="1:12">
      <c r="A5160" s="20" t="s">
        <v>1025</v>
      </c>
      <c r="E5160" s="22">
        <f>IF(D5160="?OLD","!!!","")</f>
        <v/>
      </c>
      <c r="F5160" s="23" t="str">
        <f>IF(OR(E5160="",E5160="!!!"),"",IF(NOT(ISNA(VLOOKUP(E5160,E$1:E5159,1,FALSE()))),"OLD",IF(AND(E5160&lt;&gt;"",E5160&lt;&gt;"!!!"),"NEW","")))</f>
        <v> </v>
      </c>
      <c r="G5160" s="24" t="str">
        <f>IF(OR(E5160="",E5160="!!!"),"",IF(OR(J5160=0,AND(J5160=1,K5160=1),AND(J5160=1,I5160="SBJ"),AND(J5160=1,I5160=0)),"?IN_FOCUS",IF(J5160&lt;=2,"?ACTIVATED",IF(J5160&lt;&gt;"","?FAMILIAR",IF(F5160="NEW",IF(ISNA(VLOOKUP(E5160,#REF!,1,FALSE())),"?TYPE_IDENTIFIABLE","?REFERENTIAL"),"_")))))</f>
        <v> </v>
      </c>
      <c r="H5160" s="25" t="str">
        <f>IF(J5160&lt;&gt;1,"",IF(I5160="SBJ","CB","?"))</f>
        <v> </v>
      </c>
      <c r="I5160" s="26" t="str">
        <f>IF(OR(E5160="",E5160="!!!",F5160="NEW"),"",INDEX(B5159:B$2,-1+SUMPRODUCT(MAX(ROW(E5159:E$2)*(E5160=E5159:E$2)))))</f>
        <v> </v>
      </c>
      <c r="J5160" s="26" t="str">
        <f>IF(OR(E5160="",E5160="!!!",F5160="NEW"),"",COUNTBLANK(OFFSET(A$1,,,SUMPRODUCT(MAX(ROW(E$2:E5160)*(E5160=E$2:E5160)))))-COUNTBLANK(OFFSET(A$1,,,SUMPRODUCT(MAX(ROW(E$1:E5159)*(E2=E$1:E5159))))))</f>
        <v> </v>
      </c>
      <c r="K5160" s="26" t="str">
        <f>IF(OR(E5160="",E5160="!!!",F5160="NEW"),"",INDEX(J$1:J5159,SUMPRODUCT(MAX(ROW(E$1:E5159)*(E5160=E$1:E5159)))))</f>
        <v> </v>
      </c>
      <c r="L5160" s="27"/>
    </row>
    <row r="5161" spans="1:12">
      <c r="A5161" s="20" t="s">
        <v>1137</v>
      </c>
      <c r="B5161" s="21" t="s">
        <v>1039</v>
      </c>
      <c r="C5161" s="21" t="s">
        <v>1010</v>
      </c>
      <c r="D5161" s="21" t="s">
        <v>1011</v>
      </c>
      <c r="E5161" s="22">
        <f>IF(D5161="?OLD","!!!","")</f>
        <v/>
      </c>
      <c r="F5161" s="23" t="str">
        <f>IF(OR(E5161="",E5161="!!!"),"",IF(NOT(ISNA(VLOOKUP(E5161,E$1:E5160,1,FALSE()))),"OLD",IF(AND(E5161&lt;&gt;"",E5161&lt;&gt;"!!!"),"NEW","")))</f>
        <v> </v>
      </c>
      <c r="G5161" s="24" t="str">
        <f>IF(OR(E5161="",E5161="!!!"),"",IF(OR(J5161=0,AND(J5161=1,K5161=1),AND(J5161=1,I5161="SBJ"),AND(J5161=1,I5161=0)),"?IN_FOCUS",IF(J5161&lt;=2,"?ACTIVATED",IF(J5161&lt;&gt;"","?FAMILIAR",IF(F5161="NEW",IF(ISNA(VLOOKUP(E5161,#REF!,1,FALSE())),"?TYPE_IDENTIFIABLE","?REFERENTIAL"),"_")))))</f>
        <v> </v>
      </c>
      <c r="H5161" s="25" t="str">
        <f>IF(J5161&lt;&gt;1,"",IF(I5161="SBJ","CB","?"))</f>
        <v> </v>
      </c>
      <c r="I5161" s="26" t="str">
        <f>IF(OR(E5161="",E5161="!!!",F5161="NEW"),"",INDEX(B5160:B$2,-1+SUMPRODUCT(MAX(ROW(E5160:E$2)*(E5161=E5160:E$2)))))</f>
        <v> </v>
      </c>
      <c r="J5161" s="26" t="str">
        <f>IF(OR(E5161="",E5161="!!!",F5161="NEW"),"",COUNTBLANK(OFFSET(A$1,,,SUMPRODUCT(MAX(ROW(E$2:E5161)*(E5161=E$2:E5161)))))-COUNTBLANK(OFFSET(A$1,,,SUMPRODUCT(MAX(ROW(E$1:E5160)*(E2=E$1:E5160))))))</f>
        <v> </v>
      </c>
      <c r="K5161" s="26" t="str">
        <f>IF(OR(E5161="",E5161="!!!",F5161="NEW"),"",INDEX(J$1:J5160,SUMPRODUCT(MAX(ROW(E$1:E5160)*(E5161=E$1:E5160)))))</f>
        <v> </v>
      </c>
      <c r="L5161" s="27"/>
    </row>
    <row r="5162" spans="1:12">
      <c r="A5162" s="20" t="s">
        <v>1745</v>
      </c>
      <c r="E5162" s="22">
        <f>IF(D5162="?OLD","!!!","")</f>
        <v/>
      </c>
      <c r="F5162" s="23" t="str">
        <f>IF(OR(E5162="",E5162="!!!"),"",IF(NOT(ISNA(VLOOKUP(E5162,E$1:E5161,1,FALSE()))),"OLD",IF(AND(E5162&lt;&gt;"",E5162&lt;&gt;"!!!"),"NEW","")))</f>
        <v> </v>
      </c>
      <c r="G5162" s="24" t="str">
        <f>IF(OR(E5162="",E5162="!!!"),"",IF(OR(J5162=0,AND(J5162=1,K5162=1),AND(J5162=1,I5162="SBJ"),AND(J5162=1,I5162=0)),"?IN_FOCUS",IF(J5162&lt;=2,"?ACTIVATED",IF(J5162&lt;&gt;"","?FAMILIAR",IF(F5162="NEW",IF(ISNA(VLOOKUP(E5162,#REF!,1,FALSE())),"?TYPE_IDENTIFIABLE","?REFERENTIAL"),"_")))))</f>
        <v> </v>
      </c>
      <c r="H5162" s="25" t="str">
        <f>IF(J5162&lt;&gt;1,"",IF(I5162="SBJ","CB","?"))</f>
        <v> </v>
      </c>
      <c r="I5162" s="26" t="str">
        <f>IF(OR(E5162="",E5162="!!!",F5162="NEW"),"",INDEX(B5161:B$2,-1+SUMPRODUCT(MAX(ROW(E5161:E$2)*(E5162=E5161:E$2)))))</f>
        <v> </v>
      </c>
      <c r="J5162" s="26" t="str">
        <f>IF(OR(E5162="",E5162="!!!",F5162="NEW"),"",COUNTBLANK(OFFSET(A$1,,,SUMPRODUCT(MAX(ROW(E$2:E5162)*(E5162=E$2:E5162)))))-COUNTBLANK(OFFSET(A$1,,,SUMPRODUCT(MAX(ROW(E$1:E5161)*(E2=E$1:E5161))))))</f>
        <v> </v>
      </c>
      <c r="K5162" s="26" t="str">
        <f>IF(OR(E5162="",E5162="!!!",F5162="NEW"),"",INDEX(J$1:J5161,SUMPRODUCT(MAX(ROW(E$1:E5161)*(E5162=E$1:E5161)))))</f>
        <v> </v>
      </c>
      <c r="L5162" s="27"/>
    </row>
    <row r="5163" spans="1:12">
      <c r="A5163" s="20" t="s">
        <v>2155</v>
      </c>
      <c r="E5163" s="22">
        <f>IF(D5163="?OLD","!!!","")</f>
        <v/>
      </c>
      <c r="F5163" s="23" t="str">
        <f>IF(OR(E5163="",E5163="!!!"),"",IF(NOT(ISNA(VLOOKUP(E5163,E$1:E5162,1,FALSE()))),"OLD",IF(AND(E5163&lt;&gt;"",E5163&lt;&gt;"!!!"),"NEW","")))</f>
        <v> </v>
      </c>
      <c r="G5163" s="24" t="str">
        <f>IF(OR(E5163="",E5163="!!!"),"",IF(OR(J5163=0,AND(J5163=1,K5163=1),AND(J5163=1,I5163="SBJ"),AND(J5163=1,I5163=0)),"?IN_FOCUS",IF(J5163&lt;=2,"?ACTIVATED",IF(J5163&lt;&gt;"","?FAMILIAR",IF(F5163="NEW",IF(ISNA(VLOOKUP(E5163,#REF!,1,FALSE())),"?TYPE_IDENTIFIABLE","?REFERENTIAL"),"_")))))</f>
        <v> </v>
      </c>
      <c r="H5163" s="25" t="str">
        <f>IF(J5163&lt;&gt;1,"",IF(I5163="SBJ","CB","?"))</f>
        <v> </v>
      </c>
      <c r="I5163" s="26" t="str">
        <f>IF(OR(E5163="",E5163="!!!",F5163="NEW"),"",INDEX(B5162:B$2,-1+SUMPRODUCT(MAX(ROW(E5162:E$2)*(E5163=E5162:E$2)))))</f>
        <v> </v>
      </c>
      <c r="J5163" s="26" t="str">
        <f>IF(OR(E5163="",E5163="!!!",F5163="NEW"),"",COUNTBLANK(OFFSET(A$1,,,SUMPRODUCT(MAX(ROW(E$2:E5163)*(E5163=E$2:E5163)))))-COUNTBLANK(OFFSET(A$1,,,SUMPRODUCT(MAX(ROW(E$1:E5162)*(E2=E$1:E5162))))))</f>
        <v> </v>
      </c>
      <c r="K5163" s="26" t="str">
        <f>IF(OR(E5163="",E5163="!!!",F5163="NEW"),"",INDEX(J$1:J5162,SUMPRODUCT(MAX(ROW(E$1:E5162)*(E5163=E$1:E5162)))))</f>
        <v> </v>
      </c>
      <c r="L5163" s="27"/>
    </row>
    <row r="5164" spans="1:12">
      <c r="A5164" s="20" t="s">
        <v>2177</v>
      </c>
      <c r="E5164" s="22">
        <f>IF(D5164="?OLD","!!!","")</f>
        <v/>
      </c>
      <c r="F5164" s="23" t="str">
        <f>IF(OR(E5164="",E5164="!!!"),"",IF(NOT(ISNA(VLOOKUP(E5164,E$1:E5163,1,FALSE()))),"OLD",IF(AND(E5164&lt;&gt;"",E5164&lt;&gt;"!!!"),"NEW","")))</f>
        <v> </v>
      </c>
      <c r="G5164" s="24" t="str">
        <f>IF(OR(E5164="",E5164="!!!"),"",IF(OR(J5164=0,AND(J5164=1,K5164=1),AND(J5164=1,I5164="SBJ"),AND(J5164=1,I5164=0)),"?IN_FOCUS",IF(J5164&lt;=2,"?ACTIVATED",IF(J5164&lt;&gt;"","?FAMILIAR",IF(F5164="NEW",IF(ISNA(VLOOKUP(E5164,#REF!,1,FALSE())),"?TYPE_IDENTIFIABLE","?REFERENTIAL"),"_")))))</f>
        <v> </v>
      </c>
      <c r="H5164" s="25" t="str">
        <f>IF(J5164&lt;&gt;1,"",IF(I5164="SBJ","CB","?"))</f>
        <v> </v>
      </c>
      <c r="I5164" s="26" t="str">
        <f>IF(OR(E5164="",E5164="!!!",F5164="NEW"),"",INDEX(B5163:B$2,-1+SUMPRODUCT(MAX(ROW(E5163:E$2)*(E5164=E5163:E$2)))))</f>
        <v> </v>
      </c>
      <c r="J5164" s="26" t="str">
        <f>IF(OR(E5164="",E5164="!!!",F5164="NEW"),"",COUNTBLANK(OFFSET(A$1,,,SUMPRODUCT(MAX(ROW(E$2:E5164)*(E5164=E$2:E5164)))))-COUNTBLANK(OFFSET(A$1,,,SUMPRODUCT(MAX(ROW(E$1:E5163)*(E2=E$1:E5163))))))</f>
        <v> </v>
      </c>
      <c r="K5164" s="26" t="str">
        <f>IF(OR(E5164="",E5164="!!!",F5164="NEW"),"",INDEX(J$1:J5163,SUMPRODUCT(MAX(ROW(E$1:E5163)*(E5164=E$1:E5163)))))</f>
        <v> </v>
      </c>
      <c r="L5164" s="27"/>
    </row>
    <row r="5165" spans="1:12">
      <c r="A5165" s="20" t="s">
        <v>1033</v>
      </c>
      <c r="E5165" s="22">
        <f>IF(D5165="?OLD","!!!","")</f>
        <v/>
      </c>
      <c r="F5165" s="23" t="str">
        <f>IF(OR(E5165="",E5165="!!!"),"",IF(NOT(ISNA(VLOOKUP(E5165,E$1:E5164,1,FALSE()))),"OLD",IF(AND(E5165&lt;&gt;"",E5165&lt;&gt;"!!!"),"NEW","")))</f>
        <v> </v>
      </c>
      <c r="G5165" s="24" t="str">
        <f>IF(OR(E5165="",E5165="!!!"),"",IF(OR(J5165=0,AND(J5165=1,K5165=1),AND(J5165=1,I5165="SBJ"),AND(J5165=1,I5165=0)),"?IN_FOCUS",IF(J5165&lt;=2,"?ACTIVATED",IF(J5165&lt;&gt;"","?FAMILIAR",IF(F5165="NEW",IF(ISNA(VLOOKUP(E5165,#REF!,1,FALSE())),"?TYPE_IDENTIFIABLE","?REFERENTIAL"),"_")))))</f>
        <v> </v>
      </c>
      <c r="H5165" s="25" t="str">
        <f>IF(J5165&lt;&gt;1,"",IF(I5165="SBJ","CB","?"))</f>
        <v> </v>
      </c>
      <c r="I5165" s="26" t="str">
        <f>IF(OR(E5165="",E5165="!!!",F5165="NEW"),"",INDEX(B5164:B$2,-1+SUMPRODUCT(MAX(ROW(E5164:E$2)*(E5165=E5164:E$2)))))</f>
        <v> </v>
      </c>
      <c r="J5165" s="26" t="str">
        <f>IF(OR(E5165="",E5165="!!!",F5165="NEW"),"",COUNTBLANK(OFFSET(A$1,,,SUMPRODUCT(MAX(ROW(E$2:E5165)*(E5165=E$2:E5165)))))-COUNTBLANK(OFFSET(A$1,,,SUMPRODUCT(MAX(ROW(E$1:E5164)*(E2=E$1:E5164))))))</f>
        <v> </v>
      </c>
      <c r="K5165" s="26" t="str">
        <f>IF(OR(E5165="",E5165="!!!",F5165="NEW"),"",INDEX(J$1:J5164,SUMPRODUCT(MAX(ROW(E$1:E5164)*(E5165=E$1:E5164)))))</f>
        <v> </v>
      </c>
      <c r="L5165" s="27"/>
    </row>
    <row r="5166" spans="1:12">
      <c r="A5166" s="20" t="s">
        <v>1137</v>
      </c>
      <c r="B5166" s="21" t="s">
        <v>1175</v>
      </c>
      <c r="C5166" s="21" t="s">
        <v>1010</v>
      </c>
      <c r="D5166" s="21" t="s">
        <v>1011</v>
      </c>
      <c r="E5166" s="22">
        <f>IF(D5166="?OLD","!!!","")</f>
        <v/>
      </c>
      <c r="F5166" s="23" t="str">
        <f>IF(OR(E5166="",E5166="!!!"),"",IF(NOT(ISNA(VLOOKUP(E5166,E$1:E5165,1,FALSE()))),"OLD",IF(AND(E5166&lt;&gt;"",E5166&lt;&gt;"!!!"),"NEW","")))</f>
        <v> </v>
      </c>
      <c r="G5166" s="24" t="str">
        <f>IF(OR(E5166="",E5166="!!!"),"",IF(OR(J5166=0,AND(J5166=1,K5166=1),AND(J5166=1,I5166="SBJ"),AND(J5166=1,I5166=0)),"?IN_FOCUS",IF(J5166&lt;=2,"?ACTIVATED",IF(J5166&lt;&gt;"","?FAMILIAR",IF(F5166="NEW",IF(ISNA(VLOOKUP(E5166,#REF!,1,FALSE())),"?TYPE_IDENTIFIABLE","?REFERENTIAL"),"_")))))</f>
        <v> </v>
      </c>
      <c r="H5166" s="25" t="str">
        <f>IF(J5166&lt;&gt;1,"",IF(I5166="SBJ","CB","?"))</f>
        <v> </v>
      </c>
      <c r="I5166" s="26" t="str">
        <f>IF(OR(E5166="",E5166="!!!",F5166="NEW"),"",INDEX(B5165:B$2,-1+SUMPRODUCT(MAX(ROW(E5165:E$2)*(E5166=E5165:E$2)))))</f>
        <v> </v>
      </c>
      <c r="J5166" s="26" t="str">
        <f>IF(OR(E5166="",E5166="!!!",F5166="NEW"),"",COUNTBLANK(OFFSET(A$1,,,SUMPRODUCT(MAX(ROW(E$2:E5166)*(E5166=E$2:E5166)))))-COUNTBLANK(OFFSET(A$1,,,SUMPRODUCT(MAX(ROW(E$1:E5165)*(E2=E$1:E5165))))))</f>
        <v> </v>
      </c>
      <c r="K5166" s="26" t="str">
        <f>IF(OR(E5166="",E5166="!!!",F5166="NEW"),"",INDEX(J$1:J5165,SUMPRODUCT(MAX(ROW(E$1:E5165)*(E5166=E$1:E5165)))))</f>
        <v> </v>
      </c>
      <c r="L5166" s="27"/>
    </row>
    <row r="5167" spans="1:12">
      <c r="A5167" s="20" t="s">
        <v>557</v>
      </c>
      <c r="E5167" s="22">
        <f>IF(D5167="?OLD","!!!","")</f>
        <v/>
      </c>
      <c r="F5167" s="23" t="str">
        <f>IF(OR(E5167="",E5167="!!!"),"",IF(NOT(ISNA(VLOOKUP(E5167,E$1:E5166,1,FALSE()))),"OLD",IF(AND(E5167&lt;&gt;"",E5167&lt;&gt;"!!!"),"NEW","")))</f>
        <v> </v>
      </c>
      <c r="G5167" s="24" t="str">
        <f>IF(OR(E5167="",E5167="!!!"),"",IF(OR(J5167=0,AND(J5167=1,K5167=1),AND(J5167=1,I5167="SBJ"),AND(J5167=1,I5167=0)),"?IN_FOCUS",IF(J5167&lt;=2,"?ACTIVATED",IF(J5167&lt;&gt;"","?FAMILIAR",IF(F5167="NEW",IF(ISNA(VLOOKUP(E5167,#REF!,1,FALSE())),"?TYPE_IDENTIFIABLE","?REFERENTIAL"),"_")))))</f>
        <v> </v>
      </c>
      <c r="H5167" s="25" t="str">
        <f>IF(J5167&lt;&gt;1,"",IF(I5167="SBJ","CB","?"))</f>
        <v> </v>
      </c>
      <c r="I5167" s="26" t="str">
        <f>IF(OR(E5167="",E5167="!!!",F5167="NEW"),"",INDEX(B5166:B$2,-1+SUMPRODUCT(MAX(ROW(E5166:E$2)*(E5167=E5166:E$2)))))</f>
        <v> </v>
      </c>
      <c r="J5167" s="26" t="str">
        <f>IF(OR(E5167="",E5167="!!!",F5167="NEW"),"",COUNTBLANK(OFFSET(A$1,,,SUMPRODUCT(MAX(ROW(E$2:E5167)*(E5167=E$2:E5167)))))-COUNTBLANK(OFFSET(A$1,,,SUMPRODUCT(MAX(ROW(E$1:E5166)*(E2=E$1:E5166))))))</f>
        <v> </v>
      </c>
      <c r="K5167" s="26" t="str">
        <f>IF(OR(E5167="",E5167="!!!",F5167="NEW"),"",INDEX(J$1:J5166,SUMPRODUCT(MAX(ROW(E$1:E5166)*(E5167=E$1:E5166)))))</f>
        <v> </v>
      </c>
      <c r="L5167" s="27"/>
    </row>
    <row r="5168" spans="1:12">
      <c r="A5168" s="20" t="s">
        <v>2160</v>
      </c>
      <c r="E5168" s="22">
        <f>IF(D5168="?OLD","!!!","")</f>
        <v/>
      </c>
      <c r="F5168" s="23" t="str">
        <f>IF(OR(E5168="",E5168="!!!"),"",IF(NOT(ISNA(VLOOKUP(E5168,E$1:E5167,1,FALSE()))),"OLD",IF(AND(E5168&lt;&gt;"",E5168&lt;&gt;"!!!"),"NEW","")))</f>
        <v> </v>
      </c>
      <c r="G5168" s="24" t="str">
        <f>IF(OR(E5168="",E5168="!!!"),"",IF(OR(J5168=0,AND(J5168=1,K5168=1),AND(J5168=1,I5168="SBJ"),AND(J5168=1,I5168=0)),"?IN_FOCUS",IF(J5168&lt;=2,"?ACTIVATED",IF(J5168&lt;&gt;"","?FAMILIAR",IF(F5168="NEW",IF(ISNA(VLOOKUP(E5168,#REF!,1,FALSE())),"?TYPE_IDENTIFIABLE","?REFERENTIAL"),"_")))))</f>
        <v> </v>
      </c>
      <c r="H5168" s="25" t="str">
        <f>IF(J5168&lt;&gt;1,"",IF(I5168="SBJ","CB","?"))</f>
        <v> </v>
      </c>
      <c r="I5168" s="26" t="str">
        <f>IF(OR(E5168="",E5168="!!!",F5168="NEW"),"",INDEX(B5167:B$2,-1+SUMPRODUCT(MAX(ROW(E5167:E$2)*(E5168=E5167:E$2)))))</f>
        <v> </v>
      </c>
      <c r="J5168" s="26" t="str">
        <f>IF(OR(E5168="",E5168="!!!",F5168="NEW"),"",COUNTBLANK(OFFSET(A$1,,,SUMPRODUCT(MAX(ROW(E$2:E5168)*(E5168=E$2:E5168)))))-COUNTBLANK(OFFSET(A$1,,,SUMPRODUCT(MAX(ROW(E$1:E5167)*(E2=E$1:E5167))))))</f>
        <v> </v>
      </c>
      <c r="K5168" s="26" t="str">
        <f>IF(OR(E5168="",E5168="!!!",F5168="NEW"),"",INDEX(J$1:J5167,SUMPRODUCT(MAX(ROW(E$1:E5167)*(E5168=E$1:E5167)))))</f>
        <v> </v>
      </c>
      <c r="L5168" s="27"/>
    </row>
    <row r="5169" spans="1:12">
      <c r="A5169" s="20" t="s">
        <v>2165</v>
      </c>
      <c r="B5169" s="21" t="s">
        <v>1053</v>
      </c>
      <c r="C5169" s="21" t="s">
        <v>1017</v>
      </c>
      <c r="E5169" s="22">
        <f>IF(D5169="?OLD","!!!","")</f>
        <v/>
      </c>
      <c r="F5169" s="23" t="str">
        <f>IF(OR(E5169="",E5169="!!!"),"",IF(NOT(ISNA(VLOOKUP(E5169,E$1:E5168,1,FALSE()))),"OLD",IF(AND(E5169&lt;&gt;"",E5169&lt;&gt;"!!!"),"NEW","")))</f>
        <v> </v>
      </c>
      <c r="G5169" s="24" t="str">
        <f>IF(OR(E5169="",E5169="!!!"),"",IF(OR(J5169=0,AND(J5169=1,K5169=1),AND(J5169=1,I5169="SBJ"),AND(J5169=1,I5169=0)),"?IN_FOCUS",IF(J5169&lt;=2,"?ACTIVATED",IF(J5169&lt;&gt;"","?FAMILIAR",IF(F5169="NEW",IF(ISNA(VLOOKUP(E5169,#REF!,1,FALSE())),"?TYPE_IDENTIFIABLE","?REFERENTIAL"),"_")))))</f>
        <v> </v>
      </c>
      <c r="H5169" s="25" t="str">
        <f>IF(J5169&lt;&gt;1,"",IF(I5169="SBJ","CB","?"))</f>
        <v> </v>
      </c>
      <c r="I5169" s="26" t="str">
        <f>IF(OR(E5169="",E5169="!!!",F5169="NEW"),"",INDEX(B5168:B$2,-1+SUMPRODUCT(MAX(ROW(E5168:E$2)*(E5169=E5168:E$2)))))</f>
        <v> </v>
      </c>
      <c r="J5169" s="26" t="str">
        <f>IF(OR(E5169="",E5169="!!!",F5169="NEW"),"",COUNTBLANK(OFFSET(A$1,,,SUMPRODUCT(MAX(ROW(E$2:E5169)*(E5169=E$2:E5169)))))-COUNTBLANK(OFFSET(A$1,,,SUMPRODUCT(MAX(ROW(E$1:E5168)*(E2=E$1:E5168))))))</f>
        <v> </v>
      </c>
      <c r="K5169" s="26" t="str">
        <f>IF(OR(E5169="",E5169="!!!",F5169="NEW"),"",INDEX(J$1:J5168,SUMPRODUCT(MAX(ROW(E$1:E5168)*(E5169=E$1:E5168)))))</f>
        <v> </v>
      </c>
      <c r="L5169" s="27"/>
    </row>
    <row r="5170" spans="1:12">
      <c r="A5170" s="20" t="s">
        <v>1103</v>
      </c>
      <c r="E5170" s="22">
        <f>IF(D5170="?OLD","!!!","")</f>
        <v/>
      </c>
      <c r="F5170" s="23" t="str">
        <f>IF(OR(E5170="",E5170="!!!"),"",IF(NOT(ISNA(VLOOKUP(E5170,E$1:E5169,1,FALSE()))),"OLD",IF(AND(E5170&lt;&gt;"",E5170&lt;&gt;"!!!"),"NEW","")))</f>
        <v> </v>
      </c>
      <c r="G5170" s="24" t="str">
        <f>IF(OR(E5170="",E5170="!!!"),"",IF(OR(J5170=0,AND(J5170=1,K5170=1),AND(J5170=1,I5170="SBJ"),AND(J5170=1,I5170=0)),"?IN_FOCUS",IF(J5170&lt;=2,"?ACTIVATED",IF(J5170&lt;&gt;"","?FAMILIAR",IF(F5170="NEW",IF(ISNA(VLOOKUP(E5170,#REF!,1,FALSE())),"?TYPE_IDENTIFIABLE","?REFERENTIAL"),"_")))))</f>
        <v> </v>
      </c>
      <c r="H5170" s="25" t="str">
        <f>IF(J5170&lt;&gt;1,"",IF(I5170="SBJ","CB","?"))</f>
        <v> </v>
      </c>
      <c r="I5170" s="26" t="str">
        <f>IF(OR(E5170="",E5170="!!!",F5170="NEW"),"",INDEX(B5169:B$2,-1+SUMPRODUCT(MAX(ROW(E5169:E$2)*(E5170=E5169:E$2)))))</f>
        <v> </v>
      </c>
      <c r="J5170" s="26" t="str">
        <f>IF(OR(E5170="",E5170="!!!",F5170="NEW"),"",COUNTBLANK(OFFSET(A$1,,,SUMPRODUCT(MAX(ROW(E$2:E5170)*(E5170=E$2:E5170)))))-COUNTBLANK(OFFSET(A$1,,,SUMPRODUCT(MAX(ROW(E$1:E5169)*(E2=E$1:E5169))))))</f>
        <v> </v>
      </c>
      <c r="K5170" s="26" t="str">
        <f>IF(OR(E5170="",E5170="!!!",F5170="NEW"),"",INDEX(J$1:J5169,SUMPRODUCT(MAX(ROW(E$1:E5169)*(E5170=E$1:E5169)))))</f>
        <v> </v>
      </c>
      <c r="L5170" s="27"/>
    </row>
    <row r="5171" spans="1:12">
      <c r="A5171" s="20" t="s">
        <v>82</v>
      </c>
      <c r="E5171" s="22">
        <f>IF(D5171="?OLD","!!!","")</f>
        <v/>
      </c>
      <c r="F5171" s="23" t="str">
        <f>IF(OR(E5171="",E5171="!!!"),"",IF(NOT(ISNA(VLOOKUP(E5171,E$1:E5170,1,FALSE()))),"OLD",IF(AND(E5171&lt;&gt;"",E5171&lt;&gt;"!!!"),"NEW","")))</f>
        <v> </v>
      </c>
      <c r="G5171" s="24" t="str">
        <f>IF(OR(E5171="",E5171="!!!"),"",IF(OR(J5171=0,AND(J5171=1,K5171=1),AND(J5171=1,I5171="SBJ"),AND(J5171=1,I5171=0)),"?IN_FOCUS",IF(J5171&lt;=2,"?ACTIVATED",IF(J5171&lt;&gt;"","?FAMILIAR",IF(F5171="NEW",IF(ISNA(VLOOKUP(E5171,#REF!,1,FALSE())),"?TYPE_IDENTIFIABLE","?REFERENTIAL"),"_")))))</f>
        <v> </v>
      </c>
      <c r="H5171" s="25" t="str">
        <f>IF(J5171&lt;&gt;1,"",IF(I5171="SBJ","CB","?"))</f>
        <v> </v>
      </c>
      <c r="I5171" s="26" t="str">
        <f>IF(OR(E5171="",E5171="!!!",F5171="NEW"),"",INDEX(B5170:B$2,-1+SUMPRODUCT(MAX(ROW(E5170:E$2)*(E5171=E5170:E$2)))))</f>
        <v> </v>
      </c>
      <c r="J5171" s="26" t="str">
        <f>IF(OR(E5171="",E5171="!!!",F5171="NEW"),"",COUNTBLANK(OFFSET(A$1,,,SUMPRODUCT(MAX(ROW(E$2:E5171)*(E5171=E$2:E5171)))))-COUNTBLANK(OFFSET(A$1,,,SUMPRODUCT(MAX(ROW(E$1:E5170)*(E2=E$1:E5170))))))</f>
        <v> </v>
      </c>
      <c r="K5171" s="26" t="str">
        <f>IF(OR(E5171="",E5171="!!!",F5171="NEW"),"",INDEX(J$1:J5170,SUMPRODUCT(MAX(ROW(E$1:E5170)*(E5171=E$1:E5170)))))</f>
        <v> </v>
      </c>
      <c r="L5171" s="27"/>
    </row>
    <row r="5172" spans="1:12">
      <c r="A5172" s="20" t="s">
        <v>1100</v>
      </c>
      <c r="B5172" s="21" t="s">
        <v>1021</v>
      </c>
      <c r="C5172" s="21" t="s">
        <v>1889</v>
      </c>
      <c r="D5172" s="21" t="s">
        <v>1011</v>
      </c>
      <c r="E5172" s="22">
        <f>IF(D5172="?OLD","!!!","")</f>
        <v/>
      </c>
      <c r="F5172" s="23" t="str">
        <f>IF(OR(E5172="",E5172="!!!"),"",IF(NOT(ISNA(VLOOKUP(E5172,E$1:E5171,1,FALSE()))),"OLD",IF(AND(E5172&lt;&gt;"",E5172&lt;&gt;"!!!"),"NEW","")))</f>
        <v> </v>
      </c>
      <c r="G5172" s="24" t="str">
        <f>IF(OR(E5172="",E5172="!!!"),"",IF(OR(J5172=0,AND(J5172=1,K5172=1),AND(J5172=1,I5172="SBJ"),AND(J5172=1,I5172=0)),"?IN_FOCUS",IF(J5172&lt;=2,"?ACTIVATED",IF(J5172&lt;&gt;"","?FAMILIAR",IF(F5172="NEW",IF(ISNA(VLOOKUP(E5172,#REF!,1,FALSE())),"?TYPE_IDENTIFIABLE","?REFERENTIAL"),"_")))))</f>
        <v> </v>
      </c>
      <c r="H5172" s="25" t="str">
        <f>IF(J5172&lt;&gt;1,"",IF(I5172="SBJ","CB","?"))</f>
        <v> </v>
      </c>
      <c r="I5172" s="26" t="str">
        <f>IF(OR(E5172="",E5172="!!!",F5172="NEW"),"",INDEX(B5171:B$2,-1+SUMPRODUCT(MAX(ROW(E5171:E$2)*(E5172=E5171:E$2)))))</f>
        <v> </v>
      </c>
      <c r="J5172" s="26" t="str">
        <f>IF(OR(E5172="",E5172="!!!",F5172="NEW"),"",COUNTBLANK(OFFSET(A$1,,,SUMPRODUCT(MAX(ROW(E$2:E5172)*(E5172=E$2:E5172)))))-COUNTBLANK(OFFSET(A$1,,,SUMPRODUCT(MAX(ROW(E$1:E5171)*(E2=E$1:E5171))))))</f>
        <v> </v>
      </c>
      <c r="K5172" s="26" t="str">
        <f>IF(OR(E5172="",E5172="!!!",F5172="NEW"),"",INDEX(J$1:J5171,SUMPRODUCT(MAX(ROW(E$1:E5171)*(E5172=E$1:E5171)))))</f>
        <v> </v>
      </c>
      <c r="L5172" s="27"/>
    </row>
    <row r="5173" spans="1:12">
      <c r="A5173" s="20" t="s">
        <v>1014</v>
      </c>
      <c r="E5173" s="22">
        <f>IF(D5173="?OLD","!!!","")</f>
        <v/>
      </c>
      <c r="F5173" s="23" t="str">
        <f>IF(OR(E5173="",E5173="!!!"),"",IF(NOT(ISNA(VLOOKUP(E5173,E$1:E5172,1,FALSE()))),"OLD",IF(AND(E5173&lt;&gt;"",E5173&lt;&gt;"!!!"),"NEW","")))</f>
        <v> </v>
      </c>
      <c r="G5173" s="24" t="str">
        <f>IF(OR(E5173="",E5173="!!!"),"",IF(OR(J5173=0,AND(J5173=1,K5173=1),AND(J5173=1,I5173="SBJ"),AND(J5173=1,I5173=0)),"?IN_FOCUS",IF(J5173&lt;=2,"?ACTIVATED",IF(J5173&lt;&gt;"","?FAMILIAR",IF(F5173="NEW",IF(ISNA(VLOOKUP(E5173,#REF!,1,FALSE())),"?TYPE_IDENTIFIABLE","?REFERENTIAL"),"_")))))</f>
        <v> </v>
      </c>
      <c r="H5173" s="25" t="str">
        <f>IF(J5173&lt;&gt;1,"",IF(I5173="SBJ","CB","?"))</f>
        <v> </v>
      </c>
      <c r="I5173" s="26" t="str">
        <f>IF(OR(E5173="",E5173="!!!",F5173="NEW"),"",INDEX(B5172:B$2,-1+SUMPRODUCT(MAX(ROW(E5172:E$2)*(E5173=E5172:E$2)))))</f>
        <v> </v>
      </c>
      <c r="J5173" s="26" t="str">
        <f>IF(OR(E5173="",E5173="!!!",F5173="NEW"),"",COUNTBLANK(OFFSET(A$1,,,SUMPRODUCT(MAX(ROW(E$2:E5173)*(E5173=E$2:E5173)))))-COUNTBLANK(OFFSET(A$1,,,SUMPRODUCT(MAX(ROW(E$1:E5172)*(E2=E$1:E5172))))))</f>
        <v> </v>
      </c>
      <c r="K5173" s="26" t="str">
        <f>IF(OR(E5173="",E5173="!!!",F5173="NEW"),"",INDEX(J$1:J5172,SUMPRODUCT(MAX(ROW(E$1:E5172)*(E5173=E$1:E5172)))))</f>
        <v> </v>
      </c>
      <c r="L5173" s="27"/>
    </row>
    <row r="5174" spans="1:12">
      <c r="A5174" s="20" t="s">
        <v>2178</v>
      </c>
      <c r="E5174" s="22">
        <f>IF(D5174="?OLD","!!!","")</f>
        <v/>
      </c>
      <c r="F5174" s="23" t="str">
        <f>IF(OR(E5174="",E5174="!!!"),"",IF(NOT(ISNA(VLOOKUP(E5174,E$1:E5173,1,FALSE()))),"OLD",IF(AND(E5174&lt;&gt;"",E5174&lt;&gt;"!!!"),"NEW","")))</f>
        <v> </v>
      </c>
      <c r="G5174" s="24" t="str">
        <f>IF(OR(E5174="",E5174="!!!"),"",IF(OR(J5174=0,AND(J5174=1,K5174=1),AND(J5174=1,I5174="SBJ"),AND(J5174=1,I5174=0)),"?IN_FOCUS",IF(J5174&lt;=2,"?ACTIVATED",IF(J5174&lt;&gt;"","?FAMILIAR",IF(F5174="NEW",IF(ISNA(VLOOKUP(E5174,#REF!,1,FALSE())),"?TYPE_IDENTIFIABLE","?REFERENTIAL"),"_")))))</f>
        <v> </v>
      </c>
      <c r="H5174" s="25" t="str">
        <f>IF(J5174&lt;&gt;1,"",IF(I5174="SBJ","CB","?"))</f>
        <v> </v>
      </c>
      <c r="I5174" s="26" t="str">
        <f>IF(OR(E5174="",E5174="!!!",F5174="NEW"),"",INDEX(B5173:B$2,-1+SUMPRODUCT(MAX(ROW(E5173:E$2)*(E5174=E5173:E$2)))))</f>
        <v> </v>
      </c>
      <c r="J5174" s="26" t="str">
        <f>IF(OR(E5174="",E5174="!!!",F5174="NEW"),"",COUNTBLANK(OFFSET(A$1,,,SUMPRODUCT(MAX(ROW(E$2:E5174)*(E5174=E$2:E5174)))))-COUNTBLANK(OFFSET(A$1,,,SUMPRODUCT(MAX(ROW(E$1:E5173)*(E2=E$1:E5173))))))</f>
        <v> </v>
      </c>
      <c r="K5174" s="26" t="str">
        <f>IF(OR(E5174="",E5174="!!!",F5174="NEW"),"",INDEX(J$1:J5173,SUMPRODUCT(MAX(ROW(E$1:E5173)*(E5174=E$1:E5173)))))</f>
        <v> </v>
      </c>
      <c r="L5174" s="27"/>
    </row>
    <row r="5175" spans="1:12">
      <c r="A5175" s="20" t="s">
        <v>1137</v>
      </c>
      <c r="B5175" s="21" t="s">
        <v>1767</v>
      </c>
      <c r="C5175" s="21" t="s">
        <v>1010</v>
      </c>
      <c r="D5175" s="21" t="s">
        <v>1011</v>
      </c>
      <c r="E5175" s="22">
        <f>IF(D5175="?OLD","!!!","")</f>
        <v/>
      </c>
      <c r="F5175" s="23" t="str">
        <f>IF(OR(E5175="",E5175="!!!"),"",IF(NOT(ISNA(VLOOKUP(E5175,E$1:E5174,1,FALSE()))),"OLD",IF(AND(E5175&lt;&gt;"",E5175&lt;&gt;"!!!"),"NEW","")))</f>
        <v> </v>
      </c>
      <c r="G5175" s="24" t="str">
        <f>IF(OR(E5175="",E5175="!!!"),"",IF(OR(J5175=0,AND(J5175=1,K5175=1),AND(J5175=1,I5175="SBJ"),AND(J5175=1,I5175=0)),"?IN_FOCUS",IF(J5175&lt;=2,"?ACTIVATED",IF(J5175&lt;&gt;"","?FAMILIAR",IF(F5175="NEW",IF(ISNA(VLOOKUP(E5175,#REF!,1,FALSE())),"?TYPE_IDENTIFIABLE","?REFERENTIAL"),"_")))))</f>
        <v> </v>
      </c>
      <c r="H5175" s="25" t="str">
        <f>IF(J5175&lt;&gt;1,"",IF(I5175="SBJ","CB","?"))</f>
        <v> </v>
      </c>
      <c r="I5175" s="26" t="str">
        <f>IF(OR(E5175="",E5175="!!!",F5175="NEW"),"",INDEX(B5174:B$2,-1+SUMPRODUCT(MAX(ROW(E5174:E$2)*(E5175=E5174:E$2)))))</f>
        <v> </v>
      </c>
      <c r="J5175" s="26" t="str">
        <f>IF(OR(E5175="",E5175="!!!",F5175="NEW"),"",COUNTBLANK(OFFSET(A$1,,,SUMPRODUCT(MAX(ROW(E$2:E5175)*(E5175=E$2:E5175)))))-COUNTBLANK(OFFSET(A$1,,,SUMPRODUCT(MAX(ROW(E$1:E5174)*(E2=E$1:E5174))))))</f>
        <v> </v>
      </c>
      <c r="K5175" s="26" t="str">
        <f>IF(OR(E5175="",E5175="!!!",F5175="NEW"),"",INDEX(J$1:J5174,SUMPRODUCT(MAX(ROW(E$1:E5174)*(E5175=E$1:E5174)))))</f>
        <v> </v>
      </c>
      <c r="L5175" s="27"/>
    </row>
    <row r="5176" spans="1:12">
      <c r="A5176" s="20" t="s">
        <v>1022</v>
      </c>
      <c r="E5176" s="22">
        <f>IF(D5176="?OLD","!!!","")</f>
        <v/>
      </c>
      <c r="F5176" s="23" t="str">
        <f>IF(OR(E5176="",E5176="!!!"),"",IF(NOT(ISNA(VLOOKUP(E5176,E$1:E5175,1,FALSE()))),"OLD",IF(AND(E5176&lt;&gt;"",E5176&lt;&gt;"!!!"),"NEW","")))</f>
        <v> </v>
      </c>
      <c r="G5176" s="24" t="str">
        <f>IF(OR(E5176="",E5176="!!!"),"",IF(OR(J5176=0,AND(J5176=1,K5176=1),AND(J5176=1,I5176="SBJ"),AND(J5176=1,I5176=0)),"?IN_FOCUS",IF(J5176&lt;=2,"?ACTIVATED",IF(J5176&lt;&gt;"","?FAMILIAR",IF(F5176="NEW",IF(ISNA(VLOOKUP(E5176,#REF!,1,FALSE())),"?TYPE_IDENTIFIABLE","?REFERENTIAL"),"_")))))</f>
        <v> </v>
      </c>
      <c r="H5176" s="25" t="str">
        <f>IF(J5176&lt;&gt;1,"",IF(I5176="SBJ","CB","?"))</f>
        <v> </v>
      </c>
      <c r="I5176" s="26" t="str">
        <f>IF(OR(E5176="",E5176="!!!",F5176="NEW"),"",INDEX(B5175:B$2,-1+SUMPRODUCT(MAX(ROW(E5175:E$2)*(E5176=E5175:E$2)))))</f>
        <v> </v>
      </c>
      <c r="J5176" s="26" t="str">
        <f>IF(OR(E5176="",E5176="!!!",F5176="NEW"),"",COUNTBLANK(OFFSET(A$1,,,SUMPRODUCT(MAX(ROW(E$2:E5176)*(E5176=E$2:E5176)))))-COUNTBLANK(OFFSET(A$1,,,SUMPRODUCT(MAX(ROW(E$1:E5175)*(E2=E$1:E5175))))))</f>
        <v> </v>
      </c>
      <c r="K5176" s="26" t="str">
        <f>IF(OR(E5176="",E5176="!!!",F5176="NEW"),"",INDEX(J$1:J5175,SUMPRODUCT(MAX(ROW(E$1:E5175)*(E5176=E$1:E5175)))))</f>
        <v> </v>
      </c>
      <c r="L5176" s="27"/>
    </row>
    <row r="5177" spans="1:12">
      <c r="A5177" s="20"/>
    </row>
    <row r="5178" spans="1:12">
      <c r="A5178" s="20" t="s">
        <v>2179</v>
      </c>
    </row>
    <row r="5179" spans="1:12">
      <c r="A5179" s="20" t="s">
        <v>1008</v>
      </c>
      <c r="B5179" s="21" t="s">
        <v>1009</v>
      </c>
      <c r="C5179" s="21" t="s">
        <v>1010</v>
      </c>
      <c r="D5179" s="21" t="s">
        <v>1011</v>
      </c>
      <c r="E5179" s="22">
        <f>IF(D5179="?OLD","!!!","")</f>
        <v/>
      </c>
      <c r="F5179" s="23" t="str">
        <f>IF(OR(E5179="",E5179="!!!"),"",IF(NOT(ISNA(VLOOKUP(E5179,E$1:E5178,1,FALSE()))),"OLD",IF(AND(E5179&lt;&gt;"",E5179&lt;&gt;"!!!"),"NEW","")))</f>
        <v> </v>
      </c>
      <c r="G5179" s="24" t="str">
        <f>IF(OR(E5179="",E5179="!!!"),"",IF(OR(J5179=0,AND(J5179=1,K5179=1),AND(J5179=1,I5179="SBJ"),AND(J5179=1,I5179=0)),"?IN_FOCUS",IF(J5179&lt;=2,"?ACTIVATED",IF(J5179&lt;&gt;"","?FAMILIAR",IF(F5179="NEW",IF(ISNA(VLOOKUP(E5179,#REF!,1,FALSE())),"?TYPE_IDENTIFIABLE","?REFERENTIAL"),"_")))))</f>
        <v> </v>
      </c>
      <c r="H5179" s="25" t="str">
        <f>IF(J5179&lt;&gt;1,"",IF(I5179="SBJ","CB","?"))</f>
        <v> </v>
      </c>
      <c r="I5179" s="26" t="str">
        <f>IF(OR(E5179="",E5179="!!!",F5179="NEW"),"",INDEX(B5178:B$2,-1+SUMPRODUCT(MAX(ROW(E5178:E$2)*(E5179=E5178:E$2)))))</f>
        <v> </v>
      </c>
      <c r="J5179" s="26" t="str">
        <f>IF(OR(E5179="",E5179="!!!",F5179="NEW"),"",COUNTBLANK(OFFSET(A$1,,,SUMPRODUCT(MAX(ROW(E$2:E5179)*(E5179=E$2:E5179)))))-COUNTBLANK(OFFSET(A$1,,,SUMPRODUCT(MAX(ROW(E$1:E5178)*(E2=E$1:E5178))))))</f>
        <v> </v>
      </c>
      <c r="K5179" s="26" t="str">
        <f>IF(OR(E5179="",E5179="!!!",F5179="NEW"),"",INDEX(J$1:J5178,SUMPRODUCT(MAX(ROW(E$1:E5178)*(E5179=E$1:E5178)))))</f>
        <v> </v>
      </c>
      <c r="L5179" s="27"/>
    </row>
    <row r="5180" spans="1:12">
      <c r="A5180" s="20" t="s">
        <v>1012</v>
      </c>
      <c r="E5180" s="22">
        <f>IF(D5180="?OLD","!!!","")</f>
        <v/>
      </c>
      <c r="F5180" s="23" t="str">
        <f>IF(OR(E5180="",E5180="!!!"),"",IF(NOT(ISNA(VLOOKUP(E5180,E$1:E5179,1,FALSE()))),"OLD",IF(AND(E5180&lt;&gt;"",E5180&lt;&gt;"!!!"),"NEW","")))</f>
        <v> </v>
      </c>
      <c r="G5180" s="24" t="str">
        <f>IF(OR(E5180="",E5180="!!!"),"",IF(OR(J5180=0,AND(J5180=1,K5180=1),AND(J5180=1,I5180="SBJ"),AND(J5180=1,I5180=0)),"?IN_FOCUS",IF(J5180&lt;=2,"?ACTIVATED",IF(J5180&lt;&gt;"","?FAMILIAR",IF(F5180="NEW",IF(ISNA(VLOOKUP(E5180,#REF!,1,FALSE())),"?TYPE_IDENTIFIABLE","?REFERENTIAL"),"_")))))</f>
        <v> </v>
      </c>
      <c r="H5180" s="25" t="str">
        <f>IF(J5180&lt;&gt;1,"",IF(I5180="SBJ","CB","?"))</f>
        <v> </v>
      </c>
      <c r="I5180" s="26" t="str">
        <f>IF(OR(E5180="",E5180="!!!",F5180="NEW"),"",INDEX(B5179:B$2,-1+SUMPRODUCT(MAX(ROW(E5179:E$2)*(E5180=E5179:E$2)))))</f>
        <v> </v>
      </c>
      <c r="J5180" s="26" t="str">
        <f>IF(OR(E5180="",E5180="!!!",F5180="NEW"),"",COUNTBLANK(OFFSET(A$1,,,SUMPRODUCT(MAX(ROW(E$2:E5180)*(E5180=E$2:E5180)))))-COUNTBLANK(OFFSET(A$1,,,SUMPRODUCT(MAX(ROW(E$1:E5179)*(E2=E$1:E5179))))))</f>
        <v> </v>
      </c>
      <c r="K5180" s="26" t="str">
        <f>IF(OR(E5180="",E5180="!!!",F5180="NEW"),"",INDEX(J$1:J5179,SUMPRODUCT(MAX(ROW(E$1:E5179)*(E5180=E$1:E5179)))))</f>
        <v> </v>
      </c>
      <c r="L5180" s="27"/>
    </row>
    <row r="5181" spans="1:12">
      <c r="A5181" s="20" t="s">
        <v>1107</v>
      </c>
      <c r="E5181" s="22">
        <f>IF(D5181="?OLD","!!!","")</f>
        <v/>
      </c>
      <c r="F5181" s="23" t="str">
        <f>IF(OR(E5181="",E5181="!!!"),"",IF(NOT(ISNA(VLOOKUP(E5181,E$1:E5180,1,FALSE()))),"OLD",IF(AND(E5181&lt;&gt;"",E5181&lt;&gt;"!!!"),"NEW","")))</f>
        <v> </v>
      </c>
      <c r="G5181" s="24" t="str">
        <f>IF(OR(E5181="",E5181="!!!"),"",IF(OR(J5181=0,AND(J5181=1,K5181=1),AND(J5181=1,I5181="SBJ"),AND(J5181=1,I5181=0)),"?IN_FOCUS",IF(J5181&lt;=2,"?ACTIVATED",IF(J5181&lt;&gt;"","?FAMILIAR",IF(F5181="NEW",IF(ISNA(VLOOKUP(E5181,#REF!,1,FALSE())),"?TYPE_IDENTIFIABLE","?REFERENTIAL"),"_")))))</f>
        <v> </v>
      </c>
      <c r="H5181" s="25" t="str">
        <f>IF(J5181&lt;&gt;1,"",IF(I5181="SBJ","CB","?"))</f>
        <v> </v>
      </c>
      <c r="I5181" s="26" t="str">
        <f>IF(OR(E5181="",E5181="!!!",F5181="NEW"),"",INDEX(B5180:B$2,-1+SUMPRODUCT(MAX(ROW(E5180:E$2)*(E5181=E5180:E$2)))))</f>
        <v> </v>
      </c>
      <c r="J5181" s="26" t="str">
        <f>IF(OR(E5181="",E5181="!!!",F5181="NEW"),"",COUNTBLANK(OFFSET(A$1,,,SUMPRODUCT(MAX(ROW(E$2:E5181)*(E5181=E$2:E5181)))))-COUNTBLANK(OFFSET(A$1,,,SUMPRODUCT(MAX(ROW(E$1:E5180)*(E2=E$1:E5180))))))</f>
        <v> </v>
      </c>
      <c r="K5181" s="26" t="str">
        <f>IF(OR(E5181="",E5181="!!!",F5181="NEW"),"",INDEX(J$1:J5180,SUMPRODUCT(MAX(ROW(E$1:E5180)*(E5181=E$1:E5180)))))</f>
        <v> </v>
      </c>
      <c r="L5181" s="27"/>
    </row>
    <row r="5182" spans="1:12">
      <c r="A5182" s="20" t="s">
        <v>1597</v>
      </c>
      <c r="E5182" s="22">
        <f>IF(D5182="?OLD","!!!","")</f>
        <v/>
      </c>
      <c r="F5182" s="23" t="str">
        <f>IF(OR(E5182="",E5182="!!!"),"",IF(NOT(ISNA(VLOOKUP(E5182,E$1:E5181,1,FALSE()))),"OLD",IF(AND(E5182&lt;&gt;"",E5182&lt;&gt;"!!!"),"NEW","")))</f>
        <v> </v>
      </c>
      <c r="G5182" s="24" t="str">
        <f>IF(OR(E5182="",E5182="!!!"),"",IF(OR(J5182=0,AND(J5182=1,K5182=1),AND(J5182=1,I5182="SBJ"),AND(J5182=1,I5182=0)),"?IN_FOCUS",IF(J5182&lt;=2,"?ACTIVATED",IF(J5182&lt;&gt;"","?FAMILIAR",IF(F5182="NEW",IF(ISNA(VLOOKUP(E5182,#REF!,1,FALSE())),"?TYPE_IDENTIFIABLE","?REFERENTIAL"),"_")))))</f>
        <v> </v>
      </c>
      <c r="H5182" s="25" t="str">
        <f>IF(J5182&lt;&gt;1,"",IF(I5182="SBJ","CB","?"))</f>
        <v> </v>
      </c>
      <c r="I5182" s="26" t="str">
        <f>IF(OR(E5182="",E5182="!!!",F5182="NEW"),"",INDEX(B5181:B$2,-1+SUMPRODUCT(MAX(ROW(E5181:E$2)*(E5182=E5181:E$2)))))</f>
        <v> </v>
      </c>
      <c r="J5182" s="26" t="str">
        <f>IF(OR(E5182="",E5182="!!!",F5182="NEW"),"",COUNTBLANK(OFFSET(A$1,,,SUMPRODUCT(MAX(ROW(E$2:E5182)*(E5182=E$2:E5182)))))-COUNTBLANK(OFFSET(A$1,,,SUMPRODUCT(MAX(ROW(E$1:E5181)*(E2=E$1:E5181))))))</f>
        <v> </v>
      </c>
      <c r="K5182" s="26" t="str">
        <f>IF(OR(E5182="",E5182="!!!",F5182="NEW"),"",INDEX(J$1:J5181,SUMPRODUCT(MAX(ROW(E$1:E5181)*(E5182=E$1:E5181)))))</f>
        <v> </v>
      </c>
      <c r="L5182" s="27"/>
    </row>
    <row r="5183" spans="1:12">
      <c r="A5183" s="20" t="s">
        <v>1025</v>
      </c>
      <c r="B5183" s="21" t="s">
        <v>1039</v>
      </c>
      <c r="C5183" s="21" t="s">
        <v>1026</v>
      </c>
      <c r="D5183" s="21" t="s">
        <v>1011</v>
      </c>
      <c r="E5183" s="22">
        <f>IF(D5183="?OLD","!!!","")</f>
        <v/>
      </c>
      <c r="F5183" s="23" t="str">
        <f>IF(OR(E5183="",E5183="!!!"),"",IF(NOT(ISNA(VLOOKUP(E5183,E$1:E5182,1,FALSE()))),"OLD",IF(AND(E5183&lt;&gt;"",E5183&lt;&gt;"!!!"),"NEW","")))</f>
        <v> </v>
      </c>
      <c r="G5183" s="24" t="str">
        <f>IF(OR(E5183="",E5183="!!!"),"",IF(OR(J5183=0,AND(J5183=1,K5183=1),AND(J5183=1,I5183="SBJ"),AND(J5183=1,I5183=0)),"?IN_FOCUS",IF(J5183&lt;=2,"?ACTIVATED",IF(J5183&lt;&gt;"","?FAMILIAR",IF(F5183="NEW",IF(ISNA(VLOOKUP(E5183,#REF!,1,FALSE())),"?TYPE_IDENTIFIABLE","?REFERENTIAL"),"_")))))</f>
        <v> </v>
      </c>
      <c r="H5183" s="25" t="str">
        <f>IF(J5183&lt;&gt;1,"",IF(I5183="SBJ","CB","?"))</f>
        <v> </v>
      </c>
      <c r="I5183" s="26" t="str">
        <f>IF(OR(E5183="",E5183="!!!",F5183="NEW"),"",INDEX(B5182:B$2,-1+SUMPRODUCT(MAX(ROW(E5182:E$2)*(E5183=E5182:E$2)))))</f>
        <v> </v>
      </c>
      <c r="J5183" s="26" t="str">
        <f>IF(OR(E5183="",E5183="!!!",F5183="NEW"),"",COUNTBLANK(OFFSET(A$1,,,SUMPRODUCT(MAX(ROW(E$2:E5183)*(E5183=E$2:E5183)))))-COUNTBLANK(OFFSET(A$1,,,SUMPRODUCT(MAX(ROW(E$1:E5182)*(E2=E$1:E5182))))))</f>
        <v> </v>
      </c>
      <c r="K5183" s="26" t="str">
        <f>IF(OR(E5183="",E5183="!!!",F5183="NEW"),"",INDEX(J$1:J5182,SUMPRODUCT(MAX(ROW(E$1:E5182)*(E5183=E$1:E5182)))))</f>
        <v> </v>
      </c>
      <c r="L5183" s="27"/>
    </row>
    <row r="5184" spans="1:12">
      <c r="A5184" s="20" t="s">
        <v>1173</v>
      </c>
      <c r="E5184" s="22">
        <f>IF(D5184="?OLD","!!!","")</f>
        <v/>
      </c>
      <c r="F5184" s="23" t="str">
        <f>IF(OR(E5184="",E5184="!!!"),"",IF(NOT(ISNA(VLOOKUP(E5184,E$1:E5183,1,FALSE()))),"OLD",IF(AND(E5184&lt;&gt;"",E5184&lt;&gt;"!!!"),"NEW","")))</f>
        <v> </v>
      </c>
      <c r="G5184" s="24" t="str">
        <f>IF(OR(E5184="",E5184="!!!"),"",IF(OR(J5184=0,AND(J5184=1,K5184=1),AND(J5184=1,I5184="SBJ"),AND(J5184=1,I5184=0)),"?IN_FOCUS",IF(J5184&lt;=2,"?ACTIVATED",IF(J5184&lt;&gt;"","?FAMILIAR",IF(F5184="NEW",IF(ISNA(VLOOKUP(E5184,#REF!,1,FALSE())),"?TYPE_IDENTIFIABLE","?REFERENTIAL"),"_")))))</f>
        <v> </v>
      </c>
      <c r="H5184" s="25" t="str">
        <f>IF(J5184&lt;&gt;1,"",IF(I5184="SBJ","CB","?"))</f>
        <v> </v>
      </c>
      <c r="I5184" s="26" t="str">
        <f>IF(OR(E5184="",E5184="!!!",F5184="NEW"),"",INDEX(B5183:B$2,-1+SUMPRODUCT(MAX(ROW(E5183:E$2)*(E5184=E5183:E$2)))))</f>
        <v> </v>
      </c>
      <c r="J5184" s="26" t="str">
        <f>IF(OR(E5184="",E5184="!!!",F5184="NEW"),"",COUNTBLANK(OFFSET(A$1,,,SUMPRODUCT(MAX(ROW(E$2:E5184)*(E5184=E$2:E5184)))))-COUNTBLANK(OFFSET(A$1,,,SUMPRODUCT(MAX(ROW(E$1:E5183)*(E2=E$1:E5183))))))</f>
        <v> </v>
      </c>
      <c r="K5184" s="26" t="str">
        <f>IF(OR(E5184="",E5184="!!!",F5184="NEW"),"",INDEX(J$1:J5183,SUMPRODUCT(MAX(ROW(E$1:E5183)*(E5184=E$1:E5183)))))</f>
        <v> </v>
      </c>
      <c r="L5184" s="27"/>
    </row>
    <row r="5185" spans="1:12">
      <c r="A5185" s="20" t="s">
        <v>2180</v>
      </c>
      <c r="E5185" s="22">
        <f>IF(D5185="?OLD","!!!","")</f>
        <v/>
      </c>
      <c r="F5185" s="23" t="str">
        <f>IF(OR(E5185="",E5185="!!!"),"",IF(NOT(ISNA(VLOOKUP(E5185,E$1:E5184,1,FALSE()))),"OLD",IF(AND(E5185&lt;&gt;"",E5185&lt;&gt;"!!!"),"NEW","")))</f>
        <v> </v>
      </c>
      <c r="G5185" s="24" t="str">
        <f>IF(OR(E5185="",E5185="!!!"),"",IF(OR(J5185=0,AND(J5185=1,K5185=1),AND(J5185=1,I5185="SBJ"),AND(J5185=1,I5185=0)),"?IN_FOCUS",IF(J5185&lt;=2,"?ACTIVATED",IF(J5185&lt;&gt;"","?FAMILIAR",IF(F5185="NEW",IF(ISNA(VLOOKUP(E5185,#REF!,1,FALSE())),"?TYPE_IDENTIFIABLE","?REFERENTIAL"),"_")))))</f>
        <v> </v>
      </c>
      <c r="H5185" s="25" t="str">
        <f>IF(J5185&lt;&gt;1,"",IF(I5185="SBJ","CB","?"))</f>
        <v> </v>
      </c>
      <c r="I5185" s="26" t="str">
        <f>IF(OR(E5185="",E5185="!!!",F5185="NEW"),"",INDEX(B5184:B$2,-1+SUMPRODUCT(MAX(ROW(E5184:E$2)*(E5185=E5184:E$2)))))</f>
        <v> </v>
      </c>
      <c r="J5185" s="26" t="str">
        <f>IF(OR(E5185="",E5185="!!!",F5185="NEW"),"",COUNTBLANK(OFFSET(A$1,,,SUMPRODUCT(MAX(ROW(E$2:E5185)*(E5185=E$2:E5185)))))-COUNTBLANK(OFFSET(A$1,,,SUMPRODUCT(MAX(ROW(E$1:E5184)*(E2=E$1:E5184))))))</f>
        <v> </v>
      </c>
      <c r="K5185" s="26" t="str">
        <f>IF(OR(E5185="",E5185="!!!",F5185="NEW"),"",INDEX(J$1:J5184,SUMPRODUCT(MAX(ROW(E$1:E5184)*(E5185=E$1:E5184)))))</f>
        <v> </v>
      </c>
      <c r="L5185" s="27"/>
    </row>
    <row r="5186" spans="1:12">
      <c r="A5186" s="20" t="s">
        <v>1032</v>
      </c>
      <c r="E5186" s="22">
        <f>IF(D5186="?OLD","!!!","")</f>
        <v/>
      </c>
      <c r="F5186" s="23" t="str">
        <f>IF(OR(E5186="",E5186="!!!"),"",IF(NOT(ISNA(VLOOKUP(E5186,E$1:E5185,1,FALSE()))),"OLD",IF(AND(E5186&lt;&gt;"",E5186&lt;&gt;"!!!"),"NEW","")))</f>
        <v> </v>
      </c>
      <c r="G5186" s="24" t="str">
        <f>IF(OR(E5186="",E5186="!!!"),"",IF(OR(J5186=0,AND(J5186=1,K5186=1),AND(J5186=1,I5186="SBJ"),AND(J5186=1,I5186=0)),"?IN_FOCUS",IF(J5186&lt;=2,"?ACTIVATED",IF(J5186&lt;&gt;"","?FAMILIAR",IF(F5186="NEW",IF(ISNA(VLOOKUP(E5186,#REF!,1,FALSE())),"?TYPE_IDENTIFIABLE","?REFERENTIAL"),"_")))))</f>
        <v> </v>
      </c>
      <c r="H5186" s="25" t="str">
        <f>IF(J5186&lt;&gt;1,"",IF(I5186="SBJ","CB","?"))</f>
        <v> </v>
      </c>
      <c r="I5186" s="26" t="str">
        <f>IF(OR(E5186="",E5186="!!!",F5186="NEW"),"",INDEX(B5185:B$2,-1+SUMPRODUCT(MAX(ROW(E5185:E$2)*(E5186=E5185:E$2)))))</f>
        <v> </v>
      </c>
      <c r="J5186" s="26" t="str">
        <f>IF(OR(E5186="",E5186="!!!",F5186="NEW"),"",COUNTBLANK(OFFSET(A$1,,,SUMPRODUCT(MAX(ROW(E$2:E5186)*(E5186=E$2:E5186)))))-COUNTBLANK(OFFSET(A$1,,,SUMPRODUCT(MAX(ROW(E$1:E5185)*(E2=E$1:E5185))))))</f>
        <v> </v>
      </c>
      <c r="K5186" s="26" t="str">
        <f>IF(OR(E5186="",E5186="!!!",F5186="NEW"),"",INDEX(J$1:J5185,SUMPRODUCT(MAX(ROW(E$1:E5185)*(E5186=E$1:E5185)))))</f>
        <v> </v>
      </c>
      <c r="L5186" s="27"/>
    </row>
    <row r="5187" spans="1:12">
      <c r="A5187" s="20" t="s">
        <v>2181</v>
      </c>
      <c r="E5187" s="22">
        <f>IF(D5187="?OLD","!!!","")</f>
        <v/>
      </c>
      <c r="F5187" s="23" t="str">
        <f>IF(OR(E5187="",E5187="!!!"),"",IF(NOT(ISNA(VLOOKUP(E5187,E$1:E5186,1,FALSE()))),"OLD",IF(AND(E5187&lt;&gt;"",E5187&lt;&gt;"!!!"),"NEW","")))</f>
        <v> </v>
      </c>
      <c r="G5187" s="24" t="str">
        <f>IF(OR(E5187="",E5187="!!!"),"",IF(OR(J5187=0,AND(J5187=1,K5187=1),AND(J5187=1,I5187="SBJ"),AND(J5187=1,I5187=0)),"?IN_FOCUS",IF(J5187&lt;=2,"?ACTIVATED",IF(J5187&lt;&gt;"","?FAMILIAR",IF(F5187="NEW",IF(ISNA(VLOOKUP(E5187,#REF!,1,FALSE())),"?TYPE_IDENTIFIABLE","?REFERENTIAL"),"_")))))</f>
        <v> </v>
      </c>
      <c r="H5187" s="25" t="str">
        <f>IF(J5187&lt;&gt;1,"",IF(I5187="SBJ","CB","?"))</f>
        <v> </v>
      </c>
      <c r="I5187" s="26" t="str">
        <f>IF(OR(E5187="",E5187="!!!",F5187="NEW"),"",INDEX(B5186:B$2,-1+SUMPRODUCT(MAX(ROW(E5186:E$2)*(E5187=E5186:E$2)))))</f>
        <v> </v>
      </c>
      <c r="J5187" s="26" t="str">
        <f>IF(OR(E5187="",E5187="!!!",F5187="NEW"),"",COUNTBLANK(OFFSET(A$1,,,SUMPRODUCT(MAX(ROW(E$2:E5187)*(E5187=E$2:E5187)))))-COUNTBLANK(OFFSET(A$1,,,SUMPRODUCT(MAX(ROW(E$1:E5186)*(E2=E$1:E5186))))))</f>
        <v> </v>
      </c>
      <c r="K5187" s="26" t="str">
        <f>IF(OR(E5187="",E5187="!!!",F5187="NEW"),"",INDEX(J$1:J5186,SUMPRODUCT(MAX(ROW(E$1:E5186)*(E5187=E$1:E5186)))))</f>
        <v> </v>
      </c>
      <c r="L5187" s="27"/>
    </row>
    <row r="5188" spans="1:12">
      <c r="A5188" s="20" t="s">
        <v>1042</v>
      </c>
      <c r="E5188" s="22">
        <f>IF(D5188="?OLD","!!!","")</f>
        <v/>
      </c>
      <c r="F5188" s="23" t="str">
        <f>IF(OR(E5188="",E5188="!!!"),"",IF(NOT(ISNA(VLOOKUP(E5188,E$1:E5187,1,FALSE()))),"OLD",IF(AND(E5188&lt;&gt;"",E5188&lt;&gt;"!!!"),"NEW","")))</f>
        <v> </v>
      </c>
      <c r="G5188" s="24" t="str">
        <f>IF(OR(E5188="",E5188="!!!"),"",IF(OR(J5188=0,AND(J5188=1,K5188=1),AND(J5188=1,I5188="SBJ"),AND(J5188=1,I5188=0)),"?IN_FOCUS",IF(J5188&lt;=2,"?ACTIVATED",IF(J5188&lt;&gt;"","?FAMILIAR",IF(F5188="NEW",IF(ISNA(VLOOKUP(E5188,#REF!,1,FALSE())),"?TYPE_IDENTIFIABLE","?REFERENTIAL"),"_")))))</f>
        <v> </v>
      </c>
      <c r="H5188" s="25" t="str">
        <f>IF(J5188&lt;&gt;1,"",IF(I5188="SBJ","CB","?"))</f>
        <v> </v>
      </c>
      <c r="I5188" s="26" t="str">
        <f>IF(OR(E5188="",E5188="!!!",F5188="NEW"),"",INDEX(B5187:B$2,-1+SUMPRODUCT(MAX(ROW(E5187:E$2)*(E5188=E5187:E$2)))))</f>
        <v> </v>
      </c>
      <c r="J5188" s="26" t="str">
        <f>IF(OR(E5188="",E5188="!!!",F5188="NEW"),"",COUNTBLANK(OFFSET(A$1,,,SUMPRODUCT(MAX(ROW(E$2:E5188)*(E5188=E$2:E5188)))))-COUNTBLANK(OFFSET(A$1,,,SUMPRODUCT(MAX(ROW(E$1:E5187)*(E2=E$1:E5187))))))</f>
        <v> </v>
      </c>
      <c r="K5188" s="26" t="str">
        <f>IF(OR(E5188="",E5188="!!!",F5188="NEW"),"",INDEX(J$1:J5187,SUMPRODUCT(MAX(ROW(E$1:E5187)*(E5188=E$1:E5187)))))</f>
        <v> </v>
      </c>
      <c r="L5188" s="27"/>
    </row>
    <row r="5189" spans="1:12">
      <c r="A5189" s="20" t="s">
        <v>2182</v>
      </c>
      <c r="B5189" s="21" t="s">
        <v>1016</v>
      </c>
      <c r="C5189" s="21" t="s">
        <v>1044</v>
      </c>
      <c r="D5189" s="21" t="s">
        <v>1011</v>
      </c>
      <c r="E5189" s="22">
        <f>IF(D5189="?OLD","!!!","")</f>
        <v/>
      </c>
      <c r="F5189" s="23" t="str">
        <f>IF(OR(E5189="",E5189="!!!"),"",IF(NOT(ISNA(VLOOKUP(E5189,E$1:E5188,1,FALSE()))),"OLD",IF(AND(E5189&lt;&gt;"",E5189&lt;&gt;"!!!"),"NEW","")))</f>
        <v> </v>
      </c>
      <c r="G5189" s="24" t="str">
        <f>IF(OR(E5189="",E5189="!!!"),"",IF(OR(J5189=0,AND(J5189=1,K5189=1),AND(J5189=1,I5189="SBJ"),AND(J5189=1,I5189=0)),"?IN_FOCUS",IF(J5189&lt;=2,"?ACTIVATED",IF(J5189&lt;&gt;"","?FAMILIAR",IF(F5189="NEW",IF(ISNA(VLOOKUP(E5189,#REF!,1,FALSE())),"?TYPE_IDENTIFIABLE","?REFERENTIAL"),"_")))))</f>
        <v> </v>
      </c>
      <c r="H5189" s="25" t="str">
        <f>IF(J5189&lt;&gt;1,"",IF(I5189="SBJ","CB","?"))</f>
        <v> </v>
      </c>
      <c r="I5189" s="26" t="str">
        <f>IF(OR(E5189="",E5189="!!!",F5189="NEW"),"",INDEX(B5188:B$2,-1+SUMPRODUCT(MAX(ROW(E5188:E$2)*(E5189=E5188:E$2)))))</f>
        <v> </v>
      </c>
      <c r="J5189" s="26" t="str">
        <f>IF(OR(E5189="",E5189="!!!",F5189="NEW"),"",COUNTBLANK(OFFSET(A$1,,,SUMPRODUCT(MAX(ROW(E$2:E5189)*(E5189=E$2:E5189)))))-COUNTBLANK(OFFSET(A$1,,,SUMPRODUCT(MAX(ROW(E$1:E5188)*(E2=E$1:E5188))))))</f>
        <v> </v>
      </c>
      <c r="K5189" s="26" t="str">
        <f>IF(OR(E5189="",E5189="!!!",F5189="NEW"),"",INDEX(J$1:J5188,SUMPRODUCT(MAX(ROW(E$1:E5188)*(E5189=E$1:E5188)))))</f>
        <v> </v>
      </c>
      <c r="L5189" s="27"/>
    </row>
    <row r="5190" spans="1:12">
      <c r="A5190" s="20" t="s">
        <v>1132</v>
      </c>
      <c r="E5190" s="22">
        <f>IF(D5190="?OLD","!!!","")</f>
        <v/>
      </c>
      <c r="F5190" s="23" t="str">
        <f>IF(OR(E5190="",E5190="!!!"),"",IF(NOT(ISNA(VLOOKUP(E5190,E$1:E5189,1,FALSE()))),"OLD",IF(AND(E5190&lt;&gt;"",E5190&lt;&gt;"!!!"),"NEW","")))</f>
        <v> </v>
      </c>
      <c r="G5190" s="24" t="str">
        <f>IF(OR(E5190="",E5190="!!!"),"",IF(OR(J5190=0,AND(J5190=1,K5190=1),AND(J5190=1,I5190="SBJ"),AND(J5190=1,I5190=0)),"?IN_FOCUS",IF(J5190&lt;=2,"?ACTIVATED",IF(J5190&lt;&gt;"","?FAMILIAR",IF(F5190="NEW",IF(ISNA(VLOOKUP(E5190,#REF!,1,FALSE())),"?TYPE_IDENTIFIABLE","?REFERENTIAL"),"_")))))</f>
        <v> </v>
      </c>
      <c r="H5190" s="25" t="str">
        <f>IF(J5190&lt;&gt;1,"",IF(I5190="SBJ","CB","?"))</f>
        <v> </v>
      </c>
      <c r="I5190" s="26" t="str">
        <f>IF(OR(E5190="",E5190="!!!",F5190="NEW"),"",INDEX(B5189:B$2,-1+SUMPRODUCT(MAX(ROW(E5189:E$2)*(E5190=E5189:E$2)))))</f>
        <v> </v>
      </c>
      <c r="J5190" s="26" t="str">
        <f>IF(OR(E5190="",E5190="!!!",F5190="NEW"),"",COUNTBLANK(OFFSET(A$1,,,SUMPRODUCT(MAX(ROW(E$2:E5190)*(E5190=E$2:E5190)))))-COUNTBLANK(OFFSET(A$1,,,SUMPRODUCT(MAX(ROW(E$1:E5189)*(E2=E$1:E5189))))))</f>
        <v> </v>
      </c>
      <c r="K5190" s="26" t="str">
        <f>IF(OR(E5190="",E5190="!!!",F5190="NEW"),"",INDEX(J$1:J5189,SUMPRODUCT(MAX(ROW(E$1:E5189)*(E5190=E$1:E5189)))))</f>
        <v> </v>
      </c>
      <c r="L5190" s="27"/>
    </row>
    <row r="5191" spans="1:12">
      <c r="A5191" s="20" t="s">
        <v>1042</v>
      </c>
      <c r="E5191" s="22">
        <f>IF(D5191="?OLD","!!!","")</f>
        <v/>
      </c>
      <c r="F5191" s="23" t="str">
        <f>IF(OR(E5191="",E5191="!!!"),"",IF(NOT(ISNA(VLOOKUP(E5191,E$1:E5190,1,FALSE()))),"OLD",IF(AND(E5191&lt;&gt;"",E5191&lt;&gt;"!!!"),"NEW","")))</f>
        <v> </v>
      </c>
      <c r="G5191" s="24" t="str">
        <f>IF(OR(E5191="",E5191="!!!"),"",IF(OR(J5191=0,AND(J5191=1,K5191=1),AND(J5191=1,I5191="SBJ"),AND(J5191=1,I5191=0)),"?IN_FOCUS",IF(J5191&lt;=2,"?ACTIVATED",IF(J5191&lt;&gt;"","?FAMILIAR",IF(F5191="NEW",IF(ISNA(VLOOKUP(E5191,#REF!,1,FALSE())),"?TYPE_IDENTIFIABLE","?REFERENTIAL"),"_")))))</f>
        <v> </v>
      </c>
      <c r="H5191" s="25" t="str">
        <f>IF(J5191&lt;&gt;1,"",IF(I5191="SBJ","CB","?"))</f>
        <v> </v>
      </c>
      <c r="I5191" s="26" t="str">
        <f>IF(OR(E5191="",E5191="!!!",F5191="NEW"),"",INDEX(B5190:B$2,-1+SUMPRODUCT(MAX(ROW(E5190:E$2)*(E5191=E5190:E$2)))))</f>
        <v> </v>
      </c>
      <c r="J5191" s="26" t="str">
        <f>IF(OR(E5191="",E5191="!!!",F5191="NEW"),"",COUNTBLANK(OFFSET(A$1,,,SUMPRODUCT(MAX(ROW(E$2:E5191)*(E5191=E$2:E5191)))))-COUNTBLANK(OFFSET(A$1,,,SUMPRODUCT(MAX(ROW(E$1:E5190)*(E2=E$1:E5190))))))</f>
        <v> </v>
      </c>
      <c r="K5191" s="26" t="str">
        <f>IF(OR(E5191="",E5191="!!!",F5191="NEW"),"",INDEX(J$1:J5190,SUMPRODUCT(MAX(ROW(E$1:E5190)*(E5191=E$1:E5190)))))</f>
        <v> </v>
      </c>
      <c r="L5191" s="27"/>
    </row>
    <row r="5192" spans="1:12">
      <c r="A5192" s="20" t="s">
        <v>398</v>
      </c>
      <c r="B5192" s="21" t="s">
        <v>1021</v>
      </c>
      <c r="C5192" s="21" t="s">
        <v>1044</v>
      </c>
      <c r="D5192" s="21" t="s">
        <v>1011</v>
      </c>
      <c r="E5192" s="22">
        <f>IF(D5192="?OLD","!!!","")</f>
        <v/>
      </c>
      <c r="F5192" s="23" t="str">
        <f>IF(OR(E5192="",E5192="!!!"),"",IF(NOT(ISNA(VLOOKUP(E5192,E$1:E5191,1,FALSE()))),"OLD",IF(AND(E5192&lt;&gt;"",E5192&lt;&gt;"!!!"),"NEW","")))</f>
        <v> </v>
      </c>
      <c r="G5192" s="24" t="str">
        <f>IF(OR(E5192="",E5192="!!!"),"",IF(OR(J5192=0,AND(J5192=1,K5192=1),AND(J5192=1,I5192="SBJ"),AND(J5192=1,I5192=0)),"?IN_FOCUS",IF(J5192&lt;=2,"?ACTIVATED",IF(J5192&lt;&gt;"","?FAMILIAR",IF(F5192="NEW",IF(ISNA(VLOOKUP(E5192,#REF!,1,FALSE())),"?TYPE_IDENTIFIABLE","?REFERENTIAL"),"_")))))</f>
        <v> </v>
      </c>
      <c r="H5192" s="25" t="str">
        <f>IF(J5192&lt;&gt;1,"",IF(I5192="SBJ","CB","?"))</f>
        <v> </v>
      </c>
      <c r="I5192" s="26" t="str">
        <f>IF(OR(E5192="",E5192="!!!",F5192="NEW"),"",INDEX(B5191:B$2,-1+SUMPRODUCT(MAX(ROW(E5191:E$2)*(E5192=E5191:E$2)))))</f>
        <v> </v>
      </c>
      <c r="J5192" s="26" t="str">
        <f>IF(OR(E5192="",E5192="!!!",F5192="NEW"),"",COUNTBLANK(OFFSET(A$1,,,SUMPRODUCT(MAX(ROW(E$2:E5192)*(E5192=E$2:E5192)))))-COUNTBLANK(OFFSET(A$1,,,SUMPRODUCT(MAX(ROW(E$1:E5191)*(E2=E$1:E5191))))))</f>
        <v> </v>
      </c>
      <c r="K5192" s="26" t="str">
        <f>IF(OR(E5192="",E5192="!!!",F5192="NEW"),"",INDEX(J$1:J5191,SUMPRODUCT(MAX(ROW(E$1:E5191)*(E5192=E$1:E5191)))))</f>
        <v> </v>
      </c>
      <c r="L5192" s="27"/>
    </row>
    <row r="5193" spans="1:12">
      <c r="A5193" s="20" t="s">
        <v>1032</v>
      </c>
      <c r="E5193" s="22">
        <f>IF(D5193="?OLD","!!!","")</f>
        <v/>
      </c>
      <c r="F5193" s="23" t="str">
        <f>IF(OR(E5193="",E5193="!!!"),"",IF(NOT(ISNA(VLOOKUP(E5193,E$1:E5192,1,FALSE()))),"OLD",IF(AND(E5193&lt;&gt;"",E5193&lt;&gt;"!!!"),"NEW","")))</f>
        <v> </v>
      </c>
      <c r="G5193" s="24" t="str">
        <f>IF(OR(E5193="",E5193="!!!"),"",IF(OR(J5193=0,AND(J5193=1,K5193=1),AND(J5193=1,I5193="SBJ"),AND(J5193=1,I5193=0)),"?IN_FOCUS",IF(J5193&lt;=2,"?ACTIVATED",IF(J5193&lt;&gt;"","?FAMILIAR",IF(F5193="NEW",IF(ISNA(VLOOKUP(E5193,#REF!,1,FALSE())),"?TYPE_IDENTIFIABLE","?REFERENTIAL"),"_")))))</f>
        <v> </v>
      </c>
      <c r="H5193" s="25" t="str">
        <f>IF(J5193&lt;&gt;1,"",IF(I5193="SBJ","CB","?"))</f>
        <v> </v>
      </c>
      <c r="I5193" s="26" t="str">
        <f>IF(OR(E5193="",E5193="!!!",F5193="NEW"),"",INDEX(B5192:B$2,-1+SUMPRODUCT(MAX(ROW(E5192:E$2)*(E5193=E5192:E$2)))))</f>
        <v> </v>
      </c>
      <c r="J5193" s="26" t="str">
        <f>IF(OR(E5193="",E5193="!!!",F5193="NEW"),"",COUNTBLANK(OFFSET(A$1,,,SUMPRODUCT(MAX(ROW(E$2:E5193)*(E5193=E$2:E5193)))))-COUNTBLANK(OFFSET(A$1,,,SUMPRODUCT(MAX(ROW(E$1:E5192)*(E2=E$1:E5192))))))</f>
        <v> </v>
      </c>
      <c r="K5193" s="26" t="str">
        <f>IF(OR(E5193="",E5193="!!!",F5193="NEW"),"",INDEX(J$1:J5192,SUMPRODUCT(MAX(ROW(E$1:E5192)*(E5193=E$1:E5192)))))</f>
        <v> </v>
      </c>
      <c r="L5193" s="27"/>
    </row>
    <row r="5194" spans="1:12">
      <c r="A5194" s="20" t="s">
        <v>1234</v>
      </c>
      <c r="E5194" s="22">
        <f>IF(D5194="?OLD","!!!","")</f>
        <v/>
      </c>
      <c r="F5194" s="23" t="str">
        <f>IF(OR(E5194="",E5194="!!!"),"",IF(NOT(ISNA(VLOOKUP(E5194,E$1:E5193,1,FALSE()))),"OLD",IF(AND(E5194&lt;&gt;"",E5194&lt;&gt;"!!!"),"NEW","")))</f>
        <v> </v>
      </c>
      <c r="G5194" s="24" t="str">
        <f>IF(OR(E5194="",E5194="!!!"),"",IF(OR(J5194=0,AND(J5194=1,K5194=1),AND(J5194=1,I5194="SBJ"),AND(J5194=1,I5194=0)),"?IN_FOCUS",IF(J5194&lt;=2,"?ACTIVATED",IF(J5194&lt;&gt;"","?FAMILIAR",IF(F5194="NEW",IF(ISNA(VLOOKUP(E5194,#REF!,1,FALSE())),"?TYPE_IDENTIFIABLE","?REFERENTIAL"),"_")))))</f>
        <v> </v>
      </c>
      <c r="H5194" s="25" t="str">
        <f>IF(J5194&lt;&gt;1,"",IF(I5194="SBJ","CB","?"))</f>
        <v> </v>
      </c>
      <c r="I5194" s="26" t="str">
        <f>IF(OR(E5194="",E5194="!!!",F5194="NEW"),"",INDEX(B5193:B$2,-1+SUMPRODUCT(MAX(ROW(E5193:E$2)*(E5194=E5193:E$2)))))</f>
        <v> </v>
      </c>
      <c r="J5194" s="26" t="str">
        <f>IF(OR(E5194="",E5194="!!!",F5194="NEW"),"",COUNTBLANK(OFFSET(A$1,,,SUMPRODUCT(MAX(ROW(E$2:E5194)*(E5194=E$2:E5194)))))-COUNTBLANK(OFFSET(A$1,,,SUMPRODUCT(MAX(ROW(E$1:E5193)*(E2=E$1:E5193))))))</f>
        <v> </v>
      </c>
      <c r="K5194" s="26" t="str">
        <f>IF(OR(E5194="",E5194="!!!",F5194="NEW"),"",INDEX(J$1:J5193,SUMPRODUCT(MAX(ROW(E$1:E5193)*(E5194=E$1:E5193)))))</f>
        <v> </v>
      </c>
      <c r="L5194" s="27"/>
    </row>
    <row r="5195" spans="1:12">
      <c r="A5195" s="20" t="s">
        <v>1100</v>
      </c>
      <c r="E5195" s="22">
        <f>IF(D5195="?OLD","!!!","")</f>
        <v/>
      </c>
      <c r="F5195" s="23" t="str">
        <f>IF(OR(E5195="",E5195="!!!"),"",IF(NOT(ISNA(VLOOKUP(E5195,E$1:E5194,1,FALSE()))),"OLD",IF(AND(E5195&lt;&gt;"",E5195&lt;&gt;"!!!"),"NEW","")))</f>
        <v> </v>
      </c>
      <c r="G5195" s="24" t="str">
        <f>IF(OR(E5195="",E5195="!!!"),"",IF(OR(J5195=0,AND(J5195=1,K5195=1),AND(J5195=1,I5195="SBJ"),AND(J5195=1,I5195=0)),"?IN_FOCUS",IF(J5195&lt;=2,"?ACTIVATED",IF(J5195&lt;&gt;"","?FAMILIAR",IF(F5195="NEW",IF(ISNA(VLOOKUP(E5195,#REF!,1,FALSE())),"?TYPE_IDENTIFIABLE","?REFERENTIAL"),"_")))))</f>
        <v> </v>
      </c>
      <c r="H5195" s="25" t="str">
        <f>IF(J5195&lt;&gt;1,"",IF(I5195="SBJ","CB","?"))</f>
        <v> </v>
      </c>
      <c r="I5195" s="26" t="str">
        <f>IF(OR(E5195="",E5195="!!!",F5195="NEW"),"",INDEX(B5194:B$2,-1+SUMPRODUCT(MAX(ROW(E5194:E$2)*(E5195=E5194:E$2)))))</f>
        <v> </v>
      </c>
      <c r="J5195" s="26" t="str">
        <f>IF(OR(E5195="",E5195="!!!",F5195="NEW"),"",COUNTBLANK(OFFSET(A$1,,,SUMPRODUCT(MAX(ROW(E$2:E5195)*(E5195=E$2:E5195)))))-COUNTBLANK(OFFSET(A$1,,,SUMPRODUCT(MAX(ROW(E$1:E5194)*(E2=E$1:E5194))))))</f>
        <v> </v>
      </c>
      <c r="K5195" s="26" t="str">
        <f>IF(OR(E5195="",E5195="!!!",F5195="NEW"),"",INDEX(J$1:J5194,SUMPRODUCT(MAX(ROW(E$1:E5194)*(E5195=E$1:E5194)))))</f>
        <v> </v>
      </c>
      <c r="L5195" s="27"/>
    </row>
    <row r="5196" spans="1:12">
      <c r="A5196" s="20" t="s">
        <v>1173</v>
      </c>
      <c r="E5196" s="22">
        <f>IF(D5196="?OLD","!!!","")</f>
        <v/>
      </c>
      <c r="F5196" s="23" t="str">
        <f>IF(OR(E5196="",E5196="!!!"),"",IF(NOT(ISNA(VLOOKUP(E5196,E$1:E5195,1,FALSE()))),"OLD",IF(AND(E5196&lt;&gt;"",E5196&lt;&gt;"!!!"),"NEW","")))</f>
        <v> </v>
      </c>
      <c r="G5196" s="24" t="str">
        <f>IF(OR(E5196="",E5196="!!!"),"",IF(OR(J5196=0,AND(J5196=1,K5196=1),AND(J5196=1,I5196="SBJ"),AND(J5196=1,I5196=0)),"?IN_FOCUS",IF(J5196&lt;=2,"?ACTIVATED",IF(J5196&lt;&gt;"","?FAMILIAR",IF(F5196="NEW",IF(ISNA(VLOOKUP(E5196,#REF!,1,FALSE())),"?TYPE_IDENTIFIABLE","?REFERENTIAL"),"_")))))</f>
        <v> </v>
      </c>
      <c r="H5196" s="25" t="str">
        <f>IF(J5196&lt;&gt;1,"",IF(I5196="SBJ","CB","?"))</f>
        <v> </v>
      </c>
      <c r="I5196" s="26" t="str">
        <f>IF(OR(E5196="",E5196="!!!",F5196="NEW"),"",INDEX(B5195:B$2,-1+SUMPRODUCT(MAX(ROW(E5195:E$2)*(E5196=E5195:E$2)))))</f>
        <v> </v>
      </c>
      <c r="J5196" s="26" t="str">
        <f>IF(OR(E5196="",E5196="!!!",F5196="NEW"),"",COUNTBLANK(OFFSET(A$1,,,SUMPRODUCT(MAX(ROW(E$2:E5196)*(E5196=E$2:E5196)))))-COUNTBLANK(OFFSET(A$1,,,SUMPRODUCT(MAX(ROW(E$1:E5195)*(E2=E$1:E5195))))))</f>
        <v> </v>
      </c>
      <c r="K5196" s="26" t="str">
        <f>IF(OR(E5196="",E5196="!!!",F5196="NEW"),"",INDEX(J$1:J5195,SUMPRODUCT(MAX(ROW(E$1:E5195)*(E5196=E$1:E5195)))))</f>
        <v> </v>
      </c>
      <c r="L5196" s="27"/>
    </row>
    <row r="5197" spans="1:12">
      <c r="A5197" s="20" t="s">
        <v>263</v>
      </c>
      <c r="E5197" s="22">
        <f>IF(D5197="?OLD","!!!","")</f>
        <v/>
      </c>
      <c r="F5197" s="23" t="str">
        <f>IF(OR(E5197="",E5197="!!!"),"",IF(NOT(ISNA(VLOOKUP(E5197,E$1:E5196,1,FALSE()))),"OLD",IF(AND(E5197&lt;&gt;"",E5197&lt;&gt;"!!!"),"NEW","")))</f>
        <v> </v>
      </c>
      <c r="G5197" s="24" t="str">
        <f>IF(OR(E5197="",E5197="!!!"),"",IF(OR(J5197=0,AND(J5197=1,K5197=1),AND(J5197=1,I5197="SBJ"),AND(J5197=1,I5197=0)),"?IN_FOCUS",IF(J5197&lt;=2,"?ACTIVATED",IF(J5197&lt;&gt;"","?FAMILIAR",IF(F5197="NEW",IF(ISNA(VLOOKUP(E5197,#REF!,1,FALSE())),"?TYPE_IDENTIFIABLE","?REFERENTIAL"),"_")))))</f>
        <v> </v>
      </c>
      <c r="H5197" s="25" t="str">
        <f>IF(J5197&lt;&gt;1,"",IF(I5197="SBJ","CB","?"))</f>
        <v> </v>
      </c>
      <c r="I5197" s="26" t="str">
        <f>IF(OR(E5197="",E5197="!!!",F5197="NEW"),"",INDEX(B5196:B$2,-1+SUMPRODUCT(MAX(ROW(E5196:E$2)*(E5197=E5196:E$2)))))</f>
        <v> </v>
      </c>
      <c r="J5197" s="26" t="str">
        <f>IF(OR(E5197="",E5197="!!!",F5197="NEW"),"",COUNTBLANK(OFFSET(A$1,,,SUMPRODUCT(MAX(ROW(E$2:E5197)*(E5197=E$2:E5197)))))-COUNTBLANK(OFFSET(A$1,,,SUMPRODUCT(MAX(ROW(E$1:E5196)*(E2=E$1:E5196))))))</f>
        <v> </v>
      </c>
      <c r="K5197" s="26" t="str">
        <f>IF(OR(E5197="",E5197="!!!",F5197="NEW"),"",INDEX(J$1:J5196,SUMPRODUCT(MAX(ROW(E$1:E5196)*(E5197=E$1:E5196)))))</f>
        <v> </v>
      </c>
      <c r="L5197" s="27"/>
    </row>
    <row r="5198" spans="1:12">
      <c r="A5198" s="20" t="s">
        <v>1042</v>
      </c>
      <c r="E5198" s="22">
        <f>IF(D5198="?OLD","!!!","")</f>
        <v/>
      </c>
      <c r="F5198" s="23" t="str">
        <f>IF(OR(E5198="",E5198="!!!"),"",IF(NOT(ISNA(VLOOKUP(E5198,E$1:E5197,1,FALSE()))),"OLD",IF(AND(E5198&lt;&gt;"",E5198&lt;&gt;"!!!"),"NEW","")))</f>
        <v> </v>
      </c>
      <c r="G5198" s="24" t="str">
        <f>IF(OR(E5198="",E5198="!!!"),"",IF(OR(J5198=0,AND(J5198=1,K5198=1),AND(J5198=1,I5198="SBJ"),AND(J5198=1,I5198=0)),"?IN_FOCUS",IF(J5198&lt;=2,"?ACTIVATED",IF(J5198&lt;&gt;"","?FAMILIAR",IF(F5198="NEW",IF(ISNA(VLOOKUP(E5198,#REF!,1,FALSE())),"?TYPE_IDENTIFIABLE","?REFERENTIAL"),"_")))))</f>
        <v> </v>
      </c>
      <c r="H5198" s="25" t="str">
        <f>IF(J5198&lt;&gt;1,"",IF(I5198="SBJ","CB","?"))</f>
        <v> </v>
      </c>
      <c r="I5198" s="26" t="str">
        <f>IF(OR(E5198="",E5198="!!!",F5198="NEW"),"",INDEX(B5197:B$2,-1+SUMPRODUCT(MAX(ROW(E5197:E$2)*(E5198=E5197:E$2)))))</f>
        <v> </v>
      </c>
      <c r="J5198" s="26" t="str">
        <f>IF(OR(E5198="",E5198="!!!",F5198="NEW"),"",COUNTBLANK(OFFSET(A$1,,,SUMPRODUCT(MAX(ROW(E$2:E5198)*(E5198=E$2:E5198)))))-COUNTBLANK(OFFSET(A$1,,,SUMPRODUCT(MAX(ROW(E$1:E5197)*(E2=E$1:E5197))))))</f>
        <v> </v>
      </c>
      <c r="K5198" s="26" t="str">
        <f>IF(OR(E5198="",E5198="!!!",F5198="NEW"),"",INDEX(J$1:J5197,SUMPRODUCT(MAX(ROW(E$1:E5197)*(E5198=E$1:E5197)))))</f>
        <v> </v>
      </c>
      <c r="L5198" s="27"/>
    </row>
    <row r="5199" spans="1:12">
      <c r="A5199" s="20" t="s">
        <v>2168</v>
      </c>
      <c r="E5199" s="22">
        <f>IF(D5199="?OLD","!!!","")</f>
        <v/>
      </c>
      <c r="F5199" s="23" t="str">
        <f>IF(OR(E5199="",E5199="!!!"),"",IF(NOT(ISNA(VLOOKUP(E5199,E$1:E5198,1,FALSE()))),"OLD",IF(AND(E5199&lt;&gt;"",E5199&lt;&gt;"!!!"),"NEW","")))</f>
        <v> </v>
      </c>
      <c r="G5199" s="24" t="str">
        <f>IF(OR(E5199="",E5199="!!!"),"",IF(OR(J5199=0,AND(J5199=1,K5199=1),AND(J5199=1,I5199="SBJ"),AND(J5199=1,I5199=0)),"?IN_FOCUS",IF(J5199&lt;=2,"?ACTIVATED",IF(J5199&lt;&gt;"","?FAMILIAR",IF(F5199="NEW",IF(ISNA(VLOOKUP(E5199,#REF!,1,FALSE())),"?TYPE_IDENTIFIABLE","?REFERENTIAL"),"_")))))</f>
        <v> </v>
      </c>
      <c r="H5199" s="25" t="str">
        <f>IF(J5199&lt;&gt;1,"",IF(I5199="SBJ","CB","?"))</f>
        <v> </v>
      </c>
      <c r="I5199" s="26" t="str">
        <f>IF(OR(E5199="",E5199="!!!",F5199="NEW"),"",INDEX(B5198:B$2,-1+SUMPRODUCT(MAX(ROW(E5198:E$2)*(E5199=E5198:E$2)))))</f>
        <v> </v>
      </c>
      <c r="J5199" s="26" t="str">
        <f>IF(OR(E5199="",E5199="!!!",F5199="NEW"),"",COUNTBLANK(OFFSET(A$1,,,SUMPRODUCT(MAX(ROW(E$2:E5199)*(E5199=E$2:E5199)))))-COUNTBLANK(OFFSET(A$1,,,SUMPRODUCT(MAX(ROW(E$1:E5198)*(E2=E$1:E5198))))))</f>
        <v> </v>
      </c>
      <c r="K5199" s="26" t="str">
        <f>IF(OR(E5199="",E5199="!!!",F5199="NEW"),"",INDEX(J$1:J5198,SUMPRODUCT(MAX(ROW(E$1:E5198)*(E5199=E$1:E5198)))))</f>
        <v> </v>
      </c>
      <c r="L5199" s="27"/>
    </row>
    <row r="5200" spans="1:12">
      <c r="A5200" s="20" t="s">
        <v>2183</v>
      </c>
      <c r="B5200" s="21" t="s">
        <v>1039</v>
      </c>
      <c r="C5200" s="21" t="s">
        <v>1044</v>
      </c>
      <c r="D5200" s="21" t="s">
        <v>1011</v>
      </c>
      <c r="E5200" s="22">
        <f>IF(D5200="?OLD","!!!","")</f>
        <v/>
      </c>
      <c r="F5200" s="23" t="str">
        <f>IF(OR(E5200="",E5200="!!!"),"",IF(NOT(ISNA(VLOOKUP(E5200,E$1:E5199,1,FALSE()))),"OLD",IF(AND(E5200&lt;&gt;"",E5200&lt;&gt;"!!!"),"NEW","")))</f>
        <v> </v>
      </c>
      <c r="G5200" s="24" t="str">
        <f>IF(OR(E5200="",E5200="!!!"),"",IF(OR(J5200=0,AND(J5200=1,K5200=1),AND(J5200=1,I5200="SBJ"),AND(J5200=1,I5200=0)),"?IN_FOCUS",IF(J5200&lt;=2,"?ACTIVATED",IF(J5200&lt;&gt;"","?FAMILIAR",IF(F5200="NEW",IF(ISNA(VLOOKUP(E5200,#REF!,1,FALSE())),"?TYPE_IDENTIFIABLE","?REFERENTIAL"),"_")))))</f>
        <v> </v>
      </c>
      <c r="H5200" s="25" t="str">
        <f>IF(J5200&lt;&gt;1,"",IF(I5200="SBJ","CB","?"))</f>
        <v> </v>
      </c>
      <c r="I5200" s="26" t="str">
        <f>IF(OR(E5200="",E5200="!!!",F5200="NEW"),"",INDEX(B5199:B$2,-1+SUMPRODUCT(MAX(ROW(E5199:E$2)*(E5200=E5199:E$2)))))</f>
        <v> </v>
      </c>
      <c r="J5200" s="26" t="str">
        <f>IF(OR(E5200="",E5200="!!!",F5200="NEW"),"",COUNTBLANK(OFFSET(A$1,,,SUMPRODUCT(MAX(ROW(E$2:E5200)*(E5200=E$2:E5200)))))-COUNTBLANK(OFFSET(A$1,,,SUMPRODUCT(MAX(ROW(E$1:E5199)*(E2=E$1:E5199))))))</f>
        <v> </v>
      </c>
      <c r="K5200" s="26" t="str">
        <f>IF(OR(E5200="",E5200="!!!",F5200="NEW"),"",INDEX(J$1:J5199,SUMPRODUCT(MAX(ROW(E$1:E5199)*(E5200=E$1:E5199)))))</f>
        <v> </v>
      </c>
      <c r="L5200" s="27"/>
    </row>
    <row r="5201" spans="1:12">
      <c r="A5201" s="20" t="s">
        <v>1018</v>
      </c>
      <c r="E5201" s="22">
        <f>IF(D5201="?OLD","!!!","")</f>
        <v/>
      </c>
      <c r="F5201" s="23" t="str">
        <f>IF(OR(E5201="",E5201="!!!"),"",IF(NOT(ISNA(VLOOKUP(E5201,E$1:E5200,1,FALSE()))),"OLD",IF(AND(E5201&lt;&gt;"",E5201&lt;&gt;"!!!"),"NEW","")))</f>
        <v> </v>
      </c>
      <c r="G5201" s="24" t="str">
        <f>IF(OR(E5201="",E5201="!!!"),"",IF(OR(J5201=0,AND(J5201=1,K5201=1),AND(J5201=1,I5201="SBJ"),AND(J5201=1,I5201=0)),"?IN_FOCUS",IF(J5201&lt;=2,"?ACTIVATED",IF(J5201&lt;&gt;"","?FAMILIAR",IF(F5201="NEW",IF(ISNA(VLOOKUP(E5201,#REF!,1,FALSE())),"?TYPE_IDENTIFIABLE","?REFERENTIAL"),"_")))))</f>
        <v> </v>
      </c>
      <c r="H5201" s="25" t="str">
        <f>IF(J5201&lt;&gt;1,"",IF(I5201="SBJ","CB","?"))</f>
        <v> </v>
      </c>
      <c r="I5201" s="26" t="str">
        <f>IF(OR(E5201="",E5201="!!!",F5201="NEW"),"",INDEX(B5200:B$2,-1+SUMPRODUCT(MAX(ROW(E5200:E$2)*(E5201=E5200:E$2)))))</f>
        <v> </v>
      </c>
      <c r="J5201" s="26" t="str">
        <f>IF(OR(E5201="",E5201="!!!",F5201="NEW"),"",COUNTBLANK(OFFSET(A$1,,,SUMPRODUCT(MAX(ROW(E$2:E5201)*(E5201=E$2:E5201)))))-COUNTBLANK(OFFSET(A$1,,,SUMPRODUCT(MAX(ROW(E$1:E5200)*(E2=E$1:E5200))))))</f>
        <v> </v>
      </c>
      <c r="K5201" s="26" t="str">
        <f>IF(OR(E5201="",E5201="!!!",F5201="NEW"),"",INDEX(J$1:J5200,SUMPRODUCT(MAX(ROW(E$1:E5200)*(E5201=E$1:E5200)))))</f>
        <v> </v>
      </c>
      <c r="L5201" s="27"/>
    </row>
    <row r="5202" spans="1:12">
      <c r="A5202" s="20" t="s">
        <v>1099</v>
      </c>
      <c r="E5202" s="22">
        <f>IF(D5202="?OLD","!!!","")</f>
        <v/>
      </c>
      <c r="F5202" s="23" t="str">
        <f>IF(OR(E5202="",E5202="!!!"),"",IF(NOT(ISNA(VLOOKUP(E5202,E$1:E5201,1,FALSE()))),"OLD",IF(AND(E5202&lt;&gt;"",E5202&lt;&gt;"!!!"),"NEW","")))</f>
        <v> </v>
      </c>
      <c r="G5202" s="24" t="str">
        <f>IF(OR(E5202="",E5202="!!!"),"",IF(OR(J5202=0,AND(J5202=1,K5202=1),AND(J5202=1,I5202="SBJ"),AND(J5202=1,I5202=0)),"?IN_FOCUS",IF(J5202&lt;=2,"?ACTIVATED",IF(J5202&lt;&gt;"","?FAMILIAR",IF(F5202="NEW",IF(ISNA(VLOOKUP(E5202,#REF!,1,FALSE())),"?TYPE_IDENTIFIABLE","?REFERENTIAL"),"_")))))</f>
        <v> </v>
      </c>
      <c r="H5202" s="25" t="str">
        <f>IF(J5202&lt;&gt;1,"",IF(I5202="SBJ","CB","?"))</f>
        <v> </v>
      </c>
      <c r="I5202" s="26" t="str">
        <f>IF(OR(E5202="",E5202="!!!",F5202="NEW"),"",INDEX(B5201:B$2,-1+SUMPRODUCT(MAX(ROW(E5201:E$2)*(E5202=E5201:E$2)))))</f>
        <v> </v>
      </c>
      <c r="J5202" s="26" t="str">
        <f>IF(OR(E5202="",E5202="!!!",F5202="NEW"),"",COUNTBLANK(OFFSET(A$1,,,SUMPRODUCT(MAX(ROW(E$2:E5202)*(E5202=E$2:E5202)))))-COUNTBLANK(OFFSET(A$1,,,SUMPRODUCT(MAX(ROW(E$1:E5201)*(E2=E$1:E5201))))))</f>
        <v> </v>
      </c>
      <c r="K5202" s="26" t="str">
        <f>IF(OR(E5202="",E5202="!!!",F5202="NEW"),"",INDEX(J$1:J5201,SUMPRODUCT(MAX(ROW(E$1:E5201)*(E5202=E$1:E5201)))))</f>
        <v> </v>
      </c>
      <c r="L5202" s="27"/>
    </row>
    <row r="5203" spans="1:12">
      <c r="A5203" s="20"/>
    </row>
    <row r="5204" spans="1:12">
      <c r="A5204" s="20" t="s">
        <v>2184</v>
      </c>
    </row>
    <row r="5205" spans="1:12">
      <c r="A5205" s="20" t="s">
        <v>2185</v>
      </c>
      <c r="E5205" s="22">
        <f>IF(D5205="?OLD","!!!","")</f>
        <v/>
      </c>
      <c r="F5205" s="23" t="str">
        <f>IF(OR(E5205="",E5205="!!!"),"",IF(NOT(ISNA(VLOOKUP(E5205,E$1:E5204,1,FALSE()))),"OLD",IF(AND(E5205&lt;&gt;"",E5205&lt;&gt;"!!!"),"NEW","")))</f>
        <v> </v>
      </c>
      <c r="G5205" s="24" t="str">
        <f>IF(OR(E5205="",E5205="!!!"),"",IF(OR(J5205=0,AND(J5205=1,K5205=1),AND(J5205=1,I5205="SBJ"),AND(J5205=1,I5205=0)),"?IN_FOCUS",IF(J5205&lt;=2,"?ACTIVATED",IF(J5205&lt;&gt;"","?FAMILIAR",IF(F5205="NEW",IF(ISNA(VLOOKUP(E5205,#REF!,1,FALSE())),"?TYPE_IDENTIFIABLE","?REFERENTIAL"),"_")))))</f>
        <v> </v>
      </c>
      <c r="H5205" s="25" t="str">
        <f>IF(J5205&lt;&gt;1,"",IF(I5205="SBJ","CB","?"))</f>
        <v> </v>
      </c>
      <c r="I5205" s="26" t="str">
        <f>IF(OR(E5205="",E5205="!!!",F5205="NEW"),"",INDEX(B5204:B$2,-1+SUMPRODUCT(MAX(ROW(E5204:E$2)*(E5205=E5204:E$2)))))</f>
        <v> </v>
      </c>
      <c r="J5205" s="26" t="str">
        <f>IF(OR(E5205="",E5205="!!!",F5205="NEW"),"",COUNTBLANK(OFFSET(A$1,,,SUMPRODUCT(MAX(ROW(E$2:E5205)*(E5205=E$2:E5205)))))-COUNTBLANK(OFFSET(A$1,,,SUMPRODUCT(MAX(ROW(E$1:E5204)*(E2=E$1:E5204))))))</f>
        <v> </v>
      </c>
      <c r="K5205" s="26" t="str">
        <f>IF(OR(E5205="",E5205="!!!",F5205="NEW"),"",INDEX(J$1:J5204,SUMPRODUCT(MAX(ROW(E$1:E5204)*(E5205=E$1:E5204)))))</f>
        <v> </v>
      </c>
      <c r="L5205" s="27"/>
    </row>
    <row r="5206" spans="1:12">
      <c r="A5206" s="20" t="s">
        <v>1025</v>
      </c>
      <c r="B5206" s="21" t="s">
        <v>1039</v>
      </c>
      <c r="C5206" s="21" t="s">
        <v>1026</v>
      </c>
      <c r="D5206" s="21" t="s">
        <v>1011</v>
      </c>
      <c r="E5206" s="22">
        <f>IF(D5206="?OLD","!!!","")</f>
        <v/>
      </c>
      <c r="F5206" s="23" t="str">
        <f>IF(OR(E5206="",E5206="!!!"),"",IF(NOT(ISNA(VLOOKUP(E5206,E$1:E5205,1,FALSE()))),"OLD",IF(AND(E5206&lt;&gt;"",E5206&lt;&gt;"!!!"),"NEW","")))</f>
        <v> </v>
      </c>
      <c r="G5206" s="24" t="str">
        <f>IF(OR(E5206="",E5206="!!!"),"",IF(OR(J5206=0,AND(J5206=1,K5206=1),AND(J5206=1,I5206="SBJ"),AND(J5206=1,I5206=0)),"?IN_FOCUS",IF(J5206&lt;=2,"?ACTIVATED",IF(J5206&lt;&gt;"","?FAMILIAR",IF(F5206="NEW",IF(ISNA(VLOOKUP(E5206,#REF!,1,FALSE())),"?TYPE_IDENTIFIABLE","?REFERENTIAL"),"_")))))</f>
        <v> </v>
      </c>
      <c r="H5206" s="25" t="str">
        <f>IF(J5206&lt;&gt;1,"",IF(I5206="SBJ","CB","?"))</f>
        <v> </v>
      </c>
      <c r="I5206" s="26" t="str">
        <f>IF(OR(E5206="",E5206="!!!",F5206="NEW"),"",INDEX(B5205:B$2,-1+SUMPRODUCT(MAX(ROW(E5205:E$2)*(E5206=E5205:E$2)))))</f>
        <v> </v>
      </c>
      <c r="J5206" s="26" t="str">
        <f>IF(OR(E5206="",E5206="!!!",F5206="NEW"),"",COUNTBLANK(OFFSET(A$1,,,SUMPRODUCT(MAX(ROW(E$2:E5206)*(E5206=E$2:E5206)))))-COUNTBLANK(OFFSET(A$1,,,SUMPRODUCT(MAX(ROW(E$1:E5205)*(E2=E$1:E5205))))))</f>
        <v> </v>
      </c>
      <c r="K5206" s="26" t="str">
        <f>IF(OR(E5206="",E5206="!!!",F5206="NEW"),"",INDEX(J$1:J5205,SUMPRODUCT(MAX(ROW(E$1:E5205)*(E5206=E$1:E5205)))))</f>
        <v> </v>
      </c>
      <c r="L5206" s="27"/>
    </row>
    <row r="5207" spans="1:12">
      <c r="A5207" s="20" t="s">
        <v>82</v>
      </c>
      <c r="E5207" s="22">
        <f>IF(D5207="?OLD","!!!","")</f>
        <v/>
      </c>
      <c r="F5207" s="23" t="str">
        <f>IF(OR(E5207="",E5207="!!!"),"",IF(NOT(ISNA(VLOOKUP(E5207,E$1:E5206,1,FALSE()))),"OLD",IF(AND(E5207&lt;&gt;"",E5207&lt;&gt;"!!!"),"NEW","")))</f>
        <v> </v>
      </c>
      <c r="G5207" s="24" t="str">
        <f>IF(OR(E5207="",E5207="!!!"),"",IF(OR(J5207=0,AND(J5207=1,K5207=1),AND(J5207=1,I5207="SBJ"),AND(J5207=1,I5207=0)),"?IN_FOCUS",IF(J5207&lt;=2,"?ACTIVATED",IF(J5207&lt;&gt;"","?FAMILIAR",IF(F5207="NEW",IF(ISNA(VLOOKUP(E5207,#REF!,1,FALSE())),"?TYPE_IDENTIFIABLE","?REFERENTIAL"),"_")))))</f>
        <v> </v>
      </c>
      <c r="H5207" s="25" t="str">
        <f>IF(J5207&lt;&gt;1,"",IF(I5207="SBJ","CB","?"))</f>
        <v> </v>
      </c>
      <c r="I5207" s="26" t="str">
        <f>IF(OR(E5207="",E5207="!!!",F5207="NEW"),"",INDEX(B5206:B$2,-1+SUMPRODUCT(MAX(ROW(E5206:E$2)*(E5207=E5206:E$2)))))</f>
        <v> </v>
      </c>
      <c r="J5207" s="26" t="str">
        <f>IF(OR(E5207="",E5207="!!!",F5207="NEW"),"",COUNTBLANK(OFFSET(A$1,,,SUMPRODUCT(MAX(ROW(E$2:E5207)*(E5207=E$2:E5207)))))-COUNTBLANK(OFFSET(A$1,,,SUMPRODUCT(MAX(ROW(E$1:E5206)*(E2=E$1:E5206))))))</f>
        <v> </v>
      </c>
      <c r="K5207" s="26" t="str">
        <f>IF(OR(E5207="",E5207="!!!",F5207="NEW"),"",INDEX(J$1:J5206,SUMPRODUCT(MAX(ROW(E$1:E5206)*(E5207=E$1:E5206)))))</f>
        <v> </v>
      </c>
      <c r="L5207" s="27"/>
    </row>
    <row r="5208" spans="1:12">
      <c r="A5208" s="20" t="s">
        <v>1074</v>
      </c>
      <c r="E5208" s="22">
        <f>IF(D5208="?OLD","!!!","")</f>
        <v/>
      </c>
      <c r="F5208" s="23" t="str">
        <f>IF(OR(E5208="",E5208="!!!"),"",IF(NOT(ISNA(VLOOKUP(E5208,E$1:E5207,1,FALSE()))),"OLD",IF(AND(E5208&lt;&gt;"",E5208&lt;&gt;"!!!"),"NEW","")))</f>
        <v> </v>
      </c>
      <c r="G5208" s="24" t="str">
        <f>IF(OR(E5208="",E5208="!!!"),"",IF(OR(J5208=0,AND(J5208=1,K5208=1),AND(J5208=1,I5208="SBJ"),AND(J5208=1,I5208=0)),"?IN_FOCUS",IF(J5208&lt;=2,"?ACTIVATED",IF(J5208&lt;&gt;"","?FAMILIAR",IF(F5208="NEW",IF(ISNA(VLOOKUP(E5208,#REF!,1,FALSE())),"?TYPE_IDENTIFIABLE","?REFERENTIAL"),"_")))))</f>
        <v> </v>
      </c>
      <c r="H5208" s="25" t="str">
        <f>IF(J5208&lt;&gt;1,"",IF(I5208="SBJ","CB","?"))</f>
        <v> </v>
      </c>
      <c r="I5208" s="26" t="str">
        <f>IF(OR(E5208="",E5208="!!!",F5208="NEW"),"",INDEX(B5207:B$2,-1+SUMPRODUCT(MAX(ROW(E5207:E$2)*(E5208=E5207:E$2)))))</f>
        <v> </v>
      </c>
      <c r="J5208" s="26" t="str">
        <f>IF(OR(E5208="",E5208="!!!",F5208="NEW"),"",COUNTBLANK(OFFSET(A$1,,,SUMPRODUCT(MAX(ROW(E$2:E5208)*(E5208=E$2:E5208)))))-COUNTBLANK(OFFSET(A$1,,,SUMPRODUCT(MAX(ROW(E$1:E5207)*(E2=E$1:E5207))))))</f>
        <v> </v>
      </c>
      <c r="K5208" s="26" t="str">
        <f>IF(OR(E5208="",E5208="!!!",F5208="NEW"),"",INDEX(J$1:J5207,SUMPRODUCT(MAX(ROW(E$1:E5207)*(E5208=E$1:E5207)))))</f>
        <v> </v>
      </c>
      <c r="L5208" s="27"/>
    </row>
    <row r="5209" spans="1:12">
      <c r="A5209" s="20" t="s">
        <v>1042</v>
      </c>
      <c r="E5209" s="22">
        <f>IF(D5209="?OLD","!!!","")</f>
        <v/>
      </c>
      <c r="F5209" s="23" t="str">
        <f>IF(OR(E5209="",E5209="!!!"),"",IF(NOT(ISNA(VLOOKUP(E5209,E$1:E5208,1,FALSE()))),"OLD",IF(AND(E5209&lt;&gt;"",E5209&lt;&gt;"!!!"),"NEW","")))</f>
        <v> </v>
      </c>
      <c r="G5209" s="24" t="str">
        <f>IF(OR(E5209="",E5209="!!!"),"",IF(OR(J5209=0,AND(J5209=1,K5209=1),AND(J5209=1,I5209="SBJ"),AND(J5209=1,I5209=0)),"?IN_FOCUS",IF(J5209&lt;=2,"?ACTIVATED",IF(J5209&lt;&gt;"","?FAMILIAR",IF(F5209="NEW",IF(ISNA(VLOOKUP(E5209,#REF!,1,FALSE())),"?TYPE_IDENTIFIABLE","?REFERENTIAL"),"_")))))</f>
        <v> </v>
      </c>
      <c r="H5209" s="25" t="str">
        <f>IF(J5209&lt;&gt;1,"",IF(I5209="SBJ","CB","?"))</f>
        <v> </v>
      </c>
      <c r="I5209" s="26" t="str">
        <f>IF(OR(E5209="",E5209="!!!",F5209="NEW"),"",INDEX(B5208:B$2,-1+SUMPRODUCT(MAX(ROW(E5208:E$2)*(E5209=E5208:E$2)))))</f>
        <v> </v>
      </c>
      <c r="J5209" s="26" t="str">
        <f>IF(OR(E5209="",E5209="!!!",F5209="NEW"),"",COUNTBLANK(OFFSET(A$1,,,SUMPRODUCT(MAX(ROW(E$2:E5209)*(E5209=E$2:E5209)))))-COUNTBLANK(OFFSET(A$1,,,SUMPRODUCT(MAX(ROW(E$1:E5208)*(E2=E$1:E5208))))))</f>
        <v> </v>
      </c>
      <c r="K5209" s="26" t="str">
        <f>IF(OR(E5209="",E5209="!!!",F5209="NEW"),"",INDEX(J$1:J5208,SUMPRODUCT(MAX(ROW(E$1:E5208)*(E5209=E$1:E5208)))))</f>
        <v> </v>
      </c>
      <c r="L5209" s="27"/>
    </row>
    <row r="5210" spans="1:12">
      <c r="A5210" s="20" t="s">
        <v>500</v>
      </c>
      <c r="E5210" s="22">
        <f>IF(D5210="?OLD","!!!","")</f>
        <v/>
      </c>
      <c r="F5210" s="23" t="str">
        <f>IF(OR(E5210="",E5210="!!!"),"",IF(NOT(ISNA(VLOOKUP(E5210,E$1:E5209,1,FALSE()))),"OLD",IF(AND(E5210&lt;&gt;"",E5210&lt;&gt;"!!!"),"NEW","")))</f>
        <v> </v>
      </c>
      <c r="G5210" s="24" t="str">
        <f>IF(OR(E5210="",E5210="!!!"),"",IF(OR(J5210=0,AND(J5210=1,K5210=1),AND(J5210=1,I5210="SBJ"),AND(J5210=1,I5210=0)),"?IN_FOCUS",IF(J5210&lt;=2,"?ACTIVATED",IF(J5210&lt;&gt;"","?FAMILIAR",IF(F5210="NEW",IF(ISNA(VLOOKUP(E5210,#REF!,1,FALSE())),"?TYPE_IDENTIFIABLE","?REFERENTIAL"),"_")))))</f>
        <v> </v>
      </c>
      <c r="H5210" s="25" t="str">
        <f>IF(J5210&lt;&gt;1,"",IF(I5210="SBJ","CB","?"))</f>
        <v> </v>
      </c>
      <c r="I5210" s="26" t="str">
        <f>IF(OR(E5210="",E5210="!!!",F5210="NEW"),"",INDEX(B5209:B$2,-1+SUMPRODUCT(MAX(ROW(E5209:E$2)*(E5210=E5209:E$2)))))</f>
        <v> </v>
      </c>
      <c r="J5210" s="26" t="str">
        <f>IF(OR(E5210="",E5210="!!!",F5210="NEW"),"",COUNTBLANK(OFFSET(A$1,,,SUMPRODUCT(MAX(ROW(E$2:E5210)*(E5210=E$2:E5210)))))-COUNTBLANK(OFFSET(A$1,,,SUMPRODUCT(MAX(ROW(E$1:E5209)*(E2=E$1:E5209))))))</f>
        <v> </v>
      </c>
      <c r="K5210" s="26" t="str">
        <f>IF(OR(E5210="",E5210="!!!",F5210="NEW"),"",INDEX(J$1:J5209,SUMPRODUCT(MAX(ROW(E$1:E5209)*(E5210=E$1:E5209)))))</f>
        <v> </v>
      </c>
      <c r="L5210" s="27"/>
    </row>
    <row r="5211" spans="1:12">
      <c r="A5211" s="20" t="s">
        <v>2186</v>
      </c>
      <c r="B5211" s="21" t="s">
        <v>1009</v>
      </c>
      <c r="C5211" s="21" t="s">
        <v>1044</v>
      </c>
      <c r="D5211" s="21" t="s">
        <v>1011</v>
      </c>
      <c r="E5211" s="22">
        <f>IF(D5211="?OLD","!!!","")</f>
        <v/>
      </c>
      <c r="F5211" s="23" t="str">
        <f>IF(OR(E5211="",E5211="!!!"),"",IF(NOT(ISNA(VLOOKUP(E5211,E$1:E5210,1,FALSE()))),"OLD",IF(AND(E5211&lt;&gt;"",E5211&lt;&gt;"!!!"),"NEW","")))</f>
        <v> </v>
      </c>
      <c r="G5211" s="24" t="str">
        <f>IF(OR(E5211="",E5211="!!!"),"",IF(OR(J5211=0,AND(J5211=1,K5211=1),AND(J5211=1,I5211="SBJ"),AND(J5211=1,I5211=0)),"?IN_FOCUS",IF(J5211&lt;=2,"?ACTIVATED",IF(J5211&lt;&gt;"","?FAMILIAR",IF(F5211="NEW",IF(ISNA(VLOOKUP(E5211,#REF!,1,FALSE())),"?TYPE_IDENTIFIABLE","?REFERENTIAL"),"_")))))</f>
        <v> </v>
      </c>
      <c r="H5211" s="25" t="str">
        <f>IF(J5211&lt;&gt;1,"",IF(I5211="SBJ","CB","?"))</f>
        <v> </v>
      </c>
      <c r="I5211" s="26" t="str">
        <f>IF(OR(E5211="",E5211="!!!",F5211="NEW"),"",INDEX(B5210:B$2,-1+SUMPRODUCT(MAX(ROW(E5210:E$2)*(E5211=E5210:E$2)))))</f>
        <v> </v>
      </c>
      <c r="J5211" s="26" t="str">
        <f>IF(OR(E5211="",E5211="!!!",F5211="NEW"),"",COUNTBLANK(OFFSET(A$1,,,SUMPRODUCT(MAX(ROW(E$2:E5211)*(E5211=E$2:E5211)))))-COUNTBLANK(OFFSET(A$1,,,SUMPRODUCT(MAX(ROW(E$1:E5210)*(E2=E$1:E5210))))))</f>
        <v> </v>
      </c>
      <c r="K5211" s="26" t="str">
        <f>IF(OR(E5211="",E5211="!!!",F5211="NEW"),"",INDEX(J$1:J5210,SUMPRODUCT(MAX(ROW(E$1:E5210)*(E5211=E$1:E5210)))))</f>
        <v> </v>
      </c>
      <c r="L5211" s="27"/>
    </row>
    <row r="5212" spans="1:12">
      <c r="A5212" s="20" t="s">
        <v>1074</v>
      </c>
      <c r="E5212" s="22">
        <f>IF(D5212="?OLD","!!!","")</f>
        <v/>
      </c>
      <c r="F5212" s="23" t="str">
        <f>IF(OR(E5212="",E5212="!!!"),"",IF(NOT(ISNA(VLOOKUP(E5212,E$1:E5211,1,FALSE()))),"OLD",IF(AND(E5212&lt;&gt;"",E5212&lt;&gt;"!!!"),"NEW","")))</f>
        <v> </v>
      </c>
      <c r="G5212" s="24" t="str">
        <f>IF(OR(E5212="",E5212="!!!"),"",IF(OR(J5212=0,AND(J5212=1,K5212=1),AND(J5212=1,I5212="SBJ"),AND(J5212=1,I5212=0)),"?IN_FOCUS",IF(J5212&lt;=2,"?ACTIVATED",IF(J5212&lt;&gt;"","?FAMILIAR",IF(F5212="NEW",IF(ISNA(VLOOKUP(E5212,#REF!,1,FALSE())),"?TYPE_IDENTIFIABLE","?REFERENTIAL"),"_")))))</f>
        <v> </v>
      </c>
      <c r="H5212" s="25" t="str">
        <f>IF(J5212&lt;&gt;1,"",IF(I5212="SBJ","CB","?"))</f>
        <v> </v>
      </c>
      <c r="I5212" s="26" t="str">
        <f>IF(OR(E5212="",E5212="!!!",F5212="NEW"),"",INDEX(B5211:B$2,-1+SUMPRODUCT(MAX(ROW(E5211:E$2)*(E5212=E5211:E$2)))))</f>
        <v> </v>
      </c>
      <c r="J5212" s="26" t="str">
        <f>IF(OR(E5212="",E5212="!!!",F5212="NEW"),"",COUNTBLANK(OFFSET(A$1,,,SUMPRODUCT(MAX(ROW(E$2:E5212)*(E5212=E$2:E5212)))))-COUNTBLANK(OFFSET(A$1,,,SUMPRODUCT(MAX(ROW(E$1:E5211)*(E2=E$1:E5211))))))</f>
        <v> </v>
      </c>
      <c r="K5212" s="26" t="str">
        <f>IF(OR(E5212="",E5212="!!!",F5212="NEW"),"",INDEX(J$1:J5211,SUMPRODUCT(MAX(ROW(E$1:E5211)*(E5212=E$1:E5211)))))</f>
        <v> </v>
      </c>
      <c r="L5212" s="27"/>
    </row>
    <row r="5213" spans="1:12">
      <c r="A5213" s="20" t="s">
        <v>1499</v>
      </c>
      <c r="B5213" s="21" t="s">
        <v>1021</v>
      </c>
      <c r="C5213" s="21" t="s">
        <v>1017</v>
      </c>
      <c r="E5213" s="22">
        <f>IF(D5213="?OLD","!!!","")</f>
        <v/>
      </c>
      <c r="F5213" s="23" t="str">
        <f>IF(OR(E5213="",E5213="!!!"),"",IF(NOT(ISNA(VLOOKUP(E5213,E$1:E5212,1,FALSE()))),"OLD",IF(AND(E5213&lt;&gt;"",E5213&lt;&gt;"!!!"),"NEW","")))</f>
        <v> </v>
      </c>
      <c r="G5213" s="24" t="str">
        <f>IF(OR(E5213="",E5213="!!!"),"",IF(OR(J5213=0,AND(J5213=1,K5213=1),AND(J5213=1,I5213="SBJ"),AND(J5213=1,I5213=0)),"?IN_FOCUS",IF(J5213&lt;=2,"?ACTIVATED",IF(J5213&lt;&gt;"","?FAMILIAR",IF(F5213="NEW",IF(ISNA(VLOOKUP(E5213,#REF!,1,FALSE())),"?TYPE_IDENTIFIABLE","?REFERENTIAL"),"_")))))</f>
        <v> </v>
      </c>
      <c r="H5213" s="25" t="str">
        <f>IF(J5213&lt;&gt;1,"",IF(I5213="SBJ","CB","?"))</f>
        <v> </v>
      </c>
      <c r="I5213" s="26" t="str">
        <f>IF(OR(E5213="",E5213="!!!",F5213="NEW"),"",INDEX(B5212:B$2,-1+SUMPRODUCT(MAX(ROW(E5212:E$2)*(E5213=E5212:E$2)))))</f>
        <v> </v>
      </c>
      <c r="J5213" s="26" t="str">
        <f>IF(OR(E5213="",E5213="!!!",F5213="NEW"),"",COUNTBLANK(OFFSET(A$1,,,SUMPRODUCT(MAX(ROW(E$2:E5213)*(E5213=E$2:E5213)))))-COUNTBLANK(OFFSET(A$1,,,SUMPRODUCT(MAX(ROW(E$1:E5212)*(E2=E$1:E5212))))))</f>
        <v> </v>
      </c>
      <c r="K5213" s="26" t="str">
        <f>IF(OR(E5213="",E5213="!!!",F5213="NEW"),"",INDEX(J$1:J5212,SUMPRODUCT(MAX(ROW(E$1:E5212)*(E5213=E$1:E5212)))))</f>
        <v> </v>
      </c>
      <c r="L5213" s="27"/>
    </row>
    <row r="5214" spans="1:12">
      <c r="A5214" s="20" t="s">
        <v>1050</v>
      </c>
      <c r="B5214" s="21" t="s">
        <v>1071</v>
      </c>
      <c r="C5214" s="21" t="s">
        <v>1017</v>
      </c>
      <c r="E5214" s="22">
        <f>IF(D5214="?OLD","!!!","")</f>
        <v/>
      </c>
      <c r="F5214" s="23" t="str">
        <f>IF(OR(E5214="",E5214="!!!"),"",IF(NOT(ISNA(VLOOKUP(E5214,E$1:E5213,1,FALSE()))),"OLD",IF(AND(E5214&lt;&gt;"",E5214&lt;&gt;"!!!"),"NEW","")))</f>
        <v> </v>
      </c>
      <c r="G5214" s="24" t="str">
        <f>IF(OR(E5214="",E5214="!!!"),"",IF(OR(J5214=0,AND(J5214=1,K5214=1),AND(J5214=1,I5214="SBJ"),AND(J5214=1,I5214=0)),"?IN_FOCUS",IF(J5214&lt;=2,"?ACTIVATED",IF(J5214&lt;&gt;"","?FAMILIAR",IF(F5214="NEW",IF(ISNA(VLOOKUP(E5214,#REF!,1,FALSE())),"?TYPE_IDENTIFIABLE","?REFERENTIAL"),"_")))))</f>
        <v> </v>
      </c>
      <c r="H5214" s="25" t="str">
        <f>IF(J5214&lt;&gt;1,"",IF(I5214="SBJ","CB","?"))</f>
        <v> </v>
      </c>
      <c r="I5214" s="26" t="str">
        <f>IF(OR(E5214="",E5214="!!!",F5214="NEW"),"",INDEX(B5213:B$2,-1+SUMPRODUCT(MAX(ROW(E5213:E$2)*(E5214=E5213:E$2)))))</f>
        <v> </v>
      </c>
      <c r="J5214" s="26" t="str">
        <f>IF(OR(E5214="",E5214="!!!",F5214="NEW"),"",COUNTBLANK(OFFSET(A$1,,,SUMPRODUCT(MAX(ROW(E$2:E5214)*(E5214=E$2:E5214)))))-COUNTBLANK(OFFSET(A$1,,,SUMPRODUCT(MAX(ROW(E$1:E5213)*(E2=E$1:E5213))))))</f>
        <v> </v>
      </c>
      <c r="K5214" s="26" t="str">
        <f>IF(OR(E5214="",E5214="!!!",F5214="NEW"),"",INDEX(J$1:J5213,SUMPRODUCT(MAX(ROW(E$1:E5213)*(E5214=E$1:E5213)))))</f>
        <v> </v>
      </c>
      <c r="L5214" s="27"/>
    </row>
    <row r="5215" spans="1:12">
      <c r="A5215" s="20" t="s">
        <v>759</v>
      </c>
      <c r="E5215" s="22">
        <f>IF(D5215="?OLD","!!!","")</f>
        <v/>
      </c>
      <c r="F5215" s="23" t="str">
        <f>IF(OR(E5215="",E5215="!!!"),"",IF(NOT(ISNA(VLOOKUP(E5215,E$1:E5214,1,FALSE()))),"OLD",IF(AND(E5215&lt;&gt;"",E5215&lt;&gt;"!!!"),"NEW","")))</f>
        <v> </v>
      </c>
      <c r="G5215" s="24" t="str">
        <f>IF(OR(E5215="",E5215="!!!"),"",IF(OR(J5215=0,AND(J5215=1,K5215=1),AND(J5215=1,I5215="SBJ"),AND(J5215=1,I5215=0)),"?IN_FOCUS",IF(J5215&lt;=2,"?ACTIVATED",IF(J5215&lt;&gt;"","?FAMILIAR",IF(F5215="NEW",IF(ISNA(VLOOKUP(E5215,#REF!,1,FALSE())),"?TYPE_IDENTIFIABLE","?REFERENTIAL"),"_")))))</f>
        <v> </v>
      </c>
      <c r="H5215" s="25" t="str">
        <f>IF(J5215&lt;&gt;1,"",IF(I5215="SBJ","CB","?"))</f>
        <v> </v>
      </c>
      <c r="I5215" s="26" t="str">
        <f>IF(OR(E5215="",E5215="!!!",F5215="NEW"),"",INDEX(B5214:B$2,-1+SUMPRODUCT(MAX(ROW(E5214:E$2)*(E5215=E5214:E$2)))))</f>
        <v> </v>
      </c>
      <c r="J5215" s="26" t="str">
        <f>IF(OR(E5215="",E5215="!!!",F5215="NEW"),"",COUNTBLANK(OFFSET(A$1,,,SUMPRODUCT(MAX(ROW(E$2:E5215)*(E5215=E$2:E5215)))))-COUNTBLANK(OFFSET(A$1,,,SUMPRODUCT(MAX(ROW(E$1:E5214)*(E2=E$1:E5214))))))</f>
        <v> </v>
      </c>
      <c r="K5215" s="26" t="str">
        <f>IF(OR(E5215="",E5215="!!!",F5215="NEW"),"",INDEX(J$1:J5214,SUMPRODUCT(MAX(ROW(E$1:E5214)*(E5215=E$1:E5214)))))</f>
        <v> </v>
      </c>
      <c r="L5215" s="27"/>
    </row>
    <row r="5216" spans="1:12">
      <c r="A5216" s="20" t="s">
        <v>2187</v>
      </c>
      <c r="B5216" s="21" t="s">
        <v>1048</v>
      </c>
      <c r="E5216" s="22">
        <f>IF(D5216="?OLD","!!!","")</f>
        <v/>
      </c>
      <c r="F5216" s="23" t="str">
        <f>IF(OR(E5216="",E5216="!!!"),"",IF(NOT(ISNA(VLOOKUP(E5216,E$1:E5215,1,FALSE()))),"OLD",IF(AND(E5216&lt;&gt;"",E5216&lt;&gt;"!!!"),"NEW","")))</f>
        <v> </v>
      </c>
      <c r="G5216" s="24" t="str">
        <f>IF(OR(E5216="",E5216="!!!"),"",IF(OR(J5216=0,AND(J5216=1,K5216=1),AND(J5216=1,I5216="SBJ"),AND(J5216=1,I5216=0)),"?IN_FOCUS",IF(J5216&lt;=2,"?ACTIVATED",IF(J5216&lt;&gt;"","?FAMILIAR",IF(F5216="NEW",IF(ISNA(VLOOKUP(E5216,#REF!,1,FALSE())),"?TYPE_IDENTIFIABLE","?REFERENTIAL"),"_")))))</f>
        <v> </v>
      </c>
      <c r="H5216" s="25" t="str">
        <f>IF(J5216&lt;&gt;1,"",IF(I5216="SBJ","CB","?"))</f>
        <v> </v>
      </c>
      <c r="I5216" s="26" t="str">
        <f>IF(OR(E5216="",E5216="!!!",F5216="NEW"),"",INDEX(B5215:B$2,-1+SUMPRODUCT(MAX(ROW(E5215:E$2)*(E5216=E5215:E$2)))))</f>
        <v> </v>
      </c>
      <c r="J5216" s="26" t="str">
        <f>IF(OR(E5216="",E5216="!!!",F5216="NEW"),"",COUNTBLANK(OFFSET(A$1,,,SUMPRODUCT(MAX(ROW(E$2:E5216)*(E5216=E$2:E5216)))))-COUNTBLANK(OFFSET(A$1,,,SUMPRODUCT(MAX(ROW(E$1:E5215)*(E2=E$1:E5215))))))</f>
        <v> </v>
      </c>
      <c r="K5216" s="26" t="str">
        <f>IF(OR(E5216="",E5216="!!!",F5216="NEW"),"",INDEX(J$1:J5215,SUMPRODUCT(MAX(ROW(E$1:E5215)*(E5216=E$1:E5215)))))</f>
        <v> </v>
      </c>
      <c r="L5216" s="27"/>
    </row>
    <row r="5217" spans="1:12">
      <c r="A5217" s="20" t="s">
        <v>1032</v>
      </c>
      <c r="E5217" s="22">
        <f>IF(D5217="?OLD","!!!","")</f>
        <v/>
      </c>
      <c r="F5217" s="23" t="str">
        <f>IF(OR(E5217="",E5217="!!!"),"",IF(NOT(ISNA(VLOOKUP(E5217,E$1:E5216,1,FALSE()))),"OLD",IF(AND(E5217&lt;&gt;"",E5217&lt;&gt;"!!!"),"NEW","")))</f>
        <v> </v>
      </c>
      <c r="G5217" s="24" t="str">
        <f>IF(OR(E5217="",E5217="!!!"),"",IF(OR(J5217=0,AND(J5217=1,K5217=1),AND(J5217=1,I5217="SBJ"),AND(J5217=1,I5217=0)),"?IN_FOCUS",IF(J5217&lt;=2,"?ACTIVATED",IF(J5217&lt;&gt;"","?FAMILIAR",IF(F5217="NEW",IF(ISNA(VLOOKUP(E5217,#REF!,1,FALSE())),"?TYPE_IDENTIFIABLE","?REFERENTIAL"),"_")))))</f>
        <v> </v>
      </c>
      <c r="H5217" s="25" t="str">
        <f>IF(J5217&lt;&gt;1,"",IF(I5217="SBJ","CB","?"))</f>
        <v> </v>
      </c>
      <c r="I5217" s="26" t="str">
        <f>IF(OR(E5217="",E5217="!!!",F5217="NEW"),"",INDEX(B5216:B$2,-1+SUMPRODUCT(MAX(ROW(E5216:E$2)*(E5217=E5216:E$2)))))</f>
        <v> </v>
      </c>
      <c r="J5217" s="26" t="str">
        <f>IF(OR(E5217="",E5217="!!!",F5217="NEW"),"",COUNTBLANK(OFFSET(A$1,,,SUMPRODUCT(MAX(ROW(E$2:E5217)*(E5217=E$2:E5217)))))-COUNTBLANK(OFFSET(A$1,,,SUMPRODUCT(MAX(ROW(E$1:E5216)*(E2=E$1:E5216))))))</f>
        <v> </v>
      </c>
      <c r="K5217" s="26" t="str">
        <f>IF(OR(E5217="",E5217="!!!",F5217="NEW"),"",INDEX(J$1:J5216,SUMPRODUCT(MAX(ROW(E$1:E5216)*(E5217=E$1:E5216)))))</f>
        <v> </v>
      </c>
      <c r="L5217" s="27"/>
    </row>
    <row r="5218" spans="1:12">
      <c r="A5218" s="20" t="s">
        <v>1254</v>
      </c>
      <c r="E5218" s="22">
        <f>IF(D5218="?OLD","!!!","")</f>
        <v/>
      </c>
      <c r="F5218" s="23" t="str">
        <f>IF(OR(E5218="",E5218="!!!"),"",IF(NOT(ISNA(VLOOKUP(E5218,E$1:E5217,1,FALSE()))),"OLD",IF(AND(E5218&lt;&gt;"",E5218&lt;&gt;"!!!"),"NEW","")))</f>
        <v> </v>
      </c>
      <c r="G5218" s="24" t="str">
        <f>IF(OR(E5218="",E5218="!!!"),"",IF(OR(J5218=0,AND(J5218=1,K5218=1),AND(J5218=1,I5218="SBJ"),AND(J5218=1,I5218=0)),"?IN_FOCUS",IF(J5218&lt;=2,"?ACTIVATED",IF(J5218&lt;&gt;"","?FAMILIAR",IF(F5218="NEW",IF(ISNA(VLOOKUP(E5218,#REF!,1,FALSE())),"?TYPE_IDENTIFIABLE","?REFERENTIAL"),"_")))))</f>
        <v> </v>
      </c>
      <c r="H5218" s="25" t="str">
        <f>IF(J5218&lt;&gt;1,"",IF(I5218="SBJ","CB","?"))</f>
        <v> </v>
      </c>
      <c r="I5218" s="26" t="str">
        <f>IF(OR(E5218="",E5218="!!!",F5218="NEW"),"",INDEX(B5217:B$2,-1+SUMPRODUCT(MAX(ROW(E5217:E$2)*(E5218=E5217:E$2)))))</f>
        <v> </v>
      </c>
      <c r="J5218" s="26" t="str">
        <f>IF(OR(E5218="",E5218="!!!",F5218="NEW"),"",COUNTBLANK(OFFSET(A$1,,,SUMPRODUCT(MAX(ROW(E$2:E5218)*(E5218=E$2:E5218)))))-COUNTBLANK(OFFSET(A$1,,,SUMPRODUCT(MAX(ROW(E$1:E5217)*(E2=E$1:E5217))))))</f>
        <v> </v>
      </c>
      <c r="K5218" s="26" t="str">
        <f>IF(OR(E5218="",E5218="!!!",F5218="NEW"),"",INDEX(J$1:J5217,SUMPRODUCT(MAX(ROW(E$1:E5217)*(E5218=E$1:E5217)))))</f>
        <v> </v>
      </c>
      <c r="L5218" s="27"/>
    </row>
    <row r="5219" spans="1:12">
      <c r="A5219" s="20" t="s">
        <v>1243</v>
      </c>
      <c r="E5219" s="22">
        <f>IF(D5219="?OLD","!!!","")</f>
        <v/>
      </c>
      <c r="F5219" s="23" t="str">
        <f>IF(OR(E5219="",E5219="!!!"),"",IF(NOT(ISNA(VLOOKUP(E5219,E$1:E5218,1,FALSE()))),"OLD",IF(AND(E5219&lt;&gt;"",E5219&lt;&gt;"!!!"),"NEW","")))</f>
        <v> </v>
      </c>
      <c r="G5219" s="24" t="str">
        <f>IF(OR(E5219="",E5219="!!!"),"",IF(OR(J5219=0,AND(J5219=1,K5219=1),AND(J5219=1,I5219="SBJ"),AND(J5219=1,I5219=0)),"?IN_FOCUS",IF(J5219&lt;=2,"?ACTIVATED",IF(J5219&lt;&gt;"","?FAMILIAR",IF(F5219="NEW",IF(ISNA(VLOOKUP(E5219,#REF!,1,FALSE())),"?TYPE_IDENTIFIABLE","?REFERENTIAL"),"_")))))</f>
        <v> </v>
      </c>
      <c r="H5219" s="25" t="str">
        <f>IF(J5219&lt;&gt;1,"",IF(I5219="SBJ","CB","?"))</f>
        <v> </v>
      </c>
      <c r="I5219" s="26" t="str">
        <f>IF(OR(E5219="",E5219="!!!",F5219="NEW"),"",INDEX(B5218:B$2,-1+SUMPRODUCT(MAX(ROW(E5218:E$2)*(E5219=E5218:E$2)))))</f>
        <v> </v>
      </c>
      <c r="J5219" s="26" t="str">
        <f>IF(OR(E5219="",E5219="!!!",F5219="NEW"),"",COUNTBLANK(OFFSET(A$1,,,SUMPRODUCT(MAX(ROW(E$2:E5219)*(E5219=E$2:E5219)))))-COUNTBLANK(OFFSET(A$1,,,SUMPRODUCT(MAX(ROW(E$1:E5218)*(E2=E$1:E5218))))))</f>
        <v> </v>
      </c>
      <c r="K5219" s="26" t="str">
        <f>IF(OR(E5219="",E5219="!!!",F5219="NEW"),"",INDEX(J$1:J5218,SUMPRODUCT(MAX(ROW(E$1:E5218)*(E5219=E$1:E5218)))))</f>
        <v> </v>
      </c>
      <c r="L5219" s="27"/>
    </row>
    <row r="5220" spans="1:12">
      <c r="A5220" s="20" t="s">
        <v>1903</v>
      </c>
      <c r="B5220" s="21" t="s">
        <v>1175</v>
      </c>
      <c r="C5220" s="21" t="s">
        <v>1072</v>
      </c>
      <c r="D5220" s="21" t="s">
        <v>1011</v>
      </c>
      <c r="E5220" s="22">
        <f>IF(D5220="?OLD","!!!","")</f>
        <v/>
      </c>
      <c r="F5220" s="23" t="str">
        <f>IF(OR(E5220="",E5220="!!!"),"",IF(NOT(ISNA(VLOOKUP(E5220,E$1:E5219,1,FALSE()))),"OLD",IF(AND(E5220&lt;&gt;"",E5220&lt;&gt;"!!!"),"NEW","")))</f>
        <v> </v>
      </c>
      <c r="G5220" s="24" t="str">
        <f>IF(OR(E5220="",E5220="!!!"),"",IF(OR(J5220=0,AND(J5220=1,K5220=1),AND(J5220=1,I5220="SBJ"),AND(J5220=1,I5220=0)),"?IN_FOCUS",IF(J5220&lt;=2,"?ACTIVATED",IF(J5220&lt;&gt;"","?FAMILIAR",IF(F5220="NEW",IF(ISNA(VLOOKUP(E5220,#REF!,1,FALSE())),"?TYPE_IDENTIFIABLE","?REFERENTIAL"),"_")))))</f>
        <v> </v>
      </c>
      <c r="H5220" s="25" t="str">
        <f>IF(J5220&lt;&gt;1,"",IF(I5220="SBJ","CB","?"))</f>
        <v> </v>
      </c>
      <c r="I5220" s="26" t="str">
        <f>IF(OR(E5220="",E5220="!!!",F5220="NEW"),"",INDEX(B5219:B$2,-1+SUMPRODUCT(MAX(ROW(E5219:E$2)*(E5220=E5219:E$2)))))</f>
        <v> </v>
      </c>
      <c r="J5220" s="26" t="str">
        <f>IF(OR(E5220="",E5220="!!!",F5220="NEW"),"",COUNTBLANK(OFFSET(A$1,,,SUMPRODUCT(MAX(ROW(E$2:E5220)*(E5220=E$2:E5220)))))-COUNTBLANK(OFFSET(A$1,,,SUMPRODUCT(MAX(ROW(E$1:E5219)*(E2=E$1:E5219))))))</f>
        <v> </v>
      </c>
      <c r="K5220" s="26" t="str">
        <f>IF(OR(E5220="",E5220="!!!",F5220="NEW"),"",INDEX(J$1:J5219,SUMPRODUCT(MAX(ROW(E$1:E5219)*(E5220=E$1:E5219)))))</f>
        <v> </v>
      </c>
      <c r="L5220" s="27"/>
    </row>
    <row r="5221" spans="1:12">
      <c r="A5221" s="20" t="s">
        <v>1820</v>
      </c>
      <c r="E5221" s="22">
        <f>IF(D5221="?OLD","!!!","")</f>
        <v/>
      </c>
      <c r="F5221" s="23" t="str">
        <f>IF(OR(E5221="",E5221="!!!"),"",IF(NOT(ISNA(VLOOKUP(E5221,E$1:E5220,1,FALSE()))),"OLD",IF(AND(E5221&lt;&gt;"",E5221&lt;&gt;"!!!"),"NEW","")))</f>
        <v> </v>
      </c>
      <c r="G5221" s="24" t="str">
        <f>IF(OR(E5221="",E5221="!!!"),"",IF(OR(J5221=0,AND(J5221=1,K5221=1),AND(J5221=1,I5221="SBJ"),AND(J5221=1,I5221=0)),"?IN_FOCUS",IF(J5221&lt;=2,"?ACTIVATED",IF(J5221&lt;&gt;"","?FAMILIAR",IF(F5221="NEW",IF(ISNA(VLOOKUP(E5221,#REF!,1,FALSE())),"?TYPE_IDENTIFIABLE","?REFERENTIAL"),"_")))))</f>
        <v> </v>
      </c>
      <c r="H5221" s="25" t="str">
        <f>IF(J5221&lt;&gt;1,"",IF(I5221="SBJ","CB","?"))</f>
        <v> </v>
      </c>
      <c r="I5221" s="26" t="str">
        <f>IF(OR(E5221="",E5221="!!!",F5221="NEW"),"",INDEX(B5220:B$2,-1+SUMPRODUCT(MAX(ROW(E5220:E$2)*(E5221=E5220:E$2)))))</f>
        <v> </v>
      </c>
      <c r="J5221" s="26" t="str">
        <f>IF(OR(E5221="",E5221="!!!",F5221="NEW"),"",COUNTBLANK(OFFSET(A$1,,,SUMPRODUCT(MAX(ROW(E$2:E5221)*(E5221=E$2:E5221)))))-COUNTBLANK(OFFSET(A$1,,,SUMPRODUCT(MAX(ROW(E$1:E5220)*(E2=E$1:E5220))))))</f>
        <v> </v>
      </c>
      <c r="K5221" s="26" t="str">
        <f>IF(OR(E5221="",E5221="!!!",F5221="NEW"),"",INDEX(J$1:J5220,SUMPRODUCT(MAX(ROW(E$1:E5220)*(E5221=E$1:E5220)))))</f>
        <v> </v>
      </c>
      <c r="L5221" s="27"/>
    </row>
    <row r="5222" spans="1:12">
      <c r="A5222" s="20" t="s">
        <v>1028</v>
      </c>
      <c r="E5222" s="22">
        <f>IF(D5222="?OLD","!!!","")</f>
        <v/>
      </c>
      <c r="F5222" s="23" t="str">
        <f>IF(OR(E5222="",E5222="!!!"),"",IF(NOT(ISNA(VLOOKUP(E5222,E$1:E5221,1,FALSE()))),"OLD",IF(AND(E5222&lt;&gt;"",E5222&lt;&gt;"!!!"),"NEW","")))</f>
        <v> </v>
      </c>
      <c r="G5222" s="24" t="str">
        <f>IF(OR(E5222="",E5222="!!!"),"",IF(OR(J5222=0,AND(J5222=1,K5222=1),AND(J5222=1,I5222="SBJ"),AND(J5222=1,I5222=0)),"?IN_FOCUS",IF(J5222&lt;=2,"?ACTIVATED",IF(J5222&lt;&gt;"","?FAMILIAR",IF(F5222="NEW",IF(ISNA(VLOOKUP(E5222,#REF!,1,FALSE())),"?TYPE_IDENTIFIABLE","?REFERENTIAL"),"_")))))</f>
        <v> </v>
      </c>
      <c r="H5222" s="25" t="str">
        <f>IF(J5222&lt;&gt;1,"",IF(I5222="SBJ","CB","?"))</f>
        <v> </v>
      </c>
      <c r="I5222" s="26" t="str">
        <f>IF(OR(E5222="",E5222="!!!",F5222="NEW"),"",INDEX(B5221:B$2,-1+SUMPRODUCT(MAX(ROW(E5221:E$2)*(E5222=E5221:E$2)))))</f>
        <v> </v>
      </c>
      <c r="J5222" s="26" t="str">
        <f>IF(OR(E5222="",E5222="!!!",F5222="NEW"),"",COUNTBLANK(OFFSET(A$1,,,SUMPRODUCT(MAX(ROW(E$2:E5222)*(E5222=E$2:E5222)))))-COUNTBLANK(OFFSET(A$1,,,SUMPRODUCT(MAX(ROW(E$1:E5221)*(E2=E$1:E5221))))))</f>
        <v> </v>
      </c>
      <c r="K5222" s="26" t="str">
        <f>IF(OR(E5222="",E5222="!!!",F5222="NEW"),"",INDEX(J$1:J5221,SUMPRODUCT(MAX(ROW(E$1:E5221)*(E5222=E$1:E5221)))))</f>
        <v> </v>
      </c>
      <c r="L5222" s="27"/>
    </row>
    <row r="5223" spans="1:12">
      <c r="A5223" s="20" t="s">
        <v>1286</v>
      </c>
      <c r="B5223" s="21" t="s">
        <v>1091</v>
      </c>
      <c r="C5223" s="21" t="s">
        <v>1030</v>
      </c>
      <c r="E5223" s="22">
        <f>IF(D5223="?OLD","!!!","")</f>
        <v/>
      </c>
      <c r="F5223" s="23" t="str">
        <f>IF(OR(E5223="",E5223="!!!"),"",IF(NOT(ISNA(VLOOKUP(E5223,E$1:E5222,1,FALSE()))),"OLD",IF(AND(E5223&lt;&gt;"",E5223&lt;&gt;"!!!"),"NEW","")))</f>
        <v> </v>
      </c>
      <c r="G5223" s="24" t="str">
        <f>IF(OR(E5223="",E5223="!!!"),"",IF(OR(J5223=0,AND(J5223=1,K5223=1),AND(J5223=1,I5223="SBJ"),AND(J5223=1,I5223=0)),"?IN_FOCUS",IF(J5223&lt;=2,"?ACTIVATED",IF(J5223&lt;&gt;"","?FAMILIAR",IF(F5223="NEW",IF(ISNA(VLOOKUP(E5223,#REF!,1,FALSE())),"?TYPE_IDENTIFIABLE","?REFERENTIAL"),"_")))))</f>
        <v> </v>
      </c>
      <c r="H5223" s="25" t="str">
        <f>IF(J5223&lt;&gt;1,"",IF(I5223="SBJ","CB","?"))</f>
        <v> </v>
      </c>
      <c r="I5223" s="26" t="str">
        <f>IF(OR(E5223="",E5223="!!!",F5223="NEW"),"",INDEX(B5222:B$2,-1+SUMPRODUCT(MAX(ROW(E5222:E$2)*(E5223=E5222:E$2)))))</f>
        <v> </v>
      </c>
      <c r="J5223" s="26" t="str">
        <f>IF(OR(E5223="",E5223="!!!",F5223="NEW"),"",COUNTBLANK(OFFSET(A$1,,,SUMPRODUCT(MAX(ROW(E$2:E5223)*(E5223=E$2:E5223)))))-COUNTBLANK(OFFSET(A$1,,,SUMPRODUCT(MAX(ROW(E$1:E5222)*(E2=E$1:E5222))))))</f>
        <v> </v>
      </c>
      <c r="K5223" s="26" t="str">
        <f>IF(OR(E5223="",E5223="!!!",F5223="NEW"),"",INDEX(J$1:J5222,SUMPRODUCT(MAX(ROW(E$1:E5222)*(E5223=E$1:E5222)))))</f>
        <v> </v>
      </c>
      <c r="L5223" s="27"/>
    </row>
    <row r="5224" spans="1:12">
      <c r="A5224" s="20" t="s">
        <v>2188</v>
      </c>
      <c r="E5224" s="22">
        <f>IF(D5224="?OLD","!!!","")</f>
        <v/>
      </c>
      <c r="F5224" s="23" t="str">
        <f>IF(OR(E5224="",E5224="!!!"),"",IF(NOT(ISNA(VLOOKUP(E5224,E$1:E5223,1,FALSE()))),"OLD",IF(AND(E5224&lt;&gt;"",E5224&lt;&gt;"!!!"),"NEW","")))</f>
        <v> </v>
      </c>
      <c r="G5224" s="24" t="str">
        <f>IF(OR(E5224="",E5224="!!!"),"",IF(OR(J5224=0,AND(J5224=1,K5224=1),AND(J5224=1,I5224="SBJ"),AND(J5224=1,I5224=0)),"?IN_FOCUS",IF(J5224&lt;=2,"?ACTIVATED",IF(J5224&lt;&gt;"","?FAMILIAR",IF(F5224="NEW",IF(ISNA(VLOOKUP(E5224,#REF!,1,FALSE())),"?TYPE_IDENTIFIABLE","?REFERENTIAL"),"_")))))</f>
        <v> </v>
      </c>
      <c r="H5224" s="25" t="str">
        <f>IF(J5224&lt;&gt;1,"",IF(I5224="SBJ","CB","?"))</f>
        <v> </v>
      </c>
      <c r="I5224" s="26" t="str">
        <f>IF(OR(E5224="",E5224="!!!",F5224="NEW"),"",INDEX(B5223:B$2,-1+SUMPRODUCT(MAX(ROW(E5223:E$2)*(E5224=E5223:E$2)))))</f>
        <v> </v>
      </c>
      <c r="J5224" s="26" t="str">
        <f>IF(OR(E5224="",E5224="!!!",F5224="NEW"),"",COUNTBLANK(OFFSET(A$1,,,SUMPRODUCT(MAX(ROW(E$2:E5224)*(E5224=E$2:E5224)))))-COUNTBLANK(OFFSET(A$1,,,SUMPRODUCT(MAX(ROW(E$1:E5223)*(E2=E$1:E5223))))))</f>
        <v> </v>
      </c>
      <c r="K5224" s="26" t="str">
        <f>IF(OR(E5224="",E5224="!!!",F5224="NEW"),"",INDEX(J$1:J5223,SUMPRODUCT(MAX(ROW(E$1:E5223)*(E5224=E$1:E5223)))))</f>
        <v> </v>
      </c>
      <c r="L5224" s="27"/>
    </row>
    <row r="5225" spans="1:12">
      <c r="A5225" s="20" t="s">
        <v>1077</v>
      </c>
      <c r="E5225" s="22">
        <f>IF(D5225="?OLD","!!!","")</f>
        <v/>
      </c>
      <c r="F5225" s="23" t="str">
        <f>IF(OR(E5225="",E5225="!!!"),"",IF(NOT(ISNA(VLOOKUP(E5225,E$1:E5224,1,FALSE()))),"OLD",IF(AND(E5225&lt;&gt;"",E5225&lt;&gt;"!!!"),"NEW","")))</f>
        <v> </v>
      </c>
      <c r="G5225" s="24" t="str">
        <f>IF(OR(E5225="",E5225="!!!"),"",IF(OR(J5225=0,AND(J5225=1,K5225=1),AND(J5225=1,I5225="SBJ"),AND(J5225=1,I5225=0)),"?IN_FOCUS",IF(J5225&lt;=2,"?ACTIVATED",IF(J5225&lt;&gt;"","?FAMILIAR",IF(F5225="NEW",IF(ISNA(VLOOKUP(E5225,#REF!,1,FALSE())),"?TYPE_IDENTIFIABLE","?REFERENTIAL"),"_")))))</f>
        <v> </v>
      </c>
      <c r="H5225" s="25" t="str">
        <f>IF(J5225&lt;&gt;1,"",IF(I5225="SBJ","CB","?"))</f>
        <v> </v>
      </c>
      <c r="I5225" s="26" t="str">
        <f>IF(OR(E5225="",E5225="!!!",F5225="NEW"),"",INDEX(B5224:B$2,-1+SUMPRODUCT(MAX(ROW(E5224:E$2)*(E5225=E5224:E$2)))))</f>
        <v> </v>
      </c>
      <c r="J5225" s="26" t="str">
        <f>IF(OR(E5225="",E5225="!!!",F5225="NEW"),"",COUNTBLANK(OFFSET(A$1,,,SUMPRODUCT(MAX(ROW(E$2:E5225)*(E5225=E$2:E5225)))))-COUNTBLANK(OFFSET(A$1,,,SUMPRODUCT(MAX(ROW(E$1:E5224)*(E2=E$1:E5224))))))</f>
        <v> </v>
      </c>
      <c r="K5225" s="26" t="str">
        <f>IF(OR(E5225="",E5225="!!!",F5225="NEW"),"",INDEX(J$1:J5224,SUMPRODUCT(MAX(ROW(E$1:E5224)*(E5225=E$1:E5224)))))</f>
        <v> </v>
      </c>
      <c r="L5225" s="27"/>
    </row>
    <row r="5226" spans="1:12">
      <c r="A5226" s="20" t="s">
        <v>1052</v>
      </c>
      <c r="B5226" s="21" t="s">
        <v>1039</v>
      </c>
      <c r="C5226" s="21" t="s">
        <v>1010</v>
      </c>
      <c r="D5226" s="21" t="s">
        <v>1011</v>
      </c>
      <c r="E5226" s="22">
        <f>IF(D5226="?OLD","!!!","")</f>
        <v/>
      </c>
      <c r="F5226" s="23" t="str">
        <f>IF(OR(E5226="",E5226="!!!"),"",IF(NOT(ISNA(VLOOKUP(E5226,E$1:E5225,1,FALSE()))),"OLD",IF(AND(E5226&lt;&gt;"",E5226&lt;&gt;"!!!"),"NEW","")))</f>
        <v> </v>
      </c>
      <c r="G5226" s="24" t="str">
        <f>IF(OR(E5226="",E5226="!!!"),"",IF(OR(J5226=0,AND(J5226=1,K5226=1),AND(J5226=1,I5226="SBJ"),AND(J5226=1,I5226=0)),"?IN_FOCUS",IF(J5226&lt;=2,"?ACTIVATED",IF(J5226&lt;&gt;"","?FAMILIAR",IF(F5226="NEW",IF(ISNA(VLOOKUP(E5226,#REF!,1,FALSE())),"?TYPE_IDENTIFIABLE","?REFERENTIAL"),"_")))))</f>
        <v> </v>
      </c>
      <c r="H5226" s="25" t="str">
        <f>IF(J5226&lt;&gt;1,"",IF(I5226="SBJ","CB","?"))</f>
        <v> </v>
      </c>
      <c r="I5226" s="26" t="str">
        <f>IF(OR(E5226="",E5226="!!!",F5226="NEW"),"",INDEX(B5225:B$2,-1+SUMPRODUCT(MAX(ROW(E5225:E$2)*(E5226=E5225:E$2)))))</f>
        <v> </v>
      </c>
      <c r="J5226" s="26" t="str">
        <f>IF(OR(E5226="",E5226="!!!",F5226="NEW"),"",COUNTBLANK(OFFSET(A$1,,,SUMPRODUCT(MAX(ROW(E$2:E5226)*(E5226=E$2:E5226)))))-COUNTBLANK(OFFSET(A$1,,,SUMPRODUCT(MAX(ROW(E$1:E5225)*(E2=E$1:E5225))))))</f>
        <v> </v>
      </c>
      <c r="K5226" s="26" t="str">
        <f>IF(OR(E5226="",E5226="!!!",F5226="NEW"),"",INDEX(J$1:J5225,SUMPRODUCT(MAX(ROW(E$1:E5225)*(E5226=E$1:E5225)))))</f>
        <v> </v>
      </c>
      <c r="L5226" s="27"/>
    </row>
    <row r="5227" spans="1:12">
      <c r="A5227" s="20" t="s">
        <v>1555</v>
      </c>
      <c r="E5227" s="22">
        <f>IF(D5227="?OLD","!!!","")</f>
        <v/>
      </c>
      <c r="F5227" s="23" t="str">
        <f>IF(OR(E5227="",E5227="!!!"),"",IF(NOT(ISNA(VLOOKUP(E5227,E$1:E5226,1,FALSE()))),"OLD",IF(AND(E5227&lt;&gt;"",E5227&lt;&gt;"!!!"),"NEW","")))</f>
        <v> </v>
      </c>
      <c r="G5227" s="24" t="str">
        <f>IF(OR(E5227="",E5227="!!!"),"",IF(OR(J5227=0,AND(J5227=1,K5227=1),AND(J5227=1,I5227="SBJ"),AND(J5227=1,I5227=0)),"?IN_FOCUS",IF(J5227&lt;=2,"?ACTIVATED",IF(J5227&lt;&gt;"","?FAMILIAR",IF(F5227="NEW",IF(ISNA(VLOOKUP(E5227,#REF!,1,FALSE())),"?TYPE_IDENTIFIABLE","?REFERENTIAL"),"_")))))</f>
        <v> </v>
      </c>
      <c r="H5227" s="25" t="str">
        <f>IF(J5227&lt;&gt;1,"",IF(I5227="SBJ","CB","?"))</f>
        <v> </v>
      </c>
      <c r="I5227" s="26" t="str">
        <f>IF(OR(E5227="",E5227="!!!",F5227="NEW"),"",INDEX(B5226:B$2,-1+SUMPRODUCT(MAX(ROW(E5226:E$2)*(E5227=E5226:E$2)))))</f>
        <v> </v>
      </c>
      <c r="J5227" s="26" t="str">
        <f>IF(OR(E5227="",E5227="!!!",F5227="NEW"),"",COUNTBLANK(OFFSET(A$1,,,SUMPRODUCT(MAX(ROW(E$2:E5227)*(E5227=E$2:E5227)))))-COUNTBLANK(OFFSET(A$1,,,SUMPRODUCT(MAX(ROW(E$1:E5226)*(E2=E$1:E5226))))))</f>
        <v> </v>
      </c>
      <c r="K5227" s="26" t="str">
        <f>IF(OR(E5227="",E5227="!!!",F5227="NEW"),"",INDEX(J$1:J5226,SUMPRODUCT(MAX(ROW(E$1:E5226)*(E5227=E$1:E5226)))))</f>
        <v> </v>
      </c>
      <c r="L5227" s="27"/>
    </row>
    <row r="5228" spans="1:12">
      <c r="A5228" s="20" t="s">
        <v>1251</v>
      </c>
      <c r="E5228" s="22">
        <f>IF(D5228="?OLD","!!!","")</f>
        <v/>
      </c>
      <c r="F5228" s="23" t="str">
        <f>IF(OR(E5228="",E5228="!!!"),"",IF(NOT(ISNA(VLOOKUP(E5228,E$1:E5227,1,FALSE()))),"OLD",IF(AND(E5228&lt;&gt;"",E5228&lt;&gt;"!!!"),"NEW","")))</f>
        <v> </v>
      </c>
      <c r="G5228" s="24" t="str">
        <f>IF(OR(E5228="",E5228="!!!"),"",IF(OR(J5228=0,AND(J5228=1,K5228=1),AND(J5228=1,I5228="SBJ"),AND(J5228=1,I5228=0)),"?IN_FOCUS",IF(J5228&lt;=2,"?ACTIVATED",IF(J5228&lt;&gt;"","?FAMILIAR",IF(F5228="NEW",IF(ISNA(VLOOKUP(E5228,#REF!,1,FALSE())),"?TYPE_IDENTIFIABLE","?REFERENTIAL"),"_")))))</f>
        <v> </v>
      </c>
      <c r="H5228" s="25" t="str">
        <f>IF(J5228&lt;&gt;1,"",IF(I5228="SBJ","CB","?"))</f>
        <v> </v>
      </c>
      <c r="I5228" s="26" t="str">
        <f>IF(OR(E5228="",E5228="!!!",F5228="NEW"),"",INDEX(B5227:B$2,-1+SUMPRODUCT(MAX(ROW(E5227:E$2)*(E5228=E5227:E$2)))))</f>
        <v> </v>
      </c>
      <c r="J5228" s="26" t="str">
        <f>IF(OR(E5228="",E5228="!!!",F5228="NEW"),"",COUNTBLANK(OFFSET(A$1,,,SUMPRODUCT(MAX(ROW(E$2:E5228)*(E5228=E$2:E5228)))))-COUNTBLANK(OFFSET(A$1,,,SUMPRODUCT(MAX(ROW(E$1:E5227)*(E2=E$1:E5227))))))</f>
        <v> </v>
      </c>
      <c r="K5228" s="26" t="str">
        <f>IF(OR(E5228="",E5228="!!!",F5228="NEW"),"",INDEX(J$1:J5227,SUMPRODUCT(MAX(ROW(E$1:E5227)*(E5228=E$1:E5227)))))</f>
        <v> </v>
      </c>
      <c r="L5228" s="27"/>
    </row>
    <row r="5229" spans="1:12">
      <c r="A5229" s="20"/>
    </row>
    <row r="5230" spans="1:12">
      <c r="A5230" s="20" t="s">
        <v>2189</v>
      </c>
    </row>
    <row r="5231" spans="1:12">
      <c r="A5231" s="20" t="s">
        <v>1995</v>
      </c>
      <c r="B5231" s="21" t="s">
        <v>1071</v>
      </c>
      <c r="C5231" s="21" t="s">
        <v>1017</v>
      </c>
      <c r="E5231" s="22">
        <f>IF(D5231="?OLD","!!!","")</f>
        <v/>
      </c>
      <c r="F5231" s="23" t="str">
        <f>IF(OR(E5231="",E5231="!!!"),"",IF(NOT(ISNA(VLOOKUP(E5231,E$1:E5230,1,FALSE()))),"OLD",IF(AND(E5231&lt;&gt;"",E5231&lt;&gt;"!!!"),"NEW","")))</f>
        <v> </v>
      </c>
      <c r="G5231" s="24" t="str">
        <f>IF(OR(E5231="",E5231="!!!"),"",IF(OR(J5231=0,AND(J5231=1,K5231=1),AND(J5231=1,I5231="SBJ"),AND(J5231=1,I5231=0)),"?IN_FOCUS",IF(J5231&lt;=2,"?ACTIVATED",IF(J5231&lt;&gt;"","?FAMILIAR",IF(F5231="NEW",IF(ISNA(VLOOKUP(E5231,#REF!,1,FALSE())),"?TYPE_IDENTIFIABLE","?REFERENTIAL"),"_")))))</f>
        <v> </v>
      </c>
      <c r="H5231" s="25" t="str">
        <f>IF(J5231&lt;&gt;1,"",IF(I5231="SBJ","CB","?"))</f>
        <v> </v>
      </c>
      <c r="I5231" s="26" t="str">
        <f>IF(OR(E5231="",E5231="!!!",F5231="NEW"),"",INDEX(B5230:B$2,-1+SUMPRODUCT(MAX(ROW(E5230:E$2)*(E5231=E5230:E$2)))))</f>
        <v> </v>
      </c>
      <c r="J5231" s="26" t="str">
        <f>IF(OR(E5231="",E5231="!!!",F5231="NEW"),"",COUNTBLANK(OFFSET(A$1,,,SUMPRODUCT(MAX(ROW(E$2:E5231)*(E5231=E$2:E5231)))))-COUNTBLANK(OFFSET(A$1,,,SUMPRODUCT(MAX(ROW(E$1:E5230)*(E2=E$1:E5230))))))</f>
        <v> </v>
      </c>
      <c r="K5231" s="26" t="str">
        <f>IF(OR(E5231="",E5231="!!!",F5231="NEW"),"",INDEX(J$1:J5230,SUMPRODUCT(MAX(ROW(E$1:E5230)*(E5231=E$1:E5230)))))</f>
        <v> </v>
      </c>
      <c r="L5231" s="27"/>
    </row>
    <row r="5232" spans="1:12">
      <c r="A5232" s="20" t="s">
        <v>1099</v>
      </c>
      <c r="E5232" s="22">
        <f>IF(D5232="?OLD","!!!","")</f>
        <v/>
      </c>
      <c r="F5232" s="23" t="str">
        <f>IF(OR(E5232="",E5232="!!!"),"",IF(NOT(ISNA(VLOOKUP(E5232,E$1:E5231,1,FALSE()))),"OLD",IF(AND(E5232&lt;&gt;"",E5232&lt;&gt;"!!!"),"NEW","")))</f>
        <v> </v>
      </c>
      <c r="G5232" s="24" t="str">
        <f>IF(OR(E5232="",E5232="!!!"),"",IF(OR(J5232=0,AND(J5232=1,K5232=1),AND(J5232=1,I5232="SBJ"),AND(J5232=1,I5232=0)),"?IN_FOCUS",IF(J5232&lt;=2,"?ACTIVATED",IF(J5232&lt;&gt;"","?FAMILIAR",IF(F5232="NEW",IF(ISNA(VLOOKUP(E5232,#REF!,1,FALSE())),"?TYPE_IDENTIFIABLE","?REFERENTIAL"),"_")))))</f>
        <v> </v>
      </c>
      <c r="H5232" s="25" t="str">
        <f>IF(J5232&lt;&gt;1,"",IF(I5232="SBJ","CB","?"))</f>
        <v> </v>
      </c>
      <c r="I5232" s="26" t="str">
        <f>IF(OR(E5232="",E5232="!!!",F5232="NEW"),"",INDEX(B5231:B$2,-1+SUMPRODUCT(MAX(ROW(E5231:E$2)*(E5232=E5231:E$2)))))</f>
        <v> </v>
      </c>
      <c r="J5232" s="26" t="str">
        <f>IF(OR(E5232="",E5232="!!!",F5232="NEW"),"",COUNTBLANK(OFFSET(A$1,,,SUMPRODUCT(MAX(ROW(E$2:E5232)*(E5232=E$2:E5232)))))-COUNTBLANK(OFFSET(A$1,,,SUMPRODUCT(MAX(ROW(E$1:E5231)*(E2=E$1:E5231))))))</f>
        <v> </v>
      </c>
      <c r="K5232" s="26" t="str">
        <f>IF(OR(E5232="",E5232="!!!",F5232="NEW"),"",INDEX(J$1:J5231,SUMPRODUCT(MAX(ROW(E$1:E5231)*(E5232=E$1:E5231)))))</f>
        <v> </v>
      </c>
      <c r="L5232" s="27"/>
    </row>
    <row r="5233" spans="1:12">
      <c r="A5233" s="20" t="s">
        <v>2190</v>
      </c>
      <c r="E5233" s="22">
        <f>IF(D5233="?OLD","!!!","")</f>
        <v/>
      </c>
      <c r="F5233" s="23" t="str">
        <f>IF(OR(E5233="",E5233="!!!"),"",IF(NOT(ISNA(VLOOKUP(E5233,E$1:E5232,1,FALSE()))),"OLD",IF(AND(E5233&lt;&gt;"",E5233&lt;&gt;"!!!"),"NEW","")))</f>
        <v> </v>
      </c>
      <c r="G5233" s="24" t="str">
        <f>IF(OR(E5233="",E5233="!!!"),"",IF(OR(J5233=0,AND(J5233=1,K5233=1),AND(J5233=1,I5233="SBJ"),AND(J5233=1,I5233=0)),"?IN_FOCUS",IF(J5233&lt;=2,"?ACTIVATED",IF(J5233&lt;&gt;"","?FAMILIAR",IF(F5233="NEW",IF(ISNA(VLOOKUP(E5233,#REF!,1,FALSE())),"?TYPE_IDENTIFIABLE","?REFERENTIAL"),"_")))))</f>
        <v> </v>
      </c>
      <c r="H5233" s="25" t="str">
        <f>IF(J5233&lt;&gt;1,"",IF(I5233="SBJ","CB","?"))</f>
        <v> </v>
      </c>
      <c r="I5233" s="26" t="str">
        <f>IF(OR(E5233="",E5233="!!!",F5233="NEW"),"",INDEX(B5232:B$2,-1+SUMPRODUCT(MAX(ROW(E5232:E$2)*(E5233=E5232:E$2)))))</f>
        <v> </v>
      </c>
      <c r="J5233" s="26" t="str">
        <f>IF(OR(E5233="",E5233="!!!",F5233="NEW"),"",COUNTBLANK(OFFSET(A$1,,,SUMPRODUCT(MAX(ROW(E$2:E5233)*(E5233=E$2:E5233)))))-COUNTBLANK(OFFSET(A$1,,,SUMPRODUCT(MAX(ROW(E$1:E5232)*(E2=E$1:E5232))))))</f>
        <v> </v>
      </c>
      <c r="K5233" s="26" t="str">
        <f>IF(OR(E5233="",E5233="!!!",F5233="NEW"),"",INDEX(J$1:J5232,SUMPRODUCT(MAX(ROW(E$1:E5232)*(E5233=E$1:E5232)))))</f>
        <v> </v>
      </c>
      <c r="L5233" s="27"/>
    </row>
    <row r="5234" spans="1:12">
      <c r="A5234" s="20" t="s">
        <v>2191</v>
      </c>
      <c r="B5234" s="21" t="s">
        <v>1071</v>
      </c>
      <c r="C5234" s="21" t="s">
        <v>1017</v>
      </c>
      <c r="E5234" s="22">
        <f>IF(D5234="?OLD","!!!","")</f>
        <v/>
      </c>
      <c r="F5234" s="23" t="str">
        <f>IF(OR(E5234="",E5234="!!!"),"",IF(NOT(ISNA(VLOOKUP(E5234,E$1:E5233,1,FALSE()))),"OLD",IF(AND(E5234&lt;&gt;"",E5234&lt;&gt;"!!!"),"NEW","")))</f>
        <v> </v>
      </c>
      <c r="G5234" s="24" t="str">
        <f>IF(OR(E5234="",E5234="!!!"),"",IF(OR(J5234=0,AND(J5234=1,K5234=1),AND(J5234=1,I5234="SBJ"),AND(J5234=1,I5234=0)),"?IN_FOCUS",IF(J5234&lt;=2,"?ACTIVATED",IF(J5234&lt;&gt;"","?FAMILIAR",IF(F5234="NEW",IF(ISNA(VLOOKUP(E5234,#REF!,1,FALSE())),"?TYPE_IDENTIFIABLE","?REFERENTIAL"),"_")))))</f>
        <v> </v>
      </c>
      <c r="H5234" s="25" t="str">
        <f>IF(J5234&lt;&gt;1,"",IF(I5234="SBJ","CB","?"))</f>
        <v> </v>
      </c>
      <c r="I5234" s="26" t="str">
        <f>IF(OR(E5234="",E5234="!!!",F5234="NEW"),"",INDEX(B5233:B$2,-1+SUMPRODUCT(MAX(ROW(E5233:E$2)*(E5234=E5233:E$2)))))</f>
        <v> </v>
      </c>
      <c r="J5234" s="26" t="str">
        <f>IF(OR(E5234="",E5234="!!!",F5234="NEW"),"",COUNTBLANK(OFFSET(A$1,,,SUMPRODUCT(MAX(ROW(E$2:E5234)*(E5234=E$2:E5234)))))-COUNTBLANK(OFFSET(A$1,,,SUMPRODUCT(MAX(ROW(E$1:E5233)*(E2=E$1:E5233))))))</f>
        <v> </v>
      </c>
      <c r="K5234" s="26" t="str">
        <f>IF(OR(E5234="",E5234="!!!",F5234="NEW"),"",INDEX(J$1:J5233,SUMPRODUCT(MAX(ROW(E$1:E5233)*(E5234=E$1:E5233)))))</f>
        <v> </v>
      </c>
      <c r="L5234" s="27"/>
    </row>
    <row r="5235" spans="1:12">
      <c r="A5235" s="20" t="s">
        <v>1099</v>
      </c>
      <c r="E5235" s="22">
        <f>IF(D5235="?OLD","!!!","")</f>
        <v/>
      </c>
      <c r="F5235" s="23" t="str">
        <f>IF(OR(E5235="",E5235="!!!"),"",IF(NOT(ISNA(VLOOKUP(E5235,E$1:E5234,1,FALSE()))),"OLD",IF(AND(E5235&lt;&gt;"",E5235&lt;&gt;"!!!"),"NEW","")))</f>
        <v> </v>
      </c>
      <c r="G5235" s="24" t="str">
        <f>IF(OR(E5235="",E5235="!!!"),"",IF(OR(J5235=0,AND(J5235=1,K5235=1),AND(J5235=1,I5235="SBJ"),AND(J5235=1,I5235=0)),"?IN_FOCUS",IF(J5235&lt;=2,"?ACTIVATED",IF(J5235&lt;&gt;"","?FAMILIAR",IF(F5235="NEW",IF(ISNA(VLOOKUP(E5235,#REF!,1,FALSE())),"?TYPE_IDENTIFIABLE","?REFERENTIAL"),"_")))))</f>
        <v> </v>
      </c>
      <c r="H5235" s="25" t="str">
        <f>IF(J5235&lt;&gt;1,"",IF(I5235="SBJ","CB","?"))</f>
        <v> </v>
      </c>
      <c r="I5235" s="26" t="str">
        <f>IF(OR(E5235="",E5235="!!!",F5235="NEW"),"",INDEX(B5234:B$2,-1+SUMPRODUCT(MAX(ROW(E5234:E$2)*(E5235=E5234:E$2)))))</f>
        <v> </v>
      </c>
      <c r="J5235" s="26" t="str">
        <f>IF(OR(E5235="",E5235="!!!",F5235="NEW"),"",COUNTBLANK(OFFSET(A$1,,,SUMPRODUCT(MAX(ROW(E$2:E5235)*(E5235=E$2:E5235)))))-COUNTBLANK(OFFSET(A$1,,,SUMPRODUCT(MAX(ROW(E$1:E5234)*(E2=E$1:E5234))))))</f>
        <v> </v>
      </c>
      <c r="K5235" s="26" t="str">
        <f>IF(OR(E5235="",E5235="!!!",F5235="NEW"),"",INDEX(J$1:J5234,SUMPRODUCT(MAX(ROW(E$1:E5234)*(E5235=E$1:E5234)))))</f>
        <v> </v>
      </c>
      <c r="L5235" s="27"/>
    </row>
    <row r="5236" spans="1:12">
      <c r="A5236" s="20"/>
    </row>
    <row r="5237" spans="1:12">
      <c r="A5237" s="20" t="s">
        <v>2192</v>
      </c>
    </row>
    <row r="5238" spans="1:12">
      <c r="A5238" s="20" t="s">
        <v>1204</v>
      </c>
      <c r="E5238" s="22">
        <f>IF(D5238="?OLD","!!!","")</f>
        <v/>
      </c>
      <c r="F5238" s="23" t="str">
        <f>IF(OR(E5238="",E5238="!!!"),"",IF(NOT(ISNA(VLOOKUP(E5238,E$1:E5237,1,FALSE()))),"OLD",IF(AND(E5238&lt;&gt;"",E5238&lt;&gt;"!!!"),"NEW","")))</f>
        <v> </v>
      </c>
      <c r="G5238" s="24" t="str">
        <f>IF(OR(E5238="",E5238="!!!"),"",IF(OR(J5238=0,AND(J5238=1,K5238=1),AND(J5238=1,I5238="SBJ"),AND(J5238=1,I5238=0)),"?IN_FOCUS",IF(J5238&lt;=2,"?ACTIVATED",IF(J5238&lt;&gt;"","?FAMILIAR",IF(F5238="NEW",IF(ISNA(VLOOKUP(E5238,#REF!,1,FALSE())),"?TYPE_IDENTIFIABLE","?REFERENTIAL"),"_")))))</f>
        <v> </v>
      </c>
      <c r="H5238" s="25" t="str">
        <f>IF(J5238&lt;&gt;1,"",IF(I5238="SBJ","CB","?"))</f>
        <v> </v>
      </c>
      <c r="I5238" s="26" t="str">
        <f>IF(OR(E5238="",E5238="!!!",F5238="NEW"),"",INDEX(B5237:B$2,-1+SUMPRODUCT(MAX(ROW(E5237:E$2)*(E5238=E5237:E$2)))))</f>
        <v> </v>
      </c>
      <c r="J5238" s="26" t="str">
        <f>IF(OR(E5238="",E5238="!!!",F5238="NEW"),"",COUNTBLANK(OFFSET(A$1,,,SUMPRODUCT(MAX(ROW(E$2:E5238)*(E5238=E$2:E5238)))))-COUNTBLANK(OFFSET(A$1,,,SUMPRODUCT(MAX(ROW(E$1:E5237)*(E2=E$1:E5237))))))</f>
        <v> </v>
      </c>
      <c r="K5238" s="26" t="str">
        <f>IF(OR(E5238="",E5238="!!!",F5238="NEW"),"",INDEX(J$1:J5237,SUMPRODUCT(MAX(ROW(E$1:E5237)*(E5238=E$1:E5237)))))</f>
        <v> </v>
      </c>
      <c r="L5238" s="27"/>
    </row>
    <row r="5239" spans="1:12">
      <c r="A5239" s="20" t="s">
        <v>1137</v>
      </c>
      <c r="B5239" s="21" t="s">
        <v>1039</v>
      </c>
      <c r="C5239" s="21" t="s">
        <v>1010</v>
      </c>
      <c r="D5239" s="21" t="s">
        <v>1011</v>
      </c>
      <c r="E5239" s="22">
        <f>IF(D5239="?OLD","!!!","")</f>
        <v/>
      </c>
      <c r="F5239" s="23" t="str">
        <f>IF(OR(E5239="",E5239="!!!"),"",IF(NOT(ISNA(VLOOKUP(E5239,E$1:E5238,1,FALSE()))),"OLD",IF(AND(E5239&lt;&gt;"",E5239&lt;&gt;"!!!"),"NEW","")))</f>
        <v> </v>
      </c>
      <c r="G5239" s="24" t="str">
        <f>IF(OR(E5239="",E5239="!!!"),"",IF(OR(J5239=0,AND(J5239=1,K5239=1),AND(J5239=1,I5239="SBJ"),AND(J5239=1,I5239=0)),"?IN_FOCUS",IF(J5239&lt;=2,"?ACTIVATED",IF(J5239&lt;&gt;"","?FAMILIAR",IF(F5239="NEW",IF(ISNA(VLOOKUP(E5239,#REF!,1,FALSE())),"?TYPE_IDENTIFIABLE","?REFERENTIAL"),"_")))))</f>
        <v> </v>
      </c>
      <c r="H5239" s="25" t="str">
        <f>IF(J5239&lt;&gt;1,"",IF(I5239="SBJ","CB","?"))</f>
        <v> </v>
      </c>
      <c r="I5239" s="26" t="str">
        <f>IF(OR(E5239="",E5239="!!!",F5239="NEW"),"",INDEX(B5238:B$2,-1+SUMPRODUCT(MAX(ROW(E5238:E$2)*(E5239=E5238:E$2)))))</f>
        <v> </v>
      </c>
      <c r="J5239" s="26" t="str">
        <f>IF(OR(E5239="",E5239="!!!",F5239="NEW"),"",COUNTBLANK(OFFSET(A$1,,,SUMPRODUCT(MAX(ROW(E$2:E5239)*(E5239=E$2:E5239)))))-COUNTBLANK(OFFSET(A$1,,,SUMPRODUCT(MAX(ROW(E$1:E5238)*(E2=E$1:E5238))))))</f>
        <v> </v>
      </c>
      <c r="K5239" s="26" t="str">
        <f>IF(OR(E5239="",E5239="!!!",F5239="NEW"),"",INDEX(J$1:J5238,SUMPRODUCT(MAX(ROW(E$1:E5238)*(E5239=E$1:E5238)))))</f>
        <v> </v>
      </c>
      <c r="L5239" s="27"/>
    </row>
    <row r="5240" spans="1:12">
      <c r="A5240" s="20" t="s">
        <v>1795</v>
      </c>
      <c r="E5240" s="22">
        <f>IF(D5240="?OLD","!!!","")</f>
        <v/>
      </c>
      <c r="F5240" s="23" t="str">
        <f>IF(OR(E5240="",E5240="!!!"),"",IF(NOT(ISNA(VLOOKUP(E5240,E$1:E5239,1,FALSE()))),"OLD",IF(AND(E5240&lt;&gt;"",E5240&lt;&gt;"!!!"),"NEW","")))</f>
        <v> </v>
      </c>
      <c r="G5240" s="24" t="str">
        <f>IF(OR(E5240="",E5240="!!!"),"",IF(OR(J5240=0,AND(J5240=1,K5240=1),AND(J5240=1,I5240="SBJ"),AND(J5240=1,I5240=0)),"?IN_FOCUS",IF(J5240&lt;=2,"?ACTIVATED",IF(J5240&lt;&gt;"","?FAMILIAR",IF(F5240="NEW",IF(ISNA(VLOOKUP(E5240,#REF!,1,FALSE())),"?TYPE_IDENTIFIABLE","?REFERENTIAL"),"_")))))</f>
        <v> </v>
      </c>
      <c r="H5240" s="25" t="str">
        <f>IF(J5240&lt;&gt;1,"",IF(I5240="SBJ","CB","?"))</f>
        <v> </v>
      </c>
      <c r="I5240" s="26" t="str">
        <f>IF(OR(E5240="",E5240="!!!",F5240="NEW"),"",INDEX(B5239:B$2,-1+SUMPRODUCT(MAX(ROW(E5239:E$2)*(E5240=E5239:E$2)))))</f>
        <v> </v>
      </c>
      <c r="J5240" s="26" t="str">
        <f>IF(OR(E5240="",E5240="!!!",F5240="NEW"),"",COUNTBLANK(OFFSET(A$1,,,SUMPRODUCT(MAX(ROW(E$2:E5240)*(E5240=E$2:E5240)))))-COUNTBLANK(OFFSET(A$1,,,SUMPRODUCT(MAX(ROW(E$1:E5239)*(E2=E$1:E5239))))))</f>
        <v> </v>
      </c>
      <c r="K5240" s="26" t="str">
        <f>IF(OR(E5240="",E5240="!!!",F5240="NEW"),"",INDEX(J$1:J5239,SUMPRODUCT(MAX(ROW(E$1:E5239)*(E5240=E$1:E5239)))))</f>
        <v> </v>
      </c>
      <c r="L5240" s="27"/>
    </row>
    <row r="5241" spans="1:12">
      <c r="A5241" s="20" t="s">
        <v>1028</v>
      </c>
      <c r="E5241" s="22">
        <f>IF(D5241="?OLD","!!!","")</f>
        <v/>
      </c>
      <c r="F5241" s="23" t="str">
        <f>IF(OR(E5241="",E5241="!!!"),"",IF(NOT(ISNA(VLOOKUP(E5241,E$1:E5240,1,FALSE()))),"OLD",IF(AND(E5241&lt;&gt;"",E5241&lt;&gt;"!!!"),"NEW","")))</f>
        <v> </v>
      </c>
      <c r="G5241" s="24" t="str">
        <f>IF(OR(E5241="",E5241="!!!"),"",IF(OR(J5241=0,AND(J5241=1,K5241=1),AND(J5241=1,I5241="SBJ"),AND(J5241=1,I5241=0)),"?IN_FOCUS",IF(J5241&lt;=2,"?ACTIVATED",IF(J5241&lt;&gt;"","?FAMILIAR",IF(F5241="NEW",IF(ISNA(VLOOKUP(E5241,#REF!,1,FALSE())),"?TYPE_IDENTIFIABLE","?REFERENTIAL"),"_")))))</f>
        <v> </v>
      </c>
      <c r="H5241" s="25" t="str">
        <f>IF(J5241&lt;&gt;1,"",IF(I5241="SBJ","CB","?"))</f>
        <v> </v>
      </c>
      <c r="I5241" s="26" t="str">
        <f>IF(OR(E5241="",E5241="!!!",F5241="NEW"),"",INDEX(B5240:B$2,-1+SUMPRODUCT(MAX(ROW(E5240:E$2)*(E5241=E5240:E$2)))))</f>
        <v> </v>
      </c>
      <c r="J5241" s="26" t="str">
        <f>IF(OR(E5241="",E5241="!!!",F5241="NEW"),"",COUNTBLANK(OFFSET(A$1,,,SUMPRODUCT(MAX(ROW(E$2:E5241)*(E5241=E$2:E5241)))))-COUNTBLANK(OFFSET(A$1,,,SUMPRODUCT(MAX(ROW(E$1:E5240)*(E2=E$1:E5240))))))</f>
        <v> </v>
      </c>
      <c r="K5241" s="26" t="str">
        <f>IF(OR(E5241="",E5241="!!!",F5241="NEW"),"",INDEX(J$1:J5240,SUMPRODUCT(MAX(ROW(E$1:E5240)*(E5241=E$1:E5240)))))</f>
        <v> </v>
      </c>
      <c r="L5241" s="27"/>
    </row>
    <row r="5242" spans="1:12">
      <c r="A5242" s="20" t="s">
        <v>2193</v>
      </c>
      <c r="B5242" s="21" t="s">
        <v>1088</v>
      </c>
      <c r="C5242" s="21" t="s">
        <v>1030</v>
      </c>
      <c r="E5242" s="22">
        <f>IF(D5242="?OLD","!!!","")</f>
        <v/>
      </c>
      <c r="F5242" s="23" t="str">
        <f>IF(OR(E5242="",E5242="!!!"),"",IF(NOT(ISNA(VLOOKUP(E5242,E$1:E5241,1,FALSE()))),"OLD",IF(AND(E5242&lt;&gt;"",E5242&lt;&gt;"!!!"),"NEW","")))</f>
        <v> </v>
      </c>
      <c r="G5242" s="24" t="str">
        <f>IF(OR(E5242="",E5242="!!!"),"",IF(OR(J5242=0,AND(J5242=1,K5242=1),AND(J5242=1,I5242="SBJ"),AND(J5242=1,I5242=0)),"?IN_FOCUS",IF(J5242&lt;=2,"?ACTIVATED",IF(J5242&lt;&gt;"","?FAMILIAR",IF(F5242="NEW",IF(ISNA(VLOOKUP(E5242,#REF!,1,FALSE())),"?TYPE_IDENTIFIABLE","?REFERENTIAL"),"_")))))</f>
        <v> </v>
      </c>
      <c r="H5242" s="25" t="str">
        <f>IF(J5242&lt;&gt;1,"",IF(I5242="SBJ","CB","?"))</f>
        <v> </v>
      </c>
      <c r="I5242" s="26" t="str">
        <f>IF(OR(E5242="",E5242="!!!",F5242="NEW"),"",INDEX(B5241:B$2,-1+SUMPRODUCT(MAX(ROW(E5241:E$2)*(E5242=E5241:E$2)))))</f>
        <v> </v>
      </c>
      <c r="J5242" s="26" t="str">
        <f>IF(OR(E5242="",E5242="!!!",F5242="NEW"),"",COUNTBLANK(OFFSET(A$1,,,SUMPRODUCT(MAX(ROW(E$2:E5242)*(E5242=E$2:E5242)))))-COUNTBLANK(OFFSET(A$1,,,SUMPRODUCT(MAX(ROW(E$1:E5241)*(E2=E$1:E5241))))))</f>
        <v> </v>
      </c>
      <c r="K5242" s="26" t="str">
        <f>IF(OR(E5242="",E5242="!!!",F5242="NEW"),"",INDEX(J$1:J5241,SUMPRODUCT(MAX(ROW(E$1:E5241)*(E5242=E$1:E5241)))))</f>
        <v> </v>
      </c>
      <c r="L5242" s="27"/>
    </row>
    <row r="5243" spans="1:12">
      <c r="A5243" s="20" t="s">
        <v>1254</v>
      </c>
      <c r="E5243" s="22">
        <f>IF(D5243="?OLD","!!!","")</f>
        <v/>
      </c>
      <c r="F5243" s="23" t="str">
        <f>IF(OR(E5243="",E5243="!!!"),"",IF(NOT(ISNA(VLOOKUP(E5243,E$1:E5242,1,FALSE()))),"OLD",IF(AND(E5243&lt;&gt;"",E5243&lt;&gt;"!!!"),"NEW","")))</f>
        <v> </v>
      </c>
      <c r="G5243" s="24" t="str">
        <f>IF(OR(E5243="",E5243="!!!"),"",IF(OR(J5243=0,AND(J5243=1,K5243=1),AND(J5243=1,I5243="SBJ"),AND(J5243=1,I5243=0)),"?IN_FOCUS",IF(J5243&lt;=2,"?ACTIVATED",IF(J5243&lt;&gt;"","?FAMILIAR",IF(F5243="NEW",IF(ISNA(VLOOKUP(E5243,#REF!,1,FALSE())),"?TYPE_IDENTIFIABLE","?REFERENTIAL"),"_")))))</f>
        <v> </v>
      </c>
      <c r="H5243" s="25" t="str">
        <f>IF(J5243&lt;&gt;1,"",IF(I5243="SBJ","CB","?"))</f>
        <v> </v>
      </c>
      <c r="I5243" s="26" t="str">
        <f>IF(OR(E5243="",E5243="!!!",F5243="NEW"),"",INDEX(B5242:B$2,-1+SUMPRODUCT(MAX(ROW(E5242:E$2)*(E5243=E5242:E$2)))))</f>
        <v> </v>
      </c>
      <c r="J5243" s="26" t="str">
        <f>IF(OR(E5243="",E5243="!!!",F5243="NEW"),"",COUNTBLANK(OFFSET(A$1,,,SUMPRODUCT(MAX(ROW(E$2:E5243)*(E5243=E$2:E5243)))))-COUNTBLANK(OFFSET(A$1,,,SUMPRODUCT(MAX(ROW(E$1:E5242)*(E2=E$1:E5242))))))</f>
        <v> </v>
      </c>
      <c r="K5243" s="26" t="str">
        <f>IF(OR(E5243="",E5243="!!!",F5243="NEW"),"",INDEX(J$1:J5242,SUMPRODUCT(MAX(ROW(E$1:E5242)*(E5243=E$1:E5242)))))</f>
        <v> </v>
      </c>
      <c r="L5243" s="27"/>
    </row>
    <row r="5244" spans="1:12">
      <c r="A5244" s="20" t="s">
        <v>1058</v>
      </c>
      <c r="B5244" s="21" t="s">
        <v>1175</v>
      </c>
      <c r="E5244" s="22">
        <f>IF(D5244="?OLD","!!!","")</f>
        <v/>
      </c>
      <c r="F5244" s="23" t="str">
        <f>IF(OR(E5244="",E5244="!!!"),"",IF(NOT(ISNA(VLOOKUP(E5244,E$1:E5243,1,FALSE()))),"OLD",IF(AND(E5244&lt;&gt;"",E5244&lt;&gt;"!!!"),"NEW","")))</f>
        <v> </v>
      </c>
      <c r="G5244" s="24" t="str">
        <f>IF(OR(E5244="",E5244="!!!"),"",IF(OR(J5244=0,AND(J5244=1,K5244=1),AND(J5244=1,I5244="SBJ"),AND(J5244=1,I5244=0)),"?IN_FOCUS",IF(J5244&lt;=2,"?ACTIVATED",IF(J5244&lt;&gt;"","?FAMILIAR",IF(F5244="NEW",IF(ISNA(VLOOKUP(E5244,#REF!,1,FALSE())),"?TYPE_IDENTIFIABLE","?REFERENTIAL"),"_")))))</f>
        <v> </v>
      </c>
      <c r="H5244" s="25" t="str">
        <f>IF(J5244&lt;&gt;1,"",IF(I5244="SBJ","CB","?"))</f>
        <v> </v>
      </c>
      <c r="I5244" s="26" t="str">
        <f>IF(OR(E5244="",E5244="!!!",F5244="NEW"),"",INDEX(B5243:B$2,-1+SUMPRODUCT(MAX(ROW(E5243:E$2)*(E5244=E5243:E$2)))))</f>
        <v> </v>
      </c>
      <c r="J5244" s="26" t="str">
        <f>IF(OR(E5244="",E5244="!!!",F5244="NEW"),"",COUNTBLANK(OFFSET(A$1,,,SUMPRODUCT(MAX(ROW(E$2:E5244)*(E5244=E$2:E5244)))))-COUNTBLANK(OFFSET(A$1,,,SUMPRODUCT(MAX(ROW(E$1:E5243)*(E2=E$1:E5243))))))</f>
        <v> </v>
      </c>
      <c r="K5244" s="26" t="str">
        <f>IF(OR(E5244="",E5244="!!!",F5244="NEW"),"",INDEX(J$1:J5243,SUMPRODUCT(MAX(ROW(E$1:E5243)*(E5244=E$1:E5243)))))</f>
        <v> </v>
      </c>
      <c r="L5244" s="27"/>
    </row>
    <row r="5245" spans="1:12">
      <c r="A5245" s="20" t="s">
        <v>1014</v>
      </c>
      <c r="E5245" s="22">
        <f>IF(D5245="?OLD","!!!","")</f>
        <v/>
      </c>
      <c r="F5245" s="23" t="str">
        <f>IF(OR(E5245="",E5245="!!!"),"",IF(NOT(ISNA(VLOOKUP(E5245,E$1:E5244,1,FALSE()))),"OLD",IF(AND(E5245&lt;&gt;"",E5245&lt;&gt;"!!!"),"NEW","")))</f>
        <v> </v>
      </c>
      <c r="G5245" s="24" t="str">
        <f>IF(OR(E5245="",E5245="!!!"),"",IF(OR(J5245=0,AND(J5245=1,K5245=1),AND(J5245=1,I5245="SBJ"),AND(J5245=1,I5245=0)),"?IN_FOCUS",IF(J5245&lt;=2,"?ACTIVATED",IF(J5245&lt;&gt;"","?FAMILIAR",IF(F5245="NEW",IF(ISNA(VLOOKUP(E5245,#REF!,1,FALSE())),"?TYPE_IDENTIFIABLE","?REFERENTIAL"),"_")))))</f>
        <v> </v>
      </c>
      <c r="H5245" s="25" t="str">
        <f>IF(J5245&lt;&gt;1,"",IF(I5245="SBJ","CB","?"))</f>
        <v> </v>
      </c>
      <c r="I5245" s="26" t="str">
        <f>IF(OR(E5245="",E5245="!!!",F5245="NEW"),"",INDEX(B5244:B$2,-1+SUMPRODUCT(MAX(ROW(E5244:E$2)*(E5245=E5244:E$2)))))</f>
        <v> </v>
      </c>
      <c r="J5245" s="26" t="str">
        <f>IF(OR(E5245="",E5245="!!!",F5245="NEW"),"",COUNTBLANK(OFFSET(A$1,,,SUMPRODUCT(MAX(ROW(E$2:E5245)*(E5245=E$2:E5245)))))-COUNTBLANK(OFFSET(A$1,,,SUMPRODUCT(MAX(ROW(E$1:E5244)*(E2=E$1:E5244))))))</f>
        <v> </v>
      </c>
      <c r="K5245" s="26" t="str">
        <f>IF(OR(E5245="",E5245="!!!",F5245="NEW"),"",INDEX(J$1:J5244,SUMPRODUCT(MAX(ROW(E$1:E5244)*(E5245=E$1:E5244)))))</f>
        <v> </v>
      </c>
      <c r="L5245" s="27"/>
    </row>
    <row r="5246" spans="1:12">
      <c r="A5246" s="20" t="s">
        <v>883</v>
      </c>
      <c r="E5246" s="22">
        <f>IF(D5246="?OLD","!!!","")</f>
        <v/>
      </c>
      <c r="F5246" s="23" t="str">
        <f>IF(OR(E5246="",E5246="!!!"),"",IF(NOT(ISNA(VLOOKUP(E5246,E$1:E5245,1,FALSE()))),"OLD",IF(AND(E5246&lt;&gt;"",E5246&lt;&gt;"!!!"),"NEW","")))</f>
        <v> </v>
      </c>
      <c r="G5246" s="24" t="str">
        <f>IF(OR(E5246="",E5246="!!!"),"",IF(OR(J5246=0,AND(J5246=1,K5246=1),AND(J5246=1,I5246="SBJ"),AND(J5246=1,I5246=0)),"?IN_FOCUS",IF(J5246&lt;=2,"?ACTIVATED",IF(J5246&lt;&gt;"","?FAMILIAR",IF(F5246="NEW",IF(ISNA(VLOOKUP(E5246,#REF!,1,FALSE())),"?TYPE_IDENTIFIABLE","?REFERENTIAL"),"_")))))</f>
        <v> </v>
      </c>
      <c r="H5246" s="25" t="str">
        <f>IF(J5246&lt;&gt;1,"",IF(I5246="SBJ","CB","?"))</f>
        <v> </v>
      </c>
      <c r="I5246" s="26" t="str">
        <f>IF(OR(E5246="",E5246="!!!",F5246="NEW"),"",INDEX(B5245:B$2,-1+SUMPRODUCT(MAX(ROW(E5245:E$2)*(E5246=E5245:E$2)))))</f>
        <v> </v>
      </c>
      <c r="J5246" s="26" t="str">
        <f>IF(OR(E5246="",E5246="!!!",F5246="NEW"),"",COUNTBLANK(OFFSET(A$1,,,SUMPRODUCT(MAX(ROW(E$2:E5246)*(E5246=E$2:E5246)))))-COUNTBLANK(OFFSET(A$1,,,SUMPRODUCT(MAX(ROW(E$1:E5245)*(E2=E$1:E5245))))))</f>
        <v> </v>
      </c>
      <c r="K5246" s="26" t="str">
        <f>IF(OR(E5246="",E5246="!!!",F5246="NEW"),"",INDEX(J$1:J5245,SUMPRODUCT(MAX(ROW(E$1:E5245)*(E5246=E$1:E5245)))))</f>
        <v> </v>
      </c>
      <c r="L5246" s="27"/>
    </row>
    <row r="5247" spans="1:12">
      <c r="A5247" s="20" t="s">
        <v>1014</v>
      </c>
      <c r="E5247" s="22">
        <f>IF(D5247="?OLD","!!!","")</f>
        <v/>
      </c>
      <c r="F5247" s="23" t="str">
        <f>IF(OR(E5247="",E5247="!!!"),"",IF(NOT(ISNA(VLOOKUP(E5247,E$1:E5246,1,FALSE()))),"OLD",IF(AND(E5247&lt;&gt;"",E5247&lt;&gt;"!!!"),"NEW","")))</f>
        <v> </v>
      </c>
      <c r="G5247" s="24" t="str">
        <f>IF(OR(E5247="",E5247="!!!"),"",IF(OR(J5247=0,AND(J5247=1,K5247=1),AND(J5247=1,I5247="SBJ"),AND(J5247=1,I5247=0)),"?IN_FOCUS",IF(J5247&lt;=2,"?ACTIVATED",IF(J5247&lt;&gt;"","?FAMILIAR",IF(F5247="NEW",IF(ISNA(VLOOKUP(E5247,#REF!,1,FALSE())),"?TYPE_IDENTIFIABLE","?REFERENTIAL"),"_")))))</f>
        <v> </v>
      </c>
      <c r="H5247" s="25" t="str">
        <f>IF(J5247&lt;&gt;1,"",IF(I5247="SBJ","CB","?"))</f>
        <v> </v>
      </c>
      <c r="I5247" s="26" t="str">
        <f>IF(OR(E5247="",E5247="!!!",F5247="NEW"),"",INDEX(B5246:B$2,-1+SUMPRODUCT(MAX(ROW(E5246:E$2)*(E5247=E5246:E$2)))))</f>
        <v> </v>
      </c>
      <c r="J5247" s="26" t="str">
        <f>IF(OR(E5247="",E5247="!!!",F5247="NEW"),"",COUNTBLANK(OFFSET(A$1,,,SUMPRODUCT(MAX(ROW(E$2:E5247)*(E5247=E$2:E5247)))))-COUNTBLANK(OFFSET(A$1,,,SUMPRODUCT(MAX(ROW(E$1:E5246)*(E2=E$1:E5246))))))</f>
        <v> </v>
      </c>
      <c r="K5247" s="26" t="str">
        <f>IF(OR(E5247="",E5247="!!!",F5247="NEW"),"",INDEX(J$1:J5246,SUMPRODUCT(MAX(ROW(E$1:E5246)*(E5247=E$1:E5246)))))</f>
        <v> </v>
      </c>
      <c r="L5247" s="27"/>
    </row>
    <row r="5248" spans="1:12">
      <c r="A5248" s="20" t="s">
        <v>1128</v>
      </c>
      <c r="B5248" s="21" t="s">
        <v>1021</v>
      </c>
      <c r="C5248" s="21" t="s">
        <v>1010</v>
      </c>
      <c r="D5248" s="21" t="s">
        <v>1011</v>
      </c>
      <c r="E5248" s="22">
        <f>IF(D5248="?OLD","!!!","")</f>
        <v/>
      </c>
      <c r="F5248" s="23" t="str">
        <f>IF(OR(E5248="",E5248="!!!"),"",IF(NOT(ISNA(VLOOKUP(E5248,E$1:E5247,1,FALSE()))),"OLD",IF(AND(E5248&lt;&gt;"",E5248&lt;&gt;"!!!"),"NEW","")))</f>
        <v> </v>
      </c>
      <c r="G5248" s="24" t="str">
        <f>IF(OR(E5248="",E5248="!!!"),"",IF(OR(J5248=0,AND(J5248=1,K5248=1),AND(J5248=1,I5248="SBJ"),AND(J5248=1,I5248=0)),"?IN_FOCUS",IF(J5248&lt;=2,"?ACTIVATED",IF(J5248&lt;&gt;"","?FAMILIAR",IF(F5248="NEW",IF(ISNA(VLOOKUP(E5248,#REF!,1,FALSE())),"?TYPE_IDENTIFIABLE","?REFERENTIAL"),"_")))))</f>
        <v> </v>
      </c>
      <c r="H5248" s="25" t="str">
        <f>IF(J5248&lt;&gt;1,"",IF(I5248="SBJ","CB","?"))</f>
        <v> </v>
      </c>
      <c r="I5248" s="26" t="str">
        <f>IF(OR(E5248="",E5248="!!!",F5248="NEW"),"",INDEX(B5247:B$2,-1+SUMPRODUCT(MAX(ROW(E5247:E$2)*(E5248=E5247:E$2)))))</f>
        <v> </v>
      </c>
      <c r="J5248" s="26" t="str">
        <f>IF(OR(E5248="",E5248="!!!",F5248="NEW"),"",COUNTBLANK(OFFSET(A$1,,,SUMPRODUCT(MAX(ROW(E$2:E5248)*(E5248=E$2:E5248)))))-COUNTBLANK(OFFSET(A$1,,,SUMPRODUCT(MAX(ROW(E$1:E5247)*(E2=E$1:E5247))))))</f>
        <v> </v>
      </c>
      <c r="K5248" s="26" t="str">
        <f>IF(OR(E5248="",E5248="!!!",F5248="NEW"),"",INDEX(J$1:J5247,SUMPRODUCT(MAX(ROW(E$1:E5247)*(E5248=E$1:E5247)))))</f>
        <v> </v>
      </c>
      <c r="L5248" s="27"/>
    </row>
    <row r="5249" spans="1:12">
      <c r="A5249" s="20" t="s">
        <v>1032</v>
      </c>
      <c r="E5249" s="22">
        <f>IF(D5249="?OLD","!!!","")</f>
        <v/>
      </c>
      <c r="F5249" s="23" t="str">
        <f>IF(OR(E5249="",E5249="!!!"),"",IF(NOT(ISNA(VLOOKUP(E5249,E$1:E5248,1,FALSE()))),"OLD",IF(AND(E5249&lt;&gt;"",E5249&lt;&gt;"!!!"),"NEW","")))</f>
        <v> </v>
      </c>
      <c r="G5249" s="24" t="str">
        <f>IF(OR(E5249="",E5249="!!!"),"",IF(OR(J5249=0,AND(J5249=1,K5249=1),AND(J5249=1,I5249="SBJ"),AND(J5249=1,I5249=0)),"?IN_FOCUS",IF(J5249&lt;=2,"?ACTIVATED",IF(J5249&lt;&gt;"","?FAMILIAR",IF(F5249="NEW",IF(ISNA(VLOOKUP(E5249,#REF!,1,FALSE())),"?TYPE_IDENTIFIABLE","?REFERENTIAL"),"_")))))</f>
        <v> </v>
      </c>
      <c r="H5249" s="25" t="str">
        <f>IF(J5249&lt;&gt;1,"",IF(I5249="SBJ","CB","?"))</f>
        <v> </v>
      </c>
      <c r="I5249" s="26" t="str">
        <f>IF(OR(E5249="",E5249="!!!",F5249="NEW"),"",INDEX(B5248:B$2,-1+SUMPRODUCT(MAX(ROW(E5248:E$2)*(E5249=E5248:E$2)))))</f>
        <v> </v>
      </c>
      <c r="J5249" s="26" t="str">
        <f>IF(OR(E5249="",E5249="!!!",F5249="NEW"),"",COUNTBLANK(OFFSET(A$1,,,SUMPRODUCT(MAX(ROW(E$2:E5249)*(E5249=E$2:E5249)))))-COUNTBLANK(OFFSET(A$1,,,SUMPRODUCT(MAX(ROW(E$1:E5248)*(E2=E$1:E5248))))))</f>
        <v> </v>
      </c>
      <c r="K5249" s="26" t="str">
        <f>IF(OR(E5249="",E5249="!!!",F5249="NEW"),"",INDEX(J$1:J5248,SUMPRODUCT(MAX(ROW(E$1:E5248)*(E5249=E$1:E5248)))))</f>
        <v> </v>
      </c>
      <c r="L5249" s="27"/>
    </row>
    <row r="5250" spans="1:12">
      <c r="A5250" s="20" t="s">
        <v>1225</v>
      </c>
      <c r="E5250" s="22">
        <f>IF(D5250="?OLD","!!!","")</f>
        <v/>
      </c>
      <c r="F5250" s="23" t="str">
        <f>IF(OR(E5250="",E5250="!!!"),"",IF(NOT(ISNA(VLOOKUP(E5250,E$1:E5249,1,FALSE()))),"OLD",IF(AND(E5250&lt;&gt;"",E5250&lt;&gt;"!!!"),"NEW","")))</f>
        <v> </v>
      </c>
      <c r="G5250" s="24" t="str">
        <f>IF(OR(E5250="",E5250="!!!"),"",IF(OR(J5250=0,AND(J5250=1,K5250=1),AND(J5250=1,I5250="SBJ"),AND(J5250=1,I5250=0)),"?IN_FOCUS",IF(J5250&lt;=2,"?ACTIVATED",IF(J5250&lt;&gt;"","?FAMILIAR",IF(F5250="NEW",IF(ISNA(VLOOKUP(E5250,#REF!,1,FALSE())),"?TYPE_IDENTIFIABLE","?REFERENTIAL"),"_")))))</f>
        <v> </v>
      </c>
      <c r="H5250" s="25" t="str">
        <f>IF(J5250&lt;&gt;1,"",IF(I5250="SBJ","CB","?"))</f>
        <v> </v>
      </c>
      <c r="I5250" s="26" t="str">
        <f>IF(OR(E5250="",E5250="!!!",F5250="NEW"),"",INDEX(B5249:B$2,-1+SUMPRODUCT(MAX(ROW(E5249:E$2)*(E5250=E5249:E$2)))))</f>
        <v> </v>
      </c>
      <c r="J5250" s="26" t="str">
        <f>IF(OR(E5250="",E5250="!!!",F5250="NEW"),"",COUNTBLANK(OFFSET(A$1,,,SUMPRODUCT(MAX(ROW(E$2:E5250)*(E5250=E$2:E5250)))))-COUNTBLANK(OFFSET(A$1,,,SUMPRODUCT(MAX(ROW(E$1:E5249)*(E2=E$1:E5249))))))</f>
        <v> </v>
      </c>
      <c r="K5250" s="26" t="str">
        <f>IF(OR(E5250="",E5250="!!!",F5250="NEW"),"",INDEX(J$1:J5249,SUMPRODUCT(MAX(ROW(E$1:E5249)*(E5250=E$1:E5249)))))</f>
        <v> </v>
      </c>
      <c r="L5250" s="27"/>
    </row>
    <row r="5251" spans="1:12">
      <c r="A5251" s="20" t="s">
        <v>1027</v>
      </c>
      <c r="E5251" s="22">
        <f>IF(D5251="?OLD","!!!","")</f>
        <v/>
      </c>
      <c r="F5251" s="23" t="str">
        <f>IF(OR(E5251="",E5251="!!!"),"",IF(NOT(ISNA(VLOOKUP(E5251,E$1:E5250,1,FALSE()))),"OLD",IF(AND(E5251&lt;&gt;"",E5251&lt;&gt;"!!!"),"NEW","")))</f>
        <v> </v>
      </c>
      <c r="G5251" s="24" t="str">
        <f>IF(OR(E5251="",E5251="!!!"),"",IF(OR(J5251=0,AND(J5251=1,K5251=1),AND(J5251=1,I5251="SBJ"),AND(J5251=1,I5251=0)),"?IN_FOCUS",IF(J5251&lt;=2,"?ACTIVATED",IF(J5251&lt;&gt;"","?FAMILIAR",IF(F5251="NEW",IF(ISNA(VLOOKUP(E5251,#REF!,1,FALSE())),"?TYPE_IDENTIFIABLE","?REFERENTIAL"),"_")))))</f>
        <v> </v>
      </c>
      <c r="H5251" s="25" t="str">
        <f>IF(J5251&lt;&gt;1,"",IF(I5251="SBJ","CB","?"))</f>
        <v> </v>
      </c>
      <c r="I5251" s="26" t="str">
        <f>IF(OR(E5251="",E5251="!!!",F5251="NEW"),"",INDEX(B5250:B$2,-1+SUMPRODUCT(MAX(ROW(E5250:E$2)*(E5251=E5250:E$2)))))</f>
        <v> </v>
      </c>
      <c r="J5251" s="26" t="str">
        <f>IF(OR(E5251="",E5251="!!!",F5251="NEW"),"",COUNTBLANK(OFFSET(A$1,,,SUMPRODUCT(MAX(ROW(E$2:E5251)*(E5251=E$2:E5251)))))-COUNTBLANK(OFFSET(A$1,,,SUMPRODUCT(MAX(ROW(E$1:E5250)*(E2=E$1:E5250))))))</f>
        <v> </v>
      </c>
      <c r="K5251" s="26" t="str">
        <f>IF(OR(E5251="",E5251="!!!",F5251="NEW"),"",INDEX(J$1:J5250,SUMPRODUCT(MAX(ROW(E$1:E5250)*(E5251=E$1:E5250)))))</f>
        <v> </v>
      </c>
      <c r="L5251" s="27"/>
    </row>
    <row r="5252" spans="1:12">
      <c r="A5252" s="20" t="s">
        <v>1137</v>
      </c>
      <c r="B5252" s="21" t="s">
        <v>1009</v>
      </c>
      <c r="C5252" s="21" t="s">
        <v>1010</v>
      </c>
      <c r="D5252" s="21" t="s">
        <v>1011</v>
      </c>
      <c r="E5252" s="22">
        <f>IF(D5252="?OLD","!!!","")</f>
        <v/>
      </c>
      <c r="F5252" s="23" t="str">
        <f>IF(OR(E5252="",E5252="!!!"),"",IF(NOT(ISNA(VLOOKUP(E5252,E$1:E5251,1,FALSE()))),"OLD",IF(AND(E5252&lt;&gt;"",E5252&lt;&gt;"!!!"),"NEW","")))</f>
        <v> </v>
      </c>
      <c r="G5252" s="24" t="str">
        <f>IF(OR(E5252="",E5252="!!!"),"",IF(OR(J5252=0,AND(J5252=1,K5252=1),AND(J5252=1,I5252="SBJ"),AND(J5252=1,I5252=0)),"?IN_FOCUS",IF(J5252&lt;=2,"?ACTIVATED",IF(J5252&lt;&gt;"","?FAMILIAR",IF(F5252="NEW",IF(ISNA(VLOOKUP(E5252,#REF!,1,FALSE())),"?TYPE_IDENTIFIABLE","?REFERENTIAL"),"_")))))</f>
        <v> </v>
      </c>
      <c r="H5252" s="25" t="str">
        <f>IF(J5252&lt;&gt;1,"",IF(I5252="SBJ","CB","?"))</f>
        <v> </v>
      </c>
      <c r="I5252" s="26" t="str">
        <f>IF(OR(E5252="",E5252="!!!",F5252="NEW"),"",INDEX(B5251:B$2,-1+SUMPRODUCT(MAX(ROW(E5251:E$2)*(E5252=E5251:E$2)))))</f>
        <v> </v>
      </c>
      <c r="J5252" s="26" t="str">
        <f>IF(OR(E5252="",E5252="!!!",F5252="NEW"),"",COUNTBLANK(OFFSET(A$1,,,SUMPRODUCT(MAX(ROW(E$2:E5252)*(E5252=E$2:E5252)))))-COUNTBLANK(OFFSET(A$1,,,SUMPRODUCT(MAX(ROW(E$1:E5251)*(E2=E$1:E5251))))))</f>
        <v> </v>
      </c>
      <c r="K5252" s="26" t="str">
        <f>IF(OR(E5252="",E5252="!!!",F5252="NEW"),"",INDEX(J$1:J5251,SUMPRODUCT(MAX(ROW(E$1:E5251)*(E5252=E$1:E5251)))))</f>
        <v> </v>
      </c>
      <c r="L5252" s="27"/>
    </row>
    <row r="5253" spans="1:12">
      <c r="A5253" s="20" t="s">
        <v>897</v>
      </c>
      <c r="E5253" s="22">
        <f>IF(D5253="?OLD","!!!","")</f>
        <v/>
      </c>
      <c r="F5253" s="23" t="str">
        <f>IF(OR(E5253="",E5253="!!!"),"",IF(NOT(ISNA(VLOOKUP(E5253,E$1:E5252,1,FALSE()))),"OLD",IF(AND(E5253&lt;&gt;"",E5253&lt;&gt;"!!!"),"NEW","")))</f>
        <v> </v>
      </c>
      <c r="G5253" s="24" t="str">
        <f>IF(OR(E5253="",E5253="!!!"),"",IF(OR(J5253=0,AND(J5253=1,K5253=1),AND(J5253=1,I5253="SBJ"),AND(J5253=1,I5253=0)),"?IN_FOCUS",IF(J5253&lt;=2,"?ACTIVATED",IF(J5253&lt;&gt;"","?FAMILIAR",IF(F5253="NEW",IF(ISNA(VLOOKUP(E5253,#REF!,1,FALSE())),"?TYPE_IDENTIFIABLE","?REFERENTIAL"),"_")))))</f>
        <v> </v>
      </c>
      <c r="H5253" s="25" t="str">
        <f>IF(J5253&lt;&gt;1,"",IF(I5253="SBJ","CB","?"))</f>
        <v> </v>
      </c>
      <c r="I5253" s="26" t="str">
        <f>IF(OR(E5253="",E5253="!!!",F5253="NEW"),"",INDEX(B5252:B$2,-1+SUMPRODUCT(MAX(ROW(E5252:E$2)*(E5253=E5252:E$2)))))</f>
        <v> </v>
      </c>
      <c r="J5253" s="26" t="str">
        <f>IF(OR(E5253="",E5253="!!!",F5253="NEW"),"",COUNTBLANK(OFFSET(A$1,,,SUMPRODUCT(MAX(ROW(E$2:E5253)*(E5253=E$2:E5253)))))-COUNTBLANK(OFFSET(A$1,,,SUMPRODUCT(MAX(ROW(E$1:E5252)*(E2=E$1:E5252))))))</f>
        <v> </v>
      </c>
      <c r="K5253" s="26" t="str">
        <f>IF(OR(E5253="",E5253="!!!",F5253="NEW"),"",INDEX(J$1:J5252,SUMPRODUCT(MAX(ROW(E$1:E5252)*(E5253=E$1:E5252)))))</f>
        <v> </v>
      </c>
      <c r="L5253" s="27"/>
    </row>
    <row r="5254" spans="1:12">
      <c r="A5254" s="20" t="s">
        <v>1128</v>
      </c>
      <c r="B5254" s="21" t="s">
        <v>1048</v>
      </c>
      <c r="C5254" s="21" t="s">
        <v>1010</v>
      </c>
      <c r="D5254" s="21" t="s">
        <v>1011</v>
      </c>
      <c r="E5254" s="22">
        <f>IF(D5254="?OLD","!!!","")</f>
        <v/>
      </c>
      <c r="F5254" s="23" t="str">
        <f>IF(OR(E5254="",E5254="!!!"),"",IF(NOT(ISNA(VLOOKUP(E5254,E$1:E5253,1,FALSE()))),"OLD",IF(AND(E5254&lt;&gt;"",E5254&lt;&gt;"!!!"),"NEW","")))</f>
        <v> </v>
      </c>
      <c r="G5254" s="24" t="str">
        <f>IF(OR(E5254="",E5254="!!!"),"",IF(OR(J5254=0,AND(J5254=1,K5254=1),AND(J5254=1,I5254="SBJ"),AND(J5254=1,I5254=0)),"?IN_FOCUS",IF(J5254&lt;=2,"?ACTIVATED",IF(J5254&lt;&gt;"","?FAMILIAR",IF(F5254="NEW",IF(ISNA(VLOOKUP(E5254,#REF!,1,FALSE())),"?TYPE_IDENTIFIABLE","?REFERENTIAL"),"_")))))</f>
        <v> </v>
      </c>
      <c r="H5254" s="25" t="str">
        <f>IF(J5254&lt;&gt;1,"",IF(I5254="SBJ","CB","?"))</f>
        <v> </v>
      </c>
      <c r="I5254" s="26" t="str">
        <f>IF(OR(E5254="",E5254="!!!",F5254="NEW"),"",INDEX(B5253:B$2,-1+SUMPRODUCT(MAX(ROW(E5253:E$2)*(E5254=E5253:E$2)))))</f>
        <v> </v>
      </c>
      <c r="J5254" s="26" t="str">
        <f>IF(OR(E5254="",E5254="!!!",F5254="NEW"),"",COUNTBLANK(OFFSET(A$1,,,SUMPRODUCT(MAX(ROW(E$2:E5254)*(E5254=E$2:E5254)))))-COUNTBLANK(OFFSET(A$1,,,SUMPRODUCT(MAX(ROW(E$1:E5253)*(E2=E$1:E5253))))))</f>
        <v> </v>
      </c>
      <c r="K5254" s="26" t="str">
        <f>IF(OR(E5254="",E5254="!!!",F5254="NEW"),"",INDEX(J$1:J5253,SUMPRODUCT(MAX(ROW(E$1:E5253)*(E5254=E$1:E5253)))))</f>
        <v> </v>
      </c>
      <c r="L5254" s="27"/>
    </row>
    <row r="5255" spans="1:12">
      <c r="A5255" s="20" t="s">
        <v>1025</v>
      </c>
      <c r="E5255" s="22">
        <f>IF(D5255="?OLD","!!!","")</f>
        <v/>
      </c>
      <c r="F5255" s="23" t="str">
        <f>IF(OR(E5255="",E5255="!!!"),"",IF(NOT(ISNA(VLOOKUP(E5255,E$1:E5254,1,FALSE()))),"OLD",IF(AND(E5255&lt;&gt;"",E5255&lt;&gt;"!!!"),"NEW","")))</f>
        <v> </v>
      </c>
      <c r="G5255" s="24" t="str">
        <f>IF(OR(E5255="",E5255="!!!"),"",IF(OR(J5255=0,AND(J5255=1,K5255=1),AND(J5255=1,I5255="SBJ"),AND(J5255=1,I5255=0)),"?IN_FOCUS",IF(J5255&lt;=2,"?ACTIVATED",IF(J5255&lt;&gt;"","?FAMILIAR",IF(F5255="NEW",IF(ISNA(VLOOKUP(E5255,#REF!,1,FALSE())),"?TYPE_IDENTIFIABLE","?REFERENTIAL"),"_")))))</f>
        <v> </v>
      </c>
      <c r="H5255" s="25" t="str">
        <f>IF(J5255&lt;&gt;1,"",IF(I5255="SBJ","CB","?"))</f>
        <v> </v>
      </c>
      <c r="I5255" s="26" t="str">
        <f>IF(OR(E5255="",E5255="!!!",F5255="NEW"),"",INDEX(B5254:B$2,-1+SUMPRODUCT(MAX(ROW(E5254:E$2)*(E5255=E5254:E$2)))))</f>
        <v> </v>
      </c>
      <c r="J5255" s="26" t="str">
        <f>IF(OR(E5255="",E5255="!!!",F5255="NEW"),"",COUNTBLANK(OFFSET(A$1,,,SUMPRODUCT(MAX(ROW(E$2:E5255)*(E5255=E$2:E5255)))))-COUNTBLANK(OFFSET(A$1,,,SUMPRODUCT(MAX(ROW(E$1:E5254)*(E2=E$1:E5254))))))</f>
        <v> </v>
      </c>
      <c r="K5255" s="26" t="str">
        <f>IF(OR(E5255="",E5255="!!!",F5255="NEW"),"",INDEX(J$1:J5254,SUMPRODUCT(MAX(ROW(E$1:E5254)*(E5255=E$1:E5254)))))</f>
        <v> </v>
      </c>
      <c r="L5255" s="27"/>
    </row>
    <row r="5256" spans="1:12">
      <c r="A5256" s="20" t="s">
        <v>1239</v>
      </c>
      <c r="B5256" s="21" t="s">
        <v>1039</v>
      </c>
      <c r="C5256" s="21" t="s">
        <v>1010</v>
      </c>
      <c r="D5256" s="21" t="s">
        <v>1011</v>
      </c>
      <c r="E5256" s="22">
        <f>IF(D5256="?OLD","!!!","")</f>
        <v/>
      </c>
      <c r="F5256" s="23" t="str">
        <f>IF(OR(E5256="",E5256="!!!"),"",IF(NOT(ISNA(VLOOKUP(E5256,E$1:E5255,1,FALSE()))),"OLD",IF(AND(E5256&lt;&gt;"",E5256&lt;&gt;"!!!"),"NEW","")))</f>
        <v> </v>
      </c>
      <c r="G5256" s="24" t="str">
        <f>IF(OR(E5256="",E5256="!!!"),"",IF(OR(J5256=0,AND(J5256=1,K5256=1),AND(J5256=1,I5256="SBJ"),AND(J5256=1,I5256=0)),"?IN_FOCUS",IF(J5256&lt;=2,"?ACTIVATED",IF(J5256&lt;&gt;"","?FAMILIAR",IF(F5256="NEW",IF(ISNA(VLOOKUP(E5256,#REF!,1,FALSE())),"?TYPE_IDENTIFIABLE","?REFERENTIAL"),"_")))))</f>
        <v> </v>
      </c>
      <c r="H5256" s="25" t="str">
        <f>IF(J5256&lt;&gt;1,"",IF(I5256="SBJ","CB","?"))</f>
        <v> </v>
      </c>
      <c r="I5256" s="26" t="str">
        <f>IF(OR(E5256="",E5256="!!!",F5256="NEW"),"",INDEX(B5255:B$2,-1+SUMPRODUCT(MAX(ROW(E5255:E$2)*(E5256=E5255:E$2)))))</f>
        <v> </v>
      </c>
      <c r="J5256" s="26" t="str">
        <f>IF(OR(E5256="",E5256="!!!",F5256="NEW"),"",COUNTBLANK(OFFSET(A$1,,,SUMPRODUCT(MAX(ROW(E$2:E5256)*(E5256=E$2:E5256)))))-COUNTBLANK(OFFSET(A$1,,,SUMPRODUCT(MAX(ROW(E$1:E5255)*(E2=E$1:E5255))))))</f>
        <v> </v>
      </c>
      <c r="K5256" s="26" t="str">
        <f>IF(OR(E5256="",E5256="!!!",F5256="NEW"),"",INDEX(J$1:J5255,SUMPRODUCT(MAX(ROW(E$1:E5255)*(E5256=E$1:E5255)))))</f>
        <v> </v>
      </c>
      <c r="L5256" s="27"/>
    </row>
    <row r="5257" spans="1:12">
      <c r="A5257" s="20" t="s">
        <v>1183</v>
      </c>
      <c r="E5257" s="22">
        <f>IF(D5257="?OLD","!!!","")</f>
        <v/>
      </c>
      <c r="F5257" s="23" t="str">
        <f>IF(OR(E5257="",E5257="!!!"),"",IF(NOT(ISNA(VLOOKUP(E5257,E$1:E5256,1,FALSE()))),"OLD",IF(AND(E5257&lt;&gt;"",E5257&lt;&gt;"!!!"),"NEW","")))</f>
        <v> </v>
      </c>
      <c r="G5257" s="24" t="str">
        <f>IF(OR(E5257="",E5257="!!!"),"",IF(OR(J5257=0,AND(J5257=1,K5257=1),AND(J5257=1,I5257="SBJ"),AND(J5257=1,I5257=0)),"?IN_FOCUS",IF(J5257&lt;=2,"?ACTIVATED",IF(J5257&lt;&gt;"","?FAMILIAR",IF(F5257="NEW",IF(ISNA(VLOOKUP(E5257,#REF!,1,FALSE())),"?TYPE_IDENTIFIABLE","?REFERENTIAL"),"_")))))</f>
        <v> </v>
      </c>
      <c r="H5257" s="25" t="str">
        <f>IF(J5257&lt;&gt;1,"",IF(I5257="SBJ","CB","?"))</f>
        <v> </v>
      </c>
      <c r="I5257" s="26" t="str">
        <f>IF(OR(E5257="",E5257="!!!",F5257="NEW"),"",INDEX(B5256:B$2,-1+SUMPRODUCT(MAX(ROW(E5256:E$2)*(E5257=E5256:E$2)))))</f>
        <v> </v>
      </c>
      <c r="J5257" s="26" t="str">
        <f>IF(OR(E5257="",E5257="!!!",F5257="NEW"),"",COUNTBLANK(OFFSET(A$1,,,SUMPRODUCT(MAX(ROW(E$2:E5257)*(E5257=E$2:E5257)))))-COUNTBLANK(OFFSET(A$1,,,SUMPRODUCT(MAX(ROW(E$1:E5256)*(E2=E$1:E5256))))))</f>
        <v> </v>
      </c>
      <c r="K5257" s="26" t="str">
        <f>IF(OR(E5257="",E5257="!!!",F5257="NEW"),"",INDEX(J$1:J5256,SUMPRODUCT(MAX(ROW(E$1:E5256)*(E5257=E$1:E5256)))))</f>
        <v> </v>
      </c>
      <c r="L5257" s="27"/>
    </row>
    <row r="5258" spans="1:12">
      <c r="A5258" s="20" t="s">
        <v>1623</v>
      </c>
      <c r="E5258" s="22">
        <f>IF(D5258="?OLD","!!!","")</f>
        <v/>
      </c>
      <c r="F5258" s="23" t="str">
        <f>IF(OR(E5258="",E5258="!!!"),"",IF(NOT(ISNA(VLOOKUP(E5258,E$1:E5257,1,FALSE()))),"OLD",IF(AND(E5258&lt;&gt;"",E5258&lt;&gt;"!!!"),"NEW","")))</f>
        <v> </v>
      </c>
      <c r="G5258" s="24" t="str">
        <f>IF(OR(E5258="",E5258="!!!"),"",IF(OR(J5258=0,AND(J5258=1,K5258=1),AND(J5258=1,I5258="SBJ"),AND(J5258=1,I5258=0)),"?IN_FOCUS",IF(J5258&lt;=2,"?ACTIVATED",IF(J5258&lt;&gt;"","?FAMILIAR",IF(F5258="NEW",IF(ISNA(VLOOKUP(E5258,#REF!,1,FALSE())),"?TYPE_IDENTIFIABLE","?REFERENTIAL"),"_")))))</f>
        <v> </v>
      </c>
      <c r="H5258" s="25" t="str">
        <f>IF(J5258&lt;&gt;1,"",IF(I5258="SBJ","CB","?"))</f>
        <v> </v>
      </c>
      <c r="I5258" s="26" t="str">
        <f>IF(OR(E5258="",E5258="!!!",F5258="NEW"),"",INDEX(B5257:B$2,-1+SUMPRODUCT(MAX(ROW(E5257:E$2)*(E5258=E5257:E$2)))))</f>
        <v> </v>
      </c>
      <c r="J5258" s="26" t="str">
        <f>IF(OR(E5258="",E5258="!!!",F5258="NEW"),"",COUNTBLANK(OFFSET(A$1,,,SUMPRODUCT(MAX(ROW(E$2:E5258)*(E5258=E$2:E5258)))))-COUNTBLANK(OFFSET(A$1,,,SUMPRODUCT(MAX(ROW(E$1:E5257)*(E2=E$1:E5257))))))</f>
        <v> </v>
      </c>
      <c r="K5258" s="26" t="str">
        <f>IF(OR(E5258="",E5258="!!!",F5258="NEW"),"",INDEX(J$1:J5257,SUMPRODUCT(MAX(ROW(E$1:E5257)*(E5258=E$1:E5257)))))</f>
        <v> </v>
      </c>
      <c r="L5258" s="27"/>
    </row>
    <row r="5259" spans="1:12">
      <c r="A5259" s="20" t="s">
        <v>1251</v>
      </c>
      <c r="E5259" s="22">
        <f>IF(D5259="?OLD","!!!","")</f>
        <v/>
      </c>
      <c r="F5259" s="23" t="str">
        <f>IF(OR(E5259="",E5259="!!!"),"",IF(NOT(ISNA(VLOOKUP(E5259,E$1:E5258,1,FALSE()))),"OLD",IF(AND(E5259&lt;&gt;"",E5259&lt;&gt;"!!!"),"NEW","")))</f>
        <v> </v>
      </c>
      <c r="G5259" s="24" t="str">
        <f>IF(OR(E5259="",E5259="!!!"),"",IF(OR(J5259=0,AND(J5259=1,K5259=1),AND(J5259=1,I5259="SBJ"),AND(J5259=1,I5259=0)),"?IN_FOCUS",IF(J5259&lt;=2,"?ACTIVATED",IF(J5259&lt;&gt;"","?FAMILIAR",IF(F5259="NEW",IF(ISNA(VLOOKUP(E5259,#REF!,1,FALSE())),"?TYPE_IDENTIFIABLE","?REFERENTIAL"),"_")))))</f>
        <v> </v>
      </c>
      <c r="H5259" s="25" t="str">
        <f>IF(J5259&lt;&gt;1,"",IF(I5259="SBJ","CB","?"))</f>
        <v> </v>
      </c>
      <c r="I5259" s="26" t="str">
        <f>IF(OR(E5259="",E5259="!!!",F5259="NEW"),"",INDEX(B5258:B$2,-1+SUMPRODUCT(MAX(ROW(E5258:E$2)*(E5259=E5258:E$2)))))</f>
        <v> </v>
      </c>
      <c r="J5259" s="26" t="str">
        <f>IF(OR(E5259="",E5259="!!!",F5259="NEW"),"",COUNTBLANK(OFFSET(A$1,,,SUMPRODUCT(MAX(ROW(E$2:E5259)*(E5259=E$2:E5259)))))-COUNTBLANK(OFFSET(A$1,,,SUMPRODUCT(MAX(ROW(E$1:E5258)*(E2=E$1:E5258))))))</f>
        <v> </v>
      </c>
      <c r="K5259" s="26" t="str">
        <f>IF(OR(E5259="",E5259="!!!",F5259="NEW"),"",INDEX(J$1:J5258,SUMPRODUCT(MAX(ROW(E$1:E5258)*(E5259=E$1:E5258)))))</f>
        <v> </v>
      </c>
      <c r="L5259" s="27"/>
    </row>
    <row r="5260" spans="1:12">
      <c r="A5260" s="20"/>
    </row>
    <row r="5261" spans="1:12">
      <c r="A5261" s="20" t="s">
        <v>2194</v>
      </c>
    </row>
    <row r="5262" spans="1:12">
      <c r="A5262" s="20" t="s">
        <v>2035</v>
      </c>
      <c r="E5262" s="22">
        <f>IF(D5262="?OLD","!!!","")</f>
        <v/>
      </c>
      <c r="F5262" s="23" t="str">
        <f>IF(OR(E5262="",E5262="!!!"),"",IF(NOT(ISNA(VLOOKUP(E5262,E$1:E5261,1,FALSE()))),"OLD",IF(AND(E5262&lt;&gt;"",E5262&lt;&gt;"!!!"),"NEW","")))</f>
        <v> </v>
      </c>
      <c r="G5262" s="24" t="str">
        <f>IF(OR(E5262="",E5262="!!!"),"",IF(OR(J5262=0,AND(J5262=1,K5262=1),AND(J5262=1,I5262="SBJ"),AND(J5262=1,I5262=0)),"?IN_FOCUS",IF(J5262&lt;=2,"?ACTIVATED",IF(J5262&lt;&gt;"","?FAMILIAR",IF(F5262="NEW",IF(ISNA(VLOOKUP(E5262,#REF!,1,FALSE())),"?TYPE_IDENTIFIABLE","?REFERENTIAL"),"_")))))</f>
        <v> </v>
      </c>
      <c r="H5262" s="25" t="str">
        <f>IF(J5262&lt;&gt;1,"",IF(I5262="SBJ","CB","?"))</f>
        <v> </v>
      </c>
      <c r="I5262" s="26" t="str">
        <f>IF(OR(E5262="",E5262="!!!",F5262="NEW"),"",INDEX(B5261:B$2,-1+SUMPRODUCT(MAX(ROW(E5261:E$2)*(E5262=E5261:E$2)))))</f>
        <v> </v>
      </c>
      <c r="J5262" s="26" t="str">
        <f>IF(OR(E5262="",E5262="!!!",F5262="NEW"),"",COUNTBLANK(OFFSET(A$1,,,SUMPRODUCT(MAX(ROW(E$2:E5262)*(E5262=E$2:E5262)))))-COUNTBLANK(OFFSET(A$1,,,SUMPRODUCT(MAX(ROW(E$1:E5261)*(E2=E$1:E5261))))))</f>
        <v> </v>
      </c>
      <c r="K5262" s="26" t="str">
        <f>IF(OR(E5262="",E5262="!!!",F5262="NEW"),"",INDEX(J$1:J5261,SUMPRODUCT(MAX(ROW(E$1:E5261)*(E5262=E$1:E5261)))))</f>
        <v> </v>
      </c>
      <c r="L5262" s="27"/>
    </row>
    <row r="5263" spans="1:12">
      <c r="A5263" s="20" t="s">
        <v>1099</v>
      </c>
      <c r="E5263" s="22">
        <f>IF(D5263="?OLD","!!!","")</f>
        <v/>
      </c>
      <c r="F5263" s="23" t="str">
        <f>IF(OR(E5263="",E5263="!!!"),"",IF(NOT(ISNA(VLOOKUP(E5263,E$1:E5262,1,FALSE()))),"OLD",IF(AND(E5263&lt;&gt;"",E5263&lt;&gt;"!!!"),"NEW","")))</f>
        <v> </v>
      </c>
      <c r="G5263" s="24" t="str">
        <f>IF(OR(E5263="",E5263="!!!"),"",IF(OR(J5263=0,AND(J5263=1,K5263=1),AND(J5263=1,I5263="SBJ"),AND(J5263=1,I5263=0)),"?IN_FOCUS",IF(J5263&lt;=2,"?ACTIVATED",IF(J5263&lt;&gt;"","?FAMILIAR",IF(F5263="NEW",IF(ISNA(VLOOKUP(E5263,#REF!,1,FALSE())),"?TYPE_IDENTIFIABLE","?REFERENTIAL"),"_")))))</f>
        <v> </v>
      </c>
      <c r="H5263" s="25" t="str">
        <f>IF(J5263&lt;&gt;1,"",IF(I5263="SBJ","CB","?"))</f>
        <v> </v>
      </c>
      <c r="I5263" s="26" t="str">
        <f>IF(OR(E5263="",E5263="!!!",F5263="NEW"),"",INDEX(B5262:B$2,-1+SUMPRODUCT(MAX(ROW(E5262:E$2)*(E5263=E5262:E$2)))))</f>
        <v> </v>
      </c>
      <c r="J5263" s="26" t="str">
        <f>IF(OR(E5263="",E5263="!!!",F5263="NEW"),"",COUNTBLANK(OFFSET(A$1,,,SUMPRODUCT(MAX(ROW(E$2:E5263)*(E5263=E$2:E5263)))))-COUNTBLANK(OFFSET(A$1,,,SUMPRODUCT(MAX(ROW(E$1:E5262)*(E2=E$1:E5262))))))</f>
        <v> </v>
      </c>
      <c r="K5263" s="26" t="str">
        <f>IF(OR(E5263="",E5263="!!!",F5263="NEW"),"",INDEX(J$1:J5262,SUMPRODUCT(MAX(ROW(E$1:E5262)*(E5263=E$1:E5262)))))</f>
        <v> </v>
      </c>
      <c r="L5263" s="27"/>
    </row>
    <row r="5264" spans="1:12">
      <c r="A5264" s="20" t="s">
        <v>1734</v>
      </c>
      <c r="E5264" s="22">
        <f>IF(D5264="?OLD","!!!","")</f>
        <v/>
      </c>
      <c r="F5264" s="23" t="str">
        <f>IF(OR(E5264="",E5264="!!!"),"",IF(NOT(ISNA(VLOOKUP(E5264,E$1:E5263,1,FALSE()))),"OLD",IF(AND(E5264&lt;&gt;"",E5264&lt;&gt;"!!!"),"NEW","")))</f>
        <v> </v>
      </c>
      <c r="G5264" s="24" t="str">
        <f>IF(OR(E5264="",E5264="!!!"),"",IF(OR(J5264=0,AND(J5264=1,K5264=1),AND(J5264=1,I5264="SBJ"),AND(J5264=1,I5264=0)),"?IN_FOCUS",IF(J5264&lt;=2,"?ACTIVATED",IF(J5264&lt;&gt;"","?FAMILIAR",IF(F5264="NEW",IF(ISNA(VLOOKUP(E5264,#REF!,1,FALSE())),"?TYPE_IDENTIFIABLE","?REFERENTIAL"),"_")))))</f>
        <v> </v>
      </c>
      <c r="H5264" s="25" t="str">
        <f>IF(J5264&lt;&gt;1,"",IF(I5264="SBJ","CB","?"))</f>
        <v> </v>
      </c>
      <c r="I5264" s="26" t="str">
        <f>IF(OR(E5264="",E5264="!!!",F5264="NEW"),"",INDEX(B5263:B$2,-1+SUMPRODUCT(MAX(ROW(E5263:E$2)*(E5264=E5263:E$2)))))</f>
        <v> </v>
      </c>
      <c r="J5264" s="26" t="str">
        <f>IF(OR(E5264="",E5264="!!!",F5264="NEW"),"",COUNTBLANK(OFFSET(A$1,,,SUMPRODUCT(MAX(ROW(E$2:E5264)*(E5264=E$2:E5264)))))-COUNTBLANK(OFFSET(A$1,,,SUMPRODUCT(MAX(ROW(E$1:E5263)*(E2=E$1:E5263))))))</f>
        <v> </v>
      </c>
      <c r="K5264" s="26" t="str">
        <f>IF(OR(E5264="",E5264="!!!",F5264="NEW"),"",INDEX(J$1:J5263,SUMPRODUCT(MAX(ROW(E$1:E5263)*(E5264=E$1:E5263)))))</f>
        <v> </v>
      </c>
      <c r="L5264" s="27"/>
    </row>
    <row r="5265" spans="1:12">
      <c r="A5265" s="20" t="s">
        <v>1032</v>
      </c>
      <c r="E5265" s="22">
        <f>IF(D5265="?OLD","!!!","")</f>
        <v/>
      </c>
      <c r="F5265" s="23" t="str">
        <f>IF(OR(E5265="",E5265="!!!"),"",IF(NOT(ISNA(VLOOKUP(E5265,E$1:E5264,1,FALSE()))),"OLD",IF(AND(E5265&lt;&gt;"",E5265&lt;&gt;"!!!"),"NEW","")))</f>
        <v> </v>
      </c>
      <c r="G5265" s="24" t="str">
        <f>IF(OR(E5265="",E5265="!!!"),"",IF(OR(J5265=0,AND(J5265=1,K5265=1),AND(J5265=1,I5265="SBJ"),AND(J5265=1,I5265=0)),"?IN_FOCUS",IF(J5265&lt;=2,"?ACTIVATED",IF(J5265&lt;&gt;"","?FAMILIAR",IF(F5265="NEW",IF(ISNA(VLOOKUP(E5265,#REF!,1,FALSE())),"?TYPE_IDENTIFIABLE","?REFERENTIAL"),"_")))))</f>
        <v> </v>
      </c>
      <c r="H5265" s="25" t="str">
        <f>IF(J5265&lt;&gt;1,"",IF(I5265="SBJ","CB","?"))</f>
        <v> </v>
      </c>
      <c r="I5265" s="26" t="str">
        <f>IF(OR(E5265="",E5265="!!!",F5265="NEW"),"",INDEX(B5264:B$2,-1+SUMPRODUCT(MAX(ROW(E5264:E$2)*(E5265=E5264:E$2)))))</f>
        <v> </v>
      </c>
      <c r="J5265" s="26" t="str">
        <f>IF(OR(E5265="",E5265="!!!",F5265="NEW"),"",COUNTBLANK(OFFSET(A$1,,,SUMPRODUCT(MAX(ROW(E$2:E5265)*(E5265=E$2:E5265)))))-COUNTBLANK(OFFSET(A$1,,,SUMPRODUCT(MAX(ROW(E$1:E5264)*(E2=E$1:E5264))))))</f>
        <v> </v>
      </c>
      <c r="K5265" s="26" t="str">
        <f>IF(OR(E5265="",E5265="!!!",F5265="NEW"),"",INDEX(J$1:J5264,SUMPRODUCT(MAX(ROW(E$1:E5264)*(E5265=E$1:E5264)))))</f>
        <v> </v>
      </c>
      <c r="L5265" s="27"/>
    </row>
    <row r="5266" spans="1:12">
      <c r="A5266" s="20" t="s">
        <v>2195</v>
      </c>
      <c r="E5266" s="22">
        <f>IF(D5266="?OLD","!!!","")</f>
        <v/>
      </c>
      <c r="F5266" s="23" t="str">
        <f>IF(OR(E5266="",E5266="!!!"),"",IF(NOT(ISNA(VLOOKUP(E5266,E$1:E5265,1,FALSE()))),"OLD",IF(AND(E5266&lt;&gt;"",E5266&lt;&gt;"!!!"),"NEW","")))</f>
        <v> </v>
      </c>
      <c r="G5266" s="24" t="str">
        <f>IF(OR(E5266="",E5266="!!!"),"",IF(OR(J5266=0,AND(J5266=1,K5266=1),AND(J5266=1,I5266="SBJ"),AND(J5266=1,I5266=0)),"?IN_FOCUS",IF(J5266&lt;=2,"?ACTIVATED",IF(J5266&lt;&gt;"","?FAMILIAR",IF(F5266="NEW",IF(ISNA(VLOOKUP(E5266,#REF!,1,FALSE())),"?TYPE_IDENTIFIABLE","?REFERENTIAL"),"_")))))</f>
        <v> </v>
      </c>
      <c r="H5266" s="25" t="str">
        <f>IF(J5266&lt;&gt;1,"",IF(I5266="SBJ","CB","?"))</f>
        <v> </v>
      </c>
      <c r="I5266" s="26" t="str">
        <f>IF(OR(E5266="",E5266="!!!",F5266="NEW"),"",INDEX(B5265:B$2,-1+SUMPRODUCT(MAX(ROW(E5265:E$2)*(E5266=E5265:E$2)))))</f>
        <v> </v>
      </c>
      <c r="J5266" s="26" t="str">
        <f>IF(OR(E5266="",E5266="!!!",F5266="NEW"),"",COUNTBLANK(OFFSET(A$1,,,SUMPRODUCT(MAX(ROW(E$2:E5266)*(E5266=E$2:E5266)))))-COUNTBLANK(OFFSET(A$1,,,SUMPRODUCT(MAX(ROW(E$1:E5265)*(E2=E$1:E5265))))))</f>
        <v> </v>
      </c>
      <c r="K5266" s="26" t="str">
        <f>IF(OR(E5266="",E5266="!!!",F5266="NEW"),"",INDEX(J$1:J5265,SUMPRODUCT(MAX(ROW(E$1:E5265)*(E5266=E$1:E5265)))))</f>
        <v> </v>
      </c>
      <c r="L5266" s="27"/>
    </row>
    <row r="5267" spans="1:12">
      <c r="A5267" s="20" t="s">
        <v>1032</v>
      </c>
      <c r="E5267" s="22">
        <f>IF(D5267="?OLD","!!!","")</f>
        <v/>
      </c>
      <c r="F5267" s="23" t="str">
        <f>IF(OR(E5267="",E5267="!!!"),"",IF(NOT(ISNA(VLOOKUP(E5267,E$1:E5266,1,FALSE()))),"OLD",IF(AND(E5267&lt;&gt;"",E5267&lt;&gt;"!!!"),"NEW","")))</f>
        <v> </v>
      </c>
      <c r="G5267" s="24" t="str">
        <f>IF(OR(E5267="",E5267="!!!"),"",IF(OR(J5267=0,AND(J5267=1,K5267=1),AND(J5267=1,I5267="SBJ"),AND(J5267=1,I5267=0)),"?IN_FOCUS",IF(J5267&lt;=2,"?ACTIVATED",IF(J5267&lt;&gt;"","?FAMILIAR",IF(F5267="NEW",IF(ISNA(VLOOKUP(E5267,#REF!,1,FALSE())),"?TYPE_IDENTIFIABLE","?REFERENTIAL"),"_")))))</f>
        <v> </v>
      </c>
      <c r="H5267" s="25" t="str">
        <f>IF(J5267&lt;&gt;1,"",IF(I5267="SBJ","CB","?"))</f>
        <v> </v>
      </c>
      <c r="I5267" s="26" t="str">
        <f>IF(OR(E5267="",E5267="!!!",F5267="NEW"),"",INDEX(B5266:B$2,-1+SUMPRODUCT(MAX(ROW(E5266:E$2)*(E5267=E5266:E$2)))))</f>
        <v> </v>
      </c>
      <c r="J5267" s="26" t="str">
        <f>IF(OR(E5267="",E5267="!!!",F5267="NEW"),"",COUNTBLANK(OFFSET(A$1,,,SUMPRODUCT(MAX(ROW(E$2:E5267)*(E5267=E$2:E5267)))))-COUNTBLANK(OFFSET(A$1,,,SUMPRODUCT(MAX(ROW(E$1:E5266)*(E2=E$1:E5266))))))</f>
        <v> </v>
      </c>
      <c r="K5267" s="26" t="str">
        <f>IF(OR(E5267="",E5267="!!!",F5267="NEW"),"",INDEX(J$1:J5266,SUMPRODUCT(MAX(ROW(E$1:E5266)*(E5267=E$1:E5266)))))</f>
        <v> </v>
      </c>
      <c r="L5267" s="27"/>
    </row>
    <row r="5268" spans="1:12">
      <c r="A5268" s="20" t="s">
        <v>1042</v>
      </c>
      <c r="E5268" s="22">
        <f>IF(D5268="?OLD","!!!","")</f>
        <v/>
      </c>
      <c r="F5268" s="23" t="str">
        <f>IF(OR(E5268="",E5268="!!!"),"",IF(NOT(ISNA(VLOOKUP(E5268,E$1:E5267,1,FALSE()))),"OLD",IF(AND(E5268&lt;&gt;"",E5268&lt;&gt;"!!!"),"NEW","")))</f>
        <v> </v>
      </c>
      <c r="G5268" s="24" t="str">
        <f>IF(OR(E5268="",E5268="!!!"),"",IF(OR(J5268=0,AND(J5268=1,K5268=1),AND(J5268=1,I5268="SBJ"),AND(J5268=1,I5268=0)),"?IN_FOCUS",IF(J5268&lt;=2,"?ACTIVATED",IF(J5268&lt;&gt;"","?FAMILIAR",IF(F5268="NEW",IF(ISNA(VLOOKUP(E5268,#REF!,1,FALSE())),"?TYPE_IDENTIFIABLE","?REFERENTIAL"),"_")))))</f>
        <v> </v>
      </c>
      <c r="H5268" s="25" t="str">
        <f>IF(J5268&lt;&gt;1,"",IF(I5268="SBJ","CB","?"))</f>
        <v> </v>
      </c>
      <c r="I5268" s="26" t="str">
        <f>IF(OR(E5268="",E5268="!!!",F5268="NEW"),"",INDEX(B5267:B$2,-1+SUMPRODUCT(MAX(ROW(E5267:E$2)*(E5268=E5267:E$2)))))</f>
        <v> </v>
      </c>
      <c r="J5268" s="26" t="str">
        <f>IF(OR(E5268="",E5268="!!!",F5268="NEW"),"",COUNTBLANK(OFFSET(A$1,,,SUMPRODUCT(MAX(ROW(E$2:E5268)*(E5268=E$2:E5268)))))-COUNTBLANK(OFFSET(A$1,,,SUMPRODUCT(MAX(ROW(E$1:E5267)*(E2=E$1:E5267))))))</f>
        <v> </v>
      </c>
      <c r="K5268" s="26" t="str">
        <f>IF(OR(E5268="",E5268="!!!",F5268="NEW"),"",INDEX(J$1:J5267,SUMPRODUCT(MAX(ROW(E$1:E5267)*(E5268=E$1:E5267)))))</f>
        <v> </v>
      </c>
      <c r="L5268" s="27"/>
    </row>
    <row r="5269" spans="1:12">
      <c r="A5269" s="20" t="s">
        <v>2191</v>
      </c>
      <c r="B5269" s="21" t="s">
        <v>1009</v>
      </c>
      <c r="C5269" s="21" t="s">
        <v>1044</v>
      </c>
      <c r="D5269" s="21" t="s">
        <v>1011</v>
      </c>
      <c r="E5269" s="22">
        <f>IF(D5269="?OLD","!!!","")</f>
        <v/>
      </c>
      <c r="F5269" s="23" t="str">
        <f>IF(OR(E5269="",E5269="!!!"),"",IF(NOT(ISNA(VLOOKUP(E5269,E$1:E5268,1,FALSE()))),"OLD",IF(AND(E5269&lt;&gt;"",E5269&lt;&gt;"!!!"),"NEW","")))</f>
        <v> </v>
      </c>
      <c r="G5269" s="24" t="str">
        <f>IF(OR(E5269="",E5269="!!!"),"",IF(OR(J5269=0,AND(J5269=1,K5269=1),AND(J5269=1,I5269="SBJ"),AND(J5269=1,I5269=0)),"?IN_FOCUS",IF(J5269&lt;=2,"?ACTIVATED",IF(J5269&lt;&gt;"","?FAMILIAR",IF(F5269="NEW",IF(ISNA(VLOOKUP(E5269,#REF!,1,FALSE())),"?TYPE_IDENTIFIABLE","?REFERENTIAL"),"_")))))</f>
        <v> </v>
      </c>
      <c r="H5269" s="25" t="str">
        <f>IF(J5269&lt;&gt;1,"",IF(I5269="SBJ","CB","?"))</f>
        <v> </v>
      </c>
      <c r="I5269" s="26" t="str">
        <f>IF(OR(E5269="",E5269="!!!",F5269="NEW"),"",INDEX(B5268:B$2,-1+SUMPRODUCT(MAX(ROW(E5268:E$2)*(E5269=E5268:E$2)))))</f>
        <v> </v>
      </c>
      <c r="J5269" s="26" t="str">
        <f>IF(OR(E5269="",E5269="!!!",F5269="NEW"),"",COUNTBLANK(OFFSET(A$1,,,SUMPRODUCT(MAX(ROW(E$2:E5269)*(E5269=E$2:E5269)))))-COUNTBLANK(OFFSET(A$1,,,SUMPRODUCT(MAX(ROW(E$1:E5268)*(E2=E$1:E5268))))))</f>
        <v> </v>
      </c>
      <c r="K5269" s="26" t="str">
        <f>IF(OR(E5269="",E5269="!!!",F5269="NEW"),"",INDEX(J$1:J5268,SUMPRODUCT(MAX(ROW(E$1:E5268)*(E5269=E$1:E5268)))))</f>
        <v> </v>
      </c>
      <c r="L5269" s="27"/>
    </row>
    <row r="5270" spans="1:12">
      <c r="A5270" s="20" t="s">
        <v>50</v>
      </c>
      <c r="E5270" s="22">
        <f>IF(D5270="?OLD","!!!","")</f>
        <v/>
      </c>
      <c r="F5270" s="23" t="str">
        <f>IF(OR(E5270="",E5270="!!!"),"",IF(NOT(ISNA(VLOOKUP(E5270,E$1:E5269,1,FALSE()))),"OLD",IF(AND(E5270&lt;&gt;"",E5270&lt;&gt;"!!!"),"NEW","")))</f>
        <v> </v>
      </c>
      <c r="G5270" s="24" t="str">
        <f>IF(OR(E5270="",E5270="!!!"),"",IF(OR(J5270=0,AND(J5270=1,K5270=1),AND(J5270=1,I5270="SBJ"),AND(J5270=1,I5270=0)),"?IN_FOCUS",IF(J5270&lt;=2,"?ACTIVATED",IF(J5270&lt;&gt;"","?FAMILIAR",IF(F5270="NEW",IF(ISNA(VLOOKUP(E5270,#REF!,1,FALSE())),"?TYPE_IDENTIFIABLE","?REFERENTIAL"),"_")))))</f>
        <v> </v>
      </c>
      <c r="H5270" s="25" t="str">
        <f>IF(J5270&lt;&gt;1,"",IF(I5270="SBJ","CB","?"))</f>
        <v> </v>
      </c>
      <c r="I5270" s="26" t="str">
        <f>IF(OR(E5270="",E5270="!!!",F5270="NEW"),"",INDEX(B5269:B$2,-1+SUMPRODUCT(MAX(ROW(E5269:E$2)*(E5270=E5269:E$2)))))</f>
        <v> </v>
      </c>
      <c r="J5270" s="26" t="str">
        <f>IF(OR(E5270="",E5270="!!!",F5270="NEW"),"",COUNTBLANK(OFFSET(A$1,,,SUMPRODUCT(MAX(ROW(E$2:E5270)*(E5270=E$2:E5270)))))-COUNTBLANK(OFFSET(A$1,,,SUMPRODUCT(MAX(ROW(E$1:E5269)*(E2=E$1:E5269))))))</f>
        <v> </v>
      </c>
      <c r="K5270" s="26" t="str">
        <f>IF(OR(E5270="",E5270="!!!",F5270="NEW"),"",INDEX(J$1:J5269,SUMPRODUCT(MAX(ROW(E$1:E5269)*(E5270=E$1:E5269)))))</f>
        <v> </v>
      </c>
      <c r="L5270" s="27"/>
    </row>
    <row r="5271" spans="1:12">
      <c r="A5271" s="20" t="s">
        <v>1074</v>
      </c>
      <c r="E5271" s="22">
        <f>IF(D5271="?OLD","!!!","")</f>
        <v/>
      </c>
      <c r="F5271" s="23" t="str">
        <f>IF(OR(E5271="",E5271="!!!"),"",IF(NOT(ISNA(VLOOKUP(E5271,E$1:E5270,1,FALSE()))),"OLD",IF(AND(E5271&lt;&gt;"",E5271&lt;&gt;"!!!"),"NEW","")))</f>
        <v> </v>
      </c>
      <c r="G5271" s="24" t="str">
        <f>IF(OR(E5271="",E5271="!!!"),"",IF(OR(J5271=0,AND(J5271=1,K5271=1),AND(J5271=1,I5271="SBJ"),AND(J5271=1,I5271=0)),"?IN_FOCUS",IF(J5271&lt;=2,"?ACTIVATED",IF(J5271&lt;&gt;"","?FAMILIAR",IF(F5271="NEW",IF(ISNA(VLOOKUP(E5271,#REF!,1,FALSE())),"?TYPE_IDENTIFIABLE","?REFERENTIAL"),"_")))))</f>
        <v> </v>
      </c>
      <c r="H5271" s="25" t="str">
        <f>IF(J5271&lt;&gt;1,"",IF(I5271="SBJ","CB","?"))</f>
        <v> </v>
      </c>
      <c r="I5271" s="26" t="str">
        <f>IF(OR(E5271="",E5271="!!!",F5271="NEW"),"",INDEX(B5270:B$2,-1+SUMPRODUCT(MAX(ROW(E5270:E$2)*(E5271=E5270:E$2)))))</f>
        <v> </v>
      </c>
      <c r="J5271" s="26" t="str">
        <f>IF(OR(E5271="",E5271="!!!",F5271="NEW"),"",COUNTBLANK(OFFSET(A$1,,,SUMPRODUCT(MAX(ROW(E$2:E5271)*(E5271=E$2:E5271)))))-COUNTBLANK(OFFSET(A$1,,,SUMPRODUCT(MAX(ROW(E$1:E5270)*(E2=E$1:E5270))))))</f>
        <v> </v>
      </c>
      <c r="K5271" s="26" t="str">
        <f>IF(OR(E5271="",E5271="!!!",F5271="NEW"),"",INDEX(J$1:J5270,SUMPRODUCT(MAX(ROW(E$1:E5270)*(E5271=E$1:E5270)))))</f>
        <v> </v>
      </c>
      <c r="L5271" s="27"/>
    </row>
    <row r="5272" spans="1:12">
      <c r="A5272" s="20" t="s">
        <v>1267</v>
      </c>
      <c r="E5272" s="22">
        <f>IF(D5272="?OLD","!!!","")</f>
        <v/>
      </c>
      <c r="F5272" s="23" t="str">
        <f>IF(OR(E5272="",E5272="!!!"),"",IF(NOT(ISNA(VLOOKUP(E5272,E$1:E5271,1,FALSE()))),"OLD",IF(AND(E5272&lt;&gt;"",E5272&lt;&gt;"!!!"),"NEW","")))</f>
        <v> </v>
      </c>
      <c r="G5272" s="24" t="str">
        <f>IF(OR(E5272="",E5272="!!!"),"",IF(OR(J5272=0,AND(J5272=1,K5272=1),AND(J5272=1,I5272="SBJ"),AND(J5272=1,I5272=0)),"?IN_FOCUS",IF(J5272&lt;=2,"?ACTIVATED",IF(J5272&lt;&gt;"","?FAMILIAR",IF(F5272="NEW",IF(ISNA(VLOOKUP(E5272,#REF!,1,FALSE())),"?TYPE_IDENTIFIABLE","?REFERENTIAL"),"_")))))</f>
        <v> </v>
      </c>
      <c r="H5272" s="25" t="str">
        <f>IF(J5272&lt;&gt;1,"",IF(I5272="SBJ","CB","?"))</f>
        <v> </v>
      </c>
      <c r="I5272" s="26" t="str">
        <f>IF(OR(E5272="",E5272="!!!",F5272="NEW"),"",INDEX(B5271:B$2,-1+SUMPRODUCT(MAX(ROW(E5271:E$2)*(E5272=E5271:E$2)))))</f>
        <v> </v>
      </c>
      <c r="J5272" s="26" t="str">
        <f>IF(OR(E5272="",E5272="!!!",F5272="NEW"),"",COUNTBLANK(OFFSET(A$1,,,SUMPRODUCT(MAX(ROW(E$2:E5272)*(E5272=E$2:E5272)))))-COUNTBLANK(OFFSET(A$1,,,SUMPRODUCT(MAX(ROW(E$1:E5271)*(E2=E$1:E5271))))))</f>
        <v> </v>
      </c>
      <c r="K5272" s="26" t="str">
        <f>IF(OR(E5272="",E5272="!!!",F5272="NEW"),"",INDEX(J$1:J5271,SUMPRODUCT(MAX(ROW(E$1:E5271)*(E5272=E$1:E5271)))))</f>
        <v> </v>
      </c>
      <c r="L5272" s="27"/>
    </row>
    <row r="5273" spans="1:12">
      <c r="A5273" s="20" t="s">
        <v>2196</v>
      </c>
      <c r="B5273" s="21" t="s">
        <v>1071</v>
      </c>
      <c r="C5273" s="21" t="s">
        <v>1017</v>
      </c>
      <c r="E5273" s="22">
        <f>IF(D5273="?OLD","!!!","")</f>
        <v/>
      </c>
      <c r="F5273" s="23" t="str">
        <f>IF(OR(E5273="",E5273="!!!"),"",IF(NOT(ISNA(VLOOKUP(E5273,E$1:E5272,1,FALSE()))),"OLD",IF(AND(E5273&lt;&gt;"",E5273&lt;&gt;"!!!"),"NEW","")))</f>
        <v> </v>
      </c>
      <c r="G5273" s="24" t="str">
        <f>IF(OR(E5273="",E5273="!!!"),"",IF(OR(J5273=0,AND(J5273=1,K5273=1),AND(J5273=1,I5273="SBJ"),AND(J5273=1,I5273=0)),"?IN_FOCUS",IF(J5273&lt;=2,"?ACTIVATED",IF(J5273&lt;&gt;"","?FAMILIAR",IF(F5273="NEW",IF(ISNA(VLOOKUP(E5273,#REF!,1,FALSE())),"?TYPE_IDENTIFIABLE","?REFERENTIAL"),"_")))))</f>
        <v> </v>
      </c>
      <c r="H5273" s="25" t="str">
        <f>IF(J5273&lt;&gt;1,"",IF(I5273="SBJ","CB","?"))</f>
        <v> </v>
      </c>
      <c r="I5273" s="26" t="str">
        <f>IF(OR(E5273="",E5273="!!!",F5273="NEW"),"",INDEX(B5272:B$2,-1+SUMPRODUCT(MAX(ROW(E5272:E$2)*(E5273=E5272:E$2)))))</f>
        <v> </v>
      </c>
      <c r="J5273" s="26" t="str">
        <f>IF(OR(E5273="",E5273="!!!",F5273="NEW"),"",COUNTBLANK(OFFSET(A$1,,,SUMPRODUCT(MAX(ROW(E$2:E5273)*(E5273=E$2:E5273)))))-COUNTBLANK(OFFSET(A$1,,,SUMPRODUCT(MAX(ROW(E$1:E5272)*(E2=E$1:E5272))))))</f>
        <v> </v>
      </c>
      <c r="K5273" s="26" t="str">
        <f>IF(OR(E5273="",E5273="!!!",F5273="NEW"),"",INDEX(J$1:J5272,SUMPRODUCT(MAX(ROW(E$1:E5272)*(E5273=E$1:E5272)))))</f>
        <v> </v>
      </c>
      <c r="L5273" s="27"/>
    </row>
    <row r="5274" spans="1:12">
      <c r="A5274" s="20" t="s">
        <v>1022</v>
      </c>
      <c r="E5274" s="22">
        <f>IF(D5274="?OLD","!!!","")</f>
        <v/>
      </c>
      <c r="F5274" s="23" t="str">
        <f>IF(OR(E5274="",E5274="!!!"),"",IF(NOT(ISNA(VLOOKUP(E5274,E$1:E5273,1,FALSE()))),"OLD",IF(AND(E5274&lt;&gt;"",E5274&lt;&gt;"!!!"),"NEW","")))</f>
        <v> </v>
      </c>
      <c r="G5274" s="24" t="str">
        <f>IF(OR(E5274="",E5274="!!!"),"",IF(OR(J5274=0,AND(J5274=1,K5274=1),AND(J5274=1,I5274="SBJ"),AND(J5274=1,I5274=0)),"?IN_FOCUS",IF(J5274&lt;=2,"?ACTIVATED",IF(J5274&lt;&gt;"","?FAMILIAR",IF(F5274="NEW",IF(ISNA(VLOOKUP(E5274,#REF!,1,FALSE())),"?TYPE_IDENTIFIABLE","?REFERENTIAL"),"_")))))</f>
        <v> </v>
      </c>
      <c r="H5274" s="25" t="str">
        <f>IF(J5274&lt;&gt;1,"",IF(I5274="SBJ","CB","?"))</f>
        <v> </v>
      </c>
      <c r="I5274" s="26" t="str">
        <f>IF(OR(E5274="",E5274="!!!",F5274="NEW"),"",INDEX(B5273:B$2,-1+SUMPRODUCT(MAX(ROW(E5273:E$2)*(E5274=E5273:E$2)))))</f>
        <v> </v>
      </c>
      <c r="J5274" s="26" t="str">
        <f>IF(OR(E5274="",E5274="!!!",F5274="NEW"),"",COUNTBLANK(OFFSET(A$1,,,SUMPRODUCT(MAX(ROW(E$2:E5274)*(E5274=E$2:E5274)))))-COUNTBLANK(OFFSET(A$1,,,SUMPRODUCT(MAX(ROW(E$1:E5273)*(E2=E$1:E5273))))))</f>
        <v> </v>
      </c>
      <c r="K5274" s="26" t="str">
        <f>IF(OR(E5274="",E5274="!!!",F5274="NEW"),"",INDEX(J$1:J5273,SUMPRODUCT(MAX(ROW(E$1:E5273)*(E5274=E$1:E5273)))))</f>
        <v> </v>
      </c>
      <c r="L5274" s="27"/>
    </row>
    <row r="5275" spans="1:12">
      <c r="A5275" s="20"/>
    </row>
    <row r="5276" spans="1:12">
      <c r="A5276" s="20" t="s">
        <v>2197</v>
      </c>
    </row>
    <row r="5277" spans="1:12">
      <c r="A5277" s="20" t="s">
        <v>1084</v>
      </c>
      <c r="E5277" s="22">
        <f>IF(D5277="?OLD","!!!","")</f>
        <v/>
      </c>
      <c r="F5277" s="23" t="str">
        <f>IF(OR(E5277="",E5277="!!!"),"",IF(NOT(ISNA(VLOOKUP(E5277,E$1:E5276,1,FALSE()))),"OLD",IF(AND(E5277&lt;&gt;"",E5277&lt;&gt;"!!!"),"NEW","")))</f>
        <v> </v>
      </c>
      <c r="G5277" s="24" t="str">
        <f>IF(OR(E5277="",E5277="!!!"),"",IF(OR(J5277=0,AND(J5277=1,K5277=1),AND(J5277=1,I5277="SBJ"),AND(J5277=1,I5277=0)),"?IN_FOCUS",IF(J5277&lt;=2,"?ACTIVATED",IF(J5277&lt;&gt;"","?FAMILIAR",IF(F5277="NEW",IF(ISNA(VLOOKUP(E5277,#REF!,1,FALSE())),"?TYPE_IDENTIFIABLE","?REFERENTIAL"),"_")))))</f>
        <v> </v>
      </c>
      <c r="H5277" s="25" t="str">
        <f>IF(J5277&lt;&gt;1,"",IF(I5277="SBJ","CB","?"))</f>
        <v> </v>
      </c>
      <c r="I5277" s="26" t="str">
        <f>IF(OR(E5277="",E5277="!!!",F5277="NEW"),"",INDEX(B5276:B$2,-1+SUMPRODUCT(MAX(ROW(E5276:E$2)*(E5277=E5276:E$2)))))</f>
        <v> </v>
      </c>
      <c r="J5277" s="26" t="str">
        <f>IF(OR(E5277="",E5277="!!!",F5277="NEW"),"",COUNTBLANK(OFFSET(A$1,,,SUMPRODUCT(MAX(ROW(E$2:E5277)*(E5277=E$2:E5277)))))-COUNTBLANK(OFFSET(A$1,,,SUMPRODUCT(MAX(ROW(E$1:E5276)*(E2=E$1:E5276))))))</f>
        <v> </v>
      </c>
      <c r="K5277" s="26" t="str">
        <f>IF(OR(E5277="",E5277="!!!",F5277="NEW"),"",INDEX(J$1:J5276,SUMPRODUCT(MAX(ROW(E$1:E5276)*(E5277=E$1:E5276)))))</f>
        <v> </v>
      </c>
      <c r="L5277" s="27"/>
    </row>
    <row r="5278" spans="1:12">
      <c r="A5278" s="20" t="s">
        <v>2139</v>
      </c>
      <c r="B5278" s="21" t="s">
        <v>1009</v>
      </c>
      <c r="C5278" s="21" t="s">
        <v>1044</v>
      </c>
      <c r="D5278" s="21" t="s">
        <v>1011</v>
      </c>
      <c r="E5278" s="22">
        <f>IF(D5278="?OLD","!!!","")</f>
        <v/>
      </c>
      <c r="F5278" s="23" t="str">
        <f>IF(OR(E5278="",E5278="!!!"),"",IF(NOT(ISNA(VLOOKUP(E5278,E$1:E5277,1,FALSE()))),"OLD",IF(AND(E5278&lt;&gt;"",E5278&lt;&gt;"!!!"),"NEW","")))</f>
        <v> </v>
      </c>
      <c r="G5278" s="24" t="str">
        <f>IF(OR(E5278="",E5278="!!!"),"",IF(OR(J5278=0,AND(J5278=1,K5278=1),AND(J5278=1,I5278="SBJ"),AND(J5278=1,I5278=0)),"?IN_FOCUS",IF(J5278&lt;=2,"?ACTIVATED",IF(J5278&lt;&gt;"","?FAMILIAR",IF(F5278="NEW",IF(ISNA(VLOOKUP(E5278,#REF!,1,FALSE())),"?TYPE_IDENTIFIABLE","?REFERENTIAL"),"_")))))</f>
        <v> </v>
      </c>
      <c r="H5278" s="25" t="str">
        <f>IF(J5278&lt;&gt;1,"",IF(I5278="SBJ","CB","?"))</f>
        <v> </v>
      </c>
      <c r="I5278" s="26" t="str">
        <f>IF(OR(E5278="",E5278="!!!",F5278="NEW"),"",INDEX(B5277:B$2,-1+SUMPRODUCT(MAX(ROW(E5277:E$2)*(E5278=E5277:E$2)))))</f>
        <v> </v>
      </c>
      <c r="J5278" s="26" t="str">
        <f>IF(OR(E5278="",E5278="!!!",F5278="NEW"),"",COUNTBLANK(OFFSET(A$1,,,SUMPRODUCT(MAX(ROW(E$2:E5278)*(E5278=E$2:E5278)))))-COUNTBLANK(OFFSET(A$1,,,SUMPRODUCT(MAX(ROW(E$1:E5277)*(E2=E$1:E5277))))))</f>
        <v> </v>
      </c>
      <c r="K5278" s="26" t="str">
        <f>IF(OR(E5278="",E5278="!!!",F5278="NEW"),"",INDEX(J$1:J5277,SUMPRODUCT(MAX(ROW(E$1:E5277)*(E5278=E$1:E5277)))))</f>
        <v> </v>
      </c>
      <c r="L5278" s="27"/>
    </row>
    <row r="5279" spans="1:12">
      <c r="A5279" s="20" t="s">
        <v>1521</v>
      </c>
      <c r="B5279" s="21" t="s">
        <v>1175</v>
      </c>
      <c r="E5279" s="22">
        <f>IF(D5279="?OLD","!!!","")</f>
        <v/>
      </c>
      <c r="F5279" s="23" t="str">
        <f>IF(OR(E5279="",E5279="!!!"),"",IF(NOT(ISNA(VLOOKUP(E5279,E$1:E5278,1,FALSE()))),"OLD",IF(AND(E5279&lt;&gt;"",E5279&lt;&gt;"!!!"),"NEW","")))</f>
        <v> </v>
      </c>
      <c r="G5279" s="24" t="str">
        <f>IF(OR(E5279="",E5279="!!!"),"",IF(OR(J5279=0,AND(J5279=1,K5279=1),AND(J5279=1,I5279="SBJ"),AND(J5279=1,I5279=0)),"?IN_FOCUS",IF(J5279&lt;=2,"?ACTIVATED",IF(J5279&lt;&gt;"","?FAMILIAR",IF(F5279="NEW",IF(ISNA(VLOOKUP(E5279,#REF!,1,FALSE())),"?TYPE_IDENTIFIABLE","?REFERENTIAL"),"_")))))</f>
        <v> </v>
      </c>
      <c r="H5279" s="25" t="str">
        <f>IF(J5279&lt;&gt;1,"",IF(I5279="SBJ","CB","?"))</f>
        <v> </v>
      </c>
      <c r="I5279" s="26" t="str">
        <f>IF(OR(E5279="",E5279="!!!",F5279="NEW"),"",INDEX(B5278:B$2,-1+SUMPRODUCT(MAX(ROW(E5278:E$2)*(E5279=E5278:E$2)))))</f>
        <v> </v>
      </c>
      <c r="J5279" s="26" t="str">
        <f>IF(OR(E5279="",E5279="!!!",F5279="NEW"),"",COUNTBLANK(OFFSET(A$1,,,SUMPRODUCT(MAX(ROW(E$2:E5279)*(E5279=E$2:E5279)))))-COUNTBLANK(OFFSET(A$1,,,SUMPRODUCT(MAX(ROW(E$1:E5278)*(E2=E$1:E5278))))))</f>
        <v> </v>
      </c>
      <c r="K5279" s="26" t="str">
        <f>IF(OR(E5279="",E5279="!!!",F5279="NEW"),"",INDEX(J$1:J5278,SUMPRODUCT(MAX(ROW(E$1:E5278)*(E5279=E$1:E5278)))))</f>
        <v> </v>
      </c>
      <c r="L5279" s="27"/>
    </row>
    <row r="5280" spans="1:12">
      <c r="A5280" s="20" t="s">
        <v>338</v>
      </c>
      <c r="E5280" s="22">
        <f>IF(D5280="?OLD","!!!","")</f>
        <v/>
      </c>
      <c r="F5280" s="23" t="str">
        <f>IF(OR(E5280="",E5280="!!!"),"",IF(NOT(ISNA(VLOOKUP(E5280,E$1:E5279,1,FALSE()))),"OLD",IF(AND(E5280&lt;&gt;"",E5280&lt;&gt;"!!!"),"NEW","")))</f>
        <v> </v>
      </c>
      <c r="G5280" s="24" t="str">
        <f>IF(OR(E5280="",E5280="!!!"),"",IF(OR(J5280=0,AND(J5280=1,K5280=1),AND(J5280=1,I5280="SBJ"),AND(J5280=1,I5280=0)),"?IN_FOCUS",IF(J5280&lt;=2,"?ACTIVATED",IF(J5280&lt;&gt;"","?FAMILIAR",IF(F5280="NEW",IF(ISNA(VLOOKUP(E5280,#REF!,1,FALSE())),"?TYPE_IDENTIFIABLE","?REFERENTIAL"),"_")))))</f>
        <v> </v>
      </c>
      <c r="H5280" s="25" t="str">
        <f>IF(J5280&lt;&gt;1,"",IF(I5280="SBJ","CB","?"))</f>
        <v> </v>
      </c>
      <c r="I5280" s="26" t="str">
        <f>IF(OR(E5280="",E5280="!!!",F5280="NEW"),"",INDEX(B5279:B$2,-1+SUMPRODUCT(MAX(ROW(E5279:E$2)*(E5280=E5279:E$2)))))</f>
        <v> </v>
      </c>
      <c r="J5280" s="26" t="str">
        <f>IF(OR(E5280="",E5280="!!!",F5280="NEW"),"",COUNTBLANK(OFFSET(A$1,,,SUMPRODUCT(MAX(ROW(E$2:E5280)*(E5280=E$2:E5280)))))-COUNTBLANK(OFFSET(A$1,,,SUMPRODUCT(MAX(ROW(E$1:E5279)*(E2=E$1:E5279))))))</f>
        <v> </v>
      </c>
      <c r="K5280" s="26" t="str">
        <f>IF(OR(E5280="",E5280="!!!",F5280="NEW"),"",INDEX(J$1:J5279,SUMPRODUCT(MAX(ROW(E$1:E5279)*(E5280=E$1:E5279)))))</f>
        <v> </v>
      </c>
      <c r="L5280" s="27"/>
    </row>
    <row r="5281" spans="1:12">
      <c r="A5281" s="20" t="s">
        <v>2198</v>
      </c>
      <c r="E5281" s="22">
        <f>IF(D5281="?OLD","!!!","")</f>
        <v/>
      </c>
      <c r="F5281" s="23" t="str">
        <f>IF(OR(E5281="",E5281="!!!"),"",IF(NOT(ISNA(VLOOKUP(E5281,E$1:E5280,1,FALSE()))),"OLD",IF(AND(E5281&lt;&gt;"",E5281&lt;&gt;"!!!"),"NEW","")))</f>
        <v> </v>
      </c>
      <c r="G5281" s="24" t="str">
        <f>IF(OR(E5281="",E5281="!!!"),"",IF(OR(J5281=0,AND(J5281=1,K5281=1),AND(J5281=1,I5281="SBJ"),AND(J5281=1,I5281=0)),"?IN_FOCUS",IF(J5281&lt;=2,"?ACTIVATED",IF(J5281&lt;&gt;"","?FAMILIAR",IF(F5281="NEW",IF(ISNA(VLOOKUP(E5281,#REF!,1,FALSE())),"?TYPE_IDENTIFIABLE","?REFERENTIAL"),"_")))))</f>
        <v> </v>
      </c>
      <c r="H5281" s="25" t="str">
        <f>IF(J5281&lt;&gt;1,"",IF(I5281="SBJ","CB","?"))</f>
        <v> </v>
      </c>
      <c r="I5281" s="26" t="str">
        <f>IF(OR(E5281="",E5281="!!!",F5281="NEW"),"",INDEX(B5280:B$2,-1+SUMPRODUCT(MAX(ROW(E5280:E$2)*(E5281=E5280:E$2)))))</f>
        <v> </v>
      </c>
      <c r="J5281" s="26" t="str">
        <f>IF(OR(E5281="",E5281="!!!",F5281="NEW"),"",COUNTBLANK(OFFSET(A$1,,,SUMPRODUCT(MAX(ROW(E$2:E5281)*(E5281=E$2:E5281)))))-COUNTBLANK(OFFSET(A$1,,,SUMPRODUCT(MAX(ROW(E$1:E5280)*(E2=E$1:E5280))))))</f>
        <v> </v>
      </c>
      <c r="K5281" s="26" t="str">
        <f>IF(OR(E5281="",E5281="!!!",F5281="NEW"),"",INDEX(J$1:J5280,SUMPRODUCT(MAX(ROW(E$1:E5280)*(E5281=E$1:E5280)))))</f>
        <v> </v>
      </c>
      <c r="L5281" s="27"/>
    </row>
    <row r="5282" spans="1:12">
      <c r="A5282" s="20" t="s">
        <v>2199</v>
      </c>
      <c r="B5282" s="21" t="s">
        <v>1142</v>
      </c>
      <c r="C5282" s="21" t="s">
        <v>1017</v>
      </c>
      <c r="E5282" s="22">
        <f>IF(D5282="?OLD","!!!","")</f>
        <v/>
      </c>
      <c r="F5282" s="23" t="str">
        <f>IF(OR(E5282="",E5282="!!!"),"",IF(NOT(ISNA(VLOOKUP(E5282,E$1:E5281,1,FALSE()))),"OLD",IF(AND(E5282&lt;&gt;"",E5282&lt;&gt;"!!!"),"NEW","")))</f>
        <v> </v>
      </c>
      <c r="G5282" s="24" t="str">
        <f>IF(OR(E5282="",E5282="!!!"),"",IF(OR(J5282=0,AND(J5282=1,K5282=1),AND(J5282=1,I5282="SBJ"),AND(J5282=1,I5282=0)),"?IN_FOCUS",IF(J5282&lt;=2,"?ACTIVATED",IF(J5282&lt;&gt;"","?FAMILIAR",IF(F5282="NEW",IF(ISNA(VLOOKUP(E5282,#REF!,1,FALSE())),"?TYPE_IDENTIFIABLE","?REFERENTIAL"),"_")))))</f>
        <v> </v>
      </c>
      <c r="H5282" s="25" t="str">
        <f>IF(J5282&lt;&gt;1,"",IF(I5282="SBJ","CB","?"))</f>
        <v> </v>
      </c>
      <c r="I5282" s="26" t="str">
        <f>IF(OR(E5282="",E5282="!!!",F5282="NEW"),"",INDEX(B5281:B$2,-1+SUMPRODUCT(MAX(ROW(E5281:E$2)*(E5282=E5281:E$2)))))</f>
        <v> </v>
      </c>
      <c r="J5282" s="26" t="str">
        <f>IF(OR(E5282="",E5282="!!!",F5282="NEW"),"",COUNTBLANK(OFFSET(A$1,,,SUMPRODUCT(MAX(ROW(E$2:E5282)*(E5282=E$2:E5282)))))-COUNTBLANK(OFFSET(A$1,,,SUMPRODUCT(MAX(ROW(E$1:E5281)*(E2=E$1:E5281))))))</f>
        <v> </v>
      </c>
      <c r="K5282" s="26" t="str">
        <f>IF(OR(E5282="",E5282="!!!",F5282="NEW"),"",INDEX(J$1:J5281,SUMPRODUCT(MAX(ROW(E$1:E5281)*(E5282=E$1:E5281)))))</f>
        <v> </v>
      </c>
      <c r="L5282" s="27"/>
    </row>
    <row r="5283" spans="1:12">
      <c r="A5283" s="20" t="s">
        <v>1067</v>
      </c>
      <c r="E5283" s="22">
        <f>IF(D5283="?OLD","!!!","")</f>
        <v/>
      </c>
      <c r="F5283" s="23" t="str">
        <f>IF(OR(E5283="",E5283="!!!"),"",IF(NOT(ISNA(VLOOKUP(E5283,E$1:E5282,1,FALSE()))),"OLD",IF(AND(E5283&lt;&gt;"",E5283&lt;&gt;"!!!"),"NEW","")))</f>
        <v> </v>
      </c>
      <c r="G5283" s="24" t="str">
        <f>IF(OR(E5283="",E5283="!!!"),"",IF(OR(J5283=0,AND(J5283=1,K5283=1),AND(J5283=1,I5283="SBJ"),AND(J5283=1,I5283=0)),"?IN_FOCUS",IF(J5283&lt;=2,"?ACTIVATED",IF(J5283&lt;&gt;"","?FAMILIAR",IF(F5283="NEW",IF(ISNA(VLOOKUP(E5283,#REF!,1,FALSE())),"?TYPE_IDENTIFIABLE","?REFERENTIAL"),"_")))))</f>
        <v> </v>
      </c>
      <c r="H5283" s="25" t="str">
        <f>IF(J5283&lt;&gt;1,"",IF(I5283="SBJ","CB","?"))</f>
        <v> </v>
      </c>
      <c r="I5283" s="26" t="str">
        <f>IF(OR(E5283="",E5283="!!!",F5283="NEW"),"",INDEX(B5282:B$2,-1+SUMPRODUCT(MAX(ROW(E5282:E$2)*(E5283=E5282:E$2)))))</f>
        <v> </v>
      </c>
      <c r="J5283" s="26" t="str">
        <f>IF(OR(E5283="",E5283="!!!",F5283="NEW"),"",COUNTBLANK(OFFSET(A$1,,,SUMPRODUCT(MAX(ROW(E$2:E5283)*(E5283=E$2:E5283)))))-COUNTBLANK(OFFSET(A$1,,,SUMPRODUCT(MAX(ROW(E$1:E5282)*(E2=E$1:E5282))))))</f>
        <v> </v>
      </c>
      <c r="K5283" s="26" t="str">
        <f>IF(OR(E5283="",E5283="!!!",F5283="NEW"),"",INDEX(J$1:J5282,SUMPRODUCT(MAX(ROW(E$1:E5282)*(E5283=E$1:E5282)))))</f>
        <v> </v>
      </c>
      <c r="L5283" s="27"/>
    </row>
    <row r="5284" spans="1:12">
      <c r="A5284" s="20" t="s">
        <v>1133</v>
      </c>
      <c r="E5284" s="22">
        <f>IF(D5284="?OLD","!!!","")</f>
        <v/>
      </c>
      <c r="F5284" s="23" t="str">
        <f>IF(OR(E5284="",E5284="!!!"),"",IF(NOT(ISNA(VLOOKUP(E5284,E$1:E5283,1,FALSE()))),"OLD",IF(AND(E5284&lt;&gt;"",E5284&lt;&gt;"!!!"),"NEW","")))</f>
        <v> </v>
      </c>
      <c r="G5284" s="24" t="str">
        <f>IF(OR(E5284="",E5284="!!!"),"",IF(OR(J5284=0,AND(J5284=1,K5284=1),AND(J5284=1,I5284="SBJ"),AND(J5284=1,I5284=0)),"?IN_FOCUS",IF(J5284&lt;=2,"?ACTIVATED",IF(J5284&lt;&gt;"","?FAMILIAR",IF(F5284="NEW",IF(ISNA(VLOOKUP(E5284,#REF!,1,FALSE())),"?TYPE_IDENTIFIABLE","?REFERENTIAL"),"_")))))</f>
        <v> </v>
      </c>
      <c r="H5284" s="25" t="str">
        <f>IF(J5284&lt;&gt;1,"",IF(I5284="SBJ","CB","?"))</f>
        <v> </v>
      </c>
      <c r="I5284" s="26" t="str">
        <f>IF(OR(E5284="",E5284="!!!",F5284="NEW"),"",INDEX(B5283:B$2,-1+SUMPRODUCT(MAX(ROW(E5283:E$2)*(E5284=E5283:E$2)))))</f>
        <v> </v>
      </c>
      <c r="J5284" s="26" t="str">
        <f>IF(OR(E5284="",E5284="!!!",F5284="NEW"),"",COUNTBLANK(OFFSET(A$1,,,SUMPRODUCT(MAX(ROW(E$2:E5284)*(E5284=E$2:E5284)))))-COUNTBLANK(OFFSET(A$1,,,SUMPRODUCT(MAX(ROW(E$1:E5283)*(E2=E$1:E5283))))))</f>
        <v> </v>
      </c>
      <c r="K5284" s="26" t="str">
        <f>IF(OR(E5284="",E5284="!!!",F5284="NEW"),"",INDEX(J$1:J5283,SUMPRODUCT(MAX(ROW(E$1:E5283)*(E5284=E$1:E5283)))))</f>
        <v> </v>
      </c>
      <c r="L5284" s="27"/>
    </row>
    <row r="5285" spans="1:12">
      <c r="A5285" s="20" t="s">
        <v>2200</v>
      </c>
      <c r="E5285" s="22">
        <f>IF(D5285="?OLD","!!!","")</f>
        <v/>
      </c>
      <c r="F5285" s="23" t="str">
        <f>IF(OR(E5285="",E5285="!!!"),"",IF(NOT(ISNA(VLOOKUP(E5285,E$1:E5284,1,FALSE()))),"OLD",IF(AND(E5285&lt;&gt;"",E5285&lt;&gt;"!!!"),"NEW","")))</f>
        <v> </v>
      </c>
      <c r="G5285" s="24" t="str">
        <f>IF(OR(E5285="",E5285="!!!"),"",IF(OR(J5285=0,AND(J5285=1,K5285=1),AND(J5285=1,I5285="SBJ"),AND(J5285=1,I5285=0)),"?IN_FOCUS",IF(J5285&lt;=2,"?ACTIVATED",IF(J5285&lt;&gt;"","?FAMILIAR",IF(F5285="NEW",IF(ISNA(VLOOKUP(E5285,#REF!,1,FALSE())),"?TYPE_IDENTIFIABLE","?REFERENTIAL"),"_")))))</f>
        <v> </v>
      </c>
      <c r="H5285" s="25" t="str">
        <f>IF(J5285&lt;&gt;1,"",IF(I5285="SBJ","CB","?"))</f>
        <v> </v>
      </c>
      <c r="I5285" s="26" t="str">
        <f>IF(OR(E5285="",E5285="!!!",F5285="NEW"),"",INDEX(B5284:B$2,-1+SUMPRODUCT(MAX(ROW(E5284:E$2)*(E5285=E5284:E$2)))))</f>
        <v> </v>
      </c>
      <c r="J5285" s="26" t="str">
        <f>IF(OR(E5285="",E5285="!!!",F5285="NEW"),"",COUNTBLANK(OFFSET(A$1,,,SUMPRODUCT(MAX(ROW(E$2:E5285)*(E5285=E$2:E5285)))))-COUNTBLANK(OFFSET(A$1,,,SUMPRODUCT(MAX(ROW(E$1:E5284)*(E2=E$1:E5284))))))</f>
        <v> </v>
      </c>
      <c r="K5285" s="26" t="str">
        <f>IF(OR(E5285="",E5285="!!!",F5285="NEW"),"",INDEX(J$1:J5284,SUMPRODUCT(MAX(ROW(E$1:E5284)*(E5285=E$1:E5284)))))</f>
        <v> </v>
      </c>
      <c r="L5285" s="27"/>
    </row>
    <row r="5286" spans="1:12">
      <c r="A5286" s="20" t="s">
        <v>1022</v>
      </c>
      <c r="E5286" s="22">
        <f>IF(D5286="?OLD","!!!","")</f>
        <v/>
      </c>
      <c r="F5286" s="23" t="str">
        <f>IF(OR(E5286="",E5286="!!!"),"",IF(NOT(ISNA(VLOOKUP(E5286,E$1:E5285,1,FALSE()))),"OLD",IF(AND(E5286&lt;&gt;"",E5286&lt;&gt;"!!!"),"NEW","")))</f>
        <v> </v>
      </c>
      <c r="G5286" s="24" t="str">
        <f>IF(OR(E5286="",E5286="!!!"),"",IF(OR(J5286=0,AND(J5286=1,K5286=1),AND(J5286=1,I5286="SBJ"),AND(J5286=1,I5286=0)),"?IN_FOCUS",IF(J5286&lt;=2,"?ACTIVATED",IF(J5286&lt;&gt;"","?FAMILIAR",IF(F5286="NEW",IF(ISNA(VLOOKUP(E5286,#REF!,1,FALSE())),"?TYPE_IDENTIFIABLE","?REFERENTIAL"),"_")))))</f>
        <v> </v>
      </c>
      <c r="H5286" s="25" t="str">
        <f>IF(J5286&lt;&gt;1,"",IF(I5286="SBJ","CB","?"))</f>
        <v> </v>
      </c>
      <c r="I5286" s="26" t="str">
        <f>IF(OR(E5286="",E5286="!!!",F5286="NEW"),"",INDEX(B5285:B$2,-1+SUMPRODUCT(MAX(ROW(E5285:E$2)*(E5286=E5285:E$2)))))</f>
        <v> </v>
      </c>
      <c r="J5286" s="26" t="str">
        <f>IF(OR(E5286="",E5286="!!!",F5286="NEW"),"",COUNTBLANK(OFFSET(A$1,,,SUMPRODUCT(MAX(ROW(E$2:E5286)*(E5286=E$2:E5286)))))-COUNTBLANK(OFFSET(A$1,,,SUMPRODUCT(MAX(ROW(E$1:E5285)*(E2=E$1:E5285))))))</f>
        <v> </v>
      </c>
      <c r="K5286" s="26" t="str">
        <f>IF(OR(E5286="",E5286="!!!",F5286="NEW"),"",INDEX(J$1:J5285,SUMPRODUCT(MAX(ROW(E$1:E5285)*(E5286=E$1:E5285)))))</f>
        <v> </v>
      </c>
      <c r="L5286" s="27"/>
    </row>
    <row r="5287" spans="1:12">
      <c r="A5287" s="20"/>
    </row>
    <row r="5288" spans="1:12">
      <c r="A5288" s="20" t="s">
        <v>2201</v>
      </c>
    </row>
    <row r="5289" spans="1:12">
      <c r="A5289" s="20" t="s">
        <v>1879</v>
      </c>
      <c r="E5289" s="22">
        <f>IF(D5289="?OLD","!!!","")</f>
        <v/>
      </c>
      <c r="F5289" s="23" t="str">
        <f>IF(OR(E5289="",E5289="!!!"),"",IF(NOT(ISNA(VLOOKUP(E5289,E$1:E5288,1,FALSE()))),"OLD",IF(AND(E5289&lt;&gt;"",E5289&lt;&gt;"!!!"),"NEW","")))</f>
        <v> </v>
      </c>
      <c r="G5289" s="24" t="str">
        <f>IF(OR(E5289="",E5289="!!!"),"",IF(OR(J5289=0,AND(J5289=1,K5289=1),AND(J5289=1,I5289="SBJ"),AND(J5289=1,I5289=0)),"?IN_FOCUS",IF(J5289&lt;=2,"?ACTIVATED",IF(J5289&lt;&gt;"","?FAMILIAR",IF(F5289="NEW",IF(ISNA(VLOOKUP(E5289,#REF!,1,FALSE())),"?TYPE_IDENTIFIABLE","?REFERENTIAL"),"_")))))</f>
        <v> </v>
      </c>
      <c r="H5289" s="25" t="str">
        <f>IF(J5289&lt;&gt;1,"",IF(I5289="SBJ","CB","?"))</f>
        <v> </v>
      </c>
      <c r="I5289" s="26" t="str">
        <f>IF(OR(E5289="",E5289="!!!",F5289="NEW"),"",INDEX(B5288:B$2,-1+SUMPRODUCT(MAX(ROW(E5288:E$2)*(E5289=E5288:E$2)))))</f>
        <v> </v>
      </c>
      <c r="J5289" s="26" t="str">
        <f>IF(OR(E5289="",E5289="!!!",F5289="NEW"),"",COUNTBLANK(OFFSET(A$1,,,SUMPRODUCT(MAX(ROW(E$2:E5289)*(E5289=E$2:E5289)))))-COUNTBLANK(OFFSET(A$1,,,SUMPRODUCT(MAX(ROW(E$1:E5288)*(E2=E$1:E5288))))))</f>
        <v> </v>
      </c>
      <c r="K5289" s="26" t="str">
        <f>IF(OR(E5289="",E5289="!!!",F5289="NEW"),"",INDEX(J$1:J5288,SUMPRODUCT(MAX(ROW(E$1:E5288)*(E5289=E$1:E5288)))))</f>
        <v> </v>
      </c>
      <c r="L5289" s="27"/>
    </row>
    <row r="5290" spans="1:12">
      <c r="A5290" s="20" t="s">
        <v>1239</v>
      </c>
      <c r="B5290" s="21" t="s">
        <v>1009</v>
      </c>
      <c r="C5290" s="21" t="s">
        <v>1010</v>
      </c>
      <c r="D5290" s="21" t="s">
        <v>1011</v>
      </c>
      <c r="E5290" s="22">
        <f>IF(D5290="?OLD","!!!","")</f>
        <v/>
      </c>
      <c r="F5290" s="23" t="str">
        <f>IF(OR(E5290="",E5290="!!!"),"",IF(NOT(ISNA(VLOOKUP(E5290,E$1:E5289,1,FALSE()))),"OLD",IF(AND(E5290&lt;&gt;"",E5290&lt;&gt;"!!!"),"NEW","")))</f>
        <v> </v>
      </c>
      <c r="G5290" s="24" t="str">
        <f>IF(OR(E5290="",E5290="!!!"),"",IF(OR(J5290=0,AND(J5290=1,K5290=1),AND(J5290=1,I5290="SBJ"),AND(J5290=1,I5290=0)),"?IN_FOCUS",IF(J5290&lt;=2,"?ACTIVATED",IF(J5290&lt;&gt;"","?FAMILIAR",IF(F5290="NEW",IF(ISNA(VLOOKUP(E5290,#REF!,1,FALSE())),"?TYPE_IDENTIFIABLE","?REFERENTIAL"),"_")))))</f>
        <v> </v>
      </c>
      <c r="H5290" s="25" t="str">
        <f>IF(J5290&lt;&gt;1,"",IF(I5290="SBJ","CB","?"))</f>
        <v> </v>
      </c>
      <c r="I5290" s="26" t="str">
        <f>IF(OR(E5290="",E5290="!!!",F5290="NEW"),"",INDEX(B5289:B$2,-1+SUMPRODUCT(MAX(ROW(E5289:E$2)*(E5290=E5289:E$2)))))</f>
        <v> </v>
      </c>
      <c r="J5290" s="26" t="str">
        <f>IF(OR(E5290="",E5290="!!!",F5290="NEW"),"",COUNTBLANK(OFFSET(A$1,,,SUMPRODUCT(MAX(ROW(E$2:E5290)*(E5290=E$2:E5290)))))-COUNTBLANK(OFFSET(A$1,,,SUMPRODUCT(MAX(ROW(E$1:E5289)*(E2=E$1:E5289))))))</f>
        <v> </v>
      </c>
      <c r="K5290" s="26" t="str">
        <f>IF(OR(E5290="",E5290="!!!",F5290="NEW"),"",INDEX(J$1:J5289,SUMPRODUCT(MAX(ROW(E$1:E5289)*(E5290=E$1:E5289)))))</f>
        <v> </v>
      </c>
      <c r="L5290" s="27"/>
    </row>
    <row r="5291" spans="1:12">
      <c r="A5291" s="20" t="s">
        <v>1268</v>
      </c>
      <c r="E5291" s="22">
        <f>IF(D5291="?OLD","!!!","")</f>
        <v/>
      </c>
      <c r="F5291" s="23" t="str">
        <f>IF(OR(E5291="",E5291="!!!"),"",IF(NOT(ISNA(VLOOKUP(E5291,E$1:E5290,1,FALSE()))),"OLD",IF(AND(E5291&lt;&gt;"",E5291&lt;&gt;"!!!"),"NEW","")))</f>
        <v> </v>
      </c>
      <c r="G5291" s="24" t="str">
        <f>IF(OR(E5291="",E5291="!!!"),"",IF(OR(J5291=0,AND(J5291=1,K5291=1),AND(J5291=1,I5291="SBJ"),AND(J5291=1,I5291=0)),"?IN_FOCUS",IF(J5291&lt;=2,"?ACTIVATED",IF(J5291&lt;&gt;"","?FAMILIAR",IF(F5291="NEW",IF(ISNA(VLOOKUP(E5291,#REF!,1,FALSE())),"?TYPE_IDENTIFIABLE","?REFERENTIAL"),"_")))))</f>
        <v> </v>
      </c>
      <c r="H5291" s="25" t="str">
        <f>IF(J5291&lt;&gt;1,"",IF(I5291="SBJ","CB","?"))</f>
        <v> </v>
      </c>
      <c r="I5291" s="26" t="str">
        <f>IF(OR(E5291="",E5291="!!!",F5291="NEW"),"",INDEX(B5290:B$2,-1+SUMPRODUCT(MAX(ROW(E5290:E$2)*(E5291=E5290:E$2)))))</f>
        <v> </v>
      </c>
      <c r="J5291" s="26" t="str">
        <f>IF(OR(E5291="",E5291="!!!",F5291="NEW"),"",COUNTBLANK(OFFSET(A$1,,,SUMPRODUCT(MAX(ROW(E$2:E5291)*(E5291=E$2:E5291)))))-COUNTBLANK(OFFSET(A$1,,,SUMPRODUCT(MAX(ROW(E$1:E5290)*(E2=E$1:E5290))))))</f>
        <v> </v>
      </c>
      <c r="K5291" s="26" t="str">
        <f>IF(OR(E5291="",E5291="!!!",F5291="NEW"),"",INDEX(J$1:J5290,SUMPRODUCT(MAX(ROW(E$1:E5290)*(E5291=E$1:E5290)))))</f>
        <v> </v>
      </c>
      <c r="L5291" s="27"/>
    </row>
    <row r="5292" spans="1:12">
      <c r="A5292" s="20" t="s">
        <v>1100</v>
      </c>
      <c r="B5292" s="21" t="s">
        <v>1016</v>
      </c>
      <c r="C5292" s="21" t="s">
        <v>1035</v>
      </c>
      <c r="D5292" s="21" t="s">
        <v>1011</v>
      </c>
      <c r="E5292" s="22">
        <f>IF(D5292="?OLD","!!!","")</f>
        <v/>
      </c>
      <c r="F5292" s="23" t="str">
        <f>IF(OR(E5292="",E5292="!!!"),"",IF(NOT(ISNA(VLOOKUP(E5292,E$1:E5291,1,FALSE()))),"OLD",IF(AND(E5292&lt;&gt;"",E5292&lt;&gt;"!!!"),"NEW","")))</f>
        <v> </v>
      </c>
      <c r="G5292" s="24" t="str">
        <f>IF(OR(E5292="",E5292="!!!"),"",IF(OR(J5292=0,AND(J5292=1,K5292=1),AND(J5292=1,I5292="SBJ"),AND(J5292=1,I5292=0)),"?IN_FOCUS",IF(J5292&lt;=2,"?ACTIVATED",IF(J5292&lt;&gt;"","?FAMILIAR",IF(F5292="NEW",IF(ISNA(VLOOKUP(E5292,#REF!,1,FALSE())),"?TYPE_IDENTIFIABLE","?REFERENTIAL"),"_")))))</f>
        <v> </v>
      </c>
      <c r="H5292" s="25" t="str">
        <f>IF(J5292&lt;&gt;1,"",IF(I5292="SBJ","CB","?"))</f>
        <v> </v>
      </c>
      <c r="I5292" s="26" t="str">
        <f>IF(OR(E5292="",E5292="!!!",F5292="NEW"),"",INDEX(B5291:B$2,-1+SUMPRODUCT(MAX(ROW(E5291:E$2)*(E5292=E5291:E$2)))))</f>
        <v> </v>
      </c>
      <c r="J5292" s="26" t="str">
        <f>IF(OR(E5292="",E5292="!!!",F5292="NEW"),"",COUNTBLANK(OFFSET(A$1,,,SUMPRODUCT(MAX(ROW(E$2:E5292)*(E5292=E$2:E5292)))))-COUNTBLANK(OFFSET(A$1,,,SUMPRODUCT(MAX(ROW(E$1:E5291)*(E2=E$1:E5291))))))</f>
        <v> </v>
      </c>
      <c r="K5292" s="26" t="str">
        <f>IF(OR(E5292="",E5292="!!!",F5292="NEW"),"",INDEX(J$1:J5291,SUMPRODUCT(MAX(ROW(E$1:E5291)*(E5292=E$1:E5291)))))</f>
        <v> </v>
      </c>
      <c r="L5292" s="27"/>
    </row>
    <row r="5293" spans="1:12">
      <c r="A5293" s="20" t="s">
        <v>1173</v>
      </c>
      <c r="E5293" s="22">
        <f>IF(D5293="?OLD","!!!","")</f>
        <v/>
      </c>
      <c r="F5293" s="23" t="str">
        <f>IF(OR(E5293="",E5293="!!!"),"",IF(NOT(ISNA(VLOOKUP(E5293,E$1:E5292,1,FALSE()))),"OLD",IF(AND(E5293&lt;&gt;"",E5293&lt;&gt;"!!!"),"NEW","")))</f>
        <v> </v>
      </c>
      <c r="G5293" s="24" t="str">
        <f>IF(OR(E5293="",E5293="!!!"),"",IF(OR(J5293=0,AND(J5293=1,K5293=1),AND(J5293=1,I5293="SBJ"),AND(J5293=1,I5293=0)),"?IN_FOCUS",IF(J5293&lt;=2,"?ACTIVATED",IF(J5293&lt;&gt;"","?FAMILIAR",IF(F5293="NEW",IF(ISNA(VLOOKUP(E5293,#REF!,1,FALSE())),"?TYPE_IDENTIFIABLE","?REFERENTIAL"),"_")))))</f>
        <v> </v>
      </c>
      <c r="H5293" s="25" t="str">
        <f>IF(J5293&lt;&gt;1,"",IF(I5293="SBJ","CB","?"))</f>
        <v> </v>
      </c>
      <c r="I5293" s="26" t="str">
        <f>IF(OR(E5293="",E5293="!!!",F5293="NEW"),"",INDEX(B5292:B$2,-1+SUMPRODUCT(MAX(ROW(E5292:E$2)*(E5293=E5292:E$2)))))</f>
        <v> </v>
      </c>
      <c r="J5293" s="26" t="str">
        <f>IF(OR(E5293="",E5293="!!!",F5293="NEW"),"",COUNTBLANK(OFFSET(A$1,,,SUMPRODUCT(MAX(ROW(E$2:E5293)*(E5293=E$2:E5293)))))-COUNTBLANK(OFFSET(A$1,,,SUMPRODUCT(MAX(ROW(E$1:E5292)*(E2=E$1:E5292))))))</f>
        <v> </v>
      </c>
      <c r="K5293" s="26" t="str">
        <f>IF(OR(E5293="",E5293="!!!",F5293="NEW"),"",INDEX(J$1:J5292,SUMPRODUCT(MAX(ROW(E$1:E5292)*(E5293=E$1:E5292)))))</f>
        <v> </v>
      </c>
      <c r="L5293" s="27"/>
    </row>
    <row r="5294" spans="1:12">
      <c r="A5294" s="20" t="s">
        <v>1212</v>
      </c>
      <c r="E5294" s="22">
        <f>IF(D5294="?OLD","!!!","")</f>
        <v/>
      </c>
      <c r="F5294" s="23" t="str">
        <f>IF(OR(E5294="",E5294="!!!"),"",IF(NOT(ISNA(VLOOKUP(E5294,E$1:E5293,1,FALSE()))),"OLD",IF(AND(E5294&lt;&gt;"",E5294&lt;&gt;"!!!"),"NEW","")))</f>
        <v> </v>
      </c>
      <c r="G5294" s="24" t="str">
        <f>IF(OR(E5294="",E5294="!!!"),"",IF(OR(J5294=0,AND(J5294=1,K5294=1),AND(J5294=1,I5294="SBJ"),AND(J5294=1,I5294=0)),"?IN_FOCUS",IF(J5294&lt;=2,"?ACTIVATED",IF(J5294&lt;&gt;"","?FAMILIAR",IF(F5294="NEW",IF(ISNA(VLOOKUP(E5294,#REF!,1,FALSE())),"?TYPE_IDENTIFIABLE","?REFERENTIAL"),"_")))))</f>
        <v> </v>
      </c>
      <c r="H5294" s="25" t="str">
        <f>IF(J5294&lt;&gt;1,"",IF(I5294="SBJ","CB","?"))</f>
        <v> </v>
      </c>
      <c r="I5294" s="26" t="str">
        <f>IF(OR(E5294="",E5294="!!!",F5294="NEW"),"",INDEX(B5293:B$2,-1+SUMPRODUCT(MAX(ROW(E5293:E$2)*(E5294=E5293:E$2)))))</f>
        <v> </v>
      </c>
      <c r="J5294" s="26" t="str">
        <f>IF(OR(E5294="",E5294="!!!",F5294="NEW"),"",COUNTBLANK(OFFSET(A$1,,,SUMPRODUCT(MAX(ROW(E$2:E5294)*(E5294=E$2:E5294)))))-COUNTBLANK(OFFSET(A$1,,,SUMPRODUCT(MAX(ROW(E$1:E5293)*(E2=E$1:E5293))))))</f>
        <v> </v>
      </c>
      <c r="K5294" s="26" t="str">
        <f>IF(OR(E5294="",E5294="!!!",F5294="NEW"),"",INDEX(J$1:J5293,SUMPRODUCT(MAX(ROW(E$1:E5293)*(E5294=E$1:E5293)))))</f>
        <v> </v>
      </c>
      <c r="L5294" s="27"/>
    </row>
    <row r="5295" spans="1:12">
      <c r="A5295" s="20" t="s">
        <v>2202</v>
      </c>
      <c r="E5295" s="22">
        <f>IF(D5295="?OLD","!!!","")</f>
        <v/>
      </c>
      <c r="F5295" s="23" t="str">
        <f>IF(OR(E5295="",E5295="!!!"),"",IF(NOT(ISNA(VLOOKUP(E5295,E$1:E5294,1,FALSE()))),"OLD",IF(AND(E5295&lt;&gt;"",E5295&lt;&gt;"!!!"),"NEW","")))</f>
        <v> </v>
      </c>
      <c r="G5295" s="24" t="str">
        <f>IF(OR(E5295="",E5295="!!!"),"",IF(OR(J5295=0,AND(J5295=1,K5295=1),AND(J5295=1,I5295="SBJ"),AND(J5295=1,I5295=0)),"?IN_FOCUS",IF(J5295&lt;=2,"?ACTIVATED",IF(J5295&lt;&gt;"","?FAMILIAR",IF(F5295="NEW",IF(ISNA(VLOOKUP(E5295,#REF!,1,FALSE())),"?TYPE_IDENTIFIABLE","?REFERENTIAL"),"_")))))</f>
        <v> </v>
      </c>
      <c r="H5295" s="25" t="str">
        <f>IF(J5295&lt;&gt;1,"",IF(I5295="SBJ","CB","?"))</f>
        <v> </v>
      </c>
      <c r="I5295" s="26" t="str">
        <f>IF(OR(E5295="",E5295="!!!",F5295="NEW"),"",INDEX(B5294:B$2,-1+SUMPRODUCT(MAX(ROW(E5294:E$2)*(E5295=E5294:E$2)))))</f>
        <v> </v>
      </c>
      <c r="J5295" s="26" t="str">
        <f>IF(OR(E5295="",E5295="!!!",F5295="NEW"),"",COUNTBLANK(OFFSET(A$1,,,SUMPRODUCT(MAX(ROW(E$2:E5295)*(E5295=E$2:E5295)))))-COUNTBLANK(OFFSET(A$1,,,SUMPRODUCT(MAX(ROW(E$1:E5294)*(E2=E$1:E5294))))))</f>
        <v> </v>
      </c>
      <c r="K5295" s="26" t="str">
        <f>IF(OR(E5295="",E5295="!!!",F5295="NEW"),"",INDEX(J$1:J5294,SUMPRODUCT(MAX(ROW(E$1:E5294)*(E5295=E$1:E5294)))))</f>
        <v> </v>
      </c>
      <c r="L5295" s="27"/>
    </row>
    <row r="5296" spans="1:12">
      <c r="A5296" s="20" t="s">
        <v>1213</v>
      </c>
      <c r="B5296" s="21" t="s">
        <v>1048</v>
      </c>
      <c r="C5296" s="21" t="s">
        <v>1040</v>
      </c>
      <c r="D5296" s="21" t="s">
        <v>1011</v>
      </c>
      <c r="E5296" s="22">
        <f>IF(D5296="?OLD","!!!","")</f>
        <v/>
      </c>
      <c r="F5296" s="23" t="str">
        <f>IF(OR(E5296="",E5296="!!!"),"",IF(NOT(ISNA(VLOOKUP(E5296,E$1:E5295,1,FALSE()))),"OLD",IF(AND(E5296&lt;&gt;"",E5296&lt;&gt;"!!!"),"NEW","")))</f>
        <v> </v>
      </c>
      <c r="G5296" s="24" t="str">
        <f>IF(OR(E5296="",E5296="!!!"),"",IF(OR(J5296=0,AND(J5296=1,K5296=1),AND(J5296=1,I5296="SBJ"),AND(J5296=1,I5296=0)),"?IN_FOCUS",IF(J5296&lt;=2,"?ACTIVATED",IF(J5296&lt;&gt;"","?FAMILIAR",IF(F5296="NEW",IF(ISNA(VLOOKUP(E5296,#REF!,1,FALSE())),"?TYPE_IDENTIFIABLE","?REFERENTIAL"),"_")))))</f>
        <v> </v>
      </c>
      <c r="H5296" s="25" t="str">
        <f>IF(J5296&lt;&gt;1,"",IF(I5296="SBJ","CB","?"))</f>
        <v> </v>
      </c>
      <c r="I5296" s="26" t="str">
        <f>IF(OR(E5296="",E5296="!!!",F5296="NEW"),"",INDEX(B5295:B$2,-1+SUMPRODUCT(MAX(ROW(E5295:E$2)*(E5296=E5295:E$2)))))</f>
        <v> </v>
      </c>
      <c r="J5296" s="26" t="str">
        <f>IF(OR(E5296="",E5296="!!!",F5296="NEW"),"",COUNTBLANK(OFFSET(A$1,,,SUMPRODUCT(MAX(ROW(E$2:E5296)*(E5296=E$2:E5296)))))-COUNTBLANK(OFFSET(A$1,,,SUMPRODUCT(MAX(ROW(E$1:E5295)*(E2=E$1:E5295))))))</f>
        <v> </v>
      </c>
      <c r="K5296" s="26" t="str">
        <f>IF(OR(E5296="",E5296="!!!",F5296="NEW"),"",INDEX(J$1:J5295,SUMPRODUCT(MAX(ROW(E$1:E5295)*(E5296=E$1:E5295)))))</f>
        <v> </v>
      </c>
      <c r="L5296" s="27"/>
    </row>
    <row r="5297" spans="1:12">
      <c r="A5297" s="20" t="s">
        <v>1025</v>
      </c>
      <c r="B5297" s="21" t="s">
        <v>1175</v>
      </c>
      <c r="E5297" s="22">
        <f>IF(D5297="?OLD","!!!","")</f>
        <v/>
      </c>
      <c r="F5297" s="23" t="str">
        <f>IF(OR(E5297="",E5297="!!!"),"",IF(NOT(ISNA(VLOOKUP(E5297,E$1:E5296,1,FALSE()))),"OLD",IF(AND(E5297&lt;&gt;"",E5297&lt;&gt;"!!!"),"NEW","")))</f>
        <v> </v>
      </c>
      <c r="G5297" s="24" t="str">
        <f>IF(OR(E5297="",E5297="!!!"),"",IF(OR(J5297=0,AND(J5297=1,K5297=1),AND(J5297=1,I5297="SBJ"),AND(J5297=1,I5297=0)),"?IN_FOCUS",IF(J5297&lt;=2,"?ACTIVATED",IF(J5297&lt;&gt;"","?FAMILIAR",IF(F5297="NEW",IF(ISNA(VLOOKUP(E5297,#REF!,1,FALSE())),"?TYPE_IDENTIFIABLE","?REFERENTIAL"),"_")))))</f>
        <v> </v>
      </c>
      <c r="H5297" s="25" t="str">
        <f>IF(J5297&lt;&gt;1,"",IF(I5297="SBJ","CB","?"))</f>
        <v> </v>
      </c>
      <c r="I5297" s="26" t="str">
        <f>IF(OR(E5297="",E5297="!!!",F5297="NEW"),"",INDEX(B5296:B$2,-1+SUMPRODUCT(MAX(ROW(E5296:E$2)*(E5297=E5296:E$2)))))</f>
        <v> </v>
      </c>
      <c r="J5297" s="26" t="str">
        <f>IF(OR(E5297="",E5297="!!!",F5297="NEW"),"",COUNTBLANK(OFFSET(A$1,,,SUMPRODUCT(MAX(ROW(E$2:E5297)*(E5297=E$2:E5297)))))-COUNTBLANK(OFFSET(A$1,,,SUMPRODUCT(MAX(ROW(E$1:E5296)*(E2=E$1:E5296))))))</f>
        <v> </v>
      </c>
      <c r="K5297" s="26" t="str">
        <f>IF(OR(E5297="",E5297="!!!",F5297="NEW"),"",INDEX(J$1:J5296,SUMPRODUCT(MAX(ROW(E$1:E5296)*(E5297=E$1:E5296)))))</f>
        <v> </v>
      </c>
      <c r="L5297" s="27"/>
    </row>
    <row r="5298" spans="1:12">
      <c r="A5298" s="20" t="s">
        <v>90</v>
      </c>
      <c r="E5298" s="22">
        <f>IF(D5298="?OLD","!!!","")</f>
        <v/>
      </c>
      <c r="F5298" s="23" t="str">
        <f>IF(OR(E5298="",E5298="!!!"),"",IF(NOT(ISNA(VLOOKUP(E5298,E$1:E5297,1,FALSE()))),"OLD",IF(AND(E5298&lt;&gt;"",E5298&lt;&gt;"!!!"),"NEW","")))</f>
        <v> </v>
      </c>
      <c r="G5298" s="24" t="str">
        <f>IF(OR(E5298="",E5298="!!!"),"",IF(OR(J5298=0,AND(J5298=1,K5298=1),AND(J5298=1,I5298="SBJ"),AND(J5298=1,I5298=0)),"?IN_FOCUS",IF(J5298&lt;=2,"?ACTIVATED",IF(J5298&lt;&gt;"","?FAMILIAR",IF(F5298="NEW",IF(ISNA(VLOOKUP(E5298,#REF!,1,FALSE())),"?TYPE_IDENTIFIABLE","?REFERENTIAL"),"_")))))</f>
        <v> </v>
      </c>
      <c r="H5298" s="25" t="str">
        <f>IF(J5298&lt;&gt;1,"",IF(I5298="SBJ","CB","?"))</f>
        <v> </v>
      </c>
      <c r="I5298" s="26" t="str">
        <f>IF(OR(E5298="",E5298="!!!",F5298="NEW"),"",INDEX(B5297:B$2,-1+SUMPRODUCT(MAX(ROW(E5297:E$2)*(E5298=E5297:E$2)))))</f>
        <v> </v>
      </c>
      <c r="J5298" s="26" t="str">
        <f>IF(OR(E5298="",E5298="!!!",F5298="NEW"),"",COUNTBLANK(OFFSET(A$1,,,SUMPRODUCT(MAX(ROW(E$2:E5298)*(E5298=E$2:E5298)))))-COUNTBLANK(OFFSET(A$1,,,SUMPRODUCT(MAX(ROW(E$1:E5297)*(E2=E$1:E5297))))))</f>
        <v> </v>
      </c>
      <c r="K5298" s="26" t="str">
        <f>IF(OR(E5298="",E5298="!!!",F5298="NEW"),"",INDEX(J$1:J5297,SUMPRODUCT(MAX(ROW(E$1:E5297)*(E5298=E$1:E5297)))))</f>
        <v> </v>
      </c>
      <c r="L5298" s="27"/>
    </row>
    <row r="5299" spans="1:12">
      <c r="A5299" s="20" t="s">
        <v>1014</v>
      </c>
      <c r="E5299" s="22">
        <f>IF(D5299="?OLD","!!!","")</f>
        <v/>
      </c>
      <c r="F5299" s="23" t="str">
        <f>IF(OR(E5299="",E5299="!!!"),"",IF(NOT(ISNA(VLOOKUP(E5299,E$1:E5298,1,FALSE()))),"OLD",IF(AND(E5299&lt;&gt;"",E5299&lt;&gt;"!!!"),"NEW","")))</f>
        <v> </v>
      </c>
      <c r="G5299" s="24" t="str">
        <f>IF(OR(E5299="",E5299="!!!"),"",IF(OR(J5299=0,AND(J5299=1,K5299=1),AND(J5299=1,I5299="SBJ"),AND(J5299=1,I5299=0)),"?IN_FOCUS",IF(J5299&lt;=2,"?ACTIVATED",IF(J5299&lt;&gt;"","?FAMILIAR",IF(F5299="NEW",IF(ISNA(VLOOKUP(E5299,#REF!,1,FALSE())),"?TYPE_IDENTIFIABLE","?REFERENTIAL"),"_")))))</f>
        <v> </v>
      </c>
      <c r="H5299" s="25" t="str">
        <f>IF(J5299&lt;&gt;1,"",IF(I5299="SBJ","CB","?"))</f>
        <v> </v>
      </c>
      <c r="I5299" s="26" t="str">
        <f>IF(OR(E5299="",E5299="!!!",F5299="NEW"),"",INDEX(B5298:B$2,-1+SUMPRODUCT(MAX(ROW(E5298:E$2)*(E5299=E5298:E$2)))))</f>
        <v> </v>
      </c>
      <c r="J5299" s="26" t="str">
        <f>IF(OR(E5299="",E5299="!!!",F5299="NEW"),"",COUNTBLANK(OFFSET(A$1,,,SUMPRODUCT(MAX(ROW(E$2:E5299)*(E5299=E$2:E5299)))))-COUNTBLANK(OFFSET(A$1,,,SUMPRODUCT(MAX(ROW(E$1:E5298)*(E2=E$1:E5298))))))</f>
        <v> </v>
      </c>
      <c r="K5299" s="26" t="str">
        <f>IF(OR(E5299="",E5299="!!!",F5299="NEW"),"",INDEX(J$1:J5298,SUMPRODUCT(MAX(ROW(E$1:E5298)*(E5299=E$1:E5298)))))</f>
        <v> </v>
      </c>
      <c r="L5299" s="27"/>
    </row>
    <row r="5300" spans="1:12">
      <c r="A5300" s="20" t="s">
        <v>388</v>
      </c>
      <c r="E5300" s="22">
        <f>IF(D5300="?OLD","!!!","")</f>
        <v/>
      </c>
      <c r="F5300" s="23" t="str">
        <f>IF(OR(E5300="",E5300="!!!"),"",IF(NOT(ISNA(VLOOKUP(E5300,E$1:E5299,1,FALSE()))),"OLD",IF(AND(E5300&lt;&gt;"",E5300&lt;&gt;"!!!"),"NEW","")))</f>
        <v> </v>
      </c>
      <c r="G5300" s="24" t="str">
        <f>IF(OR(E5300="",E5300="!!!"),"",IF(OR(J5300=0,AND(J5300=1,K5300=1),AND(J5300=1,I5300="SBJ"),AND(J5300=1,I5300=0)),"?IN_FOCUS",IF(J5300&lt;=2,"?ACTIVATED",IF(J5300&lt;&gt;"","?FAMILIAR",IF(F5300="NEW",IF(ISNA(VLOOKUP(E5300,#REF!,1,FALSE())),"?TYPE_IDENTIFIABLE","?REFERENTIAL"),"_")))))</f>
        <v> </v>
      </c>
      <c r="H5300" s="25" t="str">
        <f>IF(J5300&lt;&gt;1,"",IF(I5300="SBJ","CB","?"))</f>
        <v> </v>
      </c>
      <c r="I5300" s="26" t="str">
        <f>IF(OR(E5300="",E5300="!!!",F5300="NEW"),"",INDEX(B5299:B$2,-1+SUMPRODUCT(MAX(ROW(E5299:E$2)*(E5300=E5299:E$2)))))</f>
        <v> </v>
      </c>
      <c r="J5300" s="26" t="str">
        <f>IF(OR(E5300="",E5300="!!!",F5300="NEW"),"",COUNTBLANK(OFFSET(A$1,,,SUMPRODUCT(MAX(ROW(E$2:E5300)*(E5300=E$2:E5300)))))-COUNTBLANK(OFFSET(A$1,,,SUMPRODUCT(MAX(ROW(E$1:E5299)*(E2=E$1:E5299))))))</f>
        <v> </v>
      </c>
      <c r="K5300" s="26" t="str">
        <f>IF(OR(E5300="",E5300="!!!",F5300="NEW"),"",INDEX(J$1:J5299,SUMPRODUCT(MAX(ROW(E$1:E5299)*(E5300=E$1:E5299)))))</f>
        <v> </v>
      </c>
      <c r="L5300" s="27"/>
    </row>
    <row r="5301" spans="1:12">
      <c r="A5301" s="20" t="s">
        <v>1186</v>
      </c>
      <c r="E5301" s="22">
        <f>IF(D5301="?OLD","!!!","")</f>
        <v/>
      </c>
      <c r="F5301" s="23" t="str">
        <f>IF(OR(E5301="",E5301="!!!"),"",IF(NOT(ISNA(VLOOKUP(E5301,E$1:E5300,1,FALSE()))),"OLD",IF(AND(E5301&lt;&gt;"",E5301&lt;&gt;"!!!"),"NEW","")))</f>
        <v> </v>
      </c>
      <c r="G5301" s="24" t="str">
        <f>IF(OR(E5301="",E5301="!!!"),"",IF(OR(J5301=0,AND(J5301=1,K5301=1),AND(J5301=1,I5301="SBJ"),AND(J5301=1,I5301=0)),"?IN_FOCUS",IF(J5301&lt;=2,"?ACTIVATED",IF(J5301&lt;&gt;"","?FAMILIAR",IF(F5301="NEW",IF(ISNA(VLOOKUP(E5301,#REF!,1,FALSE())),"?TYPE_IDENTIFIABLE","?REFERENTIAL"),"_")))))</f>
        <v> </v>
      </c>
      <c r="H5301" s="25" t="str">
        <f>IF(J5301&lt;&gt;1,"",IF(I5301="SBJ","CB","?"))</f>
        <v> </v>
      </c>
      <c r="I5301" s="26" t="str">
        <f>IF(OR(E5301="",E5301="!!!",F5301="NEW"),"",INDEX(B5300:B$2,-1+SUMPRODUCT(MAX(ROW(E5300:E$2)*(E5301=E5300:E$2)))))</f>
        <v> </v>
      </c>
      <c r="J5301" s="26" t="str">
        <f>IF(OR(E5301="",E5301="!!!",F5301="NEW"),"",COUNTBLANK(OFFSET(A$1,,,SUMPRODUCT(MAX(ROW(E$2:E5301)*(E5301=E$2:E5301)))))-COUNTBLANK(OFFSET(A$1,,,SUMPRODUCT(MAX(ROW(E$1:E5300)*(E2=E$1:E5300))))))</f>
        <v> </v>
      </c>
      <c r="K5301" s="26" t="str">
        <f>IF(OR(E5301="",E5301="!!!",F5301="NEW"),"",INDEX(J$1:J5300,SUMPRODUCT(MAX(ROW(E$1:E5300)*(E5301=E$1:E5300)))))</f>
        <v> </v>
      </c>
      <c r="L5301" s="27"/>
    </row>
    <row r="5302" spans="1:12">
      <c r="A5302" s="20" t="s">
        <v>2203</v>
      </c>
      <c r="B5302" s="21" t="s">
        <v>1091</v>
      </c>
      <c r="C5302" s="21" t="s">
        <v>1017</v>
      </c>
      <c r="E5302" s="22">
        <f>IF(D5302="?OLD","!!!","")</f>
        <v/>
      </c>
      <c r="F5302" s="23" t="str">
        <f>IF(OR(E5302="",E5302="!!!"),"",IF(NOT(ISNA(VLOOKUP(E5302,E$1:E5301,1,FALSE()))),"OLD",IF(AND(E5302&lt;&gt;"",E5302&lt;&gt;"!!!"),"NEW","")))</f>
        <v> </v>
      </c>
      <c r="G5302" s="24" t="str">
        <f>IF(OR(E5302="",E5302="!!!"),"",IF(OR(J5302=0,AND(J5302=1,K5302=1),AND(J5302=1,I5302="SBJ"),AND(J5302=1,I5302=0)),"?IN_FOCUS",IF(J5302&lt;=2,"?ACTIVATED",IF(J5302&lt;&gt;"","?FAMILIAR",IF(F5302="NEW",IF(ISNA(VLOOKUP(E5302,#REF!,1,FALSE())),"?TYPE_IDENTIFIABLE","?REFERENTIAL"),"_")))))</f>
        <v> </v>
      </c>
      <c r="H5302" s="25" t="str">
        <f>IF(J5302&lt;&gt;1,"",IF(I5302="SBJ","CB","?"))</f>
        <v> </v>
      </c>
      <c r="I5302" s="26" t="str">
        <f>IF(OR(E5302="",E5302="!!!",F5302="NEW"),"",INDEX(B5301:B$2,-1+SUMPRODUCT(MAX(ROW(E5301:E$2)*(E5302=E5301:E$2)))))</f>
        <v> </v>
      </c>
      <c r="J5302" s="26" t="str">
        <f>IF(OR(E5302="",E5302="!!!",F5302="NEW"),"",COUNTBLANK(OFFSET(A$1,,,SUMPRODUCT(MAX(ROW(E$2:E5302)*(E5302=E$2:E5302)))))-COUNTBLANK(OFFSET(A$1,,,SUMPRODUCT(MAX(ROW(E$1:E5301)*(E2=E$1:E5301))))))</f>
        <v> </v>
      </c>
      <c r="K5302" s="26" t="str">
        <f>IF(OR(E5302="",E5302="!!!",F5302="NEW"),"",INDEX(J$1:J5301,SUMPRODUCT(MAX(ROW(E$1:E5301)*(E5302=E$1:E5301)))))</f>
        <v> </v>
      </c>
      <c r="L5302" s="27"/>
    </row>
    <row r="5303" spans="1:12">
      <c r="A5303" s="20" t="s">
        <v>1025</v>
      </c>
      <c r="E5303" s="22">
        <f>IF(D5303="?OLD","!!!","")</f>
        <v/>
      </c>
      <c r="F5303" s="23" t="str">
        <f>IF(OR(E5303="",E5303="!!!"),"",IF(NOT(ISNA(VLOOKUP(E5303,E$1:E5302,1,FALSE()))),"OLD",IF(AND(E5303&lt;&gt;"",E5303&lt;&gt;"!!!"),"NEW","")))</f>
        <v> </v>
      </c>
      <c r="G5303" s="24" t="str">
        <f>IF(OR(E5303="",E5303="!!!"),"",IF(OR(J5303=0,AND(J5303=1,K5303=1),AND(J5303=1,I5303="SBJ"),AND(J5303=1,I5303=0)),"?IN_FOCUS",IF(J5303&lt;=2,"?ACTIVATED",IF(J5303&lt;&gt;"","?FAMILIAR",IF(F5303="NEW",IF(ISNA(VLOOKUP(E5303,#REF!,1,FALSE())),"?TYPE_IDENTIFIABLE","?REFERENTIAL"),"_")))))</f>
        <v> </v>
      </c>
      <c r="H5303" s="25" t="str">
        <f>IF(J5303&lt;&gt;1,"",IF(I5303="SBJ","CB","?"))</f>
        <v> </v>
      </c>
      <c r="I5303" s="26" t="str">
        <f>IF(OR(E5303="",E5303="!!!",F5303="NEW"),"",INDEX(B5302:B$2,-1+SUMPRODUCT(MAX(ROW(E5302:E$2)*(E5303=E5302:E$2)))))</f>
        <v> </v>
      </c>
      <c r="J5303" s="26" t="str">
        <f>IF(OR(E5303="",E5303="!!!",F5303="NEW"),"",COUNTBLANK(OFFSET(A$1,,,SUMPRODUCT(MAX(ROW(E$2:E5303)*(E5303=E$2:E5303)))))-COUNTBLANK(OFFSET(A$1,,,SUMPRODUCT(MAX(ROW(E$1:E5302)*(E2=E$1:E5302))))))</f>
        <v> </v>
      </c>
      <c r="K5303" s="26" t="str">
        <f>IF(OR(E5303="",E5303="!!!",F5303="NEW"),"",INDEX(J$1:J5302,SUMPRODUCT(MAX(ROW(E$1:E5302)*(E5303=E$1:E5302)))))</f>
        <v> </v>
      </c>
      <c r="L5303" s="27"/>
    </row>
    <row r="5304" spans="1:12">
      <c r="A5304" s="20" t="s">
        <v>2204</v>
      </c>
      <c r="E5304" s="22">
        <f>IF(D5304="?OLD","!!!","")</f>
        <v/>
      </c>
      <c r="F5304" s="23" t="str">
        <f>IF(OR(E5304="",E5304="!!!"),"",IF(NOT(ISNA(VLOOKUP(E5304,E$1:E5303,1,FALSE()))),"OLD",IF(AND(E5304&lt;&gt;"",E5304&lt;&gt;"!!!"),"NEW","")))</f>
        <v> </v>
      </c>
      <c r="G5304" s="24" t="str">
        <f>IF(OR(E5304="",E5304="!!!"),"",IF(OR(J5304=0,AND(J5304=1,K5304=1),AND(J5304=1,I5304="SBJ"),AND(J5304=1,I5304=0)),"?IN_FOCUS",IF(J5304&lt;=2,"?ACTIVATED",IF(J5304&lt;&gt;"","?FAMILIAR",IF(F5304="NEW",IF(ISNA(VLOOKUP(E5304,#REF!,1,FALSE())),"?TYPE_IDENTIFIABLE","?REFERENTIAL"),"_")))))</f>
        <v> </v>
      </c>
      <c r="H5304" s="25" t="str">
        <f>IF(J5304&lt;&gt;1,"",IF(I5304="SBJ","CB","?"))</f>
        <v> </v>
      </c>
      <c r="I5304" s="26" t="str">
        <f>IF(OR(E5304="",E5304="!!!",F5304="NEW"),"",INDEX(B5303:B$2,-1+SUMPRODUCT(MAX(ROW(E5303:E$2)*(E5304=E5303:E$2)))))</f>
        <v> </v>
      </c>
      <c r="J5304" s="26" t="str">
        <f>IF(OR(E5304="",E5304="!!!",F5304="NEW"),"",COUNTBLANK(OFFSET(A$1,,,SUMPRODUCT(MAX(ROW(E$2:E5304)*(E5304=E$2:E5304)))))-COUNTBLANK(OFFSET(A$1,,,SUMPRODUCT(MAX(ROW(E$1:E5303)*(E2=E$1:E5303))))))</f>
        <v> </v>
      </c>
      <c r="K5304" s="26" t="str">
        <f>IF(OR(E5304="",E5304="!!!",F5304="NEW"),"",INDEX(J$1:J5303,SUMPRODUCT(MAX(ROW(E$1:E5303)*(E5304=E$1:E5303)))))</f>
        <v> </v>
      </c>
      <c r="L5304" s="27"/>
    </row>
    <row r="5305" spans="1:12">
      <c r="A5305" s="20" t="s">
        <v>1050</v>
      </c>
      <c r="B5305" s="21" t="s">
        <v>1051</v>
      </c>
      <c r="C5305" s="21" t="s">
        <v>1017</v>
      </c>
      <c r="E5305" s="22">
        <f>IF(D5305="?OLD","!!!","")</f>
        <v/>
      </c>
      <c r="F5305" s="23" t="str">
        <f>IF(OR(E5305="",E5305="!!!"),"",IF(NOT(ISNA(VLOOKUP(E5305,E$1:E5304,1,FALSE()))),"OLD",IF(AND(E5305&lt;&gt;"",E5305&lt;&gt;"!!!"),"NEW","")))</f>
        <v> </v>
      </c>
      <c r="G5305" s="24" t="str">
        <f>IF(OR(E5305="",E5305="!!!"),"",IF(OR(J5305=0,AND(J5305=1,K5305=1),AND(J5305=1,I5305="SBJ"),AND(J5305=1,I5305=0)),"?IN_FOCUS",IF(J5305&lt;=2,"?ACTIVATED",IF(J5305&lt;&gt;"","?FAMILIAR",IF(F5305="NEW",IF(ISNA(VLOOKUP(E5305,#REF!,1,FALSE())),"?TYPE_IDENTIFIABLE","?REFERENTIAL"),"_")))))</f>
        <v> </v>
      </c>
      <c r="H5305" s="25" t="str">
        <f>IF(J5305&lt;&gt;1,"",IF(I5305="SBJ","CB","?"))</f>
        <v> </v>
      </c>
      <c r="I5305" s="26" t="str">
        <f>IF(OR(E5305="",E5305="!!!",F5305="NEW"),"",INDEX(B5304:B$2,-1+SUMPRODUCT(MAX(ROW(E5304:E$2)*(E5305=E5304:E$2)))))</f>
        <v> </v>
      </c>
      <c r="J5305" s="26" t="str">
        <f>IF(OR(E5305="",E5305="!!!",F5305="NEW"),"",COUNTBLANK(OFFSET(A$1,,,SUMPRODUCT(MAX(ROW(E$2:E5305)*(E5305=E$2:E5305)))))-COUNTBLANK(OFFSET(A$1,,,SUMPRODUCT(MAX(ROW(E$1:E5304)*(E2=E$1:E5304))))))</f>
        <v> </v>
      </c>
      <c r="K5305" s="26" t="str">
        <f>IF(OR(E5305="",E5305="!!!",F5305="NEW"),"",INDEX(J$1:J5304,SUMPRODUCT(MAX(ROW(E$1:E5304)*(E5305=E$1:E5304)))))</f>
        <v> </v>
      </c>
      <c r="L5305" s="27"/>
    </row>
    <row r="5306" spans="1:12">
      <c r="A5306" s="20" t="s">
        <v>1251</v>
      </c>
      <c r="E5306" s="22">
        <f>IF(D5306="?OLD","!!!","")</f>
        <v/>
      </c>
      <c r="F5306" s="23" t="str">
        <f>IF(OR(E5306="",E5306="!!!"),"",IF(NOT(ISNA(VLOOKUP(E5306,E$1:E5305,1,FALSE()))),"OLD",IF(AND(E5306&lt;&gt;"",E5306&lt;&gt;"!!!"),"NEW","")))</f>
        <v> </v>
      </c>
      <c r="G5306" s="24" t="str">
        <f>IF(OR(E5306="",E5306="!!!"),"",IF(OR(J5306=0,AND(J5306=1,K5306=1),AND(J5306=1,I5306="SBJ"),AND(J5306=1,I5306=0)),"?IN_FOCUS",IF(J5306&lt;=2,"?ACTIVATED",IF(J5306&lt;&gt;"","?FAMILIAR",IF(F5306="NEW",IF(ISNA(VLOOKUP(E5306,#REF!,1,FALSE())),"?TYPE_IDENTIFIABLE","?REFERENTIAL"),"_")))))</f>
        <v> </v>
      </c>
      <c r="H5306" s="25" t="str">
        <f>IF(J5306&lt;&gt;1,"",IF(I5306="SBJ","CB","?"))</f>
        <v> </v>
      </c>
      <c r="I5306" s="26" t="str">
        <f>IF(OR(E5306="",E5306="!!!",F5306="NEW"),"",INDEX(B5305:B$2,-1+SUMPRODUCT(MAX(ROW(E5305:E$2)*(E5306=E5305:E$2)))))</f>
        <v> </v>
      </c>
      <c r="J5306" s="26" t="str">
        <f>IF(OR(E5306="",E5306="!!!",F5306="NEW"),"",COUNTBLANK(OFFSET(A$1,,,SUMPRODUCT(MAX(ROW(E$2:E5306)*(E5306=E$2:E5306)))))-COUNTBLANK(OFFSET(A$1,,,SUMPRODUCT(MAX(ROW(E$1:E5305)*(E2=E$1:E5305))))))</f>
        <v> </v>
      </c>
      <c r="K5306" s="26" t="str">
        <f>IF(OR(E5306="",E5306="!!!",F5306="NEW"),"",INDEX(J$1:J5305,SUMPRODUCT(MAX(ROW(E$1:E5305)*(E5306=E$1:E5305)))))</f>
        <v> </v>
      </c>
      <c r="L5306" s="27"/>
    </row>
    <row r="5307" spans="1:12">
      <c r="A5307" s="20"/>
    </row>
    <row r="5308" spans="1:12">
      <c r="A5308" s="20" t="s">
        <v>2205</v>
      </c>
    </row>
    <row r="5309" spans="1:12">
      <c r="A5309" s="20" t="s">
        <v>1433</v>
      </c>
      <c r="E5309" s="22">
        <f>IF(D5309="?OLD","!!!","")</f>
        <v/>
      </c>
      <c r="F5309" s="23" t="str">
        <f>IF(OR(E5309="",E5309="!!!"),"",IF(NOT(ISNA(VLOOKUP(E5309,E$1:E5308,1,FALSE()))),"OLD",IF(AND(E5309&lt;&gt;"",E5309&lt;&gt;"!!!"),"NEW","")))</f>
        <v> </v>
      </c>
      <c r="G5309" s="24" t="str">
        <f>IF(OR(E5309="",E5309="!!!"),"",IF(OR(J5309=0,AND(J5309=1,K5309=1),AND(J5309=1,I5309="SBJ"),AND(J5309=1,I5309=0)),"?IN_FOCUS",IF(J5309&lt;=2,"?ACTIVATED",IF(J5309&lt;&gt;"","?FAMILIAR",IF(F5309="NEW",IF(ISNA(VLOOKUP(E5309,#REF!,1,FALSE())),"?TYPE_IDENTIFIABLE","?REFERENTIAL"),"_")))))</f>
        <v> </v>
      </c>
      <c r="H5309" s="25" t="str">
        <f>IF(J5309&lt;&gt;1,"",IF(I5309="SBJ","CB","?"))</f>
        <v> </v>
      </c>
      <c r="I5309" s="26" t="str">
        <f>IF(OR(E5309="",E5309="!!!",F5309="NEW"),"",INDEX(B5308:B$2,-1+SUMPRODUCT(MAX(ROW(E5308:E$2)*(E5309=E5308:E$2)))))</f>
        <v> </v>
      </c>
      <c r="J5309" s="26" t="str">
        <f>IF(OR(E5309="",E5309="!!!",F5309="NEW"),"",COUNTBLANK(OFFSET(A$1,,,SUMPRODUCT(MAX(ROW(E$2:E5309)*(E5309=E$2:E5309)))))-COUNTBLANK(OFFSET(A$1,,,SUMPRODUCT(MAX(ROW(E$1:E5308)*(E2=E$1:E5308))))))</f>
        <v> </v>
      </c>
      <c r="K5309" s="26" t="str">
        <f>IF(OR(E5309="",E5309="!!!",F5309="NEW"),"",INDEX(J$1:J5308,SUMPRODUCT(MAX(ROW(E$1:E5308)*(E5309=E$1:E5308)))))</f>
        <v> </v>
      </c>
      <c r="L5309" s="27"/>
    </row>
    <row r="5310" spans="1:12">
      <c r="A5310" s="20" t="s">
        <v>1067</v>
      </c>
      <c r="E5310" s="22">
        <f>IF(D5310="?OLD","!!!","")</f>
        <v/>
      </c>
      <c r="F5310" s="23" t="str">
        <f>IF(OR(E5310="",E5310="!!!"),"",IF(NOT(ISNA(VLOOKUP(E5310,E$1:E5309,1,FALSE()))),"OLD",IF(AND(E5310&lt;&gt;"",E5310&lt;&gt;"!!!"),"NEW","")))</f>
        <v> </v>
      </c>
      <c r="G5310" s="24" t="str">
        <f>IF(OR(E5310="",E5310="!!!"),"",IF(OR(J5310=0,AND(J5310=1,K5310=1),AND(J5310=1,I5310="SBJ"),AND(J5310=1,I5310=0)),"?IN_FOCUS",IF(J5310&lt;=2,"?ACTIVATED",IF(J5310&lt;&gt;"","?FAMILIAR",IF(F5310="NEW",IF(ISNA(VLOOKUP(E5310,#REF!,1,FALSE())),"?TYPE_IDENTIFIABLE","?REFERENTIAL"),"_")))))</f>
        <v> </v>
      </c>
      <c r="H5310" s="25" t="str">
        <f>IF(J5310&lt;&gt;1,"",IF(I5310="SBJ","CB","?"))</f>
        <v> </v>
      </c>
      <c r="I5310" s="26" t="str">
        <f>IF(OR(E5310="",E5310="!!!",F5310="NEW"),"",INDEX(B5309:B$2,-1+SUMPRODUCT(MAX(ROW(E5309:E$2)*(E5310=E5309:E$2)))))</f>
        <v> </v>
      </c>
      <c r="J5310" s="26" t="str">
        <f>IF(OR(E5310="",E5310="!!!",F5310="NEW"),"",COUNTBLANK(OFFSET(A$1,,,SUMPRODUCT(MAX(ROW(E$2:E5310)*(E5310=E$2:E5310)))))-COUNTBLANK(OFFSET(A$1,,,SUMPRODUCT(MAX(ROW(E$1:E5309)*(E2=E$1:E5309))))))</f>
        <v> </v>
      </c>
      <c r="K5310" s="26" t="str">
        <f>IF(OR(E5310="",E5310="!!!",F5310="NEW"),"",INDEX(J$1:J5309,SUMPRODUCT(MAX(ROW(E$1:E5309)*(E5310=E$1:E5309)))))</f>
        <v> </v>
      </c>
      <c r="L5310" s="27"/>
    </row>
    <row r="5311" spans="1:12">
      <c r="A5311" s="20" t="s">
        <v>1133</v>
      </c>
      <c r="E5311" s="22">
        <f>IF(D5311="?OLD","!!!","")</f>
        <v/>
      </c>
      <c r="F5311" s="23" t="str">
        <f>IF(OR(E5311="",E5311="!!!"),"",IF(NOT(ISNA(VLOOKUP(E5311,E$1:E5310,1,FALSE()))),"OLD",IF(AND(E5311&lt;&gt;"",E5311&lt;&gt;"!!!"),"NEW","")))</f>
        <v> </v>
      </c>
      <c r="G5311" s="24" t="str">
        <f>IF(OR(E5311="",E5311="!!!"),"",IF(OR(J5311=0,AND(J5311=1,K5311=1),AND(J5311=1,I5311="SBJ"),AND(J5311=1,I5311=0)),"?IN_FOCUS",IF(J5311&lt;=2,"?ACTIVATED",IF(J5311&lt;&gt;"","?FAMILIAR",IF(F5311="NEW",IF(ISNA(VLOOKUP(E5311,#REF!,1,FALSE())),"?TYPE_IDENTIFIABLE","?REFERENTIAL"),"_")))))</f>
        <v> </v>
      </c>
      <c r="H5311" s="25" t="str">
        <f>IF(J5311&lt;&gt;1,"",IF(I5311="SBJ","CB","?"))</f>
        <v> </v>
      </c>
      <c r="I5311" s="26" t="str">
        <f>IF(OR(E5311="",E5311="!!!",F5311="NEW"),"",INDEX(B5310:B$2,-1+SUMPRODUCT(MAX(ROW(E5310:E$2)*(E5311=E5310:E$2)))))</f>
        <v> </v>
      </c>
      <c r="J5311" s="26" t="str">
        <f>IF(OR(E5311="",E5311="!!!",F5311="NEW"),"",COUNTBLANK(OFFSET(A$1,,,SUMPRODUCT(MAX(ROW(E$2:E5311)*(E5311=E$2:E5311)))))-COUNTBLANK(OFFSET(A$1,,,SUMPRODUCT(MAX(ROW(E$1:E5310)*(E2=E$1:E5310))))))</f>
        <v> </v>
      </c>
      <c r="K5311" s="26" t="str">
        <f>IF(OR(E5311="",E5311="!!!",F5311="NEW"),"",INDEX(J$1:J5310,SUMPRODUCT(MAX(ROW(E$1:E5310)*(E5311=E$1:E5310)))))</f>
        <v> </v>
      </c>
      <c r="L5311" s="27"/>
    </row>
    <row r="5312" spans="1:12">
      <c r="A5312" s="20" t="s">
        <v>1032</v>
      </c>
      <c r="E5312" s="22">
        <f>IF(D5312="?OLD","!!!","")</f>
        <v/>
      </c>
      <c r="F5312" s="23" t="str">
        <f>IF(OR(E5312="",E5312="!!!"),"",IF(NOT(ISNA(VLOOKUP(E5312,E$1:E5311,1,FALSE()))),"OLD",IF(AND(E5312&lt;&gt;"",E5312&lt;&gt;"!!!"),"NEW","")))</f>
        <v> </v>
      </c>
      <c r="G5312" s="24" t="str">
        <f>IF(OR(E5312="",E5312="!!!"),"",IF(OR(J5312=0,AND(J5312=1,K5312=1),AND(J5312=1,I5312="SBJ"),AND(J5312=1,I5312=0)),"?IN_FOCUS",IF(J5312&lt;=2,"?ACTIVATED",IF(J5312&lt;&gt;"","?FAMILIAR",IF(F5312="NEW",IF(ISNA(VLOOKUP(E5312,#REF!,1,FALSE())),"?TYPE_IDENTIFIABLE","?REFERENTIAL"),"_")))))</f>
        <v> </v>
      </c>
      <c r="H5312" s="25" t="str">
        <f>IF(J5312&lt;&gt;1,"",IF(I5312="SBJ","CB","?"))</f>
        <v> </v>
      </c>
      <c r="I5312" s="26" t="str">
        <f>IF(OR(E5312="",E5312="!!!",F5312="NEW"),"",INDEX(B5311:B$2,-1+SUMPRODUCT(MAX(ROW(E5311:E$2)*(E5312=E5311:E$2)))))</f>
        <v> </v>
      </c>
      <c r="J5312" s="26" t="str">
        <f>IF(OR(E5312="",E5312="!!!",F5312="NEW"),"",COUNTBLANK(OFFSET(A$1,,,SUMPRODUCT(MAX(ROW(E$2:E5312)*(E5312=E$2:E5312)))))-COUNTBLANK(OFFSET(A$1,,,SUMPRODUCT(MAX(ROW(E$1:E5311)*(E2=E$1:E5311))))))</f>
        <v> </v>
      </c>
      <c r="K5312" s="26" t="str">
        <f>IF(OR(E5312="",E5312="!!!",F5312="NEW"),"",INDEX(J$1:J5311,SUMPRODUCT(MAX(ROW(E$1:E5311)*(E5312=E$1:E5311)))))</f>
        <v> </v>
      </c>
      <c r="L5312" s="27"/>
    </row>
    <row r="5313" spans="1:12">
      <c r="A5313" s="20" t="s">
        <v>1133</v>
      </c>
      <c r="E5313" s="22">
        <f>IF(D5313="?OLD","!!!","")</f>
        <v/>
      </c>
      <c r="F5313" s="23" t="str">
        <f>IF(OR(E5313="",E5313="!!!"),"",IF(NOT(ISNA(VLOOKUP(E5313,E$1:E5312,1,FALSE()))),"OLD",IF(AND(E5313&lt;&gt;"",E5313&lt;&gt;"!!!"),"NEW","")))</f>
        <v> </v>
      </c>
      <c r="G5313" s="24" t="str">
        <f>IF(OR(E5313="",E5313="!!!"),"",IF(OR(J5313=0,AND(J5313=1,K5313=1),AND(J5313=1,I5313="SBJ"),AND(J5313=1,I5313=0)),"?IN_FOCUS",IF(J5313&lt;=2,"?ACTIVATED",IF(J5313&lt;&gt;"","?FAMILIAR",IF(F5313="NEW",IF(ISNA(VLOOKUP(E5313,#REF!,1,FALSE())),"?TYPE_IDENTIFIABLE","?REFERENTIAL"),"_")))))</f>
        <v> </v>
      </c>
      <c r="H5313" s="25" t="str">
        <f>IF(J5313&lt;&gt;1,"",IF(I5313="SBJ","CB","?"))</f>
        <v> </v>
      </c>
      <c r="I5313" s="26" t="str">
        <f>IF(OR(E5313="",E5313="!!!",F5313="NEW"),"",INDEX(B5312:B$2,-1+SUMPRODUCT(MAX(ROW(E5312:E$2)*(E5313=E5312:E$2)))))</f>
        <v> </v>
      </c>
      <c r="J5313" s="26" t="str">
        <f>IF(OR(E5313="",E5313="!!!",F5313="NEW"),"",COUNTBLANK(OFFSET(A$1,,,SUMPRODUCT(MAX(ROW(E$2:E5313)*(E5313=E$2:E5313)))))-COUNTBLANK(OFFSET(A$1,,,SUMPRODUCT(MAX(ROW(E$1:E5312)*(E2=E$1:E5312))))))</f>
        <v> </v>
      </c>
      <c r="K5313" s="26" t="str">
        <f>IF(OR(E5313="",E5313="!!!",F5313="NEW"),"",INDEX(J$1:J5312,SUMPRODUCT(MAX(ROW(E$1:E5312)*(E5313=E$1:E5312)))))</f>
        <v> </v>
      </c>
      <c r="L5313" s="27"/>
    </row>
    <row r="5314" spans="1:12">
      <c r="A5314" s="20" t="s">
        <v>2200</v>
      </c>
      <c r="E5314" s="22">
        <f>IF(D5314="?OLD","!!!","")</f>
        <v/>
      </c>
      <c r="F5314" s="23" t="str">
        <f>IF(OR(E5314="",E5314="!!!"),"",IF(NOT(ISNA(VLOOKUP(E5314,E$1:E5313,1,FALSE()))),"OLD",IF(AND(E5314&lt;&gt;"",E5314&lt;&gt;"!!!"),"NEW","")))</f>
        <v> </v>
      </c>
      <c r="G5314" s="24" t="str">
        <f>IF(OR(E5314="",E5314="!!!"),"",IF(OR(J5314=0,AND(J5314=1,K5314=1),AND(J5314=1,I5314="SBJ"),AND(J5314=1,I5314=0)),"?IN_FOCUS",IF(J5314&lt;=2,"?ACTIVATED",IF(J5314&lt;&gt;"","?FAMILIAR",IF(F5314="NEW",IF(ISNA(VLOOKUP(E5314,#REF!,1,FALSE())),"?TYPE_IDENTIFIABLE","?REFERENTIAL"),"_")))))</f>
        <v> </v>
      </c>
      <c r="H5314" s="25" t="str">
        <f>IF(J5314&lt;&gt;1,"",IF(I5314="SBJ","CB","?"))</f>
        <v> </v>
      </c>
      <c r="I5314" s="26" t="str">
        <f>IF(OR(E5314="",E5314="!!!",F5314="NEW"),"",INDEX(B5313:B$2,-1+SUMPRODUCT(MAX(ROW(E5313:E$2)*(E5314=E5313:E$2)))))</f>
        <v> </v>
      </c>
      <c r="J5314" s="26" t="str">
        <f>IF(OR(E5314="",E5314="!!!",F5314="NEW"),"",COUNTBLANK(OFFSET(A$1,,,SUMPRODUCT(MAX(ROW(E$2:E5314)*(E5314=E$2:E5314)))))-COUNTBLANK(OFFSET(A$1,,,SUMPRODUCT(MAX(ROW(E$1:E5313)*(E2=E$1:E5313))))))</f>
        <v> </v>
      </c>
      <c r="K5314" s="26" t="str">
        <f>IF(OR(E5314="",E5314="!!!",F5314="NEW"),"",INDEX(J$1:J5313,SUMPRODUCT(MAX(ROW(E$1:E5313)*(E5314=E$1:E5313)))))</f>
        <v> </v>
      </c>
      <c r="L5314" s="27"/>
    </row>
    <row r="5315" spans="1:12">
      <c r="A5315" s="20" t="s">
        <v>1050</v>
      </c>
      <c r="B5315" s="21" t="s">
        <v>1009</v>
      </c>
      <c r="C5315" s="21" t="s">
        <v>1092</v>
      </c>
      <c r="E5315" s="22">
        <f>IF(D5315="?OLD","!!!","")</f>
        <v/>
      </c>
      <c r="F5315" s="23" t="str">
        <f>IF(OR(E5315="",E5315="!!!"),"",IF(NOT(ISNA(VLOOKUP(E5315,E$1:E5314,1,FALSE()))),"OLD",IF(AND(E5315&lt;&gt;"",E5315&lt;&gt;"!!!"),"NEW","")))</f>
        <v> </v>
      </c>
      <c r="G5315" s="24" t="str">
        <f>IF(OR(E5315="",E5315="!!!"),"",IF(OR(J5315=0,AND(J5315=1,K5315=1),AND(J5315=1,I5315="SBJ"),AND(J5315=1,I5315=0)),"?IN_FOCUS",IF(J5315&lt;=2,"?ACTIVATED",IF(J5315&lt;&gt;"","?FAMILIAR",IF(F5315="NEW",IF(ISNA(VLOOKUP(E5315,#REF!,1,FALSE())),"?TYPE_IDENTIFIABLE","?REFERENTIAL"),"_")))))</f>
        <v> </v>
      </c>
      <c r="H5315" s="25" t="str">
        <f>IF(J5315&lt;&gt;1,"",IF(I5315="SBJ","CB","?"))</f>
        <v> </v>
      </c>
      <c r="I5315" s="26" t="str">
        <f>IF(OR(E5315="",E5315="!!!",F5315="NEW"),"",INDEX(B5314:B$2,-1+SUMPRODUCT(MAX(ROW(E5314:E$2)*(E5315=E5314:E$2)))))</f>
        <v> </v>
      </c>
      <c r="J5315" s="26" t="str">
        <f>IF(OR(E5315="",E5315="!!!",F5315="NEW"),"",COUNTBLANK(OFFSET(A$1,,,SUMPRODUCT(MAX(ROW(E$2:E5315)*(E5315=E$2:E5315)))))-COUNTBLANK(OFFSET(A$1,,,SUMPRODUCT(MAX(ROW(E$1:E5314)*(E2=E$1:E5314))))))</f>
        <v> </v>
      </c>
      <c r="K5315" s="26" t="str">
        <f>IF(OR(E5315="",E5315="!!!",F5315="NEW"),"",INDEX(J$1:J5314,SUMPRODUCT(MAX(ROW(E$1:E5314)*(E5315=E$1:E5314)))))</f>
        <v> </v>
      </c>
      <c r="L5315" s="27"/>
    </row>
    <row r="5316" spans="1:12">
      <c r="A5316" s="20" t="s">
        <v>1025</v>
      </c>
      <c r="E5316" s="22">
        <f>IF(D5316="?OLD","!!!","")</f>
        <v/>
      </c>
      <c r="F5316" s="23" t="str">
        <f>IF(OR(E5316="",E5316="!!!"),"",IF(NOT(ISNA(VLOOKUP(E5316,E$1:E5315,1,FALSE()))),"OLD",IF(AND(E5316&lt;&gt;"",E5316&lt;&gt;"!!!"),"NEW","")))</f>
        <v> </v>
      </c>
      <c r="G5316" s="24" t="str">
        <f>IF(OR(E5316="",E5316="!!!"),"",IF(OR(J5316=0,AND(J5316=1,K5316=1),AND(J5316=1,I5316="SBJ"),AND(J5316=1,I5316=0)),"?IN_FOCUS",IF(J5316&lt;=2,"?ACTIVATED",IF(J5316&lt;&gt;"","?FAMILIAR",IF(F5316="NEW",IF(ISNA(VLOOKUP(E5316,#REF!,1,FALSE())),"?TYPE_IDENTIFIABLE","?REFERENTIAL"),"_")))))</f>
        <v> </v>
      </c>
      <c r="H5316" s="25" t="str">
        <f>IF(J5316&lt;&gt;1,"",IF(I5316="SBJ","CB","?"))</f>
        <v> </v>
      </c>
      <c r="I5316" s="26" t="str">
        <f>IF(OR(E5316="",E5316="!!!",F5316="NEW"),"",INDEX(B5315:B$2,-1+SUMPRODUCT(MAX(ROW(E5315:E$2)*(E5316=E5315:E$2)))))</f>
        <v> </v>
      </c>
      <c r="J5316" s="26" t="str">
        <f>IF(OR(E5316="",E5316="!!!",F5316="NEW"),"",COUNTBLANK(OFFSET(A$1,,,SUMPRODUCT(MAX(ROW(E$2:E5316)*(E5316=E$2:E5316)))))-COUNTBLANK(OFFSET(A$1,,,SUMPRODUCT(MAX(ROW(E$1:E5315)*(E2=E$1:E5315))))))</f>
        <v> </v>
      </c>
      <c r="K5316" s="26" t="str">
        <f>IF(OR(E5316="",E5316="!!!",F5316="NEW"),"",INDEX(J$1:J5315,SUMPRODUCT(MAX(ROW(E$1:E5315)*(E5316=E$1:E5315)))))</f>
        <v> </v>
      </c>
      <c r="L5316" s="27"/>
    </row>
    <row r="5317" spans="1:12">
      <c r="A5317" s="20" t="s">
        <v>1239</v>
      </c>
      <c r="B5317" s="21" t="s">
        <v>1175</v>
      </c>
      <c r="C5317" s="21" t="s">
        <v>1010</v>
      </c>
      <c r="D5317" s="21" t="s">
        <v>1011</v>
      </c>
      <c r="E5317" s="22">
        <f>IF(D5317="?OLD","!!!","")</f>
        <v/>
      </c>
      <c r="F5317" s="23" t="str">
        <f>IF(OR(E5317="",E5317="!!!"),"",IF(NOT(ISNA(VLOOKUP(E5317,E$1:E5316,1,FALSE()))),"OLD",IF(AND(E5317&lt;&gt;"",E5317&lt;&gt;"!!!"),"NEW","")))</f>
        <v> </v>
      </c>
      <c r="G5317" s="24" t="str">
        <f>IF(OR(E5317="",E5317="!!!"),"",IF(OR(J5317=0,AND(J5317=1,K5317=1),AND(J5317=1,I5317="SBJ"),AND(J5317=1,I5317=0)),"?IN_FOCUS",IF(J5317&lt;=2,"?ACTIVATED",IF(J5317&lt;&gt;"","?FAMILIAR",IF(F5317="NEW",IF(ISNA(VLOOKUP(E5317,#REF!,1,FALSE())),"?TYPE_IDENTIFIABLE","?REFERENTIAL"),"_")))))</f>
        <v> </v>
      </c>
      <c r="H5317" s="25" t="str">
        <f>IF(J5317&lt;&gt;1,"",IF(I5317="SBJ","CB","?"))</f>
        <v> </v>
      </c>
      <c r="I5317" s="26" t="str">
        <f>IF(OR(E5317="",E5317="!!!",F5317="NEW"),"",INDEX(B5316:B$2,-1+SUMPRODUCT(MAX(ROW(E5316:E$2)*(E5317=E5316:E$2)))))</f>
        <v> </v>
      </c>
      <c r="J5317" s="26" t="str">
        <f>IF(OR(E5317="",E5317="!!!",F5317="NEW"),"",COUNTBLANK(OFFSET(A$1,,,SUMPRODUCT(MAX(ROW(E$2:E5317)*(E5317=E$2:E5317)))))-COUNTBLANK(OFFSET(A$1,,,SUMPRODUCT(MAX(ROW(E$1:E5316)*(E2=E$1:E5316))))))</f>
        <v> </v>
      </c>
      <c r="K5317" s="26" t="str">
        <f>IF(OR(E5317="",E5317="!!!",F5317="NEW"),"",INDEX(J$1:J5316,SUMPRODUCT(MAX(ROW(E$1:E5316)*(E5317=E$1:E5316)))))</f>
        <v> </v>
      </c>
      <c r="L5317" s="27"/>
    </row>
    <row r="5318" spans="1:12">
      <c r="A5318" s="20" t="s">
        <v>1179</v>
      </c>
      <c r="E5318" s="22">
        <f>IF(D5318="?OLD","!!!","")</f>
        <v/>
      </c>
      <c r="F5318" s="23" t="str">
        <f>IF(OR(E5318="",E5318="!!!"),"",IF(NOT(ISNA(VLOOKUP(E5318,E$1:E5317,1,FALSE()))),"OLD",IF(AND(E5318&lt;&gt;"",E5318&lt;&gt;"!!!"),"NEW","")))</f>
        <v> </v>
      </c>
      <c r="G5318" s="24" t="str">
        <f>IF(OR(E5318="",E5318="!!!"),"",IF(OR(J5318=0,AND(J5318=1,K5318=1),AND(J5318=1,I5318="SBJ"),AND(J5318=1,I5318=0)),"?IN_FOCUS",IF(J5318&lt;=2,"?ACTIVATED",IF(J5318&lt;&gt;"","?FAMILIAR",IF(F5318="NEW",IF(ISNA(VLOOKUP(E5318,#REF!,1,FALSE())),"?TYPE_IDENTIFIABLE","?REFERENTIAL"),"_")))))</f>
        <v> </v>
      </c>
      <c r="H5318" s="25" t="str">
        <f>IF(J5318&lt;&gt;1,"",IF(I5318="SBJ","CB","?"))</f>
        <v> </v>
      </c>
      <c r="I5318" s="26" t="str">
        <f>IF(OR(E5318="",E5318="!!!",F5318="NEW"),"",INDEX(B5317:B$2,-1+SUMPRODUCT(MAX(ROW(E5317:E$2)*(E5318=E5317:E$2)))))</f>
        <v> </v>
      </c>
      <c r="J5318" s="26" t="str">
        <f>IF(OR(E5318="",E5318="!!!",F5318="NEW"),"",COUNTBLANK(OFFSET(A$1,,,SUMPRODUCT(MAX(ROW(E$2:E5318)*(E5318=E$2:E5318)))))-COUNTBLANK(OFFSET(A$1,,,SUMPRODUCT(MAX(ROW(E$1:E5317)*(E2=E$1:E5317))))))</f>
        <v> </v>
      </c>
      <c r="K5318" s="26" t="str">
        <f>IF(OR(E5318="",E5318="!!!",F5318="NEW"),"",INDEX(J$1:J5317,SUMPRODUCT(MAX(ROW(E$1:E5317)*(E5318=E$1:E5317)))))</f>
        <v> </v>
      </c>
      <c r="L5318" s="27"/>
    </row>
    <row r="5319" spans="1:12">
      <c r="A5319" s="20" t="s">
        <v>1166</v>
      </c>
      <c r="E5319" s="22">
        <f>IF(D5319="?OLD","!!!","")</f>
        <v/>
      </c>
      <c r="F5319" s="23" t="str">
        <f>IF(OR(E5319="",E5319="!!!"),"",IF(NOT(ISNA(VLOOKUP(E5319,E$1:E5318,1,FALSE()))),"OLD",IF(AND(E5319&lt;&gt;"",E5319&lt;&gt;"!!!"),"NEW","")))</f>
        <v> </v>
      </c>
      <c r="G5319" s="24" t="str">
        <f>IF(OR(E5319="",E5319="!!!"),"",IF(OR(J5319=0,AND(J5319=1,K5319=1),AND(J5319=1,I5319="SBJ"),AND(J5319=1,I5319=0)),"?IN_FOCUS",IF(J5319&lt;=2,"?ACTIVATED",IF(J5319&lt;&gt;"","?FAMILIAR",IF(F5319="NEW",IF(ISNA(VLOOKUP(E5319,#REF!,1,FALSE())),"?TYPE_IDENTIFIABLE","?REFERENTIAL"),"_")))))</f>
        <v> </v>
      </c>
      <c r="H5319" s="25" t="str">
        <f>IF(J5319&lt;&gt;1,"",IF(I5319="SBJ","CB","?"))</f>
        <v> </v>
      </c>
      <c r="I5319" s="26" t="str">
        <f>IF(OR(E5319="",E5319="!!!",F5319="NEW"),"",INDEX(B5318:B$2,-1+SUMPRODUCT(MAX(ROW(E5318:E$2)*(E5319=E5318:E$2)))))</f>
        <v> </v>
      </c>
      <c r="J5319" s="26" t="str">
        <f>IF(OR(E5319="",E5319="!!!",F5319="NEW"),"",COUNTBLANK(OFFSET(A$1,,,SUMPRODUCT(MAX(ROW(E$2:E5319)*(E5319=E$2:E5319)))))-COUNTBLANK(OFFSET(A$1,,,SUMPRODUCT(MAX(ROW(E$1:E5318)*(E2=E$1:E5318))))))</f>
        <v> </v>
      </c>
      <c r="K5319" s="26" t="str">
        <f>IF(OR(E5319="",E5319="!!!",F5319="NEW"),"",INDEX(J$1:J5318,SUMPRODUCT(MAX(ROW(E$1:E5318)*(E5319=E$1:E5318)))))</f>
        <v> </v>
      </c>
      <c r="L5319" s="27"/>
    </row>
    <row r="5320" spans="1:12">
      <c r="A5320" s="20" t="s">
        <v>883</v>
      </c>
      <c r="E5320" s="22">
        <f>IF(D5320="?OLD","!!!","")</f>
        <v/>
      </c>
      <c r="F5320" s="23" t="str">
        <f>IF(OR(E5320="",E5320="!!!"),"",IF(NOT(ISNA(VLOOKUP(E5320,E$1:E5319,1,FALSE()))),"OLD",IF(AND(E5320&lt;&gt;"",E5320&lt;&gt;"!!!"),"NEW","")))</f>
        <v> </v>
      </c>
      <c r="G5320" s="24" t="str">
        <f>IF(OR(E5320="",E5320="!!!"),"",IF(OR(J5320=0,AND(J5320=1,K5320=1),AND(J5320=1,I5320="SBJ"),AND(J5320=1,I5320=0)),"?IN_FOCUS",IF(J5320&lt;=2,"?ACTIVATED",IF(J5320&lt;&gt;"","?FAMILIAR",IF(F5320="NEW",IF(ISNA(VLOOKUP(E5320,#REF!,1,FALSE())),"?TYPE_IDENTIFIABLE","?REFERENTIAL"),"_")))))</f>
        <v> </v>
      </c>
      <c r="H5320" s="25" t="str">
        <f>IF(J5320&lt;&gt;1,"",IF(I5320="SBJ","CB","?"))</f>
        <v> </v>
      </c>
      <c r="I5320" s="26" t="str">
        <f>IF(OR(E5320="",E5320="!!!",F5320="NEW"),"",INDEX(B5319:B$2,-1+SUMPRODUCT(MAX(ROW(E5319:E$2)*(E5320=E5319:E$2)))))</f>
        <v> </v>
      </c>
      <c r="J5320" s="26" t="str">
        <f>IF(OR(E5320="",E5320="!!!",F5320="NEW"),"",COUNTBLANK(OFFSET(A$1,,,SUMPRODUCT(MAX(ROW(E$2:E5320)*(E5320=E$2:E5320)))))-COUNTBLANK(OFFSET(A$1,,,SUMPRODUCT(MAX(ROW(E$1:E5319)*(E2=E$1:E5319))))))</f>
        <v> </v>
      </c>
      <c r="K5320" s="26" t="str">
        <f>IF(OR(E5320="",E5320="!!!",F5320="NEW"),"",INDEX(J$1:J5319,SUMPRODUCT(MAX(ROW(E$1:E5319)*(E5320=E$1:E5319)))))</f>
        <v> </v>
      </c>
      <c r="L5320" s="27"/>
    </row>
    <row r="5321" spans="1:12">
      <c r="A5321" s="20" t="s">
        <v>1100</v>
      </c>
      <c r="E5321" s="22">
        <f>IF(D5321="?OLD","!!!","")</f>
        <v/>
      </c>
      <c r="F5321" s="23" t="str">
        <f>IF(OR(E5321="",E5321="!!!"),"",IF(NOT(ISNA(VLOOKUP(E5321,E$1:E5320,1,FALSE()))),"OLD",IF(AND(E5321&lt;&gt;"",E5321&lt;&gt;"!!!"),"NEW","")))</f>
        <v> </v>
      </c>
      <c r="G5321" s="24" t="str">
        <f>IF(OR(E5321="",E5321="!!!"),"",IF(OR(J5321=0,AND(J5321=1,K5321=1),AND(J5321=1,I5321="SBJ"),AND(J5321=1,I5321=0)),"?IN_FOCUS",IF(J5321&lt;=2,"?ACTIVATED",IF(J5321&lt;&gt;"","?FAMILIAR",IF(F5321="NEW",IF(ISNA(VLOOKUP(E5321,#REF!,1,FALSE())),"?TYPE_IDENTIFIABLE","?REFERENTIAL"),"_")))))</f>
        <v> </v>
      </c>
      <c r="H5321" s="25" t="str">
        <f>IF(J5321&lt;&gt;1,"",IF(I5321="SBJ","CB","?"))</f>
        <v> </v>
      </c>
      <c r="I5321" s="26" t="str">
        <f>IF(OR(E5321="",E5321="!!!",F5321="NEW"),"",INDEX(B5320:B$2,-1+SUMPRODUCT(MAX(ROW(E5320:E$2)*(E5321=E5320:E$2)))))</f>
        <v> </v>
      </c>
      <c r="J5321" s="26" t="str">
        <f>IF(OR(E5321="",E5321="!!!",F5321="NEW"),"",COUNTBLANK(OFFSET(A$1,,,SUMPRODUCT(MAX(ROW(E$2:E5321)*(E5321=E$2:E5321)))))-COUNTBLANK(OFFSET(A$1,,,SUMPRODUCT(MAX(ROW(E$1:E5320)*(E2=E$1:E5320))))))</f>
        <v> </v>
      </c>
      <c r="K5321" s="26" t="str">
        <f>IF(OR(E5321="",E5321="!!!",F5321="NEW"),"",INDEX(J$1:J5320,SUMPRODUCT(MAX(ROW(E$1:E5320)*(E5321=E$1:E5320)))))</f>
        <v> </v>
      </c>
      <c r="L5321" s="27"/>
    </row>
    <row r="5322" spans="1:12">
      <c r="A5322" s="20" t="s">
        <v>1173</v>
      </c>
      <c r="E5322" s="22">
        <f>IF(D5322="?OLD","!!!","")</f>
        <v/>
      </c>
      <c r="F5322" s="23" t="str">
        <f>IF(OR(E5322="",E5322="!!!"),"",IF(NOT(ISNA(VLOOKUP(E5322,E$1:E5321,1,FALSE()))),"OLD",IF(AND(E5322&lt;&gt;"",E5322&lt;&gt;"!!!"),"NEW","")))</f>
        <v> </v>
      </c>
      <c r="G5322" s="24" t="str">
        <f>IF(OR(E5322="",E5322="!!!"),"",IF(OR(J5322=0,AND(J5322=1,K5322=1),AND(J5322=1,I5322="SBJ"),AND(J5322=1,I5322=0)),"?IN_FOCUS",IF(J5322&lt;=2,"?ACTIVATED",IF(J5322&lt;&gt;"","?FAMILIAR",IF(F5322="NEW",IF(ISNA(VLOOKUP(E5322,#REF!,1,FALSE())),"?TYPE_IDENTIFIABLE","?REFERENTIAL"),"_")))))</f>
        <v> </v>
      </c>
      <c r="H5322" s="25" t="str">
        <f>IF(J5322&lt;&gt;1,"",IF(I5322="SBJ","CB","?"))</f>
        <v> </v>
      </c>
      <c r="I5322" s="26" t="str">
        <f>IF(OR(E5322="",E5322="!!!",F5322="NEW"),"",INDEX(B5321:B$2,-1+SUMPRODUCT(MAX(ROW(E5321:E$2)*(E5322=E5321:E$2)))))</f>
        <v> </v>
      </c>
      <c r="J5322" s="26" t="str">
        <f>IF(OR(E5322="",E5322="!!!",F5322="NEW"),"",COUNTBLANK(OFFSET(A$1,,,SUMPRODUCT(MAX(ROW(E$2:E5322)*(E5322=E$2:E5322)))))-COUNTBLANK(OFFSET(A$1,,,SUMPRODUCT(MAX(ROW(E$1:E5321)*(E2=E$1:E5321))))))</f>
        <v> </v>
      </c>
      <c r="K5322" s="26" t="str">
        <f>IF(OR(E5322="",E5322="!!!",F5322="NEW"),"",INDEX(J$1:J5321,SUMPRODUCT(MAX(ROW(E$1:E5321)*(E5322=E$1:E5321)))))</f>
        <v> </v>
      </c>
      <c r="L5322" s="27"/>
    </row>
    <row r="5323" spans="1:12">
      <c r="A5323" s="20" t="s">
        <v>1028</v>
      </c>
      <c r="E5323" s="22">
        <f>IF(D5323="?OLD","!!!","")</f>
        <v/>
      </c>
      <c r="F5323" s="23" t="str">
        <f>IF(OR(E5323="",E5323="!!!"),"",IF(NOT(ISNA(VLOOKUP(E5323,E$1:E5322,1,FALSE()))),"OLD",IF(AND(E5323&lt;&gt;"",E5323&lt;&gt;"!!!"),"NEW","")))</f>
        <v> </v>
      </c>
      <c r="G5323" s="24" t="str">
        <f>IF(OR(E5323="",E5323="!!!"),"",IF(OR(J5323=0,AND(J5323=1,K5323=1),AND(J5323=1,I5323="SBJ"),AND(J5323=1,I5323=0)),"?IN_FOCUS",IF(J5323&lt;=2,"?ACTIVATED",IF(J5323&lt;&gt;"","?FAMILIAR",IF(F5323="NEW",IF(ISNA(VLOOKUP(E5323,#REF!,1,FALSE())),"?TYPE_IDENTIFIABLE","?REFERENTIAL"),"_")))))</f>
        <v> </v>
      </c>
      <c r="H5323" s="25" t="str">
        <f>IF(J5323&lt;&gt;1,"",IF(I5323="SBJ","CB","?"))</f>
        <v> </v>
      </c>
      <c r="I5323" s="26" t="str">
        <f>IF(OR(E5323="",E5323="!!!",F5323="NEW"),"",INDEX(B5322:B$2,-1+SUMPRODUCT(MAX(ROW(E5322:E$2)*(E5323=E5322:E$2)))))</f>
        <v> </v>
      </c>
      <c r="J5323" s="26" t="str">
        <f>IF(OR(E5323="",E5323="!!!",F5323="NEW"),"",COUNTBLANK(OFFSET(A$1,,,SUMPRODUCT(MAX(ROW(E$2:E5323)*(E5323=E$2:E5323)))))-COUNTBLANK(OFFSET(A$1,,,SUMPRODUCT(MAX(ROW(E$1:E5322)*(E2=E$1:E5322))))))</f>
        <v> </v>
      </c>
      <c r="K5323" s="26" t="str">
        <f>IF(OR(E5323="",E5323="!!!",F5323="NEW"),"",INDEX(J$1:J5322,SUMPRODUCT(MAX(ROW(E$1:E5322)*(E5323=E$1:E5322)))))</f>
        <v> </v>
      </c>
      <c r="L5323" s="27"/>
    </row>
    <row r="5324" spans="1:12">
      <c r="A5324" s="20" t="s">
        <v>2206</v>
      </c>
      <c r="B5324" s="21" t="s">
        <v>1053</v>
      </c>
      <c r="C5324" s="21" t="s">
        <v>1030</v>
      </c>
      <c r="E5324" s="22">
        <f>IF(D5324="?OLD","!!!","")</f>
        <v/>
      </c>
      <c r="F5324" s="23" t="str">
        <f>IF(OR(E5324="",E5324="!!!"),"",IF(NOT(ISNA(VLOOKUP(E5324,E$1:E5323,1,FALSE()))),"OLD",IF(AND(E5324&lt;&gt;"",E5324&lt;&gt;"!!!"),"NEW","")))</f>
        <v> </v>
      </c>
      <c r="G5324" s="24" t="str">
        <f>IF(OR(E5324="",E5324="!!!"),"",IF(OR(J5324=0,AND(J5324=1,K5324=1),AND(J5324=1,I5324="SBJ"),AND(J5324=1,I5324=0)),"?IN_FOCUS",IF(J5324&lt;=2,"?ACTIVATED",IF(J5324&lt;&gt;"","?FAMILIAR",IF(F5324="NEW",IF(ISNA(VLOOKUP(E5324,#REF!,1,FALSE())),"?TYPE_IDENTIFIABLE","?REFERENTIAL"),"_")))))</f>
        <v> </v>
      </c>
      <c r="H5324" s="25" t="str">
        <f>IF(J5324&lt;&gt;1,"",IF(I5324="SBJ","CB","?"))</f>
        <v> </v>
      </c>
      <c r="I5324" s="26" t="str">
        <f>IF(OR(E5324="",E5324="!!!",F5324="NEW"),"",INDEX(B5323:B$2,-1+SUMPRODUCT(MAX(ROW(E5323:E$2)*(E5324=E5323:E$2)))))</f>
        <v> </v>
      </c>
      <c r="J5324" s="26" t="str">
        <f>IF(OR(E5324="",E5324="!!!",F5324="NEW"),"",COUNTBLANK(OFFSET(A$1,,,SUMPRODUCT(MAX(ROW(E$2:E5324)*(E5324=E$2:E5324)))))-COUNTBLANK(OFFSET(A$1,,,SUMPRODUCT(MAX(ROW(E$1:E5323)*(E2=E$1:E5323))))))</f>
        <v> </v>
      </c>
      <c r="K5324" s="26" t="str">
        <f>IF(OR(E5324="",E5324="!!!",F5324="NEW"),"",INDEX(J$1:J5323,SUMPRODUCT(MAX(ROW(E$1:E5323)*(E5324=E$1:E5323)))))</f>
        <v> </v>
      </c>
      <c r="L5324" s="27"/>
    </row>
    <row r="5325" spans="1:12">
      <c r="A5325" s="20" t="s">
        <v>1074</v>
      </c>
      <c r="E5325" s="22">
        <f>IF(D5325="?OLD","!!!","")</f>
        <v/>
      </c>
      <c r="F5325" s="23" t="str">
        <f>IF(OR(E5325="",E5325="!!!"),"",IF(NOT(ISNA(VLOOKUP(E5325,E$1:E5324,1,FALSE()))),"OLD",IF(AND(E5325&lt;&gt;"",E5325&lt;&gt;"!!!"),"NEW","")))</f>
        <v> </v>
      </c>
      <c r="G5325" s="24" t="str">
        <f>IF(OR(E5325="",E5325="!!!"),"",IF(OR(J5325=0,AND(J5325=1,K5325=1),AND(J5325=1,I5325="SBJ"),AND(J5325=1,I5325=0)),"?IN_FOCUS",IF(J5325&lt;=2,"?ACTIVATED",IF(J5325&lt;&gt;"","?FAMILIAR",IF(F5325="NEW",IF(ISNA(VLOOKUP(E5325,#REF!,1,FALSE())),"?TYPE_IDENTIFIABLE","?REFERENTIAL"),"_")))))</f>
        <v> </v>
      </c>
      <c r="H5325" s="25" t="str">
        <f>IF(J5325&lt;&gt;1,"",IF(I5325="SBJ","CB","?"))</f>
        <v> </v>
      </c>
      <c r="I5325" s="26" t="str">
        <f>IF(OR(E5325="",E5325="!!!",F5325="NEW"),"",INDEX(B5324:B$2,-1+SUMPRODUCT(MAX(ROW(E5324:E$2)*(E5325=E5324:E$2)))))</f>
        <v> </v>
      </c>
      <c r="J5325" s="26" t="str">
        <f>IF(OR(E5325="",E5325="!!!",F5325="NEW"),"",COUNTBLANK(OFFSET(A$1,,,SUMPRODUCT(MAX(ROW(E$2:E5325)*(E5325=E$2:E5325)))))-COUNTBLANK(OFFSET(A$1,,,SUMPRODUCT(MAX(ROW(E$1:E5324)*(E2=E$1:E5324))))))</f>
        <v> </v>
      </c>
      <c r="K5325" s="26" t="str">
        <f>IF(OR(E5325="",E5325="!!!",F5325="NEW"),"",INDEX(J$1:J5324,SUMPRODUCT(MAX(ROW(E$1:E5324)*(E5325=E$1:E5324)))))</f>
        <v> </v>
      </c>
      <c r="L5325" s="27"/>
    </row>
    <row r="5326" spans="1:12">
      <c r="A5326" s="20" t="s">
        <v>1028</v>
      </c>
      <c r="E5326" s="22">
        <f>IF(D5326="?OLD","!!!","")</f>
        <v/>
      </c>
      <c r="F5326" s="23" t="str">
        <f>IF(OR(E5326="",E5326="!!!"),"",IF(NOT(ISNA(VLOOKUP(E5326,E$1:E5325,1,FALSE()))),"OLD",IF(AND(E5326&lt;&gt;"",E5326&lt;&gt;"!!!"),"NEW","")))</f>
        <v> </v>
      </c>
      <c r="G5326" s="24" t="str">
        <f>IF(OR(E5326="",E5326="!!!"),"",IF(OR(J5326=0,AND(J5326=1,K5326=1),AND(J5326=1,I5326="SBJ"),AND(J5326=1,I5326=0)),"?IN_FOCUS",IF(J5326&lt;=2,"?ACTIVATED",IF(J5326&lt;&gt;"","?FAMILIAR",IF(F5326="NEW",IF(ISNA(VLOOKUP(E5326,#REF!,1,FALSE())),"?TYPE_IDENTIFIABLE","?REFERENTIAL"),"_")))))</f>
        <v> </v>
      </c>
      <c r="H5326" s="25" t="str">
        <f>IF(J5326&lt;&gt;1,"",IF(I5326="SBJ","CB","?"))</f>
        <v> </v>
      </c>
      <c r="I5326" s="26" t="str">
        <f>IF(OR(E5326="",E5326="!!!",F5326="NEW"),"",INDEX(B5325:B$2,-1+SUMPRODUCT(MAX(ROW(E5325:E$2)*(E5326=E5325:E$2)))))</f>
        <v> </v>
      </c>
      <c r="J5326" s="26" t="str">
        <f>IF(OR(E5326="",E5326="!!!",F5326="NEW"),"",COUNTBLANK(OFFSET(A$1,,,SUMPRODUCT(MAX(ROW(E$2:E5326)*(E5326=E$2:E5326)))))-COUNTBLANK(OFFSET(A$1,,,SUMPRODUCT(MAX(ROW(E$1:E5325)*(E2=E$1:E5325))))))</f>
        <v> </v>
      </c>
      <c r="K5326" s="26" t="str">
        <f>IF(OR(E5326="",E5326="!!!",F5326="NEW"),"",INDEX(J$1:J5325,SUMPRODUCT(MAX(ROW(E$1:E5325)*(E5326=E$1:E5325)))))</f>
        <v> </v>
      </c>
      <c r="L5326" s="27"/>
    </row>
    <row r="5327" spans="1:12">
      <c r="A5327" s="20" t="s">
        <v>2142</v>
      </c>
      <c r="B5327" s="21" t="s">
        <v>1094</v>
      </c>
      <c r="C5327" s="21" t="s">
        <v>1040</v>
      </c>
      <c r="D5327" s="21" t="s">
        <v>1011</v>
      </c>
      <c r="E5327" s="22">
        <f>IF(D5327="?OLD","!!!","")</f>
        <v/>
      </c>
      <c r="F5327" s="23" t="str">
        <f>IF(OR(E5327="",E5327="!!!"),"",IF(NOT(ISNA(VLOOKUP(E5327,E$1:E5326,1,FALSE()))),"OLD",IF(AND(E5327&lt;&gt;"",E5327&lt;&gt;"!!!"),"NEW","")))</f>
        <v> </v>
      </c>
      <c r="G5327" s="24" t="str">
        <f>IF(OR(E5327="",E5327="!!!"),"",IF(OR(J5327=0,AND(J5327=1,K5327=1),AND(J5327=1,I5327="SBJ"),AND(J5327=1,I5327=0)),"?IN_FOCUS",IF(J5327&lt;=2,"?ACTIVATED",IF(J5327&lt;&gt;"","?FAMILIAR",IF(F5327="NEW",IF(ISNA(VLOOKUP(E5327,#REF!,1,FALSE())),"?TYPE_IDENTIFIABLE","?REFERENTIAL"),"_")))))</f>
        <v> </v>
      </c>
      <c r="H5327" s="25" t="str">
        <f>IF(J5327&lt;&gt;1,"",IF(I5327="SBJ","CB","?"))</f>
        <v> </v>
      </c>
      <c r="I5327" s="26" t="str">
        <f>IF(OR(E5327="",E5327="!!!",F5327="NEW"),"",INDEX(B5326:B$2,-1+SUMPRODUCT(MAX(ROW(E5326:E$2)*(E5327=E5326:E$2)))))</f>
        <v> </v>
      </c>
      <c r="J5327" s="26" t="str">
        <f>IF(OR(E5327="",E5327="!!!",F5327="NEW"),"",COUNTBLANK(OFFSET(A$1,,,SUMPRODUCT(MAX(ROW(E$2:E5327)*(E5327=E$2:E5327)))))-COUNTBLANK(OFFSET(A$1,,,SUMPRODUCT(MAX(ROW(E$1:E5326)*(E2=E$1:E5326))))))</f>
        <v> </v>
      </c>
      <c r="K5327" s="26" t="str">
        <f>IF(OR(E5327="",E5327="!!!",F5327="NEW"),"",INDEX(J$1:J5326,SUMPRODUCT(MAX(ROW(E$1:E5326)*(E5327=E$1:E5326)))))</f>
        <v> </v>
      </c>
      <c r="L5327" s="27"/>
    </row>
    <row r="5328" spans="1:12">
      <c r="A5328" s="20" t="s">
        <v>1132</v>
      </c>
      <c r="E5328" s="22">
        <f>IF(D5328="?OLD","!!!","")</f>
        <v/>
      </c>
      <c r="F5328" s="23" t="str">
        <f>IF(OR(E5328="",E5328="!!!"),"",IF(NOT(ISNA(VLOOKUP(E5328,E$1:E5327,1,FALSE()))),"OLD",IF(AND(E5328&lt;&gt;"",E5328&lt;&gt;"!!!"),"NEW","")))</f>
        <v> </v>
      </c>
      <c r="G5328" s="24" t="str">
        <f>IF(OR(E5328="",E5328="!!!"),"",IF(OR(J5328=0,AND(J5328=1,K5328=1),AND(J5328=1,I5328="SBJ"),AND(J5328=1,I5328=0)),"?IN_FOCUS",IF(J5328&lt;=2,"?ACTIVATED",IF(J5328&lt;&gt;"","?FAMILIAR",IF(F5328="NEW",IF(ISNA(VLOOKUP(E5328,#REF!,1,FALSE())),"?TYPE_IDENTIFIABLE","?REFERENTIAL"),"_")))))</f>
        <v> </v>
      </c>
      <c r="H5328" s="25" t="str">
        <f>IF(J5328&lt;&gt;1,"",IF(I5328="SBJ","CB","?"))</f>
        <v> </v>
      </c>
      <c r="I5328" s="26" t="str">
        <f>IF(OR(E5328="",E5328="!!!",F5328="NEW"),"",INDEX(B5327:B$2,-1+SUMPRODUCT(MAX(ROW(E5327:E$2)*(E5328=E5327:E$2)))))</f>
        <v> </v>
      </c>
      <c r="J5328" s="26" t="str">
        <f>IF(OR(E5328="",E5328="!!!",F5328="NEW"),"",COUNTBLANK(OFFSET(A$1,,,SUMPRODUCT(MAX(ROW(E$2:E5328)*(E5328=E$2:E5328)))))-COUNTBLANK(OFFSET(A$1,,,SUMPRODUCT(MAX(ROW(E$1:E5327)*(E2=E$1:E5327))))))</f>
        <v> </v>
      </c>
      <c r="K5328" s="26" t="str">
        <f>IF(OR(E5328="",E5328="!!!",F5328="NEW"),"",INDEX(J$1:J5327,SUMPRODUCT(MAX(ROW(E$1:E5327)*(E5328=E$1:E5327)))))</f>
        <v> </v>
      </c>
      <c r="L5328" s="27"/>
    </row>
    <row r="5329" spans="1:12">
      <c r="A5329" s="20" t="s">
        <v>1238</v>
      </c>
      <c r="E5329" s="22">
        <f>IF(D5329="?OLD","!!!","")</f>
        <v/>
      </c>
      <c r="F5329" s="23" t="str">
        <f>IF(OR(E5329="",E5329="!!!"),"",IF(NOT(ISNA(VLOOKUP(E5329,E$1:E5328,1,FALSE()))),"OLD",IF(AND(E5329&lt;&gt;"",E5329&lt;&gt;"!!!"),"NEW","")))</f>
        <v> </v>
      </c>
      <c r="G5329" s="24" t="str">
        <f>IF(OR(E5329="",E5329="!!!"),"",IF(OR(J5329=0,AND(J5329=1,K5329=1),AND(J5329=1,I5329="SBJ"),AND(J5329=1,I5329=0)),"?IN_FOCUS",IF(J5329&lt;=2,"?ACTIVATED",IF(J5329&lt;&gt;"","?FAMILIAR",IF(F5329="NEW",IF(ISNA(VLOOKUP(E5329,#REF!,1,FALSE())),"?TYPE_IDENTIFIABLE","?REFERENTIAL"),"_")))))</f>
        <v> </v>
      </c>
      <c r="H5329" s="25" t="str">
        <f>IF(J5329&lt;&gt;1,"",IF(I5329="SBJ","CB","?"))</f>
        <v> </v>
      </c>
      <c r="I5329" s="26" t="str">
        <f>IF(OR(E5329="",E5329="!!!",F5329="NEW"),"",INDEX(B5328:B$2,-1+SUMPRODUCT(MAX(ROW(E5328:E$2)*(E5329=E5328:E$2)))))</f>
        <v> </v>
      </c>
      <c r="J5329" s="26" t="str">
        <f>IF(OR(E5329="",E5329="!!!",F5329="NEW"),"",COUNTBLANK(OFFSET(A$1,,,SUMPRODUCT(MAX(ROW(E$2:E5329)*(E5329=E$2:E5329)))))-COUNTBLANK(OFFSET(A$1,,,SUMPRODUCT(MAX(ROW(E$1:E5328)*(E2=E$1:E5328))))))</f>
        <v> </v>
      </c>
      <c r="K5329" s="26" t="str">
        <f>IF(OR(E5329="",E5329="!!!",F5329="NEW"),"",INDEX(J$1:J5328,SUMPRODUCT(MAX(ROW(E$1:E5328)*(E5329=E$1:E5328)))))</f>
        <v> </v>
      </c>
      <c r="L5329" s="27"/>
    </row>
    <row r="5330" spans="1:12">
      <c r="A5330" s="20" t="s">
        <v>1050</v>
      </c>
      <c r="B5330" s="21" t="s">
        <v>1111</v>
      </c>
      <c r="C5330" s="21" t="s">
        <v>1072</v>
      </c>
      <c r="D5330" s="21" t="s">
        <v>1011</v>
      </c>
      <c r="E5330" s="22">
        <f>IF(D5330="?OLD","!!!","")</f>
        <v/>
      </c>
      <c r="F5330" s="23" t="str">
        <f>IF(OR(E5330="",E5330="!!!"),"",IF(NOT(ISNA(VLOOKUP(E5330,E$1:E5329,1,FALSE()))),"OLD",IF(AND(E5330&lt;&gt;"",E5330&lt;&gt;"!!!"),"NEW","")))</f>
        <v> </v>
      </c>
      <c r="G5330" s="24" t="str">
        <f>IF(OR(E5330="",E5330="!!!"),"",IF(OR(J5330=0,AND(J5330=1,K5330=1),AND(J5330=1,I5330="SBJ"),AND(J5330=1,I5330=0)),"?IN_FOCUS",IF(J5330&lt;=2,"?ACTIVATED",IF(J5330&lt;&gt;"","?FAMILIAR",IF(F5330="NEW",IF(ISNA(VLOOKUP(E5330,#REF!,1,FALSE())),"?TYPE_IDENTIFIABLE","?REFERENTIAL"),"_")))))</f>
        <v> </v>
      </c>
      <c r="H5330" s="25" t="str">
        <f>IF(J5330&lt;&gt;1,"",IF(I5330="SBJ","CB","?"))</f>
        <v> </v>
      </c>
      <c r="I5330" s="26" t="str">
        <f>IF(OR(E5330="",E5330="!!!",F5330="NEW"),"",INDEX(B5329:B$2,-1+SUMPRODUCT(MAX(ROW(E5329:E$2)*(E5330=E5329:E$2)))))</f>
        <v> </v>
      </c>
      <c r="J5330" s="26" t="str">
        <f>IF(OR(E5330="",E5330="!!!",F5330="NEW"),"",COUNTBLANK(OFFSET(A$1,,,SUMPRODUCT(MAX(ROW(E$2:E5330)*(E5330=E$2:E5330)))))-COUNTBLANK(OFFSET(A$1,,,SUMPRODUCT(MAX(ROW(E$1:E5329)*(E2=E$1:E5329))))))</f>
        <v> </v>
      </c>
      <c r="K5330" s="26" t="str">
        <f>IF(OR(E5330="",E5330="!!!",F5330="NEW"),"",INDEX(J$1:J5329,SUMPRODUCT(MAX(ROW(E$1:E5329)*(E5330=E$1:E5329)))))</f>
        <v> </v>
      </c>
      <c r="L5330" s="27"/>
    </row>
    <row r="5331" spans="1:12">
      <c r="A5331" s="20" t="s">
        <v>1022</v>
      </c>
      <c r="E5331" s="22">
        <f>IF(D5331="?OLD","!!!","")</f>
        <v/>
      </c>
      <c r="F5331" s="23" t="str">
        <f>IF(OR(E5331="",E5331="!!!"),"",IF(NOT(ISNA(VLOOKUP(E5331,E$1:E5330,1,FALSE()))),"OLD",IF(AND(E5331&lt;&gt;"",E5331&lt;&gt;"!!!"),"NEW","")))</f>
        <v> </v>
      </c>
      <c r="G5331" s="24" t="str">
        <f>IF(OR(E5331="",E5331="!!!"),"",IF(OR(J5331=0,AND(J5331=1,K5331=1),AND(J5331=1,I5331="SBJ"),AND(J5331=1,I5331=0)),"?IN_FOCUS",IF(J5331&lt;=2,"?ACTIVATED",IF(J5331&lt;&gt;"","?FAMILIAR",IF(F5331="NEW",IF(ISNA(VLOOKUP(E5331,#REF!,1,FALSE())),"?TYPE_IDENTIFIABLE","?REFERENTIAL"),"_")))))</f>
        <v> </v>
      </c>
      <c r="H5331" s="25" t="str">
        <f>IF(J5331&lt;&gt;1,"",IF(I5331="SBJ","CB","?"))</f>
        <v> </v>
      </c>
      <c r="I5331" s="26" t="str">
        <f>IF(OR(E5331="",E5331="!!!",F5331="NEW"),"",INDEX(B5330:B$2,-1+SUMPRODUCT(MAX(ROW(E5330:E$2)*(E5331=E5330:E$2)))))</f>
        <v> </v>
      </c>
      <c r="J5331" s="26" t="str">
        <f>IF(OR(E5331="",E5331="!!!",F5331="NEW"),"",COUNTBLANK(OFFSET(A$1,,,SUMPRODUCT(MAX(ROW(E$2:E5331)*(E5331=E$2:E5331)))))-COUNTBLANK(OFFSET(A$1,,,SUMPRODUCT(MAX(ROW(E$1:E5330)*(E2=E$1:E5330))))))</f>
        <v> </v>
      </c>
      <c r="K5331" s="26" t="str">
        <f>IF(OR(E5331="",E5331="!!!",F5331="NEW"),"",INDEX(J$1:J5330,SUMPRODUCT(MAX(ROW(E$1:E5330)*(E5331=E$1:E5330)))))</f>
        <v> </v>
      </c>
      <c r="L5331" s="27"/>
    </row>
    <row r="5332" spans="1:12">
      <c r="A5332" s="20"/>
    </row>
    <row r="5333" spans="1:12">
      <c r="A5333" s="20" t="s">
        <v>2207</v>
      </c>
    </row>
    <row r="5334" spans="1:12">
      <c r="A5334" s="20" t="s">
        <v>1084</v>
      </c>
      <c r="E5334" s="22">
        <f>IF(D5334="?OLD","!!!","")</f>
        <v/>
      </c>
      <c r="F5334" s="23" t="str">
        <f>IF(OR(E5334="",E5334="!!!"),"",IF(NOT(ISNA(VLOOKUP(E5334,E$1:E5333,1,FALSE()))),"OLD",IF(AND(E5334&lt;&gt;"",E5334&lt;&gt;"!!!"),"NEW","")))</f>
        <v> </v>
      </c>
      <c r="G5334" s="24" t="str">
        <f>IF(OR(E5334="",E5334="!!!"),"",IF(OR(J5334=0,AND(J5334=1,K5334=1),AND(J5334=1,I5334="SBJ"),AND(J5334=1,I5334=0)),"?IN_FOCUS",IF(J5334&lt;=2,"?ACTIVATED",IF(J5334&lt;&gt;"","?FAMILIAR",IF(F5334="NEW",IF(ISNA(VLOOKUP(E5334,#REF!,1,FALSE())),"?TYPE_IDENTIFIABLE","?REFERENTIAL"),"_")))))</f>
        <v> </v>
      </c>
      <c r="H5334" s="25" t="str">
        <f>IF(J5334&lt;&gt;1,"",IF(I5334="SBJ","CB","?"))</f>
        <v> </v>
      </c>
      <c r="I5334" s="26" t="str">
        <f>IF(OR(E5334="",E5334="!!!",F5334="NEW"),"",INDEX(B5333:B$2,-1+SUMPRODUCT(MAX(ROW(E5333:E$2)*(E5334=E5333:E$2)))))</f>
        <v> </v>
      </c>
      <c r="J5334" s="26" t="str">
        <f>IF(OR(E5334="",E5334="!!!",F5334="NEW"),"",COUNTBLANK(OFFSET(A$1,,,SUMPRODUCT(MAX(ROW(E$2:E5334)*(E5334=E$2:E5334)))))-COUNTBLANK(OFFSET(A$1,,,SUMPRODUCT(MAX(ROW(E$1:E5333)*(E2=E$1:E5333))))))</f>
        <v> </v>
      </c>
      <c r="K5334" s="26" t="str">
        <f>IF(OR(E5334="",E5334="!!!",F5334="NEW"),"",INDEX(J$1:J5333,SUMPRODUCT(MAX(ROW(E$1:E5333)*(E5334=E$1:E5333)))))</f>
        <v> </v>
      </c>
      <c r="L5334" s="27"/>
    </row>
    <row r="5335" spans="1:12">
      <c r="A5335" s="20" t="s">
        <v>2208</v>
      </c>
      <c r="E5335" s="22">
        <f>IF(D5335="?OLD","!!!","")</f>
        <v/>
      </c>
      <c r="F5335" s="23" t="str">
        <f>IF(OR(E5335="",E5335="!!!"),"",IF(NOT(ISNA(VLOOKUP(E5335,E$1:E5334,1,FALSE()))),"OLD",IF(AND(E5335&lt;&gt;"",E5335&lt;&gt;"!!!"),"NEW","")))</f>
        <v> </v>
      </c>
      <c r="G5335" s="24" t="str">
        <f>IF(OR(E5335="",E5335="!!!"),"",IF(OR(J5335=0,AND(J5335=1,K5335=1),AND(J5335=1,I5335="SBJ"),AND(J5335=1,I5335=0)),"?IN_FOCUS",IF(J5335&lt;=2,"?ACTIVATED",IF(J5335&lt;&gt;"","?FAMILIAR",IF(F5335="NEW",IF(ISNA(VLOOKUP(E5335,#REF!,1,FALSE())),"?TYPE_IDENTIFIABLE","?REFERENTIAL"),"_")))))</f>
        <v> </v>
      </c>
      <c r="H5335" s="25" t="str">
        <f>IF(J5335&lt;&gt;1,"",IF(I5335="SBJ","CB","?"))</f>
        <v> </v>
      </c>
      <c r="I5335" s="26" t="str">
        <f>IF(OR(E5335="",E5335="!!!",F5335="NEW"),"",INDEX(B5334:B$2,-1+SUMPRODUCT(MAX(ROW(E5334:E$2)*(E5335=E5334:E$2)))))</f>
        <v> </v>
      </c>
      <c r="J5335" s="26" t="str">
        <f>IF(OR(E5335="",E5335="!!!",F5335="NEW"),"",COUNTBLANK(OFFSET(A$1,,,SUMPRODUCT(MAX(ROW(E$2:E5335)*(E5335=E$2:E5335)))))-COUNTBLANK(OFFSET(A$1,,,SUMPRODUCT(MAX(ROW(E$1:E5334)*(E2=E$1:E5334))))))</f>
        <v> </v>
      </c>
      <c r="K5335" s="26" t="str">
        <f>IF(OR(E5335="",E5335="!!!",F5335="NEW"),"",INDEX(J$1:J5334,SUMPRODUCT(MAX(ROW(E$1:E5334)*(E5335=E$1:E5334)))))</f>
        <v> </v>
      </c>
      <c r="L5335" s="27"/>
    </row>
    <row r="5336" spans="1:12">
      <c r="A5336" s="20" t="s">
        <v>398</v>
      </c>
      <c r="B5336" s="21" t="s">
        <v>1071</v>
      </c>
      <c r="C5336" s="21" t="s">
        <v>1044</v>
      </c>
      <c r="D5336" s="21" t="s">
        <v>1011</v>
      </c>
      <c r="E5336" s="22">
        <f>IF(D5336="?OLD","!!!","")</f>
        <v/>
      </c>
      <c r="F5336" s="23" t="str">
        <f>IF(OR(E5336="",E5336="!!!"),"",IF(NOT(ISNA(VLOOKUP(E5336,E$1:E5335,1,FALSE()))),"OLD",IF(AND(E5336&lt;&gt;"",E5336&lt;&gt;"!!!"),"NEW","")))</f>
        <v> </v>
      </c>
      <c r="G5336" s="24" t="str">
        <f>IF(OR(E5336="",E5336="!!!"),"",IF(OR(J5336=0,AND(J5336=1,K5336=1),AND(J5336=1,I5336="SBJ"),AND(J5336=1,I5336=0)),"?IN_FOCUS",IF(J5336&lt;=2,"?ACTIVATED",IF(J5336&lt;&gt;"","?FAMILIAR",IF(F5336="NEW",IF(ISNA(VLOOKUP(E5336,#REF!,1,FALSE())),"?TYPE_IDENTIFIABLE","?REFERENTIAL"),"_")))))</f>
        <v> </v>
      </c>
      <c r="H5336" s="25" t="str">
        <f>IF(J5336&lt;&gt;1,"",IF(I5336="SBJ","CB","?"))</f>
        <v> </v>
      </c>
      <c r="I5336" s="26" t="str">
        <f>IF(OR(E5336="",E5336="!!!",F5336="NEW"),"",INDEX(B5335:B$2,-1+SUMPRODUCT(MAX(ROW(E5335:E$2)*(E5336=E5335:E$2)))))</f>
        <v> </v>
      </c>
      <c r="J5336" s="26" t="str">
        <f>IF(OR(E5336="",E5336="!!!",F5336="NEW"),"",COUNTBLANK(OFFSET(A$1,,,SUMPRODUCT(MAX(ROW(E$2:E5336)*(E5336=E$2:E5336)))))-COUNTBLANK(OFFSET(A$1,,,SUMPRODUCT(MAX(ROW(E$1:E5335)*(E2=E$1:E5335))))))</f>
        <v> </v>
      </c>
      <c r="K5336" s="26" t="str">
        <f>IF(OR(E5336="",E5336="!!!",F5336="NEW"),"",INDEX(J$1:J5335,SUMPRODUCT(MAX(ROW(E$1:E5335)*(E5336=E$1:E5335)))))</f>
        <v> </v>
      </c>
      <c r="L5336" s="27"/>
    </row>
    <row r="5337" spans="1:12">
      <c r="A5337" s="20" t="s">
        <v>1052</v>
      </c>
      <c r="B5337" s="21" t="s">
        <v>1039</v>
      </c>
      <c r="C5337" s="21" t="s">
        <v>1010</v>
      </c>
      <c r="D5337" s="21" t="s">
        <v>1011</v>
      </c>
      <c r="E5337" s="22">
        <f>IF(D5337="?OLD","!!!","")</f>
        <v/>
      </c>
      <c r="F5337" s="23" t="str">
        <f>IF(OR(E5337="",E5337="!!!"),"",IF(NOT(ISNA(VLOOKUP(E5337,E$1:E5336,1,FALSE()))),"OLD",IF(AND(E5337&lt;&gt;"",E5337&lt;&gt;"!!!"),"NEW","")))</f>
        <v> </v>
      </c>
      <c r="G5337" s="24" t="str">
        <f>IF(OR(E5337="",E5337="!!!"),"",IF(OR(J5337=0,AND(J5337=1,K5337=1),AND(J5337=1,I5337="SBJ"),AND(J5337=1,I5337=0)),"?IN_FOCUS",IF(J5337&lt;=2,"?ACTIVATED",IF(J5337&lt;&gt;"","?FAMILIAR",IF(F5337="NEW",IF(ISNA(VLOOKUP(E5337,#REF!,1,FALSE())),"?TYPE_IDENTIFIABLE","?REFERENTIAL"),"_")))))</f>
        <v> </v>
      </c>
      <c r="H5337" s="25" t="str">
        <f>IF(J5337&lt;&gt;1,"",IF(I5337="SBJ","CB","?"))</f>
        <v> </v>
      </c>
      <c r="I5337" s="26" t="str">
        <f>IF(OR(E5337="",E5337="!!!",F5337="NEW"),"",INDEX(B5336:B$2,-1+SUMPRODUCT(MAX(ROW(E5336:E$2)*(E5337=E5336:E$2)))))</f>
        <v> </v>
      </c>
      <c r="J5337" s="26" t="str">
        <f>IF(OR(E5337="",E5337="!!!",F5337="NEW"),"",COUNTBLANK(OFFSET(A$1,,,SUMPRODUCT(MAX(ROW(E$2:E5337)*(E5337=E$2:E5337)))))-COUNTBLANK(OFFSET(A$1,,,SUMPRODUCT(MAX(ROW(E$1:E5336)*(E2=E$1:E5336))))))</f>
        <v> </v>
      </c>
      <c r="K5337" s="26" t="str">
        <f>IF(OR(E5337="",E5337="!!!",F5337="NEW"),"",INDEX(J$1:J5336,SUMPRODUCT(MAX(ROW(E$1:E5336)*(E5337=E$1:E5336)))))</f>
        <v> </v>
      </c>
      <c r="L5337" s="27"/>
    </row>
    <row r="5338" spans="1:12">
      <c r="A5338" s="20" t="s">
        <v>90</v>
      </c>
      <c r="E5338" s="22">
        <f>IF(D5338="?OLD","!!!","")</f>
        <v/>
      </c>
      <c r="F5338" s="23" t="str">
        <f>IF(OR(E5338="",E5338="!!!"),"",IF(NOT(ISNA(VLOOKUP(E5338,E$1:E5337,1,FALSE()))),"OLD",IF(AND(E5338&lt;&gt;"",E5338&lt;&gt;"!!!"),"NEW","")))</f>
        <v> </v>
      </c>
      <c r="G5338" s="24" t="str">
        <f>IF(OR(E5338="",E5338="!!!"),"",IF(OR(J5338=0,AND(J5338=1,K5338=1),AND(J5338=1,I5338="SBJ"),AND(J5338=1,I5338=0)),"?IN_FOCUS",IF(J5338&lt;=2,"?ACTIVATED",IF(J5338&lt;&gt;"","?FAMILIAR",IF(F5338="NEW",IF(ISNA(VLOOKUP(E5338,#REF!,1,FALSE())),"?TYPE_IDENTIFIABLE","?REFERENTIAL"),"_")))))</f>
        <v> </v>
      </c>
      <c r="H5338" s="25" t="str">
        <f>IF(J5338&lt;&gt;1,"",IF(I5338="SBJ","CB","?"))</f>
        <v> </v>
      </c>
      <c r="I5338" s="26" t="str">
        <f>IF(OR(E5338="",E5338="!!!",F5338="NEW"),"",INDEX(B5337:B$2,-1+SUMPRODUCT(MAX(ROW(E5337:E$2)*(E5338=E5337:E$2)))))</f>
        <v> </v>
      </c>
      <c r="J5338" s="26" t="str">
        <f>IF(OR(E5338="",E5338="!!!",F5338="NEW"),"",COUNTBLANK(OFFSET(A$1,,,SUMPRODUCT(MAX(ROW(E$2:E5338)*(E5338=E$2:E5338)))))-COUNTBLANK(OFFSET(A$1,,,SUMPRODUCT(MAX(ROW(E$1:E5337)*(E2=E$1:E5337))))))</f>
        <v> </v>
      </c>
      <c r="K5338" s="26" t="str">
        <f>IF(OR(E5338="",E5338="!!!",F5338="NEW"),"",INDEX(J$1:J5337,SUMPRODUCT(MAX(ROW(E$1:E5337)*(E5338=E$1:E5337)))))</f>
        <v> </v>
      </c>
      <c r="L5338" s="27"/>
    </row>
    <row r="5339" spans="1:12">
      <c r="A5339" s="20" t="s">
        <v>1414</v>
      </c>
      <c r="E5339" s="22">
        <f>IF(D5339="?OLD","!!!","")</f>
        <v/>
      </c>
      <c r="F5339" s="23" t="str">
        <f>IF(OR(E5339="",E5339="!!!"),"",IF(NOT(ISNA(VLOOKUP(E5339,E$1:E5338,1,FALSE()))),"OLD",IF(AND(E5339&lt;&gt;"",E5339&lt;&gt;"!!!"),"NEW","")))</f>
        <v> </v>
      </c>
      <c r="G5339" s="24" t="str">
        <f>IF(OR(E5339="",E5339="!!!"),"",IF(OR(J5339=0,AND(J5339=1,K5339=1),AND(J5339=1,I5339="SBJ"),AND(J5339=1,I5339=0)),"?IN_FOCUS",IF(J5339&lt;=2,"?ACTIVATED",IF(J5339&lt;&gt;"","?FAMILIAR",IF(F5339="NEW",IF(ISNA(VLOOKUP(E5339,#REF!,1,FALSE())),"?TYPE_IDENTIFIABLE","?REFERENTIAL"),"_")))))</f>
        <v> </v>
      </c>
      <c r="H5339" s="25" t="str">
        <f>IF(J5339&lt;&gt;1,"",IF(I5339="SBJ","CB","?"))</f>
        <v> </v>
      </c>
      <c r="I5339" s="26" t="str">
        <f>IF(OR(E5339="",E5339="!!!",F5339="NEW"),"",INDEX(B5338:B$2,-1+SUMPRODUCT(MAX(ROW(E5338:E$2)*(E5339=E5338:E$2)))))</f>
        <v> </v>
      </c>
      <c r="J5339" s="26" t="str">
        <f>IF(OR(E5339="",E5339="!!!",F5339="NEW"),"",COUNTBLANK(OFFSET(A$1,,,SUMPRODUCT(MAX(ROW(E$2:E5339)*(E5339=E$2:E5339)))))-COUNTBLANK(OFFSET(A$1,,,SUMPRODUCT(MAX(ROW(E$1:E5338)*(E2=E$1:E5338))))))</f>
        <v> </v>
      </c>
      <c r="K5339" s="26" t="str">
        <f>IF(OR(E5339="",E5339="!!!",F5339="NEW"),"",INDEX(J$1:J5338,SUMPRODUCT(MAX(ROW(E$1:E5338)*(E5339=E$1:E5338)))))</f>
        <v> </v>
      </c>
      <c r="L5339" s="27"/>
    </row>
    <row r="5340" spans="1:12">
      <c r="A5340" s="20" t="s">
        <v>12</v>
      </c>
      <c r="E5340" s="22">
        <f>IF(D5340="?OLD","!!!","")</f>
        <v/>
      </c>
      <c r="F5340" s="23" t="str">
        <f>IF(OR(E5340="",E5340="!!!"),"",IF(NOT(ISNA(VLOOKUP(E5340,E$1:E5339,1,FALSE()))),"OLD",IF(AND(E5340&lt;&gt;"",E5340&lt;&gt;"!!!"),"NEW","")))</f>
        <v> </v>
      </c>
      <c r="G5340" s="24" t="str">
        <f>IF(OR(E5340="",E5340="!!!"),"",IF(OR(J5340=0,AND(J5340=1,K5340=1),AND(J5340=1,I5340="SBJ"),AND(J5340=1,I5340=0)),"?IN_FOCUS",IF(J5340&lt;=2,"?ACTIVATED",IF(J5340&lt;&gt;"","?FAMILIAR",IF(F5340="NEW",IF(ISNA(VLOOKUP(E5340,#REF!,1,FALSE())),"?TYPE_IDENTIFIABLE","?REFERENTIAL"),"_")))))</f>
        <v> </v>
      </c>
      <c r="H5340" s="25" t="str">
        <f>IF(J5340&lt;&gt;1,"",IF(I5340="SBJ","CB","?"))</f>
        <v> </v>
      </c>
      <c r="I5340" s="26" t="str">
        <f>IF(OR(E5340="",E5340="!!!",F5340="NEW"),"",INDEX(B5339:B$2,-1+SUMPRODUCT(MAX(ROW(E5339:E$2)*(E5340=E5339:E$2)))))</f>
        <v> </v>
      </c>
      <c r="J5340" s="26" t="str">
        <f>IF(OR(E5340="",E5340="!!!",F5340="NEW"),"",COUNTBLANK(OFFSET(A$1,,,SUMPRODUCT(MAX(ROW(E$2:E5340)*(E5340=E$2:E5340)))))-COUNTBLANK(OFFSET(A$1,,,SUMPRODUCT(MAX(ROW(E$1:E5339)*(E2=E$1:E5339))))))</f>
        <v> </v>
      </c>
      <c r="K5340" s="26" t="str">
        <f>IF(OR(E5340="",E5340="!!!",F5340="NEW"),"",INDEX(J$1:J5339,SUMPRODUCT(MAX(ROW(E$1:E5339)*(E5340=E$1:E5339)))))</f>
        <v> </v>
      </c>
      <c r="L5340" s="27"/>
    </row>
    <row r="5341" spans="1:12">
      <c r="A5341" s="20" t="s">
        <v>1121</v>
      </c>
      <c r="B5341" s="21" t="s">
        <v>1039</v>
      </c>
      <c r="C5341" s="21" t="s">
        <v>1010</v>
      </c>
      <c r="D5341" s="21" t="s">
        <v>1011</v>
      </c>
      <c r="E5341" s="22">
        <f>IF(D5341="?OLD","!!!","")</f>
        <v/>
      </c>
      <c r="F5341" s="23" t="str">
        <f>IF(OR(E5341="",E5341="!!!"),"",IF(NOT(ISNA(VLOOKUP(E5341,E$1:E5340,1,FALSE()))),"OLD",IF(AND(E5341&lt;&gt;"",E5341&lt;&gt;"!!!"),"NEW","")))</f>
        <v> </v>
      </c>
      <c r="G5341" s="24" t="str">
        <f>IF(OR(E5341="",E5341="!!!"),"",IF(OR(J5341=0,AND(J5341=1,K5341=1),AND(J5341=1,I5341="SBJ"),AND(J5341=1,I5341=0)),"?IN_FOCUS",IF(J5341&lt;=2,"?ACTIVATED",IF(J5341&lt;&gt;"","?FAMILIAR",IF(F5341="NEW",IF(ISNA(VLOOKUP(E5341,#REF!,1,FALSE())),"?TYPE_IDENTIFIABLE","?REFERENTIAL"),"_")))))</f>
        <v> </v>
      </c>
      <c r="H5341" s="25" t="str">
        <f>IF(J5341&lt;&gt;1,"",IF(I5341="SBJ","CB","?"))</f>
        <v> </v>
      </c>
      <c r="I5341" s="26" t="str">
        <f>IF(OR(E5341="",E5341="!!!",F5341="NEW"),"",INDEX(B5340:B$2,-1+SUMPRODUCT(MAX(ROW(E5340:E$2)*(E5341=E5340:E$2)))))</f>
        <v> </v>
      </c>
      <c r="J5341" s="26" t="str">
        <f>IF(OR(E5341="",E5341="!!!",F5341="NEW"),"",COUNTBLANK(OFFSET(A$1,,,SUMPRODUCT(MAX(ROW(E$2:E5341)*(E5341=E$2:E5341)))))-COUNTBLANK(OFFSET(A$1,,,SUMPRODUCT(MAX(ROW(E$1:E5340)*(E2=E$1:E5340))))))</f>
        <v> </v>
      </c>
      <c r="K5341" s="26" t="str">
        <f>IF(OR(E5341="",E5341="!!!",F5341="NEW"),"",INDEX(J$1:J5340,SUMPRODUCT(MAX(ROW(E$1:E5340)*(E5341=E$1:E5340)))))</f>
        <v> </v>
      </c>
      <c r="L5341" s="27"/>
    </row>
    <row r="5342" spans="1:12">
      <c r="A5342" s="20" t="s">
        <v>1173</v>
      </c>
      <c r="E5342" s="22">
        <f>IF(D5342="?OLD","!!!","")</f>
        <v/>
      </c>
      <c r="F5342" s="23" t="str">
        <f>IF(OR(E5342="",E5342="!!!"),"",IF(NOT(ISNA(VLOOKUP(E5342,E$1:E5341,1,FALSE()))),"OLD",IF(AND(E5342&lt;&gt;"",E5342&lt;&gt;"!!!"),"NEW","")))</f>
        <v> </v>
      </c>
      <c r="G5342" s="24" t="str">
        <f>IF(OR(E5342="",E5342="!!!"),"",IF(OR(J5342=0,AND(J5342=1,K5342=1),AND(J5342=1,I5342="SBJ"),AND(J5342=1,I5342=0)),"?IN_FOCUS",IF(J5342&lt;=2,"?ACTIVATED",IF(J5342&lt;&gt;"","?FAMILIAR",IF(F5342="NEW",IF(ISNA(VLOOKUP(E5342,#REF!,1,FALSE())),"?TYPE_IDENTIFIABLE","?REFERENTIAL"),"_")))))</f>
        <v> </v>
      </c>
      <c r="H5342" s="25" t="str">
        <f>IF(J5342&lt;&gt;1,"",IF(I5342="SBJ","CB","?"))</f>
        <v> </v>
      </c>
      <c r="I5342" s="26" t="str">
        <f>IF(OR(E5342="",E5342="!!!",F5342="NEW"),"",INDEX(B5341:B$2,-1+SUMPRODUCT(MAX(ROW(E5341:E$2)*(E5342=E5341:E$2)))))</f>
        <v> </v>
      </c>
      <c r="J5342" s="26" t="str">
        <f>IF(OR(E5342="",E5342="!!!",F5342="NEW"),"",COUNTBLANK(OFFSET(A$1,,,SUMPRODUCT(MAX(ROW(E$2:E5342)*(E5342=E$2:E5342)))))-COUNTBLANK(OFFSET(A$1,,,SUMPRODUCT(MAX(ROW(E$1:E5341)*(E2=E$1:E5341))))))</f>
        <v> </v>
      </c>
      <c r="K5342" s="26" t="str">
        <f>IF(OR(E5342="",E5342="!!!",F5342="NEW"),"",INDEX(J$1:J5341,SUMPRODUCT(MAX(ROW(E$1:E5341)*(E5342=E$1:E5341)))))</f>
        <v> </v>
      </c>
      <c r="L5342" s="27"/>
    </row>
    <row r="5343" spans="1:12">
      <c r="A5343" s="20" t="s">
        <v>1496</v>
      </c>
      <c r="E5343" s="22">
        <f>IF(D5343="?OLD","!!!","")</f>
        <v/>
      </c>
      <c r="F5343" s="23" t="str">
        <f>IF(OR(E5343="",E5343="!!!"),"",IF(NOT(ISNA(VLOOKUP(E5343,E$1:E5342,1,FALSE()))),"OLD",IF(AND(E5343&lt;&gt;"",E5343&lt;&gt;"!!!"),"NEW","")))</f>
        <v> </v>
      </c>
      <c r="G5343" s="24" t="str">
        <f>IF(OR(E5343="",E5343="!!!"),"",IF(OR(J5343=0,AND(J5343=1,K5343=1),AND(J5343=1,I5343="SBJ"),AND(J5343=1,I5343=0)),"?IN_FOCUS",IF(J5343&lt;=2,"?ACTIVATED",IF(J5343&lt;&gt;"","?FAMILIAR",IF(F5343="NEW",IF(ISNA(VLOOKUP(E5343,#REF!,1,FALSE())),"?TYPE_IDENTIFIABLE","?REFERENTIAL"),"_")))))</f>
        <v> </v>
      </c>
      <c r="H5343" s="25" t="str">
        <f>IF(J5343&lt;&gt;1,"",IF(I5343="SBJ","CB","?"))</f>
        <v> </v>
      </c>
      <c r="I5343" s="26" t="str">
        <f>IF(OR(E5343="",E5343="!!!",F5343="NEW"),"",INDEX(B5342:B$2,-1+SUMPRODUCT(MAX(ROW(E5342:E$2)*(E5343=E5342:E$2)))))</f>
        <v> </v>
      </c>
      <c r="J5343" s="26" t="str">
        <f>IF(OR(E5343="",E5343="!!!",F5343="NEW"),"",COUNTBLANK(OFFSET(A$1,,,SUMPRODUCT(MAX(ROW(E$2:E5343)*(E5343=E$2:E5343)))))-COUNTBLANK(OFFSET(A$1,,,SUMPRODUCT(MAX(ROW(E$1:E5342)*(E2=E$1:E5342))))))</f>
        <v> </v>
      </c>
      <c r="K5343" s="26" t="str">
        <f>IF(OR(E5343="",E5343="!!!",F5343="NEW"),"",INDEX(J$1:J5342,SUMPRODUCT(MAX(ROW(E$1:E5342)*(E5343=E$1:E5342)))))</f>
        <v> </v>
      </c>
      <c r="L5343" s="27"/>
    </row>
    <row r="5344" spans="1:12">
      <c r="A5344" s="20" t="s">
        <v>1132</v>
      </c>
      <c r="E5344" s="22">
        <f>IF(D5344="?OLD","!!!","")</f>
        <v/>
      </c>
      <c r="F5344" s="23" t="str">
        <f>IF(OR(E5344="",E5344="!!!"),"",IF(NOT(ISNA(VLOOKUP(E5344,E$1:E5343,1,FALSE()))),"OLD",IF(AND(E5344&lt;&gt;"",E5344&lt;&gt;"!!!"),"NEW","")))</f>
        <v> </v>
      </c>
      <c r="G5344" s="24" t="str">
        <f>IF(OR(E5344="",E5344="!!!"),"",IF(OR(J5344=0,AND(J5344=1,K5344=1),AND(J5344=1,I5344="SBJ"),AND(J5344=1,I5344=0)),"?IN_FOCUS",IF(J5344&lt;=2,"?ACTIVATED",IF(J5344&lt;&gt;"","?FAMILIAR",IF(F5344="NEW",IF(ISNA(VLOOKUP(E5344,#REF!,1,FALSE())),"?TYPE_IDENTIFIABLE","?REFERENTIAL"),"_")))))</f>
        <v> </v>
      </c>
      <c r="H5344" s="25" t="str">
        <f>IF(J5344&lt;&gt;1,"",IF(I5344="SBJ","CB","?"))</f>
        <v> </v>
      </c>
      <c r="I5344" s="26" t="str">
        <f>IF(OR(E5344="",E5344="!!!",F5344="NEW"),"",INDEX(B5343:B$2,-1+SUMPRODUCT(MAX(ROW(E5343:E$2)*(E5344=E5343:E$2)))))</f>
        <v> </v>
      </c>
      <c r="J5344" s="26" t="str">
        <f>IF(OR(E5344="",E5344="!!!",F5344="NEW"),"",COUNTBLANK(OFFSET(A$1,,,SUMPRODUCT(MAX(ROW(E$2:E5344)*(E5344=E$2:E5344)))))-COUNTBLANK(OFFSET(A$1,,,SUMPRODUCT(MAX(ROW(E$1:E5343)*(E2=E$1:E5343))))))</f>
        <v> </v>
      </c>
      <c r="K5344" s="26" t="str">
        <f>IF(OR(E5344="",E5344="!!!",F5344="NEW"),"",INDEX(J$1:J5343,SUMPRODUCT(MAX(ROW(E$1:E5343)*(E5344=E$1:E5343)))))</f>
        <v> </v>
      </c>
      <c r="L5344" s="27"/>
    </row>
    <row r="5345" spans="1:12">
      <c r="A5345" s="20" t="s">
        <v>1434</v>
      </c>
      <c r="E5345" s="22">
        <f>IF(D5345="?OLD","!!!","")</f>
        <v/>
      </c>
      <c r="F5345" s="23" t="str">
        <f>IF(OR(E5345="",E5345="!!!"),"",IF(NOT(ISNA(VLOOKUP(E5345,E$1:E5344,1,FALSE()))),"OLD",IF(AND(E5345&lt;&gt;"",E5345&lt;&gt;"!!!"),"NEW","")))</f>
        <v> </v>
      </c>
      <c r="G5345" s="24" t="str">
        <f>IF(OR(E5345="",E5345="!!!"),"",IF(OR(J5345=0,AND(J5345=1,K5345=1),AND(J5345=1,I5345="SBJ"),AND(J5345=1,I5345=0)),"?IN_FOCUS",IF(J5345&lt;=2,"?ACTIVATED",IF(J5345&lt;&gt;"","?FAMILIAR",IF(F5345="NEW",IF(ISNA(VLOOKUP(E5345,#REF!,1,FALSE())),"?TYPE_IDENTIFIABLE","?REFERENTIAL"),"_")))))</f>
        <v> </v>
      </c>
      <c r="H5345" s="25" t="str">
        <f>IF(J5345&lt;&gt;1,"",IF(I5345="SBJ","CB","?"))</f>
        <v> </v>
      </c>
      <c r="I5345" s="26" t="str">
        <f>IF(OR(E5345="",E5345="!!!",F5345="NEW"),"",INDEX(B5344:B$2,-1+SUMPRODUCT(MAX(ROW(E5344:E$2)*(E5345=E5344:E$2)))))</f>
        <v> </v>
      </c>
      <c r="J5345" s="26" t="str">
        <f>IF(OR(E5345="",E5345="!!!",F5345="NEW"),"",COUNTBLANK(OFFSET(A$1,,,SUMPRODUCT(MAX(ROW(E$2:E5345)*(E5345=E$2:E5345)))))-COUNTBLANK(OFFSET(A$1,,,SUMPRODUCT(MAX(ROW(E$1:E5344)*(E2=E$1:E5344))))))</f>
        <v> </v>
      </c>
      <c r="K5345" s="26" t="str">
        <f>IF(OR(E5345="",E5345="!!!",F5345="NEW"),"",INDEX(J$1:J5344,SUMPRODUCT(MAX(ROW(E$1:E5344)*(E5345=E$1:E5344)))))</f>
        <v> </v>
      </c>
      <c r="L5345" s="27"/>
    </row>
    <row r="5346" spans="1:12">
      <c r="A5346" s="20" t="s">
        <v>1186</v>
      </c>
      <c r="E5346" s="22">
        <f>IF(D5346="?OLD","!!!","")</f>
        <v/>
      </c>
      <c r="F5346" s="23" t="str">
        <f>IF(OR(E5346="",E5346="!!!"),"",IF(NOT(ISNA(VLOOKUP(E5346,E$1:E5345,1,FALSE()))),"OLD",IF(AND(E5346&lt;&gt;"",E5346&lt;&gt;"!!!"),"NEW","")))</f>
        <v> </v>
      </c>
      <c r="G5346" s="24" t="str">
        <f>IF(OR(E5346="",E5346="!!!"),"",IF(OR(J5346=0,AND(J5346=1,K5346=1),AND(J5346=1,I5346="SBJ"),AND(J5346=1,I5346=0)),"?IN_FOCUS",IF(J5346&lt;=2,"?ACTIVATED",IF(J5346&lt;&gt;"","?FAMILIAR",IF(F5346="NEW",IF(ISNA(VLOOKUP(E5346,#REF!,1,FALSE())),"?TYPE_IDENTIFIABLE","?REFERENTIAL"),"_")))))</f>
        <v> </v>
      </c>
      <c r="H5346" s="25" t="str">
        <f>IF(J5346&lt;&gt;1,"",IF(I5346="SBJ","CB","?"))</f>
        <v> </v>
      </c>
      <c r="I5346" s="26" t="str">
        <f>IF(OR(E5346="",E5346="!!!",F5346="NEW"),"",INDEX(B5345:B$2,-1+SUMPRODUCT(MAX(ROW(E5345:E$2)*(E5346=E5345:E$2)))))</f>
        <v> </v>
      </c>
      <c r="J5346" s="26" t="str">
        <f>IF(OR(E5346="",E5346="!!!",F5346="NEW"),"",COUNTBLANK(OFFSET(A$1,,,SUMPRODUCT(MAX(ROW(E$2:E5346)*(E5346=E$2:E5346)))))-COUNTBLANK(OFFSET(A$1,,,SUMPRODUCT(MAX(ROW(E$1:E5345)*(E2=E$1:E5345))))))</f>
        <v> </v>
      </c>
      <c r="K5346" s="26" t="str">
        <f>IF(OR(E5346="",E5346="!!!",F5346="NEW"),"",INDEX(J$1:J5345,SUMPRODUCT(MAX(ROW(E$1:E5345)*(E5346=E$1:E5345)))))</f>
        <v> </v>
      </c>
      <c r="L5346" s="27"/>
    </row>
    <row r="5347" spans="1:12">
      <c r="A5347" s="20" t="s">
        <v>2209</v>
      </c>
      <c r="B5347" s="21" t="s">
        <v>1071</v>
      </c>
      <c r="C5347" s="21" t="s">
        <v>1017</v>
      </c>
      <c r="E5347" s="22">
        <f>IF(D5347="?OLD","!!!","")</f>
        <v/>
      </c>
      <c r="F5347" s="23" t="str">
        <f>IF(OR(E5347="",E5347="!!!"),"",IF(NOT(ISNA(VLOOKUP(E5347,E$1:E5346,1,FALSE()))),"OLD",IF(AND(E5347&lt;&gt;"",E5347&lt;&gt;"!!!"),"NEW","")))</f>
        <v> </v>
      </c>
      <c r="G5347" s="24" t="str">
        <f>IF(OR(E5347="",E5347="!!!"),"",IF(OR(J5347=0,AND(J5347=1,K5347=1),AND(J5347=1,I5347="SBJ"),AND(J5347=1,I5347=0)),"?IN_FOCUS",IF(J5347&lt;=2,"?ACTIVATED",IF(J5347&lt;&gt;"","?FAMILIAR",IF(F5347="NEW",IF(ISNA(VLOOKUP(E5347,#REF!,1,FALSE())),"?TYPE_IDENTIFIABLE","?REFERENTIAL"),"_")))))</f>
        <v> </v>
      </c>
      <c r="H5347" s="25" t="str">
        <f>IF(J5347&lt;&gt;1,"",IF(I5347="SBJ","CB","?"))</f>
        <v> </v>
      </c>
      <c r="I5347" s="26" t="str">
        <f>IF(OR(E5347="",E5347="!!!",F5347="NEW"),"",INDEX(B5346:B$2,-1+SUMPRODUCT(MAX(ROW(E5346:E$2)*(E5347=E5346:E$2)))))</f>
        <v> </v>
      </c>
      <c r="J5347" s="26" t="str">
        <f>IF(OR(E5347="",E5347="!!!",F5347="NEW"),"",COUNTBLANK(OFFSET(A$1,,,SUMPRODUCT(MAX(ROW(E$2:E5347)*(E5347=E$2:E5347)))))-COUNTBLANK(OFFSET(A$1,,,SUMPRODUCT(MAX(ROW(E$1:E5346)*(E2=E$1:E5346))))))</f>
        <v> </v>
      </c>
      <c r="K5347" s="26" t="str">
        <f>IF(OR(E5347="",E5347="!!!",F5347="NEW"),"",INDEX(J$1:J5346,SUMPRODUCT(MAX(ROW(E$1:E5346)*(E5347=E$1:E5346)))))</f>
        <v> </v>
      </c>
      <c r="L5347" s="27"/>
    </row>
    <row r="5348" spans="1:12">
      <c r="A5348" s="20" t="s">
        <v>1099</v>
      </c>
      <c r="E5348" s="22">
        <f>IF(D5348="?OLD","!!!","")</f>
        <v/>
      </c>
      <c r="F5348" s="23" t="str">
        <f>IF(OR(E5348="",E5348="!!!"),"",IF(NOT(ISNA(VLOOKUP(E5348,E$1:E5347,1,FALSE()))),"OLD",IF(AND(E5348&lt;&gt;"",E5348&lt;&gt;"!!!"),"NEW","")))</f>
        <v> </v>
      </c>
      <c r="G5348" s="24" t="str">
        <f>IF(OR(E5348="",E5348="!!!"),"",IF(OR(J5348=0,AND(J5348=1,K5348=1),AND(J5348=1,I5348="SBJ"),AND(J5348=1,I5348=0)),"?IN_FOCUS",IF(J5348&lt;=2,"?ACTIVATED",IF(J5348&lt;&gt;"","?FAMILIAR",IF(F5348="NEW",IF(ISNA(VLOOKUP(E5348,#REF!,1,FALSE())),"?TYPE_IDENTIFIABLE","?REFERENTIAL"),"_")))))</f>
        <v> </v>
      </c>
      <c r="H5348" s="25" t="str">
        <f>IF(J5348&lt;&gt;1,"",IF(I5348="SBJ","CB","?"))</f>
        <v> </v>
      </c>
      <c r="I5348" s="26" t="str">
        <f>IF(OR(E5348="",E5348="!!!",F5348="NEW"),"",INDEX(B5347:B$2,-1+SUMPRODUCT(MAX(ROW(E5347:E$2)*(E5348=E5347:E$2)))))</f>
        <v> </v>
      </c>
      <c r="J5348" s="26" t="str">
        <f>IF(OR(E5348="",E5348="!!!",F5348="NEW"),"",COUNTBLANK(OFFSET(A$1,,,SUMPRODUCT(MAX(ROW(E$2:E5348)*(E5348=E$2:E5348)))))-COUNTBLANK(OFFSET(A$1,,,SUMPRODUCT(MAX(ROW(E$1:E5347)*(E2=E$1:E5347))))))</f>
        <v> </v>
      </c>
      <c r="K5348" s="26" t="str">
        <f>IF(OR(E5348="",E5348="!!!",F5348="NEW"),"",INDEX(J$1:J5347,SUMPRODUCT(MAX(ROW(E$1:E5347)*(E5348=E$1:E5347)))))</f>
        <v> </v>
      </c>
      <c r="L5348" s="27"/>
    </row>
    <row r="5349" spans="1:12">
      <c r="A5349" s="20" t="s">
        <v>1137</v>
      </c>
      <c r="B5349" s="21" t="s">
        <v>1039</v>
      </c>
      <c r="C5349" s="21" t="s">
        <v>1010</v>
      </c>
      <c r="D5349" s="21" t="s">
        <v>1011</v>
      </c>
      <c r="E5349" s="22">
        <f>IF(D5349="?OLD","!!!","")</f>
        <v/>
      </c>
      <c r="F5349" s="23" t="str">
        <f>IF(OR(E5349="",E5349="!!!"),"",IF(NOT(ISNA(VLOOKUP(E5349,E$1:E5348,1,FALSE()))),"OLD",IF(AND(E5349&lt;&gt;"",E5349&lt;&gt;"!!!"),"NEW","")))</f>
        <v> </v>
      </c>
      <c r="G5349" s="24" t="str">
        <f>IF(OR(E5349="",E5349="!!!"),"",IF(OR(J5349=0,AND(J5349=1,K5349=1),AND(J5349=1,I5349="SBJ"),AND(J5349=1,I5349=0)),"?IN_FOCUS",IF(J5349&lt;=2,"?ACTIVATED",IF(J5349&lt;&gt;"","?FAMILIAR",IF(F5349="NEW",IF(ISNA(VLOOKUP(E5349,#REF!,1,FALSE())),"?TYPE_IDENTIFIABLE","?REFERENTIAL"),"_")))))</f>
        <v> </v>
      </c>
      <c r="H5349" s="25" t="str">
        <f>IF(J5349&lt;&gt;1,"",IF(I5349="SBJ","CB","?"))</f>
        <v> </v>
      </c>
      <c r="I5349" s="26" t="str">
        <f>IF(OR(E5349="",E5349="!!!",F5349="NEW"),"",INDEX(B5348:B$2,-1+SUMPRODUCT(MAX(ROW(E5348:E$2)*(E5349=E5348:E$2)))))</f>
        <v> </v>
      </c>
      <c r="J5349" s="26" t="str">
        <f>IF(OR(E5349="",E5349="!!!",F5349="NEW"),"",COUNTBLANK(OFFSET(A$1,,,SUMPRODUCT(MAX(ROW(E$2:E5349)*(E5349=E$2:E5349)))))-COUNTBLANK(OFFSET(A$1,,,SUMPRODUCT(MAX(ROW(E$1:E5348)*(E2=E$1:E5348))))))</f>
        <v> </v>
      </c>
      <c r="K5349" s="26" t="str">
        <f>IF(OR(E5349="",E5349="!!!",F5349="NEW"),"",INDEX(J$1:J5348,SUMPRODUCT(MAX(ROW(E$1:E5348)*(E5349=E$1:E5348)))))</f>
        <v> </v>
      </c>
      <c r="L5349" s="27"/>
    </row>
    <row r="5350" spans="1:12">
      <c r="A5350" s="20" t="s">
        <v>338</v>
      </c>
      <c r="E5350" s="22">
        <f>IF(D5350="?OLD","!!!","")</f>
        <v/>
      </c>
      <c r="F5350" s="23" t="str">
        <f>IF(OR(E5350="",E5350="!!!"),"",IF(NOT(ISNA(VLOOKUP(E5350,E$1:E5349,1,FALSE()))),"OLD",IF(AND(E5350&lt;&gt;"",E5350&lt;&gt;"!!!"),"NEW","")))</f>
        <v> </v>
      </c>
      <c r="G5350" s="24" t="str">
        <f>IF(OR(E5350="",E5350="!!!"),"",IF(OR(J5350=0,AND(J5350=1,K5350=1),AND(J5350=1,I5350="SBJ"),AND(J5350=1,I5350=0)),"?IN_FOCUS",IF(J5350&lt;=2,"?ACTIVATED",IF(J5350&lt;&gt;"","?FAMILIAR",IF(F5350="NEW",IF(ISNA(VLOOKUP(E5350,#REF!,1,FALSE())),"?TYPE_IDENTIFIABLE","?REFERENTIAL"),"_")))))</f>
        <v> </v>
      </c>
      <c r="H5350" s="25" t="str">
        <f>IF(J5350&lt;&gt;1,"",IF(I5350="SBJ","CB","?"))</f>
        <v> </v>
      </c>
      <c r="I5350" s="26" t="str">
        <f>IF(OR(E5350="",E5350="!!!",F5350="NEW"),"",INDEX(B5349:B$2,-1+SUMPRODUCT(MAX(ROW(E5349:E$2)*(E5350=E5349:E$2)))))</f>
        <v> </v>
      </c>
      <c r="J5350" s="26" t="str">
        <f>IF(OR(E5350="",E5350="!!!",F5350="NEW"),"",COUNTBLANK(OFFSET(A$1,,,SUMPRODUCT(MAX(ROW(E$2:E5350)*(E5350=E$2:E5350)))))-COUNTBLANK(OFFSET(A$1,,,SUMPRODUCT(MAX(ROW(E$1:E5349)*(E2=E$1:E5349))))))</f>
        <v> </v>
      </c>
      <c r="K5350" s="26" t="str">
        <f>IF(OR(E5350="",E5350="!!!",F5350="NEW"),"",INDEX(J$1:J5349,SUMPRODUCT(MAX(ROW(E$1:E5349)*(E5350=E$1:E5349)))))</f>
        <v> </v>
      </c>
      <c r="L5350" s="27"/>
    </row>
    <row r="5351" spans="1:12">
      <c r="A5351" s="20" t="s">
        <v>1042</v>
      </c>
      <c r="E5351" s="22">
        <f>IF(D5351="?OLD","!!!","")</f>
        <v/>
      </c>
      <c r="F5351" s="23" t="str">
        <f>IF(OR(E5351="",E5351="!!!"),"",IF(NOT(ISNA(VLOOKUP(E5351,E$1:E5350,1,FALSE()))),"OLD",IF(AND(E5351&lt;&gt;"",E5351&lt;&gt;"!!!"),"NEW","")))</f>
        <v> </v>
      </c>
      <c r="G5351" s="24" t="str">
        <f>IF(OR(E5351="",E5351="!!!"),"",IF(OR(J5351=0,AND(J5351=1,K5351=1),AND(J5351=1,I5351="SBJ"),AND(J5351=1,I5351=0)),"?IN_FOCUS",IF(J5351&lt;=2,"?ACTIVATED",IF(J5351&lt;&gt;"","?FAMILIAR",IF(F5351="NEW",IF(ISNA(VLOOKUP(E5351,#REF!,1,FALSE())),"?TYPE_IDENTIFIABLE","?REFERENTIAL"),"_")))))</f>
        <v> </v>
      </c>
      <c r="H5351" s="25" t="str">
        <f>IF(J5351&lt;&gt;1,"",IF(I5351="SBJ","CB","?"))</f>
        <v> </v>
      </c>
      <c r="I5351" s="26" t="str">
        <f>IF(OR(E5351="",E5351="!!!",F5351="NEW"),"",INDEX(B5350:B$2,-1+SUMPRODUCT(MAX(ROW(E5350:E$2)*(E5351=E5350:E$2)))))</f>
        <v> </v>
      </c>
      <c r="J5351" s="26" t="str">
        <f>IF(OR(E5351="",E5351="!!!",F5351="NEW"),"",COUNTBLANK(OFFSET(A$1,,,SUMPRODUCT(MAX(ROW(E$2:E5351)*(E5351=E$2:E5351)))))-COUNTBLANK(OFFSET(A$1,,,SUMPRODUCT(MAX(ROW(E$1:E5350)*(E2=E$1:E5350))))))</f>
        <v> </v>
      </c>
      <c r="K5351" s="26" t="str">
        <f>IF(OR(E5351="",E5351="!!!",F5351="NEW"),"",INDEX(J$1:J5350,SUMPRODUCT(MAX(ROW(E$1:E5350)*(E5351=E$1:E5350)))))</f>
        <v> </v>
      </c>
      <c r="L5351" s="27"/>
    </row>
    <row r="5352" spans="1:12">
      <c r="A5352" s="20" t="s">
        <v>2210</v>
      </c>
      <c r="B5352" s="21" t="s">
        <v>1088</v>
      </c>
      <c r="C5352" s="21" t="s">
        <v>1044</v>
      </c>
      <c r="D5352" s="21" t="s">
        <v>1011</v>
      </c>
      <c r="E5352" s="22">
        <f>IF(D5352="?OLD","!!!","")</f>
        <v/>
      </c>
      <c r="F5352" s="23" t="str">
        <f>IF(OR(E5352="",E5352="!!!"),"",IF(NOT(ISNA(VLOOKUP(E5352,E$1:E5351,1,FALSE()))),"OLD",IF(AND(E5352&lt;&gt;"",E5352&lt;&gt;"!!!"),"NEW","")))</f>
        <v> </v>
      </c>
      <c r="G5352" s="24" t="str">
        <f>IF(OR(E5352="",E5352="!!!"),"",IF(OR(J5352=0,AND(J5352=1,K5352=1),AND(J5352=1,I5352="SBJ"),AND(J5352=1,I5352=0)),"?IN_FOCUS",IF(J5352&lt;=2,"?ACTIVATED",IF(J5352&lt;&gt;"","?FAMILIAR",IF(F5352="NEW",IF(ISNA(VLOOKUP(E5352,#REF!,1,FALSE())),"?TYPE_IDENTIFIABLE","?REFERENTIAL"),"_")))))</f>
        <v> </v>
      </c>
      <c r="H5352" s="25" t="str">
        <f>IF(J5352&lt;&gt;1,"",IF(I5352="SBJ","CB","?"))</f>
        <v> </v>
      </c>
      <c r="I5352" s="26" t="str">
        <f>IF(OR(E5352="",E5352="!!!",F5352="NEW"),"",INDEX(B5351:B$2,-1+SUMPRODUCT(MAX(ROW(E5351:E$2)*(E5352=E5351:E$2)))))</f>
        <v> </v>
      </c>
      <c r="J5352" s="26" t="str">
        <f>IF(OR(E5352="",E5352="!!!",F5352="NEW"),"",COUNTBLANK(OFFSET(A$1,,,SUMPRODUCT(MAX(ROW(E$2:E5352)*(E5352=E$2:E5352)))))-COUNTBLANK(OFFSET(A$1,,,SUMPRODUCT(MAX(ROW(E$1:E5351)*(E2=E$1:E5351))))))</f>
        <v> </v>
      </c>
      <c r="K5352" s="26" t="str">
        <f>IF(OR(E5352="",E5352="!!!",F5352="NEW"),"",INDEX(J$1:J5351,SUMPRODUCT(MAX(ROW(E$1:E5351)*(E5352=E$1:E5351)))))</f>
        <v> </v>
      </c>
      <c r="L5352" s="27"/>
    </row>
    <row r="5353" spans="1:12">
      <c r="A5353" s="20" t="s">
        <v>263</v>
      </c>
      <c r="E5353" s="22">
        <f>IF(D5353="?OLD","!!!","")</f>
        <v/>
      </c>
      <c r="F5353" s="23" t="str">
        <f>IF(OR(E5353="",E5353="!!!"),"",IF(NOT(ISNA(VLOOKUP(E5353,E$1:E5352,1,FALSE()))),"OLD",IF(AND(E5353&lt;&gt;"",E5353&lt;&gt;"!!!"),"NEW","")))</f>
        <v> </v>
      </c>
      <c r="G5353" s="24" t="str">
        <f>IF(OR(E5353="",E5353="!!!"),"",IF(OR(J5353=0,AND(J5353=1,K5353=1),AND(J5353=1,I5353="SBJ"),AND(J5353=1,I5353=0)),"?IN_FOCUS",IF(J5353&lt;=2,"?ACTIVATED",IF(J5353&lt;&gt;"","?FAMILIAR",IF(F5353="NEW",IF(ISNA(VLOOKUP(E5353,#REF!,1,FALSE())),"?TYPE_IDENTIFIABLE","?REFERENTIAL"),"_")))))</f>
        <v> </v>
      </c>
      <c r="H5353" s="25" t="str">
        <f>IF(J5353&lt;&gt;1,"",IF(I5353="SBJ","CB","?"))</f>
        <v> </v>
      </c>
      <c r="I5353" s="26" t="str">
        <f>IF(OR(E5353="",E5353="!!!",F5353="NEW"),"",INDEX(B5352:B$2,-1+SUMPRODUCT(MAX(ROW(E5352:E$2)*(E5353=E5352:E$2)))))</f>
        <v> </v>
      </c>
      <c r="J5353" s="26" t="str">
        <f>IF(OR(E5353="",E5353="!!!",F5353="NEW"),"",COUNTBLANK(OFFSET(A$1,,,SUMPRODUCT(MAX(ROW(E$2:E5353)*(E5353=E$2:E5353)))))-COUNTBLANK(OFFSET(A$1,,,SUMPRODUCT(MAX(ROW(E$1:E5352)*(E2=E$1:E5352))))))</f>
        <v> </v>
      </c>
      <c r="K5353" s="26" t="str">
        <f>IF(OR(E5353="",E5353="!!!",F5353="NEW"),"",INDEX(J$1:J5352,SUMPRODUCT(MAX(ROW(E$1:E5352)*(E5353=E$1:E5352)))))</f>
        <v> </v>
      </c>
      <c r="L5353" s="27"/>
    </row>
    <row r="5354" spans="1:12">
      <c r="A5354" s="20" t="s">
        <v>1032</v>
      </c>
      <c r="E5354" s="22">
        <f>IF(D5354="?OLD","!!!","")</f>
        <v/>
      </c>
      <c r="F5354" s="23" t="str">
        <f>IF(OR(E5354="",E5354="!!!"),"",IF(NOT(ISNA(VLOOKUP(E5354,E$1:E5353,1,FALSE()))),"OLD",IF(AND(E5354&lt;&gt;"",E5354&lt;&gt;"!!!"),"NEW","")))</f>
        <v> </v>
      </c>
      <c r="G5354" s="24" t="str">
        <f>IF(OR(E5354="",E5354="!!!"),"",IF(OR(J5354=0,AND(J5354=1,K5354=1),AND(J5354=1,I5354="SBJ"),AND(J5354=1,I5354=0)),"?IN_FOCUS",IF(J5354&lt;=2,"?ACTIVATED",IF(J5354&lt;&gt;"","?FAMILIAR",IF(F5354="NEW",IF(ISNA(VLOOKUP(E5354,#REF!,1,FALSE())),"?TYPE_IDENTIFIABLE","?REFERENTIAL"),"_")))))</f>
        <v> </v>
      </c>
      <c r="H5354" s="25" t="str">
        <f>IF(J5354&lt;&gt;1,"",IF(I5354="SBJ","CB","?"))</f>
        <v> </v>
      </c>
      <c r="I5354" s="26" t="str">
        <f>IF(OR(E5354="",E5354="!!!",F5354="NEW"),"",INDEX(B5353:B$2,-1+SUMPRODUCT(MAX(ROW(E5353:E$2)*(E5354=E5353:E$2)))))</f>
        <v> </v>
      </c>
      <c r="J5354" s="26" t="str">
        <f>IF(OR(E5354="",E5354="!!!",F5354="NEW"),"",COUNTBLANK(OFFSET(A$1,,,SUMPRODUCT(MAX(ROW(E$2:E5354)*(E5354=E$2:E5354)))))-COUNTBLANK(OFFSET(A$1,,,SUMPRODUCT(MAX(ROW(E$1:E5353)*(E2=E$1:E5353))))))</f>
        <v> </v>
      </c>
      <c r="K5354" s="26" t="str">
        <f>IF(OR(E5354="",E5354="!!!",F5354="NEW"),"",INDEX(J$1:J5353,SUMPRODUCT(MAX(ROW(E$1:E5353)*(E5354=E$1:E5353)))))</f>
        <v> </v>
      </c>
      <c r="L5354" s="27"/>
    </row>
    <row r="5355" spans="1:12">
      <c r="A5355" s="20" t="s">
        <v>1020</v>
      </c>
      <c r="E5355" s="22">
        <f>IF(D5355="?OLD","!!!","")</f>
        <v/>
      </c>
      <c r="F5355" s="23" t="str">
        <f>IF(OR(E5355="",E5355="!!!"),"",IF(NOT(ISNA(VLOOKUP(E5355,E$1:E5354,1,FALSE()))),"OLD",IF(AND(E5355&lt;&gt;"",E5355&lt;&gt;"!!!"),"NEW","")))</f>
        <v> </v>
      </c>
      <c r="G5355" s="24" t="str">
        <f>IF(OR(E5355="",E5355="!!!"),"",IF(OR(J5355=0,AND(J5355=1,K5355=1),AND(J5355=1,I5355="SBJ"),AND(J5355=1,I5355=0)),"?IN_FOCUS",IF(J5355&lt;=2,"?ACTIVATED",IF(J5355&lt;&gt;"","?FAMILIAR",IF(F5355="NEW",IF(ISNA(VLOOKUP(E5355,#REF!,1,FALSE())),"?TYPE_IDENTIFIABLE","?REFERENTIAL"),"_")))))</f>
        <v> </v>
      </c>
      <c r="H5355" s="25" t="str">
        <f>IF(J5355&lt;&gt;1,"",IF(I5355="SBJ","CB","?"))</f>
        <v> </v>
      </c>
      <c r="I5355" s="26" t="str">
        <f>IF(OR(E5355="",E5355="!!!",F5355="NEW"),"",INDEX(B5354:B$2,-1+SUMPRODUCT(MAX(ROW(E5354:E$2)*(E5355=E5354:E$2)))))</f>
        <v> </v>
      </c>
      <c r="J5355" s="26" t="str">
        <f>IF(OR(E5355="",E5355="!!!",F5355="NEW"),"",COUNTBLANK(OFFSET(A$1,,,SUMPRODUCT(MAX(ROW(E$2:E5355)*(E5355=E$2:E5355)))))-COUNTBLANK(OFFSET(A$1,,,SUMPRODUCT(MAX(ROW(E$1:E5354)*(E2=E$1:E5354))))))</f>
        <v> </v>
      </c>
      <c r="K5355" s="26" t="str">
        <f>IF(OR(E5355="",E5355="!!!",F5355="NEW"),"",INDEX(J$1:J5354,SUMPRODUCT(MAX(ROW(E$1:E5354)*(E5355=E$1:E5354)))))</f>
        <v> </v>
      </c>
      <c r="L5355" s="27"/>
    </row>
    <row r="5356" spans="1:12">
      <c r="A5356" s="20" t="s">
        <v>1137</v>
      </c>
      <c r="B5356" s="21" t="s">
        <v>1175</v>
      </c>
      <c r="C5356" s="21" t="s">
        <v>1010</v>
      </c>
      <c r="D5356" s="21" t="s">
        <v>1011</v>
      </c>
      <c r="E5356" s="22">
        <f>IF(D5356="?OLD","!!!","")</f>
        <v/>
      </c>
      <c r="F5356" s="23" t="str">
        <f>IF(OR(E5356="",E5356="!!!"),"",IF(NOT(ISNA(VLOOKUP(E5356,E$1:E5355,1,FALSE()))),"OLD",IF(AND(E5356&lt;&gt;"",E5356&lt;&gt;"!!!"),"NEW","")))</f>
        <v> </v>
      </c>
      <c r="G5356" s="24" t="str">
        <f>IF(OR(E5356="",E5356="!!!"),"",IF(OR(J5356=0,AND(J5356=1,K5356=1),AND(J5356=1,I5356="SBJ"),AND(J5356=1,I5356=0)),"?IN_FOCUS",IF(J5356&lt;=2,"?ACTIVATED",IF(J5356&lt;&gt;"","?FAMILIAR",IF(F5356="NEW",IF(ISNA(VLOOKUP(E5356,#REF!,1,FALSE())),"?TYPE_IDENTIFIABLE","?REFERENTIAL"),"_")))))</f>
        <v> </v>
      </c>
      <c r="H5356" s="25" t="str">
        <f>IF(J5356&lt;&gt;1,"",IF(I5356="SBJ","CB","?"))</f>
        <v> </v>
      </c>
      <c r="I5356" s="26" t="str">
        <f>IF(OR(E5356="",E5356="!!!",F5356="NEW"),"",INDEX(B5355:B$2,-1+SUMPRODUCT(MAX(ROW(E5355:E$2)*(E5356=E5355:E$2)))))</f>
        <v> </v>
      </c>
      <c r="J5356" s="26" t="str">
        <f>IF(OR(E5356="",E5356="!!!",F5356="NEW"),"",COUNTBLANK(OFFSET(A$1,,,SUMPRODUCT(MAX(ROW(E$2:E5356)*(E5356=E$2:E5356)))))-COUNTBLANK(OFFSET(A$1,,,SUMPRODUCT(MAX(ROW(E$1:E5355)*(E2=E$1:E5355))))))</f>
        <v> </v>
      </c>
      <c r="K5356" s="26" t="str">
        <f>IF(OR(E5356="",E5356="!!!",F5356="NEW"),"",INDEX(J$1:J5355,SUMPRODUCT(MAX(ROW(E$1:E5355)*(E5356=E$1:E5355)))))</f>
        <v> </v>
      </c>
      <c r="L5356" s="27"/>
    </row>
    <row r="5357" spans="1:12">
      <c r="A5357" s="20" t="s">
        <v>2211</v>
      </c>
      <c r="E5357" s="22">
        <f>IF(D5357="?OLD","!!!","")</f>
        <v/>
      </c>
      <c r="F5357" s="23" t="str">
        <f>IF(OR(E5357="",E5357="!!!"),"",IF(NOT(ISNA(VLOOKUP(E5357,E$1:E5356,1,FALSE()))),"OLD",IF(AND(E5357&lt;&gt;"",E5357&lt;&gt;"!!!"),"NEW","")))</f>
        <v> </v>
      </c>
      <c r="G5357" s="24" t="str">
        <f>IF(OR(E5357="",E5357="!!!"),"",IF(OR(J5357=0,AND(J5357=1,K5357=1),AND(J5357=1,I5357="SBJ"),AND(J5357=1,I5357=0)),"?IN_FOCUS",IF(J5357&lt;=2,"?ACTIVATED",IF(J5357&lt;&gt;"","?FAMILIAR",IF(F5357="NEW",IF(ISNA(VLOOKUP(E5357,#REF!,1,FALSE())),"?TYPE_IDENTIFIABLE","?REFERENTIAL"),"_")))))</f>
        <v> </v>
      </c>
      <c r="H5357" s="25" t="str">
        <f>IF(J5357&lt;&gt;1,"",IF(I5357="SBJ","CB","?"))</f>
        <v> </v>
      </c>
      <c r="I5357" s="26" t="str">
        <f>IF(OR(E5357="",E5357="!!!",F5357="NEW"),"",INDEX(B5356:B$2,-1+SUMPRODUCT(MAX(ROW(E5356:E$2)*(E5357=E5356:E$2)))))</f>
        <v> </v>
      </c>
      <c r="J5357" s="26" t="str">
        <f>IF(OR(E5357="",E5357="!!!",F5357="NEW"),"",COUNTBLANK(OFFSET(A$1,,,SUMPRODUCT(MAX(ROW(E$2:E5357)*(E5357=E$2:E5357)))))-COUNTBLANK(OFFSET(A$1,,,SUMPRODUCT(MAX(ROW(E$1:E5356)*(E2=E$1:E5356))))))</f>
        <v> </v>
      </c>
      <c r="K5357" s="26" t="str">
        <f>IF(OR(E5357="",E5357="!!!",F5357="NEW"),"",INDEX(J$1:J5356,SUMPRODUCT(MAX(ROW(E$1:E5356)*(E5357=E$1:E5356)))))</f>
        <v> </v>
      </c>
      <c r="L5357" s="27"/>
    </row>
    <row r="5358" spans="1:12">
      <c r="A5358" s="20" t="s">
        <v>1127</v>
      </c>
      <c r="E5358" s="22">
        <f>IF(D5358="?OLD","!!!","")</f>
        <v/>
      </c>
      <c r="F5358" s="23" t="str">
        <f>IF(OR(E5358="",E5358="!!!"),"",IF(NOT(ISNA(VLOOKUP(E5358,E$1:E5357,1,FALSE()))),"OLD",IF(AND(E5358&lt;&gt;"",E5358&lt;&gt;"!!!"),"NEW","")))</f>
        <v> </v>
      </c>
      <c r="G5358" s="24" t="str">
        <f>IF(OR(E5358="",E5358="!!!"),"",IF(OR(J5358=0,AND(J5358=1,K5358=1),AND(J5358=1,I5358="SBJ"),AND(J5358=1,I5358=0)),"?IN_FOCUS",IF(J5358&lt;=2,"?ACTIVATED",IF(J5358&lt;&gt;"","?FAMILIAR",IF(F5358="NEW",IF(ISNA(VLOOKUP(E5358,#REF!,1,FALSE())),"?TYPE_IDENTIFIABLE","?REFERENTIAL"),"_")))))</f>
        <v> </v>
      </c>
      <c r="H5358" s="25" t="str">
        <f>IF(J5358&lt;&gt;1,"",IF(I5358="SBJ","CB","?"))</f>
        <v> </v>
      </c>
      <c r="I5358" s="26" t="str">
        <f>IF(OR(E5358="",E5358="!!!",F5358="NEW"),"",INDEX(B5357:B$2,-1+SUMPRODUCT(MAX(ROW(E5357:E$2)*(E5358=E5357:E$2)))))</f>
        <v> </v>
      </c>
      <c r="J5358" s="26" t="str">
        <f>IF(OR(E5358="",E5358="!!!",F5358="NEW"),"",COUNTBLANK(OFFSET(A$1,,,SUMPRODUCT(MAX(ROW(E$2:E5358)*(E5358=E$2:E5358)))))-COUNTBLANK(OFFSET(A$1,,,SUMPRODUCT(MAX(ROW(E$1:E5357)*(E2=E$1:E5357))))))</f>
        <v> </v>
      </c>
      <c r="K5358" s="26" t="str">
        <f>IF(OR(E5358="",E5358="!!!",F5358="NEW"),"",INDEX(J$1:J5357,SUMPRODUCT(MAX(ROW(E$1:E5357)*(E5358=E$1:E5357)))))</f>
        <v> </v>
      </c>
      <c r="L5358" s="27"/>
    </row>
    <row r="5359" spans="1:12">
      <c r="A5359" s="20" t="s">
        <v>1121</v>
      </c>
      <c r="B5359" s="21" t="s">
        <v>1021</v>
      </c>
      <c r="C5359" s="21" t="s">
        <v>1010</v>
      </c>
      <c r="D5359" s="21" t="s">
        <v>1011</v>
      </c>
      <c r="E5359" s="22">
        <f>IF(D5359="?OLD","!!!","")</f>
        <v/>
      </c>
      <c r="F5359" s="23" t="str">
        <f>IF(OR(E5359="",E5359="!!!"),"",IF(NOT(ISNA(VLOOKUP(E5359,E$1:E5358,1,FALSE()))),"OLD",IF(AND(E5359&lt;&gt;"",E5359&lt;&gt;"!!!"),"NEW","")))</f>
        <v> </v>
      </c>
      <c r="G5359" s="24" t="str">
        <f>IF(OR(E5359="",E5359="!!!"),"",IF(OR(J5359=0,AND(J5359=1,K5359=1),AND(J5359=1,I5359="SBJ"),AND(J5359=1,I5359=0)),"?IN_FOCUS",IF(J5359&lt;=2,"?ACTIVATED",IF(J5359&lt;&gt;"","?FAMILIAR",IF(F5359="NEW",IF(ISNA(VLOOKUP(E5359,#REF!,1,FALSE())),"?TYPE_IDENTIFIABLE","?REFERENTIAL"),"_")))))</f>
        <v> </v>
      </c>
      <c r="H5359" s="25" t="str">
        <f>IF(J5359&lt;&gt;1,"",IF(I5359="SBJ","CB","?"))</f>
        <v> </v>
      </c>
      <c r="I5359" s="26" t="str">
        <f>IF(OR(E5359="",E5359="!!!",F5359="NEW"),"",INDEX(B5358:B$2,-1+SUMPRODUCT(MAX(ROW(E5358:E$2)*(E5359=E5358:E$2)))))</f>
        <v> </v>
      </c>
      <c r="J5359" s="26" t="str">
        <f>IF(OR(E5359="",E5359="!!!",F5359="NEW"),"",COUNTBLANK(OFFSET(A$1,,,SUMPRODUCT(MAX(ROW(E$2:E5359)*(E5359=E$2:E5359)))))-COUNTBLANK(OFFSET(A$1,,,SUMPRODUCT(MAX(ROW(E$1:E5358)*(E2=E$1:E5358))))))</f>
        <v> </v>
      </c>
      <c r="K5359" s="26" t="str">
        <f>IF(OR(E5359="",E5359="!!!",F5359="NEW"),"",INDEX(J$1:J5358,SUMPRODUCT(MAX(ROW(E$1:E5358)*(E5359=E$1:E5358)))))</f>
        <v> </v>
      </c>
      <c r="L5359" s="27"/>
    </row>
    <row r="5360" spans="1:12">
      <c r="A5360" s="20" t="s">
        <v>1028</v>
      </c>
      <c r="E5360" s="22">
        <f>IF(D5360="?OLD","!!!","")</f>
        <v/>
      </c>
      <c r="F5360" s="23" t="str">
        <f>IF(OR(E5360="",E5360="!!!"),"",IF(NOT(ISNA(VLOOKUP(E5360,E$1:E5359,1,FALSE()))),"OLD",IF(AND(E5360&lt;&gt;"",E5360&lt;&gt;"!!!"),"NEW","")))</f>
        <v> </v>
      </c>
      <c r="G5360" s="24" t="str">
        <f>IF(OR(E5360="",E5360="!!!"),"",IF(OR(J5360=0,AND(J5360=1,K5360=1),AND(J5360=1,I5360="SBJ"),AND(J5360=1,I5360=0)),"?IN_FOCUS",IF(J5360&lt;=2,"?ACTIVATED",IF(J5360&lt;&gt;"","?FAMILIAR",IF(F5360="NEW",IF(ISNA(VLOOKUP(E5360,#REF!,1,FALSE())),"?TYPE_IDENTIFIABLE","?REFERENTIAL"),"_")))))</f>
        <v> </v>
      </c>
      <c r="H5360" s="25" t="str">
        <f>IF(J5360&lt;&gt;1,"",IF(I5360="SBJ","CB","?"))</f>
        <v> </v>
      </c>
      <c r="I5360" s="26" t="str">
        <f>IF(OR(E5360="",E5360="!!!",F5360="NEW"),"",INDEX(B5359:B$2,-1+SUMPRODUCT(MAX(ROW(E5359:E$2)*(E5360=E5359:E$2)))))</f>
        <v> </v>
      </c>
      <c r="J5360" s="26" t="str">
        <f>IF(OR(E5360="",E5360="!!!",F5360="NEW"),"",COUNTBLANK(OFFSET(A$1,,,SUMPRODUCT(MAX(ROW(E$2:E5360)*(E5360=E$2:E5360)))))-COUNTBLANK(OFFSET(A$1,,,SUMPRODUCT(MAX(ROW(E$1:E5359)*(E2=E$1:E5359))))))</f>
        <v> </v>
      </c>
      <c r="K5360" s="26" t="str">
        <f>IF(OR(E5360="",E5360="!!!",F5360="NEW"),"",INDEX(J$1:J5359,SUMPRODUCT(MAX(ROW(E$1:E5359)*(E5360=E$1:E5359)))))</f>
        <v> </v>
      </c>
      <c r="L5360" s="27"/>
    </row>
    <row r="5361" spans="1:12">
      <c r="A5361" s="20" t="s">
        <v>1286</v>
      </c>
      <c r="B5361" s="21" t="s">
        <v>1021</v>
      </c>
      <c r="C5361" s="21" t="s">
        <v>1030</v>
      </c>
      <c r="E5361" s="22">
        <f>IF(D5361="?OLD","!!!","")</f>
        <v/>
      </c>
      <c r="F5361" s="23" t="str">
        <f>IF(OR(E5361="",E5361="!!!"),"",IF(NOT(ISNA(VLOOKUP(E5361,E$1:E5360,1,FALSE()))),"OLD",IF(AND(E5361&lt;&gt;"",E5361&lt;&gt;"!!!"),"NEW","")))</f>
        <v> </v>
      </c>
      <c r="G5361" s="24" t="str">
        <f>IF(OR(E5361="",E5361="!!!"),"",IF(OR(J5361=0,AND(J5361=1,K5361=1),AND(J5361=1,I5361="SBJ"),AND(J5361=1,I5361=0)),"?IN_FOCUS",IF(J5361&lt;=2,"?ACTIVATED",IF(J5361&lt;&gt;"","?FAMILIAR",IF(F5361="NEW",IF(ISNA(VLOOKUP(E5361,#REF!,1,FALSE())),"?TYPE_IDENTIFIABLE","?REFERENTIAL"),"_")))))</f>
        <v> </v>
      </c>
      <c r="H5361" s="25" t="str">
        <f>IF(J5361&lt;&gt;1,"",IF(I5361="SBJ","CB","?"))</f>
        <v> </v>
      </c>
      <c r="I5361" s="26" t="str">
        <f>IF(OR(E5361="",E5361="!!!",F5361="NEW"),"",INDEX(B5360:B$2,-1+SUMPRODUCT(MAX(ROW(E5360:E$2)*(E5361=E5360:E$2)))))</f>
        <v> </v>
      </c>
      <c r="J5361" s="26" t="str">
        <f>IF(OR(E5361="",E5361="!!!",F5361="NEW"),"",COUNTBLANK(OFFSET(A$1,,,SUMPRODUCT(MAX(ROW(E$2:E5361)*(E5361=E$2:E5361)))))-COUNTBLANK(OFFSET(A$1,,,SUMPRODUCT(MAX(ROW(E$1:E5360)*(E2=E$1:E5360))))))</f>
        <v> </v>
      </c>
      <c r="K5361" s="26" t="str">
        <f>IF(OR(E5361="",E5361="!!!",F5361="NEW"),"",INDEX(J$1:J5360,SUMPRODUCT(MAX(ROW(E$1:E5360)*(E5361=E$1:E5360)))))</f>
        <v> </v>
      </c>
      <c r="L5361" s="27"/>
    </row>
    <row r="5362" spans="1:12">
      <c r="A5362" s="20" t="s">
        <v>2212</v>
      </c>
      <c r="E5362" s="22">
        <f>IF(D5362="?OLD","!!!","")</f>
        <v/>
      </c>
      <c r="F5362" s="23" t="str">
        <f>IF(OR(E5362="",E5362="!!!"),"",IF(NOT(ISNA(VLOOKUP(E5362,E$1:E5361,1,FALSE()))),"OLD",IF(AND(E5362&lt;&gt;"",E5362&lt;&gt;"!!!"),"NEW","")))</f>
        <v> </v>
      </c>
      <c r="G5362" s="24" t="str">
        <f>IF(OR(E5362="",E5362="!!!"),"",IF(OR(J5362=0,AND(J5362=1,K5362=1),AND(J5362=1,I5362="SBJ"),AND(J5362=1,I5362=0)),"?IN_FOCUS",IF(J5362&lt;=2,"?ACTIVATED",IF(J5362&lt;&gt;"","?FAMILIAR",IF(F5362="NEW",IF(ISNA(VLOOKUP(E5362,#REF!,1,FALSE())),"?TYPE_IDENTIFIABLE","?REFERENTIAL"),"_")))))</f>
        <v> </v>
      </c>
      <c r="H5362" s="25" t="str">
        <f>IF(J5362&lt;&gt;1,"",IF(I5362="SBJ","CB","?"))</f>
        <v> </v>
      </c>
      <c r="I5362" s="26" t="str">
        <f>IF(OR(E5362="",E5362="!!!",F5362="NEW"),"",INDEX(B5361:B$2,-1+SUMPRODUCT(MAX(ROW(E5361:E$2)*(E5362=E5361:E$2)))))</f>
        <v> </v>
      </c>
      <c r="J5362" s="26" t="str">
        <f>IF(OR(E5362="",E5362="!!!",F5362="NEW"),"",COUNTBLANK(OFFSET(A$1,,,SUMPRODUCT(MAX(ROW(E$2:E5362)*(E5362=E$2:E5362)))))-COUNTBLANK(OFFSET(A$1,,,SUMPRODUCT(MAX(ROW(E$1:E5361)*(E2=E$1:E5361))))))</f>
        <v> </v>
      </c>
      <c r="K5362" s="26" t="str">
        <f>IF(OR(E5362="",E5362="!!!",F5362="NEW"),"",INDEX(J$1:J5361,SUMPRODUCT(MAX(ROW(E$1:E5361)*(E5362=E$1:E5361)))))</f>
        <v> </v>
      </c>
      <c r="L5362" s="27"/>
    </row>
    <row r="5363" spans="1:12">
      <c r="A5363" s="20" t="s">
        <v>1022</v>
      </c>
      <c r="E5363" s="22">
        <f>IF(D5363="?OLD","!!!","")</f>
        <v/>
      </c>
      <c r="F5363" s="23" t="str">
        <f>IF(OR(E5363="",E5363="!!!"),"",IF(NOT(ISNA(VLOOKUP(E5363,E$1:E5362,1,FALSE()))),"OLD",IF(AND(E5363&lt;&gt;"",E5363&lt;&gt;"!!!"),"NEW","")))</f>
        <v> </v>
      </c>
      <c r="G5363" s="24" t="str">
        <f>IF(OR(E5363="",E5363="!!!"),"",IF(OR(J5363=0,AND(J5363=1,K5363=1),AND(J5363=1,I5363="SBJ"),AND(J5363=1,I5363=0)),"?IN_FOCUS",IF(J5363&lt;=2,"?ACTIVATED",IF(J5363&lt;&gt;"","?FAMILIAR",IF(F5363="NEW",IF(ISNA(VLOOKUP(E5363,#REF!,1,FALSE())),"?TYPE_IDENTIFIABLE","?REFERENTIAL"),"_")))))</f>
        <v> </v>
      </c>
      <c r="H5363" s="25" t="str">
        <f>IF(J5363&lt;&gt;1,"",IF(I5363="SBJ","CB","?"))</f>
        <v> </v>
      </c>
      <c r="I5363" s="26" t="str">
        <f>IF(OR(E5363="",E5363="!!!",F5363="NEW"),"",INDEX(B5362:B$2,-1+SUMPRODUCT(MAX(ROW(E5362:E$2)*(E5363=E5362:E$2)))))</f>
        <v> </v>
      </c>
      <c r="J5363" s="26" t="str">
        <f>IF(OR(E5363="",E5363="!!!",F5363="NEW"),"",COUNTBLANK(OFFSET(A$1,,,SUMPRODUCT(MAX(ROW(E$2:E5363)*(E5363=E$2:E5363)))))-COUNTBLANK(OFFSET(A$1,,,SUMPRODUCT(MAX(ROW(E$1:E5362)*(E2=E$1:E5362))))))</f>
        <v> </v>
      </c>
      <c r="K5363" s="26" t="str">
        <f>IF(OR(E5363="",E5363="!!!",F5363="NEW"),"",INDEX(J$1:J5362,SUMPRODUCT(MAX(ROW(E$1:E5362)*(E5363=E$1:E5362)))))</f>
        <v> </v>
      </c>
      <c r="L5363" s="27"/>
    </row>
    <row r="5364" spans="1:12">
      <c r="A5364" s="20"/>
    </row>
    <row r="5365" spans="1:12">
      <c r="A5365" s="20" t="s">
        <v>2213</v>
      </c>
    </row>
    <row r="5366" spans="1:12">
      <c r="A5366" s="20" t="s">
        <v>1024</v>
      </c>
      <c r="E5366" s="22">
        <f>IF(D5366="?OLD","!!!","")</f>
        <v/>
      </c>
      <c r="F5366" s="23" t="str">
        <f>IF(OR(E5366="",E5366="!!!"),"",IF(NOT(ISNA(VLOOKUP(E5366,E$1:E5365,1,FALSE()))),"OLD",IF(AND(E5366&lt;&gt;"",E5366&lt;&gt;"!!!"),"NEW","")))</f>
        <v> </v>
      </c>
      <c r="G5366" s="24" t="str">
        <f>IF(OR(E5366="",E5366="!!!"),"",IF(OR(J5366=0,AND(J5366=1,K5366=1),AND(J5366=1,I5366="SBJ"),AND(J5366=1,I5366=0)),"?IN_FOCUS",IF(J5366&lt;=2,"?ACTIVATED",IF(J5366&lt;&gt;"","?FAMILIAR",IF(F5366="NEW",IF(ISNA(VLOOKUP(E5366,#REF!,1,FALSE())),"?TYPE_IDENTIFIABLE","?REFERENTIAL"),"_")))))</f>
        <v> </v>
      </c>
      <c r="H5366" s="25" t="str">
        <f>IF(J5366&lt;&gt;1,"",IF(I5366="SBJ","CB","?"))</f>
        <v> </v>
      </c>
      <c r="I5366" s="26" t="str">
        <f>IF(OR(E5366="",E5366="!!!",F5366="NEW"),"",INDEX(B5365:B$2,-1+SUMPRODUCT(MAX(ROW(E5365:E$2)*(E5366=E5365:E$2)))))</f>
        <v> </v>
      </c>
      <c r="J5366" s="26" t="str">
        <f>IF(OR(E5366="",E5366="!!!",F5366="NEW"),"",COUNTBLANK(OFFSET(A$1,,,SUMPRODUCT(MAX(ROW(E$2:E5366)*(E5366=E$2:E5366)))))-COUNTBLANK(OFFSET(A$1,,,SUMPRODUCT(MAX(ROW(E$1:E5365)*(E2=E$1:E5365))))))</f>
        <v> </v>
      </c>
      <c r="K5366" s="26" t="str">
        <f>IF(OR(E5366="",E5366="!!!",F5366="NEW"),"",INDEX(J$1:J5365,SUMPRODUCT(MAX(ROW(E$1:E5365)*(E5366=E$1:E5365)))))</f>
        <v> </v>
      </c>
      <c r="L5366" s="27"/>
    </row>
    <row r="5367" spans="1:12">
      <c r="A5367" s="20" t="s">
        <v>767</v>
      </c>
      <c r="E5367" s="22">
        <f>IF(D5367="?OLD","!!!","")</f>
        <v/>
      </c>
      <c r="F5367" s="23" t="str">
        <f>IF(OR(E5367="",E5367="!!!"),"",IF(NOT(ISNA(VLOOKUP(E5367,E$1:E5366,1,FALSE()))),"OLD",IF(AND(E5367&lt;&gt;"",E5367&lt;&gt;"!!!"),"NEW","")))</f>
        <v> </v>
      </c>
      <c r="G5367" s="24" t="str">
        <f>IF(OR(E5367="",E5367="!!!"),"",IF(OR(J5367=0,AND(J5367=1,K5367=1),AND(J5367=1,I5367="SBJ"),AND(J5367=1,I5367=0)),"?IN_FOCUS",IF(J5367&lt;=2,"?ACTIVATED",IF(J5367&lt;&gt;"","?FAMILIAR",IF(F5367="NEW",IF(ISNA(VLOOKUP(E5367,#REF!,1,FALSE())),"?TYPE_IDENTIFIABLE","?REFERENTIAL"),"_")))))</f>
        <v> </v>
      </c>
      <c r="H5367" s="25" t="str">
        <f>IF(J5367&lt;&gt;1,"",IF(I5367="SBJ","CB","?"))</f>
        <v> </v>
      </c>
      <c r="I5367" s="26" t="str">
        <f>IF(OR(E5367="",E5367="!!!",F5367="NEW"),"",INDEX(B5366:B$2,-1+SUMPRODUCT(MAX(ROW(E5366:E$2)*(E5367=E5366:E$2)))))</f>
        <v> </v>
      </c>
      <c r="J5367" s="26" t="str">
        <f>IF(OR(E5367="",E5367="!!!",F5367="NEW"),"",COUNTBLANK(OFFSET(A$1,,,SUMPRODUCT(MAX(ROW(E$2:E5367)*(E5367=E$2:E5367)))))-COUNTBLANK(OFFSET(A$1,,,SUMPRODUCT(MAX(ROW(E$1:E5366)*(E2=E$1:E5366))))))</f>
        <v> </v>
      </c>
      <c r="K5367" s="26" t="str">
        <f>IF(OR(E5367="",E5367="!!!",F5367="NEW"),"",INDEX(J$1:J5366,SUMPRODUCT(MAX(ROW(E$1:E5366)*(E5367=E$1:E5366)))))</f>
        <v> </v>
      </c>
      <c r="L5367" s="27"/>
    </row>
    <row r="5368" spans="1:12">
      <c r="A5368" s="20" t="s">
        <v>1032</v>
      </c>
      <c r="E5368" s="22">
        <f>IF(D5368="?OLD","!!!","")</f>
        <v/>
      </c>
      <c r="F5368" s="23" t="str">
        <f>IF(OR(E5368="",E5368="!!!"),"",IF(NOT(ISNA(VLOOKUP(E5368,E$1:E5367,1,FALSE()))),"OLD",IF(AND(E5368&lt;&gt;"",E5368&lt;&gt;"!!!"),"NEW","")))</f>
        <v> </v>
      </c>
      <c r="G5368" s="24" t="str">
        <f>IF(OR(E5368="",E5368="!!!"),"",IF(OR(J5368=0,AND(J5368=1,K5368=1),AND(J5368=1,I5368="SBJ"),AND(J5368=1,I5368=0)),"?IN_FOCUS",IF(J5368&lt;=2,"?ACTIVATED",IF(J5368&lt;&gt;"","?FAMILIAR",IF(F5368="NEW",IF(ISNA(VLOOKUP(E5368,#REF!,1,FALSE())),"?TYPE_IDENTIFIABLE","?REFERENTIAL"),"_")))))</f>
        <v> </v>
      </c>
      <c r="H5368" s="25" t="str">
        <f>IF(J5368&lt;&gt;1,"",IF(I5368="SBJ","CB","?"))</f>
        <v> </v>
      </c>
      <c r="I5368" s="26" t="str">
        <f>IF(OR(E5368="",E5368="!!!",F5368="NEW"),"",INDEX(B5367:B$2,-1+SUMPRODUCT(MAX(ROW(E5367:E$2)*(E5368=E5367:E$2)))))</f>
        <v> </v>
      </c>
      <c r="J5368" s="26" t="str">
        <f>IF(OR(E5368="",E5368="!!!",F5368="NEW"),"",COUNTBLANK(OFFSET(A$1,,,SUMPRODUCT(MAX(ROW(E$2:E5368)*(E5368=E$2:E5368)))))-COUNTBLANK(OFFSET(A$1,,,SUMPRODUCT(MAX(ROW(E$1:E5367)*(E2=E$1:E5367))))))</f>
        <v> </v>
      </c>
      <c r="K5368" s="26" t="str">
        <f>IF(OR(E5368="",E5368="!!!",F5368="NEW"),"",INDEX(J$1:J5367,SUMPRODUCT(MAX(ROW(E$1:E5367)*(E5368=E$1:E5367)))))</f>
        <v> </v>
      </c>
      <c r="L5368" s="27"/>
    </row>
    <row r="5369" spans="1:12">
      <c r="A5369" s="20" t="s">
        <v>1475</v>
      </c>
      <c r="E5369" s="22">
        <f>IF(D5369="?OLD","!!!","")</f>
        <v/>
      </c>
      <c r="F5369" s="23" t="str">
        <f>IF(OR(E5369="",E5369="!!!"),"",IF(NOT(ISNA(VLOOKUP(E5369,E$1:E5368,1,FALSE()))),"OLD",IF(AND(E5369&lt;&gt;"",E5369&lt;&gt;"!!!"),"NEW","")))</f>
        <v> </v>
      </c>
      <c r="G5369" s="24" t="str">
        <f>IF(OR(E5369="",E5369="!!!"),"",IF(OR(J5369=0,AND(J5369=1,K5369=1),AND(J5369=1,I5369="SBJ"),AND(J5369=1,I5369=0)),"?IN_FOCUS",IF(J5369&lt;=2,"?ACTIVATED",IF(J5369&lt;&gt;"","?FAMILIAR",IF(F5369="NEW",IF(ISNA(VLOOKUP(E5369,#REF!,1,FALSE())),"?TYPE_IDENTIFIABLE","?REFERENTIAL"),"_")))))</f>
        <v> </v>
      </c>
      <c r="H5369" s="25" t="str">
        <f>IF(J5369&lt;&gt;1,"",IF(I5369="SBJ","CB","?"))</f>
        <v> </v>
      </c>
      <c r="I5369" s="26" t="str">
        <f>IF(OR(E5369="",E5369="!!!",F5369="NEW"),"",INDEX(B5368:B$2,-1+SUMPRODUCT(MAX(ROW(E5368:E$2)*(E5369=E5368:E$2)))))</f>
        <v> </v>
      </c>
      <c r="J5369" s="26" t="str">
        <f>IF(OR(E5369="",E5369="!!!",F5369="NEW"),"",COUNTBLANK(OFFSET(A$1,,,SUMPRODUCT(MAX(ROW(E$2:E5369)*(E5369=E$2:E5369)))))-COUNTBLANK(OFFSET(A$1,,,SUMPRODUCT(MAX(ROW(E$1:E5368)*(E2=E$1:E5368))))))</f>
        <v> </v>
      </c>
      <c r="K5369" s="26" t="str">
        <f>IF(OR(E5369="",E5369="!!!",F5369="NEW"),"",INDEX(J$1:J5368,SUMPRODUCT(MAX(ROW(E$1:E5368)*(E5369=E$1:E5368)))))</f>
        <v> </v>
      </c>
      <c r="L5369" s="27"/>
    </row>
    <row r="5370" spans="1:12">
      <c r="A5370" s="20" t="s">
        <v>1137</v>
      </c>
      <c r="B5370" s="21" t="s">
        <v>1039</v>
      </c>
      <c r="C5370" s="21" t="s">
        <v>1010</v>
      </c>
      <c r="D5370" s="21" t="s">
        <v>1011</v>
      </c>
      <c r="E5370" s="22">
        <f>IF(D5370="?OLD","!!!","")</f>
        <v/>
      </c>
      <c r="F5370" s="23" t="str">
        <f>IF(OR(E5370="",E5370="!!!"),"",IF(NOT(ISNA(VLOOKUP(E5370,E$1:E5369,1,FALSE()))),"OLD",IF(AND(E5370&lt;&gt;"",E5370&lt;&gt;"!!!"),"NEW","")))</f>
        <v> </v>
      </c>
      <c r="G5370" s="24" t="str">
        <f>IF(OR(E5370="",E5370="!!!"),"",IF(OR(J5370=0,AND(J5370=1,K5370=1),AND(J5370=1,I5370="SBJ"),AND(J5370=1,I5370=0)),"?IN_FOCUS",IF(J5370&lt;=2,"?ACTIVATED",IF(J5370&lt;&gt;"","?FAMILIAR",IF(F5370="NEW",IF(ISNA(VLOOKUP(E5370,#REF!,1,FALSE())),"?TYPE_IDENTIFIABLE","?REFERENTIAL"),"_")))))</f>
        <v> </v>
      </c>
      <c r="H5370" s="25" t="str">
        <f>IF(J5370&lt;&gt;1,"",IF(I5370="SBJ","CB","?"))</f>
        <v> </v>
      </c>
      <c r="I5370" s="26" t="str">
        <f>IF(OR(E5370="",E5370="!!!",F5370="NEW"),"",INDEX(B5369:B$2,-1+SUMPRODUCT(MAX(ROW(E5369:E$2)*(E5370=E5369:E$2)))))</f>
        <v> </v>
      </c>
      <c r="J5370" s="26" t="str">
        <f>IF(OR(E5370="",E5370="!!!",F5370="NEW"),"",COUNTBLANK(OFFSET(A$1,,,SUMPRODUCT(MAX(ROW(E$2:E5370)*(E5370=E$2:E5370)))))-COUNTBLANK(OFFSET(A$1,,,SUMPRODUCT(MAX(ROW(E$1:E5369)*(E2=E$1:E5369))))))</f>
        <v> </v>
      </c>
      <c r="K5370" s="26" t="str">
        <f>IF(OR(E5370="",E5370="!!!",F5370="NEW"),"",INDEX(J$1:J5369,SUMPRODUCT(MAX(ROW(E$1:E5369)*(E5370=E$1:E5369)))))</f>
        <v> </v>
      </c>
      <c r="L5370" s="27"/>
    </row>
    <row r="5371" spans="1:12">
      <c r="A5371" s="20" t="s">
        <v>90</v>
      </c>
      <c r="E5371" s="22">
        <f>IF(D5371="?OLD","!!!","")</f>
        <v/>
      </c>
      <c r="F5371" s="23" t="str">
        <f>IF(OR(E5371="",E5371="!!!"),"",IF(NOT(ISNA(VLOOKUP(E5371,E$1:E5370,1,FALSE()))),"OLD",IF(AND(E5371&lt;&gt;"",E5371&lt;&gt;"!!!"),"NEW","")))</f>
        <v> </v>
      </c>
      <c r="G5371" s="24" t="str">
        <f>IF(OR(E5371="",E5371="!!!"),"",IF(OR(J5371=0,AND(J5371=1,K5371=1),AND(J5371=1,I5371="SBJ"),AND(J5371=1,I5371=0)),"?IN_FOCUS",IF(J5371&lt;=2,"?ACTIVATED",IF(J5371&lt;&gt;"","?FAMILIAR",IF(F5371="NEW",IF(ISNA(VLOOKUP(E5371,#REF!,1,FALSE())),"?TYPE_IDENTIFIABLE","?REFERENTIAL"),"_")))))</f>
        <v> </v>
      </c>
      <c r="H5371" s="25" t="str">
        <f>IF(J5371&lt;&gt;1,"",IF(I5371="SBJ","CB","?"))</f>
        <v> </v>
      </c>
      <c r="I5371" s="26" t="str">
        <f>IF(OR(E5371="",E5371="!!!",F5371="NEW"),"",INDEX(B5370:B$2,-1+SUMPRODUCT(MAX(ROW(E5370:E$2)*(E5371=E5370:E$2)))))</f>
        <v> </v>
      </c>
      <c r="J5371" s="26" t="str">
        <f>IF(OR(E5371="",E5371="!!!",F5371="NEW"),"",COUNTBLANK(OFFSET(A$1,,,SUMPRODUCT(MAX(ROW(E$2:E5371)*(E5371=E$2:E5371)))))-COUNTBLANK(OFFSET(A$1,,,SUMPRODUCT(MAX(ROW(E$1:E5370)*(E2=E$1:E5370))))))</f>
        <v> </v>
      </c>
      <c r="K5371" s="26" t="str">
        <f>IF(OR(E5371="",E5371="!!!",F5371="NEW"),"",INDEX(J$1:J5370,SUMPRODUCT(MAX(ROW(E$1:E5370)*(E5371=E$1:E5370)))))</f>
        <v> </v>
      </c>
      <c r="L5371" s="27"/>
    </row>
    <row r="5372" spans="1:12">
      <c r="A5372" s="20" t="s">
        <v>1317</v>
      </c>
      <c r="E5372" s="22">
        <f>IF(D5372="?OLD","!!!","")</f>
        <v/>
      </c>
      <c r="F5372" s="23" t="str">
        <f>IF(OR(E5372="",E5372="!!!"),"",IF(NOT(ISNA(VLOOKUP(E5372,E$1:E5371,1,FALSE()))),"OLD",IF(AND(E5372&lt;&gt;"",E5372&lt;&gt;"!!!"),"NEW","")))</f>
        <v> </v>
      </c>
      <c r="G5372" s="24" t="str">
        <f>IF(OR(E5372="",E5372="!!!"),"",IF(OR(J5372=0,AND(J5372=1,K5372=1),AND(J5372=1,I5372="SBJ"),AND(J5372=1,I5372=0)),"?IN_FOCUS",IF(J5372&lt;=2,"?ACTIVATED",IF(J5372&lt;&gt;"","?FAMILIAR",IF(F5372="NEW",IF(ISNA(VLOOKUP(E5372,#REF!,1,FALSE())),"?TYPE_IDENTIFIABLE","?REFERENTIAL"),"_")))))</f>
        <v> </v>
      </c>
      <c r="H5372" s="25" t="str">
        <f>IF(J5372&lt;&gt;1,"",IF(I5372="SBJ","CB","?"))</f>
        <v> </v>
      </c>
      <c r="I5372" s="26" t="str">
        <f>IF(OR(E5372="",E5372="!!!",F5372="NEW"),"",INDEX(B5371:B$2,-1+SUMPRODUCT(MAX(ROW(E5371:E$2)*(E5372=E5371:E$2)))))</f>
        <v> </v>
      </c>
      <c r="J5372" s="26" t="str">
        <f>IF(OR(E5372="",E5372="!!!",F5372="NEW"),"",COUNTBLANK(OFFSET(A$1,,,SUMPRODUCT(MAX(ROW(E$2:E5372)*(E5372=E$2:E5372)))))-COUNTBLANK(OFFSET(A$1,,,SUMPRODUCT(MAX(ROW(E$1:E5371)*(E2=E$1:E5371))))))</f>
        <v> </v>
      </c>
      <c r="K5372" s="26" t="str">
        <f>IF(OR(E5372="",E5372="!!!",F5372="NEW"),"",INDEX(J$1:J5371,SUMPRODUCT(MAX(ROW(E$1:E5371)*(E5372=E$1:E5371)))))</f>
        <v> </v>
      </c>
      <c r="L5372" s="27"/>
    </row>
    <row r="5373" spans="1:12">
      <c r="A5373" s="20" t="s">
        <v>1535</v>
      </c>
      <c r="B5373" s="21" t="s">
        <v>1088</v>
      </c>
      <c r="C5373" s="21" t="s">
        <v>1030</v>
      </c>
      <c r="E5373" s="22">
        <f>IF(D5373="?OLD","!!!","")</f>
        <v/>
      </c>
      <c r="F5373" s="23" t="str">
        <f>IF(OR(E5373="",E5373="!!!"),"",IF(NOT(ISNA(VLOOKUP(E5373,E$1:E5372,1,FALSE()))),"OLD",IF(AND(E5373&lt;&gt;"",E5373&lt;&gt;"!!!"),"NEW","")))</f>
        <v> </v>
      </c>
      <c r="G5373" s="24" t="str">
        <f>IF(OR(E5373="",E5373="!!!"),"",IF(OR(J5373=0,AND(J5373=1,K5373=1),AND(J5373=1,I5373="SBJ"),AND(J5373=1,I5373=0)),"?IN_FOCUS",IF(J5373&lt;=2,"?ACTIVATED",IF(J5373&lt;&gt;"","?FAMILIAR",IF(F5373="NEW",IF(ISNA(VLOOKUP(E5373,#REF!,1,FALSE())),"?TYPE_IDENTIFIABLE","?REFERENTIAL"),"_")))))</f>
        <v> </v>
      </c>
      <c r="H5373" s="25" t="str">
        <f>IF(J5373&lt;&gt;1,"",IF(I5373="SBJ","CB","?"))</f>
        <v> </v>
      </c>
      <c r="I5373" s="26" t="str">
        <f>IF(OR(E5373="",E5373="!!!",F5373="NEW"),"",INDEX(B5372:B$2,-1+SUMPRODUCT(MAX(ROW(E5372:E$2)*(E5373=E5372:E$2)))))</f>
        <v> </v>
      </c>
      <c r="J5373" s="26" t="str">
        <f>IF(OR(E5373="",E5373="!!!",F5373="NEW"),"",COUNTBLANK(OFFSET(A$1,,,SUMPRODUCT(MAX(ROW(E$2:E5373)*(E5373=E$2:E5373)))))-COUNTBLANK(OFFSET(A$1,,,SUMPRODUCT(MAX(ROW(E$1:E5372)*(E2=E$1:E5372))))))</f>
        <v> </v>
      </c>
      <c r="K5373" s="26" t="str">
        <f>IF(OR(E5373="",E5373="!!!",F5373="NEW"),"",INDEX(J$1:J5372,SUMPRODUCT(MAX(ROW(E$1:E5372)*(E5373=E$1:E5372)))))</f>
        <v> </v>
      </c>
      <c r="L5373" s="27"/>
    </row>
    <row r="5374" spans="1:12">
      <c r="A5374" s="20" t="s">
        <v>1132</v>
      </c>
      <c r="E5374" s="22">
        <f>IF(D5374="?OLD","!!!","")</f>
        <v/>
      </c>
      <c r="F5374" s="23" t="str">
        <f>IF(OR(E5374="",E5374="!!!"),"",IF(NOT(ISNA(VLOOKUP(E5374,E$1:E5373,1,FALSE()))),"OLD",IF(AND(E5374&lt;&gt;"",E5374&lt;&gt;"!!!"),"NEW","")))</f>
        <v> </v>
      </c>
      <c r="G5374" s="24" t="str">
        <f>IF(OR(E5374="",E5374="!!!"),"",IF(OR(J5374=0,AND(J5374=1,K5374=1),AND(J5374=1,I5374="SBJ"),AND(J5374=1,I5374=0)),"?IN_FOCUS",IF(J5374&lt;=2,"?ACTIVATED",IF(J5374&lt;&gt;"","?FAMILIAR",IF(F5374="NEW",IF(ISNA(VLOOKUP(E5374,#REF!,1,FALSE())),"?TYPE_IDENTIFIABLE","?REFERENTIAL"),"_")))))</f>
        <v> </v>
      </c>
      <c r="H5374" s="25" t="str">
        <f>IF(J5374&lt;&gt;1,"",IF(I5374="SBJ","CB","?"))</f>
        <v> </v>
      </c>
      <c r="I5374" s="26" t="str">
        <f>IF(OR(E5374="",E5374="!!!",F5374="NEW"),"",INDEX(B5373:B$2,-1+SUMPRODUCT(MAX(ROW(E5373:E$2)*(E5374=E5373:E$2)))))</f>
        <v> </v>
      </c>
      <c r="J5374" s="26" t="str">
        <f>IF(OR(E5374="",E5374="!!!",F5374="NEW"),"",COUNTBLANK(OFFSET(A$1,,,SUMPRODUCT(MAX(ROW(E$2:E5374)*(E5374=E$2:E5374)))))-COUNTBLANK(OFFSET(A$1,,,SUMPRODUCT(MAX(ROW(E$1:E5373)*(E2=E$1:E5373))))))</f>
        <v> </v>
      </c>
      <c r="K5374" s="26" t="str">
        <f>IF(OR(E5374="",E5374="!!!",F5374="NEW"),"",INDEX(J$1:J5373,SUMPRODUCT(MAX(ROW(E$1:E5373)*(E5374=E$1:E5373)))))</f>
        <v> </v>
      </c>
      <c r="L5374" s="27"/>
    </row>
    <row r="5375" spans="1:12">
      <c r="A5375" s="20" t="s">
        <v>2214</v>
      </c>
      <c r="E5375" s="22">
        <f>IF(D5375="?OLD","!!!","")</f>
        <v/>
      </c>
      <c r="F5375" s="23" t="str">
        <f>IF(OR(E5375="",E5375="!!!"),"",IF(NOT(ISNA(VLOOKUP(E5375,E$1:E5374,1,FALSE()))),"OLD",IF(AND(E5375&lt;&gt;"",E5375&lt;&gt;"!!!"),"NEW","")))</f>
        <v> </v>
      </c>
      <c r="G5375" s="24" t="str">
        <f>IF(OR(E5375="",E5375="!!!"),"",IF(OR(J5375=0,AND(J5375=1,K5375=1),AND(J5375=1,I5375="SBJ"),AND(J5375=1,I5375=0)),"?IN_FOCUS",IF(J5375&lt;=2,"?ACTIVATED",IF(J5375&lt;&gt;"","?FAMILIAR",IF(F5375="NEW",IF(ISNA(VLOOKUP(E5375,#REF!,1,FALSE())),"?TYPE_IDENTIFIABLE","?REFERENTIAL"),"_")))))</f>
        <v> </v>
      </c>
      <c r="H5375" s="25" t="str">
        <f>IF(J5375&lt;&gt;1,"",IF(I5375="SBJ","CB","?"))</f>
        <v> </v>
      </c>
      <c r="I5375" s="26" t="str">
        <f>IF(OR(E5375="",E5375="!!!",F5375="NEW"),"",INDEX(B5374:B$2,-1+SUMPRODUCT(MAX(ROW(E5374:E$2)*(E5375=E5374:E$2)))))</f>
        <v> </v>
      </c>
      <c r="J5375" s="26" t="str">
        <f>IF(OR(E5375="",E5375="!!!",F5375="NEW"),"",COUNTBLANK(OFFSET(A$1,,,SUMPRODUCT(MAX(ROW(E$2:E5375)*(E5375=E$2:E5375)))))-COUNTBLANK(OFFSET(A$1,,,SUMPRODUCT(MAX(ROW(E$1:E5374)*(E2=E$1:E5374))))))</f>
        <v> </v>
      </c>
      <c r="K5375" s="26" t="str">
        <f>IF(OR(E5375="",E5375="!!!",F5375="NEW"),"",INDEX(J$1:J5374,SUMPRODUCT(MAX(ROW(E$1:E5374)*(E5375=E$1:E5374)))))</f>
        <v> </v>
      </c>
      <c r="L5375" s="27"/>
    </row>
    <row r="5376" spans="1:12">
      <c r="A5376" s="20" t="s">
        <v>1615</v>
      </c>
      <c r="B5376" s="21" t="s">
        <v>1021</v>
      </c>
      <c r="C5376" s="21" t="s">
        <v>1017</v>
      </c>
      <c r="E5376" s="22">
        <f>IF(D5376="?OLD","!!!","")</f>
        <v/>
      </c>
      <c r="F5376" s="23" t="str">
        <f>IF(OR(E5376="",E5376="!!!"),"",IF(NOT(ISNA(VLOOKUP(E5376,E$1:E5375,1,FALSE()))),"OLD",IF(AND(E5376&lt;&gt;"",E5376&lt;&gt;"!!!"),"NEW","")))</f>
        <v> </v>
      </c>
      <c r="G5376" s="24" t="str">
        <f>IF(OR(E5376="",E5376="!!!"),"",IF(OR(J5376=0,AND(J5376=1,K5376=1),AND(J5376=1,I5376="SBJ"),AND(J5376=1,I5376=0)),"?IN_FOCUS",IF(J5376&lt;=2,"?ACTIVATED",IF(J5376&lt;&gt;"","?FAMILIAR",IF(F5376="NEW",IF(ISNA(VLOOKUP(E5376,#REF!,1,FALSE())),"?TYPE_IDENTIFIABLE","?REFERENTIAL"),"_")))))</f>
        <v> </v>
      </c>
      <c r="H5376" s="25" t="str">
        <f>IF(J5376&lt;&gt;1,"",IF(I5376="SBJ","CB","?"))</f>
        <v> </v>
      </c>
      <c r="I5376" s="26" t="str">
        <f>IF(OR(E5376="",E5376="!!!",F5376="NEW"),"",INDEX(B5375:B$2,-1+SUMPRODUCT(MAX(ROW(E5375:E$2)*(E5376=E5375:E$2)))))</f>
        <v> </v>
      </c>
      <c r="J5376" s="26" t="str">
        <f>IF(OR(E5376="",E5376="!!!",F5376="NEW"),"",COUNTBLANK(OFFSET(A$1,,,SUMPRODUCT(MAX(ROW(E$2:E5376)*(E5376=E$2:E5376)))))-COUNTBLANK(OFFSET(A$1,,,SUMPRODUCT(MAX(ROW(E$1:E5375)*(E2=E$1:E5375))))))</f>
        <v> </v>
      </c>
      <c r="K5376" s="26" t="str">
        <f>IF(OR(E5376="",E5376="!!!",F5376="NEW"),"",INDEX(J$1:J5375,SUMPRODUCT(MAX(ROW(E$1:E5375)*(E5376=E$1:E5375)))))</f>
        <v> </v>
      </c>
      <c r="L5376" s="27"/>
    </row>
    <row r="5377" spans="1:12">
      <c r="A5377" s="20" t="s">
        <v>1032</v>
      </c>
      <c r="E5377" s="22">
        <f>IF(D5377="?OLD","!!!","")</f>
        <v/>
      </c>
      <c r="F5377" s="23" t="str">
        <f>IF(OR(E5377="",E5377="!!!"),"",IF(NOT(ISNA(VLOOKUP(E5377,E$1:E5376,1,FALSE()))),"OLD",IF(AND(E5377&lt;&gt;"",E5377&lt;&gt;"!!!"),"NEW","")))</f>
        <v> </v>
      </c>
      <c r="G5377" s="24" t="str">
        <f>IF(OR(E5377="",E5377="!!!"),"",IF(OR(J5377=0,AND(J5377=1,K5377=1),AND(J5377=1,I5377="SBJ"),AND(J5377=1,I5377=0)),"?IN_FOCUS",IF(J5377&lt;=2,"?ACTIVATED",IF(J5377&lt;&gt;"","?FAMILIAR",IF(F5377="NEW",IF(ISNA(VLOOKUP(E5377,#REF!,1,FALSE())),"?TYPE_IDENTIFIABLE","?REFERENTIAL"),"_")))))</f>
        <v> </v>
      </c>
      <c r="H5377" s="25" t="str">
        <f>IF(J5377&lt;&gt;1,"",IF(I5377="SBJ","CB","?"))</f>
        <v> </v>
      </c>
      <c r="I5377" s="26" t="str">
        <f>IF(OR(E5377="",E5377="!!!",F5377="NEW"),"",INDEX(B5376:B$2,-1+SUMPRODUCT(MAX(ROW(E5376:E$2)*(E5377=E5376:E$2)))))</f>
        <v> </v>
      </c>
      <c r="J5377" s="26" t="str">
        <f>IF(OR(E5377="",E5377="!!!",F5377="NEW"),"",COUNTBLANK(OFFSET(A$1,,,SUMPRODUCT(MAX(ROW(E$2:E5377)*(E5377=E$2:E5377)))))-COUNTBLANK(OFFSET(A$1,,,SUMPRODUCT(MAX(ROW(E$1:E5376)*(E2=E$1:E5376))))))</f>
        <v> </v>
      </c>
      <c r="K5377" s="26" t="str">
        <f>IF(OR(E5377="",E5377="!!!",F5377="NEW"),"",INDEX(J$1:J5376,SUMPRODUCT(MAX(ROW(E$1:E5376)*(E5377=E$1:E5376)))))</f>
        <v> </v>
      </c>
      <c r="L5377" s="27"/>
    </row>
    <row r="5378" spans="1:12">
      <c r="A5378" s="20" t="s">
        <v>1042</v>
      </c>
      <c r="E5378" s="22">
        <f>IF(D5378="?OLD","!!!","")</f>
        <v/>
      </c>
      <c r="F5378" s="23" t="str">
        <f>IF(OR(E5378="",E5378="!!!"),"",IF(NOT(ISNA(VLOOKUP(E5378,E$1:E5377,1,FALSE()))),"OLD",IF(AND(E5378&lt;&gt;"",E5378&lt;&gt;"!!!"),"NEW","")))</f>
        <v> </v>
      </c>
      <c r="G5378" s="24" t="str">
        <f>IF(OR(E5378="",E5378="!!!"),"",IF(OR(J5378=0,AND(J5378=1,K5378=1),AND(J5378=1,I5378="SBJ"),AND(J5378=1,I5378=0)),"?IN_FOCUS",IF(J5378&lt;=2,"?ACTIVATED",IF(J5378&lt;&gt;"","?FAMILIAR",IF(F5378="NEW",IF(ISNA(VLOOKUP(E5378,#REF!,1,FALSE())),"?TYPE_IDENTIFIABLE","?REFERENTIAL"),"_")))))</f>
        <v> </v>
      </c>
      <c r="H5378" s="25" t="str">
        <f>IF(J5378&lt;&gt;1,"",IF(I5378="SBJ","CB","?"))</f>
        <v> </v>
      </c>
      <c r="I5378" s="26" t="str">
        <f>IF(OR(E5378="",E5378="!!!",F5378="NEW"),"",INDEX(B5377:B$2,-1+SUMPRODUCT(MAX(ROW(E5377:E$2)*(E5378=E5377:E$2)))))</f>
        <v> </v>
      </c>
      <c r="J5378" s="26" t="str">
        <f>IF(OR(E5378="",E5378="!!!",F5378="NEW"),"",COUNTBLANK(OFFSET(A$1,,,SUMPRODUCT(MAX(ROW(E$2:E5378)*(E5378=E$2:E5378)))))-COUNTBLANK(OFFSET(A$1,,,SUMPRODUCT(MAX(ROW(E$1:E5377)*(E2=E$1:E5377))))))</f>
        <v> </v>
      </c>
      <c r="K5378" s="26" t="str">
        <f>IF(OR(E5378="",E5378="!!!",F5378="NEW"),"",INDEX(J$1:J5377,SUMPRODUCT(MAX(ROW(E$1:E5377)*(E5378=E$1:E5377)))))</f>
        <v> </v>
      </c>
      <c r="L5378" s="27"/>
    </row>
    <row r="5379" spans="1:12">
      <c r="A5379" s="20" t="s">
        <v>917</v>
      </c>
      <c r="B5379" s="21" t="s">
        <v>1071</v>
      </c>
      <c r="C5379" s="21" t="s">
        <v>1044</v>
      </c>
      <c r="D5379" s="21" t="s">
        <v>1011</v>
      </c>
      <c r="E5379" s="22">
        <f>IF(D5379="?OLD","!!!","")</f>
        <v/>
      </c>
      <c r="F5379" s="23" t="str">
        <f>IF(OR(E5379="",E5379="!!!"),"",IF(NOT(ISNA(VLOOKUP(E5379,E$1:E5378,1,FALSE()))),"OLD",IF(AND(E5379&lt;&gt;"",E5379&lt;&gt;"!!!"),"NEW","")))</f>
        <v> </v>
      </c>
      <c r="G5379" s="24" t="str">
        <f>IF(OR(E5379="",E5379="!!!"),"",IF(OR(J5379=0,AND(J5379=1,K5379=1),AND(J5379=1,I5379="SBJ"),AND(J5379=1,I5379=0)),"?IN_FOCUS",IF(J5379&lt;=2,"?ACTIVATED",IF(J5379&lt;&gt;"","?FAMILIAR",IF(F5379="NEW",IF(ISNA(VLOOKUP(E5379,#REF!,1,FALSE())),"?TYPE_IDENTIFIABLE","?REFERENTIAL"),"_")))))</f>
        <v> </v>
      </c>
      <c r="H5379" s="25" t="str">
        <f>IF(J5379&lt;&gt;1,"",IF(I5379="SBJ","CB","?"))</f>
        <v> </v>
      </c>
      <c r="I5379" s="26" t="str">
        <f>IF(OR(E5379="",E5379="!!!",F5379="NEW"),"",INDEX(B5378:B$2,-1+SUMPRODUCT(MAX(ROW(E5378:E$2)*(E5379=E5378:E$2)))))</f>
        <v> </v>
      </c>
      <c r="J5379" s="26" t="str">
        <f>IF(OR(E5379="",E5379="!!!",F5379="NEW"),"",COUNTBLANK(OFFSET(A$1,,,SUMPRODUCT(MAX(ROW(E$2:E5379)*(E5379=E$2:E5379)))))-COUNTBLANK(OFFSET(A$1,,,SUMPRODUCT(MAX(ROW(E$1:E5378)*(E2=E$1:E5378))))))</f>
        <v> </v>
      </c>
      <c r="K5379" s="26" t="str">
        <f>IF(OR(E5379="",E5379="!!!",F5379="NEW"),"",INDEX(J$1:J5378,SUMPRODUCT(MAX(ROW(E$1:E5378)*(E5379=E$1:E5378)))))</f>
        <v> </v>
      </c>
      <c r="L5379" s="27"/>
    </row>
    <row r="5380" spans="1:12">
      <c r="A5380" s="20" t="s">
        <v>1132</v>
      </c>
      <c r="E5380" s="22">
        <f>IF(D5380="?OLD","!!!","")</f>
        <v/>
      </c>
      <c r="F5380" s="23" t="str">
        <f>IF(OR(E5380="",E5380="!!!"),"",IF(NOT(ISNA(VLOOKUP(E5380,E$1:E5379,1,FALSE()))),"OLD",IF(AND(E5380&lt;&gt;"",E5380&lt;&gt;"!!!"),"NEW","")))</f>
        <v> </v>
      </c>
      <c r="G5380" s="24" t="str">
        <f>IF(OR(E5380="",E5380="!!!"),"",IF(OR(J5380=0,AND(J5380=1,K5380=1),AND(J5380=1,I5380="SBJ"),AND(J5380=1,I5380=0)),"?IN_FOCUS",IF(J5380&lt;=2,"?ACTIVATED",IF(J5380&lt;&gt;"","?FAMILIAR",IF(F5380="NEW",IF(ISNA(VLOOKUP(E5380,#REF!,1,FALSE())),"?TYPE_IDENTIFIABLE","?REFERENTIAL"),"_")))))</f>
        <v> </v>
      </c>
      <c r="H5380" s="25" t="str">
        <f>IF(J5380&lt;&gt;1,"",IF(I5380="SBJ","CB","?"))</f>
        <v> </v>
      </c>
      <c r="I5380" s="26" t="str">
        <f>IF(OR(E5380="",E5380="!!!",F5380="NEW"),"",INDEX(B5379:B$2,-1+SUMPRODUCT(MAX(ROW(E5379:E$2)*(E5380=E5379:E$2)))))</f>
        <v> </v>
      </c>
      <c r="J5380" s="26" t="str">
        <f>IF(OR(E5380="",E5380="!!!",F5380="NEW"),"",COUNTBLANK(OFFSET(A$1,,,SUMPRODUCT(MAX(ROW(E$2:E5380)*(E5380=E$2:E5380)))))-COUNTBLANK(OFFSET(A$1,,,SUMPRODUCT(MAX(ROW(E$1:E5379)*(E2=E$1:E5379))))))</f>
        <v> </v>
      </c>
      <c r="K5380" s="26" t="str">
        <f>IF(OR(E5380="",E5380="!!!",F5380="NEW"),"",INDEX(J$1:J5379,SUMPRODUCT(MAX(ROW(E$1:E5379)*(E5380=E$1:E5379)))))</f>
        <v> </v>
      </c>
      <c r="L5380" s="27"/>
    </row>
    <row r="5381" spans="1:12">
      <c r="A5381" s="20" t="s">
        <v>1774</v>
      </c>
      <c r="E5381" s="22">
        <f>IF(D5381="?OLD","!!!","")</f>
        <v/>
      </c>
      <c r="F5381" s="23" t="str">
        <f>IF(OR(E5381="",E5381="!!!"),"",IF(NOT(ISNA(VLOOKUP(E5381,E$1:E5380,1,FALSE()))),"OLD",IF(AND(E5381&lt;&gt;"",E5381&lt;&gt;"!!!"),"NEW","")))</f>
        <v> </v>
      </c>
      <c r="G5381" s="24" t="str">
        <f>IF(OR(E5381="",E5381="!!!"),"",IF(OR(J5381=0,AND(J5381=1,K5381=1),AND(J5381=1,I5381="SBJ"),AND(J5381=1,I5381=0)),"?IN_FOCUS",IF(J5381&lt;=2,"?ACTIVATED",IF(J5381&lt;&gt;"","?FAMILIAR",IF(F5381="NEW",IF(ISNA(VLOOKUP(E5381,#REF!,1,FALSE())),"?TYPE_IDENTIFIABLE","?REFERENTIAL"),"_")))))</f>
        <v> </v>
      </c>
      <c r="H5381" s="25" t="str">
        <f>IF(J5381&lt;&gt;1,"",IF(I5381="SBJ","CB","?"))</f>
        <v> </v>
      </c>
      <c r="I5381" s="26" t="str">
        <f>IF(OR(E5381="",E5381="!!!",F5381="NEW"),"",INDEX(B5380:B$2,-1+SUMPRODUCT(MAX(ROW(E5380:E$2)*(E5381=E5380:E$2)))))</f>
        <v> </v>
      </c>
      <c r="J5381" s="26" t="str">
        <f>IF(OR(E5381="",E5381="!!!",F5381="NEW"),"",COUNTBLANK(OFFSET(A$1,,,SUMPRODUCT(MAX(ROW(E$2:E5381)*(E5381=E$2:E5381)))))-COUNTBLANK(OFFSET(A$1,,,SUMPRODUCT(MAX(ROW(E$1:E5380)*(E2=E$1:E5380))))))</f>
        <v> </v>
      </c>
      <c r="K5381" s="26" t="str">
        <f>IF(OR(E5381="",E5381="!!!",F5381="NEW"),"",INDEX(J$1:J5380,SUMPRODUCT(MAX(ROW(E$1:E5380)*(E5381=E$1:E5380)))))</f>
        <v> </v>
      </c>
      <c r="L5381" s="27"/>
    </row>
    <row r="5382" spans="1:12">
      <c r="A5382" s="20" t="s">
        <v>2215</v>
      </c>
      <c r="B5382" s="21" t="s">
        <v>1142</v>
      </c>
      <c r="C5382" s="21" t="s">
        <v>1017</v>
      </c>
      <c r="E5382" s="22">
        <f>IF(D5382="?OLD","!!!","")</f>
        <v/>
      </c>
      <c r="F5382" s="23" t="str">
        <f>IF(OR(E5382="",E5382="!!!"),"",IF(NOT(ISNA(VLOOKUP(E5382,E$1:E5381,1,FALSE()))),"OLD",IF(AND(E5382&lt;&gt;"",E5382&lt;&gt;"!!!"),"NEW","")))</f>
        <v> </v>
      </c>
      <c r="G5382" s="24" t="str">
        <f>IF(OR(E5382="",E5382="!!!"),"",IF(OR(J5382=0,AND(J5382=1,K5382=1),AND(J5382=1,I5382="SBJ"),AND(J5382=1,I5382=0)),"?IN_FOCUS",IF(J5382&lt;=2,"?ACTIVATED",IF(J5382&lt;&gt;"","?FAMILIAR",IF(F5382="NEW",IF(ISNA(VLOOKUP(E5382,#REF!,1,FALSE())),"?TYPE_IDENTIFIABLE","?REFERENTIAL"),"_")))))</f>
        <v> </v>
      </c>
      <c r="H5382" s="25" t="str">
        <f>IF(J5382&lt;&gt;1,"",IF(I5382="SBJ","CB","?"))</f>
        <v> </v>
      </c>
      <c r="I5382" s="26" t="str">
        <f>IF(OR(E5382="",E5382="!!!",F5382="NEW"),"",INDEX(B5381:B$2,-1+SUMPRODUCT(MAX(ROW(E5381:E$2)*(E5382=E5381:E$2)))))</f>
        <v> </v>
      </c>
      <c r="J5382" s="26" t="str">
        <f>IF(OR(E5382="",E5382="!!!",F5382="NEW"),"",COUNTBLANK(OFFSET(A$1,,,SUMPRODUCT(MAX(ROW(E$2:E5382)*(E5382=E$2:E5382)))))-COUNTBLANK(OFFSET(A$1,,,SUMPRODUCT(MAX(ROW(E$1:E5381)*(E2=E$1:E5381))))))</f>
        <v> </v>
      </c>
      <c r="K5382" s="26" t="str">
        <f>IF(OR(E5382="",E5382="!!!",F5382="NEW"),"",INDEX(J$1:J5381,SUMPRODUCT(MAX(ROW(E$1:E5381)*(E5382=E$1:E5381)))))</f>
        <v> </v>
      </c>
      <c r="L5382" s="27"/>
    </row>
    <row r="5383" spans="1:12">
      <c r="A5383" s="20" t="s">
        <v>263</v>
      </c>
      <c r="E5383" s="22">
        <f>IF(D5383="?OLD","!!!","")</f>
        <v/>
      </c>
      <c r="F5383" s="23" t="str">
        <f>IF(OR(E5383="",E5383="!!!"),"",IF(NOT(ISNA(VLOOKUP(E5383,E$1:E5382,1,FALSE()))),"OLD",IF(AND(E5383&lt;&gt;"",E5383&lt;&gt;"!!!"),"NEW","")))</f>
        <v> </v>
      </c>
      <c r="G5383" s="24" t="str">
        <f>IF(OR(E5383="",E5383="!!!"),"",IF(OR(J5383=0,AND(J5383=1,K5383=1),AND(J5383=1,I5383="SBJ"),AND(J5383=1,I5383=0)),"?IN_FOCUS",IF(J5383&lt;=2,"?ACTIVATED",IF(J5383&lt;&gt;"","?FAMILIAR",IF(F5383="NEW",IF(ISNA(VLOOKUP(E5383,#REF!,1,FALSE())),"?TYPE_IDENTIFIABLE","?REFERENTIAL"),"_")))))</f>
        <v> </v>
      </c>
      <c r="H5383" s="25" t="str">
        <f>IF(J5383&lt;&gt;1,"",IF(I5383="SBJ","CB","?"))</f>
        <v> </v>
      </c>
      <c r="I5383" s="26" t="str">
        <f>IF(OR(E5383="",E5383="!!!",F5383="NEW"),"",INDEX(B5382:B$2,-1+SUMPRODUCT(MAX(ROW(E5382:E$2)*(E5383=E5382:E$2)))))</f>
        <v> </v>
      </c>
      <c r="J5383" s="26" t="str">
        <f>IF(OR(E5383="",E5383="!!!",F5383="NEW"),"",COUNTBLANK(OFFSET(A$1,,,SUMPRODUCT(MAX(ROW(E$2:E5383)*(E5383=E$2:E5383)))))-COUNTBLANK(OFFSET(A$1,,,SUMPRODUCT(MAX(ROW(E$1:E5382)*(E2=E$1:E5382))))))</f>
        <v> </v>
      </c>
      <c r="K5383" s="26" t="str">
        <f>IF(OR(E5383="",E5383="!!!",F5383="NEW"),"",INDEX(J$1:J5382,SUMPRODUCT(MAX(ROW(E$1:E5382)*(E5383=E$1:E5382)))))</f>
        <v> </v>
      </c>
      <c r="L5383" s="27"/>
    </row>
    <row r="5384" spans="1:12">
      <c r="A5384" s="20" t="s">
        <v>1025</v>
      </c>
      <c r="B5384" s="21" t="s">
        <v>1039</v>
      </c>
      <c r="C5384" s="21" t="s">
        <v>1026</v>
      </c>
      <c r="D5384" s="21" t="s">
        <v>1011</v>
      </c>
      <c r="E5384" s="22">
        <f>IF(D5384="?OLD","!!!","")</f>
        <v/>
      </c>
      <c r="F5384" s="23" t="str">
        <f>IF(OR(E5384="",E5384="!!!"),"",IF(NOT(ISNA(VLOOKUP(E5384,E$1:E5383,1,FALSE()))),"OLD",IF(AND(E5384&lt;&gt;"",E5384&lt;&gt;"!!!"),"NEW","")))</f>
        <v> </v>
      </c>
      <c r="G5384" s="24" t="str">
        <f>IF(OR(E5384="",E5384="!!!"),"",IF(OR(J5384=0,AND(J5384=1,K5384=1),AND(J5384=1,I5384="SBJ"),AND(J5384=1,I5384=0)),"?IN_FOCUS",IF(J5384&lt;=2,"?ACTIVATED",IF(J5384&lt;&gt;"","?FAMILIAR",IF(F5384="NEW",IF(ISNA(VLOOKUP(E5384,#REF!,1,FALSE())),"?TYPE_IDENTIFIABLE","?REFERENTIAL"),"_")))))</f>
        <v> </v>
      </c>
      <c r="H5384" s="25" t="str">
        <f>IF(J5384&lt;&gt;1,"",IF(I5384="SBJ","CB","?"))</f>
        <v> </v>
      </c>
      <c r="I5384" s="26" t="str">
        <f>IF(OR(E5384="",E5384="!!!",F5384="NEW"),"",INDEX(B5383:B$2,-1+SUMPRODUCT(MAX(ROW(E5383:E$2)*(E5384=E5383:E$2)))))</f>
        <v> </v>
      </c>
      <c r="J5384" s="26" t="str">
        <f>IF(OR(E5384="",E5384="!!!",F5384="NEW"),"",COUNTBLANK(OFFSET(A$1,,,SUMPRODUCT(MAX(ROW(E$2:E5384)*(E5384=E$2:E5384)))))-COUNTBLANK(OFFSET(A$1,,,SUMPRODUCT(MAX(ROW(E$1:E5383)*(E2=E$1:E5383))))))</f>
        <v> </v>
      </c>
      <c r="K5384" s="26" t="str">
        <f>IF(OR(E5384="",E5384="!!!",F5384="NEW"),"",INDEX(J$1:J5383,SUMPRODUCT(MAX(ROW(E$1:E5383)*(E5384=E$1:E5383)))))</f>
        <v> </v>
      </c>
      <c r="L5384" s="27"/>
    </row>
    <row r="5385" spans="1:12">
      <c r="A5385" s="20" t="s">
        <v>1150</v>
      </c>
      <c r="E5385" s="22">
        <f>IF(D5385="?OLD","!!!","")</f>
        <v/>
      </c>
      <c r="F5385" s="23" t="str">
        <f>IF(OR(E5385="",E5385="!!!"),"",IF(NOT(ISNA(VLOOKUP(E5385,E$1:E5384,1,FALSE()))),"OLD",IF(AND(E5385&lt;&gt;"",E5385&lt;&gt;"!!!"),"NEW","")))</f>
        <v> </v>
      </c>
      <c r="G5385" s="24" t="str">
        <f>IF(OR(E5385="",E5385="!!!"),"",IF(OR(J5385=0,AND(J5385=1,K5385=1),AND(J5385=1,I5385="SBJ"),AND(J5385=1,I5385=0)),"?IN_FOCUS",IF(J5385&lt;=2,"?ACTIVATED",IF(J5385&lt;&gt;"","?FAMILIAR",IF(F5385="NEW",IF(ISNA(VLOOKUP(E5385,#REF!,1,FALSE())),"?TYPE_IDENTIFIABLE","?REFERENTIAL"),"_")))))</f>
        <v> </v>
      </c>
      <c r="H5385" s="25" t="str">
        <f>IF(J5385&lt;&gt;1,"",IF(I5385="SBJ","CB","?"))</f>
        <v> </v>
      </c>
      <c r="I5385" s="26" t="str">
        <f>IF(OR(E5385="",E5385="!!!",F5385="NEW"),"",INDEX(B5384:B$2,-1+SUMPRODUCT(MAX(ROW(E5384:E$2)*(E5385=E5384:E$2)))))</f>
        <v> </v>
      </c>
      <c r="J5385" s="26" t="str">
        <f>IF(OR(E5385="",E5385="!!!",F5385="NEW"),"",COUNTBLANK(OFFSET(A$1,,,SUMPRODUCT(MAX(ROW(E$2:E5385)*(E5385=E$2:E5385)))))-COUNTBLANK(OFFSET(A$1,,,SUMPRODUCT(MAX(ROW(E$1:E5384)*(E2=E$1:E5384))))))</f>
        <v> </v>
      </c>
      <c r="K5385" s="26" t="str">
        <f>IF(OR(E5385="",E5385="!!!",F5385="NEW"),"",INDEX(J$1:J5384,SUMPRODUCT(MAX(ROW(E$1:E5384)*(E5385=E$1:E5384)))))</f>
        <v> </v>
      </c>
      <c r="L5385" s="27"/>
    </row>
    <row r="5386" spans="1:12">
      <c r="A5386" s="20" t="s">
        <v>1014</v>
      </c>
      <c r="E5386" s="22">
        <f>IF(D5386="?OLD","!!!","")</f>
        <v/>
      </c>
      <c r="F5386" s="23" t="str">
        <f>IF(OR(E5386="",E5386="!!!"),"",IF(NOT(ISNA(VLOOKUP(E5386,E$1:E5385,1,FALSE()))),"OLD",IF(AND(E5386&lt;&gt;"",E5386&lt;&gt;"!!!"),"NEW","")))</f>
        <v> </v>
      </c>
      <c r="G5386" s="24" t="str">
        <f>IF(OR(E5386="",E5386="!!!"),"",IF(OR(J5386=0,AND(J5386=1,K5386=1),AND(J5386=1,I5386="SBJ"),AND(J5386=1,I5386=0)),"?IN_FOCUS",IF(J5386&lt;=2,"?ACTIVATED",IF(J5386&lt;&gt;"","?FAMILIAR",IF(F5386="NEW",IF(ISNA(VLOOKUP(E5386,#REF!,1,FALSE())),"?TYPE_IDENTIFIABLE","?REFERENTIAL"),"_")))))</f>
        <v> </v>
      </c>
      <c r="H5386" s="25" t="str">
        <f>IF(J5386&lt;&gt;1,"",IF(I5386="SBJ","CB","?"))</f>
        <v> </v>
      </c>
      <c r="I5386" s="26" t="str">
        <f>IF(OR(E5386="",E5386="!!!",F5386="NEW"),"",INDEX(B5385:B$2,-1+SUMPRODUCT(MAX(ROW(E5385:E$2)*(E5386=E5385:E$2)))))</f>
        <v> </v>
      </c>
      <c r="J5386" s="26" t="str">
        <f>IF(OR(E5386="",E5386="!!!",F5386="NEW"),"",COUNTBLANK(OFFSET(A$1,,,SUMPRODUCT(MAX(ROW(E$2:E5386)*(E5386=E$2:E5386)))))-COUNTBLANK(OFFSET(A$1,,,SUMPRODUCT(MAX(ROW(E$1:E5385)*(E2=E$1:E5385))))))</f>
        <v> </v>
      </c>
      <c r="K5386" s="26" t="str">
        <f>IF(OR(E5386="",E5386="!!!",F5386="NEW"),"",INDEX(J$1:J5385,SUMPRODUCT(MAX(ROW(E$1:E5385)*(E5386=E$1:E5385)))))</f>
        <v> </v>
      </c>
      <c r="L5386" s="27"/>
    </row>
    <row r="5387" spans="1:12">
      <c r="A5387" s="20" t="s">
        <v>388</v>
      </c>
      <c r="E5387" s="22">
        <f>IF(D5387="?OLD","!!!","")</f>
        <v/>
      </c>
      <c r="F5387" s="23" t="str">
        <f>IF(OR(E5387="",E5387="!!!"),"",IF(NOT(ISNA(VLOOKUP(E5387,E$1:E5386,1,FALSE()))),"OLD",IF(AND(E5387&lt;&gt;"",E5387&lt;&gt;"!!!"),"NEW","")))</f>
        <v> </v>
      </c>
      <c r="G5387" s="24" t="str">
        <f>IF(OR(E5387="",E5387="!!!"),"",IF(OR(J5387=0,AND(J5387=1,K5387=1),AND(J5387=1,I5387="SBJ"),AND(J5387=1,I5387=0)),"?IN_FOCUS",IF(J5387&lt;=2,"?ACTIVATED",IF(J5387&lt;&gt;"","?FAMILIAR",IF(F5387="NEW",IF(ISNA(VLOOKUP(E5387,#REF!,1,FALSE())),"?TYPE_IDENTIFIABLE","?REFERENTIAL"),"_")))))</f>
        <v> </v>
      </c>
      <c r="H5387" s="25" t="str">
        <f>IF(J5387&lt;&gt;1,"",IF(I5387="SBJ","CB","?"))</f>
        <v> </v>
      </c>
      <c r="I5387" s="26" t="str">
        <f>IF(OR(E5387="",E5387="!!!",F5387="NEW"),"",INDEX(B5386:B$2,-1+SUMPRODUCT(MAX(ROW(E5386:E$2)*(E5387=E5386:E$2)))))</f>
        <v> </v>
      </c>
      <c r="J5387" s="26" t="str">
        <f>IF(OR(E5387="",E5387="!!!",F5387="NEW"),"",COUNTBLANK(OFFSET(A$1,,,SUMPRODUCT(MAX(ROW(E$2:E5387)*(E5387=E$2:E5387)))))-COUNTBLANK(OFFSET(A$1,,,SUMPRODUCT(MAX(ROW(E$1:E5386)*(E2=E$1:E5386))))))</f>
        <v> </v>
      </c>
      <c r="K5387" s="26" t="str">
        <f>IF(OR(E5387="",E5387="!!!",F5387="NEW"),"",INDEX(J$1:J5386,SUMPRODUCT(MAX(ROW(E$1:E5386)*(E5387=E$1:E5386)))))</f>
        <v> </v>
      </c>
      <c r="L5387" s="27"/>
    </row>
    <row r="5388" spans="1:12">
      <c r="A5388" s="20" t="s">
        <v>1186</v>
      </c>
      <c r="E5388" s="22">
        <f>IF(D5388="?OLD","!!!","")</f>
        <v/>
      </c>
      <c r="F5388" s="23" t="str">
        <f>IF(OR(E5388="",E5388="!!!"),"",IF(NOT(ISNA(VLOOKUP(E5388,E$1:E5387,1,FALSE()))),"OLD",IF(AND(E5388&lt;&gt;"",E5388&lt;&gt;"!!!"),"NEW","")))</f>
        <v> </v>
      </c>
      <c r="G5388" s="24" t="str">
        <f>IF(OR(E5388="",E5388="!!!"),"",IF(OR(J5388=0,AND(J5388=1,K5388=1),AND(J5388=1,I5388="SBJ"),AND(J5388=1,I5388=0)),"?IN_FOCUS",IF(J5388&lt;=2,"?ACTIVATED",IF(J5388&lt;&gt;"","?FAMILIAR",IF(F5388="NEW",IF(ISNA(VLOOKUP(E5388,#REF!,1,FALSE())),"?TYPE_IDENTIFIABLE","?REFERENTIAL"),"_")))))</f>
        <v> </v>
      </c>
      <c r="H5388" s="25" t="str">
        <f>IF(J5388&lt;&gt;1,"",IF(I5388="SBJ","CB","?"))</f>
        <v> </v>
      </c>
      <c r="I5388" s="26" t="str">
        <f>IF(OR(E5388="",E5388="!!!",F5388="NEW"),"",INDEX(B5387:B$2,-1+SUMPRODUCT(MAX(ROW(E5387:E$2)*(E5388=E5387:E$2)))))</f>
        <v> </v>
      </c>
      <c r="J5388" s="26" t="str">
        <f>IF(OR(E5388="",E5388="!!!",F5388="NEW"),"",COUNTBLANK(OFFSET(A$1,,,SUMPRODUCT(MAX(ROW(E$2:E5388)*(E5388=E$2:E5388)))))-COUNTBLANK(OFFSET(A$1,,,SUMPRODUCT(MAX(ROW(E$1:E5387)*(E2=E$1:E5387))))))</f>
        <v> </v>
      </c>
      <c r="K5388" s="26" t="str">
        <f>IF(OR(E5388="",E5388="!!!",F5388="NEW"),"",INDEX(J$1:J5387,SUMPRODUCT(MAX(ROW(E$1:E5387)*(E5388=E$1:E5387)))))</f>
        <v> </v>
      </c>
      <c r="L5388" s="27"/>
    </row>
    <row r="5389" spans="1:12">
      <c r="A5389" s="20" t="s">
        <v>1028</v>
      </c>
      <c r="E5389" s="22">
        <f>IF(D5389="?OLD","!!!","")</f>
        <v/>
      </c>
      <c r="F5389" s="23" t="str">
        <f>IF(OR(E5389="",E5389="!!!"),"",IF(NOT(ISNA(VLOOKUP(E5389,E$1:E5388,1,FALSE()))),"OLD",IF(AND(E5389&lt;&gt;"",E5389&lt;&gt;"!!!"),"NEW","")))</f>
        <v> </v>
      </c>
      <c r="G5389" s="24" t="str">
        <f>IF(OR(E5389="",E5389="!!!"),"",IF(OR(J5389=0,AND(J5389=1,K5389=1),AND(J5389=1,I5389="SBJ"),AND(J5389=1,I5389=0)),"?IN_FOCUS",IF(J5389&lt;=2,"?ACTIVATED",IF(J5389&lt;&gt;"","?FAMILIAR",IF(F5389="NEW",IF(ISNA(VLOOKUP(E5389,#REF!,1,FALSE())),"?TYPE_IDENTIFIABLE","?REFERENTIAL"),"_")))))</f>
        <v> </v>
      </c>
      <c r="H5389" s="25" t="str">
        <f>IF(J5389&lt;&gt;1,"",IF(I5389="SBJ","CB","?"))</f>
        <v> </v>
      </c>
      <c r="I5389" s="26" t="str">
        <f>IF(OR(E5389="",E5389="!!!",F5389="NEW"),"",INDEX(B5388:B$2,-1+SUMPRODUCT(MAX(ROW(E5388:E$2)*(E5389=E5388:E$2)))))</f>
        <v> </v>
      </c>
      <c r="J5389" s="26" t="str">
        <f>IF(OR(E5389="",E5389="!!!",F5389="NEW"),"",COUNTBLANK(OFFSET(A$1,,,SUMPRODUCT(MAX(ROW(E$2:E5389)*(E5389=E$2:E5389)))))-COUNTBLANK(OFFSET(A$1,,,SUMPRODUCT(MAX(ROW(E$1:E5388)*(E2=E$1:E5388))))))</f>
        <v> </v>
      </c>
      <c r="K5389" s="26" t="str">
        <f>IF(OR(E5389="",E5389="!!!",F5389="NEW"),"",INDEX(J$1:J5388,SUMPRODUCT(MAX(ROW(E$1:E5388)*(E5389=E$1:E5388)))))</f>
        <v> </v>
      </c>
      <c r="L5389" s="27"/>
    </row>
    <row r="5390" spans="1:12">
      <c r="A5390" s="20" t="s">
        <v>2216</v>
      </c>
      <c r="B5390" s="21" t="s">
        <v>1021</v>
      </c>
      <c r="C5390" s="21" t="s">
        <v>1030</v>
      </c>
      <c r="E5390" s="22">
        <f>IF(D5390="?OLD","!!!","")</f>
        <v/>
      </c>
      <c r="F5390" s="23" t="str">
        <f>IF(OR(E5390="",E5390="!!!"),"",IF(NOT(ISNA(VLOOKUP(E5390,E$1:E5389,1,FALSE()))),"OLD",IF(AND(E5390&lt;&gt;"",E5390&lt;&gt;"!!!"),"NEW","")))</f>
        <v> </v>
      </c>
      <c r="G5390" s="24" t="str">
        <f>IF(OR(E5390="",E5390="!!!"),"",IF(OR(J5390=0,AND(J5390=1,K5390=1),AND(J5390=1,I5390="SBJ"),AND(J5390=1,I5390=0)),"?IN_FOCUS",IF(J5390&lt;=2,"?ACTIVATED",IF(J5390&lt;&gt;"","?FAMILIAR",IF(F5390="NEW",IF(ISNA(VLOOKUP(E5390,#REF!,1,FALSE())),"?TYPE_IDENTIFIABLE","?REFERENTIAL"),"_")))))</f>
        <v> </v>
      </c>
      <c r="H5390" s="25" t="str">
        <f>IF(J5390&lt;&gt;1,"",IF(I5390="SBJ","CB","?"))</f>
        <v> </v>
      </c>
      <c r="I5390" s="26" t="str">
        <f>IF(OR(E5390="",E5390="!!!",F5390="NEW"),"",INDEX(B5389:B$2,-1+SUMPRODUCT(MAX(ROW(E5389:E$2)*(E5390=E5389:E$2)))))</f>
        <v> </v>
      </c>
      <c r="J5390" s="26" t="str">
        <f>IF(OR(E5390="",E5390="!!!",F5390="NEW"),"",COUNTBLANK(OFFSET(A$1,,,SUMPRODUCT(MAX(ROW(E$2:E5390)*(E5390=E$2:E5390)))))-COUNTBLANK(OFFSET(A$1,,,SUMPRODUCT(MAX(ROW(E$1:E5389)*(E2=E$1:E5389))))))</f>
        <v> </v>
      </c>
      <c r="K5390" s="26" t="str">
        <f>IF(OR(E5390="",E5390="!!!",F5390="NEW"),"",INDEX(J$1:J5389,SUMPRODUCT(MAX(ROW(E$1:E5389)*(E5390=E$1:E5389)))))</f>
        <v> </v>
      </c>
      <c r="L5390" s="27"/>
    </row>
    <row r="5391" spans="1:12">
      <c r="A5391" s="20" t="s">
        <v>2212</v>
      </c>
      <c r="E5391" s="22">
        <f>IF(D5391="?OLD","!!!","")</f>
        <v/>
      </c>
      <c r="F5391" s="23" t="str">
        <f>IF(OR(E5391="",E5391="!!!"),"",IF(NOT(ISNA(VLOOKUP(E5391,E$1:E5390,1,FALSE()))),"OLD",IF(AND(E5391&lt;&gt;"",E5391&lt;&gt;"!!!"),"NEW","")))</f>
        <v> </v>
      </c>
      <c r="G5391" s="24" t="str">
        <f>IF(OR(E5391="",E5391="!!!"),"",IF(OR(J5391=0,AND(J5391=1,K5391=1),AND(J5391=1,I5391="SBJ"),AND(J5391=1,I5391=0)),"?IN_FOCUS",IF(J5391&lt;=2,"?ACTIVATED",IF(J5391&lt;&gt;"","?FAMILIAR",IF(F5391="NEW",IF(ISNA(VLOOKUP(E5391,#REF!,1,FALSE())),"?TYPE_IDENTIFIABLE","?REFERENTIAL"),"_")))))</f>
        <v> </v>
      </c>
      <c r="H5391" s="25" t="str">
        <f>IF(J5391&lt;&gt;1,"",IF(I5391="SBJ","CB","?"))</f>
        <v> </v>
      </c>
      <c r="I5391" s="26" t="str">
        <f>IF(OR(E5391="",E5391="!!!",F5391="NEW"),"",INDEX(B5390:B$2,-1+SUMPRODUCT(MAX(ROW(E5390:E$2)*(E5391=E5390:E$2)))))</f>
        <v> </v>
      </c>
      <c r="J5391" s="26" t="str">
        <f>IF(OR(E5391="",E5391="!!!",F5391="NEW"),"",COUNTBLANK(OFFSET(A$1,,,SUMPRODUCT(MAX(ROW(E$2:E5391)*(E5391=E$2:E5391)))))-COUNTBLANK(OFFSET(A$1,,,SUMPRODUCT(MAX(ROW(E$1:E5390)*(E2=E$1:E5390))))))</f>
        <v> </v>
      </c>
      <c r="K5391" s="26" t="str">
        <f>IF(OR(E5391="",E5391="!!!",F5391="NEW"),"",INDEX(J$1:J5390,SUMPRODUCT(MAX(ROW(E$1:E5390)*(E5391=E$1:E5390)))))</f>
        <v> </v>
      </c>
      <c r="L5391" s="27"/>
    </row>
    <row r="5392" spans="1:12">
      <c r="A5392" s="20" t="s">
        <v>1032</v>
      </c>
      <c r="E5392" s="22">
        <f>IF(D5392="?OLD","!!!","")</f>
        <v/>
      </c>
      <c r="F5392" s="23" t="str">
        <f>IF(OR(E5392="",E5392="!!!"),"",IF(NOT(ISNA(VLOOKUP(E5392,E$1:E5391,1,FALSE()))),"OLD",IF(AND(E5392&lt;&gt;"",E5392&lt;&gt;"!!!"),"NEW","")))</f>
        <v> </v>
      </c>
      <c r="G5392" s="24" t="str">
        <f>IF(OR(E5392="",E5392="!!!"),"",IF(OR(J5392=0,AND(J5392=1,K5392=1),AND(J5392=1,I5392="SBJ"),AND(J5392=1,I5392=0)),"?IN_FOCUS",IF(J5392&lt;=2,"?ACTIVATED",IF(J5392&lt;&gt;"","?FAMILIAR",IF(F5392="NEW",IF(ISNA(VLOOKUP(E5392,#REF!,1,FALSE())),"?TYPE_IDENTIFIABLE","?REFERENTIAL"),"_")))))</f>
        <v> </v>
      </c>
      <c r="H5392" s="25" t="str">
        <f>IF(J5392&lt;&gt;1,"",IF(I5392="SBJ","CB","?"))</f>
        <v> </v>
      </c>
      <c r="I5392" s="26" t="str">
        <f>IF(OR(E5392="",E5392="!!!",F5392="NEW"),"",INDEX(B5391:B$2,-1+SUMPRODUCT(MAX(ROW(E5391:E$2)*(E5392=E5391:E$2)))))</f>
        <v> </v>
      </c>
      <c r="J5392" s="26" t="str">
        <f>IF(OR(E5392="",E5392="!!!",F5392="NEW"),"",COUNTBLANK(OFFSET(A$1,,,SUMPRODUCT(MAX(ROW(E$2:E5392)*(E5392=E$2:E5392)))))-COUNTBLANK(OFFSET(A$1,,,SUMPRODUCT(MAX(ROW(E$1:E5391)*(E2=E$1:E5391))))))</f>
        <v> </v>
      </c>
      <c r="K5392" s="26" t="str">
        <f>IF(OR(E5392="",E5392="!!!",F5392="NEW"),"",INDEX(J$1:J5391,SUMPRODUCT(MAX(ROW(E$1:E5391)*(E5392=E$1:E5391)))))</f>
        <v> </v>
      </c>
      <c r="L5392" s="27"/>
    </row>
    <row r="5393" spans="1:12">
      <c r="A5393" s="20" t="s">
        <v>1020</v>
      </c>
      <c r="E5393" s="22">
        <f>IF(D5393="?OLD","!!!","")</f>
        <v/>
      </c>
      <c r="F5393" s="23" t="str">
        <f>IF(OR(E5393="",E5393="!!!"),"",IF(NOT(ISNA(VLOOKUP(E5393,E$1:E5392,1,FALSE()))),"OLD",IF(AND(E5393&lt;&gt;"",E5393&lt;&gt;"!!!"),"NEW","")))</f>
        <v> </v>
      </c>
      <c r="G5393" s="24" t="str">
        <f>IF(OR(E5393="",E5393="!!!"),"",IF(OR(J5393=0,AND(J5393=1,K5393=1),AND(J5393=1,I5393="SBJ"),AND(J5393=1,I5393=0)),"?IN_FOCUS",IF(J5393&lt;=2,"?ACTIVATED",IF(J5393&lt;&gt;"","?FAMILIAR",IF(F5393="NEW",IF(ISNA(VLOOKUP(E5393,#REF!,1,FALSE())),"?TYPE_IDENTIFIABLE","?REFERENTIAL"),"_")))))</f>
        <v> </v>
      </c>
      <c r="H5393" s="25" t="str">
        <f>IF(J5393&lt;&gt;1,"",IF(I5393="SBJ","CB","?"))</f>
        <v> </v>
      </c>
      <c r="I5393" s="26" t="str">
        <f>IF(OR(E5393="",E5393="!!!",F5393="NEW"),"",INDEX(B5392:B$2,-1+SUMPRODUCT(MAX(ROW(E5392:E$2)*(E5393=E5392:E$2)))))</f>
        <v> </v>
      </c>
      <c r="J5393" s="26" t="str">
        <f>IF(OR(E5393="",E5393="!!!",F5393="NEW"),"",COUNTBLANK(OFFSET(A$1,,,SUMPRODUCT(MAX(ROW(E$2:E5393)*(E5393=E$2:E5393)))))-COUNTBLANK(OFFSET(A$1,,,SUMPRODUCT(MAX(ROW(E$1:E5392)*(E2=E$1:E5392))))))</f>
        <v> </v>
      </c>
      <c r="K5393" s="26" t="str">
        <f>IF(OR(E5393="",E5393="!!!",F5393="NEW"),"",INDEX(J$1:J5392,SUMPRODUCT(MAX(ROW(E$1:E5392)*(E5393=E$1:E5392)))))</f>
        <v> </v>
      </c>
      <c r="L5393" s="27"/>
    </row>
    <row r="5394" spans="1:12">
      <c r="A5394" s="20" t="s">
        <v>1028</v>
      </c>
      <c r="E5394" s="22">
        <f>IF(D5394="?OLD","!!!","")</f>
        <v/>
      </c>
      <c r="F5394" s="23" t="str">
        <f>IF(OR(E5394="",E5394="!!!"),"",IF(NOT(ISNA(VLOOKUP(E5394,E$1:E5393,1,FALSE()))),"OLD",IF(AND(E5394&lt;&gt;"",E5394&lt;&gt;"!!!"),"NEW","")))</f>
        <v> </v>
      </c>
      <c r="G5394" s="24" t="str">
        <f>IF(OR(E5394="",E5394="!!!"),"",IF(OR(J5394=0,AND(J5394=1,K5394=1),AND(J5394=1,I5394="SBJ"),AND(J5394=1,I5394=0)),"?IN_FOCUS",IF(J5394&lt;=2,"?ACTIVATED",IF(J5394&lt;&gt;"","?FAMILIAR",IF(F5394="NEW",IF(ISNA(VLOOKUP(E5394,#REF!,1,FALSE())),"?TYPE_IDENTIFIABLE","?REFERENTIAL"),"_")))))</f>
        <v> </v>
      </c>
      <c r="H5394" s="25" t="str">
        <f>IF(J5394&lt;&gt;1,"",IF(I5394="SBJ","CB","?"))</f>
        <v> </v>
      </c>
      <c r="I5394" s="26" t="str">
        <f>IF(OR(E5394="",E5394="!!!",F5394="NEW"),"",INDEX(B5393:B$2,-1+SUMPRODUCT(MAX(ROW(E5393:E$2)*(E5394=E5393:E$2)))))</f>
        <v> </v>
      </c>
      <c r="J5394" s="26" t="str">
        <f>IF(OR(E5394="",E5394="!!!",F5394="NEW"),"",COUNTBLANK(OFFSET(A$1,,,SUMPRODUCT(MAX(ROW(E$2:E5394)*(E5394=E$2:E5394)))))-COUNTBLANK(OFFSET(A$1,,,SUMPRODUCT(MAX(ROW(E$1:E5393)*(E2=E$1:E5393))))))</f>
        <v> </v>
      </c>
      <c r="K5394" s="26" t="str">
        <f>IF(OR(E5394="",E5394="!!!",F5394="NEW"),"",INDEX(J$1:J5393,SUMPRODUCT(MAX(ROW(E$1:E5393)*(E5394=E$1:E5393)))))</f>
        <v> </v>
      </c>
      <c r="L5394" s="27"/>
    </row>
    <row r="5395" spans="1:12">
      <c r="A5395" s="20" t="s">
        <v>2217</v>
      </c>
      <c r="E5395" s="22">
        <f>IF(D5395="?OLD","!!!","")</f>
        <v/>
      </c>
      <c r="F5395" s="23" t="str">
        <f>IF(OR(E5395="",E5395="!!!"),"",IF(NOT(ISNA(VLOOKUP(E5395,E$1:E5394,1,FALSE()))),"OLD",IF(AND(E5395&lt;&gt;"",E5395&lt;&gt;"!!!"),"NEW","")))</f>
        <v> </v>
      </c>
      <c r="G5395" s="24" t="str">
        <f>IF(OR(E5395="",E5395="!!!"),"",IF(OR(J5395=0,AND(J5395=1,K5395=1),AND(J5395=1,I5395="SBJ"),AND(J5395=1,I5395=0)),"?IN_FOCUS",IF(J5395&lt;=2,"?ACTIVATED",IF(J5395&lt;&gt;"","?FAMILIAR",IF(F5395="NEW",IF(ISNA(VLOOKUP(E5395,#REF!,1,FALSE())),"?TYPE_IDENTIFIABLE","?REFERENTIAL"),"_")))))</f>
        <v> </v>
      </c>
      <c r="H5395" s="25" t="str">
        <f>IF(J5395&lt;&gt;1,"",IF(I5395="SBJ","CB","?"))</f>
        <v> </v>
      </c>
      <c r="I5395" s="26" t="str">
        <f>IF(OR(E5395="",E5395="!!!",F5395="NEW"),"",INDEX(B5394:B$2,-1+SUMPRODUCT(MAX(ROW(E5394:E$2)*(E5395=E5394:E$2)))))</f>
        <v> </v>
      </c>
      <c r="J5395" s="26" t="str">
        <f>IF(OR(E5395="",E5395="!!!",F5395="NEW"),"",COUNTBLANK(OFFSET(A$1,,,SUMPRODUCT(MAX(ROW(E$2:E5395)*(E5395=E$2:E5395)))))-COUNTBLANK(OFFSET(A$1,,,SUMPRODUCT(MAX(ROW(E$1:E5394)*(E2=E$1:E5394))))))</f>
        <v> </v>
      </c>
      <c r="K5395" s="26" t="str">
        <f>IF(OR(E5395="",E5395="!!!",F5395="NEW"),"",INDEX(J$1:J5394,SUMPRODUCT(MAX(ROW(E$1:E5394)*(E5395=E$1:E5394)))))</f>
        <v> </v>
      </c>
      <c r="L5395" s="27"/>
    </row>
    <row r="5396" spans="1:12">
      <c r="A5396" s="20" t="s">
        <v>2218</v>
      </c>
      <c r="E5396" s="22">
        <f>IF(D5396="?OLD","!!!","")</f>
        <v/>
      </c>
      <c r="F5396" s="23" t="str">
        <f>IF(OR(E5396="",E5396="!!!"),"",IF(NOT(ISNA(VLOOKUP(E5396,E$1:E5395,1,FALSE()))),"OLD",IF(AND(E5396&lt;&gt;"",E5396&lt;&gt;"!!!"),"NEW","")))</f>
        <v> </v>
      </c>
      <c r="G5396" s="24" t="str">
        <f>IF(OR(E5396="",E5396="!!!"),"",IF(OR(J5396=0,AND(J5396=1,K5396=1),AND(J5396=1,I5396="SBJ"),AND(J5396=1,I5396=0)),"?IN_FOCUS",IF(J5396&lt;=2,"?ACTIVATED",IF(J5396&lt;&gt;"","?FAMILIAR",IF(F5396="NEW",IF(ISNA(VLOOKUP(E5396,#REF!,1,FALSE())),"?TYPE_IDENTIFIABLE","?REFERENTIAL"),"_")))))</f>
        <v> </v>
      </c>
      <c r="H5396" s="25" t="str">
        <f>IF(J5396&lt;&gt;1,"",IF(I5396="SBJ","CB","?"))</f>
        <v> </v>
      </c>
      <c r="I5396" s="26" t="str">
        <f>IF(OR(E5396="",E5396="!!!",F5396="NEW"),"",INDEX(B5395:B$2,-1+SUMPRODUCT(MAX(ROW(E5395:E$2)*(E5396=E5395:E$2)))))</f>
        <v> </v>
      </c>
      <c r="J5396" s="26" t="str">
        <f>IF(OR(E5396="",E5396="!!!",F5396="NEW"),"",COUNTBLANK(OFFSET(A$1,,,SUMPRODUCT(MAX(ROW(E$2:E5396)*(E5396=E$2:E5396)))))-COUNTBLANK(OFFSET(A$1,,,SUMPRODUCT(MAX(ROW(E$1:E5395)*(E2=E$1:E5395))))))</f>
        <v> </v>
      </c>
      <c r="K5396" s="26" t="str">
        <f>IF(OR(E5396="",E5396="!!!",F5396="NEW"),"",INDEX(J$1:J5395,SUMPRODUCT(MAX(ROW(E$1:E5395)*(E5396=E$1:E5395)))))</f>
        <v> </v>
      </c>
      <c r="L5396" s="27"/>
    </row>
    <row r="5397" spans="1:12">
      <c r="A5397" s="20" t="s">
        <v>2215</v>
      </c>
      <c r="E5397" s="22">
        <f>IF(D5397="?OLD","!!!","")</f>
        <v/>
      </c>
      <c r="F5397" s="23" t="str">
        <f>IF(OR(E5397="",E5397="!!!"),"",IF(NOT(ISNA(VLOOKUP(E5397,E$1:E5396,1,FALSE()))),"OLD",IF(AND(E5397&lt;&gt;"",E5397&lt;&gt;"!!!"),"NEW","")))</f>
        <v> </v>
      </c>
      <c r="G5397" s="24" t="str">
        <f>IF(OR(E5397="",E5397="!!!"),"",IF(OR(J5397=0,AND(J5397=1,K5397=1),AND(J5397=1,I5397="SBJ"),AND(J5397=1,I5397=0)),"?IN_FOCUS",IF(J5397&lt;=2,"?ACTIVATED",IF(J5397&lt;&gt;"","?FAMILIAR",IF(F5397="NEW",IF(ISNA(VLOOKUP(E5397,#REF!,1,FALSE())),"?TYPE_IDENTIFIABLE","?REFERENTIAL"),"_")))))</f>
        <v> </v>
      </c>
      <c r="H5397" s="25" t="str">
        <f>IF(J5397&lt;&gt;1,"",IF(I5397="SBJ","CB","?"))</f>
        <v> </v>
      </c>
      <c r="I5397" s="26" t="str">
        <f>IF(OR(E5397="",E5397="!!!",F5397="NEW"),"",INDEX(B5396:B$2,-1+SUMPRODUCT(MAX(ROW(E5396:E$2)*(E5397=E5396:E$2)))))</f>
        <v> </v>
      </c>
      <c r="J5397" s="26" t="str">
        <f>IF(OR(E5397="",E5397="!!!",F5397="NEW"),"",COUNTBLANK(OFFSET(A$1,,,SUMPRODUCT(MAX(ROW(E$2:E5397)*(E5397=E$2:E5397)))))-COUNTBLANK(OFFSET(A$1,,,SUMPRODUCT(MAX(ROW(E$1:E5396)*(E2=E$1:E5396))))))</f>
        <v> </v>
      </c>
      <c r="K5397" s="26" t="str">
        <f>IF(OR(E5397="",E5397="!!!",F5397="NEW"),"",INDEX(J$1:J5396,SUMPRODUCT(MAX(ROW(E$1:E5396)*(E5397=E$1:E5396)))))</f>
        <v> </v>
      </c>
      <c r="L5397" s="27"/>
    </row>
    <row r="5398" spans="1:12">
      <c r="A5398" s="20" t="s">
        <v>1141</v>
      </c>
      <c r="B5398" s="21" t="s">
        <v>1021</v>
      </c>
      <c r="C5398" s="21" t="s">
        <v>1030</v>
      </c>
      <c r="E5398" s="22">
        <f>IF(D5398="?OLD","!!!","")</f>
        <v/>
      </c>
      <c r="F5398" s="23" t="str">
        <f>IF(OR(E5398="",E5398="!!!"),"",IF(NOT(ISNA(VLOOKUP(E5398,E$1:E5397,1,FALSE()))),"OLD",IF(AND(E5398&lt;&gt;"",E5398&lt;&gt;"!!!"),"NEW","")))</f>
        <v> </v>
      </c>
      <c r="G5398" s="24" t="str">
        <f>IF(OR(E5398="",E5398="!!!"),"",IF(OR(J5398=0,AND(J5398=1,K5398=1),AND(J5398=1,I5398="SBJ"),AND(J5398=1,I5398=0)),"?IN_FOCUS",IF(J5398&lt;=2,"?ACTIVATED",IF(J5398&lt;&gt;"","?FAMILIAR",IF(F5398="NEW",IF(ISNA(VLOOKUP(E5398,#REF!,1,FALSE())),"?TYPE_IDENTIFIABLE","?REFERENTIAL"),"_")))))</f>
        <v> </v>
      </c>
      <c r="H5398" s="25" t="str">
        <f>IF(J5398&lt;&gt;1,"",IF(I5398="SBJ","CB","?"))</f>
        <v> </v>
      </c>
      <c r="I5398" s="26" t="str">
        <f>IF(OR(E5398="",E5398="!!!",F5398="NEW"),"",INDEX(B5397:B$2,-1+SUMPRODUCT(MAX(ROW(E5397:E$2)*(E5398=E5397:E$2)))))</f>
        <v> </v>
      </c>
      <c r="J5398" s="26" t="str">
        <f>IF(OR(E5398="",E5398="!!!",F5398="NEW"),"",COUNTBLANK(OFFSET(A$1,,,SUMPRODUCT(MAX(ROW(E$2:E5398)*(E5398=E$2:E5398)))))-COUNTBLANK(OFFSET(A$1,,,SUMPRODUCT(MAX(ROW(E$1:E5397)*(E2=E$1:E5397))))))</f>
        <v> </v>
      </c>
      <c r="K5398" s="26" t="str">
        <f>IF(OR(E5398="",E5398="!!!",F5398="NEW"),"",INDEX(J$1:J5397,SUMPRODUCT(MAX(ROW(E$1:E5397)*(E5398=E$1:E5397)))))</f>
        <v> </v>
      </c>
      <c r="L5398" s="27"/>
    </row>
    <row r="5399" spans="1:12">
      <c r="A5399" s="20" t="s">
        <v>1022</v>
      </c>
      <c r="E5399" s="22">
        <f>IF(D5399="?OLD","!!!","")</f>
        <v/>
      </c>
      <c r="F5399" s="23" t="str">
        <f>IF(OR(E5399="",E5399="!!!"),"",IF(NOT(ISNA(VLOOKUP(E5399,E$1:E5398,1,FALSE()))),"OLD",IF(AND(E5399&lt;&gt;"",E5399&lt;&gt;"!!!"),"NEW","")))</f>
        <v> </v>
      </c>
      <c r="G5399" s="24" t="str">
        <f>IF(OR(E5399="",E5399="!!!"),"",IF(OR(J5399=0,AND(J5399=1,K5399=1),AND(J5399=1,I5399="SBJ"),AND(J5399=1,I5399=0)),"?IN_FOCUS",IF(J5399&lt;=2,"?ACTIVATED",IF(J5399&lt;&gt;"","?FAMILIAR",IF(F5399="NEW",IF(ISNA(VLOOKUP(E5399,#REF!,1,FALSE())),"?TYPE_IDENTIFIABLE","?REFERENTIAL"),"_")))))</f>
        <v> </v>
      </c>
      <c r="H5399" s="25" t="str">
        <f>IF(J5399&lt;&gt;1,"",IF(I5399="SBJ","CB","?"))</f>
        <v> </v>
      </c>
      <c r="I5399" s="26" t="str">
        <f>IF(OR(E5399="",E5399="!!!",F5399="NEW"),"",INDEX(B5398:B$2,-1+SUMPRODUCT(MAX(ROW(E5398:E$2)*(E5399=E5398:E$2)))))</f>
        <v> </v>
      </c>
      <c r="J5399" s="26" t="str">
        <f>IF(OR(E5399="",E5399="!!!",F5399="NEW"),"",COUNTBLANK(OFFSET(A$1,,,SUMPRODUCT(MAX(ROW(E$2:E5399)*(E5399=E$2:E5399)))))-COUNTBLANK(OFFSET(A$1,,,SUMPRODUCT(MAX(ROW(E$1:E5398)*(E2=E$1:E5398))))))</f>
        <v> </v>
      </c>
      <c r="K5399" s="26" t="str">
        <f>IF(OR(E5399="",E5399="!!!",F5399="NEW"),"",INDEX(J$1:J5398,SUMPRODUCT(MAX(ROW(E$1:E5398)*(E5399=E$1:E5398)))))</f>
        <v> </v>
      </c>
      <c r="L5399" s="27"/>
    </row>
    <row r="5400" spans="1:12">
      <c r="A5400" s="20"/>
    </row>
    <row r="5401" spans="1:12">
      <c r="A5401" s="20" t="s">
        <v>1264</v>
      </c>
      <c r="E5401" s="22">
        <f>IF(D5401="?OLD","!!!","")</f>
        <v/>
      </c>
      <c r="F5401" s="23" t="str">
        <f>IF(OR(E5401="",E5401="!!!"),"",IF(NOT(ISNA(VLOOKUP(E5401,E$1:E5400,1,FALSE()))),"OLD",IF(AND(E5401&lt;&gt;"",E5401&lt;&gt;"!!!"),"NEW","")))</f>
        <v> </v>
      </c>
      <c r="G5401" s="24" t="str">
        <f>IF(OR(E5401="",E5401="!!!"),"",IF(OR(J5401=0,AND(J5401=1,K5401=1),AND(J5401=1,I5401="SBJ"),AND(J5401=1,I5401=0)),"?IN_FOCUS",IF(J5401&lt;=2,"?ACTIVATED",IF(J5401&lt;&gt;"","?FAMILIAR",IF(F5401="NEW",IF(ISNA(VLOOKUP(E5401,#REF!,1,FALSE())),"?TYPE_IDENTIFIABLE","?REFERENTIAL"),"_")))))</f>
        <v> </v>
      </c>
      <c r="H5401" s="25" t="str">
        <f>IF(J5401&lt;&gt;1,"",IF(I5401="SBJ","CB","?"))</f>
        <v> </v>
      </c>
      <c r="I5401" s="26" t="str">
        <f>IF(OR(E5401="",E5401="!!!",F5401="NEW"),"",INDEX(B5400:B$2,-1+SUMPRODUCT(MAX(ROW(E5400:E$2)*(E5401=E5400:E$2)))))</f>
        <v> </v>
      </c>
      <c r="J5401" s="26" t="str">
        <f>IF(OR(E5401="",E5401="!!!",F5401="NEW"),"",COUNTBLANK(OFFSET(A$1,,,SUMPRODUCT(MAX(ROW(E$2:E5401)*(E5401=E$2:E5401)))))-COUNTBLANK(OFFSET(A$1,,,SUMPRODUCT(MAX(ROW(E$1:E5400)*(E2=E$1:E5400))))))</f>
        <v> </v>
      </c>
      <c r="K5401" s="26" t="str">
        <f>IF(OR(E5401="",E5401="!!!",F5401="NEW"),"",INDEX(J$1:J5400,SUMPRODUCT(MAX(ROW(E$1:E5400)*(E5401=E$1:E5400)))))</f>
        <v> </v>
      </c>
      <c r="L5401" s="27"/>
    </row>
    <row r="5402" spans="1:12">
      <c r="A5402" s="20" t="s">
        <v>2219</v>
      </c>
    </row>
    <row r="5403" spans="1:12">
      <c r="A5403" s="20" t="s">
        <v>1135</v>
      </c>
      <c r="E5403" s="22">
        <f>IF(D5403="?OLD","!!!","")</f>
        <v/>
      </c>
      <c r="F5403" s="23" t="str">
        <f>IF(OR(E5403="",E5403="!!!"),"",IF(NOT(ISNA(VLOOKUP(E5403,E$1:E5402,1,FALSE()))),"OLD",IF(AND(E5403&lt;&gt;"",E5403&lt;&gt;"!!!"),"NEW","")))</f>
        <v> </v>
      </c>
      <c r="G5403" s="24" t="str">
        <f>IF(OR(E5403="",E5403="!!!"),"",IF(OR(J5403=0,AND(J5403=1,K5403=1),AND(J5403=1,I5403="SBJ"),AND(J5403=1,I5403=0)),"?IN_FOCUS",IF(J5403&lt;=2,"?ACTIVATED",IF(J5403&lt;&gt;"","?FAMILIAR",IF(F5403="NEW",IF(ISNA(VLOOKUP(E5403,#REF!,1,FALSE())),"?TYPE_IDENTIFIABLE","?REFERENTIAL"),"_")))))</f>
        <v> </v>
      </c>
      <c r="H5403" s="25" t="str">
        <f>IF(J5403&lt;&gt;1,"",IF(I5403="SBJ","CB","?"))</f>
        <v> </v>
      </c>
      <c r="I5403" s="26" t="str">
        <f>IF(OR(E5403="",E5403="!!!",F5403="NEW"),"",INDEX(B5402:B$2,-1+SUMPRODUCT(MAX(ROW(E5402:E$2)*(E5403=E5402:E$2)))))</f>
        <v> </v>
      </c>
      <c r="J5403" s="26" t="str">
        <f>IF(OR(E5403="",E5403="!!!",F5403="NEW"),"",COUNTBLANK(OFFSET(A$1,,,SUMPRODUCT(MAX(ROW(E$2:E5403)*(E5403=E$2:E5403)))))-COUNTBLANK(OFFSET(A$1,,,SUMPRODUCT(MAX(ROW(E$1:E5402)*(E2=E$1:E5402))))))</f>
        <v> </v>
      </c>
      <c r="K5403" s="26" t="str">
        <f>IF(OR(E5403="",E5403="!!!",F5403="NEW"),"",INDEX(J$1:J5402,SUMPRODUCT(MAX(ROW(E$1:E5402)*(E5403=E$1:E5402)))))</f>
        <v> </v>
      </c>
      <c r="L5403" s="27"/>
    </row>
    <row r="5404" spans="1:12">
      <c r="A5404" s="20" t="s">
        <v>1075</v>
      </c>
      <c r="B5404" s="21" t="s">
        <v>1071</v>
      </c>
      <c r="C5404" s="21" t="s">
        <v>1017</v>
      </c>
      <c r="E5404" s="22">
        <f>IF(D5404="?OLD","!!!","")</f>
        <v/>
      </c>
      <c r="F5404" s="23" t="str">
        <f>IF(OR(E5404="",E5404="!!!"),"",IF(NOT(ISNA(VLOOKUP(E5404,E$1:E5403,1,FALSE()))),"OLD",IF(AND(E5404&lt;&gt;"",E5404&lt;&gt;"!!!"),"NEW","")))</f>
        <v> </v>
      </c>
      <c r="G5404" s="24" t="str">
        <f>IF(OR(E5404="",E5404="!!!"),"",IF(OR(J5404=0,AND(J5404=1,K5404=1),AND(J5404=1,I5404="SBJ"),AND(J5404=1,I5404=0)),"?IN_FOCUS",IF(J5404&lt;=2,"?ACTIVATED",IF(J5404&lt;&gt;"","?FAMILIAR",IF(F5404="NEW",IF(ISNA(VLOOKUP(E5404,#REF!,1,FALSE())),"?TYPE_IDENTIFIABLE","?REFERENTIAL"),"_")))))</f>
        <v> </v>
      </c>
      <c r="H5404" s="25" t="str">
        <f>IF(J5404&lt;&gt;1,"",IF(I5404="SBJ","CB","?"))</f>
        <v> </v>
      </c>
      <c r="I5404" s="26" t="str">
        <f>IF(OR(E5404="",E5404="!!!",F5404="NEW"),"",INDEX(B5403:B$2,-1+SUMPRODUCT(MAX(ROW(E5403:E$2)*(E5404=E5403:E$2)))))</f>
        <v> </v>
      </c>
      <c r="J5404" s="26" t="str">
        <f>IF(OR(E5404="",E5404="!!!",F5404="NEW"),"",COUNTBLANK(OFFSET(A$1,,,SUMPRODUCT(MAX(ROW(E$2:E5404)*(E5404=E$2:E5404)))))-COUNTBLANK(OFFSET(A$1,,,SUMPRODUCT(MAX(ROW(E$1:E5403)*(E2=E$1:E5403))))))</f>
        <v> </v>
      </c>
      <c r="K5404" s="26" t="str">
        <f>IF(OR(E5404="",E5404="!!!",F5404="NEW"),"",INDEX(J$1:J5403,SUMPRODUCT(MAX(ROW(E$1:E5403)*(E5404=E$1:E5403)))))</f>
        <v> </v>
      </c>
      <c r="L5404" s="27"/>
    </row>
    <row r="5405" spans="1:12">
      <c r="A5405" s="20" t="s">
        <v>1032</v>
      </c>
      <c r="E5405" s="22">
        <f>IF(D5405="?OLD","!!!","")</f>
        <v/>
      </c>
      <c r="F5405" s="23" t="str">
        <f>IF(OR(E5405="",E5405="!!!"),"",IF(NOT(ISNA(VLOOKUP(E5405,E$1:E5404,1,FALSE()))),"OLD",IF(AND(E5405&lt;&gt;"",E5405&lt;&gt;"!!!"),"NEW","")))</f>
        <v> </v>
      </c>
      <c r="G5405" s="24" t="str">
        <f>IF(OR(E5405="",E5405="!!!"),"",IF(OR(J5405=0,AND(J5405=1,K5405=1),AND(J5405=1,I5405="SBJ"),AND(J5405=1,I5405=0)),"?IN_FOCUS",IF(J5405&lt;=2,"?ACTIVATED",IF(J5405&lt;&gt;"","?FAMILIAR",IF(F5405="NEW",IF(ISNA(VLOOKUP(E5405,#REF!,1,FALSE())),"?TYPE_IDENTIFIABLE","?REFERENTIAL"),"_")))))</f>
        <v> </v>
      </c>
      <c r="H5405" s="25" t="str">
        <f>IF(J5405&lt;&gt;1,"",IF(I5405="SBJ","CB","?"))</f>
        <v> </v>
      </c>
      <c r="I5405" s="26" t="str">
        <f>IF(OR(E5405="",E5405="!!!",F5405="NEW"),"",INDEX(B5404:B$2,-1+SUMPRODUCT(MAX(ROW(E5404:E$2)*(E5405=E5404:E$2)))))</f>
        <v> </v>
      </c>
      <c r="J5405" s="26" t="str">
        <f>IF(OR(E5405="",E5405="!!!",F5405="NEW"),"",COUNTBLANK(OFFSET(A$1,,,SUMPRODUCT(MAX(ROW(E$2:E5405)*(E5405=E$2:E5405)))))-COUNTBLANK(OFFSET(A$1,,,SUMPRODUCT(MAX(ROW(E$1:E5404)*(E2=E$1:E5404))))))</f>
        <v> </v>
      </c>
      <c r="K5405" s="26" t="str">
        <f>IF(OR(E5405="",E5405="!!!",F5405="NEW"),"",INDEX(J$1:J5404,SUMPRODUCT(MAX(ROW(E$1:E5404)*(E5405=E$1:E5404)))))</f>
        <v> </v>
      </c>
      <c r="L5405" s="27"/>
    </row>
    <row r="5406" spans="1:12">
      <c r="A5406" s="20" t="s">
        <v>1042</v>
      </c>
      <c r="E5406" s="22">
        <f>IF(D5406="?OLD","!!!","")</f>
        <v/>
      </c>
      <c r="F5406" s="23" t="str">
        <f>IF(OR(E5406="",E5406="!!!"),"",IF(NOT(ISNA(VLOOKUP(E5406,E$1:E5405,1,FALSE()))),"OLD",IF(AND(E5406&lt;&gt;"",E5406&lt;&gt;"!!!"),"NEW","")))</f>
        <v> </v>
      </c>
      <c r="G5406" s="24" t="str">
        <f>IF(OR(E5406="",E5406="!!!"),"",IF(OR(J5406=0,AND(J5406=1,K5406=1),AND(J5406=1,I5406="SBJ"),AND(J5406=1,I5406=0)),"?IN_FOCUS",IF(J5406&lt;=2,"?ACTIVATED",IF(J5406&lt;&gt;"","?FAMILIAR",IF(F5406="NEW",IF(ISNA(VLOOKUP(E5406,#REF!,1,FALSE())),"?TYPE_IDENTIFIABLE","?REFERENTIAL"),"_")))))</f>
        <v> </v>
      </c>
      <c r="H5406" s="25" t="str">
        <f>IF(J5406&lt;&gt;1,"",IF(I5406="SBJ","CB","?"))</f>
        <v> </v>
      </c>
      <c r="I5406" s="26" t="str">
        <f>IF(OR(E5406="",E5406="!!!",F5406="NEW"),"",INDEX(B5405:B$2,-1+SUMPRODUCT(MAX(ROW(E5405:E$2)*(E5406=E5405:E$2)))))</f>
        <v> </v>
      </c>
      <c r="J5406" s="26" t="str">
        <f>IF(OR(E5406="",E5406="!!!",F5406="NEW"),"",COUNTBLANK(OFFSET(A$1,,,SUMPRODUCT(MAX(ROW(E$2:E5406)*(E5406=E$2:E5406)))))-COUNTBLANK(OFFSET(A$1,,,SUMPRODUCT(MAX(ROW(E$1:E5405)*(E2=E$1:E5405))))))</f>
        <v> </v>
      </c>
      <c r="K5406" s="26" t="str">
        <f>IF(OR(E5406="",E5406="!!!",F5406="NEW"),"",INDEX(J$1:J5405,SUMPRODUCT(MAX(ROW(E$1:E5405)*(E5406=E$1:E5405)))))</f>
        <v> </v>
      </c>
      <c r="L5406" s="27"/>
    </row>
    <row r="5407" spans="1:12">
      <c r="A5407" s="20" t="s">
        <v>2220</v>
      </c>
      <c r="E5407" s="22">
        <f>IF(D5407="?OLD","!!!","")</f>
        <v/>
      </c>
      <c r="F5407" s="23" t="str">
        <f>IF(OR(E5407="",E5407="!!!"),"",IF(NOT(ISNA(VLOOKUP(E5407,E$1:E5406,1,FALSE()))),"OLD",IF(AND(E5407&lt;&gt;"",E5407&lt;&gt;"!!!"),"NEW","")))</f>
        <v> </v>
      </c>
      <c r="G5407" s="24" t="str">
        <f>IF(OR(E5407="",E5407="!!!"),"",IF(OR(J5407=0,AND(J5407=1,K5407=1),AND(J5407=1,I5407="SBJ"),AND(J5407=1,I5407=0)),"?IN_FOCUS",IF(J5407&lt;=2,"?ACTIVATED",IF(J5407&lt;&gt;"","?FAMILIAR",IF(F5407="NEW",IF(ISNA(VLOOKUP(E5407,#REF!,1,FALSE())),"?TYPE_IDENTIFIABLE","?REFERENTIAL"),"_")))))</f>
        <v> </v>
      </c>
      <c r="H5407" s="25" t="str">
        <f>IF(J5407&lt;&gt;1,"",IF(I5407="SBJ","CB","?"))</f>
        <v> </v>
      </c>
      <c r="I5407" s="26" t="str">
        <f>IF(OR(E5407="",E5407="!!!",F5407="NEW"),"",INDEX(B5406:B$2,-1+SUMPRODUCT(MAX(ROW(E5406:E$2)*(E5407=E5406:E$2)))))</f>
        <v> </v>
      </c>
      <c r="J5407" s="26" t="str">
        <f>IF(OR(E5407="",E5407="!!!",F5407="NEW"),"",COUNTBLANK(OFFSET(A$1,,,SUMPRODUCT(MAX(ROW(E$2:E5407)*(E5407=E$2:E5407)))))-COUNTBLANK(OFFSET(A$1,,,SUMPRODUCT(MAX(ROW(E$1:E5406)*(E2=E$1:E5406))))))</f>
        <v> </v>
      </c>
      <c r="K5407" s="26" t="str">
        <f>IF(OR(E5407="",E5407="!!!",F5407="NEW"),"",INDEX(J$1:J5406,SUMPRODUCT(MAX(ROW(E$1:E5406)*(E5407=E$1:E5406)))))</f>
        <v> </v>
      </c>
      <c r="L5407" s="27"/>
    </row>
    <row r="5408" spans="1:12">
      <c r="A5408" s="20" t="s">
        <v>921</v>
      </c>
      <c r="B5408" s="21" t="s">
        <v>1071</v>
      </c>
      <c r="C5408" s="21" t="s">
        <v>1044</v>
      </c>
      <c r="D5408" s="21" t="s">
        <v>1011</v>
      </c>
      <c r="E5408" s="22">
        <f>IF(D5408="?OLD","!!!","")</f>
        <v/>
      </c>
      <c r="F5408" s="23" t="str">
        <f>IF(OR(E5408="",E5408="!!!"),"",IF(NOT(ISNA(VLOOKUP(E5408,E$1:E5407,1,FALSE()))),"OLD",IF(AND(E5408&lt;&gt;"",E5408&lt;&gt;"!!!"),"NEW","")))</f>
        <v> </v>
      </c>
      <c r="G5408" s="24" t="str">
        <f>IF(OR(E5408="",E5408="!!!"),"",IF(OR(J5408=0,AND(J5408=1,K5408=1),AND(J5408=1,I5408="SBJ"),AND(J5408=1,I5408=0)),"?IN_FOCUS",IF(J5408&lt;=2,"?ACTIVATED",IF(J5408&lt;&gt;"","?FAMILIAR",IF(F5408="NEW",IF(ISNA(VLOOKUP(E5408,#REF!,1,FALSE())),"?TYPE_IDENTIFIABLE","?REFERENTIAL"),"_")))))</f>
        <v> </v>
      </c>
      <c r="H5408" s="25" t="str">
        <f>IF(J5408&lt;&gt;1,"",IF(I5408="SBJ","CB","?"))</f>
        <v> </v>
      </c>
      <c r="I5408" s="26" t="str">
        <f>IF(OR(E5408="",E5408="!!!",F5408="NEW"),"",INDEX(B5407:B$2,-1+SUMPRODUCT(MAX(ROW(E5407:E$2)*(E5408=E5407:E$2)))))</f>
        <v> </v>
      </c>
      <c r="J5408" s="26" t="str">
        <f>IF(OR(E5408="",E5408="!!!",F5408="NEW"),"",COUNTBLANK(OFFSET(A$1,,,SUMPRODUCT(MAX(ROW(E$2:E5408)*(E5408=E$2:E5408)))))-COUNTBLANK(OFFSET(A$1,,,SUMPRODUCT(MAX(ROW(E$1:E5407)*(E2=E$1:E5407))))))</f>
        <v> </v>
      </c>
      <c r="K5408" s="26" t="str">
        <f>IF(OR(E5408="",E5408="!!!",F5408="NEW"),"",INDEX(J$1:J5407,SUMPRODUCT(MAX(ROW(E$1:E5407)*(E5408=E$1:E5407)))))</f>
        <v> </v>
      </c>
      <c r="L5408" s="27"/>
    </row>
    <row r="5409" spans="1:12">
      <c r="A5409" s="20" t="s">
        <v>12</v>
      </c>
      <c r="E5409" s="22">
        <f>IF(D5409="?OLD","!!!","")</f>
        <v/>
      </c>
      <c r="F5409" s="23" t="str">
        <f>IF(OR(E5409="",E5409="!!!"),"",IF(NOT(ISNA(VLOOKUP(E5409,E$1:E5408,1,FALSE()))),"OLD",IF(AND(E5409&lt;&gt;"",E5409&lt;&gt;"!!!"),"NEW","")))</f>
        <v> </v>
      </c>
      <c r="G5409" s="24" t="str">
        <f>IF(OR(E5409="",E5409="!!!"),"",IF(OR(J5409=0,AND(J5409=1,K5409=1),AND(J5409=1,I5409="SBJ"),AND(J5409=1,I5409=0)),"?IN_FOCUS",IF(J5409&lt;=2,"?ACTIVATED",IF(J5409&lt;&gt;"","?FAMILIAR",IF(F5409="NEW",IF(ISNA(VLOOKUP(E5409,#REF!,1,FALSE())),"?TYPE_IDENTIFIABLE","?REFERENTIAL"),"_")))))</f>
        <v> </v>
      </c>
      <c r="H5409" s="25" t="str">
        <f>IF(J5409&lt;&gt;1,"",IF(I5409="SBJ","CB","?"))</f>
        <v> </v>
      </c>
      <c r="I5409" s="26" t="str">
        <f>IF(OR(E5409="",E5409="!!!",F5409="NEW"),"",INDEX(B5408:B$2,-1+SUMPRODUCT(MAX(ROW(E5408:E$2)*(E5409=E5408:E$2)))))</f>
        <v> </v>
      </c>
      <c r="J5409" s="26" t="str">
        <f>IF(OR(E5409="",E5409="!!!",F5409="NEW"),"",COUNTBLANK(OFFSET(A$1,,,SUMPRODUCT(MAX(ROW(E$2:E5409)*(E5409=E$2:E5409)))))-COUNTBLANK(OFFSET(A$1,,,SUMPRODUCT(MAX(ROW(E$1:E5408)*(E2=E$1:E5408))))))</f>
        <v> </v>
      </c>
      <c r="K5409" s="26" t="str">
        <f>IF(OR(E5409="",E5409="!!!",F5409="NEW"),"",INDEX(J$1:J5408,SUMPRODUCT(MAX(ROW(E$1:E5408)*(E5409=E$1:E5408)))))</f>
        <v> </v>
      </c>
      <c r="L5409" s="27"/>
    </row>
    <row r="5410" spans="1:12">
      <c r="A5410" s="20" t="s">
        <v>1025</v>
      </c>
      <c r="B5410" s="21" t="s">
        <v>1039</v>
      </c>
      <c r="C5410" s="21" t="s">
        <v>1026</v>
      </c>
      <c r="D5410" s="21" t="s">
        <v>1011</v>
      </c>
      <c r="E5410" s="22">
        <f>IF(D5410="?OLD","!!!","")</f>
        <v/>
      </c>
      <c r="F5410" s="23" t="str">
        <f>IF(OR(E5410="",E5410="!!!"),"",IF(NOT(ISNA(VLOOKUP(E5410,E$1:E5409,1,FALSE()))),"OLD",IF(AND(E5410&lt;&gt;"",E5410&lt;&gt;"!!!"),"NEW","")))</f>
        <v> </v>
      </c>
      <c r="G5410" s="24" t="str">
        <f>IF(OR(E5410="",E5410="!!!"),"",IF(OR(J5410=0,AND(J5410=1,K5410=1),AND(J5410=1,I5410="SBJ"),AND(J5410=1,I5410=0)),"?IN_FOCUS",IF(J5410&lt;=2,"?ACTIVATED",IF(J5410&lt;&gt;"","?FAMILIAR",IF(F5410="NEW",IF(ISNA(VLOOKUP(E5410,#REF!,1,FALSE())),"?TYPE_IDENTIFIABLE","?REFERENTIAL"),"_")))))</f>
        <v> </v>
      </c>
      <c r="H5410" s="25" t="str">
        <f>IF(J5410&lt;&gt;1,"",IF(I5410="SBJ","CB","?"))</f>
        <v> </v>
      </c>
      <c r="I5410" s="26" t="str">
        <f>IF(OR(E5410="",E5410="!!!",F5410="NEW"),"",INDEX(B5409:B$2,-1+SUMPRODUCT(MAX(ROW(E5409:E$2)*(E5410=E5409:E$2)))))</f>
        <v> </v>
      </c>
      <c r="J5410" s="26" t="str">
        <f>IF(OR(E5410="",E5410="!!!",F5410="NEW"),"",COUNTBLANK(OFFSET(A$1,,,SUMPRODUCT(MAX(ROW(E$2:E5410)*(E5410=E$2:E5410)))))-COUNTBLANK(OFFSET(A$1,,,SUMPRODUCT(MAX(ROW(E$1:E5409)*(E2=E$1:E5409))))))</f>
        <v> </v>
      </c>
      <c r="K5410" s="26" t="str">
        <f>IF(OR(E5410="",E5410="!!!",F5410="NEW"),"",INDEX(J$1:J5409,SUMPRODUCT(MAX(ROW(E$1:E5409)*(E5410=E$1:E5409)))))</f>
        <v> </v>
      </c>
      <c r="L5410" s="27"/>
    </row>
    <row r="5411" spans="1:12">
      <c r="A5411" s="20" t="s">
        <v>1173</v>
      </c>
      <c r="E5411" s="22">
        <f>IF(D5411="?OLD","!!!","")</f>
        <v/>
      </c>
      <c r="F5411" s="23" t="str">
        <f>IF(OR(E5411="",E5411="!!!"),"",IF(NOT(ISNA(VLOOKUP(E5411,E$1:E5410,1,FALSE()))),"OLD",IF(AND(E5411&lt;&gt;"",E5411&lt;&gt;"!!!"),"NEW","")))</f>
        <v> </v>
      </c>
      <c r="G5411" s="24" t="str">
        <f>IF(OR(E5411="",E5411="!!!"),"",IF(OR(J5411=0,AND(J5411=1,K5411=1),AND(J5411=1,I5411="SBJ"),AND(J5411=1,I5411=0)),"?IN_FOCUS",IF(J5411&lt;=2,"?ACTIVATED",IF(J5411&lt;&gt;"","?FAMILIAR",IF(F5411="NEW",IF(ISNA(VLOOKUP(E5411,#REF!,1,FALSE())),"?TYPE_IDENTIFIABLE","?REFERENTIAL"),"_")))))</f>
        <v> </v>
      </c>
      <c r="H5411" s="25" t="str">
        <f>IF(J5411&lt;&gt;1,"",IF(I5411="SBJ","CB","?"))</f>
        <v> </v>
      </c>
      <c r="I5411" s="26" t="str">
        <f>IF(OR(E5411="",E5411="!!!",F5411="NEW"),"",INDEX(B5410:B$2,-1+SUMPRODUCT(MAX(ROW(E5410:E$2)*(E5411=E5410:E$2)))))</f>
        <v> </v>
      </c>
      <c r="J5411" s="26" t="str">
        <f>IF(OR(E5411="",E5411="!!!",F5411="NEW"),"",COUNTBLANK(OFFSET(A$1,,,SUMPRODUCT(MAX(ROW(E$2:E5411)*(E5411=E$2:E5411)))))-COUNTBLANK(OFFSET(A$1,,,SUMPRODUCT(MAX(ROW(E$1:E5410)*(E2=E$1:E5410))))))</f>
        <v> </v>
      </c>
      <c r="K5411" s="26" t="str">
        <f>IF(OR(E5411="",E5411="!!!",F5411="NEW"),"",INDEX(J$1:J5410,SUMPRODUCT(MAX(ROW(E$1:E5410)*(E5411=E$1:E5410)))))</f>
        <v> </v>
      </c>
      <c r="L5411" s="27"/>
    </row>
    <row r="5412" spans="1:12">
      <c r="A5412" s="20" t="s">
        <v>1107</v>
      </c>
      <c r="E5412" s="22">
        <f>IF(D5412="?OLD","!!!","")</f>
        <v/>
      </c>
      <c r="F5412" s="23" t="str">
        <f>IF(OR(E5412="",E5412="!!!"),"",IF(NOT(ISNA(VLOOKUP(E5412,E$1:E5411,1,FALSE()))),"OLD",IF(AND(E5412&lt;&gt;"",E5412&lt;&gt;"!!!"),"NEW","")))</f>
        <v> </v>
      </c>
      <c r="G5412" s="24" t="str">
        <f>IF(OR(E5412="",E5412="!!!"),"",IF(OR(J5412=0,AND(J5412=1,K5412=1),AND(J5412=1,I5412="SBJ"),AND(J5412=1,I5412=0)),"?IN_FOCUS",IF(J5412&lt;=2,"?ACTIVATED",IF(J5412&lt;&gt;"","?FAMILIAR",IF(F5412="NEW",IF(ISNA(VLOOKUP(E5412,#REF!,1,FALSE())),"?TYPE_IDENTIFIABLE","?REFERENTIAL"),"_")))))</f>
        <v> </v>
      </c>
      <c r="H5412" s="25" t="str">
        <f>IF(J5412&lt;&gt;1,"",IF(I5412="SBJ","CB","?"))</f>
        <v> </v>
      </c>
      <c r="I5412" s="26" t="str">
        <f>IF(OR(E5412="",E5412="!!!",F5412="NEW"),"",INDEX(B5411:B$2,-1+SUMPRODUCT(MAX(ROW(E5411:E$2)*(E5412=E5411:E$2)))))</f>
        <v> </v>
      </c>
      <c r="J5412" s="26" t="str">
        <f>IF(OR(E5412="",E5412="!!!",F5412="NEW"),"",COUNTBLANK(OFFSET(A$1,,,SUMPRODUCT(MAX(ROW(E$2:E5412)*(E5412=E$2:E5412)))))-COUNTBLANK(OFFSET(A$1,,,SUMPRODUCT(MAX(ROW(E$1:E5411)*(E2=E$1:E5411))))))</f>
        <v> </v>
      </c>
      <c r="K5412" s="26" t="str">
        <f>IF(OR(E5412="",E5412="!!!",F5412="NEW"),"",INDEX(J$1:J5411,SUMPRODUCT(MAX(ROW(E$1:E5411)*(E5412=E$1:E5411)))))</f>
        <v> </v>
      </c>
      <c r="L5412" s="27"/>
    </row>
    <row r="5413" spans="1:12">
      <c r="A5413" s="20" t="s">
        <v>2221</v>
      </c>
      <c r="E5413" s="22">
        <f>IF(D5413="?OLD","!!!","")</f>
        <v/>
      </c>
      <c r="F5413" s="23" t="str">
        <f>IF(OR(E5413="",E5413="!!!"),"",IF(NOT(ISNA(VLOOKUP(E5413,E$1:E5412,1,FALSE()))),"OLD",IF(AND(E5413&lt;&gt;"",E5413&lt;&gt;"!!!"),"NEW","")))</f>
        <v> </v>
      </c>
      <c r="G5413" s="24" t="str">
        <f>IF(OR(E5413="",E5413="!!!"),"",IF(OR(J5413=0,AND(J5413=1,K5413=1),AND(J5413=1,I5413="SBJ"),AND(J5413=1,I5413=0)),"?IN_FOCUS",IF(J5413&lt;=2,"?ACTIVATED",IF(J5413&lt;&gt;"","?FAMILIAR",IF(F5413="NEW",IF(ISNA(VLOOKUP(E5413,#REF!,1,FALSE())),"?TYPE_IDENTIFIABLE","?REFERENTIAL"),"_")))))</f>
        <v> </v>
      </c>
      <c r="H5413" s="25" t="str">
        <f>IF(J5413&lt;&gt;1,"",IF(I5413="SBJ","CB","?"))</f>
        <v> </v>
      </c>
      <c r="I5413" s="26" t="str">
        <f>IF(OR(E5413="",E5413="!!!",F5413="NEW"),"",INDEX(B5412:B$2,-1+SUMPRODUCT(MAX(ROW(E5412:E$2)*(E5413=E5412:E$2)))))</f>
        <v> </v>
      </c>
      <c r="J5413" s="26" t="str">
        <f>IF(OR(E5413="",E5413="!!!",F5413="NEW"),"",COUNTBLANK(OFFSET(A$1,,,SUMPRODUCT(MAX(ROW(E$2:E5413)*(E5413=E$2:E5413)))))-COUNTBLANK(OFFSET(A$1,,,SUMPRODUCT(MAX(ROW(E$1:E5412)*(E2=E$1:E5412))))))</f>
        <v> </v>
      </c>
      <c r="K5413" s="26" t="str">
        <f>IF(OR(E5413="",E5413="!!!",F5413="NEW"),"",INDEX(J$1:J5412,SUMPRODUCT(MAX(ROW(E$1:E5412)*(E5413=E$1:E5412)))))</f>
        <v> </v>
      </c>
      <c r="L5413" s="27"/>
    </row>
    <row r="5414" spans="1:12">
      <c r="A5414" s="20" t="s">
        <v>1042</v>
      </c>
      <c r="E5414" s="22">
        <f>IF(D5414="?OLD","!!!","")</f>
        <v/>
      </c>
      <c r="F5414" s="23" t="str">
        <f>IF(OR(E5414="",E5414="!!!"),"",IF(NOT(ISNA(VLOOKUP(E5414,E$1:E5413,1,FALSE()))),"OLD",IF(AND(E5414&lt;&gt;"",E5414&lt;&gt;"!!!"),"NEW","")))</f>
        <v> </v>
      </c>
      <c r="G5414" s="24" t="str">
        <f>IF(OR(E5414="",E5414="!!!"),"",IF(OR(J5414=0,AND(J5414=1,K5414=1),AND(J5414=1,I5414="SBJ"),AND(J5414=1,I5414=0)),"?IN_FOCUS",IF(J5414&lt;=2,"?ACTIVATED",IF(J5414&lt;&gt;"","?FAMILIAR",IF(F5414="NEW",IF(ISNA(VLOOKUP(E5414,#REF!,1,FALSE())),"?TYPE_IDENTIFIABLE","?REFERENTIAL"),"_")))))</f>
        <v> </v>
      </c>
      <c r="H5414" s="25" t="str">
        <f>IF(J5414&lt;&gt;1,"",IF(I5414="SBJ","CB","?"))</f>
        <v> </v>
      </c>
      <c r="I5414" s="26" t="str">
        <f>IF(OR(E5414="",E5414="!!!",F5414="NEW"),"",INDEX(B5413:B$2,-1+SUMPRODUCT(MAX(ROW(E5413:E$2)*(E5414=E5413:E$2)))))</f>
        <v> </v>
      </c>
      <c r="J5414" s="26" t="str">
        <f>IF(OR(E5414="",E5414="!!!",F5414="NEW"),"",COUNTBLANK(OFFSET(A$1,,,SUMPRODUCT(MAX(ROW(E$2:E5414)*(E5414=E$2:E5414)))))-COUNTBLANK(OFFSET(A$1,,,SUMPRODUCT(MAX(ROW(E$1:E5413)*(E2=E$1:E5413))))))</f>
        <v> </v>
      </c>
      <c r="K5414" s="26" t="str">
        <f>IF(OR(E5414="",E5414="!!!",F5414="NEW"),"",INDEX(J$1:J5413,SUMPRODUCT(MAX(ROW(E$1:E5413)*(E5414=E$1:E5413)))))</f>
        <v> </v>
      </c>
      <c r="L5414" s="27"/>
    </row>
    <row r="5415" spans="1:12">
      <c r="A5415" s="20" t="s">
        <v>2222</v>
      </c>
      <c r="E5415" s="22">
        <f>IF(D5415="?OLD","!!!","")</f>
        <v/>
      </c>
      <c r="F5415" s="23" t="str">
        <f>IF(OR(E5415="",E5415="!!!"),"",IF(NOT(ISNA(VLOOKUP(E5415,E$1:E5414,1,FALSE()))),"OLD",IF(AND(E5415&lt;&gt;"",E5415&lt;&gt;"!!!"),"NEW","")))</f>
        <v> </v>
      </c>
      <c r="G5415" s="24" t="str">
        <f>IF(OR(E5415="",E5415="!!!"),"",IF(OR(J5415=0,AND(J5415=1,K5415=1),AND(J5415=1,I5415="SBJ"),AND(J5415=1,I5415=0)),"?IN_FOCUS",IF(J5415&lt;=2,"?ACTIVATED",IF(J5415&lt;&gt;"","?FAMILIAR",IF(F5415="NEW",IF(ISNA(VLOOKUP(E5415,#REF!,1,FALSE())),"?TYPE_IDENTIFIABLE","?REFERENTIAL"),"_")))))</f>
        <v> </v>
      </c>
      <c r="H5415" s="25" t="str">
        <f>IF(J5415&lt;&gt;1,"",IF(I5415="SBJ","CB","?"))</f>
        <v> </v>
      </c>
      <c r="I5415" s="26" t="str">
        <f>IF(OR(E5415="",E5415="!!!",F5415="NEW"),"",INDEX(B5414:B$2,-1+SUMPRODUCT(MAX(ROW(E5414:E$2)*(E5415=E5414:E$2)))))</f>
        <v> </v>
      </c>
      <c r="J5415" s="26" t="str">
        <f>IF(OR(E5415="",E5415="!!!",F5415="NEW"),"",COUNTBLANK(OFFSET(A$1,,,SUMPRODUCT(MAX(ROW(E$2:E5415)*(E5415=E$2:E5415)))))-COUNTBLANK(OFFSET(A$1,,,SUMPRODUCT(MAX(ROW(E$1:E5414)*(E2=E$1:E5414))))))</f>
        <v> </v>
      </c>
      <c r="K5415" s="26" t="str">
        <f>IF(OR(E5415="",E5415="!!!",F5415="NEW"),"",INDEX(J$1:J5414,SUMPRODUCT(MAX(ROW(E$1:E5414)*(E5415=E$1:E5414)))))</f>
        <v> </v>
      </c>
      <c r="L5415" s="27"/>
    </row>
    <row r="5416" spans="1:12">
      <c r="A5416" s="20" t="s">
        <v>1499</v>
      </c>
      <c r="B5416" s="21" t="s">
        <v>1071</v>
      </c>
      <c r="C5416" s="21" t="s">
        <v>1044</v>
      </c>
      <c r="D5416" s="21" t="s">
        <v>1011</v>
      </c>
      <c r="E5416" s="22">
        <f>IF(D5416="?OLD","!!!","")</f>
        <v/>
      </c>
      <c r="F5416" s="23" t="str">
        <f>IF(OR(E5416="",E5416="!!!"),"",IF(NOT(ISNA(VLOOKUP(E5416,E$1:E5415,1,FALSE()))),"OLD",IF(AND(E5416&lt;&gt;"",E5416&lt;&gt;"!!!"),"NEW","")))</f>
        <v> </v>
      </c>
      <c r="G5416" s="24" t="str">
        <f>IF(OR(E5416="",E5416="!!!"),"",IF(OR(J5416=0,AND(J5416=1,K5416=1),AND(J5416=1,I5416="SBJ"),AND(J5416=1,I5416=0)),"?IN_FOCUS",IF(J5416&lt;=2,"?ACTIVATED",IF(J5416&lt;&gt;"","?FAMILIAR",IF(F5416="NEW",IF(ISNA(VLOOKUP(E5416,#REF!,1,FALSE())),"?TYPE_IDENTIFIABLE","?REFERENTIAL"),"_")))))</f>
        <v> </v>
      </c>
      <c r="H5416" s="25" t="str">
        <f>IF(J5416&lt;&gt;1,"",IF(I5416="SBJ","CB","?"))</f>
        <v> </v>
      </c>
      <c r="I5416" s="26" t="str">
        <f>IF(OR(E5416="",E5416="!!!",F5416="NEW"),"",INDEX(B5415:B$2,-1+SUMPRODUCT(MAX(ROW(E5415:E$2)*(E5416=E5415:E$2)))))</f>
        <v> </v>
      </c>
      <c r="J5416" s="26" t="str">
        <f>IF(OR(E5416="",E5416="!!!",F5416="NEW"),"",COUNTBLANK(OFFSET(A$1,,,SUMPRODUCT(MAX(ROW(E$2:E5416)*(E5416=E$2:E5416)))))-COUNTBLANK(OFFSET(A$1,,,SUMPRODUCT(MAX(ROW(E$1:E5415)*(E2=E$1:E5415))))))</f>
        <v> </v>
      </c>
      <c r="K5416" s="26" t="str">
        <f>IF(OR(E5416="",E5416="!!!",F5416="NEW"),"",INDEX(J$1:J5415,SUMPRODUCT(MAX(ROW(E$1:E5415)*(E5416=E$1:E5415)))))</f>
        <v> </v>
      </c>
      <c r="L5416" s="27"/>
    </row>
    <row r="5417" spans="1:12">
      <c r="A5417" s="20" t="s">
        <v>1032</v>
      </c>
      <c r="E5417" s="22">
        <f>IF(D5417="?OLD","!!!","")</f>
        <v/>
      </c>
      <c r="F5417" s="23" t="str">
        <f>IF(OR(E5417="",E5417="!!!"),"",IF(NOT(ISNA(VLOOKUP(E5417,E$1:E5416,1,FALSE()))),"OLD",IF(AND(E5417&lt;&gt;"",E5417&lt;&gt;"!!!"),"NEW","")))</f>
        <v> </v>
      </c>
      <c r="G5417" s="24" t="str">
        <f>IF(OR(E5417="",E5417="!!!"),"",IF(OR(J5417=0,AND(J5417=1,K5417=1),AND(J5417=1,I5417="SBJ"),AND(J5417=1,I5417=0)),"?IN_FOCUS",IF(J5417&lt;=2,"?ACTIVATED",IF(J5417&lt;&gt;"","?FAMILIAR",IF(F5417="NEW",IF(ISNA(VLOOKUP(E5417,#REF!,1,FALSE())),"?TYPE_IDENTIFIABLE","?REFERENTIAL"),"_")))))</f>
        <v> </v>
      </c>
      <c r="H5417" s="25" t="str">
        <f>IF(J5417&lt;&gt;1,"",IF(I5417="SBJ","CB","?"))</f>
        <v> </v>
      </c>
      <c r="I5417" s="26" t="str">
        <f>IF(OR(E5417="",E5417="!!!",F5417="NEW"),"",INDEX(B5416:B$2,-1+SUMPRODUCT(MAX(ROW(E5416:E$2)*(E5417=E5416:E$2)))))</f>
        <v> </v>
      </c>
      <c r="J5417" s="26" t="str">
        <f>IF(OR(E5417="",E5417="!!!",F5417="NEW"),"",COUNTBLANK(OFFSET(A$1,,,SUMPRODUCT(MAX(ROW(E$2:E5417)*(E5417=E$2:E5417)))))-COUNTBLANK(OFFSET(A$1,,,SUMPRODUCT(MAX(ROW(E$1:E5416)*(E2=E$1:E5416))))))</f>
        <v> </v>
      </c>
      <c r="K5417" s="26" t="str">
        <f>IF(OR(E5417="",E5417="!!!",F5417="NEW"),"",INDEX(J$1:J5416,SUMPRODUCT(MAX(ROW(E$1:E5416)*(E5417=E$1:E5416)))))</f>
        <v> </v>
      </c>
      <c r="L5417" s="27"/>
    </row>
    <row r="5418" spans="1:12">
      <c r="A5418" s="20" t="s">
        <v>1020</v>
      </c>
      <c r="E5418" s="22">
        <f>IF(D5418="?OLD","!!!","")</f>
        <v/>
      </c>
      <c r="F5418" s="23" t="str">
        <f>IF(OR(E5418="",E5418="!!!"),"",IF(NOT(ISNA(VLOOKUP(E5418,E$1:E5417,1,FALSE()))),"OLD",IF(AND(E5418&lt;&gt;"",E5418&lt;&gt;"!!!"),"NEW","")))</f>
        <v> </v>
      </c>
      <c r="G5418" s="24" t="str">
        <f>IF(OR(E5418="",E5418="!!!"),"",IF(OR(J5418=0,AND(J5418=1,K5418=1),AND(J5418=1,I5418="SBJ"),AND(J5418=1,I5418=0)),"?IN_FOCUS",IF(J5418&lt;=2,"?ACTIVATED",IF(J5418&lt;&gt;"","?FAMILIAR",IF(F5418="NEW",IF(ISNA(VLOOKUP(E5418,#REF!,1,FALSE())),"?TYPE_IDENTIFIABLE","?REFERENTIAL"),"_")))))</f>
        <v> </v>
      </c>
      <c r="H5418" s="25" t="str">
        <f>IF(J5418&lt;&gt;1,"",IF(I5418="SBJ","CB","?"))</f>
        <v> </v>
      </c>
      <c r="I5418" s="26" t="str">
        <f>IF(OR(E5418="",E5418="!!!",F5418="NEW"),"",INDEX(B5417:B$2,-1+SUMPRODUCT(MAX(ROW(E5417:E$2)*(E5418=E5417:E$2)))))</f>
        <v> </v>
      </c>
      <c r="J5418" s="26" t="str">
        <f>IF(OR(E5418="",E5418="!!!",F5418="NEW"),"",COUNTBLANK(OFFSET(A$1,,,SUMPRODUCT(MAX(ROW(E$2:E5418)*(E5418=E$2:E5418)))))-COUNTBLANK(OFFSET(A$1,,,SUMPRODUCT(MAX(ROW(E$1:E5417)*(E2=E$1:E5417))))))</f>
        <v> </v>
      </c>
      <c r="K5418" s="26" t="str">
        <f>IF(OR(E5418="",E5418="!!!",F5418="NEW"),"",INDEX(J$1:J5417,SUMPRODUCT(MAX(ROW(E$1:E5417)*(E5418=E$1:E5417)))))</f>
        <v> </v>
      </c>
      <c r="L5418" s="27"/>
    </row>
    <row r="5419" spans="1:12">
      <c r="A5419" s="20" t="s">
        <v>1100</v>
      </c>
      <c r="E5419" s="22">
        <f>IF(D5419="?OLD","!!!","")</f>
        <v/>
      </c>
      <c r="F5419" s="23" t="str">
        <f>IF(OR(E5419="",E5419="!!!"),"",IF(NOT(ISNA(VLOOKUP(E5419,E$1:E5418,1,FALSE()))),"OLD",IF(AND(E5419&lt;&gt;"",E5419&lt;&gt;"!!!"),"NEW","")))</f>
        <v> </v>
      </c>
      <c r="G5419" s="24" t="str">
        <f>IF(OR(E5419="",E5419="!!!"),"",IF(OR(J5419=0,AND(J5419=1,K5419=1),AND(J5419=1,I5419="SBJ"),AND(J5419=1,I5419=0)),"?IN_FOCUS",IF(J5419&lt;=2,"?ACTIVATED",IF(J5419&lt;&gt;"","?FAMILIAR",IF(F5419="NEW",IF(ISNA(VLOOKUP(E5419,#REF!,1,FALSE())),"?TYPE_IDENTIFIABLE","?REFERENTIAL"),"_")))))</f>
        <v> </v>
      </c>
      <c r="H5419" s="25" t="str">
        <f>IF(J5419&lt;&gt;1,"",IF(I5419="SBJ","CB","?"))</f>
        <v> </v>
      </c>
      <c r="I5419" s="26" t="str">
        <f>IF(OR(E5419="",E5419="!!!",F5419="NEW"),"",INDEX(B5418:B$2,-1+SUMPRODUCT(MAX(ROW(E5418:E$2)*(E5419=E5418:E$2)))))</f>
        <v> </v>
      </c>
      <c r="J5419" s="26" t="str">
        <f>IF(OR(E5419="",E5419="!!!",F5419="NEW"),"",COUNTBLANK(OFFSET(A$1,,,SUMPRODUCT(MAX(ROW(E$2:E5419)*(E5419=E$2:E5419)))))-COUNTBLANK(OFFSET(A$1,,,SUMPRODUCT(MAX(ROW(E$1:E5418)*(E2=E$1:E5418))))))</f>
        <v> </v>
      </c>
      <c r="K5419" s="26" t="str">
        <f>IF(OR(E5419="",E5419="!!!",F5419="NEW"),"",INDEX(J$1:J5418,SUMPRODUCT(MAX(ROW(E$1:E5418)*(E5419=E$1:E5418)))))</f>
        <v> </v>
      </c>
      <c r="L5419" s="27"/>
    </row>
    <row r="5420" spans="1:12">
      <c r="A5420" s="20" t="s">
        <v>1067</v>
      </c>
      <c r="E5420" s="22">
        <f>IF(D5420="?OLD","!!!","")</f>
        <v/>
      </c>
      <c r="F5420" s="23" t="str">
        <f>IF(OR(E5420="",E5420="!!!"),"",IF(NOT(ISNA(VLOOKUP(E5420,E$1:E5419,1,FALSE()))),"OLD",IF(AND(E5420&lt;&gt;"",E5420&lt;&gt;"!!!"),"NEW","")))</f>
        <v> </v>
      </c>
      <c r="G5420" s="24" t="str">
        <f>IF(OR(E5420="",E5420="!!!"),"",IF(OR(J5420=0,AND(J5420=1,K5420=1),AND(J5420=1,I5420="SBJ"),AND(J5420=1,I5420=0)),"?IN_FOCUS",IF(J5420&lt;=2,"?ACTIVATED",IF(J5420&lt;&gt;"","?FAMILIAR",IF(F5420="NEW",IF(ISNA(VLOOKUP(E5420,#REF!,1,FALSE())),"?TYPE_IDENTIFIABLE","?REFERENTIAL"),"_")))))</f>
        <v> </v>
      </c>
      <c r="H5420" s="25" t="str">
        <f>IF(J5420&lt;&gt;1,"",IF(I5420="SBJ","CB","?"))</f>
        <v> </v>
      </c>
      <c r="I5420" s="26" t="str">
        <f>IF(OR(E5420="",E5420="!!!",F5420="NEW"),"",INDEX(B5419:B$2,-1+SUMPRODUCT(MAX(ROW(E5419:E$2)*(E5420=E5419:E$2)))))</f>
        <v> </v>
      </c>
      <c r="J5420" s="26" t="str">
        <f>IF(OR(E5420="",E5420="!!!",F5420="NEW"),"",COUNTBLANK(OFFSET(A$1,,,SUMPRODUCT(MAX(ROW(E$2:E5420)*(E5420=E$2:E5420)))))-COUNTBLANK(OFFSET(A$1,,,SUMPRODUCT(MAX(ROW(E$1:E5419)*(E2=E$1:E5419))))))</f>
        <v> </v>
      </c>
      <c r="K5420" s="26" t="str">
        <f>IF(OR(E5420="",E5420="!!!",F5420="NEW"),"",INDEX(J$1:J5419,SUMPRODUCT(MAX(ROW(E$1:E5419)*(E5420=E$1:E5419)))))</f>
        <v> </v>
      </c>
      <c r="L5420" s="27"/>
    </row>
    <row r="5421" spans="1:12">
      <c r="A5421" s="20" t="s">
        <v>122</v>
      </c>
      <c r="B5421" s="21" t="s">
        <v>1039</v>
      </c>
      <c r="C5421" s="21" t="s">
        <v>1017</v>
      </c>
      <c r="E5421" s="22">
        <f>IF(D5421="?OLD","!!!","")</f>
        <v/>
      </c>
      <c r="F5421" s="23" t="str">
        <f>IF(OR(E5421="",E5421="!!!"),"",IF(NOT(ISNA(VLOOKUP(E5421,E$1:E5420,1,FALSE()))),"OLD",IF(AND(E5421&lt;&gt;"",E5421&lt;&gt;"!!!"),"NEW","")))</f>
        <v> </v>
      </c>
      <c r="G5421" s="24" t="str">
        <f>IF(OR(E5421="",E5421="!!!"),"",IF(OR(J5421=0,AND(J5421=1,K5421=1),AND(J5421=1,I5421="SBJ"),AND(J5421=1,I5421=0)),"?IN_FOCUS",IF(J5421&lt;=2,"?ACTIVATED",IF(J5421&lt;&gt;"","?FAMILIAR",IF(F5421="NEW",IF(ISNA(VLOOKUP(E5421,#REF!,1,FALSE())),"?TYPE_IDENTIFIABLE","?REFERENTIAL"),"_")))))</f>
        <v> </v>
      </c>
      <c r="H5421" s="25" t="str">
        <f>IF(J5421&lt;&gt;1,"",IF(I5421="SBJ","CB","?"))</f>
        <v> </v>
      </c>
      <c r="I5421" s="26" t="str">
        <f>IF(OR(E5421="",E5421="!!!",F5421="NEW"),"",INDEX(B5420:B$2,-1+SUMPRODUCT(MAX(ROW(E5420:E$2)*(E5421=E5420:E$2)))))</f>
        <v> </v>
      </c>
      <c r="J5421" s="26" t="str">
        <f>IF(OR(E5421="",E5421="!!!",F5421="NEW"),"",COUNTBLANK(OFFSET(A$1,,,SUMPRODUCT(MAX(ROW(E$2:E5421)*(E5421=E$2:E5421)))))-COUNTBLANK(OFFSET(A$1,,,SUMPRODUCT(MAX(ROW(E$1:E5420)*(E2=E$1:E5420))))))</f>
        <v> </v>
      </c>
      <c r="K5421" s="26" t="str">
        <f>IF(OR(E5421="",E5421="!!!",F5421="NEW"),"",INDEX(J$1:J5420,SUMPRODUCT(MAX(ROW(E$1:E5420)*(E5421=E$1:E5420)))))</f>
        <v> </v>
      </c>
      <c r="L5421" s="27"/>
    </row>
    <row r="5422" spans="1:12">
      <c r="A5422" s="20" t="s">
        <v>1074</v>
      </c>
      <c r="E5422" s="22">
        <f>IF(D5422="?OLD","!!!","")</f>
        <v/>
      </c>
      <c r="F5422" s="23" t="str">
        <f>IF(OR(E5422="",E5422="!!!"),"",IF(NOT(ISNA(VLOOKUP(E5422,E$1:E5421,1,FALSE()))),"OLD",IF(AND(E5422&lt;&gt;"",E5422&lt;&gt;"!!!"),"NEW","")))</f>
        <v> </v>
      </c>
      <c r="G5422" s="24" t="str">
        <f>IF(OR(E5422="",E5422="!!!"),"",IF(OR(J5422=0,AND(J5422=1,K5422=1),AND(J5422=1,I5422="SBJ"),AND(J5422=1,I5422=0)),"?IN_FOCUS",IF(J5422&lt;=2,"?ACTIVATED",IF(J5422&lt;&gt;"","?FAMILIAR",IF(F5422="NEW",IF(ISNA(VLOOKUP(E5422,#REF!,1,FALSE())),"?TYPE_IDENTIFIABLE","?REFERENTIAL"),"_")))))</f>
        <v> </v>
      </c>
      <c r="H5422" s="25" t="str">
        <f>IF(J5422&lt;&gt;1,"",IF(I5422="SBJ","CB","?"))</f>
        <v> </v>
      </c>
      <c r="I5422" s="26" t="str">
        <f>IF(OR(E5422="",E5422="!!!",F5422="NEW"),"",INDEX(B5421:B$2,-1+SUMPRODUCT(MAX(ROW(E5421:E$2)*(E5422=E5421:E$2)))))</f>
        <v> </v>
      </c>
      <c r="J5422" s="26" t="str">
        <f>IF(OR(E5422="",E5422="!!!",F5422="NEW"),"",COUNTBLANK(OFFSET(A$1,,,SUMPRODUCT(MAX(ROW(E$2:E5422)*(E5422=E$2:E5422)))))-COUNTBLANK(OFFSET(A$1,,,SUMPRODUCT(MAX(ROW(E$1:E5421)*(E2=E$1:E5421))))))</f>
        <v> </v>
      </c>
      <c r="K5422" s="26" t="str">
        <f>IF(OR(E5422="",E5422="!!!",F5422="NEW"),"",INDEX(J$1:J5421,SUMPRODUCT(MAX(ROW(E$1:E5421)*(E5422=E$1:E5421)))))</f>
        <v> </v>
      </c>
      <c r="L5422" s="27"/>
    </row>
    <row r="5423" spans="1:12">
      <c r="A5423" s="20" t="s">
        <v>1042</v>
      </c>
      <c r="E5423" s="22">
        <f>IF(D5423="?OLD","!!!","")</f>
        <v/>
      </c>
      <c r="F5423" s="23" t="str">
        <f>IF(OR(E5423="",E5423="!!!"),"",IF(NOT(ISNA(VLOOKUP(E5423,E$1:E5422,1,FALSE()))),"OLD",IF(AND(E5423&lt;&gt;"",E5423&lt;&gt;"!!!"),"NEW","")))</f>
        <v> </v>
      </c>
      <c r="G5423" s="24" t="str">
        <f>IF(OR(E5423="",E5423="!!!"),"",IF(OR(J5423=0,AND(J5423=1,K5423=1),AND(J5423=1,I5423="SBJ"),AND(J5423=1,I5423=0)),"?IN_FOCUS",IF(J5423&lt;=2,"?ACTIVATED",IF(J5423&lt;&gt;"","?FAMILIAR",IF(F5423="NEW",IF(ISNA(VLOOKUP(E5423,#REF!,1,FALSE())),"?TYPE_IDENTIFIABLE","?REFERENTIAL"),"_")))))</f>
        <v> </v>
      </c>
      <c r="H5423" s="25" t="str">
        <f>IF(J5423&lt;&gt;1,"",IF(I5423="SBJ","CB","?"))</f>
        <v> </v>
      </c>
      <c r="I5423" s="26" t="str">
        <f>IF(OR(E5423="",E5423="!!!",F5423="NEW"),"",INDEX(B5422:B$2,-1+SUMPRODUCT(MAX(ROW(E5422:E$2)*(E5423=E5422:E$2)))))</f>
        <v> </v>
      </c>
      <c r="J5423" s="26" t="str">
        <f>IF(OR(E5423="",E5423="!!!",F5423="NEW"),"",COUNTBLANK(OFFSET(A$1,,,SUMPRODUCT(MAX(ROW(E$2:E5423)*(E5423=E$2:E5423)))))-COUNTBLANK(OFFSET(A$1,,,SUMPRODUCT(MAX(ROW(E$1:E5422)*(E2=E$1:E5422))))))</f>
        <v> </v>
      </c>
      <c r="K5423" s="26" t="str">
        <f>IF(OR(E5423="",E5423="!!!",F5423="NEW"),"",INDEX(J$1:J5422,SUMPRODUCT(MAX(ROW(E$1:E5422)*(E5423=E$1:E5422)))))</f>
        <v> </v>
      </c>
      <c r="L5423" s="27"/>
    </row>
    <row r="5424" spans="1:12">
      <c r="A5424" s="20" t="s">
        <v>1187</v>
      </c>
      <c r="E5424" s="22">
        <f>IF(D5424="?OLD","!!!","")</f>
        <v/>
      </c>
      <c r="F5424" s="23" t="str">
        <f>IF(OR(E5424="",E5424="!!!"),"",IF(NOT(ISNA(VLOOKUP(E5424,E$1:E5423,1,FALSE()))),"OLD",IF(AND(E5424&lt;&gt;"",E5424&lt;&gt;"!!!"),"NEW","")))</f>
        <v> </v>
      </c>
      <c r="G5424" s="24" t="str">
        <f>IF(OR(E5424="",E5424="!!!"),"",IF(OR(J5424=0,AND(J5424=1,K5424=1),AND(J5424=1,I5424="SBJ"),AND(J5424=1,I5424=0)),"?IN_FOCUS",IF(J5424&lt;=2,"?ACTIVATED",IF(J5424&lt;&gt;"","?FAMILIAR",IF(F5424="NEW",IF(ISNA(VLOOKUP(E5424,#REF!,1,FALSE())),"?TYPE_IDENTIFIABLE","?REFERENTIAL"),"_")))))</f>
        <v> </v>
      </c>
      <c r="H5424" s="25" t="str">
        <f>IF(J5424&lt;&gt;1,"",IF(I5424="SBJ","CB","?"))</f>
        <v> </v>
      </c>
      <c r="I5424" s="26" t="str">
        <f>IF(OR(E5424="",E5424="!!!",F5424="NEW"),"",INDEX(B5423:B$2,-1+SUMPRODUCT(MAX(ROW(E5423:E$2)*(E5424=E5423:E$2)))))</f>
        <v> </v>
      </c>
      <c r="J5424" s="26" t="str">
        <f>IF(OR(E5424="",E5424="!!!",F5424="NEW"),"",COUNTBLANK(OFFSET(A$1,,,SUMPRODUCT(MAX(ROW(E$2:E5424)*(E5424=E$2:E5424)))))-COUNTBLANK(OFFSET(A$1,,,SUMPRODUCT(MAX(ROW(E$1:E5423)*(E2=E$1:E5423))))))</f>
        <v> </v>
      </c>
      <c r="K5424" s="26" t="str">
        <f>IF(OR(E5424="",E5424="!!!",F5424="NEW"),"",INDEX(J$1:J5423,SUMPRODUCT(MAX(ROW(E$1:E5423)*(E5424=E$1:E5423)))))</f>
        <v> </v>
      </c>
      <c r="L5424" s="27"/>
    </row>
    <row r="5425" spans="1:12">
      <c r="A5425" s="20" t="s">
        <v>1188</v>
      </c>
      <c r="B5425" s="21" t="s">
        <v>1021</v>
      </c>
      <c r="C5425" s="21" t="s">
        <v>1044</v>
      </c>
      <c r="D5425" s="21" t="s">
        <v>1011</v>
      </c>
      <c r="E5425" s="22">
        <f>IF(D5425="?OLD","!!!","")</f>
        <v/>
      </c>
      <c r="F5425" s="23" t="str">
        <f>IF(OR(E5425="",E5425="!!!"),"",IF(NOT(ISNA(VLOOKUP(E5425,E$1:E5424,1,FALSE()))),"OLD",IF(AND(E5425&lt;&gt;"",E5425&lt;&gt;"!!!"),"NEW","")))</f>
        <v> </v>
      </c>
      <c r="G5425" s="24" t="str">
        <f>IF(OR(E5425="",E5425="!!!"),"",IF(OR(J5425=0,AND(J5425=1,K5425=1),AND(J5425=1,I5425="SBJ"),AND(J5425=1,I5425=0)),"?IN_FOCUS",IF(J5425&lt;=2,"?ACTIVATED",IF(J5425&lt;&gt;"","?FAMILIAR",IF(F5425="NEW",IF(ISNA(VLOOKUP(E5425,#REF!,1,FALSE())),"?TYPE_IDENTIFIABLE","?REFERENTIAL"),"_")))))</f>
        <v> </v>
      </c>
      <c r="H5425" s="25" t="str">
        <f>IF(J5425&lt;&gt;1,"",IF(I5425="SBJ","CB","?"))</f>
        <v> </v>
      </c>
      <c r="I5425" s="26" t="str">
        <f>IF(OR(E5425="",E5425="!!!",F5425="NEW"),"",INDEX(B5424:B$2,-1+SUMPRODUCT(MAX(ROW(E5424:E$2)*(E5425=E5424:E$2)))))</f>
        <v> </v>
      </c>
      <c r="J5425" s="26" t="str">
        <f>IF(OR(E5425="",E5425="!!!",F5425="NEW"),"",COUNTBLANK(OFFSET(A$1,,,SUMPRODUCT(MAX(ROW(E$2:E5425)*(E5425=E$2:E5425)))))-COUNTBLANK(OFFSET(A$1,,,SUMPRODUCT(MAX(ROW(E$1:E5424)*(E2=E$1:E5424))))))</f>
        <v> </v>
      </c>
      <c r="K5425" s="26" t="str">
        <f>IF(OR(E5425="",E5425="!!!",F5425="NEW"),"",INDEX(J$1:J5424,SUMPRODUCT(MAX(ROW(E$1:E5424)*(E5425=E$1:E5424)))))</f>
        <v> </v>
      </c>
      <c r="L5425" s="27"/>
    </row>
    <row r="5426" spans="1:12">
      <c r="A5426" s="20" t="s">
        <v>1521</v>
      </c>
      <c r="B5426" s="21" t="s">
        <v>1101</v>
      </c>
      <c r="E5426" s="22">
        <f>IF(D5426="?OLD","!!!","")</f>
        <v/>
      </c>
      <c r="F5426" s="23" t="str">
        <f>IF(OR(E5426="",E5426="!!!"),"",IF(NOT(ISNA(VLOOKUP(E5426,E$1:E5425,1,FALSE()))),"OLD",IF(AND(E5426&lt;&gt;"",E5426&lt;&gt;"!!!"),"NEW","")))</f>
        <v> </v>
      </c>
      <c r="G5426" s="24" t="str">
        <f>IF(OR(E5426="",E5426="!!!"),"",IF(OR(J5426=0,AND(J5426=1,K5426=1),AND(J5426=1,I5426="SBJ"),AND(J5426=1,I5426=0)),"?IN_FOCUS",IF(J5426&lt;=2,"?ACTIVATED",IF(J5426&lt;&gt;"","?FAMILIAR",IF(F5426="NEW",IF(ISNA(VLOOKUP(E5426,#REF!,1,FALSE())),"?TYPE_IDENTIFIABLE","?REFERENTIAL"),"_")))))</f>
        <v> </v>
      </c>
      <c r="H5426" s="25" t="str">
        <f>IF(J5426&lt;&gt;1,"",IF(I5426="SBJ","CB","?"))</f>
        <v> </v>
      </c>
      <c r="I5426" s="26" t="str">
        <f>IF(OR(E5426="",E5426="!!!",F5426="NEW"),"",INDEX(B5425:B$2,-1+SUMPRODUCT(MAX(ROW(E5425:E$2)*(E5426=E5425:E$2)))))</f>
        <v> </v>
      </c>
      <c r="J5426" s="26" t="str">
        <f>IF(OR(E5426="",E5426="!!!",F5426="NEW"),"",COUNTBLANK(OFFSET(A$1,,,SUMPRODUCT(MAX(ROW(E$2:E5426)*(E5426=E$2:E5426)))))-COUNTBLANK(OFFSET(A$1,,,SUMPRODUCT(MAX(ROW(E$1:E5425)*(E2=E$1:E5425))))))</f>
        <v> </v>
      </c>
      <c r="K5426" s="26" t="str">
        <f>IF(OR(E5426="",E5426="!!!",F5426="NEW"),"",INDEX(J$1:J5425,SUMPRODUCT(MAX(ROW(E$1:E5425)*(E5426=E$1:E5425)))))</f>
        <v> </v>
      </c>
      <c r="L5426" s="27"/>
    </row>
    <row r="5427" spans="1:12">
      <c r="A5427" s="20" t="s">
        <v>479</v>
      </c>
      <c r="E5427" s="22">
        <f>IF(D5427="?OLD","!!!","")</f>
        <v/>
      </c>
      <c r="F5427" s="23" t="str">
        <f>IF(OR(E5427="",E5427="!!!"),"",IF(NOT(ISNA(VLOOKUP(E5427,E$1:E5426,1,FALSE()))),"OLD",IF(AND(E5427&lt;&gt;"",E5427&lt;&gt;"!!!"),"NEW","")))</f>
        <v> </v>
      </c>
      <c r="G5427" s="24" t="str">
        <f>IF(OR(E5427="",E5427="!!!"),"",IF(OR(J5427=0,AND(J5427=1,K5427=1),AND(J5427=1,I5427="SBJ"),AND(J5427=1,I5427=0)),"?IN_FOCUS",IF(J5427&lt;=2,"?ACTIVATED",IF(J5427&lt;&gt;"","?FAMILIAR",IF(F5427="NEW",IF(ISNA(VLOOKUP(E5427,#REF!,1,FALSE())),"?TYPE_IDENTIFIABLE","?REFERENTIAL"),"_")))))</f>
        <v> </v>
      </c>
      <c r="H5427" s="25" t="str">
        <f>IF(J5427&lt;&gt;1,"",IF(I5427="SBJ","CB","?"))</f>
        <v> </v>
      </c>
      <c r="I5427" s="26" t="str">
        <f>IF(OR(E5427="",E5427="!!!",F5427="NEW"),"",INDEX(B5426:B$2,-1+SUMPRODUCT(MAX(ROW(E5426:E$2)*(E5427=E5426:E$2)))))</f>
        <v> </v>
      </c>
      <c r="J5427" s="26" t="str">
        <f>IF(OR(E5427="",E5427="!!!",F5427="NEW"),"",COUNTBLANK(OFFSET(A$1,,,SUMPRODUCT(MAX(ROW(E$2:E5427)*(E5427=E$2:E5427)))))-COUNTBLANK(OFFSET(A$1,,,SUMPRODUCT(MAX(ROW(E$1:E5426)*(E2=E$1:E5426))))))</f>
        <v> </v>
      </c>
      <c r="K5427" s="26" t="str">
        <f>IF(OR(E5427="",E5427="!!!",F5427="NEW"),"",INDEX(J$1:J5426,SUMPRODUCT(MAX(ROW(E$1:E5426)*(E5427=E$1:E5426)))))</f>
        <v> </v>
      </c>
      <c r="L5427" s="27"/>
    </row>
    <row r="5428" spans="1:12">
      <c r="A5428" s="20" t="s">
        <v>1041</v>
      </c>
      <c r="E5428" s="22">
        <f>IF(D5428="?OLD","!!!","")</f>
        <v/>
      </c>
      <c r="F5428" s="23" t="str">
        <f>IF(OR(E5428="",E5428="!!!"),"",IF(NOT(ISNA(VLOOKUP(E5428,E$1:E5427,1,FALSE()))),"OLD",IF(AND(E5428&lt;&gt;"",E5428&lt;&gt;"!!!"),"NEW","")))</f>
        <v> </v>
      </c>
      <c r="G5428" s="24" t="str">
        <f>IF(OR(E5428="",E5428="!!!"),"",IF(OR(J5428=0,AND(J5428=1,K5428=1),AND(J5428=1,I5428="SBJ"),AND(J5428=1,I5428=0)),"?IN_FOCUS",IF(J5428&lt;=2,"?ACTIVATED",IF(J5428&lt;&gt;"","?FAMILIAR",IF(F5428="NEW",IF(ISNA(VLOOKUP(E5428,#REF!,1,FALSE())),"?TYPE_IDENTIFIABLE","?REFERENTIAL"),"_")))))</f>
        <v> </v>
      </c>
      <c r="H5428" s="25" t="str">
        <f>IF(J5428&lt;&gt;1,"",IF(I5428="SBJ","CB","?"))</f>
        <v> </v>
      </c>
      <c r="I5428" s="26" t="str">
        <f>IF(OR(E5428="",E5428="!!!",F5428="NEW"),"",INDEX(B5427:B$2,-1+SUMPRODUCT(MAX(ROW(E5427:E$2)*(E5428=E5427:E$2)))))</f>
        <v> </v>
      </c>
      <c r="J5428" s="26" t="str">
        <f>IF(OR(E5428="",E5428="!!!",F5428="NEW"),"",COUNTBLANK(OFFSET(A$1,,,SUMPRODUCT(MAX(ROW(E$2:E5428)*(E5428=E$2:E5428)))))-COUNTBLANK(OFFSET(A$1,,,SUMPRODUCT(MAX(ROW(E$1:E5427)*(E2=E$1:E5427))))))</f>
        <v> </v>
      </c>
      <c r="K5428" s="26" t="str">
        <f>IF(OR(E5428="",E5428="!!!",F5428="NEW"),"",INDEX(J$1:J5427,SUMPRODUCT(MAX(ROW(E$1:E5427)*(E5428=E$1:E5427)))))</f>
        <v> </v>
      </c>
      <c r="L5428" s="27"/>
    </row>
    <row r="5429" spans="1:12">
      <c r="A5429" s="20" t="s">
        <v>2220</v>
      </c>
      <c r="B5429" s="21" t="s">
        <v>1094</v>
      </c>
      <c r="C5429" s="21" t="s">
        <v>1017</v>
      </c>
      <c r="E5429" s="22">
        <f>IF(D5429="?OLD","!!!","")</f>
        <v/>
      </c>
      <c r="F5429" s="23" t="str">
        <f>IF(OR(E5429="",E5429="!!!"),"",IF(NOT(ISNA(VLOOKUP(E5429,E$1:E5428,1,FALSE()))),"OLD",IF(AND(E5429&lt;&gt;"",E5429&lt;&gt;"!!!"),"NEW","")))</f>
        <v> </v>
      </c>
      <c r="G5429" s="24" t="str">
        <f>IF(OR(E5429="",E5429="!!!"),"",IF(OR(J5429=0,AND(J5429=1,K5429=1),AND(J5429=1,I5429="SBJ"),AND(J5429=1,I5429=0)),"?IN_FOCUS",IF(J5429&lt;=2,"?ACTIVATED",IF(J5429&lt;&gt;"","?FAMILIAR",IF(F5429="NEW",IF(ISNA(VLOOKUP(E5429,#REF!,1,FALSE())),"?TYPE_IDENTIFIABLE","?REFERENTIAL"),"_")))))</f>
        <v> </v>
      </c>
      <c r="H5429" s="25" t="str">
        <f>IF(J5429&lt;&gt;1,"",IF(I5429="SBJ","CB","?"))</f>
        <v> </v>
      </c>
      <c r="I5429" s="26" t="str">
        <f>IF(OR(E5429="",E5429="!!!",F5429="NEW"),"",INDEX(B5428:B$2,-1+SUMPRODUCT(MAX(ROW(E5428:E$2)*(E5429=E5428:E$2)))))</f>
        <v> </v>
      </c>
      <c r="J5429" s="26" t="str">
        <f>IF(OR(E5429="",E5429="!!!",F5429="NEW"),"",COUNTBLANK(OFFSET(A$1,,,SUMPRODUCT(MAX(ROW(E$2:E5429)*(E5429=E$2:E5429)))))-COUNTBLANK(OFFSET(A$1,,,SUMPRODUCT(MAX(ROW(E$1:E5428)*(E2=E$1:E5428))))))</f>
        <v> </v>
      </c>
      <c r="K5429" s="26" t="str">
        <f>IF(OR(E5429="",E5429="!!!",F5429="NEW"),"",INDEX(J$1:J5428,SUMPRODUCT(MAX(ROW(E$1:E5428)*(E5429=E$1:E5428)))))</f>
        <v> </v>
      </c>
      <c r="L5429" s="27"/>
    </row>
    <row r="5430" spans="1:12">
      <c r="A5430" s="20" t="s">
        <v>1020</v>
      </c>
      <c r="E5430" s="22">
        <f>IF(D5430="?OLD","!!!","")</f>
        <v/>
      </c>
      <c r="F5430" s="23" t="str">
        <f>IF(OR(E5430="",E5430="!!!"),"",IF(NOT(ISNA(VLOOKUP(E5430,E$1:E5429,1,FALSE()))),"OLD",IF(AND(E5430&lt;&gt;"",E5430&lt;&gt;"!!!"),"NEW","")))</f>
        <v> </v>
      </c>
      <c r="G5430" s="24" t="str">
        <f>IF(OR(E5430="",E5430="!!!"),"",IF(OR(J5430=0,AND(J5430=1,K5430=1),AND(J5430=1,I5430="SBJ"),AND(J5430=1,I5430=0)),"?IN_FOCUS",IF(J5430&lt;=2,"?ACTIVATED",IF(J5430&lt;&gt;"","?FAMILIAR",IF(F5430="NEW",IF(ISNA(VLOOKUP(E5430,#REF!,1,FALSE())),"?TYPE_IDENTIFIABLE","?REFERENTIAL"),"_")))))</f>
        <v> </v>
      </c>
      <c r="H5430" s="25" t="str">
        <f>IF(J5430&lt;&gt;1,"",IF(I5430="SBJ","CB","?"))</f>
        <v> </v>
      </c>
      <c r="I5430" s="26" t="str">
        <f>IF(OR(E5430="",E5430="!!!",F5430="NEW"),"",INDEX(B5429:B$2,-1+SUMPRODUCT(MAX(ROW(E5429:E$2)*(E5430=E5429:E$2)))))</f>
        <v> </v>
      </c>
      <c r="J5430" s="26" t="str">
        <f>IF(OR(E5430="",E5430="!!!",F5430="NEW"),"",COUNTBLANK(OFFSET(A$1,,,SUMPRODUCT(MAX(ROW(E$2:E5430)*(E5430=E$2:E5430)))))-COUNTBLANK(OFFSET(A$1,,,SUMPRODUCT(MAX(ROW(E$1:E5429)*(E2=E$1:E5429))))))</f>
        <v> </v>
      </c>
      <c r="K5430" s="26" t="str">
        <f>IF(OR(E5430="",E5430="!!!",F5430="NEW"),"",INDEX(J$1:J5429,SUMPRODUCT(MAX(ROW(E$1:E5429)*(E5430=E$1:E5429)))))</f>
        <v> </v>
      </c>
      <c r="L5430" s="27"/>
    </row>
    <row r="5431" spans="1:12">
      <c r="A5431" s="20" t="s">
        <v>883</v>
      </c>
      <c r="E5431" s="22">
        <f>IF(D5431="?OLD","!!!","")</f>
        <v/>
      </c>
      <c r="F5431" s="23" t="str">
        <f>IF(OR(E5431="",E5431="!!!"),"",IF(NOT(ISNA(VLOOKUP(E5431,E$1:E5430,1,FALSE()))),"OLD",IF(AND(E5431&lt;&gt;"",E5431&lt;&gt;"!!!"),"NEW","")))</f>
        <v> </v>
      </c>
      <c r="G5431" s="24" t="str">
        <f>IF(OR(E5431="",E5431="!!!"),"",IF(OR(J5431=0,AND(J5431=1,K5431=1),AND(J5431=1,I5431="SBJ"),AND(J5431=1,I5431=0)),"?IN_FOCUS",IF(J5431&lt;=2,"?ACTIVATED",IF(J5431&lt;&gt;"","?FAMILIAR",IF(F5431="NEW",IF(ISNA(VLOOKUP(E5431,#REF!,1,FALSE())),"?TYPE_IDENTIFIABLE","?REFERENTIAL"),"_")))))</f>
        <v> </v>
      </c>
      <c r="H5431" s="25" t="str">
        <f>IF(J5431&lt;&gt;1,"",IF(I5431="SBJ","CB","?"))</f>
        <v> </v>
      </c>
      <c r="I5431" s="26" t="str">
        <f>IF(OR(E5431="",E5431="!!!",F5431="NEW"),"",INDEX(B5430:B$2,-1+SUMPRODUCT(MAX(ROW(E5430:E$2)*(E5431=E5430:E$2)))))</f>
        <v> </v>
      </c>
      <c r="J5431" s="26" t="str">
        <f>IF(OR(E5431="",E5431="!!!",F5431="NEW"),"",COUNTBLANK(OFFSET(A$1,,,SUMPRODUCT(MAX(ROW(E$2:E5431)*(E5431=E$2:E5431)))))-COUNTBLANK(OFFSET(A$1,,,SUMPRODUCT(MAX(ROW(E$1:E5430)*(E2=E$1:E5430))))))</f>
        <v> </v>
      </c>
      <c r="K5431" s="26" t="str">
        <f>IF(OR(E5431="",E5431="!!!",F5431="NEW"),"",INDEX(J$1:J5430,SUMPRODUCT(MAX(ROW(E$1:E5430)*(E5431=E$1:E5430)))))</f>
        <v> </v>
      </c>
      <c r="L5431" s="27"/>
    </row>
    <row r="5432" spans="1:12">
      <c r="A5432" s="20" t="s">
        <v>1032</v>
      </c>
      <c r="E5432" s="22">
        <f>IF(D5432="?OLD","!!!","")</f>
        <v/>
      </c>
      <c r="F5432" s="23" t="str">
        <f>IF(OR(E5432="",E5432="!!!"),"",IF(NOT(ISNA(VLOOKUP(E5432,E$1:E5431,1,FALSE()))),"OLD",IF(AND(E5432&lt;&gt;"",E5432&lt;&gt;"!!!"),"NEW","")))</f>
        <v> </v>
      </c>
      <c r="G5432" s="24" t="str">
        <f>IF(OR(E5432="",E5432="!!!"),"",IF(OR(J5432=0,AND(J5432=1,K5432=1),AND(J5432=1,I5432="SBJ"),AND(J5432=1,I5432=0)),"?IN_FOCUS",IF(J5432&lt;=2,"?ACTIVATED",IF(J5432&lt;&gt;"","?FAMILIAR",IF(F5432="NEW",IF(ISNA(VLOOKUP(E5432,#REF!,1,FALSE())),"?TYPE_IDENTIFIABLE","?REFERENTIAL"),"_")))))</f>
        <v> </v>
      </c>
      <c r="H5432" s="25" t="str">
        <f>IF(J5432&lt;&gt;1,"",IF(I5432="SBJ","CB","?"))</f>
        <v> </v>
      </c>
      <c r="I5432" s="26" t="str">
        <f>IF(OR(E5432="",E5432="!!!",F5432="NEW"),"",INDEX(B5431:B$2,-1+SUMPRODUCT(MAX(ROW(E5431:E$2)*(E5432=E5431:E$2)))))</f>
        <v> </v>
      </c>
      <c r="J5432" s="26" t="str">
        <f>IF(OR(E5432="",E5432="!!!",F5432="NEW"),"",COUNTBLANK(OFFSET(A$1,,,SUMPRODUCT(MAX(ROW(E$2:E5432)*(E5432=E$2:E5432)))))-COUNTBLANK(OFFSET(A$1,,,SUMPRODUCT(MAX(ROW(E$1:E5431)*(E2=E$1:E5431))))))</f>
        <v> </v>
      </c>
      <c r="K5432" s="26" t="str">
        <f>IF(OR(E5432="",E5432="!!!",F5432="NEW"),"",INDEX(J$1:J5431,SUMPRODUCT(MAX(ROW(E$1:E5431)*(E5432=E$1:E5431)))))</f>
        <v> </v>
      </c>
      <c r="L5432" s="27"/>
    </row>
    <row r="5433" spans="1:12">
      <c r="A5433" s="20" t="s">
        <v>1269</v>
      </c>
      <c r="E5433" s="22">
        <f>IF(D5433="?OLD","!!!","")</f>
        <v/>
      </c>
      <c r="F5433" s="23" t="str">
        <f>IF(OR(E5433="",E5433="!!!"),"",IF(NOT(ISNA(VLOOKUP(E5433,E$1:E5432,1,FALSE()))),"OLD",IF(AND(E5433&lt;&gt;"",E5433&lt;&gt;"!!!"),"NEW","")))</f>
        <v> </v>
      </c>
      <c r="G5433" s="24" t="str">
        <f>IF(OR(E5433="",E5433="!!!"),"",IF(OR(J5433=0,AND(J5433=1,K5433=1),AND(J5433=1,I5433="SBJ"),AND(J5433=1,I5433=0)),"?IN_FOCUS",IF(J5433&lt;=2,"?ACTIVATED",IF(J5433&lt;&gt;"","?FAMILIAR",IF(F5433="NEW",IF(ISNA(VLOOKUP(E5433,#REF!,1,FALSE())),"?TYPE_IDENTIFIABLE","?REFERENTIAL"),"_")))))</f>
        <v> </v>
      </c>
      <c r="H5433" s="25" t="str">
        <f>IF(J5433&lt;&gt;1,"",IF(I5433="SBJ","CB","?"))</f>
        <v> </v>
      </c>
      <c r="I5433" s="26" t="str">
        <f>IF(OR(E5433="",E5433="!!!",F5433="NEW"),"",INDEX(B5432:B$2,-1+SUMPRODUCT(MAX(ROW(E5432:E$2)*(E5433=E5432:E$2)))))</f>
        <v> </v>
      </c>
      <c r="J5433" s="26" t="str">
        <f>IF(OR(E5433="",E5433="!!!",F5433="NEW"),"",COUNTBLANK(OFFSET(A$1,,,SUMPRODUCT(MAX(ROW(E$2:E5433)*(E5433=E$2:E5433)))))-COUNTBLANK(OFFSET(A$1,,,SUMPRODUCT(MAX(ROW(E$1:E5432)*(E2=E$1:E5432))))))</f>
        <v> </v>
      </c>
      <c r="K5433" s="26" t="str">
        <f>IF(OR(E5433="",E5433="!!!",F5433="NEW"),"",INDEX(J$1:J5432,SUMPRODUCT(MAX(ROW(E$1:E5432)*(E5433=E$1:E5432)))))</f>
        <v> </v>
      </c>
      <c r="L5433" s="27"/>
    </row>
    <row r="5434" spans="1:12">
      <c r="A5434" s="20" t="s">
        <v>2223</v>
      </c>
      <c r="E5434" s="22">
        <f>IF(D5434="?OLD","!!!","")</f>
        <v/>
      </c>
      <c r="F5434" s="23" t="str">
        <f>IF(OR(E5434="",E5434="!!!"),"",IF(NOT(ISNA(VLOOKUP(E5434,E$1:E5433,1,FALSE()))),"OLD",IF(AND(E5434&lt;&gt;"",E5434&lt;&gt;"!!!"),"NEW","")))</f>
        <v> </v>
      </c>
      <c r="G5434" s="24" t="str">
        <f>IF(OR(E5434="",E5434="!!!"),"",IF(OR(J5434=0,AND(J5434=1,K5434=1),AND(J5434=1,I5434="SBJ"),AND(J5434=1,I5434=0)),"?IN_FOCUS",IF(J5434&lt;=2,"?ACTIVATED",IF(J5434&lt;&gt;"","?FAMILIAR",IF(F5434="NEW",IF(ISNA(VLOOKUP(E5434,#REF!,1,FALSE())),"?TYPE_IDENTIFIABLE","?REFERENTIAL"),"_")))))</f>
        <v> </v>
      </c>
      <c r="H5434" s="25" t="str">
        <f>IF(J5434&lt;&gt;1,"",IF(I5434="SBJ","CB","?"))</f>
        <v> </v>
      </c>
      <c r="I5434" s="26" t="str">
        <f>IF(OR(E5434="",E5434="!!!",F5434="NEW"),"",INDEX(B5433:B$2,-1+SUMPRODUCT(MAX(ROW(E5433:E$2)*(E5434=E5433:E$2)))))</f>
        <v> </v>
      </c>
      <c r="J5434" s="26" t="str">
        <f>IF(OR(E5434="",E5434="!!!",F5434="NEW"),"",COUNTBLANK(OFFSET(A$1,,,SUMPRODUCT(MAX(ROW(E$2:E5434)*(E5434=E$2:E5434)))))-COUNTBLANK(OFFSET(A$1,,,SUMPRODUCT(MAX(ROW(E$1:E5433)*(E2=E$1:E5433))))))</f>
        <v> </v>
      </c>
      <c r="K5434" s="26" t="str">
        <f>IF(OR(E5434="",E5434="!!!",F5434="NEW"),"",INDEX(J$1:J5433,SUMPRODUCT(MAX(ROW(E$1:E5433)*(E5434=E$1:E5433)))))</f>
        <v> </v>
      </c>
      <c r="L5434" s="27"/>
    </row>
    <row r="5435" spans="1:12">
      <c r="A5435" s="20" t="s">
        <v>1032</v>
      </c>
      <c r="E5435" s="22">
        <f>IF(D5435="?OLD","!!!","")</f>
        <v/>
      </c>
      <c r="F5435" s="23" t="str">
        <f>IF(OR(E5435="",E5435="!!!"),"",IF(NOT(ISNA(VLOOKUP(E5435,E$1:E5434,1,FALSE()))),"OLD",IF(AND(E5435&lt;&gt;"",E5435&lt;&gt;"!!!"),"NEW","")))</f>
        <v> </v>
      </c>
      <c r="G5435" s="24" t="str">
        <f>IF(OR(E5435="",E5435="!!!"),"",IF(OR(J5435=0,AND(J5435=1,K5435=1),AND(J5435=1,I5435="SBJ"),AND(J5435=1,I5435=0)),"?IN_FOCUS",IF(J5435&lt;=2,"?ACTIVATED",IF(J5435&lt;&gt;"","?FAMILIAR",IF(F5435="NEW",IF(ISNA(VLOOKUP(E5435,#REF!,1,FALSE())),"?TYPE_IDENTIFIABLE","?REFERENTIAL"),"_")))))</f>
        <v> </v>
      </c>
      <c r="H5435" s="25" t="str">
        <f>IF(J5435&lt;&gt;1,"",IF(I5435="SBJ","CB","?"))</f>
        <v> </v>
      </c>
      <c r="I5435" s="26" t="str">
        <f>IF(OR(E5435="",E5435="!!!",F5435="NEW"),"",INDEX(B5434:B$2,-1+SUMPRODUCT(MAX(ROW(E5434:E$2)*(E5435=E5434:E$2)))))</f>
        <v> </v>
      </c>
      <c r="J5435" s="26" t="str">
        <f>IF(OR(E5435="",E5435="!!!",F5435="NEW"),"",COUNTBLANK(OFFSET(A$1,,,SUMPRODUCT(MAX(ROW(E$2:E5435)*(E5435=E$2:E5435)))))-COUNTBLANK(OFFSET(A$1,,,SUMPRODUCT(MAX(ROW(E$1:E5434)*(E2=E$1:E5434))))))</f>
        <v> </v>
      </c>
      <c r="K5435" s="26" t="str">
        <f>IF(OR(E5435="",E5435="!!!",F5435="NEW"),"",INDEX(J$1:J5434,SUMPRODUCT(MAX(ROW(E$1:E5434)*(E5435=E$1:E5434)))))</f>
        <v> </v>
      </c>
      <c r="L5435" s="27"/>
    </row>
    <row r="5436" spans="1:12">
      <c r="A5436" s="20" t="s">
        <v>1025</v>
      </c>
      <c r="B5436" s="21" t="s">
        <v>1109</v>
      </c>
      <c r="C5436" s="21" t="s">
        <v>1026</v>
      </c>
      <c r="D5436" s="21" t="s">
        <v>1011</v>
      </c>
      <c r="E5436" s="22">
        <f>IF(D5436="?OLD","!!!","")</f>
        <v/>
      </c>
      <c r="F5436" s="23" t="str">
        <f>IF(OR(E5436="",E5436="!!!"),"",IF(NOT(ISNA(VLOOKUP(E5436,E$1:E5435,1,FALSE()))),"OLD",IF(AND(E5436&lt;&gt;"",E5436&lt;&gt;"!!!"),"NEW","")))</f>
        <v> </v>
      </c>
      <c r="G5436" s="24" t="str">
        <f>IF(OR(E5436="",E5436="!!!"),"",IF(OR(J5436=0,AND(J5436=1,K5436=1),AND(J5436=1,I5436="SBJ"),AND(J5436=1,I5436=0)),"?IN_FOCUS",IF(J5436&lt;=2,"?ACTIVATED",IF(J5436&lt;&gt;"","?FAMILIAR",IF(F5436="NEW",IF(ISNA(VLOOKUP(E5436,#REF!,1,FALSE())),"?TYPE_IDENTIFIABLE","?REFERENTIAL"),"_")))))</f>
        <v> </v>
      </c>
      <c r="H5436" s="25" t="str">
        <f>IF(J5436&lt;&gt;1,"",IF(I5436="SBJ","CB","?"))</f>
        <v> </v>
      </c>
      <c r="I5436" s="26" t="str">
        <f>IF(OR(E5436="",E5436="!!!",F5436="NEW"),"",INDEX(B5435:B$2,-1+SUMPRODUCT(MAX(ROW(E5435:E$2)*(E5436=E5435:E$2)))))</f>
        <v> </v>
      </c>
      <c r="J5436" s="26" t="str">
        <f>IF(OR(E5436="",E5436="!!!",F5436="NEW"),"",COUNTBLANK(OFFSET(A$1,,,SUMPRODUCT(MAX(ROW(E$2:E5436)*(E5436=E$2:E5436)))))-COUNTBLANK(OFFSET(A$1,,,SUMPRODUCT(MAX(ROW(E$1:E5435)*(E2=E$1:E5435))))))</f>
        <v> </v>
      </c>
      <c r="K5436" s="26" t="str">
        <f>IF(OR(E5436="",E5436="!!!",F5436="NEW"),"",INDEX(J$1:J5435,SUMPRODUCT(MAX(ROW(E$1:E5435)*(E5436=E$1:E5435)))))</f>
        <v> </v>
      </c>
      <c r="L5436" s="27"/>
    </row>
    <row r="5437" spans="1:12">
      <c r="A5437" s="20" t="s">
        <v>1045</v>
      </c>
      <c r="E5437" s="22">
        <f>IF(D5437="?OLD","!!!","")</f>
        <v/>
      </c>
      <c r="F5437" s="23" t="str">
        <f>IF(OR(E5437="",E5437="!!!"),"",IF(NOT(ISNA(VLOOKUP(E5437,E$1:E5436,1,FALSE()))),"OLD",IF(AND(E5437&lt;&gt;"",E5437&lt;&gt;"!!!"),"NEW","")))</f>
        <v> </v>
      </c>
      <c r="G5437" s="24" t="str">
        <f>IF(OR(E5437="",E5437="!!!"),"",IF(OR(J5437=0,AND(J5437=1,K5437=1),AND(J5437=1,I5437="SBJ"),AND(J5437=1,I5437=0)),"?IN_FOCUS",IF(J5437&lt;=2,"?ACTIVATED",IF(J5437&lt;&gt;"","?FAMILIAR",IF(F5437="NEW",IF(ISNA(VLOOKUP(E5437,#REF!,1,FALSE())),"?TYPE_IDENTIFIABLE","?REFERENTIAL"),"_")))))</f>
        <v> </v>
      </c>
      <c r="H5437" s="25" t="str">
        <f>IF(J5437&lt;&gt;1,"",IF(I5437="SBJ","CB","?"))</f>
        <v> </v>
      </c>
      <c r="I5437" s="26" t="str">
        <f>IF(OR(E5437="",E5437="!!!",F5437="NEW"),"",INDEX(B5436:B$2,-1+SUMPRODUCT(MAX(ROW(E5436:E$2)*(E5437=E5436:E$2)))))</f>
        <v> </v>
      </c>
      <c r="J5437" s="26" t="str">
        <f>IF(OR(E5437="",E5437="!!!",F5437="NEW"),"",COUNTBLANK(OFFSET(A$1,,,SUMPRODUCT(MAX(ROW(E$2:E5437)*(E5437=E$2:E5437)))))-COUNTBLANK(OFFSET(A$1,,,SUMPRODUCT(MAX(ROW(E$1:E5436)*(E2=E$1:E5436))))))</f>
        <v> </v>
      </c>
      <c r="K5437" s="26" t="str">
        <f>IF(OR(E5437="",E5437="!!!",F5437="NEW"),"",INDEX(J$1:J5436,SUMPRODUCT(MAX(ROW(E$1:E5436)*(E5437=E$1:E5436)))))</f>
        <v> </v>
      </c>
      <c r="L5437" s="27"/>
    </row>
    <row r="5438" spans="1:12">
      <c r="A5438" s="20" t="s">
        <v>1097</v>
      </c>
      <c r="E5438" s="22">
        <f>IF(D5438="?OLD","!!!","")</f>
        <v/>
      </c>
      <c r="F5438" s="23" t="str">
        <f>IF(OR(E5438="",E5438="!!!"),"",IF(NOT(ISNA(VLOOKUP(E5438,E$1:E5437,1,FALSE()))),"OLD",IF(AND(E5438&lt;&gt;"",E5438&lt;&gt;"!!!"),"NEW","")))</f>
        <v> </v>
      </c>
      <c r="G5438" s="24" t="str">
        <f>IF(OR(E5438="",E5438="!!!"),"",IF(OR(J5438=0,AND(J5438=1,K5438=1),AND(J5438=1,I5438="SBJ"),AND(J5438=1,I5438=0)),"?IN_FOCUS",IF(J5438&lt;=2,"?ACTIVATED",IF(J5438&lt;&gt;"","?FAMILIAR",IF(F5438="NEW",IF(ISNA(VLOOKUP(E5438,#REF!,1,FALSE())),"?TYPE_IDENTIFIABLE","?REFERENTIAL"),"_")))))</f>
        <v> </v>
      </c>
      <c r="H5438" s="25" t="str">
        <f>IF(J5438&lt;&gt;1,"",IF(I5438="SBJ","CB","?"))</f>
        <v> </v>
      </c>
      <c r="I5438" s="26" t="str">
        <f>IF(OR(E5438="",E5438="!!!",F5438="NEW"),"",INDEX(B5437:B$2,-1+SUMPRODUCT(MAX(ROW(E5437:E$2)*(E5438=E5437:E$2)))))</f>
        <v> </v>
      </c>
      <c r="J5438" s="26" t="str">
        <f>IF(OR(E5438="",E5438="!!!",F5438="NEW"),"",COUNTBLANK(OFFSET(A$1,,,SUMPRODUCT(MAX(ROW(E$2:E5438)*(E5438=E$2:E5438)))))-COUNTBLANK(OFFSET(A$1,,,SUMPRODUCT(MAX(ROW(E$1:E5437)*(E2=E$1:E5437))))))</f>
        <v> </v>
      </c>
      <c r="K5438" s="26" t="str">
        <f>IF(OR(E5438="",E5438="!!!",F5438="NEW"),"",INDEX(J$1:J5437,SUMPRODUCT(MAX(ROW(E$1:E5437)*(E5438=E$1:E5437)))))</f>
        <v> </v>
      </c>
      <c r="L5438" s="27"/>
    </row>
    <row r="5439" spans="1:12">
      <c r="A5439" s="20" t="s">
        <v>1025</v>
      </c>
      <c r="E5439" s="22">
        <f>IF(D5439="?OLD","!!!","")</f>
        <v/>
      </c>
      <c r="F5439" s="23" t="str">
        <f>IF(OR(E5439="",E5439="!!!"),"",IF(NOT(ISNA(VLOOKUP(E5439,E$1:E5438,1,FALSE()))),"OLD",IF(AND(E5439&lt;&gt;"",E5439&lt;&gt;"!!!"),"NEW","")))</f>
        <v> </v>
      </c>
      <c r="G5439" s="24" t="str">
        <f>IF(OR(E5439="",E5439="!!!"),"",IF(OR(J5439=0,AND(J5439=1,K5439=1),AND(J5439=1,I5439="SBJ"),AND(J5439=1,I5439=0)),"?IN_FOCUS",IF(J5439&lt;=2,"?ACTIVATED",IF(J5439&lt;&gt;"","?FAMILIAR",IF(F5439="NEW",IF(ISNA(VLOOKUP(E5439,#REF!,1,FALSE())),"?TYPE_IDENTIFIABLE","?REFERENTIAL"),"_")))))</f>
        <v> </v>
      </c>
      <c r="H5439" s="25" t="str">
        <f>IF(J5439&lt;&gt;1,"",IF(I5439="SBJ","CB","?"))</f>
        <v> </v>
      </c>
      <c r="I5439" s="26" t="str">
        <f>IF(OR(E5439="",E5439="!!!",F5439="NEW"),"",INDEX(B5438:B$2,-1+SUMPRODUCT(MAX(ROW(E5438:E$2)*(E5439=E5438:E$2)))))</f>
        <v> </v>
      </c>
      <c r="J5439" s="26" t="str">
        <f>IF(OR(E5439="",E5439="!!!",F5439="NEW"),"",COUNTBLANK(OFFSET(A$1,,,SUMPRODUCT(MAX(ROW(E$2:E5439)*(E5439=E$2:E5439)))))-COUNTBLANK(OFFSET(A$1,,,SUMPRODUCT(MAX(ROW(E$1:E5438)*(E2=E$1:E5438))))))</f>
        <v> </v>
      </c>
      <c r="K5439" s="26" t="str">
        <f>IF(OR(E5439="",E5439="!!!",F5439="NEW"),"",INDEX(J$1:J5438,SUMPRODUCT(MAX(ROW(E$1:E5438)*(E5439=E$1:E5438)))))</f>
        <v> </v>
      </c>
      <c r="L5439" s="27"/>
    </row>
    <row r="5440" spans="1:12">
      <c r="A5440" s="20" t="s">
        <v>1262</v>
      </c>
      <c r="E5440" s="22">
        <f>IF(D5440="?OLD","!!!","")</f>
        <v/>
      </c>
      <c r="F5440" s="23" t="str">
        <f>IF(OR(E5440="",E5440="!!!"),"",IF(NOT(ISNA(VLOOKUP(E5440,E$1:E5439,1,FALSE()))),"OLD",IF(AND(E5440&lt;&gt;"",E5440&lt;&gt;"!!!"),"NEW","")))</f>
        <v> </v>
      </c>
      <c r="G5440" s="24" t="str">
        <f>IF(OR(E5440="",E5440="!!!"),"",IF(OR(J5440=0,AND(J5440=1,K5440=1),AND(J5440=1,I5440="SBJ"),AND(J5440=1,I5440=0)),"?IN_FOCUS",IF(J5440&lt;=2,"?ACTIVATED",IF(J5440&lt;&gt;"","?FAMILIAR",IF(F5440="NEW",IF(ISNA(VLOOKUP(E5440,#REF!,1,FALSE())),"?TYPE_IDENTIFIABLE","?REFERENTIAL"),"_")))))</f>
        <v> </v>
      </c>
      <c r="H5440" s="25" t="str">
        <f>IF(J5440&lt;&gt;1,"",IF(I5440="SBJ","CB","?"))</f>
        <v> </v>
      </c>
      <c r="I5440" s="26" t="str">
        <f>IF(OR(E5440="",E5440="!!!",F5440="NEW"),"",INDEX(B5439:B$2,-1+SUMPRODUCT(MAX(ROW(E5439:E$2)*(E5440=E5439:E$2)))))</f>
        <v> </v>
      </c>
      <c r="J5440" s="26" t="str">
        <f>IF(OR(E5440="",E5440="!!!",F5440="NEW"),"",COUNTBLANK(OFFSET(A$1,,,SUMPRODUCT(MAX(ROW(E$2:E5440)*(E5440=E$2:E5440)))))-COUNTBLANK(OFFSET(A$1,,,SUMPRODUCT(MAX(ROW(E$1:E5439)*(E2=E$1:E5439))))))</f>
        <v> </v>
      </c>
      <c r="K5440" s="26" t="str">
        <f>IF(OR(E5440="",E5440="!!!",F5440="NEW"),"",INDEX(J$1:J5439,SUMPRODUCT(MAX(ROW(E$1:E5439)*(E5440=E$1:E5439)))))</f>
        <v> </v>
      </c>
      <c r="L5440" s="27"/>
    </row>
    <row r="5441" spans="1:12">
      <c r="A5441" s="20" t="s">
        <v>1132</v>
      </c>
      <c r="E5441" s="22">
        <f>IF(D5441="?OLD","!!!","")</f>
        <v/>
      </c>
      <c r="F5441" s="23" t="str">
        <f>IF(OR(E5441="",E5441="!!!"),"",IF(NOT(ISNA(VLOOKUP(E5441,E$1:E5440,1,FALSE()))),"OLD",IF(AND(E5441&lt;&gt;"",E5441&lt;&gt;"!!!"),"NEW","")))</f>
        <v> </v>
      </c>
      <c r="G5441" s="24" t="str">
        <f>IF(OR(E5441="",E5441="!!!"),"",IF(OR(J5441=0,AND(J5441=1,K5441=1),AND(J5441=1,I5441="SBJ"),AND(J5441=1,I5441=0)),"?IN_FOCUS",IF(J5441&lt;=2,"?ACTIVATED",IF(J5441&lt;&gt;"","?FAMILIAR",IF(F5441="NEW",IF(ISNA(VLOOKUP(E5441,#REF!,1,FALSE())),"?TYPE_IDENTIFIABLE","?REFERENTIAL"),"_")))))</f>
        <v> </v>
      </c>
      <c r="H5441" s="25" t="str">
        <f>IF(J5441&lt;&gt;1,"",IF(I5441="SBJ","CB","?"))</f>
        <v> </v>
      </c>
      <c r="I5441" s="26" t="str">
        <f>IF(OR(E5441="",E5441="!!!",F5441="NEW"),"",INDEX(B5440:B$2,-1+SUMPRODUCT(MAX(ROW(E5440:E$2)*(E5441=E5440:E$2)))))</f>
        <v> </v>
      </c>
      <c r="J5441" s="26" t="str">
        <f>IF(OR(E5441="",E5441="!!!",F5441="NEW"),"",COUNTBLANK(OFFSET(A$1,,,SUMPRODUCT(MAX(ROW(E$2:E5441)*(E5441=E$2:E5441)))))-COUNTBLANK(OFFSET(A$1,,,SUMPRODUCT(MAX(ROW(E$1:E5440)*(E2=E$1:E5440))))))</f>
        <v> </v>
      </c>
      <c r="K5441" s="26" t="str">
        <f>IF(OR(E5441="",E5441="!!!",F5441="NEW"),"",INDEX(J$1:J5440,SUMPRODUCT(MAX(ROW(E$1:E5440)*(E5441=E$1:E5440)))))</f>
        <v> </v>
      </c>
      <c r="L5441" s="27"/>
    </row>
    <row r="5442" spans="1:12">
      <c r="A5442" s="20" t="s">
        <v>1028</v>
      </c>
      <c r="E5442" s="22">
        <f>IF(D5442="?OLD","!!!","")</f>
        <v/>
      </c>
      <c r="F5442" s="23" t="str">
        <f>IF(OR(E5442="",E5442="!!!"),"",IF(NOT(ISNA(VLOOKUP(E5442,E$1:E5441,1,FALSE()))),"OLD",IF(AND(E5442&lt;&gt;"",E5442&lt;&gt;"!!!"),"NEW","")))</f>
        <v> </v>
      </c>
      <c r="G5442" s="24" t="str">
        <f>IF(OR(E5442="",E5442="!!!"),"",IF(OR(J5442=0,AND(J5442=1,K5442=1),AND(J5442=1,I5442="SBJ"),AND(J5442=1,I5442=0)),"?IN_FOCUS",IF(J5442&lt;=2,"?ACTIVATED",IF(J5442&lt;&gt;"","?FAMILIAR",IF(F5442="NEW",IF(ISNA(VLOOKUP(E5442,#REF!,1,FALSE())),"?TYPE_IDENTIFIABLE","?REFERENTIAL"),"_")))))</f>
        <v> </v>
      </c>
      <c r="H5442" s="25" t="str">
        <f>IF(J5442&lt;&gt;1,"",IF(I5442="SBJ","CB","?"))</f>
        <v> </v>
      </c>
      <c r="I5442" s="26" t="str">
        <f>IF(OR(E5442="",E5442="!!!",F5442="NEW"),"",INDEX(B5441:B$2,-1+SUMPRODUCT(MAX(ROW(E5441:E$2)*(E5442=E5441:E$2)))))</f>
        <v> </v>
      </c>
      <c r="J5442" s="26" t="str">
        <f>IF(OR(E5442="",E5442="!!!",F5442="NEW"),"",COUNTBLANK(OFFSET(A$1,,,SUMPRODUCT(MAX(ROW(E$2:E5442)*(E5442=E$2:E5442)))))-COUNTBLANK(OFFSET(A$1,,,SUMPRODUCT(MAX(ROW(E$1:E5441)*(E2=E$1:E5441))))))</f>
        <v> </v>
      </c>
      <c r="K5442" s="26" t="str">
        <f>IF(OR(E5442="",E5442="!!!",F5442="NEW"),"",INDEX(J$1:J5441,SUMPRODUCT(MAX(ROW(E$1:E5441)*(E5442=E$1:E5441)))))</f>
        <v> </v>
      </c>
      <c r="L5442" s="27"/>
    </row>
    <row r="5443" spans="1:12">
      <c r="A5443" s="20" t="s">
        <v>1689</v>
      </c>
      <c r="B5443" s="21" t="s">
        <v>1111</v>
      </c>
      <c r="C5443" s="21" t="s">
        <v>1030</v>
      </c>
      <c r="E5443" s="22">
        <f>IF(D5443="?OLD","!!!","")</f>
        <v/>
      </c>
      <c r="F5443" s="23" t="str">
        <f>IF(OR(E5443="",E5443="!!!"),"",IF(NOT(ISNA(VLOOKUP(E5443,E$1:E5442,1,FALSE()))),"OLD",IF(AND(E5443&lt;&gt;"",E5443&lt;&gt;"!!!"),"NEW","")))</f>
        <v> </v>
      </c>
      <c r="G5443" s="24" t="str">
        <f>IF(OR(E5443="",E5443="!!!"),"",IF(OR(J5443=0,AND(J5443=1,K5443=1),AND(J5443=1,I5443="SBJ"),AND(J5443=1,I5443=0)),"?IN_FOCUS",IF(J5443&lt;=2,"?ACTIVATED",IF(J5443&lt;&gt;"","?FAMILIAR",IF(F5443="NEW",IF(ISNA(VLOOKUP(E5443,#REF!,1,FALSE())),"?TYPE_IDENTIFIABLE","?REFERENTIAL"),"_")))))</f>
        <v> </v>
      </c>
      <c r="H5443" s="25" t="str">
        <f>IF(J5443&lt;&gt;1,"",IF(I5443="SBJ","CB","?"))</f>
        <v> </v>
      </c>
      <c r="I5443" s="26" t="str">
        <f>IF(OR(E5443="",E5443="!!!",F5443="NEW"),"",INDEX(B5442:B$2,-1+SUMPRODUCT(MAX(ROW(E5442:E$2)*(E5443=E5442:E$2)))))</f>
        <v> </v>
      </c>
      <c r="J5443" s="26" t="str">
        <f>IF(OR(E5443="",E5443="!!!",F5443="NEW"),"",COUNTBLANK(OFFSET(A$1,,,SUMPRODUCT(MAX(ROW(E$2:E5443)*(E5443=E$2:E5443)))))-COUNTBLANK(OFFSET(A$1,,,SUMPRODUCT(MAX(ROW(E$1:E5442)*(E2=E$1:E5442))))))</f>
        <v> </v>
      </c>
      <c r="K5443" s="26" t="str">
        <f>IF(OR(E5443="",E5443="!!!",F5443="NEW"),"",INDEX(J$1:J5442,SUMPRODUCT(MAX(ROW(E$1:E5442)*(E5443=E$1:E5442)))))</f>
        <v> </v>
      </c>
      <c r="L5443" s="27"/>
    </row>
    <row r="5444" spans="1:12">
      <c r="A5444" s="20" t="s">
        <v>1022</v>
      </c>
      <c r="E5444" s="22">
        <f>IF(D5444="?OLD","!!!","")</f>
        <v/>
      </c>
      <c r="F5444" s="23" t="str">
        <f>IF(OR(E5444="",E5444="!!!"),"",IF(NOT(ISNA(VLOOKUP(E5444,E$1:E5443,1,FALSE()))),"OLD",IF(AND(E5444&lt;&gt;"",E5444&lt;&gt;"!!!"),"NEW","")))</f>
        <v> </v>
      </c>
      <c r="G5444" s="24" t="str">
        <f>IF(OR(E5444="",E5444="!!!"),"",IF(OR(J5444=0,AND(J5444=1,K5444=1),AND(J5444=1,I5444="SBJ"),AND(J5444=1,I5444=0)),"?IN_FOCUS",IF(J5444&lt;=2,"?ACTIVATED",IF(J5444&lt;&gt;"","?FAMILIAR",IF(F5444="NEW",IF(ISNA(VLOOKUP(E5444,#REF!,1,FALSE())),"?TYPE_IDENTIFIABLE","?REFERENTIAL"),"_")))))</f>
        <v> </v>
      </c>
      <c r="H5444" s="25" t="str">
        <f>IF(J5444&lt;&gt;1,"",IF(I5444="SBJ","CB","?"))</f>
        <v> </v>
      </c>
      <c r="I5444" s="26" t="str">
        <f>IF(OR(E5444="",E5444="!!!",F5444="NEW"),"",INDEX(B5443:B$2,-1+SUMPRODUCT(MAX(ROW(E5443:E$2)*(E5444=E5443:E$2)))))</f>
        <v> </v>
      </c>
      <c r="J5444" s="26" t="str">
        <f>IF(OR(E5444="",E5444="!!!",F5444="NEW"),"",COUNTBLANK(OFFSET(A$1,,,SUMPRODUCT(MAX(ROW(E$2:E5444)*(E5444=E$2:E5444)))))-COUNTBLANK(OFFSET(A$1,,,SUMPRODUCT(MAX(ROW(E$1:E5443)*(E2=E$1:E5443))))))</f>
        <v> </v>
      </c>
      <c r="K5444" s="26" t="str">
        <f>IF(OR(E5444="",E5444="!!!",F5444="NEW"),"",INDEX(J$1:J5443,SUMPRODUCT(MAX(ROW(E$1:E5443)*(E5444=E$1:E5443)))))</f>
        <v> </v>
      </c>
      <c r="L5444" s="27"/>
    </row>
    <row r="5445" spans="1:12">
      <c r="A5445" s="20" t="s">
        <v>1269</v>
      </c>
      <c r="E5445" s="22">
        <f>IF(D5445="?OLD","!!!","")</f>
        <v/>
      </c>
      <c r="F5445" s="23" t="str">
        <f>IF(OR(E5445="",E5445="!!!"),"",IF(NOT(ISNA(VLOOKUP(E5445,E$1:E5444,1,FALSE()))),"OLD",IF(AND(E5445&lt;&gt;"",E5445&lt;&gt;"!!!"),"NEW","")))</f>
        <v> </v>
      </c>
      <c r="G5445" s="24" t="str">
        <f>IF(OR(E5445="",E5445="!!!"),"",IF(OR(J5445=0,AND(J5445=1,K5445=1),AND(J5445=1,I5445="SBJ"),AND(J5445=1,I5445=0)),"?IN_FOCUS",IF(J5445&lt;=2,"?ACTIVATED",IF(J5445&lt;&gt;"","?FAMILIAR",IF(F5445="NEW",IF(ISNA(VLOOKUP(E5445,#REF!,1,FALSE())),"?TYPE_IDENTIFIABLE","?REFERENTIAL"),"_")))))</f>
        <v> </v>
      </c>
      <c r="H5445" s="25" t="str">
        <f>IF(J5445&lt;&gt;1,"",IF(I5445="SBJ","CB","?"))</f>
        <v> </v>
      </c>
      <c r="I5445" s="26" t="str">
        <f>IF(OR(E5445="",E5445="!!!",F5445="NEW"),"",INDEX(B5444:B$2,-1+SUMPRODUCT(MAX(ROW(E5444:E$2)*(E5445=E5444:E$2)))))</f>
        <v> </v>
      </c>
      <c r="J5445" s="26" t="str">
        <f>IF(OR(E5445="",E5445="!!!",F5445="NEW"),"",COUNTBLANK(OFFSET(A$1,,,SUMPRODUCT(MAX(ROW(E$2:E5445)*(E5445=E$2:E5445)))))-COUNTBLANK(OFFSET(A$1,,,SUMPRODUCT(MAX(ROW(E$1:E5444)*(E2=E$1:E5444))))))</f>
        <v> </v>
      </c>
      <c r="K5445" s="26" t="str">
        <f>IF(OR(E5445="",E5445="!!!",F5445="NEW"),"",INDEX(J$1:J5444,SUMPRODUCT(MAX(ROW(E$1:E5444)*(E5445=E$1:E5444)))))</f>
        <v> </v>
      </c>
      <c r="L5445" s="27"/>
    </row>
    <row r="5446" spans="1:12">
      <c r="A5446" s="20"/>
    </row>
    <row r="5447" spans="1:12">
      <c r="A5447" s="20" t="s">
        <v>2224</v>
      </c>
    </row>
    <row r="5448" spans="1:12">
      <c r="A5448" s="20" t="s">
        <v>1084</v>
      </c>
      <c r="E5448" s="22">
        <f>IF(D5448="?OLD","!!!","")</f>
        <v/>
      </c>
      <c r="F5448" s="23" t="str">
        <f>IF(OR(E5448="",E5448="!!!"),"",IF(NOT(ISNA(VLOOKUP(E5448,E$1:E5447,1,FALSE()))),"OLD",IF(AND(E5448&lt;&gt;"",E5448&lt;&gt;"!!!"),"NEW","")))</f>
        <v> </v>
      </c>
      <c r="G5448" s="24" t="str">
        <f>IF(OR(E5448="",E5448="!!!"),"",IF(OR(J5448=0,AND(J5448=1,K5448=1),AND(J5448=1,I5448="SBJ"),AND(J5448=1,I5448=0)),"?IN_FOCUS",IF(J5448&lt;=2,"?ACTIVATED",IF(J5448&lt;&gt;"","?FAMILIAR",IF(F5448="NEW",IF(ISNA(VLOOKUP(E5448,#REF!,1,FALSE())),"?TYPE_IDENTIFIABLE","?REFERENTIAL"),"_")))))</f>
        <v> </v>
      </c>
      <c r="H5448" s="25" t="str">
        <f>IF(J5448&lt;&gt;1,"",IF(I5448="SBJ","CB","?"))</f>
        <v> </v>
      </c>
      <c r="I5448" s="26" t="str">
        <f>IF(OR(E5448="",E5448="!!!",F5448="NEW"),"",INDEX(B5447:B$2,-1+SUMPRODUCT(MAX(ROW(E5447:E$2)*(E5448=E5447:E$2)))))</f>
        <v> </v>
      </c>
      <c r="J5448" s="26" t="str">
        <f>IF(OR(E5448="",E5448="!!!",F5448="NEW"),"",COUNTBLANK(OFFSET(A$1,,,SUMPRODUCT(MAX(ROW(E$2:E5448)*(E5448=E$2:E5448)))))-COUNTBLANK(OFFSET(A$1,,,SUMPRODUCT(MAX(ROW(E$1:E5447)*(E2=E$1:E5447))))))</f>
        <v> </v>
      </c>
      <c r="K5448" s="26" t="str">
        <f>IF(OR(E5448="",E5448="!!!",F5448="NEW"),"",INDEX(J$1:J5447,SUMPRODUCT(MAX(ROW(E$1:E5447)*(E5448=E$1:E5447)))))</f>
        <v> </v>
      </c>
      <c r="L5448" s="27"/>
    </row>
    <row r="5449" spans="1:12">
      <c r="A5449" s="20" t="s">
        <v>1075</v>
      </c>
      <c r="B5449" s="21" t="s">
        <v>1009</v>
      </c>
      <c r="C5449" s="21" t="s">
        <v>1044</v>
      </c>
      <c r="D5449" s="21" t="s">
        <v>1011</v>
      </c>
      <c r="E5449" s="22">
        <f>IF(D5449="?OLD","!!!","")</f>
        <v/>
      </c>
      <c r="F5449" s="23" t="str">
        <f>IF(OR(E5449="",E5449="!!!"),"",IF(NOT(ISNA(VLOOKUP(E5449,E$1:E5448,1,FALSE()))),"OLD",IF(AND(E5449&lt;&gt;"",E5449&lt;&gt;"!!!"),"NEW","")))</f>
        <v> </v>
      </c>
      <c r="G5449" s="24" t="str">
        <f>IF(OR(E5449="",E5449="!!!"),"",IF(OR(J5449=0,AND(J5449=1,K5449=1),AND(J5449=1,I5449="SBJ"),AND(J5449=1,I5449=0)),"?IN_FOCUS",IF(J5449&lt;=2,"?ACTIVATED",IF(J5449&lt;&gt;"","?FAMILIAR",IF(F5449="NEW",IF(ISNA(VLOOKUP(E5449,#REF!,1,FALSE())),"?TYPE_IDENTIFIABLE","?REFERENTIAL"),"_")))))</f>
        <v> </v>
      </c>
      <c r="H5449" s="25" t="str">
        <f>IF(J5449&lt;&gt;1,"",IF(I5449="SBJ","CB","?"))</f>
        <v> </v>
      </c>
      <c r="I5449" s="26" t="str">
        <f>IF(OR(E5449="",E5449="!!!",F5449="NEW"),"",INDEX(B5448:B$2,-1+SUMPRODUCT(MAX(ROW(E5448:E$2)*(E5449=E5448:E$2)))))</f>
        <v> </v>
      </c>
      <c r="J5449" s="26" t="str">
        <f>IF(OR(E5449="",E5449="!!!",F5449="NEW"),"",COUNTBLANK(OFFSET(A$1,,,SUMPRODUCT(MAX(ROW(E$2:E5449)*(E5449=E$2:E5449)))))-COUNTBLANK(OFFSET(A$1,,,SUMPRODUCT(MAX(ROW(E$1:E5448)*(E2=E$1:E5448))))))</f>
        <v> </v>
      </c>
      <c r="K5449" s="26" t="str">
        <f>IF(OR(E5449="",E5449="!!!",F5449="NEW"),"",INDEX(J$1:J5448,SUMPRODUCT(MAX(ROW(E$1:E5448)*(E5449=E$1:E5448)))))</f>
        <v> </v>
      </c>
      <c r="L5449" s="27"/>
    </row>
    <row r="5450" spans="1:12">
      <c r="A5450" s="20" t="s">
        <v>1045</v>
      </c>
      <c r="E5450" s="22">
        <f>IF(D5450="?OLD","!!!","")</f>
        <v/>
      </c>
      <c r="F5450" s="23" t="str">
        <f>IF(OR(E5450="",E5450="!!!"),"",IF(NOT(ISNA(VLOOKUP(E5450,E$1:E5449,1,FALSE()))),"OLD",IF(AND(E5450&lt;&gt;"",E5450&lt;&gt;"!!!"),"NEW","")))</f>
        <v> </v>
      </c>
      <c r="G5450" s="24" t="str">
        <f>IF(OR(E5450="",E5450="!!!"),"",IF(OR(J5450=0,AND(J5450=1,K5450=1),AND(J5450=1,I5450="SBJ"),AND(J5450=1,I5450=0)),"?IN_FOCUS",IF(J5450&lt;=2,"?ACTIVATED",IF(J5450&lt;&gt;"","?FAMILIAR",IF(F5450="NEW",IF(ISNA(VLOOKUP(E5450,#REF!,1,FALSE())),"?TYPE_IDENTIFIABLE","?REFERENTIAL"),"_")))))</f>
        <v> </v>
      </c>
      <c r="H5450" s="25" t="str">
        <f>IF(J5450&lt;&gt;1,"",IF(I5450="SBJ","CB","?"))</f>
        <v> </v>
      </c>
      <c r="I5450" s="26" t="str">
        <f>IF(OR(E5450="",E5450="!!!",F5450="NEW"),"",INDEX(B5449:B$2,-1+SUMPRODUCT(MAX(ROW(E5449:E$2)*(E5450=E5449:E$2)))))</f>
        <v> </v>
      </c>
      <c r="J5450" s="26" t="str">
        <f>IF(OR(E5450="",E5450="!!!",F5450="NEW"),"",COUNTBLANK(OFFSET(A$1,,,SUMPRODUCT(MAX(ROW(E$2:E5450)*(E5450=E$2:E5450)))))-COUNTBLANK(OFFSET(A$1,,,SUMPRODUCT(MAX(ROW(E$1:E5449)*(E2=E$1:E5449))))))</f>
        <v> </v>
      </c>
      <c r="K5450" s="26" t="str">
        <f>IF(OR(E5450="",E5450="!!!",F5450="NEW"),"",INDEX(J$1:J5449,SUMPRODUCT(MAX(ROW(E$1:E5449)*(E5450=E$1:E5449)))))</f>
        <v> </v>
      </c>
      <c r="L5450" s="27"/>
    </row>
    <row r="5451" spans="1:12">
      <c r="A5451" s="20" t="s">
        <v>1121</v>
      </c>
      <c r="B5451" s="21" t="s">
        <v>1039</v>
      </c>
      <c r="C5451" s="21" t="s">
        <v>1010</v>
      </c>
      <c r="D5451" s="21" t="s">
        <v>1011</v>
      </c>
      <c r="E5451" s="22">
        <f>IF(D5451="?OLD","!!!","")</f>
        <v/>
      </c>
      <c r="F5451" s="23" t="str">
        <f>IF(OR(E5451="",E5451="!!!"),"",IF(NOT(ISNA(VLOOKUP(E5451,E$1:E5450,1,FALSE()))),"OLD",IF(AND(E5451&lt;&gt;"",E5451&lt;&gt;"!!!"),"NEW","")))</f>
        <v> </v>
      </c>
      <c r="G5451" s="24" t="str">
        <f>IF(OR(E5451="",E5451="!!!"),"",IF(OR(J5451=0,AND(J5451=1,K5451=1),AND(J5451=1,I5451="SBJ"),AND(J5451=1,I5451=0)),"?IN_FOCUS",IF(J5451&lt;=2,"?ACTIVATED",IF(J5451&lt;&gt;"","?FAMILIAR",IF(F5451="NEW",IF(ISNA(VLOOKUP(E5451,#REF!,1,FALSE())),"?TYPE_IDENTIFIABLE","?REFERENTIAL"),"_")))))</f>
        <v> </v>
      </c>
      <c r="H5451" s="25" t="str">
        <f>IF(J5451&lt;&gt;1,"",IF(I5451="SBJ","CB","?"))</f>
        <v> </v>
      </c>
      <c r="I5451" s="26" t="str">
        <f>IF(OR(E5451="",E5451="!!!",F5451="NEW"),"",INDEX(B5450:B$2,-1+SUMPRODUCT(MAX(ROW(E5450:E$2)*(E5451=E5450:E$2)))))</f>
        <v> </v>
      </c>
      <c r="J5451" s="26" t="str">
        <f>IF(OR(E5451="",E5451="!!!",F5451="NEW"),"",COUNTBLANK(OFFSET(A$1,,,SUMPRODUCT(MAX(ROW(E$2:E5451)*(E5451=E$2:E5451)))))-COUNTBLANK(OFFSET(A$1,,,SUMPRODUCT(MAX(ROW(E$1:E5450)*(E2=E$1:E5450))))))</f>
        <v> </v>
      </c>
      <c r="K5451" s="26" t="str">
        <f>IF(OR(E5451="",E5451="!!!",F5451="NEW"),"",INDEX(J$1:J5450,SUMPRODUCT(MAX(ROW(E$1:E5450)*(E5451=E$1:E5450)))))</f>
        <v> </v>
      </c>
      <c r="L5451" s="27"/>
    </row>
    <row r="5452" spans="1:12">
      <c r="A5452" s="20" t="s">
        <v>1173</v>
      </c>
      <c r="E5452" s="22">
        <f>IF(D5452="?OLD","!!!","")</f>
        <v/>
      </c>
      <c r="F5452" s="23" t="str">
        <f>IF(OR(E5452="",E5452="!!!"),"",IF(NOT(ISNA(VLOOKUP(E5452,E$1:E5451,1,FALSE()))),"OLD",IF(AND(E5452&lt;&gt;"",E5452&lt;&gt;"!!!"),"NEW","")))</f>
        <v> </v>
      </c>
      <c r="G5452" s="24" t="str">
        <f>IF(OR(E5452="",E5452="!!!"),"",IF(OR(J5452=0,AND(J5452=1,K5452=1),AND(J5452=1,I5452="SBJ"),AND(J5452=1,I5452=0)),"?IN_FOCUS",IF(J5452&lt;=2,"?ACTIVATED",IF(J5452&lt;&gt;"","?FAMILIAR",IF(F5452="NEW",IF(ISNA(VLOOKUP(E5452,#REF!,1,FALSE())),"?TYPE_IDENTIFIABLE","?REFERENTIAL"),"_")))))</f>
        <v> </v>
      </c>
      <c r="H5452" s="25" t="str">
        <f>IF(J5452&lt;&gt;1,"",IF(I5452="SBJ","CB","?"))</f>
        <v> </v>
      </c>
      <c r="I5452" s="26" t="str">
        <f>IF(OR(E5452="",E5452="!!!",F5452="NEW"),"",INDEX(B5451:B$2,-1+SUMPRODUCT(MAX(ROW(E5451:E$2)*(E5452=E5451:E$2)))))</f>
        <v> </v>
      </c>
      <c r="J5452" s="26" t="str">
        <f>IF(OR(E5452="",E5452="!!!",F5452="NEW"),"",COUNTBLANK(OFFSET(A$1,,,SUMPRODUCT(MAX(ROW(E$2:E5452)*(E5452=E$2:E5452)))))-COUNTBLANK(OFFSET(A$1,,,SUMPRODUCT(MAX(ROW(E$1:E5451)*(E2=E$1:E5451))))))</f>
        <v> </v>
      </c>
      <c r="K5452" s="26" t="str">
        <f>IF(OR(E5452="",E5452="!!!",F5452="NEW"),"",INDEX(J$1:J5451,SUMPRODUCT(MAX(ROW(E$1:E5451)*(E5452=E$1:E5451)))))</f>
        <v> </v>
      </c>
      <c r="L5452" s="27"/>
    </row>
    <row r="5453" spans="1:12">
      <c r="A5453" s="20" t="s">
        <v>1025</v>
      </c>
      <c r="E5453" s="22">
        <f>IF(D5453="?OLD","!!!","")</f>
        <v/>
      </c>
      <c r="F5453" s="23" t="str">
        <f>IF(OR(E5453="",E5453="!!!"),"",IF(NOT(ISNA(VLOOKUP(E5453,E$1:E5452,1,FALSE()))),"OLD",IF(AND(E5453&lt;&gt;"",E5453&lt;&gt;"!!!"),"NEW","")))</f>
        <v> </v>
      </c>
      <c r="G5453" s="24" t="str">
        <f>IF(OR(E5453="",E5453="!!!"),"",IF(OR(J5453=0,AND(J5453=1,K5453=1),AND(J5453=1,I5453="SBJ"),AND(J5453=1,I5453=0)),"?IN_FOCUS",IF(J5453&lt;=2,"?ACTIVATED",IF(J5453&lt;&gt;"","?FAMILIAR",IF(F5453="NEW",IF(ISNA(VLOOKUP(E5453,#REF!,1,FALSE())),"?TYPE_IDENTIFIABLE","?REFERENTIAL"),"_")))))</f>
        <v> </v>
      </c>
      <c r="H5453" s="25" t="str">
        <f>IF(J5453&lt;&gt;1,"",IF(I5453="SBJ","CB","?"))</f>
        <v> </v>
      </c>
      <c r="I5453" s="26" t="str">
        <f>IF(OR(E5453="",E5453="!!!",F5453="NEW"),"",INDEX(B5452:B$2,-1+SUMPRODUCT(MAX(ROW(E5452:E$2)*(E5453=E5452:E$2)))))</f>
        <v> </v>
      </c>
      <c r="J5453" s="26" t="str">
        <f>IF(OR(E5453="",E5453="!!!",F5453="NEW"),"",COUNTBLANK(OFFSET(A$1,,,SUMPRODUCT(MAX(ROW(E$2:E5453)*(E5453=E$2:E5453)))))-COUNTBLANK(OFFSET(A$1,,,SUMPRODUCT(MAX(ROW(E$1:E5452)*(E2=E$1:E5452))))))</f>
        <v> </v>
      </c>
      <c r="K5453" s="26" t="str">
        <f>IF(OR(E5453="",E5453="!!!",F5453="NEW"),"",INDEX(J$1:J5452,SUMPRODUCT(MAX(ROW(E$1:E5452)*(E5453=E$1:E5452)))))</f>
        <v> </v>
      </c>
      <c r="L5453" s="27"/>
    </row>
    <row r="5454" spans="1:12">
      <c r="A5454" s="20" t="s">
        <v>2218</v>
      </c>
      <c r="E5454" s="22">
        <f>IF(D5454="?OLD","!!!","")</f>
        <v/>
      </c>
      <c r="F5454" s="23" t="str">
        <f>IF(OR(E5454="",E5454="!!!"),"",IF(NOT(ISNA(VLOOKUP(E5454,E$1:E5453,1,FALSE()))),"OLD",IF(AND(E5454&lt;&gt;"",E5454&lt;&gt;"!!!"),"NEW","")))</f>
        <v> </v>
      </c>
      <c r="G5454" s="24" t="str">
        <f>IF(OR(E5454="",E5454="!!!"),"",IF(OR(J5454=0,AND(J5454=1,K5454=1),AND(J5454=1,I5454="SBJ"),AND(J5454=1,I5454=0)),"?IN_FOCUS",IF(J5454&lt;=2,"?ACTIVATED",IF(J5454&lt;&gt;"","?FAMILIAR",IF(F5454="NEW",IF(ISNA(VLOOKUP(E5454,#REF!,1,FALSE())),"?TYPE_IDENTIFIABLE","?REFERENTIAL"),"_")))))</f>
        <v> </v>
      </c>
      <c r="H5454" s="25" t="str">
        <f>IF(J5454&lt;&gt;1,"",IF(I5454="SBJ","CB","?"))</f>
        <v> </v>
      </c>
      <c r="I5454" s="26" t="str">
        <f>IF(OR(E5454="",E5454="!!!",F5454="NEW"),"",INDEX(B5453:B$2,-1+SUMPRODUCT(MAX(ROW(E5453:E$2)*(E5454=E5453:E$2)))))</f>
        <v> </v>
      </c>
      <c r="J5454" s="26" t="str">
        <f>IF(OR(E5454="",E5454="!!!",F5454="NEW"),"",COUNTBLANK(OFFSET(A$1,,,SUMPRODUCT(MAX(ROW(E$2:E5454)*(E5454=E$2:E5454)))))-COUNTBLANK(OFFSET(A$1,,,SUMPRODUCT(MAX(ROW(E$1:E5453)*(E2=E$1:E5453))))))</f>
        <v> </v>
      </c>
      <c r="K5454" s="26" t="str">
        <f>IF(OR(E5454="",E5454="!!!",F5454="NEW"),"",INDEX(J$1:J5453,SUMPRODUCT(MAX(ROW(E$1:E5453)*(E5454=E$1:E5453)))))</f>
        <v> </v>
      </c>
      <c r="L5454" s="27"/>
    </row>
    <row r="5455" spans="1:12">
      <c r="A5455" s="20" t="s">
        <v>1788</v>
      </c>
      <c r="B5455" s="21" t="s">
        <v>1016</v>
      </c>
      <c r="C5455" s="21" t="s">
        <v>1017</v>
      </c>
      <c r="E5455" s="22">
        <f>IF(D5455="?OLD","!!!","")</f>
        <v/>
      </c>
      <c r="F5455" s="23" t="str">
        <f>IF(OR(E5455="",E5455="!!!"),"",IF(NOT(ISNA(VLOOKUP(E5455,E$1:E5454,1,FALSE()))),"OLD",IF(AND(E5455&lt;&gt;"",E5455&lt;&gt;"!!!"),"NEW","")))</f>
        <v> </v>
      </c>
      <c r="G5455" s="24" t="str">
        <f>IF(OR(E5455="",E5455="!!!"),"",IF(OR(J5455=0,AND(J5455=1,K5455=1),AND(J5455=1,I5455="SBJ"),AND(J5455=1,I5455=0)),"?IN_FOCUS",IF(J5455&lt;=2,"?ACTIVATED",IF(J5455&lt;&gt;"","?FAMILIAR",IF(F5455="NEW",IF(ISNA(VLOOKUP(E5455,#REF!,1,FALSE())),"?TYPE_IDENTIFIABLE","?REFERENTIAL"),"_")))))</f>
        <v> </v>
      </c>
      <c r="H5455" s="25" t="str">
        <f>IF(J5455&lt;&gt;1,"",IF(I5455="SBJ","CB","?"))</f>
        <v> </v>
      </c>
      <c r="I5455" s="26" t="str">
        <f>IF(OR(E5455="",E5455="!!!",F5455="NEW"),"",INDEX(B5454:B$2,-1+SUMPRODUCT(MAX(ROW(E5454:E$2)*(E5455=E5454:E$2)))))</f>
        <v> </v>
      </c>
      <c r="J5455" s="26" t="str">
        <f>IF(OR(E5455="",E5455="!!!",F5455="NEW"),"",COUNTBLANK(OFFSET(A$1,,,SUMPRODUCT(MAX(ROW(E$2:E5455)*(E5455=E$2:E5455)))))-COUNTBLANK(OFFSET(A$1,,,SUMPRODUCT(MAX(ROW(E$1:E5454)*(E2=E$1:E5454))))))</f>
        <v> </v>
      </c>
      <c r="K5455" s="26" t="str">
        <f>IF(OR(E5455="",E5455="!!!",F5455="NEW"),"",INDEX(J$1:J5454,SUMPRODUCT(MAX(ROW(E$1:E5454)*(E5455=E$1:E5454)))))</f>
        <v> </v>
      </c>
      <c r="L5455" s="27"/>
    </row>
    <row r="5456" spans="1:12">
      <c r="A5456" s="20" t="s">
        <v>1025</v>
      </c>
      <c r="B5456" s="21" t="s">
        <v>1053</v>
      </c>
      <c r="E5456" s="22">
        <f>IF(D5456="?OLD","!!!","")</f>
        <v/>
      </c>
      <c r="F5456" s="23" t="str">
        <f>IF(OR(E5456="",E5456="!!!"),"",IF(NOT(ISNA(VLOOKUP(E5456,E$1:E5455,1,FALSE()))),"OLD",IF(AND(E5456&lt;&gt;"",E5456&lt;&gt;"!!!"),"NEW","")))</f>
        <v> </v>
      </c>
      <c r="G5456" s="24" t="str">
        <f>IF(OR(E5456="",E5456="!!!"),"",IF(OR(J5456=0,AND(J5456=1,K5456=1),AND(J5456=1,I5456="SBJ"),AND(J5456=1,I5456=0)),"?IN_FOCUS",IF(J5456&lt;=2,"?ACTIVATED",IF(J5456&lt;&gt;"","?FAMILIAR",IF(F5456="NEW",IF(ISNA(VLOOKUP(E5456,#REF!,1,FALSE())),"?TYPE_IDENTIFIABLE","?REFERENTIAL"),"_")))))</f>
        <v> </v>
      </c>
      <c r="H5456" s="25" t="str">
        <f>IF(J5456&lt;&gt;1,"",IF(I5456="SBJ","CB","?"))</f>
        <v> </v>
      </c>
      <c r="I5456" s="26" t="str">
        <f>IF(OR(E5456="",E5456="!!!",F5456="NEW"),"",INDEX(B5455:B$2,-1+SUMPRODUCT(MAX(ROW(E5455:E$2)*(E5456=E5455:E$2)))))</f>
        <v> </v>
      </c>
      <c r="J5456" s="26" t="str">
        <f>IF(OR(E5456="",E5456="!!!",F5456="NEW"),"",COUNTBLANK(OFFSET(A$1,,,SUMPRODUCT(MAX(ROW(E$2:E5456)*(E5456=E$2:E5456)))))-COUNTBLANK(OFFSET(A$1,,,SUMPRODUCT(MAX(ROW(E$1:E5455)*(E2=E$1:E5455))))))</f>
        <v> </v>
      </c>
      <c r="K5456" s="26" t="str">
        <f>IF(OR(E5456="",E5456="!!!",F5456="NEW"),"",INDEX(J$1:J5455,SUMPRODUCT(MAX(ROW(E$1:E5455)*(E5456=E$1:E5455)))))</f>
        <v> </v>
      </c>
      <c r="L5456" s="27"/>
    </row>
    <row r="5457" spans="1:12">
      <c r="A5457" s="20" t="s">
        <v>1590</v>
      </c>
      <c r="E5457" s="22">
        <f>IF(D5457="?OLD","!!!","")</f>
        <v/>
      </c>
      <c r="F5457" s="23" t="str">
        <f>IF(OR(E5457="",E5457="!!!"),"",IF(NOT(ISNA(VLOOKUP(E5457,E$1:E5456,1,FALSE()))),"OLD",IF(AND(E5457&lt;&gt;"",E5457&lt;&gt;"!!!"),"NEW","")))</f>
        <v> </v>
      </c>
      <c r="G5457" s="24" t="str">
        <f>IF(OR(E5457="",E5457="!!!"),"",IF(OR(J5457=0,AND(J5457=1,K5457=1),AND(J5457=1,I5457="SBJ"),AND(J5457=1,I5457=0)),"?IN_FOCUS",IF(J5457&lt;=2,"?ACTIVATED",IF(J5457&lt;&gt;"","?FAMILIAR",IF(F5457="NEW",IF(ISNA(VLOOKUP(E5457,#REF!,1,FALSE())),"?TYPE_IDENTIFIABLE","?REFERENTIAL"),"_")))))</f>
        <v> </v>
      </c>
      <c r="H5457" s="25" t="str">
        <f>IF(J5457&lt;&gt;1,"",IF(I5457="SBJ","CB","?"))</f>
        <v> </v>
      </c>
      <c r="I5457" s="26" t="str">
        <f>IF(OR(E5457="",E5457="!!!",F5457="NEW"),"",INDEX(B5456:B$2,-1+SUMPRODUCT(MAX(ROW(E5456:E$2)*(E5457=E5456:E$2)))))</f>
        <v> </v>
      </c>
      <c r="J5457" s="26" t="str">
        <f>IF(OR(E5457="",E5457="!!!",F5457="NEW"),"",COUNTBLANK(OFFSET(A$1,,,SUMPRODUCT(MAX(ROW(E$2:E5457)*(E5457=E$2:E5457)))))-COUNTBLANK(OFFSET(A$1,,,SUMPRODUCT(MAX(ROW(E$1:E5456)*(E2=E$1:E5456))))))</f>
        <v> </v>
      </c>
      <c r="K5457" s="26" t="str">
        <f>IF(OR(E5457="",E5457="!!!",F5457="NEW"),"",INDEX(J$1:J5456,SUMPRODUCT(MAX(ROW(E$1:E5456)*(E5457=E$1:E5456)))))</f>
        <v> </v>
      </c>
      <c r="L5457" s="27"/>
    </row>
    <row r="5458" spans="1:12">
      <c r="A5458" s="20" t="s">
        <v>1850</v>
      </c>
      <c r="E5458" s="22">
        <f>IF(D5458="?OLD","!!!","")</f>
        <v/>
      </c>
      <c r="F5458" s="23" t="str">
        <f>IF(OR(E5458="",E5458="!!!"),"",IF(NOT(ISNA(VLOOKUP(E5458,E$1:E5457,1,FALSE()))),"OLD",IF(AND(E5458&lt;&gt;"",E5458&lt;&gt;"!!!"),"NEW","")))</f>
        <v> </v>
      </c>
      <c r="G5458" s="24" t="str">
        <f>IF(OR(E5458="",E5458="!!!"),"",IF(OR(J5458=0,AND(J5458=1,K5458=1),AND(J5458=1,I5458="SBJ"),AND(J5458=1,I5458=0)),"?IN_FOCUS",IF(J5458&lt;=2,"?ACTIVATED",IF(J5458&lt;&gt;"","?FAMILIAR",IF(F5458="NEW",IF(ISNA(VLOOKUP(E5458,#REF!,1,FALSE())),"?TYPE_IDENTIFIABLE","?REFERENTIAL"),"_")))))</f>
        <v> </v>
      </c>
      <c r="H5458" s="25" t="str">
        <f>IF(J5458&lt;&gt;1,"",IF(I5458="SBJ","CB","?"))</f>
        <v> </v>
      </c>
      <c r="I5458" s="26" t="str">
        <f>IF(OR(E5458="",E5458="!!!",F5458="NEW"),"",INDEX(B5457:B$2,-1+SUMPRODUCT(MAX(ROW(E5457:E$2)*(E5458=E5457:E$2)))))</f>
        <v> </v>
      </c>
      <c r="J5458" s="26" t="str">
        <f>IF(OR(E5458="",E5458="!!!",F5458="NEW"),"",COUNTBLANK(OFFSET(A$1,,,SUMPRODUCT(MAX(ROW(E$2:E5458)*(E5458=E$2:E5458)))))-COUNTBLANK(OFFSET(A$1,,,SUMPRODUCT(MAX(ROW(E$1:E5457)*(E2=E$1:E5457))))))</f>
        <v> </v>
      </c>
      <c r="K5458" s="26" t="str">
        <f>IF(OR(E5458="",E5458="!!!",F5458="NEW"),"",INDEX(J$1:J5457,SUMPRODUCT(MAX(ROW(E$1:E5457)*(E5458=E$1:E5457)))))</f>
        <v> </v>
      </c>
      <c r="L5458" s="27"/>
    </row>
    <row r="5459" spans="1:12">
      <c r="A5459" s="20" t="s">
        <v>1732</v>
      </c>
      <c r="B5459" s="21" t="s">
        <v>1051</v>
      </c>
      <c r="C5459" s="21" t="s">
        <v>1010</v>
      </c>
      <c r="D5459" s="21" t="s">
        <v>1011</v>
      </c>
      <c r="E5459" s="22">
        <f>IF(D5459="?OLD","!!!","")</f>
        <v/>
      </c>
      <c r="F5459" s="23" t="str">
        <f>IF(OR(E5459="",E5459="!!!"),"",IF(NOT(ISNA(VLOOKUP(E5459,E$1:E5458,1,FALSE()))),"OLD",IF(AND(E5459&lt;&gt;"",E5459&lt;&gt;"!!!"),"NEW","")))</f>
        <v> </v>
      </c>
      <c r="G5459" s="24" t="str">
        <f>IF(OR(E5459="",E5459="!!!"),"",IF(OR(J5459=0,AND(J5459=1,K5459=1),AND(J5459=1,I5459="SBJ"),AND(J5459=1,I5459=0)),"?IN_FOCUS",IF(J5459&lt;=2,"?ACTIVATED",IF(J5459&lt;&gt;"","?FAMILIAR",IF(F5459="NEW",IF(ISNA(VLOOKUP(E5459,#REF!,1,FALSE())),"?TYPE_IDENTIFIABLE","?REFERENTIAL"),"_")))))</f>
        <v> </v>
      </c>
      <c r="H5459" s="25" t="str">
        <f>IF(J5459&lt;&gt;1,"",IF(I5459="SBJ","CB","?"))</f>
        <v> </v>
      </c>
      <c r="I5459" s="26" t="str">
        <f>IF(OR(E5459="",E5459="!!!",F5459="NEW"),"",INDEX(B5458:B$2,-1+SUMPRODUCT(MAX(ROW(E5458:E$2)*(E5459=E5458:E$2)))))</f>
        <v> </v>
      </c>
      <c r="J5459" s="26" t="str">
        <f>IF(OR(E5459="",E5459="!!!",F5459="NEW"),"",COUNTBLANK(OFFSET(A$1,,,SUMPRODUCT(MAX(ROW(E$2:E5459)*(E5459=E$2:E5459)))))-COUNTBLANK(OFFSET(A$1,,,SUMPRODUCT(MAX(ROW(E$1:E5458)*(E2=E$1:E5458))))))</f>
        <v> </v>
      </c>
      <c r="K5459" s="26" t="str">
        <f>IF(OR(E5459="",E5459="!!!",F5459="NEW"),"",INDEX(J$1:J5458,SUMPRODUCT(MAX(ROW(E$1:E5458)*(E5459=E$1:E5458)))))</f>
        <v> </v>
      </c>
      <c r="L5459" s="27"/>
    </row>
    <row r="5460" spans="1:12">
      <c r="A5460" s="20" t="s">
        <v>2225</v>
      </c>
      <c r="E5460" s="22">
        <f>IF(D5460="?OLD","!!!","")</f>
        <v/>
      </c>
      <c r="F5460" s="23" t="str">
        <f>IF(OR(E5460="",E5460="!!!"),"",IF(NOT(ISNA(VLOOKUP(E5460,E$1:E5459,1,FALSE()))),"OLD",IF(AND(E5460&lt;&gt;"",E5460&lt;&gt;"!!!"),"NEW","")))</f>
        <v> </v>
      </c>
      <c r="G5460" s="24" t="str">
        <f>IF(OR(E5460="",E5460="!!!"),"",IF(OR(J5460=0,AND(J5460=1,K5460=1),AND(J5460=1,I5460="SBJ"),AND(J5460=1,I5460=0)),"?IN_FOCUS",IF(J5460&lt;=2,"?ACTIVATED",IF(J5460&lt;&gt;"","?FAMILIAR",IF(F5460="NEW",IF(ISNA(VLOOKUP(E5460,#REF!,1,FALSE())),"?TYPE_IDENTIFIABLE","?REFERENTIAL"),"_")))))</f>
        <v> </v>
      </c>
      <c r="H5460" s="25" t="str">
        <f>IF(J5460&lt;&gt;1,"",IF(I5460="SBJ","CB","?"))</f>
        <v> </v>
      </c>
      <c r="I5460" s="26" t="str">
        <f>IF(OR(E5460="",E5460="!!!",F5460="NEW"),"",INDEX(B5459:B$2,-1+SUMPRODUCT(MAX(ROW(E5459:E$2)*(E5460=E5459:E$2)))))</f>
        <v> </v>
      </c>
      <c r="J5460" s="26" t="str">
        <f>IF(OR(E5460="",E5460="!!!",F5460="NEW"),"",COUNTBLANK(OFFSET(A$1,,,SUMPRODUCT(MAX(ROW(E$2:E5460)*(E5460=E$2:E5460)))))-COUNTBLANK(OFFSET(A$1,,,SUMPRODUCT(MAX(ROW(E$1:E5459)*(E2=E$1:E5459))))))</f>
        <v> </v>
      </c>
      <c r="K5460" s="26" t="str">
        <f>IF(OR(E5460="",E5460="!!!",F5460="NEW"),"",INDEX(J$1:J5459,SUMPRODUCT(MAX(ROW(E$1:E5459)*(E5460=E$1:E5459)))))</f>
        <v> </v>
      </c>
      <c r="L5460" s="27"/>
    </row>
    <row r="5461" spans="1:12">
      <c r="A5461" s="20" t="s">
        <v>1243</v>
      </c>
      <c r="B5461" s="21" t="s">
        <v>1091</v>
      </c>
      <c r="C5461" s="21" t="s">
        <v>1026</v>
      </c>
      <c r="D5461" s="21" t="s">
        <v>1011</v>
      </c>
      <c r="E5461" s="22">
        <f>IF(D5461="?OLD","!!!","")</f>
        <v/>
      </c>
      <c r="F5461" s="23" t="str">
        <f>IF(OR(E5461="",E5461="!!!"),"",IF(NOT(ISNA(VLOOKUP(E5461,E$1:E5460,1,FALSE()))),"OLD",IF(AND(E5461&lt;&gt;"",E5461&lt;&gt;"!!!"),"NEW","")))</f>
        <v> </v>
      </c>
      <c r="G5461" s="24" t="str">
        <f>IF(OR(E5461="",E5461="!!!"),"",IF(OR(J5461=0,AND(J5461=1,K5461=1),AND(J5461=1,I5461="SBJ"),AND(J5461=1,I5461=0)),"?IN_FOCUS",IF(J5461&lt;=2,"?ACTIVATED",IF(J5461&lt;&gt;"","?FAMILIAR",IF(F5461="NEW",IF(ISNA(VLOOKUP(E5461,#REF!,1,FALSE())),"?TYPE_IDENTIFIABLE","?REFERENTIAL"),"_")))))</f>
        <v> </v>
      </c>
      <c r="H5461" s="25" t="str">
        <f>IF(J5461&lt;&gt;1,"",IF(I5461="SBJ","CB","?"))</f>
        <v> </v>
      </c>
      <c r="I5461" s="26" t="str">
        <f>IF(OR(E5461="",E5461="!!!",F5461="NEW"),"",INDEX(B5460:B$2,-1+SUMPRODUCT(MAX(ROW(E5460:E$2)*(E5461=E5460:E$2)))))</f>
        <v> </v>
      </c>
      <c r="J5461" s="26" t="str">
        <f>IF(OR(E5461="",E5461="!!!",F5461="NEW"),"",COUNTBLANK(OFFSET(A$1,,,SUMPRODUCT(MAX(ROW(E$2:E5461)*(E5461=E$2:E5461)))))-COUNTBLANK(OFFSET(A$1,,,SUMPRODUCT(MAX(ROW(E$1:E5460)*(E2=E$1:E5460))))))</f>
        <v> </v>
      </c>
      <c r="K5461" s="26" t="str">
        <f>IF(OR(E5461="",E5461="!!!",F5461="NEW"),"",INDEX(J$1:J5460,SUMPRODUCT(MAX(ROW(E$1:E5460)*(E5461=E$1:E5460)))))</f>
        <v> </v>
      </c>
      <c r="L5461" s="27"/>
    </row>
    <row r="5462" spans="1:12">
      <c r="A5462" s="20" t="s">
        <v>1022</v>
      </c>
      <c r="E5462" s="22">
        <f>IF(D5462="?OLD","!!!","")</f>
        <v/>
      </c>
      <c r="F5462" s="23" t="str">
        <f>IF(OR(E5462="",E5462="!!!"),"",IF(NOT(ISNA(VLOOKUP(E5462,E$1:E5461,1,FALSE()))),"OLD",IF(AND(E5462&lt;&gt;"",E5462&lt;&gt;"!!!"),"NEW","")))</f>
        <v> </v>
      </c>
      <c r="G5462" s="24" t="str">
        <f>IF(OR(E5462="",E5462="!!!"),"",IF(OR(J5462=0,AND(J5462=1,K5462=1),AND(J5462=1,I5462="SBJ"),AND(J5462=1,I5462=0)),"?IN_FOCUS",IF(J5462&lt;=2,"?ACTIVATED",IF(J5462&lt;&gt;"","?FAMILIAR",IF(F5462="NEW",IF(ISNA(VLOOKUP(E5462,#REF!,1,FALSE())),"?TYPE_IDENTIFIABLE","?REFERENTIAL"),"_")))))</f>
        <v> </v>
      </c>
      <c r="H5462" s="25" t="str">
        <f>IF(J5462&lt;&gt;1,"",IF(I5462="SBJ","CB","?"))</f>
        <v> </v>
      </c>
      <c r="I5462" s="26" t="str">
        <f>IF(OR(E5462="",E5462="!!!",F5462="NEW"),"",INDEX(B5461:B$2,-1+SUMPRODUCT(MAX(ROW(E5461:E$2)*(E5462=E5461:E$2)))))</f>
        <v> </v>
      </c>
      <c r="J5462" s="26" t="str">
        <f>IF(OR(E5462="",E5462="!!!",F5462="NEW"),"",COUNTBLANK(OFFSET(A$1,,,SUMPRODUCT(MAX(ROW(E$2:E5462)*(E5462=E$2:E5462)))))-COUNTBLANK(OFFSET(A$1,,,SUMPRODUCT(MAX(ROW(E$1:E5461)*(E2=E$1:E5461))))))</f>
        <v> </v>
      </c>
      <c r="K5462" s="26" t="str">
        <f>IF(OR(E5462="",E5462="!!!",F5462="NEW"),"",INDEX(J$1:J5461,SUMPRODUCT(MAX(ROW(E$1:E5461)*(E5462=E$1:E5461)))))</f>
        <v> </v>
      </c>
      <c r="L5462" s="27"/>
    </row>
    <row r="5463" spans="1:12">
      <c r="A5463" s="20"/>
    </row>
    <row r="5464" spans="1:12">
      <c r="A5464" s="20" t="s">
        <v>1264</v>
      </c>
      <c r="E5464" s="22">
        <f>IF(D5464="?OLD","!!!","")</f>
        <v/>
      </c>
      <c r="F5464" s="23" t="str">
        <f>IF(OR(E5464="",E5464="!!!"),"",IF(NOT(ISNA(VLOOKUP(E5464,E$1:E5463,1,FALSE()))),"OLD",IF(AND(E5464&lt;&gt;"",E5464&lt;&gt;"!!!"),"NEW","")))</f>
        <v> </v>
      </c>
      <c r="G5464" s="24" t="str">
        <f>IF(OR(E5464="",E5464="!!!"),"",IF(OR(J5464=0,AND(J5464=1,K5464=1),AND(J5464=1,I5464="SBJ"),AND(J5464=1,I5464=0)),"?IN_FOCUS",IF(J5464&lt;=2,"?ACTIVATED",IF(J5464&lt;&gt;"","?FAMILIAR",IF(F5464="NEW",IF(ISNA(VLOOKUP(E5464,#REF!,1,FALSE())),"?TYPE_IDENTIFIABLE","?REFERENTIAL"),"_")))))</f>
        <v> </v>
      </c>
      <c r="H5464" s="25" t="str">
        <f>IF(J5464&lt;&gt;1,"",IF(I5464="SBJ","CB","?"))</f>
        <v> </v>
      </c>
      <c r="I5464" s="26" t="str">
        <f>IF(OR(E5464="",E5464="!!!",F5464="NEW"),"",INDEX(B5463:B$2,-1+SUMPRODUCT(MAX(ROW(E5463:E$2)*(E5464=E5463:E$2)))))</f>
        <v> </v>
      </c>
      <c r="J5464" s="26" t="str">
        <f>IF(OR(E5464="",E5464="!!!",F5464="NEW"),"",COUNTBLANK(OFFSET(A$1,,,SUMPRODUCT(MAX(ROW(E$2:E5464)*(E5464=E$2:E5464)))))-COUNTBLANK(OFFSET(A$1,,,SUMPRODUCT(MAX(ROW(E$1:E5463)*(E2=E$1:E5463))))))</f>
        <v> </v>
      </c>
      <c r="K5464" s="26" t="str">
        <f>IF(OR(E5464="",E5464="!!!",F5464="NEW"),"",INDEX(J$1:J5463,SUMPRODUCT(MAX(ROW(E$1:E5463)*(E5464=E$1:E5463)))))</f>
        <v> </v>
      </c>
      <c r="L5464" s="27"/>
    </row>
    <row r="5465" spans="1:12">
      <c r="A5465" s="20" t="s">
        <v>2226</v>
      </c>
    </row>
    <row r="5466" spans="1:12">
      <c r="A5466" s="20" t="s">
        <v>1066</v>
      </c>
      <c r="E5466" s="22">
        <f>IF(D5466="?OLD","!!!","")</f>
        <v/>
      </c>
      <c r="F5466" s="23" t="str">
        <f>IF(OR(E5466="",E5466="!!!"),"",IF(NOT(ISNA(VLOOKUP(E5466,E$1:E5465,1,FALSE()))),"OLD",IF(AND(E5466&lt;&gt;"",E5466&lt;&gt;"!!!"),"NEW","")))</f>
        <v> </v>
      </c>
      <c r="G5466" s="24" t="str">
        <f>IF(OR(E5466="",E5466="!!!"),"",IF(OR(J5466=0,AND(J5466=1,K5466=1),AND(J5466=1,I5466="SBJ"),AND(J5466=1,I5466=0)),"?IN_FOCUS",IF(J5466&lt;=2,"?ACTIVATED",IF(J5466&lt;&gt;"","?FAMILIAR",IF(F5466="NEW",IF(ISNA(VLOOKUP(E5466,#REF!,1,FALSE())),"?TYPE_IDENTIFIABLE","?REFERENTIAL"),"_")))))</f>
        <v> </v>
      </c>
      <c r="H5466" s="25" t="str">
        <f>IF(J5466&lt;&gt;1,"",IF(I5466="SBJ","CB","?"))</f>
        <v> </v>
      </c>
      <c r="I5466" s="26" t="str">
        <f>IF(OR(E5466="",E5466="!!!",F5466="NEW"),"",INDEX(B5465:B$2,-1+SUMPRODUCT(MAX(ROW(E5465:E$2)*(E5466=E5465:E$2)))))</f>
        <v> </v>
      </c>
      <c r="J5466" s="26" t="str">
        <f>IF(OR(E5466="",E5466="!!!",F5466="NEW"),"",COUNTBLANK(OFFSET(A$1,,,SUMPRODUCT(MAX(ROW(E$2:E5466)*(E5466=E$2:E5466)))))-COUNTBLANK(OFFSET(A$1,,,SUMPRODUCT(MAX(ROW(E$1:E5465)*(E2=E$1:E5465))))))</f>
        <v> </v>
      </c>
      <c r="K5466" s="26" t="str">
        <f>IF(OR(E5466="",E5466="!!!",F5466="NEW"),"",INDEX(J$1:J5465,SUMPRODUCT(MAX(ROW(E$1:E5465)*(E5466=E$1:E5465)))))</f>
        <v> </v>
      </c>
      <c r="L5466" s="27"/>
    </row>
    <row r="5467" spans="1:12">
      <c r="A5467" s="20" t="s">
        <v>1034</v>
      </c>
      <c r="B5467" s="21" t="s">
        <v>1021</v>
      </c>
      <c r="C5467" s="21" t="s">
        <v>1035</v>
      </c>
      <c r="D5467" s="21" t="s">
        <v>1011</v>
      </c>
      <c r="E5467" s="22">
        <f>IF(D5467="?OLD","!!!","")</f>
        <v/>
      </c>
      <c r="F5467" s="23" t="str">
        <f>IF(OR(E5467="",E5467="!!!"),"",IF(NOT(ISNA(VLOOKUP(E5467,E$1:E5466,1,FALSE()))),"OLD",IF(AND(E5467&lt;&gt;"",E5467&lt;&gt;"!!!"),"NEW","")))</f>
        <v> </v>
      </c>
      <c r="G5467" s="24" t="str">
        <f>IF(OR(E5467="",E5467="!!!"),"",IF(OR(J5467=0,AND(J5467=1,K5467=1),AND(J5467=1,I5467="SBJ"),AND(J5467=1,I5467=0)),"?IN_FOCUS",IF(J5467&lt;=2,"?ACTIVATED",IF(J5467&lt;&gt;"","?FAMILIAR",IF(F5467="NEW",IF(ISNA(VLOOKUP(E5467,#REF!,1,FALSE())),"?TYPE_IDENTIFIABLE","?REFERENTIAL"),"_")))))</f>
        <v> </v>
      </c>
      <c r="H5467" s="25" t="str">
        <f>IF(J5467&lt;&gt;1,"",IF(I5467="SBJ","CB","?"))</f>
        <v> </v>
      </c>
      <c r="I5467" s="26" t="str">
        <f>IF(OR(E5467="",E5467="!!!",F5467="NEW"),"",INDEX(B5466:B$2,-1+SUMPRODUCT(MAX(ROW(E5466:E$2)*(E5467=E5466:E$2)))))</f>
        <v> </v>
      </c>
      <c r="J5467" s="26" t="str">
        <f>IF(OR(E5467="",E5467="!!!",F5467="NEW"),"",COUNTBLANK(OFFSET(A$1,,,SUMPRODUCT(MAX(ROW(E$2:E5467)*(E5467=E$2:E5467)))))-COUNTBLANK(OFFSET(A$1,,,SUMPRODUCT(MAX(ROW(E$1:E5466)*(E2=E$1:E5466))))))</f>
        <v> </v>
      </c>
      <c r="K5467" s="26" t="str">
        <f>IF(OR(E5467="",E5467="!!!",F5467="NEW"),"",INDEX(J$1:J5466,SUMPRODUCT(MAX(ROW(E$1:E5466)*(E5467=E$1:E5466)))))</f>
        <v> </v>
      </c>
      <c r="L5467" s="27"/>
    </row>
    <row r="5468" spans="1:12">
      <c r="A5468" s="20" t="s">
        <v>2227</v>
      </c>
      <c r="B5468" s="21" t="s">
        <v>1039</v>
      </c>
      <c r="C5468" s="21" t="s">
        <v>1040</v>
      </c>
      <c r="D5468" s="21" t="s">
        <v>1011</v>
      </c>
      <c r="E5468" s="22">
        <f>IF(D5468="?OLD","!!!","")</f>
        <v/>
      </c>
      <c r="F5468" s="23" t="str">
        <f>IF(OR(E5468="",E5468="!!!"),"",IF(NOT(ISNA(VLOOKUP(E5468,E$1:E5467,1,FALSE()))),"OLD",IF(AND(E5468&lt;&gt;"",E5468&lt;&gt;"!!!"),"NEW","")))</f>
        <v> </v>
      </c>
      <c r="G5468" s="24" t="str">
        <f>IF(OR(E5468="",E5468="!!!"),"",IF(OR(J5468=0,AND(J5468=1,K5468=1),AND(J5468=1,I5468="SBJ"),AND(J5468=1,I5468=0)),"?IN_FOCUS",IF(J5468&lt;=2,"?ACTIVATED",IF(J5468&lt;&gt;"","?FAMILIAR",IF(F5468="NEW",IF(ISNA(VLOOKUP(E5468,#REF!,1,FALSE())),"?TYPE_IDENTIFIABLE","?REFERENTIAL"),"_")))))</f>
        <v> </v>
      </c>
      <c r="H5468" s="25" t="str">
        <f>IF(J5468&lt;&gt;1,"",IF(I5468="SBJ","CB","?"))</f>
        <v> </v>
      </c>
      <c r="I5468" s="26" t="str">
        <f>IF(OR(E5468="",E5468="!!!",F5468="NEW"),"",INDEX(B5467:B$2,-1+SUMPRODUCT(MAX(ROW(E5467:E$2)*(E5468=E5467:E$2)))))</f>
        <v> </v>
      </c>
      <c r="J5468" s="26" t="str">
        <f>IF(OR(E5468="",E5468="!!!",F5468="NEW"),"",COUNTBLANK(OFFSET(A$1,,,SUMPRODUCT(MAX(ROW(E$2:E5468)*(E5468=E$2:E5468)))))-COUNTBLANK(OFFSET(A$1,,,SUMPRODUCT(MAX(ROW(E$1:E5467)*(E2=E$1:E5467))))))</f>
        <v> </v>
      </c>
      <c r="K5468" s="26" t="str">
        <f>IF(OR(E5468="",E5468="!!!",F5468="NEW"),"",INDEX(J$1:J5467,SUMPRODUCT(MAX(ROW(E$1:E5467)*(E5468=E$1:E5467)))))</f>
        <v> </v>
      </c>
      <c r="L5468" s="27"/>
    </row>
    <row r="5469" spans="1:12">
      <c r="A5469" s="20" t="s">
        <v>1414</v>
      </c>
      <c r="E5469" s="22">
        <f>IF(D5469="?OLD","!!!","")</f>
        <v/>
      </c>
      <c r="F5469" s="23" t="str">
        <f>IF(OR(E5469="",E5469="!!!"),"",IF(NOT(ISNA(VLOOKUP(E5469,E$1:E5468,1,FALSE()))),"OLD",IF(AND(E5469&lt;&gt;"",E5469&lt;&gt;"!!!"),"NEW","")))</f>
        <v> </v>
      </c>
      <c r="G5469" s="24" t="str">
        <f>IF(OR(E5469="",E5469="!!!"),"",IF(OR(J5469=0,AND(J5469=1,K5469=1),AND(J5469=1,I5469="SBJ"),AND(J5469=1,I5469=0)),"?IN_FOCUS",IF(J5469&lt;=2,"?ACTIVATED",IF(J5469&lt;&gt;"","?FAMILIAR",IF(F5469="NEW",IF(ISNA(VLOOKUP(E5469,#REF!,1,FALSE())),"?TYPE_IDENTIFIABLE","?REFERENTIAL"),"_")))))</f>
        <v> </v>
      </c>
      <c r="H5469" s="25" t="str">
        <f>IF(J5469&lt;&gt;1,"",IF(I5469="SBJ","CB","?"))</f>
        <v> </v>
      </c>
      <c r="I5469" s="26" t="str">
        <f>IF(OR(E5469="",E5469="!!!",F5469="NEW"),"",INDEX(B5468:B$2,-1+SUMPRODUCT(MAX(ROW(E5468:E$2)*(E5469=E5468:E$2)))))</f>
        <v> </v>
      </c>
      <c r="J5469" s="26" t="str">
        <f>IF(OR(E5469="",E5469="!!!",F5469="NEW"),"",COUNTBLANK(OFFSET(A$1,,,SUMPRODUCT(MAX(ROW(E$2:E5469)*(E5469=E$2:E5469)))))-COUNTBLANK(OFFSET(A$1,,,SUMPRODUCT(MAX(ROW(E$1:E5468)*(E2=E$1:E5468))))))</f>
        <v> </v>
      </c>
      <c r="K5469" s="26" t="str">
        <f>IF(OR(E5469="",E5469="!!!",F5469="NEW"),"",INDEX(J$1:J5468,SUMPRODUCT(MAX(ROW(E$1:E5468)*(E5469=E$1:E5468)))))</f>
        <v> </v>
      </c>
      <c r="L5469" s="27"/>
    </row>
    <row r="5470" spans="1:12">
      <c r="A5470" s="20" t="s">
        <v>1045</v>
      </c>
      <c r="E5470" s="22">
        <f>IF(D5470="?OLD","!!!","")</f>
        <v/>
      </c>
      <c r="F5470" s="23" t="str">
        <f>IF(OR(E5470="",E5470="!!!"),"",IF(NOT(ISNA(VLOOKUP(E5470,E$1:E5469,1,FALSE()))),"OLD",IF(AND(E5470&lt;&gt;"",E5470&lt;&gt;"!!!"),"NEW","")))</f>
        <v> </v>
      </c>
      <c r="G5470" s="24" t="str">
        <f>IF(OR(E5470="",E5470="!!!"),"",IF(OR(J5470=0,AND(J5470=1,K5470=1),AND(J5470=1,I5470="SBJ"),AND(J5470=1,I5470=0)),"?IN_FOCUS",IF(J5470&lt;=2,"?ACTIVATED",IF(J5470&lt;&gt;"","?FAMILIAR",IF(F5470="NEW",IF(ISNA(VLOOKUP(E5470,#REF!,1,FALSE())),"?TYPE_IDENTIFIABLE","?REFERENTIAL"),"_")))))</f>
        <v> </v>
      </c>
      <c r="H5470" s="25" t="str">
        <f>IF(J5470&lt;&gt;1,"",IF(I5470="SBJ","CB","?"))</f>
        <v> </v>
      </c>
      <c r="I5470" s="26" t="str">
        <f>IF(OR(E5470="",E5470="!!!",F5470="NEW"),"",INDEX(B5469:B$2,-1+SUMPRODUCT(MAX(ROW(E5469:E$2)*(E5470=E5469:E$2)))))</f>
        <v> </v>
      </c>
      <c r="J5470" s="26" t="str">
        <f>IF(OR(E5470="",E5470="!!!",F5470="NEW"),"",COUNTBLANK(OFFSET(A$1,,,SUMPRODUCT(MAX(ROW(E$2:E5470)*(E5470=E$2:E5470)))))-COUNTBLANK(OFFSET(A$1,,,SUMPRODUCT(MAX(ROW(E$1:E5469)*(E2=E$1:E5469))))))</f>
        <v> </v>
      </c>
      <c r="K5470" s="26" t="str">
        <f>IF(OR(E5470="",E5470="!!!",F5470="NEW"),"",INDEX(J$1:J5469,SUMPRODUCT(MAX(ROW(E$1:E5469)*(E5470=E$1:E5469)))))</f>
        <v> </v>
      </c>
      <c r="L5470" s="27"/>
    </row>
    <row r="5471" spans="1:12">
      <c r="A5471" s="20" t="s">
        <v>1025</v>
      </c>
      <c r="B5471" s="21" t="s">
        <v>1009</v>
      </c>
      <c r="C5471" s="21" t="s">
        <v>1026</v>
      </c>
      <c r="D5471" s="21" t="s">
        <v>1011</v>
      </c>
      <c r="E5471" s="22">
        <f>IF(D5471="?OLD","!!!","")</f>
        <v/>
      </c>
      <c r="F5471" s="23" t="str">
        <f>IF(OR(E5471="",E5471="!!!"),"",IF(NOT(ISNA(VLOOKUP(E5471,E$1:E5470,1,FALSE()))),"OLD",IF(AND(E5471&lt;&gt;"",E5471&lt;&gt;"!!!"),"NEW","")))</f>
        <v> </v>
      </c>
      <c r="G5471" s="24" t="str">
        <f>IF(OR(E5471="",E5471="!!!"),"",IF(OR(J5471=0,AND(J5471=1,K5471=1),AND(J5471=1,I5471="SBJ"),AND(J5471=1,I5471=0)),"?IN_FOCUS",IF(J5471&lt;=2,"?ACTIVATED",IF(J5471&lt;&gt;"","?FAMILIAR",IF(F5471="NEW",IF(ISNA(VLOOKUP(E5471,#REF!,1,FALSE())),"?TYPE_IDENTIFIABLE","?REFERENTIAL"),"_")))))</f>
        <v> </v>
      </c>
      <c r="H5471" s="25" t="str">
        <f>IF(J5471&lt;&gt;1,"",IF(I5471="SBJ","CB","?"))</f>
        <v> </v>
      </c>
      <c r="I5471" s="26" t="str">
        <f>IF(OR(E5471="",E5471="!!!",F5471="NEW"),"",INDEX(B5470:B$2,-1+SUMPRODUCT(MAX(ROW(E5470:E$2)*(E5471=E5470:E$2)))))</f>
        <v> </v>
      </c>
      <c r="J5471" s="26" t="str">
        <f>IF(OR(E5471="",E5471="!!!",F5471="NEW"),"",COUNTBLANK(OFFSET(A$1,,,SUMPRODUCT(MAX(ROW(E$2:E5471)*(E5471=E$2:E5471)))))-COUNTBLANK(OFFSET(A$1,,,SUMPRODUCT(MAX(ROW(E$1:E5470)*(E2=E$1:E5470))))))</f>
        <v> </v>
      </c>
      <c r="K5471" s="26" t="str">
        <f>IF(OR(E5471="",E5471="!!!",F5471="NEW"),"",INDEX(J$1:J5470,SUMPRODUCT(MAX(ROW(E$1:E5470)*(E5471=E$1:E5470)))))</f>
        <v> </v>
      </c>
      <c r="L5471" s="27"/>
    </row>
    <row r="5472" spans="1:12">
      <c r="A5472" s="20" t="s">
        <v>1032</v>
      </c>
      <c r="E5472" s="22">
        <f>IF(D5472="?OLD","!!!","")</f>
        <v/>
      </c>
      <c r="F5472" s="23" t="str">
        <f>IF(OR(E5472="",E5472="!!!"),"",IF(NOT(ISNA(VLOOKUP(E5472,E$1:E5471,1,FALSE()))),"OLD",IF(AND(E5472&lt;&gt;"",E5472&lt;&gt;"!!!"),"NEW","")))</f>
        <v> </v>
      </c>
      <c r="G5472" s="24" t="str">
        <f>IF(OR(E5472="",E5472="!!!"),"",IF(OR(J5472=0,AND(J5472=1,K5472=1),AND(J5472=1,I5472="SBJ"),AND(J5472=1,I5472=0)),"?IN_FOCUS",IF(J5472&lt;=2,"?ACTIVATED",IF(J5472&lt;&gt;"","?FAMILIAR",IF(F5472="NEW",IF(ISNA(VLOOKUP(E5472,#REF!,1,FALSE())),"?TYPE_IDENTIFIABLE","?REFERENTIAL"),"_")))))</f>
        <v> </v>
      </c>
      <c r="H5472" s="25" t="str">
        <f>IF(J5472&lt;&gt;1,"",IF(I5472="SBJ","CB","?"))</f>
        <v> </v>
      </c>
      <c r="I5472" s="26" t="str">
        <f>IF(OR(E5472="",E5472="!!!",F5472="NEW"),"",INDEX(B5471:B$2,-1+SUMPRODUCT(MAX(ROW(E5471:E$2)*(E5472=E5471:E$2)))))</f>
        <v> </v>
      </c>
      <c r="J5472" s="26" t="str">
        <f>IF(OR(E5472="",E5472="!!!",F5472="NEW"),"",COUNTBLANK(OFFSET(A$1,,,SUMPRODUCT(MAX(ROW(E$2:E5472)*(E5472=E$2:E5472)))))-COUNTBLANK(OFFSET(A$1,,,SUMPRODUCT(MAX(ROW(E$1:E5471)*(E2=E$1:E5471))))))</f>
        <v> </v>
      </c>
      <c r="K5472" s="26" t="str">
        <f>IF(OR(E5472="",E5472="!!!",F5472="NEW"),"",INDEX(J$1:J5471,SUMPRODUCT(MAX(ROW(E$1:E5471)*(E5472=E$1:E5471)))))</f>
        <v> </v>
      </c>
      <c r="L5472" s="27"/>
    </row>
    <row r="5473" spans="1:12">
      <c r="A5473" s="20" t="s">
        <v>1136</v>
      </c>
      <c r="E5473" s="22">
        <f>IF(D5473="?OLD","!!!","")</f>
        <v/>
      </c>
      <c r="F5473" s="23" t="str">
        <f>IF(OR(E5473="",E5473="!!!"),"",IF(NOT(ISNA(VLOOKUP(E5473,E$1:E5472,1,FALSE()))),"OLD",IF(AND(E5473&lt;&gt;"",E5473&lt;&gt;"!!!"),"NEW","")))</f>
        <v> </v>
      </c>
      <c r="G5473" s="24" t="str">
        <f>IF(OR(E5473="",E5473="!!!"),"",IF(OR(J5473=0,AND(J5473=1,K5473=1),AND(J5473=1,I5473="SBJ"),AND(J5473=1,I5473=0)),"?IN_FOCUS",IF(J5473&lt;=2,"?ACTIVATED",IF(J5473&lt;&gt;"","?FAMILIAR",IF(F5473="NEW",IF(ISNA(VLOOKUP(E5473,#REF!,1,FALSE())),"?TYPE_IDENTIFIABLE","?REFERENTIAL"),"_")))))</f>
        <v> </v>
      </c>
      <c r="H5473" s="25" t="str">
        <f>IF(J5473&lt;&gt;1,"",IF(I5473="SBJ","CB","?"))</f>
        <v> </v>
      </c>
      <c r="I5473" s="26" t="str">
        <f>IF(OR(E5473="",E5473="!!!",F5473="NEW"),"",INDEX(B5472:B$2,-1+SUMPRODUCT(MAX(ROW(E5472:E$2)*(E5473=E5472:E$2)))))</f>
        <v> </v>
      </c>
      <c r="J5473" s="26" t="str">
        <f>IF(OR(E5473="",E5473="!!!",F5473="NEW"),"",COUNTBLANK(OFFSET(A$1,,,SUMPRODUCT(MAX(ROW(E$2:E5473)*(E5473=E$2:E5473)))))-COUNTBLANK(OFFSET(A$1,,,SUMPRODUCT(MAX(ROW(E$1:E5472)*(E2=E$1:E5472))))))</f>
        <v> </v>
      </c>
      <c r="K5473" s="26" t="str">
        <f>IF(OR(E5473="",E5473="!!!",F5473="NEW"),"",INDEX(J$1:J5472,SUMPRODUCT(MAX(ROW(E$1:E5472)*(E5473=E$1:E5472)))))</f>
        <v> </v>
      </c>
      <c r="L5473" s="27"/>
    </row>
    <row r="5474" spans="1:12">
      <c r="A5474" s="20" t="s">
        <v>1137</v>
      </c>
      <c r="B5474" s="21" t="s">
        <v>1039</v>
      </c>
      <c r="C5474" s="21" t="s">
        <v>1010</v>
      </c>
      <c r="D5474" s="21" t="s">
        <v>1011</v>
      </c>
      <c r="E5474" s="22">
        <f>IF(D5474="?OLD","!!!","")</f>
        <v/>
      </c>
      <c r="F5474" s="23" t="str">
        <f>IF(OR(E5474="",E5474="!!!"),"",IF(NOT(ISNA(VLOOKUP(E5474,E$1:E5473,1,FALSE()))),"OLD",IF(AND(E5474&lt;&gt;"",E5474&lt;&gt;"!!!"),"NEW","")))</f>
        <v> </v>
      </c>
      <c r="G5474" s="24" t="str">
        <f>IF(OR(E5474="",E5474="!!!"),"",IF(OR(J5474=0,AND(J5474=1,K5474=1),AND(J5474=1,I5474="SBJ"),AND(J5474=1,I5474=0)),"?IN_FOCUS",IF(J5474&lt;=2,"?ACTIVATED",IF(J5474&lt;&gt;"","?FAMILIAR",IF(F5474="NEW",IF(ISNA(VLOOKUP(E5474,#REF!,1,FALSE())),"?TYPE_IDENTIFIABLE","?REFERENTIAL"),"_")))))</f>
        <v> </v>
      </c>
      <c r="H5474" s="25" t="str">
        <f>IF(J5474&lt;&gt;1,"",IF(I5474="SBJ","CB","?"))</f>
        <v> </v>
      </c>
      <c r="I5474" s="26" t="str">
        <f>IF(OR(E5474="",E5474="!!!",F5474="NEW"),"",INDEX(B5473:B$2,-1+SUMPRODUCT(MAX(ROW(E5473:E$2)*(E5474=E5473:E$2)))))</f>
        <v> </v>
      </c>
      <c r="J5474" s="26" t="str">
        <f>IF(OR(E5474="",E5474="!!!",F5474="NEW"),"",COUNTBLANK(OFFSET(A$1,,,SUMPRODUCT(MAX(ROW(E$2:E5474)*(E5474=E$2:E5474)))))-COUNTBLANK(OFFSET(A$1,,,SUMPRODUCT(MAX(ROW(E$1:E5473)*(E2=E$1:E5473))))))</f>
        <v> </v>
      </c>
      <c r="K5474" s="26" t="str">
        <f>IF(OR(E5474="",E5474="!!!",F5474="NEW"),"",INDEX(J$1:J5473,SUMPRODUCT(MAX(ROW(E$1:E5473)*(E5474=E$1:E5473)))))</f>
        <v> </v>
      </c>
      <c r="L5474" s="27"/>
    </row>
    <row r="5475" spans="1:12">
      <c r="A5475" s="20" t="s">
        <v>1179</v>
      </c>
      <c r="E5475" s="22">
        <f>IF(D5475="?OLD","!!!","")</f>
        <v/>
      </c>
      <c r="F5475" s="23" t="str">
        <f>IF(OR(E5475="",E5475="!!!"),"",IF(NOT(ISNA(VLOOKUP(E5475,E$1:E5474,1,FALSE()))),"OLD",IF(AND(E5475&lt;&gt;"",E5475&lt;&gt;"!!!"),"NEW","")))</f>
        <v> </v>
      </c>
      <c r="G5475" s="24" t="str">
        <f>IF(OR(E5475="",E5475="!!!"),"",IF(OR(J5475=0,AND(J5475=1,K5475=1),AND(J5475=1,I5475="SBJ"),AND(J5475=1,I5475=0)),"?IN_FOCUS",IF(J5475&lt;=2,"?ACTIVATED",IF(J5475&lt;&gt;"","?FAMILIAR",IF(F5475="NEW",IF(ISNA(VLOOKUP(E5475,#REF!,1,FALSE())),"?TYPE_IDENTIFIABLE","?REFERENTIAL"),"_")))))</f>
        <v> </v>
      </c>
      <c r="H5475" s="25" t="str">
        <f>IF(J5475&lt;&gt;1,"",IF(I5475="SBJ","CB","?"))</f>
        <v> </v>
      </c>
      <c r="I5475" s="26" t="str">
        <f>IF(OR(E5475="",E5475="!!!",F5475="NEW"),"",INDEX(B5474:B$2,-1+SUMPRODUCT(MAX(ROW(E5474:E$2)*(E5475=E5474:E$2)))))</f>
        <v> </v>
      </c>
      <c r="J5475" s="26" t="str">
        <f>IF(OR(E5475="",E5475="!!!",F5475="NEW"),"",COUNTBLANK(OFFSET(A$1,,,SUMPRODUCT(MAX(ROW(E$2:E5475)*(E5475=E$2:E5475)))))-COUNTBLANK(OFFSET(A$1,,,SUMPRODUCT(MAX(ROW(E$1:E5474)*(E2=E$1:E5474))))))</f>
        <v> </v>
      </c>
      <c r="K5475" s="26" t="str">
        <f>IF(OR(E5475="",E5475="!!!",F5475="NEW"),"",INDEX(J$1:J5474,SUMPRODUCT(MAX(ROW(E$1:E5474)*(E5475=E$1:E5474)))))</f>
        <v> </v>
      </c>
      <c r="L5475" s="27"/>
    </row>
    <row r="5476" spans="1:12">
      <c r="A5476" s="20" t="s">
        <v>338</v>
      </c>
      <c r="E5476" s="22">
        <f>IF(D5476="?OLD","!!!","")</f>
        <v/>
      </c>
      <c r="F5476" s="23" t="str">
        <f>IF(OR(E5476="",E5476="!!!"),"",IF(NOT(ISNA(VLOOKUP(E5476,E$1:E5475,1,FALSE()))),"OLD",IF(AND(E5476&lt;&gt;"",E5476&lt;&gt;"!!!"),"NEW","")))</f>
        <v> </v>
      </c>
      <c r="G5476" s="24" t="str">
        <f>IF(OR(E5476="",E5476="!!!"),"",IF(OR(J5476=0,AND(J5476=1,K5476=1),AND(J5476=1,I5476="SBJ"),AND(J5476=1,I5476=0)),"?IN_FOCUS",IF(J5476&lt;=2,"?ACTIVATED",IF(J5476&lt;&gt;"","?FAMILIAR",IF(F5476="NEW",IF(ISNA(VLOOKUP(E5476,#REF!,1,FALSE())),"?TYPE_IDENTIFIABLE","?REFERENTIAL"),"_")))))</f>
        <v> </v>
      </c>
      <c r="H5476" s="25" t="str">
        <f>IF(J5476&lt;&gt;1,"",IF(I5476="SBJ","CB","?"))</f>
        <v> </v>
      </c>
      <c r="I5476" s="26" t="str">
        <f>IF(OR(E5476="",E5476="!!!",F5476="NEW"),"",INDEX(B5475:B$2,-1+SUMPRODUCT(MAX(ROW(E5475:E$2)*(E5476=E5475:E$2)))))</f>
        <v> </v>
      </c>
      <c r="J5476" s="26" t="str">
        <f>IF(OR(E5476="",E5476="!!!",F5476="NEW"),"",COUNTBLANK(OFFSET(A$1,,,SUMPRODUCT(MAX(ROW(E$2:E5476)*(E5476=E$2:E5476)))))-COUNTBLANK(OFFSET(A$1,,,SUMPRODUCT(MAX(ROW(E$1:E5475)*(E2=E$1:E5475))))))</f>
        <v> </v>
      </c>
      <c r="K5476" s="26" t="str">
        <f>IF(OR(E5476="",E5476="!!!",F5476="NEW"),"",INDEX(J$1:J5475,SUMPRODUCT(MAX(ROW(E$1:E5475)*(E5476=E$1:E5475)))))</f>
        <v> </v>
      </c>
      <c r="L5476" s="27"/>
    </row>
    <row r="5477" spans="1:12">
      <c r="A5477" s="20" t="s">
        <v>1121</v>
      </c>
      <c r="B5477" s="21" t="s">
        <v>1088</v>
      </c>
      <c r="C5477" s="21" t="s">
        <v>1010</v>
      </c>
      <c r="D5477" s="21" t="s">
        <v>1011</v>
      </c>
      <c r="E5477" s="22">
        <f>IF(D5477="?OLD","!!!","")</f>
        <v/>
      </c>
      <c r="F5477" s="23" t="str">
        <f>IF(OR(E5477="",E5477="!!!"),"",IF(NOT(ISNA(VLOOKUP(E5477,E$1:E5476,1,FALSE()))),"OLD",IF(AND(E5477&lt;&gt;"",E5477&lt;&gt;"!!!"),"NEW","")))</f>
        <v> </v>
      </c>
      <c r="G5477" s="24" t="str">
        <f>IF(OR(E5477="",E5477="!!!"),"",IF(OR(J5477=0,AND(J5477=1,K5477=1),AND(J5477=1,I5477="SBJ"),AND(J5477=1,I5477=0)),"?IN_FOCUS",IF(J5477&lt;=2,"?ACTIVATED",IF(J5477&lt;&gt;"","?FAMILIAR",IF(F5477="NEW",IF(ISNA(VLOOKUP(E5477,#REF!,1,FALSE())),"?TYPE_IDENTIFIABLE","?REFERENTIAL"),"_")))))</f>
        <v> </v>
      </c>
      <c r="H5477" s="25" t="str">
        <f>IF(J5477&lt;&gt;1,"",IF(I5477="SBJ","CB","?"))</f>
        <v> </v>
      </c>
      <c r="I5477" s="26" t="str">
        <f>IF(OR(E5477="",E5477="!!!",F5477="NEW"),"",INDEX(B5476:B$2,-1+SUMPRODUCT(MAX(ROW(E5476:E$2)*(E5477=E5476:E$2)))))</f>
        <v> </v>
      </c>
      <c r="J5477" s="26" t="str">
        <f>IF(OR(E5477="",E5477="!!!",F5477="NEW"),"",COUNTBLANK(OFFSET(A$1,,,SUMPRODUCT(MAX(ROW(E$2:E5477)*(E5477=E$2:E5477)))))-COUNTBLANK(OFFSET(A$1,,,SUMPRODUCT(MAX(ROW(E$1:E5476)*(E2=E$1:E5476))))))</f>
        <v> </v>
      </c>
      <c r="K5477" s="26" t="str">
        <f>IF(OR(E5477="",E5477="!!!",F5477="NEW"),"",INDEX(J$1:J5476,SUMPRODUCT(MAX(ROW(E$1:E5476)*(E5477=E$1:E5476)))))</f>
        <v> </v>
      </c>
      <c r="L5477" s="27"/>
    </row>
    <row r="5478" spans="1:12">
      <c r="A5478" s="20" t="s">
        <v>1315</v>
      </c>
      <c r="E5478" s="22">
        <f>IF(D5478="?OLD","!!!","")</f>
        <v/>
      </c>
      <c r="F5478" s="23" t="str">
        <f>IF(OR(E5478="",E5478="!!!"),"",IF(NOT(ISNA(VLOOKUP(E5478,E$1:E5477,1,FALSE()))),"OLD",IF(AND(E5478&lt;&gt;"",E5478&lt;&gt;"!!!"),"NEW","")))</f>
        <v> </v>
      </c>
      <c r="G5478" s="24" t="str">
        <f>IF(OR(E5478="",E5478="!!!"),"",IF(OR(J5478=0,AND(J5478=1,K5478=1),AND(J5478=1,I5478="SBJ"),AND(J5478=1,I5478=0)),"?IN_FOCUS",IF(J5478&lt;=2,"?ACTIVATED",IF(J5478&lt;&gt;"","?FAMILIAR",IF(F5478="NEW",IF(ISNA(VLOOKUP(E5478,#REF!,1,FALSE())),"?TYPE_IDENTIFIABLE","?REFERENTIAL"),"_")))))</f>
        <v> </v>
      </c>
      <c r="H5478" s="25" t="str">
        <f>IF(J5478&lt;&gt;1,"",IF(I5478="SBJ","CB","?"))</f>
        <v> </v>
      </c>
      <c r="I5478" s="26" t="str">
        <f>IF(OR(E5478="",E5478="!!!",F5478="NEW"),"",INDEX(B5477:B$2,-1+SUMPRODUCT(MAX(ROW(E5477:E$2)*(E5478=E5477:E$2)))))</f>
        <v> </v>
      </c>
      <c r="J5478" s="26" t="str">
        <f>IF(OR(E5478="",E5478="!!!",F5478="NEW"),"",COUNTBLANK(OFFSET(A$1,,,SUMPRODUCT(MAX(ROW(E$2:E5478)*(E5478=E$2:E5478)))))-COUNTBLANK(OFFSET(A$1,,,SUMPRODUCT(MAX(ROW(E$1:E5477)*(E2=E$1:E5477))))))</f>
        <v> </v>
      </c>
      <c r="K5478" s="26" t="str">
        <f>IF(OR(E5478="",E5478="!!!",F5478="NEW"),"",INDEX(J$1:J5477,SUMPRODUCT(MAX(ROW(E$1:E5477)*(E5478=E$1:E5477)))))</f>
        <v> </v>
      </c>
      <c r="L5478" s="27"/>
    </row>
    <row r="5479" spans="1:12">
      <c r="A5479" s="20" t="s">
        <v>1032</v>
      </c>
      <c r="E5479" s="22">
        <f>IF(D5479="?OLD","!!!","")</f>
        <v/>
      </c>
      <c r="F5479" s="23" t="str">
        <f>IF(OR(E5479="",E5479="!!!"),"",IF(NOT(ISNA(VLOOKUP(E5479,E$1:E5478,1,FALSE()))),"OLD",IF(AND(E5479&lt;&gt;"",E5479&lt;&gt;"!!!"),"NEW","")))</f>
        <v> </v>
      </c>
      <c r="G5479" s="24" t="str">
        <f>IF(OR(E5479="",E5479="!!!"),"",IF(OR(J5479=0,AND(J5479=1,K5479=1),AND(J5479=1,I5479="SBJ"),AND(J5479=1,I5479=0)),"?IN_FOCUS",IF(J5479&lt;=2,"?ACTIVATED",IF(J5479&lt;&gt;"","?FAMILIAR",IF(F5479="NEW",IF(ISNA(VLOOKUP(E5479,#REF!,1,FALSE())),"?TYPE_IDENTIFIABLE","?REFERENTIAL"),"_")))))</f>
        <v> </v>
      </c>
      <c r="H5479" s="25" t="str">
        <f>IF(J5479&lt;&gt;1,"",IF(I5479="SBJ","CB","?"))</f>
        <v> </v>
      </c>
      <c r="I5479" s="26" t="str">
        <f>IF(OR(E5479="",E5479="!!!",F5479="NEW"),"",INDEX(B5478:B$2,-1+SUMPRODUCT(MAX(ROW(E5478:E$2)*(E5479=E5478:E$2)))))</f>
        <v> </v>
      </c>
      <c r="J5479" s="26" t="str">
        <f>IF(OR(E5479="",E5479="!!!",F5479="NEW"),"",COUNTBLANK(OFFSET(A$1,,,SUMPRODUCT(MAX(ROW(E$2:E5479)*(E5479=E$2:E5479)))))-COUNTBLANK(OFFSET(A$1,,,SUMPRODUCT(MAX(ROW(E$1:E5478)*(E2=E$1:E5478))))))</f>
        <v> </v>
      </c>
      <c r="K5479" s="26" t="str">
        <f>IF(OR(E5479="",E5479="!!!",F5479="NEW"),"",INDEX(J$1:J5478,SUMPRODUCT(MAX(ROW(E$1:E5478)*(E5479=E$1:E5478)))))</f>
        <v> </v>
      </c>
      <c r="L5479" s="27"/>
    </row>
    <row r="5480" spans="1:12">
      <c r="A5480" s="20" t="s">
        <v>1020</v>
      </c>
      <c r="E5480" s="22">
        <f>IF(D5480="?OLD","!!!","")</f>
        <v/>
      </c>
      <c r="F5480" s="23" t="str">
        <f>IF(OR(E5480="",E5480="!!!"),"",IF(NOT(ISNA(VLOOKUP(E5480,E$1:E5479,1,FALSE()))),"OLD",IF(AND(E5480&lt;&gt;"",E5480&lt;&gt;"!!!"),"NEW","")))</f>
        <v> </v>
      </c>
      <c r="G5480" s="24" t="str">
        <f>IF(OR(E5480="",E5480="!!!"),"",IF(OR(J5480=0,AND(J5480=1,K5480=1),AND(J5480=1,I5480="SBJ"),AND(J5480=1,I5480=0)),"?IN_FOCUS",IF(J5480&lt;=2,"?ACTIVATED",IF(J5480&lt;&gt;"","?FAMILIAR",IF(F5480="NEW",IF(ISNA(VLOOKUP(E5480,#REF!,1,FALSE())),"?TYPE_IDENTIFIABLE","?REFERENTIAL"),"_")))))</f>
        <v> </v>
      </c>
      <c r="H5480" s="25" t="str">
        <f>IF(J5480&lt;&gt;1,"",IF(I5480="SBJ","CB","?"))</f>
        <v> </v>
      </c>
      <c r="I5480" s="26" t="str">
        <f>IF(OR(E5480="",E5480="!!!",F5480="NEW"),"",INDEX(B5479:B$2,-1+SUMPRODUCT(MAX(ROW(E5479:E$2)*(E5480=E5479:E$2)))))</f>
        <v> </v>
      </c>
      <c r="J5480" s="26" t="str">
        <f>IF(OR(E5480="",E5480="!!!",F5480="NEW"),"",COUNTBLANK(OFFSET(A$1,,,SUMPRODUCT(MAX(ROW(E$2:E5480)*(E5480=E$2:E5480)))))-COUNTBLANK(OFFSET(A$1,,,SUMPRODUCT(MAX(ROW(E$1:E5479)*(E2=E$1:E5479))))))</f>
        <v> </v>
      </c>
      <c r="K5480" s="26" t="str">
        <f>IF(OR(E5480="",E5480="!!!",F5480="NEW"),"",INDEX(J$1:J5479,SUMPRODUCT(MAX(ROW(E$1:E5479)*(E5480=E$1:E5479)))))</f>
        <v> </v>
      </c>
      <c r="L5480" s="27"/>
    </row>
    <row r="5481" spans="1:12">
      <c r="A5481" s="20" t="s">
        <v>819</v>
      </c>
      <c r="E5481" s="22">
        <f>IF(D5481="?OLD","!!!","")</f>
        <v/>
      </c>
      <c r="F5481" s="23" t="str">
        <f>IF(OR(E5481="",E5481="!!!"),"",IF(NOT(ISNA(VLOOKUP(E5481,E$1:E5480,1,FALSE()))),"OLD",IF(AND(E5481&lt;&gt;"",E5481&lt;&gt;"!!!"),"NEW","")))</f>
        <v> </v>
      </c>
      <c r="G5481" s="24" t="str">
        <f>IF(OR(E5481="",E5481="!!!"),"",IF(OR(J5481=0,AND(J5481=1,K5481=1),AND(J5481=1,I5481="SBJ"),AND(J5481=1,I5481=0)),"?IN_FOCUS",IF(J5481&lt;=2,"?ACTIVATED",IF(J5481&lt;&gt;"","?FAMILIAR",IF(F5481="NEW",IF(ISNA(VLOOKUP(E5481,#REF!,1,FALSE())),"?TYPE_IDENTIFIABLE","?REFERENTIAL"),"_")))))</f>
        <v> </v>
      </c>
      <c r="H5481" s="25" t="str">
        <f>IF(J5481&lt;&gt;1,"",IF(I5481="SBJ","CB","?"))</f>
        <v> </v>
      </c>
      <c r="I5481" s="26" t="str">
        <f>IF(OR(E5481="",E5481="!!!",F5481="NEW"),"",INDEX(B5480:B$2,-1+SUMPRODUCT(MAX(ROW(E5480:E$2)*(E5481=E5480:E$2)))))</f>
        <v> </v>
      </c>
      <c r="J5481" s="26" t="str">
        <f>IF(OR(E5481="",E5481="!!!",F5481="NEW"),"",COUNTBLANK(OFFSET(A$1,,,SUMPRODUCT(MAX(ROW(E$2:E5481)*(E5481=E$2:E5481)))))-COUNTBLANK(OFFSET(A$1,,,SUMPRODUCT(MAX(ROW(E$1:E5480)*(E2=E$1:E5480))))))</f>
        <v> </v>
      </c>
      <c r="K5481" s="26" t="str">
        <f>IF(OR(E5481="",E5481="!!!",F5481="NEW"),"",INDEX(J$1:J5480,SUMPRODUCT(MAX(ROW(E$1:E5480)*(E5481=E$1:E5480)))))</f>
        <v> </v>
      </c>
      <c r="L5481" s="27"/>
    </row>
    <row r="5482" spans="1:12">
      <c r="A5482" s="20" t="s">
        <v>1042</v>
      </c>
      <c r="E5482" s="22">
        <f>IF(D5482="?OLD","!!!","")</f>
        <v/>
      </c>
      <c r="F5482" s="23" t="str">
        <f>IF(OR(E5482="",E5482="!!!"),"",IF(NOT(ISNA(VLOOKUP(E5482,E$1:E5481,1,FALSE()))),"OLD",IF(AND(E5482&lt;&gt;"",E5482&lt;&gt;"!!!"),"NEW","")))</f>
        <v> </v>
      </c>
      <c r="G5482" s="24" t="str">
        <f>IF(OR(E5482="",E5482="!!!"),"",IF(OR(J5482=0,AND(J5482=1,K5482=1),AND(J5482=1,I5482="SBJ"),AND(J5482=1,I5482=0)),"?IN_FOCUS",IF(J5482&lt;=2,"?ACTIVATED",IF(J5482&lt;&gt;"","?FAMILIAR",IF(F5482="NEW",IF(ISNA(VLOOKUP(E5482,#REF!,1,FALSE())),"?TYPE_IDENTIFIABLE","?REFERENTIAL"),"_")))))</f>
        <v> </v>
      </c>
      <c r="H5482" s="25" t="str">
        <f>IF(J5482&lt;&gt;1,"",IF(I5482="SBJ","CB","?"))</f>
        <v> </v>
      </c>
      <c r="I5482" s="26" t="str">
        <f>IF(OR(E5482="",E5482="!!!",F5482="NEW"),"",INDEX(B5481:B$2,-1+SUMPRODUCT(MAX(ROW(E5481:E$2)*(E5482=E5481:E$2)))))</f>
        <v> </v>
      </c>
      <c r="J5482" s="26" t="str">
        <f>IF(OR(E5482="",E5482="!!!",F5482="NEW"),"",COUNTBLANK(OFFSET(A$1,,,SUMPRODUCT(MAX(ROW(E$2:E5482)*(E5482=E$2:E5482)))))-COUNTBLANK(OFFSET(A$1,,,SUMPRODUCT(MAX(ROW(E$1:E5481)*(E2=E$1:E5481))))))</f>
        <v> </v>
      </c>
      <c r="K5482" s="26" t="str">
        <f>IF(OR(E5482="",E5482="!!!",F5482="NEW"),"",INDEX(J$1:J5481,SUMPRODUCT(MAX(ROW(E$1:E5481)*(E5482=E$1:E5481)))))</f>
        <v> </v>
      </c>
      <c r="L5482" s="27"/>
    </row>
    <row r="5483" spans="1:12">
      <c r="A5483" s="20" t="s">
        <v>1197</v>
      </c>
      <c r="E5483" s="22">
        <f>IF(D5483="?OLD","!!!","")</f>
        <v/>
      </c>
      <c r="F5483" s="23" t="str">
        <f>IF(OR(E5483="",E5483="!!!"),"",IF(NOT(ISNA(VLOOKUP(E5483,E$1:E5482,1,FALSE()))),"OLD",IF(AND(E5483&lt;&gt;"",E5483&lt;&gt;"!!!"),"NEW","")))</f>
        <v> </v>
      </c>
      <c r="G5483" s="24" t="str">
        <f>IF(OR(E5483="",E5483="!!!"),"",IF(OR(J5483=0,AND(J5483=1,K5483=1),AND(J5483=1,I5483="SBJ"),AND(J5483=1,I5483=0)),"?IN_FOCUS",IF(J5483&lt;=2,"?ACTIVATED",IF(J5483&lt;&gt;"","?FAMILIAR",IF(F5483="NEW",IF(ISNA(VLOOKUP(E5483,#REF!,1,FALSE())),"?TYPE_IDENTIFIABLE","?REFERENTIAL"),"_")))))</f>
        <v> </v>
      </c>
      <c r="H5483" s="25" t="str">
        <f>IF(J5483&lt;&gt;1,"",IF(I5483="SBJ","CB","?"))</f>
        <v> </v>
      </c>
      <c r="I5483" s="26" t="str">
        <f>IF(OR(E5483="",E5483="!!!",F5483="NEW"),"",INDEX(B5482:B$2,-1+SUMPRODUCT(MAX(ROW(E5482:E$2)*(E5483=E5482:E$2)))))</f>
        <v> </v>
      </c>
      <c r="J5483" s="26" t="str">
        <f>IF(OR(E5483="",E5483="!!!",F5483="NEW"),"",COUNTBLANK(OFFSET(A$1,,,SUMPRODUCT(MAX(ROW(E$2:E5483)*(E5483=E$2:E5483)))))-COUNTBLANK(OFFSET(A$1,,,SUMPRODUCT(MAX(ROW(E$1:E5482)*(E2=E$1:E5482))))))</f>
        <v> </v>
      </c>
      <c r="K5483" s="26" t="str">
        <f>IF(OR(E5483="",E5483="!!!",F5483="NEW"),"",INDEX(J$1:J5482,SUMPRODUCT(MAX(ROW(E$1:E5482)*(E5483=E$1:E5482)))))</f>
        <v> </v>
      </c>
      <c r="L5483" s="27"/>
    </row>
    <row r="5484" spans="1:12">
      <c r="A5484" s="20" t="s">
        <v>2228</v>
      </c>
      <c r="B5484" s="21" t="s">
        <v>1142</v>
      </c>
      <c r="C5484" s="21" t="s">
        <v>1044</v>
      </c>
      <c r="D5484" s="21" t="s">
        <v>1011</v>
      </c>
      <c r="E5484" s="22">
        <f>IF(D5484="?OLD","!!!","")</f>
        <v/>
      </c>
      <c r="F5484" s="23" t="str">
        <f>IF(OR(E5484="",E5484="!!!"),"",IF(NOT(ISNA(VLOOKUP(E5484,E$1:E5483,1,FALSE()))),"OLD",IF(AND(E5484&lt;&gt;"",E5484&lt;&gt;"!!!"),"NEW","")))</f>
        <v> </v>
      </c>
      <c r="G5484" s="24" t="str">
        <f>IF(OR(E5484="",E5484="!!!"),"",IF(OR(J5484=0,AND(J5484=1,K5484=1),AND(J5484=1,I5484="SBJ"),AND(J5484=1,I5484=0)),"?IN_FOCUS",IF(J5484&lt;=2,"?ACTIVATED",IF(J5484&lt;&gt;"","?FAMILIAR",IF(F5484="NEW",IF(ISNA(VLOOKUP(E5484,#REF!,1,FALSE())),"?TYPE_IDENTIFIABLE","?REFERENTIAL"),"_")))))</f>
        <v> </v>
      </c>
      <c r="H5484" s="25" t="str">
        <f>IF(J5484&lt;&gt;1,"",IF(I5484="SBJ","CB","?"))</f>
        <v> </v>
      </c>
      <c r="I5484" s="26" t="str">
        <f>IF(OR(E5484="",E5484="!!!",F5484="NEW"),"",INDEX(B5483:B$2,-1+SUMPRODUCT(MAX(ROW(E5483:E$2)*(E5484=E5483:E$2)))))</f>
        <v> </v>
      </c>
      <c r="J5484" s="26" t="str">
        <f>IF(OR(E5484="",E5484="!!!",F5484="NEW"),"",COUNTBLANK(OFFSET(A$1,,,SUMPRODUCT(MAX(ROW(E$2:E5484)*(E5484=E$2:E5484)))))-COUNTBLANK(OFFSET(A$1,,,SUMPRODUCT(MAX(ROW(E$1:E5483)*(E2=E$1:E5483))))))</f>
        <v> </v>
      </c>
      <c r="K5484" s="26" t="str">
        <f>IF(OR(E5484="",E5484="!!!",F5484="NEW"),"",INDEX(J$1:J5483,SUMPRODUCT(MAX(ROW(E$1:E5483)*(E5484=E$1:E5483)))))</f>
        <v> </v>
      </c>
      <c r="L5484" s="27"/>
    </row>
    <row r="5485" spans="1:12">
      <c r="A5485" s="20" t="s">
        <v>1032</v>
      </c>
      <c r="E5485" s="22">
        <f>IF(D5485="?OLD","!!!","")</f>
        <v/>
      </c>
      <c r="F5485" s="23" t="str">
        <f>IF(OR(E5485="",E5485="!!!"),"",IF(NOT(ISNA(VLOOKUP(E5485,E$1:E5484,1,FALSE()))),"OLD",IF(AND(E5485&lt;&gt;"",E5485&lt;&gt;"!!!"),"NEW","")))</f>
        <v> </v>
      </c>
      <c r="G5485" s="24" t="str">
        <f>IF(OR(E5485="",E5485="!!!"),"",IF(OR(J5485=0,AND(J5485=1,K5485=1),AND(J5485=1,I5485="SBJ"),AND(J5485=1,I5485=0)),"?IN_FOCUS",IF(J5485&lt;=2,"?ACTIVATED",IF(J5485&lt;&gt;"","?FAMILIAR",IF(F5485="NEW",IF(ISNA(VLOOKUP(E5485,#REF!,1,FALSE())),"?TYPE_IDENTIFIABLE","?REFERENTIAL"),"_")))))</f>
        <v> </v>
      </c>
      <c r="H5485" s="25" t="str">
        <f>IF(J5485&lt;&gt;1,"",IF(I5485="SBJ","CB","?"))</f>
        <v> </v>
      </c>
      <c r="I5485" s="26" t="str">
        <f>IF(OR(E5485="",E5485="!!!",F5485="NEW"),"",INDEX(B5484:B$2,-1+SUMPRODUCT(MAX(ROW(E5484:E$2)*(E5485=E5484:E$2)))))</f>
        <v> </v>
      </c>
      <c r="J5485" s="26" t="str">
        <f>IF(OR(E5485="",E5485="!!!",F5485="NEW"),"",COUNTBLANK(OFFSET(A$1,,,SUMPRODUCT(MAX(ROW(E$2:E5485)*(E5485=E$2:E5485)))))-COUNTBLANK(OFFSET(A$1,,,SUMPRODUCT(MAX(ROW(E$1:E5484)*(E2=E$1:E5484))))))</f>
        <v> </v>
      </c>
      <c r="K5485" s="26" t="str">
        <f>IF(OR(E5485="",E5485="!!!",F5485="NEW"),"",INDEX(J$1:J5484,SUMPRODUCT(MAX(ROW(E$1:E5484)*(E5485=E$1:E5484)))))</f>
        <v> </v>
      </c>
      <c r="L5485" s="27"/>
    </row>
    <row r="5486" spans="1:12">
      <c r="A5486" s="20" t="s">
        <v>1631</v>
      </c>
      <c r="E5486" s="22">
        <f>IF(D5486="?OLD","!!!","")</f>
        <v/>
      </c>
      <c r="F5486" s="23" t="str">
        <f>IF(OR(E5486="",E5486="!!!"),"",IF(NOT(ISNA(VLOOKUP(E5486,E$1:E5485,1,FALSE()))),"OLD",IF(AND(E5486&lt;&gt;"",E5486&lt;&gt;"!!!"),"NEW","")))</f>
        <v> </v>
      </c>
      <c r="G5486" s="24" t="str">
        <f>IF(OR(E5486="",E5486="!!!"),"",IF(OR(J5486=0,AND(J5486=1,K5486=1),AND(J5486=1,I5486="SBJ"),AND(J5486=1,I5486=0)),"?IN_FOCUS",IF(J5486&lt;=2,"?ACTIVATED",IF(J5486&lt;&gt;"","?FAMILIAR",IF(F5486="NEW",IF(ISNA(VLOOKUP(E5486,#REF!,1,FALSE())),"?TYPE_IDENTIFIABLE","?REFERENTIAL"),"_")))))</f>
        <v> </v>
      </c>
      <c r="H5486" s="25" t="str">
        <f>IF(J5486&lt;&gt;1,"",IF(I5486="SBJ","CB","?"))</f>
        <v> </v>
      </c>
      <c r="I5486" s="26" t="str">
        <f>IF(OR(E5486="",E5486="!!!",F5486="NEW"),"",INDEX(B5485:B$2,-1+SUMPRODUCT(MAX(ROW(E5485:E$2)*(E5486=E5485:E$2)))))</f>
        <v> </v>
      </c>
      <c r="J5486" s="26" t="str">
        <f>IF(OR(E5486="",E5486="!!!",F5486="NEW"),"",COUNTBLANK(OFFSET(A$1,,,SUMPRODUCT(MAX(ROW(E$2:E5486)*(E5486=E$2:E5486)))))-COUNTBLANK(OFFSET(A$1,,,SUMPRODUCT(MAX(ROW(E$1:E5485)*(E2=E$1:E5485))))))</f>
        <v> </v>
      </c>
      <c r="K5486" s="26" t="str">
        <f>IF(OR(E5486="",E5486="!!!",F5486="NEW"),"",INDEX(J$1:J5485,SUMPRODUCT(MAX(ROW(E$1:E5485)*(E5486=E$1:E5485)))))</f>
        <v> </v>
      </c>
      <c r="L5486" s="27"/>
    </row>
    <row r="5487" spans="1:12">
      <c r="A5487" s="20" t="s">
        <v>1042</v>
      </c>
      <c r="E5487" s="22">
        <f>IF(D5487="?OLD","!!!","")</f>
        <v/>
      </c>
      <c r="F5487" s="23" t="str">
        <f>IF(OR(E5487="",E5487="!!!"),"",IF(NOT(ISNA(VLOOKUP(E5487,E$1:E5486,1,FALSE()))),"OLD",IF(AND(E5487&lt;&gt;"",E5487&lt;&gt;"!!!"),"NEW","")))</f>
        <v> </v>
      </c>
      <c r="G5487" s="24" t="str">
        <f>IF(OR(E5487="",E5487="!!!"),"",IF(OR(J5487=0,AND(J5487=1,K5487=1),AND(J5487=1,I5487="SBJ"),AND(J5487=1,I5487=0)),"?IN_FOCUS",IF(J5487&lt;=2,"?ACTIVATED",IF(J5487&lt;&gt;"","?FAMILIAR",IF(F5487="NEW",IF(ISNA(VLOOKUP(E5487,#REF!,1,FALSE())),"?TYPE_IDENTIFIABLE","?REFERENTIAL"),"_")))))</f>
        <v> </v>
      </c>
      <c r="H5487" s="25" t="str">
        <f>IF(J5487&lt;&gt;1,"",IF(I5487="SBJ","CB","?"))</f>
        <v> </v>
      </c>
      <c r="I5487" s="26" t="str">
        <f>IF(OR(E5487="",E5487="!!!",F5487="NEW"),"",INDEX(B5486:B$2,-1+SUMPRODUCT(MAX(ROW(E5486:E$2)*(E5487=E5486:E$2)))))</f>
        <v> </v>
      </c>
      <c r="J5487" s="26" t="str">
        <f>IF(OR(E5487="",E5487="!!!",F5487="NEW"),"",COUNTBLANK(OFFSET(A$1,,,SUMPRODUCT(MAX(ROW(E$2:E5487)*(E5487=E$2:E5487)))))-COUNTBLANK(OFFSET(A$1,,,SUMPRODUCT(MAX(ROW(E$1:E5486)*(E2=E$1:E5486))))))</f>
        <v> </v>
      </c>
      <c r="K5487" s="26" t="str">
        <f>IF(OR(E5487="",E5487="!!!",F5487="NEW"),"",INDEX(J$1:J5486,SUMPRODUCT(MAX(ROW(E$1:E5486)*(E5487=E$1:E5486)))))</f>
        <v> </v>
      </c>
      <c r="L5487" s="27"/>
    </row>
    <row r="5488" spans="1:12">
      <c r="A5488" s="20" t="s">
        <v>2191</v>
      </c>
      <c r="B5488" s="21" t="s">
        <v>1009</v>
      </c>
      <c r="C5488" s="21" t="s">
        <v>1044</v>
      </c>
      <c r="D5488" s="21" t="s">
        <v>1011</v>
      </c>
      <c r="E5488" s="22">
        <f>IF(D5488="?OLD","!!!","")</f>
        <v/>
      </c>
      <c r="F5488" s="23" t="str">
        <f>IF(OR(E5488="",E5488="!!!"),"",IF(NOT(ISNA(VLOOKUP(E5488,E$1:E5487,1,FALSE()))),"OLD",IF(AND(E5488&lt;&gt;"",E5488&lt;&gt;"!!!"),"NEW","")))</f>
        <v> </v>
      </c>
      <c r="G5488" s="24" t="str">
        <f>IF(OR(E5488="",E5488="!!!"),"",IF(OR(J5488=0,AND(J5488=1,K5488=1),AND(J5488=1,I5488="SBJ"),AND(J5488=1,I5488=0)),"?IN_FOCUS",IF(J5488&lt;=2,"?ACTIVATED",IF(J5488&lt;&gt;"","?FAMILIAR",IF(F5488="NEW",IF(ISNA(VLOOKUP(E5488,#REF!,1,FALSE())),"?TYPE_IDENTIFIABLE","?REFERENTIAL"),"_")))))</f>
        <v> </v>
      </c>
      <c r="H5488" s="25" t="str">
        <f>IF(J5488&lt;&gt;1,"",IF(I5488="SBJ","CB","?"))</f>
        <v> </v>
      </c>
      <c r="I5488" s="26" t="str">
        <f>IF(OR(E5488="",E5488="!!!",F5488="NEW"),"",INDEX(B5487:B$2,-1+SUMPRODUCT(MAX(ROW(E5487:E$2)*(E5488=E5487:E$2)))))</f>
        <v> </v>
      </c>
      <c r="J5488" s="26" t="str">
        <f>IF(OR(E5488="",E5488="!!!",F5488="NEW"),"",COUNTBLANK(OFFSET(A$1,,,SUMPRODUCT(MAX(ROW(E$2:E5488)*(E5488=E$2:E5488)))))-COUNTBLANK(OFFSET(A$1,,,SUMPRODUCT(MAX(ROW(E$1:E5487)*(E2=E$1:E5487))))))</f>
        <v> </v>
      </c>
      <c r="K5488" s="26" t="str">
        <f>IF(OR(E5488="",E5488="!!!",F5488="NEW"),"",INDEX(J$1:J5487,SUMPRODUCT(MAX(ROW(E$1:E5487)*(E5488=E$1:E5487)))))</f>
        <v> </v>
      </c>
      <c r="L5488" s="27"/>
    </row>
    <row r="5489" spans="1:12">
      <c r="A5489" s="20" t="s">
        <v>883</v>
      </c>
      <c r="E5489" s="22">
        <f>IF(D5489="?OLD","!!!","")</f>
        <v/>
      </c>
      <c r="F5489" s="23" t="str">
        <f>IF(OR(E5489="",E5489="!!!"),"",IF(NOT(ISNA(VLOOKUP(E5489,E$1:E5488,1,FALSE()))),"OLD",IF(AND(E5489&lt;&gt;"",E5489&lt;&gt;"!!!"),"NEW","")))</f>
        <v> </v>
      </c>
      <c r="G5489" s="24" t="str">
        <f>IF(OR(E5489="",E5489="!!!"),"",IF(OR(J5489=0,AND(J5489=1,K5489=1),AND(J5489=1,I5489="SBJ"),AND(J5489=1,I5489=0)),"?IN_FOCUS",IF(J5489&lt;=2,"?ACTIVATED",IF(J5489&lt;&gt;"","?FAMILIAR",IF(F5489="NEW",IF(ISNA(VLOOKUP(E5489,#REF!,1,FALSE())),"?TYPE_IDENTIFIABLE","?REFERENTIAL"),"_")))))</f>
        <v> </v>
      </c>
      <c r="H5489" s="25" t="str">
        <f>IF(J5489&lt;&gt;1,"",IF(I5489="SBJ","CB","?"))</f>
        <v> </v>
      </c>
      <c r="I5489" s="26" t="str">
        <f>IF(OR(E5489="",E5489="!!!",F5489="NEW"),"",INDEX(B5488:B$2,-1+SUMPRODUCT(MAX(ROW(E5488:E$2)*(E5489=E5488:E$2)))))</f>
        <v> </v>
      </c>
      <c r="J5489" s="26" t="str">
        <f>IF(OR(E5489="",E5489="!!!",F5489="NEW"),"",COUNTBLANK(OFFSET(A$1,,,SUMPRODUCT(MAX(ROW(E$2:E5489)*(E5489=E$2:E5489)))))-COUNTBLANK(OFFSET(A$1,,,SUMPRODUCT(MAX(ROW(E$1:E5488)*(E2=E$1:E5488))))))</f>
        <v> </v>
      </c>
      <c r="K5489" s="26" t="str">
        <f>IF(OR(E5489="",E5489="!!!",F5489="NEW"),"",INDEX(J$1:J5488,SUMPRODUCT(MAX(ROW(E$1:E5488)*(E5489=E$1:E5488)))))</f>
        <v> </v>
      </c>
      <c r="L5489" s="27"/>
    </row>
    <row r="5490" spans="1:12">
      <c r="A5490" s="20" t="s">
        <v>1032</v>
      </c>
      <c r="E5490" s="22">
        <f>IF(D5490="?OLD","!!!","")</f>
        <v/>
      </c>
      <c r="F5490" s="23" t="str">
        <f>IF(OR(E5490="",E5490="!!!"),"",IF(NOT(ISNA(VLOOKUP(E5490,E$1:E5489,1,FALSE()))),"OLD",IF(AND(E5490&lt;&gt;"",E5490&lt;&gt;"!!!"),"NEW","")))</f>
        <v> </v>
      </c>
      <c r="G5490" s="24" t="str">
        <f>IF(OR(E5490="",E5490="!!!"),"",IF(OR(J5490=0,AND(J5490=1,K5490=1),AND(J5490=1,I5490="SBJ"),AND(J5490=1,I5490=0)),"?IN_FOCUS",IF(J5490&lt;=2,"?ACTIVATED",IF(J5490&lt;&gt;"","?FAMILIAR",IF(F5490="NEW",IF(ISNA(VLOOKUP(E5490,#REF!,1,FALSE())),"?TYPE_IDENTIFIABLE","?REFERENTIAL"),"_")))))</f>
        <v> </v>
      </c>
      <c r="H5490" s="25" t="str">
        <f>IF(J5490&lt;&gt;1,"",IF(I5490="SBJ","CB","?"))</f>
        <v> </v>
      </c>
      <c r="I5490" s="26" t="str">
        <f>IF(OR(E5490="",E5490="!!!",F5490="NEW"),"",INDEX(B5489:B$2,-1+SUMPRODUCT(MAX(ROW(E5489:E$2)*(E5490=E5489:E$2)))))</f>
        <v> </v>
      </c>
      <c r="J5490" s="26" t="str">
        <f>IF(OR(E5490="",E5490="!!!",F5490="NEW"),"",COUNTBLANK(OFFSET(A$1,,,SUMPRODUCT(MAX(ROW(E$2:E5490)*(E5490=E$2:E5490)))))-COUNTBLANK(OFFSET(A$1,,,SUMPRODUCT(MAX(ROW(E$1:E5489)*(E2=E$1:E5489))))))</f>
        <v> </v>
      </c>
      <c r="K5490" s="26" t="str">
        <f>IF(OR(E5490="",E5490="!!!",F5490="NEW"),"",INDEX(J$1:J5489,SUMPRODUCT(MAX(ROW(E$1:E5489)*(E5490=E$1:E5489)))))</f>
        <v> </v>
      </c>
      <c r="L5490" s="27"/>
    </row>
    <row r="5491" spans="1:12">
      <c r="A5491" s="20" t="s">
        <v>1269</v>
      </c>
      <c r="E5491" s="22">
        <f>IF(D5491="?OLD","!!!","")</f>
        <v/>
      </c>
      <c r="F5491" s="23" t="str">
        <f>IF(OR(E5491="",E5491="!!!"),"",IF(NOT(ISNA(VLOOKUP(E5491,E$1:E5490,1,FALSE()))),"OLD",IF(AND(E5491&lt;&gt;"",E5491&lt;&gt;"!!!"),"NEW","")))</f>
        <v> </v>
      </c>
      <c r="G5491" s="24" t="str">
        <f>IF(OR(E5491="",E5491="!!!"),"",IF(OR(J5491=0,AND(J5491=1,K5491=1),AND(J5491=1,I5491="SBJ"),AND(J5491=1,I5491=0)),"?IN_FOCUS",IF(J5491&lt;=2,"?ACTIVATED",IF(J5491&lt;&gt;"","?FAMILIAR",IF(F5491="NEW",IF(ISNA(VLOOKUP(E5491,#REF!,1,FALSE())),"?TYPE_IDENTIFIABLE","?REFERENTIAL"),"_")))))</f>
        <v> </v>
      </c>
      <c r="H5491" s="25" t="str">
        <f>IF(J5491&lt;&gt;1,"",IF(I5491="SBJ","CB","?"))</f>
        <v> </v>
      </c>
      <c r="I5491" s="26" t="str">
        <f>IF(OR(E5491="",E5491="!!!",F5491="NEW"),"",INDEX(B5490:B$2,-1+SUMPRODUCT(MAX(ROW(E5490:E$2)*(E5491=E5490:E$2)))))</f>
        <v> </v>
      </c>
      <c r="J5491" s="26" t="str">
        <f>IF(OR(E5491="",E5491="!!!",F5491="NEW"),"",COUNTBLANK(OFFSET(A$1,,,SUMPRODUCT(MAX(ROW(E$2:E5491)*(E5491=E$2:E5491)))))-COUNTBLANK(OFFSET(A$1,,,SUMPRODUCT(MAX(ROW(E$1:E5490)*(E2=E$1:E5490))))))</f>
        <v> </v>
      </c>
      <c r="K5491" s="26" t="str">
        <f>IF(OR(E5491="",E5491="!!!",F5491="NEW"),"",INDEX(J$1:J5490,SUMPRODUCT(MAX(ROW(E$1:E5490)*(E5491=E$1:E5490)))))</f>
        <v> </v>
      </c>
      <c r="L5491" s="27"/>
    </row>
    <row r="5492" spans="1:12">
      <c r="A5492" s="20" t="s">
        <v>2223</v>
      </c>
      <c r="E5492" s="22">
        <f>IF(D5492="?OLD","!!!","")</f>
        <v/>
      </c>
      <c r="F5492" s="23" t="str">
        <f>IF(OR(E5492="",E5492="!!!"),"",IF(NOT(ISNA(VLOOKUP(E5492,E$1:E5491,1,FALSE()))),"OLD",IF(AND(E5492&lt;&gt;"",E5492&lt;&gt;"!!!"),"NEW","")))</f>
        <v> </v>
      </c>
      <c r="G5492" s="24" t="str">
        <f>IF(OR(E5492="",E5492="!!!"),"",IF(OR(J5492=0,AND(J5492=1,K5492=1),AND(J5492=1,I5492="SBJ"),AND(J5492=1,I5492=0)),"?IN_FOCUS",IF(J5492&lt;=2,"?ACTIVATED",IF(J5492&lt;&gt;"","?FAMILIAR",IF(F5492="NEW",IF(ISNA(VLOOKUP(E5492,#REF!,1,FALSE())),"?TYPE_IDENTIFIABLE","?REFERENTIAL"),"_")))))</f>
        <v> </v>
      </c>
      <c r="H5492" s="25" t="str">
        <f>IF(J5492&lt;&gt;1,"",IF(I5492="SBJ","CB","?"))</f>
        <v> </v>
      </c>
      <c r="I5492" s="26" t="str">
        <f>IF(OR(E5492="",E5492="!!!",F5492="NEW"),"",INDEX(B5491:B$2,-1+SUMPRODUCT(MAX(ROW(E5491:E$2)*(E5492=E5491:E$2)))))</f>
        <v> </v>
      </c>
      <c r="J5492" s="26" t="str">
        <f>IF(OR(E5492="",E5492="!!!",F5492="NEW"),"",COUNTBLANK(OFFSET(A$1,,,SUMPRODUCT(MAX(ROW(E$2:E5492)*(E5492=E$2:E5492)))))-COUNTBLANK(OFFSET(A$1,,,SUMPRODUCT(MAX(ROW(E$1:E5491)*(E2=E$1:E5491))))))</f>
        <v> </v>
      </c>
      <c r="K5492" s="26" t="str">
        <f>IF(OR(E5492="",E5492="!!!",F5492="NEW"),"",INDEX(J$1:J5491,SUMPRODUCT(MAX(ROW(E$1:E5491)*(E5492=E$1:E5491)))))</f>
        <v> </v>
      </c>
      <c r="L5492" s="27"/>
    </row>
    <row r="5493" spans="1:12">
      <c r="A5493" s="20" t="s">
        <v>1032</v>
      </c>
      <c r="E5493" s="22">
        <f>IF(D5493="?OLD","!!!","")</f>
        <v/>
      </c>
      <c r="F5493" s="23" t="str">
        <f>IF(OR(E5493="",E5493="!!!"),"",IF(NOT(ISNA(VLOOKUP(E5493,E$1:E5492,1,FALSE()))),"OLD",IF(AND(E5493&lt;&gt;"",E5493&lt;&gt;"!!!"),"NEW","")))</f>
        <v> </v>
      </c>
      <c r="G5493" s="24" t="str">
        <f>IF(OR(E5493="",E5493="!!!"),"",IF(OR(J5493=0,AND(J5493=1,K5493=1),AND(J5493=1,I5493="SBJ"),AND(J5493=1,I5493=0)),"?IN_FOCUS",IF(J5493&lt;=2,"?ACTIVATED",IF(J5493&lt;&gt;"","?FAMILIAR",IF(F5493="NEW",IF(ISNA(VLOOKUP(E5493,#REF!,1,FALSE())),"?TYPE_IDENTIFIABLE","?REFERENTIAL"),"_")))))</f>
        <v> </v>
      </c>
      <c r="H5493" s="25" t="str">
        <f>IF(J5493&lt;&gt;1,"",IF(I5493="SBJ","CB","?"))</f>
        <v> </v>
      </c>
      <c r="I5493" s="26" t="str">
        <f>IF(OR(E5493="",E5493="!!!",F5493="NEW"),"",INDEX(B5492:B$2,-1+SUMPRODUCT(MAX(ROW(E5492:E$2)*(E5493=E5492:E$2)))))</f>
        <v> </v>
      </c>
      <c r="J5493" s="26" t="str">
        <f>IF(OR(E5493="",E5493="!!!",F5493="NEW"),"",COUNTBLANK(OFFSET(A$1,,,SUMPRODUCT(MAX(ROW(E$2:E5493)*(E5493=E$2:E5493)))))-COUNTBLANK(OFFSET(A$1,,,SUMPRODUCT(MAX(ROW(E$1:E5492)*(E2=E$1:E5492))))))</f>
        <v> </v>
      </c>
      <c r="K5493" s="26" t="str">
        <f>IF(OR(E5493="",E5493="!!!",F5493="NEW"),"",INDEX(J$1:J5492,SUMPRODUCT(MAX(ROW(E$1:E5492)*(E5493=E$1:E5492)))))</f>
        <v> </v>
      </c>
      <c r="L5493" s="27"/>
    </row>
    <row r="5494" spans="1:12">
      <c r="A5494" s="20" t="s">
        <v>1008</v>
      </c>
      <c r="B5494" s="21" t="s">
        <v>1039</v>
      </c>
      <c r="C5494" s="21" t="s">
        <v>1010</v>
      </c>
      <c r="D5494" s="21" t="s">
        <v>1011</v>
      </c>
      <c r="E5494" s="22">
        <f>IF(D5494="?OLD","!!!","")</f>
        <v/>
      </c>
      <c r="F5494" s="23" t="str">
        <f>IF(OR(E5494="",E5494="!!!"),"",IF(NOT(ISNA(VLOOKUP(E5494,E$1:E5493,1,FALSE()))),"OLD",IF(AND(E5494&lt;&gt;"",E5494&lt;&gt;"!!!"),"NEW","")))</f>
        <v> </v>
      </c>
      <c r="G5494" s="24" t="str">
        <f>IF(OR(E5494="",E5494="!!!"),"",IF(OR(J5494=0,AND(J5494=1,K5494=1),AND(J5494=1,I5494="SBJ"),AND(J5494=1,I5494=0)),"?IN_FOCUS",IF(J5494&lt;=2,"?ACTIVATED",IF(J5494&lt;&gt;"","?FAMILIAR",IF(F5494="NEW",IF(ISNA(VLOOKUP(E5494,#REF!,1,FALSE())),"?TYPE_IDENTIFIABLE","?REFERENTIAL"),"_")))))</f>
        <v> </v>
      </c>
      <c r="H5494" s="25" t="str">
        <f>IF(J5494&lt;&gt;1,"",IF(I5494="SBJ","CB","?"))</f>
        <v> </v>
      </c>
      <c r="I5494" s="26" t="str">
        <f>IF(OR(E5494="",E5494="!!!",F5494="NEW"),"",INDEX(B5493:B$2,-1+SUMPRODUCT(MAX(ROW(E5493:E$2)*(E5494=E5493:E$2)))))</f>
        <v> </v>
      </c>
      <c r="J5494" s="26" t="str">
        <f>IF(OR(E5494="",E5494="!!!",F5494="NEW"),"",COUNTBLANK(OFFSET(A$1,,,SUMPRODUCT(MAX(ROW(E$2:E5494)*(E5494=E$2:E5494)))))-COUNTBLANK(OFFSET(A$1,,,SUMPRODUCT(MAX(ROW(E$1:E5493)*(E2=E$1:E5493))))))</f>
        <v> </v>
      </c>
      <c r="K5494" s="26" t="str">
        <f>IF(OR(E5494="",E5494="!!!",F5494="NEW"),"",INDEX(J$1:J5493,SUMPRODUCT(MAX(ROW(E$1:E5493)*(E5494=E$1:E5493)))))</f>
        <v> </v>
      </c>
      <c r="L5494" s="27"/>
    </row>
    <row r="5495" spans="1:12">
      <c r="A5495" s="20" t="s">
        <v>388</v>
      </c>
      <c r="E5495" s="22">
        <f>IF(D5495="?OLD","!!!","")</f>
        <v/>
      </c>
      <c r="F5495" s="23" t="str">
        <f>IF(OR(E5495="",E5495="!!!"),"",IF(NOT(ISNA(VLOOKUP(E5495,E$1:E5494,1,FALSE()))),"OLD",IF(AND(E5495&lt;&gt;"",E5495&lt;&gt;"!!!"),"NEW","")))</f>
        <v> </v>
      </c>
      <c r="G5495" s="24" t="str">
        <f>IF(OR(E5495="",E5495="!!!"),"",IF(OR(J5495=0,AND(J5495=1,K5495=1),AND(J5495=1,I5495="SBJ"),AND(J5495=1,I5495=0)),"?IN_FOCUS",IF(J5495&lt;=2,"?ACTIVATED",IF(J5495&lt;&gt;"","?FAMILIAR",IF(F5495="NEW",IF(ISNA(VLOOKUP(E5495,#REF!,1,FALSE())),"?TYPE_IDENTIFIABLE","?REFERENTIAL"),"_")))))</f>
        <v> </v>
      </c>
      <c r="H5495" s="25" t="str">
        <f>IF(J5495&lt;&gt;1,"",IF(I5495="SBJ","CB","?"))</f>
        <v> </v>
      </c>
      <c r="I5495" s="26" t="str">
        <f>IF(OR(E5495="",E5495="!!!",F5495="NEW"),"",INDEX(B5494:B$2,-1+SUMPRODUCT(MAX(ROW(E5494:E$2)*(E5495=E5494:E$2)))))</f>
        <v> </v>
      </c>
      <c r="J5495" s="26" t="str">
        <f>IF(OR(E5495="",E5495="!!!",F5495="NEW"),"",COUNTBLANK(OFFSET(A$1,,,SUMPRODUCT(MAX(ROW(E$2:E5495)*(E5495=E$2:E5495)))))-COUNTBLANK(OFFSET(A$1,,,SUMPRODUCT(MAX(ROW(E$1:E5494)*(E2=E$1:E5494))))))</f>
        <v> </v>
      </c>
      <c r="K5495" s="26" t="str">
        <f>IF(OR(E5495="",E5495="!!!",F5495="NEW"),"",INDEX(J$1:J5494,SUMPRODUCT(MAX(ROW(E$1:E5494)*(E5495=E$1:E5494)))))</f>
        <v> </v>
      </c>
      <c r="L5495" s="27"/>
    </row>
    <row r="5496" spans="1:12">
      <c r="A5496" s="20" t="s">
        <v>1097</v>
      </c>
      <c r="E5496" s="22">
        <f>IF(D5496="?OLD","!!!","")</f>
        <v/>
      </c>
      <c r="F5496" s="23" t="str">
        <f>IF(OR(E5496="",E5496="!!!"),"",IF(NOT(ISNA(VLOOKUP(E5496,E$1:E5495,1,FALSE()))),"OLD",IF(AND(E5496&lt;&gt;"",E5496&lt;&gt;"!!!"),"NEW","")))</f>
        <v> </v>
      </c>
      <c r="G5496" s="24" t="str">
        <f>IF(OR(E5496="",E5496="!!!"),"",IF(OR(J5496=0,AND(J5496=1,K5496=1),AND(J5496=1,I5496="SBJ"),AND(J5496=1,I5496=0)),"?IN_FOCUS",IF(J5496&lt;=2,"?ACTIVATED",IF(J5496&lt;&gt;"","?FAMILIAR",IF(F5496="NEW",IF(ISNA(VLOOKUP(E5496,#REF!,1,FALSE())),"?TYPE_IDENTIFIABLE","?REFERENTIAL"),"_")))))</f>
        <v> </v>
      </c>
      <c r="H5496" s="25" t="str">
        <f>IF(J5496&lt;&gt;1,"",IF(I5496="SBJ","CB","?"))</f>
        <v> </v>
      </c>
      <c r="I5496" s="26" t="str">
        <f>IF(OR(E5496="",E5496="!!!",F5496="NEW"),"",INDEX(B5495:B$2,-1+SUMPRODUCT(MAX(ROW(E5495:E$2)*(E5496=E5495:E$2)))))</f>
        <v> </v>
      </c>
      <c r="J5496" s="26" t="str">
        <f>IF(OR(E5496="",E5496="!!!",F5496="NEW"),"",COUNTBLANK(OFFSET(A$1,,,SUMPRODUCT(MAX(ROW(E$2:E5496)*(E5496=E$2:E5496)))))-COUNTBLANK(OFFSET(A$1,,,SUMPRODUCT(MAX(ROW(E$1:E5495)*(E2=E$1:E5495))))))</f>
        <v> </v>
      </c>
      <c r="K5496" s="26" t="str">
        <f>IF(OR(E5496="",E5496="!!!",F5496="NEW"),"",INDEX(J$1:J5495,SUMPRODUCT(MAX(ROW(E$1:E5495)*(E5496=E$1:E5495)))))</f>
        <v> </v>
      </c>
      <c r="L5496" s="27"/>
    </row>
    <row r="5497" spans="1:12">
      <c r="A5497" s="20" t="s">
        <v>1366</v>
      </c>
      <c r="E5497" s="22">
        <f>IF(D5497="?OLD","!!!","")</f>
        <v/>
      </c>
      <c r="F5497" s="23" t="str">
        <f>IF(OR(E5497="",E5497="!!!"),"",IF(NOT(ISNA(VLOOKUP(E5497,E$1:E5496,1,FALSE()))),"OLD",IF(AND(E5497&lt;&gt;"",E5497&lt;&gt;"!!!"),"NEW","")))</f>
        <v> </v>
      </c>
      <c r="G5497" s="24" t="str">
        <f>IF(OR(E5497="",E5497="!!!"),"",IF(OR(J5497=0,AND(J5497=1,K5497=1),AND(J5497=1,I5497="SBJ"),AND(J5497=1,I5497=0)),"?IN_FOCUS",IF(J5497&lt;=2,"?ACTIVATED",IF(J5497&lt;&gt;"","?FAMILIAR",IF(F5497="NEW",IF(ISNA(VLOOKUP(E5497,#REF!,1,FALSE())),"?TYPE_IDENTIFIABLE","?REFERENTIAL"),"_")))))</f>
        <v> </v>
      </c>
      <c r="H5497" s="25" t="str">
        <f>IF(J5497&lt;&gt;1,"",IF(I5497="SBJ","CB","?"))</f>
        <v> </v>
      </c>
      <c r="I5497" s="26" t="str">
        <f>IF(OR(E5497="",E5497="!!!",F5497="NEW"),"",INDEX(B5496:B$2,-1+SUMPRODUCT(MAX(ROW(E5496:E$2)*(E5497=E5496:E$2)))))</f>
        <v> </v>
      </c>
      <c r="J5497" s="26" t="str">
        <f>IF(OR(E5497="",E5497="!!!",F5497="NEW"),"",COUNTBLANK(OFFSET(A$1,,,SUMPRODUCT(MAX(ROW(E$2:E5497)*(E5497=E$2:E5497)))))-COUNTBLANK(OFFSET(A$1,,,SUMPRODUCT(MAX(ROW(E$1:E5496)*(E2=E$1:E5496))))))</f>
        <v> </v>
      </c>
      <c r="K5497" s="26" t="str">
        <f>IF(OR(E5497="",E5497="!!!",F5497="NEW"),"",INDEX(J$1:J5496,SUMPRODUCT(MAX(ROW(E$1:E5496)*(E5497=E$1:E5496)))))</f>
        <v> </v>
      </c>
      <c r="L5497" s="27"/>
    </row>
    <row r="5498" spans="1:12">
      <c r="A5498" s="20" t="s">
        <v>1025</v>
      </c>
      <c r="E5498" s="22">
        <f>IF(D5498="?OLD","!!!","")</f>
        <v/>
      </c>
      <c r="F5498" s="23" t="str">
        <f>IF(OR(E5498="",E5498="!!!"),"",IF(NOT(ISNA(VLOOKUP(E5498,E$1:E5497,1,FALSE()))),"OLD",IF(AND(E5498&lt;&gt;"",E5498&lt;&gt;"!!!"),"NEW","")))</f>
        <v> </v>
      </c>
      <c r="G5498" s="24" t="str">
        <f>IF(OR(E5498="",E5498="!!!"),"",IF(OR(J5498=0,AND(J5498=1,K5498=1),AND(J5498=1,I5498="SBJ"),AND(J5498=1,I5498=0)),"?IN_FOCUS",IF(J5498&lt;=2,"?ACTIVATED",IF(J5498&lt;&gt;"","?FAMILIAR",IF(F5498="NEW",IF(ISNA(VLOOKUP(E5498,#REF!,1,FALSE())),"?TYPE_IDENTIFIABLE","?REFERENTIAL"),"_")))))</f>
        <v> </v>
      </c>
      <c r="H5498" s="25" t="str">
        <f>IF(J5498&lt;&gt;1,"",IF(I5498="SBJ","CB","?"))</f>
        <v> </v>
      </c>
      <c r="I5498" s="26" t="str">
        <f>IF(OR(E5498="",E5498="!!!",F5498="NEW"),"",INDEX(B5497:B$2,-1+SUMPRODUCT(MAX(ROW(E5497:E$2)*(E5498=E5497:E$2)))))</f>
        <v> </v>
      </c>
      <c r="J5498" s="26" t="str">
        <f>IF(OR(E5498="",E5498="!!!",F5498="NEW"),"",COUNTBLANK(OFFSET(A$1,,,SUMPRODUCT(MAX(ROW(E$2:E5498)*(E5498=E$2:E5498)))))-COUNTBLANK(OFFSET(A$1,,,SUMPRODUCT(MAX(ROW(E$1:E5497)*(E2=E$1:E5497))))))</f>
        <v> </v>
      </c>
      <c r="K5498" s="26" t="str">
        <f>IF(OR(E5498="",E5498="!!!",F5498="NEW"),"",INDEX(J$1:J5497,SUMPRODUCT(MAX(ROW(E$1:E5497)*(E5498=E$1:E5497)))))</f>
        <v> </v>
      </c>
      <c r="L5498" s="27"/>
    </row>
    <row r="5499" spans="1:12">
      <c r="A5499" s="20" t="s">
        <v>1121</v>
      </c>
      <c r="B5499" s="21" t="s">
        <v>1175</v>
      </c>
      <c r="C5499" s="21" t="s">
        <v>1010</v>
      </c>
      <c r="D5499" s="21" t="s">
        <v>1011</v>
      </c>
      <c r="E5499" s="22">
        <f>IF(D5499="?OLD","!!!","")</f>
        <v/>
      </c>
      <c r="F5499" s="23" t="str">
        <f>IF(OR(E5499="",E5499="!!!"),"",IF(NOT(ISNA(VLOOKUP(E5499,E$1:E5498,1,FALSE()))),"OLD",IF(AND(E5499&lt;&gt;"",E5499&lt;&gt;"!!!"),"NEW","")))</f>
        <v> </v>
      </c>
      <c r="G5499" s="24" t="str">
        <f>IF(OR(E5499="",E5499="!!!"),"",IF(OR(J5499=0,AND(J5499=1,K5499=1),AND(J5499=1,I5499="SBJ"),AND(J5499=1,I5499=0)),"?IN_FOCUS",IF(J5499&lt;=2,"?ACTIVATED",IF(J5499&lt;&gt;"","?FAMILIAR",IF(F5499="NEW",IF(ISNA(VLOOKUP(E5499,#REF!,1,FALSE())),"?TYPE_IDENTIFIABLE","?REFERENTIAL"),"_")))))</f>
        <v> </v>
      </c>
      <c r="H5499" s="25" t="str">
        <f>IF(J5499&lt;&gt;1,"",IF(I5499="SBJ","CB","?"))</f>
        <v> </v>
      </c>
      <c r="I5499" s="26" t="str">
        <f>IF(OR(E5499="",E5499="!!!",F5499="NEW"),"",INDEX(B5498:B$2,-1+SUMPRODUCT(MAX(ROW(E5498:E$2)*(E5499=E5498:E$2)))))</f>
        <v> </v>
      </c>
      <c r="J5499" s="26" t="str">
        <f>IF(OR(E5499="",E5499="!!!",F5499="NEW"),"",COUNTBLANK(OFFSET(A$1,,,SUMPRODUCT(MAX(ROW(E$2:E5499)*(E5499=E$2:E5499)))))-COUNTBLANK(OFFSET(A$1,,,SUMPRODUCT(MAX(ROW(E$1:E5498)*(E2=E$1:E5498))))))</f>
        <v> </v>
      </c>
      <c r="K5499" s="26" t="str">
        <f>IF(OR(E5499="",E5499="!!!",F5499="NEW"),"",INDEX(J$1:J5498,SUMPRODUCT(MAX(ROW(E$1:E5498)*(E5499=E$1:E5498)))))</f>
        <v> </v>
      </c>
      <c r="L5499" s="27"/>
    </row>
    <row r="5500" spans="1:12">
      <c r="A5500" s="20" t="s">
        <v>1627</v>
      </c>
      <c r="E5500" s="22">
        <f>IF(D5500="?OLD","!!!","")</f>
        <v/>
      </c>
      <c r="F5500" s="23" t="str">
        <f>IF(OR(E5500="",E5500="!!!"),"",IF(NOT(ISNA(VLOOKUP(E5500,E$1:E5499,1,FALSE()))),"OLD",IF(AND(E5500&lt;&gt;"",E5500&lt;&gt;"!!!"),"NEW","")))</f>
        <v> </v>
      </c>
      <c r="G5500" s="24" t="str">
        <f>IF(OR(E5500="",E5500="!!!"),"",IF(OR(J5500=0,AND(J5500=1,K5500=1),AND(J5500=1,I5500="SBJ"),AND(J5500=1,I5500=0)),"?IN_FOCUS",IF(J5500&lt;=2,"?ACTIVATED",IF(J5500&lt;&gt;"","?FAMILIAR",IF(F5500="NEW",IF(ISNA(VLOOKUP(E5500,#REF!,1,FALSE())),"?TYPE_IDENTIFIABLE","?REFERENTIAL"),"_")))))</f>
        <v> </v>
      </c>
      <c r="H5500" s="25" t="str">
        <f>IF(J5500&lt;&gt;1,"",IF(I5500="SBJ","CB","?"))</f>
        <v> </v>
      </c>
      <c r="I5500" s="26" t="str">
        <f>IF(OR(E5500="",E5500="!!!",F5500="NEW"),"",INDEX(B5499:B$2,-1+SUMPRODUCT(MAX(ROW(E5499:E$2)*(E5500=E5499:E$2)))))</f>
        <v> </v>
      </c>
      <c r="J5500" s="26" t="str">
        <f>IF(OR(E5500="",E5500="!!!",F5500="NEW"),"",COUNTBLANK(OFFSET(A$1,,,SUMPRODUCT(MAX(ROW(E$2:E5500)*(E5500=E$2:E5500)))))-COUNTBLANK(OFFSET(A$1,,,SUMPRODUCT(MAX(ROW(E$1:E5499)*(E2=E$1:E5499))))))</f>
        <v> </v>
      </c>
      <c r="K5500" s="26" t="str">
        <f>IF(OR(E5500="",E5500="!!!",F5500="NEW"),"",INDEX(J$1:J5499,SUMPRODUCT(MAX(ROW(E$1:E5499)*(E5500=E$1:E5499)))))</f>
        <v> </v>
      </c>
      <c r="L5500" s="27"/>
    </row>
    <row r="5501" spans="1:12">
      <c r="A5501" s="20" t="s">
        <v>1097</v>
      </c>
      <c r="E5501" s="22">
        <f>IF(D5501="?OLD","!!!","")</f>
        <v/>
      </c>
      <c r="F5501" s="23" t="str">
        <f>IF(OR(E5501="",E5501="!!!"),"",IF(NOT(ISNA(VLOOKUP(E5501,E$1:E5500,1,FALSE()))),"OLD",IF(AND(E5501&lt;&gt;"",E5501&lt;&gt;"!!!"),"NEW","")))</f>
        <v> </v>
      </c>
      <c r="G5501" s="24" t="str">
        <f>IF(OR(E5501="",E5501="!!!"),"",IF(OR(J5501=0,AND(J5501=1,K5501=1),AND(J5501=1,I5501="SBJ"),AND(J5501=1,I5501=0)),"?IN_FOCUS",IF(J5501&lt;=2,"?ACTIVATED",IF(J5501&lt;&gt;"","?FAMILIAR",IF(F5501="NEW",IF(ISNA(VLOOKUP(E5501,#REF!,1,FALSE())),"?TYPE_IDENTIFIABLE","?REFERENTIAL"),"_")))))</f>
        <v> </v>
      </c>
      <c r="H5501" s="25" t="str">
        <f>IF(J5501&lt;&gt;1,"",IF(I5501="SBJ","CB","?"))</f>
        <v> </v>
      </c>
      <c r="I5501" s="26" t="str">
        <f>IF(OR(E5501="",E5501="!!!",F5501="NEW"),"",INDEX(B5500:B$2,-1+SUMPRODUCT(MAX(ROW(E5500:E$2)*(E5501=E5500:E$2)))))</f>
        <v> </v>
      </c>
      <c r="J5501" s="26" t="str">
        <f>IF(OR(E5501="",E5501="!!!",F5501="NEW"),"",COUNTBLANK(OFFSET(A$1,,,SUMPRODUCT(MAX(ROW(E$2:E5501)*(E5501=E$2:E5501)))))-COUNTBLANK(OFFSET(A$1,,,SUMPRODUCT(MAX(ROW(E$1:E5500)*(E2=E$1:E5500))))))</f>
        <v> </v>
      </c>
      <c r="K5501" s="26" t="str">
        <f>IF(OR(E5501="",E5501="!!!",F5501="NEW"),"",INDEX(J$1:J5500,SUMPRODUCT(MAX(ROW(E$1:E5500)*(E5501=E$1:E5500)))))</f>
        <v> </v>
      </c>
      <c r="L5501" s="27"/>
    </row>
    <row r="5502" spans="1:12">
      <c r="A5502" s="20" t="s">
        <v>114</v>
      </c>
      <c r="E5502" s="22">
        <f>IF(D5502="?OLD","!!!","")</f>
        <v/>
      </c>
      <c r="F5502" s="23" t="str">
        <f>IF(OR(E5502="",E5502="!!!"),"",IF(NOT(ISNA(VLOOKUP(E5502,E$1:E5501,1,FALSE()))),"OLD",IF(AND(E5502&lt;&gt;"",E5502&lt;&gt;"!!!"),"NEW","")))</f>
        <v> </v>
      </c>
      <c r="G5502" s="24" t="str">
        <f>IF(OR(E5502="",E5502="!!!"),"",IF(OR(J5502=0,AND(J5502=1,K5502=1),AND(J5502=1,I5502="SBJ"),AND(J5502=1,I5502=0)),"?IN_FOCUS",IF(J5502&lt;=2,"?ACTIVATED",IF(J5502&lt;&gt;"","?FAMILIAR",IF(F5502="NEW",IF(ISNA(VLOOKUP(E5502,#REF!,1,FALSE())),"?TYPE_IDENTIFIABLE","?REFERENTIAL"),"_")))))</f>
        <v> </v>
      </c>
      <c r="H5502" s="25" t="str">
        <f>IF(J5502&lt;&gt;1,"",IF(I5502="SBJ","CB","?"))</f>
        <v> </v>
      </c>
      <c r="I5502" s="26" t="str">
        <f>IF(OR(E5502="",E5502="!!!",F5502="NEW"),"",INDEX(B5501:B$2,-1+SUMPRODUCT(MAX(ROW(E5501:E$2)*(E5502=E5501:E$2)))))</f>
        <v> </v>
      </c>
      <c r="J5502" s="26" t="str">
        <f>IF(OR(E5502="",E5502="!!!",F5502="NEW"),"",COUNTBLANK(OFFSET(A$1,,,SUMPRODUCT(MAX(ROW(E$2:E5502)*(E5502=E$2:E5502)))))-COUNTBLANK(OFFSET(A$1,,,SUMPRODUCT(MAX(ROW(E$1:E5501)*(E2=E$1:E5501))))))</f>
        <v> </v>
      </c>
      <c r="K5502" s="26" t="str">
        <f>IF(OR(E5502="",E5502="!!!",F5502="NEW"),"",INDEX(J$1:J5501,SUMPRODUCT(MAX(ROW(E$1:E5501)*(E5502=E$1:E5501)))))</f>
        <v> </v>
      </c>
      <c r="L5502" s="27"/>
    </row>
    <row r="5503" spans="1:12">
      <c r="A5503" s="20" t="s">
        <v>1285</v>
      </c>
      <c r="E5503" s="22">
        <f>IF(D5503="?OLD","!!!","")</f>
        <v/>
      </c>
      <c r="F5503" s="23" t="str">
        <f>IF(OR(E5503="",E5503="!!!"),"",IF(NOT(ISNA(VLOOKUP(E5503,E$1:E5502,1,FALSE()))),"OLD",IF(AND(E5503&lt;&gt;"",E5503&lt;&gt;"!!!"),"NEW","")))</f>
        <v> </v>
      </c>
      <c r="G5503" s="24" t="str">
        <f>IF(OR(E5503="",E5503="!!!"),"",IF(OR(J5503=0,AND(J5503=1,K5503=1),AND(J5503=1,I5503="SBJ"),AND(J5503=1,I5503=0)),"?IN_FOCUS",IF(J5503&lt;=2,"?ACTIVATED",IF(J5503&lt;&gt;"","?FAMILIAR",IF(F5503="NEW",IF(ISNA(VLOOKUP(E5503,#REF!,1,FALSE())),"?TYPE_IDENTIFIABLE","?REFERENTIAL"),"_")))))</f>
        <v> </v>
      </c>
      <c r="H5503" s="25" t="str">
        <f>IF(J5503&lt;&gt;1,"",IF(I5503="SBJ","CB","?"))</f>
        <v> </v>
      </c>
      <c r="I5503" s="26" t="str">
        <f>IF(OR(E5503="",E5503="!!!",F5503="NEW"),"",INDEX(B5502:B$2,-1+SUMPRODUCT(MAX(ROW(E5502:E$2)*(E5503=E5502:E$2)))))</f>
        <v> </v>
      </c>
      <c r="J5503" s="26" t="str">
        <f>IF(OR(E5503="",E5503="!!!",F5503="NEW"),"",COUNTBLANK(OFFSET(A$1,,,SUMPRODUCT(MAX(ROW(E$2:E5503)*(E5503=E$2:E5503)))))-COUNTBLANK(OFFSET(A$1,,,SUMPRODUCT(MAX(ROW(E$1:E5502)*(E2=E$1:E5502))))))</f>
        <v> </v>
      </c>
      <c r="K5503" s="26" t="str">
        <f>IF(OR(E5503="",E5503="!!!",F5503="NEW"),"",INDEX(J$1:J5502,SUMPRODUCT(MAX(ROW(E$1:E5502)*(E5503=E$1:E5502)))))</f>
        <v> </v>
      </c>
      <c r="L5503" s="27"/>
    </row>
    <row r="5504" spans="1:12">
      <c r="A5504" s="20" t="s">
        <v>1197</v>
      </c>
      <c r="B5504" s="21" t="s">
        <v>1142</v>
      </c>
      <c r="C5504" s="21" t="s">
        <v>1017</v>
      </c>
      <c r="E5504" s="22">
        <f>IF(D5504="?OLD","!!!","")</f>
        <v/>
      </c>
      <c r="F5504" s="23" t="str">
        <f>IF(OR(E5504="",E5504="!!!"),"",IF(NOT(ISNA(VLOOKUP(E5504,E$1:E5503,1,FALSE()))),"OLD",IF(AND(E5504&lt;&gt;"",E5504&lt;&gt;"!!!"),"NEW","")))</f>
        <v> </v>
      </c>
      <c r="G5504" s="24" t="str">
        <f>IF(OR(E5504="",E5504="!!!"),"",IF(OR(J5504=0,AND(J5504=1,K5504=1),AND(J5504=1,I5504="SBJ"),AND(J5504=1,I5504=0)),"?IN_FOCUS",IF(J5504&lt;=2,"?ACTIVATED",IF(J5504&lt;&gt;"","?FAMILIAR",IF(F5504="NEW",IF(ISNA(VLOOKUP(E5504,#REF!,1,FALSE())),"?TYPE_IDENTIFIABLE","?REFERENTIAL"),"_")))))</f>
        <v> </v>
      </c>
      <c r="H5504" s="25" t="str">
        <f>IF(J5504&lt;&gt;1,"",IF(I5504="SBJ","CB","?"))</f>
        <v> </v>
      </c>
      <c r="I5504" s="26" t="str">
        <f>IF(OR(E5504="",E5504="!!!",F5504="NEW"),"",INDEX(B5503:B$2,-1+SUMPRODUCT(MAX(ROW(E5503:E$2)*(E5504=E5503:E$2)))))</f>
        <v> </v>
      </c>
      <c r="J5504" s="26" t="str">
        <f>IF(OR(E5504="",E5504="!!!",F5504="NEW"),"",COUNTBLANK(OFFSET(A$1,,,SUMPRODUCT(MAX(ROW(E$2:E5504)*(E5504=E$2:E5504)))))-COUNTBLANK(OFFSET(A$1,,,SUMPRODUCT(MAX(ROW(E$1:E5503)*(E2=E$1:E5503))))))</f>
        <v> </v>
      </c>
      <c r="K5504" s="26" t="str">
        <f>IF(OR(E5504="",E5504="!!!",F5504="NEW"),"",INDEX(J$1:J5503,SUMPRODUCT(MAX(ROW(E$1:E5503)*(E5504=E$1:E5503)))))</f>
        <v> </v>
      </c>
      <c r="L5504" s="27"/>
    </row>
    <row r="5505" spans="1:12">
      <c r="A5505" s="20" t="s">
        <v>1032</v>
      </c>
      <c r="E5505" s="22">
        <f>IF(D5505="?OLD","!!!","")</f>
        <v/>
      </c>
      <c r="F5505" s="23" t="str">
        <f>IF(OR(E5505="",E5505="!!!"),"",IF(NOT(ISNA(VLOOKUP(E5505,E$1:E5504,1,FALSE()))),"OLD",IF(AND(E5505&lt;&gt;"",E5505&lt;&gt;"!!!"),"NEW","")))</f>
        <v> </v>
      </c>
      <c r="G5505" s="24" t="str">
        <f>IF(OR(E5505="",E5505="!!!"),"",IF(OR(J5505=0,AND(J5505=1,K5505=1),AND(J5505=1,I5505="SBJ"),AND(J5505=1,I5505=0)),"?IN_FOCUS",IF(J5505&lt;=2,"?ACTIVATED",IF(J5505&lt;&gt;"","?FAMILIAR",IF(F5505="NEW",IF(ISNA(VLOOKUP(E5505,#REF!,1,FALSE())),"?TYPE_IDENTIFIABLE","?REFERENTIAL"),"_")))))</f>
        <v> </v>
      </c>
      <c r="H5505" s="25" t="str">
        <f>IF(J5505&lt;&gt;1,"",IF(I5505="SBJ","CB","?"))</f>
        <v> </v>
      </c>
      <c r="I5505" s="26" t="str">
        <f>IF(OR(E5505="",E5505="!!!",F5505="NEW"),"",INDEX(B5504:B$2,-1+SUMPRODUCT(MAX(ROW(E5504:E$2)*(E5505=E5504:E$2)))))</f>
        <v> </v>
      </c>
      <c r="J5505" s="26" t="str">
        <f>IF(OR(E5505="",E5505="!!!",F5505="NEW"),"",COUNTBLANK(OFFSET(A$1,,,SUMPRODUCT(MAX(ROW(E$2:E5505)*(E5505=E$2:E5505)))))-COUNTBLANK(OFFSET(A$1,,,SUMPRODUCT(MAX(ROW(E$1:E5504)*(E2=E$1:E5504))))))</f>
        <v> </v>
      </c>
      <c r="K5505" s="26" t="str">
        <f>IF(OR(E5505="",E5505="!!!",F5505="NEW"),"",INDEX(J$1:J5504,SUMPRODUCT(MAX(ROW(E$1:E5504)*(E5505=E$1:E5504)))))</f>
        <v> </v>
      </c>
      <c r="L5505" s="27"/>
    </row>
    <row r="5506" spans="1:12">
      <c r="A5506" s="20" t="s">
        <v>1008</v>
      </c>
      <c r="B5506" s="21" t="s">
        <v>1039</v>
      </c>
      <c r="C5506" s="21" t="s">
        <v>1010</v>
      </c>
      <c r="D5506" s="21" t="s">
        <v>1011</v>
      </c>
      <c r="E5506" s="22">
        <f>IF(D5506="?OLD","!!!","")</f>
        <v/>
      </c>
      <c r="F5506" s="23" t="str">
        <f>IF(OR(E5506="",E5506="!!!"),"",IF(NOT(ISNA(VLOOKUP(E5506,E$1:E5505,1,FALSE()))),"OLD",IF(AND(E5506&lt;&gt;"",E5506&lt;&gt;"!!!"),"NEW","")))</f>
        <v> </v>
      </c>
      <c r="G5506" s="24" t="str">
        <f>IF(OR(E5506="",E5506="!!!"),"",IF(OR(J5506=0,AND(J5506=1,K5506=1),AND(J5506=1,I5506="SBJ"),AND(J5506=1,I5506=0)),"?IN_FOCUS",IF(J5506&lt;=2,"?ACTIVATED",IF(J5506&lt;&gt;"","?FAMILIAR",IF(F5506="NEW",IF(ISNA(VLOOKUP(E5506,#REF!,1,FALSE())),"?TYPE_IDENTIFIABLE","?REFERENTIAL"),"_")))))</f>
        <v> </v>
      </c>
      <c r="H5506" s="25" t="str">
        <f>IF(J5506&lt;&gt;1,"",IF(I5506="SBJ","CB","?"))</f>
        <v> </v>
      </c>
      <c r="I5506" s="26" t="str">
        <f>IF(OR(E5506="",E5506="!!!",F5506="NEW"),"",INDEX(B5505:B$2,-1+SUMPRODUCT(MAX(ROW(E5505:E$2)*(E5506=E5505:E$2)))))</f>
        <v> </v>
      </c>
      <c r="J5506" s="26" t="str">
        <f>IF(OR(E5506="",E5506="!!!",F5506="NEW"),"",COUNTBLANK(OFFSET(A$1,,,SUMPRODUCT(MAX(ROW(E$2:E5506)*(E5506=E$2:E5506)))))-COUNTBLANK(OFFSET(A$1,,,SUMPRODUCT(MAX(ROW(E$1:E5505)*(E2=E$1:E5505))))))</f>
        <v> </v>
      </c>
      <c r="K5506" s="26" t="str">
        <f>IF(OR(E5506="",E5506="!!!",F5506="NEW"),"",INDEX(J$1:J5505,SUMPRODUCT(MAX(ROW(E$1:E5505)*(E5506=E$1:E5505)))))</f>
        <v> </v>
      </c>
      <c r="L5506" s="27"/>
    </row>
    <row r="5507" spans="1:12">
      <c r="A5507" s="20" t="s">
        <v>1496</v>
      </c>
      <c r="E5507" s="22">
        <f>IF(D5507="?OLD","!!!","")</f>
        <v/>
      </c>
      <c r="F5507" s="23" t="str">
        <f>IF(OR(E5507="",E5507="!!!"),"",IF(NOT(ISNA(VLOOKUP(E5507,E$1:E5506,1,FALSE()))),"OLD",IF(AND(E5507&lt;&gt;"",E5507&lt;&gt;"!!!"),"NEW","")))</f>
        <v> </v>
      </c>
      <c r="G5507" s="24" t="str">
        <f>IF(OR(E5507="",E5507="!!!"),"",IF(OR(J5507=0,AND(J5507=1,K5507=1),AND(J5507=1,I5507="SBJ"),AND(J5507=1,I5507=0)),"?IN_FOCUS",IF(J5507&lt;=2,"?ACTIVATED",IF(J5507&lt;&gt;"","?FAMILIAR",IF(F5507="NEW",IF(ISNA(VLOOKUP(E5507,#REF!,1,FALSE())),"?TYPE_IDENTIFIABLE","?REFERENTIAL"),"_")))))</f>
        <v> </v>
      </c>
      <c r="H5507" s="25" t="str">
        <f>IF(J5507&lt;&gt;1,"",IF(I5507="SBJ","CB","?"))</f>
        <v> </v>
      </c>
      <c r="I5507" s="26" t="str">
        <f>IF(OR(E5507="",E5507="!!!",F5507="NEW"),"",INDEX(B5506:B$2,-1+SUMPRODUCT(MAX(ROW(E5506:E$2)*(E5507=E5506:E$2)))))</f>
        <v> </v>
      </c>
      <c r="J5507" s="26" t="str">
        <f>IF(OR(E5507="",E5507="!!!",F5507="NEW"),"",COUNTBLANK(OFFSET(A$1,,,SUMPRODUCT(MAX(ROW(E$2:E5507)*(E5507=E$2:E5507)))))-COUNTBLANK(OFFSET(A$1,,,SUMPRODUCT(MAX(ROW(E$1:E5506)*(E2=E$1:E5506))))))</f>
        <v> </v>
      </c>
      <c r="K5507" s="26" t="str">
        <f>IF(OR(E5507="",E5507="!!!",F5507="NEW"),"",INDEX(J$1:J5506,SUMPRODUCT(MAX(ROW(E$1:E5506)*(E5507=E$1:E5506)))))</f>
        <v> </v>
      </c>
      <c r="L5507" s="27"/>
    </row>
    <row r="5508" spans="1:12">
      <c r="A5508" s="20" t="s">
        <v>1132</v>
      </c>
      <c r="E5508" s="22">
        <f>IF(D5508="?OLD","!!!","")</f>
        <v/>
      </c>
      <c r="F5508" s="23" t="str">
        <f>IF(OR(E5508="",E5508="!!!"),"",IF(NOT(ISNA(VLOOKUP(E5508,E$1:E5507,1,FALSE()))),"OLD",IF(AND(E5508&lt;&gt;"",E5508&lt;&gt;"!!!"),"NEW","")))</f>
        <v> </v>
      </c>
      <c r="G5508" s="24" t="str">
        <f>IF(OR(E5508="",E5508="!!!"),"",IF(OR(J5508=0,AND(J5508=1,K5508=1),AND(J5508=1,I5508="SBJ"),AND(J5508=1,I5508=0)),"?IN_FOCUS",IF(J5508&lt;=2,"?ACTIVATED",IF(J5508&lt;&gt;"","?FAMILIAR",IF(F5508="NEW",IF(ISNA(VLOOKUP(E5508,#REF!,1,FALSE())),"?TYPE_IDENTIFIABLE","?REFERENTIAL"),"_")))))</f>
        <v> </v>
      </c>
      <c r="H5508" s="25" t="str">
        <f>IF(J5508&lt;&gt;1,"",IF(I5508="SBJ","CB","?"))</f>
        <v> </v>
      </c>
      <c r="I5508" s="26" t="str">
        <f>IF(OR(E5508="",E5508="!!!",F5508="NEW"),"",INDEX(B5507:B$2,-1+SUMPRODUCT(MAX(ROW(E5507:E$2)*(E5508=E5507:E$2)))))</f>
        <v> </v>
      </c>
      <c r="J5508" s="26" t="str">
        <f>IF(OR(E5508="",E5508="!!!",F5508="NEW"),"",COUNTBLANK(OFFSET(A$1,,,SUMPRODUCT(MAX(ROW(E$2:E5508)*(E5508=E$2:E5508)))))-COUNTBLANK(OFFSET(A$1,,,SUMPRODUCT(MAX(ROW(E$1:E5507)*(E2=E$1:E5507))))))</f>
        <v> </v>
      </c>
      <c r="K5508" s="26" t="str">
        <f>IF(OR(E5508="",E5508="!!!",F5508="NEW"),"",INDEX(J$1:J5507,SUMPRODUCT(MAX(ROW(E$1:E5507)*(E5508=E$1:E5507)))))</f>
        <v> </v>
      </c>
      <c r="L5508" s="27"/>
    </row>
    <row r="5509" spans="1:12">
      <c r="A5509" s="20" t="s">
        <v>1931</v>
      </c>
      <c r="E5509" s="22">
        <f>IF(D5509="?OLD","!!!","")</f>
        <v/>
      </c>
      <c r="F5509" s="23" t="str">
        <f>IF(OR(E5509="",E5509="!!!"),"",IF(NOT(ISNA(VLOOKUP(E5509,E$1:E5508,1,FALSE()))),"OLD",IF(AND(E5509&lt;&gt;"",E5509&lt;&gt;"!!!"),"NEW","")))</f>
        <v> </v>
      </c>
      <c r="G5509" s="24" t="str">
        <f>IF(OR(E5509="",E5509="!!!"),"",IF(OR(J5509=0,AND(J5509=1,K5509=1),AND(J5509=1,I5509="SBJ"),AND(J5509=1,I5509=0)),"?IN_FOCUS",IF(J5509&lt;=2,"?ACTIVATED",IF(J5509&lt;&gt;"","?FAMILIAR",IF(F5509="NEW",IF(ISNA(VLOOKUP(E5509,#REF!,1,FALSE())),"?TYPE_IDENTIFIABLE","?REFERENTIAL"),"_")))))</f>
        <v> </v>
      </c>
      <c r="H5509" s="25" t="str">
        <f>IF(J5509&lt;&gt;1,"",IF(I5509="SBJ","CB","?"))</f>
        <v> </v>
      </c>
      <c r="I5509" s="26" t="str">
        <f>IF(OR(E5509="",E5509="!!!",F5509="NEW"),"",INDEX(B5508:B$2,-1+SUMPRODUCT(MAX(ROW(E5508:E$2)*(E5509=E5508:E$2)))))</f>
        <v> </v>
      </c>
      <c r="J5509" s="26" t="str">
        <f>IF(OR(E5509="",E5509="!!!",F5509="NEW"),"",COUNTBLANK(OFFSET(A$1,,,SUMPRODUCT(MAX(ROW(E$2:E5509)*(E5509=E$2:E5509)))))-COUNTBLANK(OFFSET(A$1,,,SUMPRODUCT(MAX(ROW(E$1:E5508)*(E2=E$1:E5508))))))</f>
        <v> </v>
      </c>
      <c r="K5509" s="26" t="str">
        <f>IF(OR(E5509="",E5509="!!!",F5509="NEW"),"",INDEX(J$1:J5508,SUMPRODUCT(MAX(ROW(E$1:E5508)*(E5509=E$1:E5508)))))</f>
        <v> </v>
      </c>
      <c r="L5509" s="27"/>
    </row>
    <row r="5510" spans="1:12">
      <c r="A5510" s="20" t="s">
        <v>1121</v>
      </c>
      <c r="B5510" s="21" t="s">
        <v>1175</v>
      </c>
      <c r="C5510" s="21" t="s">
        <v>1010</v>
      </c>
      <c r="D5510" s="21" t="s">
        <v>1011</v>
      </c>
      <c r="E5510" s="22">
        <f>IF(D5510="?OLD","!!!","")</f>
        <v/>
      </c>
      <c r="F5510" s="23" t="str">
        <f>IF(OR(E5510="",E5510="!!!"),"",IF(NOT(ISNA(VLOOKUP(E5510,E$1:E5509,1,FALSE()))),"OLD",IF(AND(E5510&lt;&gt;"",E5510&lt;&gt;"!!!"),"NEW","")))</f>
        <v> </v>
      </c>
      <c r="G5510" s="24" t="str">
        <f>IF(OR(E5510="",E5510="!!!"),"",IF(OR(J5510=0,AND(J5510=1,K5510=1),AND(J5510=1,I5510="SBJ"),AND(J5510=1,I5510=0)),"?IN_FOCUS",IF(J5510&lt;=2,"?ACTIVATED",IF(J5510&lt;&gt;"","?FAMILIAR",IF(F5510="NEW",IF(ISNA(VLOOKUP(E5510,#REF!,1,FALSE())),"?TYPE_IDENTIFIABLE","?REFERENTIAL"),"_")))))</f>
        <v> </v>
      </c>
      <c r="H5510" s="25" t="str">
        <f>IF(J5510&lt;&gt;1,"",IF(I5510="SBJ","CB","?"))</f>
        <v> </v>
      </c>
      <c r="I5510" s="26" t="str">
        <f>IF(OR(E5510="",E5510="!!!",F5510="NEW"),"",INDEX(B5509:B$2,-1+SUMPRODUCT(MAX(ROW(E5509:E$2)*(E5510=E5509:E$2)))))</f>
        <v> </v>
      </c>
      <c r="J5510" s="26" t="str">
        <f>IF(OR(E5510="",E5510="!!!",F5510="NEW"),"",COUNTBLANK(OFFSET(A$1,,,SUMPRODUCT(MAX(ROW(E$2:E5510)*(E5510=E$2:E5510)))))-COUNTBLANK(OFFSET(A$1,,,SUMPRODUCT(MAX(ROW(E$1:E5509)*(E2=E$1:E5509))))))</f>
        <v> </v>
      </c>
      <c r="K5510" s="26" t="str">
        <f>IF(OR(E5510="",E5510="!!!",F5510="NEW"),"",INDEX(J$1:J5509,SUMPRODUCT(MAX(ROW(E$1:E5509)*(E5510=E$1:E5509)))))</f>
        <v> </v>
      </c>
      <c r="L5510" s="27"/>
    </row>
    <row r="5511" spans="1:12">
      <c r="A5511" s="20" t="s">
        <v>2229</v>
      </c>
      <c r="E5511" s="22">
        <f>IF(D5511="?OLD","!!!","")</f>
        <v/>
      </c>
      <c r="F5511" s="23" t="str">
        <f>IF(OR(E5511="",E5511="!!!"),"",IF(NOT(ISNA(VLOOKUP(E5511,E$1:E5510,1,FALSE()))),"OLD",IF(AND(E5511&lt;&gt;"",E5511&lt;&gt;"!!!"),"NEW","")))</f>
        <v> </v>
      </c>
      <c r="G5511" s="24" t="str">
        <f>IF(OR(E5511="",E5511="!!!"),"",IF(OR(J5511=0,AND(J5511=1,K5511=1),AND(J5511=1,I5511="SBJ"),AND(J5511=1,I5511=0)),"?IN_FOCUS",IF(J5511&lt;=2,"?ACTIVATED",IF(J5511&lt;&gt;"","?FAMILIAR",IF(F5511="NEW",IF(ISNA(VLOOKUP(E5511,#REF!,1,FALSE())),"?TYPE_IDENTIFIABLE","?REFERENTIAL"),"_")))))</f>
        <v> </v>
      </c>
      <c r="H5511" s="25" t="str">
        <f>IF(J5511&lt;&gt;1,"",IF(I5511="SBJ","CB","?"))</f>
        <v> </v>
      </c>
      <c r="I5511" s="26" t="str">
        <f>IF(OR(E5511="",E5511="!!!",F5511="NEW"),"",INDEX(B5510:B$2,-1+SUMPRODUCT(MAX(ROW(E5510:E$2)*(E5511=E5510:E$2)))))</f>
        <v> </v>
      </c>
      <c r="J5511" s="26" t="str">
        <f>IF(OR(E5511="",E5511="!!!",F5511="NEW"),"",COUNTBLANK(OFFSET(A$1,,,SUMPRODUCT(MAX(ROW(E$2:E5511)*(E5511=E$2:E5511)))))-COUNTBLANK(OFFSET(A$1,,,SUMPRODUCT(MAX(ROW(E$1:E5510)*(E2=E$1:E5510))))))</f>
        <v> </v>
      </c>
      <c r="K5511" s="26" t="str">
        <f>IF(OR(E5511="",E5511="!!!",F5511="NEW"),"",INDEX(J$1:J5510,SUMPRODUCT(MAX(ROW(E$1:E5510)*(E5511=E$1:E5510)))))</f>
        <v> </v>
      </c>
      <c r="L5511" s="27"/>
    </row>
    <row r="5512" spans="1:12">
      <c r="A5512" s="20" t="s">
        <v>114</v>
      </c>
      <c r="E5512" s="22">
        <f>IF(D5512="?OLD","!!!","")</f>
        <v/>
      </c>
      <c r="F5512" s="23" t="str">
        <f>IF(OR(E5512="",E5512="!!!"),"",IF(NOT(ISNA(VLOOKUP(E5512,E$1:E5511,1,FALSE()))),"OLD",IF(AND(E5512&lt;&gt;"",E5512&lt;&gt;"!!!"),"NEW","")))</f>
        <v> </v>
      </c>
      <c r="G5512" s="24" t="str">
        <f>IF(OR(E5512="",E5512="!!!"),"",IF(OR(J5512=0,AND(J5512=1,K5512=1),AND(J5512=1,I5512="SBJ"),AND(J5512=1,I5512=0)),"?IN_FOCUS",IF(J5512&lt;=2,"?ACTIVATED",IF(J5512&lt;&gt;"","?FAMILIAR",IF(F5512="NEW",IF(ISNA(VLOOKUP(E5512,#REF!,1,FALSE())),"?TYPE_IDENTIFIABLE","?REFERENTIAL"),"_")))))</f>
        <v> </v>
      </c>
      <c r="H5512" s="25" t="str">
        <f>IF(J5512&lt;&gt;1,"",IF(I5512="SBJ","CB","?"))</f>
        <v> </v>
      </c>
      <c r="I5512" s="26" t="str">
        <f>IF(OR(E5512="",E5512="!!!",F5512="NEW"),"",INDEX(B5511:B$2,-1+SUMPRODUCT(MAX(ROW(E5511:E$2)*(E5512=E5511:E$2)))))</f>
        <v> </v>
      </c>
      <c r="J5512" s="26" t="str">
        <f>IF(OR(E5512="",E5512="!!!",F5512="NEW"),"",COUNTBLANK(OFFSET(A$1,,,SUMPRODUCT(MAX(ROW(E$2:E5512)*(E5512=E$2:E5512)))))-COUNTBLANK(OFFSET(A$1,,,SUMPRODUCT(MAX(ROW(E$1:E5511)*(E2=E$1:E5511))))))</f>
        <v> </v>
      </c>
      <c r="K5512" s="26" t="str">
        <f>IF(OR(E5512="",E5512="!!!",F5512="NEW"),"",INDEX(J$1:J5511,SUMPRODUCT(MAX(ROW(E$1:E5511)*(E5512=E$1:E5511)))))</f>
        <v> </v>
      </c>
      <c r="L5512" s="27"/>
    </row>
    <row r="5513" spans="1:12">
      <c r="A5513" s="20" t="s">
        <v>1285</v>
      </c>
      <c r="E5513" s="22">
        <f>IF(D5513="?OLD","!!!","")</f>
        <v/>
      </c>
      <c r="F5513" s="23" t="str">
        <f>IF(OR(E5513="",E5513="!!!"),"",IF(NOT(ISNA(VLOOKUP(E5513,E$1:E5512,1,FALSE()))),"OLD",IF(AND(E5513&lt;&gt;"",E5513&lt;&gt;"!!!"),"NEW","")))</f>
        <v> </v>
      </c>
      <c r="G5513" s="24" t="str">
        <f>IF(OR(E5513="",E5513="!!!"),"",IF(OR(J5513=0,AND(J5513=1,K5513=1),AND(J5513=1,I5513="SBJ"),AND(J5513=1,I5513=0)),"?IN_FOCUS",IF(J5513&lt;=2,"?ACTIVATED",IF(J5513&lt;&gt;"","?FAMILIAR",IF(F5513="NEW",IF(ISNA(VLOOKUP(E5513,#REF!,1,FALSE())),"?TYPE_IDENTIFIABLE","?REFERENTIAL"),"_")))))</f>
        <v> </v>
      </c>
      <c r="H5513" s="25" t="str">
        <f>IF(J5513&lt;&gt;1,"",IF(I5513="SBJ","CB","?"))</f>
        <v> </v>
      </c>
      <c r="I5513" s="26" t="str">
        <f>IF(OR(E5513="",E5513="!!!",F5513="NEW"),"",INDEX(B5512:B$2,-1+SUMPRODUCT(MAX(ROW(E5512:E$2)*(E5513=E5512:E$2)))))</f>
        <v> </v>
      </c>
      <c r="J5513" s="26" t="str">
        <f>IF(OR(E5513="",E5513="!!!",F5513="NEW"),"",COUNTBLANK(OFFSET(A$1,,,SUMPRODUCT(MAX(ROW(E$2:E5513)*(E5513=E$2:E5513)))))-COUNTBLANK(OFFSET(A$1,,,SUMPRODUCT(MAX(ROW(E$1:E5512)*(E2=E$1:E5512))))))</f>
        <v> </v>
      </c>
      <c r="K5513" s="26" t="str">
        <f>IF(OR(E5513="",E5513="!!!",F5513="NEW"),"",INDEX(J$1:J5512,SUMPRODUCT(MAX(ROW(E$1:E5512)*(E5513=E$1:E5512)))))</f>
        <v> </v>
      </c>
      <c r="L5513" s="27"/>
    </row>
    <row r="5514" spans="1:12">
      <c r="A5514" s="20" t="s">
        <v>1197</v>
      </c>
      <c r="B5514" s="21" t="s">
        <v>1142</v>
      </c>
      <c r="C5514" s="21" t="s">
        <v>1017</v>
      </c>
      <c r="E5514" s="22">
        <f>IF(D5514="?OLD","!!!","")</f>
        <v/>
      </c>
      <c r="F5514" s="23" t="str">
        <f>IF(OR(E5514="",E5514="!!!"),"",IF(NOT(ISNA(VLOOKUP(E5514,E$1:E5513,1,FALSE()))),"OLD",IF(AND(E5514&lt;&gt;"",E5514&lt;&gt;"!!!"),"NEW","")))</f>
        <v> </v>
      </c>
      <c r="G5514" s="24" t="str">
        <f>IF(OR(E5514="",E5514="!!!"),"",IF(OR(J5514=0,AND(J5514=1,K5514=1),AND(J5514=1,I5514="SBJ"),AND(J5514=1,I5514=0)),"?IN_FOCUS",IF(J5514&lt;=2,"?ACTIVATED",IF(J5514&lt;&gt;"","?FAMILIAR",IF(F5514="NEW",IF(ISNA(VLOOKUP(E5514,#REF!,1,FALSE())),"?TYPE_IDENTIFIABLE","?REFERENTIAL"),"_")))))</f>
        <v> </v>
      </c>
      <c r="H5514" s="25" t="str">
        <f>IF(J5514&lt;&gt;1,"",IF(I5514="SBJ","CB","?"))</f>
        <v> </v>
      </c>
      <c r="I5514" s="26" t="str">
        <f>IF(OR(E5514="",E5514="!!!",F5514="NEW"),"",INDEX(B5513:B$2,-1+SUMPRODUCT(MAX(ROW(E5513:E$2)*(E5514=E5513:E$2)))))</f>
        <v> </v>
      </c>
      <c r="J5514" s="26" t="str">
        <f>IF(OR(E5514="",E5514="!!!",F5514="NEW"),"",COUNTBLANK(OFFSET(A$1,,,SUMPRODUCT(MAX(ROW(E$2:E5514)*(E5514=E$2:E5514)))))-COUNTBLANK(OFFSET(A$1,,,SUMPRODUCT(MAX(ROW(E$1:E5513)*(E2=E$1:E5513))))))</f>
        <v> </v>
      </c>
      <c r="K5514" s="26" t="str">
        <f>IF(OR(E5514="",E5514="!!!",F5514="NEW"),"",INDEX(J$1:J5513,SUMPRODUCT(MAX(ROW(E$1:E5513)*(E5514=E$1:E5513)))))</f>
        <v> </v>
      </c>
      <c r="L5514" s="27"/>
    </row>
    <row r="5515" spans="1:12">
      <c r="A5515" s="20" t="s">
        <v>1022</v>
      </c>
      <c r="E5515" s="22">
        <f>IF(D5515="?OLD","!!!","")</f>
        <v/>
      </c>
      <c r="F5515" s="23" t="str">
        <f>IF(OR(E5515="",E5515="!!!"),"",IF(NOT(ISNA(VLOOKUP(E5515,E$1:E5514,1,FALSE()))),"OLD",IF(AND(E5515&lt;&gt;"",E5515&lt;&gt;"!!!"),"NEW","")))</f>
        <v> </v>
      </c>
      <c r="G5515" s="24" t="str">
        <f>IF(OR(E5515="",E5515="!!!"),"",IF(OR(J5515=0,AND(J5515=1,K5515=1),AND(J5515=1,I5515="SBJ"),AND(J5515=1,I5515=0)),"?IN_FOCUS",IF(J5515&lt;=2,"?ACTIVATED",IF(J5515&lt;&gt;"","?FAMILIAR",IF(F5515="NEW",IF(ISNA(VLOOKUP(E5515,#REF!,1,FALSE())),"?TYPE_IDENTIFIABLE","?REFERENTIAL"),"_")))))</f>
        <v> </v>
      </c>
      <c r="H5515" s="25" t="str">
        <f>IF(J5515&lt;&gt;1,"",IF(I5515="SBJ","CB","?"))</f>
        <v> </v>
      </c>
      <c r="I5515" s="26" t="str">
        <f>IF(OR(E5515="",E5515="!!!",F5515="NEW"),"",INDEX(B5514:B$2,-1+SUMPRODUCT(MAX(ROW(E5514:E$2)*(E5515=E5514:E$2)))))</f>
        <v> </v>
      </c>
      <c r="J5515" s="26" t="str">
        <f>IF(OR(E5515="",E5515="!!!",F5515="NEW"),"",COUNTBLANK(OFFSET(A$1,,,SUMPRODUCT(MAX(ROW(E$2:E5515)*(E5515=E$2:E5515)))))-COUNTBLANK(OFFSET(A$1,,,SUMPRODUCT(MAX(ROW(E$1:E5514)*(E2=E$1:E5514))))))</f>
        <v> </v>
      </c>
      <c r="K5515" s="26" t="str">
        <f>IF(OR(E5515="",E5515="!!!",F5515="NEW"),"",INDEX(J$1:J5514,SUMPRODUCT(MAX(ROW(E$1:E5514)*(E5515=E$1:E5514)))))</f>
        <v> </v>
      </c>
      <c r="L5515" s="27"/>
    </row>
    <row r="5516" spans="1:12">
      <c r="A5516" s="20"/>
    </row>
    <row r="5517" spans="1:12">
      <c r="A5517" s="20" t="s">
        <v>1264</v>
      </c>
      <c r="E5517" s="22">
        <f>IF(D5517="?OLD","!!!","")</f>
        <v/>
      </c>
      <c r="F5517" s="23" t="str">
        <f>IF(OR(E5517="",E5517="!!!"),"",IF(NOT(ISNA(VLOOKUP(E5517,E$1:E5516,1,FALSE()))),"OLD",IF(AND(E5517&lt;&gt;"",E5517&lt;&gt;"!!!"),"NEW","")))</f>
        <v> </v>
      </c>
      <c r="G5517" s="24" t="str">
        <f>IF(OR(E5517="",E5517="!!!"),"",IF(OR(J5517=0,AND(J5517=1,K5517=1),AND(J5517=1,I5517="SBJ"),AND(J5517=1,I5517=0)),"?IN_FOCUS",IF(J5517&lt;=2,"?ACTIVATED",IF(J5517&lt;&gt;"","?FAMILIAR",IF(F5517="NEW",IF(ISNA(VLOOKUP(E5517,#REF!,1,FALSE())),"?TYPE_IDENTIFIABLE","?REFERENTIAL"),"_")))))</f>
        <v> </v>
      </c>
      <c r="H5517" s="25" t="str">
        <f>IF(J5517&lt;&gt;1,"",IF(I5517="SBJ","CB","?"))</f>
        <v> </v>
      </c>
      <c r="I5517" s="26" t="str">
        <f>IF(OR(E5517="",E5517="!!!",F5517="NEW"),"",INDEX(B5516:B$2,-1+SUMPRODUCT(MAX(ROW(E5516:E$2)*(E5517=E5516:E$2)))))</f>
        <v> </v>
      </c>
      <c r="J5517" s="26" t="str">
        <f>IF(OR(E5517="",E5517="!!!",F5517="NEW"),"",COUNTBLANK(OFFSET(A$1,,,SUMPRODUCT(MAX(ROW(E$2:E5517)*(E5517=E$2:E5517)))))-COUNTBLANK(OFFSET(A$1,,,SUMPRODUCT(MAX(ROW(E$1:E5516)*(E2=E$1:E5516))))))</f>
        <v> </v>
      </c>
      <c r="K5517" s="26" t="str">
        <f>IF(OR(E5517="",E5517="!!!",F5517="NEW"),"",INDEX(J$1:J5516,SUMPRODUCT(MAX(ROW(E$1:E5516)*(E5517=E$1:E5516)))))</f>
        <v> </v>
      </c>
      <c r="L5517" s="27"/>
    </row>
    <row r="5518" spans="1:12">
      <c r="A5518" s="20" t="s">
        <v>2230</v>
      </c>
    </row>
    <row r="5519" spans="1:12">
      <c r="A5519" s="20" t="s">
        <v>1066</v>
      </c>
      <c r="E5519" s="22">
        <f>IF(D5519="?OLD","!!!","")</f>
        <v/>
      </c>
      <c r="F5519" s="23" t="str">
        <f>IF(OR(E5519="",E5519="!!!"),"",IF(NOT(ISNA(VLOOKUP(E5519,E$1:E5518,1,FALSE()))),"OLD",IF(AND(E5519&lt;&gt;"",E5519&lt;&gt;"!!!"),"NEW","")))</f>
        <v> </v>
      </c>
      <c r="G5519" s="24" t="str">
        <f>IF(OR(E5519="",E5519="!!!"),"",IF(OR(J5519=0,AND(J5519=1,K5519=1),AND(J5519=1,I5519="SBJ"),AND(J5519=1,I5519=0)),"?IN_FOCUS",IF(J5519&lt;=2,"?ACTIVATED",IF(J5519&lt;&gt;"","?FAMILIAR",IF(F5519="NEW",IF(ISNA(VLOOKUP(E5519,#REF!,1,FALSE())),"?TYPE_IDENTIFIABLE","?REFERENTIAL"),"_")))))</f>
        <v> </v>
      </c>
      <c r="H5519" s="25" t="str">
        <f>IF(J5519&lt;&gt;1,"",IF(I5519="SBJ","CB","?"))</f>
        <v> </v>
      </c>
      <c r="I5519" s="26" t="str">
        <f>IF(OR(E5519="",E5519="!!!",F5519="NEW"),"",INDEX(B5518:B$2,-1+SUMPRODUCT(MAX(ROW(E5518:E$2)*(E5519=E5518:E$2)))))</f>
        <v> </v>
      </c>
      <c r="J5519" s="26" t="str">
        <f>IF(OR(E5519="",E5519="!!!",F5519="NEW"),"",COUNTBLANK(OFFSET(A$1,,,SUMPRODUCT(MAX(ROW(E$2:E5519)*(E5519=E$2:E5519)))))-COUNTBLANK(OFFSET(A$1,,,SUMPRODUCT(MAX(ROW(E$1:E5518)*(E2=E$1:E5518))))))</f>
        <v> </v>
      </c>
      <c r="K5519" s="26" t="str">
        <f>IF(OR(E5519="",E5519="!!!",F5519="NEW"),"",INDEX(J$1:J5518,SUMPRODUCT(MAX(ROW(E$1:E5518)*(E5519=E$1:E5518)))))</f>
        <v> </v>
      </c>
      <c r="L5519" s="27"/>
    </row>
    <row r="5520" spans="1:12">
      <c r="A5520" s="20" t="s">
        <v>1008</v>
      </c>
      <c r="B5520" s="21" t="s">
        <v>1009</v>
      </c>
      <c r="C5520" s="21" t="s">
        <v>1010</v>
      </c>
      <c r="D5520" s="21" t="s">
        <v>1011</v>
      </c>
      <c r="E5520" s="22">
        <f>IF(D5520="?OLD","!!!","")</f>
        <v/>
      </c>
      <c r="F5520" s="23" t="str">
        <f>IF(OR(E5520="",E5520="!!!"),"",IF(NOT(ISNA(VLOOKUP(E5520,E$1:E5519,1,FALSE()))),"OLD",IF(AND(E5520&lt;&gt;"",E5520&lt;&gt;"!!!"),"NEW","")))</f>
        <v> </v>
      </c>
      <c r="G5520" s="24" t="str">
        <f>IF(OR(E5520="",E5520="!!!"),"",IF(OR(J5520=0,AND(J5520=1,K5520=1),AND(J5520=1,I5520="SBJ"),AND(J5520=1,I5520=0)),"?IN_FOCUS",IF(J5520&lt;=2,"?ACTIVATED",IF(J5520&lt;&gt;"","?FAMILIAR",IF(F5520="NEW",IF(ISNA(VLOOKUP(E5520,#REF!,1,FALSE())),"?TYPE_IDENTIFIABLE","?REFERENTIAL"),"_")))))</f>
        <v> </v>
      </c>
      <c r="H5520" s="25" t="str">
        <f>IF(J5520&lt;&gt;1,"",IF(I5520="SBJ","CB","?"))</f>
        <v> </v>
      </c>
      <c r="I5520" s="26" t="str">
        <f>IF(OR(E5520="",E5520="!!!",F5520="NEW"),"",INDEX(B5519:B$2,-1+SUMPRODUCT(MAX(ROW(E5519:E$2)*(E5520=E5519:E$2)))))</f>
        <v> </v>
      </c>
      <c r="J5520" s="26" t="str">
        <f>IF(OR(E5520="",E5520="!!!",F5520="NEW"),"",COUNTBLANK(OFFSET(A$1,,,SUMPRODUCT(MAX(ROW(E$2:E5520)*(E5520=E$2:E5520)))))-COUNTBLANK(OFFSET(A$1,,,SUMPRODUCT(MAX(ROW(E$1:E5519)*(E2=E$1:E5519))))))</f>
        <v> </v>
      </c>
      <c r="K5520" s="26" t="str">
        <f>IF(OR(E5520="",E5520="!!!",F5520="NEW"),"",INDEX(J$1:J5519,SUMPRODUCT(MAX(ROW(E$1:E5519)*(E5520=E$1:E5519)))))</f>
        <v> </v>
      </c>
      <c r="L5520" s="27"/>
    </row>
    <row r="5521" spans="1:12">
      <c r="A5521" s="20" t="s">
        <v>932</v>
      </c>
      <c r="E5521" s="22">
        <f>IF(D5521="?OLD","!!!","")</f>
        <v/>
      </c>
      <c r="F5521" s="23" t="str">
        <f>IF(OR(E5521="",E5521="!!!"),"",IF(NOT(ISNA(VLOOKUP(E5521,E$1:E5520,1,FALSE()))),"OLD",IF(AND(E5521&lt;&gt;"",E5521&lt;&gt;"!!!"),"NEW","")))</f>
        <v> </v>
      </c>
      <c r="G5521" s="24" t="str">
        <f>IF(OR(E5521="",E5521="!!!"),"",IF(OR(J5521=0,AND(J5521=1,K5521=1),AND(J5521=1,I5521="SBJ"),AND(J5521=1,I5521=0)),"?IN_FOCUS",IF(J5521&lt;=2,"?ACTIVATED",IF(J5521&lt;&gt;"","?FAMILIAR",IF(F5521="NEW",IF(ISNA(VLOOKUP(E5521,#REF!,1,FALSE())),"?TYPE_IDENTIFIABLE","?REFERENTIAL"),"_")))))</f>
        <v> </v>
      </c>
      <c r="H5521" s="25" t="str">
        <f>IF(J5521&lt;&gt;1,"",IF(I5521="SBJ","CB","?"))</f>
        <v> </v>
      </c>
      <c r="I5521" s="26" t="str">
        <f>IF(OR(E5521="",E5521="!!!",F5521="NEW"),"",INDEX(B5520:B$2,-1+SUMPRODUCT(MAX(ROW(E5520:E$2)*(E5521=E5520:E$2)))))</f>
        <v> </v>
      </c>
      <c r="J5521" s="26" t="str">
        <f>IF(OR(E5521="",E5521="!!!",F5521="NEW"),"",COUNTBLANK(OFFSET(A$1,,,SUMPRODUCT(MAX(ROW(E$2:E5521)*(E5521=E$2:E5521)))))-COUNTBLANK(OFFSET(A$1,,,SUMPRODUCT(MAX(ROW(E$1:E5520)*(E2=E$1:E5520))))))</f>
        <v> </v>
      </c>
      <c r="K5521" s="26" t="str">
        <f>IF(OR(E5521="",E5521="!!!",F5521="NEW"),"",INDEX(J$1:J5520,SUMPRODUCT(MAX(ROW(E$1:E5520)*(E5521=E$1:E5520)))))</f>
        <v> </v>
      </c>
      <c r="L5521" s="27"/>
    </row>
    <row r="5522" spans="1:12">
      <c r="A5522" s="20" t="s">
        <v>1008</v>
      </c>
      <c r="B5522" s="21" t="s">
        <v>1039</v>
      </c>
      <c r="C5522" s="21" t="s">
        <v>1010</v>
      </c>
      <c r="D5522" s="21" t="s">
        <v>1011</v>
      </c>
      <c r="E5522" s="22">
        <f>IF(D5522="?OLD","!!!","")</f>
        <v/>
      </c>
      <c r="F5522" s="23" t="str">
        <f>IF(OR(E5522="",E5522="!!!"),"",IF(NOT(ISNA(VLOOKUP(E5522,E$1:E5521,1,FALSE()))),"OLD",IF(AND(E5522&lt;&gt;"",E5522&lt;&gt;"!!!"),"NEW","")))</f>
        <v> </v>
      </c>
      <c r="G5522" s="24" t="str">
        <f>IF(OR(E5522="",E5522="!!!"),"",IF(OR(J5522=0,AND(J5522=1,K5522=1),AND(J5522=1,I5522="SBJ"),AND(J5522=1,I5522=0)),"?IN_FOCUS",IF(J5522&lt;=2,"?ACTIVATED",IF(J5522&lt;&gt;"","?FAMILIAR",IF(F5522="NEW",IF(ISNA(VLOOKUP(E5522,#REF!,1,FALSE())),"?TYPE_IDENTIFIABLE","?REFERENTIAL"),"_")))))</f>
        <v> </v>
      </c>
      <c r="H5522" s="25" t="str">
        <f>IF(J5522&lt;&gt;1,"",IF(I5522="SBJ","CB","?"))</f>
        <v> </v>
      </c>
      <c r="I5522" s="26" t="str">
        <f>IF(OR(E5522="",E5522="!!!",F5522="NEW"),"",INDEX(B5521:B$2,-1+SUMPRODUCT(MAX(ROW(E5521:E$2)*(E5522=E5521:E$2)))))</f>
        <v> </v>
      </c>
      <c r="J5522" s="26" t="str">
        <f>IF(OR(E5522="",E5522="!!!",F5522="NEW"),"",COUNTBLANK(OFFSET(A$1,,,SUMPRODUCT(MAX(ROW(E$2:E5522)*(E5522=E$2:E5522)))))-COUNTBLANK(OFFSET(A$1,,,SUMPRODUCT(MAX(ROW(E$1:E5521)*(E2=E$1:E5521))))))</f>
        <v> </v>
      </c>
      <c r="K5522" s="26" t="str">
        <f>IF(OR(E5522="",E5522="!!!",F5522="NEW"),"",INDEX(J$1:J5521,SUMPRODUCT(MAX(ROW(E$1:E5521)*(E5522=E$1:E5521)))))</f>
        <v> </v>
      </c>
      <c r="L5522" s="27"/>
    </row>
    <row r="5523" spans="1:12">
      <c r="A5523" s="20" t="s">
        <v>1745</v>
      </c>
      <c r="E5523" s="22">
        <f>IF(D5523="?OLD","!!!","")</f>
        <v/>
      </c>
      <c r="F5523" s="23" t="str">
        <f>IF(OR(E5523="",E5523="!!!"),"",IF(NOT(ISNA(VLOOKUP(E5523,E$1:E5522,1,FALSE()))),"OLD",IF(AND(E5523&lt;&gt;"",E5523&lt;&gt;"!!!"),"NEW","")))</f>
        <v> </v>
      </c>
      <c r="G5523" s="24" t="str">
        <f>IF(OR(E5523="",E5523="!!!"),"",IF(OR(J5523=0,AND(J5523=1,K5523=1),AND(J5523=1,I5523="SBJ"),AND(J5523=1,I5523=0)),"?IN_FOCUS",IF(J5523&lt;=2,"?ACTIVATED",IF(J5523&lt;&gt;"","?FAMILIAR",IF(F5523="NEW",IF(ISNA(VLOOKUP(E5523,#REF!,1,FALSE())),"?TYPE_IDENTIFIABLE","?REFERENTIAL"),"_")))))</f>
        <v> </v>
      </c>
      <c r="H5523" s="25" t="str">
        <f>IF(J5523&lt;&gt;1,"",IF(I5523="SBJ","CB","?"))</f>
        <v> </v>
      </c>
      <c r="I5523" s="26" t="str">
        <f>IF(OR(E5523="",E5523="!!!",F5523="NEW"),"",INDEX(B5522:B$2,-1+SUMPRODUCT(MAX(ROW(E5522:E$2)*(E5523=E5522:E$2)))))</f>
        <v> </v>
      </c>
      <c r="J5523" s="26" t="str">
        <f>IF(OR(E5523="",E5523="!!!",F5523="NEW"),"",COUNTBLANK(OFFSET(A$1,,,SUMPRODUCT(MAX(ROW(E$2:E5523)*(E5523=E$2:E5523)))))-COUNTBLANK(OFFSET(A$1,,,SUMPRODUCT(MAX(ROW(E$1:E5522)*(E2=E$1:E5522))))))</f>
        <v> </v>
      </c>
      <c r="K5523" s="26" t="str">
        <f>IF(OR(E5523="",E5523="!!!",F5523="NEW"),"",INDEX(J$1:J5522,SUMPRODUCT(MAX(ROW(E$1:E5522)*(E5523=E$1:E5522)))))</f>
        <v> </v>
      </c>
      <c r="L5523" s="27"/>
    </row>
    <row r="5524" spans="1:12">
      <c r="A5524" s="20" t="s">
        <v>2231</v>
      </c>
      <c r="E5524" s="22">
        <f>IF(D5524="?OLD","!!!","")</f>
        <v/>
      </c>
      <c r="F5524" s="23" t="str">
        <f>IF(OR(E5524="",E5524="!!!"),"",IF(NOT(ISNA(VLOOKUP(E5524,E$1:E5523,1,FALSE()))),"OLD",IF(AND(E5524&lt;&gt;"",E5524&lt;&gt;"!!!"),"NEW","")))</f>
        <v> </v>
      </c>
      <c r="G5524" s="24" t="str">
        <f>IF(OR(E5524="",E5524="!!!"),"",IF(OR(J5524=0,AND(J5524=1,K5524=1),AND(J5524=1,I5524="SBJ"),AND(J5524=1,I5524=0)),"?IN_FOCUS",IF(J5524&lt;=2,"?ACTIVATED",IF(J5524&lt;&gt;"","?FAMILIAR",IF(F5524="NEW",IF(ISNA(VLOOKUP(E5524,#REF!,1,FALSE())),"?TYPE_IDENTIFIABLE","?REFERENTIAL"),"_")))))</f>
        <v> </v>
      </c>
      <c r="H5524" s="25" t="str">
        <f>IF(J5524&lt;&gt;1,"",IF(I5524="SBJ","CB","?"))</f>
        <v> </v>
      </c>
      <c r="I5524" s="26" t="str">
        <f>IF(OR(E5524="",E5524="!!!",F5524="NEW"),"",INDEX(B5523:B$2,-1+SUMPRODUCT(MAX(ROW(E5523:E$2)*(E5524=E5523:E$2)))))</f>
        <v> </v>
      </c>
      <c r="J5524" s="26" t="str">
        <f>IF(OR(E5524="",E5524="!!!",F5524="NEW"),"",COUNTBLANK(OFFSET(A$1,,,SUMPRODUCT(MAX(ROW(E$2:E5524)*(E5524=E$2:E5524)))))-COUNTBLANK(OFFSET(A$1,,,SUMPRODUCT(MAX(ROW(E$1:E5523)*(E2=E$1:E5523))))))</f>
        <v> </v>
      </c>
      <c r="K5524" s="26" t="str">
        <f>IF(OR(E5524="",E5524="!!!",F5524="NEW"),"",INDEX(J$1:J5523,SUMPRODUCT(MAX(ROW(E$1:E5523)*(E5524=E$1:E5523)))))</f>
        <v> </v>
      </c>
      <c r="L5524" s="27"/>
    </row>
    <row r="5525" spans="1:12">
      <c r="A5525" s="20" t="s">
        <v>1121</v>
      </c>
      <c r="B5525" s="21" t="s">
        <v>1088</v>
      </c>
      <c r="C5525" s="21" t="s">
        <v>1010</v>
      </c>
      <c r="D5525" s="21" t="s">
        <v>1011</v>
      </c>
      <c r="E5525" s="22">
        <f>IF(D5525="?OLD","!!!","")</f>
        <v/>
      </c>
      <c r="F5525" s="23" t="str">
        <f>IF(OR(E5525="",E5525="!!!"),"",IF(NOT(ISNA(VLOOKUP(E5525,E$1:E5524,1,FALSE()))),"OLD",IF(AND(E5525&lt;&gt;"",E5525&lt;&gt;"!!!"),"NEW","")))</f>
        <v> </v>
      </c>
      <c r="G5525" s="24" t="str">
        <f>IF(OR(E5525="",E5525="!!!"),"",IF(OR(J5525=0,AND(J5525=1,K5525=1),AND(J5525=1,I5525="SBJ"),AND(J5525=1,I5525=0)),"?IN_FOCUS",IF(J5525&lt;=2,"?ACTIVATED",IF(J5525&lt;&gt;"","?FAMILIAR",IF(F5525="NEW",IF(ISNA(VLOOKUP(E5525,#REF!,1,FALSE())),"?TYPE_IDENTIFIABLE","?REFERENTIAL"),"_")))))</f>
        <v> </v>
      </c>
      <c r="H5525" s="25" t="str">
        <f>IF(J5525&lt;&gt;1,"",IF(I5525="SBJ","CB","?"))</f>
        <v> </v>
      </c>
      <c r="I5525" s="26" t="str">
        <f>IF(OR(E5525="",E5525="!!!",F5525="NEW"),"",INDEX(B5524:B$2,-1+SUMPRODUCT(MAX(ROW(E5524:E$2)*(E5525=E5524:E$2)))))</f>
        <v> </v>
      </c>
      <c r="J5525" s="26" t="str">
        <f>IF(OR(E5525="",E5525="!!!",F5525="NEW"),"",COUNTBLANK(OFFSET(A$1,,,SUMPRODUCT(MAX(ROW(E$2:E5525)*(E5525=E$2:E5525)))))-COUNTBLANK(OFFSET(A$1,,,SUMPRODUCT(MAX(ROW(E$1:E5524)*(E2=E$1:E5524))))))</f>
        <v> </v>
      </c>
      <c r="K5525" s="26" t="str">
        <f>IF(OR(E5525="",E5525="!!!",F5525="NEW"),"",INDEX(J$1:J5524,SUMPRODUCT(MAX(ROW(E$1:E5524)*(E5525=E$1:E5524)))))</f>
        <v> </v>
      </c>
      <c r="L5525" s="27"/>
    </row>
    <row r="5526" spans="1:12">
      <c r="A5526" s="20" t="s">
        <v>1032</v>
      </c>
      <c r="E5526" s="22">
        <f>IF(D5526="?OLD","!!!","")</f>
        <v/>
      </c>
      <c r="F5526" s="23" t="str">
        <f>IF(OR(E5526="",E5526="!!!"),"",IF(NOT(ISNA(VLOOKUP(E5526,E$1:E5525,1,FALSE()))),"OLD",IF(AND(E5526&lt;&gt;"",E5526&lt;&gt;"!!!"),"NEW","")))</f>
        <v> </v>
      </c>
      <c r="G5526" s="24" t="str">
        <f>IF(OR(E5526="",E5526="!!!"),"",IF(OR(J5526=0,AND(J5526=1,K5526=1),AND(J5526=1,I5526="SBJ"),AND(J5526=1,I5526=0)),"?IN_FOCUS",IF(J5526&lt;=2,"?ACTIVATED",IF(J5526&lt;&gt;"","?FAMILIAR",IF(F5526="NEW",IF(ISNA(VLOOKUP(E5526,#REF!,1,FALSE())),"?TYPE_IDENTIFIABLE","?REFERENTIAL"),"_")))))</f>
        <v> </v>
      </c>
      <c r="H5526" s="25" t="str">
        <f>IF(J5526&lt;&gt;1,"",IF(I5526="SBJ","CB","?"))</f>
        <v> </v>
      </c>
      <c r="I5526" s="26" t="str">
        <f>IF(OR(E5526="",E5526="!!!",F5526="NEW"),"",INDEX(B5525:B$2,-1+SUMPRODUCT(MAX(ROW(E5525:E$2)*(E5526=E5525:E$2)))))</f>
        <v> </v>
      </c>
      <c r="J5526" s="26" t="str">
        <f>IF(OR(E5526="",E5526="!!!",F5526="NEW"),"",COUNTBLANK(OFFSET(A$1,,,SUMPRODUCT(MAX(ROW(E$2:E5526)*(E5526=E$2:E5526)))))-COUNTBLANK(OFFSET(A$1,,,SUMPRODUCT(MAX(ROW(E$1:E5525)*(E2=E$1:E5525))))))</f>
        <v> </v>
      </c>
      <c r="K5526" s="26" t="str">
        <f>IF(OR(E5526="",E5526="!!!",F5526="NEW"),"",INDEX(J$1:J5525,SUMPRODUCT(MAX(ROW(E$1:E5525)*(E5526=E$1:E5525)))))</f>
        <v> </v>
      </c>
      <c r="L5526" s="27"/>
    </row>
    <row r="5527" spans="1:12">
      <c r="A5527" s="20" t="s">
        <v>1033</v>
      </c>
      <c r="E5527" s="22">
        <f>IF(D5527="?OLD","!!!","")</f>
        <v/>
      </c>
      <c r="F5527" s="23" t="str">
        <f>IF(OR(E5527="",E5527="!!!"),"",IF(NOT(ISNA(VLOOKUP(E5527,E$1:E5526,1,FALSE()))),"OLD",IF(AND(E5527&lt;&gt;"",E5527&lt;&gt;"!!!"),"NEW","")))</f>
        <v> </v>
      </c>
      <c r="G5527" s="24" t="str">
        <f>IF(OR(E5527="",E5527="!!!"),"",IF(OR(J5527=0,AND(J5527=1,K5527=1),AND(J5527=1,I5527="SBJ"),AND(J5527=1,I5527=0)),"?IN_FOCUS",IF(J5527&lt;=2,"?ACTIVATED",IF(J5527&lt;&gt;"","?FAMILIAR",IF(F5527="NEW",IF(ISNA(VLOOKUP(E5527,#REF!,1,FALSE())),"?TYPE_IDENTIFIABLE","?REFERENTIAL"),"_")))))</f>
        <v> </v>
      </c>
      <c r="H5527" s="25" t="str">
        <f>IF(J5527&lt;&gt;1,"",IF(I5527="SBJ","CB","?"))</f>
        <v> </v>
      </c>
      <c r="I5527" s="26" t="str">
        <f>IF(OR(E5527="",E5527="!!!",F5527="NEW"),"",INDEX(B5526:B$2,-1+SUMPRODUCT(MAX(ROW(E5526:E$2)*(E5527=E5526:E$2)))))</f>
        <v> </v>
      </c>
      <c r="J5527" s="26" t="str">
        <f>IF(OR(E5527="",E5527="!!!",F5527="NEW"),"",COUNTBLANK(OFFSET(A$1,,,SUMPRODUCT(MAX(ROW(E$2:E5527)*(E5527=E$2:E5527)))))-COUNTBLANK(OFFSET(A$1,,,SUMPRODUCT(MAX(ROW(E$1:E5526)*(E2=E$1:E5526))))))</f>
        <v> </v>
      </c>
      <c r="K5527" s="26" t="str">
        <f>IF(OR(E5527="",E5527="!!!",F5527="NEW"),"",INDEX(J$1:J5526,SUMPRODUCT(MAX(ROW(E$1:E5526)*(E5527=E$1:E5526)))))</f>
        <v> </v>
      </c>
      <c r="L5527" s="27"/>
    </row>
    <row r="5528" spans="1:12">
      <c r="A5528" s="20" t="s">
        <v>1121</v>
      </c>
      <c r="B5528" s="21" t="s">
        <v>1039</v>
      </c>
      <c r="C5528" s="21" t="s">
        <v>1010</v>
      </c>
      <c r="D5528" s="21" t="s">
        <v>1011</v>
      </c>
      <c r="E5528" s="22">
        <f>IF(D5528="?OLD","!!!","")</f>
        <v/>
      </c>
      <c r="F5528" s="23" t="str">
        <f>IF(OR(E5528="",E5528="!!!"),"",IF(NOT(ISNA(VLOOKUP(E5528,E$1:E5527,1,FALSE()))),"OLD",IF(AND(E5528&lt;&gt;"",E5528&lt;&gt;"!!!"),"NEW","")))</f>
        <v> </v>
      </c>
      <c r="G5528" s="24" t="str">
        <f>IF(OR(E5528="",E5528="!!!"),"",IF(OR(J5528=0,AND(J5528=1,K5528=1),AND(J5528=1,I5528="SBJ"),AND(J5528=1,I5528=0)),"?IN_FOCUS",IF(J5528&lt;=2,"?ACTIVATED",IF(J5528&lt;&gt;"","?FAMILIAR",IF(F5528="NEW",IF(ISNA(VLOOKUP(E5528,#REF!,1,FALSE())),"?TYPE_IDENTIFIABLE","?REFERENTIAL"),"_")))))</f>
        <v> </v>
      </c>
      <c r="H5528" s="25" t="str">
        <f>IF(J5528&lt;&gt;1,"",IF(I5528="SBJ","CB","?"))</f>
        <v> </v>
      </c>
      <c r="I5528" s="26" t="str">
        <f>IF(OR(E5528="",E5528="!!!",F5528="NEW"),"",INDEX(B5527:B$2,-1+SUMPRODUCT(MAX(ROW(E5527:E$2)*(E5528=E5527:E$2)))))</f>
        <v> </v>
      </c>
      <c r="J5528" s="26" t="str">
        <f>IF(OR(E5528="",E5528="!!!",F5528="NEW"),"",COUNTBLANK(OFFSET(A$1,,,SUMPRODUCT(MAX(ROW(E$2:E5528)*(E5528=E$2:E5528)))))-COUNTBLANK(OFFSET(A$1,,,SUMPRODUCT(MAX(ROW(E$1:E5527)*(E2=E$1:E5527))))))</f>
        <v> </v>
      </c>
      <c r="K5528" s="26" t="str">
        <f>IF(OR(E5528="",E5528="!!!",F5528="NEW"),"",INDEX(J$1:J5527,SUMPRODUCT(MAX(ROW(E$1:E5527)*(E5528=E$1:E5527)))))</f>
        <v> </v>
      </c>
      <c r="L5528" s="27"/>
    </row>
    <row r="5529" spans="1:12">
      <c r="A5529" s="20" t="s">
        <v>1173</v>
      </c>
      <c r="E5529" s="22">
        <f>IF(D5529="?OLD","!!!","")</f>
        <v/>
      </c>
      <c r="F5529" s="23" t="str">
        <f>IF(OR(E5529="",E5529="!!!"),"",IF(NOT(ISNA(VLOOKUP(E5529,E$1:E5528,1,FALSE()))),"OLD",IF(AND(E5529&lt;&gt;"",E5529&lt;&gt;"!!!"),"NEW","")))</f>
        <v> </v>
      </c>
      <c r="G5529" s="24" t="str">
        <f>IF(OR(E5529="",E5529="!!!"),"",IF(OR(J5529=0,AND(J5529=1,K5529=1),AND(J5529=1,I5529="SBJ"),AND(J5529=1,I5529=0)),"?IN_FOCUS",IF(J5529&lt;=2,"?ACTIVATED",IF(J5529&lt;&gt;"","?FAMILIAR",IF(F5529="NEW",IF(ISNA(VLOOKUP(E5529,#REF!,1,FALSE())),"?TYPE_IDENTIFIABLE","?REFERENTIAL"),"_")))))</f>
        <v> </v>
      </c>
      <c r="H5529" s="25" t="str">
        <f>IF(J5529&lt;&gt;1,"",IF(I5529="SBJ","CB","?"))</f>
        <v> </v>
      </c>
      <c r="I5529" s="26" t="str">
        <f>IF(OR(E5529="",E5529="!!!",F5529="NEW"),"",INDEX(B5528:B$2,-1+SUMPRODUCT(MAX(ROW(E5528:E$2)*(E5529=E5528:E$2)))))</f>
        <v> </v>
      </c>
      <c r="J5529" s="26" t="str">
        <f>IF(OR(E5529="",E5529="!!!",F5529="NEW"),"",COUNTBLANK(OFFSET(A$1,,,SUMPRODUCT(MAX(ROW(E$2:E5529)*(E5529=E$2:E5529)))))-COUNTBLANK(OFFSET(A$1,,,SUMPRODUCT(MAX(ROW(E$1:E5528)*(E2=E$1:E5528))))))</f>
        <v> </v>
      </c>
      <c r="K5529" s="26" t="str">
        <f>IF(OR(E5529="",E5529="!!!",F5529="NEW"),"",INDEX(J$1:J5528,SUMPRODUCT(MAX(ROW(E$1:E5528)*(E5529=E$1:E5528)))))</f>
        <v> </v>
      </c>
      <c r="L5529" s="27"/>
    </row>
    <row r="5530" spans="1:12">
      <c r="A5530" s="20" t="s">
        <v>1191</v>
      </c>
      <c r="E5530" s="22">
        <f>IF(D5530="?OLD","!!!","")</f>
        <v/>
      </c>
      <c r="F5530" s="23" t="str">
        <f>IF(OR(E5530="",E5530="!!!"),"",IF(NOT(ISNA(VLOOKUP(E5530,E$1:E5529,1,FALSE()))),"OLD",IF(AND(E5530&lt;&gt;"",E5530&lt;&gt;"!!!"),"NEW","")))</f>
        <v> </v>
      </c>
      <c r="G5530" s="24" t="str">
        <f>IF(OR(E5530="",E5530="!!!"),"",IF(OR(J5530=0,AND(J5530=1,K5530=1),AND(J5530=1,I5530="SBJ"),AND(J5530=1,I5530=0)),"?IN_FOCUS",IF(J5530&lt;=2,"?ACTIVATED",IF(J5530&lt;&gt;"","?FAMILIAR",IF(F5530="NEW",IF(ISNA(VLOOKUP(E5530,#REF!,1,FALSE())),"?TYPE_IDENTIFIABLE","?REFERENTIAL"),"_")))))</f>
        <v> </v>
      </c>
      <c r="H5530" s="25" t="str">
        <f>IF(J5530&lt;&gt;1,"",IF(I5530="SBJ","CB","?"))</f>
        <v> </v>
      </c>
      <c r="I5530" s="26" t="str">
        <f>IF(OR(E5530="",E5530="!!!",F5530="NEW"),"",INDEX(B5529:B$2,-1+SUMPRODUCT(MAX(ROW(E5529:E$2)*(E5530=E5529:E$2)))))</f>
        <v> </v>
      </c>
      <c r="J5530" s="26" t="str">
        <f>IF(OR(E5530="",E5530="!!!",F5530="NEW"),"",COUNTBLANK(OFFSET(A$1,,,SUMPRODUCT(MAX(ROW(E$2:E5530)*(E5530=E$2:E5530)))))-COUNTBLANK(OFFSET(A$1,,,SUMPRODUCT(MAX(ROW(E$1:E5529)*(E2=E$1:E5529))))))</f>
        <v> </v>
      </c>
      <c r="K5530" s="26" t="str">
        <f>IF(OR(E5530="",E5530="!!!",F5530="NEW"),"",INDEX(J$1:J5529,SUMPRODUCT(MAX(ROW(E$1:E5529)*(E5530=E$1:E5529)))))</f>
        <v> </v>
      </c>
      <c r="L5530" s="27"/>
    </row>
    <row r="5531" spans="1:12">
      <c r="A5531" s="20" t="s">
        <v>1077</v>
      </c>
      <c r="E5531" s="22">
        <f>IF(D5531="?OLD","!!!","")</f>
        <v/>
      </c>
      <c r="F5531" s="23" t="str">
        <f>IF(OR(E5531="",E5531="!!!"),"",IF(NOT(ISNA(VLOOKUP(E5531,E$1:E5530,1,FALSE()))),"OLD",IF(AND(E5531&lt;&gt;"",E5531&lt;&gt;"!!!"),"NEW","")))</f>
        <v> </v>
      </c>
      <c r="G5531" s="24" t="str">
        <f>IF(OR(E5531="",E5531="!!!"),"",IF(OR(J5531=0,AND(J5531=1,K5531=1),AND(J5531=1,I5531="SBJ"),AND(J5531=1,I5531=0)),"?IN_FOCUS",IF(J5531&lt;=2,"?ACTIVATED",IF(J5531&lt;&gt;"","?FAMILIAR",IF(F5531="NEW",IF(ISNA(VLOOKUP(E5531,#REF!,1,FALSE())),"?TYPE_IDENTIFIABLE","?REFERENTIAL"),"_")))))</f>
        <v> </v>
      </c>
      <c r="H5531" s="25" t="str">
        <f>IF(J5531&lt;&gt;1,"",IF(I5531="SBJ","CB","?"))</f>
        <v> </v>
      </c>
      <c r="I5531" s="26" t="str">
        <f>IF(OR(E5531="",E5531="!!!",F5531="NEW"),"",INDEX(B5530:B$2,-1+SUMPRODUCT(MAX(ROW(E5530:E$2)*(E5531=E5530:E$2)))))</f>
        <v> </v>
      </c>
      <c r="J5531" s="26" t="str">
        <f>IF(OR(E5531="",E5531="!!!",F5531="NEW"),"",COUNTBLANK(OFFSET(A$1,,,SUMPRODUCT(MAX(ROW(E$2:E5531)*(E5531=E$2:E5531)))))-COUNTBLANK(OFFSET(A$1,,,SUMPRODUCT(MAX(ROW(E$1:E5530)*(E2=E$1:E5530))))))</f>
        <v> </v>
      </c>
      <c r="K5531" s="26" t="str">
        <f>IF(OR(E5531="",E5531="!!!",F5531="NEW"),"",INDEX(J$1:J5530,SUMPRODUCT(MAX(ROW(E$1:E5530)*(E5531=E$1:E5530)))))</f>
        <v> </v>
      </c>
      <c r="L5531" s="27"/>
    </row>
    <row r="5532" spans="1:12">
      <c r="A5532" s="20" t="s">
        <v>1229</v>
      </c>
      <c r="B5532" s="21" t="s">
        <v>1175</v>
      </c>
      <c r="C5532" s="21" t="s">
        <v>1230</v>
      </c>
      <c r="E5532" s="22">
        <f>IF(D5532="?OLD","!!!","")</f>
        <v/>
      </c>
      <c r="F5532" s="23" t="str">
        <f>IF(OR(E5532="",E5532="!!!"),"",IF(NOT(ISNA(VLOOKUP(E5532,E$1:E5531,1,FALSE()))),"OLD",IF(AND(E5532&lt;&gt;"",E5532&lt;&gt;"!!!"),"NEW","")))</f>
        <v> </v>
      </c>
      <c r="G5532" s="24" t="str">
        <f>IF(OR(E5532="",E5532="!!!"),"",IF(OR(J5532=0,AND(J5532=1,K5532=1),AND(J5532=1,I5532="SBJ"),AND(J5532=1,I5532=0)),"?IN_FOCUS",IF(J5532&lt;=2,"?ACTIVATED",IF(J5532&lt;&gt;"","?FAMILIAR",IF(F5532="NEW",IF(ISNA(VLOOKUP(E5532,#REF!,1,FALSE())),"?TYPE_IDENTIFIABLE","?REFERENTIAL"),"_")))))</f>
        <v> </v>
      </c>
      <c r="H5532" s="25" t="str">
        <f>IF(J5532&lt;&gt;1,"",IF(I5532="SBJ","CB","?"))</f>
        <v> </v>
      </c>
      <c r="I5532" s="26" t="str">
        <f>IF(OR(E5532="",E5532="!!!",F5532="NEW"),"",INDEX(B5531:B$2,-1+SUMPRODUCT(MAX(ROW(E5531:E$2)*(E5532=E5531:E$2)))))</f>
        <v> </v>
      </c>
      <c r="J5532" s="26" t="str">
        <f>IF(OR(E5532="",E5532="!!!",F5532="NEW"),"",COUNTBLANK(OFFSET(A$1,,,SUMPRODUCT(MAX(ROW(E$2:E5532)*(E5532=E$2:E5532)))))-COUNTBLANK(OFFSET(A$1,,,SUMPRODUCT(MAX(ROW(E$1:E5531)*(E2=E$1:E5531))))))</f>
        <v> </v>
      </c>
      <c r="K5532" s="26" t="str">
        <f>IF(OR(E5532="",E5532="!!!",F5532="NEW"),"",INDEX(J$1:J5531,SUMPRODUCT(MAX(ROW(E$1:E5531)*(E5532=E$1:E5531)))))</f>
        <v> </v>
      </c>
      <c r="L5532" s="27"/>
    </row>
    <row r="5533" spans="1:12">
      <c r="A5533" s="20" t="s">
        <v>1173</v>
      </c>
      <c r="E5533" s="22">
        <f>IF(D5533="?OLD","!!!","")</f>
        <v/>
      </c>
      <c r="F5533" s="23" t="str">
        <f>IF(OR(E5533="",E5533="!!!"),"",IF(NOT(ISNA(VLOOKUP(E5533,E$1:E5532,1,FALSE()))),"OLD",IF(AND(E5533&lt;&gt;"",E5533&lt;&gt;"!!!"),"NEW","")))</f>
        <v> </v>
      </c>
      <c r="G5533" s="24" t="str">
        <f>IF(OR(E5533="",E5533="!!!"),"",IF(OR(J5533=0,AND(J5533=1,K5533=1),AND(J5533=1,I5533="SBJ"),AND(J5533=1,I5533=0)),"?IN_FOCUS",IF(J5533&lt;=2,"?ACTIVATED",IF(J5533&lt;&gt;"","?FAMILIAR",IF(F5533="NEW",IF(ISNA(VLOOKUP(E5533,#REF!,1,FALSE())),"?TYPE_IDENTIFIABLE","?REFERENTIAL"),"_")))))</f>
        <v> </v>
      </c>
      <c r="H5533" s="25" t="str">
        <f>IF(J5533&lt;&gt;1,"",IF(I5533="SBJ","CB","?"))</f>
        <v> </v>
      </c>
      <c r="I5533" s="26" t="str">
        <f>IF(OR(E5533="",E5533="!!!",F5533="NEW"),"",INDEX(B5532:B$2,-1+SUMPRODUCT(MAX(ROW(E5532:E$2)*(E5533=E5532:E$2)))))</f>
        <v> </v>
      </c>
      <c r="J5533" s="26" t="str">
        <f>IF(OR(E5533="",E5533="!!!",F5533="NEW"),"",COUNTBLANK(OFFSET(A$1,,,SUMPRODUCT(MAX(ROW(E$2:E5533)*(E5533=E$2:E5533)))))-COUNTBLANK(OFFSET(A$1,,,SUMPRODUCT(MAX(ROW(E$1:E5532)*(E2=E$1:E5532))))))</f>
        <v> </v>
      </c>
      <c r="K5533" s="26" t="str">
        <f>IF(OR(E5533="",E5533="!!!",F5533="NEW"),"",INDEX(J$1:J5532,SUMPRODUCT(MAX(ROW(E$1:E5532)*(E5533=E$1:E5532)))))</f>
        <v> </v>
      </c>
      <c r="L5533" s="27"/>
    </row>
    <row r="5534" spans="1:12">
      <c r="A5534" s="20" t="s">
        <v>50</v>
      </c>
      <c r="E5534" s="22">
        <f>IF(D5534="?OLD","!!!","")</f>
        <v/>
      </c>
      <c r="F5534" s="23" t="str">
        <f>IF(OR(E5534="",E5534="!!!"),"",IF(NOT(ISNA(VLOOKUP(E5534,E$1:E5533,1,FALSE()))),"OLD",IF(AND(E5534&lt;&gt;"",E5534&lt;&gt;"!!!"),"NEW","")))</f>
        <v> </v>
      </c>
      <c r="G5534" s="24" t="str">
        <f>IF(OR(E5534="",E5534="!!!"),"",IF(OR(J5534=0,AND(J5534=1,K5534=1),AND(J5534=1,I5534="SBJ"),AND(J5534=1,I5534=0)),"?IN_FOCUS",IF(J5534&lt;=2,"?ACTIVATED",IF(J5534&lt;&gt;"","?FAMILIAR",IF(F5534="NEW",IF(ISNA(VLOOKUP(E5534,#REF!,1,FALSE())),"?TYPE_IDENTIFIABLE","?REFERENTIAL"),"_")))))</f>
        <v> </v>
      </c>
      <c r="H5534" s="25" t="str">
        <f>IF(J5534&lt;&gt;1,"",IF(I5534="SBJ","CB","?"))</f>
        <v> </v>
      </c>
      <c r="I5534" s="26" t="str">
        <f>IF(OR(E5534="",E5534="!!!",F5534="NEW"),"",INDEX(B5533:B$2,-1+SUMPRODUCT(MAX(ROW(E5533:E$2)*(E5534=E5533:E$2)))))</f>
        <v> </v>
      </c>
      <c r="J5534" s="26" t="str">
        <f>IF(OR(E5534="",E5534="!!!",F5534="NEW"),"",COUNTBLANK(OFFSET(A$1,,,SUMPRODUCT(MAX(ROW(E$2:E5534)*(E5534=E$2:E5534)))))-COUNTBLANK(OFFSET(A$1,,,SUMPRODUCT(MAX(ROW(E$1:E5533)*(E2=E$1:E5533))))))</f>
        <v> </v>
      </c>
      <c r="K5534" s="26" t="str">
        <f>IF(OR(E5534="",E5534="!!!",F5534="NEW"),"",INDEX(J$1:J5533,SUMPRODUCT(MAX(ROW(E$1:E5533)*(E5534=E$1:E5533)))))</f>
        <v> </v>
      </c>
      <c r="L5534" s="27"/>
    </row>
    <row r="5535" spans="1:12">
      <c r="A5535" s="20" t="s">
        <v>2232</v>
      </c>
      <c r="E5535" s="22">
        <f>IF(D5535="?OLD","!!!","")</f>
        <v/>
      </c>
      <c r="F5535" s="23" t="str">
        <f>IF(OR(E5535="",E5535="!!!"),"",IF(NOT(ISNA(VLOOKUP(E5535,E$1:E5534,1,FALSE()))),"OLD",IF(AND(E5535&lt;&gt;"",E5535&lt;&gt;"!!!"),"NEW","")))</f>
        <v> </v>
      </c>
      <c r="G5535" s="24" t="str">
        <f>IF(OR(E5535="",E5535="!!!"),"",IF(OR(J5535=0,AND(J5535=1,K5535=1),AND(J5535=1,I5535="SBJ"),AND(J5535=1,I5535=0)),"?IN_FOCUS",IF(J5535&lt;=2,"?ACTIVATED",IF(J5535&lt;&gt;"","?FAMILIAR",IF(F5535="NEW",IF(ISNA(VLOOKUP(E5535,#REF!,1,FALSE())),"?TYPE_IDENTIFIABLE","?REFERENTIAL"),"_")))))</f>
        <v> </v>
      </c>
      <c r="H5535" s="25" t="str">
        <f>IF(J5535&lt;&gt;1,"",IF(I5535="SBJ","CB","?"))</f>
        <v> </v>
      </c>
      <c r="I5535" s="26" t="str">
        <f>IF(OR(E5535="",E5535="!!!",F5535="NEW"),"",INDEX(B5534:B$2,-1+SUMPRODUCT(MAX(ROW(E5534:E$2)*(E5535=E5534:E$2)))))</f>
        <v> </v>
      </c>
      <c r="J5535" s="26" t="str">
        <f>IF(OR(E5535="",E5535="!!!",F5535="NEW"),"",COUNTBLANK(OFFSET(A$1,,,SUMPRODUCT(MAX(ROW(E$2:E5535)*(E5535=E$2:E5535)))))-COUNTBLANK(OFFSET(A$1,,,SUMPRODUCT(MAX(ROW(E$1:E5534)*(E2=E$1:E5534))))))</f>
        <v> </v>
      </c>
      <c r="K5535" s="26" t="str">
        <f>IF(OR(E5535="",E5535="!!!",F5535="NEW"),"",INDEX(J$1:J5534,SUMPRODUCT(MAX(ROW(E$1:E5534)*(E5535=E$1:E5534)))))</f>
        <v> </v>
      </c>
      <c r="L5535" s="27"/>
    </row>
    <row r="5536" spans="1:12">
      <c r="A5536" s="20" t="s">
        <v>1022</v>
      </c>
      <c r="E5536" s="22">
        <f>IF(D5536="?OLD","!!!","")</f>
        <v/>
      </c>
      <c r="F5536" s="23" t="str">
        <f>IF(OR(E5536="",E5536="!!!"),"",IF(NOT(ISNA(VLOOKUP(E5536,E$1:E5535,1,FALSE()))),"OLD",IF(AND(E5536&lt;&gt;"",E5536&lt;&gt;"!!!"),"NEW","")))</f>
        <v> </v>
      </c>
      <c r="G5536" s="24" t="str">
        <f>IF(OR(E5536="",E5536="!!!"),"",IF(OR(J5536=0,AND(J5536=1,K5536=1),AND(J5536=1,I5536="SBJ"),AND(J5536=1,I5536=0)),"?IN_FOCUS",IF(J5536&lt;=2,"?ACTIVATED",IF(J5536&lt;&gt;"","?FAMILIAR",IF(F5536="NEW",IF(ISNA(VLOOKUP(E5536,#REF!,1,FALSE())),"?TYPE_IDENTIFIABLE","?REFERENTIAL"),"_")))))</f>
        <v> </v>
      </c>
      <c r="H5536" s="25" t="str">
        <f>IF(J5536&lt;&gt;1,"",IF(I5536="SBJ","CB","?"))</f>
        <v> </v>
      </c>
      <c r="I5536" s="26" t="str">
        <f>IF(OR(E5536="",E5536="!!!",F5536="NEW"),"",INDEX(B5535:B$2,-1+SUMPRODUCT(MAX(ROW(E5535:E$2)*(E5536=E5535:E$2)))))</f>
        <v> </v>
      </c>
      <c r="J5536" s="26" t="str">
        <f>IF(OR(E5536="",E5536="!!!",F5536="NEW"),"",COUNTBLANK(OFFSET(A$1,,,SUMPRODUCT(MAX(ROW(E$2:E5536)*(E5536=E$2:E5536)))))-COUNTBLANK(OFFSET(A$1,,,SUMPRODUCT(MAX(ROW(E$1:E5535)*(E2=E$1:E5535))))))</f>
        <v> </v>
      </c>
      <c r="K5536" s="26" t="str">
        <f>IF(OR(E5536="",E5536="!!!",F5536="NEW"),"",INDEX(J$1:J5535,SUMPRODUCT(MAX(ROW(E$1:E5535)*(E5536=E$1:E5535)))))</f>
        <v> </v>
      </c>
      <c r="L5536" s="27"/>
    </row>
    <row r="5537" spans="1:12">
      <c r="A5537" s="20" t="s">
        <v>1269</v>
      </c>
      <c r="E5537" s="22">
        <f>IF(D5537="?OLD","!!!","")</f>
        <v/>
      </c>
      <c r="F5537" s="23" t="str">
        <f>IF(OR(E5537="",E5537="!!!"),"",IF(NOT(ISNA(VLOOKUP(E5537,E$1:E5536,1,FALSE()))),"OLD",IF(AND(E5537&lt;&gt;"",E5537&lt;&gt;"!!!"),"NEW","")))</f>
        <v> </v>
      </c>
      <c r="G5537" s="24" t="str">
        <f>IF(OR(E5537="",E5537="!!!"),"",IF(OR(J5537=0,AND(J5537=1,K5537=1),AND(J5537=1,I5537="SBJ"),AND(J5537=1,I5537=0)),"?IN_FOCUS",IF(J5537&lt;=2,"?ACTIVATED",IF(J5537&lt;&gt;"","?FAMILIAR",IF(F5537="NEW",IF(ISNA(VLOOKUP(E5537,#REF!,1,FALSE())),"?TYPE_IDENTIFIABLE","?REFERENTIAL"),"_")))))</f>
        <v> </v>
      </c>
      <c r="H5537" s="25" t="str">
        <f>IF(J5537&lt;&gt;1,"",IF(I5537="SBJ","CB","?"))</f>
        <v> </v>
      </c>
      <c r="I5537" s="26" t="str">
        <f>IF(OR(E5537="",E5537="!!!",F5537="NEW"),"",INDEX(B5536:B$2,-1+SUMPRODUCT(MAX(ROW(E5536:E$2)*(E5537=E5536:E$2)))))</f>
        <v> </v>
      </c>
      <c r="J5537" s="26" t="str">
        <f>IF(OR(E5537="",E5537="!!!",F5537="NEW"),"",COUNTBLANK(OFFSET(A$1,,,SUMPRODUCT(MAX(ROW(E$2:E5537)*(E5537=E$2:E5537)))))-COUNTBLANK(OFFSET(A$1,,,SUMPRODUCT(MAX(ROW(E$1:E5536)*(E2=E$1:E5536))))))</f>
        <v> </v>
      </c>
      <c r="K5537" s="26" t="str">
        <f>IF(OR(E5537="",E5537="!!!",F5537="NEW"),"",INDEX(J$1:J5536,SUMPRODUCT(MAX(ROW(E$1:E5536)*(E5537=E$1:E5536)))))</f>
        <v> </v>
      </c>
      <c r="L5537" s="27"/>
    </row>
    <row r="5538" spans="1:12">
      <c r="A5538" s="20"/>
    </row>
    <row r="5539" spans="1:12">
      <c r="A5539" s="20" t="s">
        <v>2024</v>
      </c>
    </row>
    <row r="5540" spans="1:12">
      <c r="A5540" s="20" t="s">
        <v>1995</v>
      </c>
      <c r="B5540" s="21" t="s">
        <v>1071</v>
      </c>
      <c r="C5540" s="21" t="s">
        <v>1017</v>
      </c>
      <c r="E5540" s="22">
        <f>IF(D5540="?OLD","!!!","")</f>
        <v/>
      </c>
      <c r="F5540" s="23" t="str">
        <f>IF(OR(E5540="",E5540="!!!"),"",IF(NOT(ISNA(VLOOKUP(E5540,E$1:E5539,1,FALSE()))),"OLD",IF(AND(E5540&lt;&gt;"",E5540&lt;&gt;"!!!"),"NEW","")))</f>
        <v> </v>
      </c>
      <c r="G5540" s="24" t="str">
        <f>IF(OR(E5540="",E5540="!!!"),"",IF(OR(J5540=0,AND(J5540=1,K5540=1),AND(J5540=1,I5540="SBJ"),AND(J5540=1,I5540=0)),"?IN_FOCUS",IF(J5540&lt;=2,"?ACTIVATED",IF(J5540&lt;&gt;"","?FAMILIAR",IF(F5540="NEW",IF(ISNA(VLOOKUP(E5540,#REF!,1,FALSE())),"?TYPE_IDENTIFIABLE","?REFERENTIAL"),"_")))))</f>
        <v> </v>
      </c>
      <c r="H5540" s="25" t="str">
        <f>IF(J5540&lt;&gt;1,"",IF(I5540="SBJ","CB","?"))</f>
        <v> </v>
      </c>
      <c r="I5540" s="26" t="str">
        <f>IF(OR(E5540="",E5540="!!!",F5540="NEW"),"",INDEX(B5539:B$2,-1+SUMPRODUCT(MAX(ROW(E5539:E$2)*(E5540=E5539:E$2)))))</f>
        <v> </v>
      </c>
      <c r="J5540" s="26" t="str">
        <f>IF(OR(E5540="",E5540="!!!",F5540="NEW"),"",COUNTBLANK(OFFSET(A$1,,,SUMPRODUCT(MAX(ROW(E$2:E5540)*(E5540=E$2:E5540)))))-COUNTBLANK(OFFSET(A$1,,,SUMPRODUCT(MAX(ROW(E$1:E5539)*(E2=E$1:E5539))))))</f>
        <v> </v>
      </c>
      <c r="K5540" s="26" t="str">
        <f>IF(OR(E5540="",E5540="!!!",F5540="NEW"),"",INDEX(J$1:J5539,SUMPRODUCT(MAX(ROW(E$1:E5539)*(E5540=E$1:E5539)))))</f>
        <v> </v>
      </c>
      <c r="L5540" s="27"/>
    </row>
    <row r="5541" spans="1:12">
      <c r="A5541" s="20" t="s">
        <v>1099</v>
      </c>
      <c r="E5541" s="22">
        <f>IF(D5541="?OLD","!!!","")</f>
        <v/>
      </c>
      <c r="F5541" s="23" t="str">
        <f>IF(OR(E5541="",E5541="!!!"),"",IF(NOT(ISNA(VLOOKUP(E5541,E$1:E5540,1,FALSE()))),"OLD",IF(AND(E5541&lt;&gt;"",E5541&lt;&gt;"!!!"),"NEW","")))</f>
        <v> </v>
      </c>
      <c r="G5541" s="24" t="str">
        <f>IF(OR(E5541="",E5541="!!!"),"",IF(OR(J5541=0,AND(J5541=1,K5541=1),AND(J5541=1,I5541="SBJ"),AND(J5541=1,I5541=0)),"?IN_FOCUS",IF(J5541&lt;=2,"?ACTIVATED",IF(J5541&lt;&gt;"","?FAMILIAR",IF(F5541="NEW",IF(ISNA(VLOOKUP(E5541,#REF!,1,FALSE())),"?TYPE_IDENTIFIABLE","?REFERENTIAL"),"_")))))</f>
        <v> </v>
      </c>
      <c r="H5541" s="25" t="str">
        <f>IF(J5541&lt;&gt;1,"",IF(I5541="SBJ","CB","?"))</f>
        <v> </v>
      </c>
      <c r="I5541" s="26" t="str">
        <f>IF(OR(E5541="",E5541="!!!",F5541="NEW"),"",INDEX(B5540:B$2,-1+SUMPRODUCT(MAX(ROW(E5540:E$2)*(E5541=E5540:E$2)))))</f>
        <v> </v>
      </c>
      <c r="J5541" s="26" t="str">
        <f>IF(OR(E5541="",E5541="!!!",F5541="NEW"),"",COUNTBLANK(OFFSET(A$1,,,SUMPRODUCT(MAX(ROW(E$2:E5541)*(E5541=E$2:E5541)))))-COUNTBLANK(OFFSET(A$1,,,SUMPRODUCT(MAX(ROW(E$1:E5540)*(E2=E$1:E5540))))))</f>
        <v> </v>
      </c>
      <c r="K5541" s="26" t="str">
        <f>IF(OR(E5541="",E5541="!!!",F5541="NEW"),"",INDEX(J$1:J5540,SUMPRODUCT(MAX(ROW(E$1:E5540)*(E5541=E$1:E5540)))))</f>
        <v> </v>
      </c>
      <c r="L5541" s="27"/>
    </row>
    <row r="5542" spans="1:12">
      <c r="A5542" s="20"/>
    </row>
    <row r="5543" spans="1:12">
      <c r="A5543" s="20" t="s">
        <v>2233</v>
      </c>
    </row>
    <row r="5544" spans="1:12">
      <c r="A5544" s="20" t="s">
        <v>1124</v>
      </c>
      <c r="E5544" s="22">
        <f>IF(D5544="?OLD","!!!","")</f>
        <v/>
      </c>
      <c r="F5544" s="23" t="str">
        <f>IF(OR(E5544="",E5544="!!!"),"",IF(NOT(ISNA(VLOOKUP(E5544,E$1:E5543,1,FALSE()))),"OLD",IF(AND(E5544&lt;&gt;"",E5544&lt;&gt;"!!!"),"NEW","")))</f>
        <v> </v>
      </c>
      <c r="G5544" s="24" t="str">
        <f>IF(OR(E5544="",E5544="!!!"),"",IF(OR(J5544=0,AND(J5544=1,K5544=1),AND(J5544=1,I5544="SBJ"),AND(J5544=1,I5544=0)),"?IN_FOCUS",IF(J5544&lt;=2,"?ACTIVATED",IF(J5544&lt;&gt;"","?FAMILIAR",IF(F5544="NEW",IF(ISNA(VLOOKUP(E5544,#REF!,1,FALSE())),"?TYPE_IDENTIFIABLE","?REFERENTIAL"),"_")))))</f>
        <v> </v>
      </c>
      <c r="H5544" s="25" t="str">
        <f>IF(J5544&lt;&gt;1,"",IF(I5544="SBJ","CB","?"))</f>
        <v> </v>
      </c>
      <c r="I5544" s="26" t="str">
        <f>IF(OR(E5544="",E5544="!!!",F5544="NEW"),"",INDEX(B5543:B$2,-1+SUMPRODUCT(MAX(ROW(E5543:E$2)*(E5544=E5543:E$2)))))</f>
        <v> </v>
      </c>
      <c r="J5544" s="26" t="str">
        <f>IF(OR(E5544="",E5544="!!!",F5544="NEW"),"",COUNTBLANK(OFFSET(A$1,,,SUMPRODUCT(MAX(ROW(E$2:E5544)*(E5544=E$2:E5544)))))-COUNTBLANK(OFFSET(A$1,,,SUMPRODUCT(MAX(ROW(E$1:E5543)*(E2=E$1:E5543))))))</f>
        <v> </v>
      </c>
      <c r="K5544" s="26" t="str">
        <f>IF(OR(E5544="",E5544="!!!",F5544="NEW"),"",INDEX(J$1:J5543,SUMPRODUCT(MAX(ROW(E$1:E5543)*(E5544=E$1:E5543)))))</f>
        <v> </v>
      </c>
      <c r="L5544" s="27"/>
    </row>
    <row r="5545" spans="1:12">
      <c r="A5545" s="20" t="s">
        <v>1025</v>
      </c>
      <c r="B5545" s="21" t="s">
        <v>1009</v>
      </c>
      <c r="C5545" s="21" t="s">
        <v>1026</v>
      </c>
      <c r="D5545" s="21" t="s">
        <v>1011</v>
      </c>
      <c r="E5545" s="22">
        <f>IF(D5545="?OLD","!!!","")</f>
        <v/>
      </c>
      <c r="F5545" s="23" t="str">
        <f>IF(OR(E5545="",E5545="!!!"),"",IF(NOT(ISNA(VLOOKUP(E5545,E$1:E5544,1,FALSE()))),"OLD",IF(AND(E5545&lt;&gt;"",E5545&lt;&gt;"!!!"),"NEW","")))</f>
        <v> </v>
      </c>
      <c r="G5545" s="24" t="str">
        <f>IF(OR(E5545="",E5545="!!!"),"",IF(OR(J5545=0,AND(J5545=1,K5545=1),AND(J5545=1,I5545="SBJ"),AND(J5545=1,I5545=0)),"?IN_FOCUS",IF(J5545&lt;=2,"?ACTIVATED",IF(J5545&lt;&gt;"","?FAMILIAR",IF(F5545="NEW",IF(ISNA(VLOOKUP(E5545,#REF!,1,FALSE())),"?TYPE_IDENTIFIABLE","?REFERENTIAL"),"_")))))</f>
        <v> </v>
      </c>
      <c r="H5545" s="25" t="str">
        <f>IF(J5545&lt;&gt;1,"",IF(I5545="SBJ","CB","?"))</f>
        <v> </v>
      </c>
      <c r="I5545" s="26" t="str">
        <f>IF(OR(E5545="",E5545="!!!",F5545="NEW"),"",INDEX(B5544:B$2,-1+SUMPRODUCT(MAX(ROW(E5544:E$2)*(E5545=E5544:E$2)))))</f>
        <v> </v>
      </c>
      <c r="J5545" s="26" t="str">
        <f>IF(OR(E5545="",E5545="!!!",F5545="NEW"),"",COUNTBLANK(OFFSET(A$1,,,SUMPRODUCT(MAX(ROW(E$2:E5545)*(E5545=E$2:E5545)))))-COUNTBLANK(OFFSET(A$1,,,SUMPRODUCT(MAX(ROW(E$1:E5544)*(E2=E$1:E5544))))))</f>
        <v> </v>
      </c>
      <c r="K5545" s="26" t="str">
        <f>IF(OR(E5545="",E5545="!!!",F5545="NEW"),"",INDEX(J$1:J5544,SUMPRODUCT(MAX(ROW(E$1:E5544)*(E5545=E$1:E5544)))))</f>
        <v> </v>
      </c>
      <c r="L5545" s="27"/>
    </row>
    <row r="5546" spans="1:12">
      <c r="A5546" s="20" t="s">
        <v>1147</v>
      </c>
      <c r="E5546" s="22">
        <f>IF(D5546="?OLD","!!!","")</f>
        <v/>
      </c>
      <c r="F5546" s="23" t="str">
        <f>IF(OR(E5546="",E5546="!!!"),"",IF(NOT(ISNA(VLOOKUP(E5546,E$1:E5545,1,FALSE()))),"OLD",IF(AND(E5546&lt;&gt;"",E5546&lt;&gt;"!!!"),"NEW","")))</f>
        <v> </v>
      </c>
      <c r="G5546" s="24" t="str">
        <f>IF(OR(E5546="",E5546="!!!"),"",IF(OR(J5546=0,AND(J5546=1,K5546=1),AND(J5546=1,I5546="SBJ"),AND(J5546=1,I5546=0)),"?IN_FOCUS",IF(J5546&lt;=2,"?ACTIVATED",IF(J5546&lt;&gt;"","?FAMILIAR",IF(F5546="NEW",IF(ISNA(VLOOKUP(E5546,#REF!,1,FALSE())),"?TYPE_IDENTIFIABLE","?REFERENTIAL"),"_")))))</f>
        <v> </v>
      </c>
      <c r="H5546" s="25" t="str">
        <f>IF(J5546&lt;&gt;1,"",IF(I5546="SBJ","CB","?"))</f>
        <v> </v>
      </c>
      <c r="I5546" s="26" t="str">
        <f>IF(OR(E5546="",E5546="!!!",F5546="NEW"),"",INDEX(B5545:B$2,-1+SUMPRODUCT(MAX(ROW(E5545:E$2)*(E5546=E5545:E$2)))))</f>
        <v> </v>
      </c>
      <c r="J5546" s="26" t="str">
        <f>IF(OR(E5546="",E5546="!!!",F5546="NEW"),"",COUNTBLANK(OFFSET(A$1,,,SUMPRODUCT(MAX(ROW(E$2:E5546)*(E5546=E$2:E5546)))))-COUNTBLANK(OFFSET(A$1,,,SUMPRODUCT(MAX(ROW(E$1:E5545)*(E2=E$1:E5545))))))</f>
        <v> </v>
      </c>
      <c r="K5546" s="26" t="str">
        <f>IF(OR(E5546="",E5546="!!!",F5546="NEW"),"",INDEX(J$1:J5545,SUMPRODUCT(MAX(ROW(E$1:E5545)*(E5546=E$1:E5545)))))</f>
        <v> </v>
      </c>
      <c r="L5546" s="27"/>
    </row>
    <row r="5547" spans="1:12">
      <c r="A5547" s="20" t="s">
        <v>82</v>
      </c>
      <c r="E5547" s="22">
        <f>IF(D5547="?OLD","!!!","")</f>
        <v/>
      </c>
      <c r="F5547" s="23" t="str">
        <f>IF(OR(E5547="",E5547="!!!"),"",IF(NOT(ISNA(VLOOKUP(E5547,E$1:E5546,1,FALSE()))),"OLD",IF(AND(E5547&lt;&gt;"",E5547&lt;&gt;"!!!"),"NEW","")))</f>
        <v> </v>
      </c>
      <c r="G5547" s="24" t="str">
        <f>IF(OR(E5547="",E5547="!!!"),"",IF(OR(J5547=0,AND(J5547=1,K5547=1),AND(J5547=1,I5547="SBJ"),AND(J5547=1,I5547=0)),"?IN_FOCUS",IF(J5547&lt;=2,"?ACTIVATED",IF(J5547&lt;&gt;"","?FAMILIAR",IF(F5547="NEW",IF(ISNA(VLOOKUP(E5547,#REF!,1,FALSE())),"?TYPE_IDENTIFIABLE","?REFERENTIAL"),"_")))))</f>
        <v> </v>
      </c>
      <c r="H5547" s="25" t="str">
        <f>IF(J5547&lt;&gt;1,"",IF(I5547="SBJ","CB","?"))</f>
        <v> </v>
      </c>
      <c r="I5547" s="26" t="str">
        <f>IF(OR(E5547="",E5547="!!!",F5547="NEW"),"",INDEX(B5546:B$2,-1+SUMPRODUCT(MAX(ROW(E5546:E$2)*(E5547=E5546:E$2)))))</f>
        <v> </v>
      </c>
      <c r="J5547" s="26" t="str">
        <f>IF(OR(E5547="",E5547="!!!",F5547="NEW"),"",COUNTBLANK(OFFSET(A$1,,,SUMPRODUCT(MAX(ROW(E$2:E5547)*(E5547=E$2:E5547)))))-COUNTBLANK(OFFSET(A$1,,,SUMPRODUCT(MAX(ROW(E$1:E5546)*(E2=E$1:E5546))))))</f>
        <v> </v>
      </c>
      <c r="K5547" s="26" t="str">
        <f>IF(OR(E5547="",E5547="!!!",F5547="NEW"),"",INDEX(J$1:J5546,SUMPRODUCT(MAX(ROW(E$1:E5546)*(E5547=E$1:E5546)))))</f>
        <v> </v>
      </c>
      <c r="L5547" s="27"/>
    </row>
    <row r="5548" spans="1:12">
      <c r="A5548" s="20" t="s">
        <v>1401</v>
      </c>
      <c r="B5548" s="21" t="s">
        <v>1071</v>
      </c>
      <c r="C5548" s="21" t="s">
        <v>1035</v>
      </c>
      <c r="D5548" s="21" t="s">
        <v>1011</v>
      </c>
      <c r="E5548" s="22">
        <f>IF(D5548="?OLD","!!!","")</f>
        <v/>
      </c>
      <c r="F5548" s="23" t="str">
        <f>IF(OR(E5548="",E5548="!!!"),"",IF(NOT(ISNA(VLOOKUP(E5548,E$1:E5547,1,FALSE()))),"OLD",IF(AND(E5548&lt;&gt;"",E5548&lt;&gt;"!!!"),"NEW","")))</f>
        <v> </v>
      </c>
      <c r="G5548" s="24" t="str">
        <f>IF(OR(E5548="",E5548="!!!"),"",IF(OR(J5548=0,AND(J5548=1,K5548=1),AND(J5548=1,I5548="SBJ"),AND(J5548=1,I5548=0)),"?IN_FOCUS",IF(J5548&lt;=2,"?ACTIVATED",IF(J5548&lt;&gt;"","?FAMILIAR",IF(F5548="NEW",IF(ISNA(VLOOKUP(E5548,#REF!,1,FALSE())),"?TYPE_IDENTIFIABLE","?REFERENTIAL"),"_")))))</f>
        <v> </v>
      </c>
      <c r="H5548" s="25" t="str">
        <f>IF(J5548&lt;&gt;1,"",IF(I5548="SBJ","CB","?"))</f>
        <v> </v>
      </c>
      <c r="I5548" s="26" t="str">
        <f>IF(OR(E5548="",E5548="!!!",F5548="NEW"),"",INDEX(B5547:B$2,-1+SUMPRODUCT(MAX(ROW(E5547:E$2)*(E5548=E5547:E$2)))))</f>
        <v> </v>
      </c>
      <c r="J5548" s="26" t="str">
        <f>IF(OR(E5548="",E5548="!!!",F5548="NEW"),"",COUNTBLANK(OFFSET(A$1,,,SUMPRODUCT(MAX(ROW(E$2:E5548)*(E5548=E$2:E5548)))))-COUNTBLANK(OFFSET(A$1,,,SUMPRODUCT(MAX(ROW(E$1:E5547)*(E2=E$1:E5547))))))</f>
        <v> </v>
      </c>
      <c r="K5548" s="26" t="str">
        <f>IF(OR(E5548="",E5548="!!!",F5548="NEW"),"",INDEX(J$1:J5547,SUMPRODUCT(MAX(ROW(E$1:E5547)*(E5548=E$1:E5547)))))</f>
        <v> </v>
      </c>
      <c r="L5548" s="27"/>
    </row>
    <row r="5549" spans="1:12">
      <c r="A5549" s="20" t="s">
        <v>2234</v>
      </c>
      <c r="B5549" s="21" t="s">
        <v>1071</v>
      </c>
      <c r="C5549" s="21" t="s">
        <v>1040</v>
      </c>
      <c r="D5549" s="21" t="s">
        <v>1011</v>
      </c>
      <c r="E5549" s="22">
        <f>IF(D5549="?OLD","!!!","")</f>
        <v/>
      </c>
      <c r="F5549" s="23" t="str">
        <f>IF(OR(E5549="",E5549="!!!"),"",IF(NOT(ISNA(VLOOKUP(E5549,E$1:E5548,1,FALSE()))),"OLD",IF(AND(E5549&lt;&gt;"",E5549&lt;&gt;"!!!"),"NEW","")))</f>
        <v> </v>
      </c>
      <c r="G5549" s="24" t="str">
        <f>IF(OR(E5549="",E5549="!!!"),"",IF(OR(J5549=0,AND(J5549=1,K5549=1),AND(J5549=1,I5549="SBJ"),AND(J5549=1,I5549=0)),"?IN_FOCUS",IF(J5549&lt;=2,"?ACTIVATED",IF(J5549&lt;&gt;"","?FAMILIAR",IF(F5549="NEW",IF(ISNA(VLOOKUP(E5549,#REF!,1,FALSE())),"?TYPE_IDENTIFIABLE","?REFERENTIAL"),"_")))))</f>
        <v> </v>
      </c>
      <c r="H5549" s="25" t="str">
        <f>IF(J5549&lt;&gt;1,"",IF(I5549="SBJ","CB","?"))</f>
        <v> </v>
      </c>
      <c r="I5549" s="26" t="str">
        <f>IF(OR(E5549="",E5549="!!!",F5549="NEW"),"",INDEX(B5548:B$2,-1+SUMPRODUCT(MAX(ROW(E5548:E$2)*(E5549=E5548:E$2)))))</f>
        <v> </v>
      </c>
      <c r="J5549" s="26" t="str">
        <f>IF(OR(E5549="",E5549="!!!",F5549="NEW"),"",COUNTBLANK(OFFSET(A$1,,,SUMPRODUCT(MAX(ROW(E$2:E5549)*(E5549=E$2:E5549)))))-COUNTBLANK(OFFSET(A$1,,,SUMPRODUCT(MAX(ROW(E$1:E5548)*(E2=E$1:E5548))))))</f>
        <v> </v>
      </c>
      <c r="K5549" s="26" t="str">
        <f>IF(OR(E5549="",E5549="!!!",F5549="NEW"),"",INDEX(J$1:J5548,SUMPRODUCT(MAX(ROW(E$1:E5548)*(E5549=E$1:E5548)))))</f>
        <v> </v>
      </c>
      <c r="L5549" s="27"/>
    </row>
    <row r="5550" spans="1:12">
      <c r="A5550" s="20" t="s">
        <v>1014</v>
      </c>
      <c r="E5550" s="22">
        <f>IF(D5550="?OLD","!!!","")</f>
        <v/>
      </c>
      <c r="F5550" s="23" t="str">
        <f>IF(OR(E5550="",E5550="!!!"),"",IF(NOT(ISNA(VLOOKUP(E5550,E$1:E5549,1,FALSE()))),"OLD",IF(AND(E5550&lt;&gt;"",E5550&lt;&gt;"!!!"),"NEW","")))</f>
        <v> </v>
      </c>
      <c r="G5550" s="24" t="str">
        <f>IF(OR(E5550="",E5550="!!!"),"",IF(OR(J5550=0,AND(J5550=1,K5550=1),AND(J5550=1,I5550="SBJ"),AND(J5550=1,I5550=0)),"?IN_FOCUS",IF(J5550&lt;=2,"?ACTIVATED",IF(J5550&lt;&gt;"","?FAMILIAR",IF(F5550="NEW",IF(ISNA(VLOOKUP(E5550,#REF!,1,FALSE())),"?TYPE_IDENTIFIABLE","?REFERENTIAL"),"_")))))</f>
        <v> </v>
      </c>
      <c r="H5550" s="25" t="str">
        <f>IF(J5550&lt;&gt;1,"",IF(I5550="SBJ","CB","?"))</f>
        <v> </v>
      </c>
      <c r="I5550" s="26" t="str">
        <f>IF(OR(E5550="",E5550="!!!",F5550="NEW"),"",INDEX(B5549:B$2,-1+SUMPRODUCT(MAX(ROW(E5549:E$2)*(E5550=E5549:E$2)))))</f>
        <v> </v>
      </c>
      <c r="J5550" s="26" t="str">
        <f>IF(OR(E5550="",E5550="!!!",F5550="NEW"),"",COUNTBLANK(OFFSET(A$1,,,SUMPRODUCT(MAX(ROW(E$2:E5550)*(E5550=E$2:E5550)))))-COUNTBLANK(OFFSET(A$1,,,SUMPRODUCT(MAX(ROW(E$1:E5549)*(E2=E$1:E5549))))))</f>
        <v> </v>
      </c>
      <c r="K5550" s="26" t="str">
        <f>IF(OR(E5550="",E5550="!!!",F5550="NEW"),"",INDEX(J$1:J5549,SUMPRODUCT(MAX(ROW(E$1:E5549)*(E5550=E$1:E5549)))))</f>
        <v> </v>
      </c>
      <c r="L5550" s="27"/>
    </row>
    <row r="5551" spans="1:12">
      <c r="A5551" s="20" t="s">
        <v>1042</v>
      </c>
      <c r="E5551" s="22">
        <f>IF(D5551="?OLD","!!!","")</f>
        <v/>
      </c>
      <c r="F5551" s="23" t="str">
        <f>IF(OR(E5551="",E5551="!!!"),"",IF(NOT(ISNA(VLOOKUP(E5551,E$1:E5550,1,FALSE()))),"OLD",IF(AND(E5551&lt;&gt;"",E5551&lt;&gt;"!!!"),"NEW","")))</f>
        <v> </v>
      </c>
      <c r="G5551" s="24" t="str">
        <f>IF(OR(E5551="",E5551="!!!"),"",IF(OR(J5551=0,AND(J5551=1,K5551=1),AND(J5551=1,I5551="SBJ"),AND(J5551=1,I5551=0)),"?IN_FOCUS",IF(J5551&lt;=2,"?ACTIVATED",IF(J5551&lt;&gt;"","?FAMILIAR",IF(F5551="NEW",IF(ISNA(VLOOKUP(E5551,#REF!,1,FALSE())),"?TYPE_IDENTIFIABLE","?REFERENTIAL"),"_")))))</f>
        <v> </v>
      </c>
      <c r="H5551" s="25" t="str">
        <f>IF(J5551&lt;&gt;1,"",IF(I5551="SBJ","CB","?"))</f>
        <v> </v>
      </c>
      <c r="I5551" s="26" t="str">
        <f>IF(OR(E5551="",E5551="!!!",F5551="NEW"),"",INDEX(B5550:B$2,-1+SUMPRODUCT(MAX(ROW(E5550:E$2)*(E5551=E5550:E$2)))))</f>
        <v> </v>
      </c>
      <c r="J5551" s="26" t="str">
        <f>IF(OR(E5551="",E5551="!!!",F5551="NEW"),"",COUNTBLANK(OFFSET(A$1,,,SUMPRODUCT(MAX(ROW(E$2:E5551)*(E5551=E$2:E5551)))))-COUNTBLANK(OFFSET(A$1,,,SUMPRODUCT(MAX(ROW(E$1:E5550)*(E2=E$1:E5550))))))</f>
        <v> </v>
      </c>
      <c r="K5551" s="26" t="str">
        <f>IF(OR(E5551="",E5551="!!!",F5551="NEW"),"",INDEX(J$1:J5550,SUMPRODUCT(MAX(ROW(E$1:E5550)*(E5551=E$1:E5550)))))</f>
        <v> </v>
      </c>
      <c r="L5551" s="27"/>
    </row>
    <row r="5552" spans="1:12">
      <c r="A5552" s="20" t="s">
        <v>2235</v>
      </c>
      <c r="E5552" s="22">
        <f>IF(D5552="?OLD","!!!","")</f>
        <v/>
      </c>
      <c r="F5552" s="23" t="str">
        <f>IF(OR(E5552="",E5552="!!!"),"",IF(NOT(ISNA(VLOOKUP(E5552,E$1:E5551,1,FALSE()))),"OLD",IF(AND(E5552&lt;&gt;"",E5552&lt;&gt;"!!!"),"NEW","")))</f>
        <v> </v>
      </c>
      <c r="G5552" s="24" t="str">
        <f>IF(OR(E5552="",E5552="!!!"),"",IF(OR(J5552=0,AND(J5552=1,K5552=1),AND(J5552=1,I5552="SBJ"),AND(J5552=1,I5552=0)),"?IN_FOCUS",IF(J5552&lt;=2,"?ACTIVATED",IF(J5552&lt;&gt;"","?FAMILIAR",IF(F5552="NEW",IF(ISNA(VLOOKUP(E5552,#REF!,1,FALSE())),"?TYPE_IDENTIFIABLE","?REFERENTIAL"),"_")))))</f>
        <v> </v>
      </c>
      <c r="H5552" s="25" t="str">
        <f>IF(J5552&lt;&gt;1,"",IF(I5552="SBJ","CB","?"))</f>
        <v> </v>
      </c>
      <c r="I5552" s="26" t="str">
        <f>IF(OR(E5552="",E5552="!!!",F5552="NEW"),"",INDEX(B5551:B$2,-1+SUMPRODUCT(MAX(ROW(E5551:E$2)*(E5552=E5551:E$2)))))</f>
        <v> </v>
      </c>
      <c r="J5552" s="26" t="str">
        <f>IF(OR(E5552="",E5552="!!!",F5552="NEW"),"",COUNTBLANK(OFFSET(A$1,,,SUMPRODUCT(MAX(ROW(E$2:E5552)*(E5552=E$2:E5552)))))-COUNTBLANK(OFFSET(A$1,,,SUMPRODUCT(MAX(ROW(E$1:E5551)*(E2=E$1:E5551))))))</f>
        <v> </v>
      </c>
      <c r="K5552" s="26" t="str">
        <f>IF(OR(E5552="",E5552="!!!",F5552="NEW"),"",INDEX(J$1:J5551,SUMPRODUCT(MAX(ROW(E$1:E5551)*(E5552=E$1:E5551)))))</f>
        <v> </v>
      </c>
      <c r="L5552" s="27"/>
    </row>
    <row r="5553" spans="1:12">
      <c r="A5553" s="20" t="s">
        <v>2236</v>
      </c>
      <c r="E5553" s="22">
        <f>IF(D5553="?OLD","!!!","")</f>
        <v/>
      </c>
      <c r="F5553" s="23" t="str">
        <f>IF(OR(E5553="",E5553="!!!"),"",IF(NOT(ISNA(VLOOKUP(E5553,E$1:E5552,1,FALSE()))),"OLD",IF(AND(E5553&lt;&gt;"",E5553&lt;&gt;"!!!"),"NEW","")))</f>
        <v> </v>
      </c>
      <c r="G5553" s="24" t="str">
        <f>IF(OR(E5553="",E5553="!!!"),"",IF(OR(J5553=0,AND(J5553=1,K5553=1),AND(J5553=1,I5553="SBJ"),AND(J5553=1,I5553=0)),"?IN_FOCUS",IF(J5553&lt;=2,"?ACTIVATED",IF(J5553&lt;&gt;"","?FAMILIAR",IF(F5553="NEW",IF(ISNA(VLOOKUP(E5553,#REF!,1,FALSE())),"?TYPE_IDENTIFIABLE","?REFERENTIAL"),"_")))))</f>
        <v> </v>
      </c>
      <c r="H5553" s="25" t="str">
        <f>IF(J5553&lt;&gt;1,"",IF(I5553="SBJ","CB","?"))</f>
        <v> </v>
      </c>
      <c r="I5553" s="26" t="str">
        <f>IF(OR(E5553="",E5553="!!!",F5553="NEW"),"",INDEX(B5552:B$2,-1+SUMPRODUCT(MAX(ROW(E5552:E$2)*(E5553=E5552:E$2)))))</f>
        <v> </v>
      </c>
      <c r="J5553" s="26" t="str">
        <f>IF(OR(E5553="",E5553="!!!",F5553="NEW"),"",COUNTBLANK(OFFSET(A$1,,,SUMPRODUCT(MAX(ROW(E$2:E5553)*(E5553=E$2:E5553)))))-COUNTBLANK(OFFSET(A$1,,,SUMPRODUCT(MAX(ROW(E$1:E5552)*(E2=E$1:E5552))))))</f>
        <v> </v>
      </c>
      <c r="K5553" s="26" t="str">
        <f>IF(OR(E5553="",E5553="!!!",F5553="NEW"),"",INDEX(J$1:J5552,SUMPRODUCT(MAX(ROW(E$1:E5552)*(E5553=E$1:E5552)))))</f>
        <v> </v>
      </c>
      <c r="L5553" s="27"/>
    </row>
    <row r="5554" spans="1:12">
      <c r="A5554" s="20" t="s">
        <v>2237</v>
      </c>
      <c r="B5554" s="21" t="s">
        <v>1071</v>
      </c>
      <c r="C5554" s="21" t="s">
        <v>1044</v>
      </c>
      <c r="D5554" s="21" t="s">
        <v>1011</v>
      </c>
      <c r="E5554" s="22">
        <f>IF(D5554="?OLD","!!!","")</f>
        <v/>
      </c>
      <c r="F5554" s="23" t="str">
        <f>IF(OR(E5554="",E5554="!!!"),"",IF(NOT(ISNA(VLOOKUP(E5554,E$1:E5553,1,FALSE()))),"OLD",IF(AND(E5554&lt;&gt;"",E5554&lt;&gt;"!!!"),"NEW","")))</f>
        <v> </v>
      </c>
      <c r="G5554" s="24" t="str">
        <f>IF(OR(E5554="",E5554="!!!"),"",IF(OR(J5554=0,AND(J5554=1,K5554=1),AND(J5554=1,I5554="SBJ"),AND(J5554=1,I5554=0)),"?IN_FOCUS",IF(J5554&lt;=2,"?ACTIVATED",IF(J5554&lt;&gt;"","?FAMILIAR",IF(F5554="NEW",IF(ISNA(VLOOKUP(E5554,#REF!,1,FALSE())),"?TYPE_IDENTIFIABLE","?REFERENTIAL"),"_")))))</f>
        <v> </v>
      </c>
      <c r="H5554" s="25" t="str">
        <f>IF(J5554&lt;&gt;1,"",IF(I5554="SBJ","CB","?"))</f>
        <v> </v>
      </c>
      <c r="I5554" s="26" t="str">
        <f>IF(OR(E5554="",E5554="!!!",F5554="NEW"),"",INDEX(B5553:B$2,-1+SUMPRODUCT(MAX(ROW(E5553:E$2)*(E5554=E5553:E$2)))))</f>
        <v> </v>
      </c>
      <c r="J5554" s="26" t="str">
        <f>IF(OR(E5554="",E5554="!!!",F5554="NEW"),"",COUNTBLANK(OFFSET(A$1,,,SUMPRODUCT(MAX(ROW(E$2:E5554)*(E5554=E$2:E5554)))))-COUNTBLANK(OFFSET(A$1,,,SUMPRODUCT(MAX(ROW(E$1:E5553)*(E2=E$1:E5553))))))</f>
        <v> </v>
      </c>
      <c r="K5554" s="26" t="str">
        <f>IF(OR(E5554="",E5554="!!!",F5554="NEW"),"",INDEX(J$1:J5553,SUMPRODUCT(MAX(ROW(E$1:E5553)*(E5554=E$1:E5553)))))</f>
        <v> </v>
      </c>
      <c r="L5554" s="27"/>
    </row>
    <row r="5555" spans="1:12">
      <c r="A5555" s="20" t="s">
        <v>1032</v>
      </c>
      <c r="E5555" s="22">
        <f>IF(D5555="?OLD","!!!","")</f>
        <v/>
      </c>
      <c r="F5555" s="23" t="str">
        <f>IF(OR(E5555="",E5555="!!!"),"",IF(NOT(ISNA(VLOOKUP(E5555,E$1:E5554,1,FALSE()))),"OLD",IF(AND(E5555&lt;&gt;"",E5555&lt;&gt;"!!!"),"NEW","")))</f>
        <v> </v>
      </c>
      <c r="G5555" s="24" t="str">
        <f>IF(OR(E5555="",E5555="!!!"),"",IF(OR(J5555=0,AND(J5555=1,K5555=1),AND(J5555=1,I5555="SBJ"),AND(J5555=1,I5555=0)),"?IN_FOCUS",IF(J5555&lt;=2,"?ACTIVATED",IF(J5555&lt;&gt;"","?FAMILIAR",IF(F5555="NEW",IF(ISNA(VLOOKUP(E5555,#REF!,1,FALSE())),"?TYPE_IDENTIFIABLE","?REFERENTIAL"),"_")))))</f>
        <v> </v>
      </c>
      <c r="H5555" s="25" t="str">
        <f>IF(J5555&lt;&gt;1,"",IF(I5555="SBJ","CB","?"))</f>
        <v> </v>
      </c>
      <c r="I5555" s="26" t="str">
        <f>IF(OR(E5555="",E5555="!!!",F5555="NEW"),"",INDEX(B5554:B$2,-1+SUMPRODUCT(MAX(ROW(E5554:E$2)*(E5555=E5554:E$2)))))</f>
        <v> </v>
      </c>
      <c r="J5555" s="26" t="str">
        <f>IF(OR(E5555="",E5555="!!!",F5555="NEW"),"",COUNTBLANK(OFFSET(A$1,,,SUMPRODUCT(MAX(ROW(E$2:E5555)*(E5555=E$2:E5555)))))-COUNTBLANK(OFFSET(A$1,,,SUMPRODUCT(MAX(ROW(E$1:E5554)*(E2=E$1:E5554))))))</f>
        <v> </v>
      </c>
      <c r="K5555" s="26" t="str">
        <f>IF(OR(E5555="",E5555="!!!",F5555="NEW"),"",INDEX(J$1:J5554,SUMPRODUCT(MAX(ROW(E$1:E5554)*(E5555=E$1:E5554)))))</f>
        <v> </v>
      </c>
      <c r="L5555" s="27"/>
    </row>
    <row r="5556" spans="1:12">
      <c r="A5556" s="20" t="s">
        <v>2238</v>
      </c>
      <c r="E5556" s="22">
        <f>IF(D5556="?OLD","!!!","")</f>
        <v/>
      </c>
      <c r="F5556" s="23" t="str">
        <f>IF(OR(E5556="",E5556="!!!"),"",IF(NOT(ISNA(VLOOKUP(E5556,E$1:E5555,1,FALSE()))),"OLD",IF(AND(E5556&lt;&gt;"",E5556&lt;&gt;"!!!"),"NEW","")))</f>
        <v> </v>
      </c>
      <c r="G5556" s="24" t="str">
        <f>IF(OR(E5556="",E5556="!!!"),"",IF(OR(J5556=0,AND(J5556=1,K5556=1),AND(J5556=1,I5556="SBJ"),AND(J5556=1,I5556=0)),"?IN_FOCUS",IF(J5556&lt;=2,"?ACTIVATED",IF(J5556&lt;&gt;"","?FAMILIAR",IF(F5556="NEW",IF(ISNA(VLOOKUP(E5556,#REF!,1,FALSE())),"?TYPE_IDENTIFIABLE","?REFERENTIAL"),"_")))))</f>
        <v> </v>
      </c>
      <c r="H5556" s="25" t="str">
        <f>IF(J5556&lt;&gt;1,"",IF(I5556="SBJ","CB","?"))</f>
        <v> </v>
      </c>
      <c r="I5556" s="26" t="str">
        <f>IF(OR(E5556="",E5556="!!!",F5556="NEW"),"",INDEX(B5555:B$2,-1+SUMPRODUCT(MAX(ROW(E5555:E$2)*(E5556=E5555:E$2)))))</f>
        <v> </v>
      </c>
      <c r="J5556" s="26" t="str">
        <f>IF(OR(E5556="",E5556="!!!",F5556="NEW"),"",COUNTBLANK(OFFSET(A$1,,,SUMPRODUCT(MAX(ROW(E$2:E5556)*(E5556=E$2:E5556)))))-COUNTBLANK(OFFSET(A$1,,,SUMPRODUCT(MAX(ROW(E$1:E5555)*(E2=E$1:E5555))))))</f>
        <v> </v>
      </c>
      <c r="K5556" s="26" t="str">
        <f>IF(OR(E5556="",E5556="!!!",F5556="NEW"),"",INDEX(J$1:J5555,SUMPRODUCT(MAX(ROW(E$1:E5555)*(E5556=E$1:E5555)))))</f>
        <v> </v>
      </c>
      <c r="L5556" s="27"/>
    </row>
    <row r="5557" spans="1:12">
      <c r="A5557" s="20" t="s">
        <v>1136</v>
      </c>
      <c r="E5557" s="22">
        <f>IF(D5557="?OLD","!!!","")</f>
        <v/>
      </c>
      <c r="F5557" s="23" t="str">
        <f>IF(OR(E5557="",E5557="!!!"),"",IF(NOT(ISNA(VLOOKUP(E5557,E$1:E5556,1,FALSE()))),"OLD",IF(AND(E5557&lt;&gt;"",E5557&lt;&gt;"!!!"),"NEW","")))</f>
        <v> </v>
      </c>
      <c r="G5557" s="24" t="str">
        <f>IF(OR(E5557="",E5557="!!!"),"",IF(OR(J5557=0,AND(J5557=1,K5557=1),AND(J5557=1,I5557="SBJ"),AND(J5557=1,I5557=0)),"?IN_FOCUS",IF(J5557&lt;=2,"?ACTIVATED",IF(J5557&lt;&gt;"","?FAMILIAR",IF(F5557="NEW",IF(ISNA(VLOOKUP(E5557,#REF!,1,FALSE())),"?TYPE_IDENTIFIABLE","?REFERENTIAL"),"_")))))</f>
        <v> </v>
      </c>
      <c r="H5557" s="25" t="str">
        <f>IF(J5557&lt;&gt;1,"",IF(I5557="SBJ","CB","?"))</f>
        <v> </v>
      </c>
      <c r="I5557" s="26" t="str">
        <f>IF(OR(E5557="",E5557="!!!",F5557="NEW"),"",INDEX(B5556:B$2,-1+SUMPRODUCT(MAX(ROW(E5556:E$2)*(E5557=E5556:E$2)))))</f>
        <v> </v>
      </c>
      <c r="J5557" s="26" t="str">
        <f>IF(OR(E5557="",E5557="!!!",F5557="NEW"),"",COUNTBLANK(OFFSET(A$1,,,SUMPRODUCT(MAX(ROW(E$2:E5557)*(E5557=E$2:E5557)))))-COUNTBLANK(OFFSET(A$1,,,SUMPRODUCT(MAX(ROW(E$1:E5556)*(E2=E$1:E5556))))))</f>
        <v> </v>
      </c>
      <c r="K5557" s="26" t="str">
        <f>IF(OR(E5557="",E5557="!!!",F5557="NEW"),"",INDEX(J$1:J5556,SUMPRODUCT(MAX(ROW(E$1:E5556)*(E5557=E$1:E5556)))))</f>
        <v> </v>
      </c>
      <c r="L5557" s="27"/>
    </row>
    <row r="5558" spans="1:12">
      <c r="A5558" s="20" t="s">
        <v>1137</v>
      </c>
      <c r="B5558" s="21" t="s">
        <v>1175</v>
      </c>
      <c r="C5558" s="21" t="s">
        <v>1010</v>
      </c>
      <c r="D5558" s="21" t="s">
        <v>1011</v>
      </c>
      <c r="E5558" s="22">
        <f>IF(D5558="?OLD","!!!","")</f>
        <v/>
      </c>
      <c r="F5558" s="23" t="str">
        <f>IF(OR(E5558="",E5558="!!!"),"",IF(NOT(ISNA(VLOOKUP(E5558,E$1:E5557,1,FALSE()))),"OLD",IF(AND(E5558&lt;&gt;"",E5558&lt;&gt;"!!!"),"NEW","")))</f>
        <v> </v>
      </c>
      <c r="G5558" s="24" t="str">
        <f>IF(OR(E5558="",E5558="!!!"),"",IF(OR(J5558=0,AND(J5558=1,K5558=1),AND(J5558=1,I5558="SBJ"),AND(J5558=1,I5558=0)),"?IN_FOCUS",IF(J5558&lt;=2,"?ACTIVATED",IF(J5558&lt;&gt;"","?FAMILIAR",IF(F5558="NEW",IF(ISNA(VLOOKUP(E5558,#REF!,1,FALSE())),"?TYPE_IDENTIFIABLE","?REFERENTIAL"),"_")))))</f>
        <v> </v>
      </c>
      <c r="H5558" s="25" t="str">
        <f>IF(J5558&lt;&gt;1,"",IF(I5558="SBJ","CB","?"))</f>
        <v> </v>
      </c>
      <c r="I5558" s="26" t="str">
        <f>IF(OR(E5558="",E5558="!!!",F5558="NEW"),"",INDEX(B5557:B$2,-1+SUMPRODUCT(MAX(ROW(E5557:E$2)*(E5558=E5557:E$2)))))</f>
        <v> </v>
      </c>
      <c r="J5558" s="26" t="str">
        <f>IF(OR(E5558="",E5558="!!!",F5558="NEW"),"",COUNTBLANK(OFFSET(A$1,,,SUMPRODUCT(MAX(ROW(E$2:E5558)*(E5558=E$2:E5558)))))-COUNTBLANK(OFFSET(A$1,,,SUMPRODUCT(MAX(ROW(E$1:E5557)*(E2=E$1:E5557))))))</f>
        <v> </v>
      </c>
      <c r="K5558" s="26" t="str">
        <f>IF(OR(E5558="",E5558="!!!",F5558="NEW"),"",INDEX(J$1:J5557,SUMPRODUCT(MAX(ROW(E$1:E5557)*(E5558=E$1:E5557)))))</f>
        <v> </v>
      </c>
      <c r="L5558" s="27"/>
    </row>
    <row r="5559" spans="1:12">
      <c r="A5559" s="20" t="s">
        <v>2239</v>
      </c>
      <c r="E5559" s="22">
        <f>IF(D5559="?OLD","!!!","")</f>
        <v/>
      </c>
      <c r="F5559" s="23" t="str">
        <f>IF(OR(E5559="",E5559="!!!"),"",IF(NOT(ISNA(VLOOKUP(E5559,E$1:E5558,1,FALSE()))),"OLD",IF(AND(E5559&lt;&gt;"",E5559&lt;&gt;"!!!"),"NEW","")))</f>
        <v> </v>
      </c>
      <c r="G5559" s="24" t="str">
        <f>IF(OR(E5559="",E5559="!!!"),"",IF(OR(J5559=0,AND(J5559=1,K5559=1),AND(J5559=1,I5559="SBJ"),AND(J5559=1,I5559=0)),"?IN_FOCUS",IF(J5559&lt;=2,"?ACTIVATED",IF(J5559&lt;&gt;"","?FAMILIAR",IF(F5559="NEW",IF(ISNA(VLOOKUP(E5559,#REF!,1,FALSE())),"?TYPE_IDENTIFIABLE","?REFERENTIAL"),"_")))))</f>
        <v> </v>
      </c>
      <c r="H5559" s="25" t="str">
        <f>IF(J5559&lt;&gt;1,"",IF(I5559="SBJ","CB","?"))</f>
        <v> </v>
      </c>
      <c r="I5559" s="26" t="str">
        <f>IF(OR(E5559="",E5559="!!!",F5559="NEW"),"",INDEX(B5558:B$2,-1+SUMPRODUCT(MAX(ROW(E5558:E$2)*(E5559=E5558:E$2)))))</f>
        <v> </v>
      </c>
      <c r="J5559" s="26" t="str">
        <f>IF(OR(E5559="",E5559="!!!",F5559="NEW"),"",COUNTBLANK(OFFSET(A$1,,,SUMPRODUCT(MAX(ROW(E$2:E5559)*(E5559=E$2:E5559)))))-COUNTBLANK(OFFSET(A$1,,,SUMPRODUCT(MAX(ROW(E$1:E5558)*(E2=E$1:E5558))))))</f>
        <v> </v>
      </c>
      <c r="K5559" s="26" t="str">
        <f>IF(OR(E5559="",E5559="!!!",F5559="NEW"),"",INDEX(J$1:J5558,SUMPRODUCT(MAX(ROW(E$1:E5558)*(E5559=E$1:E5558)))))</f>
        <v> </v>
      </c>
      <c r="L5559" s="27"/>
    </row>
    <row r="5560" spans="1:12">
      <c r="A5560" s="20" t="s">
        <v>1317</v>
      </c>
      <c r="E5560" s="22">
        <f>IF(D5560="?OLD","!!!","")</f>
        <v/>
      </c>
      <c r="F5560" s="23" t="str">
        <f>IF(OR(E5560="",E5560="!!!"),"",IF(NOT(ISNA(VLOOKUP(E5560,E$1:E5559,1,FALSE()))),"OLD",IF(AND(E5560&lt;&gt;"",E5560&lt;&gt;"!!!"),"NEW","")))</f>
        <v> </v>
      </c>
      <c r="G5560" s="24" t="str">
        <f>IF(OR(E5560="",E5560="!!!"),"",IF(OR(J5560=0,AND(J5560=1,K5560=1),AND(J5560=1,I5560="SBJ"),AND(J5560=1,I5560=0)),"?IN_FOCUS",IF(J5560&lt;=2,"?ACTIVATED",IF(J5560&lt;&gt;"","?FAMILIAR",IF(F5560="NEW",IF(ISNA(VLOOKUP(E5560,#REF!,1,FALSE())),"?TYPE_IDENTIFIABLE","?REFERENTIAL"),"_")))))</f>
        <v> </v>
      </c>
      <c r="H5560" s="25" t="str">
        <f>IF(J5560&lt;&gt;1,"",IF(I5560="SBJ","CB","?"))</f>
        <v> </v>
      </c>
      <c r="I5560" s="26" t="str">
        <f>IF(OR(E5560="",E5560="!!!",F5560="NEW"),"",INDEX(B5559:B$2,-1+SUMPRODUCT(MAX(ROW(E5559:E$2)*(E5560=E5559:E$2)))))</f>
        <v> </v>
      </c>
      <c r="J5560" s="26" t="str">
        <f>IF(OR(E5560="",E5560="!!!",F5560="NEW"),"",COUNTBLANK(OFFSET(A$1,,,SUMPRODUCT(MAX(ROW(E$2:E5560)*(E5560=E$2:E5560)))))-COUNTBLANK(OFFSET(A$1,,,SUMPRODUCT(MAX(ROW(E$1:E5559)*(E2=E$1:E5559))))))</f>
        <v> </v>
      </c>
      <c r="K5560" s="26" t="str">
        <f>IF(OR(E5560="",E5560="!!!",F5560="NEW"),"",INDEX(J$1:J5559,SUMPRODUCT(MAX(ROW(E$1:E5559)*(E5560=E$1:E5559)))))</f>
        <v> </v>
      </c>
      <c r="L5560" s="27"/>
    </row>
    <row r="5561" spans="1:12">
      <c r="A5561" s="20" t="s">
        <v>1243</v>
      </c>
      <c r="E5561" s="22">
        <f>IF(D5561="?OLD","!!!","")</f>
        <v/>
      </c>
      <c r="F5561" s="23" t="str">
        <f>IF(OR(E5561="",E5561="!!!"),"",IF(NOT(ISNA(VLOOKUP(E5561,E$1:E5560,1,FALSE()))),"OLD",IF(AND(E5561&lt;&gt;"",E5561&lt;&gt;"!!!"),"NEW","")))</f>
        <v> </v>
      </c>
      <c r="G5561" s="24" t="str">
        <f>IF(OR(E5561="",E5561="!!!"),"",IF(OR(J5561=0,AND(J5561=1,K5561=1),AND(J5561=1,I5561="SBJ"),AND(J5561=1,I5561=0)),"?IN_FOCUS",IF(J5561&lt;=2,"?ACTIVATED",IF(J5561&lt;&gt;"","?FAMILIAR",IF(F5561="NEW",IF(ISNA(VLOOKUP(E5561,#REF!,1,FALSE())),"?TYPE_IDENTIFIABLE","?REFERENTIAL"),"_")))))</f>
        <v> </v>
      </c>
      <c r="H5561" s="25" t="str">
        <f>IF(J5561&lt;&gt;1,"",IF(I5561="SBJ","CB","?"))</f>
        <v> </v>
      </c>
      <c r="I5561" s="26" t="str">
        <f>IF(OR(E5561="",E5561="!!!",F5561="NEW"),"",INDEX(B5560:B$2,-1+SUMPRODUCT(MAX(ROW(E5560:E$2)*(E5561=E5560:E$2)))))</f>
        <v> </v>
      </c>
      <c r="J5561" s="26" t="str">
        <f>IF(OR(E5561="",E5561="!!!",F5561="NEW"),"",COUNTBLANK(OFFSET(A$1,,,SUMPRODUCT(MAX(ROW(E$2:E5561)*(E5561=E$2:E5561)))))-COUNTBLANK(OFFSET(A$1,,,SUMPRODUCT(MAX(ROW(E$1:E5560)*(E2=E$1:E5560))))))</f>
        <v> </v>
      </c>
      <c r="K5561" s="26" t="str">
        <f>IF(OR(E5561="",E5561="!!!",F5561="NEW"),"",INDEX(J$1:J5560,SUMPRODUCT(MAX(ROW(E$1:E5560)*(E5561=E$1:E5560)))))</f>
        <v> </v>
      </c>
      <c r="L5561" s="27"/>
    </row>
    <row r="5562" spans="1:12">
      <c r="A5562" s="20" t="s">
        <v>1019</v>
      </c>
      <c r="B5562" s="21" t="s">
        <v>1142</v>
      </c>
      <c r="C5562" s="21" t="s">
        <v>1072</v>
      </c>
      <c r="D5562" s="21" t="s">
        <v>1011</v>
      </c>
      <c r="E5562" s="22">
        <f>IF(D5562="?OLD","!!!","")</f>
        <v/>
      </c>
      <c r="F5562" s="23" t="str">
        <f>IF(OR(E5562="",E5562="!!!"),"",IF(NOT(ISNA(VLOOKUP(E5562,E$1:E5561,1,FALSE()))),"OLD",IF(AND(E5562&lt;&gt;"",E5562&lt;&gt;"!!!"),"NEW","")))</f>
        <v> </v>
      </c>
      <c r="G5562" s="24" t="str">
        <f>IF(OR(E5562="",E5562="!!!"),"",IF(OR(J5562=0,AND(J5562=1,K5562=1),AND(J5562=1,I5562="SBJ"),AND(J5562=1,I5562=0)),"?IN_FOCUS",IF(J5562&lt;=2,"?ACTIVATED",IF(J5562&lt;&gt;"","?FAMILIAR",IF(F5562="NEW",IF(ISNA(VLOOKUP(E5562,#REF!,1,FALSE())),"?TYPE_IDENTIFIABLE","?REFERENTIAL"),"_")))))</f>
        <v> </v>
      </c>
      <c r="H5562" s="25" t="str">
        <f>IF(J5562&lt;&gt;1,"",IF(I5562="SBJ","CB","?"))</f>
        <v> </v>
      </c>
      <c r="I5562" s="26" t="str">
        <f>IF(OR(E5562="",E5562="!!!",F5562="NEW"),"",INDEX(B5561:B$2,-1+SUMPRODUCT(MAX(ROW(E5561:E$2)*(E5562=E5561:E$2)))))</f>
        <v> </v>
      </c>
      <c r="J5562" s="26" t="str">
        <f>IF(OR(E5562="",E5562="!!!",F5562="NEW"),"",COUNTBLANK(OFFSET(A$1,,,SUMPRODUCT(MAX(ROW(E$2:E5562)*(E5562=E$2:E5562)))))-COUNTBLANK(OFFSET(A$1,,,SUMPRODUCT(MAX(ROW(E$1:E5561)*(E2=E$1:E5561))))))</f>
        <v> </v>
      </c>
      <c r="K5562" s="26" t="str">
        <f>IF(OR(E5562="",E5562="!!!",F5562="NEW"),"",INDEX(J$1:J5561,SUMPRODUCT(MAX(ROW(E$1:E5561)*(E5562=E$1:E5561)))))</f>
        <v> </v>
      </c>
      <c r="L5562" s="27"/>
    </row>
    <row r="5563" spans="1:12">
      <c r="A5563" s="20" t="s">
        <v>1275</v>
      </c>
      <c r="E5563" s="22">
        <f>IF(D5563="?OLD","!!!","")</f>
        <v/>
      </c>
      <c r="F5563" s="23" t="str">
        <f>IF(OR(E5563="",E5563="!!!"),"",IF(NOT(ISNA(VLOOKUP(E5563,E$1:E5562,1,FALSE()))),"OLD",IF(AND(E5563&lt;&gt;"",E5563&lt;&gt;"!!!"),"NEW","")))</f>
        <v> </v>
      </c>
      <c r="G5563" s="24" t="str">
        <f>IF(OR(E5563="",E5563="!!!"),"",IF(OR(J5563=0,AND(J5563=1,K5563=1),AND(J5563=1,I5563="SBJ"),AND(J5563=1,I5563=0)),"?IN_FOCUS",IF(J5563&lt;=2,"?ACTIVATED",IF(J5563&lt;&gt;"","?FAMILIAR",IF(F5563="NEW",IF(ISNA(VLOOKUP(E5563,#REF!,1,FALSE())),"?TYPE_IDENTIFIABLE","?REFERENTIAL"),"_")))))</f>
        <v> </v>
      </c>
      <c r="H5563" s="25" t="str">
        <f>IF(J5563&lt;&gt;1,"",IF(I5563="SBJ","CB","?"))</f>
        <v> </v>
      </c>
      <c r="I5563" s="26" t="str">
        <f>IF(OR(E5563="",E5563="!!!",F5563="NEW"),"",INDEX(B5562:B$2,-1+SUMPRODUCT(MAX(ROW(E5562:E$2)*(E5563=E5562:E$2)))))</f>
        <v> </v>
      </c>
      <c r="J5563" s="26" t="str">
        <f>IF(OR(E5563="",E5563="!!!",F5563="NEW"),"",COUNTBLANK(OFFSET(A$1,,,SUMPRODUCT(MAX(ROW(E$2:E5563)*(E5563=E$2:E5563)))))-COUNTBLANK(OFFSET(A$1,,,SUMPRODUCT(MAX(ROW(E$1:E5562)*(E2=E$1:E5562))))))</f>
        <v> </v>
      </c>
      <c r="K5563" s="26" t="str">
        <f>IF(OR(E5563="",E5563="!!!",F5563="NEW"),"",INDEX(J$1:J5562,SUMPRODUCT(MAX(ROW(E$1:E5562)*(E5563=E$1:E5562)))))</f>
        <v> </v>
      </c>
      <c r="L5563" s="27"/>
    </row>
    <row r="5564" spans="1:12">
      <c r="A5564" s="20" t="s">
        <v>1014</v>
      </c>
      <c r="E5564" s="22">
        <f>IF(D5564="?OLD","!!!","")</f>
        <v/>
      </c>
      <c r="F5564" s="23" t="str">
        <f>IF(OR(E5564="",E5564="!!!"),"",IF(NOT(ISNA(VLOOKUP(E5564,E$1:E5563,1,FALSE()))),"OLD",IF(AND(E5564&lt;&gt;"",E5564&lt;&gt;"!!!"),"NEW","")))</f>
        <v> </v>
      </c>
      <c r="G5564" s="24" t="str">
        <f>IF(OR(E5564="",E5564="!!!"),"",IF(OR(J5564=0,AND(J5564=1,K5564=1),AND(J5564=1,I5564="SBJ"),AND(J5564=1,I5564=0)),"?IN_FOCUS",IF(J5564&lt;=2,"?ACTIVATED",IF(J5564&lt;&gt;"","?FAMILIAR",IF(F5564="NEW",IF(ISNA(VLOOKUP(E5564,#REF!,1,FALSE())),"?TYPE_IDENTIFIABLE","?REFERENTIAL"),"_")))))</f>
        <v> </v>
      </c>
      <c r="H5564" s="25" t="str">
        <f>IF(J5564&lt;&gt;1,"",IF(I5564="SBJ","CB","?"))</f>
        <v> </v>
      </c>
      <c r="I5564" s="26" t="str">
        <f>IF(OR(E5564="",E5564="!!!",F5564="NEW"),"",INDEX(B5563:B$2,-1+SUMPRODUCT(MAX(ROW(E5563:E$2)*(E5564=E5563:E$2)))))</f>
        <v> </v>
      </c>
      <c r="J5564" s="26" t="str">
        <f>IF(OR(E5564="",E5564="!!!",F5564="NEW"),"",COUNTBLANK(OFFSET(A$1,,,SUMPRODUCT(MAX(ROW(E$2:E5564)*(E5564=E$2:E5564)))))-COUNTBLANK(OFFSET(A$1,,,SUMPRODUCT(MAX(ROW(E$1:E5563)*(E2=E$1:E5563))))))</f>
        <v> </v>
      </c>
      <c r="K5564" s="26" t="str">
        <f>IF(OR(E5564="",E5564="!!!",F5564="NEW"),"",INDEX(J$1:J5563,SUMPRODUCT(MAX(ROW(E$1:E5563)*(E5564=E$1:E5563)))))</f>
        <v> </v>
      </c>
      <c r="L5564" s="27"/>
    </row>
    <row r="5565" spans="1:12">
      <c r="A5565" s="20" t="s">
        <v>539</v>
      </c>
      <c r="E5565" s="22">
        <f>IF(D5565="?OLD","!!!","")</f>
        <v/>
      </c>
      <c r="F5565" s="23" t="str">
        <f>IF(OR(E5565="",E5565="!!!"),"",IF(NOT(ISNA(VLOOKUP(E5565,E$1:E5564,1,FALSE()))),"OLD",IF(AND(E5565&lt;&gt;"",E5565&lt;&gt;"!!!"),"NEW","")))</f>
        <v> </v>
      </c>
      <c r="G5565" s="24" t="str">
        <f>IF(OR(E5565="",E5565="!!!"),"",IF(OR(J5565=0,AND(J5565=1,K5565=1),AND(J5565=1,I5565="SBJ"),AND(J5565=1,I5565=0)),"?IN_FOCUS",IF(J5565&lt;=2,"?ACTIVATED",IF(J5565&lt;&gt;"","?FAMILIAR",IF(F5565="NEW",IF(ISNA(VLOOKUP(E5565,#REF!,1,FALSE())),"?TYPE_IDENTIFIABLE","?REFERENTIAL"),"_")))))</f>
        <v> </v>
      </c>
      <c r="H5565" s="25" t="str">
        <f>IF(J5565&lt;&gt;1,"",IF(I5565="SBJ","CB","?"))</f>
        <v> </v>
      </c>
      <c r="I5565" s="26" t="str">
        <f>IF(OR(E5565="",E5565="!!!",F5565="NEW"),"",INDEX(B5564:B$2,-1+SUMPRODUCT(MAX(ROW(E5564:E$2)*(E5565=E5564:E$2)))))</f>
        <v> </v>
      </c>
      <c r="J5565" s="26" t="str">
        <f>IF(OR(E5565="",E5565="!!!",F5565="NEW"),"",COUNTBLANK(OFFSET(A$1,,,SUMPRODUCT(MAX(ROW(E$2:E5565)*(E5565=E$2:E5565)))))-COUNTBLANK(OFFSET(A$1,,,SUMPRODUCT(MAX(ROW(E$1:E5564)*(E2=E$1:E5564))))))</f>
        <v> </v>
      </c>
      <c r="K5565" s="26" t="str">
        <f>IF(OR(E5565="",E5565="!!!",F5565="NEW"),"",INDEX(J$1:J5564,SUMPRODUCT(MAX(ROW(E$1:E5564)*(E5565=E$1:E5564)))))</f>
        <v> </v>
      </c>
      <c r="L5565" s="27"/>
    </row>
    <row r="5566" spans="1:12">
      <c r="A5566" s="20" t="s">
        <v>1042</v>
      </c>
      <c r="E5566" s="22">
        <f>IF(D5566="?OLD","!!!","")</f>
        <v/>
      </c>
      <c r="F5566" s="23" t="str">
        <f>IF(OR(E5566="",E5566="!!!"),"",IF(NOT(ISNA(VLOOKUP(E5566,E$1:E5565,1,FALSE()))),"OLD",IF(AND(E5566&lt;&gt;"",E5566&lt;&gt;"!!!"),"NEW","")))</f>
        <v> </v>
      </c>
      <c r="G5566" s="24" t="str">
        <f>IF(OR(E5566="",E5566="!!!"),"",IF(OR(J5566=0,AND(J5566=1,K5566=1),AND(J5566=1,I5566="SBJ"),AND(J5566=1,I5566=0)),"?IN_FOCUS",IF(J5566&lt;=2,"?ACTIVATED",IF(J5566&lt;&gt;"","?FAMILIAR",IF(F5566="NEW",IF(ISNA(VLOOKUP(E5566,#REF!,1,FALSE())),"?TYPE_IDENTIFIABLE","?REFERENTIAL"),"_")))))</f>
        <v> </v>
      </c>
      <c r="H5566" s="25" t="str">
        <f>IF(J5566&lt;&gt;1,"",IF(I5566="SBJ","CB","?"))</f>
        <v> </v>
      </c>
      <c r="I5566" s="26" t="str">
        <f>IF(OR(E5566="",E5566="!!!",F5566="NEW"),"",INDEX(B5565:B$2,-1+SUMPRODUCT(MAX(ROW(E5565:E$2)*(E5566=E5565:E$2)))))</f>
        <v> </v>
      </c>
      <c r="J5566" s="26" t="str">
        <f>IF(OR(E5566="",E5566="!!!",F5566="NEW"),"",COUNTBLANK(OFFSET(A$1,,,SUMPRODUCT(MAX(ROW(E$2:E5566)*(E5566=E$2:E5566)))))-COUNTBLANK(OFFSET(A$1,,,SUMPRODUCT(MAX(ROW(E$1:E5565)*(E2=E$1:E5565))))))</f>
        <v> </v>
      </c>
      <c r="K5566" s="26" t="str">
        <f>IF(OR(E5566="",E5566="!!!",F5566="NEW"),"",INDEX(J$1:J5565,SUMPRODUCT(MAX(ROW(E$1:E5565)*(E5566=E$1:E5565)))))</f>
        <v> </v>
      </c>
      <c r="L5566" s="27"/>
    </row>
    <row r="5567" spans="1:12">
      <c r="A5567" s="20" t="s">
        <v>1197</v>
      </c>
      <c r="E5567" s="22">
        <f>IF(D5567="?OLD","!!!","")</f>
        <v/>
      </c>
      <c r="F5567" s="23" t="str">
        <f>IF(OR(E5567="",E5567="!!!"),"",IF(NOT(ISNA(VLOOKUP(E5567,E$1:E5566,1,FALSE()))),"OLD",IF(AND(E5567&lt;&gt;"",E5567&lt;&gt;"!!!"),"NEW","")))</f>
        <v> </v>
      </c>
      <c r="G5567" s="24" t="str">
        <f>IF(OR(E5567="",E5567="!!!"),"",IF(OR(J5567=0,AND(J5567=1,K5567=1),AND(J5567=1,I5567="SBJ"),AND(J5567=1,I5567=0)),"?IN_FOCUS",IF(J5567&lt;=2,"?ACTIVATED",IF(J5567&lt;&gt;"","?FAMILIAR",IF(F5567="NEW",IF(ISNA(VLOOKUP(E5567,#REF!,1,FALSE())),"?TYPE_IDENTIFIABLE","?REFERENTIAL"),"_")))))</f>
        <v> </v>
      </c>
      <c r="H5567" s="25" t="str">
        <f>IF(J5567&lt;&gt;1,"",IF(I5567="SBJ","CB","?"))</f>
        <v> </v>
      </c>
      <c r="I5567" s="26" t="str">
        <f>IF(OR(E5567="",E5567="!!!",F5567="NEW"),"",INDEX(B5566:B$2,-1+SUMPRODUCT(MAX(ROW(E5566:E$2)*(E5567=E5566:E$2)))))</f>
        <v> </v>
      </c>
      <c r="J5567" s="26" t="str">
        <f>IF(OR(E5567="",E5567="!!!",F5567="NEW"),"",COUNTBLANK(OFFSET(A$1,,,SUMPRODUCT(MAX(ROW(E$2:E5567)*(E5567=E$2:E5567)))))-COUNTBLANK(OFFSET(A$1,,,SUMPRODUCT(MAX(ROW(E$1:E5566)*(E2=E$1:E5566))))))</f>
        <v> </v>
      </c>
      <c r="K5567" s="26" t="str">
        <f>IF(OR(E5567="",E5567="!!!",F5567="NEW"),"",INDEX(J$1:J5566,SUMPRODUCT(MAX(ROW(E$1:E5566)*(E5567=E$1:E5566)))))</f>
        <v> </v>
      </c>
      <c r="L5567" s="27"/>
    </row>
    <row r="5568" spans="1:12">
      <c r="A5568" s="20" t="s">
        <v>398</v>
      </c>
      <c r="B5568" s="21" t="s">
        <v>1767</v>
      </c>
      <c r="C5568" s="21" t="s">
        <v>1044</v>
      </c>
      <c r="D5568" s="21" t="s">
        <v>1011</v>
      </c>
      <c r="E5568" s="22">
        <f>IF(D5568="?OLD","!!!","")</f>
        <v/>
      </c>
      <c r="F5568" s="23" t="str">
        <f>IF(OR(E5568="",E5568="!!!"),"",IF(NOT(ISNA(VLOOKUP(E5568,E$1:E5567,1,FALSE()))),"OLD",IF(AND(E5568&lt;&gt;"",E5568&lt;&gt;"!!!"),"NEW","")))</f>
        <v> </v>
      </c>
      <c r="G5568" s="24" t="str">
        <f>IF(OR(E5568="",E5568="!!!"),"",IF(OR(J5568=0,AND(J5568=1,K5568=1),AND(J5568=1,I5568="SBJ"),AND(J5568=1,I5568=0)),"?IN_FOCUS",IF(J5568&lt;=2,"?ACTIVATED",IF(J5568&lt;&gt;"","?FAMILIAR",IF(F5568="NEW",IF(ISNA(VLOOKUP(E5568,#REF!,1,FALSE())),"?TYPE_IDENTIFIABLE","?REFERENTIAL"),"_")))))</f>
        <v> </v>
      </c>
      <c r="H5568" s="25" t="str">
        <f>IF(J5568&lt;&gt;1,"",IF(I5568="SBJ","CB","?"))</f>
        <v> </v>
      </c>
      <c r="I5568" s="26" t="str">
        <f>IF(OR(E5568="",E5568="!!!",F5568="NEW"),"",INDEX(B5567:B$2,-1+SUMPRODUCT(MAX(ROW(E5567:E$2)*(E5568=E5567:E$2)))))</f>
        <v> </v>
      </c>
      <c r="J5568" s="26" t="str">
        <f>IF(OR(E5568="",E5568="!!!",F5568="NEW"),"",COUNTBLANK(OFFSET(A$1,,,SUMPRODUCT(MAX(ROW(E$2:E5568)*(E5568=E$2:E5568)))))-COUNTBLANK(OFFSET(A$1,,,SUMPRODUCT(MAX(ROW(E$1:E5567)*(E2=E$1:E5567))))))</f>
        <v> </v>
      </c>
      <c r="K5568" s="26" t="str">
        <f>IF(OR(E5568="",E5568="!!!",F5568="NEW"),"",INDEX(J$1:J5567,SUMPRODUCT(MAX(ROW(E$1:E5567)*(E5568=E$1:E5567)))))</f>
        <v> </v>
      </c>
      <c r="L5568" s="27"/>
    </row>
    <row r="5569" spans="1:12">
      <c r="A5569" s="20" t="s">
        <v>1032</v>
      </c>
      <c r="E5569" s="22">
        <f>IF(D5569="?OLD","!!!","")</f>
        <v/>
      </c>
      <c r="F5569" s="23" t="str">
        <f>IF(OR(E5569="",E5569="!!!"),"",IF(NOT(ISNA(VLOOKUP(E5569,E$1:E5568,1,FALSE()))),"OLD",IF(AND(E5569&lt;&gt;"",E5569&lt;&gt;"!!!"),"NEW","")))</f>
        <v> </v>
      </c>
      <c r="G5569" s="24" t="str">
        <f>IF(OR(E5569="",E5569="!!!"),"",IF(OR(J5569=0,AND(J5569=1,K5569=1),AND(J5569=1,I5569="SBJ"),AND(J5569=1,I5569=0)),"?IN_FOCUS",IF(J5569&lt;=2,"?ACTIVATED",IF(J5569&lt;&gt;"","?FAMILIAR",IF(F5569="NEW",IF(ISNA(VLOOKUP(E5569,#REF!,1,FALSE())),"?TYPE_IDENTIFIABLE","?REFERENTIAL"),"_")))))</f>
        <v> </v>
      </c>
      <c r="H5569" s="25" t="str">
        <f>IF(J5569&lt;&gt;1,"",IF(I5569="SBJ","CB","?"))</f>
        <v> </v>
      </c>
      <c r="I5569" s="26" t="str">
        <f>IF(OR(E5569="",E5569="!!!",F5569="NEW"),"",INDEX(B5568:B$2,-1+SUMPRODUCT(MAX(ROW(E5568:E$2)*(E5569=E5568:E$2)))))</f>
        <v> </v>
      </c>
      <c r="J5569" s="26" t="str">
        <f>IF(OR(E5569="",E5569="!!!",F5569="NEW"),"",COUNTBLANK(OFFSET(A$1,,,SUMPRODUCT(MAX(ROW(E$2:E5569)*(E5569=E$2:E5569)))))-COUNTBLANK(OFFSET(A$1,,,SUMPRODUCT(MAX(ROW(E$1:E5568)*(E2=E$1:E5568))))))</f>
        <v> </v>
      </c>
      <c r="K5569" s="26" t="str">
        <f>IF(OR(E5569="",E5569="!!!",F5569="NEW"),"",INDEX(J$1:J5568,SUMPRODUCT(MAX(ROW(E$1:E5568)*(E5569=E$1:E5568)))))</f>
        <v> </v>
      </c>
      <c r="L5569" s="27"/>
    </row>
    <row r="5570" spans="1:12">
      <c r="A5570" s="20" t="s">
        <v>1121</v>
      </c>
      <c r="B5570" s="21" t="s">
        <v>1039</v>
      </c>
      <c r="C5570" s="21" t="s">
        <v>1010</v>
      </c>
      <c r="D5570" s="21" t="s">
        <v>1011</v>
      </c>
      <c r="E5570" s="22">
        <f>IF(D5570="?OLD","!!!","")</f>
        <v/>
      </c>
      <c r="F5570" s="23" t="str">
        <f>IF(OR(E5570="",E5570="!!!"),"",IF(NOT(ISNA(VLOOKUP(E5570,E$1:E5569,1,FALSE()))),"OLD",IF(AND(E5570&lt;&gt;"",E5570&lt;&gt;"!!!"),"NEW","")))</f>
        <v> </v>
      </c>
      <c r="G5570" s="24" t="str">
        <f>IF(OR(E5570="",E5570="!!!"),"",IF(OR(J5570=0,AND(J5570=1,K5570=1),AND(J5570=1,I5570="SBJ"),AND(J5570=1,I5570=0)),"?IN_FOCUS",IF(J5570&lt;=2,"?ACTIVATED",IF(J5570&lt;&gt;"","?FAMILIAR",IF(F5570="NEW",IF(ISNA(VLOOKUP(E5570,#REF!,1,FALSE())),"?TYPE_IDENTIFIABLE","?REFERENTIAL"),"_")))))</f>
        <v> </v>
      </c>
      <c r="H5570" s="25" t="str">
        <f>IF(J5570&lt;&gt;1,"",IF(I5570="SBJ","CB","?"))</f>
        <v> </v>
      </c>
      <c r="I5570" s="26" t="str">
        <f>IF(OR(E5570="",E5570="!!!",F5570="NEW"),"",INDEX(B5569:B$2,-1+SUMPRODUCT(MAX(ROW(E5569:E$2)*(E5570=E5569:E$2)))))</f>
        <v> </v>
      </c>
      <c r="J5570" s="26" t="str">
        <f>IF(OR(E5570="",E5570="!!!",F5570="NEW"),"",COUNTBLANK(OFFSET(A$1,,,SUMPRODUCT(MAX(ROW(E$2:E5570)*(E5570=E$2:E5570)))))-COUNTBLANK(OFFSET(A$1,,,SUMPRODUCT(MAX(ROW(E$1:E5569)*(E2=E$1:E5569))))))</f>
        <v> </v>
      </c>
      <c r="K5570" s="26" t="str">
        <f>IF(OR(E5570="",E5570="!!!",F5570="NEW"),"",INDEX(J$1:J5569,SUMPRODUCT(MAX(ROW(E$1:E5569)*(E5570=E$1:E5569)))))</f>
        <v> </v>
      </c>
      <c r="L5570" s="27"/>
    </row>
    <row r="5571" spans="1:12">
      <c r="A5571" s="20" t="s">
        <v>1173</v>
      </c>
      <c r="E5571" s="22">
        <f>IF(D5571="?OLD","!!!","")</f>
        <v/>
      </c>
      <c r="F5571" s="23" t="str">
        <f>IF(OR(E5571="",E5571="!!!"),"",IF(NOT(ISNA(VLOOKUP(E5571,E$1:E5570,1,FALSE()))),"OLD",IF(AND(E5571&lt;&gt;"",E5571&lt;&gt;"!!!"),"NEW","")))</f>
        <v> </v>
      </c>
      <c r="G5571" s="24" t="str">
        <f>IF(OR(E5571="",E5571="!!!"),"",IF(OR(J5571=0,AND(J5571=1,K5571=1),AND(J5571=1,I5571="SBJ"),AND(J5571=1,I5571=0)),"?IN_FOCUS",IF(J5571&lt;=2,"?ACTIVATED",IF(J5571&lt;&gt;"","?FAMILIAR",IF(F5571="NEW",IF(ISNA(VLOOKUP(E5571,#REF!,1,FALSE())),"?TYPE_IDENTIFIABLE","?REFERENTIAL"),"_")))))</f>
        <v> </v>
      </c>
      <c r="H5571" s="25" t="str">
        <f>IF(J5571&lt;&gt;1,"",IF(I5571="SBJ","CB","?"))</f>
        <v> </v>
      </c>
      <c r="I5571" s="26" t="str">
        <f>IF(OR(E5571="",E5571="!!!",F5571="NEW"),"",INDEX(B5570:B$2,-1+SUMPRODUCT(MAX(ROW(E5570:E$2)*(E5571=E5570:E$2)))))</f>
        <v> </v>
      </c>
      <c r="J5571" s="26" t="str">
        <f>IF(OR(E5571="",E5571="!!!",F5571="NEW"),"",COUNTBLANK(OFFSET(A$1,,,SUMPRODUCT(MAX(ROW(E$2:E5571)*(E5571=E$2:E5571)))))-COUNTBLANK(OFFSET(A$1,,,SUMPRODUCT(MAX(ROW(E$1:E5570)*(E2=E$1:E5570))))))</f>
        <v> </v>
      </c>
      <c r="K5571" s="26" t="str">
        <f>IF(OR(E5571="",E5571="!!!",F5571="NEW"),"",INDEX(J$1:J5570,SUMPRODUCT(MAX(ROW(E$1:E5570)*(E5571=E$1:E5570)))))</f>
        <v> </v>
      </c>
      <c r="L5571" s="27"/>
    </row>
    <row r="5572" spans="1:12">
      <c r="A5572" s="20" t="s">
        <v>1013</v>
      </c>
      <c r="E5572" s="22">
        <f>IF(D5572="?OLD","!!!","")</f>
        <v/>
      </c>
      <c r="F5572" s="23" t="str">
        <f>IF(OR(E5572="",E5572="!!!"),"",IF(NOT(ISNA(VLOOKUP(E5572,E$1:E5571,1,FALSE()))),"OLD",IF(AND(E5572&lt;&gt;"",E5572&lt;&gt;"!!!"),"NEW","")))</f>
        <v> </v>
      </c>
      <c r="G5572" s="24" t="str">
        <f>IF(OR(E5572="",E5572="!!!"),"",IF(OR(J5572=0,AND(J5572=1,K5572=1),AND(J5572=1,I5572="SBJ"),AND(J5572=1,I5572=0)),"?IN_FOCUS",IF(J5572&lt;=2,"?ACTIVATED",IF(J5572&lt;&gt;"","?FAMILIAR",IF(F5572="NEW",IF(ISNA(VLOOKUP(E5572,#REF!,1,FALSE())),"?TYPE_IDENTIFIABLE","?REFERENTIAL"),"_")))))</f>
        <v> </v>
      </c>
      <c r="H5572" s="25" t="str">
        <f>IF(J5572&lt;&gt;1,"",IF(I5572="SBJ","CB","?"))</f>
        <v> </v>
      </c>
      <c r="I5572" s="26" t="str">
        <f>IF(OR(E5572="",E5572="!!!",F5572="NEW"),"",INDEX(B5571:B$2,-1+SUMPRODUCT(MAX(ROW(E5571:E$2)*(E5572=E5571:E$2)))))</f>
        <v> </v>
      </c>
      <c r="J5572" s="26" t="str">
        <f>IF(OR(E5572="",E5572="!!!",F5572="NEW"),"",COUNTBLANK(OFFSET(A$1,,,SUMPRODUCT(MAX(ROW(E$2:E5572)*(E5572=E$2:E5572)))))-COUNTBLANK(OFFSET(A$1,,,SUMPRODUCT(MAX(ROW(E$1:E5571)*(E2=E$1:E5571))))))</f>
        <v> </v>
      </c>
      <c r="K5572" s="26" t="str">
        <f>IF(OR(E5572="",E5572="!!!",F5572="NEW"),"",INDEX(J$1:J5571,SUMPRODUCT(MAX(ROW(E$1:E5571)*(E5572=E$1:E5571)))))</f>
        <v> </v>
      </c>
      <c r="L5572" s="27"/>
    </row>
    <row r="5573" spans="1:12">
      <c r="A5573" s="20" t="s">
        <v>1014</v>
      </c>
      <c r="E5573" s="22">
        <f>IF(D5573="?OLD","!!!","")</f>
        <v/>
      </c>
      <c r="F5573" s="23" t="str">
        <f>IF(OR(E5573="",E5573="!!!"),"",IF(NOT(ISNA(VLOOKUP(E5573,E$1:E5572,1,FALSE()))),"OLD",IF(AND(E5573&lt;&gt;"",E5573&lt;&gt;"!!!"),"NEW","")))</f>
        <v> </v>
      </c>
      <c r="G5573" s="24" t="str">
        <f>IF(OR(E5573="",E5573="!!!"),"",IF(OR(J5573=0,AND(J5573=1,K5573=1),AND(J5573=1,I5573="SBJ"),AND(J5573=1,I5573=0)),"?IN_FOCUS",IF(J5573&lt;=2,"?ACTIVATED",IF(J5573&lt;&gt;"","?FAMILIAR",IF(F5573="NEW",IF(ISNA(VLOOKUP(E5573,#REF!,1,FALSE())),"?TYPE_IDENTIFIABLE","?REFERENTIAL"),"_")))))</f>
        <v> </v>
      </c>
      <c r="H5573" s="25" t="str">
        <f>IF(J5573&lt;&gt;1,"",IF(I5573="SBJ","CB","?"))</f>
        <v> </v>
      </c>
      <c r="I5573" s="26" t="str">
        <f>IF(OR(E5573="",E5573="!!!",F5573="NEW"),"",INDEX(B5572:B$2,-1+SUMPRODUCT(MAX(ROW(E5572:E$2)*(E5573=E5572:E$2)))))</f>
        <v> </v>
      </c>
      <c r="J5573" s="26" t="str">
        <f>IF(OR(E5573="",E5573="!!!",F5573="NEW"),"",COUNTBLANK(OFFSET(A$1,,,SUMPRODUCT(MAX(ROW(E$2:E5573)*(E5573=E$2:E5573)))))-COUNTBLANK(OFFSET(A$1,,,SUMPRODUCT(MAX(ROW(E$1:E5572)*(E2=E$1:E5572))))))</f>
        <v> </v>
      </c>
      <c r="K5573" s="26" t="str">
        <f>IF(OR(E5573="",E5573="!!!",F5573="NEW"),"",INDEX(J$1:J5572,SUMPRODUCT(MAX(ROW(E$1:E5572)*(E5573=E$1:E5572)))))</f>
        <v> </v>
      </c>
      <c r="L5573" s="27"/>
    </row>
    <row r="5574" spans="1:12">
      <c r="A5574" s="20" t="s">
        <v>946</v>
      </c>
      <c r="E5574" s="22">
        <f>IF(D5574="?OLD","!!!","")</f>
        <v/>
      </c>
      <c r="F5574" s="23" t="str">
        <f>IF(OR(E5574="",E5574="!!!"),"",IF(NOT(ISNA(VLOOKUP(E5574,E$1:E5573,1,FALSE()))),"OLD",IF(AND(E5574&lt;&gt;"",E5574&lt;&gt;"!!!"),"NEW","")))</f>
        <v> </v>
      </c>
      <c r="G5574" s="24" t="str">
        <f>IF(OR(E5574="",E5574="!!!"),"",IF(OR(J5574=0,AND(J5574=1,K5574=1),AND(J5574=1,I5574="SBJ"),AND(J5574=1,I5574=0)),"?IN_FOCUS",IF(J5574&lt;=2,"?ACTIVATED",IF(J5574&lt;&gt;"","?FAMILIAR",IF(F5574="NEW",IF(ISNA(VLOOKUP(E5574,#REF!,1,FALSE())),"?TYPE_IDENTIFIABLE","?REFERENTIAL"),"_")))))</f>
        <v> </v>
      </c>
      <c r="H5574" s="25" t="str">
        <f>IF(J5574&lt;&gt;1,"",IF(I5574="SBJ","CB","?"))</f>
        <v> </v>
      </c>
      <c r="I5574" s="26" t="str">
        <f>IF(OR(E5574="",E5574="!!!",F5574="NEW"),"",INDEX(B5573:B$2,-1+SUMPRODUCT(MAX(ROW(E5573:E$2)*(E5574=E5573:E$2)))))</f>
        <v> </v>
      </c>
      <c r="J5574" s="26" t="str">
        <f>IF(OR(E5574="",E5574="!!!",F5574="NEW"),"",COUNTBLANK(OFFSET(A$1,,,SUMPRODUCT(MAX(ROW(E$2:E5574)*(E5574=E$2:E5574)))))-COUNTBLANK(OFFSET(A$1,,,SUMPRODUCT(MAX(ROW(E$1:E5573)*(E2=E$1:E5573))))))</f>
        <v> </v>
      </c>
      <c r="K5574" s="26" t="str">
        <f>IF(OR(E5574="",E5574="!!!",F5574="NEW"),"",INDEX(J$1:J5573,SUMPRODUCT(MAX(ROW(E$1:E5573)*(E5574=E$1:E5573)))))</f>
        <v> </v>
      </c>
      <c r="L5574" s="27"/>
    </row>
    <row r="5575" spans="1:12">
      <c r="A5575" s="20" t="s">
        <v>2240</v>
      </c>
      <c r="E5575" s="22">
        <f>IF(D5575="?OLD","!!!","")</f>
        <v/>
      </c>
      <c r="F5575" s="23" t="str">
        <f>IF(OR(E5575="",E5575="!!!"),"",IF(NOT(ISNA(VLOOKUP(E5575,E$1:E5574,1,FALSE()))),"OLD",IF(AND(E5575&lt;&gt;"",E5575&lt;&gt;"!!!"),"NEW","")))</f>
        <v> </v>
      </c>
      <c r="G5575" s="24" t="str">
        <f>IF(OR(E5575="",E5575="!!!"),"",IF(OR(J5575=0,AND(J5575=1,K5575=1),AND(J5575=1,I5575="SBJ"),AND(J5575=1,I5575=0)),"?IN_FOCUS",IF(J5575&lt;=2,"?ACTIVATED",IF(J5575&lt;&gt;"","?FAMILIAR",IF(F5575="NEW",IF(ISNA(VLOOKUP(E5575,#REF!,1,FALSE())),"?TYPE_IDENTIFIABLE","?REFERENTIAL"),"_")))))</f>
        <v> </v>
      </c>
      <c r="H5575" s="25" t="str">
        <f>IF(J5575&lt;&gt;1,"",IF(I5575="SBJ","CB","?"))</f>
        <v> </v>
      </c>
      <c r="I5575" s="26" t="str">
        <f>IF(OR(E5575="",E5575="!!!",F5575="NEW"),"",INDEX(B5574:B$2,-1+SUMPRODUCT(MAX(ROW(E5574:E$2)*(E5575=E5574:E$2)))))</f>
        <v> </v>
      </c>
      <c r="J5575" s="26" t="str">
        <f>IF(OR(E5575="",E5575="!!!",F5575="NEW"),"",COUNTBLANK(OFFSET(A$1,,,SUMPRODUCT(MAX(ROW(E$2:E5575)*(E5575=E$2:E5575)))))-COUNTBLANK(OFFSET(A$1,,,SUMPRODUCT(MAX(ROW(E$1:E5574)*(E2=E$1:E5574))))))</f>
        <v> </v>
      </c>
      <c r="K5575" s="26" t="str">
        <f>IF(OR(E5575="",E5575="!!!",F5575="NEW"),"",INDEX(J$1:J5574,SUMPRODUCT(MAX(ROW(E$1:E5574)*(E5575=E$1:E5574)))))</f>
        <v> </v>
      </c>
      <c r="L5575" s="27"/>
    </row>
    <row r="5576" spans="1:12">
      <c r="A5576" s="20" t="s">
        <v>1317</v>
      </c>
      <c r="E5576" s="22">
        <f>IF(D5576="?OLD","!!!","")</f>
        <v/>
      </c>
      <c r="F5576" s="23" t="str">
        <f>IF(OR(E5576="",E5576="!!!"),"",IF(NOT(ISNA(VLOOKUP(E5576,E$1:E5575,1,FALSE()))),"OLD",IF(AND(E5576&lt;&gt;"",E5576&lt;&gt;"!!!"),"NEW","")))</f>
        <v> </v>
      </c>
      <c r="G5576" s="24" t="str">
        <f>IF(OR(E5576="",E5576="!!!"),"",IF(OR(J5576=0,AND(J5576=1,K5576=1),AND(J5576=1,I5576="SBJ"),AND(J5576=1,I5576=0)),"?IN_FOCUS",IF(J5576&lt;=2,"?ACTIVATED",IF(J5576&lt;&gt;"","?FAMILIAR",IF(F5576="NEW",IF(ISNA(VLOOKUP(E5576,#REF!,1,FALSE())),"?TYPE_IDENTIFIABLE","?REFERENTIAL"),"_")))))</f>
        <v> </v>
      </c>
      <c r="H5576" s="25" t="str">
        <f>IF(J5576&lt;&gt;1,"",IF(I5576="SBJ","CB","?"))</f>
        <v> </v>
      </c>
      <c r="I5576" s="26" t="str">
        <f>IF(OR(E5576="",E5576="!!!",F5576="NEW"),"",INDEX(B5575:B$2,-1+SUMPRODUCT(MAX(ROW(E5575:E$2)*(E5576=E5575:E$2)))))</f>
        <v> </v>
      </c>
      <c r="J5576" s="26" t="str">
        <f>IF(OR(E5576="",E5576="!!!",F5576="NEW"),"",COUNTBLANK(OFFSET(A$1,,,SUMPRODUCT(MAX(ROW(E$2:E5576)*(E5576=E$2:E5576)))))-COUNTBLANK(OFFSET(A$1,,,SUMPRODUCT(MAX(ROW(E$1:E5575)*(E2=E$1:E5575))))))</f>
        <v> </v>
      </c>
      <c r="K5576" s="26" t="str">
        <f>IF(OR(E5576="",E5576="!!!",F5576="NEW"),"",INDEX(J$1:J5575,SUMPRODUCT(MAX(ROW(E$1:E5575)*(E5576=E$1:E5575)))))</f>
        <v> </v>
      </c>
      <c r="L5576" s="27"/>
    </row>
    <row r="5577" spans="1:12">
      <c r="A5577" s="20" t="s">
        <v>1401</v>
      </c>
      <c r="B5577" s="21" t="s">
        <v>1091</v>
      </c>
      <c r="C5577" s="21" t="s">
        <v>1035</v>
      </c>
      <c r="D5577" s="21" t="s">
        <v>1011</v>
      </c>
      <c r="E5577" s="22">
        <f>IF(D5577="?OLD","!!!","")</f>
        <v/>
      </c>
      <c r="F5577" s="23" t="str">
        <f>IF(OR(E5577="",E5577="!!!"),"",IF(NOT(ISNA(VLOOKUP(E5577,E$1:E5576,1,FALSE()))),"OLD",IF(AND(E5577&lt;&gt;"",E5577&lt;&gt;"!!!"),"NEW","")))</f>
        <v> </v>
      </c>
      <c r="G5577" s="24" t="str">
        <f>IF(OR(E5577="",E5577="!!!"),"",IF(OR(J5577=0,AND(J5577=1,K5577=1),AND(J5577=1,I5577="SBJ"),AND(J5577=1,I5577=0)),"?IN_FOCUS",IF(J5577&lt;=2,"?ACTIVATED",IF(J5577&lt;&gt;"","?FAMILIAR",IF(F5577="NEW",IF(ISNA(VLOOKUP(E5577,#REF!,1,FALSE())),"?TYPE_IDENTIFIABLE","?REFERENTIAL"),"_")))))</f>
        <v> </v>
      </c>
      <c r="H5577" s="25" t="str">
        <f>IF(J5577&lt;&gt;1,"",IF(I5577="SBJ","CB","?"))</f>
        <v> </v>
      </c>
      <c r="I5577" s="26" t="str">
        <f>IF(OR(E5577="",E5577="!!!",F5577="NEW"),"",INDEX(B5576:B$2,-1+SUMPRODUCT(MAX(ROW(E5576:E$2)*(E5577=E5576:E$2)))))</f>
        <v> </v>
      </c>
      <c r="J5577" s="26" t="str">
        <f>IF(OR(E5577="",E5577="!!!",F5577="NEW"),"",COUNTBLANK(OFFSET(A$1,,,SUMPRODUCT(MAX(ROW(E$2:E5577)*(E5577=E$2:E5577)))))-COUNTBLANK(OFFSET(A$1,,,SUMPRODUCT(MAX(ROW(E$1:E5576)*(E2=E$1:E5576))))))</f>
        <v> </v>
      </c>
      <c r="K5577" s="26" t="str">
        <f>IF(OR(E5577="",E5577="!!!",F5577="NEW"),"",INDEX(J$1:J5576,SUMPRODUCT(MAX(ROW(E$1:E5576)*(E5577=E$1:E5576)))))</f>
        <v> </v>
      </c>
      <c r="L5577" s="27"/>
    </row>
    <row r="5578" spans="1:12">
      <c r="A5578" s="20" t="s">
        <v>1071</v>
      </c>
      <c r="E5578" s="22">
        <f>IF(D5578="?OLD","!!!","")</f>
        <v/>
      </c>
      <c r="F5578" s="23" t="str">
        <f>IF(OR(E5578="",E5578="!!!"),"",IF(NOT(ISNA(VLOOKUP(E5578,E$1:E5577,1,FALSE()))),"OLD",IF(AND(E5578&lt;&gt;"",E5578&lt;&gt;"!!!"),"NEW","")))</f>
        <v> </v>
      </c>
      <c r="G5578" s="24" t="str">
        <f>IF(OR(E5578="",E5578="!!!"),"",IF(OR(J5578=0,AND(J5578=1,K5578=1),AND(J5578=1,I5578="SBJ"),AND(J5578=1,I5578=0)),"?IN_FOCUS",IF(J5578&lt;=2,"?ACTIVATED",IF(J5578&lt;&gt;"","?FAMILIAR",IF(F5578="NEW",IF(ISNA(VLOOKUP(E5578,#REF!,1,FALSE())),"?TYPE_IDENTIFIABLE","?REFERENTIAL"),"_")))))</f>
        <v> </v>
      </c>
      <c r="H5578" s="25" t="str">
        <f>IF(J5578&lt;&gt;1,"",IF(I5578="SBJ","CB","?"))</f>
        <v> </v>
      </c>
      <c r="I5578" s="26" t="str">
        <f>IF(OR(E5578="",E5578="!!!",F5578="NEW"),"",INDEX(B5577:B$2,-1+SUMPRODUCT(MAX(ROW(E5577:E$2)*(E5578=E5577:E$2)))))</f>
        <v> </v>
      </c>
      <c r="J5578" s="26" t="str">
        <f>IF(OR(E5578="",E5578="!!!",F5578="NEW"),"",COUNTBLANK(OFFSET(A$1,,,SUMPRODUCT(MAX(ROW(E$2:E5578)*(E5578=E$2:E5578)))))-COUNTBLANK(OFFSET(A$1,,,SUMPRODUCT(MAX(ROW(E$1:E5577)*(E2=E$1:E5577))))))</f>
        <v> </v>
      </c>
      <c r="K5578" s="26" t="str">
        <f>IF(OR(E5578="",E5578="!!!",F5578="NEW"),"",INDEX(J$1:J5577,SUMPRODUCT(MAX(ROW(E$1:E5577)*(E5578=E$1:E5577)))))</f>
        <v> </v>
      </c>
      <c r="L5578" s="27"/>
    </row>
    <row r="5579" spans="1:12">
      <c r="A5579" s="20" t="s">
        <v>2241</v>
      </c>
      <c r="B5579" s="21" t="s">
        <v>1142</v>
      </c>
      <c r="C5579" s="21" t="s">
        <v>2242</v>
      </c>
      <c r="D5579" s="21" t="s">
        <v>1011</v>
      </c>
      <c r="E5579" s="22">
        <f>IF(D5579="?OLD","!!!","")</f>
        <v/>
      </c>
      <c r="F5579" s="23" t="str">
        <f>IF(OR(E5579="",E5579="!!!"),"",IF(NOT(ISNA(VLOOKUP(E5579,E$1:E5578,1,FALSE()))),"OLD",IF(AND(E5579&lt;&gt;"",E5579&lt;&gt;"!!!"),"NEW","")))</f>
        <v> </v>
      </c>
      <c r="G5579" s="24" t="str">
        <f>IF(OR(E5579="",E5579="!!!"),"",IF(OR(J5579=0,AND(J5579=1,K5579=1),AND(J5579=1,I5579="SBJ"),AND(J5579=1,I5579=0)),"?IN_FOCUS",IF(J5579&lt;=2,"?ACTIVATED",IF(J5579&lt;&gt;"","?FAMILIAR",IF(F5579="NEW",IF(ISNA(VLOOKUP(E5579,#REF!,1,FALSE())),"?TYPE_IDENTIFIABLE","?REFERENTIAL"),"_")))))</f>
        <v> </v>
      </c>
      <c r="H5579" s="25" t="str">
        <f>IF(J5579&lt;&gt;1,"",IF(I5579="SBJ","CB","?"))</f>
        <v> </v>
      </c>
      <c r="I5579" s="26" t="str">
        <f>IF(OR(E5579="",E5579="!!!",F5579="NEW"),"",INDEX(B5578:B$2,-1+SUMPRODUCT(MAX(ROW(E5578:E$2)*(E5579=E5578:E$2)))))</f>
        <v> </v>
      </c>
      <c r="J5579" s="26" t="str">
        <f>IF(OR(E5579="",E5579="!!!",F5579="NEW"),"",COUNTBLANK(OFFSET(A$1,,,SUMPRODUCT(MAX(ROW(E$2:E5579)*(E5579=E$2:E5579)))))-COUNTBLANK(OFFSET(A$1,,,SUMPRODUCT(MAX(ROW(E$1:E5578)*(E2=E$1:E5578))))))</f>
        <v> </v>
      </c>
      <c r="K5579" s="26" t="str">
        <f>IF(OR(E5579="",E5579="!!!",F5579="NEW"),"",INDEX(J$1:J5578,SUMPRODUCT(MAX(ROW(E$1:E5578)*(E5579=E$1:E5578)))))</f>
        <v> </v>
      </c>
      <c r="L5579" s="27"/>
    </row>
    <row r="5580" spans="1:12">
      <c r="A5580" s="20" t="s">
        <v>1132</v>
      </c>
      <c r="E5580" s="22">
        <f>IF(D5580="?OLD","!!!","")</f>
        <v/>
      </c>
      <c r="F5580" s="23" t="str">
        <f>IF(OR(E5580="",E5580="!!!"),"",IF(NOT(ISNA(VLOOKUP(E5580,E$1:E5579,1,FALSE()))),"OLD",IF(AND(E5580&lt;&gt;"",E5580&lt;&gt;"!!!"),"NEW","")))</f>
        <v> </v>
      </c>
      <c r="G5580" s="24" t="str">
        <f>IF(OR(E5580="",E5580="!!!"),"",IF(OR(J5580=0,AND(J5580=1,K5580=1),AND(J5580=1,I5580="SBJ"),AND(J5580=1,I5580=0)),"?IN_FOCUS",IF(J5580&lt;=2,"?ACTIVATED",IF(J5580&lt;&gt;"","?FAMILIAR",IF(F5580="NEW",IF(ISNA(VLOOKUP(E5580,#REF!,1,FALSE())),"?TYPE_IDENTIFIABLE","?REFERENTIAL"),"_")))))</f>
        <v> </v>
      </c>
      <c r="H5580" s="25" t="str">
        <f>IF(J5580&lt;&gt;1,"",IF(I5580="SBJ","CB","?"))</f>
        <v> </v>
      </c>
      <c r="I5580" s="26" t="str">
        <f>IF(OR(E5580="",E5580="!!!",F5580="NEW"),"",INDEX(B5579:B$2,-1+SUMPRODUCT(MAX(ROW(E5579:E$2)*(E5580=E5579:E$2)))))</f>
        <v> </v>
      </c>
      <c r="J5580" s="26" t="str">
        <f>IF(OR(E5580="",E5580="!!!",F5580="NEW"),"",COUNTBLANK(OFFSET(A$1,,,SUMPRODUCT(MAX(ROW(E$2:E5580)*(E5580=E$2:E5580)))))-COUNTBLANK(OFFSET(A$1,,,SUMPRODUCT(MAX(ROW(E$1:E5579)*(E2=E$1:E5579))))))</f>
        <v> </v>
      </c>
      <c r="K5580" s="26" t="str">
        <f>IF(OR(E5580="",E5580="!!!",F5580="NEW"),"",INDEX(J$1:J5579,SUMPRODUCT(MAX(ROW(E$1:E5579)*(E5580=E$1:E5579)))))</f>
        <v> </v>
      </c>
      <c r="L5580" s="27"/>
    </row>
    <row r="5581" spans="1:12">
      <c r="A5581" s="20" t="s">
        <v>1275</v>
      </c>
      <c r="E5581" s="22">
        <f>IF(D5581="?OLD","!!!","")</f>
        <v/>
      </c>
      <c r="F5581" s="23" t="str">
        <f>IF(OR(E5581="",E5581="!!!"),"",IF(NOT(ISNA(VLOOKUP(E5581,E$1:E5580,1,FALSE()))),"OLD",IF(AND(E5581&lt;&gt;"",E5581&lt;&gt;"!!!"),"NEW","")))</f>
        <v> </v>
      </c>
      <c r="G5581" s="24" t="str">
        <f>IF(OR(E5581="",E5581="!!!"),"",IF(OR(J5581=0,AND(J5581=1,K5581=1),AND(J5581=1,I5581="SBJ"),AND(J5581=1,I5581=0)),"?IN_FOCUS",IF(J5581&lt;=2,"?ACTIVATED",IF(J5581&lt;&gt;"","?FAMILIAR",IF(F5581="NEW",IF(ISNA(VLOOKUP(E5581,#REF!,1,FALSE())),"?TYPE_IDENTIFIABLE","?REFERENTIAL"),"_")))))</f>
        <v> </v>
      </c>
      <c r="H5581" s="25" t="str">
        <f>IF(J5581&lt;&gt;1,"",IF(I5581="SBJ","CB","?"))</f>
        <v> </v>
      </c>
      <c r="I5581" s="26" t="str">
        <f>IF(OR(E5581="",E5581="!!!",F5581="NEW"),"",INDEX(B5580:B$2,-1+SUMPRODUCT(MAX(ROW(E5580:E$2)*(E5581=E5580:E$2)))))</f>
        <v> </v>
      </c>
      <c r="J5581" s="26" t="str">
        <f>IF(OR(E5581="",E5581="!!!",F5581="NEW"),"",COUNTBLANK(OFFSET(A$1,,,SUMPRODUCT(MAX(ROW(E$2:E5581)*(E5581=E$2:E5581)))))-COUNTBLANK(OFFSET(A$1,,,SUMPRODUCT(MAX(ROW(E$1:E5580)*(E2=E$1:E5580))))))</f>
        <v> </v>
      </c>
      <c r="K5581" s="26" t="str">
        <f>IF(OR(E5581="",E5581="!!!",F5581="NEW"),"",INDEX(J$1:J5580,SUMPRODUCT(MAX(ROW(E$1:E5580)*(E5581=E$1:E5580)))))</f>
        <v> </v>
      </c>
      <c r="L5581" s="27"/>
    </row>
    <row r="5582" spans="1:12">
      <c r="A5582" s="20" t="s">
        <v>1014</v>
      </c>
      <c r="E5582" s="22">
        <f>IF(D5582="?OLD","!!!","")</f>
        <v/>
      </c>
      <c r="F5582" s="23" t="str">
        <f>IF(OR(E5582="",E5582="!!!"),"",IF(NOT(ISNA(VLOOKUP(E5582,E$1:E5581,1,FALSE()))),"OLD",IF(AND(E5582&lt;&gt;"",E5582&lt;&gt;"!!!"),"NEW","")))</f>
        <v> </v>
      </c>
      <c r="G5582" s="24" t="str">
        <f>IF(OR(E5582="",E5582="!!!"),"",IF(OR(J5582=0,AND(J5582=1,K5582=1),AND(J5582=1,I5582="SBJ"),AND(J5582=1,I5582=0)),"?IN_FOCUS",IF(J5582&lt;=2,"?ACTIVATED",IF(J5582&lt;&gt;"","?FAMILIAR",IF(F5582="NEW",IF(ISNA(VLOOKUP(E5582,#REF!,1,FALSE())),"?TYPE_IDENTIFIABLE","?REFERENTIAL"),"_")))))</f>
        <v> </v>
      </c>
      <c r="H5582" s="25" t="str">
        <f>IF(J5582&lt;&gt;1,"",IF(I5582="SBJ","CB","?"))</f>
        <v> </v>
      </c>
      <c r="I5582" s="26" t="str">
        <f>IF(OR(E5582="",E5582="!!!",F5582="NEW"),"",INDEX(B5581:B$2,-1+SUMPRODUCT(MAX(ROW(E5581:E$2)*(E5582=E5581:E$2)))))</f>
        <v> </v>
      </c>
      <c r="J5582" s="26" t="str">
        <f>IF(OR(E5582="",E5582="!!!",F5582="NEW"),"",COUNTBLANK(OFFSET(A$1,,,SUMPRODUCT(MAX(ROW(E$2:E5582)*(E5582=E$2:E5582)))))-COUNTBLANK(OFFSET(A$1,,,SUMPRODUCT(MAX(ROW(E$1:E5581)*(E2=E$1:E5581))))))</f>
        <v> </v>
      </c>
      <c r="K5582" s="26" t="str">
        <f>IF(OR(E5582="",E5582="!!!",F5582="NEW"),"",INDEX(J$1:J5581,SUMPRODUCT(MAX(ROW(E$1:E5581)*(E5582=E$1:E5581)))))</f>
        <v> </v>
      </c>
      <c r="L5582" s="27"/>
    </row>
    <row r="5583" spans="1:12">
      <c r="A5583" s="20" t="s">
        <v>1387</v>
      </c>
      <c r="E5583" s="22">
        <f>IF(D5583="?OLD","!!!","")</f>
        <v/>
      </c>
      <c r="F5583" s="23" t="str">
        <f>IF(OR(E5583="",E5583="!!!"),"",IF(NOT(ISNA(VLOOKUP(E5583,E$1:E5582,1,FALSE()))),"OLD",IF(AND(E5583&lt;&gt;"",E5583&lt;&gt;"!!!"),"NEW","")))</f>
        <v> </v>
      </c>
      <c r="G5583" s="24" t="str">
        <f>IF(OR(E5583="",E5583="!!!"),"",IF(OR(J5583=0,AND(J5583=1,K5583=1),AND(J5583=1,I5583="SBJ"),AND(J5583=1,I5583=0)),"?IN_FOCUS",IF(J5583&lt;=2,"?ACTIVATED",IF(J5583&lt;&gt;"","?FAMILIAR",IF(F5583="NEW",IF(ISNA(VLOOKUP(E5583,#REF!,1,FALSE())),"?TYPE_IDENTIFIABLE","?REFERENTIAL"),"_")))))</f>
        <v> </v>
      </c>
      <c r="H5583" s="25" t="str">
        <f>IF(J5583&lt;&gt;1,"",IF(I5583="SBJ","CB","?"))</f>
        <v> </v>
      </c>
      <c r="I5583" s="26" t="str">
        <f>IF(OR(E5583="",E5583="!!!",F5583="NEW"),"",INDEX(B5582:B$2,-1+SUMPRODUCT(MAX(ROW(E5582:E$2)*(E5583=E5582:E$2)))))</f>
        <v> </v>
      </c>
      <c r="J5583" s="26" t="str">
        <f>IF(OR(E5583="",E5583="!!!",F5583="NEW"),"",COUNTBLANK(OFFSET(A$1,,,SUMPRODUCT(MAX(ROW(E$2:E5583)*(E5583=E$2:E5583)))))-COUNTBLANK(OFFSET(A$1,,,SUMPRODUCT(MAX(ROW(E$1:E5582)*(E2=E$1:E5582))))))</f>
        <v> </v>
      </c>
      <c r="K5583" s="26" t="str">
        <f>IF(OR(E5583="",E5583="!!!",F5583="NEW"),"",INDEX(J$1:J5582,SUMPRODUCT(MAX(ROW(E$1:E5582)*(E5583=E$1:E5582)))))</f>
        <v> </v>
      </c>
      <c r="L5583" s="27"/>
    </row>
    <row r="5584" spans="1:12">
      <c r="A5584" s="20" t="s">
        <v>1042</v>
      </c>
      <c r="E5584" s="22">
        <f>IF(D5584="?OLD","!!!","")</f>
        <v/>
      </c>
      <c r="F5584" s="23" t="str">
        <f>IF(OR(E5584="",E5584="!!!"),"",IF(NOT(ISNA(VLOOKUP(E5584,E$1:E5583,1,FALSE()))),"OLD",IF(AND(E5584&lt;&gt;"",E5584&lt;&gt;"!!!"),"NEW","")))</f>
        <v> </v>
      </c>
      <c r="G5584" s="24" t="str">
        <f>IF(OR(E5584="",E5584="!!!"),"",IF(OR(J5584=0,AND(J5584=1,K5584=1),AND(J5584=1,I5584="SBJ"),AND(J5584=1,I5584=0)),"?IN_FOCUS",IF(J5584&lt;=2,"?ACTIVATED",IF(J5584&lt;&gt;"","?FAMILIAR",IF(F5584="NEW",IF(ISNA(VLOOKUP(E5584,#REF!,1,FALSE())),"?TYPE_IDENTIFIABLE","?REFERENTIAL"),"_")))))</f>
        <v> </v>
      </c>
      <c r="H5584" s="25" t="str">
        <f>IF(J5584&lt;&gt;1,"",IF(I5584="SBJ","CB","?"))</f>
        <v> </v>
      </c>
      <c r="I5584" s="26" t="str">
        <f>IF(OR(E5584="",E5584="!!!",F5584="NEW"),"",INDEX(B5583:B$2,-1+SUMPRODUCT(MAX(ROW(E5583:E$2)*(E5584=E5583:E$2)))))</f>
        <v> </v>
      </c>
      <c r="J5584" s="26" t="str">
        <f>IF(OR(E5584="",E5584="!!!",F5584="NEW"),"",COUNTBLANK(OFFSET(A$1,,,SUMPRODUCT(MAX(ROW(E$2:E5584)*(E5584=E$2:E5584)))))-COUNTBLANK(OFFSET(A$1,,,SUMPRODUCT(MAX(ROW(E$1:E5583)*(E2=E$1:E5583))))))</f>
        <v> </v>
      </c>
      <c r="K5584" s="26" t="str">
        <f>IF(OR(E5584="",E5584="!!!",F5584="NEW"),"",INDEX(J$1:J5583,SUMPRODUCT(MAX(ROW(E$1:E5583)*(E5584=E$1:E5583)))))</f>
        <v> </v>
      </c>
      <c r="L5584" s="27"/>
    </row>
    <row r="5585" spans="1:12">
      <c r="A5585" s="20" t="s">
        <v>1188</v>
      </c>
      <c r="B5585" s="21" t="s">
        <v>1803</v>
      </c>
      <c r="C5585" s="21" t="s">
        <v>1044</v>
      </c>
      <c r="D5585" s="21" t="s">
        <v>1011</v>
      </c>
      <c r="E5585" s="22">
        <f>IF(D5585="?OLD","!!!","")</f>
        <v/>
      </c>
      <c r="F5585" s="23" t="str">
        <f>IF(OR(E5585="",E5585="!!!"),"",IF(NOT(ISNA(VLOOKUP(E5585,E$1:E5584,1,FALSE()))),"OLD",IF(AND(E5585&lt;&gt;"",E5585&lt;&gt;"!!!"),"NEW","")))</f>
        <v> </v>
      </c>
      <c r="G5585" s="24" t="str">
        <f>IF(OR(E5585="",E5585="!!!"),"",IF(OR(J5585=0,AND(J5585=1,K5585=1),AND(J5585=1,I5585="SBJ"),AND(J5585=1,I5585=0)),"?IN_FOCUS",IF(J5585&lt;=2,"?ACTIVATED",IF(J5585&lt;&gt;"","?FAMILIAR",IF(F5585="NEW",IF(ISNA(VLOOKUP(E5585,#REF!,1,FALSE())),"?TYPE_IDENTIFIABLE","?REFERENTIAL"),"_")))))</f>
        <v> </v>
      </c>
      <c r="H5585" s="25" t="str">
        <f>IF(J5585&lt;&gt;1,"",IF(I5585="SBJ","CB","?"))</f>
        <v> </v>
      </c>
      <c r="I5585" s="26" t="str">
        <f>IF(OR(E5585="",E5585="!!!",F5585="NEW"),"",INDEX(B5584:B$2,-1+SUMPRODUCT(MAX(ROW(E5584:E$2)*(E5585=E5584:E$2)))))</f>
        <v> </v>
      </c>
      <c r="J5585" s="26" t="str">
        <f>IF(OR(E5585="",E5585="!!!",F5585="NEW"),"",COUNTBLANK(OFFSET(A$1,,,SUMPRODUCT(MAX(ROW(E$2:E5585)*(E5585=E$2:E5585)))))-COUNTBLANK(OFFSET(A$1,,,SUMPRODUCT(MAX(ROW(E$1:E5584)*(E2=E$1:E5584))))))</f>
        <v> </v>
      </c>
      <c r="K5585" s="26" t="str">
        <f>IF(OR(E5585="",E5585="!!!",F5585="NEW"),"",INDEX(J$1:J5584,SUMPRODUCT(MAX(ROW(E$1:E5584)*(E5585=E$1:E5584)))))</f>
        <v> </v>
      </c>
      <c r="L5585" s="27"/>
    </row>
    <row r="5586" spans="1:12">
      <c r="A5586" s="20" t="s">
        <v>1132</v>
      </c>
      <c r="E5586" s="22">
        <f>IF(D5586="?OLD","!!!","")</f>
        <v/>
      </c>
      <c r="F5586" s="23" t="str">
        <f>IF(OR(E5586="",E5586="!!!"),"",IF(NOT(ISNA(VLOOKUP(E5586,E$1:E5585,1,FALSE()))),"OLD",IF(AND(E5586&lt;&gt;"",E5586&lt;&gt;"!!!"),"NEW","")))</f>
        <v> </v>
      </c>
      <c r="G5586" s="24" t="str">
        <f>IF(OR(E5586="",E5586="!!!"),"",IF(OR(J5586=0,AND(J5586=1,K5586=1),AND(J5586=1,I5586="SBJ"),AND(J5586=1,I5586=0)),"?IN_FOCUS",IF(J5586&lt;=2,"?ACTIVATED",IF(J5586&lt;&gt;"","?FAMILIAR",IF(F5586="NEW",IF(ISNA(VLOOKUP(E5586,#REF!,1,FALSE())),"?TYPE_IDENTIFIABLE","?REFERENTIAL"),"_")))))</f>
        <v> </v>
      </c>
      <c r="H5586" s="25" t="str">
        <f>IF(J5586&lt;&gt;1,"",IF(I5586="SBJ","CB","?"))</f>
        <v> </v>
      </c>
      <c r="I5586" s="26" t="str">
        <f>IF(OR(E5586="",E5586="!!!",F5586="NEW"),"",INDEX(B5585:B$2,-1+SUMPRODUCT(MAX(ROW(E5585:E$2)*(E5586=E5585:E$2)))))</f>
        <v> </v>
      </c>
      <c r="J5586" s="26" t="str">
        <f>IF(OR(E5586="",E5586="!!!",F5586="NEW"),"",COUNTBLANK(OFFSET(A$1,,,SUMPRODUCT(MAX(ROW(E$2:E5586)*(E5586=E$2:E5586)))))-COUNTBLANK(OFFSET(A$1,,,SUMPRODUCT(MAX(ROW(E$1:E5585)*(E2=E$1:E5585))))))</f>
        <v> </v>
      </c>
      <c r="K5586" s="26" t="str">
        <f>IF(OR(E5586="",E5586="!!!",F5586="NEW"),"",INDEX(J$1:J5585,SUMPRODUCT(MAX(ROW(E$1:E5585)*(E5586=E$1:E5585)))))</f>
        <v> </v>
      </c>
      <c r="L5586" s="27"/>
    </row>
    <row r="5587" spans="1:12">
      <c r="A5587" s="20" t="s">
        <v>1144</v>
      </c>
      <c r="B5587" s="21" t="s">
        <v>1605</v>
      </c>
      <c r="C5587" s="21" t="s">
        <v>1017</v>
      </c>
      <c r="E5587" s="22">
        <f>IF(D5587="?OLD","!!!","")</f>
        <v/>
      </c>
      <c r="F5587" s="23" t="str">
        <f>IF(OR(E5587="",E5587="!!!"),"",IF(NOT(ISNA(VLOOKUP(E5587,E$1:E5586,1,FALSE()))),"OLD",IF(AND(E5587&lt;&gt;"",E5587&lt;&gt;"!!!"),"NEW","")))</f>
        <v> </v>
      </c>
      <c r="G5587" s="24" t="str">
        <f>IF(OR(E5587="",E5587="!!!"),"",IF(OR(J5587=0,AND(J5587=1,K5587=1),AND(J5587=1,I5587="SBJ"),AND(J5587=1,I5587=0)),"?IN_FOCUS",IF(J5587&lt;=2,"?ACTIVATED",IF(J5587&lt;&gt;"","?FAMILIAR",IF(F5587="NEW",IF(ISNA(VLOOKUP(E5587,#REF!,1,FALSE())),"?TYPE_IDENTIFIABLE","?REFERENTIAL"),"_")))))</f>
        <v> </v>
      </c>
      <c r="H5587" s="25" t="str">
        <f>IF(J5587&lt;&gt;1,"",IF(I5587="SBJ","CB","?"))</f>
        <v> </v>
      </c>
      <c r="I5587" s="26" t="str">
        <f>IF(OR(E5587="",E5587="!!!",F5587="NEW"),"",INDEX(B5586:B$2,-1+SUMPRODUCT(MAX(ROW(E5586:E$2)*(E5587=E5586:E$2)))))</f>
        <v> </v>
      </c>
      <c r="J5587" s="26" t="str">
        <f>IF(OR(E5587="",E5587="!!!",F5587="NEW"),"",COUNTBLANK(OFFSET(A$1,,,SUMPRODUCT(MAX(ROW(E$2:E5587)*(E5587=E$2:E5587)))))-COUNTBLANK(OFFSET(A$1,,,SUMPRODUCT(MAX(ROW(E$1:E5586)*(E2=E$1:E5586))))))</f>
        <v> </v>
      </c>
      <c r="K5587" s="26" t="str">
        <f>IF(OR(E5587="",E5587="!!!",F5587="NEW"),"",INDEX(J$1:J5586,SUMPRODUCT(MAX(ROW(E$1:E5586)*(E5587=E$1:E5586)))))</f>
        <v> </v>
      </c>
      <c r="L5587" s="27"/>
    </row>
    <row r="5588" spans="1:12">
      <c r="A5588" s="20" t="s">
        <v>1020</v>
      </c>
      <c r="E5588" s="22">
        <f>IF(D5588="?OLD","!!!","")</f>
        <v/>
      </c>
      <c r="F5588" s="23" t="str">
        <f>IF(OR(E5588="",E5588="!!!"),"",IF(NOT(ISNA(VLOOKUP(E5588,E$1:E5587,1,FALSE()))),"OLD",IF(AND(E5588&lt;&gt;"",E5588&lt;&gt;"!!!"),"NEW","")))</f>
        <v> </v>
      </c>
      <c r="G5588" s="24" t="str">
        <f>IF(OR(E5588="",E5588="!!!"),"",IF(OR(J5588=0,AND(J5588=1,K5588=1),AND(J5588=1,I5588="SBJ"),AND(J5588=1,I5588=0)),"?IN_FOCUS",IF(J5588&lt;=2,"?ACTIVATED",IF(J5588&lt;&gt;"","?FAMILIAR",IF(F5588="NEW",IF(ISNA(VLOOKUP(E5588,#REF!,1,FALSE())),"?TYPE_IDENTIFIABLE","?REFERENTIAL"),"_")))))</f>
        <v> </v>
      </c>
      <c r="H5588" s="25" t="str">
        <f>IF(J5588&lt;&gt;1,"",IF(I5588="SBJ","CB","?"))</f>
        <v> </v>
      </c>
      <c r="I5588" s="26" t="str">
        <f>IF(OR(E5588="",E5588="!!!",F5588="NEW"),"",INDEX(B5587:B$2,-1+SUMPRODUCT(MAX(ROW(E5587:E$2)*(E5588=E5587:E$2)))))</f>
        <v> </v>
      </c>
      <c r="J5588" s="26" t="str">
        <f>IF(OR(E5588="",E5588="!!!",F5588="NEW"),"",COUNTBLANK(OFFSET(A$1,,,SUMPRODUCT(MAX(ROW(E$2:E5588)*(E5588=E$2:E5588)))))-COUNTBLANK(OFFSET(A$1,,,SUMPRODUCT(MAX(ROW(E$1:E5587)*(E2=E$1:E5587))))))</f>
        <v> </v>
      </c>
      <c r="K5588" s="26" t="str">
        <f>IF(OR(E5588="",E5588="!!!",F5588="NEW"),"",INDEX(J$1:J5587,SUMPRODUCT(MAX(ROW(E$1:E5587)*(E5588=E$1:E5587)))))</f>
        <v> </v>
      </c>
      <c r="L5588" s="27"/>
    </row>
    <row r="5589" spans="1:12">
      <c r="A5589" s="20" t="s">
        <v>2243</v>
      </c>
      <c r="B5589" s="21" t="s">
        <v>1064</v>
      </c>
      <c r="C5589" s="21" t="s">
        <v>1017</v>
      </c>
      <c r="E5589" s="22">
        <f>IF(D5589="?OLD","!!!","")</f>
        <v/>
      </c>
      <c r="F5589" s="23" t="str">
        <f>IF(OR(E5589="",E5589="!!!"),"",IF(NOT(ISNA(VLOOKUP(E5589,E$1:E5588,1,FALSE()))),"OLD",IF(AND(E5589&lt;&gt;"",E5589&lt;&gt;"!!!"),"NEW","")))</f>
        <v> </v>
      </c>
      <c r="G5589" s="24" t="str">
        <f>IF(OR(E5589="",E5589="!!!"),"",IF(OR(J5589=0,AND(J5589=1,K5589=1),AND(J5589=1,I5589="SBJ"),AND(J5589=1,I5589=0)),"?IN_FOCUS",IF(J5589&lt;=2,"?ACTIVATED",IF(J5589&lt;&gt;"","?FAMILIAR",IF(F5589="NEW",IF(ISNA(VLOOKUP(E5589,#REF!,1,FALSE())),"?TYPE_IDENTIFIABLE","?REFERENTIAL"),"_")))))</f>
        <v> </v>
      </c>
      <c r="H5589" s="25" t="str">
        <f>IF(J5589&lt;&gt;1,"",IF(I5589="SBJ","CB","?"))</f>
        <v> </v>
      </c>
      <c r="I5589" s="26" t="str">
        <f>IF(OR(E5589="",E5589="!!!",F5589="NEW"),"",INDEX(B5588:B$2,-1+SUMPRODUCT(MAX(ROW(E5588:E$2)*(E5589=E5588:E$2)))))</f>
        <v> </v>
      </c>
      <c r="J5589" s="26" t="str">
        <f>IF(OR(E5589="",E5589="!!!",F5589="NEW"),"",COUNTBLANK(OFFSET(A$1,,,SUMPRODUCT(MAX(ROW(E$2:E5589)*(E5589=E$2:E5589)))))-COUNTBLANK(OFFSET(A$1,,,SUMPRODUCT(MAX(ROW(E$1:E5588)*(E2=E$1:E5588))))))</f>
        <v> </v>
      </c>
      <c r="K5589" s="26" t="str">
        <f>IF(OR(E5589="",E5589="!!!",F5589="NEW"),"",INDEX(J$1:J5588,SUMPRODUCT(MAX(ROW(E$1:E5588)*(E5589=E$1:E5588)))))</f>
        <v> </v>
      </c>
      <c r="L5589" s="27"/>
    </row>
    <row r="5590" spans="1:12">
      <c r="A5590" s="20" t="s">
        <v>1020</v>
      </c>
      <c r="E5590" s="22">
        <f>IF(D5590="?OLD","!!!","")</f>
        <v/>
      </c>
      <c r="F5590" s="23" t="str">
        <f>IF(OR(E5590="",E5590="!!!"),"",IF(NOT(ISNA(VLOOKUP(E5590,E$1:E5589,1,FALSE()))),"OLD",IF(AND(E5590&lt;&gt;"",E5590&lt;&gt;"!!!"),"NEW","")))</f>
        <v> </v>
      </c>
      <c r="G5590" s="24" t="str">
        <f>IF(OR(E5590="",E5590="!!!"),"",IF(OR(J5590=0,AND(J5590=1,K5590=1),AND(J5590=1,I5590="SBJ"),AND(J5590=1,I5590=0)),"?IN_FOCUS",IF(J5590&lt;=2,"?ACTIVATED",IF(J5590&lt;&gt;"","?FAMILIAR",IF(F5590="NEW",IF(ISNA(VLOOKUP(E5590,#REF!,1,FALSE())),"?TYPE_IDENTIFIABLE","?REFERENTIAL"),"_")))))</f>
        <v> </v>
      </c>
      <c r="H5590" s="25" t="str">
        <f>IF(J5590&lt;&gt;1,"",IF(I5590="SBJ","CB","?"))</f>
        <v> </v>
      </c>
      <c r="I5590" s="26" t="str">
        <f>IF(OR(E5590="",E5590="!!!",F5590="NEW"),"",INDEX(B5589:B$2,-1+SUMPRODUCT(MAX(ROW(E5589:E$2)*(E5590=E5589:E$2)))))</f>
        <v> </v>
      </c>
      <c r="J5590" s="26" t="str">
        <f>IF(OR(E5590="",E5590="!!!",F5590="NEW"),"",COUNTBLANK(OFFSET(A$1,,,SUMPRODUCT(MAX(ROW(E$2:E5590)*(E5590=E$2:E5590)))))-COUNTBLANK(OFFSET(A$1,,,SUMPRODUCT(MAX(ROW(E$1:E5589)*(E2=E$1:E5589))))))</f>
        <v> </v>
      </c>
      <c r="K5590" s="26" t="str">
        <f>IF(OR(E5590="",E5590="!!!",F5590="NEW"),"",INDEX(J$1:J5589,SUMPRODUCT(MAX(ROW(E$1:E5589)*(E5590=E$1:E5589)))))</f>
        <v> </v>
      </c>
      <c r="L5590" s="27"/>
    </row>
    <row r="5591" spans="1:12">
      <c r="A5591" s="20" t="s">
        <v>767</v>
      </c>
      <c r="E5591" s="22">
        <f>IF(D5591="?OLD","!!!","")</f>
        <v/>
      </c>
      <c r="F5591" s="23" t="str">
        <f>IF(OR(E5591="",E5591="!!!"),"",IF(NOT(ISNA(VLOOKUP(E5591,E$1:E5590,1,FALSE()))),"OLD",IF(AND(E5591&lt;&gt;"",E5591&lt;&gt;"!!!"),"NEW","")))</f>
        <v> </v>
      </c>
      <c r="G5591" s="24" t="str">
        <f>IF(OR(E5591="",E5591="!!!"),"",IF(OR(J5591=0,AND(J5591=1,K5591=1),AND(J5591=1,I5591="SBJ"),AND(J5591=1,I5591=0)),"?IN_FOCUS",IF(J5591&lt;=2,"?ACTIVATED",IF(J5591&lt;&gt;"","?FAMILIAR",IF(F5591="NEW",IF(ISNA(VLOOKUP(E5591,#REF!,1,FALSE())),"?TYPE_IDENTIFIABLE","?REFERENTIAL"),"_")))))</f>
        <v> </v>
      </c>
      <c r="H5591" s="25" t="str">
        <f>IF(J5591&lt;&gt;1,"",IF(I5591="SBJ","CB","?"))</f>
        <v> </v>
      </c>
      <c r="I5591" s="26" t="str">
        <f>IF(OR(E5591="",E5591="!!!",F5591="NEW"),"",INDEX(B5590:B$2,-1+SUMPRODUCT(MAX(ROW(E5590:E$2)*(E5591=E5590:E$2)))))</f>
        <v> </v>
      </c>
      <c r="J5591" s="26" t="str">
        <f>IF(OR(E5591="",E5591="!!!",F5591="NEW"),"",COUNTBLANK(OFFSET(A$1,,,SUMPRODUCT(MAX(ROW(E$2:E5591)*(E5591=E$2:E5591)))))-COUNTBLANK(OFFSET(A$1,,,SUMPRODUCT(MAX(ROW(E$1:E5590)*(E2=E$1:E5590))))))</f>
        <v> </v>
      </c>
      <c r="K5591" s="26" t="str">
        <f>IF(OR(E5591="",E5591="!!!",F5591="NEW"),"",INDEX(J$1:J5590,SUMPRODUCT(MAX(ROW(E$1:E5590)*(E5591=E$1:E5590)))))</f>
        <v> </v>
      </c>
      <c r="L5591" s="27"/>
    </row>
    <row r="5592" spans="1:12">
      <c r="A5592" s="20" t="s">
        <v>2244</v>
      </c>
      <c r="E5592" s="22">
        <f>IF(D5592="?OLD","!!!","")</f>
        <v/>
      </c>
      <c r="F5592" s="23" t="str">
        <f>IF(OR(E5592="",E5592="!!!"),"",IF(NOT(ISNA(VLOOKUP(E5592,E$1:E5591,1,FALSE()))),"OLD",IF(AND(E5592&lt;&gt;"",E5592&lt;&gt;"!!!"),"NEW","")))</f>
        <v> </v>
      </c>
      <c r="G5592" s="24" t="str">
        <f>IF(OR(E5592="",E5592="!!!"),"",IF(OR(J5592=0,AND(J5592=1,K5592=1),AND(J5592=1,I5592="SBJ"),AND(J5592=1,I5592=0)),"?IN_FOCUS",IF(J5592&lt;=2,"?ACTIVATED",IF(J5592&lt;&gt;"","?FAMILIAR",IF(F5592="NEW",IF(ISNA(VLOOKUP(E5592,#REF!,1,FALSE())),"?TYPE_IDENTIFIABLE","?REFERENTIAL"),"_")))))</f>
        <v> </v>
      </c>
      <c r="H5592" s="25" t="str">
        <f>IF(J5592&lt;&gt;1,"",IF(I5592="SBJ","CB","?"))</f>
        <v> </v>
      </c>
      <c r="I5592" s="26" t="str">
        <f>IF(OR(E5592="",E5592="!!!",F5592="NEW"),"",INDEX(B5591:B$2,-1+SUMPRODUCT(MAX(ROW(E5591:E$2)*(E5592=E5591:E$2)))))</f>
        <v> </v>
      </c>
      <c r="J5592" s="26" t="str">
        <f>IF(OR(E5592="",E5592="!!!",F5592="NEW"),"",COUNTBLANK(OFFSET(A$1,,,SUMPRODUCT(MAX(ROW(E$2:E5592)*(E5592=E$2:E5592)))))-COUNTBLANK(OFFSET(A$1,,,SUMPRODUCT(MAX(ROW(E$1:E5591)*(E2=E$1:E5591))))))</f>
        <v> </v>
      </c>
      <c r="K5592" s="26" t="str">
        <f>IF(OR(E5592="",E5592="!!!",F5592="NEW"),"",INDEX(J$1:J5591,SUMPRODUCT(MAX(ROW(E$1:E5591)*(E5592=E$1:E5591)))))</f>
        <v> </v>
      </c>
      <c r="L5592" s="27"/>
    </row>
    <row r="5593" spans="1:12">
      <c r="A5593" s="20" t="s">
        <v>1032</v>
      </c>
      <c r="E5593" s="22">
        <f>IF(D5593="?OLD","!!!","")</f>
        <v/>
      </c>
      <c r="F5593" s="23" t="str">
        <f>IF(OR(E5593="",E5593="!!!"),"",IF(NOT(ISNA(VLOOKUP(E5593,E$1:E5592,1,FALSE()))),"OLD",IF(AND(E5593&lt;&gt;"",E5593&lt;&gt;"!!!"),"NEW","")))</f>
        <v> </v>
      </c>
      <c r="G5593" s="24" t="str">
        <f>IF(OR(E5593="",E5593="!!!"),"",IF(OR(J5593=0,AND(J5593=1,K5593=1),AND(J5593=1,I5593="SBJ"),AND(J5593=1,I5593=0)),"?IN_FOCUS",IF(J5593&lt;=2,"?ACTIVATED",IF(J5593&lt;&gt;"","?FAMILIAR",IF(F5593="NEW",IF(ISNA(VLOOKUP(E5593,#REF!,1,FALSE())),"?TYPE_IDENTIFIABLE","?REFERENTIAL"),"_")))))</f>
        <v> </v>
      </c>
      <c r="H5593" s="25" t="str">
        <f>IF(J5593&lt;&gt;1,"",IF(I5593="SBJ","CB","?"))</f>
        <v> </v>
      </c>
      <c r="I5593" s="26" t="str">
        <f>IF(OR(E5593="",E5593="!!!",F5593="NEW"),"",INDEX(B5592:B$2,-1+SUMPRODUCT(MAX(ROW(E5592:E$2)*(E5593=E5592:E$2)))))</f>
        <v> </v>
      </c>
      <c r="J5593" s="26" t="str">
        <f>IF(OR(E5593="",E5593="!!!",F5593="NEW"),"",COUNTBLANK(OFFSET(A$1,,,SUMPRODUCT(MAX(ROW(E$2:E5593)*(E5593=E$2:E5593)))))-COUNTBLANK(OFFSET(A$1,,,SUMPRODUCT(MAX(ROW(E$1:E5592)*(E2=E$1:E5592))))))</f>
        <v> </v>
      </c>
      <c r="K5593" s="26" t="str">
        <f>IF(OR(E5593="",E5593="!!!",F5593="NEW"),"",INDEX(J$1:J5592,SUMPRODUCT(MAX(ROW(E$1:E5592)*(E5593=E$1:E5592)))))</f>
        <v> </v>
      </c>
      <c r="L5593" s="27"/>
    </row>
    <row r="5594" spans="1:12">
      <c r="A5594" s="20" t="s">
        <v>1121</v>
      </c>
      <c r="B5594" s="21" t="s">
        <v>1175</v>
      </c>
      <c r="C5594" s="21" t="s">
        <v>1010</v>
      </c>
      <c r="D5594" s="21" t="s">
        <v>1011</v>
      </c>
      <c r="E5594" s="22">
        <f>IF(D5594="?OLD","!!!","")</f>
        <v/>
      </c>
      <c r="F5594" s="23" t="str">
        <f>IF(OR(E5594="",E5594="!!!"),"",IF(NOT(ISNA(VLOOKUP(E5594,E$1:E5593,1,FALSE()))),"OLD",IF(AND(E5594&lt;&gt;"",E5594&lt;&gt;"!!!"),"NEW","")))</f>
        <v> </v>
      </c>
      <c r="G5594" s="24" t="str">
        <f>IF(OR(E5594="",E5594="!!!"),"",IF(OR(J5594=0,AND(J5594=1,K5594=1),AND(J5594=1,I5594="SBJ"),AND(J5594=1,I5594=0)),"?IN_FOCUS",IF(J5594&lt;=2,"?ACTIVATED",IF(J5594&lt;&gt;"","?FAMILIAR",IF(F5594="NEW",IF(ISNA(VLOOKUP(E5594,#REF!,1,FALSE())),"?TYPE_IDENTIFIABLE","?REFERENTIAL"),"_")))))</f>
        <v> </v>
      </c>
      <c r="H5594" s="25" t="str">
        <f>IF(J5594&lt;&gt;1,"",IF(I5594="SBJ","CB","?"))</f>
        <v> </v>
      </c>
      <c r="I5594" s="26" t="str">
        <f>IF(OR(E5594="",E5594="!!!",F5594="NEW"),"",INDEX(B5593:B$2,-1+SUMPRODUCT(MAX(ROW(E5593:E$2)*(E5594=E5593:E$2)))))</f>
        <v> </v>
      </c>
      <c r="J5594" s="26" t="str">
        <f>IF(OR(E5594="",E5594="!!!",F5594="NEW"),"",COUNTBLANK(OFFSET(A$1,,,SUMPRODUCT(MAX(ROW(E$2:E5594)*(E5594=E$2:E5594)))))-COUNTBLANK(OFFSET(A$1,,,SUMPRODUCT(MAX(ROW(E$1:E5593)*(E2=E$1:E5593))))))</f>
        <v> </v>
      </c>
      <c r="K5594" s="26" t="str">
        <f>IF(OR(E5594="",E5594="!!!",F5594="NEW"),"",INDEX(J$1:J5593,SUMPRODUCT(MAX(ROW(E$1:E5593)*(E5594=E$1:E5593)))))</f>
        <v> </v>
      </c>
      <c r="L5594" s="27"/>
    </row>
    <row r="5595" spans="1:12">
      <c r="A5595" s="20" t="s">
        <v>1173</v>
      </c>
      <c r="E5595" s="22">
        <f>IF(D5595="?OLD","!!!","")</f>
        <v/>
      </c>
      <c r="F5595" s="23" t="str">
        <f>IF(OR(E5595="",E5595="!!!"),"",IF(NOT(ISNA(VLOOKUP(E5595,E$1:E5594,1,FALSE()))),"OLD",IF(AND(E5595&lt;&gt;"",E5595&lt;&gt;"!!!"),"NEW","")))</f>
        <v> </v>
      </c>
      <c r="G5595" s="24" t="str">
        <f>IF(OR(E5595="",E5595="!!!"),"",IF(OR(J5595=0,AND(J5595=1,K5595=1),AND(J5595=1,I5595="SBJ"),AND(J5595=1,I5595=0)),"?IN_FOCUS",IF(J5595&lt;=2,"?ACTIVATED",IF(J5595&lt;&gt;"","?FAMILIAR",IF(F5595="NEW",IF(ISNA(VLOOKUP(E5595,#REF!,1,FALSE())),"?TYPE_IDENTIFIABLE","?REFERENTIAL"),"_")))))</f>
        <v> </v>
      </c>
      <c r="H5595" s="25" t="str">
        <f>IF(J5595&lt;&gt;1,"",IF(I5595="SBJ","CB","?"))</f>
        <v> </v>
      </c>
      <c r="I5595" s="26" t="str">
        <f>IF(OR(E5595="",E5595="!!!",F5595="NEW"),"",INDEX(B5594:B$2,-1+SUMPRODUCT(MAX(ROW(E5594:E$2)*(E5595=E5594:E$2)))))</f>
        <v> </v>
      </c>
      <c r="J5595" s="26" t="str">
        <f>IF(OR(E5595="",E5595="!!!",F5595="NEW"),"",COUNTBLANK(OFFSET(A$1,,,SUMPRODUCT(MAX(ROW(E$2:E5595)*(E5595=E$2:E5595)))))-COUNTBLANK(OFFSET(A$1,,,SUMPRODUCT(MAX(ROW(E$1:E5594)*(E2=E$1:E5594))))))</f>
        <v> </v>
      </c>
      <c r="K5595" s="26" t="str">
        <f>IF(OR(E5595="",E5595="!!!",F5595="NEW"),"",INDEX(J$1:J5594,SUMPRODUCT(MAX(ROW(E$1:E5594)*(E5595=E$1:E5594)))))</f>
        <v> </v>
      </c>
      <c r="L5595" s="27"/>
    </row>
    <row r="5596" spans="1:12">
      <c r="A5596" s="20" t="s">
        <v>1028</v>
      </c>
      <c r="E5596" s="22">
        <f>IF(D5596="?OLD","!!!","")</f>
        <v/>
      </c>
      <c r="F5596" s="23" t="str">
        <f>IF(OR(E5596="",E5596="!!!"),"",IF(NOT(ISNA(VLOOKUP(E5596,E$1:E5595,1,FALSE()))),"OLD",IF(AND(E5596&lt;&gt;"",E5596&lt;&gt;"!!!"),"NEW","")))</f>
        <v> </v>
      </c>
      <c r="G5596" s="24" t="str">
        <f>IF(OR(E5596="",E5596="!!!"),"",IF(OR(J5596=0,AND(J5596=1,K5596=1),AND(J5596=1,I5596="SBJ"),AND(J5596=1,I5596=0)),"?IN_FOCUS",IF(J5596&lt;=2,"?ACTIVATED",IF(J5596&lt;&gt;"","?FAMILIAR",IF(F5596="NEW",IF(ISNA(VLOOKUP(E5596,#REF!,1,FALSE())),"?TYPE_IDENTIFIABLE","?REFERENTIAL"),"_")))))</f>
        <v> </v>
      </c>
      <c r="H5596" s="25" t="str">
        <f>IF(J5596&lt;&gt;1,"",IF(I5596="SBJ","CB","?"))</f>
        <v> </v>
      </c>
      <c r="I5596" s="26" t="str">
        <f>IF(OR(E5596="",E5596="!!!",F5596="NEW"),"",INDEX(B5595:B$2,-1+SUMPRODUCT(MAX(ROW(E5595:E$2)*(E5596=E5595:E$2)))))</f>
        <v> </v>
      </c>
      <c r="J5596" s="26" t="str">
        <f>IF(OR(E5596="",E5596="!!!",F5596="NEW"),"",COUNTBLANK(OFFSET(A$1,,,SUMPRODUCT(MAX(ROW(E$2:E5596)*(E5596=E$2:E5596)))))-COUNTBLANK(OFFSET(A$1,,,SUMPRODUCT(MAX(ROW(E$1:E5595)*(E2=E$1:E5595))))))</f>
        <v> </v>
      </c>
      <c r="K5596" s="26" t="str">
        <f>IF(OR(E5596="",E5596="!!!",F5596="NEW"),"",INDEX(J$1:J5595,SUMPRODUCT(MAX(ROW(E$1:E5595)*(E5596=E$1:E5595)))))</f>
        <v> </v>
      </c>
      <c r="L5596" s="27"/>
    </row>
    <row r="5597" spans="1:12">
      <c r="A5597" s="20" t="s">
        <v>2245</v>
      </c>
      <c r="E5597" s="22">
        <f>IF(D5597="?OLD","!!!","")</f>
        <v/>
      </c>
      <c r="F5597" s="23" t="str">
        <f>IF(OR(E5597="",E5597="!!!"),"",IF(NOT(ISNA(VLOOKUP(E5597,E$1:E5596,1,FALSE()))),"OLD",IF(AND(E5597&lt;&gt;"",E5597&lt;&gt;"!!!"),"NEW","")))</f>
        <v> </v>
      </c>
      <c r="G5597" s="24" t="str">
        <f>IF(OR(E5597="",E5597="!!!"),"",IF(OR(J5597=0,AND(J5597=1,K5597=1),AND(J5597=1,I5597="SBJ"),AND(J5597=1,I5597=0)),"?IN_FOCUS",IF(J5597&lt;=2,"?ACTIVATED",IF(J5597&lt;&gt;"","?FAMILIAR",IF(F5597="NEW",IF(ISNA(VLOOKUP(E5597,#REF!,1,FALSE())),"?TYPE_IDENTIFIABLE","?REFERENTIAL"),"_")))))</f>
        <v> </v>
      </c>
      <c r="H5597" s="25" t="str">
        <f>IF(J5597&lt;&gt;1,"",IF(I5597="SBJ","CB","?"))</f>
        <v> </v>
      </c>
      <c r="I5597" s="26" t="str">
        <f>IF(OR(E5597="",E5597="!!!",F5597="NEW"),"",INDEX(B5596:B$2,-1+SUMPRODUCT(MAX(ROW(E5596:E$2)*(E5597=E5596:E$2)))))</f>
        <v> </v>
      </c>
      <c r="J5597" s="26" t="str">
        <f>IF(OR(E5597="",E5597="!!!",F5597="NEW"),"",COUNTBLANK(OFFSET(A$1,,,SUMPRODUCT(MAX(ROW(E$2:E5597)*(E5597=E$2:E5597)))))-COUNTBLANK(OFFSET(A$1,,,SUMPRODUCT(MAX(ROW(E$1:E5596)*(E2=E$1:E5596))))))</f>
        <v> </v>
      </c>
      <c r="K5597" s="26" t="str">
        <f>IF(OR(E5597="",E5597="!!!",F5597="NEW"),"",INDEX(J$1:J5596,SUMPRODUCT(MAX(ROW(E$1:E5596)*(E5597=E$1:E5596)))))</f>
        <v> </v>
      </c>
      <c r="L5597" s="27"/>
    </row>
    <row r="5598" spans="1:12">
      <c r="A5598" s="20" t="s">
        <v>1604</v>
      </c>
      <c r="B5598" s="21" t="s">
        <v>1016</v>
      </c>
      <c r="C5598" s="21" t="s">
        <v>1040</v>
      </c>
      <c r="D5598" s="21" t="s">
        <v>1011</v>
      </c>
      <c r="E5598" s="22">
        <f>IF(D5598="?OLD","!!!","")</f>
        <v/>
      </c>
      <c r="F5598" s="23" t="str">
        <f>IF(OR(E5598="",E5598="!!!"),"",IF(NOT(ISNA(VLOOKUP(E5598,E$1:E5597,1,FALSE()))),"OLD",IF(AND(E5598&lt;&gt;"",E5598&lt;&gt;"!!!"),"NEW","")))</f>
        <v> </v>
      </c>
      <c r="G5598" s="24" t="str">
        <f>IF(OR(E5598="",E5598="!!!"),"",IF(OR(J5598=0,AND(J5598=1,K5598=1),AND(J5598=1,I5598="SBJ"),AND(J5598=1,I5598=0)),"?IN_FOCUS",IF(J5598&lt;=2,"?ACTIVATED",IF(J5598&lt;&gt;"","?FAMILIAR",IF(F5598="NEW",IF(ISNA(VLOOKUP(E5598,#REF!,1,FALSE())),"?TYPE_IDENTIFIABLE","?REFERENTIAL"),"_")))))</f>
        <v> </v>
      </c>
      <c r="H5598" s="25" t="str">
        <f>IF(J5598&lt;&gt;1,"",IF(I5598="SBJ","CB","?"))</f>
        <v> </v>
      </c>
      <c r="I5598" s="26" t="str">
        <f>IF(OR(E5598="",E5598="!!!",F5598="NEW"),"",INDEX(B5597:B$2,-1+SUMPRODUCT(MAX(ROW(E5597:E$2)*(E5598=E5597:E$2)))))</f>
        <v> </v>
      </c>
      <c r="J5598" s="26" t="str">
        <f>IF(OR(E5598="",E5598="!!!",F5598="NEW"),"",COUNTBLANK(OFFSET(A$1,,,SUMPRODUCT(MAX(ROW(E$2:E5598)*(E5598=E$2:E5598)))))-COUNTBLANK(OFFSET(A$1,,,SUMPRODUCT(MAX(ROW(E$1:E5597)*(E2=E$1:E5597))))))</f>
        <v> </v>
      </c>
      <c r="K5598" s="26" t="str">
        <f>IF(OR(E5598="",E5598="!!!",F5598="NEW"),"",INDEX(J$1:J5597,SUMPRODUCT(MAX(ROW(E$1:E5597)*(E5598=E$1:E5597)))))</f>
        <v> </v>
      </c>
      <c r="L5598" s="27"/>
    </row>
    <row r="5599" spans="1:12">
      <c r="A5599" s="20" t="s">
        <v>1132</v>
      </c>
      <c r="E5599" s="22">
        <f>IF(D5599="?OLD","!!!","")</f>
        <v/>
      </c>
      <c r="F5599" s="23" t="str">
        <f>IF(OR(E5599="",E5599="!!!"),"",IF(NOT(ISNA(VLOOKUP(E5599,E$1:E5598,1,FALSE()))),"OLD",IF(AND(E5599&lt;&gt;"",E5599&lt;&gt;"!!!"),"NEW","")))</f>
        <v> </v>
      </c>
      <c r="G5599" s="24" t="str">
        <f>IF(OR(E5599="",E5599="!!!"),"",IF(OR(J5599=0,AND(J5599=1,K5599=1),AND(J5599=1,I5599="SBJ"),AND(J5599=1,I5599=0)),"?IN_FOCUS",IF(J5599&lt;=2,"?ACTIVATED",IF(J5599&lt;&gt;"","?FAMILIAR",IF(F5599="NEW",IF(ISNA(VLOOKUP(E5599,#REF!,1,FALSE())),"?TYPE_IDENTIFIABLE","?REFERENTIAL"),"_")))))</f>
        <v> </v>
      </c>
      <c r="H5599" s="25" t="str">
        <f>IF(J5599&lt;&gt;1,"",IF(I5599="SBJ","CB","?"))</f>
        <v> </v>
      </c>
      <c r="I5599" s="26" t="str">
        <f>IF(OR(E5599="",E5599="!!!",F5599="NEW"),"",INDEX(B5598:B$2,-1+SUMPRODUCT(MAX(ROW(E5598:E$2)*(E5599=E5598:E$2)))))</f>
        <v> </v>
      </c>
      <c r="J5599" s="26" t="str">
        <f>IF(OR(E5599="",E5599="!!!",F5599="NEW"),"",COUNTBLANK(OFFSET(A$1,,,SUMPRODUCT(MAX(ROW(E$2:E5599)*(E5599=E$2:E5599)))))-COUNTBLANK(OFFSET(A$1,,,SUMPRODUCT(MAX(ROW(E$1:E5598)*(E2=E$1:E5598))))))</f>
        <v> </v>
      </c>
      <c r="K5599" s="26" t="str">
        <f>IF(OR(E5599="",E5599="!!!",F5599="NEW"),"",INDEX(J$1:J5598,SUMPRODUCT(MAX(ROW(E$1:E5598)*(E5599=E$1:E5598)))))</f>
        <v> </v>
      </c>
      <c r="L5599" s="27"/>
    </row>
    <row r="5600" spans="1:12">
      <c r="A5600" s="20" t="s">
        <v>1042</v>
      </c>
      <c r="E5600" s="22">
        <f>IF(D5600="?OLD","!!!","")</f>
        <v/>
      </c>
      <c r="F5600" s="23" t="str">
        <f>IF(OR(E5600="",E5600="!!!"),"",IF(NOT(ISNA(VLOOKUP(E5600,E$1:E5599,1,FALSE()))),"OLD",IF(AND(E5600&lt;&gt;"",E5600&lt;&gt;"!!!"),"NEW","")))</f>
        <v> </v>
      </c>
      <c r="G5600" s="24" t="str">
        <f>IF(OR(E5600="",E5600="!!!"),"",IF(OR(J5600=0,AND(J5600=1,K5600=1),AND(J5600=1,I5600="SBJ"),AND(J5600=1,I5600=0)),"?IN_FOCUS",IF(J5600&lt;=2,"?ACTIVATED",IF(J5600&lt;&gt;"","?FAMILIAR",IF(F5600="NEW",IF(ISNA(VLOOKUP(E5600,#REF!,1,FALSE())),"?TYPE_IDENTIFIABLE","?REFERENTIAL"),"_")))))</f>
        <v> </v>
      </c>
      <c r="H5600" s="25" t="str">
        <f>IF(J5600&lt;&gt;1,"",IF(I5600="SBJ","CB","?"))</f>
        <v> </v>
      </c>
      <c r="I5600" s="26" t="str">
        <f>IF(OR(E5600="",E5600="!!!",F5600="NEW"),"",INDEX(B5599:B$2,-1+SUMPRODUCT(MAX(ROW(E5599:E$2)*(E5600=E5599:E$2)))))</f>
        <v> </v>
      </c>
      <c r="J5600" s="26" t="str">
        <f>IF(OR(E5600="",E5600="!!!",F5600="NEW"),"",COUNTBLANK(OFFSET(A$1,,,SUMPRODUCT(MAX(ROW(E$2:E5600)*(E5600=E$2:E5600)))))-COUNTBLANK(OFFSET(A$1,,,SUMPRODUCT(MAX(ROW(E$1:E5599)*(E2=E$1:E5599))))))</f>
        <v> </v>
      </c>
      <c r="K5600" s="26" t="str">
        <f>IF(OR(E5600="",E5600="!!!",F5600="NEW"),"",INDEX(J$1:J5599,SUMPRODUCT(MAX(ROW(E$1:E5599)*(E5600=E$1:E5599)))))</f>
        <v> </v>
      </c>
      <c r="L5600" s="27"/>
    </row>
    <row r="5601" spans="1:12">
      <c r="A5601" s="20" t="s">
        <v>2246</v>
      </c>
      <c r="B5601" s="21" t="s">
        <v>1091</v>
      </c>
      <c r="C5601" s="21" t="s">
        <v>1165</v>
      </c>
      <c r="D5601" s="21" t="s">
        <v>1011</v>
      </c>
      <c r="E5601" s="22">
        <f>IF(D5601="?OLD","!!!","")</f>
        <v/>
      </c>
      <c r="F5601" s="23" t="str">
        <f>IF(OR(E5601="",E5601="!!!"),"",IF(NOT(ISNA(VLOOKUP(E5601,E$1:E5600,1,FALSE()))),"OLD",IF(AND(E5601&lt;&gt;"",E5601&lt;&gt;"!!!"),"NEW","")))</f>
        <v> </v>
      </c>
      <c r="G5601" s="24" t="str">
        <f>IF(OR(E5601="",E5601="!!!"),"",IF(OR(J5601=0,AND(J5601=1,K5601=1),AND(J5601=1,I5601="SBJ"),AND(J5601=1,I5601=0)),"?IN_FOCUS",IF(J5601&lt;=2,"?ACTIVATED",IF(J5601&lt;&gt;"","?FAMILIAR",IF(F5601="NEW",IF(ISNA(VLOOKUP(E5601,#REF!,1,FALSE())),"?TYPE_IDENTIFIABLE","?REFERENTIAL"),"_")))))</f>
        <v> </v>
      </c>
      <c r="H5601" s="25" t="str">
        <f>IF(J5601&lt;&gt;1,"",IF(I5601="SBJ","CB","?"))</f>
        <v> </v>
      </c>
      <c r="I5601" s="26" t="str">
        <f>IF(OR(E5601="",E5601="!!!",F5601="NEW"),"",INDEX(B5600:B$2,-1+SUMPRODUCT(MAX(ROW(E5600:E$2)*(E5601=E5600:E$2)))))</f>
        <v> </v>
      </c>
      <c r="J5601" s="26" t="str">
        <f>IF(OR(E5601="",E5601="!!!",F5601="NEW"),"",COUNTBLANK(OFFSET(A$1,,,SUMPRODUCT(MAX(ROW(E$2:E5601)*(E5601=E$2:E5601)))))-COUNTBLANK(OFFSET(A$1,,,SUMPRODUCT(MAX(ROW(E$1:E5600)*(E2=E$1:E5600))))))</f>
        <v> </v>
      </c>
      <c r="K5601" s="26" t="str">
        <f>IF(OR(E5601="",E5601="!!!",F5601="NEW"),"",INDEX(J$1:J5600,SUMPRODUCT(MAX(ROW(E$1:E5600)*(E5601=E$1:E5600)))))</f>
        <v> </v>
      </c>
      <c r="L5601" s="27"/>
    </row>
    <row r="5602" spans="1:12">
      <c r="A5602" s="20" t="s">
        <v>1173</v>
      </c>
      <c r="E5602" s="22">
        <f>IF(D5602="?OLD","!!!","")</f>
        <v/>
      </c>
      <c r="F5602" s="23" t="str">
        <f>IF(OR(E5602="",E5602="!!!"),"",IF(NOT(ISNA(VLOOKUP(E5602,E$1:E5601,1,FALSE()))),"OLD",IF(AND(E5602&lt;&gt;"",E5602&lt;&gt;"!!!"),"NEW","")))</f>
        <v> </v>
      </c>
      <c r="G5602" s="24" t="str">
        <f>IF(OR(E5602="",E5602="!!!"),"",IF(OR(J5602=0,AND(J5602=1,K5602=1),AND(J5602=1,I5602="SBJ"),AND(J5602=1,I5602=0)),"?IN_FOCUS",IF(J5602&lt;=2,"?ACTIVATED",IF(J5602&lt;&gt;"","?FAMILIAR",IF(F5602="NEW",IF(ISNA(VLOOKUP(E5602,#REF!,1,FALSE())),"?TYPE_IDENTIFIABLE","?REFERENTIAL"),"_")))))</f>
        <v> </v>
      </c>
      <c r="H5602" s="25" t="str">
        <f>IF(J5602&lt;&gt;1,"",IF(I5602="SBJ","CB","?"))</f>
        <v> </v>
      </c>
      <c r="I5602" s="26" t="str">
        <f>IF(OR(E5602="",E5602="!!!",F5602="NEW"),"",INDEX(B5601:B$2,-1+SUMPRODUCT(MAX(ROW(E5601:E$2)*(E5602=E5601:E$2)))))</f>
        <v> </v>
      </c>
      <c r="J5602" s="26" t="str">
        <f>IF(OR(E5602="",E5602="!!!",F5602="NEW"),"",COUNTBLANK(OFFSET(A$1,,,SUMPRODUCT(MAX(ROW(E$2:E5602)*(E5602=E$2:E5602)))))-COUNTBLANK(OFFSET(A$1,,,SUMPRODUCT(MAX(ROW(E$1:E5601)*(E2=E$1:E5601))))))</f>
        <v> </v>
      </c>
      <c r="K5602" s="26" t="str">
        <f>IF(OR(E5602="",E5602="!!!",F5602="NEW"),"",INDEX(J$1:J5601,SUMPRODUCT(MAX(ROW(E$1:E5601)*(E5602=E$1:E5601)))))</f>
        <v> </v>
      </c>
      <c r="L5602" s="27"/>
    </row>
    <row r="5603" spans="1:12">
      <c r="A5603" s="20" t="s">
        <v>2247</v>
      </c>
      <c r="B5603" s="21" t="s">
        <v>1021</v>
      </c>
      <c r="C5603" s="21" t="s">
        <v>1040</v>
      </c>
      <c r="D5603" s="21" t="s">
        <v>1011</v>
      </c>
      <c r="E5603" s="22">
        <f>IF(D5603="?OLD","!!!","")</f>
        <v/>
      </c>
      <c r="F5603" s="23" t="str">
        <f>IF(OR(E5603="",E5603="!!!"),"",IF(NOT(ISNA(VLOOKUP(E5603,E$1:E5602,1,FALSE()))),"OLD",IF(AND(E5603&lt;&gt;"",E5603&lt;&gt;"!!!"),"NEW","")))</f>
        <v> </v>
      </c>
      <c r="G5603" s="24" t="str">
        <f>IF(OR(E5603="",E5603="!!!"),"",IF(OR(J5603=0,AND(J5603=1,K5603=1),AND(J5603=1,I5603="SBJ"),AND(J5603=1,I5603=0)),"?IN_FOCUS",IF(J5603&lt;=2,"?ACTIVATED",IF(J5603&lt;&gt;"","?FAMILIAR",IF(F5603="NEW",IF(ISNA(VLOOKUP(E5603,#REF!,1,FALSE())),"?TYPE_IDENTIFIABLE","?REFERENTIAL"),"_")))))</f>
        <v> </v>
      </c>
      <c r="H5603" s="25" t="str">
        <f>IF(J5603&lt;&gt;1,"",IF(I5603="SBJ","CB","?"))</f>
        <v> </v>
      </c>
      <c r="I5603" s="26" t="str">
        <f>IF(OR(E5603="",E5603="!!!",F5603="NEW"),"",INDEX(B5602:B$2,-1+SUMPRODUCT(MAX(ROW(E5602:E$2)*(E5603=E5602:E$2)))))</f>
        <v> </v>
      </c>
      <c r="J5603" s="26" t="str">
        <f>IF(OR(E5603="",E5603="!!!",F5603="NEW"),"",COUNTBLANK(OFFSET(A$1,,,SUMPRODUCT(MAX(ROW(E$2:E5603)*(E5603=E$2:E5603)))))-COUNTBLANK(OFFSET(A$1,,,SUMPRODUCT(MAX(ROW(E$1:E5602)*(E2=E$1:E5602))))))</f>
        <v> </v>
      </c>
      <c r="K5603" s="26" t="str">
        <f>IF(OR(E5603="",E5603="!!!",F5603="NEW"),"",INDEX(J$1:J5602,SUMPRODUCT(MAX(ROW(E$1:E5602)*(E5603=E$1:E5602)))))</f>
        <v> </v>
      </c>
      <c r="L5603" s="27"/>
    </row>
    <row r="5604" spans="1:12">
      <c r="A5604" s="20" t="s">
        <v>1014</v>
      </c>
      <c r="E5604" s="22">
        <f>IF(D5604="?OLD","!!!","")</f>
        <v/>
      </c>
      <c r="F5604" s="23" t="str">
        <f>IF(OR(E5604="",E5604="!!!"),"",IF(NOT(ISNA(VLOOKUP(E5604,E$1:E5603,1,FALSE()))),"OLD",IF(AND(E5604&lt;&gt;"",E5604&lt;&gt;"!!!"),"NEW","")))</f>
        <v> </v>
      </c>
      <c r="G5604" s="24" t="str">
        <f>IF(OR(E5604="",E5604="!!!"),"",IF(OR(J5604=0,AND(J5604=1,K5604=1),AND(J5604=1,I5604="SBJ"),AND(J5604=1,I5604=0)),"?IN_FOCUS",IF(J5604&lt;=2,"?ACTIVATED",IF(J5604&lt;&gt;"","?FAMILIAR",IF(F5604="NEW",IF(ISNA(VLOOKUP(E5604,#REF!,1,FALSE())),"?TYPE_IDENTIFIABLE","?REFERENTIAL"),"_")))))</f>
        <v> </v>
      </c>
      <c r="H5604" s="25" t="str">
        <f>IF(J5604&lt;&gt;1,"",IF(I5604="SBJ","CB","?"))</f>
        <v> </v>
      </c>
      <c r="I5604" s="26" t="str">
        <f>IF(OR(E5604="",E5604="!!!",F5604="NEW"),"",INDEX(B5603:B$2,-1+SUMPRODUCT(MAX(ROW(E5603:E$2)*(E5604=E5603:E$2)))))</f>
        <v> </v>
      </c>
      <c r="J5604" s="26" t="str">
        <f>IF(OR(E5604="",E5604="!!!",F5604="NEW"),"",COUNTBLANK(OFFSET(A$1,,,SUMPRODUCT(MAX(ROW(E$2:E5604)*(E5604=E$2:E5604)))))-COUNTBLANK(OFFSET(A$1,,,SUMPRODUCT(MAX(ROW(E$1:E5603)*(E2=E$1:E5603))))))</f>
        <v> </v>
      </c>
      <c r="K5604" s="26" t="str">
        <f>IF(OR(E5604="",E5604="!!!",F5604="NEW"),"",INDEX(J$1:J5603,SUMPRODUCT(MAX(ROW(E$1:E5603)*(E5604=E$1:E5603)))))</f>
        <v> </v>
      </c>
      <c r="L5604" s="27"/>
    </row>
    <row r="5605" spans="1:12">
      <c r="A5605" s="20" t="s">
        <v>114</v>
      </c>
      <c r="E5605" s="22">
        <f>IF(D5605="?OLD","!!!","")</f>
        <v/>
      </c>
      <c r="F5605" s="23" t="str">
        <f>IF(OR(E5605="",E5605="!!!"),"",IF(NOT(ISNA(VLOOKUP(E5605,E$1:E5604,1,FALSE()))),"OLD",IF(AND(E5605&lt;&gt;"",E5605&lt;&gt;"!!!"),"NEW","")))</f>
        <v> </v>
      </c>
      <c r="G5605" s="24" t="str">
        <f>IF(OR(E5605="",E5605="!!!"),"",IF(OR(J5605=0,AND(J5605=1,K5605=1),AND(J5605=1,I5605="SBJ"),AND(J5605=1,I5605=0)),"?IN_FOCUS",IF(J5605&lt;=2,"?ACTIVATED",IF(J5605&lt;&gt;"","?FAMILIAR",IF(F5605="NEW",IF(ISNA(VLOOKUP(E5605,#REF!,1,FALSE())),"?TYPE_IDENTIFIABLE","?REFERENTIAL"),"_")))))</f>
        <v> </v>
      </c>
      <c r="H5605" s="25" t="str">
        <f>IF(J5605&lt;&gt;1,"",IF(I5605="SBJ","CB","?"))</f>
        <v> </v>
      </c>
      <c r="I5605" s="26" t="str">
        <f>IF(OR(E5605="",E5605="!!!",F5605="NEW"),"",INDEX(B5604:B$2,-1+SUMPRODUCT(MAX(ROW(E5604:E$2)*(E5605=E5604:E$2)))))</f>
        <v> </v>
      </c>
      <c r="J5605" s="26" t="str">
        <f>IF(OR(E5605="",E5605="!!!",F5605="NEW"),"",COUNTBLANK(OFFSET(A$1,,,SUMPRODUCT(MAX(ROW(E$2:E5605)*(E5605=E$2:E5605)))))-COUNTBLANK(OFFSET(A$1,,,SUMPRODUCT(MAX(ROW(E$1:E5604)*(E2=E$1:E5604))))))</f>
        <v> </v>
      </c>
      <c r="K5605" s="26" t="str">
        <f>IF(OR(E5605="",E5605="!!!",F5605="NEW"),"",INDEX(J$1:J5604,SUMPRODUCT(MAX(ROW(E$1:E5604)*(E5605=E$1:E5604)))))</f>
        <v> </v>
      </c>
      <c r="L5605" s="27"/>
    </row>
    <row r="5606" spans="1:12">
      <c r="A5606" s="20" t="s">
        <v>2248</v>
      </c>
      <c r="B5606" s="21" t="s">
        <v>1051</v>
      </c>
      <c r="C5606" s="21" t="s">
        <v>1017</v>
      </c>
      <c r="E5606" s="22">
        <f>IF(D5606="?OLD","!!!","")</f>
        <v/>
      </c>
      <c r="F5606" s="23" t="str">
        <f>IF(OR(E5606="",E5606="!!!"),"",IF(NOT(ISNA(VLOOKUP(E5606,E$1:E5605,1,FALSE()))),"OLD",IF(AND(E5606&lt;&gt;"",E5606&lt;&gt;"!!!"),"NEW","")))</f>
        <v> </v>
      </c>
      <c r="G5606" s="24" t="str">
        <f>IF(OR(E5606="",E5606="!!!"),"",IF(OR(J5606=0,AND(J5606=1,K5606=1),AND(J5606=1,I5606="SBJ"),AND(J5606=1,I5606=0)),"?IN_FOCUS",IF(J5606&lt;=2,"?ACTIVATED",IF(J5606&lt;&gt;"","?FAMILIAR",IF(F5606="NEW",IF(ISNA(VLOOKUP(E5606,#REF!,1,FALSE())),"?TYPE_IDENTIFIABLE","?REFERENTIAL"),"_")))))</f>
        <v> </v>
      </c>
      <c r="H5606" s="25" t="str">
        <f>IF(J5606&lt;&gt;1,"",IF(I5606="SBJ","CB","?"))</f>
        <v> </v>
      </c>
      <c r="I5606" s="26" t="str">
        <f>IF(OR(E5606="",E5606="!!!",F5606="NEW"),"",INDEX(B5605:B$2,-1+SUMPRODUCT(MAX(ROW(E5605:E$2)*(E5606=E5605:E$2)))))</f>
        <v> </v>
      </c>
      <c r="J5606" s="26" t="str">
        <f>IF(OR(E5606="",E5606="!!!",F5606="NEW"),"",COUNTBLANK(OFFSET(A$1,,,SUMPRODUCT(MAX(ROW(E$2:E5606)*(E5606=E$2:E5606)))))-COUNTBLANK(OFFSET(A$1,,,SUMPRODUCT(MAX(ROW(E$1:E5605)*(E2=E$1:E5605))))))</f>
        <v> </v>
      </c>
      <c r="K5606" s="26" t="str">
        <f>IF(OR(E5606="",E5606="!!!",F5606="NEW"),"",INDEX(J$1:J5605,SUMPRODUCT(MAX(ROW(E$1:E5605)*(E5606=E$1:E5605)))))</f>
        <v> </v>
      </c>
      <c r="L5606" s="27"/>
    </row>
    <row r="5607" spans="1:12">
      <c r="A5607" s="20" t="s">
        <v>2225</v>
      </c>
      <c r="E5607" s="22">
        <f>IF(D5607="?OLD","!!!","")</f>
        <v/>
      </c>
      <c r="F5607" s="23" t="str">
        <f>IF(OR(E5607="",E5607="!!!"),"",IF(NOT(ISNA(VLOOKUP(E5607,E$1:E5606,1,FALSE()))),"OLD",IF(AND(E5607&lt;&gt;"",E5607&lt;&gt;"!!!"),"NEW","")))</f>
        <v> </v>
      </c>
      <c r="G5607" s="24" t="str">
        <f>IF(OR(E5607="",E5607="!!!"),"",IF(OR(J5607=0,AND(J5607=1,K5607=1),AND(J5607=1,I5607="SBJ"),AND(J5607=1,I5607=0)),"?IN_FOCUS",IF(J5607&lt;=2,"?ACTIVATED",IF(J5607&lt;&gt;"","?FAMILIAR",IF(F5607="NEW",IF(ISNA(VLOOKUP(E5607,#REF!,1,FALSE())),"?TYPE_IDENTIFIABLE","?REFERENTIAL"),"_")))))</f>
        <v> </v>
      </c>
      <c r="H5607" s="25" t="str">
        <f>IF(J5607&lt;&gt;1,"",IF(I5607="SBJ","CB","?"))</f>
        <v> </v>
      </c>
      <c r="I5607" s="26" t="str">
        <f>IF(OR(E5607="",E5607="!!!",F5607="NEW"),"",INDEX(B5606:B$2,-1+SUMPRODUCT(MAX(ROW(E5606:E$2)*(E5607=E5606:E$2)))))</f>
        <v> </v>
      </c>
      <c r="J5607" s="26" t="str">
        <f>IF(OR(E5607="",E5607="!!!",F5607="NEW"),"",COUNTBLANK(OFFSET(A$1,,,SUMPRODUCT(MAX(ROW(E$2:E5607)*(E5607=E$2:E5607)))))-COUNTBLANK(OFFSET(A$1,,,SUMPRODUCT(MAX(ROW(E$1:E5606)*(E2=E$1:E5606))))))</f>
        <v> </v>
      </c>
      <c r="K5607" s="26" t="str">
        <f>IF(OR(E5607="",E5607="!!!",F5607="NEW"),"",INDEX(J$1:J5606,SUMPRODUCT(MAX(ROW(E$1:E5606)*(E5607=E$1:E5606)))))</f>
        <v> </v>
      </c>
      <c r="L5607" s="27"/>
    </row>
    <row r="5608" spans="1:12">
      <c r="A5608" s="20" t="s">
        <v>1025</v>
      </c>
      <c r="E5608" s="22">
        <f>IF(D5608="?OLD","!!!","")</f>
        <v/>
      </c>
      <c r="F5608" s="23" t="str">
        <f>IF(OR(E5608="",E5608="!!!"),"",IF(NOT(ISNA(VLOOKUP(E5608,E$1:E5607,1,FALSE()))),"OLD",IF(AND(E5608&lt;&gt;"",E5608&lt;&gt;"!!!"),"NEW","")))</f>
        <v> </v>
      </c>
      <c r="G5608" s="24" t="str">
        <f>IF(OR(E5608="",E5608="!!!"),"",IF(OR(J5608=0,AND(J5608=1,K5608=1),AND(J5608=1,I5608="SBJ"),AND(J5608=1,I5608=0)),"?IN_FOCUS",IF(J5608&lt;=2,"?ACTIVATED",IF(J5608&lt;&gt;"","?FAMILIAR",IF(F5608="NEW",IF(ISNA(VLOOKUP(E5608,#REF!,1,FALSE())),"?TYPE_IDENTIFIABLE","?REFERENTIAL"),"_")))))</f>
        <v> </v>
      </c>
      <c r="H5608" s="25" t="str">
        <f>IF(J5608&lt;&gt;1,"",IF(I5608="SBJ","CB","?"))</f>
        <v> </v>
      </c>
      <c r="I5608" s="26" t="str">
        <f>IF(OR(E5608="",E5608="!!!",F5608="NEW"),"",INDEX(B5607:B$2,-1+SUMPRODUCT(MAX(ROW(E5607:E$2)*(E5608=E5607:E$2)))))</f>
        <v> </v>
      </c>
      <c r="J5608" s="26" t="str">
        <f>IF(OR(E5608="",E5608="!!!",F5608="NEW"),"",COUNTBLANK(OFFSET(A$1,,,SUMPRODUCT(MAX(ROW(E$2:E5608)*(E5608=E$2:E5608)))))-COUNTBLANK(OFFSET(A$1,,,SUMPRODUCT(MAX(ROW(E$1:E5607)*(E2=E$1:E5607))))))</f>
        <v> </v>
      </c>
      <c r="K5608" s="26" t="str">
        <f>IF(OR(E5608="",E5608="!!!",F5608="NEW"),"",INDEX(J$1:J5607,SUMPRODUCT(MAX(ROW(E$1:E5607)*(E5608=E$1:E5607)))))</f>
        <v> </v>
      </c>
      <c r="L5608" s="27"/>
    </row>
    <row r="5609" spans="1:12">
      <c r="A5609" s="20" t="s">
        <v>1475</v>
      </c>
      <c r="E5609" s="22">
        <f>IF(D5609="?OLD","!!!","")</f>
        <v/>
      </c>
      <c r="F5609" s="23" t="str">
        <f>IF(OR(E5609="",E5609="!!!"),"",IF(NOT(ISNA(VLOOKUP(E5609,E$1:E5608,1,FALSE()))),"OLD",IF(AND(E5609&lt;&gt;"",E5609&lt;&gt;"!!!"),"NEW","")))</f>
        <v> </v>
      </c>
      <c r="G5609" s="24" t="str">
        <f>IF(OR(E5609="",E5609="!!!"),"",IF(OR(J5609=0,AND(J5609=1,K5609=1),AND(J5609=1,I5609="SBJ"),AND(J5609=1,I5609=0)),"?IN_FOCUS",IF(J5609&lt;=2,"?ACTIVATED",IF(J5609&lt;&gt;"","?FAMILIAR",IF(F5609="NEW",IF(ISNA(VLOOKUP(E5609,#REF!,1,FALSE())),"?TYPE_IDENTIFIABLE","?REFERENTIAL"),"_")))))</f>
        <v> </v>
      </c>
      <c r="H5609" s="25" t="str">
        <f>IF(J5609&lt;&gt;1,"",IF(I5609="SBJ","CB","?"))</f>
        <v> </v>
      </c>
      <c r="I5609" s="26" t="str">
        <f>IF(OR(E5609="",E5609="!!!",F5609="NEW"),"",INDEX(B5608:B$2,-1+SUMPRODUCT(MAX(ROW(E5608:E$2)*(E5609=E5608:E$2)))))</f>
        <v> </v>
      </c>
      <c r="J5609" s="26" t="str">
        <f>IF(OR(E5609="",E5609="!!!",F5609="NEW"),"",COUNTBLANK(OFFSET(A$1,,,SUMPRODUCT(MAX(ROW(E$2:E5609)*(E5609=E$2:E5609)))))-COUNTBLANK(OFFSET(A$1,,,SUMPRODUCT(MAX(ROW(E$1:E5608)*(E2=E$1:E5608))))))</f>
        <v> </v>
      </c>
      <c r="K5609" s="26" t="str">
        <f>IF(OR(E5609="",E5609="!!!",F5609="NEW"),"",INDEX(J$1:J5608,SUMPRODUCT(MAX(ROW(E$1:E5608)*(E5609=E$1:E5608)))))</f>
        <v> </v>
      </c>
      <c r="L5609" s="27"/>
    </row>
    <row r="5610" spans="1:12">
      <c r="A5610" s="20" t="s">
        <v>1100</v>
      </c>
      <c r="E5610" s="22">
        <f>IF(D5610="?OLD","!!!","")</f>
        <v/>
      </c>
      <c r="F5610" s="23" t="str">
        <f>IF(OR(E5610="",E5610="!!!"),"",IF(NOT(ISNA(VLOOKUP(E5610,E$1:E5609,1,FALSE()))),"OLD",IF(AND(E5610&lt;&gt;"",E5610&lt;&gt;"!!!"),"NEW","")))</f>
        <v> </v>
      </c>
      <c r="G5610" s="24" t="str">
        <f>IF(OR(E5610="",E5610="!!!"),"",IF(OR(J5610=0,AND(J5610=1,K5610=1),AND(J5610=1,I5610="SBJ"),AND(J5610=1,I5610=0)),"?IN_FOCUS",IF(J5610&lt;=2,"?ACTIVATED",IF(J5610&lt;&gt;"","?FAMILIAR",IF(F5610="NEW",IF(ISNA(VLOOKUP(E5610,#REF!,1,FALSE())),"?TYPE_IDENTIFIABLE","?REFERENTIAL"),"_")))))</f>
        <v> </v>
      </c>
      <c r="H5610" s="25" t="str">
        <f>IF(J5610&lt;&gt;1,"",IF(I5610="SBJ","CB","?"))</f>
        <v> </v>
      </c>
      <c r="I5610" s="26" t="str">
        <f>IF(OR(E5610="",E5610="!!!",F5610="NEW"),"",INDEX(B5609:B$2,-1+SUMPRODUCT(MAX(ROW(E5609:E$2)*(E5610=E5609:E$2)))))</f>
        <v> </v>
      </c>
      <c r="J5610" s="26" t="str">
        <f>IF(OR(E5610="",E5610="!!!",F5610="NEW"),"",COUNTBLANK(OFFSET(A$1,,,SUMPRODUCT(MAX(ROW(E$2:E5610)*(E5610=E$2:E5610)))))-COUNTBLANK(OFFSET(A$1,,,SUMPRODUCT(MAX(ROW(E$1:E5609)*(E2=E$1:E5609))))))</f>
        <v> </v>
      </c>
      <c r="K5610" s="26" t="str">
        <f>IF(OR(E5610="",E5610="!!!",F5610="NEW"),"",INDEX(J$1:J5609,SUMPRODUCT(MAX(ROW(E$1:E5609)*(E5610=E$1:E5609)))))</f>
        <v> </v>
      </c>
      <c r="L5610" s="27"/>
    </row>
    <row r="5611" spans="1:12">
      <c r="A5611" s="20" t="s">
        <v>1067</v>
      </c>
      <c r="E5611" s="22">
        <f>IF(D5611="?OLD","!!!","")</f>
        <v/>
      </c>
      <c r="F5611" s="23" t="str">
        <f>IF(OR(E5611="",E5611="!!!"),"",IF(NOT(ISNA(VLOOKUP(E5611,E$1:E5610,1,FALSE()))),"OLD",IF(AND(E5611&lt;&gt;"",E5611&lt;&gt;"!!!"),"NEW","")))</f>
        <v> </v>
      </c>
      <c r="G5611" s="24" t="str">
        <f>IF(OR(E5611="",E5611="!!!"),"",IF(OR(J5611=0,AND(J5611=1,K5611=1),AND(J5611=1,I5611="SBJ"),AND(J5611=1,I5611=0)),"?IN_FOCUS",IF(J5611&lt;=2,"?ACTIVATED",IF(J5611&lt;&gt;"","?FAMILIAR",IF(F5611="NEW",IF(ISNA(VLOOKUP(E5611,#REF!,1,FALSE())),"?TYPE_IDENTIFIABLE","?REFERENTIAL"),"_")))))</f>
        <v> </v>
      </c>
      <c r="H5611" s="25" t="str">
        <f>IF(J5611&lt;&gt;1,"",IF(I5611="SBJ","CB","?"))</f>
        <v> </v>
      </c>
      <c r="I5611" s="26" t="str">
        <f>IF(OR(E5611="",E5611="!!!",F5611="NEW"),"",INDEX(B5610:B$2,-1+SUMPRODUCT(MAX(ROW(E5610:E$2)*(E5611=E5610:E$2)))))</f>
        <v> </v>
      </c>
      <c r="J5611" s="26" t="str">
        <f>IF(OR(E5611="",E5611="!!!",F5611="NEW"),"",COUNTBLANK(OFFSET(A$1,,,SUMPRODUCT(MAX(ROW(E$2:E5611)*(E5611=E$2:E5611)))))-COUNTBLANK(OFFSET(A$1,,,SUMPRODUCT(MAX(ROW(E$1:E5610)*(E2=E$1:E5610))))))</f>
        <v> </v>
      </c>
      <c r="K5611" s="26" t="str">
        <f>IF(OR(E5611="",E5611="!!!",F5611="NEW"),"",INDEX(J$1:J5610,SUMPRODUCT(MAX(ROW(E$1:E5610)*(E5611=E$1:E5610)))))</f>
        <v> </v>
      </c>
      <c r="L5611" s="27"/>
    </row>
    <row r="5612" spans="1:12">
      <c r="A5612" s="20" t="s">
        <v>1062</v>
      </c>
      <c r="E5612" s="22">
        <f>IF(D5612="?OLD","!!!","")</f>
        <v/>
      </c>
      <c r="F5612" s="23" t="str">
        <f>IF(OR(E5612="",E5612="!!!"),"",IF(NOT(ISNA(VLOOKUP(E5612,E$1:E5611,1,FALSE()))),"OLD",IF(AND(E5612&lt;&gt;"",E5612&lt;&gt;"!!!"),"NEW","")))</f>
        <v> </v>
      </c>
      <c r="G5612" s="24" t="str">
        <f>IF(OR(E5612="",E5612="!!!"),"",IF(OR(J5612=0,AND(J5612=1,K5612=1),AND(J5612=1,I5612="SBJ"),AND(J5612=1,I5612=0)),"?IN_FOCUS",IF(J5612&lt;=2,"?ACTIVATED",IF(J5612&lt;&gt;"","?FAMILIAR",IF(F5612="NEW",IF(ISNA(VLOOKUP(E5612,#REF!,1,FALSE())),"?TYPE_IDENTIFIABLE","?REFERENTIAL"),"_")))))</f>
        <v> </v>
      </c>
      <c r="H5612" s="25" t="str">
        <f>IF(J5612&lt;&gt;1,"",IF(I5612="SBJ","CB","?"))</f>
        <v> </v>
      </c>
      <c r="I5612" s="26" t="str">
        <f>IF(OR(E5612="",E5612="!!!",F5612="NEW"),"",INDEX(B5611:B$2,-1+SUMPRODUCT(MAX(ROW(E5611:E$2)*(E5612=E5611:E$2)))))</f>
        <v> </v>
      </c>
      <c r="J5612" s="26" t="str">
        <f>IF(OR(E5612="",E5612="!!!",F5612="NEW"),"",COUNTBLANK(OFFSET(A$1,,,SUMPRODUCT(MAX(ROW(E$2:E5612)*(E5612=E$2:E5612)))))-COUNTBLANK(OFFSET(A$1,,,SUMPRODUCT(MAX(ROW(E$1:E5611)*(E2=E$1:E5611))))))</f>
        <v> </v>
      </c>
      <c r="K5612" s="26" t="str">
        <f>IF(OR(E5612="",E5612="!!!",F5612="NEW"),"",INDEX(J$1:J5611,SUMPRODUCT(MAX(ROW(E$1:E5611)*(E5612=E$1:E5611)))))</f>
        <v> </v>
      </c>
      <c r="L5612" s="27"/>
    </row>
    <row r="5613" spans="1:12">
      <c r="A5613" s="20" t="s">
        <v>1050</v>
      </c>
      <c r="B5613" s="21" t="s">
        <v>1101</v>
      </c>
      <c r="C5613" s="21" t="s">
        <v>1017</v>
      </c>
      <c r="E5613" s="22">
        <f>IF(D5613="?OLD","!!!","")</f>
        <v/>
      </c>
      <c r="F5613" s="23" t="str">
        <f>IF(OR(E5613="",E5613="!!!"),"",IF(NOT(ISNA(VLOOKUP(E5613,E$1:E5612,1,FALSE()))),"OLD",IF(AND(E5613&lt;&gt;"",E5613&lt;&gt;"!!!"),"NEW","")))</f>
        <v> </v>
      </c>
      <c r="G5613" s="24" t="str">
        <f>IF(OR(E5613="",E5613="!!!"),"",IF(OR(J5613=0,AND(J5613=1,K5613=1),AND(J5613=1,I5613="SBJ"),AND(J5613=1,I5613=0)),"?IN_FOCUS",IF(J5613&lt;=2,"?ACTIVATED",IF(J5613&lt;&gt;"","?FAMILIAR",IF(F5613="NEW",IF(ISNA(VLOOKUP(E5613,#REF!,1,FALSE())),"?TYPE_IDENTIFIABLE","?REFERENTIAL"),"_")))))</f>
        <v> </v>
      </c>
      <c r="H5613" s="25" t="str">
        <f>IF(J5613&lt;&gt;1,"",IF(I5613="SBJ","CB","?"))</f>
        <v> </v>
      </c>
      <c r="I5613" s="26" t="str">
        <f>IF(OR(E5613="",E5613="!!!",F5613="NEW"),"",INDEX(B5612:B$2,-1+SUMPRODUCT(MAX(ROW(E5612:E$2)*(E5613=E5612:E$2)))))</f>
        <v> </v>
      </c>
      <c r="J5613" s="26" t="str">
        <f>IF(OR(E5613="",E5613="!!!",F5613="NEW"),"",COUNTBLANK(OFFSET(A$1,,,SUMPRODUCT(MAX(ROW(E$2:E5613)*(E5613=E$2:E5613)))))-COUNTBLANK(OFFSET(A$1,,,SUMPRODUCT(MAX(ROW(E$1:E5612)*(E2=E$1:E5612))))))</f>
        <v> </v>
      </c>
      <c r="K5613" s="26" t="str">
        <f>IF(OR(E5613="",E5613="!!!",F5613="NEW"),"",INDEX(J$1:J5612,SUMPRODUCT(MAX(ROW(E$1:E5612)*(E5613=E$1:E5612)))))</f>
        <v> </v>
      </c>
      <c r="L5613" s="27"/>
    </row>
    <row r="5614" spans="1:12">
      <c r="A5614" s="20" t="s">
        <v>1052</v>
      </c>
      <c r="B5614" s="21" t="s">
        <v>1941</v>
      </c>
      <c r="C5614" s="21" t="s">
        <v>1010</v>
      </c>
      <c r="D5614" s="21" t="s">
        <v>1011</v>
      </c>
      <c r="E5614" s="22">
        <f>IF(D5614="?OLD","!!!","")</f>
        <v/>
      </c>
      <c r="F5614" s="23" t="str">
        <f>IF(OR(E5614="",E5614="!!!"),"",IF(NOT(ISNA(VLOOKUP(E5614,E$1:E5613,1,FALSE()))),"OLD",IF(AND(E5614&lt;&gt;"",E5614&lt;&gt;"!!!"),"NEW","")))</f>
        <v> </v>
      </c>
      <c r="G5614" s="24" t="str">
        <f>IF(OR(E5614="",E5614="!!!"),"",IF(OR(J5614=0,AND(J5614=1,K5614=1),AND(J5614=1,I5614="SBJ"),AND(J5614=1,I5614=0)),"?IN_FOCUS",IF(J5614&lt;=2,"?ACTIVATED",IF(J5614&lt;&gt;"","?FAMILIAR",IF(F5614="NEW",IF(ISNA(VLOOKUP(E5614,#REF!,1,FALSE())),"?TYPE_IDENTIFIABLE","?REFERENTIAL"),"_")))))</f>
        <v> </v>
      </c>
      <c r="H5614" s="25" t="str">
        <f>IF(J5614&lt;&gt;1,"",IF(I5614="SBJ","CB","?"))</f>
        <v> </v>
      </c>
      <c r="I5614" s="26" t="str">
        <f>IF(OR(E5614="",E5614="!!!",F5614="NEW"),"",INDEX(B5613:B$2,-1+SUMPRODUCT(MAX(ROW(E5613:E$2)*(E5614=E5613:E$2)))))</f>
        <v> </v>
      </c>
      <c r="J5614" s="26" t="str">
        <f>IF(OR(E5614="",E5614="!!!",F5614="NEW"),"",COUNTBLANK(OFFSET(A$1,,,SUMPRODUCT(MAX(ROW(E$2:E5614)*(E5614=E$2:E5614)))))-COUNTBLANK(OFFSET(A$1,,,SUMPRODUCT(MAX(ROW(E$1:E5613)*(E2=E$1:E5613))))))</f>
        <v> </v>
      </c>
      <c r="K5614" s="26" t="str">
        <f>IF(OR(E5614="",E5614="!!!",F5614="NEW"),"",INDEX(J$1:J5613,SUMPRODUCT(MAX(ROW(E$1:E5613)*(E5614=E$1:E5613)))))</f>
        <v> </v>
      </c>
      <c r="L5614" s="27"/>
    </row>
    <row r="5615" spans="1:12">
      <c r="A5615" s="20" t="s">
        <v>1179</v>
      </c>
      <c r="E5615" s="22">
        <f>IF(D5615="?OLD","!!!","")</f>
        <v/>
      </c>
      <c r="F5615" s="23" t="str">
        <f>IF(OR(E5615="",E5615="!!!"),"",IF(NOT(ISNA(VLOOKUP(E5615,E$1:E5614,1,FALSE()))),"OLD",IF(AND(E5615&lt;&gt;"",E5615&lt;&gt;"!!!"),"NEW","")))</f>
        <v> </v>
      </c>
      <c r="G5615" s="24" t="str">
        <f>IF(OR(E5615="",E5615="!!!"),"",IF(OR(J5615=0,AND(J5615=1,K5615=1),AND(J5615=1,I5615="SBJ"),AND(J5615=1,I5615=0)),"?IN_FOCUS",IF(J5615&lt;=2,"?ACTIVATED",IF(J5615&lt;&gt;"","?FAMILIAR",IF(F5615="NEW",IF(ISNA(VLOOKUP(E5615,#REF!,1,FALSE())),"?TYPE_IDENTIFIABLE","?REFERENTIAL"),"_")))))</f>
        <v> </v>
      </c>
      <c r="H5615" s="25" t="str">
        <f>IF(J5615&lt;&gt;1,"",IF(I5615="SBJ","CB","?"))</f>
        <v> </v>
      </c>
      <c r="I5615" s="26" t="str">
        <f>IF(OR(E5615="",E5615="!!!",F5615="NEW"),"",INDEX(B5614:B$2,-1+SUMPRODUCT(MAX(ROW(E5614:E$2)*(E5615=E5614:E$2)))))</f>
        <v> </v>
      </c>
      <c r="J5615" s="26" t="str">
        <f>IF(OR(E5615="",E5615="!!!",F5615="NEW"),"",COUNTBLANK(OFFSET(A$1,,,SUMPRODUCT(MAX(ROW(E$2:E5615)*(E5615=E$2:E5615)))))-COUNTBLANK(OFFSET(A$1,,,SUMPRODUCT(MAX(ROW(E$1:E5614)*(E2=E$1:E5614))))))</f>
        <v> </v>
      </c>
      <c r="K5615" s="26" t="str">
        <f>IF(OR(E5615="",E5615="!!!",F5615="NEW"),"",INDEX(J$1:J5614,SUMPRODUCT(MAX(ROW(E$1:E5614)*(E5615=E$1:E5614)))))</f>
        <v> </v>
      </c>
      <c r="L5615" s="27"/>
    </row>
    <row r="5616" spans="1:12">
      <c r="A5616" s="20" t="s">
        <v>388</v>
      </c>
      <c r="E5616" s="22">
        <f>IF(D5616="?OLD","!!!","")</f>
        <v/>
      </c>
      <c r="F5616" s="23" t="str">
        <f>IF(OR(E5616="",E5616="!!!"),"",IF(NOT(ISNA(VLOOKUP(E5616,E$1:E5615,1,FALSE()))),"OLD",IF(AND(E5616&lt;&gt;"",E5616&lt;&gt;"!!!"),"NEW","")))</f>
        <v> </v>
      </c>
      <c r="G5616" s="24" t="str">
        <f>IF(OR(E5616="",E5616="!!!"),"",IF(OR(J5616=0,AND(J5616=1,K5616=1),AND(J5616=1,I5616="SBJ"),AND(J5616=1,I5616=0)),"?IN_FOCUS",IF(J5616&lt;=2,"?ACTIVATED",IF(J5616&lt;&gt;"","?FAMILIAR",IF(F5616="NEW",IF(ISNA(VLOOKUP(E5616,#REF!,1,FALSE())),"?TYPE_IDENTIFIABLE","?REFERENTIAL"),"_")))))</f>
        <v> </v>
      </c>
      <c r="H5616" s="25" t="str">
        <f>IF(J5616&lt;&gt;1,"",IF(I5616="SBJ","CB","?"))</f>
        <v> </v>
      </c>
      <c r="I5616" s="26" t="str">
        <f>IF(OR(E5616="",E5616="!!!",F5616="NEW"),"",INDEX(B5615:B$2,-1+SUMPRODUCT(MAX(ROW(E5615:E$2)*(E5616=E5615:E$2)))))</f>
        <v> </v>
      </c>
      <c r="J5616" s="26" t="str">
        <f>IF(OR(E5616="",E5616="!!!",F5616="NEW"),"",COUNTBLANK(OFFSET(A$1,,,SUMPRODUCT(MAX(ROW(E$2:E5616)*(E5616=E$2:E5616)))))-COUNTBLANK(OFFSET(A$1,,,SUMPRODUCT(MAX(ROW(E$1:E5615)*(E2=E$1:E5615))))))</f>
        <v> </v>
      </c>
      <c r="K5616" s="26" t="str">
        <f>IF(OR(E5616="",E5616="!!!",F5616="NEW"),"",INDEX(J$1:J5615,SUMPRODUCT(MAX(ROW(E$1:E5615)*(E5616=E$1:E5615)))))</f>
        <v> </v>
      </c>
      <c r="L5616" s="27"/>
    </row>
    <row r="5617" spans="1:12">
      <c r="A5617" s="20" t="s">
        <v>1022</v>
      </c>
      <c r="E5617" s="22">
        <f>IF(D5617="?OLD","!!!","")</f>
        <v/>
      </c>
      <c r="F5617" s="23" t="str">
        <f>IF(OR(E5617="",E5617="!!!"),"",IF(NOT(ISNA(VLOOKUP(E5617,E$1:E5616,1,FALSE()))),"OLD",IF(AND(E5617&lt;&gt;"",E5617&lt;&gt;"!!!"),"NEW","")))</f>
        <v> </v>
      </c>
      <c r="G5617" s="24" t="str">
        <f>IF(OR(E5617="",E5617="!!!"),"",IF(OR(J5617=0,AND(J5617=1,K5617=1),AND(J5617=1,I5617="SBJ"),AND(J5617=1,I5617=0)),"?IN_FOCUS",IF(J5617&lt;=2,"?ACTIVATED",IF(J5617&lt;&gt;"","?FAMILIAR",IF(F5617="NEW",IF(ISNA(VLOOKUP(E5617,#REF!,1,FALSE())),"?TYPE_IDENTIFIABLE","?REFERENTIAL"),"_")))))</f>
        <v> </v>
      </c>
      <c r="H5617" s="25" t="str">
        <f>IF(J5617&lt;&gt;1,"",IF(I5617="SBJ","CB","?"))</f>
        <v> </v>
      </c>
      <c r="I5617" s="26" t="str">
        <f>IF(OR(E5617="",E5617="!!!",F5617="NEW"),"",INDEX(B5616:B$2,-1+SUMPRODUCT(MAX(ROW(E5616:E$2)*(E5617=E5616:E$2)))))</f>
        <v> </v>
      </c>
      <c r="J5617" s="26" t="str">
        <f>IF(OR(E5617="",E5617="!!!",F5617="NEW"),"",COUNTBLANK(OFFSET(A$1,,,SUMPRODUCT(MAX(ROW(E$2:E5617)*(E5617=E$2:E5617)))))-COUNTBLANK(OFFSET(A$1,,,SUMPRODUCT(MAX(ROW(E$1:E5616)*(E2=E$1:E5616))))))</f>
        <v> </v>
      </c>
      <c r="K5617" s="26" t="str">
        <f>IF(OR(E5617="",E5617="!!!",F5617="NEW"),"",INDEX(J$1:J5616,SUMPRODUCT(MAX(ROW(E$1:E5616)*(E5617=E$1:E5616)))))</f>
        <v> </v>
      </c>
      <c r="L5617" s="27"/>
    </row>
    <row r="5618" spans="1:12">
      <c r="A5618" s="20"/>
    </row>
    <row r="5619" spans="1:12">
      <c r="A5619" s="20" t="s">
        <v>2249</v>
      </c>
    </row>
    <row r="5620" spans="1:12">
      <c r="A5620" s="20" t="s">
        <v>2035</v>
      </c>
      <c r="E5620" s="22">
        <f>IF(D5620="?OLD","!!!","")</f>
        <v/>
      </c>
      <c r="F5620" s="23" t="str">
        <f>IF(OR(E5620="",E5620="!!!"),"",IF(NOT(ISNA(VLOOKUP(E5620,E$1:E5619,1,FALSE()))),"OLD",IF(AND(E5620&lt;&gt;"",E5620&lt;&gt;"!!!"),"NEW","")))</f>
        <v> </v>
      </c>
      <c r="G5620" s="24" t="str">
        <f>IF(OR(E5620="",E5620="!!!"),"",IF(OR(J5620=0,AND(J5620=1,K5620=1),AND(J5620=1,I5620="SBJ"),AND(J5620=1,I5620=0)),"?IN_FOCUS",IF(J5620&lt;=2,"?ACTIVATED",IF(J5620&lt;&gt;"","?FAMILIAR",IF(F5620="NEW",IF(ISNA(VLOOKUP(E5620,#REF!,1,FALSE())),"?TYPE_IDENTIFIABLE","?REFERENTIAL"),"_")))))</f>
        <v> </v>
      </c>
      <c r="H5620" s="25" t="str">
        <f>IF(J5620&lt;&gt;1,"",IF(I5620="SBJ","CB","?"))</f>
        <v> </v>
      </c>
      <c r="I5620" s="26" t="str">
        <f>IF(OR(E5620="",E5620="!!!",F5620="NEW"),"",INDEX(B5619:B$2,-1+SUMPRODUCT(MAX(ROW(E5619:E$2)*(E5620=E5619:E$2)))))</f>
        <v> </v>
      </c>
      <c r="J5620" s="26" t="str">
        <f>IF(OR(E5620="",E5620="!!!",F5620="NEW"),"",COUNTBLANK(OFFSET(A$1,,,SUMPRODUCT(MAX(ROW(E$2:E5620)*(E5620=E$2:E5620)))))-COUNTBLANK(OFFSET(A$1,,,SUMPRODUCT(MAX(ROW(E$1:E5619)*(E2=E$1:E5619))))))</f>
        <v> </v>
      </c>
      <c r="K5620" s="26" t="str">
        <f>IF(OR(E5620="",E5620="!!!",F5620="NEW"),"",INDEX(J$1:J5619,SUMPRODUCT(MAX(ROW(E$1:E5619)*(E5620=E$1:E5619)))))</f>
        <v> </v>
      </c>
      <c r="L5620" s="27"/>
    </row>
    <row r="5621" spans="1:12">
      <c r="A5621" s="20" t="s">
        <v>1099</v>
      </c>
      <c r="E5621" s="22">
        <f>IF(D5621="?OLD","!!!","")</f>
        <v/>
      </c>
      <c r="F5621" s="23" t="str">
        <f>IF(OR(E5621="",E5621="!!!"),"",IF(NOT(ISNA(VLOOKUP(E5621,E$1:E5620,1,FALSE()))),"OLD",IF(AND(E5621&lt;&gt;"",E5621&lt;&gt;"!!!"),"NEW","")))</f>
        <v> </v>
      </c>
      <c r="G5621" s="24" t="str">
        <f>IF(OR(E5621="",E5621="!!!"),"",IF(OR(J5621=0,AND(J5621=1,K5621=1),AND(J5621=1,I5621="SBJ"),AND(J5621=1,I5621=0)),"?IN_FOCUS",IF(J5621&lt;=2,"?ACTIVATED",IF(J5621&lt;&gt;"","?FAMILIAR",IF(F5621="NEW",IF(ISNA(VLOOKUP(E5621,#REF!,1,FALSE())),"?TYPE_IDENTIFIABLE","?REFERENTIAL"),"_")))))</f>
        <v> </v>
      </c>
      <c r="H5621" s="25" t="str">
        <f>IF(J5621&lt;&gt;1,"",IF(I5621="SBJ","CB","?"))</f>
        <v> </v>
      </c>
      <c r="I5621" s="26" t="str">
        <f>IF(OR(E5621="",E5621="!!!",F5621="NEW"),"",INDEX(B5620:B$2,-1+SUMPRODUCT(MAX(ROW(E5620:E$2)*(E5621=E5620:E$2)))))</f>
        <v> </v>
      </c>
      <c r="J5621" s="26" t="str">
        <f>IF(OR(E5621="",E5621="!!!",F5621="NEW"),"",COUNTBLANK(OFFSET(A$1,,,SUMPRODUCT(MAX(ROW(E$2:E5621)*(E5621=E$2:E5621)))))-COUNTBLANK(OFFSET(A$1,,,SUMPRODUCT(MAX(ROW(E$1:E5620)*(E2=E$1:E5620))))))</f>
        <v> </v>
      </c>
      <c r="K5621" s="26" t="str">
        <f>IF(OR(E5621="",E5621="!!!",F5621="NEW"),"",INDEX(J$1:J5620,SUMPRODUCT(MAX(ROW(E$1:E5620)*(E5621=E$1:E5620)))))</f>
        <v> </v>
      </c>
      <c r="L5621" s="27"/>
    </row>
    <row r="5622" spans="1:12">
      <c r="A5622" s="20" t="s">
        <v>1734</v>
      </c>
      <c r="E5622" s="22">
        <f>IF(D5622="?OLD","!!!","")</f>
        <v/>
      </c>
      <c r="F5622" s="23" t="str">
        <f>IF(OR(E5622="",E5622="!!!"),"",IF(NOT(ISNA(VLOOKUP(E5622,E$1:E5621,1,FALSE()))),"OLD",IF(AND(E5622&lt;&gt;"",E5622&lt;&gt;"!!!"),"NEW","")))</f>
        <v> </v>
      </c>
      <c r="G5622" s="24" t="str">
        <f>IF(OR(E5622="",E5622="!!!"),"",IF(OR(J5622=0,AND(J5622=1,K5622=1),AND(J5622=1,I5622="SBJ"),AND(J5622=1,I5622=0)),"?IN_FOCUS",IF(J5622&lt;=2,"?ACTIVATED",IF(J5622&lt;&gt;"","?FAMILIAR",IF(F5622="NEW",IF(ISNA(VLOOKUP(E5622,#REF!,1,FALSE())),"?TYPE_IDENTIFIABLE","?REFERENTIAL"),"_")))))</f>
        <v> </v>
      </c>
      <c r="H5622" s="25" t="str">
        <f>IF(J5622&lt;&gt;1,"",IF(I5622="SBJ","CB","?"))</f>
        <v> </v>
      </c>
      <c r="I5622" s="26" t="str">
        <f>IF(OR(E5622="",E5622="!!!",F5622="NEW"),"",INDEX(B5621:B$2,-1+SUMPRODUCT(MAX(ROW(E5621:E$2)*(E5622=E5621:E$2)))))</f>
        <v> </v>
      </c>
      <c r="J5622" s="26" t="str">
        <f>IF(OR(E5622="",E5622="!!!",F5622="NEW"),"",COUNTBLANK(OFFSET(A$1,,,SUMPRODUCT(MAX(ROW(E$2:E5622)*(E5622=E$2:E5622)))))-COUNTBLANK(OFFSET(A$1,,,SUMPRODUCT(MAX(ROW(E$1:E5621)*(E2=E$1:E5621))))))</f>
        <v> </v>
      </c>
      <c r="K5622" s="26" t="str">
        <f>IF(OR(E5622="",E5622="!!!",F5622="NEW"),"",INDEX(J$1:J5621,SUMPRODUCT(MAX(ROW(E$1:E5621)*(E5622=E$1:E5621)))))</f>
        <v> </v>
      </c>
      <c r="L5622" s="27"/>
    </row>
    <row r="5623" spans="1:12">
      <c r="A5623" s="20" t="s">
        <v>1032</v>
      </c>
      <c r="E5623" s="22">
        <f>IF(D5623="?OLD","!!!","")</f>
        <v/>
      </c>
      <c r="F5623" s="23" t="str">
        <f>IF(OR(E5623="",E5623="!!!"),"",IF(NOT(ISNA(VLOOKUP(E5623,E$1:E5622,1,FALSE()))),"OLD",IF(AND(E5623&lt;&gt;"",E5623&lt;&gt;"!!!"),"NEW","")))</f>
        <v> </v>
      </c>
      <c r="G5623" s="24" t="str">
        <f>IF(OR(E5623="",E5623="!!!"),"",IF(OR(J5623=0,AND(J5623=1,K5623=1),AND(J5623=1,I5623="SBJ"),AND(J5623=1,I5623=0)),"?IN_FOCUS",IF(J5623&lt;=2,"?ACTIVATED",IF(J5623&lt;&gt;"","?FAMILIAR",IF(F5623="NEW",IF(ISNA(VLOOKUP(E5623,#REF!,1,FALSE())),"?TYPE_IDENTIFIABLE","?REFERENTIAL"),"_")))))</f>
        <v> </v>
      </c>
      <c r="H5623" s="25" t="str">
        <f>IF(J5623&lt;&gt;1,"",IF(I5623="SBJ","CB","?"))</f>
        <v> </v>
      </c>
      <c r="I5623" s="26" t="str">
        <f>IF(OR(E5623="",E5623="!!!",F5623="NEW"),"",INDEX(B5622:B$2,-1+SUMPRODUCT(MAX(ROW(E5622:E$2)*(E5623=E5622:E$2)))))</f>
        <v> </v>
      </c>
      <c r="J5623" s="26" t="str">
        <f>IF(OR(E5623="",E5623="!!!",F5623="NEW"),"",COUNTBLANK(OFFSET(A$1,,,SUMPRODUCT(MAX(ROW(E$2:E5623)*(E5623=E$2:E5623)))))-COUNTBLANK(OFFSET(A$1,,,SUMPRODUCT(MAX(ROW(E$1:E5622)*(E2=E$1:E5622))))))</f>
        <v> </v>
      </c>
      <c r="K5623" s="26" t="str">
        <f>IF(OR(E5623="",E5623="!!!",F5623="NEW"),"",INDEX(J$1:J5622,SUMPRODUCT(MAX(ROW(E$1:E5622)*(E5623=E$1:E5622)))))</f>
        <v> </v>
      </c>
      <c r="L5623" s="27"/>
    </row>
    <row r="5624" spans="1:12">
      <c r="A5624" s="20" t="s">
        <v>1042</v>
      </c>
      <c r="E5624" s="22">
        <f>IF(D5624="?OLD","!!!","")</f>
        <v/>
      </c>
      <c r="F5624" s="23" t="str">
        <f>IF(OR(E5624="",E5624="!!!"),"",IF(NOT(ISNA(VLOOKUP(E5624,E$1:E5623,1,FALSE()))),"OLD",IF(AND(E5624&lt;&gt;"",E5624&lt;&gt;"!!!"),"NEW","")))</f>
        <v> </v>
      </c>
      <c r="G5624" s="24" t="str">
        <f>IF(OR(E5624="",E5624="!!!"),"",IF(OR(J5624=0,AND(J5624=1,K5624=1),AND(J5624=1,I5624="SBJ"),AND(J5624=1,I5624=0)),"?IN_FOCUS",IF(J5624&lt;=2,"?ACTIVATED",IF(J5624&lt;&gt;"","?FAMILIAR",IF(F5624="NEW",IF(ISNA(VLOOKUP(E5624,#REF!,1,FALSE())),"?TYPE_IDENTIFIABLE","?REFERENTIAL"),"_")))))</f>
        <v> </v>
      </c>
      <c r="H5624" s="25" t="str">
        <f>IF(J5624&lt;&gt;1,"",IF(I5624="SBJ","CB","?"))</f>
        <v> </v>
      </c>
      <c r="I5624" s="26" t="str">
        <f>IF(OR(E5624="",E5624="!!!",F5624="NEW"),"",INDEX(B5623:B$2,-1+SUMPRODUCT(MAX(ROW(E5623:E$2)*(E5624=E5623:E$2)))))</f>
        <v> </v>
      </c>
      <c r="J5624" s="26" t="str">
        <f>IF(OR(E5624="",E5624="!!!",F5624="NEW"),"",COUNTBLANK(OFFSET(A$1,,,SUMPRODUCT(MAX(ROW(E$2:E5624)*(E5624=E$2:E5624)))))-COUNTBLANK(OFFSET(A$1,,,SUMPRODUCT(MAX(ROW(E$1:E5623)*(E2=E$1:E5623))))))</f>
        <v> </v>
      </c>
      <c r="K5624" s="26" t="str">
        <f>IF(OR(E5624="",E5624="!!!",F5624="NEW"),"",INDEX(J$1:J5623,SUMPRODUCT(MAX(ROW(E$1:E5623)*(E5624=E$1:E5623)))))</f>
        <v> </v>
      </c>
      <c r="L5624" s="27"/>
    </row>
    <row r="5625" spans="1:12">
      <c r="A5625" s="20" t="s">
        <v>2250</v>
      </c>
      <c r="E5625" s="22">
        <f>IF(D5625="?OLD","!!!","")</f>
        <v/>
      </c>
      <c r="F5625" s="23" t="str">
        <f>IF(OR(E5625="",E5625="!!!"),"",IF(NOT(ISNA(VLOOKUP(E5625,E$1:E5624,1,FALSE()))),"OLD",IF(AND(E5625&lt;&gt;"",E5625&lt;&gt;"!!!"),"NEW","")))</f>
        <v> </v>
      </c>
      <c r="G5625" s="24" t="str">
        <f>IF(OR(E5625="",E5625="!!!"),"",IF(OR(J5625=0,AND(J5625=1,K5625=1),AND(J5625=1,I5625="SBJ"),AND(J5625=1,I5625=0)),"?IN_FOCUS",IF(J5625&lt;=2,"?ACTIVATED",IF(J5625&lt;&gt;"","?FAMILIAR",IF(F5625="NEW",IF(ISNA(VLOOKUP(E5625,#REF!,1,FALSE())),"?TYPE_IDENTIFIABLE","?REFERENTIAL"),"_")))))</f>
        <v> </v>
      </c>
      <c r="H5625" s="25" t="str">
        <f>IF(J5625&lt;&gt;1,"",IF(I5625="SBJ","CB","?"))</f>
        <v> </v>
      </c>
      <c r="I5625" s="26" t="str">
        <f>IF(OR(E5625="",E5625="!!!",F5625="NEW"),"",INDEX(B5624:B$2,-1+SUMPRODUCT(MAX(ROW(E5624:E$2)*(E5625=E5624:E$2)))))</f>
        <v> </v>
      </c>
      <c r="J5625" s="26" t="str">
        <f>IF(OR(E5625="",E5625="!!!",F5625="NEW"),"",COUNTBLANK(OFFSET(A$1,,,SUMPRODUCT(MAX(ROW(E$2:E5625)*(E5625=E$2:E5625)))))-COUNTBLANK(OFFSET(A$1,,,SUMPRODUCT(MAX(ROW(E$1:E5624)*(E2=E$1:E5624))))))</f>
        <v> </v>
      </c>
      <c r="K5625" s="26" t="str">
        <f>IF(OR(E5625="",E5625="!!!",F5625="NEW"),"",INDEX(J$1:J5624,SUMPRODUCT(MAX(ROW(E$1:E5624)*(E5625=E$1:E5624)))))</f>
        <v> </v>
      </c>
      <c r="L5625" s="27"/>
    </row>
    <row r="5626" spans="1:12">
      <c r="A5626" s="20" t="s">
        <v>942</v>
      </c>
      <c r="B5626" s="21" t="s">
        <v>1071</v>
      </c>
      <c r="C5626" s="21" t="s">
        <v>1044</v>
      </c>
      <c r="D5626" s="21" t="s">
        <v>1011</v>
      </c>
      <c r="E5626" s="22">
        <f>IF(D5626="?OLD","!!!","")</f>
        <v/>
      </c>
      <c r="F5626" s="23" t="str">
        <f>IF(OR(E5626="",E5626="!!!"),"",IF(NOT(ISNA(VLOOKUP(E5626,E$1:E5625,1,FALSE()))),"OLD",IF(AND(E5626&lt;&gt;"",E5626&lt;&gt;"!!!"),"NEW","")))</f>
        <v> </v>
      </c>
      <c r="G5626" s="24" t="str">
        <f>IF(OR(E5626="",E5626="!!!"),"",IF(OR(J5626=0,AND(J5626=1,K5626=1),AND(J5626=1,I5626="SBJ"),AND(J5626=1,I5626=0)),"?IN_FOCUS",IF(J5626&lt;=2,"?ACTIVATED",IF(J5626&lt;&gt;"","?FAMILIAR",IF(F5626="NEW",IF(ISNA(VLOOKUP(E5626,#REF!,1,FALSE())),"?TYPE_IDENTIFIABLE","?REFERENTIAL"),"_")))))</f>
        <v> </v>
      </c>
      <c r="H5626" s="25" t="str">
        <f>IF(J5626&lt;&gt;1,"",IF(I5626="SBJ","CB","?"))</f>
        <v> </v>
      </c>
      <c r="I5626" s="26" t="str">
        <f>IF(OR(E5626="",E5626="!!!",F5626="NEW"),"",INDEX(B5625:B$2,-1+SUMPRODUCT(MAX(ROW(E5625:E$2)*(E5626=E5625:E$2)))))</f>
        <v> </v>
      </c>
      <c r="J5626" s="26" t="str">
        <f>IF(OR(E5626="",E5626="!!!",F5626="NEW"),"",COUNTBLANK(OFFSET(A$1,,,SUMPRODUCT(MAX(ROW(E$2:E5626)*(E5626=E$2:E5626)))))-COUNTBLANK(OFFSET(A$1,,,SUMPRODUCT(MAX(ROW(E$1:E5625)*(E2=E$1:E5625))))))</f>
        <v> </v>
      </c>
      <c r="K5626" s="26" t="str">
        <f>IF(OR(E5626="",E5626="!!!",F5626="NEW"),"",INDEX(J$1:J5625,SUMPRODUCT(MAX(ROW(E$1:E5625)*(E5626=E$1:E5625)))))</f>
        <v> </v>
      </c>
      <c r="L5626" s="27"/>
    </row>
    <row r="5627" spans="1:12">
      <c r="A5627" s="20" t="s">
        <v>1081</v>
      </c>
      <c r="E5627" s="22">
        <f>IF(D5627="?OLD","!!!","")</f>
        <v/>
      </c>
      <c r="F5627" s="23" t="str">
        <f>IF(OR(E5627="",E5627="!!!"),"",IF(NOT(ISNA(VLOOKUP(E5627,E$1:E5626,1,FALSE()))),"OLD",IF(AND(E5627&lt;&gt;"",E5627&lt;&gt;"!!!"),"NEW","")))</f>
        <v> </v>
      </c>
      <c r="G5627" s="24" t="str">
        <f>IF(OR(E5627="",E5627="!!!"),"",IF(OR(J5627=0,AND(J5627=1,K5627=1),AND(J5627=1,I5627="SBJ"),AND(J5627=1,I5627=0)),"?IN_FOCUS",IF(J5627&lt;=2,"?ACTIVATED",IF(J5627&lt;&gt;"","?FAMILIAR",IF(F5627="NEW",IF(ISNA(VLOOKUP(E5627,#REF!,1,FALSE())),"?TYPE_IDENTIFIABLE","?REFERENTIAL"),"_")))))</f>
        <v> </v>
      </c>
      <c r="H5627" s="25" t="str">
        <f>IF(J5627&lt;&gt;1,"",IF(I5627="SBJ","CB","?"))</f>
        <v> </v>
      </c>
      <c r="I5627" s="26" t="str">
        <f>IF(OR(E5627="",E5627="!!!",F5627="NEW"),"",INDEX(B5626:B$2,-1+SUMPRODUCT(MAX(ROW(E5626:E$2)*(E5627=E5626:E$2)))))</f>
        <v> </v>
      </c>
      <c r="J5627" s="26" t="str">
        <f>IF(OR(E5627="",E5627="!!!",F5627="NEW"),"",COUNTBLANK(OFFSET(A$1,,,SUMPRODUCT(MAX(ROW(E$2:E5627)*(E5627=E$2:E5627)))))-COUNTBLANK(OFFSET(A$1,,,SUMPRODUCT(MAX(ROW(E$1:E5626)*(E2=E$1:E5626))))))</f>
        <v> </v>
      </c>
      <c r="K5627" s="26" t="str">
        <f>IF(OR(E5627="",E5627="!!!",F5627="NEW"),"",INDEX(J$1:J5626,SUMPRODUCT(MAX(ROW(E$1:E5626)*(E5627=E$1:E5626)))))</f>
        <v> </v>
      </c>
      <c r="L5627" s="27"/>
    </row>
    <row r="5628" spans="1:12">
      <c r="A5628" s="20" t="s">
        <v>1042</v>
      </c>
      <c r="E5628" s="22">
        <f>IF(D5628="?OLD","!!!","")</f>
        <v/>
      </c>
      <c r="F5628" s="23" t="str">
        <f>IF(OR(E5628="",E5628="!!!"),"",IF(NOT(ISNA(VLOOKUP(E5628,E$1:E5627,1,FALSE()))),"OLD",IF(AND(E5628&lt;&gt;"",E5628&lt;&gt;"!!!"),"NEW","")))</f>
        <v> </v>
      </c>
      <c r="G5628" s="24" t="str">
        <f>IF(OR(E5628="",E5628="!!!"),"",IF(OR(J5628=0,AND(J5628=1,K5628=1),AND(J5628=1,I5628="SBJ"),AND(J5628=1,I5628=0)),"?IN_FOCUS",IF(J5628&lt;=2,"?ACTIVATED",IF(J5628&lt;&gt;"","?FAMILIAR",IF(F5628="NEW",IF(ISNA(VLOOKUP(E5628,#REF!,1,FALSE())),"?TYPE_IDENTIFIABLE","?REFERENTIAL"),"_")))))</f>
        <v> </v>
      </c>
      <c r="H5628" s="25" t="str">
        <f>IF(J5628&lt;&gt;1,"",IF(I5628="SBJ","CB","?"))</f>
        <v> </v>
      </c>
      <c r="I5628" s="26" t="str">
        <f>IF(OR(E5628="",E5628="!!!",F5628="NEW"),"",INDEX(B5627:B$2,-1+SUMPRODUCT(MAX(ROW(E5627:E$2)*(E5628=E5627:E$2)))))</f>
        <v> </v>
      </c>
      <c r="J5628" s="26" t="str">
        <f>IF(OR(E5628="",E5628="!!!",F5628="NEW"),"",COUNTBLANK(OFFSET(A$1,,,SUMPRODUCT(MAX(ROW(E$2:E5628)*(E5628=E$2:E5628)))))-COUNTBLANK(OFFSET(A$1,,,SUMPRODUCT(MAX(ROW(E$1:E5627)*(E2=E$1:E5627))))))</f>
        <v> </v>
      </c>
      <c r="K5628" s="26" t="str">
        <f>IF(OR(E5628="",E5628="!!!",F5628="NEW"),"",INDEX(J$1:J5627,SUMPRODUCT(MAX(ROW(E$1:E5627)*(E5628=E$1:E5627)))))</f>
        <v> </v>
      </c>
      <c r="L5628" s="27"/>
    </row>
    <row r="5629" spans="1:12">
      <c r="A5629" s="20" t="s">
        <v>2251</v>
      </c>
      <c r="E5629" s="22">
        <f>IF(D5629="?OLD","!!!","")</f>
        <v/>
      </c>
      <c r="F5629" s="23" t="str">
        <f>IF(OR(E5629="",E5629="!!!"),"",IF(NOT(ISNA(VLOOKUP(E5629,E$1:E5628,1,FALSE()))),"OLD",IF(AND(E5629&lt;&gt;"",E5629&lt;&gt;"!!!"),"NEW","")))</f>
        <v> </v>
      </c>
      <c r="G5629" s="24" t="str">
        <f>IF(OR(E5629="",E5629="!!!"),"",IF(OR(J5629=0,AND(J5629=1,K5629=1),AND(J5629=1,I5629="SBJ"),AND(J5629=1,I5629=0)),"?IN_FOCUS",IF(J5629&lt;=2,"?ACTIVATED",IF(J5629&lt;&gt;"","?FAMILIAR",IF(F5629="NEW",IF(ISNA(VLOOKUP(E5629,#REF!,1,FALSE())),"?TYPE_IDENTIFIABLE","?REFERENTIAL"),"_")))))</f>
        <v> </v>
      </c>
      <c r="H5629" s="25" t="str">
        <f>IF(J5629&lt;&gt;1,"",IF(I5629="SBJ","CB","?"))</f>
        <v> </v>
      </c>
      <c r="I5629" s="26" t="str">
        <f>IF(OR(E5629="",E5629="!!!",F5629="NEW"),"",INDEX(B5628:B$2,-1+SUMPRODUCT(MAX(ROW(E5628:E$2)*(E5629=E5628:E$2)))))</f>
        <v> </v>
      </c>
      <c r="J5629" s="26" t="str">
        <f>IF(OR(E5629="",E5629="!!!",F5629="NEW"),"",COUNTBLANK(OFFSET(A$1,,,SUMPRODUCT(MAX(ROW(E$2:E5629)*(E5629=E$2:E5629)))))-COUNTBLANK(OFFSET(A$1,,,SUMPRODUCT(MAX(ROW(E$1:E5628)*(E2=E$1:E5628))))))</f>
        <v> </v>
      </c>
      <c r="K5629" s="26" t="str">
        <f>IF(OR(E5629="",E5629="!!!",F5629="NEW"),"",INDEX(J$1:J5628,SUMPRODUCT(MAX(ROW(E$1:E5628)*(E5629=E$1:E5628)))))</f>
        <v> </v>
      </c>
      <c r="L5629" s="27"/>
    </row>
    <row r="5630" spans="1:12">
      <c r="A5630" s="20" t="s">
        <v>2252</v>
      </c>
      <c r="E5630" s="22">
        <f>IF(D5630="?OLD","!!!","")</f>
        <v/>
      </c>
      <c r="F5630" s="23" t="str">
        <f>IF(OR(E5630="",E5630="!!!"),"",IF(NOT(ISNA(VLOOKUP(E5630,E$1:E5629,1,FALSE()))),"OLD",IF(AND(E5630&lt;&gt;"",E5630&lt;&gt;"!!!"),"NEW","")))</f>
        <v> </v>
      </c>
      <c r="G5630" s="24" t="str">
        <f>IF(OR(E5630="",E5630="!!!"),"",IF(OR(J5630=0,AND(J5630=1,K5630=1),AND(J5630=1,I5630="SBJ"),AND(J5630=1,I5630=0)),"?IN_FOCUS",IF(J5630&lt;=2,"?ACTIVATED",IF(J5630&lt;&gt;"","?FAMILIAR",IF(F5630="NEW",IF(ISNA(VLOOKUP(E5630,#REF!,1,FALSE())),"?TYPE_IDENTIFIABLE","?REFERENTIAL"),"_")))))</f>
        <v> </v>
      </c>
      <c r="H5630" s="25" t="str">
        <f>IF(J5630&lt;&gt;1,"",IF(I5630="SBJ","CB","?"))</f>
        <v> </v>
      </c>
      <c r="I5630" s="26" t="str">
        <f>IF(OR(E5630="",E5630="!!!",F5630="NEW"),"",INDEX(B5629:B$2,-1+SUMPRODUCT(MAX(ROW(E5629:E$2)*(E5630=E5629:E$2)))))</f>
        <v> </v>
      </c>
      <c r="J5630" s="26" t="str">
        <f>IF(OR(E5630="",E5630="!!!",F5630="NEW"),"",COUNTBLANK(OFFSET(A$1,,,SUMPRODUCT(MAX(ROW(E$2:E5630)*(E5630=E$2:E5630)))))-COUNTBLANK(OFFSET(A$1,,,SUMPRODUCT(MAX(ROW(E$1:E5629)*(E2=E$1:E5629))))))</f>
        <v> </v>
      </c>
      <c r="K5630" s="26" t="str">
        <f>IF(OR(E5630="",E5630="!!!",F5630="NEW"),"",INDEX(J$1:J5629,SUMPRODUCT(MAX(ROW(E$1:E5629)*(E5630=E$1:E5629)))))</f>
        <v> </v>
      </c>
      <c r="L5630" s="27"/>
    </row>
    <row r="5631" spans="1:12">
      <c r="A5631" s="20" t="s">
        <v>984</v>
      </c>
      <c r="B5631" s="21" t="s">
        <v>1071</v>
      </c>
      <c r="C5631" s="21" t="s">
        <v>1044</v>
      </c>
      <c r="D5631" s="21" t="s">
        <v>1011</v>
      </c>
      <c r="E5631" s="22">
        <f>IF(D5631="?OLD","!!!","")</f>
        <v/>
      </c>
      <c r="F5631" s="23" t="str">
        <f>IF(OR(E5631="",E5631="!!!"),"",IF(NOT(ISNA(VLOOKUP(E5631,E$1:E5630,1,FALSE()))),"OLD",IF(AND(E5631&lt;&gt;"",E5631&lt;&gt;"!!!"),"NEW","")))</f>
        <v> </v>
      </c>
      <c r="G5631" s="24" t="str">
        <f>IF(OR(E5631="",E5631="!!!"),"",IF(OR(J5631=0,AND(J5631=1,K5631=1),AND(J5631=1,I5631="SBJ"),AND(J5631=1,I5631=0)),"?IN_FOCUS",IF(J5631&lt;=2,"?ACTIVATED",IF(J5631&lt;&gt;"","?FAMILIAR",IF(F5631="NEW",IF(ISNA(VLOOKUP(E5631,#REF!,1,FALSE())),"?TYPE_IDENTIFIABLE","?REFERENTIAL"),"_")))))</f>
        <v> </v>
      </c>
      <c r="H5631" s="25" t="str">
        <f>IF(J5631&lt;&gt;1,"",IF(I5631="SBJ","CB","?"))</f>
        <v> </v>
      </c>
      <c r="I5631" s="26" t="str">
        <f>IF(OR(E5631="",E5631="!!!",F5631="NEW"),"",INDEX(B5630:B$2,-1+SUMPRODUCT(MAX(ROW(E5630:E$2)*(E5631=E5630:E$2)))))</f>
        <v> </v>
      </c>
      <c r="J5631" s="26" t="str">
        <f>IF(OR(E5631="",E5631="!!!",F5631="NEW"),"",COUNTBLANK(OFFSET(A$1,,,SUMPRODUCT(MAX(ROW(E$2:E5631)*(E5631=E$2:E5631)))))-COUNTBLANK(OFFSET(A$1,,,SUMPRODUCT(MAX(ROW(E$1:E5630)*(E2=E$1:E5630))))))</f>
        <v> </v>
      </c>
      <c r="K5631" s="26" t="str">
        <f>IF(OR(E5631="",E5631="!!!",F5631="NEW"),"",INDEX(J$1:J5630,SUMPRODUCT(MAX(ROW(E$1:E5630)*(E5631=E$1:E5630)))))</f>
        <v> </v>
      </c>
      <c r="L5631" s="27"/>
    </row>
    <row r="5632" spans="1:12">
      <c r="A5632" s="20" t="s">
        <v>12</v>
      </c>
      <c r="E5632" s="22">
        <f>IF(D5632="?OLD","!!!","")</f>
        <v/>
      </c>
      <c r="F5632" s="23" t="str">
        <f>IF(OR(E5632="",E5632="!!!"),"",IF(NOT(ISNA(VLOOKUP(E5632,E$1:E5631,1,FALSE()))),"OLD",IF(AND(E5632&lt;&gt;"",E5632&lt;&gt;"!!!"),"NEW","")))</f>
        <v> </v>
      </c>
      <c r="G5632" s="24" t="str">
        <f>IF(OR(E5632="",E5632="!!!"),"",IF(OR(J5632=0,AND(J5632=1,K5632=1),AND(J5632=1,I5632="SBJ"),AND(J5632=1,I5632=0)),"?IN_FOCUS",IF(J5632&lt;=2,"?ACTIVATED",IF(J5632&lt;&gt;"","?FAMILIAR",IF(F5632="NEW",IF(ISNA(VLOOKUP(E5632,#REF!,1,FALSE())),"?TYPE_IDENTIFIABLE","?REFERENTIAL"),"_")))))</f>
        <v> </v>
      </c>
      <c r="H5632" s="25" t="str">
        <f>IF(J5632&lt;&gt;1,"",IF(I5632="SBJ","CB","?"))</f>
        <v> </v>
      </c>
      <c r="I5632" s="26" t="str">
        <f>IF(OR(E5632="",E5632="!!!",F5632="NEW"),"",INDEX(B5631:B$2,-1+SUMPRODUCT(MAX(ROW(E5631:E$2)*(E5632=E5631:E$2)))))</f>
        <v> </v>
      </c>
      <c r="J5632" s="26" t="str">
        <f>IF(OR(E5632="",E5632="!!!",F5632="NEW"),"",COUNTBLANK(OFFSET(A$1,,,SUMPRODUCT(MAX(ROW(E$2:E5632)*(E5632=E$2:E5632)))))-COUNTBLANK(OFFSET(A$1,,,SUMPRODUCT(MAX(ROW(E$1:E5631)*(E2=E$1:E5631))))))</f>
        <v> </v>
      </c>
      <c r="K5632" s="26" t="str">
        <f>IF(OR(E5632="",E5632="!!!",F5632="NEW"),"",INDEX(J$1:J5631,SUMPRODUCT(MAX(ROW(E$1:E5631)*(E5632=E$1:E5631)))))</f>
        <v> </v>
      </c>
      <c r="L5632" s="27"/>
    </row>
    <row r="5633" spans="1:12">
      <c r="A5633" s="20" t="s">
        <v>883</v>
      </c>
      <c r="E5633" s="22">
        <f>IF(D5633="?OLD","!!!","")</f>
        <v/>
      </c>
      <c r="F5633" s="23" t="str">
        <f>IF(OR(E5633="",E5633="!!!"),"",IF(NOT(ISNA(VLOOKUP(E5633,E$1:E5632,1,FALSE()))),"OLD",IF(AND(E5633&lt;&gt;"",E5633&lt;&gt;"!!!"),"NEW","")))</f>
        <v> </v>
      </c>
      <c r="G5633" s="24" t="str">
        <f>IF(OR(E5633="",E5633="!!!"),"",IF(OR(J5633=0,AND(J5633=1,K5633=1),AND(J5633=1,I5633="SBJ"),AND(J5633=1,I5633=0)),"?IN_FOCUS",IF(J5633&lt;=2,"?ACTIVATED",IF(J5633&lt;&gt;"","?FAMILIAR",IF(F5633="NEW",IF(ISNA(VLOOKUP(E5633,#REF!,1,FALSE())),"?TYPE_IDENTIFIABLE","?REFERENTIAL"),"_")))))</f>
        <v> </v>
      </c>
      <c r="H5633" s="25" t="str">
        <f>IF(J5633&lt;&gt;1,"",IF(I5633="SBJ","CB","?"))</f>
        <v> </v>
      </c>
      <c r="I5633" s="26" t="str">
        <f>IF(OR(E5633="",E5633="!!!",F5633="NEW"),"",INDEX(B5632:B$2,-1+SUMPRODUCT(MAX(ROW(E5632:E$2)*(E5633=E5632:E$2)))))</f>
        <v> </v>
      </c>
      <c r="J5633" s="26" t="str">
        <f>IF(OR(E5633="",E5633="!!!",F5633="NEW"),"",COUNTBLANK(OFFSET(A$1,,,SUMPRODUCT(MAX(ROW(E$2:E5633)*(E5633=E$2:E5633)))))-COUNTBLANK(OFFSET(A$1,,,SUMPRODUCT(MAX(ROW(E$1:E5632)*(E2=E$1:E5632))))))</f>
        <v> </v>
      </c>
      <c r="K5633" s="26" t="str">
        <f>IF(OR(E5633="",E5633="!!!",F5633="NEW"),"",INDEX(J$1:J5632,SUMPRODUCT(MAX(ROW(E$1:E5632)*(E5633=E$1:E5632)))))</f>
        <v> </v>
      </c>
      <c r="L5633" s="27"/>
    </row>
    <row r="5634" spans="1:12">
      <c r="A5634" s="20" t="s">
        <v>1042</v>
      </c>
      <c r="E5634" s="22">
        <f>IF(D5634="?OLD","!!!","")</f>
        <v/>
      </c>
      <c r="F5634" s="23" t="str">
        <f>IF(OR(E5634="",E5634="!!!"),"",IF(NOT(ISNA(VLOOKUP(E5634,E$1:E5633,1,FALSE()))),"OLD",IF(AND(E5634&lt;&gt;"",E5634&lt;&gt;"!!!"),"NEW","")))</f>
        <v> </v>
      </c>
      <c r="G5634" s="24" t="str">
        <f>IF(OR(E5634="",E5634="!!!"),"",IF(OR(J5634=0,AND(J5634=1,K5634=1),AND(J5634=1,I5634="SBJ"),AND(J5634=1,I5634=0)),"?IN_FOCUS",IF(J5634&lt;=2,"?ACTIVATED",IF(J5634&lt;&gt;"","?FAMILIAR",IF(F5634="NEW",IF(ISNA(VLOOKUP(E5634,#REF!,1,FALSE())),"?TYPE_IDENTIFIABLE","?REFERENTIAL"),"_")))))</f>
        <v> </v>
      </c>
      <c r="H5634" s="25" t="str">
        <f>IF(J5634&lt;&gt;1,"",IF(I5634="SBJ","CB","?"))</f>
        <v> </v>
      </c>
      <c r="I5634" s="26" t="str">
        <f>IF(OR(E5634="",E5634="!!!",F5634="NEW"),"",INDEX(B5633:B$2,-1+SUMPRODUCT(MAX(ROW(E5633:E$2)*(E5634=E5633:E$2)))))</f>
        <v> </v>
      </c>
      <c r="J5634" s="26" t="str">
        <f>IF(OR(E5634="",E5634="!!!",F5634="NEW"),"",COUNTBLANK(OFFSET(A$1,,,SUMPRODUCT(MAX(ROW(E$2:E5634)*(E5634=E$2:E5634)))))-COUNTBLANK(OFFSET(A$1,,,SUMPRODUCT(MAX(ROW(E$1:E5633)*(E2=E$1:E5633))))))</f>
        <v> </v>
      </c>
      <c r="K5634" s="26" t="str">
        <f>IF(OR(E5634="",E5634="!!!",F5634="NEW"),"",INDEX(J$1:J5633,SUMPRODUCT(MAX(ROW(E$1:E5633)*(E5634=E$1:E5633)))))</f>
        <v> </v>
      </c>
      <c r="L5634" s="27"/>
    </row>
    <row r="5635" spans="1:12">
      <c r="A5635" s="20" t="s">
        <v>1838</v>
      </c>
      <c r="B5635" s="21" t="s">
        <v>1039</v>
      </c>
      <c r="C5635" s="21" t="s">
        <v>1165</v>
      </c>
      <c r="D5635" s="21" t="s">
        <v>1011</v>
      </c>
      <c r="E5635" s="22">
        <f>IF(D5635="?OLD","!!!","")</f>
        <v/>
      </c>
      <c r="F5635" s="23" t="str">
        <f>IF(OR(E5635="",E5635="!!!"),"",IF(NOT(ISNA(VLOOKUP(E5635,E$1:E5634,1,FALSE()))),"OLD",IF(AND(E5635&lt;&gt;"",E5635&lt;&gt;"!!!"),"NEW","")))</f>
        <v> </v>
      </c>
      <c r="G5635" s="24" t="str">
        <f>IF(OR(E5635="",E5635="!!!"),"",IF(OR(J5635=0,AND(J5635=1,K5635=1),AND(J5635=1,I5635="SBJ"),AND(J5635=1,I5635=0)),"?IN_FOCUS",IF(J5635&lt;=2,"?ACTIVATED",IF(J5635&lt;&gt;"","?FAMILIAR",IF(F5635="NEW",IF(ISNA(VLOOKUP(E5635,#REF!,1,FALSE())),"?TYPE_IDENTIFIABLE","?REFERENTIAL"),"_")))))</f>
        <v> </v>
      </c>
      <c r="H5635" s="25" t="str">
        <f>IF(J5635&lt;&gt;1,"",IF(I5635="SBJ","CB","?"))</f>
        <v> </v>
      </c>
      <c r="I5635" s="26" t="str">
        <f>IF(OR(E5635="",E5635="!!!",F5635="NEW"),"",INDEX(B5634:B$2,-1+SUMPRODUCT(MAX(ROW(E5634:E$2)*(E5635=E5634:E$2)))))</f>
        <v> </v>
      </c>
      <c r="J5635" s="26" t="str">
        <f>IF(OR(E5635="",E5635="!!!",F5635="NEW"),"",COUNTBLANK(OFFSET(A$1,,,SUMPRODUCT(MAX(ROW(E$2:E5635)*(E5635=E$2:E5635)))))-COUNTBLANK(OFFSET(A$1,,,SUMPRODUCT(MAX(ROW(E$1:E5634)*(E2=E$1:E5634))))))</f>
        <v> </v>
      </c>
      <c r="K5635" s="26" t="str">
        <f>IF(OR(E5635="",E5635="!!!",F5635="NEW"),"",INDEX(J$1:J5634,SUMPRODUCT(MAX(ROW(E$1:E5634)*(E5635=E$1:E5634)))))</f>
        <v> </v>
      </c>
      <c r="L5635" s="27"/>
    </row>
    <row r="5636" spans="1:12">
      <c r="A5636" s="20" t="s">
        <v>1590</v>
      </c>
      <c r="E5636" s="22">
        <f>IF(D5636="?OLD","!!!","")</f>
        <v/>
      </c>
      <c r="F5636" s="23" t="str">
        <f>IF(OR(E5636="",E5636="!!!"),"",IF(NOT(ISNA(VLOOKUP(E5636,E$1:E5635,1,FALSE()))),"OLD",IF(AND(E5636&lt;&gt;"",E5636&lt;&gt;"!!!"),"NEW","")))</f>
        <v> </v>
      </c>
      <c r="G5636" s="24" t="str">
        <f>IF(OR(E5636="",E5636="!!!"),"",IF(OR(J5636=0,AND(J5636=1,K5636=1),AND(J5636=1,I5636="SBJ"),AND(J5636=1,I5636=0)),"?IN_FOCUS",IF(J5636&lt;=2,"?ACTIVATED",IF(J5636&lt;&gt;"","?FAMILIAR",IF(F5636="NEW",IF(ISNA(VLOOKUP(E5636,#REF!,1,FALSE())),"?TYPE_IDENTIFIABLE","?REFERENTIAL"),"_")))))</f>
        <v> </v>
      </c>
      <c r="H5636" s="25" t="str">
        <f>IF(J5636&lt;&gt;1,"",IF(I5636="SBJ","CB","?"))</f>
        <v> </v>
      </c>
      <c r="I5636" s="26" t="str">
        <f>IF(OR(E5636="",E5636="!!!",F5636="NEW"),"",INDEX(B5635:B$2,-1+SUMPRODUCT(MAX(ROW(E5635:E$2)*(E5636=E5635:E$2)))))</f>
        <v> </v>
      </c>
      <c r="J5636" s="26" t="str">
        <f>IF(OR(E5636="",E5636="!!!",F5636="NEW"),"",COUNTBLANK(OFFSET(A$1,,,SUMPRODUCT(MAX(ROW(E$2:E5636)*(E5636=E$2:E5636)))))-COUNTBLANK(OFFSET(A$1,,,SUMPRODUCT(MAX(ROW(E$1:E5635)*(E2=E$1:E5635))))))</f>
        <v> </v>
      </c>
      <c r="K5636" s="26" t="str">
        <f>IF(OR(E5636="",E5636="!!!",F5636="NEW"),"",INDEX(J$1:J5635,SUMPRODUCT(MAX(ROW(E$1:E5635)*(E5636=E$1:E5635)))))</f>
        <v> </v>
      </c>
      <c r="L5636" s="27"/>
    </row>
    <row r="5637" spans="1:12">
      <c r="A5637" s="20" t="s">
        <v>2239</v>
      </c>
      <c r="E5637" s="22">
        <f>IF(D5637="?OLD","!!!","")</f>
        <v/>
      </c>
      <c r="F5637" s="23" t="str">
        <f>IF(OR(E5637="",E5637="!!!"),"",IF(NOT(ISNA(VLOOKUP(E5637,E$1:E5636,1,FALSE()))),"OLD",IF(AND(E5637&lt;&gt;"",E5637&lt;&gt;"!!!"),"NEW","")))</f>
        <v> </v>
      </c>
      <c r="G5637" s="24" t="str">
        <f>IF(OR(E5637="",E5637="!!!"),"",IF(OR(J5637=0,AND(J5637=1,K5637=1),AND(J5637=1,I5637="SBJ"),AND(J5637=1,I5637=0)),"?IN_FOCUS",IF(J5637&lt;=2,"?ACTIVATED",IF(J5637&lt;&gt;"","?FAMILIAR",IF(F5637="NEW",IF(ISNA(VLOOKUP(E5637,#REF!,1,FALSE())),"?TYPE_IDENTIFIABLE","?REFERENTIAL"),"_")))))</f>
        <v> </v>
      </c>
      <c r="H5637" s="25" t="str">
        <f>IF(J5637&lt;&gt;1,"",IF(I5637="SBJ","CB","?"))</f>
        <v> </v>
      </c>
      <c r="I5637" s="26" t="str">
        <f>IF(OR(E5637="",E5637="!!!",F5637="NEW"),"",INDEX(B5636:B$2,-1+SUMPRODUCT(MAX(ROW(E5636:E$2)*(E5637=E5636:E$2)))))</f>
        <v> </v>
      </c>
      <c r="J5637" s="26" t="str">
        <f>IF(OR(E5637="",E5637="!!!",F5637="NEW"),"",COUNTBLANK(OFFSET(A$1,,,SUMPRODUCT(MAX(ROW(E$2:E5637)*(E5637=E$2:E5637)))))-COUNTBLANK(OFFSET(A$1,,,SUMPRODUCT(MAX(ROW(E$1:E5636)*(E2=E$1:E5636))))))</f>
        <v> </v>
      </c>
      <c r="K5637" s="26" t="str">
        <f>IF(OR(E5637="",E5637="!!!",F5637="NEW"),"",INDEX(J$1:J5636,SUMPRODUCT(MAX(ROW(E$1:E5636)*(E5637=E$1:E5636)))))</f>
        <v> </v>
      </c>
      <c r="L5637" s="27"/>
    </row>
    <row r="5638" spans="1:12">
      <c r="A5638" s="20" t="s">
        <v>53</v>
      </c>
      <c r="E5638" s="22">
        <f>IF(D5638="?OLD","!!!","")</f>
        <v/>
      </c>
      <c r="F5638" s="23" t="str">
        <f>IF(OR(E5638="",E5638="!!!"),"",IF(NOT(ISNA(VLOOKUP(E5638,E$1:E5637,1,FALSE()))),"OLD",IF(AND(E5638&lt;&gt;"",E5638&lt;&gt;"!!!"),"NEW","")))</f>
        <v> </v>
      </c>
      <c r="G5638" s="24" t="str">
        <f>IF(OR(E5638="",E5638="!!!"),"",IF(OR(J5638=0,AND(J5638=1,K5638=1),AND(J5638=1,I5638="SBJ"),AND(J5638=1,I5638=0)),"?IN_FOCUS",IF(J5638&lt;=2,"?ACTIVATED",IF(J5638&lt;&gt;"","?FAMILIAR",IF(F5638="NEW",IF(ISNA(VLOOKUP(E5638,#REF!,1,FALSE())),"?TYPE_IDENTIFIABLE","?REFERENTIAL"),"_")))))</f>
        <v> </v>
      </c>
      <c r="H5638" s="25" t="str">
        <f>IF(J5638&lt;&gt;1,"",IF(I5638="SBJ","CB","?"))</f>
        <v> </v>
      </c>
      <c r="I5638" s="26" t="str">
        <f>IF(OR(E5638="",E5638="!!!",F5638="NEW"),"",INDEX(B5637:B$2,-1+SUMPRODUCT(MAX(ROW(E5637:E$2)*(E5638=E5637:E$2)))))</f>
        <v> </v>
      </c>
      <c r="J5638" s="26" t="str">
        <f>IF(OR(E5638="",E5638="!!!",F5638="NEW"),"",COUNTBLANK(OFFSET(A$1,,,SUMPRODUCT(MAX(ROW(E$2:E5638)*(E5638=E$2:E5638)))))-COUNTBLANK(OFFSET(A$1,,,SUMPRODUCT(MAX(ROW(E$1:E5637)*(E2=E$1:E5637))))))</f>
        <v> </v>
      </c>
      <c r="K5638" s="26" t="str">
        <f>IF(OR(E5638="",E5638="!!!",F5638="NEW"),"",INDEX(J$1:J5637,SUMPRODUCT(MAX(ROW(E$1:E5637)*(E5638=E$1:E5637)))))</f>
        <v> </v>
      </c>
      <c r="L5638" s="27"/>
    </row>
    <row r="5639" spans="1:12">
      <c r="A5639" s="20" t="s">
        <v>1059</v>
      </c>
      <c r="E5639" s="22">
        <f>IF(D5639="?OLD","!!!","")</f>
        <v/>
      </c>
      <c r="F5639" s="23" t="str">
        <f>IF(OR(E5639="",E5639="!!!"),"",IF(NOT(ISNA(VLOOKUP(E5639,E$1:E5638,1,FALSE()))),"OLD",IF(AND(E5639&lt;&gt;"",E5639&lt;&gt;"!!!"),"NEW","")))</f>
        <v> </v>
      </c>
      <c r="G5639" s="24" t="str">
        <f>IF(OR(E5639="",E5639="!!!"),"",IF(OR(J5639=0,AND(J5639=1,K5639=1),AND(J5639=1,I5639="SBJ"),AND(J5639=1,I5639=0)),"?IN_FOCUS",IF(J5639&lt;=2,"?ACTIVATED",IF(J5639&lt;&gt;"","?FAMILIAR",IF(F5639="NEW",IF(ISNA(VLOOKUP(E5639,#REF!,1,FALSE())),"?TYPE_IDENTIFIABLE","?REFERENTIAL"),"_")))))</f>
        <v> </v>
      </c>
      <c r="H5639" s="25" t="str">
        <f>IF(J5639&lt;&gt;1,"",IF(I5639="SBJ","CB","?"))</f>
        <v> </v>
      </c>
      <c r="I5639" s="26" t="str">
        <f>IF(OR(E5639="",E5639="!!!",F5639="NEW"),"",INDEX(B5638:B$2,-1+SUMPRODUCT(MAX(ROW(E5638:E$2)*(E5639=E5638:E$2)))))</f>
        <v> </v>
      </c>
      <c r="J5639" s="26" t="str">
        <f>IF(OR(E5639="",E5639="!!!",F5639="NEW"),"",COUNTBLANK(OFFSET(A$1,,,SUMPRODUCT(MAX(ROW(E$2:E5639)*(E5639=E$2:E5639)))))-COUNTBLANK(OFFSET(A$1,,,SUMPRODUCT(MAX(ROW(E$1:E5638)*(E2=E$1:E5638))))))</f>
        <v> </v>
      </c>
      <c r="K5639" s="26" t="str">
        <f>IF(OR(E5639="",E5639="!!!",F5639="NEW"),"",INDEX(J$1:J5638,SUMPRODUCT(MAX(ROW(E$1:E5638)*(E5639=E$1:E5638)))))</f>
        <v> </v>
      </c>
      <c r="L5639" s="27"/>
    </row>
    <row r="5640" spans="1:12">
      <c r="A5640" s="20" t="s">
        <v>1028</v>
      </c>
      <c r="E5640" s="22">
        <f>IF(D5640="?OLD","!!!","")</f>
        <v/>
      </c>
      <c r="F5640" s="23" t="str">
        <f>IF(OR(E5640="",E5640="!!!"),"",IF(NOT(ISNA(VLOOKUP(E5640,E$1:E5639,1,FALSE()))),"OLD",IF(AND(E5640&lt;&gt;"",E5640&lt;&gt;"!!!"),"NEW","")))</f>
        <v> </v>
      </c>
      <c r="G5640" s="24" t="str">
        <f>IF(OR(E5640="",E5640="!!!"),"",IF(OR(J5640=0,AND(J5640=1,K5640=1),AND(J5640=1,I5640="SBJ"),AND(J5640=1,I5640=0)),"?IN_FOCUS",IF(J5640&lt;=2,"?ACTIVATED",IF(J5640&lt;&gt;"","?FAMILIAR",IF(F5640="NEW",IF(ISNA(VLOOKUP(E5640,#REF!,1,FALSE())),"?TYPE_IDENTIFIABLE","?REFERENTIAL"),"_")))))</f>
        <v> </v>
      </c>
      <c r="H5640" s="25" t="str">
        <f>IF(J5640&lt;&gt;1,"",IF(I5640="SBJ","CB","?"))</f>
        <v> </v>
      </c>
      <c r="I5640" s="26" t="str">
        <f>IF(OR(E5640="",E5640="!!!",F5640="NEW"),"",INDEX(B5639:B$2,-1+SUMPRODUCT(MAX(ROW(E5639:E$2)*(E5640=E5639:E$2)))))</f>
        <v> </v>
      </c>
      <c r="J5640" s="26" t="str">
        <f>IF(OR(E5640="",E5640="!!!",F5640="NEW"),"",COUNTBLANK(OFFSET(A$1,,,SUMPRODUCT(MAX(ROW(E$2:E5640)*(E5640=E$2:E5640)))))-COUNTBLANK(OFFSET(A$1,,,SUMPRODUCT(MAX(ROW(E$1:E5639)*(E2=E$1:E5639))))))</f>
        <v> </v>
      </c>
      <c r="K5640" s="26" t="str">
        <f>IF(OR(E5640="",E5640="!!!",F5640="NEW"),"",INDEX(J$1:J5639,SUMPRODUCT(MAX(ROW(E$1:E5639)*(E5640=E$1:E5639)))))</f>
        <v> </v>
      </c>
      <c r="L5640" s="27"/>
    </row>
    <row r="5641" spans="1:12">
      <c r="A5641" s="20" t="s">
        <v>1290</v>
      </c>
      <c r="B5641" s="21" t="s">
        <v>1021</v>
      </c>
      <c r="C5641" s="21" t="s">
        <v>1030</v>
      </c>
      <c r="E5641" s="22">
        <f>IF(D5641="?OLD","!!!","")</f>
        <v/>
      </c>
      <c r="F5641" s="23" t="str">
        <f>IF(OR(E5641="",E5641="!!!"),"",IF(NOT(ISNA(VLOOKUP(E5641,E$1:E5640,1,FALSE()))),"OLD",IF(AND(E5641&lt;&gt;"",E5641&lt;&gt;"!!!"),"NEW","")))</f>
        <v> </v>
      </c>
      <c r="G5641" s="24" t="str">
        <f>IF(OR(E5641="",E5641="!!!"),"",IF(OR(J5641=0,AND(J5641=1,K5641=1),AND(J5641=1,I5641="SBJ"),AND(J5641=1,I5641=0)),"?IN_FOCUS",IF(J5641&lt;=2,"?ACTIVATED",IF(J5641&lt;&gt;"","?FAMILIAR",IF(F5641="NEW",IF(ISNA(VLOOKUP(E5641,#REF!,1,FALSE())),"?TYPE_IDENTIFIABLE","?REFERENTIAL"),"_")))))</f>
        <v> </v>
      </c>
      <c r="H5641" s="25" t="str">
        <f>IF(J5641&lt;&gt;1,"",IF(I5641="SBJ","CB","?"))</f>
        <v> </v>
      </c>
      <c r="I5641" s="26" t="str">
        <f>IF(OR(E5641="",E5641="!!!",F5641="NEW"),"",INDEX(B5640:B$2,-1+SUMPRODUCT(MAX(ROW(E5640:E$2)*(E5641=E5640:E$2)))))</f>
        <v> </v>
      </c>
      <c r="J5641" s="26" t="str">
        <f>IF(OR(E5641="",E5641="!!!",F5641="NEW"),"",COUNTBLANK(OFFSET(A$1,,,SUMPRODUCT(MAX(ROW(E$2:E5641)*(E5641=E$2:E5641)))))-COUNTBLANK(OFFSET(A$1,,,SUMPRODUCT(MAX(ROW(E$1:E5640)*(E2=E$1:E5640))))))</f>
        <v> </v>
      </c>
      <c r="K5641" s="26" t="str">
        <f>IF(OR(E5641="",E5641="!!!",F5641="NEW"),"",INDEX(J$1:J5640,SUMPRODUCT(MAX(ROW(E$1:E5640)*(E5641=E$1:E5640)))))</f>
        <v> </v>
      </c>
      <c r="L5641" s="27"/>
    </row>
    <row r="5642" spans="1:12">
      <c r="A5642" s="20" t="s">
        <v>1076</v>
      </c>
      <c r="B5642" s="21" t="s">
        <v>1088</v>
      </c>
      <c r="E5642" s="22">
        <f>IF(D5642="?OLD","!!!","")</f>
        <v/>
      </c>
      <c r="F5642" s="23" t="str">
        <f>IF(OR(E5642="",E5642="!!!"),"",IF(NOT(ISNA(VLOOKUP(E5642,E$1:E5641,1,FALSE()))),"OLD",IF(AND(E5642&lt;&gt;"",E5642&lt;&gt;"!!!"),"NEW","")))</f>
        <v> </v>
      </c>
      <c r="G5642" s="24" t="str">
        <f>IF(OR(E5642="",E5642="!!!"),"",IF(OR(J5642=0,AND(J5642=1,K5642=1),AND(J5642=1,I5642="SBJ"),AND(J5642=1,I5642=0)),"?IN_FOCUS",IF(J5642&lt;=2,"?ACTIVATED",IF(J5642&lt;&gt;"","?FAMILIAR",IF(F5642="NEW",IF(ISNA(VLOOKUP(E5642,#REF!,1,FALSE())),"?TYPE_IDENTIFIABLE","?REFERENTIAL"),"_")))))</f>
        <v> </v>
      </c>
      <c r="H5642" s="25" t="str">
        <f>IF(J5642&lt;&gt;1,"",IF(I5642="SBJ","CB","?"))</f>
        <v> </v>
      </c>
      <c r="I5642" s="26" t="str">
        <f>IF(OR(E5642="",E5642="!!!",F5642="NEW"),"",INDEX(B5641:B$2,-1+SUMPRODUCT(MAX(ROW(E5641:E$2)*(E5642=E5641:E$2)))))</f>
        <v> </v>
      </c>
      <c r="J5642" s="26" t="str">
        <f>IF(OR(E5642="",E5642="!!!",F5642="NEW"),"",COUNTBLANK(OFFSET(A$1,,,SUMPRODUCT(MAX(ROW(E$2:E5642)*(E5642=E$2:E5642)))))-COUNTBLANK(OFFSET(A$1,,,SUMPRODUCT(MAX(ROW(E$1:E5641)*(E2=E$1:E5641))))))</f>
        <v> </v>
      </c>
      <c r="K5642" s="26" t="str">
        <f>IF(OR(E5642="",E5642="!!!",F5642="NEW"),"",INDEX(J$1:J5641,SUMPRODUCT(MAX(ROW(E$1:E5641)*(E5642=E$1:E5641)))))</f>
        <v> </v>
      </c>
      <c r="L5642" s="27"/>
    </row>
    <row r="5643" spans="1:12">
      <c r="A5643" s="20" t="s">
        <v>1077</v>
      </c>
      <c r="E5643" s="22">
        <f>IF(D5643="?OLD","!!!","")</f>
        <v/>
      </c>
      <c r="F5643" s="23" t="str">
        <f>IF(OR(E5643="",E5643="!!!"),"",IF(NOT(ISNA(VLOOKUP(E5643,E$1:E5642,1,FALSE()))),"OLD",IF(AND(E5643&lt;&gt;"",E5643&lt;&gt;"!!!"),"NEW","")))</f>
        <v> </v>
      </c>
      <c r="G5643" s="24" t="str">
        <f>IF(OR(E5643="",E5643="!!!"),"",IF(OR(J5643=0,AND(J5643=1,K5643=1),AND(J5643=1,I5643="SBJ"),AND(J5643=1,I5643=0)),"?IN_FOCUS",IF(J5643&lt;=2,"?ACTIVATED",IF(J5643&lt;&gt;"","?FAMILIAR",IF(F5643="NEW",IF(ISNA(VLOOKUP(E5643,#REF!,1,FALSE())),"?TYPE_IDENTIFIABLE","?REFERENTIAL"),"_")))))</f>
        <v> </v>
      </c>
      <c r="H5643" s="25" t="str">
        <f>IF(J5643&lt;&gt;1,"",IF(I5643="SBJ","CB","?"))</f>
        <v> </v>
      </c>
      <c r="I5643" s="26" t="str">
        <f>IF(OR(E5643="",E5643="!!!",F5643="NEW"),"",INDEX(B5642:B$2,-1+SUMPRODUCT(MAX(ROW(E5642:E$2)*(E5643=E5642:E$2)))))</f>
        <v> </v>
      </c>
      <c r="J5643" s="26" t="str">
        <f>IF(OR(E5643="",E5643="!!!",F5643="NEW"),"",COUNTBLANK(OFFSET(A$1,,,SUMPRODUCT(MAX(ROW(E$2:E5643)*(E5643=E$2:E5643)))))-COUNTBLANK(OFFSET(A$1,,,SUMPRODUCT(MAX(ROW(E$1:E5642)*(E2=E$1:E5642))))))</f>
        <v> </v>
      </c>
      <c r="K5643" s="26" t="str">
        <f>IF(OR(E5643="",E5643="!!!",F5643="NEW"),"",INDEX(J$1:J5642,SUMPRODUCT(MAX(ROW(E$1:E5642)*(E5643=E$1:E5642)))))</f>
        <v> </v>
      </c>
      <c r="L5643" s="27"/>
    </row>
    <row r="5644" spans="1:12">
      <c r="A5644" s="20" t="s">
        <v>1121</v>
      </c>
      <c r="B5644" s="21" t="s">
        <v>1175</v>
      </c>
      <c r="C5644" s="21" t="s">
        <v>1010</v>
      </c>
      <c r="D5644" s="21" t="s">
        <v>1011</v>
      </c>
      <c r="E5644" s="22">
        <f>IF(D5644="?OLD","!!!","")</f>
        <v/>
      </c>
      <c r="F5644" s="23" t="str">
        <f>IF(OR(E5644="",E5644="!!!"),"",IF(NOT(ISNA(VLOOKUP(E5644,E$1:E5643,1,FALSE()))),"OLD",IF(AND(E5644&lt;&gt;"",E5644&lt;&gt;"!!!"),"NEW","")))</f>
        <v> </v>
      </c>
      <c r="G5644" s="24" t="str">
        <f>IF(OR(E5644="",E5644="!!!"),"",IF(OR(J5644=0,AND(J5644=1,K5644=1),AND(J5644=1,I5644="SBJ"),AND(J5644=1,I5644=0)),"?IN_FOCUS",IF(J5644&lt;=2,"?ACTIVATED",IF(J5644&lt;&gt;"","?FAMILIAR",IF(F5644="NEW",IF(ISNA(VLOOKUP(E5644,#REF!,1,FALSE())),"?TYPE_IDENTIFIABLE","?REFERENTIAL"),"_")))))</f>
        <v> </v>
      </c>
      <c r="H5644" s="25" t="str">
        <f>IF(J5644&lt;&gt;1,"",IF(I5644="SBJ","CB","?"))</f>
        <v> </v>
      </c>
      <c r="I5644" s="26" t="str">
        <f>IF(OR(E5644="",E5644="!!!",F5644="NEW"),"",INDEX(B5643:B$2,-1+SUMPRODUCT(MAX(ROW(E5643:E$2)*(E5644=E5643:E$2)))))</f>
        <v> </v>
      </c>
      <c r="J5644" s="26" t="str">
        <f>IF(OR(E5644="",E5644="!!!",F5644="NEW"),"",COUNTBLANK(OFFSET(A$1,,,SUMPRODUCT(MAX(ROW(E$2:E5644)*(E5644=E$2:E5644)))))-COUNTBLANK(OFFSET(A$1,,,SUMPRODUCT(MAX(ROW(E$1:E5643)*(E2=E$1:E5643))))))</f>
        <v> </v>
      </c>
      <c r="K5644" s="26" t="str">
        <f>IF(OR(E5644="",E5644="!!!",F5644="NEW"),"",INDEX(J$1:J5643,SUMPRODUCT(MAX(ROW(E$1:E5643)*(E5644=E$1:E5643)))))</f>
        <v> </v>
      </c>
      <c r="L5644" s="27"/>
    </row>
    <row r="5645" spans="1:12">
      <c r="A5645" s="20" t="s">
        <v>1045</v>
      </c>
      <c r="E5645" s="22">
        <f>IF(D5645="?OLD","!!!","")</f>
        <v/>
      </c>
      <c r="F5645" s="23" t="str">
        <f>IF(OR(E5645="",E5645="!!!"),"",IF(NOT(ISNA(VLOOKUP(E5645,E$1:E5644,1,FALSE()))),"OLD",IF(AND(E5645&lt;&gt;"",E5645&lt;&gt;"!!!"),"NEW","")))</f>
        <v> </v>
      </c>
      <c r="G5645" s="24" t="str">
        <f>IF(OR(E5645="",E5645="!!!"),"",IF(OR(J5645=0,AND(J5645=1,K5645=1),AND(J5645=1,I5645="SBJ"),AND(J5645=1,I5645=0)),"?IN_FOCUS",IF(J5645&lt;=2,"?ACTIVATED",IF(J5645&lt;&gt;"","?FAMILIAR",IF(F5645="NEW",IF(ISNA(VLOOKUP(E5645,#REF!,1,FALSE())),"?TYPE_IDENTIFIABLE","?REFERENTIAL"),"_")))))</f>
        <v> </v>
      </c>
      <c r="H5645" s="25" t="str">
        <f>IF(J5645&lt;&gt;1,"",IF(I5645="SBJ","CB","?"))</f>
        <v> </v>
      </c>
      <c r="I5645" s="26" t="str">
        <f>IF(OR(E5645="",E5645="!!!",F5645="NEW"),"",INDEX(B5644:B$2,-1+SUMPRODUCT(MAX(ROW(E5644:E$2)*(E5645=E5644:E$2)))))</f>
        <v> </v>
      </c>
      <c r="J5645" s="26" t="str">
        <f>IF(OR(E5645="",E5645="!!!",F5645="NEW"),"",COUNTBLANK(OFFSET(A$1,,,SUMPRODUCT(MAX(ROW(E$2:E5645)*(E5645=E$2:E5645)))))-COUNTBLANK(OFFSET(A$1,,,SUMPRODUCT(MAX(ROW(E$1:E5644)*(E2=E$1:E5644))))))</f>
        <v> </v>
      </c>
      <c r="K5645" s="26" t="str">
        <f>IF(OR(E5645="",E5645="!!!",F5645="NEW"),"",INDEX(J$1:J5644,SUMPRODUCT(MAX(ROW(E$1:E5644)*(E5645=E$1:E5644)))))</f>
        <v> </v>
      </c>
      <c r="L5645" s="27"/>
    </row>
    <row r="5646" spans="1:12">
      <c r="A5646" s="20" t="s">
        <v>1726</v>
      </c>
      <c r="E5646" s="22">
        <f>IF(D5646="?OLD","!!!","")</f>
        <v/>
      </c>
      <c r="F5646" s="23" t="str">
        <f>IF(OR(E5646="",E5646="!!!"),"",IF(NOT(ISNA(VLOOKUP(E5646,E$1:E5645,1,FALSE()))),"OLD",IF(AND(E5646&lt;&gt;"",E5646&lt;&gt;"!!!"),"NEW","")))</f>
        <v> </v>
      </c>
      <c r="G5646" s="24" t="str">
        <f>IF(OR(E5646="",E5646="!!!"),"",IF(OR(J5646=0,AND(J5646=1,K5646=1),AND(J5646=1,I5646="SBJ"),AND(J5646=1,I5646=0)),"?IN_FOCUS",IF(J5646&lt;=2,"?ACTIVATED",IF(J5646&lt;&gt;"","?FAMILIAR",IF(F5646="NEW",IF(ISNA(VLOOKUP(E5646,#REF!,1,FALSE())),"?TYPE_IDENTIFIABLE","?REFERENTIAL"),"_")))))</f>
        <v> </v>
      </c>
      <c r="H5646" s="25" t="str">
        <f>IF(J5646&lt;&gt;1,"",IF(I5646="SBJ","CB","?"))</f>
        <v> </v>
      </c>
      <c r="I5646" s="26" t="str">
        <f>IF(OR(E5646="",E5646="!!!",F5646="NEW"),"",INDEX(B5645:B$2,-1+SUMPRODUCT(MAX(ROW(E5645:E$2)*(E5646=E5645:E$2)))))</f>
        <v> </v>
      </c>
      <c r="J5646" s="26" t="str">
        <f>IF(OR(E5646="",E5646="!!!",F5646="NEW"),"",COUNTBLANK(OFFSET(A$1,,,SUMPRODUCT(MAX(ROW(E$2:E5646)*(E5646=E$2:E5646)))))-COUNTBLANK(OFFSET(A$1,,,SUMPRODUCT(MAX(ROW(E$1:E5645)*(E2=E$1:E5645))))))</f>
        <v> </v>
      </c>
      <c r="K5646" s="26" t="str">
        <f>IF(OR(E5646="",E5646="!!!",F5646="NEW"),"",INDEX(J$1:J5645,SUMPRODUCT(MAX(ROW(E$1:E5645)*(E5646=E$1:E5645)))))</f>
        <v> </v>
      </c>
      <c r="L5646" s="27"/>
    </row>
    <row r="5647" spans="1:12">
      <c r="A5647" s="20" t="s">
        <v>263</v>
      </c>
      <c r="E5647" s="22">
        <f>IF(D5647="?OLD","!!!","")</f>
        <v/>
      </c>
      <c r="F5647" s="23" t="str">
        <f>IF(OR(E5647="",E5647="!!!"),"",IF(NOT(ISNA(VLOOKUP(E5647,E$1:E5646,1,FALSE()))),"OLD",IF(AND(E5647&lt;&gt;"",E5647&lt;&gt;"!!!"),"NEW","")))</f>
        <v> </v>
      </c>
      <c r="G5647" s="24" t="str">
        <f>IF(OR(E5647="",E5647="!!!"),"",IF(OR(J5647=0,AND(J5647=1,K5647=1),AND(J5647=1,I5647="SBJ"),AND(J5647=1,I5647=0)),"?IN_FOCUS",IF(J5647&lt;=2,"?ACTIVATED",IF(J5647&lt;&gt;"","?FAMILIAR",IF(F5647="NEW",IF(ISNA(VLOOKUP(E5647,#REF!,1,FALSE())),"?TYPE_IDENTIFIABLE","?REFERENTIAL"),"_")))))</f>
        <v> </v>
      </c>
      <c r="H5647" s="25" t="str">
        <f>IF(J5647&lt;&gt;1,"",IF(I5647="SBJ","CB","?"))</f>
        <v> </v>
      </c>
      <c r="I5647" s="26" t="str">
        <f>IF(OR(E5647="",E5647="!!!",F5647="NEW"),"",INDEX(B5646:B$2,-1+SUMPRODUCT(MAX(ROW(E5646:E$2)*(E5647=E5646:E$2)))))</f>
        <v> </v>
      </c>
      <c r="J5647" s="26" t="str">
        <f>IF(OR(E5647="",E5647="!!!",F5647="NEW"),"",COUNTBLANK(OFFSET(A$1,,,SUMPRODUCT(MAX(ROW(E$2:E5647)*(E5647=E$2:E5647)))))-COUNTBLANK(OFFSET(A$1,,,SUMPRODUCT(MAX(ROW(E$1:E5646)*(E2=E$1:E5646))))))</f>
        <v> </v>
      </c>
      <c r="K5647" s="26" t="str">
        <f>IF(OR(E5647="",E5647="!!!",F5647="NEW"),"",INDEX(J$1:J5646,SUMPRODUCT(MAX(ROW(E$1:E5646)*(E5647=E$1:E5646)))))</f>
        <v> </v>
      </c>
      <c r="L5647" s="27"/>
    </row>
    <row r="5648" spans="1:12">
      <c r="A5648" s="20" t="s">
        <v>12</v>
      </c>
      <c r="E5648" s="22">
        <f>IF(D5648="?OLD","!!!","")</f>
        <v/>
      </c>
      <c r="F5648" s="23" t="str">
        <f>IF(OR(E5648="",E5648="!!!"),"",IF(NOT(ISNA(VLOOKUP(E5648,E$1:E5647,1,FALSE()))),"OLD",IF(AND(E5648&lt;&gt;"",E5648&lt;&gt;"!!!"),"NEW","")))</f>
        <v> </v>
      </c>
      <c r="G5648" s="24" t="str">
        <f>IF(OR(E5648="",E5648="!!!"),"",IF(OR(J5648=0,AND(J5648=1,K5648=1),AND(J5648=1,I5648="SBJ"),AND(J5648=1,I5648=0)),"?IN_FOCUS",IF(J5648&lt;=2,"?ACTIVATED",IF(J5648&lt;&gt;"","?FAMILIAR",IF(F5648="NEW",IF(ISNA(VLOOKUP(E5648,#REF!,1,FALSE())),"?TYPE_IDENTIFIABLE","?REFERENTIAL"),"_")))))</f>
        <v> </v>
      </c>
      <c r="H5648" s="25" t="str">
        <f>IF(J5648&lt;&gt;1,"",IF(I5648="SBJ","CB","?"))</f>
        <v> </v>
      </c>
      <c r="I5648" s="26" t="str">
        <f>IF(OR(E5648="",E5648="!!!",F5648="NEW"),"",INDEX(B5647:B$2,-1+SUMPRODUCT(MAX(ROW(E5647:E$2)*(E5648=E5647:E$2)))))</f>
        <v> </v>
      </c>
      <c r="J5648" s="26" t="str">
        <f>IF(OR(E5648="",E5648="!!!",F5648="NEW"),"",COUNTBLANK(OFFSET(A$1,,,SUMPRODUCT(MAX(ROW(E$2:E5648)*(E5648=E$2:E5648)))))-COUNTBLANK(OFFSET(A$1,,,SUMPRODUCT(MAX(ROW(E$1:E5647)*(E2=E$1:E5647))))))</f>
        <v> </v>
      </c>
      <c r="K5648" s="26" t="str">
        <f>IF(OR(E5648="",E5648="!!!",F5648="NEW"),"",INDEX(J$1:J5647,SUMPRODUCT(MAX(ROW(E$1:E5647)*(E5648=E$1:E5647)))))</f>
        <v> </v>
      </c>
      <c r="L5648" s="27"/>
    </row>
    <row r="5649" spans="1:12">
      <c r="A5649" s="20" t="s">
        <v>1121</v>
      </c>
      <c r="B5649" s="21" t="s">
        <v>1175</v>
      </c>
      <c r="C5649" s="21" t="s">
        <v>1010</v>
      </c>
      <c r="D5649" s="21" t="s">
        <v>1011</v>
      </c>
      <c r="E5649" s="22">
        <f>IF(D5649="?OLD","!!!","")</f>
        <v/>
      </c>
      <c r="F5649" s="23" t="str">
        <f>IF(OR(E5649="",E5649="!!!"),"",IF(NOT(ISNA(VLOOKUP(E5649,E$1:E5648,1,FALSE()))),"OLD",IF(AND(E5649&lt;&gt;"",E5649&lt;&gt;"!!!"),"NEW","")))</f>
        <v> </v>
      </c>
      <c r="G5649" s="24" t="str">
        <f>IF(OR(E5649="",E5649="!!!"),"",IF(OR(J5649=0,AND(J5649=1,K5649=1),AND(J5649=1,I5649="SBJ"),AND(J5649=1,I5649=0)),"?IN_FOCUS",IF(J5649&lt;=2,"?ACTIVATED",IF(J5649&lt;&gt;"","?FAMILIAR",IF(F5649="NEW",IF(ISNA(VLOOKUP(E5649,#REF!,1,FALSE())),"?TYPE_IDENTIFIABLE","?REFERENTIAL"),"_")))))</f>
        <v> </v>
      </c>
      <c r="H5649" s="25" t="str">
        <f>IF(J5649&lt;&gt;1,"",IF(I5649="SBJ","CB","?"))</f>
        <v> </v>
      </c>
      <c r="I5649" s="26" t="str">
        <f>IF(OR(E5649="",E5649="!!!",F5649="NEW"),"",INDEX(B5648:B$2,-1+SUMPRODUCT(MAX(ROW(E5648:E$2)*(E5649=E5648:E$2)))))</f>
        <v> </v>
      </c>
      <c r="J5649" s="26" t="str">
        <f>IF(OR(E5649="",E5649="!!!",F5649="NEW"),"",COUNTBLANK(OFFSET(A$1,,,SUMPRODUCT(MAX(ROW(E$2:E5649)*(E5649=E$2:E5649)))))-COUNTBLANK(OFFSET(A$1,,,SUMPRODUCT(MAX(ROW(E$1:E5648)*(E2=E$1:E5648))))))</f>
        <v> </v>
      </c>
      <c r="K5649" s="26" t="str">
        <f>IF(OR(E5649="",E5649="!!!",F5649="NEW"),"",INDEX(J$1:J5648,SUMPRODUCT(MAX(ROW(E$1:E5648)*(E5649=E$1:E5648)))))</f>
        <v> </v>
      </c>
      <c r="L5649" s="27"/>
    </row>
    <row r="5650" spans="1:12">
      <c r="A5650" s="20" t="s">
        <v>1173</v>
      </c>
      <c r="E5650" s="22">
        <f>IF(D5650="?OLD","!!!","")</f>
        <v/>
      </c>
      <c r="F5650" s="23" t="str">
        <f>IF(OR(E5650="",E5650="!!!"),"",IF(NOT(ISNA(VLOOKUP(E5650,E$1:E5649,1,FALSE()))),"OLD",IF(AND(E5650&lt;&gt;"",E5650&lt;&gt;"!!!"),"NEW","")))</f>
        <v> </v>
      </c>
      <c r="G5650" s="24" t="str">
        <f>IF(OR(E5650="",E5650="!!!"),"",IF(OR(J5650=0,AND(J5650=1,K5650=1),AND(J5650=1,I5650="SBJ"),AND(J5650=1,I5650=0)),"?IN_FOCUS",IF(J5650&lt;=2,"?ACTIVATED",IF(J5650&lt;&gt;"","?FAMILIAR",IF(F5650="NEW",IF(ISNA(VLOOKUP(E5650,#REF!,1,FALSE())),"?TYPE_IDENTIFIABLE","?REFERENTIAL"),"_")))))</f>
        <v> </v>
      </c>
      <c r="H5650" s="25" t="str">
        <f>IF(J5650&lt;&gt;1,"",IF(I5650="SBJ","CB","?"))</f>
        <v> </v>
      </c>
      <c r="I5650" s="26" t="str">
        <f>IF(OR(E5650="",E5650="!!!",F5650="NEW"),"",INDEX(B5649:B$2,-1+SUMPRODUCT(MAX(ROW(E5649:E$2)*(E5650=E5649:E$2)))))</f>
        <v> </v>
      </c>
      <c r="J5650" s="26" t="str">
        <f>IF(OR(E5650="",E5650="!!!",F5650="NEW"),"",COUNTBLANK(OFFSET(A$1,,,SUMPRODUCT(MAX(ROW(E$2:E5650)*(E5650=E$2:E5650)))))-COUNTBLANK(OFFSET(A$1,,,SUMPRODUCT(MAX(ROW(E$1:E5649)*(E2=E$1:E5649))))))</f>
        <v> </v>
      </c>
      <c r="K5650" s="26" t="str">
        <f>IF(OR(E5650="",E5650="!!!",F5650="NEW"),"",INDEX(J$1:J5649,SUMPRODUCT(MAX(ROW(E$1:E5649)*(E5650=E$1:E5649)))))</f>
        <v> </v>
      </c>
      <c r="L5650" s="27"/>
    </row>
    <row r="5651" spans="1:12">
      <c r="A5651" s="20" t="s">
        <v>1107</v>
      </c>
      <c r="E5651" s="22">
        <f>IF(D5651="?OLD","!!!","")</f>
        <v/>
      </c>
      <c r="F5651" s="23" t="str">
        <f>IF(OR(E5651="",E5651="!!!"),"",IF(NOT(ISNA(VLOOKUP(E5651,E$1:E5650,1,FALSE()))),"OLD",IF(AND(E5651&lt;&gt;"",E5651&lt;&gt;"!!!"),"NEW","")))</f>
        <v> </v>
      </c>
      <c r="G5651" s="24" t="str">
        <f>IF(OR(E5651="",E5651="!!!"),"",IF(OR(J5651=0,AND(J5651=1,K5651=1),AND(J5651=1,I5651="SBJ"),AND(J5651=1,I5651=0)),"?IN_FOCUS",IF(J5651&lt;=2,"?ACTIVATED",IF(J5651&lt;&gt;"","?FAMILIAR",IF(F5651="NEW",IF(ISNA(VLOOKUP(E5651,#REF!,1,FALSE())),"?TYPE_IDENTIFIABLE","?REFERENTIAL"),"_")))))</f>
        <v> </v>
      </c>
      <c r="H5651" s="25" t="str">
        <f>IF(J5651&lt;&gt;1,"",IF(I5651="SBJ","CB","?"))</f>
        <v> </v>
      </c>
      <c r="I5651" s="26" t="str">
        <f>IF(OR(E5651="",E5651="!!!",F5651="NEW"),"",INDEX(B5650:B$2,-1+SUMPRODUCT(MAX(ROW(E5650:E$2)*(E5651=E5650:E$2)))))</f>
        <v> </v>
      </c>
      <c r="J5651" s="26" t="str">
        <f>IF(OR(E5651="",E5651="!!!",F5651="NEW"),"",COUNTBLANK(OFFSET(A$1,,,SUMPRODUCT(MAX(ROW(E$2:E5651)*(E5651=E$2:E5651)))))-COUNTBLANK(OFFSET(A$1,,,SUMPRODUCT(MAX(ROW(E$1:E5650)*(E2=E$1:E5650))))))</f>
        <v> </v>
      </c>
      <c r="K5651" s="26" t="str">
        <f>IF(OR(E5651="",E5651="!!!",F5651="NEW"),"",INDEX(J$1:J5650,SUMPRODUCT(MAX(ROW(E$1:E5650)*(E5651=E$1:E5650)))))</f>
        <v> </v>
      </c>
      <c r="L5651" s="27"/>
    </row>
    <row r="5652" spans="1:12">
      <c r="A5652" s="20" t="s">
        <v>1025</v>
      </c>
      <c r="E5652" s="22">
        <f>IF(D5652="?OLD","!!!","")</f>
        <v/>
      </c>
      <c r="F5652" s="23" t="str">
        <f>IF(OR(E5652="",E5652="!!!"),"",IF(NOT(ISNA(VLOOKUP(E5652,E$1:E5651,1,FALSE()))),"OLD",IF(AND(E5652&lt;&gt;"",E5652&lt;&gt;"!!!"),"NEW","")))</f>
        <v> </v>
      </c>
      <c r="G5652" s="24" t="str">
        <f>IF(OR(E5652="",E5652="!!!"),"",IF(OR(J5652=0,AND(J5652=1,K5652=1),AND(J5652=1,I5652="SBJ"),AND(J5652=1,I5652=0)),"?IN_FOCUS",IF(J5652&lt;=2,"?ACTIVATED",IF(J5652&lt;&gt;"","?FAMILIAR",IF(F5652="NEW",IF(ISNA(VLOOKUP(E5652,#REF!,1,FALSE())),"?TYPE_IDENTIFIABLE","?REFERENTIAL"),"_")))))</f>
        <v> </v>
      </c>
      <c r="H5652" s="25" t="str">
        <f>IF(J5652&lt;&gt;1,"",IF(I5652="SBJ","CB","?"))</f>
        <v> </v>
      </c>
      <c r="I5652" s="26" t="str">
        <f>IF(OR(E5652="",E5652="!!!",F5652="NEW"),"",INDEX(B5651:B$2,-1+SUMPRODUCT(MAX(ROW(E5651:E$2)*(E5652=E5651:E$2)))))</f>
        <v> </v>
      </c>
      <c r="J5652" s="26" t="str">
        <f>IF(OR(E5652="",E5652="!!!",F5652="NEW"),"",COUNTBLANK(OFFSET(A$1,,,SUMPRODUCT(MAX(ROW(E$2:E5652)*(E5652=E$2:E5652)))))-COUNTBLANK(OFFSET(A$1,,,SUMPRODUCT(MAX(ROW(E$1:E5651)*(E2=E$1:E5651))))))</f>
        <v> </v>
      </c>
      <c r="K5652" s="26" t="str">
        <f>IF(OR(E5652="",E5652="!!!",F5652="NEW"),"",INDEX(J$1:J5651,SUMPRODUCT(MAX(ROW(E$1:E5651)*(E5652=E$1:E5651)))))</f>
        <v> </v>
      </c>
      <c r="L5652" s="27"/>
    </row>
    <row r="5653" spans="1:12">
      <c r="A5653" s="20" t="s">
        <v>2253</v>
      </c>
      <c r="E5653" s="22">
        <f>IF(D5653="?OLD","!!!","")</f>
        <v/>
      </c>
      <c r="F5653" s="23" t="str">
        <f>IF(OR(E5653="",E5653="!!!"),"",IF(NOT(ISNA(VLOOKUP(E5653,E$1:E5652,1,FALSE()))),"OLD",IF(AND(E5653&lt;&gt;"",E5653&lt;&gt;"!!!"),"NEW","")))</f>
        <v> </v>
      </c>
      <c r="G5653" s="24" t="str">
        <f>IF(OR(E5653="",E5653="!!!"),"",IF(OR(J5653=0,AND(J5653=1,K5653=1),AND(J5653=1,I5653="SBJ"),AND(J5653=1,I5653=0)),"?IN_FOCUS",IF(J5653&lt;=2,"?ACTIVATED",IF(J5653&lt;&gt;"","?FAMILIAR",IF(F5653="NEW",IF(ISNA(VLOOKUP(E5653,#REF!,1,FALSE())),"?TYPE_IDENTIFIABLE","?REFERENTIAL"),"_")))))</f>
        <v> </v>
      </c>
      <c r="H5653" s="25" t="str">
        <f>IF(J5653&lt;&gt;1,"",IF(I5653="SBJ","CB","?"))</f>
        <v> </v>
      </c>
      <c r="I5653" s="26" t="str">
        <f>IF(OR(E5653="",E5653="!!!",F5653="NEW"),"",INDEX(B5652:B$2,-1+SUMPRODUCT(MAX(ROW(E5652:E$2)*(E5653=E5652:E$2)))))</f>
        <v> </v>
      </c>
      <c r="J5653" s="26" t="str">
        <f>IF(OR(E5653="",E5653="!!!",F5653="NEW"),"",COUNTBLANK(OFFSET(A$1,,,SUMPRODUCT(MAX(ROW(E$2:E5653)*(E5653=E$2:E5653)))))-COUNTBLANK(OFFSET(A$1,,,SUMPRODUCT(MAX(ROW(E$1:E5652)*(E2=E$1:E5652))))))</f>
        <v> </v>
      </c>
      <c r="K5653" s="26" t="str">
        <f>IF(OR(E5653="",E5653="!!!",F5653="NEW"),"",INDEX(J$1:J5652,SUMPRODUCT(MAX(ROW(E$1:E5652)*(E5653=E$1:E5652)))))</f>
        <v> </v>
      </c>
      <c r="L5653" s="27"/>
    </row>
    <row r="5654" spans="1:12">
      <c r="A5654" s="20" t="s">
        <v>1022</v>
      </c>
      <c r="E5654" s="22">
        <f>IF(D5654="?OLD","!!!","")</f>
        <v/>
      </c>
      <c r="F5654" s="23" t="str">
        <f>IF(OR(E5654="",E5654="!!!"),"",IF(NOT(ISNA(VLOOKUP(E5654,E$1:E5653,1,FALSE()))),"OLD",IF(AND(E5654&lt;&gt;"",E5654&lt;&gt;"!!!"),"NEW","")))</f>
        <v> </v>
      </c>
      <c r="G5654" s="24" t="str">
        <f>IF(OR(E5654="",E5654="!!!"),"",IF(OR(J5654=0,AND(J5654=1,K5654=1),AND(J5654=1,I5654="SBJ"),AND(J5654=1,I5654=0)),"?IN_FOCUS",IF(J5654&lt;=2,"?ACTIVATED",IF(J5654&lt;&gt;"","?FAMILIAR",IF(F5654="NEW",IF(ISNA(VLOOKUP(E5654,#REF!,1,FALSE())),"?TYPE_IDENTIFIABLE","?REFERENTIAL"),"_")))))</f>
        <v> </v>
      </c>
      <c r="H5654" s="25" t="str">
        <f>IF(J5654&lt;&gt;1,"",IF(I5654="SBJ","CB","?"))</f>
        <v> </v>
      </c>
      <c r="I5654" s="26" t="str">
        <f>IF(OR(E5654="",E5654="!!!",F5654="NEW"),"",INDEX(B5653:B$2,-1+SUMPRODUCT(MAX(ROW(E5653:E$2)*(E5654=E5653:E$2)))))</f>
        <v> </v>
      </c>
      <c r="J5654" s="26" t="str">
        <f>IF(OR(E5654="",E5654="!!!",F5654="NEW"),"",COUNTBLANK(OFFSET(A$1,,,SUMPRODUCT(MAX(ROW(E$2:E5654)*(E5654=E$2:E5654)))))-COUNTBLANK(OFFSET(A$1,,,SUMPRODUCT(MAX(ROW(E$1:E5653)*(E2=E$1:E5653))))))</f>
        <v> </v>
      </c>
      <c r="K5654" s="26" t="str">
        <f>IF(OR(E5654="",E5654="!!!",F5654="NEW"),"",INDEX(J$1:J5653,SUMPRODUCT(MAX(ROW(E$1:E5653)*(E5654=E$1:E5653)))))</f>
        <v> </v>
      </c>
      <c r="L5654" s="27"/>
    </row>
    <row r="5655" spans="1:12">
      <c r="A5655" s="20"/>
    </row>
    <row r="5656" spans="1:12">
      <c r="A5656" s="20" t="s">
        <v>2254</v>
      </c>
    </row>
    <row r="5657" spans="1:12">
      <c r="A5657" s="20" t="s">
        <v>1266</v>
      </c>
      <c r="B5657" s="21" t="s">
        <v>1009</v>
      </c>
      <c r="C5657" s="21" t="s">
        <v>1010</v>
      </c>
      <c r="D5657" s="21" t="s">
        <v>1011</v>
      </c>
      <c r="E5657" s="22">
        <f>IF(D5657="?OLD","!!!","")</f>
        <v/>
      </c>
      <c r="F5657" s="23" t="str">
        <f>IF(OR(E5657="",E5657="!!!"),"",IF(NOT(ISNA(VLOOKUP(E5657,E$1:E5656,1,FALSE()))),"OLD",IF(AND(E5657&lt;&gt;"",E5657&lt;&gt;"!!!"),"NEW","")))</f>
        <v> </v>
      </c>
      <c r="G5657" s="24" t="str">
        <f>IF(OR(E5657="",E5657="!!!"),"",IF(OR(J5657=0,AND(J5657=1,K5657=1),AND(J5657=1,I5657="SBJ"),AND(J5657=1,I5657=0)),"?IN_FOCUS",IF(J5657&lt;=2,"?ACTIVATED",IF(J5657&lt;&gt;"","?FAMILIAR",IF(F5657="NEW",IF(ISNA(VLOOKUP(E5657,#REF!,1,FALSE())),"?TYPE_IDENTIFIABLE","?REFERENTIAL"),"_")))))</f>
        <v> </v>
      </c>
      <c r="H5657" s="25" t="str">
        <f>IF(J5657&lt;&gt;1,"",IF(I5657="SBJ","CB","?"))</f>
        <v> </v>
      </c>
      <c r="I5657" s="26" t="str">
        <f>IF(OR(E5657="",E5657="!!!",F5657="NEW"),"",INDEX(B5656:B$2,-1+SUMPRODUCT(MAX(ROW(E5656:E$2)*(E5657=E5656:E$2)))))</f>
        <v> </v>
      </c>
      <c r="J5657" s="26" t="str">
        <f>IF(OR(E5657="",E5657="!!!",F5657="NEW"),"",COUNTBLANK(OFFSET(A$1,,,SUMPRODUCT(MAX(ROW(E$2:E5657)*(E5657=E$2:E5657)))))-COUNTBLANK(OFFSET(A$1,,,SUMPRODUCT(MAX(ROW(E$1:E5656)*(E2=E$1:E5656))))))</f>
        <v> </v>
      </c>
      <c r="K5657" s="26" t="str">
        <f>IF(OR(E5657="",E5657="!!!",F5657="NEW"),"",INDEX(J$1:J5656,SUMPRODUCT(MAX(ROW(E$1:E5656)*(E5657=E$1:E5656)))))</f>
        <v> </v>
      </c>
      <c r="L5657" s="27"/>
    </row>
    <row r="5658" spans="1:12">
      <c r="A5658" s="20" t="s">
        <v>1590</v>
      </c>
      <c r="E5658" s="22">
        <f>IF(D5658="?OLD","!!!","")</f>
        <v/>
      </c>
      <c r="F5658" s="23" t="str">
        <f>IF(OR(E5658="",E5658="!!!"),"",IF(NOT(ISNA(VLOOKUP(E5658,E$1:E5657,1,FALSE()))),"OLD",IF(AND(E5658&lt;&gt;"",E5658&lt;&gt;"!!!"),"NEW","")))</f>
        <v> </v>
      </c>
      <c r="G5658" s="24" t="str">
        <f>IF(OR(E5658="",E5658="!!!"),"",IF(OR(J5658=0,AND(J5658=1,K5658=1),AND(J5658=1,I5658="SBJ"),AND(J5658=1,I5658=0)),"?IN_FOCUS",IF(J5658&lt;=2,"?ACTIVATED",IF(J5658&lt;&gt;"","?FAMILIAR",IF(F5658="NEW",IF(ISNA(VLOOKUP(E5658,#REF!,1,FALSE())),"?TYPE_IDENTIFIABLE","?REFERENTIAL"),"_")))))</f>
        <v> </v>
      </c>
      <c r="H5658" s="25" t="str">
        <f>IF(J5658&lt;&gt;1,"",IF(I5658="SBJ","CB","?"))</f>
        <v> </v>
      </c>
      <c r="I5658" s="26" t="str">
        <f>IF(OR(E5658="",E5658="!!!",F5658="NEW"),"",INDEX(B5657:B$2,-1+SUMPRODUCT(MAX(ROW(E5657:E$2)*(E5658=E5657:E$2)))))</f>
        <v> </v>
      </c>
      <c r="J5658" s="26" t="str">
        <f>IF(OR(E5658="",E5658="!!!",F5658="NEW"),"",COUNTBLANK(OFFSET(A$1,,,SUMPRODUCT(MAX(ROW(E$2:E5658)*(E5658=E$2:E5658)))))-COUNTBLANK(OFFSET(A$1,,,SUMPRODUCT(MAX(ROW(E$1:E5657)*(E2=E$1:E5657))))))</f>
        <v> </v>
      </c>
      <c r="K5658" s="26" t="str">
        <f>IF(OR(E5658="",E5658="!!!",F5658="NEW"),"",INDEX(J$1:J5657,SUMPRODUCT(MAX(ROW(E$1:E5657)*(E5658=E$1:E5657)))))</f>
        <v> </v>
      </c>
      <c r="L5658" s="27"/>
    </row>
    <row r="5659" spans="1:12">
      <c r="A5659" s="20" t="s">
        <v>1097</v>
      </c>
      <c r="E5659" s="22">
        <f>IF(D5659="?OLD","!!!","")</f>
        <v/>
      </c>
      <c r="F5659" s="23" t="str">
        <f>IF(OR(E5659="",E5659="!!!"),"",IF(NOT(ISNA(VLOOKUP(E5659,E$1:E5658,1,FALSE()))),"OLD",IF(AND(E5659&lt;&gt;"",E5659&lt;&gt;"!!!"),"NEW","")))</f>
        <v> </v>
      </c>
      <c r="G5659" s="24" t="str">
        <f>IF(OR(E5659="",E5659="!!!"),"",IF(OR(J5659=0,AND(J5659=1,K5659=1),AND(J5659=1,I5659="SBJ"),AND(J5659=1,I5659=0)),"?IN_FOCUS",IF(J5659&lt;=2,"?ACTIVATED",IF(J5659&lt;&gt;"","?FAMILIAR",IF(F5659="NEW",IF(ISNA(VLOOKUP(E5659,#REF!,1,FALSE())),"?TYPE_IDENTIFIABLE","?REFERENTIAL"),"_")))))</f>
        <v> </v>
      </c>
      <c r="H5659" s="25" t="str">
        <f>IF(J5659&lt;&gt;1,"",IF(I5659="SBJ","CB","?"))</f>
        <v> </v>
      </c>
      <c r="I5659" s="26" t="str">
        <f>IF(OR(E5659="",E5659="!!!",F5659="NEW"),"",INDEX(B5658:B$2,-1+SUMPRODUCT(MAX(ROW(E5658:E$2)*(E5659=E5658:E$2)))))</f>
        <v> </v>
      </c>
      <c r="J5659" s="26" t="str">
        <f>IF(OR(E5659="",E5659="!!!",F5659="NEW"),"",COUNTBLANK(OFFSET(A$1,,,SUMPRODUCT(MAX(ROW(E$2:E5659)*(E5659=E$2:E5659)))))-COUNTBLANK(OFFSET(A$1,,,SUMPRODUCT(MAX(ROW(E$1:E5658)*(E2=E$1:E5658))))))</f>
        <v> </v>
      </c>
      <c r="K5659" s="26" t="str">
        <f>IF(OR(E5659="",E5659="!!!",F5659="NEW"),"",INDEX(J$1:J5658,SUMPRODUCT(MAX(ROW(E$1:E5658)*(E5659=E$1:E5658)))))</f>
        <v> </v>
      </c>
      <c r="L5659" s="27"/>
    </row>
    <row r="5660" spans="1:12">
      <c r="A5660" s="20" t="s">
        <v>946</v>
      </c>
      <c r="E5660" s="22">
        <f>IF(D5660="?OLD","!!!","")</f>
        <v/>
      </c>
      <c r="F5660" s="23" t="str">
        <f>IF(OR(E5660="",E5660="!!!"),"",IF(NOT(ISNA(VLOOKUP(E5660,E$1:E5659,1,FALSE()))),"OLD",IF(AND(E5660&lt;&gt;"",E5660&lt;&gt;"!!!"),"NEW","")))</f>
        <v> </v>
      </c>
      <c r="G5660" s="24" t="str">
        <f>IF(OR(E5660="",E5660="!!!"),"",IF(OR(J5660=0,AND(J5660=1,K5660=1),AND(J5660=1,I5660="SBJ"),AND(J5660=1,I5660=0)),"?IN_FOCUS",IF(J5660&lt;=2,"?ACTIVATED",IF(J5660&lt;&gt;"","?FAMILIAR",IF(F5660="NEW",IF(ISNA(VLOOKUP(E5660,#REF!,1,FALSE())),"?TYPE_IDENTIFIABLE","?REFERENTIAL"),"_")))))</f>
        <v> </v>
      </c>
      <c r="H5660" s="25" t="str">
        <f>IF(J5660&lt;&gt;1,"",IF(I5660="SBJ","CB","?"))</f>
        <v> </v>
      </c>
      <c r="I5660" s="26" t="str">
        <f>IF(OR(E5660="",E5660="!!!",F5660="NEW"),"",INDEX(B5659:B$2,-1+SUMPRODUCT(MAX(ROW(E5659:E$2)*(E5660=E5659:E$2)))))</f>
        <v> </v>
      </c>
      <c r="J5660" s="26" t="str">
        <f>IF(OR(E5660="",E5660="!!!",F5660="NEW"),"",COUNTBLANK(OFFSET(A$1,,,SUMPRODUCT(MAX(ROW(E$2:E5660)*(E5660=E$2:E5660)))))-COUNTBLANK(OFFSET(A$1,,,SUMPRODUCT(MAX(ROW(E$1:E5659)*(E2=E$1:E5659))))))</f>
        <v> </v>
      </c>
      <c r="K5660" s="26" t="str">
        <f>IF(OR(E5660="",E5660="!!!",F5660="NEW"),"",INDEX(J$1:J5659,SUMPRODUCT(MAX(ROW(E$1:E5659)*(E5660=E$1:E5659)))))</f>
        <v> </v>
      </c>
      <c r="L5660" s="27"/>
    </row>
    <row r="5661" spans="1:12">
      <c r="A5661" s="20" t="s">
        <v>2240</v>
      </c>
      <c r="E5661" s="22">
        <f>IF(D5661="?OLD","!!!","")</f>
        <v/>
      </c>
      <c r="F5661" s="23" t="str">
        <f>IF(OR(E5661="",E5661="!!!"),"",IF(NOT(ISNA(VLOOKUP(E5661,E$1:E5660,1,FALSE()))),"OLD",IF(AND(E5661&lt;&gt;"",E5661&lt;&gt;"!!!"),"NEW","")))</f>
        <v> </v>
      </c>
      <c r="G5661" s="24" t="str">
        <f>IF(OR(E5661="",E5661="!!!"),"",IF(OR(J5661=0,AND(J5661=1,K5661=1),AND(J5661=1,I5661="SBJ"),AND(J5661=1,I5661=0)),"?IN_FOCUS",IF(J5661&lt;=2,"?ACTIVATED",IF(J5661&lt;&gt;"","?FAMILIAR",IF(F5661="NEW",IF(ISNA(VLOOKUP(E5661,#REF!,1,FALSE())),"?TYPE_IDENTIFIABLE","?REFERENTIAL"),"_")))))</f>
        <v> </v>
      </c>
      <c r="H5661" s="25" t="str">
        <f>IF(J5661&lt;&gt;1,"",IF(I5661="SBJ","CB","?"))</f>
        <v> </v>
      </c>
      <c r="I5661" s="26" t="str">
        <f>IF(OR(E5661="",E5661="!!!",F5661="NEW"),"",INDEX(B5660:B$2,-1+SUMPRODUCT(MAX(ROW(E5660:E$2)*(E5661=E5660:E$2)))))</f>
        <v> </v>
      </c>
      <c r="J5661" s="26" t="str">
        <f>IF(OR(E5661="",E5661="!!!",F5661="NEW"),"",COUNTBLANK(OFFSET(A$1,,,SUMPRODUCT(MAX(ROW(E$2:E5661)*(E5661=E$2:E5661)))))-COUNTBLANK(OFFSET(A$1,,,SUMPRODUCT(MAX(ROW(E$1:E5660)*(E2=E$1:E5660))))))</f>
        <v> </v>
      </c>
      <c r="K5661" s="26" t="str">
        <f>IF(OR(E5661="",E5661="!!!",F5661="NEW"),"",INDEX(J$1:J5660,SUMPRODUCT(MAX(ROW(E$1:E5660)*(E5661=E$1:E5660)))))</f>
        <v> </v>
      </c>
      <c r="L5661" s="27"/>
    </row>
    <row r="5662" spans="1:12">
      <c r="A5662" s="20" t="s">
        <v>1227</v>
      </c>
      <c r="E5662" s="22">
        <f>IF(D5662="?OLD","!!!","")</f>
        <v/>
      </c>
      <c r="F5662" s="23" t="str">
        <f>IF(OR(E5662="",E5662="!!!"),"",IF(NOT(ISNA(VLOOKUP(E5662,E$1:E5661,1,FALSE()))),"OLD",IF(AND(E5662&lt;&gt;"",E5662&lt;&gt;"!!!"),"NEW","")))</f>
        <v> </v>
      </c>
      <c r="G5662" s="24" t="str">
        <f>IF(OR(E5662="",E5662="!!!"),"",IF(OR(J5662=0,AND(J5662=1,K5662=1),AND(J5662=1,I5662="SBJ"),AND(J5662=1,I5662=0)),"?IN_FOCUS",IF(J5662&lt;=2,"?ACTIVATED",IF(J5662&lt;&gt;"","?FAMILIAR",IF(F5662="NEW",IF(ISNA(VLOOKUP(E5662,#REF!,1,FALSE())),"?TYPE_IDENTIFIABLE","?REFERENTIAL"),"_")))))</f>
        <v> </v>
      </c>
      <c r="H5662" s="25" t="str">
        <f>IF(J5662&lt;&gt;1,"",IF(I5662="SBJ","CB","?"))</f>
        <v> </v>
      </c>
      <c r="I5662" s="26" t="str">
        <f>IF(OR(E5662="",E5662="!!!",F5662="NEW"),"",INDEX(B5661:B$2,-1+SUMPRODUCT(MAX(ROW(E5661:E$2)*(E5662=E5661:E$2)))))</f>
        <v> </v>
      </c>
      <c r="J5662" s="26" t="str">
        <f>IF(OR(E5662="",E5662="!!!",F5662="NEW"),"",COUNTBLANK(OFFSET(A$1,,,SUMPRODUCT(MAX(ROW(E$2:E5662)*(E5662=E$2:E5662)))))-COUNTBLANK(OFFSET(A$1,,,SUMPRODUCT(MAX(ROW(E$1:E5661)*(E2=E$1:E5661))))))</f>
        <v> </v>
      </c>
      <c r="K5662" s="26" t="str">
        <f>IF(OR(E5662="",E5662="!!!",F5662="NEW"),"",INDEX(J$1:J5661,SUMPRODUCT(MAX(ROW(E$1:E5661)*(E5662=E$1:E5661)))))</f>
        <v> </v>
      </c>
      <c r="L5662" s="27"/>
    </row>
    <row r="5663" spans="1:12">
      <c r="A5663" s="20" t="s">
        <v>1071</v>
      </c>
      <c r="E5663" s="22">
        <f>IF(D5663="?OLD","!!!","")</f>
        <v/>
      </c>
      <c r="F5663" s="23" t="str">
        <f>IF(OR(E5663="",E5663="!!!"),"",IF(NOT(ISNA(VLOOKUP(E5663,E$1:E5662,1,FALSE()))),"OLD",IF(AND(E5663&lt;&gt;"",E5663&lt;&gt;"!!!"),"NEW","")))</f>
        <v> </v>
      </c>
      <c r="G5663" s="24" t="str">
        <f>IF(OR(E5663="",E5663="!!!"),"",IF(OR(J5663=0,AND(J5663=1,K5663=1),AND(J5663=1,I5663="SBJ"),AND(J5663=1,I5663=0)),"?IN_FOCUS",IF(J5663&lt;=2,"?ACTIVATED",IF(J5663&lt;&gt;"","?FAMILIAR",IF(F5663="NEW",IF(ISNA(VLOOKUP(E5663,#REF!,1,FALSE())),"?TYPE_IDENTIFIABLE","?REFERENTIAL"),"_")))))</f>
        <v> </v>
      </c>
      <c r="H5663" s="25" t="str">
        <f>IF(J5663&lt;&gt;1,"",IF(I5663="SBJ","CB","?"))</f>
        <v> </v>
      </c>
      <c r="I5663" s="26" t="str">
        <f>IF(OR(E5663="",E5663="!!!",F5663="NEW"),"",INDEX(B5662:B$2,-1+SUMPRODUCT(MAX(ROW(E5662:E$2)*(E5663=E5662:E$2)))))</f>
        <v> </v>
      </c>
      <c r="J5663" s="26" t="str">
        <f>IF(OR(E5663="",E5663="!!!",F5663="NEW"),"",COUNTBLANK(OFFSET(A$1,,,SUMPRODUCT(MAX(ROW(E$2:E5663)*(E5663=E$2:E5663)))))-COUNTBLANK(OFFSET(A$1,,,SUMPRODUCT(MAX(ROW(E$1:E5662)*(E2=E$1:E5662))))))</f>
        <v> </v>
      </c>
      <c r="K5663" s="26" t="str">
        <f>IF(OR(E5663="",E5663="!!!",F5663="NEW"),"",INDEX(J$1:J5662,SUMPRODUCT(MAX(ROW(E$1:E5662)*(E5663=E$1:E5662)))))</f>
        <v> </v>
      </c>
      <c r="L5663" s="27"/>
    </row>
    <row r="5664" spans="1:12">
      <c r="A5664" s="20" t="s">
        <v>1050</v>
      </c>
      <c r="B5664" s="21" t="s">
        <v>1071</v>
      </c>
      <c r="C5664" s="21" t="s">
        <v>1017</v>
      </c>
      <c r="E5664" s="22">
        <f>IF(D5664="?OLD","!!!","")</f>
        <v/>
      </c>
      <c r="F5664" s="23" t="str">
        <f>IF(OR(E5664="",E5664="!!!"),"",IF(NOT(ISNA(VLOOKUP(E5664,E$1:E5663,1,FALSE()))),"OLD",IF(AND(E5664&lt;&gt;"",E5664&lt;&gt;"!!!"),"NEW","")))</f>
        <v> </v>
      </c>
      <c r="G5664" s="24" t="str">
        <f>IF(OR(E5664="",E5664="!!!"),"",IF(OR(J5664=0,AND(J5664=1,K5664=1),AND(J5664=1,I5664="SBJ"),AND(J5664=1,I5664=0)),"?IN_FOCUS",IF(J5664&lt;=2,"?ACTIVATED",IF(J5664&lt;&gt;"","?FAMILIAR",IF(F5664="NEW",IF(ISNA(VLOOKUP(E5664,#REF!,1,FALSE())),"?TYPE_IDENTIFIABLE","?REFERENTIAL"),"_")))))</f>
        <v> </v>
      </c>
      <c r="H5664" s="25" t="str">
        <f>IF(J5664&lt;&gt;1,"",IF(I5664="SBJ","CB","?"))</f>
        <v> </v>
      </c>
      <c r="I5664" s="26" t="str">
        <f>IF(OR(E5664="",E5664="!!!",F5664="NEW"),"",INDEX(B5663:B$2,-1+SUMPRODUCT(MAX(ROW(E5663:E$2)*(E5664=E5663:E$2)))))</f>
        <v> </v>
      </c>
      <c r="J5664" s="26" t="str">
        <f>IF(OR(E5664="",E5664="!!!",F5664="NEW"),"",COUNTBLANK(OFFSET(A$1,,,SUMPRODUCT(MAX(ROW(E$2:E5664)*(E5664=E$2:E5664)))))-COUNTBLANK(OFFSET(A$1,,,SUMPRODUCT(MAX(ROW(E$1:E5663)*(E2=E$1:E5663))))))</f>
        <v> </v>
      </c>
      <c r="K5664" s="26" t="str">
        <f>IF(OR(E5664="",E5664="!!!",F5664="NEW"),"",INDEX(J$1:J5663,SUMPRODUCT(MAX(ROW(E$1:E5663)*(E5664=E$1:E5663)))))</f>
        <v> </v>
      </c>
      <c r="L5664" s="27"/>
    </row>
    <row r="5665" spans="1:12">
      <c r="A5665" s="20" t="s">
        <v>1022</v>
      </c>
      <c r="E5665" s="22">
        <f>IF(D5665="?OLD","!!!","")</f>
        <v/>
      </c>
      <c r="F5665" s="23" t="str">
        <f>IF(OR(E5665="",E5665="!!!"),"",IF(NOT(ISNA(VLOOKUP(E5665,E$1:E5664,1,FALSE()))),"OLD",IF(AND(E5665&lt;&gt;"",E5665&lt;&gt;"!!!"),"NEW","")))</f>
        <v> </v>
      </c>
      <c r="G5665" s="24" t="str">
        <f>IF(OR(E5665="",E5665="!!!"),"",IF(OR(J5665=0,AND(J5665=1,K5665=1),AND(J5665=1,I5665="SBJ"),AND(J5665=1,I5665=0)),"?IN_FOCUS",IF(J5665&lt;=2,"?ACTIVATED",IF(J5665&lt;&gt;"","?FAMILIAR",IF(F5665="NEW",IF(ISNA(VLOOKUP(E5665,#REF!,1,FALSE())),"?TYPE_IDENTIFIABLE","?REFERENTIAL"),"_")))))</f>
        <v> </v>
      </c>
      <c r="H5665" s="25" t="str">
        <f>IF(J5665&lt;&gt;1,"",IF(I5665="SBJ","CB","?"))</f>
        <v> </v>
      </c>
      <c r="I5665" s="26" t="str">
        <f>IF(OR(E5665="",E5665="!!!",F5665="NEW"),"",INDEX(B5664:B$2,-1+SUMPRODUCT(MAX(ROW(E5664:E$2)*(E5665=E5664:E$2)))))</f>
        <v> </v>
      </c>
      <c r="J5665" s="26" t="str">
        <f>IF(OR(E5665="",E5665="!!!",F5665="NEW"),"",COUNTBLANK(OFFSET(A$1,,,SUMPRODUCT(MAX(ROW(E$2:E5665)*(E5665=E$2:E5665)))))-COUNTBLANK(OFFSET(A$1,,,SUMPRODUCT(MAX(ROW(E$1:E5664)*(E2=E$1:E5664))))))</f>
        <v> </v>
      </c>
      <c r="K5665" s="26" t="str">
        <f>IF(OR(E5665="",E5665="!!!",F5665="NEW"),"",INDEX(J$1:J5664,SUMPRODUCT(MAX(ROW(E$1:E5664)*(E5665=E$1:E5664)))))</f>
        <v> </v>
      </c>
      <c r="L5665" s="27"/>
    </row>
    <row r="5666" spans="1:12">
      <c r="A5666" s="20"/>
    </row>
    <row r="5667" spans="1:12">
      <c r="A5667" s="20" t="s">
        <v>2255</v>
      </c>
    </row>
    <row r="5668" spans="1:12">
      <c r="A5668" s="20" t="s">
        <v>1084</v>
      </c>
      <c r="E5668" s="22">
        <f>IF(D5668="?OLD","!!!","")</f>
        <v/>
      </c>
      <c r="F5668" s="23" t="str">
        <f>IF(OR(E5668="",E5668="!!!"),"",IF(NOT(ISNA(VLOOKUP(E5668,E$1:E5667,1,FALSE()))),"OLD",IF(AND(E5668&lt;&gt;"",E5668&lt;&gt;"!!!"),"NEW","")))</f>
        <v> </v>
      </c>
      <c r="G5668" s="24" t="str">
        <f>IF(OR(E5668="",E5668="!!!"),"",IF(OR(J5668=0,AND(J5668=1,K5668=1),AND(J5668=1,I5668="SBJ"),AND(J5668=1,I5668=0)),"?IN_FOCUS",IF(J5668&lt;=2,"?ACTIVATED",IF(J5668&lt;&gt;"","?FAMILIAR",IF(F5668="NEW",IF(ISNA(VLOOKUP(E5668,#REF!,1,FALSE())),"?TYPE_IDENTIFIABLE","?REFERENTIAL"),"_")))))</f>
        <v> </v>
      </c>
      <c r="H5668" s="25" t="str">
        <f>IF(J5668&lt;&gt;1,"",IF(I5668="SBJ","CB","?"))</f>
        <v> </v>
      </c>
      <c r="I5668" s="26" t="str">
        <f>IF(OR(E5668="",E5668="!!!",F5668="NEW"),"",INDEX(B5667:B$2,-1+SUMPRODUCT(MAX(ROW(E5667:E$2)*(E5668=E5667:E$2)))))</f>
        <v> </v>
      </c>
      <c r="J5668" s="26" t="str">
        <f>IF(OR(E5668="",E5668="!!!",F5668="NEW"),"",COUNTBLANK(OFFSET(A$1,,,SUMPRODUCT(MAX(ROW(E$2:E5668)*(E5668=E$2:E5668)))))-COUNTBLANK(OFFSET(A$1,,,SUMPRODUCT(MAX(ROW(E$1:E5667)*(E2=E$1:E5667))))))</f>
        <v> </v>
      </c>
      <c r="K5668" s="26" t="str">
        <f>IF(OR(E5668="",E5668="!!!",F5668="NEW"),"",INDEX(J$1:J5667,SUMPRODUCT(MAX(ROW(E$1:E5667)*(E5668=E$1:E5667)))))</f>
        <v> </v>
      </c>
      <c r="L5668" s="27"/>
    </row>
    <row r="5669" spans="1:12">
      <c r="A5669" s="20" t="s">
        <v>1141</v>
      </c>
      <c r="B5669" s="21" t="s">
        <v>1009</v>
      </c>
      <c r="C5669" s="21" t="s">
        <v>1044</v>
      </c>
      <c r="D5669" s="21" t="s">
        <v>1011</v>
      </c>
      <c r="E5669" s="22">
        <f>IF(D5669="?OLD","!!!","")</f>
        <v/>
      </c>
      <c r="F5669" s="23" t="str">
        <f>IF(OR(E5669="",E5669="!!!"),"",IF(NOT(ISNA(VLOOKUP(E5669,E$1:E5668,1,FALSE()))),"OLD",IF(AND(E5669&lt;&gt;"",E5669&lt;&gt;"!!!"),"NEW","")))</f>
        <v> </v>
      </c>
      <c r="G5669" s="24" t="str">
        <f>IF(OR(E5669="",E5669="!!!"),"",IF(OR(J5669=0,AND(J5669=1,K5669=1),AND(J5669=1,I5669="SBJ"),AND(J5669=1,I5669=0)),"?IN_FOCUS",IF(J5669&lt;=2,"?ACTIVATED",IF(J5669&lt;&gt;"","?FAMILIAR",IF(F5669="NEW",IF(ISNA(VLOOKUP(E5669,#REF!,1,FALSE())),"?TYPE_IDENTIFIABLE","?REFERENTIAL"),"_")))))</f>
        <v> </v>
      </c>
      <c r="H5669" s="25" t="str">
        <f>IF(J5669&lt;&gt;1,"",IF(I5669="SBJ","CB","?"))</f>
        <v> </v>
      </c>
      <c r="I5669" s="26" t="str">
        <f>IF(OR(E5669="",E5669="!!!",F5669="NEW"),"",INDEX(B5668:B$2,-1+SUMPRODUCT(MAX(ROW(E5668:E$2)*(E5669=E5668:E$2)))))</f>
        <v> </v>
      </c>
      <c r="J5669" s="26" t="str">
        <f>IF(OR(E5669="",E5669="!!!",F5669="NEW"),"",COUNTBLANK(OFFSET(A$1,,,SUMPRODUCT(MAX(ROW(E$2:E5669)*(E5669=E$2:E5669)))))-COUNTBLANK(OFFSET(A$1,,,SUMPRODUCT(MAX(ROW(E$1:E5668)*(E2=E$1:E5668))))))</f>
        <v> </v>
      </c>
      <c r="K5669" s="26" t="str">
        <f>IF(OR(E5669="",E5669="!!!",F5669="NEW"),"",INDEX(J$1:J5668,SUMPRODUCT(MAX(ROW(E$1:E5668)*(E5669=E$1:E5668)))))</f>
        <v> </v>
      </c>
      <c r="L5669" s="27"/>
    </row>
    <row r="5670" spans="1:12">
      <c r="A5670" s="20" t="s">
        <v>1137</v>
      </c>
      <c r="B5670" s="21" t="s">
        <v>1175</v>
      </c>
      <c r="C5670" s="21" t="s">
        <v>1010</v>
      </c>
      <c r="D5670" s="21" t="s">
        <v>1011</v>
      </c>
      <c r="E5670" s="22">
        <f>IF(D5670="?OLD","!!!","")</f>
        <v/>
      </c>
      <c r="F5670" s="23" t="str">
        <f>IF(OR(E5670="",E5670="!!!"),"",IF(NOT(ISNA(VLOOKUP(E5670,E$1:E5669,1,FALSE()))),"OLD",IF(AND(E5670&lt;&gt;"",E5670&lt;&gt;"!!!"),"NEW","")))</f>
        <v> </v>
      </c>
      <c r="G5670" s="24" t="str">
        <f>IF(OR(E5670="",E5670="!!!"),"",IF(OR(J5670=0,AND(J5670=1,K5670=1),AND(J5670=1,I5670="SBJ"),AND(J5670=1,I5670=0)),"?IN_FOCUS",IF(J5670&lt;=2,"?ACTIVATED",IF(J5670&lt;&gt;"","?FAMILIAR",IF(F5670="NEW",IF(ISNA(VLOOKUP(E5670,#REF!,1,FALSE())),"?TYPE_IDENTIFIABLE","?REFERENTIAL"),"_")))))</f>
        <v> </v>
      </c>
      <c r="H5670" s="25" t="str">
        <f>IF(J5670&lt;&gt;1,"",IF(I5670="SBJ","CB","?"))</f>
        <v> </v>
      </c>
      <c r="I5670" s="26" t="str">
        <f>IF(OR(E5670="",E5670="!!!",F5670="NEW"),"",INDEX(B5669:B$2,-1+SUMPRODUCT(MAX(ROW(E5669:E$2)*(E5670=E5669:E$2)))))</f>
        <v> </v>
      </c>
      <c r="J5670" s="26" t="str">
        <f>IF(OR(E5670="",E5670="!!!",F5670="NEW"),"",COUNTBLANK(OFFSET(A$1,,,SUMPRODUCT(MAX(ROW(E$2:E5670)*(E5670=E$2:E5670)))))-COUNTBLANK(OFFSET(A$1,,,SUMPRODUCT(MAX(ROW(E$1:E5669)*(E2=E$1:E5669))))))</f>
        <v> </v>
      </c>
      <c r="K5670" s="26" t="str">
        <f>IF(OR(E5670="",E5670="!!!",F5670="NEW"),"",INDEX(J$1:J5669,SUMPRODUCT(MAX(ROW(E$1:E5669)*(E5670=E$1:E5669)))))</f>
        <v> </v>
      </c>
      <c r="L5670" s="27"/>
    </row>
    <row r="5671" spans="1:12">
      <c r="A5671" s="20" t="s">
        <v>142</v>
      </c>
      <c r="E5671" s="22">
        <f>IF(D5671="?OLD","!!!","")</f>
        <v/>
      </c>
      <c r="F5671" s="23" t="str">
        <f>IF(OR(E5671="",E5671="!!!"),"",IF(NOT(ISNA(VLOOKUP(E5671,E$1:E5670,1,FALSE()))),"OLD",IF(AND(E5671&lt;&gt;"",E5671&lt;&gt;"!!!"),"NEW","")))</f>
        <v> </v>
      </c>
      <c r="G5671" s="24" t="str">
        <f>IF(OR(E5671="",E5671="!!!"),"",IF(OR(J5671=0,AND(J5671=1,K5671=1),AND(J5671=1,I5671="SBJ"),AND(J5671=1,I5671=0)),"?IN_FOCUS",IF(J5671&lt;=2,"?ACTIVATED",IF(J5671&lt;&gt;"","?FAMILIAR",IF(F5671="NEW",IF(ISNA(VLOOKUP(E5671,#REF!,1,FALSE())),"?TYPE_IDENTIFIABLE","?REFERENTIAL"),"_")))))</f>
        <v> </v>
      </c>
      <c r="H5671" s="25" t="str">
        <f>IF(J5671&lt;&gt;1,"",IF(I5671="SBJ","CB","?"))</f>
        <v> </v>
      </c>
      <c r="I5671" s="26" t="str">
        <f>IF(OR(E5671="",E5671="!!!",F5671="NEW"),"",INDEX(B5670:B$2,-1+SUMPRODUCT(MAX(ROW(E5670:E$2)*(E5671=E5670:E$2)))))</f>
        <v> </v>
      </c>
      <c r="J5671" s="26" t="str">
        <f>IF(OR(E5671="",E5671="!!!",F5671="NEW"),"",COUNTBLANK(OFFSET(A$1,,,SUMPRODUCT(MAX(ROW(E$2:E5671)*(E5671=E$2:E5671)))))-COUNTBLANK(OFFSET(A$1,,,SUMPRODUCT(MAX(ROW(E$1:E5670)*(E2=E$1:E5670))))))</f>
        <v> </v>
      </c>
      <c r="K5671" s="26" t="str">
        <f>IF(OR(E5671="",E5671="!!!",F5671="NEW"),"",INDEX(J$1:J5670,SUMPRODUCT(MAX(ROW(E$1:E5670)*(E5671=E$1:E5670)))))</f>
        <v> </v>
      </c>
      <c r="L5671" s="27"/>
    </row>
    <row r="5672" spans="1:12">
      <c r="A5672" s="20" t="s">
        <v>2028</v>
      </c>
      <c r="E5672" s="22">
        <f>IF(D5672="?OLD","!!!","")</f>
        <v/>
      </c>
      <c r="F5672" s="23" t="str">
        <f>IF(OR(E5672="",E5672="!!!"),"",IF(NOT(ISNA(VLOOKUP(E5672,E$1:E5671,1,FALSE()))),"OLD",IF(AND(E5672&lt;&gt;"",E5672&lt;&gt;"!!!"),"NEW","")))</f>
        <v> </v>
      </c>
      <c r="G5672" s="24" t="str">
        <f>IF(OR(E5672="",E5672="!!!"),"",IF(OR(J5672=0,AND(J5672=1,K5672=1),AND(J5672=1,I5672="SBJ"),AND(J5672=1,I5672=0)),"?IN_FOCUS",IF(J5672&lt;=2,"?ACTIVATED",IF(J5672&lt;&gt;"","?FAMILIAR",IF(F5672="NEW",IF(ISNA(VLOOKUP(E5672,#REF!,1,FALSE())),"?TYPE_IDENTIFIABLE","?REFERENTIAL"),"_")))))</f>
        <v> </v>
      </c>
      <c r="H5672" s="25" t="str">
        <f>IF(J5672&lt;&gt;1,"",IF(I5672="SBJ","CB","?"))</f>
        <v> </v>
      </c>
      <c r="I5672" s="26" t="str">
        <f>IF(OR(E5672="",E5672="!!!",F5672="NEW"),"",INDEX(B5671:B$2,-1+SUMPRODUCT(MAX(ROW(E5671:E$2)*(E5672=E5671:E$2)))))</f>
        <v> </v>
      </c>
      <c r="J5672" s="26" t="str">
        <f>IF(OR(E5672="",E5672="!!!",F5672="NEW"),"",COUNTBLANK(OFFSET(A$1,,,SUMPRODUCT(MAX(ROW(E$2:E5672)*(E5672=E$2:E5672)))))-COUNTBLANK(OFFSET(A$1,,,SUMPRODUCT(MAX(ROW(E$1:E5671)*(E2=E$1:E5671))))))</f>
        <v> </v>
      </c>
      <c r="K5672" s="26" t="str">
        <f>IF(OR(E5672="",E5672="!!!",F5672="NEW"),"",INDEX(J$1:J5671,SUMPRODUCT(MAX(ROW(E$1:E5671)*(E5672=E$1:E5671)))))</f>
        <v> </v>
      </c>
      <c r="L5672" s="27"/>
    </row>
    <row r="5673" spans="1:12">
      <c r="A5673" s="20" t="s">
        <v>1262</v>
      </c>
      <c r="E5673" s="22">
        <f>IF(D5673="?OLD","!!!","")</f>
        <v/>
      </c>
      <c r="F5673" s="23" t="str">
        <f>IF(OR(E5673="",E5673="!!!"),"",IF(NOT(ISNA(VLOOKUP(E5673,E$1:E5672,1,FALSE()))),"OLD",IF(AND(E5673&lt;&gt;"",E5673&lt;&gt;"!!!"),"NEW","")))</f>
        <v> </v>
      </c>
      <c r="G5673" s="24" t="str">
        <f>IF(OR(E5673="",E5673="!!!"),"",IF(OR(J5673=0,AND(J5673=1,K5673=1),AND(J5673=1,I5673="SBJ"),AND(J5673=1,I5673=0)),"?IN_FOCUS",IF(J5673&lt;=2,"?ACTIVATED",IF(J5673&lt;&gt;"","?FAMILIAR",IF(F5673="NEW",IF(ISNA(VLOOKUP(E5673,#REF!,1,FALSE())),"?TYPE_IDENTIFIABLE","?REFERENTIAL"),"_")))))</f>
        <v> </v>
      </c>
      <c r="H5673" s="25" t="str">
        <f>IF(J5673&lt;&gt;1,"",IF(I5673="SBJ","CB","?"))</f>
        <v> </v>
      </c>
      <c r="I5673" s="26" t="str">
        <f>IF(OR(E5673="",E5673="!!!",F5673="NEW"),"",INDEX(B5672:B$2,-1+SUMPRODUCT(MAX(ROW(E5672:E$2)*(E5673=E5672:E$2)))))</f>
        <v> </v>
      </c>
      <c r="J5673" s="26" t="str">
        <f>IF(OR(E5673="",E5673="!!!",F5673="NEW"),"",COUNTBLANK(OFFSET(A$1,,,SUMPRODUCT(MAX(ROW(E$2:E5673)*(E5673=E$2:E5673)))))-COUNTBLANK(OFFSET(A$1,,,SUMPRODUCT(MAX(ROW(E$1:E5672)*(E2=E$1:E5672))))))</f>
        <v> </v>
      </c>
      <c r="K5673" s="26" t="str">
        <f>IF(OR(E5673="",E5673="!!!",F5673="NEW"),"",INDEX(J$1:J5672,SUMPRODUCT(MAX(ROW(E$1:E5672)*(E5673=E$1:E5672)))))</f>
        <v> </v>
      </c>
      <c r="L5673" s="27"/>
    </row>
    <row r="5674" spans="1:12">
      <c r="A5674" s="20" t="s">
        <v>2248</v>
      </c>
      <c r="B5674" s="21" t="s">
        <v>1021</v>
      </c>
      <c r="C5674" s="21" t="s">
        <v>1017</v>
      </c>
      <c r="E5674" s="22">
        <f>IF(D5674="?OLD","!!!","")</f>
        <v/>
      </c>
      <c r="F5674" s="23" t="str">
        <f>IF(OR(E5674="",E5674="!!!"),"",IF(NOT(ISNA(VLOOKUP(E5674,E$1:E5673,1,FALSE()))),"OLD",IF(AND(E5674&lt;&gt;"",E5674&lt;&gt;"!!!"),"NEW","")))</f>
        <v> </v>
      </c>
      <c r="G5674" s="24" t="str">
        <f>IF(OR(E5674="",E5674="!!!"),"",IF(OR(J5674=0,AND(J5674=1,K5674=1),AND(J5674=1,I5674="SBJ"),AND(J5674=1,I5674=0)),"?IN_FOCUS",IF(J5674&lt;=2,"?ACTIVATED",IF(J5674&lt;&gt;"","?FAMILIAR",IF(F5674="NEW",IF(ISNA(VLOOKUP(E5674,#REF!,1,FALSE())),"?TYPE_IDENTIFIABLE","?REFERENTIAL"),"_")))))</f>
        <v> </v>
      </c>
      <c r="H5674" s="25" t="str">
        <f>IF(J5674&lt;&gt;1,"",IF(I5674="SBJ","CB","?"))</f>
        <v> </v>
      </c>
      <c r="I5674" s="26" t="str">
        <f>IF(OR(E5674="",E5674="!!!",F5674="NEW"),"",INDEX(B5673:B$2,-1+SUMPRODUCT(MAX(ROW(E5673:E$2)*(E5674=E5673:E$2)))))</f>
        <v> </v>
      </c>
      <c r="J5674" s="26" t="str">
        <f>IF(OR(E5674="",E5674="!!!",F5674="NEW"),"",COUNTBLANK(OFFSET(A$1,,,SUMPRODUCT(MAX(ROW(E$2:E5674)*(E5674=E$2:E5674)))))-COUNTBLANK(OFFSET(A$1,,,SUMPRODUCT(MAX(ROW(E$1:E5673)*(E2=E$1:E5673))))))</f>
        <v> </v>
      </c>
      <c r="K5674" s="26" t="str">
        <f>IF(OR(E5674="",E5674="!!!",F5674="NEW"),"",INDEX(J$1:J5673,SUMPRODUCT(MAX(ROW(E$1:E5673)*(E5674=E$1:E5673)))))</f>
        <v> </v>
      </c>
      <c r="L5674" s="27"/>
    </row>
    <row r="5675" spans="1:12">
      <c r="A5675" s="20" t="s">
        <v>1081</v>
      </c>
      <c r="E5675" s="22">
        <f>IF(D5675="?OLD","!!!","")</f>
        <v/>
      </c>
      <c r="F5675" s="23" t="str">
        <f>IF(OR(E5675="",E5675="!!!"),"",IF(NOT(ISNA(VLOOKUP(E5675,E$1:E5674,1,FALSE()))),"OLD",IF(AND(E5675&lt;&gt;"",E5675&lt;&gt;"!!!"),"NEW","")))</f>
        <v> </v>
      </c>
      <c r="G5675" s="24" t="str">
        <f>IF(OR(E5675="",E5675="!!!"),"",IF(OR(J5675=0,AND(J5675=1,K5675=1),AND(J5675=1,I5675="SBJ"),AND(J5675=1,I5675=0)),"?IN_FOCUS",IF(J5675&lt;=2,"?ACTIVATED",IF(J5675&lt;&gt;"","?FAMILIAR",IF(F5675="NEW",IF(ISNA(VLOOKUP(E5675,#REF!,1,FALSE())),"?TYPE_IDENTIFIABLE","?REFERENTIAL"),"_")))))</f>
        <v> </v>
      </c>
      <c r="H5675" s="25" t="str">
        <f>IF(J5675&lt;&gt;1,"",IF(I5675="SBJ","CB","?"))</f>
        <v> </v>
      </c>
      <c r="I5675" s="26" t="str">
        <f>IF(OR(E5675="",E5675="!!!",F5675="NEW"),"",INDEX(B5674:B$2,-1+SUMPRODUCT(MAX(ROW(E5674:E$2)*(E5675=E5674:E$2)))))</f>
        <v> </v>
      </c>
      <c r="J5675" s="26" t="str">
        <f>IF(OR(E5675="",E5675="!!!",F5675="NEW"),"",COUNTBLANK(OFFSET(A$1,,,SUMPRODUCT(MAX(ROW(E$2:E5675)*(E5675=E$2:E5675)))))-COUNTBLANK(OFFSET(A$1,,,SUMPRODUCT(MAX(ROW(E$1:E5674)*(E2=E$1:E5674))))))</f>
        <v> </v>
      </c>
      <c r="K5675" s="26" t="str">
        <f>IF(OR(E5675="",E5675="!!!",F5675="NEW"),"",INDEX(J$1:J5674,SUMPRODUCT(MAX(ROW(E$1:E5674)*(E5675=E$1:E5674)))))</f>
        <v> </v>
      </c>
      <c r="L5675" s="27"/>
    </row>
    <row r="5676" spans="1:12">
      <c r="A5676" s="20" t="s">
        <v>1032</v>
      </c>
      <c r="E5676" s="22">
        <f>IF(D5676="?OLD","!!!","")</f>
        <v/>
      </c>
      <c r="F5676" s="23" t="str">
        <f>IF(OR(E5676="",E5676="!!!"),"",IF(NOT(ISNA(VLOOKUP(E5676,E$1:E5675,1,FALSE()))),"OLD",IF(AND(E5676&lt;&gt;"",E5676&lt;&gt;"!!!"),"NEW","")))</f>
        <v> </v>
      </c>
      <c r="G5676" s="24" t="str">
        <f>IF(OR(E5676="",E5676="!!!"),"",IF(OR(J5676=0,AND(J5676=1,K5676=1),AND(J5676=1,I5676="SBJ"),AND(J5676=1,I5676=0)),"?IN_FOCUS",IF(J5676&lt;=2,"?ACTIVATED",IF(J5676&lt;&gt;"","?FAMILIAR",IF(F5676="NEW",IF(ISNA(VLOOKUP(E5676,#REF!,1,FALSE())),"?TYPE_IDENTIFIABLE","?REFERENTIAL"),"_")))))</f>
        <v> </v>
      </c>
      <c r="H5676" s="25" t="str">
        <f>IF(J5676&lt;&gt;1,"",IF(I5676="SBJ","CB","?"))</f>
        <v> </v>
      </c>
      <c r="I5676" s="26" t="str">
        <f>IF(OR(E5676="",E5676="!!!",F5676="NEW"),"",INDEX(B5675:B$2,-1+SUMPRODUCT(MAX(ROW(E5675:E$2)*(E5676=E5675:E$2)))))</f>
        <v> </v>
      </c>
      <c r="J5676" s="26" t="str">
        <f>IF(OR(E5676="",E5676="!!!",F5676="NEW"),"",COUNTBLANK(OFFSET(A$1,,,SUMPRODUCT(MAX(ROW(E$2:E5676)*(E5676=E$2:E5676)))))-COUNTBLANK(OFFSET(A$1,,,SUMPRODUCT(MAX(ROW(E$1:E5675)*(E2=E$1:E5675))))))</f>
        <v> </v>
      </c>
      <c r="K5676" s="26" t="str">
        <f>IF(OR(E5676="",E5676="!!!",F5676="NEW"),"",INDEX(J$1:J5675,SUMPRODUCT(MAX(ROW(E$1:E5675)*(E5676=E$1:E5675)))))</f>
        <v> </v>
      </c>
      <c r="L5676" s="27"/>
    </row>
    <row r="5677" spans="1:12">
      <c r="A5677" s="20" t="s">
        <v>1020</v>
      </c>
      <c r="E5677" s="22">
        <f>IF(D5677="?OLD","!!!","")</f>
        <v/>
      </c>
      <c r="F5677" s="23" t="str">
        <f>IF(OR(E5677="",E5677="!!!"),"",IF(NOT(ISNA(VLOOKUP(E5677,E$1:E5676,1,FALSE()))),"OLD",IF(AND(E5677&lt;&gt;"",E5677&lt;&gt;"!!!"),"NEW","")))</f>
        <v> </v>
      </c>
      <c r="G5677" s="24" t="str">
        <f>IF(OR(E5677="",E5677="!!!"),"",IF(OR(J5677=0,AND(J5677=1,K5677=1),AND(J5677=1,I5677="SBJ"),AND(J5677=1,I5677=0)),"?IN_FOCUS",IF(J5677&lt;=2,"?ACTIVATED",IF(J5677&lt;&gt;"","?FAMILIAR",IF(F5677="NEW",IF(ISNA(VLOOKUP(E5677,#REF!,1,FALSE())),"?TYPE_IDENTIFIABLE","?REFERENTIAL"),"_")))))</f>
        <v> </v>
      </c>
      <c r="H5677" s="25" t="str">
        <f>IF(J5677&lt;&gt;1,"",IF(I5677="SBJ","CB","?"))</f>
        <v> </v>
      </c>
      <c r="I5677" s="26" t="str">
        <f>IF(OR(E5677="",E5677="!!!",F5677="NEW"),"",INDEX(B5676:B$2,-1+SUMPRODUCT(MAX(ROW(E5676:E$2)*(E5677=E5676:E$2)))))</f>
        <v> </v>
      </c>
      <c r="J5677" s="26" t="str">
        <f>IF(OR(E5677="",E5677="!!!",F5677="NEW"),"",COUNTBLANK(OFFSET(A$1,,,SUMPRODUCT(MAX(ROW(E$2:E5677)*(E5677=E$2:E5677)))))-COUNTBLANK(OFFSET(A$1,,,SUMPRODUCT(MAX(ROW(E$1:E5676)*(E2=E$1:E5676))))))</f>
        <v> </v>
      </c>
      <c r="K5677" s="26" t="str">
        <f>IF(OR(E5677="",E5677="!!!",F5677="NEW"),"",INDEX(J$1:J5676,SUMPRODUCT(MAX(ROW(E$1:E5676)*(E5677=E$1:E5676)))))</f>
        <v> </v>
      </c>
      <c r="L5677" s="27"/>
    </row>
    <row r="5678" spans="1:12">
      <c r="A5678" s="20" t="s">
        <v>2256</v>
      </c>
      <c r="E5678" s="22">
        <f>IF(D5678="?OLD","!!!","")</f>
        <v/>
      </c>
      <c r="F5678" s="23" t="str">
        <f>IF(OR(E5678="",E5678="!!!"),"",IF(NOT(ISNA(VLOOKUP(E5678,E$1:E5677,1,FALSE()))),"OLD",IF(AND(E5678&lt;&gt;"",E5678&lt;&gt;"!!!"),"NEW","")))</f>
        <v> </v>
      </c>
      <c r="G5678" s="24" t="str">
        <f>IF(OR(E5678="",E5678="!!!"),"",IF(OR(J5678=0,AND(J5678=1,K5678=1),AND(J5678=1,I5678="SBJ"),AND(J5678=1,I5678=0)),"?IN_FOCUS",IF(J5678&lt;=2,"?ACTIVATED",IF(J5678&lt;&gt;"","?FAMILIAR",IF(F5678="NEW",IF(ISNA(VLOOKUP(E5678,#REF!,1,FALSE())),"?TYPE_IDENTIFIABLE","?REFERENTIAL"),"_")))))</f>
        <v> </v>
      </c>
      <c r="H5678" s="25" t="str">
        <f>IF(J5678&lt;&gt;1,"",IF(I5678="SBJ","CB","?"))</f>
        <v> </v>
      </c>
      <c r="I5678" s="26" t="str">
        <f>IF(OR(E5678="",E5678="!!!",F5678="NEW"),"",INDEX(B5677:B$2,-1+SUMPRODUCT(MAX(ROW(E5677:E$2)*(E5678=E5677:E$2)))))</f>
        <v> </v>
      </c>
      <c r="J5678" s="26" t="str">
        <f>IF(OR(E5678="",E5678="!!!",F5678="NEW"),"",COUNTBLANK(OFFSET(A$1,,,SUMPRODUCT(MAX(ROW(E$2:E5678)*(E5678=E$2:E5678)))))-COUNTBLANK(OFFSET(A$1,,,SUMPRODUCT(MAX(ROW(E$1:E5677)*(E2=E$1:E5677))))))</f>
        <v> </v>
      </c>
      <c r="K5678" s="26" t="str">
        <f>IF(OR(E5678="",E5678="!!!",F5678="NEW"),"",INDEX(J$1:J5677,SUMPRODUCT(MAX(ROW(E$1:E5677)*(E5678=E$1:E5677)))))</f>
        <v> </v>
      </c>
      <c r="L5678" s="27"/>
    </row>
    <row r="5679" spans="1:12">
      <c r="A5679" s="20" t="s">
        <v>122</v>
      </c>
      <c r="B5679" s="21" t="s">
        <v>1009</v>
      </c>
      <c r="C5679" s="21" t="s">
        <v>1017</v>
      </c>
      <c r="E5679" s="22">
        <f>IF(D5679="?OLD","!!!","")</f>
        <v/>
      </c>
      <c r="F5679" s="23" t="str">
        <f>IF(OR(E5679="",E5679="!!!"),"",IF(NOT(ISNA(VLOOKUP(E5679,E$1:E5678,1,FALSE()))),"OLD",IF(AND(E5679&lt;&gt;"",E5679&lt;&gt;"!!!"),"NEW","")))</f>
        <v> </v>
      </c>
      <c r="G5679" s="24" t="str">
        <f>IF(OR(E5679="",E5679="!!!"),"",IF(OR(J5679=0,AND(J5679=1,K5679=1),AND(J5679=1,I5679="SBJ"),AND(J5679=1,I5679=0)),"?IN_FOCUS",IF(J5679&lt;=2,"?ACTIVATED",IF(J5679&lt;&gt;"","?FAMILIAR",IF(F5679="NEW",IF(ISNA(VLOOKUP(E5679,#REF!,1,FALSE())),"?TYPE_IDENTIFIABLE","?REFERENTIAL"),"_")))))</f>
        <v> </v>
      </c>
      <c r="H5679" s="25" t="str">
        <f>IF(J5679&lt;&gt;1,"",IF(I5679="SBJ","CB","?"))</f>
        <v> </v>
      </c>
      <c r="I5679" s="26" t="str">
        <f>IF(OR(E5679="",E5679="!!!",F5679="NEW"),"",INDEX(B5678:B$2,-1+SUMPRODUCT(MAX(ROW(E5678:E$2)*(E5679=E5678:E$2)))))</f>
        <v> </v>
      </c>
      <c r="J5679" s="26" t="str">
        <f>IF(OR(E5679="",E5679="!!!",F5679="NEW"),"",COUNTBLANK(OFFSET(A$1,,,SUMPRODUCT(MAX(ROW(E$2:E5679)*(E5679=E$2:E5679)))))-COUNTBLANK(OFFSET(A$1,,,SUMPRODUCT(MAX(ROW(E$1:E5678)*(E2=E$1:E5678))))))</f>
        <v> </v>
      </c>
      <c r="K5679" s="26" t="str">
        <f>IF(OR(E5679="",E5679="!!!",F5679="NEW"),"",INDEX(J$1:J5678,SUMPRODUCT(MAX(ROW(E$1:E5678)*(E5679=E$1:E5678)))))</f>
        <v> </v>
      </c>
      <c r="L5679" s="27"/>
    </row>
    <row r="5680" spans="1:12">
      <c r="A5680" s="20" t="s">
        <v>1179</v>
      </c>
      <c r="E5680" s="22">
        <f>IF(D5680="?OLD","!!!","")</f>
        <v/>
      </c>
      <c r="F5680" s="23" t="str">
        <f>IF(OR(E5680="",E5680="!!!"),"",IF(NOT(ISNA(VLOOKUP(E5680,E$1:E5679,1,FALSE()))),"OLD",IF(AND(E5680&lt;&gt;"",E5680&lt;&gt;"!!!"),"NEW","")))</f>
        <v> </v>
      </c>
      <c r="G5680" s="24" t="str">
        <f>IF(OR(E5680="",E5680="!!!"),"",IF(OR(J5680=0,AND(J5680=1,K5680=1),AND(J5680=1,I5680="SBJ"),AND(J5680=1,I5680=0)),"?IN_FOCUS",IF(J5680&lt;=2,"?ACTIVATED",IF(J5680&lt;&gt;"","?FAMILIAR",IF(F5680="NEW",IF(ISNA(VLOOKUP(E5680,#REF!,1,FALSE())),"?TYPE_IDENTIFIABLE","?REFERENTIAL"),"_")))))</f>
        <v> </v>
      </c>
      <c r="H5680" s="25" t="str">
        <f>IF(J5680&lt;&gt;1,"",IF(I5680="SBJ","CB","?"))</f>
        <v> </v>
      </c>
      <c r="I5680" s="26" t="str">
        <f>IF(OR(E5680="",E5680="!!!",F5680="NEW"),"",INDEX(B5679:B$2,-1+SUMPRODUCT(MAX(ROW(E5679:E$2)*(E5680=E5679:E$2)))))</f>
        <v> </v>
      </c>
      <c r="J5680" s="26" t="str">
        <f>IF(OR(E5680="",E5680="!!!",F5680="NEW"),"",COUNTBLANK(OFFSET(A$1,,,SUMPRODUCT(MAX(ROW(E$2:E5680)*(E5680=E$2:E5680)))))-COUNTBLANK(OFFSET(A$1,,,SUMPRODUCT(MAX(ROW(E$1:E5679)*(E2=E$1:E5679))))))</f>
        <v> </v>
      </c>
      <c r="K5680" s="26" t="str">
        <f>IF(OR(E5680="",E5680="!!!",F5680="NEW"),"",INDEX(J$1:J5679,SUMPRODUCT(MAX(ROW(E$1:E5679)*(E5680=E$1:E5679)))))</f>
        <v> </v>
      </c>
      <c r="L5680" s="27"/>
    </row>
    <row r="5681" spans="1:12">
      <c r="A5681" s="20" t="s">
        <v>950</v>
      </c>
      <c r="E5681" s="22">
        <f>IF(D5681="?OLD","!!!","")</f>
        <v/>
      </c>
      <c r="F5681" s="23" t="str">
        <f>IF(OR(E5681="",E5681="!!!"),"",IF(NOT(ISNA(VLOOKUP(E5681,E$1:E5680,1,FALSE()))),"OLD",IF(AND(E5681&lt;&gt;"",E5681&lt;&gt;"!!!"),"NEW","")))</f>
        <v> </v>
      </c>
      <c r="G5681" s="24" t="str">
        <f>IF(OR(E5681="",E5681="!!!"),"",IF(OR(J5681=0,AND(J5681=1,K5681=1),AND(J5681=1,I5681="SBJ"),AND(J5681=1,I5681=0)),"?IN_FOCUS",IF(J5681&lt;=2,"?ACTIVATED",IF(J5681&lt;&gt;"","?FAMILIAR",IF(F5681="NEW",IF(ISNA(VLOOKUP(E5681,#REF!,1,FALSE())),"?TYPE_IDENTIFIABLE","?REFERENTIAL"),"_")))))</f>
        <v> </v>
      </c>
      <c r="H5681" s="25" t="str">
        <f>IF(J5681&lt;&gt;1,"",IF(I5681="SBJ","CB","?"))</f>
        <v> </v>
      </c>
      <c r="I5681" s="26" t="str">
        <f>IF(OR(E5681="",E5681="!!!",F5681="NEW"),"",INDEX(B5680:B$2,-1+SUMPRODUCT(MAX(ROW(E5680:E$2)*(E5681=E5680:E$2)))))</f>
        <v> </v>
      </c>
      <c r="J5681" s="26" t="str">
        <f>IF(OR(E5681="",E5681="!!!",F5681="NEW"),"",COUNTBLANK(OFFSET(A$1,,,SUMPRODUCT(MAX(ROW(E$2:E5681)*(E5681=E$2:E5681)))))-COUNTBLANK(OFFSET(A$1,,,SUMPRODUCT(MAX(ROW(E$1:E5680)*(E2=E$1:E5680))))))</f>
        <v> </v>
      </c>
      <c r="K5681" s="26" t="str">
        <f>IF(OR(E5681="",E5681="!!!",F5681="NEW"),"",INDEX(J$1:J5680,SUMPRODUCT(MAX(ROW(E$1:E5680)*(E5681=E$1:E5680)))))</f>
        <v> </v>
      </c>
      <c r="L5681" s="27"/>
    </row>
    <row r="5682" spans="1:12">
      <c r="A5682" s="20" t="s">
        <v>1032</v>
      </c>
      <c r="E5682" s="22">
        <f>IF(D5682="?OLD","!!!","")</f>
        <v/>
      </c>
      <c r="F5682" s="23" t="str">
        <f>IF(OR(E5682="",E5682="!!!"),"",IF(NOT(ISNA(VLOOKUP(E5682,E$1:E5681,1,FALSE()))),"OLD",IF(AND(E5682&lt;&gt;"",E5682&lt;&gt;"!!!"),"NEW","")))</f>
        <v> </v>
      </c>
      <c r="G5682" s="24" t="str">
        <f>IF(OR(E5682="",E5682="!!!"),"",IF(OR(J5682=0,AND(J5682=1,K5682=1),AND(J5682=1,I5682="SBJ"),AND(J5682=1,I5682=0)),"?IN_FOCUS",IF(J5682&lt;=2,"?ACTIVATED",IF(J5682&lt;&gt;"","?FAMILIAR",IF(F5682="NEW",IF(ISNA(VLOOKUP(E5682,#REF!,1,FALSE())),"?TYPE_IDENTIFIABLE","?REFERENTIAL"),"_")))))</f>
        <v> </v>
      </c>
      <c r="H5682" s="25" t="str">
        <f>IF(J5682&lt;&gt;1,"",IF(I5682="SBJ","CB","?"))</f>
        <v> </v>
      </c>
      <c r="I5682" s="26" t="str">
        <f>IF(OR(E5682="",E5682="!!!",F5682="NEW"),"",INDEX(B5681:B$2,-1+SUMPRODUCT(MAX(ROW(E5681:E$2)*(E5682=E5681:E$2)))))</f>
        <v> </v>
      </c>
      <c r="J5682" s="26" t="str">
        <f>IF(OR(E5682="",E5682="!!!",F5682="NEW"),"",COUNTBLANK(OFFSET(A$1,,,SUMPRODUCT(MAX(ROW(E$2:E5682)*(E5682=E$2:E5682)))))-COUNTBLANK(OFFSET(A$1,,,SUMPRODUCT(MAX(ROW(E$1:E5681)*(E2=E$1:E5681))))))</f>
        <v> </v>
      </c>
      <c r="K5682" s="26" t="str">
        <f>IF(OR(E5682="",E5682="!!!",F5682="NEW"),"",INDEX(J$1:J5681,SUMPRODUCT(MAX(ROW(E$1:E5681)*(E5682=E$1:E5681)))))</f>
        <v> </v>
      </c>
      <c r="L5682" s="27"/>
    </row>
    <row r="5683" spans="1:12">
      <c r="A5683" s="20" t="s">
        <v>1045</v>
      </c>
      <c r="E5683" s="22">
        <f>IF(D5683="?OLD","!!!","")</f>
        <v/>
      </c>
      <c r="F5683" s="23" t="str">
        <f>IF(OR(E5683="",E5683="!!!"),"",IF(NOT(ISNA(VLOOKUP(E5683,E$1:E5682,1,FALSE()))),"OLD",IF(AND(E5683&lt;&gt;"",E5683&lt;&gt;"!!!"),"NEW","")))</f>
        <v> </v>
      </c>
      <c r="G5683" s="24" t="str">
        <f>IF(OR(E5683="",E5683="!!!"),"",IF(OR(J5683=0,AND(J5683=1,K5683=1),AND(J5683=1,I5683="SBJ"),AND(J5683=1,I5683=0)),"?IN_FOCUS",IF(J5683&lt;=2,"?ACTIVATED",IF(J5683&lt;&gt;"","?FAMILIAR",IF(F5683="NEW",IF(ISNA(VLOOKUP(E5683,#REF!,1,FALSE())),"?TYPE_IDENTIFIABLE","?REFERENTIAL"),"_")))))</f>
        <v> </v>
      </c>
      <c r="H5683" s="25" t="str">
        <f>IF(J5683&lt;&gt;1,"",IF(I5683="SBJ","CB","?"))</f>
        <v> </v>
      </c>
      <c r="I5683" s="26" t="str">
        <f>IF(OR(E5683="",E5683="!!!",F5683="NEW"),"",INDEX(B5682:B$2,-1+SUMPRODUCT(MAX(ROW(E5682:E$2)*(E5683=E5682:E$2)))))</f>
        <v> </v>
      </c>
      <c r="J5683" s="26" t="str">
        <f>IF(OR(E5683="",E5683="!!!",F5683="NEW"),"",COUNTBLANK(OFFSET(A$1,,,SUMPRODUCT(MAX(ROW(E$2:E5683)*(E5683=E$2:E5683)))))-COUNTBLANK(OFFSET(A$1,,,SUMPRODUCT(MAX(ROW(E$1:E5682)*(E2=E$1:E5682))))))</f>
        <v> </v>
      </c>
      <c r="K5683" s="26" t="str">
        <f>IF(OR(E5683="",E5683="!!!",F5683="NEW"),"",INDEX(J$1:J5682,SUMPRODUCT(MAX(ROW(E$1:E5682)*(E5683=E$1:E5682)))))</f>
        <v> </v>
      </c>
      <c r="L5683" s="27"/>
    </row>
    <row r="5684" spans="1:12">
      <c r="A5684" s="20" t="s">
        <v>1475</v>
      </c>
      <c r="B5684" s="21" t="s">
        <v>1071</v>
      </c>
      <c r="C5684" s="21" t="s">
        <v>1230</v>
      </c>
      <c r="E5684" s="22">
        <f>IF(D5684="?OLD","!!!","")</f>
        <v/>
      </c>
      <c r="F5684" s="23" t="str">
        <f>IF(OR(E5684="",E5684="!!!"),"",IF(NOT(ISNA(VLOOKUP(E5684,E$1:E5683,1,FALSE()))),"OLD",IF(AND(E5684&lt;&gt;"",E5684&lt;&gt;"!!!"),"NEW","")))</f>
        <v> </v>
      </c>
      <c r="G5684" s="24" t="str">
        <f>IF(OR(E5684="",E5684="!!!"),"",IF(OR(J5684=0,AND(J5684=1,K5684=1),AND(J5684=1,I5684="SBJ"),AND(J5684=1,I5684=0)),"?IN_FOCUS",IF(J5684&lt;=2,"?ACTIVATED",IF(J5684&lt;&gt;"","?FAMILIAR",IF(F5684="NEW",IF(ISNA(VLOOKUP(E5684,#REF!,1,FALSE())),"?TYPE_IDENTIFIABLE","?REFERENTIAL"),"_")))))</f>
        <v> </v>
      </c>
      <c r="H5684" s="25" t="str">
        <f>IF(J5684&lt;&gt;1,"",IF(I5684="SBJ","CB","?"))</f>
        <v> </v>
      </c>
      <c r="I5684" s="26" t="str">
        <f>IF(OR(E5684="",E5684="!!!",F5684="NEW"),"",INDEX(B5683:B$2,-1+SUMPRODUCT(MAX(ROW(E5683:E$2)*(E5684=E5683:E$2)))))</f>
        <v> </v>
      </c>
      <c r="J5684" s="26" t="str">
        <f>IF(OR(E5684="",E5684="!!!",F5684="NEW"),"",COUNTBLANK(OFFSET(A$1,,,SUMPRODUCT(MAX(ROW(E$2:E5684)*(E5684=E$2:E5684)))))-COUNTBLANK(OFFSET(A$1,,,SUMPRODUCT(MAX(ROW(E$1:E5683)*(E2=E$1:E5683))))))</f>
        <v> </v>
      </c>
      <c r="K5684" s="26" t="str">
        <f>IF(OR(E5684="",E5684="!!!",F5684="NEW"),"",INDEX(J$1:J5683,SUMPRODUCT(MAX(ROW(E$1:E5683)*(E5684=E$1:E5683)))))</f>
        <v> </v>
      </c>
      <c r="L5684" s="27"/>
    </row>
    <row r="5685" spans="1:12">
      <c r="A5685" s="20" t="s">
        <v>1137</v>
      </c>
      <c r="B5685" s="21" t="s">
        <v>1175</v>
      </c>
      <c r="C5685" s="21" t="s">
        <v>1010</v>
      </c>
      <c r="D5685" s="21" t="s">
        <v>1011</v>
      </c>
      <c r="E5685" s="22">
        <f>IF(D5685="?OLD","!!!","")</f>
        <v/>
      </c>
      <c r="F5685" s="23" t="str">
        <f>IF(OR(E5685="",E5685="!!!"),"",IF(NOT(ISNA(VLOOKUP(E5685,E$1:E5684,1,FALSE()))),"OLD",IF(AND(E5685&lt;&gt;"",E5685&lt;&gt;"!!!"),"NEW","")))</f>
        <v> </v>
      </c>
      <c r="G5685" s="24" t="str">
        <f>IF(OR(E5685="",E5685="!!!"),"",IF(OR(J5685=0,AND(J5685=1,K5685=1),AND(J5685=1,I5685="SBJ"),AND(J5685=1,I5685=0)),"?IN_FOCUS",IF(J5685&lt;=2,"?ACTIVATED",IF(J5685&lt;&gt;"","?FAMILIAR",IF(F5685="NEW",IF(ISNA(VLOOKUP(E5685,#REF!,1,FALSE())),"?TYPE_IDENTIFIABLE","?REFERENTIAL"),"_")))))</f>
        <v> </v>
      </c>
      <c r="H5685" s="25" t="str">
        <f>IF(J5685&lt;&gt;1,"",IF(I5685="SBJ","CB","?"))</f>
        <v> </v>
      </c>
      <c r="I5685" s="26" t="str">
        <f>IF(OR(E5685="",E5685="!!!",F5685="NEW"),"",INDEX(B5684:B$2,-1+SUMPRODUCT(MAX(ROW(E5684:E$2)*(E5685=E5684:E$2)))))</f>
        <v> </v>
      </c>
      <c r="J5685" s="26" t="str">
        <f>IF(OR(E5685="",E5685="!!!",F5685="NEW"),"",COUNTBLANK(OFFSET(A$1,,,SUMPRODUCT(MAX(ROW(E$2:E5685)*(E5685=E$2:E5685)))))-COUNTBLANK(OFFSET(A$1,,,SUMPRODUCT(MAX(ROW(E$1:E5684)*(E2=E$1:E5684))))))</f>
        <v> </v>
      </c>
      <c r="K5685" s="26" t="str">
        <f>IF(OR(E5685="",E5685="!!!",F5685="NEW"),"",INDEX(J$1:J5684,SUMPRODUCT(MAX(ROW(E$1:E5684)*(E5685=E$1:E5684)))))</f>
        <v> </v>
      </c>
      <c r="L5685" s="27"/>
    </row>
    <row r="5686" spans="1:12">
      <c r="A5686" s="20" t="s">
        <v>90</v>
      </c>
      <c r="E5686" s="22">
        <f>IF(D5686="?OLD","!!!","")</f>
        <v/>
      </c>
      <c r="F5686" s="23" t="str">
        <f>IF(OR(E5686="",E5686="!!!"),"",IF(NOT(ISNA(VLOOKUP(E5686,E$1:E5685,1,FALSE()))),"OLD",IF(AND(E5686&lt;&gt;"",E5686&lt;&gt;"!!!"),"NEW","")))</f>
        <v> </v>
      </c>
      <c r="G5686" s="24" t="str">
        <f>IF(OR(E5686="",E5686="!!!"),"",IF(OR(J5686=0,AND(J5686=1,K5686=1),AND(J5686=1,I5686="SBJ"),AND(J5686=1,I5686=0)),"?IN_FOCUS",IF(J5686&lt;=2,"?ACTIVATED",IF(J5686&lt;&gt;"","?FAMILIAR",IF(F5686="NEW",IF(ISNA(VLOOKUP(E5686,#REF!,1,FALSE())),"?TYPE_IDENTIFIABLE","?REFERENTIAL"),"_")))))</f>
        <v> </v>
      </c>
      <c r="H5686" s="25" t="str">
        <f>IF(J5686&lt;&gt;1,"",IF(I5686="SBJ","CB","?"))</f>
        <v> </v>
      </c>
      <c r="I5686" s="26" t="str">
        <f>IF(OR(E5686="",E5686="!!!",F5686="NEW"),"",INDEX(B5685:B$2,-1+SUMPRODUCT(MAX(ROW(E5685:E$2)*(E5686=E5685:E$2)))))</f>
        <v> </v>
      </c>
      <c r="J5686" s="26" t="str">
        <f>IF(OR(E5686="",E5686="!!!",F5686="NEW"),"",COUNTBLANK(OFFSET(A$1,,,SUMPRODUCT(MAX(ROW(E$2:E5686)*(E5686=E$2:E5686)))))-COUNTBLANK(OFFSET(A$1,,,SUMPRODUCT(MAX(ROW(E$1:E5685)*(E2=E$1:E5685))))))</f>
        <v> </v>
      </c>
      <c r="K5686" s="26" t="str">
        <f>IF(OR(E5686="",E5686="!!!",F5686="NEW"),"",INDEX(J$1:J5685,SUMPRODUCT(MAX(ROW(E$1:E5685)*(E5686=E$1:E5685)))))</f>
        <v> </v>
      </c>
      <c r="L5686" s="27"/>
    </row>
    <row r="5687" spans="1:12">
      <c r="A5687" s="20" t="s">
        <v>1283</v>
      </c>
      <c r="B5687" s="21" t="s">
        <v>1142</v>
      </c>
      <c r="C5687" s="21" t="s">
        <v>1102</v>
      </c>
      <c r="D5687" s="21" t="s">
        <v>1011</v>
      </c>
      <c r="E5687" s="22">
        <f>IF(D5687="?OLD","!!!","")</f>
        <v/>
      </c>
      <c r="F5687" s="23" t="str">
        <f>IF(OR(E5687="",E5687="!!!"),"",IF(NOT(ISNA(VLOOKUP(E5687,E$1:E5686,1,FALSE()))),"OLD",IF(AND(E5687&lt;&gt;"",E5687&lt;&gt;"!!!"),"NEW","")))</f>
        <v> </v>
      </c>
      <c r="G5687" s="24" t="str">
        <f>IF(OR(E5687="",E5687="!!!"),"",IF(OR(J5687=0,AND(J5687=1,K5687=1),AND(J5687=1,I5687="SBJ"),AND(J5687=1,I5687=0)),"?IN_FOCUS",IF(J5687&lt;=2,"?ACTIVATED",IF(J5687&lt;&gt;"","?FAMILIAR",IF(F5687="NEW",IF(ISNA(VLOOKUP(E5687,#REF!,1,FALSE())),"?TYPE_IDENTIFIABLE","?REFERENTIAL"),"_")))))</f>
        <v> </v>
      </c>
      <c r="H5687" s="25" t="str">
        <f>IF(J5687&lt;&gt;1,"",IF(I5687="SBJ","CB","?"))</f>
        <v> </v>
      </c>
      <c r="I5687" s="26" t="str">
        <f>IF(OR(E5687="",E5687="!!!",F5687="NEW"),"",INDEX(B5686:B$2,-1+SUMPRODUCT(MAX(ROW(E5686:E$2)*(E5687=E5686:E$2)))))</f>
        <v> </v>
      </c>
      <c r="J5687" s="26" t="str">
        <f>IF(OR(E5687="",E5687="!!!",F5687="NEW"),"",COUNTBLANK(OFFSET(A$1,,,SUMPRODUCT(MAX(ROW(E$2:E5687)*(E5687=E$2:E5687)))))-COUNTBLANK(OFFSET(A$1,,,SUMPRODUCT(MAX(ROW(E$1:E5686)*(E2=E$1:E5686))))))</f>
        <v> </v>
      </c>
      <c r="K5687" s="26" t="str">
        <f>IF(OR(E5687="",E5687="!!!",F5687="NEW"),"",INDEX(J$1:J5686,SUMPRODUCT(MAX(ROW(E$1:E5686)*(E5687=E$1:E5686)))))</f>
        <v> </v>
      </c>
      <c r="L5687" s="27"/>
    </row>
    <row r="5688" spans="1:12">
      <c r="A5688" s="20" t="s">
        <v>1025</v>
      </c>
      <c r="B5688" s="21" t="s">
        <v>1101</v>
      </c>
      <c r="C5688" s="21" t="s">
        <v>1026</v>
      </c>
      <c r="D5688" s="21" t="s">
        <v>1011</v>
      </c>
      <c r="E5688" s="22">
        <f>IF(D5688="?OLD","!!!","")</f>
        <v/>
      </c>
      <c r="F5688" s="23" t="str">
        <f>IF(OR(E5688="",E5688="!!!"),"",IF(NOT(ISNA(VLOOKUP(E5688,E$1:E5687,1,FALSE()))),"OLD",IF(AND(E5688&lt;&gt;"",E5688&lt;&gt;"!!!"),"NEW","")))</f>
        <v> </v>
      </c>
      <c r="G5688" s="24" t="str">
        <f>IF(OR(E5688="",E5688="!!!"),"",IF(OR(J5688=0,AND(J5688=1,K5688=1),AND(J5688=1,I5688="SBJ"),AND(J5688=1,I5688=0)),"?IN_FOCUS",IF(J5688&lt;=2,"?ACTIVATED",IF(J5688&lt;&gt;"","?FAMILIAR",IF(F5688="NEW",IF(ISNA(VLOOKUP(E5688,#REF!,1,FALSE())),"?TYPE_IDENTIFIABLE","?REFERENTIAL"),"_")))))</f>
        <v> </v>
      </c>
      <c r="H5688" s="25" t="str">
        <f>IF(J5688&lt;&gt;1,"",IF(I5688="SBJ","CB","?"))</f>
        <v> </v>
      </c>
      <c r="I5688" s="26" t="str">
        <f>IF(OR(E5688="",E5688="!!!",F5688="NEW"),"",INDEX(B5687:B$2,-1+SUMPRODUCT(MAX(ROW(E5687:E$2)*(E5688=E5687:E$2)))))</f>
        <v> </v>
      </c>
      <c r="J5688" s="26" t="str">
        <f>IF(OR(E5688="",E5688="!!!",F5688="NEW"),"",COUNTBLANK(OFFSET(A$1,,,SUMPRODUCT(MAX(ROW(E$2:E5688)*(E5688=E$2:E5688)))))-COUNTBLANK(OFFSET(A$1,,,SUMPRODUCT(MAX(ROW(E$1:E5687)*(E2=E$1:E5687))))))</f>
        <v> </v>
      </c>
      <c r="K5688" s="26" t="str">
        <f>IF(OR(E5688="",E5688="!!!",F5688="NEW"),"",INDEX(J$1:J5687,SUMPRODUCT(MAX(ROW(E$1:E5687)*(E5688=E$1:E5687)))))</f>
        <v> </v>
      </c>
      <c r="L5688" s="27"/>
    </row>
    <row r="5689" spans="1:12">
      <c r="A5689" s="20" t="s">
        <v>1173</v>
      </c>
      <c r="E5689" s="22">
        <f>IF(D5689="?OLD","!!!","")</f>
        <v/>
      </c>
      <c r="F5689" s="23" t="str">
        <f>IF(OR(E5689="",E5689="!!!"),"",IF(NOT(ISNA(VLOOKUP(E5689,E$1:E5688,1,FALSE()))),"OLD",IF(AND(E5689&lt;&gt;"",E5689&lt;&gt;"!!!"),"NEW","")))</f>
        <v> </v>
      </c>
      <c r="G5689" s="24" t="str">
        <f>IF(OR(E5689="",E5689="!!!"),"",IF(OR(J5689=0,AND(J5689=1,K5689=1),AND(J5689=1,I5689="SBJ"),AND(J5689=1,I5689=0)),"?IN_FOCUS",IF(J5689&lt;=2,"?ACTIVATED",IF(J5689&lt;&gt;"","?FAMILIAR",IF(F5689="NEW",IF(ISNA(VLOOKUP(E5689,#REF!,1,FALSE())),"?TYPE_IDENTIFIABLE","?REFERENTIAL"),"_")))))</f>
        <v> </v>
      </c>
      <c r="H5689" s="25" t="str">
        <f>IF(J5689&lt;&gt;1,"",IF(I5689="SBJ","CB","?"))</f>
        <v> </v>
      </c>
      <c r="I5689" s="26" t="str">
        <f>IF(OR(E5689="",E5689="!!!",F5689="NEW"),"",INDEX(B5688:B$2,-1+SUMPRODUCT(MAX(ROW(E5688:E$2)*(E5689=E5688:E$2)))))</f>
        <v> </v>
      </c>
      <c r="J5689" s="26" t="str">
        <f>IF(OR(E5689="",E5689="!!!",F5689="NEW"),"",COUNTBLANK(OFFSET(A$1,,,SUMPRODUCT(MAX(ROW(E$2:E5689)*(E5689=E$2:E5689)))))-COUNTBLANK(OFFSET(A$1,,,SUMPRODUCT(MAX(ROW(E$1:E5688)*(E2=E$1:E5688))))))</f>
        <v> </v>
      </c>
      <c r="K5689" s="26" t="str">
        <f>IF(OR(E5689="",E5689="!!!",F5689="NEW"),"",INDEX(J$1:J5688,SUMPRODUCT(MAX(ROW(E$1:E5688)*(E5689=E$1:E5688)))))</f>
        <v> </v>
      </c>
      <c r="L5689" s="27"/>
    </row>
    <row r="5690" spans="1:12">
      <c r="A5690" s="20" t="s">
        <v>2257</v>
      </c>
      <c r="E5690" s="22">
        <f>IF(D5690="?OLD","!!!","")</f>
        <v/>
      </c>
      <c r="F5690" s="23" t="str">
        <f>IF(OR(E5690="",E5690="!!!"),"",IF(NOT(ISNA(VLOOKUP(E5690,E$1:E5689,1,FALSE()))),"OLD",IF(AND(E5690&lt;&gt;"",E5690&lt;&gt;"!!!"),"NEW","")))</f>
        <v> </v>
      </c>
      <c r="G5690" s="24" t="str">
        <f>IF(OR(E5690="",E5690="!!!"),"",IF(OR(J5690=0,AND(J5690=1,K5690=1),AND(J5690=1,I5690="SBJ"),AND(J5690=1,I5690=0)),"?IN_FOCUS",IF(J5690&lt;=2,"?ACTIVATED",IF(J5690&lt;&gt;"","?FAMILIAR",IF(F5690="NEW",IF(ISNA(VLOOKUP(E5690,#REF!,1,FALSE())),"?TYPE_IDENTIFIABLE","?REFERENTIAL"),"_")))))</f>
        <v> </v>
      </c>
      <c r="H5690" s="25" t="str">
        <f>IF(J5690&lt;&gt;1,"",IF(I5690="SBJ","CB","?"))</f>
        <v> </v>
      </c>
      <c r="I5690" s="26" t="str">
        <f>IF(OR(E5690="",E5690="!!!",F5690="NEW"),"",INDEX(B5689:B$2,-1+SUMPRODUCT(MAX(ROW(E5689:E$2)*(E5690=E5689:E$2)))))</f>
        <v> </v>
      </c>
      <c r="J5690" s="26" t="str">
        <f>IF(OR(E5690="",E5690="!!!",F5690="NEW"),"",COUNTBLANK(OFFSET(A$1,,,SUMPRODUCT(MAX(ROW(E$2:E5690)*(E5690=E$2:E5690)))))-COUNTBLANK(OFFSET(A$1,,,SUMPRODUCT(MAX(ROW(E$1:E5689)*(E2=E$1:E5689))))))</f>
        <v> </v>
      </c>
      <c r="K5690" s="26" t="str">
        <f>IF(OR(E5690="",E5690="!!!",F5690="NEW"),"",INDEX(J$1:J5689,SUMPRODUCT(MAX(ROW(E$1:E5689)*(E5690=E$1:E5689)))))</f>
        <v> </v>
      </c>
      <c r="L5690" s="27"/>
    </row>
    <row r="5691" spans="1:12">
      <c r="A5691" s="20" t="s">
        <v>1020</v>
      </c>
      <c r="E5691" s="22">
        <f>IF(D5691="?OLD","!!!","")</f>
        <v/>
      </c>
      <c r="F5691" s="23" t="str">
        <f>IF(OR(E5691="",E5691="!!!"),"",IF(NOT(ISNA(VLOOKUP(E5691,E$1:E5690,1,FALSE()))),"OLD",IF(AND(E5691&lt;&gt;"",E5691&lt;&gt;"!!!"),"NEW","")))</f>
        <v> </v>
      </c>
      <c r="G5691" s="24" t="str">
        <f>IF(OR(E5691="",E5691="!!!"),"",IF(OR(J5691=0,AND(J5691=1,K5691=1),AND(J5691=1,I5691="SBJ"),AND(J5691=1,I5691=0)),"?IN_FOCUS",IF(J5691&lt;=2,"?ACTIVATED",IF(J5691&lt;&gt;"","?FAMILIAR",IF(F5691="NEW",IF(ISNA(VLOOKUP(E5691,#REF!,1,FALSE())),"?TYPE_IDENTIFIABLE","?REFERENTIAL"),"_")))))</f>
        <v> </v>
      </c>
      <c r="H5691" s="25" t="str">
        <f>IF(J5691&lt;&gt;1,"",IF(I5691="SBJ","CB","?"))</f>
        <v> </v>
      </c>
      <c r="I5691" s="26" t="str">
        <f>IF(OR(E5691="",E5691="!!!",F5691="NEW"),"",INDEX(B5690:B$2,-1+SUMPRODUCT(MAX(ROW(E5690:E$2)*(E5691=E5690:E$2)))))</f>
        <v> </v>
      </c>
      <c r="J5691" s="26" t="str">
        <f>IF(OR(E5691="",E5691="!!!",F5691="NEW"),"",COUNTBLANK(OFFSET(A$1,,,SUMPRODUCT(MAX(ROW(E$2:E5691)*(E5691=E$2:E5691)))))-COUNTBLANK(OFFSET(A$1,,,SUMPRODUCT(MAX(ROW(E$1:E5690)*(E2=E$1:E5690))))))</f>
        <v> </v>
      </c>
      <c r="K5691" s="26" t="str">
        <f>IF(OR(E5691="",E5691="!!!",F5691="NEW"),"",INDEX(J$1:J5690,SUMPRODUCT(MAX(ROW(E$1:E5690)*(E5691=E$1:E5690)))))</f>
        <v> </v>
      </c>
      <c r="L5691" s="27"/>
    </row>
    <row r="5692" spans="1:12">
      <c r="A5692" s="20" t="s">
        <v>1137</v>
      </c>
      <c r="B5692" s="21" t="s">
        <v>1109</v>
      </c>
      <c r="C5692" s="21" t="s">
        <v>1010</v>
      </c>
      <c r="D5692" s="21" t="s">
        <v>1011</v>
      </c>
      <c r="E5692" s="22">
        <f>IF(D5692="?OLD","!!!","")</f>
        <v/>
      </c>
      <c r="F5692" s="23" t="str">
        <f>IF(OR(E5692="",E5692="!!!"),"",IF(NOT(ISNA(VLOOKUP(E5692,E$1:E5691,1,FALSE()))),"OLD",IF(AND(E5692&lt;&gt;"",E5692&lt;&gt;"!!!"),"NEW","")))</f>
        <v> </v>
      </c>
      <c r="G5692" s="24" t="str">
        <f>IF(OR(E5692="",E5692="!!!"),"",IF(OR(J5692=0,AND(J5692=1,K5692=1),AND(J5692=1,I5692="SBJ"),AND(J5692=1,I5692=0)),"?IN_FOCUS",IF(J5692&lt;=2,"?ACTIVATED",IF(J5692&lt;&gt;"","?FAMILIAR",IF(F5692="NEW",IF(ISNA(VLOOKUP(E5692,#REF!,1,FALSE())),"?TYPE_IDENTIFIABLE","?REFERENTIAL"),"_")))))</f>
        <v> </v>
      </c>
      <c r="H5692" s="25" t="str">
        <f>IF(J5692&lt;&gt;1,"",IF(I5692="SBJ","CB","?"))</f>
        <v> </v>
      </c>
      <c r="I5692" s="26" t="str">
        <f>IF(OR(E5692="",E5692="!!!",F5692="NEW"),"",INDEX(B5691:B$2,-1+SUMPRODUCT(MAX(ROW(E5691:E$2)*(E5692=E5691:E$2)))))</f>
        <v> </v>
      </c>
      <c r="J5692" s="26" t="str">
        <f>IF(OR(E5692="",E5692="!!!",F5692="NEW"),"",COUNTBLANK(OFFSET(A$1,,,SUMPRODUCT(MAX(ROW(E$2:E5692)*(E5692=E$2:E5692)))))-COUNTBLANK(OFFSET(A$1,,,SUMPRODUCT(MAX(ROW(E$1:E5691)*(E2=E$1:E5691))))))</f>
        <v> </v>
      </c>
      <c r="K5692" s="26" t="str">
        <f>IF(OR(E5692="",E5692="!!!",F5692="NEW"),"",INDEX(J$1:J5691,SUMPRODUCT(MAX(ROW(E$1:E5691)*(E5692=E$1:E5691)))))</f>
        <v> </v>
      </c>
      <c r="L5692" s="27"/>
    </row>
    <row r="5693" spans="1:12">
      <c r="A5693" s="20" t="s">
        <v>1183</v>
      </c>
      <c r="E5693" s="22">
        <f>IF(D5693="?OLD","!!!","")</f>
        <v/>
      </c>
      <c r="F5693" s="23" t="str">
        <f>IF(OR(E5693="",E5693="!!!"),"",IF(NOT(ISNA(VLOOKUP(E5693,E$1:E5692,1,FALSE()))),"OLD",IF(AND(E5693&lt;&gt;"",E5693&lt;&gt;"!!!"),"NEW","")))</f>
        <v> </v>
      </c>
      <c r="G5693" s="24" t="str">
        <f>IF(OR(E5693="",E5693="!!!"),"",IF(OR(J5693=0,AND(J5693=1,K5693=1),AND(J5693=1,I5693="SBJ"),AND(J5693=1,I5693=0)),"?IN_FOCUS",IF(J5693&lt;=2,"?ACTIVATED",IF(J5693&lt;&gt;"","?FAMILIAR",IF(F5693="NEW",IF(ISNA(VLOOKUP(E5693,#REF!,1,FALSE())),"?TYPE_IDENTIFIABLE","?REFERENTIAL"),"_")))))</f>
        <v> </v>
      </c>
      <c r="H5693" s="25" t="str">
        <f>IF(J5693&lt;&gt;1,"",IF(I5693="SBJ","CB","?"))</f>
        <v> </v>
      </c>
      <c r="I5693" s="26" t="str">
        <f>IF(OR(E5693="",E5693="!!!",F5693="NEW"),"",INDEX(B5692:B$2,-1+SUMPRODUCT(MAX(ROW(E5692:E$2)*(E5693=E5692:E$2)))))</f>
        <v> </v>
      </c>
      <c r="J5693" s="26" t="str">
        <f>IF(OR(E5693="",E5693="!!!",F5693="NEW"),"",COUNTBLANK(OFFSET(A$1,,,SUMPRODUCT(MAX(ROW(E$2:E5693)*(E5693=E$2:E5693)))))-COUNTBLANK(OFFSET(A$1,,,SUMPRODUCT(MAX(ROW(E$1:E5692)*(E2=E$1:E5692))))))</f>
        <v> </v>
      </c>
      <c r="K5693" s="26" t="str">
        <f>IF(OR(E5693="",E5693="!!!",F5693="NEW"),"",INDEX(J$1:J5692,SUMPRODUCT(MAX(ROW(E$1:E5692)*(E5693=E$1:E5692)))))</f>
        <v> </v>
      </c>
      <c r="L5693" s="27"/>
    </row>
    <row r="5694" spans="1:12">
      <c r="A5694" s="20" t="s">
        <v>1275</v>
      </c>
      <c r="E5694" s="22">
        <f>IF(D5694="?OLD","!!!","")</f>
        <v/>
      </c>
      <c r="F5694" s="23" t="str">
        <f>IF(OR(E5694="",E5694="!!!"),"",IF(NOT(ISNA(VLOOKUP(E5694,E$1:E5693,1,FALSE()))),"OLD",IF(AND(E5694&lt;&gt;"",E5694&lt;&gt;"!!!"),"NEW","")))</f>
        <v> </v>
      </c>
      <c r="G5694" s="24" t="str">
        <f>IF(OR(E5694="",E5694="!!!"),"",IF(OR(J5694=0,AND(J5694=1,K5694=1),AND(J5694=1,I5694="SBJ"),AND(J5694=1,I5694=0)),"?IN_FOCUS",IF(J5694&lt;=2,"?ACTIVATED",IF(J5694&lt;&gt;"","?FAMILIAR",IF(F5694="NEW",IF(ISNA(VLOOKUP(E5694,#REF!,1,FALSE())),"?TYPE_IDENTIFIABLE","?REFERENTIAL"),"_")))))</f>
        <v> </v>
      </c>
      <c r="H5694" s="25" t="str">
        <f>IF(J5694&lt;&gt;1,"",IF(I5694="SBJ","CB","?"))</f>
        <v> </v>
      </c>
      <c r="I5694" s="26" t="str">
        <f>IF(OR(E5694="",E5694="!!!",F5694="NEW"),"",INDEX(B5693:B$2,-1+SUMPRODUCT(MAX(ROW(E5693:E$2)*(E5694=E5693:E$2)))))</f>
        <v> </v>
      </c>
      <c r="J5694" s="26" t="str">
        <f>IF(OR(E5694="",E5694="!!!",F5694="NEW"),"",COUNTBLANK(OFFSET(A$1,,,SUMPRODUCT(MAX(ROW(E$2:E5694)*(E5694=E$2:E5694)))))-COUNTBLANK(OFFSET(A$1,,,SUMPRODUCT(MAX(ROW(E$1:E5693)*(E2=E$1:E5693))))))</f>
        <v> </v>
      </c>
      <c r="K5694" s="26" t="str">
        <f>IF(OR(E5694="",E5694="!!!",F5694="NEW"),"",INDEX(J$1:J5693,SUMPRODUCT(MAX(ROW(E$1:E5693)*(E5694=E$1:E5693)))))</f>
        <v> </v>
      </c>
      <c r="L5694" s="27"/>
    </row>
    <row r="5695" spans="1:12">
      <c r="A5695" s="20" t="s">
        <v>1014</v>
      </c>
      <c r="E5695" s="22">
        <f>IF(D5695="?OLD","!!!","")</f>
        <v/>
      </c>
      <c r="F5695" s="23" t="str">
        <f>IF(OR(E5695="",E5695="!!!"),"",IF(NOT(ISNA(VLOOKUP(E5695,E$1:E5694,1,FALSE()))),"OLD",IF(AND(E5695&lt;&gt;"",E5695&lt;&gt;"!!!"),"NEW","")))</f>
        <v> </v>
      </c>
      <c r="G5695" s="24" t="str">
        <f>IF(OR(E5695="",E5695="!!!"),"",IF(OR(J5695=0,AND(J5695=1,K5695=1),AND(J5695=1,I5695="SBJ"),AND(J5695=1,I5695=0)),"?IN_FOCUS",IF(J5695&lt;=2,"?ACTIVATED",IF(J5695&lt;&gt;"","?FAMILIAR",IF(F5695="NEW",IF(ISNA(VLOOKUP(E5695,#REF!,1,FALSE())),"?TYPE_IDENTIFIABLE","?REFERENTIAL"),"_")))))</f>
        <v> </v>
      </c>
      <c r="H5695" s="25" t="str">
        <f>IF(J5695&lt;&gt;1,"",IF(I5695="SBJ","CB","?"))</f>
        <v> </v>
      </c>
      <c r="I5695" s="26" t="str">
        <f>IF(OR(E5695="",E5695="!!!",F5695="NEW"),"",INDEX(B5694:B$2,-1+SUMPRODUCT(MAX(ROW(E5694:E$2)*(E5695=E5694:E$2)))))</f>
        <v> </v>
      </c>
      <c r="J5695" s="26" t="str">
        <f>IF(OR(E5695="",E5695="!!!",F5695="NEW"),"",COUNTBLANK(OFFSET(A$1,,,SUMPRODUCT(MAX(ROW(E$2:E5695)*(E5695=E$2:E5695)))))-COUNTBLANK(OFFSET(A$1,,,SUMPRODUCT(MAX(ROW(E$1:E5694)*(E2=E$1:E5694))))))</f>
        <v> </v>
      </c>
      <c r="K5695" s="26" t="str">
        <f>IF(OR(E5695="",E5695="!!!",F5695="NEW"),"",INDEX(J$1:J5694,SUMPRODUCT(MAX(ROW(E$1:E5694)*(E5695=E$1:E5694)))))</f>
        <v> </v>
      </c>
      <c r="L5695" s="27"/>
    </row>
    <row r="5696" spans="1:12">
      <c r="A5696" s="20" t="s">
        <v>2258</v>
      </c>
      <c r="E5696" s="22">
        <f>IF(D5696="?OLD","!!!","")</f>
        <v/>
      </c>
      <c r="F5696" s="23" t="str">
        <f>IF(OR(E5696="",E5696="!!!"),"",IF(NOT(ISNA(VLOOKUP(E5696,E$1:E5695,1,FALSE()))),"OLD",IF(AND(E5696&lt;&gt;"",E5696&lt;&gt;"!!!"),"NEW","")))</f>
        <v> </v>
      </c>
      <c r="G5696" s="24" t="str">
        <f>IF(OR(E5696="",E5696="!!!"),"",IF(OR(J5696=0,AND(J5696=1,K5696=1),AND(J5696=1,I5696="SBJ"),AND(J5696=1,I5696=0)),"?IN_FOCUS",IF(J5696&lt;=2,"?ACTIVATED",IF(J5696&lt;&gt;"","?FAMILIAR",IF(F5696="NEW",IF(ISNA(VLOOKUP(E5696,#REF!,1,FALSE())),"?TYPE_IDENTIFIABLE","?REFERENTIAL"),"_")))))</f>
        <v> </v>
      </c>
      <c r="H5696" s="25" t="str">
        <f>IF(J5696&lt;&gt;1,"",IF(I5696="SBJ","CB","?"))</f>
        <v> </v>
      </c>
      <c r="I5696" s="26" t="str">
        <f>IF(OR(E5696="",E5696="!!!",F5696="NEW"),"",INDEX(B5695:B$2,-1+SUMPRODUCT(MAX(ROW(E5695:E$2)*(E5696=E5695:E$2)))))</f>
        <v> </v>
      </c>
      <c r="J5696" s="26" t="str">
        <f>IF(OR(E5696="",E5696="!!!",F5696="NEW"),"",COUNTBLANK(OFFSET(A$1,,,SUMPRODUCT(MAX(ROW(E$2:E5696)*(E5696=E$2:E5696)))))-COUNTBLANK(OFFSET(A$1,,,SUMPRODUCT(MAX(ROW(E$1:E5695)*(E2=E$1:E5695))))))</f>
        <v> </v>
      </c>
      <c r="K5696" s="26" t="str">
        <f>IF(OR(E5696="",E5696="!!!",F5696="NEW"),"",INDEX(J$1:J5695,SUMPRODUCT(MAX(ROW(E$1:E5695)*(E5696=E$1:E5695)))))</f>
        <v> </v>
      </c>
      <c r="L5696" s="27"/>
    </row>
    <row r="5697" spans="1:12">
      <c r="A5697" s="20" t="s">
        <v>1025</v>
      </c>
      <c r="E5697" s="22">
        <f>IF(D5697="?OLD","!!!","")</f>
        <v/>
      </c>
      <c r="F5697" s="23" t="str">
        <f>IF(OR(E5697="",E5697="!!!"),"",IF(NOT(ISNA(VLOOKUP(E5697,E$1:E5696,1,FALSE()))),"OLD",IF(AND(E5697&lt;&gt;"",E5697&lt;&gt;"!!!"),"NEW","")))</f>
        <v> </v>
      </c>
      <c r="G5697" s="24" t="str">
        <f>IF(OR(E5697="",E5697="!!!"),"",IF(OR(J5697=0,AND(J5697=1,K5697=1),AND(J5697=1,I5697="SBJ"),AND(J5697=1,I5697=0)),"?IN_FOCUS",IF(J5697&lt;=2,"?ACTIVATED",IF(J5697&lt;&gt;"","?FAMILIAR",IF(F5697="NEW",IF(ISNA(VLOOKUP(E5697,#REF!,1,FALSE())),"?TYPE_IDENTIFIABLE","?REFERENTIAL"),"_")))))</f>
        <v> </v>
      </c>
      <c r="H5697" s="25" t="str">
        <f>IF(J5697&lt;&gt;1,"",IF(I5697="SBJ","CB","?"))</f>
        <v> </v>
      </c>
      <c r="I5697" s="26" t="str">
        <f>IF(OR(E5697="",E5697="!!!",F5697="NEW"),"",INDEX(B5696:B$2,-1+SUMPRODUCT(MAX(ROW(E5696:E$2)*(E5697=E5696:E$2)))))</f>
        <v> </v>
      </c>
      <c r="J5697" s="26" t="str">
        <f>IF(OR(E5697="",E5697="!!!",F5697="NEW"),"",COUNTBLANK(OFFSET(A$1,,,SUMPRODUCT(MAX(ROW(E$2:E5697)*(E5697=E$2:E5697)))))-COUNTBLANK(OFFSET(A$1,,,SUMPRODUCT(MAX(ROW(E$1:E5696)*(E2=E$1:E5696))))))</f>
        <v> </v>
      </c>
      <c r="K5697" s="26" t="str">
        <f>IF(OR(E5697="",E5697="!!!",F5697="NEW"),"",INDEX(J$1:J5696,SUMPRODUCT(MAX(ROW(E$1:E5696)*(E5697=E$1:E5696)))))</f>
        <v> </v>
      </c>
      <c r="L5697" s="27"/>
    </row>
    <row r="5698" spans="1:12">
      <c r="A5698" s="20" t="s">
        <v>12</v>
      </c>
      <c r="E5698" s="22">
        <f>IF(D5698="?OLD","!!!","")</f>
        <v/>
      </c>
      <c r="F5698" s="23" t="str">
        <f>IF(OR(E5698="",E5698="!!!"),"",IF(NOT(ISNA(VLOOKUP(E5698,E$1:E5697,1,FALSE()))),"OLD",IF(AND(E5698&lt;&gt;"",E5698&lt;&gt;"!!!"),"NEW","")))</f>
        <v> </v>
      </c>
      <c r="G5698" s="24" t="str">
        <f>IF(OR(E5698="",E5698="!!!"),"",IF(OR(J5698=0,AND(J5698=1,K5698=1),AND(J5698=1,I5698="SBJ"),AND(J5698=1,I5698=0)),"?IN_FOCUS",IF(J5698&lt;=2,"?ACTIVATED",IF(J5698&lt;&gt;"","?FAMILIAR",IF(F5698="NEW",IF(ISNA(VLOOKUP(E5698,#REF!,1,FALSE())),"?TYPE_IDENTIFIABLE","?REFERENTIAL"),"_")))))</f>
        <v> </v>
      </c>
      <c r="H5698" s="25" t="str">
        <f>IF(J5698&lt;&gt;1,"",IF(I5698="SBJ","CB","?"))</f>
        <v> </v>
      </c>
      <c r="I5698" s="26" t="str">
        <f>IF(OR(E5698="",E5698="!!!",F5698="NEW"),"",INDEX(B5697:B$2,-1+SUMPRODUCT(MAX(ROW(E5697:E$2)*(E5698=E5697:E$2)))))</f>
        <v> </v>
      </c>
      <c r="J5698" s="26" t="str">
        <f>IF(OR(E5698="",E5698="!!!",F5698="NEW"),"",COUNTBLANK(OFFSET(A$1,,,SUMPRODUCT(MAX(ROW(E$2:E5698)*(E5698=E$2:E5698)))))-COUNTBLANK(OFFSET(A$1,,,SUMPRODUCT(MAX(ROW(E$1:E5697)*(E2=E$1:E5697))))))</f>
        <v> </v>
      </c>
      <c r="K5698" s="26" t="str">
        <f>IF(OR(E5698="",E5698="!!!",F5698="NEW"),"",INDEX(J$1:J5697,SUMPRODUCT(MAX(ROW(E$1:E5697)*(E5698=E$1:E5697)))))</f>
        <v> </v>
      </c>
      <c r="L5698" s="27"/>
    </row>
    <row r="5699" spans="1:12">
      <c r="A5699" s="20" t="s">
        <v>1025</v>
      </c>
      <c r="B5699" s="21" t="s">
        <v>1115</v>
      </c>
      <c r="C5699" s="21" t="s">
        <v>1026</v>
      </c>
      <c r="D5699" s="21" t="s">
        <v>1011</v>
      </c>
      <c r="E5699" s="22">
        <f>IF(D5699="?OLD","!!!","")</f>
        <v/>
      </c>
      <c r="F5699" s="23" t="str">
        <f>IF(OR(E5699="",E5699="!!!"),"",IF(NOT(ISNA(VLOOKUP(E5699,E$1:E5698,1,FALSE()))),"OLD",IF(AND(E5699&lt;&gt;"",E5699&lt;&gt;"!!!"),"NEW","")))</f>
        <v> </v>
      </c>
      <c r="G5699" s="24" t="str">
        <f>IF(OR(E5699="",E5699="!!!"),"",IF(OR(J5699=0,AND(J5699=1,K5699=1),AND(J5699=1,I5699="SBJ"),AND(J5699=1,I5699=0)),"?IN_FOCUS",IF(J5699&lt;=2,"?ACTIVATED",IF(J5699&lt;&gt;"","?FAMILIAR",IF(F5699="NEW",IF(ISNA(VLOOKUP(E5699,#REF!,1,FALSE())),"?TYPE_IDENTIFIABLE","?REFERENTIAL"),"_")))))</f>
        <v> </v>
      </c>
      <c r="H5699" s="25" t="str">
        <f>IF(J5699&lt;&gt;1,"",IF(I5699="SBJ","CB","?"))</f>
        <v> </v>
      </c>
      <c r="I5699" s="26" t="str">
        <f>IF(OR(E5699="",E5699="!!!",F5699="NEW"),"",INDEX(B5698:B$2,-1+SUMPRODUCT(MAX(ROW(E5698:E$2)*(E5699=E5698:E$2)))))</f>
        <v> </v>
      </c>
      <c r="J5699" s="26" t="str">
        <f>IF(OR(E5699="",E5699="!!!",F5699="NEW"),"",COUNTBLANK(OFFSET(A$1,,,SUMPRODUCT(MAX(ROW(E$2:E5699)*(E5699=E$2:E5699)))))-COUNTBLANK(OFFSET(A$1,,,SUMPRODUCT(MAX(ROW(E$1:E5698)*(E2=E$1:E5698))))))</f>
        <v> </v>
      </c>
      <c r="K5699" s="26" t="str">
        <f>IF(OR(E5699="",E5699="!!!",F5699="NEW"),"",INDEX(J$1:J5698,SUMPRODUCT(MAX(ROW(E$1:E5698)*(E5699=E$1:E5698)))))</f>
        <v> </v>
      </c>
      <c r="L5699" s="27"/>
    </row>
    <row r="5700" spans="1:12">
      <c r="A5700" s="20" t="s">
        <v>1032</v>
      </c>
      <c r="E5700" s="22">
        <f>IF(D5700="?OLD","!!!","")</f>
        <v/>
      </c>
      <c r="F5700" s="23" t="str">
        <f>IF(OR(E5700="",E5700="!!!"),"",IF(NOT(ISNA(VLOOKUP(E5700,E$1:E5699,1,FALSE()))),"OLD",IF(AND(E5700&lt;&gt;"",E5700&lt;&gt;"!!!"),"NEW","")))</f>
        <v> </v>
      </c>
      <c r="G5700" s="24" t="str">
        <f>IF(OR(E5700="",E5700="!!!"),"",IF(OR(J5700=0,AND(J5700=1,K5700=1),AND(J5700=1,I5700="SBJ"),AND(J5700=1,I5700=0)),"?IN_FOCUS",IF(J5700&lt;=2,"?ACTIVATED",IF(J5700&lt;&gt;"","?FAMILIAR",IF(F5700="NEW",IF(ISNA(VLOOKUP(E5700,#REF!,1,FALSE())),"?TYPE_IDENTIFIABLE","?REFERENTIAL"),"_")))))</f>
        <v> </v>
      </c>
      <c r="H5700" s="25" t="str">
        <f>IF(J5700&lt;&gt;1,"",IF(I5700="SBJ","CB","?"))</f>
        <v> </v>
      </c>
      <c r="I5700" s="26" t="str">
        <f>IF(OR(E5700="",E5700="!!!",F5700="NEW"),"",INDEX(B5699:B$2,-1+SUMPRODUCT(MAX(ROW(E5699:E$2)*(E5700=E5699:E$2)))))</f>
        <v> </v>
      </c>
      <c r="J5700" s="26" t="str">
        <f>IF(OR(E5700="",E5700="!!!",F5700="NEW"),"",COUNTBLANK(OFFSET(A$1,,,SUMPRODUCT(MAX(ROW(E$2:E5700)*(E5700=E$2:E5700)))))-COUNTBLANK(OFFSET(A$1,,,SUMPRODUCT(MAX(ROW(E$1:E5699)*(E2=E$1:E5699))))))</f>
        <v> </v>
      </c>
      <c r="K5700" s="26" t="str">
        <f>IF(OR(E5700="",E5700="!!!",F5700="NEW"),"",INDEX(J$1:J5699,SUMPRODUCT(MAX(ROW(E$1:E5699)*(E5700=E$1:E5699)))))</f>
        <v> </v>
      </c>
      <c r="L5700" s="27"/>
    </row>
    <row r="5701" spans="1:12">
      <c r="A5701" s="20" t="s">
        <v>1014</v>
      </c>
      <c r="E5701" s="22">
        <f>IF(D5701="?OLD","!!!","")</f>
        <v/>
      </c>
      <c r="F5701" s="23" t="str">
        <f>IF(OR(E5701="",E5701="!!!"),"",IF(NOT(ISNA(VLOOKUP(E5701,E$1:E5700,1,FALSE()))),"OLD",IF(AND(E5701&lt;&gt;"",E5701&lt;&gt;"!!!"),"NEW","")))</f>
        <v> </v>
      </c>
      <c r="G5701" s="24" t="str">
        <f>IF(OR(E5701="",E5701="!!!"),"",IF(OR(J5701=0,AND(J5701=1,K5701=1),AND(J5701=1,I5701="SBJ"),AND(J5701=1,I5701=0)),"?IN_FOCUS",IF(J5701&lt;=2,"?ACTIVATED",IF(J5701&lt;&gt;"","?FAMILIAR",IF(F5701="NEW",IF(ISNA(VLOOKUP(E5701,#REF!,1,FALSE())),"?TYPE_IDENTIFIABLE","?REFERENTIAL"),"_")))))</f>
        <v> </v>
      </c>
      <c r="H5701" s="25" t="str">
        <f>IF(J5701&lt;&gt;1,"",IF(I5701="SBJ","CB","?"))</f>
        <v> </v>
      </c>
      <c r="I5701" s="26" t="str">
        <f>IF(OR(E5701="",E5701="!!!",F5701="NEW"),"",INDEX(B5700:B$2,-1+SUMPRODUCT(MAX(ROW(E5700:E$2)*(E5701=E5700:E$2)))))</f>
        <v> </v>
      </c>
      <c r="J5701" s="26" t="str">
        <f>IF(OR(E5701="",E5701="!!!",F5701="NEW"),"",COUNTBLANK(OFFSET(A$1,,,SUMPRODUCT(MAX(ROW(E$2:E5701)*(E5701=E$2:E5701)))))-COUNTBLANK(OFFSET(A$1,,,SUMPRODUCT(MAX(ROW(E$1:E5700)*(E2=E$1:E5700))))))</f>
        <v> </v>
      </c>
      <c r="K5701" s="26" t="str">
        <f>IF(OR(E5701="",E5701="!!!",F5701="NEW"),"",INDEX(J$1:J5700,SUMPRODUCT(MAX(ROW(E$1:E5700)*(E5701=E$1:E5700)))))</f>
        <v> </v>
      </c>
      <c r="L5701" s="27"/>
    </row>
    <row r="5702" spans="1:12">
      <c r="A5702" s="20" t="s">
        <v>1936</v>
      </c>
      <c r="B5702" s="21" t="s">
        <v>1064</v>
      </c>
      <c r="C5702" s="21" t="s">
        <v>1010</v>
      </c>
      <c r="D5702" s="21" t="s">
        <v>1011</v>
      </c>
      <c r="E5702" s="22">
        <f>IF(D5702="?OLD","!!!","")</f>
        <v/>
      </c>
      <c r="F5702" s="23" t="str">
        <f>IF(OR(E5702="",E5702="!!!"),"",IF(NOT(ISNA(VLOOKUP(E5702,E$1:E5701,1,FALSE()))),"OLD",IF(AND(E5702&lt;&gt;"",E5702&lt;&gt;"!!!"),"NEW","")))</f>
        <v> </v>
      </c>
      <c r="G5702" s="24" t="str">
        <f>IF(OR(E5702="",E5702="!!!"),"",IF(OR(J5702=0,AND(J5702=1,K5702=1),AND(J5702=1,I5702="SBJ"),AND(J5702=1,I5702=0)),"?IN_FOCUS",IF(J5702&lt;=2,"?ACTIVATED",IF(J5702&lt;&gt;"","?FAMILIAR",IF(F5702="NEW",IF(ISNA(VLOOKUP(E5702,#REF!,1,FALSE())),"?TYPE_IDENTIFIABLE","?REFERENTIAL"),"_")))))</f>
        <v> </v>
      </c>
      <c r="H5702" s="25" t="str">
        <f>IF(J5702&lt;&gt;1,"",IF(I5702="SBJ","CB","?"))</f>
        <v> </v>
      </c>
      <c r="I5702" s="26" t="str">
        <f>IF(OR(E5702="",E5702="!!!",F5702="NEW"),"",INDEX(B5701:B$2,-1+SUMPRODUCT(MAX(ROW(E5701:E$2)*(E5702=E5701:E$2)))))</f>
        <v> </v>
      </c>
      <c r="J5702" s="26" t="str">
        <f>IF(OR(E5702="",E5702="!!!",F5702="NEW"),"",COUNTBLANK(OFFSET(A$1,,,SUMPRODUCT(MAX(ROW(E$2:E5702)*(E5702=E$2:E5702)))))-COUNTBLANK(OFFSET(A$1,,,SUMPRODUCT(MAX(ROW(E$1:E5701)*(E2=E$1:E5701))))))</f>
        <v> </v>
      </c>
      <c r="K5702" s="26" t="str">
        <f>IF(OR(E5702="",E5702="!!!",F5702="NEW"),"",INDEX(J$1:J5701,SUMPRODUCT(MAX(ROW(E$1:E5701)*(E5702=E$1:E5701)))))</f>
        <v> </v>
      </c>
      <c r="L5702" s="27"/>
    </row>
    <row r="5703" spans="1:12">
      <c r="A5703" s="20" t="s">
        <v>1032</v>
      </c>
      <c r="E5703" s="22">
        <f>IF(D5703="?OLD","!!!","")</f>
        <v/>
      </c>
      <c r="F5703" s="23" t="str">
        <f>IF(OR(E5703="",E5703="!!!"),"",IF(NOT(ISNA(VLOOKUP(E5703,E$1:E5702,1,FALSE()))),"OLD",IF(AND(E5703&lt;&gt;"",E5703&lt;&gt;"!!!"),"NEW","")))</f>
        <v> </v>
      </c>
      <c r="G5703" s="24" t="str">
        <f>IF(OR(E5703="",E5703="!!!"),"",IF(OR(J5703=0,AND(J5703=1,K5703=1),AND(J5703=1,I5703="SBJ"),AND(J5703=1,I5703=0)),"?IN_FOCUS",IF(J5703&lt;=2,"?ACTIVATED",IF(J5703&lt;&gt;"","?FAMILIAR",IF(F5703="NEW",IF(ISNA(VLOOKUP(E5703,#REF!,1,FALSE())),"?TYPE_IDENTIFIABLE","?REFERENTIAL"),"_")))))</f>
        <v> </v>
      </c>
      <c r="H5703" s="25" t="str">
        <f>IF(J5703&lt;&gt;1,"",IF(I5703="SBJ","CB","?"))</f>
        <v> </v>
      </c>
      <c r="I5703" s="26" t="str">
        <f>IF(OR(E5703="",E5703="!!!",F5703="NEW"),"",INDEX(B5702:B$2,-1+SUMPRODUCT(MAX(ROW(E5702:E$2)*(E5703=E5702:E$2)))))</f>
        <v> </v>
      </c>
      <c r="J5703" s="26" t="str">
        <f>IF(OR(E5703="",E5703="!!!",F5703="NEW"),"",COUNTBLANK(OFFSET(A$1,,,SUMPRODUCT(MAX(ROW(E$2:E5703)*(E5703=E$2:E5703)))))-COUNTBLANK(OFFSET(A$1,,,SUMPRODUCT(MAX(ROW(E$1:E5702)*(E2=E$1:E5702))))))</f>
        <v> </v>
      </c>
      <c r="K5703" s="26" t="str">
        <f>IF(OR(E5703="",E5703="!!!",F5703="NEW"),"",INDEX(J$1:J5702,SUMPRODUCT(MAX(ROW(E$1:E5702)*(E5703=E$1:E5702)))))</f>
        <v> </v>
      </c>
      <c r="L5703" s="27"/>
    </row>
    <row r="5704" spans="1:12">
      <c r="A5704" s="20" t="s">
        <v>1046</v>
      </c>
      <c r="E5704" s="22">
        <f>IF(D5704="?OLD","!!!","")</f>
        <v/>
      </c>
      <c r="F5704" s="23" t="str">
        <f>IF(OR(E5704="",E5704="!!!"),"",IF(NOT(ISNA(VLOOKUP(E5704,E$1:E5703,1,FALSE()))),"OLD",IF(AND(E5704&lt;&gt;"",E5704&lt;&gt;"!!!"),"NEW","")))</f>
        <v> </v>
      </c>
      <c r="G5704" s="24" t="str">
        <f>IF(OR(E5704="",E5704="!!!"),"",IF(OR(J5704=0,AND(J5704=1,K5704=1),AND(J5704=1,I5704="SBJ"),AND(J5704=1,I5704=0)),"?IN_FOCUS",IF(J5704&lt;=2,"?ACTIVATED",IF(J5704&lt;&gt;"","?FAMILIAR",IF(F5704="NEW",IF(ISNA(VLOOKUP(E5704,#REF!,1,FALSE())),"?TYPE_IDENTIFIABLE","?REFERENTIAL"),"_")))))</f>
        <v> </v>
      </c>
      <c r="H5704" s="25" t="str">
        <f>IF(J5704&lt;&gt;1,"",IF(I5704="SBJ","CB","?"))</f>
        <v> </v>
      </c>
      <c r="I5704" s="26" t="str">
        <f>IF(OR(E5704="",E5704="!!!",F5704="NEW"),"",INDEX(B5703:B$2,-1+SUMPRODUCT(MAX(ROW(E5703:E$2)*(E5704=E5703:E$2)))))</f>
        <v> </v>
      </c>
      <c r="J5704" s="26" t="str">
        <f>IF(OR(E5704="",E5704="!!!",F5704="NEW"),"",COUNTBLANK(OFFSET(A$1,,,SUMPRODUCT(MAX(ROW(E$2:E5704)*(E5704=E$2:E5704)))))-COUNTBLANK(OFFSET(A$1,,,SUMPRODUCT(MAX(ROW(E$1:E5703)*(E2=E$1:E5703))))))</f>
        <v> </v>
      </c>
      <c r="K5704" s="26" t="str">
        <f>IF(OR(E5704="",E5704="!!!",F5704="NEW"),"",INDEX(J$1:J5703,SUMPRODUCT(MAX(ROW(E$1:E5703)*(E5704=E$1:E5703)))))</f>
        <v> </v>
      </c>
      <c r="L5704" s="27"/>
    </row>
    <row r="5705" spans="1:12">
      <c r="A5705" s="20" t="s">
        <v>1045</v>
      </c>
      <c r="E5705" s="22">
        <f>IF(D5705="?OLD","!!!","")</f>
        <v/>
      </c>
      <c r="F5705" s="23" t="str">
        <f>IF(OR(E5705="",E5705="!!!"),"",IF(NOT(ISNA(VLOOKUP(E5705,E$1:E5704,1,FALSE()))),"OLD",IF(AND(E5705&lt;&gt;"",E5705&lt;&gt;"!!!"),"NEW","")))</f>
        <v> </v>
      </c>
      <c r="G5705" s="24" t="str">
        <f>IF(OR(E5705="",E5705="!!!"),"",IF(OR(J5705=0,AND(J5705=1,K5705=1),AND(J5705=1,I5705="SBJ"),AND(J5705=1,I5705=0)),"?IN_FOCUS",IF(J5705&lt;=2,"?ACTIVATED",IF(J5705&lt;&gt;"","?FAMILIAR",IF(F5705="NEW",IF(ISNA(VLOOKUP(E5705,#REF!,1,FALSE())),"?TYPE_IDENTIFIABLE","?REFERENTIAL"),"_")))))</f>
        <v> </v>
      </c>
      <c r="H5705" s="25" t="str">
        <f>IF(J5705&lt;&gt;1,"",IF(I5705="SBJ","CB","?"))</f>
        <v> </v>
      </c>
      <c r="I5705" s="26" t="str">
        <f>IF(OR(E5705="",E5705="!!!",F5705="NEW"),"",INDEX(B5704:B$2,-1+SUMPRODUCT(MAX(ROW(E5704:E$2)*(E5705=E5704:E$2)))))</f>
        <v> </v>
      </c>
      <c r="J5705" s="26" t="str">
        <f>IF(OR(E5705="",E5705="!!!",F5705="NEW"),"",COUNTBLANK(OFFSET(A$1,,,SUMPRODUCT(MAX(ROW(E$2:E5705)*(E5705=E$2:E5705)))))-COUNTBLANK(OFFSET(A$1,,,SUMPRODUCT(MAX(ROW(E$1:E5704)*(E2=E$1:E5704))))))</f>
        <v> </v>
      </c>
      <c r="K5705" s="26" t="str">
        <f>IF(OR(E5705="",E5705="!!!",F5705="NEW"),"",INDEX(J$1:J5704,SUMPRODUCT(MAX(ROW(E$1:E5704)*(E5705=E$1:E5704)))))</f>
        <v> </v>
      </c>
      <c r="L5705" s="27"/>
    </row>
    <row r="5706" spans="1:12">
      <c r="A5706" s="20" t="s">
        <v>1028</v>
      </c>
      <c r="E5706" s="22">
        <f>IF(D5706="?OLD","!!!","")</f>
        <v/>
      </c>
      <c r="F5706" s="23" t="str">
        <f>IF(OR(E5706="",E5706="!!!"),"",IF(NOT(ISNA(VLOOKUP(E5706,E$1:E5705,1,FALSE()))),"OLD",IF(AND(E5706&lt;&gt;"",E5706&lt;&gt;"!!!"),"NEW","")))</f>
        <v> </v>
      </c>
      <c r="G5706" s="24" t="str">
        <f>IF(OR(E5706="",E5706="!!!"),"",IF(OR(J5706=0,AND(J5706=1,K5706=1),AND(J5706=1,I5706="SBJ"),AND(J5706=1,I5706=0)),"?IN_FOCUS",IF(J5706&lt;=2,"?ACTIVATED",IF(J5706&lt;&gt;"","?FAMILIAR",IF(F5706="NEW",IF(ISNA(VLOOKUP(E5706,#REF!,1,FALSE())),"?TYPE_IDENTIFIABLE","?REFERENTIAL"),"_")))))</f>
        <v> </v>
      </c>
      <c r="H5706" s="25" t="str">
        <f>IF(J5706&lt;&gt;1,"",IF(I5706="SBJ","CB","?"))</f>
        <v> </v>
      </c>
      <c r="I5706" s="26" t="str">
        <f>IF(OR(E5706="",E5706="!!!",F5706="NEW"),"",INDEX(B5705:B$2,-1+SUMPRODUCT(MAX(ROW(E5705:E$2)*(E5706=E5705:E$2)))))</f>
        <v> </v>
      </c>
      <c r="J5706" s="26" t="str">
        <f>IF(OR(E5706="",E5706="!!!",F5706="NEW"),"",COUNTBLANK(OFFSET(A$1,,,SUMPRODUCT(MAX(ROW(E$2:E5706)*(E5706=E$2:E5706)))))-COUNTBLANK(OFFSET(A$1,,,SUMPRODUCT(MAX(ROW(E$1:E5705)*(E2=E$1:E5705))))))</f>
        <v> </v>
      </c>
      <c r="K5706" s="26" t="str">
        <f>IF(OR(E5706="",E5706="!!!",F5706="NEW"),"",INDEX(J$1:J5705,SUMPRODUCT(MAX(ROW(E$1:E5705)*(E5706=E$1:E5705)))))</f>
        <v> </v>
      </c>
      <c r="L5706" s="27"/>
    </row>
    <row r="5707" spans="1:12">
      <c r="A5707" s="20" t="s">
        <v>1604</v>
      </c>
      <c r="B5707" s="21" t="s">
        <v>1605</v>
      </c>
      <c r="C5707" s="21" t="s">
        <v>1030</v>
      </c>
      <c r="E5707" s="22">
        <f>IF(D5707="?OLD","!!!","")</f>
        <v/>
      </c>
      <c r="F5707" s="23" t="str">
        <f>IF(OR(E5707="",E5707="!!!"),"",IF(NOT(ISNA(VLOOKUP(E5707,E$1:E5706,1,FALSE()))),"OLD",IF(AND(E5707&lt;&gt;"",E5707&lt;&gt;"!!!"),"NEW","")))</f>
        <v> </v>
      </c>
      <c r="G5707" s="24" t="str">
        <f>IF(OR(E5707="",E5707="!!!"),"",IF(OR(J5707=0,AND(J5707=1,K5707=1),AND(J5707=1,I5707="SBJ"),AND(J5707=1,I5707=0)),"?IN_FOCUS",IF(J5707&lt;=2,"?ACTIVATED",IF(J5707&lt;&gt;"","?FAMILIAR",IF(F5707="NEW",IF(ISNA(VLOOKUP(E5707,#REF!,1,FALSE())),"?TYPE_IDENTIFIABLE","?REFERENTIAL"),"_")))))</f>
        <v> </v>
      </c>
      <c r="H5707" s="25" t="str">
        <f>IF(J5707&lt;&gt;1,"",IF(I5707="SBJ","CB","?"))</f>
        <v> </v>
      </c>
      <c r="I5707" s="26" t="str">
        <f>IF(OR(E5707="",E5707="!!!",F5707="NEW"),"",INDEX(B5706:B$2,-1+SUMPRODUCT(MAX(ROW(E5706:E$2)*(E5707=E5706:E$2)))))</f>
        <v> </v>
      </c>
      <c r="J5707" s="26" t="str">
        <f>IF(OR(E5707="",E5707="!!!",F5707="NEW"),"",COUNTBLANK(OFFSET(A$1,,,SUMPRODUCT(MAX(ROW(E$2:E5707)*(E5707=E$2:E5707)))))-COUNTBLANK(OFFSET(A$1,,,SUMPRODUCT(MAX(ROW(E$1:E5706)*(E2=E$1:E5706))))))</f>
        <v> </v>
      </c>
      <c r="K5707" s="26" t="str">
        <f>IF(OR(E5707="",E5707="!!!",F5707="NEW"),"",INDEX(J$1:J5706,SUMPRODUCT(MAX(ROW(E$1:E5706)*(E5707=E$1:E5706)))))</f>
        <v> </v>
      </c>
      <c r="L5707" s="27"/>
    </row>
    <row r="5708" spans="1:12">
      <c r="A5708" s="20" t="s">
        <v>1022</v>
      </c>
      <c r="E5708" s="22">
        <f>IF(D5708="?OLD","!!!","")</f>
        <v/>
      </c>
      <c r="F5708" s="23" t="str">
        <f>IF(OR(E5708="",E5708="!!!"),"",IF(NOT(ISNA(VLOOKUP(E5708,E$1:E5707,1,FALSE()))),"OLD",IF(AND(E5708&lt;&gt;"",E5708&lt;&gt;"!!!"),"NEW","")))</f>
        <v> </v>
      </c>
      <c r="G5708" s="24" t="str">
        <f>IF(OR(E5708="",E5708="!!!"),"",IF(OR(J5708=0,AND(J5708=1,K5708=1),AND(J5708=1,I5708="SBJ"),AND(J5708=1,I5708=0)),"?IN_FOCUS",IF(J5708&lt;=2,"?ACTIVATED",IF(J5708&lt;&gt;"","?FAMILIAR",IF(F5708="NEW",IF(ISNA(VLOOKUP(E5708,#REF!,1,FALSE())),"?TYPE_IDENTIFIABLE","?REFERENTIAL"),"_")))))</f>
        <v> </v>
      </c>
      <c r="H5708" s="25" t="str">
        <f>IF(J5708&lt;&gt;1,"",IF(I5708="SBJ","CB","?"))</f>
        <v> </v>
      </c>
      <c r="I5708" s="26" t="str">
        <f>IF(OR(E5708="",E5708="!!!",F5708="NEW"),"",INDEX(B5707:B$2,-1+SUMPRODUCT(MAX(ROW(E5707:E$2)*(E5708=E5707:E$2)))))</f>
        <v> </v>
      </c>
      <c r="J5708" s="26" t="str">
        <f>IF(OR(E5708="",E5708="!!!",F5708="NEW"),"",COUNTBLANK(OFFSET(A$1,,,SUMPRODUCT(MAX(ROW(E$2:E5708)*(E5708=E$2:E5708)))))-COUNTBLANK(OFFSET(A$1,,,SUMPRODUCT(MAX(ROW(E$1:E5707)*(E2=E$1:E5707))))))</f>
        <v> </v>
      </c>
      <c r="K5708" s="26" t="str">
        <f>IF(OR(E5708="",E5708="!!!",F5708="NEW"),"",INDEX(J$1:J5707,SUMPRODUCT(MAX(ROW(E$1:E5707)*(E5708=E$1:E5707)))))</f>
        <v> </v>
      </c>
      <c r="L5708" s="27"/>
    </row>
    <row r="5709" spans="1:12">
      <c r="A5709" s="20"/>
    </row>
    <row r="5710" spans="1:12">
      <c r="A5710" s="20" t="s">
        <v>2259</v>
      </c>
    </row>
    <row r="5711" spans="1:12">
      <c r="A5711" s="20" t="s">
        <v>2260</v>
      </c>
      <c r="E5711" s="22">
        <f>IF(D5711="?OLD","!!!","")</f>
        <v/>
      </c>
      <c r="F5711" s="23" t="str">
        <f>IF(OR(E5711="",E5711="!!!"),"",IF(NOT(ISNA(VLOOKUP(E5711,E$1:E5710,1,FALSE()))),"OLD",IF(AND(E5711&lt;&gt;"",E5711&lt;&gt;"!!!"),"NEW","")))</f>
        <v> </v>
      </c>
      <c r="G5711" s="24" t="str">
        <f>IF(OR(E5711="",E5711="!!!"),"",IF(OR(J5711=0,AND(J5711=1,K5711=1),AND(J5711=1,I5711="SBJ"),AND(J5711=1,I5711=0)),"?IN_FOCUS",IF(J5711&lt;=2,"?ACTIVATED",IF(J5711&lt;&gt;"","?FAMILIAR",IF(F5711="NEW",IF(ISNA(VLOOKUP(E5711,#REF!,1,FALSE())),"?TYPE_IDENTIFIABLE","?REFERENTIAL"),"_")))))</f>
        <v> </v>
      </c>
      <c r="H5711" s="25" t="str">
        <f>IF(J5711&lt;&gt;1,"",IF(I5711="SBJ","CB","?"))</f>
        <v> </v>
      </c>
      <c r="I5711" s="26" t="str">
        <f>IF(OR(E5711="",E5711="!!!",F5711="NEW"),"",INDEX(B5710:B$2,-1+SUMPRODUCT(MAX(ROW(E5710:E$2)*(E5711=E5710:E$2)))))</f>
        <v> </v>
      </c>
      <c r="J5711" s="26" t="str">
        <f>IF(OR(E5711="",E5711="!!!",F5711="NEW"),"",COUNTBLANK(OFFSET(A$1,,,SUMPRODUCT(MAX(ROW(E$2:E5711)*(E5711=E$2:E5711)))))-COUNTBLANK(OFFSET(A$1,,,SUMPRODUCT(MAX(ROW(E$1:E5710)*(E2=E$1:E5710))))))</f>
        <v> </v>
      </c>
      <c r="K5711" s="26" t="str">
        <f>IF(OR(E5711="",E5711="!!!",F5711="NEW"),"",INDEX(J$1:J5710,SUMPRODUCT(MAX(ROW(E$1:E5710)*(E5711=E$1:E5710)))))</f>
        <v> </v>
      </c>
      <c r="L5711" s="27"/>
    </row>
    <row r="5712" spans="1:12">
      <c r="A5712" s="20" t="s">
        <v>1137</v>
      </c>
      <c r="B5712" s="21" t="s">
        <v>1039</v>
      </c>
      <c r="C5712" s="21" t="s">
        <v>1010</v>
      </c>
      <c r="D5712" s="21" t="s">
        <v>1011</v>
      </c>
      <c r="E5712" s="22">
        <f>IF(D5712="?OLD","!!!","")</f>
        <v/>
      </c>
      <c r="F5712" s="23" t="str">
        <f>IF(OR(E5712="",E5712="!!!"),"",IF(NOT(ISNA(VLOOKUP(E5712,E$1:E5711,1,FALSE()))),"OLD",IF(AND(E5712&lt;&gt;"",E5712&lt;&gt;"!!!"),"NEW","")))</f>
        <v> </v>
      </c>
      <c r="G5712" s="24" t="str">
        <f>IF(OR(E5712="",E5712="!!!"),"",IF(OR(J5712=0,AND(J5712=1,K5712=1),AND(J5712=1,I5712="SBJ"),AND(J5712=1,I5712=0)),"?IN_FOCUS",IF(J5712&lt;=2,"?ACTIVATED",IF(J5712&lt;&gt;"","?FAMILIAR",IF(F5712="NEW",IF(ISNA(VLOOKUP(E5712,#REF!,1,FALSE())),"?TYPE_IDENTIFIABLE","?REFERENTIAL"),"_")))))</f>
        <v> </v>
      </c>
      <c r="H5712" s="25" t="str">
        <f>IF(J5712&lt;&gt;1,"",IF(I5712="SBJ","CB","?"))</f>
        <v> </v>
      </c>
      <c r="I5712" s="26" t="str">
        <f>IF(OR(E5712="",E5712="!!!",F5712="NEW"),"",INDEX(B5711:B$2,-1+SUMPRODUCT(MAX(ROW(E5711:E$2)*(E5712=E5711:E$2)))))</f>
        <v> </v>
      </c>
      <c r="J5712" s="26" t="str">
        <f>IF(OR(E5712="",E5712="!!!",F5712="NEW"),"",COUNTBLANK(OFFSET(A$1,,,SUMPRODUCT(MAX(ROW(E$2:E5712)*(E5712=E$2:E5712)))))-COUNTBLANK(OFFSET(A$1,,,SUMPRODUCT(MAX(ROW(E$1:E5711)*(E2=E$1:E5711))))))</f>
        <v> </v>
      </c>
      <c r="K5712" s="26" t="str">
        <f>IF(OR(E5712="",E5712="!!!",F5712="NEW"),"",INDEX(J$1:J5711,SUMPRODUCT(MAX(ROW(E$1:E5711)*(E5712=E$1:E5711)))))</f>
        <v> </v>
      </c>
      <c r="L5712" s="27"/>
    </row>
    <row r="5713" spans="1:12">
      <c r="A5713" s="20" t="s">
        <v>1183</v>
      </c>
      <c r="E5713" s="22">
        <f>IF(D5713="?OLD","!!!","")</f>
        <v/>
      </c>
      <c r="F5713" s="23" t="str">
        <f>IF(OR(E5713="",E5713="!!!"),"",IF(NOT(ISNA(VLOOKUP(E5713,E$1:E5712,1,FALSE()))),"OLD",IF(AND(E5713&lt;&gt;"",E5713&lt;&gt;"!!!"),"NEW","")))</f>
        <v> </v>
      </c>
      <c r="G5713" s="24" t="str">
        <f>IF(OR(E5713="",E5713="!!!"),"",IF(OR(J5713=0,AND(J5713=1,K5713=1),AND(J5713=1,I5713="SBJ"),AND(J5713=1,I5713=0)),"?IN_FOCUS",IF(J5713&lt;=2,"?ACTIVATED",IF(J5713&lt;&gt;"","?FAMILIAR",IF(F5713="NEW",IF(ISNA(VLOOKUP(E5713,#REF!,1,FALSE())),"?TYPE_IDENTIFIABLE","?REFERENTIAL"),"_")))))</f>
        <v> </v>
      </c>
      <c r="H5713" s="25" t="str">
        <f>IF(J5713&lt;&gt;1,"",IF(I5713="SBJ","CB","?"))</f>
        <v> </v>
      </c>
      <c r="I5713" s="26" t="str">
        <f>IF(OR(E5713="",E5713="!!!",F5713="NEW"),"",INDEX(B5712:B$2,-1+SUMPRODUCT(MAX(ROW(E5712:E$2)*(E5713=E5712:E$2)))))</f>
        <v> </v>
      </c>
      <c r="J5713" s="26" t="str">
        <f>IF(OR(E5713="",E5713="!!!",F5713="NEW"),"",COUNTBLANK(OFFSET(A$1,,,SUMPRODUCT(MAX(ROW(E$2:E5713)*(E5713=E$2:E5713)))))-COUNTBLANK(OFFSET(A$1,,,SUMPRODUCT(MAX(ROW(E$1:E5712)*(E2=E$1:E5712))))))</f>
        <v> </v>
      </c>
      <c r="K5713" s="26" t="str">
        <f>IF(OR(E5713="",E5713="!!!",F5713="NEW"),"",INDEX(J$1:J5712,SUMPRODUCT(MAX(ROW(E$1:E5712)*(E5713=E$1:E5712)))))</f>
        <v> </v>
      </c>
      <c r="L5713" s="27"/>
    </row>
    <row r="5714" spans="1:12">
      <c r="A5714" s="20" t="s">
        <v>1133</v>
      </c>
      <c r="E5714" s="22">
        <f>IF(D5714="?OLD","!!!","")</f>
        <v/>
      </c>
      <c r="F5714" s="23" t="str">
        <f>IF(OR(E5714="",E5714="!!!"),"",IF(NOT(ISNA(VLOOKUP(E5714,E$1:E5713,1,FALSE()))),"OLD",IF(AND(E5714&lt;&gt;"",E5714&lt;&gt;"!!!"),"NEW","")))</f>
        <v> </v>
      </c>
      <c r="G5714" s="24" t="str">
        <f>IF(OR(E5714="",E5714="!!!"),"",IF(OR(J5714=0,AND(J5714=1,K5714=1),AND(J5714=1,I5714="SBJ"),AND(J5714=1,I5714=0)),"?IN_FOCUS",IF(J5714&lt;=2,"?ACTIVATED",IF(J5714&lt;&gt;"","?FAMILIAR",IF(F5714="NEW",IF(ISNA(VLOOKUP(E5714,#REF!,1,FALSE())),"?TYPE_IDENTIFIABLE","?REFERENTIAL"),"_")))))</f>
        <v> </v>
      </c>
      <c r="H5714" s="25" t="str">
        <f>IF(J5714&lt;&gt;1,"",IF(I5714="SBJ","CB","?"))</f>
        <v> </v>
      </c>
      <c r="I5714" s="26" t="str">
        <f>IF(OR(E5714="",E5714="!!!",F5714="NEW"),"",INDEX(B5713:B$2,-1+SUMPRODUCT(MAX(ROW(E5713:E$2)*(E5714=E5713:E$2)))))</f>
        <v> </v>
      </c>
      <c r="J5714" s="26" t="str">
        <f>IF(OR(E5714="",E5714="!!!",F5714="NEW"),"",COUNTBLANK(OFFSET(A$1,,,SUMPRODUCT(MAX(ROW(E$2:E5714)*(E5714=E$2:E5714)))))-COUNTBLANK(OFFSET(A$1,,,SUMPRODUCT(MAX(ROW(E$1:E5713)*(E2=E$1:E5713))))))</f>
        <v> </v>
      </c>
      <c r="K5714" s="26" t="str">
        <f>IF(OR(E5714="",E5714="!!!",F5714="NEW"),"",INDEX(J$1:J5713,SUMPRODUCT(MAX(ROW(E$1:E5713)*(E5714=E$1:E5713)))))</f>
        <v> </v>
      </c>
      <c r="L5714" s="27"/>
    </row>
    <row r="5715" spans="1:12">
      <c r="A5715" s="20" t="s">
        <v>2261</v>
      </c>
      <c r="E5715" s="22">
        <f>IF(D5715="?OLD","!!!","")</f>
        <v/>
      </c>
      <c r="F5715" s="23" t="str">
        <f>IF(OR(E5715="",E5715="!!!"),"",IF(NOT(ISNA(VLOOKUP(E5715,E$1:E5714,1,FALSE()))),"OLD",IF(AND(E5715&lt;&gt;"",E5715&lt;&gt;"!!!"),"NEW","")))</f>
        <v> </v>
      </c>
      <c r="G5715" s="24" t="str">
        <f>IF(OR(E5715="",E5715="!!!"),"",IF(OR(J5715=0,AND(J5715=1,K5715=1),AND(J5715=1,I5715="SBJ"),AND(J5715=1,I5715=0)),"?IN_FOCUS",IF(J5715&lt;=2,"?ACTIVATED",IF(J5715&lt;&gt;"","?FAMILIAR",IF(F5715="NEW",IF(ISNA(VLOOKUP(E5715,#REF!,1,FALSE())),"?TYPE_IDENTIFIABLE","?REFERENTIAL"),"_")))))</f>
        <v> </v>
      </c>
      <c r="H5715" s="25" t="str">
        <f>IF(J5715&lt;&gt;1,"",IF(I5715="SBJ","CB","?"))</f>
        <v> </v>
      </c>
      <c r="I5715" s="26" t="str">
        <f>IF(OR(E5715="",E5715="!!!",F5715="NEW"),"",INDEX(B5714:B$2,-1+SUMPRODUCT(MAX(ROW(E5714:E$2)*(E5715=E5714:E$2)))))</f>
        <v> </v>
      </c>
      <c r="J5715" s="26" t="str">
        <f>IF(OR(E5715="",E5715="!!!",F5715="NEW"),"",COUNTBLANK(OFFSET(A$1,,,SUMPRODUCT(MAX(ROW(E$2:E5715)*(E5715=E$2:E5715)))))-COUNTBLANK(OFFSET(A$1,,,SUMPRODUCT(MAX(ROW(E$1:E5714)*(E2=E$1:E5714))))))</f>
        <v> </v>
      </c>
      <c r="K5715" s="26" t="str">
        <f>IF(OR(E5715="",E5715="!!!",F5715="NEW"),"",INDEX(J$1:J5714,SUMPRODUCT(MAX(ROW(E$1:E5714)*(E5715=E$1:E5714)))))</f>
        <v> </v>
      </c>
      <c r="L5715" s="27"/>
    </row>
    <row r="5716" spans="1:12">
      <c r="A5716" s="20" t="s">
        <v>1032</v>
      </c>
      <c r="E5716" s="22">
        <f>IF(D5716="?OLD","!!!","")</f>
        <v/>
      </c>
      <c r="F5716" s="23" t="str">
        <f>IF(OR(E5716="",E5716="!!!"),"",IF(NOT(ISNA(VLOOKUP(E5716,E$1:E5715,1,FALSE()))),"OLD",IF(AND(E5716&lt;&gt;"",E5716&lt;&gt;"!!!"),"NEW","")))</f>
        <v> </v>
      </c>
      <c r="G5716" s="24" t="str">
        <f>IF(OR(E5716="",E5716="!!!"),"",IF(OR(J5716=0,AND(J5716=1,K5716=1),AND(J5716=1,I5716="SBJ"),AND(J5716=1,I5716=0)),"?IN_FOCUS",IF(J5716&lt;=2,"?ACTIVATED",IF(J5716&lt;&gt;"","?FAMILIAR",IF(F5716="NEW",IF(ISNA(VLOOKUP(E5716,#REF!,1,FALSE())),"?TYPE_IDENTIFIABLE","?REFERENTIAL"),"_")))))</f>
        <v> </v>
      </c>
      <c r="H5716" s="25" t="str">
        <f>IF(J5716&lt;&gt;1,"",IF(I5716="SBJ","CB","?"))</f>
        <v> </v>
      </c>
      <c r="I5716" s="26" t="str">
        <f>IF(OR(E5716="",E5716="!!!",F5716="NEW"),"",INDEX(B5715:B$2,-1+SUMPRODUCT(MAX(ROW(E5715:E$2)*(E5716=E5715:E$2)))))</f>
        <v> </v>
      </c>
      <c r="J5716" s="26" t="str">
        <f>IF(OR(E5716="",E5716="!!!",F5716="NEW"),"",COUNTBLANK(OFFSET(A$1,,,SUMPRODUCT(MAX(ROW(E$2:E5716)*(E5716=E$2:E5716)))))-COUNTBLANK(OFFSET(A$1,,,SUMPRODUCT(MAX(ROW(E$1:E5715)*(E2=E$1:E5715))))))</f>
        <v> </v>
      </c>
      <c r="K5716" s="26" t="str">
        <f>IF(OR(E5716="",E5716="!!!",F5716="NEW"),"",INDEX(J$1:J5715,SUMPRODUCT(MAX(ROW(E$1:E5715)*(E5716=E$1:E5715)))))</f>
        <v> </v>
      </c>
      <c r="L5716" s="27"/>
    </row>
    <row r="5717" spans="1:12">
      <c r="A5717" s="20" t="s">
        <v>1020</v>
      </c>
      <c r="E5717" s="22">
        <f>IF(D5717="?OLD","!!!","")</f>
        <v/>
      </c>
      <c r="F5717" s="23" t="str">
        <f>IF(OR(E5717="",E5717="!!!"),"",IF(NOT(ISNA(VLOOKUP(E5717,E$1:E5716,1,FALSE()))),"OLD",IF(AND(E5717&lt;&gt;"",E5717&lt;&gt;"!!!"),"NEW","")))</f>
        <v> </v>
      </c>
      <c r="G5717" s="24" t="str">
        <f>IF(OR(E5717="",E5717="!!!"),"",IF(OR(J5717=0,AND(J5717=1,K5717=1),AND(J5717=1,I5717="SBJ"),AND(J5717=1,I5717=0)),"?IN_FOCUS",IF(J5717&lt;=2,"?ACTIVATED",IF(J5717&lt;&gt;"","?FAMILIAR",IF(F5717="NEW",IF(ISNA(VLOOKUP(E5717,#REF!,1,FALSE())),"?TYPE_IDENTIFIABLE","?REFERENTIAL"),"_")))))</f>
        <v> </v>
      </c>
      <c r="H5717" s="25" t="str">
        <f>IF(J5717&lt;&gt;1,"",IF(I5717="SBJ","CB","?"))</f>
        <v> </v>
      </c>
      <c r="I5717" s="26" t="str">
        <f>IF(OR(E5717="",E5717="!!!",F5717="NEW"),"",INDEX(B5716:B$2,-1+SUMPRODUCT(MAX(ROW(E5716:E$2)*(E5717=E5716:E$2)))))</f>
        <v> </v>
      </c>
      <c r="J5717" s="26" t="str">
        <f>IF(OR(E5717="",E5717="!!!",F5717="NEW"),"",COUNTBLANK(OFFSET(A$1,,,SUMPRODUCT(MAX(ROW(E$2:E5717)*(E5717=E$2:E5717)))))-COUNTBLANK(OFFSET(A$1,,,SUMPRODUCT(MAX(ROW(E$1:E5716)*(E2=E$1:E5716))))))</f>
        <v> </v>
      </c>
      <c r="K5717" s="26" t="str">
        <f>IF(OR(E5717="",E5717="!!!",F5717="NEW"),"",INDEX(J$1:J5716,SUMPRODUCT(MAX(ROW(E$1:E5716)*(E5717=E$1:E5716)))))</f>
        <v> </v>
      </c>
      <c r="L5717" s="27"/>
    </row>
    <row r="5718" spans="1:12">
      <c r="A5718" s="20" t="s">
        <v>1137</v>
      </c>
      <c r="B5718" s="21" t="s">
        <v>1175</v>
      </c>
      <c r="C5718" s="21" t="s">
        <v>1010</v>
      </c>
      <c r="D5718" s="21" t="s">
        <v>1011</v>
      </c>
      <c r="E5718" s="22">
        <f>IF(D5718="?OLD","!!!","")</f>
        <v/>
      </c>
      <c r="F5718" s="23" t="str">
        <f>IF(OR(E5718="",E5718="!!!"),"",IF(NOT(ISNA(VLOOKUP(E5718,E$1:E5717,1,FALSE()))),"OLD",IF(AND(E5718&lt;&gt;"",E5718&lt;&gt;"!!!"),"NEW","")))</f>
        <v> </v>
      </c>
      <c r="G5718" s="24" t="str">
        <f>IF(OR(E5718="",E5718="!!!"),"",IF(OR(J5718=0,AND(J5718=1,K5718=1),AND(J5718=1,I5718="SBJ"),AND(J5718=1,I5718=0)),"?IN_FOCUS",IF(J5718&lt;=2,"?ACTIVATED",IF(J5718&lt;&gt;"","?FAMILIAR",IF(F5718="NEW",IF(ISNA(VLOOKUP(E5718,#REF!,1,FALSE())),"?TYPE_IDENTIFIABLE","?REFERENTIAL"),"_")))))</f>
        <v> </v>
      </c>
      <c r="H5718" s="25" t="str">
        <f>IF(J5718&lt;&gt;1,"",IF(I5718="SBJ","CB","?"))</f>
        <v> </v>
      </c>
      <c r="I5718" s="26" t="str">
        <f>IF(OR(E5718="",E5718="!!!",F5718="NEW"),"",INDEX(B5717:B$2,-1+SUMPRODUCT(MAX(ROW(E5717:E$2)*(E5718=E5717:E$2)))))</f>
        <v> </v>
      </c>
      <c r="J5718" s="26" t="str">
        <f>IF(OR(E5718="",E5718="!!!",F5718="NEW"),"",COUNTBLANK(OFFSET(A$1,,,SUMPRODUCT(MAX(ROW(E$2:E5718)*(E5718=E$2:E5718)))))-COUNTBLANK(OFFSET(A$1,,,SUMPRODUCT(MAX(ROW(E$1:E5717)*(E2=E$1:E5717))))))</f>
        <v> </v>
      </c>
      <c r="K5718" s="26" t="str">
        <f>IF(OR(E5718="",E5718="!!!",F5718="NEW"),"",INDEX(J$1:J5717,SUMPRODUCT(MAX(ROW(E$1:E5717)*(E5718=E$1:E5717)))))</f>
        <v> </v>
      </c>
      <c r="L5718" s="27"/>
    </row>
    <row r="5719" spans="1:12">
      <c r="A5719" s="20" t="s">
        <v>1183</v>
      </c>
      <c r="E5719" s="22">
        <f>IF(D5719="?OLD","!!!","")</f>
        <v/>
      </c>
      <c r="F5719" s="23" t="str">
        <f>IF(OR(E5719="",E5719="!!!"),"",IF(NOT(ISNA(VLOOKUP(E5719,E$1:E5718,1,FALSE()))),"OLD",IF(AND(E5719&lt;&gt;"",E5719&lt;&gt;"!!!"),"NEW","")))</f>
        <v> </v>
      </c>
      <c r="G5719" s="24" t="str">
        <f>IF(OR(E5719="",E5719="!!!"),"",IF(OR(J5719=0,AND(J5719=1,K5719=1),AND(J5719=1,I5719="SBJ"),AND(J5719=1,I5719=0)),"?IN_FOCUS",IF(J5719&lt;=2,"?ACTIVATED",IF(J5719&lt;&gt;"","?FAMILIAR",IF(F5719="NEW",IF(ISNA(VLOOKUP(E5719,#REF!,1,FALSE())),"?TYPE_IDENTIFIABLE","?REFERENTIAL"),"_")))))</f>
        <v> </v>
      </c>
      <c r="H5719" s="25" t="str">
        <f>IF(J5719&lt;&gt;1,"",IF(I5719="SBJ","CB","?"))</f>
        <v> </v>
      </c>
      <c r="I5719" s="26" t="str">
        <f>IF(OR(E5719="",E5719="!!!",F5719="NEW"),"",INDEX(B5718:B$2,-1+SUMPRODUCT(MAX(ROW(E5718:E$2)*(E5719=E5718:E$2)))))</f>
        <v> </v>
      </c>
      <c r="J5719" s="26" t="str">
        <f>IF(OR(E5719="",E5719="!!!",F5719="NEW"),"",COUNTBLANK(OFFSET(A$1,,,SUMPRODUCT(MAX(ROW(E$2:E5719)*(E5719=E$2:E5719)))))-COUNTBLANK(OFFSET(A$1,,,SUMPRODUCT(MAX(ROW(E$1:E5718)*(E2=E$1:E5718))))))</f>
        <v> </v>
      </c>
      <c r="K5719" s="26" t="str">
        <f>IF(OR(E5719="",E5719="!!!",F5719="NEW"),"",INDEX(J$1:J5718,SUMPRODUCT(MAX(ROW(E$1:E5718)*(E5719=E$1:E5718)))))</f>
        <v> </v>
      </c>
      <c r="L5719" s="27"/>
    </row>
    <row r="5720" spans="1:12">
      <c r="A5720" s="20" t="s">
        <v>1139</v>
      </c>
      <c r="E5720" s="22">
        <f>IF(D5720="?OLD","!!!","")</f>
        <v/>
      </c>
      <c r="F5720" s="23" t="str">
        <f>IF(OR(E5720="",E5720="!!!"),"",IF(NOT(ISNA(VLOOKUP(E5720,E$1:E5719,1,FALSE()))),"OLD",IF(AND(E5720&lt;&gt;"",E5720&lt;&gt;"!!!"),"NEW","")))</f>
        <v> </v>
      </c>
      <c r="G5720" s="24" t="str">
        <f>IF(OR(E5720="",E5720="!!!"),"",IF(OR(J5720=0,AND(J5720=1,K5720=1),AND(J5720=1,I5720="SBJ"),AND(J5720=1,I5720=0)),"?IN_FOCUS",IF(J5720&lt;=2,"?ACTIVATED",IF(J5720&lt;&gt;"","?FAMILIAR",IF(F5720="NEW",IF(ISNA(VLOOKUP(E5720,#REF!,1,FALSE())),"?TYPE_IDENTIFIABLE","?REFERENTIAL"),"_")))))</f>
        <v> </v>
      </c>
      <c r="H5720" s="25" t="str">
        <f>IF(J5720&lt;&gt;1,"",IF(I5720="SBJ","CB","?"))</f>
        <v> </v>
      </c>
      <c r="I5720" s="26" t="str">
        <f>IF(OR(E5720="",E5720="!!!",F5720="NEW"),"",INDEX(B5719:B$2,-1+SUMPRODUCT(MAX(ROW(E5719:E$2)*(E5720=E5719:E$2)))))</f>
        <v> </v>
      </c>
      <c r="J5720" s="26" t="str">
        <f>IF(OR(E5720="",E5720="!!!",F5720="NEW"),"",COUNTBLANK(OFFSET(A$1,,,SUMPRODUCT(MAX(ROW(E$2:E5720)*(E5720=E$2:E5720)))))-COUNTBLANK(OFFSET(A$1,,,SUMPRODUCT(MAX(ROW(E$1:E5719)*(E2=E$1:E5719))))))</f>
        <v> </v>
      </c>
      <c r="K5720" s="26" t="str">
        <f>IF(OR(E5720="",E5720="!!!",F5720="NEW"),"",INDEX(J$1:J5719,SUMPRODUCT(MAX(ROW(E$1:E5719)*(E5720=E$1:E5719)))))</f>
        <v> </v>
      </c>
      <c r="L5720" s="27"/>
    </row>
    <row r="5721" spans="1:12">
      <c r="A5721" s="20" t="s">
        <v>1958</v>
      </c>
      <c r="E5721" s="22">
        <f>IF(D5721="?OLD","!!!","")</f>
        <v/>
      </c>
      <c r="F5721" s="23" t="str">
        <f>IF(OR(E5721="",E5721="!!!"),"",IF(NOT(ISNA(VLOOKUP(E5721,E$1:E5720,1,FALSE()))),"OLD",IF(AND(E5721&lt;&gt;"",E5721&lt;&gt;"!!!"),"NEW","")))</f>
        <v> </v>
      </c>
      <c r="G5721" s="24" t="str">
        <f>IF(OR(E5721="",E5721="!!!"),"",IF(OR(J5721=0,AND(J5721=1,K5721=1),AND(J5721=1,I5721="SBJ"),AND(J5721=1,I5721=0)),"?IN_FOCUS",IF(J5721&lt;=2,"?ACTIVATED",IF(J5721&lt;&gt;"","?FAMILIAR",IF(F5721="NEW",IF(ISNA(VLOOKUP(E5721,#REF!,1,FALSE())),"?TYPE_IDENTIFIABLE","?REFERENTIAL"),"_")))))</f>
        <v> </v>
      </c>
      <c r="H5721" s="25" t="str">
        <f>IF(J5721&lt;&gt;1,"",IF(I5721="SBJ","CB","?"))</f>
        <v> </v>
      </c>
      <c r="I5721" s="26" t="str">
        <f>IF(OR(E5721="",E5721="!!!",F5721="NEW"),"",INDEX(B5720:B$2,-1+SUMPRODUCT(MAX(ROW(E5720:E$2)*(E5721=E5720:E$2)))))</f>
        <v> </v>
      </c>
      <c r="J5721" s="26" t="str">
        <f>IF(OR(E5721="",E5721="!!!",F5721="NEW"),"",COUNTBLANK(OFFSET(A$1,,,SUMPRODUCT(MAX(ROW(E$2:E5721)*(E5721=E$2:E5721)))))-COUNTBLANK(OFFSET(A$1,,,SUMPRODUCT(MAX(ROW(E$1:E5720)*(E2=E$1:E5720))))))</f>
        <v> </v>
      </c>
      <c r="K5721" s="26" t="str">
        <f>IF(OR(E5721="",E5721="!!!",F5721="NEW"),"",INDEX(J$1:J5720,SUMPRODUCT(MAX(ROW(E$1:E5720)*(E5721=E$1:E5720)))))</f>
        <v> </v>
      </c>
      <c r="L5721" s="27"/>
    </row>
    <row r="5722" spans="1:12">
      <c r="A5722" s="20" t="s">
        <v>1042</v>
      </c>
      <c r="E5722" s="22">
        <f>IF(D5722="?OLD","!!!","")</f>
        <v/>
      </c>
      <c r="F5722" s="23" t="str">
        <f>IF(OR(E5722="",E5722="!!!"),"",IF(NOT(ISNA(VLOOKUP(E5722,E$1:E5721,1,FALSE()))),"OLD",IF(AND(E5722&lt;&gt;"",E5722&lt;&gt;"!!!"),"NEW","")))</f>
        <v> </v>
      </c>
      <c r="G5722" s="24" t="str">
        <f>IF(OR(E5722="",E5722="!!!"),"",IF(OR(J5722=0,AND(J5722=1,K5722=1),AND(J5722=1,I5722="SBJ"),AND(J5722=1,I5722=0)),"?IN_FOCUS",IF(J5722&lt;=2,"?ACTIVATED",IF(J5722&lt;&gt;"","?FAMILIAR",IF(F5722="NEW",IF(ISNA(VLOOKUP(E5722,#REF!,1,FALSE())),"?TYPE_IDENTIFIABLE","?REFERENTIAL"),"_")))))</f>
        <v> </v>
      </c>
      <c r="H5722" s="25" t="str">
        <f>IF(J5722&lt;&gt;1,"",IF(I5722="SBJ","CB","?"))</f>
        <v> </v>
      </c>
      <c r="I5722" s="26" t="str">
        <f>IF(OR(E5722="",E5722="!!!",F5722="NEW"),"",INDEX(B5721:B$2,-1+SUMPRODUCT(MAX(ROW(E5721:E$2)*(E5722=E5721:E$2)))))</f>
        <v> </v>
      </c>
      <c r="J5722" s="26" t="str">
        <f>IF(OR(E5722="",E5722="!!!",F5722="NEW"),"",COUNTBLANK(OFFSET(A$1,,,SUMPRODUCT(MAX(ROW(E$2:E5722)*(E5722=E$2:E5722)))))-COUNTBLANK(OFFSET(A$1,,,SUMPRODUCT(MAX(ROW(E$1:E5721)*(E2=E$1:E5721))))))</f>
        <v> </v>
      </c>
      <c r="K5722" s="26" t="str">
        <f>IF(OR(E5722="",E5722="!!!",F5722="NEW"),"",INDEX(J$1:J5721,SUMPRODUCT(MAX(ROW(E$1:E5721)*(E5722=E$1:E5721)))))</f>
        <v> </v>
      </c>
      <c r="L5722" s="27"/>
    </row>
    <row r="5723" spans="1:12">
      <c r="A5723" s="20" t="s">
        <v>2262</v>
      </c>
      <c r="E5723" s="22">
        <f>IF(D5723="?OLD","!!!","")</f>
        <v/>
      </c>
      <c r="F5723" s="23" t="str">
        <f>IF(OR(E5723="",E5723="!!!"),"",IF(NOT(ISNA(VLOOKUP(E5723,E$1:E5722,1,FALSE()))),"OLD",IF(AND(E5723&lt;&gt;"",E5723&lt;&gt;"!!!"),"NEW","")))</f>
        <v> </v>
      </c>
      <c r="G5723" s="24" t="str">
        <f>IF(OR(E5723="",E5723="!!!"),"",IF(OR(J5723=0,AND(J5723=1,K5723=1),AND(J5723=1,I5723="SBJ"),AND(J5723=1,I5723=0)),"?IN_FOCUS",IF(J5723&lt;=2,"?ACTIVATED",IF(J5723&lt;&gt;"","?FAMILIAR",IF(F5723="NEW",IF(ISNA(VLOOKUP(E5723,#REF!,1,FALSE())),"?TYPE_IDENTIFIABLE","?REFERENTIAL"),"_")))))</f>
        <v> </v>
      </c>
      <c r="H5723" s="25" t="str">
        <f>IF(J5723&lt;&gt;1,"",IF(I5723="SBJ","CB","?"))</f>
        <v> </v>
      </c>
      <c r="I5723" s="26" t="str">
        <f>IF(OR(E5723="",E5723="!!!",F5723="NEW"),"",INDEX(B5722:B$2,-1+SUMPRODUCT(MAX(ROW(E5722:E$2)*(E5723=E5722:E$2)))))</f>
        <v> </v>
      </c>
      <c r="J5723" s="26" t="str">
        <f>IF(OR(E5723="",E5723="!!!",F5723="NEW"),"",COUNTBLANK(OFFSET(A$1,,,SUMPRODUCT(MAX(ROW(E$2:E5723)*(E5723=E$2:E5723)))))-COUNTBLANK(OFFSET(A$1,,,SUMPRODUCT(MAX(ROW(E$1:E5722)*(E2=E$1:E5722))))))</f>
        <v> </v>
      </c>
      <c r="K5723" s="26" t="str">
        <f>IF(OR(E5723="",E5723="!!!",F5723="NEW"),"",INDEX(J$1:J5722,SUMPRODUCT(MAX(ROW(E$1:E5722)*(E5723=E$1:E5722)))))</f>
        <v> </v>
      </c>
      <c r="L5723" s="27"/>
    </row>
    <row r="5724" spans="1:12">
      <c r="A5724" s="20" t="s">
        <v>2263</v>
      </c>
      <c r="B5724" s="21" t="s">
        <v>1142</v>
      </c>
      <c r="C5724" s="21" t="s">
        <v>1044</v>
      </c>
      <c r="D5724" s="21" t="s">
        <v>1011</v>
      </c>
      <c r="E5724" s="22">
        <f>IF(D5724="?OLD","!!!","")</f>
        <v/>
      </c>
      <c r="F5724" s="23" t="str">
        <f>IF(OR(E5724="",E5724="!!!"),"",IF(NOT(ISNA(VLOOKUP(E5724,E$1:E5723,1,FALSE()))),"OLD",IF(AND(E5724&lt;&gt;"",E5724&lt;&gt;"!!!"),"NEW","")))</f>
        <v> </v>
      </c>
      <c r="G5724" s="24" t="str">
        <f>IF(OR(E5724="",E5724="!!!"),"",IF(OR(J5724=0,AND(J5724=1,K5724=1),AND(J5724=1,I5724="SBJ"),AND(J5724=1,I5724=0)),"?IN_FOCUS",IF(J5724&lt;=2,"?ACTIVATED",IF(J5724&lt;&gt;"","?FAMILIAR",IF(F5724="NEW",IF(ISNA(VLOOKUP(E5724,#REF!,1,FALSE())),"?TYPE_IDENTIFIABLE","?REFERENTIAL"),"_")))))</f>
        <v> </v>
      </c>
      <c r="H5724" s="25" t="str">
        <f>IF(J5724&lt;&gt;1,"",IF(I5724="SBJ","CB","?"))</f>
        <v> </v>
      </c>
      <c r="I5724" s="26" t="str">
        <f>IF(OR(E5724="",E5724="!!!",F5724="NEW"),"",INDEX(B5723:B$2,-1+SUMPRODUCT(MAX(ROW(E5723:E$2)*(E5724=E5723:E$2)))))</f>
        <v> </v>
      </c>
      <c r="J5724" s="26" t="str">
        <f>IF(OR(E5724="",E5724="!!!",F5724="NEW"),"",COUNTBLANK(OFFSET(A$1,,,SUMPRODUCT(MAX(ROW(E$2:E5724)*(E5724=E$2:E5724)))))-COUNTBLANK(OFFSET(A$1,,,SUMPRODUCT(MAX(ROW(E$1:E5723)*(E2=E$1:E5723))))))</f>
        <v> </v>
      </c>
      <c r="K5724" s="26" t="str">
        <f>IF(OR(E5724="",E5724="!!!",F5724="NEW"),"",INDEX(J$1:J5723,SUMPRODUCT(MAX(ROW(E$1:E5723)*(E5724=E$1:E5723)))))</f>
        <v> </v>
      </c>
      <c r="L5724" s="27"/>
    </row>
    <row r="5725" spans="1:12">
      <c r="A5725" s="20" t="s">
        <v>1020</v>
      </c>
      <c r="E5725" s="22">
        <f>IF(D5725="?OLD","!!!","")</f>
        <v/>
      </c>
      <c r="F5725" s="23" t="str">
        <f>IF(OR(E5725="",E5725="!!!"),"",IF(NOT(ISNA(VLOOKUP(E5725,E$1:E5724,1,FALSE()))),"OLD",IF(AND(E5725&lt;&gt;"",E5725&lt;&gt;"!!!"),"NEW","")))</f>
        <v> </v>
      </c>
      <c r="G5725" s="24" t="str">
        <f>IF(OR(E5725="",E5725="!!!"),"",IF(OR(J5725=0,AND(J5725=1,K5725=1),AND(J5725=1,I5725="SBJ"),AND(J5725=1,I5725=0)),"?IN_FOCUS",IF(J5725&lt;=2,"?ACTIVATED",IF(J5725&lt;&gt;"","?FAMILIAR",IF(F5725="NEW",IF(ISNA(VLOOKUP(E5725,#REF!,1,FALSE())),"?TYPE_IDENTIFIABLE","?REFERENTIAL"),"_")))))</f>
        <v> </v>
      </c>
      <c r="H5725" s="25" t="str">
        <f>IF(J5725&lt;&gt;1,"",IF(I5725="SBJ","CB","?"))</f>
        <v> </v>
      </c>
      <c r="I5725" s="26" t="str">
        <f>IF(OR(E5725="",E5725="!!!",F5725="NEW"),"",INDEX(B5724:B$2,-1+SUMPRODUCT(MAX(ROW(E5724:E$2)*(E5725=E5724:E$2)))))</f>
        <v> </v>
      </c>
      <c r="J5725" s="26" t="str">
        <f>IF(OR(E5725="",E5725="!!!",F5725="NEW"),"",COUNTBLANK(OFFSET(A$1,,,SUMPRODUCT(MAX(ROW(E$2:E5725)*(E5725=E$2:E5725)))))-COUNTBLANK(OFFSET(A$1,,,SUMPRODUCT(MAX(ROW(E$1:E5724)*(E2=E$1:E5724))))))</f>
        <v> </v>
      </c>
      <c r="K5725" s="26" t="str">
        <f>IF(OR(E5725="",E5725="!!!",F5725="NEW"),"",INDEX(J$1:J5724,SUMPRODUCT(MAX(ROW(E$1:E5724)*(E5725=E$1:E5724)))))</f>
        <v> </v>
      </c>
      <c r="L5725" s="27"/>
    </row>
    <row r="5726" spans="1:12">
      <c r="A5726" s="20" t="s">
        <v>1121</v>
      </c>
      <c r="B5726" s="21" t="s">
        <v>1175</v>
      </c>
      <c r="C5726" s="21" t="s">
        <v>1010</v>
      </c>
      <c r="D5726" s="21" t="s">
        <v>1011</v>
      </c>
      <c r="E5726" s="22">
        <f>IF(D5726="?OLD","!!!","")</f>
        <v/>
      </c>
      <c r="F5726" s="23" t="str">
        <f>IF(OR(E5726="",E5726="!!!"),"",IF(NOT(ISNA(VLOOKUP(E5726,E$1:E5725,1,FALSE()))),"OLD",IF(AND(E5726&lt;&gt;"",E5726&lt;&gt;"!!!"),"NEW","")))</f>
        <v> </v>
      </c>
      <c r="G5726" s="24" t="str">
        <f>IF(OR(E5726="",E5726="!!!"),"",IF(OR(J5726=0,AND(J5726=1,K5726=1),AND(J5726=1,I5726="SBJ"),AND(J5726=1,I5726=0)),"?IN_FOCUS",IF(J5726&lt;=2,"?ACTIVATED",IF(J5726&lt;&gt;"","?FAMILIAR",IF(F5726="NEW",IF(ISNA(VLOOKUP(E5726,#REF!,1,FALSE())),"?TYPE_IDENTIFIABLE","?REFERENTIAL"),"_")))))</f>
        <v> </v>
      </c>
      <c r="H5726" s="25" t="str">
        <f>IF(J5726&lt;&gt;1,"",IF(I5726="SBJ","CB","?"))</f>
        <v> </v>
      </c>
      <c r="I5726" s="26" t="str">
        <f>IF(OR(E5726="",E5726="!!!",F5726="NEW"),"",INDEX(B5725:B$2,-1+SUMPRODUCT(MAX(ROW(E5725:E$2)*(E5726=E5725:E$2)))))</f>
        <v> </v>
      </c>
      <c r="J5726" s="26" t="str">
        <f>IF(OR(E5726="",E5726="!!!",F5726="NEW"),"",COUNTBLANK(OFFSET(A$1,,,SUMPRODUCT(MAX(ROW(E$2:E5726)*(E5726=E$2:E5726)))))-COUNTBLANK(OFFSET(A$1,,,SUMPRODUCT(MAX(ROW(E$1:E5725)*(E2=E$1:E5725))))))</f>
        <v> </v>
      </c>
      <c r="K5726" s="26" t="str">
        <f>IF(OR(E5726="",E5726="!!!",F5726="NEW"),"",INDEX(J$1:J5725,SUMPRODUCT(MAX(ROW(E$1:E5725)*(E5726=E$1:E5725)))))</f>
        <v> </v>
      </c>
      <c r="L5726" s="27"/>
    </row>
    <row r="5727" spans="1:12">
      <c r="A5727" s="20" t="s">
        <v>1173</v>
      </c>
      <c r="E5727" s="22">
        <f>IF(D5727="?OLD","!!!","")</f>
        <v/>
      </c>
      <c r="F5727" s="23" t="str">
        <f>IF(OR(E5727="",E5727="!!!"),"",IF(NOT(ISNA(VLOOKUP(E5727,E$1:E5726,1,FALSE()))),"OLD",IF(AND(E5727&lt;&gt;"",E5727&lt;&gt;"!!!"),"NEW","")))</f>
        <v> </v>
      </c>
      <c r="G5727" s="24" t="str">
        <f>IF(OR(E5727="",E5727="!!!"),"",IF(OR(J5727=0,AND(J5727=1,K5727=1),AND(J5727=1,I5727="SBJ"),AND(J5727=1,I5727=0)),"?IN_FOCUS",IF(J5727&lt;=2,"?ACTIVATED",IF(J5727&lt;&gt;"","?FAMILIAR",IF(F5727="NEW",IF(ISNA(VLOOKUP(E5727,#REF!,1,FALSE())),"?TYPE_IDENTIFIABLE","?REFERENTIAL"),"_")))))</f>
        <v> </v>
      </c>
      <c r="H5727" s="25" t="str">
        <f>IF(J5727&lt;&gt;1,"",IF(I5727="SBJ","CB","?"))</f>
        <v> </v>
      </c>
      <c r="I5727" s="26" t="str">
        <f>IF(OR(E5727="",E5727="!!!",F5727="NEW"),"",INDEX(B5726:B$2,-1+SUMPRODUCT(MAX(ROW(E5726:E$2)*(E5727=E5726:E$2)))))</f>
        <v> </v>
      </c>
      <c r="J5727" s="26" t="str">
        <f>IF(OR(E5727="",E5727="!!!",F5727="NEW"),"",COUNTBLANK(OFFSET(A$1,,,SUMPRODUCT(MAX(ROW(E$2:E5727)*(E5727=E$2:E5727)))))-COUNTBLANK(OFFSET(A$1,,,SUMPRODUCT(MAX(ROW(E$1:E5726)*(E2=E$1:E5726))))))</f>
        <v> </v>
      </c>
      <c r="K5727" s="26" t="str">
        <f>IF(OR(E5727="",E5727="!!!",F5727="NEW"),"",INDEX(J$1:J5726,SUMPRODUCT(MAX(ROW(E$1:E5726)*(E5727=E$1:E5726)))))</f>
        <v> </v>
      </c>
      <c r="L5727" s="27"/>
    </row>
    <row r="5728" spans="1:12">
      <c r="A5728" s="20" t="s">
        <v>1013</v>
      </c>
      <c r="E5728" s="22">
        <f>IF(D5728="?OLD","!!!","")</f>
        <v/>
      </c>
      <c r="F5728" s="23" t="str">
        <f>IF(OR(E5728="",E5728="!!!"),"",IF(NOT(ISNA(VLOOKUP(E5728,E$1:E5727,1,FALSE()))),"OLD",IF(AND(E5728&lt;&gt;"",E5728&lt;&gt;"!!!"),"NEW","")))</f>
        <v> </v>
      </c>
      <c r="G5728" s="24" t="str">
        <f>IF(OR(E5728="",E5728="!!!"),"",IF(OR(J5728=0,AND(J5728=1,K5728=1),AND(J5728=1,I5728="SBJ"),AND(J5728=1,I5728=0)),"?IN_FOCUS",IF(J5728&lt;=2,"?ACTIVATED",IF(J5728&lt;&gt;"","?FAMILIAR",IF(F5728="NEW",IF(ISNA(VLOOKUP(E5728,#REF!,1,FALSE())),"?TYPE_IDENTIFIABLE","?REFERENTIAL"),"_")))))</f>
        <v> </v>
      </c>
      <c r="H5728" s="25" t="str">
        <f>IF(J5728&lt;&gt;1,"",IF(I5728="SBJ","CB","?"))</f>
        <v> </v>
      </c>
      <c r="I5728" s="26" t="str">
        <f>IF(OR(E5728="",E5728="!!!",F5728="NEW"),"",INDEX(B5727:B$2,-1+SUMPRODUCT(MAX(ROW(E5727:E$2)*(E5728=E5727:E$2)))))</f>
        <v> </v>
      </c>
      <c r="J5728" s="26" t="str">
        <f>IF(OR(E5728="",E5728="!!!",F5728="NEW"),"",COUNTBLANK(OFFSET(A$1,,,SUMPRODUCT(MAX(ROW(E$2:E5728)*(E5728=E$2:E5728)))))-COUNTBLANK(OFFSET(A$1,,,SUMPRODUCT(MAX(ROW(E$1:E5727)*(E2=E$1:E5727))))))</f>
        <v> </v>
      </c>
      <c r="K5728" s="26" t="str">
        <f>IF(OR(E5728="",E5728="!!!",F5728="NEW"),"",INDEX(J$1:J5727,SUMPRODUCT(MAX(ROW(E$1:E5727)*(E5728=E$1:E5727)))))</f>
        <v> </v>
      </c>
      <c r="L5728" s="27"/>
    </row>
    <row r="5729" spans="1:12">
      <c r="A5729" s="20" t="s">
        <v>1014</v>
      </c>
      <c r="E5729" s="22">
        <f>IF(D5729="?OLD","!!!","")</f>
        <v/>
      </c>
      <c r="F5729" s="23" t="str">
        <f>IF(OR(E5729="",E5729="!!!"),"",IF(NOT(ISNA(VLOOKUP(E5729,E$1:E5728,1,FALSE()))),"OLD",IF(AND(E5729&lt;&gt;"",E5729&lt;&gt;"!!!"),"NEW","")))</f>
        <v> </v>
      </c>
      <c r="G5729" s="24" t="str">
        <f>IF(OR(E5729="",E5729="!!!"),"",IF(OR(J5729=0,AND(J5729=1,K5729=1),AND(J5729=1,I5729="SBJ"),AND(J5729=1,I5729=0)),"?IN_FOCUS",IF(J5729&lt;=2,"?ACTIVATED",IF(J5729&lt;&gt;"","?FAMILIAR",IF(F5729="NEW",IF(ISNA(VLOOKUP(E5729,#REF!,1,FALSE())),"?TYPE_IDENTIFIABLE","?REFERENTIAL"),"_")))))</f>
        <v> </v>
      </c>
      <c r="H5729" s="25" t="str">
        <f>IF(J5729&lt;&gt;1,"",IF(I5729="SBJ","CB","?"))</f>
        <v> </v>
      </c>
      <c r="I5729" s="26" t="str">
        <f>IF(OR(E5729="",E5729="!!!",F5729="NEW"),"",INDEX(B5728:B$2,-1+SUMPRODUCT(MAX(ROW(E5728:E$2)*(E5729=E5728:E$2)))))</f>
        <v> </v>
      </c>
      <c r="J5729" s="26" t="str">
        <f>IF(OR(E5729="",E5729="!!!",F5729="NEW"),"",COUNTBLANK(OFFSET(A$1,,,SUMPRODUCT(MAX(ROW(E$2:E5729)*(E5729=E$2:E5729)))))-COUNTBLANK(OFFSET(A$1,,,SUMPRODUCT(MAX(ROW(E$1:E5728)*(E2=E$1:E5728))))))</f>
        <v> </v>
      </c>
      <c r="K5729" s="26" t="str">
        <f>IF(OR(E5729="",E5729="!!!",F5729="NEW"),"",INDEX(J$1:J5728,SUMPRODUCT(MAX(ROW(E$1:E5728)*(E5729=E$1:E5728)))))</f>
        <v> </v>
      </c>
      <c r="L5729" s="27"/>
    </row>
    <row r="5730" spans="1:12">
      <c r="A5730" s="20" t="s">
        <v>142</v>
      </c>
      <c r="E5730" s="22">
        <f>IF(D5730="?OLD","!!!","")</f>
        <v/>
      </c>
      <c r="F5730" s="23" t="str">
        <f>IF(OR(E5730="",E5730="!!!"),"",IF(NOT(ISNA(VLOOKUP(E5730,E$1:E5729,1,FALSE()))),"OLD",IF(AND(E5730&lt;&gt;"",E5730&lt;&gt;"!!!"),"NEW","")))</f>
        <v> </v>
      </c>
      <c r="G5730" s="24" t="str">
        <f>IF(OR(E5730="",E5730="!!!"),"",IF(OR(J5730=0,AND(J5730=1,K5730=1),AND(J5730=1,I5730="SBJ"),AND(J5730=1,I5730=0)),"?IN_FOCUS",IF(J5730&lt;=2,"?ACTIVATED",IF(J5730&lt;&gt;"","?FAMILIAR",IF(F5730="NEW",IF(ISNA(VLOOKUP(E5730,#REF!,1,FALSE())),"?TYPE_IDENTIFIABLE","?REFERENTIAL"),"_")))))</f>
        <v> </v>
      </c>
      <c r="H5730" s="25" t="str">
        <f>IF(J5730&lt;&gt;1,"",IF(I5730="SBJ","CB","?"))</f>
        <v> </v>
      </c>
      <c r="I5730" s="26" t="str">
        <f>IF(OR(E5730="",E5730="!!!",F5730="NEW"),"",INDEX(B5729:B$2,-1+SUMPRODUCT(MAX(ROW(E5729:E$2)*(E5730=E5729:E$2)))))</f>
        <v> </v>
      </c>
      <c r="J5730" s="26" t="str">
        <f>IF(OR(E5730="",E5730="!!!",F5730="NEW"),"",COUNTBLANK(OFFSET(A$1,,,SUMPRODUCT(MAX(ROW(E$2:E5730)*(E5730=E$2:E5730)))))-COUNTBLANK(OFFSET(A$1,,,SUMPRODUCT(MAX(ROW(E$1:E5729)*(E2=E$1:E5729))))))</f>
        <v> </v>
      </c>
      <c r="K5730" s="26" t="str">
        <f>IF(OR(E5730="",E5730="!!!",F5730="NEW"),"",INDEX(J$1:J5729,SUMPRODUCT(MAX(ROW(E$1:E5729)*(E5730=E$1:E5729)))))</f>
        <v> </v>
      </c>
      <c r="L5730" s="27"/>
    </row>
    <row r="5731" spans="1:12">
      <c r="A5731" s="20" t="s">
        <v>1133</v>
      </c>
      <c r="E5731" s="22">
        <f>IF(D5731="?OLD","!!!","")</f>
        <v/>
      </c>
      <c r="F5731" s="23" t="str">
        <f>IF(OR(E5731="",E5731="!!!"),"",IF(NOT(ISNA(VLOOKUP(E5731,E$1:E5730,1,FALSE()))),"OLD",IF(AND(E5731&lt;&gt;"",E5731&lt;&gt;"!!!"),"NEW","")))</f>
        <v> </v>
      </c>
      <c r="G5731" s="24" t="str">
        <f>IF(OR(E5731="",E5731="!!!"),"",IF(OR(J5731=0,AND(J5731=1,K5731=1),AND(J5731=1,I5731="SBJ"),AND(J5731=1,I5731=0)),"?IN_FOCUS",IF(J5731&lt;=2,"?ACTIVATED",IF(J5731&lt;&gt;"","?FAMILIAR",IF(F5731="NEW",IF(ISNA(VLOOKUP(E5731,#REF!,1,FALSE())),"?TYPE_IDENTIFIABLE","?REFERENTIAL"),"_")))))</f>
        <v> </v>
      </c>
      <c r="H5731" s="25" t="str">
        <f>IF(J5731&lt;&gt;1,"",IF(I5731="SBJ","CB","?"))</f>
        <v> </v>
      </c>
      <c r="I5731" s="26" t="str">
        <f>IF(OR(E5731="",E5731="!!!",F5731="NEW"),"",INDEX(B5730:B$2,-1+SUMPRODUCT(MAX(ROW(E5730:E$2)*(E5731=E5730:E$2)))))</f>
        <v> </v>
      </c>
      <c r="J5731" s="26" t="str">
        <f>IF(OR(E5731="",E5731="!!!",F5731="NEW"),"",COUNTBLANK(OFFSET(A$1,,,SUMPRODUCT(MAX(ROW(E$2:E5731)*(E5731=E$2:E5731)))))-COUNTBLANK(OFFSET(A$1,,,SUMPRODUCT(MAX(ROW(E$1:E5730)*(E2=E$1:E5730))))))</f>
        <v> </v>
      </c>
      <c r="K5731" s="26" t="str">
        <f>IF(OR(E5731="",E5731="!!!",F5731="NEW"),"",INDEX(J$1:J5730,SUMPRODUCT(MAX(ROW(E$1:E5730)*(E5731=E$1:E5730)))))</f>
        <v> </v>
      </c>
      <c r="L5731" s="27"/>
    </row>
    <row r="5732" spans="1:12">
      <c r="A5732" s="20" t="s">
        <v>1194</v>
      </c>
      <c r="E5732" s="22">
        <f>IF(D5732="?OLD","!!!","")</f>
        <v/>
      </c>
      <c r="F5732" s="23" t="str">
        <f>IF(OR(E5732="",E5732="!!!"),"",IF(NOT(ISNA(VLOOKUP(E5732,E$1:E5731,1,FALSE()))),"OLD",IF(AND(E5732&lt;&gt;"",E5732&lt;&gt;"!!!"),"NEW","")))</f>
        <v> </v>
      </c>
      <c r="G5732" s="24" t="str">
        <f>IF(OR(E5732="",E5732="!!!"),"",IF(OR(J5732=0,AND(J5732=1,K5732=1),AND(J5732=1,I5732="SBJ"),AND(J5732=1,I5732=0)),"?IN_FOCUS",IF(J5732&lt;=2,"?ACTIVATED",IF(J5732&lt;&gt;"","?FAMILIAR",IF(F5732="NEW",IF(ISNA(VLOOKUP(E5732,#REF!,1,FALSE())),"?TYPE_IDENTIFIABLE","?REFERENTIAL"),"_")))))</f>
        <v> </v>
      </c>
      <c r="H5732" s="25" t="str">
        <f>IF(J5732&lt;&gt;1,"",IF(I5732="SBJ","CB","?"))</f>
        <v> </v>
      </c>
      <c r="I5732" s="26" t="str">
        <f>IF(OR(E5732="",E5732="!!!",F5732="NEW"),"",INDEX(B5731:B$2,-1+SUMPRODUCT(MAX(ROW(E5731:E$2)*(E5732=E5731:E$2)))))</f>
        <v> </v>
      </c>
      <c r="J5732" s="26" t="str">
        <f>IF(OR(E5732="",E5732="!!!",F5732="NEW"),"",COUNTBLANK(OFFSET(A$1,,,SUMPRODUCT(MAX(ROW(E$2:E5732)*(E5732=E$2:E5732)))))-COUNTBLANK(OFFSET(A$1,,,SUMPRODUCT(MAX(ROW(E$1:E5731)*(E2=E$1:E5731))))))</f>
        <v> </v>
      </c>
      <c r="K5732" s="26" t="str">
        <f>IF(OR(E5732="",E5732="!!!",F5732="NEW"),"",INDEX(J$1:J5731,SUMPRODUCT(MAX(ROW(E$1:E5731)*(E5732=E$1:E5731)))))</f>
        <v> </v>
      </c>
      <c r="L5732" s="27"/>
    </row>
    <row r="5733" spans="1:12">
      <c r="A5733" s="20" t="s">
        <v>1032</v>
      </c>
      <c r="E5733" s="22">
        <f>IF(D5733="?OLD","!!!","")</f>
        <v/>
      </c>
      <c r="F5733" s="23" t="str">
        <f>IF(OR(E5733="",E5733="!!!"),"",IF(NOT(ISNA(VLOOKUP(E5733,E$1:E5732,1,FALSE()))),"OLD",IF(AND(E5733&lt;&gt;"",E5733&lt;&gt;"!!!"),"NEW","")))</f>
        <v> </v>
      </c>
      <c r="G5733" s="24" t="str">
        <f>IF(OR(E5733="",E5733="!!!"),"",IF(OR(J5733=0,AND(J5733=1,K5733=1),AND(J5733=1,I5733="SBJ"),AND(J5733=1,I5733=0)),"?IN_FOCUS",IF(J5733&lt;=2,"?ACTIVATED",IF(J5733&lt;&gt;"","?FAMILIAR",IF(F5733="NEW",IF(ISNA(VLOOKUP(E5733,#REF!,1,FALSE())),"?TYPE_IDENTIFIABLE","?REFERENTIAL"),"_")))))</f>
        <v> </v>
      </c>
      <c r="H5733" s="25" t="str">
        <f>IF(J5733&lt;&gt;1,"",IF(I5733="SBJ","CB","?"))</f>
        <v> </v>
      </c>
      <c r="I5733" s="26" t="str">
        <f>IF(OR(E5733="",E5733="!!!",F5733="NEW"),"",INDEX(B5732:B$2,-1+SUMPRODUCT(MAX(ROW(E5732:E$2)*(E5733=E5732:E$2)))))</f>
        <v> </v>
      </c>
      <c r="J5733" s="26" t="str">
        <f>IF(OR(E5733="",E5733="!!!",F5733="NEW"),"",COUNTBLANK(OFFSET(A$1,,,SUMPRODUCT(MAX(ROW(E$2:E5733)*(E5733=E$2:E5733)))))-COUNTBLANK(OFFSET(A$1,,,SUMPRODUCT(MAX(ROW(E$1:E5732)*(E2=E$1:E5732))))))</f>
        <v> </v>
      </c>
      <c r="K5733" s="26" t="str">
        <f>IF(OR(E5733="",E5733="!!!",F5733="NEW"),"",INDEX(J$1:J5732,SUMPRODUCT(MAX(ROW(E$1:E5732)*(E5733=E$1:E5732)))))</f>
        <v> </v>
      </c>
      <c r="L5733" s="27"/>
    </row>
    <row r="5734" spans="1:12">
      <c r="A5734" s="20" t="s">
        <v>1008</v>
      </c>
      <c r="B5734" s="21" t="s">
        <v>1009</v>
      </c>
      <c r="C5734" s="21" t="s">
        <v>1010</v>
      </c>
      <c r="D5734" s="21" t="s">
        <v>1011</v>
      </c>
      <c r="E5734" s="22">
        <f>IF(D5734="?OLD","!!!","")</f>
        <v/>
      </c>
      <c r="F5734" s="23" t="str">
        <f>IF(OR(E5734="",E5734="!!!"),"",IF(NOT(ISNA(VLOOKUP(E5734,E$1:E5733,1,FALSE()))),"OLD",IF(AND(E5734&lt;&gt;"",E5734&lt;&gt;"!!!"),"NEW","")))</f>
        <v> </v>
      </c>
      <c r="G5734" s="24" t="str">
        <f>IF(OR(E5734="",E5734="!!!"),"",IF(OR(J5734=0,AND(J5734=1,K5734=1),AND(J5734=1,I5734="SBJ"),AND(J5734=1,I5734=0)),"?IN_FOCUS",IF(J5734&lt;=2,"?ACTIVATED",IF(J5734&lt;&gt;"","?FAMILIAR",IF(F5734="NEW",IF(ISNA(VLOOKUP(E5734,#REF!,1,FALSE())),"?TYPE_IDENTIFIABLE","?REFERENTIAL"),"_")))))</f>
        <v> </v>
      </c>
      <c r="H5734" s="25" t="str">
        <f>IF(J5734&lt;&gt;1,"",IF(I5734="SBJ","CB","?"))</f>
        <v> </v>
      </c>
      <c r="I5734" s="26" t="str">
        <f>IF(OR(E5734="",E5734="!!!",F5734="NEW"),"",INDEX(B5733:B$2,-1+SUMPRODUCT(MAX(ROW(E5733:E$2)*(E5734=E5733:E$2)))))</f>
        <v> </v>
      </c>
      <c r="J5734" s="26" t="str">
        <f>IF(OR(E5734="",E5734="!!!",F5734="NEW"),"",COUNTBLANK(OFFSET(A$1,,,SUMPRODUCT(MAX(ROW(E$2:E5734)*(E5734=E$2:E5734)))))-COUNTBLANK(OFFSET(A$1,,,SUMPRODUCT(MAX(ROW(E$1:E5733)*(E2=E$1:E5733))))))</f>
        <v> </v>
      </c>
      <c r="K5734" s="26" t="str">
        <f>IF(OR(E5734="",E5734="!!!",F5734="NEW"),"",INDEX(J$1:J5733,SUMPRODUCT(MAX(ROW(E$1:E5733)*(E5734=E$1:E5733)))))</f>
        <v> </v>
      </c>
      <c r="L5734" s="27"/>
    </row>
    <row r="5735" spans="1:12">
      <c r="A5735" s="20" t="s">
        <v>2264</v>
      </c>
      <c r="E5735" s="22">
        <f>IF(D5735="?OLD","!!!","")</f>
        <v/>
      </c>
      <c r="F5735" s="23" t="str">
        <f>IF(OR(E5735="",E5735="!!!"),"",IF(NOT(ISNA(VLOOKUP(E5735,E$1:E5734,1,FALSE()))),"OLD",IF(AND(E5735&lt;&gt;"",E5735&lt;&gt;"!!!"),"NEW","")))</f>
        <v> </v>
      </c>
      <c r="G5735" s="24" t="str">
        <f>IF(OR(E5735="",E5735="!!!"),"",IF(OR(J5735=0,AND(J5735=1,K5735=1),AND(J5735=1,I5735="SBJ"),AND(J5735=1,I5735=0)),"?IN_FOCUS",IF(J5735&lt;=2,"?ACTIVATED",IF(J5735&lt;&gt;"","?FAMILIAR",IF(F5735="NEW",IF(ISNA(VLOOKUP(E5735,#REF!,1,FALSE())),"?TYPE_IDENTIFIABLE","?REFERENTIAL"),"_")))))</f>
        <v> </v>
      </c>
      <c r="H5735" s="25" t="str">
        <f>IF(J5735&lt;&gt;1,"",IF(I5735="SBJ","CB","?"))</f>
        <v> </v>
      </c>
      <c r="I5735" s="26" t="str">
        <f>IF(OR(E5735="",E5735="!!!",F5735="NEW"),"",INDEX(B5734:B$2,-1+SUMPRODUCT(MAX(ROW(E5734:E$2)*(E5735=E5734:E$2)))))</f>
        <v> </v>
      </c>
      <c r="J5735" s="26" t="str">
        <f>IF(OR(E5735="",E5735="!!!",F5735="NEW"),"",COUNTBLANK(OFFSET(A$1,,,SUMPRODUCT(MAX(ROW(E$2:E5735)*(E5735=E$2:E5735)))))-COUNTBLANK(OFFSET(A$1,,,SUMPRODUCT(MAX(ROW(E$1:E5734)*(E2=E$1:E5734))))))</f>
        <v> </v>
      </c>
      <c r="K5735" s="26" t="str">
        <f>IF(OR(E5735="",E5735="!!!",F5735="NEW"),"",INDEX(J$1:J5734,SUMPRODUCT(MAX(ROW(E$1:E5734)*(E5735=E$1:E5734)))))</f>
        <v> </v>
      </c>
      <c r="L5735" s="27"/>
    </row>
    <row r="5736" spans="1:12">
      <c r="A5736" s="20" t="s">
        <v>1052</v>
      </c>
      <c r="B5736" s="21" t="s">
        <v>1039</v>
      </c>
      <c r="C5736" s="21" t="s">
        <v>1010</v>
      </c>
      <c r="D5736" s="21" t="s">
        <v>1011</v>
      </c>
      <c r="E5736" s="22">
        <f>IF(D5736="?OLD","!!!","")</f>
        <v/>
      </c>
      <c r="F5736" s="23" t="str">
        <f>IF(OR(E5736="",E5736="!!!"),"",IF(NOT(ISNA(VLOOKUP(E5736,E$1:E5735,1,FALSE()))),"OLD",IF(AND(E5736&lt;&gt;"",E5736&lt;&gt;"!!!"),"NEW","")))</f>
        <v> </v>
      </c>
      <c r="G5736" s="24" t="str">
        <f>IF(OR(E5736="",E5736="!!!"),"",IF(OR(J5736=0,AND(J5736=1,K5736=1),AND(J5736=1,I5736="SBJ"),AND(J5736=1,I5736=0)),"?IN_FOCUS",IF(J5736&lt;=2,"?ACTIVATED",IF(J5736&lt;&gt;"","?FAMILIAR",IF(F5736="NEW",IF(ISNA(VLOOKUP(E5736,#REF!,1,FALSE())),"?TYPE_IDENTIFIABLE","?REFERENTIAL"),"_")))))</f>
        <v> </v>
      </c>
      <c r="H5736" s="25" t="str">
        <f>IF(J5736&lt;&gt;1,"",IF(I5736="SBJ","CB","?"))</f>
        <v> </v>
      </c>
      <c r="I5736" s="26" t="str">
        <f>IF(OR(E5736="",E5736="!!!",F5736="NEW"),"",INDEX(B5735:B$2,-1+SUMPRODUCT(MAX(ROW(E5735:E$2)*(E5736=E5735:E$2)))))</f>
        <v> </v>
      </c>
      <c r="J5736" s="26" t="str">
        <f>IF(OR(E5736="",E5736="!!!",F5736="NEW"),"",COUNTBLANK(OFFSET(A$1,,,SUMPRODUCT(MAX(ROW(E$2:E5736)*(E5736=E$2:E5736)))))-COUNTBLANK(OFFSET(A$1,,,SUMPRODUCT(MAX(ROW(E$1:E5735)*(E2=E$1:E5735))))))</f>
        <v> </v>
      </c>
      <c r="K5736" s="26" t="str">
        <f>IF(OR(E5736="",E5736="!!!",F5736="NEW"),"",INDEX(J$1:J5735,SUMPRODUCT(MAX(ROW(E$1:E5735)*(E5736=E$1:E5735)))))</f>
        <v> </v>
      </c>
      <c r="L5736" s="27"/>
    </row>
    <row r="5737" spans="1:12">
      <c r="A5737" s="20" t="s">
        <v>1590</v>
      </c>
      <c r="E5737" s="22">
        <f>IF(D5737="?OLD","!!!","")</f>
        <v/>
      </c>
      <c r="F5737" s="23" t="str">
        <f>IF(OR(E5737="",E5737="!!!"),"",IF(NOT(ISNA(VLOOKUP(E5737,E$1:E5736,1,FALSE()))),"OLD",IF(AND(E5737&lt;&gt;"",E5737&lt;&gt;"!!!"),"NEW","")))</f>
        <v> </v>
      </c>
      <c r="G5737" s="24" t="str">
        <f>IF(OR(E5737="",E5737="!!!"),"",IF(OR(J5737=0,AND(J5737=1,K5737=1),AND(J5737=1,I5737="SBJ"),AND(J5737=1,I5737=0)),"?IN_FOCUS",IF(J5737&lt;=2,"?ACTIVATED",IF(J5737&lt;&gt;"","?FAMILIAR",IF(F5737="NEW",IF(ISNA(VLOOKUP(E5737,#REF!,1,FALSE())),"?TYPE_IDENTIFIABLE","?REFERENTIAL"),"_")))))</f>
        <v> </v>
      </c>
      <c r="H5737" s="25" t="str">
        <f>IF(J5737&lt;&gt;1,"",IF(I5737="SBJ","CB","?"))</f>
        <v> </v>
      </c>
      <c r="I5737" s="26" t="str">
        <f>IF(OR(E5737="",E5737="!!!",F5737="NEW"),"",INDEX(B5736:B$2,-1+SUMPRODUCT(MAX(ROW(E5736:E$2)*(E5737=E5736:E$2)))))</f>
        <v> </v>
      </c>
      <c r="J5737" s="26" t="str">
        <f>IF(OR(E5737="",E5737="!!!",F5737="NEW"),"",COUNTBLANK(OFFSET(A$1,,,SUMPRODUCT(MAX(ROW(E$2:E5737)*(E5737=E$2:E5737)))))-COUNTBLANK(OFFSET(A$1,,,SUMPRODUCT(MAX(ROW(E$1:E5736)*(E2=E$1:E5736))))))</f>
        <v> </v>
      </c>
      <c r="K5737" s="26" t="str">
        <f>IF(OR(E5737="",E5737="!!!",F5737="NEW"),"",INDEX(J$1:J5736,SUMPRODUCT(MAX(ROW(E$1:E5736)*(E5737=E$1:E5736)))))</f>
        <v> </v>
      </c>
      <c r="L5737" s="27"/>
    </row>
    <row r="5738" spans="1:12">
      <c r="A5738" s="20" t="s">
        <v>1718</v>
      </c>
      <c r="E5738" s="22">
        <f>IF(D5738="?OLD","!!!","")</f>
        <v/>
      </c>
      <c r="F5738" s="23" t="str">
        <f>IF(OR(E5738="",E5738="!!!"),"",IF(NOT(ISNA(VLOOKUP(E5738,E$1:E5737,1,FALSE()))),"OLD",IF(AND(E5738&lt;&gt;"",E5738&lt;&gt;"!!!"),"NEW","")))</f>
        <v> </v>
      </c>
      <c r="G5738" s="24" t="str">
        <f>IF(OR(E5738="",E5738="!!!"),"",IF(OR(J5738=0,AND(J5738=1,K5738=1),AND(J5738=1,I5738="SBJ"),AND(J5738=1,I5738=0)),"?IN_FOCUS",IF(J5738&lt;=2,"?ACTIVATED",IF(J5738&lt;&gt;"","?FAMILIAR",IF(F5738="NEW",IF(ISNA(VLOOKUP(E5738,#REF!,1,FALSE())),"?TYPE_IDENTIFIABLE","?REFERENTIAL"),"_")))))</f>
        <v> </v>
      </c>
      <c r="H5738" s="25" t="str">
        <f>IF(J5738&lt;&gt;1,"",IF(I5738="SBJ","CB","?"))</f>
        <v> </v>
      </c>
      <c r="I5738" s="26" t="str">
        <f>IF(OR(E5738="",E5738="!!!",F5738="NEW"),"",INDEX(B5737:B$2,-1+SUMPRODUCT(MAX(ROW(E5737:E$2)*(E5738=E5737:E$2)))))</f>
        <v> </v>
      </c>
      <c r="J5738" s="26" t="str">
        <f>IF(OR(E5738="",E5738="!!!",F5738="NEW"),"",COUNTBLANK(OFFSET(A$1,,,SUMPRODUCT(MAX(ROW(E$2:E5738)*(E5738=E$2:E5738)))))-COUNTBLANK(OFFSET(A$1,,,SUMPRODUCT(MAX(ROW(E$1:E5737)*(E2=E$1:E5737))))))</f>
        <v> </v>
      </c>
      <c r="K5738" s="26" t="str">
        <f>IF(OR(E5738="",E5738="!!!",F5738="NEW"),"",INDEX(J$1:J5737,SUMPRODUCT(MAX(ROW(E$1:E5737)*(E5738=E$1:E5737)))))</f>
        <v> </v>
      </c>
      <c r="L5738" s="27"/>
    </row>
    <row r="5739" spans="1:12">
      <c r="A5739" s="20" t="s">
        <v>1076</v>
      </c>
      <c r="E5739" s="22">
        <f>IF(D5739="?OLD","!!!","")</f>
        <v/>
      </c>
      <c r="F5739" s="23" t="str">
        <f>IF(OR(E5739="",E5739="!!!"),"",IF(NOT(ISNA(VLOOKUP(E5739,E$1:E5738,1,FALSE()))),"OLD",IF(AND(E5739&lt;&gt;"",E5739&lt;&gt;"!!!"),"NEW","")))</f>
        <v> </v>
      </c>
      <c r="G5739" s="24" t="str">
        <f>IF(OR(E5739="",E5739="!!!"),"",IF(OR(J5739=0,AND(J5739=1,K5739=1),AND(J5739=1,I5739="SBJ"),AND(J5739=1,I5739=0)),"?IN_FOCUS",IF(J5739&lt;=2,"?ACTIVATED",IF(J5739&lt;&gt;"","?FAMILIAR",IF(F5739="NEW",IF(ISNA(VLOOKUP(E5739,#REF!,1,FALSE())),"?TYPE_IDENTIFIABLE","?REFERENTIAL"),"_")))))</f>
        <v> </v>
      </c>
      <c r="H5739" s="25" t="str">
        <f>IF(J5739&lt;&gt;1,"",IF(I5739="SBJ","CB","?"))</f>
        <v> </v>
      </c>
      <c r="I5739" s="26" t="str">
        <f>IF(OR(E5739="",E5739="!!!",F5739="NEW"),"",INDEX(B5738:B$2,-1+SUMPRODUCT(MAX(ROW(E5738:E$2)*(E5739=E5738:E$2)))))</f>
        <v> </v>
      </c>
      <c r="J5739" s="26" t="str">
        <f>IF(OR(E5739="",E5739="!!!",F5739="NEW"),"",COUNTBLANK(OFFSET(A$1,,,SUMPRODUCT(MAX(ROW(E$2:E5739)*(E5739=E$2:E5739)))))-COUNTBLANK(OFFSET(A$1,,,SUMPRODUCT(MAX(ROW(E$1:E5738)*(E2=E$1:E5738))))))</f>
        <v> </v>
      </c>
      <c r="K5739" s="26" t="str">
        <f>IF(OR(E5739="",E5739="!!!",F5739="NEW"),"",INDEX(J$1:J5738,SUMPRODUCT(MAX(ROW(E$1:E5738)*(E5739=E$1:E5738)))))</f>
        <v> </v>
      </c>
      <c r="L5739" s="27"/>
    </row>
    <row r="5740" spans="1:12">
      <c r="A5740" s="20" t="s">
        <v>1050</v>
      </c>
      <c r="B5740" s="21" t="s">
        <v>1088</v>
      </c>
      <c r="C5740" s="21" t="s">
        <v>1017</v>
      </c>
      <c r="E5740" s="22">
        <f>IF(D5740="?OLD","!!!","")</f>
        <v/>
      </c>
      <c r="F5740" s="23" t="str">
        <f>IF(OR(E5740="",E5740="!!!"),"",IF(NOT(ISNA(VLOOKUP(E5740,E$1:E5739,1,FALSE()))),"OLD",IF(AND(E5740&lt;&gt;"",E5740&lt;&gt;"!!!"),"NEW","")))</f>
        <v> </v>
      </c>
      <c r="G5740" s="24" t="str">
        <f>IF(OR(E5740="",E5740="!!!"),"",IF(OR(J5740=0,AND(J5740=1,K5740=1),AND(J5740=1,I5740="SBJ"),AND(J5740=1,I5740=0)),"?IN_FOCUS",IF(J5740&lt;=2,"?ACTIVATED",IF(J5740&lt;&gt;"","?FAMILIAR",IF(F5740="NEW",IF(ISNA(VLOOKUP(E5740,#REF!,1,FALSE())),"?TYPE_IDENTIFIABLE","?REFERENTIAL"),"_")))))</f>
        <v> </v>
      </c>
      <c r="H5740" s="25" t="str">
        <f>IF(J5740&lt;&gt;1,"",IF(I5740="SBJ","CB","?"))</f>
        <v> </v>
      </c>
      <c r="I5740" s="26" t="str">
        <f>IF(OR(E5740="",E5740="!!!",F5740="NEW"),"",INDEX(B5739:B$2,-1+SUMPRODUCT(MAX(ROW(E5739:E$2)*(E5740=E5739:E$2)))))</f>
        <v> </v>
      </c>
      <c r="J5740" s="26" t="str">
        <f>IF(OR(E5740="",E5740="!!!",F5740="NEW"),"",COUNTBLANK(OFFSET(A$1,,,SUMPRODUCT(MAX(ROW(E$2:E5740)*(E5740=E$2:E5740)))))-COUNTBLANK(OFFSET(A$1,,,SUMPRODUCT(MAX(ROW(E$1:E5739)*(E2=E$1:E5739))))))</f>
        <v> </v>
      </c>
      <c r="K5740" s="26" t="str">
        <f>IF(OR(E5740="",E5740="!!!",F5740="NEW"),"",INDEX(J$1:J5739,SUMPRODUCT(MAX(ROW(E$1:E5739)*(E5740=E$1:E5739)))))</f>
        <v> </v>
      </c>
      <c r="L5740" s="27"/>
    </row>
    <row r="5741" spans="1:12">
      <c r="A5741" s="20" t="s">
        <v>1025</v>
      </c>
      <c r="B5741" s="21" t="s">
        <v>1053</v>
      </c>
      <c r="E5741" s="22">
        <f>IF(D5741="?OLD","!!!","")</f>
        <v/>
      </c>
      <c r="F5741" s="23" t="str">
        <f>IF(OR(E5741="",E5741="!!!"),"",IF(NOT(ISNA(VLOOKUP(E5741,E$1:E5740,1,FALSE()))),"OLD",IF(AND(E5741&lt;&gt;"",E5741&lt;&gt;"!!!"),"NEW","")))</f>
        <v> </v>
      </c>
      <c r="G5741" s="24" t="str">
        <f>IF(OR(E5741="",E5741="!!!"),"",IF(OR(J5741=0,AND(J5741=1,K5741=1),AND(J5741=1,I5741="SBJ"),AND(J5741=1,I5741=0)),"?IN_FOCUS",IF(J5741&lt;=2,"?ACTIVATED",IF(J5741&lt;&gt;"","?FAMILIAR",IF(F5741="NEW",IF(ISNA(VLOOKUP(E5741,#REF!,1,FALSE())),"?TYPE_IDENTIFIABLE","?REFERENTIAL"),"_")))))</f>
        <v> </v>
      </c>
      <c r="H5741" s="25" t="str">
        <f>IF(J5741&lt;&gt;1,"",IF(I5741="SBJ","CB","?"))</f>
        <v> </v>
      </c>
      <c r="I5741" s="26" t="str">
        <f>IF(OR(E5741="",E5741="!!!",F5741="NEW"),"",INDEX(B5740:B$2,-1+SUMPRODUCT(MAX(ROW(E5740:E$2)*(E5741=E5740:E$2)))))</f>
        <v> </v>
      </c>
      <c r="J5741" s="26" t="str">
        <f>IF(OR(E5741="",E5741="!!!",F5741="NEW"),"",COUNTBLANK(OFFSET(A$1,,,SUMPRODUCT(MAX(ROW(E$2:E5741)*(E5741=E$2:E5741)))))-COUNTBLANK(OFFSET(A$1,,,SUMPRODUCT(MAX(ROW(E$1:E5740)*(E2=E$1:E5740))))))</f>
        <v> </v>
      </c>
      <c r="K5741" s="26" t="str">
        <f>IF(OR(E5741="",E5741="!!!",F5741="NEW"),"",INDEX(J$1:J5740,SUMPRODUCT(MAX(ROW(E$1:E5740)*(E5741=E$1:E5740)))))</f>
        <v> </v>
      </c>
      <c r="L5741" s="27"/>
    </row>
    <row r="5742" spans="1:12">
      <c r="A5742" s="20" t="s">
        <v>90</v>
      </c>
      <c r="E5742" s="22">
        <f>IF(D5742="?OLD","!!!","")</f>
        <v/>
      </c>
      <c r="F5742" s="23" t="str">
        <f>IF(OR(E5742="",E5742="!!!"),"",IF(NOT(ISNA(VLOOKUP(E5742,E$1:E5741,1,FALSE()))),"OLD",IF(AND(E5742&lt;&gt;"",E5742&lt;&gt;"!!!"),"NEW","")))</f>
        <v> </v>
      </c>
      <c r="G5742" s="24" t="str">
        <f>IF(OR(E5742="",E5742="!!!"),"",IF(OR(J5742=0,AND(J5742=1,K5742=1),AND(J5742=1,I5742="SBJ"),AND(J5742=1,I5742=0)),"?IN_FOCUS",IF(J5742&lt;=2,"?ACTIVATED",IF(J5742&lt;&gt;"","?FAMILIAR",IF(F5742="NEW",IF(ISNA(VLOOKUP(E5742,#REF!,1,FALSE())),"?TYPE_IDENTIFIABLE","?REFERENTIAL"),"_")))))</f>
        <v> </v>
      </c>
      <c r="H5742" s="25" t="str">
        <f>IF(J5742&lt;&gt;1,"",IF(I5742="SBJ","CB","?"))</f>
        <v> </v>
      </c>
      <c r="I5742" s="26" t="str">
        <f>IF(OR(E5742="",E5742="!!!",F5742="NEW"),"",INDEX(B5741:B$2,-1+SUMPRODUCT(MAX(ROW(E5741:E$2)*(E5742=E5741:E$2)))))</f>
        <v> </v>
      </c>
      <c r="J5742" s="26" t="str">
        <f>IF(OR(E5742="",E5742="!!!",F5742="NEW"),"",COUNTBLANK(OFFSET(A$1,,,SUMPRODUCT(MAX(ROW(E$2:E5742)*(E5742=E$2:E5742)))))-COUNTBLANK(OFFSET(A$1,,,SUMPRODUCT(MAX(ROW(E$1:E5741)*(E2=E$1:E5741))))))</f>
        <v> </v>
      </c>
      <c r="K5742" s="26" t="str">
        <f>IF(OR(E5742="",E5742="!!!",F5742="NEW"),"",INDEX(J$1:J5741,SUMPRODUCT(MAX(ROW(E$1:E5741)*(E5742=E$1:E5741)))))</f>
        <v> </v>
      </c>
      <c r="L5742" s="27"/>
    </row>
    <row r="5743" spans="1:12">
      <c r="A5743" s="20" t="s">
        <v>1028</v>
      </c>
      <c r="E5743" s="22">
        <f>IF(D5743="?OLD","!!!","")</f>
        <v/>
      </c>
      <c r="F5743" s="23" t="str">
        <f>IF(OR(E5743="",E5743="!!!"),"",IF(NOT(ISNA(VLOOKUP(E5743,E$1:E5742,1,FALSE()))),"OLD",IF(AND(E5743&lt;&gt;"",E5743&lt;&gt;"!!!"),"NEW","")))</f>
        <v> </v>
      </c>
      <c r="G5743" s="24" t="str">
        <f>IF(OR(E5743="",E5743="!!!"),"",IF(OR(J5743=0,AND(J5743=1,K5743=1),AND(J5743=1,I5743="SBJ"),AND(J5743=1,I5743=0)),"?IN_FOCUS",IF(J5743&lt;=2,"?ACTIVATED",IF(J5743&lt;&gt;"","?FAMILIAR",IF(F5743="NEW",IF(ISNA(VLOOKUP(E5743,#REF!,1,FALSE())),"?TYPE_IDENTIFIABLE","?REFERENTIAL"),"_")))))</f>
        <v> </v>
      </c>
      <c r="H5743" s="25" t="str">
        <f>IF(J5743&lt;&gt;1,"",IF(I5743="SBJ","CB","?"))</f>
        <v> </v>
      </c>
      <c r="I5743" s="26" t="str">
        <f>IF(OR(E5743="",E5743="!!!",F5743="NEW"),"",INDEX(B5742:B$2,-1+SUMPRODUCT(MAX(ROW(E5742:E$2)*(E5743=E5742:E$2)))))</f>
        <v> </v>
      </c>
      <c r="J5743" s="26" t="str">
        <f>IF(OR(E5743="",E5743="!!!",F5743="NEW"),"",COUNTBLANK(OFFSET(A$1,,,SUMPRODUCT(MAX(ROW(E$2:E5743)*(E5743=E$2:E5743)))))-COUNTBLANK(OFFSET(A$1,,,SUMPRODUCT(MAX(ROW(E$1:E5742)*(E2=E$1:E5742))))))</f>
        <v> </v>
      </c>
      <c r="K5743" s="26" t="str">
        <f>IF(OR(E5743="",E5743="!!!",F5743="NEW"),"",INDEX(J$1:J5742,SUMPRODUCT(MAX(ROW(E$1:E5742)*(E5743=E$1:E5742)))))</f>
        <v> </v>
      </c>
      <c r="L5743" s="27"/>
    </row>
    <row r="5744" spans="1:12">
      <c r="A5744" s="20" t="s">
        <v>2148</v>
      </c>
      <c r="B5744" s="21" t="s">
        <v>1051</v>
      </c>
      <c r="C5744" s="21" t="s">
        <v>1030</v>
      </c>
      <c r="E5744" s="22">
        <f>IF(D5744="?OLD","!!!","")</f>
        <v/>
      </c>
      <c r="F5744" s="23" t="str">
        <f>IF(OR(E5744="",E5744="!!!"),"",IF(NOT(ISNA(VLOOKUP(E5744,E$1:E5743,1,FALSE()))),"OLD",IF(AND(E5744&lt;&gt;"",E5744&lt;&gt;"!!!"),"NEW","")))</f>
        <v> </v>
      </c>
      <c r="G5744" s="24" t="str">
        <f>IF(OR(E5744="",E5744="!!!"),"",IF(OR(J5744=0,AND(J5744=1,K5744=1),AND(J5744=1,I5744="SBJ"),AND(J5744=1,I5744=0)),"?IN_FOCUS",IF(J5744&lt;=2,"?ACTIVATED",IF(J5744&lt;&gt;"","?FAMILIAR",IF(F5744="NEW",IF(ISNA(VLOOKUP(E5744,#REF!,1,FALSE())),"?TYPE_IDENTIFIABLE","?REFERENTIAL"),"_")))))</f>
        <v> </v>
      </c>
      <c r="H5744" s="25" t="str">
        <f>IF(J5744&lt;&gt;1,"",IF(I5744="SBJ","CB","?"))</f>
        <v> </v>
      </c>
      <c r="I5744" s="26" t="str">
        <f>IF(OR(E5744="",E5744="!!!",F5744="NEW"),"",INDEX(B5743:B$2,-1+SUMPRODUCT(MAX(ROW(E5743:E$2)*(E5744=E5743:E$2)))))</f>
        <v> </v>
      </c>
      <c r="J5744" s="26" t="str">
        <f>IF(OR(E5744="",E5744="!!!",F5744="NEW"),"",COUNTBLANK(OFFSET(A$1,,,SUMPRODUCT(MAX(ROW(E$2:E5744)*(E5744=E$2:E5744)))))-COUNTBLANK(OFFSET(A$1,,,SUMPRODUCT(MAX(ROW(E$1:E5743)*(E2=E$1:E5743))))))</f>
        <v> </v>
      </c>
      <c r="K5744" s="26" t="str">
        <f>IF(OR(E5744="",E5744="!!!",F5744="NEW"),"",INDEX(J$1:J5743,SUMPRODUCT(MAX(ROW(E$1:E5743)*(E5744=E$1:E5743)))))</f>
        <v> </v>
      </c>
      <c r="L5744" s="27"/>
    </row>
    <row r="5745" spans="1:12">
      <c r="A5745" s="20" t="s">
        <v>1014</v>
      </c>
      <c r="E5745" s="22">
        <f>IF(D5745="?OLD","!!!","")</f>
        <v/>
      </c>
      <c r="F5745" s="23" t="str">
        <f>IF(OR(E5745="",E5745="!!!"),"",IF(NOT(ISNA(VLOOKUP(E5745,E$1:E5744,1,FALSE()))),"OLD",IF(AND(E5745&lt;&gt;"",E5745&lt;&gt;"!!!"),"NEW","")))</f>
        <v> </v>
      </c>
      <c r="G5745" s="24" t="str">
        <f>IF(OR(E5745="",E5745="!!!"),"",IF(OR(J5745=0,AND(J5745=1,K5745=1),AND(J5745=1,I5745="SBJ"),AND(J5745=1,I5745=0)),"?IN_FOCUS",IF(J5745&lt;=2,"?ACTIVATED",IF(J5745&lt;&gt;"","?FAMILIAR",IF(F5745="NEW",IF(ISNA(VLOOKUP(E5745,#REF!,1,FALSE())),"?TYPE_IDENTIFIABLE","?REFERENTIAL"),"_")))))</f>
        <v> </v>
      </c>
      <c r="H5745" s="25" t="str">
        <f>IF(J5745&lt;&gt;1,"",IF(I5745="SBJ","CB","?"))</f>
        <v> </v>
      </c>
      <c r="I5745" s="26" t="str">
        <f>IF(OR(E5745="",E5745="!!!",F5745="NEW"),"",INDEX(B5744:B$2,-1+SUMPRODUCT(MAX(ROW(E5744:E$2)*(E5745=E5744:E$2)))))</f>
        <v> </v>
      </c>
      <c r="J5745" s="26" t="str">
        <f>IF(OR(E5745="",E5745="!!!",F5745="NEW"),"",COUNTBLANK(OFFSET(A$1,,,SUMPRODUCT(MAX(ROW(E$2:E5745)*(E5745=E$2:E5745)))))-COUNTBLANK(OFFSET(A$1,,,SUMPRODUCT(MAX(ROW(E$1:E5744)*(E2=E$1:E5744))))))</f>
        <v> </v>
      </c>
      <c r="K5745" s="26" t="str">
        <f>IF(OR(E5745="",E5745="!!!",F5745="NEW"),"",INDEX(J$1:J5744,SUMPRODUCT(MAX(ROW(E$1:E5744)*(E5745=E$1:E5744)))))</f>
        <v> </v>
      </c>
      <c r="L5745" s="27"/>
    </row>
    <row r="5746" spans="1:12">
      <c r="A5746" s="20" t="s">
        <v>82</v>
      </c>
      <c r="E5746" s="22">
        <f>IF(D5746="?OLD","!!!","")</f>
        <v/>
      </c>
      <c r="F5746" s="23" t="str">
        <f>IF(OR(E5746="",E5746="!!!"),"",IF(NOT(ISNA(VLOOKUP(E5746,E$1:E5745,1,FALSE()))),"OLD",IF(AND(E5746&lt;&gt;"",E5746&lt;&gt;"!!!"),"NEW","")))</f>
        <v> </v>
      </c>
      <c r="G5746" s="24" t="str">
        <f>IF(OR(E5746="",E5746="!!!"),"",IF(OR(J5746=0,AND(J5746=1,K5746=1),AND(J5746=1,I5746="SBJ"),AND(J5746=1,I5746=0)),"?IN_FOCUS",IF(J5746&lt;=2,"?ACTIVATED",IF(J5746&lt;&gt;"","?FAMILIAR",IF(F5746="NEW",IF(ISNA(VLOOKUP(E5746,#REF!,1,FALSE())),"?TYPE_IDENTIFIABLE","?REFERENTIAL"),"_")))))</f>
        <v> </v>
      </c>
      <c r="H5746" s="25" t="str">
        <f>IF(J5746&lt;&gt;1,"",IF(I5746="SBJ","CB","?"))</f>
        <v> </v>
      </c>
      <c r="I5746" s="26" t="str">
        <f>IF(OR(E5746="",E5746="!!!",F5746="NEW"),"",INDEX(B5745:B$2,-1+SUMPRODUCT(MAX(ROW(E5745:E$2)*(E5746=E5745:E$2)))))</f>
        <v> </v>
      </c>
      <c r="J5746" s="26" t="str">
        <f>IF(OR(E5746="",E5746="!!!",F5746="NEW"),"",COUNTBLANK(OFFSET(A$1,,,SUMPRODUCT(MAX(ROW(E$2:E5746)*(E5746=E$2:E5746)))))-COUNTBLANK(OFFSET(A$1,,,SUMPRODUCT(MAX(ROW(E$1:E5745)*(E2=E$1:E5745))))))</f>
        <v> </v>
      </c>
      <c r="K5746" s="26" t="str">
        <f>IF(OR(E5746="",E5746="!!!",F5746="NEW"),"",INDEX(J$1:J5745,SUMPRODUCT(MAX(ROW(E$1:E5745)*(E5746=E$1:E5745)))))</f>
        <v> </v>
      </c>
      <c r="L5746" s="27"/>
    </row>
    <row r="5747" spans="1:12">
      <c r="A5747" s="20" t="s">
        <v>1146</v>
      </c>
      <c r="E5747" s="22">
        <f>IF(D5747="?OLD","!!!","")</f>
        <v/>
      </c>
      <c r="F5747" s="23" t="str">
        <f>IF(OR(E5747="",E5747="!!!"),"",IF(NOT(ISNA(VLOOKUP(E5747,E$1:E5746,1,FALSE()))),"OLD",IF(AND(E5747&lt;&gt;"",E5747&lt;&gt;"!!!"),"NEW","")))</f>
        <v> </v>
      </c>
      <c r="G5747" s="24" t="str">
        <f>IF(OR(E5747="",E5747="!!!"),"",IF(OR(J5747=0,AND(J5747=1,K5747=1),AND(J5747=1,I5747="SBJ"),AND(J5747=1,I5747=0)),"?IN_FOCUS",IF(J5747&lt;=2,"?ACTIVATED",IF(J5747&lt;&gt;"","?FAMILIAR",IF(F5747="NEW",IF(ISNA(VLOOKUP(E5747,#REF!,1,FALSE())),"?TYPE_IDENTIFIABLE","?REFERENTIAL"),"_")))))</f>
        <v> </v>
      </c>
      <c r="H5747" s="25" t="str">
        <f>IF(J5747&lt;&gt;1,"",IF(I5747="SBJ","CB","?"))</f>
        <v> </v>
      </c>
      <c r="I5747" s="26" t="str">
        <f>IF(OR(E5747="",E5747="!!!",F5747="NEW"),"",INDEX(B5746:B$2,-1+SUMPRODUCT(MAX(ROW(E5746:E$2)*(E5747=E5746:E$2)))))</f>
        <v> </v>
      </c>
      <c r="J5747" s="26" t="str">
        <f>IF(OR(E5747="",E5747="!!!",F5747="NEW"),"",COUNTBLANK(OFFSET(A$1,,,SUMPRODUCT(MAX(ROW(E$2:E5747)*(E5747=E$2:E5747)))))-COUNTBLANK(OFFSET(A$1,,,SUMPRODUCT(MAX(ROW(E$1:E5746)*(E2=E$1:E5746))))))</f>
        <v> </v>
      </c>
      <c r="K5747" s="26" t="str">
        <f>IF(OR(E5747="",E5747="!!!",F5747="NEW"),"",INDEX(J$1:J5746,SUMPRODUCT(MAX(ROW(E$1:E5746)*(E5747=E$1:E5746)))))</f>
        <v> </v>
      </c>
      <c r="L5747" s="27"/>
    </row>
    <row r="5748" spans="1:12">
      <c r="A5748" s="20" t="s">
        <v>1300</v>
      </c>
      <c r="E5748" s="22">
        <f>IF(D5748="?OLD","!!!","")</f>
        <v/>
      </c>
      <c r="F5748" s="23" t="str">
        <f>IF(OR(E5748="",E5748="!!!"),"",IF(NOT(ISNA(VLOOKUP(E5748,E$1:E5747,1,FALSE()))),"OLD",IF(AND(E5748&lt;&gt;"",E5748&lt;&gt;"!!!"),"NEW","")))</f>
        <v> </v>
      </c>
      <c r="G5748" s="24" t="str">
        <f>IF(OR(E5748="",E5748="!!!"),"",IF(OR(J5748=0,AND(J5748=1,K5748=1),AND(J5748=1,I5748="SBJ"),AND(J5748=1,I5748=0)),"?IN_FOCUS",IF(J5748&lt;=2,"?ACTIVATED",IF(J5748&lt;&gt;"","?FAMILIAR",IF(F5748="NEW",IF(ISNA(VLOOKUP(E5748,#REF!,1,FALSE())),"?TYPE_IDENTIFIABLE","?REFERENTIAL"),"_")))))</f>
        <v> </v>
      </c>
      <c r="H5748" s="25" t="str">
        <f>IF(J5748&lt;&gt;1,"",IF(I5748="SBJ","CB","?"))</f>
        <v> </v>
      </c>
      <c r="I5748" s="26" t="str">
        <f>IF(OR(E5748="",E5748="!!!",F5748="NEW"),"",INDEX(B5747:B$2,-1+SUMPRODUCT(MAX(ROW(E5747:E$2)*(E5748=E5747:E$2)))))</f>
        <v> </v>
      </c>
      <c r="J5748" s="26" t="str">
        <f>IF(OR(E5748="",E5748="!!!",F5748="NEW"),"",COUNTBLANK(OFFSET(A$1,,,SUMPRODUCT(MAX(ROW(E$2:E5748)*(E5748=E$2:E5748)))))-COUNTBLANK(OFFSET(A$1,,,SUMPRODUCT(MAX(ROW(E$1:E5747)*(E2=E$1:E5747))))))</f>
        <v> </v>
      </c>
      <c r="K5748" s="26" t="str">
        <f>IF(OR(E5748="",E5748="!!!",F5748="NEW"),"",INDEX(J$1:J5747,SUMPRODUCT(MAX(ROW(E$1:E5747)*(E5748=E$1:E5747)))))</f>
        <v> </v>
      </c>
      <c r="L5748" s="27"/>
    </row>
    <row r="5749" spans="1:12">
      <c r="A5749" s="20" t="s">
        <v>2265</v>
      </c>
      <c r="E5749" s="22">
        <f>IF(D5749="?OLD","!!!","")</f>
        <v/>
      </c>
      <c r="F5749" s="23" t="str">
        <f>IF(OR(E5749="",E5749="!!!"),"",IF(NOT(ISNA(VLOOKUP(E5749,E$1:E5748,1,FALSE()))),"OLD",IF(AND(E5749&lt;&gt;"",E5749&lt;&gt;"!!!"),"NEW","")))</f>
        <v> </v>
      </c>
      <c r="G5749" s="24" t="str">
        <f>IF(OR(E5749="",E5749="!!!"),"",IF(OR(J5749=0,AND(J5749=1,K5749=1),AND(J5749=1,I5749="SBJ"),AND(J5749=1,I5749=0)),"?IN_FOCUS",IF(J5749&lt;=2,"?ACTIVATED",IF(J5749&lt;&gt;"","?FAMILIAR",IF(F5749="NEW",IF(ISNA(VLOOKUP(E5749,#REF!,1,FALSE())),"?TYPE_IDENTIFIABLE","?REFERENTIAL"),"_")))))</f>
        <v> </v>
      </c>
      <c r="H5749" s="25" t="str">
        <f>IF(J5749&lt;&gt;1,"",IF(I5749="SBJ","CB","?"))</f>
        <v> </v>
      </c>
      <c r="I5749" s="26" t="str">
        <f>IF(OR(E5749="",E5749="!!!",F5749="NEW"),"",INDEX(B5748:B$2,-1+SUMPRODUCT(MAX(ROW(E5748:E$2)*(E5749=E5748:E$2)))))</f>
        <v> </v>
      </c>
      <c r="J5749" s="26" t="str">
        <f>IF(OR(E5749="",E5749="!!!",F5749="NEW"),"",COUNTBLANK(OFFSET(A$1,,,SUMPRODUCT(MAX(ROW(E$2:E5749)*(E5749=E$2:E5749)))))-COUNTBLANK(OFFSET(A$1,,,SUMPRODUCT(MAX(ROW(E$1:E5748)*(E2=E$1:E5748))))))</f>
        <v> </v>
      </c>
      <c r="K5749" s="26" t="str">
        <f>IF(OR(E5749="",E5749="!!!",F5749="NEW"),"",INDEX(J$1:J5748,SUMPRODUCT(MAX(ROW(E$1:E5748)*(E5749=E$1:E5748)))))</f>
        <v> </v>
      </c>
      <c r="L5749" s="27"/>
    </row>
    <row r="5750" spans="1:12">
      <c r="A5750" s="20" t="s">
        <v>1022</v>
      </c>
      <c r="E5750" s="22">
        <f>IF(D5750="?OLD","!!!","")</f>
        <v/>
      </c>
      <c r="F5750" s="23" t="str">
        <f>IF(OR(E5750="",E5750="!!!"),"",IF(NOT(ISNA(VLOOKUP(E5750,E$1:E5749,1,FALSE()))),"OLD",IF(AND(E5750&lt;&gt;"",E5750&lt;&gt;"!!!"),"NEW","")))</f>
        <v> </v>
      </c>
      <c r="G5750" s="24" t="str">
        <f>IF(OR(E5750="",E5750="!!!"),"",IF(OR(J5750=0,AND(J5750=1,K5750=1),AND(J5750=1,I5750="SBJ"),AND(J5750=1,I5750=0)),"?IN_FOCUS",IF(J5750&lt;=2,"?ACTIVATED",IF(J5750&lt;&gt;"","?FAMILIAR",IF(F5750="NEW",IF(ISNA(VLOOKUP(E5750,#REF!,1,FALSE())),"?TYPE_IDENTIFIABLE","?REFERENTIAL"),"_")))))</f>
        <v> </v>
      </c>
      <c r="H5750" s="25" t="str">
        <f>IF(J5750&lt;&gt;1,"",IF(I5750="SBJ","CB","?"))</f>
        <v> </v>
      </c>
      <c r="I5750" s="26" t="str">
        <f>IF(OR(E5750="",E5750="!!!",F5750="NEW"),"",INDEX(B5749:B$2,-1+SUMPRODUCT(MAX(ROW(E5749:E$2)*(E5750=E5749:E$2)))))</f>
        <v> </v>
      </c>
      <c r="J5750" s="26" t="str">
        <f>IF(OR(E5750="",E5750="!!!",F5750="NEW"),"",COUNTBLANK(OFFSET(A$1,,,SUMPRODUCT(MAX(ROW(E$2:E5750)*(E5750=E$2:E5750)))))-COUNTBLANK(OFFSET(A$1,,,SUMPRODUCT(MAX(ROW(E$1:E5749)*(E2=E$1:E5749))))))</f>
        <v> </v>
      </c>
      <c r="K5750" s="26" t="str">
        <f>IF(OR(E5750="",E5750="!!!",F5750="NEW"),"",INDEX(J$1:J5749,SUMPRODUCT(MAX(ROW(E$1:E5749)*(E5750=E$1:E5749)))))</f>
        <v> </v>
      </c>
      <c r="L5750" s="27"/>
    </row>
    <row r="5751" spans="1:12">
      <c r="A5751" s="20"/>
    </row>
    <row r="5752" spans="1:12">
      <c r="A5752" s="20" t="s">
        <v>1264</v>
      </c>
      <c r="E5752" s="22">
        <f>IF(D5752="?OLD","!!!","")</f>
        <v/>
      </c>
      <c r="F5752" s="23" t="str">
        <f>IF(OR(E5752="",E5752="!!!"),"",IF(NOT(ISNA(VLOOKUP(E5752,E$1:E5751,1,FALSE()))),"OLD",IF(AND(E5752&lt;&gt;"",E5752&lt;&gt;"!!!"),"NEW","")))</f>
        <v> </v>
      </c>
      <c r="G5752" s="24" t="str">
        <f>IF(OR(E5752="",E5752="!!!"),"",IF(OR(J5752=0,AND(J5752=1,K5752=1),AND(J5752=1,I5752="SBJ"),AND(J5752=1,I5752=0)),"?IN_FOCUS",IF(J5752&lt;=2,"?ACTIVATED",IF(J5752&lt;&gt;"","?FAMILIAR",IF(F5752="NEW",IF(ISNA(VLOOKUP(E5752,#REF!,1,FALSE())),"?TYPE_IDENTIFIABLE","?REFERENTIAL"),"_")))))</f>
        <v> </v>
      </c>
      <c r="H5752" s="25" t="str">
        <f>IF(J5752&lt;&gt;1,"",IF(I5752="SBJ","CB","?"))</f>
        <v> </v>
      </c>
      <c r="I5752" s="26" t="str">
        <f>IF(OR(E5752="",E5752="!!!",F5752="NEW"),"",INDEX(B5751:B$2,-1+SUMPRODUCT(MAX(ROW(E5751:E$2)*(E5752=E5751:E$2)))))</f>
        <v> </v>
      </c>
      <c r="J5752" s="26" t="str">
        <f>IF(OR(E5752="",E5752="!!!",F5752="NEW"),"",COUNTBLANK(OFFSET(A$1,,,SUMPRODUCT(MAX(ROW(E$2:E5752)*(E5752=E$2:E5752)))))-COUNTBLANK(OFFSET(A$1,,,SUMPRODUCT(MAX(ROW(E$1:E5751)*(E2=E$1:E5751))))))</f>
        <v> </v>
      </c>
      <c r="K5752" s="26" t="str">
        <f>IF(OR(E5752="",E5752="!!!",F5752="NEW"),"",INDEX(J$1:J5751,SUMPRODUCT(MAX(ROW(E$1:E5751)*(E5752=E$1:E5751)))))</f>
        <v> </v>
      </c>
      <c r="L5752" s="27"/>
    </row>
    <row r="5753" spans="1:12">
      <c r="A5753" s="20" t="s">
        <v>2266</v>
      </c>
    </row>
    <row r="5754" spans="1:12">
      <c r="A5754" s="20" t="s">
        <v>1204</v>
      </c>
      <c r="E5754" s="22">
        <f>IF(D5754="?OLD","!!!","")</f>
        <v/>
      </c>
      <c r="F5754" s="23" t="str">
        <f>IF(OR(E5754="",E5754="!!!"),"",IF(NOT(ISNA(VLOOKUP(E5754,E$1:E5753,1,FALSE()))),"OLD",IF(AND(E5754&lt;&gt;"",E5754&lt;&gt;"!!!"),"NEW","")))</f>
        <v> </v>
      </c>
      <c r="G5754" s="24" t="str">
        <f>IF(OR(E5754="",E5754="!!!"),"",IF(OR(J5754=0,AND(J5754=1,K5754=1),AND(J5754=1,I5754="SBJ"),AND(J5754=1,I5754=0)),"?IN_FOCUS",IF(J5754&lt;=2,"?ACTIVATED",IF(J5754&lt;&gt;"","?FAMILIAR",IF(F5754="NEW",IF(ISNA(VLOOKUP(E5754,#REF!,1,FALSE())),"?TYPE_IDENTIFIABLE","?REFERENTIAL"),"_")))))</f>
        <v> </v>
      </c>
      <c r="H5754" s="25" t="str">
        <f>IF(J5754&lt;&gt;1,"",IF(I5754="SBJ","CB","?"))</f>
        <v> </v>
      </c>
      <c r="I5754" s="26" t="str">
        <f>IF(OR(E5754="",E5754="!!!",F5754="NEW"),"",INDEX(B5753:B$2,-1+SUMPRODUCT(MAX(ROW(E5753:E$2)*(E5754=E5753:E$2)))))</f>
        <v> </v>
      </c>
      <c r="J5754" s="26" t="str">
        <f>IF(OR(E5754="",E5754="!!!",F5754="NEW"),"",COUNTBLANK(OFFSET(A$1,,,SUMPRODUCT(MAX(ROW(E$2:E5754)*(E5754=E$2:E5754)))))-COUNTBLANK(OFFSET(A$1,,,SUMPRODUCT(MAX(ROW(E$1:E5753)*(E2=E$1:E5753))))))</f>
        <v> </v>
      </c>
      <c r="K5754" s="26" t="str">
        <f>IF(OR(E5754="",E5754="!!!",F5754="NEW"),"",INDEX(J$1:J5753,SUMPRODUCT(MAX(ROW(E$1:E5753)*(E5754=E$1:E5753)))))</f>
        <v> </v>
      </c>
      <c r="L5754" s="27"/>
    </row>
    <row r="5755" spans="1:12">
      <c r="A5755" s="20" t="s">
        <v>1042</v>
      </c>
      <c r="E5755" s="22">
        <f>IF(D5755="?OLD","!!!","")</f>
        <v/>
      </c>
      <c r="F5755" s="23" t="str">
        <f>IF(OR(E5755="",E5755="!!!"),"",IF(NOT(ISNA(VLOOKUP(E5755,E$1:E5754,1,FALSE()))),"OLD",IF(AND(E5755&lt;&gt;"",E5755&lt;&gt;"!!!"),"NEW","")))</f>
        <v> </v>
      </c>
      <c r="G5755" s="24" t="str">
        <f>IF(OR(E5755="",E5755="!!!"),"",IF(OR(J5755=0,AND(J5755=1,K5755=1),AND(J5755=1,I5755="SBJ"),AND(J5755=1,I5755=0)),"?IN_FOCUS",IF(J5755&lt;=2,"?ACTIVATED",IF(J5755&lt;&gt;"","?FAMILIAR",IF(F5755="NEW",IF(ISNA(VLOOKUP(E5755,#REF!,1,FALSE())),"?TYPE_IDENTIFIABLE","?REFERENTIAL"),"_")))))</f>
        <v> </v>
      </c>
      <c r="H5755" s="25" t="str">
        <f>IF(J5755&lt;&gt;1,"",IF(I5755="SBJ","CB","?"))</f>
        <v> </v>
      </c>
      <c r="I5755" s="26" t="str">
        <f>IF(OR(E5755="",E5755="!!!",F5755="NEW"),"",INDEX(B5754:B$2,-1+SUMPRODUCT(MAX(ROW(E5754:E$2)*(E5755=E5754:E$2)))))</f>
        <v> </v>
      </c>
      <c r="J5755" s="26" t="str">
        <f>IF(OR(E5755="",E5755="!!!",F5755="NEW"),"",COUNTBLANK(OFFSET(A$1,,,SUMPRODUCT(MAX(ROW(E$2:E5755)*(E5755=E$2:E5755)))))-COUNTBLANK(OFFSET(A$1,,,SUMPRODUCT(MAX(ROW(E$1:E5754)*(E2=E$1:E5754))))))</f>
        <v> </v>
      </c>
      <c r="K5755" s="26" t="str">
        <f>IF(OR(E5755="",E5755="!!!",F5755="NEW"),"",INDEX(J$1:J5754,SUMPRODUCT(MAX(ROW(E$1:E5754)*(E5755=E$1:E5754)))))</f>
        <v> </v>
      </c>
      <c r="L5755" s="27"/>
    </row>
    <row r="5756" spans="1:12">
      <c r="A5756" s="20" t="s">
        <v>1976</v>
      </c>
      <c r="E5756" s="22">
        <f>IF(D5756="?OLD","!!!","")</f>
        <v/>
      </c>
      <c r="F5756" s="23" t="str">
        <f>IF(OR(E5756="",E5756="!!!"),"",IF(NOT(ISNA(VLOOKUP(E5756,E$1:E5755,1,FALSE()))),"OLD",IF(AND(E5756&lt;&gt;"",E5756&lt;&gt;"!!!"),"NEW","")))</f>
        <v> </v>
      </c>
      <c r="G5756" s="24" t="str">
        <f>IF(OR(E5756="",E5756="!!!"),"",IF(OR(J5756=0,AND(J5756=1,K5756=1),AND(J5756=1,I5756="SBJ"),AND(J5756=1,I5756=0)),"?IN_FOCUS",IF(J5756&lt;=2,"?ACTIVATED",IF(J5756&lt;&gt;"","?FAMILIAR",IF(F5756="NEW",IF(ISNA(VLOOKUP(E5756,#REF!,1,FALSE())),"?TYPE_IDENTIFIABLE","?REFERENTIAL"),"_")))))</f>
        <v> </v>
      </c>
      <c r="H5756" s="25" t="str">
        <f>IF(J5756&lt;&gt;1,"",IF(I5756="SBJ","CB","?"))</f>
        <v> </v>
      </c>
      <c r="I5756" s="26" t="str">
        <f>IF(OR(E5756="",E5756="!!!",F5756="NEW"),"",INDEX(B5755:B$2,-1+SUMPRODUCT(MAX(ROW(E5755:E$2)*(E5756=E5755:E$2)))))</f>
        <v> </v>
      </c>
      <c r="J5756" s="26" t="str">
        <f>IF(OR(E5756="",E5756="!!!",F5756="NEW"),"",COUNTBLANK(OFFSET(A$1,,,SUMPRODUCT(MAX(ROW(E$2:E5756)*(E5756=E$2:E5756)))))-COUNTBLANK(OFFSET(A$1,,,SUMPRODUCT(MAX(ROW(E$1:E5755)*(E2=E$1:E5755))))))</f>
        <v> </v>
      </c>
      <c r="K5756" s="26" t="str">
        <f>IF(OR(E5756="",E5756="!!!",F5756="NEW"),"",INDEX(J$1:J5755,SUMPRODUCT(MAX(ROW(E$1:E5755)*(E5756=E$1:E5755)))))</f>
        <v> </v>
      </c>
      <c r="L5756" s="27"/>
    </row>
    <row r="5757" spans="1:12">
      <c r="A5757" s="20" t="s">
        <v>12</v>
      </c>
      <c r="E5757" s="22">
        <f>IF(D5757="?OLD","!!!","")</f>
        <v/>
      </c>
      <c r="F5757" s="23" t="str">
        <f>IF(OR(E5757="",E5757="!!!"),"",IF(NOT(ISNA(VLOOKUP(E5757,E$1:E5756,1,FALSE()))),"OLD",IF(AND(E5757&lt;&gt;"",E5757&lt;&gt;"!!!"),"NEW","")))</f>
        <v> </v>
      </c>
      <c r="G5757" s="24" t="str">
        <f>IF(OR(E5757="",E5757="!!!"),"",IF(OR(J5757=0,AND(J5757=1,K5757=1),AND(J5757=1,I5757="SBJ"),AND(J5757=1,I5757=0)),"?IN_FOCUS",IF(J5757&lt;=2,"?ACTIVATED",IF(J5757&lt;&gt;"","?FAMILIAR",IF(F5757="NEW",IF(ISNA(VLOOKUP(E5757,#REF!,1,FALSE())),"?TYPE_IDENTIFIABLE","?REFERENTIAL"),"_")))))</f>
        <v> </v>
      </c>
      <c r="H5757" s="25" t="str">
        <f>IF(J5757&lt;&gt;1,"",IF(I5757="SBJ","CB","?"))</f>
        <v> </v>
      </c>
      <c r="I5757" s="26" t="str">
        <f>IF(OR(E5757="",E5757="!!!",F5757="NEW"),"",INDEX(B5756:B$2,-1+SUMPRODUCT(MAX(ROW(E5756:E$2)*(E5757=E5756:E$2)))))</f>
        <v> </v>
      </c>
      <c r="J5757" s="26" t="str">
        <f>IF(OR(E5757="",E5757="!!!",F5757="NEW"),"",COUNTBLANK(OFFSET(A$1,,,SUMPRODUCT(MAX(ROW(E$2:E5757)*(E5757=E$2:E5757)))))-COUNTBLANK(OFFSET(A$1,,,SUMPRODUCT(MAX(ROW(E$1:E5756)*(E2=E$1:E5756))))))</f>
        <v> </v>
      </c>
      <c r="K5757" s="26" t="str">
        <f>IF(OR(E5757="",E5757="!!!",F5757="NEW"),"",INDEX(J$1:J5756,SUMPRODUCT(MAX(ROW(E$1:E5756)*(E5757=E$1:E5756)))))</f>
        <v> </v>
      </c>
      <c r="L5757" s="27"/>
    </row>
    <row r="5758" spans="1:12">
      <c r="A5758" s="20" t="s">
        <v>2267</v>
      </c>
      <c r="B5758" s="21" t="s">
        <v>1039</v>
      </c>
      <c r="C5758" s="21" t="s">
        <v>1044</v>
      </c>
      <c r="D5758" s="21" t="s">
        <v>1011</v>
      </c>
      <c r="E5758" s="22">
        <f>IF(D5758="?OLD","!!!","")</f>
        <v/>
      </c>
      <c r="F5758" s="23" t="str">
        <f>IF(OR(E5758="",E5758="!!!"),"",IF(NOT(ISNA(VLOOKUP(E5758,E$1:E5757,1,FALSE()))),"OLD",IF(AND(E5758&lt;&gt;"",E5758&lt;&gt;"!!!"),"NEW","")))</f>
        <v> </v>
      </c>
      <c r="G5758" s="24" t="str">
        <f>IF(OR(E5758="",E5758="!!!"),"",IF(OR(J5758=0,AND(J5758=1,K5758=1),AND(J5758=1,I5758="SBJ"),AND(J5758=1,I5758=0)),"?IN_FOCUS",IF(J5758&lt;=2,"?ACTIVATED",IF(J5758&lt;&gt;"","?FAMILIAR",IF(F5758="NEW",IF(ISNA(VLOOKUP(E5758,#REF!,1,FALSE())),"?TYPE_IDENTIFIABLE","?REFERENTIAL"),"_")))))</f>
        <v> </v>
      </c>
      <c r="H5758" s="25" t="str">
        <f>IF(J5758&lt;&gt;1,"",IF(I5758="SBJ","CB","?"))</f>
        <v> </v>
      </c>
      <c r="I5758" s="26" t="str">
        <f>IF(OR(E5758="",E5758="!!!",F5758="NEW"),"",INDEX(B5757:B$2,-1+SUMPRODUCT(MAX(ROW(E5757:E$2)*(E5758=E5757:E$2)))))</f>
        <v> </v>
      </c>
      <c r="J5758" s="26" t="str">
        <f>IF(OR(E5758="",E5758="!!!",F5758="NEW"),"",COUNTBLANK(OFFSET(A$1,,,SUMPRODUCT(MAX(ROW(E$2:E5758)*(E5758=E$2:E5758)))))-COUNTBLANK(OFFSET(A$1,,,SUMPRODUCT(MAX(ROW(E$1:E5757)*(E2=E$1:E5757))))))</f>
        <v> </v>
      </c>
      <c r="K5758" s="26" t="str">
        <f>IF(OR(E5758="",E5758="!!!",F5758="NEW"),"",INDEX(J$1:J5757,SUMPRODUCT(MAX(ROW(E$1:E5757)*(E5758=E$1:E5757)))))</f>
        <v> </v>
      </c>
      <c r="L5758" s="27"/>
    </row>
    <row r="5759" spans="1:12">
      <c r="A5759" s="20" t="s">
        <v>1137</v>
      </c>
      <c r="B5759" s="21" t="s">
        <v>1053</v>
      </c>
      <c r="C5759" s="21" t="s">
        <v>1010</v>
      </c>
      <c r="D5759" s="21" t="s">
        <v>1011</v>
      </c>
      <c r="E5759" s="22">
        <f>IF(D5759="?OLD","!!!","")</f>
        <v/>
      </c>
      <c r="F5759" s="23" t="str">
        <f>IF(OR(E5759="",E5759="!!!"),"",IF(NOT(ISNA(VLOOKUP(E5759,E$1:E5758,1,FALSE()))),"OLD",IF(AND(E5759&lt;&gt;"",E5759&lt;&gt;"!!!"),"NEW","")))</f>
        <v> </v>
      </c>
      <c r="G5759" s="24" t="str">
        <f>IF(OR(E5759="",E5759="!!!"),"",IF(OR(J5759=0,AND(J5759=1,K5759=1),AND(J5759=1,I5759="SBJ"),AND(J5759=1,I5759=0)),"?IN_FOCUS",IF(J5759&lt;=2,"?ACTIVATED",IF(J5759&lt;&gt;"","?FAMILIAR",IF(F5759="NEW",IF(ISNA(VLOOKUP(E5759,#REF!,1,FALSE())),"?TYPE_IDENTIFIABLE","?REFERENTIAL"),"_")))))</f>
        <v> </v>
      </c>
      <c r="H5759" s="25" t="str">
        <f>IF(J5759&lt;&gt;1,"",IF(I5759="SBJ","CB","?"))</f>
        <v> </v>
      </c>
      <c r="I5759" s="26" t="str">
        <f>IF(OR(E5759="",E5759="!!!",F5759="NEW"),"",INDEX(B5758:B$2,-1+SUMPRODUCT(MAX(ROW(E5758:E$2)*(E5759=E5758:E$2)))))</f>
        <v> </v>
      </c>
      <c r="J5759" s="26" t="str">
        <f>IF(OR(E5759="",E5759="!!!",F5759="NEW"),"",COUNTBLANK(OFFSET(A$1,,,SUMPRODUCT(MAX(ROW(E$2:E5759)*(E5759=E$2:E5759)))))-COUNTBLANK(OFFSET(A$1,,,SUMPRODUCT(MAX(ROW(E$1:E5758)*(E2=E$1:E5758))))))</f>
        <v> </v>
      </c>
      <c r="K5759" s="26" t="str">
        <f>IF(OR(E5759="",E5759="!!!",F5759="NEW"),"",INDEX(J$1:J5758,SUMPRODUCT(MAX(ROW(E$1:E5758)*(E5759=E$1:E5758)))))</f>
        <v> </v>
      </c>
      <c r="L5759" s="27"/>
    </row>
    <row r="5760" spans="1:12">
      <c r="A5760" s="20" t="s">
        <v>142</v>
      </c>
      <c r="E5760" s="22">
        <f>IF(D5760="?OLD","!!!","")</f>
        <v/>
      </c>
      <c r="F5760" s="23" t="str">
        <f>IF(OR(E5760="",E5760="!!!"),"",IF(NOT(ISNA(VLOOKUP(E5760,E$1:E5759,1,FALSE()))),"OLD",IF(AND(E5760&lt;&gt;"",E5760&lt;&gt;"!!!"),"NEW","")))</f>
        <v> </v>
      </c>
      <c r="G5760" s="24" t="str">
        <f>IF(OR(E5760="",E5760="!!!"),"",IF(OR(J5760=0,AND(J5760=1,K5760=1),AND(J5760=1,I5760="SBJ"),AND(J5760=1,I5760=0)),"?IN_FOCUS",IF(J5760&lt;=2,"?ACTIVATED",IF(J5760&lt;&gt;"","?FAMILIAR",IF(F5760="NEW",IF(ISNA(VLOOKUP(E5760,#REF!,1,FALSE())),"?TYPE_IDENTIFIABLE","?REFERENTIAL"),"_")))))</f>
        <v> </v>
      </c>
      <c r="H5760" s="25" t="str">
        <f>IF(J5760&lt;&gt;1,"",IF(I5760="SBJ","CB","?"))</f>
        <v> </v>
      </c>
      <c r="I5760" s="26" t="str">
        <f>IF(OR(E5760="",E5760="!!!",F5760="NEW"),"",INDEX(B5759:B$2,-1+SUMPRODUCT(MAX(ROW(E5759:E$2)*(E5760=E5759:E$2)))))</f>
        <v> </v>
      </c>
      <c r="J5760" s="26" t="str">
        <f>IF(OR(E5760="",E5760="!!!",F5760="NEW"),"",COUNTBLANK(OFFSET(A$1,,,SUMPRODUCT(MAX(ROW(E$2:E5760)*(E5760=E$2:E5760)))))-COUNTBLANK(OFFSET(A$1,,,SUMPRODUCT(MAX(ROW(E$1:E5759)*(E2=E$1:E5759))))))</f>
        <v> </v>
      </c>
      <c r="K5760" s="26" t="str">
        <f>IF(OR(E5760="",E5760="!!!",F5760="NEW"),"",INDEX(J$1:J5759,SUMPRODUCT(MAX(ROW(E$1:E5759)*(E5760=E$1:E5759)))))</f>
        <v> </v>
      </c>
      <c r="L5760" s="27"/>
    </row>
    <row r="5761" spans="1:12">
      <c r="A5761" s="20" t="s">
        <v>2028</v>
      </c>
      <c r="E5761" s="22">
        <f>IF(D5761="?OLD","!!!","")</f>
        <v/>
      </c>
      <c r="F5761" s="23" t="str">
        <f>IF(OR(E5761="",E5761="!!!"),"",IF(NOT(ISNA(VLOOKUP(E5761,E$1:E5760,1,FALSE()))),"OLD",IF(AND(E5761&lt;&gt;"",E5761&lt;&gt;"!!!"),"NEW","")))</f>
        <v> </v>
      </c>
      <c r="G5761" s="24" t="str">
        <f>IF(OR(E5761="",E5761="!!!"),"",IF(OR(J5761=0,AND(J5761=1,K5761=1),AND(J5761=1,I5761="SBJ"),AND(J5761=1,I5761=0)),"?IN_FOCUS",IF(J5761&lt;=2,"?ACTIVATED",IF(J5761&lt;&gt;"","?FAMILIAR",IF(F5761="NEW",IF(ISNA(VLOOKUP(E5761,#REF!,1,FALSE())),"?TYPE_IDENTIFIABLE","?REFERENTIAL"),"_")))))</f>
        <v> </v>
      </c>
      <c r="H5761" s="25" t="str">
        <f>IF(J5761&lt;&gt;1,"",IF(I5761="SBJ","CB","?"))</f>
        <v> </v>
      </c>
      <c r="I5761" s="26" t="str">
        <f>IF(OR(E5761="",E5761="!!!",F5761="NEW"),"",INDEX(B5760:B$2,-1+SUMPRODUCT(MAX(ROW(E5760:E$2)*(E5761=E5760:E$2)))))</f>
        <v> </v>
      </c>
      <c r="J5761" s="26" t="str">
        <f>IF(OR(E5761="",E5761="!!!",F5761="NEW"),"",COUNTBLANK(OFFSET(A$1,,,SUMPRODUCT(MAX(ROW(E$2:E5761)*(E5761=E$2:E5761)))))-COUNTBLANK(OFFSET(A$1,,,SUMPRODUCT(MAX(ROW(E$1:E5760)*(E2=E$1:E5760))))))</f>
        <v> </v>
      </c>
      <c r="K5761" s="26" t="str">
        <f>IF(OR(E5761="",E5761="!!!",F5761="NEW"),"",INDEX(J$1:J5760,SUMPRODUCT(MAX(ROW(E$1:E5760)*(E5761=E$1:E5760)))))</f>
        <v> </v>
      </c>
      <c r="L5761" s="27"/>
    </row>
    <row r="5762" spans="1:12">
      <c r="A5762" s="20" t="s">
        <v>1045</v>
      </c>
      <c r="E5762" s="22">
        <f>IF(D5762="?OLD","!!!","")</f>
        <v/>
      </c>
      <c r="F5762" s="23" t="str">
        <f>IF(OR(E5762="",E5762="!!!"),"",IF(NOT(ISNA(VLOOKUP(E5762,E$1:E5761,1,FALSE()))),"OLD",IF(AND(E5762&lt;&gt;"",E5762&lt;&gt;"!!!"),"NEW","")))</f>
        <v> </v>
      </c>
      <c r="G5762" s="24" t="str">
        <f>IF(OR(E5762="",E5762="!!!"),"",IF(OR(J5762=0,AND(J5762=1,K5762=1),AND(J5762=1,I5762="SBJ"),AND(J5762=1,I5762=0)),"?IN_FOCUS",IF(J5762&lt;=2,"?ACTIVATED",IF(J5762&lt;&gt;"","?FAMILIAR",IF(F5762="NEW",IF(ISNA(VLOOKUP(E5762,#REF!,1,FALSE())),"?TYPE_IDENTIFIABLE","?REFERENTIAL"),"_")))))</f>
        <v> </v>
      </c>
      <c r="H5762" s="25" t="str">
        <f>IF(J5762&lt;&gt;1,"",IF(I5762="SBJ","CB","?"))</f>
        <v> </v>
      </c>
      <c r="I5762" s="26" t="str">
        <f>IF(OR(E5762="",E5762="!!!",F5762="NEW"),"",INDEX(B5761:B$2,-1+SUMPRODUCT(MAX(ROW(E5761:E$2)*(E5762=E5761:E$2)))))</f>
        <v> </v>
      </c>
      <c r="J5762" s="26" t="str">
        <f>IF(OR(E5762="",E5762="!!!",F5762="NEW"),"",COUNTBLANK(OFFSET(A$1,,,SUMPRODUCT(MAX(ROW(E$2:E5762)*(E5762=E$2:E5762)))))-COUNTBLANK(OFFSET(A$1,,,SUMPRODUCT(MAX(ROW(E$1:E5761)*(E2=E$1:E5761))))))</f>
        <v> </v>
      </c>
      <c r="K5762" s="26" t="str">
        <f>IF(OR(E5762="",E5762="!!!",F5762="NEW"),"",INDEX(J$1:J5761,SUMPRODUCT(MAX(ROW(E$1:E5761)*(E5762=E$1:E5761)))))</f>
        <v> </v>
      </c>
      <c r="L5762" s="27"/>
    </row>
    <row r="5763" spans="1:12">
      <c r="A5763" s="20" t="s">
        <v>1032</v>
      </c>
      <c r="E5763" s="22">
        <f>IF(D5763="?OLD","!!!","")</f>
        <v/>
      </c>
      <c r="F5763" s="23" t="str">
        <f>IF(OR(E5763="",E5763="!!!"),"",IF(NOT(ISNA(VLOOKUP(E5763,E$1:E5762,1,FALSE()))),"OLD",IF(AND(E5763&lt;&gt;"",E5763&lt;&gt;"!!!"),"NEW","")))</f>
        <v> </v>
      </c>
      <c r="G5763" s="24" t="str">
        <f>IF(OR(E5763="",E5763="!!!"),"",IF(OR(J5763=0,AND(J5763=1,K5763=1),AND(J5763=1,I5763="SBJ"),AND(J5763=1,I5763=0)),"?IN_FOCUS",IF(J5763&lt;=2,"?ACTIVATED",IF(J5763&lt;&gt;"","?FAMILIAR",IF(F5763="NEW",IF(ISNA(VLOOKUP(E5763,#REF!,1,FALSE())),"?TYPE_IDENTIFIABLE","?REFERENTIAL"),"_")))))</f>
        <v> </v>
      </c>
      <c r="H5763" s="25" t="str">
        <f>IF(J5763&lt;&gt;1,"",IF(I5763="SBJ","CB","?"))</f>
        <v> </v>
      </c>
      <c r="I5763" s="26" t="str">
        <f>IF(OR(E5763="",E5763="!!!",F5763="NEW"),"",INDEX(B5762:B$2,-1+SUMPRODUCT(MAX(ROW(E5762:E$2)*(E5763=E5762:E$2)))))</f>
        <v> </v>
      </c>
      <c r="J5763" s="26" t="str">
        <f>IF(OR(E5763="",E5763="!!!",F5763="NEW"),"",COUNTBLANK(OFFSET(A$1,,,SUMPRODUCT(MAX(ROW(E$2:E5763)*(E5763=E$2:E5763)))))-COUNTBLANK(OFFSET(A$1,,,SUMPRODUCT(MAX(ROW(E$1:E5762)*(E2=E$1:E5762))))))</f>
        <v> </v>
      </c>
      <c r="K5763" s="26" t="str">
        <f>IF(OR(E5763="",E5763="!!!",F5763="NEW"),"",INDEX(J$1:J5762,SUMPRODUCT(MAX(ROW(E$1:E5762)*(E5763=E$1:E5762)))))</f>
        <v> </v>
      </c>
      <c r="L5763" s="27"/>
    </row>
    <row r="5764" spans="1:12">
      <c r="A5764" s="20" t="s">
        <v>1269</v>
      </c>
      <c r="E5764" s="22">
        <f>IF(D5764="?OLD","!!!","")</f>
        <v/>
      </c>
      <c r="F5764" s="23" t="str">
        <f>IF(OR(E5764="",E5764="!!!"),"",IF(NOT(ISNA(VLOOKUP(E5764,E$1:E5763,1,FALSE()))),"OLD",IF(AND(E5764&lt;&gt;"",E5764&lt;&gt;"!!!"),"NEW","")))</f>
        <v> </v>
      </c>
      <c r="G5764" s="24" t="str">
        <f>IF(OR(E5764="",E5764="!!!"),"",IF(OR(J5764=0,AND(J5764=1,K5764=1),AND(J5764=1,I5764="SBJ"),AND(J5764=1,I5764=0)),"?IN_FOCUS",IF(J5764&lt;=2,"?ACTIVATED",IF(J5764&lt;&gt;"","?FAMILIAR",IF(F5764="NEW",IF(ISNA(VLOOKUP(E5764,#REF!,1,FALSE())),"?TYPE_IDENTIFIABLE","?REFERENTIAL"),"_")))))</f>
        <v> </v>
      </c>
      <c r="H5764" s="25" t="str">
        <f>IF(J5764&lt;&gt;1,"",IF(I5764="SBJ","CB","?"))</f>
        <v> </v>
      </c>
      <c r="I5764" s="26" t="str">
        <f>IF(OR(E5764="",E5764="!!!",F5764="NEW"),"",INDEX(B5763:B$2,-1+SUMPRODUCT(MAX(ROW(E5763:E$2)*(E5764=E5763:E$2)))))</f>
        <v> </v>
      </c>
      <c r="J5764" s="26" t="str">
        <f>IF(OR(E5764="",E5764="!!!",F5764="NEW"),"",COUNTBLANK(OFFSET(A$1,,,SUMPRODUCT(MAX(ROW(E$2:E5764)*(E5764=E$2:E5764)))))-COUNTBLANK(OFFSET(A$1,,,SUMPRODUCT(MAX(ROW(E$1:E5763)*(E2=E$1:E5763))))))</f>
        <v> </v>
      </c>
      <c r="K5764" s="26" t="str">
        <f>IF(OR(E5764="",E5764="!!!",F5764="NEW"),"",INDEX(J$1:J5763,SUMPRODUCT(MAX(ROW(E$1:E5763)*(E5764=E$1:E5763)))))</f>
        <v> </v>
      </c>
      <c r="L5764" s="27"/>
    </row>
    <row r="5765" spans="1:12">
      <c r="A5765" s="20" t="s">
        <v>1564</v>
      </c>
      <c r="E5765" s="22">
        <f>IF(D5765="?OLD","!!!","")</f>
        <v/>
      </c>
      <c r="F5765" s="23" t="str">
        <f>IF(OR(E5765="",E5765="!!!"),"",IF(NOT(ISNA(VLOOKUP(E5765,E$1:E5764,1,FALSE()))),"OLD",IF(AND(E5765&lt;&gt;"",E5765&lt;&gt;"!!!"),"NEW","")))</f>
        <v> </v>
      </c>
      <c r="G5765" s="24" t="str">
        <f>IF(OR(E5765="",E5765="!!!"),"",IF(OR(J5765=0,AND(J5765=1,K5765=1),AND(J5765=1,I5765="SBJ"),AND(J5765=1,I5765=0)),"?IN_FOCUS",IF(J5765&lt;=2,"?ACTIVATED",IF(J5765&lt;&gt;"","?FAMILIAR",IF(F5765="NEW",IF(ISNA(VLOOKUP(E5765,#REF!,1,FALSE())),"?TYPE_IDENTIFIABLE","?REFERENTIAL"),"_")))))</f>
        <v> </v>
      </c>
      <c r="H5765" s="25" t="str">
        <f>IF(J5765&lt;&gt;1,"",IF(I5765="SBJ","CB","?"))</f>
        <v> </v>
      </c>
      <c r="I5765" s="26" t="str">
        <f>IF(OR(E5765="",E5765="!!!",F5765="NEW"),"",INDEX(B5764:B$2,-1+SUMPRODUCT(MAX(ROW(E5764:E$2)*(E5765=E5764:E$2)))))</f>
        <v> </v>
      </c>
      <c r="J5765" s="26" t="str">
        <f>IF(OR(E5765="",E5765="!!!",F5765="NEW"),"",COUNTBLANK(OFFSET(A$1,,,SUMPRODUCT(MAX(ROW(E$2:E5765)*(E5765=E$2:E5765)))))-COUNTBLANK(OFFSET(A$1,,,SUMPRODUCT(MAX(ROW(E$1:E5764)*(E2=E$1:E5764))))))</f>
        <v> </v>
      </c>
      <c r="K5765" s="26" t="str">
        <f>IF(OR(E5765="",E5765="!!!",F5765="NEW"),"",INDEX(J$1:J5764,SUMPRODUCT(MAX(ROW(E$1:E5764)*(E5765=E$1:E5764)))))</f>
        <v> </v>
      </c>
      <c r="L5765" s="27"/>
    </row>
    <row r="5766" spans="1:12">
      <c r="A5766" s="20" t="s">
        <v>1173</v>
      </c>
      <c r="B5766" s="21" t="s">
        <v>1088</v>
      </c>
      <c r="C5766" s="21" t="s">
        <v>1010</v>
      </c>
      <c r="D5766" s="21" t="s">
        <v>1011</v>
      </c>
      <c r="E5766" s="22">
        <f>IF(D5766="?OLD","!!!","")</f>
        <v/>
      </c>
      <c r="F5766" s="23" t="str">
        <f>IF(OR(E5766="",E5766="!!!"),"",IF(NOT(ISNA(VLOOKUP(E5766,E$1:E5765,1,FALSE()))),"OLD",IF(AND(E5766&lt;&gt;"",E5766&lt;&gt;"!!!"),"NEW","")))</f>
        <v> </v>
      </c>
      <c r="G5766" s="24" t="str">
        <f>IF(OR(E5766="",E5766="!!!"),"",IF(OR(J5766=0,AND(J5766=1,K5766=1),AND(J5766=1,I5766="SBJ"),AND(J5766=1,I5766=0)),"?IN_FOCUS",IF(J5766&lt;=2,"?ACTIVATED",IF(J5766&lt;&gt;"","?FAMILIAR",IF(F5766="NEW",IF(ISNA(VLOOKUP(E5766,#REF!,1,FALSE())),"?TYPE_IDENTIFIABLE","?REFERENTIAL"),"_")))))</f>
        <v> </v>
      </c>
      <c r="H5766" s="25" t="str">
        <f>IF(J5766&lt;&gt;1,"",IF(I5766="SBJ","CB","?"))</f>
        <v> </v>
      </c>
      <c r="I5766" s="26" t="str">
        <f>IF(OR(E5766="",E5766="!!!",F5766="NEW"),"",INDEX(B5765:B$2,-1+SUMPRODUCT(MAX(ROW(E5765:E$2)*(E5766=E5765:E$2)))))</f>
        <v> </v>
      </c>
      <c r="J5766" s="26" t="str">
        <f>IF(OR(E5766="",E5766="!!!",F5766="NEW"),"",COUNTBLANK(OFFSET(A$1,,,SUMPRODUCT(MAX(ROW(E$2:E5766)*(E5766=E$2:E5766)))))-COUNTBLANK(OFFSET(A$1,,,SUMPRODUCT(MAX(ROW(E$1:E5765)*(E2=E$1:E5765))))))</f>
        <v> </v>
      </c>
      <c r="K5766" s="26" t="str">
        <f>IF(OR(E5766="",E5766="!!!",F5766="NEW"),"",INDEX(J$1:J5765,SUMPRODUCT(MAX(ROW(E$1:E5765)*(E5766=E$1:E5765)))))</f>
        <v> </v>
      </c>
      <c r="L5766" s="27"/>
    </row>
    <row r="5767" spans="1:12">
      <c r="A5767" s="20" t="s">
        <v>338</v>
      </c>
      <c r="E5767" s="22">
        <f>IF(D5767="?OLD","!!!","")</f>
        <v/>
      </c>
      <c r="F5767" s="23" t="str">
        <f>IF(OR(E5767="",E5767="!!!"),"",IF(NOT(ISNA(VLOOKUP(E5767,E$1:E5766,1,FALSE()))),"OLD",IF(AND(E5767&lt;&gt;"",E5767&lt;&gt;"!!!"),"NEW","")))</f>
        <v> </v>
      </c>
      <c r="G5767" s="24" t="str">
        <f>IF(OR(E5767="",E5767="!!!"),"",IF(OR(J5767=0,AND(J5767=1,K5767=1),AND(J5767=1,I5767="SBJ"),AND(J5767=1,I5767=0)),"?IN_FOCUS",IF(J5767&lt;=2,"?ACTIVATED",IF(J5767&lt;&gt;"","?FAMILIAR",IF(F5767="NEW",IF(ISNA(VLOOKUP(E5767,#REF!,1,FALSE())),"?TYPE_IDENTIFIABLE","?REFERENTIAL"),"_")))))</f>
        <v> </v>
      </c>
      <c r="H5767" s="25" t="str">
        <f>IF(J5767&lt;&gt;1,"",IF(I5767="SBJ","CB","?"))</f>
        <v> </v>
      </c>
      <c r="I5767" s="26" t="str">
        <f>IF(OR(E5767="",E5767="!!!",F5767="NEW"),"",INDEX(B5766:B$2,-1+SUMPRODUCT(MAX(ROW(E5766:E$2)*(E5767=E5766:E$2)))))</f>
        <v> </v>
      </c>
      <c r="J5767" s="26" t="str">
        <f>IF(OR(E5767="",E5767="!!!",F5767="NEW"),"",COUNTBLANK(OFFSET(A$1,,,SUMPRODUCT(MAX(ROW(E$2:E5767)*(E5767=E$2:E5767)))))-COUNTBLANK(OFFSET(A$1,,,SUMPRODUCT(MAX(ROW(E$1:E5766)*(E2=E$1:E5766))))))</f>
        <v> </v>
      </c>
      <c r="K5767" s="26" t="str">
        <f>IF(OR(E5767="",E5767="!!!",F5767="NEW"),"",INDEX(J$1:J5766,SUMPRODUCT(MAX(ROW(E$1:E5766)*(E5767=E$1:E5766)))))</f>
        <v> </v>
      </c>
      <c r="L5767" s="27"/>
    </row>
    <row r="5768" spans="1:12">
      <c r="A5768" s="20" t="s">
        <v>1019</v>
      </c>
      <c r="B5768" s="21" t="s">
        <v>1142</v>
      </c>
      <c r="C5768" s="21" t="s">
        <v>1017</v>
      </c>
      <c r="E5768" s="22">
        <f>IF(D5768="?OLD","!!!","")</f>
        <v/>
      </c>
      <c r="F5768" s="23" t="str">
        <f>IF(OR(E5768="",E5768="!!!"),"",IF(NOT(ISNA(VLOOKUP(E5768,E$1:E5767,1,FALSE()))),"OLD",IF(AND(E5768&lt;&gt;"",E5768&lt;&gt;"!!!"),"NEW","")))</f>
        <v> </v>
      </c>
      <c r="G5768" s="24" t="str">
        <f>IF(OR(E5768="",E5768="!!!"),"",IF(OR(J5768=0,AND(J5768=1,K5768=1),AND(J5768=1,I5768="SBJ"),AND(J5768=1,I5768=0)),"?IN_FOCUS",IF(J5768&lt;=2,"?ACTIVATED",IF(J5768&lt;&gt;"","?FAMILIAR",IF(F5768="NEW",IF(ISNA(VLOOKUP(E5768,#REF!,1,FALSE())),"?TYPE_IDENTIFIABLE","?REFERENTIAL"),"_")))))</f>
        <v> </v>
      </c>
      <c r="H5768" s="25" t="str">
        <f>IF(J5768&lt;&gt;1,"",IF(I5768="SBJ","CB","?"))</f>
        <v> </v>
      </c>
      <c r="I5768" s="26" t="str">
        <f>IF(OR(E5768="",E5768="!!!",F5768="NEW"),"",INDEX(B5767:B$2,-1+SUMPRODUCT(MAX(ROW(E5767:E$2)*(E5768=E5767:E$2)))))</f>
        <v> </v>
      </c>
      <c r="J5768" s="26" t="str">
        <f>IF(OR(E5768="",E5768="!!!",F5768="NEW"),"",COUNTBLANK(OFFSET(A$1,,,SUMPRODUCT(MAX(ROW(E$2:E5768)*(E5768=E$2:E5768)))))-COUNTBLANK(OFFSET(A$1,,,SUMPRODUCT(MAX(ROW(E$1:E5767)*(E2=E$1:E5767))))))</f>
        <v> </v>
      </c>
      <c r="K5768" s="26" t="str">
        <f>IF(OR(E5768="",E5768="!!!",F5768="NEW"),"",INDEX(J$1:J5767,SUMPRODUCT(MAX(ROW(E$1:E5767)*(E5768=E$1:E5767)))))</f>
        <v> </v>
      </c>
      <c r="L5768" s="27"/>
    </row>
    <row r="5769" spans="1:12">
      <c r="A5769" s="20" t="s">
        <v>1884</v>
      </c>
      <c r="E5769" s="22">
        <f>IF(D5769="?OLD","!!!","")</f>
        <v/>
      </c>
      <c r="F5769" s="23" t="str">
        <f>IF(OR(E5769="",E5769="!!!"),"",IF(NOT(ISNA(VLOOKUP(E5769,E$1:E5768,1,FALSE()))),"OLD",IF(AND(E5769&lt;&gt;"",E5769&lt;&gt;"!!!"),"NEW","")))</f>
        <v> </v>
      </c>
      <c r="G5769" s="24" t="str">
        <f>IF(OR(E5769="",E5769="!!!"),"",IF(OR(J5769=0,AND(J5769=1,K5769=1),AND(J5769=1,I5769="SBJ"),AND(J5769=1,I5769=0)),"?IN_FOCUS",IF(J5769&lt;=2,"?ACTIVATED",IF(J5769&lt;&gt;"","?FAMILIAR",IF(F5769="NEW",IF(ISNA(VLOOKUP(E5769,#REF!,1,FALSE())),"?TYPE_IDENTIFIABLE","?REFERENTIAL"),"_")))))</f>
        <v> </v>
      </c>
      <c r="H5769" s="25" t="str">
        <f>IF(J5769&lt;&gt;1,"",IF(I5769="SBJ","CB","?"))</f>
        <v> </v>
      </c>
      <c r="I5769" s="26" t="str">
        <f>IF(OR(E5769="",E5769="!!!",F5769="NEW"),"",INDEX(B5768:B$2,-1+SUMPRODUCT(MAX(ROW(E5768:E$2)*(E5769=E5768:E$2)))))</f>
        <v> </v>
      </c>
      <c r="J5769" s="26" t="str">
        <f>IF(OR(E5769="",E5769="!!!",F5769="NEW"),"",COUNTBLANK(OFFSET(A$1,,,SUMPRODUCT(MAX(ROW(E$2:E5769)*(E5769=E$2:E5769)))))-COUNTBLANK(OFFSET(A$1,,,SUMPRODUCT(MAX(ROW(E$1:E5768)*(E2=E$1:E5768))))))</f>
        <v> </v>
      </c>
      <c r="K5769" s="26" t="str">
        <f>IF(OR(E5769="",E5769="!!!",F5769="NEW"),"",INDEX(J$1:J5768,SUMPRODUCT(MAX(ROW(E$1:E5768)*(E5769=E$1:E5768)))))</f>
        <v> </v>
      </c>
      <c r="L5769" s="27"/>
    </row>
    <row r="5770" spans="1:12">
      <c r="A5770" s="20" t="s">
        <v>2265</v>
      </c>
      <c r="E5770" s="22">
        <f>IF(D5770="?OLD","!!!","")</f>
        <v/>
      </c>
      <c r="F5770" s="23" t="str">
        <f>IF(OR(E5770="",E5770="!!!"),"",IF(NOT(ISNA(VLOOKUP(E5770,E$1:E5769,1,FALSE()))),"OLD",IF(AND(E5770&lt;&gt;"",E5770&lt;&gt;"!!!"),"NEW","")))</f>
        <v> </v>
      </c>
      <c r="G5770" s="24" t="str">
        <f>IF(OR(E5770="",E5770="!!!"),"",IF(OR(J5770=0,AND(J5770=1,K5770=1),AND(J5770=1,I5770="SBJ"),AND(J5770=1,I5770=0)),"?IN_FOCUS",IF(J5770&lt;=2,"?ACTIVATED",IF(J5770&lt;&gt;"","?FAMILIAR",IF(F5770="NEW",IF(ISNA(VLOOKUP(E5770,#REF!,1,FALSE())),"?TYPE_IDENTIFIABLE","?REFERENTIAL"),"_")))))</f>
        <v> </v>
      </c>
      <c r="H5770" s="25" t="str">
        <f>IF(J5770&lt;&gt;1,"",IF(I5770="SBJ","CB","?"))</f>
        <v> </v>
      </c>
      <c r="I5770" s="26" t="str">
        <f>IF(OR(E5770="",E5770="!!!",F5770="NEW"),"",INDEX(B5769:B$2,-1+SUMPRODUCT(MAX(ROW(E5769:E$2)*(E5770=E5769:E$2)))))</f>
        <v> </v>
      </c>
      <c r="J5770" s="26" t="str">
        <f>IF(OR(E5770="",E5770="!!!",F5770="NEW"),"",COUNTBLANK(OFFSET(A$1,,,SUMPRODUCT(MAX(ROW(E$2:E5770)*(E5770=E$2:E5770)))))-COUNTBLANK(OFFSET(A$1,,,SUMPRODUCT(MAX(ROW(E$1:E5769)*(E2=E$1:E5769))))))</f>
        <v> </v>
      </c>
      <c r="K5770" s="26" t="str">
        <f>IF(OR(E5770="",E5770="!!!",F5770="NEW"),"",INDEX(J$1:J5769,SUMPRODUCT(MAX(ROW(E$1:E5769)*(E5770=E$1:E5769)))))</f>
        <v> </v>
      </c>
      <c r="L5770" s="27"/>
    </row>
    <row r="5771" spans="1:12">
      <c r="A5771" s="20" t="s">
        <v>1032</v>
      </c>
      <c r="E5771" s="22">
        <f>IF(D5771="?OLD","!!!","")</f>
        <v/>
      </c>
      <c r="F5771" s="23" t="str">
        <f>IF(OR(E5771="",E5771="!!!"),"",IF(NOT(ISNA(VLOOKUP(E5771,E$1:E5770,1,FALSE()))),"OLD",IF(AND(E5771&lt;&gt;"",E5771&lt;&gt;"!!!"),"NEW","")))</f>
        <v> </v>
      </c>
      <c r="G5771" s="24" t="str">
        <f>IF(OR(E5771="",E5771="!!!"),"",IF(OR(J5771=0,AND(J5771=1,K5771=1),AND(J5771=1,I5771="SBJ"),AND(J5771=1,I5771=0)),"?IN_FOCUS",IF(J5771&lt;=2,"?ACTIVATED",IF(J5771&lt;&gt;"","?FAMILIAR",IF(F5771="NEW",IF(ISNA(VLOOKUP(E5771,#REF!,1,FALSE())),"?TYPE_IDENTIFIABLE","?REFERENTIAL"),"_")))))</f>
        <v> </v>
      </c>
      <c r="H5771" s="25" t="str">
        <f>IF(J5771&lt;&gt;1,"",IF(I5771="SBJ","CB","?"))</f>
        <v> </v>
      </c>
      <c r="I5771" s="26" t="str">
        <f>IF(OR(E5771="",E5771="!!!",F5771="NEW"),"",INDEX(B5770:B$2,-1+SUMPRODUCT(MAX(ROW(E5770:E$2)*(E5771=E5770:E$2)))))</f>
        <v> </v>
      </c>
      <c r="J5771" s="26" t="str">
        <f>IF(OR(E5771="",E5771="!!!",F5771="NEW"),"",COUNTBLANK(OFFSET(A$1,,,SUMPRODUCT(MAX(ROW(E$2:E5771)*(E5771=E$2:E5771)))))-COUNTBLANK(OFFSET(A$1,,,SUMPRODUCT(MAX(ROW(E$1:E5770)*(E2=E$1:E5770))))))</f>
        <v> </v>
      </c>
      <c r="K5771" s="26" t="str">
        <f>IF(OR(E5771="",E5771="!!!",F5771="NEW"),"",INDEX(J$1:J5770,SUMPRODUCT(MAX(ROW(E$1:E5770)*(E5771=E$1:E5770)))))</f>
        <v> </v>
      </c>
      <c r="L5771" s="27"/>
    </row>
    <row r="5772" spans="1:12">
      <c r="A5772" s="20" t="s">
        <v>1269</v>
      </c>
      <c r="E5772" s="22">
        <f>IF(D5772="?OLD","!!!","")</f>
        <v/>
      </c>
      <c r="F5772" s="23" t="str">
        <f>IF(OR(E5772="",E5772="!!!"),"",IF(NOT(ISNA(VLOOKUP(E5772,E$1:E5771,1,FALSE()))),"OLD",IF(AND(E5772&lt;&gt;"",E5772&lt;&gt;"!!!"),"NEW","")))</f>
        <v> </v>
      </c>
      <c r="G5772" s="24" t="str">
        <f>IF(OR(E5772="",E5772="!!!"),"",IF(OR(J5772=0,AND(J5772=1,K5772=1),AND(J5772=1,I5772="SBJ"),AND(J5772=1,I5772=0)),"?IN_FOCUS",IF(J5772&lt;=2,"?ACTIVATED",IF(J5772&lt;&gt;"","?FAMILIAR",IF(F5772="NEW",IF(ISNA(VLOOKUP(E5772,#REF!,1,FALSE())),"?TYPE_IDENTIFIABLE","?REFERENTIAL"),"_")))))</f>
        <v> </v>
      </c>
      <c r="H5772" s="25" t="str">
        <f>IF(J5772&lt;&gt;1,"",IF(I5772="SBJ","CB","?"))</f>
        <v> </v>
      </c>
      <c r="I5772" s="26" t="str">
        <f>IF(OR(E5772="",E5772="!!!",F5772="NEW"),"",INDEX(B5771:B$2,-1+SUMPRODUCT(MAX(ROW(E5771:E$2)*(E5772=E5771:E$2)))))</f>
        <v> </v>
      </c>
      <c r="J5772" s="26" t="str">
        <f>IF(OR(E5772="",E5772="!!!",F5772="NEW"),"",COUNTBLANK(OFFSET(A$1,,,SUMPRODUCT(MAX(ROW(E$2:E5772)*(E5772=E$2:E5772)))))-COUNTBLANK(OFFSET(A$1,,,SUMPRODUCT(MAX(ROW(E$1:E5771)*(E2=E$1:E5771))))))</f>
        <v> </v>
      </c>
      <c r="K5772" s="26" t="str">
        <f>IF(OR(E5772="",E5772="!!!",F5772="NEW"),"",INDEX(J$1:J5771,SUMPRODUCT(MAX(ROW(E$1:E5771)*(E5772=E$1:E5771)))))</f>
        <v> </v>
      </c>
      <c r="L5772" s="27"/>
    </row>
    <row r="5773" spans="1:12">
      <c r="A5773" s="20" t="s">
        <v>1631</v>
      </c>
      <c r="E5773" s="22">
        <f>IF(D5773="?OLD","!!!","")</f>
        <v/>
      </c>
      <c r="F5773" s="23" t="str">
        <f>IF(OR(E5773="",E5773="!!!"),"",IF(NOT(ISNA(VLOOKUP(E5773,E$1:E5772,1,FALSE()))),"OLD",IF(AND(E5773&lt;&gt;"",E5773&lt;&gt;"!!!"),"NEW","")))</f>
        <v> </v>
      </c>
      <c r="G5773" s="24" t="str">
        <f>IF(OR(E5773="",E5773="!!!"),"",IF(OR(J5773=0,AND(J5773=1,K5773=1),AND(J5773=1,I5773="SBJ"),AND(J5773=1,I5773=0)),"?IN_FOCUS",IF(J5773&lt;=2,"?ACTIVATED",IF(J5773&lt;&gt;"","?FAMILIAR",IF(F5773="NEW",IF(ISNA(VLOOKUP(E5773,#REF!,1,FALSE())),"?TYPE_IDENTIFIABLE","?REFERENTIAL"),"_")))))</f>
        <v> </v>
      </c>
      <c r="H5773" s="25" t="str">
        <f>IF(J5773&lt;&gt;1,"",IF(I5773="SBJ","CB","?"))</f>
        <v> </v>
      </c>
      <c r="I5773" s="26" t="str">
        <f>IF(OR(E5773="",E5773="!!!",F5773="NEW"),"",INDEX(B5772:B$2,-1+SUMPRODUCT(MAX(ROW(E5772:E$2)*(E5773=E5772:E$2)))))</f>
        <v> </v>
      </c>
      <c r="J5773" s="26" t="str">
        <f>IF(OR(E5773="",E5773="!!!",F5773="NEW"),"",COUNTBLANK(OFFSET(A$1,,,SUMPRODUCT(MAX(ROW(E$2:E5773)*(E5773=E$2:E5773)))))-COUNTBLANK(OFFSET(A$1,,,SUMPRODUCT(MAX(ROW(E$1:E5772)*(E2=E$1:E5772))))))</f>
        <v> </v>
      </c>
      <c r="K5773" s="26" t="str">
        <f>IF(OR(E5773="",E5773="!!!",F5773="NEW"),"",INDEX(J$1:J5772,SUMPRODUCT(MAX(ROW(E$1:E5772)*(E5773=E$1:E5772)))))</f>
        <v> </v>
      </c>
      <c r="L5773" s="27"/>
    </row>
    <row r="5774" spans="1:12">
      <c r="A5774" s="20" t="s">
        <v>1042</v>
      </c>
      <c r="E5774" s="22">
        <f>IF(D5774="?OLD","!!!","")</f>
        <v/>
      </c>
      <c r="F5774" s="23" t="str">
        <f>IF(OR(E5774="",E5774="!!!"),"",IF(NOT(ISNA(VLOOKUP(E5774,E$1:E5773,1,FALSE()))),"OLD",IF(AND(E5774&lt;&gt;"",E5774&lt;&gt;"!!!"),"NEW","")))</f>
        <v> </v>
      </c>
      <c r="G5774" s="24" t="str">
        <f>IF(OR(E5774="",E5774="!!!"),"",IF(OR(J5774=0,AND(J5774=1,K5774=1),AND(J5774=1,I5774="SBJ"),AND(J5774=1,I5774=0)),"?IN_FOCUS",IF(J5774&lt;=2,"?ACTIVATED",IF(J5774&lt;&gt;"","?FAMILIAR",IF(F5774="NEW",IF(ISNA(VLOOKUP(E5774,#REF!,1,FALSE())),"?TYPE_IDENTIFIABLE","?REFERENTIAL"),"_")))))</f>
        <v> </v>
      </c>
      <c r="H5774" s="25" t="str">
        <f>IF(J5774&lt;&gt;1,"",IF(I5774="SBJ","CB","?"))</f>
        <v> </v>
      </c>
      <c r="I5774" s="26" t="str">
        <f>IF(OR(E5774="",E5774="!!!",F5774="NEW"),"",INDEX(B5773:B$2,-1+SUMPRODUCT(MAX(ROW(E5773:E$2)*(E5774=E5773:E$2)))))</f>
        <v> </v>
      </c>
      <c r="J5774" s="26" t="str">
        <f>IF(OR(E5774="",E5774="!!!",F5774="NEW"),"",COUNTBLANK(OFFSET(A$1,,,SUMPRODUCT(MAX(ROW(E$2:E5774)*(E5774=E$2:E5774)))))-COUNTBLANK(OFFSET(A$1,,,SUMPRODUCT(MAX(ROW(E$1:E5773)*(E2=E$1:E5773))))))</f>
        <v> </v>
      </c>
      <c r="K5774" s="26" t="str">
        <f>IF(OR(E5774="",E5774="!!!",F5774="NEW"),"",INDEX(J$1:J5773,SUMPRODUCT(MAX(ROW(E$1:E5773)*(E5774=E$1:E5773)))))</f>
        <v> </v>
      </c>
      <c r="L5774" s="27"/>
    </row>
    <row r="5775" spans="1:12">
      <c r="A5775" s="20" t="s">
        <v>1187</v>
      </c>
      <c r="B5775" s="21" t="s">
        <v>1009</v>
      </c>
      <c r="E5775" s="22">
        <f>IF(D5775="?OLD","!!!","")</f>
        <v/>
      </c>
      <c r="F5775" s="23" t="str">
        <f>IF(OR(E5775="",E5775="!!!"),"",IF(NOT(ISNA(VLOOKUP(E5775,E$1:E5774,1,FALSE()))),"OLD",IF(AND(E5775&lt;&gt;"",E5775&lt;&gt;"!!!"),"NEW","")))</f>
        <v> </v>
      </c>
      <c r="G5775" s="24" t="str">
        <f>IF(OR(E5775="",E5775="!!!"),"",IF(OR(J5775=0,AND(J5775=1,K5775=1),AND(J5775=1,I5775="SBJ"),AND(J5775=1,I5775=0)),"?IN_FOCUS",IF(J5775&lt;=2,"?ACTIVATED",IF(J5775&lt;&gt;"","?FAMILIAR",IF(F5775="NEW",IF(ISNA(VLOOKUP(E5775,#REF!,1,FALSE())),"?TYPE_IDENTIFIABLE","?REFERENTIAL"),"_")))))</f>
        <v> </v>
      </c>
      <c r="H5775" s="25" t="str">
        <f>IF(J5775&lt;&gt;1,"",IF(I5775="SBJ","CB","?"))</f>
        <v> </v>
      </c>
      <c r="I5775" s="26" t="str">
        <f>IF(OR(E5775="",E5775="!!!",F5775="NEW"),"",INDEX(B5774:B$2,-1+SUMPRODUCT(MAX(ROW(E5774:E$2)*(E5775=E5774:E$2)))))</f>
        <v> </v>
      </c>
      <c r="J5775" s="26" t="str">
        <f>IF(OR(E5775="",E5775="!!!",F5775="NEW"),"",COUNTBLANK(OFFSET(A$1,,,SUMPRODUCT(MAX(ROW(E$2:E5775)*(E5775=E$2:E5775)))))-COUNTBLANK(OFFSET(A$1,,,SUMPRODUCT(MAX(ROW(E$1:E5774)*(E2=E$1:E5774))))))</f>
        <v> </v>
      </c>
      <c r="K5775" s="26" t="str">
        <f>IF(OR(E5775="",E5775="!!!",F5775="NEW"),"",INDEX(J$1:J5774,SUMPRODUCT(MAX(ROW(E$1:E5774)*(E5775=E$1:E5774)))))</f>
        <v> </v>
      </c>
      <c r="L5775" s="27"/>
    </row>
    <row r="5776" spans="1:12">
      <c r="A5776" s="20" t="s">
        <v>1179</v>
      </c>
      <c r="E5776" s="22">
        <f>IF(D5776="?OLD","!!!","")</f>
        <v/>
      </c>
      <c r="F5776" s="23" t="str">
        <f>IF(OR(E5776="",E5776="!!!"),"",IF(NOT(ISNA(VLOOKUP(E5776,E$1:E5775,1,FALSE()))),"OLD",IF(AND(E5776&lt;&gt;"",E5776&lt;&gt;"!!!"),"NEW","")))</f>
        <v> </v>
      </c>
      <c r="G5776" s="24" t="str">
        <f>IF(OR(E5776="",E5776="!!!"),"",IF(OR(J5776=0,AND(J5776=1,K5776=1),AND(J5776=1,I5776="SBJ"),AND(J5776=1,I5776=0)),"?IN_FOCUS",IF(J5776&lt;=2,"?ACTIVATED",IF(J5776&lt;&gt;"","?FAMILIAR",IF(F5776="NEW",IF(ISNA(VLOOKUP(E5776,#REF!,1,FALSE())),"?TYPE_IDENTIFIABLE","?REFERENTIAL"),"_")))))</f>
        <v> </v>
      </c>
      <c r="H5776" s="25" t="str">
        <f>IF(J5776&lt;&gt;1,"",IF(I5776="SBJ","CB","?"))</f>
        <v> </v>
      </c>
      <c r="I5776" s="26" t="str">
        <f>IF(OR(E5776="",E5776="!!!",F5776="NEW"),"",INDEX(B5775:B$2,-1+SUMPRODUCT(MAX(ROW(E5775:E$2)*(E5776=E5775:E$2)))))</f>
        <v> </v>
      </c>
      <c r="J5776" s="26" t="str">
        <f>IF(OR(E5776="",E5776="!!!",F5776="NEW"),"",COUNTBLANK(OFFSET(A$1,,,SUMPRODUCT(MAX(ROW(E$2:E5776)*(E5776=E$2:E5776)))))-COUNTBLANK(OFFSET(A$1,,,SUMPRODUCT(MAX(ROW(E$1:E5775)*(E2=E$1:E5775))))))</f>
        <v> </v>
      </c>
      <c r="K5776" s="26" t="str">
        <f>IF(OR(E5776="",E5776="!!!",F5776="NEW"),"",INDEX(J$1:J5775,SUMPRODUCT(MAX(ROW(E$1:E5775)*(E5776=E$1:E5775)))))</f>
        <v> </v>
      </c>
      <c r="L5776" s="27"/>
    </row>
    <row r="5777" spans="1:12">
      <c r="A5777" s="20" t="s">
        <v>959</v>
      </c>
      <c r="E5777" s="22">
        <f>IF(D5777="?OLD","!!!","")</f>
        <v/>
      </c>
      <c r="F5777" s="23" t="str">
        <f>IF(OR(E5777="",E5777="!!!"),"",IF(NOT(ISNA(VLOOKUP(E5777,E$1:E5776,1,FALSE()))),"OLD",IF(AND(E5777&lt;&gt;"",E5777&lt;&gt;"!!!"),"NEW","")))</f>
        <v> </v>
      </c>
      <c r="G5777" s="24" t="str">
        <f>IF(OR(E5777="",E5777="!!!"),"",IF(OR(J5777=0,AND(J5777=1,K5777=1),AND(J5777=1,I5777="SBJ"),AND(J5777=1,I5777=0)),"?IN_FOCUS",IF(J5777&lt;=2,"?ACTIVATED",IF(J5777&lt;&gt;"","?FAMILIAR",IF(F5777="NEW",IF(ISNA(VLOOKUP(E5777,#REF!,1,FALSE())),"?TYPE_IDENTIFIABLE","?REFERENTIAL"),"_")))))</f>
        <v> </v>
      </c>
      <c r="H5777" s="25" t="str">
        <f>IF(J5777&lt;&gt;1,"",IF(I5777="SBJ","CB","?"))</f>
        <v> </v>
      </c>
      <c r="I5777" s="26" t="str">
        <f>IF(OR(E5777="",E5777="!!!",F5777="NEW"),"",INDEX(B5776:B$2,-1+SUMPRODUCT(MAX(ROW(E5776:E$2)*(E5777=E5776:E$2)))))</f>
        <v> </v>
      </c>
      <c r="J5777" s="26" t="str">
        <f>IF(OR(E5777="",E5777="!!!",F5777="NEW"),"",COUNTBLANK(OFFSET(A$1,,,SUMPRODUCT(MAX(ROW(E$2:E5777)*(E5777=E$2:E5777)))))-COUNTBLANK(OFFSET(A$1,,,SUMPRODUCT(MAX(ROW(E$1:E5776)*(E2=E$1:E5776))))))</f>
        <v> </v>
      </c>
      <c r="K5777" s="26" t="str">
        <f>IF(OR(E5777="",E5777="!!!",F5777="NEW"),"",INDEX(J$1:J5776,SUMPRODUCT(MAX(ROW(E$1:E5776)*(E5777=E$1:E5776)))))</f>
        <v> </v>
      </c>
      <c r="L5777" s="27"/>
    </row>
    <row r="5778" spans="1:12">
      <c r="A5778" s="20" t="s">
        <v>1025</v>
      </c>
      <c r="B5778" s="21" t="s">
        <v>1048</v>
      </c>
      <c r="C5778" s="21" t="s">
        <v>1026</v>
      </c>
      <c r="D5778" s="21" t="s">
        <v>1011</v>
      </c>
      <c r="E5778" s="22">
        <f>IF(D5778="?OLD","!!!","")</f>
        <v/>
      </c>
      <c r="F5778" s="23" t="str">
        <f>IF(OR(E5778="",E5778="!!!"),"",IF(NOT(ISNA(VLOOKUP(E5778,E$1:E5777,1,FALSE()))),"OLD",IF(AND(E5778&lt;&gt;"",E5778&lt;&gt;"!!!"),"NEW","")))</f>
        <v> </v>
      </c>
      <c r="G5778" s="24" t="str">
        <f>IF(OR(E5778="",E5778="!!!"),"",IF(OR(J5778=0,AND(J5778=1,K5778=1),AND(J5778=1,I5778="SBJ"),AND(J5778=1,I5778=0)),"?IN_FOCUS",IF(J5778&lt;=2,"?ACTIVATED",IF(J5778&lt;&gt;"","?FAMILIAR",IF(F5778="NEW",IF(ISNA(VLOOKUP(E5778,#REF!,1,FALSE())),"?TYPE_IDENTIFIABLE","?REFERENTIAL"),"_")))))</f>
        <v> </v>
      </c>
      <c r="H5778" s="25" t="str">
        <f>IF(J5778&lt;&gt;1,"",IF(I5778="SBJ","CB","?"))</f>
        <v> </v>
      </c>
      <c r="I5778" s="26" t="str">
        <f>IF(OR(E5778="",E5778="!!!",F5778="NEW"),"",INDEX(B5777:B$2,-1+SUMPRODUCT(MAX(ROW(E5777:E$2)*(E5778=E5777:E$2)))))</f>
        <v> </v>
      </c>
      <c r="J5778" s="26" t="str">
        <f>IF(OR(E5778="",E5778="!!!",F5778="NEW"),"",COUNTBLANK(OFFSET(A$1,,,SUMPRODUCT(MAX(ROW(E$2:E5778)*(E5778=E$2:E5778)))))-COUNTBLANK(OFFSET(A$1,,,SUMPRODUCT(MAX(ROW(E$1:E5777)*(E2=E$1:E5777))))))</f>
        <v> </v>
      </c>
      <c r="K5778" s="26" t="str">
        <f>IF(OR(E5778="",E5778="!!!",F5778="NEW"),"",INDEX(J$1:J5777,SUMPRODUCT(MAX(ROW(E$1:E5777)*(E5778=E$1:E5777)))))</f>
        <v> </v>
      </c>
      <c r="L5778" s="27"/>
    </row>
    <row r="5779" spans="1:12">
      <c r="A5779" s="20" t="s">
        <v>1022</v>
      </c>
      <c r="E5779" s="22">
        <f>IF(D5779="?OLD","!!!","")</f>
        <v/>
      </c>
      <c r="F5779" s="23" t="str">
        <f>IF(OR(E5779="",E5779="!!!"),"",IF(NOT(ISNA(VLOOKUP(E5779,E$1:E5778,1,FALSE()))),"OLD",IF(AND(E5779&lt;&gt;"",E5779&lt;&gt;"!!!"),"NEW","")))</f>
        <v> </v>
      </c>
      <c r="G5779" s="24" t="str">
        <f>IF(OR(E5779="",E5779="!!!"),"",IF(OR(J5779=0,AND(J5779=1,K5779=1),AND(J5779=1,I5779="SBJ"),AND(J5779=1,I5779=0)),"?IN_FOCUS",IF(J5779&lt;=2,"?ACTIVATED",IF(J5779&lt;&gt;"","?FAMILIAR",IF(F5779="NEW",IF(ISNA(VLOOKUP(E5779,#REF!,1,FALSE())),"?TYPE_IDENTIFIABLE","?REFERENTIAL"),"_")))))</f>
        <v> </v>
      </c>
      <c r="H5779" s="25" t="str">
        <f>IF(J5779&lt;&gt;1,"",IF(I5779="SBJ","CB","?"))</f>
        <v> </v>
      </c>
      <c r="I5779" s="26" t="str">
        <f>IF(OR(E5779="",E5779="!!!",F5779="NEW"),"",INDEX(B5778:B$2,-1+SUMPRODUCT(MAX(ROW(E5778:E$2)*(E5779=E5778:E$2)))))</f>
        <v> </v>
      </c>
      <c r="J5779" s="26" t="str">
        <f>IF(OR(E5779="",E5779="!!!",F5779="NEW"),"",COUNTBLANK(OFFSET(A$1,,,SUMPRODUCT(MAX(ROW(E$2:E5779)*(E5779=E$2:E5779)))))-COUNTBLANK(OFFSET(A$1,,,SUMPRODUCT(MAX(ROW(E$1:E5778)*(E2=E$1:E5778))))))</f>
        <v> </v>
      </c>
      <c r="K5779" s="26" t="str">
        <f>IF(OR(E5779="",E5779="!!!",F5779="NEW"),"",INDEX(J$1:J5778,SUMPRODUCT(MAX(ROW(E$1:E5778)*(E5779=E$1:E5778)))))</f>
        <v> </v>
      </c>
      <c r="L5779" s="27"/>
    </row>
    <row r="5780" spans="1:12">
      <c r="A5780" s="20"/>
    </row>
    <row r="5781" spans="1:12">
      <c r="A5781" s="20" t="s">
        <v>2268</v>
      </c>
    </row>
    <row r="5782" spans="1:12">
      <c r="A5782" s="20" t="s">
        <v>1008</v>
      </c>
      <c r="B5782" s="21" t="s">
        <v>1009</v>
      </c>
      <c r="C5782" s="21" t="s">
        <v>1010</v>
      </c>
      <c r="D5782" s="21" t="s">
        <v>1011</v>
      </c>
      <c r="E5782" s="22">
        <f>IF(D5782="?OLD","!!!","")</f>
        <v/>
      </c>
      <c r="F5782" s="23" t="str">
        <f>IF(OR(E5782="",E5782="!!!"),"",IF(NOT(ISNA(VLOOKUP(E5782,E$1:E5781,1,FALSE()))),"OLD",IF(AND(E5782&lt;&gt;"",E5782&lt;&gt;"!!!"),"NEW","")))</f>
        <v> </v>
      </c>
      <c r="G5782" s="24" t="str">
        <f>IF(OR(E5782="",E5782="!!!"),"",IF(OR(J5782=0,AND(J5782=1,K5782=1),AND(J5782=1,I5782="SBJ"),AND(J5782=1,I5782=0)),"?IN_FOCUS",IF(J5782&lt;=2,"?ACTIVATED",IF(J5782&lt;&gt;"","?FAMILIAR",IF(F5782="NEW",IF(ISNA(VLOOKUP(E5782,#REF!,1,FALSE())),"?TYPE_IDENTIFIABLE","?REFERENTIAL"),"_")))))</f>
        <v> </v>
      </c>
      <c r="H5782" s="25" t="str">
        <f>IF(J5782&lt;&gt;1,"",IF(I5782="SBJ","CB","?"))</f>
        <v> </v>
      </c>
      <c r="I5782" s="26" t="str">
        <f>IF(OR(E5782="",E5782="!!!",F5782="NEW"),"",INDEX(B5781:B$2,-1+SUMPRODUCT(MAX(ROW(E5781:E$2)*(E5782=E5781:E$2)))))</f>
        <v> </v>
      </c>
      <c r="J5782" s="26" t="str">
        <f>IF(OR(E5782="",E5782="!!!",F5782="NEW"),"",COUNTBLANK(OFFSET(A$1,,,SUMPRODUCT(MAX(ROW(E$2:E5782)*(E5782=E$2:E5782)))))-COUNTBLANK(OFFSET(A$1,,,SUMPRODUCT(MAX(ROW(E$1:E5781)*(E2=E$1:E5781))))))</f>
        <v> </v>
      </c>
      <c r="K5782" s="26" t="str">
        <f>IF(OR(E5782="",E5782="!!!",F5782="NEW"),"",INDEX(J$1:J5781,SUMPRODUCT(MAX(ROW(E$1:E5781)*(E5782=E$1:E5781)))))</f>
        <v> </v>
      </c>
      <c r="L5782" s="27"/>
    </row>
    <row r="5783" spans="1:12">
      <c r="A5783" s="20" t="s">
        <v>267</v>
      </c>
      <c r="E5783" s="22">
        <f>IF(D5783="?OLD","!!!","")</f>
        <v/>
      </c>
      <c r="F5783" s="23" t="str">
        <f>IF(OR(E5783="",E5783="!!!"),"",IF(NOT(ISNA(VLOOKUP(E5783,E$1:E5782,1,FALSE()))),"OLD",IF(AND(E5783&lt;&gt;"",E5783&lt;&gt;"!!!"),"NEW","")))</f>
        <v> </v>
      </c>
      <c r="G5783" s="24" t="str">
        <f>IF(OR(E5783="",E5783="!!!"),"",IF(OR(J5783=0,AND(J5783=1,K5783=1),AND(J5783=1,I5783="SBJ"),AND(J5783=1,I5783=0)),"?IN_FOCUS",IF(J5783&lt;=2,"?ACTIVATED",IF(J5783&lt;&gt;"","?FAMILIAR",IF(F5783="NEW",IF(ISNA(VLOOKUP(E5783,#REF!,1,FALSE())),"?TYPE_IDENTIFIABLE","?REFERENTIAL"),"_")))))</f>
        <v> </v>
      </c>
      <c r="H5783" s="25" t="str">
        <f>IF(J5783&lt;&gt;1,"",IF(I5783="SBJ","CB","?"))</f>
        <v> </v>
      </c>
      <c r="I5783" s="26" t="str">
        <f>IF(OR(E5783="",E5783="!!!",F5783="NEW"),"",INDEX(B5782:B$2,-1+SUMPRODUCT(MAX(ROW(E5782:E$2)*(E5783=E5782:E$2)))))</f>
        <v> </v>
      </c>
      <c r="J5783" s="26" t="str">
        <f>IF(OR(E5783="",E5783="!!!",F5783="NEW"),"",COUNTBLANK(OFFSET(A$1,,,SUMPRODUCT(MAX(ROW(E$2:E5783)*(E5783=E$2:E5783)))))-COUNTBLANK(OFFSET(A$1,,,SUMPRODUCT(MAX(ROW(E$1:E5782)*(E2=E$1:E5782))))))</f>
        <v> </v>
      </c>
      <c r="K5783" s="26" t="str">
        <f>IF(OR(E5783="",E5783="!!!",F5783="NEW"),"",INDEX(J$1:J5782,SUMPRODUCT(MAX(ROW(E$1:E5782)*(E5783=E$1:E5782)))))</f>
        <v> </v>
      </c>
      <c r="L5783" s="27"/>
    </row>
    <row r="5784" spans="1:12">
      <c r="A5784" s="20" t="s">
        <v>1032</v>
      </c>
      <c r="E5784" s="22">
        <f>IF(D5784="?OLD","!!!","")</f>
        <v/>
      </c>
      <c r="F5784" s="23" t="str">
        <f>IF(OR(E5784="",E5784="!!!"),"",IF(NOT(ISNA(VLOOKUP(E5784,E$1:E5783,1,FALSE()))),"OLD",IF(AND(E5784&lt;&gt;"",E5784&lt;&gt;"!!!"),"NEW","")))</f>
        <v> </v>
      </c>
      <c r="G5784" s="24" t="str">
        <f>IF(OR(E5784="",E5784="!!!"),"",IF(OR(J5784=0,AND(J5784=1,K5784=1),AND(J5784=1,I5784="SBJ"),AND(J5784=1,I5784=0)),"?IN_FOCUS",IF(J5784&lt;=2,"?ACTIVATED",IF(J5784&lt;&gt;"","?FAMILIAR",IF(F5784="NEW",IF(ISNA(VLOOKUP(E5784,#REF!,1,FALSE())),"?TYPE_IDENTIFIABLE","?REFERENTIAL"),"_")))))</f>
        <v> </v>
      </c>
      <c r="H5784" s="25" t="str">
        <f>IF(J5784&lt;&gt;1,"",IF(I5784="SBJ","CB","?"))</f>
        <v> </v>
      </c>
      <c r="I5784" s="26" t="str">
        <f>IF(OR(E5784="",E5784="!!!",F5784="NEW"),"",INDEX(B5783:B$2,-1+SUMPRODUCT(MAX(ROW(E5783:E$2)*(E5784=E5783:E$2)))))</f>
        <v> </v>
      </c>
      <c r="J5784" s="26" t="str">
        <f>IF(OR(E5784="",E5784="!!!",F5784="NEW"),"",COUNTBLANK(OFFSET(A$1,,,SUMPRODUCT(MAX(ROW(E$2:E5784)*(E5784=E$2:E5784)))))-COUNTBLANK(OFFSET(A$1,,,SUMPRODUCT(MAX(ROW(E$1:E5783)*(E2=E$1:E5783))))))</f>
        <v> </v>
      </c>
      <c r="K5784" s="26" t="str">
        <f>IF(OR(E5784="",E5784="!!!",F5784="NEW"),"",INDEX(J$1:J5783,SUMPRODUCT(MAX(ROW(E$1:E5783)*(E5784=E$1:E5783)))))</f>
        <v> </v>
      </c>
      <c r="L5784" s="27"/>
    </row>
    <row r="5785" spans="1:12">
      <c r="A5785" s="20" t="s">
        <v>1317</v>
      </c>
      <c r="B5785" s="21" t="s">
        <v>1039</v>
      </c>
      <c r="C5785" s="21" t="s">
        <v>1040</v>
      </c>
      <c r="D5785" s="21" t="s">
        <v>1011</v>
      </c>
      <c r="E5785" s="22">
        <f>IF(D5785="?OLD","!!!","")</f>
        <v/>
      </c>
      <c r="F5785" s="23" t="str">
        <f>IF(OR(E5785="",E5785="!!!"),"",IF(NOT(ISNA(VLOOKUP(E5785,E$1:E5784,1,FALSE()))),"OLD",IF(AND(E5785&lt;&gt;"",E5785&lt;&gt;"!!!"),"NEW","")))</f>
        <v> </v>
      </c>
      <c r="G5785" s="24" t="str">
        <f>IF(OR(E5785="",E5785="!!!"),"",IF(OR(J5785=0,AND(J5785=1,K5785=1),AND(J5785=1,I5785="SBJ"),AND(J5785=1,I5785=0)),"?IN_FOCUS",IF(J5785&lt;=2,"?ACTIVATED",IF(J5785&lt;&gt;"","?FAMILIAR",IF(F5785="NEW",IF(ISNA(VLOOKUP(E5785,#REF!,1,FALSE())),"?TYPE_IDENTIFIABLE","?REFERENTIAL"),"_")))))</f>
        <v> </v>
      </c>
      <c r="H5785" s="25" t="str">
        <f>IF(J5785&lt;&gt;1,"",IF(I5785="SBJ","CB","?"))</f>
        <v> </v>
      </c>
      <c r="I5785" s="26" t="str">
        <f>IF(OR(E5785="",E5785="!!!",F5785="NEW"),"",INDEX(B5784:B$2,-1+SUMPRODUCT(MAX(ROW(E5784:E$2)*(E5785=E5784:E$2)))))</f>
        <v> </v>
      </c>
      <c r="J5785" s="26" t="str">
        <f>IF(OR(E5785="",E5785="!!!",F5785="NEW"),"",COUNTBLANK(OFFSET(A$1,,,SUMPRODUCT(MAX(ROW(E$2:E5785)*(E5785=E$2:E5785)))))-COUNTBLANK(OFFSET(A$1,,,SUMPRODUCT(MAX(ROW(E$1:E5784)*(E2=E$1:E5784))))))</f>
        <v> </v>
      </c>
      <c r="K5785" s="26" t="str">
        <f>IF(OR(E5785="",E5785="!!!",F5785="NEW"),"",INDEX(J$1:J5784,SUMPRODUCT(MAX(ROW(E$1:E5784)*(E5785=E$1:E5784)))))</f>
        <v> </v>
      </c>
      <c r="L5785" s="27"/>
    </row>
    <row r="5786" spans="1:12">
      <c r="A5786" s="20" t="s">
        <v>1132</v>
      </c>
      <c r="E5786" s="22">
        <f>IF(D5786="?OLD","!!!","")</f>
        <v/>
      </c>
      <c r="F5786" s="23" t="str">
        <f>IF(OR(E5786="",E5786="!!!"),"",IF(NOT(ISNA(VLOOKUP(E5786,E$1:E5785,1,FALSE()))),"OLD",IF(AND(E5786&lt;&gt;"",E5786&lt;&gt;"!!!"),"NEW","")))</f>
        <v> </v>
      </c>
      <c r="G5786" s="24" t="str">
        <f>IF(OR(E5786="",E5786="!!!"),"",IF(OR(J5786=0,AND(J5786=1,K5786=1),AND(J5786=1,I5786="SBJ"),AND(J5786=1,I5786=0)),"?IN_FOCUS",IF(J5786&lt;=2,"?ACTIVATED",IF(J5786&lt;&gt;"","?FAMILIAR",IF(F5786="NEW",IF(ISNA(VLOOKUP(E5786,#REF!,1,FALSE())),"?TYPE_IDENTIFIABLE","?REFERENTIAL"),"_")))))</f>
        <v> </v>
      </c>
      <c r="H5786" s="25" t="str">
        <f>IF(J5786&lt;&gt;1,"",IF(I5786="SBJ","CB","?"))</f>
        <v> </v>
      </c>
      <c r="I5786" s="26" t="str">
        <f>IF(OR(E5786="",E5786="!!!",F5786="NEW"),"",INDEX(B5785:B$2,-1+SUMPRODUCT(MAX(ROW(E5785:E$2)*(E5786=E5785:E$2)))))</f>
        <v> </v>
      </c>
      <c r="J5786" s="26" t="str">
        <f>IF(OR(E5786="",E5786="!!!",F5786="NEW"),"",COUNTBLANK(OFFSET(A$1,,,SUMPRODUCT(MAX(ROW(E$2:E5786)*(E5786=E$2:E5786)))))-COUNTBLANK(OFFSET(A$1,,,SUMPRODUCT(MAX(ROW(E$1:E5785)*(E2=E$1:E5785))))))</f>
        <v> </v>
      </c>
      <c r="K5786" s="26" t="str">
        <f>IF(OR(E5786="",E5786="!!!",F5786="NEW"),"",INDEX(J$1:J5785,SUMPRODUCT(MAX(ROW(E$1:E5785)*(E5786=E$1:E5785)))))</f>
        <v> </v>
      </c>
      <c r="L5786" s="27"/>
    </row>
    <row r="5787" spans="1:12">
      <c r="A5787" s="20" t="s">
        <v>1732</v>
      </c>
      <c r="B5787" s="21" t="s">
        <v>1021</v>
      </c>
      <c r="C5787" s="21" t="s">
        <v>1010</v>
      </c>
      <c r="D5787" s="21" t="s">
        <v>1011</v>
      </c>
      <c r="E5787" s="22">
        <f>IF(D5787="?OLD","!!!","")</f>
        <v/>
      </c>
      <c r="F5787" s="23" t="str">
        <f>IF(OR(E5787="",E5787="!!!"),"",IF(NOT(ISNA(VLOOKUP(E5787,E$1:E5786,1,FALSE()))),"OLD",IF(AND(E5787&lt;&gt;"",E5787&lt;&gt;"!!!"),"NEW","")))</f>
        <v> </v>
      </c>
      <c r="G5787" s="24" t="str">
        <f>IF(OR(E5787="",E5787="!!!"),"",IF(OR(J5787=0,AND(J5787=1,K5787=1),AND(J5787=1,I5787="SBJ"),AND(J5787=1,I5787=0)),"?IN_FOCUS",IF(J5787&lt;=2,"?ACTIVATED",IF(J5787&lt;&gt;"","?FAMILIAR",IF(F5787="NEW",IF(ISNA(VLOOKUP(E5787,#REF!,1,FALSE())),"?TYPE_IDENTIFIABLE","?REFERENTIAL"),"_")))))</f>
        <v> </v>
      </c>
      <c r="H5787" s="25" t="str">
        <f>IF(J5787&lt;&gt;1,"",IF(I5787="SBJ","CB","?"))</f>
        <v> </v>
      </c>
      <c r="I5787" s="26" t="str">
        <f>IF(OR(E5787="",E5787="!!!",F5787="NEW"),"",INDEX(B5786:B$2,-1+SUMPRODUCT(MAX(ROW(E5786:E$2)*(E5787=E5786:E$2)))))</f>
        <v> </v>
      </c>
      <c r="J5787" s="26" t="str">
        <f>IF(OR(E5787="",E5787="!!!",F5787="NEW"),"",COUNTBLANK(OFFSET(A$1,,,SUMPRODUCT(MAX(ROW(E$2:E5787)*(E5787=E$2:E5787)))))-COUNTBLANK(OFFSET(A$1,,,SUMPRODUCT(MAX(ROW(E$1:E5786)*(E2=E$1:E5786))))))</f>
        <v> </v>
      </c>
      <c r="K5787" s="26" t="str">
        <f>IF(OR(E5787="",E5787="!!!",F5787="NEW"),"",INDEX(J$1:J5786,SUMPRODUCT(MAX(ROW(E$1:E5786)*(E5787=E$1:E5786)))))</f>
        <v> </v>
      </c>
      <c r="L5787" s="27"/>
    </row>
    <row r="5788" spans="1:12">
      <c r="A5788" s="20" t="s">
        <v>1414</v>
      </c>
      <c r="E5788" s="22">
        <f>IF(D5788="?OLD","!!!","")</f>
        <v/>
      </c>
      <c r="F5788" s="23" t="str">
        <f>IF(OR(E5788="",E5788="!!!"),"",IF(NOT(ISNA(VLOOKUP(E5788,E$1:E5787,1,FALSE()))),"OLD",IF(AND(E5788&lt;&gt;"",E5788&lt;&gt;"!!!"),"NEW","")))</f>
        <v> </v>
      </c>
      <c r="G5788" s="24" t="str">
        <f>IF(OR(E5788="",E5788="!!!"),"",IF(OR(J5788=0,AND(J5788=1,K5788=1),AND(J5788=1,I5788="SBJ"),AND(J5788=1,I5788=0)),"?IN_FOCUS",IF(J5788&lt;=2,"?ACTIVATED",IF(J5788&lt;&gt;"","?FAMILIAR",IF(F5788="NEW",IF(ISNA(VLOOKUP(E5788,#REF!,1,FALSE())),"?TYPE_IDENTIFIABLE","?REFERENTIAL"),"_")))))</f>
        <v> </v>
      </c>
      <c r="H5788" s="25" t="str">
        <f>IF(J5788&lt;&gt;1,"",IF(I5788="SBJ","CB","?"))</f>
        <v> </v>
      </c>
      <c r="I5788" s="26" t="str">
        <f>IF(OR(E5788="",E5788="!!!",F5788="NEW"),"",INDEX(B5787:B$2,-1+SUMPRODUCT(MAX(ROW(E5787:E$2)*(E5788=E5787:E$2)))))</f>
        <v> </v>
      </c>
      <c r="J5788" s="26" t="str">
        <f>IF(OR(E5788="",E5788="!!!",F5788="NEW"),"",COUNTBLANK(OFFSET(A$1,,,SUMPRODUCT(MAX(ROW(E$2:E5788)*(E5788=E$2:E5788)))))-COUNTBLANK(OFFSET(A$1,,,SUMPRODUCT(MAX(ROW(E$1:E5787)*(E2=E$1:E5787))))))</f>
        <v> </v>
      </c>
      <c r="K5788" s="26" t="str">
        <f>IF(OR(E5788="",E5788="!!!",F5788="NEW"),"",INDEX(J$1:J5787,SUMPRODUCT(MAX(ROW(E$1:E5787)*(E5788=E$1:E5787)))))</f>
        <v> </v>
      </c>
      <c r="L5788" s="27"/>
    </row>
    <row r="5789" spans="1:12">
      <c r="A5789" s="20" t="s">
        <v>1138</v>
      </c>
      <c r="E5789" s="22">
        <f>IF(D5789="?OLD","!!!","")</f>
        <v/>
      </c>
      <c r="F5789" s="23" t="str">
        <f>IF(OR(E5789="",E5789="!!!"),"",IF(NOT(ISNA(VLOOKUP(E5789,E$1:E5788,1,FALSE()))),"OLD",IF(AND(E5789&lt;&gt;"",E5789&lt;&gt;"!!!"),"NEW","")))</f>
        <v> </v>
      </c>
      <c r="G5789" s="24" t="str">
        <f>IF(OR(E5789="",E5789="!!!"),"",IF(OR(J5789=0,AND(J5789=1,K5789=1),AND(J5789=1,I5789="SBJ"),AND(J5789=1,I5789=0)),"?IN_FOCUS",IF(J5789&lt;=2,"?ACTIVATED",IF(J5789&lt;&gt;"","?FAMILIAR",IF(F5789="NEW",IF(ISNA(VLOOKUP(E5789,#REF!,1,FALSE())),"?TYPE_IDENTIFIABLE","?REFERENTIAL"),"_")))))</f>
        <v> </v>
      </c>
      <c r="H5789" s="25" t="str">
        <f>IF(J5789&lt;&gt;1,"",IF(I5789="SBJ","CB","?"))</f>
        <v> </v>
      </c>
      <c r="I5789" s="26" t="str">
        <f>IF(OR(E5789="",E5789="!!!",F5789="NEW"),"",INDEX(B5788:B$2,-1+SUMPRODUCT(MAX(ROW(E5788:E$2)*(E5789=E5788:E$2)))))</f>
        <v> </v>
      </c>
      <c r="J5789" s="26" t="str">
        <f>IF(OR(E5789="",E5789="!!!",F5789="NEW"),"",COUNTBLANK(OFFSET(A$1,,,SUMPRODUCT(MAX(ROW(E$2:E5789)*(E5789=E$2:E5789)))))-COUNTBLANK(OFFSET(A$1,,,SUMPRODUCT(MAX(ROW(E$1:E5788)*(E2=E$1:E5788))))))</f>
        <v> </v>
      </c>
      <c r="K5789" s="26" t="str">
        <f>IF(OR(E5789="",E5789="!!!",F5789="NEW"),"",INDEX(J$1:J5788,SUMPRODUCT(MAX(ROW(E$1:E5788)*(E5789=E$1:E5788)))))</f>
        <v> </v>
      </c>
      <c r="L5789" s="27"/>
    </row>
    <row r="5790" spans="1:12">
      <c r="A5790" s="20" t="s">
        <v>2211</v>
      </c>
      <c r="E5790" s="22">
        <f>IF(D5790="?OLD","!!!","")</f>
        <v/>
      </c>
      <c r="F5790" s="23" t="str">
        <f>IF(OR(E5790="",E5790="!!!"),"",IF(NOT(ISNA(VLOOKUP(E5790,E$1:E5789,1,FALSE()))),"OLD",IF(AND(E5790&lt;&gt;"",E5790&lt;&gt;"!!!"),"NEW","")))</f>
        <v> </v>
      </c>
      <c r="G5790" s="24" t="str">
        <f>IF(OR(E5790="",E5790="!!!"),"",IF(OR(J5790=0,AND(J5790=1,K5790=1),AND(J5790=1,I5790="SBJ"),AND(J5790=1,I5790=0)),"?IN_FOCUS",IF(J5790&lt;=2,"?ACTIVATED",IF(J5790&lt;&gt;"","?FAMILIAR",IF(F5790="NEW",IF(ISNA(VLOOKUP(E5790,#REF!,1,FALSE())),"?TYPE_IDENTIFIABLE","?REFERENTIAL"),"_")))))</f>
        <v> </v>
      </c>
      <c r="H5790" s="25" t="str">
        <f>IF(J5790&lt;&gt;1,"",IF(I5790="SBJ","CB","?"))</f>
        <v> </v>
      </c>
      <c r="I5790" s="26" t="str">
        <f>IF(OR(E5790="",E5790="!!!",F5790="NEW"),"",INDEX(B5789:B$2,-1+SUMPRODUCT(MAX(ROW(E5789:E$2)*(E5790=E5789:E$2)))))</f>
        <v> </v>
      </c>
      <c r="J5790" s="26" t="str">
        <f>IF(OR(E5790="",E5790="!!!",F5790="NEW"),"",COUNTBLANK(OFFSET(A$1,,,SUMPRODUCT(MAX(ROW(E$2:E5790)*(E5790=E$2:E5790)))))-COUNTBLANK(OFFSET(A$1,,,SUMPRODUCT(MAX(ROW(E$1:E5789)*(E2=E$1:E5789))))))</f>
        <v> </v>
      </c>
      <c r="K5790" s="26" t="str">
        <f>IF(OR(E5790="",E5790="!!!",F5790="NEW"),"",INDEX(J$1:J5789,SUMPRODUCT(MAX(ROW(E$1:E5789)*(E5790=E$1:E5789)))))</f>
        <v> </v>
      </c>
      <c r="L5790" s="27"/>
    </row>
    <row r="5791" spans="1:12">
      <c r="A5791" s="20" t="s">
        <v>1305</v>
      </c>
      <c r="E5791" s="22">
        <f>IF(D5791="?OLD","!!!","")</f>
        <v/>
      </c>
      <c r="F5791" s="23" t="str">
        <f>IF(OR(E5791="",E5791="!!!"),"",IF(NOT(ISNA(VLOOKUP(E5791,E$1:E5790,1,FALSE()))),"OLD",IF(AND(E5791&lt;&gt;"",E5791&lt;&gt;"!!!"),"NEW","")))</f>
        <v> </v>
      </c>
      <c r="G5791" s="24" t="str">
        <f>IF(OR(E5791="",E5791="!!!"),"",IF(OR(J5791=0,AND(J5791=1,K5791=1),AND(J5791=1,I5791="SBJ"),AND(J5791=1,I5791=0)),"?IN_FOCUS",IF(J5791&lt;=2,"?ACTIVATED",IF(J5791&lt;&gt;"","?FAMILIAR",IF(F5791="NEW",IF(ISNA(VLOOKUP(E5791,#REF!,1,FALSE())),"?TYPE_IDENTIFIABLE","?REFERENTIAL"),"_")))))</f>
        <v> </v>
      </c>
      <c r="H5791" s="25" t="str">
        <f>IF(J5791&lt;&gt;1,"",IF(I5791="SBJ","CB","?"))</f>
        <v> </v>
      </c>
      <c r="I5791" s="26" t="str">
        <f>IF(OR(E5791="",E5791="!!!",F5791="NEW"),"",INDEX(B5790:B$2,-1+SUMPRODUCT(MAX(ROW(E5790:E$2)*(E5791=E5790:E$2)))))</f>
        <v> </v>
      </c>
      <c r="J5791" s="26" t="str">
        <f>IF(OR(E5791="",E5791="!!!",F5791="NEW"),"",COUNTBLANK(OFFSET(A$1,,,SUMPRODUCT(MAX(ROW(E$2:E5791)*(E5791=E$2:E5791)))))-COUNTBLANK(OFFSET(A$1,,,SUMPRODUCT(MAX(ROW(E$1:E5790)*(E2=E$1:E5790))))))</f>
        <v> </v>
      </c>
      <c r="K5791" s="26" t="str">
        <f>IF(OR(E5791="",E5791="!!!",F5791="NEW"),"",INDEX(J$1:J5790,SUMPRODUCT(MAX(ROW(E$1:E5790)*(E5791=E$1:E5790)))))</f>
        <v> </v>
      </c>
      <c r="L5791" s="27"/>
    </row>
    <row r="5792" spans="1:12">
      <c r="A5792" s="20" t="s">
        <v>1245</v>
      </c>
      <c r="B5792" s="21" t="s">
        <v>1016</v>
      </c>
      <c r="C5792" s="21" t="s">
        <v>1092</v>
      </c>
      <c r="E5792" s="22">
        <f>IF(D5792="?OLD","!!!","")</f>
        <v/>
      </c>
      <c r="F5792" s="23" t="str">
        <f>IF(OR(E5792="",E5792="!!!"),"",IF(NOT(ISNA(VLOOKUP(E5792,E$1:E5791,1,FALSE()))),"OLD",IF(AND(E5792&lt;&gt;"",E5792&lt;&gt;"!!!"),"NEW","")))</f>
        <v> </v>
      </c>
      <c r="G5792" s="24" t="str">
        <f>IF(OR(E5792="",E5792="!!!"),"",IF(OR(J5792=0,AND(J5792=1,K5792=1),AND(J5792=1,I5792="SBJ"),AND(J5792=1,I5792=0)),"?IN_FOCUS",IF(J5792&lt;=2,"?ACTIVATED",IF(J5792&lt;&gt;"","?FAMILIAR",IF(F5792="NEW",IF(ISNA(VLOOKUP(E5792,#REF!,1,FALSE())),"?TYPE_IDENTIFIABLE","?REFERENTIAL"),"_")))))</f>
        <v> </v>
      </c>
      <c r="H5792" s="25" t="str">
        <f>IF(J5792&lt;&gt;1,"",IF(I5792="SBJ","CB","?"))</f>
        <v> </v>
      </c>
      <c r="I5792" s="26" t="str">
        <f>IF(OR(E5792="",E5792="!!!",F5792="NEW"),"",INDEX(B5791:B$2,-1+SUMPRODUCT(MAX(ROW(E5791:E$2)*(E5792=E5791:E$2)))))</f>
        <v> </v>
      </c>
      <c r="J5792" s="26" t="str">
        <f>IF(OR(E5792="",E5792="!!!",F5792="NEW"),"",COUNTBLANK(OFFSET(A$1,,,SUMPRODUCT(MAX(ROW(E$2:E5792)*(E5792=E$2:E5792)))))-COUNTBLANK(OFFSET(A$1,,,SUMPRODUCT(MAX(ROW(E$1:E5791)*(E2=E$1:E5791))))))</f>
        <v> </v>
      </c>
      <c r="K5792" s="26" t="str">
        <f>IF(OR(E5792="",E5792="!!!",F5792="NEW"),"",INDEX(J$1:J5791,SUMPRODUCT(MAX(ROW(E$1:E5791)*(E5792=E$1:E5791)))))</f>
        <v> </v>
      </c>
      <c r="L5792" s="27"/>
    </row>
    <row r="5793" spans="1:12">
      <c r="A5793" s="20" t="s">
        <v>1190</v>
      </c>
      <c r="E5793" s="22">
        <f>IF(D5793="?OLD","!!!","")</f>
        <v/>
      </c>
      <c r="F5793" s="23" t="str">
        <f>IF(OR(E5793="",E5793="!!!"),"",IF(NOT(ISNA(VLOOKUP(E5793,E$1:E5792,1,FALSE()))),"OLD",IF(AND(E5793&lt;&gt;"",E5793&lt;&gt;"!!!"),"NEW","")))</f>
        <v> </v>
      </c>
      <c r="G5793" s="24" t="str">
        <f>IF(OR(E5793="",E5793="!!!"),"",IF(OR(J5793=0,AND(J5793=1,K5793=1),AND(J5793=1,I5793="SBJ"),AND(J5793=1,I5793=0)),"?IN_FOCUS",IF(J5793&lt;=2,"?ACTIVATED",IF(J5793&lt;&gt;"","?FAMILIAR",IF(F5793="NEW",IF(ISNA(VLOOKUP(E5793,#REF!,1,FALSE())),"?TYPE_IDENTIFIABLE","?REFERENTIAL"),"_")))))</f>
        <v> </v>
      </c>
      <c r="H5793" s="25" t="str">
        <f>IF(J5793&lt;&gt;1,"",IF(I5793="SBJ","CB","?"))</f>
        <v> </v>
      </c>
      <c r="I5793" s="26" t="str">
        <f>IF(OR(E5793="",E5793="!!!",F5793="NEW"),"",INDEX(B5792:B$2,-1+SUMPRODUCT(MAX(ROW(E5792:E$2)*(E5793=E5792:E$2)))))</f>
        <v> </v>
      </c>
      <c r="J5793" s="26" t="str">
        <f>IF(OR(E5793="",E5793="!!!",F5793="NEW"),"",COUNTBLANK(OFFSET(A$1,,,SUMPRODUCT(MAX(ROW(E$2:E5793)*(E5793=E$2:E5793)))))-COUNTBLANK(OFFSET(A$1,,,SUMPRODUCT(MAX(ROW(E$1:E5792)*(E2=E$1:E5792))))))</f>
        <v> </v>
      </c>
      <c r="K5793" s="26" t="str">
        <f>IF(OR(E5793="",E5793="!!!",F5793="NEW"),"",INDEX(J$1:J5792,SUMPRODUCT(MAX(ROW(E$1:E5792)*(E5793=E$1:E5792)))))</f>
        <v> </v>
      </c>
      <c r="L5793" s="27"/>
    </row>
    <row r="5794" spans="1:12">
      <c r="A5794" s="20" t="s">
        <v>1105</v>
      </c>
      <c r="B5794" s="21" t="s">
        <v>1088</v>
      </c>
      <c r="E5794" s="22">
        <f>IF(D5794="?OLD","!!!","")</f>
        <v/>
      </c>
      <c r="F5794" s="23" t="str">
        <f>IF(OR(E5794="",E5794="!!!"),"",IF(NOT(ISNA(VLOOKUP(E5794,E$1:E5793,1,FALSE()))),"OLD",IF(AND(E5794&lt;&gt;"",E5794&lt;&gt;"!!!"),"NEW","")))</f>
        <v> </v>
      </c>
      <c r="G5794" s="24" t="str">
        <f>IF(OR(E5794="",E5794="!!!"),"",IF(OR(J5794=0,AND(J5794=1,K5794=1),AND(J5794=1,I5794="SBJ"),AND(J5794=1,I5794=0)),"?IN_FOCUS",IF(J5794&lt;=2,"?ACTIVATED",IF(J5794&lt;&gt;"","?FAMILIAR",IF(F5794="NEW",IF(ISNA(VLOOKUP(E5794,#REF!,1,FALSE())),"?TYPE_IDENTIFIABLE","?REFERENTIAL"),"_")))))</f>
        <v> </v>
      </c>
      <c r="H5794" s="25" t="str">
        <f>IF(J5794&lt;&gt;1,"",IF(I5794="SBJ","CB","?"))</f>
        <v> </v>
      </c>
      <c r="I5794" s="26" t="str">
        <f>IF(OR(E5794="",E5794="!!!",F5794="NEW"),"",INDEX(B5793:B$2,-1+SUMPRODUCT(MAX(ROW(E5793:E$2)*(E5794=E5793:E$2)))))</f>
        <v> </v>
      </c>
      <c r="J5794" s="26" t="str">
        <f>IF(OR(E5794="",E5794="!!!",F5794="NEW"),"",COUNTBLANK(OFFSET(A$1,,,SUMPRODUCT(MAX(ROW(E$2:E5794)*(E5794=E$2:E5794)))))-COUNTBLANK(OFFSET(A$1,,,SUMPRODUCT(MAX(ROW(E$1:E5793)*(E2=E$1:E5793))))))</f>
        <v> </v>
      </c>
      <c r="K5794" s="26" t="str">
        <f>IF(OR(E5794="",E5794="!!!",F5794="NEW"),"",INDEX(J$1:J5793,SUMPRODUCT(MAX(ROW(E$1:E5793)*(E5794=E$1:E5793)))))</f>
        <v> </v>
      </c>
      <c r="L5794" s="27"/>
    </row>
    <row r="5795" spans="1:12">
      <c r="A5795" s="20" t="s">
        <v>1127</v>
      </c>
      <c r="E5795" s="22">
        <f>IF(D5795="?OLD","!!!","")</f>
        <v/>
      </c>
      <c r="F5795" s="23" t="str">
        <f>IF(OR(E5795="",E5795="!!!"),"",IF(NOT(ISNA(VLOOKUP(E5795,E$1:E5794,1,FALSE()))),"OLD",IF(AND(E5795&lt;&gt;"",E5795&lt;&gt;"!!!"),"NEW","")))</f>
        <v> </v>
      </c>
      <c r="G5795" s="24" t="str">
        <f>IF(OR(E5795="",E5795="!!!"),"",IF(OR(J5795=0,AND(J5795=1,K5795=1),AND(J5795=1,I5795="SBJ"),AND(J5795=1,I5795=0)),"?IN_FOCUS",IF(J5795&lt;=2,"?ACTIVATED",IF(J5795&lt;&gt;"","?FAMILIAR",IF(F5795="NEW",IF(ISNA(VLOOKUP(E5795,#REF!,1,FALSE())),"?TYPE_IDENTIFIABLE","?REFERENTIAL"),"_")))))</f>
        <v> </v>
      </c>
      <c r="H5795" s="25" t="str">
        <f>IF(J5795&lt;&gt;1,"",IF(I5795="SBJ","CB","?"))</f>
        <v> </v>
      </c>
      <c r="I5795" s="26" t="str">
        <f>IF(OR(E5795="",E5795="!!!",F5795="NEW"),"",INDEX(B5794:B$2,-1+SUMPRODUCT(MAX(ROW(E5794:E$2)*(E5795=E5794:E$2)))))</f>
        <v> </v>
      </c>
      <c r="J5795" s="26" t="str">
        <f>IF(OR(E5795="",E5795="!!!",F5795="NEW"),"",COUNTBLANK(OFFSET(A$1,,,SUMPRODUCT(MAX(ROW(E$2:E5795)*(E5795=E$2:E5795)))))-COUNTBLANK(OFFSET(A$1,,,SUMPRODUCT(MAX(ROW(E$1:E5794)*(E2=E$1:E5794))))))</f>
        <v> </v>
      </c>
      <c r="K5795" s="26" t="str">
        <f>IF(OR(E5795="",E5795="!!!",F5795="NEW"),"",INDEX(J$1:J5794,SUMPRODUCT(MAX(ROW(E$1:E5794)*(E5795=E$1:E5794)))))</f>
        <v> </v>
      </c>
      <c r="L5795" s="27"/>
    </row>
    <row r="5796" spans="1:12">
      <c r="A5796" s="20" t="s">
        <v>1855</v>
      </c>
      <c r="B5796" s="21" t="s">
        <v>1021</v>
      </c>
      <c r="C5796" s="21" t="s">
        <v>1035</v>
      </c>
      <c r="D5796" s="21" t="s">
        <v>1011</v>
      </c>
      <c r="E5796" s="22">
        <f>IF(D5796="?OLD","!!!","")</f>
        <v/>
      </c>
      <c r="F5796" s="23" t="str">
        <f>IF(OR(E5796="",E5796="!!!"),"",IF(NOT(ISNA(VLOOKUP(E5796,E$1:E5795,1,FALSE()))),"OLD",IF(AND(E5796&lt;&gt;"",E5796&lt;&gt;"!!!"),"NEW","")))</f>
        <v> </v>
      </c>
      <c r="G5796" s="24" t="str">
        <f>IF(OR(E5796="",E5796="!!!"),"",IF(OR(J5796=0,AND(J5796=1,K5796=1),AND(J5796=1,I5796="SBJ"),AND(J5796=1,I5796=0)),"?IN_FOCUS",IF(J5796&lt;=2,"?ACTIVATED",IF(J5796&lt;&gt;"","?FAMILIAR",IF(F5796="NEW",IF(ISNA(VLOOKUP(E5796,#REF!,1,FALSE())),"?TYPE_IDENTIFIABLE","?REFERENTIAL"),"_")))))</f>
        <v> </v>
      </c>
      <c r="H5796" s="25" t="str">
        <f>IF(J5796&lt;&gt;1,"",IF(I5796="SBJ","CB","?"))</f>
        <v> </v>
      </c>
      <c r="I5796" s="26" t="str">
        <f>IF(OR(E5796="",E5796="!!!",F5796="NEW"),"",INDEX(B5795:B$2,-1+SUMPRODUCT(MAX(ROW(E5795:E$2)*(E5796=E5795:E$2)))))</f>
        <v> </v>
      </c>
      <c r="J5796" s="26" t="str">
        <f>IF(OR(E5796="",E5796="!!!",F5796="NEW"),"",COUNTBLANK(OFFSET(A$1,,,SUMPRODUCT(MAX(ROW(E$2:E5796)*(E5796=E$2:E5796)))))-COUNTBLANK(OFFSET(A$1,,,SUMPRODUCT(MAX(ROW(E$1:E5795)*(E2=E$1:E5795))))))</f>
        <v> </v>
      </c>
      <c r="K5796" s="26" t="str">
        <f>IF(OR(E5796="",E5796="!!!",F5796="NEW"),"",INDEX(J$1:J5795,SUMPRODUCT(MAX(ROW(E$1:E5795)*(E5796=E$1:E5795)))))</f>
        <v> </v>
      </c>
      <c r="L5796" s="27"/>
    </row>
    <row r="5797" spans="1:12">
      <c r="A5797" s="20" t="s">
        <v>1019</v>
      </c>
      <c r="B5797" s="21" t="s">
        <v>1016</v>
      </c>
      <c r="C5797" s="21" t="s">
        <v>1040</v>
      </c>
      <c r="D5797" s="21" t="s">
        <v>1011</v>
      </c>
      <c r="E5797" s="22">
        <f>IF(D5797="?OLD","!!!","")</f>
        <v/>
      </c>
      <c r="F5797" s="23" t="str">
        <f>IF(OR(E5797="",E5797="!!!"),"",IF(NOT(ISNA(VLOOKUP(E5797,E$1:E5796,1,FALSE()))),"OLD",IF(AND(E5797&lt;&gt;"",E5797&lt;&gt;"!!!"),"NEW","")))</f>
        <v> </v>
      </c>
      <c r="G5797" s="24" t="str">
        <f>IF(OR(E5797="",E5797="!!!"),"",IF(OR(J5797=0,AND(J5797=1,K5797=1),AND(J5797=1,I5797="SBJ"),AND(J5797=1,I5797=0)),"?IN_FOCUS",IF(J5797&lt;=2,"?ACTIVATED",IF(J5797&lt;&gt;"","?FAMILIAR",IF(F5797="NEW",IF(ISNA(VLOOKUP(E5797,#REF!,1,FALSE())),"?TYPE_IDENTIFIABLE","?REFERENTIAL"),"_")))))</f>
        <v> </v>
      </c>
      <c r="H5797" s="25" t="str">
        <f>IF(J5797&lt;&gt;1,"",IF(I5797="SBJ","CB","?"))</f>
        <v> </v>
      </c>
      <c r="I5797" s="26" t="str">
        <f>IF(OR(E5797="",E5797="!!!",F5797="NEW"),"",INDEX(B5796:B$2,-1+SUMPRODUCT(MAX(ROW(E5796:E$2)*(E5797=E5796:E$2)))))</f>
        <v> </v>
      </c>
      <c r="J5797" s="26" t="str">
        <f>IF(OR(E5797="",E5797="!!!",F5797="NEW"),"",COUNTBLANK(OFFSET(A$1,,,SUMPRODUCT(MAX(ROW(E$2:E5797)*(E5797=E$2:E5797)))))-COUNTBLANK(OFFSET(A$1,,,SUMPRODUCT(MAX(ROW(E$1:E5796)*(E2=E$1:E5796))))))</f>
        <v> </v>
      </c>
      <c r="K5797" s="26" t="str">
        <f>IF(OR(E5797="",E5797="!!!",F5797="NEW"),"",INDEX(J$1:J5796,SUMPRODUCT(MAX(ROW(E$1:E5796)*(E5797=E$1:E5796)))))</f>
        <v> </v>
      </c>
      <c r="L5797" s="27"/>
    </row>
    <row r="5798" spans="1:12">
      <c r="A5798" s="20" t="s">
        <v>1020</v>
      </c>
      <c r="E5798" s="22">
        <f>IF(D5798="?OLD","!!!","")</f>
        <v/>
      </c>
      <c r="F5798" s="23" t="str">
        <f>IF(OR(E5798="",E5798="!!!"),"",IF(NOT(ISNA(VLOOKUP(E5798,E$1:E5797,1,FALSE()))),"OLD",IF(AND(E5798&lt;&gt;"",E5798&lt;&gt;"!!!"),"NEW","")))</f>
        <v> </v>
      </c>
      <c r="G5798" s="24" t="str">
        <f>IF(OR(E5798="",E5798="!!!"),"",IF(OR(J5798=0,AND(J5798=1,K5798=1),AND(J5798=1,I5798="SBJ"),AND(J5798=1,I5798=0)),"?IN_FOCUS",IF(J5798&lt;=2,"?ACTIVATED",IF(J5798&lt;&gt;"","?FAMILIAR",IF(F5798="NEW",IF(ISNA(VLOOKUP(E5798,#REF!,1,FALSE())),"?TYPE_IDENTIFIABLE","?REFERENTIAL"),"_")))))</f>
        <v> </v>
      </c>
      <c r="H5798" s="25" t="str">
        <f>IF(J5798&lt;&gt;1,"",IF(I5798="SBJ","CB","?"))</f>
        <v> </v>
      </c>
      <c r="I5798" s="26" t="str">
        <f>IF(OR(E5798="",E5798="!!!",F5798="NEW"),"",INDEX(B5797:B$2,-1+SUMPRODUCT(MAX(ROW(E5797:E$2)*(E5798=E5797:E$2)))))</f>
        <v> </v>
      </c>
      <c r="J5798" s="26" t="str">
        <f>IF(OR(E5798="",E5798="!!!",F5798="NEW"),"",COUNTBLANK(OFFSET(A$1,,,SUMPRODUCT(MAX(ROW(E$2:E5798)*(E5798=E$2:E5798)))))-COUNTBLANK(OFFSET(A$1,,,SUMPRODUCT(MAX(ROW(E$1:E5797)*(E2=E$1:E5797))))))</f>
        <v> </v>
      </c>
      <c r="K5798" s="26" t="str">
        <f>IF(OR(E5798="",E5798="!!!",F5798="NEW"),"",INDEX(J$1:J5797,SUMPRODUCT(MAX(ROW(E$1:E5797)*(E5798=E$1:E5797)))))</f>
        <v> </v>
      </c>
      <c r="L5798" s="27"/>
    </row>
    <row r="5799" spans="1:12">
      <c r="A5799" s="20" t="s">
        <v>1107</v>
      </c>
      <c r="E5799" s="22">
        <f>IF(D5799="?OLD","!!!","")</f>
        <v/>
      </c>
      <c r="F5799" s="23" t="str">
        <f>IF(OR(E5799="",E5799="!!!"),"",IF(NOT(ISNA(VLOOKUP(E5799,E$1:E5798,1,FALSE()))),"OLD",IF(AND(E5799&lt;&gt;"",E5799&lt;&gt;"!!!"),"NEW","")))</f>
        <v> </v>
      </c>
      <c r="G5799" s="24" t="str">
        <f>IF(OR(E5799="",E5799="!!!"),"",IF(OR(J5799=0,AND(J5799=1,K5799=1),AND(J5799=1,I5799="SBJ"),AND(J5799=1,I5799=0)),"?IN_FOCUS",IF(J5799&lt;=2,"?ACTIVATED",IF(J5799&lt;&gt;"","?FAMILIAR",IF(F5799="NEW",IF(ISNA(VLOOKUP(E5799,#REF!,1,FALSE())),"?TYPE_IDENTIFIABLE","?REFERENTIAL"),"_")))))</f>
        <v> </v>
      </c>
      <c r="H5799" s="25" t="str">
        <f>IF(J5799&lt;&gt;1,"",IF(I5799="SBJ","CB","?"))</f>
        <v> </v>
      </c>
      <c r="I5799" s="26" t="str">
        <f>IF(OR(E5799="",E5799="!!!",F5799="NEW"),"",INDEX(B5798:B$2,-1+SUMPRODUCT(MAX(ROW(E5798:E$2)*(E5799=E5798:E$2)))))</f>
        <v> </v>
      </c>
      <c r="J5799" s="26" t="str">
        <f>IF(OR(E5799="",E5799="!!!",F5799="NEW"),"",COUNTBLANK(OFFSET(A$1,,,SUMPRODUCT(MAX(ROW(E$2:E5799)*(E5799=E$2:E5799)))))-COUNTBLANK(OFFSET(A$1,,,SUMPRODUCT(MAX(ROW(E$1:E5798)*(E2=E$1:E5798))))))</f>
        <v> </v>
      </c>
      <c r="K5799" s="26" t="str">
        <f>IF(OR(E5799="",E5799="!!!",F5799="NEW"),"",INDEX(J$1:J5798,SUMPRODUCT(MAX(ROW(E$1:E5798)*(E5799=E$1:E5798)))))</f>
        <v> </v>
      </c>
      <c r="L5799" s="27"/>
    </row>
    <row r="5800" spans="1:12">
      <c r="A5800" s="20" t="s">
        <v>970</v>
      </c>
      <c r="E5800" s="22">
        <f>IF(D5800="?OLD","!!!","")</f>
        <v/>
      </c>
      <c r="F5800" s="23" t="str">
        <f>IF(OR(E5800="",E5800="!!!"),"",IF(NOT(ISNA(VLOOKUP(E5800,E$1:E5799,1,FALSE()))),"OLD",IF(AND(E5800&lt;&gt;"",E5800&lt;&gt;"!!!"),"NEW","")))</f>
        <v> </v>
      </c>
      <c r="G5800" s="24" t="str">
        <f>IF(OR(E5800="",E5800="!!!"),"",IF(OR(J5800=0,AND(J5800=1,K5800=1),AND(J5800=1,I5800="SBJ"),AND(J5800=1,I5800=0)),"?IN_FOCUS",IF(J5800&lt;=2,"?ACTIVATED",IF(J5800&lt;&gt;"","?FAMILIAR",IF(F5800="NEW",IF(ISNA(VLOOKUP(E5800,#REF!,1,FALSE())),"?TYPE_IDENTIFIABLE","?REFERENTIAL"),"_")))))</f>
        <v> </v>
      </c>
      <c r="H5800" s="25" t="str">
        <f>IF(J5800&lt;&gt;1,"",IF(I5800="SBJ","CB","?"))</f>
        <v> </v>
      </c>
      <c r="I5800" s="26" t="str">
        <f>IF(OR(E5800="",E5800="!!!",F5800="NEW"),"",INDEX(B5799:B$2,-1+SUMPRODUCT(MAX(ROW(E5799:E$2)*(E5800=E5799:E$2)))))</f>
        <v> </v>
      </c>
      <c r="J5800" s="26" t="str">
        <f>IF(OR(E5800="",E5800="!!!",F5800="NEW"),"",COUNTBLANK(OFFSET(A$1,,,SUMPRODUCT(MAX(ROW(E$2:E5800)*(E5800=E$2:E5800)))))-COUNTBLANK(OFFSET(A$1,,,SUMPRODUCT(MAX(ROW(E$1:E5799)*(E2=E$1:E5799))))))</f>
        <v> </v>
      </c>
      <c r="K5800" s="26" t="str">
        <f>IF(OR(E5800="",E5800="!!!",F5800="NEW"),"",INDEX(J$1:J5799,SUMPRODUCT(MAX(ROW(E$1:E5799)*(E5800=E$1:E5799)))))</f>
        <v> </v>
      </c>
      <c r="L5800" s="27"/>
    </row>
    <row r="5801" spans="1:12">
      <c r="A5801" s="20" t="s">
        <v>1855</v>
      </c>
      <c r="B5801" s="21" t="s">
        <v>1091</v>
      </c>
      <c r="C5801" s="21" t="s">
        <v>1035</v>
      </c>
      <c r="D5801" s="21" t="s">
        <v>1011</v>
      </c>
      <c r="E5801" s="22">
        <f>IF(D5801="?OLD","!!!","")</f>
        <v/>
      </c>
      <c r="F5801" s="23" t="str">
        <f>IF(OR(E5801="",E5801="!!!"),"",IF(NOT(ISNA(VLOOKUP(E5801,E$1:E5800,1,FALSE()))),"OLD",IF(AND(E5801&lt;&gt;"",E5801&lt;&gt;"!!!"),"NEW","")))</f>
        <v> </v>
      </c>
      <c r="G5801" s="24" t="str">
        <f>IF(OR(E5801="",E5801="!!!"),"",IF(OR(J5801=0,AND(J5801=1,K5801=1),AND(J5801=1,I5801="SBJ"),AND(J5801=1,I5801=0)),"?IN_FOCUS",IF(J5801&lt;=2,"?ACTIVATED",IF(J5801&lt;&gt;"","?FAMILIAR",IF(F5801="NEW",IF(ISNA(VLOOKUP(E5801,#REF!,1,FALSE())),"?TYPE_IDENTIFIABLE","?REFERENTIAL"),"_")))))</f>
        <v> </v>
      </c>
      <c r="H5801" s="25" t="str">
        <f>IF(J5801&lt;&gt;1,"",IF(I5801="SBJ","CB","?"))</f>
        <v> </v>
      </c>
      <c r="I5801" s="26" t="str">
        <f>IF(OR(E5801="",E5801="!!!",F5801="NEW"),"",INDEX(B5800:B$2,-1+SUMPRODUCT(MAX(ROW(E5800:E$2)*(E5801=E5800:E$2)))))</f>
        <v> </v>
      </c>
      <c r="J5801" s="26" t="str">
        <f>IF(OR(E5801="",E5801="!!!",F5801="NEW"),"",COUNTBLANK(OFFSET(A$1,,,SUMPRODUCT(MAX(ROW(E$2:E5801)*(E5801=E$2:E5801)))))-COUNTBLANK(OFFSET(A$1,,,SUMPRODUCT(MAX(ROW(E$1:E5800)*(E2=E$1:E5800))))))</f>
        <v> </v>
      </c>
      <c r="K5801" s="26" t="str">
        <f>IF(OR(E5801="",E5801="!!!",F5801="NEW"),"",INDEX(J$1:J5800,SUMPRODUCT(MAX(ROW(E$1:E5800)*(E5801=E$1:E5800)))))</f>
        <v> </v>
      </c>
      <c r="L5801" s="27"/>
    </row>
    <row r="5802" spans="1:12">
      <c r="A5802" s="20" t="s">
        <v>2269</v>
      </c>
      <c r="B5802" s="21" t="s">
        <v>1142</v>
      </c>
      <c r="C5802" s="21" t="s">
        <v>1040</v>
      </c>
      <c r="D5802" s="21" t="s">
        <v>1011</v>
      </c>
      <c r="E5802" s="22">
        <f>IF(D5802="?OLD","!!!","")</f>
        <v/>
      </c>
      <c r="F5802" s="23" t="str">
        <f>IF(OR(E5802="",E5802="!!!"),"",IF(NOT(ISNA(VLOOKUP(E5802,E$1:E5801,1,FALSE()))),"OLD",IF(AND(E5802&lt;&gt;"",E5802&lt;&gt;"!!!"),"NEW","")))</f>
        <v> </v>
      </c>
      <c r="G5802" s="24" t="str">
        <f>IF(OR(E5802="",E5802="!!!"),"",IF(OR(J5802=0,AND(J5802=1,K5802=1),AND(J5802=1,I5802="SBJ"),AND(J5802=1,I5802=0)),"?IN_FOCUS",IF(J5802&lt;=2,"?ACTIVATED",IF(J5802&lt;&gt;"","?FAMILIAR",IF(F5802="NEW",IF(ISNA(VLOOKUP(E5802,#REF!,1,FALSE())),"?TYPE_IDENTIFIABLE","?REFERENTIAL"),"_")))))</f>
        <v> </v>
      </c>
      <c r="H5802" s="25" t="str">
        <f>IF(J5802&lt;&gt;1,"",IF(I5802="SBJ","CB","?"))</f>
        <v> </v>
      </c>
      <c r="I5802" s="26" t="str">
        <f>IF(OR(E5802="",E5802="!!!",F5802="NEW"),"",INDEX(B5801:B$2,-1+SUMPRODUCT(MAX(ROW(E5801:E$2)*(E5802=E5801:E$2)))))</f>
        <v> </v>
      </c>
      <c r="J5802" s="26" t="str">
        <f>IF(OR(E5802="",E5802="!!!",F5802="NEW"),"",COUNTBLANK(OFFSET(A$1,,,SUMPRODUCT(MAX(ROW(E$2:E5802)*(E5802=E$2:E5802)))))-COUNTBLANK(OFFSET(A$1,,,SUMPRODUCT(MAX(ROW(E$1:E5801)*(E2=E$1:E5801))))))</f>
        <v> </v>
      </c>
      <c r="K5802" s="26" t="str">
        <f>IF(OR(E5802="",E5802="!!!",F5802="NEW"),"",INDEX(J$1:J5801,SUMPRODUCT(MAX(ROW(E$1:E5801)*(E5802=E$1:E5801)))))</f>
        <v> </v>
      </c>
      <c r="L5802" s="27"/>
    </row>
    <row r="5803" spans="1:12">
      <c r="A5803" s="20" t="s">
        <v>1022</v>
      </c>
      <c r="E5803" s="22">
        <f>IF(D5803="?OLD","!!!","")</f>
        <v/>
      </c>
      <c r="F5803" s="23" t="str">
        <f>IF(OR(E5803="",E5803="!!!"),"",IF(NOT(ISNA(VLOOKUP(E5803,E$1:E5802,1,FALSE()))),"OLD",IF(AND(E5803&lt;&gt;"",E5803&lt;&gt;"!!!"),"NEW","")))</f>
        <v> </v>
      </c>
      <c r="G5803" s="24" t="str">
        <f>IF(OR(E5803="",E5803="!!!"),"",IF(OR(J5803=0,AND(J5803=1,K5803=1),AND(J5803=1,I5803="SBJ"),AND(J5803=1,I5803=0)),"?IN_FOCUS",IF(J5803&lt;=2,"?ACTIVATED",IF(J5803&lt;&gt;"","?FAMILIAR",IF(F5803="NEW",IF(ISNA(VLOOKUP(E5803,#REF!,1,FALSE())),"?TYPE_IDENTIFIABLE","?REFERENTIAL"),"_")))))</f>
        <v> </v>
      </c>
      <c r="H5803" s="25" t="str">
        <f>IF(J5803&lt;&gt;1,"",IF(I5803="SBJ","CB","?"))</f>
        <v> </v>
      </c>
      <c r="I5803" s="26" t="str">
        <f>IF(OR(E5803="",E5803="!!!",F5803="NEW"),"",INDEX(B5802:B$2,-1+SUMPRODUCT(MAX(ROW(E5802:E$2)*(E5803=E5802:E$2)))))</f>
        <v> </v>
      </c>
      <c r="J5803" s="26" t="str">
        <f>IF(OR(E5803="",E5803="!!!",F5803="NEW"),"",COUNTBLANK(OFFSET(A$1,,,SUMPRODUCT(MAX(ROW(E$2:E5803)*(E5803=E$2:E5803)))))-COUNTBLANK(OFFSET(A$1,,,SUMPRODUCT(MAX(ROW(E$1:E5802)*(E2=E$1:E5802))))))</f>
        <v> </v>
      </c>
      <c r="K5803" s="26" t="str">
        <f>IF(OR(E5803="",E5803="!!!",F5803="NEW"),"",INDEX(J$1:J5802,SUMPRODUCT(MAX(ROW(E$1:E5802)*(E5803=E$1:E5802)))))</f>
        <v> </v>
      </c>
      <c r="L5803" s="27"/>
    </row>
    <row r="5804" spans="1:12">
      <c r="A5804" s="20"/>
    </row>
    <row r="5805" spans="1:12">
      <c r="A5805" s="20" t="s">
        <v>2270</v>
      </c>
    </row>
    <row r="5806" spans="1:12">
      <c r="A5806" s="20" t="s">
        <v>1084</v>
      </c>
      <c r="E5806" s="22">
        <f>IF(D5806="?OLD","!!!","")</f>
        <v/>
      </c>
      <c r="F5806" s="23" t="str">
        <f>IF(OR(E5806="",E5806="!!!"),"",IF(NOT(ISNA(VLOOKUP(E5806,E$1:E5805,1,FALSE()))),"OLD",IF(AND(E5806&lt;&gt;"",E5806&lt;&gt;"!!!"),"NEW","")))</f>
        <v> </v>
      </c>
      <c r="G5806" s="24" t="str">
        <f>IF(OR(E5806="",E5806="!!!"),"",IF(OR(J5806=0,AND(J5806=1,K5806=1),AND(J5806=1,I5806="SBJ"),AND(J5806=1,I5806=0)),"?IN_FOCUS",IF(J5806&lt;=2,"?ACTIVATED",IF(J5806&lt;&gt;"","?FAMILIAR",IF(F5806="NEW",IF(ISNA(VLOOKUP(E5806,#REF!,1,FALSE())),"?TYPE_IDENTIFIABLE","?REFERENTIAL"),"_")))))</f>
        <v> </v>
      </c>
      <c r="H5806" s="25" t="str">
        <f>IF(J5806&lt;&gt;1,"",IF(I5806="SBJ","CB","?"))</f>
        <v> </v>
      </c>
      <c r="I5806" s="26" t="str">
        <f>IF(OR(E5806="",E5806="!!!",F5806="NEW"),"",INDEX(B5805:B$2,-1+SUMPRODUCT(MAX(ROW(E5805:E$2)*(E5806=E5805:E$2)))))</f>
        <v> </v>
      </c>
      <c r="J5806" s="26" t="str">
        <f>IF(OR(E5806="",E5806="!!!",F5806="NEW"),"",COUNTBLANK(OFFSET(A$1,,,SUMPRODUCT(MAX(ROW(E$2:E5806)*(E5806=E$2:E5806)))))-COUNTBLANK(OFFSET(A$1,,,SUMPRODUCT(MAX(ROW(E$1:E5805)*(E2=E$1:E5805))))))</f>
        <v> </v>
      </c>
      <c r="K5806" s="26" t="str">
        <f>IF(OR(E5806="",E5806="!!!",F5806="NEW"),"",INDEX(J$1:J5805,SUMPRODUCT(MAX(ROW(E$1:E5805)*(E5806=E$1:E5805)))))</f>
        <v> </v>
      </c>
      <c r="L5806" s="27"/>
    </row>
    <row r="5807" spans="1:12">
      <c r="A5807" s="20" t="s">
        <v>2271</v>
      </c>
      <c r="B5807" s="21" t="s">
        <v>1009</v>
      </c>
      <c r="C5807" s="21" t="s">
        <v>1044</v>
      </c>
      <c r="D5807" s="21" t="s">
        <v>1011</v>
      </c>
      <c r="E5807" s="22">
        <f>IF(D5807="?OLD","!!!","")</f>
        <v/>
      </c>
      <c r="F5807" s="23" t="str">
        <f>IF(OR(E5807="",E5807="!!!"),"",IF(NOT(ISNA(VLOOKUP(E5807,E$1:E5806,1,FALSE()))),"OLD",IF(AND(E5807&lt;&gt;"",E5807&lt;&gt;"!!!"),"NEW","")))</f>
        <v> </v>
      </c>
      <c r="G5807" s="24" t="str">
        <f>IF(OR(E5807="",E5807="!!!"),"",IF(OR(J5807=0,AND(J5807=1,K5807=1),AND(J5807=1,I5807="SBJ"),AND(J5807=1,I5807=0)),"?IN_FOCUS",IF(J5807&lt;=2,"?ACTIVATED",IF(J5807&lt;&gt;"","?FAMILIAR",IF(F5807="NEW",IF(ISNA(VLOOKUP(E5807,#REF!,1,FALSE())),"?TYPE_IDENTIFIABLE","?REFERENTIAL"),"_")))))</f>
        <v> </v>
      </c>
      <c r="H5807" s="25" t="str">
        <f>IF(J5807&lt;&gt;1,"",IF(I5807="SBJ","CB","?"))</f>
        <v> </v>
      </c>
      <c r="I5807" s="26" t="str">
        <f>IF(OR(E5807="",E5807="!!!",F5807="NEW"),"",INDEX(B5806:B$2,-1+SUMPRODUCT(MAX(ROW(E5806:E$2)*(E5807=E5806:E$2)))))</f>
        <v> </v>
      </c>
      <c r="J5807" s="26" t="str">
        <f>IF(OR(E5807="",E5807="!!!",F5807="NEW"),"",COUNTBLANK(OFFSET(A$1,,,SUMPRODUCT(MAX(ROW(E$2:E5807)*(E5807=E$2:E5807)))))-COUNTBLANK(OFFSET(A$1,,,SUMPRODUCT(MAX(ROW(E$1:E5806)*(E2=E$1:E5806))))))</f>
        <v> </v>
      </c>
      <c r="K5807" s="26" t="str">
        <f>IF(OR(E5807="",E5807="!!!",F5807="NEW"),"",INDEX(J$1:J5806,SUMPRODUCT(MAX(ROW(E$1:E5806)*(E5807=E$1:E5806)))))</f>
        <v> </v>
      </c>
      <c r="L5807" s="27"/>
    </row>
    <row r="5808" spans="1:12">
      <c r="A5808" s="20" t="s">
        <v>1045</v>
      </c>
      <c r="E5808" s="22">
        <f>IF(D5808="?OLD","!!!","")</f>
        <v/>
      </c>
      <c r="F5808" s="23" t="str">
        <f>IF(OR(E5808="",E5808="!!!"),"",IF(NOT(ISNA(VLOOKUP(E5808,E$1:E5807,1,FALSE()))),"OLD",IF(AND(E5808&lt;&gt;"",E5808&lt;&gt;"!!!"),"NEW","")))</f>
        <v> </v>
      </c>
      <c r="G5808" s="24" t="str">
        <f>IF(OR(E5808="",E5808="!!!"),"",IF(OR(J5808=0,AND(J5808=1,K5808=1),AND(J5808=1,I5808="SBJ"),AND(J5808=1,I5808=0)),"?IN_FOCUS",IF(J5808&lt;=2,"?ACTIVATED",IF(J5808&lt;&gt;"","?FAMILIAR",IF(F5808="NEW",IF(ISNA(VLOOKUP(E5808,#REF!,1,FALSE())),"?TYPE_IDENTIFIABLE","?REFERENTIAL"),"_")))))</f>
        <v> </v>
      </c>
      <c r="H5808" s="25" t="str">
        <f>IF(J5808&lt;&gt;1,"",IF(I5808="SBJ","CB","?"))</f>
        <v> </v>
      </c>
      <c r="I5808" s="26" t="str">
        <f>IF(OR(E5808="",E5808="!!!",F5808="NEW"),"",INDEX(B5807:B$2,-1+SUMPRODUCT(MAX(ROW(E5807:E$2)*(E5808=E5807:E$2)))))</f>
        <v> </v>
      </c>
      <c r="J5808" s="26" t="str">
        <f>IF(OR(E5808="",E5808="!!!",F5808="NEW"),"",COUNTBLANK(OFFSET(A$1,,,SUMPRODUCT(MAX(ROW(E$2:E5808)*(E5808=E$2:E5808)))))-COUNTBLANK(OFFSET(A$1,,,SUMPRODUCT(MAX(ROW(E$1:E5807)*(E2=E$1:E5807))))))</f>
        <v> </v>
      </c>
      <c r="K5808" s="26" t="str">
        <f>IF(OR(E5808="",E5808="!!!",F5808="NEW"),"",INDEX(J$1:J5807,SUMPRODUCT(MAX(ROW(E$1:E5807)*(E5808=E$1:E5807)))))</f>
        <v> </v>
      </c>
      <c r="L5808" s="27"/>
    </row>
    <row r="5809" spans="1:12">
      <c r="A5809" s="20" t="s">
        <v>1127</v>
      </c>
      <c r="E5809" s="22">
        <f>IF(D5809="?OLD","!!!","")</f>
        <v/>
      </c>
      <c r="F5809" s="23" t="str">
        <f>IF(OR(E5809="",E5809="!!!"),"",IF(NOT(ISNA(VLOOKUP(E5809,E$1:E5808,1,FALSE()))),"OLD",IF(AND(E5809&lt;&gt;"",E5809&lt;&gt;"!!!"),"NEW","")))</f>
        <v> </v>
      </c>
      <c r="G5809" s="24" t="str">
        <f>IF(OR(E5809="",E5809="!!!"),"",IF(OR(J5809=0,AND(J5809=1,K5809=1),AND(J5809=1,I5809="SBJ"),AND(J5809=1,I5809=0)),"?IN_FOCUS",IF(J5809&lt;=2,"?ACTIVATED",IF(J5809&lt;&gt;"","?FAMILIAR",IF(F5809="NEW",IF(ISNA(VLOOKUP(E5809,#REF!,1,FALSE())),"?TYPE_IDENTIFIABLE","?REFERENTIAL"),"_")))))</f>
        <v> </v>
      </c>
      <c r="H5809" s="25" t="str">
        <f>IF(J5809&lt;&gt;1,"",IF(I5809="SBJ","CB","?"))</f>
        <v> </v>
      </c>
      <c r="I5809" s="26" t="str">
        <f>IF(OR(E5809="",E5809="!!!",F5809="NEW"),"",INDEX(B5808:B$2,-1+SUMPRODUCT(MAX(ROW(E5808:E$2)*(E5809=E5808:E$2)))))</f>
        <v> </v>
      </c>
      <c r="J5809" s="26" t="str">
        <f>IF(OR(E5809="",E5809="!!!",F5809="NEW"),"",COUNTBLANK(OFFSET(A$1,,,SUMPRODUCT(MAX(ROW(E$2:E5809)*(E5809=E$2:E5809)))))-COUNTBLANK(OFFSET(A$1,,,SUMPRODUCT(MAX(ROW(E$1:E5808)*(E2=E$1:E5808))))))</f>
        <v> </v>
      </c>
      <c r="K5809" s="26" t="str">
        <f>IF(OR(E5809="",E5809="!!!",F5809="NEW"),"",INDEX(J$1:J5808,SUMPRODUCT(MAX(ROW(E$1:E5808)*(E5809=E$1:E5808)))))</f>
        <v> </v>
      </c>
      <c r="L5809" s="27"/>
    </row>
    <row r="5810" spans="1:12">
      <c r="A5810" s="20" t="s">
        <v>1025</v>
      </c>
      <c r="E5810" s="22">
        <f>IF(D5810="?OLD","!!!","")</f>
        <v/>
      </c>
      <c r="F5810" s="23" t="str">
        <f>IF(OR(E5810="",E5810="!!!"),"",IF(NOT(ISNA(VLOOKUP(E5810,E$1:E5809,1,FALSE()))),"OLD",IF(AND(E5810&lt;&gt;"",E5810&lt;&gt;"!!!"),"NEW","")))</f>
        <v> </v>
      </c>
      <c r="G5810" s="24" t="str">
        <f>IF(OR(E5810="",E5810="!!!"),"",IF(OR(J5810=0,AND(J5810=1,K5810=1),AND(J5810=1,I5810="SBJ"),AND(J5810=1,I5810=0)),"?IN_FOCUS",IF(J5810&lt;=2,"?ACTIVATED",IF(J5810&lt;&gt;"","?FAMILIAR",IF(F5810="NEW",IF(ISNA(VLOOKUP(E5810,#REF!,1,FALSE())),"?TYPE_IDENTIFIABLE","?REFERENTIAL"),"_")))))</f>
        <v> </v>
      </c>
      <c r="H5810" s="25" t="str">
        <f>IF(J5810&lt;&gt;1,"",IF(I5810="SBJ","CB","?"))</f>
        <v> </v>
      </c>
      <c r="I5810" s="26" t="str">
        <f>IF(OR(E5810="",E5810="!!!",F5810="NEW"),"",INDEX(B5809:B$2,-1+SUMPRODUCT(MAX(ROW(E5809:E$2)*(E5810=E5809:E$2)))))</f>
        <v> </v>
      </c>
      <c r="J5810" s="26" t="str">
        <f>IF(OR(E5810="",E5810="!!!",F5810="NEW"),"",COUNTBLANK(OFFSET(A$1,,,SUMPRODUCT(MAX(ROW(E$2:E5810)*(E5810=E$2:E5810)))))-COUNTBLANK(OFFSET(A$1,,,SUMPRODUCT(MAX(ROW(E$1:E5809)*(E2=E$1:E5809))))))</f>
        <v> </v>
      </c>
      <c r="K5810" s="26" t="str">
        <f>IF(OR(E5810="",E5810="!!!",F5810="NEW"),"",INDEX(J$1:J5809,SUMPRODUCT(MAX(ROW(E$1:E5809)*(E5810=E$1:E5809)))))</f>
        <v> </v>
      </c>
      <c r="L5810" s="27"/>
    </row>
    <row r="5811" spans="1:12">
      <c r="A5811" s="20" t="s">
        <v>1058</v>
      </c>
      <c r="E5811" s="22">
        <f>IF(D5811="?OLD","!!!","")</f>
        <v/>
      </c>
      <c r="F5811" s="23" t="str">
        <f>IF(OR(E5811="",E5811="!!!"),"",IF(NOT(ISNA(VLOOKUP(E5811,E$1:E5810,1,FALSE()))),"OLD",IF(AND(E5811&lt;&gt;"",E5811&lt;&gt;"!!!"),"NEW","")))</f>
        <v> </v>
      </c>
      <c r="G5811" s="24" t="str">
        <f>IF(OR(E5811="",E5811="!!!"),"",IF(OR(J5811=0,AND(J5811=1,K5811=1),AND(J5811=1,I5811="SBJ"),AND(J5811=1,I5811=0)),"?IN_FOCUS",IF(J5811&lt;=2,"?ACTIVATED",IF(J5811&lt;&gt;"","?FAMILIAR",IF(F5811="NEW",IF(ISNA(VLOOKUP(E5811,#REF!,1,FALSE())),"?TYPE_IDENTIFIABLE","?REFERENTIAL"),"_")))))</f>
        <v> </v>
      </c>
      <c r="H5811" s="25" t="str">
        <f>IF(J5811&lt;&gt;1,"",IF(I5811="SBJ","CB","?"))</f>
        <v> </v>
      </c>
      <c r="I5811" s="26" t="str">
        <f>IF(OR(E5811="",E5811="!!!",F5811="NEW"),"",INDEX(B5810:B$2,-1+SUMPRODUCT(MAX(ROW(E5810:E$2)*(E5811=E5810:E$2)))))</f>
        <v> </v>
      </c>
      <c r="J5811" s="26" t="str">
        <f>IF(OR(E5811="",E5811="!!!",F5811="NEW"),"",COUNTBLANK(OFFSET(A$1,,,SUMPRODUCT(MAX(ROW(E$2:E5811)*(E5811=E$2:E5811)))))-COUNTBLANK(OFFSET(A$1,,,SUMPRODUCT(MAX(ROW(E$1:E5810)*(E2=E$1:E5810))))))</f>
        <v> </v>
      </c>
      <c r="K5811" s="26" t="str">
        <f>IF(OR(E5811="",E5811="!!!",F5811="NEW"),"",INDEX(J$1:J5810,SUMPRODUCT(MAX(ROW(E$1:E5810)*(E5811=E$1:E5810)))))</f>
        <v> </v>
      </c>
      <c r="L5811" s="27"/>
    </row>
    <row r="5812" spans="1:12">
      <c r="A5812" s="20" t="s">
        <v>1059</v>
      </c>
      <c r="E5812" s="22">
        <f>IF(D5812="?OLD","!!!","")</f>
        <v/>
      </c>
      <c r="F5812" s="23" t="str">
        <f>IF(OR(E5812="",E5812="!!!"),"",IF(NOT(ISNA(VLOOKUP(E5812,E$1:E5811,1,FALSE()))),"OLD",IF(AND(E5812&lt;&gt;"",E5812&lt;&gt;"!!!"),"NEW","")))</f>
        <v> </v>
      </c>
      <c r="G5812" s="24" t="str">
        <f>IF(OR(E5812="",E5812="!!!"),"",IF(OR(J5812=0,AND(J5812=1,K5812=1),AND(J5812=1,I5812="SBJ"),AND(J5812=1,I5812=0)),"?IN_FOCUS",IF(J5812&lt;=2,"?ACTIVATED",IF(J5812&lt;&gt;"","?FAMILIAR",IF(F5812="NEW",IF(ISNA(VLOOKUP(E5812,#REF!,1,FALSE())),"?TYPE_IDENTIFIABLE","?REFERENTIAL"),"_")))))</f>
        <v> </v>
      </c>
      <c r="H5812" s="25" t="str">
        <f>IF(J5812&lt;&gt;1,"",IF(I5812="SBJ","CB","?"))</f>
        <v> </v>
      </c>
      <c r="I5812" s="26" t="str">
        <f>IF(OR(E5812="",E5812="!!!",F5812="NEW"),"",INDEX(B5811:B$2,-1+SUMPRODUCT(MAX(ROW(E5811:E$2)*(E5812=E5811:E$2)))))</f>
        <v> </v>
      </c>
      <c r="J5812" s="26" t="str">
        <f>IF(OR(E5812="",E5812="!!!",F5812="NEW"),"",COUNTBLANK(OFFSET(A$1,,,SUMPRODUCT(MAX(ROW(E$2:E5812)*(E5812=E$2:E5812)))))-COUNTBLANK(OFFSET(A$1,,,SUMPRODUCT(MAX(ROW(E$1:E5811)*(E2=E$1:E5811))))))</f>
        <v> </v>
      </c>
      <c r="K5812" s="26" t="str">
        <f>IF(OR(E5812="",E5812="!!!",F5812="NEW"),"",INDEX(J$1:J5811,SUMPRODUCT(MAX(ROW(E$1:E5811)*(E5812=E$1:E5811)))))</f>
        <v> </v>
      </c>
      <c r="L5812" s="27"/>
    </row>
    <row r="5813" spans="1:12">
      <c r="A5813" s="20" t="s">
        <v>1022</v>
      </c>
      <c r="E5813" s="22">
        <f>IF(D5813="?OLD","!!!","")</f>
        <v/>
      </c>
      <c r="F5813" s="23" t="str">
        <f>IF(OR(E5813="",E5813="!!!"),"",IF(NOT(ISNA(VLOOKUP(E5813,E$1:E5812,1,FALSE()))),"OLD",IF(AND(E5813&lt;&gt;"",E5813&lt;&gt;"!!!"),"NEW","")))</f>
        <v> </v>
      </c>
      <c r="G5813" s="24" t="str">
        <f>IF(OR(E5813="",E5813="!!!"),"",IF(OR(J5813=0,AND(J5813=1,K5813=1),AND(J5813=1,I5813="SBJ"),AND(J5813=1,I5813=0)),"?IN_FOCUS",IF(J5813&lt;=2,"?ACTIVATED",IF(J5813&lt;&gt;"","?FAMILIAR",IF(F5813="NEW",IF(ISNA(VLOOKUP(E5813,#REF!,1,FALSE())),"?TYPE_IDENTIFIABLE","?REFERENTIAL"),"_")))))</f>
        <v> </v>
      </c>
      <c r="H5813" s="25" t="str">
        <f>IF(J5813&lt;&gt;1,"",IF(I5813="SBJ","CB","?"))</f>
        <v> </v>
      </c>
      <c r="I5813" s="26" t="str">
        <f>IF(OR(E5813="",E5813="!!!",F5813="NEW"),"",INDEX(B5812:B$2,-1+SUMPRODUCT(MAX(ROW(E5812:E$2)*(E5813=E5812:E$2)))))</f>
        <v> </v>
      </c>
      <c r="J5813" s="26" t="str">
        <f>IF(OR(E5813="",E5813="!!!",F5813="NEW"),"",COUNTBLANK(OFFSET(A$1,,,SUMPRODUCT(MAX(ROW(E$2:E5813)*(E5813=E$2:E5813)))))-COUNTBLANK(OFFSET(A$1,,,SUMPRODUCT(MAX(ROW(E$1:E5812)*(E2=E$1:E5812))))))</f>
        <v> </v>
      </c>
      <c r="K5813" s="26" t="str">
        <f>IF(OR(E5813="",E5813="!!!",F5813="NEW"),"",INDEX(J$1:J5812,SUMPRODUCT(MAX(ROW(E$1:E5812)*(E5813=E$1:E5812)))))</f>
        <v> </v>
      </c>
      <c r="L5813" s="27"/>
    </row>
    <row r="5814" spans="1:12">
      <c r="A5814" s="20"/>
    </row>
    <row r="5815" spans="1:12">
      <c r="A5815" s="20" t="s">
        <v>2272</v>
      </c>
    </row>
    <row r="5816" spans="1:12">
      <c r="A5816" s="20" t="s">
        <v>1024</v>
      </c>
      <c r="E5816" s="22">
        <f>IF(D5816="?OLD","!!!","")</f>
        <v/>
      </c>
      <c r="F5816" s="23" t="str">
        <f>IF(OR(E5816="",E5816="!!!"),"",IF(NOT(ISNA(VLOOKUP(E5816,E$1:E5815,1,FALSE()))),"OLD",IF(AND(E5816&lt;&gt;"",E5816&lt;&gt;"!!!"),"NEW","")))</f>
        <v> </v>
      </c>
      <c r="G5816" s="24" t="str">
        <f>IF(OR(E5816="",E5816="!!!"),"",IF(OR(J5816=0,AND(J5816=1,K5816=1),AND(J5816=1,I5816="SBJ"),AND(J5816=1,I5816=0)),"?IN_FOCUS",IF(J5816&lt;=2,"?ACTIVATED",IF(J5816&lt;&gt;"","?FAMILIAR",IF(F5816="NEW",IF(ISNA(VLOOKUP(E5816,#REF!,1,FALSE())),"?TYPE_IDENTIFIABLE","?REFERENTIAL"),"_")))))</f>
        <v> </v>
      </c>
      <c r="H5816" s="25" t="str">
        <f>IF(J5816&lt;&gt;1,"",IF(I5816="SBJ","CB","?"))</f>
        <v> </v>
      </c>
      <c r="I5816" s="26" t="str">
        <f>IF(OR(E5816="",E5816="!!!",F5816="NEW"),"",INDEX(B5815:B$2,-1+SUMPRODUCT(MAX(ROW(E5815:E$2)*(E5816=E5815:E$2)))))</f>
        <v> </v>
      </c>
      <c r="J5816" s="26" t="str">
        <f>IF(OR(E5816="",E5816="!!!",F5816="NEW"),"",COUNTBLANK(OFFSET(A$1,,,SUMPRODUCT(MAX(ROW(E$2:E5816)*(E5816=E$2:E5816)))))-COUNTBLANK(OFFSET(A$1,,,SUMPRODUCT(MAX(ROW(E$1:E5815)*(E2=E$1:E5815))))))</f>
        <v> </v>
      </c>
      <c r="K5816" s="26" t="str">
        <f>IF(OR(E5816="",E5816="!!!",F5816="NEW"),"",INDEX(J$1:J5815,SUMPRODUCT(MAX(ROW(E$1:E5815)*(E5816=E$1:E5815)))))</f>
        <v> </v>
      </c>
      <c r="L5816" s="27"/>
    </row>
    <row r="5817" spans="1:12">
      <c r="A5817" s="20" t="s">
        <v>1166</v>
      </c>
      <c r="E5817" s="22">
        <f>IF(D5817="?OLD","!!!","")</f>
        <v/>
      </c>
      <c r="F5817" s="23" t="str">
        <f>IF(OR(E5817="",E5817="!!!"),"",IF(NOT(ISNA(VLOOKUP(E5817,E$1:E5816,1,FALSE()))),"OLD",IF(AND(E5817&lt;&gt;"",E5817&lt;&gt;"!!!"),"NEW","")))</f>
        <v> </v>
      </c>
      <c r="G5817" s="24" t="str">
        <f>IF(OR(E5817="",E5817="!!!"),"",IF(OR(J5817=0,AND(J5817=1,K5817=1),AND(J5817=1,I5817="SBJ"),AND(J5817=1,I5817=0)),"?IN_FOCUS",IF(J5817&lt;=2,"?ACTIVATED",IF(J5817&lt;&gt;"","?FAMILIAR",IF(F5817="NEW",IF(ISNA(VLOOKUP(E5817,#REF!,1,FALSE())),"?TYPE_IDENTIFIABLE","?REFERENTIAL"),"_")))))</f>
        <v> </v>
      </c>
      <c r="H5817" s="25" t="str">
        <f>IF(J5817&lt;&gt;1,"",IF(I5817="SBJ","CB","?"))</f>
        <v> </v>
      </c>
      <c r="I5817" s="26" t="str">
        <f>IF(OR(E5817="",E5817="!!!",F5817="NEW"),"",INDEX(B5816:B$2,-1+SUMPRODUCT(MAX(ROW(E5816:E$2)*(E5817=E5816:E$2)))))</f>
        <v> </v>
      </c>
      <c r="J5817" s="26" t="str">
        <f>IF(OR(E5817="",E5817="!!!",F5817="NEW"),"",COUNTBLANK(OFFSET(A$1,,,SUMPRODUCT(MAX(ROW(E$2:E5817)*(E5817=E$2:E5817)))))-COUNTBLANK(OFFSET(A$1,,,SUMPRODUCT(MAX(ROW(E$1:E5816)*(E2=E$1:E5816))))))</f>
        <v> </v>
      </c>
      <c r="K5817" s="26" t="str">
        <f>IF(OR(E5817="",E5817="!!!",F5817="NEW"),"",INDEX(J$1:J5816,SUMPRODUCT(MAX(ROW(E$1:E5816)*(E5817=E$1:E5816)))))</f>
        <v> </v>
      </c>
      <c r="L5817" s="27"/>
    </row>
    <row r="5818" spans="1:12">
      <c r="A5818" s="20" t="s">
        <v>2236</v>
      </c>
      <c r="B5818" s="21" t="s">
        <v>1009</v>
      </c>
      <c r="C5818" s="21" t="s">
        <v>1165</v>
      </c>
      <c r="D5818" s="21" t="s">
        <v>1011</v>
      </c>
      <c r="E5818" s="22">
        <f>IF(D5818="?OLD","!!!","")</f>
        <v/>
      </c>
      <c r="F5818" s="23" t="str">
        <f>IF(OR(E5818="",E5818="!!!"),"",IF(NOT(ISNA(VLOOKUP(E5818,E$1:E5817,1,FALSE()))),"OLD",IF(AND(E5818&lt;&gt;"",E5818&lt;&gt;"!!!"),"NEW","")))</f>
        <v> </v>
      </c>
      <c r="G5818" s="24" t="str">
        <f>IF(OR(E5818="",E5818="!!!"),"",IF(OR(J5818=0,AND(J5818=1,K5818=1),AND(J5818=1,I5818="SBJ"),AND(J5818=1,I5818=0)),"?IN_FOCUS",IF(J5818&lt;=2,"?ACTIVATED",IF(J5818&lt;&gt;"","?FAMILIAR",IF(F5818="NEW",IF(ISNA(VLOOKUP(E5818,#REF!,1,FALSE())),"?TYPE_IDENTIFIABLE","?REFERENTIAL"),"_")))))</f>
        <v> </v>
      </c>
      <c r="H5818" s="25" t="str">
        <f>IF(J5818&lt;&gt;1,"",IF(I5818="SBJ","CB","?"))</f>
        <v> </v>
      </c>
      <c r="I5818" s="26" t="str">
        <f>IF(OR(E5818="",E5818="!!!",F5818="NEW"),"",INDEX(B5817:B$2,-1+SUMPRODUCT(MAX(ROW(E5817:E$2)*(E5818=E5817:E$2)))))</f>
        <v> </v>
      </c>
      <c r="J5818" s="26" t="str">
        <f>IF(OR(E5818="",E5818="!!!",F5818="NEW"),"",COUNTBLANK(OFFSET(A$1,,,SUMPRODUCT(MAX(ROW(E$2:E5818)*(E5818=E$2:E5818)))))-COUNTBLANK(OFFSET(A$1,,,SUMPRODUCT(MAX(ROW(E$1:E5817)*(E2=E$1:E5817))))))</f>
        <v> </v>
      </c>
      <c r="K5818" s="26" t="str">
        <f>IF(OR(E5818="",E5818="!!!",F5818="NEW"),"",INDEX(J$1:J5817,SUMPRODUCT(MAX(ROW(E$1:E5817)*(E5818=E$1:E5817)))))</f>
        <v> </v>
      </c>
      <c r="L5818" s="27"/>
    </row>
    <row r="5819" spans="1:12">
      <c r="A5819" s="20" t="s">
        <v>1150</v>
      </c>
      <c r="E5819" s="22">
        <f>IF(D5819="?OLD","!!!","")</f>
        <v/>
      </c>
      <c r="F5819" s="23" t="str">
        <f>IF(OR(E5819="",E5819="!!!"),"",IF(NOT(ISNA(VLOOKUP(E5819,E$1:E5818,1,FALSE()))),"OLD",IF(AND(E5819&lt;&gt;"",E5819&lt;&gt;"!!!"),"NEW","")))</f>
        <v> </v>
      </c>
      <c r="G5819" s="24" t="str">
        <f>IF(OR(E5819="",E5819="!!!"),"",IF(OR(J5819=0,AND(J5819=1,K5819=1),AND(J5819=1,I5819="SBJ"),AND(J5819=1,I5819=0)),"?IN_FOCUS",IF(J5819&lt;=2,"?ACTIVATED",IF(J5819&lt;&gt;"","?FAMILIAR",IF(F5819="NEW",IF(ISNA(VLOOKUP(E5819,#REF!,1,FALSE())),"?TYPE_IDENTIFIABLE","?REFERENTIAL"),"_")))))</f>
        <v> </v>
      </c>
      <c r="H5819" s="25" t="str">
        <f>IF(J5819&lt;&gt;1,"",IF(I5819="SBJ","CB","?"))</f>
        <v> </v>
      </c>
      <c r="I5819" s="26" t="str">
        <f>IF(OR(E5819="",E5819="!!!",F5819="NEW"),"",INDEX(B5818:B$2,-1+SUMPRODUCT(MAX(ROW(E5818:E$2)*(E5819=E5818:E$2)))))</f>
        <v> </v>
      </c>
      <c r="J5819" s="26" t="str">
        <f>IF(OR(E5819="",E5819="!!!",F5819="NEW"),"",COUNTBLANK(OFFSET(A$1,,,SUMPRODUCT(MAX(ROW(E$2:E5819)*(E5819=E$2:E5819)))))-COUNTBLANK(OFFSET(A$1,,,SUMPRODUCT(MAX(ROW(E$1:E5818)*(E2=E$1:E5818))))))</f>
        <v> </v>
      </c>
      <c r="K5819" s="26" t="str">
        <f>IF(OR(E5819="",E5819="!!!",F5819="NEW"),"",INDEX(J$1:J5818,SUMPRODUCT(MAX(ROW(E$1:E5818)*(E5819=E$1:E5818)))))</f>
        <v> </v>
      </c>
      <c r="L5819" s="27"/>
    </row>
    <row r="5820" spans="1:12">
      <c r="A5820" s="20" t="s">
        <v>1908</v>
      </c>
      <c r="E5820" s="22">
        <f>IF(D5820="?OLD","!!!","")</f>
        <v/>
      </c>
      <c r="F5820" s="23" t="str">
        <f>IF(OR(E5820="",E5820="!!!"),"",IF(NOT(ISNA(VLOOKUP(E5820,E$1:E5819,1,FALSE()))),"OLD",IF(AND(E5820&lt;&gt;"",E5820&lt;&gt;"!!!"),"NEW","")))</f>
        <v> </v>
      </c>
      <c r="G5820" s="24" t="str">
        <f>IF(OR(E5820="",E5820="!!!"),"",IF(OR(J5820=0,AND(J5820=1,K5820=1),AND(J5820=1,I5820="SBJ"),AND(J5820=1,I5820=0)),"?IN_FOCUS",IF(J5820&lt;=2,"?ACTIVATED",IF(J5820&lt;&gt;"","?FAMILIAR",IF(F5820="NEW",IF(ISNA(VLOOKUP(E5820,#REF!,1,FALSE())),"?TYPE_IDENTIFIABLE","?REFERENTIAL"),"_")))))</f>
        <v> </v>
      </c>
      <c r="H5820" s="25" t="str">
        <f>IF(J5820&lt;&gt;1,"",IF(I5820="SBJ","CB","?"))</f>
        <v> </v>
      </c>
      <c r="I5820" s="26" t="str">
        <f>IF(OR(E5820="",E5820="!!!",F5820="NEW"),"",INDEX(B5819:B$2,-1+SUMPRODUCT(MAX(ROW(E5819:E$2)*(E5820=E5819:E$2)))))</f>
        <v> </v>
      </c>
      <c r="J5820" s="26" t="str">
        <f>IF(OR(E5820="",E5820="!!!",F5820="NEW"),"",COUNTBLANK(OFFSET(A$1,,,SUMPRODUCT(MAX(ROW(E$2:E5820)*(E5820=E$2:E5820)))))-COUNTBLANK(OFFSET(A$1,,,SUMPRODUCT(MAX(ROW(E$1:E5819)*(E2=E$1:E5819))))))</f>
        <v> </v>
      </c>
      <c r="K5820" s="26" t="str">
        <f>IF(OR(E5820="",E5820="!!!",F5820="NEW"),"",INDEX(J$1:J5819,SUMPRODUCT(MAX(ROW(E$1:E5819)*(E5820=E$1:E5819)))))</f>
        <v> </v>
      </c>
      <c r="L5820" s="27"/>
    </row>
    <row r="5821" spans="1:12">
      <c r="A5821" s="20" t="s">
        <v>1022</v>
      </c>
      <c r="E5821" s="22">
        <f>IF(D5821="?OLD","!!!","")</f>
        <v/>
      </c>
      <c r="F5821" s="23" t="str">
        <f>IF(OR(E5821="",E5821="!!!"),"",IF(NOT(ISNA(VLOOKUP(E5821,E$1:E5820,1,FALSE()))),"OLD",IF(AND(E5821&lt;&gt;"",E5821&lt;&gt;"!!!"),"NEW","")))</f>
        <v> </v>
      </c>
      <c r="G5821" s="24" t="str">
        <f>IF(OR(E5821="",E5821="!!!"),"",IF(OR(J5821=0,AND(J5821=1,K5821=1),AND(J5821=1,I5821="SBJ"),AND(J5821=1,I5821=0)),"?IN_FOCUS",IF(J5821&lt;=2,"?ACTIVATED",IF(J5821&lt;&gt;"","?FAMILIAR",IF(F5821="NEW",IF(ISNA(VLOOKUP(E5821,#REF!,1,FALSE())),"?TYPE_IDENTIFIABLE","?REFERENTIAL"),"_")))))</f>
        <v> </v>
      </c>
      <c r="H5821" s="25" t="str">
        <f>IF(J5821&lt;&gt;1,"",IF(I5821="SBJ","CB","?"))</f>
        <v> </v>
      </c>
      <c r="I5821" s="26" t="str">
        <f>IF(OR(E5821="",E5821="!!!",F5821="NEW"),"",INDEX(B5820:B$2,-1+SUMPRODUCT(MAX(ROW(E5820:E$2)*(E5821=E5820:E$2)))))</f>
        <v> </v>
      </c>
      <c r="J5821" s="26" t="str">
        <f>IF(OR(E5821="",E5821="!!!",F5821="NEW"),"",COUNTBLANK(OFFSET(A$1,,,SUMPRODUCT(MAX(ROW(E$2:E5821)*(E5821=E$2:E5821)))))-COUNTBLANK(OFFSET(A$1,,,SUMPRODUCT(MAX(ROW(E$1:E5820)*(E2=E$1:E5820))))))</f>
        <v> </v>
      </c>
      <c r="K5821" s="26" t="str">
        <f>IF(OR(E5821="",E5821="!!!",F5821="NEW"),"",INDEX(J$1:J5820,SUMPRODUCT(MAX(ROW(E$1:E5820)*(E5821=E$1:E5820)))))</f>
        <v> </v>
      </c>
      <c r="L5821" s="27"/>
    </row>
    <row r="5822" spans="1:12">
      <c r="A5822" s="20"/>
    </row>
    <row r="5823" spans="1:12">
      <c r="A5823" s="20" t="s">
        <v>1264</v>
      </c>
      <c r="E5823" s="22">
        <f>IF(D5823="?OLD","!!!","")</f>
        <v/>
      </c>
      <c r="F5823" s="23" t="str">
        <f>IF(OR(E5823="",E5823="!!!"),"",IF(NOT(ISNA(VLOOKUP(E5823,E$1:E5822,1,FALSE()))),"OLD",IF(AND(E5823&lt;&gt;"",E5823&lt;&gt;"!!!"),"NEW","")))</f>
        <v> </v>
      </c>
      <c r="G5823" s="24" t="str">
        <f>IF(OR(E5823="",E5823="!!!"),"",IF(OR(J5823=0,AND(J5823=1,K5823=1),AND(J5823=1,I5823="SBJ"),AND(J5823=1,I5823=0)),"?IN_FOCUS",IF(J5823&lt;=2,"?ACTIVATED",IF(J5823&lt;&gt;"","?FAMILIAR",IF(F5823="NEW",IF(ISNA(VLOOKUP(E5823,#REF!,1,FALSE())),"?TYPE_IDENTIFIABLE","?REFERENTIAL"),"_")))))</f>
        <v> </v>
      </c>
      <c r="H5823" s="25" t="str">
        <f>IF(J5823&lt;&gt;1,"",IF(I5823="SBJ","CB","?"))</f>
        <v> </v>
      </c>
      <c r="I5823" s="26" t="str">
        <f>IF(OR(E5823="",E5823="!!!",F5823="NEW"),"",INDEX(B5822:B$2,-1+SUMPRODUCT(MAX(ROW(E5822:E$2)*(E5823=E5822:E$2)))))</f>
        <v> </v>
      </c>
      <c r="J5823" s="26" t="str">
        <f>IF(OR(E5823="",E5823="!!!",F5823="NEW"),"",COUNTBLANK(OFFSET(A$1,,,SUMPRODUCT(MAX(ROW(E$2:E5823)*(E5823=E$2:E5823)))))-COUNTBLANK(OFFSET(A$1,,,SUMPRODUCT(MAX(ROW(E$1:E5822)*(E2=E$1:E5822))))))</f>
        <v> </v>
      </c>
      <c r="K5823" s="26" t="str">
        <f>IF(OR(E5823="",E5823="!!!",F5823="NEW"),"",INDEX(J$1:J5822,SUMPRODUCT(MAX(ROW(E$1:E5822)*(E5823=E$1:E5822)))))</f>
        <v> </v>
      </c>
      <c r="L5823" s="27"/>
    </row>
    <row r="5824" spans="1:12">
      <c r="A5824" s="20" t="s">
        <v>2273</v>
      </c>
    </row>
    <row r="5825" spans="1:12">
      <c r="A5825" s="20" t="s">
        <v>2274</v>
      </c>
      <c r="B5825" s="21" t="s">
        <v>1016</v>
      </c>
      <c r="C5825" s="21" t="s">
        <v>1035</v>
      </c>
      <c r="D5825" s="21" t="s">
        <v>1011</v>
      </c>
      <c r="E5825" s="22">
        <f>IF(D5825="?OLD","!!!","")</f>
        <v/>
      </c>
      <c r="F5825" s="23" t="str">
        <f>IF(OR(E5825="",E5825="!!!"),"",IF(NOT(ISNA(VLOOKUP(E5825,E$1:E5824,1,FALSE()))),"OLD",IF(AND(E5825&lt;&gt;"",E5825&lt;&gt;"!!!"),"NEW","")))</f>
        <v> </v>
      </c>
      <c r="G5825" s="24" t="str">
        <f>IF(OR(E5825="",E5825="!!!"),"",IF(OR(J5825=0,AND(J5825=1,K5825=1),AND(J5825=1,I5825="SBJ"),AND(J5825=1,I5825=0)),"?IN_FOCUS",IF(J5825&lt;=2,"?ACTIVATED",IF(J5825&lt;&gt;"","?FAMILIAR",IF(F5825="NEW",IF(ISNA(VLOOKUP(E5825,#REF!,1,FALSE())),"?TYPE_IDENTIFIABLE","?REFERENTIAL"),"_")))))</f>
        <v> </v>
      </c>
      <c r="H5825" s="25" t="str">
        <f>IF(J5825&lt;&gt;1,"",IF(I5825="SBJ","CB","?"))</f>
        <v> </v>
      </c>
      <c r="I5825" s="26" t="str">
        <f>IF(OR(E5825="",E5825="!!!",F5825="NEW"),"",INDEX(B5824:B$2,-1+SUMPRODUCT(MAX(ROW(E5824:E$2)*(E5825=E5824:E$2)))))</f>
        <v> </v>
      </c>
      <c r="J5825" s="26" t="str">
        <f>IF(OR(E5825="",E5825="!!!",F5825="NEW"),"",COUNTBLANK(OFFSET(A$1,,,SUMPRODUCT(MAX(ROW(E$2:E5825)*(E5825=E$2:E5825)))))-COUNTBLANK(OFFSET(A$1,,,SUMPRODUCT(MAX(ROW(E$1:E5824)*(E2=E$1:E5824))))))</f>
        <v> </v>
      </c>
      <c r="K5825" s="26" t="str">
        <f>IF(OR(E5825="",E5825="!!!",F5825="NEW"),"",INDEX(J$1:J5824,SUMPRODUCT(MAX(ROW(E$1:E5824)*(E5825=E$1:E5824)))))</f>
        <v> </v>
      </c>
      <c r="L5825" s="27"/>
    </row>
    <row r="5826" spans="1:12">
      <c r="A5826" s="20" t="s">
        <v>2275</v>
      </c>
      <c r="B5826" s="21" t="s">
        <v>1009</v>
      </c>
      <c r="C5826" s="21" t="s">
        <v>1040</v>
      </c>
      <c r="D5826" s="21" t="s">
        <v>1011</v>
      </c>
      <c r="E5826" s="22">
        <f>IF(D5826="?OLD","!!!","")</f>
        <v/>
      </c>
      <c r="F5826" s="23" t="str">
        <f>IF(OR(E5826="",E5826="!!!"),"",IF(NOT(ISNA(VLOOKUP(E5826,E$1:E5825,1,FALSE()))),"OLD",IF(AND(E5826&lt;&gt;"",E5826&lt;&gt;"!!!"),"NEW","")))</f>
        <v> </v>
      </c>
      <c r="G5826" s="24" t="str">
        <f>IF(OR(E5826="",E5826="!!!"),"",IF(OR(J5826=0,AND(J5826=1,K5826=1),AND(J5826=1,I5826="SBJ"),AND(J5826=1,I5826=0)),"?IN_FOCUS",IF(J5826&lt;=2,"?ACTIVATED",IF(J5826&lt;&gt;"","?FAMILIAR",IF(F5826="NEW",IF(ISNA(VLOOKUP(E5826,#REF!,1,FALSE())),"?TYPE_IDENTIFIABLE","?REFERENTIAL"),"_")))))</f>
        <v> </v>
      </c>
      <c r="H5826" s="25" t="str">
        <f>IF(J5826&lt;&gt;1,"",IF(I5826="SBJ","CB","?"))</f>
        <v> </v>
      </c>
      <c r="I5826" s="26" t="str">
        <f>IF(OR(E5826="",E5826="!!!",F5826="NEW"),"",INDEX(B5825:B$2,-1+SUMPRODUCT(MAX(ROW(E5825:E$2)*(E5826=E5825:E$2)))))</f>
        <v> </v>
      </c>
      <c r="J5826" s="26" t="str">
        <f>IF(OR(E5826="",E5826="!!!",F5826="NEW"),"",COUNTBLANK(OFFSET(A$1,,,SUMPRODUCT(MAX(ROW(E$2:E5826)*(E5826=E$2:E5826)))))-COUNTBLANK(OFFSET(A$1,,,SUMPRODUCT(MAX(ROW(E$1:E5825)*(E2=E$1:E5825))))))</f>
        <v> </v>
      </c>
      <c r="K5826" s="26" t="str">
        <f>IF(OR(E5826="",E5826="!!!",F5826="NEW"),"",INDEX(J$1:J5825,SUMPRODUCT(MAX(ROW(E$1:E5825)*(E5826=E$1:E5825)))))</f>
        <v> </v>
      </c>
      <c r="L5826" s="27"/>
    </row>
    <row r="5827" spans="1:12">
      <c r="A5827" s="20" t="s">
        <v>263</v>
      </c>
      <c r="E5827" s="22">
        <f>IF(D5827="?OLD","!!!","")</f>
        <v/>
      </c>
      <c r="F5827" s="23" t="str">
        <f>IF(OR(E5827="",E5827="!!!"),"",IF(NOT(ISNA(VLOOKUP(E5827,E$1:E5826,1,FALSE()))),"OLD",IF(AND(E5827&lt;&gt;"",E5827&lt;&gt;"!!!"),"NEW","")))</f>
        <v> </v>
      </c>
      <c r="G5827" s="24" t="str">
        <f>IF(OR(E5827="",E5827="!!!"),"",IF(OR(J5827=0,AND(J5827=1,K5827=1),AND(J5827=1,I5827="SBJ"),AND(J5827=1,I5827=0)),"?IN_FOCUS",IF(J5827&lt;=2,"?ACTIVATED",IF(J5827&lt;&gt;"","?FAMILIAR",IF(F5827="NEW",IF(ISNA(VLOOKUP(E5827,#REF!,1,FALSE())),"?TYPE_IDENTIFIABLE","?REFERENTIAL"),"_")))))</f>
        <v> </v>
      </c>
      <c r="H5827" s="25" t="str">
        <f>IF(J5827&lt;&gt;1,"",IF(I5827="SBJ","CB","?"))</f>
        <v> </v>
      </c>
      <c r="I5827" s="26" t="str">
        <f>IF(OR(E5827="",E5827="!!!",F5827="NEW"),"",INDEX(B5826:B$2,-1+SUMPRODUCT(MAX(ROW(E5826:E$2)*(E5827=E5826:E$2)))))</f>
        <v> </v>
      </c>
      <c r="J5827" s="26" t="str">
        <f>IF(OR(E5827="",E5827="!!!",F5827="NEW"),"",COUNTBLANK(OFFSET(A$1,,,SUMPRODUCT(MAX(ROW(E$2:E5827)*(E5827=E$2:E5827)))))-COUNTBLANK(OFFSET(A$1,,,SUMPRODUCT(MAX(ROW(E$1:E5826)*(E2=E$1:E5826))))))</f>
        <v> </v>
      </c>
      <c r="K5827" s="26" t="str">
        <f>IF(OR(E5827="",E5827="!!!",F5827="NEW"),"",INDEX(J$1:J5826,SUMPRODUCT(MAX(ROW(E$1:E5826)*(E5827=E$1:E5826)))))</f>
        <v> </v>
      </c>
      <c r="L5827" s="27"/>
    </row>
    <row r="5828" spans="1:12">
      <c r="A5828" s="20" t="s">
        <v>1045</v>
      </c>
      <c r="E5828" s="22">
        <f>IF(D5828="?OLD","!!!","")</f>
        <v/>
      </c>
      <c r="F5828" s="23" t="str">
        <f>IF(OR(E5828="",E5828="!!!"),"",IF(NOT(ISNA(VLOOKUP(E5828,E$1:E5827,1,FALSE()))),"OLD",IF(AND(E5828&lt;&gt;"",E5828&lt;&gt;"!!!"),"NEW","")))</f>
        <v> </v>
      </c>
      <c r="G5828" s="24" t="str">
        <f>IF(OR(E5828="",E5828="!!!"),"",IF(OR(J5828=0,AND(J5828=1,K5828=1),AND(J5828=1,I5828="SBJ"),AND(J5828=1,I5828=0)),"?IN_FOCUS",IF(J5828&lt;=2,"?ACTIVATED",IF(J5828&lt;&gt;"","?FAMILIAR",IF(F5828="NEW",IF(ISNA(VLOOKUP(E5828,#REF!,1,FALSE())),"?TYPE_IDENTIFIABLE","?REFERENTIAL"),"_")))))</f>
        <v> </v>
      </c>
      <c r="H5828" s="25" t="str">
        <f>IF(J5828&lt;&gt;1,"",IF(I5828="SBJ","CB","?"))</f>
        <v> </v>
      </c>
      <c r="I5828" s="26" t="str">
        <f>IF(OR(E5828="",E5828="!!!",F5828="NEW"),"",INDEX(B5827:B$2,-1+SUMPRODUCT(MAX(ROW(E5827:E$2)*(E5828=E5827:E$2)))))</f>
        <v> </v>
      </c>
      <c r="J5828" s="26" t="str">
        <f>IF(OR(E5828="",E5828="!!!",F5828="NEW"),"",COUNTBLANK(OFFSET(A$1,,,SUMPRODUCT(MAX(ROW(E$2:E5828)*(E5828=E$2:E5828)))))-COUNTBLANK(OFFSET(A$1,,,SUMPRODUCT(MAX(ROW(E$1:E5827)*(E2=E$1:E5827))))))</f>
        <v> </v>
      </c>
      <c r="K5828" s="26" t="str">
        <f>IF(OR(E5828="",E5828="!!!",F5828="NEW"),"",INDEX(J$1:J5827,SUMPRODUCT(MAX(ROW(E$1:E5827)*(E5828=E$1:E5827)))))</f>
        <v> </v>
      </c>
      <c r="L5828" s="27"/>
    </row>
    <row r="5829" spans="1:12">
      <c r="A5829" s="20" t="s">
        <v>1032</v>
      </c>
      <c r="E5829" s="22">
        <f>IF(D5829="?OLD","!!!","")</f>
        <v/>
      </c>
      <c r="F5829" s="23" t="str">
        <f>IF(OR(E5829="",E5829="!!!"),"",IF(NOT(ISNA(VLOOKUP(E5829,E$1:E5828,1,FALSE()))),"OLD",IF(AND(E5829&lt;&gt;"",E5829&lt;&gt;"!!!"),"NEW","")))</f>
        <v> </v>
      </c>
      <c r="G5829" s="24" t="str">
        <f>IF(OR(E5829="",E5829="!!!"),"",IF(OR(J5829=0,AND(J5829=1,K5829=1),AND(J5829=1,I5829="SBJ"),AND(J5829=1,I5829=0)),"?IN_FOCUS",IF(J5829&lt;=2,"?ACTIVATED",IF(J5829&lt;&gt;"","?FAMILIAR",IF(F5829="NEW",IF(ISNA(VLOOKUP(E5829,#REF!,1,FALSE())),"?TYPE_IDENTIFIABLE","?REFERENTIAL"),"_")))))</f>
        <v> </v>
      </c>
      <c r="H5829" s="25" t="str">
        <f>IF(J5829&lt;&gt;1,"",IF(I5829="SBJ","CB","?"))</f>
        <v> </v>
      </c>
      <c r="I5829" s="26" t="str">
        <f>IF(OR(E5829="",E5829="!!!",F5829="NEW"),"",INDEX(B5828:B$2,-1+SUMPRODUCT(MAX(ROW(E5828:E$2)*(E5829=E5828:E$2)))))</f>
        <v> </v>
      </c>
      <c r="J5829" s="26" t="str">
        <f>IF(OR(E5829="",E5829="!!!",F5829="NEW"),"",COUNTBLANK(OFFSET(A$1,,,SUMPRODUCT(MAX(ROW(E$2:E5829)*(E5829=E$2:E5829)))))-COUNTBLANK(OFFSET(A$1,,,SUMPRODUCT(MAX(ROW(E$1:E5828)*(E2=E$1:E5828))))))</f>
        <v> </v>
      </c>
      <c r="K5829" s="26" t="str">
        <f>IF(OR(E5829="",E5829="!!!",F5829="NEW"),"",INDEX(J$1:J5828,SUMPRODUCT(MAX(ROW(E$1:E5828)*(E5829=E$1:E5828)))))</f>
        <v> </v>
      </c>
      <c r="L5829" s="27"/>
    </row>
    <row r="5830" spans="1:12">
      <c r="A5830" s="20" t="s">
        <v>1269</v>
      </c>
      <c r="E5830" s="22">
        <f>IF(D5830="?OLD","!!!","")</f>
        <v/>
      </c>
      <c r="F5830" s="23" t="str">
        <f>IF(OR(E5830="",E5830="!!!"),"",IF(NOT(ISNA(VLOOKUP(E5830,E$1:E5829,1,FALSE()))),"OLD",IF(AND(E5830&lt;&gt;"",E5830&lt;&gt;"!!!"),"NEW","")))</f>
        <v> </v>
      </c>
      <c r="G5830" s="24" t="str">
        <f>IF(OR(E5830="",E5830="!!!"),"",IF(OR(J5830=0,AND(J5830=1,K5830=1),AND(J5830=1,I5830="SBJ"),AND(J5830=1,I5830=0)),"?IN_FOCUS",IF(J5830&lt;=2,"?ACTIVATED",IF(J5830&lt;&gt;"","?FAMILIAR",IF(F5830="NEW",IF(ISNA(VLOOKUP(E5830,#REF!,1,FALSE())),"?TYPE_IDENTIFIABLE","?REFERENTIAL"),"_")))))</f>
        <v> </v>
      </c>
      <c r="H5830" s="25" t="str">
        <f>IF(J5830&lt;&gt;1,"",IF(I5830="SBJ","CB","?"))</f>
        <v> </v>
      </c>
      <c r="I5830" s="26" t="str">
        <f>IF(OR(E5830="",E5830="!!!",F5830="NEW"),"",INDEX(B5829:B$2,-1+SUMPRODUCT(MAX(ROW(E5829:E$2)*(E5830=E5829:E$2)))))</f>
        <v> </v>
      </c>
      <c r="J5830" s="26" t="str">
        <f>IF(OR(E5830="",E5830="!!!",F5830="NEW"),"",COUNTBLANK(OFFSET(A$1,,,SUMPRODUCT(MAX(ROW(E$2:E5830)*(E5830=E$2:E5830)))))-COUNTBLANK(OFFSET(A$1,,,SUMPRODUCT(MAX(ROW(E$1:E5829)*(E2=E$1:E5829))))))</f>
        <v> </v>
      </c>
      <c r="K5830" s="26" t="str">
        <f>IF(OR(E5830="",E5830="!!!",F5830="NEW"),"",INDEX(J$1:J5829,SUMPRODUCT(MAX(ROW(E$1:E5829)*(E5830=E$1:E5829)))))</f>
        <v> </v>
      </c>
      <c r="L5830" s="27"/>
    </row>
    <row r="5831" spans="1:12">
      <c r="A5831" s="20" t="s">
        <v>2276</v>
      </c>
      <c r="E5831" s="22">
        <f>IF(D5831="?OLD","!!!","")</f>
        <v/>
      </c>
      <c r="F5831" s="23" t="str">
        <f>IF(OR(E5831="",E5831="!!!"),"",IF(NOT(ISNA(VLOOKUP(E5831,E$1:E5830,1,FALSE()))),"OLD",IF(AND(E5831&lt;&gt;"",E5831&lt;&gt;"!!!"),"NEW","")))</f>
        <v> </v>
      </c>
      <c r="G5831" s="24" t="str">
        <f>IF(OR(E5831="",E5831="!!!"),"",IF(OR(J5831=0,AND(J5831=1,K5831=1),AND(J5831=1,I5831="SBJ"),AND(J5831=1,I5831=0)),"?IN_FOCUS",IF(J5831&lt;=2,"?ACTIVATED",IF(J5831&lt;&gt;"","?FAMILIAR",IF(F5831="NEW",IF(ISNA(VLOOKUP(E5831,#REF!,1,FALSE())),"?TYPE_IDENTIFIABLE","?REFERENTIAL"),"_")))))</f>
        <v> </v>
      </c>
      <c r="H5831" s="25" t="str">
        <f>IF(J5831&lt;&gt;1,"",IF(I5831="SBJ","CB","?"))</f>
        <v> </v>
      </c>
      <c r="I5831" s="26" t="str">
        <f>IF(OR(E5831="",E5831="!!!",F5831="NEW"),"",INDEX(B5830:B$2,-1+SUMPRODUCT(MAX(ROW(E5830:E$2)*(E5831=E5830:E$2)))))</f>
        <v> </v>
      </c>
      <c r="J5831" s="26" t="str">
        <f>IF(OR(E5831="",E5831="!!!",F5831="NEW"),"",COUNTBLANK(OFFSET(A$1,,,SUMPRODUCT(MAX(ROW(E$2:E5831)*(E5831=E$2:E5831)))))-COUNTBLANK(OFFSET(A$1,,,SUMPRODUCT(MAX(ROW(E$1:E5830)*(E2=E$1:E5830))))))</f>
        <v> </v>
      </c>
      <c r="K5831" s="26" t="str">
        <f>IF(OR(E5831="",E5831="!!!",F5831="NEW"),"",INDEX(J$1:J5830,SUMPRODUCT(MAX(ROW(E$1:E5830)*(E5831=E$1:E5830)))))</f>
        <v> </v>
      </c>
      <c r="L5831" s="27"/>
    </row>
    <row r="5832" spans="1:12">
      <c r="A5832" s="20" t="s">
        <v>1045</v>
      </c>
      <c r="E5832" s="22">
        <f>IF(D5832="?OLD","!!!","")</f>
        <v/>
      </c>
      <c r="F5832" s="23" t="str">
        <f>IF(OR(E5832="",E5832="!!!"),"",IF(NOT(ISNA(VLOOKUP(E5832,E$1:E5831,1,FALSE()))),"OLD",IF(AND(E5832&lt;&gt;"",E5832&lt;&gt;"!!!"),"NEW","")))</f>
        <v> </v>
      </c>
      <c r="G5832" s="24" t="str">
        <f>IF(OR(E5832="",E5832="!!!"),"",IF(OR(J5832=0,AND(J5832=1,K5832=1),AND(J5832=1,I5832="SBJ"),AND(J5832=1,I5832=0)),"?IN_FOCUS",IF(J5832&lt;=2,"?ACTIVATED",IF(J5832&lt;&gt;"","?FAMILIAR",IF(F5832="NEW",IF(ISNA(VLOOKUP(E5832,#REF!,1,FALSE())),"?TYPE_IDENTIFIABLE","?REFERENTIAL"),"_")))))</f>
        <v> </v>
      </c>
      <c r="H5832" s="25" t="str">
        <f>IF(J5832&lt;&gt;1,"",IF(I5832="SBJ","CB","?"))</f>
        <v> </v>
      </c>
      <c r="I5832" s="26" t="str">
        <f>IF(OR(E5832="",E5832="!!!",F5832="NEW"),"",INDEX(B5831:B$2,-1+SUMPRODUCT(MAX(ROW(E5831:E$2)*(E5832=E5831:E$2)))))</f>
        <v> </v>
      </c>
      <c r="J5832" s="26" t="str">
        <f>IF(OR(E5832="",E5832="!!!",F5832="NEW"),"",COUNTBLANK(OFFSET(A$1,,,SUMPRODUCT(MAX(ROW(E$2:E5832)*(E5832=E$2:E5832)))))-COUNTBLANK(OFFSET(A$1,,,SUMPRODUCT(MAX(ROW(E$1:E5831)*(E2=E$1:E5831))))))</f>
        <v> </v>
      </c>
      <c r="K5832" s="26" t="str">
        <f>IF(OR(E5832="",E5832="!!!",F5832="NEW"),"",INDEX(J$1:J5831,SUMPRODUCT(MAX(ROW(E$1:E5831)*(E5832=E$1:E5831)))))</f>
        <v> </v>
      </c>
      <c r="L5832" s="27"/>
    </row>
    <row r="5833" spans="1:12">
      <c r="A5833" s="20" t="s">
        <v>1097</v>
      </c>
      <c r="E5833" s="22">
        <f>IF(D5833="?OLD","!!!","")</f>
        <v/>
      </c>
      <c r="F5833" s="23" t="str">
        <f>IF(OR(E5833="",E5833="!!!"),"",IF(NOT(ISNA(VLOOKUP(E5833,E$1:E5832,1,FALSE()))),"OLD",IF(AND(E5833&lt;&gt;"",E5833&lt;&gt;"!!!"),"NEW","")))</f>
        <v> </v>
      </c>
      <c r="G5833" s="24" t="str">
        <f>IF(OR(E5833="",E5833="!!!"),"",IF(OR(J5833=0,AND(J5833=1,K5833=1),AND(J5833=1,I5833="SBJ"),AND(J5833=1,I5833=0)),"?IN_FOCUS",IF(J5833&lt;=2,"?ACTIVATED",IF(J5833&lt;&gt;"","?FAMILIAR",IF(F5833="NEW",IF(ISNA(VLOOKUP(E5833,#REF!,1,FALSE())),"?TYPE_IDENTIFIABLE","?REFERENTIAL"),"_")))))</f>
        <v> </v>
      </c>
      <c r="H5833" s="25" t="str">
        <f>IF(J5833&lt;&gt;1,"",IF(I5833="SBJ","CB","?"))</f>
        <v> </v>
      </c>
      <c r="I5833" s="26" t="str">
        <f>IF(OR(E5833="",E5833="!!!",F5833="NEW"),"",INDEX(B5832:B$2,-1+SUMPRODUCT(MAX(ROW(E5832:E$2)*(E5833=E5832:E$2)))))</f>
        <v> </v>
      </c>
      <c r="J5833" s="26" t="str">
        <f>IF(OR(E5833="",E5833="!!!",F5833="NEW"),"",COUNTBLANK(OFFSET(A$1,,,SUMPRODUCT(MAX(ROW(E$2:E5833)*(E5833=E$2:E5833)))))-COUNTBLANK(OFFSET(A$1,,,SUMPRODUCT(MAX(ROW(E$1:E5832)*(E2=E$1:E5832))))))</f>
        <v> </v>
      </c>
      <c r="K5833" s="26" t="str">
        <f>IF(OR(E5833="",E5833="!!!",F5833="NEW"),"",INDEX(J$1:J5832,SUMPRODUCT(MAX(ROW(E$1:E5832)*(E5833=E$1:E5832)))))</f>
        <v> </v>
      </c>
      <c r="L5833" s="27"/>
    </row>
    <row r="5834" spans="1:12">
      <c r="A5834" s="20" t="s">
        <v>1042</v>
      </c>
      <c r="E5834" s="22">
        <f>IF(D5834="?OLD","!!!","")</f>
        <v/>
      </c>
      <c r="F5834" s="23" t="str">
        <f>IF(OR(E5834="",E5834="!!!"),"",IF(NOT(ISNA(VLOOKUP(E5834,E$1:E5833,1,FALSE()))),"OLD",IF(AND(E5834&lt;&gt;"",E5834&lt;&gt;"!!!"),"NEW","")))</f>
        <v> </v>
      </c>
      <c r="G5834" s="24" t="str">
        <f>IF(OR(E5834="",E5834="!!!"),"",IF(OR(J5834=0,AND(J5834=1,K5834=1),AND(J5834=1,I5834="SBJ"),AND(J5834=1,I5834=0)),"?IN_FOCUS",IF(J5834&lt;=2,"?ACTIVATED",IF(J5834&lt;&gt;"","?FAMILIAR",IF(F5834="NEW",IF(ISNA(VLOOKUP(E5834,#REF!,1,FALSE())),"?TYPE_IDENTIFIABLE","?REFERENTIAL"),"_")))))</f>
        <v> </v>
      </c>
      <c r="H5834" s="25" t="str">
        <f>IF(J5834&lt;&gt;1,"",IF(I5834="SBJ","CB","?"))</f>
        <v> </v>
      </c>
      <c r="I5834" s="26" t="str">
        <f>IF(OR(E5834="",E5834="!!!",F5834="NEW"),"",INDEX(B5833:B$2,-1+SUMPRODUCT(MAX(ROW(E5833:E$2)*(E5834=E5833:E$2)))))</f>
        <v> </v>
      </c>
      <c r="J5834" s="26" t="str">
        <f>IF(OR(E5834="",E5834="!!!",F5834="NEW"),"",COUNTBLANK(OFFSET(A$1,,,SUMPRODUCT(MAX(ROW(E$2:E5834)*(E5834=E$2:E5834)))))-COUNTBLANK(OFFSET(A$1,,,SUMPRODUCT(MAX(ROW(E$1:E5833)*(E2=E$1:E5833))))))</f>
        <v> </v>
      </c>
      <c r="K5834" s="26" t="str">
        <f>IF(OR(E5834="",E5834="!!!",F5834="NEW"),"",INDEX(J$1:J5833,SUMPRODUCT(MAX(ROW(E$1:E5833)*(E5834=E$1:E5833)))))</f>
        <v> </v>
      </c>
      <c r="L5834" s="27"/>
    </row>
    <row r="5835" spans="1:12">
      <c r="A5835" s="20" t="s">
        <v>2251</v>
      </c>
      <c r="E5835" s="22">
        <f>IF(D5835="?OLD","!!!","")</f>
        <v/>
      </c>
      <c r="F5835" s="23" t="str">
        <f>IF(OR(E5835="",E5835="!!!"),"",IF(NOT(ISNA(VLOOKUP(E5835,E$1:E5834,1,FALSE()))),"OLD",IF(AND(E5835&lt;&gt;"",E5835&lt;&gt;"!!!"),"NEW","")))</f>
        <v> </v>
      </c>
      <c r="G5835" s="24" t="str">
        <f>IF(OR(E5835="",E5835="!!!"),"",IF(OR(J5835=0,AND(J5835=1,K5835=1),AND(J5835=1,I5835="SBJ"),AND(J5835=1,I5835=0)),"?IN_FOCUS",IF(J5835&lt;=2,"?ACTIVATED",IF(J5835&lt;&gt;"","?FAMILIAR",IF(F5835="NEW",IF(ISNA(VLOOKUP(E5835,#REF!,1,FALSE())),"?TYPE_IDENTIFIABLE","?REFERENTIAL"),"_")))))</f>
        <v> </v>
      </c>
      <c r="H5835" s="25" t="str">
        <f>IF(J5835&lt;&gt;1,"",IF(I5835="SBJ","CB","?"))</f>
        <v> </v>
      </c>
      <c r="I5835" s="26" t="str">
        <f>IF(OR(E5835="",E5835="!!!",F5835="NEW"),"",INDEX(B5834:B$2,-1+SUMPRODUCT(MAX(ROW(E5834:E$2)*(E5835=E5834:E$2)))))</f>
        <v> </v>
      </c>
      <c r="J5835" s="26" t="str">
        <f>IF(OR(E5835="",E5835="!!!",F5835="NEW"),"",COUNTBLANK(OFFSET(A$1,,,SUMPRODUCT(MAX(ROW(E$2:E5835)*(E5835=E$2:E5835)))))-COUNTBLANK(OFFSET(A$1,,,SUMPRODUCT(MAX(ROW(E$1:E5834)*(E2=E$1:E5834))))))</f>
        <v> </v>
      </c>
      <c r="K5835" s="26" t="str">
        <f>IF(OR(E5835="",E5835="!!!",F5835="NEW"),"",INDEX(J$1:J5834,SUMPRODUCT(MAX(ROW(E$1:E5834)*(E5835=E$1:E5834)))))</f>
        <v> </v>
      </c>
      <c r="L5835" s="27"/>
    </row>
    <row r="5836" spans="1:12">
      <c r="A5836" s="20" t="s">
        <v>2277</v>
      </c>
      <c r="B5836" s="21" t="s">
        <v>1039</v>
      </c>
      <c r="C5836" s="21" t="s">
        <v>1044</v>
      </c>
      <c r="D5836" s="21" t="s">
        <v>1011</v>
      </c>
      <c r="E5836" s="22">
        <f>IF(D5836="?OLD","!!!","")</f>
        <v/>
      </c>
      <c r="F5836" s="23" t="str">
        <f>IF(OR(E5836="",E5836="!!!"),"",IF(NOT(ISNA(VLOOKUP(E5836,E$1:E5835,1,FALSE()))),"OLD",IF(AND(E5836&lt;&gt;"",E5836&lt;&gt;"!!!"),"NEW","")))</f>
        <v> </v>
      </c>
      <c r="G5836" s="24" t="str">
        <f>IF(OR(E5836="",E5836="!!!"),"",IF(OR(J5836=0,AND(J5836=1,K5836=1),AND(J5836=1,I5836="SBJ"),AND(J5836=1,I5836=0)),"?IN_FOCUS",IF(J5836&lt;=2,"?ACTIVATED",IF(J5836&lt;&gt;"","?FAMILIAR",IF(F5836="NEW",IF(ISNA(VLOOKUP(E5836,#REF!,1,FALSE())),"?TYPE_IDENTIFIABLE","?REFERENTIAL"),"_")))))</f>
        <v> </v>
      </c>
      <c r="H5836" s="25" t="str">
        <f>IF(J5836&lt;&gt;1,"",IF(I5836="SBJ","CB","?"))</f>
        <v> </v>
      </c>
      <c r="I5836" s="26" t="str">
        <f>IF(OR(E5836="",E5836="!!!",F5836="NEW"),"",INDEX(B5835:B$2,-1+SUMPRODUCT(MAX(ROW(E5835:E$2)*(E5836=E5835:E$2)))))</f>
        <v> </v>
      </c>
      <c r="J5836" s="26" t="str">
        <f>IF(OR(E5836="",E5836="!!!",F5836="NEW"),"",COUNTBLANK(OFFSET(A$1,,,SUMPRODUCT(MAX(ROW(E$2:E5836)*(E5836=E$2:E5836)))))-COUNTBLANK(OFFSET(A$1,,,SUMPRODUCT(MAX(ROW(E$1:E5835)*(E2=E$1:E5835))))))</f>
        <v> </v>
      </c>
      <c r="K5836" s="26" t="str">
        <f>IF(OR(E5836="",E5836="!!!",F5836="NEW"),"",INDEX(J$1:J5835,SUMPRODUCT(MAX(ROW(E$1:E5835)*(E5836=E$1:E5835)))))</f>
        <v> </v>
      </c>
      <c r="L5836" s="27"/>
    </row>
    <row r="5837" spans="1:12">
      <c r="A5837" s="20" t="s">
        <v>2278</v>
      </c>
      <c r="E5837" s="22">
        <f>IF(D5837="?OLD","!!!","")</f>
        <v/>
      </c>
      <c r="F5837" s="23" t="str">
        <f>IF(OR(E5837="",E5837="!!!"),"",IF(NOT(ISNA(VLOOKUP(E5837,E$1:E5836,1,FALSE()))),"OLD",IF(AND(E5837&lt;&gt;"",E5837&lt;&gt;"!!!"),"NEW","")))</f>
        <v> </v>
      </c>
      <c r="G5837" s="24" t="str">
        <f>IF(OR(E5837="",E5837="!!!"),"",IF(OR(J5837=0,AND(J5837=1,K5837=1),AND(J5837=1,I5837="SBJ"),AND(J5837=1,I5837=0)),"?IN_FOCUS",IF(J5837&lt;=2,"?ACTIVATED",IF(J5837&lt;&gt;"","?FAMILIAR",IF(F5837="NEW",IF(ISNA(VLOOKUP(E5837,#REF!,1,FALSE())),"?TYPE_IDENTIFIABLE","?REFERENTIAL"),"_")))))</f>
        <v> </v>
      </c>
      <c r="H5837" s="25" t="str">
        <f>IF(J5837&lt;&gt;1,"",IF(I5837="SBJ","CB","?"))</f>
        <v> </v>
      </c>
      <c r="I5837" s="26" t="str">
        <f>IF(OR(E5837="",E5837="!!!",F5837="NEW"),"",INDEX(B5836:B$2,-1+SUMPRODUCT(MAX(ROW(E5836:E$2)*(E5837=E5836:E$2)))))</f>
        <v> </v>
      </c>
      <c r="J5837" s="26" t="str">
        <f>IF(OR(E5837="",E5837="!!!",F5837="NEW"),"",COUNTBLANK(OFFSET(A$1,,,SUMPRODUCT(MAX(ROW(E$2:E5837)*(E5837=E$2:E5837)))))-COUNTBLANK(OFFSET(A$1,,,SUMPRODUCT(MAX(ROW(E$1:E5836)*(E2=E$1:E5836))))))</f>
        <v> </v>
      </c>
      <c r="K5837" s="26" t="str">
        <f>IF(OR(E5837="",E5837="!!!",F5837="NEW"),"",INDEX(J$1:J5836,SUMPRODUCT(MAX(ROW(E$1:E5836)*(E5837=E$1:E5836)))))</f>
        <v> </v>
      </c>
      <c r="L5837" s="27"/>
    </row>
    <row r="5838" spans="1:12">
      <c r="A5838" s="20" t="s">
        <v>1085</v>
      </c>
      <c r="E5838" s="22">
        <f>IF(D5838="?OLD","!!!","")</f>
        <v/>
      </c>
      <c r="F5838" s="23" t="str">
        <f>IF(OR(E5838="",E5838="!!!"),"",IF(NOT(ISNA(VLOOKUP(E5838,E$1:E5837,1,FALSE()))),"OLD",IF(AND(E5838&lt;&gt;"",E5838&lt;&gt;"!!!"),"NEW","")))</f>
        <v> </v>
      </c>
      <c r="G5838" s="24" t="str">
        <f>IF(OR(E5838="",E5838="!!!"),"",IF(OR(J5838=0,AND(J5838=1,K5838=1),AND(J5838=1,I5838="SBJ"),AND(J5838=1,I5838=0)),"?IN_FOCUS",IF(J5838&lt;=2,"?ACTIVATED",IF(J5838&lt;&gt;"","?FAMILIAR",IF(F5838="NEW",IF(ISNA(VLOOKUP(E5838,#REF!,1,FALSE())),"?TYPE_IDENTIFIABLE","?REFERENTIAL"),"_")))))</f>
        <v> </v>
      </c>
      <c r="H5838" s="25" t="str">
        <f>IF(J5838&lt;&gt;1,"",IF(I5838="SBJ","CB","?"))</f>
        <v> </v>
      </c>
      <c r="I5838" s="26" t="str">
        <f>IF(OR(E5838="",E5838="!!!",F5838="NEW"),"",INDEX(B5837:B$2,-1+SUMPRODUCT(MAX(ROW(E5837:E$2)*(E5838=E5837:E$2)))))</f>
        <v> </v>
      </c>
      <c r="J5838" s="26" t="str">
        <f>IF(OR(E5838="",E5838="!!!",F5838="NEW"),"",COUNTBLANK(OFFSET(A$1,,,SUMPRODUCT(MAX(ROW(E$2:E5838)*(E5838=E$2:E5838)))))-COUNTBLANK(OFFSET(A$1,,,SUMPRODUCT(MAX(ROW(E$1:E5837)*(E2=E$1:E5837))))))</f>
        <v> </v>
      </c>
      <c r="K5838" s="26" t="str">
        <f>IF(OR(E5838="",E5838="!!!",F5838="NEW"),"",INDEX(J$1:J5837,SUMPRODUCT(MAX(ROW(E$1:E5837)*(E5838=E$1:E5837)))))</f>
        <v> </v>
      </c>
      <c r="L5838" s="27"/>
    </row>
    <row r="5839" spans="1:12">
      <c r="A5839" s="20" t="s">
        <v>1076</v>
      </c>
      <c r="B5839" s="21" t="s">
        <v>1088</v>
      </c>
      <c r="E5839" s="22">
        <f>IF(D5839="?OLD","!!!","")</f>
        <v/>
      </c>
      <c r="F5839" s="23" t="str">
        <f>IF(OR(E5839="",E5839="!!!"),"",IF(NOT(ISNA(VLOOKUP(E5839,E$1:E5838,1,FALSE()))),"OLD",IF(AND(E5839&lt;&gt;"",E5839&lt;&gt;"!!!"),"NEW","")))</f>
        <v> </v>
      </c>
      <c r="G5839" s="24" t="str">
        <f>IF(OR(E5839="",E5839="!!!"),"",IF(OR(J5839=0,AND(J5839=1,K5839=1),AND(J5839=1,I5839="SBJ"),AND(J5839=1,I5839=0)),"?IN_FOCUS",IF(J5839&lt;=2,"?ACTIVATED",IF(J5839&lt;&gt;"","?FAMILIAR",IF(F5839="NEW",IF(ISNA(VLOOKUP(E5839,#REF!,1,FALSE())),"?TYPE_IDENTIFIABLE","?REFERENTIAL"),"_")))))</f>
        <v> </v>
      </c>
      <c r="H5839" s="25" t="str">
        <f>IF(J5839&lt;&gt;1,"",IF(I5839="SBJ","CB","?"))</f>
        <v> </v>
      </c>
      <c r="I5839" s="26" t="str">
        <f>IF(OR(E5839="",E5839="!!!",F5839="NEW"),"",INDEX(B5838:B$2,-1+SUMPRODUCT(MAX(ROW(E5838:E$2)*(E5839=E5838:E$2)))))</f>
        <v> </v>
      </c>
      <c r="J5839" s="26" t="str">
        <f>IF(OR(E5839="",E5839="!!!",F5839="NEW"),"",COUNTBLANK(OFFSET(A$1,,,SUMPRODUCT(MAX(ROW(E$2:E5839)*(E5839=E$2:E5839)))))-COUNTBLANK(OFFSET(A$1,,,SUMPRODUCT(MAX(ROW(E$1:E5838)*(E2=E$1:E5838))))))</f>
        <v> </v>
      </c>
      <c r="K5839" s="26" t="str">
        <f>IF(OR(E5839="",E5839="!!!",F5839="NEW"),"",INDEX(J$1:J5838,SUMPRODUCT(MAX(ROW(E$1:E5838)*(E5839=E$1:E5838)))))</f>
        <v> </v>
      </c>
      <c r="L5839" s="27"/>
    </row>
    <row r="5840" spans="1:12">
      <c r="A5840" s="20" t="s">
        <v>1926</v>
      </c>
      <c r="E5840" s="22">
        <f>IF(D5840="?OLD","!!!","")</f>
        <v/>
      </c>
      <c r="F5840" s="23" t="str">
        <f>IF(OR(E5840="",E5840="!!!"),"",IF(NOT(ISNA(VLOOKUP(E5840,E$1:E5839,1,FALSE()))),"OLD",IF(AND(E5840&lt;&gt;"",E5840&lt;&gt;"!!!"),"NEW","")))</f>
        <v> </v>
      </c>
      <c r="G5840" s="24" t="str">
        <f>IF(OR(E5840="",E5840="!!!"),"",IF(OR(J5840=0,AND(J5840=1,K5840=1),AND(J5840=1,I5840="SBJ"),AND(J5840=1,I5840=0)),"?IN_FOCUS",IF(J5840&lt;=2,"?ACTIVATED",IF(J5840&lt;&gt;"","?FAMILIAR",IF(F5840="NEW",IF(ISNA(VLOOKUP(E5840,#REF!,1,FALSE())),"?TYPE_IDENTIFIABLE","?REFERENTIAL"),"_")))))</f>
        <v> </v>
      </c>
      <c r="H5840" s="25" t="str">
        <f>IF(J5840&lt;&gt;1,"",IF(I5840="SBJ","CB","?"))</f>
        <v> </v>
      </c>
      <c r="I5840" s="26" t="str">
        <f>IF(OR(E5840="",E5840="!!!",F5840="NEW"),"",INDEX(B5839:B$2,-1+SUMPRODUCT(MAX(ROW(E5839:E$2)*(E5840=E5839:E$2)))))</f>
        <v> </v>
      </c>
      <c r="J5840" s="26" t="str">
        <f>IF(OR(E5840="",E5840="!!!",F5840="NEW"),"",COUNTBLANK(OFFSET(A$1,,,SUMPRODUCT(MAX(ROW(E$2:E5840)*(E5840=E$2:E5840)))))-COUNTBLANK(OFFSET(A$1,,,SUMPRODUCT(MAX(ROW(E$1:E5839)*(E2=E$1:E5839))))))</f>
        <v> </v>
      </c>
      <c r="K5840" s="26" t="str">
        <f>IF(OR(E5840="",E5840="!!!",F5840="NEW"),"",INDEX(J$1:J5839,SUMPRODUCT(MAX(ROW(E$1:E5839)*(E5840=E$1:E5839)))))</f>
        <v> </v>
      </c>
      <c r="L5840" s="27"/>
    </row>
    <row r="5841" spans="1:12">
      <c r="A5841" s="20" t="s">
        <v>1251</v>
      </c>
      <c r="E5841" s="22">
        <f>IF(D5841="?OLD","!!!","")</f>
        <v/>
      </c>
      <c r="F5841" s="23" t="str">
        <f>IF(OR(E5841="",E5841="!!!"),"",IF(NOT(ISNA(VLOOKUP(E5841,E$1:E5840,1,FALSE()))),"OLD",IF(AND(E5841&lt;&gt;"",E5841&lt;&gt;"!!!"),"NEW","")))</f>
        <v> </v>
      </c>
      <c r="G5841" s="24" t="str">
        <f>IF(OR(E5841="",E5841="!!!"),"",IF(OR(J5841=0,AND(J5841=1,K5841=1),AND(J5841=1,I5841="SBJ"),AND(J5841=1,I5841=0)),"?IN_FOCUS",IF(J5841&lt;=2,"?ACTIVATED",IF(J5841&lt;&gt;"","?FAMILIAR",IF(F5841="NEW",IF(ISNA(VLOOKUP(E5841,#REF!,1,FALSE())),"?TYPE_IDENTIFIABLE","?REFERENTIAL"),"_")))))</f>
        <v> </v>
      </c>
      <c r="H5841" s="25" t="str">
        <f>IF(J5841&lt;&gt;1,"",IF(I5841="SBJ","CB","?"))</f>
        <v> </v>
      </c>
      <c r="I5841" s="26" t="str">
        <f>IF(OR(E5841="",E5841="!!!",F5841="NEW"),"",INDEX(B5840:B$2,-1+SUMPRODUCT(MAX(ROW(E5840:E$2)*(E5841=E5840:E$2)))))</f>
        <v> </v>
      </c>
      <c r="J5841" s="26" t="str">
        <f>IF(OR(E5841="",E5841="!!!",F5841="NEW"),"",COUNTBLANK(OFFSET(A$1,,,SUMPRODUCT(MAX(ROW(E$2:E5841)*(E5841=E$2:E5841)))))-COUNTBLANK(OFFSET(A$1,,,SUMPRODUCT(MAX(ROW(E$1:E5840)*(E2=E$1:E5840))))))</f>
        <v> </v>
      </c>
      <c r="K5841" s="26" t="str">
        <f>IF(OR(E5841="",E5841="!!!",F5841="NEW"),"",INDEX(J$1:J5840,SUMPRODUCT(MAX(ROW(E$1:E5840)*(E5841=E$1:E5840)))))</f>
        <v> </v>
      </c>
      <c r="L5841" s="27"/>
    </row>
    <row r="5842" spans="1:12">
      <c r="A5842" s="20" t="s">
        <v>1269</v>
      </c>
      <c r="E5842" s="22">
        <f>IF(D5842="?OLD","!!!","")</f>
        <v/>
      </c>
      <c r="F5842" s="23" t="str">
        <f>IF(OR(E5842="",E5842="!!!"),"",IF(NOT(ISNA(VLOOKUP(E5842,E$1:E5841,1,FALSE()))),"OLD",IF(AND(E5842&lt;&gt;"",E5842&lt;&gt;"!!!"),"NEW","")))</f>
        <v> </v>
      </c>
      <c r="G5842" s="24" t="str">
        <f>IF(OR(E5842="",E5842="!!!"),"",IF(OR(J5842=0,AND(J5842=1,K5842=1),AND(J5842=1,I5842="SBJ"),AND(J5842=1,I5842=0)),"?IN_FOCUS",IF(J5842&lt;=2,"?ACTIVATED",IF(J5842&lt;&gt;"","?FAMILIAR",IF(F5842="NEW",IF(ISNA(VLOOKUP(E5842,#REF!,1,FALSE())),"?TYPE_IDENTIFIABLE","?REFERENTIAL"),"_")))))</f>
        <v> </v>
      </c>
      <c r="H5842" s="25" t="str">
        <f>IF(J5842&lt;&gt;1,"",IF(I5842="SBJ","CB","?"))</f>
        <v> </v>
      </c>
      <c r="I5842" s="26" t="str">
        <f>IF(OR(E5842="",E5842="!!!",F5842="NEW"),"",INDEX(B5841:B$2,-1+SUMPRODUCT(MAX(ROW(E5841:E$2)*(E5842=E5841:E$2)))))</f>
        <v> </v>
      </c>
      <c r="J5842" s="26" t="str">
        <f>IF(OR(E5842="",E5842="!!!",F5842="NEW"),"",COUNTBLANK(OFFSET(A$1,,,SUMPRODUCT(MAX(ROW(E$2:E5842)*(E5842=E$2:E5842)))))-COUNTBLANK(OFFSET(A$1,,,SUMPRODUCT(MAX(ROW(E$1:E5841)*(E2=E$1:E5841))))))</f>
        <v> </v>
      </c>
      <c r="K5842" s="26" t="str">
        <f>IF(OR(E5842="",E5842="!!!",F5842="NEW"),"",INDEX(J$1:J5841,SUMPRODUCT(MAX(ROW(E$1:E5841)*(E5842=E$1:E5841)))))</f>
        <v> </v>
      </c>
      <c r="L5842" s="27"/>
    </row>
    <row r="5843" spans="1:12">
      <c r="A5843" s="20"/>
    </row>
    <row r="5844" spans="1:12">
      <c r="A5844" s="20" t="s">
        <v>2279</v>
      </c>
    </row>
    <row r="5845" spans="1:12">
      <c r="A5845" s="20" t="s">
        <v>2280</v>
      </c>
      <c r="B5845" s="21" t="s">
        <v>1009</v>
      </c>
      <c r="C5845" s="21" t="s">
        <v>1010</v>
      </c>
      <c r="D5845" s="21" t="s">
        <v>1011</v>
      </c>
      <c r="E5845" s="22">
        <f>IF(D5845="?OLD","!!!","")</f>
        <v/>
      </c>
      <c r="F5845" s="23" t="str">
        <f>IF(OR(E5845="",E5845="!!!"),"",IF(NOT(ISNA(VLOOKUP(E5845,E$1:E5844,1,FALSE()))),"OLD",IF(AND(E5845&lt;&gt;"",E5845&lt;&gt;"!!!"),"NEW","")))</f>
        <v> </v>
      </c>
      <c r="G5845" s="24" t="str">
        <f>IF(OR(E5845="",E5845="!!!"),"",IF(OR(J5845=0,AND(J5845=1,K5845=1),AND(J5845=1,I5845="SBJ"),AND(J5845=1,I5845=0)),"?IN_FOCUS",IF(J5845&lt;=2,"?ACTIVATED",IF(J5845&lt;&gt;"","?FAMILIAR",IF(F5845="NEW",IF(ISNA(VLOOKUP(E5845,#REF!,1,FALSE())),"?TYPE_IDENTIFIABLE","?REFERENTIAL"),"_")))))</f>
        <v> </v>
      </c>
      <c r="H5845" s="25" t="str">
        <f>IF(J5845&lt;&gt;1,"",IF(I5845="SBJ","CB","?"))</f>
        <v> </v>
      </c>
      <c r="I5845" s="26" t="str">
        <f>IF(OR(E5845="",E5845="!!!",F5845="NEW"),"",INDEX(B5844:B$2,-1+SUMPRODUCT(MAX(ROW(E5844:E$2)*(E5845=E5844:E$2)))))</f>
        <v> </v>
      </c>
      <c r="J5845" s="26" t="str">
        <f>IF(OR(E5845="",E5845="!!!",F5845="NEW"),"",COUNTBLANK(OFFSET(A$1,,,SUMPRODUCT(MAX(ROW(E$2:E5845)*(E5845=E$2:E5845)))))-COUNTBLANK(OFFSET(A$1,,,SUMPRODUCT(MAX(ROW(E$1:E5844)*(E2=E$1:E5844))))))</f>
        <v> </v>
      </c>
      <c r="K5845" s="26" t="str">
        <f>IF(OR(E5845="",E5845="!!!",F5845="NEW"),"",INDEX(J$1:J5844,SUMPRODUCT(MAX(ROW(E$1:E5844)*(E5845=E$1:E5844)))))</f>
        <v> </v>
      </c>
      <c r="L5845" s="27"/>
    </row>
    <row r="5846" spans="1:12">
      <c r="A5846" s="20" t="s">
        <v>1173</v>
      </c>
      <c r="E5846" s="22">
        <f>IF(D5846="?OLD","!!!","")</f>
        <v/>
      </c>
      <c r="F5846" s="23" t="str">
        <f>IF(OR(E5846="",E5846="!!!"),"",IF(NOT(ISNA(VLOOKUP(E5846,E$1:E5845,1,FALSE()))),"OLD",IF(AND(E5846&lt;&gt;"",E5846&lt;&gt;"!!!"),"NEW","")))</f>
        <v> </v>
      </c>
      <c r="G5846" s="24" t="str">
        <f>IF(OR(E5846="",E5846="!!!"),"",IF(OR(J5846=0,AND(J5846=1,K5846=1),AND(J5846=1,I5846="SBJ"),AND(J5846=1,I5846=0)),"?IN_FOCUS",IF(J5846&lt;=2,"?ACTIVATED",IF(J5846&lt;&gt;"","?FAMILIAR",IF(F5846="NEW",IF(ISNA(VLOOKUP(E5846,#REF!,1,FALSE())),"?TYPE_IDENTIFIABLE","?REFERENTIAL"),"_")))))</f>
        <v> </v>
      </c>
      <c r="H5846" s="25" t="str">
        <f>IF(J5846&lt;&gt;1,"",IF(I5846="SBJ","CB","?"))</f>
        <v> </v>
      </c>
      <c r="I5846" s="26" t="str">
        <f>IF(OR(E5846="",E5846="!!!",F5846="NEW"),"",INDEX(B5845:B$2,-1+SUMPRODUCT(MAX(ROW(E5845:E$2)*(E5846=E5845:E$2)))))</f>
        <v> </v>
      </c>
      <c r="J5846" s="26" t="str">
        <f>IF(OR(E5846="",E5846="!!!",F5846="NEW"),"",COUNTBLANK(OFFSET(A$1,,,SUMPRODUCT(MAX(ROW(E$2:E5846)*(E5846=E$2:E5846)))))-COUNTBLANK(OFFSET(A$1,,,SUMPRODUCT(MAX(ROW(E$1:E5845)*(E2=E$1:E5845))))))</f>
        <v> </v>
      </c>
      <c r="K5846" s="26" t="str">
        <f>IF(OR(E5846="",E5846="!!!",F5846="NEW"),"",INDEX(J$1:J5845,SUMPRODUCT(MAX(ROW(E$1:E5845)*(E5846=E$1:E5845)))))</f>
        <v> </v>
      </c>
      <c r="L5846" s="27"/>
    </row>
    <row r="5847" spans="1:12">
      <c r="A5847" s="20" t="s">
        <v>1864</v>
      </c>
      <c r="E5847" s="22">
        <f>IF(D5847="?OLD","!!!","")</f>
        <v/>
      </c>
      <c r="F5847" s="23" t="str">
        <f>IF(OR(E5847="",E5847="!!!"),"",IF(NOT(ISNA(VLOOKUP(E5847,E$1:E5846,1,FALSE()))),"OLD",IF(AND(E5847&lt;&gt;"",E5847&lt;&gt;"!!!"),"NEW","")))</f>
        <v> </v>
      </c>
      <c r="G5847" s="24" t="str">
        <f>IF(OR(E5847="",E5847="!!!"),"",IF(OR(J5847=0,AND(J5847=1,K5847=1),AND(J5847=1,I5847="SBJ"),AND(J5847=1,I5847=0)),"?IN_FOCUS",IF(J5847&lt;=2,"?ACTIVATED",IF(J5847&lt;&gt;"","?FAMILIAR",IF(F5847="NEW",IF(ISNA(VLOOKUP(E5847,#REF!,1,FALSE())),"?TYPE_IDENTIFIABLE","?REFERENTIAL"),"_")))))</f>
        <v> </v>
      </c>
      <c r="H5847" s="25" t="str">
        <f>IF(J5847&lt;&gt;1,"",IF(I5847="SBJ","CB","?"))</f>
        <v> </v>
      </c>
      <c r="I5847" s="26" t="str">
        <f>IF(OR(E5847="",E5847="!!!",F5847="NEW"),"",INDEX(B5846:B$2,-1+SUMPRODUCT(MAX(ROW(E5846:E$2)*(E5847=E5846:E$2)))))</f>
        <v> </v>
      </c>
      <c r="J5847" s="26" t="str">
        <f>IF(OR(E5847="",E5847="!!!",F5847="NEW"),"",COUNTBLANK(OFFSET(A$1,,,SUMPRODUCT(MAX(ROW(E$2:E5847)*(E5847=E$2:E5847)))))-COUNTBLANK(OFFSET(A$1,,,SUMPRODUCT(MAX(ROW(E$1:E5846)*(E2=E$1:E5846))))))</f>
        <v> </v>
      </c>
      <c r="K5847" s="26" t="str">
        <f>IF(OR(E5847="",E5847="!!!",F5847="NEW"),"",INDEX(J$1:J5846,SUMPRODUCT(MAX(ROW(E$1:E5846)*(E5847=E$1:E5846)))))</f>
        <v> </v>
      </c>
      <c r="L5847" s="27"/>
    </row>
    <row r="5848" spans="1:12">
      <c r="A5848" s="20" t="s">
        <v>1032</v>
      </c>
      <c r="E5848" s="22">
        <f>IF(D5848="?OLD","!!!","")</f>
        <v/>
      </c>
      <c r="F5848" s="23" t="str">
        <f>IF(OR(E5848="",E5848="!!!"),"",IF(NOT(ISNA(VLOOKUP(E5848,E$1:E5847,1,FALSE()))),"OLD",IF(AND(E5848&lt;&gt;"",E5848&lt;&gt;"!!!"),"NEW","")))</f>
        <v> </v>
      </c>
      <c r="G5848" s="24" t="str">
        <f>IF(OR(E5848="",E5848="!!!"),"",IF(OR(J5848=0,AND(J5848=1,K5848=1),AND(J5848=1,I5848="SBJ"),AND(J5848=1,I5848=0)),"?IN_FOCUS",IF(J5848&lt;=2,"?ACTIVATED",IF(J5848&lt;&gt;"","?FAMILIAR",IF(F5848="NEW",IF(ISNA(VLOOKUP(E5848,#REF!,1,FALSE())),"?TYPE_IDENTIFIABLE","?REFERENTIAL"),"_")))))</f>
        <v> </v>
      </c>
      <c r="H5848" s="25" t="str">
        <f>IF(J5848&lt;&gt;1,"",IF(I5848="SBJ","CB","?"))</f>
        <v> </v>
      </c>
      <c r="I5848" s="26" t="str">
        <f>IF(OR(E5848="",E5848="!!!",F5848="NEW"),"",INDEX(B5847:B$2,-1+SUMPRODUCT(MAX(ROW(E5847:E$2)*(E5848=E5847:E$2)))))</f>
        <v> </v>
      </c>
      <c r="J5848" s="26" t="str">
        <f>IF(OR(E5848="",E5848="!!!",F5848="NEW"),"",COUNTBLANK(OFFSET(A$1,,,SUMPRODUCT(MAX(ROW(E$2:E5848)*(E5848=E$2:E5848)))))-COUNTBLANK(OFFSET(A$1,,,SUMPRODUCT(MAX(ROW(E$1:E5847)*(E2=E$1:E5847))))))</f>
        <v> </v>
      </c>
      <c r="K5848" s="26" t="str">
        <f>IF(OR(E5848="",E5848="!!!",F5848="NEW"),"",INDEX(J$1:J5847,SUMPRODUCT(MAX(ROW(E$1:E5847)*(E5848=E$1:E5847)))))</f>
        <v> </v>
      </c>
      <c r="L5848" s="27"/>
    </row>
    <row r="5849" spans="1:12">
      <c r="A5849" s="20" t="s">
        <v>1033</v>
      </c>
      <c r="E5849" s="22">
        <f>IF(D5849="?OLD","!!!","")</f>
        <v/>
      </c>
      <c r="F5849" s="23" t="str">
        <f>IF(OR(E5849="",E5849="!!!"),"",IF(NOT(ISNA(VLOOKUP(E5849,E$1:E5848,1,FALSE()))),"OLD",IF(AND(E5849&lt;&gt;"",E5849&lt;&gt;"!!!"),"NEW","")))</f>
        <v> </v>
      </c>
      <c r="G5849" s="24" t="str">
        <f>IF(OR(E5849="",E5849="!!!"),"",IF(OR(J5849=0,AND(J5849=1,K5849=1),AND(J5849=1,I5849="SBJ"),AND(J5849=1,I5849=0)),"?IN_FOCUS",IF(J5849&lt;=2,"?ACTIVATED",IF(J5849&lt;&gt;"","?FAMILIAR",IF(F5849="NEW",IF(ISNA(VLOOKUP(E5849,#REF!,1,FALSE())),"?TYPE_IDENTIFIABLE","?REFERENTIAL"),"_")))))</f>
        <v> </v>
      </c>
      <c r="H5849" s="25" t="str">
        <f>IF(J5849&lt;&gt;1,"",IF(I5849="SBJ","CB","?"))</f>
        <v> </v>
      </c>
      <c r="I5849" s="26" t="str">
        <f>IF(OR(E5849="",E5849="!!!",F5849="NEW"),"",INDEX(B5848:B$2,-1+SUMPRODUCT(MAX(ROW(E5848:E$2)*(E5849=E5848:E$2)))))</f>
        <v> </v>
      </c>
      <c r="J5849" s="26" t="str">
        <f>IF(OR(E5849="",E5849="!!!",F5849="NEW"),"",COUNTBLANK(OFFSET(A$1,,,SUMPRODUCT(MAX(ROW(E$2:E5849)*(E5849=E$2:E5849)))))-COUNTBLANK(OFFSET(A$1,,,SUMPRODUCT(MAX(ROW(E$1:E5848)*(E2=E$1:E5848))))))</f>
        <v> </v>
      </c>
      <c r="K5849" s="26" t="str">
        <f>IF(OR(E5849="",E5849="!!!",F5849="NEW"),"",INDEX(J$1:J5848,SUMPRODUCT(MAX(ROW(E$1:E5848)*(E5849=E$1:E5848)))))</f>
        <v> </v>
      </c>
      <c r="L5849" s="27"/>
    </row>
    <row r="5850" spans="1:12">
      <c r="A5850" s="20" t="s">
        <v>1132</v>
      </c>
      <c r="E5850" s="22">
        <f>IF(D5850="?OLD","!!!","")</f>
        <v/>
      </c>
      <c r="F5850" s="23" t="str">
        <f>IF(OR(E5850="",E5850="!!!"),"",IF(NOT(ISNA(VLOOKUP(E5850,E$1:E5849,1,FALSE()))),"OLD",IF(AND(E5850&lt;&gt;"",E5850&lt;&gt;"!!!"),"NEW","")))</f>
        <v> </v>
      </c>
      <c r="G5850" s="24" t="str">
        <f>IF(OR(E5850="",E5850="!!!"),"",IF(OR(J5850=0,AND(J5850=1,K5850=1),AND(J5850=1,I5850="SBJ"),AND(J5850=1,I5850=0)),"?IN_FOCUS",IF(J5850&lt;=2,"?ACTIVATED",IF(J5850&lt;&gt;"","?FAMILIAR",IF(F5850="NEW",IF(ISNA(VLOOKUP(E5850,#REF!,1,FALSE())),"?TYPE_IDENTIFIABLE","?REFERENTIAL"),"_")))))</f>
        <v> </v>
      </c>
      <c r="H5850" s="25" t="str">
        <f>IF(J5850&lt;&gt;1,"",IF(I5850="SBJ","CB","?"))</f>
        <v> </v>
      </c>
      <c r="I5850" s="26" t="str">
        <f>IF(OR(E5850="",E5850="!!!",F5850="NEW"),"",INDEX(B5849:B$2,-1+SUMPRODUCT(MAX(ROW(E5849:E$2)*(E5850=E5849:E$2)))))</f>
        <v> </v>
      </c>
      <c r="J5850" s="26" t="str">
        <f>IF(OR(E5850="",E5850="!!!",F5850="NEW"),"",COUNTBLANK(OFFSET(A$1,,,SUMPRODUCT(MAX(ROW(E$2:E5850)*(E5850=E$2:E5850)))))-COUNTBLANK(OFFSET(A$1,,,SUMPRODUCT(MAX(ROW(E$1:E5849)*(E2=E$1:E5849))))))</f>
        <v> </v>
      </c>
      <c r="K5850" s="26" t="str">
        <f>IF(OR(E5850="",E5850="!!!",F5850="NEW"),"",INDEX(J$1:J5849,SUMPRODUCT(MAX(ROW(E$1:E5849)*(E5850=E$1:E5849)))))</f>
        <v> </v>
      </c>
      <c r="L5850" s="27"/>
    </row>
    <row r="5851" spans="1:12">
      <c r="A5851" s="20" t="s">
        <v>2281</v>
      </c>
      <c r="B5851" s="21" t="s">
        <v>1016</v>
      </c>
      <c r="C5851" s="21" t="s">
        <v>1035</v>
      </c>
      <c r="D5851" s="21" t="s">
        <v>1011</v>
      </c>
      <c r="E5851" s="22">
        <f>IF(D5851="?OLD","!!!","")</f>
        <v/>
      </c>
      <c r="F5851" s="23" t="str">
        <f>IF(OR(E5851="",E5851="!!!"),"",IF(NOT(ISNA(VLOOKUP(E5851,E$1:E5850,1,FALSE()))),"OLD",IF(AND(E5851&lt;&gt;"",E5851&lt;&gt;"!!!"),"NEW","")))</f>
        <v> </v>
      </c>
      <c r="G5851" s="24" t="str">
        <f>IF(OR(E5851="",E5851="!!!"),"",IF(OR(J5851=0,AND(J5851=1,K5851=1),AND(J5851=1,I5851="SBJ"),AND(J5851=1,I5851=0)),"?IN_FOCUS",IF(J5851&lt;=2,"?ACTIVATED",IF(J5851&lt;&gt;"","?FAMILIAR",IF(F5851="NEW",IF(ISNA(VLOOKUP(E5851,#REF!,1,FALSE())),"?TYPE_IDENTIFIABLE","?REFERENTIAL"),"_")))))</f>
        <v> </v>
      </c>
      <c r="H5851" s="25" t="str">
        <f>IF(J5851&lt;&gt;1,"",IF(I5851="SBJ","CB","?"))</f>
        <v> </v>
      </c>
      <c r="I5851" s="26" t="str">
        <f>IF(OR(E5851="",E5851="!!!",F5851="NEW"),"",INDEX(B5850:B$2,-1+SUMPRODUCT(MAX(ROW(E5850:E$2)*(E5851=E5850:E$2)))))</f>
        <v> </v>
      </c>
      <c r="J5851" s="26" t="str">
        <f>IF(OR(E5851="",E5851="!!!",F5851="NEW"),"",COUNTBLANK(OFFSET(A$1,,,SUMPRODUCT(MAX(ROW(E$2:E5851)*(E5851=E$2:E5851)))))-COUNTBLANK(OFFSET(A$1,,,SUMPRODUCT(MAX(ROW(E$1:E5850)*(E2=E$1:E5850))))))</f>
        <v> </v>
      </c>
      <c r="K5851" s="26" t="str">
        <f>IF(OR(E5851="",E5851="!!!",F5851="NEW"),"",INDEX(J$1:J5850,SUMPRODUCT(MAX(ROW(E$1:E5850)*(E5851=E$1:E5850)))))</f>
        <v> </v>
      </c>
      <c r="L5851" s="27"/>
    </row>
    <row r="5852" spans="1:12">
      <c r="A5852" s="20" t="s">
        <v>2282</v>
      </c>
      <c r="E5852" s="22">
        <f>IF(D5852="?OLD","!!!","")</f>
        <v/>
      </c>
      <c r="F5852" s="23" t="str">
        <f>IF(OR(E5852="",E5852="!!!"),"",IF(NOT(ISNA(VLOOKUP(E5852,E$1:E5851,1,FALSE()))),"OLD",IF(AND(E5852&lt;&gt;"",E5852&lt;&gt;"!!!"),"NEW","")))</f>
        <v> </v>
      </c>
      <c r="G5852" s="24" t="str">
        <f>IF(OR(E5852="",E5852="!!!"),"",IF(OR(J5852=0,AND(J5852=1,K5852=1),AND(J5852=1,I5852="SBJ"),AND(J5852=1,I5852=0)),"?IN_FOCUS",IF(J5852&lt;=2,"?ACTIVATED",IF(J5852&lt;&gt;"","?FAMILIAR",IF(F5852="NEW",IF(ISNA(VLOOKUP(E5852,#REF!,1,FALSE())),"?TYPE_IDENTIFIABLE","?REFERENTIAL"),"_")))))</f>
        <v> </v>
      </c>
      <c r="H5852" s="25" t="str">
        <f>IF(J5852&lt;&gt;1,"",IF(I5852="SBJ","CB","?"))</f>
        <v> </v>
      </c>
      <c r="I5852" s="26" t="str">
        <f>IF(OR(E5852="",E5852="!!!",F5852="NEW"),"",INDEX(B5851:B$2,-1+SUMPRODUCT(MAX(ROW(E5851:E$2)*(E5852=E5851:E$2)))))</f>
        <v> </v>
      </c>
      <c r="J5852" s="26" t="str">
        <f>IF(OR(E5852="",E5852="!!!",F5852="NEW"),"",COUNTBLANK(OFFSET(A$1,,,SUMPRODUCT(MAX(ROW(E$2:E5852)*(E5852=E$2:E5852)))))-COUNTBLANK(OFFSET(A$1,,,SUMPRODUCT(MAX(ROW(E$1:E5851)*(E2=E$1:E5851))))))</f>
        <v> </v>
      </c>
      <c r="K5852" s="26" t="str">
        <f>IF(OR(E5852="",E5852="!!!",F5852="NEW"),"",INDEX(J$1:J5851,SUMPRODUCT(MAX(ROW(E$1:E5851)*(E5852=E$1:E5851)))))</f>
        <v> </v>
      </c>
      <c r="L5852" s="27"/>
    </row>
    <row r="5853" spans="1:12">
      <c r="A5853" s="20" t="s">
        <v>2283</v>
      </c>
      <c r="B5853" s="21" t="s">
        <v>1071</v>
      </c>
      <c r="C5853" s="21" t="s">
        <v>1040</v>
      </c>
      <c r="D5853" s="21" t="s">
        <v>1011</v>
      </c>
      <c r="E5853" s="22">
        <f>IF(D5853="?OLD","!!!","")</f>
        <v/>
      </c>
      <c r="F5853" s="23" t="str">
        <f>IF(OR(E5853="",E5853="!!!"),"",IF(NOT(ISNA(VLOOKUP(E5853,E$1:E5852,1,FALSE()))),"OLD",IF(AND(E5853&lt;&gt;"",E5853&lt;&gt;"!!!"),"NEW","")))</f>
        <v> </v>
      </c>
      <c r="G5853" s="24" t="str">
        <f>IF(OR(E5853="",E5853="!!!"),"",IF(OR(J5853=0,AND(J5853=1,K5853=1),AND(J5853=1,I5853="SBJ"),AND(J5853=1,I5853=0)),"?IN_FOCUS",IF(J5853&lt;=2,"?ACTIVATED",IF(J5853&lt;&gt;"","?FAMILIAR",IF(F5853="NEW",IF(ISNA(VLOOKUP(E5853,#REF!,1,FALSE())),"?TYPE_IDENTIFIABLE","?REFERENTIAL"),"_")))))</f>
        <v> </v>
      </c>
      <c r="H5853" s="25" t="str">
        <f>IF(J5853&lt;&gt;1,"",IF(I5853="SBJ","CB","?"))</f>
        <v> </v>
      </c>
      <c r="I5853" s="26" t="str">
        <f>IF(OR(E5853="",E5853="!!!",F5853="NEW"),"",INDEX(B5852:B$2,-1+SUMPRODUCT(MAX(ROW(E5852:E$2)*(E5853=E5852:E$2)))))</f>
        <v> </v>
      </c>
      <c r="J5853" s="26" t="str">
        <f>IF(OR(E5853="",E5853="!!!",F5853="NEW"),"",COUNTBLANK(OFFSET(A$1,,,SUMPRODUCT(MAX(ROW(E$2:E5853)*(E5853=E$2:E5853)))))-COUNTBLANK(OFFSET(A$1,,,SUMPRODUCT(MAX(ROW(E$1:E5852)*(E2=E$1:E5852))))))</f>
        <v> </v>
      </c>
      <c r="K5853" s="26" t="str">
        <f>IF(OR(E5853="",E5853="!!!",F5853="NEW"),"",INDEX(J$1:J5852,SUMPRODUCT(MAX(ROW(E$1:E5852)*(E5853=E$1:E5852)))))</f>
        <v> </v>
      </c>
      <c r="L5853" s="27"/>
    </row>
    <row r="5854" spans="1:12">
      <c r="A5854" s="20" t="s">
        <v>1032</v>
      </c>
      <c r="E5854" s="22">
        <f>IF(D5854="?OLD","!!!","")</f>
        <v/>
      </c>
      <c r="F5854" s="23" t="str">
        <f>IF(OR(E5854="",E5854="!!!"),"",IF(NOT(ISNA(VLOOKUP(E5854,E$1:E5853,1,FALSE()))),"OLD",IF(AND(E5854&lt;&gt;"",E5854&lt;&gt;"!!!"),"NEW","")))</f>
        <v> </v>
      </c>
      <c r="G5854" s="24" t="str">
        <f>IF(OR(E5854="",E5854="!!!"),"",IF(OR(J5854=0,AND(J5854=1,K5854=1),AND(J5854=1,I5854="SBJ"),AND(J5854=1,I5854=0)),"?IN_FOCUS",IF(J5854&lt;=2,"?ACTIVATED",IF(J5854&lt;&gt;"","?FAMILIAR",IF(F5854="NEW",IF(ISNA(VLOOKUP(E5854,#REF!,1,FALSE())),"?TYPE_IDENTIFIABLE","?REFERENTIAL"),"_")))))</f>
        <v> </v>
      </c>
      <c r="H5854" s="25" t="str">
        <f>IF(J5854&lt;&gt;1,"",IF(I5854="SBJ","CB","?"))</f>
        <v> </v>
      </c>
      <c r="I5854" s="26" t="str">
        <f>IF(OR(E5854="",E5854="!!!",F5854="NEW"),"",INDEX(B5853:B$2,-1+SUMPRODUCT(MAX(ROW(E5853:E$2)*(E5854=E5853:E$2)))))</f>
        <v> </v>
      </c>
      <c r="J5854" s="26" t="str">
        <f>IF(OR(E5854="",E5854="!!!",F5854="NEW"),"",COUNTBLANK(OFFSET(A$1,,,SUMPRODUCT(MAX(ROW(E$2:E5854)*(E5854=E$2:E5854)))))-COUNTBLANK(OFFSET(A$1,,,SUMPRODUCT(MAX(ROW(E$1:E5853)*(E2=E$1:E5853))))))</f>
        <v> </v>
      </c>
      <c r="K5854" s="26" t="str">
        <f>IF(OR(E5854="",E5854="!!!",F5854="NEW"),"",INDEX(J$1:J5853,SUMPRODUCT(MAX(ROW(E$1:E5853)*(E5854=E$1:E5853)))))</f>
        <v> </v>
      </c>
      <c r="L5854" s="27"/>
    </row>
    <row r="5855" spans="1:12">
      <c r="A5855" s="20" t="s">
        <v>1864</v>
      </c>
      <c r="E5855" s="22">
        <f>IF(D5855="?OLD","!!!","")</f>
        <v/>
      </c>
      <c r="F5855" s="23" t="str">
        <f>IF(OR(E5855="",E5855="!!!"),"",IF(NOT(ISNA(VLOOKUP(E5855,E$1:E5854,1,FALSE()))),"OLD",IF(AND(E5855&lt;&gt;"",E5855&lt;&gt;"!!!"),"NEW","")))</f>
        <v> </v>
      </c>
      <c r="G5855" s="24" t="str">
        <f>IF(OR(E5855="",E5855="!!!"),"",IF(OR(J5855=0,AND(J5855=1,K5855=1),AND(J5855=1,I5855="SBJ"),AND(J5855=1,I5855=0)),"?IN_FOCUS",IF(J5855&lt;=2,"?ACTIVATED",IF(J5855&lt;&gt;"","?FAMILIAR",IF(F5855="NEW",IF(ISNA(VLOOKUP(E5855,#REF!,1,FALSE())),"?TYPE_IDENTIFIABLE","?REFERENTIAL"),"_")))))</f>
        <v> </v>
      </c>
      <c r="H5855" s="25" t="str">
        <f>IF(J5855&lt;&gt;1,"",IF(I5855="SBJ","CB","?"))</f>
        <v> </v>
      </c>
      <c r="I5855" s="26" t="str">
        <f>IF(OR(E5855="",E5855="!!!",F5855="NEW"),"",INDEX(B5854:B$2,-1+SUMPRODUCT(MAX(ROW(E5854:E$2)*(E5855=E5854:E$2)))))</f>
        <v> </v>
      </c>
      <c r="J5855" s="26" t="str">
        <f>IF(OR(E5855="",E5855="!!!",F5855="NEW"),"",COUNTBLANK(OFFSET(A$1,,,SUMPRODUCT(MAX(ROW(E$2:E5855)*(E5855=E$2:E5855)))))-COUNTBLANK(OFFSET(A$1,,,SUMPRODUCT(MAX(ROW(E$1:E5854)*(E2=E$1:E5854))))))</f>
        <v> </v>
      </c>
      <c r="K5855" s="26" t="str">
        <f>IF(OR(E5855="",E5855="!!!",F5855="NEW"),"",INDEX(J$1:J5854,SUMPRODUCT(MAX(ROW(E$1:E5854)*(E5855=E$1:E5854)))))</f>
        <v> </v>
      </c>
      <c r="L5855" s="27"/>
    </row>
    <row r="5856" spans="1:12">
      <c r="A5856" s="20" t="s">
        <v>2284</v>
      </c>
      <c r="E5856" s="22">
        <f>IF(D5856="?OLD","!!!","")</f>
        <v/>
      </c>
      <c r="F5856" s="23" t="str">
        <f>IF(OR(E5856="",E5856="!!!"),"",IF(NOT(ISNA(VLOOKUP(E5856,E$1:E5855,1,FALSE()))),"OLD",IF(AND(E5856&lt;&gt;"",E5856&lt;&gt;"!!!"),"NEW","")))</f>
        <v> </v>
      </c>
      <c r="G5856" s="24" t="str">
        <f>IF(OR(E5856="",E5856="!!!"),"",IF(OR(J5856=0,AND(J5856=1,K5856=1),AND(J5856=1,I5856="SBJ"),AND(J5856=1,I5856=0)),"?IN_FOCUS",IF(J5856&lt;=2,"?ACTIVATED",IF(J5856&lt;&gt;"","?FAMILIAR",IF(F5856="NEW",IF(ISNA(VLOOKUP(E5856,#REF!,1,FALSE())),"?TYPE_IDENTIFIABLE","?REFERENTIAL"),"_")))))</f>
        <v> </v>
      </c>
      <c r="H5856" s="25" t="str">
        <f>IF(J5856&lt;&gt;1,"",IF(I5856="SBJ","CB","?"))</f>
        <v> </v>
      </c>
      <c r="I5856" s="26" t="str">
        <f>IF(OR(E5856="",E5856="!!!",F5856="NEW"),"",INDEX(B5855:B$2,-1+SUMPRODUCT(MAX(ROW(E5855:E$2)*(E5856=E5855:E$2)))))</f>
        <v> </v>
      </c>
      <c r="J5856" s="26" t="str">
        <f>IF(OR(E5856="",E5856="!!!",F5856="NEW"),"",COUNTBLANK(OFFSET(A$1,,,SUMPRODUCT(MAX(ROW(E$2:E5856)*(E5856=E$2:E5856)))))-COUNTBLANK(OFFSET(A$1,,,SUMPRODUCT(MAX(ROW(E$1:E5855)*(E2=E$1:E5855))))))</f>
        <v> </v>
      </c>
      <c r="K5856" s="26" t="str">
        <f>IF(OR(E5856="",E5856="!!!",F5856="NEW"),"",INDEX(J$1:J5855,SUMPRODUCT(MAX(ROW(E$1:E5855)*(E5856=E$1:E5855)))))</f>
        <v> </v>
      </c>
      <c r="L5856" s="27"/>
    </row>
    <row r="5857" spans="1:12">
      <c r="A5857" s="20" t="s">
        <v>1186</v>
      </c>
      <c r="E5857" s="22">
        <f>IF(D5857="?OLD","!!!","")</f>
        <v/>
      </c>
      <c r="F5857" s="23" t="str">
        <f>IF(OR(E5857="",E5857="!!!"),"",IF(NOT(ISNA(VLOOKUP(E5857,E$1:E5856,1,FALSE()))),"OLD",IF(AND(E5857&lt;&gt;"",E5857&lt;&gt;"!!!"),"NEW","")))</f>
        <v> </v>
      </c>
      <c r="G5857" s="24" t="str">
        <f>IF(OR(E5857="",E5857="!!!"),"",IF(OR(J5857=0,AND(J5857=1,K5857=1),AND(J5857=1,I5857="SBJ"),AND(J5857=1,I5857=0)),"?IN_FOCUS",IF(J5857&lt;=2,"?ACTIVATED",IF(J5857&lt;&gt;"","?FAMILIAR",IF(F5857="NEW",IF(ISNA(VLOOKUP(E5857,#REF!,1,FALSE())),"?TYPE_IDENTIFIABLE","?REFERENTIAL"),"_")))))</f>
        <v> </v>
      </c>
      <c r="H5857" s="25" t="str">
        <f>IF(J5857&lt;&gt;1,"",IF(I5857="SBJ","CB","?"))</f>
        <v> </v>
      </c>
      <c r="I5857" s="26" t="str">
        <f>IF(OR(E5857="",E5857="!!!",F5857="NEW"),"",INDEX(B5856:B$2,-1+SUMPRODUCT(MAX(ROW(E5856:E$2)*(E5857=E5856:E$2)))))</f>
        <v> </v>
      </c>
      <c r="J5857" s="26" t="str">
        <f>IF(OR(E5857="",E5857="!!!",F5857="NEW"),"",COUNTBLANK(OFFSET(A$1,,,SUMPRODUCT(MAX(ROW(E$2:E5857)*(E5857=E$2:E5857)))))-COUNTBLANK(OFFSET(A$1,,,SUMPRODUCT(MAX(ROW(E$1:E5856)*(E2=E$1:E5856))))))</f>
        <v> </v>
      </c>
      <c r="K5857" s="26" t="str">
        <f>IF(OR(E5857="",E5857="!!!",F5857="NEW"),"",INDEX(J$1:J5856,SUMPRODUCT(MAX(ROW(E$1:E5856)*(E5857=E$1:E5856)))))</f>
        <v> </v>
      </c>
      <c r="L5857" s="27"/>
    </row>
    <row r="5858" spans="1:12">
      <c r="A5858" s="20" t="s">
        <v>1042</v>
      </c>
      <c r="E5858" s="22">
        <f>IF(D5858="?OLD","!!!","")</f>
        <v/>
      </c>
      <c r="F5858" s="23" t="str">
        <f>IF(OR(E5858="",E5858="!!!"),"",IF(NOT(ISNA(VLOOKUP(E5858,E$1:E5857,1,FALSE()))),"OLD",IF(AND(E5858&lt;&gt;"",E5858&lt;&gt;"!!!"),"NEW","")))</f>
        <v> </v>
      </c>
      <c r="G5858" s="24" t="str">
        <f>IF(OR(E5858="",E5858="!!!"),"",IF(OR(J5858=0,AND(J5858=1,K5858=1),AND(J5858=1,I5858="SBJ"),AND(J5858=1,I5858=0)),"?IN_FOCUS",IF(J5858&lt;=2,"?ACTIVATED",IF(J5858&lt;&gt;"","?FAMILIAR",IF(F5858="NEW",IF(ISNA(VLOOKUP(E5858,#REF!,1,FALSE())),"?TYPE_IDENTIFIABLE","?REFERENTIAL"),"_")))))</f>
        <v> </v>
      </c>
      <c r="H5858" s="25" t="str">
        <f>IF(J5858&lt;&gt;1,"",IF(I5858="SBJ","CB","?"))</f>
        <v> </v>
      </c>
      <c r="I5858" s="26" t="str">
        <f>IF(OR(E5858="",E5858="!!!",F5858="NEW"),"",INDEX(B5857:B$2,-1+SUMPRODUCT(MAX(ROW(E5857:E$2)*(E5858=E5857:E$2)))))</f>
        <v> </v>
      </c>
      <c r="J5858" s="26" t="str">
        <f>IF(OR(E5858="",E5858="!!!",F5858="NEW"),"",COUNTBLANK(OFFSET(A$1,,,SUMPRODUCT(MAX(ROW(E$2:E5858)*(E5858=E$2:E5858)))))-COUNTBLANK(OFFSET(A$1,,,SUMPRODUCT(MAX(ROW(E$1:E5857)*(E2=E$1:E5857))))))</f>
        <v> </v>
      </c>
      <c r="K5858" s="26" t="str">
        <f>IF(OR(E5858="",E5858="!!!",F5858="NEW"),"",INDEX(J$1:J5857,SUMPRODUCT(MAX(ROW(E$1:E5857)*(E5858=E$1:E5857)))))</f>
        <v> </v>
      </c>
      <c r="L5858" s="27"/>
    </row>
    <row r="5859" spans="1:12">
      <c r="A5859" s="20" t="s">
        <v>2285</v>
      </c>
      <c r="E5859" s="22">
        <f>IF(D5859="?OLD","!!!","")</f>
        <v/>
      </c>
      <c r="F5859" s="23" t="str">
        <f>IF(OR(E5859="",E5859="!!!"),"",IF(NOT(ISNA(VLOOKUP(E5859,E$1:E5858,1,FALSE()))),"OLD",IF(AND(E5859&lt;&gt;"",E5859&lt;&gt;"!!!"),"NEW","")))</f>
        <v> </v>
      </c>
      <c r="G5859" s="24" t="str">
        <f>IF(OR(E5859="",E5859="!!!"),"",IF(OR(J5859=0,AND(J5859=1,K5859=1),AND(J5859=1,I5859="SBJ"),AND(J5859=1,I5859=0)),"?IN_FOCUS",IF(J5859&lt;=2,"?ACTIVATED",IF(J5859&lt;&gt;"","?FAMILIAR",IF(F5859="NEW",IF(ISNA(VLOOKUP(E5859,#REF!,1,FALSE())),"?TYPE_IDENTIFIABLE","?REFERENTIAL"),"_")))))</f>
        <v> </v>
      </c>
      <c r="H5859" s="25" t="str">
        <f>IF(J5859&lt;&gt;1,"",IF(I5859="SBJ","CB","?"))</f>
        <v> </v>
      </c>
      <c r="I5859" s="26" t="str">
        <f>IF(OR(E5859="",E5859="!!!",F5859="NEW"),"",INDEX(B5858:B$2,-1+SUMPRODUCT(MAX(ROW(E5858:E$2)*(E5859=E5858:E$2)))))</f>
        <v> </v>
      </c>
      <c r="J5859" s="26" t="str">
        <f>IF(OR(E5859="",E5859="!!!",F5859="NEW"),"",COUNTBLANK(OFFSET(A$1,,,SUMPRODUCT(MAX(ROW(E$2:E5859)*(E5859=E$2:E5859)))))-COUNTBLANK(OFFSET(A$1,,,SUMPRODUCT(MAX(ROW(E$1:E5858)*(E2=E$1:E5858))))))</f>
        <v> </v>
      </c>
      <c r="K5859" s="26" t="str">
        <f>IF(OR(E5859="",E5859="!!!",F5859="NEW"),"",INDEX(J$1:J5858,SUMPRODUCT(MAX(ROW(E$1:E5858)*(E5859=E$1:E5858)))))</f>
        <v> </v>
      </c>
      <c r="L5859" s="27"/>
    </row>
    <row r="5860" spans="1:12">
      <c r="A5860" s="20" t="s">
        <v>2286</v>
      </c>
      <c r="B5860" s="21" t="s">
        <v>1021</v>
      </c>
      <c r="C5860" s="21" t="s">
        <v>1044</v>
      </c>
      <c r="D5860" s="21" t="s">
        <v>1011</v>
      </c>
      <c r="E5860" s="22">
        <f>IF(D5860="?OLD","!!!","")</f>
        <v/>
      </c>
      <c r="F5860" s="23" t="str">
        <f>IF(OR(E5860="",E5860="!!!"),"",IF(NOT(ISNA(VLOOKUP(E5860,E$1:E5859,1,FALSE()))),"OLD",IF(AND(E5860&lt;&gt;"",E5860&lt;&gt;"!!!"),"NEW","")))</f>
        <v> </v>
      </c>
      <c r="G5860" s="24" t="str">
        <f>IF(OR(E5860="",E5860="!!!"),"",IF(OR(J5860=0,AND(J5860=1,K5860=1),AND(J5860=1,I5860="SBJ"),AND(J5860=1,I5860=0)),"?IN_FOCUS",IF(J5860&lt;=2,"?ACTIVATED",IF(J5860&lt;&gt;"","?FAMILIAR",IF(F5860="NEW",IF(ISNA(VLOOKUP(E5860,#REF!,1,FALSE())),"?TYPE_IDENTIFIABLE","?REFERENTIAL"),"_")))))</f>
        <v> </v>
      </c>
      <c r="H5860" s="25" t="str">
        <f>IF(J5860&lt;&gt;1,"",IF(I5860="SBJ","CB","?"))</f>
        <v> </v>
      </c>
      <c r="I5860" s="26" t="str">
        <f>IF(OR(E5860="",E5860="!!!",F5860="NEW"),"",INDEX(B5859:B$2,-1+SUMPRODUCT(MAX(ROW(E5859:E$2)*(E5860=E5859:E$2)))))</f>
        <v> </v>
      </c>
      <c r="J5860" s="26" t="str">
        <f>IF(OR(E5860="",E5860="!!!",F5860="NEW"),"",COUNTBLANK(OFFSET(A$1,,,SUMPRODUCT(MAX(ROW(E$2:E5860)*(E5860=E$2:E5860)))))-COUNTBLANK(OFFSET(A$1,,,SUMPRODUCT(MAX(ROW(E$1:E5859)*(E2=E$1:E5859))))))</f>
        <v> </v>
      </c>
      <c r="K5860" s="26" t="str">
        <f>IF(OR(E5860="",E5860="!!!",F5860="NEW"),"",INDEX(J$1:J5859,SUMPRODUCT(MAX(ROW(E$1:E5859)*(E5860=E$1:E5859)))))</f>
        <v> </v>
      </c>
      <c r="L5860" s="27"/>
    </row>
    <row r="5861" spans="1:12">
      <c r="A5861" s="20" t="s">
        <v>1032</v>
      </c>
      <c r="E5861" s="22">
        <f>IF(D5861="?OLD","!!!","")</f>
        <v/>
      </c>
      <c r="F5861" s="23" t="str">
        <f>IF(OR(E5861="",E5861="!!!"),"",IF(NOT(ISNA(VLOOKUP(E5861,E$1:E5860,1,FALSE()))),"OLD",IF(AND(E5861&lt;&gt;"",E5861&lt;&gt;"!!!"),"NEW","")))</f>
        <v> </v>
      </c>
      <c r="G5861" s="24" t="str">
        <f>IF(OR(E5861="",E5861="!!!"),"",IF(OR(J5861=0,AND(J5861=1,K5861=1),AND(J5861=1,I5861="SBJ"),AND(J5861=1,I5861=0)),"?IN_FOCUS",IF(J5861&lt;=2,"?ACTIVATED",IF(J5861&lt;&gt;"","?FAMILIAR",IF(F5861="NEW",IF(ISNA(VLOOKUP(E5861,#REF!,1,FALSE())),"?TYPE_IDENTIFIABLE","?REFERENTIAL"),"_")))))</f>
        <v> </v>
      </c>
      <c r="H5861" s="25" t="str">
        <f>IF(J5861&lt;&gt;1,"",IF(I5861="SBJ","CB","?"))</f>
        <v> </v>
      </c>
      <c r="I5861" s="26" t="str">
        <f>IF(OR(E5861="",E5861="!!!",F5861="NEW"),"",INDEX(B5860:B$2,-1+SUMPRODUCT(MAX(ROW(E5860:E$2)*(E5861=E5860:E$2)))))</f>
        <v> </v>
      </c>
      <c r="J5861" s="26" t="str">
        <f>IF(OR(E5861="",E5861="!!!",F5861="NEW"),"",COUNTBLANK(OFFSET(A$1,,,SUMPRODUCT(MAX(ROW(E$2:E5861)*(E5861=E$2:E5861)))))-COUNTBLANK(OFFSET(A$1,,,SUMPRODUCT(MAX(ROW(E$1:E5860)*(E2=E$1:E5860))))))</f>
        <v> </v>
      </c>
      <c r="K5861" s="26" t="str">
        <f>IF(OR(E5861="",E5861="!!!",F5861="NEW"),"",INDEX(J$1:J5860,SUMPRODUCT(MAX(ROW(E$1:E5860)*(E5861=E$1:E5860)))))</f>
        <v> </v>
      </c>
      <c r="L5861" s="27"/>
    </row>
    <row r="5862" spans="1:12">
      <c r="A5862" s="20" t="s">
        <v>1234</v>
      </c>
      <c r="E5862" s="22">
        <f>IF(D5862="?OLD","!!!","")</f>
        <v/>
      </c>
      <c r="F5862" s="23" t="str">
        <f>IF(OR(E5862="",E5862="!!!"),"",IF(NOT(ISNA(VLOOKUP(E5862,E$1:E5861,1,FALSE()))),"OLD",IF(AND(E5862&lt;&gt;"",E5862&lt;&gt;"!!!"),"NEW","")))</f>
        <v> </v>
      </c>
      <c r="G5862" s="24" t="str">
        <f>IF(OR(E5862="",E5862="!!!"),"",IF(OR(J5862=0,AND(J5862=1,K5862=1),AND(J5862=1,I5862="SBJ"),AND(J5862=1,I5862=0)),"?IN_FOCUS",IF(J5862&lt;=2,"?ACTIVATED",IF(J5862&lt;&gt;"","?FAMILIAR",IF(F5862="NEW",IF(ISNA(VLOOKUP(E5862,#REF!,1,FALSE())),"?TYPE_IDENTIFIABLE","?REFERENTIAL"),"_")))))</f>
        <v> </v>
      </c>
      <c r="H5862" s="25" t="str">
        <f>IF(J5862&lt;&gt;1,"",IF(I5862="SBJ","CB","?"))</f>
        <v> </v>
      </c>
      <c r="I5862" s="26" t="str">
        <f>IF(OR(E5862="",E5862="!!!",F5862="NEW"),"",INDEX(B5861:B$2,-1+SUMPRODUCT(MAX(ROW(E5861:E$2)*(E5862=E5861:E$2)))))</f>
        <v> </v>
      </c>
      <c r="J5862" s="26" t="str">
        <f>IF(OR(E5862="",E5862="!!!",F5862="NEW"),"",COUNTBLANK(OFFSET(A$1,,,SUMPRODUCT(MAX(ROW(E$2:E5862)*(E5862=E$2:E5862)))))-COUNTBLANK(OFFSET(A$1,,,SUMPRODUCT(MAX(ROW(E$1:E5861)*(E2=E$1:E5861))))))</f>
        <v> </v>
      </c>
      <c r="K5862" s="26" t="str">
        <f>IF(OR(E5862="",E5862="!!!",F5862="NEW"),"",INDEX(J$1:J5861,SUMPRODUCT(MAX(ROW(E$1:E5861)*(E5862=E$1:E5861)))))</f>
        <v> </v>
      </c>
      <c r="L5862" s="27"/>
    </row>
    <row r="5863" spans="1:12">
      <c r="A5863" s="20" t="s">
        <v>2287</v>
      </c>
      <c r="B5863" s="21" t="s">
        <v>1039</v>
      </c>
      <c r="C5863" s="21" t="s">
        <v>1010</v>
      </c>
      <c r="D5863" s="21" t="s">
        <v>1011</v>
      </c>
      <c r="E5863" s="22">
        <f>IF(D5863="?OLD","!!!","")</f>
        <v/>
      </c>
      <c r="F5863" s="23" t="str">
        <f>IF(OR(E5863="",E5863="!!!"),"",IF(NOT(ISNA(VLOOKUP(E5863,E$1:E5862,1,FALSE()))),"OLD",IF(AND(E5863&lt;&gt;"",E5863&lt;&gt;"!!!"),"NEW","")))</f>
        <v> </v>
      </c>
      <c r="G5863" s="24" t="str">
        <f>IF(OR(E5863="",E5863="!!!"),"",IF(OR(J5863=0,AND(J5863=1,K5863=1),AND(J5863=1,I5863="SBJ"),AND(J5863=1,I5863=0)),"?IN_FOCUS",IF(J5863&lt;=2,"?ACTIVATED",IF(J5863&lt;&gt;"","?FAMILIAR",IF(F5863="NEW",IF(ISNA(VLOOKUP(E5863,#REF!,1,FALSE())),"?TYPE_IDENTIFIABLE","?REFERENTIAL"),"_")))))</f>
        <v> </v>
      </c>
      <c r="H5863" s="25" t="str">
        <f>IF(J5863&lt;&gt;1,"",IF(I5863="SBJ","CB","?"))</f>
        <v> </v>
      </c>
      <c r="I5863" s="26" t="str">
        <f>IF(OR(E5863="",E5863="!!!",F5863="NEW"),"",INDEX(B5862:B$2,-1+SUMPRODUCT(MAX(ROW(E5862:E$2)*(E5863=E5862:E$2)))))</f>
        <v> </v>
      </c>
      <c r="J5863" s="26" t="str">
        <f>IF(OR(E5863="",E5863="!!!",F5863="NEW"),"",COUNTBLANK(OFFSET(A$1,,,SUMPRODUCT(MAX(ROW(E$2:E5863)*(E5863=E$2:E5863)))))-COUNTBLANK(OFFSET(A$1,,,SUMPRODUCT(MAX(ROW(E$1:E5862)*(E2=E$1:E5862))))))</f>
        <v> </v>
      </c>
      <c r="K5863" s="26" t="str">
        <f>IF(OR(E5863="",E5863="!!!",F5863="NEW"),"",INDEX(J$1:J5862,SUMPRODUCT(MAX(ROW(E$1:E5862)*(E5863=E$1:E5862)))))</f>
        <v> </v>
      </c>
      <c r="L5863" s="27"/>
    </row>
    <row r="5864" spans="1:12">
      <c r="A5864" s="20" t="s">
        <v>1173</v>
      </c>
      <c r="E5864" s="22">
        <f>IF(D5864="?OLD","!!!","")</f>
        <v/>
      </c>
      <c r="F5864" s="23" t="str">
        <f>IF(OR(E5864="",E5864="!!!"),"",IF(NOT(ISNA(VLOOKUP(E5864,E$1:E5863,1,FALSE()))),"OLD",IF(AND(E5864&lt;&gt;"",E5864&lt;&gt;"!!!"),"NEW","")))</f>
        <v> </v>
      </c>
      <c r="G5864" s="24" t="str">
        <f>IF(OR(E5864="",E5864="!!!"),"",IF(OR(J5864=0,AND(J5864=1,K5864=1),AND(J5864=1,I5864="SBJ"),AND(J5864=1,I5864=0)),"?IN_FOCUS",IF(J5864&lt;=2,"?ACTIVATED",IF(J5864&lt;&gt;"","?FAMILIAR",IF(F5864="NEW",IF(ISNA(VLOOKUP(E5864,#REF!,1,FALSE())),"?TYPE_IDENTIFIABLE","?REFERENTIAL"),"_")))))</f>
        <v> </v>
      </c>
      <c r="H5864" s="25" t="str">
        <f>IF(J5864&lt;&gt;1,"",IF(I5864="SBJ","CB","?"))</f>
        <v> </v>
      </c>
      <c r="I5864" s="26" t="str">
        <f>IF(OR(E5864="",E5864="!!!",F5864="NEW"),"",INDEX(B5863:B$2,-1+SUMPRODUCT(MAX(ROW(E5863:E$2)*(E5864=E5863:E$2)))))</f>
        <v> </v>
      </c>
      <c r="J5864" s="26" t="str">
        <f>IF(OR(E5864="",E5864="!!!",F5864="NEW"),"",COUNTBLANK(OFFSET(A$1,,,SUMPRODUCT(MAX(ROW(E$2:E5864)*(E5864=E$2:E5864)))))-COUNTBLANK(OFFSET(A$1,,,SUMPRODUCT(MAX(ROW(E$1:E5863)*(E2=E$1:E5863))))))</f>
        <v> </v>
      </c>
      <c r="K5864" s="26" t="str">
        <f>IF(OR(E5864="",E5864="!!!",F5864="NEW"),"",INDEX(J$1:J5863,SUMPRODUCT(MAX(ROW(E$1:E5863)*(E5864=E$1:E5863)))))</f>
        <v> </v>
      </c>
      <c r="L5864" s="27"/>
    </row>
    <row r="5865" spans="1:12">
      <c r="A5865" s="20" t="s">
        <v>2288</v>
      </c>
      <c r="E5865" s="22">
        <f>IF(D5865="?OLD","!!!","")</f>
        <v/>
      </c>
      <c r="F5865" s="23" t="str">
        <f>IF(OR(E5865="",E5865="!!!"),"",IF(NOT(ISNA(VLOOKUP(E5865,E$1:E5864,1,FALSE()))),"OLD",IF(AND(E5865&lt;&gt;"",E5865&lt;&gt;"!!!"),"NEW","")))</f>
        <v> </v>
      </c>
      <c r="G5865" s="24" t="str">
        <f>IF(OR(E5865="",E5865="!!!"),"",IF(OR(J5865=0,AND(J5865=1,K5865=1),AND(J5865=1,I5865="SBJ"),AND(J5865=1,I5865=0)),"?IN_FOCUS",IF(J5865&lt;=2,"?ACTIVATED",IF(J5865&lt;&gt;"","?FAMILIAR",IF(F5865="NEW",IF(ISNA(VLOOKUP(E5865,#REF!,1,FALSE())),"?TYPE_IDENTIFIABLE","?REFERENTIAL"),"_")))))</f>
        <v> </v>
      </c>
      <c r="H5865" s="25" t="str">
        <f>IF(J5865&lt;&gt;1,"",IF(I5865="SBJ","CB","?"))</f>
        <v> </v>
      </c>
      <c r="I5865" s="26" t="str">
        <f>IF(OR(E5865="",E5865="!!!",F5865="NEW"),"",INDEX(B5864:B$2,-1+SUMPRODUCT(MAX(ROW(E5864:E$2)*(E5865=E5864:E$2)))))</f>
        <v> </v>
      </c>
      <c r="J5865" s="26" t="str">
        <f>IF(OR(E5865="",E5865="!!!",F5865="NEW"),"",COUNTBLANK(OFFSET(A$1,,,SUMPRODUCT(MAX(ROW(E$2:E5865)*(E5865=E$2:E5865)))))-COUNTBLANK(OFFSET(A$1,,,SUMPRODUCT(MAX(ROW(E$1:E5864)*(E2=E$1:E5864))))))</f>
        <v> </v>
      </c>
      <c r="K5865" s="26" t="str">
        <f>IF(OR(E5865="",E5865="!!!",F5865="NEW"),"",INDEX(J$1:J5864,SUMPRODUCT(MAX(ROW(E$1:E5864)*(E5865=E$1:E5864)))))</f>
        <v> </v>
      </c>
      <c r="L5865" s="27"/>
    </row>
    <row r="5866" spans="1:12">
      <c r="A5866" s="20" t="s">
        <v>1025</v>
      </c>
      <c r="B5866" s="21" t="s">
        <v>1175</v>
      </c>
      <c r="C5866" s="21" t="s">
        <v>1026</v>
      </c>
      <c r="D5866" s="21" t="s">
        <v>1011</v>
      </c>
      <c r="E5866" s="22">
        <f>IF(D5866="?OLD","!!!","")</f>
        <v/>
      </c>
      <c r="F5866" s="23" t="str">
        <f>IF(OR(E5866="",E5866="!!!"),"",IF(NOT(ISNA(VLOOKUP(E5866,E$1:E5865,1,FALSE()))),"OLD",IF(AND(E5866&lt;&gt;"",E5866&lt;&gt;"!!!"),"NEW","")))</f>
        <v> </v>
      </c>
      <c r="G5866" s="24" t="str">
        <f>IF(OR(E5866="",E5866="!!!"),"",IF(OR(J5866=0,AND(J5866=1,K5866=1),AND(J5866=1,I5866="SBJ"),AND(J5866=1,I5866=0)),"?IN_FOCUS",IF(J5866&lt;=2,"?ACTIVATED",IF(J5866&lt;&gt;"","?FAMILIAR",IF(F5866="NEW",IF(ISNA(VLOOKUP(E5866,#REF!,1,FALSE())),"?TYPE_IDENTIFIABLE","?REFERENTIAL"),"_")))))</f>
        <v> </v>
      </c>
      <c r="H5866" s="25" t="str">
        <f>IF(J5866&lt;&gt;1,"",IF(I5866="SBJ","CB","?"))</f>
        <v> </v>
      </c>
      <c r="I5866" s="26" t="str">
        <f>IF(OR(E5866="",E5866="!!!",F5866="NEW"),"",INDEX(B5865:B$2,-1+SUMPRODUCT(MAX(ROW(E5865:E$2)*(E5866=E5865:E$2)))))</f>
        <v> </v>
      </c>
      <c r="J5866" s="26" t="str">
        <f>IF(OR(E5866="",E5866="!!!",F5866="NEW"),"",COUNTBLANK(OFFSET(A$1,,,SUMPRODUCT(MAX(ROW(E$2:E5866)*(E5866=E$2:E5866)))))-COUNTBLANK(OFFSET(A$1,,,SUMPRODUCT(MAX(ROW(E$1:E5865)*(E2=E$1:E5865))))))</f>
        <v> </v>
      </c>
      <c r="K5866" s="26" t="str">
        <f>IF(OR(E5866="",E5866="!!!",F5866="NEW"),"",INDEX(J$1:J5865,SUMPRODUCT(MAX(ROW(E$1:E5865)*(E5866=E$1:E5865)))))</f>
        <v> </v>
      </c>
      <c r="L5866" s="27"/>
    </row>
    <row r="5867" spans="1:12">
      <c r="A5867" s="20" t="s">
        <v>1173</v>
      </c>
      <c r="E5867" s="22">
        <f>IF(D5867="?OLD","!!!","")</f>
        <v/>
      </c>
      <c r="F5867" s="23" t="str">
        <f>IF(OR(E5867="",E5867="!!!"),"",IF(NOT(ISNA(VLOOKUP(E5867,E$1:E5866,1,FALSE()))),"OLD",IF(AND(E5867&lt;&gt;"",E5867&lt;&gt;"!!!"),"NEW","")))</f>
        <v> </v>
      </c>
      <c r="G5867" s="24" t="str">
        <f>IF(OR(E5867="",E5867="!!!"),"",IF(OR(J5867=0,AND(J5867=1,K5867=1),AND(J5867=1,I5867="SBJ"),AND(J5867=1,I5867=0)),"?IN_FOCUS",IF(J5867&lt;=2,"?ACTIVATED",IF(J5867&lt;&gt;"","?FAMILIAR",IF(F5867="NEW",IF(ISNA(VLOOKUP(E5867,#REF!,1,FALSE())),"?TYPE_IDENTIFIABLE","?REFERENTIAL"),"_")))))</f>
        <v> </v>
      </c>
      <c r="H5867" s="25" t="str">
        <f>IF(J5867&lt;&gt;1,"",IF(I5867="SBJ","CB","?"))</f>
        <v> </v>
      </c>
      <c r="I5867" s="26" t="str">
        <f>IF(OR(E5867="",E5867="!!!",F5867="NEW"),"",INDEX(B5866:B$2,-1+SUMPRODUCT(MAX(ROW(E5866:E$2)*(E5867=E5866:E$2)))))</f>
        <v> </v>
      </c>
      <c r="J5867" s="26" t="str">
        <f>IF(OR(E5867="",E5867="!!!",F5867="NEW"),"",COUNTBLANK(OFFSET(A$1,,,SUMPRODUCT(MAX(ROW(E$2:E5867)*(E5867=E$2:E5867)))))-COUNTBLANK(OFFSET(A$1,,,SUMPRODUCT(MAX(ROW(E$1:E5866)*(E2=E$1:E5866))))))</f>
        <v> </v>
      </c>
      <c r="K5867" s="26" t="str">
        <f>IF(OR(E5867="",E5867="!!!",F5867="NEW"),"",INDEX(J$1:J5866,SUMPRODUCT(MAX(ROW(E$1:E5866)*(E5867=E$1:E5866)))))</f>
        <v> </v>
      </c>
      <c r="L5867" s="27"/>
    </row>
    <row r="5868" spans="1:12">
      <c r="A5868" s="20" t="s">
        <v>1028</v>
      </c>
      <c r="E5868" s="22">
        <f>IF(D5868="?OLD","!!!","")</f>
        <v/>
      </c>
      <c r="F5868" s="23" t="str">
        <f>IF(OR(E5868="",E5868="!!!"),"",IF(NOT(ISNA(VLOOKUP(E5868,E$1:E5867,1,FALSE()))),"OLD",IF(AND(E5868&lt;&gt;"",E5868&lt;&gt;"!!!"),"NEW","")))</f>
        <v> </v>
      </c>
      <c r="G5868" s="24" t="str">
        <f>IF(OR(E5868="",E5868="!!!"),"",IF(OR(J5868=0,AND(J5868=1,K5868=1),AND(J5868=1,I5868="SBJ"),AND(J5868=1,I5868=0)),"?IN_FOCUS",IF(J5868&lt;=2,"?ACTIVATED",IF(J5868&lt;&gt;"","?FAMILIAR",IF(F5868="NEW",IF(ISNA(VLOOKUP(E5868,#REF!,1,FALSE())),"?TYPE_IDENTIFIABLE","?REFERENTIAL"),"_")))))</f>
        <v> </v>
      </c>
      <c r="H5868" s="25" t="str">
        <f>IF(J5868&lt;&gt;1,"",IF(I5868="SBJ","CB","?"))</f>
        <v> </v>
      </c>
      <c r="I5868" s="26" t="str">
        <f>IF(OR(E5868="",E5868="!!!",F5868="NEW"),"",INDEX(B5867:B$2,-1+SUMPRODUCT(MAX(ROW(E5867:E$2)*(E5868=E5867:E$2)))))</f>
        <v> </v>
      </c>
      <c r="J5868" s="26" t="str">
        <f>IF(OR(E5868="",E5868="!!!",F5868="NEW"),"",COUNTBLANK(OFFSET(A$1,,,SUMPRODUCT(MAX(ROW(E$2:E5868)*(E5868=E$2:E5868)))))-COUNTBLANK(OFFSET(A$1,,,SUMPRODUCT(MAX(ROW(E$1:E5867)*(E2=E$1:E5867))))))</f>
        <v> </v>
      </c>
      <c r="K5868" s="26" t="str">
        <f>IF(OR(E5868="",E5868="!!!",F5868="NEW"),"",INDEX(J$1:J5867,SUMPRODUCT(MAX(ROW(E$1:E5867)*(E5868=E$1:E5867)))))</f>
        <v> </v>
      </c>
      <c r="L5868" s="27"/>
    </row>
    <row r="5869" spans="1:12">
      <c r="A5869" s="20" t="s">
        <v>1344</v>
      </c>
      <c r="E5869" s="22">
        <f>IF(D5869="?OLD","!!!","")</f>
        <v/>
      </c>
      <c r="F5869" s="23" t="str">
        <f>IF(OR(E5869="",E5869="!!!"),"",IF(NOT(ISNA(VLOOKUP(E5869,E$1:E5868,1,FALSE()))),"OLD",IF(AND(E5869&lt;&gt;"",E5869&lt;&gt;"!!!"),"NEW","")))</f>
        <v> </v>
      </c>
      <c r="G5869" s="24" t="str">
        <f>IF(OR(E5869="",E5869="!!!"),"",IF(OR(J5869=0,AND(J5869=1,K5869=1),AND(J5869=1,I5869="SBJ"),AND(J5869=1,I5869=0)),"?IN_FOCUS",IF(J5869&lt;=2,"?ACTIVATED",IF(J5869&lt;&gt;"","?FAMILIAR",IF(F5869="NEW",IF(ISNA(VLOOKUP(E5869,#REF!,1,FALSE())),"?TYPE_IDENTIFIABLE","?REFERENTIAL"),"_")))))</f>
        <v> </v>
      </c>
      <c r="H5869" s="25" t="str">
        <f>IF(J5869&lt;&gt;1,"",IF(I5869="SBJ","CB","?"))</f>
        <v> </v>
      </c>
      <c r="I5869" s="26" t="str">
        <f>IF(OR(E5869="",E5869="!!!",F5869="NEW"),"",INDEX(B5868:B$2,-1+SUMPRODUCT(MAX(ROW(E5868:E$2)*(E5869=E5868:E$2)))))</f>
        <v> </v>
      </c>
      <c r="J5869" s="26" t="str">
        <f>IF(OR(E5869="",E5869="!!!",F5869="NEW"),"",COUNTBLANK(OFFSET(A$1,,,SUMPRODUCT(MAX(ROW(E$2:E5869)*(E5869=E$2:E5869)))))-COUNTBLANK(OFFSET(A$1,,,SUMPRODUCT(MAX(ROW(E$1:E5868)*(E2=E$1:E5868))))))</f>
        <v> </v>
      </c>
      <c r="K5869" s="26" t="str">
        <f>IF(OR(E5869="",E5869="!!!",F5869="NEW"),"",INDEX(J$1:J5868,SUMPRODUCT(MAX(ROW(E$1:E5868)*(E5869=E$1:E5868)))))</f>
        <v> </v>
      </c>
      <c r="L5869" s="27"/>
    </row>
    <row r="5870" spans="1:12">
      <c r="A5870" s="20" t="s">
        <v>2289</v>
      </c>
      <c r="E5870" s="22">
        <f>IF(D5870="?OLD","!!!","")</f>
        <v/>
      </c>
      <c r="F5870" s="23" t="str">
        <f>IF(OR(E5870="",E5870="!!!"),"",IF(NOT(ISNA(VLOOKUP(E5870,E$1:E5869,1,FALSE()))),"OLD",IF(AND(E5870&lt;&gt;"",E5870&lt;&gt;"!!!"),"NEW","")))</f>
        <v> </v>
      </c>
      <c r="G5870" s="24" t="str">
        <f>IF(OR(E5870="",E5870="!!!"),"",IF(OR(J5870=0,AND(J5870=1,K5870=1),AND(J5870=1,I5870="SBJ"),AND(J5870=1,I5870=0)),"?IN_FOCUS",IF(J5870&lt;=2,"?ACTIVATED",IF(J5870&lt;&gt;"","?FAMILIAR",IF(F5870="NEW",IF(ISNA(VLOOKUP(E5870,#REF!,1,FALSE())),"?TYPE_IDENTIFIABLE","?REFERENTIAL"),"_")))))</f>
        <v> </v>
      </c>
      <c r="H5870" s="25" t="str">
        <f>IF(J5870&lt;&gt;1,"",IF(I5870="SBJ","CB","?"))</f>
        <v> </v>
      </c>
      <c r="I5870" s="26" t="str">
        <f>IF(OR(E5870="",E5870="!!!",F5870="NEW"),"",INDEX(B5869:B$2,-1+SUMPRODUCT(MAX(ROW(E5869:E$2)*(E5870=E5869:E$2)))))</f>
        <v> </v>
      </c>
      <c r="J5870" s="26" t="str">
        <f>IF(OR(E5870="",E5870="!!!",F5870="NEW"),"",COUNTBLANK(OFFSET(A$1,,,SUMPRODUCT(MAX(ROW(E$2:E5870)*(E5870=E$2:E5870)))))-COUNTBLANK(OFFSET(A$1,,,SUMPRODUCT(MAX(ROW(E$1:E5869)*(E2=E$1:E5869))))))</f>
        <v> </v>
      </c>
      <c r="K5870" s="26" t="str">
        <f>IF(OR(E5870="",E5870="!!!",F5870="NEW"),"",INDEX(J$1:J5869,SUMPRODUCT(MAX(ROW(E$1:E5869)*(E5870=E$1:E5869)))))</f>
        <v> </v>
      </c>
      <c r="L5870" s="27"/>
    </row>
    <row r="5871" spans="1:12">
      <c r="A5871" s="20" t="s">
        <v>2286</v>
      </c>
      <c r="B5871" s="21" t="s">
        <v>1016</v>
      </c>
      <c r="C5871" s="21" t="s">
        <v>1030</v>
      </c>
      <c r="E5871" s="22">
        <f>IF(D5871="?OLD","!!!","")</f>
        <v/>
      </c>
      <c r="F5871" s="23" t="str">
        <f>IF(OR(E5871="",E5871="!!!"),"",IF(NOT(ISNA(VLOOKUP(E5871,E$1:E5870,1,FALSE()))),"OLD",IF(AND(E5871&lt;&gt;"",E5871&lt;&gt;"!!!"),"NEW","")))</f>
        <v> </v>
      </c>
      <c r="G5871" s="24" t="str">
        <f>IF(OR(E5871="",E5871="!!!"),"",IF(OR(J5871=0,AND(J5871=1,K5871=1),AND(J5871=1,I5871="SBJ"),AND(J5871=1,I5871=0)),"?IN_FOCUS",IF(J5871&lt;=2,"?ACTIVATED",IF(J5871&lt;&gt;"","?FAMILIAR",IF(F5871="NEW",IF(ISNA(VLOOKUP(E5871,#REF!,1,FALSE())),"?TYPE_IDENTIFIABLE","?REFERENTIAL"),"_")))))</f>
        <v> </v>
      </c>
      <c r="H5871" s="25" t="str">
        <f>IF(J5871&lt;&gt;1,"",IF(I5871="SBJ","CB","?"))</f>
        <v> </v>
      </c>
      <c r="I5871" s="26" t="str">
        <f>IF(OR(E5871="",E5871="!!!",F5871="NEW"),"",INDEX(B5870:B$2,-1+SUMPRODUCT(MAX(ROW(E5870:E$2)*(E5871=E5870:E$2)))))</f>
        <v> </v>
      </c>
      <c r="J5871" s="26" t="str">
        <f>IF(OR(E5871="",E5871="!!!",F5871="NEW"),"",COUNTBLANK(OFFSET(A$1,,,SUMPRODUCT(MAX(ROW(E$2:E5871)*(E5871=E$2:E5871)))))-COUNTBLANK(OFFSET(A$1,,,SUMPRODUCT(MAX(ROW(E$1:E5870)*(E2=E$1:E5870))))))</f>
        <v> </v>
      </c>
      <c r="K5871" s="26" t="str">
        <f>IF(OR(E5871="",E5871="!!!",F5871="NEW"),"",INDEX(J$1:J5870,SUMPRODUCT(MAX(ROW(E$1:E5870)*(E5871=E$1:E5870)))))</f>
        <v> </v>
      </c>
      <c r="L5871" s="27"/>
    </row>
    <row r="5872" spans="1:12">
      <c r="A5872" s="20" t="s">
        <v>1032</v>
      </c>
      <c r="E5872" s="22">
        <f>IF(D5872="?OLD","!!!","")</f>
        <v/>
      </c>
      <c r="F5872" s="23" t="str">
        <f>IF(OR(E5872="",E5872="!!!"),"",IF(NOT(ISNA(VLOOKUP(E5872,E$1:E5871,1,FALSE()))),"OLD",IF(AND(E5872&lt;&gt;"",E5872&lt;&gt;"!!!"),"NEW","")))</f>
        <v> </v>
      </c>
      <c r="G5872" s="24" t="str">
        <f>IF(OR(E5872="",E5872="!!!"),"",IF(OR(J5872=0,AND(J5872=1,K5872=1),AND(J5872=1,I5872="SBJ"),AND(J5872=1,I5872=0)),"?IN_FOCUS",IF(J5872&lt;=2,"?ACTIVATED",IF(J5872&lt;&gt;"","?FAMILIAR",IF(F5872="NEW",IF(ISNA(VLOOKUP(E5872,#REF!,1,FALSE())),"?TYPE_IDENTIFIABLE","?REFERENTIAL"),"_")))))</f>
        <v> </v>
      </c>
      <c r="H5872" s="25" t="str">
        <f>IF(J5872&lt;&gt;1,"",IF(I5872="SBJ","CB","?"))</f>
        <v> </v>
      </c>
      <c r="I5872" s="26" t="str">
        <f>IF(OR(E5872="",E5872="!!!",F5872="NEW"),"",INDEX(B5871:B$2,-1+SUMPRODUCT(MAX(ROW(E5871:E$2)*(E5872=E5871:E$2)))))</f>
        <v> </v>
      </c>
      <c r="J5872" s="26" t="str">
        <f>IF(OR(E5872="",E5872="!!!",F5872="NEW"),"",COUNTBLANK(OFFSET(A$1,,,SUMPRODUCT(MAX(ROW(E$2:E5872)*(E5872=E$2:E5872)))))-COUNTBLANK(OFFSET(A$1,,,SUMPRODUCT(MAX(ROW(E$1:E5871)*(E2=E$1:E5871))))))</f>
        <v> </v>
      </c>
      <c r="K5872" s="26" t="str">
        <f>IF(OR(E5872="",E5872="!!!",F5872="NEW"),"",INDEX(J$1:J5871,SUMPRODUCT(MAX(ROW(E$1:E5871)*(E5872=E$1:E5871)))))</f>
        <v> </v>
      </c>
      <c r="L5872" s="27"/>
    </row>
    <row r="5873" spans="1:12">
      <c r="A5873" s="20" t="s">
        <v>1020</v>
      </c>
      <c r="E5873" s="22">
        <f>IF(D5873="?OLD","!!!","")</f>
        <v/>
      </c>
      <c r="F5873" s="23" t="str">
        <f>IF(OR(E5873="",E5873="!!!"),"",IF(NOT(ISNA(VLOOKUP(E5873,E$1:E5872,1,FALSE()))),"OLD",IF(AND(E5873&lt;&gt;"",E5873&lt;&gt;"!!!"),"NEW","")))</f>
        <v> </v>
      </c>
      <c r="G5873" s="24" t="str">
        <f>IF(OR(E5873="",E5873="!!!"),"",IF(OR(J5873=0,AND(J5873=1,K5873=1),AND(J5873=1,I5873="SBJ"),AND(J5873=1,I5873=0)),"?IN_FOCUS",IF(J5873&lt;=2,"?ACTIVATED",IF(J5873&lt;&gt;"","?FAMILIAR",IF(F5873="NEW",IF(ISNA(VLOOKUP(E5873,#REF!,1,FALSE())),"?TYPE_IDENTIFIABLE","?REFERENTIAL"),"_")))))</f>
        <v> </v>
      </c>
      <c r="H5873" s="25" t="str">
        <f>IF(J5873&lt;&gt;1,"",IF(I5873="SBJ","CB","?"))</f>
        <v> </v>
      </c>
      <c r="I5873" s="26" t="str">
        <f>IF(OR(E5873="",E5873="!!!",F5873="NEW"),"",INDEX(B5872:B$2,-1+SUMPRODUCT(MAX(ROW(E5872:E$2)*(E5873=E5872:E$2)))))</f>
        <v> </v>
      </c>
      <c r="J5873" s="26" t="str">
        <f>IF(OR(E5873="",E5873="!!!",F5873="NEW"),"",COUNTBLANK(OFFSET(A$1,,,SUMPRODUCT(MAX(ROW(E$2:E5873)*(E5873=E$2:E5873)))))-COUNTBLANK(OFFSET(A$1,,,SUMPRODUCT(MAX(ROW(E$1:E5872)*(E2=E$1:E5872))))))</f>
        <v> </v>
      </c>
      <c r="K5873" s="26" t="str">
        <f>IF(OR(E5873="",E5873="!!!",F5873="NEW"),"",INDEX(J$1:J5872,SUMPRODUCT(MAX(ROW(E$1:E5872)*(E5873=E$1:E5872)))))</f>
        <v> </v>
      </c>
      <c r="L5873" s="27"/>
    </row>
    <row r="5874" spans="1:12">
      <c r="A5874" s="20" t="s">
        <v>767</v>
      </c>
      <c r="E5874" s="22">
        <f>IF(D5874="?OLD","!!!","")</f>
        <v/>
      </c>
      <c r="F5874" s="23" t="str">
        <f>IF(OR(E5874="",E5874="!!!"),"",IF(NOT(ISNA(VLOOKUP(E5874,E$1:E5873,1,FALSE()))),"OLD",IF(AND(E5874&lt;&gt;"",E5874&lt;&gt;"!!!"),"NEW","")))</f>
        <v> </v>
      </c>
      <c r="G5874" s="24" t="str">
        <f>IF(OR(E5874="",E5874="!!!"),"",IF(OR(J5874=0,AND(J5874=1,K5874=1),AND(J5874=1,I5874="SBJ"),AND(J5874=1,I5874=0)),"?IN_FOCUS",IF(J5874&lt;=2,"?ACTIVATED",IF(J5874&lt;&gt;"","?FAMILIAR",IF(F5874="NEW",IF(ISNA(VLOOKUP(E5874,#REF!,1,FALSE())),"?TYPE_IDENTIFIABLE","?REFERENTIAL"),"_")))))</f>
        <v> </v>
      </c>
      <c r="H5874" s="25" t="str">
        <f>IF(J5874&lt;&gt;1,"",IF(I5874="SBJ","CB","?"))</f>
        <v> </v>
      </c>
      <c r="I5874" s="26" t="str">
        <f>IF(OR(E5874="",E5874="!!!",F5874="NEW"),"",INDEX(B5873:B$2,-1+SUMPRODUCT(MAX(ROW(E5873:E$2)*(E5874=E5873:E$2)))))</f>
        <v> </v>
      </c>
      <c r="J5874" s="26" t="str">
        <f>IF(OR(E5874="",E5874="!!!",F5874="NEW"),"",COUNTBLANK(OFFSET(A$1,,,SUMPRODUCT(MAX(ROW(E$2:E5874)*(E5874=E$2:E5874)))))-COUNTBLANK(OFFSET(A$1,,,SUMPRODUCT(MAX(ROW(E$1:E5873)*(E2=E$1:E5873))))))</f>
        <v> </v>
      </c>
      <c r="K5874" s="26" t="str">
        <f>IF(OR(E5874="",E5874="!!!",F5874="NEW"),"",INDEX(J$1:J5873,SUMPRODUCT(MAX(ROW(E$1:E5873)*(E5874=E$1:E5873)))))</f>
        <v> </v>
      </c>
      <c r="L5874" s="27"/>
    </row>
    <row r="5875" spans="1:12">
      <c r="A5875" s="20" t="s">
        <v>1032</v>
      </c>
      <c r="E5875" s="22">
        <f>IF(D5875="?OLD","!!!","")</f>
        <v/>
      </c>
      <c r="F5875" s="23" t="str">
        <f>IF(OR(E5875="",E5875="!!!"),"",IF(NOT(ISNA(VLOOKUP(E5875,E$1:E5874,1,FALSE()))),"OLD",IF(AND(E5875&lt;&gt;"",E5875&lt;&gt;"!!!"),"NEW","")))</f>
        <v> </v>
      </c>
      <c r="G5875" s="24" t="str">
        <f>IF(OR(E5875="",E5875="!!!"),"",IF(OR(J5875=0,AND(J5875=1,K5875=1),AND(J5875=1,I5875="SBJ"),AND(J5875=1,I5875=0)),"?IN_FOCUS",IF(J5875&lt;=2,"?ACTIVATED",IF(J5875&lt;&gt;"","?FAMILIAR",IF(F5875="NEW",IF(ISNA(VLOOKUP(E5875,#REF!,1,FALSE())),"?TYPE_IDENTIFIABLE","?REFERENTIAL"),"_")))))</f>
        <v> </v>
      </c>
      <c r="H5875" s="25" t="str">
        <f>IF(J5875&lt;&gt;1,"",IF(I5875="SBJ","CB","?"))</f>
        <v> </v>
      </c>
      <c r="I5875" s="26" t="str">
        <f>IF(OR(E5875="",E5875="!!!",F5875="NEW"),"",INDEX(B5874:B$2,-1+SUMPRODUCT(MAX(ROW(E5874:E$2)*(E5875=E5874:E$2)))))</f>
        <v> </v>
      </c>
      <c r="J5875" s="26" t="str">
        <f>IF(OR(E5875="",E5875="!!!",F5875="NEW"),"",COUNTBLANK(OFFSET(A$1,,,SUMPRODUCT(MAX(ROW(E$2:E5875)*(E5875=E$2:E5875)))))-COUNTBLANK(OFFSET(A$1,,,SUMPRODUCT(MAX(ROW(E$1:E5874)*(E2=E$1:E5874))))))</f>
        <v> </v>
      </c>
      <c r="K5875" s="26" t="str">
        <f>IF(OR(E5875="",E5875="!!!",F5875="NEW"),"",INDEX(J$1:J5874,SUMPRODUCT(MAX(ROW(E$1:E5874)*(E5875=E$1:E5874)))))</f>
        <v> </v>
      </c>
      <c r="L5875" s="27"/>
    </row>
    <row r="5876" spans="1:12">
      <c r="A5876" s="20" t="s">
        <v>2287</v>
      </c>
      <c r="B5876" s="21" t="s">
        <v>1175</v>
      </c>
      <c r="C5876" s="21" t="s">
        <v>1010</v>
      </c>
      <c r="D5876" s="21" t="s">
        <v>1011</v>
      </c>
      <c r="E5876" s="22">
        <f>IF(D5876="?OLD","!!!","")</f>
        <v/>
      </c>
      <c r="F5876" s="23" t="str">
        <f>IF(OR(E5876="",E5876="!!!"),"",IF(NOT(ISNA(VLOOKUP(E5876,E$1:E5875,1,FALSE()))),"OLD",IF(AND(E5876&lt;&gt;"",E5876&lt;&gt;"!!!"),"NEW","")))</f>
        <v> </v>
      </c>
      <c r="G5876" s="24" t="str">
        <f>IF(OR(E5876="",E5876="!!!"),"",IF(OR(J5876=0,AND(J5876=1,K5876=1),AND(J5876=1,I5876="SBJ"),AND(J5876=1,I5876=0)),"?IN_FOCUS",IF(J5876&lt;=2,"?ACTIVATED",IF(J5876&lt;&gt;"","?FAMILIAR",IF(F5876="NEW",IF(ISNA(VLOOKUP(E5876,#REF!,1,FALSE())),"?TYPE_IDENTIFIABLE","?REFERENTIAL"),"_")))))</f>
        <v> </v>
      </c>
      <c r="H5876" s="25" t="str">
        <f>IF(J5876&lt;&gt;1,"",IF(I5876="SBJ","CB","?"))</f>
        <v> </v>
      </c>
      <c r="I5876" s="26" t="str">
        <f>IF(OR(E5876="",E5876="!!!",F5876="NEW"),"",INDEX(B5875:B$2,-1+SUMPRODUCT(MAX(ROW(E5875:E$2)*(E5876=E5875:E$2)))))</f>
        <v> </v>
      </c>
      <c r="J5876" s="26" t="str">
        <f>IF(OR(E5876="",E5876="!!!",F5876="NEW"),"",COUNTBLANK(OFFSET(A$1,,,SUMPRODUCT(MAX(ROW(E$2:E5876)*(E5876=E$2:E5876)))))-COUNTBLANK(OFFSET(A$1,,,SUMPRODUCT(MAX(ROW(E$1:E5875)*(E2=E$1:E5875))))))</f>
        <v> </v>
      </c>
      <c r="K5876" s="26" t="str">
        <f>IF(OR(E5876="",E5876="!!!",F5876="NEW"),"",INDEX(J$1:J5875,SUMPRODUCT(MAX(ROW(E$1:E5875)*(E5876=E$1:E5875)))))</f>
        <v> </v>
      </c>
      <c r="L5876" s="27"/>
    </row>
    <row r="5877" spans="1:12">
      <c r="A5877" s="20" t="s">
        <v>1173</v>
      </c>
      <c r="E5877" s="22">
        <f>IF(D5877="?OLD","!!!","")</f>
        <v/>
      </c>
      <c r="F5877" s="23" t="str">
        <f>IF(OR(E5877="",E5877="!!!"),"",IF(NOT(ISNA(VLOOKUP(E5877,E$1:E5876,1,FALSE()))),"OLD",IF(AND(E5877&lt;&gt;"",E5877&lt;&gt;"!!!"),"NEW","")))</f>
        <v> </v>
      </c>
      <c r="G5877" s="24" t="str">
        <f>IF(OR(E5877="",E5877="!!!"),"",IF(OR(J5877=0,AND(J5877=1,K5877=1),AND(J5877=1,I5877="SBJ"),AND(J5877=1,I5877=0)),"?IN_FOCUS",IF(J5877&lt;=2,"?ACTIVATED",IF(J5877&lt;&gt;"","?FAMILIAR",IF(F5877="NEW",IF(ISNA(VLOOKUP(E5877,#REF!,1,FALSE())),"?TYPE_IDENTIFIABLE","?REFERENTIAL"),"_")))))</f>
        <v> </v>
      </c>
      <c r="H5877" s="25" t="str">
        <f>IF(J5877&lt;&gt;1,"",IF(I5877="SBJ","CB","?"))</f>
        <v> </v>
      </c>
      <c r="I5877" s="26" t="str">
        <f>IF(OR(E5877="",E5877="!!!",F5877="NEW"),"",INDEX(B5876:B$2,-1+SUMPRODUCT(MAX(ROW(E5876:E$2)*(E5877=E5876:E$2)))))</f>
        <v> </v>
      </c>
      <c r="J5877" s="26" t="str">
        <f>IF(OR(E5877="",E5877="!!!",F5877="NEW"),"",COUNTBLANK(OFFSET(A$1,,,SUMPRODUCT(MAX(ROW(E$2:E5877)*(E5877=E$2:E5877)))))-COUNTBLANK(OFFSET(A$1,,,SUMPRODUCT(MAX(ROW(E$1:E5876)*(E2=E$1:E5876))))))</f>
        <v> </v>
      </c>
      <c r="K5877" s="26" t="str">
        <f>IF(OR(E5877="",E5877="!!!",F5877="NEW"),"",INDEX(J$1:J5876,SUMPRODUCT(MAX(ROW(E$1:E5876)*(E5877=E$1:E5876)))))</f>
        <v> </v>
      </c>
      <c r="L5877" s="27"/>
    </row>
    <row r="5878" spans="1:12">
      <c r="A5878" s="20" t="s">
        <v>1192</v>
      </c>
      <c r="E5878" s="22">
        <f>IF(D5878="?OLD","!!!","")</f>
        <v/>
      </c>
      <c r="F5878" s="23" t="str">
        <f>IF(OR(E5878="",E5878="!!!"),"",IF(NOT(ISNA(VLOOKUP(E5878,E$1:E5877,1,FALSE()))),"OLD",IF(AND(E5878&lt;&gt;"",E5878&lt;&gt;"!!!"),"NEW","")))</f>
        <v> </v>
      </c>
      <c r="G5878" s="24" t="str">
        <f>IF(OR(E5878="",E5878="!!!"),"",IF(OR(J5878=0,AND(J5878=1,K5878=1),AND(J5878=1,I5878="SBJ"),AND(J5878=1,I5878=0)),"?IN_FOCUS",IF(J5878&lt;=2,"?ACTIVATED",IF(J5878&lt;&gt;"","?FAMILIAR",IF(F5878="NEW",IF(ISNA(VLOOKUP(E5878,#REF!,1,FALSE())),"?TYPE_IDENTIFIABLE","?REFERENTIAL"),"_")))))</f>
        <v> </v>
      </c>
      <c r="H5878" s="25" t="str">
        <f>IF(J5878&lt;&gt;1,"",IF(I5878="SBJ","CB","?"))</f>
        <v> </v>
      </c>
      <c r="I5878" s="26" t="str">
        <f>IF(OR(E5878="",E5878="!!!",F5878="NEW"),"",INDEX(B5877:B$2,-1+SUMPRODUCT(MAX(ROW(E5877:E$2)*(E5878=E5877:E$2)))))</f>
        <v> </v>
      </c>
      <c r="J5878" s="26" t="str">
        <f>IF(OR(E5878="",E5878="!!!",F5878="NEW"),"",COUNTBLANK(OFFSET(A$1,,,SUMPRODUCT(MAX(ROW(E$2:E5878)*(E5878=E$2:E5878)))))-COUNTBLANK(OFFSET(A$1,,,SUMPRODUCT(MAX(ROW(E$1:E5877)*(E2=E$1:E5877))))))</f>
        <v> </v>
      </c>
      <c r="K5878" s="26" t="str">
        <f>IF(OR(E5878="",E5878="!!!",F5878="NEW"),"",INDEX(J$1:J5877,SUMPRODUCT(MAX(ROW(E$1:E5877)*(E5878=E$1:E5877)))))</f>
        <v> </v>
      </c>
      <c r="L5878" s="27"/>
    </row>
    <row r="5879" spans="1:12">
      <c r="A5879" s="20" t="s">
        <v>1042</v>
      </c>
      <c r="E5879" s="22">
        <f>IF(D5879="?OLD","!!!","")</f>
        <v/>
      </c>
      <c r="F5879" s="23" t="str">
        <f>IF(OR(E5879="",E5879="!!!"),"",IF(NOT(ISNA(VLOOKUP(E5879,E$1:E5878,1,FALSE()))),"OLD",IF(AND(E5879&lt;&gt;"",E5879&lt;&gt;"!!!"),"NEW","")))</f>
        <v> </v>
      </c>
      <c r="G5879" s="24" t="str">
        <f>IF(OR(E5879="",E5879="!!!"),"",IF(OR(J5879=0,AND(J5879=1,K5879=1),AND(J5879=1,I5879="SBJ"),AND(J5879=1,I5879=0)),"?IN_FOCUS",IF(J5879&lt;=2,"?ACTIVATED",IF(J5879&lt;&gt;"","?FAMILIAR",IF(F5879="NEW",IF(ISNA(VLOOKUP(E5879,#REF!,1,FALSE())),"?TYPE_IDENTIFIABLE","?REFERENTIAL"),"_")))))</f>
        <v> </v>
      </c>
      <c r="H5879" s="25" t="str">
        <f>IF(J5879&lt;&gt;1,"",IF(I5879="SBJ","CB","?"))</f>
        <v> </v>
      </c>
      <c r="I5879" s="26" t="str">
        <f>IF(OR(E5879="",E5879="!!!",F5879="NEW"),"",INDEX(B5878:B$2,-1+SUMPRODUCT(MAX(ROW(E5878:E$2)*(E5879=E5878:E$2)))))</f>
        <v> </v>
      </c>
      <c r="J5879" s="26" t="str">
        <f>IF(OR(E5879="",E5879="!!!",F5879="NEW"),"",COUNTBLANK(OFFSET(A$1,,,SUMPRODUCT(MAX(ROW(E$2:E5879)*(E5879=E$2:E5879)))))-COUNTBLANK(OFFSET(A$1,,,SUMPRODUCT(MAX(ROW(E$1:E5878)*(E2=E$1:E5878))))))</f>
        <v> </v>
      </c>
      <c r="K5879" s="26" t="str">
        <f>IF(OR(E5879="",E5879="!!!",F5879="NEW"),"",INDEX(J$1:J5878,SUMPRODUCT(MAX(ROW(E$1:E5878)*(E5879=E$1:E5878)))))</f>
        <v> </v>
      </c>
      <c r="L5879" s="27"/>
    </row>
    <row r="5880" spans="1:12">
      <c r="A5880" s="20" t="s">
        <v>2251</v>
      </c>
      <c r="E5880" s="22">
        <f>IF(D5880="?OLD","!!!","")</f>
        <v/>
      </c>
      <c r="F5880" s="23" t="str">
        <f>IF(OR(E5880="",E5880="!!!"),"",IF(NOT(ISNA(VLOOKUP(E5880,E$1:E5879,1,FALSE()))),"OLD",IF(AND(E5880&lt;&gt;"",E5880&lt;&gt;"!!!"),"NEW","")))</f>
        <v> </v>
      </c>
      <c r="G5880" s="24" t="str">
        <f>IF(OR(E5880="",E5880="!!!"),"",IF(OR(J5880=0,AND(J5880=1,K5880=1),AND(J5880=1,I5880="SBJ"),AND(J5880=1,I5880=0)),"?IN_FOCUS",IF(J5880&lt;=2,"?ACTIVATED",IF(J5880&lt;&gt;"","?FAMILIAR",IF(F5880="NEW",IF(ISNA(VLOOKUP(E5880,#REF!,1,FALSE())),"?TYPE_IDENTIFIABLE","?REFERENTIAL"),"_")))))</f>
        <v> </v>
      </c>
      <c r="H5880" s="25" t="str">
        <f>IF(J5880&lt;&gt;1,"",IF(I5880="SBJ","CB","?"))</f>
        <v> </v>
      </c>
      <c r="I5880" s="26" t="str">
        <f>IF(OR(E5880="",E5880="!!!",F5880="NEW"),"",INDEX(B5879:B$2,-1+SUMPRODUCT(MAX(ROW(E5879:E$2)*(E5880=E5879:E$2)))))</f>
        <v> </v>
      </c>
      <c r="J5880" s="26" t="str">
        <f>IF(OR(E5880="",E5880="!!!",F5880="NEW"),"",COUNTBLANK(OFFSET(A$1,,,SUMPRODUCT(MAX(ROW(E$2:E5880)*(E5880=E$2:E5880)))))-COUNTBLANK(OFFSET(A$1,,,SUMPRODUCT(MAX(ROW(E$1:E5879)*(E2=E$1:E5879))))))</f>
        <v> </v>
      </c>
      <c r="K5880" s="26" t="str">
        <f>IF(OR(E5880="",E5880="!!!",F5880="NEW"),"",INDEX(J$1:J5879,SUMPRODUCT(MAX(ROW(E$1:E5879)*(E5880=E$1:E5879)))))</f>
        <v> </v>
      </c>
      <c r="L5880" s="27"/>
    </row>
    <row r="5881" spans="1:12">
      <c r="A5881" s="20" t="s">
        <v>2277</v>
      </c>
      <c r="E5881" s="22">
        <f>IF(D5881="?OLD","!!!","")</f>
        <v/>
      </c>
      <c r="F5881" s="23" t="str">
        <f>IF(OR(E5881="",E5881="!!!"),"",IF(NOT(ISNA(VLOOKUP(E5881,E$1:E5880,1,FALSE()))),"OLD",IF(AND(E5881&lt;&gt;"",E5881&lt;&gt;"!!!"),"NEW","")))</f>
        <v> </v>
      </c>
      <c r="G5881" s="24" t="str">
        <f>IF(OR(E5881="",E5881="!!!"),"",IF(OR(J5881=0,AND(J5881=1,K5881=1),AND(J5881=1,I5881="SBJ"),AND(J5881=1,I5881=0)),"?IN_FOCUS",IF(J5881&lt;=2,"?ACTIVATED",IF(J5881&lt;&gt;"","?FAMILIAR",IF(F5881="NEW",IF(ISNA(VLOOKUP(E5881,#REF!,1,FALSE())),"?TYPE_IDENTIFIABLE","?REFERENTIAL"),"_")))))</f>
        <v> </v>
      </c>
      <c r="H5881" s="25" t="str">
        <f>IF(J5881&lt;&gt;1,"",IF(I5881="SBJ","CB","?"))</f>
        <v> </v>
      </c>
      <c r="I5881" s="26" t="str">
        <f>IF(OR(E5881="",E5881="!!!",F5881="NEW"),"",INDEX(B5880:B$2,-1+SUMPRODUCT(MAX(ROW(E5880:E$2)*(E5881=E5880:E$2)))))</f>
        <v> </v>
      </c>
      <c r="J5881" s="26" t="str">
        <f>IF(OR(E5881="",E5881="!!!",F5881="NEW"),"",COUNTBLANK(OFFSET(A$1,,,SUMPRODUCT(MAX(ROW(E$2:E5881)*(E5881=E$2:E5881)))))-COUNTBLANK(OFFSET(A$1,,,SUMPRODUCT(MAX(ROW(E$1:E5880)*(E2=E$1:E5880))))))</f>
        <v> </v>
      </c>
      <c r="K5881" s="26" t="str">
        <f>IF(OR(E5881="",E5881="!!!",F5881="NEW"),"",INDEX(J$1:J5880,SUMPRODUCT(MAX(ROW(E$1:E5880)*(E5881=E$1:E5880)))))</f>
        <v> </v>
      </c>
      <c r="L5881" s="27"/>
    </row>
    <row r="5882" spans="1:12">
      <c r="A5882" s="20" t="s">
        <v>2278</v>
      </c>
      <c r="E5882" s="22">
        <f>IF(D5882="?OLD","!!!","")</f>
        <v/>
      </c>
      <c r="F5882" s="23" t="str">
        <f>IF(OR(E5882="",E5882="!!!"),"",IF(NOT(ISNA(VLOOKUP(E5882,E$1:E5881,1,FALSE()))),"OLD",IF(AND(E5882&lt;&gt;"",E5882&lt;&gt;"!!!"),"NEW","")))</f>
        <v> </v>
      </c>
      <c r="G5882" s="24" t="str">
        <f>IF(OR(E5882="",E5882="!!!"),"",IF(OR(J5882=0,AND(J5882=1,K5882=1),AND(J5882=1,I5882="SBJ"),AND(J5882=1,I5882=0)),"?IN_FOCUS",IF(J5882&lt;=2,"?ACTIVATED",IF(J5882&lt;&gt;"","?FAMILIAR",IF(F5882="NEW",IF(ISNA(VLOOKUP(E5882,#REF!,1,FALSE())),"?TYPE_IDENTIFIABLE","?REFERENTIAL"),"_")))))</f>
        <v> </v>
      </c>
      <c r="H5882" s="25" t="str">
        <f>IF(J5882&lt;&gt;1,"",IF(I5882="SBJ","CB","?"))</f>
        <v> </v>
      </c>
      <c r="I5882" s="26" t="str">
        <f>IF(OR(E5882="",E5882="!!!",F5882="NEW"),"",INDEX(B5881:B$2,-1+SUMPRODUCT(MAX(ROW(E5881:E$2)*(E5882=E5881:E$2)))))</f>
        <v> </v>
      </c>
      <c r="J5882" s="26" t="str">
        <f>IF(OR(E5882="",E5882="!!!",F5882="NEW"),"",COUNTBLANK(OFFSET(A$1,,,SUMPRODUCT(MAX(ROW(E$2:E5882)*(E5882=E$2:E5882)))))-COUNTBLANK(OFFSET(A$1,,,SUMPRODUCT(MAX(ROW(E$1:E5881)*(E2=E$1:E5881))))))</f>
        <v> </v>
      </c>
      <c r="K5882" s="26" t="str">
        <f>IF(OR(E5882="",E5882="!!!",F5882="NEW"),"",INDEX(J$1:J5881,SUMPRODUCT(MAX(ROW(E$1:E5881)*(E5882=E$1:E5881)))))</f>
        <v> </v>
      </c>
      <c r="L5882" s="27"/>
    </row>
    <row r="5883" spans="1:12">
      <c r="A5883" s="20" t="s">
        <v>1557</v>
      </c>
      <c r="B5883" s="21" t="s">
        <v>1142</v>
      </c>
      <c r="C5883" s="21" t="s">
        <v>1044</v>
      </c>
      <c r="D5883" s="21" t="s">
        <v>1011</v>
      </c>
      <c r="E5883" s="22">
        <f>IF(D5883="?OLD","!!!","")</f>
        <v/>
      </c>
      <c r="F5883" s="23" t="str">
        <f>IF(OR(E5883="",E5883="!!!"),"",IF(NOT(ISNA(VLOOKUP(E5883,E$1:E5882,1,FALSE()))),"OLD",IF(AND(E5883&lt;&gt;"",E5883&lt;&gt;"!!!"),"NEW","")))</f>
        <v> </v>
      </c>
      <c r="G5883" s="24" t="str">
        <f>IF(OR(E5883="",E5883="!!!"),"",IF(OR(J5883=0,AND(J5883=1,K5883=1),AND(J5883=1,I5883="SBJ"),AND(J5883=1,I5883=0)),"?IN_FOCUS",IF(J5883&lt;=2,"?ACTIVATED",IF(J5883&lt;&gt;"","?FAMILIAR",IF(F5883="NEW",IF(ISNA(VLOOKUP(E5883,#REF!,1,FALSE())),"?TYPE_IDENTIFIABLE","?REFERENTIAL"),"_")))))</f>
        <v> </v>
      </c>
      <c r="H5883" s="25" t="str">
        <f>IF(J5883&lt;&gt;1,"",IF(I5883="SBJ","CB","?"))</f>
        <v> </v>
      </c>
      <c r="I5883" s="26" t="str">
        <f>IF(OR(E5883="",E5883="!!!",F5883="NEW"),"",INDEX(B5882:B$2,-1+SUMPRODUCT(MAX(ROW(E5882:E$2)*(E5883=E5882:E$2)))))</f>
        <v> </v>
      </c>
      <c r="J5883" s="26" t="str">
        <f>IF(OR(E5883="",E5883="!!!",F5883="NEW"),"",COUNTBLANK(OFFSET(A$1,,,SUMPRODUCT(MAX(ROW(E$2:E5883)*(E5883=E$2:E5883)))))-COUNTBLANK(OFFSET(A$1,,,SUMPRODUCT(MAX(ROW(E$1:E5882)*(E2=E$1:E5882))))))</f>
        <v> </v>
      </c>
      <c r="K5883" s="26" t="str">
        <f>IF(OR(E5883="",E5883="!!!",F5883="NEW"),"",INDEX(J$1:J5882,SUMPRODUCT(MAX(ROW(E$1:E5882)*(E5883=E$1:E5882)))))</f>
        <v> </v>
      </c>
      <c r="L5883" s="27"/>
    </row>
    <row r="5884" spans="1:12">
      <c r="A5884" s="20" t="s">
        <v>1022</v>
      </c>
      <c r="E5884" s="22">
        <f>IF(D5884="?OLD","!!!","")</f>
        <v/>
      </c>
      <c r="F5884" s="23" t="str">
        <f>IF(OR(E5884="",E5884="!!!"),"",IF(NOT(ISNA(VLOOKUP(E5884,E$1:E5883,1,FALSE()))),"OLD",IF(AND(E5884&lt;&gt;"",E5884&lt;&gt;"!!!"),"NEW","")))</f>
        <v> </v>
      </c>
      <c r="G5884" s="24" t="str">
        <f>IF(OR(E5884="",E5884="!!!"),"",IF(OR(J5884=0,AND(J5884=1,K5884=1),AND(J5884=1,I5884="SBJ"),AND(J5884=1,I5884=0)),"?IN_FOCUS",IF(J5884&lt;=2,"?ACTIVATED",IF(J5884&lt;&gt;"","?FAMILIAR",IF(F5884="NEW",IF(ISNA(VLOOKUP(E5884,#REF!,1,FALSE())),"?TYPE_IDENTIFIABLE","?REFERENTIAL"),"_")))))</f>
        <v> </v>
      </c>
      <c r="H5884" s="25" t="str">
        <f>IF(J5884&lt;&gt;1,"",IF(I5884="SBJ","CB","?"))</f>
        <v> </v>
      </c>
      <c r="I5884" s="26" t="str">
        <f>IF(OR(E5884="",E5884="!!!",F5884="NEW"),"",INDEX(B5883:B$2,-1+SUMPRODUCT(MAX(ROW(E5883:E$2)*(E5884=E5883:E$2)))))</f>
        <v> </v>
      </c>
      <c r="J5884" s="26" t="str">
        <f>IF(OR(E5884="",E5884="!!!",F5884="NEW"),"",COUNTBLANK(OFFSET(A$1,,,SUMPRODUCT(MAX(ROW(E$2:E5884)*(E5884=E$2:E5884)))))-COUNTBLANK(OFFSET(A$1,,,SUMPRODUCT(MAX(ROW(E$1:E5883)*(E2=E$1:E5883))))))</f>
        <v> </v>
      </c>
      <c r="K5884" s="26" t="str">
        <f>IF(OR(E5884="",E5884="!!!",F5884="NEW"),"",INDEX(J$1:J5883,SUMPRODUCT(MAX(ROW(E$1:E5883)*(E5884=E$1:E5883)))))</f>
        <v> </v>
      </c>
      <c r="L5884" s="27"/>
    </row>
    <row r="5885" spans="1:12">
      <c r="A5885" s="20"/>
    </row>
    <row r="5886" spans="1:12">
      <c r="A5886" s="20" t="s">
        <v>2290</v>
      </c>
    </row>
    <row r="5887" spans="1:12">
      <c r="A5887" s="20" t="s">
        <v>1024</v>
      </c>
      <c r="E5887" s="22">
        <f>IF(D5887="?OLD","!!!","")</f>
        <v/>
      </c>
      <c r="F5887" s="23" t="str">
        <f>IF(OR(E5887="",E5887="!!!"),"",IF(NOT(ISNA(VLOOKUP(E5887,E$1:E5886,1,FALSE()))),"OLD",IF(AND(E5887&lt;&gt;"",E5887&lt;&gt;"!!!"),"NEW","")))</f>
        <v> </v>
      </c>
      <c r="G5887" s="24" t="str">
        <f>IF(OR(E5887="",E5887="!!!"),"",IF(OR(J5887=0,AND(J5887=1,K5887=1),AND(J5887=1,I5887="SBJ"),AND(J5887=1,I5887=0)),"?IN_FOCUS",IF(J5887&lt;=2,"?ACTIVATED",IF(J5887&lt;&gt;"","?FAMILIAR",IF(F5887="NEW",IF(ISNA(VLOOKUP(E5887,#REF!,1,FALSE())),"?TYPE_IDENTIFIABLE","?REFERENTIAL"),"_")))))</f>
        <v> </v>
      </c>
      <c r="H5887" s="25" t="str">
        <f>IF(J5887&lt;&gt;1,"",IF(I5887="SBJ","CB","?"))</f>
        <v> </v>
      </c>
      <c r="I5887" s="26" t="str">
        <f>IF(OR(E5887="",E5887="!!!",F5887="NEW"),"",INDEX(B5886:B$2,-1+SUMPRODUCT(MAX(ROW(E5886:E$2)*(E5887=E5886:E$2)))))</f>
        <v> </v>
      </c>
      <c r="J5887" s="26" t="str">
        <f>IF(OR(E5887="",E5887="!!!",F5887="NEW"),"",COUNTBLANK(OFFSET(A$1,,,SUMPRODUCT(MAX(ROW(E$2:E5887)*(E5887=E$2:E5887)))))-COUNTBLANK(OFFSET(A$1,,,SUMPRODUCT(MAX(ROW(E$1:E5886)*(E2=E$1:E5886))))))</f>
        <v> </v>
      </c>
      <c r="K5887" s="26" t="str">
        <f>IF(OR(E5887="",E5887="!!!",F5887="NEW"),"",INDEX(J$1:J5886,SUMPRODUCT(MAX(ROW(E$1:E5886)*(E5887=E$1:E5886)))))</f>
        <v> </v>
      </c>
      <c r="L5887" s="27"/>
    </row>
    <row r="5888" spans="1:12">
      <c r="A5888" s="20" t="s">
        <v>767</v>
      </c>
      <c r="E5888" s="22">
        <f>IF(D5888="?OLD","!!!","")</f>
        <v/>
      </c>
      <c r="F5888" s="23" t="str">
        <f>IF(OR(E5888="",E5888="!!!"),"",IF(NOT(ISNA(VLOOKUP(E5888,E$1:E5887,1,FALSE()))),"OLD",IF(AND(E5888&lt;&gt;"",E5888&lt;&gt;"!!!"),"NEW","")))</f>
        <v> </v>
      </c>
      <c r="G5888" s="24" t="str">
        <f>IF(OR(E5888="",E5888="!!!"),"",IF(OR(J5888=0,AND(J5888=1,K5888=1),AND(J5888=1,I5888="SBJ"),AND(J5888=1,I5888=0)),"?IN_FOCUS",IF(J5888&lt;=2,"?ACTIVATED",IF(J5888&lt;&gt;"","?FAMILIAR",IF(F5888="NEW",IF(ISNA(VLOOKUP(E5888,#REF!,1,FALSE())),"?TYPE_IDENTIFIABLE","?REFERENTIAL"),"_")))))</f>
        <v> </v>
      </c>
      <c r="H5888" s="25" t="str">
        <f>IF(J5888&lt;&gt;1,"",IF(I5888="SBJ","CB","?"))</f>
        <v> </v>
      </c>
      <c r="I5888" s="26" t="str">
        <f>IF(OR(E5888="",E5888="!!!",F5888="NEW"),"",INDEX(B5887:B$2,-1+SUMPRODUCT(MAX(ROW(E5887:E$2)*(E5888=E5887:E$2)))))</f>
        <v> </v>
      </c>
      <c r="J5888" s="26" t="str">
        <f>IF(OR(E5888="",E5888="!!!",F5888="NEW"),"",COUNTBLANK(OFFSET(A$1,,,SUMPRODUCT(MAX(ROW(E$2:E5888)*(E5888=E$2:E5888)))))-COUNTBLANK(OFFSET(A$1,,,SUMPRODUCT(MAX(ROW(E$1:E5887)*(E2=E$1:E5887))))))</f>
        <v> </v>
      </c>
      <c r="K5888" s="26" t="str">
        <f>IF(OR(E5888="",E5888="!!!",F5888="NEW"),"",INDEX(J$1:J5887,SUMPRODUCT(MAX(ROW(E$1:E5887)*(E5888=E$1:E5887)))))</f>
        <v> </v>
      </c>
      <c r="L5888" s="27"/>
    </row>
    <row r="5889" spans="1:12">
      <c r="A5889" s="20" t="s">
        <v>1100</v>
      </c>
      <c r="E5889" s="22">
        <f>IF(D5889="?OLD","!!!","")</f>
        <v/>
      </c>
      <c r="F5889" s="23" t="str">
        <f>IF(OR(E5889="",E5889="!!!"),"",IF(NOT(ISNA(VLOOKUP(E5889,E$1:E5888,1,FALSE()))),"OLD",IF(AND(E5889&lt;&gt;"",E5889&lt;&gt;"!!!"),"NEW","")))</f>
        <v> </v>
      </c>
      <c r="G5889" s="24" t="str">
        <f>IF(OR(E5889="",E5889="!!!"),"",IF(OR(J5889=0,AND(J5889=1,K5889=1),AND(J5889=1,I5889="SBJ"),AND(J5889=1,I5889=0)),"?IN_FOCUS",IF(J5889&lt;=2,"?ACTIVATED",IF(J5889&lt;&gt;"","?FAMILIAR",IF(F5889="NEW",IF(ISNA(VLOOKUP(E5889,#REF!,1,FALSE())),"?TYPE_IDENTIFIABLE","?REFERENTIAL"),"_")))))</f>
        <v> </v>
      </c>
      <c r="H5889" s="25" t="str">
        <f>IF(J5889&lt;&gt;1,"",IF(I5889="SBJ","CB","?"))</f>
        <v> </v>
      </c>
      <c r="I5889" s="26" t="str">
        <f>IF(OR(E5889="",E5889="!!!",F5889="NEW"),"",INDEX(B5888:B$2,-1+SUMPRODUCT(MAX(ROW(E5888:E$2)*(E5889=E5888:E$2)))))</f>
        <v> </v>
      </c>
      <c r="J5889" s="26" t="str">
        <f>IF(OR(E5889="",E5889="!!!",F5889="NEW"),"",COUNTBLANK(OFFSET(A$1,,,SUMPRODUCT(MAX(ROW(E$2:E5889)*(E5889=E$2:E5889)))))-COUNTBLANK(OFFSET(A$1,,,SUMPRODUCT(MAX(ROW(E$1:E5888)*(E2=E$1:E5888))))))</f>
        <v> </v>
      </c>
      <c r="K5889" s="26" t="str">
        <f>IF(OR(E5889="",E5889="!!!",F5889="NEW"),"",INDEX(J$1:J5888,SUMPRODUCT(MAX(ROW(E$1:E5888)*(E5889=E$1:E5888)))))</f>
        <v> </v>
      </c>
      <c r="L5889" s="27"/>
    </row>
    <row r="5890" spans="1:12">
      <c r="A5890" s="20" t="s">
        <v>1045</v>
      </c>
      <c r="E5890" s="22">
        <f>IF(D5890="?OLD","!!!","")</f>
        <v/>
      </c>
      <c r="F5890" s="23" t="str">
        <f>IF(OR(E5890="",E5890="!!!"),"",IF(NOT(ISNA(VLOOKUP(E5890,E$1:E5889,1,FALSE()))),"OLD",IF(AND(E5890&lt;&gt;"",E5890&lt;&gt;"!!!"),"NEW","")))</f>
        <v> </v>
      </c>
      <c r="G5890" s="24" t="str">
        <f>IF(OR(E5890="",E5890="!!!"),"",IF(OR(J5890=0,AND(J5890=1,K5890=1),AND(J5890=1,I5890="SBJ"),AND(J5890=1,I5890=0)),"?IN_FOCUS",IF(J5890&lt;=2,"?ACTIVATED",IF(J5890&lt;&gt;"","?FAMILIAR",IF(F5890="NEW",IF(ISNA(VLOOKUP(E5890,#REF!,1,FALSE())),"?TYPE_IDENTIFIABLE","?REFERENTIAL"),"_")))))</f>
        <v> </v>
      </c>
      <c r="H5890" s="25" t="str">
        <f>IF(J5890&lt;&gt;1,"",IF(I5890="SBJ","CB","?"))</f>
        <v> </v>
      </c>
      <c r="I5890" s="26" t="str">
        <f>IF(OR(E5890="",E5890="!!!",F5890="NEW"),"",INDEX(B5889:B$2,-1+SUMPRODUCT(MAX(ROW(E5889:E$2)*(E5890=E5889:E$2)))))</f>
        <v> </v>
      </c>
      <c r="J5890" s="26" t="str">
        <f>IF(OR(E5890="",E5890="!!!",F5890="NEW"),"",COUNTBLANK(OFFSET(A$1,,,SUMPRODUCT(MAX(ROW(E$2:E5890)*(E5890=E$2:E5890)))))-COUNTBLANK(OFFSET(A$1,,,SUMPRODUCT(MAX(ROW(E$1:E5889)*(E2=E$1:E5889))))))</f>
        <v> </v>
      </c>
      <c r="K5890" s="26" t="str">
        <f>IF(OR(E5890="",E5890="!!!",F5890="NEW"),"",INDEX(J$1:J5889,SUMPRODUCT(MAX(ROW(E$1:E5889)*(E5890=E$1:E5889)))))</f>
        <v> </v>
      </c>
      <c r="L5890" s="27"/>
    </row>
    <row r="5891" spans="1:12">
      <c r="A5891" s="20" t="s">
        <v>1028</v>
      </c>
      <c r="E5891" s="22">
        <f>IF(D5891="?OLD","!!!","")</f>
        <v/>
      </c>
      <c r="F5891" s="23" t="str">
        <f>IF(OR(E5891="",E5891="!!!"),"",IF(NOT(ISNA(VLOOKUP(E5891,E$1:E5890,1,FALSE()))),"OLD",IF(AND(E5891&lt;&gt;"",E5891&lt;&gt;"!!!"),"NEW","")))</f>
        <v> </v>
      </c>
      <c r="G5891" s="24" t="str">
        <f>IF(OR(E5891="",E5891="!!!"),"",IF(OR(J5891=0,AND(J5891=1,K5891=1),AND(J5891=1,I5891="SBJ"),AND(J5891=1,I5891=0)),"?IN_FOCUS",IF(J5891&lt;=2,"?ACTIVATED",IF(J5891&lt;&gt;"","?FAMILIAR",IF(F5891="NEW",IF(ISNA(VLOOKUP(E5891,#REF!,1,FALSE())),"?TYPE_IDENTIFIABLE","?REFERENTIAL"),"_")))))</f>
        <v> </v>
      </c>
      <c r="H5891" s="25" t="str">
        <f>IF(J5891&lt;&gt;1,"",IF(I5891="SBJ","CB","?"))</f>
        <v> </v>
      </c>
      <c r="I5891" s="26" t="str">
        <f>IF(OR(E5891="",E5891="!!!",F5891="NEW"),"",INDEX(B5890:B$2,-1+SUMPRODUCT(MAX(ROW(E5890:E$2)*(E5891=E5890:E$2)))))</f>
        <v> </v>
      </c>
      <c r="J5891" s="26" t="str">
        <f>IF(OR(E5891="",E5891="!!!",F5891="NEW"),"",COUNTBLANK(OFFSET(A$1,,,SUMPRODUCT(MAX(ROW(E$2:E5891)*(E5891=E$2:E5891)))))-COUNTBLANK(OFFSET(A$1,,,SUMPRODUCT(MAX(ROW(E$1:E5890)*(E2=E$1:E5890))))))</f>
        <v> </v>
      </c>
      <c r="K5891" s="26" t="str">
        <f>IF(OR(E5891="",E5891="!!!",F5891="NEW"),"",INDEX(J$1:J5890,SUMPRODUCT(MAX(ROW(E$1:E5890)*(E5891=E$1:E5890)))))</f>
        <v> </v>
      </c>
      <c r="L5891" s="27"/>
    </row>
    <row r="5892" spans="1:12">
      <c r="A5892" s="20" t="s">
        <v>2291</v>
      </c>
      <c r="B5892" s="21" t="s">
        <v>1009</v>
      </c>
      <c r="C5892" s="21" t="s">
        <v>1040</v>
      </c>
      <c r="D5892" s="21" t="s">
        <v>1011</v>
      </c>
      <c r="E5892" s="22">
        <f>IF(D5892="?OLD","!!!","")</f>
        <v/>
      </c>
      <c r="F5892" s="23" t="str">
        <f>IF(OR(E5892="",E5892="!!!"),"",IF(NOT(ISNA(VLOOKUP(E5892,E$1:E5891,1,FALSE()))),"OLD",IF(AND(E5892&lt;&gt;"",E5892&lt;&gt;"!!!"),"NEW","")))</f>
        <v> </v>
      </c>
      <c r="G5892" s="24" t="str">
        <f>IF(OR(E5892="",E5892="!!!"),"",IF(OR(J5892=0,AND(J5892=1,K5892=1),AND(J5892=1,I5892="SBJ"),AND(J5892=1,I5892=0)),"?IN_FOCUS",IF(J5892&lt;=2,"?ACTIVATED",IF(J5892&lt;&gt;"","?FAMILIAR",IF(F5892="NEW",IF(ISNA(VLOOKUP(E5892,#REF!,1,FALSE())),"?TYPE_IDENTIFIABLE","?REFERENTIAL"),"_")))))</f>
        <v> </v>
      </c>
      <c r="H5892" s="25" t="str">
        <f>IF(J5892&lt;&gt;1,"",IF(I5892="SBJ","CB","?"))</f>
        <v> </v>
      </c>
      <c r="I5892" s="26" t="str">
        <f>IF(OR(E5892="",E5892="!!!",F5892="NEW"),"",INDEX(B5891:B$2,-1+SUMPRODUCT(MAX(ROW(E5891:E$2)*(E5892=E5891:E$2)))))</f>
        <v> </v>
      </c>
      <c r="J5892" s="26" t="str">
        <f>IF(OR(E5892="",E5892="!!!",F5892="NEW"),"",COUNTBLANK(OFFSET(A$1,,,SUMPRODUCT(MAX(ROW(E$2:E5892)*(E5892=E$2:E5892)))))-COUNTBLANK(OFFSET(A$1,,,SUMPRODUCT(MAX(ROW(E$1:E5891)*(E2=E$1:E5891))))))</f>
        <v> </v>
      </c>
      <c r="K5892" s="26" t="str">
        <f>IF(OR(E5892="",E5892="!!!",F5892="NEW"),"",INDEX(J$1:J5891,SUMPRODUCT(MAX(ROW(E$1:E5891)*(E5892=E$1:E5891)))))</f>
        <v> </v>
      </c>
      <c r="L5892" s="27"/>
    </row>
    <row r="5893" spans="1:12">
      <c r="A5893" s="20" t="s">
        <v>1132</v>
      </c>
      <c r="E5893" s="22">
        <f>IF(D5893="?OLD","!!!","")</f>
        <v/>
      </c>
      <c r="F5893" s="23" t="str">
        <f>IF(OR(E5893="",E5893="!!!"),"",IF(NOT(ISNA(VLOOKUP(E5893,E$1:E5892,1,FALSE()))),"OLD",IF(AND(E5893&lt;&gt;"",E5893&lt;&gt;"!!!"),"NEW","")))</f>
        <v> </v>
      </c>
      <c r="G5893" s="24" t="str">
        <f>IF(OR(E5893="",E5893="!!!"),"",IF(OR(J5893=0,AND(J5893=1,K5893=1),AND(J5893=1,I5893="SBJ"),AND(J5893=1,I5893=0)),"?IN_FOCUS",IF(J5893&lt;=2,"?ACTIVATED",IF(J5893&lt;&gt;"","?FAMILIAR",IF(F5893="NEW",IF(ISNA(VLOOKUP(E5893,#REF!,1,FALSE())),"?TYPE_IDENTIFIABLE","?REFERENTIAL"),"_")))))</f>
        <v> </v>
      </c>
      <c r="H5893" s="25" t="str">
        <f>IF(J5893&lt;&gt;1,"",IF(I5893="SBJ","CB","?"))</f>
        <v> </v>
      </c>
      <c r="I5893" s="26" t="str">
        <f>IF(OR(E5893="",E5893="!!!",F5893="NEW"),"",INDEX(B5892:B$2,-1+SUMPRODUCT(MAX(ROW(E5892:E$2)*(E5893=E5892:E$2)))))</f>
        <v> </v>
      </c>
      <c r="J5893" s="26" t="str">
        <f>IF(OR(E5893="",E5893="!!!",F5893="NEW"),"",COUNTBLANK(OFFSET(A$1,,,SUMPRODUCT(MAX(ROW(E$2:E5893)*(E5893=E$2:E5893)))))-COUNTBLANK(OFFSET(A$1,,,SUMPRODUCT(MAX(ROW(E$1:E5892)*(E2=E$1:E5892))))))</f>
        <v> </v>
      </c>
      <c r="K5893" s="26" t="str">
        <f>IF(OR(E5893="",E5893="!!!",F5893="NEW"),"",INDEX(J$1:J5892,SUMPRODUCT(MAX(ROW(E$1:E5892)*(E5893=E$1:E5892)))))</f>
        <v> </v>
      </c>
      <c r="L5893" s="27"/>
    </row>
    <row r="5894" spans="1:12">
      <c r="A5894" s="20" t="s">
        <v>1283</v>
      </c>
      <c r="B5894" s="21" t="s">
        <v>1016</v>
      </c>
      <c r="C5894" s="21" t="s">
        <v>1102</v>
      </c>
      <c r="D5894" s="21" t="s">
        <v>1011</v>
      </c>
      <c r="E5894" s="22">
        <f>IF(D5894="?OLD","!!!","")</f>
        <v/>
      </c>
      <c r="F5894" s="23" t="str">
        <f>IF(OR(E5894="",E5894="!!!"),"",IF(NOT(ISNA(VLOOKUP(E5894,E$1:E5893,1,FALSE()))),"OLD",IF(AND(E5894&lt;&gt;"",E5894&lt;&gt;"!!!"),"NEW","")))</f>
        <v> </v>
      </c>
      <c r="G5894" s="24" t="str">
        <f>IF(OR(E5894="",E5894="!!!"),"",IF(OR(J5894=0,AND(J5894=1,K5894=1),AND(J5894=1,I5894="SBJ"),AND(J5894=1,I5894=0)),"?IN_FOCUS",IF(J5894&lt;=2,"?ACTIVATED",IF(J5894&lt;&gt;"","?FAMILIAR",IF(F5894="NEW",IF(ISNA(VLOOKUP(E5894,#REF!,1,FALSE())),"?TYPE_IDENTIFIABLE","?REFERENTIAL"),"_")))))</f>
        <v> </v>
      </c>
      <c r="H5894" s="25" t="str">
        <f>IF(J5894&lt;&gt;1,"",IF(I5894="SBJ","CB","?"))</f>
        <v> </v>
      </c>
      <c r="I5894" s="26" t="str">
        <f>IF(OR(E5894="",E5894="!!!",F5894="NEW"),"",INDEX(B5893:B$2,-1+SUMPRODUCT(MAX(ROW(E5893:E$2)*(E5894=E5893:E$2)))))</f>
        <v> </v>
      </c>
      <c r="J5894" s="26" t="str">
        <f>IF(OR(E5894="",E5894="!!!",F5894="NEW"),"",COUNTBLANK(OFFSET(A$1,,,SUMPRODUCT(MAX(ROW(E$2:E5894)*(E5894=E$2:E5894)))))-COUNTBLANK(OFFSET(A$1,,,SUMPRODUCT(MAX(ROW(E$1:E5893)*(E2=E$1:E5893))))))</f>
        <v> </v>
      </c>
      <c r="K5894" s="26" t="str">
        <f>IF(OR(E5894="",E5894="!!!",F5894="NEW"),"",INDEX(J$1:J5893,SUMPRODUCT(MAX(ROW(E$1:E5893)*(E5894=E$1:E5893)))))</f>
        <v> </v>
      </c>
      <c r="L5894" s="27"/>
    </row>
    <row r="5895" spans="1:12">
      <c r="A5895" s="20" t="s">
        <v>1025</v>
      </c>
      <c r="B5895" s="21" t="s">
        <v>1051</v>
      </c>
      <c r="E5895" s="22">
        <f>IF(D5895="?OLD","!!!","")</f>
        <v/>
      </c>
      <c r="F5895" s="23" t="str">
        <f>IF(OR(E5895="",E5895="!!!"),"",IF(NOT(ISNA(VLOOKUP(E5895,E$1:E5894,1,FALSE()))),"OLD",IF(AND(E5895&lt;&gt;"",E5895&lt;&gt;"!!!"),"NEW","")))</f>
        <v> </v>
      </c>
      <c r="G5895" s="24" t="str">
        <f>IF(OR(E5895="",E5895="!!!"),"",IF(OR(J5895=0,AND(J5895=1,K5895=1),AND(J5895=1,I5895="SBJ"),AND(J5895=1,I5895=0)),"?IN_FOCUS",IF(J5895&lt;=2,"?ACTIVATED",IF(J5895&lt;&gt;"","?FAMILIAR",IF(F5895="NEW",IF(ISNA(VLOOKUP(E5895,#REF!,1,FALSE())),"?TYPE_IDENTIFIABLE","?REFERENTIAL"),"_")))))</f>
        <v> </v>
      </c>
      <c r="H5895" s="25" t="str">
        <f>IF(J5895&lt;&gt;1,"",IF(I5895="SBJ","CB","?"))</f>
        <v> </v>
      </c>
      <c r="I5895" s="26" t="str">
        <f>IF(OR(E5895="",E5895="!!!",F5895="NEW"),"",INDEX(B5894:B$2,-1+SUMPRODUCT(MAX(ROW(E5894:E$2)*(E5895=E5894:E$2)))))</f>
        <v> </v>
      </c>
      <c r="J5895" s="26" t="str">
        <f>IF(OR(E5895="",E5895="!!!",F5895="NEW"),"",COUNTBLANK(OFFSET(A$1,,,SUMPRODUCT(MAX(ROW(E$2:E5895)*(E5895=E$2:E5895)))))-COUNTBLANK(OFFSET(A$1,,,SUMPRODUCT(MAX(ROW(E$1:E5894)*(E2=E$1:E5894))))))</f>
        <v> </v>
      </c>
      <c r="K5895" s="26" t="str">
        <f>IF(OR(E5895="",E5895="!!!",F5895="NEW"),"",INDEX(J$1:J5894,SUMPRODUCT(MAX(ROW(E$1:E5894)*(E5895=E$1:E5894)))))</f>
        <v> </v>
      </c>
      <c r="L5895" s="27"/>
    </row>
    <row r="5896" spans="1:12">
      <c r="A5896" s="20" t="s">
        <v>1008</v>
      </c>
      <c r="B5896" s="21" t="s">
        <v>1053</v>
      </c>
      <c r="C5896" s="21" t="s">
        <v>1010</v>
      </c>
      <c r="D5896" s="21" t="s">
        <v>1011</v>
      </c>
      <c r="E5896" s="22">
        <f>IF(D5896="?OLD","!!!","")</f>
        <v/>
      </c>
      <c r="F5896" s="23" t="str">
        <f>IF(OR(E5896="",E5896="!!!"),"",IF(NOT(ISNA(VLOOKUP(E5896,E$1:E5895,1,FALSE()))),"OLD",IF(AND(E5896&lt;&gt;"",E5896&lt;&gt;"!!!"),"NEW","")))</f>
        <v> </v>
      </c>
      <c r="G5896" s="24" t="str">
        <f>IF(OR(E5896="",E5896="!!!"),"",IF(OR(J5896=0,AND(J5896=1,K5896=1),AND(J5896=1,I5896="SBJ"),AND(J5896=1,I5896=0)),"?IN_FOCUS",IF(J5896&lt;=2,"?ACTIVATED",IF(J5896&lt;&gt;"","?FAMILIAR",IF(F5896="NEW",IF(ISNA(VLOOKUP(E5896,#REF!,1,FALSE())),"?TYPE_IDENTIFIABLE","?REFERENTIAL"),"_")))))</f>
        <v> </v>
      </c>
      <c r="H5896" s="25" t="str">
        <f>IF(J5896&lt;&gt;1,"",IF(I5896="SBJ","CB","?"))</f>
        <v> </v>
      </c>
      <c r="I5896" s="26" t="str">
        <f>IF(OR(E5896="",E5896="!!!",F5896="NEW"),"",INDEX(B5895:B$2,-1+SUMPRODUCT(MAX(ROW(E5895:E$2)*(E5896=E5895:E$2)))))</f>
        <v> </v>
      </c>
      <c r="J5896" s="26" t="str">
        <f>IF(OR(E5896="",E5896="!!!",F5896="NEW"),"",COUNTBLANK(OFFSET(A$1,,,SUMPRODUCT(MAX(ROW(E$2:E5896)*(E5896=E$2:E5896)))))-COUNTBLANK(OFFSET(A$1,,,SUMPRODUCT(MAX(ROW(E$1:E5895)*(E2=E$1:E5895))))))</f>
        <v> </v>
      </c>
      <c r="K5896" s="26" t="str">
        <f>IF(OR(E5896="",E5896="!!!",F5896="NEW"),"",INDEX(J$1:J5895,SUMPRODUCT(MAX(ROW(E$1:E5895)*(E5896=E$1:E5895)))))</f>
        <v> </v>
      </c>
      <c r="L5896" s="27"/>
    </row>
    <row r="5897" spans="1:12">
      <c r="A5897" s="20" t="s">
        <v>296</v>
      </c>
      <c r="E5897" s="22">
        <f>IF(D5897="?OLD","!!!","")</f>
        <v/>
      </c>
      <c r="F5897" s="23" t="str">
        <f>IF(OR(E5897="",E5897="!!!"),"",IF(NOT(ISNA(VLOOKUP(E5897,E$1:E5896,1,FALSE()))),"OLD",IF(AND(E5897&lt;&gt;"",E5897&lt;&gt;"!!!"),"NEW","")))</f>
        <v> </v>
      </c>
      <c r="G5897" s="24" t="str">
        <f>IF(OR(E5897="",E5897="!!!"),"",IF(OR(J5897=0,AND(J5897=1,K5897=1),AND(J5897=1,I5897="SBJ"),AND(J5897=1,I5897=0)),"?IN_FOCUS",IF(J5897&lt;=2,"?ACTIVATED",IF(J5897&lt;&gt;"","?FAMILIAR",IF(F5897="NEW",IF(ISNA(VLOOKUP(E5897,#REF!,1,FALSE())),"?TYPE_IDENTIFIABLE","?REFERENTIAL"),"_")))))</f>
        <v> </v>
      </c>
      <c r="H5897" s="25" t="str">
        <f>IF(J5897&lt;&gt;1,"",IF(I5897="SBJ","CB","?"))</f>
        <v> </v>
      </c>
      <c r="I5897" s="26" t="str">
        <f>IF(OR(E5897="",E5897="!!!",F5897="NEW"),"",INDEX(B5896:B$2,-1+SUMPRODUCT(MAX(ROW(E5896:E$2)*(E5897=E5896:E$2)))))</f>
        <v> </v>
      </c>
      <c r="J5897" s="26" t="str">
        <f>IF(OR(E5897="",E5897="!!!",F5897="NEW"),"",COUNTBLANK(OFFSET(A$1,,,SUMPRODUCT(MAX(ROW(E$2:E5897)*(E5897=E$2:E5897)))))-COUNTBLANK(OFFSET(A$1,,,SUMPRODUCT(MAX(ROW(E$1:E5896)*(E2=E$1:E5896))))))</f>
        <v> </v>
      </c>
      <c r="K5897" s="26" t="str">
        <f>IF(OR(E5897="",E5897="!!!",F5897="NEW"),"",INDEX(J$1:J5896,SUMPRODUCT(MAX(ROW(E$1:E5896)*(E5897=E$1:E5896)))))</f>
        <v> </v>
      </c>
      <c r="L5897" s="27"/>
    </row>
    <row r="5898" spans="1:12">
      <c r="A5898" s="20" t="s">
        <v>1045</v>
      </c>
      <c r="E5898" s="22">
        <f>IF(D5898="?OLD","!!!","")</f>
        <v/>
      </c>
      <c r="F5898" s="23" t="str">
        <f>IF(OR(E5898="",E5898="!!!"),"",IF(NOT(ISNA(VLOOKUP(E5898,E$1:E5897,1,FALSE()))),"OLD",IF(AND(E5898&lt;&gt;"",E5898&lt;&gt;"!!!"),"NEW","")))</f>
        <v> </v>
      </c>
      <c r="G5898" s="24" t="str">
        <f>IF(OR(E5898="",E5898="!!!"),"",IF(OR(J5898=0,AND(J5898=1,K5898=1),AND(J5898=1,I5898="SBJ"),AND(J5898=1,I5898=0)),"?IN_FOCUS",IF(J5898&lt;=2,"?ACTIVATED",IF(J5898&lt;&gt;"","?FAMILIAR",IF(F5898="NEW",IF(ISNA(VLOOKUP(E5898,#REF!,1,FALSE())),"?TYPE_IDENTIFIABLE","?REFERENTIAL"),"_")))))</f>
        <v> </v>
      </c>
      <c r="H5898" s="25" t="str">
        <f>IF(J5898&lt;&gt;1,"",IF(I5898="SBJ","CB","?"))</f>
        <v> </v>
      </c>
      <c r="I5898" s="26" t="str">
        <f>IF(OR(E5898="",E5898="!!!",F5898="NEW"),"",INDEX(B5897:B$2,-1+SUMPRODUCT(MAX(ROW(E5897:E$2)*(E5898=E5897:E$2)))))</f>
        <v> </v>
      </c>
      <c r="J5898" s="26" t="str">
        <f>IF(OR(E5898="",E5898="!!!",F5898="NEW"),"",COUNTBLANK(OFFSET(A$1,,,SUMPRODUCT(MAX(ROW(E$2:E5898)*(E5898=E$2:E5898)))))-COUNTBLANK(OFFSET(A$1,,,SUMPRODUCT(MAX(ROW(E$1:E5897)*(E2=E$1:E5897))))))</f>
        <v> </v>
      </c>
      <c r="K5898" s="26" t="str">
        <f>IF(OR(E5898="",E5898="!!!",F5898="NEW"),"",INDEX(J$1:J5897,SUMPRODUCT(MAX(ROW(E$1:E5897)*(E5898=E$1:E5897)))))</f>
        <v> </v>
      </c>
      <c r="L5898" s="27"/>
    </row>
    <row r="5899" spans="1:12">
      <c r="A5899" s="20" t="s">
        <v>2292</v>
      </c>
      <c r="E5899" s="22">
        <f>IF(D5899="?OLD","!!!","")</f>
        <v/>
      </c>
      <c r="F5899" s="23" t="str">
        <f>IF(OR(E5899="",E5899="!!!"),"",IF(NOT(ISNA(VLOOKUP(E5899,E$1:E5898,1,FALSE()))),"OLD",IF(AND(E5899&lt;&gt;"",E5899&lt;&gt;"!!!"),"NEW","")))</f>
        <v> </v>
      </c>
      <c r="G5899" s="24" t="str">
        <f>IF(OR(E5899="",E5899="!!!"),"",IF(OR(J5899=0,AND(J5899=1,K5899=1),AND(J5899=1,I5899="SBJ"),AND(J5899=1,I5899=0)),"?IN_FOCUS",IF(J5899&lt;=2,"?ACTIVATED",IF(J5899&lt;&gt;"","?FAMILIAR",IF(F5899="NEW",IF(ISNA(VLOOKUP(E5899,#REF!,1,FALSE())),"?TYPE_IDENTIFIABLE","?REFERENTIAL"),"_")))))</f>
        <v> </v>
      </c>
      <c r="H5899" s="25" t="str">
        <f>IF(J5899&lt;&gt;1,"",IF(I5899="SBJ","CB","?"))</f>
        <v> </v>
      </c>
      <c r="I5899" s="26" t="str">
        <f>IF(OR(E5899="",E5899="!!!",F5899="NEW"),"",INDEX(B5898:B$2,-1+SUMPRODUCT(MAX(ROW(E5898:E$2)*(E5899=E5898:E$2)))))</f>
        <v> </v>
      </c>
      <c r="J5899" s="26" t="str">
        <f>IF(OR(E5899="",E5899="!!!",F5899="NEW"),"",COUNTBLANK(OFFSET(A$1,,,SUMPRODUCT(MAX(ROW(E$2:E5899)*(E5899=E$2:E5899)))))-COUNTBLANK(OFFSET(A$1,,,SUMPRODUCT(MAX(ROW(E$1:E5898)*(E2=E$1:E5898))))))</f>
        <v> </v>
      </c>
      <c r="K5899" s="26" t="str">
        <f>IF(OR(E5899="",E5899="!!!",F5899="NEW"),"",INDEX(J$1:J5898,SUMPRODUCT(MAX(ROW(E$1:E5898)*(E5899=E$1:E5898)))))</f>
        <v> </v>
      </c>
      <c r="L5899" s="27"/>
    </row>
    <row r="5900" spans="1:12">
      <c r="A5900" s="20" t="s">
        <v>1022</v>
      </c>
      <c r="E5900" s="22">
        <f>IF(D5900="?OLD","!!!","")</f>
        <v/>
      </c>
      <c r="F5900" s="23" t="str">
        <f>IF(OR(E5900="",E5900="!!!"),"",IF(NOT(ISNA(VLOOKUP(E5900,E$1:E5899,1,FALSE()))),"OLD",IF(AND(E5900&lt;&gt;"",E5900&lt;&gt;"!!!"),"NEW","")))</f>
        <v> </v>
      </c>
      <c r="G5900" s="24" t="str">
        <f>IF(OR(E5900="",E5900="!!!"),"",IF(OR(J5900=0,AND(J5900=1,K5900=1),AND(J5900=1,I5900="SBJ"),AND(J5900=1,I5900=0)),"?IN_FOCUS",IF(J5900&lt;=2,"?ACTIVATED",IF(J5900&lt;&gt;"","?FAMILIAR",IF(F5900="NEW",IF(ISNA(VLOOKUP(E5900,#REF!,1,FALSE())),"?TYPE_IDENTIFIABLE","?REFERENTIAL"),"_")))))</f>
        <v> </v>
      </c>
      <c r="H5900" s="25" t="str">
        <f>IF(J5900&lt;&gt;1,"",IF(I5900="SBJ","CB","?"))</f>
        <v> </v>
      </c>
      <c r="I5900" s="26" t="str">
        <f>IF(OR(E5900="",E5900="!!!",F5900="NEW"),"",INDEX(B5899:B$2,-1+SUMPRODUCT(MAX(ROW(E5899:E$2)*(E5900=E5899:E$2)))))</f>
        <v> </v>
      </c>
      <c r="J5900" s="26" t="str">
        <f>IF(OR(E5900="",E5900="!!!",F5900="NEW"),"",COUNTBLANK(OFFSET(A$1,,,SUMPRODUCT(MAX(ROW(E$2:E5900)*(E5900=E$2:E5900)))))-COUNTBLANK(OFFSET(A$1,,,SUMPRODUCT(MAX(ROW(E$1:E5899)*(E2=E$1:E5899))))))</f>
        <v> </v>
      </c>
      <c r="K5900" s="26" t="str">
        <f>IF(OR(E5900="",E5900="!!!",F5900="NEW"),"",INDEX(J$1:J5899,SUMPRODUCT(MAX(ROW(E$1:E5899)*(E5900=E$1:E5899)))))</f>
        <v> </v>
      </c>
      <c r="L5900" s="27"/>
    </row>
    <row r="5901" spans="1:12">
      <c r="A5901" s="20"/>
    </row>
    <row r="5902" spans="1:12">
      <c r="A5902" s="20" t="s">
        <v>2293</v>
      </c>
    </row>
    <row r="5903" spans="1:12">
      <c r="A5903" s="20" t="s">
        <v>1084</v>
      </c>
      <c r="E5903" s="22">
        <f>IF(D5903="?OLD","!!!","")</f>
        <v/>
      </c>
      <c r="F5903" s="23" t="str">
        <f>IF(OR(E5903="",E5903="!!!"),"",IF(NOT(ISNA(VLOOKUP(E5903,E$1:E5902,1,FALSE()))),"OLD",IF(AND(E5903&lt;&gt;"",E5903&lt;&gt;"!!!"),"NEW","")))</f>
        <v> </v>
      </c>
      <c r="G5903" s="24" t="str">
        <f>IF(OR(E5903="",E5903="!!!"),"",IF(OR(J5903=0,AND(J5903=1,K5903=1),AND(J5903=1,I5903="SBJ"),AND(J5903=1,I5903=0)),"?IN_FOCUS",IF(J5903&lt;=2,"?ACTIVATED",IF(J5903&lt;&gt;"","?FAMILIAR",IF(F5903="NEW",IF(ISNA(VLOOKUP(E5903,#REF!,1,FALSE())),"?TYPE_IDENTIFIABLE","?REFERENTIAL"),"_")))))</f>
        <v> </v>
      </c>
      <c r="H5903" s="25" t="str">
        <f>IF(J5903&lt;&gt;1,"",IF(I5903="SBJ","CB","?"))</f>
        <v> </v>
      </c>
      <c r="I5903" s="26" t="str">
        <f>IF(OR(E5903="",E5903="!!!",F5903="NEW"),"",INDEX(B5902:B$2,-1+SUMPRODUCT(MAX(ROW(E5902:E$2)*(E5903=E5902:E$2)))))</f>
        <v> </v>
      </c>
      <c r="J5903" s="26" t="str">
        <f>IF(OR(E5903="",E5903="!!!",F5903="NEW"),"",COUNTBLANK(OFFSET(A$1,,,SUMPRODUCT(MAX(ROW(E$2:E5903)*(E5903=E$2:E5903)))))-COUNTBLANK(OFFSET(A$1,,,SUMPRODUCT(MAX(ROW(E$1:E5902)*(E2=E$1:E5902))))))</f>
        <v> </v>
      </c>
      <c r="K5903" s="26" t="str">
        <f>IF(OR(E5903="",E5903="!!!",F5903="NEW"),"",INDEX(J$1:J5902,SUMPRODUCT(MAX(ROW(E$1:E5902)*(E5903=E$1:E5902)))))</f>
        <v> </v>
      </c>
      <c r="L5903" s="27"/>
    </row>
    <row r="5904" spans="1:12">
      <c r="A5904" s="20" t="s">
        <v>2251</v>
      </c>
      <c r="E5904" s="22">
        <f>IF(D5904="?OLD","!!!","")</f>
        <v/>
      </c>
      <c r="F5904" s="23" t="str">
        <f>IF(OR(E5904="",E5904="!!!"),"",IF(NOT(ISNA(VLOOKUP(E5904,E$1:E5903,1,FALSE()))),"OLD",IF(AND(E5904&lt;&gt;"",E5904&lt;&gt;"!!!"),"NEW","")))</f>
        <v> </v>
      </c>
      <c r="G5904" s="24" t="str">
        <f>IF(OR(E5904="",E5904="!!!"),"",IF(OR(J5904=0,AND(J5904=1,K5904=1),AND(J5904=1,I5904="SBJ"),AND(J5904=1,I5904=0)),"?IN_FOCUS",IF(J5904&lt;=2,"?ACTIVATED",IF(J5904&lt;&gt;"","?FAMILIAR",IF(F5904="NEW",IF(ISNA(VLOOKUP(E5904,#REF!,1,FALSE())),"?TYPE_IDENTIFIABLE","?REFERENTIAL"),"_")))))</f>
        <v> </v>
      </c>
      <c r="H5904" s="25" t="str">
        <f>IF(J5904&lt;&gt;1,"",IF(I5904="SBJ","CB","?"))</f>
        <v> </v>
      </c>
      <c r="I5904" s="26" t="str">
        <f>IF(OR(E5904="",E5904="!!!",F5904="NEW"),"",INDEX(B5903:B$2,-1+SUMPRODUCT(MAX(ROW(E5903:E$2)*(E5904=E5903:E$2)))))</f>
        <v> </v>
      </c>
      <c r="J5904" s="26" t="str">
        <f>IF(OR(E5904="",E5904="!!!",F5904="NEW"),"",COUNTBLANK(OFFSET(A$1,,,SUMPRODUCT(MAX(ROW(E$2:E5904)*(E5904=E$2:E5904)))))-COUNTBLANK(OFFSET(A$1,,,SUMPRODUCT(MAX(ROW(E$1:E5903)*(E2=E$1:E5903))))))</f>
        <v> </v>
      </c>
      <c r="K5904" s="26" t="str">
        <f>IF(OR(E5904="",E5904="!!!",F5904="NEW"),"",INDEX(J$1:J5903,SUMPRODUCT(MAX(ROW(E$1:E5903)*(E5904=E$1:E5903)))))</f>
        <v> </v>
      </c>
      <c r="L5904" s="27"/>
    </row>
    <row r="5905" spans="1:12">
      <c r="A5905" s="20" t="s">
        <v>2277</v>
      </c>
      <c r="E5905" s="22">
        <f>IF(D5905="?OLD","!!!","")</f>
        <v/>
      </c>
      <c r="F5905" s="23" t="str">
        <f>IF(OR(E5905="",E5905="!!!"),"",IF(NOT(ISNA(VLOOKUP(E5905,E$1:E5904,1,FALSE()))),"OLD",IF(AND(E5905&lt;&gt;"",E5905&lt;&gt;"!!!"),"NEW","")))</f>
        <v> </v>
      </c>
      <c r="G5905" s="24" t="str">
        <f>IF(OR(E5905="",E5905="!!!"),"",IF(OR(J5905=0,AND(J5905=1,K5905=1),AND(J5905=1,I5905="SBJ"),AND(J5905=1,I5905=0)),"?IN_FOCUS",IF(J5905&lt;=2,"?ACTIVATED",IF(J5905&lt;&gt;"","?FAMILIAR",IF(F5905="NEW",IF(ISNA(VLOOKUP(E5905,#REF!,1,FALSE())),"?TYPE_IDENTIFIABLE","?REFERENTIAL"),"_")))))</f>
        <v> </v>
      </c>
      <c r="H5905" s="25" t="str">
        <f>IF(J5905&lt;&gt;1,"",IF(I5905="SBJ","CB","?"))</f>
        <v> </v>
      </c>
      <c r="I5905" s="26" t="str">
        <f>IF(OR(E5905="",E5905="!!!",F5905="NEW"),"",INDEX(B5904:B$2,-1+SUMPRODUCT(MAX(ROW(E5904:E$2)*(E5905=E5904:E$2)))))</f>
        <v> </v>
      </c>
      <c r="J5905" s="26" t="str">
        <f>IF(OR(E5905="",E5905="!!!",F5905="NEW"),"",COUNTBLANK(OFFSET(A$1,,,SUMPRODUCT(MAX(ROW(E$2:E5905)*(E5905=E$2:E5905)))))-COUNTBLANK(OFFSET(A$1,,,SUMPRODUCT(MAX(ROW(E$1:E5904)*(E2=E$1:E5904))))))</f>
        <v> </v>
      </c>
      <c r="K5905" s="26" t="str">
        <f>IF(OR(E5905="",E5905="!!!",F5905="NEW"),"",INDEX(J$1:J5904,SUMPRODUCT(MAX(ROW(E$1:E5904)*(E5905=E$1:E5904)))))</f>
        <v> </v>
      </c>
      <c r="L5905" s="27"/>
    </row>
    <row r="5906" spans="1:12">
      <c r="A5906" s="20" t="s">
        <v>2278</v>
      </c>
      <c r="E5906" s="22">
        <f>IF(D5906="?OLD","!!!","")</f>
        <v/>
      </c>
      <c r="F5906" s="23" t="str">
        <f>IF(OR(E5906="",E5906="!!!"),"",IF(NOT(ISNA(VLOOKUP(E5906,E$1:E5905,1,FALSE()))),"OLD",IF(AND(E5906&lt;&gt;"",E5906&lt;&gt;"!!!"),"NEW","")))</f>
        <v> </v>
      </c>
      <c r="G5906" s="24" t="str">
        <f>IF(OR(E5906="",E5906="!!!"),"",IF(OR(J5906=0,AND(J5906=1,K5906=1),AND(J5906=1,I5906="SBJ"),AND(J5906=1,I5906=0)),"?IN_FOCUS",IF(J5906&lt;=2,"?ACTIVATED",IF(J5906&lt;&gt;"","?FAMILIAR",IF(F5906="NEW",IF(ISNA(VLOOKUP(E5906,#REF!,1,FALSE())),"?TYPE_IDENTIFIABLE","?REFERENTIAL"),"_")))))</f>
        <v> </v>
      </c>
      <c r="H5906" s="25" t="str">
        <f>IF(J5906&lt;&gt;1,"",IF(I5906="SBJ","CB","?"))</f>
        <v> </v>
      </c>
      <c r="I5906" s="26" t="str">
        <f>IF(OR(E5906="",E5906="!!!",F5906="NEW"),"",INDEX(B5905:B$2,-1+SUMPRODUCT(MAX(ROW(E5905:E$2)*(E5906=E5905:E$2)))))</f>
        <v> </v>
      </c>
      <c r="J5906" s="26" t="str">
        <f>IF(OR(E5906="",E5906="!!!",F5906="NEW"),"",COUNTBLANK(OFFSET(A$1,,,SUMPRODUCT(MAX(ROW(E$2:E5906)*(E5906=E$2:E5906)))))-COUNTBLANK(OFFSET(A$1,,,SUMPRODUCT(MAX(ROW(E$1:E5905)*(E2=E$1:E5905))))))</f>
        <v> </v>
      </c>
      <c r="K5906" s="26" t="str">
        <f>IF(OR(E5906="",E5906="!!!",F5906="NEW"),"",INDEX(J$1:J5905,SUMPRODUCT(MAX(ROW(E$1:E5905)*(E5906=E$1:E5905)))))</f>
        <v> </v>
      </c>
      <c r="L5906" s="27"/>
    </row>
    <row r="5907" spans="1:12">
      <c r="A5907" s="20" t="s">
        <v>984</v>
      </c>
      <c r="B5907" s="21" t="s">
        <v>1071</v>
      </c>
      <c r="C5907" s="21" t="s">
        <v>1044</v>
      </c>
      <c r="D5907" s="21" t="s">
        <v>1011</v>
      </c>
      <c r="E5907" s="22">
        <f>IF(D5907="?OLD","!!!","")</f>
        <v/>
      </c>
      <c r="F5907" s="23" t="str">
        <f>IF(OR(E5907="",E5907="!!!"),"",IF(NOT(ISNA(VLOOKUP(E5907,E$1:E5906,1,FALSE()))),"OLD",IF(AND(E5907&lt;&gt;"",E5907&lt;&gt;"!!!"),"NEW","")))</f>
        <v> </v>
      </c>
      <c r="G5907" s="24" t="str">
        <f>IF(OR(E5907="",E5907="!!!"),"",IF(OR(J5907=0,AND(J5907=1,K5907=1),AND(J5907=1,I5907="SBJ"),AND(J5907=1,I5907=0)),"?IN_FOCUS",IF(J5907&lt;=2,"?ACTIVATED",IF(J5907&lt;&gt;"","?FAMILIAR",IF(F5907="NEW",IF(ISNA(VLOOKUP(E5907,#REF!,1,FALSE())),"?TYPE_IDENTIFIABLE","?REFERENTIAL"),"_")))))</f>
        <v> </v>
      </c>
      <c r="H5907" s="25" t="str">
        <f>IF(J5907&lt;&gt;1,"",IF(I5907="SBJ","CB","?"))</f>
        <v> </v>
      </c>
      <c r="I5907" s="26" t="str">
        <f>IF(OR(E5907="",E5907="!!!",F5907="NEW"),"",INDEX(B5906:B$2,-1+SUMPRODUCT(MAX(ROW(E5906:E$2)*(E5907=E5906:E$2)))))</f>
        <v> </v>
      </c>
      <c r="J5907" s="26" t="str">
        <f>IF(OR(E5907="",E5907="!!!",F5907="NEW"),"",COUNTBLANK(OFFSET(A$1,,,SUMPRODUCT(MAX(ROW(E$2:E5907)*(E5907=E$2:E5907)))))-COUNTBLANK(OFFSET(A$1,,,SUMPRODUCT(MAX(ROW(E$1:E5906)*(E2=E$1:E5906))))))</f>
        <v> </v>
      </c>
      <c r="K5907" s="26" t="str">
        <f>IF(OR(E5907="",E5907="!!!",F5907="NEW"),"",INDEX(J$1:J5906,SUMPRODUCT(MAX(ROW(E$1:E5906)*(E5907=E$1:E5906)))))</f>
        <v> </v>
      </c>
      <c r="L5907" s="27"/>
    </row>
    <row r="5908" spans="1:12">
      <c r="A5908" s="20" t="s">
        <v>12</v>
      </c>
      <c r="E5908" s="22">
        <f>IF(D5908="?OLD","!!!","")</f>
        <v/>
      </c>
      <c r="F5908" s="23" t="str">
        <f>IF(OR(E5908="",E5908="!!!"),"",IF(NOT(ISNA(VLOOKUP(E5908,E$1:E5907,1,FALSE()))),"OLD",IF(AND(E5908&lt;&gt;"",E5908&lt;&gt;"!!!"),"NEW","")))</f>
        <v> </v>
      </c>
      <c r="G5908" s="24" t="str">
        <f>IF(OR(E5908="",E5908="!!!"),"",IF(OR(J5908=0,AND(J5908=1,K5908=1),AND(J5908=1,I5908="SBJ"),AND(J5908=1,I5908=0)),"?IN_FOCUS",IF(J5908&lt;=2,"?ACTIVATED",IF(J5908&lt;&gt;"","?FAMILIAR",IF(F5908="NEW",IF(ISNA(VLOOKUP(E5908,#REF!,1,FALSE())),"?TYPE_IDENTIFIABLE","?REFERENTIAL"),"_")))))</f>
        <v> </v>
      </c>
      <c r="H5908" s="25" t="str">
        <f>IF(J5908&lt;&gt;1,"",IF(I5908="SBJ","CB","?"))</f>
        <v> </v>
      </c>
      <c r="I5908" s="26" t="str">
        <f>IF(OR(E5908="",E5908="!!!",F5908="NEW"),"",INDEX(B5907:B$2,-1+SUMPRODUCT(MAX(ROW(E5907:E$2)*(E5908=E5907:E$2)))))</f>
        <v> </v>
      </c>
      <c r="J5908" s="26" t="str">
        <f>IF(OR(E5908="",E5908="!!!",F5908="NEW"),"",COUNTBLANK(OFFSET(A$1,,,SUMPRODUCT(MAX(ROW(E$2:E5908)*(E5908=E$2:E5908)))))-COUNTBLANK(OFFSET(A$1,,,SUMPRODUCT(MAX(ROW(E$1:E5907)*(E2=E$1:E5907))))))</f>
        <v> </v>
      </c>
      <c r="K5908" s="26" t="str">
        <f>IF(OR(E5908="",E5908="!!!",F5908="NEW"),"",INDEX(J$1:J5907,SUMPRODUCT(MAX(ROW(E$1:E5907)*(E5908=E$1:E5907)))))</f>
        <v> </v>
      </c>
      <c r="L5908" s="27"/>
    </row>
    <row r="5909" spans="1:12">
      <c r="A5909" s="20" t="s">
        <v>1121</v>
      </c>
      <c r="B5909" s="21" t="s">
        <v>1039</v>
      </c>
      <c r="C5909" s="21" t="s">
        <v>1010</v>
      </c>
      <c r="D5909" s="21" t="s">
        <v>1011</v>
      </c>
      <c r="E5909" s="22">
        <f>IF(D5909="?OLD","!!!","")</f>
        <v/>
      </c>
      <c r="F5909" s="23" t="str">
        <f>IF(OR(E5909="",E5909="!!!"),"",IF(NOT(ISNA(VLOOKUP(E5909,E$1:E5908,1,FALSE()))),"OLD",IF(AND(E5909&lt;&gt;"",E5909&lt;&gt;"!!!"),"NEW","")))</f>
        <v> </v>
      </c>
      <c r="G5909" s="24" t="str">
        <f>IF(OR(E5909="",E5909="!!!"),"",IF(OR(J5909=0,AND(J5909=1,K5909=1),AND(J5909=1,I5909="SBJ"),AND(J5909=1,I5909=0)),"?IN_FOCUS",IF(J5909&lt;=2,"?ACTIVATED",IF(J5909&lt;&gt;"","?FAMILIAR",IF(F5909="NEW",IF(ISNA(VLOOKUP(E5909,#REF!,1,FALSE())),"?TYPE_IDENTIFIABLE","?REFERENTIAL"),"_")))))</f>
        <v> </v>
      </c>
      <c r="H5909" s="25" t="str">
        <f>IF(J5909&lt;&gt;1,"",IF(I5909="SBJ","CB","?"))</f>
        <v> </v>
      </c>
      <c r="I5909" s="26" t="str">
        <f>IF(OR(E5909="",E5909="!!!",F5909="NEW"),"",INDEX(B5908:B$2,-1+SUMPRODUCT(MAX(ROW(E5908:E$2)*(E5909=E5908:E$2)))))</f>
        <v> </v>
      </c>
      <c r="J5909" s="26" t="str">
        <f>IF(OR(E5909="",E5909="!!!",F5909="NEW"),"",COUNTBLANK(OFFSET(A$1,,,SUMPRODUCT(MAX(ROW(E$2:E5909)*(E5909=E$2:E5909)))))-COUNTBLANK(OFFSET(A$1,,,SUMPRODUCT(MAX(ROW(E$1:E5908)*(E2=E$1:E5908))))))</f>
        <v> </v>
      </c>
      <c r="K5909" s="26" t="str">
        <f>IF(OR(E5909="",E5909="!!!",F5909="NEW"),"",INDEX(J$1:J5908,SUMPRODUCT(MAX(ROW(E$1:E5908)*(E5909=E$1:E5908)))))</f>
        <v> </v>
      </c>
      <c r="L5909" s="27"/>
    </row>
    <row r="5910" spans="1:12">
      <c r="A5910" s="20" t="s">
        <v>1173</v>
      </c>
      <c r="E5910" s="22">
        <f>IF(D5910="?OLD","!!!","")</f>
        <v/>
      </c>
      <c r="F5910" s="23" t="str">
        <f>IF(OR(E5910="",E5910="!!!"),"",IF(NOT(ISNA(VLOOKUP(E5910,E$1:E5909,1,FALSE()))),"OLD",IF(AND(E5910&lt;&gt;"",E5910&lt;&gt;"!!!"),"NEW","")))</f>
        <v> </v>
      </c>
      <c r="G5910" s="24" t="str">
        <f>IF(OR(E5910="",E5910="!!!"),"",IF(OR(J5910=0,AND(J5910=1,K5910=1),AND(J5910=1,I5910="SBJ"),AND(J5910=1,I5910=0)),"?IN_FOCUS",IF(J5910&lt;=2,"?ACTIVATED",IF(J5910&lt;&gt;"","?FAMILIAR",IF(F5910="NEW",IF(ISNA(VLOOKUP(E5910,#REF!,1,FALSE())),"?TYPE_IDENTIFIABLE","?REFERENTIAL"),"_")))))</f>
        <v> </v>
      </c>
      <c r="H5910" s="25" t="str">
        <f>IF(J5910&lt;&gt;1,"",IF(I5910="SBJ","CB","?"))</f>
        <v> </v>
      </c>
      <c r="I5910" s="26" t="str">
        <f>IF(OR(E5910="",E5910="!!!",F5910="NEW"),"",INDEX(B5909:B$2,-1+SUMPRODUCT(MAX(ROW(E5909:E$2)*(E5910=E5909:E$2)))))</f>
        <v> </v>
      </c>
      <c r="J5910" s="26" t="str">
        <f>IF(OR(E5910="",E5910="!!!",F5910="NEW"),"",COUNTBLANK(OFFSET(A$1,,,SUMPRODUCT(MAX(ROW(E$2:E5910)*(E5910=E$2:E5910)))))-COUNTBLANK(OFFSET(A$1,,,SUMPRODUCT(MAX(ROW(E$1:E5909)*(E2=E$1:E5909))))))</f>
        <v> </v>
      </c>
      <c r="K5910" s="26" t="str">
        <f>IF(OR(E5910="",E5910="!!!",F5910="NEW"),"",INDEX(J$1:J5909,SUMPRODUCT(MAX(ROW(E$1:E5909)*(E5910=E$1:E5909)))))</f>
        <v> </v>
      </c>
      <c r="L5910" s="27"/>
    </row>
    <row r="5911" spans="1:12">
      <c r="A5911" s="20" t="s">
        <v>1747</v>
      </c>
      <c r="E5911" s="22">
        <f>IF(D5911="?OLD","!!!","")</f>
        <v/>
      </c>
      <c r="F5911" s="23" t="str">
        <f>IF(OR(E5911="",E5911="!!!"),"",IF(NOT(ISNA(VLOOKUP(E5911,E$1:E5910,1,FALSE()))),"OLD",IF(AND(E5911&lt;&gt;"",E5911&lt;&gt;"!!!"),"NEW","")))</f>
        <v> </v>
      </c>
      <c r="G5911" s="24" t="str">
        <f>IF(OR(E5911="",E5911="!!!"),"",IF(OR(J5911=0,AND(J5911=1,K5911=1),AND(J5911=1,I5911="SBJ"),AND(J5911=1,I5911=0)),"?IN_FOCUS",IF(J5911&lt;=2,"?ACTIVATED",IF(J5911&lt;&gt;"","?FAMILIAR",IF(F5911="NEW",IF(ISNA(VLOOKUP(E5911,#REF!,1,FALSE())),"?TYPE_IDENTIFIABLE","?REFERENTIAL"),"_")))))</f>
        <v> </v>
      </c>
      <c r="H5911" s="25" t="str">
        <f>IF(J5911&lt;&gt;1,"",IF(I5911="SBJ","CB","?"))</f>
        <v> </v>
      </c>
      <c r="I5911" s="26" t="str">
        <f>IF(OR(E5911="",E5911="!!!",F5911="NEW"),"",INDEX(B5910:B$2,-1+SUMPRODUCT(MAX(ROW(E5910:E$2)*(E5911=E5910:E$2)))))</f>
        <v> </v>
      </c>
      <c r="J5911" s="26" t="str">
        <f>IF(OR(E5911="",E5911="!!!",F5911="NEW"),"",COUNTBLANK(OFFSET(A$1,,,SUMPRODUCT(MAX(ROW(E$2:E5911)*(E5911=E$2:E5911)))))-COUNTBLANK(OFFSET(A$1,,,SUMPRODUCT(MAX(ROW(E$1:E5910)*(E2=E$1:E5910))))))</f>
        <v> </v>
      </c>
      <c r="K5911" s="26" t="str">
        <f>IF(OR(E5911="",E5911="!!!",F5911="NEW"),"",INDEX(J$1:J5910,SUMPRODUCT(MAX(ROW(E$1:E5910)*(E5911=E$1:E5910)))))</f>
        <v> </v>
      </c>
      <c r="L5911" s="27"/>
    </row>
    <row r="5912" spans="1:12">
      <c r="A5912" s="20" t="s">
        <v>1225</v>
      </c>
      <c r="E5912" s="22">
        <f>IF(D5912="?OLD","!!!","")</f>
        <v/>
      </c>
      <c r="F5912" s="23" t="str">
        <f>IF(OR(E5912="",E5912="!!!"),"",IF(NOT(ISNA(VLOOKUP(E5912,E$1:E5911,1,FALSE()))),"OLD",IF(AND(E5912&lt;&gt;"",E5912&lt;&gt;"!!!"),"NEW","")))</f>
        <v> </v>
      </c>
      <c r="G5912" s="24" t="str">
        <f>IF(OR(E5912="",E5912="!!!"),"",IF(OR(J5912=0,AND(J5912=1,K5912=1),AND(J5912=1,I5912="SBJ"),AND(J5912=1,I5912=0)),"?IN_FOCUS",IF(J5912&lt;=2,"?ACTIVATED",IF(J5912&lt;&gt;"","?FAMILIAR",IF(F5912="NEW",IF(ISNA(VLOOKUP(E5912,#REF!,1,FALSE())),"?TYPE_IDENTIFIABLE","?REFERENTIAL"),"_")))))</f>
        <v> </v>
      </c>
      <c r="H5912" s="25" t="str">
        <f>IF(J5912&lt;&gt;1,"",IF(I5912="SBJ","CB","?"))</f>
        <v> </v>
      </c>
      <c r="I5912" s="26" t="str">
        <f>IF(OR(E5912="",E5912="!!!",F5912="NEW"),"",INDEX(B5911:B$2,-1+SUMPRODUCT(MAX(ROW(E5911:E$2)*(E5912=E5911:E$2)))))</f>
        <v> </v>
      </c>
      <c r="J5912" s="26" t="str">
        <f>IF(OR(E5912="",E5912="!!!",F5912="NEW"),"",COUNTBLANK(OFFSET(A$1,,,SUMPRODUCT(MAX(ROW(E$2:E5912)*(E5912=E$2:E5912)))))-COUNTBLANK(OFFSET(A$1,,,SUMPRODUCT(MAX(ROW(E$1:E5911)*(E2=E$1:E5911))))))</f>
        <v> </v>
      </c>
      <c r="K5912" s="26" t="str">
        <f>IF(OR(E5912="",E5912="!!!",F5912="NEW"),"",INDEX(J$1:J5911,SUMPRODUCT(MAX(ROW(E$1:E5911)*(E5912=E$1:E5911)))))</f>
        <v> </v>
      </c>
      <c r="L5912" s="27"/>
    </row>
    <row r="5913" spans="1:12">
      <c r="A5913" s="20" t="s">
        <v>1326</v>
      </c>
      <c r="E5913" s="22">
        <f>IF(D5913="?OLD","!!!","")</f>
        <v/>
      </c>
      <c r="F5913" s="23" t="str">
        <f>IF(OR(E5913="",E5913="!!!"),"",IF(NOT(ISNA(VLOOKUP(E5913,E$1:E5912,1,FALSE()))),"OLD",IF(AND(E5913&lt;&gt;"",E5913&lt;&gt;"!!!"),"NEW","")))</f>
        <v> </v>
      </c>
      <c r="G5913" s="24" t="str">
        <f>IF(OR(E5913="",E5913="!!!"),"",IF(OR(J5913=0,AND(J5913=1,K5913=1),AND(J5913=1,I5913="SBJ"),AND(J5913=1,I5913=0)),"?IN_FOCUS",IF(J5913&lt;=2,"?ACTIVATED",IF(J5913&lt;&gt;"","?FAMILIAR",IF(F5913="NEW",IF(ISNA(VLOOKUP(E5913,#REF!,1,FALSE())),"?TYPE_IDENTIFIABLE","?REFERENTIAL"),"_")))))</f>
        <v> </v>
      </c>
      <c r="H5913" s="25" t="str">
        <f>IF(J5913&lt;&gt;1,"",IF(I5913="SBJ","CB","?"))</f>
        <v> </v>
      </c>
      <c r="I5913" s="26" t="str">
        <f>IF(OR(E5913="",E5913="!!!",F5913="NEW"),"",INDEX(B5912:B$2,-1+SUMPRODUCT(MAX(ROW(E5912:E$2)*(E5913=E5912:E$2)))))</f>
        <v> </v>
      </c>
      <c r="J5913" s="26" t="str">
        <f>IF(OR(E5913="",E5913="!!!",F5913="NEW"),"",COUNTBLANK(OFFSET(A$1,,,SUMPRODUCT(MAX(ROW(E$2:E5913)*(E5913=E$2:E5913)))))-COUNTBLANK(OFFSET(A$1,,,SUMPRODUCT(MAX(ROW(E$1:E5912)*(E2=E$1:E5912))))))</f>
        <v> </v>
      </c>
      <c r="K5913" s="26" t="str">
        <f>IF(OR(E5913="",E5913="!!!",F5913="NEW"),"",INDEX(J$1:J5912,SUMPRODUCT(MAX(ROW(E$1:E5912)*(E5913=E$1:E5912)))))</f>
        <v> </v>
      </c>
      <c r="L5913" s="27"/>
    </row>
    <row r="5914" spans="1:12">
      <c r="A5914" s="20" t="s">
        <v>1121</v>
      </c>
      <c r="B5914" s="21" t="s">
        <v>1175</v>
      </c>
      <c r="C5914" s="21" t="s">
        <v>1010</v>
      </c>
      <c r="D5914" s="21" t="s">
        <v>1011</v>
      </c>
      <c r="E5914" s="22">
        <f>IF(D5914="?OLD","!!!","")</f>
        <v/>
      </c>
      <c r="F5914" s="23" t="str">
        <f>IF(OR(E5914="",E5914="!!!"),"",IF(NOT(ISNA(VLOOKUP(E5914,E$1:E5913,1,FALSE()))),"OLD",IF(AND(E5914&lt;&gt;"",E5914&lt;&gt;"!!!"),"NEW","")))</f>
        <v> </v>
      </c>
      <c r="G5914" s="24" t="str">
        <f>IF(OR(E5914="",E5914="!!!"),"",IF(OR(J5914=0,AND(J5914=1,K5914=1),AND(J5914=1,I5914="SBJ"),AND(J5914=1,I5914=0)),"?IN_FOCUS",IF(J5914&lt;=2,"?ACTIVATED",IF(J5914&lt;&gt;"","?FAMILIAR",IF(F5914="NEW",IF(ISNA(VLOOKUP(E5914,#REF!,1,FALSE())),"?TYPE_IDENTIFIABLE","?REFERENTIAL"),"_")))))</f>
        <v> </v>
      </c>
      <c r="H5914" s="25" t="str">
        <f>IF(J5914&lt;&gt;1,"",IF(I5914="SBJ","CB","?"))</f>
        <v> </v>
      </c>
      <c r="I5914" s="26" t="str">
        <f>IF(OR(E5914="",E5914="!!!",F5914="NEW"),"",INDEX(B5913:B$2,-1+SUMPRODUCT(MAX(ROW(E5913:E$2)*(E5914=E5913:E$2)))))</f>
        <v> </v>
      </c>
      <c r="J5914" s="26" t="str">
        <f>IF(OR(E5914="",E5914="!!!",F5914="NEW"),"",COUNTBLANK(OFFSET(A$1,,,SUMPRODUCT(MAX(ROW(E$2:E5914)*(E5914=E$2:E5914)))))-COUNTBLANK(OFFSET(A$1,,,SUMPRODUCT(MAX(ROW(E$1:E5913)*(E2=E$1:E5913))))))</f>
        <v> </v>
      </c>
      <c r="K5914" s="26" t="str">
        <f>IF(OR(E5914="",E5914="!!!",F5914="NEW"),"",INDEX(J$1:J5913,SUMPRODUCT(MAX(ROW(E$1:E5913)*(E5914=E$1:E5913)))))</f>
        <v> </v>
      </c>
      <c r="L5914" s="27"/>
    </row>
    <row r="5915" spans="1:12">
      <c r="A5915" s="20" t="s">
        <v>1173</v>
      </c>
      <c r="E5915" s="22">
        <f>IF(D5915="?OLD","!!!","")</f>
        <v/>
      </c>
      <c r="F5915" s="23" t="str">
        <f>IF(OR(E5915="",E5915="!!!"),"",IF(NOT(ISNA(VLOOKUP(E5915,E$1:E5914,1,FALSE()))),"OLD",IF(AND(E5915&lt;&gt;"",E5915&lt;&gt;"!!!"),"NEW","")))</f>
        <v> </v>
      </c>
      <c r="G5915" s="24" t="str">
        <f>IF(OR(E5915="",E5915="!!!"),"",IF(OR(J5915=0,AND(J5915=1,K5915=1),AND(J5915=1,I5915="SBJ"),AND(J5915=1,I5915=0)),"?IN_FOCUS",IF(J5915&lt;=2,"?ACTIVATED",IF(J5915&lt;&gt;"","?FAMILIAR",IF(F5915="NEW",IF(ISNA(VLOOKUP(E5915,#REF!,1,FALSE())),"?TYPE_IDENTIFIABLE","?REFERENTIAL"),"_")))))</f>
        <v> </v>
      </c>
      <c r="H5915" s="25" t="str">
        <f>IF(J5915&lt;&gt;1,"",IF(I5915="SBJ","CB","?"))</f>
        <v> </v>
      </c>
      <c r="I5915" s="26" t="str">
        <f>IF(OR(E5915="",E5915="!!!",F5915="NEW"),"",INDEX(B5914:B$2,-1+SUMPRODUCT(MAX(ROW(E5914:E$2)*(E5915=E5914:E$2)))))</f>
        <v> </v>
      </c>
      <c r="J5915" s="26" t="str">
        <f>IF(OR(E5915="",E5915="!!!",F5915="NEW"),"",COUNTBLANK(OFFSET(A$1,,,SUMPRODUCT(MAX(ROW(E$2:E5915)*(E5915=E$2:E5915)))))-COUNTBLANK(OFFSET(A$1,,,SUMPRODUCT(MAX(ROW(E$1:E5914)*(E2=E$1:E5914))))))</f>
        <v> </v>
      </c>
      <c r="K5915" s="26" t="str">
        <f>IF(OR(E5915="",E5915="!!!",F5915="NEW"),"",INDEX(J$1:J5914,SUMPRODUCT(MAX(ROW(E$1:E5914)*(E5915=E$1:E5914)))))</f>
        <v> </v>
      </c>
      <c r="L5915" s="27"/>
    </row>
    <row r="5916" spans="1:12">
      <c r="A5916" s="20" t="s">
        <v>2294</v>
      </c>
      <c r="E5916" s="22">
        <f>IF(D5916="?OLD","!!!","")</f>
        <v/>
      </c>
      <c r="F5916" s="23" t="str">
        <f>IF(OR(E5916="",E5916="!!!"),"",IF(NOT(ISNA(VLOOKUP(E5916,E$1:E5915,1,FALSE()))),"OLD",IF(AND(E5916&lt;&gt;"",E5916&lt;&gt;"!!!"),"NEW","")))</f>
        <v> </v>
      </c>
      <c r="G5916" s="24" t="str">
        <f>IF(OR(E5916="",E5916="!!!"),"",IF(OR(J5916=0,AND(J5916=1,K5916=1),AND(J5916=1,I5916="SBJ"),AND(J5916=1,I5916=0)),"?IN_FOCUS",IF(J5916&lt;=2,"?ACTIVATED",IF(J5916&lt;&gt;"","?FAMILIAR",IF(F5916="NEW",IF(ISNA(VLOOKUP(E5916,#REF!,1,FALSE())),"?TYPE_IDENTIFIABLE","?REFERENTIAL"),"_")))))</f>
        <v> </v>
      </c>
      <c r="H5916" s="25" t="str">
        <f>IF(J5916&lt;&gt;1,"",IF(I5916="SBJ","CB","?"))</f>
        <v> </v>
      </c>
      <c r="I5916" s="26" t="str">
        <f>IF(OR(E5916="",E5916="!!!",F5916="NEW"),"",INDEX(B5915:B$2,-1+SUMPRODUCT(MAX(ROW(E5915:E$2)*(E5916=E5915:E$2)))))</f>
        <v> </v>
      </c>
      <c r="J5916" s="26" t="str">
        <f>IF(OR(E5916="",E5916="!!!",F5916="NEW"),"",COUNTBLANK(OFFSET(A$1,,,SUMPRODUCT(MAX(ROW(E$2:E5916)*(E5916=E$2:E5916)))))-COUNTBLANK(OFFSET(A$1,,,SUMPRODUCT(MAX(ROW(E$1:E5915)*(E2=E$1:E5915))))))</f>
        <v> </v>
      </c>
      <c r="K5916" s="26" t="str">
        <f>IF(OR(E5916="",E5916="!!!",F5916="NEW"),"",INDEX(J$1:J5915,SUMPRODUCT(MAX(ROW(E$1:E5915)*(E5916=E$1:E5915)))))</f>
        <v> </v>
      </c>
      <c r="L5916" s="27"/>
    </row>
    <row r="5917" spans="1:12">
      <c r="A5917" s="20" t="s">
        <v>1022</v>
      </c>
      <c r="E5917" s="22">
        <f>IF(D5917="?OLD","!!!","")</f>
        <v/>
      </c>
      <c r="F5917" s="23" t="str">
        <f>IF(OR(E5917="",E5917="!!!"),"",IF(NOT(ISNA(VLOOKUP(E5917,E$1:E5916,1,FALSE()))),"OLD",IF(AND(E5917&lt;&gt;"",E5917&lt;&gt;"!!!"),"NEW","")))</f>
        <v> </v>
      </c>
      <c r="G5917" s="24" t="str">
        <f>IF(OR(E5917="",E5917="!!!"),"",IF(OR(J5917=0,AND(J5917=1,K5917=1),AND(J5917=1,I5917="SBJ"),AND(J5917=1,I5917=0)),"?IN_FOCUS",IF(J5917&lt;=2,"?ACTIVATED",IF(J5917&lt;&gt;"","?FAMILIAR",IF(F5917="NEW",IF(ISNA(VLOOKUP(E5917,#REF!,1,FALSE())),"?TYPE_IDENTIFIABLE","?REFERENTIAL"),"_")))))</f>
        <v> </v>
      </c>
      <c r="H5917" s="25" t="str">
        <f>IF(J5917&lt;&gt;1,"",IF(I5917="SBJ","CB","?"))</f>
        <v> </v>
      </c>
      <c r="I5917" s="26" t="str">
        <f>IF(OR(E5917="",E5917="!!!",F5917="NEW"),"",INDEX(B5916:B$2,-1+SUMPRODUCT(MAX(ROW(E5916:E$2)*(E5917=E5916:E$2)))))</f>
        <v> </v>
      </c>
      <c r="J5917" s="26" t="str">
        <f>IF(OR(E5917="",E5917="!!!",F5917="NEW"),"",COUNTBLANK(OFFSET(A$1,,,SUMPRODUCT(MAX(ROW(E$2:E5917)*(E5917=E$2:E5917)))))-COUNTBLANK(OFFSET(A$1,,,SUMPRODUCT(MAX(ROW(E$1:E5916)*(E2=E$1:E5916))))))</f>
        <v> </v>
      </c>
      <c r="K5917" s="26" t="str">
        <f>IF(OR(E5917="",E5917="!!!",F5917="NEW"),"",INDEX(J$1:J5916,SUMPRODUCT(MAX(ROW(E$1:E5916)*(E5917=E$1:E5916)))))</f>
        <v> </v>
      </c>
      <c r="L5917" s="27"/>
    </row>
    <row r="5918" spans="1:12">
      <c r="A5918" s="20"/>
    </row>
    <row r="5919" spans="1:12">
      <c r="A5919" s="20" t="s">
        <v>2295</v>
      </c>
    </row>
    <row r="5920" spans="1:12">
      <c r="A5920" s="20" t="s">
        <v>1995</v>
      </c>
      <c r="B5920" s="21" t="s">
        <v>1071</v>
      </c>
      <c r="C5920" s="21" t="s">
        <v>1017</v>
      </c>
      <c r="E5920" s="22">
        <f>IF(D5920="?OLD","!!!","")</f>
        <v/>
      </c>
      <c r="F5920" s="23" t="str">
        <f>IF(OR(E5920="",E5920="!!!"),"",IF(NOT(ISNA(VLOOKUP(E5920,E$1:E5919,1,FALSE()))),"OLD",IF(AND(E5920&lt;&gt;"",E5920&lt;&gt;"!!!"),"NEW","")))</f>
        <v> </v>
      </c>
      <c r="G5920" s="24" t="str">
        <f>IF(OR(E5920="",E5920="!!!"),"",IF(OR(J5920=0,AND(J5920=1,K5920=1),AND(J5920=1,I5920="SBJ"),AND(J5920=1,I5920=0)),"?IN_FOCUS",IF(J5920&lt;=2,"?ACTIVATED",IF(J5920&lt;&gt;"","?FAMILIAR",IF(F5920="NEW",IF(ISNA(VLOOKUP(E5920,#REF!,1,FALSE())),"?TYPE_IDENTIFIABLE","?REFERENTIAL"),"_")))))</f>
        <v> </v>
      </c>
      <c r="H5920" s="25" t="str">
        <f>IF(J5920&lt;&gt;1,"",IF(I5920="SBJ","CB","?"))</f>
        <v> </v>
      </c>
      <c r="I5920" s="26" t="str">
        <f>IF(OR(E5920="",E5920="!!!",F5920="NEW"),"",INDEX(B5919:B$2,-1+SUMPRODUCT(MAX(ROW(E5919:E$2)*(E5920=E5919:E$2)))))</f>
        <v> </v>
      </c>
      <c r="J5920" s="26" t="str">
        <f>IF(OR(E5920="",E5920="!!!",F5920="NEW"),"",COUNTBLANK(OFFSET(A$1,,,SUMPRODUCT(MAX(ROW(E$2:E5920)*(E5920=E$2:E5920)))))-COUNTBLANK(OFFSET(A$1,,,SUMPRODUCT(MAX(ROW(E$1:E5919)*(E2=E$1:E5919))))))</f>
        <v> </v>
      </c>
      <c r="K5920" s="26" t="str">
        <f>IF(OR(E5920="",E5920="!!!",F5920="NEW"),"",INDEX(J$1:J5919,SUMPRODUCT(MAX(ROW(E$1:E5919)*(E5920=E$1:E5919)))))</f>
        <v> </v>
      </c>
      <c r="L5920" s="27"/>
    </row>
    <row r="5921" spans="1:12">
      <c r="A5921" s="20" t="s">
        <v>1099</v>
      </c>
      <c r="E5921" s="22">
        <f>IF(D5921="?OLD","!!!","")</f>
        <v/>
      </c>
      <c r="F5921" s="23" t="str">
        <f>IF(OR(E5921="",E5921="!!!"),"",IF(NOT(ISNA(VLOOKUP(E5921,E$1:E5920,1,FALSE()))),"OLD",IF(AND(E5921&lt;&gt;"",E5921&lt;&gt;"!!!"),"NEW","")))</f>
        <v> </v>
      </c>
      <c r="G5921" s="24" t="str">
        <f>IF(OR(E5921="",E5921="!!!"),"",IF(OR(J5921=0,AND(J5921=1,K5921=1),AND(J5921=1,I5921="SBJ"),AND(J5921=1,I5921=0)),"?IN_FOCUS",IF(J5921&lt;=2,"?ACTIVATED",IF(J5921&lt;&gt;"","?FAMILIAR",IF(F5921="NEW",IF(ISNA(VLOOKUP(E5921,#REF!,1,FALSE())),"?TYPE_IDENTIFIABLE","?REFERENTIAL"),"_")))))</f>
        <v> </v>
      </c>
      <c r="H5921" s="25" t="str">
        <f>IF(J5921&lt;&gt;1,"",IF(I5921="SBJ","CB","?"))</f>
        <v> </v>
      </c>
      <c r="I5921" s="26" t="str">
        <f>IF(OR(E5921="",E5921="!!!",F5921="NEW"),"",INDEX(B5920:B$2,-1+SUMPRODUCT(MAX(ROW(E5920:E$2)*(E5921=E5920:E$2)))))</f>
        <v> </v>
      </c>
      <c r="J5921" s="26" t="str">
        <f>IF(OR(E5921="",E5921="!!!",F5921="NEW"),"",COUNTBLANK(OFFSET(A$1,,,SUMPRODUCT(MAX(ROW(E$2:E5921)*(E5921=E$2:E5921)))))-COUNTBLANK(OFFSET(A$1,,,SUMPRODUCT(MAX(ROW(E$1:E5920)*(E2=E$1:E5920))))))</f>
        <v> </v>
      </c>
      <c r="K5921" s="26" t="str">
        <f>IF(OR(E5921="",E5921="!!!",F5921="NEW"),"",INDEX(J$1:J5920,SUMPRODUCT(MAX(ROW(E$1:E5920)*(E5921=E$1:E5920)))))</f>
        <v> </v>
      </c>
      <c r="L5921" s="27"/>
    </row>
    <row r="5922" spans="1:12">
      <c r="A5922" s="20" t="s">
        <v>1734</v>
      </c>
      <c r="E5922" s="22">
        <f>IF(D5922="?OLD","!!!","")</f>
        <v/>
      </c>
      <c r="F5922" s="23" t="str">
        <f>IF(OR(E5922="",E5922="!!!"),"",IF(NOT(ISNA(VLOOKUP(E5922,E$1:E5921,1,FALSE()))),"OLD",IF(AND(E5922&lt;&gt;"",E5922&lt;&gt;"!!!"),"NEW","")))</f>
        <v> </v>
      </c>
      <c r="G5922" s="24" t="str">
        <f>IF(OR(E5922="",E5922="!!!"),"",IF(OR(J5922=0,AND(J5922=1,K5922=1),AND(J5922=1,I5922="SBJ"),AND(J5922=1,I5922=0)),"?IN_FOCUS",IF(J5922&lt;=2,"?ACTIVATED",IF(J5922&lt;&gt;"","?FAMILIAR",IF(F5922="NEW",IF(ISNA(VLOOKUP(E5922,#REF!,1,FALSE())),"?TYPE_IDENTIFIABLE","?REFERENTIAL"),"_")))))</f>
        <v> </v>
      </c>
      <c r="H5922" s="25" t="str">
        <f>IF(J5922&lt;&gt;1,"",IF(I5922="SBJ","CB","?"))</f>
        <v> </v>
      </c>
      <c r="I5922" s="26" t="str">
        <f>IF(OR(E5922="",E5922="!!!",F5922="NEW"),"",INDEX(B5921:B$2,-1+SUMPRODUCT(MAX(ROW(E5921:E$2)*(E5922=E5921:E$2)))))</f>
        <v> </v>
      </c>
      <c r="J5922" s="26" t="str">
        <f>IF(OR(E5922="",E5922="!!!",F5922="NEW"),"",COUNTBLANK(OFFSET(A$1,,,SUMPRODUCT(MAX(ROW(E$2:E5922)*(E5922=E$2:E5922)))))-COUNTBLANK(OFFSET(A$1,,,SUMPRODUCT(MAX(ROW(E$1:E5921)*(E2=E$1:E5921))))))</f>
        <v> </v>
      </c>
      <c r="K5922" s="26" t="str">
        <f>IF(OR(E5922="",E5922="!!!",F5922="NEW"),"",INDEX(J$1:J5921,SUMPRODUCT(MAX(ROW(E$1:E5921)*(E5922=E$1:E5921)))))</f>
        <v> </v>
      </c>
      <c r="L5922" s="27"/>
    </row>
    <row r="5923" spans="1:12">
      <c r="A5923" s="20" t="s">
        <v>1032</v>
      </c>
      <c r="E5923" s="22">
        <f>IF(D5923="?OLD","!!!","")</f>
        <v/>
      </c>
      <c r="F5923" s="23" t="str">
        <f>IF(OR(E5923="",E5923="!!!"),"",IF(NOT(ISNA(VLOOKUP(E5923,E$1:E5922,1,FALSE()))),"OLD",IF(AND(E5923&lt;&gt;"",E5923&lt;&gt;"!!!"),"NEW","")))</f>
        <v> </v>
      </c>
      <c r="G5923" s="24" t="str">
        <f>IF(OR(E5923="",E5923="!!!"),"",IF(OR(J5923=0,AND(J5923=1,K5923=1),AND(J5923=1,I5923="SBJ"),AND(J5923=1,I5923=0)),"?IN_FOCUS",IF(J5923&lt;=2,"?ACTIVATED",IF(J5923&lt;&gt;"","?FAMILIAR",IF(F5923="NEW",IF(ISNA(VLOOKUP(E5923,#REF!,1,FALSE())),"?TYPE_IDENTIFIABLE","?REFERENTIAL"),"_")))))</f>
        <v> </v>
      </c>
      <c r="H5923" s="25" t="str">
        <f>IF(J5923&lt;&gt;1,"",IF(I5923="SBJ","CB","?"))</f>
        <v> </v>
      </c>
      <c r="I5923" s="26" t="str">
        <f>IF(OR(E5923="",E5923="!!!",F5923="NEW"),"",INDEX(B5922:B$2,-1+SUMPRODUCT(MAX(ROW(E5922:E$2)*(E5923=E5922:E$2)))))</f>
        <v> </v>
      </c>
      <c r="J5923" s="26" t="str">
        <f>IF(OR(E5923="",E5923="!!!",F5923="NEW"),"",COUNTBLANK(OFFSET(A$1,,,SUMPRODUCT(MAX(ROW(E$2:E5923)*(E5923=E$2:E5923)))))-COUNTBLANK(OFFSET(A$1,,,SUMPRODUCT(MAX(ROW(E$1:E5922)*(E2=E$1:E5922))))))</f>
        <v> </v>
      </c>
      <c r="K5923" s="26" t="str">
        <f>IF(OR(E5923="",E5923="!!!",F5923="NEW"),"",INDEX(J$1:J5922,SUMPRODUCT(MAX(ROW(E$1:E5922)*(E5923=E$1:E5922)))))</f>
        <v> </v>
      </c>
      <c r="L5923" s="27"/>
    </row>
    <row r="5924" spans="1:12">
      <c r="A5924" s="20" t="s">
        <v>709</v>
      </c>
      <c r="B5924" s="21" t="s">
        <v>1021</v>
      </c>
      <c r="C5924" s="21" t="s">
        <v>1165</v>
      </c>
      <c r="D5924" s="21" t="s">
        <v>1011</v>
      </c>
      <c r="E5924" s="22">
        <f>IF(D5924="?OLD","!!!","")</f>
        <v/>
      </c>
      <c r="F5924" s="23" t="str">
        <f>IF(OR(E5924="",E5924="!!!"),"",IF(NOT(ISNA(VLOOKUP(E5924,E$1:E5923,1,FALSE()))),"OLD",IF(AND(E5924&lt;&gt;"",E5924&lt;&gt;"!!!"),"NEW","")))</f>
        <v> </v>
      </c>
      <c r="G5924" s="24" t="str">
        <f>IF(OR(E5924="",E5924="!!!"),"",IF(OR(J5924=0,AND(J5924=1,K5924=1),AND(J5924=1,I5924="SBJ"),AND(J5924=1,I5924=0)),"?IN_FOCUS",IF(J5924&lt;=2,"?ACTIVATED",IF(J5924&lt;&gt;"","?FAMILIAR",IF(F5924="NEW",IF(ISNA(VLOOKUP(E5924,#REF!,1,FALSE())),"?TYPE_IDENTIFIABLE","?REFERENTIAL"),"_")))))</f>
        <v> </v>
      </c>
      <c r="H5924" s="25" t="str">
        <f>IF(J5924&lt;&gt;1,"",IF(I5924="SBJ","CB","?"))</f>
        <v> </v>
      </c>
      <c r="I5924" s="26" t="str">
        <f>IF(OR(E5924="",E5924="!!!",F5924="NEW"),"",INDEX(B5923:B$2,-1+SUMPRODUCT(MAX(ROW(E5923:E$2)*(E5924=E5923:E$2)))))</f>
        <v> </v>
      </c>
      <c r="J5924" s="26" t="str">
        <f>IF(OR(E5924="",E5924="!!!",F5924="NEW"),"",COUNTBLANK(OFFSET(A$1,,,SUMPRODUCT(MAX(ROW(E$2:E5924)*(E5924=E$2:E5924)))))-COUNTBLANK(OFFSET(A$1,,,SUMPRODUCT(MAX(ROW(E$1:E5923)*(E2=E$1:E5923))))))</f>
        <v> </v>
      </c>
      <c r="K5924" s="26" t="str">
        <f>IF(OR(E5924="",E5924="!!!",F5924="NEW"),"",INDEX(J$1:J5923,SUMPRODUCT(MAX(ROW(E$1:E5923)*(E5924=E$1:E5923)))))</f>
        <v> </v>
      </c>
      <c r="L5924" s="27"/>
    </row>
    <row r="5925" spans="1:12">
      <c r="A5925" s="20" t="s">
        <v>1032</v>
      </c>
      <c r="E5925" s="22">
        <f>IF(D5925="?OLD","!!!","")</f>
        <v/>
      </c>
      <c r="F5925" s="23" t="str">
        <f>IF(OR(E5925="",E5925="!!!"),"",IF(NOT(ISNA(VLOOKUP(E5925,E$1:E5924,1,FALSE()))),"OLD",IF(AND(E5925&lt;&gt;"",E5925&lt;&gt;"!!!"),"NEW","")))</f>
        <v> </v>
      </c>
      <c r="G5925" s="24" t="str">
        <f>IF(OR(E5925="",E5925="!!!"),"",IF(OR(J5925=0,AND(J5925=1,K5925=1),AND(J5925=1,I5925="SBJ"),AND(J5925=1,I5925=0)),"?IN_FOCUS",IF(J5925&lt;=2,"?ACTIVATED",IF(J5925&lt;&gt;"","?FAMILIAR",IF(F5925="NEW",IF(ISNA(VLOOKUP(E5925,#REF!,1,FALSE())),"?TYPE_IDENTIFIABLE","?REFERENTIAL"),"_")))))</f>
        <v> </v>
      </c>
      <c r="H5925" s="25" t="str">
        <f>IF(J5925&lt;&gt;1,"",IF(I5925="SBJ","CB","?"))</f>
        <v> </v>
      </c>
      <c r="I5925" s="26" t="str">
        <f>IF(OR(E5925="",E5925="!!!",F5925="NEW"),"",INDEX(B5924:B$2,-1+SUMPRODUCT(MAX(ROW(E5924:E$2)*(E5925=E5924:E$2)))))</f>
        <v> </v>
      </c>
      <c r="J5925" s="26" t="str">
        <f>IF(OR(E5925="",E5925="!!!",F5925="NEW"),"",COUNTBLANK(OFFSET(A$1,,,SUMPRODUCT(MAX(ROW(E$2:E5925)*(E5925=E$2:E5925)))))-COUNTBLANK(OFFSET(A$1,,,SUMPRODUCT(MAX(ROW(E$1:E5924)*(E2=E$1:E5924))))))</f>
        <v> </v>
      </c>
      <c r="K5925" s="26" t="str">
        <f>IF(OR(E5925="",E5925="!!!",F5925="NEW"),"",INDEX(J$1:J5924,SUMPRODUCT(MAX(ROW(E$1:E5924)*(E5925=E$1:E5924)))))</f>
        <v> </v>
      </c>
      <c r="L5925" s="27"/>
    </row>
    <row r="5926" spans="1:12">
      <c r="A5926" s="20" t="s">
        <v>1008</v>
      </c>
      <c r="B5926" s="21" t="s">
        <v>1039</v>
      </c>
      <c r="C5926" s="21" t="s">
        <v>1010</v>
      </c>
      <c r="D5926" s="21" t="s">
        <v>1011</v>
      </c>
      <c r="E5926" s="22">
        <f>IF(D5926="?OLD","!!!","")</f>
        <v/>
      </c>
      <c r="F5926" s="23" t="str">
        <f>IF(OR(E5926="",E5926="!!!"),"",IF(NOT(ISNA(VLOOKUP(E5926,E$1:E5925,1,FALSE()))),"OLD",IF(AND(E5926&lt;&gt;"",E5926&lt;&gt;"!!!"),"NEW","")))</f>
        <v> </v>
      </c>
      <c r="G5926" s="24" t="str">
        <f>IF(OR(E5926="",E5926="!!!"),"",IF(OR(J5926=0,AND(J5926=1,K5926=1),AND(J5926=1,I5926="SBJ"),AND(J5926=1,I5926=0)),"?IN_FOCUS",IF(J5926&lt;=2,"?ACTIVATED",IF(J5926&lt;&gt;"","?FAMILIAR",IF(F5926="NEW",IF(ISNA(VLOOKUP(E5926,#REF!,1,FALSE())),"?TYPE_IDENTIFIABLE","?REFERENTIAL"),"_")))))</f>
        <v> </v>
      </c>
      <c r="H5926" s="25" t="str">
        <f>IF(J5926&lt;&gt;1,"",IF(I5926="SBJ","CB","?"))</f>
        <v> </v>
      </c>
      <c r="I5926" s="26" t="str">
        <f>IF(OR(E5926="",E5926="!!!",F5926="NEW"),"",INDEX(B5925:B$2,-1+SUMPRODUCT(MAX(ROW(E5925:E$2)*(E5926=E5925:E$2)))))</f>
        <v> </v>
      </c>
      <c r="J5926" s="26" t="str">
        <f>IF(OR(E5926="",E5926="!!!",F5926="NEW"),"",COUNTBLANK(OFFSET(A$1,,,SUMPRODUCT(MAX(ROW(E$2:E5926)*(E5926=E$2:E5926)))))-COUNTBLANK(OFFSET(A$1,,,SUMPRODUCT(MAX(ROW(E$1:E5925)*(E2=E$1:E5925))))))</f>
        <v> </v>
      </c>
      <c r="K5926" s="26" t="str">
        <f>IF(OR(E5926="",E5926="!!!",F5926="NEW"),"",INDEX(J$1:J5925,SUMPRODUCT(MAX(ROW(E$1:E5925)*(E5926=E$1:E5925)))))</f>
        <v> </v>
      </c>
      <c r="L5926" s="27"/>
    </row>
    <row r="5927" spans="1:12">
      <c r="A5927" s="20" t="s">
        <v>2296</v>
      </c>
      <c r="E5927" s="22">
        <f>IF(D5927="?OLD","!!!","")</f>
        <v/>
      </c>
      <c r="F5927" s="23" t="str">
        <f>IF(OR(E5927="",E5927="!!!"),"",IF(NOT(ISNA(VLOOKUP(E5927,E$1:E5926,1,FALSE()))),"OLD",IF(AND(E5927&lt;&gt;"",E5927&lt;&gt;"!!!"),"NEW","")))</f>
        <v> </v>
      </c>
      <c r="G5927" s="24" t="str">
        <f>IF(OR(E5927="",E5927="!!!"),"",IF(OR(J5927=0,AND(J5927=1,K5927=1),AND(J5927=1,I5927="SBJ"),AND(J5927=1,I5927=0)),"?IN_FOCUS",IF(J5927&lt;=2,"?ACTIVATED",IF(J5927&lt;&gt;"","?FAMILIAR",IF(F5927="NEW",IF(ISNA(VLOOKUP(E5927,#REF!,1,FALSE())),"?TYPE_IDENTIFIABLE","?REFERENTIAL"),"_")))))</f>
        <v> </v>
      </c>
      <c r="H5927" s="25" t="str">
        <f>IF(J5927&lt;&gt;1,"",IF(I5927="SBJ","CB","?"))</f>
        <v> </v>
      </c>
      <c r="I5927" s="26" t="str">
        <f>IF(OR(E5927="",E5927="!!!",F5927="NEW"),"",INDEX(B5926:B$2,-1+SUMPRODUCT(MAX(ROW(E5926:E$2)*(E5927=E5926:E$2)))))</f>
        <v> </v>
      </c>
      <c r="J5927" s="26" t="str">
        <f>IF(OR(E5927="",E5927="!!!",F5927="NEW"),"",COUNTBLANK(OFFSET(A$1,,,SUMPRODUCT(MAX(ROW(E$2:E5927)*(E5927=E$2:E5927)))))-COUNTBLANK(OFFSET(A$1,,,SUMPRODUCT(MAX(ROW(E$1:E5926)*(E2=E$1:E5926))))))</f>
        <v> </v>
      </c>
      <c r="K5927" s="26" t="str">
        <f>IF(OR(E5927="",E5927="!!!",F5927="NEW"),"",INDEX(J$1:J5926,SUMPRODUCT(MAX(ROW(E$1:E5926)*(E5927=E$1:E5926)))))</f>
        <v> </v>
      </c>
      <c r="L5927" s="27"/>
    </row>
    <row r="5928" spans="1:12">
      <c r="A5928" s="20" t="s">
        <v>1008</v>
      </c>
      <c r="B5928" s="21" t="s">
        <v>1175</v>
      </c>
      <c r="C5928" s="21" t="s">
        <v>1010</v>
      </c>
      <c r="D5928" s="21" t="s">
        <v>1011</v>
      </c>
      <c r="E5928" s="22">
        <f>IF(D5928="?OLD","!!!","")</f>
        <v/>
      </c>
      <c r="F5928" s="23" t="str">
        <f>IF(OR(E5928="",E5928="!!!"),"",IF(NOT(ISNA(VLOOKUP(E5928,E$1:E5927,1,FALSE()))),"OLD",IF(AND(E5928&lt;&gt;"",E5928&lt;&gt;"!!!"),"NEW","")))</f>
        <v> </v>
      </c>
      <c r="G5928" s="24" t="str">
        <f>IF(OR(E5928="",E5928="!!!"),"",IF(OR(J5928=0,AND(J5928=1,K5928=1),AND(J5928=1,I5928="SBJ"),AND(J5928=1,I5928=0)),"?IN_FOCUS",IF(J5928&lt;=2,"?ACTIVATED",IF(J5928&lt;&gt;"","?FAMILIAR",IF(F5928="NEW",IF(ISNA(VLOOKUP(E5928,#REF!,1,FALSE())),"?TYPE_IDENTIFIABLE","?REFERENTIAL"),"_")))))</f>
        <v> </v>
      </c>
      <c r="H5928" s="25" t="str">
        <f>IF(J5928&lt;&gt;1,"",IF(I5928="SBJ","CB","?"))</f>
        <v> </v>
      </c>
      <c r="I5928" s="26" t="str">
        <f>IF(OR(E5928="",E5928="!!!",F5928="NEW"),"",INDEX(B5927:B$2,-1+SUMPRODUCT(MAX(ROW(E5927:E$2)*(E5928=E5927:E$2)))))</f>
        <v> </v>
      </c>
      <c r="J5928" s="26" t="str">
        <f>IF(OR(E5928="",E5928="!!!",F5928="NEW"),"",COUNTBLANK(OFFSET(A$1,,,SUMPRODUCT(MAX(ROW(E$2:E5928)*(E5928=E$2:E5928)))))-COUNTBLANK(OFFSET(A$1,,,SUMPRODUCT(MAX(ROW(E$1:E5927)*(E2=E$1:E5927))))))</f>
        <v> </v>
      </c>
      <c r="K5928" s="26" t="str">
        <f>IF(OR(E5928="",E5928="!!!",F5928="NEW"),"",INDEX(J$1:J5927,SUMPRODUCT(MAX(ROW(E$1:E5927)*(E5928=E$1:E5927)))))</f>
        <v> </v>
      </c>
      <c r="L5928" s="27"/>
    </row>
    <row r="5929" spans="1:12">
      <c r="A5929" s="20" t="s">
        <v>2297</v>
      </c>
      <c r="E5929" s="22">
        <f>IF(D5929="?OLD","!!!","")</f>
        <v/>
      </c>
      <c r="F5929" s="23" t="str">
        <f>IF(OR(E5929="",E5929="!!!"),"",IF(NOT(ISNA(VLOOKUP(E5929,E$1:E5928,1,FALSE()))),"OLD",IF(AND(E5929&lt;&gt;"",E5929&lt;&gt;"!!!"),"NEW","")))</f>
        <v> </v>
      </c>
      <c r="G5929" s="24" t="str">
        <f>IF(OR(E5929="",E5929="!!!"),"",IF(OR(J5929=0,AND(J5929=1,K5929=1),AND(J5929=1,I5929="SBJ"),AND(J5929=1,I5929=0)),"?IN_FOCUS",IF(J5929&lt;=2,"?ACTIVATED",IF(J5929&lt;&gt;"","?FAMILIAR",IF(F5929="NEW",IF(ISNA(VLOOKUP(E5929,#REF!,1,FALSE())),"?TYPE_IDENTIFIABLE","?REFERENTIAL"),"_")))))</f>
        <v> </v>
      </c>
      <c r="H5929" s="25" t="str">
        <f>IF(J5929&lt;&gt;1,"",IF(I5929="SBJ","CB","?"))</f>
        <v> </v>
      </c>
      <c r="I5929" s="26" t="str">
        <f>IF(OR(E5929="",E5929="!!!",F5929="NEW"),"",INDEX(B5928:B$2,-1+SUMPRODUCT(MAX(ROW(E5928:E$2)*(E5929=E5928:E$2)))))</f>
        <v> </v>
      </c>
      <c r="J5929" s="26" t="str">
        <f>IF(OR(E5929="",E5929="!!!",F5929="NEW"),"",COUNTBLANK(OFFSET(A$1,,,SUMPRODUCT(MAX(ROW(E$2:E5929)*(E5929=E$2:E5929)))))-COUNTBLANK(OFFSET(A$1,,,SUMPRODUCT(MAX(ROW(E$1:E5928)*(E2=E$1:E5928))))))</f>
        <v> </v>
      </c>
      <c r="K5929" s="26" t="str">
        <f>IF(OR(E5929="",E5929="!!!",F5929="NEW"),"",INDEX(J$1:J5928,SUMPRODUCT(MAX(ROW(E$1:E5928)*(E5929=E$1:E5928)))))</f>
        <v> </v>
      </c>
      <c r="L5929" s="27"/>
    </row>
    <row r="5930" spans="1:12">
      <c r="A5930" s="20" t="s">
        <v>1081</v>
      </c>
      <c r="E5930" s="22">
        <f>IF(D5930="?OLD","!!!","")</f>
        <v/>
      </c>
      <c r="F5930" s="23" t="str">
        <f>IF(OR(E5930="",E5930="!!!"),"",IF(NOT(ISNA(VLOOKUP(E5930,E$1:E5929,1,FALSE()))),"OLD",IF(AND(E5930&lt;&gt;"",E5930&lt;&gt;"!!!"),"NEW","")))</f>
        <v> </v>
      </c>
      <c r="G5930" s="24" t="str">
        <f>IF(OR(E5930="",E5930="!!!"),"",IF(OR(J5930=0,AND(J5930=1,K5930=1),AND(J5930=1,I5930="SBJ"),AND(J5930=1,I5930=0)),"?IN_FOCUS",IF(J5930&lt;=2,"?ACTIVATED",IF(J5930&lt;&gt;"","?FAMILIAR",IF(F5930="NEW",IF(ISNA(VLOOKUP(E5930,#REF!,1,FALSE())),"?TYPE_IDENTIFIABLE","?REFERENTIAL"),"_")))))</f>
        <v> </v>
      </c>
      <c r="H5930" s="25" t="str">
        <f>IF(J5930&lt;&gt;1,"",IF(I5930="SBJ","CB","?"))</f>
        <v> </v>
      </c>
      <c r="I5930" s="26" t="str">
        <f>IF(OR(E5930="",E5930="!!!",F5930="NEW"),"",INDEX(B5929:B$2,-1+SUMPRODUCT(MAX(ROW(E5929:E$2)*(E5930=E5929:E$2)))))</f>
        <v> </v>
      </c>
      <c r="J5930" s="26" t="str">
        <f>IF(OR(E5930="",E5930="!!!",F5930="NEW"),"",COUNTBLANK(OFFSET(A$1,,,SUMPRODUCT(MAX(ROW(E$2:E5930)*(E5930=E$2:E5930)))))-COUNTBLANK(OFFSET(A$1,,,SUMPRODUCT(MAX(ROW(E$1:E5929)*(E2=E$1:E5929))))))</f>
        <v> </v>
      </c>
      <c r="K5930" s="26" t="str">
        <f>IF(OR(E5930="",E5930="!!!",F5930="NEW"),"",INDEX(J$1:J5929,SUMPRODUCT(MAX(ROW(E$1:E5929)*(E5930=E$1:E5929)))))</f>
        <v> </v>
      </c>
      <c r="L5930" s="27"/>
    </row>
    <row r="5931" spans="1:12">
      <c r="A5931" s="20" t="s">
        <v>2298</v>
      </c>
      <c r="B5931" s="21" t="s">
        <v>1021</v>
      </c>
      <c r="C5931" s="21" t="s">
        <v>1017</v>
      </c>
      <c r="E5931" s="22">
        <f>IF(D5931="?OLD","!!!","")</f>
        <v/>
      </c>
      <c r="F5931" s="23" t="str">
        <f>IF(OR(E5931="",E5931="!!!"),"",IF(NOT(ISNA(VLOOKUP(E5931,E$1:E5930,1,FALSE()))),"OLD",IF(AND(E5931&lt;&gt;"",E5931&lt;&gt;"!!!"),"NEW","")))</f>
        <v> </v>
      </c>
      <c r="G5931" s="24" t="str">
        <f>IF(OR(E5931="",E5931="!!!"),"",IF(OR(J5931=0,AND(J5931=1,K5931=1),AND(J5931=1,I5931="SBJ"),AND(J5931=1,I5931=0)),"?IN_FOCUS",IF(J5931&lt;=2,"?ACTIVATED",IF(J5931&lt;&gt;"","?FAMILIAR",IF(F5931="NEW",IF(ISNA(VLOOKUP(E5931,#REF!,1,FALSE())),"?TYPE_IDENTIFIABLE","?REFERENTIAL"),"_")))))</f>
        <v> </v>
      </c>
      <c r="H5931" s="25" t="str">
        <f>IF(J5931&lt;&gt;1,"",IF(I5931="SBJ","CB","?"))</f>
        <v> </v>
      </c>
      <c r="I5931" s="26" t="str">
        <f>IF(OR(E5931="",E5931="!!!",F5931="NEW"),"",INDEX(B5930:B$2,-1+SUMPRODUCT(MAX(ROW(E5930:E$2)*(E5931=E5930:E$2)))))</f>
        <v> </v>
      </c>
      <c r="J5931" s="26" t="str">
        <f>IF(OR(E5931="",E5931="!!!",F5931="NEW"),"",COUNTBLANK(OFFSET(A$1,,,SUMPRODUCT(MAX(ROW(E$2:E5931)*(E5931=E$2:E5931)))))-COUNTBLANK(OFFSET(A$1,,,SUMPRODUCT(MAX(ROW(E$1:E5930)*(E2=E$1:E5930))))))</f>
        <v> </v>
      </c>
      <c r="K5931" s="26" t="str">
        <f>IF(OR(E5931="",E5931="!!!",F5931="NEW"),"",INDEX(J$1:J5930,SUMPRODUCT(MAX(ROW(E$1:E5930)*(E5931=E$1:E5930)))))</f>
        <v> </v>
      </c>
      <c r="L5931" s="27"/>
    </row>
    <row r="5932" spans="1:12">
      <c r="A5932" s="20" t="s">
        <v>1132</v>
      </c>
      <c r="E5932" s="22">
        <f>IF(D5932="?OLD","!!!","")</f>
        <v/>
      </c>
      <c r="F5932" s="23" t="str">
        <f>IF(OR(E5932="",E5932="!!!"),"",IF(NOT(ISNA(VLOOKUP(E5932,E$1:E5931,1,FALSE()))),"OLD",IF(AND(E5932&lt;&gt;"",E5932&lt;&gt;"!!!"),"NEW","")))</f>
        <v> </v>
      </c>
      <c r="G5932" s="24" t="str">
        <f>IF(OR(E5932="",E5932="!!!"),"",IF(OR(J5932=0,AND(J5932=1,K5932=1),AND(J5932=1,I5932="SBJ"),AND(J5932=1,I5932=0)),"?IN_FOCUS",IF(J5932&lt;=2,"?ACTIVATED",IF(J5932&lt;&gt;"","?FAMILIAR",IF(F5932="NEW",IF(ISNA(VLOOKUP(E5932,#REF!,1,FALSE())),"?TYPE_IDENTIFIABLE","?REFERENTIAL"),"_")))))</f>
        <v> </v>
      </c>
      <c r="H5932" s="25" t="str">
        <f>IF(J5932&lt;&gt;1,"",IF(I5932="SBJ","CB","?"))</f>
        <v> </v>
      </c>
      <c r="I5932" s="26" t="str">
        <f>IF(OR(E5932="",E5932="!!!",F5932="NEW"),"",INDEX(B5931:B$2,-1+SUMPRODUCT(MAX(ROW(E5931:E$2)*(E5932=E5931:E$2)))))</f>
        <v> </v>
      </c>
      <c r="J5932" s="26" t="str">
        <f>IF(OR(E5932="",E5932="!!!",F5932="NEW"),"",COUNTBLANK(OFFSET(A$1,,,SUMPRODUCT(MAX(ROW(E$2:E5932)*(E5932=E$2:E5932)))))-COUNTBLANK(OFFSET(A$1,,,SUMPRODUCT(MAX(ROW(E$1:E5931)*(E2=E$1:E5931))))))</f>
        <v> </v>
      </c>
      <c r="K5932" s="26" t="str">
        <f>IF(OR(E5932="",E5932="!!!",F5932="NEW"),"",INDEX(J$1:J5931,SUMPRODUCT(MAX(ROW(E$1:E5931)*(E5932=E$1:E5931)))))</f>
        <v> </v>
      </c>
      <c r="L5932" s="27"/>
    </row>
    <row r="5933" spans="1:12">
      <c r="A5933" s="20" t="s">
        <v>1950</v>
      </c>
      <c r="E5933" s="22">
        <f>IF(D5933="?OLD","!!!","")</f>
        <v/>
      </c>
      <c r="F5933" s="23" t="str">
        <f>IF(OR(E5933="",E5933="!!!"),"",IF(NOT(ISNA(VLOOKUP(E5933,E$1:E5932,1,FALSE()))),"OLD",IF(AND(E5933&lt;&gt;"",E5933&lt;&gt;"!!!"),"NEW","")))</f>
        <v> </v>
      </c>
      <c r="G5933" s="24" t="str">
        <f>IF(OR(E5933="",E5933="!!!"),"",IF(OR(J5933=0,AND(J5933=1,K5933=1),AND(J5933=1,I5933="SBJ"),AND(J5933=1,I5933=0)),"?IN_FOCUS",IF(J5933&lt;=2,"?ACTIVATED",IF(J5933&lt;&gt;"","?FAMILIAR",IF(F5933="NEW",IF(ISNA(VLOOKUP(E5933,#REF!,1,FALSE())),"?TYPE_IDENTIFIABLE","?REFERENTIAL"),"_")))))</f>
        <v> </v>
      </c>
      <c r="H5933" s="25" t="str">
        <f>IF(J5933&lt;&gt;1,"",IF(I5933="SBJ","CB","?"))</f>
        <v> </v>
      </c>
      <c r="I5933" s="26" t="str">
        <f>IF(OR(E5933="",E5933="!!!",F5933="NEW"),"",INDEX(B5932:B$2,-1+SUMPRODUCT(MAX(ROW(E5932:E$2)*(E5933=E5932:E$2)))))</f>
        <v> </v>
      </c>
      <c r="J5933" s="26" t="str">
        <f>IF(OR(E5933="",E5933="!!!",F5933="NEW"),"",COUNTBLANK(OFFSET(A$1,,,SUMPRODUCT(MAX(ROW(E$2:E5933)*(E5933=E$2:E5933)))))-COUNTBLANK(OFFSET(A$1,,,SUMPRODUCT(MAX(ROW(E$1:E5932)*(E2=E$1:E5932))))))</f>
        <v> </v>
      </c>
      <c r="K5933" s="26" t="str">
        <f>IF(OR(E5933="",E5933="!!!",F5933="NEW"),"",INDEX(J$1:J5932,SUMPRODUCT(MAX(ROW(E$1:E5932)*(E5933=E$1:E5932)))))</f>
        <v> </v>
      </c>
      <c r="L5933" s="27"/>
    </row>
    <row r="5934" spans="1:12">
      <c r="A5934" s="20" t="s">
        <v>122</v>
      </c>
      <c r="B5934" s="21" t="s">
        <v>1091</v>
      </c>
      <c r="C5934" s="21" t="s">
        <v>1017</v>
      </c>
      <c r="E5934" s="22">
        <f>IF(D5934="?OLD","!!!","")</f>
        <v/>
      </c>
      <c r="F5934" s="23" t="str">
        <f>IF(OR(E5934="",E5934="!!!"),"",IF(NOT(ISNA(VLOOKUP(E5934,E$1:E5933,1,FALSE()))),"OLD",IF(AND(E5934&lt;&gt;"",E5934&lt;&gt;"!!!"),"NEW","")))</f>
        <v> </v>
      </c>
      <c r="G5934" s="24" t="str">
        <f>IF(OR(E5934="",E5934="!!!"),"",IF(OR(J5934=0,AND(J5934=1,K5934=1),AND(J5934=1,I5934="SBJ"),AND(J5934=1,I5934=0)),"?IN_FOCUS",IF(J5934&lt;=2,"?ACTIVATED",IF(J5934&lt;&gt;"","?FAMILIAR",IF(F5934="NEW",IF(ISNA(VLOOKUP(E5934,#REF!,1,FALSE())),"?TYPE_IDENTIFIABLE","?REFERENTIAL"),"_")))))</f>
        <v> </v>
      </c>
      <c r="H5934" s="25" t="str">
        <f>IF(J5934&lt;&gt;1,"",IF(I5934="SBJ","CB","?"))</f>
        <v> </v>
      </c>
      <c r="I5934" s="26" t="str">
        <f>IF(OR(E5934="",E5934="!!!",F5934="NEW"),"",INDEX(B5933:B$2,-1+SUMPRODUCT(MAX(ROW(E5933:E$2)*(E5934=E5933:E$2)))))</f>
        <v> </v>
      </c>
      <c r="J5934" s="26" t="str">
        <f>IF(OR(E5934="",E5934="!!!",F5934="NEW"),"",COUNTBLANK(OFFSET(A$1,,,SUMPRODUCT(MAX(ROW(E$2:E5934)*(E5934=E$2:E5934)))))-COUNTBLANK(OFFSET(A$1,,,SUMPRODUCT(MAX(ROW(E$1:E5933)*(E2=E$1:E5933))))))</f>
        <v> </v>
      </c>
      <c r="K5934" s="26" t="str">
        <f>IF(OR(E5934="",E5934="!!!",F5934="NEW"),"",INDEX(J$1:J5933,SUMPRODUCT(MAX(ROW(E$1:E5933)*(E5934=E$1:E5933)))))</f>
        <v> </v>
      </c>
      <c r="L5934" s="27"/>
    </row>
    <row r="5935" spans="1:12">
      <c r="A5935" s="20" t="s">
        <v>1414</v>
      </c>
      <c r="E5935" s="22">
        <f>IF(D5935="?OLD","!!!","")</f>
        <v/>
      </c>
      <c r="F5935" s="23" t="str">
        <f>IF(OR(E5935="",E5935="!!!"),"",IF(NOT(ISNA(VLOOKUP(E5935,E$1:E5934,1,FALSE()))),"OLD",IF(AND(E5935&lt;&gt;"",E5935&lt;&gt;"!!!"),"NEW","")))</f>
        <v> </v>
      </c>
      <c r="G5935" s="24" t="str">
        <f>IF(OR(E5935="",E5935="!!!"),"",IF(OR(J5935=0,AND(J5935=1,K5935=1),AND(J5935=1,I5935="SBJ"),AND(J5935=1,I5935=0)),"?IN_FOCUS",IF(J5935&lt;=2,"?ACTIVATED",IF(J5935&lt;&gt;"","?FAMILIAR",IF(F5935="NEW",IF(ISNA(VLOOKUP(E5935,#REF!,1,FALSE())),"?TYPE_IDENTIFIABLE","?REFERENTIAL"),"_")))))</f>
        <v> </v>
      </c>
      <c r="H5935" s="25" t="str">
        <f>IF(J5935&lt;&gt;1,"",IF(I5935="SBJ","CB","?"))</f>
        <v> </v>
      </c>
      <c r="I5935" s="26" t="str">
        <f>IF(OR(E5935="",E5935="!!!",F5935="NEW"),"",INDEX(B5934:B$2,-1+SUMPRODUCT(MAX(ROW(E5934:E$2)*(E5935=E5934:E$2)))))</f>
        <v> </v>
      </c>
      <c r="J5935" s="26" t="str">
        <f>IF(OR(E5935="",E5935="!!!",F5935="NEW"),"",COUNTBLANK(OFFSET(A$1,,,SUMPRODUCT(MAX(ROW(E$2:E5935)*(E5935=E$2:E5935)))))-COUNTBLANK(OFFSET(A$1,,,SUMPRODUCT(MAX(ROW(E$1:E5934)*(E2=E$1:E5934))))))</f>
        <v> </v>
      </c>
      <c r="K5935" s="26" t="str">
        <f>IF(OR(E5935="",E5935="!!!",F5935="NEW"),"",INDEX(J$1:J5934,SUMPRODUCT(MAX(ROW(E$1:E5934)*(E5935=E$1:E5934)))))</f>
        <v> </v>
      </c>
      <c r="L5935" s="27"/>
    </row>
    <row r="5936" spans="1:12">
      <c r="A5936" s="20" t="s">
        <v>1014</v>
      </c>
      <c r="E5936" s="22">
        <f>IF(D5936="?OLD","!!!","")</f>
        <v/>
      </c>
      <c r="F5936" s="23" t="str">
        <f>IF(OR(E5936="",E5936="!!!"),"",IF(NOT(ISNA(VLOOKUP(E5936,E$1:E5935,1,FALSE()))),"OLD",IF(AND(E5936&lt;&gt;"",E5936&lt;&gt;"!!!"),"NEW","")))</f>
        <v> </v>
      </c>
      <c r="G5936" s="24" t="str">
        <f>IF(OR(E5936="",E5936="!!!"),"",IF(OR(J5936=0,AND(J5936=1,K5936=1),AND(J5936=1,I5936="SBJ"),AND(J5936=1,I5936=0)),"?IN_FOCUS",IF(J5936&lt;=2,"?ACTIVATED",IF(J5936&lt;&gt;"","?FAMILIAR",IF(F5936="NEW",IF(ISNA(VLOOKUP(E5936,#REF!,1,FALSE())),"?TYPE_IDENTIFIABLE","?REFERENTIAL"),"_")))))</f>
        <v> </v>
      </c>
      <c r="H5936" s="25" t="str">
        <f>IF(J5936&lt;&gt;1,"",IF(I5936="SBJ","CB","?"))</f>
        <v> </v>
      </c>
      <c r="I5936" s="26" t="str">
        <f>IF(OR(E5936="",E5936="!!!",F5936="NEW"),"",INDEX(B5935:B$2,-1+SUMPRODUCT(MAX(ROW(E5935:E$2)*(E5936=E5935:E$2)))))</f>
        <v> </v>
      </c>
      <c r="J5936" s="26" t="str">
        <f>IF(OR(E5936="",E5936="!!!",F5936="NEW"),"",COUNTBLANK(OFFSET(A$1,,,SUMPRODUCT(MAX(ROW(E$2:E5936)*(E5936=E$2:E5936)))))-COUNTBLANK(OFFSET(A$1,,,SUMPRODUCT(MAX(ROW(E$1:E5935)*(E2=E$1:E5935))))))</f>
        <v> </v>
      </c>
      <c r="K5936" s="26" t="str">
        <f>IF(OR(E5936="",E5936="!!!",F5936="NEW"),"",INDEX(J$1:J5935,SUMPRODUCT(MAX(ROW(E$1:E5935)*(E5936=E$1:E5935)))))</f>
        <v> </v>
      </c>
      <c r="L5936" s="27"/>
    </row>
    <row r="5937" spans="1:12">
      <c r="A5937" s="20" t="s">
        <v>883</v>
      </c>
      <c r="E5937" s="22">
        <f>IF(D5937="?OLD","!!!","")</f>
        <v/>
      </c>
      <c r="F5937" s="23" t="str">
        <f>IF(OR(E5937="",E5937="!!!"),"",IF(NOT(ISNA(VLOOKUP(E5937,E$1:E5936,1,FALSE()))),"OLD",IF(AND(E5937&lt;&gt;"",E5937&lt;&gt;"!!!"),"NEW","")))</f>
        <v> </v>
      </c>
      <c r="G5937" s="24" t="str">
        <f>IF(OR(E5937="",E5937="!!!"),"",IF(OR(J5937=0,AND(J5937=1,K5937=1),AND(J5937=1,I5937="SBJ"),AND(J5937=1,I5937=0)),"?IN_FOCUS",IF(J5937&lt;=2,"?ACTIVATED",IF(J5937&lt;&gt;"","?FAMILIAR",IF(F5937="NEW",IF(ISNA(VLOOKUP(E5937,#REF!,1,FALSE())),"?TYPE_IDENTIFIABLE","?REFERENTIAL"),"_")))))</f>
        <v> </v>
      </c>
      <c r="H5937" s="25" t="str">
        <f>IF(J5937&lt;&gt;1,"",IF(I5937="SBJ","CB","?"))</f>
        <v> </v>
      </c>
      <c r="I5937" s="26" t="str">
        <f>IF(OR(E5937="",E5937="!!!",F5937="NEW"),"",INDEX(B5936:B$2,-1+SUMPRODUCT(MAX(ROW(E5936:E$2)*(E5937=E5936:E$2)))))</f>
        <v> </v>
      </c>
      <c r="J5937" s="26" t="str">
        <f>IF(OR(E5937="",E5937="!!!",F5937="NEW"),"",COUNTBLANK(OFFSET(A$1,,,SUMPRODUCT(MAX(ROW(E$2:E5937)*(E5937=E$2:E5937)))))-COUNTBLANK(OFFSET(A$1,,,SUMPRODUCT(MAX(ROW(E$1:E5936)*(E2=E$1:E5936))))))</f>
        <v> </v>
      </c>
      <c r="K5937" s="26" t="str">
        <f>IF(OR(E5937="",E5937="!!!",F5937="NEW"),"",INDEX(J$1:J5936,SUMPRODUCT(MAX(ROW(E$1:E5936)*(E5937=E$1:E5936)))))</f>
        <v> </v>
      </c>
      <c r="L5937" s="27"/>
    </row>
    <row r="5938" spans="1:12">
      <c r="A5938" s="20" t="s">
        <v>1008</v>
      </c>
      <c r="B5938" s="21" t="s">
        <v>1175</v>
      </c>
      <c r="C5938" s="21" t="s">
        <v>1010</v>
      </c>
      <c r="D5938" s="21" t="s">
        <v>1011</v>
      </c>
      <c r="E5938" s="22">
        <f>IF(D5938="?OLD","!!!","")</f>
        <v/>
      </c>
      <c r="F5938" s="23" t="str">
        <f>IF(OR(E5938="",E5938="!!!"),"",IF(NOT(ISNA(VLOOKUP(E5938,E$1:E5937,1,FALSE()))),"OLD",IF(AND(E5938&lt;&gt;"",E5938&lt;&gt;"!!!"),"NEW","")))</f>
        <v> </v>
      </c>
      <c r="G5938" s="24" t="str">
        <f>IF(OR(E5938="",E5938="!!!"),"",IF(OR(J5938=0,AND(J5938=1,K5938=1),AND(J5938=1,I5938="SBJ"),AND(J5938=1,I5938=0)),"?IN_FOCUS",IF(J5938&lt;=2,"?ACTIVATED",IF(J5938&lt;&gt;"","?FAMILIAR",IF(F5938="NEW",IF(ISNA(VLOOKUP(E5938,#REF!,1,FALSE())),"?TYPE_IDENTIFIABLE","?REFERENTIAL"),"_")))))</f>
        <v> </v>
      </c>
      <c r="H5938" s="25" t="str">
        <f>IF(J5938&lt;&gt;1,"",IF(I5938="SBJ","CB","?"))</f>
        <v> </v>
      </c>
      <c r="I5938" s="26" t="str">
        <f>IF(OR(E5938="",E5938="!!!",F5938="NEW"),"",INDEX(B5937:B$2,-1+SUMPRODUCT(MAX(ROW(E5937:E$2)*(E5938=E5937:E$2)))))</f>
        <v> </v>
      </c>
      <c r="J5938" s="26" t="str">
        <f>IF(OR(E5938="",E5938="!!!",F5938="NEW"),"",COUNTBLANK(OFFSET(A$1,,,SUMPRODUCT(MAX(ROW(E$2:E5938)*(E5938=E$2:E5938)))))-COUNTBLANK(OFFSET(A$1,,,SUMPRODUCT(MAX(ROW(E$1:E5937)*(E2=E$1:E5937))))))</f>
        <v> </v>
      </c>
      <c r="K5938" s="26" t="str">
        <f>IF(OR(E5938="",E5938="!!!",F5938="NEW"),"",INDEX(J$1:J5937,SUMPRODUCT(MAX(ROW(E$1:E5937)*(E5938=E$1:E5937)))))</f>
        <v> </v>
      </c>
      <c r="L5938" s="27"/>
    </row>
    <row r="5939" spans="1:12">
      <c r="A5939" s="20" t="s">
        <v>1248</v>
      </c>
      <c r="E5939" s="22">
        <f>IF(D5939="?OLD","!!!","")</f>
        <v/>
      </c>
      <c r="F5939" s="23" t="str">
        <f>IF(OR(E5939="",E5939="!!!"),"",IF(NOT(ISNA(VLOOKUP(E5939,E$1:E5938,1,FALSE()))),"OLD",IF(AND(E5939&lt;&gt;"",E5939&lt;&gt;"!!!"),"NEW","")))</f>
        <v> </v>
      </c>
      <c r="G5939" s="24" t="str">
        <f>IF(OR(E5939="",E5939="!!!"),"",IF(OR(J5939=0,AND(J5939=1,K5939=1),AND(J5939=1,I5939="SBJ"),AND(J5939=1,I5939=0)),"?IN_FOCUS",IF(J5939&lt;=2,"?ACTIVATED",IF(J5939&lt;&gt;"","?FAMILIAR",IF(F5939="NEW",IF(ISNA(VLOOKUP(E5939,#REF!,1,FALSE())),"?TYPE_IDENTIFIABLE","?REFERENTIAL"),"_")))))</f>
        <v> </v>
      </c>
      <c r="H5939" s="25" t="str">
        <f>IF(J5939&lt;&gt;1,"",IF(I5939="SBJ","CB","?"))</f>
        <v> </v>
      </c>
      <c r="I5939" s="26" t="str">
        <f>IF(OR(E5939="",E5939="!!!",F5939="NEW"),"",INDEX(B5938:B$2,-1+SUMPRODUCT(MAX(ROW(E5938:E$2)*(E5939=E5938:E$2)))))</f>
        <v> </v>
      </c>
      <c r="J5939" s="26" t="str">
        <f>IF(OR(E5939="",E5939="!!!",F5939="NEW"),"",COUNTBLANK(OFFSET(A$1,,,SUMPRODUCT(MAX(ROW(E$2:E5939)*(E5939=E$2:E5939)))))-COUNTBLANK(OFFSET(A$1,,,SUMPRODUCT(MAX(ROW(E$1:E5938)*(E2=E$1:E5938))))))</f>
        <v> </v>
      </c>
      <c r="K5939" s="26" t="str">
        <f>IF(OR(E5939="",E5939="!!!",F5939="NEW"),"",INDEX(J$1:J5938,SUMPRODUCT(MAX(ROW(E$1:E5938)*(E5939=E$1:E5938)))))</f>
        <v> </v>
      </c>
      <c r="L5939" s="27"/>
    </row>
    <row r="5940" spans="1:12">
      <c r="A5940" s="20" t="s">
        <v>1579</v>
      </c>
      <c r="E5940" s="22">
        <f>IF(D5940="?OLD","!!!","")</f>
        <v/>
      </c>
      <c r="F5940" s="23" t="str">
        <f>IF(OR(E5940="",E5940="!!!"),"",IF(NOT(ISNA(VLOOKUP(E5940,E$1:E5939,1,FALSE()))),"OLD",IF(AND(E5940&lt;&gt;"",E5940&lt;&gt;"!!!"),"NEW","")))</f>
        <v> </v>
      </c>
      <c r="G5940" s="24" t="str">
        <f>IF(OR(E5940="",E5940="!!!"),"",IF(OR(J5940=0,AND(J5940=1,K5940=1),AND(J5940=1,I5940="SBJ"),AND(J5940=1,I5940=0)),"?IN_FOCUS",IF(J5940&lt;=2,"?ACTIVATED",IF(J5940&lt;&gt;"","?FAMILIAR",IF(F5940="NEW",IF(ISNA(VLOOKUP(E5940,#REF!,1,FALSE())),"?TYPE_IDENTIFIABLE","?REFERENTIAL"),"_")))))</f>
        <v> </v>
      </c>
      <c r="H5940" s="25" t="str">
        <f>IF(J5940&lt;&gt;1,"",IF(I5940="SBJ","CB","?"))</f>
        <v> </v>
      </c>
      <c r="I5940" s="26" t="str">
        <f>IF(OR(E5940="",E5940="!!!",F5940="NEW"),"",INDEX(B5939:B$2,-1+SUMPRODUCT(MAX(ROW(E5939:E$2)*(E5940=E5939:E$2)))))</f>
        <v> </v>
      </c>
      <c r="J5940" s="26" t="str">
        <f>IF(OR(E5940="",E5940="!!!",F5940="NEW"),"",COUNTBLANK(OFFSET(A$1,,,SUMPRODUCT(MAX(ROW(E$2:E5940)*(E5940=E$2:E5940)))))-COUNTBLANK(OFFSET(A$1,,,SUMPRODUCT(MAX(ROW(E$1:E5939)*(E2=E$1:E5939))))))</f>
        <v> </v>
      </c>
      <c r="K5940" s="26" t="str">
        <f>IF(OR(E5940="",E5940="!!!",F5940="NEW"),"",INDEX(J$1:J5939,SUMPRODUCT(MAX(ROW(E$1:E5939)*(E5940=E$1:E5939)))))</f>
        <v> </v>
      </c>
      <c r="L5940" s="27"/>
    </row>
    <row r="5941" spans="1:12">
      <c r="A5941" s="20" t="s">
        <v>1401</v>
      </c>
      <c r="B5941" s="21" t="s">
        <v>1094</v>
      </c>
      <c r="C5941" s="21" t="s">
        <v>1035</v>
      </c>
      <c r="D5941" s="21" t="s">
        <v>1011</v>
      </c>
      <c r="E5941" s="22">
        <f>IF(D5941="?OLD","!!!","")</f>
        <v/>
      </c>
      <c r="F5941" s="23" t="str">
        <f>IF(OR(E5941="",E5941="!!!"),"",IF(NOT(ISNA(VLOOKUP(E5941,E$1:E5940,1,FALSE()))),"OLD",IF(AND(E5941&lt;&gt;"",E5941&lt;&gt;"!!!"),"NEW","")))</f>
        <v> </v>
      </c>
      <c r="G5941" s="24" t="str">
        <f>IF(OR(E5941="",E5941="!!!"),"",IF(OR(J5941=0,AND(J5941=1,K5941=1),AND(J5941=1,I5941="SBJ"),AND(J5941=1,I5941=0)),"?IN_FOCUS",IF(J5941&lt;=2,"?ACTIVATED",IF(J5941&lt;&gt;"","?FAMILIAR",IF(F5941="NEW",IF(ISNA(VLOOKUP(E5941,#REF!,1,FALSE())),"?TYPE_IDENTIFIABLE","?REFERENTIAL"),"_")))))</f>
        <v> </v>
      </c>
      <c r="H5941" s="25" t="str">
        <f>IF(J5941&lt;&gt;1,"",IF(I5941="SBJ","CB","?"))</f>
        <v> </v>
      </c>
      <c r="I5941" s="26" t="str">
        <f>IF(OR(E5941="",E5941="!!!",F5941="NEW"),"",INDEX(B5940:B$2,-1+SUMPRODUCT(MAX(ROW(E5940:E$2)*(E5941=E5940:E$2)))))</f>
        <v> </v>
      </c>
      <c r="J5941" s="26" t="str">
        <f>IF(OR(E5941="",E5941="!!!",F5941="NEW"),"",COUNTBLANK(OFFSET(A$1,,,SUMPRODUCT(MAX(ROW(E$2:E5941)*(E5941=E$2:E5941)))))-COUNTBLANK(OFFSET(A$1,,,SUMPRODUCT(MAX(ROW(E$1:E5940)*(E2=E$1:E5940))))))</f>
        <v> </v>
      </c>
      <c r="K5941" s="26" t="str">
        <f>IF(OR(E5941="",E5941="!!!",F5941="NEW"),"",INDEX(J$1:J5940,SUMPRODUCT(MAX(ROW(E$1:E5940)*(E5941=E$1:E5940)))))</f>
        <v> </v>
      </c>
      <c r="L5941" s="27"/>
    </row>
    <row r="5942" spans="1:12">
      <c r="A5942" s="20" t="s">
        <v>1931</v>
      </c>
      <c r="B5942" s="21" t="s">
        <v>1053</v>
      </c>
      <c r="C5942" s="21" t="s">
        <v>1040</v>
      </c>
      <c r="D5942" s="21" t="s">
        <v>1011</v>
      </c>
      <c r="E5942" s="22">
        <f>IF(D5942="?OLD","!!!","")</f>
        <v/>
      </c>
      <c r="F5942" s="23" t="str">
        <f>IF(OR(E5942="",E5942="!!!"),"",IF(NOT(ISNA(VLOOKUP(E5942,E$1:E5941,1,FALSE()))),"OLD",IF(AND(E5942&lt;&gt;"",E5942&lt;&gt;"!!!"),"NEW","")))</f>
        <v> </v>
      </c>
      <c r="G5942" s="24" t="str">
        <f>IF(OR(E5942="",E5942="!!!"),"",IF(OR(J5942=0,AND(J5942=1,K5942=1),AND(J5942=1,I5942="SBJ"),AND(J5942=1,I5942=0)),"?IN_FOCUS",IF(J5942&lt;=2,"?ACTIVATED",IF(J5942&lt;&gt;"","?FAMILIAR",IF(F5942="NEW",IF(ISNA(VLOOKUP(E5942,#REF!,1,FALSE())),"?TYPE_IDENTIFIABLE","?REFERENTIAL"),"_")))))</f>
        <v> </v>
      </c>
      <c r="H5942" s="25" t="str">
        <f>IF(J5942&lt;&gt;1,"",IF(I5942="SBJ","CB","?"))</f>
        <v> </v>
      </c>
      <c r="I5942" s="26" t="str">
        <f>IF(OR(E5942="",E5942="!!!",F5942="NEW"),"",INDEX(B5941:B$2,-1+SUMPRODUCT(MAX(ROW(E5941:E$2)*(E5942=E5941:E$2)))))</f>
        <v> </v>
      </c>
      <c r="J5942" s="26" t="str">
        <f>IF(OR(E5942="",E5942="!!!",F5942="NEW"),"",COUNTBLANK(OFFSET(A$1,,,SUMPRODUCT(MAX(ROW(E$2:E5942)*(E5942=E$2:E5942)))))-COUNTBLANK(OFFSET(A$1,,,SUMPRODUCT(MAX(ROW(E$1:E5941)*(E2=E$1:E5941))))))</f>
        <v> </v>
      </c>
      <c r="K5942" s="26" t="str">
        <f>IF(OR(E5942="",E5942="!!!",F5942="NEW"),"",INDEX(J$1:J5941,SUMPRODUCT(MAX(ROW(E$1:E5941)*(E5942=E$1:E5941)))))</f>
        <v> </v>
      </c>
      <c r="L5942" s="27"/>
    </row>
    <row r="5943" spans="1:12">
      <c r="A5943" s="20" t="s">
        <v>2299</v>
      </c>
      <c r="E5943" s="22">
        <f>IF(D5943="?OLD","!!!","")</f>
        <v/>
      </c>
      <c r="F5943" s="23" t="str">
        <f>IF(OR(E5943="",E5943="!!!"),"",IF(NOT(ISNA(VLOOKUP(E5943,E$1:E5942,1,FALSE()))),"OLD",IF(AND(E5943&lt;&gt;"",E5943&lt;&gt;"!!!"),"NEW","")))</f>
        <v> </v>
      </c>
      <c r="G5943" s="24" t="str">
        <f>IF(OR(E5943="",E5943="!!!"),"",IF(OR(J5943=0,AND(J5943=1,K5943=1),AND(J5943=1,I5943="SBJ"),AND(J5943=1,I5943=0)),"?IN_FOCUS",IF(J5943&lt;=2,"?ACTIVATED",IF(J5943&lt;&gt;"","?FAMILIAR",IF(F5943="NEW",IF(ISNA(VLOOKUP(E5943,#REF!,1,FALSE())),"?TYPE_IDENTIFIABLE","?REFERENTIAL"),"_")))))</f>
        <v> </v>
      </c>
      <c r="H5943" s="25" t="str">
        <f>IF(J5943&lt;&gt;1,"",IF(I5943="SBJ","CB","?"))</f>
        <v> </v>
      </c>
      <c r="I5943" s="26" t="str">
        <f>IF(OR(E5943="",E5943="!!!",F5943="NEW"),"",INDEX(B5942:B$2,-1+SUMPRODUCT(MAX(ROW(E5942:E$2)*(E5943=E5942:E$2)))))</f>
        <v> </v>
      </c>
      <c r="J5943" s="26" t="str">
        <f>IF(OR(E5943="",E5943="!!!",F5943="NEW"),"",COUNTBLANK(OFFSET(A$1,,,SUMPRODUCT(MAX(ROW(E$2:E5943)*(E5943=E$2:E5943)))))-COUNTBLANK(OFFSET(A$1,,,SUMPRODUCT(MAX(ROW(E$1:E5942)*(E2=E$1:E5942))))))</f>
        <v> </v>
      </c>
      <c r="K5943" s="26" t="str">
        <f>IF(OR(E5943="",E5943="!!!",F5943="NEW"),"",INDEX(J$1:J5942,SUMPRODUCT(MAX(ROW(E$1:E5942)*(E5943=E$1:E5942)))))</f>
        <v> </v>
      </c>
      <c r="L5943" s="27"/>
    </row>
    <row r="5944" spans="1:12">
      <c r="A5944" s="20" t="s">
        <v>2300</v>
      </c>
      <c r="E5944" s="22">
        <f>IF(D5944="?OLD","!!!","")</f>
        <v/>
      </c>
      <c r="F5944" s="23" t="str">
        <f>IF(OR(E5944="",E5944="!!!"),"",IF(NOT(ISNA(VLOOKUP(E5944,E$1:E5943,1,FALSE()))),"OLD",IF(AND(E5944&lt;&gt;"",E5944&lt;&gt;"!!!"),"NEW","")))</f>
        <v> </v>
      </c>
      <c r="G5944" s="24" t="str">
        <f>IF(OR(E5944="",E5944="!!!"),"",IF(OR(J5944=0,AND(J5944=1,K5944=1),AND(J5944=1,I5944="SBJ"),AND(J5944=1,I5944=0)),"?IN_FOCUS",IF(J5944&lt;=2,"?ACTIVATED",IF(J5944&lt;&gt;"","?FAMILIAR",IF(F5944="NEW",IF(ISNA(VLOOKUP(E5944,#REF!,1,FALSE())),"?TYPE_IDENTIFIABLE","?REFERENTIAL"),"_")))))</f>
        <v> </v>
      </c>
      <c r="H5944" s="25" t="str">
        <f>IF(J5944&lt;&gt;1,"",IF(I5944="SBJ","CB","?"))</f>
        <v> </v>
      </c>
      <c r="I5944" s="26" t="str">
        <f>IF(OR(E5944="",E5944="!!!",F5944="NEW"),"",INDEX(B5943:B$2,-1+SUMPRODUCT(MAX(ROW(E5943:E$2)*(E5944=E5943:E$2)))))</f>
        <v> </v>
      </c>
      <c r="J5944" s="26" t="str">
        <f>IF(OR(E5944="",E5944="!!!",F5944="NEW"),"",COUNTBLANK(OFFSET(A$1,,,SUMPRODUCT(MAX(ROW(E$2:E5944)*(E5944=E$2:E5944)))))-COUNTBLANK(OFFSET(A$1,,,SUMPRODUCT(MAX(ROW(E$1:E5943)*(E2=E$1:E5943))))))</f>
        <v> </v>
      </c>
      <c r="K5944" s="26" t="str">
        <f>IF(OR(E5944="",E5944="!!!",F5944="NEW"),"",INDEX(J$1:J5943,SUMPRODUCT(MAX(ROW(E$1:E5943)*(E5944=E$1:E5943)))))</f>
        <v> </v>
      </c>
      <c r="L5944" s="27"/>
    </row>
    <row r="5945" spans="1:12">
      <c r="A5945" s="20" t="s">
        <v>1022</v>
      </c>
      <c r="E5945" s="22">
        <f>IF(D5945="?OLD","!!!","")</f>
        <v/>
      </c>
      <c r="F5945" s="23" t="str">
        <f>IF(OR(E5945="",E5945="!!!"),"",IF(NOT(ISNA(VLOOKUP(E5945,E$1:E5944,1,FALSE()))),"OLD",IF(AND(E5945&lt;&gt;"",E5945&lt;&gt;"!!!"),"NEW","")))</f>
        <v> </v>
      </c>
      <c r="G5945" s="24" t="str">
        <f>IF(OR(E5945="",E5945="!!!"),"",IF(OR(J5945=0,AND(J5945=1,K5945=1),AND(J5945=1,I5945="SBJ"),AND(J5945=1,I5945=0)),"?IN_FOCUS",IF(J5945&lt;=2,"?ACTIVATED",IF(J5945&lt;&gt;"","?FAMILIAR",IF(F5945="NEW",IF(ISNA(VLOOKUP(E5945,#REF!,1,FALSE())),"?TYPE_IDENTIFIABLE","?REFERENTIAL"),"_")))))</f>
        <v> </v>
      </c>
      <c r="H5945" s="25" t="str">
        <f>IF(J5945&lt;&gt;1,"",IF(I5945="SBJ","CB","?"))</f>
        <v> </v>
      </c>
      <c r="I5945" s="26" t="str">
        <f>IF(OR(E5945="",E5945="!!!",F5945="NEW"),"",INDEX(B5944:B$2,-1+SUMPRODUCT(MAX(ROW(E5944:E$2)*(E5945=E5944:E$2)))))</f>
        <v> </v>
      </c>
      <c r="J5945" s="26" t="str">
        <f>IF(OR(E5945="",E5945="!!!",F5945="NEW"),"",COUNTBLANK(OFFSET(A$1,,,SUMPRODUCT(MAX(ROW(E$2:E5945)*(E5945=E$2:E5945)))))-COUNTBLANK(OFFSET(A$1,,,SUMPRODUCT(MAX(ROW(E$1:E5944)*(E2=E$1:E5944))))))</f>
        <v> </v>
      </c>
      <c r="K5945" s="26" t="str">
        <f>IF(OR(E5945="",E5945="!!!",F5945="NEW"),"",INDEX(J$1:J5944,SUMPRODUCT(MAX(ROW(E$1:E5944)*(E5945=E$1:E5944)))))</f>
        <v> </v>
      </c>
      <c r="L5945" s="27"/>
    </row>
    <row r="5946" spans="1:12">
      <c r="A5946" s="20"/>
    </row>
    <row r="5947" spans="1:12">
      <c r="A5947" s="20" t="s">
        <v>2301</v>
      </c>
    </row>
    <row r="5948" spans="1:12">
      <c r="A5948" s="20" t="s">
        <v>1989</v>
      </c>
      <c r="E5948" s="22">
        <f>IF(D5948="?OLD","!!!","")</f>
        <v/>
      </c>
      <c r="F5948" s="23" t="str">
        <f>IF(OR(E5948="",E5948="!!!"),"",IF(NOT(ISNA(VLOOKUP(E5948,E$1:E5947,1,FALSE()))),"OLD",IF(AND(E5948&lt;&gt;"",E5948&lt;&gt;"!!!"),"NEW","")))</f>
        <v> </v>
      </c>
      <c r="G5948" s="24" t="str">
        <f>IF(OR(E5948="",E5948="!!!"),"",IF(OR(J5948=0,AND(J5948=1,K5948=1),AND(J5948=1,I5948="SBJ"),AND(J5948=1,I5948=0)),"?IN_FOCUS",IF(J5948&lt;=2,"?ACTIVATED",IF(J5948&lt;&gt;"","?FAMILIAR",IF(F5948="NEW",IF(ISNA(VLOOKUP(E5948,#REF!,1,FALSE())),"?TYPE_IDENTIFIABLE","?REFERENTIAL"),"_")))))</f>
        <v> </v>
      </c>
      <c r="H5948" s="25" t="str">
        <f>IF(J5948&lt;&gt;1,"",IF(I5948="SBJ","CB","?"))</f>
        <v> </v>
      </c>
      <c r="I5948" s="26" t="str">
        <f>IF(OR(E5948="",E5948="!!!",F5948="NEW"),"",INDEX(B5947:B$2,-1+SUMPRODUCT(MAX(ROW(E5947:E$2)*(E5948=E5947:E$2)))))</f>
        <v> </v>
      </c>
      <c r="J5948" s="26" t="str">
        <f>IF(OR(E5948="",E5948="!!!",F5948="NEW"),"",COUNTBLANK(OFFSET(A$1,,,SUMPRODUCT(MAX(ROW(E$2:E5948)*(E5948=E$2:E5948)))))-COUNTBLANK(OFFSET(A$1,,,SUMPRODUCT(MAX(ROW(E$1:E5947)*(E2=E$1:E5947))))))</f>
        <v> </v>
      </c>
      <c r="K5948" s="26" t="str">
        <f>IF(OR(E5948="",E5948="!!!",F5948="NEW"),"",INDEX(J$1:J5947,SUMPRODUCT(MAX(ROW(E$1:E5947)*(E5948=E$1:E5947)))))</f>
        <v> </v>
      </c>
      <c r="L5948" s="27"/>
    </row>
    <row r="5949" spans="1:12">
      <c r="A5949" s="20" t="s">
        <v>1137</v>
      </c>
      <c r="B5949" s="21" t="s">
        <v>1048</v>
      </c>
      <c r="C5949" s="21" t="s">
        <v>1010</v>
      </c>
      <c r="D5949" s="21" t="s">
        <v>1011</v>
      </c>
      <c r="E5949" s="22">
        <f>IF(D5949="?OLD","!!!","")</f>
        <v/>
      </c>
      <c r="F5949" s="23" t="str">
        <f>IF(OR(E5949="",E5949="!!!"),"",IF(NOT(ISNA(VLOOKUP(E5949,E$1:E5948,1,FALSE()))),"OLD",IF(AND(E5949&lt;&gt;"",E5949&lt;&gt;"!!!"),"NEW","")))</f>
        <v> </v>
      </c>
      <c r="G5949" s="24" t="str">
        <f>IF(OR(E5949="",E5949="!!!"),"",IF(OR(J5949=0,AND(J5949=1,K5949=1),AND(J5949=1,I5949="SBJ"),AND(J5949=1,I5949=0)),"?IN_FOCUS",IF(J5949&lt;=2,"?ACTIVATED",IF(J5949&lt;&gt;"","?FAMILIAR",IF(F5949="NEW",IF(ISNA(VLOOKUP(E5949,#REF!,1,FALSE())),"?TYPE_IDENTIFIABLE","?REFERENTIAL"),"_")))))</f>
        <v> </v>
      </c>
      <c r="H5949" s="25" t="str">
        <f>IF(J5949&lt;&gt;1,"",IF(I5949="SBJ","CB","?"))</f>
        <v> </v>
      </c>
      <c r="I5949" s="26" t="str">
        <f>IF(OR(E5949="",E5949="!!!",F5949="NEW"),"",INDEX(B5948:B$2,-1+SUMPRODUCT(MAX(ROW(E5948:E$2)*(E5949=E5948:E$2)))))</f>
        <v> </v>
      </c>
      <c r="J5949" s="26" t="str">
        <f>IF(OR(E5949="",E5949="!!!",F5949="NEW"),"",COUNTBLANK(OFFSET(A$1,,,SUMPRODUCT(MAX(ROW(E$2:E5949)*(E5949=E$2:E5949)))))-COUNTBLANK(OFFSET(A$1,,,SUMPRODUCT(MAX(ROW(E$1:E5948)*(E2=E$1:E5948))))))</f>
        <v> </v>
      </c>
      <c r="K5949" s="26" t="str">
        <f>IF(OR(E5949="",E5949="!!!",F5949="NEW"),"",INDEX(J$1:J5948,SUMPRODUCT(MAX(ROW(E$1:E5948)*(E5949=E$1:E5948)))))</f>
        <v> </v>
      </c>
      <c r="L5949" s="27"/>
    </row>
    <row r="5950" spans="1:12">
      <c r="A5950" s="20" t="s">
        <v>767</v>
      </c>
      <c r="E5950" s="22">
        <f>IF(D5950="?OLD","!!!","")</f>
        <v/>
      </c>
      <c r="F5950" s="23" t="str">
        <f>IF(OR(E5950="",E5950="!!!"),"",IF(NOT(ISNA(VLOOKUP(E5950,E$1:E5949,1,FALSE()))),"OLD",IF(AND(E5950&lt;&gt;"",E5950&lt;&gt;"!!!"),"NEW","")))</f>
        <v> </v>
      </c>
      <c r="G5950" s="24" t="str">
        <f>IF(OR(E5950="",E5950="!!!"),"",IF(OR(J5950=0,AND(J5950=1,K5950=1),AND(J5950=1,I5950="SBJ"),AND(J5950=1,I5950=0)),"?IN_FOCUS",IF(J5950&lt;=2,"?ACTIVATED",IF(J5950&lt;&gt;"","?FAMILIAR",IF(F5950="NEW",IF(ISNA(VLOOKUP(E5950,#REF!,1,FALSE())),"?TYPE_IDENTIFIABLE","?REFERENTIAL"),"_")))))</f>
        <v> </v>
      </c>
      <c r="H5950" s="25" t="str">
        <f>IF(J5950&lt;&gt;1,"",IF(I5950="SBJ","CB","?"))</f>
        <v> </v>
      </c>
      <c r="I5950" s="26" t="str">
        <f>IF(OR(E5950="",E5950="!!!",F5950="NEW"),"",INDEX(B5949:B$2,-1+SUMPRODUCT(MAX(ROW(E5949:E$2)*(E5950=E5949:E$2)))))</f>
        <v> </v>
      </c>
      <c r="J5950" s="26" t="str">
        <f>IF(OR(E5950="",E5950="!!!",F5950="NEW"),"",COUNTBLANK(OFFSET(A$1,,,SUMPRODUCT(MAX(ROW(E$2:E5950)*(E5950=E$2:E5950)))))-COUNTBLANK(OFFSET(A$1,,,SUMPRODUCT(MAX(ROW(E$1:E5949)*(E2=E$1:E5949))))))</f>
        <v> </v>
      </c>
      <c r="K5950" s="26" t="str">
        <f>IF(OR(E5950="",E5950="!!!",F5950="NEW"),"",INDEX(J$1:J5949,SUMPRODUCT(MAX(ROW(E$1:E5949)*(E5950=E$1:E5949)))))</f>
        <v> </v>
      </c>
      <c r="L5950" s="27"/>
    </row>
    <row r="5951" spans="1:12">
      <c r="A5951" s="20" t="s">
        <v>1105</v>
      </c>
      <c r="E5951" s="22">
        <f>IF(D5951="?OLD","!!!","")</f>
        <v/>
      </c>
      <c r="F5951" s="23" t="str">
        <f>IF(OR(E5951="",E5951="!!!"),"",IF(NOT(ISNA(VLOOKUP(E5951,E$1:E5950,1,FALSE()))),"OLD",IF(AND(E5951&lt;&gt;"",E5951&lt;&gt;"!!!"),"NEW","")))</f>
        <v> </v>
      </c>
      <c r="G5951" s="24" t="str">
        <f>IF(OR(E5951="",E5951="!!!"),"",IF(OR(J5951=0,AND(J5951=1,K5951=1),AND(J5951=1,I5951="SBJ"),AND(J5951=1,I5951=0)),"?IN_FOCUS",IF(J5951&lt;=2,"?ACTIVATED",IF(J5951&lt;&gt;"","?FAMILIAR",IF(F5951="NEW",IF(ISNA(VLOOKUP(E5951,#REF!,1,FALSE())),"?TYPE_IDENTIFIABLE","?REFERENTIAL"),"_")))))</f>
        <v> </v>
      </c>
      <c r="H5951" s="25" t="str">
        <f>IF(J5951&lt;&gt;1,"",IF(I5951="SBJ","CB","?"))</f>
        <v> </v>
      </c>
      <c r="I5951" s="26" t="str">
        <f>IF(OR(E5951="",E5951="!!!",F5951="NEW"),"",INDEX(B5950:B$2,-1+SUMPRODUCT(MAX(ROW(E5950:E$2)*(E5951=E5950:E$2)))))</f>
        <v> </v>
      </c>
      <c r="J5951" s="26" t="str">
        <f>IF(OR(E5951="",E5951="!!!",F5951="NEW"),"",COUNTBLANK(OFFSET(A$1,,,SUMPRODUCT(MAX(ROW(E$2:E5951)*(E5951=E$2:E5951)))))-COUNTBLANK(OFFSET(A$1,,,SUMPRODUCT(MAX(ROW(E$1:E5950)*(E2=E$1:E5950))))))</f>
        <v> </v>
      </c>
      <c r="K5951" s="26" t="str">
        <f>IF(OR(E5951="",E5951="!!!",F5951="NEW"),"",INDEX(J$1:J5950,SUMPRODUCT(MAX(ROW(E$1:E5950)*(E5951=E$1:E5950)))))</f>
        <v> </v>
      </c>
      <c r="L5951" s="27"/>
    </row>
    <row r="5952" spans="1:12">
      <c r="A5952" s="20" t="s">
        <v>1022</v>
      </c>
      <c r="E5952" s="22">
        <f>IF(D5952="?OLD","!!!","")</f>
        <v/>
      </c>
      <c r="F5952" s="23" t="str">
        <f>IF(OR(E5952="",E5952="!!!"),"",IF(NOT(ISNA(VLOOKUP(E5952,E$1:E5951,1,FALSE()))),"OLD",IF(AND(E5952&lt;&gt;"",E5952&lt;&gt;"!!!"),"NEW","")))</f>
        <v> </v>
      </c>
      <c r="G5952" s="24" t="str">
        <f>IF(OR(E5952="",E5952="!!!"),"",IF(OR(J5952=0,AND(J5952=1,K5952=1),AND(J5952=1,I5952="SBJ"),AND(J5952=1,I5952=0)),"?IN_FOCUS",IF(J5952&lt;=2,"?ACTIVATED",IF(J5952&lt;&gt;"","?FAMILIAR",IF(F5952="NEW",IF(ISNA(VLOOKUP(E5952,#REF!,1,FALSE())),"?TYPE_IDENTIFIABLE","?REFERENTIAL"),"_")))))</f>
        <v> </v>
      </c>
      <c r="H5952" s="25" t="str">
        <f>IF(J5952&lt;&gt;1,"",IF(I5952="SBJ","CB","?"))</f>
        <v> </v>
      </c>
      <c r="I5952" s="26" t="str">
        <f>IF(OR(E5952="",E5952="!!!",F5952="NEW"),"",INDEX(B5951:B$2,-1+SUMPRODUCT(MAX(ROW(E5951:E$2)*(E5952=E5951:E$2)))))</f>
        <v> </v>
      </c>
      <c r="J5952" s="26" t="str">
        <f>IF(OR(E5952="",E5952="!!!",F5952="NEW"),"",COUNTBLANK(OFFSET(A$1,,,SUMPRODUCT(MAX(ROW(E$2:E5952)*(E5952=E$2:E5952)))))-COUNTBLANK(OFFSET(A$1,,,SUMPRODUCT(MAX(ROW(E$1:E5951)*(E2=E$1:E5951))))))</f>
        <v> </v>
      </c>
      <c r="K5952" s="26" t="str">
        <f>IF(OR(E5952="",E5952="!!!",F5952="NEW"),"",INDEX(J$1:J5951,SUMPRODUCT(MAX(ROW(E$1:E5951)*(E5952=E$1:E5951)))))</f>
        <v> </v>
      </c>
      <c r="L5952" s="27"/>
    </row>
    <row r="5953" spans="1:12">
      <c r="A5953" s="20"/>
    </row>
    <row r="5954" spans="1:12">
      <c r="A5954" s="20" t="s">
        <v>2302</v>
      </c>
    </row>
    <row r="5955" spans="1:12">
      <c r="A5955" s="20" t="s">
        <v>2035</v>
      </c>
      <c r="E5955" s="22">
        <f>IF(D5955="?OLD","!!!","")</f>
        <v/>
      </c>
      <c r="F5955" s="23" t="str">
        <f>IF(OR(E5955="",E5955="!!!"),"",IF(NOT(ISNA(VLOOKUP(E5955,E$1:E5954,1,FALSE()))),"OLD",IF(AND(E5955&lt;&gt;"",E5955&lt;&gt;"!!!"),"NEW","")))</f>
        <v> </v>
      </c>
      <c r="G5955" s="24" t="str">
        <f>IF(OR(E5955="",E5955="!!!"),"",IF(OR(J5955=0,AND(J5955=1,K5955=1),AND(J5955=1,I5955="SBJ"),AND(J5955=1,I5955=0)),"?IN_FOCUS",IF(J5955&lt;=2,"?ACTIVATED",IF(J5955&lt;&gt;"","?FAMILIAR",IF(F5955="NEW",IF(ISNA(VLOOKUP(E5955,#REF!,1,FALSE())),"?TYPE_IDENTIFIABLE","?REFERENTIAL"),"_")))))</f>
        <v> </v>
      </c>
      <c r="H5955" s="25" t="str">
        <f>IF(J5955&lt;&gt;1,"",IF(I5955="SBJ","CB","?"))</f>
        <v> </v>
      </c>
      <c r="I5955" s="26" t="str">
        <f>IF(OR(E5955="",E5955="!!!",F5955="NEW"),"",INDEX(B5954:B$2,-1+SUMPRODUCT(MAX(ROW(E5954:E$2)*(E5955=E5954:E$2)))))</f>
        <v> </v>
      </c>
      <c r="J5955" s="26" t="str">
        <f>IF(OR(E5955="",E5955="!!!",F5955="NEW"),"",COUNTBLANK(OFFSET(A$1,,,SUMPRODUCT(MAX(ROW(E$2:E5955)*(E5955=E$2:E5955)))))-COUNTBLANK(OFFSET(A$1,,,SUMPRODUCT(MAX(ROW(E$1:E5954)*(E2=E$1:E5954))))))</f>
        <v> </v>
      </c>
      <c r="K5955" s="26" t="str">
        <f>IF(OR(E5955="",E5955="!!!",F5955="NEW"),"",INDEX(J$1:J5954,SUMPRODUCT(MAX(ROW(E$1:E5954)*(E5955=E$1:E5954)))))</f>
        <v> </v>
      </c>
      <c r="L5955" s="27"/>
    </row>
    <row r="5956" spans="1:12">
      <c r="A5956" s="20" t="s">
        <v>1099</v>
      </c>
      <c r="E5956" s="22">
        <f>IF(D5956="?OLD","!!!","")</f>
        <v/>
      </c>
      <c r="F5956" s="23" t="str">
        <f>IF(OR(E5956="",E5956="!!!"),"",IF(NOT(ISNA(VLOOKUP(E5956,E$1:E5955,1,FALSE()))),"OLD",IF(AND(E5956&lt;&gt;"",E5956&lt;&gt;"!!!"),"NEW","")))</f>
        <v> </v>
      </c>
      <c r="G5956" s="24" t="str">
        <f>IF(OR(E5956="",E5956="!!!"),"",IF(OR(J5956=0,AND(J5956=1,K5956=1),AND(J5956=1,I5956="SBJ"),AND(J5956=1,I5956=0)),"?IN_FOCUS",IF(J5956&lt;=2,"?ACTIVATED",IF(J5956&lt;&gt;"","?FAMILIAR",IF(F5956="NEW",IF(ISNA(VLOOKUP(E5956,#REF!,1,FALSE())),"?TYPE_IDENTIFIABLE","?REFERENTIAL"),"_")))))</f>
        <v> </v>
      </c>
      <c r="H5956" s="25" t="str">
        <f>IF(J5956&lt;&gt;1,"",IF(I5956="SBJ","CB","?"))</f>
        <v> </v>
      </c>
      <c r="I5956" s="26" t="str">
        <f>IF(OR(E5956="",E5956="!!!",F5956="NEW"),"",INDEX(B5955:B$2,-1+SUMPRODUCT(MAX(ROW(E5955:E$2)*(E5956=E5955:E$2)))))</f>
        <v> </v>
      </c>
      <c r="J5956" s="26" t="str">
        <f>IF(OR(E5956="",E5956="!!!",F5956="NEW"),"",COUNTBLANK(OFFSET(A$1,,,SUMPRODUCT(MAX(ROW(E$2:E5956)*(E5956=E$2:E5956)))))-COUNTBLANK(OFFSET(A$1,,,SUMPRODUCT(MAX(ROW(E$1:E5955)*(E2=E$1:E5955))))))</f>
        <v> </v>
      </c>
      <c r="K5956" s="26" t="str">
        <f>IF(OR(E5956="",E5956="!!!",F5956="NEW"),"",INDEX(J$1:J5955,SUMPRODUCT(MAX(ROW(E$1:E5955)*(E5956=E$1:E5955)))))</f>
        <v> </v>
      </c>
      <c r="L5956" s="27"/>
    </row>
    <row r="5957" spans="1:12">
      <c r="A5957" s="20" t="s">
        <v>1989</v>
      </c>
      <c r="E5957" s="22">
        <f>IF(D5957="?OLD","!!!","")</f>
        <v/>
      </c>
      <c r="F5957" s="23" t="str">
        <f>IF(OR(E5957="",E5957="!!!"),"",IF(NOT(ISNA(VLOOKUP(E5957,E$1:E5956,1,FALSE()))),"OLD",IF(AND(E5957&lt;&gt;"",E5957&lt;&gt;"!!!"),"NEW","")))</f>
        <v> </v>
      </c>
      <c r="G5957" s="24" t="str">
        <f>IF(OR(E5957="",E5957="!!!"),"",IF(OR(J5957=0,AND(J5957=1,K5957=1),AND(J5957=1,I5957="SBJ"),AND(J5957=1,I5957=0)),"?IN_FOCUS",IF(J5957&lt;=2,"?ACTIVATED",IF(J5957&lt;&gt;"","?FAMILIAR",IF(F5957="NEW",IF(ISNA(VLOOKUP(E5957,#REF!,1,FALSE())),"?TYPE_IDENTIFIABLE","?REFERENTIAL"),"_")))))</f>
        <v> </v>
      </c>
      <c r="H5957" s="25" t="str">
        <f>IF(J5957&lt;&gt;1,"",IF(I5957="SBJ","CB","?"))</f>
        <v> </v>
      </c>
      <c r="I5957" s="26" t="str">
        <f>IF(OR(E5957="",E5957="!!!",F5957="NEW"),"",INDEX(B5956:B$2,-1+SUMPRODUCT(MAX(ROW(E5956:E$2)*(E5957=E5956:E$2)))))</f>
        <v> </v>
      </c>
      <c r="J5957" s="26" t="str">
        <f>IF(OR(E5957="",E5957="!!!",F5957="NEW"),"",COUNTBLANK(OFFSET(A$1,,,SUMPRODUCT(MAX(ROW(E$2:E5957)*(E5957=E$2:E5957)))))-COUNTBLANK(OFFSET(A$1,,,SUMPRODUCT(MAX(ROW(E$1:E5956)*(E2=E$1:E5956))))))</f>
        <v> </v>
      </c>
      <c r="K5957" s="26" t="str">
        <f>IF(OR(E5957="",E5957="!!!",F5957="NEW"),"",INDEX(J$1:J5956,SUMPRODUCT(MAX(ROW(E$1:E5956)*(E5957=E$1:E5956)))))</f>
        <v> </v>
      </c>
      <c r="L5957" s="27"/>
    </row>
    <row r="5958" spans="1:12">
      <c r="A5958" s="20" t="s">
        <v>1137</v>
      </c>
      <c r="B5958" s="21" t="s">
        <v>1048</v>
      </c>
      <c r="C5958" s="21" t="s">
        <v>1010</v>
      </c>
      <c r="D5958" s="21" t="s">
        <v>1011</v>
      </c>
      <c r="E5958" s="22">
        <f>IF(D5958="?OLD","!!!","")</f>
        <v/>
      </c>
      <c r="F5958" s="23" t="str">
        <f>IF(OR(E5958="",E5958="!!!"),"",IF(NOT(ISNA(VLOOKUP(E5958,E$1:E5957,1,FALSE()))),"OLD",IF(AND(E5958&lt;&gt;"",E5958&lt;&gt;"!!!"),"NEW","")))</f>
        <v> </v>
      </c>
      <c r="G5958" s="24" t="str">
        <f>IF(OR(E5958="",E5958="!!!"),"",IF(OR(J5958=0,AND(J5958=1,K5958=1),AND(J5958=1,I5958="SBJ"),AND(J5958=1,I5958=0)),"?IN_FOCUS",IF(J5958&lt;=2,"?ACTIVATED",IF(J5958&lt;&gt;"","?FAMILIAR",IF(F5958="NEW",IF(ISNA(VLOOKUP(E5958,#REF!,1,FALSE())),"?TYPE_IDENTIFIABLE","?REFERENTIAL"),"_")))))</f>
        <v> </v>
      </c>
      <c r="H5958" s="25" t="str">
        <f>IF(J5958&lt;&gt;1,"",IF(I5958="SBJ","CB","?"))</f>
        <v> </v>
      </c>
      <c r="I5958" s="26" t="str">
        <f>IF(OR(E5958="",E5958="!!!",F5958="NEW"),"",INDEX(B5957:B$2,-1+SUMPRODUCT(MAX(ROW(E5957:E$2)*(E5958=E5957:E$2)))))</f>
        <v> </v>
      </c>
      <c r="J5958" s="26" t="str">
        <f>IF(OR(E5958="",E5958="!!!",F5958="NEW"),"",COUNTBLANK(OFFSET(A$1,,,SUMPRODUCT(MAX(ROW(E$2:E5958)*(E5958=E$2:E5958)))))-COUNTBLANK(OFFSET(A$1,,,SUMPRODUCT(MAX(ROW(E$1:E5957)*(E2=E$1:E5957))))))</f>
        <v> </v>
      </c>
      <c r="K5958" s="26" t="str">
        <f>IF(OR(E5958="",E5958="!!!",F5958="NEW"),"",INDEX(J$1:J5957,SUMPRODUCT(MAX(ROW(E$1:E5957)*(E5958=E$1:E5957)))))</f>
        <v> </v>
      </c>
      <c r="L5958" s="27"/>
    </row>
    <row r="5959" spans="1:12">
      <c r="A5959" s="20" t="s">
        <v>1022</v>
      </c>
      <c r="E5959" s="22">
        <f>IF(D5959="?OLD","!!!","")</f>
        <v/>
      </c>
      <c r="F5959" s="23" t="str">
        <f>IF(OR(E5959="",E5959="!!!"),"",IF(NOT(ISNA(VLOOKUP(E5959,E$1:E5958,1,FALSE()))),"OLD",IF(AND(E5959&lt;&gt;"",E5959&lt;&gt;"!!!"),"NEW","")))</f>
        <v> </v>
      </c>
      <c r="G5959" s="24" t="str">
        <f>IF(OR(E5959="",E5959="!!!"),"",IF(OR(J5959=0,AND(J5959=1,K5959=1),AND(J5959=1,I5959="SBJ"),AND(J5959=1,I5959=0)),"?IN_FOCUS",IF(J5959&lt;=2,"?ACTIVATED",IF(J5959&lt;&gt;"","?FAMILIAR",IF(F5959="NEW",IF(ISNA(VLOOKUP(E5959,#REF!,1,FALSE())),"?TYPE_IDENTIFIABLE","?REFERENTIAL"),"_")))))</f>
        <v> </v>
      </c>
      <c r="H5959" s="25" t="str">
        <f>IF(J5959&lt;&gt;1,"",IF(I5959="SBJ","CB","?"))</f>
        <v> </v>
      </c>
      <c r="I5959" s="26" t="str">
        <f>IF(OR(E5959="",E5959="!!!",F5959="NEW"),"",INDEX(B5958:B$2,-1+SUMPRODUCT(MAX(ROW(E5958:E$2)*(E5959=E5958:E$2)))))</f>
        <v> </v>
      </c>
      <c r="J5959" s="26" t="str">
        <f>IF(OR(E5959="",E5959="!!!",F5959="NEW"),"",COUNTBLANK(OFFSET(A$1,,,SUMPRODUCT(MAX(ROW(E$2:E5959)*(E5959=E$2:E5959)))))-COUNTBLANK(OFFSET(A$1,,,SUMPRODUCT(MAX(ROW(E$1:E5958)*(E2=E$1:E5958))))))</f>
        <v> </v>
      </c>
      <c r="K5959" s="26" t="str">
        <f>IF(OR(E5959="",E5959="!!!",F5959="NEW"),"",INDEX(J$1:J5958,SUMPRODUCT(MAX(ROW(E$1:E5958)*(E5959=E$1:E5958)))))</f>
        <v> </v>
      </c>
      <c r="L5959" s="27"/>
    </row>
    <row r="5960" spans="1:12">
      <c r="A596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2024-05-20T20:31:09Z</dcterms:created>
  <dcterms:modified xsi:type="dcterms:W3CDTF">2024-05-20T20:31:09Z</dcterms:modified>
</cp:coreProperties>
</file>