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annotation!$A$1:$L$436</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<sst xmlns="http://schemas.openxmlformats.org/spreadsheetml/2006/main" count="881" uniqueCount="263">
  <si>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</si>
  <si>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</si>
  <si>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</si>
  <si>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</si>
  <si>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</si>
  <si>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</si>
  <si>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</si>
  <si>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</si>
  <si>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</si>
  <si>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</si>
  <si>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</si>
  <si>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</si>
  <si>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Now in those days, when the number of the disciples was multiplying, a complaint arose from the Hellenists against the Hebrews, because their widows were neglected in the daily service.</t>
  </si>
  <si>
    <t xml:space="preserve">Now</t>
  </si>
  <si>
    <t xml:space="preserve">in</t>
  </si>
  <si>
    <t xml:space="preserve">those</t>
  </si>
  <si>
    <t xml:space="preserve">days</t>
  </si>
  <si>
    <t xml:space="preserve">other</t>
  </si>
  <si>
    <t xml:space="preserve">def-np.dem</t>
  </si>
  <si>
    <t xml:space="preserve">?OLD</t>
  </si>
  <si>
    <t xml:space="preserve">Days_of_enrollment</t>
  </si>
  <si>
    <t xml:space="preserve">FAMILIAR</t>
  </si>
  <si>
    <t xml:space="preserve">,</t>
  </si>
  <si>
    <t xml:space="preserve">when</t>
  </si>
  <si>
    <t xml:space="preserve">the</t>
  </si>
  <si>
    <t xml:space="preserve">number</t>
  </si>
  <si>
    <t xml:space="preserve">SBJ_2</t>
  </si>
  <si>
    <t xml:space="preserve">def-np.the</t>
  </si>
  <si>
    <t xml:space="preserve">Number</t>
  </si>
  <si>
    <t xml:space="preserve">REFERENTIAL</t>
  </si>
  <si>
    <t xml:space="preserve">of</t>
  </si>
  <si>
    <t xml:space="preserve">disciples</t>
  </si>
  <si>
    <t xml:space="preserve">other_3</t>
  </si>
  <si>
    <t xml:space="preserve">Disciples</t>
  </si>
  <si>
    <t xml:space="preserve">was</t>
  </si>
  <si>
    <t xml:space="preserve">multiplying</t>
  </si>
  <si>
    <t xml:space="preserve">a</t>
  </si>
  <si>
    <t xml:space="preserve">complaint</t>
  </si>
  <si>
    <t xml:space="preserve">SBJ</t>
  </si>
  <si>
    <t xml:space="preserve">indef-np.a</t>
  </si>
  <si>
    <t xml:space="preserve">arose</t>
  </si>
  <si>
    <t xml:space="preserve">from</t>
  </si>
  <si>
    <t xml:space="preserve">Hellenists</t>
  </si>
  <si>
    <t xml:space="preserve">ne</t>
  </si>
  <si>
    <t xml:space="preserve">against</t>
  </si>
  <si>
    <t xml:space="preserve">Hebrews</t>
  </si>
  <si>
    <t xml:space="preserve">because</t>
  </si>
  <si>
    <t xml:space="preserve">their</t>
  </si>
  <si>
    <t xml:space="preserve">pron.ppos</t>
  </si>
  <si>
    <t xml:space="preserve">IN_FOCUS</t>
  </si>
  <si>
    <t xml:space="preserve">widows</t>
  </si>
  <si>
    <t xml:space="preserve">def-np.poss</t>
  </si>
  <si>
    <t xml:space="preserve">Hellenists_widows</t>
  </si>
  <si>
    <t xml:space="preserve">were</t>
  </si>
  <si>
    <t xml:space="preserve">neglected</t>
  </si>
  <si>
    <t xml:space="preserve">daily</t>
  </si>
  <si>
    <t xml:space="preserve">service</t>
  </si>
  <si>
    <t xml:space="preserve">other_2</t>
  </si>
  <si>
    <t xml:space="preserve">Daily_service</t>
  </si>
  <si>
    <t xml:space="preserve">.</t>
  </si>
  <si>
    <t xml:space="preserve">--</t>
  </si>
  <si>
    <t xml:space="preserve"># text = The twelve summoned the multitude of the disciples and said, \"It is not appropriate for us to forsake the word of God and serve tables.</t>
  </si>
  <si>
    <t xml:space="preserve">The</t>
  </si>
  <si>
    <t xml:space="preserve">twelve</t>
  </si>
  <si>
    <t xml:space="preserve">Apostles</t>
  </si>
  <si>
    <t xml:space="preserve">ACTIVATED</t>
  </si>
  <si>
    <t xml:space="preserve">summoned</t>
  </si>
  <si>
    <t xml:space="preserve">multitude</t>
  </si>
  <si>
    <t xml:space="preserve">OBJ</t>
  </si>
  <si>
    <t xml:space="preserve">Multitude</t>
  </si>
  <si>
    <t xml:space="preserve">and</t>
  </si>
  <si>
    <t xml:space="preserve">said</t>
  </si>
  <si>
    <t xml:space="preserve">&amp;quot;</t>
  </si>
  <si>
    <t xml:space="preserve">It</t>
  </si>
  <si>
    <t xml:space="preserve">is</t>
  </si>
  <si>
    <t xml:space="preserve">not</t>
  </si>
  <si>
    <t xml:space="preserve">appropriate</t>
  </si>
  <si>
    <t xml:space="preserve">for</t>
  </si>
  <si>
    <t xml:space="preserve">us</t>
  </si>
  <si>
    <t xml:space="preserve">SBJ_3</t>
  </si>
  <si>
    <t xml:space="preserve">pron.pper</t>
  </si>
  <si>
    <t xml:space="preserve">to</t>
  </si>
  <si>
    <t xml:space="preserve">forsake</t>
  </si>
  <si>
    <t xml:space="preserve">word</t>
  </si>
  <si>
    <t xml:space="preserve">OBJ_3</t>
  </si>
  <si>
    <t xml:space="preserve">God_word</t>
  </si>
  <si>
    <t xml:space="preserve">God</t>
  </si>
  <si>
    <t xml:space="preserve">other_4</t>
  </si>
  <si>
    <t xml:space="preserve">serve</t>
  </si>
  <si>
    <t xml:space="preserve">tables</t>
  </si>
  <si>
    <t xml:space="preserve">OBJ_4</t>
  </si>
  <si>
    <t xml:space="preserve">indef-np.bare</t>
  </si>
  <si>
    <t xml:space="preserve"># text = Therefore select from among you, brothers, seven men of good report, full of the Holy Spirit and of wisdom, whom we may appoint over this business.</t>
  </si>
  <si>
    <t xml:space="preserve">Therefore</t>
  </si>
  <si>
    <t xml:space="preserve">select</t>
  </si>
  <si>
    <t xml:space="preserve">among</t>
  </si>
  <si>
    <t xml:space="preserve">you</t>
  </si>
  <si>
    <t xml:space="preserve">brothers</t>
  </si>
  <si>
    <t xml:space="preserve">seven</t>
  </si>
  <si>
    <t xml:space="preserve">men</t>
  </si>
  <si>
    <t xml:space="preserve">indef-np.quant</t>
  </si>
  <si>
    <t xml:space="preserve">good</t>
  </si>
  <si>
    <t xml:space="preserve">report</t>
  </si>
  <si>
    <t xml:space="preserve">full</t>
  </si>
  <si>
    <t xml:space="preserve">Holy</t>
  </si>
  <si>
    <t xml:space="preserve">Spirit</t>
  </si>
  <si>
    <t xml:space="preserve">Holy_Spirit</t>
  </si>
  <si>
    <t xml:space="preserve">wisdom</t>
  </si>
  <si>
    <t xml:space="preserve">whom</t>
  </si>
  <si>
    <t xml:space="preserve">we</t>
  </si>
  <si>
    <t xml:space="preserve">SBJ_4</t>
  </si>
  <si>
    <t xml:space="preserve">may</t>
  </si>
  <si>
    <t xml:space="preserve">appoint</t>
  </si>
  <si>
    <t xml:space="preserve">over</t>
  </si>
  <si>
    <t xml:space="preserve">this</t>
  </si>
  <si>
    <t xml:space="preserve">business</t>
  </si>
  <si>
    <t xml:space="preserve">Business</t>
  </si>
  <si>
    <t xml:space="preserve"># text = But we will continue steadfastly in prayer and in the ministry of the word."</t>
  </si>
  <si>
    <t xml:space="preserve">But</t>
  </si>
  <si>
    <t xml:space="preserve">will</t>
  </si>
  <si>
    <t xml:space="preserve">continue</t>
  </si>
  <si>
    <t xml:space="preserve">steadfastly</t>
  </si>
  <si>
    <t xml:space="preserve">prayer</t>
  </si>
  <si>
    <t xml:space="preserve">ministry</t>
  </si>
  <si>
    <t xml:space="preserve">Ministry</t>
  </si>
  <si>
    <t xml:space="preserve"># text = These words pleased the whole multitude.</t>
  </si>
  <si>
    <t xml:space="preserve">These</t>
  </si>
  <si>
    <t xml:space="preserve">words</t>
  </si>
  <si>
    <t xml:space="preserve">It is not appropriate for us to forsake the workd of God and serve tables. Therefore select from among you, brothers, seven men of good report, full of the Holy Spirit and of wisodm, whom we may appoint over this business. But we will continue steadfastly in prayer and in the ministry of the word. </t>
  </si>
  <si>
    <t xml:space="preserve">pleased</t>
  </si>
  <si>
    <t xml:space="preserve">whole</t>
  </si>
  <si>
    <t xml:space="preserve"># text = They chose Stephen, a man full of faith and of the Holy Spirit, Philip, Prochorus, Nicanor, Timon, Parmenas, and Nicolaus, a proselyte of</t>
  </si>
  <si>
    <t xml:space="preserve">They</t>
  </si>
  <si>
    <t xml:space="preserve">chose</t>
  </si>
  <si>
    <t xml:space="preserve">Stephen</t>
  </si>
  <si>
    <t xml:space="preserve">man</t>
  </si>
  <si>
    <t xml:space="preserve">faith</t>
  </si>
  <si>
    <t xml:space="preserve">other_5</t>
  </si>
  <si>
    <t xml:space="preserve">Philip</t>
  </si>
  <si>
    <t xml:space="preserve">other_6</t>
  </si>
  <si>
    <t xml:space="preserve">Prochorus</t>
  </si>
  <si>
    <t xml:space="preserve">Nicanor</t>
  </si>
  <si>
    <t xml:space="preserve">Timon</t>
  </si>
  <si>
    <t xml:space="preserve">Parmenas</t>
  </si>
  <si>
    <t xml:space="preserve">Nicolaus</t>
  </si>
  <si>
    <t xml:space="preserve">proselyte</t>
  </si>
  <si>
    <t xml:space="preserve">Proselyte</t>
  </si>
  <si>
    <t xml:space="preserve"># text = Antioch; whom they set before the apostles.</t>
  </si>
  <si>
    <t xml:space="preserve">Antioch</t>
  </si>
  <si>
    <t xml:space="preserve">;</t>
  </si>
  <si>
    <t xml:space="preserve">OBJ_2</t>
  </si>
  <si>
    <t xml:space="preserve">they</t>
  </si>
  <si>
    <t xml:space="preserve">set</t>
  </si>
  <si>
    <t xml:space="preserve">before</t>
  </si>
  <si>
    <t xml:space="preserve">apostles</t>
  </si>
  <si>
    <t xml:space="preserve"># text = When they had prayed, they laid their hands on them.</t>
  </si>
  <si>
    <t xml:space="preserve">When</t>
  </si>
  <si>
    <t xml:space="preserve">had</t>
  </si>
  <si>
    <t xml:space="preserve">prayed</t>
  </si>
  <si>
    <t xml:space="preserve">laid</t>
  </si>
  <si>
    <t xml:space="preserve">hands</t>
  </si>
  <si>
    <t xml:space="preserve">Disciples_hands</t>
  </si>
  <si>
    <t xml:space="preserve">on</t>
  </si>
  <si>
    <t xml:space="preserve">them</t>
  </si>
  <si>
    <t xml:space="preserve">Stephen, Philip, Prochorus, Nicanor, Timon, Parmenas, Nicolaus</t>
  </si>
  <si>
    <t xml:space="preserve"># text = The word of God increased and the number of the disciples multiplied in Jerusalem exceedingly.</t>
  </si>
  <si>
    <t xml:space="preserve">increased</t>
  </si>
  <si>
    <t xml:space="preserve">Increased</t>
  </si>
  <si>
    <t xml:space="preserve">multiplied</t>
  </si>
  <si>
    <t xml:space="preserve">Jerusalem</t>
  </si>
  <si>
    <t xml:space="preserve">exceedingly</t>
  </si>
  <si>
    <t xml:space="preserve"># text = A great company of the priests were obedient to the faith.</t>
  </si>
  <si>
    <t xml:space="preserve">A</t>
  </si>
  <si>
    <t xml:space="preserve">great</t>
  </si>
  <si>
    <t xml:space="preserve">company</t>
  </si>
  <si>
    <t xml:space="preserve">priests</t>
  </si>
  <si>
    <t xml:space="preserve">Chief_priests</t>
  </si>
  <si>
    <t xml:space="preserve">obedient</t>
  </si>
  <si>
    <t xml:space="preserve">Faith</t>
  </si>
  <si>
    <t xml:space="preserve"># text = Stephen, full of faith and power, performed great wonders and signs among the people.</t>
  </si>
  <si>
    <t xml:space="preserve">power</t>
  </si>
  <si>
    <t xml:space="preserve">performed</t>
  </si>
  <si>
    <t xml:space="preserve">wonders</t>
  </si>
  <si>
    <t xml:space="preserve">signs</t>
  </si>
  <si>
    <t xml:space="preserve">people</t>
  </si>
  <si>
    <t xml:space="preserve">People</t>
  </si>
  <si>
    <t xml:space="preserve"># text = But some of those who were of the synagogue called</t>
  </si>
  <si>
    <t xml:space="preserve">some</t>
  </si>
  <si>
    <t xml:space="preserve">Some</t>
  </si>
  <si>
    <t xml:space="preserve">pron.pds</t>
  </si>
  <si>
    <t xml:space="preserve">EXPL</t>
  </si>
  <si>
    <t xml:space="preserve">who</t>
  </si>
  <si>
    <t xml:space="preserve">synagogue</t>
  </si>
  <si>
    <t xml:space="preserve">Synagogue</t>
  </si>
  <si>
    <t xml:space="preserve">called</t>
  </si>
  <si>
    <t xml:space="preserve"># text = "The Libertines," and of the Cyrenians, of the Alexandrians, and of those of Cilicia and Asia arose, disputing with Stephen.</t>
  </si>
  <si>
    <t xml:space="preserve">Libertines</t>
  </si>
  <si>
    <t xml:space="preserve">Cyrenians</t>
  </si>
  <si>
    <t xml:space="preserve">Alexandrians</t>
  </si>
  <si>
    <t xml:space="preserve">Cilicia</t>
  </si>
  <si>
    <t xml:space="preserve">Asia</t>
  </si>
  <si>
    <t xml:space="preserve">disputing</t>
  </si>
  <si>
    <t xml:space="preserve">with</t>
  </si>
  <si>
    <t xml:space="preserve"># text = They weren't able to withstand the wisdom and the Spirit by which he spoke.</t>
  </si>
  <si>
    <t xml:space="preserve">n't</t>
  </si>
  <si>
    <t xml:space="preserve">able</t>
  </si>
  <si>
    <t xml:space="preserve">withstand</t>
  </si>
  <si>
    <t xml:space="preserve">by</t>
  </si>
  <si>
    <t xml:space="preserve">which</t>
  </si>
  <si>
    <t xml:space="preserve">he</t>
  </si>
  <si>
    <t xml:space="preserve">spoke</t>
  </si>
  <si>
    <t xml:space="preserve"># text = Then they secretly induced men to say, "We have heard him speak blasphemous words against Moses and God."</t>
  </si>
  <si>
    <t xml:space="preserve">Then</t>
  </si>
  <si>
    <t xml:space="preserve">secretly</t>
  </si>
  <si>
    <t xml:space="preserve">induced</t>
  </si>
  <si>
    <t xml:space="preserve">say</t>
  </si>
  <si>
    <t xml:space="preserve">We</t>
  </si>
  <si>
    <t xml:space="preserve">have</t>
  </si>
  <si>
    <t xml:space="preserve">heard</t>
  </si>
  <si>
    <t xml:space="preserve">him</t>
  </si>
  <si>
    <t xml:space="preserve">speak</t>
  </si>
  <si>
    <t xml:space="preserve">blasphemous</t>
  </si>
  <si>
    <t xml:space="preserve">Moses</t>
  </si>
  <si>
    <t xml:space="preserve"># text = They stirred up the people, the elders, and the scribes, and came against him and seized him, and brought him in to the council, and set up false witnesses who said, "This man never stops speaking blasphemous words against this holy place and the law.</t>
  </si>
  <si>
    <t xml:space="preserve">stirred</t>
  </si>
  <si>
    <t xml:space="preserve">up</t>
  </si>
  <si>
    <t xml:space="preserve">elders</t>
  </si>
  <si>
    <t xml:space="preserve">scribes</t>
  </si>
  <si>
    <t xml:space="preserve">came</t>
  </si>
  <si>
    <t xml:space="preserve">seized</t>
  </si>
  <si>
    <t xml:space="preserve">brought</t>
  </si>
  <si>
    <t xml:space="preserve">council</t>
  </si>
  <si>
    <t xml:space="preserve">false</t>
  </si>
  <si>
    <t xml:space="preserve">witnesses</t>
  </si>
  <si>
    <t xml:space="preserve">This</t>
  </si>
  <si>
    <t xml:space="preserve">never</t>
  </si>
  <si>
    <t xml:space="preserve">stops</t>
  </si>
  <si>
    <t xml:space="preserve">speaking</t>
  </si>
  <si>
    <t xml:space="preserve">OBJ_5</t>
  </si>
  <si>
    <t xml:space="preserve">holy</t>
  </si>
  <si>
    <t xml:space="preserve">place</t>
  </si>
  <si>
    <t xml:space="preserve">law</t>
  </si>
  <si>
    <t xml:space="preserve"># text = For we have heard him say that this Jesus of Nazareth will destroy this place, and will change the customs which Moses delivered to us."</t>
  </si>
  <si>
    <t xml:space="preserve">For</t>
  </si>
  <si>
    <t xml:space="preserve">that</t>
  </si>
  <si>
    <t xml:space="preserve">Jesus</t>
  </si>
  <si>
    <t xml:space="preserve">Nazareth</t>
  </si>
  <si>
    <t xml:space="preserve">destroy</t>
  </si>
  <si>
    <t xml:space="preserve">change</t>
  </si>
  <si>
    <t xml:space="preserve">customs</t>
  </si>
  <si>
    <t xml:space="preserve">delivered</t>
  </si>
  <si>
    <t xml:space="preserve"># text = All who sat in the council, fastening their eyes on him, saw his face like it was the face of an angel.</t>
  </si>
  <si>
    <t xml:space="preserve">All</t>
  </si>
  <si>
    <t xml:space="preserve">sat</t>
  </si>
  <si>
    <t xml:space="preserve">fastening</t>
  </si>
  <si>
    <t xml:space="preserve">eyes</t>
  </si>
  <si>
    <t xml:space="preserve">saw</t>
  </si>
  <si>
    <t xml:space="preserve">his</t>
  </si>
  <si>
    <t xml:space="preserve">face</t>
  </si>
  <si>
    <t xml:space="preserve">like</t>
  </si>
  <si>
    <t xml:space="preserve">it</t>
  </si>
  <si>
    <t xml:space="preserve">an</t>
  </si>
  <si>
    <t xml:space="preserve">angel</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</si>
</sst>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2" borderId="0" xfId="0" applyFont="false" applyBorder="false" applyAlignment="true" applyProtection="true">
      <alignment horizontal="center" vertical="bottom" textRotation="0" wrapText="fals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4" borderId="0" xfId="0" applyFont="false" applyBorder="false" applyAlignment="true" applyProtection="true">
      <alignment horizontal="center" vertical="bottom" textRotation="0" wrapText="false" indent="0" shrinkToFit="false"/>
      <protection locked="false" hidden="false"/>
    </xf>
    <xf numFmtId="164" fontId="0" fillId="5"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true">
      <alignment horizontal="left" vertical="bottom" textRotation="0" wrapText="tru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15</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16</v>
      </c>
      <c r="B6" s="0" t="s">
        <v>17</v>
      </c>
      <c r="C6" s="0" t="s">
        <v>18</v>
      </c>
      <c r="D6" s="0" t="s">
        <v>19</v>
      </c>
      <c r="E6" s="10" t="s">
        <v>20</v>
      </c>
      <c r="F6" s="11" t="str">
        <f aca="false">IF(OR(E6="",E6="!!!"),"",IF(NOT(ISNA(VLOOKUP(E6,E$1:E5,1,FALSE()))),"OLD",IF(AND(E6&lt;&gt;"",E6&lt;&gt;"!!!"),"NEW","")))</f>
        <v>NEW</v>
      </c>
      <c r="G6" s="12" t="s">
        <v>21</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22</v>
      </c>
      <c r="E7" s="10" t="str">
        <f aca="false">IF(#REF!="?OLD","!!!","")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23</v>
      </c>
      <c r="E8" s="10" t="str">
        <f aca="false">IF(#REF!="?OLD","!!!","")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24</v>
      </c>
      <c r="E9" s="10" t="str">
        <f aca="false">IF(#REF!="?OLD","!!!","")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25</v>
      </c>
      <c r="B10" s="0" t="s">
        <v>26</v>
      </c>
      <c r="C10" s="0" t="s">
        <v>27</v>
      </c>
      <c r="D10" s="0" t="s">
        <v>19</v>
      </c>
      <c r="E10" s="10" t="s">
        <v>28</v>
      </c>
      <c r="F10" s="11" t="str">
        <f aca="false">IF(OR(E10="",E10="!!!"),"",IF(NOT(ISNA(VLOOKUP(E10,E$1:E9,1,FALSE()))),"OLD",IF(AND(E10&lt;&gt;"",E10&lt;&gt;"!!!"),"NEW","")))</f>
        <v>NEW</v>
      </c>
      <c r="G10" s="12" t="s">
        <v>29</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30</v>
      </c>
      <c r="E11" s="10" t="str">
        <f aca="false">IF(#REF!="?OLD","!!!","")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24</v>
      </c>
      <c r="E12" s="10" t="str">
        <f aca="false">IF(#REF!="?OLD","!!!","")</f>
        <v/>
      </c>
      <c r="F12" s="11" t="str">
        <f aca="false">IF(OR(E12="",E12="!!!"),"",IF(NOT(ISNA(VLOOKUP(E12,E$1:E11,1,FALSE()))),"OLD",IF(AND(E12&lt;&gt;"",E12&lt;&gt;"!!!"),"NEW","")))</f>
        <v/>
      </c>
      <c r="G12" s="12" t="str">
        <f aca="false">IF(OR(E12="",E12="!!!"),"",IF(OR(J12=0,AND(J12=1,K12=1),AND(J12=1,I12="SBJ"),AND(J12=1,I12=0)),"?IN_FOCUS",IF(J12&lt;=2,"?ACTIVATED",IF(J12&lt;&gt;"","?FAMILIAR",IF(F12="NEW",IF(ISNA(VLOOKUP(E12,#REF!,1,FALSE())),"?TYPE_IDENTIFIABLE","?REFERENTIAL"),"_")))))</f>
        <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row>
    <row r="13" customFormat="false" ht="12.75" hidden="false" customHeight="false" outlineLevel="0" collapsed="false">
      <c r="A13" s="9" t="s">
        <v>31</v>
      </c>
      <c r="B13" s="0" t="s">
        <v>32</v>
      </c>
      <c r="C13" s="0" t="s">
        <v>27</v>
      </c>
      <c r="D13" s="0" t="s">
        <v>19</v>
      </c>
      <c r="E13" s="10" t="s">
        <v>33</v>
      </c>
      <c r="F13" s="11" t="str">
        <f aca="false">IF(OR(E13="",E13="!!!"),"",IF(NOT(ISNA(VLOOKUP(E13,E$1:E12,1,FALSE()))),"OLD",IF(AND(E13&lt;&gt;"",E13&lt;&gt;"!!!"),"NEW","")))</f>
        <v>NEW</v>
      </c>
      <c r="G13" s="12" t="s">
        <v>21</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34</v>
      </c>
      <c r="E14" s="10" t="str">
        <f aca="false">IF(#REF!="?OLD","!!!","")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35</v>
      </c>
      <c r="E15" s="10" t="str">
        <f aca="false">IF(#REF!="?OLD","!!!","")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22</v>
      </c>
      <c r="E16" s="10" t="str">
        <f aca="false">IF(#REF!="?OLD","!!!","")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36</v>
      </c>
      <c r="E17" s="10" t="str">
        <f aca="false">IF(#REF!="?OLD","!!!","")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37</v>
      </c>
      <c r="B18" s="0" t="s">
        <v>38</v>
      </c>
      <c r="C18" s="0" t="s">
        <v>39</v>
      </c>
      <c r="E18" s="10" t="str">
        <f aca="false">IF(#REF!="?OLD","!!!","")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40</v>
      </c>
      <c r="E19" s="10" t="str">
        <f aca="false">IF(#REF!="?OLD","!!!","")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41</v>
      </c>
      <c r="E20" s="10" t="str">
        <f aca="false">IF(#REF!="?OLD","!!!","")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24</v>
      </c>
      <c r="E21" s="10" t="str">
        <f aca="false">IF(#REF!="?OLD","!!!","")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A22" s="9" t="s">
        <v>42</v>
      </c>
      <c r="B22" s="0" t="s">
        <v>17</v>
      </c>
      <c r="C22" s="0" t="s">
        <v>43</v>
      </c>
      <c r="D22" s="0" t="s">
        <v>19</v>
      </c>
      <c r="E22" s="10" t="s">
        <v>42</v>
      </c>
      <c r="F22" s="11" t="str">
        <f aca="false">IF(OR(E22="",E22="!!!"),"",IF(NOT(ISNA(VLOOKUP(E22,E$1:E21,1,FALSE()))),"OLD",IF(AND(E22&lt;&gt;"",E22&lt;&gt;"!!!"),"NEW","")))</f>
        <v>NEW</v>
      </c>
      <c r="G22" s="12" t="s">
        <v>29</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44</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24</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45</v>
      </c>
      <c r="B25" s="0" t="s">
        <v>17</v>
      </c>
      <c r="C25" s="0" t="s">
        <v>27</v>
      </c>
      <c r="D25" s="0" t="s">
        <v>19</v>
      </c>
      <c r="E25" s="10" t="s">
        <v>45</v>
      </c>
      <c r="F25" s="11" t="str">
        <f aca="false">IF(OR(E25="",E25="!!!"),"",IF(NOT(ISNA(VLOOKUP(E25,E$1:E24,1,FALSE()))),"OLD",IF(AND(E25&lt;&gt;"",E25&lt;&gt;"!!!"),"NEW","")))</f>
        <v>NEW</v>
      </c>
      <c r="G25" s="12" t="s">
        <v>29</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22</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46</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47</v>
      </c>
      <c r="B28" s="0" t="s">
        <v>32</v>
      </c>
      <c r="C28" s="0" t="s">
        <v>48</v>
      </c>
      <c r="D28" s="0" t="s">
        <v>19</v>
      </c>
      <c r="E28" s="10" t="s">
        <v>42</v>
      </c>
      <c r="F28" s="11" t="str">
        <f aca="false">IF(OR(E28="",E28="!!!"),"",IF(NOT(ISNA(VLOOKUP(E28,E$1:E27,1,FALSE()))),"OLD",IF(AND(E28&lt;&gt;"",E28&lt;&gt;"!!!"),"NEW","")))</f>
        <v>OLD</v>
      </c>
      <c r="G28" s="12" t="s">
        <v>49</v>
      </c>
      <c r="H28" s="13" t="str">
        <f aca="false">IF(J28&lt;&gt;1,"",IF(I28="SBJ","CB","?"))</f>
        <v/>
      </c>
      <c r="I28" s="14" t="str">
        <f aca="false">IF(OR(E28="",E28="!!!",F28="NEW"),"",INDEX(B$2:B27,-1+SUMPRODUCT(MAX(ROW(E$2:E27)*(E28=E$2:E27)))))</f>
        <v>other</v>
      </c>
      <c r="J28" s="15" t="n">
        <f aca="true">IF(OR(E28="",E28="!!!",F28="NEW"),"",COUNTBLANK(OFFSET(A$1,,,SUMPRODUCT(MAX(ROW(E$2:E28)*(E28=E$2:E28)))))-COUNTBLANK(OFFSET(A$1,,,SUMPRODUCT(MAX(ROW(E$1:E27)*(E28=E$1:E27))))))</f>
        <v>0</v>
      </c>
      <c r="K28" s="15" t="str">
        <f aca="false">IF(OR(E28="",E28="!!!",F28="NEW"),"",INDEX(J$1:J27,SUMPRODUCT(MAX(ROW(E$1:E27)*(E28=E$1:E27)))))</f>
        <v/>
      </c>
      <c r="L28" s="16"/>
    </row>
    <row r="29" customFormat="false" ht="12.75" hidden="false" customHeight="false" outlineLevel="0" collapsed="false">
      <c r="A29" s="9" t="s">
        <v>50</v>
      </c>
      <c r="B29" s="0" t="s">
        <v>26</v>
      </c>
      <c r="C29" s="0" t="s">
        <v>51</v>
      </c>
      <c r="D29" s="0" t="s">
        <v>19</v>
      </c>
      <c r="E29" s="10" t="s">
        <v>52</v>
      </c>
      <c r="F29" s="11" t="str">
        <f aca="false">IF(OR(E29="",E29="!!!"),"",IF(NOT(ISNA(VLOOKUP(E29,E$1:E28,1,FALSE()))),"OLD",IF(AND(E29&lt;&gt;"",E29&lt;&gt;"!!!"),"NEW","")))</f>
        <v>NEW</v>
      </c>
      <c r="G29" s="12" t="s">
        <v>29</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53</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54</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14</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24</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55</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9" t="s">
        <v>56</v>
      </c>
      <c r="B35" s="0" t="s">
        <v>57</v>
      </c>
      <c r="C35" s="0" t="s">
        <v>27</v>
      </c>
      <c r="D35" s="0" t="s">
        <v>19</v>
      </c>
      <c r="E35" s="10" t="s">
        <v>58</v>
      </c>
      <c r="F35" s="11" t="str">
        <f aca="false">IF(OR(E35="",E35="!!!"),"",IF(NOT(ISNA(VLOOKUP(E35,E$1:E34,1,FALSE()))),"OLD",IF(AND(E35&lt;&gt;"",E35&lt;&gt;"!!!"),"NEW","")))</f>
        <v>NEW</v>
      </c>
      <c r="G35" s="12" t="s">
        <v>29</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59</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60</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61</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62</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63</v>
      </c>
      <c r="B41" s="0" t="s">
        <v>38</v>
      </c>
      <c r="C41" s="0" t="s">
        <v>27</v>
      </c>
      <c r="D41" s="0" t="s">
        <v>19</v>
      </c>
      <c r="E41" s="10" t="s">
        <v>64</v>
      </c>
      <c r="F41" s="11" t="str">
        <f aca="false">IF(OR(E41="",E41="!!!"),"",IF(NOT(ISNA(VLOOKUP(E41,E$1:E40,1,FALSE()))),"OLD",IF(AND(E41&lt;&gt;"",E41&lt;&gt;"!!!"),"NEW","")))</f>
        <v>NEW</v>
      </c>
      <c r="G41" s="12" t="s">
        <v>65</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75" hidden="false" customHeight="false" outlineLevel="0" collapsed="false">
      <c r="A42" s="9" t="s">
        <v>66</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24</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67</v>
      </c>
      <c r="B44" s="0" t="s">
        <v>68</v>
      </c>
      <c r="C44" s="0" t="s">
        <v>27</v>
      </c>
      <c r="D44" s="0" t="s">
        <v>19</v>
      </c>
      <c r="E44" s="10" t="s">
        <v>69</v>
      </c>
      <c r="F44" s="11" t="str">
        <f aca="false">IF(OR(E44="",E44="!!!"),"",IF(NOT(ISNA(VLOOKUP(E44,E$1:E43,1,FALSE()))),"OLD",IF(AND(E44&lt;&gt;"",E44&lt;&gt;"!!!"),"NEW","")))</f>
        <v>NEW</v>
      </c>
      <c r="G44" s="12" t="s">
        <v>29</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9" t="s">
        <v>30</v>
      </c>
      <c r="E45" s="10" t="str">
        <f aca="false">IF(D45="?OLD","!!!","")</f>
        <v/>
      </c>
      <c r="F45" s="11" t="str">
        <f aca="false">IF(OR(E45="",E45="!!!"),"",IF(NOT(ISNA(VLOOKUP(E45,E$1:E44,1,FALSE()))),"OLD",IF(AND(E45&lt;&gt;"",E45&lt;&gt;"!!!"),"NEW","")))</f>
        <v/>
      </c>
      <c r="G45" s="12" t="str">
        <f aca="false">IF(OR(E45="",E45="!!!"),"",IF(OR(J45=0,AND(J45=1,K45=1),AND(J45=1,I45="SBJ"),AND(J45=1,I45=0)),"?IN_FOCUS",IF(J45&lt;=2,"?ACTIVATED",IF(J45&lt;&gt;"","?FAMILIAR",IF(F45="NEW",IF(ISNA(VLOOKUP(E45,#REF!,1,FALSE())),"?TYPE_IDENTIFIABLE","?REFERENTIAL"),"_")))))</f>
        <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24</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31</v>
      </c>
      <c r="B47" s="0" t="s">
        <v>57</v>
      </c>
      <c r="C47" s="0" t="s">
        <v>27</v>
      </c>
      <c r="D47" s="0" t="s">
        <v>19</v>
      </c>
      <c r="E47" s="10" t="s">
        <v>33</v>
      </c>
      <c r="F47" s="11" t="str">
        <f aca="false">IF(OR(E47="",E47="!!!"),"",IF(NOT(ISNA(VLOOKUP(E47,E$1:E46,1,FALSE()))),"OLD",IF(AND(E47&lt;&gt;"",E47&lt;&gt;"!!!"),"NEW","")))</f>
        <v>OLD</v>
      </c>
      <c r="G47" s="12" t="s">
        <v>65</v>
      </c>
      <c r="H47" s="13" t="s">
        <v>7</v>
      </c>
      <c r="I47" s="14" t="str">
        <f aca="false">IF(OR(E47="",E47="!!!",F47="NEW"),"",INDEX(B$2:B46,-1+SUMPRODUCT(MAX(ROW(E$2:E46)*(E47=E$2:E46)))))</f>
        <v>other_3</v>
      </c>
      <c r="J47" s="15" t="n">
        <f aca="true">IF(OR(E47="",E47="!!!",F47="NEW"),"",COUNTBLANK(OFFSET(A$1,,,SUMPRODUCT(MAX(ROW(E$2:E47)*(E47=E$2:E47)))))-COUNTBLANK(OFFSET(A$1,,,SUMPRODUCT(MAX(ROW(E$1:E46)*(E47=E$1:E46))))))</f>
        <v>1</v>
      </c>
      <c r="K47" s="15" t="str">
        <f aca="false">IF(OR(E47="",E47="!!!",F47="NEW"),"",INDEX(J$1:J46,SUMPRODUCT(MAX(ROW(E$1:E46)*(E47=E$1:E46)))))</f>
        <v/>
      </c>
      <c r="L47" s="16"/>
    </row>
    <row r="48" customFormat="false" ht="12.75" hidden="false" customHeight="false" outlineLevel="0" collapsed="false">
      <c r="A48" s="9" t="s">
        <v>70</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9" t="s">
        <v>71</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22</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A51" s="9" t="s">
        <v>72</v>
      </c>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73</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74</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75</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76</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77</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78</v>
      </c>
      <c r="B57" s="0" t="s">
        <v>79</v>
      </c>
      <c r="C57" s="0" t="s">
        <v>80</v>
      </c>
      <c r="D57" s="0" t="s">
        <v>19</v>
      </c>
      <c r="E57" s="10" t="s">
        <v>64</v>
      </c>
      <c r="F57" s="11" t="str">
        <f aca="false">IF(OR(E57="",E57="!!!"),"",IF(NOT(ISNA(VLOOKUP(E57,E$1:E56,1,FALSE()))),"OLD",IF(AND(E57&lt;&gt;"",E57&lt;&gt;"!!!"),"NEW","")))</f>
        <v>OLD</v>
      </c>
      <c r="G57" s="12" t="s">
        <v>49</v>
      </c>
      <c r="H57" s="13" t="str">
        <f aca="false">IF(J57&lt;&gt;1,"",IF(I57="SBJ","CB","?"))</f>
        <v/>
      </c>
      <c r="I57" s="14" t="str">
        <f aca="false">IF(OR(E57="",E57="!!!",F57="NEW"),"",INDEX(B$2:B56,-1+SUMPRODUCT(MAX(ROW(E$2:E56)*(E57=E$2:E56)))))</f>
        <v>SBJ</v>
      </c>
      <c r="J57" s="15" t="n">
        <f aca="true">IF(OR(E57="",E57="!!!",F57="NEW"),"",COUNTBLANK(OFFSET(A$1,,,SUMPRODUCT(MAX(ROW(E$2:E57)*(E57=E$2:E57)))))-COUNTBLANK(OFFSET(A$1,,,SUMPRODUCT(MAX(ROW(E$1:E56)*(E57=E$1:E56))))))</f>
        <v>0</v>
      </c>
      <c r="K57" s="15" t="str">
        <f aca="false">IF(OR(E57="",E57="!!!",F57="NEW"),"",INDEX(J$1:J56,SUMPRODUCT(MAX(ROW(E$1:E56)*(E57=E$1:E56)))))</f>
        <v/>
      </c>
      <c r="L57" s="16"/>
    </row>
    <row r="58" customFormat="false" ht="12.75" hidden="false" customHeight="false" outlineLevel="0" collapsed="false">
      <c r="A58" s="9" t="s">
        <v>81</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82</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24</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83</v>
      </c>
      <c r="B61" s="0" t="s">
        <v>84</v>
      </c>
      <c r="C61" s="0" t="s">
        <v>51</v>
      </c>
      <c r="D61" s="0" t="s">
        <v>19</v>
      </c>
      <c r="E61" s="10" t="s">
        <v>85</v>
      </c>
      <c r="F61" s="11" t="str">
        <f aca="false">IF(OR(E61="",E61="!!!"),"",IF(NOT(ISNA(VLOOKUP(E61,E$1:E60,1,FALSE()))),"OLD",IF(AND(E61&lt;&gt;"",E61&lt;&gt;"!!!"),"NEW","")))</f>
        <v>NEW</v>
      </c>
      <c r="G61" s="12" t="s">
        <v>21</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75" hidden="false" customHeight="false" outlineLevel="0" collapsed="false">
      <c r="A62" s="9" t="s">
        <v>30</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86</v>
      </c>
      <c r="B63" s="0" t="s">
        <v>87</v>
      </c>
      <c r="C63" s="0" t="s">
        <v>43</v>
      </c>
      <c r="D63" s="0" t="s">
        <v>19</v>
      </c>
      <c r="E63" s="10" t="s">
        <v>86</v>
      </c>
      <c r="F63" s="11" t="str">
        <f aca="false">IF(OR(E63="",E63="!!!"),"",IF(NOT(ISNA(VLOOKUP(E63,E$1:E62,1,FALSE()))),"OLD",IF(AND(E63&lt;&gt;"",E63&lt;&gt;"!!!"),"NEW","")))</f>
        <v>NEW</v>
      </c>
      <c r="G63" s="12" t="s">
        <v>21</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70</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88</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89</v>
      </c>
      <c r="B66" s="0" t="s">
        <v>90</v>
      </c>
      <c r="C66" s="0" t="s">
        <v>91</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59</v>
      </c>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92</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75" hidden="false" customHeight="false" outlineLevel="0" collapsed="false">
      <c r="A70" s="9" t="s">
        <v>93</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A71" s="9" t="s">
        <v>94</v>
      </c>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41</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95</v>
      </c>
      <c r="E73" s="10" t="str">
        <f aca="false">IF(D73="?OLD","!!!","")</f>
        <v/>
      </c>
      <c r="F73" s="11" t="str">
        <f aca="false">IF(OR(E73="",E73="!!!"),"",IF(NOT(ISNA(VLOOKUP(E73,E$1:E72,1,FALSE()))),"OLD",IF(AND(E73&lt;&gt;"",E73&lt;&gt;"!!!"),"NEW","")))</f>
        <v/>
      </c>
      <c r="G73" s="12" t="str">
        <f aca="false">IF(OR(E73="",E73="!!!"),"",IF(OR(J73=0,AND(J73=1,K73=1),AND(J73=1,I73="SBJ"),AND(J73=1,I73=0)),"?IN_FOCUS",IF(J73&lt;=2,"?ACTIVATED",IF(J73&lt;&gt;"","?FAMILIAR",IF(F73="NEW",IF(ISNA(VLOOKUP(E73,#REF!,1,FALSE())),"?TYPE_IDENTIFIABLE","?REFERENTIAL"),"_")))))</f>
        <v/>
      </c>
      <c r="H73" s="13" t="str">
        <f aca="false">IF(J73&lt;&gt;1,"",IF(I73="SBJ","CB","?"))</f>
        <v/>
      </c>
      <c r="I73" s="14" t="str">
        <f aca="false">IF(OR(E73="",E73="!!!",F73="NEW"),"",INDEX(B$2:B72,-1+SUMPRODUCT(MAX(ROW(E$2:E72)*(E73=E$2:E72)))))</f>
        <v/>
      </c>
      <c r="J73" s="15" t="str">
        <f aca="true">IF(OR(E73="",E73="!!!",F73="NEW"),"",COUNTBLANK(OFFSET(A$1,,,SUMPRODUCT(MAX(ROW(E$2:E73)*(E73=E$2:E73)))))-COUNTBLANK(OFFSET(A$1,,,SUMPRODUCT(MAX(ROW(E$1:E72)*(E73=E$1:E72))))))</f>
        <v/>
      </c>
      <c r="K73" s="15" t="str">
        <f aca="false">IF(OR(E73="",E73="!!!",F73="NEW"),"",INDEX(J$1:J72,SUMPRODUCT(MAX(ROW(E$1:E72)*(E73=E$1:E72)))))</f>
        <v/>
      </c>
      <c r="L73" s="16"/>
    </row>
    <row r="74" customFormat="false" ht="12.75" hidden="false" customHeight="false" outlineLevel="0" collapsed="false">
      <c r="A74" s="9" t="s">
        <v>96</v>
      </c>
      <c r="B74" s="0" t="s">
        <v>17</v>
      </c>
      <c r="C74" s="0" t="s">
        <v>80</v>
      </c>
      <c r="D74" s="0" t="s">
        <v>19</v>
      </c>
      <c r="E74" s="10" t="s">
        <v>33</v>
      </c>
      <c r="F74" s="11" t="str">
        <f aca="false">IF(OR(E74="",E74="!!!"),"",IF(NOT(ISNA(VLOOKUP(E74,E$1:E73,1,FALSE()))),"OLD",IF(AND(E74&lt;&gt;"",E74&lt;&gt;"!!!"),"NEW","")))</f>
        <v>OLD</v>
      </c>
      <c r="G74" s="12" t="s">
        <v>49</v>
      </c>
      <c r="H74" s="13" t="s">
        <v>7</v>
      </c>
      <c r="I74" s="14" t="str">
        <f aca="false">IF(OR(E74="",E74="!!!",F74="NEW"),"",INDEX(B$2:B73,-1+SUMPRODUCT(MAX(ROW(E$2:E73)*(E74=E$2:E73)))))</f>
        <v>other_2</v>
      </c>
      <c r="J74" s="15" t="n">
        <f aca="true">IF(OR(E74="",E74="!!!",F74="NEW"),"",COUNTBLANK(OFFSET(A$1,,,SUMPRODUCT(MAX(ROW(E$2:E74)*(E74=E$2:E74)))))-COUNTBLANK(OFFSET(A$1,,,SUMPRODUCT(MAX(ROW(E$1:E73)*(E74=E$1:E73))))))</f>
        <v>1</v>
      </c>
      <c r="K74" s="15" t="n">
        <f aca="false">IF(OR(E74="",E74="!!!",F74="NEW"),"",INDEX(J$1:J73,SUMPRODUCT(MAX(ROW(E$1:E73)*(E74=E$1:E73)))))</f>
        <v>1</v>
      </c>
      <c r="L74" s="16"/>
    </row>
    <row r="75" customFormat="false" ht="12.75" hidden="false" customHeight="false" outlineLevel="0" collapsed="false">
      <c r="A75" s="9" t="s">
        <v>22</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97</v>
      </c>
      <c r="B76" s="0" t="s">
        <v>57</v>
      </c>
      <c r="C76" s="0" t="s">
        <v>91</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22</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98</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99</v>
      </c>
      <c r="B79" s="0" t="s">
        <v>68</v>
      </c>
      <c r="C79" s="0" t="s">
        <v>100</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30</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101</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102</v>
      </c>
      <c r="B82" s="0" t="s">
        <v>57</v>
      </c>
      <c r="C82" s="0" t="s">
        <v>91</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22</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9" t="s">
        <v>103</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30</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24</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104</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105</v>
      </c>
      <c r="B88" s="0" t="s">
        <v>57</v>
      </c>
      <c r="C88" s="0" t="s">
        <v>43</v>
      </c>
      <c r="D88" s="0" t="s">
        <v>19</v>
      </c>
      <c r="E88" s="10" t="s">
        <v>106</v>
      </c>
      <c r="F88" s="11" t="str">
        <f aca="false">IF(OR(E88="",E88="!!!"),"",IF(NOT(ISNA(VLOOKUP(E88,E$1:E87,1,FALSE()))),"OLD",IF(AND(E88&lt;&gt;"",E88&lt;&gt;"!!!"),"NEW","")))</f>
        <v>NEW</v>
      </c>
      <c r="G88" s="12" t="s">
        <v>21</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70</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30</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107</v>
      </c>
      <c r="B91" s="0" t="s">
        <v>32</v>
      </c>
      <c r="C91" s="0" t="s">
        <v>91</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9" t="s">
        <v>22</v>
      </c>
      <c r="E92" s="10" t="str">
        <f aca="false">IF(D92="?OLD","!!!","")</f>
        <v/>
      </c>
      <c r="F92" s="11" t="str">
        <f aca="false">IF(OR(E92="",E92="!!!"),"",IF(NOT(ISNA(VLOOKUP(E92,E$1:E91,1,FALSE()))),"OLD",IF(AND(E92&lt;&gt;"",E92&lt;&gt;"!!!"),"NEW","")))</f>
        <v/>
      </c>
      <c r="G92" s="12" t="str">
        <f aca="false">IF(OR(E92="",E92="!!!"),"",IF(OR(J92=0,AND(J92=1,K92=1),AND(J92=1,I92="SBJ"),AND(J92=1,I92=0)),"?IN_FOCUS",IF(J92&lt;=2,"?ACTIVATED",IF(J92&lt;&gt;"","?FAMILIAR",IF(F92="NEW",IF(ISNA(VLOOKUP(E92,#REF!,1,FALSE())),"?TYPE_IDENTIFIABLE","?REFERENTIAL"),"_")))))</f>
        <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75" hidden="false" customHeight="false" outlineLevel="0" collapsed="false">
      <c r="A93" s="9" t="s">
        <v>108</v>
      </c>
      <c r="B93" s="0" t="s">
        <v>90</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9" t="s">
        <v>109</v>
      </c>
      <c r="B94" s="0" t="s">
        <v>110</v>
      </c>
      <c r="C94" s="0" t="s">
        <v>80</v>
      </c>
      <c r="D94" s="0" t="s">
        <v>19</v>
      </c>
      <c r="E94" s="10" t="s">
        <v>64</v>
      </c>
      <c r="F94" s="11" t="str">
        <f aca="false">IF(OR(E94="",E94="!!!"),"",IF(NOT(ISNA(VLOOKUP(E94,E$1:E93,1,FALSE()))),"OLD",IF(AND(E94&lt;&gt;"",E94&lt;&gt;"!!!"),"NEW","")))</f>
        <v>OLD</v>
      </c>
      <c r="G94" s="12" t="s">
        <v>49</v>
      </c>
      <c r="H94" s="13"/>
      <c r="I94" s="14" t="str">
        <f aca="false">IF(OR(E94="",E94="!!!",F94="NEW"),"",INDEX(B$2:B93,-1+SUMPRODUCT(MAX(ROW(E$2:E93)*(E94=E$2:E93)))))</f>
        <v>SBJ_3</v>
      </c>
      <c r="J94" s="15" t="n">
        <f aca="true">IF(OR(E94="",E94="!!!",F94="NEW"),"",COUNTBLANK(OFFSET(A$1,,,SUMPRODUCT(MAX(ROW(E$2:E94)*(E94=E$2:E94)))))-COUNTBLANK(OFFSET(A$1,,,SUMPRODUCT(MAX(ROW(E$1:E93)*(E94=E$1:E93))))))</f>
        <v>1</v>
      </c>
      <c r="K94" s="15" t="n">
        <f aca="false">IF(OR(E94="",E94="!!!",F94="NEW"),"",INDEX(J$1:J93,SUMPRODUCT(MAX(ROW(E$1:E93)*(E94=E$1:E93)))))</f>
        <v>0</v>
      </c>
      <c r="L94" s="16"/>
    </row>
    <row r="95" customFormat="false" ht="12.75" hidden="false" customHeight="false" outlineLevel="0" collapsed="false">
      <c r="A95" s="9" t="s">
        <v>111</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112</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113</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9" t="s">
        <v>114</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115</v>
      </c>
      <c r="B99" s="0" t="s">
        <v>87</v>
      </c>
      <c r="C99" s="0" t="s">
        <v>18</v>
      </c>
      <c r="D99" s="0" t="s">
        <v>19</v>
      </c>
      <c r="E99" s="10" t="s">
        <v>116</v>
      </c>
      <c r="F99" s="11" t="str">
        <f aca="false">IF(OR(E99="",E99="!!!"),"",IF(NOT(ISNA(VLOOKUP(E99,E$1:E98,1,FALSE()))),"OLD",IF(AND(E99&lt;&gt;"",E99&lt;&gt;"!!!"),"NEW","")))</f>
        <v>NEW</v>
      </c>
      <c r="G99" s="12" t="s">
        <v>29</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A100" s="9" t="s">
        <v>59</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60</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117</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118</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109</v>
      </c>
      <c r="B105" s="0" t="s">
        <v>38</v>
      </c>
      <c r="C105" s="0" t="s">
        <v>80</v>
      </c>
      <c r="D105" s="0" t="s">
        <v>19</v>
      </c>
      <c r="E105" s="10" t="s">
        <v>64</v>
      </c>
      <c r="F105" s="11" t="str">
        <f aca="false">IF(OR(E105="",E105="!!!"),"",IF(NOT(ISNA(VLOOKUP(E105,E$1:E104,1,FALSE()))),"OLD",IF(AND(E105&lt;&gt;"",E105&lt;&gt;"!!!"),"NEW","")))</f>
        <v>OLD</v>
      </c>
      <c r="G105" s="12" t="s">
        <v>49</v>
      </c>
      <c r="H105" s="13" t="s">
        <v>7</v>
      </c>
      <c r="I105" s="14" t="str">
        <f aca="false">IF(OR(E105="",E105="!!!",F105="NEW"),"",INDEX(B$2:B104,-1+SUMPRODUCT(MAX(ROW(E$2:E104)*(E105=E$2:E104)))))</f>
        <v>SBJ_4</v>
      </c>
      <c r="J105" s="15" t="n">
        <f aca="true">IF(OR(E105="",E105="!!!",F105="NEW"),"",COUNTBLANK(OFFSET(A$1,,,SUMPRODUCT(MAX(ROW(E$2:E105)*(E105=E$2:E105)))))-COUNTBLANK(OFFSET(A$1,,,SUMPRODUCT(MAX(ROW(E$1:E104)*(E105=E$1:E104))))))</f>
        <v>1</v>
      </c>
      <c r="K105" s="15" t="n">
        <f aca="false">IF(OR(E105="",E105="!!!",F105="NEW"),"",INDEX(J$1:J104,SUMPRODUCT(MAX(ROW(E$1:E104)*(E105=E$1:E104)))))</f>
        <v>1</v>
      </c>
      <c r="L105" s="16"/>
    </row>
    <row r="106" customFormat="false" ht="12.75" hidden="false" customHeight="false" outlineLevel="0" collapsed="false">
      <c r="A106" s="9" t="s">
        <v>119</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120</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121</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14</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122</v>
      </c>
      <c r="B110" s="0" t="s">
        <v>17</v>
      </c>
      <c r="C110" s="0" t="s">
        <v>91</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70</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9" t="s">
        <v>14</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24</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123</v>
      </c>
      <c r="B114" s="0" t="s">
        <v>17</v>
      </c>
      <c r="C114" s="0" t="s">
        <v>27</v>
      </c>
      <c r="D114" s="0" t="s">
        <v>19</v>
      </c>
      <c r="E114" s="10" t="s">
        <v>124</v>
      </c>
      <c r="F114" s="11" t="str">
        <f aca="false">IF(OR(E114="",E114="!!!"),"",IF(NOT(ISNA(VLOOKUP(E114,E$1:E113,1,FALSE()))),"OLD",IF(AND(E114&lt;&gt;"",E114&lt;&gt;"!!!"),"NEW","")))</f>
        <v>NEW</v>
      </c>
      <c r="G114" s="12" t="s">
        <v>21</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30</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24</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83</v>
      </c>
      <c r="B117" s="0" t="s">
        <v>57</v>
      </c>
      <c r="C117" s="0" t="s">
        <v>27</v>
      </c>
      <c r="D117" s="0" t="s">
        <v>19</v>
      </c>
      <c r="E117" s="10" t="s">
        <v>85</v>
      </c>
      <c r="F117" s="11" t="str">
        <f aca="false">IF(OR(E117="",E117="!!!"),"",IF(NOT(ISNA(VLOOKUP(E117,E$1:E116,1,FALSE()))),"OLD",IF(AND(E117&lt;&gt;"",E117&lt;&gt;"!!!"),"NEW","")))</f>
        <v>OLD</v>
      </c>
      <c r="G117" s="12" t="s">
        <v>65</v>
      </c>
      <c r="H117" s="13" t="str">
        <f aca="false">IF(J117&lt;&gt;1,"",IF(I117="SBJ","CB","?"))</f>
        <v/>
      </c>
      <c r="I117" s="14" t="str">
        <f aca="false">IF(OR(E117="",E117="!!!",F117="NEW"),"",INDEX(B$2:B116,-1+SUMPRODUCT(MAX(ROW(E$2:E116)*(E117=E$2:E116)))))</f>
        <v>OBJ_3</v>
      </c>
      <c r="J117" s="15" t="n">
        <f aca="true">IF(OR(E117="",E117="!!!",F117="NEW"),"",COUNTBLANK(OFFSET(A$1,,,SUMPRODUCT(MAX(ROW(E$2:E117)*(E117=E$2:E117)))))-COUNTBLANK(OFFSET(A$1,,,SUMPRODUCT(MAX(ROW(E$1:E116)*(E117=E$1:E116))))))</f>
        <v>2</v>
      </c>
      <c r="K117" s="15" t="str">
        <f aca="false">IF(OR(E117="",E117="!!!",F117="NEW"),"",INDEX(J$1:J116,SUMPRODUCT(MAX(ROW(E$1:E116)*(E117=E$1:E116)))))</f>
        <v/>
      </c>
      <c r="L117" s="16"/>
    </row>
    <row r="118" customFormat="false" ht="12.75" hidden="false" customHeight="false" outlineLevel="0" collapsed="false">
      <c r="A118" s="9" t="s">
        <v>59</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75" hidden="false" customHeight="false" outlineLevel="0" collapsed="false">
      <c r="A119" s="9" t="s">
        <v>72</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9" t="s">
        <v>125</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126</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68.65" hidden="false" customHeight="false" outlineLevel="0" collapsed="false">
      <c r="A123" s="9" t="s">
        <v>127</v>
      </c>
      <c r="B123" s="0" t="s">
        <v>38</v>
      </c>
      <c r="C123" s="0" t="s">
        <v>18</v>
      </c>
      <c r="D123" s="0" t="s">
        <v>19</v>
      </c>
      <c r="E123" s="10"/>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t="s">
        <v>128</v>
      </c>
    </row>
    <row r="124" customFormat="false" ht="12.75" hidden="false" customHeight="false" outlineLevel="0" collapsed="false">
      <c r="A124" s="9" t="s">
        <v>129</v>
      </c>
      <c r="E124" s="10" t="str">
        <f aca="false">IF(D124="?OLD","!!!","")</f>
        <v/>
      </c>
      <c r="F124" s="11" t="str">
        <f aca="false">IF(OR(E124="",E124="!!!"),"",IF(NOT(ISNA(VLOOKUP(E124,E$1:E123,1,FALSE()))),"OLD",IF(AND(E124&lt;&gt;"",E124&lt;&gt;"!!!"),"NEW","")))</f>
        <v/>
      </c>
      <c r="G124" s="12" t="str">
        <f aca="false">IF(OR(E124="",E124="!!!"),"",IF(OR(J124=0,AND(J124=1,K124=1),AND(J124=1,I124="SBJ"),AND(J124=1,I124=0)),"?IN_FOCUS",IF(J124&lt;=2,"?ACTIVATED",IF(J124&lt;&gt;"","?FAMILIAR",IF(F124="NEW",IF(ISNA(VLOOKUP(E124,#REF!,1,FALSE())),"?TYPE_IDENTIFIABLE","?REFERENTIAL"),"_")))))</f>
        <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24</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130</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67</v>
      </c>
      <c r="B127" s="0" t="s">
        <v>68</v>
      </c>
      <c r="C127" s="0" t="s">
        <v>27</v>
      </c>
      <c r="D127" s="0" t="s">
        <v>19</v>
      </c>
      <c r="E127" s="10" t="s">
        <v>33</v>
      </c>
      <c r="F127" s="11" t="str">
        <f aca="false">IF(OR(E127="",E127="!!!"),"",IF(NOT(ISNA(VLOOKUP(E127,E$1:E126,1,FALSE()))),"OLD",IF(AND(E127&lt;&gt;"",E127&lt;&gt;"!!!"),"NEW","")))</f>
        <v>OLD</v>
      </c>
      <c r="G127" s="12" t="s">
        <v>21</v>
      </c>
      <c r="H127" s="13" t="str">
        <f aca="false">IF(J127&lt;&gt;1,"",IF(I127="SBJ","CB","?"))</f>
        <v/>
      </c>
      <c r="I127" s="14" t="str">
        <f aca="false">IF(OR(E127="",E127="!!!",F127="NEW"),"",INDEX(B$2:B126,-1+SUMPRODUCT(MAX(ROW(E$2:E126)*(E127=E$2:E126)))))</f>
        <v>other</v>
      </c>
      <c r="J127" s="15" t="n">
        <f aca="true">IF(OR(E127="",E127="!!!",F127="NEW"),"",COUNTBLANK(OFFSET(A$1,,,SUMPRODUCT(MAX(ROW(E$2:E127)*(E127=E$2:E127)))))-COUNTBLANK(OFFSET(A$1,,,SUMPRODUCT(MAX(ROW(E$1:E126)*(E127=E$1:E126))))))</f>
        <v>2</v>
      </c>
      <c r="K127" s="15" t="n">
        <f aca="false">IF(OR(E127="",E127="!!!",F127="NEW"),"",INDEX(J$1:J126,SUMPRODUCT(MAX(ROW(E$1:E126)*(E127=E$1:E126)))))</f>
        <v>1</v>
      </c>
      <c r="L127" s="16"/>
    </row>
    <row r="128" customFormat="false" ht="12.75" hidden="false" customHeight="false" outlineLevel="0" collapsed="false">
      <c r="A128" s="9" t="s">
        <v>59</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E129" s="10" t="str">
        <f aca="false">IF(D129="?OLD","!!!","")</f>
        <v/>
      </c>
      <c r="F129" s="11" t="str">
        <f aca="false">IF(OR(E129="",E129="!!!"),"",IF(NOT(ISNA(VLOOKUP(E129,E$1:E128,1,FALSE()))),"OLD",IF(AND(E129&lt;&gt;"",E129&lt;&gt;"!!!"),"NEW","")))</f>
        <v/>
      </c>
      <c r="G129" s="12" t="str">
        <f aca="false">IF(OR(E129="",E129="!!!"),"",IF(OR(J129=0,AND(J129=1,K129=1),AND(J129=1,I129="SBJ"),AND(J129=1,I129=0)),"?IN_FOCUS",IF(J129&lt;=2,"?ACTIVATED",IF(J129&lt;&gt;"","?FAMILIAR",IF(F129="NEW",IF(ISNA(VLOOKUP(E129,#REF!,1,FALSE())),"?TYPE_IDENTIFIABLE","?REFERENTIAL"),"_")))))</f>
        <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131</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9" t="s">
        <v>132</v>
      </c>
      <c r="B131" s="0" t="s">
        <v>38</v>
      </c>
      <c r="C131" s="0" t="s">
        <v>80</v>
      </c>
      <c r="D131" s="0" t="s">
        <v>19</v>
      </c>
      <c r="E131" s="10" t="s">
        <v>33</v>
      </c>
      <c r="F131" s="11" t="str">
        <f aca="false">IF(OR(E131="",E131="!!!"),"",IF(NOT(ISNA(VLOOKUP(E131,E$1:E130,1,FALSE()))),"OLD",IF(AND(E131&lt;&gt;"",E131&lt;&gt;"!!!"),"NEW","")))</f>
        <v>OLD</v>
      </c>
      <c r="G131" s="12" t="s">
        <v>65</v>
      </c>
      <c r="H131" s="13" t="s">
        <v>7</v>
      </c>
      <c r="I131" s="14" t="str">
        <f aca="false">IF(OR(E131="",E131="!!!",F131="NEW"),"",INDEX(B$2:B130,-1+SUMPRODUCT(MAX(ROW(E$2:E130)*(E131=E$2:E130)))))</f>
        <v>OBJ</v>
      </c>
      <c r="J131" s="15" t="n">
        <f aca="true">IF(OR(E131="",E131="!!!",F131="NEW"),"",COUNTBLANK(OFFSET(A$1,,,SUMPRODUCT(MAX(ROW(E$2:E131)*(E131=E$2:E131)))))-COUNTBLANK(OFFSET(A$1,,,SUMPRODUCT(MAX(ROW(E$1:E130)*(E131=E$1:E130))))))</f>
        <v>1</v>
      </c>
      <c r="K131" s="15" t="n">
        <f aca="false">IF(OR(E131="",E131="!!!",F131="NEW"),"",INDEX(J$1:J130,SUMPRODUCT(MAX(ROW(E$1:E130)*(E131=E$1:E130)))))</f>
        <v>2</v>
      </c>
      <c r="L131" s="16"/>
    </row>
    <row r="132" customFormat="false" ht="12.75" hidden="false" customHeight="false" outlineLevel="0" collapsed="false">
      <c r="A132" s="9" t="s">
        <v>133</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134</v>
      </c>
      <c r="B133" s="0" t="s">
        <v>68</v>
      </c>
      <c r="C133" s="0" t="s">
        <v>43</v>
      </c>
      <c r="D133" s="0" t="s">
        <v>19</v>
      </c>
      <c r="E133" s="10" t="s">
        <v>134</v>
      </c>
      <c r="F133" s="11" t="str">
        <f aca="false">IF(OR(E133="",E133="!!!"),"",IF(NOT(ISNA(VLOOKUP(E133,E$1:E132,1,FALSE()))),"OLD",IF(AND(E133&lt;&gt;"",E133&lt;&gt;"!!!"),"NEW","")))</f>
        <v>NEW</v>
      </c>
      <c r="G133" s="12" t="s">
        <v>29</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22</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36</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135</v>
      </c>
      <c r="B136" s="0" t="s">
        <v>57</v>
      </c>
      <c r="C136" s="0" t="s">
        <v>39</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103</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30</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136</v>
      </c>
      <c r="B139" s="0" t="s">
        <v>87</v>
      </c>
      <c r="C139" s="0" t="s">
        <v>91</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70</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75" hidden="false" customHeight="false" outlineLevel="0" collapsed="false">
      <c r="A141" s="9" t="s">
        <v>30</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24</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104</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75" hidden="false" customHeight="false" outlineLevel="0" collapsed="false">
      <c r="A144" s="9" t="s">
        <v>105</v>
      </c>
      <c r="B144" s="0" t="s">
        <v>137</v>
      </c>
      <c r="C144" s="0" t="s">
        <v>43</v>
      </c>
      <c r="D144" s="0" t="s">
        <v>19</v>
      </c>
      <c r="E144" s="10" t="s">
        <v>106</v>
      </c>
      <c r="F144" s="11" t="str">
        <f aca="false">IF(OR(E144="",E144="!!!"),"",IF(NOT(ISNA(VLOOKUP(E144,E$1:E143,1,FALSE()))),"OLD",IF(AND(E144&lt;&gt;"",E144&lt;&gt;"!!!"),"NEW","")))</f>
        <v>OLD</v>
      </c>
      <c r="G144" s="12" t="s">
        <v>21</v>
      </c>
      <c r="H144" s="13" t="str">
        <f aca="false">IF(J144&lt;&gt;1,"",IF(I144="SBJ","CB","?"))</f>
        <v/>
      </c>
      <c r="I144" s="14" t="str">
        <f aca="false">IF(OR(E144="",E144="!!!",F144="NEW"),"",INDEX(B$2:B143,-1+SUMPRODUCT(MAX(ROW(E$2:E143)*(E144=E$2:E143)))))</f>
        <v>other_2</v>
      </c>
      <c r="J144" s="15" t="n">
        <f aca="true">IF(OR(E144="",E144="!!!",F144="NEW"),"",COUNTBLANK(OFFSET(A$1,,,SUMPRODUCT(MAX(ROW(E$2:E144)*(E144=E$2:E144)))))-COUNTBLANK(OFFSET(A$1,,,SUMPRODUCT(MAX(ROW(E$1:E143)*(E144=E$1:E143))))))</f>
        <v>3</v>
      </c>
      <c r="K144" s="15" t="str">
        <f aca="false">IF(OR(E144="",E144="!!!",F144="NEW"),"",INDEX(J$1:J143,SUMPRODUCT(MAX(ROW(E$1:E143)*(E144=E$1:E143)))))</f>
        <v/>
      </c>
      <c r="L144" s="16"/>
    </row>
    <row r="145" customFormat="false" ht="12.75" hidden="false" customHeight="false" outlineLevel="0" collapsed="false">
      <c r="A145" s="9" t="s">
        <v>22</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138</v>
      </c>
      <c r="B146" s="0" t="s">
        <v>139</v>
      </c>
      <c r="C146" s="0" t="s">
        <v>43</v>
      </c>
      <c r="D146" s="0" t="s">
        <v>19</v>
      </c>
      <c r="E146" s="10" t="s">
        <v>138</v>
      </c>
      <c r="F146" s="11" t="str">
        <f aca="false">IF(OR(E146="",E146="!!!"),"",IF(NOT(ISNA(VLOOKUP(E146,E$1:E145,1,FALSE()))),"OLD",IF(AND(E146&lt;&gt;"",E146&lt;&gt;"!!!"),"NEW","")))</f>
        <v>NEW</v>
      </c>
      <c r="G146" s="12" t="s">
        <v>21</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A147" s="9" t="s">
        <v>22</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140</v>
      </c>
      <c r="B148" s="0" t="s">
        <v>139</v>
      </c>
      <c r="C148" s="0" t="s">
        <v>43</v>
      </c>
      <c r="D148" s="0" t="s">
        <v>19</v>
      </c>
      <c r="E148" s="10" t="s">
        <v>140</v>
      </c>
      <c r="F148" s="11" t="str">
        <f aca="false">IF(OR(E148="",E148="!!!"),"",IF(NOT(ISNA(VLOOKUP(E148,E$1:E147,1,FALSE()))),"OLD",IF(AND(E148&lt;&gt;"",E148&lt;&gt;"!!!"),"NEW","")))</f>
        <v>NEW</v>
      </c>
      <c r="G148" s="12" t="s">
        <v>29</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22</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141</v>
      </c>
      <c r="B150" s="0" t="s">
        <v>139</v>
      </c>
      <c r="C150" s="0" t="s">
        <v>43</v>
      </c>
      <c r="D150" s="0" t="s">
        <v>19</v>
      </c>
      <c r="E150" s="10" t="s">
        <v>141</v>
      </c>
      <c r="F150" s="11" t="str">
        <f aca="false">IF(OR(E150="",E150="!!!"),"",IF(NOT(ISNA(VLOOKUP(E150,E$1:E149,1,FALSE()))),"OLD",IF(AND(E150&lt;&gt;"",E150&lt;&gt;"!!!"),"NEW","")))</f>
        <v>NEW</v>
      </c>
      <c r="G150" s="12" t="s">
        <v>29</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75" hidden="false" customHeight="false" outlineLevel="0" collapsed="false">
      <c r="A151" s="9" t="s">
        <v>22</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142</v>
      </c>
      <c r="B152" s="0" t="s">
        <v>139</v>
      </c>
      <c r="C152" s="0" t="s">
        <v>43</v>
      </c>
      <c r="D152" s="0" t="s">
        <v>19</v>
      </c>
      <c r="E152" s="10" t="s">
        <v>142</v>
      </c>
      <c r="F152" s="11" t="str">
        <f aca="false">IF(OR(E152="",E152="!!!"),"",IF(NOT(ISNA(VLOOKUP(E152,E$1:E151,1,FALSE()))),"OLD",IF(AND(E152&lt;&gt;"",E152&lt;&gt;"!!!"),"NEW","")))</f>
        <v>NEW</v>
      </c>
      <c r="G152" s="12" t="s">
        <v>29</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22</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143</v>
      </c>
      <c r="B154" s="0" t="s">
        <v>139</v>
      </c>
      <c r="C154" s="0" t="s">
        <v>43</v>
      </c>
      <c r="D154" s="0" t="s">
        <v>19</v>
      </c>
      <c r="E154" s="10" t="s">
        <v>143</v>
      </c>
      <c r="F154" s="11" t="str">
        <f aca="false">IF(OR(E154="",E154="!!!"),"",IF(NOT(ISNA(VLOOKUP(E154,E$1:E153,1,FALSE()))),"OLD",IF(AND(E154&lt;&gt;"",E154&lt;&gt;"!!!"),"NEW","")))</f>
        <v>NEW</v>
      </c>
      <c r="G154" s="12" t="s">
        <v>29</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22</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70</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9" t="s">
        <v>144</v>
      </c>
      <c r="B157" s="0" t="s">
        <v>139</v>
      </c>
      <c r="C157" s="0" t="s">
        <v>43</v>
      </c>
      <c r="D157" s="0" t="s">
        <v>19</v>
      </c>
      <c r="E157" s="10" t="s">
        <v>144</v>
      </c>
      <c r="F157" s="11" t="str">
        <f aca="false">IF(OR(E157="",E157="!!!"),"",IF(NOT(ISNA(VLOOKUP(E157,E$1:E156,1,FALSE()))),"OLD",IF(AND(E157&lt;&gt;"",E157&lt;&gt;"!!!"),"NEW","")))</f>
        <v>NEW</v>
      </c>
      <c r="G157" s="12" t="s">
        <v>29</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22</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36</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145</v>
      </c>
      <c r="B160" s="0" t="s">
        <v>87</v>
      </c>
      <c r="C160" s="0" t="s">
        <v>51</v>
      </c>
      <c r="D160" s="0" t="s">
        <v>19</v>
      </c>
      <c r="E160" s="10" t="s">
        <v>146</v>
      </c>
      <c r="F160" s="11" t="str">
        <f aca="false">IF(OR(E160="",E160="!!!"),"",IF(NOT(ISNA(VLOOKUP(E160,E$1:E159,1,FALSE()))),"OLD",IF(AND(E160&lt;&gt;"",E160&lt;&gt;"!!!"),"NEW","")))</f>
        <v>NEW</v>
      </c>
      <c r="G160" s="12" t="s">
        <v>29</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30</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147</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148</v>
      </c>
      <c r="B164" s="0" t="s">
        <v>17</v>
      </c>
      <c r="C164" s="0" t="s">
        <v>43</v>
      </c>
      <c r="D164" s="0" t="s">
        <v>19</v>
      </c>
      <c r="E164" s="10" t="s">
        <v>148</v>
      </c>
      <c r="F164" s="11" t="str">
        <f aca="false">IF(OR(E164="",E164="!!!"),"",IF(NOT(ISNA(VLOOKUP(E164,E$1:E163,1,FALSE()))),"OLD",IF(AND(E164&lt;&gt;"",E164&lt;&gt;"!!!"),"NEW","")))</f>
        <v>NEW</v>
      </c>
      <c r="G164" s="12" t="s">
        <v>29</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149</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108</v>
      </c>
      <c r="B166" s="0" t="s">
        <v>150</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151</v>
      </c>
      <c r="B167" s="0" t="s">
        <v>26</v>
      </c>
      <c r="C167" s="0" t="s">
        <v>80</v>
      </c>
      <c r="D167" s="0" t="s">
        <v>19</v>
      </c>
      <c r="E167" s="10" t="s">
        <v>33</v>
      </c>
      <c r="F167" s="11" t="str">
        <f aca="false">IF(OR(E167="",E167="!!!"),"",IF(NOT(ISNA(VLOOKUP(E167,E$1:E166,1,FALSE()))),"OLD",IF(AND(E167&lt;&gt;"",E167&lt;&gt;"!!!"),"NEW","")))</f>
        <v>OLD</v>
      </c>
      <c r="G167" s="12" t="s">
        <v>49</v>
      </c>
      <c r="H167" s="13" t="str">
        <f aca="false">IF(J167&lt;&gt;1,"",IF(I167="SBJ","CB","?"))</f>
        <v>CB</v>
      </c>
      <c r="I167" s="14" t="str">
        <f aca="false">IF(OR(E167="",E167="!!!",F167="NEW"),"",INDEX(B$2:B166,-1+SUMPRODUCT(MAX(ROW(E$2:E166)*(E167=E$2:E166)))))</f>
        <v>SBJ</v>
      </c>
      <c r="J167" s="15" t="n">
        <f aca="true">IF(OR(E167="",E167="!!!",F167="NEW"),"",COUNTBLANK(OFFSET(A$1,,,SUMPRODUCT(MAX(ROW(E$2:E167)*(E167=E$2:E167)))))-COUNTBLANK(OFFSET(A$1,,,SUMPRODUCT(MAX(ROW(E$1:E166)*(E167=E$1:E166))))))</f>
        <v>1</v>
      </c>
      <c r="K167" s="15" t="n">
        <f aca="false">IF(OR(E167="",E167="!!!",F167="NEW"),"",INDEX(J$1:J166,SUMPRODUCT(MAX(ROW(E$1:E166)*(E167=E$1:E166)))))</f>
        <v>1</v>
      </c>
      <c r="L167" s="16"/>
    </row>
    <row r="168" customFormat="false" ht="12.75" hidden="false" customHeight="false" outlineLevel="0" collapsed="false">
      <c r="A168" s="9" t="s">
        <v>152</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A169" s="9" t="s">
        <v>153</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24</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154</v>
      </c>
      <c r="B171" s="0" t="s">
        <v>57</v>
      </c>
      <c r="C171" s="0" t="s">
        <v>27</v>
      </c>
      <c r="D171" s="0" t="s">
        <v>19</v>
      </c>
      <c r="E171" s="10" t="s">
        <v>64</v>
      </c>
      <c r="F171" s="11" t="str">
        <f aca="false">IF(OR(E171="",E171="!!!"),"",IF(NOT(ISNA(VLOOKUP(E171,E$1:E170,1,FALSE()))),"OLD",IF(AND(E171&lt;&gt;"",E171&lt;&gt;"!!!"),"NEW","")))</f>
        <v>OLD</v>
      </c>
      <c r="G171" s="12" t="s">
        <v>21</v>
      </c>
      <c r="H171" s="13" t="str">
        <f aca="false">IF(J171&lt;&gt;1,"",IF(I171="SBJ","CB","?"))</f>
        <v/>
      </c>
      <c r="I171" s="14" t="str">
        <f aca="false">IF(OR(E171="",E171="!!!",F171="NEW"),"",INDEX(B$2:B170,-1+SUMPRODUCT(MAX(ROW(E$2:E170)*(E171=E$2:E170)))))</f>
        <v>SBJ</v>
      </c>
      <c r="J171" s="15" t="n">
        <f aca="true">IF(OR(E171="",E171="!!!",F171="NEW"),"",COUNTBLANK(OFFSET(A$1,,,SUMPRODUCT(MAX(ROW(E$2:E171)*(E171=E$2:E171)))))-COUNTBLANK(OFFSET(A$1,,,SUMPRODUCT(MAX(ROW(E$1:E170)*(E171=E$1:E170))))))</f>
        <v>3</v>
      </c>
      <c r="K171" s="15" t="n">
        <f aca="false">IF(OR(E171="",E171="!!!",F171="NEW"),"",INDEX(J$1:J170,SUMPRODUCT(MAX(ROW(E$1:E170)*(E171=E$1:E170)))))</f>
        <v>1</v>
      </c>
      <c r="L171" s="16"/>
    </row>
    <row r="172" customFormat="false" ht="12.75" hidden="false" customHeight="false" outlineLevel="0" collapsed="false">
      <c r="A172" s="9" t="s">
        <v>59</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155</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156</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151</v>
      </c>
      <c r="B176" s="0" t="s">
        <v>26</v>
      </c>
      <c r="C176" s="0" t="s">
        <v>80</v>
      </c>
      <c r="D176" s="0" t="s">
        <v>19</v>
      </c>
      <c r="E176" s="10" t="s">
        <v>33</v>
      </c>
      <c r="F176" s="11" t="str">
        <f aca="false">IF(OR(E176="",E176="!!!"),"",IF(NOT(ISNA(VLOOKUP(E176,E$1:E175,1,FALSE()))),"OLD",IF(AND(E176&lt;&gt;"",E176&lt;&gt;"!!!"),"NEW","")))</f>
        <v>OLD</v>
      </c>
      <c r="G176" s="12" t="s">
        <v>49</v>
      </c>
      <c r="H176" s="13"/>
      <c r="I176" s="14" t="str">
        <f aca="false">IF(OR(E176="",E176="!!!",F176="NEW"),"",INDEX(B$2:B175,-1+SUMPRODUCT(MAX(ROW(E$2:E175)*(E176=E$2:E175)))))</f>
        <v>SBJ_2</v>
      </c>
      <c r="J176" s="15" t="n">
        <f aca="true">IF(OR(E176="",E176="!!!",F176="NEW"),"",COUNTBLANK(OFFSET(A$1,,,SUMPRODUCT(MAX(ROW(E$2:E176)*(E176=E$2:E176)))))-COUNTBLANK(OFFSET(A$1,,,SUMPRODUCT(MAX(ROW(E$1:E175)*(E176=E$1:E175))))))</f>
        <v>1</v>
      </c>
      <c r="K176" s="15" t="n">
        <f aca="false">IF(OR(E176="",E176="!!!",F176="NEW"),"",INDEX(J$1:J175,SUMPRODUCT(MAX(ROW(E$1:E175)*(E176=E$1:E175)))))</f>
        <v>1</v>
      </c>
      <c r="L176" s="16"/>
    </row>
    <row r="177" customFormat="false" ht="12.75" hidden="false" customHeight="false" outlineLevel="0" collapsed="false">
      <c r="A177" s="9" t="s">
        <v>157</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75" hidden="false" customHeight="false" outlineLevel="0" collapsed="false">
      <c r="A178" s="9" t="s">
        <v>158</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22</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151</v>
      </c>
      <c r="B180" s="0" t="s">
        <v>38</v>
      </c>
      <c r="C180" s="0" t="s">
        <v>80</v>
      </c>
      <c r="D180" s="0" t="s">
        <v>19</v>
      </c>
      <c r="E180" s="10" t="s">
        <v>33</v>
      </c>
      <c r="F180" s="11" t="str">
        <f aca="false">IF(OR(E180="",E180="!!!"),"",IF(NOT(ISNA(VLOOKUP(E180,E$1:E179,1,FALSE()))),"OLD",IF(AND(E180&lt;&gt;"",E180&lt;&gt;"!!!"),"NEW","")))</f>
        <v>OLD</v>
      </c>
      <c r="G180" s="12" t="s">
        <v>49</v>
      </c>
      <c r="H180" s="13" t="str">
        <f aca="false">IF(J180&lt;&gt;1,"",IF(I180="SBJ","CB","?"))</f>
        <v/>
      </c>
      <c r="I180" s="14" t="str">
        <f aca="false">IF(OR(E180="",E180="!!!",F180="NEW"),"",INDEX(B$2:B179,-1+SUMPRODUCT(MAX(ROW(E$2:E179)*(E180=E$2:E179)))))</f>
        <v>SBJ_2</v>
      </c>
      <c r="J180" s="15" t="n">
        <f aca="true">IF(OR(E180="",E180="!!!",F180="NEW"),"",COUNTBLANK(OFFSET(A$1,,,SUMPRODUCT(MAX(ROW(E$2:E180)*(E180=E$2:E180)))))-COUNTBLANK(OFFSET(A$1,,,SUMPRODUCT(MAX(ROW(E$1:E179)*(E180=E$1:E179))))))</f>
        <v>0</v>
      </c>
      <c r="K180" s="15" t="n">
        <f aca="false">IF(OR(E180="",E180="!!!",F180="NEW"),"",INDEX(J$1:J179,SUMPRODUCT(MAX(ROW(E$1:E179)*(E180=E$1:E179)))))</f>
        <v>1</v>
      </c>
      <c r="L180" s="16"/>
    </row>
    <row r="181" customFormat="false" ht="12.75" hidden="false" customHeight="false" outlineLevel="0" collapsed="false">
      <c r="A181" s="9" t="s">
        <v>159</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47</v>
      </c>
      <c r="B182" s="0" t="s">
        <v>57</v>
      </c>
      <c r="C182" s="0" t="s">
        <v>48</v>
      </c>
      <c r="D182" s="0" t="s">
        <v>19</v>
      </c>
      <c r="E182" s="10" t="s">
        <v>33</v>
      </c>
      <c r="F182" s="11" t="str">
        <f aca="false">IF(OR(E182="",E182="!!!"),"",IF(NOT(ISNA(VLOOKUP(E182,E$1:E181,1,FALSE()))),"OLD",IF(AND(E182&lt;&gt;"",E182&lt;&gt;"!!!"),"NEW","")))</f>
        <v>OLD</v>
      </c>
      <c r="G182" s="12" t="s">
        <v>49</v>
      </c>
      <c r="H182" s="13" t="str">
        <f aca="false">IF(J182&lt;&gt;1,"",IF(I182="SBJ","CB","?"))</f>
        <v/>
      </c>
      <c r="I182" s="14" t="str">
        <f aca="false">IF(OR(E182="",E182="!!!",F182="NEW"),"",INDEX(B$2:B181,-1+SUMPRODUCT(MAX(ROW(E$2:E181)*(E182=E$2:E181)))))</f>
        <v>SBJ</v>
      </c>
      <c r="J182" s="15" t="n">
        <f aca="true">IF(OR(E182="",E182="!!!",F182="NEW"),"",COUNTBLANK(OFFSET(A$1,,,SUMPRODUCT(MAX(ROW(E$2:E182)*(E182=E$2:E182)))))-COUNTBLANK(OFFSET(A$1,,,SUMPRODUCT(MAX(ROW(E$1:E181)*(E182=E$1:E181))))))</f>
        <v>0</v>
      </c>
      <c r="K182" s="15" t="n">
        <f aca="false">IF(OR(E182="",E182="!!!",F182="NEW"),"",INDEX(J$1:J181,SUMPRODUCT(MAX(ROW(E$1:E181)*(E182=E$1:E181)))))</f>
        <v>0</v>
      </c>
      <c r="L182" s="16"/>
    </row>
    <row r="183" customFormat="false" ht="12.75" hidden="false" customHeight="false" outlineLevel="0" collapsed="false">
      <c r="A183" s="9" t="s">
        <v>160</v>
      </c>
      <c r="B183" s="0" t="s">
        <v>68</v>
      </c>
      <c r="C183" s="0" t="s">
        <v>51</v>
      </c>
      <c r="D183" s="0" t="s">
        <v>19</v>
      </c>
      <c r="E183" s="10" t="s">
        <v>161</v>
      </c>
      <c r="F183" s="11" t="str">
        <f aca="false">IF(OR(E183="",E183="!!!"),"",IF(NOT(ISNA(VLOOKUP(E183,E$1:E182,1,FALSE()))),"OLD",IF(AND(E183&lt;&gt;"",E183&lt;&gt;"!!!"),"NEW","")))</f>
        <v>NEW</v>
      </c>
      <c r="G183" s="12" t="s">
        <v>29</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A184" s="9" t="s">
        <v>162</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163</v>
      </c>
      <c r="B185" s="0" t="s">
        <v>17</v>
      </c>
      <c r="C185" s="0" t="s">
        <v>80</v>
      </c>
      <c r="D185" s="0" t="s">
        <v>19</v>
      </c>
      <c r="E185" s="10" t="s">
        <v>164</v>
      </c>
      <c r="F185" s="11" t="str">
        <f aca="false">IF(OR(E185="",E185="!!!"),"",IF(NOT(ISNA(VLOOKUP(E185,E$1:E184,1,FALSE()))),"OLD",IF(AND(E185&lt;&gt;"",E185&lt;&gt;"!!!"),"NEW","")))</f>
        <v>NEW</v>
      </c>
      <c r="G185" s="12" t="s">
        <v>29</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59</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9" t="s">
        <v>165</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62</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83</v>
      </c>
      <c r="B190" s="0" t="s">
        <v>17</v>
      </c>
      <c r="C190" s="0" t="s">
        <v>27</v>
      </c>
      <c r="D190" s="0" t="s">
        <v>19</v>
      </c>
      <c r="E190" s="10" t="s">
        <v>85</v>
      </c>
      <c r="F190" s="11" t="str">
        <f aca="false">IF(OR(E190="",E190="!!!"),"",IF(NOT(ISNA(VLOOKUP(E190,E$1:E189,1,FALSE()))),"OLD",IF(AND(E190&lt;&gt;"",E190&lt;&gt;"!!!"),"NEW","")))</f>
        <v>OLD</v>
      </c>
      <c r="G190" s="12" t="s">
        <v>21</v>
      </c>
      <c r="H190" s="13" t="str">
        <f aca="false">IF(J190&lt;&gt;1,"",IF(I190="SBJ","CB","?"))</f>
        <v/>
      </c>
      <c r="I190" s="14" t="str">
        <f aca="false">IF(OR(E190="",E190="!!!",F190="NEW"),"",INDEX(B$2:B189,-1+SUMPRODUCT(MAX(ROW(E$2:E189)*(E190=E$2:E189)))))</f>
        <v>other_2</v>
      </c>
      <c r="J190" s="15" t="n">
        <f aca="true">IF(OR(E190="",E190="!!!",F190="NEW"),"",COUNTBLANK(OFFSET(A$1,,,SUMPRODUCT(MAX(ROW(E$2:E190)*(E190=E$2:E190)))))-COUNTBLANK(OFFSET(A$1,,,SUMPRODUCT(MAX(ROW(E$1:E189)*(E190=E$1:E189))))))</f>
        <v>5</v>
      </c>
      <c r="K190" s="15" t="n">
        <f aca="false">IF(OR(E190="",E190="!!!",F190="NEW"),"",INDEX(J$1:J189,SUMPRODUCT(MAX(ROW(E$1:E189)*(E190=E$1:E189)))))</f>
        <v>2</v>
      </c>
      <c r="L190" s="16"/>
    </row>
    <row r="191" customFormat="false" ht="12.75" hidden="false" customHeight="false" outlineLevel="0" collapsed="false">
      <c r="A191" s="9" t="s">
        <v>30</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86</v>
      </c>
      <c r="B192" s="0" t="s">
        <v>57</v>
      </c>
      <c r="C192" s="0" t="s">
        <v>43</v>
      </c>
      <c r="D192" s="0" t="s">
        <v>19</v>
      </c>
      <c r="E192" s="10" t="s">
        <v>86</v>
      </c>
      <c r="F192" s="11" t="str">
        <f aca="false">IF(OR(E192="",E192="!!!"),"",IF(NOT(ISNA(VLOOKUP(E192,E$1:E191,1,FALSE()))),"OLD",IF(AND(E192&lt;&gt;"",E192&lt;&gt;"!!!"),"NEW","")))</f>
        <v>OLD</v>
      </c>
      <c r="G192" s="12" t="s">
        <v>21</v>
      </c>
      <c r="H192" s="13" t="str">
        <f aca="false">IF(J192&lt;&gt;1,"",IF(I192="SBJ","CB","?"))</f>
        <v/>
      </c>
      <c r="I192" s="14" t="str">
        <f aca="false">IF(OR(E192="",E192="!!!",F192="NEW"),"",INDEX(B$2:B191,-1+SUMPRODUCT(MAX(ROW(E$2:E191)*(E192=E$2:E191)))))</f>
        <v>other_4</v>
      </c>
      <c r="J192" s="15" t="n">
        <f aca="true">IF(OR(E192="",E192="!!!",F192="NEW"),"",COUNTBLANK(OFFSET(A$1,,,SUMPRODUCT(MAX(ROW(E$2:E192)*(E192=E$2:E192)))))-COUNTBLANK(OFFSET(A$1,,,SUMPRODUCT(MAX(ROW(E$1:E191)*(E192=E$1:E191))))))</f>
        <v>7</v>
      </c>
      <c r="K192" s="15" t="str">
        <f aca="false">IF(OR(E192="",E192="!!!",F192="NEW"),"",INDEX(J$1:J191,SUMPRODUCT(MAX(ROW(E$1:E191)*(E192=E$1:E191)))))</f>
        <v/>
      </c>
      <c r="L192" s="16"/>
    </row>
    <row r="193" customFormat="false" ht="12.75" hidden="false" customHeight="false" outlineLevel="0" collapsed="false">
      <c r="A193" s="9" t="s">
        <v>166</v>
      </c>
      <c r="B193" s="0" t="s">
        <v>17</v>
      </c>
      <c r="C193" s="0" t="s">
        <v>51</v>
      </c>
      <c r="D193" s="0" t="s">
        <v>19</v>
      </c>
      <c r="E193" s="10" t="s">
        <v>167</v>
      </c>
      <c r="F193" s="11" t="str">
        <f aca="false">IF(OR(E193="",E193="!!!"),"",IF(NOT(ISNA(VLOOKUP(E193,E$1:E192,1,FALSE()))),"OLD",IF(AND(E193&lt;&gt;"",E193&lt;&gt;"!!!"),"NEW","")))</f>
        <v>NEW</v>
      </c>
      <c r="G193" s="12" t="s">
        <v>29</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70</v>
      </c>
      <c r="E194" s="10" t="str">
        <f aca="false">IF(D194="?OLD","!!!","")</f>
        <v/>
      </c>
      <c r="F194" s="11" t="str">
        <f aca="false">IF(OR(E194="",E194="!!!"),"",IF(NOT(ISNA(VLOOKUP(E194,E$1:E193,1,FALSE()))),"OLD",IF(AND(E194&lt;&gt;"",E194&lt;&gt;"!!!"),"NEW","")))</f>
        <v/>
      </c>
      <c r="G194" s="12" t="str">
        <f aca="false">IF(OR(E194="",E194="!!!"),"",IF(OR(J194=0,AND(J194=1,K194=1),AND(J194=1,I194="SBJ"),AND(J194=1,I194=0)),"?IN_FOCUS",IF(J194&lt;=2,"?ACTIVATED",IF(J194&lt;&gt;"","?FAMILIAR",IF(F194="NEW",IF(ISNA(VLOOKUP(E194,#REF!,1,FALSE())),"?TYPE_IDENTIFIABLE","?REFERENTIAL"),"_")))))</f>
        <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9" t="s">
        <v>24</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25</v>
      </c>
      <c r="B196" s="0" t="s">
        <v>17</v>
      </c>
      <c r="C196" s="0" t="s">
        <v>27</v>
      </c>
      <c r="D196" s="0" t="s">
        <v>19</v>
      </c>
      <c r="E196" s="10" t="s">
        <v>33</v>
      </c>
      <c r="F196" s="11" t="str">
        <f aca="false">IF(OR(E196="",E196="!!!"),"",IF(NOT(ISNA(VLOOKUP(E196,E$1:E195,1,FALSE()))),"OLD",IF(AND(E196&lt;&gt;"",E196&lt;&gt;"!!!"),"NEW","")))</f>
        <v>OLD</v>
      </c>
      <c r="G196" s="12" t="s">
        <v>65</v>
      </c>
      <c r="H196" s="13" t="s">
        <v>7</v>
      </c>
      <c r="I196" s="14" t="str">
        <f aca="false">IF(OR(E196="",E196="!!!",F196="NEW"),"",INDEX(B$2:B195,-1+SUMPRODUCT(MAX(ROW(E$2:E195)*(E196=E$2:E195)))))</f>
        <v>other_2</v>
      </c>
      <c r="J196" s="15" t="n">
        <f aca="true">IF(OR(E196="",E196="!!!",F196="NEW"),"",COUNTBLANK(OFFSET(A$1,,,SUMPRODUCT(MAX(ROW(E$2:E196)*(E196=E$2:E196)))))-COUNTBLANK(OFFSET(A$1,,,SUMPRODUCT(MAX(ROW(E$1:E195)*(E196=E$1:E195))))))</f>
        <v>1</v>
      </c>
      <c r="K196" s="15" t="n">
        <f aca="false">IF(OR(E196="",E196="!!!",F196="NEW"),"",INDEX(J$1:J195,SUMPRODUCT(MAX(ROW(E$1:E195)*(E196=E$1:E195)))))</f>
        <v>0</v>
      </c>
      <c r="L196" s="16"/>
    </row>
    <row r="197" customFormat="false" ht="12.75" hidden="false" customHeight="false" outlineLevel="0" collapsed="false">
      <c r="A197" s="9" t="s">
        <v>30</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9" t="s">
        <v>24</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31</v>
      </c>
      <c r="B199" s="0" t="s">
        <v>57</v>
      </c>
      <c r="C199" s="0" t="s">
        <v>27</v>
      </c>
      <c r="D199" s="0" t="s">
        <v>19</v>
      </c>
      <c r="E199" s="10" t="s">
        <v>33</v>
      </c>
      <c r="F199" s="11" t="str">
        <f aca="false">IF(OR(E199="",E199="!!!"),"",IF(NOT(ISNA(VLOOKUP(E199,E$1:E198,1,FALSE()))),"OLD",IF(AND(E199&lt;&gt;"",E199&lt;&gt;"!!!"),"NEW","")))</f>
        <v>OLD</v>
      </c>
      <c r="G199" s="12" t="s">
        <v>21</v>
      </c>
      <c r="H199" s="13" t="str">
        <f aca="false">IF(J199&lt;&gt;1,"",IF(I199="SBJ","CB","?"))</f>
        <v/>
      </c>
      <c r="I199" s="14" t="str">
        <f aca="false">IF(OR(E199="",E199="!!!",F199="NEW"),"",INDEX(B$2:B198,-1+SUMPRODUCT(MAX(ROW(E$2:E198)*(E199=E$2:E198)))))</f>
        <v>other</v>
      </c>
      <c r="J199" s="15" t="n">
        <f aca="true">IF(OR(E199="",E199="!!!",F199="NEW"),"",COUNTBLANK(OFFSET(A$1,,,SUMPRODUCT(MAX(ROW(E$2:E199)*(E199=E$2:E199)))))-COUNTBLANK(OFFSET(A$1,,,SUMPRODUCT(MAX(ROW(E$1:E198)*(E199=E$1:E198))))))</f>
        <v>0</v>
      </c>
      <c r="K199" s="15" t="n">
        <f aca="false">IF(OR(E199="",E199="!!!",F199="NEW"),"",INDEX(J$1:J198,SUMPRODUCT(MAX(ROW(E$1:E198)*(E199=E$1:E198)))))</f>
        <v>1</v>
      </c>
      <c r="L199" s="16"/>
    </row>
    <row r="200" customFormat="false" ht="12.75" hidden="false" customHeight="false" outlineLevel="0" collapsed="false">
      <c r="A200" s="9" t="s">
        <v>168</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14</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A202" s="9" t="s">
        <v>169</v>
      </c>
      <c r="B202" s="0" t="s">
        <v>87</v>
      </c>
      <c r="C202" s="0" t="s">
        <v>43</v>
      </c>
      <c r="D202" s="0" t="s">
        <v>19</v>
      </c>
      <c r="E202" s="10" t="s">
        <v>169</v>
      </c>
      <c r="F202" s="11" t="str">
        <f aca="false">IF(OR(E202="",E202="!!!"),"",IF(NOT(ISNA(VLOOKUP(E202,E$1:E201,1,FALSE()))),"OLD",IF(AND(E202&lt;&gt;"",E202&lt;&gt;"!!!"),"NEW","")))</f>
        <v>NEW</v>
      </c>
      <c r="G202" s="12" t="s">
        <v>21</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170</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59</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171</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172</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173</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174</v>
      </c>
      <c r="B209" s="0" t="s">
        <v>38</v>
      </c>
      <c r="C209" s="0" t="s">
        <v>39</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30</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24</v>
      </c>
      <c r="E211" s="10" t="str">
        <f aca="false">IF(D211="?OLD","!!!","")</f>
        <v/>
      </c>
      <c r="F211" s="11" t="str">
        <f aca="false">IF(OR(E211="",E211="!!!"),"",IF(NOT(ISNA(VLOOKUP(E211,E$1:E210,1,FALSE()))),"OLD",IF(AND(E211&lt;&gt;"",E211&lt;&gt;"!!!"),"NEW","")))</f>
        <v/>
      </c>
      <c r="G211" s="12" t="str">
        <f aca="false">IF(OR(E211="",E211="!!!"),"",IF(OR(J211=0,AND(J211=1,K211=1),AND(J211=1,I211="SBJ"),AND(J211=1,I211=0)),"?IN_FOCUS",IF(J211&lt;=2,"?ACTIVATED",IF(J211&lt;&gt;"","?FAMILIAR",IF(F211="NEW",IF(ISNA(VLOOKUP(E211,#REF!,1,FALSE())),"?TYPE_IDENTIFIABLE","?REFERENTIAL"),"_")))))</f>
        <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9" t="s">
        <v>175</v>
      </c>
      <c r="B212" s="0" t="s">
        <v>57</v>
      </c>
      <c r="C212" s="0" t="s">
        <v>27</v>
      </c>
      <c r="D212" s="0" t="s">
        <v>19</v>
      </c>
      <c r="E212" s="10" t="s">
        <v>176</v>
      </c>
      <c r="F212" s="11" t="str">
        <f aca="false">IF(OR(E212="",E212="!!!"),"",IF(NOT(ISNA(VLOOKUP(E212,E$1:E211,1,FALSE()))),"OLD",IF(AND(E212&lt;&gt;"",E212&lt;&gt;"!!!"),"NEW","")))</f>
        <v>NEW</v>
      </c>
      <c r="G212" s="12" t="s">
        <v>21</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53</v>
      </c>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177</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81</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24</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136</v>
      </c>
      <c r="B217" s="0" t="s">
        <v>17</v>
      </c>
      <c r="C217" s="0" t="s">
        <v>27</v>
      </c>
      <c r="D217" s="0" t="s">
        <v>19</v>
      </c>
      <c r="E217" s="10" t="s">
        <v>178</v>
      </c>
      <c r="F217" s="11" t="str">
        <f aca="false">IF(OR(E217="",E217="!!!"),"",IF(NOT(ISNA(VLOOKUP(E217,E$1:E216,1,FALSE()))),"OLD",IF(AND(E217&lt;&gt;"",E217&lt;&gt;"!!!"),"NEW","")))</f>
        <v>NEW</v>
      </c>
      <c r="G217" s="12" t="s">
        <v>21</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9" t="s">
        <v>59</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75" hidden="false" customHeight="false" outlineLevel="0" collapsed="false">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179</v>
      </c>
      <c r="E220" s="10" t="str">
        <f aca="false">IF(D220="?OLD","!!!","")</f>
        <v/>
      </c>
      <c r="F220" s="11" t="str">
        <f aca="false">IF(OR(E220="",E220="!!!"),"",IF(NOT(ISNA(VLOOKUP(E220,E$1:E219,1,FALSE()))),"OLD",IF(AND(E220&lt;&gt;"",E220&lt;&gt;"!!!"),"NEW","")))</f>
        <v/>
      </c>
      <c r="G220" s="12" t="str">
        <f aca="false">IF(OR(E220="",E220="!!!"),"",IF(OR(J220=0,AND(J220=1,K220=1),AND(J220=1,I220="SBJ"),AND(J220=1,I220=0)),"?IN_FOCUS",IF(J220&lt;=2,"?ACTIVATED",IF(J220&lt;&gt;"","?FAMILIAR",IF(F220="NEW",IF(ISNA(VLOOKUP(E220,#REF!,1,FALSE())),"?TYPE_IDENTIFIABLE","?REFERENTIAL"),"_")))))</f>
        <v/>
      </c>
      <c r="H220" s="13" t="str">
        <f aca="false">IF(J220&lt;&gt;1,"",IF(I220="SBJ","CB","?"))</f>
        <v/>
      </c>
      <c r="I220" s="14" t="str">
        <f aca="false">IF(OR(E220="",E220="!!!",F220="NEW"),"",INDEX(B$2:B219,-1+SUMPRODUCT(MAX(ROW(E$2:E219)*(E220=E$2:E219)))))</f>
        <v/>
      </c>
      <c r="J220" s="15" t="str">
        <f aca="true">IF(OR(E220="",E220="!!!",F220="NEW"),"",COUNTBLANK(OFFSET(A$1,,,SUMPRODUCT(MAX(ROW(E$2:E220)*(E220=E$2:E220)))))-COUNTBLANK(OFFSET(A$1,,,SUMPRODUCT(MAX(ROW(E$1:E219)*(E220=E$1:E219))))))</f>
        <v/>
      </c>
      <c r="K220" s="15" t="str">
        <f aca="false">IF(OR(E220="",E220="!!!",F220="NEW"),"",INDEX(J$1:J219,SUMPRODUCT(MAX(ROW(E$1:E219)*(E220=E$1:E219)))))</f>
        <v/>
      </c>
      <c r="L220" s="16"/>
    </row>
    <row r="221" customFormat="false" ht="12.75" hidden="false" customHeight="false" outlineLevel="0" collapsed="false">
      <c r="A221" s="9" t="s">
        <v>134</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22</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103</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30</v>
      </c>
      <c r="E224" s="10" t="str">
        <f aca="false">IF(D224="?OLD","!!!","")</f>
        <v/>
      </c>
      <c r="F224" s="11" t="str">
        <f aca="false">IF(OR(E224="",E224="!!!"),"",IF(NOT(ISNA(VLOOKUP(E224,E$1:E223,1,FALSE()))),"OLD",IF(AND(E224&lt;&gt;"",E224&lt;&gt;"!!!"),"NEW","")))</f>
        <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136</v>
      </c>
      <c r="B225" s="0" t="s">
        <v>17</v>
      </c>
      <c r="C225" s="0" t="s">
        <v>91</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70</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180</v>
      </c>
      <c r="B227" s="0" t="s">
        <v>57</v>
      </c>
      <c r="C227" s="0" t="s">
        <v>91</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22</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181</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173</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182</v>
      </c>
      <c r="B231" s="0" t="s">
        <v>150</v>
      </c>
      <c r="C231" s="0" t="s">
        <v>91</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70</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183</v>
      </c>
      <c r="B233" s="0" t="s">
        <v>32</v>
      </c>
      <c r="C233" s="0" t="s">
        <v>91</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95</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24</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75" hidden="false" customHeight="false" outlineLevel="0" collapsed="false">
      <c r="A236" s="9" t="s">
        <v>184</v>
      </c>
      <c r="B236" s="0" t="s">
        <v>32</v>
      </c>
      <c r="C236" s="0" t="s">
        <v>27</v>
      </c>
      <c r="D236" s="0" t="s">
        <v>19</v>
      </c>
      <c r="E236" s="10" t="s">
        <v>185</v>
      </c>
      <c r="F236" s="11" t="str">
        <f aca="false">IF(OR(E236="",E236="!!!"),"",IF(NOT(ISNA(VLOOKUP(E236,E$1:E235,1,FALSE()))),"OLD",IF(AND(E236&lt;&gt;"",E236&lt;&gt;"!!!"),"NEW","")))</f>
        <v>NEW</v>
      </c>
      <c r="G236" s="12" t="s">
        <v>21</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75" hidden="false" customHeight="false" outlineLevel="0" collapsed="false">
      <c r="A237" s="9" t="s">
        <v>59</v>
      </c>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75" hidden="false" customHeight="false" outlineLevel="0" collapsed="false">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9" t="s">
        <v>186</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118</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75" hidden="false" customHeight="false" outlineLevel="0" collapsed="false">
      <c r="A241" s="9" t="s">
        <v>187</v>
      </c>
      <c r="B241" s="0" t="s">
        <v>38</v>
      </c>
      <c r="C241" s="0" t="s">
        <v>51</v>
      </c>
      <c r="D241" s="0" t="s">
        <v>19</v>
      </c>
      <c r="E241" s="10" t="s">
        <v>188</v>
      </c>
      <c r="F241" s="11" t="str">
        <f aca="false">IF(OR(E241="",E241="!!!"),"",IF(NOT(ISNA(VLOOKUP(E241,E$1:E240,1,FALSE()))),"OLD",IF(AND(E241&lt;&gt;"",E241&lt;&gt;"!!!"),"NEW","")))</f>
        <v>NEW</v>
      </c>
      <c r="G241" s="12" t="s">
        <v>29</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9" t="s">
        <v>30</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15</v>
      </c>
      <c r="B243" s="0" t="s">
        <v>57</v>
      </c>
      <c r="C243" s="0" t="s">
        <v>189</v>
      </c>
      <c r="D243" s="0" t="s">
        <v>19</v>
      </c>
      <c r="E243" s="10"/>
      <c r="F243" s="11" t="s">
        <v>190</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191</v>
      </c>
      <c r="B244" s="0" t="s">
        <v>110</v>
      </c>
      <c r="E244" s="10" t="str">
        <f aca="false">IF(D244="?OLD","!!!","")</f>
        <v/>
      </c>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row>
    <row r="245" customFormat="false" ht="12.75" hidden="false" customHeight="false" outlineLevel="0" collapsed="false">
      <c r="A245" s="9" t="s">
        <v>53</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A246" s="9" t="s">
        <v>30</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9" t="s">
        <v>24</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192</v>
      </c>
      <c r="B248" s="0" t="s">
        <v>32</v>
      </c>
      <c r="C248" s="0" t="s">
        <v>27</v>
      </c>
      <c r="D248" s="0" t="s">
        <v>19</v>
      </c>
      <c r="E248" s="10" t="s">
        <v>193</v>
      </c>
      <c r="F248" s="11" t="str">
        <f aca="false">IF(OR(E248="",E248="!!!"),"",IF(NOT(ISNA(VLOOKUP(E248,E$1:E247,1,FALSE()))),"OLD",IF(AND(E248&lt;&gt;"",E248&lt;&gt;"!!!"),"NEW","")))</f>
        <v>NEW</v>
      </c>
      <c r="G248" s="12" t="s">
        <v>29</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A249" s="9" t="s">
        <v>194</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60</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75" hidden="false" customHeight="false" outlineLevel="0" collapsed="false">
      <c r="A252" s="9" t="s">
        <v>195</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75" hidden="false" customHeight="false" outlineLevel="0" collapsed="false">
      <c r="A253" s="9" t="s">
        <v>72</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62</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196</v>
      </c>
      <c r="B255" s="0" t="s">
        <v>17</v>
      </c>
      <c r="C255" s="0" t="s">
        <v>43</v>
      </c>
      <c r="D255" s="0" t="s">
        <v>19</v>
      </c>
      <c r="E255" s="10" t="s">
        <v>196</v>
      </c>
      <c r="F255" s="11" t="str">
        <f aca="false">IF(OR(E255="",E255="!!!"),"",IF(NOT(ISNA(VLOOKUP(E255,E$1:E254,1,FALSE()))),"OLD",IF(AND(E255&lt;&gt;"",E255&lt;&gt;"!!!"),"NEW","")))</f>
        <v>NEW</v>
      </c>
      <c r="G255" s="12" t="s">
        <v>29</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22</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72</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70</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30</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24</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197</v>
      </c>
      <c r="B261" s="0" t="s">
        <v>17</v>
      </c>
      <c r="C261" s="0" t="s">
        <v>43</v>
      </c>
      <c r="D261" s="0" t="s">
        <v>19</v>
      </c>
      <c r="E261" s="10" t="s">
        <v>197</v>
      </c>
      <c r="F261" s="11" t="str">
        <f aca="false">IF(OR(E261="",E261="!!!"),"",IF(NOT(ISNA(VLOOKUP(E261,E$1:E260,1,FALSE()))),"OLD",IF(AND(E261&lt;&gt;"",E261&lt;&gt;"!!!"),"NEW","")))</f>
        <v>NEW</v>
      </c>
      <c r="G261" s="12" t="s">
        <v>29</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22</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9" t="s">
        <v>30</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24</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198</v>
      </c>
      <c r="B265" s="0" t="s">
        <v>17</v>
      </c>
      <c r="C265" s="0" t="s">
        <v>43</v>
      </c>
      <c r="D265" s="0" t="s">
        <v>19</v>
      </c>
      <c r="E265" s="10" t="s">
        <v>198</v>
      </c>
      <c r="F265" s="11" t="str">
        <f aca="false">IF(OR(E265="",E265="!!!"),"",IF(NOT(ISNA(VLOOKUP(E265,E$1:E264,1,FALSE()))),"OLD",IF(AND(E265&lt;&gt;"",E265&lt;&gt;"!!!"),"NEW","")))</f>
        <v>NEW</v>
      </c>
      <c r="G265" s="12" t="s">
        <v>29</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22</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9" t="s">
        <v>70</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30</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15</v>
      </c>
      <c r="B269" s="0" t="s">
        <v>26</v>
      </c>
      <c r="C269" s="0" t="s">
        <v>189</v>
      </c>
      <c r="D269" s="0" t="s">
        <v>19</v>
      </c>
      <c r="E269" s="10"/>
      <c r="F269" s="11" t="s">
        <v>190</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75" hidden="false" customHeight="false" outlineLevel="0" collapsed="false">
      <c r="A270" s="9" t="s">
        <v>30</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199</v>
      </c>
      <c r="B271" s="0" t="s">
        <v>32</v>
      </c>
      <c r="C271" s="0" t="s">
        <v>43</v>
      </c>
      <c r="D271" s="0" t="s">
        <v>19</v>
      </c>
      <c r="E271" s="10" t="s">
        <v>199</v>
      </c>
      <c r="F271" s="11" t="str">
        <f aca="false">IF(OR(E271="",E271="!!!"),"",IF(NOT(ISNA(VLOOKUP(E271,E$1:E270,1,FALSE()))),"OLD",IF(AND(E271&lt;&gt;"",E271&lt;&gt;"!!!"),"NEW","")))</f>
        <v>NEW</v>
      </c>
      <c r="G271" s="12" t="s">
        <v>29</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70</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A273" s="9" t="s">
        <v>200</v>
      </c>
      <c r="B273" s="0" t="s">
        <v>87</v>
      </c>
      <c r="C273" s="0" t="s">
        <v>43</v>
      </c>
      <c r="D273" s="0" t="s">
        <v>19</v>
      </c>
      <c r="E273" s="10" t="s">
        <v>200</v>
      </c>
      <c r="F273" s="11" t="str">
        <f aca="false">IF(OR(E273="",E273="!!!"),"",IF(NOT(ISNA(VLOOKUP(E273,E$1:E272,1,FALSE()))),"OLD",IF(AND(E273&lt;&gt;"",E273&lt;&gt;"!!!"),"NEW","")))</f>
        <v>NEW</v>
      </c>
      <c r="G273" s="12" t="s">
        <v>21</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40</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22</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9" t="s">
        <v>201</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202</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134</v>
      </c>
      <c r="B278" s="0" t="s">
        <v>32</v>
      </c>
      <c r="C278" s="0" t="s">
        <v>43</v>
      </c>
      <c r="D278" s="0" t="s">
        <v>19</v>
      </c>
      <c r="E278" s="10" t="s">
        <v>134</v>
      </c>
      <c r="F278" s="11" t="str">
        <f aca="false">IF(OR(E278="",E278="!!!"),"",IF(NOT(ISNA(VLOOKUP(E278,E$1:E277,1,FALSE()))),"OLD",IF(AND(E278&lt;&gt;"",E278&lt;&gt;"!!!"),"NEW","")))</f>
        <v>OLD</v>
      </c>
      <c r="G278" s="12" t="s">
        <v>21</v>
      </c>
      <c r="H278" s="13" t="str">
        <f aca="false">IF(J278&lt;&gt;1,"",IF(I278="SBJ","CB","?"))</f>
        <v/>
      </c>
      <c r="I278" s="14" t="str">
        <f aca="false">IF(OR(E278="",E278="!!!",F278="NEW"),"",INDEX(B$2:B277,-1+SUMPRODUCT(MAX(ROW(E$2:E277)*(E278=E$2:E277)))))</f>
        <v>OBJ</v>
      </c>
      <c r="J278" s="15" t="n">
        <f aca="true">IF(OR(E278="",E278="!!!",F278="NEW"),"",COUNTBLANK(OFFSET(A$1,,,SUMPRODUCT(MAX(ROW(E$2:E278)*(E278=E$2:E278)))))-COUNTBLANK(OFFSET(A$1,,,SUMPRODUCT(MAX(ROW(E$1:E277)*(E278=E$1:E277))))))</f>
        <v>7</v>
      </c>
      <c r="K278" s="15" t="str">
        <f aca="false">IF(OR(E278="",E278="!!!",F278="NEW"),"",INDEX(J$1:J277,SUMPRODUCT(MAX(ROW(E$1:E277)*(E278=E$1:E277)))))</f>
        <v/>
      </c>
      <c r="L278" s="16"/>
    </row>
    <row r="279" customFormat="false" ht="12.75" hidden="false" customHeight="false" outlineLevel="0" collapsed="false">
      <c r="A279" s="9" t="s">
        <v>59</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17" t="s">
        <v>203</v>
      </c>
    </row>
    <row r="282" customFormat="false" ht="12.75" hidden="false" customHeight="false" outlineLevel="0" collapsed="false">
      <c r="A282" s="17" t="s">
        <v>132</v>
      </c>
      <c r="B282" s="18" t="s">
        <v>38</v>
      </c>
      <c r="C282" s="18" t="s">
        <v>80</v>
      </c>
      <c r="D282" s="18" t="s">
        <v>19</v>
      </c>
      <c r="E282" s="19" t="str">
        <f aca="false">IF(D282="?OLD","!!!","")</f>
        <v>!!!</v>
      </c>
      <c r="F282" s="20" t="str">
        <f aca="false">IF(OR(E282="",E282="!!!"),"",IF(NOT(ISNA(VLOOKUP(E282,E$1:E281,1,FALSE()))),"OLD",IF(AND(E282&lt;&gt;"",E282&lt;&gt;"!!!"),"NEW","")))</f>
        <v/>
      </c>
      <c r="G282" s="21" t="str">
        <f aca="false">IF(OR(E282="",E282="!!!"),"",IF(OR(J282=0,AND(J282=1,K282=1),AND(J282=1,I282="SBJ"),AND(J282=1,I282=0)),"?IN_FOCUS",IF(J282&lt;=2,"?ACTIVATED",IF(J282&lt;&gt;"","?FAMILIAR",IF(F282="NEW",IF(ISNA(VLOOKUP(E282,#REF!,1,FALSE())),"?TYPE_IDENTIFIABLE","?REFERENTIAL"),"_")))))</f>
        <v/>
      </c>
      <c r="H282" s="22" t="str">
        <f aca="false">IF(J282&lt;&gt;1,"",IF(I282="SBJ","CB","?"))</f>
        <v/>
      </c>
      <c r="I282" s="23" t="str">
        <f aca="false">IF(OR(E282="",E282="!!!",F282="NEW"),"",INDEX(B$2:B281,-1+SUMPRODUCT(MAX(ROW(E$2:E281)*(E282=E$2:E281)))))</f>
        <v/>
      </c>
      <c r="J282" s="23" t="str">
        <f aca="true">IF(OR(E282="",E282="!!!",F282="NEW"),"",COUNTBLANK(OFFSET(A$1,,,SUMPRODUCT(MAX(ROW(E$2:E282)*(E282=E$2:E282)))))-COUNTBLANK(OFFSET(A$1,,,SUMPRODUCT(MAX(ROW(E$1:E281)*(#REF!=E$1:E281))))))</f>
        <v/>
      </c>
      <c r="K282" s="23" t="str">
        <f aca="false">IF(OR(E282="",E282="!!!",F282="NEW"),"",INDEX(J$1:J281,SUMPRODUCT(MAX(ROW(E$1:E281)*(E282=E$1:E281)))))</f>
        <v/>
      </c>
      <c r="L282" s="24"/>
    </row>
    <row r="283" customFormat="false" ht="12.75" hidden="false" customHeight="false" outlineLevel="0" collapsed="false">
      <c r="A283" s="17" t="s">
        <v>53</v>
      </c>
      <c r="E283" s="19" t="str">
        <f aca="false">IF(D283="?OLD","!!!","")</f>
        <v/>
      </c>
      <c r="F283" s="20" t="str">
        <f aca="false">IF(OR(E283="",E283="!!!"),"",IF(NOT(ISNA(VLOOKUP(E283,E$1:E282,1,FALSE()))),"OLD",IF(AND(E283&lt;&gt;"",E283&lt;&gt;"!!!"),"NEW","")))</f>
        <v/>
      </c>
      <c r="G283" s="21" t="str">
        <f aca="false">IF(OR(E283="",E283="!!!"),"",IF(OR(J283=0,AND(J283=1,K283=1),AND(J283=1,I283="SBJ"),AND(J283=1,I283=0)),"?IN_FOCUS",IF(J283&lt;=2,"?ACTIVATED",IF(J283&lt;&gt;"","?FAMILIAR",IF(F283="NEW",IF(ISNA(VLOOKUP(E283,#REF!,1,FALSE())),"?TYPE_IDENTIFIABLE","?REFERENTIAL"),"_")))))</f>
        <v/>
      </c>
      <c r="H283" s="22" t="str">
        <f aca="false">IF(J283&lt;&gt;1,"",IF(I283="SBJ","CB","?"))</f>
        <v/>
      </c>
      <c r="I283" s="23" t="str">
        <f aca="false">IF(OR(E283="",E283="!!!",F283="NEW"),"",INDEX(B$2:B282,-1+SUMPRODUCT(MAX(ROW(E$2:E282)*(E283=E$2:E282)))))</f>
        <v/>
      </c>
      <c r="J283" s="23" t="str">
        <f aca="true">IF(OR(E283="",E283="!!!",F283="NEW"),"",COUNTBLANK(OFFSET(A$1,,,SUMPRODUCT(MAX(ROW(E$2:E283)*(E283=E$2:E283)))))-COUNTBLANK(OFFSET(A$1,,,SUMPRODUCT(MAX(ROW(E$1:E282)*(#REF!=E$1:E282))))))</f>
        <v/>
      </c>
      <c r="K283" s="23" t="str">
        <f aca="false">IF(OR(E283="",E283="!!!",F283="NEW"),"",INDEX(J$1:J282,SUMPRODUCT(MAX(ROW(E$1:E282)*(E283=E$1:E282)))))</f>
        <v/>
      </c>
      <c r="L283" s="24"/>
    </row>
    <row r="284" customFormat="false" ht="12.75" hidden="false" customHeight="false" outlineLevel="0" collapsed="false">
      <c r="A284" s="17" t="s">
        <v>204</v>
      </c>
      <c r="E284" s="19" t="str">
        <f aca="false">IF(D284="?OLD","!!!","")</f>
        <v/>
      </c>
      <c r="F284" s="20" t="str">
        <f aca="false">IF(OR(E284="",E284="!!!"),"",IF(NOT(ISNA(VLOOKUP(E284,E$1:E283,1,FALSE()))),"OLD",IF(AND(E284&lt;&gt;"",E284&lt;&gt;"!!!"),"NEW","")))</f>
        <v/>
      </c>
      <c r="G284" s="21" t="str">
        <f aca="false">IF(OR(E284="",E284="!!!"),"",IF(OR(J284=0,AND(J284=1,K284=1),AND(J284=1,I284="SBJ"),AND(J284=1,I284=0)),"?IN_FOCUS",IF(J284&lt;=2,"?ACTIVATED",IF(J284&lt;&gt;"","?FAMILIAR",IF(F284="NEW",IF(ISNA(VLOOKUP(E284,#REF!,1,FALSE())),"?TYPE_IDENTIFIABLE","?REFERENTIAL"),"_")))))</f>
        <v/>
      </c>
      <c r="H284" s="22" t="str">
        <f aca="false">IF(J284&lt;&gt;1,"",IF(I284="SBJ","CB","?"))</f>
        <v/>
      </c>
      <c r="I284" s="23" t="str">
        <f aca="false">IF(OR(E284="",E284="!!!",F284="NEW"),"",INDEX(B$2:B283,-1+SUMPRODUCT(MAX(ROW(E$2:E283)*(E284=E$2:E283)))))</f>
        <v/>
      </c>
      <c r="J284" s="23" t="str">
        <f aca="true">IF(OR(E284="",E284="!!!",F284="NEW"),"",COUNTBLANK(OFFSET(A$1,,,SUMPRODUCT(MAX(ROW(E$2:E284)*(E284=E$2:E284)))))-COUNTBLANK(OFFSET(A$1,,,SUMPRODUCT(MAX(ROW(E$1:E283)*(#REF!=E$1:E283))))))</f>
        <v/>
      </c>
      <c r="K284" s="23" t="str">
        <f aca="false">IF(OR(E284="",E284="!!!",F284="NEW"),"",INDEX(J$1:J283,SUMPRODUCT(MAX(ROW(E$1:E283)*(E284=E$1:E283)))))</f>
        <v/>
      </c>
      <c r="L284" s="24"/>
    </row>
    <row r="285" customFormat="false" ht="12.75" hidden="false" customHeight="false" outlineLevel="0" collapsed="false">
      <c r="A285" s="17" t="s">
        <v>205</v>
      </c>
      <c r="E285" s="19" t="str">
        <f aca="false">IF(D285="?OLD","!!!","")</f>
        <v/>
      </c>
      <c r="F285" s="20" t="str">
        <f aca="false">IF(OR(E285="",E285="!!!"),"",IF(NOT(ISNA(VLOOKUP(E285,E$1:E284,1,FALSE()))),"OLD",IF(AND(E285&lt;&gt;"",E285&lt;&gt;"!!!"),"NEW","")))</f>
        <v/>
      </c>
      <c r="G285" s="21" t="str">
        <f aca="false">IF(OR(E285="",E285="!!!"),"",IF(OR(J285=0,AND(J285=1,K285=1),AND(J285=1,I285="SBJ"),AND(J285=1,I285=0)),"?IN_FOCUS",IF(J285&lt;=2,"?ACTIVATED",IF(J285&lt;&gt;"","?FAMILIAR",IF(F285="NEW",IF(ISNA(VLOOKUP(E285,#REF!,1,FALSE())),"?TYPE_IDENTIFIABLE","?REFERENTIAL"),"_")))))</f>
        <v/>
      </c>
      <c r="H285" s="22" t="str">
        <f aca="false">IF(J285&lt;&gt;1,"",IF(I285="SBJ","CB","?"))</f>
        <v/>
      </c>
      <c r="I285" s="23" t="str">
        <f aca="false">IF(OR(E285="",E285="!!!",F285="NEW"),"",INDEX(B$2:B284,-1+SUMPRODUCT(MAX(ROW(E$2:E284)*(E285=E$2:E284)))))</f>
        <v/>
      </c>
      <c r="J285" s="23" t="str">
        <f aca="true">IF(OR(E285="",E285="!!!",F285="NEW"),"",COUNTBLANK(OFFSET(A$1,,,SUMPRODUCT(MAX(ROW(E$2:E285)*(E285=E$2:E285)))))-COUNTBLANK(OFFSET(A$1,,,SUMPRODUCT(MAX(ROW(E$1:E284)*(#REF!=E$1:E284))))))</f>
        <v/>
      </c>
      <c r="K285" s="23" t="str">
        <f aca="false">IF(OR(E285="",E285="!!!",F285="NEW"),"",INDEX(J$1:J284,SUMPRODUCT(MAX(ROW(E$1:E284)*(E285=E$1:E284)))))</f>
        <v/>
      </c>
      <c r="L285" s="24"/>
    </row>
    <row r="286" customFormat="false" ht="12.75" hidden="false" customHeight="false" outlineLevel="0" collapsed="false">
      <c r="A286" s="17" t="s">
        <v>81</v>
      </c>
      <c r="E286" s="19" t="str">
        <f aca="false">IF(D286="?OLD","!!!","")</f>
        <v/>
      </c>
      <c r="F286" s="20" t="str">
        <f aca="false">IF(OR(E286="",E286="!!!"),"",IF(NOT(ISNA(VLOOKUP(E286,E$1:E285,1,FALSE()))),"OLD",IF(AND(E286&lt;&gt;"",E286&lt;&gt;"!!!"),"NEW","")))</f>
        <v/>
      </c>
      <c r="G286" s="21" t="str">
        <f aca="false">IF(OR(E286="",E286="!!!"),"",IF(OR(J286=0,AND(J286=1,K286=1),AND(J286=1,I286="SBJ"),AND(J286=1,I286=0)),"?IN_FOCUS",IF(J286&lt;=2,"?ACTIVATED",IF(J286&lt;&gt;"","?FAMILIAR",IF(F286="NEW",IF(ISNA(VLOOKUP(E286,#REF!,1,FALSE())),"?TYPE_IDENTIFIABLE","?REFERENTIAL"),"_")))))</f>
        <v/>
      </c>
      <c r="H286" s="22" t="str">
        <f aca="false">IF(J286&lt;&gt;1,"",IF(I286="SBJ","CB","?"))</f>
        <v/>
      </c>
      <c r="I286" s="23" t="str">
        <f aca="false">IF(OR(E286="",E286="!!!",F286="NEW"),"",INDEX(B$2:B285,-1+SUMPRODUCT(MAX(ROW(E$2:E285)*(E286=E$2:E285)))))</f>
        <v/>
      </c>
      <c r="J286" s="23" t="str">
        <f aca="true">IF(OR(E286="",E286="!!!",F286="NEW"),"",COUNTBLANK(OFFSET(A$1,,,SUMPRODUCT(MAX(ROW(E$2:E286)*(E286=E$2:E286)))))-COUNTBLANK(OFFSET(A$1,,,SUMPRODUCT(MAX(ROW(E$1:E285)*(#REF!=E$1:E285))))))</f>
        <v/>
      </c>
      <c r="K286" s="23" t="str">
        <f aca="false">IF(OR(E286="",E286="!!!",F286="NEW"),"",INDEX(J$1:J285,SUMPRODUCT(MAX(ROW(E$1:E285)*(E286=E$1:E285)))))</f>
        <v/>
      </c>
      <c r="L286" s="24"/>
    </row>
    <row r="287" customFormat="false" ht="12.75" hidden="false" customHeight="false" outlineLevel="0" collapsed="false">
      <c r="A287" s="17" t="s">
        <v>206</v>
      </c>
      <c r="E287" s="19" t="str">
        <f aca="false">IF(D287="?OLD","!!!","")</f>
        <v/>
      </c>
      <c r="F287" s="20" t="str">
        <f aca="false">IF(OR(E287="",E287="!!!"),"",IF(NOT(ISNA(VLOOKUP(E287,E$1:E286,1,FALSE()))),"OLD",IF(AND(E287&lt;&gt;"",E287&lt;&gt;"!!!"),"NEW","")))</f>
        <v/>
      </c>
      <c r="G287" s="21" t="str">
        <f aca="false">IF(OR(E287="",E287="!!!"),"",IF(OR(J287=0,AND(J287=1,K287=1),AND(J287=1,I287="SBJ"),AND(J287=1,I287=0)),"?IN_FOCUS",IF(J287&lt;=2,"?ACTIVATED",IF(J287&lt;&gt;"","?FAMILIAR",IF(F287="NEW",IF(ISNA(VLOOKUP(E287,#REF!,1,FALSE())),"?TYPE_IDENTIFIABLE","?REFERENTIAL"),"_")))))</f>
        <v/>
      </c>
      <c r="H287" s="22" t="str">
        <f aca="false">IF(J287&lt;&gt;1,"",IF(I287="SBJ","CB","?"))</f>
        <v/>
      </c>
      <c r="I287" s="23" t="str">
        <f aca="false">IF(OR(E287="",E287="!!!",F287="NEW"),"",INDEX(B$2:B286,-1+SUMPRODUCT(MAX(ROW(E$2:E286)*(E287=E$2:E286)))))</f>
        <v/>
      </c>
      <c r="J287" s="23" t="str">
        <f aca="true">IF(OR(E287="",E287="!!!",F287="NEW"),"",COUNTBLANK(OFFSET(A$1,,,SUMPRODUCT(MAX(ROW(E$2:E287)*(E287=E$2:E287)))))-COUNTBLANK(OFFSET(A$1,,,SUMPRODUCT(MAX(ROW(E$1:E286)*(#REF!=E$1:E286))))))</f>
        <v/>
      </c>
      <c r="K287" s="23" t="str">
        <f aca="false">IF(OR(E287="",E287="!!!",F287="NEW"),"",INDEX(J$1:J286,SUMPRODUCT(MAX(ROW(E$1:E286)*(E287=E$1:E286)))))</f>
        <v/>
      </c>
      <c r="L287" s="24"/>
    </row>
    <row r="288" customFormat="false" ht="12.75" hidden="false" customHeight="false" outlineLevel="0" collapsed="false">
      <c r="A288" s="17" t="s">
        <v>24</v>
      </c>
      <c r="E288" s="19" t="str">
        <f aca="false">IF(D288="?OLD","!!!","")</f>
        <v/>
      </c>
      <c r="F288" s="20" t="str">
        <f aca="false">IF(OR(E288="",E288="!!!"),"",IF(NOT(ISNA(VLOOKUP(E288,E$1:E287,1,FALSE()))),"OLD",IF(AND(E288&lt;&gt;"",E288&lt;&gt;"!!!"),"NEW","")))</f>
        <v/>
      </c>
      <c r="G288" s="21" t="str">
        <f aca="false">IF(OR(E288="",E288="!!!"),"",IF(OR(J288=0,AND(J288=1,K288=1),AND(J288=1,I288="SBJ"),AND(J288=1,I288=0)),"?IN_FOCUS",IF(J288&lt;=2,"?ACTIVATED",IF(J288&lt;&gt;"","?FAMILIAR",IF(F288="NEW",IF(ISNA(VLOOKUP(E288,#REF!,1,FALSE())),"?TYPE_IDENTIFIABLE","?REFERENTIAL"),"_")))))</f>
        <v/>
      </c>
      <c r="H288" s="22" t="str">
        <f aca="false">IF(J288&lt;&gt;1,"",IF(I288="SBJ","CB","?"))</f>
        <v/>
      </c>
      <c r="I288" s="23" t="str">
        <f aca="false">IF(OR(E288="",E288="!!!",F288="NEW"),"",INDEX(B$2:B287,-1+SUMPRODUCT(MAX(ROW(E$2:E287)*(E288=E$2:E287)))))</f>
        <v/>
      </c>
      <c r="J288" s="23" t="str">
        <f aca="true">IF(OR(E288="",E288="!!!",F288="NEW"),"",COUNTBLANK(OFFSET(A$1,,,SUMPRODUCT(MAX(ROW(E$2:E288)*(E288=E$2:E288)))))-COUNTBLANK(OFFSET(A$1,,,SUMPRODUCT(MAX(ROW(E$1:E287)*(#REF!=E$1:E287))))))</f>
        <v/>
      </c>
      <c r="K288" s="23" t="str">
        <f aca="false">IF(OR(E288="",E288="!!!",F288="NEW"),"",INDEX(J$1:J287,SUMPRODUCT(MAX(ROW(E$1:E287)*(E288=E$1:E287)))))</f>
        <v/>
      </c>
      <c r="L288" s="24"/>
    </row>
    <row r="289" customFormat="false" ht="12.75" hidden="false" customHeight="false" outlineLevel="0" collapsed="false">
      <c r="A289" s="17" t="s">
        <v>107</v>
      </c>
      <c r="B289" s="18" t="s">
        <v>150</v>
      </c>
      <c r="C289" s="18" t="s">
        <v>27</v>
      </c>
      <c r="D289" s="18" t="s">
        <v>19</v>
      </c>
      <c r="E289" s="19" t="str">
        <f aca="false">IF(D289="?OLD","!!!","")</f>
        <v>!!!</v>
      </c>
      <c r="F289" s="20" t="str">
        <f aca="false">IF(OR(E289="",E289="!!!"),"",IF(NOT(ISNA(VLOOKUP(E289,E$1:E288,1,FALSE()))),"OLD",IF(AND(E289&lt;&gt;"",E289&lt;&gt;"!!!"),"NEW","")))</f>
        <v/>
      </c>
      <c r="G289" s="21" t="str">
        <f aca="false">IF(OR(E289="",E289="!!!"),"",IF(OR(J289=0,AND(J289=1,K289=1),AND(J289=1,I289="SBJ"),AND(J289=1,I289=0)),"?IN_FOCUS",IF(J289&lt;=2,"?ACTIVATED",IF(J289&lt;&gt;"","?FAMILIAR",IF(F289="NEW",IF(ISNA(VLOOKUP(E289,#REF!,1,FALSE())),"?TYPE_IDENTIFIABLE","?REFERENTIAL"),"_")))))</f>
        <v/>
      </c>
      <c r="H289" s="22" t="str">
        <f aca="false">IF(J289&lt;&gt;1,"",IF(I289="SBJ","CB","?"))</f>
        <v/>
      </c>
      <c r="I289" s="23" t="str">
        <f aca="false">IF(OR(E289="",E289="!!!",F289="NEW"),"",INDEX(B$2:B288,-1+SUMPRODUCT(MAX(ROW(E$2:E288)*(E289=E$2:E288)))))</f>
        <v/>
      </c>
      <c r="J289" s="23" t="str">
        <f aca="true">IF(OR(E289="",E289="!!!",F289="NEW"),"",COUNTBLANK(OFFSET(A$1,,,SUMPRODUCT(MAX(ROW(E$2:E289)*(E289=E$2:E289)))))-COUNTBLANK(OFFSET(A$1,,,SUMPRODUCT(MAX(ROW(E$1:E288)*(#REF!=E$1:E288))))))</f>
        <v/>
      </c>
      <c r="K289" s="23" t="str">
        <f aca="false">IF(OR(E289="",E289="!!!",F289="NEW"),"",INDEX(J$1:J288,SUMPRODUCT(MAX(ROW(E$1:E288)*(E289=E$1:E288)))))</f>
        <v/>
      </c>
      <c r="L289" s="24"/>
    </row>
    <row r="290" customFormat="false" ht="12.75" hidden="false" customHeight="false" outlineLevel="0" collapsed="false">
      <c r="A290" s="17" t="s">
        <v>70</v>
      </c>
      <c r="E290" s="19" t="str">
        <f aca="false">IF(D290="?OLD","!!!","")</f>
        <v/>
      </c>
      <c r="F290" s="20" t="str">
        <f aca="false">IF(OR(E290="",E290="!!!"),"",IF(NOT(ISNA(VLOOKUP(E290,E$1:E289,1,FALSE()))),"OLD",IF(AND(E290&lt;&gt;"",E290&lt;&gt;"!!!"),"NEW","")))</f>
        <v/>
      </c>
      <c r="G290" s="21" t="str">
        <f aca="false">IF(OR(E290="",E290="!!!"),"",IF(OR(J290=0,AND(J290=1,K290=1),AND(J290=1,I290="SBJ"),AND(J290=1,I290=0)),"?IN_FOCUS",IF(J290&lt;=2,"?ACTIVATED",IF(J290&lt;&gt;"","?FAMILIAR",IF(F290="NEW",IF(ISNA(VLOOKUP(E290,#REF!,1,FALSE())),"?TYPE_IDENTIFIABLE","?REFERENTIAL"),"_")))))</f>
        <v/>
      </c>
      <c r="H290" s="22" t="str">
        <f aca="false">IF(J290&lt;&gt;1,"",IF(I290="SBJ","CB","?"))</f>
        <v/>
      </c>
      <c r="I290" s="23" t="str">
        <f aca="false">IF(OR(E290="",E290="!!!",F290="NEW"),"",INDEX(B$2:B289,-1+SUMPRODUCT(MAX(ROW(E$2:E289)*(E290=E$2:E289)))))</f>
        <v/>
      </c>
      <c r="J290" s="23" t="str">
        <f aca="true">IF(OR(E290="",E290="!!!",F290="NEW"),"",COUNTBLANK(OFFSET(A$1,,,SUMPRODUCT(MAX(ROW(E$2:E290)*(E290=E$2:E290)))))-COUNTBLANK(OFFSET(A$1,,,SUMPRODUCT(MAX(ROW(E$1:E289)*(#REF!=E$1:E289))))))</f>
        <v/>
      </c>
      <c r="K290" s="23" t="str">
        <f aca="false">IF(OR(E290="",E290="!!!",F290="NEW"),"",INDEX(J$1:J289,SUMPRODUCT(MAX(ROW(E$1:E289)*(E290=E$1:E289)))))</f>
        <v/>
      </c>
      <c r="L290" s="24"/>
    </row>
    <row r="291" customFormat="false" ht="12.75" hidden="false" customHeight="false" outlineLevel="0" collapsed="false">
      <c r="A291" s="17" t="s">
        <v>24</v>
      </c>
      <c r="E291" s="19" t="str">
        <f aca="false">IF(D291="?OLD","!!!","")</f>
        <v/>
      </c>
      <c r="F291" s="20" t="str">
        <f aca="false">IF(OR(E291="",E291="!!!"),"",IF(NOT(ISNA(VLOOKUP(E291,E$1:E290,1,FALSE()))),"OLD",IF(AND(E291&lt;&gt;"",E291&lt;&gt;"!!!"),"NEW","")))</f>
        <v/>
      </c>
      <c r="G291" s="21" t="str">
        <f aca="false">IF(OR(E291="",E291="!!!"),"",IF(OR(J291=0,AND(J291=1,K291=1),AND(J291=1,I291="SBJ"),AND(J291=1,I291=0)),"?IN_FOCUS",IF(J291&lt;=2,"?ACTIVATED",IF(J291&lt;&gt;"","?FAMILIAR",IF(F291="NEW",IF(ISNA(VLOOKUP(E291,#REF!,1,FALSE())),"?TYPE_IDENTIFIABLE","?REFERENTIAL"),"_")))))</f>
        <v/>
      </c>
      <c r="H291" s="22" t="str">
        <f aca="false">IF(J291&lt;&gt;1,"",IF(I291="SBJ","CB","?"))</f>
        <v/>
      </c>
      <c r="I291" s="23" t="str">
        <f aca="false">IF(OR(E291="",E291="!!!",F291="NEW"),"",INDEX(B$2:B290,-1+SUMPRODUCT(MAX(ROW(E$2:E290)*(E291=E$2:E290)))))</f>
        <v/>
      </c>
      <c r="J291" s="23" t="str">
        <f aca="true">IF(OR(E291="",E291="!!!",F291="NEW"),"",COUNTBLANK(OFFSET(A$1,,,SUMPRODUCT(MAX(ROW(E$2:E291)*(E291=E$2:E291)))))-COUNTBLANK(OFFSET(A$1,,,SUMPRODUCT(MAX(ROW(E$1:E290)*(#REF!=E$1:E290))))))</f>
        <v/>
      </c>
      <c r="K291" s="23" t="str">
        <f aca="false">IF(OR(E291="",E291="!!!",F291="NEW"),"",INDEX(J$1:J290,SUMPRODUCT(MAX(ROW(E$1:E290)*(E291=E$1:E290)))))</f>
        <v/>
      </c>
      <c r="L291" s="24"/>
    </row>
    <row r="292" customFormat="false" ht="12.75" hidden="false" customHeight="false" outlineLevel="0" collapsed="false">
      <c r="A292" s="17" t="s">
        <v>105</v>
      </c>
      <c r="B292" s="18" t="s">
        <v>32</v>
      </c>
      <c r="C292" s="18" t="s">
        <v>27</v>
      </c>
      <c r="D292" s="18" t="s">
        <v>19</v>
      </c>
      <c r="E292" s="19" t="str">
        <f aca="false">IF(D292="?OLD","!!!","")</f>
        <v>!!!</v>
      </c>
      <c r="F292" s="20" t="str">
        <f aca="false">IF(OR(E292="",E292="!!!"),"",IF(NOT(ISNA(VLOOKUP(E292,E$1:E291,1,FALSE()))),"OLD",IF(AND(E292&lt;&gt;"",E292&lt;&gt;"!!!"),"NEW","")))</f>
        <v/>
      </c>
      <c r="G292" s="21" t="str">
        <f aca="false">IF(OR(E292="",E292="!!!"),"",IF(OR(J292=0,AND(J292=1,K292=1),AND(J292=1,I292="SBJ"),AND(J292=1,I292=0)),"?IN_FOCUS",IF(J292&lt;=2,"?ACTIVATED",IF(J292&lt;&gt;"","?FAMILIAR",IF(F292="NEW",IF(ISNA(VLOOKUP(E292,#REF!,1,FALSE())),"?TYPE_IDENTIFIABLE","?REFERENTIAL"),"_")))))</f>
        <v/>
      </c>
      <c r="H292" s="22" t="str">
        <f aca="false">IF(J292&lt;&gt;1,"",IF(I292="SBJ","CB","?"))</f>
        <v/>
      </c>
      <c r="I292" s="23" t="str">
        <f aca="false">IF(OR(E292="",E292="!!!",F292="NEW"),"",INDEX(B$2:B291,-1+SUMPRODUCT(MAX(ROW(E$2:E291)*(E292=E$2:E291)))))</f>
        <v/>
      </c>
      <c r="J292" s="23" t="str">
        <f aca="true">IF(OR(E292="",E292="!!!",F292="NEW"),"",COUNTBLANK(OFFSET(A$1,,,SUMPRODUCT(MAX(ROW(E$2:E292)*(E292=E$2:E292)))))-COUNTBLANK(OFFSET(A$1,,,SUMPRODUCT(MAX(ROW(E$1:E291)*(#REF!=E$1:E291))))))</f>
        <v/>
      </c>
      <c r="K292" s="23" t="str">
        <f aca="false">IF(OR(E292="",E292="!!!",F292="NEW"),"",INDEX(J$1:J291,SUMPRODUCT(MAX(ROW(E$1:E291)*(E292=E$1:E291)))))</f>
        <v/>
      </c>
      <c r="L292" s="24"/>
    </row>
    <row r="293" customFormat="false" ht="12.75" hidden="false" customHeight="false" outlineLevel="0" collapsed="false">
      <c r="A293" s="17" t="s">
        <v>207</v>
      </c>
      <c r="E293" s="19" t="str">
        <f aca="false">IF(D293="?OLD","!!!","")</f>
        <v/>
      </c>
      <c r="F293" s="20" t="str">
        <f aca="false">IF(OR(E293="",E293="!!!"),"",IF(NOT(ISNA(VLOOKUP(E293,E$1:E292,1,FALSE()))),"OLD",IF(AND(E293&lt;&gt;"",E293&lt;&gt;"!!!"),"NEW","")))</f>
        <v/>
      </c>
      <c r="G293" s="21" t="str">
        <f aca="false">IF(OR(E293="",E293="!!!"),"",IF(OR(J293=0,AND(J293=1,K293=1),AND(J293=1,I293="SBJ"),AND(J293=1,I293=0)),"?IN_FOCUS",IF(J293&lt;=2,"?ACTIVATED",IF(J293&lt;&gt;"","?FAMILIAR",IF(F293="NEW",IF(ISNA(VLOOKUP(E293,#REF!,1,FALSE())),"?TYPE_IDENTIFIABLE","?REFERENTIAL"),"_")))))</f>
        <v/>
      </c>
      <c r="H293" s="22" t="str">
        <f aca="false">IF(J293&lt;&gt;1,"",IF(I293="SBJ","CB","?"))</f>
        <v/>
      </c>
      <c r="I293" s="23" t="str">
        <f aca="false">IF(OR(E293="",E293="!!!",F293="NEW"),"",INDEX(B$2:B292,-1+SUMPRODUCT(MAX(ROW(E$2:E292)*(E293=E$2:E292)))))</f>
        <v/>
      </c>
      <c r="J293" s="23" t="str">
        <f aca="true">IF(OR(E293="",E293="!!!",F293="NEW"),"",COUNTBLANK(OFFSET(A$1,,,SUMPRODUCT(MAX(ROW(E$2:E293)*(E293=E$2:E293)))))-COUNTBLANK(OFFSET(A$1,,,SUMPRODUCT(MAX(ROW(E$1:E292)*(#REF!=E$1:E292))))))</f>
        <v/>
      </c>
      <c r="K293" s="23" t="str">
        <f aca="false">IF(OR(E293="",E293="!!!",F293="NEW"),"",INDEX(J$1:J292,SUMPRODUCT(MAX(ROW(E$1:E292)*(E293=E$1:E292)))))</f>
        <v/>
      </c>
      <c r="L293" s="24"/>
    </row>
    <row r="294" customFormat="false" ht="12.75" hidden="false" customHeight="false" outlineLevel="0" collapsed="false">
      <c r="A294" s="17" t="s">
        <v>208</v>
      </c>
      <c r="E294" s="19" t="str">
        <f aca="false">IF(D294="?OLD","!!!","")</f>
        <v/>
      </c>
      <c r="F294" s="20" t="str">
        <f aca="false">IF(OR(E294="",E294="!!!"),"",IF(NOT(ISNA(VLOOKUP(E294,E$1:E293,1,FALSE()))),"OLD",IF(AND(E294&lt;&gt;"",E294&lt;&gt;"!!!"),"NEW","")))</f>
        <v/>
      </c>
      <c r="G294" s="21" t="str">
        <f aca="false">IF(OR(E294="",E294="!!!"),"",IF(OR(J294=0,AND(J294=1,K294=1),AND(J294=1,I294="SBJ"),AND(J294=1,I294=0)),"?IN_FOCUS",IF(J294&lt;=2,"?ACTIVATED",IF(J294&lt;&gt;"","?FAMILIAR",IF(F294="NEW",IF(ISNA(VLOOKUP(E294,#REF!,1,FALSE())),"?TYPE_IDENTIFIABLE","?REFERENTIAL"),"_")))))</f>
        <v/>
      </c>
      <c r="H294" s="22" t="str">
        <f aca="false">IF(J294&lt;&gt;1,"",IF(I294="SBJ","CB","?"))</f>
        <v/>
      </c>
      <c r="I294" s="23" t="str">
        <f aca="false">IF(OR(E294="",E294="!!!",F294="NEW"),"",INDEX(B$2:B293,-1+SUMPRODUCT(MAX(ROW(E$2:E293)*(E294=E$2:E293)))))</f>
        <v/>
      </c>
      <c r="J294" s="23" t="str">
        <f aca="true">IF(OR(E294="",E294="!!!",F294="NEW"),"",COUNTBLANK(OFFSET(A$1,,,SUMPRODUCT(MAX(ROW(E$2:E294)*(E294=E$2:E294)))))-COUNTBLANK(OFFSET(A$1,,,SUMPRODUCT(MAX(ROW(E$1:E293)*(#REF!=E$1:E293))))))</f>
        <v/>
      </c>
      <c r="K294" s="23" t="str">
        <f aca="false">IF(OR(E294="",E294="!!!",F294="NEW"),"",INDEX(J$1:J293,SUMPRODUCT(MAX(ROW(E$1:E293)*(E294=E$1:E293)))))</f>
        <v/>
      </c>
      <c r="L294" s="24"/>
    </row>
    <row r="295" customFormat="false" ht="12.75" hidden="false" customHeight="false" outlineLevel="0" collapsed="false">
      <c r="A295" s="17" t="s">
        <v>209</v>
      </c>
      <c r="B295" s="18" t="s">
        <v>26</v>
      </c>
      <c r="C295" s="18" t="s">
        <v>80</v>
      </c>
      <c r="D295" s="18" t="s">
        <v>19</v>
      </c>
      <c r="E295" s="19" t="str">
        <f aca="false">IF(D295="?OLD","!!!","")</f>
        <v>!!!</v>
      </c>
      <c r="F295" s="20" t="str">
        <f aca="false">IF(OR(E295="",E295="!!!"),"",IF(NOT(ISNA(VLOOKUP(E295,E$1:E294,1,FALSE()))),"OLD",IF(AND(E295&lt;&gt;"",E295&lt;&gt;"!!!"),"NEW","")))</f>
        <v/>
      </c>
      <c r="G295" s="21" t="str">
        <f aca="false">IF(OR(E295="",E295="!!!"),"",IF(OR(J295=0,AND(J295=1,K295=1),AND(J295=1,I295="SBJ"),AND(J295=1,I295=0)),"?IN_FOCUS",IF(J295&lt;=2,"?ACTIVATED",IF(J295&lt;&gt;"","?FAMILIAR",IF(F295="NEW",IF(ISNA(VLOOKUP(E295,#REF!,1,FALSE())),"?TYPE_IDENTIFIABLE","?REFERENTIAL"),"_")))))</f>
        <v/>
      </c>
      <c r="H295" s="22" t="str">
        <f aca="false">IF(J295&lt;&gt;1,"",IF(I295="SBJ","CB","?"))</f>
        <v/>
      </c>
      <c r="I295" s="23" t="str">
        <f aca="false">IF(OR(E295="",E295="!!!",F295="NEW"),"",INDEX(B$2:B294,-1+SUMPRODUCT(MAX(ROW(E$2:E294)*(E295=E$2:E294)))))</f>
        <v/>
      </c>
      <c r="J295" s="23" t="str">
        <f aca="true">IF(OR(E295="",E295="!!!",F295="NEW"),"",COUNTBLANK(OFFSET(A$1,,,SUMPRODUCT(MAX(ROW(E$2:E295)*(E295=E$2:E295)))))-COUNTBLANK(OFFSET(A$1,,,SUMPRODUCT(MAX(ROW(E$1:E294)*(#REF!=E$1:E294))))))</f>
        <v/>
      </c>
      <c r="K295" s="23" t="str">
        <f aca="false">IF(OR(E295="",E295="!!!",F295="NEW"),"",INDEX(J$1:J294,SUMPRODUCT(MAX(ROW(E$1:E294)*(E295=E$1:E294)))))</f>
        <v/>
      </c>
      <c r="L295" s="24"/>
    </row>
    <row r="296" customFormat="false" ht="12.75" hidden="false" customHeight="false" outlineLevel="0" collapsed="false">
      <c r="A296" s="17" t="s">
        <v>210</v>
      </c>
      <c r="E296" s="19" t="str">
        <f aca="false">IF(D296="?OLD","!!!","")</f>
        <v/>
      </c>
      <c r="F296" s="20" t="str">
        <f aca="false">IF(OR(E296="",E296="!!!"),"",IF(NOT(ISNA(VLOOKUP(E296,E$1:E295,1,FALSE()))),"OLD",IF(AND(E296&lt;&gt;"",E296&lt;&gt;"!!!"),"NEW","")))</f>
        <v/>
      </c>
      <c r="G296" s="21" t="str">
        <f aca="false">IF(OR(E296="",E296="!!!"),"",IF(OR(J296=0,AND(J296=1,K296=1),AND(J296=1,I296="SBJ"),AND(J296=1,I296=0)),"?IN_FOCUS",IF(J296&lt;=2,"?ACTIVATED",IF(J296&lt;&gt;"","?FAMILIAR",IF(F296="NEW",IF(ISNA(VLOOKUP(E296,#REF!,1,FALSE())),"?TYPE_IDENTIFIABLE","?REFERENTIAL"),"_")))))</f>
        <v/>
      </c>
      <c r="H296" s="22" t="str">
        <f aca="false">IF(J296&lt;&gt;1,"",IF(I296="SBJ","CB","?"))</f>
        <v/>
      </c>
      <c r="I296" s="23" t="str">
        <f aca="false">IF(OR(E296="",E296="!!!",F296="NEW"),"",INDEX(B$2:B295,-1+SUMPRODUCT(MAX(ROW(E$2:E295)*(E296=E$2:E295)))))</f>
        <v/>
      </c>
      <c r="J296" s="23" t="str">
        <f aca="true">IF(OR(E296="",E296="!!!",F296="NEW"),"",COUNTBLANK(OFFSET(A$1,,,SUMPRODUCT(MAX(ROW(E$2:E296)*(E296=E$2:E296)))))-COUNTBLANK(OFFSET(A$1,,,SUMPRODUCT(MAX(ROW(E$1:E295)*(#REF!=E$1:E295))))))</f>
        <v/>
      </c>
      <c r="K296" s="23" t="str">
        <f aca="false">IF(OR(E296="",E296="!!!",F296="NEW"),"",INDEX(J$1:J295,SUMPRODUCT(MAX(ROW(E$1:E295)*(E296=E$1:E295)))))</f>
        <v/>
      </c>
      <c r="L296" s="24"/>
    </row>
    <row r="297" customFormat="false" ht="12.75" hidden="false" customHeight="false" outlineLevel="0" collapsed="false">
      <c r="A297" s="17" t="s">
        <v>59</v>
      </c>
      <c r="E297" s="19" t="str">
        <f aca="false">IF(D297="?OLD","!!!","")</f>
        <v/>
      </c>
      <c r="F297" s="20" t="str">
        <f aca="false">IF(OR(E297="",E297="!!!"),"",IF(NOT(ISNA(VLOOKUP(E297,E$1:E296,1,FALSE()))),"OLD",IF(AND(E297&lt;&gt;"",E297&lt;&gt;"!!!"),"NEW","")))</f>
        <v/>
      </c>
      <c r="G297" s="21" t="str">
        <f aca="false">IF(OR(E297="",E297="!!!"),"",IF(OR(J297=0,AND(J297=1,K297=1),AND(J297=1,I297="SBJ"),AND(J297=1,I297=0)),"?IN_FOCUS",IF(J297&lt;=2,"?ACTIVATED",IF(J297&lt;&gt;"","?FAMILIAR",IF(F297="NEW",IF(ISNA(VLOOKUP(E297,#REF!,1,FALSE())),"?TYPE_IDENTIFIABLE","?REFERENTIAL"),"_")))))</f>
        <v/>
      </c>
      <c r="H297" s="22" t="str">
        <f aca="false">IF(J297&lt;&gt;1,"",IF(I297="SBJ","CB","?"))</f>
        <v/>
      </c>
      <c r="I297" s="23" t="str">
        <f aca="false">IF(OR(E297="",E297="!!!",F297="NEW"),"",INDEX(B$2:B296,-1+SUMPRODUCT(MAX(ROW(E$2:E296)*(E297=E$2:E296)))))</f>
        <v/>
      </c>
      <c r="J297" s="23" t="str">
        <f aca="true">IF(OR(E297="",E297="!!!",F297="NEW"),"",COUNTBLANK(OFFSET(A$1,,,SUMPRODUCT(MAX(ROW(E$2:E297)*(E297=E$2:E297)))))-COUNTBLANK(OFFSET(A$1,,,SUMPRODUCT(MAX(ROW(E$1:E296)*(#REF!=E$1:E296))))))</f>
        <v/>
      </c>
      <c r="K297" s="23" t="str">
        <f aca="false">IF(OR(E297="",E297="!!!",F297="NEW"),"",INDEX(J$1:J296,SUMPRODUCT(MAX(ROW(E$1:E296)*(E297=E$1:E296)))))</f>
        <v/>
      </c>
      <c r="L297" s="24"/>
    </row>
    <row r="298" customFormat="false" ht="12.75" hidden="false" customHeight="false" outlineLevel="0" collapsed="false">
      <c r="A298" s="17"/>
    </row>
    <row r="299" customFormat="false" ht="12.75" hidden="false" customHeight="false" outlineLevel="0" collapsed="false">
      <c r="A299" s="17" t="s">
        <v>60</v>
      </c>
      <c r="E299" s="19" t="str">
        <f aca="false">IF(D299="?OLD","!!!","")</f>
        <v/>
      </c>
      <c r="F299" s="20" t="str">
        <f aca="false">IF(OR(E299="",E299="!!!"),"",IF(NOT(ISNA(VLOOKUP(E299,E$1:E298,1,FALSE()))),"OLD",IF(AND(E299&lt;&gt;"",E299&lt;&gt;"!!!"),"NEW","")))</f>
        <v/>
      </c>
      <c r="G299" s="21" t="str">
        <f aca="false">IF(OR(E299="",E299="!!!"),"",IF(OR(J299=0,AND(J299=1,K299=1),AND(J299=1,I299="SBJ"),AND(J299=1,I299=0)),"?IN_FOCUS",IF(J299&lt;=2,"?ACTIVATED",IF(J299&lt;&gt;"","?FAMILIAR",IF(F299="NEW",IF(ISNA(VLOOKUP(E299,#REF!,1,FALSE())),"?TYPE_IDENTIFIABLE","?REFERENTIAL"),"_")))))</f>
        <v/>
      </c>
      <c r="H299" s="22" t="str">
        <f aca="false">IF(J299&lt;&gt;1,"",IF(I299="SBJ","CB","?"))</f>
        <v/>
      </c>
      <c r="I299" s="23" t="str">
        <f aca="false">IF(OR(E299="",E299="!!!",F299="NEW"),"",INDEX(B$2:B298,-1+SUMPRODUCT(MAX(ROW(E$2:E298)*(E299=E$2:E298)))))</f>
        <v/>
      </c>
      <c r="J299" s="23" t="str">
        <f aca="true">IF(OR(E299="",E299="!!!",F299="NEW"),"",COUNTBLANK(OFFSET(A$1,,,SUMPRODUCT(MAX(ROW(E$2:E299)*(E299=E$2:E299)))))-COUNTBLANK(OFFSET(A$1,,,SUMPRODUCT(MAX(ROW(E$1:E298)*(#REF!=E$1:E298))))))</f>
        <v/>
      </c>
      <c r="K299" s="23" t="str">
        <f aca="false">IF(OR(E299="",E299="!!!",F299="NEW"),"",INDEX(J$1:J298,SUMPRODUCT(MAX(ROW(E$1:E298)*(E299=E$1:E298)))))</f>
        <v/>
      </c>
      <c r="L299" s="24"/>
    </row>
    <row r="300" customFormat="false" ht="12.75" hidden="false" customHeight="false" outlineLevel="0" collapsed="false">
      <c r="A300" s="17" t="s">
        <v>211</v>
      </c>
    </row>
    <row r="301" customFormat="false" ht="12.75" hidden="false" customHeight="false" outlineLevel="0" collapsed="false">
      <c r="A301" s="17" t="s">
        <v>212</v>
      </c>
      <c r="E301" s="19" t="str">
        <f aca="false">IF(D301="?OLD","!!!","")</f>
        <v/>
      </c>
      <c r="F301" s="20" t="str">
        <f aca="false">IF(OR(E301="",E301="!!!"),"",IF(NOT(ISNA(VLOOKUP(E301,E$1:E300,1,FALSE()))),"OLD",IF(AND(E301&lt;&gt;"",E301&lt;&gt;"!!!"),"NEW","")))</f>
        <v/>
      </c>
      <c r="G301" s="21" t="str">
        <f aca="false">IF(OR(E301="",E301="!!!"),"",IF(OR(J301=0,AND(J301=1,K301=1),AND(J301=1,I301="SBJ"),AND(J301=1,I301=0)),"?IN_FOCUS",IF(J301&lt;=2,"?ACTIVATED",IF(J301&lt;&gt;"","?FAMILIAR",IF(F301="NEW",IF(ISNA(VLOOKUP(E301,#REF!,1,FALSE())),"?TYPE_IDENTIFIABLE","?REFERENTIAL"),"_")))))</f>
        <v/>
      </c>
      <c r="H301" s="22" t="str">
        <f aca="false">IF(J301&lt;&gt;1,"",IF(I301="SBJ","CB","?"))</f>
        <v/>
      </c>
      <c r="I301" s="23" t="str">
        <f aca="false">IF(OR(E301="",E301="!!!",F301="NEW"),"",INDEX(B$2:B300,-1+SUMPRODUCT(MAX(ROW(E$2:E300)*(E301=E$2:E300)))))</f>
        <v/>
      </c>
      <c r="J301" s="23" t="str">
        <f aca="true">IF(OR(E301="",E301="!!!",F301="NEW"),"",COUNTBLANK(OFFSET(A$1,,,SUMPRODUCT(MAX(ROW(E$2:E301)*(E301=E$2:E301)))))-COUNTBLANK(OFFSET(A$1,,,SUMPRODUCT(MAX(ROW(E$1:E300)*(#REF!=E$1:E300))))))</f>
        <v/>
      </c>
      <c r="K301" s="23" t="str">
        <f aca="false">IF(OR(E301="",E301="!!!",F301="NEW"),"",INDEX(J$1:J300,SUMPRODUCT(MAX(ROW(E$1:E300)*(E301=E$1:E300)))))</f>
        <v/>
      </c>
      <c r="L301" s="24"/>
    </row>
    <row r="302" customFormat="false" ht="12.75" hidden="false" customHeight="false" outlineLevel="0" collapsed="false">
      <c r="A302" s="17" t="s">
        <v>151</v>
      </c>
      <c r="B302" s="18" t="s">
        <v>38</v>
      </c>
      <c r="C302" s="18" t="s">
        <v>80</v>
      </c>
      <c r="D302" s="18" t="s">
        <v>19</v>
      </c>
      <c r="E302" s="19" t="str">
        <f aca="false">IF(D302="?OLD","!!!","")</f>
        <v>!!!</v>
      </c>
      <c r="F302" s="20" t="str">
        <f aca="false">IF(OR(E302="",E302="!!!"),"",IF(NOT(ISNA(VLOOKUP(E302,E$1:E301,1,FALSE()))),"OLD",IF(AND(E302&lt;&gt;"",E302&lt;&gt;"!!!"),"NEW","")))</f>
        <v/>
      </c>
      <c r="G302" s="21" t="str">
        <f aca="false">IF(OR(E302="",E302="!!!"),"",IF(OR(J302=0,AND(J302=1,K302=1),AND(J302=1,I302="SBJ"),AND(J302=1,I302=0)),"?IN_FOCUS",IF(J302&lt;=2,"?ACTIVATED",IF(J302&lt;&gt;"","?FAMILIAR",IF(F302="NEW",IF(ISNA(VLOOKUP(E302,#REF!,1,FALSE())),"?TYPE_IDENTIFIABLE","?REFERENTIAL"),"_")))))</f>
        <v/>
      </c>
      <c r="H302" s="22" t="str">
        <f aca="false">IF(J302&lt;&gt;1,"",IF(I302="SBJ","CB","?"))</f>
        <v/>
      </c>
      <c r="I302" s="23" t="str">
        <f aca="false">IF(OR(E302="",E302="!!!",F302="NEW"),"",INDEX(B$2:B301,-1+SUMPRODUCT(MAX(ROW(E$2:E301)*(E302=E$2:E301)))))</f>
        <v/>
      </c>
      <c r="J302" s="23" t="str">
        <f aca="true">IF(OR(E302="",E302="!!!",F302="NEW"),"",COUNTBLANK(OFFSET(A$1,,,SUMPRODUCT(MAX(ROW(E$2:E302)*(E302=E$2:E302)))))-COUNTBLANK(OFFSET(A$1,,,SUMPRODUCT(MAX(ROW(E$1:E301)*(#REF!=E$1:E301))))))</f>
        <v/>
      </c>
      <c r="K302" s="23" t="str">
        <f aca="false">IF(OR(E302="",E302="!!!",F302="NEW"),"",INDEX(J$1:J301,SUMPRODUCT(MAX(ROW(E$1:E301)*(E302=E$1:E301)))))</f>
        <v/>
      </c>
      <c r="L302" s="24"/>
    </row>
    <row r="303" customFormat="false" ht="12.75" hidden="false" customHeight="false" outlineLevel="0" collapsed="false">
      <c r="A303" s="17" t="s">
        <v>213</v>
      </c>
      <c r="E303" s="19" t="str">
        <f aca="false">IF(D303="?OLD","!!!","")</f>
        <v/>
      </c>
      <c r="F303" s="20" t="str">
        <f aca="false">IF(OR(E303="",E303="!!!"),"",IF(NOT(ISNA(VLOOKUP(E303,E$1:E302,1,FALSE()))),"OLD",IF(AND(E303&lt;&gt;"",E303&lt;&gt;"!!!"),"NEW","")))</f>
        <v/>
      </c>
      <c r="G303" s="21" t="str">
        <f aca="false">IF(OR(E303="",E303="!!!"),"",IF(OR(J303=0,AND(J303=1,K303=1),AND(J303=1,I303="SBJ"),AND(J303=1,I303=0)),"?IN_FOCUS",IF(J303&lt;=2,"?ACTIVATED",IF(J303&lt;&gt;"","?FAMILIAR",IF(F303="NEW",IF(ISNA(VLOOKUP(E303,#REF!,1,FALSE())),"?TYPE_IDENTIFIABLE","?REFERENTIAL"),"_")))))</f>
        <v/>
      </c>
      <c r="H303" s="22" t="str">
        <f aca="false">IF(J303&lt;&gt;1,"",IF(I303="SBJ","CB","?"))</f>
        <v/>
      </c>
      <c r="I303" s="23" t="str">
        <f aca="false">IF(OR(E303="",E303="!!!",F303="NEW"),"",INDEX(B$2:B302,-1+SUMPRODUCT(MAX(ROW(E$2:E302)*(E303=E$2:E302)))))</f>
        <v/>
      </c>
      <c r="J303" s="23" t="str">
        <f aca="true">IF(OR(E303="",E303="!!!",F303="NEW"),"",COUNTBLANK(OFFSET(A$1,,,SUMPRODUCT(MAX(ROW(E$2:E303)*(E303=E$2:E303)))))-COUNTBLANK(OFFSET(A$1,,,SUMPRODUCT(MAX(ROW(E$1:E302)*(#REF!=E$1:E302))))))</f>
        <v/>
      </c>
      <c r="K303" s="23" t="str">
        <f aca="false">IF(OR(E303="",E303="!!!",F303="NEW"),"",INDEX(J$1:J302,SUMPRODUCT(MAX(ROW(E$1:E302)*(E303=E$1:E302)))))</f>
        <v/>
      </c>
      <c r="L303" s="24"/>
    </row>
    <row r="304" customFormat="false" ht="12.75" hidden="false" customHeight="false" outlineLevel="0" collapsed="false">
      <c r="A304" s="17" t="s">
        <v>214</v>
      </c>
      <c r="E304" s="19" t="str">
        <f aca="false">IF(D304="?OLD","!!!","")</f>
        <v/>
      </c>
      <c r="F304" s="20" t="str">
        <f aca="false">IF(OR(E304="",E304="!!!"),"",IF(NOT(ISNA(VLOOKUP(E304,E$1:E303,1,FALSE()))),"OLD",IF(AND(E304&lt;&gt;"",E304&lt;&gt;"!!!"),"NEW","")))</f>
        <v/>
      </c>
      <c r="G304" s="21" t="str">
        <f aca="false">IF(OR(E304="",E304="!!!"),"",IF(OR(J304=0,AND(J304=1,K304=1),AND(J304=1,I304="SBJ"),AND(J304=1,I304=0)),"?IN_FOCUS",IF(J304&lt;=2,"?ACTIVATED",IF(J304&lt;&gt;"","?FAMILIAR",IF(F304="NEW",IF(ISNA(VLOOKUP(E304,#REF!,1,FALSE())),"?TYPE_IDENTIFIABLE","?REFERENTIAL"),"_")))))</f>
        <v/>
      </c>
      <c r="H304" s="22" t="str">
        <f aca="false">IF(J304&lt;&gt;1,"",IF(I304="SBJ","CB","?"))</f>
        <v/>
      </c>
      <c r="I304" s="23" t="str">
        <f aca="false">IF(OR(E304="",E304="!!!",F304="NEW"),"",INDEX(B$2:B303,-1+SUMPRODUCT(MAX(ROW(E$2:E303)*(E304=E$2:E303)))))</f>
        <v/>
      </c>
      <c r="J304" s="23" t="str">
        <f aca="true">IF(OR(E304="",E304="!!!",F304="NEW"),"",COUNTBLANK(OFFSET(A$1,,,SUMPRODUCT(MAX(ROW(E$2:E304)*(E304=E$2:E304)))))-COUNTBLANK(OFFSET(A$1,,,SUMPRODUCT(MAX(ROW(E$1:E303)*(#REF!=E$1:E303))))))</f>
        <v/>
      </c>
      <c r="K304" s="23" t="str">
        <f aca="false">IF(OR(E304="",E304="!!!",F304="NEW"),"",INDEX(J$1:J303,SUMPRODUCT(MAX(ROW(E$1:E303)*(E304=E$1:E303)))))</f>
        <v/>
      </c>
      <c r="L304" s="24"/>
    </row>
    <row r="305" customFormat="false" ht="12.75" hidden="false" customHeight="false" outlineLevel="0" collapsed="false">
      <c r="A305" s="17" t="s">
        <v>99</v>
      </c>
      <c r="B305" s="18" t="s">
        <v>68</v>
      </c>
      <c r="C305" s="18" t="s">
        <v>91</v>
      </c>
      <c r="E305" s="19" t="str">
        <f aca="false">IF(D305="?OLD","!!!","")</f>
        <v/>
      </c>
      <c r="F305" s="20" t="str">
        <f aca="false">IF(OR(E305="",E305="!!!"),"",IF(NOT(ISNA(VLOOKUP(E305,E$1:E304,1,FALSE()))),"OLD",IF(AND(E305&lt;&gt;"",E305&lt;&gt;"!!!"),"NEW","")))</f>
        <v/>
      </c>
      <c r="G305" s="21" t="str">
        <f aca="false">IF(OR(E305="",E305="!!!"),"",IF(OR(J305=0,AND(J305=1,K305=1),AND(J305=1,I305="SBJ"),AND(J305=1,I305=0)),"?IN_FOCUS",IF(J305&lt;=2,"?ACTIVATED",IF(J305&lt;&gt;"","?FAMILIAR",IF(F305="NEW",IF(ISNA(VLOOKUP(E305,#REF!,1,FALSE())),"?TYPE_IDENTIFIABLE","?REFERENTIAL"),"_")))))</f>
        <v/>
      </c>
      <c r="H305" s="22" t="str">
        <f aca="false">IF(J305&lt;&gt;1,"",IF(I305="SBJ","CB","?"))</f>
        <v/>
      </c>
      <c r="I305" s="23" t="str">
        <f aca="false">IF(OR(E305="",E305="!!!",F305="NEW"),"",INDEX(B$2:B304,-1+SUMPRODUCT(MAX(ROW(E$2:E304)*(E305=E$2:E304)))))</f>
        <v/>
      </c>
      <c r="J305" s="23" t="str">
        <f aca="true">IF(OR(E305="",E305="!!!",F305="NEW"),"",COUNTBLANK(OFFSET(A$1,,,SUMPRODUCT(MAX(ROW(E$2:E305)*(E305=E$2:E305)))))-COUNTBLANK(OFFSET(A$1,,,SUMPRODUCT(MAX(ROW(E$1:E304)*(#REF!=E$1:E304))))))</f>
        <v/>
      </c>
      <c r="K305" s="23" t="str">
        <f aca="false">IF(OR(E305="",E305="!!!",F305="NEW"),"",INDEX(J$1:J304,SUMPRODUCT(MAX(ROW(E$1:E304)*(E305=E$1:E304)))))</f>
        <v/>
      </c>
      <c r="L305" s="24"/>
    </row>
    <row r="306" customFormat="false" ht="12.75" hidden="false" customHeight="false" outlineLevel="0" collapsed="false">
      <c r="A306" s="17" t="s">
        <v>81</v>
      </c>
      <c r="E306" s="19" t="str">
        <f aca="false">IF(D306="?OLD","!!!","")</f>
        <v/>
      </c>
      <c r="F306" s="20" t="str">
        <f aca="false">IF(OR(E306="",E306="!!!"),"",IF(NOT(ISNA(VLOOKUP(E306,E$1:E305,1,FALSE()))),"OLD",IF(AND(E306&lt;&gt;"",E306&lt;&gt;"!!!"),"NEW","")))</f>
        <v/>
      </c>
      <c r="G306" s="21" t="str">
        <f aca="false">IF(OR(E306="",E306="!!!"),"",IF(OR(J306=0,AND(J306=1,K306=1),AND(J306=1,I306="SBJ"),AND(J306=1,I306=0)),"?IN_FOCUS",IF(J306&lt;=2,"?ACTIVATED",IF(J306&lt;&gt;"","?FAMILIAR",IF(F306="NEW",IF(ISNA(VLOOKUP(E306,#REF!,1,FALSE())),"?TYPE_IDENTIFIABLE","?REFERENTIAL"),"_")))))</f>
        <v/>
      </c>
      <c r="H306" s="22" t="str">
        <f aca="false">IF(J306&lt;&gt;1,"",IF(I306="SBJ","CB","?"))</f>
        <v/>
      </c>
      <c r="I306" s="23" t="str">
        <f aca="false">IF(OR(E306="",E306="!!!",F306="NEW"),"",INDEX(B$2:B305,-1+SUMPRODUCT(MAX(ROW(E$2:E305)*(E306=E$2:E305)))))</f>
        <v/>
      </c>
      <c r="J306" s="23" t="str">
        <f aca="true">IF(OR(E306="",E306="!!!",F306="NEW"),"",COUNTBLANK(OFFSET(A$1,,,SUMPRODUCT(MAX(ROW(E$2:E306)*(E306=E$2:E306)))))-COUNTBLANK(OFFSET(A$1,,,SUMPRODUCT(MAX(ROW(E$1:E305)*(#REF!=E$1:E305))))))</f>
        <v/>
      </c>
      <c r="K306" s="23" t="str">
        <f aca="false">IF(OR(E306="",E306="!!!",F306="NEW"),"",INDEX(J$1:J305,SUMPRODUCT(MAX(ROW(E$1:E305)*(E306=E$1:E305)))))</f>
        <v/>
      </c>
      <c r="L306" s="24"/>
    </row>
    <row r="307" customFormat="false" ht="12.75" hidden="false" customHeight="false" outlineLevel="0" collapsed="false">
      <c r="A307" s="17" t="s">
        <v>215</v>
      </c>
      <c r="E307" s="19" t="str">
        <f aca="false">IF(D307="?OLD","!!!","")</f>
        <v/>
      </c>
      <c r="F307" s="20" t="str">
        <f aca="false">IF(OR(E307="",E307="!!!"),"",IF(NOT(ISNA(VLOOKUP(E307,E$1:E306,1,FALSE()))),"OLD",IF(AND(E307&lt;&gt;"",E307&lt;&gt;"!!!"),"NEW","")))</f>
        <v/>
      </c>
      <c r="G307" s="21" t="str">
        <f aca="false">IF(OR(E307="",E307="!!!"),"",IF(OR(J307=0,AND(J307=1,K307=1),AND(J307=1,I307="SBJ"),AND(J307=1,I307=0)),"?IN_FOCUS",IF(J307&lt;=2,"?ACTIVATED",IF(J307&lt;&gt;"","?FAMILIAR",IF(F307="NEW",IF(ISNA(VLOOKUP(E307,#REF!,1,FALSE())),"?TYPE_IDENTIFIABLE","?REFERENTIAL"),"_")))))</f>
        <v/>
      </c>
      <c r="H307" s="22" t="str">
        <f aca="false">IF(J307&lt;&gt;1,"",IF(I307="SBJ","CB","?"))</f>
        <v/>
      </c>
      <c r="I307" s="23" t="str">
        <f aca="false">IF(OR(E307="",E307="!!!",F307="NEW"),"",INDEX(B$2:B306,-1+SUMPRODUCT(MAX(ROW(E$2:E306)*(E307=E$2:E306)))))</f>
        <v/>
      </c>
      <c r="J307" s="23" t="str">
        <f aca="true">IF(OR(E307="",E307="!!!",F307="NEW"),"",COUNTBLANK(OFFSET(A$1,,,SUMPRODUCT(MAX(ROW(E$2:E307)*(E307=E$2:E307)))))-COUNTBLANK(OFFSET(A$1,,,SUMPRODUCT(MAX(ROW(E$1:E306)*(#REF!=E$1:E306))))))</f>
        <v/>
      </c>
      <c r="K307" s="23" t="str">
        <f aca="false">IF(OR(E307="",E307="!!!",F307="NEW"),"",INDEX(J$1:J306,SUMPRODUCT(MAX(ROW(E$1:E306)*(E307=E$1:E306)))))</f>
        <v/>
      </c>
      <c r="L307" s="24"/>
    </row>
    <row r="308" customFormat="false" ht="12.75" hidden="false" customHeight="false" outlineLevel="0" collapsed="false">
      <c r="A308" s="17" t="s">
        <v>22</v>
      </c>
      <c r="E308" s="19" t="str">
        <f aca="false">IF(D308="?OLD","!!!","")</f>
        <v/>
      </c>
      <c r="F308" s="20" t="str">
        <f aca="false">IF(OR(E308="",E308="!!!"),"",IF(NOT(ISNA(VLOOKUP(E308,E$1:E307,1,FALSE()))),"OLD",IF(AND(E308&lt;&gt;"",E308&lt;&gt;"!!!"),"NEW","")))</f>
        <v/>
      </c>
      <c r="G308" s="21" t="str">
        <f aca="false">IF(OR(E308="",E308="!!!"),"",IF(OR(J308=0,AND(J308=1,K308=1),AND(J308=1,I308="SBJ"),AND(J308=1,I308=0)),"?IN_FOCUS",IF(J308&lt;=2,"?ACTIVATED",IF(J308&lt;&gt;"","?FAMILIAR",IF(F308="NEW",IF(ISNA(VLOOKUP(E308,#REF!,1,FALSE())),"?TYPE_IDENTIFIABLE","?REFERENTIAL"),"_")))))</f>
        <v/>
      </c>
      <c r="H308" s="22" t="str">
        <f aca="false">IF(J308&lt;&gt;1,"",IF(I308="SBJ","CB","?"))</f>
        <v/>
      </c>
      <c r="I308" s="23" t="str">
        <f aca="false">IF(OR(E308="",E308="!!!",F308="NEW"),"",INDEX(B$2:B307,-1+SUMPRODUCT(MAX(ROW(E$2:E307)*(E308=E$2:E307)))))</f>
        <v/>
      </c>
      <c r="J308" s="23" t="str">
        <f aca="true">IF(OR(E308="",E308="!!!",F308="NEW"),"",COUNTBLANK(OFFSET(A$1,,,SUMPRODUCT(MAX(ROW(E$2:E308)*(E308=E$2:E308)))))-COUNTBLANK(OFFSET(A$1,,,SUMPRODUCT(MAX(ROW(E$1:E307)*(#REF!=E$1:E307))))))</f>
        <v/>
      </c>
      <c r="K308" s="23" t="str">
        <f aca="false">IF(OR(E308="",E308="!!!",F308="NEW"),"",INDEX(J$1:J307,SUMPRODUCT(MAX(ROW(E$1:E307)*(E308=E$1:E307)))))</f>
        <v/>
      </c>
      <c r="L308" s="24"/>
    </row>
    <row r="309" customFormat="false" ht="12.75" hidden="false" customHeight="false" outlineLevel="0" collapsed="false">
      <c r="A309" s="17" t="s">
        <v>72</v>
      </c>
      <c r="E309" s="19" t="str">
        <f aca="false">IF(D309="?OLD","!!!","")</f>
        <v/>
      </c>
      <c r="F309" s="20" t="str">
        <f aca="false">IF(OR(E309="",E309="!!!"),"",IF(NOT(ISNA(VLOOKUP(E309,E$1:E308,1,FALSE()))),"OLD",IF(AND(E309&lt;&gt;"",E309&lt;&gt;"!!!"),"NEW","")))</f>
        <v/>
      </c>
      <c r="G309" s="21" t="str">
        <f aca="false">IF(OR(E309="",E309="!!!"),"",IF(OR(J309=0,AND(J309=1,K309=1),AND(J309=1,I309="SBJ"),AND(J309=1,I309=0)),"?IN_FOCUS",IF(J309&lt;=2,"?ACTIVATED",IF(J309&lt;&gt;"","?FAMILIAR",IF(F309="NEW",IF(ISNA(VLOOKUP(E309,#REF!,1,FALSE())),"?TYPE_IDENTIFIABLE","?REFERENTIAL"),"_")))))</f>
        <v/>
      </c>
      <c r="H309" s="22" t="str">
        <f aca="false">IF(J309&lt;&gt;1,"",IF(I309="SBJ","CB","?"))</f>
        <v/>
      </c>
      <c r="I309" s="23" t="str">
        <f aca="false">IF(OR(E309="",E309="!!!",F309="NEW"),"",INDEX(B$2:B308,-1+SUMPRODUCT(MAX(ROW(E$2:E308)*(E309=E$2:E308)))))</f>
        <v/>
      </c>
      <c r="J309" s="23" t="str">
        <f aca="true">IF(OR(E309="",E309="!!!",F309="NEW"),"",COUNTBLANK(OFFSET(A$1,,,SUMPRODUCT(MAX(ROW(E$2:E309)*(E309=E$2:E309)))))-COUNTBLANK(OFFSET(A$1,,,SUMPRODUCT(MAX(ROW(E$1:E308)*(#REF!=E$1:E308))))))</f>
        <v/>
      </c>
      <c r="K309" s="23" t="str">
        <f aca="false">IF(OR(E309="",E309="!!!",F309="NEW"),"",INDEX(J$1:J308,SUMPRODUCT(MAX(ROW(E$1:E308)*(E309=E$1:E308)))))</f>
        <v/>
      </c>
      <c r="L309" s="24"/>
    </row>
    <row r="310" customFormat="false" ht="12.75" hidden="false" customHeight="false" outlineLevel="0" collapsed="false">
      <c r="A310" s="17" t="s">
        <v>216</v>
      </c>
      <c r="B310" s="18" t="s">
        <v>26</v>
      </c>
      <c r="C310" s="18" t="s">
        <v>80</v>
      </c>
      <c r="D310" s="18" t="s">
        <v>19</v>
      </c>
      <c r="E310" s="19" t="str">
        <f aca="false">IF(D310="?OLD","!!!","")</f>
        <v>!!!</v>
      </c>
      <c r="F310" s="20" t="str">
        <f aca="false">IF(OR(E310="",E310="!!!"),"",IF(NOT(ISNA(VLOOKUP(E310,E$1:E309,1,FALSE()))),"OLD",IF(AND(E310&lt;&gt;"",E310&lt;&gt;"!!!"),"NEW","")))</f>
        <v/>
      </c>
      <c r="G310" s="21" t="str">
        <f aca="false">IF(OR(E310="",E310="!!!"),"",IF(OR(J310=0,AND(J310=1,K310=1),AND(J310=1,I310="SBJ"),AND(J310=1,I310=0)),"?IN_FOCUS",IF(J310&lt;=2,"?ACTIVATED",IF(J310&lt;&gt;"","?FAMILIAR",IF(F310="NEW",IF(ISNA(VLOOKUP(E310,#REF!,1,FALSE())),"?TYPE_IDENTIFIABLE","?REFERENTIAL"),"_")))))</f>
        <v/>
      </c>
      <c r="H310" s="22" t="str">
        <f aca="false">IF(J310&lt;&gt;1,"",IF(I310="SBJ","CB","?"))</f>
        <v/>
      </c>
      <c r="I310" s="23" t="str">
        <f aca="false">IF(OR(E310="",E310="!!!",F310="NEW"),"",INDEX(B$2:B309,-1+SUMPRODUCT(MAX(ROW(E$2:E309)*(E310=E$2:E309)))))</f>
        <v/>
      </c>
      <c r="J310" s="23" t="str">
        <f aca="true">IF(OR(E310="",E310="!!!",F310="NEW"),"",COUNTBLANK(OFFSET(A$1,,,SUMPRODUCT(MAX(ROW(E$2:E310)*(E310=E$2:E310)))))-COUNTBLANK(OFFSET(A$1,,,SUMPRODUCT(MAX(ROW(E$1:E309)*(#REF!=E$1:E309))))))</f>
        <v/>
      </c>
      <c r="K310" s="23" t="str">
        <f aca="false">IF(OR(E310="",E310="!!!",F310="NEW"),"",INDEX(J$1:J309,SUMPRODUCT(MAX(ROW(E$1:E309)*(E310=E$1:E309)))))</f>
        <v/>
      </c>
      <c r="L310" s="24"/>
    </row>
    <row r="311" customFormat="false" ht="12.75" hidden="false" customHeight="false" outlineLevel="0" collapsed="false">
      <c r="A311" s="17" t="s">
        <v>217</v>
      </c>
      <c r="E311" s="19" t="str">
        <f aca="false">IF(D311="?OLD","!!!","")</f>
        <v/>
      </c>
      <c r="F311" s="20" t="str">
        <f aca="false">IF(OR(E311="",E311="!!!"),"",IF(NOT(ISNA(VLOOKUP(E311,E$1:E310,1,FALSE()))),"OLD",IF(AND(E311&lt;&gt;"",E311&lt;&gt;"!!!"),"NEW","")))</f>
        <v/>
      </c>
      <c r="G311" s="21" t="str">
        <f aca="false">IF(OR(E311="",E311="!!!"),"",IF(OR(J311=0,AND(J311=1,K311=1),AND(J311=1,I311="SBJ"),AND(J311=1,I311=0)),"?IN_FOCUS",IF(J311&lt;=2,"?ACTIVATED",IF(J311&lt;&gt;"","?FAMILIAR",IF(F311="NEW",IF(ISNA(VLOOKUP(E311,#REF!,1,FALSE())),"?TYPE_IDENTIFIABLE","?REFERENTIAL"),"_")))))</f>
        <v/>
      </c>
      <c r="H311" s="22" t="str">
        <f aca="false">IF(J311&lt;&gt;1,"",IF(I311="SBJ","CB","?"))</f>
        <v/>
      </c>
      <c r="I311" s="23" t="str">
        <f aca="false">IF(OR(E311="",E311="!!!",F311="NEW"),"",INDEX(B$2:B310,-1+SUMPRODUCT(MAX(ROW(E$2:E310)*(E311=E$2:E310)))))</f>
        <v/>
      </c>
      <c r="J311" s="23" t="str">
        <f aca="true">IF(OR(E311="",E311="!!!",F311="NEW"),"",COUNTBLANK(OFFSET(A$1,,,SUMPRODUCT(MAX(ROW(E$2:E311)*(E311=E$2:E311)))))-COUNTBLANK(OFFSET(A$1,,,SUMPRODUCT(MAX(ROW(E$1:E310)*(#REF!=E$1:E310))))))</f>
        <v/>
      </c>
      <c r="K311" s="23" t="str">
        <f aca="false">IF(OR(E311="",E311="!!!",F311="NEW"),"",INDEX(J$1:J310,SUMPRODUCT(MAX(ROW(E$1:E310)*(E311=E$1:E310)))))</f>
        <v/>
      </c>
      <c r="L311" s="24"/>
    </row>
    <row r="312" customFormat="false" ht="12.75" hidden="false" customHeight="false" outlineLevel="0" collapsed="false">
      <c r="A312" s="17" t="s">
        <v>218</v>
      </c>
      <c r="E312" s="19" t="str">
        <f aca="false">IF(D312="?OLD","!!!","")</f>
        <v/>
      </c>
      <c r="F312" s="20" t="str">
        <f aca="false">IF(OR(E312="",E312="!!!"),"",IF(NOT(ISNA(VLOOKUP(E312,E$1:E311,1,FALSE()))),"OLD",IF(AND(E312&lt;&gt;"",E312&lt;&gt;"!!!"),"NEW","")))</f>
        <v/>
      </c>
      <c r="G312" s="21" t="str">
        <f aca="false">IF(OR(E312="",E312="!!!"),"",IF(OR(J312=0,AND(J312=1,K312=1),AND(J312=1,I312="SBJ"),AND(J312=1,I312=0)),"?IN_FOCUS",IF(J312&lt;=2,"?ACTIVATED",IF(J312&lt;&gt;"","?FAMILIAR",IF(F312="NEW",IF(ISNA(VLOOKUP(E312,#REF!,1,FALSE())),"?TYPE_IDENTIFIABLE","?REFERENTIAL"),"_")))))</f>
        <v/>
      </c>
      <c r="H312" s="22" t="str">
        <f aca="false">IF(J312&lt;&gt;1,"",IF(I312="SBJ","CB","?"))</f>
        <v/>
      </c>
      <c r="I312" s="23" t="str">
        <f aca="false">IF(OR(E312="",E312="!!!",F312="NEW"),"",INDEX(B$2:B311,-1+SUMPRODUCT(MAX(ROW(E$2:E311)*(E312=E$2:E311)))))</f>
        <v/>
      </c>
      <c r="J312" s="23" t="str">
        <f aca="true">IF(OR(E312="",E312="!!!",F312="NEW"),"",COUNTBLANK(OFFSET(A$1,,,SUMPRODUCT(MAX(ROW(E$2:E312)*(E312=E$2:E312)))))-COUNTBLANK(OFFSET(A$1,,,SUMPRODUCT(MAX(ROW(E$1:E311)*(#REF!=E$1:E311))))))</f>
        <v/>
      </c>
      <c r="K312" s="23" t="str">
        <f aca="false">IF(OR(E312="",E312="!!!",F312="NEW"),"",INDEX(J$1:J311,SUMPRODUCT(MAX(ROW(E$1:E311)*(E312=E$1:E311)))))</f>
        <v/>
      </c>
      <c r="L312" s="24"/>
    </row>
    <row r="313" customFormat="false" ht="12.75" hidden="false" customHeight="false" outlineLevel="0" collapsed="false">
      <c r="A313" s="17" t="s">
        <v>219</v>
      </c>
      <c r="B313" s="18" t="s">
        <v>150</v>
      </c>
      <c r="C313" s="18" t="s">
        <v>80</v>
      </c>
      <c r="D313" s="18" t="s">
        <v>19</v>
      </c>
      <c r="E313" s="19" t="str">
        <f aca="false">IF(D313="?OLD","!!!","")</f>
        <v>!!!</v>
      </c>
      <c r="F313" s="20" t="str">
        <f aca="false">IF(OR(E313="",E313="!!!"),"",IF(NOT(ISNA(VLOOKUP(E313,E$1:E312,1,FALSE()))),"OLD",IF(AND(E313&lt;&gt;"",E313&lt;&gt;"!!!"),"NEW","")))</f>
        <v/>
      </c>
      <c r="G313" s="21" t="str">
        <f aca="false">IF(OR(E313="",E313="!!!"),"",IF(OR(J313=0,AND(J313=1,K313=1),AND(J313=1,I313="SBJ"),AND(J313=1,I313=0)),"?IN_FOCUS",IF(J313&lt;=2,"?ACTIVATED",IF(J313&lt;&gt;"","?FAMILIAR",IF(F313="NEW",IF(ISNA(VLOOKUP(E313,#REF!,1,FALSE())),"?TYPE_IDENTIFIABLE","?REFERENTIAL"),"_")))))</f>
        <v/>
      </c>
      <c r="H313" s="22" t="str">
        <f aca="false">IF(J313&lt;&gt;1,"",IF(I313="SBJ","CB","?"))</f>
        <v/>
      </c>
      <c r="I313" s="23" t="str">
        <f aca="false">IF(OR(E313="",E313="!!!",F313="NEW"),"",INDEX(B$2:B312,-1+SUMPRODUCT(MAX(ROW(E$2:E312)*(E313=E$2:E312)))))</f>
        <v/>
      </c>
      <c r="J313" s="23" t="str">
        <f aca="true">IF(OR(E313="",E313="!!!",F313="NEW"),"",COUNTBLANK(OFFSET(A$1,,,SUMPRODUCT(MAX(ROW(E$2:E313)*(E313=E$2:E313)))))-COUNTBLANK(OFFSET(A$1,,,SUMPRODUCT(MAX(ROW(E$1:E312)*(#REF!=E$1:E312))))))</f>
        <v/>
      </c>
      <c r="K313" s="23" t="str">
        <f aca="false">IF(OR(E313="",E313="!!!",F313="NEW"),"",INDEX(J$1:J312,SUMPRODUCT(MAX(ROW(E$1:E312)*(E313=E$1:E312)))))</f>
        <v/>
      </c>
      <c r="L313" s="24"/>
    </row>
    <row r="314" customFormat="false" ht="12.75" hidden="false" customHeight="false" outlineLevel="0" collapsed="false">
      <c r="A314" s="17" t="s">
        <v>220</v>
      </c>
      <c r="E314" s="19" t="str">
        <f aca="false">IF(D314="?OLD","!!!","")</f>
        <v/>
      </c>
      <c r="F314" s="20" t="str">
        <f aca="false">IF(OR(E314="",E314="!!!"),"",IF(NOT(ISNA(VLOOKUP(E314,E$1:E313,1,FALSE()))),"OLD",IF(AND(E314&lt;&gt;"",E314&lt;&gt;"!!!"),"NEW","")))</f>
        <v/>
      </c>
      <c r="G314" s="21" t="str">
        <f aca="false">IF(OR(E314="",E314="!!!"),"",IF(OR(J314=0,AND(J314=1,K314=1),AND(J314=1,I314="SBJ"),AND(J314=1,I314=0)),"?IN_FOCUS",IF(J314&lt;=2,"?ACTIVATED",IF(J314&lt;&gt;"","?FAMILIAR",IF(F314="NEW",IF(ISNA(VLOOKUP(E314,#REF!,1,FALSE())),"?TYPE_IDENTIFIABLE","?REFERENTIAL"),"_")))))</f>
        <v/>
      </c>
      <c r="H314" s="22" t="str">
        <f aca="false">IF(J314&lt;&gt;1,"",IF(I314="SBJ","CB","?"))</f>
        <v/>
      </c>
      <c r="I314" s="23" t="str">
        <f aca="false">IF(OR(E314="",E314="!!!",F314="NEW"),"",INDEX(B$2:B313,-1+SUMPRODUCT(MAX(ROW(E$2:E313)*(E314=E$2:E313)))))</f>
        <v/>
      </c>
      <c r="J314" s="23" t="str">
        <f aca="true">IF(OR(E314="",E314="!!!",F314="NEW"),"",COUNTBLANK(OFFSET(A$1,,,SUMPRODUCT(MAX(ROW(E$2:E314)*(E314=E$2:E314)))))-COUNTBLANK(OFFSET(A$1,,,SUMPRODUCT(MAX(ROW(E$1:E313)*(#REF!=E$1:E313))))))</f>
        <v/>
      </c>
      <c r="K314" s="23" t="str">
        <f aca="false">IF(OR(E314="",E314="!!!",F314="NEW"),"",INDEX(J$1:J313,SUMPRODUCT(MAX(ROW(E$1:E313)*(E314=E$1:E313)))))</f>
        <v/>
      </c>
      <c r="L314" s="24"/>
    </row>
    <row r="315" customFormat="false" ht="12.75" hidden="false" customHeight="false" outlineLevel="0" collapsed="false">
      <c r="A315" s="17" t="s">
        <v>221</v>
      </c>
      <c r="E315" s="19" t="str">
        <f aca="false">IF(D315="?OLD","!!!","")</f>
        <v/>
      </c>
      <c r="F315" s="20" t="str">
        <f aca="false">IF(OR(E315="",E315="!!!"),"",IF(NOT(ISNA(VLOOKUP(E315,E$1:E314,1,FALSE()))),"OLD",IF(AND(E315&lt;&gt;"",E315&lt;&gt;"!!!"),"NEW","")))</f>
        <v/>
      </c>
      <c r="G315" s="21" t="str">
        <f aca="false">IF(OR(E315="",E315="!!!"),"",IF(OR(J315=0,AND(J315=1,K315=1),AND(J315=1,I315="SBJ"),AND(J315=1,I315=0)),"?IN_FOCUS",IF(J315&lt;=2,"?ACTIVATED",IF(J315&lt;&gt;"","?FAMILIAR",IF(F315="NEW",IF(ISNA(VLOOKUP(E315,#REF!,1,FALSE())),"?TYPE_IDENTIFIABLE","?REFERENTIAL"),"_")))))</f>
        <v/>
      </c>
      <c r="H315" s="22" t="str">
        <f aca="false">IF(J315&lt;&gt;1,"",IF(I315="SBJ","CB","?"))</f>
        <v/>
      </c>
      <c r="I315" s="23" t="str">
        <f aca="false">IF(OR(E315="",E315="!!!",F315="NEW"),"",INDEX(B$2:B314,-1+SUMPRODUCT(MAX(ROW(E$2:E314)*(E315=E$2:E314)))))</f>
        <v/>
      </c>
      <c r="J315" s="23" t="str">
        <f aca="true">IF(OR(E315="",E315="!!!",F315="NEW"),"",COUNTBLANK(OFFSET(A$1,,,SUMPRODUCT(MAX(ROW(E$2:E315)*(E315=E$2:E315)))))-COUNTBLANK(OFFSET(A$1,,,SUMPRODUCT(MAX(ROW(E$1:E314)*(#REF!=E$1:E314))))))</f>
        <v/>
      </c>
      <c r="K315" s="23" t="str">
        <f aca="false">IF(OR(E315="",E315="!!!",F315="NEW"),"",INDEX(J$1:J314,SUMPRODUCT(MAX(ROW(E$1:E314)*(E315=E$1:E314)))))</f>
        <v/>
      </c>
      <c r="L315" s="24"/>
    </row>
    <row r="316" customFormat="false" ht="12.75" hidden="false" customHeight="false" outlineLevel="0" collapsed="false">
      <c r="A316" s="17" t="s">
        <v>127</v>
      </c>
      <c r="B316" s="18" t="s">
        <v>84</v>
      </c>
      <c r="C316" s="18" t="s">
        <v>91</v>
      </c>
      <c r="E316" s="19" t="str">
        <f aca="false">IF(D316="?OLD","!!!","")</f>
        <v/>
      </c>
      <c r="F316" s="20" t="str">
        <f aca="false">IF(OR(E316="",E316="!!!"),"",IF(NOT(ISNA(VLOOKUP(E316,E$1:E315,1,FALSE()))),"OLD",IF(AND(E316&lt;&gt;"",E316&lt;&gt;"!!!"),"NEW","")))</f>
        <v/>
      </c>
      <c r="G316" s="21" t="str">
        <f aca="false">IF(OR(E316="",E316="!!!"),"",IF(OR(J316=0,AND(J316=1,K316=1),AND(J316=1,I316="SBJ"),AND(J316=1,I316=0)),"?IN_FOCUS",IF(J316&lt;=2,"?ACTIVATED",IF(J316&lt;&gt;"","?FAMILIAR",IF(F316="NEW",IF(ISNA(VLOOKUP(E316,#REF!,1,FALSE())),"?TYPE_IDENTIFIABLE","?REFERENTIAL"),"_")))))</f>
        <v/>
      </c>
      <c r="H316" s="22" t="str">
        <f aca="false">IF(J316&lt;&gt;1,"",IF(I316="SBJ","CB","?"))</f>
        <v/>
      </c>
      <c r="I316" s="23" t="str">
        <f aca="false">IF(OR(E316="",E316="!!!",F316="NEW"),"",INDEX(B$2:B315,-1+SUMPRODUCT(MAX(ROW(E$2:E315)*(E316=E$2:E315)))))</f>
        <v/>
      </c>
      <c r="J316" s="23" t="str">
        <f aca="true">IF(OR(E316="",E316="!!!",F316="NEW"),"",COUNTBLANK(OFFSET(A$1,,,SUMPRODUCT(MAX(ROW(E$2:E316)*(E316=E$2:E316)))))-COUNTBLANK(OFFSET(A$1,,,SUMPRODUCT(MAX(ROW(E$1:E315)*(#REF!=E$1:E315))))))</f>
        <v/>
      </c>
      <c r="K316" s="23" t="str">
        <f aca="false">IF(OR(E316="",E316="!!!",F316="NEW"),"",INDEX(J$1:J315,SUMPRODUCT(MAX(ROW(E$1:E315)*(E316=E$1:E315)))))</f>
        <v/>
      </c>
      <c r="L316" s="24"/>
    </row>
    <row r="317" customFormat="false" ht="12.75" hidden="false" customHeight="false" outlineLevel="0" collapsed="false">
      <c r="A317" s="17" t="s">
        <v>44</v>
      </c>
      <c r="E317" s="19" t="str">
        <f aca="false">IF(D317="?OLD","!!!","")</f>
        <v/>
      </c>
      <c r="F317" s="20" t="str">
        <f aca="false">IF(OR(E317="",E317="!!!"),"",IF(NOT(ISNA(VLOOKUP(E317,E$1:E316,1,FALSE()))),"OLD",IF(AND(E317&lt;&gt;"",E317&lt;&gt;"!!!"),"NEW","")))</f>
        <v/>
      </c>
      <c r="G317" s="21" t="str">
        <f aca="false">IF(OR(E317="",E317="!!!"),"",IF(OR(J317=0,AND(J317=1,K317=1),AND(J317=1,I317="SBJ"),AND(J317=1,I317=0)),"?IN_FOCUS",IF(J317&lt;=2,"?ACTIVATED",IF(J317&lt;&gt;"","?FAMILIAR",IF(F317="NEW",IF(ISNA(VLOOKUP(E317,#REF!,1,FALSE())),"?TYPE_IDENTIFIABLE","?REFERENTIAL"),"_")))))</f>
        <v/>
      </c>
      <c r="H317" s="22" t="str">
        <f aca="false">IF(J317&lt;&gt;1,"",IF(I317="SBJ","CB","?"))</f>
        <v/>
      </c>
      <c r="I317" s="23" t="str">
        <f aca="false">IF(OR(E317="",E317="!!!",F317="NEW"),"",INDEX(B$2:B316,-1+SUMPRODUCT(MAX(ROW(E$2:E316)*(E317=E$2:E316)))))</f>
        <v/>
      </c>
      <c r="J317" s="23" t="str">
        <f aca="true">IF(OR(E317="",E317="!!!",F317="NEW"),"",COUNTBLANK(OFFSET(A$1,,,SUMPRODUCT(MAX(ROW(E$2:E317)*(E317=E$2:E317)))))-COUNTBLANK(OFFSET(A$1,,,SUMPRODUCT(MAX(ROW(E$1:E316)*(#REF!=E$1:E316))))))</f>
        <v/>
      </c>
      <c r="K317" s="23" t="str">
        <f aca="false">IF(OR(E317="",E317="!!!",F317="NEW"),"",INDEX(J$1:J316,SUMPRODUCT(MAX(ROW(E$1:E316)*(E317=E$1:E316)))))</f>
        <v/>
      </c>
      <c r="L317" s="24"/>
    </row>
    <row r="318" customFormat="false" ht="12.75" hidden="false" customHeight="false" outlineLevel="0" collapsed="false">
      <c r="A318" s="17" t="s">
        <v>222</v>
      </c>
      <c r="B318" s="18" t="s">
        <v>87</v>
      </c>
      <c r="C318" s="18" t="s">
        <v>43</v>
      </c>
      <c r="D318" s="18" t="s">
        <v>19</v>
      </c>
      <c r="E318" s="19" t="str">
        <f aca="false">IF(D318="?OLD","!!!","")</f>
        <v>!!!</v>
      </c>
      <c r="F318" s="20" t="str">
        <f aca="false">IF(OR(E318="",E318="!!!"),"",IF(NOT(ISNA(VLOOKUP(E318,E$1:E317,1,FALSE()))),"OLD",IF(AND(E318&lt;&gt;"",E318&lt;&gt;"!!!"),"NEW","")))</f>
        <v/>
      </c>
      <c r="G318" s="21" t="str">
        <f aca="false">IF(OR(E318="",E318="!!!"),"",IF(OR(J318=0,AND(J318=1,K318=1),AND(J318=1,I318="SBJ"),AND(J318=1,I318=0)),"?IN_FOCUS",IF(J318&lt;=2,"?ACTIVATED",IF(J318&lt;&gt;"","?FAMILIAR",IF(F318="NEW",IF(ISNA(VLOOKUP(E318,#REF!,1,FALSE())),"?TYPE_IDENTIFIABLE","?REFERENTIAL"),"_")))))</f>
        <v/>
      </c>
      <c r="H318" s="22" t="str">
        <f aca="false">IF(J318&lt;&gt;1,"",IF(I318="SBJ","CB","?"))</f>
        <v/>
      </c>
      <c r="I318" s="23" t="str">
        <f aca="false">IF(OR(E318="",E318="!!!",F318="NEW"),"",INDEX(B$2:B317,-1+SUMPRODUCT(MAX(ROW(E$2:E317)*(E318=E$2:E317)))))</f>
        <v/>
      </c>
      <c r="J318" s="23" t="str">
        <f aca="true">IF(OR(E318="",E318="!!!",F318="NEW"),"",COUNTBLANK(OFFSET(A$1,,,SUMPRODUCT(MAX(ROW(E$2:E318)*(E318=E$2:E318)))))-COUNTBLANK(OFFSET(A$1,,,SUMPRODUCT(MAX(ROW(E$1:E317)*(#REF!=E$1:E317))))))</f>
        <v/>
      </c>
      <c r="K318" s="23" t="str">
        <f aca="false">IF(OR(E318="",E318="!!!",F318="NEW"),"",INDEX(J$1:J317,SUMPRODUCT(MAX(ROW(E$1:E317)*(E318=E$1:E317)))))</f>
        <v/>
      </c>
      <c r="L318" s="24"/>
    </row>
    <row r="319" customFormat="false" ht="12.75" hidden="false" customHeight="false" outlineLevel="0" collapsed="false">
      <c r="A319" s="17" t="s">
        <v>70</v>
      </c>
      <c r="E319" s="19" t="str">
        <f aca="false">IF(D319="?OLD","!!!","")</f>
        <v/>
      </c>
      <c r="F319" s="20" t="str">
        <f aca="false">IF(OR(E319="",E319="!!!"),"",IF(NOT(ISNA(VLOOKUP(E319,E$1:E318,1,FALSE()))),"OLD",IF(AND(E319&lt;&gt;"",E319&lt;&gt;"!!!"),"NEW","")))</f>
        <v/>
      </c>
      <c r="G319" s="21" t="str">
        <f aca="false">IF(OR(E319="",E319="!!!"),"",IF(OR(J319=0,AND(J319=1,K319=1),AND(J319=1,I319="SBJ"),AND(J319=1,I319=0)),"?IN_FOCUS",IF(J319&lt;=2,"?ACTIVATED",IF(J319&lt;&gt;"","?FAMILIAR",IF(F319="NEW",IF(ISNA(VLOOKUP(E319,#REF!,1,FALSE())),"?TYPE_IDENTIFIABLE","?REFERENTIAL"),"_")))))</f>
        <v/>
      </c>
      <c r="H319" s="22" t="str">
        <f aca="false">IF(J319&lt;&gt;1,"",IF(I319="SBJ","CB","?"))</f>
        <v/>
      </c>
      <c r="I319" s="23" t="str">
        <f aca="false">IF(OR(E319="",E319="!!!",F319="NEW"),"",INDEX(B$2:B318,-1+SUMPRODUCT(MAX(ROW(E$2:E318)*(E319=E$2:E318)))))</f>
        <v/>
      </c>
      <c r="J319" s="23" t="str">
        <f aca="true">IF(OR(E319="",E319="!!!",F319="NEW"),"",COUNTBLANK(OFFSET(A$1,,,SUMPRODUCT(MAX(ROW(E$2:E319)*(E319=E$2:E319)))))-COUNTBLANK(OFFSET(A$1,,,SUMPRODUCT(MAX(ROW(E$1:E318)*(#REF!=E$1:E318))))))</f>
        <v/>
      </c>
      <c r="K319" s="23" t="str">
        <f aca="false">IF(OR(E319="",E319="!!!",F319="NEW"),"",INDEX(J$1:J318,SUMPRODUCT(MAX(ROW(E$1:E318)*(E319=E$1:E318)))))</f>
        <v/>
      </c>
      <c r="L319" s="24"/>
    </row>
    <row r="320" customFormat="false" ht="12.75" hidden="false" customHeight="false" outlineLevel="0" collapsed="false">
      <c r="A320" s="17" t="s">
        <v>86</v>
      </c>
      <c r="B320" s="18" t="s">
        <v>137</v>
      </c>
      <c r="C320" s="18" t="s">
        <v>43</v>
      </c>
      <c r="D320" s="18" t="s">
        <v>19</v>
      </c>
      <c r="E320" s="19" t="str">
        <f aca="false">IF(D320="?OLD","!!!","")</f>
        <v>!!!</v>
      </c>
      <c r="F320" s="20" t="str">
        <f aca="false">IF(OR(E320="",E320="!!!"),"",IF(NOT(ISNA(VLOOKUP(E320,E$1:E319,1,FALSE()))),"OLD",IF(AND(E320&lt;&gt;"",E320&lt;&gt;"!!!"),"NEW","")))</f>
        <v/>
      </c>
      <c r="G320" s="21" t="str">
        <f aca="false">IF(OR(E320="",E320="!!!"),"",IF(OR(J320=0,AND(J320=1,K320=1),AND(J320=1,I320="SBJ"),AND(J320=1,I320=0)),"?IN_FOCUS",IF(J320&lt;=2,"?ACTIVATED",IF(J320&lt;&gt;"","?FAMILIAR",IF(F320="NEW",IF(ISNA(VLOOKUP(E320,#REF!,1,FALSE())),"?TYPE_IDENTIFIABLE","?REFERENTIAL"),"_")))))</f>
        <v/>
      </c>
      <c r="H320" s="22" t="str">
        <f aca="false">IF(J320&lt;&gt;1,"",IF(I320="SBJ","CB","?"))</f>
        <v/>
      </c>
      <c r="I320" s="23" t="str">
        <f aca="false">IF(OR(E320="",E320="!!!",F320="NEW"),"",INDEX(B$2:B319,-1+SUMPRODUCT(MAX(ROW(E$2:E319)*(E320=E$2:E319)))))</f>
        <v/>
      </c>
      <c r="J320" s="23" t="str">
        <f aca="true">IF(OR(E320="",E320="!!!",F320="NEW"),"",COUNTBLANK(OFFSET(A$1,,,SUMPRODUCT(MAX(ROW(E$2:E320)*(E320=E$2:E320)))))-COUNTBLANK(OFFSET(A$1,,,SUMPRODUCT(MAX(ROW(E$1:E319)*(#REF!=E$1:E319))))))</f>
        <v/>
      </c>
      <c r="K320" s="23" t="str">
        <f aca="false">IF(OR(E320="",E320="!!!",F320="NEW"),"",INDEX(J$1:J319,SUMPRODUCT(MAX(ROW(E$1:E319)*(E320=E$1:E319)))))</f>
        <v/>
      </c>
      <c r="L320" s="24"/>
    </row>
    <row r="321" customFormat="false" ht="12.75" hidden="false" customHeight="false" outlineLevel="0" collapsed="false">
      <c r="A321" s="17" t="s">
        <v>59</v>
      </c>
      <c r="E321" s="19" t="str">
        <f aca="false">IF(D321="?OLD","!!!","")</f>
        <v/>
      </c>
      <c r="F321" s="20" t="str">
        <f aca="false">IF(OR(E321="",E321="!!!"),"",IF(NOT(ISNA(VLOOKUP(E321,E$1:E320,1,FALSE()))),"OLD",IF(AND(E321&lt;&gt;"",E321&lt;&gt;"!!!"),"NEW","")))</f>
        <v/>
      </c>
      <c r="G321" s="21" t="str">
        <f aca="false">IF(OR(E321="",E321="!!!"),"",IF(OR(J321=0,AND(J321=1,K321=1),AND(J321=1,I321="SBJ"),AND(J321=1,I321=0)),"?IN_FOCUS",IF(J321&lt;=2,"?ACTIVATED",IF(J321&lt;&gt;"","?FAMILIAR",IF(F321="NEW",IF(ISNA(VLOOKUP(E321,#REF!,1,FALSE())),"?TYPE_IDENTIFIABLE","?REFERENTIAL"),"_")))))</f>
        <v/>
      </c>
      <c r="H321" s="22" t="str">
        <f aca="false">IF(J321&lt;&gt;1,"",IF(I321="SBJ","CB","?"))</f>
        <v/>
      </c>
      <c r="I321" s="23" t="str">
        <f aca="false">IF(OR(E321="",E321="!!!",F321="NEW"),"",INDEX(B$2:B320,-1+SUMPRODUCT(MAX(ROW(E$2:E320)*(E321=E$2:E320)))))</f>
        <v/>
      </c>
      <c r="J321" s="23" t="str">
        <f aca="true">IF(OR(E321="",E321="!!!",F321="NEW"),"",COUNTBLANK(OFFSET(A$1,,,SUMPRODUCT(MAX(ROW(E$2:E321)*(E321=E$2:E321)))))-COUNTBLANK(OFFSET(A$1,,,SUMPRODUCT(MAX(ROW(E$1:E320)*(#REF!=E$1:E320))))))</f>
        <v/>
      </c>
      <c r="K321" s="23" t="str">
        <f aca="false">IF(OR(E321="",E321="!!!",F321="NEW"),"",INDEX(J$1:J320,SUMPRODUCT(MAX(ROW(E$1:E320)*(E321=E$1:E320)))))</f>
        <v/>
      </c>
      <c r="L321" s="24"/>
    </row>
    <row r="322" customFormat="false" ht="12.75" hidden="false" customHeight="false" outlineLevel="0" collapsed="false">
      <c r="A322" s="17" t="s">
        <v>72</v>
      </c>
      <c r="E322" s="19" t="str">
        <f aca="false">IF(D322="?OLD","!!!","")</f>
        <v/>
      </c>
      <c r="F322" s="20" t="str">
        <f aca="false">IF(OR(E322="",E322="!!!"),"",IF(NOT(ISNA(VLOOKUP(E322,E$1:E321,1,FALSE()))),"OLD",IF(AND(E322&lt;&gt;"",E322&lt;&gt;"!!!"),"NEW","")))</f>
        <v/>
      </c>
      <c r="G322" s="21" t="str">
        <f aca="false">IF(OR(E322="",E322="!!!"),"",IF(OR(J322=0,AND(J322=1,K322=1),AND(J322=1,I322="SBJ"),AND(J322=1,I322=0)),"?IN_FOCUS",IF(J322&lt;=2,"?ACTIVATED",IF(J322&lt;&gt;"","?FAMILIAR",IF(F322="NEW",IF(ISNA(VLOOKUP(E322,#REF!,1,FALSE())),"?TYPE_IDENTIFIABLE","?REFERENTIAL"),"_")))))</f>
        <v/>
      </c>
      <c r="H322" s="22" t="str">
        <f aca="false">IF(J322&lt;&gt;1,"",IF(I322="SBJ","CB","?"))</f>
        <v/>
      </c>
      <c r="I322" s="23" t="str">
        <f aca="false">IF(OR(E322="",E322="!!!",F322="NEW"),"",INDEX(B$2:B321,-1+SUMPRODUCT(MAX(ROW(E$2:E321)*(E322=E$2:E321)))))</f>
        <v/>
      </c>
      <c r="J322" s="23" t="str">
        <f aca="true">IF(OR(E322="",E322="!!!",F322="NEW"),"",COUNTBLANK(OFFSET(A$1,,,SUMPRODUCT(MAX(ROW(E$2:E322)*(E322=E$2:E322)))))-COUNTBLANK(OFFSET(A$1,,,SUMPRODUCT(MAX(ROW(E$1:E321)*(#REF!=E$1:E321))))))</f>
        <v/>
      </c>
      <c r="K322" s="23" t="str">
        <f aca="false">IF(OR(E322="",E322="!!!",F322="NEW"),"",INDEX(J$1:J321,SUMPRODUCT(MAX(ROW(E$1:E321)*(E322=E$1:E321)))))</f>
        <v/>
      </c>
      <c r="L322" s="24"/>
    </row>
    <row r="323" customFormat="false" ht="12.75" hidden="false" customHeight="false" outlineLevel="0" collapsed="false">
      <c r="A323" s="17"/>
    </row>
    <row r="324" customFormat="false" ht="12.75" hidden="false" customHeight="false" outlineLevel="0" collapsed="false">
      <c r="A324" s="17" t="s">
        <v>60</v>
      </c>
      <c r="E324" s="19" t="str">
        <f aca="false">IF(D324="?OLD","!!!","")</f>
        <v/>
      </c>
      <c r="F324" s="20" t="str">
        <f aca="false">IF(OR(E324="",E324="!!!"),"",IF(NOT(ISNA(VLOOKUP(E324,E$1:E323,1,FALSE()))),"OLD",IF(AND(E324&lt;&gt;"",E324&lt;&gt;"!!!"),"NEW","")))</f>
        <v/>
      </c>
      <c r="G324" s="21" t="str">
        <f aca="false">IF(OR(E324="",E324="!!!"),"",IF(OR(J324=0,AND(J324=1,K324=1),AND(J324=1,I324="SBJ"),AND(J324=1,I324=0)),"?IN_FOCUS",IF(J324&lt;=2,"?ACTIVATED",IF(J324&lt;&gt;"","?FAMILIAR",IF(F324="NEW",IF(ISNA(VLOOKUP(E324,#REF!,1,FALSE())),"?TYPE_IDENTIFIABLE","?REFERENTIAL"),"_")))))</f>
        <v/>
      </c>
      <c r="H324" s="22" t="str">
        <f aca="false">IF(J324&lt;&gt;1,"",IF(I324="SBJ","CB","?"))</f>
        <v/>
      </c>
      <c r="I324" s="23" t="str">
        <f aca="false">IF(OR(E324="",E324="!!!",F324="NEW"),"",INDEX(B$2:B323,-1+SUMPRODUCT(MAX(ROW(E$2:E323)*(E324=E$2:E323)))))</f>
        <v/>
      </c>
      <c r="J324" s="23" t="str">
        <f aca="true">IF(OR(E324="",E324="!!!",F324="NEW"),"",COUNTBLANK(OFFSET(A$1,,,SUMPRODUCT(MAX(ROW(E$2:E324)*(E324=E$2:E324)))))-COUNTBLANK(OFFSET(A$1,,,SUMPRODUCT(MAX(ROW(E$1:E323)*(#REF!=E$1:E323))))))</f>
        <v/>
      </c>
      <c r="K324" s="23" t="str">
        <f aca="false">IF(OR(E324="",E324="!!!",F324="NEW"),"",INDEX(J$1:J323,SUMPRODUCT(MAX(ROW(E$1:E323)*(E324=E$1:E323)))))</f>
        <v/>
      </c>
      <c r="L324" s="24"/>
    </row>
    <row r="325" customFormat="false" ht="12.75" hidden="false" customHeight="false" outlineLevel="0" collapsed="false">
      <c r="A325" s="17" t="s">
        <v>223</v>
      </c>
    </row>
    <row r="326" customFormat="false" ht="12.75" hidden="false" customHeight="false" outlineLevel="0" collapsed="false">
      <c r="A326" s="17" t="s">
        <v>132</v>
      </c>
      <c r="B326" s="18" t="s">
        <v>38</v>
      </c>
      <c r="C326" s="18" t="s">
        <v>80</v>
      </c>
      <c r="D326" s="18" t="s">
        <v>19</v>
      </c>
      <c r="E326" s="19" t="str">
        <f aca="false">IF(D326="?OLD","!!!","")</f>
        <v>!!!</v>
      </c>
      <c r="F326" s="20" t="str">
        <f aca="false">IF(OR(E326="",E326="!!!"),"",IF(NOT(ISNA(VLOOKUP(E326,E$1:E325,1,FALSE()))),"OLD",IF(AND(E326&lt;&gt;"",E326&lt;&gt;"!!!"),"NEW","")))</f>
        <v/>
      </c>
      <c r="G326" s="21" t="str">
        <f aca="false">IF(OR(E326="",E326="!!!"),"",IF(OR(J326=0,AND(J326=1,K326=1),AND(J326=1,I326="SBJ"),AND(J326=1,I326=0)),"?IN_FOCUS",IF(J326&lt;=2,"?ACTIVATED",IF(J326&lt;&gt;"","?FAMILIAR",IF(F326="NEW",IF(ISNA(VLOOKUP(E326,#REF!,1,FALSE())),"?TYPE_IDENTIFIABLE","?REFERENTIAL"),"_")))))</f>
        <v/>
      </c>
      <c r="H326" s="22" t="str">
        <f aca="false">IF(J326&lt;&gt;1,"",IF(I326="SBJ","CB","?"))</f>
        <v/>
      </c>
      <c r="I326" s="23" t="str">
        <f aca="false">IF(OR(E326="",E326="!!!",F326="NEW"),"",INDEX(B$2:B325,-1+SUMPRODUCT(MAX(ROW(E$2:E325)*(E326=E$2:E325)))))</f>
        <v/>
      </c>
      <c r="J326" s="23" t="str">
        <f aca="true">IF(OR(E326="",E326="!!!",F326="NEW"),"",COUNTBLANK(OFFSET(A$1,,,SUMPRODUCT(MAX(ROW(E$2:E326)*(E326=E$2:E326)))))-COUNTBLANK(OFFSET(A$1,,,SUMPRODUCT(MAX(ROW(E$1:E325)*(#REF!=E$1:E325))))))</f>
        <v/>
      </c>
      <c r="K326" s="23" t="str">
        <f aca="false">IF(OR(E326="",E326="!!!",F326="NEW"),"",INDEX(J$1:J325,SUMPRODUCT(MAX(ROW(E$1:E325)*(E326=E$1:E325)))))</f>
        <v/>
      </c>
      <c r="L326" s="24"/>
    </row>
    <row r="327" customFormat="false" ht="12.75" hidden="false" customHeight="false" outlineLevel="0" collapsed="false">
      <c r="A327" s="17" t="s">
        <v>224</v>
      </c>
      <c r="E327" s="19" t="str">
        <f aca="false">IF(D327="?OLD","!!!","")</f>
        <v/>
      </c>
      <c r="F327" s="20" t="str">
        <f aca="false">IF(OR(E327="",E327="!!!"),"",IF(NOT(ISNA(VLOOKUP(E327,E$1:E326,1,FALSE()))),"OLD",IF(AND(E327&lt;&gt;"",E327&lt;&gt;"!!!"),"NEW","")))</f>
        <v/>
      </c>
      <c r="G327" s="21" t="str">
        <f aca="false">IF(OR(E327="",E327="!!!"),"",IF(OR(J327=0,AND(J327=1,K327=1),AND(J327=1,I327="SBJ"),AND(J327=1,I327=0)),"?IN_FOCUS",IF(J327&lt;=2,"?ACTIVATED",IF(J327&lt;&gt;"","?FAMILIAR",IF(F327="NEW",IF(ISNA(VLOOKUP(E327,#REF!,1,FALSE())),"?TYPE_IDENTIFIABLE","?REFERENTIAL"),"_")))))</f>
        <v/>
      </c>
      <c r="H327" s="22" t="str">
        <f aca="false">IF(J327&lt;&gt;1,"",IF(I327="SBJ","CB","?"))</f>
        <v/>
      </c>
      <c r="I327" s="23" t="str">
        <f aca="false">IF(OR(E327="",E327="!!!",F327="NEW"),"",INDEX(B$2:B326,-1+SUMPRODUCT(MAX(ROW(E$2:E326)*(E327=E$2:E326)))))</f>
        <v/>
      </c>
      <c r="J327" s="23" t="str">
        <f aca="true">IF(OR(E327="",E327="!!!",F327="NEW"),"",COUNTBLANK(OFFSET(A$1,,,SUMPRODUCT(MAX(ROW(E$2:E327)*(E327=E$2:E327)))))-COUNTBLANK(OFFSET(A$1,,,SUMPRODUCT(MAX(ROW(E$1:E326)*(#REF!=E$1:E326))))))</f>
        <v/>
      </c>
      <c r="K327" s="23" t="str">
        <f aca="false">IF(OR(E327="",E327="!!!",F327="NEW"),"",INDEX(J$1:J326,SUMPRODUCT(MAX(ROW(E$1:E326)*(E327=E$1:E326)))))</f>
        <v/>
      </c>
      <c r="L327" s="24"/>
    </row>
    <row r="328" customFormat="false" ht="12.75" hidden="false" customHeight="false" outlineLevel="0" collapsed="false">
      <c r="A328" s="17" t="s">
        <v>225</v>
      </c>
      <c r="E328" s="19" t="str">
        <f aca="false">IF(D328="?OLD","!!!","")</f>
        <v/>
      </c>
      <c r="F328" s="20" t="str">
        <f aca="false">IF(OR(E328="",E328="!!!"),"",IF(NOT(ISNA(VLOOKUP(E328,E$1:E327,1,FALSE()))),"OLD",IF(AND(E328&lt;&gt;"",E328&lt;&gt;"!!!"),"NEW","")))</f>
        <v/>
      </c>
      <c r="G328" s="21" t="str">
        <f aca="false">IF(OR(E328="",E328="!!!"),"",IF(OR(J328=0,AND(J328=1,K328=1),AND(J328=1,I328="SBJ"),AND(J328=1,I328=0)),"?IN_FOCUS",IF(J328&lt;=2,"?ACTIVATED",IF(J328&lt;&gt;"","?FAMILIAR",IF(F328="NEW",IF(ISNA(VLOOKUP(E328,#REF!,1,FALSE())),"?TYPE_IDENTIFIABLE","?REFERENTIAL"),"_")))))</f>
        <v/>
      </c>
      <c r="H328" s="22" t="str">
        <f aca="false">IF(J328&lt;&gt;1,"",IF(I328="SBJ","CB","?"))</f>
        <v/>
      </c>
      <c r="I328" s="23" t="str">
        <f aca="false">IF(OR(E328="",E328="!!!",F328="NEW"),"",INDEX(B$2:B327,-1+SUMPRODUCT(MAX(ROW(E$2:E327)*(E328=E$2:E327)))))</f>
        <v/>
      </c>
      <c r="J328" s="23" t="str">
        <f aca="true">IF(OR(E328="",E328="!!!",F328="NEW"),"",COUNTBLANK(OFFSET(A$1,,,SUMPRODUCT(MAX(ROW(E$2:E328)*(E328=E$2:E328)))))-COUNTBLANK(OFFSET(A$1,,,SUMPRODUCT(MAX(ROW(E$1:E327)*(#REF!=E$1:E327))))))</f>
        <v/>
      </c>
      <c r="K328" s="23" t="str">
        <f aca="false">IF(OR(E328="",E328="!!!",F328="NEW"),"",INDEX(J$1:J327,SUMPRODUCT(MAX(ROW(E$1:E327)*(E328=E$1:E327)))))</f>
        <v/>
      </c>
      <c r="L328" s="24"/>
    </row>
    <row r="329" customFormat="false" ht="12.75" hidden="false" customHeight="false" outlineLevel="0" collapsed="false">
      <c r="A329" s="17" t="s">
        <v>24</v>
      </c>
      <c r="E329" s="19" t="str">
        <f aca="false">IF(D329="?OLD","!!!","")</f>
        <v/>
      </c>
      <c r="F329" s="20" t="str">
        <f aca="false">IF(OR(E329="",E329="!!!"),"",IF(NOT(ISNA(VLOOKUP(E329,E$1:E328,1,FALSE()))),"OLD",IF(AND(E329&lt;&gt;"",E329&lt;&gt;"!!!"),"NEW","")))</f>
        <v/>
      </c>
      <c r="G329" s="21" t="str">
        <f aca="false">IF(OR(E329="",E329="!!!"),"",IF(OR(J329=0,AND(J329=1,K329=1),AND(J329=1,I329="SBJ"),AND(J329=1,I329=0)),"?IN_FOCUS",IF(J329&lt;=2,"?ACTIVATED",IF(J329&lt;&gt;"","?FAMILIAR",IF(F329="NEW",IF(ISNA(VLOOKUP(E329,#REF!,1,FALSE())),"?TYPE_IDENTIFIABLE","?REFERENTIAL"),"_")))))</f>
        <v/>
      </c>
      <c r="H329" s="22" t="str">
        <f aca="false">IF(J329&lt;&gt;1,"",IF(I329="SBJ","CB","?"))</f>
        <v/>
      </c>
      <c r="I329" s="23" t="str">
        <f aca="false">IF(OR(E329="",E329="!!!",F329="NEW"),"",INDEX(B$2:B328,-1+SUMPRODUCT(MAX(ROW(E$2:E328)*(E329=E$2:E328)))))</f>
        <v/>
      </c>
      <c r="J329" s="23" t="str">
        <f aca="true">IF(OR(E329="",E329="!!!",F329="NEW"),"",COUNTBLANK(OFFSET(A$1,,,SUMPRODUCT(MAX(ROW(E$2:E329)*(E329=E$2:E329)))))-COUNTBLANK(OFFSET(A$1,,,SUMPRODUCT(MAX(ROW(E$1:E328)*(#REF!=E$1:E328))))))</f>
        <v/>
      </c>
      <c r="K329" s="23" t="str">
        <f aca="false">IF(OR(E329="",E329="!!!",F329="NEW"),"",INDEX(J$1:J328,SUMPRODUCT(MAX(ROW(E$1:E328)*(E329=E$1:E328)))))</f>
        <v/>
      </c>
      <c r="L329" s="24"/>
    </row>
    <row r="330" customFormat="false" ht="12.75" hidden="false" customHeight="false" outlineLevel="0" collapsed="false">
      <c r="A330" s="17" t="s">
        <v>184</v>
      </c>
      <c r="B330" s="18" t="s">
        <v>68</v>
      </c>
      <c r="C330" s="18" t="s">
        <v>27</v>
      </c>
      <c r="D330" s="18" t="s">
        <v>19</v>
      </c>
      <c r="E330" s="19" t="str">
        <f aca="false">IF(D330="?OLD","!!!","")</f>
        <v>!!!</v>
      </c>
      <c r="F330" s="20" t="str">
        <f aca="false">IF(OR(E330="",E330="!!!"),"",IF(NOT(ISNA(VLOOKUP(E330,E$1:E329,1,FALSE()))),"OLD",IF(AND(E330&lt;&gt;"",E330&lt;&gt;"!!!"),"NEW","")))</f>
        <v/>
      </c>
      <c r="G330" s="21" t="str">
        <f aca="false">IF(OR(E330="",E330="!!!"),"",IF(OR(J330=0,AND(J330=1,K330=1),AND(J330=1,I330="SBJ"),AND(J330=1,I330=0)),"?IN_FOCUS",IF(J330&lt;=2,"?ACTIVATED",IF(J330&lt;&gt;"","?FAMILIAR",IF(F330="NEW",IF(ISNA(VLOOKUP(E330,#REF!,1,FALSE())),"?TYPE_IDENTIFIABLE","?REFERENTIAL"),"_")))))</f>
        <v/>
      </c>
      <c r="H330" s="22" t="str">
        <f aca="false">IF(J330&lt;&gt;1,"",IF(I330="SBJ","CB","?"))</f>
        <v/>
      </c>
      <c r="I330" s="23" t="str">
        <f aca="false">IF(OR(E330="",E330="!!!",F330="NEW"),"",INDEX(B$2:B329,-1+SUMPRODUCT(MAX(ROW(E$2:E329)*(E330=E$2:E329)))))</f>
        <v/>
      </c>
      <c r="J330" s="23" t="str">
        <f aca="true">IF(OR(E330="",E330="!!!",F330="NEW"),"",COUNTBLANK(OFFSET(A$1,,,SUMPRODUCT(MAX(ROW(E$2:E330)*(E330=E$2:E330)))))-COUNTBLANK(OFFSET(A$1,,,SUMPRODUCT(MAX(ROW(E$1:E329)*(#REF!=E$1:E329))))))</f>
        <v/>
      </c>
      <c r="K330" s="23" t="str">
        <f aca="false">IF(OR(E330="",E330="!!!",F330="NEW"),"",INDEX(J$1:J329,SUMPRODUCT(MAX(ROW(E$1:E329)*(E330=E$1:E329)))))</f>
        <v/>
      </c>
      <c r="L330" s="24"/>
    </row>
    <row r="331" customFormat="false" ht="12.75" hidden="false" customHeight="false" outlineLevel="0" collapsed="false">
      <c r="A331" s="17" t="s">
        <v>22</v>
      </c>
      <c r="E331" s="19" t="str">
        <f aca="false">IF(D331="?OLD","!!!","")</f>
        <v/>
      </c>
      <c r="F331" s="20" t="str">
        <f aca="false">IF(OR(E331="",E331="!!!"),"",IF(NOT(ISNA(VLOOKUP(E331,E$1:E330,1,FALSE()))),"OLD",IF(AND(E331&lt;&gt;"",E331&lt;&gt;"!!!"),"NEW","")))</f>
        <v/>
      </c>
      <c r="G331" s="21" t="str">
        <f aca="false">IF(OR(E331="",E331="!!!"),"",IF(OR(J331=0,AND(J331=1,K331=1),AND(J331=1,I331="SBJ"),AND(J331=1,I331=0)),"?IN_FOCUS",IF(J331&lt;=2,"?ACTIVATED",IF(J331&lt;&gt;"","?FAMILIAR",IF(F331="NEW",IF(ISNA(VLOOKUP(E331,#REF!,1,FALSE())),"?TYPE_IDENTIFIABLE","?REFERENTIAL"),"_")))))</f>
        <v/>
      </c>
      <c r="H331" s="22" t="str">
        <f aca="false">IF(J331&lt;&gt;1,"",IF(I331="SBJ","CB","?"))</f>
        <v/>
      </c>
      <c r="I331" s="23" t="str">
        <f aca="false">IF(OR(E331="",E331="!!!",F331="NEW"),"",INDEX(B$2:B330,-1+SUMPRODUCT(MAX(ROW(E$2:E330)*(E331=E$2:E330)))))</f>
        <v/>
      </c>
      <c r="J331" s="23" t="str">
        <f aca="true">IF(OR(E331="",E331="!!!",F331="NEW"),"",COUNTBLANK(OFFSET(A$1,,,SUMPRODUCT(MAX(ROW(E$2:E331)*(E331=E$2:E331)))))-COUNTBLANK(OFFSET(A$1,,,SUMPRODUCT(MAX(ROW(E$1:E330)*(#REF!=E$1:E330))))))</f>
        <v/>
      </c>
      <c r="K331" s="23" t="str">
        <f aca="false">IF(OR(E331="",E331="!!!",F331="NEW"),"",INDEX(J$1:J330,SUMPRODUCT(MAX(ROW(E$1:E330)*(E331=E$1:E330)))))</f>
        <v/>
      </c>
      <c r="L331" s="24"/>
    </row>
    <row r="332" customFormat="false" ht="12.75" hidden="false" customHeight="false" outlineLevel="0" collapsed="false">
      <c r="A332" s="17" t="s">
        <v>24</v>
      </c>
      <c r="E332" s="19" t="str">
        <f aca="false">IF(D332="?OLD","!!!","")</f>
        <v/>
      </c>
      <c r="F332" s="20" t="str">
        <f aca="false">IF(OR(E332="",E332="!!!"),"",IF(NOT(ISNA(VLOOKUP(E332,E$1:E331,1,FALSE()))),"OLD",IF(AND(E332&lt;&gt;"",E332&lt;&gt;"!!!"),"NEW","")))</f>
        <v/>
      </c>
      <c r="G332" s="21" t="str">
        <f aca="false">IF(OR(E332="",E332="!!!"),"",IF(OR(J332=0,AND(J332=1,K332=1),AND(J332=1,I332="SBJ"),AND(J332=1,I332=0)),"?IN_FOCUS",IF(J332&lt;=2,"?ACTIVATED",IF(J332&lt;&gt;"","?FAMILIAR",IF(F332="NEW",IF(ISNA(VLOOKUP(E332,#REF!,1,FALSE())),"?TYPE_IDENTIFIABLE","?REFERENTIAL"),"_")))))</f>
        <v/>
      </c>
      <c r="H332" s="22" t="str">
        <f aca="false">IF(J332&lt;&gt;1,"",IF(I332="SBJ","CB","?"))</f>
        <v/>
      </c>
      <c r="I332" s="23" t="str">
        <f aca="false">IF(OR(E332="",E332="!!!",F332="NEW"),"",INDEX(B$2:B331,-1+SUMPRODUCT(MAX(ROW(E$2:E331)*(E332=E$2:E331)))))</f>
        <v/>
      </c>
      <c r="J332" s="23" t="str">
        <f aca="true">IF(OR(E332="",E332="!!!",F332="NEW"),"",COUNTBLANK(OFFSET(A$1,,,SUMPRODUCT(MAX(ROW(E$2:E332)*(E332=E$2:E332)))))-COUNTBLANK(OFFSET(A$1,,,SUMPRODUCT(MAX(ROW(E$1:E331)*(#REF!=E$1:E331))))))</f>
        <v/>
      </c>
      <c r="K332" s="23" t="str">
        <f aca="false">IF(OR(E332="",E332="!!!",F332="NEW"),"",INDEX(J$1:J331,SUMPRODUCT(MAX(ROW(E$1:E331)*(E332=E$1:E331)))))</f>
        <v/>
      </c>
      <c r="L332" s="24"/>
    </row>
    <row r="333" customFormat="false" ht="12.75" hidden="false" customHeight="false" outlineLevel="0" collapsed="false">
      <c r="A333" s="17" t="s">
        <v>226</v>
      </c>
      <c r="B333" s="18" t="s">
        <v>68</v>
      </c>
      <c r="C333" s="18" t="s">
        <v>27</v>
      </c>
      <c r="D333" s="18" t="s">
        <v>19</v>
      </c>
      <c r="E333" s="19" t="str">
        <f aca="false">IF(D333="?OLD","!!!","")</f>
        <v>!!!</v>
      </c>
      <c r="F333" s="20" t="str">
        <f aca="false">IF(OR(E333="",E333="!!!"),"",IF(NOT(ISNA(VLOOKUP(E333,E$1:E332,1,FALSE()))),"OLD",IF(AND(E333&lt;&gt;"",E333&lt;&gt;"!!!"),"NEW","")))</f>
        <v/>
      </c>
      <c r="G333" s="21" t="str">
        <f aca="false">IF(OR(E333="",E333="!!!"),"",IF(OR(J333=0,AND(J333=1,K333=1),AND(J333=1,I333="SBJ"),AND(J333=1,I333=0)),"?IN_FOCUS",IF(J333&lt;=2,"?ACTIVATED",IF(J333&lt;&gt;"","?FAMILIAR",IF(F333="NEW",IF(ISNA(VLOOKUP(E333,#REF!,1,FALSE())),"?TYPE_IDENTIFIABLE","?REFERENTIAL"),"_")))))</f>
        <v/>
      </c>
      <c r="H333" s="22" t="str">
        <f aca="false">IF(J333&lt;&gt;1,"",IF(I333="SBJ","CB","?"))</f>
        <v/>
      </c>
      <c r="I333" s="23" t="str">
        <f aca="false">IF(OR(E333="",E333="!!!",F333="NEW"),"",INDEX(B$2:B332,-1+SUMPRODUCT(MAX(ROW(E$2:E332)*(E333=E$2:E332)))))</f>
        <v/>
      </c>
      <c r="J333" s="23" t="str">
        <f aca="true">IF(OR(E333="",E333="!!!",F333="NEW"),"",COUNTBLANK(OFFSET(A$1,,,SUMPRODUCT(MAX(ROW(E$2:E333)*(E333=E$2:E333)))))-COUNTBLANK(OFFSET(A$1,,,SUMPRODUCT(MAX(ROW(E$1:E332)*(#REF!=E$1:E332))))))</f>
        <v/>
      </c>
      <c r="K333" s="23" t="str">
        <f aca="false">IF(OR(E333="",E333="!!!",F333="NEW"),"",INDEX(J$1:J332,SUMPRODUCT(MAX(ROW(E$1:E332)*(E333=E$1:E332)))))</f>
        <v/>
      </c>
      <c r="L333" s="24"/>
    </row>
    <row r="334" customFormat="false" ht="12.75" hidden="false" customHeight="false" outlineLevel="0" collapsed="false">
      <c r="A334" s="17" t="s">
        <v>22</v>
      </c>
      <c r="E334" s="19" t="str">
        <f aca="false">IF(D334="?OLD","!!!","")</f>
        <v/>
      </c>
      <c r="F334" s="20" t="str">
        <f aca="false">IF(OR(E334="",E334="!!!"),"",IF(NOT(ISNA(VLOOKUP(E334,E$1:E333,1,FALSE()))),"OLD",IF(AND(E334&lt;&gt;"",E334&lt;&gt;"!!!"),"NEW","")))</f>
        <v/>
      </c>
      <c r="G334" s="21" t="str">
        <f aca="false">IF(OR(E334="",E334="!!!"),"",IF(OR(J334=0,AND(J334=1,K334=1),AND(J334=1,I334="SBJ"),AND(J334=1,I334=0)),"?IN_FOCUS",IF(J334&lt;=2,"?ACTIVATED",IF(J334&lt;&gt;"","?FAMILIAR",IF(F334="NEW",IF(ISNA(VLOOKUP(E334,#REF!,1,FALSE())),"?TYPE_IDENTIFIABLE","?REFERENTIAL"),"_")))))</f>
        <v/>
      </c>
      <c r="H334" s="22" t="str">
        <f aca="false">IF(J334&lt;&gt;1,"",IF(I334="SBJ","CB","?"))</f>
        <v/>
      </c>
      <c r="I334" s="23" t="str">
        <f aca="false">IF(OR(E334="",E334="!!!",F334="NEW"),"",INDEX(B$2:B333,-1+SUMPRODUCT(MAX(ROW(E$2:E333)*(E334=E$2:E333)))))</f>
        <v/>
      </c>
      <c r="J334" s="23" t="str">
        <f aca="true">IF(OR(E334="",E334="!!!",F334="NEW"),"",COUNTBLANK(OFFSET(A$1,,,SUMPRODUCT(MAX(ROW(E$2:E334)*(E334=E$2:E334)))))-COUNTBLANK(OFFSET(A$1,,,SUMPRODUCT(MAX(ROW(E$1:E333)*(#REF!=E$1:E333))))))</f>
        <v/>
      </c>
      <c r="K334" s="23" t="str">
        <f aca="false">IF(OR(E334="",E334="!!!",F334="NEW"),"",INDEX(J$1:J333,SUMPRODUCT(MAX(ROW(E$1:E333)*(E334=E$1:E333)))))</f>
        <v/>
      </c>
      <c r="L334" s="24"/>
    </row>
    <row r="335" customFormat="false" ht="12.75" hidden="false" customHeight="false" outlineLevel="0" collapsed="false">
      <c r="A335" s="17" t="s">
        <v>70</v>
      </c>
      <c r="E335" s="19" t="str">
        <f aca="false">IF(D335="?OLD","!!!","")</f>
        <v/>
      </c>
      <c r="F335" s="20" t="str">
        <f aca="false">IF(OR(E335="",E335="!!!"),"",IF(NOT(ISNA(VLOOKUP(E335,E$1:E334,1,FALSE()))),"OLD",IF(AND(E335&lt;&gt;"",E335&lt;&gt;"!!!"),"NEW","")))</f>
        <v/>
      </c>
      <c r="G335" s="21" t="str">
        <f aca="false">IF(OR(E335="",E335="!!!"),"",IF(OR(J335=0,AND(J335=1,K335=1),AND(J335=1,I335="SBJ"),AND(J335=1,I335=0)),"?IN_FOCUS",IF(J335&lt;=2,"?ACTIVATED",IF(J335&lt;&gt;"","?FAMILIAR",IF(F335="NEW",IF(ISNA(VLOOKUP(E335,#REF!,1,FALSE())),"?TYPE_IDENTIFIABLE","?REFERENTIAL"),"_")))))</f>
        <v/>
      </c>
      <c r="H335" s="22" t="str">
        <f aca="false">IF(J335&lt;&gt;1,"",IF(I335="SBJ","CB","?"))</f>
        <v/>
      </c>
      <c r="I335" s="23" t="str">
        <f aca="false">IF(OR(E335="",E335="!!!",F335="NEW"),"",INDEX(B$2:B334,-1+SUMPRODUCT(MAX(ROW(E$2:E334)*(E335=E$2:E334)))))</f>
        <v/>
      </c>
      <c r="J335" s="23" t="str">
        <f aca="true">IF(OR(E335="",E335="!!!",F335="NEW"),"",COUNTBLANK(OFFSET(A$1,,,SUMPRODUCT(MAX(ROW(E$2:E335)*(E335=E$2:E335)))))-COUNTBLANK(OFFSET(A$1,,,SUMPRODUCT(MAX(ROW(E$1:E334)*(#REF!=E$1:E334))))))</f>
        <v/>
      </c>
      <c r="K335" s="23" t="str">
        <f aca="false">IF(OR(E335="",E335="!!!",F335="NEW"),"",INDEX(J$1:J334,SUMPRODUCT(MAX(ROW(E$1:E334)*(E335=E$1:E334)))))</f>
        <v/>
      </c>
      <c r="L335" s="24"/>
    </row>
    <row r="336" customFormat="false" ht="12.75" hidden="false" customHeight="false" outlineLevel="0" collapsed="false">
      <c r="A336" s="17" t="s">
        <v>24</v>
      </c>
      <c r="E336" s="19" t="str">
        <f aca="false">IF(D336="?OLD","!!!","")</f>
        <v/>
      </c>
      <c r="F336" s="20" t="str">
        <f aca="false">IF(OR(E336="",E336="!!!"),"",IF(NOT(ISNA(VLOOKUP(E336,E$1:E335,1,FALSE()))),"OLD",IF(AND(E336&lt;&gt;"",E336&lt;&gt;"!!!"),"NEW","")))</f>
        <v/>
      </c>
      <c r="G336" s="21" t="str">
        <f aca="false">IF(OR(E336="",E336="!!!"),"",IF(OR(J336=0,AND(J336=1,K336=1),AND(J336=1,I336="SBJ"),AND(J336=1,I336=0)),"?IN_FOCUS",IF(J336&lt;=2,"?ACTIVATED",IF(J336&lt;&gt;"","?FAMILIAR",IF(F336="NEW",IF(ISNA(VLOOKUP(E336,#REF!,1,FALSE())),"?TYPE_IDENTIFIABLE","?REFERENTIAL"),"_")))))</f>
        <v/>
      </c>
      <c r="H336" s="22" t="str">
        <f aca="false">IF(J336&lt;&gt;1,"",IF(I336="SBJ","CB","?"))</f>
        <v/>
      </c>
      <c r="I336" s="23" t="str">
        <f aca="false">IF(OR(E336="",E336="!!!",F336="NEW"),"",INDEX(B$2:B335,-1+SUMPRODUCT(MAX(ROW(E$2:E335)*(E336=E$2:E335)))))</f>
        <v/>
      </c>
      <c r="J336" s="23" t="str">
        <f aca="true">IF(OR(E336="",E336="!!!",F336="NEW"),"",COUNTBLANK(OFFSET(A$1,,,SUMPRODUCT(MAX(ROW(E$2:E336)*(E336=E$2:E336)))))-COUNTBLANK(OFFSET(A$1,,,SUMPRODUCT(MAX(ROW(E$1:E335)*(#REF!=E$1:E335))))))</f>
        <v/>
      </c>
      <c r="K336" s="23" t="str">
        <f aca="false">IF(OR(E336="",E336="!!!",F336="NEW"),"",INDEX(J$1:J335,SUMPRODUCT(MAX(ROW(E$1:E335)*(E336=E$1:E335)))))</f>
        <v/>
      </c>
      <c r="L336" s="24"/>
    </row>
    <row r="337" customFormat="false" ht="12.75" hidden="false" customHeight="false" outlineLevel="0" collapsed="false">
      <c r="A337" s="17" t="s">
        <v>227</v>
      </c>
      <c r="B337" s="18" t="s">
        <v>17</v>
      </c>
      <c r="C337" s="18" t="s">
        <v>27</v>
      </c>
      <c r="D337" s="18" t="s">
        <v>19</v>
      </c>
      <c r="E337" s="19" t="str">
        <f aca="false">IF(D337="?OLD","!!!","")</f>
        <v>!!!</v>
      </c>
      <c r="F337" s="20" t="str">
        <f aca="false">IF(OR(E337="",E337="!!!"),"",IF(NOT(ISNA(VLOOKUP(E337,E$1:E336,1,FALSE()))),"OLD",IF(AND(E337&lt;&gt;"",E337&lt;&gt;"!!!"),"NEW","")))</f>
        <v/>
      </c>
      <c r="G337" s="21" t="str">
        <f aca="false">IF(OR(E337="",E337="!!!"),"",IF(OR(J337=0,AND(J337=1,K337=1),AND(J337=1,I337="SBJ"),AND(J337=1,I337=0)),"?IN_FOCUS",IF(J337&lt;=2,"?ACTIVATED",IF(J337&lt;&gt;"","?FAMILIAR",IF(F337="NEW",IF(ISNA(VLOOKUP(E337,#REF!,1,FALSE())),"?TYPE_IDENTIFIABLE","?REFERENTIAL"),"_")))))</f>
        <v/>
      </c>
      <c r="H337" s="22" t="str">
        <f aca="false">IF(J337&lt;&gt;1,"",IF(I337="SBJ","CB","?"))</f>
        <v/>
      </c>
      <c r="I337" s="23" t="str">
        <f aca="false">IF(OR(E337="",E337="!!!",F337="NEW"),"",INDEX(B$2:B336,-1+SUMPRODUCT(MAX(ROW(E$2:E336)*(E337=E$2:E336)))))</f>
        <v/>
      </c>
      <c r="J337" s="23" t="str">
        <f aca="true">IF(OR(E337="",E337="!!!",F337="NEW"),"",COUNTBLANK(OFFSET(A$1,,,SUMPRODUCT(MAX(ROW(E$2:E337)*(E337=E$2:E337)))))-COUNTBLANK(OFFSET(A$1,,,SUMPRODUCT(MAX(ROW(E$1:E336)*(#REF!=E$1:E336))))))</f>
        <v/>
      </c>
      <c r="K337" s="23" t="str">
        <f aca="false">IF(OR(E337="",E337="!!!",F337="NEW"),"",INDEX(J$1:J336,SUMPRODUCT(MAX(ROW(E$1:E336)*(E337=E$1:E336)))))</f>
        <v/>
      </c>
      <c r="L337" s="24"/>
    </row>
    <row r="338" customFormat="false" ht="12.75" hidden="false" customHeight="false" outlineLevel="0" collapsed="false">
      <c r="A338" s="17" t="s">
        <v>22</v>
      </c>
      <c r="E338" s="19" t="str">
        <f aca="false">IF(D338="?OLD","!!!","")</f>
        <v/>
      </c>
      <c r="F338" s="20" t="str">
        <f aca="false">IF(OR(E338="",E338="!!!"),"",IF(NOT(ISNA(VLOOKUP(E338,E$1:E337,1,FALSE()))),"OLD",IF(AND(E338&lt;&gt;"",E338&lt;&gt;"!!!"),"NEW","")))</f>
        <v/>
      </c>
      <c r="G338" s="21" t="str">
        <f aca="false">IF(OR(E338="",E338="!!!"),"",IF(OR(J338=0,AND(J338=1,K338=1),AND(J338=1,I338="SBJ"),AND(J338=1,I338=0)),"?IN_FOCUS",IF(J338&lt;=2,"?ACTIVATED",IF(J338&lt;&gt;"","?FAMILIAR",IF(F338="NEW",IF(ISNA(VLOOKUP(E338,#REF!,1,FALSE())),"?TYPE_IDENTIFIABLE","?REFERENTIAL"),"_")))))</f>
        <v/>
      </c>
      <c r="H338" s="22" t="str">
        <f aca="false">IF(J338&lt;&gt;1,"",IF(I338="SBJ","CB","?"))</f>
        <v/>
      </c>
      <c r="I338" s="23" t="str">
        <f aca="false">IF(OR(E338="",E338="!!!",F338="NEW"),"",INDEX(B$2:B337,-1+SUMPRODUCT(MAX(ROW(E$2:E337)*(E338=E$2:E337)))))</f>
        <v/>
      </c>
      <c r="J338" s="23" t="str">
        <f aca="true">IF(OR(E338="",E338="!!!",F338="NEW"),"",COUNTBLANK(OFFSET(A$1,,,SUMPRODUCT(MAX(ROW(E$2:E338)*(E338=E$2:E338)))))-COUNTBLANK(OFFSET(A$1,,,SUMPRODUCT(MAX(ROW(E$1:E337)*(#REF!=E$1:E337))))))</f>
        <v/>
      </c>
      <c r="K338" s="23" t="str">
        <f aca="false">IF(OR(E338="",E338="!!!",F338="NEW"),"",INDEX(J$1:J337,SUMPRODUCT(MAX(ROW(E$1:E337)*(E338=E$1:E337)))))</f>
        <v/>
      </c>
      <c r="L338" s="24"/>
    </row>
    <row r="339" customFormat="false" ht="12.75" hidden="false" customHeight="false" outlineLevel="0" collapsed="false">
      <c r="A339" s="17" t="s">
        <v>70</v>
      </c>
      <c r="E339" s="19" t="str">
        <f aca="false">IF(D339="?OLD","!!!","")</f>
        <v/>
      </c>
      <c r="F339" s="20" t="str">
        <f aca="false">IF(OR(E339="",E339="!!!"),"",IF(NOT(ISNA(VLOOKUP(E339,E$1:E338,1,FALSE()))),"OLD",IF(AND(E339&lt;&gt;"",E339&lt;&gt;"!!!"),"NEW","")))</f>
        <v/>
      </c>
      <c r="G339" s="21" t="str">
        <f aca="false">IF(OR(E339="",E339="!!!"),"",IF(OR(J339=0,AND(J339=1,K339=1),AND(J339=1,I339="SBJ"),AND(J339=1,I339=0)),"?IN_FOCUS",IF(J339&lt;=2,"?ACTIVATED",IF(J339&lt;&gt;"","?FAMILIAR",IF(F339="NEW",IF(ISNA(VLOOKUP(E339,#REF!,1,FALSE())),"?TYPE_IDENTIFIABLE","?REFERENTIAL"),"_")))))</f>
        <v/>
      </c>
      <c r="H339" s="22" t="str">
        <f aca="false">IF(J339&lt;&gt;1,"",IF(I339="SBJ","CB","?"))</f>
        <v/>
      </c>
      <c r="I339" s="23" t="str">
        <f aca="false">IF(OR(E339="",E339="!!!",F339="NEW"),"",INDEX(B$2:B338,-1+SUMPRODUCT(MAX(ROW(E$2:E338)*(E339=E$2:E338)))))</f>
        <v/>
      </c>
      <c r="J339" s="23" t="str">
        <f aca="true">IF(OR(E339="",E339="!!!",F339="NEW"),"",COUNTBLANK(OFFSET(A$1,,,SUMPRODUCT(MAX(ROW(E$2:E339)*(E339=E$2:E339)))))-COUNTBLANK(OFFSET(A$1,,,SUMPRODUCT(MAX(ROW(E$1:E338)*(#REF!=E$1:E338))))))</f>
        <v/>
      </c>
      <c r="K339" s="23" t="str">
        <f aca="false">IF(OR(E339="",E339="!!!",F339="NEW"),"",INDEX(J$1:J338,SUMPRODUCT(MAX(ROW(E$1:E338)*(E339=E$1:E338)))))</f>
        <v/>
      </c>
      <c r="L339" s="24"/>
    </row>
    <row r="340" customFormat="false" ht="12.75" hidden="false" customHeight="false" outlineLevel="0" collapsed="false">
      <c r="A340" s="17" t="s">
        <v>228</v>
      </c>
      <c r="E340" s="19" t="str">
        <f aca="false">IF(D340="?OLD","!!!","")</f>
        <v/>
      </c>
      <c r="F340" s="20" t="str">
        <f aca="false">IF(OR(E340="",E340="!!!"),"",IF(NOT(ISNA(VLOOKUP(E340,E$1:E339,1,FALSE()))),"OLD",IF(AND(E340&lt;&gt;"",E340&lt;&gt;"!!!"),"NEW","")))</f>
        <v/>
      </c>
      <c r="G340" s="21" t="str">
        <f aca="false">IF(OR(E340="",E340="!!!"),"",IF(OR(J340=0,AND(J340=1,K340=1),AND(J340=1,I340="SBJ"),AND(J340=1,I340=0)),"?IN_FOCUS",IF(J340&lt;=2,"?ACTIVATED",IF(J340&lt;&gt;"","?FAMILIAR",IF(F340="NEW",IF(ISNA(VLOOKUP(E340,#REF!,1,FALSE())),"?TYPE_IDENTIFIABLE","?REFERENTIAL"),"_")))))</f>
        <v/>
      </c>
      <c r="H340" s="22" t="str">
        <f aca="false">IF(J340&lt;&gt;1,"",IF(I340="SBJ","CB","?"))</f>
        <v/>
      </c>
      <c r="I340" s="23" t="str">
        <f aca="false">IF(OR(E340="",E340="!!!",F340="NEW"),"",INDEX(B$2:B339,-1+SUMPRODUCT(MAX(ROW(E$2:E339)*(E340=E$2:E339)))))</f>
        <v/>
      </c>
      <c r="J340" s="23" t="str">
        <f aca="true">IF(OR(E340="",E340="!!!",F340="NEW"),"",COUNTBLANK(OFFSET(A$1,,,SUMPRODUCT(MAX(ROW(E$2:E340)*(E340=E$2:E340)))))-COUNTBLANK(OFFSET(A$1,,,SUMPRODUCT(MAX(ROW(E$1:E339)*(#REF!=E$1:E339))))))</f>
        <v/>
      </c>
      <c r="K340" s="23" t="str">
        <f aca="false">IF(OR(E340="",E340="!!!",F340="NEW"),"",INDEX(J$1:J339,SUMPRODUCT(MAX(ROW(E$1:E339)*(E340=E$1:E339)))))</f>
        <v/>
      </c>
      <c r="L340" s="24"/>
    </row>
    <row r="341" customFormat="false" ht="12.75" hidden="false" customHeight="false" outlineLevel="0" collapsed="false">
      <c r="A341" s="17" t="s">
        <v>44</v>
      </c>
      <c r="E341" s="19" t="str">
        <f aca="false">IF(D341="?OLD","!!!","")</f>
        <v/>
      </c>
      <c r="F341" s="20" t="str">
        <f aca="false">IF(OR(E341="",E341="!!!"),"",IF(NOT(ISNA(VLOOKUP(E341,E$1:E340,1,FALSE()))),"OLD",IF(AND(E341&lt;&gt;"",E341&lt;&gt;"!!!"),"NEW","")))</f>
        <v/>
      </c>
      <c r="G341" s="21" t="str">
        <f aca="false">IF(OR(E341="",E341="!!!"),"",IF(OR(J341=0,AND(J341=1,K341=1),AND(J341=1,I341="SBJ"),AND(J341=1,I341=0)),"?IN_FOCUS",IF(J341&lt;=2,"?ACTIVATED",IF(J341&lt;&gt;"","?FAMILIAR",IF(F341="NEW",IF(ISNA(VLOOKUP(E341,#REF!,1,FALSE())),"?TYPE_IDENTIFIABLE","?REFERENTIAL"),"_")))))</f>
        <v/>
      </c>
      <c r="H341" s="22" t="str">
        <f aca="false">IF(J341&lt;&gt;1,"",IF(I341="SBJ","CB","?"))</f>
        <v/>
      </c>
      <c r="I341" s="23" t="str">
        <f aca="false">IF(OR(E341="",E341="!!!",F341="NEW"),"",INDEX(B$2:B340,-1+SUMPRODUCT(MAX(ROW(E$2:E340)*(E341=E$2:E340)))))</f>
        <v/>
      </c>
      <c r="J341" s="23" t="str">
        <f aca="true">IF(OR(E341="",E341="!!!",F341="NEW"),"",COUNTBLANK(OFFSET(A$1,,,SUMPRODUCT(MAX(ROW(E$2:E341)*(E341=E$2:E341)))))-COUNTBLANK(OFFSET(A$1,,,SUMPRODUCT(MAX(ROW(E$1:E340)*(#REF!=E$1:E340))))))</f>
        <v/>
      </c>
      <c r="K341" s="23" t="str">
        <f aca="false">IF(OR(E341="",E341="!!!",F341="NEW"),"",INDEX(J$1:J340,SUMPRODUCT(MAX(ROW(E$1:E340)*(E341=E$1:E340)))))</f>
        <v/>
      </c>
      <c r="L341" s="24"/>
    </row>
    <row r="342" customFormat="false" ht="12.75" hidden="false" customHeight="false" outlineLevel="0" collapsed="false">
      <c r="A342" s="17" t="s">
        <v>219</v>
      </c>
      <c r="B342" s="18" t="s">
        <v>57</v>
      </c>
      <c r="C342" s="18" t="s">
        <v>80</v>
      </c>
      <c r="D342" s="18" t="s">
        <v>19</v>
      </c>
      <c r="E342" s="19" t="str">
        <f aca="false">IF(D342="?OLD","!!!","")</f>
        <v>!!!</v>
      </c>
      <c r="F342" s="20" t="str">
        <f aca="false">IF(OR(E342="",E342="!!!"),"",IF(NOT(ISNA(VLOOKUP(E342,E$1:E341,1,FALSE()))),"OLD",IF(AND(E342&lt;&gt;"",E342&lt;&gt;"!!!"),"NEW","")))</f>
        <v/>
      </c>
      <c r="G342" s="21" t="str">
        <f aca="false">IF(OR(E342="",E342="!!!"),"",IF(OR(J342=0,AND(J342=1,K342=1),AND(J342=1,I342="SBJ"),AND(J342=1,I342=0)),"?IN_FOCUS",IF(J342&lt;=2,"?ACTIVATED",IF(J342&lt;&gt;"","?FAMILIAR",IF(F342="NEW",IF(ISNA(VLOOKUP(E342,#REF!,1,FALSE())),"?TYPE_IDENTIFIABLE","?REFERENTIAL"),"_")))))</f>
        <v/>
      </c>
      <c r="H342" s="22" t="str">
        <f aca="false">IF(J342&lt;&gt;1,"",IF(I342="SBJ","CB","?"))</f>
        <v/>
      </c>
      <c r="I342" s="23" t="str">
        <f aca="false">IF(OR(E342="",E342="!!!",F342="NEW"),"",INDEX(B$2:B341,-1+SUMPRODUCT(MAX(ROW(E$2:E341)*(E342=E$2:E341)))))</f>
        <v/>
      </c>
      <c r="J342" s="23" t="str">
        <f aca="true">IF(OR(E342="",E342="!!!",F342="NEW"),"",COUNTBLANK(OFFSET(A$1,,,SUMPRODUCT(MAX(ROW(E$2:E342)*(E342=E$2:E342)))))-COUNTBLANK(OFFSET(A$1,,,SUMPRODUCT(MAX(ROW(E$1:E341)*(#REF!=E$1:E341))))))</f>
        <v/>
      </c>
      <c r="K342" s="23" t="str">
        <f aca="false">IF(OR(E342="",E342="!!!",F342="NEW"),"",INDEX(J$1:J341,SUMPRODUCT(MAX(ROW(E$1:E341)*(E342=E$1:E341)))))</f>
        <v/>
      </c>
      <c r="L342" s="24"/>
    </row>
    <row r="343" customFormat="false" ht="12.75" hidden="false" customHeight="false" outlineLevel="0" collapsed="false">
      <c r="A343" s="17" t="s">
        <v>70</v>
      </c>
      <c r="E343" s="19" t="str">
        <f aca="false">IF(D343="?OLD","!!!","")</f>
        <v/>
      </c>
      <c r="F343" s="20" t="str">
        <f aca="false">IF(OR(E343="",E343="!!!"),"",IF(NOT(ISNA(VLOOKUP(E343,E$1:E342,1,FALSE()))),"OLD",IF(AND(E343&lt;&gt;"",E343&lt;&gt;"!!!"),"NEW","")))</f>
        <v/>
      </c>
      <c r="G343" s="21" t="str">
        <f aca="false">IF(OR(E343="",E343="!!!"),"",IF(OR(J343=0,AND(J343=1,K343=1),AND(J343=1,I343="SBJ"),AND(J343=1,I343=0)),"?IN_FOCUS",IF(J343&lt;=2,"?ACTIVATED",IF(J343&lt;&gt;"","?FAMILIAR",IF(F343="NEW",IF(ISNA(VLOOKUP(E343,#REF!,1,FALSE())),"?TYPE_IDENTIFIABLE","?REFERENTIAL"),"_")))))</f>
        <v/>
      </c>
      <c r="H343" s="22" t="str">
        <f aca="false">IF(J343&lt;&gt;1,"",IF(I343="SBJ","CB","?"))</f>
        <v/>
      </c>
      <c r="I343" s="23" t="str">
        <f aca="false">IF(OR(E343="",E343="!!!",F343="NEW"),"",INDEX(B$2:B342,-1+SUMPRODUCT(MAX(ROW(E$2:E342)*(E343=E$2:E342)))))</f>
        <v/>
      </c>
      <c r="J343" s="23" t="str">
        <f aca="true">IF(OR(E343="",E343="!!!",F343="NEW"),"",COUNTBLANK(OFFSET(A$1,,,SUMPRODUCT(MAX(ROW(E$2:E343)*(E343=E$2:E343)))))-COUNTBLANK(OFFSET(A$1,,,SUMPRODUCT(MAX(ROW(E$1:E342)*(#REF!=E$1:E342))))))</f>
        <v/>
      </c>
      <c r="K343" s="23" t="str">
        <f aca="false">IF(OR(E343="",E343="!!!",F343="NEW"),"",INDEX(J$1:J342,SUMPRODUCT(MAX(ROW(E$1:E342)*(E343=E$1:E342)))))</f>
        <v/>
      </c>
      <c r="L343" s="24"/>
    </row>
    <row r="344" customFormat="false" ht="12.75" hidden="false" customHeight="false" outlineLevel="0" collapsed="false">
      <c r="A344" s="17" t="s">
        <v>229</v>
      </c>
      <c r="E344" s="19" t="str">
        <f aca="false">IF(D344="?OLD","!!!","")</f>
        <v/>
      </c>
      <c r="F344" s="20" t="str">
        <f aca="false">IF(OR(E344="",E344="!!!"),"",IF(NOT(ISNA(VLOOKUP(E344,E$1:E343,1,FALSE()))),"OLD",IF(AND(E344&lt;&gt;"",E344&lt;&gt;"!!!"),"NEW","")))</f>
        <v/>
      </c>
      <c r="G344" s="21" t="str">
        <f aca="false">IF(OR(E344="",E344="!!!"),"",IF(OR(J344=0,AND(J344=1,K344=1),AND(J344=1,I344="SBJ"),AND(J344=1,I344=0)),"?IN_FOCUS",IF(J344&lt;=2,"?ACTIVATED",IF(J344&lt;&gt;"","?FAMILIAR",IF(F344="NEW",IF(ISNA(VLOOKUP(E344,#REF!,1,FALSE())),"?TYPE_IDENTIFIABLE","?REFERENTIAL"),"_")))))</f>
        <v/>
      </c>
      <c r="H344" s="22" t="str">
        <f aca="false">IF(J344&lt;&gt;1,"",IF(I344="SBJ","CB","?"))</f>
        <v/>
      </c>
      <c r="I344" s="23" t="str">
        <f aca="false">IF(OR(E344="",E344="!!!",F344="NEW"),"",INDEX(B$2:B343,-1+SUMPRODUCT(MAX(ROW(E$2:E343)*(E344=E$2:E343)))))</f>
        <v/>
      </c>
      <c r="J344" s="23" t="str">
        <f aca="true">IF(OR(E344="",E344="!!!",F344="NEW"),"",COUNTBLANK(OFFSET(A$1,,,SUMPRODUCT(MAX(ROW(E$2:E344)*(E344=E$2:E344)))))-COUNTBLANK(OFFSET(A$1,,,SUMPRODUCT(MAX(ROW(E$1:E343)*(#REF!=E$1:E343))))))</f>
        <v/>
      </c>
      <c r="K344" s="23" t="str">
        <f aca="false">IF(OR(E344="",E344="!!!",F344="NEW"),"",INDEX(J$1:J343,SUMPRODUCT(MAX(ROW(E$1:E343)*(E344=E$1:E343)))))</f>
        <v/>
      </c>
      <c r="L344" s="24"/>
    </row>
    <row r="345" customFormat="false" ht="12.75" hidden="false" customHeight="false" outlineLevel="0" collapsed="false">
      <c r="A345" s="17" t="s">
        <v>219</v>
      </c>
      <c r="B345" s="18" t="s">
        <v>84</v>
      </c>
      <c r="C345" s="18" t="s">
        <v>80</v>
      </c>
      <c r="D345" s="18" t="s">
        <v>19</v>
      </c>
      <c r="E345" s="19" t="str">
        <f aca="false">IF(D345="?OLD","!!!","")</f>
        <v>!!!</v>
      </c>
      <c r="F345" s="20" t="str">
        <f aca="false">IF(OR(E345="",E345="!!!"),"",IF(NOT(ISNA(VLOOKUP(E345,E$1:E344,1,FALSE()))),"OLD",IF(AND(E345&lt;&gt;"",E345&lt;&gt;"!!!"),"NEW","")))</f>
        <v/>
      </c>
      <c r="G345" s="21" t="str">
        <f aca="false">IF(OR(E345="",E345="!!!"),"",IF(OR(J345=0,AND(J345=1,K345=1),AND(J345=1,I345="SBJ"),AND(J345=1,I345=0)),"?IN_FOCUS",IF(J345&lt;=2,"?ACTIVATED",IF(J345&lt;&gt;"","?FAMILIAR",IF(F345="NEW",IF(ISNA(VLOOKUP(E345,#REF!,1,FALSE())),"?TYPE_IDENTIFIABLE","?REFERENTIAL"),"_")))))</f>
        <v/>
      </c>
      <c r="H345" s="22" t="str">
        <f aca="false">IF(J345&lt;&gt;1,"",IF(I345="SBJ","CB","?"))</f>
        <v/>
      </c>
      <c r="I345" s="23" t="str">
        <f aca="false">IF(OR(E345="",E345="!!!",F345="NEW"),"",INDEX(B$2:B344,-1+SUMPRODUCT(MAX(ROW(E$2:E344)*(E345=E$2:E344)))))</f>
        <v/>
      </c>
      <c r="J345" s="23" t="str">
        <f aca="true">IF(OR(E345="",E345="!!!",F345="NEW"),"",COUNTBLANK(OFFSET(A$1,,,SUMPRODUCT(MAX(ROW(E$2:E345)*(E345=E$2:E345)))))-COUNTBLANK(OFFSET(A$1,,,SUMPRODUCT(MAX(ROW(E$1:E344)*(#REF!=E$1:E344))))))</f>
        <v/>
      </c>
      <c r="K345" s="23" t="str">
        <f aca="false">IF(OR(E345="",E345="!!!",F345="NEW"),"",INDEX(J$1:J344,SUMPRODUCT(MAX(ROW(E$1:E344)*(E345=E$1:E344)))))</f>
        <v/>
      </c>
      <c r="L345" s="24"/>
    </row>
    <row r="346" customFormat="false" ht="12.75" hidden="false" customHeight="false" outlineLevel="0" collapsed="false">
      <c r="A346" s="17" t="s">
        <v>22</v>
      </c>
      <c r="E346" s="19" t="str">
        <f aca="false">IF(D346="?OLD","!!!","")</f>
        <v/>
      </c>
      <c r="F346" s="20" t="str">
        <f aca="false">IF(OR(E346="",E346="!!!"),"",IF(NOT(ISNA(VLOOKUP(E346,E$1:E345,1,FALSE()))),"OLD",IF(AND(E346&lt;&gt;"",E346&lt;&gt;"!!!"),"NEW","")))</f>
        <v/>
      </c>
      <c r="G346" s="21" t="str">
        <f aca="false">IF(OR(E346="",E346="!!!"),"",IF(OR(J346=0,AND(J346=1,K346=1),AND(J346=1,I346="SBJ"),AND(J346=1,I346=0)),"?IN_FOCUS",IF(J346&lt;=2,"?ACTIVATED",IF(J346&lt;&gt;"","?FAMILIAR",IF(F346="NEW",IF(ISNA(VLOOKUP(E346,#REF!,1,FALSE())),"?TYPE_IDENTIFIABLE","?REFERENTIAL"),"_")))))</f>
        <v/>
      </c>
      <c r="H346" s="22" t="str">
        <f aca="false">IF(J346&lt;&gt;1,"",IF(I346="SBJ","CB","?"))</f>
        <v/>
      </c>
      <c r="I346" s="23" t="str">
        <f aca="false">IF(OR(E346="",E346="!!!",F346="NEW"),"",INDEX(B$2:B345,-1+SUMPRODUCT(MAX(ROW(E$2:E345)*(E346=E$2:E345)))))</f>
        <v/>
      </c>
      <c r="J346" s="23" t="str">
        <f aca="true">IF(OR(E346="",E346="!!!",F346="NEW"),"",COUNTBLANK(OFFSET(A$1,,,SUMPRODUCT(MAX(ROW(E$2:E346)*(E346=E$2:E346)))))-COUNTBLANK(OFFSET(A$1,,,SUMPRODUCT(MAX(ROW(E$1:E345)*(#REF!=E$1:E345))))))</f>
        <v/>
      </c>
      <c r="K346" s="23" t="str">
        <f aca="false">IF(OR(E346="",E346="!!!",F346="NEW"),"",INDEX(J$1:J345,SUMPRODUCT(MAX(ROW(E$1:E345)*(E346=E$1:E345)))))</f>
        <v/>
      </c>
      <c r="L346" s="24"/>
    </row>
    <row r="347" customFormat="false" ht="12.75" hidden="false" customHeight="false" outlineLevel="0" collapsed="false">
      <c r="A347" s="17" t="s">
        <v>70</v>
      </c>
      <c r="E347" s="19" t="str">
        <f aca="false">IF(D347="?OLD","!!!","")</f>
        <v/>
      </c>
      <c r="F347" s="20" t="str">
        <f aca="false">IF(OR(E347="",E347="!!!"),"",IF(NOT(ISNA(VLOOKUP(E347,E$1:E346,1,FALSE()))),"OLD",IF(AND(E347&lt;&gt;"",E347&lt;&gt;"!!!"),"NEW","")))</f>
        <v/>
      </c>
      <c r="G347" s="21" t="str">
        <f aca="false">IF(OR(E347="",E347="!!!"),"",IF(OR(J347=0,AND(J347=1,K347=1),AND(J347=1,I347="SBJ"),AND(J347=1,I347=0)),"?IN_FOCUS",IF(J347&lt;=2,"?ACTIVATED",IF(J347&lt;&gt;"","?FAMILIAR",IF(F347="NEW",IF(ISNA(VLOOKUP(E347,#REF!,1,FALSE())),"?TYPE_IDENTIFIABLE","?REFERENTIAL"),"_")))))</f>
        <v/>
      </c>
      <c r="H347" s="22" t="str">
        <f aca="false">IF(J347&lt;&gt;1,"",IF(I347="SBJ","CB","?"))</f>
        <v/>
      </c>
      <c r="I347" s="23" t="str">
        <f aca="false">IF(OR(E347="",E347="!!!",F347="NEW"),"",INDEX(B$2:B346,-1+SUMPRODUCT(MAX(ROW(E$2:E346)*(E347=E$2:E346)))))</f>
        <v/>
      </c>
      <c r="J347" s="23" t="str">
        <f aca="true">IF(OR(E347="",E347="!!!",F347="NEW"),"",COUNTBLANK(OFFSET(A$1,,,SUMPRODUCT(MAX(ROW(E$2:E347)*(E347=E$2:E347)))))-COUNTBLANK(OFFSET(A$1,,,SUMPRODUCT(MAX(ROW(E$1:E346)*(#REF!=E$1:E346))))))</f>
        <v/>
      </c>
      <c r="K347" s="23" t="str">
        <f aca="false">IF(OR(E347="",E347="!!!",F347="NEW"),"",INDEX(J$1:J346,SUMPRODUCT(MAX(ROW(E$1:E346)*(E347=E$1:E346)))))</f>
        <v/>
      </c>
      <c r="L347" s="24"/>
    </row>
    <row r="348" customFormat="false" ht="12.75" hidden="false" customHeight="false" outlineLevel="0" collapsed="false">
      <c r="A348" s="17" t="s">
        <v>230</v>
      </c>
      <c r="E348" s="19" t="str">
        <f aca="false">IF(D348="?OLD","!!!","")</f>
        <v/>
      </c>
      <c r="F348" s="20" t="str">
        <f aca="false">IF(OR(E348="",E348="!!!"),"",IF(NOT(ISNA(VLOOKUP(E348,E$1:E347,1,FALSE()))),"OLD",IF(AND(E348&lt;&gt;"",E348&lt;&gt;"!!!"),"NEW","")))</f>
        <v/>
      </c>
      <c r="G348" s="21" t="str">
        <f aca="false">IF(OR(E348="",E348="!!!"),"",IF(OR(J348=0,AND(J348=1,K348=1),AND(J348=1,I348="SBJ"),AND(J348=1,I348=0)),"?IN_FOCUS",IF(J348&lt;=2,"?ACTIVATED",IF(J348&lt;&gt;"","?FAMILIAR",IF(F348="NEW",IF(ISNA(VLOOKUP(E348,#REF!,1,FALSE())),"?TYPE_IDENTIFIABLE","?REFERENTIAL"),"_")))))</f>
        <v/>
      </c>
      <c r="H348" s="22" t="str">
        <f aca="false">IF(J348&lt;&gt;1,"",IF(I348="SBJ","CB","?"))</f>
        <v/>
      </c>
      <c r="I348" s="23" t="str">
        <f aca="false">IF(OR(E348="",E348="!!!",F348="NEW"),"",INDEX(B$2:B347,-1+SUMPRODUCT(MAX(ROW(E$2:E347)*(E348=E$2:E347)))))</f>
        <v/>
      </c>
      <c r="J348" s="23" t="str">
        <f aca="true">IF(OR(E348="",E348="!!!",F348="NEW"),"",COUNTBLANK(OFFSET(A$1,,,SUMPRODUCT(MAX(ROW(E$2:E348)*(E348=E$2:E348)))))-COUNTBLANK(OFFSET(A$1,,,SUMPRODUCT(MAX(ROW(E$1:E347)*(#REF!=E$1:E347))))))</f>
        <v/>
      </c>
      <c r="K348" s="23" t="str">
        <f aca="false">IF(OR(E348="",E348="!!!",F348="NEW"),"",INDEX(J$1:J347,SUMPRODUCT(MAX(ROW(E$1:E347)*(E348=E$1:E347)))))</f>
        <v/>
      </c>
      <c r="L348" s="24"/>
    </row>
    <row r="349" customFormat="false" ht="12.75" hidden="false" customHeight="false" outlineLevel="0" collapsed="false">
      <c r="A349" s="17" t="s">
        <v>219</v>
      </c>
      <c r="B349" s="18" t="s">
        <v>150</v>
      </c>
      <c r="C349" s="18" t="s">
        <v>80</v>
      </c>
      <c r="D349" s="18" t="s">
        <v>19</v>
      </c>
      <c r="E349" s="19" t="str">
        <f aca="false">IF(D349="?OLD","!!!","")</f>
        <v>!!!</v>
      </c>
      <c r="F349" s="20" t="str">
        <f aca="false">IF(OR(E349="",E349="!!!"),"",IF(NOT(ISNA(VLOOKUP(E349,E$1:E348,1,FALSE()))),"OLD",IF(AND(E349&lt;&gt;"",E349&lt;&gt;"!!!"),"NEW","")))</f>
        <v/>
      </c>
      <c r="G349" s="21" t="str">
        <f aca="false">IF(OR(E349="",E349="!!!"),"",IF(OR(J349=0,AND(J349=1,K349=1),AND(J349=1,I349="SBJ"),AND(J349=1,I349=0)),"?IN_FOCUS",IF(J349&lt;=2,"?ACTIVATED",IF(J349&lt;&gt;"","?FAMILIAR",IF(F349="NEW",IF(ISNA(VLOOKUP(E349,#REF!,1,FALSE())),"?TYPE_IDENTIFIABLE","?REFERENTIAL"),"_")))))</f>
        <v/>
      </c>
      <c r="H349" s="22" t="str">
        <f aca="false">IF(J349&lt;&gt;1,"",IF(I349="SBJ","CB","?"))</f>
        <v/>
      </c>
      <c r="I349" s="23" t="str">
        <f aca="false">IF(OR(E349="",E349="!!!",F349="NEW"),"",INDEX(B$2:B348,-1+SUMPRODUCT(MAX(ROW(E$2:E348)*(E349=E$2:E348)))))</f>
        <v/>
      </c>
      <c r="J349" s="23" t="str">
        <f aca="true">IF(OR(E349="",E349="!!!",F349="NEW"),"",COUNTBLANK(OFFSET(A$1,,,SUMPRODUCT(MAX(ROW(E$2:E349)*(E349=E$2:E349)))))-COUNTBLANK(OFFSET(A$1,,,SUMPRODUCT(MAX(ROW(E$1:E348)*(#REF!=E$1:E348))))))</f>
        <v/>
      </c>
      <c r="K349" s="23" t="str">
        <f aca="false">IF(OR(E349="",E349="!!!",F349="NEW"),"",INDEX(J$1:J348,SUMPRODUCT(MAX(ROW(E$1:E348)*(E349=E$1:E348)))))</f>
        <v/>
      </c>
      <c r="L349" s="24"/>
    </row>
    <row r="350" customFormat="false" ht="12.75" hidden="false" customHeight="false" outlineLevel="0" collapsed="false">
      <c r="A350" s="17" t="s">
        <v>14</v>
      </c>
      <c r="E350" s="19" t="str">
        <f aca="false">IF(D350="?OLD","!!!","")</f>
        <v/>
      </c>
      <c r="F350" s="20" t="str">
        <f aca="false">IF(OR(E350="",E350="!!!"),"",IF(NOT(ISNA(VLOOKUP(E350,E$1:E349,1,FALSE()))),"OLD",IF(AND(E350&lt;&gt;"",E350&lt;&gt;"!!!"),"NEW","")))</f>
        <v/>
      </c>
      <c r="G350" s="21" t="str">
        <f aca="false">IF(OR(E350="",E350="!!!"),"",IF(OR(J350=0,AND(J350=1,K350=1),AND(J350=1,I350="SBJ"),AND(J350=1,I350=0)),"?IN_FOCUS",IF(J350&lt;=2,"?ACTIVATED",IF(J350&lt;&gt;"","?FAMILIAR",IF(F350="NEW",IF(ISNA(VLOOKUP(E350,#REF!,1,FALSE())),"?TYPE_IDENTIFIABLE","?REFERENTIAL"),"_")))))</f>
        <v/>
      </c>
      <c r="H350" s="22" t="str">
        <f aca="false">IF(J350&lt;&gt;1,"",IF(I350="SBJ","CB","?"))</f>
        <v/>
      </c>
      <c r="I350" s="23" t="str">
        <f aca="false">IF(OR(E350="",E350="!!!",F350="NEW"),"",INDEX(B$2:B349,-1+SUMPRODUCT(MAX(ROW(E$2:E349)*(E350=E$2:E349)))))</f>
        <v/>
      </c>
      <c r="J350" s="23" t="str">
        <f aca="true">IF(OR(E350="",E350="!!!",F350="NEW"),"",COUNTBLANK(OFFSET(A$1,,,SUMPRODUCT(MAX(ROW(E$2:E350)*(E350=E$2:E350)))))-COUNTBLANK(OFFSET(A$1,,,SUMPRODUCT(MAX(ROW(E$1:E349)*(#REF!=E$1:E349))))))</f>
        <v/>
      </c>
      <c r="K350" s="23" t="str">
        <f aca="false">IF(OR(E350="",E350="!!!",F350="NEW"),"",INDEX(J$1:J349,SUMPRODUCT(MAX(ROW(E$1:E349)*(E350=E$1:E349)))))</f>
        <v/>
      </c>
      <c r="L350" s="24"/>
    </row>
    <row r="351" customFormat="false" ht="12.75" hidden="false" customHeight="false" outlineLevel="0" collapsed="false">
      <c r="A351" s="17" t="s">
        <v>81</v>
      </c>
      <c r="E351" s="19" t="str">
        <f aca="false">IF(D351="?OLD","!!!","")</f>
        <v/>
      </c>
      <c r="F351" s="20" t="str">
        <f aca="false">IF(OR(E351="",E351="!!!"),"",IF(NOT(ISNA(VLOOKUP(E351,E$1:E350,1,FALSE()))),"OLD",IF(AND(E351&lt;&gt;"",E351&lt;&gt;"!!!"),"NEW","")))</f>
        <v/>
      </c>
      <c r="G351" s="21" t="str">
        <f aca="false">IF(OR(E351="",E351="!!!"),"",IF(OR(J351=0,AND(J351=1,K351=1),AND(J351=1,I351="SBJ"),AND(J351=1,I351=0)),"?IN_FOCUS",IF(J351&lt;=2,"?ACTIVATED",IF(J351&lt;&gt;"","?FAMILIAR",IF(F351="NEW",IF(ISNA(VLOOKUP(E351,#REF!,1,FALSE())),"?TYPE_IDENTIFIABLE","?REFERENTIAL"),"_")))))</f>
        <v/>
      </c>
      <c r="H351" s="22" t="str">
        <f aca="false">IF(J351&lt;&gt;1,"",IF(I351="SBJ","CB","?"))</f>
        <v/>
      </c>
      <c r="I351" s="23" t="str">
        <f aca="false">IF(OR(E351="",E351="!!!",F351="NEW"),"",INDEX(B$2:B350,-1+SUMPRODUCT(MAX(ROW(E$2:E350)*(E351=E$2:E350)))))</f>
        <v/>
      </c>
      <c r="J351" s="23" t="str">
        <f aca="true">IF(OR(E351="",E351="!!!",F351="NEW"),"",COUNTBLANK(OFFSET(A$1,,,SUMPRODUCT(MAX(ROW(E$2:E351)*(E351=E$2:E351)))))-COUNTBLANK(OFFSET(A$1,,,SUMPRODUCT(MAX(ROW(E$1:E350)*(#REF!=E$1:E350))))))</f>
        <v/>
      </c>
      <c r="K351" s="23" t="str">
        <f aca="false">IF(OR(E351="",E351="!!!",F351="NEW"),"",INDEX(J$1:J350,SUMPRODUCT(MAX(ROW(E$1:E350)*(E351=E$1:E350)))))</f>
        <v/>
      </c>
      <c r="L351" s="24"/>
    </row>
    <row r="352" customFormat="false" ht="12.75" hidden="false" customHeight="false" outlineLevel="0" collapsed="false">
      <c r="A352" s="17" t="s">
        <v>24</v>
      </c>
      <c r="E352" s="19" t="str">
        <f aca="false">IF(D352="?OLD","!!!","")</f>
        <v/>
      </c>
      <c r="F352" s="20" t="str">
        <f aca="false">IF(OR(E352="",E352="!!!"),"",IF(NOT(ISNA(VLOOKUP(E352,E$1:E351,1,FALSE()))),"OLD",IF(AND(E352&lt;&gt;"",E352&lt;&gt;"!!!"),"NEW","")))</f>
        <v/>
      </c>
      <c r="G352" s="21" t="str">
        <f aca="false">IF(OR(E352="",E352="!!!"),"",IF(OR(J352=0,AND(J352=1,K352=1),AND(J352=1,I352="SBJ"),AND(J352=1,I352=0)),"?IN_FOCUS",IF(J352&lt;=2,"?ACTIVATED",IF(J352&lt;&gt;"","?FAMILIAR",IF(F352="NEW",IF(ISNA(VLOOKUP(E352,#REF!,1,FALSE())),"?TYPE_IDENTIFIABLE","?REFERENTIAL"),"_")))))</f>
        <v/>
      </c>
      <c r="H352" s="22" t="str">
        <f aca="false">IF(J352&lt;&gt;1,"",IF(I352="SBJ","CB","?"))</f>
        <v/>
      </c>
      <c r="I352" s="23" t="str">
        <f aca="false">IF(OR(E352="",E352="!!!",F352="NEW"),"",INDEX(B$2:B351,-1+SUMPRODUCT(MAX(ROW(E$2:E351)*(E352=E$2:E351)))))</f>
        <v/>
      </c>
      <c r="J352" s="23" t="str">
        <f aca="true">IF(OR(E352="",E352="!!!",F352="NEW"),"",COUNTBLANK(OFFSET(A$1,,,SUMPRODUCT(MAX(ROW(E$2:E352)*(E352=E$2:E352)))))-COUNTBLANK(OFFSET(A$1,,,SUMPRODUCT(MAX(ROW(E$1:E351)*(#REF!=E$1:E351))))))</f>
        <v/>
      </c>
      <c r="K352" s="23" t="str">
        <f aca="false">IF(OR(E352="",E352="!!!",F352="NEW"),"",INDEX(J$1:J351,SUMPRODUCT(MAX(ROW(E$1:E351)*(E352=E$1:E351)))))</f>
        <v/>
      </c>
      <c r="L352" s="24"/>
    </row>
    <row r="353" customFormat="false" ht="12.75" hidden="false" customHeight="false" outlineLevel="0" collapsed="false">
      <c r="A353" s="17" t="s">
        <v>231</v>
      </c>
      <c r="B353" s="18" t="s">
        <v>57</v>
      </c>
      <c r="C353" s="18" t="s">
        <v>27</v>
      </c>
      <c r="D353" s="18" t="s">
        <v>19</v>
      </c>
      <c r="E353" s="19" t="str">
        <f aca="false">IF(D353="?OLD","!!!","")</f>
        <v>!!!</v>
      </c>
      <c r="F353" s="20" t="str">
        <f aca="false">IF(OR(E353="",E353="!!!"),"",IF(NOT(ISNA(VLOOKUP(E353,E$1:E352,1,FALSE()))),"OLD",IF(AND(E353&lt;&gt;"",E353&lt;&gt;"!!!"),"NEW","")))</f>
        <v/>
      </c>
      <c r="G353" s="21" t="str">
        <f aca="false">IF(OR(E353="",E353="!!!"),"",IF(OR(J353=0,AND(J353=1,K353=1),AND(J353=1,I353="SBJ"),AND(J353=1,I353=0)),"?IN_FOCUS",IF(J353&lt;=2,"?ACTIVATED",IF(J353&lt;&gt;"","?FAMILIAR",IF(F353="NEW",IF(ISNA(VLOOKUP(E353,#REF!,1,FALSE())),"?TYPE_IDENTIFIABLE","?REFERENTIAL"),"_")))))</f>
        <v/>
      </c>
      <c r="H353" s="22" t="str">
        <f aca="false">IF(J353&lt;&gt;1,"",IF(I353="SBJ","CB","?"))</f>
        <v/>
      </c>
      <c r="I353" s="23" t="str">
        <f aca="false">IF(OR(E353="",E353="!!!",F353="NEW"),"",INDEX(B$2:B352,-1+SUMPRODUCT(MAX(ROW(E$2:E352)*(E353=E$2:E352)))))</f>
        <v/>
      </c>
      <c r="J353" s="23" t="str">
        <f aca="true">IF(OR(E353="",E353="!!!",F353="NEW"),"",COUNTBLANK(OFFSET(A$1,,,SUMPRODUCT(MAX(ROW(E$2:E353)*(E353=E$2:E353)))))-COUNTBLANK(OFFSET(A$1,,,SUMPRODUCT(MAX(ROW(E$1:E352)*(#REF!=E$1:E352))))))</f>
        <v/>
      </c>
      <c r="K353" s="23" t="str">
        <f aca="false">IF(OR(E353="",E353="!!!",F353="NEW"),"",INDEX(J$1:J352,SUMPRODUCT(MAX(ROW(E$1:E352)*(E353=E$1:E352)))))</f>
        <v/>
      </c>
      <c r="L353" s="24"/>
    </row>
    <row r="354" customFormat="false" ht="12.75" hidden="false" customHeight="false" outlineLevel="0" collapsed="false">
      <c r="A354" s="17" t="s">
        <v>22</v>
      </c>
      <c r="E354" s="19" t="str">
        <f aca="false">IF(D354="?OLD","!!!","")</f>
        <v/>
      </c>
      <c r="F354" s="20" t="str">
        <f aca="false">IF(OR(E354="",E354="!!!"),"",IF(NOT(ISNA(VLOOKUP(E354,E$1:E353,1,FALSE()))),"OLD",IF(AND(E354&lt;&gt;"",E354&lt;&gt;"!!!"),"NEW","")))</f>
        <v/>
      </c>
      <c r="G354" s="21" t="str">
        <f aca="false">IF(OR(E354="",E354="!!!"),"",IF(OR(J354=0,AND(J354=1,K354=1),AND(J354=1,I354="SBJ"),AND(J354=1,I354=0)),"?IN_FOCUS",IF(J354&lt;=2,"?ACTIVATED",IF(J354&lt;&gt;"","?FAMILIAR",IF(F354="NEW",IF(ISNA(VLOOKUP(E354,#REF!,1,FALSE())),"?TYPE_IDENTIFIABLE","?REFERENTIAL"),"_")))))</f>
        <v/>
      </c>
      <c r="H354" s="22" t="str">
        <f aca="false">IF(J354&lt;&gt;1,"",IF(I354="SBJ","CB","?"))</f>
        <v/>
      </c>
      <c r="I354" s="23" t="str">
        <f aca="false">IF(OR(E354="",E354="!!!",F354="NEW"),"",INDEX(B$2:B353,-1+SUMPRODUCT(MAX(ROW(E$2:E353)*(E354=E$2:E353)))))</f>
        <v/>
      </c>
      <c r="J354" s="23" t="str">
        <f aca="true">IF(OR(E354="",E354="!!!",F354="NEW"),"",COUNTBLANK(OFFSET(A$1,,,SUMPRODUCT(MAX(ROW(E$2:E354)*(E354=E$2:E354)))))-COUNTBLANK(OFFSET(A$1,,,SUMPRODUCT(MAX(ROW(E$1:E353)*(#REF!=E$1:E353))))))</f>
        <v/>
      </c>
      <c r="K354" s="23" t="str">
        <f aca="false">IF(OR(E354="",E354="!!!",F354="NEW"),"",INDEX(J$1:J353,SUMPRODUCT(MAX(ROW(E$1:E353)*(E354=E$1:E353)))))</f>
        <v/>
      </c>
      <c r="L354" s="24"/>
    </row>
    <row r="355" customFormat="false" ht="12.75" hidden="false" customHeight="false" outlineLevel="0" collapsed="false">
      <c r="A355" s="17" t="s">
        <v>70</v>
      </c>
      <c r="E355" s="19" t="str">
        <f aca="false">IF(D355="?OLD","!!!","")</f>
        <v/>
      </c>
      <c r="F355" s="20" t="str">
        <f aca="false">IF(OR(E355="",E355="!!!"),"",IF(NOT(ISNA(VLOOKUP(E355,E$1:E354,1,FALSE()))),"OLD",IF(AND(E355&lt;&gt;"",E355&lt;&gt;"!!!"),"NEW","")))</f>
        <v/>
      </c>
      <c r="G355" s="21" t="str">
        <f aca="false">IF(OR(E355="",E355="!!!"),"",IF(OR(J355=0,AND(J355=1,K355=1),AND(J355=1,I355="SBJ"),AND(J355=1,I355=0)),"?IN_FOCUS",IF(J355&lt;=2,"?ACTIVATED",IF(J355&lt;&gt;"","?FAMILIAR",IF(F355="NEW",IF(ISNA(VLOOKUP(E355,#REF!,1,FALSE())),"?TYPE_IDENTIFIABLE","?REFERENTIAL"),"_")))))</f>
        <v/>
      </c>
      <c r="H355" s="22" t="str">
        <f aca="false">IF(J355&lt;&gt;1,"",IF(I355="SBJ","CB","?"))</f>
        <v/>
      </c>
      <c r="I355" s="23" t="str">
        <f aca="false">IF(OR(E355="",E355="!!!",F355="NEW"),"",INDEX(B$2:B354,-1+SUMPRODUCT(MAX(ROW(E$2:E354)*(E355=E$2:E354)))))</f>
        <v/>
      </c>
      <c r="J355" s="23" t="str">
        <f aca="true">IF(OR(E355="",E355="!!!",F355="NEW"),"",COUNTBLANK(OFFSET(A$1,,,SUMPRODUCT(MAX(ROW(E$2:E355)*(E355=E$2:E355)))))-COUNTBLANK(OFFSET(A$1,,,SUMPRODUCT(MAX(ROW(E$1:E354)*(#REF!=E$1:E354))))))</f>
        <v/>
      </c>
      <c r="K355" s="23" t="str">
        <f aca="false">IF(OR(E355="",E355="!!!",F355="NEW"),"",INDEX(J$1:J354,SUMPRODUCT(MAX(ROW(E$1:E354)*(E355=E$1:E354)))))</f>
        <v/>
      </c>
      <c r="L355" s="24"/>
    </row>
    <row r="356" customFormat="false" ht="12.75" hidden="false" customHeight="false" outlineLevel="0" collapsed="false">
      <c r="A356" s="17" t="s">
        <v>152</v>
      </c>
      <c r="E356" s="19" t="str">
        <f aca="false">IF(D356="?OLD","!!!","")</f>
        <v/>
      </c>
      <c r="F356" s="20" t="str">
        <f aca="false">IF(OR(E356="",E356="!!!"),"",IF(NOT(ISNA(VLOOKUP(E356,E$1:E355,1,FALSE()))),"OLD",IF(AND(E356&lt;&gt;"",E356&lt;&gt;"!!!"),"NEW","")))</f>
        <v/>
      </c>
      <c r="G356" s="21" t="str">
        <f aca="false">IF(OR(E356="",E356="!!!"),"",IF(OR(J356=0,AND(J356=1,K356=1),AND(J356=1,I356="SBJ"),AND(J356=1,I356=0)),"?IN_FOCUS",IF(J356&lt;=2,"?ACTIVATED",IF(J356&lt;&gt;"","?FAMILIAR",IF(F356="NEW",IF(ISNA(VLOOKUP(E356,#REF!,1,FALSE())),"?TYPE_IDENTIFIABLE","?REFERENTIAL"),"_")))))</f>
        <v/>
      </c>
      <c r="H356" s="22" t="str">
        <f aca="false">IF(J356&lt;&gt;1,"",IF(I356="SBJ","CB","?"))</f>
        <v/>
      </c>
      <c r="I356" s="23" t="str">
        <f aca="false">IF(OR(E356="",E356="!!!",F356="NEW"),"",INDEX(B$2:B355,-1+SUMPRODUCT(MAX(ROW(E$2:E355)*(E356=E$2:E355)))))</f>
        <v/>
      </c>
      <c r="J356" s="23" t="str">
        <f aca="true">IF(OR(E356="",E356="!!!",F356="NEW"),"",COUNTBLANK(OFFSET(A$1,,,SUMPRODUCT(MAX(ROW(E$2:E356)*(E356=E$2:E356)))))-COUNTBLANK(OFFSET(A$1,,,SUMPRODUCT(MAX(ROW(E$1:E355)*(#REF!=E$1:E355))))))</f>
        <v/>
      </c>
      <c r="K356" s="23" t="str">
        <f aca="false">IF(OR(E356="",E356="!!!",F356="NEW"),"",INDEX(J$1:J355,SUMPRODUCT(MAX(ROW(E$1:E355)*(E356=E$1:E355)))))</f>
        <v/>
      </c>
      <c r="L356" s="24"/>
    </row>
    <row r="357" customFormat="false" ht="12.75" hidden="false" customHeight="false" outlineLevel="0" collapsed="false">
      <c r="A357" s="17" t="s">
        <v>225</v>
      </c>
      <c r="E357" s="19" t="str">
        <f aca="false">IF(D357="?OLD","!!!","")</f>
        <v/>
      </c>
      <c r="F357" s="20" t="str">
        <f aca="false">IF(OR(E357="",E357="!!!"),"",IF(NOT(ISNA(VLOOKUP(E357,E$1:E356,1,FALSE()))),"OLD",IF(AND(E357&lt;&gt;"",E357&lt;&gt;"!!!"),"NEW","")))</f>
        <v/>
      </c>
      <c r="G357" s="21" t="str">
        <f aca="false">IF(OR(E357="",E357="!!!"),"",IF(OR(J357=0,AND(J357=1,K357=1),AND(J357=1,I357="SBJ"),AND(J357=1,I357=0)),"?IN_FOCUS",IF(J357&lt;=2,"?ACTIVATED",IF(J357&lt;&gt;"","?FAMILIAR",IF(F357="NEW",IF(ISNA(VLOOKUP(E357,#REF!,1,FALSE())),"?TYPE_IDENTIFIABLE","?REFERENTIAL"),"_")))))</f>
        <v/>
      </c>
      <c r="H357" s="22" t="str">
        <f aca="false">IF(J357&lt;&gt;1,"",IF(I357="SBJ","CB","?"))</f>
        <v/>
      </c>
      <c r="I357" s="23" t="str">
        <f aca="false">IF(OR(E357="",E357="!!!",F357="NEW"),"",INDEX(B$2:B356,-1+SUMPRODUCT(MAX(ROW(E$2:E356)*(E357=E$2:E356)))))</f>
        <v/>
      </c>
      <c r="J357" s="23" t="str">
        <f aca="true">IF(OR(E357="",E357="!!!",F357="NEW"),"",COUNTBLANK(OFFSET(A$1,,,SUMPRODUCT(MAX(ROW(E$2:E357)*(E357=E$2:E357)))))-COUNTBLANK(OFFSET(A$1,,,SUMPRODUCT(MAX(ROW(E$1:E356)*(#REF!=E$1:E356))))))</f>
        <v/>
      </c>
      <c r="K357" s="23" t="str">
        <f aca="false">IF(OR(E357="",E357="!!!",F357="NEW"),"",INDEX(J$1:J356,SUMPRODUCT(MAX(ROW(E$1:E356)*(E357=E$1:E356)))))</f>
        <v/>
      </c>
      <c r="L357" s="24"/>
    </row>
    <row r="358" customFormat="false" ht="12.75" hidden="false" customHeight="false" outlineLevel="0" collapsed="false">
      <c r="A358" s="17" t="s">
        <v>232</v>
      </c>
      <c r="E358" s="19" t="str">
        <f aca="false">IF(D358="?OLD","!!!","")</f>
        <v/>
      </c>
      <c r="F358" s="20" t="str">
        <f aca="false">IF(OR(E358="",E358="!!!"),"",IF(NOT(ISNA(VLOOKUP(E358,E$1:E357,1,FALSE()))),"OLD",IF(AND(E358&lt;&gt;"",E358&lt;&gt;"!!!"),"NEW","")))</f>
        <v/>
      </c>
      <c r="G358" s="21" t="str">
        <f aca="false">IF(OR(E358="",E358="!!!"),"",IF(OR(J358=0,AND(J358=1,K358=1),AND(J358=1,I358="SBJ"),AND(J358=1,I358=0)),"?IN_FOCUS",IF(J358&lt;=2,"?ACTIVATED",IF(J358&lt;&gt;"","?FAMILIAR",IF(F358="NEW",IF(ISNA(VLOOKUP(E358,#REF!,1,FALSE())),"?TYPE_IDENTIFIABLE","?REFERENTIAL"),"_")))))</f>
        <v/>
      </c>
      <c r="H358" s="22" t="str">
        <f aca="false">IF(J358&lt;&gt;1,"",IF(I358="SBJ","CB","?"))</f>
        <v/>
      </c>
      <c r="I358" s="23" t="str">
        <f aca="false">IF(OR(E358="",E358="!!!",F358="NEW"),"",INDEX(B$2:B357,-1+SUMPRODUCT(MAX(ROW(E$2:E357)*(E358=E$2:E357)))))</f>
        <v/>
      </c>
      <c r="J358" s="23" t="str">
        <f aca="true">IF(OR(E358="",E358="!!!",F358="NEW"),"",COUNTBLANK(OFFSET(A$1,,,SUMPRODUCT(MAX(ROW(E$2:E358)*(E358=E$2:E358)))))-COUNTBLANK(OFFSET(A$1,,,SUMPRODUCT(MAX(ROW(E$1:E357)*(#REF!=E$1:E357))))))</f>
        <v/>
      </c>
      <c r="K358" s="23" t="str">
        <f aca="false">IF(OR(E358="",E358="!!!",F358="NEW"),"",INDEX(J$1:J357,SUMPRODUCT(MAX(ROW(E$1:E357)*(E358=E$1:E357)))))</f>
        <v/>
      </c>
      <c r="L358" s="24"/>
    </row>
    <row r="359" customFormat="false" ht="12.75" hidden="false" customHeight="false" outlineLevel="0" collapsed="false">
      <c r="A359" s="17" t="s">
        <v>233</v>
      </c>
      <c r="B359" s="18" t="s">
        <v>17</v>
      </c>
      <c r="C359" s="18" t="s">
        <v>91</v>
      </c>
      <c r="E359" s="19" t="str">
        <f aca="false">IF(D359="?OLD","!!!","")</f>
        <v/>
      </c>
      <c r="F359" s="20" t="str">
        <f aca="false">IF(OR(E359="",E359="!!!"),"",IF(NOT(ISNA(VLOOKUP(E359,E$1:E358,1,FALSE()))),"OLD",IF(AND(E359&lt;&gt;"",E359&lt;&gt;"!!!"),"NEW","")))</f>
        <v/>
      </c>
      <c r="G359" s="21" t="str">
        <f aca="false">IF(OR(E359="",E359="!!!"),"",IF(OR(J359=0,AND(J359=1,K359=1),AND(J359=1,I359="SBJ"),AND(J359=1,I359=0)),"?IN_FOCUS",IF(J359&lt;=2,"?ACTIVATED",IF(J359&lt;&gt;"","?FAMILIAR",IF(F359="NEW",IF(ISNA(VLOOKUP(E359,#REF!,1,FALSE())),"?TYPE_IDENTIFIABLE","?REFERENTIAL"),"_")))))</f>
        <v/>
      </c>
      <c r="H359" s="22" t="str">
        <f aca="false">IF(J359&lt;&gt;1,"",IF(I359="SBJ","CB","?"))</f>
        <v/>
      </c>
      <c r="I359" s="23" t="str">
        <f aca="false">IF(OR(E359="",E359="!!!",F359="NEW"),"",INDEX(B$2:B358,-1+SUMPRODUCT(MAX(ROW(E$2:E358)*(E359=E$2:E358)))))</f>
        <v/>
      </c>
      <c r="J359" s="23" t="str">
        <f aca="true">IF(OR(E359="",E359="!!!",F359="NEW"),"",COUNTBLANK(OFFSET(A$1,,,SUMPRODUCT(MAX(ROW(E$2:E359)*(E359=E$2:E359)))))-COUNTBLANK(OFFSET(A$1,,,SUMPRODUCT(MAX(ROW(E$1:E358)*(#REF!=E$1:E358))))))</f>
        <v/>
      </c>
      <c r="K359" s="23" t="str">
        <f aca="false">IF(OR(E359="",E359="!!!",F359="NEW"),"",INDEX(J$1:J358,SUMPRODUCT(MAX(ROW(E$1:E358)*(E359=E$1:E358)))))</f>
        <v/>
      </c>
      <c r="L359" s="24"/>
    </row>
    <row r="360" customFormat="false" ht="12.75" hidden="false" customHeight="false" outlineLevel="0" collapsed="false">
      <c r="A360" s="17" t="s">
        <v>191</v>
      </c>
      <c r="B360" s="18" t="s">
        <v>79</v>
      </c>
      <c r="E360" s="19" t="str">
        <f aca="false">IF(D360="?OLD","!!!","")</f>
        <v/>
      </c>
      <c r="F360" s="20" t="str">
        <f aca="false">IF(OR(E360="",E360="!!!"),"",IF(NOT(ISNA(VLOOKUP(E360,E$1:E359,1,FALSE()))),"OLD",IF(AND(E360&lt;&gt;"",E360&lt;&gt;"!!!"),"NEW","")))</f>
        <v/>
      </c>
      <c r="G360" s="21" t="str">
        <f aca="false">IF(OR(E360="",E360="!!!"),"",IF(OR(J360=0,AND(J360=1,K360=1),AND(J360=1,I360="SBJ"),AND(J360=1,I360=0)),"?IN_FOCUS",IF(J360&lt;=2,"?ACTIVATED",IF(J360&lt;&gt;"","?FAMILIAR",IF(F360="NEW",IF(ISNA(VLOOKUP(E360,#REF!,1,FALSE())),"?TYPE_IDENTIFIABLE","?REFERENTIAL"),"_")))))</f>
        <v/>
      </c>
      <c r="H360" s="22" t="str">
        <f aca="false">IF(J360&lt;&gt;1,"",IF(I360="SBJ","CB","?"))</f>
        <v/>
      </c>
      <c r="I360" s="23" t="str">
        <f aca="false">IF(OR(E360="",E360="!!!",F360="NEW"),"",INDEX(B$2:B359,-1+SUMPRODUCT(MAX(ROW(E$2:E359)*(E360=E$2:E359)))))</f>
        <v/>
      </c>
      <c r="J360" s="23" t="str">
        <f aca="true">IF(OR(E360="",E360="!!!",F360="NEW"),"",COUNTBLANK(OFFSET(A$1,,,SUMPRODUCT(MAX(ROW(E$2:E360)*(E360=E$2:E360)))))-COUNTBLANK(OFFSET(A$1,,,SUMPRODUCT(MAX(ROW(E$1:E359)*(#REF!=E$1:E359))))))</f>
        <v/>
      </c>
      <c r="K360" s="23" t="str">
        <f aca="false">IF(OR(E360="",E360="!!!",F360="NEW"),"",INDEX(J$1:J359,SUMPRODUCT(MAX(ROW(E$1:E359)*(E360=E$1:E359)))))</f>
        <v/>
      </c>
      <c r="L360" s="24"/>
    </row>
    <row r="361" customFormat="false" ht="12.75" hidden="false" customHeight="false" outlineLevel="0" collapsed="false">
      <c r="A361" s="17" t="s">
        <v>71</v>
      </c>
      <c r="E361" s="19" t="str">
        <f aca="false">IF(D361="?OLD","!!!","")</f>
        <v/>
      </c>
      <c r="F361" s="20" t="str">
        <f aca="false">IF(OR(E361="",E361="!!!"),"",IF(NOT(ISNA(VLOOKUP(E361,E$1:E360,1,FALSE()))),"OLD",IF(AND(E361&lt;&gt;"",E361&lt;&gt;"!!!"),"NEW","")))</f>
        <v/>
      </c>
      <c r="G361" s="21" t="str">
        <f aca="false">IF(OR(E361="",E361="!!!"),"",IF(OR(J361=0,AND(J361=1,K361=1),AND(J361=1,I361="SBJ"),AND(J361=1,I361=0)),"?IN_FOCUS",IF(J361&lt;=2,"?ACTIVATED",IF(J361&lt;&gt;"","?FAMILIAR",IF(F361="NEW",IF(ISNA(VLOOKUP(E361,#REF!,1,FALSE())),"?TYPE_IDENTIFIABLE","?REFERENTIAL"),"_")))))</f>
        <v/>
      </c>
      <c r="H361" s="22" t="str">
        <f aca="false">IF(J361&lt;&gt;1,"",IF(I361="SBJ","CB","?"))</f>
        <v/>
      </c>
      <c r="I361" s="23" t="str">
        <f aca="false">IF(OR(E361="",E361="!!!",F361="NEW"),"",INDEX(B$2:B360,-1+SUMPRODUCT(MAX(ROW(E$2:E360)*(E361=E$2:E360)))))</f>
        <v/>
      </c>
      <c r="J361" s="23" t="str">
        <f aca="true">IF(OR(E361="",E361="!!!",F361="NEW"),"",COUNTBLANK(OFFSET(A$1,,,SUMPRODUCT(MAX(ROW(E$2:E361)*(E361=E$2:E361)))))-COUNTBLANK(OFFSET(A$1,,,SUMPRODUCT(MAX(ROW(E$1:E360)*(#REF!=E$1:E360))))))</f>
        <v/>
      </c>
      <c r="K361" s="23" t="str">
        <f aca="false">IF(OR(E361="",E361="!!!",F361="NEW"),"",INDEX(J$1:J360,SUMPRODUCT(MAX(ROW(E$1:E360)*(E361=E$1:E360)))))</f>
        <v/>
      </c>
      <c r="L361" s="24"/>
    </row>
    <row r="362" customFormat="false" ht="12.75" hidden="false" customHeight="false" outlineLevel="0" collapsed="false">
      <c r="A362" s="17" t="s">
        <v>22</v>
      </c>
      <c r="E362" s="19" t="str">
        <f aca="false">IF(D362="?OLD","!!!","")</f>
        <v/>
      </c>
      <c r="F362" s="20" t="str">
        <f aca="false">IF(OR(E362="",E362="!!!"),"",IF(NOT(ISNA(VLOOKUP(E362,E$1:E361,1,FALSE()))),"OLD",IF(AND(E362&lt;&gt;"",E362&lt;&gt;"!!!"),"NEW","")))</f>
        <v/>
      </c>
      <c r="G362" s="21" t="str">
        <f aca="false">IF(OR(E362="",E362="!!!"),"",IF(OR(J362=0,AND(J362=1,K362=1),AND(J362=1,I362="SBJ"),AND(J362=1,I362=0)),"?IN_FOCUS",IF(J362&lt;=2,"?ACTIVATED",IF(J362&lt;&gt;"","?FAMILIAR",IF(F362="NEW",IF(ISNA(VLOOKUP(E362,#REF!,1,FALSE())),"?TYPE_IDENTIFIABLE","?REFERENTIAL"),"_")))))</f>
        <v/>
      </c>
      <c r="H362" s="22" t="str">
        <f aca="false">IF(J362&lt;&gt;1,"",IF(I362="SBJ","CB","?"))</f>
        <v/>
      </c>
      <c r="I362" s="23" t="str">
        <f aca="false">IF(OR(E362="",E362="!!!",F362="NEW"),"",INDEX(B$2:B361,-1+SUMPRODUCT(MAX(ROW(E$2:E361)*(E362=E$2:E361)))))</f>
        <v/>
      </c>
      <c r="J362" s="23" t="str">
        <f aca="true">IF(OR(E362="",E362="!!!",F362="NEW"),"",COUNTBLANK(OFFSET(A$1,,,SUMPRODUCT(MAX(ROW(E$2:E362)*(E362=E$2:E362)))))-COUNTBLANK(OFFSET(A$1,,,SUMPRODUCT(MAX(ROW(E$1:E361)*(#REF!=E$1:E361))))))</f>
        <v/>
      </c>
      <c r="K362" s="23" t="str">
        <f aca="false">IF(OR(E362="",E362="!!!",F362="NEW"),"",INDEX(J$1:J361,SUMPRODUCT(MAX(ROW(E$1:E361)*(E362=E$1:E361)))))</f>
        <v/>
      </c>
      <c r="L362" s="24"/>
    </row>
    <row r="363" customFormat="false" ht="12.75" hidden="false" customHeight="false" outlineLevel="0" collapsed="false">
      <c r="A363" s="17" t="s">
        <v>72</v>
      </c>
      <c r="E363" s="19" t="str">
        <f aca="false">IF(D363="?OLD","!!!","")</f>
        <v/>
      </c>
      <c r="F363" s="20" t="str">
        <f aca="false">IF(OR(E363="",E363="!!!"),"",IF(NOT(ISNA(VLOOKUP(E363,E$1:E362,1,FALSE()))),"OLD",IF(AND(E363&lt;&gt;"",E363&lt;&gt;"!!!"),"NEW","")))</f>
        <v/>
      </c>
      <c r="G363" s="21" t="str">
        <f aca="false">IF(OR(E363="",E363="!!!"),"",IF(OR(J363=0,AND(J363=1,K363=1),AND(J363=1,I363="SBJ"),AND(J363=1,I363=0)),"?IN_FOCUS",IF(J363&lt;=2,"?ACTIVATED",IF(J363&lt;&gt;"","?FAMILIAR",IF(F363="NEW",IF(ISNA(VLOOKUP(E363,#REF!,1,FALSE())),"?TYPE_IDENTIFIABLE","?REFERENTIAL"),"_")))))</f>
        <v/>
      </c>
      <c r="H363" s="22" t="str">
        <f aca="false">IF(J363&lt;&gt;1,"",IF(I363="SBJ","CB","?"))</f>
        <v/>
      </c>
      <c r="I363" s="23" t="str">
        <f aca="false">IF(OR(E363="",E363="!!!",F363="NEW"),"",INDEX(B$2:B362,-1+SUMPRODUCT(MAX(ROW(E$2:E362)*(E363=E$2:E362)))))</f>
        <v/>
      </c>
      <c r="J363" s="23" t="str">
        <f aca="true">IF(OR(E363="",E363="!!!",F363="NEW"),"",COUNTBLANK(OFFSET(A$1,,,SUMPRODUCT(MAX(ROW(E$2:E363)*(E363=E$2:E363)))))-COUNTBLANK(OFFSET(A$1,,,SUMPRODUCT(MAX(ROW(E$1:E362)*(#REF!=E$1:E362))))))</f>
        <v/>
      </c>
      <c r="K363" s="23" t="str">
        <f aca="false">IF(OR(E363="",E363="!!!",F363="NEW"),"",INDEX(J$1:J362,SUMPRODUCT(MAX(ROW(E$1:E362)*(E363=E$1:E362)))))</f>
        <v/>
      </c>
      <c r="L363" s="24"/>
    </row>
    <row r="364" customFormat="false" ht="12.75" hidden="false" customHeight="false" outlineLevel="0" collapsed="false">
      <c r="A364" s="17" t="s">
        <v>234</v>
      </c>
      <c r="E364" s="19" t="str">
        <f aca="false">IF(D364="?OLD","!!!","")</f>
        <v/>
      </c>
      <c r="F364" s="20" t="str">
        <f aca="false">IF(OR(E364="",E364="!!!"),"",IF(NOT(ISNA(VLOOKUP(E364,E$1:E363,1,FALSE()))),"OLD",IF(AND(E364&lt;&gt;"",E364&lt;&gt;"!!!"),"NEW","")))</f>
        <v/>
      </c>
      <c r="G364" s="21" t="str">
        <f aca="false">IF(OR(E364="",E364="!!!"),"",IF(OR(J364=0,AND(J364=1,K364=1),AND(J364=1,I364="SBJ"),AND(J364=1,I364=0)),"?IN_FOCUS",IF(J364&lt;=2,"?ACTIVATED",IF(J364&lt;&gt;"","?FAMILIAR",IF(F364="NEW",IF(ISNA(VLOOKUP(E364,#REF!,1,FALSE())),"?TYPE_IDENTIFIABLE","?REFERENTIAL"),"_")))))</f>
        <v/>
      </c>
      <c r="H364" s="22" t="str">
        <f aca="false">IF(J364&lt;&gt;1,"",IF(I364="SBJ","CB","?"))</f>
        <v/>
      </c>
      <c r="I364" s="23" t="str">
        <f aca="false">IF(OR(E364="",E364="!!!",F364="NEW"),"",INDEX(B$2:B363,-1+SUMPRODUCT(MAX(ROW(E$2:E363)*(E364=E$2:E363)))))</f>
        <v/>
      </c>
      <c r="J364" s="23" t="str">
        <f aca="true">IF(OR(E364="",E364="!!!",F364="NEW"),"",COUNTBLANK(OFFSET(A$1,,,SUMPRODUCT(MAX(ROW(E$2:E364)*(E364=E$2:E364)))))-COUNTBLANK(OFFSET(A$1,,,SUMPRODUCT(MAX(ROW(E$1:E363)*(#REF!=E$1:E363))))))</f>
        <v/>
      </c>
      <c r="K364" s="23" t="str">
        <f aca="false">IF(OR(E364="",E364="!!!",F364="NEW"),"",INDEX(J$1:J363,SUMPRODUCT(MAX(ROW(E$1:E363)*(E364=E$1:E363)))))</f>
        <v/>
      </c>
      <c r="L364" s="24"/>
    </row>
    <row r="365" customFormat="false" ht="12.75" hidden="false" customHeight="false" outlineLevel="0" collapsed="false">
      <c r="A365" s="17" t="s">
        <v>135</v>
      </c>
      <c r="B365" s="18" t="s">
        <v>110</v>
      </c>
      <c r="C365" s="18" t="s">
        <v>18</v>
      </c>
      <c r="D365" s="18" t="s">
        <v>19</v>
      </c>
      <c r="E365" s="19" t="str">
        <f aca="false">IF(D365="?OLD","!!!","")</f>
        <v>!!!</v>
      </c>
      <c r="F365" s="20" t="str">
        <f aca="false">IF(OR(E365="",E365="!!!"),"",IF(NOT(ISNA(VLOOKUP(E365,E$1:E364,1,FALSE()))),"OLD",IF(AND(E365&lt;&gt;"",E365&lt;&gt;"!!!"),"NEW","")))</f>
        <v/>
      </c>
      <c r="G365" s="21" t="str">
        <f aca="false">IF(OR(E365="",E365="!!!"),"",IF(OR(J365=0,AND(J365=1,K365=1),AND(J365=1,I365="SBJ"),AND(J365=1,I365=0)),"?IN_FOCUS",IF(J365&lt;=2,"?ACTIVATED",IF(J365&lt;&gt;"","?FAMILIAR",IF(F365="NEW",IF(ISNA(VLOOKUP(E365,#REF!,1,FALSE())),"?TYPE_IDENTIFIABLE","?REFERENTIAL"),"_")))))</f>
        <v/>
      </c>
      <c r="H365" s="22" t="str">
        <f aca="false">IF(J365&lt;&gt;1,"",IF(I365="SBJ","CB","?"))</f>
        <v/>
      </c>
      <c r="I365" s="23" t="str">
        <f aca="false">IF(OR(E365="",E365="!!!",F365="NEW"),"",INDEX(B$2:B364,-1+SUMPRODUCT(MAX(ROW(E$2:E364)*(E365=E$2:E364)))))</f>
        <v/>
      </c>
      <c r="J365" s="23" t="str">
        <f aca="true">IF(OR(E365="",E365="!!!",F365="NEW"),"",COUNTBLANK(OFFSET(A$1,,,SUMPRODUCT(MAX(ROW(E$2:E365)*(E365=E$2:E365)))))-COUNTBLANK(OFFSET(A$1,,,SUMPRODUCT(MAX(ROW(E$1:E364)*(#REF!=E$1:E364))))))</f>
        <v/>
      </c>
      <c r="K365" s="23" t="str">
        <f aca="false">IF(OR(E365="",E365="!!!",F365="NEW"),"",INDEX(J$1:J364,SUMPRODUCT(MAX(ROW(E$1:E364)*(E365=E$1:E364)))))</f>
        <v/>
      </c>
      <c r="L365" s="24"/>
    </row>
    <row r="366" customFormat="false" ht="12.75" hidden="false" customHeight="false" outlineLevel="0" collapsed="false">
      <c r="A366" s="17" t="s">
        <v>235</v>
      </c>
      <c r="E366" s="19" t="str">
        <f aca="false">IF(D366="?OLD","!!!","")</f>
        <v/>
      </c>
      <c r="F366" s="20" t="str">
        <f aca="false">IF(OR(E366="",E366="!!!"),"",IF(NOT(ISNA(VLOOKUP(E366,E$1:E365,1,FALSE()))),"OLD",IF(AND(E366&lt;&gt;"",E366&lt;&gt;"!!!"),"NEW","")))</f>
        <v/>
      </c>
      <c r="G366" s="21" t="str">
        <f aca="false">IF(OR(E366="",E366="!!!"),"",IF(OR(J366=0,AND(J366=1,K366=1),AND(J366=1,I366="SBJ"),AND(J366=1,I366=0)),"?IN_FOCUS",IF(J366&lt;=2,"?ACTIVATED",IF(J366&lt;&gt;"","?FAMILIAR",IF(F366="NEW",IF(ISNA(VLOOKUP(E366,#REF!,1,FALSE())),"?TYPE_IDENTIFIABLE","?REFERENTIAL"),"_")))))</f>
        <v/>
      </c>
      <c r="H366" s="22" t="str">
        <f aca="false">IF(J366&lt;&gt;1,"",IF(I366="SBJ","CB","?"))</f>
        <v/>
      </c>
      <c r="I366" s="23" t="str">
        <f aca="false">IF(OR(E366="",E366="!!!",F366="NEW"),"",INDEX(B$2:B365,-1+SUMPRODUCT(MAX(ROW(E$2:E365)*(E366=E$2:E365)))))</f>
        <v/>
      </c>
      <c r="J366" s="23" t="str">
        <f aca="true">IF(OR(E366="",E366="!!!",F366="NEW"),"",COUNTBLANK(OFFSET(A$1,,,SUMPRODUCT(MAX(ROW(E$2:E366)*(E366=E$2:E366)))))-COUNTBLANK(OFFSET(A$1,,,SUMPRODUCT(MAX(ROW(E$1:E365)*(#REF!=E$1:E365))))))</f>
        <v/>
      </c>
      <c r="K366" s="23" t="str">
        <f aca="false">IF(OR(E366="",E366="!!!",F366="NEW"),"",INDEX(J$1:J365,SUMPRODUCT(MAX(ROW(E$1:E365)*(E366=E$1:E365)))))</f>
        <v/>
      </c>
      <c r="L366" s="24"/>
    </row>
    <row r="367" customFormat="false" ht="12.75" hidden="false" customHeight="false" outlineLevel="0" collapsed="false">
      <c r="A367" s="17" t="s">
        <v>236</v>
      </c>
      <c r="E367" s="19" t="str">
        <f aca="false">IF(D367="?OLD","!!!","")</f>
        <v/>
      </c>
      <c r="F367" s="20" t="str">
        <f aca="false">IF(OR(E367="",E367="!!!"),"",IF(NOT(ISNA(VLOOKUP(E367,E$1:E366,1,FALSE()))),"OLD",IF(AND(E367&lt;&gt;"",E367&lt;&gt;"!!!"),"NEW","")))</f>
        <v/>
      </c>
      <c r="G367" s="21" t="str">
        <f aca="false">IF(OR(E367="",E367="!!!"),"",IF(OR(J367=0,AND(J367=1,K367=1),AND(J367=1,I367="SBJ"),AND(J367=1,I367=0)),"?IN_FOCUS",IF(J367&lt;=2,"?ACTIVATED",IF(J367&lt;&gt;"","?FAMILIAR",IF(F367="NEW",IF(ISNA(VLOOKUP(E367,#REF!,1,FALSE())),"?TYPE_IDENTIFIABLE","?REFERENTIAL"),"_")))))</f>
        <v/>
      </c>
      <c r="H367" s="22" t="str">
        <f aca="false">IF(J367&lt;&gt;1,"",IF(I367="SBJ","CB","?"))</f>
        <v/>
      </c>
      <c r="I367" s="23" t="str">
        <f aca="false">IF(OR(E367="",E367="!!!",F367="NEW"),"",INDEX(B$2:B366,-1+SUMPRODUCT(MAX(ROW(E$2:E366)*(E367=E$2:E366)))))</f>
        <v/>
      </c>
      <c r="J367" s="23" t="str">
        <f aca="true">IF(OR(E367="",E367="!!!",F367="NEW"),"",COUNTBLANK(OFFSET(A$1,,,SUMPRODUCT(MAX(ROW(E$2:E367)*(E367=E$2:E367)))))-COUNTBLANK(OFFSET(A$1,,,SUMPRODUCT(MAX(ROW(E$1:E366)*(#REF!=E$1:E366))))))</f>
        <v/>
      </c>
      <c r="K367" s="23" t="str">
        <f aca="false">IF(OR(E367="",E367="!!!",F367="NEW"),"",INDEX(J$1:J366,SUMPRODUCT(MAX(ROW(E$1:E366)*(E367=E$1:E366)))))</f>
        <v/>
      </c>
      <c r="L367" s="24"/>
    </row>
    <row r="368" customFormat="false" ht="12.75" hidden="false" customHeight="false" outlineLevel="0" collapsed="false">
      <c r="A368" s="17" t="s">
        <v>237</v>
      </c>
      <c r="E368" s="19" t="str">
        <f aca="false">IF(D368="?OLD","!!!","")</f>
        <v/>
      </c>
      <c r="F368" s="20" t="str">
        <f aca="false">IF(OR(E368="",E368="!!!"),"",IF(NOT(ISNA(VLOOKUP(E368,E$1:E367,1,FALSE()))),"OLD",IF(AND(E368&lt;&gt;"",E368&lt;&gt;"!!!"),"NEW","")))</f>
        <v/>
      </c>
      <c r="G368" s="21" t="str">
        <f aca="false">IF(OR(E368="",E368="!!!"),"",IF(OR(J368=0,AND(J368=1,K368=1),AND(J368=1,I368="SBJ"),AND(J368=1,I368=0)),"?IN_FOCUS",IF(J368&lt;=2,"?ACTIVATED",IF(J368&lt;&gt;"","?FAMILIAR",IF(F368="NEW",IF(ISNA(VLOOKUP(E368,#REF!,1,FALSE())),"?TYPE_IDENTIFIABLE","?REFERENTIAL"),"_")))))</f>
        <v/>
      </c>
      <c r="H368" s="22" t="str">
        <f aca="false">IF(J368&lt;&gt;1,"",IF(I368="SBJ","CB","?"))</f>
        <v/>
      </c>
      <c r="I368" s="23" t="str">
        <f aca="false">IF(OR(E368="",E368="!!!",F368="NEW"),"",INDEX(B$2:B367,-1+SUMPRODUCT(MAX(ROW(E$2:E367)*(E368=E$2:E367)))))</f>
        <v/>
      </c>
      <c r="J368" s="23" t="str">
        <f aca="true">IF(OR(E368="",E368="!!!",F368="NEW"),"",COUNTBLANK(OFFSET(A$1,,,SUMPRODUCT(MAX(ROW(E$2:E368)*(E368=E$2:E368)))))-COUNTBLANK(OFFSET(A$1,,,SUMPRODUCT(MAX(ROW(E$1:E367)*(#REF!=E$1:E367))))))</f>
        <v/>
      </c>
      <c r="K368" s="23" t="str">
        <f aca="false">IF(OR(E368="",E368="!!!",F368="NEW"),"",INDEX(J$1:J367,SUMPRODUCT(MAX(ROW(E$1:E367)*(E368=E$1:E367)))))</f>
        <v/>
      </c>
      <c r="L368" s="24"/>
    </row>
    <row r="369" customFormat="false" ht="12.75" hidden="false" customHeight="false" outlineLevel="0" collapsed="false">
      <c r="A369" s="17" t="s">
        <v>221</v>
      </c>
      <c r="E369" s="19" t="str">
        <f aca="false">IF(D369="?OLD","!!!","")</f>
        <v/>
      </c>
      <c r="F369" s="20" t="str">
        <f aca="false">IF(OR(E369="",E369="!!!"),"",IF(NOT(ISNA(VLOOKUP(E369,E$1:E368,1,FALSE()))),"OLD",IF(AND(E369&lt;&gt;"",E369&lt;&gt;"!!!"),"NEW","")))</f>
        <v/>
      </c>
      <c r="G369" s="21" t="str">
        <f aca="false">IF(OR(E369="",E369="!!!"),"",IF(OR(J369=0,AND(J369=1,K369=1),AND(J369=1,I369="SBJ"),AND(J369=1,I369=0)),"?IN_FOCUS",IF(J369&lt;=2,"?ACTIVATED",IF(J369&lt;&gt;"","?FAMILIAR",IF(F369="NEW",IF(ISNA(VLOOKUP(E369,#REF!,1,FALSE())),"?TYPE_IDENTIFIABLE","?REFERENTIAL"),"_")))))</f>
        <v/>
      </c>
      <c r="H369" s="22" t="str">
        <f aca="false">IF(J369&lt;&gt;1,"",IF(I369="SBJ","CB","?"))</f>
        <v/>
      </c>
      <c r="I369" s="23" t="str">
        <f aca="false">IF(OR(E369="",E369="!!!",F369="NEW"),"",INDEX(B$2:B368,-1+SUMPRODUCT(MAX(ROW(E$2:E368)*(E369=E$2:E368)))))</f>
        <v/>
      </c>
      <c r="J369" s="23" t="str">
        <f aca="true">IF(OR(E369="",E369="!!!",F369="NEW"),"",COUNTBLANK(OFFSET(A$1,,,SUMPRODUCT(MAX(ROW(E$2:E369)*(E369=E$2:E369)))))-COUNTBLANK(OFFSET(A$1,,,SUMPRODUCT(MAX(ROW(E$1:E368)*(#REF!=E$1:E368))))))</f>
        <v/>
      </c>
      <c r="K369" s="23" t="str">
        <f aca="false">IF(OR(E369="",E369="!!!",F369="NEW"),"",INDEX(J$1:J368,SUMPRODUCT(MAX(ROW(E$1:E368)*(E369=E$1:E368)))))</f>
        <v/>
      </c>
      <c r="L369" s="24"/>
    </row>
    <row r="370" customFormat="false" ht="12.75" hidden="false" customHeight="false" outlineLevel="0" collapsed="false">
      <c r="A370" s="17" t="s">
        <v>127</v>
      </c>
      <c r="B370" s="18" t="s">
        <v>238</v>
      </c>
      <c r="C370" s="18" t="s">
        <v>91</v>
      </c>
      <c r="E370" s="19" t="str">
        <f aca="false">IF(D370="?OLD","!!!","")</f>
        <v/>
      </c>
      <c r="F370" s="20" t="str">
        <f aca="false">IF(OR(E370="",E370="!!!"),"",IF(NOT(ISNA(VLOOKUP(E370,E$1:E369,1,FALSE()))),"OLD",IF(AND(E370&lt;&gt;"",E370&lt;&gt;"!!!"),"NEW","")))</f>
        <v/>
      </c>
      <c r="G370" s="21" t="str">
        <f aca="false">IF(OR(E370="",E370="!!!"),"",IF(OR(J370=0,AND(J370=1,K370=1),AND(J370=1,I370="SBJ"),AND(J370=1,I370=0)),"?IN_FOCUS",IF(J370&lt;=2,"?ACTIVATED",IF(J370&lt;&gt;"","?FAMILIAR",IF(F370="NEW",IF(ISNA(VLOOKUP(E370,#REF!,1,FALSE())),"?TYPE_IDENTIFIABLE","?REFERENTIAL"),"_")))))</f>
        <v/>
      </c>
      <c r="H370" s="22" t="str">
        <f aca="false">IF(J370&lt;&gt;1,"",IF(I370="SBJ","CB","?"))</f>
        <v/>
      </c>
      <c r="I370" s="23" t="str">
        <f aca="false">IF(OR(E370="",E370="!!!",F370="NEW"),"",INDEX(B$2:B369,-1+SUMPRODUCT(MAX(ROW(E$2:E369)*(E370=E$2:E369)))))</f>
        <v/>
      </c>
      <c r="J370" s="23" t="str">
        <f aca="true">IF(OR(E370="",E370="!!!",F370="NEW"),"",COUNTBLANK(OFFSET(A$1,,,SUMPRODUCT(MAX(ROW(E$2:E370)*(E370=E$2:E370)))))-COUNTBLANK(OFFSET(A$1,,,SUMPRODUCT(MAX(ROW(E$1:E369)*(#REF!=E$1:E369))))))</f>
        <v/>
      </c>
      <c r="K370" s="23" t="str">
        <f aca="false">IF(OR(E370="",E370="!!!",F370="NEW"),"",INDEX(J$1:J369,SUMPRODUCT(MAX(ROW(E$1:E369)*(E370=E$1:E369)))))</f>
        <v/>
      </c>
      <c r="L370" s="24"/>
    </row>
    <row r="371" customFormat="false" ht="12.75" hidden="false" customHeight="false" outlineLevel="0" collapsed="false">
      <c r="A371" s="17" t="s">
        <v>44</v>
      </c>
      <c r="E371" s="19" t="str">
        <f aca="false">IF(D371="?OLD","!!!","")</f>
        <v/>
      </c>
      <c r="F371" s="20" t="str">
        <f aca="false">IF(OR(E371="",E371="!!!"),"",IF(NOT(ISNA(VLOOKUP(E371,E$1:E370,1,FALSE()))),"OLD",IF(AND(E371&lt;&gt;"",E371&lt;&gt;"!!!"),"NEW","")))</f>
        <v/>
      </c>
      <c r="G371" s="21" t="str">
        <f aca="false">IF(OR(E371="",E371="!!!"),"",IF(OR(J371=0,AND(J371=1,K371=1),AND(J371=1,I371="SBJ"),AND(J371=1,I371=0)),"?IN_FOCUS",IF(J371&lt;=2,"?ACTIVATED",IF(J371&lt;&gt;"","?FAMILIAR",IF(F371="NEW",IF(ISNA(VLOOKUP(E371,#REF!,1,FALSE())),"?TYPE_IDENTIFIABLE","?REFERENTIAL"),"_")))))</f>
        <v/>
      </c>
      <c r="H371" s="22" t="str">
        <f aca="false">IF(J371&lt;&gt;1,"",IF(I371="SBJ","CB","?"))</f>
        <v/>
      </c>
      <c r="I371" s="23" t="str">
        <f aca="false">IF(OR(E371="",E371="!!!",F371="NEW"),"",INDEX(B$2:B370,-1+SUMPRODUCT(MAX(ROW(E$2:E370)*(E371=E$2:E370)))))</f>
        <v/>
      </c>
      <c r="J371" s="23" t="str">
        <f aca="true">IF(OR(E371="",E371="!!!",F371="NEW"),"",COUNTBLANK(OFFSET(A$1,,,SUMPRODUCT(MAX(ROW(E$2:E371)*(E371=E$2:E371)))))-COUNTBLANK(OFFSET(A$1,,,SUMPRODUCT(MAX(ROW(E$1:E370)*(#REF!=E$1:E370))))))</f>
        <v/>
      </c>
      <c r="K371" s="23" t="str">
        <f aca="false">IF(OR(E371="",E371="!!!",F371="NEW"),"",INDEX(J$1:J370,SUMPRODUCT(MAX(ROW(E$1:E370)*(E371=E$1:E370)))))</f>
        <v/>
      </c>
      <c r="L371" s="24"/>
    </row>
    <row r="372" customFormat="false" ht="12.75" hidden="false" customHeight="false" outlineLevel="0" collapsed="false">
      <c r="A372" s="17" t="s">
        <v>114</v>
      </c>
      <c r="E372" s="19" t="str">
        <f aca="false">IF(D372="?OLD","!!!","")</f>
        <v/>
      </c>
      <c r="F372" s="20" t="str">
        <f aca="false">IF(OR(E372="",E372="!!!"),"",IF(NOT(ISNA(VLOOKUP(E372,E$1:E371,1,FALSE()))),"OLD",IF(AND(E372&lt;&gt;"",E372&lt;&gt;"!!!"),"NEW","")))</f>
        <v/>
      </c>
      <c r="G372" s="21" t="str">
        <f aca="false">IF(OR(E372="",E372="!!!"),"",IF(OR(J372=0,AND(J372=1,K372=1),AND(J372=1,I372="SBJ"),AND(J372=1,I372=0)),"?IN_FOCUS",IF(J372&lt;=2,"?ACTIVATED",IF(J372&lt;&gt;"","?FAMILIAR",IF(F372="NEW",IF(ISNA(VLOOKUP(E372,#REF!,1,FALSE())),"?TYPE_IDENTIFIABLE","?REFERENTIAL"),"_")))))</f>
        <v/>
      </c>
      <c r="H372" s="22" t="str">
        <f aca="false">IF(J372&lt;&gt;1,"",IF(I372="SBJ","CB","?"))</f>
        <v/>
      </c>
      <c r="I372" s="23" t="str">
        <f aca="false">IF(OR(E372="",E372="!!!",F372="NEW"),"",INDEX(B$2:B371,-1+SUMPRODUCT(MAX(ROW(E$2:E371)*(E372=E$2:E371)))))</f>
        <v/>
      </c>
      <c r="J372" s="23" t="str">
        <f aca="true">IF(OR(E372="",E372="!!!",F372="NEW"),"",COUNTBLANK(OFFSET(A$1,,,SUMPRODUCT(MAX(ROW(E$2:E372)*(E372=E$2:E372)))))-COUNTBLANK(OFFSET(A$1,,,SUMPRODUCT(MAX(ROW(E$1:E371)*(#REF!=E$1:E371))))))</f>
        <v/>
      </c>
      <c r="K372" s="23" t="str">
        <f aca="false">IF(OR(E372="",E372="!!!",F372="NEW"),"",INDEX(J$1:J371,SUMPRODUCT(MAX(ROW(E$1:E371)*(E372=E$1:E371)))))</f>
        <v/>
      </c>
      <c r="L372" s="24"/>
    </row>
    <row r="373" customFormat="false" ht="12.75" hidden="false" customHeight="false" outlineLevel="0" collapsed="false">
      <c r="A373" s="17" t="s">
        <v>239</v>
      </c>
      <c r="E373" s="19" t="str">
        <f aca="false">IF(D373="?OLD","!!!","")</f>
        <v/>
      </c>
      <c r="F373" s="20" t="str">
        <f aca="false">IF(OR(E373="",E373="!!!"),"",IF(NOT(ISNA(VLOOKUP(E373,E$1:E372,1,FALSE()))),"OLD",IF(AND(E373&lt;&gt;"",E373&lt;&gt;"!!!"),"NEW","")))</f>
        <v/>
      </c>
      <c r="G373" s="21" t="str">
        <f aca="false">IF(OR(E373="",E373="!!!"),"",IF(OR(J373=0,AND(J373=1,K373=1),AND(J373=1,I373="SBJ"),AND(J373=1,I373=0)),"?IN_FOCUS",IF(J373&lt;=2,"?ACTIVATED",IF(J373&lt;&gt;"","?FAMILIAR",IF(F373="NEW",IF(ISNA(VLOOKUP(E373,#REF!,1,FALSE())),"?TYPE_IDENTIFIABLE","?REFERENTIAL"),"_")))))</f>
        <v/>
      </c>
      <c r="H373" s="22" t="str">
        <f aca="false">IF(J373&lt;&gt;1,"",IF(I373="SBJ","CB","?"))</f>
        <v/>
      </c>
      <c r="I373" s="23" t="str">
        <f aca="false">IF(OR(E373="",E373="!!!",F373="NEW"),"",INDEX(B$2:B372,-1+SUMPRODUCT(MAX(ROW(E$2:E372)*(E373=E$2:E372)))))</f>
        <v/>
      </c>
      <c r="J373" s="23" t="str">
        <f aca="true">IF(OR(E373="",E373="!!!",F373="NEW"),"",COUNTBLANK(OFFSET(A$1,,,SUMPRODUCT(MAX(ROW(E$2:E373)*(E373=E$2:E373)))))-COUNTBLANK(OFFSET(A$1,,,SUMPRODUCT(MAX(ROW(E$1:E372)*(#REF!=E$1:E372))))))</f>
        <v/>
      </c>
      <c r="K373" s="23" t="str">
        <f aca="false">IF(OR(E373="",E373="!!!",F373="NEW"),"",INDEX(J$1:J372,SUMPRODUCT(MAX(ROW(E$1:E372)*(E373=E$1:E372)))))</f>
        <v/>
      </c>
      <c r="L373" s="24"/>
    </row>
    <row r="374" customFormat="false" ht="12.75" hidden="false" customHeight="false" outlineLevel="0" collapsed="false">
      <c r="A374" s="17" t="s">
        <v>240</v>
      </c>
      <c r="B374" s="18" t="s">
        <v>137</v>
      </c>
      <c r="C374" s="18" t="s">
        <v>18</v>
      </c>
      <c r="D374" s="18" t="s">
        <v>19</v>
      </c>
      <c r="E374" s="19" t="str">
        <f aca="false">IF(D374="?OLD","!!!","")</f>
        <v>!!!</v>
      </c>
      <c r="F374" s="20" t="str">
        <f aca="false">IF(OR(E374="",E374="!!!"),"",IF(NOT(ISNA(VLOOKUP(E374,E$1:E373,1,FALSE()))),"OLD",IF(AND(E374&lt;&gt;"",E374&lt;&gt;"!!!"),"NEW","")))</f>
        <v/>
      </c>
      <c r="G374" s="21" t="str">
        <f aca="false">IF(OR(E374="",E374="!!!"),"",IF(OR(J374=0,AND(J374=1,K374=1),AND(J374=1,I374="SBJ"),AND(J374=1,I374=0)),"?IN_FOCUS",IF(J374&lt;=2,"?ACTIVATED",IF(J374&lt;&gt;"","?FAMILIAR",IF(F374="NEW",IF(ISNA(VLOOKUP(E374,#REF!,1,FALSE())),"?TYPE_IDENTIFIABLE","?REFERENTIAL"),"_")))))</f>
        <v/>
      </c>
      <c r="H374" s="22" t="str">
        <f aca="false">IF(J374&lt;&gt;1,"",IF(I374="SBJ","CB","?"))</f>
        <v/>
      </c>
      <c r="I374" s="23" t="str">
        <f aca="false">IF(OR(E374="",E374="!!!",F374="NEW"),"",INDEX(B$2:B373,-1+SUMPRODUCT(MAX(ROW(E$2:E373)*(E374=E$2:E373)))))</f>
        <v/>
      </c>
      <c r="J374" s="23" t="str">
        <f aca="true">IF(OR(E374="",E374="!!!",F374="NEW"),"",COUNTBLANK(OFFSET(A$1,,,SUMPRODUCT(MAX(ROW(E$2:E374)*(E374=E$2:E374)))))-COUNTBLANK(OFFSET(A$1,,,SUMPRODUCT(MAX(ROW(E$1:E373)*(#REF!=E$1:E373))))))</f>
        <v/>
      </c>
      <c r="K374" s="23" t="str">
        <f aca="false">IF(OR(E374="",E374="!!!",F374="NEW"),"",INDEX(J$1:J373,SUMPRODUCT(MAX(ROW(E$1:E373)*(E374=E$1:E373)))))</f>
        <v/>
      </c>
      <c r="L374" s="24"/>
    </row>
    <row r="375" customFormat="false" ht="12.75" hidden="false" customHeight="false" outlineLevel="0" collapsed="false">
      <c r="A375" s="17" t="s">
        <v>70</v>
      </c>
      <c r="E375" s="19" t="str">
        <f aca="false">IF(D375="?OLD","!!!","")</f>
        <v/>
      </c>
      <c r="F375" s="20" t="str">
        <f aca="false">IF(OR(E375="",E375="!!!"),"",IF(NOT(ISNA(VLOOKUP(E375,E$1:E374,1,FALSE()))),"OLD",IF(AND(E375&lt;&gt;"",E375&lt;&gt;"!!!"),"NEW","")))</f>
        <v/>
      </c>
      <c r="G375" s="21" t="str">
        <f aca="false">IF(OR(E375="",E375="!!!"),"",IF(OR(J375=0,AND(J375=1,K375=1),AND(J375=1,I375="SBJ"),AND(J375=1,I375=0)),"?IN_FOCUS",IF(J375&lt;=2,"?ACTIVATED",IF(J375&lt;&gt;"","?FAMILIAR",IF(F375="NEW",IF(ISNA(VLOOKUP(E375,#REF!,1,FALSE())),"?TYPE_IDENTIFIABLE","?REFERENTIAL"),"_")))))</f>
        <v/>
      </c>
      <c r="H375" s="22" t="str">
        <f aca="false">IF(J375&lt;&gt;1,"",IF(I375="SBJ","CB","?"))</f>
        <v/>
      </c>
      <c r="I375" s="23" t="str">
        <f aca="false">IF(OR(E375="",E375="!!!",F375="NEW"),"",INDEX(B$2:B374,-1+SUMPRODUCT(MAX(ROW(E$2:E374)*(E375=E$2:E374)))))</f>
        <v/>
      </c>
      <c r="J375" s="23" t="str">
        <f aca="true">IF(OR(E375="",E375="!!!",F375="NEW"),"",COUNTBLANK(OFFSET(A$1,,,SUMPRODUCT(MAX(ROW(E$2:E375)*(E375=E$2:E375)))))-COUNTBLANK(OFFSET(A$1,,,SUMPRODUCT(MAX(ROW(E$1:E374)*(#REF!=E$1:E374))))))</f>
        <v/>
      </c>
      <c r="K375" s="23" t="str">
        <f aca="false">IF(OR(E375="",E375="!!!",F375="NEW"),"",INDEX(J$1:J374,SUMPRODUCT(MAX(ROW(E$1:E374)*(E375=E$1:E374)))))</f>
        <v/>
      </c>
      <c r="L375" s="24"/>
    </row>
    <row r="376" customFormat="false" ht="12.75" hidden="false" customHeight="false" outlineLevel="0" collapsed="false">
      <c r="A376" s="17" t="s">
        <v>24</v>
      </c>
      <c r="E376" s="19" t="str">
        <f aca="false">IF(D376="?OLD","!!!","")</f>
        <v/>
      </c>
      <c r="F376" s="20" t="str">
        <f aca="false">IF(OR(E376="",E376="!!!"),"",IF(NOT(ISNA(VLOOKUP(E376,E$1:E375,1,FALSE()))),"OLD",IF(AND(E376&lt;&gt;"",E376&lt;&gt;"!!!"),"NEW","")))</f>
        <v/>
      </c>
      <c r="G376" s="21" t="str">
        <f aca="false">IF(OR(E376="",E376="!!!"),"",IF(OR(J376=0,AND(J376=1,K376=1),AND(J376=1,I376="SBJ"),AND(J376=1,I376=0)),"?IN_FOCUS",IF(J376&lt;=2,"?ACTIVATED",IF(J376&lt;&gt;"","?FAMILIAR",IF(F376="NEW",IF(ISNA(VLOOKUP(E376,#REF!,1,FALSE())),"?TYPE_IDENTIFIABLE","?REFERENTIAL"),"_")))))</f>
        <v/>
      </c>
      <c r="H376" s="22" t="str">
        <f aca="false">IF(J376&lt;&gt;1,"",IF(I376="SBJ","CB","?"))</f>
        <v/>
      </c>
      <c r="I376" s="23" t="str">
        <f aca="false">IF(OR(E376="",E376="!!!",F376="NEW"),"",INDEX(B$2:B375,-1+SUMPRODUCT(MAX(ROW(E$2:E375)*(E376=E$2:E375)))))</f>
        <v/>
      </c>
      <c r="J376" s="23" t="str">
        <f aca="true">IF(OR(E376="",E376="!!!",F376="NEW"),"",COUNTBLANK(OFFSET(A$1,,,SUMPRODUCT(MAX(ROW(E$2:E376)*(E376=E$2:E376)))))-COUNTBLANK(OFFSET(A$1,,,SUMPRODUCT(MAX(ROW(E$1:E375)*(#REF!=E$1:E375))))))</f>
        <v/>
      </c>
      <c r="K376" s="23" t="str">
        <f aca="false">IF(OR(E376="",E376="!!!",F376="NEW"),"",INDEX(J$1:J375,SUMPRODUCT(MAX(ROW(E$1:E375)*(E376=E$1:E375)))))</f>
        <v/>
      </c>
      <c r="L376" s="24"/>
    </row>
    <row r="377" customFormat="false" ht="12.75" hidden="false" customHeight="false" outlineLevel="0" collapsed="false">
      <c r="A377" s="17" t="s">
        <v>241</v>
      </c>
      <c r="B377" s="18" t="s">
        <v>137</v>
      </c>
      <c r="C377" s="18" t="s">
        <v>27</v>
      </c>
      <c r="D377" s="18" t="s">
        <v>19</v>
      </c>
      <c r="E377" s="19" t="str">
        <f aca="false">IF(D377="?OLD","!!!","")</f>
        <v>!!!</v>
      </c>
      <c r="F377" s="20" t="str">
        <f aca="false">IF(OR(E377="",E377="!!!"),"",IF(NOT(ISNA(VLOOKUP(E377,E$1:E376,1,FALSE()))),"OLD",IF(AND(E377&lt;&gt;"",E377&lt;&gt;"!!!"),"NEW","")))</f>
        <v/>
      </c>
      <c r="G377" s="21" t="str">
        <f aca="false">IF(OR(E377="",E377="!!!"),"",IF(OR(J377=0,AND(J377=1,K377=1),AND(J377=1,I377="SBJ"),AND(J377=1,I377=0)),"?IN_FOCUS",IF(J377&lt;=2,"?ACTIVATED",IF(J377&lt;&gt;"","?FAMILIAR",IF(F377="NEW",IF(ISNA(VLOOKUP(E377,#REF!,1,FALSE())),"?TYPE_IDENTIFIABLE","?REFERENTIAL"),"_")))))</f>
        <v/>
      </c>
      <c r="H377" s="22" t="str">
        <f aca="false">IF(J377&lt;&gt;1,"",IF(I377="SBJ","CB","?"))</f>
        <v/>
      </c>
      <c r="I377" s="23" t="str">
        <f aca="false">IF(OR(E377="",E377="!!!",F377="NEW"),"",INDEX(B$2:B376,-1+SUMPRODUCT(MAX(ROW(E$2:E376)*(E377=E$2:E376)))))</f>
        <v/>
      </c>
      <c r="J377" s="23" t="str">
        <f aca="true">IF(OR(E377="",E377="!!!",F377="NEW"),"",COUNTBLANK(OFFSET(A$1,,,SUMPRODUCT(MAX(ROW(E$2:E377)*(E377=E$2:E377)))))-COUNTBLANK(OFFSET(A$1,,,SUMPRODUCT(MAX(ROW(E$1:E376)*(#REF!=E$1:E376))))))</f>
        <v/>
      </c>
      <c r="K377" s="23" t="str">
        <f aca="false">IF(OR(E377="",E377="!!!",F377="NEW"),"",INDEX(J$1:J376,SUMPRODUCT(MAX(ROW(E$1:E376)*(E377=E$1:E376)))))</f>
        <v/>
      </c>
      <c r="L377" s="24"/>
    </row>
    <row r="378" customFormat="false" ht="12.75" hidden="false" customHeight="false" outlineLevel="0" collapsed="false">
      <c r="A378" s="17" t="s">
        <v>59</v>
      </c>
      <c r="E378" s="19" t="str">
        <f aca="false">IF(D378="?OLD","!!!","")</f>
        <v/>
      </c>
      <c r="F378" s="20" t="str">
        <f aca="false">IF(OR(E378="",E378="!!!"),"",IF(NOT(ISNA(VLOOKUP(E378,E$1:E377,1,FALSE()))),"OLD",IF(AND(E378&lt;&gt;"",E378&lt;&gt;"!!!"),"NEW","")))</f>
        <v/>
      </c>
      <c r="G378" s="21" t="str">
        <f aca="false">IF(OR(E378="",E378="!!!"),"",IF(OR(J378=0,AND(J378=1,K378=1),AND(J378=1,I378="SBJ"),AND(J378=1,I378=0)),"?IN_FOCUS",IF(J378&lt;=2,"?ACTIVATED",IF(J378&lt;&gt;"","?FAMILIAR",IF(F378="NEW",IF(ISNA(VLOOKUP(E378,#REF!,1,FALSE())),"?TYPE_IDENTIFIABLE","?REFERENTIAL"),"_")))))</f>
        <v/>
      </c>
      <c r="H378" s="22" t="str">
        <f aca="false">IF(J378&lt;&gt;1,"",IF(I378="SBJ","CB","?"))</f>
        <v/>
      </c>
      <c r="I378" s="23" t="str">
        <f aca="false">IF(OR(E378="",E378="!!!",F378="NEW"),"",INDEX(B$2:B377,-1+SUMPRODUCT(MAX(ROW(E$2:E377)*(E378=E$2:E377)))))</f>
        <v/>
      </c>
      <c r="J378" s="23" t="str">
        <f aca="true">IF(OR(E378="",E378="!!!",F378="NEW"),"",COUNTBLANK(OFFSET(A$1,,,SUMPRODUCT(MAX(ROW(E$2:E378)*(E378=E$2:E378)))))-COUNTBLANK(OFFSET(A$1,,,SUMPRODUCT(MAX(ROW(E$1:E377)*(#REF!=E$1:E377))))))</f>
        <v/>
      </c>
      <c r="K378" s="23" t="str">
        <f aca="false">IF(OR(E378="",E378="!!!",F378="NEW"),"",INDEX(J$1:J377,SUMPRODUCT(MAX(ROW(E$1:E377)*(E378=E$1:E377)))))</f>
        <v/>
      </c>
      <c r="L378" s="24"/>
    </row>
    <row r="379" customFormat="false" ht="12.75" hidden="false" customHeight="false" outlineLevel="0" collapsed="false">
      <c r="A379" s="17"/>
    </row>
    <row r="380" customFormat="false" ht="12.75" hidden="false" customHeight="false" outlineLevel="0" collapsed="false">
      <c r="A380" s="17" t="s">
        <v>60</v>
      </c>
      <c r="E380" s="19" t="str">
        <f aca="false">IF(D380="?OLD","!!!","")</f>
        <v/>
      </c>
      <c r="F380" s="20" t="str">
        <f aca="false">IF(OR(E380="",E380="!!!"),"",IF(NOT(ISNA(VLOOKUP(E380,E$1:E379,1,FALSE()))),"OLD",IF(AND(E380&lt;&gt;"",E380&lt;&gt;"!!!"),"NEW","")))</f>
        <v/>
      </c>
      <c r="G380" s="21" t="str">
        <f aca="false">IF(OR(E380="",E380="!!!"),"",IF(OR(J380=0,AND(J380=1,K380=1),AND(J380=1,I380="SBJ"),AND(J380=1,I380=0)),"?IN_FOCUS",IF(J380&lt;=2,"?ACTIVATED",IF(J380&lt;&gt;"","?FAMILIAR",IF(F380="NEW",IF(ISNA(VLOOKUP(E380,#REF!,1,FALSE())),"?TYPE_IDENTIFIABLE","?REFERENTIAL"),"_")))))</f>
        <v/>
      </c>
      <c r="H380" s="22" t="str">
        <f aca="false">IF(J380&lt;&gt;1,"",IF(I380="SBJ","CB","?"))</f>
        <v/>
      </c>
      <c r="I380" s="23" t="str">
        <f aca="false">IF(OR(E380="",E380="!!!",F380="NEW"),"",INDEX(B$2:B379,-1+SUMPRODUCT(MAX(ROW(E$2:E379)*(E380=E$2:E379)))))</f>
        <v/>
      </c>
      <c r="J380" s="23" t="str">
        <f aca="true">IF(OR(E380="",E380="!!!",F380="NEW"),"",COUNTBLANK(OFFSET(A$1,,,SUMPRODUCT(MAX(ROW(E$2:E380)*(E380=E$2:E380)))))-COUNTBLANK(OFFSET(A$1,,,SUMPRODUCT(MAX(ROW(E$1:E379)*(#REF!=E$1:E379))))))</f>
        <v/>
      </c>
      <c r="K380" s="23" t="str">
        <f aca="false">IF(OR(E380="",E380="!!!",F380="NEW"),"",INDEX(J$1:J379,SUMPRODUCT(MAX(ROW(E$1:E379)*(E380=E$1:E379)))))</f>
        <v/>
      </c>
      <c r="L380" s="24"/>
    </row>
    <row r="381" customFormat="false" ht="12.75" hidden="false" customHeight="false" outlineLevel="0" collapsed="false">
      <c r="A381" s="17" t="s">
        <v>242</v>
      </c>
    </row>
    <row r="382" customFormat="false" ht="12.75" hidden="false" customHeight="false" outlineLevel="0" collapsed="false">
      <c r="A382" s="17" t="s">
        <v>243</v>
      </c>
      <c r="E382" s="19" t="str">
        <f aca="false">IF(D382="?OLD","!!!","")</f>
        <v/>
      </c>
      <c r="F382" s="20" t="str">
        <f aca="false">IF(OR(E382="",E382="!!!"),"",IF(NOT(ISNA(VLOOKUP(E382,E$1:E381,1,FALSE()))),"OLD",IF(AND(E382&lt;&gt;"",E382&lt;&gt;"!!!"),"NEW","")))</f>
        <v/>
      </c>
      <c r="G382" s="21" t="str">
        <f aca="false">IF(OR(E382="",E382="!!!"),"",IF(OR(J382=0,AND(J382=1,K382=1),AND(J382=1,I382="SBJ"),AND(J382=1,I382=0)),"?IN_FOCUS",IF(J382&lt;=2,"?ACTIVATED",IF(J382&lt;&gt;"","?FAMILIAR",IF(F382="NEW",IF(ISNA(VLOOKUP(E382,#REF!,1,FALSE())),"?TYPE_IDENTIFIABLE","?REFERENTIAL"),"_")))))</f>
        <v/>
      </c>
      <c r="H382" s="22" t="str">
        <f aca="false">IF(J382&lt;&gt;1,"",IF(I382="SBJ","CB","?"))</f>
        <v/>
      </c>
      <c r="I382" s="23" t="str">
        <f aca="false">IF(OR(E382="",E382="!!!",F382="NEW"),"",INDEX(B$2:B381,-1+SUMPRODUCT(MAX(ROW(E$2:E381)*(E382=E$2:E381)))))</f>
        <v/>
      </c>
      <c r="J382" s="23" t="str">
        <f aca="true">IF(OR(E382="",E382="!!!",F382="NEW"),"",COUNTBLANK(OFFSET(A$1,,,SUMPRODUCT(MAX(ROW(E$2:E382)*(E382=E$2:E382)))))-COUNTBLANK(OFFSET(A$1,,,SUMPRODUCT(MAX(ROW(E$1:E381)*(#REF!=E$1:E381))))))</f>
        <v/>
      </c>
      <c r="K382" s="23" t="str">
        <f aca="false">IF(OR(E382="",E382="!!!",F382="NEW"),"",INDEX(J$1:J381,SUMPRODUCT(MAX(ROW(E$1:E381)*(E382=E$1:E381)))))</f>
        <v/>
      </c>
      <c r="L382" s="24"/>
    </row>
    <row r="383" customFormat="false" ht="12.75" hidden="false" customHeight="false" outlineLevel="0" collapsed="false">
      <c r="A383" s="17" t="s">
        <v>109</v>
      </c>
      <c r="B383" s="18" t="s">
        <v>38</v>
      </c>
      <c r="C383" s="18" t="s">
        <v>80</v>
      </c>
      <c r="D383" s="18" t="s">
        <v>19</v>
      </c>
      <c r="E383" s="19" t="str">
        <f aca="false">IF(D383="?OLD","!!!","")</f>
        <v>!!!</v>
      </c>
      <c r="F383" s="20" t="str">
        <f aca="false">IF(OR(E383="",E383="!!!"),"",IF(NOT(ISNA(VLOOKUP(E383,E$1:E382,1,FALSE()))),"OLD",IF(AND(E383&lt;&gt;"",E383&lt;&gt;"!!!"),"NEW","")))</f>
        <v/>
      </c>
      <c r="G383" s="21" t="str">
        <f aca="false">IF(OR(E383="",E383="!!!"),"",IF(OR(J383=0,AND(J383=1,K383=1),AND(J383=1,I383="SBJ"),AND(J383=1,I383=0)),"?IN_FOCUS",IF(J383&lt;=2,"?ACTIVATED",IF(J383&lt;&gt;"","?FAMILIAR",IF(F383="NEW",IF(ISNA(VLOOKUP(E383,#REF!,1,FALSE())),"?TYPE_IDENTIFIABLE","?REFERENTIAL"),"_")))))</f>
        <v/>
      </c>
      <c r="H383" s="22" t="str">
        <f aca="false">IF(J383&lt;&gt;1,"",IF(I383="SBJ","CB","?"))</f>
        <v/>
      </c>
      <c r="I383" s="23" t="str">
        <f aca="false">IF(OR(E383="",E383="!!!",F383="NEW"),"",INDEX(B$2:B382,-1+SUMPRODUCT(MAX(ROW(E$2:E382)*(E383=E$2:E382)))))</f>
        <v/>
      </c>
      <c r="J383" s="23" t="str">
        <f aca="true">IF(OR(E383="",E383="!!!",F383="NEW"),"",COUNTBLANK(OFFSET(A$1,,,SUMPRODUCT(MAX(ROW(E$2:E383)*(E383=E$2:E383)))))-COUNTBLANK(OFFSET(A$1,,,SUMPRODUCT(MAX(ROW(E$1:E382)*(#REF!=E$1:E382))))))</f>
        <v/>
      </c>
      <c r="K383" s="23" t="str">
        <f aca="false">IF(OR(E383="",E383="!!!",F383="NEW"),"",INDEX(J$1:J382,SUMPRODUCT(MAX(ROW(E$1:E382)*(E383=E$1:E382)))))</f>
        <v/>
      </c>
      <c r="L383" s="24"/>
    </row>
    <row r="384" customFormat="false" ht="12.75" hidden="false" customHeight="false" outlineLevel="0" collapsed="false">
      <c r="A384" s="17" t="s">
        <v>217</v>
      </c>
      <c r="E384" s="19" t="str">
        <f aca="false">IF(D384="?OLD","!!!","")</f>
        <v/>
      </c>
      <c r="F384" s="20" t="str">
        <f aca="false">IF(OR(E384="",E384="!!!"),"",IF(NOT(ISNA(VLOOKUP(E384,E$1:E383,1,FALSE()))),"OLD",IF(AND(E384&lt;&gt;"",E384&lt;&gt;"!!!"),"NEW","")))</f>
        <v/>
      </c>
      <c r="G384" s="21" t="str">
        <f aca="false">IF(OR(E384="",E384="!!!"),"",IF(OR(J384=0,AND(J384=1,K384=1),AND(J384=1,I384="SBJ"),AND(J384=1,I384=0)),"?IN_FOCUS",IF(J384&lt;=2,"?ACTIVATED",IF(J384&lt;&gt;"","?FAMILIAR",IF(F384="NEW",IF(ISNA(VLOOKUP(E384,#REF!,1,FALSE())),"?TYPE_IDENTIFIABLE","?REFERENTIAL"),"_")))))</f>
        <v/>
      </c>
      <c r="H384" s="22" t="str">
        <f aca="false">IF(J384&lt;&gt;1,"",IF(I384="SBJ","CB","?"))</f>
        <v/>
      </c>
      <c r="I384" s="23" t="str">
        <f aca="false">IF(OR(E384="",E384="!!!",F384="NEW"),"",INDEX(B$2:B383,-1+SUMPRODUCT(MAX(ROW(E$2:E383)*(E384=E$2:E383)))))</f>
        <v/>
      </c>
      <c r="J384" s="23" t="str">
        <f aca="true">IF(OR(E384="",E384="!!!",F384="NEW"),"",COUNTBLANK(OFFSET(A$1,,,SUMPRODUCT(MAX(ROW(E$2:E384)*(E384=E$2:E384)))))-COUNTBLANK(OFFSET(A$1,,,SUMPRODUCT(MAX(ROW(E$1:E383)*(#REF!=E$1:E383))))))</f>
        <v/>
      </c>
      <c r="K384" s="23" t="str">
        <f aca="false">IF(OR(E384="",E384="!!!",F384="NEW"),"",INDEX(J$1:J383,SUMPRODUCT(MAX(ROW(E$1:E383)*(E384=E$1:E383)))))</f>
        <v/>
      </c>
      <c r="L384" s="24"/>
    </row>
    <row r="385" customFormat="false" ht="12.75" hidden="false" customHeight="false" outlineLevel="0" collapsed="false">
      <c r="A385" s="17" t="s">
        <v>218</v>
      </c>
      <c r="E385" s="19" t="str">
        <f aca="false">IF(D385="?OLD","!!!","")</f>
        <v/>
      </c>
      <c r="F385" s="20" t="str">
        <f aca="false">IF(OR(E385="",E385="!!!"),"",IF(NOT(ISNA(VLOOKUP(E385,E$1:E384,1,FALSE()))),"OLD",IF(AND(E385&lt;&gt;"",E385&lt;&gt;"!!!"),"NEW","")))</f>
        <v/>
      </c>
      <c r="G385" s="21" t="str">
        <f aca="false">IF(OR(E385="",E385="!!!"),"",IF(OR(J385=0,AND(J385=1,K385=1),AND(J385=1,I385="SBJ"),AND(J385=1,I385=0)),"?IN_FOCUS",IF(J385&lt;=2,"?ACTIVATED",IF(J385&lt;&gt;"","?FAMILIAR",IF(F385="NEW",IF(ISNA(VLOOKUP(E385,#REF!,1,FALSE())),"?TYPE_IDENTIFIABLE","?REFERENTIAL"),"_")))))</f>
        <v/>
      </c>
      <c r="H385" s="22" t="str">
        <f aca="false">IF(J385&lt;&gt;1,"",IF(I385="SBJ","CB","?"))</f>
        <v/>
      </c>
      <c r="I385" s="23" t="str">
        <f aca="false">IF(OR(E385="",E385="!!!",F385="NEW"),"",INDEX(B$2:B384,-1+SUMPRODUCT(MAX(ROW(E$2:E384)*(E385=E$2:E384)))))</f>
        <v/>
      </c>
      <c r="J385" s="23" t="str">
        <f aca="true">IF(OR(E385="",E385="!!!",F385="NEW"),"",COUNTBLANK(OFFSET(A$1,,,SUMPRODUCT(MAX(ROW(E$2:E385)*(E385=E$2:E385)))))-COUNTBLANK(OFFSET(A$1,,,SUMPRODUCT(MAX(ROW(E$1:E384)*(#REF!=E$1:E384))))))</f>
        <v/>
      </c>
      <c r="K385" s="23" t="str">
        <f aca="false">IF(OR(E385="",E385="!!!",F385="NEW"),"",INDEX(J$1:J384,SUMPRODUCT(MAX(ROW(E$1:E384)*(E385=E$1:E384)))))</f>
        <v/>
      </c>
      <c r="L385" s="24"/>
    </row>
    <row r="386" customFormat="false" ht="12.75" hidden="false" customHeight="false" outlineLevel="0" collapsed="false">
      <c r="A386" s="17" t="s">
        <v>219</v>
      </c>
      <c r="B386" s="18" t="s">
        <v>68</v>
      </c>
      <c r="C386" s="18" t="s">
        <v>80</v>
      </c>
      <c r="D386" s="18" t="s">
        <v>19</v>
      </c>
      <c r="E386" s="19" t="str">
        <f aca="false">IF(D386="?OLD","!!!","")</f>
        <v>!!!</v>
      </c>
      <c r="F386" s="20" t="str">
        <f aca="false">IF(OR(E386="",E386="!!!"),"",IF(NOT(ISNA(VLOOKUP(E386,E$1:E385,1,FALSE()))),"OLD",IF(AND(E386&lt;&gt;"",E386&lt;&gt;"!!!"),"NEW","")))</f>
        <v/>
      </c>
      <c r="G386" s="21" t="str">
        <f aca="false">IF(OR(E386="",E386="!!!"),"",IF(OR(J386=0,AND(J386=1,K386=1),AND(J386=1,I386="SBJ"),AND(J386=1,I386=0)),"?IN_FOCUS",IF(J386&lt;=2,"?ACTIVATED",IF(J386&lt;&gt;"","?FAMILIAR",IF(F386="NEW",IF(ISNA(VLOOKUP(E386,#REF!,1,FALSE())),"?TYPE_IDENTIFIABLE","?REFERENTIAL"),"_")))))</f>
        <v/>
      </c>
      <c r="H386" s="22" t="str">
        <f aca="false">IF(J386&lt;&gt;1,"",IF(I386="SBJ","CB","?"))</f>
        <v/>
      </c>
      <c r="I386" s="23" t="str">
        <f aca="false">IF(OR(E386="",E386="!!!",F386="NEW"),"",INDEX(B$2:B385,-1+SUMPRODUCT(MAX(ROW(E$2:E385)*(E386=E$2:E385)))))</f>
        <v/>
      </c>
      <c r="J386" s="23" t="str">
        <f aca="true">IF(OR(E386="",E386="!!!",F386="NEW"),"",COUNTBLANK(OFFSET(A$1,,,SUMPRODUCT(MAX(ROW(E$2:E386)*(E386=E$2:E386)))))-COUNTBLANK(OFFSET(A$1,,,SUMPRODUCT(MAX(ROW(E$1:E385)*(#REF!=E$1:E385))))))</f>
        <v/>
      </c>
      <c r="K386" s="23" t="str">
        <f aca="false">IF(OR(E386="",E386="!!!",F386="NEW"),"",INDEX(J$1:J385,SUMPRODUCT(MAX(ROW(E$1:E385)*(E386=E$1:E385)))))</f>
        <v/>
      </c>
      <c r="L386" s="24"/>
    </row>
    <row r="387" customFormat="false" ht="12.75" hidden="false" customHeight="false" outlineLevel="0" collapsed="false">
      <c r="A387" s="17" t="s">
        <v>215</v>
      </c>
      <c r="E387" s="19" t="str">
        <f aca="false">IF(D387="?OLD","!!!","")</f>
        <v/>
      </c>
      <c r="F387" s="20" t="str">
        <f aca="false">IF(OR(E387="",E387="!!!"),"",IF(NOT(ISNA(VLOOKUP(E387,E$1:E386,1,FALSE()))),"OLD",IF(AND(E387&lt;&gt;"",E387&lt;&gt;"!!!"),"NEW","")))</f>
        <v/>
      </c>
      <c r="G387" s="21" t="str">
        <f aca="false">IF(OR(E387="",E387="!!!"),"",IF(OR(J387=0,AND(J387=1,K387=1),AND(J387=1,I387="SBJ"),AND(J387=1,I387=0)),"?IN_FOCUS",IF(J387&lt;=2,"?ACTIVATED",IF(J387&lt;&gt;"","?FAMILIAR",IF(F387="NEW",IF(ISNA(VLOOKUP(E387,#REF!,1,FALSE())),"?TYPE_IDENTIFIABLE","?REFERENTIAL"),"_")))))</f>
        <v/>
      </c>
      <c r="H387" s="22" t="str">
        <f aca="false">IF(J387&lt;&gt;1,"",IF(I387="SBJ","CB","?"))</f>
        <v/>
      </c>
      <c r="I387" s="23" t="str">
        <f aca="false">IF(OR(E387="",E387="!!!",F387="NEW"),"",INDEX(B$2:B386,-1+SUMPRODUCT(MAX(ROW(E$2:E386)*(E387=E$2:E386)))))</f>
        <v/>
      </c>
      <c r="J387" s="23" t="str">
        <f aca="true">IF(OR(E387="",E387="!!!",F387="NEW"),"",COUNTBLANK(OFFSET(A$1,,,SUMPRODUCT(MAX(ROW(E$2:E387)*(E387=E$2:E387)))))-COUNTBLANK(OFFSET(A$1,,,SUMPRODUCT(MAX(ROW(E$1:E386)*(#REF!=E$1:E386))))))</f>
        <v/>
      </c>
      <c r="K387" s="23" t="str">
        <f aca="false">IF(OR(E387="",E387="!!!",F387="NEW"),"",INDEX(J$1:J386,SUMPRODUCT(MAX(ROW(E$1:E386)*(E387=E$1:E386)))))</f>
        <v/>
      </c>
      <c r="L387" s="24"/>
    </row>
    <row r="388" customFormat="false" ht="12.75" hidden="false" customHeight="false" outlineLevel="0" collapsed="false">
      <c r="A388" s="17" t="s">
        <v>244</v>
      </c>
      <c r="E388" s="19" t="str">
        <f aca="false">IF(D388="?OLD","!!!","")</f>
        <v/>
      </c>
      <c r="F388" s="20" t="str">
        <f aca="false">IF(OR(E388="",E388="!!!"),"",IF(NOT(ISNA(VLOOKUP(E388,E$1:E387,1,FALSE()))),"OLD",IF(AND(E388&lt;&gt;"",E388&lt;&gt;"!!!"),"NEW","")))</f>
        <v/>
      </c>
      <c r="G388" s="21" t="str">
        <f aca="false">IF(OR(E388="",E388="!!!"),"",IF(OR(J388=0,AND(J388=1,K388=1),AND(J388=1,I388="SBJ"),AND(J388=1,I388=0)),"?IN_FOCUS",IF(J388&lt;=2,"?ACTIVATED",IF(J388&lt;&gt;"","?FAMILIAR",IF(F388="NEW",IF(ISNA(VLOOKUP(E388,#REF!,1,FALSE())),"?TYPE_IDENTIFIABLE","?REFERENTIAL"),"_")))))</f>
        <v/>
      </c>
      <c r="H388" s="22" t="str">
        <f aca="false">IF(J388&lt;&gt;1,"",IF(I388="SBJ","CB","?"))</f>
        <v/>
      </c>
      <c r="I388" s="23" t="str">
        <f aca="false">IF(OR(E388="",E388="!!!",F388="NEW"),"",INDEX(B$2:B387,-1+SUMPRODUCT(MAX(ROW(E$2:E387)*(E388=E$2:E387)))))</f>
        <v/>
      </c>
      <c r="J388" s="23" t="str">
        <f aca="true">IF(OR(E388="",E388="!!!",F388="NEW"),"",COUNTBLANK(OFFSET(A$1,,,SUMPRODUCT(MAX(ROW(E$2:E388)*(E388=E$2:E388)))))-COUNTBLANK(OFFSET(A$1,,,SUMPRODUCT(MAX(ROW(E$1:E387)*(#REF!=E$1:E387))))))</f>
        <v/>
      </c>
      <c r="K388" s="23" t="str">
        <f aca="false">IF(OR(E388="",E388="!!!",F388="NEW"),"",INDEX(J$1:J387,SUMPRODUCT(MAX(ROW(E$1:E387)*(E388=E$1:E387)))))</f>
        <v/>
      </c>
      <c r="L388" s="24"/>
    </row>
    <row r="389" customFormat="false" ht="12.75" hidden="false" customHeight="false" outlineLevel="0" collapsed="false">
      <c r="A389" s="17" t="s">
        <v>114</v>
      </c>
      <c r="E389" s="19" t="str">
        <f aca="false">IF(D389="?OLD","!!!","")</f>
        <v/>
      </c>
      <c r="F389" s="20" t="str">
        <f aca="false">IF(OR(E389="",E389="!!!"),"",IF(NOT(ISNA(VLOOKUP(E389,E$1:E388,1,FALSE()))),"OLD",IF(AND(E389&lt;&gt;"",E389&lt;&gt;"!!!"),"NEW","")))</f>
        <v/>
      </c>
      <c r="G389" s="21" t="str">
        <f aca="false">IF(OR(E389="",E389="!!!"),"",IF(OR(J389=0,AND(J389=1,K389=1),AND(J389=1,I389="SBJ"),AND(J389=1,I389=0)),"?IN_FOCUS",IF(J389&lt;=2,"?ACTIVATED",IF(J389&lt;&gt;"","?FAMILIAR",IF(F389="NEW",IF(ISNA(VLOOKUP(E389,#REF!,1,FALSE())),"?TYPE_IDENTIFIABLE","?REFERENTIAL"),"_")))))</f>
        <v/>
      </c>
      <c r="H389" s="22" t="str">
        <f aca="false">IF(J389&lt;&gt;1,"",IF(I389="SBJ","CB","?"))</f>
        <v/>
      </c>
      <c r="I389" s="23" t="str">
        <f aca="false">IF(OR(E389="",E389="!!!",F389="NEW"),"",INDEX(B$2:B388,-1+SUMPRODUCT(MAX(ROW(E$2:E388)*(E389=E$2:E388)))))</f>
        <v/>
      </c>
      <c r="J389" s="23" t="str">
        <f aca="true">IF(OR(E389="",E389="!!!",F389="NEW"),"",COUNTBLANK(OFFSET(A$1,,,SUMPRODUCT(MAX(ROW(E$2:E389)*(E389=E$2:E389)))))-COUNTBLANK(OFFSET(A$1,,,SUMPRODUCT(MAX(ROW(E$1:E388)*(#REF!=E$1:E388))))))</f>
        <v/>
      </c>
      <c r="K389" s="23" t="str">
        <f aca="false">IF(OR(E389="",E389="!!!",F389="NEW"),"",INDEX(J$1:J388,SUMPRODUCT(MAX(ROW(E$1:E388)*(E389=E$1:E388)))))</f>
        <v/>
      </c>
      <c r="L389" s="24"/>
    </row>
    <row r="390" customFormat="false" ht="12.75" hidden="false" customHeight="false" outlineLevel="0" collapsed="false">
      <c r="A390" s="17" t="s">
        <v>245</v>
      </c>
      <c r="B390" s="18" t="s">
        <v>79</v>
      </c>
      <c r="C390" s="18" t="s">
        <v>18</v>
      </c>
      <c r="D390" s="18" t="s">
        <v>19</v>
      </c>
      <c r="E390" s="19" t="str">
        <f aca="false">IF(D390="?OLD","!!!","")</f>
        <v>!!!</v>
      </c>
      <c r="F390" s="20" t="str">
        <f aca="false">IF(OR(E390="",E390="!!!"),"",IF(NOT(ISNA(VLOOKUP(E390,E$1:E389,1,FALSE()))),"OLD",IF(AND(E390&lt;&gt;"",E390&lt;&gt;"!!!"),"NEW","")))</f>
        <v/>
      </c>
      <c r="G390" s="21" t="str">
        <f aca="false">IF(OR(E390="",E390="!!!"),"",IF(OR(J390=0,AND(J390=1,K390=1),AND(J390=1,I390="SBJ"),AND(J390=1,I390=0)),"?IN_FOCUS",IF(J390&lt;=2,"?ACTIVATED",IF(J390&lt;&gt;"","?FAMILIAR",IF(F390="NEW",IF(ISNA(VLOOKUP(E390,#REF!,1,FALSE())),"?TYPE_IDENTIFIABLE","?REFERENTIAL"),"_")))))</f>
        <v/>
      </c>
      <c r="H390" s="22" t="str">
        <f aca="false">IF(J390&lt;&gt;1,"",IF(I390="SBJ","CB","?"))</f>
        <v/>
      </c>
      <c r="I390" s="23" t="str">
        <f aca="false">IF(OR(E390="",E390="!!!",F390="NEW"),"",INDEX(B$2:B389,-1+SUMPRODUCT(MAX(ROW(E$2:E389)*(E390=E$2:E389)))))</f>
        <v/>
      </c>
      <c r="J390" s="23" t="str">
        <f aca="true">IF(OR(E390="",E390="!!!",F390="NEW"),"",COUNTBLANK(OFFSET(A$1,,,SUMPRODUCT(MAX(ROW(E$2:E390)*(E390=E$2:E390)))))-COUNTBLANK(OFFSET(A$1,,,SUMPRODUCT(MAX(ROW(E$1:E389)*(#REF!=E$1:E389))))))</f>
        <v/>
      </c>
      <c r="K390" s="23" t="str">
        <f aca="false">IF(OR(E390="",E390="!!!",F390="NEW"),"",INDEX(J$1:J389,SUMPRODUCT(MAX(ROW(E$1:E389)*(E390=E$1:E389)))))</f>
        <v/>
      </c>
      <c r="L390" s="24"/>
    </row>
    <row r="391" customFormat="false" ht="12.75" hidden="false" customHeight="false" outlineLevel="0" collapsed="false">
      <c r="A391" s="17" t="s">
        <v>30</v>
      </c>
      <c r="E391" s="19" t="str">
        <f aca="false">IF(D391="?OLD","!!!","")</f>
        <v/>
      </c>
      <c r="F391" s="20" t="str">
        <f aca="false">IF(OR(E391="",E391="!!!"),"",IF(NOT(ISNA(VLOOKUP(E391,E$1:E390,1,FALSE()))),"OLD",IF(AND(E391&lt;&gt;"",E391&lt;&gt;"!!!"),"NEW","")))</f>
        <v/>
      </c>
      <c r="G391" s="21" t="str">
        <f aca="false">IF(OR(E391="",E391="!!!"),"",IF(OR(J391=0,AND(J391=1,K391=1),AND(J391=1,I391="SBJ"),AND(J391=1,I391=0)),"?IN_FOCUS",IF(J391&lt;=2,"?ACTIVATED",IF(J391&lt;&gt;"","?FAMILIAR",IF(F391="NEW",IF(ISNA(VLOOKUP(E391,#REF!,1,FALSE())),"?TYPE_IDENTIFIABLE","?REFERENTIAL"),"_")))))</f>
        <v/>
      </c>
      <c r="H391" s="22" t="str">
        <f aca="false">IF(J391&lt;&gt;1,"",IF(I391="SBJ","CB","?"))</f>
        <v/>
      </c>
      <c r="I391" s="23" t="str">
        <f aca="false">IF(OR(E391="",E391="!!!",F391="NEW"),"",INDEX(B$2:B390,-1+SUMPRODUCT(MAX(ROW(E$2:E390)*(E391=E$2:E390)))))</f>
        <v/>
      </c>
      <c r="J391" s="23" t="str">
        <f aca="true">IF(OR(E391="",E391="!!!",F391="NEW"),"",COUNTBLANK(OFFSET(A$1,,,SUMPRODUCT(MAX(ROW(E$2:E391)*(E391=E$2:E391)))))-COUNTBLANK(OFFSET(A$1,,,SUMPRODUCT(MAX(ROW(E$1:E390)*(#REF!=E$1:E390))))))</f>
        <v/>
      </c>
      <c r="K391" s="23" t="str">
        <f aca="false">IF(OR(E391="",E391="!!!",F391="NEW"),"",INDEX(J$1:J390,SUMPRODUCT(MAX(ROW(E$1:E390)*(E391=E$1:E390)))))</f>
        <v/>
      </c>
      <c r="L391" s="24"/>
    </row>
    <row r="392" customFormat="false" ht="12.75" hidden="false" customHeight="false" outlineLevel="0" collapsed="false">
      <c r="A392" s="17" t="s">
        <v>246</v>
      </c>
      <c r="B392" s="18" t="s">
        <v>87</v>
      </c>
      <c r="C392" s="18" t="s">
        <v>43</v>
      </c>
      <c r="D392" s="18" t="s">
        <v>19</v>
      </c>
      <c r="E392" s="19" t="str">
        <f aca="false">IF(D392="?OLD","!!!","")</f>
        <v>!!!</v>
      </c>
      <c r="F392" s="20" t="str">
        <f aca="false">IF(OR(E392="",E392="!!!"),"",IF(NOT(ISNA(VLOOKUP(E392,E$1:E391,1,FALSE()))),"OLD",IF(AND(E392&lt;&gt;"",E392&lt;&gt;"!!!"),"NEW","")))</f>
        <v/>
      </c>
      <c r="G392" s="21" t="str">
        <f aca="false">IF(OR(E392="",E392="!!!"),"",IF(OR(J392=0,AND(J392=1,K392=1),AND(J392=1,I392="SBJ"),AND(J392=1,I392=0)),"?IN_FOCUS",IF(J392&lt;=2,"?ACTIVATED",IF(J392&lt;&gt;"","?FAMILIAR",IF(F392="NEW",IF(ISNA(VLOOKUP(E392,#REF!,1,FALSE())),"?TYPE_IDENTIFIABLE","?REFERENTIAL"),"_")))))</f>
        <v/>
      </c>
      <c r="H392" s="22" t="str">
        <f aca="false">IF(J392&lt;&gt;1,"",IF(I392="SBJ","CB","?"))</f>
        <v/>
      </c>
      <c r="I392" s="23" t="str">
        <f aca="false">IF(OR(E392="",E392="!!!",F392="NEW"),"",INDEX(B$2:B391,-1+SUMPRODUCT(MAX(ROW(E$2:E391)*(E392=E$2:E391)))))</f>
        <v/>
      </c>
      <c r="J392" s="23" t="str">
        <f aca="true">IF(OR(E392="",E392="!!!",F392="NEW"),"",COUNTBLANK(OFFSET(A$1,,,SUMPRODUCT(MAX(ROW(E$2:E392)*(E392=E$2:E392)))))-COUNTBLANK(OFFSET(A$1,,,SUMPRODUCT(MAX(ROW(E$1:E391)*(#REF!=E$1:E391))))))</f>
        <v/>
      </c>
      <c r="K392" s="23" t="str">
        <f aca="false">IF(OR(E392="",E392="!!!",F392="NEW"),"",INDEX(J$1:J391,SUMPRODUCT(MAX(ROW(E$1:E391)*(E392=E$1:E391)))))</f>
        <v/>
      </c>
      <c r="L392" s="24"/>
    </row>
    <row r="393" customFormat="false" ht="12.75" hidden="false" customHeight="false" outlineLevel="0" collapsed="false">
      <c r="A393" s="17" t="s">
        <v>119</v>
      </c>
      <c r="E393" s="19" t="str">
        <f aca="false">IF(D393="?OLD","!!!","")</f>
        <v/>
      </c>
      <c r="F393" s="20" t="str">
        <f aca="false">IF(OR(E393="",E393="!!!"),"",IF(NOT(ISNA(VLOOKUP(E393,E$1:E392,1,FALSE()))),"OLD",IF(AND(E393&lt;&gt;"",E393&lt;&gt;"!!!"),"NEW","")))</f>
        <v/>
      </c>
      <c r="G393" s="21" t="str">
        <f aca="false">IF(OR(E393="",E393="!!!"),"",IF(OR(J393=0,AND(J393=1,K393=1),AND(J393=1,I393="SBJ"),AND(J393=1,I393=0)),"?IN_FOCUS",IF(J393&lt;=2,"?ACTIVATED",IF(J393&lt;&gt;"","?FAMILIAR",IF(F393="NEW",IF(ISNA(VLOOKUP(E393,#REF!,1,FALSE())),"?TYPE_IDENTIFIABLE","?REFERENTIAL"),"_")))))</f>
        <v/>
      </c>
      <c r="H393" s="22" t="str">
        <f aca="false">IF(J393&lt;&gt;1,"",IF(I393="SBJ","CB","?"))</f>
        <v/>
      </c>
      <c r="I393" s="23" t="str">
        <f aca="false">IF(OR(E393="",E393="!!!",F393="NEW"),"",INDEX(B$2:B392,-1+SUMPRODUCT(MAX(ROW(E$2:E392)*(E393=E$2:E392)))))</f>
        <v/>
      </c>
      <c r="J393" s="23" t="str">
        <f aca="true">IF(OR(E393="",E393="!!!",F393="NEW"),"",COUNTBLANK(OFFSET(A$1,,,SUMPRODUCT(MAX(ROW(E$2:E393)*(E393=E$2:E393)))))-COUNTBLANK(OFFSET(A$1,,,SUMPRODUCT(MAX(ROW(E$1:E392)*(#REF!=E$1:E392))))))</f>
        <v/>
      </c>
      <c r="K393" s="23" t="str">
        <f aca="false">IF(OR(E393="",E393="!!!",F393="NEW"),"",INDEX(J$1:J392,SUMPRODUCT(MAX(ROW(E$1:E392)*(E393=E$1:E392)))))</f>
        <v/>
      </c>
      <c r="L393" s="24"/>
    </row>
    <row r="394" customFormat="false" ht="12.75" hidden="false" customHeight="false" outlineLevel="0" collapsed="false">
      <c r="A394" s="17" t="s">
        <v>247</v>
      </c>
      <c r="E394" s="19" t="str">
        <f aca="false">IF(D394="?OLD","!!!","")</f>
        <v/>
      </c>
      <c r="F394" s="20" t="str">
        <f aca="false">IF(OR(E394="",E394="!!!"),"",IF(NOT(ISNA(VLOOKUP(E394,E$1:E393,1,FALSE()))),"OLD",IF(AND(E394&lt;&gt;"",E394&lt;&gt;"!!!"),"NEW","")))</f>
        <v/>
      </c>
      <c r="G394" s="21" t="str">
        <f aca="false">IF(OR(E394="",E394="!!!"),"",IF(OR(J394=0,AND(J394=1,K394=1),AND(J394=1,I394="SBJ"),AND(J394=1,I394=0)),"?IN_FOCUS",IF(J394&lt;=2,"?ACTIVATED",IF(J394&lt;&gt;"","?FAMILIAR",IF(F394="NEW",IF(ISNA(VLOOKUP(E394,#REF!,1,FALSE())),"?TYPE_IDENTIFIABLE","?REFERENTIAL"),"_")))))</f>
        <v/>
      </c>
      <c r="H394" s="22" t="str">
        <f aca="false">IF(J394&lt;&gt;1,"",IF(I394="SBJ","CB","?"))</f>
        <v/>
      </c>
      <c r="I394" s="23" t="str">
        <f aca="false">IF(OR(E394="",E394="!!!",F394="NEW"),"",INDEX(B$2:B393,-1+SUMPRODUCT(MAX(ROW(E$2:E393)*(E394=E$2:E393)))))</f>
        <v/>
      </c>
      <c r="J394" s="23" t="str">
        <f aca="true">IF(OR(E394="",E394="!!!",F394="NEW"),"",COUNTBLANK(OFFSET(A$1,,,SUMPRODUCT(MAX(ROW(E$2:E394)*(E394=E$2:E394)))))-COUNTBLANK(OFFSET(A$1,,,SUMPRODUCT(MAX(ROW(E$1:E393)*(#REF!=E$1:E393))))))</f>
        <v/>
      </c>
      <c r="K394" s="23" t="str">
        <f aca="false">IF(OR(E394="",E394="!!!",F394="NEW"),"",INDEX(J$1:J393,SUMPRODUCT(MAX(ROW(E$1:E393)*(E394=E$1:E393)))))</f>
        <v/>
      </c>
      <c r="L394" s="24"/>
    </row>
    <row r="395" customFormat="false" ht="12.75" hidden="false" customHeight="false" outlineLevel="0" collapsed="false">
      <c r="A395" s="17" t="s">
        <v>114</v>
      </c>
      <c r="E395" s="19" t="str">
        <f aca="false">IF(D395="?OLD","!!!","")</f>
        <v/>
      </c>
      <c r="F395" s="20" t="str">
        <f aca="false">IF(OR(E395="",E395="!!!"),"",IF(NOT(ISNA(VLOOKUP(E395,E$1:E394,1,FALSE()))),"OLD",IF(AND(E395&lt;&gt;"",E395&lt;&gt;"!!!"),"NEW","")))</f>
        <v/>
      </c>
      <c r="G395" s="21" t="str">
        <f aca="false">IF(OR(E395="",E395="!!!"),"",IF(OR(J395=0,AND(J395=1,K395=1),AND(J395=1,I395="SBJ"),AND(J395=1,I395=0)),"?IN_FOCUS",IF(J395&lt;=2,"?ACTIVATED",IF(J395&lt;&gt;"","?FAMILIAR",IF(F395="NEW",IF(ISNA(VLOOKUP(E395,#REF!,1,FALSE())),"?TYPE_IDENTIFIABLE","?REFERENTIAL"),"_")))))</f>
        <v/>
      </c>
      <c r="H395" s="22" t="str">
        <f aca="false">IF(J395&lt;&gt;1,"",IF(I395="SBJ","CB","?"))</f>
        <v/>
      </c>
      <c r="I395" s="23" t="str">
        <f aca="false">IF(OR(E395="",E395="!!!",F395="NEW"),"",INDEX(B$2:B394,-1+SUMPRODUCT(MAX(ROW(E$2:E394)*(E395=E$2:E394)))))</f>
        <v/>
      </c>
      <c r="J395" s="23" t="str">
        <f aca="true">IF(OR(E395="",E395="!!!",F395="NEW"),"",COUNTBLANK(OFFSET(A$1,,,SUMPRODUCT(MAX(ROW(E$2:E395)*(E395=E$2:E395)))))-COUNTBLANK(OFFSET(A$1,,,SUMPRODUCT(MAX(ROW(E$1:E394)*(#REF!=E$1:E394))))))</f>
        <v/>
      </c>
      <c r="K395" s="23" t="str">
        <f aca="false">IF(OR(E395="",E395="!!!",F395="NEW"),"",INDEX(J$1:J394,SUMPRODUCT(MAX(ROW(E$1:E394)*(E395=E$1:E394)))))</f>
        <v/>
      </c>
      <c r="L395" s="24"/>
    </row>
    <row r="396" customFormat="false" ht="12.75" hidden="false" customHeight="false" outlineLevel="0" collapsed="false">
      <c r="A396" s="17" t="s">
        <v>240</v>
      </c>
      <c r="B396" s="18" t="s">
        <v>84</v>
      </c>
      <c r="C396" s="18" t="s">
        <v>18</v>
      </c>
      <c r="D396" s="18" t="s">
        <v>19</v>
      </c>
      <c r="E396" s="19" t="str">
        <f aca="false">IF(D396="?OLD","!!!","")</f>
        <v>!!!</v>
      </c>
      <c r="F396" s="20" t="str">
        <f aca="false">IF(OR(E396="",E396="!!!"),"",IF(NOT(ISNA(VLOOKUP(E396,E$1:E395,1,FALSE()))),"OLD",IF(AND(E396&lt;&gt;"",E396&lt;&gt;"!!!"),"NEW","")))</f>
        <v/>
      </c>
      <c r="G396" s="21" t="str">
        <f aca="false">IF(OR(E396="",E396="!!!"),"",IF(OR(J396=0,AND(J396=1,K396=1),AND(J396=1,I396="SBJ"),AND(J396=1,I396=0)),"?IN_FOCUS",IF(J396&lt;=2,"?ACTIVATED",IF(J396&lt;&gt;"","?FAMILIAR",IF(F396="NEW",IF(ISNA(VLOOKUP(E396,#REF!,1,FALSE())),"?TYPE_IDENTIFIABLE","?REFERENTIAL"),"_")))))</f>
        <v/>
      </c>
      <c r="H396" s="22" t="str">
        <f aca="false">IF(J396&lt;&gt;1,"",IF(I396="SBJ","CB","?"))</f>
        <v/>
      </c>
      <c r="I396" s="23" t="str">
        <f aca="false">IF(OR(E396="",E396="!!!",F396="NEW"),"",INDEX(B$2:B395,-1+SUMPRODUCT(MAX(ROW(E$2:E395)*(E396=E$2:E395)))))</f>
        <v/>
      </c>
      <c r="J396" s="23" t="str">
        <f aca="true">IF(OR(E396="",E396="!!!",F396="NEW"),"",COUNTBLANK(OFFSET(A$1,,,SUMPRODUCT(MAX(ROW(E$2:E396)*(E396=E$2:E396)))))-COUNTBLANK(OFFSET(A$1,,,SUMPRODUCT(MAX(ROW(E$1:E395)*(#REF!=E$1:E395))))))</f>
        <v/>
      </c>
      <c r="K396" s="23" t="str">
        <f aca="false">IF(OR(E396="",E396="!!!",F396="NEW"),"",INDEX(J$1:J395,SUMPRODUCT(MAX(ROW(E$1:E395)*(E396=E$1:E395)))))</f>
        <v/>
      </c>
      <c r="L396" s="24"/>
    </row>
    <row r="397" customFormat="false" ht="12.75" hidden="false" customHeight="false" outlineLevel="0" collapsed="false">
      <c r="A397" s="17" t="s">
        <v>22</v>
      </c>
      <c r="E397" s="19" t="str">
        <f aca="false">IF(D397="?OLD","!!!","")</f>
        <v/>
      </c>
      <c r="F397" s="20" t="str">
        <f aca="false">IF(OR(E397="",E397="!!!"),"",IF(NOT(ISNA(VLOOKUP(E397,E$1:E396,1,FALSE()))),"OLD",IF(AND(E397&lt;&gt;"",E397&lt;&gt;"!!!"),"NEW","")))</f>
        <v/>
      </c>
      <c r="G397" s="21" t="str">
        <f aca="false">IF(OR(E397="",E397="!!!"),"",IF(OR(J397=0,AND(J397=1,K397=1),AND(J397=1,I397="SBJ"),AND(J397=1,I397=0)),"?IN_FOCUS",IF(J397&lt;=2,"?ACTIVATED",IF(J397&lt;&gt;"","?FAMILIAR",IF(F397="NEW",IF(ISNA(VLOOKUP(E397,#REF!,1,FALSE())),"?TYPE_IDENTIFIABLE","?REFERENTIAL"),"_")))))</f>
        <v/>
      </c>
      <c r="H397" s="22" t="str">
        <f aca="false">IF(J397&lt;&gt;1,"",IF(I397="SBJ","CB","?"))</f>
        <v/>
      </c>
      <c r="I397" s="23" t="str">
        <f aca="false">IF(OR(E397="",E397="!!!",F397="NEW"),"",INDEX(B$2:B396,-1+SUMPRODUCT(MAX(ROW(E$2:E396)*(E397=E$2:E396)))))</f>
        <v/>
      </c>
      <c r="J397" s="23" t="str">
        <f aca="true">IF(OR(E397="",E397="!!!",F397="NEW"),"",COUNTBLANK(OFFSET(A$1,,,SUMPRODUCT(MAX(ROW(E$2:E397)*(E397=E$2:E397)))))-COUNTBLANK(OFFSET(A$1,,,SUMPRODUCT(MAX(ROW(E$1:E396)*(#REF!=E$1:E396))))))</f>
        <v/>
      </c>
      <c r="K397" s="23" t="str">
        <f aca="false">IF(OR(E397="",E397="!!!",F397="NEW"),"",INDEX(J$1:J396,SUMPRODUCT(MAX(ROW(E$1:E396)*(E397=E$1:E396)))))</f>
        <v/>
      </c>
      <c r="L397" s="24"/>
    </row>
    <row r="398" customFormat="false" ht="12.75" hidden="false" customHeight="false" outlineLevel="0" collapsed="false">
      <c r="A398" s="17" t="s">
        <v>70</v>
      </c>
      <c r="E398" s="19" t="str">
        <f aca="false">IF(D398="?OLD","!!!","")</f>
        <v/>
      </c>
      <c r="F398" s="20" t="str">
        <f aca="false">IF(OR(E398="",E398="!!!"),"",IF(NOT(ISNA(VLOOKUP(E398,E$1:E397,1,FALSE()))),"OLD",IF(AND(E398&lt;&gt;"",E398&lt;&gt;"!!!"),"NEW","")))</f>
        <v/>
      </c>
      <c r="G398" s="21" t="str">
        <f aca="false">IF(OR(E398="",E398="!!!"),"",IF(OR(J398=0,AND(J398=1,K398=1),AND(J398=1,I398="SBJ"),AND(J398=1,I398=0)),"?IN_FOCUS",IF(J398&lt;=2,"?ACTIVATED",IF(J398&lt;&gt;"","?FAMILIAR",IF(F398="NEW",IF(ISNA(VLOOKUP(E398,#REF!,1,FALSE())),"?TYPE_IDENTIFIABLE","?REFERENTIAL"),"_")))))</f>
        <v/>
      </c>
      <c r="H398" s="22" t="str">
        <f aca="false">IF(J398&lt;&gt;1,"",IF(I398="SBJ","CB","?"))</f>
        <v/>
      </c>
      <c r="I398" s="23" t="str">
        <f aca="false">IF(OR(E398="",E398="!!!",F398="NEW"),"",INDEX(B$2:B397,-1+SUMPRODUCT(MAX(ROW(E$2:E397)*(E398=E$2:E397)))))</f>
        <v/>
      </c>
      <c r="J398" s="23" t="str">
        <f aca="true">IF(OR(E398="",E398="!!!",F398="NEW"),"",COUNTBLANK(OFFSET(A$1,,,SUMPRODUCT(MAX(ROW(E$2:E398)*(E398=E$2:E398)))))-COUNTBLANK(OFFSET(A$1,,,SUMPRODUCT(MAX(ROW(E$1:E397)*(#REF!=E$1:E397))))))</f>
        <v/>
      </c>
      <c r="K398" s="23" t="str">
        <f aca="false">IF(OR(E398="",E398="!!!",F398="NEW"),"",INDEX(J$1:J397,SUMPRODUCT(MAX(ROW(E$1:E397)*(E398=E$1:E397)))))</f>
        <v/>
      </c>
      <c r="L398" s="24"/>
    </row>
    <row r="399" customFormat="false" ht="12.75" hidden="false" customHeight="false" outlineLevel="0" collapsed="false">
      <c r="A399" s="17" t="s">
        <v>119</v>
      </c>
      <c r="E399" s="19" t="str">
        <f aca="false">IF(D399="?OLD","!!!","")</f>
        <v/>
      </c>
      <c r="F399" s="20" t="str">
        <f aca="false">IF(OR(E399="",E399="!!!"),"",IF(NOT(ISNA(VLOOKUP(E399,E$1:E398,1,FALSE()))),"OLD",IF(AND(E399&lt;&gt;"",E399&lt;&gt;"!!!"),"NEW","")))</f>
        <v/>
      </c>
      <c r="G399" s="21" t="str">
        <f aca="false">IF(OR(E399="",E399="!!!"),"",IF(OR(J399=0,AND(J399=1,K399=1),AND(J399=1,I399="SBJ"),AND(J399=1,I399=0)),"?IN_FOCUS",IF(J399&lt;=2,"?ACTIVATED",IF(J399&lt;&gt;"","?FAMILIAR",IF(F399="NEW",IF(ISNA(VLOOKUP(E399,#REF!,1,FALSE())),"?TYPE_IDENTIFIABLE","?REFERENTIAL"),"_")))))</f>
        <v/>
      </c>
      <c r="H399" s="22" t="str">
        <f aca="false">IF(J399&lt;&gt;1,"",IF(I399="SBJ","CB","?"))</f>
        <v/>
      </c>
      <c r="I399" s="23" t="str">
        <f aca="false">IF(OR(E399="",E399="!!!",F399="NEW"),"",INDEX(B$2:B398,-1+SUMPRODUCT(MAX(ROW(E$2:E398)*(E399=E$2:E398)))))</f>
        <v/>
      </c>
      <c r="J399" s="23" t="str">
        <f aca="true">IF(OR(E399="",E399="!!!",F399="NEW"),"",COUNTBLANK(OFFSET(A$1,,,SUMPRODUCT(MAX(ROW(E$2:E399)*(E399=E$2:E399)))))-COUNTBLANK(OFFSET(A$1,,,SUMPRODUCT(MAX(ROW(E$1:E398)*(#REF!=E$1:E398))))))</f>
        <v/>
      </c>
      <c r="K399" s="23" t="str">
        <f aca="false">IF(OR(E399="",E399="!!!",F399="NEW"),"",INDEX(J$1:J398,SUMPRODUCT(MAX(ROW(E$1:E398)*(E399=E$1:E398)))))</f>
        <v/>
      </c>
      <c r="L399" s="24"/>
    </row>
    <row r="400" customFormat="false" ht="12.75" hidden="false" customHeight="false" outlineLevel="0" collapsed="false">
      <c r="A400" s="17" t="s">
        <v>248</v>
      </c>
      <c r="E400" s="19" t="str">
        <f aca="false">IF(D400="?OLD","!!!","")</f>
        <v/>
      </c>
      <c r="F400" s="20" t="str">
        <f aca="false">IF(OR(E400="",E400="!!!"),"",IF(NOT(ISNA(VLOOKUP(E400,E$1:E399,1,FALSE()))),"OLD",IF(AND(E400&lt;&gt;"",E400&lt;&gt;"!!!"),"NEW","")))</f>
        <v/>
      </c>
      <c r="G400" s="21" t="str">
        <f aca="false">IF(OR(E400="",E400="!!!"),"",IF(OR(J400=0,AND(J400=1,K400=1),AND(J400=1,I400="SBJ"),AND(J400=1,I400=0)),"?IN_FOCUS",IF(J400&lt;=2,"?ACTIVATED",IF(J400&lt;&gt;"","?FAMILIAR",IF(F400="NEW",IF(ISNA(VLOOKUP(E400,#REF!,1,FALSE())),"?TYPE_IDENTIFIABLE","?REFERENTIAL"),"_")))))</f>
        <v/>
      </c>
      <c r="H400" s="22" t="str">
        <f aca="false">IF(J400&lt;&gt;1,"",IF(I400="SBJ","CB","?"))</f>
        <v/>
      </c>
      <c r="I400" s="23" t="str">
        <f aca="false">IF(OR(E400="",E400="!!!",F400="NEW"),"",INDEX(B$2:B399,-1+SUMPRODUCT(MAX(ROW(E$2:E399)*(E400=E$2:E399)))))</f>
        <v/>
      </c>
      <c r="J400" s="23" t="str">
        <f aca="true">IF(OR(E400="",E400="!!!",F400="NEW"),"",COUNTBLANK(OFFSET(A$1,,,SUMPRODUCT(MAX(ROW(E$2:E400)*(E400=E$2:E400)))))-COUNTBLANK(OFFSET(A$1,,,SUMPRODUCT(MAX(ROW(E$1:E399)*(#REF!=E$1:E399))))))</f>
        <v/>
      </c>
      <c r="K400" s="23" t="str">
        <f aca="false">IF(OR(E400="",E400="!!!",F400="NEW"),"",INDEX(J$1:J399,SUMPRODUCT(MAX(ROW(E$1:E399)*(E400=E$1:E399)))))</f>
        <v/>
      </c>
      <c r="L400" s="24"/>
    </row>
    <row r="401" customFormat="false" ht="12.75" hidden="false" customHeight="false" outlineLevel="0" collapsed="false">
      <c r="A401" s="17" t="s">
        <v>24</v>
      </c>
      <c r="E401" s="19" t="str">
        <f aca="false">IF(D401="?OLD","!!!","")</f>
        <v/>
      </c>
      <c r="F401" s="20" t="str">
        <f aca="false">IF(OR(E401="",E401="!!!"),"",IF(NOT(ISNA(VLOOKUP(E401,E$1:E400,1,FALSE()))),"OLD",IF(AND(E401&lt;&gt;"",E401&lt;&gt;"!!!"),"NEW","")))</f>
        <v/>
      </c>
      <c r="G401" s="21" t="str">
        <f aca="false">IF(OR(E401="",E401="!!!"),"",IF(OR(J401=0,AND(J401=1,K401=1),AND(J401=1,I401="SBJ"),AND(J401=1,I401=0)),"?IN_FOCUS",IF(J401&lt;=2,"?ACTIVATED",IF(J401&lt;&gt;"","?FAMILIAR",IF(F401="NEW",IF(ISNA(VLOOKUP(E401,#REF!,1,FALSE())),"?TYPE_IDENTIFIABLE","?REFERENTIAL"),"_")))))</f>
        <v/>
      </c>
      <c r="H401" s="22" t="str">
        <f aca="false">IF(J401&lt;&gt;1,"",IF(I401="SBJ","CB","?"))</f>
        <v/>
      </c>
      <c r="I401" s="23" t="str">
        <f aca="false">IF(OR(E401="",E401="!!!",F401="NEW"),"",INDEX(B$2:B400,-1+SUMPRODUCT(MAX(ROW(E$2:E400)*(E401=E$2:E400)))))</f>
        <v/>
      </c>
      <c r="J401" s="23" t="str">
        <f aca="true">IF(OR(E401="",E401="!!!",F401="NEW"),"",COUNTBLANK(OFFSET(A$1,,,SUMPRODUCT(MAX(ROW(E$2:E401)*(E401=E$2:E401)))))-COUNTBLANK(OFFSET(A$1,,,SUMPRODUCT(MAX(ROW(E$1:E400)*(#REF!=E$1:E400))))))</f>
        <v/>
      </c>
      <c r="K401" s="23" t="str">
        <f aca="false">IF(OR(E401="",E401="!!!",F401="NEW"),"",INDEX(J$1:J400,SUMPRODUCT(MAX(ROW(E$1:E400)*(E401=E$1:E400)))))</f>
        <v/>
      </c>
      <c r="L401" s="24"/>
    </row>
    <row r="402" customFormat="false" ht="12.75" hidden="false" customHeight="false" outlineLevel="0" collapsed="false">
      <c r="A402" s="17" t="s">
        <v>249</v>
      </c>
      <c r="B402" s="18" t="s">
        <v>150</v>
      </c>
      <c r="C402" s="18" t="s">
        <v>27</v>
      </c>
      <c r="D402" s="18" t="s">
        <v>19</v>
      </c>
      <c r="E402" s="19" t="str">
        <f aca="false">IF(D402="?OLD","!!!","")</f>
        <v>!!!</v>
      </c>
      <c r="F402" s="20" t="str">
        <f aca="false">IF(OR(E402="",E402="!!!"),"",IF(NOT(ISNA(VLOOKUP(E402,E$1:E401,1,FALSE()))),"OLD",IF(AND(E402&lt;&gt;"",E402&lt;&gt;"!!!"),"NEW","")))</f>
        <v/>
      </c>
      <c r="G402" s="21" t="str">
        <f aca="false">IF(OR(E402="",E402="!!!"),"",IF(OR(J402=0,AND(J402=1,K402=1),AND(J402=1,I402="SBJ"),AND(J402=1,I402=0)),"?IN_FOCUS",IF(J402&lt;=2,"?ACTIVATED",IF(J402&lt;&gt;"","?FAMILIAR",IF(F402="NEW",IF(ISNA(VLOOKUP(E402,#REF!,1,FALSE())),"?TYPE_IDENTIFIABLE","?REFERENTIAL"),"_")))))</f>
        <v/>
      </c>
      <c r="H402" s="22" t="str">
        <f aca="false">IF(J402&lt;&gt;1,"",IF(I402="SBJ","CB","?"))</f>
        <v/>
      </c>
      <c r="I402" s="23" t="str">
        <f aca="false">IF(OR(E402="",E402="!!!",F402="NEW"),"",INDEX(B$2:B401,-1+SUMPRODUCT(MAX(ROW(E$2:E401)*(E402=E$2:E401)))))</f>
        <v/>
      </c>
      <c r="J402" s="23" t="str">
        <f aca="true">IF(OR(E402="",E402="!!!",F402="NEW"),"",COUNTBLANK(OFFSET(A$1,,,SUMPRODUCT(MAX(ROW(E$2:E402)*(E402=E$2:E402)))))-COUNTBLANK(OFFSET(A$1,,,SUMPRODUCT(MAX(ROW(E$1:E401)*(#REF!=E$1:E401))))))</f>
        <v/>
      </c>
      <c r="K402" s="23" t="str">
        <f aca="false">IF(OR(E402="",E402="!!!",F402="NEW"),"",INDEX(J$1:J401,SUMPRODUCT(MAX(ROW(E$1:E401)*(E402=E$1:E401)))))</f>
        <v/>
      </c>
      <c r="L402" s="24"/>
    </row>
    <row r="403" customFormat="false" ht="12.75" hidden="false" customHeight="false" outlineLevel="0" collapsed="false">
      <c r="A403" s="17" t="s">
        <v>208</v>
      </c>
      <c r="B403" s="18" t="s">
        <v>110</v>
      </c>
      <c r="E403" s="19" t="str">
        <f aca="false">IF(D403="?OLD","!!!","")</f>
        <v/>
      </c>
      <c r="F403" s="20" t="str">
        <f aca="false">IF(OR(E403="",E403="!!!"),"",IF(NOT(ISNA(VLOOKUP(E403,E$1:E402,1,FALSE()))),"OLD",IF(AND(E403&lt;&gt;"",E403&lt;&gt;"!!!"),"NEW","")))</f>
        <v/>
      </c>
      <c r="G403" s="21" t="str">
        <f aca="false">IF(OR(E403="",E403="!!!"),"",IF(OR(J403=0,AND(J403=1,K403=1),AND(J403=1,I403="SBJ"),AND(J403=1,I403=0)),"?IN_FOCUS",IF(J403&lt;=2,"?ACTIVATED",IF(J403&lt;&gt;"","?FAMILIAR",IF(F403="NEW",IF(ISNA(VLOOKUP(E403,#REF!,1,FALSE())),"?TYPE_IDENTIFIABLE","?REFERENTIAL"),"_")))))</f>
        <v/>
      </c>
      <c r="H403" s="22" t="str">
        <f aca="false">IF(J403&lt;&gt;1,"",IF(I403="SBJ","CB","?"))</f>
        <v/>
      </c>
      <c r="I403" s="23" t="str">
        <f aca="false">IF(OR(E403="",E403="!!!",F403="NEW"),"",INDEX(B$2:B402,-1+SUMPRODUCT(MAX(ROW(E$2:E402)*(E403=E$2:E402)))))</f>
        <v/>
      </c>
      <c r="J403" s="23" t="str">
        <f aca="true">IF(OR(E403="",E403="!!!",F403="NEW"),"",COUNTBLANK(OFFSET(A$1,,,SUMPRODUCT(MAX(ROW(E$2:E403)*(E403=E$2:E403)))))-COUNTBLANK(OFFSET(A$1,,,SUMPRODUCT(MAX(ROW(E$1:E402)*(#REF!=E$1:E402))))))</f>
        <v/>
      </c>
      <c r="K403" s="23" t="str">
        <f aca="false">IF(OR(E403="",E403="!!!",F403="NEW"),"",INDEX(J$1:J402,SUMPRODUCT(MAX(ROW(E$1:E402)*(E403=E$1:E402)))))</f>
        <v/>
      </c>
      <c r="L403" s="24"/>
    </row>
    <row r="404" customFormat="false" ht="12.75" hidden="false" customHeight="false" outlineLevel="0" collapsed="false">
      <c r="A404" s="17" t="s">
        <v>222</v>
      </c>
      <c r="E404" s="19" t="str">
        <f aca="false">IF(D404="?OLD","!!!","")</f>
        <v/>
      </c>
      <c r="F404" s="20" t="str">
        <f aca="false">IF(OR(E404="",E404="!!!"),"",IF(NOT(ISNA(VLOOKUP(E404,E$1:E403,1,FALSE()))),"OLD",IF(AND(E404&lt;&gt;"",E404&lt;&gt;"!!!"),"NEW","")))</f>
        <v/>
      </c>
      <c r="G404" s="21" t="str">
        <f aca="false">IF(OR(E404="",E404="!!!"),"",IF(OR(J404=0,AND(J404=1,K404=1),AND(J404=1,I404="SBJ"),AND(J404=1,I404=0)),"?IN_FOCUS",IF(J404&lt;=2,"?ACTIVATED",IF(J404&lt;&gt;"","?FAMILIAR",IF(F404="NEW",IF(ISNA(VLOOKUP(E404,#REF!,1,FALSE())),"?TYPE_IDENTIFIABLE","?REFERENTIAL"),"_")))))</f>
        <v/>
      </c>
      <c r="H404" s="22" t="str">
        <f aca="false">IF(J404&lt;&gt;1,"",IF(I404="SBJ","CB","?"))</f>
        <v/>
      </c>
      <c r="I404" s="23" t="str">
        <f aca="false">IF(OR(E404="",E404="!!!",F404="NEW"),"",INDEX(B$2:B403,-1+SUMPRODUCT(MAX(ROW(E$2:E403)*(E404=E$2:E403)))))</f>
        <v/>
      </c>
      <c r="J404" s="23" t="str">
        <f aca="true">IF(OR(E404="",E404="!!!",F404="NEW"),"",COUNTBLANK(OFFSET(A$1,,,SUMPRODUCT(MAX(ROW(E$2:E404)*(E404=E$2:E404)))))-COUNTBLANK(OFFSET(A$1,,,SUMPRODUCT(MAX(ROW(E$1:E403)*(#REF!=E$1:E403))))))</f>
        <v/>
      </c>
      <c r="K404" s="23" t="str">
        <f aca="false">IF(OR(E404="",E404="!!!",F404="NEW"),"",INDEX(J$1:J403,SUMPRODUCT(MAX(ROW(E$1:E403)*(E404=E$1:E403)))))</f>
        <v/>
      </c>
      <c r="L404" s="24"/>
    </row>
    <row r="405" customFormat="false" ht="12.75" hidden="false" customHeight="false" outlineLevel="0" collapsed="false">
      <c r="A405" s="17" t="s">
        <v>250</v>
      </c>
      <c r="E405" s="19" t="str">
        <f aca="false">IF(D405="?OLD","!!!","")</f>
        <v/>
      </c>
      <c r="F405" s="20" t="str">
        <f aca="false">IF(OR(E405="",E405="!!!"),"",IF(NOT(ISNA(VLOOKUP(E405,E$1:E404,1,FALSE()))),"OLD",IF(AND(E405&lt;&gt;"",E405&lt;&gt;"!!!"),"NEW","")))</f>
        <v/>
      </c>
      <c r="G405" s="21" t="str">
        <f aca="false">IF(OR(E405="",E405="!!!"),"",IF(OR(J405=0,AND(J405=1,K405=1),AND(J405=1,I405="SBJ"),AND(J405=1,I405=0)),"?IN_FOCUS",IF(J405&lt;=2,"?ACTIVATED",IF(J405&lt;&gt;"","?FAMILIAR",IF(F405="NEW",IF(ISNA(VLOOKUP(E405,#REF!,1,FALSE())),"?TYPE_IDENTIFIABLE","?REFERENTIAL"),"_")))))</f>
        <v/>
      </c>
      <c r="H405" s="22" t="str">
        <f aca="false">IF(J405&lt;&gt;1,"",IF(I405="SBJ","CB","?"))</f>
        <v/>
      </c>
      <c r="I405" s="23" t="str">
        <f aca="false">IF(OR(E405="",E405="!!!",F405="NEW"),"",INDEX(B$2:B404,-1+SUMPRODUCT(MAX(ROW(E$2:E404)*(E405=E$2:E404)))))</f>
        <v/>
      </c>
      <c r="J405" s="23" t="str">
        <f aca="true">IF(OR(E405="",E405="!!!",F405="NEW"),"",COUNTBLANK(OFFSET(A$1,,,SUMPRODUCT(MAX(ROW(E$2:E405)*(E405=E$2:E405)))))-COUNTBLANK(OFFSET(A$1,,,SUMPRODUCT(MAX(ROW(E$1:E404)*(#REF!=E$1:E404))))))</f>
        <v/>
      </c>
      <c r="K405" s="23" t="str">
        <f aca="false">IF(OR(E405="",E405="!!!",F405="NEW"),"",INDEX(J$1:J404,SUMPRODUCT(MAX(ROW(E$1:E404)*(E405=E$1:E404)))))</f>
        <v/>
      </c>
      <c r="L405" s="24"/>
    </row>
    <row r="406" customFormat="false" ht="12.75" hidden="false" customHeight="false" outlineLevel="0" collapsed="false">
      <c r="A406" s="17" t="s">
        <v>81</v>
      </c>
      <c r="E406" s="19" t="str">
        <f aca="false">IF(D406="?OLD","!!!","")</f>
        <v/>
      </c>
      <c r="F406" s="20" t="str">
        <f aca="false">IF(OR(E406="",E406="!!!"),"",IF(NOT(ISNA(VLOOKUP(E406,E$1:E405,1,FALSE()))),"OLD",IF(AND(E406&lt;&gt;"",E406&lt;&gt;"!!!"),"NEW","")))</f>
        <v/>
      </c>
      <c r="G406" s="21" t="str">
        <f aca="false">IF(OR(E406="",E406="!!!"),"",IF(OR(J406=0,AND(J406=1,K406=1),AND(J406=1,I406="SBJ"),AND(J406=1,I406=0)),"?IN_FOCUS",IF(J406&lt;=2,"?ACTIVATED",IF(J406&lt;&gt;"","?FAMILIAR",IF(F406="NEW",IF(ISNA(VLOOKUP(E406,#REF!,1,FALSE())),"?TYPE_IDENTIFIABLE","?REFERENTIAL"),"_")))))</f>
        <v/>
      </c>
      <c r="H406" s="22" t="str">
        <f aca="false">IF(J406&lt;&gt;1,"",IF(I406="SBJ","CB","?"))</f>
        <v/>
      </c>
      <c r="I406" s="23" t="str">
        <f aca="false">IF(OR(E406="",E406="!!!",F406="NEW"),"",INDEX(B$2:B405,-1+SUMPRODUCT(MAX(ROW(E$2:E405)*(E406=E$2:E405)))))</f>
        <v/>
      </c>
      <c r="J406" s="23" t="str">
        <f aca="true">IF(OR(E406="",E406="!!!",F406="NEW"),"",COUNTBLANK(OFFSET(A$1,,,SUMPRODUCT(MAX(ROW(E$2:E406)*(E406=E$2:E406)))))-COUNTBLANK(OFFSET(A$1,,,SUMPRODUCT(MAX(ROW(E$1:E405)*(#REF!=E$1:E405))))))</f>
        <v/>
      </c>
      <c r="K406" s="23" t="str">
        <f aca="false">IF(OR(E406="",E406="!!!",F406="NEW"),"",INDEX(J$1:J405,SUMPRODUCT(MAX(ROW(E$1:E405)*(E406=E$1:E405)))))</f>
        <v/>
      </c>
      <c r="L406" s="24"/>
    </row>
    <row r="407" customFormat="false" ht="12.75" hidden="false" customHeight="false" outlineLevel="0" collapsed="false">
      <c r="A407" s="17" t="s">
        <v>78</v>
      </c>
      <c r="B407" s="18" t="s">
        <v>87</v>
      </c>
      <c r="C407" s="18" t="s">
        <v>80</v>
      </c>
      <c r="D407" s="18" t="s">
        <v>19</v>
      </c>
      <c r="E407" s="19" t="str">
        <f aca="false">IF(D407="?OLD","!!!","")</f>
        <v>!!!</v>
      </c>
      <c r="F407" s="20" t="str">
        <f aca="false">IF(OR(E407="",E407="!!!"),"",IF(NOT(ISNA(VLOOKUP(E407,E$1:E406,1,FALSE()))),"OLD",IF(AND(E407&lt;&gt;"",E407&lt;&gt;"!!!"),"NEW","")))</f>
        <v/>
      </c>
      <c r="G407" s="21" t="str">
        <f aca="false">IF(OR(E407="",E407="!!!"),"",IF(OR(J407=0,AND(J407=1,K407=1),AND(J407=1,I407="SBJ"),AND(J407=1,I407=0)),"?IN_FOCUS",IF(J407&lt;=2,"?ACTIVATED",IF(J407&lt;&gt;"","?FAMILIAR",IF(F407="NEW",IF(ISNA(VLOOKUP(E407,#REF!,1,FALSE())),"?TYPE_IDENTIFIABLE","?REFERENTIAL"),"_")))))</f>
        <v/>
      </c>
      <c r="H407" s="22" t="str">
        <f aca="false">IF(J407&lt;&gt;1,"",IF(I407="SBJ","CB","?"))</f>
        <v/>
      </c>
      <c r="I407" s="23" t="str">
        <f aca="false">IF(OR(E407="",E407="!!!",F407="NEW"),"",INDEX(B$2:B406,-1+SUMPRODUCT(MAX(ROW(E$2:E406)*(E407=E$2:E406)))))</f>
        <v/>
      </c>
      <c r="J407" s="23" t="str">
        <f aca="true">IF(OR(E407="",E407="!!!",F407="NEW"),"",COUNTBLANK(OFFSET(A$1,,,SUMPRODUCT(MAX(ROW(E$2:E407)*(E407=E$2:E407)))))-COUNTBLANK(OFFSET(A$1,,,SUMPRODUCT(MAX(ROW(E$1:E406)*(#REF!=E$1:E406))))))</f>
        <v/>
      </c>
      <c r="K407" s="23" t="str">
        <f aca="false">IF(OR(E407="",E407="!!!",F407="NEW"),"",INDEX(J$1:J406,SUMPRODUCT(MAX(ROW(E$1:E406)*(E407=E$1:E406)))))</f>
        <v/>
      </c>
      <c r="L407" s="24"/>
    </row>
    <row r="408" customFormat="false" ht="12.75" hidden="false" customHeight="false" outlineLevel="0" collapsed="false">
      <c r="A408" s="17" t="s">
        <v>59</v>
      </c>
      <c r="E408" s="19" t="str">
        <f aca="false">IF(D408="?OLD","!!!","")</f>
        <v/>
      </c>
      <c r="F408" s="20" t="str">
        <f aca="false">IF(OR(E408="",E408="!!!"),"",IF(NOT(ISNA(VLOOKUP(E408,E$1:E407,1,FALSE()))),"OLD",IF(AND(E408&lt;&gt;"",E408&lt;&gt;"!!!"),"NEW","")))</f>
        <v/>
      </c>
      <c r="G408" s="21" t="str">
        <f aca="false">IF(OR(E408="",E408="!!!"),"",IF(OR(J408=0,AND(J408=1,K408=1),AND(J408=1,I408="SBJ"),AND(J408=1,I408=0)),"?IN_FOCUS",IF(J408&lt;=2,"?ACTIVATED",IF(J408&lt;&gt;"","?FAMILIAR",IF(F408="NEW",IF(ISNA(VLOOKUP(E408,#REF!,1,FALSE())),"?TYPE_IDENTIFIABLE","?REFERENTIAL"),"_")))))</f>
        <v/>
      </c>
      <c r="H408" s="22" t="str">
        <f aca="false">IF(J408&lt;&gt;1,"",IF(I408="SBJ","CB","?"))</f>
        <v/>
      </c>
      <c r="I408" s="23" t="str">
        <f aca="false">IF(OR(E408="",E408="!!!",F408="NEW"),"",INDEX(B$2:B407,-1+SUMPRODUCT(MAX(ROW(E$2:E407)*(E408=E$2:E407)))))</f>
        <v/>
      </c>
      <c r="J408" s="23" t="str">
        <f aca="true">IF(OR(E408="",E408="!!!",F408="NEW"),"",COUNTBLANK(OFFSET(A$1,,,SUMPRODUCT(MAX(ROW(E$2:E408)*(E408=E$2:E408)))))-COUNTBLANK(OFFSET(A$1,,,SUMPRODUCT(MAX(ROW(E$1:E407)*(#REF!=E$1:E407))))))</f>
        <v/>
      </c>
      <c r="K408" s="23" t="str">
        <f aca="false">IF(OR(E408="",E408="!!!",F408="NEW"),"",INDEX(J$1:J407,SUMPRODUCT(MAX(ROW(E$1:E407)*(E408=E$1:E407)))))</f>
        <v/>
      </c>
      <c r="L408" s="24"/>
    </row>
    <row r="409" customFormat="false" ht="12.75" hidden="false" customHeight="false" outlineLevel="0" collapsed="false">
      <c r="A409" s="17" t="s">
        <v>72</v>
      </c>
      <c r="E409" s="19" t="str">
        <f aca="false">IF(D409="?OLD","!!!","")</f>
        <v/>
      </c>
      <c r="F409" s="20" t="str">
        <f aca="false">IF(OR(E409="",E409="!!!"),"",IF(NOT(ISNA(VLOOKUP(E409,E$1:E408,1,FALSE()))),"OLD",IF(AND(E409&lt;&gt;"",E409&lt;&gt;"!!!"),"NEW","")))</f>
        <v/>
      </c>
      <c r="G409" s="21" t="str">
        <f aca="false">IF(OR(E409="",E409="!!!"),"",IF(OR(J409=0,AND(J409=1,K409=1),AND(J409=1,I409="SBJ"),AND(J409=1,I409=0)),"?IN_FOCUS",IF(J409&lt;=2,"?ACTIVATED",IF(J409&lt;&gt;"","?FAMILIAR",IF(F409="NEW",IF(ISNA(VLOOKUP(E409,#REF!,1,FALSE())),"?TYPE_IDENTIFIABLE","?REFERENTIAL"),"_")))))</f>
        <v/>
      </c>
      <c r="H409" s="22" t="str">
        <f aca="false">IF(J409&lt;&gt;1,"",IF(I409="SBJ","CB","?"))</f>
        <v/>
      </c>
      <c r="I409" s="23" t="str">
        <f aca="false">IF(OR(E409="",E409="!!!",F409="NEW"),"",INDEX(B$2:B408,-1+SUMPRODUCT(MAX(ROW(E$2:E408)*(E409=E$2:E408)))))</f>
        <v/>
      </c>
      <c r="J409" s="23" t="str">
        <f aca="true">IF(OR(E409="",E409="!!!",F409="NEW"),"",COUNTBLANK(OFFSET(A$1,,,SUMPRODUCT(MAX(ROW(E$2:E409)*(E409=E$2:E409)))))-COUNTBLANK(OFFSET(A$1,,,SUMPRODUCT(MAX(ROW(E$1:E408)*(#REF!=E$1:E408))))))</f>
        <v/>
      </c>
      <c r="K409" s="23" t="str">
        <f aca="false">IF(OR(E409="",E409="!!!",F409="NEW"),"",INDEX(J$1:J408,SUMPRODUCT(MAX(ROW(E$1:E408)*(E409=E$1:E408)))))</f>
        <v/>
      </c>
      <c r="L409" s="24"/>
    </row>
    <row r="410" customFormat="false" ht="12.75" hidden="false" customHeight="false" outlineLevel="0" collapsed="false">
      <c r="A410" s="17"/>
    </row>
    <row r="411" customFormat="false" ht="12.75" hidden="false" customHeight="false" outlineLevel="0" collapsed="false">
      <c r="A411" s="17" t="s">
        <v>251</v>
      </c>
    </row>
    <row r="412" customFormat="false" ht="12.75" hidden="false" customHeight="false" outlineLevel="0" collapsed="false">
      <c r="A412" s="17" t="s">
        <v>252</v>
      </c>
      <c r="E412" s="19" t="str">
        <f aca="false">IF(D412="?OLD","!!!","")</f>
        <v/>
      </c>
      <c r="F412" s="20" t="str">
        <f aca="false">IF(OR(E412="",E412="!!!"),"",IF(NOT(ISNA(VLOOKUP(E412,E$1:E411,1,FALSE()))),"OLD",IF(AND(E412&lt;&gt;"",E412&lt;&gt;"!!!"),"NEW","")))</f>
        <v/>
      </c>
      <c r="G412" s="21" t="str">
        <f aca="false">IF(OR(E412="",E412="!!!"),"",IF(OR(J412=0,AND(J412=1,K412=1),AND(J412=1,I412="SBJ"),AND(J412=1,I412=0)),"?IN_FOCUS",IF(J412&lt;=2,"?ACTIVATED",IF(J412&lt;&gt;"","?FAMILIAR",IF(F412="NEW",IF(ISNA(VLOOKUP(E412,#REF!,1,FALSE())),"?TYPE_IDENTIFIABLE","?REFERENTIAL"),"_")))))</f>
        <v/>
      </c>
      <c r="H412" s="22" t="str">
        <f aca="false">IF(J412&lt;&gt;1,"",IF(I412="SBJ","CB","?"))</f>
        <v/>
      </c>
      <c r="I412" s="23" t="str">
        <f aca="false">IF(OR(E412="",E412="!!!",F412="NEW"),"",INDEX(B$2:B411,-1+SUMPRODUCT(MAX(ROW(E$2:E411)*(E412=E$2:E411)))))</f>
        <v/>
      </c>
      <c r="J412" s="23" t="str">
        <f aca="true">IF(OR(E412="",E412="!!!",F412="NEW"),"",COUNTBLANK(OFFSET(A$1,,,SUMPRODUCT(MAX(ROW(E$2:E412)*(E412=E$2:E412)))))-COUNTBLANK(OFFSET(A$1,,,SUMPRODUCT(MAX(ROW(E$1:E411)*(#REF!=E$1:E411))))))</f>
        <v/>
      </c>
      <c r="K412" s="23" t="str">
        <f aca="false">IF(OR(E412="",E412="!!!",F412="NEW"),"",INDEX(J$1:J411,SUMPRODUCT(MAX(ROW(E$1:E411)*(E412=E$1:E411)))))</f>
        <v/>
      </c>
      <c r="L412" s="24"/>
    </row>
    <row r="413" customFormat="false" ht="12.75" hidden="false" customHeight="false" outlineLevel="0" collapsed="false">
      <c r="A413" s="17" t="s">
        <v>191</v>
      </c>
      <c r="B413" s="18" t="s">
        <v>26</v>
      </c>
      <c r="E413" s="19" t="str">
        <f aca="false">IF(D413="?OLD","!!!","")</f>
        <v/>
      </c>
      <c r="F413" s="20" t="str">
        <f aca="false">IF(OR(E413="",E413="!!!"),"",IF(NOT(ISNA(VLOOKUP(E413,E$1:E412,1,FALSE()))),"OLD",IF(AND(E413&lt;&gt;"",E413&lt;&gt;"!!!"),"NEW","")))</f>
        <v/>
      </c>
      <c r="G413" s="21" t="str">
        <f aca="false">IF(OR(E413="",E413="!!!"),"",IF(OR(J413=0,AND(J413=1,K413=1),AND(J413=1,I413="SBJ"),AND(J413=1,I413=0)),"?IN_FOCUS",IF(J413&lt;=2,"?ACTIVATED",IF(J413&lt;&gt;"","?FAMILIAR",IF(F413="NEW",IF(ISNA(VLOOKUP(E413,#REF!,1,FALSE())),"?TYPE_IDENTIFIABLE","?REFERENTIAL"),"_")))))</f>
        <v/>
      </c>
      <c r="H413" s="22" t="str">
        <f aca="false">IF(J413&lt;&gt;1,"",IF(I413="SBJ","CB","?"))</f>
        <v/>
      </c>
      <c r="I413" s="23" t="str">
        <f aca="false">IF(OR(E413="",E413="!!!",F413="NEW"),"",INDEX(B$2:B412,-1+SUMPRODUCT(MAX(ROW(E$2:E412)*(E413=E$2:E412)))))</f>
        <v/>
      </c>
      <c r="J413" s="23" t="str">
        <f aca="true">IF(OR(E413="",E413="!!!",F413="NEW"),"",COUNTBLANK(OFFSET(A$1,,,SUMPRODUCT(MAX(ROW(E$2:E413)*(E413=E$2:E413)))))-COUNTBLANK(OFFSET(A$1,,,SUMPRODUCT(MAX(ROW(E$1:E412)*(#REF!=E$1:E412))))))</f>
        <v/>
      </c>
      <c r="K413" s="23" t="str">
        <f aca="false">IF(OR(E413="",E413="!!!",F413="NEW"),"",INDEX(J$1:J412,SUMPRODUCT(MAX(ROW(E$1:E412)*(E413=E$1:E412)))))</f>
        <v/>
      </c>
      <c r="L413" s="24"/>
    </row>
    <row r="414" customFormat="false" ht="12.75" hidden="false" customHeight="false" outlineLevel="0" collapsed="false">
      <c r="A414" s="17" t="s">
        <v>253</v>
      </c>
      <c r="E414" s="19" t="str">
        <f aca="false">IF(D414="?OLD","!!!","")</f>
        <v/>
      </c>
      <c r="F414" s="20" t="str">
        <f aca="false">IF(OR(E414="",E414="!!!"),"",IF(NOT(ISNA(VLOOKUP(E414,E$1:E413,1,FALSE()))),"OLD",IF(AND(E414&lt;&gt;"",E414&lt;&gt;"!!!"),"NEW","")))</f>
        <v/>
      </c>
      <c r="G414" s="21" t="str">
        <f aca="false">IF(OR(E414="",E414="!!!"),"",IF(OR(J414=0,AND(J414=1,K414=1),AND(J414=1,I414="SBJ"),AND(J414=1,I414=0)),"?IN_FOCUS",IF(J414&lt;=2,"?ACTIVATED",IF(J414&lt;&gt;"","?FAMILIAR",IF(F414="NEW",IF(ISNA(VLOOKUP(E414,#REF!,1,FALSE())),"?TYPE_IDENTIFIABLE","?REFERENTIAL"),"_")))))</f>
        <v/>
      </c>
      <c r="H414" s="22" t="str">
        <f aca="false">IF(J414&lt;&gt;1,"",IF(I414="SBJ","CB","?"))</f>
        <v/>
      </c>
      <c r="I414" s="23" t="str">
        <f aca="false">IF(OR(E414="",E414="!!!",F414="NEW"),"",INDEX(B$2:B413,-1+SUMPRODUCT(MAX(ROW(E$2:E413)*(E414=E$2:E413)))))</f>
        <v/>
      </c>
      <c r="J414" s="23" t="str">
        <f aca="true">IF(OR(E414="",E414="!!!",F414="NEW"),"",COUNTBLANK(OFFSET(A$1,,,SUMPRODUCT(MAX(ROW(E$2:E414)*(E414=E$2:E414)))))-COUNTBLANK(OFFSET(A$1,,,SUMPRODUCT(MAX(ROW(E$1:E413)*(#REF!=E$1:E413))))))</f>
        <v/>
      </c>
      <c r="K414" s="23" t="str">
        <f aca="false">IF(OR(E414="",E414="!!!",F414="NEW"),"",INDEX(J$1:J413,SUMPRODUCT(MAX(ROW(E$1:E413)*(E414=E$1:E413)))))</f>
        <v/>
      </c>
      <c r="L414" s="24"/>
    </row>
    <row r="415" customFormat="false" ht="12.75" hidden="false" customHeight="false" outlineLevel="0" collapsed="false">
      <c r="A415" s="17" t="s">
        <v>14</v>
      </c>
      <c r="E415" s="19" t="str">
        <f aca="false">IF(D415="?OLD","!!!","")</f>
        <v/>
      </c>
      <c r="F415" s="20" t="str">
        <f aca="false">IF(OR(E415="",E415="!!!"),"",IF(NOT(ISNA(VLOOKUP(E415,E$1:E414,1,FALSE()))),"OLD",IF(AND(E415&lt;&gt;"",E415&lt;&gt;"!!!"),"NEW","")))</f>
        <v/>
      </c>
      <c r="G415" s="21" t="str">
        <f aca="false">IF(OR(E415="",E415="!!!"),"",IF(OR(J415=0,AND(J415=1,K415=1),AND(J415=1,I415="SBJ"),AND(J415=1,I415=0)),"?IN_FOCUS",IF(J415&lt;=2,"?ACTIVATED",IF(J415&lt;&gt;"","?FAMILIAR",IF(F415="NEW",IF(ISNA(VLOOKUP(E415,#REF!,1,FALSE())),"?TYPE_IDENTIFIABLE","?REFERENTIAL"),"_")))))</f>
        <v/>
      </c>
      <c r="H415" s="22" t="str">
        <f aca="false">IF(J415&lt;&gt;1,"",IF(I415="SBJ","CB","?"))</f>
        <v/>
      </c>
      <c r="I415" s="23" t="str">
        <f aca="false">IF(OR(E415="",E415="!!!",F415="NEW"),"",INDEX(B$2:B414,-1+SUMPRODUCT(MAX(ROW(E$2:E414)*(E415=E$2:E414)))))</f>
        <v/>
      </c>
      <c r="J415" s="23" t="str">
        <f aca="true">IF(OR(E415="",E415="!!!",F415="NEW"),"",COUNTBLANK(OFFSET(A$1,,,SUMPRODUCT(MAX(ROW(E$2:E415)*(E415=E$2:E415)))))-COUNTBLANK(OFFSET(A$1,,,SUMPRODUCT(MAX(ROW(E$1:E414)*(#REF!=E$1:E414))))))</f>
        <v/>
      </c>
      <c r="K415" s="23" t="str">
        <f aca="false">IF(OR(E415="",E415="!!!",F415="NEW"),"",INDEX(J$1:J414,SUMPRODUCT(MAX(ROW(E$1:E414)*(E415=E$1:E414)))))</f>
        <v/>
      </c>
      <c r="L415" s="24"/>
    </row>
    <row r="416" customFormat="false" ht="12.75" hidden="false" customHeight="false" outlineLevel="0" collapsed="false">
      <c r="A416" s="17" t="s">
        <v>24</v>
      </c>
      <c r="E416" s="19" t="str">
        <f aca="false">IF(D416="?OLD","!!!","")</f>
        <v/>
      </c>
      <c r="F416" s="20" t="str">
        <f aca="false">IF(OR(E416="",E416="!!!"),"",IF(NOT(ISNA(VLOOKUP(E416,E$1:E415,1,FALSE()))),"OLD",IF(AND(E416&lt;&gt;"",E416&lt;&gt;"!!!"),"NEW","")))</f>
        <v/>
      </c>
      <c r="G416" s="21" t="str">
        <f aca="false">IF(OR(E416="",E416="!!!"),"",IF(OR(J416=0,AND(J416=1,K416=1),AND(J416=1,I416="SBJ"),AND(J416=1,I416=0)),"?IN_FOCUS",IF(J416&lt;=2,"?ACTIVATED",IF(J416&lt;&gt;"","?FAMILIAR",IF(F416="NEW",IF(ISNA(VLOOKUP(E416,#REF!,1,FALSE())),"?TYPE_IDENTIFIABLE","?REFERENTIAL"),"_")))))</f>
        <v/>
      </c>
      <c r="H416" s="22" t="str">
        <f aca="false">IF(J416&lt;&gt;1,"",IF(I416="SBJ","CB","?"))</f>
        <v/>
      </c>
      <c r="I416" s="23" t="str">
        <f aca="false">IF(OR(E416="",E416="!!!",F416="NEW"),"",INDEX(B$2:B415,-1+SUMPRODUCT(MAX(ROW(E$2:E415)*(E416=E$2:E415)))))</f>
        <v/>
      </c>
      <c r="J416" s="23" t="str">
        <f aca="true">IF(OR(E416="",E416="!!!",F416="NEW"),"",COUNTBLANK(OFFSET(A$1,,,SUMPRODUCT(MAX(ROW(E$2:E416)*(E416=E$2:E416)))))-COUNTBLANK(OFFSET(A$1,,,SUMPRODUCT(MAX(ROW(E$1:E415)*(#REF!=E$1:E415))))))</f>
        <v/>
      </c>
      <c r="K416" s="23" t="str">
        <f aca="false">IF(OR(E416="",E416="!!!",F416="NEW"),"",INDEX(J$1:J415,SUMPRODUCT(MAX(ROW(E$1:E415)*(E416=E$1:E415)))))</f>
        <v/>
      </c>
      <c r="L416" s="24"/>
    </row>
    <row r="417" customFormat="false" ht="12.75" hidden="false" customHeight="false" outlineLevel="0" collapsed="false">
      <c r="A417" s="17" t="s">
        <v>231</v>
      </c>
      <c r="B417" s="18" t="s">
        <v>57</v>
      </c>
      <c r="C417" s="18" t="s">
        <v>27</v>
      </c>
      <c r="D417" s="18" t="s">
        <v>19</v>
      </c>
      <c r="E417" s="19" t="str">
        <f aca="false">IF(D417="?OLD","!!!","")</f>
        <v>!!!</v>
      </c>
      <c r="F417" s="20" t="str">
        <f aca="false">IF(OR(E417="",E417="!!!"),"",IF(NOT(ISNA(VLOOKUP(E417,E$1:E416,1,FALSE()))),"OLD",IF(AND(E417&lt;&gt;"",E417&lt;&gt;"!!!"),"NEW","")))</f>
        <v/>
      </c>
      <c r="G417" s="21" t="str">
        <f aca="false">IF(OR(E417="",E417="!!!"),"",IF(OR(J417=0,AND(J417=1,K417=1),AND(J417=1,I417="SBJ"),AND(J417=1,I417=0)),"?IN_FOCUS",IF(J417&lt;=2,"?ACTIVATED",IF(J417&lt;&gt;"","?FAMILIAR",IF(F417="NEW",IF(ISNA(VLOOKUP(E417,#REF!,1,FALSE())),"?TYPE_IDENTIFIABLE","?REFERENTIAL"),"_")))))</f>
        <v/>
      </c>
      <c r="H417" s="22" t="str">
        <f aca="false">IF(J417&lt;&gt;1,"",IF(I417="SBJ","CB","?"))</f>
        <v/>
      </c>
      <c r="I417" s="23" t="str">
        <f aca="false">IF(OR(E417="",E417="!!!",F417="NEW"),"",INDEX(B$2:B416,-1+SUMPRODUCT(MAX(ROW(E$2:E416)*(E417=E$2:E416)))))</f>
        <v/>
      </c>
      <c r="J417" s="23" t="str">
        <f aca="true">IF(OR(E417="",E417="!!!",F417="NEW"),"",COUNTBLANK(OFFSET(A$1,,,SUMPRODUCT(MAX(ROW(E$2:E417)*(E417=E$2:E417)))))-COUNTBLANK(OFFSET(A$1,,,SUMPRODUCT(MAX(ROW(E$1:E416)*(#REF!=E$1:E416))))))</f>
        <v/>
      </c>
      <c r="K417" s="23" t="str">
        <f aca="false">IF(OR(E417="",E417="!!!",F417="NEW"),"",INDEX(J$1:J416,SUMPRODUCT(MAX(ROW(E$1:E416)*(E417=E$1:E416)))))</f>
        <v/>
      </c>
      <c r="L417" s="24"/>
    </row>
    <row r="418" customFormat="false" ht="12.75" hidden="false" customHeight="false" outlineLevel="0" collapsed="false">
      <c r="A418" s="17" t="s">
        <v>22</v>
      </c>
      <c r="E418" s="19" t="str">
        <f aca="false">IF(D418="?OLD","!!!","")</f>
        <v/>
      </c>
      <c r="F418" s="20" t="str">
        <f aca="false">IF(OR(E418="",E418="!!!"),"",IF(NOT(ISNA(VLOOKUP(E418,E$1:E417,1,FALSE()))),"OLD",IF(AND(E418&lt;&gt;"",E418&lt;&gt;"!!!"),"NEW","")))</f>
        <v/>
      </c>
      <c r="G418" s="21" t="str">
        <f aca="false">IF(OR(E418="",E418="!!!"),"",IF(OR(J418=0,AND(J418=1,K418=1),AND(J418=1,I418="SBJ"),AND(J418=1,I418=0)),"?IN_FOCUS",IF(J418&lt;=2,"?ACTIVATED",IF(J418&lt;&gt;"","?FAMILIAR",IF(F418="NEW",IF(ISNA(VLOOKUP(E418,#REF!,1,FALSE())),"?TYPE_IDENTIFIABLE","?REFERENTIAL"),"_")))))</f>
        <v/>
      </c>
      <c r="H418" s="22" t="str">
        <f aca="false">IF(J418&lt;&gt;1,"",IF(I418="SBJ","CB","?"))</f>
        <v/>
      </c>
      <c r="I418" s="23" t="str">
        <f aca="false">IF(OR(E418="",E418="!!!",F418="NEW"),"",INDEX(B$2:B417,-1+SUMPRODUCT(MAX(ROW(E$2:E417)*(E418=E$2:E417)))))</f>
        <v/>
      </c>
      <c r="J418" s="23" t="str">
        <f aca="true">IF(OR(E418="",E418="!!!",F418="NEW"),"",COUNTBLANK(OFFSET(A$1,,,SUMPRODUCT(MAX(ROW(E$2:E418)*(E418=E$2:E418)))))-COUNTBLANK(OFFSET(A$1,,,SUMPRODUCT(MAX(ROW(E$1:E417)*(#REF!=E$1:E417))))))</f>
        <v/>
      </c>
      <c r="K418" s="23" t="str">
        <f aca="false">IF(OR(E418="",E418="!!!",F418="NEW"),"",INDEX(J$1:J417,SUMPRODUCT(MAX(ROW(E$1:E417)*(E418=E$1:E417)))))</f>
        <v/>
      </c>
      <c r="L418" s="24"/>
    </row>
    <row r="419" customFormat="false" ht="12.75" hidden="false" customHeight="false" outlineLevel="0" collapsed="false">
      <c r="A419" s="17" t="s">
        <v>254</v>
      </c>
      <c r="E419" s="19" t="str">
        <f aca="false">IF(D419="?OLD","!!!","")</f>
        <v/>
      </c>
      <c r="F419" s="20" t="str">
        <f aca="false">IF(OR(E419="",E419="!!!"),"",IF(NOT(ISNA(VLOOKUP(E419,E$1:E418,1,FALSE()))),"OLD",IF(AND(E419&lt;&gt;"",E419&lt;&gt;"!!!"),"NEW","")))</f>
        <v/>
      </c>
      <c r="G419" s="21" t="str">
        <f aca="false">IF(OR(E419="",E419="!!!"),"",IF(OR(J419=0,AND(J419=1,K419=1),AND(J419=1,I419="SBJ"),AND(J419=1,I419=0)),"?IN_FOCUS",IF(J419&lt;=2,"?ACTIVATED",IF(J419&lt;&gt;"","?FAMILIAR",IF(F419="NEW",IF(ISNA(VLOOKUP(E419,#REF!,1,FALSE())),"?TYPE_IDENTIFIABLE","?REFERENTIAL"),"_")))))</f>
        <v/>
      </c>
      <c r="H419" s="22" t="str">
        <f aca="false">IF(J419&lt;&gt;1,"",IF(I419="SBJ","CB","?"))</f>
        <v/>
      </c>
      <c r="I419" s="23" t="str">
        <f aca="false">IF(OR(E419="",E419="!!!",F419="NEW"),"",INDEX(B$2:B418,-1+SUMPRODUCT(MAX(ROW(E$2:E418)*(E419=E$2:E418)))))</f>
        <v/>
      </c>
      <c r="J419" s="23" t="str">
        <f aca="true">IF(OR(E419="",E419="!!!",F419="NEW"),"",COUNTBLANK(OFFSET(A$1,,,SUMPRODUCT(MAX(ROW(E$2:E419)*(E419=E$2:E419)))))-COUNTBLANK(OFFSET(A$1,,,SUMPRODUCT(MAX(ROW(E$1:E418)*(#REF!=E$1:E418))))))</f>
        <v/>
      </c>
      <c r="K419" s="23" t="str">
        <f aca="false">IF(OR(E419="",E419="!!!",F419="NEW"),"",INDEX(J$1:J418,SUMPRODUCT(MAX(ROW(E$1:E418)*(E419=E$1:E418)))))</f>
        <v/>
      </c>
      <c r="L419" s="24"/>
    </row>
    <row r="420" customFormat="false" ht="12.75" hidden="false" customHeight="false" outlineLevel="0" collapsed="false">
      <c r="A420" s="17" t="s">
        <v>47</v>
      </c>
      <c r="B420" s="18" t="s">
        <v>87</v>
      </c>
      <c r="C420" s="18" t="s">
        <v>48</v>
      </c>
      <c r="D420" s="18" t="s">
        <v>19</v>
      </c>
      <c r="E420" s="19" t="str">
        <f aca="false">IF(D420="?OLD","!!!","")</f>
        <v>!!!</v>
      </c>
      <c r="F420" s="20" t="str">
        <f aca="false">IF(OR(E420="",E420="!!!"),"",IF(NOT(ISNA(VLOOKUP(E420,E$1:E419,1,FALSE()))),"OLD",IF(AND(E420&lt;&gt;"",E420&lt;&gt;"!!!"),"NEW","")))</f>
        <v/>
      </c>
      <c r="G420" s="21" t="str">
        <f aca="false">IF(OR(E420="",E420="!!!"),"",IF(OR(J420=0,AND(J420=1,K420=1),AND(J420=1,I420="SBJ"),AND(J420=1,I420=0)),"?IN_FOCUS",IF(J420&lt;=2,"?ACTIVATED",IF(J420&lt;&gt;"","?FAMILIAR",IF(F420="NEW",IF(ISNA(VLOOKUP(E420,#REF!,1,FALSE())),"?TYPE_IDENTIFIABLE","?REFERENTIAL"),"_")))))</f>
        <v/>
      </c>
      <c r="H420" s="22" t="str">
        <f aca="false">IF(J420&lt;&gt;1,"",IF(I420="SBJ","CB","?"))</f>
        <v/>
      </c>
      <c r="I420" s="23" t="str">
        <f aca="false">IF(OR(E420="",E420="!!!",F420="NEW"),"",INDEX(B$2:B419,-1+SUMPRODUCT(MAX(ROW(E$2:E419)*(E420=E$2:E419)))))</f>
        <v/>
      </c>
      <c r="J420" s="23" t="str">
        <f aca="true">IF(OR(E420="",E420="!!!",F420="NEW"),"",COUNTBLANK(OFFSET(A$1,,,SUMPRODUCT(MAX(ROW(E$2:E420)*(E420=E$2:E420)))))-COUNTBLANK(OFFSET(A$1,,,SUMPRODUCT(MAX(ROW(E$1:E419)*(#REF!=E$1:E419))))))</f>
        <v/>
      </c>
      <c r="K420" s="23" t="str">
        <f aca="false">IF(OR(E420="",E420="!!!",F420="NEW"),"",INDEX(J$1:J419,SUMPRODUCT(MAX(ROW(E$1:E419)*(E420=E$1:E419)))))</f>
        <v/>
      </c>
      <c r="L420" s="24"/>
    </row>
    <row r="421" customFormat="false" ht="12.75" hidden="false" customHeight="false" outlineLevel="0" collapsed="false">
      <c r="A421" s="17" t="s">
        <v>255</v>
      </c>
      <c r="B421" s="18" t="s">
        <v>84</v>
      </c>
      <c r="C421" s="18" t="s">
        <v>51</v>
      </c>
      <c r="D421" s="18" t="s">
        <v>19</v>
      </c>
      <c r="E421" s="19" t="str">
        <f aca="false">IF(D421="?OLD","!!!","")</f>
        <v>!!!</v>
      </c>
      <c r="F421" s="20" t="str">
        <f aca="false">IF(OR(E421="",E421="!!!"),"",IF(NOT(ISNA(VLOOKUP(E421,E$1:E420,1,FALSE()))),"OLD",IF(AND(E421&lt;&gt;"",E421&lt;&gt;"!!!"),"NEW","")))</f>
        <v/>
      </c>
      <c r="G421" s="21" t="str">
        <f aca="false">IF(OR(E421="",E421="!!!"),"",IF(OR(J421=0,AND(J421=1,K421=1),AND(J421=1,I421="SBJ"),AND(J421=1,I421=0)),"?IN_FOCUS",IF(J421&lt;=2,"?ACTIVATED",IF(J421&lt;&gt;"","?FAMILIAR",IF(F421="NEW",IF(ISNA(VLOOKUP(E421,#REF!,1,FALSE())),"?TYPE_IDENTIFIABLE","?REFERENTIAL"),"_")))))</f>
        <v/>
      </c>
      <c r="H421" s="22" t="str">
        <f aca="false">IF(J421&lt;&gt;1,"",IF(I421="SBJ","CB","?"))</f>
        <v/>
      </c>
      <c r="I421" s="23" t="str">
        <f aca="false">IF(OR(E421="",E421="!!!",F421="NEW"),"",INDEX(B$2:B420,-1+SUMPRODUCT(MAX(ROW(E$2:E420)*(E421=E$2:E420)))))</f>
        <v/>
      </c>
      <c r="J421" s="23" t="str">
        <f aca="true">IF(OR(E421="",E421="!!!",F421="NEW"),"",COUNTBLANK(OFFSET(A$1,,,SUMPRODUCT(MAX(ROW(E$2:E421)*(E421=E$2:E421)))))-COUNTBLANK(OFFSET(A$1,,,SUMPRODUCT(MAX(ROW(E$1:E420)*(#REF!=E$1:E420))))))</f>
        <v/>
      </c>
      <c r="K421" s="23" t="str">
        <f aca="false">IF(OR(E421="",E421="!!!",F421="NEW"),"",INDEX(J$1:J420,SUMPRODUCT(MAX(ROW(E$1:E420)*(E421=E$1:E420)))))</f>
        <v/>
      </c>
      <c r="L421" s="24"/>
    </row>
    <row r="422" customFormat="false" ht="12.75" hidden="false" customHeight="false" outlineLevel="0" collapsed="false">
      <c r="A422" s="17" t="s">
        <v>162</v>
      </c>
      <c r="E422" s="19" t="str">
        <f aca="false">IF(D422="?OLD","!!!","")</f>
        <v/>
      </c>
      <c r="F422" s="20" t="str">
        <f aca="false">IF(OR(E422="",E422="!!!"),"",IF(NOT(ISNA(VLOOKUP(E422,E$1:E421,1,FALSE()))),"OLD",IF(AND(E422&lt;&gt;"",E422&lt;&gt;"!!!"),"NEW","")))</f>
        <v/>
      </c>
      <c r="G422" s="21" t="str">
        <f aca="false">IF(OR(E422="",E422="!!!"),"",IF(OR(J422=0,AND(J422=1,K422=1),AND(J422=1,I422="SBJ"),AND(J422=1,I422=0)),"?IN_FOCUS",IF(J422&lt;=2,"?ACTIVATED",IF(J422&lt;&gt;"","?FAMILIAR",IF(F422="NEW",IF(ISNA(VLOOKUP(E422,#REF!,1,FALSE())),"?TYPE_IDENTIFIABLE","?REFERENTIAL"),"_")))))</f>
        <v/>
      </c>
      <c r="H422" s="22" t="str">
        <f aca="false">IF(J422&lt;&gt;1,"",IF(I422="SBJ","CB","?"))</f>
        <v/>
      </c>
      <c r="I422" s="23" t="str">
        <f aca="false">IF(OR(E422="",E422="!!!",F422="NEW"),"",INDEX(B$2:B421,-1+SUMPRODUCT(MAX(ROW(E$2:E421)*(E422=E$2:E421)))))</f>
        <v/>
      </c>
      <c r="J422" s="23" t="str">
        <f aca="true">IF(OR(E422="",E422="!!!",F422="NEW"),"",COUNTBLANK(OFFSET(A$1,,,SUMPRODUCT(MAX(ROW(E$2:E422)*(E422=E$2:E422)))))-COUNTBLANK(OFFSET(A$1,,,SUMPRODUCT(MAX(ROW(E$1:E421)*(#REF!=E$1:E421))))))</f>
        <v/>
      </c>
      <c r="K422" s="23" t="str">
        <f aca="false">IF(OR(E422="",E422="!!!",F422="NEW"),"",INDEX(J$1:J421,SUMPRODUCT(MAX(ROW(E$1:E421)*(E422=E$1:E421)))))</f>
        <v/>
      </c>
      <c r="L422" s="24"/>
    </row>
    <row r="423" customFormat="false" ht="12.75" hidden="false" customHeight="false" outlineLevel="0" collapsed="false">
      <c r="A423" s="17" t="s">
        <v>219</v>
      </c>
      <c r="B423" s="18" t="s">
        <v>32</v>
      </c>
      <c r="C423" s="18" t="s">
        <v>80</v>
      </c>
      <c r="D423" s="18" t="s">
        <v>19</v>
      </c>
      <c r="E423" s="19" t="str">
        <f aca="false">IF(D423="?OLD","!!!","")</f>
        <v>!!!</v>
      </c>
      <c r="F423" s="20" t="str">
        <f aca="false">IF(OR(E423="",E423="!!!"),"",IF(NOT(ISNA(VLOOKUP(E423,E$1:E422,1,FALSE()))),"OLD",IF(AND(E423&lt;&gt;"",E423&lt;&gt;"!!!"),"NEW","")))</f>
        <v/>
      </c>
      <c r="G423" s="21" t="str">
        <f aca="false">IF(OR(E423="",E423="!!!"),"",IF(OR(J423=0,AND(J423=1,K423=1),AND(J423=1,I423="SBJ"),AND(J423=1,I423=0)),"?IN_FOCUS",IF(J423&lt;=2,"?ACTIVATED",IF(J423&lt;&gt;"","?FAMILIAR",IF(F423="NEW",IF(ISNA(VLOOKUP(E423,#REF!,1,FALSE())),"?TYPE_IDENTIFIABLE","?REFERENTIAL"),"_")))))</f>
        <v/>
      </c>
      <c r="H423" s="22" t="str">
        <f aca="false">IF(J423&lt;&gt;1,"",IF(I423="SBJ","CB","?"))</f>
        <v/>
      </c>
      <c r="I423" s="23" t="str">
        <f aca="false">IF(OR(E423="",E423="!!!",F423="NEW"),"",INDEX(B$2:B422,-1+SUMPRODUCT(MAX(ROW(E$2:E422)*(E423=E$2:E422)))))</f>
        <v/>
      </c>
      <c r="J423" s="23" t="str">
        <f aca="true">IF(OR(E423="",E423="!!!",F423="NEW"),"",COUNTBLANK(OFFSET(A$1,,,SUMPRODUCT(MAX(ROW(E$2:E423)*(E423=E$2:E423)))))-COUNTBLANK(OFFSET(A$1,,,SUMPRODUCT(MAX(ROW(E$1:E422)*(#REF!=E$1:E422))))))</f>
        <v/>
      </c>
      <c r="K423" s="23" t="str">
        <f aca="false">IF(OR(E423="",E423="!!!",F423="NEW"),"",INDEX(J$1:J422,SUMPRODUCT(MAX(ROW(E$1:E422)*(E423=E$1:E422)))))</f>
        <v/>
      </c>
      <c r="L423" s="24"/>
    </row>
    <row r="424" customFormat="false" ht="12.75" hidden="false" customHeight="false" outlineLevel="0" collapsed="false">
      <c r="A424" s="17" t="s">
        <v>22</v>
      </c>
      <c r="E424" s="19" t="str">
        <f aca="false">IF(D424="?OLD","!!!","")</f>
        <v/>
      </c>
      <c r="F424" s="20" t="str">
        <f aca="false">IF(OR(E424="",E424="!!!"),"",IF(NOT(ISNA(VLOOKUP(E424,E$1:E423,1,FALSE()))),"OLD",IF(AND(E424&lt;&gt;"",E424&lt;&gt;"!!!"),"NEW","")))</f>
        <v/>
      </c>
      <c r="G424" s="21" t="str">
        <f aca="false">IF(OR(E424="",E424="!!!"),"",IF(OR(J424=0,AND(J424=1,K424=1),AND(J424=1,I424="SBJ"),AND(J424=1,I424=0)),"?IN_FOCUS",IF(J424&lt;=2,"?ACTIVATED",IF(J424&lt;&gt;"","?FAMILIAR",IF(F424="NEW",IF(ISNA(VLOOKUP(E424,#REF!,1,FALSE())),"?TYPE_IDENTIFIABLE","?REFERENTIAL"),"_")))))</f>
        <v/>
      </c>
      <c r="H424" s="22" t="str">
        <f aca="false">IF(J424&lt;&gt;1,"",IF(I424="SBJ","CB","?"))</f>
        <v/>
      </c>
      <c r="I424" s="23" t="str">
        <f aca="false">IF(OR(E424="",E424="!!!",F424="NEW"),"",INDEX(B$2:B423,-1+SUMPRODUCT(MAX(ROW(E$2:E423)*(E424=E$2:E423)))))</f>
        <v/>
      </c>
      <c r="J424" s="23" t="str">
        <f aca="true">IF(OR(E424="",E424="!!!",F424="NEW"),"",COUNTBLANK(OFFSET(A$1,,,SUMPRODUCT(MAX(ROW(E$2:E424)*(E424=E$2:E424)))))-COUNTBLANK(OFFSET(A$1,,,SUMPRODUCT(MAX(ROW(E$1:E423)*(#REF!=E$1:E423))))))</f>
        <v/>
      </c>
      <c r="K424" s="23" t="str">
        <f aca="false">IF(OR(E424="",E424="!!!",F424="NEW"),"",INDEX(J$1:J423,SUMPRODUCT(MAX(ROW(E$1:E423)*(E424=E$1:E423)))))</f>
        <v/>
      </c>
      <c r="L424" s="24"/>
    </row>
    <row r="425" customFormat="false" ht="12.75" hidden="false" customHeight="false" outlineLevel="0" collapsed="false">
      <c r="A425" s="17" t="s">
        <v>256</v>
      </c>
      <c r="E425" s="19" t="str">
        <f aca="false">IF(D425="?OLD","!!!","")</f>
        <v/>
      </c>
      <c r="F425" s="20" t="str">
        <f aca="false">IF(OR(E425="",E425="!!!"),"",IF(NOT(ISNA(VLOOKUP(E425,E$1:E424,1,FALSE()))),"OLD",IF(AND(E425&lt;&gt;"",E425&lt;&gt;"!!!"),"NEW","")))</f>
        <v/>
      </c>
      <c r="G425" s="21" t="str">
        <f aca="false">IF(OR(E425="",E425="!!!"),"",IF(OR(J425=0,AND(J425=1,K425=1),AND(J425=1,I425="SBJ"),AND(J425=1,I425=0)),"?IN_FOCUS",IF(J425&lt;=2,"?ACTIVATED",IF(J425&lt;&gt;"","?FAMILIAR",IF(F425="NEW",IF(ISNA(VLOOKUP(E425,#REF!,1,FALSE())),"?TYPE_IDENTIFIABLE","?REFERENTIAL"),"_")))))</f>
        <v/>
      </c>
      <c r="H425" s="22" t="str">
        <f aca="false">IF(J425&lt;&gt;1,"",IF(I425="SBJ","CB","?"))</f>
        <v/>
      </c>
      <c r="I425" s="23" t="str">
        <f aca="false">IF(OR(E425="",E425="!!!",F425="NEW"),"",INDEX(B$2:B424,-1+SUMPRODUCT(MAX(ROW(E$2:E424)*(E425=E$2:E424)))))</f>
        <v/>
      </c>
      <c r="J425" s="23" t="str">
        <f aca="true">IF(OR(E425="",E425="!!!",F425="NEW"),"",COUNTBLANK(OFFSET(A$1,,,SUMPRODUCT(MAX(ROW(E$2:E425)*(E425=E$2:E425)))))-COUNTBLANK(OFFSET(A$1,,,SUMPRODUCT(MAX(ROW(E$1:E424)*(#REF!=E$1:E424))))))</f>
        <v/>
      </c>
      <c r="K425" s="23" t="str">
        <f aca="false">IF(OR(E425="",E425="!!!",F425="NEW"),"",INDEX(J$1:J424,SUMPRODUCT(MAX(ROW(E$1:E424)*(E425=E$1:E424)))))</f>
        <v/>
      </c>
      <c r="L425" s="24"/>
    </row>
    <row r="426" customFormat="false" ht="12.75" hidden="false" customHeight="false" outlineLevel="0" collapsed="false">
      <c r="A426" s="17" t="s">
        <v>257</v>
      </c>
      <c r="B426" s="18" t="s">
        <v>87</v>
      </c>
      <c r="C426" s="18" t="s">
        <v>48</v>
      </c>
      <c r="D426" s="18" t="s">
        <v>19</v>
      </c>
      <c r="E426" s="19" t="str">
        <f aca="false">IF(D426="?OLD","!!!","")</f>
        <v>!!!</v>
      </c>
      <c r="F426" s="20" t="str">
        <f aca="false">IF(OR(E426="",E426="!!!"),"",IF(NOT(ISNA(VLOOKUP(E426,E$1:E425,1,FALSE()))),"OLD",IF(AND(E426&lt;&gt;"",E426&lt;&gt;"!!!"),"NEW","")))</f>
        <v/>
      </c>
      <c r="G426" s="21" t="str">
        <f aca="false">IF(OR(E426="",E426="!!!"),"",IF(OR(J426=0,AND(J426=1,K426=1),AND(J426=1,I426="SBJ"),AND(J426=1,I426=0)),"?IN_FOCUS",IF(J426&lt;=2,"?ACTIVATED",IF(J426&lt;&gt;"","?FAMILIAR",IF(F426="NEW",IF(ISNA(VLOOKUP(E426,#REF!,1,FALSE())),"?TYPE_IDENTIFIABLE","?REFERENTIAL"),"_")))))</f>
        <v/>
      </c>
      <c r="H426" s="22" t="str">
        <f aca="false">IF(J426&lt;&gt;1,"",IF(I426="SBJ","CB","?"))</f>
        <v/>
      </c>
      <c r="I426" s="23" t="str">
        <f aca="false">IF(OR(E426="",E426="!!!",F426="NEW"),"",INDEX(B$2:B425,-1+SUMPRODUCT(MAX(ROW(E$2:E425)*(E426=E$2:E425)))))</f>
        <v/>
      </c>
      <c r="J426" s="23" t="str">
        <f aca="true">IF(OR(E426="",E426="!!!",F426="NEW"),"",COUNTBLANK(OFFSET(A$1,,,SUMPRODUCT(MAX(ROW(E$2:E426)*(E426=E$2:E426)))))-COUNTBLANK(OFFSET(A$1,,,SUMPRODUCT(MAX(ROW(E$1:E425)*(#REF!=E$1:E425))))))</f>
        <v/>
      </c>
      <c r="K426" s="23" t="str">
        <f aca="false">IF(OR(E426="",E426="!!!",F426="NEW"),"",INDEX(J$1:J425,SUMPRODUCT(MAX(ROW(E$1:E425)*(E426=E$1:E425)))))</f>
        <v/>
      </c>
      <c r="L426" s="24"/>
    </row>
    <row r="427" customFormat="false" ht="12.75" hidden="false" customHeight="false" outlineLevel="0" collapsed="false">
      <c r="A427" s="17" t="s">
        <v>258</v>
      </c>
      <c r="B427" s="18" t="s">
        <v>84</v>
      </c>
      <c r="C427" s="18" t="s">
        <v>51</v>
      </c>
      <c r="D427" s="18" t="s">
        <v>19</v>
      </c>
      <c r="E427" s="19" t="str">
        <f aca="false">IF(D427="?OLD","!!!","")</f>
        <v>!!!</v>
      </c>
      <c r="F427" s="20" t="str">
        <f aca="false">IF(OR(E427="",E427="!!!"),"",IF(NOT(ISNA(VLOOKUP(E427,E$1:E426,1,FALSE()))),"OLD",IF(AND(E427&lt;&gt;"",E427&lt;&gt;"!!!"),"NEW","")))</f>
        <v/>
      </c>
      <c r="G427" s="21" t="str">
        <f aca="false">IF(OR(E427="",E427="!!!"),"",IF(OR(J427=0,AND(J427=1,K427=1),AND(J427=1,I427="SBJ"),AND(J427=1,I427=0)),"?IN_FOCUS",IF(J427&lt;=2,"?ACTIVATED",IF(J427&lt;&gt;"","?FAMILIAR",IF(F427="NEW",IF(ISNA(VLOOKUP(E427,#REF!,1,FALSE())),"?TYPE_IDENTIFIABLE","?REFERENTIAL"),"_")))))</f>
        <v/>
      </c>
      <c r="H427" s="22" t="str">
        <f aca="false">IF(J427&lt;&gt;1,"",IF(I427="SBJ","CB","?"))</f>
        <v/>
      </c>
      <c r="I427" s="23" t="str">
        <f aca="false">IF(OR(E427="",E427="!!!",F427="NEW"),"",INDEX(B$2:B426,-1+SUMPRODUCT(MAX(ROW(E$2:E426)*(E427=E$2:E426)))))</f>
        <v/>
      </c>
      <c r="J427" s="23" t="str">
        <f aca="true">IF(OR(E427="",E427="!!!",F427="NEW"),"",COUNTBLANK(OFFSET(A$1,,,SUMPRODUCT(MAX(ROW(E$2:E427)*(E427=E$2:E427)))))-COUNTBLANK(OFFSET(A$1,,,SUMPRODUCT(MAX(ROW(E$1:E426)*(#REF!=E$1:E426))))))</f>
        <v/>
      </c>
      <c r="K427" s="23" t="str">
        <f aca="false">IF(OR(E427="",E427="!!!",F427="NEW"),"",INDEX(J$1:J426,SUMPRODUCT(MAX(ROW(E$1:E426)*(E427=E$1:E426)))))</f>
        <v/>
      </c>
      <c r="L427" s="24"/>
    </row>
    <row r="428" customFormat="false" ht="12.75" hidden="false" customHeight="false" outlineLevel="0" collapsed="false">
      <c r="A428" s="17" t="s">
        <v>259</v>
      </c>
      <c r="E428" s="19" t="str">
        <f aca="false">IF(D428="?OLD","!!!","")</f>
        <v/>
      </c>
      <c r="F428" s="20" t="str">
        <f aca="false">IF(OR(E428="",E428="!!!"),"",IF(NOT(ISNA(VLOOKUP(E428,E$1:E427,1,FALSE()))),"OLD",IF(AND(E428&lt;&gt;"",E428&lt;&gt;"!!!"),"NEW","")))</f>
        <v/>
      </c>
      <c r="G428" s="21" t="str">
        <f aca="false">IF(OR(E428="",E428="!!!"),"",IF(OR(J428=0,AND(J428=1,K428=1),AND(J428=1,I428="SBJ"),AND(J428=1,I428=0)),"?IN_FOCUS",IF(J428&lt;=2,"?ACTIVATED",IF(J428&lt;&gt;"","?FAMILIAR",IF(F428="NEW",IF(ISNA(VLOOKUP(E428,#REF!,1,FALSE())),"?TYPE_IDENTIFIABLE","?REFERENTIAL"),"_")))))</f>
        <v/>
      </c>
      <c r="H428" s="22" t="str">
        <f aca="false">IF(J428&lt;&gt;1,"",IF(I428="SBJ","CB","?"))</f>
        <v/>
      </c>
      <c r="I428" s="23" t="str">
        <f aca="false">IF(OR(E428="",E428="!!!",F428="NEW"),"",INDEX(B$2:B427,-1+SUMPRODUCT(MAX(ROW(E$2:E427)*(E428=E$2:E427)))))</f>
        <v/>
      </c>
      <c r="J428" s="23" t="str">
        <f aca="true">IF(OR(E428="",E428="!!!",F428="NEW"),"",COUNTBLANK(OFFSET(A$1,,,SUMPRODUCT(MAX(ROW(E$2:E428)*(E428=E$2:E428)))))-COUNTBLANK(OFFSET(A$1,,,SUMPRODUCT(MAX(ROW(E$1:E427)*(#REF!=E$1:E427))))))</f>
        <v/>
      </c>
      <c r="K428" s="23" t="str">
        <f aca="false">IF(OR(E428="",E428="!!!",F428="NEW"),"",INDEX(J$1:J427,SUMPRODUCT(MAX(ROW(E$1:E427)*(E428=E$1:E427)))))</f>
        <v/>
      </c>
      <c r="L428" s="24"/>
    </row>
    <row r="429" customFormat="false" ht="12.75" hidden="false" customHeight="false" outlineLevel="0" collapsed="false">
      <c r="A429" s="17" t="s">
        <v>260</v>
      </c>
      <c r="B429" s="18" t="s">
        <v>110</v>
      </c>
      <c r="C429" s="18" t="s">
        <v>80</v>
      </c>
      <c r="D429" s="18" t="s">
        <v>19</v>
      </c>
      <c r="E429" s="19" t="str">
        <f aca="false">IF(D429="?OLD","!!!","")</f>
        <v>!!!</v>
      </c>
      <c r="F429" s="20" t="str">
        <f aca="false">IF(OR(E429="",E429="!!!"),"",IF(NOT(ISNA(VLOOKUP(E429,E$1:E428,1,FALSE()))),"OLD",IF(AND(E429&lt;&gt;"",E429&lt;&gt;"!!!"),"NEW","")))</f>
        <v/>
      </c>
      <c r="G429" s="21" t="str">
        <f aca="false">IF(OR(E429="",E429="!!!"),"",IF(OR(J429=0,AND(J429=1,K429=1),AND(J429=1,I429="SBJ"),AND(J429=1,I429=0)),"?IN_FOCUS",IF(J429&lt;=2,"?ACTIVATED",IF(J429&lt;&gt;"","?FAMILIAR",IF(F429="NEW",IF(ISNA(VLOOKUP(E429,#REF!,1,FALSE())),"?TYPE_IDENTIFIABLE","?REFERENTIAL"),"_")))))</f>
        <v/>
      </c>
      <c r="H429" s="22" t="str">
        <f aca="false">IF(J429&lt;&gt;1,"",IF(I429="SBJ","CB","?"))</f>
        <v/>
      </c>
      <c r="I429" s="23" t="str">
        <f aca="false">IF(OR(E429="",E429="!!!",F429="NEW"),"",INDEX(B$2:B428,-1+SUMPRODUCT(MAX(ROW(E$2:E428)*(E429=E$2:E428)))))</f>
        <v/>
      </c>
      <c r="J429" s="23" t="str">
        <f aca="true">IF(OR(E429="",E429="!!!",F429="NEW"),"",COUNTBLANK(OFFSET(A$1,,,SUMPRODUCT(MAX(ROW(E$2:E429)*(E429=E$2:E429)))))-COUNTBLANK(OFFSET(A$1,,,SUMPRODUCT(MAX(ROW(E$1:E428)*(#REF!=E$1:E428))))))</f>
        <v/>
      </c>
      <c r="K429" s="23" t="str">
        <f aca="false">IF(OR(E429="",E429="!!!",F429="NEW"),"",INDEX(J$1:J428,SUMPRODUCT(MAX(ROW(E$1:E428)*(E429=E$1:E428)))))</f>
        <v/>
      </c>
      <c r="L429" s="24"/>
    </row>
    <row r="430" customFormat="false" ht="12.75" hidden="false" customHeight="false" outlineLevel="0" collapsed="false">
      <c r="A430" s="17" t="s">
        <v>34</v>
      </c>
      <c r="E430" s="19" t="str">
        <f aca="false">IF(D430="?OLD","!!!","")</f>
        <v/>
      </c>
      <c r="F430" s="20" t="str">
        <f aca="false">IF(OR(E430="",E430="!!!"),"",IF(NOT(ISNA(VLOOKUP(E430,E$1:E429,1,FALSE()))),"OLD",IF(AND(E430&lt;&gt;"",E430&lt;&gt;"!!!"),"NEW","")))</f>
        <v/>
      </c>
      <c r="G430" s="21" t="str">
        <f aca="false">IF(OR(E430="",E430="!!!"),"",IF(OR(J430=0,AND(J430=1,K430=1),AND(J430=1,I430="SBJ"),AND(J430=1,I430=0)),"?IN_FOCUS",IF(J430&lt;=2,"?ACTIVATED",IF(J430&lt;&gt;"","?FAMILIAR",IF(F430="NEW",IF(ISNA(VLOOKUP(E430,#REF!,1,FALSE())),"?TYPE_IDENTIFIABLE","?REFERENTIAL"),"_")))))</f>
        <v/>
      </c>
      <c r="H430" s="22" t="str">
        <f aca="false">IF(J430&lt;&gt;1,"",IF(I430="SBJ","CB","?"))</f>
        <v/>
      </c>
      <c r="I430" s="23" t="str">
        <f aca="false">IF(OR(E430="",E430="!!!",F430="NEW"),"",INDEX(B$2:B429,-1+SUMPRODUCT(MAX(ROW(E$2:E429)*(E430=E$2:E429)))))</f>
        <v/>
      </c>
      <c r="J430" s="23" t="str">
        <f aca="true">IF(OR(E430="",E430="!!!",F430="NEW"),"",COUNTBLANK(OFFSET(A$1,,,SUMPRODUCT(MAX(ROW(E$2:E430)*(E430=E$2:E430)))))-COUNTBLANK(OFFSET(A$1,,,SUMPRODUCT(MAX(ROW(E$1:E429)*(#REF!=E$1:E429))))))</f>
        <v/>
      </c>
      <c r="K430" s="23" t="str">
        <f aca="false">IF(OR(E430="",E430="!!!",F430="NEW"),"",INDEX(J$1:J429,SUMPRODUCT(MAX(ROW(E$1:E429)*(E430=E$1:E429)))))</f>
        <v/>
      </c>
      <c r="L430" s="24"/>
    </row>
    <row r="431" customFormat="false" ht="12.75" hidden="false" customHeight="false" outlineLevel="0" collapsed="false">
      <c r="A431" s="17" t="s">
        <v>24</v>
      </c>
      <c r="E431" s="19" t="str">
        <f aca="false">IF(D431="?OLD","!!!","")</f>
        <v/>
      </c>
      <c r="F431" s="20" t="str">
        <f aca="false">IF(OR(E431="",E431="!!!"),"",IF(NOT(ISNA(VLOOKUP(E431,E$1:E430,1,FALSE()))),"OLD",IF(AND(E431&lt;&gt;"",E431&lt;&gt;"!!!"),"NEW","")))</f>
        <v/>
      </c>
      <c r="G431" s="21" t="str">
        <f aca="false">IF(OR(E431="",E431="!!!"),"",IF(OR(J431=0,AND(J431=1,K431=1),AND(J431=1,I431="SBJ"),AND(J431=1,I431=0)),"?IN_FOCUS",IF(J431&lt;=2,"?ACTIVATED",IF(J431&lt;&gt;"","?FAMILIAR",IF(F431="NEW",IF(ISNA(VLOOKUP(E431,#REF!,1,FALSE())),"?TYPE_IDENTIFIABLE","?REFERENTIAL"),"_")))))</f>
        <v/>
      </c>
      <c r="H431" s="22" t="str">
        <f aca="false">IF(J431&lt;&gt;1,"",IF(I431="SBJ","CB","?"))</f>
        <v/>
      </c>
      <c r="I431" s="23" t="str">
        <f aca="false">IF(OR(E431="",E431="!!!",F431="NEW"),"",INDEX(B$2:B430,-1+SUMPRODUCT(MAX(ROW(E$2:E430)*(E431=E$2:E430)))))</f>
        <v/>
      </c>
      <c r="J431" s="23" t="str">
        <f aca="true">IF(OR(E431="",E431="!!!",F431="NEW"),"",COUNTBLANK(OFFSET(A$1,,,SUMPRODUCT(MAX(ROW(E$2:E431)*(E431=E$2:E431)))))-COUNTBLANK(OFFSET(A$1,,,SUMPRODUCT(MAX(ROW(E$1:E430)*(#REF!=E$1:E430))))))</f>
        <v/>
      </c>
      <c r="K431" s="23" t="str">
        <f aca="false">IF(OR(E431="",E431="!!!",F431="NEW"),"",INDEX(J$1:J430,SUMPRODUCT(MAX(ROW(E$1:E430)*(E431=E$1:E430)))))</f>
        <v/>
      </c>
      <c r="L431" s="24"/>
    </row>
    <row r="432" customFormat="false" ht="12.75" hidden="false" customHeight="false" outlineLevel="0" collapsed="false">
      <c r="A432" s="17" t="s">
        <v>258</v>
      </c>
      <c r="B432" s="18" t="s">
        <v>32</v>
      </c>
      <c r="C432" s="18" t="s">
        <v>27</v>
      </c>
      <c r="D432" s="18" t="s">
        <v>19</v>
      </c>
      <c r="E432" s="19" t="str">
        <f aca="false">IF(D432="?OLD","!!!","")</f>
        <v>!!!</v>
      </c>
      <c r="F432" s="20" t="str">
        <f aca="false">IF(OR(E432="",E432="!!!"),"",IF(NOT(ISNA(VLOOKUP(E432,E$1:E431,1,FALSE()))),"OLD",IF(AND(E432&lt;&gt;"",E432&lt;&gt;"!!!"),"NEW","")))</f>
        <v/>
      </c>
      <c r="G432" s="21" t="str">
        <f aca="false">IF(OR(E432="",E432="!!!"),"",IF(OR(J432=0,AND(J432=1,K432=1),AND(J432=1,I432="SBJ"),AND(J432=1,I432=0)),"?IN_FOCUS",IF(J432&lt;=2,"?ACTIVATED",IF(J432&lt;&gt;"","?FAMILIAR",IF(F432="NEW",IF(ISNA(VLOOKUP(E432,#REF!,1,FALSE())),"?TYPE_IDENTIFIABLE","?REFERENTIAL"),"_")))))</f>
        <v/>
      </c>
      <c r="H432" s="22" t="str">
        <f aca="false">IF(J432&lt;&gt;1,"",IF(I432="SBJ","CB","?"))</f>
        <v/>
      </c>
      <c r="I432" s="23" t="str">
        <f aca="false">IF(OR(E432="",E432="!!!",F432="NEW"),"",INDEX(B$2:B431,-1+SUMPRODUCT(MAX(ROW(E$2:E431)*(E432=E$2:E431)))))</f>
        <v/>
      </c>
      <c r="J432" s="23" t="str">
        <f aca="true">IF(OR(E432="",E432="!!!",F432="NEW"),"",COUNTBLANK(OFFSET(A$1,,,SUMPRODUCT(MAX(ROW(E$2:E432)*(E432=E$2:E432)))))-COUNTBLANK(OFFSET(A$1,,,SUMPRODUCT(MAX(ROW(E$1:E431)*(#REF!=E$1:E431))))))</f>
        <v/>
      </c>
      <c r="K432" s="23" t="str">
        <f aca="false">IF(OR(E432="",E432="!!!",F432="NEW"),"",INDEX(J$1:J431,SUMPRODUCT(MAX(ROW(E$1:E431)*(E432=E$1:E431)))))</f>
        <v/>
      </c>
      <c r="L432" s="24"/>
    </row>
    <row r="433" customFormat="false" ht="12.75" hidden="false" customHeight="false" outlineLevel="0" collapsed="false">
      <c r="A433" s="17" t="s">
        <v>30</v>
      </c>
      <c r="E433" s="19" t="str">
        <f aca="false">IF(D433="?OLD","!!!","")</f>
        <v/>
      </c>
      <c r="F433" s="20" t="str">
        <f aca="false">IF(OR(E433="",E433="!!!"),"",IF(NOT(ISNA(VLOOKUP(E433,E$1:E432,1,FALSE()))),"OLD",IF(AND(E433&lt;&gt;"",E433&lt;&gt;"!!!"),"NEW","")))</f>
        <v/>
      </c>
      <c r="G433" s="21" t="str">
        <f aca="false">IF(OR(E433="",E433="!!!"),"",IF(OR(J433=0,AND(J433=1,K433=1),AND(J433=1,I433="SBJ"),AND(J433=1,I433=0)),"?IN_FOCUS",IF(J433&lt;=2,"?ACTIVATED",IF(J433&lt;&gt;"","?FAMILIAR",IF(F433="NEW",IF(ISNA(VLOOKUP(E433,#REF!,1,FALSE())),"?TYPE_IDENTIFIABLE","?REFERENTIAL"),"_")))))</f>
        <v/>
      </c>
      <c r="H433" s="22" t="str">
        <f aca="false">IF(J433&lt;&gt;1,"",IF(I433="SBJ","CB","?"))</f>
        <v/>
      </c>
      <c r="I433" s="23" t="str">
        <f aca="false">IF(OR(E433="",E433="!!!",F433="NEW"),"",INDEX(B$2:B432,-1+SUMPRODUCT(MAX(ROW(E$2:E432)*(E433=E$2:E432)))))</f>
        <v/>
      </c>
      <c r="J433" s="23" t="str">
        <f aca="true">IF(OR(E433="",E433="!!!",F433="NEW"),"",COUNTBLANK(OFFSET(A$1,,,SUMPRODUCT(MAX(ROW(E$2:E433)*(E433=E$2:E433)))))-COUNTBLANK(OFFSET(A$1,,,SUMPRODUCT(MAX(ROW(E$1:E432)*(#REF!=E$1:E432))))))</f>
        <v/>
      </c>
      <c r="K433" s="23" t="str">
        <f aca="false">IF(OR(E433="",E433="!!!",F433="NEW"),"",INDEX(J$1:J432,SUMPRODUCT(MAX(ROW(E$1:E432)*(E433=E$1:E432)))))</f>
        <v/>
      </c>
      <c r="L433" s="24"/>
    </row>
    <row r="434" customFormat="false" ht="12.75" hidden="false" customHeight="false" outlineLevel="0" collapsed="false">
      <c r="A434" s="17" t="s">
        <v>261</v>
      </c>
      <c r="E434" s="19" t="str">
        <f aca="false">IF(D434="?OLD","!!!","")</f>
        <v/>
      </c>
      <c r="F434" s="20" t="str">
        <f aca="false">IF(OR(E434="",E434="!!!"),"",IF(NOT(ISNA(VLOOKUP(E434,E$1:E433,1,FALSE()))),"OLD",IF(AND(E434&lt;&gt;"",E434&lt;&gt;"!!!"),"NEW","")))</f>
        <v/>
      </c>
      <c r="G434" s="21" t="str">
        <f aca="false">IF(OR(E434="",E434="!!!"),"",IF(OR(J434=0,AND(J434=1,K434=1),AND(J434=1,I434="SBJ"),AND(J434=1,I434=0)),"?IN_FOCUS",IF(J434&lt;=2,"?ACTIVATED",IF(J434&lt;&gt;"","?FAMILIAR",IF(F434="NEW",IF(ISNA(VLOOKUP(E434,#REF!,1,FALSE())),"?TYPE_IDENTIFIABLE","?REFERENTIAL"),"_")))))</f>
        <v/>
      </c>
      <c r="H434" s="22" t="str">
        <f aca="false">IF(J434&lt;&gt;1,"",IF(I434="SBJ","CB","?"))</f>
        <v/>
      </c>
      <c r="I434" s="23" t="str">
        <f aca="false">IF(OR(E434="",E434="!!!",F434="NEW"),"",INDEX(B$2:B433,-1+SUMPRODUCT(MAX(ROW(E$2:E433)*(E434=E$2:E433)))))</f>
        <v/>
      </c>
      <c r="J434" s="23" t="str">
        <f aca="true">IF(OR(E434="",E434="!!!",F434="NEW"),"",COUNTBLANK(OFFSET(A$1,,,SUMPRODUCT(MAX(ROW(E$2:E434)*(E434=E$2:E434)))))-COUNTBLANK(OFFSET(A$1,,,SUMPRODUCT(MAX(ROW(E$1:E433)*(#REF!=E$1:E433))))))</f>
        <v/>
      </c>
      <c r="K434" s="23" t="str">
        <f aca="false">IF(OR(E434="",E434="!!!",F434="NEW"),"",INDEX(J$1:J433,SUMPRODUCT(MAX(ROW(E$1:E433)*(E434=E$1:E433)))))</f>
        <v/>
      </c>
      <c r="L434" s="24"/>
    </row>
    <row r="435" customFormat="false" ht="12.75" hidden="false" customHeight="false" outlineLevel="0" collapsed="false">
      <c r="A435" s="17" t="s">
        <v>262</v>
      </c>
      <c r="B435" s="18" t="s">
        <v>87</v>
      </c>
      <c r="C435" s="18" t="s">
        <v>39</v>
      </c>
      <c r="E435" s="19" t="str">
        <f aca="false">IF(D435="?OLD","!!!","")</f>
        <v/>
      </c>
      <c r="F435" s="20" t="str">
        <f aca="false">IF(OR(E435="",E435="!!!"),"",IF(NOT(ISNA(VLOOKUP(E435,E$1:E434,1,FALSE()))),"OLD",IF(AND(E435&lt;&gt;"",E435&lt;&gt;"!!!"),"NEW","")))</f>
        <v/>
      </c>
      <c r="G435" s="21" t="str">
        <f aca="false">IF(OR(E435="",E435="!!!"),"",IF(OR(J435=0,AND(J435=1,K435=1),AND(J435=1,I435="SBJ"),AND(J435=1,I435=0)),"?IN_FOCUS",IF(J435&lt;=2,"?ACTIVATED",IF(J435&lt;&gt;"","?FAMILIAR",IF(F435="NEW",IF(ISNA(VLOOKUP(E435,#REF!,1,FALSE())),"?TYPE_IDENTIFIABLE","?REFERENTIAL"),"_")))))</f>
        <v/>
      </c>
      <c r="H435" s="22" t="str">
        <f aca="false">IF(J435&lt;&gt;1,"",IF(I435="SBJ","CB","?"))</f>
        <v/>
      </c>
      <c r="I435" s="23" t="str">
        <f aca="false">IF(OR(E435="",E435="!!!",F435="NEW"),"",INDEX(B$2:B434,-1+SUMPRODUCT(MAX(ROW(E$2:E434)*(E435=E$2:E434)))))</f>
        <v/>
      </c>
      <c r="J435" s="23" t="str">
        <f aca="true">IF(OR(E435="",E435="!!!",F435="NEW"),"",COUNTBLANK(OFFSET(A$1,,,SUMPRODUCT(MAX(ROW(E$2:E435)*(E435=E$2:E435)))))-COUNTBLANK(OFFSET(A$1,,,SUMPRODUCT(MAX(ROW(E$1:E434)*(#REF!=E$1:E434))))))</f>
        <v/>
      </c>
      <c r="K435" s="23" t="str">
        <f aca="false">IF(OR(E435="",E435="!!!",F435="NEW"),"",INDEX(J$1:J434,SUMPRODUCT(MAX(ROW(E$1:E434)*(E435=E$1:E434)))))</f>
        <v/>
      </c>
      <c r="L435" s="24"/>
    </row>
    <row r="436" customFormat="false" ht="12.75" hidden="false" customHeight="false" outlineLevel="0" collapsed="false">
      <c r="A436" s="17" t="s">
        <v>59</v>
      </c>
      <c r="E436" s="19" t="str">
        <f aca="false">IF(D436="?OLD","!!!","")</f>
        <v/>
      </c>
      <c r="F436" s="20" t="str">
        <f aca="false">IF(OR(E436="",E436="!!!"),"",IF(NOT(ISNA(VLOOKUP(E436,E$1:E435,1,FALSE()))),"OLD",IF(AND(E436&lt;&gt;"",E436&lt;&gt;"!!!"),"NEW","")))</f>
        <v/>
      </c>
      <c r="G436" s="21" t="str">
        <f aca="false">IF(OR(E436="",E436="!!!"),"",IF(OR(J436=0,AND(J436=1,K436=1),AND(J436=1,I436="SBJ"),AND(J436=1,I436=0)),"?IN_FOCUS",IF(J436&lt;=2,"?ACTIVATED",IF(J436&lt;&gt;"","?FAMILIAR",IF(F436="NEW",IF(ISNA(VLOOKUP(E436,#REF!,1,FALSE())),"?TYPE_IDENTIFIABLE","?REFERENTIAL"),"_")))))</f>
        <v/>
      </c>
      <c r="H436" s="22" t="str">
        <f aca="false">IF(J436&lt;&gt;1,"",IF(I436="SBJ","CB","?"))</f>
        <v/>
      </c>
      <c r="I436" s="23" t="str">
        <f aca="false">IF(OR(E436="",E436="!!!",F436="NEW"),"",INDEX(B$2:B435,-1+SUMPRODUCT(MAX(ROW(E$2:E435)*(E436=E$2:E435)))))</f>
        <v/>
      </c>
      <c r="J436" s="23" t="str">
        <f aca="true">IF(OR(E436="",E436="!!!",F436="NEW"),"",COUNTBLANK(OFFSET(A$1,,,SUMPRODUCT(MAX(ROW(E$2:E436)*(E436=E$2:E436)))))-COUNTBLANK(OFFSET(A$1,,,SUMPRODUCT(MAX(ROW(E$1:E435)*(#REF!=E$1:E435))))))</f>
        <v/>
      </c>
      <c r="K436" s="23" t="str">
        <f aca="false">IF(OR(E436="",E436="!!!",F436="NEW"),"",INDEX(J$1:J435,SUMPRODUCT(MAX(ROW(E$1:E435)*(E436=E$1:E435)))))</f>
        <v/>
      </c>
      <c r="L436" s="24"/>
    </row>
    <row r="1043346" customFormat="false" ht="12.8" hidden="false" customHeight="false" outlineLevel="0" collapsed="false"/>
    <row r="1043347" customFormat="false" ht="12.8" hidden="false" customHeight="false" outlineLevel="0" collapsed="false"/>
    <row r="1043348" customFormat="false" ht="12.8" hidden="false" customHeight="false" outlineLevel="0" collapsed="false"/>
    <row r="1043349" customFormat="false" ht="12.8" hidden="false" customHeight="false" outlineLevel="0" collapsed="false"/>
    <row r="1043350" customFormat="false" ht="12.8" hidden="false" customHeight="false" outlineLevel="0" collapsed="false"/>
    <row r="1043351" customFormat="false" ht="12.8" hidden="false" customHeight="false" outlineLevel="0" collapsed="false"/>
    <row r="1043352" customFormat="false" ht="12.8" hidden="false" customHeight="false" outlineLevel="0" collapsed="false"/>
    <row r="1043353" customFormat="false" ht="12.8" hidden="false" customHeight="false" outlineLevel="0" collapsed="false"/>
    <row r="1043354" customFormat="false" ht="12.8" hidden="false" customHeight="false" outlineLevel="0" collapsed="false"/>
    <row r="1043355" customFormat="false" ht="12.8" hidden="false" customHeight="false" outlineLevel="0" collapsed="false"/>
    <row r="1043356" customFormat="false" ht="12.8" hidden="false" customHeight="false" outlineLevel="0" collapsed="false"/>
    <row r="1043357" customFormat="false" ht="12.8" hidden="false" customHeight="false" outlineLevel="0" collapsed="false"/>
    <row r="1043358" customFormat="false" ht="12.8" hidden="false" customHeight="false" outlineLevel="0" collapsed="false"/>
    <row r="1043359" customFormat="false" ht="12.8" hidden="false" customHeight="false" outlineLevel="0" collapsed="false"/>
    <row r="1043360" customFormat="false" ht="12.8" hidden="false" customHeight="false" outlineLevel="0" collapsed="false"/>
    <row r="1043361" customFormat="false" ht="12.8" hidden="false" customHeight="false" outlineLevel="0" collapsed="false"/>
    <row r="1043362" customFormat="false" ht="12.8" hidden="false" customHeight="false" outlineLevel="0" collapsed="false"/>
    <row r="1043363" customFormat="false" ht="12.8" hidden="false" customHeight="false" outlineLevel="0" collapsed="false"/>
    <row r="1043364" customFormat="false" ht="12.8" hidden="false" customHeight="false" outlineLevel="0" collapsed="false"/>
    <row r="1043365" customFormat="false" ht="12.8" hidden="false" customHeight="false" outlineLevel="0" collapsed="false"/>
    <row r="1043366" customFormat="false" ht="12.8" hidden="false" customHeight="false" outlineLevel="0" collapsed="false"/>
    <row r="1043367" customFormat="false" ht="12.8" hidden="false" customHeight="false" outlineLevel="0" collapsed="false"/>
    <row r="1043368" customFormat="false" ht="12.8" hidden="false" customHeight="false" outlineLevel="0" collapsed="false"/>
    <row r="1043369" customFormat="false" ht="12.8" hidden="false" customHeight="false" outlineLevel="0" collapsed="false"/>
    <row r="1043370" customFormat="false" ht="12.8" hidden="false" customHeight="false" outlineLevel="0" collapsed="false"/>
    <row r="1043371" customFormat="false" ht="12.8" hidden="false" customHeight="false" outlineLevel="0" collapsed="false"/>
    <row r="1043372" customFormat="false" ht="12.8" hidden="false" customHeight="false" outlineLevel="0" collapsed="false"/>
    <row r="1043373" customFormat="false" ht="12.8" hidden="false" customHeight="false" outlineLevel="0" collapsed="false"/>
    <row r="1043374" customFormat="false" ht="12.8" hidden="false" customHeight="false" outlineLevel="0" collapsed="false"/>
    <row r="1043375" customFormat="false" ht="12.8" hidden="false" customHeight="false" outlineLevel="0" collapsed="false"/>
    <row r="1043376" customFormat="false" ht="12.8" hidden="false" customHeight="false" outlineLevel="0" collapsed="false"/>
    <row r="1043377" customFormat="false" ht="12.8" hidden="false" customHeight="false" outlineLevel="0" collapsed="false"/>
    <row r="1043378" customFormat="false" ht="12.8" hidden="false" customHeight="false" outlineLevel="0" collapsed="false"/>
    <row r="1043379" customFormat="false" ht="12.8" hidden="false" customHeight="false" outlineLevel="0" collapsed="false"/>
    <row r="1043380" customFormat="false" ht="12.8" hidden="false" customHeight="false" outlineLevel="0" collapsed="false"/>
    <row r="1043381" customFormat="false" ht="12.8" hidden="false" customHeight="false" outlineLevel="0" collapsed="false"/>
    <row r="1043382" customFormat="false" ht="12.8" hidden="false" customHeight="false" outlineLevel="0" collapsed="false"/>
    <row r="1043383" customFormat="false" ht="12.8" hidden="false" customHeight="false" outlineLevel="0" collapsed="false"/>
    <row r="1043384" customFormat="false" ht="12.8" hidden="false" customHeight="false" outlineLevel="0" collapsed="false"/>
    <row r="1043385" customFormat="false" ht="12.8" hidden="false" customHeight="false" outlineLevel="0" collapsed="false"/>
    <row r="1043386" customFormat="false" ht="12.8" hidden="false" customHeight="false" outlineLevel="0" collapsed="false"/>
    <row r="1043387" customFormat="false" ht="12.8" hidden="false" customHeight="false" outlineLevel="0" collapsed="false"/>
    <row r="1043388" customFormat="false" ht="12.8" hidden="false" customHeight="false" outlineLevel="0" collapsed="false"/>
    <row r="1043389" customFormat="false" ht="12.8" hidden="false" customHeight="false" outlineLevel="0" collapsed="false"/>
    <row r="1043390" customFormat="false" ht="12.8" hidden="false" customHeight="false" outlineLevel="0" collapsed="false"/>
    <row r="1043391" customFormat="false" ht="12.8" hidden="false" customHeight="false" outlineLevel="0" collapsed="false"/>
    <row r="1043392" customFormat="false" ht="12.8" hidden="false" customHeight="false" outlineLevel="0" collapsed="false"/>
    <row r="1043393" customFormat="false" ht="12.8" hidden="false" customHeight="false" outlineLevel="0" collapsed="false"/>
    <row r="1043394" customFormat="false" ht="12.8" hidden="false" customHeight="false" outlineLevel="0" collapsed="false"/>
    <row r="1043395" customFormat="false" ht="12.8" hidden="false" customHeight="false" outlineLevel="0" collapsed="false"/>
    <row r="1043396" customFormat="false" ht="12.8" hidden="false" customHeight="false" outlineLevel="0" collapsed="false"/>
    <row r="1043397" customFormat="false" ht="12.8" hidden="false" customHeight="false" outlineLevel="0" collapsed="false"/>
    <row r="1043398" customFormat="false" ht="12.8" hidden="false" customHeight="false" outlineLevel="0" collapsed="false"/>
    <row r="1043399" customFormat="false" ht="12.8" hidden="false" customHeight="false" outlineLevel="0" collapsed="false"/>
    <row r="1043400" customFormat="false" ht="12.8" hidden="false" customHeight="false" outlineLevel="0" collapsed="false"/>
    <row r="1043401" customFormat="false" ht="12.8" hidden="false" customHeight="false" outlineLevel="0" collapsed="false"/>
    <row r="1043402" customFormat="false" ht="12.8" hidden="false" customHeight="false" outlineLevel="0" collapsed="false"/>
    <row r="1043403" customFormat="false" ht="12.8" hidden="false" customHeight="false" outlineLevel="0" collapsed="false"/>
    <row r="1043404" customFormat="false" ht="12.8" hidden="false" customHeight="false" outlineLevel="0" collapsed="false"/>
    <row r="1043405" customFormat="false" ht="12.8" hidden="false" customHeight="false" outlineLevel="0" collapsed="false"/>
    <row r="1043406" customFormat="false" ht="12.8" hidden="false" customHeight="false" outlineLevel="0" collapsed="false"/>
    <row r="1043407" customFormat="false" ht="12.8" hidden="false" customHeight="false" outlineLevel="0" collapsed="false"/>
    <row r="1043408" customFormat="false" ht="12.8" hidden="false" customHeight="false" outlineLevel="0" collapsed="false"/>
    <row r="1043409" customFormat="false" ht="12.8" hidden="false" customHeight="false" outlineLevel="0" collapsed="false"/>
    <row r="1043410" customFormat="false" ht="12.8" hidden="false" customHeight="false" outlineLevel="0" collapsed="false"/>
    <row r="1043411" customFormat="false" ht="12.8" hidden="false" customHeight="false" outlineLevel="0" collapsed="false"/>
    <row r="1043412" customFormat="false" ht="12.8" hidden="false" customHeight="false" outlineLevel="0" collapsed="false"/>
    <row r="1043413" customFormat="false" ht="12.8" hidden="false" customHeight="false" outlineLevel="0" collapsed="false"/>
    <row r="1043414" customFormat="false" ht="12.8" hidden="false" customHeight="false" outlineLevel="0" collapsed="false"/>
    <row r="1043415" customFormat="false" ht="12.8" hidden="false" customHeight="false" outlineLevel="0" collapsed="false"/>
    <row r="1043416" customFormat="false" ht="12.8" hidden="false" customHeight="false" outlineLevel="0" collapsed="false"/>
    <row r="1043417" customFormat="false" ht="12.8" hidden="false" customHeight="false" outlineLevel="0" collapsed="false"/>
    <row r="1043418" customFormat="false" ht="12.8" hidden="false" customHeight="false" outlineLevel="0" collapsed="false"/>
    <row r="1043419" customFormat="false" ht="12.8" hidden="false" customHeight="false" outlineLevel="0" collapsed="false"/>
    <row r="1043420" customFormat="false" ht="12.8" hidden="false" customHeight="false" outlineLevel="0" collapsed="false"/>
    <row r="1043421" customFormat="false" ht="12.8" hidden="false" customHeight="false" outlineLevel="0" collapsed="false"/>
    <row r="1043422" customFormat="false" ht="12.8" hidden="false" customHeight="false" outlineLevel="0" collapsed="false"/>
    <row r="1043423" customFormat="false" ht="12.8" hidden="false" customHeight="false" outlineLevel="0" collapsed="false"/>
    <row r="1043424" customFormat="false" ht="12.8" hidden="false" customHeight="false" outlineLevel="0" collapsed="false"/>
    <row r="1043425" customFormat="false" ht="12.8" hidden="false" customHeight="false" outlineLevel="0" collapsed="false"/>
    <row r="1043426" customFormat="false" ht="12.8" hidden="false" customHeight="false" outlineLevel="0" collapsed="false"/>
    <row r="1043427" customFormat="false" ht="12.8" hidden="false" customHeight="false" outlineLevel="0" collapsed="false"/>
    <row r="1043428" customFormat="false" ht="12.8" hidden="false" customHeight="false" outlineLevel="0" collapsed="false"/>
    <row r="1043429" customFormat="false" ht="12.8" hidden="false" customHeight="false" outlineLevel="0" collapsed="false"/>
    <row r="1043430" customFormat="false" ht="12.8" hidden="false" customHeight="false" outlineLevel="0" collapsed="false"/>
    <row r="1043431" customFormat="false" ht="12.8" hidden="false" customHeight="false" outlineLevel="0" collapsed="false"/>
    <row r="1043432" customFormat="false" ht="12.8" hidden="false" customHeight="false" outlineLevel="0" collapsed="false"/>
    <row r="1043433" customFormat="false" ht="12.8" hidden="false" customHeight="false" outlineLevel="0" collapsed="false"/>
    <row r="1043434" customFormat="false" ht="12.8" hidden="false" customHeight="false" outlineLevel="0" collapsed="false"/>
    <row r="1043435" customFormat="false" ht="12.8" hidden="false" customHeight="false" outlineLevel="0" collapsed="false"/>
    <row r="1043436" customFormat="false" ht="12.8" hidden="false" customHeight="false" outlineLevel="0" collapsed="false"/>
    <row r="1043437" customFormat="false" ht="12.8" hidden="false" customHeight="false" outlineLevel="0" collapsed="false"/>
    <row r="1043438" customFormat="false" ht="12.8" hidden="false" customHeight="false" outlineLevel="0" collapsed="false"/>
    <row r="1043439" customFormat="false" ht="12.8" hidden="false" customHeight="false" outlineLevel="0" collapsed="false"/>
    <row r="1043440" customFormat="false" ht="12.8" hidden="false" customHeight="false" outlineLevel="0" collapsed="false"/>
    <row r="1043441" customFormat="false" ht="12.8" hidden="false" customHeight="false" outlineLevel="0" collapsed="false"/>
    <row r="1043442" customFormat="false" ht="12.8" hidden="false" customHeight="false" outlineLevel="0" collapsed="false"/>
    <row r="1043443" customFormat="false" ht="12.8" hidden="false" customHeight="false" outlineLevel="0" collapsed="false"/>
    <row r="1043444" customFormat="false" ht="12.8" hidden="false" customHeight="false" outlineLevel="0" collapsed="false"/>
    <row r="1043445" customFormat="false" ht="12.8" hidden="false" customHeight="false" outlineLevel="0" collapsed="false"/>
    <row r="1043446" customFormat="false" ht="12.8" hidden="false" customHeight="false" outlineLevel="0" collapsed="false"/>
    <row r="1043447" customFormat="false" ht="12.8" hidden="false" customHeight="false" outlineLevel="0" collapsed="false"/>
    <row r="1043448" customFormat="false" ht="12.8" hidden="false" customHeight="false" outlineLevel="0" collapsed="false"/>
    <row r="1043449" customFormat="false" ht="12.8" hidden="false" customHeight="false" outlineLevel="0" collapsed="false"/>
    <row r="1043450" customFormat="false" ht="12.8" hidden="false" customHeight="false" outlineLevel="0" collapsed="false"/>
    <row r="1043451" customFormat="false" ht="12.8" hidden="false" customHeight="false" outlineLevel="0" collapsed="false"/>
    <row r="1043452" customFormat="false" ht="12.8" hidden="false" customHeight="false" outlineLevel="0" collapsed="false"/>
    <row r="1043453" customFormat="false" ht="12.8" hidden="false" customHeight="false" outlineLevel="0" collapsed="false"/>
    <row r="1043454" customFormat="false" ht="12.8" hidden="false" customHeight="false" outlineLevel="0" collapsed="false"/>
    <row r="1043455" customFormat="false" ht="12.8" hidden="false" customHeight="false" outlineLevel="0" collapsed="false"/>
    <row r="1043456" customFormat="false" ht="12.8" hidden="false" customHeight="false" outlineLevel="0" collapsed="false"/>
    <row r="1043457" customFormat="false" ht="12.8" hidden="false" customHeight="false" outlineLevel="0" collapsed="false"/>
    <row r="1043458" customFormat="false" ht="12.8" hidden="false" customHeight="false" outlineLevel="0" collapsed="false"/>
    <row r="1043459" customFormat="false" ht="12.8" hidden="false" customHeight="false" outlineLevel="0" collapsed="false"/>
    <row r="1043460" customFormat="false" ht="12.8" hidden="false" customHeight="false" outlineLevel="0" collapsed="false"/>
    <row r="1043461" customFormat="false" ht="12.8" hidden="false" customHeight="false" outlineLevel="0" collapsed="false"/>
    <row r="1043462" customFormat="false" ht="12.8" hidden="false" customHeight="false" outlineLevel="0" collapsed="false"/>
    <row r="1043463" customFormat="false" ht="12.8" hidden="false" customHeight="false" outlineLevel="0" collapsed="false"/>
    <row r="1043464" customFormat="false" ht="12.8" hidden="false" customHeight="false" outlineLevel="0" collapsed="false"/>
    <row r="1043465" customFormat="false" ht="12.8" hidden="false" customHeight="false" outlineLevel="0" collapsed="false"/>
    <row r="1043466" customFormat="false" ht="12.8" hidden="false" customHeight="false" outlineLevel="0" collapsed="false"/>
    <row r="1043467" customFormat="false" ht="12.8" hidden="false" customHeight="false" outlineLevel="0" collapsed="false"/>
    <row r="1043468" customFormat="false" ht="12.8" hidden="false" customHeight="false" outlineLevel="0" collapsed="false"/>
    <row r="1043469" customFormat="false" ht="12.8" hidden="false" customHeight="false" outlineLevel="0" collapsed="false"/>
    <row r="1043470" customFormat="false" ht="12.8" hidden="false" customHeight="false" outlineLevel="0" collapsed="false"/>
    <row r="1043471" customFormat="false" ht="12.8" hidden="false" customHeight="false" outlineLevel="0" collapsed="false"/>
    <row r="1043472" customFormat="false" ht="12.8" hidden="false" customHeight="false" outlineLevel="0" collapsed="false"/>
    <row r="1043473" customFormat="false" ht="12.8" hidden="false" customHeight="false" outlineLevel="0" collapsed="false"/>
    <row r="1043474" customFormat="false" ht="12.8" hidden="false" customHeight="false" outlineLevel="0" collapsed="false"/>
    <row r="1043475" customFormat="false" ht="12.8" hidden="false" customHeight="false" outlineLevel="0" collapsed="false"/>
    <row r="1043476" customFormat="false" ht="12.8" hidden="false" customHeight="false" outlineLevel="0" collapsed="false"/>
    <row r="1043477" customFormat="false" ht="12.8" hidden="false" customHeight="false" outlineLevel="0" collapsed="false"/>
    <row r="1043478" customFormat="false" ht="12.8" hidden="false" customHeight="false" outlineLevel="0" collapsed="false"/>
    <row r="1043479" customFormat="false" ht="12.8" hidden="false" customHeight="false" outlineLevel="0" collapsed="false"/>
    <row r="1043480" customFormat="false" ht="12.8" hidden="false" customHeight="false" outlineLevel="0" collapsed="false"/>
    <row r="1043481" customFormat="false" ht="12.8" hidden="false" customHeight="false" outlineLevel="0" collapsed="false"/>
    <row r="1043482" customFormat="false" ht="12.8" hidden="false" customHeight="false" outlineLevel="0" collapsed="false"/>
    <row r="1043483" customFormat="false" ht="12.8" hidden="false" customHeight="false" outlineLevel="0" collapsed="false"/>
    <row r="1043484" customFormat="false" ht="12.8" hidden="false" customHeight="false" outlineLevel="0" collapsed="false"/>
    <row r="1043485" customFormat="false" ht="12.8" hidden="false" customHeight="false" outlineLevel="0" collapsed="false"/>
    <row r="1043486" customFormat="false" ht="12.8" hidden="false" customHeight="false" outlineLevel="0" collapsed="false"/>
    <row r="1043487" customFormat="false" ht="12.8" hidden="false" customHeight="false" outlineLevel="0" collapsed="false"/>
    <row r="1043488" customFormat="false" ht="12.8" hidden="false" customHeight="false" outlineLevel="0" collapsed="false"/>
    <row r="1043489" customFormat="false" ht="12.8" hidden="false" customHeight="false" outlineLevel="0" collapsed="false"/>
    <row r="1043490" customFormat="false" ht="12.8" hidden="false" customHeight="false" outlineLevel="0" collapsed="false"/>
    <row r="1043491" customFormat="false" ht="12.8" hidden="false" customHeight="false" outlineLevel="0" collapsed="false"/>
    <row r="1043492" customFormat="false" ht="12.8" hidden="false" customHeight="false" outlineLevel="0" collapsed="false"/>
    <row r="1043493" customFormat="false" ht="12.8" hidden="false" customHeight="false" outlineLevel="0" collapsed="false"/>
    <row r="1043494" customFormat="false" ht="12.8" hidden="false" customHeight="false" outlineLevel="0" collapsed="false"/>
    <row r="1043495" customFormat="false" ht="12.8" hidden="false" customHeight="false" outlineLevel="0" collapsed="false"/>
    <row r="1043496" customFormat="false" ht="12.8" hidden="false" customHeight="false" outlineLevel="0" collapsed="false"/>
    <row r="1043497" customFormat="false" ht="12.8" hidden="false" customHeight="false" outlineLevel="0" collapsed="false"/>
    <row r="1043498" customFormat="false" ht="12.8" hidden="false" customHeight="false" outlineLevel="0" collapsed="false"/>
    <row r="1043499" customFormat="false" ht="12.8" hidden="false" customHeight="false" outlineLevel="0" collapsed="false"/>
    <row r="1043500" customFormat="false" ht="12.8" hidden="false" customHeight="false" outlineLevel="0" collapsed="false"/>
    <row r="1043501" customFormat="false" ht="12.8" hidden="false" customHeight="false" outlineLevel="0" collapsed="false"/>
    <row r="1043502" customFormat="false" ht="12.8" hidden="false" customHeight="false" outlineLevel="0" collapsed="false"/>
    <row r="1043503" customFormat="false" ht="12.8" hidden="false" customHeight="false" outlineLevel="0" collapsed="false"/>
    <row r="1043504" customFormat="false" ht="12.8" hidden="false" customHeight="false" outlineLevel="0" collapsed="false"/>
    <row r="1043505" customFormat="false" ht="12.8" hidden="false" customHeight="false" outlineLevel="0" collapsed="false"/>
    <row r="1043506" customFormat="false" ht="12.8" hidden="false" customHeight="false" outlineLevel="0" collapsed="false"/>
    <row r="1043507" customFormat="false" ht="12.8" hidden="false" customHeight="false" outlineLevel="0" collapsed="false"/>
    <row r="1043508" customFormat="false" ht="12.8" hidden="false" customHeight="false" outlineLevel="0" collapsed="false"/>
    <row r="1043509" customFormat="false" ht="12.8" hidden="false" customHeight="false" outlineLevel="0" collapsed="false"/>
    <row r="1043510" customFormat="false" ht="12.8" hidden="false" customHeight="false" outlineLevel="0" collapsed="false"/>
    <row r="1043511" customFormat="false" ht="12.8" hidden="false" customHeight="false" outlineLevel="0" collapsed="false"/>
    <row r="1043512" customFormat="false" ht="12.8" hidden="false" customHeight="false" outlineLevel="0" collapsed="false"/>
    <row r="1043513" customFormat="false" ht="12.8" hidden="false" customHeight="false" outlineLevel="0" collapsed="false"/>
    <row r="1043514" customFormat="false" ht="12.8" hidden="false" customHeight="false" outlineLevel="0" collapsed="false"/>
    <row r="1043515" customFormat="false" ht="12.8" hidden="false" customHeight="false" outlineLevel="0" collapsed="false"/>
    <row r="1043516" customFormat="false" ht="12.8" hidden="false" customHeight="false" outlineLevel="0" collapsed="false"/>
    <row r="1043517" customFormat="false" ht="12.8" hidden="false" customHeight="false" outlineLevel="0" collapsed="false"/>
    <row r="1043518" customFormat="false" ht="12.8" hidden="false" customHeight="false" outlineLevel="0" collapsed="false"/>
    <row r="1043519" customFormat="false" ht="12.8" hidden="false" customHeight="false" outlineLevel="0" collapsed="false"/>
    <row r="1043520" customFormat="false" ht="12.8" hidden="false" customHeight="false" outlineLevel="0" collapsed="false"/>
    <row r="1043521" customFormat="false" ht="12.8" hidden="false" customHeight="false" outlineLevel="0" collapsed="false"/>
    <row r="1043522" customFormat="false" ht="12.8" hidden="false" customHeight="false" outlineLevel="0" collapsed="false"/>
    <row r="1043523" customFormat="false" ht="12.8" hidden="false" customHeight="false" outlineLevel="0" collapsed="false"/>
    <row r="1043524" customFormat="false" ht="12.8" hidden="false" customHeight="false" outlineLevel="0" collapsed="false"/>
    <row r="1043525" customFormat="false" ht="12.8" hidden="false" customHeight="false" outlineLevel="0" collapsed="false"/>
    <row r="1043526" customFormat="false" ht="12.8" hidden="false" customHeight="false" outlineLevel="0" collapsed="false"/>
    <row r="1043527" customFormat="false" ht="12.8" hidden="false" customHeight="false" outlineLevel="0" collapsed="false"/>
    <row r="1043528" customFormat="false" ht="12.8" hidden="false" customHeight="false" outlineLevel="0" collapsed="false"/>
    <row r="1043529" customFormat="false" ht="12.8" hidden="false" customHeight="false" outlineLevel="0" collapsed="false"/>
    <row r="1043530" customFormat="false" ht="12.8" hidden="false" customHeight="false" outlineLevel="0" collapsed="false"/>
    <row r="1043531" customFormat="false" ht="12.8" hidden="false" customHeight="false" outlineLevel="0" collapsed="false"/>
    <row r="1043532" customFormat="false" ht="12.8" hidden="false" customHeight="false" outlineLevel="0" collapsed="false"/>
    <row r="1043533" customFormat="false" ht="12.8" hidden="false" customHeight="false" outlineLevel="0" collapsed="false"/>
    <row r="1043534" customFormat="false" ht="12.8" hidden="false" customHeight="false" outlineLevel="0" collapsed="false"/>
    <row r="1043535" customFormat="false" ht="12.8" hidden="false" customHeight="false" outlineLevel="0" collapsed="false"/>
    <row r="1043536" customFormat="false" ht="12.8" hidden="false" customHeight="false" outlineLevel="0" collapsed="false"/>
    <row r="1043537" customFormat="false" ht="12.8" hidden="false" customHeight="false" outlineLevel="0" collapsed="false"/>
    <row r="1043538" customFormat="false" ht="12.8" hidden="false" customHeight="false" outlineLevel="0" collapsed="false"/>
    <row r="1043539" customFormat="false" ht="12.8" hidden="false" customHeight="false" outlineLevel="0" collapsed="false"/>
    <row r="1043540" customFormat="false" ht="12.8" hidden="false" customHeight="false" outlineLevel="0" collapsed="false"/>
    <row r="1043541" customFormat="false" ht="12.8" hidden="false" customHeight="false" outlineLevel="0" collapsed="false"/>
    <row r="1043542" customFormat="false" ht="12.8" hidden="false" customHeight="false" outlineLevel="0" collapsed="false"/>
    <row r="1043543" customFormat="false" ht="12.8" hidden="false" customHeight="false" outlineLevel="0" collapsed="false"/>
    <row r="1043544" customFormat="false" ht="12.8" hidden="false" customHeight="false" outlineLevel="0" collapsed="false"/>
    <row r="1043545" customFormat="false" ht="12.8" hidden="false" customHeight="false" outlineLevel="0" collapsed="false"/>
    <row r="1043546" customFormat="false" ht="12.8" hidden="false" customHeight="false" outlineLevel="0" collapsed="false"/>
    <row r="1043547" customFormat="false" ht="12.8" hidden="false" customHeight="false" outlineLevel="0" collapsed="false"/>
    <row r="1043548" customFormat="false" ht="12.8" hidden="false" customHeight="false" outlineLevel="0" collapsed="false"/>
    <row r="1043549" customFormat="false" ht="12.8" hidden="false" customHeight="false" outlineLevel="0" collapsed="false"/>
    <row r="1043550" customFormat="false" ht="12.8" hidden="false" customHeight="false" outlineLevel="0" collapsed="false"/>
    <row r="1043551" customFormat="false" ht="12.8" hidden="false" customHeight="false" outlineLevel="0" collapsed="false"/>
    <row r="1043552" customFormat="false" ht="12.8" hidden="false" customHeight="false" outlineLevel="0" collapsed="false"/>
    <row r="1043553" customFormat="false" ht="12.8" hidden="false" customHeight="false" outlineLevel="0" collapsed="false"/>
    <row r="1043554" customFormat="false" ht="12.8" hidden="false" customHeight="false" outlineLevel="0" collapsed="false"/>
    <row r="1043555" customFormat="false" ht="12.8" hidden="false" customHeight="false" outlineLevel="0" collapsed="false"/>
    <row r="1043556" customFormat="false" ht="12.8" hidden="false" customHeight="false" outlineLevel="0" collapsed="false"/>
    <row r="1043557" customFormat="false" ht="12.8" hidden="false" customHeight="false" outlineLevel="0" collapsed="false"/>
    <row r="1043558" customFormat="false" ht="12.8" hidden="false" customHeight="false" outlineLevel="0" collapsed="false"/>
    <row r="1043559" customFormat="false" ht="12.8" hidden="false" customHeight="false" outlineLevel="0" collapsed="false"/>
    <row r="1043560" customFormat="false" ht="12.8" hidden="false" customHeight="false" outlineLevel="0" collapsed="false"/>
    <row r="1043561" customFormat="false" ht="12.8" hidden="false" customHeight="false" outlineLevel="0" collapsed="false"/>
    <row r="1043562" customFormat="false" ht="12.8" hidden="false" customHeight="false" outlineLevel="0" collapsed="false"/>
    <row r="1043563" customFormat="false" ht="12.8" hidden="false" customHeight="false" outlineLevel="0" collapsed="false"/>
    <row r="1043564" customFormat="false" ht="12.8" hidden="false" customHeight="false" outlineLevel="0" collapsed="false"/>
    <row r="1043565" customFormat="false" ht="12.8" hidden="false" customHeight="false" outlineLevel="0" collapsed="false"/>
    <row r="1043566" customFormat="false" ht="12.8" hidden="false" customHeight="false" outlineLevel="0" collapsed="false"/>
    <row r="1043567" customFormat="false" ht="12.8" hidden="false" customHeight="false" outlineLevel="0" collapsed="false"/>
    <row r="1043568" customFormat="false" ht="12.8" hidden="false" customHeight="false" outlineLevel="0" collapsed="false"/>
    <row r="1043569" customFormat="false" ht="12.8" hidden="false" customHeight="false" outlineLevel="0" collapsed="false"/>
    <row r="1043570" customFormat="false" ht="12.8" hidden="false" customHeight="false" outlineLevel="0" collapsed="false"/>
    <row r="1043571" customFormat="false" ht="12.8" hidden="false" customHeight="false" outlineLevel="0" collapsed="false"/>
    <row r="1043572" customFormat="false" ht="12.8" hidden="false" customHeight="false" outlineLevel="0" collapsed="false"/>
    <row r="1043573" customFormat="false" ht="12.8" hidden="false" customHeight="false" outlineLevel="0" collapsed="false"/>
    <row r="1043574" customFormat="false" ht="12.8" hidden="false" customHeight="false" outlineLevel="0" collapsed="false"/>
    <row r="1043575" customFormat="false" ht="12.8" hidden="false" customHeight="false" outlineLevel="0" collapsed="false"/>
    <row r="1043576" customFormat="false" ht="12.8" hidden="false" customHeight="false" outlineLevel="0" collapsed="false"/>
    <row r="1043577" customFormat="false" ht="12.8" hidden="false" customHeight="false" outlineLevel="0" collapsed="false"/>
    <row r="1043578" customFormat="false" ht="12.8" hidden="false" customHeight="false" outlineLevel="0" collapsed="false"/>
    <row r="1043579" customFormat="false" ht="12.8" hidden="false" customHeight="false" outlineLevel="0" collapsed="false"/>
    <row r="1043580" customFormat="false" ht="12.8" hidden="false" customHeight="false" outlineLevel="0" collapsed="false"/>
    <row r="1043581" customFormat="false" ht="12.8" hidden="false" customHeight="false" outlineLevel="0" collapsed="false"/>
    <row r="1043582" customFormat="false" ht="12.8" hidden="false" customHeight="false" outlineLevel="0" collapsed="false"/>
    <row r="1043583" customFormat="false" ht="12.8" hidden="false" customHeight="false" outlineLevel="0" collapsed="false"/>
    <row r="1043584" customFormat="false" ht="12.8" hidden="false" customHeight="false" outlineLevel="0" collapsed="false"/>
    <row r="1043585" customFormat="false" ht="12.8" hidden="false" customHeight="false" outlineLevel="0" collapsed="false"/>
    <row r="1043586" customFormat="false" ht="12.8" hidden="false" customHeight="false" outlineLevel="0" collapsed="false"/>
    <row r="1043587" customFormat="false" ht="12.8" hidden="false" customHeight="false" outlineLevel="0" collapsed="false"/>
    <row r="1043588" customFormat="false" ht="12.8" hidden="false" customHeight="false" outlineLevel="0" collapsed="false"/>
    <row r="1043589" customFormat="false" ht="12.8" hidden="false" customHeight="false" outlineLevel="0" collapsed="false"/>
    <row r="1043590" customFormat="false" ht="12.8" hidden="false" customHeight="false" outlineLevel="0" collapsed="false"/>
    <row r="1043591" customFormat="false" ht="12.8" hidden="false" customHeight="false" outlineLevel="0" collapsed="false"/>
    <row r="1043592" customFormat="false" ht="12.8" hidden="false" customHeight="false" outlineLevel="0" collapsed="false"/>
    <row r="1043593" customFormat="false" ht="12.8" hidden="false" customHeight="false" outlineLevel="0" collapsed="false"/>
    <row r="1043594" customFormat="false" ht="12.8" hidden="false" customHeight="false" outlineLevel="0" collapsed="false"/>
    <row r="1043595" customFormat="false" ht="12.8" hidden="false" customHeight="false" outlineLevel="0" collapsed="false"/>
    <row r="1043596" customFormat="false" ht="12.8" hidden="false" customHeight="false" outlineLevel="0" collapsed="false"/>
    <row r="1043597" customFormat="false" ht="12.8" hidden="false" customHeight="false" outlineLevel="0" collapsed="false"/>
    <row r="1043598" customFormat="false" ht="12.8" hidden="false" customHeight="false" outlineLevel="0" collapsed="false"/>
    <row r="1043599" customFormat="false" ht="12.8" hidden="false" customHeight="false" outlineLevel="0" collapsed="false"/>
    <row r="1043600" customFormat="false" ht="12.8" hidden="false" customHeight="false" outlineLevel="0" collapsed="false"/>
    <row r="1043601" customFormat="false" ht="12.8" hidden="false" customHeight="false" outlineLevel="0" collapsed="false"/>
    <row r="1043602" customFormat="false" ht="12.8" hidden="false" customHeight="false" outlineLevel="0" collapsed="false"/>
    <row r="1043603" customFormat="false" ht="12.8" hidden="false" customHeight="false" outlineLevel="0" collapsed="false"/>
    <row r="1043604" customFormat="false" ht="12.8" hidden="false" customHeight="false" outlineLevel="0" collapsed="false"/>
    <row r="1043605" customFormat="false" ht="12.8" hidden="false" customHeight="false" outlineLevel="0" collapsed="false"/>
    <row r="1043606" customFormat="false" ht="12.8" hidden="false" customHeight="false" outlineLevel="0" collapsed="false"/>
    <row r="1043607" customFormat="false" ht="12.8" hidden="false" customHeight="false" outlineLevel="0" collapsed="false"/>
    <row r="1043608" customFormat="false" ht="12.8" hidden="false" customHeight="false" outlineLevel="0" collapsed="false"/>
    <row r="1043609" customFormat="false" ht="12.8" hidden="false" customHeight="false" outlineLevel="0" collapsed="false"/>
    <row r="1043610" customFormat="false" ht="12.8" hidden="false" customHeight="false" outlineLevel="0" collapsed="false"/>
    <row r="1043611" customFormat="false" ht="12.8" hidden="false" customHeight="false" outlineLevel="0" collapsed="false"/>
    <row r="1043612" customFormat="false" ht="12.8" hidden="false" customHeight="false" outlineLevel="0" collapsed="false"/>
    <row r="1043613" customFormat="false" ht="12.8" hidden="false" customHeight="false" outlineLevel="0" collapsed="false"/>
    <row r="1043614" customFormat="false" ht="12.8" hidden="false" customHeight="false" outlineLevel="0" collapsed="false"/>
    <row r="1043615" customFormat="false" ht="12.8" hidden="false" customHeight="false" outlineLevel="0" collapsed="false"/>
    <row r="1043616" customFormat="false" ht="12.8" hidden="false" customHeight="false" outlineLevel="0" collapsed="false"/>
    <row r="1043617" customFormat="false" ht="12.8" hidden="false" customHeight="false" outlineLevel="0" collapsed="false"/>
    <row r="1043618" customFormat="false" ht="12.8" hidden="false" customHeight="false" outlineLevel="0" collapsed="false"/>
    <row r="1043619" customFormat="false" ht="12.8" hidden="false" customHeight="false" outlineLevel="0" collapsed="false"/>
    <row r="1043620" customFormat="false" ht="12.8" hidden="false" customHeight="false" outlineLevel="0" collapsed="false"/>
    <row r="1043621" customFormat="false" ht="12.8" hidden="false" customHeight="false" outlineLevel="0" collapsed="false"/>
    <row r="1043622" customFormat="false" ht="12.8" hidden="false" customHeight="false" outlineLevel="0" collapsed="false"/>
    <row r="1043623" customFormat="false" ht="12.8" hidden="false" customHeight="false" outlineLevel="0" collapsed="false"/>
    <row r="1043624" customFormat="false" ht="12.8" hidden="false" customHeight="false" outlineLevel="0" collapsed="false"/>
    <row r="1043625" customFormat="false" ht="12.8" hidden="false" customHeight="false" outlineLevel="0" collapsed="false"/>
    <row r="1043626" customFormat="false" ht="12.8" hidden="false" customHeight="false" outlineLevel="0" collapsed="false"/>
    <row r="1043627" customFormat="false" ht="12.8" hidden="false" customHeight="false" outlineLevel="0" collapsed="false"/>
    <row r="1043628" customFormat="false" ht="12.8" hidden="false" customHeight="false" outlineLevel="0" collapsed="false"/>
    <row r="1043629" customFormat="false" ht="12.8" hidden="false" customHeight="false" outlineLevel="0" collapsed="false"/>
    <row r="1043630" customFormat="false" ht="12.8" hidden="false" customHeight="false" outlineLevel="0" collapsed="false"/>
    <row r="1043631" customFormat="false" ht="12.8" hidden="false" customHeight="false" outlineLevel="0" collapsed="false"/>
    <row r="1043632" customFormat="false" ht="12.8" hidden="false" customHeight="false" outlineLevel="0" collapsed="false"/>
    <row r="1043633" customFormat="false" ht="12.8" hidden="false" customHeight="false" outlineLevel="0" collapsed="false"/>
    <row r="1043634" customFormat="false" ht="12.8" hidden="false" customHeight="false" outlineLevel="0" collapsed="false"/>
    <row r="1043635" customFormat="false" ht="12.8" hidden="false" customHeight="false" outlineLevel="0" collapsed="false"/>
    <row r="1043636" customFormat="false" ht="12.8" hidden="false" customHeight="false" outlineLevel="0" collapsed="false"/>
    <row r="1043637" customFormat="false" ht="12.8" hidden="false" customHeight="false" outlineLevel="0" collapsed="false"/>
    <row r="1043638" customFormat="false" ht="12.8" hidden="false" customHeight="false" outlineLevel="0" collapsed="false"/>
    <row r="1043639" customFormat="false" ht="12.8" hidden="false" customHeight="false" outlineLevel="0" collapsed="false"/>
    <row r="1043640" customFormat="false" ht="12.8" hidden="false" customHeight="false" outlineLevel="0" collapsed="false"/>
    <row r="1043641" customFormat="false" ht="12.8" hidden="false" customHeight="false" outlineLevel="0" collapsed="false"/>
    <row r="1043642" customFormat="false" ht="12.8" hidden="false" customHeight="false" outlineLevel="0" collapsed="false"/>
    <row r="1043643" customFormat="false" ht="12.8" hidden="false" customHeight="false" outlineLevel="0" collapsed="false"/>
    <row r="1043644" customFormat="false" ht="12.8" hidden="false" customHeight="false" outlineLevel="0" collapsed="false"/>
    <row r="1043645" customFormat="false" ht="12.8" hidden="false" customHeight="false" outlineLevel="0" collapsed="false"/>
    <row r="1043646" customFormat="false" ht="12.8" hidden="false" customHeight="false" outlineLevel="0" collapsed="false"/>
    <row r="1043647" customFormat="false" ht="12.8" hidden="false" customHeight="false" outlineLevel="0" collapsed="false"/>
    <row r="1043648" customFormat="false" ht="12.8" hidden="false" customHeight="false" outlineLevel="0" collapsed="false"/>
    <row r="1043649" customFormat="false" ht="12.8" hidden="false" customHeight="false" outlineLevel="0" collapsed="false"/>
    <row r="1043650" customFormat="false" ht="12.8" hidden="false" customHeight="false" outlineLevel="0" collapsed="false"/>
    <row r="1043651" customFormat="false" ht="12.8" hidden="false" customHeight="false" outlineLevel="0" collapsed="false"/>
    <row r="1043652" customFormat="false" ht="12.8" hidden="false" customHeight="false" outlineLevel="0" collapsed="false"/>
    <row r="1043653" customFormat="false" ht="12.8" hidden="false" customHeight="false" outlineLevel="0" collapsed="false"/>
    <row r="1043654" customFormat="false" ht="12.8" hidden="false" customHeight="false" outlineLevel="0" collapsed="false"/>
    <row r="1043655" customFormat="false" ht="12.8" hidden="false" customHeight="false" outlineLevel="0" collapsed="false"/>
    <row r="1043656" customFormat="false" ht="12.8" hidden="false" customHeight="false" outlineLevel="0" collapsed="false"/>
    <row r="1043657" customFormat="false" ht="12.8" hidden="false" customHeight="false" outlineLevel="0" collapsed="false"/>
    <row r="1043658" customFormat="false" ht="12.8" hidden="false" customHeight="false" outlineLevel="0" collapsed="false"/>
    <row r="1043659" customFormat="false" ht="12.8" hidden="false" customHeight="false" outlineLevel="0" collapsed="false"/>
    <row r="1043660" customFormat="false" ht="12.8" hidden="false" customHeight="false" outlineLevel="0" collapsed="false"/>
    <row r="1043661" customFormat="false" ht="12.8" hidden="false" customHeight="false" outlineLevel="0" collapsed="false"/>
    <row r="1043662" customFormat="false" ht="12.8" hidden="false" customHeight="false" outlineLevel="0" collapsed="false"/>
    <row r="1043663" customFormat="false" ht="12.8" hidden="false" customHeight="false" outlineLevel="0" collapsed="false"/>
    <row r="1043664" customFormat="false" ht="12.8" hidden="false" customHeight="false" outlineLevel="0" collapsed="false"/>
    <row r="1043665" customFormat="false" ht="12.8" hidden="false" customHeight="false" outlineLevel="0" collapsed="false"/>
    <row r="1043666" customFormat="false" ht="12.8" hidden="false" customHeight="false" outlineLevel="0" collapsed="false"/>
    <row r="1043667" customFormat="false" ht="12.8" hidden="false" customHeight="false" outlineLevel="0" collapsed="false"/>
    <row r="1043668" customFormat="false" ht="12.8" hidden="false" customHeight="false" outlineLevel="0" collapsed="false"/>
    <row r="1043669" customFormat="false" ht="12.8" hidden="false" customHeight="false" outlineLevel="0" collapsed="false"/>
    <row r="1043670" customFormat="false" ht="12.8" hidden="false" customHeight="false" outlineLevel="0" collapsed="false"/>
    <row r="1043671" customFormat="false" ht="12.8" hidden="false" customHeight="false" outlineLevel="0" collapsed="false"/>
    <row r="1043672" customFormat="false" ht="12.8" hidden="false" customHeight="false" outlineLevel="0" collapsed="false"/>
    <row r="1043673" customFormat="false" ht="12.8" hidden="false" customHeight="false" outlineLevel="0" collapsed="false"/>
    <row r="1043674" customFormat="false" ht="12.8" hidden="false" customHeight="false" outlineLevel="0" collapsed="false"/>
    <row r="1043675" customFormat="false" ht="12.8" hidden="false" customHeight="false" outlineLevel="0" collapsed="false"/>
    <row r="1043676" customFormat="false" ht="12.8" hidden="false" customHeight="false" outlineLevel="0" collapsed="false"/>
    <row r="1043677" customFormat="false" ht="12.8" hidden="false" customHeight="false" outlineLevel="0" collapsed="false"/>
    <row r="1043678" customFormat="false" ht="12.8" hidden="false" customHeight="false" outlineLevel="0" collapsed="false"/>
    <row r="1043679" customFormat="false" ht="12.8" hidden="false" customHeight="false" outlineLevel="0" collapsed="false"/>
    <row r="1043680" customFormat="false" ht="12.8" hidden="false" customHeight="false" outlineLevel="0" collapsed="false"/>
    <row r="1043681" customFormat="false" ht="12.8" hidden="false" customHeight="false" outlineLevel="0" collapsed="false"/>
    <row r="1043682" customFormat="false" ht="12.8" hidden="false" customHeight="false" outlineLevel="0" collapsed="false"/>
    <row r="1043683" customFormat="false" ht="12.8" hidden="false" customHeight="false" outlineLevel="0" collapsed="false"/>
    <row r="1043684" customFormat="false" ht="12.8" hidden="false" customHeight="false" outlineLevel="0" collapsed="false"/>
    <row r="1043685" customFormat="false" ht="12.8" hidden="false" customHeight="false" outlineLevel="0" collapsed="false"/>
    <row r="1043686" customFormat="false" ht="12.8" hidden="false" customHeight="false" outlineLevel="0" collapsed="false"/>
    <row r="1043687" customFormat="false" ht="12.8" hidden="false" customHeight="false" outlineLevel="0" collapsed="false"/>
    <row r="1043688" customFormat="false" ht="12.8" hidden="false" customHeight="false" outlineLevel="0" collapsed="false"/>
    <row r="1043689" customFormat="false" ht="12.8" hidden="false" customHeight="false" outlineLevel="0" collapsed="false"/>
    <row r="1043690" customFormat="false" ht="12.8" hidden="false" customHeight="false" outlineLevel="0" collapsed="false"/>
    <row r="1043691" customFormat="false" ht="12.8" hidden="false" customHeight="false" outlineLevel="0" collapsed="false"/>
    <row r="1043692" customFormat="false" ht="12.8" hidden="false" customHeight="false" outlineLevel="0" collapsed="false"/>
    <row r="1043693" customFormat="false" ht="12.8" hidden="false" customHeight="false" outlineLevel="0" collapsed="false"/>
    <row r="1043694" customFormat="false" ht="12.8" hidden="false" customHeight="false" outlineLevel="0" collapsed="false"/>
    <row r="1043695" customFormat="false" ht="12.8" hidden="false" customHeight="false" outlineLevel="0" collapsed="false"/>
    <row r="1043696" customFormat="false" ht="12.8" hidden="false" customHeight="false" outlineLevel="0" collapsed="false"/>
    <row r="1043697" customFormat="false" ht="12.8" hidden="false" customHeight="false" outlineLevel="0" collapsed="false"/>
    <row r="1043698" customFormat="false" ht="12.8" hidden="false" customHeight="false" outlineLevel="0" collapsed="false"/>
    <row r="1043699" customFormat="false" ht="12.8" hidden="false" customHeight="false" outlineLevel="0" collapsed="false"/>
    <row r="1043700" customFormat="false" ht="12.8" hidden="false" customHeight="false" outlineLevel="0" collapsed="false"/>
    <row r="1043701" customFormat="false" ht="12.8" hidden="false" customHeight="false" outlineLevel="0" collapsed="false"/>
    <row r="1043702" customFormat="false" ht="12.8" hidden="false" customHeight="false" outlineLevel="0" collapsed="false"/>
    <row r="1043703" customFormat="false" ht="12.8" hidden="false" customHeight="false" outlineLevel="0" collapsed="false"/>
    <row r="1043704" customFormat="false" ht="12.8" hidden="false" customHeight="false" outlineLevel="0" collapsed="false"/>
    <row r="1043705" customFormat="false" ht="12.8" hidden="false" customHeight="false" outlineLevel="0" collapsed="false"/>
    <row r="1043706" customFormat="false" ht="12.8" hidden="false" customHeight="false" outlineLevel="0" collapsed="false"/>
    <row r="1043707" customFormat="false" ht="12.8" hidden="false" customHeight="false" outlineLevel="0" collapsed="false"/>
    <row r="1043708" customFormat="false" ht="12.8" hidden="false" customHeight="false" outlineLevel="0" collapsed="false"/>
    <row r="1043709" customFormat="false" ht="12.8" hidden="false" customHeight="false" outlineLevel="0" collapsed="false"/>
    <row r="1043710" customFormat="false" ht="12.8" hidden="false" customHeight="false" outlineLevel="0" collapsed="false"/>
    <row r="1043711" customFormat="false" ht="12.8" hidden="false" customHeight="false" outlineLevel="0" collapsed="false"/>
    <row r="1043712" customFormat="false" ht="12.8" hidden="false" customHeight="false" outlineLevel="0" collapsed="false"/>
    <row r="1043713" customFormat="false" ht="12.8" hidden="false" customHeight="false" outlineLevel="0" collapsed="false"/>
    <row r="1043714" customFormat="false" ht="12.8" hidden="false" customHeight="false" outlineLevel="0" collapsed="false"/>
    <row r="1043715" customFormat="false" ht="12.8" hidden="false" customHeight="false" outlineLevel="0" collapsed="false"/>
    <row r="1043716" customFormat="false" ht="12.8" hidden="false" customHeight="false" outlineLevel="0" collapsed="false"/>
    <row r="1043717" customFormat="false" ht="12.8" hidden="false" customHeight="false" outlineLevel="0" collapsed="false"/>
    <row r="1043718" customFormat="false" ht="12.8" hidden="false" customHeight="false" outlineLevel="0" collapsed="false"/>
    <row r="1043719" customFormat="false" ht="12.8" hidden="false" customHeight="false" outlineLevel="0" collapsed="false"/>
    <row r="1043720" customFormat="false" ht="12.8" hidden="false" customHeight="false" outlineLevel="0" collapsed="false"/>
    <row r="1043721" customFormat="false" ht="12.8" hidden="false" customHeight="false" outlineLevel="0" collapsed="false"/>
    <row r="1043722" customFormat="false" ht="12.8" hidden="false" customHeight="false" outlineLevel="0" collapsed="false"/>
    <row r="1043723" customFormat="false" ht="12.8" hidden="false" customHeight="false" outlineLevel="0" collapsed="false"/>
    <row r="1043724" customFormat="false" ht="12.8" hidden="false" customHeight="false" outlineLevel="0" collapsed="false"/>
    <row r="1043725" customFormat="false" ht="12.8" hidden="false" customHeight="false" outlineLevel="0" collapsed="false"/>
    <row r="1043726" customFormat="false" ht="12.8" hidden="false" customHeight="false" outlineLevel="0" collapsed="false"/>
    <row r="1043727" customFormat="false" ht="12.8" hidden="false" customHeight="false" outlineLevel="0" collapsed="false"/>
    <row r="1043728" customFormat="false" ht="12.8" hidden="false" customHeight="false" outlineLevel="0" collapsed="false"/>
    <row r="1043729" customFormat="false" ht="12.8" hidden="false" customHeight="false" outlineLevel="0" collapsed="false"/>
    <row r="1043730" customFormat="false" ht="12.8" hidden="false" customHeight="false" outlineLevel="0" collapsed="false"/>
    <row r="1043731" customFormat="false" ht="12.8" hidden="false" customHeight="false" outlineLevel="0" collapsed="false"/>
    <row r="1043732" customFormat="false" ht="12.8" hidden="false" customHeight="false" outlineLevel="0" collapsed="false"/>
    <row r="1043733" customFormat="false" ht="12.8" hidden="false" customHeight="false" outlineLevel="0" collapsed="false"/>
    <row r="1043734" customFormat="false" ht="12.8" hidden="false" customHeight="false" outlineLevel="0" collapsed="false"/>
    <row r="1043735" customFormat="false" ht="12.8" hidden="false" customHeight="false" outlineLevel="0" collapsed="false"/>
    <row r="1043736" customFormat="false" ht="12.8" hidden="false" customHeight="false" outlineLevel="0" collapsed="false"/>
    <row r="1043737" customFormat="false" ht="12.8" hidden="false" customHeight="false" outlineLevel="0" collapsed="false"/>
    <row r="1043738" customFormat="false" ht="12.8" hidden="false" customHeight="false" outlineLevel="0" collapsed="false"/>
    <row r="1043739" customFormat="false" ht="12.8" hidden="false" customHeight="false" outlineLevel="0" collapsed="false"/>
    <row r="1043740" customFormat="false" ht="12.8" hidden="false" customHeight="false" outlineLevel="0" collapsed="false"/>
    <row r="1043741" customFormat="false" ht="12.8" hidden="false" customHeight="false" outlineLevel="0" collapsed="false"/>
    <row r="1043742" customFormat="false" ht="12.8" hidden="false" customHeight="false" outlineLevel="0" collapsed="false"/>
    <row r="1043743" customFormat="false" ht="12.8" hidden="false" customHeight="false" outlineLevel="0" collapsed="false"/>
    <row r="1043744" customFormat="false" ht="12.8" hidden="false" customHeight="false" outlineLevel="0" collapsed="false"/>
    <row r="1043745" customFormat="false" ht="12.8" hidden="false" customHeight="false" outlineLevel="0" collapsed="false"/>
    <row r="1043746" customFormat="false" ht="12.8" hidden="false" customHeight="false" outlineLevel="0" collapsed="false"/>
    <row r="1043747" customFormat="false" ht="12.8" hidden="false" customHeight="false" outlineLevel="0" collapsed="false"/>
    <row r="1043748" customFormat="false" ht="12.8" hidden="false" customHeight="false" outlineLevel="0" collapsed="false"/>
    <row r="1043749" customFormat="false" ht="12.8" hidden="false" customHeight="false" outlineLevel="0" collapsed="false"/>
    <row r="1043750" customFormat="false" ht="12.8" hidden="false" customHeight="false" outlineLevel="0" collapsed="false"/>
    <row r="1043751" customFormat="false" ht="12.8" hidden="false" customHeight="false" outlineLevel="0" collapsed="false"/>
    <row r="1043752" customFormat="false" ht="12.8" hidden="false" customHeight="false" outlineLevel="0" collapsed="false"/>
    <row r="1043753" customFormat="false" ht="12.8" hidden="false" customHeight="false" outlineLevel="0" collapsed="false"/>
    <row r="1043754" customFormat="false" ht="12.8" hidden="false" customHeight="false" outlineLevel="0" collapsed="false"/>
    <row r="1043755" customFormat="false" ht="12.8" hidden="false" customHeight="false" outlineLevel="0" collapsed="false"/>
    <row r="1043756" customFormat="false" ht="12.8" hidden="false" customHeight="false" outlineLevel="0" collapsed="false"/>
    <row r="1043757" customFormat="false" ht="12.8" hidden="false" customHeight="false" outlineLevel="0" collapsed="false"/>
    <row r="1043758" customFormat="false" ht="12.8" hidden="false" customHeight="false" outlineLevel="0" collapsed="false"/>
    <row r="1043759" customFormat="false" ht="12.8" hidden="false" customHeight="false" outlineLevel="0" collapsed="false"/>
    <row r="1043760" customFormat="false" ht="12.8" hidden="false" customHeight="false" outlineLevel="0" collapsed="false"/>
    <row r="1043761" customFormat="false" ht="12.8" hidden="false" customHeight="false" outlineLevel="0" collapsed="false"/>
    <row r="1043762" customFormat="false" ht="12.8" hidden="false" customHeight="false" outlineLevel="0" collapsed="false"/>
    <row r="1043763" customFormat="false" ht="12.8" hidden="false" customHeight="false" outlineLevel="0" collapsed="false"/>
    <row r="1043764" customFormat="false" ht="12.8" hidden="false" customHeight="false" outlineLevel="0" collapsed="false"/>
    <row r="1043765" customFormat="false" ht="12.8" hidden="false" customHeight="false" outlineLevel="0" collapsed="false"/>
    <row r="1043766" customFormat="false" ht="12.8" hidden="false" customHeight="false" outlineLevel="0" collapsed="false"/>
    <row r="1043767" customFormat="false" ht="12.8" hidden="false" customHeight="false" outlineLevel="0" collapsed="false"/>
    <row r="1043768" customFormat="false" ht="12.8" hidden="false" customHeight="false" outlineLevel="0" collapsed="false"/>
    <row r="1043769" customFormat="false" ht="12.8" hidden="false" customHeight="false" outlineLevel="0" collapsed="false"/>
    <row r="1043770" customFormat="false" ht="12.8" hidden="false" customHeight="false" outlineLevel="0" collapsed="false"/>
    <row r="1043771" customFormat="false" ht="12.8" hidden="false" customHeight="false" outlineLevel="0" collapsed="false"/>
    <row r="1043772" customFormat="false" ht="12.8" hidden="false" customHeight="false" outlineLevel="0" collapsed="false"/>
    <row r="1043773" customFormat="false" ht="12.8" hidden="false" customHeight="false" outlineLevel="0" collapsed="false"/>
    <row r="1043774" customFormat="false" ht="12.8" hidden="false" customHeight="false" outlineLevel="0" collapsed="false"/>
    <row r="1043775" customFormat="false" ht="12.8" hidden="false" customHeight="false" outlineLevel="0" collapsed="false"/>
    <row r="1043776" customFormat="false" ht="12.8" hidden="false" customHeight="false" outlineLevel="0" collapsed="false"/>
    <row r="1043777" customFormat="false" ht="12.8" hidden="false" customHeight="false" outlineLevel="0" collapsed="false"/>
    <row r="1043778" customFormat="false" ht="12.8" hidden="false" customHeight="false" outlineLevel="0" collapsed="false"/>
    <row r="1043779" customFormat="false" ht="12.8" hidden="false" customHeight="false" outlineLevel="0" collapsed="false"/>
    <row r="1043780" customFormat="false" ht="12.8" hidden="false" customHeight="false" outlineLevel="0" collapsed="false"/>
    <row r="1043781" customFormat="false" ht="12.8" hidden="false" customHeight="false" outlineLevel="0" collapsed="false"/>
    <row r="1043782" customFormat="false" ht="12.8" hidden="false" customHeight="false" outlineLevel="0" collapsed="false"/>
    <row r="1043783" customFormat="false" ht="12.8" hidden="false" customHeight="false" outlineLevel="0" collapsed="false"/>
    <row r="1043784" customFormat="false" ht="12.8" hidden="false" customHeight="false" outlineLevel="0" collapsed="false"/>
    <row r="1043785" customFormat="false" ht="12.8" hidden="false" customHeight="false" outlineLevel="0" collapsed="false"/>
    <row r="1043786" customFormat="false" ht="12.8" hidden="false" customHeight="false" outlineLevel="0" collapsed="false"/>
    <row r="1043787" customFormat="false" ht="12.8" hidden="false" customHeight="false" outlineLevel="0" collapsed="false"/>
    <row r="1043788" customFormat="false" ht="12.8" hidden="false" customHeight="false" outlineLevel="0" collapsed="false"/>
    <row r="1043789" customFormat="false" ht="12.8" hidden="false" customHeight="false" outlineLevel="0" collapsed="false"/>
    <row r="1043790" customFormat="false" ht="12.8" hidden="false" customHeight="false" outlineLevel="0" collapsed="false"/>
    <row r="1043791" customFormat="false" ht="12.8" hidden="false" customHeight="false" outlineLevel="0" collapsed="false"/>
    <row r="1043792" customFormat="false" ht="12.8" hidden="false" customHeight="false" outlineLevel="0" collapsed="false"/>
    <row r="1043793" customFormat="false" ht="12.8" hidden="false" customHeight="false" outlineLevel="0" collapsed="false"/>
    <row r="1043794" customFormat="false" ht="12.8" hidden="false" customHeight="false" outlineLevel="0" collapsed="false"/>
    <row r="1043795" customFormat="false" ht="12.8" hidden="false" customHeight="false" outlineLevel="0" collapsed="false"/>
    <row r="1043796" customFormat="false" ht="12.8" hidden="false" customHeight="false" outlineLevel="0" collapsed="false"/>
    <row r="1043797" customFormat="false" ht="12.8" hidden="false" customHeight="false" outlineLevel="0" collapsed="false"/>
    <row r="1043798" customFormat="false" ht="12.8" hidden="false" customHeight="false" outlineLevel="0" collapsed="false"/>
    <row r="1043799" customFormat="false" ht="12.8" hidden="false" customHeight="false" outlineLevel="0" collapsed="false"/>
    <row r="1043800" customFormat="false" ht="12.8" hidden="false" customHeight="false" outlineLevel="0" collapsed="false"/>
    <row r="1043801" customFormat="false" ht="12.8" hidden="false" customHeight="false" outlineLevel="0" collapsed="false"/>
    <row r="1043802" customFormat="false" ht="12.8" hidden="false" customHeight="false" outlineLevel="0" collapsed="false"/>
    <row r="1043803" customFormat="false" ht="12.8" hidden="false" customHeight="false" outlineLevel="0" collapsed="false"/>
    <row r="1043804" customFormat="false" ht="12.8" hidden="false" customHeight="false" outlineLevel="0" collapsed="false"/>
    <row r="1043805" customFormat="false" ht="12.8" hidden="false" customHeight="false" outlineLevel="0" collapsed="false"/>
    <row r="1043806" customFormat="false" ht="12.8" hidden="false" customHeight="false" outlineLevel="0" collapsed="false"/>
    <row r="1043807" customFormat="false" ht="12.8" hidden="false" customHeight="false" outlineLevel="0" collapsed="false"/>
    <row r="1043808" customFormat="false" ht="12.8" hidden="false" customHeight="false" outlineLevel="0" collapsed="false"/>
    <row r="1043809" customFormat="false" ht="12.8" hidden="false" customHeight="false" outlineLevel="0" collapsed="false"/>
    <row r="1043810" customFormat="false" ht="12.8" hidden="false" customHeight="false" outlineLevel="0" collapsed="false"/>
    <row r="1043811" customFormat="false" ht="12.8" hidden="false" customHeight="false" outlineLevel="0" collapsed="false"/>
    <row r="1043812" customFormat="false" ht="12.8" hidden="false" customHeight="false" outlineLevel="0" collapsed="false"/>
    <row r="1043813" customFormat="false" ht="12.8" hidden="false" customHeight="false" outlineLevel="0" collapsed="false"/>
    <row r="1043814" customFormat="false" ht="12.8" hidden="false" customHeight="false" outlineLevel="0" collapsed="false"/>
    <row r="1043815" customFormat="false" ht="12.8" hidden="false" customHeight="false" outlineLevel="0" collapsed="false"/>
    <row r="1043816" customFormat="false" ht="12.8" hidden="false" customHeight="false" outlineLevel="0" collapsed="false"/>
    <row r="1043817" customFormat="false" ht="12.8" hidden="false" customHeight="false" outlineLevel="0" collapsed="false"/>
    <row r="1043818" customFormat="false" ht="12.8" hidden="false" customHeight="false" outlineLevel="0" collapsed="false"/>
    <row r="1043819" customFormat="false" ht="12.8" hidden="false" customHeight="false" outlineLevel="0" collapsed="false"/>
    <row r="1043820" customFormat="false" ht="12.8" hidden="false" customHeight="false" outlineLevel="0" collapsed="false"/>
    <row r="1043821" customFormat="false" ht="12.8" hidden="false" customHeight="false" outlineLevel="0" collapsed="false"/>
    <row r="1043822" customFormat="false" ht="12.8" hidden="false" customHeight="false" outlineLevel="0" collapsed="false"/>
    <row r="1043823" customFormat="false" ht="12.8" hidden="false" customHeight="false" outlineLevel="0" collapsed="false"/>
    <row r="1043824" customFormat="false" ht="12.8" hidden="false" customHeight="false" outlineLevel="0" collapsed="false"/>
    <row r="1043825" customFormat="false" ht="12.8" hidden="false" customHeight="false" outlineLevel="0" collapsed="false"/>
    <row r="1043826" customFormat="false" ht="12.8" hidden="false" customHeight="false" outlineLevel="0" collapsed="false"/>
    <row r="1043827" customFormat="false" ht="12.8" hidden="false" customHeight="false" outlineLevel="0" collapsed="false"/>
    <row r="1043828" customFormat="false" ht="12.8" hidden="false" customHeight="false" outlineLevel="0" collapsed="false"/>
    <row r="1043829" customFormat="false" ht="12.8" hidden="false" customHeight="false" outlineLevel="0" collapsed="false"/>
    <row r="1043830" customFormat="false" ht="12.8" hidden="false" customHeight="false" outlineLevel="0" collapsed="false"/>
    <row r="1043831" customFormat="false" ht="12.8" hidden="false" customHeight="false" outlineLevel="0" collapsed="false"/>
    <row r="1043832" customFormat="false" ht="12.8" hidden="false" customHeight="false" outlineLevel="0" collapsed="false"/>
    <row r="1043833" customFormat="false" ht="12.8" hidden="false" customHeight="false" outlineLevel="0" collapsed="false"/>
    <row r="1043834" customFormat="false" ht="12.8" hidden="false" customHeight="false" outlineLevel="0" collapsed="false"/>
    <row r="1043835" customFormat="false" ht="12.8" hidden="false" customHeight="false" outlineLevel="0" collapsed="false"/>
    <row r="1043836" customFormat="false" ht="12.8" hidden="false" customHeight="false" outlineLevel="0" collapsed="false"/>
    <row r="1043837" customFormat="false" ht="12.8" hidden="false" customHeight="false" outlineLevel="0" collapsed="false"/>
    <row r="1043838" customFormat="false" ht="12.8" hidden="false" customHeight="false" outlineLevel="0" collapsed="false"/>
    <row r="1043839" customFormat="false" ht="12.8" hidden="false" customHeight="false" outlineLevel="0" collapsed="false"/>
    <row r="1043840" customFormat="false" ht="12.8" hidden="false" customHeight="false" outlineLevel="0" collapsed="false"/>
    <row r="1043841" customFormat="false" ht="12.8" hidden="false" customHeight="false" outlineLevel="0" collapsed="false"/>
    <row r="1043842" customFormat="false" ht="12.8" hidden="false" customHeight="false" outlineLevel="0" collapsed="false"/>
    <row r="1043843" customFormat="false" ht="12.8" hidden="false" customHeight="false" outlineLevel="0" collapsed="false"/>
    <row r="1043844" customFormat="false" ht="12.8" hidden="false" customHeight="false" outlineLevel="0" collapsed="false"/>
    <row r="1043845" customFormat="false" ht="12.8" hidden="false" customHeight="false" outlineLevel="0" collapsed="false"/>
    <row r="1043846" customFormat="false" ht="12.8" hidden="false" customHeight="false" outlineLevel="0" collapsed="false"/>
    <row r="1043847" customFormat="false" ht="12.8" hidden="false" customHeight="false" outlineLevel="0" collapsed="false"/>
    <row r="1043848" customFormat="false" ht="12.8" hidden="false" customHeight="false" outlineLevel="0" collapsed="false"/>
    <row r="1043849" customFormat="false" ht="12.8" hidden="false" customHeight="false" outlineLevel="0" collapsed="false"/>
    <row r="1043850" customFormat="false" ht="12.8" hidden="false" customHeight="false" outlineLevel="0" collapsed="false"/>
    <row r="1043851" customFormat="false" ht="12.8" hidden="false" customHeight="false" outlineLevel="0" collapsed="false"/>
    <row r="1043852" customFormat="false" ht="12.8" hidden="false" customHeight="false" outlineLevel="0" collapsed="false"/>
    <row r="1043853" customFormat="false" ht="12.8" hidden="false" customHeight="false" outlineLevel="0" collapsed="false"/>
    <row r="1043854" customFormat="false" ht="12.8" hidden="false" customHeight="false" outlineLevel="0" collapsed="false"/>
    <row r="1043855" customFormat="false" ht="12.8" hidden="false" customHeight="false" outlineLevel="0" collapsed="false"/>
    <row r="1043856" customFormat="false" ht="12.8" hidden="false" customHeight="false" outlineLevel="0" collapsed="false"/>
    <row r="1043857" customFormat="false" ht="12.8" hidden="false" customHeight="false" outlineLevel="0" collapsed="false"/>
    <row r="1043858" customFormat="false" ht="12.8" hidden="false" customHeight="false" outlineLevel="0" collapsed="false"/>
    <row r="1043859" customFormat="false" ht="12.8" hidden="false" customHeight="false" outlineLevel="0" collapsed="false"/>
    <row r="1043860" customFormat="false" ht="12.8" hidden="false" customHeight="false" outlineLevel="0" collapsed="false"/>
    <row r="1043861" customFormat="false" ht="12.8" hidden="false" customHeight="false" outlineLevel="0" collapsed="false"/>
    <row r="1043862" customFormat="false" ht="12.8" hidden="false" customHeight="false" outlineLevel="0" collapsed="false"/>
    <row r="1043863" customFormat="false" ht="12.8" hidden="false" customHeight="false" outlineLevel="0" collapsed="false"/>
    <row r="1043864" customFormat="false" ht="12.8" hidden="false" customHeight="false" outlineLevel="0" collapsed="false"/>
    <row r="1043865" customFormat="false" ht="12.8" hidden="false" customHeight="false" outlineLevel="0" collapsed="false"/>
    <row r="1043866" customFormat="false" ht="12.8" hidden="false" customHeight="false" outlineLevel="0" collapsed="false"/>
    <row r="1043867" customFormat="false" ht="12.8" hidden="false" customHeight="false" outlineLevel="0" collapsed="false"/>
    <row r="1043868" customFormat="false" ht="12.8" hidden="false" customHeight="false" outlineLevel="0" collapsed="false"/>
    <row r="1043869" customFormat="false" ht="12.8" hidden="false" customHeight="false" outlineLevel="0" collapsed="false"/>
    <row r="1043870" customFormat="false" ht="12.8" hidden="false" customHeight="false" outlineLevel="0" collapsed="false"/>
    <row r="1043871" customFormat="false" ht="12.8" hidden="false" customHeight="false" outlineLevel="0" collapsed="false"/>
    <row r="1043872" customFormat="false" ht="12.8" hidden="false" customHeight="false" outlineLevel="0" collapsed="false"/>
    <row r="1043873" customFormat="false" ht="12.8" hidden="false" customHeight="false" outlineLevel="0" collapsed="false"/>
    <row r="1043874" customFormat="false" ht="12.8" hidden="false" customHeight="false" outlineLevel="0" collapsed="false"/>
    <row r="1043875" customFormat="false" ht="12.8" hidden="false" customHeight="false" outlineLevel="0" collapsed="false"/>
    <row r="1043876" customFormat="false" ht="12.8" hidden="false" customHeight="false" outlineLevel="0" collapsed="false"/>
    <row r="1043877" customFormat="false" ht="12.8" hidden="false" customHeight="false" outlineLevel="0" collapsed="false"/>
    <row r="1043878" customFormat="false" ht="12.8" hidden="false" customHeight="false" outlineLevel="0" collapsed="false"/>
    <row r="1043879" customFormat="false" ht="12.8" hidden="false" customHeight="false" outlineLevel="0" collapsed="false"/>
    <row r="1043880" customFormat="false" ht="12.8" hidden="false" customHeight="false" outlineLevel="0" collapsed="false"/>
    <row r="1043881" customFormat="false" ht="12.8" hidden="false" customHeight="false" outlineLevel="0" collapsed="false"/>
    <row r="1043882" customFormat="false" ht="12.8" hidden="false" customHeight="false" outlineLevel="0" collapsed="false"/>
    <row r="1043883" customFormat="false" ht="12.8" hidden="false" customHeight="false" outlineLevel="0" collapsed="false"/>
    <row r="1043884" customFormat="false" ht="12.8" hidden="false" customHeight="false" outlineLevel="0" collapsed="false"/>
    <row r="1043885" customFormat="false" ht="12.8" hidden="false" customHeight="false" outlineLevel="0" collapsed="false"/>
    <row r="1043886" customFormat="false" ht="12.8" hidden="false" customHeight="false" outlineLevel="0" collapsed="false"/>
    <row r="1043887" customFormat="false" ht="12.8" hidden="false" customHeight="false" outlineLevel="0" collapsed="false"/>
    <row r="1043888" customFormat="false" ht="12.8" hidden="false" customHeight="false" outlineLevel="0" collapsed="false"/>
    <row r="1043889" customFormat="false" ht="12.8" hidden="false" customHeight="false" outlineLevel="0" collapsed="false"/>
    <row r="1043890" customFormat="false" ht="12.8" hidden="false" customHeight="false" outlineLevel="0" collapsed="false"/>
    <row r="1043891" customFormat="false" ht="12.8" hidden="false" customHeight="false" outlineLevel="0" collapsed="false"/>
    <row r="1043892" customFormat="false" ht="12.8" hidden="false" customHeight="false" outlineLevel="0" collapsed="false"/>
    <row r="1043893" customFormat="false" ht="12.8" hidden="false" customHeight="false" outlineLevel="0" collapsed="false"/>
    <row r="1043894" customFormat="false" ht="12.8" hidden="false" customHeight="false" outlineLevel="0" collapsed="false"/>
    <row r="1043895" customFormat="false" ht="12.8" hidden="false" customHeight="false" outlineLevel="0" collapsed="false"/>
    <row r="1043896" customFormat="false" ht="12.8" hidden="false" customHeight="false" outlineLevel="0" collapsed="false"/>
    <row r="1043897" customFormat="false" ht="12.8" hidden="false" customHeight="false" outlineLevel="0" collapsed="false"/>
    <row r="1043898" customFormat="false" ht="12.8" hidden="false" customHeight="false" outlineLevel="0" collapsed="false"/>
    <row r="1043899" customFormat="false" ht="12.8" hidden="false" customHeight="false" outlineLevel="0" collapsed="false"/>
    <row r="1043900" customFormat="false" ht="12.8" hidden="false" customHeight="false" outlineLevel="0" collapsed="false"/>
    <row r="1043901" customFormat="false" ht="12.8" hidden="false" customHeight="false" outlineLevel="0" collapsed="false"/>
    <row r="1043902" customFormat="false" ht="12.8" hidden="false" customHeight="false" outlineLevel="0" collapsed="false"/>
    <row r="1043903" customFormat="false" ht="12.8" hidden="false" customHeight="false" outlineLevel="0" collapsed="false"/>
    <row r="1043904" customFormat="false" ht="12.8" hidden="false" customHeight="false" outlineLevel="0" collapsed="false"/>
    <row r="1043905" customFormat="false" ht="12.8" hidden="false" customHeight="false" outlineLevel="0" collapsed="false"/>
    <row r="1043906" customFormat="false" ht="12.8" hidden="false" customHeight="false" outlineLevel="0" collapsed="false"/>
    <row r="1043907" customFormat="false" ht="12.8" hidden="false" customHeight="false" outlineLevel="0" collapsed="false"/>
    <row r="1043908" customFormat="false" ht="12.8" hidden="false" customHeight="false" outlineLevel="0" collapsed="false"/>
    <row r="1043909" customFormat="false" ht="12.8" hidden="false" customHeight="false" outlineLevel="0" collapsed="false"/>
    <row r="1043910" customFormat="false" ht="12.8" hidden="false" customHeight="false" outlineLevel="0" collapsed="false"/>
    <row r="1043911" customFormat="false" ht="12.8" hidden="false" customHeight="false" outlineLevel="0" collapsed="false"/>
    <row r="1043912" customFormat="false" ht="12.8" hidden="false" customHeight="false" outlineLevel="0" collapsed="false"/>
    <row r="1043913" customFormat="false" ht="12.8" hidden="false" customHeight="false" outlineLevel="0" collapsed="false"/>
    <row r="1043914" customFormat="false" ht="12.8" hidden="false" customHeight="false" outlineLevel="0" collapsed="false"/>
    <row r="1043915" customFormat="false" ht="12.8" hidden="false" customHeight="false" outlineLevel="0" collapsed="false"/>
    <row r="1043916" customFormat="false" ht="12.8" hidden="false" customHeight="false" outlineLevel="0" collapsed="false"/>
    <row r="1043917" customFormat="false" ht="12.8" hidden="false" customHeight="false" outlineLevel="0" collapsed="false"/>
    <row r="1043918" customFormat="false" ht="12.8" hidden="false" customHeight="false" outlineLevel="0" collapsed="false"/>
    <row r="1043919" customFormat="false" ht="12.8" hidden="false" customHeight="false" outlineLevel="0" collapsed="false"/>
    <row r="1043920" customFormat="false" ht="12.8" hidden="false" customHeight="false" outlineLevel="0" collapsed="false"/>
    <row r="1043921" customFormat="false" ht="12.8" hidden="false" customHeight="false" outlineLevel="0" collapsed="false"/>
    <row r="1043922" customFormat="false" ht="12.8" hidden="false" customHeight="false" outlineLevel="0" collapsed="false"/>
    <row r="1043923" customFormat="false" ht="12.8" hidden="false" customHeight="false" outlineLevel="0" collapsed="false"/>
    <row r="1043924" customFormat="false" ht="12.8" hidden="false" customHeight="false" outlineLevel="0" collapsed="false"/>
    <row r="1043925" customFormat="false" ht="12.8" hidden="false" customHeight="false" outlineLevel="0" collapsed="false"/>
    <row r="1043926" customFormat="false" ht="12.8" hidden="false" customHeight="false" outlineLevel="0" collapsed="false"/>
    <row r="1043927" customFormat="false" ht="12.8" hidden="false" customHeight="false" outlineLevel="0" collapsed="false"/>
    <row r="1043928" customFormat="false" ht="12.8" hidden="false" customHeight="false" outlineLevel="0" collapsed="false"/>
    <row r="1043929" customFormat="false" ht="12.8" hidden="false" customHeight="false" outlineLevel="0" collapsed="false"/>
    <row r="1043930" customFormat="false" ht="12.8" hidden="false" customHeight="false" outlineLevel="0" collapsed="false"/>
    <row r="1043931" customFormat="false" ht="12.8" hidden="false" customHeight="false" outlineLevel="0" collapsed="false"/>
    <row r="1043932" customFormat="false" ht="12.8" hidden="false" customHeight="false" outlineLevel="0" collapsed="false"/>
    <row r="1043933" customFormat="false" ht="12.8" hidden="false" customHeight="false" outlineLevel="0" collapsed="false"/>
    <row r="1043934" customFormat="false" ht="12.8" hidden="false" customHeight="false" outlineLevel="0" collapsed="false"/>
    <row r="1043935" customFormat="false" ht="12.8" hidden="false" customHeight="false" outlineLevel="0" collapsed="false"/>
    <row r="1043936" customFormat="false" ht="12.8" hidden="false" customHeight="false" outlineLevel="0" collapsed="false"/>
    <row r="1043937" customFormat="false" ht="12.8" hidden="false" customHeight="false" outlineLevel="0" collapsed="false"/>
    <row r="1043938" customFormat="false" ht="12.8" hidden="false" customHeight="false" outlineLevel="0" collapsed="false"/>
    <row r="1043939" customFormat="false" ht="12.8" hidden="false" customHeight="false" outlineLevel="0" collapsed="false"/>
    <row r="1043940" customFormat="false" ht="12.8" hidden="false" customHeight="false" outlineLevel="0" collapsed="false"/>
    <row r="1043941" customFormat="false" ht="12.8" hidden="false" customHeight="false" outlineLevel="0" collapsed="false"/>
    <row r="1043942" customFormat="false" ht="12.8" hidden="false" customHeight="false" outlineLevel="0" collapsed="false"/>
    <row r="1043943" customFormat="false" ht="12.8" hidden="false" customHeight="false" outlineLevel="0" collapsed="false"/>
    <row r="1043944" customFormat="false" ht="12.8" hidden="false" customHeight="false" outlineLevel="0" collapsed="false"/>
    <row r="1043945" customFormat="false" ht="12.8" hidden="false" customHeight="false" outlineLevel="0" collapsed="false"/>
    <row r="1043946" customFormat="false" ht="12.8" hidden="false" customHeight="false" outlineLevel="0" collapsed="false"/>
    <row r="1043947" customFormat="false" ht="12.8" hidden="false" customHeight="false" outlineLevel="0" collapsed="false"/>
    <row r="1043948" customFormat="false" ht="12.8" hidden="false" customHeight="false" outlineLevel="0" collapsed="false"/>
    <row r="1043949" customFormat="false" ht="12.8" hidden="false" customHeight="false" outlineLevel="0" collapsed="false"/>
    <row r="1043950" customFormat="false" ht="12.8" hidden="false" customHeight="false" outlineLevel="0" collapsed="false"/>
    <row r="1043951" customFormat="false" ht="12.8" hidden="false" customHeight="false" outlineLevel="0" collapsed="false"/>
    <row r="1043952" customFormat="false" ht="12.8" hidden="false" customHeight="false" outlineLevel="0" collapsed="false"/>
    <row r="1043953" customFormat="false" ht="12.8" hidden="false" customHeight="false" outlineLevel="0" collapsed="false"/>
    <row r="1043954" customFormat="false" ht="12.8" hidden="false" customHeight="false" outlineLevel="0" collapsed="false"/>
    <row r="1043955" customFormat="false" ht="12.8" hidden="false" customHeight="false" outlineLevel="0" collapsed="false"/>
    <row r="1043956" customFormat="false" ht="12.8" hidden="false" customHeight="false" outlineLevel="0" collapsed="false"/>
    <row r="1043957" customFormat="false" ht="12.8" hidden="false" customHeight="false" outlineLevel="0" collapsed="false"/>
    <row r="1043958" customFormat="false" ht="12.8" hidden="false" customHeight="false" outlineLevel="0" collapsed="false"/>
    <row r="1043959" customFormat="false" ht="12.8" hidden="false" customHeight="false" outlineLevel="0" collapsed="false"/>
    <row r="1043960" customFormat="false" ht="12.8" hidden="false" customHeight="false" outlineLevel="0" collapsed="false"/>
    <row r="1043961" customFormat="false" ht="12.8" hidden="false" customHeight="false" outlineLevel="0" collapsed="false"/>
    <row r="1043962" customFormat="false" ht="12.8" hidden="false" customHeight="false" outlineLevel="0" collapsed="false"/>
    <row r="1043963" customFormat="false" ht="12.8" hidden="false" customHeight="false" outlineLevel="0" collapsed="false"/>
    <row r="1043964" customFormat="false" ht="12.8" hidden="false" customHeight="false" outlineLevel="0" collapsed="false"/>
    <row r="1043965" customFormat="false" ht="12.8" hidden="false" customHeight="false" outlineLevel="0" collapsed="false"/>
    <row r="1043966" customFormat="false" ht="12.8" hidden="false" customHeight="false" outlineLevel="0" collapsed="false"/>
    <row r="1043967" customFormat="false" ht="12.8" hidden="false" customHeight="false" outlineLevel="0" collapsed="false"/>
    <row r="1043968" customFormat="false" ht="12.8" hidden="false" customHeight="false" outlineLevel="0" collapsed="false"/>
    <row r="1043969" customFormat="false" ht="12.8" hidden="false" customHeight="false" outlineLevel="0" collapsed="false"/>
    <row r="1043970" customFormat="false" ht="12.8" hidden="false" customHeight="false" outlineLevel="0" collapsed="false"/>
    <row r="1043971" customFormat="false" ht="12.8" hidden="false" customHeight="false" outlineLevel="0" collapsed="false"/>
    <row r="1043972" customFormat="false" ht="12.8" hidden="false" customHeight="false" outlineLevel="0" collapsed="false"/>
    <row r="1043973" customFormat="false" ht="12.8" hidden="false" customHeight="false" outlineLevel="0" collapsed="false"/>
    <row r="1043974" customFormat="false" ht="12.8" hidden="false" customHeight="false" outlineLevel="0" collapsed="false"/>
    <row r="1043975" customFormat="false" ht="12.8" hidden="false" customHeight="false" outlineLevel="0" collapsed="false"/>
    <row r="1043976" customFormat="false" ht="12.8" hidden="false" customHeight="false" outlineLevel="0" collapsed="false"/>
    <row r="1043977" customFormat="false" ht="12.8" hidden="false" customHeight="false" outlineLevel="0" collapsed="false"/>
    <row r="1043978" customFormat="false" ht="12.8" hidden="false" customHeight="false" outlineLevel="0" collapsed="false"/>
    <row r="1043979" customFormat="false" ht="12.8" hidden="false" customHeight="false" outlineLevel="0" collapsed="false"/>
    <row r="1043980" customFormat="false" ht="12.8" hidden="false" customHeight="false" outlineLevel="0" collapsed="false"/>
    <row r="1043981" customFormat="false" ht="12.8" hidden="false" customHeight="false" outlineLevel="0" collapsed="false"/>
    <row r="1043982" customFormat="false" ht="12.8" hidden="false" customHeight="false" outlineLevel="0" collapsed="false"/>
    <row r="1043983" customFormat="false" ht="12.8" hidden="false" customHeight="false" outlineLevel="0" collapsed="false"/>
    <row r="1043984" customFormat="false" ht="12.8" hidden="false" customHeight="false" outlineLevel="0" collapsed="false"/>
    <row r="1043985" customFormat="false" ht="12.8" hidden="false" customHeight="false" outlineLevel="0" collapsed="false"/>
    <row r="1043986" customFormat="false" ht="12.8" hidden="false" customHeight="false" outlineLevel="0" collapsed="false"/>
    <row r="1043987" customFormat="false" ht="12.8" hidden="false" customHeight="false" outlineLevel="0" collapsed="false"/>
    <row r="1043988" customFormat="false" ht="12.8" hidden="false" customHeight="false" outlineLevel="0" collapsed="false"/>
    <row r="1043989" customFormat="false" ht="12.8" hidden="false" customHeight="false" outlineLevel="0" collapsed="false"/>
    <row r="1043990" customFormat="false" ht="12.8" hidden="false" customHeight="false" outlineLevel="0" collapsed="false"/>
    <row r="1043991" customFormat="false" ht="12.8" hidden="false" customHeight="false" outlineLevel="0" collapsed="false"/>
    <row r="1043992" customFormat="false" ht="12.8" hidden="false" customHeight="false" outlineLevel="0" collapsed="false"/>
    <row r="1043993" customFormat="false" ht="12.8" hidden="false" customHeight="false" outlineLevel="0" collapsed="false"/>
    <row r="1043994" customFormat="false" ht="12.8" hidden="false" customHeight="false" outlineLevel="0" collapsed="false"/>
    <row r="1043995" customFormat="false" ht="12.8" hidden="false" customHeight="false" outlineLevel="0" collapsed="false"/>
    <row r="1043996" customFormat="false" ht="12.8" hidden="false" customHeight="false" outlineLevel="0" collapsed="false"/>
    <row r="1043997" customFormat="false" ht="12.8" hidden="false" customHeight="false" outlineLevel="0" collapsed="false"/>
    <row r="1043998" customFormat="false" ht="12.8" hidden="false" customHeight="false" outlineLevel="0" collapsed="false"/>
    <row r="1043999" customFormat="false" ht="12.8" hidden="false" customHeight="false" outlineLevel="0" collapsed="false"/>
    <row r="1044000" customFormat="false" ht="12.8" hidden="false" customHeight="false" outlineLevel="0" collapsed="false"/>
    <row r="1044001" customFormat="false" ht="12.8" hidden="false" customHeight="false" outlineLevel="0" collapsed="false"/>
    <row r="1044002" customFormat="false" ht="12.8" hidden="false" customHeight="false" outlineLevel="0" collapsed="false"/>
    <row r="1044003" customFormat="false" ht="12.8" hidden="false" customHeight="false" outlineLevel="0" collapsed="false"/>
    <row r="1044004" customFormat="false" ht="12.8" hidden="false" customHeight="false" outlineLevel="0" collapsed="false"/>
    <row r="1044005" customFormat="false" ht="12.8" hidden="false" customHeight="false" outlineLevel="0" collapsed="false"/>
    <row r="1044006" customFormat="false" ht="12.8" hidden="false" customHeight="false" outlineLevel="0" collapsed="false"/>
    <row r="1044007" customFormat="false" ht="12.8" hidden="false" customHeight="false" outlineLevel="0" collapsed="false"/>
    <row r="1044008" customFormat="false" ht="12.8" hidden="false" customHeight="false" outlineLevel="0" collapsed="false"/>
    <row r="1044009" customFormat="false" ht="12.8" hidden="false" customHeight="false" outlineLevel="0" collapsed="false"/>
    <row r="1044010" customFormat="false" ht="12.8" hidden="false" customHeight="false" outlineLevel="0" collapsed="false"/>
    <row r="1044011" customFormat="false" ht="12.8" hidden="false" customHeight="false" outlineLevel="0" collapsed="false"/>
    <row r="1044012" customFormat="false" ht="12.8" hidden="false" customHeight="false" outlineLevel="0" collapsed="false"/>
    <row r="1044013" customFormat="false" ht="12.8" hidden="false" customHeight="false" outlineLevel="0" collapsed="false"/>
    <row r="1044014" customFormat="false" ht="12.8" hidden="false" customHeight="false" outlineLevel="0" collapsed="false"/>
    <row r="1044015" customFormat="false" ht="12.8" hidden="false" customHeight="false" outlineLevel="0" collapsed="false"/>
    <row r="1044016" customFormat="false" ht="12.8" hidden="false" customHeight="false" outlineLevel="0" collapsed="false"/>
    <row r="1044017" customFormat="false" ht="12.8" hidden="false" customHeight="false" outlineLevel="0" collapsed="false"/>
    <row r="1044018" customFormat="false" ht="12.8" hidden="false" customHeight="false" outlineLevel="0" collapsed="false"/>
    <row r="1044019" customFormat="false" ht="12.8" hidden="false" customHeight="false" outlineLevel="0" collapsed="false"/>
    <row r="1044020" customFormat="false" ht="12.8" hidden="false" customHeight="false" outlineLevel="0" collapsed="false"/>
    <row r="1044021" customFormat="false" ht="12.8" hidden="false" customHeight="false" outlineLevel="0" collapsed="false"/>
    <row r="1044022" customFormat="false" ht="12.8" hidden="false" customHeight="false" outlineLevel="0" collapsed="false"/>
    <row r="1044023" customFormat="false" ht="12.8" hidden="false" customHeight="false" outlineLevel="0" collapsed="false"/>
    <row r="1044024" customFormat="false" ht="12.8" hidden="false" customHeight="false" outlineLevel="0" collapsed="false"/>
    <row r="1044025" customFormat="false" ht="12.8" hidden="false" customHeight="false" outlineLevel="0" collapsed="false"/>
    <row r="1044026" customFormat="false" ht="12.8" hidden="false" customHeight="false" outlineLevel="0" collapsed="false"/>
    <row r="1044027" customFormat="false" ht="12.8" hidden="false" customHeight="false" outlineLevel="0" collapsed="false"/>
    <row r="1044028" customFormat="false" ht="12.8" hidden="false" customHeight="false" outlineLevel="0" collapsed="false"/>
    <row r="1044029" customFormat="false" ht="12.8" hidden="false" customHeight="false" outlineLevel="0" collapsed="false"/>
    <row r="1044030" customFormat="false" ht="12.8" hidden="false" customHeight="false" outlineLevel="0" collapsed="false"/>
    <row r="1044031" customFormat="false" ht="12.8" hidden="false" customHeight="false" outlineLevel="0" collapsed="false"/>
    <row r="1044032" customFormat="false" ht="12.8" hidden="false" customHeight="false" outlineLevel="0" collapsed="false"/>
    <row r="1044033" customFormat="false" ht="12.8" hidden="false" customHeight="false" outlineLevel="0" collapsed="false"/>
    <row r="1044034" customFormat="false" ht="12.8" hidden="false" customHeight="false" outlineLevel="0" collapsed="false"/>
    <row r="1044035" customFormat="false" ht="12.8" hidden="false" customHeight="false" outlineLevel="0" collapsed="false"/>
    <row r="1044036" customFormat="false" ht="12.8" hidden="false" customHeight="false" outlineLevel="0" collapsed="false"/>
    <row r="1044037" customFormat="false" ht="12.8" hidden="false" customHeight="false" outlineLevel="0" collapsed="false"/>
    <row r="1044038" customFormat="false" ht="12.8" hidden="false" customHeight="false" outlineLevel="0" collapsed="false"/>
    <row r="1044039" customFormat="false" ht="12.8" hidden="false" customHeight="false" outlineLevel="0" collapsed="false"/>
    <row r="1044040" customFormat="false" ht="12.8" hidden="false" customHeight="false" outlineLevel="0" collapsed="false"/>
    <row r="1044041" customFormat="false" ht="12.8" hidden="false" customHeight="false" outlineLevel="0" collapsed="false"/>
    <row r="1044042" customFormat="false" ht="12.8" hidden="false" customHeight="false" outlineLevel="0" collapsed="false"/>
    <row r="1044043" customFormat="false" ht="12.8" hidden="false" customHeight="false" outlineLevel="0" collapsed="false"/>
    <row r="1044044" customFormat="false" ht="12.8" hidden="false" customHeight="false" outlineLevel="0" collapsed="false"/>
    <row r="1044045" customFormat="false" ht="12.8" hidden="false" customHeight="false" outlineLevel="0" collapsed="false"/>
    <row r="1044046" customFormat="false" ht="12.8" hidden="false" customHeight="false" outlineLevel="0" collapsed="false"/>
    <row r="1044047" customFormat="false" ht="12.8" hidden="false" customHeight="false" outlineLevel="0" collapsed="false"/>
    <row r="1044048" customFormat="false" ht="12.8" hidden="false" customHeight="false" outlineLevel="0" collapsed="false"/>
    <row r="1044049" customFormat="false" ht="12.8" hidden="false" customHeight="false" outlineLevel="0" collapsed="false"/>
    <row r="1044050" customFormat="false" ht="12.8" hidden="false" customHeight="false" outlineLevel="0" collapsed="false"/>
    <row r="1044051" customFormat="false" ht="12.8" hidden="false" customHeight="false" outlineLevel="0" collapsed="false"/>
    <row r="1044052" customFormat="false" ht="12.8" hidden="false" customHeight="false" outlineLevel="0" collapsed="false"/>
    <row r="1044053" customFormat="false" ht="12.8" hidden="false" customHeight="false" outlineLevel="0" collapsed="false"/>
    <row r="1044054" customFormat="false" ht="12.8" hidden="false" customHeight="false" outlineLevel="0" collapsed="false"/>
    <row r="1044055" customFormat="false" ht="12.8" hidden="false" customHeight="false" outlineLevel="0" collapsed="false"/>
    <row r="1044056" customFormat="false" ht="12.8" hidden="false" customHeight="false" outlineLevel="0" collapsed="false"/>
    <row r="1044057" customFormat="false" ht="12.8" hidden="false" customHeight="false" outlineLevel="0" collapsed="false"/>
    <row r="1044058" customFormat="false" ht="12.8" hidden="false" customHeight="false" outlineLevel="0" collapsed="false"/>
    <row r="1044059" customFormat="false" ht="12.8" hidden="false" customHeight="false" outlineLevel="0" collapsed="false"/>
    <row r="1044060" customFormat="false" ht="12.8" hidden="false" customHeight="false" outlineLevel="0" collapsed="false"/>
    <row r="1044061" customFormat="false" ht="12.8" hidden="false" customHeight="false" outlineLevel="0" collapsed="false"/>
    <row r="1044062" customFormat="false" ht="12.8" hidden="false" customHeight="false" outlineLevel="0" collapsed="false"/>
    <row r="1044063" customFormat="false" ht="12.8" hidden="false" customHeight="false" outlineLevel="0" collapsed="false"/>
    <row r="1044064" customFormat="false" ht="12.8" hidden="false" customHeight="false" outlineLevel="0" collapsed="false"/>
    <row r="1044065" customFormat="false" ht="12.8" hidden="false" customHeight="false" outlineLevel="0" collapsed="false"/>
    <row r="1044066" customFormat="false" ht="12.8" hidden="false" customHeight="false" outlineLevel="0" collapsed="false"/>
    <row r="1044067" customFormat="false" ht="12.8" hidden="false" customHeight="false" outlineLevel="0" collapsed="false"/>
    <row r="1044068" customFormat="false" ht="12.8" hidden="false" customHeight="false" outlineLevel="0" collapsed="false"/>
    <row r="1044069" customFormat="false" ht="12.8" hidden="false" customHeight="false" outlineLevel="0" collapsed="false"/>
    <row r="1044070" customFormat="false" ht="12.8" hidden="false" customHeight="false" outlineLevel="0" collapsed="false"/>
    <row r="1044071" customFormat="false" ht="12.8" hidden="false" customHeight="false" outlineLevel="0" collapsed="false"/>
    <row r="1044072" customFormat="false" ht="12.8" hidden="false" customHeight="false" outlineLevel="0" collapsed="false"/>
    <row r="1044073" customFormat="false" ht="12.8" hidden="false" customHeight="false" outlineLevel="0" collapsed="false"/>
    <row r="1044074" customFormat="false" ht="12.8" hidden="false" customHeight="false" outlineLevel="0" collapsed="false"/>
    <row r="1044075" customFormat="false" ht="12.8" hidden="false" customHeight="false" outlineLevel="0" collapsed="false"/>
    <row r="1044076" customFormat="false" ht="12.8" hidden="false" customHeight="false" outlineLevel="0" collapsed="false"/>
    <row r="1044077" customFormat="false" ht="12.8" hidden="false" customHeight="false" outlineLevel="0" collapsed="false"/>
    <row r="1044078" customFormat="false" ht="12.8" hidden="false" customHeight="false" outlineLevel="0" collapsed="false"/>
    <row r="1044079" customFormat="false" ht="12.8" hidden="false" customHeight="false" outlineLevel="0" collapsed="false"/>
    <row r="1044080" customFormat="false" ht="12.8" hidden="false" customHeight="false" outlineLevel="0" collapsed="false"/>
    <row r="1044081" customFormat="false" ht="12.8" hidden="false" customHeight="false" outlineLevel="0" collapsed="false"/>
    <row r="1044082" customFormat="false" ht="12.8" hidden="false" customHeight="false" outlineLevel="0" collapsed="false"/>
    <row r="1044083" customFormat="false" ht="12.8" hidden="false" customHeight="false" outlineLevel="0" collapsed="false"/>
    <row r="1044084" customFormat="false" ht="12.8" hidden="false" customHeight="false" outlineLevel="0" collapsed="false"/>
    <row r="1044085" customFormat="false" ht="12.8" hidden="false" customHeight="false" outlineLevel="0" collapsed="false"/>
    <row r="1044086" customFormat="false" ht="12.8" hidden="false" customHeight="false" outlineLevel="0" collapsed="false"/>
    <row r="1044087" customFormat="false" ht="12.8" hidden="false" customHeight="false" outlineLevel="0" collapsed="false"/>
    <row r="1044088" customFormat="false" ht="12.8" hidden="false" customHeight="false" outlineLevel="0" collapsed="false"/>
    <row r="1044089" customFormat="false" ht="12.8" hidden="false" customHeight="false" outlineLevel="0" collapsed="false"/>
    <row r="1044090" customFormat="false" ht="12.8" hidden="false" customHeight="false" outlineLevel="0" collapsed="false"/>
    <row r="1044091" customFormat="false" ht="12.8" hidden="false" customHeight="false" outlineLevel="0" collapsed="false"/>
    <row r="1044092" customFormat="false" ht="12.8" hidden="false" customHeight="false" outlineLevel="0" collapsed="false"/>
    <row r="1044093" customFormat="false" ht="12.8" hidden="false" customHeight="false" outlineLevel="0" collapsed="false"/>
    <row r="1044094" customFormat="false" ht="12.8" hidden="false" customHeight="false" outlineLevel="0" collapsed="false"/>
    <row r="1044095" customFormat="false" ht="12.8" hidden="false" customHeight="false" outlineLevel="0" collapsed="false"/>
    <row r="1044096" customFormat="false" ht="12.8" hidden="false" customHeight="false" outlineLevel="0" collapsed="false"/>
    <row r="1044097" customFormat="false" ht="12.8" hidden="false" customHeight="false" outlineLevel="0" collapsed="false"/>
    <row r="1044098" customFormat="false" ht="12.8" hidden="false" customHeight="false" outlineLevel="0" collapsed="false"/>
    <row r="1044099" customFormat="false" ht="12.8" hidden="false" customHeight="false" outlineLevel="0" collapsed="false"/>
    <row r="1044100" customFormat="false" ht="12.8" hidden="false" customHeight="false" outlineLevel="0" collapsed="false"/>
    <row r="1044101" customFormat="false" ht="12.8" hidden="false" customHeight="false" outlineLevel="0" collapsed="false"/>
    <row r="1044102" customFormat="false" ht="12.8" hidden="false" customHeight="false" outlineLevel="0" collapsed="false"/>
    <row r="1044103" customFormat="false" ht="12.8" hidden="false" customHeight="false" outlineLevel="0" collapsed="false"/>
    <row r="1044104" customFormat="false" ht="12.8" hidden="false" customHeight="false" outlineLevel="0" collapsed="false"/>
    <row r="1044105" customFormat="false" ht="12.8" hidden="false" customHeight="false" outlineLevel="0" collapsed="false"/>
    <row r="1044106" customFormat="false" ht="12.8" hidden="false" customHeight="false" outlineLevel="0" collapsed="false"/>
    <row r="1044107" customFormat="false" ht="12.8" hidden="false" customHeight="false" outlineLevel="0" collapsed="false"/>
    <row r="1044108" customFormat="false" ht="12.8" hidden="false" customHeight="false" outlineLevel="0" collapsed="false"/>
    <row r="1044109" customFormat="false" ht="12.8" hidden="false" customHeight="false" outlineLevel="0" collapsed="false"/>
    <row r="1044110" customFormat="false" ht="12.8" hidden="false" customHeight="false" outlineLevel="0" collapsed="false"/>
    <row r="1044111" customFormat="false" ht="12.8" hidden="false" customHeight="false" outlineLevel="0" collapsed="false"/>
    <row r="1044112" customFormat="false" ht="12.8" hidden="false" customHeight="false" outlineLevel="0" collapsed="false"/>
    <row r="1044113" customFormat="false" ht="12.8" hidden="false" customHeight="false" outlineLevel="0" collapsed="false"/>
    <row r="1044114" customFormat="false" ht="12.8" hidden="false" customHeight="false" outlineLevel="0" collapsed="false"/>
    <row r="1044115" customFormat="false" ht="12.8" hidden="false" customHeight="false" outlineLevel="0" collapsed="false"/>
    <row r="1044116" customFormat="false" ht="12.8" hidden="false" customHeight="false" outlineLevel="0" collapsed="false"/>
    <row r="1044117" customFormat="false" ht="12.8" hidden="false" customHeight="false" outlineLevel="0" collapsed="false"/>
    <row r="1044118" customFormat="false" ht="12.8" hidden="false" customHeight="false" outlineLevel="0" collapsed="false"/>
    <row r="1044119" customFormat="false" ht="12.8" hidden="false" customHeight="false" outlineLevel="0" collapsed="false"/>
    <row r="1044120" customFormat="false" ht="12.8" hidden="false" customHeight="false" outlineLevel="0" collapsed="false"/>
    <row r="1044121" customFormat="false" ht="12.8" hidden="false" customHeight="false" outlineLevel="0" collapsed="false"/>
    <row r="1044122" customFormat="false" ht="12.8" hidden="false" customHeight="false" outlineLevel="0" collapsed="false"/>
    <row r="1044123" customFormat="false" ht="12.8" hidden="false" customHeight="false" outlineLevel="0" collapsed="false"/>
    <row r="1044124" customFormat="false" ht="12.8" hidden="false" customHeight="false" outlineLevel="0" collapsed="false"/>
    <row r="1044125" customFormat="false" ht="12.8" hidden="false" customHeight="false" outlineLevel="0" collapsed="false"/>
    <row r="1044126" customFormat="false" ht="12.8" hidden="false" customHeight="false" outlineLevel="0" collapsed="false"/>
    <row r="1044127" customFormat="false" ht="12.8" hidden="false" customHeight="false" outlineLevel="0" collapsed="false"/>
    <row r="1044128" customFormat="false" ht="12.8" hidden="false" customHeight="false" outlineLevel="0" collapsed="false"/>
    <row r="1044129" customFormat="false" ht="12.8" hidden="false" customHeight="false" outlineLevel="0" collapsed="false"/>
    <row r="1044130" customFormat="false" ht="12.8" hidden="false" customHeight="false" outlineLevel="0" collapsed="false"/>
    <row r="1044131" customFormat="false" ht="12.8" hidden="false" customHeight="false" outlineLevel="0" collapsed="false"/>
    <row r="1044132" customFormat="false" ht="12.8" hidden="false" customHeight="false" outlineLevel="0" collapsed="false"/>
    <row r="1044133" customFormat="false" ht="12.8" hidden="false" customHeight="false" outlineLevel="0" collapsed="false"/>
    <row r="1044134" customFormat="false" ht="12.8" hidden="false" customHeight="false" outlineLevel="0" collapsed="false"/>
    <row r="1044135" customFormat="false" ht="12.8" hidden="false" customHeight="false" outlineLevel="0" collapsed="false"/>
    <row r="1044136" customFormat="false" ht="12.8" hidden="false" customHeight="false" outlineLevel="0" collapsed="false"/>
    <row r="1044137" customFormat="false" ht="12.8" hidden="false" customHeight="false" outlineLevel="0" collapsed="false"/>
    <row r="1044138" customFormat="false" ht="12.8" hidden="false" customHeight="false" outlineLevel="0" collapsed="false"/>
    <row r="1044139" customFormat="false" ht="12.8" hidden="false" customHeight="false" outlineLevel="0" collapsed="false"/>
    <row r="1044140" customFormat="false" ht="12.8" hidden="false" customHeight="false" outlineLevel="0" collapsed="false"/>
    <row r="1044141" customFormat="false" ht="12.8" hidden="false" customHeight="false" outlineLevel="0" collapsed="false"/>
    <row r="1044142" customFormat="false" ht="12.8" hidden="false" customHeight="false" outlineLevel="0" collapsed="false"/>
    <row r="1044143" customFormat="false" ht="12.8" hidden="false" customHeight="false" outlineLevel="0" collapsed="false"/>
    <row r="1044144" customFormat="false" ht="12.8" hidden="false" customHeight="false" outlineLevel="0" collapsed="false"/>
    <row r="1044145" customFormat="false" ht="12.8" hidden="false" customHeight="false" outlineLevel="0" collapsed="false"/>
    <row r="1044146" customFormat="false" ht="12.8" hidden="false" customHeight="false" outlineLevel="0" collapsed="false"/>
    <row r="1044147" customFormat="false" ht="12.8" hidden="false" customHeight="false" outlineLevel="0" collapsed="false"/>
    <row r="1044148" customFormat="false" ht="12.8" hidden="false" customHeight="false" outlineLevel="0" collapsed="false"/>
    <row r="1044149" customFormat="false" ht="12.8" hidden="false" customHeight="false" outlineLevel="0" collapsed="false"/>
    <row r="1044150" customFormat="false" ht="12.8" hidden="false" customHeight="false" outlineLevel="0" collapsed="false"/>
    <row r="1044151" customFormat="false" ht="12.8" hidden="false" customHeight="false" outlineLevel="0" collapsed="false"/>
    <row r="1044152" customFormat="false" ht="12.8" hidden="false" customHeight="false" outlineLevel="0" collapsed="false"/>
    <row r="1044153" customFormat="false" ht="12.8" hidden="false" customHeight="false" outlineLevel="0" collapsed="false"/>
    <row r="1044154" customFormat="false" ht="12.8" hidden="false" customHeight="false" outlineLevel="0" collapsed="false"/>
    <row r="1044155" customFormat="false" ht="12.8" hidden="false" customHeight="false" outlineLevel="0" collapsed="false"/>
    <row r="1044156" customFormat="false" ht="12.8" hidden="false" customHeight="false" outlineLevel="0" collapsed="false"/>
    <row r="1044157" customFormat="false" ht="12.8" hidden="false" customHeight="false" outlineLevel="0" collapsed="false"/>
    <row r="1044158" customFormat="false" ht="12.8" hidden="false" customHeight="false" outlineLevel="0" collapsed="false"/>
    <row r="1044159" customFormat="false" ht="12.8" hidden="false" customHeight="false" outlineLevel="0" collapsed="false"/>
    <row r="1044160" customFormat="false" ht="12.8" hidden="false" customHeight="false" outlineLevel="0" collapsed="false"/>
    <row r="1044161" customFormat="false" ht="12.8" hidden="false" customHeight="false" outlineLevel="0" collapsed="false"/>
    <row r="1044162" customFormat="false" ht="12.8" hidden="false" customHeight="false" outlineLevel="0" collapsed="false"/>
    <row r="1044163" customFormat="false" ht="12.8" hidden="false" customHeight="false" outlineLevel="0" collapsed="false"/>
    <row r="1044164" customFormat="false" ht="12.8" hidden="false" customHeight="false" outlineLevel="0" collapsed="false"/>
    <row r="1044165" customFormat="false" ht="12.8" hidden="false" customHeight="false" outlineLevel="0" collapsed="false"/>
    <row r="1044166" customFormat="false" ht="12.8" hidden="false" customHeight="false" outlineLevel="0" collapsed="false"/>
    <row r="1044167" customFormat="false" ht="12.8" hidden="false" customHeight="false" outlineLevel="0" collapsed="false"/>
    <row r="1044168" customFormat="false" ht="12.8" hidden="false" customHeight="false" outlineLevel="0" collapsed="false"/>
    <row r="1044169" customFormat="false" ht="12.8" hidden="false" customHeight="false" outlineLevel="0" collapsed="false"/>
    <row r="1044170" customFormat="false" ht="12.8" hidden="false" customHeight="false" outlineLevel="0" collapsed="false"/>
    <row r="1044171" customFormat="false" ht="12.8" hidden="false" customHeight="false" outlineLevel="0" collapsed="false"/>
    <row r="1044172" customFormat="false" ht="12.8" hidden="false" customHeight="false" outlineLevel="0" collapsed="false"/>
    <row r="1044173" customFormat="false" ht="12.8" hidden="false" customHeight="false" outlineLevel="0" collapsed="false"/>
    <row r="1044174" customFormat="false" ht="12.8" hidden="false" customHeight="false" outlineLevel="0" collapsed="false"/>
    <row r="1044175" customFormat="false" ht="12.8" hidden="false" customHeight="false" outlineLevel="0" collapsed="false"/>
    <row r="1044176" customFormat="false" ht="12.8" hidden="false" customHeight="false" outlineLevel="0" collapsed="false"/>
    <row r="1044177" customFormat="false" ht="12.8" hidden="false" customHeight="false" outlineLevel="0" collapsed="false"/>
    <row r="1044178" customFormat="false" ht="12.8" hidden="false" customHeight="false" outlineLevel="0" collapsed="false"/>
    <row r="1044179" customFormat="false" ht="12.8" hidden="false" customHeight="false" outlineLevel="0" collapsed="false"/>
    <row r="1044180" customFormat="false" ht="12.8" hidden="false" customHeight="false" outlineLevel="0" collapsed="false"/>
    <row r="1044181" customFormat="false" ht="12.8" hidden="false" customHeight="false" outlineLevel="0" collapsed="false"/>
    <row r="1044182" customFormat="false" ht="12.8" hidden="false" customHeight="false" outlineLevel="0" collapsed="false"/>
    <row r="1044183" customFormat="false" ht="12.8" hidden="false" customHeight="false" outlineLevel="0" collapsed="false"/>
    <row r="1044184" customFormat="false" ht="12.8" hidden="false" customHeight="false" outlineLevel="0" collapsed="false"/>
    <row r="1044185" customFormat="false" ht="12.8" hidden="false" customHeight="false" outlineLevel="0" collapsed="false"/>
    <row r="1044186" customFormat="false" ht="12.8" hidden="false" customHeight="false" outlineLevel="0" collapsed="false"/>
    <row r="1044187" customFormat="false" ht="12.8" hidden="false" customHeight="false" outlineLevel="0" collapsed="false"/>
    <row r="1044188" customFormat="false" ht="12.8" hidden="false" customHeight="false" outlineLevel="0" collapsed="false"/>
    <row r="1044189" customFormat="false" ht="12.8" hidden="false" customHeight="false" outlineLevel="0" collapsed="false"/>
    <row r="1044190" customFormat="false" ht="12.8" hidden="false" customHeight="false" outlineLevel="0" collapsed="false"/>
    <row r="1044191" customFormat="false" ht="12.8" hidden="false" customHeight="false" outlineLevel="0" collapsed="false"/>
    <row r="1044192" customFormat="false" ht="12.8" hidden="false" customHeight="false" outlineLevel="0" collapsed="false"/>
    <row r="1044193" customFormat="false" ht="12.8" hidden="false" customHeight="false" outlineLevel="0" collapsed="false"/>
    <row r="1044194" customFormat="false" ht="12.8" hidden="false" customHeight="false" outlineLevel="0" collapsed="false"/>
    <row r="1044195" customFormat="false" ht="12.8" hidden="false" customHeight="false" outlineLevel="0" collapsed="false"/>
    <row r="1044196" customFormat="false" ht="12.8" hidden="false" customHeight="false" outlineLevel="0" collapsed="false"/>
    <row r="1044197" customFormat="false" ht="12.8" hidden="false" customHeight="false" outlineLevel="0" collapsed="false"/>
    <row r="1044198" customFormat="false" ht="12.8" hidden="false" customHeight="false" outlineLevel="0" collapsed="false"/>
    <row r="1044199" customFormat="false" ht="12.8" hidden="false" customHeight="false" outlineLevel="0" collapsed="false"/>
    <row r="1044200" customFormat="false" ht="12.8" hidden="false" customHeight="false" outlineLevel="0" collapsed="false"/>
    <row r="1044201" customFormat="false" ht="12.8" hidden="false" customHeight="false" outlineLevel="0" collapsed="false"/>
    <row r="1044202" customFormat="false" ht="12.8" hidden="false" customHeight="false" outlineLevel="0" collapsed="false"/>
    <row r="1044203" customFormat="false" ht="12.8" hidden="false" customHeight="false" outlineLevel="0" collapsed="false"/>
    <row r="1044204" customFormat="false" ht="12.8" hidden="false" customHeight="false" outlineLevel="0" collapsed="false"/>
    <row r="1044205" customFormat="false" ht="12.8" hidden="false" customHeight="false" outlineLevel="0" collapsed="false"/>
    <row r="1044206" customFormat="false" ht="12.8" hidden="false" customHeight="false" outlineLevel="0" collapsed="false"/>
    <row r="1044207" customFormat="false" ht="12.8" hidden="false" customHeight="false" outlineLevel="0" collapsed="false"/>
    <row r="1044208" customFormat="false" ht="12.8" hidden="false" customHeight="false" outlineLevel="0" collapsed="false"/>
    <row r="1044209" customFormat="false" ht="12.8" hidden="false" customHeight="false" outlineLevel="0" collapsed="false"/>
    <row r="1044210" customFormat="false" ht="12.8" hidden="false" customHeight="false" outlineLevel="0" collapsed="false"/>
    <row r="1044211" customFormat="false" ht="12.8" hidden="false" customHeight="false" outlineLevel="0" collapsed="false"/>
    <row r="1044212" customFormat="false" ht="12.8" hidden="false" customHeight="false" outlineLevel="0" collapsed="false"/>
    <row r="1044213" customFormat="false" ht="12.8" hidden="false" customHeight="false" outlineLevel="0" collapsed="false"/>
    <row r="1044214" customFormat="false" ht="12.8" hidden="false" customHeight="false" outlineLevel="0" collapsed="false"/>
    <row r="1044215" customFormat="false" ht="12.8" hidden="false" customHeight="false" outlineLevel="0" collapsed="false"/>
    <row r="1044216" customFormat="false" ht="12.8" hidden="false" customHeight="false" outlineLevel="0" collapsed="false"/>
    <row r="1044217" customFormat="false" ht="12.8" hidden="false" customHeight="false" outlineLevel="0" collapsed="false"/>
    <row r="1044218" customFormat="false" ht="12.8" hidden="false" customHeight="false" outlineLevel="0" collapsed="false"/>
    <row r="1044219" customFormat="false" ht="12.8" hidden="false" customHeight="false" outlineLevel="0" collapsed="false"/>
    <row r="1044220" customFormat="false" ht="12.8" hidden="false" customHeight="false" outlineLevel="0" collapsed="false"/>
    <row r="1044221" customFormat="false" ht="12.8" hidden="false" customHeight="false" outlineLevel="0" collapsed="false"/>
    <row r="1044222" customFormat="false" ht="12.8" hidden="false" customHeight="false" outlineLevel="0" collapsed="false"/>
    <row r="1044223" customFormat="false" ht="12.8" hidden="false" customHeight="false" outlineLevel="0" collapsed="false"/>
    <row r="1044224" customFormat="false" ht="12.8" hidden="false" customHeight="false" outlineLevel="0" collapsed="false"/>
    <row r="1044225" customFormat="false" ht="12.8" hidden="false" customHeight="false" outlineLevel="0" collapsed="false"/>
    <row r="1044226" customFormat="false" ht="12.8" hidden="false" customHeight="false" outlineLevel="0" collapsed="false"/>
    <row r="1044227" customFormat="false" ht="12.8" hidden="false" customHeight="false" outlineLevel="0" collapsed="false"/>
    <row r="1044228" customFormat="false" ht="12.8" hidden="false" customHeight="false" outlineLevel="0" collapsed="false"/>
    <row r="1044229" customFormat="false" ht="12.8" hidden="false" customHeight="false" outlineLevel="0" collapsed="false"/>
    <row r="1044230" customFormat="false" ht="12.8" hidden="false" customHeight="false" outlineLevel="0" collapsed="false"/>
    <row r="1044231" customFormat="false" ht="12.8" hidden="false" customHeight="false" outlineLevel="0" collapsed="false"/>
    <row r="1044232" customFormat="false" ht="12.8" hidden="false" customHeight="false" outlineLevel="0" collapsed="false"/>
    <row r="1044233" customFormat="false" ht="12.8" hidden="false" customHeight="false" outlineLevel="0" collapsed="false"/>
    <row r="1044234" customFormat="false" ht="12.8" hidden="false" customHeight="false" outlineLevel="0" collapsed="false"/>
    <row r="1044235" customFormat="false" ht="12.8" hidden="false" customHeight="false" outlineLevel="0" collapsed="false"/>
    <row r="1044236" customFormat="false" ht="12.8" hidden="false" customHeight="false" outlineLevel="0" collapsed="false"/>
    <row r="1044237" customFormat="false" ht="12.8" hidden="false" customHeight="false" outlineLevel="0" collapsed="false"/>
    <row r="1044238" customFormat="false" ht="12.8" hidden="false" customHeight="false" outlineLevel="0" collapsed="false"/>
    <row r="1044239" customFormat="false" ht="12.8" hidden="false" customHeight="false" outlineLevel="0" collapsed="false"/>
    <row r="1044240" customFormat="false" ht="12.8" hidden="false" customHeight="false" outlineLevel="0" collapsed="false"/>
    <row r="1044241" customFormat="false" ht="12.8" hidden="false" customHeight="false" outlineLevel="0" collapsed="false"/>
    <row r="1044242" customFormat="false" ht="12.8" hidden="false" customHeight="false" outlineLevel="0" collapsed="false"/>
    <row r="1044243" customFormat="false" ht="12.8" hidden="false" customHeight="false" outlineLevel="0" collapsed="false"/>
    <row r="1044244" customFormat="false" ht="12.8" hidden="false" customHeight="false" outlineLevel="0" collapsed="false"/>
    <row r="1044245" customFormat="false" ht="12.8" hidden="false" customHeight="false" outlineLevel="0" collapsed="false"/>
    <row r="1044246" customFormat="false" ht="12.8" hidden="false" customHeight="false" outlineLevel="0" collapsed="false"/>
    <row r="1044247" customFormat="false" ht="12.8" hidden="false" customHeight="false" outlineLevel="0" collapsed="false"/>
    <row r="1044248" customFormat="false" ht="12.8" hidden="false" customHeight="false" outlineLevel="0" collapsed="false"/>
    <row r="1044249" customFormat="false" ht="12.8" hidden="false" customHeight="false" outlineLevel="0" collapsed="false"/>
    <row r="1044250" customFormat="false" ht="12.8" hidden="false" customHeight="false" outlineLevel="0" collapsed="false"/>
    <row r="1044251" customFormat="false" ht="12.8" hidden="false" customHeight="false" outlineLevel="0" collapsed="false"/>
    <row r="1044252" customFormat="false" ht="12.8" hidden="false" customHeight="false" outlineLevel="0" collapsed="false"/>
    <row r="1044253" customFormat="false" ht="12.8" hidden="false" customHeight="false" outlineLevel="0" collapsed="false"/>
    <row r="1044254" customFormat="false" ht="12.8" hidden="false" customHeight="false" outlineLevel="0" collapsed="false"/>
    <row r="1044255" customFormat="false" ht="12.8" hidden="false" customHeight="false" outlineLevel="0" collapsed="false"/>
    <row r="1044256" customFormat="false" ht="12.8" hidden="false" customHeight="false" outlineLevel="0" collapsed="false"/>
    <row r="1044257" customFormat="false" ht="12.8" hidden="false" customHeight="false" outlineLevel="0" collapsed="false"/>
    <row r="1044258" customFormat="false" ht="12.8" hidden="false" customHeight="false" outlineLevel="0" collapsed="false"/>
    <row r="1044259" customFormat="false" ht="12.8" hidden="false" customHeight="false" outlineLevel="0" collapsed="false"/>
    <row r="1044260" customFormat="false" ht="12.8" hidden="false" customHeight="false" outlineLevel="0" collapsed="false"/>
    <row r="1044261" customFormat="false" ht="12.8" hidden="false" customHeight="false" outlineLevel="0" collapsed="false"/>
    <row r="1044262" customFormat="false" ht="12.8" hidden="false" customHeight="false" outlineLevel="0" collapsed="false"/>
    <row r="1044263" customFormat="false" ht="12.8" hidden="false" customHeight="false" outlineLevel="0" collapsed="false"/>
    <row r="1044264" customFormat="false" ht="12.8" hidden="false" customHeight="false" outlineLevel="0" collapsed="false"/>
    <row r="1044265" customFormat="false" ht="12.8" hidden="false" customHeight="false" outlineLevel="0" collapsed="false"/>
    <row r="1044266" customFormat="false" ht="12.8" hidden="false" customHeight="false" outlineLevel="0" collapsed="false"/>
    <row r="1044267" customFormat="false" ht="12.8" hidden="false" customHeight="false" outlineLevel="0" collapsed="false"/>
    <row r="1044268" customFormat="false" ht="12.8" hidden="false" customHeight="false" outlineLevel="0" collapsed="false"/>
    <row r="1044269" customFormat="false" ht="12.8" hidden="false" customHeight="false" outlineLevel="0" collapsed="false"/>
    <row r="1044270" customFormat="false" ht="12.8" hidden="false" customHeight="false" outlineLevel="0" collapsed="false"/>
    <row r="1044271" customFormat="false" ht="12.8" hidden="false" customHeight="false" outlineLevel="0" collapsed="false"/>
    <row r="1044272" customFormat="false" ht="12.8" hidden="false" customHeight="false" outlineLevel="0" collapsed="false"/>
    <row r="1044273" customFormat="false" ht="12.8" hidden="false" customHeight="false" outlineLevel="0" collapsed="false"/>
    <row r="1044274" customFormat="false" ht="12.8" hidden="false" customHeight="false" outlineLevel="0" collapsed="false"/>
    <row r="1044275" customFormat="false" ht="12.8" hidden="false" customHeight="false" outlineLevel="0" collapsed="false"/>
    <row r="1044276" customFormat="false" ht="12.8" hidden="false" customHeight="false" outlineLevel="0" collapsed="false"/>
    <row r="1044277" customFormat="false" ht="12.8" hidden="false" customHeight="false" outlineLevel="0" collapsed="false"/>
    <row r="1044278" customFormat="false" ht="12.8" hidden="false" customHeight="false" outlineLevel="0" collapsed="false"/>
    <row r="1044279" customFormat="false" ht="12.8" hidden="false" customHeight="false" outlineLevel="0" collapsed="false"/>
    <row r="1044280" customFormat="false" ht="12.8" hidden="false" customHeight="false" outlineLevel="0" collapsed="false"/>
    <row r="1044281" customFormat="false" ht="12.8" hidden="false" customHeight="false" outlineLevel="0" collapsed="false"/>
    <row r="1044282" customFormat="false" ht="12.8" hidden="false" customHeight="false" outlineLevel="0" collapsed="false"/>
    <row r="1044283" customFormat="false" ht="12.8" hidden="false" customHeight="false" outlineLevel="0" collapsed="false"/>
    <row r="1044284" customFormat="false" ht="12.8" hidden="false" customHeight="false" outlineLevel="0" collapsed="false"/>
    <row r="1044285" customFormat="false" ht="12.8" hidden="false" customHeight="false" outlineLevel="0" collapsed="false"/>
    <row r="1044286" customFormat="false" ht="12.8" hidden="false" customHeight="false" outlineLevel="0" collapsed="false"/>
    <row r="1044287" customFormat="false" ht="12.8" hidden="false" customHeight="false" outlineLevel="0" collapsed="false"/>
    <row r="1044288" customFormat="false" ht="12.8" hidden="false" customHeight="false" outlineLevel="0" collapsed="false"/>
    <row r="1044289" customFormat="false" ht="12.8" hidden="false" customHeight="false" outlineLevel="0" collapsed="false"/>
    <row r="1044290" customFormat="false" ht="12.8" hidden="false" customHeight="false" outlineLevel="0" collapsed="false"/>
    <row r="1044291" customFormat="false" ht="12.8" hidden="false" customHeight="false" outlineLevel="0" collapsed="false"/>
    <row r="1044292" customFormat="false" ht="12.8" hidden="false" customHeight="false" outlineLevel="0" collapsed="false"/>
    <row r="1044293" customFormat="false" ht="12.8" hidden="false" customHeight="false" outlineLevel="0" collapsed="false"/>
    <row r="1044294" customFormat="false" ht="12.8" hidden="false" customHeight="false" outlineLevel="0" collapsed="false"/>
    <row r="1044295" customFormat="false" ht="12.8" hidden="false" customHeight="false" outlineLevel="0" collapsed="false"/>
    <row r="1044296" customFormat="false" ht="12.8" hidden="false" customHeight="false" outlineLevel="0" collapsed="false"/>
    <row r="1044297" customFormat="false" ht="12.8" hidden="false" customHeight="false" outlineLevel="0" collapsed="false"/>
    <row r="1044298" customFormat="false" ht="12.8" hidden="false" customHeight="false" outlineLevel="0" collapsed="false"/>
    <row r="1044299" customFormat="false" ht="12.8" hidden="false" customHeight="false" outlineLevel="0" collapsed="false"/>
    <row r="1044300" customFormat="false" ht="12.8" hidden="false" customHeight="false" outlineLevel="0" collapsed="false"/>
    <row r="1044301" customFormat="false" ht="12.8" hidden="false" customHeight="false" outlineLevel="0" collapsed="false"/>
    <row r="1044302" customFormat="false" ht="12.8" hidden="false" customHeight="false" outlineLevel="0" collapsed="false"/>
    <row r="1044303" customFormat="false" ht="12.8" hidden="false" customHeight="false" outlineLevel="0" collapsed="false"/>
    <row r="1044304" customFormat="false" ht="12.8" hidden="false" customHeight="false" outlineLevel="0" collapsed="false"/>
    <row r="1044305" customFormat="false" ht="12.8" hidden="false" customHeight="false" outlineLevel="0" collapsed="false"/>
    <row r="1044306" customFormat="false" ht="12.8" hidden="false" customHeight="false" outlineLevel="0" collapsed="false"/>
    <row r="1044307" customFormat="false" ht="12.8" hidden="false" customHeight="false" outlineLevel="0" collapsed="false"/>
    <row r="1044308" customFormat="false" ht="12.8" hidden="false" customHeight="false" outlineLevel="0" collapsed="false"/>
    <row r="1044309" customFormat="false" ht="12.8" hidden="false" customHeight="false" outlineLevel="0" collapsed="false"/>
    <row r="1044310" customFormat="false" ht="12.8" hidden="false" customHeight="false" outlineLevel="0" collapsed="false"/>
    <row r="1044311" customFormat="false" ht="12.8" hidden="false" customHeight="false" outlineLevel="0" collapsed="false"/>
    <row r="1044312" customFormat="false" ht="12.8" hidden="false" customHeight="false" outlineLevel="0" collapsed="false"/>
    <row r="1044313" customFormat="false" ht="12.8" hidden="false" customHeight="false" outlineLevel="0" collapsed="false"/>
    <row r="1044314" customFormat="false" ht="12.8" hidden="false" customHeight="false" outlineLevel="0" collapsed="false"/>
    <row r="1044315" customFormat="false" ht="12.8" hidden="false" customHeight="false" outlineLevel="0" collapsed="false"/>
    <row r="1044316" customFormat="false" ht="12.8" hidden="false" customHeight="false" outlineLevel="0" collapsed="false"/>
    <row r="1044317" customFormat="false" ht="12.8" hidden="false" customHeight="false" outlineLevel="0" collapsed="false"/>
    <row r="1044318" customFormat="false" ht="12.8" hidden="false" customHeight="false" outlineLevel="0" collapsed="false"/>
    <row r="1044319" customFormat="false" ht="12.8" hidden="false" customHeight="false" outlineLevel="0" collapsed="false"/>
    <row r="1044320" customFormat="false" ht="12.8" hidden="false" customHeight="false" outlineLevel="0" collapsed="false"/>
    <row r="1044321" customFormat="false" ht="12.8" hidden="false" customHeight="false" outlineLevel="0" collapsed="false"/>
    <row r="1044322" customFormat="false" ht="12.8" hidden="false" customHeight="false" outlineLevel="0" collapsed="false"/>
    <row r="1044323" customFormat="false" ht="12.8" hidden="false" customHeight="false" outlineLevel="0" collapsed="false"/>
    <row r="1044324" customFormat="false" ht="12.8" hidden="false" customHeight="false" outlineLevel="0" collapsed="false"/>
    <row r="1044325" customFormat="false" ht="12.8" hidden="false" customHeight="false" outlineLevel="0" collapsed="false"/>
    <row r="1044326" customFormat="false" ht="12.8" hidden="false" customHeight="false" outlineLevel="0" collapsed="false"/>
    <row r="1044327" customFormat="false" ht="12.8" hidden="false" customHeight="false" outlineLevel="0" collapsed="false"/>
    <row r="1044328" customFormat="false" ht="12.8" hidden="false" customHeight="false" outlineLevel="0" collapsed="false"/>
    <row r="1044329" customFormat="false" ht="12.8" hidden="false" customHeight="false" outlineLevel="0" collapsed="false"/>
    <row r="1044330" customFormat="false" ht="12.8" hidden="false" customHeight="false" outlineLevel="0" collapsed="false"/>
    <row r="1044331" customFormat="false" ht="12.8" hidden="false" customHeight="false" outlineLevel="0" collapsed="false"/>
    <row r="1044332" customFormat="false" ht="12.8" hidden="false" customHeight="false" outlineLevel="0" collapsed="false"/>
    <row r="1044333" customFormat="false" ht="12.8" hidden="false" customHeight="false" outlineLevel="0" collapsed="false"/>
    <row r="1044334" customFormat="false" ht="12.8" hidden="false" customHeight="false" outlineLevel="0" collapsed="false"/>
    <row r="1044335" customFormat="false" ht="12.8" hidden="false" customHeight="false" outlineLevel="0" collapsed="false"/>
    <row r="1044336" customFormat="false" ht="12.8" hidden="false" customHeight="false" outlineLevel="0" collapsed="false"/>
    <row r="1044337" customFormat="false" ht="12.8" hidden="false" customHeight="false" outlineLevel="0" collapsed="false"/>
    <row r="1044338" customFormat="false" ht="12.8" hidden="false" customHeight="false" outlineLevel="0" collapsed="false"/>
    <row r="1044339" customFormat="false" ht="12.8" hidden="false" customHeight="false" outlineLevel="0" collapsed="false"/>
    <row r="1044340" customFormat="false" ht="12.8" hidden="false" customHeight="false" outlineLevel="0" collapsed="false"/>
    <row r="1044341" customFormat="false" ht="12.8" hidden="false" customHeight="false" outlineLevel="0" collapsed="false"/>
    <row r="1044342" customFormat="false" ht="12.8" hidden="false" customHeight="false" outlineLevel="0" collapsed="false"/>
    <row r="1044343" customFormat="false" ht="12.8" hidden="false" customHeight="false" outlineLevel="0" collapsed="false"/>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436"/>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38</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2023-07-10T14:16:17Z</dcterms:created>
  <dc:creator>Kalbsmaster 5000</dc:creator>
  <dc:description/>
  <dc:language>en-US</dc:language>
  <cp:lastModifiedBy/>
  <dcterms:modified xsi:type="dcterms:W3CDTF">2025-11-14T18:54:49Z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