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annotation!$A$1:$L$1278</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<sst xmlns="http://schemas.openxmlformats.org/spreadsheetml/2006/main" count="2780" uniqueCount="562">
  <si>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</si>
  <si>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</si>
  <si>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</si>
  <si>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</si>
  <si>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</si>
  <si>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</si>
  <si>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</si>
  <si>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</si>
  <si>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</si>
  <si>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</si>
  <si>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</si>
  <si>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</si>
  <si>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Now when the day of Pentecost had come, they were all with one accord in one place.</t>
  </si>
  <si>
    <t xml:space="preserve">Now</t>
  </si>
  <si>
    <t xml:space="preserve">when</t>
  </si>
  <si>
    <t xml:space="preserve">the</t>
  </si>
  <si>
    <t xml:space="preserve">day</t>
  </si>
  <si>
    <t xml:space="preserve">SBJ_2</t>
  </si>
  <si>
    <t xml:space="preserve">def-np.the</t>
  </si>
  <si>
    <t xml:space="preserve">?OLD</t>
  </si>
  <si>
    <t xml:space="preserve">Day_of_Pentecost</t>
  </si>
  <si>
    <t xml:space="preserve">REFERENTIAL</t>
  </si>
  <si>
    <t xml:space="preserve">of</t>
  </si>
  <si>
    <t xml:space="preserve">Pentecost</t>
  </si>
  <si>
    <t xml:space="preserve">other_3</t>
  </si>
  <si>
    <t xml:space="preserve">indef-np.bare</t>
  </si>
  <si>
    <t xml:space="preserve">had</t>
  </si>
  <si>
    <t xml:space="preserve">come</t>
  </si>
  <si>
    <t xml:space="preserve">,</t>
  </si>
  <si>
    <t xml:space="preserve">they</t>
  </si>
  <si>
    <t xml:space="preserve">SBJ</t>
  </si>
  <si>
    <t xml:space="preserve">pron.pper</t>
  </si>
  <si>
    <t xml:space="preserve">Apostles</t>
  </si>
  <si>
    <t xml:space="preserve">ACTIVATED</t>
  </si>
  <si>
    <t xml:space="preserve">from preceeding chapter</t>
  </si>
  <si>
    <t xml:space="preserve">were</t>
  </si>
  <si>
    <t xml:space="preserve">all</t>
  </si>
  <si>
    <t xml:space="preserve">with</t>
  </si>
  <si>
    <t xml:space="preserve">one</t>
  </si>
  <si>
    <t xml:space="preserve">accord</t>
  </si>
  <si>
    <t xml:space="preserve">other</t>
  </si>
  <si>
    <t xml:space="preserve">indef-np.quant</t>
  </si>
  <si>
    <t xml:space="preserve">in</t>
  </si>
  <si>
    <t xml:space="preserve">place</t>
  </si>
  <si>
    <t xml:space="preserve">.</t>
  </si>
  <si>
    <t xml:space="preserve"># text = Suddenly there came from the sky a sound like the rushing of a mighty wind, and it filled all the house where they were sitting.</t>
  </si>
  <si>
    <t xml:space="preserve">Suddenly</t>
  </si>
  <si>
    <t xml:space="preserve">there</t>
  </si>
  <si>
    <t xml:space="preserve">came</t>
  </si>
  <si>
    <t xml:space="preserve">from</t>
  </si>
  <si>
    <t xml:space="preserve">sky</t>
  </si>
  <si>
    <t xml:space="preserve">Sky</t>
  </si>
  <si>
    <t xml:space="preserve">FAMILIAR</t>
  </si>
  <si>
    <t xml:space="preserve">a</t>
  </si>
  <si>
    <t xml:space="preserve">sound</t>
  </si>
  <si>
    <t xml:space="preserve">OBJ_2</t>
  </si>
  <si>
    <t xml:space="preserve">indef-np.a</t>
  </si>
  <si>
    <t xml:space="preserve">like</t>
  </si>
  <si>
    <t xml:space="preserve">rushing</t>
  </si>
  <si>
    <t xml:space="preserve">Rushing_of_mighty_wind</t>
  </si>
  <si>
    <t xml:space="preserve">mighty</t>
  </si>
  <si>
    <t xml:space="preserve">wind</t>
  </si>
  <si>
    <t xml:space="preserve">other_4</t>
  </si>
  <si>
    <t xml:space="preserve">and</t>
  </si>
  <si>
    <t xml:space="preserve">it</t>
  </si>
  <si>
    <t xml:space="preserve">IN_FOCUS</t>
  </si>
  <si>
    <t xml:space="preserve">filled</t>
  </si>
  <si>
    <t xml:space="preserve">house</t>
  </si>
  <si>
    <t xml:space="preserve">House</t>
  </si>
  <si>
    <t xml:space="preserve">where</t>
  </si>
  <si>
    <t xml:space="preserve">SBJ_4</t>
  </si>
  <si>
    <t xml:space="preserve">sitting</t>
  </si>
  <si>
    <t xml:space="preserve"># text = Tongues like fire appeared and were distributed to them, and one sat on each of them.</t>
  </si>
  <si>
    <t xml:space="preserve">Tongues</t>
  </si>
  <si>
    <t xml:space="preserve">fire</t>
  </si>
  <si>
    <t xml:space="preserve">other_2</t>
  </si>
  <si>
    <t xml:space="preserve">appeared</t>
  </si>
  <si>
    <t xml:space="preserve">distributed</t>
  </si>
  <si>
    <t xml:space="preserve">to</t>
  </si>
  <si>
    <t xml:space="preserve">them</t>
  </si>
  <si>
    <t xml:space="preserve">sat</t>
  </si>
  <si>
    <t xml:space="preserve">on</t>
  </si>
  <si>
    <t xml:space="preserve">each</t>
  </si>
  <si>
    <t xml:space="preserve">def-np.poss</t>
  </si>
  <si>
    <t xml:space="preserve">Each</t>
  </si>
  <si>
    <t xml:space="preserve"># text = They were all filled with the Holy Spirit, and began to speak with other languages, as the Spirit gave them the ability to speak.</t>
  </si>
  <si>
    <t xml:space="preserve">They</t>
  </si>
  <si>
    <t xml:space="preserve">Holy</t>
  </si>
  <si>
    <t xml:space="preserve">Spirit</t>
  </si>
  <si>
    <t xml:space="preserve">Holy_Spirit</t>
  </si>
  <si>
    <t xml:space="preserve">began</t>
  </si>
  <si>
    <t xml:space="preserve">speak</t>
  </si>
  <si>
    <t xml:space="preserve">languages</t>
  </si>
  <si>
    <t xml:space="preserve">as</t>
  </si>
  <si>
    <t xml:space="preserve">SBJ_3</t>
  </si>
  <si>
    <t xml:space="preserve">gave</t>
  </si>
  <si>
    <t xml:space="preserve">OBJ_3</t>
  </si>
  <si>
    <t xml:space="preserve">ability</t>
  </si>
  <si>
    <t xml:space="preserve">Ability_to_speak</t>
  </si>
  <si>
    <t xml:space="preserve"># text = Now there were dwelling in Jerusalem Jews, devout men, from every nation under the sky.</t>
  </si>
  <si>
    <t xml:space="preserve">dwelling</t>
  </si>
  <si>
    <t xml:space="preserve">Jerusalem</t>
  </si>
  <si>
    <t xml:space="preserve">Jews</t>
  </si>
  <si>
    <t xml:space="preserve">ne</t>
  </si>
  <si>
    <t xml:space="preserve">Jerusalem_Jews</t>
  </si>
  <si>
    <t xml:space="preserve">devout</t>
  </si>
  <si>
    <t xml:space="preserve">men</t>
  </si>
  <si>
    <t xml:space="preserve">every</t>
  </si>
  <si>
    <t xml:space="preserve">nation</t>
  </si>
  <si>
    <t xml:space="preserve">indef-np</t>
  </si>
  <si>
    <t xml:space="preserve">under</t>
  </si>
  <si>
    <t xml:space="preserve"># text = When this sound was heard, the multitude came together, and were bewildered, because everyone heard them speaking in his own language.</t>
  </si>
  <si>
    <t xml:space="preserve">When</t>
  </si>
  <si>
    <t xml:space="preserve">this</t>
  </si>
  <si>
    <t xml:space="preserve">def-np.dem</t>
  </si>
  <si>
    <t xml:space="preserve">devout_men_speaking</t>
  </si>
  <si>
    <t xml:space="preserve">was</t>
  </si>
  <si>
    <t xml:space="preserve">heard</t>
  </si>
  <si>
    <t xml:space="preserve">multitude</t>
  </si>
  <si>
    <t xml:space="preserve">Devout_men</t>
  </si>
  <si>
    <t xml:space="preserve">together</t>
  </si>
  <si>
    <t xml:space="preserve">bewildered</t>
  </si>
  <si>
    <t xml:space="preserve">because</t>
  </si>
  <si>
    <t xml:space="preserve">everyone</t>
  </si>
  <si>
    <t xml:space="preserve">pron.pind</t>
  </si>
  <si>
    <t xml:space="preserve">speaking</t>
  </si>
  <si>
    <t xml:space="preserve">his</t>
  </si>
  <si>
    <t xml:space="preserve">other_5</t>
  </si>
  <si>
    <t xml:space="preserve">pron.ppos</t>
  </si>
  <si>
    <t xml:space="preserve">own</t>
  </si>
  <si>
    <t xml:space="preserve">language</t>
  </si>
  <si>
    <t xml:space="preserve">Own_Language</t>
  </si>
  <si>
    <t xml:space="preserve">--</t>
  </si>
  <si>
    <t xml:space="preserve"># text = They were all amazed and marveled, saying to one another, \"Behold, aren't all these who speak Galileans?</t>
  </si>
  <si>
    <t xml:space="preserve">amazed</t>
  </si>
  <si>
    <t xml:space="preserve">marveled</t>
  </si>
  <si>
    <t xml:space="preserve">saying</t>
  </si>
  <si>
    <t xml:space="preserve">another</t>
  </si>
  <si>
    <t xml:space="preserve">&amp;quot;</t>
  </si>
  <si>
    <t xml:space="preserve">Behold</t>
  </si>
  <si>
    <t xml:space="preserve">are</t>
  </si>
  <si>
    <t xml:space="preserve">n't</t>
  </si>
  <si>
    <t xml:space="preserve">these</t>
  </si>
  <si>
    <t xml:space="preserve">who</t>
  </si>
  <si>
    <t xml:space="preserve">Galileans</t>
  </si>
  <si>
    <t xml:space="preserve">OBJ_4</t>
  </si>
  <si>
    <t xml:space="preserve">?</t>
  </si>
  <si>
    <t xml:space="preserve"># text = How do we hear, everyone in our own native language?</t>
  </si>
  <si>
    <t xml:space="preserve">How</t>
  </si>
  <si>
    <t xml:space="preserve">do</t>
  </si>
  <si>
    <t xml:space="preserve">we</t>
  </si>
  <si>
    <t xml:space="preserve">hear</t>
  </si>
  <si>
    <t xml:space="preserve">OBJ</t>
  </si>
  <si>
    <t xml:space="preserve">our</t>
  </si>
  <si>
    <t xml:space="preserve">native</t>
  </si>
  <si>
    <t xml:space="preserve">Native_Language</t>
  </si>
  <si>
    <t xml:space="preserve">NEW</t>
  </si>
  <si>
    <t xml:space="preserve"># text = Parthians, Medes, Elamites, and people from Mesopotamia, Judea, Cappadocia, Pontus, Asia, Phrygia, Pamphylia, Egypt, the parts of Libya around Cyrene, visitors from Rome, both Jews and proselytes, Cretans and Arabians: we hear them speaking in our languages the mighty works of God!"</t>
  </si>
  <si>
    <t xml:space="preserve">Parthians</t>
  </si>
  <si>
    <t xml:space="preserve">Medes</t>
  </si>
  <si>
    <t xml:space="preserve">Elamites</t>
  </si>
  <si>
    <t xml:space="preserve">people</t>
  </si>
  <si>
    <t xml:space="preserve">Mesopotamia</t>
  </si>
  <si>
    <t xml:space="preserve">Judea</t>
  </si>
  <si>
    <t xml:space="preserve">Cappadocia</t>
  </si>
  <si>
    <t xml:space="preserve">Pontus</t>
  </si>
  <si>
    <t xml:space="preserve">Asia</t>
  </si>
  <si>
    <t xml:space="preserve">Phrygia</t>
  </si>
  <si>
    <t xml:space="preserve">Pamphylia</t>
  </si>
  <si>
    <t xml:space="preserve">Egypt</t>
  </si>
  <si>
    <t xml:space="preserve">parts</t>
  </si>
  <si>
    <t xml:space="preserve">Parts_of_Lybia_around_Cyrene</t>
  </si>
  <si>
    <t xml:space="preserve">Libya</t>
  </si>
  <si>
    <t xml:space="preserve">around</t>
  </si>
  <si>
    <t xml:space="preserve">Cyrene</t>
  </si>
  <si>
    <t xml:space="preserve">other_6</t>
  </si>
  <si>
    <t xml:space="preserve">visitors</t>
  </si>
  <si>
    <t xml:space="preserve">Rome</t>
  </si>
  <si>
    <t xml:space="preserve">both</t>
  </si>
  <si>
    <t xml:space="preserve">proselytes</t>
  </si>
  <si>
    <t xml:space="preserve">Cretans</t>
  </si>
  <si>
    <t xml:space="preserve">Arabians</t>
  </si>
  <si>
    <t xml:space="preserve">:</t>
  </si>
  <si>
    <t xml:space="preserve">Parthians, Medes, Elamites, and people from Mesopotamia, Judea, Cappadocia, Pontus, Asia, Phrygia, Pamphylia, Egypt, the parts of Libya around Cyrene, visitors from Rome, both Jews and proselytes, Cretans and Arabians</t>
  </si>
  <si>
    <t xml:space="preserve">Language</t>
  </si>
  <si>
    <t xml:space="preserve">works</t>
  </si>
  <si>
    <t xml:space="preserve">Hearing everyone speaking in the native language</t>
  </si>
  <si>
    <t xml:space="preserve">God</t>
  </si>
  <si>
    <t xml:space="preserve">!</t>
  </si>
  <si>
    <t xml:space="preserve"># text = They were all amazed, and were perplexed, saying one to another, \"What does this mean?\"</t>
  </si>
  <si>
    <t xml:space="preserve">perplexed</t>
  </si>
  <si>
    <t xml:space="preserve">What</t>
  </si>
  <si>
    <t xml:space="preserve">pron.pint</t>
  </si>
  <si>
    <t xml:space="preserve">does</t>
  </si>
  <si>
    <t xml:space="preserve">pron.pds</t>
  </si>
  <si>
    <t xml:space="preserve">Speaking and understanding all other languages</t>
  </si>
  <si>
    <t xml:space="preserve">mean</t>
  </si>
  <si>
    <t xml:space="preserve"># text = Others, mocking, said, \"They are filled with new wine.\"</t>
  </si>
  <si>
    <t xml:space="preserve">Others</t>
  </si>
  <si>
    <t xml:space="preserve">mocking</t>
  </si>
  <si>
    <t xml:space="preserve">said</t>
  </si>
  <si>
    <t xml:space="preserve">new</t>
  </si>
  <si>
    <t xml:space="preserve">wine</t>
  </si>
  <si>
    <t xml:space="preserve"># text = But Peter, standing up with the eleven, lifted up his voice, and spoke out to them, "You men of Judea, and all you who dwell at Jerusalem, let this be known to you, and listen to my words.</t>
  </si>
  <si>
    <t xml:space="preserve">But</t>
  </si>
  <si>
    <t xml:space="preserve">Peter</t>
  </si>
  <si>
    <t xml:space="preserve">standing</t>
  </si>
  <si>
    <t xml:space="preserve">up</t>
  </si>
  <si>
    <t xml:space="preserve">eleven</t>
  </si>
  <si>
    <t xml:space="preserve">lifted</t>
  </si>
  <si>
    <t xml:space="preserve">voice</t>
  </si>
  <si>
    <t xml:space="preserve">Peters_Voice</t>
  </si>
  <si>
    <t xml:space="preserve">spoke</t>
  </si>
  <si>
    <t xml:space="preserve">out</t>
  </si>
  <si>
    <t xml:space="preserve">You</t>
  </si>
  <si>
    <t xml:space="preserve">Men_of_Judea</t>
  </si>
  <si>
    <t xml:space="preserve">you</t>
  </si>
  <si>
    <t xml:space="preserve">SBJ_5</t>
  </si>
  <si>
    <t xml:space="preserve">SBJ_7</t>
  </si>
  <si>
    <t xml:space="preserve">dwell</t>
  </si>
  <si>
    <t xml:space="preserve">at</t>
  </si>
  <si>
    <t xml:space="preserve">other_7</t>
  </si>
  <si>
    <t xml:space="preserve">let</t>
  </si>
  <si>
    <t xml:space="preserve">SBJ_6</t>
  </si>
  <si>
    <t xml:space="preserve">EXPL</t>
  </si>
  <si>
    <t xml:space="preserve">be</t>
  </si>
  <si>
    <t xml:space="preserve">known</t>
  </si>
  <si>
    <t xml:space="preserve">listen</t>
  </si>
  <si>
    <t xml:space="preserve">my</t>
  </si>
  <si>
    <t xml:space="preserve">words</t>
  </si>
  <si>
    <t xml:space="preserve">Peters_Words</t>
  </si>
  <si>
    <t xml:space="preserve"># text = For these aren't drunken, as you suppose, seeing it is only the third hour of the day.</t>
  </si>
  <si>
    <t xml:space="preserve">For</t>
  </si>
  <si>
    <t xml:space="preserve">drunken</t>
  </si>
  <si>
    <t xml:space="preserve">suppose</t>
  </si>
  <si>
    <t xml:space="preserve">seeing</t>
  </si>
  <si>
    <t xml:space="preserve">is</t>
  </si>
  <si>
    <t xml:space="preserve">only</t>
  </si>
  <si>
    <t xml:space="preserve">third</t>
  </si>
  <si>
    <t xml:space="preserve">hour</t>
  </si>
  <si>
    <t xml:space="preserve">Third_hour</t>
  </si>
  <si>
    <t xml:space="preserve">Day</t>
  </si>
  <si>
    <t xml:space="preserve"># text = But this is what has been spoken through the prophet Joel:</t>
  </si>
  <si>
    <t xml:space="preserve">what</t>
  </si>
  <si>
    <t xml:space="preserve">has</t>
  </si>
  <si>
    <t xml:space="preserve">been</t>
  </si>
  <si>
    <t xml:space="preserve">spoken</t>
  </si>
  <si>
    <t xml:space="preserve">through</t>
  </si>
  <si>
    <t xml:space="preserve">prophet</t>
  </si>
  <si>
    <t xml:space="preserve">Joel</t>
  </si>
  <si>
    <t xml:space="preserve"># text = 'It will be in the last days, says God, that I will pour out my Spirit on all flesh.</t>
  </si>
  <si>
    <t xml:space="preserve">'</t>
  </si>
  <si>
    <t xml:space="preserve">It</t>
  </si>
  <si>
    <t xml:space="preserve">will</t>
  </si>
  <si>
    <t xml:space="preserve">last</t>
  </si>
  <si>
    <t xml:space="preserve">days</t>
  </si>
  <si>
    <t xml:space="preserve">Last_days</t>
  </si>
  <si>
    <t xml:space="preserve">says</t>
  </si>
  <si>
    <t xml:space="preserve">that</t>
  </si>
  <si>
    <t xml:space="preserve">I</t>
  </si>
  <si>
    <t xml:space="preserve">pour</t>
  </si>
  <si>
    <t xml:space="preserve">flesh</t>
  </si>
  <si>
    <t xml:space="preserve"># text = Your sons and your daughters will prophesy.</t>
  </si>
  <si>
    <t xml:space="preserve">Your</t>
  </si>
  <si>
    <t xml:space="preserve">sons</t>
  </si>
  <si>
    <t xml:space="preserve">Men_of_Judea_sons</t>
  </si>
  <si>
    <t xml:space="preserve">your</t>
  </si>
  <si>
    <t xml:space="preserve">daughters</t>
  </si>
  <si>
    <t xml:space="preserve">Men_of_Judea_daughters</t>
  </si>
  <si>
    <t xml:space="preserve">prophesy</t>
  </si>
  <si>
    <t xml:space="preserve"># text = Your young men will see visions.</t>
  </si>
  <si>
    <t xml:space="preserve">young</t>
  </si>
  <si>
    <t xml:space="preserve">Men_of_Judea_young_men</t>
  </si>
  <si>
    <t xml:space="preserve">see</t>
  </si>
  <si>
    <t xml:space="preserve">visions</t>
  </si>
  <si>
    <t xml:space="preserve"># text = Your old men will dream dreams.</t>
  </si>
  <si>
    <t xml:space="preserve">old</t>
  </si>
  <si>
    <t xml:space="preserve">Men_of_Judea_old_men</t>
  </si>
  <si>
    <t xml:space="preserve">dream</t>
  </si>
  <si>
    <t xml:space="preserve">dreams</t>
  </si>
  <si>
    <t xml:space="preserve"># text = Yes, and on my servants and on my handmaidens in those days, I will pour out my Spirit, and they will prophesy.</t>
  </si>
  <si>
    <t xml:space="preserve">Yes</t>
  </si>
  <si>
    <t xml:space="preserve">servants</t>
  </si>
  <si>
    <t xml:space="preserve">God_servants</t>
  </si>
  <si>
    <t xml:space="preserve">handmaidens</t>
  </si>
  <si>
    <t xml:space="preserve">God_handmaidens</t>
  </si>
  <si>
    <t xml:space="preserve">those</t>
  </si>
  <si>
    <t xml:space="preserve">Those_days</t>
  </si>
  <si>
    <t xml:space="preserve">Gods_servants_and_handmaidens</t>
  </si>
  <si>
    <t xml:space="preserve"># text = I will show wonders in the sky above, and signs on the earth beneath; blood, and fire, and billows of smoke.</t>
  </si>
  <si>
    <t xml:space="preserve">show</t>
  </si>
  <si>
    <t xml:space="preserve">wonders</t>
  </si>
  <si>
    <t xml:space="preserve">above</t>
  </si>
  <si>
    <t xml:space="preserve">signs</t>
  </si>
  <si>
    <t xml:space="preserve">earth</t>
  </si>
  <si>
    <t xml:space="preserve">beneath</t>
  </si>
  <si>
    <t xml:space="preserve">Earth</t>
  </si>
  <si>
    <t xml:space="preserve">;</t>
  </si>
  <si>
    <t xml:space="preserve">blood</t>
  </si>
  <si>
    <t xml:space="preserve">billows</t>
  </si>
  <si>
    <t xml:space="preserve">smoke</t>
  </si>
  <si>
    <t xml:space="preserve"># text = The sun will be turned into darkness, and the moon into blood, before the great and glorious day of the Lord comes.</t>
  </si>
  <si>
    <t xml:space="preserve">The</t>
  </si>
  <si>
    <t xml:space="preserve">sun</t>
  </si>
  <si>
    <t xml:space="preserve">Sun</t>
  </si>
  <si>
    <t xml:space="preserve">turned</t>
  </si>
  <si>
    <t xml:space="preserve">into</t>
  </si>
  <si>
    <t xml:space="preserve">darkness</t>
  </si>
  <si>
    <t xml:space="preserve">moon</t>
  </si>
  <si>
    <t xml:space="preserve">Moon</t>
  </si>
  <si>
    <t xml:space="preserve">before</t>
  </si>
  <si>
    <t xml:space="preserve">great</t>
  </si>
  <si>
    <t xml:space="preserve">glorious</t>
  </si>
  <si>
    <t xml:space="preserve">Glorious_day</t>
  </si>
  <si>
    <t xml:space="preserve">Lord</t>
  </si>
  <si>
    <t xml:space="preserve">comes</t>
  </si>
  <si>
    <t xml:space="preserve"># text = It will be, that whoever will call on the name of the Lord will be saved.'</t>
  </si>
  <si>
    <t xml:space="preserve">whoever</t>
  </si>
  <si>
    <t xml:space="preserve">call</t>
  </si>
  <si>
    <t xml:space="preserve">name</t>
  </si>
  <si>
    <t xml:space="preserve">Name</t>
  </si>
  <si>
    <t xml:space="preserve">saved</t>
  </si>
  <si>
    <t xml:space="preserve"># text = \"Men of Israel, hear these words!</t>
  </si>
  <si>
    <t xml:space="preserve">Men</t>
  </si>
  <si>
    <t xml:space="preserve">Men_of_Israel</t>
  </si>
  <si>
    <t xml:space="preserve">Israel</t>
  </si>
  <si>
    <t xml:space="preserve"># text = Jesus of Nazareth, a man approved by God to you by mighty works and wonders and signs which God did by him in the midst of you, even as you yourselves know, him, being delivered up by the determined counsel and foreknowledge of God, you have taken by the hand of lawless men, crucified and killed; whom God raised up, having freed him from the agony of death, because it was not possible that he should be held by it.</t>
  </si>
  <si>
    <t xml:space="preserve">Jesus</t>
  </si>
  <si>
    <t xml:space="preserve">Nazareth</t>
  </si>
  <si>
    <t xml:space="preserve">man</t>
  </si>
  <si>
    <t xml:space="preserve">approved</t>
  </si>
  <si>
    <t xml:space="preserve">by</t>
  </si>
  <si>
    <t xml:space="preserve">which</t>
  </si>
  <si>
    <t xml:space="preserve">did</t>
  </si>
  <si>
    <t xml:space="preserve">him</t>
  </si>
  <si>
    <t xml:space="preserve">midst</t>
  </si>
  <si>
    <t xml:space="preserve">Midst</t>
  </si>
  <si>
    <t xml:space="preserve">even</t>
  </si>
  <si>
    <t xml:space="preserve">yourselves</t>
  </si>
  <si>
    <t xml:space="preserve">know</t>
  </si>
  <si>
    <t xml:space="preserve">being</t>
  </si>
  <si>
    <t xml:space="preserve">delivered</t>
  </si>
  <si>
    <t xml:space="preserve">determined</t>
  </si>
  <si>
    <t xml:space="preserve">counsel</t>
  </si>
  <si>
    <t xml:space="preserve">Counsel</t>
  </si>
  <si>
    <t xml:space="preserve">foreknowledge</t>
  </si>
  <si>
    <t xml:space="preserve">have</t>
  </si>
  <si>
    <t xml:space="preserve">taken</t>
  </si>
  <si>
    <t xml:space="preserve">hand</t>
  </si>
  <si>
    <t xml:space="preserve">Hand_of_lawless_men</t>
  </si>
  <si>
    <t xml:space="preserve">lawless</t>
  </si>
  <si>
    <t xml:space="preserve">crucified</t>
  </si>
  <si>
    <t xml:space="preserve">killed</t>
  </si>
  <si>
    <t xml:space="preserve">whom</t>
  </si>
  <si>
    <t xml:space="preserve">raised</t>
  </si>
  <si>
    <t xml:space="preserve">having</t>
  </si>
  <si>
    <t xml:space="preserve">freed</t>
  </si>
  <si>
    <t xml:space="preserve">agony</t>
  </si>
  <si>
    <t xml:space="preserve">Agony</t>
  </si>
  <si>
    <t xml:space="preserve">death</t>
  </si>
  <si>
    <t xml:space="preserve">not</t>
  </si>
  <si>
    <t xml:space="preserve">possible</t>
  </si>
  <si>
    <t xml:space="preserve">he</t>
  </si>
  <si>
    <t xml:space="preserve">should</t>
  </si>
  <si>
    <t xml:space="preserve">held</t>
  </si>
  <si>
    <t xml:space="preserve">Death</t>
  </si>
  <si>
    <t xml:space="preserve"># text = For David says concerning him, 'I saw the Lord always before my face, For he is on my right hand, that I should not be moved.</t>
  </si>
  <si>
    <t xml:space="preserve">David</t>
  </si>
  <si>
    <t xml:space="preserve">concerning</t>
  </si>
  <si>
    <t xml:space="preserve">CB </t>
  </si>
  <si>
    <t xml:space="preserve">'I</t>
  </si>
  <si>
    <t xml:space="preserve">saw</t>
  </si>
  <si>
    <t xml:space="preserve">always</t>
  </si>
  <si>
    <t xml:space="preserve">face</t>
  </si>
  <si>
    <t xml:space="preserve">David_face</t>
  </si>
  <si>
    <t xml:space="preserve">right</t>
  </si>
  <si>
    <t xml:space="preserve">David_hand</t>
  </si>
  <si>
    <t xml:space="preserve">moved</t>
  </si>
  <si>
    <t xml:space="preserve"># text = Therefore my heart was glad, and my tongue rejoiced.</t>
  </si>
  <si>
    <t xml:space="preserve">Therefore</t>
  </si>
  <si>
    <t xml:space="preserve">heart</t>
  </si>
  <si>
    <t xml:space="preserve">David_heart</t>
  </si>
  <si>
    <t xml:space="preserve">glad</t>
  </si>
  <si>
    <t xml:space="preserve">tongue</t>
  </si>
  <si>
    <t xml:space="preserve">David_tongue</t>
  </si>
  <si>
    <t xml:space="preserve">rejoiced</t>
  </si>
  <si>
    <t xml:space="preserve"># text = Moreover my flesh also will dwell in hope; because you will not leave my soul in Hades, neither will you allow your Holy</t>
  </si>
  <si>
    <t xml:space="preserve">Moreover</t>
  </si>
  <si>
    <t xml:space="preserve">David_flesh</t>
  </si>
  <si>
    <t xml:space="preserve">also</t>
  </si>
  <si>
    <t xml:space="preserve">hope</t>
  </si>
  <si>
    <t xml:space="preserve">leave</t>
  </si>
  <si>
    <t xml:space="preserve">soul</t>
  </si>
  <si>
    <t xml:space="preserve">David_soul</t>
  </si>
  <si>
    <t xml:space="preserve">Hades</t>
  </si>
  <si>
    <t xml:space="preserve">neither</t>
  </si>
  <si>
    <t xml:space="preserve">allow</t>
  </si>
  <si>
    <t xml:space="preserve"># text = One to see decay.</t>
  </si>
  <si>
    <t xml:space="preserve">One</t>
  </si>
  <si>
    <t xml:space="preserve">decay</t>
  </si>
  <si>
    <t xml:space="preserve"># text = You made known to me the ways of life.</t>
  </si>
  <si>
    <t xml:space="preserve">made</t>
  </si>
  <si>
    <t xml:space="preserve">me</t>
  </si>
  <si>
    <t xml:space="preserve">ways</t>
  </si>
  <si>
    <t xml:space="preserve">Ways_of_life</t>
  </si>
  <si>
    <t xml:space="preserve">life</t>
  </si>
  <si>
    <t xml:space="preserve"># text = You will make me full of gladness with your presence.'</t>
  </si>
  <si>
    <t xml:space="preserve">make</t>
  </si>
  <si>
    <t xml:space="preserve">full</t>
  </si>
  <si>
    <t xml:space="preserve">gladness</t>
  </si>
  <si>
    <t xml:space="preserve">presence</t>
  </si>
  <si>
    <t xml:space="preserve">God_presence</t>
  </si>
  <si>
    <t xml:space="preserve"># text = "Brothers, I may tell you freely of the patriarch David, that he both died and was buried, and his tomb is with us to this day.</t>
  </si>
  <si>
    <t xml:space="preserve">Brothers</t>
  </si>
  <si>
    <t xml:space="preserve">may</t>
  </si>
  <si>
    <t xml:space="preserve">tell</t>
  </si>
  <si>
    <t xml:space="preserve">freely</t>
  </si>
  <si>
    <t xml:space="preserve">patriarch</t>
  </si>
  <si>
    <t xml:space="preserve">died</t>
  </si>
  <si>
    <t xml:space="preserve">buried</t>
  </si>
  <si>
    <t xml:space="preserve">tomb</t>
  </si>
  <si>
    <t xml:space="preserve">David_tomb</t>
  </si>
  <si>
    <t xml:space="preserve">us</t>
  </si>
  <si>
    <t xml:space="preserve"># text = Therefore, being a prophet, and knowing that God had sworn with an oath to him that of the fruit of his body, according to the flesh, he would raise up the Christ to sit on his throne, he foreseeing this spoke about the resurrection of the Christ, that neither was his soul left in Hades, nor did his flesh see decay.</t>
  </si>
  <si>
    <t xml:space="preserve">knowing</t>
  </si>
  <si>
    <t xml:space="preserve">sworn</t>
  </si>
  <si>
    <t xml:space="preserve">an</t>
  </si>
  <si>
    <t xml:space="preserve">oath</t>
  </si>
  <si>
    <t xml:space="preserve">fruit</t>
  </si>
  <si>
    <t xml:space="preserve">Fruit</t>
  </si>
  <si>
    <t xml:space="preserve">body</t>
  </si>
  <si>
    <t xml:space="preserve">David_body</t>
  </si>
  <si>
    <t xml:space="preserve">according</t>
  </si>
  <si>
    <t xml:space="preserve">would</t>
  </si>
  <si>
    <t xml:space="preserve">raise</t>
  </si>
  <si>
    <t xml:space="preserve">Christ</t>
  </si>
  <si>
    <t xml:space="preserve">sit</t>
  </si>
  <si>
    <t xml:space="preserve">throne</t>
  </si>
  <si>
    <t xml:space="preserve">Jesus_throne</t>
  </si>
  <si>
    <t xml:space="preserve">foreseeing</t>
  </si>
  <si>
    <t xml:space="preserve">Resurrection</t>
  </si>
  <si>
    <t xml:space="preserve">about</t>
  </si>
  <si>
    <t xml:space="preserve">resurrection</t>
  </si>
  <si>
    <t xml:space="preserve">left</t>
  </si>
  <si>
    <t xml:space="preserve">nor</t>
  </si>
  <si>
    <t xml:space="preserve">Decay</t>
  </si>
  <si>
    <t xml:space="preserve"># text = This Jesus God raised up, to which we all are witnesses.</t>
  </si>
  <si>
    <t xml:space="preserve">This</t>
  </si>
  <si>
    <t xml:space="preserve">witnesses</t>
  </si>
  <si>
    <t xml:space="preserve"># text = Being therefore exalted by the right hand of God, and having received from the Father the promise of the Holy Spirit, he has poured out this, which you now see and hear.</t>
  </si>
  <si>
    <t xml:space="preserve">Being</t>
  </si>
  <si>
    <t xml:space="preserve">therefore</t>
  </si>
  <si>
    <t xml:space="preserve">exalted</t>
  </si>
  <si>
    <t xml:space="preserve">received</t>
  </si>
  <si>
    <t xml:space="preserve">Father</t>
  </si>
  <si>
    <t xml:space="preserve">promise</t>
  </si>
  <si>
    <t xml:space="preserve">Promise</t>
  </si>
  <si>
    <t xml:space="preserve">poured</t>
  </si>
  <si>
    <t xml:space="preserve">now</t>
  </si>
  <si>
    <t xml:space="preserve"># text = For David didn't ascend into the heavens, but he says himself, 'The Lord said to my Lord, "Sit by my right hand, until I make your enemies a footstool for your feet."'</t>
  </si>
  <si>
    <t xml:space="preserve">ascend</t>
  </si>
  <si>
    <t xml:space="preserve">heavens</t>
  </si>
  <si>
    <t xml:space="preserve">Heavens</t>
  </si>
  <si>
    <t xml:space="preserve">but</t>
  </si>
  <si>
    <t xml:space="preserve">himself</t>
  </si>
  <si>
    <t xml:space="preserve">Sit</t>
  </si>
  <si>
    <t xml:space="preserve">God_hand</t>
  </si>
  <si>
    <t xml:space="preserve">until</t>
  </si>
  <si>
    <t xml:space="preserve">enemies</t>
  </si>
  <si>
    <t xml:space="preserve">Jesus_enemies</t>
  </si>
  <si>
    <t xml:space="preserve">footstool</t>
  </si>
  <si>
    <t xml:space="preserve">OBJ_5</t>
  </si>
  <si>
    <t xml:space="preserve">for</t>
  </si>
  <si>
    <t xml:space="preserve">feet</t>
  </si>
  <si>
    <t xml:space="preserve">Jesus_feet</t>
  </si>
  <si>
    <t xml:space="preserve">&amp;quot;'</t>
  </si>
  <si>
    <t xml:space="preserve"># text = \"Let all the house of Israel therefore know certainly that God has made him both Lord and Christ, this Jesus whom you crucified.\"</t>
  </si>
  <si>
    <t xml:space="preserve">Let</t>
  </si>
  <si>
    <t xml:space="preserve">certainly</t>
  </si>
  <si>
    <t xml:space="preserve">OBJ_6</t>
  </si>
  <si>
    <t xml:space="preserve"># text = Now when they heard this, they were cut to the heart, and said to Peter and the rest of the apostles, \"Brothers, what shall we do?\"</t>
  </si>
  <si>
    <t xml:space="preserve">\"Let all the house of Israel therefore know certainly that God has made him both Lord and Christ, this Jesus whom you crucified.\"</t>
  </si>
  <si>
    <t xml:space="preserve">cut</t>
  </si>
  <si>
    <t xml:space="preserve">Men_of_Judea_heart</t>
  </si>
  <si>
    <t xml:space="preserve">rest</t>
  </si>
  <si>
    <t xml:space="preserve">Rest_of_Apostles</t>
  </si>
  <si>
    <t xml:space="preserve">apostles</t>
  </si>
  <si>
    <t xml:space="preserve">shall</t>
  </si>
  <si>
    <t xml:space="preserve"># text = Peter said to them, \"Repent, and be baptized, every one of you, in the name of Jesus Christ for the forgiveness of sins, and you will receive the gift of the Holy Spirit.</t>
  </si>
  <si>
    <t xml:space="preserve">Repent</t>
  </si>
  <si>
    <t xml:space="preserve">baptized</t>
  </si>
  <si>
    <t xml:space="preserve">forgiveness</t>
  </si>
  <si>
    <t xml:space="preserve">Forgiveness</t>
  </si>
  <si>
    <t xml:space="preserve">sins</t>
  </si>
  <si>
    <t xml:space="preserve">receive</t>
  </si>
  <si>
    <t xml:space="preserve">gift</t>
  </si>
  <si>
    <t xml:space="preserve">Gift</t>
  </si>
  <si>
    <t xml:space="preserve"># text = For the promise is to you, and to your children, and to all who are far off, even as many as the Lord our God will call to himself."</t>
  </si>
  <si>
    <t xml:space="preserve">children</t>
  </si>
  <si>
    <t xml:space="preserve">Apostles_children</t>
  </si>
  <si>
    <t xml:space="preserve">far</t>
  </si>
  <si>
    <t xml:space="preserve">off</t>
  </si>
  <si>
    <t xml:space="preserve">many</t>
  </si>
  <si>
    <t xml:space="preserve"># text = With many other words he testified, and exhorted them, saying, \"Save yourselves from this crooked generation!\"</t>
  </si>
  <si>
    <t xml:space="preserve">With</t>
  </si>
  <si>
    <t xml:space="preserve">testified</t>
  </si>
  <si>
    <t xml:space="preserve">exhorted</t>
  </si>
  <si>
    <t xml:space="preserve">Save</t>
  </si>
  <si>
    <t xml:space="preserve">crooked</t>
  </si>
  <si>
    <t xml:space="preserve">generation</t>
  </si>
  <si>
    <t xml:space="preserve">Crooked_Generation</t>
  </si>
  <si>
    <t xml:space="preserve"># text = Then those who gladly received his word were baptized.</t>
  </si>
  <si>
    <t xml:space="preserve">Then</t>
  </si>
  <si>
    <t xml:space="preserve">gladly</t>
  </si>
  <si>
    <t xml:space="preserve">word</t>
  </si>
  <si>
    <t xml:space="preserve">God_word</t>
  </si>
  <si>
    <t xml:space="preserve"># text = There were added that day about three thousand souls.</t>
  </si>
  <si>
    <t xml:space="preserve">There</t>
  </si>
  <si>
    <t xml:space="preserve">added</t>
  </si>
  <si>
    <t xml:space="preserve">three</t>
  </si>
  <si>
    <t xml:space="preserve">thousand</t>
  </si>
  <si>
    <t xml:space="preserve">souls</t>
  </si>
  <si>
    <t xml:space="preserve"># text = They continued steadfastly in the apostles' teaching and fellowship, in the breaking of bread, and prayer.</t>
  </si>
  <si>
    <t xml:space="preserve">continued</t>
  </si>
  <si>
    <t xml:space="preserve">steadfastly</t>
  </si>
  <si>
    <t xml:space="preserve">teaching</t>
  </si>
  <si>
    <t xml:space="preserve">Teaching</t>
  </si>
  <si>
    <t xml:space="preserve">fellowship</t>
  </si>
  <si>
    <t xml:space="preserve">breaking</t>
  </si>
  <si>
    <t xml:space="preserve">Breaking</t>
  </si>
  <si>
    <t xml:space="preserve">bread</t>
  </si>
  <si>
    <t xml:space="preserve">prayer</t>
  </si>
  <si>
    <t xml:space="preserve"># text = Fear came on every soul, and many wonders and signs were done through the apostles.</t>
  </si>
  <si>
    <t xml:space="preserve">Fear</t>
  </si>
  <si>
    <t xml:space="preserve">done</t>
  </si>
  <si>
    <t xml:space="preserve"># text = All who believed were together, and had all things in common.</t>
  </si>
  <si>
    <t xml:space="preserve">All</t>
  </si>
  <si>
    <t xml:space="preserve">believed</t>
  </si>
  <si>
    <t xml:space="preserve">things</t>
  </si>
  <si>
    <t xml:space="preserve">common</t>
  </si>
  <si>
    <t xml:space="preserve"># text = They sold their possessions and goods, and distributed them to all, according as anyone had need.</t>
  </si>
  <si>
    <t xml:space="preserve">sold</t>
  </si>
  <si>
    <t xml:space="preserve">their</t>
  </si>
  <si>
    <t xml:space="preserve">possessions</t>
  </si>
  <si>
    <t xml:space="preserve">Apostles_possessions</t>
  </si>
  <si>
    <t xml:space="preserve">goods</t>
  </si>
  <si>
    <t xml:space="preserve">anyone</t>
  </si>
  <si>
    <t xml:space="preserve">need</t>
  </si>
  <si>
    <t xml:space="preserve"># text = Day by day, continuing steadfastly with one accord in the temple, and breaking bread at home, they took their food with gladness and singleness of heart, praising God, and having favor with all the people.</t>
  </si>
  <si>
    <t xml:space="preserve">continuing</t>
  </si>
  <si>
    <t xml:space="preserve">temple</t>
  </si>
  <si>
    <t xml:space="preserve">Temple</t>
  </si>
  <si>
    <t xml:space="preserve">home</t>
  </si>
  <si>
    <t xml:space="preserve">took</t>
  </si>
  <si>
    <t xml:space="preserve">food</t>
  </si>
  <si>
    <t xml:space="preserve">Apostles_food</t>
  </si>
  <si>
    <t xml:space="preserve">singleness</t>
  </si>
  <si>
    <t xml:space="preserve">praising</t>
  </si>
  <si>
    <t xml:space="preserve">favor</t>
  </si>
  <si>
    <t xml:space="preserve">People</t>
  </si>
  <si>
    <t xml:space="preserve"># text = The Lord added to the assembly day by day those who were being saved.</t>
  </si>
  <si>
    <t xml:space="preserve">assembly</t>
  </si>
</sst>
</file>

<file path=xl/styles.xml><?xml version="1.0" encoding="utf-8"?>
<styleSheet xmlns="http://schemas.openxmlformats.org/spreadsheetml/2006/main">
  <numFmts count="2">
    <numFmt numFmtId="164" formatCode="General"/>
    <numFmt numFmtId="165" formatCode="@"/>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3" borderId="1" xfId="0" applyFont="true" applyBorder="true" applyAlignment="true" applyProtection="false">
      <alignment horizontal="center" vertical="bottom" textRotation="0" wrapText="fals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0" fillId="5" borderId="1" xfId="0" applyFont="true" applyBorder="true" applyAlignment="true" applyProtection="false">
      <alignment horizontal="center" vertical="bottom" textRotation="0" wrapText="false" indent="0" shrinkToFit="false"/>
      <protection locked="true" hidden="false"/>
    </xf>
    <xf numFmtId="164" fontId="0" fillId="6" borderId="2"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true" applyProtection="false">
      <alignment horizontal="center" vertical="bottom" textRotation="0" wrapText="false" indent="0" shrinkToFit="false"/>
      <protection locked="true" hidden="false"/>
    </xf>
    <xf numFmtId="164" fontId="0" fillId="7" borderId="3" xfId="0" applyFont="true" applyBorder="true" applyAlignment="true" applyProtection="false">
      <alignment horizontal="center"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0" fillId="2" borderId="4"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center" vertical="bottom" textRotation="0" wrapText="false" indent="0" shrinkToFit="false"/>
      <protection locked="true" hidden="false"/>
    </xf>
    <xf numFmtId="164" fontId="0" fillId="6" borderId="4" xfId="0" applyFont="false" applyBorder="true" applyAlignment="true" applyProtection="false">
      <alignment horizontal="center" vertical="bottom" textRotation="0" wrapText="false" indent="0" shrinkToFit="false"/>
      <protection locked="true" hidden="false"/>
    </xf>
    <xf numFmtId="164" fontId="0" fillId="6" borderId="0" xfId="0" applyFont="false" applyBorder="false" applyAlignment="true" applyProtection="false">
      <alignment horizontal="center" vertical="bottom" textRotation="0" wrapText="false" indent="0" shrinkToFit="false"/>
      <protection locked="true" hidden="false"/>
    </xf>
    <xf numFmtId="164" fontId="0" fillId="7" borderId="4" xfId="0" applyFont="false" applyBorder="true" applyAlignment="true" applyProtection="fals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2" activeCellId="0" sqref="A2"/>
    </sheetView>
  </sheetViews>
  <sheetFormatPr defaultColWidth="11.5078125" defaultRowHeight="12.75" zeroHeight="false" outlineLevelRow="0" outlineLevelCol="0"/>
  <cols>
    <col collapsed="false" customWidth="true" hidden="false" outlineLevel="0" max="5" min="5" style="0" width="16.16"/>
    <col collapsed="false" customWidth="false" hidden="true" outlineLevel="0" max="10" min="9" style="0" width="11.5"/>
    <col collapsed="false" customWidth="true" hidden="true" outlineLevel="0" max="11" min="11" style="0" width="18.83"/>
    <col collapsed="false" customWidth="true" hidden="false" outlineLevel="0" max="12" min="12" style="0" width="46.67"/>
  </cols>
  <sheetData>
    <row r="1" customFormat="false" ht="12.75" hidden="false" customHeight="false" outlineLevel="0" collapsed="false">
      <c r="A1" s="1" t="s">
        <v>0</v>
      </c>
      <c r="B1" s="1" t="s">
        <v>1</v>
      </c>
      <c r="C1" s="1" t="s">
        <v>2</v>
      </c>
      <c r="D1" s="1" t="s">
        <v>3</v>
      </c>
      <c r="E1" s="2" t="s">
        <v>4</v>
      </c>
      <c r="F1" s="3" t="s">
        <v>5</v>
      </c>
      <c r="G1" s="4" t="s">
        <v>6</v>
      </c>
      <c r="H1" s="5" t="s">
        <v>7</v>
      </c>
      <c r="I1" s="6" t="s">
        <v>8</v>
      </c>
      <c r="J1" s="7" t="s">
        <v>9</v>
      </c>
      <c r="K1" s="7" t="s">
        <v>10</v>
      </c>
      <c r="L1" s="8" t="s">
        <v>11</v>
      </c>
    </row>
    <row r="2" customFormat="false" ht="12.75" hidden="false" customHeight="false" outlineLevel="0" collapsed="false">
      <c r="A2" s="9" t="s">
        <v>12</v>
      </c>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IF(OR(E2="",E2="!!!",F2="NEW"),"",INDEX(#REF!,-1+SUMPRODUCT(MAX(ROW(#REF!)*(E2=#REF!)))))</f>
        <v/>
      </c>
      <c r="J2" s="15" t="str">
        <f aca="true">IF(OR(E2="",E2="!!!",F2="NEW"),"",COUNTBLANK(OFFSET(A$1,,,SUMPRODUCT(MAX(ROW(E$2)*(E2=E$2)))))-COUNTBLANK(OFFSET(A$1,,,SUMPRODUCT(MAX(ROW(E$1)*(E2=E$1))))))</f>
        <v/>
      </c>
      <c r="K2" s="15" t="str">
        <f aca="false">IF(OR(E2="",E2="!!!",F2="NEW"),"",INDEX(J$1,SUMPRODUCT(MAX(ROW(E$1)*(E2=E$1)))))</f>
        <v/>
      </c>
      <c r="L2" s="16"/>
    </row>
    <row r="3" customFormat="false" ht="12.75" hidden="false" customHeight="false" outlineLevel="0" collapsed="false">
      <c r="A3" s="9" t="s">
        <v>13</v>
      </c>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75" hidden="false" customHeight="false" outlineLevel="0" collapsed="false">
      <c r="A4" s="9" t="s">
        <v>14</v>
      </c>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75" hidden="false" customHeight="false" outlineLevel="0" collapsed="false">
      <c r="A5" s="9" t="s">
        <v>15</v>
      </c>
      <c r="E5" s="10" t="str">
        <f aca="false">IF(D5="?OLD","!!!","")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75" hidden="false" customHeight="false" outlineLevel="0" collapsed="false">
      <c r="A6" s="9" t="s">
        <v>16</v>
      </c>
      <c r="B6" s="0" t="s">
        <v>17</v>
      </c>
      <c r="C6" s="0" t="s">
        <v>18</v>
      </c>
      <c r="D6" s="0" t="s">
        <v>19</v>
      </c>
      <c r="E6" s="10" t="s">
        <v>20</v>
      </c>
      <c r="F6" s="11" t="str">
        <f aca="false">IF(OR(E6="",E6="!!!"),"",IF(NOT(ISNA(VLOOKUP(E6,E$1:E5,1,FALSE()))),"OLD",IF(AND(E6&lt;&gt;"",E6&lt;&gt;"!!!"),"NEW","")))</f>
        <v>NEW</v>
      </c>
      <c r="G6" s="12" t="s">
        <v>21</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75" hidden="false" customHeight="false" outlineLevel="0" collapsed="false">
      <c r="A7" s="9" t="s">
        <v>22</v>
      </c>
      <c r="E7" s="10" t="str">
        <f aca="false">IF(#REF!="?OLD","!!!","")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75" hidden="false" customHeight="false" outlineLevel="0" collapsed="false">
      <c r="A8" s="9" t="s">
        <v>23</v>
      </c>
      <c r="B8" s="0" t="s">
        <v>24</v>
      </c>
      <c r="C8" s="0" t="s">
        <v>25</v>
      </c>
      <c r="E8" s="10" t="str">
        <f aca="false">IF(#REF!="?OLD","!!!","")</f>
        <v/>
      </c>
      <c r="F8" s="11" t="str">
        <f aca="false">IF(OR(E8="",E8="!!!"),"",IF(NOT(ISNA(VLOOKUP(E8,E$1:E7,1,FALSE()))),"OLD",IF(AND(E8&lt;&gt;"",E8&lt;&gt;"!!!"),"NEW","")))</f>
        <v/>
      </c>
      <c r="G8" s="12" t="str">
        <f aca="false">IF(OR(E8="",E8="!!!"),"",IF(OR(J8=0,AND(J8=1,K8=1),AND(J8=1,I8="SBJ"),AND(J8=1,I8=0)),"?IN_FOCUS",IF(J8&lt;=2,"?ACTIVATED",IF(J8&lt;&gt;"","?FAMILIAR",IF(F8="NEW",IF(ISNA(VLOOKUP(E8,#REF!,1,FALSE())),"?TYPE_IDENTIFIABLE","?REFERENTIAL"),"_")))))</f>
        <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row>
    <row r="9" customFormat="false" ht="12.75" hidden="false" customHeight="false" outlineLevel="0" collapsed="false">
      <c r="A9" s="9" t="s">
        <v>26</v>
      </c>
      <c r="E9" s="10" t="str">
        <f aca="false">IF(#REF!="?OLD","!!!","")</f>
        <v/>
      </c>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75" hidden="false" customHeight="false" outlineLevel="0" collapsed="false">
      <c r="A10" s="9" t="s">
        <v>27</v>
      </c>
      <c r="E10" s="10" t="str">
        <f aca="false">IF(#REF!="?OLD","!!!","")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75" hidden="false" customHeight="false" outlineLevel="0" collapsed="false">
      <c r="A11" s="9" t="s">
        <v>28</v>
      </c>
      <c r="E11" s="10" t="str">
        <f aca="false">IF(#REF!="?OLD","!!!","")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75" hidden="false" customHeight="false" outlineLevel="0" collapsed="false">
      <c r="A12" s="9" t="s">
        <v>29</v>
      </c>
      <c r="B12" s="0" t="s">
        <v>30</v>
      </c>
      <c r="C12" s="0" t="s">
        <v>31</v>
      </c>
      <c r="D12" s="0" t="s">
        <v>19</v>
      </c>
      <c r="E12" s="10" t="s">
        <v>32</v>
      </c>
      <c r="F12" s="11" t="str">
        <f aca="false">IF(OR(E12="",E12="!!!"),"",IF(NOT(ISNA(VLOOKUP(E12,E$1:E11,1,FALSE()))),"OLD",IF(AND(E12&lt;&gt;"",E12&lt;&gt;"!!!"),"NEW","")))</f>
        <v>NEW</v>
      </c>
      <c r="G12" s="12" t="s">
        <v>33</v>
      </c>
      <c r="H12" s="13" t="s">
        <v>7</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t="s">
        <v>34</v>
      </c>
    </row>
    <row r="13" customFormat="false" ht="12.75" hidden="false" customHeight="false" outlineLevel="0" collapsed="false">
      <c r="A13" s="9" t="s">
        <v>35</v>
      </c>
      <c r="E13" s="10" t="str">
        <f aca="false">IF(#REF!="?OLD","!!!","")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75" hidden="false" customHeight="false" outlineLevel="0" collapsed="false">
      <c r="A14" s="9" t="s">
        <v>36</v>
      </c>
      <c r="E14" s="10" t="str">
        <f aca="false">IF(#REF!="?OLD","!!!","")</f>
        <v/>
      </c>
      <c r="F14" s="11" t="str">
        <f aca="false">IF(OR(E14="",E14="!!!"),"",IF(NOT(ISNA(VLOOKUP(E14,E$1:E13,1,FALSE()))),"OLD",IF(AND(E14&lt;&gt;"",E14&lt;&gt;"!!!"),"NEW","")))</f>
        <v/>
      </c>
      <c r="G14" s="12" t="str">
        <f aca="false">IF(OR(E14="",E14="!!!"),"",IF(OR(J14=0,AND(J14=1,K14=1),AND(J14=1,I14="SBJ"),AND(J14=1,I14=0)),"?IN_FOCUS",IF(J14&lt;=2,"?ACTIVATED",IF(J14&lt;&gt;"","?FAMILIAR",IF(F14="NEW",IF(ISNA(VLOOKUP(E14,#REF!,1,FALSE())),"?TYPE_IDENTIFIABLE","?REFERENTIAL"),"_")))))</f>
        <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row>
    <row r="15" customFormat="false" ht="12.75" hidden="false" customHeight="false" outlineLevel="0" collapsed="false">
      <c r="A15" s="9" t="s">
        <v>37</v>
      </c>
      <c r="E15" s="10" t="str">
        <f aca="false">IF(#REF!="?OLD","!!!","")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75" hidden="false" customHeight="false" outlineLevel="0" collapsed="false">
      <c r="A16" s="9" t="s">
        <v>38</v>
      </c>
      <c r="E16" s="10" t="str">
        <f aca="false">IF(#REF!="?OLD","!!!","")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75" hidden="false" customHeight="false" outlineLevel="0" collapsed="false">
      <c r="A17" s="9" t="s">
        <v>39</v>
      </c>
      <c r="B17" s="0" t="s">
        <v>40</v>
      </c>
      <c r="C17" s="0" t="s">
        <v>41</v>
      </c>
      <c r="E17" s="10" t="str">
        <f aca="false">IF(#REF!="?OLD","!!!","")</f>
        <v/>
      </c>
      <c r="F17" s="11" t="str">
        <f aca="false">IF(OR(E17="",E17="!!!"),"",IF(NOT(ISNA(VLOOKUP(E17,E$1:E16,1,FALSE()))),"OLD",IF(AND(E17&lt;&gt;"",E17&lt;&gt;"!!!"),"NEW","")))</f>
        <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75" hidden="false" customHeight="false" outlineLevel="0" collapsed="false">
      <c r="A18" s="9" t="s">
        <v>42</v>
      </c>
      <c r="E18" s="10" t="str">
        <f aca="false">IF(#REF!="?OLD","!!!","")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75" hidden="false" customHeight="false" outlineLevel="0" collapsed="false">
      <c r="A19" s="9" t="s">
        <v>38</v>
      </c>
      <c r="E19" s="10" t="str">
        <f aca="false">IF(#REF!="?OLD","!!!","")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75" hidden="false" customHeight="false" outlineLevel="0" collapsed="false">
      <c r="A20" s="9" t="s">
        <v>43</v>
      </c>
      <c r="B20" s="0" t="s">
        <v>40</v>
      </c>
      <c r="C20" s="0" t="s">
        <v>41</v>
      </c>
      <c r="E20" s="10" t="str">
        <f aca="false">IF(#REF!="?OLD","!!!","")</f>
        <v/>
      </c>
      <c r="F20" s="11" t="str">
        <f aca="false">IF(OR(E20="",E20="!!!"),"",IF(NOT(ISNA(VLOOKUP(E20,E$1:E19,1,FALSE()))),"OLD",IF(AND(E20&lt;&gt;"",E20&lt;&gt;"!!!"),"NEW","")))</f>
        <v/>
      </c>
      <c r="G20" s="12" t="str">
        <f aca="false">IF(OR(E20="",E20="!!!"),"",IF(OR(J20=0,AND(J20=1,K20=1),AND(J20=1,I20="SBJ"),AND(J20=1,I20=0)),"?IN_FOCUS",IF(J20&lt;=2,"?ACTIVATED",IF(J20&lt;&gt;"","?FAMILIAR",IF(F20="NEW",IF(ISNA(VLOOKUP(E20,#REF!,1,FALSE())),"?TYPE_IDENTIFIABLE","?REFERENTIAL"),"_")))))</f>
        <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row>
    <row r="21" customFormat="false" ht="12.75" hidden="false" customHeight="false" outlineLevel="0" collapsed="false">
      <c r="A21" s="9" t="s">
        <v>44</v>
      </c>
      <c r="E21" s="10" t="str">
        <f aca="false">IF(#REF!="?OLD","!!!","")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75" hidden="false" customHeight="false" outlineLevel="0" collapsed="false">
      <c r="E22" s="10" t="str">
        <f aca="false">IF(#REF!="?OLD","!!!","")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75" hidden="false" customHeight="false" outlineLevel="0" collapsed="false">
      <c r="A23" s="9" t="s">
        <v>45</v>
      </c>
      <c r="E23" s="10" t="str">
        <f aca="false">IF(#REF!="?OLD","!!!","")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IF(OR(E23="",E23="!!!",F23="NEW"),"",INDEX(B$2:B22,-1+SUMPRODUCT(MAX(ROW(E$2:E22)*(E23=E$2:E22)))))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75" hidden="false" customHeight="false" outlineLevel="0" collapsed="false">
      <c r="A24" s="9" t="s">
        <v>46</v>
      </c>
      <c r="E24" s="10" t="str">
        <f aca="false">IF(#REF!="?OLD","!!!","")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75" hidden="false" customHeight="false" outlineLevel="0" collapsed="false">
      <c r="A25" s="9" t="s">
        <v>47</v>
      </c>
      <c r="E25" s="10" t="str">
        <f aca="false">IF(#REF!="?OLD","!!!","")</f>
        <v/>
      </c>
      <c r="F25" s="11" t="str">
        <f aca="false">IF(OR(E25="",E25="!!!"),"",IF(NOT(ISNA(VLOOKUP(E25,E$1:E24,1,FALSE()))),"OLD",IF(AND(E25&lt;&gt;"",E25&lt;&gt;"!!!"),"NEW","")))</f>
        <v/>
      </c>
      <c r="G25" s="12" t="str">
        <f aca="false">IF(OR(E25="",E25="!!!"),"",IF(OR(J25=0,AND(J25=1,K25=1),AND(J25=1,I25="SBJ"),AND(J25=1,I25=0)),"?IN_FOCUS",IF(J25&lt;=2,"?ACTIVATED",IF(J25&lt;&gt;"","?FAMILIAR",IF(F25="NEW",IF(ISNA(VLOOKUP(E25,#REF!,1,FALSE())),"?TYPE_IDENTIFIABLE","?REFERENTIAL"),"_")))))</f>
        <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75" hidden="false" customHeight="false" outlineLevel="0" collapsed="false">
      <c r="A26" s="9" t="s">
        <v>48</v>
      </c>
      <c r="E26" s="10" t="str">
        <f aca="false">IF(#REF!="?OLD","!!!","")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75" hidden="false" customHeight="false" outlineLevel="0" collapsed="false">
      <c r="A27" s="9" t="s">
        <v>49</v>
      </c>
      <c r="E27" s="10" t="str">
        <f aca="false">IF(#REF!="?OLD","!!!","")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75" hidden="false" customHeight="false" outlineLevel="0" collapsed="false">
      <c r="A28" s="9" t="s">
        <v>15</v>
      </c>
      <c r="E28" s="10" t="str">
        <f aca="false">IF(#REF!="?OLD","!!!","")</f>
        <v/>
      </c>
      <c r="F28" s="11" t="str">
        <f aca="false">IF(OR(E28="",E28="!!!"),"",IF(NOT(ISNA(VLOOKUP(E28,E$1:E27,1,FALSE()))),"OLD",IF(AND(E28&lt;&gt;"",E28&lt;&gt;"!!!"),"NEW","")))</f>
        <v/>
      </c>
      <c r="G28" s="12" t="str">
        <f aca="false">IF(OR(E28="",E28="!!!"),"",IF(OR(J28=0,AND(J28=1,K28=1),AND(J28=1,I28="SBJ"),AND(J28=1,I28=0)),"?IN_FOCUS",IF(J28&lt;=2,"?ACTIVATED",IF(J28&lt;&gt;"","?FAMILIAR",IF(F28="NEW",IF(ISNA(VLOOKUP(E28,#REF!,1,FALSE())),"?TYPE_IDENTIFIABLE","?REFERENTIAL"),"_")))))</f>
        <v/>
      </c>
      <c r="H28" s="13" t="str">
        <f aca="false">IF(J28&lt;&gt;1,"",IF(I28="SBJ","CB","?"))</f>
        <v/>
      </c>
      <c r="I28" s="14" t="str">
        <f aca="false">IF(OR(E28="",E28="!!!",F28="NEW"),"",INDEX(B$2:B27,-1+SUMPRODUCT(MAX(ROW(E$2:E27)*(E28=E$2:E27)))))</f>
        <v/>
      </c>
      <c r="J28" s="15" t="str">
        <f aca="true">IF(OR(E28="",E28="!!!",F28="NEW"),"",COUNTBLANK(OFFSET(A$1,,,SUMPRODUCT(MAX(ROW(E$2:E28)*(E28=E$2:E28)))))-COUNTBLANK(OFFSET(A$1,,,SUMPRODUCT(MAX(ROW(E$1:E27)*(E28=E$1:E27))))))</f>
        <v/>
      </c>
      <c r="K28" s="15" t="str">
        <f aca="false">IF(OR(E28="",E28="!!!",F28="NEW"),"",INDEX(J$1:J27,SUMPRODUCT(MAX(ROW(E$1:E27)*(E28=E$1:E27)))))</f>
        <v/>
      </c>
      <c r="L28" s="16"/>
    </row>
    <row r="29" customFormat="false" ht="12.75" hidden="false" customHeight="false" outlineLevel="0" collapsed="false">
      <c r="A29" s="9" t="s">
        <v>50</v>
      </c>
      <c r="B29" s="0" t="s">
        <v>40</v>
      </c>
      <c r="C29" s="0" t="s">
        <v>18</v>
      </c>
      <c r="D29" s="0" t="s">
        <v>19</v>
      </c>
      <c r="E29" s="10" t="s">
        <v>51</v>
      </c>
      <c r="F29" s="11" t="str">
        <f aca="false">IF(OR(E29="",E29="!!!"),"",IF(NOT(ISNA(VLOOKUP(E29,E$1:E28,1,FALSE()))),"OLD",IF(AND(E29&lt;&gt;"",E29&lt;&gt;"!!!"),"NEW","")))</f>
        <v>NEW</v>
      </c>
      <c r="G29" s="12" t="s">
        <v>52</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75" hidden="false" customHeight="false" outlineLevel="0" collapsed="false">
      <c r="A30" s="9" t="s">
        <v>53</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75" hidden="false" customHeight="false" outlineLevel="0" collapsed="false">
      <c r="A31" s="9" t="s">
        <v>54</v>
      </c>
      <c r="B31" s="0" t="s">
        <v>55</v>
      </c>
      <c r="C31" s="0" t="s">
        <v>56</v>
      </c>
      <c r="E31" s="10" t="str">
        <f aca="false">IF(D31="?OLD","!!!","")</f>
        <v/>
      </c>
      <c r="F31" s="11" t="str">
        <f aca="false">IF(OR(E31="",E31="!!!"),"",IF(NOT(ISNA(VLOOKUP(E31,E$1:E30,1,FALSE()))),"OLD",IF(AND(E31&lt;&gt;"",E31&lt;&gt;"!!!"),"NEW","")))</f>
        <v/>
      </c>
      <c r="G31" s="12" t="str">
        <f aca="false">IF(OR(E31="",E31="!!!"),"",IF(OR(J31=0,AND(J31=1,K31=1),AND(J31=1,I31="SBJ"),AND(J31=1,I31=0)),"?IN_FOCUS",IF(J31&lt;=2,"?ACTIVATED",IF(J31&lt;&gt;"","?FAMILIAR",IF(F31="NEW",IF(ISNA(VLOOKUP(E31,#REF!,1,FALSE())),"?TYPE_IDENTIFIABLE","?REFERENTIAL"),"_")))))</f>
        <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row>
    <row r="32" customFormat="false" ht="12.75" hidden="false" customHeight="false" outlineLevel="0" collapsed="false">
      <c r="A32" s="9" t="s">
        <v>57</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75" hidden="false" customHeight="false" outlineLevel="0" collapsed="false">
      <c r="A33" s="9" t="s">
        <v>15</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75" hidden="false" customHeight="false" outlineLevel="0" collapsed="false">
      <c r="A34" s="9" t="s">
        <v>58</v>
      </c>
      <c r="B34" s="0" t="s">
        <v>24</v>
      </c>
      <c r="C34" s="0" t="s">
        <v>18</v>
      </c>
      <c r="D34" s="0" t="s">
        <v>19</v>
      </c>
      <c r="E34" s="10" t="s">
        <v>59</v>
      </c>
      <c r="F34" s="11" t="str">
        <f aca="false">IF(OR(E34="",E34="!!!"),"",IF(NOT(ISNA(VLOOKUP(E34,E$1:E33,1,FALSE()))),"OLD",IF(AND(E34&lt;&gt;"",E34&lt;&gt;"!!!"),"NEW","")))</f>
        <v>NEW</v>
      </c>
      <c r="G34" s="12" t="s">
        <v>21</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75" hidden="false" customHeight="false" outlineLevel="0" collapsed="false">
      <c r="A35" s="9" t="s">
        <v>22</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75" hidden="false" customHeight="false" outlineLevel="0" collapsed="false">
      <c r="A36" s="9" t="s">
        <v>53</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75" hidden="false" customHeight="false" outlineLevel="0" collapsed="false">
      <c r="A37" s="9" t="s">
        <v>60</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75" hidden="false" customHeight="false" outlineLevel="0" collapsed="false">
      <c r="A38" s="9" t="s">
        <v>61</v>
      </c>
      <c r="B38" s="0" t="s">
        <v>62</v>
      </c>
      <c r="C38" s="0" t="s">
        <v>56</v>
      </c>
      <c r="E38" s="10" t="str">
        <f aca="false">IF(D38="?OLD","!!!","")</f>
        <v/>
      </c>
      <c r="F38" s="11" t="str">
        <f aca="false">IF(OR(E38="",E38="!!!"),"",IF(NOT(ISNA(VLOOKUP(E38,E$1:E37,1,FALSE()))),"OLD",IF(AND(E38&lt;&gt;"",E38&lt;&gt;"!!!"),"NEW","")))</f>
        <v/>
      </c>
      <c r="G38" s="12" t="str">
        <f aca="false">IF(OR(E38="",E38="!!!"),"",IF(OR(J38=0,AND(J38=1,K38=1),AND(J38=1,I38="SBJ"),AND(J38=1,I38=0)),"?IN_FOCUS",IF(J38&lt;=2,"?ACTIVATED",IF(J38&lt;&gt;"","?FAMILIAR",IF(F38="NEW",IF(ISNA(VLOOKUP(E38,#REF!,1,FALSE())),"?TYPE_IDENTIFIABLE","?REFERENTIAL"),"_")))))</f>
        <v/>
      </c>
      <c r="H38" s="13" t="str">
        <f aca="false">IF(J38&lt;&gt;1,"",IF(I38="SBJ","CB","?"))</f>
        <v/>
      </c>
      <c r="I38" s="14" t="str">
        <f aca="false">IF(OR(E38="",E38="!!!",F38="NEW"),"",INDEX(B$2:B37,-1+SUMPRODUCT(MAX(ROW(E$2:E37)*(E38=E$2:E37)))))</f>
        <v/>
      </c>
      <c r="J38" s="15" t="str">
        <f aca="true">IF(OR(E38="",E38="!!!",F38="NEW"),"",COUNTBLANK(OFFSET(A$1,,,SUMPRODUCT(MAX(ROW(E$2:E38)*(E38=E$2:E38)))))-COUNTBLANK(OFFSET(A$1,,,SUMPRODUCT(MAX(ROW(E$1:E37)*(E38=E$1:E37))))))</f>
        <v/>
      </c>
      <c r="K38" s="15" t="str">
        <f aca="false">IF(OR(E38="",E38="!!!",F38="NEW"),"",INDEX(J$1:J37,SUMPRODUCT(MAX(ROW(E$1:E37)*(E38=E$1:E37)))))</f>
        <v/>
      </c>
      <c r="L38" s="16"/>
    </row>
    <row r="39" customFormat="false" ht="12.75" hidden="false" customHeight="false" outlineLevel="0" collapsed="false">
      <c r="A39" s="9" t="s">
        <v>28</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75" hidden="false" customHeight="false" outlineLevel="0" collapsed="false">
      <c r="A40" s="9" t="s">
        <v>63</v>
      </c>
      <c r="E40" s="10" t="str">
        <f aca="false">IF(D40="?OLD","!!!","")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75" hidden="false" customHeight="false" outlineLevel="0" collapsed="false">
      <c r="A41" s="9" t="s">
        <v>64</v>
      </c>
      <c r="B41" s="0" t="s">
        <v>17</v>
      </c>
      <c r="C41" s="0" t="s">
        <v>31</v>
      </c>
      <c r="D41" s="0" t="s">
        <v>19</v>
      </c>
      <c r="E41" s="10" t="s">
        <v>59</v>
      </c>
      <c r="F41" s="11" t="str">
        <f aca="false">IF(OR(E41="",E41="!!!"),"",IF(NOT(ISNA(VLOOKUP(E41,E$1:E40,1,FALSE()))),"OLD",IF(AND(E41&lt;&gt;"",E41&lt;&gt;"!!!"),"NEW","")))</f>
        <v>OLD</v>
      </c>
      <c r="G41" s="12" t="s">
        <v>65</v>
      </c>
      <c r="H41" s="13" t="str">
        <f aca="false">IF(J41&lt;&gt;1,"",IF(I41="SBJ","CB","?"))</f>
        <v/>
      </c>
      <c r="I41" s="14" t="str">
        <f aca="false">IF(OR(E41="",E41="!!!",F41="NEW"),"",INDEX(B$2:B40,-1+SUMPRODUCT(MAX(ROW(E$2:E40)*(E41=E$2:E40)))))</f>
        <v>other_3</v>
      </c>
      <c r="J41" s="15" t="n">
        <f aca="true">IF(OR(E41="",E41="!!!",F41="NEW"),"",COUNTBLANK(OFFSET(A$1,,,SUMPRODUCT(MAX(ROW(E$2:E41)*(E41=E$2:E41)))))-COUNTBLANK(OFFSET(A$1,,,SUMPRODUCT(MAX(ROW(E$1:E40)*(E41=E$1:E40))))))</f>
        <v>0</v>
      </c>
      <c r="K41" s="15" t="str">
        <f aca="false">IF(OR(E41="",E41="!!!",F41="NEW"),"",INDEX(J$1:J40,SUMPRODUCT(MAX(ROW(E$1:E40)*(E41=E$1:E40)))))</f>
        <v/>
      </c>
      <c r="L41" s="16"/>
    </row>
    <row r="42" customFormat="false" ht="12.75" hidden="false" customHeight="false" outlineLevel="0" collapsed="false">
      <c r="A42" s="9" t="s">
        <v>66</v>
      </c>
      <c r="E42" s="10" t="str">
        <f aca="false">IF(D42="?OLD","!!!","")</f>
        <v/>
      </c>
      <c r="F42" s="11" t="str">
        <f aca="false">IF(OR(E42="",E42="!!!"),"",IF(NOT(ISNA(VLOOKUP(E42,E$1:E41,1,FALSE()))),"OLD",IF(AND(E42&lt;&gt;"",E42&lt;&gt;"!!!"),"NEW","")))</f>
        <v/>
      </c>
      <c r="G42" s="12" t="str">
        <f aca="false">IF(OR(E42="",E42="!!!"),"",IF(OR(J42=0,AND(J42=1,K42=1),AND(J42=1,I42="SBJ"),AND(J42=1,I42=0)),"?IN_FOCUS",IF(J42&lt;=2,"?ACTIVATED",IF(J42&lt;&gt;"","?FAMILIAR",IF(F42="NEW",IF(ISNA(VLOOKUP(E42,#REF!,1,FALSE())),"?TYPE_IDENTIFIABLE","?REFERENTIAL"),"_")))))</f>
        <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75" hidden="false" customHeight="false" outlineLevel="0" collapsed="false">
      <c r="A43" s="9" t="s">
        <v>36</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75" hidden="false" customHeight="false" outlineLevel="0" collapsed="false">
      <c r="A44" s="9" t="s">
        <v>15</v>
      </c>
      <c r="E44" s="10" t="str">
        <f aca="false">IF(D44="?OLD","!!!","")</f>
        <v/>
      </c>
      <c r="F44" s="11" t="str">
        <f aca="false">IF(OR(E44="",E44="!!!"),"",IF(NOT(ISNA(VLOOKUP(E44,E$1:E43,1,FALSE()))),"OLD",IF(AND(E44&lt;&gt;"",E44&lt;&gt;"!!!"),"NEW","")))</f>
        <v/>
      </c>
      <c r="G44" s="12" t="str">
        <f aca="false">IF(OR(E44="",E44="!!!"),"",IF(OR(J44=0,AND(J44=1,K44=1),AND(J44=1,I44="SBJ"),AND(J44=1,I44=0)),"?IN_FOCUS",IF(J44&lt;=2,"?ACTIVATED",IF(J44&lt;&gt;"","?FAMILIAR",IF(F44="NEW",IF(ISNA(VLOOKUP(E44,#REF!,1,FALSE())),"?TYPE_IDENTIFIABLE","?REFERENTIAL"),"_")))))</f>
        <v/>
      </c>
      <c r="H44" s="13" t="str">
        <f aca="false">IF(J44&lt;&gt;1,"",IF(I44="SBJ","CB","?"))</f>
        <v/>
      </c>
      <c r="I44" s="14" t="str">
        <f aca="false">IF(OR(E44="",E44="!!!",F44="NEW"),"",INDEX(B$2:B43,-1+SUMPRODUCT(MAX(ROW(E$2:E43)*(E44=E$2:E43)))))</f>
        <v/>
      </c>
      <c r="J44" s="15" t="str">
        <f aca="true">IF(OR(E44="",E44="!!!",F44="NEW"),"",COUNTBLANK(OFFSET(A$1,,,SUMPRODUCT(MAX(ROW(E$2:E44)*(E44=E$2:E44)))))-COUNTBLANK(OFFSET(A$1,,,SUMPRODUCT(MAX(ROW(E$1:E43)*(E44=E$1:E43))))))</f>
        <v/>
      </c>
      <c r="K44" s="15" t="str">
        <f aca="false">IF(OR(E44="",E44="!!!",F44="NEW"),"",INDEX(J$1:J43,SUMPRODUCT(MAX(ROW(E$1:E43)*(E44=E$1:E43)))))</f>
        <v/>
      </c>
      <c r="L44" s="16"/>
    </row>
    <row r="45" customFormat="false" ht="12.75" hidden="false" customHeight="false" outlineLevel="0" collapsed="false">
      <c r="A45" s="9" t="s">
        <v>67</v>
      </c>
      <c r="B45" s="0" t="s">
        <v>55</v>
      </c>
      <c r="C45" s="0" t="s">
        <v>18</v>
      </c>
      <c r="D45" s="0" t="s">
        <v>19</v>
      </c>
      <c r="E45" s="10" t="s">
        <v>68</v>
      </c>
      <c r="F45" s="11" t="str">
        <f aca="false">IF(OR(E45="",E45="!!!"),"",IF(NOT(ISNA(VLOOKUP(E45,E$1:E44,1,FALSE()))),"OLD",IF(AND(E45&lt;&gt;"",E45&lt;&gt;"!!!"),"NEW","")))</f>
        <v>NEW</v>
      </c>
      <c r="G45" s="12" t="s">
        <v>21</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75" hidden="false" customHeight="false" outlineLevel="0" collapsed="false">
      <c r="A46" s="9" t="s">
        <v>69</v>
      </c>
      <c r="E46" s="10" t="str">
        <f aca="false">IF(D46="?OLD","!!!","")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75" hidden="false" customHeight="false" outlineLevel="0" collapsed="false">
      <c r="A47" s="9" t="s">
        <v>29</v>
      </c>
      <c r="B47" s="0" t="s">
        <v>70</v>
      </c>
      <c r="C47" s="0" t="s">
        <v>31</v>
      </c>
      <c r="D47" s="0" t="s">
        <v>19</v>
      </c>
      <c r="E47" s="10" t="s">
        <v>32</v>
      </c>
      <c r="F47" s="11" t="str">
        <f aca="false">IF(OR(E47="",E47="!!!"),"",IF(NOT(ISNA(VLOOKUP(E47,E$1:E46,1,FALSE()))),"OLD",IF(AND(E47&lt;&gt;"",E47&lt;&gt;"!!!"),"NEW","")))</f>
        <v>OLD</v>
      </c>
      <c r="G47" s="12" t="s">
        <v>65</v>
      </c>
      <c r="H47" s="13" t="str">
        <f aca="false">IF(J47&lt;&gt;1,"",IF(I47="SBJ","CB","?"))</f>
        <v>CB</v>
      </c>
      <c r="I47" s="14" t="str">
        <f aca="false">IF(OR(E47="",E47="!!!",F47="NEW"),"",INDEX(B$2:B46,-1+SUMPRODUCT(MAX(ROW(E$2:E46)*(E47=E$2:E46)))))</f>
        <v>SBJ</v>
      </c>
      <c r="J47" s="15" t="n">
        <f aca="true">IF(OR(E47="",E47="!!!",F47="NEW"),"",COUNTBLANK(OFFSET(A$1,,,SUMPRODUCT(MAX(ROW(E$2:E47)*(E47=E$2:E47)))))-COUNTBLANK(OFFSET(A$1,,,SUMPRODUCT(MAX(ROW(E$1:E46)*(E47=E$1:E46))))))</f>
        <v>1</v>
      </c>
      <c r="K47" s="15" t="str">
        <f aca="false">IF(OR(E47="",E47="!!!",F47="NEW"),"",INDEX(J$1:J46,SUMPRODUCT(MAX(ROW(E$1:E46)*(E47=E$1:E46)))))</f>
        <v/>
      </c>
      <c r="L47" s="16"/>
    </row>
    <row r="48" customFormat="false" ht="12.75" hidden="false" customHeight="false" outlineLevel="0" collapsed="false">
      <c r="A48" s="9" t="s">
        <v>35</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75" hidden="false" customHeight="false" outlineLevel="0" collapsed="false">
      <c r="A49" s="9" t="s">
        <v>71</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75" hidden="false" customHeight="false" outlineLevel="0" collapsed="false">
      <c r="A50" s="9" t="s">
        <v>44</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75" hidden="false" customHeight="false" outlineLevel="0" collapsed="false">
      <c r="E51" s="10" t="str">
        <f aca="false">IF(D51="?OLD","!!!","")</f>
        <v/>
      </c>
      <c r="F51" s="11" t="str">
        <f aca="false">IF(OR(E51="",E51="!!!"),"",IF(NOT(ISNA(VLOOKUP(E51,E$1:E50,1,FALSE()))),"OLD",IF(AND(E51&lt;&gt;"",E51&lt;&gt;"!!!"),"NEW","")))</f>
        <v/>
      </c>
      <c r="G51" s="12" t="str">
        <f aca="false">IF(OR(E51="",E51="!!!"),"",IF(OR(J51=0,AND(J51=1,K51=1),AND(J51=1,I51="SBJ"),AND(J51=1,I51=0)),"?IN_FOCUS",IF(J51&lt;=2,"?ACTIVATED",IF(J51&lt;&gt;"","?FAMILIAR",IF(F51="NEW",IF(ISNA(VLOOKUP(E51,#REF!,1,FALSE())),"?TYPE_IDENTIFIABLE","?REFERENTIAL"),"_")))))</f>
        <v/>
      </c>
      <c r="H51" s="13" t="str">
        <f aca="false">IF(J51&lt;&gt;1,"",IF(I51="SBJ","CB","?"))</f>
        <v/>
      </c>
      <c r="I51" s="14" t="str">
        <f aca="false">IF(OR(E51="",E51="!!!",F51="NEW"),"",INDEX(B$2:B50,-1+SUMPRODUCT(MAX(ROW(E$2:E50)*(E51=E$2:E50)))))</f>
        <v/>
      </c>
      <c r="J51" s="15" t="str">
        <f aca="true">IF(OR(E51="",E51="!!!",F51="NEW"),"",COUNTBLANK(OFFSET(A$1,,,SUMPRODUCT(MAX(ROW(E$2:E51)*(E51=E$2:E51)))))-COUNTBLANK(OFFSET(A$1,,,SUMPRODUCT(MAX(ROW(E$1:E50)*(E51=E$1:E50))))))</f>
        <v/>
      </c>
      <c r="K51" s="15" t="str">
        <f aca="false">IF(OR(E51="",E51="!!!",F51="NEW"),"",INDEX(J$1:J50,SUMPRODUCT(MAX(ROW(E$1:E50)*(E51=E$1:E50)))))</f>
        <v/>
      </c>
      <c r="L51" s="16"/>
    </row>
    <row r="52" customFormat="false" ht="12.75" hidden="false" customHeight="false" outlineLevel="0" collapsed="false">
      <c r="A52" s="9" t="s">
        <v>72</v>
      </c>
      <c r="E52" s="10" t="str">
        <f aca="false">IF(D52="?OLD","!!!","")</f>
        <v/>
      </c>
      <c r="F52" s="11" t="str">
        <f aca="false">IF(OR(E52="",E52="!!!"),"",IF(NOT(ISNA(VLOOKUP(E52,E$1:E51,1,FALSE()))),"OLD",IF(AND(E52&lt;&gt;"",E52&lt;&gt;"!!!"),"NEW","")))</f>
        <v/>
      </c>
      <c r="G52" s="12" t="str">
        <f aca="false">IF(OR(E52="",E52="!!!"),"",IF(OR(J52=0,AND(J52=1,K52=1),AND(J52=1,I52="SBJ"),AND(J52=1,I52=0)),"?IN_FOCUS",IF(J52&lt;=2,"?ACTIVATED",IF(J52&lt;&gt;"","?FAMILIAR",IF(F52="NEW",IF(ISNA(VLOOKUP(E52,#REF!,1,FALSE())),"?TYPE_IDENTIFIABLE","?REFERENTIAL"),"_")))))</f>
        <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75" hidden="false" customHeight="false" outlineLevel="0" collapsed="false">
      <c r="A53" s="9" t="s">
        <v>73</v>
      </c>
      <c r="B53" s="0" t="s">
        <v>30</v>
      </c>
      <c r="C53" s="0" t="s">
        <v>25</v>
      </c>
      <c r="E53" s="10" t="str">
        <f aca="false">IF(D53="?OLD","!!!","")</f>
        <v/>
      </c>
      <c r="F53" s="11" t="str">
        <f aca="false">IF(OR(E53="",E53="!!!"),"",IF(NOT(ISNA(VLOOKUP(E53,E$1:E52,1,FALSE()))),"OLD",IF(AND(E53&lt;&gt;"",E53&lt;&gt;"!!!"),"NEW","")))</f>
        <v/>
      </c>
      <c r="G53" s="12" t="str">
        <f aca="false">IF(OR(E53="",E53="!!!"),"",IF(OR(J53=0,AND(J53=1,K53=1),AND(J53=1,I53="SBJ"),AND(J53=1,I53=0)),"?IN_FOCUS",IF(J53&lt;=2,"?ACTIVATED",IF(J53&lt;&gt;"","?FAMILIAR",IF(F53="NEW",IF(ISNA(VLOOKUP(E53,#REF!,1,FALSE())),"?TYPE_IDENTIFIABLE","?REFERENTIAL"),"_")))))</f>
        <v/>
      </c>
      <c r="H53" s="13" t="str">
        <f aca="false">IF(J53&lt;&gt;1,"",IF(I53="SBJ","CB","?"))</f>
        <v/>
      </c>
      <c r="I53" s="14" t="str">
        <f aca="false">IF(OR(E53="",E53="!!!",F53="NEW"),"",INDEX(B$2:B52,-1+SUMPRODUCT(MAX(ROW(E$2:E52)*(E53=E$2:E52)))))</f>
        <v/>
      </c>
      <c r="J53" s="15" t="str">
        <f aca="true">IF(OR(E53="",E53="!!!",F53="NEW"),"",COUNTBLANK(OFFSET(A$1,,,SUMPRODUCT(MAX(ROW(E$2:E53)*(E53=E$2:E53)))))-COUNTBLANK(OFFSET(A$1,,,SUMPRODUCT(MAX(ROW(E$1:E52)*(E53=E$1:E52))))))</f>
        <v/>
      </c>
      <c r="K53" s="15" t="str">
        <f aca="false">IF(OR(E53="",E53="!!!",F53="NEW"),"",INDEX(J$1:J52,SUMPRODUCT(MAX(ROW(E$1:E52)*(E53=E$1:E52)))))</f>
        <v/>
      </c>
      <c r="L53" s="16"/>
    </row>
    <row r="54" customFormat="false" ht="12.75" hidden="false" customHeight="false" outlineLevel="0" collapsed="false">
      <c r="A54" s="9" t="s">
        <v>57</v>
      </c>
      <c r="E54" s="10" t="str">
        <f aca="false">IF(D54="?OLD","!!!","")</f>
        <v/>
      </c>
      <c r="F54" s="11" t="str">
        <f aca="false">IF(OR(E54="",E54="!!!"),"",IF(NOT(ISNA(VLOOKUP(E54,E$1:E53,1,FALSE()))),"OLD",IF(AND(E54&lt;&gt;"",E54&lt;&gt;"!!!"),"NEW","")))</f>
        <v/>
      </c>
      <c r="G54" s="12" t="str">
        <f aca="false">IF(OR(E54="",E54="!!!"),"",IF(OR(J54=0,AND(J54=1,K54=1),AND(J54=1,I54="SBJ"),AND(J54=1,I54=0)),"?IN_FOCUS",IF(J54&lt;=2,"?ACTIVATED",IF(J54&lt;&gt;"","?FAMILIAR",IF(F54="NEW",IF(ISNA(VLOOKUP(E54,#REF!,1,FALSE())),"?TYPE_IDENTIFIABLE","?REFERENTIAL"),"_")))))</f>
        <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row>
    <row r="55" customFormat="false" ht="12.75" hidden="false" customHeight="false" outlineLevel="0" collapsed="false">
      <c r="A55" s="9" t="s">
        <v>74</v>
      </c>
      <c r="B55" s="0" t="s">
        <v>75</v>
      </c>
      <c r="C55" s="0" t="s">
        <v>25</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75" hidden="false" customHeight="false" outlineLevel="0" collapsed="false">
      <c r="A56" s="9" t="s">
        <v>76</v>
      </c>
      <c r="E56" s="10" t="str">
        <f aca="false">IF(D56="?OLD","!!!","")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75" hidden="false" customHeight="false" outlineLevel="0" collapsed="false">
      <c r="A57" s="9" t="s">
        <v>63</v>
      </c>
      <c r="E57" s="10" t="str">
        <f aca="false">IF(D57="?OLD","!!!","")</f>
        <v/>
      </c>
      <c r="F57" s="11" t="str">
        <f aca="false">IF(OR(E57="",E57="!!!"),"",IF(NOT(ISNA(VLOOKUP(E57,E$1:E56,1,FALSE()))),"OLD",IF(AND(E57&lt;&gt;"",E57&lt;&gt;"!!!"),"NEW","")))</f>
        <v/>
      </c>
      <c r="G57" s="12" t="str">
        <f aca="false">IF(OR(E57="",E57="!!!"),"",IF(OR(J57=0,AND(J57=1,K57=1),AND(J57=1,I57="SBJ"),AND(J57=1,I57=0)),"?IN_FOCUS",IF(J57&lt;=2,"?ACTIVATED",IF(J57&lt;&gt;"","?FAMILIAR",IF(F57="NEW",IF(ISNA(VLOOKUP(E57,#REF!,1,FALSE())),"?TYPE_IDENTIFIABLE","?REFERENTIAL"),"_")))))</f>
        <v/>
      </c>
      <c r="H57" s="13" t="str">
        <f aca="false">IF(J57&lt;&gt;1,"",IF(I57="SBJ","CB","?"))</f>
        <v/>
      </c>
      <c r="I57" s="14" t="str">
        <f aca="false">IF(OR(E57="",E57="!!!",F57="NEW"),"",INDEX(B$2:B56,-1+SUMPRODUCT(MAX(ROW(E$2:E56)*(E57=E$2:E56)))))</f>
        <v/>
      </c>
      <c r="J57" s="15" t="str">
        <f aca="true">IF(OR(E57="",E57="!!!",F57="NEW"),"",COUNTBLANK(OFFSET(A$1,,,SUMPRODUCT(MAX(ROW(E$2:E57)*(E57=E$2:E57)))))-COUNTBLANK(OFFSET(A$1,,,SUMPRODUCT(MAX(ROW(E$1:E56)*(E57=E$1:E56))))))</f>
        <v/>
      </c>
      <c r="K57" s="15" t="str">
        <f aca="false">IF(OR(E57="",E57="!!!",F57="NEW"),"",INDEX(J$1:J56,SUMPRODUCT(MAX(ROW(E$1:E56)*(E57=E$1:E56)))))</f>
        <v/>
      </c>
      <c r="L57" s="16"/>
    </row>
    <row r="58" customFormat="false" ht="12.75" hidden="false" customHeight="false" outlineLevel="0" collapsed="false">
      <c r="A58" s="9" t="s">
        <v>35</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75" hidden="false" customHeight="false" outlineLevel="0" collapsed="false">
      <c r="A59" s="9" t="s">
        <v>77</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75" hidden="false" customHeight="false" outlineLevel="0" collapsed="false">
      <c r="A60" s="9" t="s">
        <v>78</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75" hidden="false" customHeight="false" outlineLevel="0" collapsed="false">
      <c r="A61" s="9" t="s">
        <v>79</v>
      </c>
      <c r="B61" s="0" t="s">
        <v>75</v>
      </c>
      <c r="C61" s="0" t="s">
        <v>31</v>
      </c>
      <c r="D61" s="0" t="s">
        <v>19</v>
      </c>
      <c r="E61" s="10" t="s">
        <v>32</v>
      </c>
      <c r="F61" s="11" t="str">
        <f aca="false">IF(OR(E61="",E61="!!!"),"",IF(NOT(ISNA(VLOOKUP(E61,E$1:E60,1,FALSE()))),"OLD",IF(AND(E61&lt;&gt;"",E61&lt;&gt;"!!!"),"NEW","")))</f>
        <v>OLD</v>
      </c>
      <c r="G61" s="12" t="s">
        <v>65</v>
      </c>
      <c r="H61" s="13" t="s">
        <v>7</v>
      </c>
      <c r="I61" s="14" t="str">
        <f aca="false">IF(OR(E61="",E61="!!!",F61="NEW"),"",INDEX(B$2:B60,-1+SUMPRODUCT(MAX(ROW(E$2:E60)*(E61=E$2:E60)))))</f>
        <v>SBJ_4</v>
      </c>
      <c r="J61" s="15" t="n">
        <f aca="true">IF(OR(E61="",E61="!!!",F61="NEW"),"",COUNTBLANK(OFFSET(A$1,,,SUMPRODUCT(MAX(ROW(E$2:E61)*(E61=E$2:E61)))))-COUNTBLANK(OFFSET(A$1,,,SUMPRODUCT(MAX(ROW(E$1:E60)*(E61=E$1:E60))))))</f>
        <v>1</v>
      </c>
      <c r="K61" s="15" t="n">
        <f aca="false">IF(OR(E61="",E61="!!!",F61="NEW"),"",INDEX(J$1:J60,SUMPRODUCT(MAX(ROW(E$1:E60)*(E61=E$1:E60)))))</f>
        <v>1</v>
      </c>
      <c r="L61" s="16"/>
    </row>
    <row r="62" customFormat="false" ht="12.75" hidden="false" customHeight="false" outlineLevel="0" collapsed="false">
      <c r="A62" s="9" t="s">
        <v>28</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75" hidden="false" customHeight="false" outlineLevel="0" collapsed="false">
      <c r="A63" s="9" t="s">
        <v>63</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75" hidden="false" customHeight="false" outlineLevel="0" collapsed="false">
      <c r="A64" s="9" t="s">
        <v>38</v>
      </c>
      <c r="E64" s="10" t="str">
        <f aca="false">IF(D64="?OLD","!!!","")</f>
        <v/>
      </c>
      <c r="F64" s="11" t="str">
        <f aca="false">IF(OR(E64="",E64="!!!"),"",IF(NOT(ISNA(VLOOKUP(E64,E$1:E63,1,FALSE()))),"OLD",IF(AND(E64&lt;&gt;"",E64&lt;&gt;"!!!"),"NEW","")))</f>
        <v/>
      </c>
      <c r="G64" s="12" t="str">
        <f aca="false">IF(OR(E64="",E64="!!!"),"",IF(OR(J64=0,AND(J64=1,K64=1),AND(J64=1,I64="SBJ"),AND(J64=1,I64=0)),"?IN_FOCUS",IF(J64&lt;=2,"?ACTIVATED",IF(J64&lt;&gt;"","?FAMILIAR",IF(F64="NEW",IF(ISNA(VLOOKUP(E64,#REF!,1,FALSE())),"?TYPE_IDENTIFIABLE","?REFERENTIAL"),"_")))))</f>
        <v/>
      </c>
      <c r="H64" s="13" t="str">
        <f aca="false">IF(J64&lt;&gt;1,"",IF(I64="SBJ","CB","?"))</f>
        <v/>
      </c>
      <c r="I64" s="14" t="str">
        <f aca="false">IF(OR(E64="",E64="!!!",F64="NEW"),"",INDEX(B$2:B63,-1+SUMPRODUCT(MAX(ROW(E$2:E63)*(E64=E$2:E63)))))</f>
        <v/>
      </c>
      <c r="J64" s="15" t="str">
        <f aca="true">IF(OR(E64="",E64="!!!",F64="NEW"),"",COUNTBLANK(OFFSET(A$1,,,SUMPRODUCT(MAX(ROW(E$2:E64)*(E64=E$2:E64)))))-COUNTBLANK(OFFSET(A$1,,,SUMPRODUCT(MAX(ROW(E$1:E63)*(E64=E$1:E63))))))</f>
        <v/>
      </c>
      <c r="K64" s="15" t="str">
        <f aca="false">IF(OR(E64="",E64="!!!",F64="NEW"),"",INDEX(J$1:J63,SUMPRODUCT(MAX(ROW(E$1:E63)*(E64=E$1:E63)))))</f>
        <v/>
      </c>
      <c r="L64" s="16"/>
    </row>
    <row r="65" customFormat="false" ht="12.75" hidden="false" customHeight="false" outlineLevel="0" collapsed="false">
      <c r="A65" s="9" t="s">
        <v>80</v>
      </c>
      <c r="B65" s="0" t="s">
        <v>40</v>
      </c>
      <c r="C65" s="0" t="s">
        <v>41</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75" hidden="false" customHeight="false" outlineLevel="0" collapsed="false">
      <c r="A66" s="9" t="s">
        <v>81</v>
      </c>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75" hidden="false" customHeight="false" outlineLevel="0" collapsed="false">
      <c r="A67" s="9" t="s">
        <v>82</v>
      </c>
      <c r="B67" s="0" t="s">
        <v>75</v>
      </c>
      <c r="C67" s="0" t="s">
        <v>83</v>
      </c>
      <c r="D67" s="0" t="s">
        <v>19</v>
      </c>
      <c r="E67" s="10" t="s">
        <v>84</v>
      </c>
      <c r="F67" s="11" t="str">
        <f aca="false">IF(OR(E67="",E67="!!!"),"",IF(NOT(ISNA(VLOOKUP(E67,E$1:E66,1,FALSE()))),"OLD",IF(AND(E67&lt;&gt;"",E67&lt;&gt;"!!!"),"NEW","")))</f>
        <v>NEW</v>
      </c>
      <c r="G67" s="12" t="s">
        <v>21</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75" hidden="false" customHeight="false" outlineLevel="0" collapsed="false">
      <c r="A68" s="9" t="s">
        <v>22</v>
      </c>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75" hidden="false" customHeight="false" outlineLevel="0" collapsed="false">
      <c r="A69" s="9" t="s">
        <v>79</v>
      </c>
      <c r="B69" s="0" t="s">
        <v>24</v>
      </c>
      <c r="C69" s="0" t="s">
        <v>31</v>
      </c>
      <c r="D69" s="0" t="s">
        <v>19</v>
      </c>
      <c r="E69" s="10" t="s">
        <v>32</v>
      </c>
      <c r="F69" s="11" t="str">
        <f aca="false">IF(OR(E69="",E69="!!!"),"",IF(NOT(ISNA(VLOOKUP(E69,E$1:E68,1,FALSE()))),"OLD",IF(AND(E69&lt;&gt;"",E69&lt;&gt;"!!!"),"NEW","")))</f>
        <v>OLD</v>
      </c>
      <c r="G69" s="12" t="s">
        <v>65</v>
      </c>
      <c r="H69" s="13" t="str">
        <f aca="false">IF(J69&lt;&gt;1,"",IF(I69="SBJ","CB","?"))</f>
        <v/>
      </c>
      <c r="I69" s="14" t="str">
        <f aca="false">IF(OR(E69="",E69="!!!",F69="NEW"),"",INDEX(B$2:B68,-1+SUMPRODUCT(MAX(ROW(E$2:E68)*(E69=E$2:E68)))))</f>
        <v>other_2</v>
      </c>
      <c r="J69" s="15" t="n">
        <f aca="true">IF(OR(E69="",E69="!!!",F69="NEW"),"",COUNTBLANK(OFFSET(A$1,,,SUMPRODUCT(MAX(ROW(E$2:E69)*(E69=E$2:E69)))))-COUNTBLANK(OFFSET(A$1,,,SUMPRODUCT(MAX(ROW(E$1:E68)*(E69=E$1:E68))))))</f>
        <v>0</v>
      </c>
      <c r="K69" s="15" t="n">
        <f aca="false">IF(OR(E69="",E69="!!!",F69="NEW"),"",INDEX(J$1:J68,SUMPRODUCT(MAX(ROW(E$1:E68)*(E69=E$1:E68)))))</f>
        <v>1</v>
      </c>
      <c r="L69" s="16"/>
    </row>
    <row r="70" customFormat="false" ht="12.75" hidden="false" customHeight="false" outlineLevel="0" collapsed="false">
      <c r="A70" s="9" t="s">
        <v>44</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75" hidden="false" customHeight="false" outlineLevel="0" collapsed="false">
      <c r="E71" s="10" t="str">
        <f aca="false">IF(D71="?OLD","!!!","")</f>
        <v/>
      </c>
      <c r="F71" s="11" t="str">
        <f aca="false">IF(OR(E71="",E71="!!!"),"",IF(NOT(ISNA(VLOOKUP(E71,E$1:E70,1,FALSE()))),"OLD",IF(AND(E71&lt;&gt;"",E71&lt;&gt;"!!!"),"NEW","")))</f>
        <v/>
      </c>
      <c r="G71" s="12" t="str">
        <f aca="false">IF(OR(E71="",E71="!!!"),"",IF(OR(J71=0,AND(J71=1,K71=1),AND(J71=1,I71="SBJ"),AND(J71=1,I71=0)),"?IN_FOCUS",IF(J71&lt;=2,"?ACTIVATED",IF(J71&lt;&gt;"","?FAMILIAR",IF(F71="NEW",IF(ISNA(VLOOKUP(E71,#REF!,1,FALSE())),"?TYPE_IDENTIFIABLE","?REFERENTIAL"),"_")))))</f>
        <v/>
      </c>
      <c r="H71" s="13" t="str">
        <f aca="false">IF(J71&lt;&gt;1,"",IF(I71="SBJ","CB","?"))</f>
        <v/>
      </c>
      <c r="I71" s="14" t="str">
        <f aca="false">IF(OR(E71="",E71="!!!",F71="NEW"),"",INDEX(B$2:B70,-1+SUMPRODUCT(MAX(ROW(E$2:E70)*(E71=E$2:E70)))))</f>
        <v/>
      </c>
      <c r="J71" s="15" t="str">
        <f aca="true">IF(OR(E71="",E71="!!!",F71="NEW"),"",COUNTBLANK(OFFSET(A$1,,,SUMPRODUCT(MAX(ROW(E$2:E71)*(E71=E$2:E71)))))-COUNTBLANK(OFFSET(A$1,,,SUMPRODUCT(MAX(ROW(E$1:E70)*(E71=E$1:E70))))))</f>
        <v/>
      </c>
      <c r="K71" s="15" t="str">
        <f aca="false">IF(OR(E71="",E71="!!!",F71="NEW"),"",INDEX(J$1:J70,SUMPRODUCT(MAX(ROW(E$1:E70)*(E71=E$1:E70)))))</f>
        <v/>
      </c>
      <c r="L71" s="16"/>
    </row>
    <row r="72" customFormat="false" ht="12.75" hidden="false" customHeight="false" outlineLevel="0" collapsed="false">
      <c r="A72" s="9" t="s">
        <v>85</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75" hidden="false" customHeight="false" outlineLevel="0" collapsed="false">
      <c r="A73" s="9" t="s">
        <v>86</v>
      </c>
      <c r="B73" s="0" t="s">
        <v>30</v>
      </c>
      <c r="C73" s="0" t="s">
        <v>31</v>
      </c>
      <c r="D73" s="0" t="s">
        <v>19</v>
      </c>
      <c r="E73" s="10" t="s">
        <v>32</v>
      </c>
      <c r="F73" s="11" t="str">
        <f aca="false">IF(OR(E73="",E73="!!!"),"",IF(NOT(ISNA(VLOOKUP(E73,E$1:E72,1,FALSE()))),"OLD",IF(AND(E73&lt;&gt;"",E73&lt;&gt;"!!!"),"NEW","")))</f>
        <v>OLD</v>
      </c>
      <c r="G73" s="12" t="s">
        <v>33</v>
      </c>
      <c r="H73" s="13" t="s">
        <v>7</v>
      </c>
      <c r="I73" s="14" t="str">
        <f aca="false">IF(OR(E73="",E73="!!!",F73="NEW"),"",INDEX(B$2:B72,-1+SUMPRODUCT(MAX(ROW(E$2:E72)*(E73=E$2:E72)))))</f>
        <v>other_3</v>
      </c>
      <c r="J73" s="15" t="n">
        <f aca="true">IF(OR(E73="",E73="!!!",F73="NEW"),"",COUNTBLANK(OFFSET(A$1,,,SUMPRODUCT(MAX(ROW(E$2:E73)*(E73=E$2:E73)))))-COUNTBLANK(OFFSET(A$1,,,SUMPRODUCT(MAX(ROW(E$1:E72)*(E73=E$1:E72))))))</f>
        <v>1</v>
      </c>
      <c r="K73" s="15" t="n">
        <f aca="false">IF(OR(E73="",E73="!!!",F73="NEW"),"",INDEX(J$1:J72,SUMPRODUCT(MAX(ROW(E$1:E72)*(E73=E$1:E72)))))</f>
        <v>0</v>
      </c>
      <c r="L73" s="16"/>
    </row>
    <row r="74" customFormat="false" ht="12.75" hidden="false" customHeight="false" outlineLevel="0" collapsed="false">
      <c r="A74" s="9" t="s">
        <v>35</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75" hidden="false" customHeight="false" outlineLevel="0" collapsed="false">
      <c r="A75" s="9" t="s">
        <v>36</v>
      </c>
      <c r="E75" s="10" t="str">
        <f aca="false">IF(D75="?OLD","!!!","")</f>
        <v/>
      </c>
      <c r="F75" s="11" t="str">
        <f aca="false">IF(OR(E75="",E75="!!!"),"",IF(NOT(ISNA(VLOOKUP(E75,E$1:E74,1,FALSE()))),"OLD",IF(AND(E75&lt;&gt;"",E75&lt;&gt;"!!!"),"NEW","")))</f>
        <v/>
      </c>
      <c r="G75" s="12" t="str">
        <f aca="false">IF(OR(E75="",E75="!!!"),"",IF(OR(J75=0,AND(J75=1,K75=1),AND(J75=1,I75="SBJ"),AND(J75=1,I75=0)),"?IN_FOCUS",IF(J75&lt;=2,"?ACTIVATED",IF(J75&lt;&gt;"","?FAMILIAR",IF(F75="NEW",IF(ISNA(VLOOKUP(E75,#REF!,1,FALSE())),"?TYPE_IDENTIFIABLE","?REFERENTIAL"),"_")))))</f>
        <v/>
      </c>
      <c r="H75" s="13" t="str">
        <f aca="false">IF(J75&lt;&gt;1,"",IF(I75="SBJ","CB","?"))</f>
        <v/>
      </c>
      <c r="I75" s="14" t="str">
        <f aca="false">IF(OR(E75="",E75="!!!",F75="NEW"),"",INDEX(B$2:B74,-1+SUMPRODUCT(MAX(ROW(E$2:E74)*(E75=E$2:E74)))))</f>
        <v/>
      </c>
      <c r="J75" s="15" t="str">
        <f aca="true">IF(OR(E75="",E75="!!!",F75="NEW"),"",COUNTBLANK(OFFSET(A$1,,,SUMPRODUCT(MAX(ROW(E$2:E75)*(E75=E$2:E75)))))-COUNTBLANK(OFFSET(A$1,,,SUMPRODUCT(MAX(ROW(E$1:E74)*(E75=E$1:E74))))))</f>
        <v/>
      </c>
      <c r="K75" s="15" t="str">
        <f aca="false">IF(OR(E75="",E75="!!!",F75="NEW"),"",INDEX(J$1:J74,SUMPRODUCT(MAX(ROW(E$1:E74)*(E75=E$1:E74)))))</f>
        <v/>
      </c>
      <c r="L75" s="16"/>
    </row>
    <row r="76" customFormat="false" ht="12.75" hidden="false" customHeight="false" outlineLevel="0" collapsed="false">
      <c r="A76" s="9" t="s">
        <v>66</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75" hidden="false" customHeight="false" outlineLevel="0" collapsed="false">
      <c r="A77" s="9" t="s">
        <v>37</v>
      </c>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75" hidden="false" customHeight="false" outlineLevel="0" collapsed="false">
      <c r="A78" s="9" t="s">
        <v>15</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75" hidden="false" customHeight="false" outlineLevel="0" collapsed="false">
      <c r="A79" s="9" t="s">
        <v>87</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75" hidden="false" customHeight="false" outlineLevel="0" collapsed="false">
      <c r="A80" s="9" t="s">
        <v>88</v>
      </c>
      <c r="B80" s="0" t="s">
        <v>40</v>
      </c>
      <c r="C80" s="0" t="s">
        <v>18</v>
      </c>
      <c r="D80" s="0" t="s">
        <v>19</v>
      </c>
      <c r="E80" s="10" t="s">
        <v>89</v>
      </c>
      <c r="F80" s="11" t="str">
        <f aca="false">IF(OR(E80="",E80="!!!"),"",IF(NOT(ISNA(VLOOKUP(E80,E$1:E79,1,FALSE()))),"OLD",IF(AND(E80&lt;&gt;"",E80&lt;&gt;"!!!"),"NEW","")))</f>
        <v>NEW</v>
      </c>
      <c r="G80" s="12" t="s">
        <v>52</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75" hidden="false" customHeight="false" outlineLevel="0" collapsed="false">
      <c r="A81" s="9" t="s">
        <v>28</v>
      </c>
      <c r="E81" s="10" t="str">
        <f aca="false">IF(D81="?OLD","!!!","")</f>
        <v/>
      </c>
      <c r="F81" s="11" t="str">
        <f aca="false">IF(OR(E81="",E81="!!!"),"",IF(NOT(ISNA(VLOOKUP(E81,E$1:E80,1,FALSE()))),"OLD",IF(AND(E81&lt;&gt;"",E81&lt;&gt;"!!!"),"NEW","")))</f>
        <v/>
      </c>
      <c r="G81" s="12" t="str">
        <f aca="false">IF(OR(E81="",E81="!!!"),"",IF(OR(J81=0,AND(J81=1,K81=1),AND(J81=1,I81="SBJ"),AND(J81=1,I81=0)),"?IN_FOCUS",IF(J81&lt;=2,"?ACTIVATED",IF(J81&lt;&gt;"","?FAMILIAR",IF(F81="NEW",IF(ISNA(VLOOKUP(E81,#REF!,1,FALSE())),"?TYPE_IDENTIFIABLE","?REFERENTIAL"),"_")))))</f>
        <v/>
      </c>
      <c r="H81" s="13" t="str">
        <f aca="false">IF(J81&lt;&gt;1,"",IF(I81="SBJ","CB","?"))</f>
        <v/>
      </c>
      <c r="I81" s="14" t="str">
        <f aca="false">IF(OR(E81="",E81="!!!",F81="NEW"),"",INDEX(B$2:B80,-1+SUMPRODUCT(MAX(ROW(E$2:E80)*(E81=E$2:E80)))))</f>
        <v/>
      </c>
      <c r="J81" s="15" t="str">
        <f aca="true">IF(OR(E81="",E81="!!!",F81="NEW"),"",COUNTBLANK(OFFSET(A$1,,,SUMPRODUCT(MAX(ROW(E$2:E81)*(E81=E$2:E81)))))-COUNTBLANK(OFFSET(A$1,,,SUMPRODUCT(MAX(ROW(E$1:E80)*(E81=E$1:E80))))))</f>
        <v/>
      </c>
      <c r="K81" s="15" t="str">
        <f aca="false">IF(OR(E81="",E81="!!!",F81="NEW"),"",INDEX(J$1:J80,SUMPRODUCT(MAX(ROW(E$1:E80)*(E81=E$1:E80)))))</f>
        <v/>
      </c>
      <c r="L81" s="16"/>
    </row>
    <row r="82" customFormat="false" ht="12.75" hidden="false" customHeight="false" outlineLevel="0" collapsed="false">
      <c r="A82" s="9" t="s">
        <v>63</v>
      </c>
      <c r="E82" s="10" t="str">
        <f aca="false">IF(D82="?OLD","!!!","")</f>
        <v/>
      </c>
      <c r="F82" s="11" t="str">
        <f aca="false">IF(OR(E82="",E82="!!!"),"",IF(NOT(ISNA(VLOOKUP(E82,E$1:E81,1,FALSE()))),"OLD",IF(AND(E82&lt;&gt;"",E82&lt;&gt;"!!!"),"NEW","")))</f>
        <v/>
      </c>
      <c r="G82" s="12" t="str">
        <f aca="false">IF(OR(E82="",E82="!!!"),"",IF(OR(J82=0,AND(J82=1,K82=1),AND(J82=1,I82="SBJ"),AND(J82=1,I82=0)),"?IN_FOCUS",IF(J82&lt;=2,"?ACTIVATED",IF(J82&lt;&gt;"","?FAMILIAR",IF(F82="NEW",IF(ISNA(VLOOKUP(E82,#REF!,1,FALSE())),"?TYPE_IDENTIFIABLE","?REFERENTIAL"),"_")))))</f>
        <v/>
      </c>
      <c r="H82" s="13" t="str">
        <f aca="false">IF(J82&lt;&gt;1,"",IF(I82="SBJ","CB","?"))</f>
        <v/>
      </c>
      <c r="I82" s="14" t="str">
        <f aca="false">IF(OR(E82="",E82="!!!",F82="NEW"),"",INDEX(B$2:B81,-1+SUMPRODUCT(MAX(ROW(E$2:E81)*(E82=E$2:E81)))))</f>
        <v/>
      </c>
      <c r="J82" s="15" t="str">
        <f aca="true">IF(OR(E82="",E82="!!!",F82="NEW"),"",COUNTBLANK(OFFSET(A$1,,,SUMPRODUCT(MAX(ROW(E$2:E82)*(E82=E$2:E82)))))-COUNTBLANK(OFFSET(A$1,,,SUMPRODUCT(MAX(ROW(E$1:E81)*(E82=E$1:E81))))))</f>
        <v/>
      </c>
      <c r="K82" s="15" t="str">
        <f aca="false">IF(OR(E82="",E82="!!!",F82="NEW"),"",INDEX(J$1:J81,SUMPRODUCT(MAX(ROW(E$1:E81)*(E82=E$1:E81)))))</f>
        <v/>
      </c>
      <c r="L82" s="16"/>
    </row>
    <row r="83" customFormat="false" ht="12.75" hidden="false" customHeight="false" outlineLevel="0" collapsed="false">
      <c r="A83" s="9" t="s">
        <v>90</v>
      </c>
      <c r="E83" s="10" t="str">
        <f aca="false">IF(D83="?OLD","!!!","")</f>
        <v/>
      </c>
      <c r="F83" s="11" t="str">
        <f aca="false">IF(OR(E83="",E83="!!!"),"",IF(NOT(ISNA(VLOOKUP(E83,E$1:E82,1,FALSE()))),"OLD",IF(AND(E83&lt;&gt;"",E83&lt;&gt;"!!!"),"NEW","")))</f>
        <v/>
      </c>
      <c r="G83" s="12" t="str">
        <f aca="false">IF(OR(E83="",E83="!!!"),"",IF(OR(J83=0,AND(J83=1,K83=1),AND(J83=1,I83="SBJ"),AND(J83=1,I83=0)),"?IN_FOCUS",IF(J83&lt;=2,"?ACTIVATED",IF(J83&lt;&gt;"","?FAMILIAR",IF(F83="NEW",IF(ISNA(VLOOKUP(E83,#REF!,1,FALSE())),"?TYPE_IDENTIFIABLE","?REFERENTIAL"),"_")))))</f>
        <v/>
      </c>
      <c r="H83" s="13" t="str">
        <f aca="false">IF(J83&lt;&gt;1,"",IF(I83="SBJ","CB","?"))</f>
        <v/>
      </c>
      <c r="I83" s="14" t="str">
        <f aca="false">IF(OR(E83="",E83="!!!",F83="NEW"),"",INDEX(B$2:B82,-1+SUMPRODUCT(MAX(ROW(E$2:E82)*(E83=E$2:E82)))))</f>
        <v/>
      </c>
      <c r="J83" s="15" t="str">
        <f aca="true">IF(OR(E83="",E83="!!!",F83="NEW"),"",COUNTBLANK(OFFSET(A$1,,,SUMPRODUCT(MAX(ROW(E$2:E83)*(E83=E$2:E83)))))-COUNTBLANK(OFFSET(A$1,,,SUMPRODUCT(MAX(ROW(E$1:E82)*(E83=E$1:E82))))))</f>
        <v/>
      </c>
      <c r="K83" s="15" t="str">
        <f aca="false">IF(OR(E83="",E83="!!!",F83="NEW"),"",INDEX(J$1:J82,SUMPRODUCT(MAX(ROW(E$1:E82)*(E83=E$1:E82)))))</f>
        <v/>
      </c>
      <c r="L83" s="16"/>
    </row>
    <row r="84" customFormat="false" ht="12.75" hidden="false" customHeight="false" outlineLevel="0" collapsed="false">
      <c r="A84" s="9" t="s">
        <v>78</v>
      </c>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75" hidden="false" customHeight="false" outlineLevel="0" collapsed="false">
      <c r="A85" s="9" t="s">
        <v>91</v>
      </c>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75" hidden="false" customHeight="false" outlineLevel="0" collapsed="false">
      <c r="A86" s="9" t="s">
        <v>37</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75" hidden="false" customHeight="false" outlineLevel="0" collapsed="false">
      <c r="A87" s="9" t="s">
        <v>40</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75" hidden="false" customHeight="false" outlineLevel="0" collapsed="false">
      <c r="A88" s="9" t="s">
        <v>92</v>
      </c>
      <c r="B88" s="0" t="s">
        <v>24</v>
      </c>
      <c r="C88" s="0" t="s">
        <v>25</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75" hidden="false" customHeight="false" outlineLevel="0" collapsed="false">
      <c r="A89" s="9" t="s">
        <v>28</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75" hidden="false" customHeight="false" outlineLevel="0" collapsed="false">
      <c r="A90" s="9" t="s">
        <v>93</v>
      </c>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75" hidden="false" customHeight="false" outlineLevel="0" collapsed="false">
      <c r="A91" s="9" t="s">
        <v>15</v>
      </c>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75" hidden="false" customHeight="false" outlineLevel="0" collapsed="false">
      <c r="A92" s="9" t="s">
        <v>88</v>
      </c>
      <c r="B92" s="0" t="s">
        <v>94</v>
      </c>
      <c r="C92" s="0" t="s">
        <v>18</v>
      </c>
      <c r="D92" s="0" t="s">
        <v>19</v>
      </c>
      <c r="E92" s="10" t="s">
        <v>89</v>
      </c>
      <c r="F92" s="11" t="str">
        <f aca="false">IF(OR(E92="",E92="!!!"),"",IF(NOT(ISNA(VLOOKUP(E92,E$1:E91,1,FALSE()))),"OLD",IF(AND(E92&lt;&gt;"",E92&lt;&gt;"!!!"),"NEW","")))</f>
        <v>OLD</v>
      </c>
      <c r="G92" s="12" t="s">
        <v>65</v>
      </c>
      <c r="H92" s="13" t="str">
        <f aca="false">IF(J92&lt;&gt;1,"",IF(I92="SBJ","CB","?"))</f>
        <v/>
      </c>
      <c r="I92" s="14" t="str">
        <f aca="false">IF(OR(E92="",E92="!!!",F92="NEW"),"",INDEX(B$2:B91,-1+SUMPRODUCT(MAX(ROW(E$2:E91)*(E92=E$2:E91)))))</f>
        <v>other</v>
      </c>
      <c r="J92" s="15" t="n">
        <f aca="true">IF(OR(E92="",E92="!!!",F92="NEW"),"",COUNTBLANK(OFFSET(A$1,,,SUMPRODUCT(MAX(ROW(E$2:E92)*(E92=E$2:E92)))))-COUNTBLANK(OFFSET(A$1,,,SUMPRODUCT(MAX(ROW(E$1:E91)*(E92=E$1:E91))))))</f>
        <v>0</v>
      </c>
      <c r="K92" s="15" t="str">
        <f aca="false">IF(OR(E92="",E92="!!!",F92="NEW"),"",INDEX(J$1:J91,SUMPRODUCT(MAX(ROW(E$1:E91)*(E92=E$1:E91)))))</f>
        <v/>
      </c>
      <c r="L92" s="16"/>
    </row>
    <row r="93" customFormat="false" ht="12.75" hidden="false" customHeight="false" outlineLevel="0" collapsed="false">
      <c r="A93" s="9" t="s">
        <v>95</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75" hidden="false" customHeight="false" outlineLevel="0" collapsed="false">
      <c r="A94" s="9" t="s">
        <v>79</v>
      </c>
      <c r="B94" s="0" t="s">
        <v>96</v>
      </c>
      <c r="C94" s="0" t="s">
        <v>31</v>
      </c>
      <c r="D94" s="0" t="s">
        <v>19</v>
      </c>
      <c r="E94" s="10" t="s">
        <v>32</v>
      </c>
      <c r="F94" s="11" t="str">
        <f aca="false">IF(OR(E94="",E94="!!!"),"",IF(NOT(ISNA(VLOOKUP(E94,E$1:E93,1,FALSE()))),"OLD",IF(AND(E94&lt;&gt;"",E94&lt;&gt;"!!!"),"NEW","")))</f>
        <v>OLD</v>
      </c>
      <c r="G94" s="12" t="s">
        <v>65</v>
      </c>
      <c r="H94" s="13" t="str">
        <f aca="false">IF(J94&lt;&gt;1,"",IF(I94="SBJ","CB","?"))</f>
        <v/>
      </c>
      <c r="I94" s="14" t="str">
        <f aca="false">IF(OR(E94="",E94="!!!",F94="NEW"),"",INDEX(B$2:B93,-1+SUMPRODUCT(MAX(ROW(E$2:E93)*(E94=E$2:E93)))))</f>
        <v>SBJ</v>
      </c>
      <c r="J94" s="15" t="n">
        <f aca="true">IF(OR(E94="",E94="!!!",F94="NEW"),"",COUNTBLANK(OFFSET(A$1,,,SUMPRODUCT(MAX(ROW(E$2:E94)*(E94=E$2:E94)))))-COUNTBLANK(OFFSET(A$1,,,SUMPRODUCT(MAX(ROW(E$1:E93)*(E94=E$1:E93))))))</f>
        <v>0</v>
      </c>
      <c r="K94" s="15" t="n">
        <f aca="false">IF(OR(E94="",E94="!!!",F94="NEW"),"",INDEX(J$1:J93,SUMPRODUCT(MAX(ROW(E$1:E93)*(E94=E$1:E93)))))</f>
        <v>1</v>
      </c>
      <c r="L94" s="16"/>
    </row>
    <row r="95" customFormat="false" ht="12.75" hidden="false" customHeight="false" outlineLevel="0" collapsed="false">
      <c r="A95" s="9" t="s">
        <v>15</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75" hidden="false" customHeight="false" outlineLevel="0" collapsed="false">
      <c r="A96" s="9" t="s">
        <v>97</v>
      </c>
      <c r="B96" s="0" t="s">
        <v>96</v>
      </c>
      <c r="C96" s="0" t="s">
        <v>18</v>
      </c>
      <c r="D96" s="0" t="s">
        <v>19</v>
      </c>
      <c r="E96" s="10" t="s">
        <v>98</v>
      </c>
      <c r="F96" s="11" t="str">
        <f aca="false">IF(OR(E96="",E96="!!!"),"",IF(NOT(ISNA(VLOOKUP(E96,E$1:E95,1,FALSE()))),"OLD",IF(AND(E96&lt;&gt;"",E96&lt;&gt;"!!!"),"NEW","")))</f>
        <v>NEW</v>
      </c>
      <c r="G96" s="12" t="s">
        <v>21</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75" hidden="false" customHeight="false" outlineLevel="0" collapsed="false">
      <c r="A97" s="9" t="s">
        <v>78</v>
      </c>
      <c r="E97" s="10" t="str">
        <f aca="false">IF(D97="?OLD","!!!","")</f>
        <v/>
      </c>
      <c r="F97" s="11" t="str">
        <f aca="false">IF(OR(E97="",E97="!!!"),"",IF(NOT(ISNA(VLOOKUP(E97,E$1:E96,1,FALSE()))),"OLD",IF(AND(E97&lt;&gt;"",E97&lt;&gt;"!!!"),"NEW","")))</f>
        <v/>
      </c>
      <c r="G97" s="12" t="str">
        <f aca="false">IF(OR(E97="",E97="!!!"),"",IF(OR(J97=0,AND(J97=1,K97=1),AND(J97=1,I97="SBJ"),AND(J97=1,I97=0)),"?IN_FOCUS",IF(J97&lt;=2,"?ACTIVATED",IF(J97&lt;&gt;"","?FAMILIAR",IF(F97="NEW",IF(ISNA(VLOOKUP(E97,#REF!,1,FALSE())),"?TYPE_IDENTIFIABLE","?REFERENTIAL"),"_")))))</f>
        <v/>
      </c>
      <c r="H97" s="13" t="str">
        <f aca="false">IF(J97&lt;&gt;1,"",IF(I97="SBJ","CB","?"))</f>
        <v/>
      </c>
      <c r="I97" s="14" t="str">
        <f aca="false">IF(OR(E97="",E97="!!!",F97="NEW"),"",INDEX(B$2:B96,-1+SUMPRODUCT(MAX(ROW(E$2:E96)*(E97=E$2:E96)))))</f>
        <v/>
      </c>
      <c r="J97" s="15" t="str">
        <f aca="true">IF(OR(E97="",E97="!!!",F97="NEW"),"",COUNTBLANK(OFFSET(A$1,,,SUMPRODUCT(MAX(ROW(E$2:E97)*(E97=E$2:E97)))))-COUNTBLANK(OFFSET(A$1,,,SUMPRODUCT(MAX(ROW(E$1:E96)*(E97=E$1:E96))))))</f>
        <v/>
      </c>
      <c r="K97" s="15" t="str">
        <f aca="false">IF(OR(E97="",E97="!!!",F97="NEW"),"",INDEX(J$1:J96,SUMPRODUCT(MAX(ROW(E$1:E96)*(E97=E$1:E96)))))</f>
        <v/>
      </c>
      <c r="L97" s="16"/>
    </row>
    <row r="98" customFormat="false" ht="12.75" hidden="false" customHeight="false" outlineLevel="0" collapsed="false">
      <c r="A98" s="9" t="s">
        <v>91</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75" hidden="false" customHeight="false" outlineLevel="0" collapsed="false">
      <c r="A99" s="9" t="s">
        <v>44</v>
      </c>
      <c r="E99" s="10" t="str">
        <f aca="false">IF(D99="?OLD","!!!","")</f>
        <v/>
      </c>
      <c r="F99" s="11" t="str">
        <f aca="false">IF(OR(E99="",E99="!!!"),"",IF(NOT(ISNA(VLOOKUP(E99,E$1:E98,1,FALSE()))),"OLD",IF(AND(E99&lt;&gt;"",E99&lt;&gt;"!!!"),"NEW","")))</f>
        <v/>
      </c>
      <c r="G99" s="12" t="str">
        <f aca="false">IF(OR(E99="",E99="!!!"),"",IF(OR(J99=0,AND(J99=1,K99=1),AND(J99=1,I99="SBJ"),AND(J99=1,I99=0)),"?IN_FOCUS",IF(J99&lt;=2,"?ACTIVATED",IF(J99&lt;&gt;"","?FAMILIAR",IF(F99="NEW",IF(ISNA(VLOOKUP(E99,#REF!,1,FALSE())),"?TYPE_IDENTIFIABLE","?REFERENTIAL"),"_")))))</f>
        <v/>
      </c>
      <c r="H99" s="13" t="str">
        <f aca="false">IF(J99&lt;&gt;1,"",IF(I99="SBJ","CB","?"))</f>
        <v/>
      </c>
      <c r="I99" s="14" t="str">
        <f aca="false">IF(OR(E99="",E99="!!!",F99="NEW"),"",INDEX(B$2:B98,-1+SUMPRODUCT(MAX(ROW(E$2:E98)*(E99=E$2:E98)))))</f>
        <v/>
      </c>
      <c r="J99" s="15" t="str">
        <f aca="true">IF(OR(E99="",E99="!!!",F99="NEW"),"",COUNTBLANK(OFFSET(A$1,,,SUMPRODUCT(MAX(ROW(E$2:E99)*(E99=E$2:E99)))))-COUNTBLANK(OFFSET(A$1,,,SUMPRODUCT(MAX(ROW(E$1:E98)*(E99=E$1:E98))))))</f>
        <v/>
      </c>
      <c r="K99" s="15" t="str">
        <f aca="false">IF(OR(E99="",E99="!!!",F99="NEW"),"",INDEX(J$1:J98,SUMPRODUCT(MAX(ROW(E$1:E98)*(E99=E$1:E98)))))</f>
        <v/>
      </c>
      <c r="L99" s="16"/>
    </row>
    <row r="100" customFormat="false" ht="12.75" hidden="false" customHeight="false" outlineLevel="0" collapsed="false">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75" hidden="false" customHeight="false" outlineLevel="0" collapsed="false">
      <c r="A101" s="9" t="s">
        <v>99</v>
      </c>
      <c r="E101" s="10" t="str">
        <f aca="false">IF(D101="?OLD","!!!","")</f>
        <v/>
      </c>
      <c r="F101" s="11" t="str">
        <f aca="false">IF(OR(E101="",E101="!!!"),"",IF(NOT(ISNA(VLOOKUP(E101,E$1:E100,1,FALSE()))),"OLD",IF(AND(E101&lt;&gt;"",E101&lt;&gt;"!!!"),"NEW","")))</f>
        <v/>
      </c>
      <c r="G101" s="12" t="str">
        <f aca="false">IF(OR(E101="",E101="!!!"),"",IF(OR(J101=0,AND(J101=1,K101=1),AND(J101=1,I101="SBJ"),AND(J101=1,I101=0)),"?IN_FOCUS",IF(J101&lt;=2,"?ACTIVATED",IF(J101&lt;&gt;"","?FAMILIAR",IF(F101="NEW",IF(ISNA(VLOOKUP(E101,#REF!,1,FALSE())),"?TYPE_IDENTIFIABLE","?REFERENTIAL"),"_")))))</f>
        <v/>
      </c>
      <c r="H101" s="13" t="str">
        <f aca="false">IF(J101&lt;&gt;1,"",IF(I101="SBJ","CB","?"))</f>
        <v/>
      </c>
      <c r="I101" s="14" t="str">
        <f aca="false">IF(OR(E101="",E101="!!!",F101="NEW"),"",INDEX(B$2:B100,-1+SUMPRODUCT(MAX(ROW(E$2:E100)*(E101=E$2:E100)))))</f>
        <v/>
      </c>
      <c r="J101" s="15" t="str">
        <f aca="true">IF(OR(E101="",E101="!!!",F101="NEW"),"",COUNTBLANK(OFFSET(A$1,,,SUMPRODUCT(MAX(ROW(E$2:E101)*(E101=E$2:E101)))))-COUNTBLANK(OFFSET(A$1,,,SUMPRODUCT(MAX(ROW(E$1:E100)*(E101=E$1:E100))))))</f>
        <v/>
      </c>
      <c r="K101" s="15" t="str">
        <f aca="false">IF(OR(E101="",E101="!!!",F101="NEW"),"",INDEX(J$1:J100,SUMPRODUCT(MAX(ROW(E$1:E100)*(E101=E$1:E100)))))</f>
        <v/>
      </c>
      <c r="L101" s="16"/>
    </row>
    <row r="102" customFormat="false" ht="12.75" hidden="false" customHeight="false" outlineLevel="0" collapsed="false">
      <c r="A102" s="9" t="s">
        <v>13</v>
      </c>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75" hidden="false" customHeight="false" outlineLevel="0" collapsed="false">
      <c r="A103" s="9" t="s">
        <v>47</v>
      </c>
      <c r="E103" s="10" t="str">
        <f aca="false">IF(D103="?OLD","!!!","")</f>
        <v/>
      </c>
      <c r="F103" s="11" t="str">
        <f aca="false">IF(OR(E103="",E103="!!!"),"",IF(NOT(ISNA(VLOOKUP(E103,E$1:E102,1,FALSE()))),"OLD",IF(AND(E103&lt;&gt;"",E103&lt;&gt;"!!!"),"NEW","")))</f>
        <v/>
      </c>
      <c r="G103" s="12" t="str">
        <f aca="false">IF(OR(E103="",E103="!!!"),"",IF(OR(J103=0,AND(J103=1,K103=1),AND(J103=1,I103="SBJ"),AND(J103=1,I103=0)),"?IN_FOCUS",IF(J103&lt;=2,"?ACTIVATED",IF(J103&lt;&gt;"","?FAMILIAR",IF(F103="NEW",IF(ISNA(VLOOKUP(E103,#REF!,1,FALSE())),"?TYPE_IDENTIFIABLE","?REFERENTIAL"),"_")))))</f>
        <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75" hidden="false" customHeight="false" outlineLevel="0" collapsed="false">
      <c r="A104" s="9" t="s">
        <v>35</v>
      </c>
      <c r="E104" s="10" t="str">
        <f aca="false">IF(D104="?OLD","!!!","")</f>
        <v/>
      </c>
      <c r="F104" s="11" t="str">
        <f aca="false">IF(OR(E104="",E104="!!!"),"",IF(NOT(ISNA(VLOOKUP(E104,E$1:E103,1,FALSE()))),"OLD",IF(AND(E104&lt;&gt;"",E104&lt;&gt;"!!!"),"NEW","")))</f>
        <v/>
      </c>
      <c r="G104" s="12" t="str">
        <f aca="false">IF(OR(E104="",E104="!!!"),"",IF(OR(J104=0,AND(J104=1,K104=1),AND(J104=1,I104="SBJ"),AND(J104=1,I104=0)),"?IN_FOCUS",IF(J104&lt;=2,"?ACTIVATED",IF(J104&lt;&gt;"","?FAMILIAR",IF(F104="NEW",IF(ISNA(VLOOKUP(E104,#REF!,1,FALSE())),"?TYPE_IDENTIFIABLE","?REFERENTIAL"),"_")))))</f>
        <v/>
      </c>
      <c r="H104" s="13" t="str">
        <f aca="false">IF(J104&lt;&gt;1,"",IF(I104="SBJ","CB","?"))</f>
        <v/>
      </c>
      <c r="I104" s="14" t="str">
        <f aca="false">IF(OR(E104="",E104="!!!",F104="NEW"),"",INDEX(B$2:B103,-1+SUMPRODUCT(MAX(ROW(E$2:E103)*(E104=E$2:E103)))))</f>
        <v/>
      </c>
      <c r="J104" s="15" t="str">
        <f aca="true">IF(OR(E104="",E104="!!!",F104="NEW"),"",COUNTBLANK(OFFSET(A$1,,,SUMPRODUCT(MAX(ROW(E$2:E104)*(E104=E$2:E104)))))-COUNTBLANK(OFFSET(A$1,,,SUMPRODUCT(MAX(ROW(E$1:E103)*(E104=E$1:E103))))))</f>
        <v/>
      </c>
      <c r="K104" s="15" t="str">
        <f aca="false">IF(OR(E104="",E104="!!!",F104="NEW"),"",INDEX(J$1:J103,SUMPRODUCT(MAX(ROW(E$1:E103)*(E104=E$1:E103)))))</f>
        <v/>
      </c>
      <c r="L104" s="16"/>
    </row>
    <row r="105" customFormat="false" ht="12.75" hidden="false" customHeight="false" outlineLevel="0" collapsed="false">
      <c r="A105" s="9" t="s">
        <v>100</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75" hidden="false" customHeight="false" outlineLevel="0" collapsed="false">
      <c r="A106" s="9" t="s">
        <v>42</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75" hidden="false" customHeight="false" outlineLevel="0" collapsed="false">
      <c r="A107" s="9" t="s">
        <v>101</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75" hidden="false" customHeight="false" outlineLevel="0" collapsed="false">
      <c r="A108" s="9" t="s">
        <v>102</v>
      </c>
      <c r="B108" s="0" t="s">
        <v>75</v>
      </c>
      <c r="C108" s="0" t="s">
        <v>103</v>
      </c>
      <c r="D108" s="0" t="s">
        <v>19</v>
      </c>
      <c r="E108" s="10" t="s">
        <v>104</v>
      </c>
      <c r="F108" s="11" t="str">
        <f aca="false">IF(OR(E108="",E108="!!!"),"",IF(NOT(ISNA(VLOOKUP(E108,E$1:E107,1,FALSE()))),"OLD",IF(AND(E108&lt;&gt;"",E108&lt;&gt;"!!!"),"NEW","")))</f>
        <v>NEW</v>
      </c>
      <c r="G108" s="12" t="s">
        <v>21</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75" hidden="false" customHeight="false" outlineLevel="0" collapsed="false">
      <c r="A109" s="9" t="s">
        <v>28</v>
      </c>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75" hidden="false" customHeight="false" outlineLevel="0" collapsed="false">
      <c r="A110" s="9" t="s">
        <v>105</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75" hidden="false" customHeight="false" outlineLevel="0" collapsed="false">
      <c r="A111" s="9" t="s">
        <v>106</v>
      </c>
      <c r="B111" s="0" t="s">
        <v>75</v>
      </c>
      <c r="C111" s="0" t="s">
        <v>25</v>
      </c>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75" hidden="false" customHeight="false" outlineLevel="0" collapsed="false">
      <c r="A112" s="9" t="s">
        <v>28</v>
      </c>
      <c r="E112" s="10" t="str">
        <f aca="false">IF(D112="?OLD","!!!","")</f>
        <v/>
      </c>
      <c r="F112" s="11" t="str">
        <f aca="false">IF(OR(E112="",E112="!!!"),"",IF(NOT(ISNA(VLOOKUP(E112,E$1:E111,1,FALSE()))),"OLD",IF(AND(E112&lt;&gt;"",E112&lt;&gt;"!!!"),"NEW","")))</f>
        <v/>
      </c>
      <c r="G112" s="12" t="str">
        <f aca="false">IF(OR(E112="",E112="!!!"),"",IF(OR(J112=0,AND(J112=1,K112=1),AND(J112=1,I112="SBJ"),AND(J112=1,I112=0)),"?IN_FOCUS",IF(J112&lt;=2,"?ACTIVATED",IF(J112&lt;&gt;"","?FAMILIAR",IF(F112="NEW",IF(ISNA(VLOOKUP(E112,#REF!,1,FALSE())),"?TYPE_IDENTIFIABLE","?REFERENTIAL"),"_")))))</f>
        <v/>
      </c>
      <c r="H112" s="13" t="str">
        <f aca="false">IF(J112&lt;&gt;1,"",IF(I112="SBJ","CB","?"))</f>
        <v/>
      </c>
      <c r="I112" s="14" t="str">
        <f aca="false">IF(OR(E112="",E112="!!!",F112="NEW"),"",INDEX(B$2:B111,-1+SUMPRODUCT(MAX(ROW(E$2:E111)*(E112=E$2:E111)))))</f>
        <v/>
      </c>
      <c r="J112" s="15" t="str">
        <f aca="true">IF(OR(E112="",E112="!!!",F112="NEW"),"",COUNTBLANK(OFFSET(A$1,,,SUMPRODUCT(MAX(ROW(E$2:E112)*(E112=E$2:E112)))))-COUNTBLANK(OFFSET(A$1,,,SUMPRODUCT(MAX(ROW(E$1:E111)*(E112=E$1:E111))))))</f>
        <v/>
      </c>
      <c r="K112" s="15" t="str">
        <f aca="false">IF(OR(E112="",E112="!!!",F112="NEW"),"",INDEX(J$1:J111,SUMPRODUCT(MAX(ROW(E$1:E111)*(E112=E$1:E111)))))</f>
        <v/>
      </c>
      <c r="L112" s="16"/>
    </row>
    <row r="113" customFormat="false" ht="12.75" hidden="false" customHeight="false" outlineLevel="0" collapsed="false">
      <c r="A113" s="9" t="s">
        <v>49</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75" hidden="false" customHeight="false" outlineLevel="0" collapsed="false">
      <c r="A114" s="9" t="s">
        <v>107</v>
      </c>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75" hidden="false" customHeight="false" outlineLevel="0" collapsed="false">
      <c r="A115" s="9" t="s">
        <v>108</v>
      </c>
      <c r="B115" s="0" t="s">
        <v>40</v>
      </c>
      <c r="C115" s="0" t="s">
        <v>109</v>
      </c>
      <c r="E115" s="10" t="str">
        <f aca="false">IF(D115="?OLD","!!!","")</f>
        <v/>
      </c>
      <c r="F115" s="11" t="str">
        <f aca="false">IF(OR(E115="",E115="!!!"),"",IF(NOT(ISNA(VLOOKUP(E115,E$1:E114,1,FALSE()))),"OLD",IF(AND(E115&lt;&gt;"",E115&lt;&gt;"!!!"),"NEW","")))</f>
        <v/>
      </c>
      <c r="G115" s="12" t="str">
        <f aca="false">IF(OR(E115="",E115="!!!"),"",IF(OR(J115=0,AND(J115=1,K115=1),AND(J115=1,I115="SBJ"),AND(J115=1,I115=0)),"?IN_FOCUS",IF(J115&lt;=2,"?ACTIVATED",IF(J115&lt;&gt;"","?FAMILIAR",IF(F115="NEW",IF(ISNA(VLOOKUP(E115,#REF!,1,FALSE())),"?TYPE_IDENTIFIABLE","?REFERENTIAL"),"_")))))</f>
        <v/>
      </c>
      <c r="H115" s="13" t="str">
        <f aca="false">IF(J115&lt;&gt;1,"",IF(I115="SBJ","CB","?"))</f>
        <v/>
      </c>
      <c r="I115" s="14" t="str">
        <f aca="false">IF(OR(E115="",E115="!!!",F115="NEW"),"",INDEX(B$2:B114,-1+SUMPRODUCT(MAX(ROW(E$2:E114)*(E115=E$2:E114)))))</f>
        <v/>
      </c>
      <c r="J115" s="15" t="str">
        <f aca="true">IF(OR(E115="",E115="!!!",F115="NEW"),"",COUNTBLANK(OFFSET(A$1,,,SUMPRODUCT(MAX(ROW(E$2:E115)*(E115=E$2:E115)))))-COUNTBLANK(OFFSET(A$1,,,SUMPRODUCT(MAX(ROW(E$1:E114)*(E115=E$1:E114))))))</f>
        <v/>
      </c>
      <c r="K115" s="15" t="str">
        <f aca="false">IF(OR(E115="",E115="!!!",F115="NEW"),"",INDEX(J$1:J114,SUMPRODUCT(MAX(ROW(E$1:E114)*(E115=E$1:E114)))))</f>
        <v/>
      </c>
      <c r="L115" s="16"/>
    </row>
    <row r="116" customFormat="false" ht="12.75" hidden="false" customHeight="false" outlineLevel="0" collapsed="false">
      <c r="A116" s="9" t="s">
        <v>110</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75" hidden="false" customHeight="false" outlineLevel="0" collapsed="false">
      <c r="A117" s="9" t="s">
        <v>15</v>
      </c>
      <c r="E117" s="10" t="str">
        <f aca="false">IF(D117="?OLD","!!!","")</f>
        <v/>
      </c>
      <c r="F117" s="11" t="str">
        <f aca="false">IF(OR(E117="",E117="!!!"),"",IF(NOT(ISNA(VLOOKUP(E117,E$1:E116,1,FALSE()))),"OLD",IF(AND(E117&lt;&gt;"",E117&lt;&gt;"!!!"),"NEW","")))</f>
        <v/>
      </c>
      <c r="G117" s="12" t="str">
        <f aca="false">IF(OR(E117="",E117="!!!"),"",IF(OR(J117=0,AND(J117=1,K117=1),AND(J117=1,I117="SBJ"),AND(J117=1,I117=0)),"?IN_FOCUS",IF(J117&lt;=2,"?ACTIVATED",IF(J117&lt;&gt;"","?FAMILIAR",IF(F117="NEW",IF(ISNA(VLOOKUP(E117,#REF!,1,FALSE())),"?TYPE_IDENTIFIABLE","?REFERENTIAL"),"_")))))</f>
        <v/>
      </c>
      <c r="H117" s="13" t="str">
        <f aca="false">IF(J117&lt;&gt;1,"",IF(I117="SBJ","CB","?"))</f>
        <v/>
      </c>
      <c r="I117" s="14" t="str">
        <f aca="false">IF(OR(E117="",E117="!!!",F117="NEW"),"",INDEX(B$2:B116,-1+SUMPRODUCT(MAX(ROW(E$2:E116)*(E117=E$2:E116)))))</f>
        <v/>
      </c>
      <c r="J117" s="15" t="str">
        <f aca="true">IF(OR(E117="",E117="!!!",F117="NEW"),"",COUNTBLANK(OFFSET(A$1,,,SUMPRODUCT(MAX(ROW(E$2:E117)*(E117=E$2:E117)))))-COUNTBLANK(OFFSET(A$1,,,SUMPRODUCT(MAX(ROW(E$1:E116)*(E117=E$1:E116))))))</f>
        <v/>
      </c>
      <c r="K117" s="15" t="str">
        <f aca="false">IF(OR(E117="",E117="!!!",F117="NEW"),"",INDEX(J$1:J116,SUMPRODUCT(MAX(ROW(E$1:E116)*(E117=E$1:E116)))))</f>
        <v/>
      </c>
      <c r="L117" s="16"/>
    </row>
    <row r="118" customFormat="false" ht="12.75" hidden="false" customHeight="false" outlineLevel="0" collapsed="false">
      <c r="A118" s="9" t="s">
        <v>50</v>
      </c>
      <c r="B118" s="0" t="s">
        <v>75</v>
      </c>
      <c r="C118" s="0" t="s">
        <v>18</v>
      </c>
      <c r="D118" s="0" t="s">
        <v>19</v>
      </c>
      <c r="E118" s="10" t="s">
        <v>51</v>
      </c>
      <c r="F118" s="11" t="str">
        <f aca="false">IF(OR(E118="",E118="!!!"),"",IF(NOT(ISNA(VLOOKUP(E118,E$1:E117,1,FALSE()))),"OLD",IF(AND(E118&lt;&gt;"",E118&lt;&gt;"!!!"),"NEW","")))</f>
        <v>OLD</v>
      </c>
      <c r="G118" s="12" t="s">
        <v>52</v>
      </c>
      <c r="H118" s="13" t="str">
        <f aca="false">IF(J118&lt;&gt;1,"",IF(I118="SBJ","CB","?"))</f>
        <v/>
      </c>
      <c r="I118" s="14" t="str">
        <f aca="false">IF(OR(E118="",E118="!!!",F118="NEW"),"",INDEX(B$2:B117,-1+SUMPRODUCT(MAX(ROW(E$2:E117)*(E118=E$2:E117)))))</f>
        <v>other</v>
      </c>
      <c r="J118" s="15" t="n">
        <f aca="true">IF(OR(E118="",E118="!!!",F118="NEW"),"",COUNTBLANK(OFFSET(A$1,,,SUMPRODUCT(MAX(ROW(E$2:E118)*(E118=E$2:E118)))))-COUNTBLANK(OFFSET(A$1,,,SUMPRODUCT(MAX(ROW(E$1:E117)*(E118=E$1:E117))))))</f>
        <v>3</v>
      </c>
      <c r="K118" s="15" t="str">
        <f aca="false">IF(OR(E118="",E118="!!!",F118="NEW"),"",INDEX(J$1:J117,SUMPRODUCT(MAX(ROW(E$1:E117)*(E118=E$1:E117)))))</f>
        <v/>
      </c>
      <c r="L118" s="16"/>
    </row>
    <row r="119" customFormat="false" ht="12.75" hidden="false" customHeight="false" outlineLevel="0" collapsed="false">
      <c r="A119" s="9" t="s">
        <v>44</v>
      </c>
      <c r="E119" s="10" t="str">
        <f aca="false">IF(D119="?OLD","!!!","")</f>
        <v/>
      </c>
      <c r="F119" s="11" t="str">
        <f aca="false">IF(OR(E119="",E119="!!!"),"",IF(NOT(ISNA(VLOOKUP(E119,E$1:E118,1,FALSE()))),"OLD",IF(AND(E119&lt;&gt;"",E119&lt;&gt;"!!!"),"NEW","")))</f>
        <v/>
      </c>
      <c r="G119" s="12" t="str">
        <f aca="false">IF(OR(E119="",E119="!!!"),"",IF(OR(J119=0,AND(J119=1,K119=1),AND(J119=1,I119="SBJ"),AND(J119=1,I119=0)),"?IN_FOCUS",IF(J119&lt;=2,"?ACTIVATED",IF(J119&lt;&gt;"","?FAMILIAR",IF(F119="NEW",IF(ISNA(VLOOKUP(E119,#REF!,1,FALSE())),"?TYPE_IDENTIFIABLE","?REFERENTIAL"),"_")))))</f>
        <v/>
      </c>
      <c r="H119" s="13" t="str">
        <f aca="false">IF(J119&lt;&gt;1,"",IF(I119="SBJ","CB","?"))</f>
        <v/>
      </c>
      <c r="I119" s="14" t="str">
        <f aca="false">IF(OR(E119="",E119="!!!",F119="NEW"),"",INDEX(B$2:B118,-1+SUMPRODUCT(MAX(ROW(E$2:E118)*(E119=E$2:E118)))))</f>
        <v/>
      </c>
      <c r="J119" s="15" t="str">
        <f aca="true">IF(OR(E119="",E119="!!!",F119="NEW"),"",COUNTBLANK(OFFSET(A$1,,,SUMPRODUCT(MAX(ROW(E$2:E119)*(E119=E$2:E119)))))-COUNTBLANK(OFFSET(A$1,,,SUMPRODUCT(MAX(ROW(E$1:E118)*(E119=E$1:E118))))))</f>
        <v/>
      </c>
      <c r="K119" s="15" t="str">
        <f aca="false">IF(OR(E119="",E119="!!!",F119="NEW"),"",INDEX(J$1:J118,SUMPRODUCT(MAX(ROW(E$1:E118)*(E119=E$1:E118)))))</f>
        <v/>
      </c>
      <c r="L119" s="16"/>
    </row>
    <row r="120" customFormat="false" ht="12.75" hidden="false" customHeight="false" outlineLevel="0" collapsed="false">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75" hidden="false" customHeight="false" outlineLevel="0" collapsed="false">
      <c r="A121" s="9" t="s">
        <v>111</v>
      </c>
      <c r="E121" s="10" t="str">
        <f aca="false">IF(D121="?OLD","!!!","")</f>
        <v/>
      </c>
      <c r="F121" s="11" t="str">
        <f aca="false">IF(OR(E121="",E121="!!!"),"",IF(NOT(ISNA(VLOOKUP(E121,E$1:E120,1,FALSE()))),"OLD",IF(AND(E121&lt;&gt;"",E121&lt;&gt;"!!!"),"NEW","")))</f>
        <v/>
      </c>
      <c r="G121" s="12" t="str">
        <f aca="false">IF(OR(E121="",E121="!!!"),"",IF(OR(J121=0,AND(J121=1,K121=1),AND(J121=1,I121="SBJ"),AND(J121=1,I121=0)),"?IN_FOCUS",IF(J121&lt;=2,"?ACTIVATED",IF(J121&lt;&gt;"","?FAMILIAR",IF(F121="NEW",IF(ISNA(VLOOKUP(E121,#REF!,1,FALSE())),"?TYPE_IDENTIFIABLE","?REFERENTIAL"),"_")))))</f>
        <v/>
      </c>
      <c r="H121" s="13" t="str">
        <f aca="false">IF(J121&lt;&gt;1,"",IF(I121="SBJ","CB","?"))</f>
        <v/>
      </c>
      <c r="I121" s="14" t="str">
        <f aca="false">IF(OR(E121="",E121="!!!",F121="NEW"),"",INDEX(B$2:B120,-1+SUMPRODUCT(MAX(ROW(E$2:E120)*(E121=E$2:E120)))))</f>
        <v/>
      </c>
      <c r="J121" s="15" t="str">
        <f aca="true">IF(OR(E121="",E121="!!!",F121="NEW"),"",COUNTBLANK(OFFSET(A$1,,,SUMPRODUCT(MAX(ROW(E$2:E121)*(E121=E$2:E121)))))-COUNTBLANK(OFFSET(A$1,,,SUMPRODUCT(MAX(ROW(E$1:E120)*(E121=E$1:E120))))))</f>
        <v/>
      </c>
      <c r="K121" s="15" t="str">
        <f aca="false">IF(OR(E121="",E121="!!!",F121="NEW"),"",INDEX(J$1:J120,SUMPRODUCT(MAX(ROW(E$1:E120)*(E121=E$1:E120)))))</f>
        <v/>
      </c>
      <c r="L121" s="16"/>
    </row>
    <row r="122" customFormat="false" ht="12.75" hidden="false" customHeight="false" outlineLevel="0" collapsed="false">
      <c r="A122" s="9" t="s">
        <v>112</v>
      </c>
      <c r="E122" s="10" t="str">
        <f aca="false">IF(D122="?OLD","!!!","")</f>
        <v/>
      </c>
      <c r="F122" s="11" t="str">
        <f aca="false">IF(OR(E122="",E122="!!!"),"",IF(NOT(ISNA(VLOOKUP(E122,E$1:E121,1,FALSE()))),"OLD",IF(AND(E122&lt;&gt;"",E122&lt;&gt;"!!!"),"NEW","")))</f>
        <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75" hidden="false" customHeight="false" outlineLevel="0" collapsed="false">
      <c r="A123" s="9" t="s">
        <v>113</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75" hidden="false" customHeight="false" outlineLevel="0" collapsed="false">
      <c r="A124" s="9" t="s">
        <v>54</v>
      </c>
      <c r="B124" s="0" t="s">
        <v>17</v>
      </c>
      <c r="C124" s="0" t="s">
        <v>114</v>
      </c>
      <c r="D124" s="0" t="s">
        <v>19</v>
      </c>
      <c r="E124" s="10" t="s">
        <v>115</v>
      </c>
      <c r="F124" s="11" t="str">
        <f aca="false">IF(OR(E124="",E124="!!!"),"",IF(NOT(ISNA(VLOOKUP(E124,E$1:E123,1,FALSE()))),"OLD",IF(AND(E124&lt;&gt;"",E124&lt;&gt;"!!!"),"NEW","")))</f>
        <v>NEW</v>
      </c>
      <c r="G124" s="12" t="s">
        <v>21</v>
      </c>
      <c r="H124" s="13" t="str">
        <f aca="false">IF(J124&lt;&gt;1,"",IF(I124="SBJ","CB","?"))</f>
        <v/>
      </c>
      <c r="I124" s="14" t="str">
        <f aca="false">IF(OR(E124="",E124="!!!",F124="NEW"),"",INDEX(B$2:B123,-1+SUMPRODUCT(MAX(ROW(E$2:E123)*(E124=E$2:E123)))))</f>
        <v/>
      </c>
      <c r="J124" s="15" t="str">
        <f aca="true">IF(OR(E124="",E124="!!!",F124="NEW"),"",COUNTBLANK(OFFSET(A$1,,,SUMPRODUCT(MAX(ROW(E$2:E124)*(E124=E$2:E124)))))-COUNTBLANK(OFFSET(A$1,,,SUMPRODUCT(MAX(ROW(E$1:E123)*(E124=E$1:E123))))))</f>
        <v/>
      </c>
      <c r="K124" s="15" t="str">
        <f aca="false">IF(OR(E124="",E124="!!!",F124="NEW"),"",INDEX(J$1:J123,SUMPRODUCT(MAX(ROW(E$1:E123)*(E124=E$1:E123)))))</f>
        <v/>
      </c>
      <c r="L124" s="16"/>
    </row>
    <row r="125" customFormat="false" ht="12.75" hidden="false" customHeight="false" outlineLevel="0" collapsed="false">
      <c r="A125" s="9" t="s">
        <v>116</v>
      </c>
      <c r="E125" s="10" t="str">
        <f aca="false">IF(D125="?OLD","!!!","")</f>
        <v/>
      </c>
      <c r="F125" s="11" t="str">
        <f aca="false">IF(OR(E125="",E125="!!!"),"",IF(NOT(ISNA(VLOOKUP(E125,E$1:E124,1,FALSE()))),"OLD",IF(AND(E125&lt;&gt;"",E125&lt;&gt;"!!!"),"NEW","")))</f>
        <v/>
      </c>
      <c r="G125" s="12" t="str">
        <f aca="false">IF(OR(E125="",E125="!!!"),"",IF(OR(J125=0,AND(J125=1,K125=1),AND(J125=1,I125="SBJ"),AND(J125=1,I125=0)),"?IN_FOCUS",IF(J125&lt;=2,"?ACTIVATED",IF(J125&lt;&gt;"","?FAMILIAR",IF(F125="NEW",IF(ISNA(VLOOKUP(E125,#REF!,1,FALSE())),"?TYPE_IDENTIFIABLE","?REFERENTIAL"),"_")))))</f>
        <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75" hidden="false" customHeight="false" outlineLevel="0" collapsed="false">
      <c r="A126" s="9" t="s">
        <v>117</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75" hidden="false" customHeight="false" outlineLevel="0" collapsed="false">
      <c r="A127" s="9" t="s">
        <v>28</v>
      </c>
      <c r="E127" s="10" t="str">
        <f aca="false">IF(D127="?OLD","!!!","")</f>
        <v/>
      </c>
      <c r="F127" s="11" t="str">
        <f aca="false">IF(OR(E127="",E127="!!!"),"",IF(NOT(ISNA(VLOOKUP(E127,E$1:E126,1,FALSE()))),"OLD",IF(AND(E127&lt;&gt;"",E127&lt;&gt;"!!!"),"NEW","")))</f>
        <v/>
      </c>
      <c r="G127" s="12" t="str">
        <f aca="false">IF(OR(E127="",E127="!!!"),"",IF(OR(J127=0,AND(J127=1,K127=1),AND(J127=1,I127="SBJ"),AND(J127=1,I127=0)),"?IN_FOCUS",IF(J127&lt;=2,"?ACTIVATED",IF(J127&lt;&gt;"","?FAMILIAR",IF(F127="NEW",IF(ISNA(VLOOKUP(E127,#REF!,1,FALSE())),"?TYPE_IDENTIFIABLE","?REFERENTIAL"),"_")))))</f>
        <v/>
      </c>
      <c r="H127" s="13" t="str">
        <f aca="false">IF(J127&lt;&gt;1,"",IF(I127="SBJ","CB","?"))</f>
        <v/>
      </c>
      <c r="I127" s="14" t="str">
        <f aca="false">IF(OR(E127="",E127="!!!",F127="NEW"),"",INDEX(B$2:B126,-1+SUMPRODUCT(MAX(ROW(E$2:E126)*(E127=E$2:E126)))))</f>
        <v/>
      </c>
      <c r="J127" s="15" t="str">
        <f aca="true">IF(OR(E127="",E127="!!!",F127="NEW"),"",COUNTBLANK(OFFSET(A$1,,,SUMPRODUCT(MAX(ROW(E$2:E127)*(E127=E$2:E127)))))-COUNTBLANK(OFFSET(A$1,,,SUMPRODUCT(MAX(ROW(E$1:E126)*(E127=E$1:E126))))))</f>
        <v/>
      </c>
      <c r="K127" s="15" t="str">
        <f aca="false">IF(OR(E127="",E127="!!!",F127="NEW"),"",INDEX(J$1:J126,SUMPRODUCT(MAX(ROW(E$1:E126)*(E127=E$1:E126)))))</f>
        <v/>
      </c>
      <c r="L127" s="16"/>
    </row>
    <row r="128" customFormat="false" ht="12.75" hidden="false" customHeight="false" outlineLevel="0" collapsed="false">
      <c r="A128" s="9" t="s">
        <v>15</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75" hidden="false" customHeight="false" outlineLevel="0" collapsed="false">
      <c r="A129" s="9" t="s">
        <v>118</v>
      </c>
      <c r="B129" s="0" t="s">
        <v>30</v>
      </c>
      <c r="C129" s="0" t="s">
        <v>18</v>
      </c>
      <c r="D129" s="0" t="s">
        <v>19</v>
      </c>
      <c r="E129" s="10" t="s">
        <v>119</v>
      </c>
      <c r="F129" s="11" t="str">
        <f aca="false">IF(OR(E129="",E129="!!!"),"",IF(NOT(ISNA(VLOOKUP(E129,E$1:E128,1,FALSE()))),"OLD",IF(AND(E129&lt;&gt;"",E129&lt;&gt;"!!!"),"NEW","")))</f>
        <v>NEW</v>
      </c>
      <c r="G129" s="12" t="s">
        <v>21</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row>
    <row r="130" customFormat="false" ht="12.75" hidden="false" customHeight="false" outlineLevel="0" collapsed="false">
      <c r="A130" s="9" t="s">
        <v>48</v>
      </c>
      <c r="E130" s="10" t="str">
        <f aca="false">IF(D130="?OLD","!!!","")</f>
        <v/>
      </c>
      <c r="F130" s="11" t="str">
        <f aca="false">IF(OR(E130="",E130="!!!"),"",IF(NOT(ISNA(VLOOKUP(E130,E$1:E129,1,FALSE()))),"OLD",IF(AND(E130&lt;&gt;"",E130&lt;&gt;"!!!"),"NEW","")))</f>
        <v/>
      </c>
      <c r="G130" s="12" t="str">
        <f aca="false">IF(OR(E130="",E130="!!!"),"",IF(OR(J130=0,AND(J130=1,K130=1),AND(J130=1,I130="SBJ"),AND(J130=1,I130=0)),"?IN_FOCUS",IF(J130&lt;=2,"?ACTIVATED",IF(J130&lt;&gt;"","?FAMILIAR",IF(F130="NEW",IF(ISNA(VLOOKUP(E130,#REF!,1,FALSE())),"?TYPE_IDENTIFIABLE","?REFERENTIAL"),"_")))))</f>
        <v/>
      </c>
      <c r="H130" s="13" t="str">
        <f aca="false">IF(J130&lt;&gt;1,"",IF(I130="SBJ","CB","?"))</f>
        <v/>
      </c>
      <c r="I130" s="14" t="str">
        <f aca="false">IF(OR(E130="",E130="!!!",F130="NEW"),"",INDEX(B$2:B129,-1+SUMPRODUCT(MAX(ROW(E$2:E129)*(E130=E$2:E129)))))</f>
        <v/>
      </c>
      <c r="J130" s="15" t="str">
        <f aca="true">IF(OR(E130="",E130="!!!",F130="NEW"),"",COUNTBLANK(OFFSET(A$1,,,SUMPRODUCT(MAX(ROW(E$2:E130)*(E130=E$2:E130)))))-COUNTBLANK(OFFSET(A$1,,,SUMPRODUCT(MAX(ROW(E$1:E129)*(E130=E$1:E129))))))</f>
        <v/>
      </c>
      <c r="K130" s="15" t="str">
        <f aca="false">IF(OR(E130="",E130="!!!",F130="NEW"),"",INDEX(J$1:J129,SUMPRODUCT(MAX(ROW(E$1:E129)*(E130=E$1:E129)))))</f>
        <v/>
      </c>
      <c r="L130" s="16"/>
    </row>
    <row r="131" customFormat="false" ht="12.75" hidden="false" customHeight="false" outlineLevel="0" collapsed="false">
      <c r="A131" s="9" t="s">
        <v>120</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75" hidden="false" customHeight="false" outlineLevel="0" collapsed="false">
      <c r="A132" s="9" t="s">
        <v>28</v>
      </c>
      <c r="E132" s="10" t="str">
        <f aca="false">IF(D132="?OLD","!!!","")</f>
        <v/>
      </c>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row>
    <row r="133" customFormat="false" ht="12.75" hidden="false" customHeight="false" outlineLevel="0" collapsed="false">
      <c r="A133" s="9" t="s">
        <v>63</v>
      </c>
      <c r="E133" s="10" t="str">
        <f aca="false">IF(D133="?OLD","!!!","")</f>
        <v/>
      </c>
      <c r="F133" s="11" t="str">
        <f aca="false">IF(OR(E133="",E133="!!!"),"",IF(NOT(ISNA(VLOOKUP(E133,E$1:E132,1,FALSE()))),"OLD",IF(AND(E133&lt;&gt;"",E133&lt;&gt;"!!!"),"NEW","")))</f>
        <v/>
      </c>
      <c r="G133" s="12" t="str">
        <f aca="false">IF(OR(E133="",E133="!!!"),"",IF(OR(J133=0,AND(J133=1,K133=1),AND(J133=1,I133="SBJ"),AND(J133=1,I133=0)),"?IN_FOCUS",IF(J133&lt;=2,"?ACTIVATED",IF(J133&lt;&gt;"","?FAMILIAR",IF(F133="NEW",IF(ISNA(VLOOKUP(E133,#REF!,1,FALSE())),"?TYPE_IDENTIFIABLE","?REFERENTIAL"),"_")))))</f>
        <v/>
      </c>
      <c r="H133" s="13" t="str">
        <f aca="false">IF(J133&lt;&gt;1,"",IF(I133="SBJ","CB","?"))</f>
        <v/>
      </c>
      <c r="I133" s="14" t="str">
        <f aca="false">IF(OR(E133="",E133="!!!",F133="NEW"),"",INDEX(B$2:B132,-1+SUMPRODUCT(MAX(ROW(E$2:E132)*(E133=E$2:E132)))))</f>
        <v/>
      </c>
      <c r="J133" s="15" t="str">
        <f aca="true">IF(OR(E133="",E133="!!!",F133="NEW"),"",COUNTBLANK(OFFSET(A$1,,,SUMPRODUCT(MAX(ROW(E$2:E133)*(E133=E$2:E133)))))-COUNTBLANK(OFFSET(A$1,,,SUMPRODUCT(MAX(ROW(E$1:E132)*(E133=E$1:E132))))))</f>
        <v/>
      </c>
      <c r="K133" s="15" t="str">
        <f aca="false">IF(OR(E133="",E133="!!!",F133="NEW"),"",INDEX(J$1:J132,SUMPRODUCT(MAX(ROW(E$1:E132)*(E133=E$1:E132)))))</f>
        <v/>
      </c>
      <c r="L133" s="16"/>
    </row>
    <row r="134" customFormat="false" ht="12.75" hidden="false" customHeight="false" outlineLevel="0" collapsed="false">
      <c r="A134" s="9" t="s">
        <v>35</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75" hidden="false" customHeight="false" outlineLevel="0" collapsed="false">
      <c r="A135" s="9" t="s">
        <v>121</v>
      </c>
      <c r="E135" s="10" t="str">
        <f aca="false">IF(D135="?OLD","!!!","")</f>
        <v/>
      </c>
      <c r="F135" s="11" t="str">
        <f aca="false">IF(OR(E135="",E135="!!!"),"",IF(NOT(ISNA(VLOOKUP(E135,E$1:E134,1,FALSE()))),"OLD",IF(AND(E135&lt;&gt;"",E135&lt;&gt;"!!!"),"NEW","")))</f>
        <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75" hidden="false" customHeight="false" outlineLevel="0" collapsed="false">
      <c r="A136" s="9" t="s">
        <v>28</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75" hidden="false" customHeight="false" outlineLevel="0" collapsed="false">
      <c r="A137" s="9" t="s">
        <v>122</v>
      </c>
      <c r="E137" s="10" t="str">
        <f aca="false">IF(D137="?OLD","!!!","")</f>
        <v/>
      </c>
      <c r="F137" s="11" t="str">
        <f aca="false">IF(OR(E137="",E137="!!!"),"",IF(NOT(ISNA(VLOOKUP(E137,E$1:E136,1,FALSE()))),"OLD",IF(AND(E137&lt;&gt;"",E137&lt;&gt;"!!!"),"NEW","")))</f>
        <v/>
      </c>
      <c r="G137" s="12" t="str">
        <f aca="false">IF(OR(E137="",E137="!!!"),"",IF(OR(J137=0,AND(J137=1,K137=1),AND(J137=1,I137="SBJ"),AND(J137=1,I137=0)),"?IN_FOCUS",IF(J137&lt;=2,"?ACTIVATED",IF(J137&lt;&gt;"","?FAMILIAR",IF(F137="NEW",IF(ISNA(VLOOKUP(E137,#REF!,1,FALSE())),"?TYPE_IDENTIFIABLE","?REFERENTIAL"),"_")))))</f>
        <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75" hidden="false" customHeight="false" outlineLevel="0" collapsed="false">
      <c r="A138" s="9" t="s">
        <v>123</v>
      </c>
      <c r="B138" s="0" t="s">
        <v>94</v>
      </c>
      <c r="C138" s="0" t="s">
        <v>124</v>
      </c>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75" hidden="false" customHeight="false" outlineLevel="0" collapsed="false">
      <c r="A139" s="9" t="s">
        <v>117</v>
      </c>
      <c r="E139" s="10" t="str">
        <f aca="false">IF(D139="?OLD","!!!","")</f>
        <v/>
      </c>
      <c r="F139" s="11" t="str">
        <f aca="false">IF(OR(E139="",E139="!!!"),"",IF(NOT(ISNA(VLOOKUP(E139,E$1:E138,1,FALSE()))),"OLD",IF(AND(E139&lt;&gt;"",E139&lt;&gt;"!!!"),"NEW","")))</f>
        <v/>
      </c>
      <c r="G139" s="12" t="str">
        <f aca="false">IF(OR(E139="",E139="!!!"),"",IF(OR(J139=0,AND(J139=1,K139=1),AND(J139=1,I139="SBJ"),AND(J139=1,I139=0)),"?IN_FOCUS",IF(J139&lt;=2,"?ACTIVATED",IF(J139&lt;&gt;"","?FAMILIAR",IF(F139="NEW",IF(ISNA(VLOOKUP(E139,#REF!,1,FALSE())),"?TYPE_IDENTIFIABLE","?REFERENTIAL"),"_")))))</f>
        <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75" hidden="false" customHeight="false" outlineLevel="0" collapsed="false">
      <c r="A140" s="9" t="s">
        <v>79</v>
      </c>
      <c r="B140" s="0" t="s">
        <v>96</v>
      </c>
      <c r="C140" s="0" t="s">
        <v>31</v>
      </c>
      <c r="D140" s="0" t="s">
        <v>19</v>
      </c>
      <c r="E140" s="10" t="s">
        <v>104</v>
      </c>
      <c r="F140" s="11" t="str">
        <f aca="false">IF(OR(E140="",E140="!!!"),"",IF(NOT(ISNA(VLOOKUP(E140,E$1:E139,1,FALSE()))),"OLD",IF(AND(E140&lt;&gt;"",E140&lt;&gt;"!!!"),"NEW","")))</f>
        <v>OLD</v>
      </c>
      <c r="G140" s="12" t="s">
        <v>33</v>
      </c>
      <c r="H140" s="13" t="s">
        <v>7</v>
      </c>
      <c r="I140" s="14" t="str">
        <f aca="false">IF(OR(E140="",E140="!!!",F140="NEW"),"",INDEX(B$2:B139,-1+SUMPRODUCT(MAX(ROW(E$2:E139)*(E140=E$2:E139)))))</f>
        <v>other_2</v>
      </c>
      <c r="J140" s="15" t="n">
        <f aca="true">IF(OR(E140="",E140="!!!",F140="NEW"),"",COUNTBLANK(OFFSET(A$1,,,SUMPRODUCT(MAX(ROW(E$2:E140)*(E140=E$2:E140)))))-COUNTBLANK(OFFSET(A$1,,,SUMPRODUCT(MAX(ROW(E$1:E139)*(E140=E$1:E139))))))</f>
        <v>1</v>
      </c>
      <c r="K140" s="15" t="str">
        <f aca="false">IF(OR(E140="",E140="!!!",F140="NEW"),"",INDEX(J$1:J139,SUMPRODUCT(MAX(ROW(E$1:E139)*(E140=E$1:E139)))))</f>
        <v/>
      </c>
      <c r="L140" s="16"/>
    </row>
    <row r="141" customFormat="false" ht="12.75" hidden="false" customHeight="false" outlineLevel="0" collapsed="false">
      <c r="A141" s="9" t="s">
        <v>125</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75" hidden="false" customHeight="false" outlineLevel="0" collapsed="false">
      <c r="A142" s="9" t="s">
        <v>42</v>
      </c>
      <c r="E142" s="10" t="str">
        <f aca="false">IF(D142="?OLD","!!!","")</f>
        <v/>
      </c>
      <c r="F142" s="11" t="str">
        <f aca="false">IF(OR(E142="",E142="!!!"),"",IF(NOT(ISNA(VLOOKUP(E142,E$1:E141,1,FALSE()))),"OLD",IF(AND(E142&lt;&gt;"",E142&lt;&gt;"!!!"),"NEW","")))</f>
        <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row>
    <row r="143" customFormat="false" ht="12.75" hidden="false" customHeight="false" outlineLevel="0" collapsed="false">
      <c r="A143" s="9" t="s">
        <v>126</v>
      </c>
      <c r="B143" s="0" t="s">
        <v>127</v>
      </c>
      <c r="C143" s="0" t="s">
        <v>128</v>
      </c>
      <c r="D143" s="0" t="s">
        <v>19</v>
      </c>
      <c r="E143" s="10" t="s">
        <v>104</v>
      </c>
      <c r="F143" s="11" t="str">
        <f aca="false">IF(OR(E143="",E143="!!!"),"",IF(NOT(ISNA(VLOOKUP(E143,E$1:E142,1,FALSE()))),"OLD",IF(AND(E143&lt;&gt;"",E143&lt;&gt;"!!!"),"NEW","")))</f>
        <v>OLD</v>
      </c>
      <c r="G143" s="12" t="s">
        <v>65</v>
      </c>
      <c r="H143" s="13" t="str">
        <f aca="false">IF(J143&lt;&gt;1,"",IF(I143="SBJ","CB","?"))</f>
        <v/>
      </c>
      <c r="I143" s="14" t="str">
        <f aca="false">IF(OR(E143="",E143="!!!",F143="NEW"),"",INDEX(B$2:B142,-1+SUMPRODUCT(MAX(ROW(E$2:E142)*(E143=E$2:E142)))))</f>
        <v>OBJ_3</v>
      </c>
      <c r="J143" s="15" t="n">
        <f aca="true">IF(OR(E143="",E143="!!!",F143="NEW"),"",COUNTBLANK(OFFSET(A$1,,,SUMPRODUCT(MAX(ROW(E$2:E143)*(E143=E$2:E143)))))-COUNTBLANK(OFFSET(A$1,,,SUMPRODUCT(MAX(ROW(E$1:E142)*(E143=E$1:E142))))))</f>
        <v>0</v>
      </c>
      <c r="K143" s="15" t="n">
        <f aca="false">IF(OR(E143="",E143="!!!",F143="NEW"),"",INDEX(J$1:J142,SUMPRODUCT(MAX(ROW(E$1:E142)*(E143=E$1:E142)))))</f>
        <v>1</v>
      </c>
      <c r="L143" s="16"/>
    </row>
    <row r="144" customFormat="false" ht="12.75" hidden="false" customHeight="false" outlineLevel="0" collapsed="false">
      <c r="A144" s="9" t="s">
        <v>129</v>
      </c>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75" hidden="false" customHeight="false" outlineLevel="0" collapsed="false">
      <c r="A145" s="9" t="s">
        <v>130</v>
      </c>
      <c r="B145" s="0" t="s">
        <v>62</v>
      </c>
      <c r="C145" s="0" t="s">
        <v>83</v>
      </c>
      <c r="D145" s="0" t="s">
        <v>19</v>
      </c>
      <c r="E145" s="10" t="s">
        <v>131</v>
      </c>
      <c r="F145" s="11" t="str">
        <f aca="false">IF(OR(E145="",E145="!!!"),"",IF(NOT(ISNA(VLOOKUP(E145,E$1:E144,1,FALSE()))),"OLD",IF(AND(E145&lt;&gt;"",E145&lt;&gt;"!!!"),"NEW","")))</f>
        <v>NEW</v>
      </c>
      <c r="G145" s="12" t="s">
        <v>21</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75" hidden="false" customHeight="false" outlineLevel="0" collapsed="false">
      <c r="A146" s="9" t="s">
        <v>44</v>
      </c>
      <c r="E146" s="10" t="str">
        <f aca="false">IF(D146="?OLD","!!!","")</f>
        <v/>
      </c>
      <c r="F146" s="11" t="str">
        <f aca="false">IF(OR(E146="",E146="!!!"),"",IF(NOT(ISNA(VLOOKUP(E146,E$1:E145,1,FALSE()))),"OLD",IF(AND(E146&lt;&gt;"",E146&lt;&gt;"!!!"),"NEW","")))</f>
        <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row>
    <row r="147" customFormat="false" ht="12.75" hidden="false" customHeight="false" outlineLevel="0" collapsed="false">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75" hidden="false" customHeight="false" outlineLevel="0" collapsed="false">
      <c r="A148" s="9" t="s">
        <v>132</v>
      </c>
      <c r="E148" s="10" t="str">
        <f aca="false">IF(D148="?OLD","!!!","")</f>
        <v/>
      </c>
      <c r="F148" s="11" t="str">
        <f aca="false">IF(OR(E148="",E148="!!!"),"",IF(NOT(ISNA(VLOOKUP(E148,E$1:E147,1,FALSE()))),"OLD",IF(AND(E148&lt;&gt;"",E148&lt;&gt;"!!!"),"NEW","")))</f>
        <v/>
      </c>
      <c r="G148" s="12" t="str">
        <f aca="false">IF(OR(E148="",E148="!!!"),"",IF(OR(J148=0,AND(J148=1,K148=1),AND(J148=1,I148="SBJ"),AND(J148=1,I148=0)),"?IN_FOCUS",IF(J148&lt;=2,"?ACTIVATED",IF(J148&lt;&gt;"","?FAMILIAR",IF(F148="NEW",IF(ISNA(VLOOKUP(E148,#REF!,1,FALSE())),"?TYPE_IDENTIFIABLE","?REFERENTIAL"),"_")))))</f>
        <v/>
      </c>
      <c r="H148" s="13" t="str">
        <f aca="false">IF(J148&lt;&gt;1,"",IF(I148="SBJ","CB","?"))</f>
        <v/>
      </c>
      <c r="I148" s="14" t="str">
        <f aca="false">IF(OR(E148="",E148="!!!",F148="NEW"),"",INDEX(B$2:B147,-1+SUMPRODUCT(MAX(ROW(E$2:E147)*(E148=E$2:E147)))))</f>
        <v/>
      </c>
      <c r="J148" s="15" t="str">
        <f aca="true">IF(OR(E148="",E148="!!!",F148="NEW"),"",COUNTBLANK(OFFSET(A$1,,,SUMPRODUCT(MAX(ROW(E$2:E148)*(E148=E$2:E148)))))-COUNTBLANK(OFFSET(A$1,,,SUMPRODUCT(MAX(ROW(E$1:E147)*(E148=E$1:E147))))))</f>
        <v/>
      </c>
      <c r="K148" s="15" t="str">
        <f aca="false">IF(OR(E148="",E148="!!!",F148="NEW"),"",INDEX(J$1:J147,SUMPRODUCT(MAX(ROW(E$1:E147)*(E148=E$1:E147)))))</f>
        <v/>
      </c>
      <c r="L148" s="16"/>
    </row>
    <row r="149" customFormat="false" ht="12.75" hidden="false" customHeight="false" outlineLevel="0" collapsed="false">
      <c r="A149" s="9" t="s">
        <v>133</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75" hidden="false" customHeight="false" outlineLevel="0" collapsed="false">
      <c r="A150" s="9" t="s">
        <v>86</v>
      </c>
      <c r="B150" s="0" t="s">
        <v>30</v>
      </c>
      <c r="C150" s="0" t="s">
        <v>31</v>
      </c>
      <c r="D150" s="0" t="s">
        <v>19</v>
      </c>
      <c r="E150" s="10" t="s">
        <v>104</v>
      </c>
      <c r="F150" s="11" t="str">
        <f aca="false">IF(OR(E150="",E150="!!!"),"",IF(NOT(ISNA(VLOOKUP(E150,E$1:E149,1,FALSE()))),"OLD",IF(AND(E150&lt;&gt;"",E150&lt;&gt;"!!!"),"NEW","")))</f>
        <v>OLD</v>
      </c>
      <c r="G150" s="12" t="s">
        <v>33</v>
      </c>
      <c r="H150" s="13" t="s">
        <v>7</v>
      </c>
      <c r="I150" s="14" t="str">
        <f aca="false">IF(OR(E150="",E150="!!!",F150="NEW"),"",INDEX(B$2:B149,-1+SUMPRODUCT(MAX(ROW(E$2:E149)*(E150=E$2:E149)))))</f>
        <v>other_5</v>
      </c>
      <c r="J150" s="15" t="n">
        <f aca="true">IF(OR(E150="",E150="!!!",F150="NEW"),"",COUNTBLANK(OFFSET(A$1,,,SUMPRODUCT(MAX(ROW(E$2:E150)*(E150=E$2:E150)))))-COUNTBLANK(OFFSET(A$1,,,SUMPRODUCT(MAX(ROW(E$1:E149)*(E150=E$1:E149))))))</f>
        <v>1</v>
      </c>
      <c r="K150" s="15" t="n">
        <f aca="false">IF(OR(E150="",E150="!!!",F150="NEW"),"",INDEX(J$1:J149,SUMPRODUCT(MAX(ROW(E$1:E149)*(E150=E$1:E149)))))</f>
        <v>0</v>
      </c>
      <c r="L150" s="16"/>
    </row>
    <row r="151" customFormat="false" ht="12.75" hidden="false" customHeight="false" outlineLevel="0" collapsed="false">
      <c r="A151" s="9" t="s">
        <v>35</v>
      </c>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IF(OR(E151="",E151="!!!",F151="NEW"),"",INDEX(B$2:B150,-1+SUMPRODUCT(MAX(ROW(E$2:E150)*(E151=E$2:E150)))))</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75" hidden="false" customHeight="false" outlineLevel="0" collapsed="false">
      <c r="A152" s="9" t="s">
        <v>36</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75" hidden="false" customHeight="false" outlineLevel="0" collapsed="false">
      <c r="A153" s="9" t="s">
        <v>134</v>
      </c>
      <c r="E153" s="10" t="str">
        <f aca="false">IF(D153="?OLD","!!!","")</f>
        <v/>
      </c>
      <c r="F153" s="11" t="str">
        <f aca="false">IF(OR(E153="",E153="!!!"),"",IF(NOT(ISNA(VLOOKUP(E153,E$1:E152,1,FALSE()))),"OLD",IF(AND(E153&lt;&gt;"",E153&lt;&gt;"!!!"),"NEW","")))</f>
        <v/>
      </c>
      <c r="G153" s="12" t="str">
        <f aca="false">IF(OR(E153="",E153="!!!"),"",IF(OR(J153=0,AND(J153=1,K153=1),AND(J153=1,I153="SBJ"),AND(J153=1,I153=0)),"?IN_FOCUS",IF(J153&lt;=2,"?ACTIVATED",IF(J153&lt;&gt;"","?FAMILIAR",IF(F153="NEW",IF(ISNA(VLOOKUP(E153,#REF!,1,FALSE())),"?TYPE_IDENTIFIABLE","?REFERENTIAL"),"_")))))</f>
        <v/>
      </c>
      <c r="H153" s="13" t="str">
        <f aca="false">IF(J153&lt;&gt;1,"",IF(I153="SBJ","CB","?"))</f>
        <v/>
      </c>
      <c r="I153" s="14" t="str">
        <f aca="false">IF(OR(E153="",E153="!!!",F153="NEW"),"",INDEX(B$2:B152,-1+SUMPRODUCT(MAX(ROW(E$2:E152)*(E153=E$2:E152)))))</f>
        <v/>
      </c>
      <c r="J153" s="15" t="str">
        <f aca="true">IF(OR(E153="",E153="!!!",F153="NEW"),"",COUNTBLANK(OFFSET(A$1,,,SUMPRODUCT(MAX(ROW(E$2:E153)*(E153=E$2:E153)))))-COUNTBLANK(OFFSET(A$1,,,SUMPRODUCT(MAX(ROW(E$1:E152)*(E153=E$1:E152))))))</f>
        <v/>
      </c>
      <c r="K153" s="15" t="str">
        <f aca="false">IF(OR(E153="",E153="!!!",F153="NEW"),"",INDEX(J$1:J152,SUMPRODUCT(MAX(ROW(E$1:E152)*(E153=E$1:E152)))))</f>
        <v/>
      </c>
      <c r="L153" s="16"/>
    </row>
    <row r="154" customFormat="false" ht="12.75" hidden="false" customHeight="false" outlineLevel="0" collapsed="false">
      <c r="A154" s="9" t="s">
        <v>63</v>
      </c>
      <c r="E154" s="10" t="str">
        <f aca="false">IF(D154="?OLD","!!!","")</f>
        <v/>
      </c>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75" hidden="false" customHeight="false" outlineLevel="0" collapsed="false">
      <c r="A155" s="9" t="s">
        <v>135</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75" hidden="false" customHeight="false" outlineLevel="0" collapsed="false">
      <c r="A156" s="9" t="s">
        <v>28</v>
      </c>
      <c r="E156" s="10" t="str">
        <f aca="false">IF(D156="?OLD","!!!","")</f>
        <v/>
      </c>
      <c r="F156" s="11" t="str">
        <f aca="false">IF(OR(E156="",E156="!!!"),"",IF(NOT(ISNA(VLOOKUP(E156,E$1:E155,1,FALSE()))),"OLD",IF(AND(E156&lt;&gt;"",E156&lt;&gt;"!!!"),"NEW","")))</f>
        <v/>
      </c>
      <c r="G156" s="12" t="str">
        <f aca="false">IF(OR(E156="",E156="!!!"),"",IF(OR(J156=0,AND(J156=1,K156=1),AND(J156=1,I156="SBJ"),AND(J156=1,I156=0)),"?IN_FOCUS",IF(J156&lt;=2,"?ACTIVATED",IF(J156&lt;&gt;"","?FAMILIAR",IF(F156="NEW",IF(ISNA(VLOOKUP(E156,#REF!,1,FALSE())),"?TYPE_IDENTIFIABLE","?REFERENTIAL"),"_")))))</f>
        <v/>
      </c>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75" hidden="false" customHeight="false" outlineLevel="0" collapsed="false">
      <c r="A157" s="9" t="s">
        <v>136</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75" hidden="false" customHeight="false" outlineLevel="0" collapsed="false">
      <c r="A158" s="9" t="s">
        <v>78</v>
      </c>
      <c r="E158" s="10" t="str">
        <f aca="false">IF(D158="?OLD","!!!","")</f>
        <v/>
      </c>
      <c r="F158" s="11" t="str">
        <f aca="false">IF(OR(E158="",E158="!!!"),"",IF(NOT(ISNA(VLOOKUP(E158,E$1:E157,1,FALSE()))),"OLD",IF(AND(E158&lt;&gt;"",E158&lt;&gt;"!!!"),"NEW","")))</f>
        <v/>
      </c>
      <c r="G158" s="12" t="str">
        <f aca="false">IF(OR(E158="",E158="!!!"),"",IF(OR(J158=0,AND(J158=1,K158=1),AND(J158=1,I158="SBJ"),AND(J158=1,I158=0)),"?IN_FOCUS",IF(J158&lt;=2,"?ACTIVATED",IF(J158&lt;&gt;"","?FAMILIAR",IF(F158="NEW",IF(ISNA(VLOOKUP(E158,#REF!,1,FALSE())),"?TYPE_IDENTIFIABLE","?REFERENTIAL"),"_")))))</f>
        <v/>
      </c>
      <c r="H158" s="13" t="str">
        <f aca="false">IF(J158&lt;&gt;1,"",IF(I158="SBJ","CB","?"))</f>
        <v/>
      </c>
      <c r="I158" s="14" t="str">
        <f aca="false">IF(OR(E158="",E158="!!!",F158="NEW"),"",INDEX(B$2:B157,-1+SUMPRODUCT(MAX(ROW(E$2:E157)*(E158=E$2:E157)))))</f>
        <v/>
      </c>
      <c r="J158" s="15" t="str">
        <f aca="true">IF(OR(E158="",E158="!!!",F158="NEW"),"",COUNTBLANK(OFFSET(A$1,,,SUMPRODUCT(MAX(ROW(E$2:E158)*(E158=E$2:E158)))))-COUNTBLANK(OFFSET(A$1,,,SUMPRODUCT(MAX(ROW(E$1:E157)*(E158=E$1:E157))))))</f>
        <v/>
      </c>
      <c r="K158" s="15" t="str">
        <f aca="false">IF(OR(E158="",E158="!!!",F158="NEW"),"",INDEX(J$1:J157,SUMPRODUCT(MAX(ROW(E$1:E157)*(E158=E$1:E157)))))</f>
        <v/>
      </c>
      <c r="L158" s="16"/>
    </row>
    <row r="159" customFormat="false" ht="12.75" hidden="false" customHeight="false" outlineLevel="0" collapsed="false">
      <c r="A159" s="9" t="s">
        <v>38</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IF(OR(E159="",E159="!!!",F159="NEW"),"",INDEX(B$2:B158,-1+SUMPRODUCT(MAX(ROW(E$2:E158)*(E159=E$2:E158)))))</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12.75" hidden="false" customHeight="false" outlineLevel="0" collapsed="false">
      <c r="A160" s="9" t="s">
        <v>137</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75" hidden="false" customHeight="false" outlineLevel="0" collapsed="false">
      <c r="A161" s="9" t="s">
        <v>28</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75" hidden="false" customHeight="false" outlineLevel="0" collapsed="false">
      <c r="A162" s="9" t="s">
        <v>138</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75" hidden="false" customHeight="false" outlineLevel="0" collapsed="false">
      <c r="A163" s="9" t="s">
        <v>139</v>
      </c>
      <c r="E163" s="10" t="str">
        <f aca="false">IF(D163="?OLD","!!!","")</f>
        <v/>
      </c>
      <c r="F163" s="11" t="str">
        <f aca="false">IF(OR(E163="",E163="!!!"),"",IF(NOT(ISNA(VLOOKUP(E163,E$1:E162,1,FALSE()))),"OLD",IF(AND(E163&lt;&gt;"",E163&lt;&gt;"!!!"),"NEW","")))</f>
        <v/>
      </c>
      <c r="G163" s="12" t="str">
        <f aca="false">IF(OR(E163="",E163="!!!"),"",IF(OR(J163=0,AND(J163=1,K163=1),AND(J163=1,I163="SBJ"),AND(J163=1,I163=0)),"?IN_FOCUS",IF(J163&lt;=2,"?ACTIVATED",IF(J163&lt;&gt;"","?FAMILIAR",IF(F163="NEW",IF(ISNA(VLOOKUP(E163,#REF!,1,FALSE())),"?TYPE_IDENTIFIABLE","?REFERENTIAL"),"_")))))</f>
        <v/>
      </c>
      <c r="H163" s="13" t="str">
        <f aca="false">IF(J163&lt;&gt;1,"",IF(I163="SBJ","CB","?"))</f>
        <v/>
      </c>
      <c r="I163" s="14" t="str">
        <f aca="false">IF(OR(E163="",E163="!!!",F163="NEW"),"",INDEX(B$2:B162,-1+SUMPRODUCT(MAX(ROW(E$2:E162)*(E163=E$2:E162)))))</f>
        <v/>
      </c>
      <c r="J163" s="15" t="str">
        <f aca="true">IF(OR(E163="",E163="!!!",F163="NEW"),"",COUNTBLANK(OFFSET(A$1,,,SUMPRODUCT(MAX(ROW(E$2:E163)*(E163=E$2:E163)))))-COUNTBLANK(OFFSET(A$1,,,SUMPRODUCT(MAX(ROW(E$1:E162)*(E163=E$1:E162))))))</f>
        <v/>
      </c>
      <c r="K163" s="15" t="str">
        <f aca="false">IF(OR(E163="",E163="!!!",F163="NEW"),"",INDEX(J$1:J162,SUMPRODUCT(MAX(ROW(E$1:E162)*(E163=E$1:E162)))))</f>
        <v/>
      </c>
      <c r="L163" s="16"/>
    </row>
    <row r="164" customFormat="false" ht="12.75" hidden="false" customHeight="false" outlineLevel="0" collapsed="false">
      <c r="A164" s="9" t="s">
        <v>28</v>
      </c>
      <c r="E164" s="10" t="str">
        <f aca="false">IF(D164="?OLD","!!!","")</f>
        <v/>
      </c>
      <c r="F164" s="11" t="str">
        <f aca="false">IF(OR(E164="",E164="!!!"),"",IF(NOT(ISNA(VLOOKUP(E164,E$1:E163,1,FALSE()))),"OLD",IF(AND(E164&lt;&gt;"",E164&lt;&gt;"!!!"),"NEW","")))</f>
        <v/>
      </c>
      <c r="G164" s="12" t="str">
        <f aca="false">IF(OR(E164="",E164="!!!"),"",IF(OR(J164=0,AND(J164=1,K164=1),AND(J164=1,I164="SBJ"),AND(J164=1,I164=0)),"?IN_FOCUS",IF(J164&lt;=2,"?ACTIVATED",IF(J164&lt;&gt;"","?FAMILIAR",IF(F164="NEW",IF(ISNA(VLOOKUP(E164,#REF!,1,FALSE())),"?TYPE_IDENTIFIABLE","?REFERENTIAL"),"_")))))</f>
        <v/>
      </c>
      <c r="H164" s="13" t="str">
        <f aca="false">IF(J164&lt;&gt;1,"",IF(I164="SBJ","CB","?"))</f>
        <v/>
      </c>
      <c r="I164" s="14" t="str">
        <f aca="false">IF(OR(E164="",E164="!!!",F164="NEW"),"",INDEX(B$2:B163,-1+SUMPRODUCT(MAX(ROW(E$2:E163)*(E164=E$2:E163)))))</f>
        <v/>
      </c>
      <c r="J164" s="15" t="str">
        <f aca="true">IF(OR(E164="",E164="!!!",F164="NEW"),"",COUNTBLANK(OFFSET(A$1,,,SUMPRODUCT(MAX(ROW(E$2:E164)*(E164=E$2:E164)))))-COUNTBLANK(OFFSET(A$1,,,SUMPRODUCT(MAX(ROW(E$1:E163)*(E164=E$1:E163))))))</f>
        <v/>
      </c>
      <c r="K164" s="15" t="str">
        <f aca="false">IF(OR(E164="",E164="!!!",F164="NEW"),"",INDEX(J$1:J163,SUMPRODUCT(MAX(ROW(E$1:E163)*(E164=E$1:E163)))))</f>
        <v/>
      </c>
      <c r="L164" s="16"/>
    </row>
    <row r="165" customFormat="false" ht="12.75" hidden="false" customHeight="false" outlineLevel="0" collapsed="false">
      <c r="A165" s="9" t="s">
        <v>140</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75" hidden="false" customHeight="false" outlineLevel="0" collapsed="false">
      <c r="A166" s="9" t="s">
        <v>141</v>
      </c>
      <c r="E166" s="10" t="str">
        <f aca="false">IF(D166="?OLD","!!!","")</f>
        <v/>
      </c>
      <c r="F166" s="11" t="str">
        <f aca="false">IF(OR(E166="",E166="!!!"),"",IF(NOT(ISNA(VLOOKUP(E166,E$1:E165,1,FALSE()))),"OLD",IF(AND(E166&lt;&gt;"",E166&lt;&gt;"!!!"),"NEW","")))</f>
        <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75" hidden="false" customHeight="false" outlineLevel="0" collapsed="false">
      <c r="A167" s="9" t="s">
        <v>36</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75" hidden="false" customHeight="false" outlineLevel="0" collapsed="false">
      <c r="A168" s="9" t="s">
        <v>142</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75" hidden="false" customHeight="false" outlineLevel="0" collapsed="false">
      <c r="A169" s="9" t="s">
        <v>143</v>
      </c>
      <c r="B169" s="0" t="s">
        <v>70</v>
      </c>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75" hidden="false" customHeight="false" outlineLevel="0" collapsed="false">
      <c r="A170" s="9" t="s">
        <v>91</v>
      </c>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75" hidden="false" customHeight="false" outlineLevel="0" collapsed="false">
      <c r="A171" s="9" t="s">
        <v>144</v>
      </c>
      <c r="B171" s="0" t="s">
        <v>145</v>
      </c>
      <c r="C171" s="0" t="s">
        <v>103</v>
      </c>
      <c r="D171" s="0" t="s">
        <v>19</v>
      </c>
      <c r="E171" s="10" t="s">
        <v>144</v>
      </c>
      <c r="F171" s="11" t="str">
        <f aca="false">IF(OR(E171="",E171="!!!"),"",IF(NOT(ISNA(VLOOKUP(E171,E$1:E170,1,FALSE()))),"OLD",IF(AND(E171&lt;&gt;"",E171&lt;&gt;"!!!"),"NEW","")))</f>
        <v>NEW</v>
      </c>
      <c r="G171" s="12" t="s">
        <v>21</v>
      </c>
      <c r="H171" s="13" t="str">
        <f aca="false">IF(J171&lt;&gt;1,"",IF(I171="SBJ","CB","?"))</f>
        <v/>
      </c>
      <c r="I171" s="14" t="str">
        <f aca="false">IF(OR(E171="",E171="!!!",F171="NEW"),"",INDEX(B$2:B170,-1+SUMPRODUCT(MAX(ROW(E$2:E170)*(E171=E$2:E170)))))</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75" hidden="false" customHeight="false" outlineLevel="0" collapsed="false">
      <c r="A172" s="9" t="s">
        <v>146</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75" hidden="false" customHeight="false" outlineLevel="0" collapsed="false">
      <c r="E173" s="10" t="str">
        <f aca="false">IF(D173="?OLD","!!!","")</f>
        <v/>
      </c>
      <c r="F173" s="11" t="str">
        <f aca="false">IF(OR(E173="",E173="!!!"),"",IF(NOT(ISNA(VLOOKUP(E173,E$1:E172,1,FALSE()))),"OLD",IF(AND(E173&lt;&gt;"",E173&lt;&gt;"!!!"),"NEW","")))</f>
        <v/>
      </c>
      <c r="G173" s="12" t="str">
        <f aca="false">IF(OR(E173="",E173="!!!"),"",IF(OR(J173=0,AND(J173=1,K173=1),AND(J173=1,I173="SBJ"),AND(J173=1,I173=0)),"?IN_FOCUS",IF(J173&lt;=2,"?ACTIVATED",IF(J173&lt;&gt;"","?FAMILIAR",IF(F173="NEW",IF(ISNA(VLOOKUP(E173,#REF!,1,FALSE())),"?TYPE_IDENTIFIABLE","?REFERENTIAL"),"_")))))</f>
        <v/>
      </c>
      <c r="H173" s="13" t="str">
        <f aca="false">IF(J173&lt;&gt;1,"",IF(I173="SBJ","CB","?"))</f>
        <v/>
      </c>
      <c r="I173" s="14" t="str">
        <f aca="false">IF(OR(E173="",E173="!!!",F173="NEW"),"",INDEX(B$2:B172,-1+SUMPRODUCT(MAX(ROW(E$2:E172)*(E173=E$2:E172)))))</f>
        <v/>
      </c>
      <c r="J173" s="15" t="str">
        <f aca="true">IF(OR(E173="",E173="!!!",F173="NEW"),"",COUNTBLANK(OFFSET(A$1,,,SUMPRODUCT(MAX(ROW(E$2:E173)*(E173=E$2:E173)))))-COUNTBLANK(OFFSET(A$1,,,SUMPRODUCT(MAX(ROW(E$1:E172)*(E173=E$1:E172))))))</f>
        <v/>
      </c>
      <c r="K173" s="15" t="str">
        <f aca="false">IF(OR(E173="",E173="!!!",F173="NEW"),"",INDEX(J$1:J172,SUMPRODUCT(MAX(ROW(E$1:E172)*(E173=E$1:E172)))))</f>
        <v/>
      </c>
      <c r="L173" s="16"/>
    </row>
    <row r="174" customFormat="false" ht="12.75" hidden="false" customHeight="false" outlineLevel="0" collapsed="false">
      <c r="A174" s="9" t="s">
        <v>147</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75" hidden="false" customHeight="false" outlineLevel="0" collapsed="false">
      <c r="A175" s="9" t="s">
        <v>148</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75" hidden="false" customHeight="false" outlineLevel="0" collapsed="false">
      <c r="A176" s="9" t="s">
        <v>149</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75" hidden="false" customHeight="false" outlineLevel="0" collapsed="false">
      <c r="A177" s="9" t="s">
        <v>150</v>
      </c>
      <c r="B177" s="0" t="s">
        <v>30</v>
      </c>
      <c r="C177" s="0" t="s">
        <v>31</v>
      </c>
      <c r="D177" s="0" t="s">
        <v>19</v>
      </c>
      <c r="E177" s="10" t="s">
        <v>104</v>
      </c>
      <c r="F177" s="11" t="str">
        <f aca="false">IF(OR(E177="",E177="!!!"),"",IF(NOT(ISNA(VLOOKUP(E177,E$1:E176,1,FALSE()))),"OLD",IF(AND(E177&lt;&gt;"",E177&lt;&gt;"!!!"),"NEW","")))</f>
        <v>OLD</v>
      </c>
      <c r="G177" s="12" t="s">
        <v>65</v>
      </c>
      <c r="H177" s="13" t="str">
        <f aca="false">IF(J177&lt;&gt;1,"",IF(I177="SBJ","CB","?"))</f>
        <v>CB</v>
      </c>
      <c r="I177" s="14" t="str">
        <f aca="false">IF(OR(E177="",E177="!!!",F177="NEW"),"",INDEX(B$2:B176,-1+SUMPRODUCT(MAX(ROW(E$2:E176)*(E177=E$2:E176)))))</f>
        <v>SBJ</v>
      </c>
      <c r="J177" s="15" t="n">
        <f aca="true">IF(OR(E177="",E177="!!!",F177="NEW"),"",COUNTBLANK(OFFSET(A$1,,,SUMPRODUCT(MAX(ROW(E$2:E177)*(E177=E$2:E177)))))-COUNTBLANK(OFFSET(A$1,,,SUMPRODUCT(MAX(ROW(E$1:E176)*(E177=E$1:E176))))))</f>
        <v>1</v>
      </c>
      <c r="K177" s="15" t="n">
        <f aca="false">IF(OR(E177="",E177="!!!",F177="NEW"),"",INDEX(J$1:J176,SUMPRODUCT(MAX(ROW(E$1:E176)*(E177=E$1:E176)))))</f>
        <v>1</v>
      </c>
      <c r="L177" s="16"/>
    </row>
    <row r="178" customFormat="false" ht="12.75" hidden="false" customHeight="false" outlineLevel="0" collapsed="false">
      <c r="A178" s="9" t="s">
        <v>151</v>
      </c>
      <c r="E178" s="10" t="str">
        <f aca="false">IF(D178="?OLD","!!!","")</f>
        <v/>
      </c>
      <c r="F178" s="11" t="str">
        <f aca="false">IF(OR(E178="",E178="!!!"),"",IF(NOT(ISNA(VLOOKUP(E178,E$1:E177,1,FALSE()))),"OLD",IF(AND(E178&lt;&gt;"",E178&lt;&gt;"!!!"),"NEW","")))</f>
        <v/>
      </c>
      <c r="G178" s="12" t="str">
        <f aca="false">IF(OR(E178="",E178="!!!"),"",IF(OR(J178=0,AND(J178=1,K178=1),AND(J178=1,I178="SBJ"),AND(J178=1,I178=0)),"?IN_FOCUS",IF(J178&lt;=2,"?ACTIVATED",IF(J178&lt;&gt;"","?FAMILIAR",IF(F178="NEW",IF(ISNA(VLOOKUP(E178,#REF!,1,FALSE())),"?TYPE_IDENTIFIABLE","?REFERENTIAL"),"_")))))</f>
        <v/>
      </c>
      <c r="H178" s="13" t="str">
        <f aca="false">IF(J178&lt;&gt;1,"",IF(I178="SBJ","CB","?"))</f>
        <v/>
      </c>
      <c r="I178" s="14" t="str">
        <f aca="false">IF(OR(E178="",E178="!!!",F178="NEW"),"",INDEX(B$2:B177,-1+SUMPRODUCT(MAX(ROW(E$2:E177)*(E178=E$2:E177)))))</f>
        <v/>
      </c>
      <c r="J178" s="15" t="str">
        <f aca="true">IF(OR(E178="",E178="!!!",F178="NEW"),"",COUNTBLANK(OFFSET(A$1,,,SUMPRODUCT(MAX(ROW(E$2:E178)*(E178=E$2:E178)))))-COUNTBLANK(OFFSET(A$1,,,SUMPRODUCT(MAX(ROW(E$1:E177)*(E178=E$1:E177))))))</f>
        <v/>
      </c>
      <c r="K178" s="15" t="str">
        <f aca="false">IF(OR(E178="",E178="!!!",F178="NEW"),"",INDEX(J$1:J177,SUMPRODUCT(MAX(ROW(E$1:E177)*(E178=E$1:E177)))))</f>
        <v/>
      </c>
      <c r="L178" s="16"/>
    </row>
    <row r="179" customFormat="false" ht="12.75" hidden="false" customHeight="false" outlineLevel="0" collapsed="false">
      <c r="A179" s="9" t="s">
        <v>28</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12.75" hidden="false" customHeight="false" outlineLevel="0" collapsed="false">
      <c r="A180" s="9" t="s">
        <v>123</v>
      </c>
      <c r="B180" s="0" t="s">
        <v>152</v>
      </c>
      <c r="C180" s="0" t="s">
        <v>124</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75" hidden="false" customHeight="false" outlineLevel="0" collapsed="false">
      <c r="A181" s="9" t="s">
        <v>42</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75" hidden="false" customHeight="false" outlineLevel="0" collapsed="false">
      <c r="A182" s="9" t="s">
        <v>153</v>
      </c>
      <c r="B182" s="0" t="s">
        <v>24</v>
      </c>
      <c r="C182" s="0" t="s">
        <v>128</v>
      </c>
      <c r="D182" s="0" t="s">
        <v>19</v>
      </c>
      <c r="E182" s="10" t="s">
        <v>104</v>
      </c>
      <c r="F182" s="11" t="str">
        <f aca="false">IF(OR(E182="",E182="!!!"),"",IF(NOT(ISNA(VLOOKUP(E182,E$1:E181,1,FALSE()))),"OLD",IF(AND(E182&lt;&gt;"",E182&lt;&gt;"!!!"),"NEW","")))</f>
        <v>OLD</v>
      </c>
      <c r="G182" s="12" t="s">
        <v>65</v>
      </c>
      <c r="H182" s="13" t="str">
        <f aca="false">IF(J182&lt;&gt;1,"",IF(I182="SBJ","CB","?"))</f>
        <v/>
      </c>
      <c r="I182" s="14" t="str">
        <f aca="false">IF(OR(E182="",E182="!!!",F182="NEW"),"",INDEX(B$2:B181,-1+SUMPRODUCT(MAX(ROW(E$2:E181)*(E182=E$2:E181)))))</f>
        <v>SBJ</v>
      </c>
      <c r="J182" s="15" t="n">
        <f aca="true">IF(OR(E182="",E182="!!!",F182="NEW"),"",COUNTBLANK(OFFSET(A$1,,,SUMPRODUCT(MAX(ROW(E$2:E182)*(E182=E$2:E182)))))-COUNTBLANK(OFFSET(A$1,,,SUMPRODUCT(MAX(ROW(E$1:E181)*(E182=E$1:E181))))))</f>
        <v>0</v>
      </c>
      <c r="K182" s="15" t="n">
        <f aca="false">IF(OR(E182="",E182="!!!",F182="NEW"),"",INDEX(J$1:J181,SUMPRODUCT(MAX(ROW(E$1:E181)*(E182=E$1:E181)))))</f>
        <v>1</v>
      </c>
      <c r="L182" s="16"/>
    </row>
    <row r="183" customFormat="false" ht="12.75" hidden="false" customHeight="false" outlineLevel="0" collapsed="false">
      <c r="A183" s="9" t="s">
        <v>129</v>
      </c>
      <c r="E183" s="10" t="str">
        <f aca="false">IF(D183="?OLD","!!!","")</f>
        <v/>
      </c>
      <c r="F183" s="11" t="str">
        <f aca="false">IF(OR(E183="",E183="!!!"),"",IF(NOT(ISNA(VLOOKUP(E183,E$1:E182,1,FALSE()))),"OLD",IF(AND(E183&lt;&gt;"",E183&lt;&gt;"!!!"),"NEW","")))</f>
        <v/>
      </c>
      <c r="G183" s="12" t="str">
        <f aca="false">IF(OR(E183="",E183="!!!"),"",IF(OR(J183=0,AND(J183=1,K183=1),AND(J183=1,I183="SBJ"),AND(J183=1,I183=0)),"?IN_FOCUS",IF(J183&lt;=2,"?ACTIVATED",IF(J183&lt;&gt;"","?FAMILIAR",IF(F183="NEW",IF(ISNA(VLOOKUP(E183,#REF!,1,FALSE())),"?TYPE_IDENTIFIABLE","?REFERENTIAL"),"_")))))</f>
        <v/>
      </c>
      <c r="H183" s="13" t="str">
        <f aca="false">IF(J183&lt;&gt;1,"",IF(I183="SBJ","CB","?"))</f>
        <v/>
      </c>
      <c r="I183" s="14" t="str">
        <f aca="false">IF(OR(E183="",E183="!!!",F183="NEW"),"",INDEX(B$2:B182,-1+SUMPRODUCT(MAX(ROW(E$2:E182)*(E183=E$2:E182)))))</f>
        <v/>
      </c>
      <c r="J183" s="15" t="str">
        <f aca="true">IF(OR(E183="",E183="!!!",F183="NEW"),"",COUNTBLANK(OFFSET(A$1,,,SUMPRODUCT(MAX(ROW(E$2:E183)*(E183=E$2:E183)))))-COUNTBLANK(OFFSET(A$1,,,SUMPRODUCT(MAX(ROW(E$1:E182)*(E183=E$1:E182))))))</f>
        <v/>
      </c>
      <c r="K183" s="15" t="str">
        <f aca="false">IF(OR(E183="",E183="!!!",F183="NEW"),"",INDEX(J$1:J182,SUMPRODUCT(MAX(ROW(E$1:E182)*(E183=E$1:E182)))))</f>
        <v/>
      </c>
      <c r="L183" s="16"/>
    </row>
    <row r="184" customFormat="false" ht="12.75" hidden="false" customHeight="false" outlineLevel="0" collapsed="false">
      <c r="A184" s="9" t="s">
        <v>154</v>
      </c>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75" hidden="false" customHeight="false" outlineLevel="0" collapsed="false">
      <c r="A185" s="9" t="s">
        <v>130</v>
      </c>
      <c r="B185" s="0" t="s">
        <v>75</v>
      </c>
      <c r="C185" s="0" t="s">
        <v>83</v>
      </c>
      <c r="D185" s="0" t="s">
        <v>19</v>
      </c>
      <c r="E185" s="10" t="s">
        <v>155</v>
      </c>
      <c r="F185" s="11" t="s">
        <v>156</v>
      </c>
      <c r="G185" s="12" t="s">
        <v>21</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75" hidden="false" customHeight="false" outlineLevel="0" collapsed="false">
      <c r="A186" s="9" t="s">
        <v>146</v>
      </c>
      <c r="E186" s="10" t="str">
        <f aca="false">IF(D186="?OLD","!!!","")</f>
        <v/>
      </c>
      <c r="F186" s="11" t="str">
        <f aca="false">IF(OR(E186="",E186="!!!"),"",IF(NOT(ISNA(VLOOKUP(E186,E$1:E185,1,FALSE()))),"OLD",IF(AND(E186&lt;&gt;"",E186&lt;&gt;"!!!"),"NEW","")))</f>
        <v/>
      </c>
      <c r="G186" s="12" t="str">
        <f aca="false">IF(OR(E186="",E186="!!!"),"",IF(OR(J186=0,AND(J186=1,K186=1),AND(J186=1,I186="SBJ"),AND(J186=1,I186=0)),"?IN_FOCUS",IF(J186&lt;=2,"?ACTIVATED",IF(J186&lt;&gt;"","?FAMILIAR",IF(F186="NEW",IF(ISNA(VLOOKUP(E186,#REF!,1,FALSE())),"?TYPE_IDENTIFIABLE","?REFERENTIAL"),"_")))))</f>
        <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75" hidden="false" customHeight="false" outlineLevel="0" collapsed="false">
      <c r="E187" s="10" t="str">
        <f aca="false">IF(D187="?OLD","!!!","")</f>
        <v/>
      </c>
      <c r="F187" s="11" t="str">
        <f aca="false">IF(OR(E187="",E187="!!!"),"",IF(NOT(ISNA(VLOOKUP(E187,E$1:E186,1,FALSE()))),"OLD",IF(AND(E187&lt;&gt;"",E187&lt;&gt;"!!!"),"NEW","")))</f>
        <v/>
      </c>
      <c r="G187" s="12" t="str">
        <f aca="false">IF(OR(E187="",E187="!!!"),"",IF(OR(J187=0,AND(J187=1,K187=1),AND(J187=1,I187="SBJ"),AND(J187=1,I187=0)),"?IN_FOCUS",IF(J187&lt;=2,"?ACTIVATED",IF(J187&lt;&gt;"","?FAMILIAR",IF(F187="NEW",IF(ISNA(VLOOKUP(E187,#REF!,1,FALSE())),"?TYPE_IDENTIFIABLE","?REFERENTIAL"),"_")))))</f>
        <v/>
      </c>
      <c r="H187" s="13" t="str">
        <f aca="false">IF(J187&lt;&gt;1,"",IF(I187="SBJ","CB","?"))</f>
        <v/>
      </c>
      <c r="I187" s="14" t="str">
        <f aca="false">IF(OR(E187="",E187="!!!",F187="NEW"),"",INDEX(B$2:B186,-1+SUMPRODUCT(MAX(ROW(E$2:E186)*(E187=E$2:E186)))))</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75" hidden="false" customHeight="false" outlineLevel="0" collapsed="false">
      <c r="A188" s="9" t="s">
        <v>132</v>
      </c>
      <c r="E188" s="10" t="str">
        <f aca="false">IF(D188="?OLD","!!!","")</f>
        <v/>
      </c>
      <c r="F188" s="11" t="str">
        <f aca="false">IF(OR(E188="",E188="!!!"),"",IF(NOT(ISNA(VLOOKUP(E188,E$1:E187,1,FALSE()))),"OLD",IF(AND(E188&lt;&gt;"",E188&lt;&gt;"!!!"),"NEW","")))</f>
        <v/>
      </c>
      <c r="G188" s="12" t="str">
        <f aca="false">IF(OR(E188="",E188="!!!"),"",IF(OR(J188=0,AND(J188=1,K188=1),AND(J188=1,I188="SBJ"),AND(J188=1,I188=0)),"?IN_FOCUS",IF(J188&lt;=2,"?ACTIVATED",IF(J188&lt;&gt;"","?FAMILIAR",IF(F188="NEW",IF(ISNA(VLOOKUP(E188,#REF!,1,FALSE())),"?TYPE_IDENTIFIABLE","?REFERENTIAL"),"_")))))</f>
        <v/>
      </c>
      <c r="H188" s="13" t="str">
        <f aca="false">IF(J188&lt;&gt;1,"",IF(I188="SBJ","CB","?"))</f>
        <v/>
      </c>
      <c r="I188" s="14" t="str">
        <f aca="false">IF(OR(E188="",E188="!!!",F188="NEW"),"",INDEX(B$2:B187,-1+SUMPRODUCT(MAX(ROW(E$2:E187)*(E188=E$2:E187)))))</f>
        <v/>
      </c>
      <c r="J188" s="15" t="str">
        <f aca="true">IF(OR(E188="",E188="!!!",F188="NEW"),"",COUNTBLANK(OFFSET(A$1,,,SUMPRODUCT(MAX(ROW(E$2:E188)*(E188=E$2:E188)))))-COUNTBLANK(OFFSET(A$1,,,SUMPRODUCT(MAX(ROW(E$1:E187)*(E188=E$1:E187))))))</f>
        <v/>
      </c>
      <c r="K188" s="15" t="str">
        <f aca="false">IF(OR(E188="",E188="!!!",F188="NEW"),"",INDEX(J$1:J187,SUMPRODUCT(MAX(ROW(E$1:E187)*(E188=E$1:E187)))))</f>
        <v/>
      </c>
      <c r="L188" s="16"/>
    </row>
    <row r="189" customFormat="false" ht="12.75" hidden="false" customHeight="false" outlineLevel="0" collapsed="false">
      <c r="A189" s="9" t="s">
        <v>157</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75" hidden="false" customHeight="false" outlineLevel="0" collapsed="false">
      <c r="A190" s="9" t="s">
        <v>158</v>
      </c>
      <c r="B190" s="0" t="s">
        <v>40</v>
      </c>
      <c r="C190" s="0" t="s">
        <v>103</v>
      </c>
      <c r="D190" s="0" t="s">
        <v>19</v>
      </c>
      <c r="E190" s="10" t="s">
        <v>158</v>
      </c>
      <c r="F190" s="11" t="str">
        <f aca="false">IF(OR(E190="",E190="!!!"),"",IF(NOT(ISNA(VLOOKUP(E190,E$1:E189,1,FALSE()))),"OLD",IF(AND(E190&lt;&gt;"",E190&lt;&gt;"!!!"),"NEW","")))</f>
        <v>NEW</v>
      </c>
      <c r="G190" s="12" t="s">
        <v>21</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75" hidden="false" customHeight="false" outlineLevel="0" collapsed="false">
      <c r="A191" s="9" t="s">
        <v>28</v>
      </c>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75" hidden="false" customHeight="false" outlineLevel="0" collapsed="false">
      <c r="A192" s="9" t="s">
        <v>159</v>
      </c>
      <c r="B192" s="0" t="s">
        <v>75</v>
      </c>
      <c r="C192" s="0" t="s">
        <v>103</v>
      </c>
      <c r="D192" s="0" t="s">
        <v>19</v>
      </c>
      <c r="E192" s="10" t="s">
        <v>159</v>
      </c>
      <c r="F192" s="11" t="str">
        <f aca="false">IF(OR(E192="",E192="!!!"),"",IF(NOT(ISNA(VLOOKUP(E192,E$1:E191,1,FALSE()))),"OLD",IF(AND(E192&lt;&gt;"",E192&lt;&gt;"!!!"),"NEW","")))</f>
        <v>NEW</v>
      </c>
      <c r="G192" s="12" t="s">
        <v>21</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75" hidden="false" customHeight="false" outlineLevel="0" collapsed="false">
      <c r="A193" s="9" t="s">
        <v>28</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75" hidden="false" customHeight="false" outlineLevel="0" collapsed="false">
      <c r="A194" s="9" t="s">
        <v>160</v>
      </c>
      <c r="B194" s="0" t="s">
        <v>75</v>
      </c>
      <c r="C194" s="0" t="s">
        <v>103</v>
      </c>
      <c r="D194" s="0" t="s">
        <v>19</v>
      </c>
      <c r="E194" s="10" t="s">
        <v>160</v>
      </c>
      <c r="F194" s="11" t="str">
        <f aca="false">IF(OR(E194="",E194="!!!"),"",IF(NOT(ISNA(VLOOKUP(E194,E$1:E193,1,FALSE()))),"OLD",IF(AND(E194&lt;&gt;"",E194&lt;&gt;"!!!"),"NEW","")))</f>
        <v>NEW</v>
      </c>
      <c r="G194" s="12" t="s">
        <v>21</v>
      </c>
      <c r="H194" s="13" t="str">
        <f aca="false">IF(J194&lt;&gt;1,"",IF(I194="SBJ","CB","?"))</f>
        <v/>
      </c>
      <c r="I194" s="14" t="str">
        <f aca="false">IF(OR(E194="",E194="!!!",F194="NEW"),"",INDEX(B$2:B193,-1+SUMPRODUCT(MAX(ROW(E$2:E193)*(E194=E$2:E193)))))</f>
        <v/>
      </c>
      <c r="J194" s="15" t="str">
        <f aca="true">IF(OR(E194="",E194="!!!",F194="NEW"),"",COUNTBLANK(OFFSET(A$1,,,SUMPRODUCT(MAX(ROW(E$2:E194)*(E194=E$2:E194)))))-COUNTBLANK(OFFSET(A$1,,,SUMPRODUCT(MAX(ROW(E$1:E193)*(E194=E$1:E193))))))</f>
        <v/>
      </c>
      <c r="K194" s="15" t="str">
        <f aca="false">IF(OR(E194="",E194="!!!",F194="NEW"),"",INDEX(J$1:J193,SUMPRODUCT(MAX(ROW(E$1:E193)*(E194=E$1:E193)))))</f>
        <v/>
      </c>
      <c r="L194" s="16"/>
    </row>
    <row r="195" customFormat="false" ht="12.75" hidden="false" customHeight="false" outlineLevel="0" collapsed="false">
      <c r="A195" s="9" t="s">
        <v>28</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75" hidden="false" customHeight="false" outlineLevel="0" collapsed="false">
      <c r="A196" s="9" t="s">
        <v>63</v>
      </c>
      <c r="E196" s="10" t="str">
        <f aca="false">IF(D196="?OLD","!!!","")</f>
        <v/>
      </c>
      <c r="F196" s="11" t="str">
        <f aca="false">IF(OR(E196="",E196="!!!"),"",IF(NOT(ISNA(VLOOKUP(E196,E$1:E195,1,FALSE()))),"OLD",IF(AND(E196&lt;&gt;"",E196&lt;&gt;"!!!"),"NEW","")))</f>
        <v/>
      </c>
      <c r="G196" s="12" t="str">
        <f aca="false">IF(OR(E196="",E196="!!!"),"",IF(OR(J196=0,AND(J196=1,K196=1),AND(J196=1,I196="SBJ"),AND(J196=1,I196=0)),"?IN_FOCUS",IF(J196&lt;=2,"?ACTIVATED",IF(J196&lt;&gt;"","?FAMILIAR",IF(F196="NEW",IF(ISNA(VLOOKUP(E196,#REF!,1,FALSE())),"?TYPE_IDENTIFIABLE","?REFERENTIAL"),"_")))))</f>
        <v/>
      </c>
      <c r="H196" s="13" t="str">
        <f aca="false">IF(J196&lt;&gt;1,"",IF(I196="SBJ","CB","?"))</f>
        <v/>
      </c>
      <c r="I196" s="14" t="str">
        <f aca="false">IF(OR(E196="",E196="!!!",F196="NEW"),"",INDEX(B$2:B195,-1+SUMPRODUCT(MAX(ROW(E$2:E195)*(E196=E$2:E195)))))</f>
        <v/>
      </c>
      <c r="J196" s="15" t="str">
        <f aca="true">IF(OR(E196="",E196="!!!",F196="NEW"),"",COUNTBLANK(OFFSET(A$1,,,SUMPRODUCT(MAX(ROW(E$2:E196)*(E196=E$2:E196)))))-COUNTBLANK(OFFSET(A$1,,,SUMPRODUCT(MAX(ROW(E$1:E195)*(E196=E$1:E195))))))</f>
        <v/>
      </c>
      <c r="K196" s="15" t="str">
        <f aca="false">IF(OR(E196="",E196="!!!",F196="NEW"),"",INDEX(J$1:J195,SUMPRODUCT(MAX(ROW(E$1:E195)*(E196=E$1:E195)))))</f>
        <v/>
      </c>
      <c r="L196" s="16"/>
    </row>
    <row r="197" customFormat="false" ht="12.75" hidden="false" customHeight="false" outlineLevel="0" collapsed="false">
      <c r="A197" s="9" t="s">
        <v>161</v>
      </c>
      <c r="B197" s="0" t="s">
        <v>75</v>
      </c>
      <c r="C197" s="0" t="s">
        <v>25</v>
      </c>
      <c r="E197" s="10" t="str">
        <f aca="false">IF(D197="?OLD","!!!","")</f>
        <v/>
      </c>
      <c r="F197" s="11" t="str">
        <f aca="false">IF(OR(E197="",E197="!!!"),"",IF(NOT(ISNA(VLOOKUP(E197,E$1:E196,1,FALSE()))),"OLD",IF(AND(E197&lt;&gt;"",E197&lt;&gt;"!!!"),"NEW","")))</f>
        <v/>
      </c>
      <c r="G197" s="12" t="str">
        <f aca="false">IF(OR(E197="",E197="!!!"),"",IF(OR(J197=0,AND(J197=1,K197=1),AND(J197=1,I197="SBJ"),AND(J197=1,I197=0)),"?IN_FOCUS",IF(J197&lt;=2,"?ACTIVATED",IF(J197&lt;&gt;"","?FAMILIAR",IF(F197="NEW",IF(ISNA(VLOOKUP(E197,#REF!,1,FALSE())),"?TYPE_IDENTIFIABLE","?REFERENTIAL"),"_")))))</f>
        <v/>
      </c>
      <c r="H197" s="13" t="str">
        <f aca="false">IF(J197&lt;&gt;1,"",IF(I197="SBJ","CB","?"))</f>
        <v/>
      </c>
      <c r="I197" s="14" t="str">
        <f aca="false">IF(OR(E197="",E197="!!!",F197="NEW"),"",INDEX(B$2:B196,-1+SUMPRODUCT(MAX(ROW(E$2:E196)*(E197=E$2:E196)))))</f>
        <v/>
      </c>
      <c r="J197" s="15" t="str">
        <f aca="true">IF(OR(E197="",E197="!!!",F197="NEW"),"",COUNTBLANK(OFFSET(A$1,,,SUMPRODUCT(MAX(ROW(E$2:E197)*(E197=E$2:E197)))))-COUNTBLANK(OFFSET(A$1,,,SUMPRODUCT(MAX(ROW(E$1:E196)*(E197=E$1:E196))))))</f>
        <v/>
      </c>
      <c r="K197" s="15" t="str">
        <f aca="false">IF(OR(E197="",E197="!!!",F197="NEW"),"",INDEX(J$1:J196,SUMPRODUCT(MAX(ROW(E$1:E196)*(E197=E$1:E196)))))</f>
        <v/>
      </c>
      <c r="L197" s="16"/>
    </row>
    <row r="198" customFormat="false" ht="12.75" hidden="false" customHeight="false" outlineLevel="0" collapsed="false">
      <c r="A198" s="9" t="s">
        <v>49</v>
      </c>
      <c r="E198" s="10" t="str">
        <f aca="false">IF(D198="?OLD","!!!","")</f>
        <v/>
      </c>
      <c r="F198" s="11" t="str">
        <f aca="false">IF(OR(E198="",E198="!!!"),"",IF(NOT(ISNA(VLOOKUP(E198,E$1:E197,1,FALSE()))),"OLD",IF(AND(E198&lt;&gt;"",E198&lt;&gt;"!!!"),"NEW","")))</f>
        <v/>
      </c>
      <c r="G198" s="12" t="str">
        <f aca="false">IF(OR(E198="",E198="!!!"),"",IF(OR(J198=0,AND(J198=1,K198=1),AND(J198=1,I198="SBJ"),AND(J198=1,I198=0)),"?IN_FOCUS",IF(J198&lt;=2,"?ACTIVATED",IF(J198&lt;&gt;"","?FAMILIAR",IF(F198="NEW",IF(ISNA(VLOOKUP(E198,#REF!,1,FALSE())),"?TYPE_IDENTIFIABLE","?REFERENTIAL"),"_")))))</f>
        <v/>
      </c>
      <c r="H198" s="13" t="str">
        <f aca="false">IF(J198&lt;&gt;1,"",IF(I198="SBJ","CB","?"))</f>
        <v/>
      </c>
      <c r="I198" s="14" t="str">
        <f aca="false">IF(OR(E198="",E198="!!!",F198="NEW"),"",INDEX(B$2:B197,-1+SUMPRODUCT(MAX(ROW(E$2:E197)*(E198=E$2:E197)))))</f>
        <v/>
      </c>
      <c r="J198" s="15" t="str">
        <f aca="true">IF(OR(E198="",E198="!!!",F198="NEW"),"",COUNTBLANK(OFFSET(A$1,,,SUMPRODUCT(MAX(ROW(E$2:E198)*(E198=E$2:E198)))))-COUNTBLANK(OFFSET(A$1,,,SUMPRODUCT(MAX(ROW(E$1:E197)*(E198=E$1:E197))))))</f>
        <v/>
      </c>
      <c r="K198" s="15" t="str">
        <f aca="false">IF(OR(E198="",E198="!!!",F198="NEW"),"",INDEX(J$1:J197,SUMPRODUCT(MAX(ROW(E$1:E197)*(E198=E$1:E197)))))</f>
        <v/>
      </c>
      <c r="L198" s="16"/>
    </row>
    <row r="199" customFormat="false" ht="12.75" hidden="false" customHeight="false" outlineLevel="0" collapsed="false">
      <c r="A199" s="9" t="s">
        <v>162</v>
      </c>
      <c r="B199" s="0" t="s">
        <v>24</v>
      </c>
      <c r="C199" s="0" t="s">
        <v>103</v>
      </c>
      <c r="D199" s="0" t="s">
        <v>19</v>
      </c>
      <c r="E199" s="10" t="s">
        <v>162</v>
      </c>
      <c r="F199" s="11" t="str">
        <f aca="false">IF(OR(E199="",E199="!!!"),"",IF(NOT(ISNA(VLOOKUP(E199,E$1:E198,1,FALSE()))),"OLD",IF(AND(E199&lt;&gt;"",E199&lt;&gt;"!!!"),"NEW","")))</f>
        <v>NEW</v>
      </c>
      <c r="G199" s="12" t="s">
        <v>21</v>
      </c>
      <c r="H199" s="13" t="str">
        <f aca="false">IF(J199&lt;&gt;1,"",IF(I199="SBJ","CB","?"))</f>
        <v/>
      </c>
      <c r="I199" s="14" t="str">
        <f aca="false">IF(OR(E199="",E199="!!!",F199="NEW"),"",INDEX(B$2:B198,-1+SUMPRODUCT(MAX(ROW(E$2:E198)*(E199=E$2:E198)))))</f>
        <v/>
      </c>
      <c r="J199" s="15" t="str">
        <f aca="true">IF(OR(E199="",E199="!!!",F199="NEW"),"",COUNTBLANK(OFFSET(A$1,,,SUMPRODUCT(MAX(ROW(E$2:E199)*(E199=E$2:E199)))))-COUNTBLANK(OFFSET(A$1,,,SUMPRODUCT(MAX(ROW(E$1:E198)*(E199=E$1:E198))))))</f>
        <v/>
      </c>
      <c r="K199" s="15" t="str">
        <f aca="false">IF(OR(E199="",E199="!!!",F199="NEW"),"",INDEX(J$1:J198,SUMPRODUCT(MAX(ROW(E$1:E198)*(E199=E$1:E198)))))</f>
        <v/>
      </c>
      <c r="L199" s="16"/>
    </row>
    <row r="200" customFormat="false" ht="12.75" hidden="false" customHeight="false" outlineLevel="0" collapsed="false">
      <c r="A200" s="9" t="s">
        <v>28</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75" hidden="false" customHeight="false" outlineLevel="0" collapsed="false">
      <c r="A201" s="9" t="s">
        <v>163</v>
      </c>
      <c r="B201" s="0" t="s">
        <v>62</v>
      </c>
      <c r="C201" s="0" t="s">
        <v>103</v>
      </c>
      <c r="D201" s="0" t="s">
        <v>19</v>
      </c>
      <c r="E201" s="10" t="s">
        <v>163</v>
      </c>
      <c r="F201" s="11" t="str">
        <f aca="false">IF(OR(E201="",E201="!!!"),"",IF(NOT(ISNA(VLOOKUP(E201,E$1:E200,1,FALSE()))),"OLD",IF(AND(E201&lt;&gt;"",E201&lt;&gt;"!!!"),"NEW","")))</f>
        <v>NEW</v>
      </c>
      <c r="G201" s="12" t="s">
        <v>52</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75" hidden="false" customHeight="false" outlineLevel="0" collapsed="false">
      <c r="A202" s="9" t="s">
        <v>28</v>
      </c>
      <c r="E202" s="10" t="str">
        <f aca="false">IF(D202="?OLD","!!!","")</f>
        <v/>
      </c>
      <c r="F202" s="11" t="str">
        <f aca="false">IF(OR(E202="",E202="!!!"),"",IF(NOT(ISNA(VLOOKUP(E202,E$1:E201,1,FALSE()))),"OLD",IF(AND(E202&lt;&gt;"",E202&lt;&gt;"!!!"),"NEW","")))</f>
        <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75" hidden="false" customHeight="false" outlineLevel="0" collapsed="false">
      <c r="A203" s="9" t="s">
        <v>164</v>
      </c>
      <c r="B203" s="0" t="s">
        <v>62</v>
      </c>
      <c r="C203" s="0" t="s">
        <v>103</v>
      </c>
      <c r="D203" s="0" t="s">
        <v>19</v>
      </c>
      <c r="E203" s="10" t="s">
        <v>164</v>
      </c>
      <c r="F203" s="11" t="str">
        <f aca="false">IF(OR(E203="",E203="!!!"),"",IF(NOT(ISNA(VLOOKUP(E203,E$1:E202,1,FALSE()))),"OLD",IF(AND(E203&lt;&gt;"",E203&lt;&gt;"!!!"),"NEW","")))</f>
        <v>NEW</v>
      </c>
      <c r="G203" s="12" t="s">
        <v>21</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75" hidden="false" customHeight="false" outlineLevel="0" collapsed="false">
      <c r="A204" s="9" t="s">
        <v>28</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75" hidden="false" customHeight="false" outlineLevel="0" collapsed="false">
      <c r="A205" s="9" t="s">
        <v>165</v>
      </c>
      <c r="B205" s="0" t="s">
        <v>62</v>
      </c>
      <c r="C205" s="0" t="s">
        <v>103</v>
      </c>
      <c r="D205" s="0" t="s">
        <v>19</v>
      </c>
      <c r="E205" s="10" t="s">
        <v>165</v>
      </c>
      <c r="F205" s="11" t="str">
        <f aca="false">IF(OR(E205="",E205="!!!"),"",IF(NOT(ISNA(VLOOKUP(E205,E$1:E204,1,FALSE()))),"OLD",IF(AND(E205&lt;&gt;"",E205&lt;&gt;"!!!"),"NEW","")))</f>
        <v>NEW</v>
      </c>
      <c r="G205" s="12" t="s">
        <v>21</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75" hidden="false" customHeight="false" outlineLevel="0" collapsed="false">
      <c r="A206" s="9" t="s">
        <v>28</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75" hidden="false" customHeight="false" outlineLevel="0" collapsed="false">
      <c r="A207" s="9" t="s">
        <v>166</v>
      </c>
      <c r="B207" s="0" t="s">
        <v>62</v>
      </c>
      <c r="C207" s="0" t="s">
        <v>103</v>
      </c>
      <c r="D207" s="0" t="s">
        <v>19</v>
      </c>
      <c r="E207" s="10" t="s">
        <v>166</v>
      </c>
      <c r="F207" s="11" t="str">
        <f aca="false">IF(OR(E207="",E207="!!!"),"",IF(NOT(ISNA(VLOOKUP(E207,E$1:E206,1,FALSE()))),"OLD",IF(AND(E207&lt;&gt;"",E207&lt;&gt;"!!!"),"NEW","")))</f>
        <v>NEW</v>
      </c>
      <c r="G207" s="12" t="s">
        <v>21</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75" hidden="false" customHeight="false" outlineLevel="0" collapsed="false">
      <c r="A208" s="9" t="s">
        <v>28</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75" hidden="false" customHeight="false" outlineLevel="0" collapsed="false">
      <c r="A209" s="9" t="s">
        <v>167</v>
      </c>
      <c r="B209" s="0" t="s">
        <v>62</v>
      </c>
      <c r="C209" s="0" t="s">
        <v>103</v>
      </c>
      <c r="D209" s="0" t="s">
        <v>19</v>
      </c>
      <c r="E209" s="10" t="s">
        <v>167</v>
      </c>
      <c r="F209" s="11" t="str">
        <f aca="false">IF(OR(E209="",E209="!!!"),"",IF(NOT(ISNA(VLOOKUP(E209,E$1:E208,1,FALSE()))),"OLD",IF(AND(E209&lt;&gt;"",E209&lt;&gt;"!!!"),"NEW","")))</f>
        <v>NEW</v>
      </c>
      <c r="G209" s="12" t="s">
        <v>21</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75" hidden="false" customHeight="false" outlineLevel="0" collapsed="false">
      <c r="A210" s="9" t="s">
        <v>28</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75" hidden="false" customHeight="false" outlineLevel="0" collapsed="false">
      <c r="A211" s="9" t="s">
        <v>168</v>
      </c>
      <c r="B211" s="0" t="s">
        <v>62</v>
      </c>
      <c r="C211" s="0" t="s">
        <v>103</v>
      </c>
      <c r="D211" s="0" t="s">
        <v>19</v>
      </c>
      <c r="E211" s="10" t="s">
        <v>168</v>
      </c>
      <c r="F211" s="11" t="str">
        <f aca="false">IF(OR(E211="",E211="!!!"),"",IF(NOT(ISNA(VLOOKUP(E211,E$1:E210,1,FALSE()))),"OLD",IF(AND(E211&lt;&gt;"",E211&lt;&gt;"!!!"),"NEW","")))</f>
        <v>NEW</v>
      </c>
      <c r="G211" s="12" t="s">
        <v>21</v>
      </c>
      <c r="H211" s="13" t="str">
        <f aca="false">IF(J211&lt;&gt;1,"",IF(I211="SBJ","CB","?"))</f>
        <v/>
      </c>
      <c r="I211" s="14" t="str">
        <f aca="false">IF(OR(E211="",E211="!!!",F211="NEW"),"",INDEX(B$2:B210,-1+SUMPRODUCT(MAX(ROW(E$2:E210)*(E211=E$2:E210)))))</f>
        <v/>
      </c>
      <c r="J211" s="15" t="str">
        <f aca="true">IF(OR(E211="",E211="!!!",F211="NEW"),"",COUNTBLANK(OFFSET(A$1,,,SUMPRODUCT(MAX(ROW(E$2:E211)*(E211=E$2:E211)))))-COUNTBLANK(OFFSET(A$1,,,SUMPRODUCT(MAX(ROW(E$1:E210)*(E211=E$1:E210))))))</f>
        <v/>
      </c>
      <c r="K211" s="15" t="str">
        <f aca="false">IF(OR(E211="",E211="!!!",F211="NEW"),"",INDEX(J$1:J210,SUMPRODUCT(MAX(ROW(E$1:E210)*(E211=E$1:E210)))))</f>
        <v/>
      </c>
      <c r="L211" s="16"/>
    </row>
    <row r="212" customFormat="false" ht="12.75" hidden="false" customHeight="false" outlineLevel="0" collapsed="false">
      <c r="A212" s="9" t="s">
        <v>28</v>
      </c>
      <c r="E212" s="10" t="str">
        <f aca="false">IF(D212="?OLD","!!!","")</f>
        <v/>
      </c>
      <c r="F212" s="11" t="str">
        <f aca="false">IF(OR(E212="",E212="!!!"),"",IF(NOT(ISNA(VLOOKUP(E212,E$1:E211,1,FALSE()))),"OLD",IF(AND(E212&lt;&gt;"",E212&lt;&gt;"!!!"),"NEW","")))</f>
        <v/>
      </c>
      <c r="G212" s="12" t="str">
        <f aca="false">IF(OR(E212="",E212="!!!"),"",IF(OR(J212=0,AND(J212=1,K212=1),AND(J212=1,I212="SBJ"),AND(J212=1,I212=0)),"?IN_FOCUS",IF(J212&lt;=2,"?ACTIVATED",IF(J212&lt;&gt;"","?FAMILIAR",IF(F212="NEW",IF(ISNA(VLOOKUP(E212,#REF!,1,FALSE())),"?TYPE_IDENTIFIABLE","?REFERENTIAL"),"_")))))</f>
        <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row>
    <row r="213" customFormat="false" ht="12.75" hidden="false" customHeight="false" outlineLevel="0" collapsed="false">
      <c r="A213" s="9" t="s">
        <v>169</v>
      </c>
      <c r="B213" s="0" t="s">
        <v>62</v>
      </c>
      <c r="C213" s="0" t="s">
        <v>103</v>
      </c>
      <c r="D213" s="0" t="s">
        <v>19</v>
      </c>
      <c r="E213" s="10" t="s">
        <v>169</v>
      </c>
      <c r="F213" s="11" t="str">
        <f aca="false">IF(OR(E213="",E213="!!!"),"",IF(NOT(ISNA(VLOOKUP(E213,E$1:E212,1,FALSE()))),"OLD",IF(AND(E213&lt;&gt;"",E213&lt;&gt;"!!!"),"NEW","")))</f>
        <v>NEW</v>
      </c>
      <c r="G213" s="12" t="s">
        <v>21</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75" hidden="false" customHeight="false" outlineLevel="0" collapsed="false">
      <c r="A214" s="9" t="s">
        <v>28</v>
      </c>
      <c r="E214" s="10" t="str">
        <f aca="false">IF(D214="?OLD","!!!","")</f>
        <v/>
      </c>
      <c r="F214" s="11" t="str">
        <f aca="false">IF(OR(E214="",E214="!!!"),"",IF(NOT(ISNA(VLOOKUP(E214,E$1:E213,1,FALSE()))),"OLD",IF(AND(E214&lt;&gt;"",E214&lt;&gt;"!!!"),"NEW","")))</f>
        <v/>
      </c>
      <c r="G214" s="12" t="str">
        <f aca="false">IF(OR(E214="",E214="!!!"),"",IF(OR(J214=0,AND(J214=1,K214=1),AND(J214=1,I214="SBJ"),AND(J214=1,I214=0)),"?IN_FOCUS",IF(J214&lt;=2,"?ACTIVATED",IF(J214&lt;&gt;"","?FAMILIAR",IF(F214="NEW",IF(ISNA(VLOOKUP(E214,#REF!,1,FALSE())),"?TYPE_IDENTIFIABLE","?REFERENTIAL"),"_")))))</f>
        <v/>
      </c>
      <c r="H214" s="13" t="str">
        <f aca="false">IF(J214&lt;&gt;1,"",IF(I214="SBJ","CB","?"))</f>
        <v/>
      </c>
      <c r="I214" s="14" t="str">
        <f aca="false">IF(OR(E214="",E214="!!!",F214="NEW"),"",INDEX(B$2:B213,-1+SUMPRODUCT(MAX(ROW(E$2:E213)*(E214=E$2:E213)))))</f>
        <v/>
      </c>
      <c r="J214" s="15" t="str">
        <f aca="true">IF(OR(E214="",E214="!!!",F214="NEW"),"",COUNTBLANK(OFFSET(A$1,,,SUMPRODUCT(MAX(ROW(E$2:E214)*(E214=E$2:E214)))))-COUNTBLANK(OFFSET(A$1,,,SUMPRODUCT(MAX(ROW(E$1:E213)*(E214=E$1:E213))))))</f>
        <v/>
      </c>
      <c r="K214" s="15" t="str">
        <f aca="false">IF(OR(E214="",E214="!!!",F214="NEW"),"",INDEX(J$1:J213,SUMPRODUCT(MAX(ROW(E$1:E213)*(E214=E$1:E213)))))</f>
        <v/>
      </c>
      <c r="L214" s="16"/>
    </row>
    <row r="215" customFormat="false" ht="12.75" hidden="false" customHeight="false" outlineLevel="0" collapsed="false">
      <c r="A215" s="9" t="s">
        <v>15</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75" hidden="false" customHeight="false" outlineLevel="0" collapsed="false">
      <c r="A216" s="9" t="s">
        <v>170</v>
      </c>
      <c r="B216" s="0" t="s">
        <v>62</v>
      </c>
      <c r="C216" s="0" t="s">
        <v>83</v>
      </c>
      <c r="D216" s="0" t="s">
        <v>19</v>
      </c>
      <c r="E216" s="10" t="s">
        <v>171</v>
      </c>
      <c r="F216" s="11" t="str">
        <f aca="false">IF(OR(E216="",E216="!!!"),"",IF(NOT(ISNA(VLOOKUP(E216,E$1:E215,1,FALSE()))),"OLD",IF(AND(E216&lt;&gt;"",E216&lt;&gt;"!!!"),"NEW","")))</f>
        <v>NEW</v>
      </c>
      <c r="G216" s="12" t="s">
        <v>21</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75" hidden="false" customHeight="false" outlineLevel="0" collapsed="false">
      <c r="A217" s="9" t="s">
        <v>22</v>
      </c>
      <c r="E217" s="10" t="str">
        <f aca="false">IF(D217="?OLD","!!!","")</f>
        <v/>
      </c>
      <c r="F217" s="11" t="str">
        <f aca="false">IF(OR(E217="",E217="!!!"),"",IF(NOT(ISNA(VLOOKUP(E217,E$1:E216,1,FALSE()))),"OLD",IF(AND(E217&lt;&gt;"",E217&lt;&gt;"!!!"),"NEW","")))</f>
        <v/>
      </c>
      <c r="G217" s="12" t="str">
        <f aca="false">IF(OR(E217="",E217="!!!"),"",IF(OR(J217=0,AND(J217=1,K217=1),AND(J217=1,I217="SBJ"),AND(J217=1,I217=0)),"?IN_FOCUS",IF(J217&lt;=2,"?ACTIVATED",IF(J217&lt;&gt;"","?FAMILIAR",IF(F217="NEW",IF(ISNA(VLOOKUP(E217,#REF!,1,FALSE())),"?TYPE_IDENTIFIABLE","?REFERENTIAL"),"_")))))</f>
        <v/>
      </c>
      <c r="H217" s="13" t="str">
        <f aca="false">IF(J217&lt;&gt;1,"",IF(I217="SBJ","CB","?"))</f>
        <v/>
      </c>
      <c r="I217" s="14" t="str">
        <f aca="false">IF(OR(E217="",E217="!!!",F217="NEW"),"",INDEX(B$2:B216,-1+SUMPRODUCT(MAX(ROW(E$2:E216)*(E217=E$2:E216)))))</f>
        <v/>
      </c>
      <c r="J217" s="15" t="str">
        <f aca="true">IF(OR(E217="",E217="!!!",F217="NEW"),"",COUNTBLANK(OFFSET(A$1,,,SUMPRODUCT(MAX(ROW(E$2:E217)*(E217=E$2:E217)))))-COUNTBLANK(OFFSET(A$1,,,SUMPRODUCT(MAX(ROW(E$1:E216)*(E217=E$1:E216))))))</f>
        <v/>
      </c>
      <c r="K217" s="15" t="str">
        <f aca="false">IF(OR(E217="",E217="!!!",F217="NEW"),"",INDEX(J$1:J216,SUMPRODUCT(MAX(ROW(E$1:E216)*(E217=E$1:E216)))))</f>
        <v/>
      </c>
      <c r="L217" s="16"/>
    </row>
    <row r="218" customFormat="false" ht="12.75" hidden="false" customHeight="false" outlineLevel="0" collapsed="false">
      <c r="A218" s="9" t="s">
        <v>172</v>
      </c>
      <c r="B218" s="0" t="s">
        <v>127</v>
      </c>
      <c r="C218" s="0" t="s">
        <v>103</v>
      </c>
      <c r="D218" s="0" t="s">
        <v>19</v>
      </c>
      <c r="E218" s="10" t="s">
        <v>171</v>
      </c>
      <c r="F218" s="11" t="str">
        <f aca="false">IF(OR(E218="",E218="!!!"),"",IF(NOT(ISNA(VLOOKUP(E218,E$1:E217,1,FALSE()))),"OLD",IF(AND(E218&lt;&gt;"",E218&lt;&gt;"!!!"),"NEW","")))</f>
        <v>OLD</v>
      </c>
      <c r="G218" s="12" t="s">
        <v>65</v>
      </c>
      <c r="H218" s="13" t="str">
        <f aca="false">IF(J218&lt;&gt;1,"",IF(I218="SBJ","CB","?"))</f>
        <v/>
      </c>
      <c r="I218" s="14" t="str">
        <f aca="false">IF(OR(E218="",E218="!!!",F218="NEW"),"",INDEX(B$2:B217,-1+SUMPRODUCT(MAX(ROW(E$2:E217)*(E218=E$2:E217)))))</f>
        <v>other_4</v>
      </c>
      <c r="J218" s="15" t="n">
        <f aca="true">IF(OR(E218="",E218="!!!",F218="NEW"),"",COUNTBLANK(OFFSET(A$1,,,SUMPRODUCT(MAX(ROW(E$2:E218)*(E218=E$2:E218)))))-COUNTBLANK(OFFSET(A$1,,,SUMPRODUCT(MAX(ROW(E$1:E217)*(E218=E$1:E217))))))</f>
        <v>0</v>
      </c>
      <c r="K218" s="15" t="str">
        <f aca="false">IF(OR(E218="",E218="!!!",F218="NEW"),"",INDEX(J$1:J217,SUMPRODUCT(MAX(ROW(E$1:E217)*(E218=E$1:E217)))))</f>
        <v/>
      </c>
      <c r="L218" s="16"/>
    </row>
    <row r="219" customFormat="false" ht="12.75" hidden="false" customHeight="false" outlineLevel="0" collapsed="false">
      <c r="A219" s="9" t="s">
        <v>173</v>
      </c>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75" hidden="false" customHeight="false" outlineLevel="0" collapsed="false">
      <c r="A220" s="9" t="s">
        <v>174</v>
      </c>
      <c r="B220" s="0" t="s">
        <v>175</v>
      </c>
      <c r="C220" s="0" t="s">
        <v>103</v>
      </c>
      <c r="D220" s="0" t="s">
        <v>19</v>
      </c>
      <c r="E220" s="10" t="s">
        <v>171</v>
      </c>
      <c r="F220" s="11" t="str">
        <f aca="false">IF(OR(E220="",E220="!!!"),"",IF(NOT(ISNA(VLOOKUP(E220,E$1:E219,1,FALSE()))),"OLD",IF(AND(E220&lt;&gt;"",E220&lt;&gt;"!!!"),"NEW","")))</f>
        <v>OLD</v>
      </c>
      <c r="G220" s="12" t="s">
        <v>65</v>
      </c>
      <c r="H220" s="13" t="str">
        <f aca="false">IF(J220&lt;&gt;1,"",IF(I220="SBJ","CB","?"))</f>
        <v/>
      </c>
      <c r="I220" s="14" t="str">
        <f aca="false">IF(OR(E220="",E220="!!!",F220="NEW"),"",INDEX(B$2:B219,-1+SUMPRODUCT(MAX(ROW(E$2:E219)*(E220=E$2:E219)))))</f>
        <v>other_5</v>
      </c>
      <c r="J220" s="15" t="n">
        <f aca="true">IF(OR(E220="",E220="!!!",F220="NEW"),"",COUNTBLANK(OFFSET(A$1,,,SUMPRODUCT(MAX(ROW(E$2:E220)*(E220=E$2:E220)))))-COUNTBLANK(OFFSET(A$1,,,SUMPRODUCT(MAX(ROW(E$1:E219)*(E220=E$1:E219))))))</f>
        <v>0</v>
      </c>
      <c r="K220" s="15" t="n">
        <f aca="false">IF(OR(E220="",E220="!!!",F220="NEW"),"",INDEX(J$1:J219,SUMPRODUCT(MAX(ROW(E$1:E219)*(E220=E$1:E219)))))</f>
        <v>0</v>
      </c>
      <c r="L220" s="16"/>
    </row>
    <row r="221" customFormat="false" ht="12.75" hidden="false" customHeight="false" outlineLevel="0" collapsed="false">
      <c r="A221" s="9" t="s">
        <v>28</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75" hidden="false" customHeight="false" outlineLevel="0" collapsed="false">
      <c r="A222" s="9" t="s">
        <v>176</v>
      </c>
      <c r="B222" s="0" t="s">
        <v>75</v>
      </c>
      <c r="C222" s="0" t="s">
        <v>25</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75" hidden="false" customHeight="false" outlineLevel="0" collapsed="false">
      <c r="A223" s="9" t="s">
        <v>49</v>
      </c>
      <c r="E223" s="10" t="str">
        <f aca="false">IF(D223="?OLD","!!!","")</f>
        <v/>
      </c>
      <c r="F223" s="11" t="str">
        <f aca="false">IF(OR(E223="",E223="!!!"),"",IF(NOT(ISNA(VLOOKUP(E223,E$1:E222,1,FALSE()))),"OLD",IF(AND(E223&lt;&gt;"",E223&lt;&gt;"!!!"),"NEW","")))</f>
        <v/>
      </c>
      <c r="G223" s="12" t="str">
        <f aca="false">IF(OR(E223="",E223="!!!"),"",IF(OR(J223=0,AND(J223=1,K223=1),AND(J223=1,I223="SBJ"),AND(J223=1,I223=0)),"?IN_FOCUS",IF(J223&lt;=2,"?ACTIVATED",IF(J223&lt;&gt;"","?FAMILIAR",IF(F223="NEW",IF(ISNA(VLOOKUP(E223,#REF!,1,FALSE())),"?TYPE_IDENTIFIABLE","?REFERENTIAL"),"_")))))</f>
        <v/>
      </c>
      <c r="H223" s="13" t="str">
        <f aca="false">IF(J223&lt;&gt;1,"",IF(I223="SBJ","CB","?"))</f>
        <v/>
      </c>
      <c r="I223" s="14" t="str">
        <f aca="false">IF(OR(E223="",E223="!!!",F223="NEW"),"",INDEX(B$2:B222,-1+SUMPRODUCT(MAX(ROW(E$2:E222)*(E223=E$2:E222)))))</f>
        <v/>
      </c>
      <c r="J223" s="15" t="str">
        <f aca="true">IF(OR(E223="",E223="!!!",F223="NEW"),"",COUNTBLANK(OFFSET(A$1,,,SUMPRODUCT(MAX(ROW(E$2:E223)*(E223=E$2:E223)))))-COUNTBLANK(OFFSET(A$1,,,SUMPRODUCT(MAX(ROW(E$1:E222)*(E223=E$1:E222))))))</f>
        <v/>
      </c>
      <c r="K223" s="15" t="str">
        <f aca="false">IF(OR(E223="",E223="!!!",F223="NEW"),"",INDEX(J$1:J222,SUMPRODUCT(MAX(ROW(E$1:E222)*(E223=E$1:E222)))))</f>
        <v/>
      </c>
      <c r="L223" s="16"/>
    </row>
    <row r="224" customFormat="false" ht="12.75" hidden="false" customHeight="false" outlineLevel="0" collapsed="false">
      <c r="A224" s="9" t="s">
        <v>177</v>
      </c>
      <c r="B224" s="0" t="s">
        <v>24</v>
      </c>
      <c r="C224" s="0" t="s">
        <v>103</v>
      </c>
      <c r="D224" s="0" t="s">
        <v>19</v>
      </c>
      <c r="E224" s="10" t="s">
        <v>177</v>
      </c>
      <c r="F224" s="11" t="str">
        <f aca="false">IF(OR(E224="",E224="!!!"),"",IF(NOT(ISNA(VLOOKUP(E224,E$1:E223,1,FALSE()))),"OLD",IF(AND(E224&lt;&gt;"",E224&lt;&gt;"!!!"),"NEW","")))</f>
        <v>NEW</v>
      </c>
      <c r="G224" s="12" t="s">
        <v>21</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row>
    <row r="225" customFormat="false" ht="12.75" hidden="false" customHeight="false" outlineLevel="0" collapsed="false">
      <c r="A225" s="9" t="s">
        <v>28</v>
      </c>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75" hidden="false" customHeight="false" outlineLevel="0" collapsed="false">
      <c r="A226" s="9" t="s">
        <v>178</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75" hidden="false" customHeight="false" outlineLevel="0" collapsed="false">
      <c r="A227" s="9" t="s">
        <v>102</v>
      </c>
      <c r="B227" s="0" t="s">
        <v>75</v>
      </c>
      <c r="C227" s="0" t="s">
        <v>103</v>
      </c>
      <c r="D227" s="0" t="s">
        <v>19</v>
      </c>
      <c r="E227" s="10" t="s">
        <v>102</v>
      </c>
      <c r="F227" s="11" t="str">
        <f aca="false">IF(OR(E227="",E227="!!!"),"",IF(NOT(ISNA(VLOOKUP(E227,E$1:E226,1,FALSE()))),"OLD",IF(AND(E227&lt;&gt;"",E227&lt;&gt;"!!!"),"NEW","")))</f>
        <v>NEW</v>
      </c>
      <c r="G227" s="12" t="s">
        <v>21</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75" hidden="false" customHeight="false" outlineLevel="0" collapsed="false">
      <c r="A228" s="9" t="s">
        <v>63</v>
      </c>
      <c r="E228" s="10" t="str">
        <f aca="false">IF(D228="?OLD","!!!","")</f>
        <v/>
      </c>
      <c r="F228" s="11" t="str">
        <f aca="false">IF(OR(E228="",E228="!!!"),"",IF(NOT(ISNA(VLOOKUP(E228,E$1:E227,1,FALSE()))),"OLD",IF(AND(E228&lt;&gt;"",E228&lt;&gt;"!!!"),"NEW","")))</f>
        <v/>
      </c>
      <c r="G228" s="12" t="str">
        <f aca="false">IF(OR(E228="",E228="!!!"),"",IF(OR(J228=0,AND(J228=1,K228=1),AND(J228=1,I228="SBJ"),AND(J228=1,I228=0)),"?IN_FOCUS",IF(J228&lt;=2,"?ACTIVATED",IF(J228&lt;&gt;"","?FAMILIAR",IF(F228="NEW",IF(ISNA(VLOOKUP(E228,#REF!,1,FALSE())),"?TYPE_IDENTIFIABLE","?REFERENTIAL"),"_")))))</f>
        <v/>
      </c>
      <c r="H228" s="13" t="str">
        <f aca="false">IF(J228&lt;&gt;1,"",IF(I228="SBJ","CB","?"))</f>
        <v/>
      </c>
      <c r="I228" s="14" t="str">
        <f aca="false">IF(OR(E228="",E228="!!!",F228="NEW"),"",INDEX(B$2:B227,-1+SUMPRODUCT(MAX(ROW(E$2:E227)*(E228=E$2:E227)))))</f>
        <v/>
      </c>
      <c r="J228" s="15" t="str">
        <f aca="true">IF(OR(E228="",E228="!!!",F228="NEW"),"",COUNTBLANK(OFFSET(A$1,,,SUMPRODUCT(MAX(ROW(E$2:E228)*(E228=E$2:E228)))))-COUNTBLANK(OFFSET(A$1,,,SUMPRODUCT(MAX(ROW(E$1:E227)*(E228=E$1:E227))))))</f>
        <v/>
      </c>
      <c r="K228" s="15" t="str">
        <f aca="false">IF(OR(E228="",E228="!!!",F228="NEW"),"",INDEX(J$1:J227,SUMPRODUCT(MAX(ROW(E$1:E227)*(E228=E$1:E227)))))</f>
        <v/>
      </c>
      <c r="L228" s="16"/>
    </row>
    <row r="229" customFormat="false" ht="12.75" hidden="false" customHeight="false" outlineLevel="0" collapsed="false">
      <c r="A229" s="9" t="s">
        <v>179</v>
      </c>
      <c r="B229" s="0" t="s">
        <v>75</v>
      </c>
      <c r="C229" s="0" t="s">
        <v>25</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75" hidden="false" customHeight="false" outlineLevel="0" collapsed="false">
      <c r="A230" s="9" t="s">
        <v>28</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75" hidden="false" customHeight="false" outlineLevel="0" collapsed="false">
      <c r="A231" s="9" t="s">
        <v>180</v>
      </c>
      <c r="B231" s="0" t="s">
        <v>75</v>
      </c>
      <c r="C231" s="0" t="s">
        <v>103</v>
      </c>
      <c r="D231" s="0" t="s">
        <v>19</v>
      </c>
      <c r="E231" s="10" t="s">
        <v>180</v>
      </c>
      <c r="F231" s="11" t="str">
        <f aca="false">IF(OR(E231="",E231="!!!"),"",IF(NOT(ISNA(VLOOKUP(E231,E$1:E230,1,FALSE()))),"OLD",IF(AND(E231&lt;&gt;"",E231&lt;&gt;"!!!"),"NEW","")))</f>
        <v>NEW</v>
      </c>
      <c r="G231" s="12" t="s">
        <v>21</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75" hidden="false" customHeight="false" outlineLevel="0" collapsed="false">
      <c r="A232" s="9" t="s">
        <v>63</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75" hidden="false" customHeight="false" outlineLevel="0" collapsed="false">
      <c r="A233" s="9" t="s">
        <v>181</v>
      </c>
      <c r="B233" s="0" t="s">
        <v>75</v>
      </c>
      <c r="C233" s="0" t="s">
        <v>103</v>
      </c>
      <c r="D233" s="0" t="s">
        <v>19</v>
      </c>
      <c r="E233" s="10" t="s">
        <v>181</v>
      </c>
      <c r="F233" s="11" t="str">
        <f aca="false">IF(OR(E233="",E233="!!!"),"",IF(NOT(ISNA(VLOOKUP(E233,E$1:E232,1,FALSE()))),"OLD",IF(AND(E233&lt;&gt;"",E233&lt;&gt;"!!!"),"NEW","")))</f>
        <v>NEW</v>
      </c>
      <c r="G233" s="12" t="s">
        <v>21</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75" hidden="false" customHeight="false" outlineLevel="0" collapsed="false">
      <c r="A234" s="9" t="s">
        <v>182</v>
      </c>
      <c r="E234" s="10" t="str">
        <f aca="false">IF(D234="?OLD","!!!","")</f>
        <v/>
      </c>
      <c r="F234" s="11" t="str">
        <f aca="false">IF(OR(E234="",E234="!!!"),"",IF(NOT(ISNA(VLOOKUP(E234,E$1:E233,1,FALSE()))),"OLD",IF(AND(E234&lt;&gt;"",E234&lt;&gt;"!!!"),"NEW","")))</f>
        <v/>
      </c>
      <c r="G234" s="12" t="str">
        <f aca="false">IF(OR(E234="",E234="!!!"),"",IF(OR(J234=0,AND(J234=1,K234=1),AND(J234=1,I234="SBJ"),AND(J234=1,I234=0)),"?IN_FOCUS",IF(J234&lt;=2,"?ACTIVATED",IF(J234&lt;&gt;"","?FAMILIAR",IF(F234="NEW",IF(ISNA(VLOOKUP(E234,#REF!,1,FALSE())),"?TYPE_IDENTIFIABLE","?REFERENTIAL"),"_")))))</f>
        <v/>
      </c>
      <c r="H234" s="13" t="str">
        <f aca="false">IF(J234&lt;&gt;1,"",IF(I234="SBJ","CB","?"))</f>
        <v/>
      </c>
      <c r="I234" s="14" t="str">
        <f aca="false">IF(OR(E234="",E234="!!!",F234="NEW"),"",INDEX(B$2:B233,-1+SUMPRODUCT(MAX(ROW(E$2:E233)*(E234=E$2:E233)))))</f>
        <v/>
      </c>
      <c r="J234" s="15" t="str">
        <f aca="true">IF(OR(E234="",E234="!!!",F234="NEW"),"",COUNTBLANK(OFFSET(A$1,,,SUMPRODUCT(MAX(ROW(E$2:E234)*(E234=E$2:E234)))))-COUNTBLANK(OFFSET(A$1,,,SUMPRODUCT(MAX(ROW(E$1:E233)*(E234=E$1:E233))))))</f>
        <v/>
      </c>
      <c r="K234" s="15" t="str">
        <f aca="false">IF(OR(E234="",E234="!!!",F234="NEW"),"",INDEX(J$1:J233,SUMPRODUCT(MAX(ROW(E$1:E233)*(E234=E$1:E233)))))</f>
        <v/>
      </c>
      <c r="L234" s="16"/>
    </row>
    <row r="235" customFormat="false" ht="12.75" hidden="false" customHeight="false" outlineLevel="0" collapsed="false">
      <c r="A235" s="9" t="s">
        <v>150</v>
      </c>
      <c r="B235" s="0" t="s">
        <v>30</v>
      </c>
      <c r="C235" s="0" t="s">
        <v>31</v>
      </c>
      <c r="D235" s="0" t="s">
        <v>19</v>
      </c>
      <c r="E235" s="10" t="s">
        <v>104</v>
      </c>
      <c r="F235" s="11" t="str">
        <f aca="false">IF(OR(E235="",E235="!!!"),"",IF(NOT(ISNA(VLOOKUP(E235,E$1:E234,1,FALSE()))),"OLD",IF(AND(E235&lt;&gt;"",E235&lt;&gt;"!!!"),"NEW","")))</f>
        <v>OLD</v>
      </c>
      <c r="G235" s="12" t="s">
        <v>33</v>
      </c>
      <c r="H235" s="13" t="s">
        <v>7</v>
      </c>
      <c r="I235" s="14" t="str">
        <f aca="false">IF(OR(E235="",E235="!!!",F235="NEW"),"",INDEX(B$2:B234,-1+SUMPRODUCT(MAX(ROW(E$2:E234)*(E235=E$2:E234)))))</f>
        <v>other_3</v>
      </c>
      <c r="J235" s="15" t="n">
        <f aca="true">IF(OR(E235="",E235="!!!",F235="NEW"),"",COUNTBLANK(OFFSET(A$1,,,SUMPRODUCT(MAX(ROW(E$2:E235)*(E235=E$2:E235)))))-COUNTBLANK(OFFSET(A$1,,,SUMPRODUCT(MAX(ROW(E$1:E234)*(E235=E$1:E234))))))</f>
        <v>1</v>
      </c>
      <c r="K235" s="15" t="n">
        <f aca="false">IF(OR(E235="",E235="!!!",F235="NEW"),"",INDEX(J$1:J234,SUMPRODUCT(MAX(ROW(E$1:E234)*(E235=E$1:E234)))))</f>
        <v>0</v>
      </c>
      <c r="L235" s="16"/>
    </row>
    <row r="236" customFormat="false" ht="12.75" hidden="false" customHeight="false" outlineLevel="0" collapsed="false">
      <c r="A236" s="9" t="s">
        <v>151</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57.45" hidden="false" customHeight="false" outlineLevel="0" collapsed="false">
      <c r="A237" s="9" t="s">
        <v>79</v>
      </c>
      <c r="B237" s="0" t="s">
        <v>152</v>
      </c>
      <c r="C237" s="0" t="s">
        <v>31</v>
      </c>
      <c r="D237" s="0" t="s">
        <v>19</v>
      </c>
      <c r="E237" s="10"/>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t="s">
        <v>183</v>
      </c>
    </row>
    <row r="238" customFormat="false" ht="12.75" hidden="false" customHeight="false" outlineLevel="0" collapsed="false">
      <c r="A238" s="9" t="s">
        <v>125</v>
      </c>
      <c r="E238" s="10" t="str">
        <f aca="false">IF(D238="?OLD","!!!","")</f>
        <v/>
      </c>
      <c r="F238" s="11" t="str">
        <f aca="false">IF(OR(E238="",E238="!!!"),"",IF(NOT(ISNA(VLOOKUP(E238,E$1:E237,1,FALSE()))),"OLD",IF(AND(E238&lt;&gt;"",E238&lt;&gt;"!!!"),"NEW","")))</f>
        <v/>
      </c>
      <c r="G238" s="12" t="str">
        <f aca="false">IF(OR(E238="",E238="!!!"),"",IF(OR(J238=0,AND(J238=1,K238=1),AND(J238=1,I238="SBJ"),AND(J238=1,I238=0)),"?IN_FOCUS",IF(J238&lt;=2,"?ACTIVATED",IF(J238&lt;&gt;"","?FAMILIAR",IF(F238="NEW",IF(ISNA(VLOOKUP(E238,#REF!,1,FALSE())),"?TYPE_IDENTIFIABLE","?REFERENTIAL"),"_")))))</f>
        <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75" hidden="false" customHeight="false" outlineLevel="0" collapsed="false">
      <c r="A239" s="9" t="s">
        <v>42</v>
      </c>
      <c r="E239" s="10" t="str">
        <f aca="false">IF(D239="?OLD","!!!","")</f>
        <v/>
      </c>
      <c r="F239" s="11" t="str">
        <f aca="false">IF(OR(E239="",E239="!!!"),"",IF(NOT(ISNA(VLOOKUP(E239,E$1:E238,1,FALSE()))),"OLD",IF(AND(E239&lt;&gt;"",E239&lt;&gt;"!!!"),"NEW","")))</f>
        <v/>
      </c>
      <c r="G239" s="12" t="str">
        <f aca="false">IF(OR(E239="",E239="!!!"),"",IF(OR(J239=0,AND(J239=1,K239=1),AND(J239=1,I239="SBJ"),AND(J239=1,I239=0)),"?IN_FOCUS",IF(J239&lt;=2,"?ACTIVATED",IF(J239&lt;&gt;"","?FAMILIAR",IF(F239="NEW",IF(ISNA(VLOOKUP(E239,#REF!,1,FALSE())),"?TYPE_IDENTIFIABLE","?REFERENTIAL"),"_")))))</f>
        <v/>
      </c>
      <c r="H239" s="13" t="str">
        <f aca="false">IF(J239&lt;&gt;1,"",IF(I239="SBJ","CB","?"))</f>
        <v/>
      </c>
      <c r="I239" s="14" t="str">
        <f aca="false">IF(OR(E239="",E239="!!!",F239="NEW"),"",INDEX(B$2:B238,-1+SUMPRODUCT(MAX(ROW(E$2:E238)*(E239=E$2:E238)))))</f>
        <v/>
      </c>
      <c r="J239" s="15" t="str">
        <f aca="true">IF(OR(E239="",E239="!!!",F239="NEW"),"",COUNTBLANK(OFFSET(A$1,,,SUMPRODUCT(MAX(ROW(E$2:E239)*(E239=E$2:E239)))))-COUNTBLANK(OFFSET(A$1,,,SUMPRODUCT(MAX(ROW(E$1:E238)*(E239=E$1:E238))))))</f>
        <v/>
      </c>
      <c r="K239" s="15" t="str">
        <f aca="false">IF(OR(E239="",E239="!!!",F239="NEW"),"",INDEX(J$1:J238,SUMPRODUCT(MAX(ROW(E$1:E238)*(E239=E$1:E238)))))</f>
        <v/>
      </c>
      <c r="L239" s="16"/>
    </row>
    <row r="240" customFormat="false" ht="12.75" hidden="false" customHeight="false" outlineLevel="0" collapsed="false">
      <c r="A240" s="9" t="s">
        <v>153</v>
      </c>
      <c r="B240" s="0" t="s">
        <v>62</v>
      </c>
      <c r="C240" s="0" t="s">
        <v>128</v>
      </c>
      <c r="D240" s="0" t="s">
        <v>19</v>
      </c>
      <c r="E240" s="10" t="s">
        <v>104</v>
      </c>
      <c r="F240" s="11" t="str">
        <f aca="false">IF(OR(E240="",E240="!!!"),"",IF(NOT(ISNA(VLOOKUP(E240,E$1:E239,1,FALSE()))),"OLD",IF(AND(E240&lt;&gt;"",E240&lt;&gt;"!!!"),"NEW","")))</f>
        <v>OLD</v>
      </c>
      <c r="G240" s="12" t="s">
        <v>65</v>
      </c>
      <c r="H240" s="13" t="str">
        <f aca="false">IF(J240&lt;&gt;1,"",IF(I240="SBJ","CB","?"))</f>
        <v/>
      </c>
      <c r="I240" s="14" t="str">
        <f aca="false">IF(OR(E240="",E240="!!!",F240="NEW"),"",INDEX(B$2:B239,-1+SUMPRODUCT(MAX(ROW(E$2:E239)*(E240=E$2:E239)))))</f>
        <v>SBJ</v>
      </c>
      <c r="J240" s="15" t="n">
        <f aca="true">IF(OR(E240="",E240="!!!",F240="NEW"),"",COUNTBLANK(OFFSET(A$1,,,SUMPRODUCT(MAX(ROW(E$2:E240)*(E240=E$2:E240)))))-COUNTBLANK(OFFSET(A$1,,,SUMPRODUCT(MAX(ROW(E$1:E239)*(E240=E$1:E239))))))</f>
        <v>0</v>
      </c>
      <c r="K240" s="15" t="n">
        <f aca="false">IF(OR(E240="",E240="!!!",F240="NEW"),"",INDEX(J$1:J239,SUMPRODUCT(MAX(ROW(E$1:E239)*(E240=E$1:E239)))))</f>
        <v>1</v>
      </c>
      <c r="L240" s="16"/>
    </row>
    <row r="241" customFormat="false" ht="12.75" hidden="false" customHeight="false" outlineLevel="0" collapsed="false">
      <c r="A241" s="9" t="s">
        <v>92</v>
      </c>
      <c r="B241" s="0" t="s">
        <v>24</v>
      </c>
      <c r="C241" s="0" t="s">
        <v>83</v>
      </c>
      <c r="D241" s="0" t="s">
        <v>19</v>
      </c>
      <c r="E241" s="10" t="s">
        <v>184</v>
      </c>
      <c r="F241" s="11" t="str">
        <f aca="false">IF(OR(E241="",E241="!!!"),"",IF(NOT(ISNA(VLOOKUP(E241,E$1:E240,1,FALSE()))),"OLD",IF(AND(E241&lt;&gt;"",E241&lt;&gt;"!!!"),"NEW","")))</f>
        <v>NEW</v>
      </c>
      <c r="G241" s="12" t="s">
        <v>33</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75" hidden="false" customHeight="false" outlineLevel="0" collapsed="false">
      <c r="A242" s="9" t="s">
        <v>15</v>
      </c>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75" hidden="false" customHeight="false" outlineLevel="0" collapsed="false">
      <c r="A243" s="9" t="s">
        <v>60</v>
      </c>
      <c r="E243" s="10" t="str">
        <f aca="false">IF(D243="?OLD","!!!","")</f>
        <v/>
      </c>
      <c r="F243" s="11" t="str">
        <f aca="false">IF(OR(E243="",E243="!!!"),"",IF(NOT(ISNA(VLOOKUP(E243,E$1:E242,1,FALSE()))),"OLD",IF(AND(E243&lt;&gt;"",E243&lt;&gt;"!!!"),"NEW","")))</f>
        <v/>
      </c>
      <c r="G243" s="12" t="str">
        <f aca="false">IF(OR(E243="",E243="!!!"),"",IF(OR(J243=0,AND(J243=1,K243=1),AND(J243=1,I243="SBJ"),AND(J243=1,I243=0)),"?IN_FOCUS",IF(J243&lt;=2,"?ACTIVATED",IF(J243&lt;&gt;"","?FAMILIAR",IF(F243="NEW",IF(ISNA(VLOOKUP(E243,#REF!,1,FALSE())),"?TYPE_IDENTIFIABLE","?REFERENTIAL"),"_")))))</f>
        <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75" hidden="false" customHeight="false" outlineLevel="0" collapsed="false">
      <c r="A244" s="9" t="s">
        <v>185</v>
      </c>
      <c r="B244" s="0" t="s">
        <v>96</v>
      </c>
      <c r="C244" s="0" t="s">
        <v>83</v>
      </c>
      <c r="D244" s="0" t="s">
        <v>19</v>
      </c>
      <c r="E244" s="10"/>
      <c r="F244" s="11" t="str">
        <f aca="false">IF(OR(E244="",E244="!!!"),"",IF(NOT(ISNA(VLOOKUP(E244,E$1:E243,1,FALSE()))),"OLD",IF(AND(E244&lt;&gt;"",E244&lt;&gt;"!!!"),"NEW","")))</f>
        <v/>
      </c>
      <c r="G244" s="12" t="str">
        <f aca="false">IF(OR(E244="",E244="!!!"),"",IF(OR(J244=0,AND(J244=1,K244=1),AND(J244=1,I244="SBJ"),AND(J244=1,I244=0)),"?IN_FOCUS",IF(J244&lt;=2,"?ACTIVATED",IF(J244&lt;&gt;"","?FAMILIAR",IF(F244="NEW",IF(ISNA(VLOOKUP(E244,#REF!,1,FALSE())),"?TYPE_IDENTIFIABLE","?REFERENTIAL"),"_")))))</f>
        <v/>
      </c>
      <c r="H244" s="13" t="str">
        <f aca="false">IF(J244&lt;&gt;1,"",IF(I244="SBJ","CB","?"))</f>
        <v/>
      </c>
      <c r="I244" s="14" t="str">
        <f aca="false">IF(OR(E244="",E244="!!!",F244="NEW"),"",INDEX(B$2:B243,-1+SUMPRODUCT(MAX(ROW(E$2:E243)*(E244=E$2:E243)))))</f>
        <v/>
      </c>
      <c r="J244" s="15" t="str">
        <f aca="true">IF(OR(E244="",E244="!!!",F244="NEW"),"",COUNTBLANK(OFFSET(A$1,,,SUMPRODUCT(MAX(ROW(E$2:E244)*(E244=E$2:E244)))))-COUNTBLANK(OFFSET(A$1,,,SUMPRODUCT(MAX(ROW(E$1:E243)*(E244=E$1:E243))))))</f>
        <v/>
      </c>
      <c r="K244" s="15" t="str">
        <f aca="false">IF(OR(E244="",E244="!!!",F244="NEW"),"",INDEX(J$1:J243,SUMPRODUCT(MAX(ROW(E$1:E243)*(E244=E$1:E243)))))</f>
        <v/>
      </c>
      <c r="L244" s="16" t="s">
        <v>186</v>
      </c>
    </row>
    <row r="245" customFormat="false" ht="12.75" hidden="false" customHeight="false" outlineLevel="0" collapsed="false">
      <c r="A245" s="9" t="s">
        <v>22</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75" hidden="false" customHeight="false" outlineLevel="0" collapsed="false">
      <c r="A246" s="9" t="s">
        <v>187</v>
      </c>
      <c r="B246" s="0" t="s">
        <v>62</v>
      </c>
      <c r="C246" s="0" t="s">
        <v>103</v>
      </c>
      <c r="D246" s="0" t="s">
        <v>19</v>
      </c>
      <c r="E246" s="10" t="s">
        <v>187</v>
      </c>
      <c r="F246" s="11" t="str">
        <f aca="false">IF(OR(E246="",E246="!!!"),"",IF(NOT(ISNA(VLOOKUP(E246,E$1:E245,1,FALSE()))),"OLD",IF(AND(E246&lt;&gt;"",E246&lt;&gt;"!!!"),"NEW","")))</f>
        <v>NEW</v>
      </c>
      <c r="G246" s="12" t="s">
        <v>52</v>
      </c>
      <c r="H246" s="13" t="str">
        <f aca="false">IF(J246&lt;&gt;1,"",IF(I246="SBJ","CB","?"))</f>
        <v/>
      </c>
      <c r="I246" s="14" t="str">
        <f aca="false">IF(OR(E246="",E246="!!!",F246="NEW"),"",INDEX(B$2:B245,-1+SUMPRODUCT(MAX(ROW(E$2:E245)*(E246=E$2:E245)))))</f>
        <v/>
      </c>
      <c r="J246" s="15" t="str">
        <f aca="true">IF(OR(E246="",E246="!!!",F246="NEW"),"",COUNTBLANK(OFFSET(A$1,,,SUMPRODUCT(MAX(ROW(E$2:E246)*(E246=E$2:E246)))))-COUNTBLANK(OFFSET(A$1,,,SUMPRODUCT(MAX(ROW(E$1:E245)*(E246=E$1:E245))))))</f>
        <v/>
      </c>
      <c r="K246" s="15" t="str">
        <f aca="false">IF(OR(E246="",E246="!!!",F246="NEW"),"",INDEX(J$1:J245,SUMPRODUCT(MAX(ROW(E$1:E245)*(E246=E$1:E245)))))</f>
        <v/>
      </c>
      <c r="L246" s="16"/>
    </row>
    <row r="247" customFormat="false" ht="12.75" hidden="false" customHeight="false" outlineLevel="0" collapsed="false">
      <c r="A247" s="9" t="s">
        <v>188</v>
      </c>
      <c r="E247" s="10" t="str">
        <f aca="false">IF(D247="?OLD","!!!","")</f>
        <v/>
      </c>
      <c r="F247" s="11" t="str">
        <f aca="false">IF(OR(E247="",E247="!!!"),"",IF(NOT(ISNA(VLOOKUP(E247,E$1:E246,1,FALSE()))),"OLD",IF(AND(E247&lt;&gt;"",E247&lt;&gt;"!!!"),"NEW","")))</f>
        <v/>
      </c>
      <c r="G247" s="12" t="str">
        <f aca="false">IF(OR(E247="",E247="!!!"),"",IF(OR(J247=0,AND(J247=1,K247=1),AND(J247=1,I247="SBJ"),AND(J247=1,I247=0)),"?IN_FOCUS",IF(J247&lt;=2,"?ACTIVATED",IF(J247&lt;&gt;"","?FAMILIAR",IF(F247="NEW",IF(ISNA(VLOOKUP(E247,#REF!,1,FALSE())),"?TYPE_IDENTIFIABLE","?REFERENTIAL"),"_")))))</f>
        <v/>
      </c>
      <c r="H247" s="13" t="str">
        <f aca="false">IF(J247&lt;&gt;1,"",IF(I247="SBJ","CB","?"))</f>
        <v/>
      </c>
      <c r="I247" s="14" t="str">
        <f aca="false">IF(OR(E247="",E247="!!!",F247="NEW"),"",INDEX(B$2:B246,-1+SUMPRODUCT(MAX(ROW(E$2:E246)*(E247=E$2:E246)))))</f>
        <v/>
      </c>
      <c r="J247" s="15" t="str">
        <f aca="true">IF(OR(E247="",E247="!!!",F247="NEW"),"",COUNTBLANK(OFFSET(A$1,,,SUMPRODUCT(MAX(ROW(E$2:E247)*(E247=E$2:E247)))))-COUNTBLANK(OFFSET(A$1,,,SUMPRODUCT(MAX(ROW(E$1:E246)*(E247=E$1:E246))))))</f>
        <v/>
      </c>
      <c r="K247" s="15" t="str">
        <f aca="false">IF(OR(E247="",E247="!!!",F247="NEW"),"",INDEX(J$1:J246,SUMPRODUCT(MAX(ROW(E$1:E246)*(E247=E$1:E246)))))</f>
        <v/>
      </c>
      <c r="L247" s="16"/>
    </row>
    <row r="248" customFormat="false" ht="12.75" hidden="false" customHeight="false" outlineLevel="0" collapsed="false">
      <c r="A248" s="9" t="s">
        <v>138</v>
      </c>
      <c r="E248" s="10" t="str">
        <f aca="false">IF(D248="?OLD","!!!","")</f>
        <v/>
      </c>
      <c r="F248" s="11" t="str">
        <f aca="false">IF(OR(E248="",E248="!!!"),"",IF(NOT(ISNA(VLOOKUP(E248,E$1:E247,1,FALSE()))),"OLD",IF(AND(E248&lt;&gt;"",E248&lt;&gt;"!!!"),"NEW","")))</f>
        <v/>
      </c>
      <c r="G248" s="12" t="str">
        <f aca="false">IF(OR(E248="",E248="!!!"),"",IF(OR(J248=0,AND(J248=1,K248=1),AND(J248=1,I248="SBJ"),AND(J248=1,I248=0)),"?IN_FOCUS",IF(J248&lt;=2,"?ACTIVATED",IF(J248&lt;&gt;"","?FAMILIAR",IF(F248="NEW",IF(ISNA(VLOOKUP(E248,#REF!,1,FALSE())),"?TYPE_IDENTIFIABLE","?REFERENTIAL"),"_")))))</f>
        <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75" hidden="false" customHeight="false" outlineLevel="0" collapsed="false">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75" hidden="false" customHeight="false" outlineLevel="0" collapsed="false">
      <c r="A250" s="9" t="s">
        <v>132</v>
      </c>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75" hidden="false" customHeight="false" outlineLevel="0" collapsed="false">
      <c r="A251" s="9" t="s">
        <v>189</v>
      </c>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57.45" hidden="false" customHeight="false" outlineLevel="0" collapsed="false">
      <c r="A252" s="9" t="s">
        <v>86</v>
      </c>
      <c r="B252" s="0" t="s">
        <v>30</v>
      </c>
      <c r="C252" s="0" t="s">
        <v>31</v>
      </c>
      <c r="D252" s="0" t="s">
        <v>19</v>
      </c>
      <c r="E252" s="10"/>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t="s">
        <v>183</v>
      </c>
    </row>
    <row r="253" customFormat="false" ht="12.75" hidden="false" customHeight="false" outlineLevel="0" collapsed="false">
      <c r="A253" s="9" t="s">
        <v>35</v>
      </c>
      <c r="E253" s="10" t="str">
        <f aca="false">IF(D253="?OLD","!!!","")</f>
        <v/>
      </c>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75" hidden="false" customHeight="false" outlineLevel="0" collapsed="false">
      <c r="A254" s="9" t="s">
        <v>36</v>
      </c>
      <c r="E254" s="10" t="str">
        <f aca="false">IF(D254="?OLD","!!!","")</f>
        <v/>
      </c>
      <c r="F254" s="11" t="str">
        <f aca="false">IF(OR(E254="",E254="!!!"),"",IF(NOT(ISNA(VLOOKUP(E254,E$1:E253,1,FALSE()))),"OLD",IF(AND(E254&lt;&gt;"",E254&lt;&gt;"!!!"),"NEW","")))</f>
        <v/>
      </c>
      <c r="G254" s="12" t="str">
        <f aca="false">IF(OR(E254="",E254="!!!"),"",IF(OR(J254=0,AND(J254=1,K254=1),AND(J254=1,I254="SBJ"),AND(J254=1,I254=0)),"?IN_FOCUS",IF(J254&lt;=2,"?ACTIVATED",IF(J254&lt;&gt;"","?FAMILIAR",IF(F254="NEW",IF(ISNA(VLOOKUP(E254,#REF!,1,FALSE())),"?TYPE_IDENTIFIABLE","?REFERENTIAL"),"_")))))</f>
        <v/>
      </c>
      <c r="H254" s="13" t="str">
        <f aca="false">IF(J254&lt;&gt;1,"",IF(I254="SBJ","CB","?"))</f>
        <v/>
      </c>
      <c r="I254" s="14" t="str">
        <f aca="false">IF(OR(E254="",E254="!!!",F254="NEW"),"",INDEX(B$2:B253,-1+SUMPRODUCT(MAX(ROW(E$2:E253)*(E254=E$2:E253)))))</f>
        <v/>
      </c>
      <c r="J254" s="15" t="str">
        <f aca="true">IF(OR(E254="",E254="!!!",F254="NEW"),"",COUNTBLANK(OFFSET(A$1,,,SUMPRODUCT(MAX(ROW(E$2:E254)*(E254=E$2:E254)))))-COUNTBLANK(OFFSET(A$1,,,SUMPRODUCT(MAX(ROW(E$1:E253)*(E254=E$1:E253))))))</f>
        <v/>
      </c>
      <c r="K254" s="15" t="str">
        <f aca="false">IF(OR(E254="",E254="!!!",F254="NEW"),"",INDEX(J$1:J253,SUMPRODUCT(MAX(ROW(E$1:E253)*(E254=E$1:E253)))))</f>
        <v/>
      </c>
      <c r="L254" s="16"/>
    </row>
    <row r="255" customFormat="false" ht="12.75" hidden="false" customHeight="false" outlineLevel="0" collapsed="false">
      <c r="A255" s="9" t="s">
        <v>134</v>
      </c>
      <c r="E255" s="10" t="str">
        <f aca="false">IF(D255="?OLD","!!!","")</f>
        <v/>
      </c>
      <c r="F255" s="11" t="str">
        <f aca="false">IF(OR(E255="",E255="!!!"),"",IF(NOT(ISNA(VLOOKUP(E255,E$1:E254,1,FALSE()))),"OLD",IF(AND(E255&lt;&gt;"",E255&lt;&gt;"!!!"),"NEW","")))</f>
        <v/>
      </c>
      <c r="G255" s="12" t="str">
        <f aca="false">IF(OR(E255="",E255="!!!"),"",IF(OR(J255=0,AND(J255=1,K255=1),AND(J255=1,I255="SBJ"),AND(J255=1,I255=0)),"?IN_FOCUS",IF(J255&lt;=2,"?ACTIVATED",IF(J255&lt;&gt;"","?FAMILIAR",IF(F255="NEW",IF(ISNA(VLOOKUP(E255,#REF!,1,FALSE())),"?TYPE_IDENTIFIABLE","?REFERENTIAL"),"_")))))</f>
        <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75" hidden="false" customHeight="false" outlineLevel="0" collapsed="false">
      <c r="A256" s="9" t="s">
        <v>28</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75" hidden="false" customHeight="false" outlineLevel="0" collapsed="false">
      <c r="A257" s="9" t="s">
        <v>63</v>
      </c>
      <c r="E257" s="10" t="str">
        <f aca="false">IF(D257="?OLD","!!!","")</f>
        <v/>
      </c>
      <c r="F257" s="11" t="str">
        <f aca="false">IF(OR(E257="",E257="!!!"),"",IF(NOT(ISNA(VLOOKUP(E257,E$1:E256,1,FALSE()))),"OLD",IF(AND(E257&lt;&gt;"",E257&lt;&gt;"!!!"),"NEW","")))</f>
        <v/>
      </c>
      <c r="G257" s="12" t="str">
        <f aca="false">IF(OR(E257="",E257="!!!"),"",IF(OR(J257=0,AND(J257=1,K257=1),AND(J257=1,I257="SBJ"),AND(J257=1,I257=0)),"?IN_FOCUS",IF(J257&lt;=2,"?ACTIVATED",IF(J257&lt;&gt;"","?FAMILIAR",IF(F257="NEW",IF(ISNA(VLOOKUP(E257,#REF!,1,FALSE())),"?TYPE_IDENTIFIABLE","?REFERENTIAL"),"_")))))</f>
        <v/>
      </c>
      <c r="H257" s="13" t="str">
        <f aca="false">IF(J257&lt;&gt;1,"",IF(I257="SBJ","CB","?"))</f>
        <v/>
      </c>
      <c r="I257" s="14" t="str">
        <f aca="false">IF(OR(E257="",E257="!!!",F257="NEW"),"",INDEX(B$2:B256,-1+SUMPRODUCT(MAX(ROW(E$2:E256)*(E257=E$2:E256)))))</f>
        <v/>
      </c>
      <c r="J257" s="15" t="str">
        <f aca="true">IF(OR(E257="",E257="!!!",F257="NEW"),"",COUNTBLANK(OFFSET(A$1,,,SUMPRODUCT(MAX(ROW(E$2:E257)*(E257=E$2:E257)))))-COUNTBLANK(OFFSET(A$1,,,SUMPRODUCT(MAX(ROW(E$1:E256)*(E257=E$1:E256))))))</f>
        <v/>
      </c>
      <c r="K257" s="15" t="str">
        <f aca="false">IF(OR(E257="",E257="!!!",F257="NEW"),"",INDEX(J$1:J256,SUMPRODUCT(MAX(ROW(E$1:E256)*(E257=E$1:E256)))))</f>
        <v/>
      </c>
      <c r="L257" s="16"/>
    </row>
    <row r="258" customFormat="false" ht="12.75" hidden="false" customHeight="false" outlineLevel="0" collapsed="false">
      <c r="A258" s="9" t="s">
        <v>35</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75" hidden="false" customHeight="false" outlineLevel="0" collapsed="false">
      <c r="A259" s="9" t="s">
        <v>190</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75" hidden="false" customHeight="false" outlineLevel="0" collapsed="false">
      <c r="A260" s="9" t="s">
        <v>28</v>
      </c>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75" hidden="false" customHeight="false" outlineLevel="0" collapsed="false">
      <c r="A261" s="9" t="s">
        <v>136</v>
      </c>
      <c r="E261" s="10" t="str">
        <f aca="false">IF(D261="?OLD","!!!","")</f>
        <v/>
      </c>
      <c r="F261" s="11" t="str">
        <f aca="false">IF(OR(E261="",E261="!!!"),"",IF(NOT(ISNA(VLOOKUP(E261,E$1:E260,1,FALSE()))),"OLD",IF(AND(E261&lt;&gt;"",E261&lt;&gt;"!!!"),"NEW","")))</f>
        <v/>
      </c>
      <c r="G261" s="12" t="str">
        <f aca="false">IF(OR(E261="",E261="!!!"),"",IF(OR(J261=0,AND(J261=1,K261=1),AND(J261=1,I261="SBJ"),AND(J261=1,I261=0)),"?IN_FOCUS",IF(J261&lt;=2,"?ACTIVATED",IF(J261&lt;&gt;"","?FAMILIAR",IF(F261="NEW",IF(ISNA(VLOOKUP(E261,#REF!,1,FALSE())),"?TYPE_IDENTIFIABLE","?REFERENTIAL"),"_")))))</f>
        <v/>
      </c>
      <c r="H261" s="13" t="str">
        <f aca="false">IF(J261&lt;&gt;1,"",IF(I261="SBJ","CB","?"))</f>
        <v/>
      </c>
      <c r="I261" s="14" t="str">
        <f aca="false">IF(OR(E261="",E261="!!!",F261="NEW"),"",INDEX(B$2:B260,-1+SUMPRODUCT(MAX(ROW(E$2:E260)*(E261=E$2:E260)))))</f>
        <v/>
      </c>
      <c r="J261" s="15" t="str">
        <f aca="true">IF(OR(E261="",E261="!!!",F261="NEW"),"",COUNTBLANK(OFFSET(A$1,,,SUMPRODUCT(MAX(ROW(E$2:E261)*(E261=E$2:E261)))))-COUNTBLANK(OFFSET(A$1,,,SUMPRODUCT(MAX(ROW(E$1:E260)*(E261=E$1:E260))))))</f>
        <v/>
      </c>
      <c r="K261" s="15" t="str">
        <f aca="false">IF(OR(E261="",E261="!!!",F261="NEW"),"",INDEX(J$1:J260,SUMPRODUCT(MAX(ROW(E$1:E260)*(E261=E$1:E260)))))</f>
        <v/>
      </c>
      <c r="L261" s="16"/>
    </row>
    <row r="262" customFormat="false" ht="12.75" hidden="false" customHeight="false" outlineLevel="0" collapsed="false">
      <c r="A262" s="9" t="s">
        <v>38</v>
      </c>
      <c r="B262" s="0" t="s">
        <v>55</v>
      </c>
      <c r="E262" s="10" t="str">
        <f aca="false">IF(D262="?OLD","!!!","")</f>
        <v/>
      </c>
      <c r="F262" s="11" t="str">
        <f aca="false">IF(OR(E262="",E262="!!!"),"",IF(NOT(ISNA(VLOOKUP(E262,E$1:E261,1,FALSE()))),"OLD",IF(AND(E262&lt;&gt;"",E262&lt;&gt;"!!!"),"NEW","")))</f>
        <v/>
      </c>
      <c r="G262" s="12" t="str">
        <f aca="false">IF(OR(E262="",E262="!!!"),"",IF(OR(J262=0,AND(J262=1,K262=1),AND(J262=1,I262="SBJ"),AND(J262=1,I262=0)),"?IN_FOCUS",IF(J262&lt;=2,"?ACTIVATED",IF(J262&lt;&gt;"","?FAMILIAR",IF(F262="NEW",IF(ISNA(VLOOKUP(E262,#REF!,1,FALSE())),"?TYPE_IDENTIFIABLE","?REFERENTIAL"),"_")))))</f>
        <v/>
      </c>
      <c r="H262" s="13" t="str">
        <f aca="false">IF(J262&lt;&gt;1,"",IF(I262="SBJ","CB","?"))</f>
        <v/>
      </c>
      <c r="I262" s="14" t="str">
        <f aca="false">IF(OR(E262="",E262="!!!",F262="NEW"),"",INDEX(B$2:B261,-1+SUMPRODUCT(MAX(ROW(E$2:E261)*(E262=E$2:E261)))))</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75" hidden="false" customHeight="false" outlineLevel="0" collapsed="false">
      <c r="A263" s="9" t="s">
        <v>78</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75" hidden="false" customHeight="false" outlineLevel="0" collapsed="false">
      <c r="A264" s="9" t="s">
        <v>137</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75" hidden="false" customHeight="false" outlineLevel="0" collapsed="false">
      <c r="A265" s="9" t="s">
        <v>28</v>
      </c>
      <c r="E265" s="10" t="str">
        <f aca="false">IF(D265="?OLD","!!!","")</f>
        <v/>
      </c>
      <c r="F265" s="11" t="str">
        <f aca="false">IF(OR(E265="",E265="!!!"),"",IF(NOT(ISNA(VLOOKUP(E265,E$1:E264,1,FALSE()))),"OLD",IF(AND(E265&lt;&gt;"",E265&lt;&gt;"!!!"),"NEW","")))</f>
        <v/>
      </c>
      <c r="G265" s="12" t="str">
        <f aca="false">IF(OR(E265="",E265="!!!"),"",IF(OR(J265=0,AND(J265=1,K265=1),AND(J265=1,I265="SBJ"),AND(J265=1,I265=0)),"?IN_FOCUS",IF(J265&lt;=2,"?ACTIVATED",IF(J265&lt;&gt;"","?FAMILIAR",IF(F265="NEW",IF(ISNA(VLOOKUP(E265,#REF!,1,FALSE())),"?TYPE_IDENTIFIABLE","?REFERENTIAL"),"_")))))</f>
        <v/>
      </c>
      <c r="H265" s="13" t="str">
        <f aca="false">IF(J265&lt;&gt;1,"",IF(I265="SBJ","CB","?"))</f>
        <v/>
      </c>
      <c r="I265" s="14" t="str">
        <f aca="false">IF(OR(E265="",E265="!!!",F265="NEW"),"",INDEX(B$2:B264,-1+SUMPRODUCT(MAX(ROW(E$2:E264)*(E265=E$2:E264)))))</f>
        <v/>
      </c>
      <c r="J265" s="15" t="str">
        <f aca="true">IF(OR(E265="",E265="!!!",F265="NEW"),"",COUNTBLANK(OFFSET(A$1,,,SUMPRODUCT(MAX(ROW(E$2:E265)*(E265=E$2:E265)))))-COUNTBLANK(OFFSET(A$1,,,SUMPRODUCT(MAX(ROW(E$1:E264)*(E265=E$1:E264))))))</f>
        <v/>
      </c>
      <c r="K265" s="15" t="str">
        <f aca="false">IF(OR(E265="",E265="!!!",F265="NEW"),"",INDEX(J$1:J264,SUMPRODUCT(MAX(ROW(E$1:E264)*(E265=E$1:E264)))))</f>
        <v/>
      </c>
      <c r="L265" s="16"/>
    </row>
    <row r="266" customFormat="false" ht="12.75" hidden="false" customHeight="false" outlineLevel="0" collapsed="false">
      <c r="A266" s="9" t="s">
        <v>138</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75" hidden="false" customHeight="false" outlineLevel="0" collapsed="false">
      <c r="A267" s="9" t="s">
        <v>191</v>
      </c>
      <c r="B267" s="0" t="s">
        <v>55</v>
      </c>
      <c r="C267" s="0" t="s">
        <v>192</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75" hidden="false" customHeight="false" outlineLevel="0" collapsed="false">
      <c r="A268" s="9" t="s">
        <v>193</v>
      </c>
      <c r="E268" s="10" t="str">
        <f aca="false">IF(D268="?OLD","!!!","")</f>
        <v/>
      </c>
      <c r="F268" s="11" t="str">
        <f aca="false">IF(OR(E268="",E268="!!!"),"",IF(NOT(ISNA(VLOOKUP(E268,E$1:E267,1,FALSE()))),"OLD",IF(AND(E268&lt;&gt;"",E268&lt;&gt;"!!!"),"NEW","")))</f>
        <v/>
      </c>
      <c r="G268" s="12" t="str">
        <f aca="false">IF(OR(E268="",E268="!!!"),"",IF(OR(J268=0,AND(J268=1,K268=1),AND(J268=1,I268="SBJ"),AND(J268=1,I268=0)),"?IN_FOCUS",IF(J268&lt;=2,"?ACTIVATED",IF(J268&lt;&gt;"","?FAMILIAR",IF(F268="NEW",IF(ISNA(VLOOKUP(E268,#REF!,1,FALSE())),"?TYPE_IDENTIFIABLE","?REFERENTIAL"),"_")))))</f>
        <v/>
      </c>
      <c r="H268" s="13" t="str">
        <f aca="false">IF(J268&lt;&gt;1,"",IF(I268="SBJ","CB","?"))</f>
        <v/>
      </c>
      <c r="I268" s="14" t="str">
        <f aca="false">IF(OR(E268="",E268="!!!",F268="NEW"),"",INDEX(B$2:B267,-1+SUMPRODUCT(MAX(ROW(E$2:E267)*(E268=E$2:E267)))))</f>
        <v/>
      </c>
      <c r="J268" s="15" t="str">
        <f aca="true">IF(OR(E268="",E268="!!!",F268="NEW"),"",COUNTBLANK(OFFSET(A$1,,,SUMPRODUCT(MAX(ROW(E$2:E268)*(E268=E$2:E268)))))-COUNTBLANK(OFFSET(A$1,,,SUMPRODUCT(MAX(ROW(E$1:E267)*(E268=E$1:E267))))))</f>
        <v/>
      </c>
      <c r="K268" s="15" t="str">
        <f aca="false">IF(OR(E268="",E268="!!!",F268="NEW"),"",INDEX(J$1:J267,SUMPRODUCT(MAX(ROW(E$1:E267)*(E268=E$1:E267)))))</f>
        <v/>
      </c>
      <c r="L268" s="16"/>
    </row>
    <row r="269" customFormat="false" ht="12.75" hidden="false" customHeight="false" outlineLevel="0" collapsed="false">
      <c r="A269" s="9" t="s">
        <v>113</v>
      </c>
      <c r="B269" s="0" t="s">
        <v>17</v>
      </c>
      <c r="C269" s="0" t="s">
        <v>194</v>
      </c>
      <c r="D269" s="0" t="s">
        <v>19</v>
      </c>
      <c r="E269" s="10"/>
      <c r="F269" s="11" t="str">
        <f aca="false">IF(OR(E269="",E269="!!!"),"",IF(NOT(ISNA(VLOOKUP(E269,E$1:E268,1,FALSE()))),"OLD",IF(AND(E269&lt;&gt;"",E269&lt;&gt;"!!!"),"NEW","")))</f>
        <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IF(OR(E269="",E269="!!!",F269="NEW"),"",INDEX(B$2:B268,-1+SUMPRODUCT(MAX(ROW(E$2:E268)*(E269=E$2:E268)))))</f>
        <v/>
      </c>
      <c r="J269" s="15" t="str">
        <f aca="true">IF(OR(E269="",E269="!!!",F269="NEW"),"",COUNTBLANK(OFFSET(A$1,,,SUMPRODUCT(MAX(ROW(E$2:E269)*(E269=E$2:E269)))))-COUNTBLANK(OFFSET(A$1,,,SUMPRODUCT(MAX(ROW(E$1:E268)*(E269=E$1:E268))))))</f>
        <v/>
      </c>
      <c r="K269" s="15" t="str">
        <f aca="false">IF(OR(E269="",E269="!!!",F269="NEW"),"",INDEX(J$1:J268,SUMPRODUCT(MAX(ROW(E$1:E268)*(E269=E$1:E268)))))</f>
        <v/>
      </c>
      <c r="L269" s="16" t="s">
        <v>195</v>
      </c>
    </row>
    <row r="270" customFormat="false" ht="12.75" hidden="false" customHeight="false" outlineLevel="0" collapsed="false">
      <c r="A270" s="9" t="s">
        <v>196</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75" hidden="false" customHeight="false" outlineLevel="0" collapsed="false">
      <c r="A271" s="9" t="s">
        <v>146</v>
      </c>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75" hidden="false" customHeight="false" outlineLevel="0" collapsed="false">
      <c r="A272" s="9" t="s">
        <v>138</v>
      </c>
      <c r="E272" s="10" t="str">
        <f aca="false">IF(D272="?OLD","!!!","")</f>
        <v/>
      </c>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IF(OR(E272="",E272="!!!",F272="NEW"),"",INDEX(B$2:B271,-1+SUMPRODUCT(MAX(ROW(E$2:E271)*(E272=E$2:E271)))))</f>
        <v/>
      </c>
      <c r="J272" s="15" t="str">
        <f aca="true">IF(OR(E272="",E272="!!!",F272="NEW"),"",COUNTBLANK(OFFSET(A$1,,,SUMPRODUCT(MAX(ROW(E$2:E272)*(E272=E$2:E272)))))-COUNTBLANK(OFFSET(A$1,,,SUMPRODUCT(MAX(ROW(E$1:E271)*(E272=E$1:E271))))))</f>
        <v/>
      </c>
      <c r="K272" s="15" t="str">
        <f aca="false">IF(OR(E272="",E272="!!!",F272="NEW"),"",INDEX(J$1:J271,SUMPRODUCT(MAX(ROW(E$1:E271)*(E272=E$1:E271)))))</f>
        <v/>
      </c>
      <c r="L272" s="16"/>
    </row>
    <row r="273" customFormat="false" ht="12.75" hidden="false" customHeight="false" outlineLevel="0" collapsed="false">
      <c r="E273" s="10" t="str">
        <f aca="false">IF(D273="?OLD","!!!","")</f>
        <v/>
      </c>
      <c r="F273" s="11" t="str">
        <f aca="false">IF(OR(E273="",E273="!!!"),"",IF(NOT(ISNA(VLOOKUP(E273,E$1:E272,1,FALSE()))),"OLD",IF(AND(E273&lt;&gt;"",E273&lt;&gt;"!!!"),"NEW","")))</f>
        <v/>
      </c>
      <c r="G273" s="12" t="str">
        <f aca="false">IF(OR(E273="",E273="!!!"),"",IF(OR(J273=0,AND(J273=1,K273=1),AND(J273=1,I273="SBJ"),AND(J273=1,I273=0)),"?IN_FOCUS",IF(J273&lt;=2,"?ACTIVATED",IF(J273&lt;&gt;"","?FAMILIAR",IF(F273="NEW",IF(ISNA(VLOOKUP(E273,#REF!,1,FALSE())),"?TYPE_IDENTIFIABLE","?REFERENTIAL"),"_")))))</f>
        <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75" hidden="false" customHeight="false" outlineLevel="0" collapsed="false">
      <c r="A274" s="9" t="s">
        <v>132</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75" hidden="false" customHeight="false" outlineLevel="0" collapsed="false">
      <c r="A275" s="9" t="s">
        <v>197</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75" hidden="false" customHeight="false" outlineLevel="0" collapsed="false">
      <c r="A276" s="9" t="s">
        <v>198</v>
      </c>
      <c r="B276" s="0" t="s">
        <v>30</v>
      </c>
      <c r="C276" s="0" t="s">
        <v>25</v>
      </c>
      <c r="E276" s="10" t="str">
        <f aca="false">IF(D276="?OLD","!!!","")</f>
        <v/>
      </c>
      <c r="F276" s="11" t="str">
        <f aca="false">IF(OR(E276="",E276="!!!"),"",IF(NOT(ISNA(VLOOKUP(E276,E$1:E275,1,FALSE()))),"OLD",IF(AND(E276&lt;&gt;"",E276&lt;&gt;"!!!"),"NEW","")))</f>
        <v/>
      </c>
      <c r="G276" s="12" t="str">
        <f aca="false">IF(OR(E276="",E276="!!!"),"",IF(OR(J276=0,AND(J276=1,K276=1),AND(J276=1,I276="SBJ"),AND(J276=1,I276=0)),"?IN_FOCUS",IF(J276&lt;=2,"?ACTIVATED",IF(J276&lt;&gt;"","?FAMILIAR",IF(F276="NEW",IF(ISNA(VLOOKUP(E276,#REF!,1,FALSE())),"?TYPE_IDENTIFIABLE","?REFERENTIAL"),"_")))))</f>
        <v/>
      </c>
      <c r="H276" s="13" t="str">
        <f aca="false">IF(J276&lt;&gt;1,"",IF(I276="SBJ","CB","?"))</f>
        <v/>
      </c>
      <c r="I276" s="14" t="str">
        <f aca="false">IF(OR(E276="",E276="!!!",F276="NEW"),"",INDEX(B$2:B275,-1+SUMPRODUCT(MAX(ROW(E$2:E275)*(E276=E$2:E275)))))</f>
        <v/>
      </c>
      <c r="J276" s="15" t="str">
        <f aca="true">IF(OR(E276="",E276="!!!",F276="NEW"),"",COUNTBLANK(OFFSET(A$1,,,SUMPRODUCT(MAX(ROW(E$2:E276)*(E276=E$2:E276)))))-COUNTBLANK(OFFSET(A$1,,,SUMPRODUCT(MAX(ROW(E$1:E275)*(E276=E$1:E275))))))</f>
        <v/>
      </c>
      <c r="K276" s="15" t="str">
        <f aca="false">IF(OR(E276="",E276="!!!",F276="NEW"),"",INDEX(J$1:J275,SUMPRODUCT(MAX(ROW(E$1:E275)*(E276=E$1:E275)))))</f>
        <v/>
      </c>
      <c r="L276" s="16"/>
    </row>
    <row r="277" customFormat="false" ht="12.75" hidden="false" customHeight="false" outlineLevel="0" collapsed="false">
      <c r="A277" s="9" t="s">
        <v>28</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75" hidden="false" customHeight="false" outlineLevel="0" collapsed="false">
      <c r="A278" s="9" t="s">
        <v>199</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75" hidden="false" customHeight="false" outlineLevel="0" collapsed="false">
      <c r="A279" s="9" t="s">
        <v>28</v>
      </c>
      <c r="E279" s="10" t="str">
        <f aca="false">IF(D279="?OLD","!!!","")</f>
        <v/>
      </c>
      <c r="F279" s="11" t="str">
        <f aca="false">IF(OR(E279="",E279="!!!"),"",IF(NOT(ISNA(VLOOKUP(E279,E$1:E278,1,FALSE()))),"OLD",IF(AND(E279&lt;&gt;"",E279&lt;&gt;"!!!"),"NEW","")))</f>
        <v/>
      </c>
      <c r="G279" s="12" t="str">
        <f aca="false">IF(OR(E279="",E279="!!!"),"",IF(OR(J279=0,AND(J279=1,K279=1),AND(J279=1,I279="SBJ"),AND(J279=1,I279=0)),"?IN_FOCUS",IF(J279&lt;=2,"?ACTIVATED",IF(J279&lt;&gt;"","?FAMILIAR",IF(F279="NEW",IF(ISNA(VLOOKUP(E279,#REF!,1,FALSE())),"?TYPE_IDENTIFIABLE","?REFERENTIAL"),"_")))))</f>
        <v/>
      </c>
      <c r="H279" s="13" t="str">
        <f aca="false">IF(J279&lt;&gt;1,"",IF(I279="SBJ","CB","?"))</f>
        <v/>
      </c>
      <c r="I279" s="14" t="str">
        <f aca="false">IF(OR(E279="",E279="!!!",F279="NEW"),"",INDEX(B$2:B278,-1+SUMPRODUCT(MAX(ROW(E$2:E278)*(E279=E$2:E278)))))</f>
        <v/>
      </c>
      <c r="J279" s="15" t="str">
        <f aca="true">IF(OR(E279="",E279="!!!",F279="NEW"),"",COUNTBLANK(OFFSET(A$1,,,SUMPRODUCT(MAX(ROW(E$2:E279)*(E279=E$2:E279)))))-COUNTBLANK(OFFSET(A$1,,,SUMPRODUCT(MAX(ROW(E$1:E278)*(E279=E$1:E278))))))</f>
        <v/>
      </c>
      <c r="K279" s="15" t="str">
        <f aca="false">IF(OR(E279="",E279="!!!",F279="NEW"),"",INDEX(J$1:J278,SUMPRODUCT(MAX(ROW(E$1:E278)*(E279=E$1:E278)))))</f>
        <v/>
      </c>
      <c r="L279" s="16"/>
    </row>
    <row r="280" customFormat="false" ht="12.75" hidden="false" customHeight="false" outlineLevel="0" collapsed="false">
      <c r="A280" s="9" t="s">
        <v>200</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75" hidden="false" customHeight="false" outlineLevel="0" collapsed="false">
      <c r="A281" s="9" t="s">
        <v>28</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75" hidden="false" customHeight="false" outlineLevel="0" collapsed="false">
      <c r="A282" s="9" t="s">
        <v>138</v>
      </c>
      <c r="E282" s="10" t="str">
        <f aca="false">IF(D282="?OLD","!!!","")</f>
        <v/>
      </c>
      <c r="F282" s="11" t="str">
        <f aca="false">IF(OR(E282="",E282="!!!"),"",IF(NOT(ISNA(VLOOKUP(E282,E$1:E281,1,FALSE()))),"OLD",IF(AND(E282&lt;&gt;"",E282&lt;&gt;"!!!"),"NEW","")))</f>
        <v/>
      </c>
      <c r="G282" s="12" t="str">
        <f aca="false">IF(OR(E282="",E282="!!!"),"",IF(OR(J282=0,AND(J282=1,K282=1),AND(J282=1,I282="SBJ"),AND(J282=1,I282=0)),"?IN_FOCUS",IF(J282&lt;=2,"?ACTIVATED",IF(J282&lt;&gt;"","?FAMILIAR",IF(F282="NEW",IF(ISNA(VLOOKUP(E282,#REF!,1,FALSE())),"?TYPE_IDENTIFIABLE","?REFERENTIAL"),"_")))))</f>
        <v/>
      </c>
      <c r="H282" s="13" t="str">
        <f aca="false">IF(J282&lt;&gt;1,"",IF(I282="SBJ","CB","?"))</f>
        <v/>
      </c>
      <c r="I282" s="14" t="str">
        <f aca="false">IF(OR(E282="",E282="!!!",F282="NEW"),"",INDEX(B$2:B281,-1+SUMPRODUCT(MAX(ROW(E$2:E281)*(E282=E$2:E281)))))</f>
        <v/>
      </c>
      <c r="J282" s="15" t="str">
        <f aca="true">IF(OR(E282="",E282="!!!",F282="NEW"),"",COUNTBLANK(OFFSET(A$1,,,SUMPRODUCT(MAX(ROW(E$2:E282)*(E282=E$2:E282)))))-COUNTBLANK(OFFSET(A$1,,,SUMPRODUCT(MAX(ROW(E$1:E281)*(E282=E$1:E281))))))</f>
        <v/>
      </c>
      <c r="K282" s="15" t="str">
        <f aca="false">IF(OR(E282="",E282="!!!",F282="NEW"),"",INDEX(J$1:J281,SUMPRODUCT(MAX(ROW(E$1:E281)*(E282=E$1:E281)))))</f>
        <v/>
      </c>
      <c r="L282" s="16"/>
    </row>
    <row r="283" customFormat="false" ht="57.45" hidden="false" customHeight="false" outlineLevel="0" collapsed="false">
      <c r="A283" s="9" t="s">
        <v>86</v>
      </c>
      <c r="B283" s="0" t="s">
        <v>17</v>
      </c>
      <c r="C283" s="0" t="s">
        <v>31</v>
      </c>
      <c r="D283" s="0" t="s">
        <v>19</v>
      </c>
      <c r="E283" s="10"/>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t="s">
        <v>183</v>
      </c>
    </row>
    <row r="284" customFormat="false" ht="12.75" hidden="false" customHeight="false" outlineLevel="0" collapsed="false">
      <c r="A284" s="9" t="s">
        <v>140</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75" hidden="false" customHeight="false" outlineLevel="0" collapsed="false">
      <c r="A285" s="9" t="s">
        <v>66</v>
      </c>
      <c r="E285" s="10" t="str">
        <f aca="false">IF(D285="?OLD","!!!","")</f>
        <v/>
      </c>
      <c r="F285" s="11" t="str">
        <f aca="false">IF(OR(E285="",E285="!!!"),"",IF(NOT(ISNA(VLOOKUP(E285,E$1:E284,1,FALSE()))),"OLD",IF(AND(E285&lt;&gt;"",E285&lt;&gt;"!!!"),"NEW","")))</f>
        <v/>
      </c>
      <c r="G285" s="12" t="str">
        <f aca="false">IF(OR(E285="",E285="!!!"),"",IF(OR(J285=0,AND(J285=1,K285=1),AND(J285=1,I285="SBJ"),AND(J285=1,I285=0)),"?IN_FOCUS",IF(J285&lt;=2,"?ACTIVATED",IF(J285&lt;&gt;"","?FAMILIAR",IF(F285="NEW",IF(ISNA(VLOOKUP(E285,#REF!,1,FALSE())),"?TYPE_IDENTIFIABLE","?REFERENTIAL"),"_")))))</f>
        <v/>
      </c>
      <c r="H285" s="13" t="str">
        <f aca="false">IF(J285&lt;&gt;1,"",IF(I285="SBJ","CB","?"))</f>
        <v/>
      </c>
      <c r="I285" s="14" t="str">
        <f aca="false">IF(OR(E285="",E285="!!!",F285="NEW"),"",INDEX(B$2:B284,-1+SUMPRODUCT(MAX(ROW(E$2:E284)*(E285=E$2:E284)))))</f>
        <v/>
      </c>
      <c r="J285" s="15" t="str">
        <f aca="true">IF(OR(E285="",E285="!!!",F285="NEW"),"",COUNTBLANK(OFFSET(A$1,,,SUMPRODUCT(MAX(ROW(E$2:E285)*(E285=E$2:E285)))))-COUNTBLANK(OFFSET(A$1,,,SUMPRODUCT(MAX(ROW(E$1:E284)*(E285=E$1:E284))))))</f>
        <v/>
      </c>
      <c r="K285" s="15" t="str">
        <f aca="false">IF(OR(E285="",E285="!!!",F285="NEW"),"",INDEX(J$1:J284,SUMPRODUCT(MAX(ROW(E$1:E284)*(E285=E$1:E284)))))</f>
        <v/>
      </c>
      <c r="L285" s="16"/>
    </row>
    <row r="286" customFormat="false" ht="12.75" hidden="false" customHeight="false" outlineLevel="0" collapsed="false">
      <c r="A286" s="9" t="s">
        <v>37</v>
      </c>
      <c r="E286" s="10" t="str">
        <f aca="false">IF(D286="?OLD","!!!","")</f>
        <v/>
      </c>
      <c r="F286" s="11" t="str">
        <f aca="false">IF(OR(E286="",E286="!!!"),"",IF(NOT(ISNA(VLOOKUP(E286,E$1:E285,1,FALSE()))),"OLD",IF(AND(E286&lt;&gt;"",E286&lt;&gt;"!!!"),"NEW","")))</f>
        <v/>
      </c>
      <c r="G286" s="12" t="str">
        <f aca="false">IF(OR(E286="",E286="!!!"),"",IF(OR(J286=0,AND(J286=1,K286=1),AND(J286=1,I286="SBJ"),AND(J286=1,I286=0)),"?IN_FOCUS",IF(J286&lt;=2,"?ACTIVATED",IF(J286&lt;&gt;"","?FAMILIAR",IF(F286="NEW",IF(ISNA(VLOOKUP(E286,#REF!,1,FALSE())),"?TYPE_IDENTIFIABLE","?REFERENTIAL"),"_")))))</f>
        <v/>
      </c>
      <c r="H286" s="13" t="str">
        <f aca="false">IF(J286&lt;&gt;1,"",IF(I286="SBJ","CB","?"))</f>
        <v/>
      </c>
      <c r="I286" s="14" t="str">
        <f aca="false">IF(OR(E286="",E286="!!!",F286="NEW"),"",INDEX(B$2:B285,-1+SUMPRODUCT(MAX(ROW(E$2:E285)*(E286=E$2:E285)))))</f>
        <v/>
      </c>
      <c r="J286" s="15" t="str">
        <f aca="true">IF(OR(E286="",E286="!!!",F286="NEW"),"",COUNTBLANK(OFFSET(A$1,,,SUMPRODUCT(MAX(ROW(E$2:E286)*(E286=E$2:E286)))))-COUNTBLANK(OFFSET(A$1,,,SUMPRODUCT(MAX(ROW(E$1:E285)*(E286=E$1:E285))))))</f>
        <v/>
      </c>
      <c r="K286" s="15" t="str">
        <f aca="false">IF(OR(E286="",E286="!!!",F286="NEW"),"",INDEX(J$1:J285,SUMPRODUCT(MAX(ROW(E$1:E285)*(E286=E$1:E285)))))</f>
        <v/>
      </c>
      <c r="L286" s="16"/>
    </row>
    <row r="287" customFormat="false" ht="12.75" hidden="false" customHeight="false" outlineLevel="0" collapsed="false">
      <c r="A287" s="9" t="s">
        <v>201</v>
      </c>
      <c r="E287" s="10" t="str">
        <f aca="false">IF(D287="?OLD","!!!","")</f>
        <v/>
      </c>
      <c r="F287" s="11" t="str">
        <f aca="false">IF(OR(E287="",E287="!!!"),"",IF(NOT(ISNA(VLOOKUP(E287,E$1:E286,1,FALSE()))),"OLD",IF(AND(E287&lt;&gt;"",E287&lt;&gt;"!!!"),"NEW","")))</f>
        <v/>
      </c>
      <c r="G287" s="12" t="str">
        <f aca="false">IF(OR(E287="",E287="!!!"),"",IF(OR(J287=0,AND(J287=1,K287=1),AND(J287=1,I287="SBJ"),AND(J287=1,I287=0)),"?IN_FOCUS",IF(J287&lt;=2,"?ACTIVATED",IF(J287&lt;&gt;"","?FAMILIAR",IF(F287="NEW",IF(ISNA(VLOOKUP(E287,#REF!,1,FALSE())),"?TYPE_IDENTIFIABLE","?REFERENTIAL"),"_")))))</f>
        <v/>
      </c>
      <c r="H287" s="13" t="str">
        <f aca="false">IF(J287&lt;&gt;1,"",IF(I287="SBJ","CB","?"))</f>
        <v/>
      </c>
      <c r="I287" s="14" t="str">
        <f aca="false">IF(OR(E287="",E287="!!!",F287="NEW"),"",INDEX(B$2:B286,-1+SUMPRODUCT(MAX(ROW(E$2:E286)*(E287=E$2:E286)))))</f>
        <v/>
      </c>
      <c r="J287" s="15" t="str">
        <f aca="true">IF(OR(E287="",E287="!!!",F287="NEW"),"",COUNTBLANK(OFFSET(A$1,,,SUMPRODUCT(MAX(ROW(E$2:E287)*(E287=E$2:E287)))))-COUNTBLANK(OFFSET(A$1,,,SUMPRODUCT(MAX(ROW(E$1:E286)*(E287=E$1:E286))))))</f>
        <v/>
      </c>
      <c r="K287" s="15" t="str">
        <f aca="false">IF(OR(E287="",E287="!!!",F287="NEW"),"",INDEX(J$1:J286,SUMPRODUCT(MAX(ROW(E$1:E286)*(E287=E$1:E286)))))</f>
        <v/>
      </c>
      <c r="L287" s="16"/>
    </row>
    <row r="288" customFormat="false" ht="12.75" hidden="false" customHeight="false" outlineLevel="0" collapsed="false">
      <c r="A288" s="9" t="s">
        <v>202</v>
      </c>
      <c r="B288" s="0" t="s">
        <v>75</v>
      </c>
      <c r="C288" s="0" t="s">
        <v>25</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75" hidden="false" customHeight="false" outlineLevel="0" collapsed="false">
      <c r="A289" s="9" t="s">
        <v>44</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75" hidden="false" customHeight="false" outlineLevel="0" collapsed="false">
      <c r="A290" s="9" t="s">
        <v>138</v>
      </c>
      <c r="E290" s="10" t="str">
        <f aca="false">IF(D290="?OLD","!!!","")</f>
        <v/>
      </c>
      <c r="F290" s="11" t="str">
        <f aca="false">IF(OR(E290="",E290="!!!"),"",IF(NOT(ISNA(VLOOKUP(E290,E$1:E289,1,FALSE()))),"OLD",IF(AND(E290&lt;&gt;"",E290&lt;&gt;"!!!"),"NEW","")))</f>
        <v/>
      </c>
      <c r="G290" s="12" t="str">
        <f aca="false">IF(OR(E290="",E290="!!!"),"",IF(OR(J290=0,AND(J290=1,K290=1),AND(J290=1,I290="SBJ"),AND(J290=1,I290=0)),"?IN_FOCUS",IF(J290&lt;=2,"?ACTIVATED",IF(J290&lt;&gt;"","?FAMILIAR",IF(F290="NEW",IF(ISNA(VLOOKUP(E290,#REF!,1,FALSE())),"?TYPE_IDENTIFIABLE","?REFERENTIAL"),"_")))))</f>
        <v/>
      </c>
      <c r="H290" s="13" t="str">
        <f aca="false">IF(J290&lt;&gt;1,"",IF(I290="SBJ","CB","?"))</f>
        <v/>
      </c>
      <c r="I290" s="14" t="str">
        <f aca="false">IF(OR(E290="",E290="!!!",F290="NEW"),"",INDEX(B$2:B289,-1+SUMPRODUCT(MAX(ROW(E$2:E289)*(E290=E$2:E289)))))</f>
        <v/>
      </c>
      <c r="J290" s="15" t="str">
        <f aca="true">IF(OR(E290="",E290="!!!",F290="NEW"),"",COUNTBLANK(OFFSET(A$1,,,SUMPRODUCT(MAX(ROW(E$2:E290)*(E290=E$2:E290)))))-COUNTBLANK(OFFSET(A$1,,,SUMPRODUCT(MAX(ROW(E$1:E289)*(E290=E$1:E289))))))</f>
        <v/>
      </c>
      <c r="K290" s="15" t="str">
        <f aca="false">IF(OR(E290="",E290="!!!",F290="NEW"),"",INDEX(J$1:J289,SUMPRODUCT(MAX(ROW(E$1:E289)*(E290=E$1:E289)))))</f>
        <v/>
      </c>
      <c r="L290" s="16"/>
    </row>
    <row r="291" customFormat="false" ht="12.75" hidden="false" customHeight="false" outlineLevel="0" collapsed="false">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75" hidden="false" customHeight="false" outlineLevel="0" collapsed="false">
      <c r="A292" s="9" t="s">
        <v>132</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75" hidden="false" customHeight="false" outlineLevel="0" collapsed="false">
      <c r="A293" s="9" t="s">
        <v>203</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75" hidden="false" customHeight="false" outlineLevel="0" collapsed="false">
      <c r="A294" s="9" t="s">
        <v>204</v>
      </c>
      <c r="E294" s="10" t="str">
        <f aca="false">IF(D294="?OLD","!!!","")</f>
        <v/>
      </c>
      <c r="F294" s="11" t="str">
        <f aca="false">IF(OR(E294="",E294="!!!"),"",IF(NOT(ISNA(VLOOKUP(E294,E$1:E293,1,FALSE()))),"OLD",IF(AND(E294&lt;&gt;"",E294&lt;&gt;"!!!"),"NEW","")))</f>
        <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75" hidden="false" customHeight="false" outlineLevel="0" collapsed="false">
      <c r="A295" s="9" t="s">
        <v>205</v>
      </c>
      <c r="B295" s="0" t="s">
        <v>40</v>
      </c>
      <c r="C295" s="0" t="s">
        <v>103</v>
      </c>
      <c r="D295" s="0" t="s">
        <v>19</v>
      </c>
      <c r="E295" s="10" t="s">
        <v>205</v>
      </c>
      <c r="F295" s="11" t="str">
        <f aca="false">IF(OR(E295="",E295="!!!"),"",IF(NOT(ISNA(VLOOKUP(E295,E$1:E294,1,FALSE()))),"OLD",IF(AND(E295&lt;&gt;"",E295&lt;&gt;"!!!"),"NEW","")))</f>
        <v>NEW</v>
      </c>
      <c r="G295" s="12" t="s">
        <v>52</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75" hidden="false" customHeight="false" outlineLevel="0" collapsed="false">
      <c r="A296" s="9" t="s">
        <v>28</v>
      </c>
      <c r="E296" s="10" t="str">
        <f aca="false">IF(D296="?OLD","!!!","")</f>
        <v/>
      </c>
      <c r="F296" s="11" t="str">
        <f aca="false">IF(OR(E296="",E296="!!!"),"",IF(NOT(ISNA(VLOOKUP(E296,E$1:E295,1,FALSE()))),"OLD",IF(AND(E296&lt;&gt;"",E296&lt;&gt;"!!!"),"NEW","")))</f>
        <v/>
      </c>
      <c r="G296" s="12" t="str">
        <f aca="false">IF(OR(E296="",E296="!!!"),"",IF(OR(J296=0,AND(J296=1,K296=1),AND(J296=1,I296="SBJ"),AND(J296=1,I296=0)),"?IN_FOCUS",IF(J296&lt;=2,"?ACTIVATED",IF(J296&lt;&gt;"","?FAMILIAR",IF(F296="NEW",IF(ISNA(VLOOKUP(E296,#REF!,1,FALSE())),"?TYPE_IDENTIFIABLE","?REFERENTIAL"),"_")))))</f>
        <v/>
      </c>
      <c r="H296" s="13" t="str">
        <f aca="false">IF(J296&lt;&gt;1,"",IF(I296="SBJ","CB","?"))</f>
        <v/>
      </c>
      <c r="I296" s="14" t="str">
        <f aca="false">IF(OR(E296="",E296="!!!",F296="NEW"),"",INDEX(B$2:B295,-1+SUMPRODUCT(MAX(ROW(E$2:E295)*(E296=E$2:E295)))))</f>
        <v/>
      </c>
      <c r="J296" s="15" t="str">
        <f aca="true">IF(OR(E296="",E296="!!!",F296="NEW"),"",COUNTBLANK(OFFSET(A$1,,,SUMPRODUCT(MAX(ROW(E$2:E296)*(E296=E$2:E296)))))-COUNTBLANK(OFFSET(A$1,,,SUMPRODUCT(MAX(ROW(E$1:E295)*(E296=E$1:E295))))))</f>
        <v/>
      </c>
      <c r="K296" s="15" t="str">
        <f aca="false">IF(OR(E296="",E296="!!!",F296="NEW"),"",INDEX(J$1:J295,SUMPRODUCT(MAX(ROW(E$1:E295)*(E296=E$1:E295)))))</f>
        <v/>
      </c>
      <c r="L296" s="16"/>
    </row>
    <row r="297" customFormat="false" ht="12.75" hidden="false" customHeight="false" outlineLevel="0" collapsed="false">
      <c r="A297" s="9" t="s">
        <v>206</v>
      </c>
      <c r="E297" s="10" t="str">
        <f aca="false">IF(D297="?OLD","!!!","")</f>
        <v/>
      </c>
      <c r="F297" s="11" t="str">
        <f aca="false">IF(OR(E297="",E297="!!!"),"",IF(NOT(ISNA(VLOOKUP(E297,E$1:E296,1,FALSE()))),"OLD",IF(AND(E297&lt;&gt;"",E297&lt;&gt;"!!!"),"NEW","")))</f>
        <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75" hidden="false" customHeight="false" outlineLevel="0" collapsed="false">
      <c r="A298" s="9" t="s">
        <v>207</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75" hidden="false" customHeight="false" outlineLevel="0" collapsed="false">
      <c r="A299" s="9" t="s">
        <v>37</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75" hidden="false" customHeight="false" outlineLevel="0" collapsed="false">
      <c r="A300" s="9" t="s">
        <v>15</v>
      </c>
      <c r="E300" s="10" t="str">
        <f aca="false">IF(D300="?OLD","!!!","")</f>
        <v/>
      </c>
      <c r="F300" s="11" t="str">
        <f aca="false">IF(OR(E300="",E300="!!!"),"",IF(NOT(ISNA(VLOOKUP(E300,E$1:E299,1,FALSE()))),"OLD",IF(AND(E300&lt;&gt;"",E300&lt;&gt;"!!!"),"NEW","")))</f>
        <v/>
      </c>
      <c r="G300" s="12" t="str">
        <f aca="false">IF(OR(E300="",E300="!!!"),"",IF(OR(J300=0,AND(J300=1,K300=1),AND(J300=1,I300="SBJ"),AND(J300=1,I300=0)),"?IN_FOCUS",IF(J300&lt;=2,"?ACTIVATED",IF(J300&lt;&gt;"","?FAMILIAR",IF(F300="NEW",IF(ISNA(VLOOKUP(E300,#REF!,1,FALSE())),"?TYPE_IDENTIFIABLE","?REFERENTIAL"),"_")))))</f>
        <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row>
    <row r="301" customFormat="false" ht="12.75" hidden="false" customHeight="false" outlineLevel="0" collapsed="false">
      <c r="A301" s="9" t="s">
        <v>208</v>
      </c>
      <c r="B301" s="0" t="s">
        <v>24</v>
      </c>
      <c r="C301" s="0" t="s">
        <v>18</v>
      </c>
      <c r="D301" s="0" t="s">
        <v>19</v>
      </c>
      <c r="E301" s="10" t="s">
        <v>32</v>
      </c>
      <c r="F301" s="11" t="str">
        <f aca="false">IF(OR(E301="",E301="!!!"),"",IF(NOT(ISNA(VLOOKUP(E301,E$1:E300,1,FALSE()))),"OLD",IF(AND(E301&lt;&gt;"",E301&lt;&gt;"!!!"),"NEW","")))</f>
        <v>OLD</v>
      </c>
      <c r="G301" s="12" t="s">
        <v>52</v>
      </c>
      <c r="H301" s="13" t="str">
        <f aca="false">IF(J301&lt;&gt;1,"",IF(I301="SBJ","CB","?"))</f>
        <v/>
      </c>
      <c r="I301" s="14" t="str">
        <f aca="false">IF(OR(E301="",E301="!!!",F301="NEW"),"",INDEX(B$2:B300,-1+SUMPRODUCT(MAX(ROW(E$2:E300)*(E301=E$2:E300)))))</f>
        <v>OBJ_3</v>
      </c>
      <c r="J301" s="15" t="n">
        <f aca="true">IF(OR(E301="",E301="!!!",F301="NEW"),"",COUNTBLANK(OFFSET(A$1,,,SUMPRODUCT(MAX(ROW(E$2:E301)*(E301=E$2:E301)))))-COUNTBLANK(OFFSET(A$1,,,SUMPRODUCT(MAX(ROW(E$1:E300)*(E301=E$1:E300))))))</f>
        <v>8</v>
      </c>
      <c r="K301" s="15" t="n">
        <f aca="false">IF(OR(E301="",E301="!!!",F301="NEW"),"",INDEX(J$1:J300,SUMPRODUCT(MAX(ROW(E$1:E300)*(E301=E$1:E300)))))</f>
        <v>0</v>
      </c>
      <c r="L301" s="16"/>
    </row>
    <row r="302" customFormat="false" ht="12.75" hidden="false" customHeight="false" outlineLevel="0" collapsed="false">
      <c r="A302" s="9" t="s">
        <v>28</v>
      </c>
      <c r="E302" s="10" t="str">
        <f aca="false">IF(D302="?OLD","!!!","")</f>
        <v/>
      </c>
      <c r="F302" s="11" t="str">
        <f aca="false">IF(OR(E302="",E302="!!!"),"",IF(NOT(ISNA(VLOOKUP(E302,E$1:E301,1,FALSE()))),"OLD",IF(AND(E302&lt;&gt;"",E302&lt;&gt;"!!!"),"NEW","")))</f>
        <v/>
      </c>
      <c r="G302" s="12" t="str">
        <f aca="false">IF(OR(E302="",E302="!!!"),"",IF(OR(J302=0,AND(J302=1,K302=1),AND(J302=1,I302="SBJ"),AND(J302=1,I302=0)),"?IN_FOCUS",IF(J302&lt;=2,"?ACTIVATED",IF(J302&lt;&gt;"","?FAMILIAR",IF(F302="NEW",IF(ISNA(VLOOKUP(E302,#REF!,1,FALSE())),"?TYPE_IDENTIFIABLE","?REFERENTIAL"),"_")))))</f>
        <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75" hidden="false" customHeight="false" outlineLevel="0" collapsed="false">
      <c r="A303" s="9" t="s">
        <v>209</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75" hidden="false" customHeight="false" outlineLevel="0" collapsed="false">
      <c r="A304" s="9" t="s">
        <v>207</v>
      </c>
      <c r="E304" s="10" t="str">
        <f aca="false">IF(D304="?OLD","!!!","")</f>
        <v/>
      </c>
      <c r="F304" s="11" t="str">
        <f aca="false">IF(OR(E304="",E304="!!!"),"",IF(NOT(ISNA(VLOOKUP(E304,E$1:E303,1,FALSE()))),"OLD",IF(AND(E304&lt;&gt;"",E304&lt;&gt;"!!!"),"NEW","")))</f>
        <v/>
      </c>
      <c r="G304" s="12" t="str">
        <f aca="false">IF(OR(E304="",E304="!!!"),"",IF(OR(J304=0,AND(J304=1,K304=1),AND(J304=1,I304="SBJ"),AND(J304=1,I304=0)),"?IN_FOCUS",IF(J304&lt;=2,"?ACTIVATED",IF(J304&lt;&gt;"","?FAMILIAR",IF(F304="NEW",IF(ISNA(VLOOKUP(E304,#REF!,1,FALSE())),"?TYPE_IDENTIFIABLE","?REFERENTIAL"),"_")))))</f>
        <v/>
      </c>
      <c r="H304" s="13" t="str">
        <f aca="false">IF(J304&lt;&gt;1,"",IF(I304="SBJ","CB","?"))</f>
        <v/>
      </c>
      <c r="I304" s="14" t="str">
        <f aca="false">IF(OR(E304="",E304="!!!",F304="NEW"),"",INDEX(B$2:B303,-1+SUMPRODUCT(MAX(ROW(E$2:E303)*(E304=E$2:E303)))))</f>
        <v/>
      </c>
      <c r="J304" s="15" t="str">
        <f aca="true">IF(OR(E304="",E304="!!!",F304="NEW"),"",COUNTBLANK(OFFSET(A$1,,,SUMPRODUCT(MAX(ROW(E$2:E304)*(E304=E$2:E304)))))-COUNTBLANK(OFFSET(A$1,,,SUMPRODUCT(MAX(ROW(E$1:E303)*(E304=E$1:E303))))))</f>
        <v/>
      </c>
      <c r="K304" s="15" t="str">
        <f aca="false">IF(OR(E304="",E304="!!!",F304="NEW"),"",INDEX(J$1:J303,SUMPRODUCT(MAX(ROW(E$1:E303)*(E304=E$1:E303)))))</f>
        <v/>
      </c>
      <c r="L304" s="16"/>
    </row>
    <row r="305" customFormat="false" ht="12.75" hidden="false" customHeight="false" outlineLevel="0" collapsed="false">
      <c r="A305" s="9" t="s">
        <v>126</v>
      </c>
      <c r="B305" s="0" t="s">
        <v>24</v>
      </c>
      <c r="C305" s="0" t="s">
        <v>128</v>
      </c>
      <c r="D305" s="0" t="s">
        <v>19</v>
      </c>
      <c r="E305" s="10" t="s">
        <v>205</v>
      </c>
      <c r="F305" s="11" t="str">
        <f aca="false">IF(OR(E305="",E305="!!!"),"",IF(NOT(ISNA(VLOOKUP(E305,E$1:E304,1,FALSE()))),"OLD",IF(AND(E305&lt;&gt;"",E305&lt;&gt;"!!!"),"NEW","")))</f>
        <v>OLD</v>
      </c>
      <c r="G305" s="12" t="s">
        <v>65</v>
      </c>
      <c r="H305" s="13" t="str">
        <f aca="false">IF(J305&lt;&gt;1,"",IF(I305="SBJ","CB","?"))</f>
        <v/>
      </c>
      <c r="I305" s="14" t="str">
        <f aca="false">IF(OR(E305="",E305="!!!",F305="NEW"),"",INDEX(B$2:B304,-1+SUMPRODUCT(MAX(ROW(E$2:E304)*(E305=E$2:E304)))))</f>
        <v>other</v>
      </c>
      <c r="J305" s="15" t="n">
        <f aca="true">IF(OR(E305="",E305="!!!",F305="NEW"),"",COUNTBLANK(OFFSET(A$1,,,SUMPRODUCT(MAX(ROW(E$2:E305)*(E305=E$2:E305)))))-COUNTBLANK(OFFSET(A$1,,,SUMPRODUCT(MAX(ROW(E$1:E304)*(E305=E$1:E304))))))</f>
        <v>0</v>
      </c>
      <c r="K305" s="15" t="str">
        <f aca="false">IF(OR(E305="",E305="!!!",F305="NEW"),"",INDEX(J$1:J304,SUMPRODUCT(MAX(ROW(E$1:E304)*(E305=E$1:E304)))))</f>
        <v/>
      </c>
      <c r="L305" s="16"/>
    </row>
    <row r="306" customFormat="false" ht="12.75" hidden="false" customHeight="false" outlineLevel="0" collapsed="false">
      <c r="A306" s="9" t="s">
        <v>210</v>
      </c>
      <c r="B306" s="0" t="s">
        <v>55</v>
      </c>
      <c r="C306" s="0" t="s">
        <v>83</v>
      </c>
      <c r="D306" s="0" t="s">
        <v>19</v>
      </c>
      <c r="E306" s="10" t="s">
        <v>211</v>
      </c>
      <c r="F306" s="11" t="str">
        <f aca="false">IF(OR(E306="",E306="!!!"),"",IF(NOT(ISNA(VLOOKUP(E306,E$1:E305,1,FALSE()))),"OLD",IF(AND(E306&lt;&gt;"",E306&lt;&gt;"!!!"),"NEW","")))</f>
        <v>NEW</v>
      </c>
      <c r="G306" s="12" t="s">
        <v>21</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75" hidden="false" customHeight="false" outlineLevel="0" collapsed="false">
      <c r="A307" s="9" t="s">
        <v>28</v>
      </c>
      <c r="E307" s="10" t="str">
        <f aca="false">IF(D307="?OLD","!!!","")</f>
        <v/>
      </c>
      <c r="F307" s="11" t="str">
        <f aca="false">IF(OR(E307="",E307="!!!"),"",IF(NOT(ISNA(VLOOKUP(E307,E$1:E306,1,FALSE()))),"OLD",IF(AND(E307&lt;&gt;"",E307&lt;&gt;"!!!"),"NEW","")))</f>
        <v/>
      </c>
      <c r="G307" s="12" t="str">
        <f aca="false">IF(OR(E307="",E307="!!!"),"",IF(OR(J307=0,AND(J307=1,K307=1),AND(J307=1,I307="SBJ"),AND(J307=1,I307=0)),"?IN_FOCUS",IF(J307&lt;=2,"?ACTIVATED",IF(J307&lt;&gt;"","?FAMILIAR",IF(F307="NEW",IF(ISNA(VLOOKUP(E307,#REF!,1,FALSE())),"?TYPE_IDENTIFIABLE","?REFERENTIAL"),"_")))))</f>
        <v/>
      </c>
      <c r="H307" s="13" t="str">
        <f aca="false">IF(J307&lt;&gt;1,"",IF(I307="SBJ","CB","?"))</f>
        <v/>
      </c>
      <c r="I307" s="14" t="str">
        <f aca="false">IF(OR(E307="",E307="!!!",F307="NEW"),"",INDEX(B$2:B306,-1+SUMPRODUCT(MAX(ROW(E$2:E306)*(E307=E$2:E306)))))</f>
        <v/>
      </c>
      <c r="J307" s="15" t="str">
        <f aca="true">IF(OR(E307="",E307="!!!",F307="NEW"),"",COUNTBLANK(OFFSET(A$1,,,SUMPRODUCT(MAX(ROW(E$2:E307)*(E307=E$2:E307)))))-COUNTBLANK(OFFSET(A$1,,,SUMPRODUCT(MAX(ROW(E$1:E306)*(E307=E$1:E306))))))</f>
        <v/>
      </c>
      <c r="K307" s="15" t="str">
        <f aca="false">IF(OR(E307="",E307="!!!",F307="NEW"),"",INDEX(J$1:J306,SUMPRODUCT(MAX(ROW(E$1:E306)*(E307=E$1:E306)))))</f>
        <v/>
      </c>
      <c r="L307" s="16"/>
    </row>
    <row r="308" customFormat="false" ht="12.75" hidden="false" customHeight="false" outlineLevel="0" collapsed="false">
      <c r="A308" s="9" t="s">
        <v>63</v>
      </c>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75" hidden="false" customHeight="false" outlineLevel="0" collapsed="false">
      <c r="A309" s="9" t="s">
        <v>212</v>
      </c>
      <c r="E309" s="10" t="str">
        <f aca="false">IF(D309="?OLD","!!!","")</f>
        <v/>
      </c>
      <c r="F309" s="11" t="str">
        <f aca="false">IF(OR(E309="",E309="!!!"),"",IF(NOT(ISNA(VLOOKUP(E309,E$1:E308,1,FALSE()))),"OLD",IF(AND(E309&lt;&gt;"",E309&lt;&gt;"!!!"),"NEW","")))</f>
        <v/>
      </c>
      <c r="G309" s="12" t="str">
        <f aca="false">IF(OR(E309="",E309="!!!"),"",IF(OR(J309=0,AND(J309=1,K309=1),AND(J309=1,I309="SBJ"),AND(J309=1,I309=0)),"?IN_FOCUS",IF(J309&lt;=2,"?ACTIVATED",IF(J309&lt;&gt;"","?FAMILIAR",IF(F309="NEW",IF(ISNA(VLOOKUP(E309,#REF!,1,FALSE())),"?TYPE_IDENTIFIABLE","?REFERENTIAL"),"_")))))</f>
        <v/>
      </c>
      <c r="H309" s="13" t="str">
        <f aca="false">IF(J309&lt;&gt;1,"",IF(I309="SBJ","CB","?"))</f>
        <v/>
      </c>
      <c r="I309" s="14" t="str">
        <f aca="false">IF(OR(E309="",E309="!!!",F309="NEW"),"",INDEX(B$2:B308,-1+SUMPRODUCT(MAX(ROW(E$2:E308)*(E309=E$2:E308)))))</f>
        <v/>
      </c>
      <c r="J309" s="15" t="str">
        <f aca="true">IF(OR(E309="",E309="!!!",F309="NEW"),"",COUNTBLANK(OFFSET(A$1,,,SUMPRODUCT(MAX(ROW(E$2:E309)*(E309=E$2:E309)))))-COUNTBLANK(OFFSET(A$1,,,SUMPRODUCT(MAX(ROW(E$1:E308)*(E309=E$1:E308))))))</f>
        <v/>
      </c>
      <c r="K309" s="15" t="str">
        <f aca="false">IF(OR(E309="",E309="!!!",F309="NEW"),"",INDEX(J$1:J308,SUMPRODUCT(MAX(ROW(E$1:E308)*(E309=E$1:E308)))))</f>
        <v/>
      </c>
      <c r="L309" s="16"/>
    </row>
    <row r="310" customFormat="false" ht="12.75" hidden="false" customHeight="false" outlineLevel="0" collapsed="false">
      <c r="A310" s="9" t="s">
        <v>213</v>
      </c>
      <c r="E310" s="10" t="str">
        <f aca="false">IF(D310="?OLD","!!!","")</f>
        <v/>
      </c>
      <c r="F310" s="11" t="str">
        <f aca="false">IF(OR(E310="",E310="!!!"),"",IF(NOT(ISNA(VLOOKUP(E310,E$1:E309,1,FALSE()))),"OLD",IF(AND(E310&lt;&gt;"",E310&lt;&gt;"!!!"),"NEW","")))</f>
        <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IF(OR(E310="",E310="!!!",F310="NEW"),"",INDEX(B$2:B309,-1+SUMPRODUCT(MAX(ROW(E$2:E309)*(E310=E$2:E309)))))</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75" hidden="false" customHeight="false" outlineLevel="0" collapsed="false">
      <c r="A311" s="9" t="s">
        <v>78</v>
      </c>
      <c r="E311" s="10" t="str">
        <f aca="false">IF(D311="?OLD","!!!","")</f>
        <v/>
      </c>
      <c r="F311" s="11" t="str">
        <f aca="false">IF(OR(E311="",E311="!!!"),"",IF(NOT(ISNA(VLOOKUP(E311,E$1:E310,1,FALSE()))),"OLD",IF(AND(E311&lt;&gt;"",E311&lt;&gt;"!!!"),"NEW","")))</f>
        <v/>
      </c>
      <c r="G311" s="12" t="str">
        <f aca="false">IF(OR(E311="",E311="!!!"),"",IF(OR(J311=0,AND(J311=1,K311=1),AND(J311=1,I311="SBJ"),AND(J311=1,I311=0)),"?IN_FOCUS",IF(J311&lt;=2,"?ACTIVATED",IF(J311&lt;&gt;"","?FAMILIAR",IF(F311="NEW",IF(ISNA(VLOOKUP(E311,#REF!,1,FALSE())),"?TYPE_IDENTIFIABLE","?REFERENTIAL"),"_")))))</f>
        <v/>
      </c>
      <c r="H311" s="13" t="str">
        <f aca="false">IF(J311&lt;&gt;1,"",IF(I311="SBJ","CB","?"))</f>
        <v/>
      </c>
      <c r="I311" s="14" t="str">
        <f aca="false">IF(OR(E311="",E311="!!!",F311="NEW"),"",INDEX(B$2:B310,-1+SUMPRODUCT(MAX(ROW(E$2:E310)*(E311=E$2:E310)))))</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57.45" hidden="false" customHeight="false" outlineLevel="0" collapsed="false">
      <c r="A312" s="9" t="s">
        <v>79</v>
      </c>
      <c r="B312" s="0" t="s">
        <v>24</v>
      </c>
      <c r="C312" s="0" t="s">
        <v>31</v>
      </c>
      <c r="D312" s="0" t="s">
        <v>19</v>
      </c>
      <c r="E312" s="10"/>
      <c r="F312" s="11" t="str">
        <f aca="false">IF(OR(E312="",E312="!!!"),"",IF(NOT(ISNA(VLOOKUP(E312,E$1:E311,1,FALSE()))),"OLD",IF(AND(E312&lt;&gt;"",E312&lt;&gt;"!!!"),"NEW","")))</f>
        <v/>
      </c>
      <c r="G312" s="12" t="str">
        <f aca="false">IF(OR(E312="",E312="!!!"),"",IF(OR(J312=0,AND(J312=1,K312=1),AND(J312=1,I312="SBJ"),AND(J312=1,I312=0)),"?IN_FOCUS",IF(J312&lt;=2,"?ACTIVATED",IF(J312&lt;&gt;"","?FAMILIAR",IF(F312="NEW",IF(ISNA(VLOOKUP(E312,#REF!,1,FALSE())),"?TYPE_IDENTIFIABLE","?REFERENTIAL"),"_")))))</f>
        <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t="s">
        <v>183</v>
      </c>
    </row>
    <row r="313" customFormat="false" ht="12.75" hidden="false" customHeight="false" outlineLevel="0" collapsed="false">
      <c r="A313" s="9" t="s">
        <v>28</v>
      </c>
      <c r="E313" s="10" t="str">
        <f aca="false">IF(D313="?OLD","!!!","")</f>
        <v/>
      </c>
      <c r="F313" s="11" t="str">
        <f aca="false">IF(OR(E313="",E313="!!!"),"",IF(NOT(ISNA(VLOOKUP(E313,E$1:E312,1,FALSE()))),"OLD",IF(AND(E313&lt;&gt;"",E313&lt;&gt;"!!!"),"NEW","")))</f>
        <v/>
      </c>
      <c r="G313" s="12" t="str">
        <f aca="false">IF(OR(E313="",E313="!!!"),"",IF(OR(J313=0,AND(J313=1,K313=1),AND(J313=1,I313="SBJ"),AND(J313=1,I313=0)),"?IN_FOCUS",IF(J313&lt;=2,"?ACTIVATED",IF(J313&lt;&gt;"","?FAMILIAR",IF(F313="NEW",IF(ISNA(VLOOKUP(E313,#REF!,1,FALSE())),"?TYPE_IDENTIFIABLE","?REFERENTIAL"),"_")))))</f>
        <v/>
      </c>
      <c r="H313" s="13" t="str">
        <f aca="false">IF(J313&lt;&gt;1,"",IF(I313="SBJ","CB","?"))</f>
        <v/>
      </c>
      <c r="I313" s="14" t="str">
        <f aca="false">IF(OR(E313="",E313="!!!",F313="NEW"),"",INDEX(B$2:B312,-1+SUMPRODUCT(MAX(ROW(E$2:E312)*(E313=E$2:E312)))))</f>
        <v/>
      </c>
      <c r="J313" s="15" t="str">
        <f aca="true">IF(OR(E313="",E313="!!!",F313="NEW"),"",COUNTBLANK(OFFSET(A$1,,,SUMPRODUCT(MAX(ROW(E$2:E313)*(E313=E$2:E313)))))-COUNTBLANK(OFFSET(A$1,,,SUMPRODUCT(MAX(ROW(E$1:E312)*(E313=E$1:E312))))))</f>
        <v/>
      </c>
      <c r="K313" s="15" t="str">
        <f aca="false">IF(OR(E313="",E313="!!!",F313="NEW"),"",INDEX(J$1:J312,SUMPRODUCT(MAX(ROW(E$1:E312)*(E313=E$1:E312)))))</f>
        <v/>
      </c>
      <c r="L313" s="16"/>
    </row>
    <row r="314" customFormat="false" ht="12.75" hidden="false" customHeight="false" outlineLevel="0" collapsed="false">
      <c r="A314" s="9" t="s">
        <v>138</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75" hidden="false" customHeight="false" outlineLevel="0" collapsed="false">
      <c r="A315" s="9" t="s">
        <v>214</v>
      </c>
      <c r="B315" s="0" t="s">
        <v>62</v>
      </c>
      <c r="C315" s="0" t="s">
        <v>128</v>
      </c>
      <c r="D315" s="0" t="s">
        <v>19</v>
      </c>
      <c r="E315" s="10" t="s">
        <v>215</v>
      </c>
      <c r="F315" s="11" t="str">
        <f aca="false">IF(OR(E315="",E315="!!!"),"",IF(NOT(ISNA(VLOOKUP(E315,E$1:E314,1,FALSE()))),"OLD",IF(AND(E315&lt;&gt;"",E315&lt;&gt;"!!!"),"NEW","")))</f>
        <v>NEW</v>
      </c>
      <c r="G315" s="12" t="s">
        <v>21</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75" hidden="false" customHeight="false" outlineLevel="0" collapsed="false">
      <c r="A316" s="9" t="s">
        <v>106</v>
      </c>
      <c r="B316" s="0" t="s">
        <v>96</v>
      </c>
      <c r="C316" s="0" t="s">
        <v>83</v>
      </c>
      <c r="D316" s="0" t="s">
        <v>19</v>
      </c>
      <c r="E316" s="10" t="s">
        <v>215</v>
      </c>
      <c r="F316" s="11" t="str">
        <f aca="false">IF(OR(E316="",E316="!!!"),"",IF(NOT(ISNA(VLOOKUP(E316,E$1:E315,1,FALSE()))),"OLD",IF(AND(E316&lt;&gt;"",E316&lt;&gt;"!!!"),"NEW","")))</f>
        <v>OLD</v>
      </c>
      <c r="G316" s="12" t="s">
        <v>33</v>
      </c>
      <c r="H316" s="13" t="str">
        <f aca="false">IF(J316&lt;&gt;1,"",IF(I316="SBJ","CB","?"))</f>
        <v/>
      </c>
      <c r="I316" s="14" t="str">
        <f aca="false">IF(OR(E316="",E316="!!!",F316="NEW"),"",INDEX(B$2:B315,-1+SUMPRODUCT(MAX(ROW(E$2:E315)*(E316=E$2:E315)))))</f>
        <v>other_4</v>
      </c>
      <c r="J316" s="15" t="n">
        <f aca="true">IF(OR(E316="",E316="!!!",F316="NEW"),"",COUNTBLANK(OFFSET(A$1,,,SUMPRODUCT(MAX(ROW(E$2:E316)*(E316=E$2:E316)))))-COUNTBLANK(OFFSET(A$1,,,SUMPRODUCT(MAX(ROW(E$1:E315)*(E316=E$1:E315))))))</f>
        <v>0</v>
      </c>
      <c r="K316" s="15" t="str">
        <f aca="false">IF(OR(E316="",E316="!!!",F316="NEW"),"",INDEX(J$1:J315,SUMPRODUCT(MAX(ROW(E$1:E315)*(E316=E$1:E315)))))</f>
        <v/>
      </c>
      <c r="L316" s="16"/>
    </row>
    <row r="317" customFormat="false" ht="12.75" hidden="false" customHeight="false" outlineLevel="0" collapsed="false">
      <c r="A317" s="9" t="s">
        <v>22</v>
      </c>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row>
    <row r="318" customFormat="false" ht="12.75" hidden="false" customHeight="false" outlineLevel="0" collapsed="false">
      <c r="A318" s="9" t="s">
        <v>163</v>
      </c>
      <c r="B318" s="0" t="s">
        <v>62</v>
      </c>
      <c r="C318" s="0" t="s">
        <v>103</v>
      </c>
      <c r="D318" s="0" t="s">
        <v>19</v>
      </c>
      <c r="E318" s="10" t="s">
        <v>215</v>
      </c>
      <c r="F318" s="11" t="str">
        <f aca="false">IF(OR(E318="",E318="!!!"),"",IF(NOT(ISNA(VLOOKUP(E318,E$1:E317,1,FALSE()))),"OLD",IF(AND(E318&lt;&gt;"",E318&lt;&gt;"!!!"),"NEW","")))</f>
        <v>OLD</v>
      </c>
      <c r="G318" s="12" t="s">
        <v>65</v>
      </c>
      <c r="H318" s="13" t="str">
        <f aca="false">IF(J318&lt;&gt;1,"",IF(I318="SBJ","CB","?"))</f>
        <v/>
      </c>
      <c r="I318" s="14" t="str">
        <f aca="false">IF(OR(E318="",E318="!!!",F318="NEW"),"",INDEX(B$2:B317,-1+SUMPRODUCT(MAX(ROW(E$2:E317)*(E318=E$2:E317)))))</f>
        <v>OBJ_3</v>
      </c>
      <c r="J318" s="15" t="n">
        <f aca="true">IF(OR(E318="",E318="!!!",F318="NEW"),"",COUNTBLANK(OFFSET(A$1,,,SUMPRODUCT(MAX(ROW(E$2:E318)*(E318=E$2:E318)))))-COUNTBLANK(OFFSET(A$1,,,SUMPRODUCT(MAX(ROW(E$1:E317)*(E318=E$1:E317))))))</f>
        <v>0</v>
      </c>
      <c r="K318" s="15" t="n">
        <f aca="false">IF(OR(E318="",E318="!!!",F318="NEW"),"",INDEX(J$1:J317,SUMPRODUCT(MAX(ROW(E$1:E317)*(E318=E$1:E317)))))</f>
        <v>0</v>
      </c>
      <c r="L318" s="16"/>
    </row>
    <row r="319" customFormat="false" ht="12.75" hidden="false" customHeight="false" outlineLevel="0" collapsed="false">
      <c r="A319" s="9" t="s">
        <v>28</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75" hidden="false" customHeight="false" outlineLevel="0" collapsed="false">
      <c r="A320" s="9" t="s">
        <v>63</v>
      </c>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75" hidden="false" customHeight="false" outlineLevel="0" collapsed="false">
      <c r="A321" s="9" t="s">
        <v>36</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75" hidden="false" customHeight="false" outlineLevel="0" collapsed="false">
      <c r="A322" s="9" t="s">
        <v>216</v>
      </c>
      <c r="B322" s="0" t="s">
        <v>217</v>
      </c>
      <c r="C322" s="0" t="s">
        <v>31</v>
      </c>
      <c r="D322" s="0" t="s">
        <v>19</v>
      </c>
      <c r="E322" s="10" t="s">
        <v>215</v>
      </c>
      <c r="F322" s="11" t="str">
        <f aca="false">IF(OR(E322="",E322="!!!"),"",IF(NOT(ISNA(VLOOKUP(E322,E$1:E321,1,FALSE()))),"OLD",IF(AND(E322&lt;&gt;"",E322&lt;&gt;"!!!"),"NEW","")))</f>
        <v>OLD</v>
      </c>
      <c r="G322" s="12" t="s">
        <v>65</v>
      </c>
      <c r="H322" s="13" t="str">
        <f aca="false">IF(J322&lt;&gt;1,"",IF(I322="SBJ","CB","?"))</f>
        <v/>
      </c>
      <c r="I322" s="14" t="str">
        <f aca="false">IF(OR(E322="",E322="!!!",F322="NEW"),"",INDEX(B$2:B321,-1+SUMPRODUCT(MAX(ROW(E$2:E321)*(E322=E$2:E321)))))</f>
        <v>other_4</v>
      </c>
      <c r="J322" s="15" t="n">
        <f aca="true">IF(OR(E322="",E322="!!!",F322="NEW"),"",COUNTBLANK(OFFSET(A$1,,,SUMPRODUCT(MAX(ROW(E$2:E322)*(E322=E$2:E322)))))-COUNTBLANK(OFFSET(A$1,,,SUMPRODUCT(MAX(ROW(E$1:E321)*(E322=E$1:E321))))))</f>
        <v>0</v>
      </c>
      <c r="K322" s="15" t="n">
        <f aca="false">IF(OR(E322="",E322="!!!",F322="NEW"),"",INDEX(J$1:J321,SUMPRODUCT(MAX(ROW(E$1:E321)*(E322=E$1:E321)))))</f>
        <v>0</v>
      </c>
      <c r="L322" s="16"/>
    </row>
    <row r="323" customFormat="false" ht="12.75" hidden="false" customHeight="false" outlineLevel="0" collapsed="false">
      <c r="A323" s="9" t="s">
        <v>143</v>
      </c>
      <c r="B323" s="0" t="s">
        <v>218</v>
      </c>
      <c r="E323" s="10" t="str">
        <f aca="false">IF(D323="?OLD","!!!","")</f>
        <v/>
      </c>
      <c r="F323" s="11" t="str">
        <f aca="false">IF(OR(E323="",E323="!!!"),"",IF(NOT(ISNA(VLOOKUP(E323,E$1:E322,1,FALSE()))),"OLD",IF(AND(E323&lt;&gt;"",E323&lt;&gt;"!!!"),"NEW","")))</f>
        <v/>
      </c>
      <c r="G323" s="12" t="str">
        <f aca="false">IF(OR(E323="",E323="!!!"),"",IF(OR(J323=0,AND(J323=1,K323=1),AND(J323=1,I323="SBJ"),AND(J323=1,I323=0)),"?IN_FOCUS",IF(J323&lt;=2,"?ACTIVATED",IF(J323&lt;&gt;"","?FAMILIAR",IF(F323="NEW",IF(ISNA(VLOOKUP(E323,#REF!,1,FALSE())),"?TYPE_IDENTIFIABLE","?REFERENTIAL"),"_")))))</f>
        <v/>
      </c>
      <c r="H323" s="13" t="str">
        <f aca="false">IF(J323&lt;&gt;1,"",IF(I323="SBJ","CB","?"))</f>
        <v/>
      </c>
      <c r="I323" s="14" t="str">
        <f aca="false">IF(OR(E323="",E323="!!!",F323="NEW"),"",INDEX(B$2:B322,-1+SUMPRODUCT(MAX(ROW(E$2:E322)*(E323=E$2:E322)))))</f>
        <v/>
      </c>
      <c r="J323" s="15" t="str">
        <f aca="true">IF(OR(E323="",E323="!!!",F323="NEW"),"",COUNTBLANK(OFFSET(A$1,,,SUMPRODUCT(MAX(ROW(E$2:E323)*(E323=E$2:E323)))))-COUNTBLANK(OFFSET(A$1,,,SUMPRODUCT(MAX(ROW(E$1:E322)*(E323=E$1:E322))))))</f>
        <v/>
      </c>
      <c r="K323" s="15" t="str">
        <f aca="false">IF(OR(E323="",E323="!!!",F323="NEW"),"",INDEX(J$1:J322,SUMPRODUCT(MAX(ROW(E$1:E322)*(E323=E$1:E322)))))</f>
        <v/>
      </c>
      <c r="L323" s="16"/>
    </row>
    <row r="324" customFormat="false" ht="12.75" hidden="false" customHeight="false" outlineLevel="0" collapsed="false">
      <c r="A324" s="9" t="s">
        <v>219</v>
      </c>
      <c r="E324" s="10" t="str">
        <f aca="false">IF(D324="?OLD","!!!","")</f>
        <v/>
      </c>
      <c r="F324" s="11" t="str">
        <f aca="false">IF(OR(E324="",E324="!!!"),"",IF(NOT(ISNA(VLOOKUP(E324,E$1:E323,1,FALSE()))),"OLD",IF(AND(E324&lt;&gt;"",E324&lt;&gt;"!!!"),"NEW","")))</f>
        <v/>
      </c>
      <c r="G324" s="12" t="str">
        <f aca="false">IF(OR(E324="",E324="!!!"),"",IF(OR(J324=0,AND(J324=1,K324=1),AND(J324=1,I324="SBJ"),AND(J324=1,I324=0)),"?IN_FOCUS",IF(J324&lt;=2,"?ACTIVATED",IF(J324&lt;&gt;"","?FAMILIAR",IF(F324="NEW",IF(ISNA(VLOOKUP(E324,#REF!,1,FALSE())),"?TYPE_IDENTIFIABLE","?REFERENTIAL"),"_")))))</f>
        <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75" hidden="false" customHeight="false" outlineLevel="0" collapsed="false">
      <c r="A325" s="9" t="s">
        <v>220</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75" hidden="false" customHeight="false" outlineLevel="0" collapsed="false">
      <c r="A326" s="9" t="s">
        <v>101</v>
      </c>
      <c r="B326" s="0" t="s">
        <v>221</v>
      </c>
      <c r="C326" s="0" t="s">
        <v>103</v>
      </c>
      <c r="D326" s="0" t="s">
        <v>19</v>
      </c>
      <c r="E326" s="10" t="s">
        <v>101</v>
      </c>
      <c r="F326" s="11" t="str">
        <f aca="false">IF(OR(E326="",E326="!!!"),"",IF(NOT(ISNA(VLOOKUP(E326,E$1:E325,1,FALSE()))),"OLD",IF(AND(E326&lt;&gt;"",E326&lt;&gt;"!!!"),"NEW","")))</f>
        <v>NEW</v>
      </c>
      <c r="G326" s="12" t="s">
        <v>52</v>
      </c>
      <c r="H326" s="13" t="str">
        <f aca="false">IF(J326&lt;&gt;1,"",IF(I326="SBJ","CB","?"))</f>
        <v/>
      </c>
      <c r="I326" s="14" t="str">
        <f aca="false">IF(OR(E326="",E326="!!!",F326="NEW"),"",INDEX(B$2:B325,-1+SUMPRODUCT(MAX(ROW(E$2:E325)*(E326=E$2:E325)))))</f>
        <v/>
      </c>
      <c r="J326" s="15" t="str">
        <f aca="true">IF(OR(E326="",E326="!!!",F326="NEW"),"",COUNTBLANK(OFFSET(A$1,,,SUMPRODUCT(MAX(ROW(E$2:E326)*(E326=E$2:E326)))))-COUNTBLANK(OFFSET(A$1,,,SUMPRODUCT(MAX(ROW(E$1:E325)*(E326=E$1:E325))))))</f>
        <v/>
      </c>
      <c r="K326" s="15" t="str">
        <f aca="false">IF(OR(E326="",E326="!!!",F326="NEW"),"",INDEX(J$1:J325,SUMPRODUCT(MAX(ROW(E$1:E325)*(E326=E$1:E325)))))</f>
        <v/>
      </c>
      <c r="L326" s="16"/>
    </row>
    <row r="327" customFormat="false" ht="12.75" hidden="false" customHeight="false" outlineLevel="0" collapsed="false">
      <c r="A327" s="9" t="s">
        <v>28</v>
      </c>
      <c r="E327" s="10" t="str">
        <f aca="false">IF(D327="?OLD","!!!","")</f>
        <v/>
      </c>
      <c r="F327" s="11" t="str">
        <f aca="false">IF(OR(E327="",E327="!!!"),"",IF(NOT(ISNA(VLOOKUP(E327,E$1:E326,1,FALSE()))),"OLD",IF(AND(E327&lt;&gt;"",E327&lt;&gt;"!!!"),"NEW","")))</f>
        <v/>
      </c>
      <c r="G327" s="12" t="str">
        <f aca="false">IF(OR(E327="",E327="!!!"),"",IF(OR(J327=0,AND(J327=1,K327=1),AND(J327=1,I327="SBJ"),AND(J327=1,I327=0)),"?IN_FOCUS",IF(J327&lt;=2,"?ACTIVATED",IF(J327&lt;&gt;"","?FAMILIAR",IF(F327="NEW",IF(ISNA(VLOOKUP(E327,#REF!,1,FALSE())),"?TYPE_IDENTIFIABLE","?REFERENTIAL"),"_")))))</f>
        <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75" hidden="false" customHeight="false" outlineLevel="0" collapsed="false">
      <c r="A328" s="9" t="s">
        <v>222</v>
      </c>
      <c r="E328" s="10" t="str">
        <f aca="false">IF(D328="?OLD","!!!","")</f>
        <v/>
      </c>
      <c r="F328" s="11" t="str">
        <f aca="false">IF(OR(E328="",E328="!!!"),"",IF(NOT(ISNA(VLOOKUP(E328,E$1:E327,1,FALSE()))),"OLD",IF(AND(E328&lt;&gt;"",E328&lt;&gt;"!!!"),"NEW","")))</f>
        <v/>
      </c>
      <c r="G328" s="12" t="str">
        <f aca="false">IF(OR(E328="",E328="!!!"),"",IF(OR(J328=0,AND(J328=1,K328=1),AND(J328=1,I328="SBJ"),AND(J328=1,I328=0)),"?IN_FOCUS",IF(J328&lt;=2,"?ACTIVATED",IF(J328&lt;&gt;"","?FAMILIAR",IF(F328="NEW",IF(ISNA(VLOOKUP(E328,#REF!,1,FALSE())),"?TYPE_IDENTIFIABLE","?REFERENTIAL"),"_")))))</f>
        <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75" hidden="false" customHeight="false" outlineLevel="0" collapsed="false">
      <c r="A329" s="9" t="s">
        <v>113</v>
      </c>
      <c r="B329" s="0" t="s">
        <v>223</v>
      </c>
      <c r="C329" s="0" t="s">
        <v>194</v>
      </c>
      <c r="D329" s="0" t="s">
        <v>19</v>
      </c>
      <c r="E329" s="10"/>
      <c r="F329" s="11" t="s">
        <v>224</v>
      </c>
      <c r="G329" s="12" t="str">
        <f aca="false">IF(OR(E329="",E329="!!!"),"",IF(OR(J329=0,AND(J329=1,K329=1),AND(J329=1,I329="SBJ"),AND(J329=1,I329=0)),"?IN_FOCUS",IF(J329&lt;=2,"?ACTIVATED",IF(J329&lt;&gt;"","?FAMILIAR",IF(F329="NEW",IF(ISNA(VLOOKUP(E329,#REF!,1,FALSE())),"?TYPE_IDENTIFIABLE","?REFERENTIAL"),"_")))))</f>
        <v/>
      </c>
      <c r="H329" s="13" t="str">
        <f aca="false">IF(J329&lt;&gt;1,"",IF(I329="SBJ","CB","?"))</f>
        <v/>
      </c>
      <c r="I329" s="14" t="str">
        <f aca="false">IF(OR(E329="",E329="!!!",F329="NEW"),"",INDEX(B$2:B328,-1+SUMPRODUCT(MAX(ROW(E$2:E328)*(E329=E$2:E328)))))</f>
        <v/>
      </c>
      <c r="J329" s="15" t="str">
        <f aca="true">IF(OR(E329="",E329="!!!",F329="NEW"),"",COUNTBLANK(OFFSET(A$1,,,SUMPRODUCT(MAX(ROW(E$2:E329)*(E329=E$2:E329)))))-COUNTBLANK(OFFSET(A$1,,,SUMPRODUCT(MAX(ROW(E$1:E328)*(E329=E$1:E328))))))</f>
        <v/>
      </c>
      <c r="K329" s="15" t="str">
        <f aca="false">IF(OR(E329="",E329="!!!",F329="NEW"),"",INDEX(J$1:J328,SUMPRODUCT(MAX(ROW(E$1:E328)*(E329=E$1:E328)))))</f>
        <v/>
      </c>
      <c r="L329" s="16"/>
    </row>
    <row r="330" customFormat="false" ht="12.75" hidden="false" customHeight="false" outlineLevel="0" collapsed="false">
      <c r="A330" s="9" t="s">
        <v>225</v>
      </c>
      <c r="E330" s="10" t="str">
        <f aca="false">IF(D330="?OLD","!!!","")</f>
        <v/>
      </c>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row>
    <row r="331" customFormat="false" ht="12.75" hidden="false" customHeight="false" outlineLevel="0" collapsed="false">
      <c r="A331" s="9" t="s">
        <v>226</v>
      </c>
      <c r="E331" s="10" t="str">
        <f aca="false">IF(D331="?OLD","!!!","")</f>
        <v/>
      </c>
      <c r="F331" s="11" t="str">
        <f aca="false">IF(OR(E331="",E331="!!!"),"",IF(NOT(ISNA(VLOOKUP(E331,E$1:E330,1,FALSE()))),"OLD",IF(AND(E331&lt;&gt;"",E331&lt;&gt;"!!!"),"NEW","")))</f>
        <v/>
      </c>
      <c r="G331" s="12" t="str">
        <f aca="false">IF(OR(E331="",E331="!!!"),"",IF(OR(J331=0,AND(J331=1,K331=1),AND(J331=1,I331="SBJ"),AND(J331=1,I331=0)),"?IN_FOCUS",IF(J331&lt;=2,"?ACTIVATED",IF(J331&lt;&gt;"","?FAMILIAR",IF(F331="NEW",IF(ISNA(VLOOKUP(E331,#REF!,1,FALSE())),"?TYPE_IDENTIFIABLE","?REFERENTIAL"),"_")))))</f>
        <v/>
      </c>
      <c r="H331" s="13" t="str">
        <f aca="false">IF(J331&lt;&gt;1,"",IF(I331="SBJ","CB","?"))</f>
        <v/>
      </c>
      <c r="I331" s="14" t="str">
        <f aca="false">IF(OR(E331="",E331="!!!",F331="NEW"),"",INDEX(B$2:B330,-1+SUMPRODUCT(MAX(ROW(E$2:E330)*(E331=E$2:E330)))))</f>
        <v/>
      </c>
      <c r="J331" s="15" t="str">
        <f aca="true">IF(OR(E331="",E331="!!!",F331="NEW"),"",COUNTBLANK(OFFSET(A$1,,,SUMPRODUCT(MAX(ROW(E$2:E331)*(E331=E$2:E331)))))-COUNTBLANK(OFFSET(A$1,,,SUMPRODUCT(MAX(ROW(E$1:E330)*(E331=E$1:E330))))))</f>
        <v/>
      </c>
      <c r="K331" s="15" t="str">
        <f aca="false">IF(OR(E331="",E331="!!!",F331="NEW"),"",INDEX(J$1:J330,SUMPRODUCT(MAX(ROW(E$1:E330)*(E331=E$1:E330)))))</f>
        <v/>
      </c>
      <c r="L331" s="16"/>
    </row>
    <row r="332" customFormat="false" ht="12.75" hidden="false" customHeight="false" outlineLevel="0" collapsed="false">
      <c r="A332" s="9" t="s">
        <v>78</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IF(OR(E332="",E332="!!!",F332="NEW"),"",INDEX(B$2:B331,-1+SUMPRODUCT(MAX(ROW(E$2:E331)*(E332=E$2:E331)))))</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75" hidden="false" customHeight="false" outlineLevel="0" collapsed="false">
      <c r="A333" s="9" t="s">
        <v>216</v>
      </c>
      <c r="B333" s="0" t="s">
        <v>175</v>
      </c>
      <c r="C333" s="0" t="s">
        <v>31</v>
      </c>
      <c r="D333" s="0" t="s">
        <v>19</v>
      </c>
      <c r="E333" s="10" t="s">
        <v>215</v>
      </c>
      <c r="F333" s="11" t="str">
        <f aca="false">IF(OR(E333="",E333="!!!"),"",IF(NOT(ISNA(VLOOKUP(E333,E$1:E332,1,FALSE()))),"OLD",IF(AND(E333&lt;&gt;"",E333&lt;&gt;"!!!"),"NEW","")))</f>
        <v>OLD</v>
      </c>
      <c r="G333" s="12" t="s">
        <v>65</v>
      </c>
      <c r="H333" s="13" t="str">
        <f aca="false">IF(J333&lt;&gt;1,"",IF(I333="SBJ","CB","?"))</f>
        <v/>
      </c>
      <c r="I333" s="14" t="str">
        <f aca="false">IF(OR(E333="",E333="!!!",F333="NEW"),"",INDEX(B$2:B332,-1+SUMPRODUCT(MAX(ROW(E$2:E332)*(E333=E$2:E332)))))</f>
        <v>SBJ_5</v>
      </c>
      <c r="J333" s="15" t="n">
        <f aca="true">IF(OR(E333="",E333="!!!",F333="NEW"),"",COUNTBLANK(OFFSET(A$1,,,SUMPRODUCT(MAX(ROW(E$2:E333)*(E333=E$2:E333)))))-COUNTBLANK(OFFSET(A$1,,,SUMPRODUCT(MAX(ROW(E$1:E332)*(E333=E$1:E332))))))</f>
        <v>0</v>
      </c>
      <c r="K333" s="15" t="n">
        <f aca="false">IF(OR(E333="",E333="!!!",F333="NEW"),"",INDEX(J$1:J332,SUMPRODUCT(MAX(ROW(E$1:E332)*(E333=E$1:E332)))))</f>
        <v>0</v>
      </c>
      <c r="L333" s="16"/>
    </row>
    <row r="334" customFormat="false" ht="12.75" hidden="false" customHeight="false" outlineLevel="0" collapsed="false">
      <c r="A334" s="9" t="s">
        <v>28</v>
      </c>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75" hidden="false" customHeight="false" outlineLevel="0" collapsed="false">
      <c r="A335" s="9" t="s">
        <v>63</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75" hidden="false" customHeight="false" outlineLevel="0" collapsed="false">
      <c r="A336" s="9" t="s">
        <v>227</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75" hidden="false" customHeight="false" outlineLevel="0" collapsed="false">
      <c r="A337" s="9" t="s">
        <v>78</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75" hidden="false" customHeight="false" outlineLevel="0" collapsed="false">
      <c r="A338" s="9" t="s">
        <v>228</v>
      </c>
      <c r="B338" s="0" t="s">
        <v>221</v>
      </c>
      <c r="C338" s="0" t="s">
        <v>128</v>
      </c>
      <c r="D338" s="0" t="s">
        <v>19</v>
      </c>
      <c r="E338" s="10" t="s">
        <v>205</v>
      </c>
      <c r="F338" s="11" t="str">
        <f aca="false">IF(OR(E338="",E338="!!!"),"",IF(NOT(ISNA(VLOOKUP(E338,E$1:E337,1,FALSE()))),"OLD",IF(AND(E338&lt;&gt;"",E338&lt;&gt;"!!!"),"NEW","")))</f>
        <v>OLD</v>
      </c>
      <c r="G338" s="12" t="s">
        <v>65</v>
      </c>
      <c r="H338" s="13" t="str">
        <f aca="false">IF(J338&lt;&gt;1,"",IF(I338="SBJ","CB","?"))</f>
        <v/>
      </c>
      <c r="I338" s="14" t="str">
        <f aca="false">IF(OR(E338="",E338="!!!",F338="NEW"),"",INDEX(B$2:B337,-1+SUMPRODUCT(MAX(ROW(E$2:E337)*(E338=E$2:E337)))))</f>
        <v>other_3</v>
      </c>
      <c r="J338" s="15" t="n">
        <f aca="true">IF(OR(E338="",E338="!!!",F338="NEW"),"",COUNTBLANK(OFFSET(A$1,,,SUMPRODUCT(MAX(ROW(E$2:E338)*(E338=E$2:E338)))))-COUNTBLANK(OFFSET(A$1,,,SUMPRODUCT(MAX(ROW(E$1:E337)*(E338=E$1:E337))))))</f>
        <v>0</v>
      </c>
      <c r="K338" s="15" t="n">
        <f aca="false">IF(OR(E338="",E338="!!!",F338="NEW"),"",INDEX(J$1:J337,SUMPRODUCT(MAX(ROW(E$1:E337)*(E338=E$1:E337)))))</f>
        <v>0</v>
      </c>
      <c r="L338" s="16"/>
    </row>
    <row r="339" customFormat="false" ht="12.75" hidden="false" customHeight="false" outlineLevel="0" collapsed="false">
      <c r="A339" s="9" t="s">
        <v>229</v>
      </c>
      <c r="B339" s="0" t="s">
        <v>175</v>
      </c>
      <c r="C339" s="0" t="s">
        <v>83</v>
      </c>
      <c r="D339" s="0" t="s">
        <v>19</v>
      </c>
      <c r="E339" s="10" t="s">
        <v>230</v>
      </c>
      <c r="F339" s="11" t="str">
        <f aca="false">IF(OR(E339="",E339="!!!"),"",IF(NOT(ISNA(VLOOKUP(E339,E$1:E338,1,FALSE()))),"OLD",IF(AND(E339&lt;&gt;"",E339&lt;&gt;"!!!"),"NEW","")))</f>
        <v>NEW</v>
      </c>
      <c r="G339" s="12" t="s">
        <v>21</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75" hidden="false" customHeight="false" outlineLevel="0" collapsed="false">
      <c r="A340" s="9" t="s">
        <v>44</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75" hidden="false" customHeight="false" outlineLevel="0" collapsed="false">
      <c r="E341" s="10" t="str">
        <f aca="false">IF(D341="?OLD","!!!","")</f>
        <v/>
      </c>
      <c r="F341" s="11" t="str">
        <f aca="false">IF(OR(E341="",E341="!!!"),"",IF(NOT(ISNA(VLOOKUP(E341,E$1:E340,1,FALSE()))),"OLD",IF(AND(E341&lt;&gt;"",E341&lt;&gt;"!!!"),"NEW","")))</f>
        <v/>
      </c>
      <c r="G341" s="12" t="str">
        <f aca="false">IF(OR(E341="",E341="!!!"),"",IF(OR(J341=0,AND(J341=1,K341=1),AND(J341=1,I341="SBJ"),AND(J341=1,I341=0)),"?IN_FOCUS",IF(J341&lt;=2,"?ACTIVATED",IF(J341&lt;&gt;"","?FAMILIAR",IF(F341="NEW",IF(ISNA(VLOOKUP(E341,#REF!,1,FALSE())),"?TYPE_IDENTIFIABLE","?REFERENTIAL"),"_")))))</f>
        <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75" hidden="false" customHeight="false" outlineLevel="0" collapsed="false">
      <c r="A342" s="9" t="s">
        <v>231</v>
      </c>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75" hidden="false" customHeight="false" outlineLevel="0" collapsed="false">
      <c r="A343" s="9" t="s">
        <v>232</v>
      </c>
      <c r="E343" s="10" t="str">
        <f aca="false">IF(D343="?OLD","!!!","")</f>
        <v/>
      </c>
      <c r="F343" s="11" t="str">
        <f aca="false">IF(OR(E343="",E343="!!!"),"",IF(NOT(ISNA(VLOOKUP(E343,E$1:E342,1,FALSE()))),"OLD",IF(AND(E343&lt;&gt;"",E343&lt;&gt;"!!!"),"NEW","")))</f>
        <v/>
      </c>
      <c r="G343" s="12" t="str">
        <f aca="false">IF(OR(E343="",E343="!!!"),"",IF(OR(J343=0,AND(J343=1,K343=1),AND(J343=1,I343="SBJ"),AND(J343=1,I343=0)),"?IN_FOCUS",IF(J343&lt;=2,"?ACTIVATED",IF(J343&lt;&gt;"","?FAMILIAR",IF(F343="NEW",IF(ISNA(VLOOKUP(E343,#REF!,1,FALSE())),"?TYPE_IDENTIFIABLE","?REFERENTIAL"),"_")))))</f>
        <v/>
      </c>
      <c r="H343" s="13" t="str">
        <f aca="false">IF(J343&lt;&gt;1,"",IF(I343="SBJ","CB","?"))</f>
        <v/>
      </c>
      <c r="I343" s="14" t="str">
        <f aca="false">IF(OR(E343="",E343="!!!",F343="NEW"),"",INDEX(B$2:B342,-1+SUMPRODUCT(MAX(ROW(E$2:E342)*(E343=E$2:E342)))))</f>
        <v/>
      </c>
      <c r="J343" s="15" t="str">
        <f aca="true">IF(OR(E343="",E343="!!!",F343="NEW"),"",COUNTBLANK(OFFSET(A$1,,,SUMPRODUCT(MAX(ROW(E$2:E343)*(E343=E$2:E343)))))-COUNTBLANK(OFFSET(A$1,,,SUMPRODUCT(MAX(ROW(E$1:E342)*(E343=E$1:E342))))))</f>
        <v/>
      </c>
      <c r="K343" s="15" t="str">
        <f aca="false">IF(OR(E343="",E343="!!!",F343="NEW"),"",INDEX(J$1:J342,SUMPRODUCT(MAX(ROW(E$1:E342)*(E343=E$1:E342)))))</f>
        <v/>
      </c>
      <c r="L343" s="16"/>
    </row>
    <row r="344" customFormat="false" ht="12.75" hidden="false" customHeight="false" outlineLevel="0" collapsed="false">
      <c r="A344" s="9" t="s">
        <v>142</v>
      </c>
      <c r="B344" s="0" t="s">
        <v>40</v>
      </c>
      <c r="C344" s="0" t="s">
        <v>194</v>
      </c>
      <c r="D344" s="0" t="s">
        <v>19</v>
      </c>
      <c r="E344" s="10" t="s">
        <v>215</v>
      </c>
      <c r="F344" s="11" t="str">
        <f aca="false">IF(OR(E344="",E344="!!!"),"",IF(NOT(ISNA(VLOOKUP(E344,E$1:E343,1,FALSE()))),"OLD",IF(AND(E344&lt;&gt;"",E344&lt;&gt;"!!!"),"NEW","")))</f>
        <v>OLD</v>
      </c>
      <c r="G344" s="12" t="s">
        <v>33</v>
      </c>
      <c r="H344" s="13" t="s">
        <v>7</v>
      </c>
      <c r="I344" s="14" t="str">
        <f aca="false">IF(OR(E344="",E344="!!!",F344="NEW"),"",INDEX(B$2:B343,-1+SUMPRODUCT(MAX(ROW(E$2:E343)*(E344=E$2:E343)))))</f>
        <v>other_6</v>
      </c>
      <c r="J344" s="15" t="n">
        <f aca="true">IF(OR(E344="",E344="!!!",F344="NEW"),"",COUNTBLANK(OFFSET(A$1,,,SUMPRODUCT(MAX(ROW(E$2:E344)*(E344=E$2:E344)))))-COUNTBLANK(OFFSET(A$1,,,SUMPRODUCT(MAX(ROW(E$1:E343)*(E344=E$1:E343))))))</f>
        <v>1</v>
      </c>
      <c r="K344" s="15" t="n">
        <f aca="false">IF(OR(E344="",E344="!!!",F344="NEW"),"",INDEX(J$1:J343,SUMPRODUCT(MAX(ROW(E$1:E343)*(E344=E$1:E343)))))</f>
        <v>0</v>
      </c>
      <c r="L344" s="16"/>
    </row>
    <row r="345" customFormat="false" ht="12.75" hidden="false" customHeight="false" outlineLevel="0" collapsed="false">
      <c r="A345" s="9" t="s">
        <v>140</v>
      </c>
      <c r="E345" s="10" t="str">
        <f aca="false">IF(D345="?OLD","!!!","")</f>
        <v/>
      </c>
      <c r="F345" s="11" t="str">
        <f aca="false">IF(OR(E345="",E345="!!!"),"",IF(NOT(ISNA(VLOOKUP(E345,E$1:E344,1,FALSE()))),"OLD",IF(AND(E345&lt;&gt;"",E345&lt;&gt;"!!!"),"NEW","")))</f>
        <v/>
      </c>
      <c r="G345" s="12" t="str">
        <f aca="false">IF(OR(E345="",E345="!!!"),"",IF(OR(J345=0,AND(J345=1,K345=1),AND(J345=1,I345="SBJ"),AND(J345=1,I345=0)),"?IN_FOCUS",IF(J345&lt;=2,"?ACTIVATED",IF(J345&lt;&gt;"","?FAMILIAR",IF(F345="NEW",IF(ISNA(VLOOKUP(E345,#REF!,1,FALSE())),"?TYPE_IDENTIFIABLE","?REFERENTIAL"),"_")))))</f>
        <v/>
      </c>
      <c r="H345" s="13" t="str">
        <f aca="false">IF(J345&lt;&gt;1,"",IF(I345="SBJ","CB","?"))</f>
        <v/>
      </c>
      <c r="I345" s="14" t="str">
        <f aca="false">IF(OR(E345="",E345="!!!",F345="NEW"),"",INDEX(B$2:B344,-1+SUMPRODUCT(MAX(ROW(E$2:E344)*(E345=E$2:E344)))))</f>
        <v/>
      </c>
      <c r="J345" s="15" t="str">
        <f aca="true">IF(OR(E345="",E345="!!!",F345="NEW"),"",COUNTBLANK(OFFSET(A$1,,,SUMPRODUCT(MAX(ROW(E$2:E345)*(E345=E$2:E345)))))-COUNTBLANK(OFFSET(A$1,,,SUMPRODUCT(MAX(ROW(E$1:E344)*(E345=E$1:E344))))))</f>
        <v/>
      </c>
      <c r="K345" s="15" t="str">
        <f aca="false">IF(OR(E345="",E345="!!!",F345="NEW"),"",INDEX(J$1:J344,SUMPRODUCT(MAX(ROW(E$1:E344)*(E345=E$1:E344)))))</f>
        <v/>
      </c>
      <c r="L345" s="16"/>
    </row>
    <row r="346" customFormat="false" ht="12.75" hidden="false" customHeight="false" outlineLevel="0" collapsed="false">
      <c r="A346" s="9" t="s">
        <v>141</v>
      </c>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75" hidden="false" customHeight="false" outlineLevel="0" collapsed="false">
      <c r="A347" s="9" t="s">
        <v>233</v>
      </c>
      <c r="E347" s="10" t="str">
        <f aca="false">IF(D347="?OLD","!!!","")</f>
        <v/>
      </c>
      <c r="F347" s="11" t="str">
        <f aca="false">IF(OR(E347="",E347="!!!"),"",IF(NOT(ISNA(VLOOKUP(E347,E$1:E346,1,FALSE()))),"OLD",IF(AND(E347&lt;&gt;"",E347&lt;&gt;"!!!"),"NEW","")))</f>
        <v/>
      </c>
      <c r="G347" s="12" t="str">
        <f aca="false">IF(OR(E347="",E347="!!!"),"",IF(OR(J347=0,AND(J347=1,K347=1),AND(J347=1,I347="SBJ"),AND(J347=1,I347=0)),"?IN_FOCUS",IF(J347&lt;=2,"?ACTIVATED",IF(J347&lt;&gt;"","?FAMILIAR",IF(F347="NEW",IF(ISNA(VLOOKUP(E347,#REF!,1,FALSE())),"?TYPE_IDENTIFIABLE","?REFERENTIAL"),"_")))))</f>
        <v/>
      </c>
      <c r="H347" s="13" t="str">
        <f aca="false">IF(J347&lt;&gt;1,"",IF(I347="SBJ","CB","?"))</f>
        <v/>
      </c>
      <c r="I347" s="14" t="str">
        <f aca="false">IF(OR(E347="",E347="!!!",F347="NEW"),"",INDEX(B$2:B346,-1+SUMPRODUCT(MAX(ROW(E$2:E346)*(E347=E$2:E346)))))</f>
        <v/>
      </c>
      <c r="J347" s="15" t="str">
        <f aca="true">IF(OR(E347="",E347="!!!",F347="NEW"),"",COUNTBLANK(OFFSET(A$1,,,SUMPRODUCT(MAX(ROW(E$2:E347)*(E347=E$2:E347)))))-COUNTBLANK(OFFSET(A$1,,,SUMPRODUCT(MAX(ROW(E$1:E346)*(E347=E$1:E346))))))</f>
        <v/>
      </c>
      <c r="K347" s="15" t="str">
        <f aca="false">IF(OR(E347="",E347="!!!",F347="NEW"),"",INDEX(J$1:J346,SUMPRODUCT(MAX(ROW(E$1:E346)*(E347=E$1:E346)))))</f>
        <v/>
      </c>
      <c r="L347" s="16"/>
    </row>
    <row r="348" customFormat="false" ht="12.75" hidden="false" customHeight="false" outlineLevel="0" collapsed="false">
      <c r="A348" s="9" t="s">
        <v>28</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75" hidden="false" customHeight="false" outlineLevel="0" collapsed="false">
      <c r="A349" s="9" t="s">
        <v>93</v>
      </c>
      <c r="E349" s="10" t="str">
        <f aca="false">IF(D349="?OLD","!!!","")</f>
        <v/>
      </c>
      <c r="F349" s="11" t="str">
        <f aca="false">IF(OR(E349="",E349="!!!"),"",IF(NOT(ISNA(VLOOKUP(E349,E$1:E348,1,FALSE()))),"OLD",IF(AND(E349&lt;&gt;"",E349&lt;&gt;"!!!"),"NEW","")))</f>
        <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75" hidden="false" customHeight="false" outlineLevel="0" collapsed="false">
      <c r="A350" s="9" t="s">
        <v>216</v>
      </c>
      <c r="B350" s="0" t="s">
        <v>17</v>
      </c>
      <c r="C350" s="0" t="s">
        <v>31</v>
      </c>
      <c r="D350" s="0" t="s">
        <v>19</v>
      </c>
      <c r="E350" s="10" t="s">
        <v>215</v>
      </c>
      <c r="F350" s="11" t="str">
        <f aca="false">IF(OR(E350="",E350="!!!"),"",IF(NOT(ISNA(VLOOKUP(E350,E$1:E349,1,FALSE()))),"OLD",IF(AND(E350&lt;&gt;"",E350&lt;&gt;"!!!"),"NEW","")))</f>
        <v>OLD</v>
      </c>
      <c r="G350" s="12" t="s">
        <v>65</v>
      </c>
      <c r="H350" s="13" t="str">
        <f aca="false">IF(J350&lt;&gt;1,"",IF(I350="SBJ","CB","?"))</f>
        <v/>
      </c>
      <c r="I350" s="14" t="str">
        <f aca="false">IF(OR(E350="",E350="!!!",F350="NEW"),"",INDEX(B$2:B349,-1+SUMPRODUCT(MAX(ROW(E$2:E349)*(E350=E$2:E349)))))</f>
        <v>other</v>
      </c>
      <c r="J350" s="15" t="n">
        <f aca="true">IF(OR(E350="",E350="!!!",F350="NEW"),"",COUNTBLANK(OFFSET(A$1,,,SUMPRODUCT(MAX(ROW(E$2:E350)*(E350=E$2:E350)))))-COUNTBLANK(OFFSET(A$1,,,SUMPRODUCT(MAX(ROW(E$1:E349)*(E350=E$1:E349))))))</f>
        <v>0</v>
      </c>
      <c r="K350" s="15" t="n">
        <f aca="false">IF(OR(E350="",E350="!!!",F350="NEW"),"",INDEX(J$1:J349,SUMPRODUCT(MAX(ROW(E$1:E349)*(E350=E$1:E349)))))</f>
        <v>1</v>
      </c>
      <c r="L350" s="16"/>
    </row>
    <row r="351" customFormat="false" ht="12.75" hidden="false" customHeight="false" outlineLevel="0" collapsed="false">
      <c r="A351" s="9" t="s">
        <v>234</v>
      </c>
      <c r="E351" s="10" t="str">
        <f aca="false">IF(D351="?OLD","!!!","")</f>
        <v/>
      </c>
      <c r="F351" s="11" t="str">
        <f aca="false">IF(OR(E351="",E351="!!!"),"",IF(NOT(ISNA(VLOOKUP(E351,E$1:E350,1,FALSE()))),"OLD",IF(AND(E351&lt;&gt;"",E351&lt;&gt;"!!!"),"NEW","")))</f>
        <v/>
      </c>
      <c r="G351" s="12" t="str">
        <f aca="false">IF(OR(E351="",E351="!!!"),"",IF(OR(J351=0,AND(J351=1,K351=1),AND(J351=1,I351="SBJ"),AND(J351=1,I351=0)),"?IN_FOCUS",IF(J351&lt;=2,"?ACTIVATED",IF(J351&lt;&gt;"","?FAMILIAR",IF(F351="NEW",IF(ISNA(VLOOKUP(E351,#REF!,1,FALSE())),"?TYPE_IDENTIFIABLE","?REFERENTIAL"),"_")))))</f>
        <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75" hidden="false" customHeight="false" outlineLevel="0" collapsed="false">
      <c r="A352" s="9" t="s">
        <v>28</v>
      </c>
      <c r="E352" s="10" t="str">
        <f aca="false">IF(D352="?OLD","!!!","")</f>
        <v/>
      </c>
      <c r="F352" s="11" t="str">
        <f aca="false">IF(OR(E352="",E352="!!!"),"",IF(NOT(ISNA(VLOOKUP(E352,E$1:E351,1,FALSE()))),"OLD",IF(AND(E352&lt;&gt;"",E352&lt;&gt;"!!!"),"NEW","")))</f>
        <v/>
      </c>
      <c r="G352" s="12" t="str">
        <f aca="false">IF(OR(E352="",E352="!!!"),"",IF(OR(J352=0,AND(J352=1,K352=1),AND(J352=1,I352="SBJ"),AND(J352=1,I352=0)),"?IN_FOCUS",IF(J352&lt;=2,"?ACTIVATED",IF(J352&lt;&gt;"","?FAMILIAR",IF(F352="NEW",IF(ISNA(VLOOKUP(E352,#REF!,1,FALSE())),"?TYPE_IDENTIFIABLE","?REFERENTIAL"),"_")))))</f>
        <v/>
      </c>
      <c r="H352" s="13" t="str">
        <f aca="false">IF(J352&lt;&gt;1,"",IF(I352="SBJ","CB","?"))</f>
        <v/>
      </c>
      <c r="I352" s="14" t="str">
        <f aca="false">IF(OR(E352="",E352="!!!",F352="NEW"),"",INDEX(B$2:B351,-1+SUMPRODUCT(MAX(ROW(E$2:E351)*(E352=E$2:E351)))))</f>
        <v/>
      </c>
      <c r="J352" s="15" t="str">
        <f aca="true">IF(OR(E352="",E352="!!!",F352="NEW"),"",COUNTBLANK(OFFSET(A$1,,,SUMPRODUCT(MAX(ROW(E$2:E352)*(E352=E$2:E352)))))-COUNTBLANK(OFFSET(A$1,,,SUMPRODUCT(MAX(ROW(E$1:E351)*(E352=E$1:E351))))))</f>
        <v/>
      </c>
      <c r="K352" s="15" t="str">
        <f aca="false">IF(OR(E352="",E352="!!!",F352="NEW"),"",INDEX(J$1:J351,SUMPRODUCT(MAX(ROW(E$1:E351)*(E352=E$1:E351)))))</f>
        <v/>
      </c>
      <c r="L352" s="16"/>
    </row>
    <row r="353" customFormat="false" ht="12.75" hidden="false" customHeight="false" outlineLevel="0" collapsed="false">
      <c r="A353" s="9" t="s">
        <v>235</v>
      </c>
      <c r="E353" s="10" t="str">
        <f aca="false">IF(D353="?OLD","!!!","")</f>
        <v/>
      </c>
      <c r="F353" s="11" t="str">
        <f aca="false">IF(OR(E353="",E353="!!!"),"",IF(NOT(ISNA(VLOOKUP(E353,E$1:E352,1,FALSE()))),"OLD",IF(AND(E353&lt;&gt;"",E353&lt;&gt;"!!!"),"NEW","")))</f>
        <v/>
      </c>
      <c r="G353" s="12" t="str">
        <f aca="false">IF(OR(E353="",E353="!!!"),"",IF(OR(J353=0,AND(J353=1,K353=1),AND(J353=1,I353="SBJ"),AND(J353=1,I353=0)),"?IN_FOCUS",IF(J353&lt;=2,"?ACTIVATED",IF(J353&lt;&gt;"","?FAMILIAR",IF(F353="NEW",IF(ISNA(VLOOKUP(E353,#REF!,1,FALSE())),"?TYPE_IDENTIFIABLE","?REFERENTIAL"),"_")))))</f>
        <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75" hidden="false" customHeight="false" outlineLevel="0" collapsed="false">
      <c r="A354" s="9" t="s">
        <v>64</v>
      </c>
      <c r="B354" s="0" t="s">
        <v>70</v>
      </c>
      <c r="C354" s="0" t="s">
        <v>31</v>
      </c>
      <c r="D354" s="0" t="s">
        <v>19</v>
      </c>
      <c r="E354" s="10"/>
      <c r="F354" s="11" t="s">
        <v>224</v>
      </c>
      <c r="G354" s="12" t="str">
        <f aca="false">IF(OR(E354="",E354="!!!"),"",IF(OR(J354=0,AND(J354=1,K354=1),AND(J354=1,I354="SBJ"),AND(J354=1,I354=0)),"?IN_FOCUS",IF(J354&lt;=2,"?ACTIVATED",IF(J354&lt;&gt;"","?FAMILIAR",IF(F354="NEW",IF(ISNA(VLOOKUP(E354,#REF!,1,FALSE())),"?TYPE_IDENTIFIABLE","?REFERENTIAL"),"_")))))</f>
        <v/>
      </c>
      <c r="H354" s="13" t="str">
        <f aca="false">IF(J354&lt;&gt;1,"",IF(I354="SBJ","CB","?"))</f>
        <v/>
      </c>
      <c r="I354" s="14" t="str">
        <f aca="false">IF(OR(E354="",E354="!!!",F354="NEW"),"",INDEX(B$2:B353,-1+SUMPRODUCT(MAX(ROW(E$2:E353)*(E354=E$2:E353)))))</f>
        <v/>
      </c>
      <c r="J354" s="15" t="str">
        <f aca="true">IF(OR(E354="",E354="!!!",F354="NEW"),"",COUNTBLANK(OFFSET(A$1,,,SUMPRODUCT(MAX(ROW(E$2:E354)*(E354=E$2:E354)))))-COUNTBLANK(OFFSET(A$1,,,SUMPRODUCT(MAX(ROW(E$1:E353)*(E354=E$1:E353))))))</f>
        <v/>
      </c>
      <c r="K354" s="15" t="str">
        <f aca="false">IF(OR(E354="",E354="!!!",F354="NEW"),"",INDEX(J$1:J353,SUMPRODUCT(MAX(ROW(E$1:E353)*(E354=E$1:E353)))))</f>
        <v/>
      </c>
      <c r="L354" s="16"/>
    </row>
    <row r="355" customFormat="false" ht="12.75" hidden="false" customHeight="false" outlineLevel="0" collapsed="false">
      <c r="A355" s="9" t="s">
        <v>236</v>
      </c>
      <c r="E355" s="10" t="str">
        <f aca="false">IF(D355="?OLD","!!!","")</f>
        <v/>
      </c>
      <c r="F355" s="11" t="str">
        <f aca="false">IF(OR(E355="",E355="!!!"),"",IF(NOT(ISNA(VLOOKUP(E355,E$1:E354,1,FALSE()))),"OLD",IF(AND(E355&lt;&gt;"",E355&lt;&gt;"!!!"),"NEW","")))</f>
        <v/>
      </c>
      <c r="G355" s="12" t="str">
        <f aca="false">IF(OR(E355="",E355="!!!"),"",IF(OR(J355=0,AND(J355=1,K355=1),AND(J355=1,I355="SBJ"),AND(J355=1,I355=0)),"?IN_FOCUS",IF(J355&lt;=2,"?ACTIVATED",IF(J355&lt;&gt;"","?FAMILIAR",IF(F355="NEW",IF(ISNA(VLOOKUP(E355,#REF!,1,FALSE())),"?TYPE_IDENTIFIABLE","?REFERENTIAL"),"_")))))</f>
        <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75" hidden="false" customHeight="false" outlineLevel="0" collapsed="false">
      <c r="A356" s="9" t="s">
        <v>237</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75" hidden="false" customHeight="false" outlineLevel="0" collapsed="false">
      <c r="A357" s="9" t="s">
        <v>15</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75" hidden="false" customHeight="false" outlineLevel="0" collapsed="false">
      <c r="A358" s="9" t="s">
        <v>238</v>
      </c>
      <c r="E358" s="10" t="str">
        <f aca="false">IF(D358="?OLD","!!!","")</f>
        <v/>
      </c>
      <c r="F358" s="11" t="str">
        <f aca="false">IF(OR(E358="",E358="!!!"),"",IF(NOT(ISNA(VLOOKUP(E358,E$1:E357,1,FALSE()))),"OLD",IF(AND(E358&lt;&gt;"",E358&lt;&gt;"!!!"),"NEW","")))</f>
        <v/>
      </c>
      <c r="G358" s="12" t="str">
        <f aca="false">IF(OR(E358="",E358="!!!"),"",IF(OR(J358=0,AND(J358=1,K358=1),AND(J358=1,I358="SBJ"),AND(J358=1,I358=0)),"?IN_FOCUS",IF(J358&lt;=2,"?ACTIVATED",IF(J358&lt;&gt;"","?FAMILIAR",IF(F358="NEW",IF(ISNA(VLOOKUP(E358,#REF!,1,FALSE())),"?TYPE_IDENTIFIABLE","?REFERENTIAL"),"_")))))</f>
        <v/>
      </c>
      <c r="H358" s="13" t="str">
        <f aca="false">IF(J358&lt;&gt;1,"",IF(I358="SBJ","CB","?"))</f>
        <v/>
      </c>
      <c r="I358" s="14" t="str">
        <f aca="false">IF(OR(E358="",E358="!!!",F358="NEW"),"",INDEX(B$2:B357,-1+SUMPRODUCT(MAX(ROW(E$2:E357)*(E358=E$2:E357)))))</f>
        <v/>
      </c>
      <c r="J358" s="15" t="str">
        <f aca="true">IF(OR(E358="",E358="!!!",F358="NEW"),"",COUNTBLANK(OFFSET(A$1,,,SUMPRODUCT(MAX(ROW(E$2:E358)*(E358=E$2:E358)))))-COUNTBLANK(OFFSET(A$1,,,SUMPRODUCT(MAX(ROW(E$1:E357)*(E358=E$1:E357))))))</f>
        <v/>
      </c>
      <c r="K358" s="15" t="str">
        <f aca="false">IF(OR(E358="",E358="!!!",F358="NEW"),"",INDEX(J$1:J357,SUMPRODUCT(MAX(ROW(E$1:E357)*(E358=E$1:E357)))))</f>
        <v/>
      </c>
      <c r="L358" s="16"/>
    </row>
    <row r="359" customFormat="false" ht="12.75" hidden="false" customHeight="false" outlineLevel="0" collapsed="false">
      <c r="A359" s="9" t="s">
        <v>239</v>
      </c>
      <c r="B359" s="0" t="s">
        <v>24</v>
      </c>
      <c r="C359" s="0" t="s">
        <v>18</v>
      </c>
      <c r="D359" s="0" t="s">
        <v>19</v>
      </c>
      <c r="E359" s="10" t="s">
        <v>240</v>
      </c>
      <c r="F359" s="11" t="str">
        <f aca="false">IF(OR(E359="",E359="!!!"),"",IF(NOT(ISNA(VLOOKUP(E359,E$1:E358,1,FALSE()))),"OLD",IF(AND(E359&lt;&gt;"",E359&lt;&gt;"!!!"),"NEW","")))</f>
        <v>NEW</v>
      </c>
      <c r="G359" s="12" t="s">
        <v>21</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75" hidden="false" customHeight="false" outlineLevel="0" collapsed="false">
      <c r="A360" s="9" t="s">
        <v>22</v>
      </c>
      <c r="E360" s="10" t="str">
        <f aca="false">IF(D360="?OLD","!!!","")</f>
        <v/>
      </c>
      <c r="F360" s="11" t="str">
        <f aca="false">IF(OR(E360="",E360="!!!"),"",IF(NOT(ISNA(VLOOKUP(E360,E$1:E359,1,FALSE()))),"OLD",IF(AND(E360&lt;&gt;"",E360&lt;&gt;"!!!"),"NEW","")))</f>
        <v/>
      </c>
      <c r="G360" s="12" t="str">
        <f aca="false">IF(OR(E360="",E360="!!!"),"",IF(OR(J360=0,AND(J360=1,K360=1),AND(J360=1,I360="SBJ"),AND(J360=1,I360=0)),"?IN_FOCUS",IF(J360&lt;=2,"?ACTIVATED",IF(J360&lt;&gt;"","?FAMILIAR",IF(F360="NEW",IF(ISNA(VLOOKUP(E360,#REF!,1,FALSE())),"?TYPE_IDENTIFIABLE","?REFERENTIAL"),"_")))))</f>
        <v/>
      </c>
      <c r="H360" s="13" t="str">
        <f aca="false">IF(J360&lt;&gt;1,"",IF(I360="SBJ","CB","?"))</f>
        <v/>
      </c>
      <c r="I360" s="14" t="str">
        <f aca="false">IF(OR(E360="",E360="!!!",F360="NEW"),"",INDEX(B$2:B359,-1+SUMPRODUCT(MAX(ROW(E$2:E359)*(E360=E$2:E359)))))</f>
        <v/>
      </c>
      <c r="J360" s="15" t="str">
        <f aca="true">IF(OR(E360="",E360="!!!",F360="NEW"),"",COUNTBLANK(OFFSET(A$1,,,SUMPRODUCT(MAX(ROW(E$2:E360)*(E360=E$2:E360)))))-COUNTBLANK(OFFSET(A$1,,,SUMPRODUCT(MAX(ROW(E$1:E359)*(E360=E$1:E359))))))</f>
        <v/>
      </c>
      <c r="K360" s="15" t="str">
        <f aca="false">IF(OR(E360="",E360="!!!",F360="NEW"),"",INDEX(J$1:J359,SUMPRODUCT(MAX(ROW(E$1:E359)*(E360=E$1:E359)))))</f>
        <v/>
      </c>
      <c r="L360" s="16"/>
    </row>
    <row r="361" customFormat="false" ht="12.75" hidden="false" customHeight="false" outlineLevel="0" collapsed="false">
      <c r="A361" s="9" t="s">
        <v>15</v>
      </c>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75" hidden="false" customHeight="false" outlineLevel="0" collapsed="false">
      <c r="A362" s="9" t="s">
        <v>16</v>
      </c>
      <c r="B362" s="0" t="s">
        <v>62</v>
      </c>
      <c r="C362" s="0" t="s">
        <v>18</v>
      </c>
      <c r="D362" s="0" t="s">
        <v>19</v>
      </c>
      <c r="E362" s="10" t="s">
        <v>241</v>
      </c>
      <c r="F362" s="11" t="str">
        <f aca="false">IF(OR(E362="",E362="!!!"),"",IF(NOT(ISNA(VLOOKUP(E362,E$1:E361,1,FALSE()))),"OLD",IF(AND(E362&lt;&gt;"",E362&lt;&gt;"!!!"),"NEW","")))</f>
        <v>NEW</v>
      </c>
      <c r="G362" s="12" t="s">
        <v>52</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75" hidden="false" customHeight="false" outlineLevel="0" collapsed="false">
      <c r="A363" s="9" t="s">
        <v>44</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75" hidden="false" customHeight="false" outlineLevel="0" collapsed="false">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75" hidden="false" customHeight="false" outlineLevel="0" collapsed="false">
      <c r="A365" s="9" t="s">
        <v>242</v>
      </c>
      <c r="E365" s="10" t="str">
        <f aca="false">IF(D365="?OLD","!!!","")</f>
        <v/>
      </c>
      <c r="F365" s="11" t="str">
        <f aca="false">IF(OR(E365="",E365="!!!"),"",IF(NOT(ISNA(VLOOKUP(E365,E$1:E364,1,FALSE()))),"OLD",IF(AND(E365&lt;&gt;"",E365&lt;&gt;"!!!"),"NEW","")))</f>
        <v/>
      </c>
      <c r="G365" s="12" t="str">
        <f aca="false">IF(OR(E365="",E365="!!!"),"",IF(OR(J365=0,AND(J365=1,K365=1),AND(J365=1,I365="SBJ"),AND(J365=1,I365=0)),"?IN_FOCUS",IF(J365&lt;=2,"?ACTIVATED",IF(J365&lt;&gt;"","?FAMILIAR",IF(F365="NEW",IF(ISNA(VLOOKUP(E365,#REF!,1,FALSE())),"?TYPE_IDENTIFIABLE","?REFERENTIAL"),"_")))))</f>
        <v/>
      </c>
      <c r="H365" s="13" t="str">
        <f aca="false">IF(J365&lt;&gt;1,"",IF(I365="SBJ","CB","?"))</f>
        <v/>
      </c>
      <c r="I365" s="14" t="str">
        <f aca="false">IF(OR(E365="",E365="!!!",F365="NEW"),"",INDEX(B$2:B364,-1+SUMPRODUCT(MAX(ROW(E$2:E364)*(E365=E$2:E364)))))</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75" hidden="false" customHeight="false" outlineLevel="0" collapsed="false">
      <c r="A366" s="9" t="s">
        <v>204</v>
      </c>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75" hidden="false" customHeight="false" outlineLevel="0" collapsed="false">
      <c r="A367" s="9" t="s">
        <v>113</v>
      </c>
      <c r="B367" s="0" t="s">
        <v>17</v>
      </c>
      <c r="C367" s="0" t="s">
        <v>194</v>
      </c>
      <c r="D367" s="0" t="s">
        <v>19</v>
      </c>
      <c r="E367" s="10"/>
      <c r="F367" s="11" t="s">
        <v>224</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75" hidden="false" customHeight="false" outlineLevel="0" collapsed="false">
      <c r="A368" s="9" t="s">
        <v>236</v>
      </c>
      <c r="E368" s="10" t="str">
        <f aca="false">IF(D368="?OLD","!!!","")</f>
        <v/>
      </c>
      <c r="F368" s="11" t="str">
        <f aca="false">IF(OR(E368="",E368="!!!"),"",IF(NOT(ISNA(VLOOKUP(E368,E$1:E367,1,FALSE()))),"OLD",IF(AND(E368&lt;&gt;"",E368&lt;&gt;"!!!"),"NEW","")))</f>
        <v/>
      </c>
      <c r="G368" s="12" t="str">
        <f aca="false">IF(OR(E368="",E368="!!!"),"",IF(OR(J368=0,AND(J368=1,K368=1),AND(J368=1,I368="SBJ"),AND(J368=1,I368=0)),"?IN_FOCUS",IF(J368&lt;=2,"?ACTIVATED",IF(J368&lt;&gt;"","?FAMILIAR",IF(F368="NEW",IF(ISNA(VLOOKUP(E368,#REF!,1,FALSE())),"?TYPE_IDENTIFIABLE","?REFERENTIAL"),"_")))))</f>
        <v/>
      </c>
      <c r="H368" s="13" t="str">
        <f aca="false">IF(J368&lt;&gt;1,"",IF(I368="SBJ","CB","?"))</f>
        <v/>
      </c>
      <c r="I368" s="14" t="str">
        <f aca="false">IF(OR(E368="",E368="!!!",F368="NEW"),"",INDEX(B$2:B367,-1+SUMPRODUCT(MAX(ROW(E$2:E367)*(E368=E$2:E367)))))</f>
        <v/>
      </c>
      <c r="J368" s="15" t="str">
        <f aca="true">IF(OR(E368="",E368="!!!",F368="NEW"),"",COUNTBLANK(OFFSET(A$1,,,SUMPRODUCT(MAX(ROW(E$2:E368)*(E368=E$2:E368)))))-COUNTBLANK(OFFSET(A$1,,,SUMPRODUCT(MAX(ROW(E$1:E367)*(E368=E$1:E367))))))</f>
        <v/>
      </c>
      <c r="K368" s="15" t="str">
        <f aca="false">IF(OR(E368="",E368="!!!",F368="NEW"),"",INDEX(J$1:J367,SUMPRODUCT(MAX(ROW(E$1:E367)*(E368=E$1:E367)))))</f>
        <v/>
      </c>
      <c r="L368" s="16"/>
    </row>
    <row r="369" customFormat="false" ht="12.75" hidden="false" customHeight="false" outlineLevel="0" collapsed="false">
      <c r="A369" s="9" t="s">
        <v>243</v>
      </c>
      <c r="B369" s="0" t="s">
        <v>30</v>
      </c>
      <c r="C369" s="0" t="s">
        <v>192</v>
      </c>
      <c r="E369" s="10" t="str">
        <f aca="false">IF(D369="?OLD","!!!","")</f>
        <v/>
      </c>
      <c r="F369" s="11" t="str">
        <f aca="false">IF(OR(E369="",E369="!!!"),"",IF(NOT(ISNA(VLOOKUP(E369,E$1:E368,1,FALSE()))),"OLD",IF(AND(E369&lt;&gt;"",E369&lt;&gt;"!!!"),"NEW","")))</f>
        <v/>
      </c>
      <c r="G369" s="12" t="str">
        <f aca="false">IF(OR(E369="",E369="!!!"),"",IF(OR(J369=0,AND(J369=1,K369=1),AND(J369=1,I369="SBJ"),AND(J369=1,I369=0)),"?IN_FOCUS",IF(J369&lt;=2,"?ACTIVATED",IF(J369&lt;&gt;"","?FAMILIAR",IF(F369="NEW",IF(ISNA(VLOOKUP(E369,#REF!,1,FALSE())),"?TYPE_IDENTIFIABLE","?REFERENTIAL"),"_")))))</f>
        <v/>
      </c>
      <c r="H369" s="13" t="str">
        <f aca="false">IF(J369&lt;&gt;1,"",IF(I369="SBJ","CB","?"))</f>
        <v/>
      </c>
      <c r="I369" s="14" t="str">
        <f aca="false">IF(OR(E369="",E369="!!!",F369="NEW"),"",INDEX(B$2:B368,-1+SUMPRODUCT(MAX(ROW(E$2:E368)*(E369=E$2:E368)))))</f>
        <v/>
      </c>
      <c r="J369" s="15" t="str">
        <f aca="true">IF(OR(E369="",E369="!!!",F369="NEW"),"",COUNTBLANK(OFFSET(A$1,,,SUMPRODUCT(MAX(ROW(E$2:E369)*(E369=E$2:E369)))))-COUNTBLANK(OFFSET(A$1,,,SUMPRODUCT(MAX(ROW(E$1:E368)*(E369=E$1:E368))))))</f>
        <v/>
      </c>
      <c r="K369" s="15" t="str">
        <f aca="false">IF(OR(E369="",E369="!!!",F369="NEW"),"",INDEX(J$1:J368,SUMPRODUCT(MAX(ROW(E$1:E368)*(E369=E$1:E368)))))</f>
        <v/>
      </c>
      <c r="L369" s="16"/>
    </row>
    <row r="370" customFormat="false" ht="12.75" hidden="false" customHeight="false" outlineLevel="0" collapsed="false">
      <c r="A370" s="9" t="s">
        <v>244</v>
      </c>
      <c r="E370" s="10" t="str">
        <f aca="false">IF(D370="?OLD","!!!","")</f>
        <v/>
      </c>
      <c r="F370" s="11" t="str">
        <f aca="false">IF(OR(E370="",E370="!!!"),"",IF(NOT(ISNA(VLOOKUP(E370,E$1:E369,1,FALSE()))),"OLD",IF(AND(E370&lt;&gt;"",E370&lt;&gt;"!!!"),"NEW","")))</f>
        <v/>
      </c>
      <c r="G370" s="12" t="str">
        <f aca="false">IF(OR(E370="",E370="!!!"),"",IF(OR(J370=0,AND(J370=1,K370=1),AND(J370=1,I370="SBJ"),AND(J370=1,I370=0)),"?IN_FOCUS",IF(J370&lt;=2,"?ACTIVATED",IF(J370&lt;&gt;"","?FAMILIAR",IF(F370="NEW",IF(ISNA(VLOOKUP(E370,#REF!,1,FALSE())),"?TYPE_IDENTIFIABLE","?REFERENTIAL"),"_")))))</f>
        <v/>
      </c>
      <c r="H370" s="13" t="str">
        <f aca="false">IF(J370&lt;&gt;1,"",IF(I370="SBJ","CB","?"))</f>
        <v/>
      </c>
      <c r="I370" s="14" t="str">
        <f aca="false">IF(OR(E370="",E370="!!!",F370="NEW"),"",INDEX(B$2:B369,-1+SUMPRODUCT(MAX(ROW(E$2:E369)*(E370=E$2:E369)))))</f>
        <v/>
      </c>
      <c r="J370" s="15" t="str">
        <f aca="true">IF(OR(E370="",E370="!!!",F370="NEW"),"",COUNTBLANK(OFFSET(A$1,,,SUMPRODUCT(MAX(ROW(E$2:E370)*(E370=E$2:E370)))))-COUNTBLANK(OFFSET(A$1,,,SUMPRODUCT(MAX(ROW(E$1:E369)*(E370=E$1:E369))))))</f>
        <v/>
      </c>
      <c r="K370" s="15" t="str">
        <f aca="false">IF(OR(E370="",E370="!!!",F370="NEW"),"",INDEX(J$1:J369,SUMPRODUCT(MAX(ROW(E$1:E369)*(E370=E$1:E369)))))</f>
        <v/>
      </c>
      <c r="L370" s="16"/>
    </row>
    <row r="371" customFormat="false" ht="12.75" hidden="false" customHeight="false" outlineLevel="0" collapsed="false">
      <c r="A371" s="9" t="s">
        <v>245</v>
      </c>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75" hidden="false" customHeight="false" outlineLevel="0" collapsed="false">
      <c r="A372" s="9" t="s">
        <v>246</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75" hidden="false" customHeight="false" outlineLevel="0" collapsed="false">
      <c r="A373" s="9" t="s">
        <v>247</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75" hidden="false" customHeight="false" outlineLevel="0" collapsed="false">
      <c r="A374" s="9" t="s">
        <v>15</v>
      </c>
      <c r="E374" s="10" t="str">
        <f aca="false">IF(D374="?OLD","!!!","")</f>
        <v/>
      </c>
      <c r="F374" s="11" t="str">
        <f aca="false">IF(OR(E374="",E374="!!!"),"",IF(NOT(ISNA(VLOOKUP(E374,E$1:E373,1,FALSE()))),"OLD",IF(AND(E374&lt;&gt;"",E374&lt;&gt;"!!!"),"NEW","")))</f>
        <v/>
      </c>
      <c r="G374" s="12" t="str">
        <f aca="false">IF(OR(E374="",E374="!!!"),"",IF(OR(J374=0,AND(J374=1,K374=1),AND(J374=1,I374="SBJ"),AND(J374=1,I374=0)),"?IN_FOCUS",IF(J374&lt;=2,"?ACTIVATED",IF(J374&lt;&gt;"","?FAMILIAR",IF(F374="NEW",IF(ISNA(VLOOKUP(E374,#REF!,1,FALSE())),"?TYPE_IDENTIFIABLE","?REFERENTIAL"),"_")))))</f>
        <v/>
      </c>
      <c r="H374" s="13" t="str">
        <f aca="false">IF(J374&lt;&gt;1,"",IF(I374="SBJ","CB","?"))</f>
        <v/>
      </c>
      <c r="I374" s="14" t="str">
        <f aca="false">IF(OR(E374="",E374="!!!",F374="NEW"),"",INDEX(B$2:B373,-1+SUMPRODUCT(MAX(ROW(E$2:E373)*(E374=E$2:E373)))))</f>
        <v/>
      </c>
      <c r="J374" s="15" t="str">
        <f aca="true">IF(OR(E374="",E374="!!!",F374="NEW"),"",COUNTBLANK(OFFSET(A$1,,,SUMPRODUCT(MAX(ROW(E$2:E374)*(E374=E$2:E374)))))-COUNTBLANK(OFFSET(A$1,,,SUMPRODUCT(MAX(ROW(E$1:E373)*(E374=E$1:E373))))))</f>
        <v/>
      </c>
      <c r="K374" s="15" t="str">
        <f aca="false">IF(OR(E374="",E374="!!!",F374="NEW"),"",INDEX(J$1:J373,SUMPRODUCT(MAX(ROW(E$1:E373)*(E374=E$1:E373)))))</f>
        <v/>
      </c>
      <c r="L374" s="16"/>
    </row>
    <row r="375" customFormat="false" ht="12.75" hidden="false" customHeight="false" outlineLevel="0" collapsed="false">
      <c r="A375" s="9" t="s">
        <v>248</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75" hidden="false" customHeight="false" outlineLevel="0" collapsed="false">
      <c r="A376" s="9" t="s">
        <v>249</v>
      </c>
      <c r="B376" s="0" t="s">
        <v>40</v>
      </c>
      <c r="C376" s="0" t="s">
        <v>103</v>
      </c>
      <c r="D376" s="0" t="s">
        <v>19</v>
      </c>
      <c r="E376" s="10" t="s">
        <v>249</v>
      </c>
      <c r="F376" s="11" t="str">
        <f aca="false">IF(OR(E376="",E376="!!!"),"",IF(NOT(ISNA(VLOOKUP(E376,E$1:E375,1,FALSE()))),"OLD",IF(AND(E376&lt;&gt;"",E376&lt;&gt;"!!!"),"NEW","")))</f>
        <v>NEW</v>
      </c>
      <c r="G376" s="12" t="s">
        <v>21</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row>
    <row r="377" customFormat="false" ht="12.75" hidden="false" customHeight="false" outlineLevel="0" collapsed="false">
      <c r="A377" s="9" t="s">
        <v>182</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75" hidden="false" customHeight="false" outlineLevel="0" collapsed="false">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75" hidden="false" customHeight="false" outlineLevel="0" collapsed="false">
      <c r="A379" s="9" t="s">
        <v>250</v>
      </c>
      <c r="E379" s="10" t="str">
        <f aca="false">IF(D379="?OLD","!!!","")</f>
        <v/>
      </c>
      <c r="F379" s="11" t="str">
        <f aca="false">IF(OR(E379="",E379="!!!"),"",IF(NOT(ISNA(VLOOKUP(E379,E$1:E378,1,FALSE()))),"OLD",IF(AND(E379&lt;&gt;"",E379&lt;&gt;"!!!"),"NEW","")))</f>
        <v/>
      </c>
      <c r="G379" s="12" t="str">
        <f aca="false">IF(OR(E379="",E379="!!!"),"",IF(OR(J379=0,AND(J379=1,K379=1),AND(J379=1,I379="SBJ"),AND(J379=1,I379=0)),"?IN_FOCUS",IF(J379&lt;=2,"?ACTIVATED",IF(J379&lt;&gt;"","?FAMILIAR",IF(F379="NEW",IF(ISNA(VLOOKUP(E379,#REF!,1,FALSE())),"?TYPE_IDENTIFIABLE","?REFERENTIAL"),"_")))))</f>
        <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75" hidden="false" customHeight="false" outlineLevel="0" collapsed="false">
      <c r="A380" s="9" t="s">
        <v>251</v>
      </c>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IF(OR(E380="",E380="!!!",F380="NEW"),"",INDEX(B$2:B379,-1+SUMPRODUCT(MAX(ROW(E$2:E379)*(E380=E$2:E379)))))</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75" hidden="false" customHeight="false" outlineLevel="0" collapsed="false">
      <c r="A381" s="9" t="s">
        <v>252</v>
      </c>
      <c r="B381" s="0" t="s">
        <v>30</v>
      </c>
      <c r="C381" s="0" t="s">
        <v>31</v>
      </c>
      <c r="D381" s="0" t="s">
        <v>19</v>
      </c>
      <c r="E381" s="10"/>
      <c r="F381" s="11" t="s">
        <v>224</v>
      </c>
      <c r="G381" s="12" t="str">
        <f aca="false">IF(OR(E381="",E381="!!!"),"",IF(OR(J381=0,AND(J381=1,K381=1),AND(J381=1,I381="SBJ"),AND(J381=1,I381=0)),"?IN_FOCUS",IF(J381&lt;=2,"?ACTIVATED",IF(J381&lt;&gt;"","?FAMILIAR",IF(F381="NEW",IF(ISNA(VLOOKUP(E381,#REF!,1,FALSE())),"?TYPE_IDENTIFIABLE","?REFERENTIAL"),"_")))))</f>
        <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75" hidden="false" customHeight="false" outlineLevel="0" collapsed="false">
      <c r="A382" s="9" t="s">
        <v>253</v>
      </c>
      <c r="E382" s="10" t="str">
        <f aca="false">IF(D382="?OLD","!!!","")</f>
        <v/>
      </c>
      <c r="F382" s="11" t="str">
        <f aca="false">IF(OR(E382="",E382="!!!"),"",IF(NOT(ISNA(VLOOKUP(E382,E$1:E381,1,FALSE()))),"OLD",IF(AND(E382&lt;&gt;"",E382&lt;&gt;"!!!"),"NEW","")))</f>
        <v/>
      </c>
      <c r="G382" s="12" t="str">
        <f aca="false">IF(OR(E382="",E382="!!!"),"",IF(OR(J382=0,AND(J382=1,K382=1),AND(J382=1,I382="SBJ"),AND(J382=1,I382=0)),"?IN_FOCUS",IF(J382&lt;=2,"?ACTIVATED",IF(J382&lt;&gt;"","?FAMILIAR",IF(F382="NEW",IF(ISNA(VLOOKUP(E382,#REF!,1,FALSE())),"?TYPE_IDENTIFIABLE","?REFERENTIAL"),"_")))))</f>
        <v/>
      </c>
      <c r="H382" s="13" t="str">
        <f aca="false">IF(J382&lt;&gt;1,"",IF(I382="SBJ","CB","?"))</f>
        <v/>
      </c>
      <c r="I382" s="14" t="str">
        <f aca="false">IF(OR(E382="",E382="!!!",F382="NEW"),"",INDEX(B$2:B381,-1+SUMPRODUCT(MAX(ROW(E$2:E381)*(E382=E$2:E381)))))</f>
        <v/>
      </c>
      <c r="J382" s="15" t="str">
        <f aca="true">IF(OR(E382="",E382="!!!",F382="NEW"),"",COUNTBLANK(OFFSET(A$1,,,SUMPRODUCT(MAX(ROW(E$2:E382)*(E382=E$2:E382)))))-COUNTBLANK(OFFSET(A$1,,,SUMPRODUCT(MAX(ROW(E$1:E381)*(E382=E$1:E381))))))</f>
        <v/>
      </c>
      <c r="K382" s="15" t="str">
        <f aca="false">IF(OR(E382="",E382="!!!",F382="NEW"),"",INDEX(J$1:J381,SUMPRODUCT(MAX(ROW(E$1:E381)*(E382=E$1:E381)))))</f>
        <v/>
      </c>
      <c r="L382" s="16"/>
    </row>
    <row r="383" customFormat="false" ht="12.75" hidden="false" customHeight="false" outlineLevel="0" collapsed="false">
      <c r="A383" s="9" t="s">
        <v>225</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75" hidden="false" customHeight="false" outlineLevel="0" collapsed="false">
      <c r="A384" s="9" t="s">
        <v>42</v>
      </c>
      <c r="E384" s="10" t="str">
        <f aca="false">IF(D384="?OLD","!!!","")</f>
        <v/>
      </c>
      <c r="F384" s="11" t="str">
        <f aca="false">IF(OR(E384="",E384="!!!"),"",IF(NOT(ISNA(VLOOKUP(E384,E$1:E383,1,FALSE()))),"OLD",IF(AND(E384&lt;&gt;"",E384&lt;&gt;"!!!"),"NEW","")))</f>
        <v/>
      </c>
      <c r="G384" s="12" t="str">
        <f aca="false">IF(OR(E384="",E384="!!!"),"",IF(OR(J384=0,AND(J384=1,K384=1),AND(J384=1,I384="SBJ"),AND(J384=1,I384=0)),"?IN_FOCUS",IF(J384&lt;=2,"?ACTIVATED",IF(J384&lt;&gt;"","?FAMILIAR",IF(F384="NEW",IF(ISNA(VLOOKUP(E384,#REF!,1,FALSE())),"?TYPE_IDENTIFIABLE","?REFERENTIAL"),"_")))))</f>
        <v/>
      </c>
      <c r="H384" s="13" t="str">
        <f aca="false">IF(J384&lt;&gt;1,"",IF(I384="SBJ","CB","?"))</f>
        <v/>
      </c>
      <c r="I384" s="14" t="str">
        <f aca="false">IF(OR(E384="",E384="!!!",F384="NEW"),"",INDEX(B$2:B383,-1+SUMPRODUCT(MAX(ROW(E$2:E383)*(E384=E$2:E383)))))</f>
        <v/>
      </c>
      <c r="J384" s="15" t="str">
        <f aca="true">IF(OR(E384="",E384="!!!",F384="NEW"),"",COUNTBLANK(OFFSET(A$1,,,SUMPRODUCT(MAX(ROW(E$2:E384)*(E384=E$2:E384)))))-COUNTBLANK(OFFSET(A$1,,,SUMPRODUCT(MAX(ROW(E$1:E383)*(E384=E$1:E383))))))</f>
        <v/>
      </c>
      <c r="K384" s="15" t="str">
        <f aca="false">IF(OR(E384="",E384="!!!",F384="NEW"),"",INDEX(J$1:J383,SUMPRODUCT(MAX(ROW(E$1:E383)*(E384=E$1:E383)))))</f>
        <v/>
      </c>
      <c r="L384" s="16"/>
    </row>
    <row r="385" customFormat="false" ht="12.75" hidden="false" customHeight="false" outlineLevel="0" collapsed="false">
      <c r="A385" s="9" t="s">
        <v>15</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75" hidden="false" customHeight="false" outlineLevel="0" collapsed="false">
      <c r="A386" s="9" t="s">
        <v>254</v>
      </c>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75" hidden="false" customHeight="false" outlineLevel="0" collapsed="false">
      <c r="A387" s="9" t="s">
        <v>255</v>
      </c>
      <c r="B387" s="0" t="s">
        <v>40</v>
      </c>
      <c r="C387" s="0" t="s">
        <v>18</v>
      </c>
      <c r="D387" s="0" t="s">
        <v>19</v>
      </c>
      <c r="E387" s="10" t="s">
        <v>256</v>
      </c>
      <c r="F387" s="11" t="str">
        <f aca="false">IF(OR(E387="",E387="!!!"),"",IF(NOT(ISNA(VLOOKUP(E387,E$1:E386,1,FALSE()))),"OLD",IF(AND(E387&lt;&gt;"",E387&lt;&gt;"!!!"),"NEW","")))</f>
        <v>NEW</v>
      </c>
      <c r="G387" s="12" t="s">
        <v>21</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75" hidden="false" customHeight="false" outlineLevel="0" collapsed="false">
      <c r="A388" s="9" t="s">
        <v>28</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75" hidden="false" customHeight="false" outlineLevel="0" collapsed="false">
      <c r="A389" s="9" t="s">
        <v>257</v>
      </c>
      <c r="E389" s="10" t="str">
        <f aca="false">IF(D389="?OLD","!!!","")</f>
        <v/>
      </c>
      <c r="F389" s="11" t="str">
        <f aca="false">IF(OR(E389="",E389="!!!"),"",IF(NOT(ISNA(VLOOKUP(E389,E$1:E388,1,FALSE()))),"OLD",IF(AND(E389&lt;&gt;"",E389&lt;&gt;"!!!"),"NEW","")))</f>
        <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IF(OR(E389="",E389="!!!",F389="NEW"),"",INDEX(B$2:B388,-1+SUMPRODUCT(MAX(ROW(E$2:E388)*(E389=E$2:E388)))))</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75" hidden="false" customHeight="false" outlineLevel="0" collapsed="false">
      <c r="A390" s="9" t="s">
        <v>187</v>
      </c>
      <c r="B390" s="0" t="s">
        <v>17</v>
      </c>
      <c r="C390" s="0" t="s">
        <v>103</v>
      </c>
      <c r="D390" s="0" t="s">
        <v>19</v>
      </c>
      <c r="E390" s="10" t="s">
        <v>187</v>
      </c>
      <c r="F390" s="11" t="str">
        <f aca="false">IF(OR(E390="",E390="!!!"),"",IF(NOT(ISNA(VLOOKUP(E390,E$1:E389,1,FALSE()))),"OLD",IF(AND(E390&lt;&gt;"",E390&lt;&gt;"!!!"),"NEW","")))</f>
        <v>OLD</v>
      </c>
      <c r="G390" s="12" t="s">
        <v>52</v>
      </c>
      <c r="H390" s="13" t="str">
        <f aca="false">IF(J390&lt;&gt;1,"",IF(I390="SBJ","CB","?"))</f>
        <v/>
      </c>
      <c r="I390" s="14" t="str">
        <f aca="false">IF(OR(E390="",E390="!!!",F390="NEW"),"",INDEX(B$2:B389,-1+SUMPRODUCT(MAX(ROW(E$2:E389)*(E390=E$2:E389)))))</f>
        <v>other_4</v>
      </c>
      <c r="J390" s="15" t="n">
        <f aca="true">IF(OR(E390="",E390="!!!",F390="NEW"),"",COUNTBLANK(OFFSET(A$1,,,SUMPRODUCT(MAX(ROW(E$2:E390)*(E390=E$2:E390)))))-COUNTBLANK(OFFSET(A$1,,,SUMPRODUCT(MAX(ROW(E$1:E389)*(E390=E$1:E389))))))</f>
        <v>6</v>
      </c>
      <c r="K390" s="15" t="str">
        <f aca="false">IF(OR(E390="",E390="!!!",F390="NEW"),"",INDEX(J$1:J389,SUMPRODUCT(MAX(ROW(E$1:E389)*(E390=E$1:E389)))))</f>
        <v/>
      </c>
      <c r="L390" s="16"/>
    </row>
    <row r="391" customFormat="false" ht="12.75" hidden="false" customHeight="false" outlineLevel="0" collapsed="false">
      <c r="A391" s="9" t="s">
        <v>28</v>
      </c>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75" hidden="false" customHeight="false" outlineLevel="0" collapsed="false">
      <c r="A392" s="9" t="s">
        <v>258</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75" hidden="false" customHeight="false" outlineLevel="0" collapsed="false">
      <c r="A393" s="9" t="s">
        <v>259</v>
      </c>
      <c r="B393" s="0" t="s">
        <v>94</v>
      </c>
      <c r="C393" s="0" t="s">
        <v>31</v>
      </c>
      <c r="D393" s="0" t="s">
        <v>19</v>
      </c>
      <c r="E393" s="10" t="s">
        <v>187</v>
      </c>
      <c r="F393" s="11" t="str">
        <f aca="false">IF(OR(E393="",E393="!!!"),"",IF(NOT(ISNA(VLOOKUP(E393,E$1:E392,1,FALSE()))),"OLD",IF(AND(E393&lt;&gt;"",E393&lt;&gt;"!!!"),"NEW","")))</f>
        <v>OLD</v>
      </c>
      <c r="G393" s="12" t="s">
        <v>65</v>
      </c>
      <c r="H393" s="13" t="str">
        <f aca="false">IF(J393&lt;&gt;1,"",IF(I393="SBJ","CB","?"))</f>
        <v/>
      </c>
      <c r="I393" s="14" t="str">
        <f aca="false">IF(OR(E393="",E393="!!!",F393="NEW"),"",INDEX(B$2:B392,-1+SUMPRODUCT(MAX(ROW(E$2:E392)*(E393=E$2:E392)))))</f>
        <v>SBJ_2</v>
      </c>
      <c r="J393" s="15" t="n">
        <f aca="true">IF(OR(E393="",E393="!!!",F393="NEW"),"",COUNTBLANK(OFFSET(A$1,,,SUMPRODUCT(MAX(ROW(E$2:E393)*(E393=E$2:E393)))))-COUNTBLANK(OFFSET(A$1,,,SUMPRODUCT(MAX(ROW(E$1:E392)*(E393=E$1:E392))))))</f>
        <v>0</v>
      </c>
      <c r="K393" s="15" t="n">
        <f aca="false">IF(OR(E393="",E393="!!!",F393="NEW"),"",INDEX(J$1:J392,SUMPRODUCT(MAX(ROW(E$1:E392)*(E393=E$1:E392)))))</f>
        <v>6</v>
      </c>
      <c r="L393" s="16"/>
    </row>
    <row r="394" customFormat="false" ht="12.75" hidden="false" customHeight="false" outlineLevel="0" collapsed="false">
      <c r="A394" s="9" t="s">
        <v>253</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75" hidden="false" customHeight="false" outlineLevel="0" collapsed="false">
      <c r="A395" s="9" t="s">
        <v>260</v>
      </c>
      <c r="E395" s="10" t="str">
        <f aca="false">IF(D395="?OLD","!!!","")</f>
        <v/>
      </c>
      <c r="F395" s="11" t="str">
        <f aca="false">IF(OR(E395="",E395="!!!"),"",IF(NOT(ISNA(VLOOKUP(E395,E$1:E394,1,FALSE()))),"OLD",IF(AND(E395&lt;&gt;"",E395&lt;&gt;"!!!"),"NEW","")))</f>
        <v/>
      </c>
      <c r="G395" s="12" t="str">
        <f aca="false">IF(OR(E395="",E395="!!!"),"",IF(OR(J395=0,AND(J395=1,K395=1),AND(J395=1,I395="SBJ"),AND(J395=1,I395=0)),"?IN_FOCUS",IF(J395&lt;=2,"?ACTIVATED",IF(J395&lt;&gt;"","?FAMILIAR",IF(F395="NEW",IF(ISNA(VLOOKUP(E395,#REF!,1,FALSE())),"?TYPE_IDENTIFIABLE","?REFERENTIAL"),"_")))))</f>
        <v/>
      </c>
      <c r="H395" s="13" t="str">
        <f aca="false">IF(J395&lt;&gt;1,"",IF(I395="SBJ","CB","?"))</f>
        <v/>
      </c>
      <c r="I395" s="14" t="str">
        <f aca="false">IF(OR(E395="",E395="!!!",F395="NEW"),"",INDEX(B$2:B394,-1+SUMPRODUCT(MAX(ROW(E$2:E394)*(E395=E$2:E394)))))</f>
        <v/>
      </c>
      <c r="J395" s="15" t="str">
        <f aca="true">IF(OR(E395="",E395="!!!",F395="NEW"),"",COUNTBLANK(OFFSET(A$1,,,SUMPRODUCT(MAX(ROW(E$2:E395)*(E395=E$2:E395)))))-COUNTBLANK(OFFSET(A$1,,,SUMPRODUCT(MAX(ROW(E$1:E394)*(E395=E$1:E394))))))</f>
        <v/>
      </c>
      <c r="K395" s="15" t="str">
        <f aca="false">IF(OR(E395="",E395="!!!",F395="NEW"),"",INDEX(J$1:J394,SUMPRODUCT(MAX(ROW(E$1:E394)*(E395=E$1:E394)))))</f>
        <v/>
      </c>
      <c r="L395" s="16"/>
    </row>
    <row r="396" customFormat="false" ht="12.75" hidden="false" customHeight="false" outlineLevel="0" collapsed="false">
      <c r="A396" s="9" t="s">
        <v>213</v>
      </c>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IF(OR(E396="",E396="!!!",F396="NEW"),"",INDEX(B$2:B395,-1+SUMPRODUCT(MAX(ROW(E$2:E395)*(E396=E$2:E395)))))</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75" hidden="false" customHeight="false" outlineLevel="0" collapsed="false">
      <c r="A397" s="9" t="s">
        <v>228</v>
      </c>
      <c r="B397" s="0" t="s">
        <v>62</v>
      </c>
      <c r="C397" s="0" t="s">
        <v>128</v>
      </c>
      <c r="D397" s="0" t="s">
        <v>19</v>
      </c>
      <c r="E397" s="10" t="s">
        <v>187</v>
      </c>
      <c r="F397" s="11" t="str">
        <f aca="false">IF(OR(E397="",E397="!!!"),"",IF(NOT(ISNA(VLOOKUP(E397,E$1:E396,1,FALSE()))),"OLD",IF(AND(E397&lt;&gt;"",E397&lt;&gt;"!!!"),"NEW","")))</f>
        <v>OLD</v>
      </c>
      <c r="G397" s="12" t="s">
        <v>65</v>
      </c>
      <c r="H397" s="13" t="str">
        <f aca="false">IF(J397&lt;&gt;1,"",IF(I397="SBJ","CB","?"))</f>
        <v/>
      </c>
      <c r="I397" s="14" t="str">
        <f aca="false">IF(OR(E397="",E397="!!!",F397="NEW"),"",INDEX(B$2:B396,-1+SUMPRODUCT(MAX(ROW(E$2:E396)*(E397=E$2:E396)))))</f>
        <v>SBJ_3</v>
      </c>
      <c r="J397" s="15" t="n">
        <f aca="true">IF(OR(E397="",E397="!!!",F397="NEW"),"",COUNTBLANK(OFFSET(A$1,,,SUMPRODUCT(MAX(ROW(E$2:E397)*(E397=E$2:E397)))))-COUNTBLANK(OFFSET(A$1,,,SUMPRODUCT(MAX(ROW(E$1:E396)*(E397=E$1:E396))))))</f>
        <v>0</v>
      </c>
      <c r="K397" s="15" t="n">
        <f aca="false">IF(OR(E397="",E397="!!!",F397="NEW"),"",INDEX(J$1:J396,SUMPRODUCT(MAX(ROW(E$1:E396)*(E397=E$1:E396)))))</f>
        <v>0</v>
      </c>
      <c r="L397" s="16"/>
    </row>
    <row r="398" customFormat="false" ht="12.75" hidden="false" customHeight="false" outlineLevel="0" collapsed="false">
      <c r="A398" s="9" t="s">
        <v>88</v>
      </c>
      <c r="B398" s="0" t="s">
        <v>96</v>
      </c>
      <c r="C398" s="0" t="s">
        <v>83</v>
      </c>
      <c r="D398" s="0" t="s">
        <v>19</v>
      </c>
      <c r="E398" s="10" t="s">
        <v>89</v>
      </c>
      <c r="F398" s="11" t="str">
        <f aca="false">IF(OR(E398="",E398="!!!"),"",IF(NOT(ISNA(VLOOKUP(E398,E$1:E397,1,FALSE()))),"OLD",IF(AND(E398&lt;&gt;"",E398&lt;&gt;"!!!"),"NEW","")))</f>
        <v>OLD</v>
      </c>
      <c r="G398" s="12" t="s">
        <v>52</v>
      </c>
      <c r="H398" s="13" t="str">
        <f aca="false">IF(J398&lt;&gt;1,"",IF(I398="SBJ","CB","?"))</f>
        <v/>
      </c>
      <c r="I398" s="14" t="str">
        <f aca="false">IF(OR(E398="",E398="!!!",F398="NEW"),"",INDEX(B$2:B397,-1+SUMPRODUCT(MAX(ROW(E$2:E397)*(E398=E$2:E397)))))</f>
        <v>SBJ_3</v>
      </c>
      <c r="J398" s="15" t="n">
        <f aca="true">IF(OR(E398="",E398="!!!",F398="NEW"),"",COUNTBLANK(OFFSET(A$1,,,SUMPRODUCT(MAX(ROW(E$2:E398)*(E398=E$2:E398)))))-COUNTBLANK(OFFSET(A$1,,,SUMPRODUCT(MAX(ROW(E$1:E397)*(E398=E$1:E397))))))</f>
        <v>11</v>
      </c>
      <c r="K398" s="15" t="n">
        <f aca="false">IF(OR(E398="",E398="!!!",F398="NEW"),"",INDEX(J$1:J397,SUMPRODUCT(MAX(ROW(E$1:E397)*(E398=E$1:E397)))))</f>
        <v>0</v>
      </c>
      <c r="L398" s="16"/>
    </row>
    <row r="399" customFormat="false" ht="12.75" hidden="false" customHeight="false" outlineLevel="0" collapsed="false">
      <c r="A399" s="9" t="s">
        <v>81</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75" hidden="false" customHeight="false" outlineLevel="0" collapsed="false">
      <c r="A400" s="9" t="s">
        <v>36</v>
      </c>
      <c r="E400" s="10" t="str">
        <f aca="false">IF(D400="?OLD","!!!","")</f>
        <v/>
      </c>
      <c r="F400" s="11" t="str">
        <f aca="false">IF(OR(E400="",E400="!!!"),"",IF(NOT(ISNA(VLOOKUP(E400,E$1:E399,1,FALSE()))),"OLD",IF(AND(E400&lt;&gt;"",E400&lt;&gt;"!!!"),"NEW","")))</f>
        <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75" hidden="false" customHeight="false" outlineLevel="0" collapsed="false">
      <c r="A401" s="9" t="s">
        <v>261</v>
      </c>
      <c r="B401" s="0" t="s">
        <v>24</v>
      </c>
      <c r="C401" s="0" t="s">
        <v>56</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75" hidden="false" customHeight="false" outlineLevel="0" collapsed="false">
      <c r="A402" s="9" t="s">
        <v>44</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75" hidden="false" customHeight="false" outlineLevel="0" collapsed="false">
      <c r="E403" s="10" t="str">
        <f aca="false">IF(D403="?OLD","!!!","")</f>
        <v/>
      </c>
      <c r="F403" s="11" t="str">
        <f aca="false">IF(OR(E403="",E403="!!!"),"",IF(NOT(ISNA(VLOOKUP(E403,E$1:E402,1,FALSE()))),"OLD",IF(AND(E403&lt;&gt;"",E403&lt;&gt;"!!!"),"NEW","")))</f>
        <v/>
      </c>
      <c r="G403" s="12" t="str">
        <f aca="false">IF(OR(E403="",E403="!!!"),"",IF(OR(J403=0,AND(J403=1,K403=1),AND(J403=1,I403="SBJ"),AND(J403=1,I403=0)),"?IN_FOCUS",IF(J403&lt;=2,"?ACTIVATED",IF(J403&lt;&gt;"","?FAMILIAR",IF(F403="NEW",IF(ISNA(VLOOKUP(E403,#REF!,1,FALSE())),"?TYPE_IDENTIFIABLE","?REFERENTIAL"),"_")))))</f>
        <v/>
      </c>
      <c r="H403" s="13" t="str">
        <f aca="false">IF(J403&lt;&gt;1,"",IF(I403="SBJ","CB","?"))</f>
        <v/>
      </c>
      <c r="I403" s="14" t="str">
        <f aca="false">IF(OR(E403="",E403="!!!",F403="NEW"),"",INDEX(B$2:B402,-1+SUMPRODUCT(MAX(ROW(E$2:E402)*(E403=E$2:E402)))))</f>
        <v/>
      </c>
      <c r="J403" s="15" t="str">
        <f aca="true">IF(OR(E403="",E403="!!!",F403="NEW"),"",COUNTBLANK(OFFSET(A$1,,,SUMPRODUCT(MAX(ROW(E$2:E403)*(E403=E$2:E403)))))-COUNTBLANK(OFFSET(A$1,,,SUMPRODUCT(MAX(ROW(E$1:E402)*(E403=E$1:E402))))))</f>
        <v/>
      </c>
      <c r="K403" s="15" t="str">
        <f aca="false">IF(OR(E403="",E403="!!!",F403="NEW"),"",INDEX(J$1:J402,SUMPRODUCT(MAX(ROW(E$1:E402)*(E403=E$1:E402)))))</f>
        <v/>
      </c>
      <c r="L403" s="16"/>
    </row>
    <row r="404" customFormat="false" ht="12.75" hidden="false" customHeight="false" outlineLevel="0" collapsed="false">
      <c r="A404" s="9" t="s">
        <v>262</v>
      </c>
      <c r="E404" s="10" t="str">
        <f aca="false">IF(D404="?OLD","!!!","")</f>
        <v/>
      </c>
      <c r="F404" s="11" t="str">
        <f aca="false">IF(OR(E404="",E404="!!!"),"",IF(NOT(ISNA(VLOOKUP(E404,E$1:E403,1,FALSE()))),"OLD",IF(AND(E404&lt;&gt;"",E404&lt;&gt;"!!!"),"NEW","")))</f>
        <v/>
      </c>
      <c r="G404" s="12" t="str">
        <f aca="false">IF(OR(E404="",E404="!!!"),"",IF(OR(J404=0,AND(J404=1,K404=1),AND(J404=1,I404="SBJ"),AND(J404=1,I404=0)),"?IN_FOCUS",IF(J404&lt;=2,"?ACTIVATED",IF(J404&lt;&gt;"","?FAMILIAR",IF(F404="NEW",IF(ISNA(VLOOKUP(E404,#REF!,1,FALSE())),"?TYPE_IDENTIFIABLE","?REFERENTIAL"),"_")))))</f>
        <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75" hidden="false" customHeight="false" outlineLevel="0" collapsed="false">
      <c r="A405" s="9" t="s">
        <v>263</v>
      </c>
      <c r="B405" s="0" t="s">
        <v>75</v>
      </c>
      <c r="C405" s="0" t="s">
        <v>128</v>
      </c>
      <c r="D405" s="0" t="s">
        <v>19</v>
      </c>
      <c r="E405" s="10" t="s">
        <v>215</v>
      </c>
      <c r="F405" s="11" t="str">
        <f aca="false">IF(OR(E405="",E405="!!!"),"",IF(NOT(ISNA(VLOOKUP(E405,E$1:E404,1,FALSE()))),"OLD",IF(AND(E405&lt;&gt;"",E405&lt;&gt;"!!!"),"NEW","")))</f>
        <v>OLD</v>
      </c>
      <c r="G405" s="12" t="s">
        <v>52</v>
      </c>
      <c r="H405" s="13" t="str">
        <f aca="false">IF(J405&lt;&gt;1,"",IF(I405="SBJ","CB","?"))</f>
        <v/>
      </c>
      <c r="I405" s="14" t="str">
        <f aca="false">IF(OR(E405="",E405="!!!",F405="NEW"),"",INDEX(B$2:B404,-1+SUMPRODUCT(MAX(ROW(E$2:E404)*(E405=E$2:E404)))))</f>
        <v>SBJ_2</v>
      </c>
      <c r="J405" s="15" t="n">
        <f aca="true">IF(OR(E405="",E405="!!!",F405="NEW"),"",COUNTBLANK(OFFSET(A$1,,,SUMPRODUCT(MAX(ROW(E$2:E405)*(E405=E$2:E405)))))-COUNTBLANK(OFFSET(A$1,,,SUMPRODUCT(MAX(ROW(E$1:E404)*(E405=E$1:E404))))))</f>
        <v>3</v>
      </c>
      <c r="K405" s="15" t="n">
        <f aca="false">IF(OR(E405="",E405="!!!",F405="NEW"),"",INDEX(J$1:J404,SUMPRODUCT(MAX(ROW(E$1:E404)*(E405=E$1:E404)))))</f>
        <v>0</v>
      </c>
      <c r="L405" s="16"/>
    </row>
    <row r="406" customFormat="false" ht="12.75" hidden="false" customHeight="false" outlineLevel="0" collapsed="false">
      <c r="A406" s="9" t="s">
        <v>264</v>
      </c>
      <c r="B406" s="0" t="s">
        <v>30</v>
      </c>
      <c r="C406" s="0" t="s">
        <v>83</v>
      </c>
      <c r="D406" s="0" t="s">
        <v>19</v>
      </c>
      <c r="E406" s="10" t="s">
        <v>265</v>
      </c>
      <c r="F406" s="11" t="str">
        <f aca="false">IF(OR(E406="",E406="!!!"),"",IF(NOT(ISNA(VLOOKUP(E406,E$1:E405,1,FALSE()))),"OLD",IF(AND(E406&lt;&gt;"",E406&lt;&gt;"!!!"),"NEW","")))</f>
        <v>NEW</v>
      </c>
      <c r="G406" s="12" t="s">
        <v>21</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75" hidden="false" customHeight="false" outlineLevel="0" collapsed="false">
      <c r="A407" s="9" t="s">
        <v>63</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75" hidden="false" customHeight="false" outlineLevel="0" collapsed="false">
      <c r="A408" s="9" t="s">
        <v>266</v>
      </c>
      <c r="B408" s="0" t="s">
        <v>24</v>
      </c>
      <c r="C408" s="0" t="s">
        <v>128</v>
      </c>
      <c r="D408" s="0" t="s">
        <v>19</v>
      </c>
      <c r="E408" s="10" t="s">
        <v>215</v>
      </c>
      <c r="F408" s="11" t="str">
        <f aca="false">IF(OR(E408="",E408="!!!"),"",IF(NOT(ISNA(VLOOKUP(E408,E$1:E407,1,FALSE()))),"OLD",IF(AND(E408&lt;&gt;"",E408&lt;&gt;"!!!"),"NEW","")))</f>
        <v>OLD</v>
      </c>
      <c r="G408" s="12" t="s">
        <v>65</v>
      </c>
      <c r="H408" s="13" t="str">
        <f aca="false">IF(J408&lt;&gt;1,"",IF(I408="SBJ","CB","?"))</f>
        <v/>
      </c>
      <c r="I408" s="14" t="str">
        <f aca="false">IF(OR(E408="",E408="!!!",F408="NEW"),"",INDEX(B$2:B407,-1+SUMPRODUCT(MAX(ROW(E$2:E407)*(E408=E$2:E407)))))</f>
        <v>other_2</v>
      </c>
      <c r="J408" s="15" t="n">
        <f aca="true">IF(OR(E408="",E408="!!!",F408="NEW"),"",COUNTBLANK(OFFSET(A$1,,,SUMPRODUCT(MAX(ROW(E$2:E408)*(E408=E$2:E408)))))-COUNTBLANK(OFFSET(A$1,,,SUMPRODUCT(MAX(ROW(E$1:E407)*(E408=E$1:E407))))))</f>
        <v>0</v>
      </c>
      <c r="K408" s="15" t="n">
        <f aca="false">IF(OR(E408="",E408="!!!",F408="NEW"),"",INDEX(J$1:J407,SUMPRODUCT(MAX(ROW(E$1:E407)*(E408=E$1:E407)))))</f>
        <v>3</v>
      </c>
      <c r="L408" s="16"/>
    </row>
    <row r="409" customFormat="false" ht="12.75" hidden="false" customHeight="false" outlineLevel="0" collapsed="false">
      <c r="A409" s="9" t="s">
        <v>267</v>
      </c>
      <c r="B409" s="0" t="s">
        <v>75</v>
      </c>
      <c r="C409" s="0" t="s">
        <v>83</v>
      </c>
      <c r="D409" s="0" t="s">
        <v>19</v>
      </c>
      <c r="E409" s="10" t="s">
        <v>268</v>
      </c>
      <c r="F409" s="11" t="str">
        <f aca="false">IF(OR(E409="",E409="!!!"),"",IF(NOT(ISNA(VLOOKUP(E409,E$1:E408,1,FALSE()))),"OLD",IF(AND(E409&lt;&gt;"",E409&lt;&gt;"!!!"),"NEW","")))</f>
        <v>NEW</v>
      </c>
      <c r="G409" s="12" t="s">
        <v>21</v>
      </c>
      <c r="H409" s="13" t="str">
        <f aca="false">IF(J409&lt;&gt;1,"",IF(I409="SBJ","CB","?"))</f>
        <v/>
      </c>
      <c r="I409" s="14" t="str">
        <f aca="false">IF(OR(E409="",E409="!!!",F409="NEW"),"",INDEX(B$2:B408,-1+SUMPRODUCT(MAX(ROW(E$2:E408)*(E409=E$2:E408)))))</f>
        <v/>
      </c>
      <c r="J409" s="15" t="str">
        <f aca="true">IF(OR(E409="",E409="!!!",F409="NEW"),"",COUNTBLANK(OFFSET(A$1,,,SUMPRODUCT(MAX(ROW(E$2:E409)*(E409=E$2:E409)))))-COUNTBLANK(OFFSET(A$1,,,SUMPRODUCT(MAX(ROW(E$1:E408)*(E409=E$1:E408))))))</f>
        <v/>
      </c>
      <c r="K409" s="15" t="str">
        <f aca="false">IF(OR(E409="",E409="!!!",F409="NEW"),"",INDEX(J$1:J408,SUMPRODUCT(MAX(ROW(E$1:E408)*(E409=E$1:E408)))))</f>
        <v/>
      </c>
      <c r="L409" s="16"/>
    </row>
    <row r="410" customFormat="false" ht="12.75" hidden="false" customHeight="false" outlineLevel="0" collapsed="false">
      <c r="A410" s="9" t="s">
        <v>253</v>
      </c>
      <c r="E410" s="10" t="str">
        <f aca="false">IF(D410="?OLD","!!!","")</f>
        <v/>
      </c>
      <c r="F410" s="11" t="str">
        <f aca="false">IF(OR(E410="",E410="!!!"),"",IF(NOT(ISNA(VLOOKUP(E410,E$1:E409,1,FALSE()))),"OLD",IF(AND(E410&lt;&gt;"",E410&lt;&gt;"!!!"),"NEW","")))</f>
        <v/>
      </c>
      <c r="G410" s="12" t="str">
        <f aca="false">IF(OR(E410="",E410="!!!"),"",IF(OR(J410=0,AND(J410=1,K410=1),AND(J410=1,I410="SBJ"),AND(J410=1,I410=0)),"?IN_FOCUS",IF(J410&lt;=2,"?ACTIVATED",IF(J410&lt;&gt;"","?FAMILIAR",IF(F410="NEW",IF(ISNA(VLOOKUP(E410,#REF!,1,FALSE())),"?TYPE_IDENTIFIABLE","?REFERENTIAL"),"_")))))</f>
        <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75" hidden="false" customHeight="false" outlineLevel="0" collapsed="false">
      <c r="A411" s="9" t="s">
        <v>269</v>
      </c>
      <c r="E411" s="10" t="str">
        <f aca="false">IF(D411="?OLD","!!!","")</f>
        <v/>
      </c>
      <c r="F411" s="11" t="str">
        <f aca="false">IF(OR(E411="",E411="!!!"),"",IF(NOT(ISNA(VLOOKUP(E411,E$1:E410,1,FALSE()))),"OLD",IF(AND(E411&lt;&gt;"",E411&lt;&gt;"!!!"),"NEW","")))</f>
        <v/>
      </c>
      <c r="G411" s="12" t="str">
        <f aca="false">IF(OR(E411="",E411="!!!"),"",IF(OR(J411=0,AND(J411=1,K411=1),AND(J411=1,I411="SBJ"),AND(J411=1,I411=0)),"?IN_FOCUS",IF(J411&lt;=2,"?ACTIVATED",IF(J411&lt;&gt;"","?FAMILIAR",IF(F411="NEW",IF(ISNA(VLOOKUP(E411,#REF!,1,FALSE())),"?TYPE_IDENTIFIABLE","?REFERENTIAL"),"_")))))</f>
        <v/>
      </c>
      <c r="H411" s="13" t="str">
        <f aca="false">IF(J411&lt;&gt;1,"",IF(I411="SBJ","CB","?"))</f>
        <v/>
      </c>
      <c r="I411" s="14" t="str">
        <f aca="false">IF(OR(E411="",E411="!!!",F411="NEW"),"",INDEX(B$2:B410,-1+SUMPRODUCT(MAX(ROW(E$2:E410)*(E411=E$2:E410)))))</f>
        <v/>
      </c>
      <c r="J411" s="15" t="str">
        <f aca="true">IF(OR(E411="",E411="!!!",F411="NEW"),"",COUNTBLANK(OFFSET(A$1,,,SUMPRODUCT(MAX(ROW(E$2:E411)*(E411=E$2:E411)))))-COUNTBLANK(OFFSET(A$1,,,SUMPRODUCT(MAX(ROW(E$1:E410)*(E411=E$1:E410))))))</f>
        <v/>
      </c>
      <c r="K411" s="15" t="str">
        <f aca="false">IF(OR(E411="",E411="!!!",F411="NEW"),"",INDEX(J$1:J410,SUMPRODUCT(MAX(ROW(E$1:E410)*(E411=E$1:E410)))))</f>
        <v/>
      </c>
      <c r="L411" s="16"/>
    </row>
    <row r="412" customFormat="false" ht="12.75" hidden="false" customHeight="false" outlineLevel="0" collapsed="false">
      <c r="A412" s="9" t="s">
        <v>44</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75" hidden="false" customHeight="false" outlineLevel="0" collapsed="false">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75" hidden="false" customHeight="false" outlineLevel="0" collapsed="false">
      <c r="A414" s="9" t="s">
        <v>270</v>
      </c>
      <c r="E414" s="10" t="str">
        <f aca="false">IF(D414="?OLD","!!!","")</f>
        <v/>
      </c>
      <c r="F414" s="11" t="str">
        <f aca="false">IF(OR(E414="",E414="!!!"),"",IF(NOT(ISNA(VLOOKUP(E414,E$1:E413,1,FALSE()))),"OLD",IF(AND(E414&lt;&gt;"",E414&lt;&gt;"!!!"),"NEW","")))</f>
        <v/>
      </c>
      <c r="G414" s="12" t="str">
        <f aca="false">IF(OR(E414="",E414="!!!"),"",IF(OR(J414=0,AND(J414=1,K414=1),AND(J414=1,I414="SBJ"),AND(J414=1,I414=0)),"?IN_FOCUS",IF(J414&lt;=2,"?ACTIVATED",IF(J414&lt;&gt;"","?FAMILIAR",IF(F414="NEW",IF(ISNA(VLOOKUP(E414,#REF!,1,FALSE())),"?TYPE_IDENTIFIABLE","?REFERENTIAL"),"_")))))</f>
        <v/>
      </c>
      <c r="H414" s="13" t="str">
        <f aca="false">IF(J414&lt;&gt;1,"",IF(I414="SBJ","CB","?"))</f>
        <v/>
      </c>
      <c r="I414" s="14" t="str">
        <f aca="false">IF(OR(E414="",E414="!!!",F414="NEW"),"",INDEX(B$2:B413,-1+SUMPRODUCT(MAX(ROW(E$2:E413)*(E414=E$2:E413)))))</f>
        <v/>
      </c>
      <c r="J414" s="15" t="str">
        <f aca="true">IF(OR(E414="",E414="!!!",F414="NEW"),"",COUNTBLANK(OFFSET(A$1,,,SUMPRODUCT(MAX(ROW(E$2:E414)*(E414=E$2:E414)))))-COUNTBLANK(OFFSET(A$1,,,SUMPRODUCT(MAX(ROW(E$1:E413)*(E414=E$1:E413))))))</f>
        <v/>
      </c>
      <c r="K414" s="15" t="str">
        <f aca="false">IF(OR(E414="",E414="!!!",F414="NEW"),"",INDEX(J$1:J413,SUMPRODUCT(MAX(ROW(E$1:E413)*(E414=E$1:E413)))))</f>
        <v/>
      </c>
      <c r="L414" s="16"/>
    </row>
    <row r="415" customFormat="false" ht="12.75" hidden="false" customHeight="false" outlineLevel="0" collapsed="false">
      <c r="A415" s="9" t="s">
        <v>263</v>
      </c>
      <c r="B415" s="0" t="s">
        <v>75</v>
      </c>
      <c r="C415" s="0" t="s">
        <v>128</v>
      </c>
      <c r="D415" s="0" t="s">
        <v>19</v>
      </c>
      <c r="E415" s="10" t="s">
        <v>215</v>
      </c>
      <c r="F415" s="11" t="str">
        <f aca="false">IF(OR(E415="",E415="!!!"),"",IF(NOT(ISNA(VLOOKUP(E415,E$1:E414,1,FALSE()))),"OLD",IF(AND(E415&lt;&gt;"",E415&lt;&gt;"!!!"),"NEW","")))</f>
        <v>OLD</v>
      </c>
      <c r="G415" s="12" t="s">
        <v>33</v>
      </c>
      <c r="H415" s="13" t="s">
        <v>7</v>
      </c>
      <c r="I415" s="14" t="str">
        <f aca="false">IF(OR(E415="",E415="!!!",F415="NEW"),"",INDEX(B$2:B414,-1+SUMPRODUCT(MAX(ROW(E$2:E414)*(E415=E$2:E414)))))</f>
        <v>other_3</v>
      </c>
      <c r="J415" s="15" t="n">
        <f aca="true">IF(OR(E415="",E415="!!!",F415="NEW"),"",COUNTBLANK(OFFSET(A$1,,,SUMPRODUCT(MAX(ROW(E$2:E415)*(E415=E$2:E415)))))-COUNTBLANK(OFFSET(A$1,,,SUMPRODUCT(MAX(ROW(E$1:E414)*(E415=E$1:E414))))))</f>
        <v>1</v>
      </c>
      <c r="K415" s="15" t="n">
        <f aca="false">IF(OR(E415="",E415="!!!",F415="NEW"),"",INDEX(J$1:J414,SUMPRODUCT(MAX(ROW(E$1:E414)*(E415=E$1:E414)))))</f>
        <v>0</v>
      </c>
      <c r="L415" s="16"/>
    </row>
    <row r="416" customFormat="false" ht="12.75" hidden="false" customHeight="false" outlineLevel="0" collapsed="false">
      <c r="A416" s="9" t="s">
        <v>271</v>
      </c>
      <c r="E416" s="10" t="str">
        <f aca="false">IF(D416="?OLD","!!!","")</f>
        <v/>
      </c>
      <c r="F416" s="11" t="str">
        <f aca="false">IF(OR(E416="",E416="!!!"),"",IF(NOT(ISNA(VLOOKUP(E416,E$1:E415,1,FALSE()))),"OLD",IF(AND(E416&lt;&gt;"",E416&lt;&gt;"!!!"),"NEW","")))</f>
        <v/>
      </c>
      <c r="G416" s="12" t="str">
        <f aca="false">IF(OR(E416="",E416="!!!"),"",IF(OR(J416=0,AND(J416=1,K416=1),AND(J416=1,I416="SBJ"),AND(J416=1,I416=0)),"?IN_FOCUS",IF(J416&lt;=2,"?ACTIVATED",IF(J416&lt;&gt;"","?FAMILIAR",IF(F416="NEW",IF(ISNA(VLOOKUP(E416,#REF!,1,FALSE())),"?TYPE_IDENTIFIABLE","?REFERENTIAL"),"_")))))</f>
        <v/>
      </c>
      <c r="H416" s="13" t="str">
        <f aca="false">IF(J416&lt;&gt;1,"",IF(I416="SBJ","CB","?"))</f>
        <v/>
      </c>
      <c r="I416" s="14" t="str">
        <f aca="false">IF(OR(E416="",E416="!!!",F416="NEW"),"",INDEX(B$2:B415,-1+SUMPRODUCT(MAX(ROW(E$2:E415)*(E416=E$2:E415)))))</f>
        <v/>
      </c>
      <c r="J416" s="15" t="str">
        <f aca="true">IF(OR(E416="",E416="!!!",F416="NEW"),"",COUNTBLANK(OFFSET(A$1,,,SUMPRODUCT(MAX(ROW(E$2:E416)*(E416=E$2:E416)))))-COUNTBLANK(OFFSET(A$1,,,SUMPRODUCT(MAX(ROW(E$1:E415)*(E416=E$1:E415))))))</f>
        <v/>
      </c>
      <c r="K416" s="15" t="str">
        <f aca="false">IF(OR(E416="",E416="!!!",F416="NEW"),"",INDEX(J$1:J415,SUMPRODUCT(MAX(ROW(E$1:E415)*(E416=E$1:E415)))))</f>
        <v/>
      </c>
      <c r="L416" s="16"/>
    </row>
    <row r="417" customFormat="false" ht="12.75" hidden="false" customHeight="false" outlineLevel="0" collapsed="false">
      <c r="A417" s="9" t="s">
        <v>106</v>
      </c>
      <c r="B417" s="0" t="s">
        <v>30</v>
      </c>
      <c r="C417" s="0" t="s">
        <v>83</v>
      </c>
      <c r="D417" s="0" t="s">
        <v>19</v>
      </c>
      <c r="E417" s="10" t="s">
        <v>272</v>
      </c>
      <c r="F417" s="11" t="str">
        <f aca="false">IF(OR(E417="",E417="!!!"),"",IF(NOT(ISNA(VLOOKUP(E417,E$1:E416,1,FALSE()))),"OLD",IF(AND(E417&lt;&gt;"",E417&lt;&gt;"!!!"),"NEW","")))</f>
        <v>NEW</v>
      </c>
      <c r="G417" s="12" t="s">
        <v>21</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75" hidden="false" customHeight="false" outlineLevel="0" collapsed="false">
      <c r="A418" s="9" t="s">
        <v>253</v>
      </c>
      <c r="E418" s="10" t="str">
        <f aca="false">IF(D418="?OLD","!!!","")</f>
        <v/>
      </c>
      <c r="F418" s="11" t="str">
        <f aca="false">IF(OR(E418="",E418="!!!"),"",IF(NOT(ISNA(VLOOKUP(E418,E$1:E417,1,FALSE()))),"OLD",IF(AND(E418&lt;&gt;"",E418&lt;&gt;"!!!"),"NEW","")))</f>
        <v/>
      </c>
      <c r="G418" s="12" t="str">
        <f aca="false">IF(OR(E418="",E418="!!!"),"",IF(OR(J418=0,AND(J418=1,K418=1),AND(J418=1,I418="SBJ"),AND(J418=1,I418=0)),"?IN_FOCUS",IF(J418&lt;=2,"?ACTIVATED",IF(J418&lt;&gt;"","?FAMILIAR",IF(F418="NEW",IF(ISNA(VLOOKUP(E418,#REF!,1,FALSE())),"?TYPE_IDENTIFIABLE","?REFERENTIAL"),"_")))))</f>
        <v/>
      </c>
      <c r="H418" s="13" t="str">
        <f aca="false">IF(J418&lt;&gt;1,"",IF(I418="SBJ","CB","?"))</f>
        <v/>
      </c>
      <c r="I418" s="14" t="str">
        <f aca="false">IF(OR(E418="",E418="!!!",F418="NEW"),"",INDEX(B$2:B417,-1+SUMPRODUCT(MAX(ROW(E$2:E417)*(E418=E$2:E417)))))</f>
        <v/>
      </c>
      <c r="J418" s="15" t="str">
        <f aca="true">IF(OR(E418="",E418="!!!",F418="NEW"),"",COUNTBLANK(OFFSET(A$1,,,SUMPRODUCT(MAX(ROW(E$2:E418)*(E418=E$2:E418)))))-COUNTBLANK(OFFSET(A$1,,,SUMPRODUCT(MAX(ROW(E$1:E417)*(E418=E$1:E417))))))</f>
        <v/>
      </c>
      <c r="K418" s="15" t="str">
        <f aca="false">IF(OR(E418="",E418="!!!",F418="NEW"),"",INDEX(J$1:J417,SUMPRODUCT(MAX(ROW(E$1:E417)*(E418=E$1:E417)))))</f>
        <v/>
      </c>
      <c r="L418" s="16"/>
    </row>
    <row r="419" customFormat="false" ht="12.75" hidden="false" customHeight="false" outlineLevel="0" collapsed="false">
      <c r="A419" s="9" t="s">
        <v>273</v>
      </c>
      <c r="E419" s="10" t="str">
        <f aca="false">IF(D419="?OLD","!!!","")</f>
        <v/>
      </c>
      <c r="F419" s="11" t="str">
        <f aca="false">IF(OR(E419="",E419="!!!"),"",IF(NOT(ISNA(VLOOKUP(E419,E$1:E418,1,FALSE()))),"OLD",IF(AND(E419&lt;&gt;"",E419&lt;&gt;"!!!"),"NEW","")))</f>
        <v/>
      </c>
      <c r="G419" s="12" t="str">
        <f aca="false">IF(OR(E419="",E419="!!!"),"",IF(OR(J419=0,AND(J419=1,K419=1),AND(J419=1,I419="SBJ"),AND(J419=1,I419=0)),"?IN_FOCUS",IF(J419&lt;=2,"?ACTIVATED",IF(J419&lt;&gt;"","?FAMILIAR",IF(F419="NEW",IF(ISNA(VLOOKUP(E419,#REF!,1,FALSE())),"?TYPE_IDENTIFIABLE","?REFERENTIAL"),"_")))))</f>
        <v/>
      </c>
      <c r="H419" s="13" t="str">
        <f aca="false">IF(J419&lt;&gt;1,"",IF(I419="SBJ","CB","?"))</f>
        <v/>
      </c>
      <c r="I419" s="14" t="str">
        <f aca="false">IF(OR(E419="",E419="!!!",F419="NEW"),"",INDEX(B$2:B418,-1+SUMPRODUCT(MAX(ROW(E$2:E418)*(E419=E$2:E418)))))</f>
        <v/>
      </c>
      <c r="J419" s="15" t="str">
        <f aca="true">IF(OR(E419="",E419="!!!",F419="NEW"),"",COUNTBLANK(OFFSET(A$1,,,SUMPRODUCT(MAX(ROW(E$2:E419)*(E419=E$2:E419)))))-COUNTBLANK(OFFSET(A$1,,,SUMPRODUCT(MAX(ROW(E$1:E418)*(E419=E$1:E418))))))</f>
        <v/>
      </c>
      <c r="K419" s="15" t="str">
        <f aca="false">IF(OR(E419="",E419="!!!",F419="NEW"),"",INDEX(J$1:J418,SUMPRODUCT(MAX(ROW(E$1:E418)*(E419=E$1:E418)))))</f>
        <v/>
      </c>
      <c r="L419" s="16"/>
    </row>
    <row r="420" customFormat="false" ht="12.75" hidden="false" customHeight="false" outlineLevel="0" collapsed="false">
      <c r="A420" s="9" t="s">
        <v>274</v>
      </c>
      <c r="B420" s="0" t="s">
        <v>152</v>
      </c>
      <c r="C420" s="0" t="s">
        <v>25</v>
      </c>
      <c r="E420" s="10" t="str">
        <f aca="false">IF(D420="?OLD","!!!","")</f>
        <v/>
      </c>
      <c r="F420" s="11" t="str">
        <f aca="false">IF(OR(E420="",E420="!!!"),"",IF(NOT(ISNA(VLOOKUP(E420,E$1:E419,1,FALSE()))),"OLD",IF(AND(E420&lt;&gt;"",E420&lt;&gt;"!!!"),"NEW","")))</f>
        <v/>
      </c>
      <c r="G420" s="12" t="str">
        <f aca="false">IF(OR(E420="",E420="!!!"),"",IF(OR(J420=0,AND(J420=1,K420=1),AND(J420=1,I420="SBJ"),AND(J420=1,I420=0)),"?IN_FOCUS",IF(J420&lt;=2,"?ACTIVATED",IF(J420&lt;&gt;"","?FAMILIAR",IF(F420="NEW",IF(ISNA(VLOOKUP(E420,#REF!,1,FALSE())),"?TYPE_IDENTIFIABLE","?REFERENTIAL"),"_")))))</f>
        <v/>
      </c>
      <c r="H420" s="13" t="str">
        <f aca="false">IF(J420&lt;&gt;1,"",IF(I420="SBJ","CB","?"))</f>
        <v/>
      </c>
      <c r="I420" s="14" t="str">
        <f aca="false">IF(OR(E420="",E420="!!!",F420="NEW"),"",INDEX(B$2:B419,-1+SUMPRODUCT(MAX(ROW(E$2:E419)*(E420=E$2:E419)))))</f>
        <v/>
      </c>
      <c r="J420" s="15" t="str">
        <f aca="true">IF(OR(E420="",E420="!!!",F420="NEW"),"",COUNTBLANK(OFFSET(A$1,,,SUMPRODUCT(MAX(ROW(E$2:E420)*(E420=E$2:E420)))))-COUNTBLANK(OFFSET(A$1,,,SUMPRODUCT(MAX(ROW(E$1:E419)*(E420=E$1:E419))))))</f>
        <v/>
      </c>
      <c r="K420" s="15" t="str">
        <f aca="false">IF(OR(E420="",E420="!!!",F420="NEW"),"",INDEX(J$1:J419,SUMPRODUCT(MAX(ROW(E$1:E419)*(E420=E$1:E419)))))</f>
        <v/>
      </c>
      <c r="L420" s="16"/>
    </row>
    <row r="421" customFormat="false" ht="12.75" hidden="false" customHeight="false" outlineLevel="0" collapsed="false">
      <c r="A421" s="9" t="s">
        <v>44</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75" hidden="false" customHeight="false" outlineLevel="0" collapsed="false">
      <c r="E422" s="10" t="str">
        <f aca="false">IF(D422="?OLD","!!!","")</f>
        <v/>
      </c>
      <c r="F422" s="11" t="str">
        <f aca="false">IF(OR(E422="",E422="!!!"),"",IF(NOT(ISNA(VLOOKUP(E422,E$1:E421,1,FALSE()))),"OLD",IF(AND(E422&lt;&gt;"",E422&lt;&gt;"!!!"),"NEW","")))</f>
        <v/>
      </c>
      <c r="G422" s="12" t="str">
        <f aca="false">IF(OR(E422="",E422="!!!"),"",IF(OR(J422=0,AND(J422=1,K422=1),AND(J422=1,I422="SBJ"),AND(J422=1,I422=0)),"?IN_FOCUS",IF(J422&lt;=2,"?ACTIVATED",IF(J422&lt;&gt;"","?FAMILIAR",IF(F422="NEW",IF(ISNA(VLOOKUP(E422,#REF!,1,FALSE())),"?TYPE_IDENTIFIABLE","?REFERENTIAL"),"_")))))</f>
        <v/>
      </c>
      <c r="H422" s="13" t="str">
        <f aca="false">IF(J422&lt;&gt;1,"",IF(I422="SBJ","CB","?"))</f>
        <v/>
      </c>
      <c r="I422" s="14" t="str">
        <f aca="false">IF(OR(E422="",E422="!!!",F422="NEW"),"",INDEX(B$2:B421,-1+SUMPRODUCT(MAX(ROW(E$2:E421)*(E422=E$2:E421)))))</f>
        <v/>
      </c>
      <c r="J422" s="15" t="str">
        <f aca="true">IF(OR(E422="",E422="!!!",F422="NEW"),"",COUNTBLANK(OFFSET(A$1,,,SUMPRODUCT(MAX(ROW(E$2:E422)*(E422=E$2:E422)))))-COUNTBLANK(OFFSET(A$1,,,SUMPRODUCT(MAX(ROW(E$1:E421)*(E422=E$1:E421))))))</f>
        <v/>
      </c>
      <c r="K422" s="15" t="str">
        <f aca="false">IF(OR(E422="",E422="!!!",F422="NEW"),"",INDEX(J$1:J421,SUMPRODUCT(MAX(ROW(E$1:E421)*(E422=E$1:E421)))))</f>
        <v/>
      </c>
      <c r="L422" s="16"/>
    </row>
    <row r="423" customFormat="false" ht="12.75" hidden="false" customHeight="false" outlineLevel="0" collapsed="false">
      <c r="A423" s="9" t="s">
        <v>275</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75" hidden="false" customHeight="false" outlineLevel="0" collapsed="false">
      <c r="A424" s="9" t="s">
        <v>263</v>
      </c>
      <c r="B424" s="0" t="s">
        <v>75</v>
      </c>
      <c r="C424" s="0" t="s">
        <v>128</v>
      </c>
      <c r="D424" s="0" t="s">
        <v>19</v>
      </c>
      <c r="E424" s="10" t="s">
        <v>215</v>
      </c>
      <c r="F424" s="11" t="str">
        <f aca="false">IF(OR(E424="",E424="!!!"),"",IF(NOT(ISNA(VLOOKUP(E424,E$1:E423,1,FALSE()))),"OLD",IF(AND(E424&lt;&gt;"",E424&lt;&gt;"!!!"),"NEW","")))</f>
        <v>OLD</v>
      </c>
      <c r="G424" s="12" t="s">
        <v>65</v>
      </c>
      <c r="H424" s="13" t="s">
        <v>7</v>
      </c>
      <c r="I424" s="14" t="str">
        <f aca="false">IF(OR(E424="",E424="!!!",F424="NEW"),"",INDEX(B$2:B423,-1+SUMPRODUCT(MAX(ROW(E$2:E423)*(E424=E$2:E423)))))</f>
        <v>other_2</v>
      </c>
      <c r="J424" s="15" t="n">
        <f aca="true">IF(OR(E424="",E424="!!!",F424="NEW"),"",COUNTBLANK(OFFSET(A$1,,,SUMPRODUCT(MAX(ROW(E$2:E424)*(E424=E$2:E424)))))-COUNTBLANK(OFFSET(A$1,,,SUMPRODUCT(MAX(ROW(E$1:E423)*(E424=E$1:E423))))))</f>
        <v>1</v>
      </c>
      <c r="K424" s="15" t="n">
        <f aca="false">IF(OR(E424="",E424="!!!",F424="NEW"),"",INDEX(J$1:J423,SUMPRODUCT(MAX(ROW(E$1:E423)*(E424=E$1:E423)))))</f>
        <v>1</v>
      </c>
      <c r="L424" s="16"/>
    </row>
    <row r="425" customFormat="false" ht="12.75" hidden="false" customHeight="false" outlineLevel="0" collapsed="false">
      <c r="A425" s="9" t="s">
        <v>276</v>
      </c>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75" hidden="false" customHeight="false" outlineLevel="0" collapsed="false">
      <c r="A426" s="9" t="s">
        <v>106</v>
      </c>
      <c r="B426" s="0" t="s">
        <v>30</v>
      </c>
      <c r="C426" s="0" t="s">
        <v>83</v>
      </c>
      <c r="D426" s="0" t="s">
        <v>19</v>
      </c>
      <c r="E426" s="10" t="s">
        <v>277</v>
      </c>
      <c r="F426" s="11" t="str">
        <f aca="false">IF(OR(E426="",E426="!!!"),"",IF(NOT(ISNA(VLOOKUP(E426,E$1:E425,1,FALSE()))),"OLD",IF(AND(E426&lt;&gt;"",E426&lt;&gt;"!!!"),"NEW","")))</f>
        <v>NEW</v>
      </c>
      <c r="G426" s="12" t="s">
        <v>21</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75" hidden="false" customHeight="false" outlineLevel="0" collapsed="false">
      <c r="A427" s="9" t="s">
        <v>253</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75" hidden="false" customHeight="false" outlineLevel="0" collapsed="false">
      <c r="A428" s="9" t="s">
        <v>278</v>
      </c>
      <c r="E428" s="10" t="str">
        <f aca="false">IF(D428="?OLD","!!!","")</f>
        <v/>
      </c>
      <c r="F428" s="11" t="str">
        <f aca="false">IF(OR(E428="",E428="!!!"),"",IF(NOT(ISNA(VLOOKUP(E428,E$1:E427,1,FALSE()))),"OLD",IF(AND(E428&lt;&gt;"",E428&lt;&gt;"!!!"),"NEW","")))</f>
        <v/>
      </c>
      <c r="G428" s="12" t="str">
        <f aca="false">IF(OR(E428="",E428="!!!"),"",IF(OR(J428=0,AND(J428=1,K428=1),AND(J428=1,I428="SBJ"),AND(J428=1,I428=0)),"?IN_FOCUS",IF(J428&lt;=2,"?ACTIVATED",IF(J428&lt;&gt;"","?FAMILIAR",IF(F428="NEW",IF(ISNA(VLOOKUP(E428,#REF!,1,FALSE())),"?TYPE_IDENTIFIABLE","?REFERENTIAL"),"_")))))</f>
        <v/>
      </c>
      <c r="H428" s="13" t="str">
        <f aca="false">IF(J428&lt;&gt;1,"",IF(I428="SBJ","CB","?"))</f>
        <v/>
      </c>
      <c r="I428" s="14" t="str">
        <f aca="false">IF(OR(E428="",E428="!!!",F428="NEW"),"",INDEX(B$2:B427,-1+SUMPRODUCT(MAX(ROW(E$2:E427)*(E428=E$2:E427)))))</f>
        <v/>
      </c>
      <c r="J428" s="15" t="str">
        <f aca="true">IF(OR(E428="",E428="!!!",F428="NEW"),"",COUNTBLANK(OFFSET(A$1,,,SUMPRODUCT(MAX(ROW(E$2:E428)*(E428=E$2:E428)))))-COUNTBLANK(OFFSET(A$1,,,SUMPRODUCT(MAX(ROW(E$1:E427)*(E428=E$1:E427))))))</f>
        <v/>
      </c>
      <c r="K428" s="15" t="str">
        <f aca="false">IF(OR(E428="",E428="!!!",F428="NEW"),"",INDEX(J$1:J427,SUMPRODUCT(MAX(ROW(E$1:E427)*(E428=E$1:E427)))))</f>
        <v/>
      </c>
      <c r="L428" s="16"/>
    </row>
    <row r="429" customFormat="false" ht="12.75" hidden="false" customHeight="false" outlineLevel="0" collapsed="false">
      <c r="A429" s="9" t="s">
        <v>279</v>
      </c>
      <c r="B429" s="0" t="s">
        <v>152</v>
      </c>
      <c r="C429" s="0" t="s">
        <v>25</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75" hidden="false" customHeight="false" outlineLevel="0" collapsed="false">
      <c r="A430" s="9" t="s">
        <v>44</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75" hidden="false" customHeight="false" outlineLevel="0" collapsed="false">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75" hidden="false" customHeight="false" outlineLevel="0" collapsed="false">
      <c r="A432" s="9" t="s">
        <v>280</v>
      </c>
      <c r="E432" s="10" t="str">
        <f aca="false">IF(D432="?OLD","!!!","")</f>
        <v/>
      </c>
      <c r="F432" s="11" t="str">
        <f aca="false">IF(OR(E432="",E432="!!!"),"",IF(NOT(ISNA(VLOOKUP(E432,E$1:E431,1,FALSE()))),"OLD",IF(AND(E432&lt;&gt;"",E432&lt;&gt;"!!!"),"NEW","")))</f>
        <v/>
      </c>
      <c r="G432" s="12" t="str">
        <f aca="false">IF(OR(E432="",E432="!!!"),"",IF(OR(J432=0,AND(J432=1,K432=1),AND(J432=1,I432="SBJ"),AND(J432=1,I432=0)),"?IN_FOCUS",IF(J432&lt;=2,"?ACTIVATED",IF(J432&lt;&gt;"","?FAMILIAR",IF(F432="NEW",IF(ISNA(VLOOKUP(E432,#REF!,1,FALSE())),"?TYPE_IDENTIFIABLE","?REFERENTIAL"),"_")))))</f>
        <v/>
      </c>
      <c r="H432" s="13" t="str">
        <f aca="false">IF(J432&lt;&gt;1,"",IF(I432="SBJ","CB","?"))</f>
        <v/>
      </c>
      <c r="I432" s="14" t="str">
        <f aca="false">IF(OR(E432="",E432="!!!",F432="NEW"),"",INDEX(B$2:B431,-1+SUMPRODUCT(MAX(ROW(E$2:E431)*(E432=E$2:E431)))))</f>
        <v/>
      </c>
      <c r="J432" s="15" t="str">
        <f aca="true">IF(OR(E432="",E432="!!!",F432="NEW"),"",COUNTBLANK(OFFSET(A$1,,,SUMPRODUCT(MAX(ROW(E$2:E432)*(E432=E$2:E432)))))-COUNTBLANK(OFFSET(A$1,,,SUMPRODUCT(MAX(ROW(E$1:E431)*(E432=E$1:E431))))))</f>
        <v/>
      </c>
      <c r="K432" s="15" t="str">
        <f aca="false">IF(OR(E432="",E432="!!!",F432="NEW"),"",INDEX(J$1:J431,SUMPRODUCT(MAX(ROW(E$1:E431)*(E432=E$1:E431)))))</f>
        <v/>
      </c>
      <c r="L432" s="16"/>
    </row>
    <row r="433" customFormat="false" ht="12.75" hidden="false" customHeight="false" outlineLevel="0" collapsed="false">
      <c r="A433" s="9" t="s">
        <v>281</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75" hidden="false" customHeight="false" outlineLevel="0" collapsed="false">
      <c r="A434" s="9" t="s">
        <v>28</v>
      </c>
      <c r="E434" s="10" t="str">
        <f aca="false">IF(D434="?OLD","!!!","")</f>
        <v/>
      </c>
      <c r="F434" s="11" t="str">
        <f aca="false">IF(OR(E434="",E434="!!!"),"",IF(NOT(ISNA(VLOOKUP(E434,E$1:E433,1,FALSE()))),"OLD",IF(AND(E434&lt;&gt;"",E434&lt;&gt;"!!!"),"NEW","")))</f>
        <v/>
      </c>
      <c r="G434" s="12" t="str">
        <f aca="false">IF(OR(E434="",E434="!!!"),"",IF(OR(J434=0,AND(J434=1,K434=1),AND(J434=1,I434="SBJ"),AND(J434=1,I434=0)),"?IN_FOCUS",IF(J434&lt;=2,"?ACTIVATED",IF(J434&lt;&gt;"","?FAMILIAR",IF(F434="NEW",IF(ISNA(VLOOKUP(E434,#REF!,1,FALSE())),"?TYPE_IDENTIFIABLE","?REFERENTIAL"),"_")))))</f>
        <v/>
      </c>
      <c r="H434" s="13" t="str">
        <f aca="false">IF(J434&lt;&gt;1,"",IF(I434="SBJ","CB","?"))</f>
        <v/>
      </c>
      <c r="I434" s="14" t="str">
        <f aca="false">IF(OR(E434="",E434="!!!",F434="NEW"),"",INDEX(B$2:B433,-1+SUMPRODUCT(MAX(ROW(E$2:E433)*(E434=E$2:E433)))))</f>
        <v/>
      </c>
      <c r="J434" s="15" t="str">
        <f aca="true">IF(OR(E434="",E434="!!!",F434="NEW"),"",COUNTBLANK(OFFSET(A$1,,,SUMPRODUCT(MAX(ROW(E$2:E434)*(E434=E$2:E434)))))-COUNTBLANK(OFFSET(A$1,,,SUMPRODUCT(MAX(ROW(E$1:E433)*(E434=E$1:E433))))))</f>
        <v/>
      </c>
      <c r="K434" s="15" t="str">
        <f aca="false">IF(OR(E434="",E434="!!!",F434="NEW"),"",INDEX(J$1:J433,SUMPRODUCT(MAX(ROW(E$1:E433)*(E434=E$1:E433)))))</f>
        <v/>
      </c>
      <c r="L434" s="16"/>
    </row>
    <row r="435" customFormat="false" ht="12.75" hidden="false" customHeight="false" outlineLevel="0" collapsed="false">
      <c r="A435" s="9" t="s">
        <v>63</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75" hidden="false" customHeight="false" outlineLevel="0" collapsed="false">
      <c r="A436" s="9" t="s">
        <v>81</v>
      </c>
      <c r="E436" s="10" t="str">
        <f aca="false">IF(D436="?OLD","!!!","")</f>
        <v/>
      </c>
      <c r="F436" s="11" t="str">
        <f aca="false">IF(OR(E436="",E436="!!!"),"",IF(NOT(ISNA(VLOOKUP(E436,E$1:E435,1,FALSE()))),"OLD",IF(AND(E436&lt;&gt;"",E436&lt;&gt;"!!!"),"NEW","")))</f>
        <v/>
      </c>
      <c r="G436" s="12" t="str">
        <f aca="false">IF(OR(E436="",E436="!!!"),"",IF(OR(J436=0,AND(J436=1,K436=1),AND(J436=1,I436="SBJ"),AND(J436=1,I436=0)),"?IN_FOCUS",IF(J436&lt;=2,"?ACTIVATED",IF(J436&lt;&gt;"","?FAMILIAR",IF(F436="NEW",IF(ISNA(VLOOKUP(E436,#REF!,1,FALSE())),"?TYPE_IDENTIFIABLE","?REFERENTIAL"),"_")))))</f>
        <v/>
      </c>
      <c r="H436" s="13" t="str">
        <f aca="false">IF(J436&lt;&gt;1,"",IF(I436="SBJ","CB","?"))</f>
        <v/>
      </c>
      <c r="I436" s="14" t="str">
        <f aca="false">IF(OR(E436="",E436="!!!",F436="NEW"),"",INDEX(B$2:B435,-1+SUMPRODUCT(MAX(ROW(E$2:E435)*(E436=E$2:E435)))))</f>
        <v/>
      </c>
      <c r="J436" s="15" t="str">
        <f aca="true">IF(OR(E436="",E436="!!!",F436="NEW"),"",COUNTBLANK(OFFSET(A$1,,,SUMPRODUCT(MAX(ROW(E$2:E436)*(E436=E$2:E436)))))-COUNTBLANK(OFFSET(A$1,,,SUMPRODUCT(MAX(ROW(E$1:E435)*(E436=E$1:E435))))))</f>
        <v/>
      </c>
      <c r="K436" s="15" t="str">
        <f aca="false">IF(OR(E436="",E436="!!!",F436="NEW"),"",INDEX(J$1:J435,SUMPRODUCT(MAX(ROW(E$1:E435)*(E436=E$1:E435)))))</f>
        <v/>
      </c>
      <c r="L436" s="16"/>
    </row>
    <row r="437" customFormat="false" ht="12.75" hidden="false" customHeight="false" outlineLevel="0" collapsed="false">
      <c r="A437" s="9" t="s">
        <v>228</v>
      </c>
      <c r="B437" s="0" t="s">
        <v>75</v>
      </c>
      <c r="C437" s="0" t="s">
        <v>128</v>
      </c>
      <c r="D437" s="0" t="s">
        <v>19</v>
      </c>
      <c r="E437" s="10" t="s">
        <v>187</v>
      </c>
      <c r="F437" s="11" t="str">
        <f aca="false">IF(OR(E437="",E437="!!!"),"",IF(NOT(ISNA(VLOOKUP(E437,E$1:E436,1,FALSE()))),"OLD",IF(AND(E437&lt;&gt;"",E437&lt;&gt;"!!!"),"NEW","")))</f>
        <v>OLD</v>
      </c>
      <c r="G437" s="12" t="s">
        <v>52</v>
      </c>
      <c r="H437" s="13" t="str">
        <f aca="false">IF(J437&lt;&gt;1,"",IF(I437="SBJ","CB","?"))</f>
        <v/>
      </c>
      <c r="I437" s="14" t="str">
        <f aca="false">IF(OR(E437="",E437="!!!",F437="NEW"),"",INDEX(B$2:B436,-1+SUMPRODUCT(MAX(ROW(E$2:E436)*(E437=E$2:E436)))))</f>
        <v>other_4</v>
      </c>
      <c r="J437" s="15" t="n">
        <f aca="true">IF(OR(E437="",E437="!!!",F437="NEW"),"",COUNTBLANK(OFFSET(A$1,,,SUMPRODUCT(MAX(ROW(E$2:E437)*(E437=E$2:E437)))))-COUNTBLANK(OFFSET(A$1,,,SUMPRODUCT(MAX(ROW(E$1:E436)*(E437=E$1:E436))))))</f>
        <v>4</v>
      </c>
      <c r="K437" s="15" t="n">
        <f aca="false">IF(OR(E437="",E437="!!!",F437="NEW"),"",INDEX(J$1:J436,SUMPRODUCT(MAX(ROW(E$1:E436)*(E437=E$1:E436)))))</f>
        <v>0</v>
      </c>
      <c r="L437" s="16"/>
    </row>
    <row r="438" customFormat="false" ht="12.75" hidden="false" customHeight="false" outlineLevel="0" collapsed="false">
      <c r="A438" s="9" t="s">
        <v>282</v>
      </c>
      <c r="B438" s="0" t="s">
        <v>40</v>
      </c>
      <c r="C438" s="0" t="s">
        <v>83</v>
      </c>
      <c r="D438" s="0" t="s">
        <v>19</v>
      </c>
      <c r="E438" s="10" t="s">
        <v>283</v>
      </c>
      <c r="F438" s="11" t="str">
        <f aca="false">IF(OR(E438="",E438="!!!"),"",IF(NOT(ISNA(VLOOKUP(E438,E$1:E437,1,FALSE()))),"OLD",IF(AND(E438&lt;&gt;"",E438&lt;&gt;"!!!"),"NEW","")))</f>
        <v>NEW</v>
      </c>
      <c r="G438" s="12" t="s">
        <v>21</v>
      </c>
      <c r="H438" s="13" t="str">
        <f aca="false">IF(J438&lt;&gt;1,"",IF(I438="SBJ","CB","?"))</f>
        <v/>
      </c>
      <c r="I438" s="14" t="str">
        <f aca="false">IF(OR(E438="",E438="!!!",F438="NEW"),"",INDEX(B$2:B437,-1+SUMPRODUCT(MAX(ROW(E$2:E437)*(E438=E$2:E437)))))</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75" hidden="false" customHeight="false" outlineLevel="0" collapsed="false">
      <c r="A439" s="9" t="s">
        <v>63</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75" hidden="false" customHeight="false" outlineLevel="0" collapsed="false">
      <c r="A440" s="9" t="s">
        <v>81</v>
      </c>
      <c r="E440" s="10" t="str">
        <f aca="false">IF(D440="?OLD","!!!","")</f>
        <v/>
      </c>
      <c r="F440" s="11" t="str">
        <f aca="false">IF(OR(E440="",E440="!!!"),"",IF(NOT(ISNA(VLOOKUP(E440,E$1:E439,1,FALSE()))),"OLD",IF(AND(E440&lt;&gt;"",E440&lt;&gt;"!!!"),"NEW","")))</f>
        <v/>
      </c>
      <c r="G440" s="12" t="str">
        <f aca="false">IF(OR(E440="",E440="!!!"),"",IF(OR(J440=0,AND(J440=1,K440=1),AND(J440=1,I440="SBJ"),AND(J440=1,I440=0)),"?IN_FOCUS",IF(J440&lt;=2,"?ACTIVATED",IF(J440&lt;&gt;"","?FAMILIAR",IF(F440="NEW",IF(ISNA(VLOOKUP(E440,#REF!,1,FALSE())),"?TYPE_IDENTIFIABLE","?REFERENTIAL"),"_")))))</f>
        <v/>
      </c>
      <c r="H440" s="13" t="str">
        <f aca="false">IF(J440&lt;&gt;1,"",IF(I440="SBJ","CB","?"))</f>
        <v/>
      </c>
      <c r="I440" s="14" t="str">
        <f aca="false">IF(OR(E440="",E440="!!!",F440="NEW"),"",INDEX(B$2:B439,-1+SUMPRODUCT(MAX(ROW(E$2:E439)*(E440=E$2:E439)))))</f>
        <v/>
      </c>
      <c r="J440" s="15" t="str">
        <f aca="true">IF(OR(E440="",E440="!!!",F440="NEW"),"",COUNTBLANK(OFFSET(A$1,,,SUMPRODUCT(MAX(ROW(E$2:E440)*(E440=E$2:E440)))))-COUNTBLANK(OFFSET(A$1,,,SUMPRODUCT(MAX(ROW(E$1:E439)*(E440=E$1:E439))))))</f>
        <v/>
      </c>
      <c r="K440" s="15" t="str">
        <f aca="false">IF(OR(E440="",E440="!!!",F440="NEW"),"",INDEX(J$1:J439,SUMPRODUCT(MAX(ROW(E$1:E439)*(E440=E$1:E439)))))</f>
        <v/>
      </c>
      <c r="L440" s="16"/>
    </row>
    <row r="441" customFormat="false" ht="12.75" hidden="false" customHeight="false" outlineLevel="0" collapsed="false">
      <c r="A441" s="9" t="s">
        <v>228</v>
      </c>
      <c r="B441" s="0" t="s">
        <v>24</v>
      </c>
      <c r="C441" s="0" t="s">
        <v>128</v>
      </c>
      <c r="D441" s="0" t="s">
        <v>19</v>
      </c>
      <c r="E441" s="10" t="s">
        <v>187</v>
      </c>
      <c r="F441" s="11" t="str">
        <f aca="false">IF(OR(E441="",E441="!!!"),"",IF(NOT(ISNA(VLOOKUP(E441,E$1:E440,1,FALSE()))),"OLD",IF(AND(E441&lt;&gt;"",E441&lt;&gt;"!!!"),"NEW","")))</f>
        <v>OLD</v>
      </c>
      <c r="G441" s="12" t="s">
        <v>65</v>
      </c>
      <c r="H441" s="13" t="str">
        <f aca="false">IF(J441&lt;&gt;1,"",IF(I441="SBJ","CB","?"))</f>
        <v/>
      </c>
      <c r="I441" s="14" t="str">
        <f aca="false">IF(OR(E441="",E441="!!!",F441="NEW"),"",INDEX(B$2:B440,-1+SUMPRODUCT(MAX(ROW(E$2:E440)*(E441=E$2:E440)))))</f>
        <v>other_2</v>
      </c>
      <c r="J441" s="15" t="n">
        <f aca="true">IF(OR(E441="",E441="!!!",F441="NEW"),"",COUNTBLANK(OFFSET(A$1,,,SUMPRODUCT(MAX(ROW(E$2:E441)*(E441=E$2:E441)))))-COUNTBLANK(OFFSET(A$1,,,SUMPRODUCT(MAX(ROW(E$1:E440)*(E441=E$1:E440))))))</f>
        <v>0</v>
      </c>
      <c r="K441" s="15" t="n">
        <f aca="false">IF(OR(E441="",E441="!!!",F441="NEW"),"",INDEX(J$1:J440,SUMPRODUCT(MAX(ROW(E$1:E440)*(E441=E$1:E440)))))</f>
        <v>4</v>
      </c>
      <c r="L441" s="16"/>
    </row>
    <row r="442" customFormat="false" ht="12.75" hidden="false" customHeight="false" outlineLevel="0" collapsed="false">
      <c r="A442" s="9" t="s">
        <v>284</v>
      </c>
      <c r="B442" s="0" t="s">
        <v>75</v>
      </c>
      <c r="C442" s="0" t="s">
        <v>83</v>
      </c>
      <c r="D442" s="0" t="s">
        <v>19</v>
      </c>
      <c r="E442" s="10" t="s">
        <v>285</v>
      </c>
      <c r="F442" s="11" t="str">
        <f aca="false">IF(OR(E442="",E442="!!!"),"",IF(NOT(ISNA(VLOOKUP(E442,E$1:E441,1,FALSE()))),"OLD",IF(AND(E442&lt;&gt;"",E442&lt;&gt;"!!!"),"NEW","")))</f>
        <v>NEW</v>
      </c>
      <c r="G442" s="12" t="s">
        <v>21</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75" hidden="false" customHeight="false" outlineLevel="0" collapsed="false">
      <c r="A443" s="9" t="s">
        <v>42</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75" hidden="false" customHeight="false" outlineLevel="0" collapsed="false">
      <c r="A444" s="9" t="s">
        <v>286</v>
      </c>
      <c r="E444" s="10" t="str">
        <f aca="false">IF(D444="?OLD","!!!","")</f>
        <v/>
      </c>
      <c r="F444" s="11" t="str">
        <f aca="false">IF(OR(E444="",E444="!!!"),"",IF(NOT(ISNA(VLOOKUP(E444,E$1:E443,1,FALSE()))),"OLD",IF(AND(E444&lt;&gt;"",E444&lt;&gt;"!!!"),"NEW","")))</f>
        <v/>
      </c>
      <c r="G444" s="12" t="str">
        <f aca="false">IF(OR(E444="",E444="!!!"),"",IF(OR(J444=0,AND(J444=1,K444=1),AND(J444=1,I444="SBJ"),AND(J444=1,I444=0)),"?IN_FOCUS",IF(J444&lt;=2,"?ACTIVATED",IF(J444&lt;&gt;"","?FAMILIAR",IF(F444="NEW",IF(ISNA(VLOOKUP(E444,#REF!,1,FALSE())),"?TYPE_IDENTIFIABLE","?REFERENTIAL"),"_")))))</f>
        <v/>
      </c>
      <c r="H444" s="13" t="str">
        <f aca="false">IF(J444&lt;&gt;1,"",IF(I444="SBJ","CB","?"))</f>
        <v/>
      </c>
      <c r="I444" s="14" t="str">
        <f aca="false">IF(OR(E444="",E444="!!!",F444="NEW"),"",INDEX(B$2:B443,-1+SUMPRODUCT(MAX(ROW(E$2:E443)*(E444=E$2:E443)))))</f>
        <v/>
      </c>
      <c r="J444" s="15" t="str">
        <f aca="true">IF(OR(E444="",E444="!!!",F444="NEW"),"",COUNTBLANK(OFFSET(A$1,,,SUMPRODUCT(MAX(ROW(E$2:E444)*(E444=E$2:E444)))))-COUNTBLANK(OFFSET(A$1,,,SUMPRODUCT(MAX(ROW(E$1:E443)*(E444=E$1:E443))))))</f>
        <v/>
      </c>
      <c r="K444" s="15" t="str">
        <f aca="false">IF(OR(E444="",E444="!!!",F444="NEW"),"",INDEX(J$1:J443,SUMPRODUCT(MAX(ROW(E$1:E443)*(E444=E$1:E443)))))</f>
        <v/>
      </c>
      <c r="L444" s="16"/>
    </row>
    <row r="445" customFormat="false" ht="12.75" hidden="false" customHeight="false" outlineLevel="0" collapsed="false">
      <c r="A445" s="9" t="s">
        <v>255</v>
      </c>
      <c r="B445" s="0" t="s">
        <v>75</v>
      </c>
      <c r="C445" s="0" t="s">
        <v>114</v>
      </c>
      <c r="D445" s="0" t="s">
        <v>19</v>
      </c>
      <c r="E445" s="10" t="s">
        <v>287</v>
      </c>
      <c r="F445" s="11" t="str">
        <f aca="false">IF(OR(E445="",E445="!!!"),"",IF(NOT(ISNA(VLOOKUP(E445,E$1:E444,1,FALSE()))),"OLD",IF(AND(E445&lt;&gt;"",E445&lt;&gt;"!!!"),"NEW","")))</f>
        <v>NEW</v>
      </c>
      <c r="G445" s="12" t="s">
        <v>21</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75" hidden="false" customHeight="false" outlineLevel="0" collapsed="false">
      <c r="A446" s="9" t="s">
        <v>28</v>
      </c>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IF(OR(E446="",E446="!!!",F446="NEW"),"",INDEX(B$2:B445,-1+SUMPRODUCT(MAX(ROW(E$2:E445)*(E446=E$2:E445)))))</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75" hidden="false" customHeight="false" outlineLevel="0" collapsed="false">
      <c r="A447" s="9" t="s">
        <v>259</v>
      </c>
      <c r="B447" s="0" t="s">
        <v>30</v>
      </c>
      <c r="C447" s="0" t="s">
        <v>31</v>
      </c>
      <c r="D447" s="0" t="s">
        <v>19</v>
      </c>
      <c r="E447" s="10" t="s">
        <v>187</v>
      </c>
      <c r="F447" s="11" t="str">
        <f aca="false">IF(OR(E447="",E447="!!!"),"",IF(NOT(ISNA(VLOOKUP(E447,E$1:E446,1,FALSE()))),"OLD",IF(AND(E447&lt;&gt;"",E447&lt;&gt;"!!!"),"NEW","")))</f>
        <v>OLD</v>
      </c>
      <c r="G447" s="12" t="s">
        <v>52</v>
      </c>
      <c r="H447" s="13" t="str">
        <f aca="false">IF(J447&lt;&gt;1,"",IF(I447="SBJ","CB","?"))</f>
        <v/>
      </c>
      <c r="I447" s="14" t="str">
        <f aca="false">IF(OR(E447="",E447="!!!",F447="NEW"),"",INDEX(B$2:B446,-1+SUMPRODUCT(MAX(ROW(E$2:E446)*(E447=E$2:E446)))))</f>
        <v>other_3</v>
      </c>
      <c r="J447" s="15" t="n">
        <f aca="true">IF(OR(E447="",E447="!!!",F447="NEW"),"",COUNTBLANK(OFFSET(A$1,,,SUMPRODUCT(MAX(ROW(E$2:E447)*(E447=E$2:E447)))))-COUNTBLANK(OFFSET(A$1,,,SUMPRODUCT(MAX(ROW(E$1:E446)*(E447=E$1:E446))))))</f>
        <v>0</v>
      </c>
      <c r="K447" s="15" t="n">
        <f aca="false">IF(OR(E447="",E447="!!!",F447="NEW"),"",INDEX(J$1:J446,SUMPRODUCT(MAX(ROW(E$1:E446)*(E447=E$1:E446)))))</f>
        <v>0</v>
      </c>
      <c r="L447" s="16"/>
    </row>
    <row r="448" customFormat="false" ht="12.75" hidden="false" customHeight="false" outlineLevel="0" collapsed="false">
      <c r="A448" s="9" t="s">
        <v>253</v>
      </c>
      <c r="E448" s="10" t="str">
        <f aca="false">IF(D448="?OLD","!!!","")</f>
        <v/>
      </c>
      <c r="F448" s="11" t="str">
        <f aca="false">IF(OR(E448="",E448="!!!"),"",IF(NOT(ISNA(VLOOKUP(E448,E$1:E447,1,FALSE()))),"OLD",IF(AND(E448&lt;&gt;"",E448&lt;&gt;"!!!"),"NEW","")))</f>
        <v/>
      </c>
      <c r="G448" s="12" t="str">
        <f aca="false">IF(OR(E448="",E448="!!!"),"",IF(OR(J448=0,AND(J448=1,K448=1),AND(J448=1,I448="SBJ"),AND(J448=1,I448=0)),"?IN_FOCUS",IF(J448&lt;=2,"?ACTIVATED",IF(J448&lt;&gt;"","?FAMILIAR",IF(F448="NEW",IF(ISNA(VLOOKUP(E448,#REF!,1,FALSE())),"?TYPE_IDENTIFIABLE","?REFERENTIAL"),"_")))))</f>
        <v/>
      </c>
      <c r="H448" s="13" t="str">
        <f aca="false">IF(J448&lt;&gt;1,"",IF(I448="SBJ","CB","?"))</f>
        <v/>
      </c>
      <c r="I448" s="14" t="str">
        <f aca="false">IF(OR(E448="",E448="!!!",F448="NEW"),"",INDEX(B$2:B447,-1+SUMPRODUCT(MAX(ROW(E$2:E447)*(E448=E$2:E447)))))</f>
        <v/>
      </c>
      <c r="J448" s="15" t="str">
        <f aca="true">IF(OR(E448="",E448="!!!",F448="NEW"),"",COUNTBLANK(OFFSET(A$1,,,SUMPRODUCT(MAX(ROW(E$2:E448)*(E448=E$2:E448)))))-COUNTBLANK(OFFSET(A$1,,,SUMPRODUCT(MAX(ROW(E$1:E447)*(E448=E$1:E447))))))</f>
        <v/>
      </c>
      <c r="K448" s="15" t="str">
        <f aca="false">IF(OR(E448="",E448="!!!",F448="NEW"),"",INDEX(J$1:J447,SUMPRODUCT(MAX(ROW(E$1:E447)*(E448=E$1:E447)))))</f>
        <v/>
      </c>
      <c r="L448" s="16"/>
    </row>
    <row r="449" customFormat="false" ht="12.75" hidden="false" customHeight="false" outlineLevel="0" collapsed="false">
      <c r="A449" s="9" t="s">
        <v>260</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IF(OR(E449="",E449="!!!",F449="NEW"),"",INDEX(B$2:B448,-1+SUMPRODUCT(MAX(ROW(E$2:E448)*(E449=E$2:E448)))))</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75" hidden="false" customHeight="false" outlineLevel="0" collapsed="false">
      <c r="A450" s="9" t="s">
        <v>213</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75" hidden="false" customHeight="false" outlineLevel="0" collapsed="false">
      <c r="A451" s="9" t="s">
        <v>228</v>
      </c>
      <c r="B451" s="0" t="s">
        <v>75</v>
      </c>
      <c r="C451" s="0" t="s">
        <v>128</v>
      </c>
      <c r="D451" s="0" t="s">
        <v>19</v>
      </c>
      <c r="E451" s="10" t="s">
        <v>187</v>
      </c>
      <c r="F451" s="11" t="str">
        <f aca="false">IF(OR(E451="",E451="!!!"),"",IF(NOT(ISNA(VLOOKUP(E451,E$1:E450,1,FALSE()))),"OLD",IF(AND(E451&lt;&gt;"",E451&lt;&gt;"!!!"),"NEW","")))</f>
        <v>OLD</v>
      </c>
      <c r="G451" s="12" t="s">
        <v>65</v>
      </c>
      <c r="H451" s="13" t="str">
        <f aca="false">IF(J451&lt;&gt;1,"",IF(I451="SBJ","CB","?"))</f>
        <v/>
      </c>
      <c r="I451" s="14" t="str">
        <f aca="false">IF(OR(E451="",E451="!!!",F451="NEW"),"",INDEX(B$2:B450,-1+SUMPRODUCT(MAX(ROW(E$2:E450)*(E451=E$2:E450)))))</f>
        <v>SBJ</v>
      </c>
      <c r="J451" s="15" t="n">
        <f aca="true">IF(OR(E451="",E451="!!!",F451="NEW"),"",COUNTBLANK(OFFSET(A$1,,,SUMPRODUCT(MAX(ROW(E$2:E451)*(E451=E$2:E451)))))-COUNTBLANK(OFFSET(A$1,,,SUMPRODUCT(MAX(ROW(E$1:E450)*(E451=E$1:E450))))))</f>
        <v>0</v>
      </c>
      <c r="K451" s="15" t="n">
        <f aca="false">IF(OR(E451="",E451="!!!",F451="NEW"),"",INDEX(J$1:J450,SUMPRODUCT(MAX(ROW(E$1:E450)*(E451=E$1:E450)))))</f>
        <v>0</v>
      </c>
      <c r="L451" s="16"/>
    </row>
    <row r="452" customFormat="false" ht="12.75" hidden="false" customHeight="false" outlineLevel="0" collapsed="false">
      <c r="A452" s="9" t="s">
        <v>88</v>
      </c>
      <c r="B452" s="0" t="s">
        <v>152</v>
      </c>
      <c r="C452" s="0" t="s">
        <v>83</v>
      </c>
      <c r="D452" s="0" t="s">
        <v>19</v>
      </c>
      <c r="E452" s="10" t="s">
        <v>89</v>
      </c>
      <c r="F452" s="11" t="str">
        <f aca="false">IF(OR(E452="",E452="!!!"),"",IF(NOT(ISNA(VLOOKUP(E452,E$1:E451,1,FALSE()))),"OLD",IF(AND(E452&lt;&gt;"",E452&lt;&gt;"!!!"),"NEW","")))</f>
        <v>OLD</v>
      </c>
      <c r="G452" s="12" t="s">
        <v>52</v>
      </c>
      <c r="H452" s="13" t="str">
        <f aca="false">IF(J452&lt;&gt;1,"",IF(I452="SBJ","CB","?"))</f>
        <v/>
      </c>
      <c r="I452" s="14" t="str">
        <f aca="false">IF(OR(E452="",E452="!!!",F452="NEW"),"",INDEX(B$2:B451,-1+SUMPRODUCT(MAX(ROW(E$2:E451)*(E452=E$2:E451)))))</f>
        <v>OBJ_3</v>
      </c>
      <c r="J452" s="15" t="n">
        <f aca="true">IF(OR(E452="",E452="!!!",F452="NEW"),"",COUNTBLANK(OFFSET(A$1,,,SUMPRODUCT(MAX(ROW(E$2:E452)*(E452=E$2:E452)))))-COUNTBLANK(OFFSET(A$1,,,SUMPRODUCT(MAX(ROW(E$1:E451)*(E452=E$1:E451))))))</f>
        <v>4</v>
      </c>
      <c r="K452" s="15" t="n">
        <f aca="false">IF(OR(E452="",E452="!!!",F452="NEW"),"",INDEX(J$1:J451,SUMPRODUCT(MAX(ROW(E$1:E451)*(E452=E$1:E451)))))</f>
        <v>11</v>
      </c>
      <c r="L452" s="16"/>
    </row>
    <row r="453" customFormat="false" ht="12.75" hidden="false" customHeight="false" outlineLevel="0" collapsed="false">
      <c r="A453" s="9" t="s">
        <v>28</v>
      </c>
      <c r="E453" s="10" t="str">
        <f aca="false">IF(D453="?OLD","!!!","")</f>
        <v/>
      </c>
      <c r="F453" s="11" t="str">
        <f aca="false">IF(OR(E453="",E453="!!!"),"",IF(NOT(ISNA(VLOOKUP(E453,E$1:E452,1,FALSE()))),"OLD",IF(AND(E453&lt;&gt;"",E453&lt;&gt;"!!!"),"NEW","")))</f>
        <v/>
      </c>
      <c r="G453" s="12" t="str">
        <f aca="false">IF(OR(E453="",E453="!!!"),"",IF(OR(J453=0,AND(J453=1,K453=1),AND(J453=1,I453="SBJ"),AND(J453=1,I453=0)),"?IN_FOCUS",IF(J453&lt;=2,"?ACTIVATED",IF(J453&lt;&gt;"","?FAMILIAR",IF(F453="NEW",IF(ISNA(VLOOKUP(E453,#REF!,1,FALSE())),"?TYPE_IDENTIFIABLE","?REFERENTIAL"),"_")))))</f>
        <v/>
      </c>
      <c r="H453" s="13" t="str">
        <f aca="false">IF(J453&lt;&gt;1,"",IF(I453="SBJ","CB","?"))</f>
        <v/>
      </c>
      <c r="I453" s="14" t="str">
        <f aca="false">IF(OR(E453="",E453="!!!",F453="NEW"),"",INDEX(B$2:B452,-1+SUMPRODUCT(MAX(ROW(E$2:E452)*(E453=E$2:E452)))))</f>
        <v/>
      </c>
      <c r="J453" s="15" t="str">
        <f aca="true">IF(OR(E453="",E453="!!!",F453="NEW"),"",COUNTBLANK(OFFSET(A$1,,,SUMPRODUCT(MAX(ROW(E$2:E453)*(E453=E$2:E453)))))-COUNTBLANK(OFFSET(A$1,,,SUMPRODUCT(MAX(ROW(E$1:E452)*(E453=E$1:E452))))))</f>
        <v/>
      </c>
      <c r="K453" s="15" t="str">
        <f aca="false">IF(OR(E453="",E453="!!!",F453="NEW"),"",INDEX(J$1:J452,SUMPRODUCT(MAX(ROW(E$1:E452)*(E453=E$1:E452)))))</f>
        <v/>
      </c>
      <c r="L453" s="16"/>
    </row>
    <row r="454" customFormat="false" ht="12.75" hidden="false" customHeight="false" outlineLevel="0" collapsed="false">
      <c r="A454" s="9" t="s">
        <v>63</v>
      </c>
      <c r="E454" s="10" t="str">
        <f aca="false">IF(D454="?OLD","!!!","")</f>
        <v/>
      </c>
      <c r="F454" s="11" t="str">
        <f aca="false">IF(OR(E454="",E454="!!!"),"",IF(NOT(ISNA(VLOOKUP(E454,E$1:E453,1,FALSE()))),"OLD",IF(AND(E454&lt;&gt;"",E454&lt;&gt;"!!!"),"NEW","")))</f>
        <v/>
      </c>
      <c r="G454" s="12" t="str">
        <f aca="false">IF(OR(E454="",E454="!!!"),"",IF(OR(J454=0,AND(J454=1,K454=1),AND(J454=1,I454="SBJ"),AND(J454=1,I454=0)),"?IN_FOCUS",IF(J454&lt;=2,"?ACTIVATED",IF(J454&lt;&gt;"","?FAMILIAR",IF(F454="NEW",IF(ISNA(VLOOKUP(E454,#REF!,1,FALSE())),"?TYPE_IDENTIFIABLE","?REFERENTIAL"),"_")))))</f>
        <v/>
      </c>
      <c r="H454" s="13" t="str">
        <f aca="false">IF(J454&lt;&gt;1,"",IF(I454="SBJ","CB","?"))</f>
        <v/>
      </c>
      <c r="I454" s="14" t="str">
        <f aca="false">IF(OR(E454="",E454="!!!",F454="NEW"),"",INDEX(B$2:B453,-1+SUMPRODUCT(MAX(ROW(E$2:E453)*(E454=E$2:E453)))))</f>
        <v/>
      </c>
      <c r="J454" s="15" t="str">
        <f aca="true">IF(OR(E454="",E454="!!!",F454="NEW"),"",COUNTBLANK(OFFSET(A$1,,,SUMPRODUCT(MAX(ROW(E$2:E454)*(E454=E$2:E454)))))-COUNTBLANK(OFFSET(A$1,,,SUMPRODUCT(MAX(ROW(E$1:E453)*(E454=E$1:E453))))))</f>
        <v/>
      </c>
      <c r="K454" s="15" t="str">
        <f aca="false">IF(OR(E454="",E454="!!!",F454="NEW"),"",INDEX(J$1:J453,SUMPRODUCT(MAX(ROW(E$1:E453)*(E454=E$1:E453)))))</f>
        <v/>
      </c>
      <c r="L454" s="16"/>
    </row>
    <row r="455" customFormat="false" ht="12.75" hidden="false" customHeight="false" outlineLevel="0" collapsed="false">
      <c r="A455" s="9" t="s">
        <v>29</v>
      </c>
      <c r="B455" s="0" t="s">
        <v>17</v>
      </c>
      <c r="C455" s="0" t="s">
        <v>31</v>
      </c>
      <c r="D455" s="0" t="s">
        <v>19</v>
      </c>
      <c r="E455" s="10" t="s">
        <v>288</v>
      </c>
      <c r="F455" s="11" t="str">
        <f aca="false">IF(OR(E455="",E455="!!!"),"",IF(NOT(ISNA(VLOOKUP(E455,E$1:E454,1,FALSE()))),"OLD",IF(AND(E455&lt;&gt;"",E455&lt;&gt;"!!!"),"NEW","")))</f>
        <v>NEW</v>
      </c>
      <c r="G455" s="12" t="s">
        <v>21</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75" hidden="false" customHeight="false" outlineLevel="0" collapsed="false">
      <c r="A456" s="9" t="s">
        <v>253</v>
      </c>
      <c r="E456" s="10" t="str">
        <f aca="false">IF(D456="?OLD","!!!","")</f>
        <v/>
      </c>
      <c r="F456" s="11" t="str">
        <f aca="false">IF(OR(E456="",E456="!!!"),"",IF(NOT(ISNA(VLOOKUP(E456,E$1:E455,1,FALSE()))),"OLD",IF(AND(E456&lt;&gt;"",E456&lt;&gt;"!!!"),"NEW","")))</f>
        <v/>
      </c>
      <c r="G456" s="12" t="str">
        <f aca="false">IF(OR(E456="",E456="!!!"),"",IF(OR(J456=0,AND(J456=1,K456=1),AND(J456=1,I456="SBJ"),AND(J456=1,I456=0)),"?IN_FOCUS",IF(J456&lt;=2,"?ACTIVATED",IF(J456&lt;&gt;"","?FAMILIAR",IF(F456="NEW",IF(ISNA(VLOOKUP(E456,#REF!,1,FALSE())),"?TYPE_IDENTIFIABLE","?REFERENTIAL"),"_")))))</f>
        <v/>
      </c>
      <c r="H456" s="13" t="str">
        <f aca="false">IF(J456&lt;&gt;1,"",IF(I456="SBJ","CB","?"))</f>
        <v/>
      </c>
      <c r="I456" s="14" t="str">
        <f aca="false">IF(OR(E456="",E456="!!!",F456="NEW"),"",INDEX(B$2:B455,-1+SUMPRODUCT(MAX(ROW(E$2:E455)*(E456=E$2:E455)))))</f>
        <v/>
      </c>
      <c r="J456" s="15" t="str">
        <f aca="true">IF(OR(E456="",E456="!!!",F456="NEW"),"",COUNTBLANK(OFFSET(A$1,,,SUMPRODUCT(MAX(ROW(E$2:E456)*(E456=E$2:E456)))))-COUNTBLANK(OFFSET(A$1,,,SUMPRODUCT(MAX(ROW(E$1:E455)*(E456=E$1:E455))))))</f>
        <v/>
      </c>
      <c r="K456" s="15" t="str">
        <f aca="false">IF(OR(E456="",E456="!!!",F456="NEW"),"",INDEX(J$1:J455,SUMPRODUCT(MAX(ROW(E$1:E455)*(E456=E$1:E455)))))</f>
        <v/>
      </c>
      <c r="L456" s="16"/>
    </row>
    <row r="457" customFormat="false" ht="12.75" hidden="false" customHeight="false" outlineLevel="0" collapsed="false">
      <c r="A457" s="9" t="s">
        <v>269</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75" hidden="false" customHeight="false" outlineLevel="0" collapsed="false">
      <c r="A458" s="9" t="s">
        <v>44</v>
      </c>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75" hidden="false" customHeight="false" outlineLevel="0" collapsed="false">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75" hidden="false" customHeight="false" outlineLevel="0" collapsed="false">
      <c r="A460" s="9" t="s">
        <v>289</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75" hidden="false" customHeight="false" outlineLevel="0" collapsed="false">
      <c r="A461" s="9" t="s">
        <v>259</v>
      </c>
      <c r="B461" s="0" t="s">
        <v>30</v>
      </c>
      <c r="C461" s="0" t="s">
        <v>31</v>
      </c>
      <c r="D461" s="0" t="s">
        <v>19</v>
      </c>
      <c r="E461" s="10" t="s">
        <v>187</v>
      </c>
      <c r="F461" s="11" t="str">
        <f aca="false">IF(OR(E461="",E461="!!!"),"",IF(NOT(ISNA(VLOOKUP(E461,E$1:E460,1,FALSE()))),"OLD",IF(AND(E461&lt;&gt;"",E461&lt;&gt;"!!!"),"NEW","")))</f>
        <v>OLD</v>
      </c>
      <c r="G461" s="12" t="s">
        <v>33</v>
      </c>
      <c r="H461" s="13" t="s">
        <v>7</v>
      </c>
      <c r="I461" s="14" t="str">
        <f aca="false">IF(OR(E461="",E461="!!!",F461="NEW"),"",INDEX(B$2:B460,-1+SUMPRODUCT(MAX(ROW(E$2:E460)*(E461=E$2:E460)))))</f>
        <v>other_2</v>
      </c>
      <c r="J461" s="15" t="n">
        <f aca="true">IF(OR(E461="",E461="!!!",F461="NEW"),"",COUNTBLANK(OFFSET(A$1,,,SUMPRODUCT(MAX(ROW(E$2:E461)*(E461=E$2:E461)))))-COUNTBLANK(OFFSET(A$1,,,SUMPRODUCT(MAX(ROW(E$1:E460)*(E461=E$1:E460))))))</f>
        <v>1</v>
      </c>
      <c r="K461" s="15" t="n">
        <f aca="false">IF(OR(E461="",E461="!!!",F461="NEW"),"",INDEX(J$1:J460,SUMPRODUCT(MAX(ROW(E$1:E460)*(E461=E$1:E460)))))</f>
        <v>0</v>
      </c>
      <c r="L461" s="16"/>
    </row>
    <row r="462" customFormat="false" ht="12.75" hidden="false" customHeight="false" outlineLevel="0" collapsed="false">
      <c r="A462" s="9" t="s">
        <v>253</v>
      </c>
      <c r="E462" s="10" t="str">
        <f aca="false">IF(D462="?OLD","!!!","")</f>
        <v/>
      </c>
      <c r="F462" s="11" t="str">
        <f aca="false">IF(OR(E462="",E462="!!!"),"",IF(NOT(ISNA(VLOOKUP(E462,E$1:E461,1,FALSE()))),"OLD",IF(AND(E462&lt;&gt;"",E462&lt;&gt;"!!!"),"NEW","")))</f>
        <v/>
      </c>
      <c r="G462" s="12" t="str">
        <f aca="false">IF(OR(E462="",E462="!!!"),"",IF(OR(J462=0,AND(J462=1,K462=1),AND(J462=1,I462="SBJ"),AND(J462=1,I462=0)),"?IN_FOCUS",IF(J462&lt;=2,"?ACTIVATED",IF(J462&lt;&gt;"","?FAMILIAR",IF(F462="NEW",IF(ISNA(VLOOKUP(E462,#REF!,1,FALSE())),"?TYPE_IDENTIFIABLE","?REFERENTIAL"),"_")))))</f>
        <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75" hidden="false" customHeight="false" outlineLevel="0" collapsed="false">
      <c r="A463" s="9" t="s">
        <v>290</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75" hidden="false" customHeight="false" outlineLevel="0" collapsed="false">
      <c r="A464" s="9" t="s">
        <v>291</v>
      </c>
      <c r="B464" s="0" t="s">
        <v>152</v>
      </c>
      <c r="C464" s="0" t="s">
        <v>25</v>
      </c>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75" hidden="false" customHeight="false" outlineLevel="0" collapsed="false">
      <c r="A465" s="9" t="s">
        <v>42</v>
      </c>
      <c r="E465" s="10" t="str">
        <f aca="false">IF(D465="?OLD","!!!","")</f>
        <v/>
      </c>
      <c r="F465" s="11" t="str">
        <f aca="false">IF(OR(E465="",E465="!!!"),"",IF(NOT(ISNA(VLOOKUP(E465,E$1:E464,1,FALSE()))),"OLD",IF(AND(E465&lt;&gt;"",E465&lt;&gt;"!!!"),"NEW","")))</f>
        <v/>
      </c>
      <c r="G465" s="12" t="str">
        <f aca="false">IF(OR(E465="",E465="!!!"),"",IF(OR(J465=0,AND(J465=1,K465=1),AND(J465=1,I465="SBJ"),AND(J465=1,I465=0)),"?IN_FOCUS",IF(J465&lt;=2,"?ACTIVATED",IF(J465&lt;&gt;"","?FAMILIAR",IF(F465="NEW",IF(ISNA(VLOOKUP(E465,#REF!,1,FALSE())),"?TYPE_IDENTIFIABLE","?REFERENTIAL"),"_")))))</f>
        <v/>
      </c>
      <c r="H465" s="13" t="str">
        <f aca="false">IF(J465&lt;&gt;1,"",IF(I465="SBJ","CB","?"))</f>
        <v/>
      </c>
      <c r="I465" s="14" t="str">
        <f aca="false">IF(OR(E465="",E465="!!!",F465="NEW"),"",INDEX(B$2:B464,-1+SUMPRODUCT(MAX(ROW(E$2:E464)*(E465=E$2:E464)))))</f>
        <v/>
      </c>
      <c r="J465" s="15" t="str">
        <f aca="true">IF(OR(E465="",E465="!!!",F465="NEW"),"",COUNTBLANK(OFFSET(A$1,,,SUMPRODUCT(MAX(ROW(E$2:E465)*(E465=E$2:E465)))))-COUNTBLANK(OFFSET(A$1,,,SUMPRODUCT(MAX(ROW(E$1:E464)*(E465=E$1:E464))))))</f>
        <v/>
      </c>
      <c r="K465" s="15" t="str">
        <f aca="false">IF(OR(E465="",E465="!!!",F465="NEW"),"",INDEX(J$1:J464,SUMPRODUCT(MAX(ROW(E$1:E464)*(E465=E$1:E464)))))</f>
        <v/>
      </c>
      <c r="L465" s="16"/>
    </row>
    <row r="466" customFormat="false" ht="12.75" hidden="false" customHeight="false" outlineLevel="0" collapsed="false">
      <c r="A466" s="9" t="s">
        <v>15</v>
      </c>
      <c r="E466" s="10" t="str">
        <f aca="false">IF(D466="?OLD","!!!","")</f>
        <v/>
      </c>
      <c r="F466" s="11" t="str">
        <f aca="false">IF(OR(E466="",E466="!!!"),"",IF(NOT(ISNA(VLOOKUP(E466,E$1:E465,1,FALSE()))),"OLD",IF(AND(E466&lt;&gt;"",E466&lt;&gt;"!!!"),"NEW","")))</f>
        <v/>
      </c>
      <c r="G466" s="12" t="str">
        <f aca="false">IF(OR(E466="",E466="!!!"),"",IF(OR(J466=0,AND(J466=1,K466=1),AND(J466=1,I466="SBJ"),AND(J466=1,I466=0)),"?IN_FOCUS",IF(J466&lt;=2,"?ACTIVATED",IF(J466&lt;&gt;"","?FAMILIAR",IF(F466="NEW",IF(ISNA(VLOOKUP(E466,#REF!,1,FALSE())),"?TYPE_IDENTIFIABLE","?REFERENTIAL"),"_")))))</f>
        <v/>
      </c>
      <c r="H466" s="13" t="str">
        <f aca="false">IF(J466&lt;&gt;1,"",IF(I466="SBJ","CB","?"))</f>
        <v/>
      </c>
      <c r="I466" s="14" t="str">
        <f aca="false">IF(OR(E466="",E466="!!!",F466="NEW"),"",INDEX(B$2:B465,-1+SUMPRODUCT(MAX(ROW(E$2:E465)*(E466=E$2:E465)))))</f>
        <v/>
      </c>
      <c r="J466" s="15" t="str">
        <f aca="true">IF(OR(E466="",E466="!!!",F466="NEW"),"",COUNTBLANK(OFFSET(A$1,,,SUMPRODUCT(MAX(ROW(E$2:E466)*(E466=E$2:E466)))))-COUNTBLANK(OFFSET(A$1,,,SUMPRODUCT(MAX(ROW(E$1:E465)*(E466=E$1:E465))))))</f>
        <v/>
      </c>
      <c r="K466" s="15" t="str">
        <f aca="false">IF(OR(E466="",E466="!!!",F466="NEW"),"",INDEX(J$1:J465,SUMPRODUCT(MAX(ROW(E$1:E465)*(E466=E$1:E465)))))</f>
        <v/>
      </c>
      <c r="L466" s="16"/>
    </row>
    <row r="467" customFormat="false" ht="12.75" hidden="false" customHeight="false" outlineLevel="0" collapsed="false">
      <c r="A467" s="9" t="s">
        <v>50</v>
      </c>
      <c r="B467" s="0" t="s">
        <v>40</v>
      </c>
      <c r="C467" s="0" t="s">
        <v>18</v>
      </c>
      <c r="D467" s="0" t="s">
        <v>19</v>
      </c>
      <c r="E467" s="10" t="s">
        <v>51</v>
      </c>
      <c r="F467" s="11" t="str">
        <f aca="false">IF(OR(E467="",E467="!!!"),"",IF(NOT(ISNA(VLOOKUP(E467,E$1:E466,1,FALSE()))),"OLD",IF(AND(E467&lt;&gt;"",E467&lt;&gt;"!!!"),"NEW","")))</f>
        <v>OLD</v>
      </c>
      <c r="G467" s="12" t="s">
        <v>52</v>
      </c>
      <c r="H467" s="13" t="str">
        <f aca="false">IF(J467&lt;&gt;1,"",IF(I467="SBJ","CB","?"))</f>
        <v/>
      </c>
      <c r="I467" s="14" t="str">
        <f aca="false">IF(OR(E467="",E467="!!!",F467="NEW"),"",INDEX(B$2:B466,-1+SUMPRODUCT(MAX(ROW(E$2:E466)*(E467=E$2:E466)))))</f>
        <v>other_2</v>
      </c>
      <c r="J467" s="15" t="n">
        <f aca="true">IF(OR(E467="",E467="!!!",F467="NEW"),"",COUNTBLANK(OFFSET(A$1,,,SUMPRODUCT(MAX(ROW(E$2:E467)*(E467=E$2:E467)))))-COUNTBLANK(OFFSET(A$1,,,SUMPRODUCT(MAX(ROW(E$1:E466)*(E467=E$1:E466))))))</f>
        <v>15</v>
      </c>
      <c r="K467" s="15" t="n">
        <f aca="false">IF(OR(E467="",E467="!!!",F467="NEW"),"",INDEX(J$1:J466,SUMPRODUCT(MAX(ROW(E$1:E466)*(E467=E$1:E466)))))</f>
        <v>3</v>
      </c>
      <c r="L467" s="16"/>
    </row>
    <row r="468" customFormat="false" ht="12.75" hidden="false" customHeight="false" outlineLevel="0" collapsed="false">
      <c r="A468" s="9" t="s">
        <v>292</v>
      </c>
      <c r="E468" s="10" t="str">
        <f aca="false">IF(D468="?OLD","!!!","")</f>
        <v/>
      </c>
      <c r="F468" s="11" t="str">
        <f aca="false">IF(OR(E468="",E468="!!!"),"",IF(NOT(ISNA(VLOOKUP(E468,E$1:E467,1,FALSE()))),"OLD",IF(AND(E468&lt;&gt;"",E468&lt;&gt;"!!!"),"NEW","")))</f>
        <v/>
      </c>
      <c r="G468" s="12" t="str">
        <f aca="false">IF(OR(E468="",E468="!!!"),"",IF(OR(J468=0,AND(J468=1,K468=1),AND(J468=1,I468="SBJ"),AND(J468=1,I468=0)),"?IN_FOCUS",IF(J468&lt;=2,"?ACTIVATED",IF(J468&lt;&gt;"","?FAMILIAR",IF(F468="NEW",IF(ISNA(VLOOKUP(E468,#REF!,1,FALSE())),"?TYPE_IDENTIFIABLE","?REFERENTIAL"),"_")))))</f>
        <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row>
    <row r="469" customFormat="false" ht="12.75" hidden="false" customHeight="false" outlineLevel="0" collapsed="false">
      <c r="A469" s="9" t="s">
        <v>28</v>
      </c>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75" hidden="false" customHeight="false" outlineLevel="0" collapsed="false">
      <c r="A470" s="9" t="s">
        <v>63</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75" hidden="false" customHeight="false" outlineLevel="0" collapsed="false">
      <c r="A471" s="9" t="s">
        <v>293</v>
      </c>
      <c r="B471" s="0" t="s">
        <v>40</v>
      </c>
      <c r="C471" s="0" t="s">
        <v>25</v>
      </c>
      <c r="E471" s="10" t="str">
        <f aca="false">IF(D471="?OLD","!!!","")</f>
        <v/>
      </c>
      <c r="F471" s="11" t="str">
        <f aca="false">IF(OR(E471="",E471="!!!"),"",IF(NOT(ISNA(VLOOKUP(E471,E$1:E470,1,FALSE()))),"OLD",IF(AND(E471&lt;&gt;"",E471&lt;&gt;"!!!"),"NEW","")))</f>
        <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75" hidden="false" customHeight="false" outlineLevel="0" collapsed="false">
      <c r="A472" s="9" t="s">
        <v>81</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75" hidden="false" customHeight="false" outlineLevel="0" collapsed="false">
      <c r="A473" s="9" t="s">
        <v>15</v>
      </c>
      <c r="E473" s="10" t="str">
        <f aca="false">IF(D473="?OLD","!!!","")</f>
        <v/>
      </c>
      <c r="F473" s="11" t="str">
        <f aca="false">IF(OR(E473="",E473="!!!"),"",IF(NOT(ISNA(VLOOKUP(E473,E$1:E472,1,FALSE()))),"OLD",IF(AND(E473&lt;&gt;"",E473&lt;&gt;"!!!"),"NEW","")))</f>
        <v/>
      </c>
      <c r="G473" s="12" t="str">
        <f aca="false">IF(OR(E473="",E473="!!!"),"",IF(OR(J473=0,AND(J473=1,K473=1),AND(J473=1,I473="SBJ"),AND(J473=1,I473=0)),"?IN_FOCUS",IF(J473&lt;=2,"?ACTIVATED",IF(J473&lt;&gt;"","?FAMILIAR",IF(F473="NEW",IF(ISNA(VLOOKUP(E473,#REF!,1,FALSE())),"?TYPE_IDENTIFIABLE","?REFERENTIAL"),"_")))))</f>
        <v/>
      </c>
      <c r="H473" s="13" t="str">
        <f aca="false">IF(J473&lt;&gt;1,"",IF(I473="SBJ","CB","?"))</f>
        <v/>
      </c>
      <c r="I473" s="14" t="str">
        <f aca="false">IF(OR(E473="",E473="!!!",F473="NEW"),"",INDEX(B$2:B472,-1+SUMPRODUCT(MAX(ROW(E$2:E472)*(E473=E$2:E472)))))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75" hidden="false" customHeight="false" outlineLevel="0" collapsed="false">
      <c r="A474" s="9" t="s">
        <v>294</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75" hidden="false" customHeight="false" outlineLevel="0" collapsed="false">
      <c r="A475" s="9" t="s">
        <v>295</v>
      </c>
      <c r="B475" s="0" t="s">
        <v>75</v>
      </c>
      <c r="C475" s="0" t="s">
        <v>18</v>
      </c>
      <c r="D475" s="0" t="s">
        <v>19</v>
      </c>
      <c r="E475" s="10" t="s">
        <v>296</v>
      </c>
      <c r="F475" s="11" t="str">
        <f aca="false">IF(OR(E475="",E475="!!!"),"",IF(NOT(ISNA(VLOOKUP(E475,E$1:E474,1,FALSE()))),"OLD",IF(AND(E475&lt;&gt;"",E475&lt;&gt;"!!!"),"NEW","")))</f>
        <v>NEW</v>
      </c>
      <c r="G475" s="12" t="s">
        <v>52</v>
      </c>
      <c r="H475" s="13" t="str">
        <f aca="false">IF(J475&lt;&gt;1,"",IF(I475="SBJ","CB","?"))</f>
        <v/>
      </c>
      <c r="I475" s="14" t="str">
        <f aca="false">IF(OR(E475="",E475="!!!",F475="NEW"),"",INDEX(B$2:B474,-1+SUMPRODUCT(MAX(ROW(E$2:E474)*(E475=E$2:E474)))))</f>
        <v/>
      </c>
      <c r="J475" s="15" t="str">
        <f aca="true">IF(OR(E475="",E475="!!!",F475="NEW"),"",COUNTBLANK(OFFSET(A$1,,,SUMPRODUCT(MAX(ROW(E$2:E475)*(E475=E$2:E475)))))-COUNTBLANK(OFFSET(A$1,,,SUMPRODUCT(MAX(ROW(E$1:E474)*(E475=E$1:E474))))))</f>
        <v/>
      </c>
      <c r="K475" s="15" t="str">
        <f aca="false">IF(OR(E475="",E475="!!!",F475="NEW"),"",INDEX(J$1:J474,SUMPRODUCT(MAX(ROW(E$1:E474)*(E475=E$1:E474)))))</f>
        <v/>
      </c>
      <c r="L475" s="16"/>
    </row>
    <row r="476" customFormat="false" ht="12.75" hidden="false" customHeight="false" outlineLevel="0" collapsed="false">
      <c r="A476" s="9" t="s">
        <v>297</v>
      </c>
      <c r="E476" s="10" t="str">
        <f aca="false">IF(D476="?OLD","!!!","")</f>
        <v/>
      </c>
      <c r="F476" s="11" t="str">
        <f aca="false">IF(OR(E476="",E476="!!!"),"",IF(NOT(ISNA(VLOOKUP(E476,E$1:E475,1,FALSE()))),"OLD",IF(AND(E476&lt;&gt;"",E476&lt;&gt;"!!!"),"NEW","")))</f>
        <v/>
      </c>
      <c r="G476" s="12" t="str">
        <f aca="false">IF(OR(E476="",E476="!!!"),"",IF(OR(J476=0,AND(J476=1,K476=1),AND(J476=1,I476="SBJ"),AND(J476=1,I476=0)),"?IN_FOCUS",IF(J476&lt;=2,"?ACTIVATED",IF(J476&lt;&gt;"","?FAMILIAR",IF(F476="NEW",IF(ISNA(VLOOKUP(E476,#REF!,1,FALSE())),"?TYPE_IDENTIFIABLE","?REFERENTIAL"),"_")))))</f>
        <v/>
      </c>
      <c r="H476" s="13" t="str">
        <f aca="false">IF(J476&lt;&gt;1,"",IF(I476="SBJ","CB","?"))</f>
        <v/>
      </c>
      <c r="I476" s="14" t="str">
        <f aca="false">IF(OR(E476="",E476="!!!",F476="NEW"),"",INDEX(B$2:B475,-1+SUMPRODUCT(MAX(ROW(E$2:E475)*(E476=E$2:E475)))))</f>
        <v/>
      </c>
      <c r="J476" s="15" t="str">
        <f aca="true">IF(OR(E476="",E476="!!!",F476="NEW"),"",COUNTBLANK(OFFSET(A$1,,,SUMPRODUCT(MAX(ROW(E$2:E476)*(E476=E$2:E476)))))-COUNTBLANK(OFFSET(A$1,,,SUMPRODUCT(MAX(ROW(E$1:E475)*(E476=E$1:E475))))))</f>
        <v/>
      </c>
      <c r="K476" s="15" t="str">
        <f aca="false">IF(OR(E476="",E476="!!!",F476="NEW"),"",INDEX(J$1:J475,SUMPRODUCT(MAX(ROW(E$1:E475)*(E476=E$1:E475)))))</f>
        <v/>
      </c>
      <c r="L476" s="16"/>
    </row>
    <row r="477" customFormat="false" ht="12.75" hidden="false" customHeight="false" outlineLevel="0" collapsed="false">
      <c r="A477" s="9" t="s">
        <v>298</v>
      </c>
      <c r="B477" s="0" t="s">
        <v>40</v>
      </c>
      <c r="C477" s="0" t="s">
        <v>25</v>
      </c>
      <c r="E477" s="10" t="str">
        <f aca="false">IF(D477="?OLD","!!!","")</f>
        <v/>
      </c>
      <c r="F477" s="11" t="str">
        <f aca="false">IF(OR(E477="",E477="!!!"),"",IF(NOT(ISNA(VLOOKUP(E477,E$1:E476,1,FALSE()))),"OLD",IF(AND(E477&lt;&gt;"",E477&lt;&gt;"!!!"),"NEW","")))</f>
        <v/>
      </c>
      <c r="G477" s="12" t="str">
        <f aca="false">IF(OR(E477="",E477="!!!"),"",IF(OR(J477=0,AND(J477=1,K477=1),AND(J477=1,I477="SBJ"),AND(J477=1,I477=0)),"?IN_FOCUS",IF(J477&lt;=2,"?ACTIVATED",IF(J477&lt;&gt;"","?FAMILIAR",IF(F477="NEW",IF(ISNA(VLOOKUP(E477,#REF!,1,FALSE())),"?TYPE_IDENTIFIABLE","?REFERENTIAL"),"_")))))</f>
        <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75" hidden="false" customHeight="false" outlineLevel="0" collapsed="false">
      <c r="A478" s="9" t="s">
        <v>28</v>
      </c>
      <c r="E478" s="10" t="str">
        <f aca="false">IF(D478="?OLD","!!!","")</f>
        <v/>
      </c>
      <c r="F478" s="11" t="str">
        <f aca="false">IF(OR(E478="",E478="!!!"),"",IF(NOT(ISNA(VLOOKUP(E478,E$1:E477,1,FALSE()))),"OLD",IF(AND(E478&lt;&gt;"",E478&lt;&gt;"!!!"),"NEW","")))</f>
        <v/>
      </c>
      <c r="G478" s="12" t="str">
        <f aca="false">IF(OR(E478="",E478="!!!"),"",IF(OR(J478=0,AND(J478=1,K478=1),AND(J478=1,I478="SBJ"),AND(J478=1,I478=0)),"?IN_FOCUS",IF(J478&lt;=2,"?ACTIVATED",IF(J478&lt;&gt;"","?FAMILIAR",IF(F478="NEW",IF(ISNA(VLOOKUP(E478,#REF!,1,FALSE())),"?TYPE_IDENTIFIABLE","?REFERENTIAL"),"_")))))</f>
        <v/>
      </c>
      <c r="H478" s="13" t="str">
        <f aca="false">IF(J478&lt;&gt;1,"",IF(I478="SBJ","CB","?"))</f>
        <v/>
      </c>
      <c r="I478" s="14" t="str">
        <f aca="false">IF(OR(E478="",E478="!!!",F478="NEW"),"",INDEX(B$2:B477,-1+SUMPRODUCT(MAX(ROW(E$2:E477)*(E478=E$2:E477)))))</f>
        <v/>
      </c>
      <c r="J478" s="15" t="str">
        <f aca="true">IF(OR(E478="",E478="!!!",F478="NEW"),"",COUNTBLANK(OFFSET(A$1,,,SUMPRODUCT(MAX(ROW(E$2:E478)*(E478=E$2:E478)))))-COUNTBLANK(OFFSET(A$1,,,SUMPRODUCT(MAX(ROW(E$1:E477)*(E478=E$1:E477))))))</f>
        <v/>
      </c>
      <c r="K478" s="15" t="str">
        <f aca="false">IF(OR(E478="",E478="!!!",F478="NEW"),"",INDEX(J$1:J477,SUMPRODUCT(MAX(ROW(E$1:E477)*(E478=E$1:E477)))))</f>
        <v/>
      </c>
      <c r="L478" s="16"/>
    </row>
    <row r="479" customFormat="false" ht="12.75" hidden="false" customHeight="false" outlineLevel="0" collapsed="false">
      <c r="A479" s="9" t="s">
        <v>63</v>
      </c>
      <c r="E479" s="10" t="str">
        <f aca="false">IF(D479="?OLD","!!!","")</f>
        <v/>
      </c>
      <c r="F479" s="11" t="str">
        <f aca="false">IF(OR(E479="",E479="!!!"),"",IF(NOT(ISNA(VLOOKUP(E479,E$1:E478,1,FALSE()))),"OLD",IF(AND(E479&lt;&gt;"",E479&lt;&gt;"!!!"),"NEW","")))</f>
        <v/>
      </c>
      <c r="G479" s="12" t="str">
        <f aca="false">IF(OR(E479="",E479="!!!"),"",IF(OR(J479=0,AND(J479=1,K479=1),AND(J479=1,I479="SBJ"),AND(J479=1,I479=0)),"?IN_FOCUS",IF(J479&lt;=2,"?ACTIVATED",IF(J479&lt;&gt;"","?FAMILIAR",IF(F479="NEW",IF(ISNA(VLOOKUP(E479,#REF!,1,FALSE())),"?TYPE_IDENTIFIABLE","?REFERENTIAL"),"_")))))</f>
        <v/>
      </c>
      <c r="H479" s="13" t="str">
        <f aca="false">IF(J479&lt;&gt;1,"",IF(I479="SBJ","CB","?"))</f>
        <v/>
      </c>
      <c r="I479" s="14" t="str">
        <f aca="false">IF(OR(E479="",E479="!!!",F479="NEW"),"",INDEX(B$2:B478,-1+SUMPRODUCT(MAX(ROW(E$2:E478)*(E479=E$2:E478)))))</f>
        <v/>
      </c>
      <c r="J479" s="15" t="str">
        <f aca="true">IF(OR(E479="",E479="!!!",F479="NEW"),"",COUNTBLANK(OFFSET(A$1,,,SUMPRODUCT(MAX(ROW(E$2:E479)*(E479=E$2:E479)))))-COUNTBLANK(OFFSET(A$1,,,SUMPRODUCT(MAX(ROW(E$1:E478)*(E479=E$1:E478))))))</f>
        <v/>
      </c>
      <c r="K479" s="15" t="str">
        <f aca="false">IF(OR(E479="",E479="!!!",F479="NEW"),"",INDEX(J$1:J478,SUMPRODUCT(MAX(ROW(E$1:E478)*(E479=E$1:E478)))))</f>
        <v/>
      </c>
      <c r="L479" s="16"/>
    </row>
    <row r="480" customFormat="false" ht="12.75" hidden="false" customHeight="false" outlineLevel="0" collapsed="false">
      <c r="A480" s="9" t="s">
        <v>74</v>
      </c>
      <c r="B480" s="0" t="s">
        <v>40</v>
      </c>
      <c r="C480" s="0" t="s">
        <v>25</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75" hidden="false" customHeight="false" outlineLevel="0" collapsed="false">
      <c r="A481" s="9" t="s">
        <v>28</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75" hidden="false" customHeight="false" outlineLevel="0" collapsed="false">
      <c r="A482" s="9" t="s">
        <v>63</v>
      </c>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75" hidden="false" customHeight="false" outlineLevel="0" collapsed="false">
      <c r="A483" s="9" t="s">
        <v>299</v>
      </c>
      <c r="B483" s="0" t="s">
        <v>40</v>
      </c>
      <c r="C483" s="0" t="s">
        <v>25</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75" hidden="false" customHeight="false" outlineLevel="0" collapsed="false">
      <c r="A484" s="9" t="s">
        <v>22</v>
      </c>
      <c r="E484" s="10" t="str">
        <f aca="false">IF(D484="?OLD","!!!","")</f>
        <v/>
      </c>
      <c r="F484" s="11" t="str">
        <f aca="false">IF(OR(E484="",E484="!!!"),"",IF(NOT(ISNA(VLOOKUP(E484,E$1:E483,1,FALSE()))),"OLD",IF(AND(E484&lt;&gt;"",E484&lt;&gt;"!!!"),"NEW","")))</f>
        <v/>
      </c>
      <c r="G484" s="12" t="str">
        <f aca="false">IF(OR(E484="",E484="!!!"),"",IF(OR(J484=0,AND(J484=1,K484=1),AND(J484=1,I484="SBJ"),AND(J484=1,I484=0)),"?IN_FOCUS",IF(J484&lt;=2,"?ACTIVATED",IF(J484&lt;&gt;"","?FAMILIAR",IF(F484="NEW",IF(ISNA(VLOOKUP(E484,#REF!,1,FALSE())),"?TYPE_IDENTIFIABLE","?REFERENTIAL"),"_")))))</f>
        <v/>
      </c>
      <c r="H484" s="13" t="str">
        <f aca="false">IF(J484&lt;&gt;1,"",IF(I484="SBJ","CB","?"))</f>
        <v/>
      </c>
      <c r="I484" s="14" t="str">
        <f aca="false">IF(OR(E484="",E484="!!!",F484="NEW"),"",INDEX(B$2:B483,-1+SUMPRODUCT(MAX(ROW(E$2:E483)*(E484=E$2:E483)))))</f>
        <v/>
      </c>
      <c r="J484" s="15" t="str">
        <f aca="true">IF(OR(E484="",E484="!!!",F484="NEW"),"",COUNTBLANK(OFFSET(A$1,,,SUMPRODUCT(MAX(ROW(E$2:E484)*(E484=E$2:E484)))))-COUNTBLANK(OFFSET(A$1,,,SUMPRODUCT(MAX(ROW(E$1:E483)*(E484=E$1:E483))))))</f>
        <v/>
      </c>
      <c r="K484" s="15" t="str">
        <f aca="false">IF(OR(E484="",E484="!!!",F484="NEW"),"",INDEX(J$1:J483,SUMPRODUCT(MAX(ROW(E$1:E483)*(E484=E$1:E483)))))</f>
        <v/>
      </c>
      <c r="L484" s="16"/>
    </row>
    <row r="485" customFormat="false" ht="12.75" hidden="false" customHeight="false" outlineLevel="0" collapsed="false">
      <c r="A485" s="9" t="s">
        <v>300</v>
      </c>
      <c r="B485" s="0" t="s">
        <v>75</v>
      </c>
      <c r="C485" s="0" t="s">
        <v>25</v>
      </c>
      <c r="E485" s="10" t="str">
        <f aca="false">IF(D485="?OLD","!!!","")</f>
        <v/>
      </c>
      <c r="F485" s="11" t="str">
        <f aca="false">IF(OR(E485="",E485="!!!"),"",IF(NOT(ISNA(VLOOKUP(E485,E$1:E484,1,FALSE()))),"OLD",IF(AND(E485&lt;&gt;"",E485&lt;&gt;"!!!"),"NEW","")))</f>
        <v/>
      </c>
      <c r="G485" s="12" t="str">
        <f aca="false">IF(OR(E485="",E485="!!!"),"",IF(OR(J485=0,AND(J485=1,K485=1),AND(J485=1,I485="SBJ"),AND(J485=1,I485=0)),"?IN_FOCUS",IF(J485&lt;=2,"?ACTIVATED",IF(J485&lt;&gt;"","?FAMILIAR",IF(F485="NEW",IF(ISNA(VLOOKUP(E485,#REF!,1,FALSE())),"?TYPE_IDENTIFIABLE","?REFERENTIAL"),"_")))))</f>
        <v/>
      </c>
      <c r="H485" s="13" t="str">
        <f aca="false">IF(J485&lt;&gt;1,"",IF(I485="SBJ","CB","?"))</f>
        <v/>
      </c>
      <c r="I485" s="14" t="str">
        <f aca="false">IF(OR(E485="",E485="!!!",F485="NEW"),"",INDEX(B$2:B484,-1+SUMPRODUCT(MAX(ROW(E$2:E484)*(E485=E$2:E484)))))</f>
        <v/>
      </c>
      <c r="J485" s="15" t="str">
        <f aca="true">IF(OR(E485="",E485="!!!",F485="NEW"),"",COUNTBLANK(OFFSET(A$1,,,SUMPRODUCT(MAX(ROW(E$2:E485)*(E485=E$2:E485)))))-COUNTBLANK(OFFSET(A$1,,,SUMPRODUCT(MAX(ROW(E$1:E484)*(E485=E$1:E484))))))</f>
        <v/>
      </c>
      <c r="K485" s="15" t="str">
        <f aca="false">IF(OR(E485="",E485="!!!",F485="NEW"),"",INDEX(J$1:J484,SUMPRODUCT(MAX(ROW(E$1:E484)*(E485=E$1:E484)))))</f>
        <v/>
      </c>
      <c r="L485" s="16"/>
    </row>
    <row r="486" customFormat="false" ht="12.75" hidden="false" customHeight="false" outlineLevel="0" collapsed="false">
      <c r="A486" s="9" t="s">
        <v>44</v>
      </c>
      <c r="E486" s="10" t="str">
        <f aca="false">IF(D486="?OLD","!!!","")</f>
        <v/>
      </c>
      <c r="F486" s="11" t="str">
        <f aca="false">IF(OR(E486="",E486="!!!"),"",IF(NOT(ISNA(VLOOKUP(E486,E$1:E485,1,FALSE()))),"OLD",IF(AND(E486&lt;&gt;"",E486&lt;&gt;"!!!"),"NEW","")))</f>
        <v/>
      </c>
      <c r="G486" s="12" t="str">
        <f aca="false">IF(OR(E486="",E486="!!!"),"",IF(OR(J486=0,AND(J486=1,K486=1),AND(J486=1,I486="SBJ"),AND(J486=1,I486=0)),"?IN_FOCUS",IF(J486&lt;=2,"?ACTIVATED",IF(J486&lt;&gt;"","?FAMILIAR",IF(F486="NEW",IF(ISNA(VLOOKUP(E486,#REF!,1,FALSE())),"?TYPE_IDENTIFIABLE","?REFERENTIAL"),"_")))))</f>
        <v/>
      </c>
      <c r="H486" s="13" t="str">
        <f aca="false">IF(J486&lt;&gt;1,"",IF(I486="SBJ","CB","?"))</f>
        <v/>
      </c>
      <c r="I486" s="14" t="str">
        <f aca="false">IF(OR(E486="",E486="!!!",F486="NEW"),"",INDEX(B$2:B485,-1+SUMPRODUCT(MAX(ROW(E$2:E485)*(E486=E$2:E485)))))</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75" hidden="false" customHeight="false" outlineLevel="0" collapsed="false">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75" hidden="false" customHeight="false" outlineLevel="0" collapsed="false">
      <c r="A488" s="9" t="s">
        <v>301</v>
      </c>
      <c r="E488" s="10" t="str">
        <f aca="false">IF(D488="?OLD","!!!","")</f>
        <v/>
      </c>
      <c r="F488" s="11" t="str">
        <f aca="false">IF(OR(E488="",E488="!!!"),"",IF(NOT(ISNA(VLOOKUP(E488,E$1:E487,1,FALSE()))),"OLD",IF(AND(E488&lt;&gt;"",E488&lt;&gt;"!!!"),"NEW","")))</f>
        <v/>
      </c>
      <c r="G488" s="12" t="str">
        <f aca="false">IF(OR(E488="",E488="!!!"),"",IF(OR(J488=0,AND(J488=1,K488=1),AND(J488=1,I488="SBJ"),AND(J488=1,I488=0)),"?IN_FOCUS",IF(J488&lt;=2,"?ACTIVATED",IF(J488&lt;&gt;"","?FAMILIAR",IF(F488="NEW",IF(ISNA(VLOOKUP(E488,#REF!,1,FALSE())),"?TYPE_IDENTIFIABLE","?REFERENTIAL"),"_")))))</f>
        <v/>
      </c>
      <c r="H488" s="13" t="str">
        <f aca="false">IF(J488&lt;&gt;1,"",IF(I488="SBJ","CB","?"))</f>
        <v/>
      </c>
      <c r="I488" s="14" t="str">
        <f aca="false">IF(OR(E488="",E488="!!!",F488="NEW"),"",INDEX(B$2:B487,-1+SUMPRODUCT(MAX(ROW(E$2:E487)*(E488=E$2:E487)))))</f>
        <v/>
      </c>
      <c r="J488" s="15" t="str">
        <f aca="true">IF(OR(E488="",E488="!!!",F488="NEW"),"",COUNTBLANK(OFFSET(A$1,,,SUMPRODUCT(MAX(ROW(E$2:E488)*(E488=E$2:E488)))))-COUNTBLANK(OFFSET(A$1,,,SUMPRODUCT(MAX(ROW(E$1:E487)*(E488=E$1:E487))))))</f>
        <v/>
      </c>
      <c r="K488" s="15" t="str">
        <f aca="false">IF(OR(E488="",E488="!!!",F488="NEW"),"",INDEX(J$1:J487,SUMPRODUCT(MAX(ROW(E$1:E487)*(E488=E$1:E487)))))</f>
        <v/>
      </c>
      <c r="L488" s="16"/>
    </row>
    <row r="489" customFormat="false" ht="12.75" hidden="false" customHeight="false" outlineLevel="0" collapsed="false">
      <c r="A489" s="9" t="s">
        <v>302</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75" hidden="false" customHeight="false" outlineLevel="0" collapsed="false">
      <c r="A490" s="9" t="s">
        <v>303</v>
      </c>
      <c r="B490" s="0" t="s">
        <v>30</v>
      </c>
      <c r="C490" s="0" t="s">
        <v>18</v>
      </c>
      <c r="D490" s="0" t="s">
        <v>19</v>
      </c>
      <c r="E490" s="10" t="s">
        <v>304</v>
      </c>
      <c r="F490" s="11" t="str">
        <f aca="false">IF(OR(E490="",E490="!!!"),"",IF(NOT(ISNA(VLOOKUP(E490,E$1:E489,1,FALSE()))),"OLD",IF(AND(E490&lt;&gt;"",E490&lt;&gt;"!!!"),"NEW","")))</f>
        <v>NEW</v>
      </c>
      <c r="G490" s="12" t="s">
        <v>21</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75" hidden="false" customHeight="false" outlineLevel="0" collapsed="false">
      <c r="A491" s="9" t="s">
        <v>253</v>
      </c>
      <c r="E491" s="10" t="str">
        <f aca="false">IF(D491="?OLD","!!!","")</f>
        <v/>
      </c>
      <c r="F491" s="11" t="str">
        <f aca="false">IF(OR(E491="",E491="!!!"),"",IF(NOT(ISNA(VLOOKUP(E491,E$1:E490,1,FALSE()))),"OLD",IF(AND(E491&lt;&gt;"",E491&lt;&gt;"!!!"),"NEW","")))</f>
        <v/>
      </c>
      <c r="G491" s="12" t="str">
        <f aca="false">IF(OR(E491="",E491="!!!"),"",IF(OR(J491=0,AND(J491=1,K491=1),AND(J491=1,I491="SBJ"),AND(J491=1,I491=0)),"?IN_FOCUS",IF(J491&lt;=2,"?ACTIVATED",IF(J491&lt;&gt;"","?FAMILIAR",IF(F491="NEW",IF(ISNA(VLOOKUP(E491,#REF!,1,FALSE())),"?TYPE_IDENTIFIABLE","?REFERENTIAL"),"_")))))</f>
        <v/>
      </c>
      <c r="H491" s="13" t="str">
        <f aca="false">IF(J491&lt;&gt;1,"",IF(I491="SBJ","CB","?"))</f>
        <v/>
      </c>
      <c r="I491" s="14" t="str">
        <f aca="false">IF(OR(E491="",E491="!!!",F491="NEW"),"",INDEX(B$2:B490,-1+SUMPRODUCT(MAX(ROW(E$2:E490)*(E491=E$2:E490)))))</f>
        <v/>
      </c>
      <c r="J491" s="15" t="str">
        <f aca="true">IF(OR(E491="",E491="!!!",F491="NEW"),"",COUNTBLANK(OFFSET(A$1,,,SUMPRODUCT(MAX(ROW(E$2:E491)*(E491=E$2:E491)))))-COUNTBLANK(OFFSET(A$1,,,SUMPRODUCT(MAX(ROW(E$1:E490)*(E491=E$1:E490))))))</f>
        <v/>
      </c>
      <c r="K491" s="15" t="str">
        <f aca="false">IF(OR(E491="",E491="!!!",F491="NEW"),"",INDEX(J$1:J490,SUMPRODUCT(MAX(ROW(E$1:E490)*(E491=E$1:E490)))))</f>
        <v/>
      </c>
      <c r="L491" s="16"/>
    </row>
    <row r="492" customFormat="false" ht="12.75" hidden="false" customHeight="false" outlineLevel="0" collapsed="false">
      <c r="A492" s="9" t="s">
        <v>225</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IF(OR(E492="",E492="!!!",F492="NEW"),"",INDEX(B$2:B491,-1+SUMPRODUCT(MAX(ROW(E$2:E491)*(E492=E$2:E491)))))</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75" hidden="false" customHeight="false" outlineLevel="0" collapsed="false">
      <c r="A493" s="9" t="s">
        <v>305</v>
      </c>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75" hidden="false" customHeight="false" outlineLevel="0" collapsed="false">
      <c r="A494" s="9" t="s">
        <v>306</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75" hidden="false" customHeight="false" outlineLevel="0" collapsed="false">
      <c r="A495" s="9" t="s">
        <v>307</v>
      </c>
      <c r="B495" s="0" t="s">
        <v>40</v>
      </c>
      <c r="C495" s="0" t="s">
        <v>25</v>
      </c>
      <c r="E495" s="10" t="str">
        <f aca="false">IF(D495="?OLD","!!!","")</f>
        <v/>
      </c>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75" hidden="false" customHeight="false" outlineLevel="0" collapsed="false">
      <c r="A496" s="9" t="s">
        <v>28</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75" hidden="false" customHeight="false" outlineLevel="0" collapsed="false">
      <c r="A497" s="9" t="s">
        <v>63</v>
      </c>
      <c r="E497" s="10" t="str">
        <f aca="false">IF(D497="?OLD","!!!","")</f>
        <v/>
      </c>
      <c r="F497" s="11" t="str">
        <f aca="false">IF(OR(E497="",E497="!!!"),"",IF(NOT(ISNA(VLOOKUP(E497,E$1:E496,1,FALSE()))),"OLD",IF(AND(E497&lt;&gt;"",E497&lt;&gt;"!!!"),"NEW","")))</f>
        <v/>
      </c>
      <c r="G497" s="12" t="str">
        <f aca="false">IF(OR(E497="",E497="!!!"),"",IF(OR(J497=0,AND(J497=1,K497=1),AND(J497=1,I497="SBJ"),AND(J497=1,I497=0)),"?IN_FOCUS",IF(J497&lt;=2,"?ACTIVATED",IF(J497&lt;&gt;"","?FAMILIAR",IF(F497="NEW",IF(ISNA(VLOOKUP(E497,#REF!,1,FALSE())),"?TYPE_IDENTIFIABLE","?REFERENTIAL"),"_")))))</f>
        <v/>
      </c>
      <c r="H497" s="13" t="str">
        <f aca="false">IF(J497&lt;&gt;1,"",IF(I497="SBJ","CB","?"))</f>
        <v/>
      </c>
      <c r="I497" s="14" t="str">
        <f aca="false">IF(OR(E497="",E497="!!!",F497="NEW"),"",INDEX(B$2:B496,-1+SUMPRODUCT(MAX(ROW(E$2:E496)*(E497=E$2:E496)))))</f>
        <v/>
      </c>
      <c r="J497" s="15" t="str">
        <f aca="true">IF(OR(E497="",E497="!!!",F497="NEW"),"",COUNTBLANK(OFFSET(A$1,,,SUMPRODUCT(MAX(ROW(E$2:E497)*(E497=E$2:E497)))))-COUNTBLANK(OFFSET(A$1,,,SUMPRODUCT(MAX(ROW(E$1:E496)*(E497=E$1:E496))))))</f>
        <v/>
      </c>
      <c r="K497" s="15" t="str">
        <f aca="false">IF(OR(E497="",E497="!!!",F497="NEW"),"",INDEX(J$1:J496,SUMPRODUCT(MAX(ROW(E$1:E496)*(E497=E$1:E496)))))</f>
        <v/>
      </c>
      <c r="L497" s="16"/>
    </row>
    <row r="498" customFormat="false" ht="12.75" hidden="false" customHeight="false" outlineLevel="0" collapsed="false">
      <c r="A498" s="9" t="s">
        <v>15</v>
      </c>
      <c r="E498" s="10" t="str">
        <f aca="false">IF(D498="?OLD","!!!","")</f>
        <v/>
      </c>
      <c r="F498" s="11" t="str">
        <f aca="false">IF(OR(E498="",E498="!!!"),"",IF(NOT(ISNA(VLOOKUP(E498,E$1:E497,1,FALSE()))),"OLD",IF(AND(E498&lt;&gt;"",E498&lt;&gt;"!!!"),"NEW","")))</f>
        <v/>
      </c>
      <c r="G498" s="12" t="str">
        <f aca="false">IF(OR(E498="",E498="!!!"),"",IF(OR(J498=0,AND(J498=1,K498=1),AND(J498=1,I498="SBJ"),AND(J498=1,I498=0)),"?IN_FOCUS",IF(J498&lt;=2,"?ACTIVATED",IF(J498&lt;&gt;"","?FAMILIAR",IF(F498="NEW",IF(ISNA(VLOOKUP(E498,#REF!,1,FALSE())),"?TYPE_IDENTIFIABLE","?REFERENTIAL"),"_")))))</f>
        <v/>
      </c>
      <c r="H498" s="13" t="str">
        <f aca="false">IF(J498&lt;&gt;1,"",IF(I498="SBJ","CB","?"))</f>
        <v/>
      </c>
      <c r="I498" s="14" t="str">
        <f aca="false">IF(OR(E498="",E498="!!!",F498="NEW"),"",INDEX(B$2:B497,-1+SUMPRODUCT(MAX(ROW(E$2:E497)*(E498=E$2:E497)))))</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75" hidden="false" customHeight="false" outlineLevel="0" collapsed="false">
      <c r="A499" s="9" t="s">
        <v>308</v>
      </c>
      <c r="B499" s="0" t="s">
        <v>40</v>
      </c>
      <c r="C499" s="0" t="s">
        <v>18</v>
      </c>
      <c r="D499" s="0" t="s">
        <v>19</v>
      </c>
      <c r="E499" s="10" t="s">
        <v>309</v>
      </c>
      <c r="F499" s="11" t="str">
        <f aca="false">IF(OR(E499="",E499="!!!"),"",IF(NOT(ISNA(VLOOKUP(E499,E$1:E498,1,FALSE()))),"OLD",IF(AND(E499&lt;&gt;"",E499&lt;&gt;"!!!"),"NEW","")))</f>
        <v>NEW</v>
      </c>
      <c r="G499" s="12" t="s">
        <v>21</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75" hidden="false" customHeight="false" outlineLevel="0" collapsed="false">
      <c r="A500" s="9" t="s">
        <v>306</v>
      </c>
      <c r="E500" s="10" t="str">
        <f aca="false">IF(D500="?OLD","!!!","")</f>
        <v/>
      </c>
      <c r="F500" s="11" t="str">
        <f aca="false">IF(OR(E500="",E500="!!!"),"",IF(NOT(ISNA(VLOOKUP(E500,E$1:E499,1,FALSE()))),"OLD",IF(AND(E500&lt;&gt;"",E500&lt;&gt;"!!!"),"NEW","")))</f>
        <v/>
      </c>
      <c r="G500" s="12" t="str">
        <f aca="false">IF(OR(E500="",E500="!!!"),"",IF(OR(J500=0,AND(J500=1,K500=1),AND(J500=1,I500="SBJ"),AND(J500=1,I500=0)),"?IN_FOCUS",IF(J500&lt;=2,"?ACTIVATED",IF(J500&lt;&gt;"","?FAMILIAR",IF(F500="NEW",IF(ISNA(VLOOKUP(E500,#REF!,1,FALSE())),"?TYPE_IDENTIFIABLE","?REFERENTIAL"),"_")))))</f>
        <v/>
      </c>
      <c r="H500" s="13" t="str">
        <f aca="false">IF(J500&lt;&gt;1,"",IF(I500="SBJ","CB","?"))</f>
        <v/>
      </c>
      <c r="I500" s="14" t="str">
        <f aca="false">IF(OR(E500="",E500="!!!",F500="NEW"),"",INDEX(B$2:B499,-1+SUMPRODUCT(MAX(ROW(E$2:E499)*(E500=E$2:E499)))))</f>
        <v/>
      </c>
      <c r="J500" s="15" t="str">
        <f aca="true">IF(OR(E500="",E500="!!!",F500="NEW"),"",COUNTBLANK(OFFSET(A$1,,,SUMPRODUCT(MAX(ROW(E$2:E500)*(E500=E$2:E500)))))-COUNTBLANK(OFFSET(A$1,,,SUMPRODUCT(MAX(ROW(E$1:E499)*(E500=E$1:E499))))))</f>
        <v/>
      </c>
      <c r="K500" s="15" t="str">
        <f aca="false">IF(OR(E500="",E500="!!!",F500="NEW"),"",INDEX(J$1:J499,SUMPRODUCT(MAX(ROW(E$1:E499)*(E500=E$1:E499)))))</f>
        <v/>
      </c>
      <c r="L500" s="16"/>
    </row>
    <row r="501" customFormat="false" ht="12.75" hidden="false" customHeight="false" outlineLevel="0" collapsed="false">
      <c r="A501" s="9" t="s">
        <v>298</v>
      </c>
      <c r="B501" s="0" t="s">
        <v>75</v>
      </c>
      <c r="C501" s="0" t="s">
        <v>25</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75" hidden="false" customHeight="false" outlineLevel="0" collapsed="false">
      <c r="A502" s="9" t="s">
        <v>28</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75" hidden="false" customHeight="false" outlineLevel="0" collapsed="false">
      <c r="A503" s="9" t="s">
        <v>310</v>
      </c>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75" hidden="false" customHeight="false" outlineLevel="0" collapsed="false">
      <c r="A504" s="9" t="s">
        <v>15</v>
      </c>
      <c r="E504" s="10" t="str">
        <f aca="false">IF(D504="?OLD","!!!","")</f>
        <v/>
      </c>
      <c r="F504" s="11" t="str">
        <f aca="false">IF(OR(E504="",E504="!!!"),"",IF(NOT(ISNA(VLOOKUP(E504,E$1:E503,1,FALSE()))),"OLD",IF(AND(E504&lt;&gt;"",E504&lt;&gt;"!!!"),"NEW","")))</f>
        <v/>
      </c>
      <c r="G504" s="12" t="str">
        <f aca="false">IF(OR(E504="",E504="!!!"),"",IF(OR(J504=0,AND(J504=1,K504=1),AND(J504=1,I504="SBJ"),AND(J504=1,I504=0)),"?IN_FOCUS",IF(J504&lt;=2,"?ACTIVATED",IF(J504&lt;&gt;"","?FAMILIAR",IF(F504="NEW",IF(ISNA(VLOOKUP(E504,#REF!,1,FALSE())),"?TYPE_IDENTIFIABLE","?REFERENTIAL"),"_")))))</f>
        <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75" hidden="false" customHeight="false" outlineLevel="0" collapsed="false">
      <c r="A505" s="9" t="s">
        <v>311</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75" hidden="false" customHeight="false" outlineLevel="0" collapsed="false">
      <c r="A506" s="9" t="s">
        <v>63</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75" hidden="false" customHeight="false" outlineLevel="0" collapsed="false">
      <c r="A507" s="9" t="s">
        <v>312</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75" hidden="false" customHeight="false" outlineLevel="0" collapsed="false">
      <c r="A508" s="9" t="s">
        <v>16</v>
      </c>
      <c r="B508" s="0" t="s">
        <v>17</v>
      </c>
      <c r="C508" s="0" t="s">
        <v>83</v>
      </c>
      <c r="D508" s="0" t="s">
        <v>19</v>
      </c>
      <c r="E508" s="10" t="s">
        <v>313</v>
      </c>
      <c r="F508" s="11" t="str">
        <f aca="false">IF(OR(E508="",E508="!!!"),"",IF(NOT(ISNA(VLOOKUP(E508,E$1:E507,1,FALSE()))),"OLD",IF(AND(E508&lt;&gt;"",E508&lt;&gt;"!!!"),"NEW","")))</f>
        <v>NEW</v>
      </c>
      <c r="G508" s="12" t="s">
        <v>21</v>
      </c>
      <c r="H508" s="13" t="str">
        <f aca="false">IF(J508&lt;&gt;1,"",IF(I508="SBJ","CB","?"))</f>
        <v/>
      </c>
      <c r="I508" s="14" t="str">
        <f aca="false">IF(OR(E508="",E508="!!!",F508="NEW"),"",INDEX(B$2:B507,-1+SUMPRODUCT(MAX(ROW(E$2:E507)*(E508=E$2:E507)))))</f>
        <v/>
      </c>
      <c r="J508" s="15" t="str">
        <f aca="true">IF(OR(E508="",E508="!!!",F508="NEW"),"",COUNTBLANK(OFFSET(A$1,,,SUMPRODUCT(MAX(ROW(E$2:E508)*(E508=E$2:E508)))))-COUNTBLANK(OFFSET(A$1,,,SUMPRODUCT(MAX(ROW(E$1:E507)*(E508=E$1:E507))))))</f>
        <v/>
      </c>
      <c r="K508" s="15" t="str">
        <f aca="false">IF(OR(E508="",E508="!!!",F508="NEW"),"",INDEX(J$1:J507,SUMPRODUCT(MAX(ROW(E$1:E507)*(E508=E$1:E507)))))</f>
        <v/>
      </c>
      <c r="L508" s="16"/>
    </row>
    <row r="509" customFormat="false" ht="12.75" hidden="false" customHeight="false" outlineLevel="0" collapsed="false">
      <c r="A509" s="9" t="s">
        <v>22</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75" hidden="false" customHeight="false" outlineLevel="0" collapsed="false">
      <c r="A510" s="9" t="s">
        <v>15</v>
      </c>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75" hidden="false" customHeight="false" outlineLevel="0" collapsed="false">
      <c r="A511" s="9" t="s">
        <v>314</v>
      </c>
      <c r="B511" s="0" t="s">
        <v>24</v>
      </c>
      <c r="C511" s="0" t="s">
        <v>103</v>
      </c>
      <c r="D511" s="0" t="s">
        <v>19</v>
      </c>
      <c r="E511" s="10" t="s">
        <v>187</v>
      </c>
      <c r="F511" s="11" t="str">
        <f aca="false">IF(OR(E511="",E511="!!!"),"",IF(NOT(ISNA(VLOOKUP(E511,E$1:E510,1,FALSE()))),"OLD",IF(AND(E511&lt;&gt;"",E511&lt;&gt;"!!!"),"NEW","")))</f>
        <v>OLD</v>
      </c>
      <c r="G511" s="12" t="s">
        <v>52</v>
      </c>
      <c r="H511" s="13" t="str">
        <f aca="false">IF(J511&lt;&gt;1,"",IF(I511="SBJ","CB","?"))</f>
        <v>CB</v>
      </c>
      <c r="I511" s="14" t="str">
        <f aca="false">IF(OR(E511="",E511="!!!",F511="NEW"),"",INDEX(B$2:B510,-1+SUMPRODUCT(MAX(ROW(E$2:E510)*(E511=E$2:E510)))))</f>
        <v>SBJ</v>
      </c>
      <c r="J511" s="15" t="n">
        <f aca="true">IF(OR(E511="",E511="!!!",F511="NEW"),"",COUNTBLANK(OFFSET(A$1,,,SUMPRODUCT(MAX(ROW(E$2:E511)*(E511=E$2:E511)))))-COUNTBLANK(OFFSET(A$1,,,SUMPRODUCT(MAX(ROW(E$1:E510)*(E511=E$1:E510))))))</f>
        <v>1</v>
      </c>
      <c r="K511" s="15" t="n">
        <f aca="false">IF(OR(E511="",E511="!!!",F511="NEW"),"",INDEX(J$1:J510,SUMPRODUCT(MAX(ROW(E$1:E510)*(E511=E$1:E510)))))</f>
        <v>1</v>
      </c>
      <c r="L511" s="16"/>
    </row>
    <row r="512" customFormat="false" ht="12.75" hidden="false" customHeight="false" outlineLevel="0" collapsed="false">
      <c r="A512" s="9" t="s">
        <v>315</v>
      </c>
      <c r="E512" s="10" t="str">
        <f aca="false">IF(D512="?OLD","!!!","")</f>
        <v/>
      </c>
      <c r="F512" s="11" t="str">
        <f aca="false">IF(OR(E512="",E512="!!!"),"",IF(NOT(ISNA(VLOOKUP(E512,E$1:E511,1,FALSE()))),"OLD",IF(AND(E512&lt;&gt;"",E512&lt;&gt;"!!!"),"NEW","")))</f>
        <v/>
      </c>
      <c r="G512" s="12" t="str">
        <f aca="false">IF(OR(E512="",E512="!!!"),"",IF(OR(J512=0,AND(J512=1,K512=1),AND(J512=1,I512="SBJ"),AND(J512=1,I512=0)),"?IN_FOCUS",IF(J512&lt;=2,"?ACTIVATED",IF(J512&lt;&gt;"","?FAMILIAR",IF(F512="NEW",IF(ISNA(VLOOKUP(E512,#REF!,1,FALSE())),"?TYPE_IDENTIFIABLE","?REFERENTIAL"),"_")))))</f>
        <v/>
      </c>
      <c r="H512" s="13" t="str">
        <f aca="false">IF(J512&lt;&gt;1,"",IF(I512="SBJ","CB","?"))</f>
        <v/>
      </c>
      <c r="I512" s="14" t="str">
        <f aca="false">IF(OR(E512="",E512="!!!",F512="NEW"),"",INDEX(B$2:B511,-1+SUMPRODUCT(MAX(ROW(E$2:E511)*(E512=E$2:E511)))))</f>
        <v/>
      </c>
      <c r="J512" s="15" t="str">
        <f aca="true">IF(OR(E512="",E512="!!!",F512="NEW"),"",COUNTBLANK(OFFSET(A$1,,,SUMPRODUCT(MAX(ROW(E$2:E512)*(E512=E$2:E512)))))-COUNTBLANK(OFFSET(A$1,,,SUMPRODUCT(MAX(ROW(E$1:E511)*(E512=E$1:E511))))))</f>
        <v/>
      </c>
      <c r="K512" s="15" t="str">
        <f aca="false">IF(OR(E512="",E512="!!!",F512="NEW"),"",INDEX(J$1:J511,SUMPRODUCT(MAX(ROW(E$1:E511)*(E512=E$1:E511)))))</f>
        <v/>
      </c>
      <c r="L512" s="16"/>
    </row>
    <row r="513" customFormat="false" ht="12.75" hidden="false" customHeight="false" outlineLevel="0" collapsed="false">
      <c r="A513" s="9" t="s">
        <v>44</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75" hidden="false" customHeight="false" outlineLevel="0" collapsed="false">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75" hidden="false" customHeight="false" outlineLevel="0" collapsed="false">
      <c r="A515" s="9" t="s">
        <v>316</v>
      </c>
      <c r="E515" s="10" t="str">
        <f aca="false">IF(D515="?OLD","!!!","")</f>
        <v/>
      </c>
      <c r="F515" s="11" t="str">
        <f aca="false">IF(OR(E515="",E515="!!!"),"",IF(NOT(ISNA(VLOOKUP(E515,E$1:E514,1,FALSE()))),"OLD",IF(AND(E515&lt;&gt;"",E515&lt;&gt;"!!!"),"NEW","")))</f>
        <v/>
      </c>
      <c r="G515" s="12" t="str">
        <f aca="false">IF(OR(E515="",E515="!!!"),"",IF(OR(J515=0,AND(J515=1,K515=1),AND(J515=1,I515="SBJ"),AND(J515=1,I515=0)),"?IN_FOCUS",IF(J515&lt;=2,"?ACTIVATED",IF(J515&lt;&gt;"","?FAMILIAR",IF(F515="NEW",IF(ISNA(VLOOKUP(E515,#REF!,1,FALSE())),"?TYPE_IDENTIFIABLE","?REFERENTIAL"),"_")))))</f>
        <v/>
      </c>
      <c r="H515" s="13" t="str">
        <f aca="false">IF(J515&lt;&gt;1,"",IF(I515="SBJ","CB","?"))</f>
        <v/>
      </c>
      <c r="I515" s="14" t="str">
        <f aca="false">IF(OR(E515="",E515="!!!",F515="NEW"),"",INDEX(B$2:B514,-1+SUMPRODUCT(MAX(ROW(E$2:E514)*(E515=E$2:E514)))))</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12.75" hidden="false" customHeight="false" outlineLevel="0" collapsed="false">
      <c r="A516" s="9" t="s">
        <v>252</v>
      </c>
      <c r="B516" s="0" t="s">
        <v>30</v>
      </c>
      <c r="C516" s="0" t="s">
        <v>31</v>
      </c>
      <c r="D516" s="0" t="s">
        <v>19</v>
      </c>
      <c r="E516" s="10"/>
      <c r="F516" s="11" t="s">
        <v>224</v>
      </c>
      <c r="G516" s="12" t="str">
        <f aca="false">IF(OR(E516="",E516="!!!"),"",IF(OR(J516=0,AND(J516=1,K516=1),AND(J516=1,I516="SBJ"),AND(J516=1,I516=0)),"?IN_FOCUS",IF(J516&lt;=2,"?ACTIVATED",IF(J516&lt;&gt;"","?FAMILIAR",IF(F516="NEW",IF(ISNA(VLOOKUP(E516,#REF!,1,FALSE())),"?TYPE_IDENTIFIABLE","?REFERENTIAL"),"_")))))</f>
        <v/>
      </c>
      <c r="H516" s="13" t="str">
        <f aca="false">IF(J516&lt;&gt;1,"",IF(I516="SBJ","CB","?"))</f>
        <v/>
      </c>
      <c r="I516" s="14" t="str">
        <f aca="false">IF(OR(E516="",E516="!!!",F516="NEW"),"",INDEX(B$2:B515,-1+SUMPRODUCT(MAX(ROW(E$2:E515)*(E516=E$2:E515)))))</f>
        <v/>
      </c>
      <c r="J516" s="15" t="str">
        <f aca="true">IF(OR(E516="",E516="!!!",F516="NEW"),"",COUNTBLANK(OFFSET(A$1,,,SUMPRODUCT(MAX(ROW(E$2:E516)*(E516=E$2:E516)))))-COUNTBLANK(OFFSET(A$1,,,SUMPRODUCT(MAX(ROW(E$1:E515)*(E516=E$1:E515))))))</f>
        <v/>
      </c>
      <c r="K516" s="15" t="str">
        <f aca="false">IF(OR(E516="",E516="!!!",F516="NEW"),"",INDEX(J$1:J515,SUMPRODUCT(MAX(ROW(E$1:E515)*(E516=E$1:E515)))))</f>
        <v/>
      </c>
      <c r="L516" s="16"/>
    </row>
    <row r="517" customFormat="false" ht="12.75" hidden="false" customHeight="false" outlineLevel="0" collapsed="false">
      <c r="A517" s="9" t="s">
        <v>253</v>
      </c>
      <c r="E517" s="10" t="str">
        <f aca="false">IF(D517="?OLD","!!!","")</f>
        <v/>
      </c>
      <c r="F517" s="11" t="str">
        <f aca="false">IF(OR(E517="",E517="!!!"),"",IF(NOT(ISNA(VLOOKUP(E517,E$1:E516,1,FALSE()))),"OLD",IF(AND(E517&lt;&gt;"",E517&lt;&gt;"!!!"),"NEW","")))</f>
        <v/>
      </c>
      <c r="G517" s="12" t="str">
        <f aca="false">IF(OR(E517="",E517="!!!"),"",IF(OR(J517=0,AND(J517=1,K517=1),AND(J517=1,I517="SBJ"),AND(J517=1,I517=0)),"?IN_FOCUS",IF(J517&lt;=2,"?ACTIVATED",IF(J517&lt;&gt;"","?FAMILIAR",IF(F517="NEW",IF(ISNA(VLOOKUP(E517,#REF!,1,FALSE())),"?TYPE_IDENTIFIABLE","?REFERENTIAL"),"_")))))</f>
        <v/>
      </c>
      <c r="H517" s="13" t="str">
        <f aca="false">IF(J517&lt;&gt;1,"",IF(I517="SBJ","CB","?"))</f>
        <v/>
      </c>
      <c r="I517" s="14" t="str">
        <f aca="false">IF(OR(E517="",E517="!!!",F517="NEW"),"",INDEX(B$2:B516,-1+SUMPRODUCT(MAX(ROW(E$2:E516)*(E517=E$2:E516)))))</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75" hidden="false" customHeight="false" outlineLevel="0" collapsed="false">
      <c r="A518" s="9" t="s">
        <v>225</v>
      </c>
      <c r="B518" s="0" t="s">
        <v>30</v>
      </c>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75" hidden="false" customHeight="false" outlineLevel="0" collapsed="false">
      <c r="A519" s="9" t="s">
        <v>28</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75" hidden="false" customHeight="false" outlineLevel="0" collapsed="false">
      <c r="A520" s="9" t="s">
        <v>258</v>
      </c>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75" hidden="false" customHeight="false" outlineLevel="0" collapsed="false">
      <c r="A521" s="9" t="s">
        <v>317</v>
      </c>
      <c r="B521" s="0" t="s">
        <v>94</v>
      </c>
      <c r="C521" s="0" t="s">
        <v>192</v>
      </c>
      <c r="E521" s="10" t="str">
        <f aca="false">IF(D521="?OLD","!!!","")</f>
        <v/>
      </c>
      <c r="F521" s="11" t="str">
        <f aca="false">IF(OR(E521="",E521="!!!"),"",IF(NOT(ISNA(VLOOKUP(E521,E$1:E520,1,FALSE()))),"OLD",IF(AND(E521&lt;&gt;"",E521&lt;&gt;"!!!"),"NEW","")))</f>
        <v/>
      </c>
      <c r="G521" s="12" t="str">
        <f aca="false">IF(OR(E521="",E521="!!!"),"",IF(OR(J521=0,AND(J521=1,K521=1),AND(J521=1,I521="SBJ"),AND(J521=1,I521=0)),"?IN_FOCUS",IF(J521&lt;=2,"?ACTIVATED",IF(J521&lt;&gt;"","?FAMILIAR",IF(F521="NEW",IF(ISNA(VLOOKUP(E521,#REF!,1,FALSE())),"?TYPE_IDENTIFIABLE","?REFERENTIAL"),"_")))))</f>
        <v/>
      </c>
      <c r="H521" s="13" t="str">
        <f aca="false">IF(J521&lt;&gt;1,"",IF(I521="SBJ","CB","?"))</f>
        <v/>
      </c>
      <c r="I521" s="14" t="str">
        <f aca="false">IF(OR(E521="",E521="!!!",F521="NEW"),"",INDEX(B$2:B520,-1+SUMPRODUCT(MAX(ROW(E$2:E520)*(E521=E$2:E520)))))</f>
        <v/>
      </c>
      <c r="J521" s="15" t="str">
        <f aca="true">IF(OR(E521="",E521="!!!",F521="NEW"),"",COUNTBLANK(OFFSET(A$1,,,SUMPRODUCT(MAX(ROW(E$2:E521)*(E521=E$2:E521)))))-COUNTBLANK(OFFSET(A$1,,,SUMPRODUCT(MAX(ROW(E$1:E520)*(E521=E$1:E520))))))</f>
        <v/>
      </c>
      <c r="K521" s="15" t="str">
        <f aca="false">IF(OR(E521="",E521="!!!",F521="NEW"),"",INDEX(J$1:J520,SUMPRODUCT(MAX(ROW(E$1:E520)*(E521=E$1:E520)))))</f>
        <v/>
      </c>
      <c r="L521" s="16"/>
    </row>
    <row r="522" customFormat="false" ht="12.75" hidden="false" customHeight="false" outlineLevel="0" collapsed="false">
      <c r="A522" s="9" t="s">
        <v>253</v>
      </c>
      <c r="E522" s="10" t="str">
        <f aca="false">IF(D522="?OLD","!!!","")</f>
        <v/>
      </c>
      <c r="F522" s="11" t="str">
        <f aca="false">IF(OR(E522="",E522="!!!"),"",IF(NOT(ISNA(VLOOKUP(E522,E$1:E521,1,FALSE()))),"OLD",IF(AND(E522&lt;&gt;"",E522&lt;&gt;"!!!"),"NEW","")))</f>
        <v/>
      </c>
      <c r="G522" s="12" t="str">
        <f aca="false">IF(OR(E522="",E522="!!!"),"",IF(OR(J522=0,AND(J522=1,K522=1),AND(J522=1,I522="SBJ"),AND(J522=1,I522=0)),"?IN_FOCUS",IF(J522&lt;=2,"?ACTIVATED",IF(J522&lt;&gt;"","?FAMILIAR",IF(F522="NEW",IF(ISNA(VLOOKUP(E522,#REF!,1,FALSE())),"?TYPE_IDENTIFIABLE","?REFERENTIAL"),"_")))))</f>
        <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row>
    <row r="523" customFormat="false" ht="12.75" hidden="false" customHeight="false" outlineLevel="0" collapsed="false">
      <c r="A523" s="9" t="s">
        <v>318</v>
      </c>
      <c r="E523" s="10" t="str">
        <f aca="false">IF(D523="?OLD","!!!","")</f>
        <v/>
      </c>
      <c r="F523" s="11" t="str">
        <f aca="false">IF(OR(E523="",E523="!!!"),"",IF(NOT(ISNA(VLOOKUP(E523,E$1:E522,1,FALSE()))),"OLD",IF(AND(E523&lt;&gt;"",E523&lt;&gt;"!!!"),"NEW","")))</f>
        <v/>
      </c>
      <c r="G523" s="12" t="str">
        <f aca="false">IF(OR(E523="",E523="!!!"),"",IF(OR(J523=0,AND(J523=1,K523=1),AND(J523=1,I523="SBJ"),AND(J523=1,I523=0)),"?IN_FOCUS",IF(J523&lt;=2,"?ACTIVATED",IF(J523&lt;&gt;"","?FAMILIAR",IF(F523="NEW",IF(ISNA(VLOOKUP(E523,#REF!,1,FALSE())),"?TYPE_IDENTIFIABLE","?REFERENTIAL"),"_")))))</f>
        <v/>
      </c>
      <c r="H523" s="13" t="str">
        <f aca="false">IF(J523&lt;&gt;1,"",IF(I523="SBJ","CB","?"))</f>
        <v/>
      </c>
      <c r="I523" s="14" t="str">
        <f aca="false">IF(OR(E523="",E523="!!!",F523="NEW"),"",INDEX(B$2:B522,-1+SUMPRODUCT(MAX(ROW(E$2:E522)*(E523=E$2:E522)))))</f>
        <v/>
      </c>
      <c r="J523" s="15" t="str">
        <f aca="true">IF(OR(E523="",E523="!!!",F523="NEW"),"",COUNTBLANK(OFFSET(A$1,,,SUMPRODUCT(MAX(ROW(E$2:E523)*(E523=E$2:E523)))))-COUNTBLANK(OFFSET(A$1,,,SUMPRODUCT(MAX(ROW(E$1:E522)*(E523=E$1:E522))))))</f>
        <v/>
      </c>
      <c r="K523" s="15" t="str">
        <f aca="false">IF(OR(E523="",E523="!!!",F523="NEW"),"",INDEX(J$1:J522,SUMPRODUCT(MAX(ROW(E$1:E522)*(E523=E$1:E522)))))</f>
        <v/>
      </c>
      <c r="L523" s="16"/>
    </row>
    <row r="524" customFormat="false" ht="12.75" hidden="false" customHeight="false" outlineLevel="0" collapsed="false">
      <c r="A524" s="9" t="s">
        <v>81</v>
      </c>
      <c r="E524" s="10" t="str">
        <f aca="false">IF(D524="?OLD","!!!","")</f>
        <v/>
      </c>
      <c r="F524" s="11" t="str">
        <f aca="false">IF(OR(E524="",E524="!!!"),"",IF(NOT(ISNA(VLOOKUP(E524,E$1:E523,1,FALSE()))),"OLD",IF(AND(E524&lt;&gt;"",E524&lt;&gt;"!!!"),"NEW","")))</f>
        <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75" hidden="false" customHeight="false" outlineLevel="0" collapsed="false">
      <c r="A525" s="9" t="s">
        <v>15</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75" hidden="false" customHeight="false" outlineLevel="0" collapsed="false">
      <c r="A526" s="9" t="s">
        <v>319</v>
      </c>
      <c r="B526" s="0" t="s">
        <v>24</v>
      </c>
      <c r="C526" s="0" t="s">
        <v>83</v>
      </c>
      <c r="D526" s="0" t="s">
        <v>19</v>
      </c>
      <c r="E526" s="10" t="s">
        <v>320</v>
      </c>
      <c r="F526" s="11" t="str">
        <f aca="false">IF(OR(E526="",E526="!!!"),"",IF(NOT(ISNA(VLOOKUP(E526,E$1:E525,1,FALSE()))),"OLD",IF(AND(E526&lt;&gt;"",E526&lt;&gt;"!!!"),"NEW","")))</f>
        <v>NEW</v>
      </c>
      <c r="G526" s="12" t="s">
        <v>21</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row>
    <row r="527" customFormat="false" ht="12.75" hidden="false" customHeight="false" outlineLevel="0" collapsed="false">
      <c r="A527" s="9" t="s">
        <v>22</v>
      </c>
      <c r="E527" s="10" t="str">
        <f aca="false">IF(D527="?OLD","!!!","")</f>
        <v/>
      </c>
      <c r="F527" s="11" t="str">
        <f aca="false">IF(OR(E527="",E527="!!!"),"",IF(NOT(ISNA(VLOOKUP(E527,E$1:E526,1,FALSE()))),"OLD",IF(AND(E527&lt;&gt;"",E527&lt;&gt;"!!!"),"NEW","")))</f>
        <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75" hidden="false" customHeight="false" outlineLevel="0" collapsed="false">
      <c r="A528" s="9" t="s">
        <v>15</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75" hidden="false" customHeight="false" outlineLevel="0" collapsed="false">
      <c r="A529" s="9" t="s">
        <v>314</v>
      </c>
      <c r="B529" s="0" t="s">
        <v>62</v>
      </c>
      <c r="C529" s="0" t="s">
        <v>103</v>
      </c>
      <c r="D529" s="0" t="s">
        <v>19</v>
      </c>
      <c r="E529" s="10" t="s">
        <v>187</v>
      </c>
      <c r="F529" s="11" t="str">
        <f aca="false">IF(OR(E529="",E529="!!!"),"",IF(NOT(ISNA(VLOOKUP(E529,E$1:E528,1,FALSE()))),"OLD",IF(AND(E529&lt;&gt;"",E529&lt;&gt;"!!!"),"NEW","")))</f>
        <v>OLD</v>
      </c>
      <c r="G529" s="12" t="s">
        <v>65</v>
      </c>
      <c r="H529" s="13" t="s">
        <v>7</v>
      </c>
      <c r="I529" s="14" t="str">
        <f aca="false">IF(OR(E529="",E529="!!!",F529="NEW"),"",INDEX(B$2:B528,-1+SUMPRODUCT(MAX(ROW(E$2:E528)*(E529=E$2:E528)))))</f>
        <v>other_3</v>
      </c>
      <c r="J529" s="15" t="n">
        <f aca="true">IF(OR(E529="",E529="!!!",F529="NEW"),"",COUNTBLANK(OFFSET(A$1,,,SUMPRODUCT(MAX(ROW(E$2:E529)*(E529=E$2:E529)))))-COUNTBLANK(OFFSET(A$1,,,SUMPRODUCT(MAX(ROW(E$1:E528)*(E529=E$1:E528))))))</f>
        <v>1</v>
      </c>
      <c r="K529" s="15" t="n">
        <f aca="false">IF(OR(E529="",E529="!!!",F529="NEW"),"",INDEX(J$1:J528,SUMPRODUCT(MAX(ROW(E$1:E528)*(E529=E$1:E528)))))</f>
        <v>1</v>
      </c>
      <c r="L529" s="16"/>
    </row>
    <row r="530" customFormat="false" ht="12.75" hidden="false" customHeight="false" outlineLevel="0" collapsed="false">
      <c r="A530" s="9" t="s">
        <v>253</v>
      </c>
      <c r="E530" s="10" t="str">
        <f aca="false">IF(D530="?OLD","!!!","")</f>
        <v/>
      </c>
      <c r="F530" s="11" t="str">
        <f aca="false">IF(OR(E530="",E530="!!!"),"",IF(NOT(ISNA(VLOOKUP(E530,E$1:E529,1,FALSE()))),"OLD",IF(AND(E530&lt;&gt;"",E530&lt;&gt;"!!!"),"NEW","")))</f>
        <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IF(OR(E530="",E530="!!!",F530="NEW"),"",INDEX(B$2:B529,-1+SUMPRODUCT(MAX(ROW(E$2:E529)*(E530=E$2:E529)))))</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75" hidden="false" customHeight="false" outlineLevel="0" collapsed="false">
      <c r="A531" s="9" t="s">
        <v>225</v>
      </c>
      <c r="E531" s="10" t="str">
        <f aca="false">IF(D531="?OLD","!!!","")</f>
        <v/>
      </c>
      <c r="F531" s="11" t="str">
        <f aca="false">IF(OR(E531="",E531="!!!"),"",IF(NOT(ISNA(VLOOKUP(E531,E$1:E530,1,FALSE()))),"OLD",IF(AND(E531&lt;&gt;"",E531&lt;&gt;"!!!"),"NEW","")))</f>
        <v/>
      </c>
      <c r="G531" s="12" t="str">
        <f aca="false">IF(OR(E531="",E531="!!!"),"",IF(OR(J531=0,AND(J531=1,K531=1),AND(J531=1,I531="SBJ"),AND(J531=1,I531=0)),"?IN_FOCUS",IF(J531&lt;=2,"?ACTIVATED",IF(J531&lt;&gt;"","?FAMILIAR",IF(F531="NEW",IF(ISNA(VLOOKUP(E531,#REF!,1,FALSE())),"?TYPE_IDENTIFIABLE","?REFERENTIAL"),"_")))))</f>
        <v/>
      </c>
      <c r="H531" s="13" t="str">
        <f aca="false">IF(J531&lt;&gt;1,"",IF(I531="SBJ","CB","?"))</f>
        <v/>
      </c>
      <c r="I531" s="14" t="str">
        <f aca="false">IF(OR(E531="",E531="!!!",F531="NEW"),"",INDEX(B$2:B530,-1+SUMPRODUCT(MAX(ROW(E$2:E530)*(E531=E$2:E530)))))</f>
        <v/>
      </c>
      <c r="J531" s="15" t="str">
        <f aca="true">IF(OR(E531="",E531="!!!",F531="NEW"),"",COUNTBLANK(OFFSET(A$1,,,SUMPRODUCT(MAX(ROW(E$2:E531)*(E531=E$2:E531)))))-COUNTBLANK(OFFSET(A$1,,,SUMPRODUCT(MAX(ROW(E$1:E530)*(E531=E$1:E530))))))</f>
        <v/>
      </c>
      <c r="K531" s="15" t="str">
        <f aca="false">IF(OR(E531="",E531="!!!",F531="NEW"),"",INDEX(J$1:J530,SUMPRODUCT(MAX(ROW(E$1:E530)*(E531=E$1:E530)))))</f>
        <v/>
      </c>
      <c r="L531" s="16"/>
    </row>
    <row r="532" customFormat="false" ht="12.75" hidden="false" customHeight="false" outlineLevel="0" collapsed="false">
      <c r="A532" s="9" t="s">
        <v>321</v>
      </c>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75" hidden="false" customHeight="false" outlineLevel="0" collapsed="false">
      <c r="A533" s="9" t="s">
        <v>44</v>
      </c>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75" hidden="false" customHeight="false" outlineLevel="0" collapsed="false">
      <c r="A534" s="9" t="s">
        <v>251</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75" hidden="false" customHeight="false" outlineLevel="0" collapsed="false">
      <c r="E535" s="10" t="str">
        <f aca="false">IF(D535="?OLD","!!!","")</f>
        <v/>
      </c>
      <c r="F535" s="11" t="str">
        <f aca="false">IF(OR(E535="",E535="!!!"),"",IF(NOT(ISNA(VLOOKUP(E535,E$1:E534,1,FALSE()))),"OLD",IF(AND(E535&lt;&gt;"",E535&lt;&gt;"!!!"),"NEW","")))</f>
        <v/>
      </c>
      <c r="G535" s="12" t="str">
        <f aca="false">IF(OR(E535="",E535="!!!"),"",IF(OR(J535=0,AND(J535=1,K535=1),AND(J535=1,I535="SBJ"),AND(J535=1,I535=0)),"?IN_FOCUS",IF(J535&lt;=2,"?ACTIVATED",IF(J535&lt;&gt;"","?FAMILIAR",IF(F535="NEW",IF(ISNA(VLOOKUP(E535,#REF!,1,FALSE())),"?TYPE_IDENTIFIABLE","?REFERENTIAL"),"_")))))</f>
        <v/>
      </c>
      <c r="H535" s="13" t="str">
        <f aca="false">IF(J535&lt;&gt;1,"",IF(I535="SBJ","CB","?"))</f>
        <v/>
      </c>
      <c r="I535" s="14" t="str">
        <f aca="false">IF(OR(E535="",E535="!!!",F535="NEW"),"",INDEX(B$2:B534,-1+SUMPRODUCT(MAX(ROW(E$2:E534)*(E535=E$2:E534)))))</f>
        <v/>
      </c>
      <c r="J535" s="15" t="str">
        <f aca="true">IF(OR(E535="",E535="!!!",F535="NEW"),"",COUNTBLANK(OFFSET(A$1,,,SUMPRODUCT(MAX(ROW(E$2:E535)*(E535=E$2:E535)))))-COUNTBLANK(OFFSET(A$1,,,SUMPRODUCT(MAX(ROW(E$1:E534)*(E535=E$1:E534))))))</f>
        <v/>
      </c>
      <c r="K535" s="15" t="str">
        <f aca="false">IF(OR(E535="",E535="!!!",F535="NEW"),"",INDEX(J$1:J534,SUMPRODUCT(MAX(ROW(E$1:E534)*(E535=E$1:E534)))))</f>
        <v/>
      </c>
      <c r="L535" s="16"/>
    </row>
    <row r="536" customFormat="false" ht="12.75" hidden="false" customHeight="false" outlineLevel="0" collapsed="false">
      <c r="A536" s="9" t="s">
        <v>132</v>
      </c>
      <c r="E536" s="10" t="str">
        <f aca="false">IF(D536="?OLD","!!!","")</f>
        <v/>
      </c>
      <c r="F536" s="11" t="str">
        <f aca="false">IF(OR(E536="",E536="!!!"),"",IF(NOT(ISNA(VLOOKUP(E536,E$1:E535,1,FALSE()))),"OLD",IF(AND(E536&lt;&gt;"",E536&lt;&gt;"!!!"),"NEW","")))</f>
        <v/>
      </c>
      <c r="G536" s="12" t="str">
        <f aca="false">IF(OR(E536="",E536="!!!"),"",IF(OR(J536=0,AND(J536=1,K536=1),AND(J536=1,I536="SBJ"),AND(J536=1,I536=0)),"?IN_FOCUS",IF(J536&lt;=2,"?ACTIVATED",IF(J536&lt;&gt;"","?FAMILIAR",IF(F536="NEW",IF(ISNA(VLOOKUP(E536,#REF!,1,FALSE())),"?TYPE_IDENTIFIABLE","?REFERENTIAL"),"_")))))</f>
        <v/>
      </c>
      <c r="H536" s="13" t="str">
        <f aca="false">IF(J536&lt;&gt;1,"",IF(I536="SBJ","CB","?"))</f>
        <v/>
      </c>
      <c r="I536" s="14" t="str">
        <f aca="false">IF(OR(E536="",E536="!!!",F536="NEW"),"",INDEX(B$2:B535,-1+SUMPRODUCT(MAX(ROW(E$2:E535)*(E536=E$2:E535)))))</f>
        <v/>
      </c>
      <c r="J536" s="15" t="str">
        <f aca="true">IF(OR(E536="",E536="!!!",F536="NEW"),"",COUNTBLANK(OFFSET(A$1,,,SUMPRODUCT(MAX(ROW(E$2:E536)*(E536=E$2:E536)))))-COUNTBLANK(OFFSET(A$1,,,SUMPRODUCT(MAX(ROW(E$1:E535)*(E536=E$1:E535))))))</f>
        <v/>
      </c>
      <c r="K536" s="15" t="str">
        <f aca="false">IF(OR(E536="",E536="!!!",F536="NEW"),"",INDEX(J$1:J535,SUMPRODUCT(MAX(ROW(E$1:E535)*(E536=E$1:E535)))))</f>
        <v/>
      </c>
      <c r="L536" s="16"/>
    </row>
    <row r="537" customFormat="false" ht="12.75" hidden="false" customHeight="false" outlineLevel="0" collapsed="false">
      <c r="A537" s="9" t="s">
        <v>322</v>
      </c>
      <c r="E537" s="10" t="str">
        <f aca="false">IF(D537="?OLD","!!!","")</f>
        <v/>
      </c>
      <c r="F537" s="11" t="str">
        <f aca="false">IF(OR(E537="",E537="!!!"),"",IF(NOT(ISNA(VLOOKUP(E537,E$1:E536,1,FALSE()))),"OLD",IF(AND(E537&lt;&gt;"",E537&lt;&gt;"!!!"),"NEW","")))</f>
        <v/>
      </c>
      <c r="G537" s="12" t="str">
        <f aca="false">IF(OR(E537="",E537="!!!"),"",IF(OR(J537=0,AND(J537=1,K537=1),AND(J537=1,I537="SBJ"),AND(J537=1,I537=0)),"?IN_FOCUS",IF(J537&lt;=2,"?ACTIVATED",IF(J537&lt;&gt;"","?FAMILIAR",IF(F537="NEW",IF(ISNA(VLOOKUP(E537,#REF!,1,FALSE())),"?TYPE_IDENTIFIABLE","?REFERENTIAL"),"_")))))</f>
        <v/>
      </c>
      <c r="H537" s="13" t="str">
        <f aca="false">IF(J537&lt;&gt;1,"",IF(I537="SBJ","CB","?"))</f>
        <v/>
      </c>
      <c r="I537" s="14" t="str">
        <f aca="false">IF(OR(E537="",E537="!!!",F537="NEW"),"",INDEX(B$2:B536,-1+SUMPRODUCT(MAX(ROW(E$2:E536)*(E537=E$2:E536)))))</f>
        <v/>
      </c>
      <c r="J537" s="15" t="str">
        <f aca="true">IF(OR(E537="",E537="!!!",F537="NEW"),"",COUNTBLANK(OFFSET(A$1,,,SUMPRODUCT(MAX(ROW(E$2:E537)*(E537=E$2:E537)))))-COUNTBLANK(OFFSET(A$1,,,SUMPRODUCT(MAX(ROW(E$1:E536)*(E537=E$1:E536))))))</f>
        <v/>
      </c>
      <c r="K537" s="15" t="str">
        <f aca="false">IF(OR(E537="",E537="!!!",F537="NEW"),"",INDEX(J$1:J536,SUMPRODUCT(MAX(ROW(E$1:E536)*(E537=E$1:E536)))))</f>
        <v/>
      </c>
      <c r="L537" s="16"/>
    </row>
    <row r="538" customFormat="false" ht="12.75" hidden="false" customHeight="false" outlineLevel="0" collapsed="false">
      <c r="A538" s="9" t="s">
        <v>138</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75" hidden="false" customHeight="false" outlineLevel="0" collapsed="false">
      <c r="A539" s="9" t="s">
        <v>323</v>
      </c>
      <c r="B539" s="0" t="s">
        <v>30</v>
      </c>
      <c r="C539" s="0" t="s">
        <v>103</v>
      </c>
      <c r="D539" s="0" t="s">
        <v>19</v>
      </c>
      <c r="E539" s="10" t="s">
        <v>324</v>
      </c>
      <c r="F539" s="11" t="str">
        <f aca="false">IF(OR(E539="",E539="!!!"),"",IF(NOT(ISNA(VLOOKUP(E539,E$1:E538,1,FALSE()))),"OLD",IF(AND(E539&lt;&gt;"",E539&lt;&gt;"!!!"),"NEW","")))</f>
        <v>NEW</v>
      </c>
      <c r="G539" s="12" t="s">
        <v>21</v>
      </c>
      <c r="H539" s="13" t="str">
        <f aca="false">IF(J539&lt;&gt;1,"",IF(I539="SBJ","CB","?"))</f>
        <v/>
      </c>
      <c r="I539" s="14" t="str">
        <f aca="false">IF(OR(E539="",E539="!!!",F539="NEW"),"",INDEX(B$2:B538,-1+SUMPRODUCT(MAX(ROW(E$2:E538)*(E539=E$2:E538)))))</f>
        <v/>
      </c>
      <c r="J539" s="15" t="str">
        <f aca="true">IF(OR(E539="",E539="!!!",F539="NEW"),"",COUNTBLANK(OFFSET(A$1,,,SUMPRODUCT(MAX(ROW(E$2:E539)*(E539=E$2:E539)))))-COUNTBLANK(OFFSET(A$1,,,SUMPRODUCT(MAX(ROW(E$1:E538)*(E539=E$1:E538))))))</f>
        <v/>
      </c>
      <c r="K539" s="15" t="str">
        <f aca="false">IF(OR(E539="",E539="!!!",F539="NEW"),"",INDEX(J$1:J538,SUMPRODUCT(MAX(ROW(E$1:E538)*(E539=E$1:E538)))))</f>
        <v/>
      </c>
      <c r="L539" s="16"/>
    </row>
    <row r="540" customFormat="false" ht="12.75" hidden="false" customHeight="false" outlineLevel="0" collapsed="false">
      <c r="A540" s="9" t="s">
        <v>22</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75" hidden="false" customHeight="false" outlineLevel="0" collapsed="false">
      <c r="A541" s="9" t="s">
        <v>325</v>
      </c>
      <c r="B541" s="0" t="s">
        <v>75</v>
      </c>
      <c r="C541" s="0" t="s">
        <v>103</v>
      </c>
      <c r="D541" s="0" t="s">
        <v>19</v>
      </c>
      <c r="E541" s="10" t="s">
        <v>324</v>
      </c>
      <c r="F541" s="11" t="str">
        <f aca="false">IF(OR(E541="",E541="!!!"),"",IF(NOT(ISNA(VLOOKUP(E541,E$1:E540,1,FALSE()))),"OLD",IF(AND(E541&lt;&gt;"",E541&lt;&gt;"!!!"),"NEW","")))</f>
        <v>OLD</v>
      </c>
      <c r="G541" s="12" t="s">
        <v>65</v>
      </c>
      <c r="H541" s="13" t="str">
        <f aca="false">IF(J541&lt;&gt;1,"",IF(I541="SBJ","CB","?"))</f>
        <v/>
      </c>
      <c r="I541" s="14" t="str">
        <f aca="false">IF(OR(E541="",E541="!!!",F541="NEW"),"",INDEX(B$2:B540,-1+SUMPRODUCT(MAX(ROW(E$2:E540)*(E541=E$2:E540)))))</f>
        <v>SBJ</v>
      </c>
      <c r="J541" s="15" t="n">
        <f aca="true">IF(OR(E541="",E541="!!!",F541="NEW"),"",COUNTBLANK(OFFSET(A$1,,,SUMPRODUCT(MAX(ROW(E$2:E541)*(E541=E$2:E541)))))-COUNTBLANK(OFFSET(A$1,,,SUMPRODUCT(MAX(ROW(E$1:E540)*(E541=E$1:E540))))))</f>
        <v>0</v>
      </c>
      <c r="K541" s="15" t="str">
        <f aca="false">IF(OR(E541="",E541="!!!",F541="NEW"),"",INDEX(J$1:J540,SUMPRODUCT(MAX(ROW(E$1:E540)*(E541=E$1:E540)))))</f>
        <v/>
      </c>
      <c r="L541" s="16"/>
    </row>
    <row r="542" customFormat="false" ht="12.75" hidden="false" customHeight="false" outlineLevel="0" collapsed="false">
      <c r="A542" s="9" t="s">
        <v>28</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75" hidden="false" customHeight="false" outlineLevel="0" collapsed="false">
      <c r="A543" s="9" t="s">
        <v>151</v>
      </c>
      <c r="E543" s="10" t="str">
        <f aca="false">IF(D543="?OLD","!!!","")</f>
        <v/>
      </c>
      <c r="F543" s="11" t="str">
        <f aca="false">IF(OR(E543="",E543="!!!"),"",IF(NOT(ISNA(VLOOKUP(E543,E$1:E542,1,FALSE()))),"OLD",IF(AND(E543&lt;&gt;"",E543&lt;&gt;"!!!"),"NEW","")))</f>
        <v/>
      </c>
      <c r="G543" s="12" t="str">
        <f aca="false">IF(OR(E543="",E543="!!!"),"",IF(OR(J543=0,AND(J543=1,K543=1),AND(J543=1,I543="SBJ"),AND(J543=1,I543=0)),"?IN_FOCUS",IF(J543&lt;=2,"?ACTIVATED",IF(J543&lt;&gt;"","?FAMILIAR",IF(F543="NEW",IF(ISNA(VLOOKUP(E543,#REF!,1,FALSE())),"?TYPE_IDENTIFIABLE","?REFERENTIAL"),"_")))))</f>
        <v/>
      </c>
      <c r="H543" s="13" t="str">
        <f aca="false">IF(J543&lt;&gt;1,"",IF(I543="SBJ","CB","?"))</f>
        <v/>
      </c>
      <c r="I543" s="14" t="str">
        <f aca="false">IF(OR(E543="",E543="!!!",F543="NEW"),"",INDEX(B$2:B542,-1+SUMPRODUCT(MAX(ROW(E$2:E542)*(E543=E$2:E542)))))</f>
        <v/>
      </c>
      <c r="J543" s="15" t="str">
        <f aca="true">IF(OR(E543="",E543="!!!",F543="NEW"),"",COUNTBLANK(OFFSET(A$1,,,SUMPRODUCT(MAX(ROW(E$2:E543)*(E543=E$2:E543)))))-COUNTBLANK(OFFSET(A$1,,,SUMPRODUCT(MAX(ROW(E$1:E542)*(E543=E$1:E542))))))</f>
        <v/>
      </c>
      <c r="K543" s="15" t="str">
        <f aca="false">IF(OR(E543="",E543="!!!",F543="NEW"),"",INDEX(J$1:J542,SUMPRODUCT(MAX(ROW(E$1:E542)*(E543=E$1:E542)))))</f>
        <v/>
      </c>
      <c r="L543" s="16"/>
    </row>
    <row r="544" customFormat="false" ht="12.75" hidden="false" customHeight="false" outlineLevel="0" collapsed="false">
      <c r="A544" s="9" t="s">
        <v>142</v>
      </c>
      <c r="E544" s="10" t="str">
        <f aca="false">IF(D544="?OLD","!!!","")</f>
        <v/>
      </c>
      <c r="F544" s="11" t="str">
        <f aca="false">IF(OR(E544="",E544="!!!"),"",IF(NOT(ISNA(VLOOKUP(E544,E$1:E543,1,FALSE()))),"OLD",IF(AND(E544&lt;&gt;"",E544&lt;&gt;"!!!"),"NEW","")))</f>
        <v/>
      </c>
      <c r="G544" s="12" t="str">
        <f aca="false">IF(OR(E544="",E544="!!!"),"",IF(OR(J544=0,AND(J544=1,K544=1),AND(J544=1,I544="SBJ"),AND(J544=1,I544=0)),"?IN_FOCUS",IF(J544&lt;=2,"?ACTIVATED",IF(J544&lt;&gt;"","?FAMILIAR",IF(F544="NEW",IF(ISNA(VLOOKUP(E544,#REF!,1,FALSE())),"?TYPE_IDENTIFIABLE","?REFERENTIAL"),"_")))))</f>
        <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75" hidden="false" customHeight="false" outlineLevel="0" collapsed="false">
      <c r="A545" s="9" t="s">
        <v>229</v>
      </c>
      <c r="B545" s="0" t="s">
        <v>152</v>
      </c>
      <c r="C545" s="0" t="s">
        <v>114</v>
      </c>
      <c r="D545" s="0" t="s">
        <v>19</v>
      </c>
      <c r="E545" s="10"/>
      <c r="F545" s="11" t="s">
        <v>224</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IF(OR(E545="",E545="!!!",F545="NEW"),"",INDEX(B$2:B544,-1+SUMPRODUCT(MAX(ROW(E$2:E544)*(E545=E$2:E544)))))</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75" hidden="false" customHeight="false" outlineLevel="0" collapsed="false">
      <c r="A546" s="9" t="s">
        <v>188</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IF(OR(E546="",E546="!!!",F546="NEW"),"",INDEX(B$2:B545,-1+SUMPRODUCT(MAX(ROW(E$2:E545)*(E546=E$2:E545)))))</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75" hidden="false" customHeight="false" outlineLevel="0" collapsed="false">
      <c r="E547" s="10" t="str">
        <f aca="false">IF(D547="?OLD","!!!","")</f>
        <v/>
      </c>
      <c r="F547" s="11" t="str">
        <f aca="false">IF(OR(E547="",E547="!!!"),"",IF(NOT(ISNA(VLOOKUP(E547,E$1:E546,1,FALSE()))),"OLD",IF(AND(E547&lt;&gt;"",E547&lt;&gt;"!!!"),"NEW","")))</f>
        <v/>
      </c>
      <c r="G547" s="12" t="str">
        <f aca="false">IF(OR(E547="",E547="!!!"),"",IF(OR(J547=0,AND(J547=1,K547=1),AND(J547=1,I547="SBJ"),AND(J547=1,I547=0)),"?IN_FOCUS",IF(J547&lt;=2,"?ACTIVATED",IF(J547&lt;&gt;"","?FAMILIAR",IF(F547="NEW",IF(ISNA(VLOOKUP(E547,#REF!,1,FALSE())),"?TYPE_IDENTIFIABLE","?REFERENTIAL"),"_")))))</f>
        <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75" hidden="false" customHeight="false" outlineLevel="0" collapsed="false">
      <c r="A548" s="9" t="s">
        <v>326</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75" hidden="false" customHeight="false" outlineLevel="0" collapsed="false">
      <c r="A549" s="9" t="s">
        <v>327</v>
      </c>
      <c r="E549" s="10" t="str">
        <f aca="false">IF(D549="?OLD","!!!","")</f>
        <v/>
      </c>
      <c r="F549" s="11" t="str">
        <f aca="false">IF(OR(E549="",E549="!!!"),"",IF(NOT(ISNA(VLOOKUP(E549,E$1:E548,1,FALSE()))),"OLD",IF(AND(E549&lt;&gt;"",E549&lt;&gt;"!!!"),"NEW","")))</f>
        <v/>
      </c>
      <c r="G549" s="12" t="str">
        <f aca="false">IF(OR(E549="",E549="!!!"),"",IF(OR(J549=0,AND(J549=1,K549=1),AND(J549=1,I549="SBJ"),AND(J549=1,I549=0)),"?IN_FOCUS",IF(J549&lt;=2,"?ACTIVATED",IF(J549&lt;&gt;"","?FAMILIAR",IF(F549="NEW",IF(ISNA(VLOOKUP(E549,#REF!,1,FALSE())),"?TYPE_IDENTIFIABLE","?REFERENTIAL"),"_")))))</f>
        <v/>
      </c>
      <c r="H549" s="13" t="str">
        <f aca="false">IF(J549&lt;&gt;1,"",IF(I549="SBJ","CB","?"))</f>
        <v/>
      </c>
      <c r="I549" s="14" t="str">
        <f aca="false">IF(OR(E549="",E549="!!!",F549="NEW"),"",INDEX(B$2:B548,-1+SUMPRODUCT(MAX(ROW(E$2:E548)*(E549=E$2:E548)))))</f>
        <v/>
      </c>
      <c r="J549" s="15" t="str">
        <f aca="true">IF(OR(E549="",E549="!!!",F549="NEW"),"",COUNTBLANK(OFFSET(A$1,,,SUMPRODUCT(MAX(ROW(E$2:E549)*(E549=E$2:E549)))))-COUNTBLANK(OFFSET(A$1,,,SUMPRODUCT(MAX(ROW(E$1:E548)*(E549=E$1:E548))))))</f>
        <v/>
      </c>
      <c r="K549" s="15" t="str">
        <f aca="false">IF(OR(E549="",E549="!!!",F549="NEW"),"",INDEX(J$1:J548,SUMPRODUCT(MAX(ROW(E$1:E548)*(E549=E$1:E548)))))</f>
        <v/>
      </c>
      <c r="L549" s="16"/>
    </row>
    <row r="550" customFormat="false" ht="12.75" hidden="false" customHeight="false" outlineLevel="0" collapsed="false">
      <c r="A550" s="9" t="s">
        <v>22</v>
      </c>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75" hidden="false" customHeight="false" outlineLevel="0" collapsed="false">
      <c r="A551" s="9" t="s">
        <v>328</v>
      </c>
      <c r="B551" s="0" t="s">
        <v>40</v>
      </c>
      <c r="C551" s="0" t="s">
        <v>103</v>
      </c>
      <c r="D551" s="0" t="s">
        <v>19</v>
      </c>
      <c r="E551" s="10" t="s">
        <v>327</v>
      </c>
      <c r="F551" s="11" t="str">
        <f aca="false">IF(OR(E551="",E551="!!!"),"",IF(NOT(ISNA(VLOOKUP(E551,E$1:E550,1,FALSE()))),"OLD",IF(AND(E551&lt;&gt;"",E551&lt;&gt;"!!!"),"NEW","")))</f>
        <v>NEW</v>
      </c>
      <c r="G551" s="12" t="s">
        <v>52</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75" hidden="false" customHeight="false" outlineLevel="0" collapsed="false">
      <c r="A552" s="9" t="s">
        <v>28</v>
      </c>
      <c r="E552" s="10" t="str">
        <f aca="false">IF(D552="?OLD","!!!","")</f>
        <v/>
      </c>
      <c r="F552" s="11" t="str">
        <f aca="false">IF(OR(E552="",E552="!!!"),"",IF(NOT(ISNA(VLOOKUP(E552,E$1:E551,1,FALSE()))),"OLD",IF(AND(E552&lt;&gt;"",E552&lt;&gt;"!!!"),"NEW","")))</f>
        <v/>
      </c>
      <c r="G552" s="12" t="str">
        <f aca="false">IF(OR(E552="",E552="!!!"),"",IF(OR(J552=0,AND(J552=1,K552=1),AND(J552=1,I552="SBJ"),AND(J552=1,I552=0)),"?IN_FOCUS",IF(J552&lt;=2,"?ACTIVATED",IF(J552&lt;&gt;"","?FAMILIAR",IF(F552="NEW",IF(ISNA(VLOOKUP(E552,#REF!,1,FALSE())),"?TYPE_IDENTIFIABLE","?REFERENTIAL"),"_")))))</f>
        <v/>
      </c>
      <c r="H552" s="13" t="str">
        <f aca="false">IF(J552&lt;&gt;1,"",IF(I552="SBJ","CB","?"))</f>
        <v/>
      </c>
      <c r="I552" s="14" t="str">
        <f aca="false">IF(OR(E552="",E552="!!!",F552="NEW"),"",INDEX(B$2:B551,-1+SUMPRODUCT(MAX(ROW(E$2:E551)*(E552=E$2:E551)))))</f>
        <v/>
      </c>
      <c r="J552" s="15" t="str">
        <f aca="true">IF(OR(E552="",E552="!!!",F552="NEW"),"",COUNTBLANK(OFFSET(A$1,,,SUMPRODUCT(MAX(ROW(E$2:E552)*(E552=E$2:E552)))))-COUNTBLANK(OFFSET(A$1,,,SUMPRODUCT(MAX(ROW(E$1:E551)*(E552=E$1:E551))))))</f>
        <v/>
      </c>
      <c r="K552" s="15" t="str">
        <f aca="false">IF(OR(E552="",E552="!!!",F552="NEW"),"",INDEX(J$1:J551,SUMPRODUCT(MAX(ROW(E$1:E551)*(E552=E$1:E551)))))</f>
        <v/>
      </c>
      <c r="L552" s="16"/>
    </row>
    <row r="553" customFormat="false" ht="12.75" hidden="false" customHeight="false" outlineLevel="0" collapsed="false">
      <c r="A553" s="9" t="s">
        <v>53</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75" hidden="false" customHeight="false" outlineLevel="0" collapsed="false">
      <c r="A554" s="9" t="s">
        <v>329</v>
      </c>
      <c r="B554" s="0" t="s">
        <v>40</v>
      </c>
      <c r="C554" s="0" t="s">
        <v>83</v>
      </c>
      <c r="D554" s="0" t="s">
        <v>19</v>
      </c>
      <c r="E554" s="10" t="s">
        <v>327</v>
      </c>
      <c r="F554" s="11" t="str">
        <f aca="false">IF(OR(E554="",E554="!!!"),"",IF(NOT(ISNA(VLOOKUP(E554,E$1:E553,1,FALSE()))),"OLD",IF(AND(E554&lt;&gt;"",E554&lt;&gt;"!!!"),"NEW","")))</f>
        <v>OLD</v>
      </c>
      <c r="G554" s="12" t="s">
        <v>65</v>
      </c>
      <c r="H554" s="13" t="str">
        <f aca="false">IF(J554&lt;&gt;1,"",IF(I554="SBJ","CB","?"))</f>
        <v/>
      </c>
      <c r="I554" s="14" t="str">
        <f aca="false">IF(OR(E554="",E554="!!!",F554="NEW"),"",INDEX(B$2:B553,-1+SUMPRODUCT(MAX(ROW(E$2:E553)*(E554=E$2:E553)))))</f>
        <v>other</v>
      </c>
      <c r="J554" s="15" t="n">
        <f aca="true">IF(OR(E554="",E554="!!!",F554="NEW"),"",COUNTBLANK(OFFSET(A$1,,,SUMPRODUCT(MAX(ROW(E$2:E554)*(E554=E$2:E554)))))-COUNTBLANK(OFFSET(A$1,,,SUMPRODUCT(MAX(ROW(E$1:E553)*(E554=E$1:E553))))))</f>
        <v>0</v>
      </c>
      <c r="K554" s="15" t="str">
        <f aca="false">IF(OR(E554="",E554="!!!",F554="NEW"),"",INDEX(J$1:J553,SUMPRODUCT(MAX(ROW(E$1:E553)*(E554=E$1:E553)))))</f>
        <v/>
      </c>
      <c r="L554" s="16"/>
    </row>
    <row r="555" customFormat="false" ht="12.75" hidden="false" customHeight="false" outlineLevel="0" collapsed="false">
      <c r="A555" s="9" t="s">
        <v>330</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75" hidden="false" customHeight="false" outlineLevel="0" collapsed="false">
      <c r="A556" s="9" t="s">
        <v>331</v>
      </c>
      <c r="E556" s="10" t="str">
        <f aca="false">IF(D556="?OLD","!!!","")</f>
        <v/>
      </c>
      <c r="F556" s="11" t="str">
        <f aca="false">IF(OR(E556="",E556="!!!"),"",IF(NOT(ISNA(VLOOKUP(E556,E$1:E555,1,FALSE()))),"OLD",IF(AND(E556&lt;&gt;"",E556&lt;&gt;"!!!"),"NEW","")))</f>
        <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75" hidden="false" customHeight="false" outlineLevel="0" collapsed="false">
      <c r="A557" s="9" t="s">
        <v>187</v>
      </c>
      <c r="B557" s="0" t="s">
        <v>75</v>
      </c>
      <c r="C557" s="0" t="s">
        <v>103</v>
      </c>
      <c r="D557" s="0" t="s">
        <v>19</v>
      </c>
      <c r="E557" s="10" t="s">
        <v>187</v>
      </c>
      <c r="F557" s="11" t="str">
        <f aca="false">IF(OR(E557="",E557="!!!"),"",IF(NOT(ISNA(VLOOKUP(E557,E$1:E556,1,FALSE()))),"OLD",IF(AND(E557&lt;&gt;"",E557&lt;&gt;"!!!"),"NEW","")))</f>
        <v>OLD</v>
      </c>
      <c r="G557" s="12" t="s">
        <v>33</v>
      </c>
      <c r="H557" s="13" t="str">
        <f aca="false">IF(J557&lt;&gt;1,"",IF(I557="SBJ","CB","?"))</f>
        <v/>
      </c>
      <c r="I557" s="14" t="str">
        <f aca="false">IF(OR(E557="",E557="!!!",F557="NEW"),"",INDEX(B$2:B556,-1+SUMPRODUCT(MAX(ROW(E$2:E556)*(E557=E$2:E556)))))</f>
        <v>other_4</v>
      </c>
      <c r="J557" s="15" t="n">
        <f aca="true">IF(OR(E557="",E557="!!!",F557="NEW"),"",COUNTBLANK(OFFSET(A$1,,,SUMPRODUCT(MAX(ROW(E$2:E557)*(E557=E$2:E557)))))-COUNTBLANK(OFFSET(A$1,,,SUMPRODUCT(MAX(ROW(E$1:E556)*(E557=E$1:E556))))))</f>
        <v>2</v>
      </c>
      <c r="K557" s="15" t="n">
        <f aca="false">IF(OR(E557="",E557="!!!",F557="NEW"),"",INDEX(J$1:J556,SUMPRODUCT(MAX(ROW(E$1:E556)*(E557=E$1:E556)))))</f>
        <v>1</v>
      </c>
      <c r="L557" s="16"/>
    </row>
    <row r="558" customFormat="false" ht="12.75" hidden="false" customHeight="false" outlineLevel="0" collapsed="false">
      <c r="A558" s="9" t="s">
        <v>78</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75" hidden="false" customHeight="false" outlineLevel="0" collapsed="false">
      <c r="A559" s="9" t="s">
        <v>216</v>
      </c>
      <c r="B559" s="0" t="s">
        <v>75</v>
      </c>
      <c r="C559" s="0" t="s">
        <v>31</v>
      </c>
      <c r="D559" s="0" t="s">
        <v>19</v>
      </c>
      <c r="E559" s="10" t="s">
        <v>324</v>
      </c>
      <c r="F559" s="11" t="str">
        <f aca="false">IF(OR(E559="",E559="!!!"),"",IF(NOT(ISNA(VLOOKUP(E559,E$1:E558,1,FALSE()))),"OLD",IF(AND(E559&lt;&gt;"",E559&lt;&gt;"!!!"),"NEW","")))</f>
        <v>OLD</v>
      </c>
      <c r="G559" s="12" t="s">
        <v>33</v>
      </c>
      <c r="H559" s="13" t="s">
        <v>7</v>
      </c>
      <c r="I559" s="14" t="str">
        <f aca="false">IF(OR(E559="",E559="!!!",F559="NEW"),"",INDEX(B$2:B558,-1+SUMPRODUCT(MAX(ROW(E$2:E558)*(E559=E$2:E558)))))</f>
        <v>other_2</v>
      </c>
      <c r="J559" s="15" t="n">
        <f aca="true">IF(OR(E559="",E559="!!!",F559="NEW"),"",COUNTBLANK(OFFSET(A$1,,,SUMPRODUCT(MAX(ROW(E$2:E559)*(E559=E$2:E559)))))-COUNTBLANK(OFFSET(A$1,,,SUMPRODUCT(MAX(ROW(E$1:E558)*(E559=E$1:E558))))))</f>
        <v>1</v>
      </c>
      <c r="K559" s="15" t="n">
        <f aca="false">IF(OR(E559="",E559="!!!",F559="NEW"),"",INDEX(J$1:J558,SUMPRODUCT(MAX(ROW(E$1:E558)*(E559=E$1:E558)))))</f>
        <v>0</v>
      </c>
      <c r="L559" s="16"/>
    </row>
    <row r="560" customFormat="false" ht="12.75" hidden="false" customHeight="false" outlineLevel="0" collapsed="false">
      <c r="A560" s="9" t="s">
        <v>331</v>
      </c>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75" hidden="false" customHeight="false" outlineLevel="0" collapsed="false">
      <c r="A561" s="9" t="s">
        <v>60</v>
      </c>
      <c r="E561" s="10" t="str">
        <f aca="false">IF(D561="?OLD","!!!","")</f>
        <v/>
      </c>
      <c r="F561" s="11" t="str">
        <f aca="false">IF(OR(E561="",E561="!!!"),"",IF(NOT(ISNA(VLOOKUP(E561,E$1:E560,1,FALSE()))),"OLD",IF(AND(E561&lt;&gt;"",E561&lt;&gt;"!!!"),"NEW","")))</f>
        <v/>
      </c>
      <c r="G561" s="12" t="str">
        <f aca="false">IF(OR(E561="",E561="!!!"),"",IF(OR(J561=0,AND(J561=1,K561=1),AND(J561=1,I561="SBJ"),AND(J561=1,I561=0)),"?IN_FOCUS",IF(J561&lt;=2,"?ACTIVATED",IF(J561&lt;&gt;"","?FAMILIAR",IF(F561="NEW",IF(ISNA(VLOOKUP(E561,#REF!,1,FALSE())),"?TYPE_IDENTIFIABLE","?REFERENTIAL"),"_")))))</f>
        <v/>
      </c>
      <c r="H561" s="13" t="str">
        <f aca="false">IF(J561&lt;&gt;1,"",IF(I561="SBJ","CB","?"))</f>
        <v/>
      </c>
      <c r="I561" s="14" t="str">
        <f aca="false">IF(OR(E561="",E561="!!!",F561="NEW"),"",INDEX(B$2:B560,-1+SUMPRODUCT(MAX(ROW(E$2:E560)*(E561=E$2:E560)))))</f>
        <v/>
      </c>
      <c r="J561" s="15" t="str">
        <f aca="true">IF(OR(E561="",E561="!!!",F561="NEW"),"",COUNTBLANK(OFFSET(A$1,,,SUMPRODUCT(MAX(ROW(E$2:E561)*(E561=E$2:E561)))))-COUNTBLANK(OFFSET(A$1,,,SUMPRODUCT(MAX(ROW(E$1:E560)*(E561=E$1:E560))))))</f>
        <v/>
      </c>
      <c r="K561" s="15" t="str">
        <f aca="false">IF(OR(E561="",E561="!!!",F561="NEW"),"",INDEX(J$1:J560,SUMPRODUCT(MAX(ROW(E$1:E560)*(E561=E$1:E560)))))</f>
        <v/>
      </c>
      <c r="L561" s="16"/>
    </row>
    <row r="562" customFormat="false" ht="12.75" hidden="false" customHeight="false" outlineLevel="0" collapsed="false">
      <c r="A562" s="9" t="s">
        <v>185</v>
      </c>
      <c r="B562" s="0" t="s">
        <v>75</v>
      </c>
      <c r="C562" s="0" t="s">
        <v>25</v>
      </c>
      <c r="E562" s="10" t="str">
        <f aca="false">IF(D562="?OLD","!!!","")</f>
        <v/>
      </c>
      <c r="F562" s="11" t="str">
        <f aca="false">IF(OR(E562="",E562="!!!"),"",IF(NOT(ISNA(VLOOKUP(E562,E$1:E561,1,FALSE()))),"OLD",IF(AND(E562&lt;&gt;"",E562&lt;&gt;"!!!"),"NEW","")))</f>
        <v/>
      </c>
      <c r="G562" s="12" t="str">
        <f aca="false">IF(OR(E562="",E562="!!!"),"",IF(OR(J562=0,AND(J562=1,K562=1),AND(J562=1,I562="SBJ"),AND(J562=1,I562=0)),"?IN_FOCUS",IF(J562&lt;=2,"?ACTIVATED",IF(J562&lt;&gt;"","?FAMILIAR",IF(F562="NEW",IF(ISNA(VLOOKUP(E562,#REF!,1,FALSE())),"?TYPE_IDENTIFIABLE","?REFERENTIAL"),"_")))))</f>
        <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75" hidden="false" customHeight="false" outlineLevel="0" collapsed="false">
      <c r="A563" s="9" t="s">
        <v>63</v>
      </c>
      <c r="E563" s="10" t="str">
        <f aca="false">IF(D563="?OLD","!!!","")</f>
        <v/>
      </c>
      <c r="F563" s="11" t="str">
        <f aca="false">IF(OR(E563="",E563="!!!"),"",IF(NOT(ISNA(VLOOKUP(E563,E$1:E562,1,FALSE()))),"OLD",IF(AND(E563&lt;&gt;"",E563&lt;&gt;"!!!"),"NEW","")))</f>
        <v/>
      </c>
      <c r="G563" s="12" t="str">
        <f aca="false">IF(OR(E563="",E563="!!!"),"",IF(OR(J563=0,AND(J563=1,K563=1),AND(J563=1,I563="SBJ"),AND(J563=1,I563=0)),"?IN_FOCUS",IF(J563&lt;=2,"?ACTIVATED",IF(J563&lt;&gt;"","?FAMILIAR",IF(F563="NEW",IF(ISNA(VLOOKUP(E563,#REF!,1,FALSE())),"?TYPE_IDENTIFIABLE","?REFERENTIAL"),"_")))))</f>
        <v/>
      </c>
      <c r="H563" s="13" t="str">
        <f aca="false">IF(J563&lt;&gt;1,"",IF(I563="SBJ","CB","?"))</f>
        <v/>
      </c>
      <c r="I563" s="14" t="str">
        <f aca="false">IF(OR(E563="",E563="!!!",F563="NEW"),"",INDEX(B$2:B562,-1+SUMPRODUCT(MAX(ROW(E$2:E562)*(E563=E$2:E562)))))</f>
        <v/>
      </c>
      <c r="J563" s="15" t="str">
        <f aca="true">IF(OR(E563="",E563="!!!",F563="NEW"),"",COUNTBLANK(OFFSET(A$1,,,SUMPRODUCT(MAX(ROW(E$2:E563)*(E563=E$2:E563)))))-COUNTBLANK(OFFSET(A$1,,,SUMPRODUCT(MAX(ROW(E$1:E562)*(E563=E$1:E562))))))</f>
        <v/>
      </c>
      <c r="K563" s="15" t="str">
        <f aca="false">IF(OR(E563="",E563="!!!",F563="NEW"),"",INDEX(J$1:J562,SUMPRODUCT(MAX(ROW(E$1:E562)*(E563=E$1:E562)))))</f>
        <v/>
      </c>
      <c r="L563" s="16"/>
    </row>
    <row r="564" customFormat="false" ht="12.75" hidden="false" customHeight="false" outlineLevel="0" collapsed="false">
      <c r="A564" s="9" t="s">
        <v>291</v>
      </c>
      <c r="B564" s="0" t="s">
        <v>24</v>
      </c>
      <c r="C564" s="0" t="s">
        <v>25</v>
      </c>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75" hidden="false" customHeight="false" outlineLevel="0" collapsed="false">
      <c r="A565" s="9" t="s">
        <v>63</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75" hidden="false" customHeight="false" outlineLevel="0" collapsed="false">
      <c r="A566" s="9" t="s">
        <v>293</v>
      </c>
      <c r="B566" s="0" t="s">
        <v>40</v>
      </c>
      <c r="C566" s="0" t="s">
        <v>25</v>
      </c>
      <c r="E566" s="10" t="str">
        <f aca="false">IF(D566="?OLD","!!!","")</f>
        <v/>
      </c>
      <c r="F566" s="11" t="str">
        <f aca="false">IF(OR(E566="",E566="!!!"),"",IF(NOT(ISNA(VLOOKUP(E566,E$1:E565,1,FALSE()))),"OLD",IF(AND(E566&lt;&gt;"",E566&lt;&gt;"!!!"),"NEW","")))</f>
        <v/>
      </c>
      <c r="G566" s="12" t="str">
        <f aca="false">IF(OR(E566="",E566="!!!"),"",IF(OR(J566=0,AND(J566=1,K566=1),AND(J566=1,I566="SBJ"),AND(J566=1,I566=0)),"?IN_FOCUS",IF(J566&lt;=2,"?ACTIVATED",IF(J566&lt;&gt;"","?FAMILIAR",IF(F566="NEW",IF(ISNA(VLOOKUP(E566,#REF!,1,FALSE())),"?TYPE_IDENTIFIABLE","?REFERENTIAL"),"_")))))</f>
        <v/>
      </c>
      <c r="H566" s="13" t="str">
        <f aca="false">IF(J566&lt;&gt;1,"",IF(I566="SBJ","CB","?"))</f>
        <v/>
      </c>
      <c r="I566" s="14" t="str">
        <f aca="false">IF(OR(E566="",E566="!!!",F566="NEW"),"",INDEX(B$2:B565,-1+SUMPRODUCT(MAX(ROW(E$2:E565)*(E566=E$2:E565)))))</f>
        <v/>
      </c>
      <c r="J566" s="15" t="str">
        <f aca="true">IF(OR(E566="",E566="!!!",F566="NEW"),"",COUNTBLANK(OFFSET(A$1,,,SUMPRODUCT(MAX(ROW(E$2:E566)*(E566=E$2:E566)))))-COUNTBLANK(OFFSET(A$1,,,SUMPRODUCT(MAX(ROW(E$1:E565)*(E566=E$1:E565))))))</f>
        <v/>
      </c>
      <c r="K566" s="15" t="str">
        <f aca="false">IF(OR(E566="",E566="!!!",F566="NEW"),"",INDEX(J$1:J565,SUMPRODUCT(MAX(ROW(E$1:E565)*(E566=E$1:E565)))))</f>
        <v/>
      </c>
      <c r="L566" s="16"/>
    </row>
    <row r="567" customFormat="false" ht="12.75" hidden="false" customHeight="false" outlineLevel="0" collapsed="false">
      <c r="A567" s="9" t="s">
        <v>332</v>
      </c>
      <c r="B567" s="0" t="s">
        <v>55</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75" hidden="false" customHeight="false" outlineLevel="0" collapsed="false">
      <c r="A568" s="9" t="s">
        <v>187</v>
      </c>
      <c r="B568" s="0" t="s">
        <v>17</v>
      </c>
      <c r="C568" s="0" t="s">
        <v>103</v>
      </c>
      <c r="D568" s="0" t="s">
        <v>19</v>
      </c>
      <c r="E568" s="10" t="s">
        <v>187</v>
      </c>
      <c r="F568" s="11" t="str">
        <f aca="false">IF(OR(E568="",E568="!!!"),"",IF(NOT(ISNA(VLOOKUP(E568,E$1:E567,1,FALSE()))),"OLD",IF(AND(E568&lt;&gt;"",E568&lt;&gt;"!!!"),"NEW","")))</f>
        <v>OLD</v>
      </c>
      <c r="G568" s="12" t="s">
        <v>65</v>
      </c>
      <c r="H568" s="13" t="str">
        <f aca="false">IF(J568&lt;&gt;1,"",IF(I568="SBJ","CB","?"))</f>
        <v/>
      </c>
      <c r="I568" s="14" t="str">
        <f aca="false">IF(OR(E568="",E568="!!!",F568="NEW"),"",INDEX(B$2:B567,-1+SUMPRODUCT(MAX(ROW(E$2:E567)*(E568=E$2:E567)))))</f>
        <v>other_2</v>
      </c>
      <c r="J568" s="15" t="n">
        <f aca="true">IF(OR(E568="",E568="!!!",F568="NEW"),"",COUNTBLANK(OFFSET(A$1,,,SUMPRODUCT(MAX(ROW(E$2:E568)*(E568=E$2:E568)))))-COUNTBLANK(OFFSET(A$1,,,SUMPRODUCT(MAX(ROW(E$1:E567)*(E568=E$1:E567))))))</f>
        <v>0</v>
      </c>
      <c r="K568" s="15" t="n">
        <f aca="false">IF(OR(E568="",E568="!!!",F568="NEW"),"",INDEX(J$1:J567,SUMPRODUCT(MAX(ROW(E$1:E567)*(E568=E$1:E567)))))</f>
        <v>2</v>
      </c>
      <c r="L568" s="16"/>
    </row>
    <row r="569" customFormat="false" ht="12.75" hidden="false" customHeight="false" outlineLevel="0" collapsed="false">
      <c r="A569" s="9" t="s">
        <v>333</v>
      </c>
      <c r="E569" s="10" t="str">
        <f aca="false">IF(D569="?OLD","!!!","")</f>
        <v/>
      </c>
      <c r="F569" s="11" t="str">
        <f aca="false">IF(OR(E569="",E569="!!!"),"",IF(NOT(ISNA(VLOOKUP(E569,E$1:E568,1,FALSE()))),"OLD",IF(AND(E569&lt;&gt;"",E569&lt;&gt;"!!!"),"NEW","")))</f>
        <v/>
      </c>
      <c r="G569" s="12" t="str">
        <f aca="false">IF(OR(E569="",E569="!!!"),"",IF(OR(J569=0,AND(J569=1,K569=1),AND(J569=1,I569="SBJ"),AND(J569=1,I569=0)),"?IN_FOCUS",IF(J569&lt;=2,"?ACTIVATED",IF(J569&lt;&gt;"","?FAMILIAR",IF(F569="NEW",IF(ISNA(VLOOKUP(E569,#REF!,1,FALSE())),"?TYPE_IDENTIFIABLE","?REFERENTIAL"),"_")))))</f>
        <v/>
      </c>
      <c r="H569" s="13" t="str">
        <f aca="false">IF(J569&lt;&gt;1,"",IF(I569="SBJ","CB","?"))</f>
        <v/>
      </c>
      <c r="I569" s="14" t="str">
        <f aca="false">IF(OR(E569="",E569="!!!",F569="NEW"),"",INDEX(B$2:B568,-1+SUMPRODUCT(MAX(ROW(E$2:E568)*(E569=E$2:E568)))))</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75" hidden="false" customHeight="false" outlineLevel="0" collapsed="false">
      <c r="A570" s="9" t="s">
        <v>331</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75" hidden="false" customHeight="false" outlineLevel="0" collapsed="false">
      <c r="A571" s="9" t="s">
        <v>334</v>
      </c>
      <c r="B571" s="0" t="s">
        <v>75</v>
      </c>
      <c r="C571" s="0" t="s">
        <v>31</v>
      </c>
      <c r="D571" s="0" t="s">
        <v>19</v>
      </c>
      <c r="E571" s="10" t="s">
        <v>327</v>
      </c>
      <c r="F571" s="11" t="str">
        <f aca="false">IF(OR(E571="",E571="!!!"),"",IF(NOT(ISNA(VLOOKUP(E571,E$1:E570,1,FALSE()))),"OLD",IF(AND(E571&lt;&gt;"",E571&lt;&gt;"!!!"),"NEW","")))</f>
        <v>OLD</v>
      </c>
      <c r="G571" s="12" t="s">
        <v>65</v>
      </c>
      <c r="H571" s="13" t="str">
        <f aca="false">IF(J571&lt;&gt;1,"",IF(I571="SBJ","CB","?"))</f>
        <v/>
      </c>
      <c r="I571" s="14" t="str">
        <f aca="false">IF(OR(E571="",E571="!!!",F571="NEW"),"",INDEX(B$2:B570,-1+SUMPRODUCT(MAX(ROW(E$2:E570)*(E571=E$2:E570)))))</f>
        <v>other</v>
      </c>
      <c r="J571" s="15" t="n">
        <f aca="true">IF(OR(E571="",E571="!!!",F571="NEW"),"",COUNTBLANK(OFFSET(A$1,,,SUMPRODUCT(MAX(ROW(E$2:E571)*(E571=E$2:E571)))))-COUNTBLANK(OFFSET(A$1,,,SUMPRODUCT(MAX(ROW(E$1:E570)*(E571=E$1:E570))))))</f>
        <v>0</v>
      </c>
      <c r="K571" s="15" t="n">
        <f aca="false">IF(OR(E571="",E571="!!!",F571="NEW"),"",INDEX(J$1:J570,SUMPRODUCT(MAX(ROW(E$1:E570)*(E571=E$1:E570)))))</f>
        <v>0</v>
      </c>
      <c r="L571" s="16"/>
    </row>
    <row r="572" customFormat="false" ht="12.75" hidden="false" customHeight="false" outlineLevel="0" collapsed="false">
      <c r="A572" s="9" t="s">
        <v>42</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75" hidden="false" customHeight="false" outlineLevel="0" collapsed="false">
      <c r="A573" s="9" t="s">
        <v>15</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75" hidden="false" customHeight="false" outlineLevel="0" collapsed="false">
      <c r="A574" s="9" t="s">
        <v>335</v>
      </c>
      <c r="B574" s="0" t="s">
        <v>75</v>
      </c>
      <c r="C574" s="0" t="s">
        <v>83</v>
      </c>
      <c r="D574" s="0" t="s">
        <v>19</v>
      </c>
      <c r="E574" s="10" t="s">
        <v>336</v>
      </c>
      <c r="F574" s="11" t="str">
        <f aca="false">IF(OR(E574="",E574="!!!"),"",IF(NOT(ISNA(VLOOKUP(E574,E$1:E573,1,FALSE()))),"OLD",IF(AND(E574&lt;&gt;"",E574&lt;&gt;"!!!"),"NEW","")))</f>
        <v>NEW</v>
      </c>
      <c r="G574" s="12" t="s">
        <v>52</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75" hidden="false" customHeight="false" outlineLevel="0" collapsed="false">
      <c r="A575" s="9" t="s">
        <v>22</v>
      </c>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IF(OR(E575="",E575="!!!",F575="NEW"),"",INDEX(B$2:B574,-1+SUMPRODUCT(MAX(ROW(E$2:E574)*(E575=E$2:E574)))))</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75" hidden="false" customHeight="false" outlineLevel="0" collapsed="false">
      <c r="A576" s="9" t="s">
        <v>216</v>
      </c>
      <c r="B576" s="0" t="s">
        <v>24</v>
      </c>
      <c r="C576" s="0" t="s">
        <v>31</v>
      </c>
      <c r="D576" s="0" t="s">
        <v>19</v>
      </c>
      <c r="E576" s="10" t="s">
        <v>324</v>
      </c>
      <c r="F576" s="11" t="str">
        <f aca="false">IF(OR(E576="",E576="!!!"),"",IF(NOT(ISNA(VLOOKUP(E576,E$1:E575,1,FALSE()))),"OLD",IF(AND(E576&lt;&gt;"",E576&lt;&gt;"!!!"),"NEW","")))</f>
        <v>OLD</v>
      </c>
      <c r="G576" s="12" t="s">
        <v>65</v>
      </c>
      <c r="H576" s="13" t="str">
        <f aca="false">IF(J576&lt;&gt;1,"",IF(I576="SBJ","CB","?"))</f>
        <v/>
      </c>
      <c r="I576" s="14" t="str">
        <f aca="false">IF(OR(E576="",E576="!!!",F576="NEW"),"",INDEX(B$2:B575,-1+SUMPRODUCT(MAX(ROW(E$2:E575)*(E576=E$2:E575)))))</f>
        <v>other_2</v>
      </c>
      <c r="J576" s="15" t="n">
        <f aca="true">IF(OR(E576="",E576="!!!",F576="NEW"),"",COUNTBLANK(OFFSET(A$1,,,SUMPRODUCT(MAX(ROW(E$2:E576)*(E576=E$2:E576)))))-COUNTBLANK(OFFSET(A$1,,,SUMPRODUCT(MAX(ROW(E$1:E575)*(E576=E$1:E575))))))</f>
        <v>0</v>
      </c>
      <c r="K576" s="15" t="n">
        <f aca="false">IF(OR(E576="",E576="!!!",F576="NEW"),"",INDEX(J$1:J575,SUMPRODUCT(MAX(ROW(E$1:E575)*(E576=E$1:E575)))))</f>
        <v>1</v>
      </c>
      <c r="L576" s="16"/>
    </row>
    <row r="577" customFormat="false" ht="12.75" hidden="false" customHeight="false" outlineLevel="0" collapsed="false">
      <c r="A577" s="9" t="s">
        <v>28</v>
      </c>
      <c r="E577" s="10" t="str">
        <f aca="false">IF(D577="?OLD","!!!","")</f>
        <v/>
      </c>
      <c r="F577" s="11" t="str">
        <f aca="false">IF(OR(E577="",E577="!!!"),"",IF(NOT(ISNA(VLOOKUP(E577,E$1:E576,1,FALSE()))),"OLD",IF(AND(E577&lt;&gt;"",E577&lt;&gt;"!!!"),"NEW","")))</f>
        <v/>
      </c>
      <c r="G577" s="12" t="str">
        <f aca="false">IF(OR(E577="",E577="!!!"),"",IF(OR(J577=0,AND(J577=1,K577=1),AND(J577=1,I577="SBJ"),AND(J577=1,I577=0)),"?IN_FOCUS",IF(J577&lt;=2,"?ACTIVATED",IF(J577&lt;&gt;"","?FAMILIAR",IF(F577="NEW",IF(ISNA(VLOOKUP(E577,#REF!,1,FALSE())),"?TYPE_IDENTIFIABLE","?REFERENTIAL"),"_")))))</f>
        <v/>
      </c>
      <c r="H577" s="13" t="str">
        <f aca="false">IF(J577&lt;&gt;1,"",IF(I577="SBJ","CB","?"))</f>
        <v/>
      </c>
      <c r="I577" s="14" t="str">
        <f aca="false">IF(OR(E577="",E577="!!!",F577="NEW"),"",INDEX(B$2:B576,-1+SUMPRODUCT(MAX(ROW(E$2:E576)*(E577=E$2:E576)))))</f>
        <v/>
      </c>
      <c r="J577" s="15" t="str">
        <f aca="true">IF(OR(E577="",E577="!!!",F577="NEW"),"",COUNTBLANK(OFFSET(A$1,,,SUMPRODUCT(MAX(ROW(E$2:E577)*(E577=E$2:E577)))))-COUNTBLANK(OFFSET(A$1,,,SUMPRODUCT(MAX(ROW(E$1:E576)*(E577=E$1:E576))))))</f>
        <v/>
      </c>
      <c r="K577" s="15" t="str">
        <f aca="false">IF(OR(E577="",E577="!!!",F577="NEW"),"",INDEX(J$1:J576,SUMPRODUCT(MAX(ROW(E$1:E576)*(E577=E$1:E576)))))</f>
        <v/>
      </c>
      <c r="L577" s="16"/>
    </row>
    <row r="578" customFormat="false" ht="12.75" hidden="false" customHeight="false" outlineLevel="0" collapsed="false">
      <c r="A578" s="9" t="s">
        <v>337</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75" hidden="false" customHeight="false" outlineLevel="0" collapsed="false">
      <c r="A579" s="9" t="s">
        <v>93</v>
      </c>
      <c r="E579" s="10" t="str">
        <f aca="false">IF(D579="?OLD","!!!","")</f>
        <v/>
      </c>
      <c r="F579" s="11" t="str">
        <f aca="false">IF(OR(E579="",E579="!!!"),"",IF(NOT(ISNA(VLOOKUP(E579,E$1:E578,1,FALSE()))),"OLD",IF(AND(E579&lt;&gt;"",E579&lt;&gt;"!!!"),"NEW","")))</f>
        <v/>
      </c>
      <c r="G579" s="12" t="str">
        <f aca="false">IF(OR(E579="",E579="!!!"),"",IF(OR(J579=0,AND(J579=1,K579=1),AND(J579=1,I579="SBJ"),AND(J579=1,I579=0)),"?IN_FOCUS",IF(J579&lt;=2,"?ACTIVATED",IF(J579&lt;&gt;"","?FAMILIAR",IF(F579="NEW",IF(ISNA(VLOOKUP(E579,#REF!,1,FALSE())),"?TYPE_IDENTIFIABLE","?REFERENTIAL"),"_")))))</f>
        <v/>
      </c>
      <c r="H579" s="13" t="str">
        <f aca="false">IF(J579&lt;&gt;1,"",IF(I579="SBJ","CB","?"))</f>
        <v/>
      </c>
      <c r="I579" s="14" t="str">
        <f aca="false">IF(OR(E579="",E579="!!!",F579="NEW"),"",INDEX(B$2:B578,-1+SUMPRODUCT(MAX(ROW(E$2:E578)*(E579=E$2:E578)))))</f>
        <v/>
      </c>
      <c r="J579" s="15" t="str">
        <f aca="true">IF(OR(E579="",E579="!!!",F579="NEW"),"",COUNTBLANK(OFFSET(A$1,,,SUMPRODUCT(MAX(ROW(E$2:E579)*(E579=E$2:E579)))))-COUNTBLANK(OFFSET(A$1,,,SUMPRODUCT(MAX(ROW(E$1:E578)*(E579=E$1:E578))))))</f>
        <v/>
      </c>
      <c r="K579" s="15" t="str">
        <f aca="false">IF(OR(E579="",E579="!!!",F579="NEW"),"",INDEX(J$1:J578,SUMPRODUCT(MAX(ROW(E$1:E578)*(E579=E$1:E578)))))</f>
        <v/>
      </c>
      <c r="L579" s="16"/>
    </row>
    <row r="580" customFormat="false" ht="12.75" hidden="false" customHeight="false" outlineLevel="0" collapsed="false">
      <c r="A580" s="9" t="s">
        <v>216</v>
      </c>
      <c r="B580" s="0" t="s">
        <v>17</v>
      </c>
      <c r="C580" s="0" t="s">
        <v>31</v>
      </c>
      <c r="D580" s="0" t="s">
        <v>19</v>
      </c>
      <c r="E580" s="10" t="s">
        <v>324</v>
      </c>
      <c r="F580" s="11" t="str">
        <f aca="false">IF(OR(E580="",E580="!!!"),"",IF(NOT(ISNA(VLOOKUP(E580,E$1:E579,1,FALSE()))),"OLD",IF(AND(E580&lt;&gt;"",E580&lt;&gt;"!!!"),"NEW","")))</f>
        <v>OLD</v>
      </c>
      <c r="G580" s="12" t="s">
        <v>65</v>
      </c>
      <c r="H580" s="13" t="str">
        <f aca="false">IF(J580&lt;&gt;1,"",IF(I580="SBJ","CB","?"))</f>
        <v/>
      </c>
      <c r="I580" s="14" t="str">
        <f aca="false">IF(OR(E580="",E580="!!!",F580="NEW"),"",INDEX(B$2:B579,-1+SUMPRODUCT(MAX(ROW(E$2:E579)*(E580=E$2:E579)))))</f>
        <v>other_3</v>
      </c>
      <c r="J580" s="15" t="n">
        <f aca="true">IF(OR(E580="",E580="!!!",F580="NEW"),"",COUNTBLANK(OFFSET(A$1,,,SUMPRODUCT(MAX(ROW(E$2:E580)*(E580=E$2:E580)))))-COUNTBLANK(OFFSET(A$1,,,SUMPRODUCT(MAX(ROW(E$1:E579)*(E580=E$1:E579))))))</f>
        <v>0</v>
      </c>
      <c r="K580" s="15" t="n">
        <f aca="false">IF(OR(E580="",E580="!!!",F580="NEW"),"",INDEX(J$1:J579,SUMPRODUCT(MAX(ROW(E$1:E579)*(E580=E$1:E579)))))</f>
        <v>0</v>
      </c>
      <c r="L580" s="16"/>
    </row>
    <row r="581" customFormat="false" ht="12.75" hidden="false" customHeight="false" outlineLevel="0" collapsed="false">
      <c r="A581" s="9" t="s">
        <v>338</v>
      </c>
      <c r="B581" s="0" t="s">
        <v>17</v>
      </c>
      <c r="C581" s="0" t="s">
        <v>31</v>
      </c>
      <c r="D581" s="0" t="s">
        <v>19</v>
      </c>
      <c r="E581" s="10" t="s">
        <v>324</v>
      </c>
      <c r="F581" s="11" t="str">
        <f aca="false">IF(OR(E581="",E581="!!!"),"",IF(NOT(ISNA(VLOOKUP(E581,E$1:E580,1,FALSE()))),"OLD",IF(AND(E581&lt;&gt;"",E581&lt;&gt;"!!!"),"NEW","")))</f>
        <v>OLD</v>
      </c>
      <c r="G581" s="12" t="s">
        <v>65</v>
      </c>
      <c r="H581" s="13" t="str">
        <f aca="false">IF(J581&lt;&gt;1,"",IF(I581="SBJ","CB","?"))</f>
        <v/>
      </c>
      <c r="I581" s="14" t="str">
        <f aca="false">IF(OR(E581="",E581="!!!",F581="NEW"),"",INDEX(B$2:B580,-1+SUMPRODUCT(MAX(ROW(E$2:E580)*(E581=E$2:E580)))))</f>
        <v>SBJ_2</v>
      </c>
      <c r="J581" s="15" t="n">
        <f aca="true">IF(OR(E581="",E581="!!!",F581="NEW"),"",COUNTBLANK(OFFSET(A$1,,,SUMPRODUCT(MAX(ROW(E$2:E581)*(E581=E$2:E581)))))-COUNTBLANK(OFFSET(A$1,,,SUMPRODUCT(MAX(ROW(E$1:E580)*(E581=E$1:E580))))))</f>
        <v>0</v>
      </c>
      <c r="K581" s="15" t="n">
        <f aca="false">IF(OR(E581="",E581="!!!",F581="NEW"),"",INDEX(J$1:J580,SUMPRODUCT(MAX(ROW(E$1:E580)*(E581=E$1:E580)))))</f>
        <v>0</v>
      </c>
      <c r="L581" s="16"/>
    </row>
    <row r="582" customFormat="false" ht="12.75" hidden="false" customHeight="false" outlineLevel="0" collapsed="false">
      <c r="A582" s="9" t="s">
        <v>339</v>
      </c>
      <c r="E582" s="10" t="str">
        <f aca="false">IF(D582="?OLD","!!!","")</f>
        <v/>
      </c>
      <c r="F582" s="11" t="str">
        <f aca="false">IF(OR(E582="",E582="!!!"),"",IF(NOT(ISNA(VLOOKUP(E582,E$1:E581,1,FALSE()))),"OLD",IF(AND(E582&lt;&gt;"",E582&lt;&gt;"!!!"),"NEW","")))</f>
        <v/>
      </c>
      <c r="G582" s="12" t="str">
        <f aca="false">IF(OR(E582="",E582="!!!"),"",IF(OR(J582=0,AND(J582=1,K582=1),AND(J582=1,I582="SBJ"),AND(J582=1,I582=0)),"?IN_FOCUS",IF(J582&lt;=2,"?ACTIVATED",IF(J582&lt;&gt;"","?FAMILIAR",IF(F582="NEW",IF(ISNA(VLOOKUP(E582,#REF!,1,FALSE())),"?TYPE_IDENTIFIABLE","?REFERENTIAL"),"_")))))</f>
        <v/>
      </c>
      <c r="H582" s="13" t="str">
        <f aca="false">IF(J582&lt;&gt;1,"",IF(I582="SBJ","CB","?"))</f>
        <v/>
      </c>
      <c r="I582" s="14" t="str">
        <f aca="false">IF(OR(E582="",E582="!!!",F582="NEW"),"",INDEX(B$2:B581,-1+SUMPRODUCT(MAX(ROW(E$2:E581)*(E582=E$2:E581)))))</f>
        <v/>
      </c>
      <c r="J582" s="15" t="str">
        <f aca="true">IF(OR(E582="",E582="!!!",F582="NEW"),"",COUNTBLANK(OFFSET(A$1,,,SUMPRODUCT(MAX(ROW(E$2:E582)*(E582=E$2:E582)))))-COUNTBLANK(OFFSET(A$1,,,SUMPRODUCT(MAX(ROW(E$1:E581)*(E582=E$1:E581))))))</f>
        <v/>
      </c>
      <c r="K582" s="15" t="str">
        <f aca="false">IF(OR(E582="",E582="!!!",F582="NEW"),"",INDEX(J$1:J581,SUMPRODUCT(MAX(ROW(E$1:E581)*(E582=E$1:E581)))))</f>
        <v/>
      </c>
      <c r="L582" s="16"/>
    </row>
    <row r="583" customFormat="false" ht="12.75" hidden="false" customHeight="false" outlineLevel="0" collapsed="false">
      <c r="A583" s="9" t="s">
        <v>28</v>
      </c>
      <c r="E583" s="10" t="str">
        <f aca="false">IF(D583="?OLD","!!!","")</f>
        <v/>
      </c>
      <c r="F583" s="11" t="str">
        <f aca="false">IF(OR(E583="",E583="!!!"),"",IF(NOT(ISNA(VLOOKUP(E583,E$1:E582,1,FALSE()))),"OLD",IF(AND(E583&lt;&gt;"",E583&lt;&gt;"!!!"),"NEW","")))</f>
        <v/>
      </c>
      <c r="G583" s="12" t="str">
        <f aca="false">IF(OR(E583="",E583="!!!"),"",IF(OR(J583=0,AND(J583=1,K583=1),AND(J583=1,I583="SBJ"),AND(J583=1,I583=0)),"?IN_FOCUS",IF(J583&lt;=2,"?ACTIVATED",IF(J583&lt;&gt;"","?FAMILIAR",IF(F583="NEW",IF(ISNA(VLOOKUP(E583,#REF!,1,FALSE())),"?TYPE_IDENTIFIABLE","?REFERENTIAL"),"_")))))</f>
        <v/>
      </c>
      <c r="H583" s="13" t="str">
        <f aca="false">IF(J583&lt;&gt;1,"",IF(I583="SBJ","CB","?"))</f>
        <v/>
      </c>
      <c r="I583" s="14" t="str">
        <f aca="false">IF(OR(E583="",E583="!!!",F583="NEW"),"",INDEX(B$2:B582,-1+SUMPRODUCT(MAX(ROW(E$2:E582)*(E583=E$2:E582)))))</f>
        <v/>
      </c>
      <c r="J583" s="15" t="str">
        <f aca="true">IF(OR(E583="",E583="!!!",F583="NEW"),"",COUNTBLANK(OFFSET(A$1,,,SUMPRODUCT(MAX(ROW(E$2:E583)*(E583=E$2:E583)))))-COUNTBLANK(OFFSET(A$1,,,SUMPRODUCT(MAX(ROW(E$1:E582)*(E583=E$1:E582))))))</f>
        <v/>
      </c>
      <c r="K583" s="15" t="str">
        <f aca="false">IF(OR(E583="",E583="!!!",F583="NEW"),"",INDEX(J$1:J582,SUMPRODUCT(MAX(ROW(E$1:E582)*(E583=E$1:E582)))))</f>
        <v/>
      </c>
      <c r="L583" s="16"/>
    </row>
    <row r="584" customFormat="false" ht="12.75" hidden="false" customHeight="false" outlineLevel="0" collapsed="false">
      <c r="A584" s="9" t="s">
        <v>334</v>
      </c>
      <c r="B584" s="0" t="s">
        <v>55</v>
      </c>
      <c r="C584" s="0" t="s">
        <v>31</v>
      </c>
      <c r="D584" s="0" t="s">
        <v>19</v>
      </c>
      <c r="E584" s="10" t="s">
        <v>327</v>
      </c>
      <c r="F584" s="11" t="str">
        <f aca="false">IF(OR(E584="",E584="!!!"),"",IF(NOT(ISNA(VLOOKUP(E584,E$1:E583,1,FALSE()))),"OLD",IF(AND(E584&lt;&gt;"",E584&lt;&gt;"!!!"),"NEW","")))</f>
        <v>OLD</v>
      </c>
      <c r="G584" s="12" t="s">
        <v>65</v>
      </c>
      <c r="H584" s="13" t="str">
        <f aca="false">IF(J584&lt;&gt;1,"",IF(I584="SBJ","CB","?"))</f>
        <v/>
      </c>
      <c r="I584" s="14" t="str">
        <f aca="false">IF(OR(E584="",E584="!!!",F584="NEW"),"",INDEX(B$2:B583,-1+SUMPRODUCT(MAX(ROW(E$2:E583)*(E584=E$2:E583)))))</f>
        <v>other_2</v>
      </c>
      <c r="J584" s="15" t="n">
        <f aca="true">IF(OR(E584="",E584="!!!",F584="NEW"),"",COUNTBLANK(OFFSET(A$1,,,SUMPRODUCT(MAX(ROW(E$2:E584)*(E584=E$2:E584)))))-COUNTBLANK(OFFSET(A$1,,,SUMPRODUCT(MAX(ROW(E$1:E583)*(E584=E$1:E583))))))</f>
        <v>0</v>
      </c>
      <c r="K584" s="15" t="n">
        <f aca="false">IF(OR(E584="",E584="!!!",F584="NEW"),"",INDEX(J$1:J583,SUMPRODUCT(MAX(ROW(E$1:E583)*(E584=E$1:E583)))))</f>
        <v>0</v>
      </c>
      <c r="L584" s="16"/>
    </row>
    <row r="585" customFormat="false" ht="12.75" hidden="false" customHeight="false" outlineLevel="0" collapsed="false">
      <c r="A585" s="9" t="s">
        <v>28</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75" hidden="false" customHeight="false" outlineLevel="0" collapsed="false">
      <c r="A586" s="9" t="s">
        <v>340</v>
      </c>
      <c r="E586" s="10" t="str">
        <f aca="false">IF(D586="?OLD","!!!","")</f>
        <v/>
      </c>
      <c r="F586" s="11" t="str">
        <f aca="false">IF(OR(E586="",E586="!!!"),"",IF(NOT(ISNA(VLOOKUP(E586,E$1:E585,1,FALSE()))),"OLD",IF(AND(E586&lt;&gt;"",E586&lt;&gt;"!!!"),"NEW","")))</f>
        <v/>
      </c>
      <c r="G586" s="12" t="str">
        <f aca="false">IF(OR(E586="",E586="!!!"),"",IF(OR(J586=0,AND(J586=1,K586=1),AND(J586=1,I586="SBJ"),AND(J586=1,I586=0)),"?IN_FOCUS",IF(J586&lt;=2,"?ACTIVATED",IF(J586&lt;&gt;"","?FAMILIAR",IF(F586="NEW",IF(ISNA(VLOOKUP(E586,#REF!,1,FALSE())),"?TYPE_IDENTIFIABLE","?REFERENTIAL"),"_")))))</f>
        <v/>
      </c>
      <c r="H586" s="13" t="str">
        <f aca="false">IF(J586&lt;&gt;1,"",IF(I586="SBJ","CB","?"))</f>
        <v/>
      </c>
      <c r="I586" s="14" t="str">
        <f aca="false">IF(OR(E586="",E586="!!!",F586="NEW"),"",INDEX(B$2:B585,-1+SUMPRODUCT(MAX(ROW(E$2:E585)*(E586=E$2:E585)))))</f>
        <v/>
      </c>
      <c r="J586" s="15" t="str">
        <f aca="true">IF(OR(E586="",E586="!!!",F586="NEW"),"",COUNTBLANK(OFFSET(A$1,,,SUMPRODUCT(MAX(ROW(E$2:E586)*(E586=E$2:E586)))))-COUNTBLANK(OFFSET(A$1,,,SUMPRODUCT(MAX(ROW(E$1:E585)*(E586=E$1:E585))))))</f>
        <v/>
      </c>
      <c r="K586" s="15" t="str">
        <f aca="false">IF(OR(E586="",E586="!!!",F586="NEW"),"",INDEX(J$1:J585,SUMPRODUCT(MAX(ROW(E$1:E585)*(E586=E$1:E585)))))</f>
        <v/>
      </c>
      <c r="L586" s="16"/>
    </row>
    <row r="587" customFormat="false" ht="12.75" hidden="false" customHeight="false" outlineLevel="0" collapsed="false">
      <c r="A587" s="9" t="s">
        <v>341</v>
      </c>
      <c r="E587" s="10" t="str">
        <f aca="false">IF(D587="?OLD","!!!","")</f>
        <v/>
      </c>
      <c r="F587" s="11" t="str">
        <f aca="false">IF(OR(E587="",E587="!!!"),"",IF(NOT(ISNA(VLOOKUP(E587,E$1:E586,1,FALSE()))),"OLD",IF(AND(E587&lt;&gt;"",E587&lt;&gt;"!!!"),"NEW","")))</f>
        <v/>
      </c>
      <c r="G587" s="12" t="str">
        <f aca="false">IF(OR(E587="",E587="!!!"),"",IF(OR(J587=0,AND(J587=1,K587=1),AND(J587=1,I587="SBJ"),AND(J587=1,I587=0)),"?IN_FOCUS",IF(J587&lt;=2,"?ACTIVATED",IF(J587&lt;&gt;"","?FAMILIAR",IF(F587="NEW",IF(ISNA(VLOOKUP(E587,#REF!,1,FALSE())),"?TYPE_IDENTIFIABLE","?REFERENTIAL"),"_")))))</f>
        <v/>
      </c>
      <c r="H587" s="13" t="str">
        <f aca="false">IF(J587&lt;&gt;1,"",IF(I587="SBJ","CB","?"))</f>
        <v/>
      </c>
      <c r="I587" s="14" t="str">
        <f aca="false">IF(OR(E587="",E587="!!!",F587="NEW"),"",INDEX(B$2:B586,-1+SUMPRODUCT(MAX(ROW(E$2:E586)*(E587=E$2:E586)))))</f>
        <v/>
      </c>
      <c r="J587" s="15" t="str">
        <f aca="true">IF(OR(E587="",E587="!!!",F587="NEW"),"",COUNTBLANK(OFFSET(A$1,,,SUMPRODUCT(MAX(ROW(E$2:E587)*(E587=E$2:E587)))))-COUNTBLANK(OFFSET(A$1,,,SUMPRODUCT(MAX(ROW(E$1:E586)*(E587=E$1:E586))))))</f>
        <v/>
      </c>
      <c r="K587" s="15" t="str">
        <f aca="false">IF(OR(E587="",E587="!!!",F587="NEW"),"",INDEX(J$1:J586,SUMPRODUCT(MAX(ROW(E$1:E586)*(E587=E$1:E586)))))</f>
        <v/>
      </c>
      <c r="L587" s="16"/>
    </row>
    <row r="588" customFormat="false" ht="12.75" hidden="false" customHeight="false" outlineLevel="0" collapsed="false">
      <c r="A588" s="9" t="s">
        <v>207</v>
      </c>
      <c r="E588" s="10" t="str">
        <f aca="false">IF(D588="?OLD","!!!","")</f>
        <v/>
      </c>
      <c r="F588" s="11" t="str">
        <f aca="false">IF(OR(E588="",E588="!!!"),"",IF(NOT(ISNA(VLOOKUP(E588,E$1:E587,1,FALSE()))),"OLD",IF(AND(E588&lt;&gt;"",E588&lt;&gt;"!!!"),"NEW","")))</f>
        <v/>
      </c>
      <c r="G588" s="12" t="str">
        <f aca="false">IF(OR(E588="",E588="!!!"),"",IF(OR(J588=0,AND(J588=1,K588=1),AND(J588=1,I588="SBJ"),AND(J588=1,I588=0)),"?IN_FOCUS",IF(J588&lt;=2,"?ACTIVATED",IF(J588&lt;&gt;"","?FAMILIAR",IF(F588="NEW",IF(ISNA(VLOOKUP(E588,#REF!,1,FALSE())),"?TYPE_IDENTIFIABLE","?REFERENTIAL"),"_")))))</f>
        <v/>
      </c>
      <c r="H588" s="13" t="str">
        <f aca="false">IF(J588&lt;&gt;1,"",IF(I588="SBJ","CB","?"))</f>
        <v/>
      </c>
      <c r="I588" s="14" t="str">
        <f aca="false">IF(OR(E588="",E588="!!!",F588="NEW"),"",INDEX(B$2:B587,-1+SUMPRODUCT(MAX(ROW(E$2:E587)*(E588=E$2:E587)))))</f>
        <v/>
      </c>
      <c r="J588" s="15" t="str">
        <f aca="true">IF(OR(E588="",E588="!!!",F588="NEW"),"",COUNTBLANK(OFFSET(A$1,,,SUMPRODUCT(MAX(ROW(E$2:E588)*(E588=E$2:E588)))))-COUNTBLANK(OFFSET(A$1,,,SUMPRODUCT(MAX(ROW(E$1:E587)*(E588=E$1:E587))))))</f>
        <v/>
      </c>
      <c r="K588" s="15" t="str">
        <f aca="false">IF(OR(E588="",E588="!!!",F588="NEW"),"",INDEX(J$1:J587,SUMPRODUCT(MAX(ROW(E$1:E587)*(E588=E$1:E587)))))</f>
        <v/>
      </c>
      <c r="L588" s="16"/>
    </row>
    <row r="589" customFormat="false" ht="12.75" hidden="false" customHeight="false" outlineLevel="0" collapsed="false">
      <c r="A589" s="9" t="s">
        <v>331</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75" hidden="false" customHeight="false" outlineLevel="0" collapsed="false">
      <c r="A590" s="9" t="s">
        <v>15</v>
      </c>
      <c r="E590" s="10" t="str">
        <f aca="false">IF(D590="?OLD","!!!","")</f>
        <v/>
      </c>
      <c r="F590" s="11" t="str">
        <f aca="false">IF(OR(E590="",E590="!!!"),"",IF(NOT(ISNA(VLOOKUP(E590,E$1:E589,1,FALSE()))),"OLD",IF(AND(E590&lt;&gt;"",E590&lt;&gt;"!!!"),"NEW","")))</f>
        <v/>
      </c>
      <c r="G590" s="12" t="str">
        <f aca="false">IF(OR(E590="",E590="!!!"),"",IF(OR(J590=0,AND(J590=1,K590=1),AND(J590=1,I590="SBJ"),AND(J590=1,I590=0)),"?IN_FOCUS",IF(J590&lt;=2,"?ACTIVATED",IF(J590&lt;&gt;"","?FAMILIAR",IF(F590="NEW",IF(ISNA(VLOOKUP(E590,#REF!,1,FALSE())),"?TYPE_IDENTIFIABLE","?REFERENTIAL"),"_")))))</f>
        <v/>
      </c>
      <c r="H590" s="13" t="str">
        <f aca="false">IF(J590&lt;&gt;1,"",IF(I590="SBJ","CB","?"))</f>
        <v/>
      </c>
      <c r="I590" s="14" t="str">
        <f aca="false">IF(OR(E590="",E590="!!!",F590="NEW"),"",INDEX(B$2:B589,-1+SUMPRODUCT(MAX(ROW(E$2:E589)*(E590=E$2:E589)))))</f>
        <v/>
      </c>
      <c r="J590" s="15" t="str">
        <f aca="true">IF(OR(E590="",E590="!!!",F590="NEW"),"",COUNTBLANK(OFFSET(A$1,,,SUMPRODUCT(MAX(ROW(E$2:E590)*(E590=E$2:E590)))))-COUNTBLANK(OFFSET(A$1,,,SUMPRODUCT(MAX(ROW(E$1:E589)*(E590=E$1:E589))))))</f>
        <v/>
      </c>
      <c r="K590" s="15" t="str">
        <f aca="false">IF(OR(E590="",E590="!!!",F590="NEW"),"",INDEX(J$1:J589,SUMPRODUCT(MAX(ROW(E$1:E589)*(E590=E$1:E589)))))</f>
        <v/>
      </c>
      <c r="L590" s="16"/>
    </row>
    <row r="591" customFormat="false" ht="12.75" hidden="false" customHeight="false" outlineLevel="0" collapsed="false">
      <c r="A591" s="9" t="s">
        <v>342</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75" hidden="false" customHeight="false" outlineLevel="0" collapsed="false">
      <c r="A592" s="9" t="s">
        <v>343</v>
      </c>
      <c r="B592" s="0" t="s">
        <v>24</v>
      </c>
      <c r="C592" s="0" t="s">
        <v>83</v>
      </c>
      <c r="D592" s="0" t="s">
        <v>19</v>
      </c>
      <c r="E592" s="10" t="s">
        <v>344</v>
      </c>
      <c r="F592" s="11" t="str">
        <f aca="false">IF(OR(E592="",E592="!!!"),"",IF(NOT(ISNA(VLOOKUP(E592,E$1:E591,1,FALSE()))),"OLD",IF(AND(E592&lt;&gt;"",E592&lt;&gt;"!!!"),"NEW","")))</f>
        <v>NEW</v>
      </c>
      <c r="G592" s="12" t="s">
        <v>21</v>
      </c>
      <c r="H592" s="13" t="str">
        <f aca="false">IF(J592&lt;&gt;1,"",IF(I592="SBJ","CB","?"))</f>
        <v/>
      </c>
      <c r="I592" s="14" t="str">
        <f aca="false">IF(OR(E592="",E592="!!!",F592="NEW"),"",INDEX(B$2:B591,-1+SUMPRODUCT(MAX(ROW(E$2:E591)*(E592=E$2:E591)))))</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75" hidden="false" customHeight="false" outlineLevel="0" collapsed="false">
      <c r="A593" s="9" t="s">
        <v>63</v>
      </c>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75" hidden="false" customHeight="false" outlineLevel="0" collapsed="false">
      <c r="A594" s="9" t="s">
        <v>345</v>
      </c>
      <c r="B594" s="0" t="s">
        <v>62</v>
      </c>
      <c r="C594" s="0" t="s">
        <v>25</v>
      </c>
      <c r="E594" s="10" t="str">
        <f aca="false">IF(D594="?OLD","!!!","")</f>
        <v/>
      </c>
      <c r="F594" s="11" t="str">
        <f aca="false">IF(OR(E594="",E594="!!!"),"",IF(NOT(ISNA(VLOOKUP(E594,E$1:E593,1,FALSE()))),"OLD",IF(AND(E594&lt;&gt;"",E594&lt;&gt;"!!!"),"NEW","")))</f>
        <v/>
      </c>
      <c r="G594" s="12" t="str">
        <f aca="false">IF(OR(E594="",E594="!!!"),"",IF(OR(J594=0,AND(J594=1,K594=1),AND(J594=1,I594="SBJ"),AND(J594=1,I594=0)),"?IN_FOCUS",IF(J594&lt;=2,"?ACTIVATED",IF(J594&lt;&gt;"","?FAMILIAR",IF(F594="NEW",IF(ISNA(VLOOKUP(E594,#REF!,1,FALSE())),"?TYPE_IDENTIFIABLE","?REFERENTIAL"),"_")))))</f>
        <v/>
      </c>
      <c r="H594" s="13" t="str">
        <f aca="false">IF(J594&lt;&gt;1,"",IF(I594="SBJ","CB","?"))</f>
        <v/>
      </c>
      <c r="I594" s="14" t="str">
        <f aca="false">IF(OR(E594="",E594="!!!",F594="NEW"),"",INDEX(B$2:B593,-1+SUMPRODUCT(MAX(ROW(E$2:E593)*(E594=E$2:E593)))))</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75" hidden="false" customHeight="false" outlineLevel="0" collapsed="false">
      <c r="A595" s="9" t="s">
        <v>22</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75" hidden="false" customHeight="false" outlineLevel="0" collapsed="false">
      <c r="A596" s="9" t="s">
        <v>187</v>
      </c>
      <c r="B596" s="0" t="s">
        <v>62</v>
      </c>
      <c r="C596" s="0" t="s">
        <v>103</v>
      </c>
      <c r="D596" s="0" t="s">
        <v>19</v>
      </c>
      <c r="E596" s="10" t="s">
        <v>187</v>
      </c>
      <c r="F596" s="11" t="str">
        <f aca="false">IF(OR(E596="",E596="!!!"),"",IF(NOT(ISNA(VLOOKUP(E596,E$1:E595,1,FALSE()))),"OLD",IF(AND(E596&lt;&gt;"",E596&lt;&gt;"!!!"),"NEW","")))</f>
        <v>OLD</v>
      </c>
      <c r="G596" s="12" t="s">
        <v>65</v>
      </c>
      <c r="H596" s="13" t="str">
        <f aca="false">IF(J596&lt;&gt;1,"",IF(I596="SBJ","CB","?"))</f>
        <v/>
      </c>
      <c r="I596" s="14" t="str">
        <f aca="false">IF(OR(E596="",E596="!!!",F596="NEW"),"",INDEX(B$2:B595,-1+SUMPRODUCT(MAX(ROW(E$2:E595)*(E596=E$2:E595)))))</f>
        <v>SBJ_2</v>
      </c>
      <c r="J596" s="15" t="n">
        <f aca="true">IF(OR(E596="",E596="!!!",F596="NEW"),"",COUNTBLANK(OFFSET(A$1,,,SUMPRODUCT(MAX(ROW(E$2:E596)*(E596=E$2:E596)))))-COUNTBLANK(OFFSET(A$1,,,SUMPRODUCT(MAX(ROW(E$1:E595)*(E596=E$1:E595))))))</f>
        <v>0</v>
      </c>
      <c r="K596" s="15" t="n">
        <f aca="false">IF(OR(E596="",E596="!!!",F596="NEW"),"",INDEX(J$1:J595,SUMPRODUCT(MAX(ROW(E$1:E595)*(E596=E$1:E595)))))</f>
        <v>0</v>
      </c>
      <c r="L596" s="16"/>
    </row>
    <row r="597" customFormat="false" ht="12.75" hidden="false" customHeight="false" outlineLevel="0" collapsed="false">
      <c r="A597" s="9" t="s">
        <v>28</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IF(OR(E597="",E597="!!!",F597="NEW"),"",INDEX(B$2:B596,-1+SUMPRODUCT(MAX(ROW(E$2:E596)*(E597=E$2:E596)))))</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12.75" hidden="false" customHeight="false" outlineLevel="0" collapsed="false">
      <c r="A598" s="9" t="s">
        <v>216</v>
      </c>
      <c r="B598" s="0" t="s">
        <v>94</v>
      </c>
      <c r="C598" s="0" t="s">
        <v>31</v>
      </c>
      <c r="D598" s="0" t="s">
        <v>19</v>
      </c>
      <c r="E598" s="10" t="s">
        <v>324</v>
      </c>
      <c r="F598" s="11" t="str">
        <f aca="false">IF(OR(E598="",E598="!!!"),"",IF(NOT(ISNA(VLOOKUP(E598,E$1:E597,1,FALSE()))),"OLD",IF(AND(E598&lt;&gt;"",E598&lt;&gt;"!!!"),"NEW","")))</f>
        <v>OLD</v>
      </c>
      <c r="G598" s="12" t="s">
        <v>65</v>
      </c>
      <c r="H598" s="13" t="str">
        <f aca="false">IF(J598&lt;&gt;1,"",IF(I598="SBJ","CB","?"))</f>
        <v/>
      </c>
      <c r="I598" s="14" t="str">
        <f aca="false">IF(OR(E598="",E598="!!!",F598="NEW"),"",INDEX(B$2:B597,-1+SUMPRODUCT(MAX(ROW(E$2:E597)*(E598=E$2:E597)))))</f>
        <v>SBJ_2</v>
      </c>
      <c r="J598" s="15" t="n">
        <f aca="true">IF(OR(E598="",E598="!!!",F598="NEW"),"",COUNTBLANK(OFFSET(A$1,,,SUMPRODUCT(MAX(ROW(E$2:E598)*(E598=E$2:E598)))))-COUNTBLANK(OFFSET(A$1,,,SUMPRODUCT(MAX(ROW(E$1:E597)*(E598=E$1:E597))))))</f>
        <v>0</v>
      </c>
      <c r="K598" s="15" t="n">
        <f aca="false">IF(OR(E598="",E598="!!!",F598="NEW"),"",INDEX(J$1:J597,SUMPRODUCT(MAX(ROW(E$1:E597)*(E598=E$1:E597)))))</f>
        <v>0</v>
      </c>
      <c r="L598" s="16"/>
    </row>
    <row r="599" customFormat="false" ht="12.75" hidden="false" customHeight="false" outlineLevel="0" collapsed="false">
      <c r="A599" s="9" t="s">
        <v>346</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75" hidden="false" customHeight="false" outlineLevel="0" collapsed="false">
      <c r="A600" s="9" t="s">
        <v>347</v>
      </c>
      <c r="E600" s="10" t="str">
        <f aca="false">IF(D600="?OLD","!!!","")</f>
        <v/>
      </c>
      <c r="F600" s="11" t="str">
        <f aca="false">IF(OR(E600="",E600="!!!"),"",IF(NOT(ISNA(VLOOKUP(E600,E$1:E599,1,FALSE()))),"OLD",IF(AND(E600&lt;&gt;"",E600&lt;&gt;"!!!"),"NEW","")))</f>
        <v/>
      </c>
      <c r="G600" s="12" t="str">
        <f aca="false">IF(OR(E600="",E600="!!!"),"",IF(OR(J600=0,AND(J600=1,K600=1),AND(J600=1,I600="SBJ"),AND(J600=1,I600=0)),"?IN_FOCUS",IF(J600&lt;=2,"?ACTIVATED",IF(J600&lt;&gt;"","?FAMILIAR",IF(F600="NEW",IF(ISNA(VLOOKUP(E600,#REF!,1,FALSE())),"?TYPE_IDENTIFIABLE","?REFERENTIAL"),"_")))))</f>
        <v/>
      </c>
      <c r="H600" s="13" t="str">
        <f aca="false">IF(J600&lt;&gt;1,"",IF(I600="SBJ","CB","?"))</f>
        <v/>
      </c>
      <c r="I600" s="14" t="str">
        <f aca="false">IF(OR(E600="",E600="!!!",F600="NEW"),"",INDEX(B$2:B599,-1+SUMPRODUCT(MAX(ROW(E$2:E599)*(E600=E$2:E599)))))</f>
        <v/>
      </c>
      <c r="J600" s="15" t="str">
        <f aca="true">IF(OR(E600="",E600="!!!",F600="NEW"),"",COUNTBLANK(OFFSET(A$1,,,SUMPRODUCT(MAX(ROW(E$2:E600)*(E600=E$2:E600)))))-COUNTBLANK(OFFSET(A$1,,,SUMPRODUCT(MAX(ROW(E$1:E599)*(E600=E$1:E599))))))</f>
        <v/>
      </c>
      <c r="K600" s="15" t="str">
        <f aca="false">IF(OR(E600="",E600="!!!",F600="NEW"),"",INDEX(J$1:J599,SUMPRODUCT(MAX(ROW(E$1:E599)*(E600=E$1:E599)))))</f>
        <v/>
      </c>
      <c r="L600" s="16"/>
    </row>
    <row r="601" customFormat="false" ht="12.75" hidden="false" customHeight="false" outlineLevel="0" collapsed="false">
      <c r="A601" s="9" t="s">
        <v>331</v>
      </c>
      <c r="E601" s="10" t="str">
        <f aca="false">IF(D601="?OLD","!!!","")</f>
        <v/>
      </c>
      <c r="F601" s="11" t="str">
        <f aca="false">IF(OR(E601="",E601="!!!"),"",IF(NOT(ISNA(VLOOKUP(E601,E$1:E600,1,FALSE()))),"OLD",IF(AND(E601&lt;&gt;"",E601&lt;&gt;"!!!"),"NEW","")))</f>
        <v/>
      </c>
      <c r="G601" s="12" t="str">
        <f aca="false">IF(OR(E601="",E601="!!!"),"",IF(OR(J601=0,AND(J601=1,K601=1),AND(J601=1,I601="SBJ"),AND(J601=1,I601=0)),"?IN_FOCUS",IF(J601&lt;=2,"?ACTIVATED",IF(J601&lt;&gt;"","?FAMILIAR",IF(F601="NEW",IF(ISNA(VLOOKUP(E601,#REF!,1,FALSE())),"?TYPE_IDENTIFIABLE","?REFERENTIAL"),"_")))))</f>
        <v/>
      </c>
      <c r="H601" s="13" t="str">
        <f aca="false">IF(J601&lt;&gt;1,"",IF(I601="SBJ","CB","?"))</f>
        <v/>
      </c>
      <c r="I601" s="14" t="str">
        <f aca="false">IF(OR(E601="",E601="!!!",F601="NEW"),"",INDEX(B$2:B600,-1+SUMPRODUCT(MAX(ROW(E$2:E600)*(E601=E$2:E600)))))</f>
        <v/>
      </c>
      <c r="J601" s="15" t="str">
        <f aca="true">IF(OR(E601="",E601="!!!",F601="NEW"),"",COUNTBLANK(OFFSET(A$1,,,SUMPRODUCT(MAX(ROW(E$2:E601)*(E601=E$2:E601)))))-COUNTBLANK(OFFSET(A$1,,,SUMPRODUCT(MAX(ROW(E$1:E600)*(E601=E$1:E600))))))</f>
        <v/>
      </c>
      <c r="K601" s="15" t="str">
        <f aca="false">IF(OR(E601="",E601="!!!",F601="NEW"),"",INDEX(J$1:J600,SUMPRODUCT(MAX(ROW(E$1:E600)*(E601=E$1:E600)))))</f>
        <v/>
      </c>
      <c r="L601" s="16"/>
    </row>
    <row r="602" customFormat="false" ht="12.75" hidden="false" customHeight="false" outlineLevel="0" collapsed="false">
      <c r="A602" s="9" t="s">
        <v>15</v>
      </c>
      <c r="E602" s="10" t="str">
        <f aca="false">IF(D602="?OLD","!!!","")</f>
        <v/>
      </c>
      <c r="F602" s="11" t="str">
        <f aca="false">IF(OR(E602="",E602="!!!"),"",IF(NOT(ISNA(VLOOKUP(E602,E$1:E601,1,FALSE()))),"OLD",IF(AND(E602&lt;&gt;"",E602&lt;&gt;"!!!"),"NEW","")))</f>
        <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IF(OR(E602="",E602="!!!",F602="NEW"),"",INDEX(B$2:B601,-1+SUMPRODUCT(MAX(ROW(E$2:E601)*(E602=E$2:E601)))))</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12.75" hidden="false" customHeight="false" outlineLevel="0" collapsed="false">
      <c r="A603" s="9" t="s">
        <v>348</v>
      </c>
      <c r="B603" s="0" t="s">
        <v>24</v>
      </c>
      <c r="C603" s="0" t="s">
        <v>18</v>
      </c>
      <c r="D603" s="0" t="s">
        <v>19</v>
      </c>
      <c r="E603" s="10" t="s">
        <v>349</v>
      </c>
      <c r="F603" s="11" t="str">
        <f aca="false">IF(OR(E603="",E603="!!!"),"",IF(NOT(ISNA(VLOOKUP(E603,E$1:E602,1,FALSE()))),"OLD",IF(AND(E603&lt;&gt;"",E603&lt;&gt;"!!!"),"NEW","")))</f>
        <v>NEW</v>
      </c>
      <c r="G603" s="12" t="s">
        <v>21</v>
      </c>
      <c r="H603" s="13" t="str">
        <f aca="false">IF(J603&lt;&gt;1,"",IF(I603="SBJ","CB","?"))</f>
        <v/>
      </c>
      <c r="I603" s="14" t="str">
        <f aca="false">IF(OR(E603="",E603="!!!",F603="NEW"),"",INDEX(B$2:B602,-1+SUMPRODUCT(MAX(ROW(E$2:E602)*(E603=E$2:E602)))))</f>
        <v/>
      </c>
      <c r="J603" s="15" t="str">
        <f aca="true">IF(OR(E603="",E603="!!!",F603="NEW"),"",COUNTBLANK(OFFSET(A$1,,,SUMPRODUCT(MAX(ROW(E$2:E603)*(E603=E$2:E603)))))-COUNTBLANK(OFFSET(A$1,,,SUMPRODUCT(MAX(ROW(E$1:E602)*(E603=E$1:E602))))))</f>
        <v/>
      </c>
      <c r="K603" s="15" t="str">
        <f aca="false">IF(OR(E603="",E603="!!!",F603="NEW"),"",INDEX(J$1:J602,SUMPRODUCT(MAX(ROW(E$1:E602)*(E603=E$1:E602)))))</f>
        <v/>
      </c>
      <c r="L603" s="16"/>
    </row>
    <row r="604" customFormat="false" ht="12.75" hidden="false" customHeight="false" outlineLevel="0" collapsed="false">
      <c r="A604" s="9" t="s">
        <v>22</v>
      </c>
      <c r="E604" s="10" t="str">
        <f aca="false">IF(D604="?OLD","!!!","")</f>
        <v/>
      </c>
      <c r="F604" s="11" t="str">
        <f aca="false">IF(OR(E604="",E604="!!!"),"",IF(NOT(ISNA(VLOOKUP(E604,E$1:E603,1,FALSE()))),"OLD",IF(AND(E604&lt;&gt;"",E604&lt;&gt;"!!!"),"NEW","")))</f>
        <v/>
      </c>
      <c r="G604" s="12" t="str">
        <f aca="false">IF(OR(E604="",E604="!!!"),"",IF(OR(J604=0,AND(J604=1,K604=1),AND(J604=1,I604="SBJ"),AND(J604=1,I604=0)),"?IN_FOCUS",IF(J604&lt;=2,"?ACTIVATED",IF(J604&lt;&gt;"","?FAMILIAR",IF(F604="NEW",IF(ISNA(VLOOKUP(E604,#REF!,1,FALSE())),"?TYPE_IDENTIFIABLE","?REFERENTIAL"),"_")))))</f>
        <v/>
      </c>
      <c r="H604" s="13" t="str">
        <f aca="false">IF(J604&lt;&gt;1,"",IF(I604="SBJ","CB","?"))</f>
        <v/>
      </c>
      <c r="I604" s="14" t="str">
        <f aca="false">IF(OR(E604="",E604="!!!",F604="NEW"),"",INDEX(B$2:B603,-1+SUMPRODUCT(MAX(ROW(E$2:E603)*(E604=E$2:E603)))))</f>
        <v/>
      </c>
      <c r="J604" s="15" t="str">
        <f aca="true">IF(OR(E604="",E604="!!!",F604="NEW"),"",COUNTBLANK(OFFSET(A$1,,,SUMPRODUCT(MAX(ROW(E$2:E604)*(E604=E$2:E604)))))-COUNTBLANK(OFFSET(A$1,,,SUMPRODUCT(MAX(ROW(E$1:E603)*(E604=E$1:E603))))))</f>
        <v/>
      </c>
      <c r="K604" s="15" t="str">
        <f aca="false">IF(OR(E604="",E604="!!!",F604="NEW"),"",INDEX(J$1:J603,SUMPRODUCT(MAX(ROW(E$1:E603)*(E604=E$1:E603)))))</f>
        <v/>
      </c>
      <c r="L604" s="16"/>
    </row>
    <row r="605" customFormat="false" ht="12.75" hidden="false" customHeight="false" outlineLevel="0" collapsed="false">
      <c r="A605" s="9" t="s">
        <v>350</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75" hidden="false" customHeight="false" outlineLevel="0" collapsed="false">
      <c r="A606" s="9" t="s">
        <v>106</v>
      </c>
      <c r="B606" s="0" t="s">
        <v>62</v>
      </c>
      <c r="C606" s="0" t="s">
        <v>25</v>
      </c>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75" hidden="false" customHeight="false" outlineLevel="0" collapsed="false">
      <c r="A607" s="9" t="s">
        <v>28</v>
      </c>
      <c r="E607" s="10" t="str">
        <f aca="false">IF(D607="?OLD","!!!","")</f>
        <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75" hidden="false" customHeight="false" outlineLevel="0" collapsed="false">
      <c r="A608" s="9" t="s">
        <v>351</v>
      </c>
      <c r="E608" s="10" t="str">
        <f aca="false">IF(D608="?OLD","!!!","")</f>
        <v/>
      </c>
      <c r="F608" s="11" t="str">
        <f aca="false">IF(OR(E608="",E608="!!!"),"",IF(NOT(ISNA(VLOOKUP(E608,E$1:E607,1,FALSE()))),"OLD",IF(AND(E608&lt;&gt;"",E608&lt;&gt;"!!!"),"NEW","")))</f>
        <v/>
      </c>
      <c r="G608" s="12" t="str">
        <f aca="false">IF(OR(E608="",E608="!!!"),"",IF(OR(J608=0,AND(J608=1,K608=1),AND(J608=1,I608="SBJ"),AND(J608=1,I608=0)),"?IN_FOCUS",IF(J608&lt;=2,"?ACTIVATED",IF(J608&lt;&gt;"","?FAMILIAR",IF(F608="NEW",IF(ISNA(VLOOKUP(E608,#REF!,1,FALSE())),"?TYPE_IDENTIFIABLE","?REFERENTIAL"),"_")))))</f>
        <v/>
      </c>
      <c r="H608" s="13" t="str">
        <f aca="false">IF(J608&lt;&gt;1,"",IF(I608="SBJ","CB","?"))</f>
        <v/>
      </c>
      <c r="I608" s="14" t="str">
        <f aca="false">IF(OR(E608="",E608="!!!",F608="NEW"),"",INDEX(B$2:B607,-1+SUMPRODUCT(MAX(ROW(E$2:E607)*(E608=E$2:E607)))))</f>
        <v/>
      </c>
      <c r="J608" s="15" t="str">
        <f aca="true">IF(OR(E608="",E608="!!!",F608="NEW"),"",COUNTBLANK(OFFSET(A$1,,,SUMPRODUCT(MAX(ROW(E$2:E608)*(E608=E$2:E608)))))-COUNTBLANK(OFFSET(A$1,,,SUMPRODUCT(MAX(ROW(E$1:E607)*(E608=E$1:E607))))))</f>
        <v/>
      </c>
      <c r="K608" s="15" t="str">
        <f aca="false">IF(OR(E608="",E608="!!!",F608="NEW"),"",INDEX(J$1:J607,SUMPRODUCT(MAX(ROW(E$1:E607)*(E608=E$1:E607)))))</f>
        <v/>
      </c>
      <c r="L608" s="16"/>
    </row>
    <row r="609" customFormat="false" ht="12.75" hidden="false" customHeight="false" outlineLevel="0" collapsed="false">
      <c r="A609" s="9" t="s">
        <v>63</v>
      </c>
      <c r="E609" s="10" t="str">
        <f aca="false">IF(D609="?OLD","!!!","")</f>
        <v/>
      </c>
      <c r="F609" s="11" t="str">
        <f aca="false">IF(OR(E609="",E609="!!!"),"",IF(NOT(ISNA(VLOOKUP(E609,E$1:E608,1,FALSE()))),"OLD",IF(AND(E609&lt;&gt;"",E609&lt;&gt;"!!!"),"NEW","")))</f>
        <v/>
      </c>
      <c r="G609" s="12" t="str">
        <f aca="false">IF(OR(E609="",E609="!!!"),"",IF(OR(J609=0,AND(J609=1,K609=1),AND(J609=1,I609="SBJ"),AND(J609=1,I609=0)),"?IN_FOCUS",IF(J609&lt;=2,"?ACTIVATED",IF(J609&lt;&gt;"","?FAMILIAR",IF(F609="NEW",IF(ISNA(VLOOKUP(E609,#REF!,1,FALSE())),"?TYPE_IDENTIFIABLE","?REFERENTIAL"),"_")))))</f>
        <v/>
      </c>
      <c r="H609" s="13" t="str">
        <f aca="false">IF(J609&lt;&gt;1,"",IF(I609="SBJ","CB","?"))</f>
        <v/>
      </c>
      <c r="I609" s="14" t="str">
        <f aca="false">IF(OR(E609="",E609="!!!",F609="NEW"),"",INDEX(B$2:B608,-1+SUMPRODUCT(MAX(ROW(E$2:E608)*(E609=E$2:E608)))))</f>
        <v/>
      </c>
      <c r="J609" s="15" t="str">
        <f aca="true">IF(OR(E609="",E609="!!!",F609="NEW"),"",COUNTBLANK(OFFSET(A$1,,,SUMPRODUCT(MAX(ROW(E$2:E609)*(E609=E$2:E609)))))-COUNTBLANK(OFFSET(A$1,,,SUMPRODUCT(MAX(ROW(E$1:E608)*(E609=E$1:E608))))))</f>
        <v/>
      </c>
      <c r="K609" s="15" t="str">
        <f aca="false">IF(OR(E609="",E609="!!!",F609="NEW"),"",INDEX(J$1:J608,SUMPRODUCT(MAX(ROW(E$1:E608)*(E609=E$1:E608)))))</f>
        <v/>
      </c>
      <c r="L609" s="16"/>
    </row>
    <row r="610" customFormat="false" ht="12.75" hidden="false" customHeight="false" outlineLevel="0" collapsed="false">
      <c r="A610" s="9" t="s">
        <v>352</v>
      </c>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IF(OR(E610="",E610="!!!",F610="NEW"),"",INDEX(B$2:B609,-1+SUMPRODUCT(MAX(ROW(E$2:E609)*(E610=E$2:E609)))))</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75" hidden="false" customHeight="false" outlineLevel="0" collapsed="false">
      <c r="A611" s="9" t="s">
        <v>297</v>
      </c>
      <c r="E611" s="10" t="str">
        <f aca="false">IF(D611="?OLD","!!!","")</f>
        <v/>
      </c>
      <c r="F611" s="11" t="str">
        <f aca="false">IF(OR(E611="",E611="!!!"),"",IF(NOT(ISNA(VLOOKUP(E611,E$1:E610,1,FALSE()))),"OLD",IF(AND(E611&lt;&gt;"",E611&lt;&gt;"!!!"),"NEW","")))</f>
        <v/>
      </c>
      <c r="G611" s="12" t="str">
        <f aca="false">IF(OR(E611="",E611="!!!"),"",IF(OR(J611=0,AND(J611=1,K611=1),AND(J611=1,I611="SBJ"),AND(J611=1,I611=0)),"?IN_FOCUS",IF(J611&lt;=2,"?ACTIVATED",IF(J611&lt;&gt;"","?FAMILIAR",IF(F611="NEW",IF(ISNA(VLOOKUP(E611,#REF!,1,FALSE())),"?TYPE_IDENTIFIABLE","?REFERENTIAL"),"_")))))</f>
        <v/>
      </c>
      <c r="H611" s="13" t="str">
        <f aca="false">IF(J611&lt;&gt;1,"",IF(I611="SBJ","CB","?"))</f>
        <v/>
      </c>
      <c r="I611" s="14" t="str">
        <f aca="false">IF(OR(E611="",E611="!!!",F611="NEW"),"",INDEX(B$2:B610,-1+SUMPRODUCT(MAX(ROW(E$2:E610)*(E611=E$2:E610)))))</f>
        <v/>
      </c>
      <c r="J611" s="15" t="str">
        <f aca="true">IF(OR(E611="",E611="!!!",F611="NEW"),"",COUNTBLANK(OFFSET(A$1,,,SUMPRODUCT(MAX(ROW(E$2:E611)*(E611=E$2:E611)))))-COUNTBLANK(OFFSET(A$1,,,SUMPRODUCT(MAX(ROW(E$1:E610)*(E611=E$1:E610))))))</f>
        <v/>
      </c>
      <c r="K611" s="15" t="str">
        <f aca="false">IF(OR(E611="",E611="!!!",F611="NEW"),"",INDEX(J$1:J610,SUMPRODUCT(MAX(ROW(E$1:E610)*(E611=E$1:E610)))))</f>
        <v/>
      </c>
      <c r="L611" s="16"/>
    </row>
    <row r="612" customFormat="false" ht="12.75" hidden="false" customHeight="false" outlineLevel="0" collapsed="false">
      <c r="A612" s="9" t="s">
        <v>353</v>
      </c>
      <c r="B612" s="0" t="s">
        <v>96</v>
      </c>
      <c r="E612" s="10" t="str">
        <f aca="false">IF(D612="?OLD","!!!","")</f>
        <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IF(OR(E612="",E612="!!!",F612="NEW"),"",INDEX(B$2:B611,-1+SUMPRODUCT(MAX(ROW(E$2:E611)*(E612=E$2:E611)))))</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75" hidden="false" customHeight="false" outlineLevel="0" collapsed="false">
      <c r="A613" s="9" t="s">
        <v>187</v>
      </c>
      <c r="B613" s="0" t="s">
        <v>94</v>
      </c>
      <c r="C613" s="0" t="s">
        <v>103</v>
      </c>
      <c r="D613" s="0" t="s">
        <v>19</v>
      </c>
      <c r="E613" s="10" t="s">
        <v>187</v>
      </c>
      <c r="F613" s="11" t="str">
        <f aca="false">IF(OR(E613="",E613="!!!"),"",IF(NOT(ISNA(VLOOKUP(E613,E$1:E612,1,FALSE()))),"OLD",IF(AND(E613&lt;&gt;"",E613&lt;&gt;"!!!"),"NEW","")))</f>
        <v>OLD</v>
      </c>
      <c r="G613" s="12" t="s">
        <v>65</v>
      </c>
      <c r="H613" s="13" t="str">
        <f aca="false">IF(J613&lt;&gt;1,"",IF(I613="SBJ","CB","?"))</f>
        <v/>
      </c>
      <c r="I613" s="14" t="str">
        <f aca="false">IF(OR(E613="",E613="!!!",F613="NEW"),"",INDEX(B$2:B612,-1+SUMPRODUCT(MAX(ROW(E$2:E612)*(E613=E$2:E612)))))</f>
        <v>other_4</v>
      </c>
      <c r="J613" s="15" t="n">
        <f aca="true">IF(OR(E613="",E613="!!!",F613="NEW"),"",COUNTBLANK(OFFSET(A$1,,,SUMPRODUCT(MAX(ROW(E$2:E613)*(E613=E$2:E613)))))-COUNTBLANK(OFFSET(A$1,,,SUMPRODUCT(MAX(ROW(E$1:E612)*(E613=E$1:E612))))))</f>
        <v>0</v>
      </c>
      <c r="K613" s="15" t="n">
        <f aca="false">IF(OR(E613="",E613="!!!",F613="NEW"),"",INDEX(J$1:J612,SUMPRODUCT(MAX(ROW(E$1:E612)*(E613=E$1:E612)))))</f>
        <v>0</v>
      </c>
      <c r="L613" s="16"/>
    </row>
    <row r="614" customFormat="false" ht="12.75" hidden="false" customHeight="false" outlineLevel="0" collapsed="false">
      <c r="A614" s="9" t="s">
        <v>354</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IF(OR(E614="",E614="!!!",F614="NEW"),"",INDEX(B$2:B613,-1+SUMPRODUCT(MAX(ROW(E$2:E613)*(E614=E$2:E613)))))</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75" hidden="false" customHeight="false" outlineLevel="0" collapsed="false">
      <c r="A615" s="9" t="s">
        <v>207</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75" hidden="false" customHeight="false" outlineLevel="0" collapsed="false">
      <c r="A616" s="9" t="s">
        <v>28</v>
      </c>
      <c r="E616" s="10" t="str">
        <f aca="false">IF(D616="?OLD","!!!","")</f>
        <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75" hidden="false" customHeight="false" outlineLevel="0" collapsed="false">
      <c r="A617" s="9" t="s">
        <v>355</v>
      </c>
      <c r="E617" s="10" t="str">
        <f aca="false">IF(D617="?OLD","!!!","")</f>
        <v/>
      </c>
      <c r="F617" s="11" t="str">
        <f aca="false">IF(OR(E617="",E617="!!!"),"",IF(NOT(ISNA(VLOOKUP(E617,E$1:E616,1,FALSE()))),"OLD",IF(AND(E617&lt;&gt;"",E617&lt;&gt;"!!!"),"NEW","")))</f>
        <v/>
      </c>
      <c r="G617" s="12" t="str">
        <f aca="false">IF(OR(E617="",E617="!!!"),"",IF(OR(J617=0,AND(J617=1,K617=1),AND(J617=1,I617="SBJ"),AND(J617=1,I617=0)),"?IN_FOCUS",IF(J617&lt;=2,"?ACTIVATED",IF(J617&lt;&gt;"","?FAMILIAR",IF(F617="NEW",IF(ISNA(VLOOKUP(E617,#REF!,1,FALSE())),"?TYPE_IDENTIFIABLE","?REFERENTIAL"),"_")))))</f>
        <v/>
      </c>
      <c r="H617" s="13" t="str">
        <f aca="false">IF(J617&lt;&gt;1,"",IF(I617="SBJ","CB","?"))</f>
        <v/>
      </c>
      <c r="I617" s="14" t="str">
        <f aca="false">IF(OR(E617="",E617="!!!",F617="NEW"),"",INDEX(B$2:B616,-1+SUMPRODUCT(MAX(ROW(E$2:E616)*(E617=E$2:E616)))))</f>
        <v/>
      </c>
      <c r="J617" s="15" t="str">
        <f aca="true">IF(OR(E617="",E617="!!!",F617="NEW"),"",COUNTBLANK(OFFSET(A$1,,,SUMPRODUCT(MAX(ROW(E$2:E617)*(E617=E$2:E617)))))-COUNTBLANK(OFFSET(A$1,,,SUMPRODUCT(MAX(ROW(E$1:E616)*(E617=E$1:E616))))))</f>
        <v/>
      </c>
      <c r="K617" s="15" t="str">
        <f aca="false">IF(OR(E617="",E617="!!!",F617="NEW"),"",INDEX(J$1:J616,SUMPRODUCT(MAX(ROW(E$1:E616)*(E617=E$1:E616)))))</f>
        <v/>
      </c>
      <c r="L617" s="16"/>
    </row>
    <row r="618" customFormat="false" ht="12.75" hidden="false" customHeight="false" outlineLevel="0" collapsed="false">
      <c r="A618" s="9" t="s">
        <v>356</v>
      </c>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IF(OR(E618="",E618="!!!",F618="NEW"),"",INDEX(B$2:B617,-1+SUMPRODUCT(MAX(ROW(E$2:E617)*(E618=E$2:E617)))))</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75" hidden="false" customHeight="false" outlineLevel="0" collapsed="false">
      <c r="A619" s="9" t="s">
        <v>334</v>
      </c>
      <c r="B619" s="0" t="s">
        <v>145</v>
      </c>
      <c r="C619" s="0" t="s">
        <v>31</v>
      </c>
      <c r="D619" s="0" t="s">
        <v>19</v>
      </c>
      <c r="E619" s="10" t="s">
        <v>327</v>
      </c>
      <c r="F619" s="11" t="str">
        <f aca="false">IF(OR(E619="",E619="!!!"),"",IF(NOT(ISNA(VLOOKUP(E619,E$1:E618,1,FALSE()))),"OLD",IF(AND(E619&lt;&gt;"",E619&lt;&gt;"!!!"),"NEW","")))</f>
        <v>OLD</v>
      </c>
      <c r="G619" s="12" t="s">
        <v>65</v>
      </c>
      <c r="H619" s="13" t="str">
        <f aca="false">IF(J619&lt;&gt;1,"",IF(I619="SBJ","CB","?"))</f>
        <v/>
      </c>
      <c r="I619" s="14" t="str">
        <f aca="false">IF(OR(E619="",E619="!!!",F619="NEW"),"",INDEX(B$2:B618,-1+SUMPRODUCT(MAX(ROW(E$2:E618)*(E619=E$2:E618)))))</f>
        <v>OBJ_2</v>
      </c>
      <c r="J619" s="15" t="n">
        <f aca="true">IF(OR(E619="",E619="!!!",F619="NEW"),"",COUNTBLANK(OFFSET(A$1,,,SUMPRODUCT(MAX(ROW(E$2:E619)*(E619=E$2:E619)))))-COUNTBLANK(OFFSET(A$1,,,SUMPRODUCT(MAX(ROW(E$1:E618)*(E619=E$1:E618))))))</f>
        <v>0</v>
      </c>
      <c r="K619" s="15" t="n">
        <f aca="false">IF(OR(E619="",E619="!!!",F619="NEW"),"",INDEX(J$1:J618,SUMPRODUCT(MAX(ROW(E$1:E618)*(E619=E$1:E618)))))</f>
        <v>0</v>
      </c>
      <c r="L619" s="16"/>
    </row>
    <row r="620" customFormat="false" ht="12.75" hidden="false" customHeight="false" outlineLevel="0" collapsed="false">
      <c r="A620" s="9" t="s">
        <v>49</v>
      </c>
      <c r="E620" s="10" t="str">
        <f aca="false">IF(D620="?OLD","!!!","")</f>
        <v/>
      </c>
      <c r="F620" s="11" t="str">
        <f aca="false">IF(OR(E620="",E620="!!!"),"",IF(NOT(ISNA(VLOOKUP(E620,E$1:E619,1,FALSE()))),"OLD",IF(AND(E620&lt;&gt;"",E620&lt;&gt;"!!!"),"NEW","")))</f>
        <v/>
      </c>
      <c r="G620" s="12" t="str">
        <f aca="false">IF(OR(E620="",E620="!!!"),"",IF(OR(J620=0,AND(J620=1,K620=1),AND(J620=1,I620="SBJ"),AND(J620=1,I620=0)),"?IN_FOCUS",IF(J620&lt;=2,"?ACTIVATED",IF(J620&lt;&gt;"","?FAMILIAR",IF(F620="NEW",IF(ISNA(VLOOKUP(E620,#REF!,1,FALSE())),"?TYPE_IDENTIFIABLE","?REFERENTIAL"),"_")))))</f>
        <v/>
      </c>
      <c r="H620" s="13" t="str">
        <f aca="false">IF(J620&lt;&gt;1,"",IF(I620="SBJ","CB","?"))</f>
        <v/>
      </c>
      <c r="I620" s="14" t="str">
        <f aca="false">IF(OR(E620="",E620="!!!",F620="NEW"),"",INDEX(B$2:B619,-1+SUMPRODUCT(MAX(ROW(E$2:E619)*(E620=E$2:E619)))))</f>
        <v/>
      </c>
      <c r="J620" s="15" t="str">
        <f aca="true">IF(OR(E620="",E620="!!!",F620="NEW"),"",COUNTBLANK(OFFSET(A$1,,,SUMPRODUCT(MAX(ROW(E$2:E620)*(E620=E$2:E620)))))-COUNTBLANK(OFFSET(A$1,,,SUMPRODUCT(MAX(ROW(E$1:E619)*(E620=E$1:E619))))))</f>
        <v/>
      </c>
      <c r="K620" s="15" t="str">
        <f aca="false">IF(OR(E620="",E620="!!!",F620="NEW"),"",INDEX(J$1:J619,SUMPRODUCT(MAX(ROW(E$1:E619)*(E620=E$1:E619)))))</f>
        <v/>
      </c>
      <c r="L620" s="16"/>
    </row>
    <row r="621" customFormat="false" ht="12.75" hidden="false" customHeight="false" outlineLevel="0" collapsed="false">
      <c r="A621" s="9" t="s">
        <v>15</v>
      </c>
      <c r="E621" s="10" t="str">
        <f aca="false">IF(D621="?OLD","!!!","")</f>
        <v/>
      </c>
      <c r="F621" s="11" t="str">
        <f aca="false">IF(OR(E621="",E621="!!!"),"",IF(NOT(ISNA(VLOOKUP(E621,E$1:E620,1,FALSE()))),"OLD",IF(AND(E621&lt;&gt;"",E621&lt;&gt;"!!!"),"NEW","")))</f>
        <v/>
      </c>
      <c r="G621" s="12" t="str">
        <f aca="false">IF(OR(E621="",E621="!!!"),"",IF(OR(J621=0,AND(J621=1,K621=1),AND(J621=1,I621="SBJ"),AND(J621=1,I621=0)),"?IN_FOCUS",IF(J621&lt;=2,"?ACTIVATED",IF(J621&lt;&gt;"","?FAMILIAR",IF(F621="NEW",IF(ISNA(VLOOKUP(E621,#REF!,1,FALSE())),"?TYPE_IDENTIFIABLE","?REFERENTIAL"),"_")))))</f>
        <v/>
      </c>
      <c r="H621" s="13" t="str">
        <f aca="false">IF(J621&lt;&gt;1,"",IF(I621="SBJ","CB","?"))</f>
        <v/>
      </c>
      <c r="I621" s="14" t="str">
        <f aca="false">IF(OR(E621="",E621="!!!",F621="NEW"),"",INDEX(B$2:B620,-1+SUMPRODUCT(MAX(ROW(E$2:E620)*(E621=E$2:E620)))))</f>
        <v/>
      </c>
      <c r="J621" s="15" t="str">
        <f aca="true">IF(OR(E621="",E621="!!!",F621="NEW"),"",COUNTBLANK(OFFSET(A$1,,,SUMPRODUCT(MAX(ROW(E$2:E621)*(E621=E$2:E621)))))-COUNTBLANK(OFFSET(A$1,,,SUMPRODUCT(MAX(ROW(E$1:E620)*(E621=E$1:E620))))))</f>
        <v/>
      </c>
      <c r="K621" s="15" t="str">
        <f aca="false">IF(OR(E621="",E621="!!!",F621="NEW"),"",INDEX(J$1:J620,SUMPRODUCT(MAX(ROW(E$1:E620)*(E621=E$1:E620)))))</f>
        <v/>
      </c>
      <c r="L621" s="16"/>
    </row>
    <row r="622" customFormat="false" ht="12.75" hidden="false" customHeight="false" outlineLevel="0" collapsed="false">
      <c r="A622" s="9" t="s">
        <v>357</v>
      </c>
      <c r="B622" s="0" t="s">
        <v>62</v>
      </c>
      <c r="C622" s="0" t="s">
        <v>18</v>
      </c>
      <c r="D622" s="0" t="s">
        <v>19</v>
      </c>
      <c r="E622" s="10" t="s">
        <v>358</v>
      </c>
      <c r="F622" s="11" t="str">
        <f aca="false">IF(OR(E622="",E622="!!!"),"",IF(NOT(ISNA(VLOOKUP(E622,E$1:E621,1,FALSE()))),"OLD",IF(AND(E622&lt;&gt;"",E622&lt;&gt;"!!!"),"NEW","")))</f>
        <v>NEW</v>
      </c>
      <c r="G622" s="12" t="s">
        <v>21</v>
      </c>
      <c r="H622" s="13" t="str">
        <f aca="false">IF(J622&lt;&gt;1,"",IF(I622="SBJ","CB","?"))</f>
        <v/>
      </c>
      <c r="I622" s="14" t="str">
        <f aca="false">IF(OR(E622="",E622="!!!",F622="NEW"),"",INDEX(B$2:B621,-1+SUMPRODUCT(MAX(ROW(E$2:E621)*(E622=E$2:E621)))))</f>
        <v/>
      </c>
      <c r="J622" s="15" t="str">
        <f aca="true">IF(OR(E622="",E622="!!!",F622="NEW"),"",COUNTBLANK(OFFSET(A$1,,,SUMPRODUCT(MAX(ROW(E$2:E622)*(E622=E$2:E622)))))-COUNTBLANK(OFFSET(A$1,,,SUMPRODUCT(MAX(ROW(E$1:E621)*(E622=E$1:E621))))))</f>
        <v/>
      </c>
      <c r="K622" s="15" t="str">
        <f aca="false">IF(OR(E622="",E622="!!!",F622="NEW"),"",INDEX(J$1:J621,SUMPRODUCT(MAX(ROW(E$1:E621)*(E622=E$1:E621)))))</f>
        <v/>
      </c>
      <c r="L622" s="16"/>
    </row>
    <row r="623" customFormat="false" ht="12.75" hidden="false" customHeight="false" outlineLevel="0" collapsed="false">
      <c r="A623" s="9" t="s">
        <v>22</v>
      </c>
      <c r="E623" s="10" t="str">
        <f aca="false">IF(D623="?OLD","!!!","")</f>
        <v/>
      </c>
      <c r="F623" s="11" t="str">
        <f aca="false">IF(OR(E623="",E623="!!!"),"",IF(NOT(ISNA(VLOOKUP(E623,E$1:E622,1,FALSE()))),"OLD",IF(AND(E623&lt;&gt;"",E623&lt;&gt;"!!!"),"NEW","")))</f>
        <v/>
      </c>
      <c r="G623" s="12" t="str">
        <f aca="false">IF(OR(E623="",E623="!!!"),"",IF(OR(J623=0,AND(J623=1,K623=1),AND(J623=1,I623="SBJ"),AND(J623=1,I623=0)),"?IN_FOCUS",IF(J623&lt;=2,"?ACTIVATED",IF(J623&lt;&gt;"","?FAMILIAR",IF(F623="NEW",IF(ISNA(VLOOKUP(E623,#REF!,1,FALSE())),"?TYPE_IDENTIFIABLE","?REFERENTIAL"),"_")))))</f>
        <v/>
      </c>
      <c r="H623" s="13" t="str">
        <f aca="false">IF(J623&lt;&gt;1,"",IF(I623="SBJ","CB","?"))</f>
        <v/>
      </c>
      <c r="I623" s="14" t="str">
        <f aca="false">IF(OR(E623="",E623="!!!",F623="NEW"),"",INDEX(B$2:B622,-1+SUMPRODUCT(MAX(ROW(E$2:E622)*(E623=E$2:E622)))))</f>
        <v/>
      </c>
      <c r="J623" s="15" t="str">
        <f aca="true">IF(OR(E623="",E623="!!!",F623="NEW"),"",COUNTBLANK(OFFSET(A$1,,,SUMPRODUCT(MAX(ROW(E$2:E623)*(E623=E$2:E623)))))-COUNTBLANK(OFFSET(A$1,,,SUMPRODUCT(MAX(ROW(E$1:E622)*(E623=E$1:E622))))))</f>
        <v/>
      </c>
      <c r="K623" s="15" t="str">
        <f aca="false">IF(OR(E623="",E623="!!!",F623="NEW"),"",INDEX(J$1:J622,SUMPRODUCT(MAX(ROW(E$1:E622)*(E623=E$1:E622)))))</f>
        <v/>
      </c>
      <c r="L623" s="16"/>
    </row>
    <row r="624" customFormat="false" ht="12.75" hidden="false" customHeight="false" outlineLevel="0" collapsed="false">
      <c r="A624" s="9" t="s">
        <v>359</v>
      </c>
      <c r="B624" s="0" t="s">
        <v>127</v>
      </c>
      <c r="C624" s="0" t="s">
        <v>25</v>
      </c>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IF(OR(E624="",E624="!!!",F624="NEW"),"",INDEX(B$2:B623,-1+SUMPRODUCT(MAX(ROW(E$2:E623)*(E624=E$2:E623)))))</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75" hidden="false" customHeight="false" outlineLevel="0" collapsed="false">
      <c r="A625" s="9" t="s">
        <v>28</v>
      </c>
      <c r="E625" s="10" t="str">
        <f aca="false">IF(D625="?OLD","!!!","")</f>
        <v/>
      </c>
      <c r="F625" s="11" t="str">
        <f aca="false">IF(OR(E625="",E625="!!!"),"",IF(NOT(ISNA(VLOOKUP(E625,E$1:E624,1,FALSE()))),"OLD",IF(AND(E625&lt;&gt;"",E625&lt;&gt;"!!!"),"NEW","")))</f>
        <v/>
      </c>
      <c r="G625" s="12" t="str">
        <f aca="false">IF(OR(E625="",E625="!!!"),"",IF(OR(J625=0,AND(J625=1,K625=1),AND(J625=1,I625="SBJ"),AND(J625=1,I625=0)),"?IN_FOCUS",IF(J625&lt;=2,"?ACTIVATED",IF(J625&lt;&gt;"","?FAMILIAR",IF(F625="NEW",IF(ISNA(VLOOKUP(E625,#REF!,1,FALSE())),"?TYPE_IDENTIFIABLE","?REFERENTIAL"),"_")))))</f>
        <v/>
      </c>
      <c r="H625" s="13" t="str">
        <f aca="false">IF(J625&lt;&gt;1,"",IF(I625="SBJ","CB","?"))</f>
        <v/>
      </c>
      <c r="I625" s="14" t="str">
        <f aca="false">IF(OR(E625="",E625="!!!",F625="NEW"),"",INDEX(B$2:B624,-1+SUMPRODUCT(MAX(ROW(E$2:E624)*(E625=E$2:E624)))))</f>
        <v/>
      </c>
      <c r="J625" s="15" t="str">
        <f aca="true">IF(OR(E625="",E625="!!!",F625="NEW"),"",COUNTBLANK(OFFSET(A$1,,,SUMPRODUCT(MAX(ROW(E$2:E625)*(E625=E$2:E625)))))-COUNTBLANK(OFFSET(A$1,,,SUMPRODUCT(MAX(ROW(E$1:E624)*(E625=E$1:E624))))))</f>
        <v/>
      </c>
      <c r="K625" s="15" t="str">
        <f aca="false">IF(OR(E625="",E625="!!!",F625="NEW"),"",INDEX(J$1:J624,SUMPRODUCT(MAX(ROW(E$1:E624)*(E625=E$1:E624)))))</f>
        <v/>
      </c>
      <c r="L625" s="16"/>
    </row>
    <row r="626" customFormat="false" ht="12.75" hidden="false" customHeight="false" outlineLevel="0" collapsed="false">
      <c r="A626" s="9" t="s">
        <v>122</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75" hidden="false" customHeight="false" outlineLevel="0" collapsed="false">
      <c r="A627" s="9" t="s">
        <v>64</v>
      </c>
      <c r="E627" s="10" t="str">
        <f aca="false">IF(D627="?OLD","!!!","")</f>
        <v/>
      </c>
      <c r="F627" s="11" t="str">
        <f aca="false">IF(OR(E627="",E627="!!!"),"",IF(NOT(ISNA(VLOOKUP(E627,E$1:E626,1,FALSE()))),"OLD",IF(AND(E627&lt;&gt;"",E627&lt;&gt;"!!!"),"NEW","")))</f>
        <v/>
      </c>
      <c r="G627" s="12" t="str">
        <f aca="false">IF(OR(E627="",E627="!!!"),"",IF(OR(J627=0,AND(J627=1,K627=1),AND(J627=1,I627="SBJ"),AND(J627=1,I627=0)),"?IN_FOCUS",IF(J627&lt;=2,"?ACTIVATED",IF(J627&lt;&gt;"","?FAMILIAR",IF(F627="NEW",IF(ISNA(VLOOKUP(E627,#REF!,1,FALSE())),"?TYPE_IDENTIFIABLE","?REFERENTIAL"),"_")))))</f>
        <v/>
      </c>
      <c r="H627" s="13" t="str">
        <f aca="false">IF(J627&lt;&gt;1,"",IF(I627="SBJ","CB","?"))</f>
        <v/>
      </c>
      <c r="I627" s="14" t="str">
        <f aca="false">IF(OR(E627="",E627="!!!",F627="NEW"),"",INDEX(B$2:B626,-1+SUMPRODUCT(MAX(ROW(E$2:E626)*(E627=E$2:E626)))))</f>
        <v/>
      </c>
      <c r="J627" s="15" t="str">
        <f aca="true">IF(OR(E627="",E627="!!!",F627="NEW"),"",COUNTBLANK(OFFSET(A$1,,,SUMPRODUCT(MAX(ROW(E$2:E627)*(E627=E$2:E627)))))-COUNTBLANK(OFFSET(A$1,,,SUMPRODUCT(MAX(ROW(E$1:E626)*(E627=E$1:E626))))))</f>
        <v/>
      </c>
      <c r="K627" s="15" t="str">
        <f aca="false">IF(OR(E627="",E627="!!!",F627="NEW"),"",INDEX(J$1:J626,SUMPRODUCT(MAX(ROW(E$1:E626)*(E627=E$1:E626)))))</f>
        <v/>
      </c>
      <c r="L627" s="16"/>
    </row>
    <row r="628" customFormat="false" ht="12.75" hidden="false" customHeight="false" outlineLevel="0" collapsed="false">
      <c r="A628" s="9" t="s">
        <v>116</v>
      </c>
      <c r="E628" s="10" t="str">
        <f aca="false">IF(D628="?OLD","!!!","")</f>
        <v/>
      </c>
      <c r="F628" s="11" t="str">
        <f aca="false">IF(OR(E628="",E628="!!!"),"",IF(NOT(ISNA(VLOOKUP(E628,E$1:E627,1,FALSE()))),"OLD",IF(AND(E628&lt;&gt;"",E628&lt;&gt;"!!!"),"NEW","")))</f>
        <v/>
      </c>
      <c r="G628" s="12" t="str">
        <f aca="false">IF(OR(E628="",E628="!!!"),"",IF(OR(J628=0,AND(J628=1,K628=1),AND(J628=1,I628="SBJ"),AND(J628=1,I628=0)),"?IN_FOCUS",IF(J628&lt;=2,"?ACTIVATED",IF(J628&lt;&gt;"","?FAMILIAR",IF(F628="NEW",IF(ISNA(VLOOKUP(E628,#REF!,1,FALSE())),"?TYPE_IDENTIFIABLE","?REFERENTIAL"),"_")))))</f>
        <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75" hidden="false" customHeight="false" outlineLevel="0" collapsed="false">
      <c r="A629" s="9" t="s">
        <v>360</v>
      </c>
      <c r="E629" s="10" t="str">
        <f aca="false">IF(D629="?OLD","!!!","")</f>
        <v/>
      </c>
      <c r="F629" s="11" t="str">
        <f aca="false">IF(OR(E629="",E629="!!!"),"",IF(NOT(ISNA(VLOOKUP(E629,E$1:E628,1,FALSE()))),"OLD",IF(AND(E629&lt;&gt;"",E629&lt;&gt;"!!!"),"NEW","")))</f>
        <v/>
      </c>
      <c r="G629" s="12" t="str">
        <f aca="false">IF(OR(E629="",E629="!!!"),"",IF(OR(J629=0,AND(J629=1,K629=1),AND(J629=1,I629="SBJ"),AND(J629=1,I629=0)),"?IN_FOCUS",IF(J629&lt;=2,"?ACTIVATED",IF(J629&lt;&gt;"","?FAMILIAR",IF(F629="NEW",IF(ISNA(VLOOKUP(E629,#REF!,1,FALSE())),"?TYPE_IDENTIFIABLE","?REFERENTIAL"),"_")))))</f>
        <v/>
      </c>
      <c r="H629" s="13" t="str">
        <f aca="false">IF(J629&lt;&gt;1,"",IF(I629="SBJ","CB","?"))</f>
        <v/>
      </c>
      <c r="I629" s="14" t="str">
        <f aca="false">IF(OR(E629="",E629="!!!",F629="NEW"),"",INDEX(B$2:B628,-1+SUMPRODUCT(MAX(ROW(E$2:E628)*(E629=E$2:E628)))))</f>
        <v/>
      </c>
      <c r="J629" s="15" t="str">
        <f aca="true">IF(OR(E629="",E629="!!!",F629="NEW"),"",COUNTBLANK(OFFSET(A$1,,,SUMPRODUCT(MAX(ROW(E$2:E629)*(E629=E$2:E629)))))-COUNTBLANK(OFFSET(A$1,,,SUMPRODUCT(MAX(ROW(E$1:E628)*(E629=E$1:E628))))))</f>
        <v/>
      </c>
      <c r="K629" s="15" t="str">
        <f aca="false">IF(OR(E629="",E629="!!!",F629="NEW"),"",INDEX(J$1:J628,SUMPRODUCT(MAX(ROW(E$1:E628)*(E629=E$1:E628)))))</f>
        <v/>
      </c>
      <c r="L629" s="16"/>
    </row>
    <row r="630" customFormat="false" ht="12.75" hidden="false" customHeight="false" outlineLevel="0" collapsed="false">
      <c r="A630" s="9" t="s">
        <v>361</v>
      </c>
      <c r="E630" s="10" t="str">
        <f aca="false">IF(D630="?OLD","!!!","")</f>
        <v/>
      </c>
      <c r="F630" s="11" t="str">
        <f aca="false">IF(OR(E630="",E630="!!!"),"",IF(NOT(ISNA(VLOOKUP(E630,E$1:E629,1,FALSE()))),"OLD",IF(AND(E630&lt;&gt;"",E630&lt;&gt;"!!!"),"NEW","")))</f>
        <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75" hidden="false" customHeight="false" outlineLevel="0" collapsed="false">
      <c r="A631" s="9" t="s">
        <v>258</v>
      </c>
      <c r="E631" s="10" t="str">
        <f aca="false">IF(D631="?OLD","!!!","")</f>
        <v/>
      </c>
      <c r="F631" s="11" t="str">
        <f aca="false">IF(OR(E631="",E631="!!!"),"",IF(NOT(ISNA(VLOOKUP(E631,E$1:E630,1,FALSE()))),"OLD",IF(AND(E631&lt;&gt;"",E631&lt;&gt;"!!!"),"NEW","")))</f>
        <v/>
      </c>
      <c r="G631" s="12" t="str">
        <f aca="false">IF(OR(E631="",E631="!!!"),"",IF(OR(J631=0,AND(J631=1,K631=1),AND(J631=1,I631="SBJ"),AND(J631=1,I631=0)),"?IN_FOCUS",IF(J631&lt;=2,"?ACTIVATED",IF(J631&lt;&gt;"","?FAMILIAR",IF(F631="NEW",IF(ISNA(VLOOKUP(E631,#REF!,1,FALSE())),"?TYPE_IDENTIFIABLE","?REFERENTIAL"),"_")))))</f>
        <v/>
      </c>
      <c r="H631" s="13" t="str">
        <f aca="false">IF(J631&lt;&gt;1,"",IF(I631="SBJ","CB","?"))</f>
        <v/>
      </c>
      <c r="I631" s="14" t="str">
        <f aca="false">IF(OR(E631="",E631="!!!",F631="NEW"),"",INDEX(B$2:B630,-1+SUMPRODUCT(MAX(ROW(E$2:E630)*(E631=E$2:E630)))))</f>
        <v/>
      </c>
      <c r="J631" s="15" t="str">
        <f aca="true">IF(OR(E631="",E631="!!!",F631="NEW"),"",COUNTBLANK(OFFSET(A$1,,,SUMPRODUCT(MAX(ROW(E$2:E631)*(E631=E$2:E631)))))-COUNTBLANK(OFFSET(A$1,,,SUMPRODUCT(MAX(ROW(E$1:E630)*(E631=E$1:E630))))))</f>
        <v/>
      </c>
      <c r="K631" s="15" t="str">
        <f aca="false">IF(OR(E631="",E631="!!!",F631="NEW"),"",INDEX(J$1:J630,SUMPRODUCT(MAX(ROW(E$1:E630)*(E631=E$1:E630)))))</f>
        <v/>
      </c>
      <c r="L631" s="16"/>
    </row>
    <row r="632" customFormat="false" ht="12.75" hidden="false" customHeight="false" outlineLevel="0" collapsed="false">
      <c r="A632" s="9" t="s">
        <v>362</v>
      </c>
      <c r="B632" s="0" t="s">
        <v>217</v>
      </c>
      <c r="C632" s="0" t="s">
        <v>31</v>
      </c>
      <c r="D632" s="0" t="s">
        <v>19</v>
      </c>
      <c r="E632" s="10" t="s">
        <v>327</v>
      </c>
      <c r="F632" s="11" t="str">
        <f aca="false">IF(OR(E632="",E632="!!!"),"",IF(NOT(ISNA(VLOOKUP(E632,E$1:E631,1,FALSE()))),"OLD",IF(AND(E632&lt;&gt;"",E632&lt;&gt;"!!!"),"NEW","")))</f>
        <v>OLD</v>
      </c>
      <c r="G632" s="12" t="s">
        <v>65</v>
      </c>
      <c r="H632" s="13" t="str">
        <f aca="false">IF(J632&lt;&gt;1,"",IF(I632="SBJ","CB","?"))</f>
        <v/>
      </c>
      <c r="I632" s="14" t="str">
        <f aca="false">IF(OR(E632="",E632="!!!",F632="NEW"),"",INDEX(B$2:B631,-1+SUMPRODUCT(MAX(ROW(E$2:E631)*(E632=E$2:E631)))))</f>
        <v>OBJ_4</v>
      </c>
      <c r="J632" s="15" t="n">
        <f aca="true">IF(OR(E632="",E632="!!!",F632="NEW"),"",COUNTBLANK(OFFSET(A$1,,,SUMPRODUCT(MAX(ROW(E$2:E632)*(E632=E$2:E632)))))-COUNTBLANK(OFFSET(A$1,,,SUMPRODUCT(MAX(ROW(E$1:E631)*(E632=E$1:E631))))))</f>
        <v>0</v>
      </c>
      <c r="K632" s="15" t="n">
        <f aca="false">IF(OR(E632="",E632="!!!",F632="NEW"),"",INDEX(J$1:J631,SUMPRODUCT(MAX(ROW(E$1:E631)*(E632=E$1:E631)))))</f>
        <v>0</v>
      </c>
      <c r="L632" s="16"/>
    </row>
    <row r="633" customFormat="false" ht="12.75" hidden="false" customHeight="false" outlineLevel="0" collapsed="false">
      <c r="A633" s="9" t="s">
        <v>363</v>
      </c>
      <c r="E633" s="10" t="str">
        <f aca="false">IF(D633="?OLD","!!!","")</f>
        <v/>
      </c>
      <c r="F633" s="11" t="str">
        <f aca="false">IF(OR(E633="",E633="!!!"),"",IF(NOT(ISNA(VLOOKUP(E633,E$1:E632,1,FALSE()))),"OLD",IF(AND(E633&lt;&gt;"",E633&lt;&gt;"!!!"),"NEW","")))</f>
        <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75" hidden="false" customHeight="false" outlineLevel="0" collapsed="false">
      <c r="A634" s="9" t="s">
        <v>225</v>
      </c>
      <c r="E634" s="10" t="str">
        <f aca="false">IF(D634="?OLD","!!!","")</f>
        <v/>
      </c>
      <c r="F634" s="11" t="str">
        <f aca="false">IF(OR(E634="",E634="!!!"),"",IF(NOT(ISNA(VLOOKUP(E634,E$1:E633,1,FALSE()))),"OLD",IF(AND(E634&lt;&gt;"",E634&lt;&gt;"!!!"),"NEW","")))</f>
        <v/>
      </c>
      <c r="G634" s="12" t="str">
        <f aca="false">IF(OR(E634="",E634="!!!"),"",IF(OR(J634=0,AND(J634=1,K634=1),AND(J634=1,I634="SBJ"),AND(J634=1,I634=0)),"?IN_FOCUS",IF(J634&lt;=2,"?ACTIVATED",IF(J634&lt;&gt;"","?FAMILIAR",IF(F634="NEW",IF(ISNA(VLOOKUP(E634,#REF!,1,FALSE())),"?TYPE_IDENTIFIABLE","?REFERENTIAL"),"_")))))</f>
        <v/>
      </c>
      <c r="H634" s="13" t="str">
        <f aca="false">IF(J634&lt;&gt;1,"",IF(I634="SBJ","CB","?"))</f>
        <v/>
      </c>
      <c r="I634" s="14" t="str">
        <f aca="false">IF(OR(E634="",E634="!!!",F634="NEW"),"",INDEX(B$2:B633,-1+SUMPRODUCT(MAX(ROW(E$2:E633)*(E634=E$2:E633)))))</f>
        <v/>
      </c>
      <c r="J634" s="15" t="str">
        <f aca="true">IF(OR(E634="",E634="!!!",F634="NEW"),"",COUNTBLANK(OFFSET(A$1,,,SUMPRODUCT(MAX(ROW(E$2:E634)*(E634=E$2:E634)))))-COUNTBLANK(OFFSET(A$1,,,SUMPRODUCT(MAX(ROW(E$1:E633)*(E634=E$1:E633))))))</f>
        <v/>
      </c>
      <c r="K634" s="15" t="str">
        <f aca="false">IF(OR(E634="",E634="!!!",F634="NEW"),"",INDEX(J$1:J633,SUMPRODUCT(MAX(ROW(E$1:E633)*(E634=E$1:E633)))))</f>
        <v/>
      </c>
      <c r="L634" s="16"/>
    </row>
    <row r="635" customFormat="false" ht="12.75" hidden="false" customHeight="false" outlineLevel="0" collapsed="false">
      <c r="A635" s="9" t="s">
        <v>364</v>
      </c>
      <c r="E635" s="10" t="str">
        <f aca="false">IF(D635="?OLD","!!!","")</f>
        <v/>
      </c>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IF(OR(E635="",E635="!!!",F635="NEW"),"",INDEX(B$2:B634,-1+SUMPRODUCT(MAX(ROW(E$2:E634)*(E635=E$2:E634)))))</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75" hidden="false" customHeight="false" outlineLevel="0" collapsed="false">
      <c r="A636" s="9" t="s">
        <v>331</v>
      </c>
      <c r="E636" s="10" t="str">
        <f aca="false">IF(D636="?OLD","!!!","")</f>
        <v/>
      </c>
      <c r="F636" s="11" t="str">
        <f aca="false">IF(OR(E636="",E636="!!!"),"",IF(NOT(ISNA(VLOOKUP(E636,E$1:E635,1,FALSE()))),"OLD",IF(AND(E636&lt;&gt;"",E636&lt;&gt;"!!!"),"NEW","")))</f>
        <v/>
      </c>
      <c r="G636" s="12" t="str">
        <f aca="false">IF(OR(E636="",E636="!!!"),"",IF(OR(J636=0,AND(J636=1,K636=1),AND(J636=1,I636="SBJ"),AND(J636=1,I636=0)),"?IN_FOCUS",IF(J636&lt;=2,"?ACTIVATED",IF(J636&lt;&gt;"","?FAMILIAR",IF(F636="NEW",IF(ISNA(VLOOKUP(E636,#REF!,1,FALSE())),"?TYPE_IDENTIFIABLE","?REFERENTIAL"),"_")))))</f>
        <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75" hidden="false" customHeight="false" outlineLevel="0" collapsed="false">
      <c r="A637" s="9" t="s">
        <v>64</v>
      </c>
      <c r="B637" s="0" t="s">
        <v>127</v>
      </c>
      <c r="C637" s="0" t="s">
        <v>31</v>
      </c>
      <c r="D637" s="0" t="s">
        <v>19</v>
      </c>
      <c r="E637" s="10" t="s">
        <v>365</v>
      </c>
      <c r="F637" s="11" t="str">
        <f aca="false">IF(OR(E637="",E637="!!!"),"",IF(NOT(ISNA(VLOOKUP(E637,E$1:E636,1,FALSE()))),"OLD",IF(AND(E637&lt;&gt;"",E637&lt;&gt;"!!!"),"NEW","")))</f>
        <v>NEW</v>
      </c>
      <c r="G637" s="12" t="s">
        <v>21</v>
      </c>
      <c r="H637" s="13" t="str">
        <f aca="false">IF(J637&lt;&gt;1,"",IF(I637="SBJ","CB","?"))</f>
        <v/>
      </c>
      <c r="I637" s="14" t="str">
        <f aca="false">IF(OR(E637="",E637="!!!",F637="NEW"),"",INDEX(B$2:B636,-1+SUMPRODUCT(MAX(ROW(E$2:E636)*(E637=E$2:E636)))))</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75" hidden="false" customHeight="false" outlineLevel="0" collapsed="false">
      <c r="A638" s="9" t="s">
        <v>44</v>
      </c>
      <c r="E638" s="10" t="str">
        <f aca="false">IF(D638="?OLD","!!!","")</f>
        <v/>
      </c>
      <c r="F638" s="11" t="str">
        <f aca="false">IF(OR(E638="",E638="!!!"),"",IF(NOT(ISNA(VLOOKUP(E638,E$1:E637,1,FALSE()))),"OLD",IF(AND(E638&lt;&gt;"",E638&lt;&gt;"!!!"),"NEW","")))</f>
        <v/>
      </c>
      <c r="G638" s="12" t="str">
        <f aca="false">IF(OR(E638="",E638="!!!"),"",IF(OR(J638=0,AND(J638=1,K638=1),AND(J638=1,I638="SBJ"),AND(J638=1,I638=0)),"?IN_FOCUS",IF(J638&lt;=2,"?ACTIVATED",IF(J638&lt;&gt;"","?FAMILIAR",IF(F638="NEW",IF(ISNA(VLOOKUP(E638,#REF!,1,FALSE())),"?TYPE_IDENTIFIABLE","?REFERENTIAL"),"_")))))</f>
        <v/>
      </c>
      <c r="H638" s="13" t="str">
        <f aca="false">IF(J638&lt;&gt;1,"",IF(I638="SBJ","CB","?"))</f>
        <v/>
      </c>
      <c r="I638" s="14" t="str">
        <f aca="false">IF(OR(E638="",E638="!!!",F638="NEW"),"",INDEX(B$2:B637,-1+SUMPRODUCT(MAX(ROW(E$2:E637)*(E638=E$2:E637)))))</f>
        <v/>
      </c>
      <c r="J638" s="15" t="str">
        <f aca="true">IF(OR(E638="",E638="!!!",F638="NEW"),"",COUNTBLANK(OFFSET(A$1,,,SUMPRODUCT(MAX(ROW(E$2:E638)*(E638=E$2:E638)))))-COUNTBLANK(OFFSET(A$1,,,SUMPRODUCT(MAX(ROW(E$1:E637)*(E638=E$1:E637))))))</f>
        <v/>
      </c>
      <c r="K638" s="15" t="str">
        <f aca="false">IF(OR(E638="",E638="!!!",F638="NEW"),"",INDEX(J$1:J637,SUMPRODUCT(MAX(ROW(E$1:E637)*(E638=E$1:E637)))))</f>
        <v/>
      </c>
      <c r="L638" s="16"/>
    </row>
    <row r="639" customFormat="false" ht="12.75" hidden="false" customHeight="false" outlineLevel="0" collapsed="false">
      <c r="E639" s="10" t="str">
        <f aca="false">IF(D639="?OLD","!!!","")</f>
        <v/>
      </c>
      <c r="F639" s="11" t="str">
        <f aca="false">IF(OR(E639="",E639="!!!"),"",IF(NOT(ISNA(VLOOKUP(E639,E$1:E638,1,FALSE()))),"OLD",IF(AND(E639&lt;&gt;"",E639&lt;&gt;"!!!"),"NEW","")))</f>
        <v/>
      </c>
      <c r="G639" s="12" t="str">
        <f aca="false">IF(OR(E639="",E639="!!!"),"",IF(OR(J639=0,AND(J639=1,K639=1),AND(J639=1,I639="SBJ"),AND(J639=1,I639=0)),"?IN_FOCUS",IF(J639&lt;=2,"?ACTIVATED",IF(J639&lt;&gt;"","?FAMILIAR",IF(F639="NEW",IF(ISNA(VLOOKUP(E639,#REF!,1,FALSE())),"?TYPE_IDENTIFIABLE","?REFERENTIAL"),"_")))))</f>
        <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12.75" hidden="false" customHeight="false" outlineLevel="0" collapsed="false">
      <c r="A640" s="9" t="s">
        <v>366</v>
      </c>
      <c r="E640" s="10" t="str">
        <f aca="false">IF(D640="?OLD","!!!","")</f>
        <v/>
      </c>
      <c r="F640" s="11" t="str">
        <f aca="false">IF(OR(E640="",E640="!!!"),"",IF(NOT(ISNA(VLOOKUP(E640,E$1:E639,1,FALSE()))),"OLD",IF(AND(E640&lt;&gt;"",E640&lt;&gt;"!!!"),"NEW","")))</f>
        <v/>
      </c>
      <c r="G640" s="12" t="str">
        <f aca="false">IF(OR(E640="",E640="!!!"),"",IF(OR(J640=0,AND(J640=1,K640=1),AND(J640=1,I640="SBJ"),AND(J640=1,I640=0)),"?IN_FOCUS",IF(J640&lt;=2,"?ACTIVATED",IF(J640&lt;&gt;"","?FAMILIAR",IF(F640="NEW",IF(ISNA(VLOOKUP(E640,#REF!,1,FALSE())),"?TYPE_IDENTIFIABLE","?REFERENTIAL"),"_")))))</f>
        <v/>
      </c>
      <c r="H640" s="13" t="str">
        <f aca="false">IF(J640&lt;&gt;1,"",IF(I640="SBJ","CB","?"))</f>
        <v/>
      </c>
      <c r="I640" s="14" t="str">
        <f aca="false">IF(OR(E640="",E640="!!!",F640="NEW"),"",INDEX(B$2:B639,-1+SUMPRODUCT(MAX(ROW(E$2:E639)*(E640=E$2:E639)))))</f>
        <v/>
      </c>
      <c r="J640" s="15" t="str">
        <f aca="true">IF(OR(E640="",E640="!!!",F640="NEW"),"",COUNTBLANK(OFFSET(A$1,,,SUMPRODUCT(MAX(ROW(E$2:E640)*(E640=E$2:E640)))))-COUNTBLANK(OFFSET(A$1,,,SUMPRODUCT(MAX(ROW(E$1:E639)*(E640=E$1:E639))))))</f>
        <v/>
      </c>
      <c r="K640" s="15" t="str">
        <f aca="false">IF(OR(E640="",E640="!!!",F640="NEW"),"",INDEX(J$1:J639,SUMPRODUCT(MAX(ROW(E$1:E639)*(E640=E$1:E639)))))</f>
        <v/>
      </c>
      <c r="L640" s="16"/>
    </row>
    <row r="641" customFormat="false" ht="12.75" hidden="false" customHeight="false" outlineLevel="0" collapsed="false">
      <c r="A641" s="9" t="s">
        <v>232</v>
      </c>
      <c r="E641" s="10" t="str">
        <f aca="false">IF(D641="?OLD","!!!","")</f>
        <v/>
      </c>
      <c r="F641" s="11" t="str">
        <f aca="false">IF(OR(E641="",E641="!!!"),"",IF(NOT(ISNA(VLOOKUP(E641,E$1:E640,1,FALSE()))),"OLD",IF(AND(E641&lt;&gt;"",E641&lt;&gt;"!!!"),"NEW","")))</f>
        <v/>
      </c>
      <c r="G641" s="12" t="str">
        <f aca="false">IF(OR(E641="",E641="!!!"),"",IF(OR(J641=0,AND(J641=1,K641=1),AND(J641=1,I641="SBJ"),AND(J641=1,I641=0)),"?IN_FOCUS",IF(J641&lt;=2,"?ACTIVATED",IF(J641&lt;&gt;"","?FAMILIAR",IF(F641="NEW",IF(ISNA(VLOOKUP(E641,#REF!,1,FALSE())),"?TYPE_IDENTIFIABLE","?REFERENTIAL"),"_")))))</f>
        <v/>
      </c>
      <c r="H641" s="13" t="str">
        <f aca="false">IF(J641&lt;&gt;1,"",IF(I641="SBJ","CB","?"))</f>
        <v/>
      </c>
      <c r="I641" s="14" t="str">
        <f aca="false">IF(OR(E641="",E641="!!!",F641="NEW"),"",INDEX(B$2:B640,-1+SUMPRODUCT(MAX(ROW(E$2:E640)*(E641=E$2:E640)))))</f>
        <v/>
      </c>
      <c r="J641" s="15" t="str">
        <f aca="true">IF(OR(E641="",E641="!!!",F641="NEW"),"",COUNTBLANK(OFFSET(A$1,,,SUMPRODUCT(MAX(ROW(E$2:E641)*(E641=E$2:E641)))))-COUNTBLANK(OFFSET(A$1,,,SUMPRODUCT(MAX(ROW(E$1:E640)*(E641=E$1:E640))))))</f>
        <v/>
      </c>
      <c r="K641" s="15" t="str">
        <f aca="false">IF(OR(E641="",E641="!!!",F641="NEW"),"",INDEX(J$1:J640,SUMPRODUCT(MAX(ROW(E$1:E640)*(E641=E$1:E640)))))</f>
        <v/>
      </c>
      <c r="L641" s="16"/>
    </row>
    <row r="642" customFormat="false" ht="12.75" hidden="false" customHeight="false" outlineLevel="0" collapsed="false">
      <c r="A642" s="9" t="s">
        <v>367</v>
      </c>
      <c r="B642" s="0" t="s">
        <v>40</v>
      </c>
      <c r="C642" s="0" t="s">
        <v>103</v>
      </c>
      <c r="D642" s="0" t="s">
        <v>19</v>
      </c>
      <c r="E642" s="10" t="s">
        <v>367</v>
      </c>
      <c r="F642" s="11" t="str">
        <f aca="false">IF(OR(E642="",E642="!!!"),"",IF(NOT(ISNA(VLOOKUP(E642,E$1:E641,1,FALSE()))),"OLD",IF(AND(E642&lt;&gt;"",E642&lt;&gt;"!!!"),"NEW","")))</f>
        <v>NEW</v>
      </c>
      <c r="G642" s="12" t="s">
        <v>52</v>
      </c>
      <c r="H642" s="13" t="str">
        <f aca="false">IF(J642&lt;&gt;1,"",IF(I642="SBJ","CB","?"))</f>
        <v/>
      </c>
      <c r="I642" s="14" t="str">
        <f aca="false">IF(OR(E642="",E642="!!!",F642="NEW"),"",INDEX(B$2:B641,-1+SUMPRODUCT(MAX(ROW(E$2:E641)*(E642=E$2:E641)))))</f>
        <v/>
      </c>
      <c r="J642" s="15" t="str">
        <f aca="true">IF(OR(E642="",E642="!!!",F642="NEW"),"",COUNTBLANK(OFFSET(A$1,,,SUMPRODUCT(MAX(ROW(E$2:E642)*(E642=E$2:E642)))))-COUNTBLANK(OFFSET(A$1,,,SUMPRODUCT(MAX(ROW(E$1:E641)*(E642=E$1:E641))))))</f>
        <v/>
      </c>
      <c r="K642" s="15" t="str">
        <f aca="false">IF(OR(E642="",E642="!!!",F642="NEW"),"",INDEX(J$1:J641,SUMPRODUCT(MAX(ROW(E$1:E641)*(E642=E$1:E641)))))</f>
        <v/>
      </c>
      <c r="L642" s="16"/>
    </row>
    <row r="643" customFormat="false" ht="12.75" hidden="false" customHeight="false" outlineLevel="0" collapsed="false">
      <c r="A643" s="9" t="s">
        <v>257</v>
      </c>
      <c r="E643" s="10" t="str">
        <f aca="false">IF(D643="?OLD","!!!","")</f>
        <v/>
      </c>
      <c r="F643" s="11" t="str">
        <f aca="false">IF(OR(E643="",E643="!!!"),"",IF(NOT(ISNA(VLOOKUP(E643,E$1:E642,1,FALSE()))),"OLD",IF(AND(E643&lt;&gt;"",E643&lt;&gt;"!!!"),"NEW","")))</f>
        <v/>
      </c>
      <c r="G643" s="12" t="str">
        <f aca="false">IF(OR(E643="",E643="!!!"),"",IF(OR(J643=0,AND(J643=1,K643=1),AND(J643=1,I643="SBJ"),AND(J643=1,I643=0)),"?IN_FOCUS",IF(J643&lt;=2,"?ACTIVATED",IF(J643&lt;&gt;"","?FAMILIAR",IF(F643="NEW",IF(ISNA(VLOOKUP(E643,#REF!,1,FALSE())),"?TYPE_IDENTIFIABLE","?REFERENTIAL"),"_")))))</f>
        <v/>
      </c>
      <c r="H643" s="13" t="str">
        <f aca="false">IF(J643&lt;&gt;1,"",IF(I643="SBJ","CB","?"))</f>
        <v/>
      </c>
      <c r="I643" s="14" t="str">
        <f aca="false">IF(OR(E643="",E643="!!!",F643="NEW"),"",INDEX(B$2:B642,-1+SUMPRODUCT(MAX(ROW(E$2:E642)*(E643=E$2:E642)))))</f>
        <v/>
      </c>
      <c r="J643" s="15" t="str">
        <f aca="true">IF(OR(E643="",E643="!!!",F643="NEW"),"",COUNTBLANK(OFFSET(A$1,,,SUMPRODUCT(MAX(ROW(E$2:E643)*(E643=E$2:E643)))))-COUNTBLANK(OFFSET(A$1,,,SUMPRODUCT(MAX(ROW(E$1:E642)*(E643=E$1:E642))))))</f>
        <v/>
      </c>
      <c r="K643" s="15" t="str">
        <f aca="false">IF(OR(E643="",E643="!!!",F643="NEW"),"",INDEX(J$1:J642,SUMPRODUCT(MAX(ROW(E$1:E642)*(E643=E$1:E642)))))</f>
        <v/>
      </c>
      <c r="L643" s="16"/>
    </row>
    <row r="644" customFormat="false" ht="12.75" hidden="false" customHeight="false" outlineLevel="0" collapsed="false">
      <c r="A644" s="9" t="s">
        <v>368</v>
      </c>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IF(OR(E644="",E644="!!!",F644="NEW"),"",INDEX(B$2:B643,-1+SUMPRODUCT(MAX(ROW(E$2:E643)*(E644=E$2:E643)))))</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75" hidden="false" customHeight="false" outlineLevel="0" collapsed="false">
      <c r="A645" s="9" t="s">
        <v>334</v>
      </c>
      <c r="B645" s="0" t="s">
        <v>24</v>
      </c>
      <c r="C645" s="0" t="s">
        <v>31</v>
      </c>
      <c r="D645" s="0" t="s">
        <v>19</v>
      </c>
      <c r="E645" s="10" t="s">
        <v>327</v>
      </c>
      <c r="F645" s="11" t="str">
        <f aca="false">IF(OR(E645="",E645="!!!"),"",IF(NOT(ISNA(VLOOKUP(E645,E$1:E644,1,FALSE()))),"OLD",IF(AND(E645&lt;&gt;"",E645&lt;&gt;"!!!"),"NEW","")))</f>
        <v>OLD</v>
      </c>
      <c r="G645" s="12" t="s">
        <v>33</v>
      </c>
      <c r="H645" s="13" t="s">
        <v>369</v>
      </c>
      <c r="I645" s="14" t="str">
        <f aca="false">IF(OR(E645="",E645="!!!",F645="NEW"),"",INDEX(B$2:B644,-1+SUMPRODUCT(MAX(ROW(E$2:E644)*(E645=E$2:E644)))))</f>
        <v>SBJ_5</v>
      </c>
      <c r="J645" s="15" t="n">
        <f aca="true">IF(OR(E645="",E645="!!!",F645="NEW"),"",COUNTBLANK(OFFSET(A$1,,,SUMPRODUCT(MAX(ROW(E$2:E645)*(E645=E$2:E645)))))-COUNTBLANK(OFFSET(A$1,,,SUMPRODUCT(MAX(ROW(E$1:E644)*(E645=E$1:E644))))))</f>
        <v>1</v>
      </c>
      <c r="K645" s="15" t="n">
        <f aca="false">IF(OR(E645="",E645="!!!",F645="NEW"),"",INDEX(J$1:J644,SUMPRODUCT(MAX(ROW(E$1:E644)*(E645=E$1:E644)))))</f>
        <v>0</v>
      </c>
      <c r="L645" s="16"/>
    </row>
    <row r="646" customFormat="false" ht="12.75" hidden="false" customHeight="false" outlineLevel="0" collapsed="false">
      <c r="A646" s="9" t="s">
        <v>28</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75" hidden="false" customHeight="false" outlineLevel="0" collapsed="false">
      <c r="A647" s="9" t="s">
        <v>370</v>
      </c>
      <c r="B647" s="0" t="s">
        <v>94</v>
      </c>
      <c r="C647" s="0" t="s">
        <v>31</v>
      </c>
      <c r="D647" s="0" t="s">
        <v>19</v>
      </c>
      <c r="E647" s="10" t="s">
        <v>367</v>
      </c>
      <c r="F647" s="11" t="str">
        <f aca="false">IF(OR(E647="",E647="!!!"),"",IF(NOT(ISNA(VLOOKUP(E647,E$1:E646,1,FALSE()))),"OLD",IF(AND(E647&lt;&gt;"",E647&lt;&gt;"!!!"),"NEW","")))</f>
        <v>OLD</v>
      </c>
      <c r="G647" s="12" t="s">
        <v>65</v>
      </c>
      <c r="H647" s="13" t="str">
        <f aca="false">IF(J647&lt;&gt;1,"",IF(I647="SBJ","CB","?"))</f>
        <v/>
      </c>
      <c r="I647" s="14" t="str">
        <f aca="false">IF(OR(E647="",E647="!!!",F647="NEW"),"",INDEX(B$2:B646,-1+SUMPRODUCT(MAX(ROW(E$2:E646)*(E647=E$2:E646)))))</f>
        <v>other</v>
      </c>
      <c r="J647" s="15" t="n">
        <f aca="true">IF(OR(E647="",E647="!!!",F647="NEW"),"",COUNTBLANK(OFFSET(A$1,,,SUMPRODUCT(MAX(ROW(E$2:E647)*(E647=E$2:E647)))))-COUNTBLANK(OFFSET(A$1,,,SUMPRODUCT(MAX(ROW(E$1:E646)*(E647=E$1:E646))))))</f>
        <v>0</v>
      </c>
      <c r="K647" s="15" t="str">
        <f aca="false">IF(OR(E647="",E647="!!!",F647="NEW"),"",INDEX(J$1:J646,SUMPRODUCT(MAX(ROW(E$1:E646)*(E647=E$1:E646)))))</f>
        <v/>
      </c>
      <c r="L647" s="16"/>
    </row>
    <row r="648" customFormat="false" ht="12.75" hidden="false" customHeight="false" outlineLevel="0" collapsed="false">
      <c r="A648" s="9" t="s">
        <v>371</v>
      </c>
      <c r="E648" s="10" t="str">
        <f aca="false">IF(D648="?OLD","!!!","")</f>
        <v/>
      </c>
      <c r="F648" s="11" t="str">
        <f aca="false">IF(OR(E648="",E648="!!!"),"",IF(NOT(ISNA(VLOOKUP(E648,E$1:E647,1,FALSE()))),"OLD",IF(AND(E648&lt;&gt;"",E648&lt;&gt;"!!!"),"NEW","")))</f>
        <v/>
      </c>
      <c r="G648" s="12" t="str">
        <f aca="false">IF(OR(E648="",E648="!!!"),"",IF(OR(J648=0,AND(J648=1,K648=1),AND(J648=1,I648="SBJ"),AND(J648=1,I648=0)),"?IN_FOCUS",IF(J648&lt;=2,"?ACTIVATED",IF(J648&lt;&gt;"","?FAMILIAR",IF(F648="NEW",IF(ISNA(VLOOKUP(E648,#REF!,1,FALSE())),"?TYPE_IDENTIFIABLE","?REFERENTIAL"),"_")))))</f>
        <v/>
      </c>
      <c r="H648" s="13" t="str">
        <f aca="false">IF(J648&lt;&gt;1,"",IF(I648="SBJ","CB","?"))</f>
        <v/>
      </c>
      <c r="I648" s="14" t="str">
        <f aca="false">IF(OR(E648="",E648="!!!",F648="NEW"),"",INDEX(B$2:B647,-1+SUMPRODUCT(MAX(ROW(E$2:E647)*(E648=E$2:E647)))))</f>
        <v/>
      </c>
      <c r="J648" s="15" t="str">
        <f aca="true">IF(OR(E648="",E648="!!!",F648="NEW"),"",COUNTBLANK(OFFSET(A$1,,,SUMPRODUCT(MAX(ROW(E$2:E648)*(E648=E$2:E648)))))-COUNTBLANK(OFFSET(A$1,,,SUMPRODUCT(MAX(ROW(E$1:E647)*(E648=E$1:E647))))))</f>
        <v/>
      </c>
      <c r="K648" s="15" t="str">
        <f aca="false">IF(OR(E648="",E648="!!!",F648="NEW"),"",INDEX(J$1:J647,SUMPRODUCT(MAX(ROW(E$1:E647)*(E648=E$1:E647)))))</f>
        <v/>
      </c>
      <c r="L648" s="16"/>
    </row>
    <row r="649" customFormat="false" ht="12.75" hidden="false" customHeight="false" outlineLevel="0" collapsed="false">
      <c r="A649" s="9" t="s">
        <v>15</v>
      </c>
      <c r="E649" s="10" t="str">
        <f aca="false">IF(D649="?OLD","!!!","")</f>
        <v/>
      </c>
      <c r="F649" s="11" t="str">
        <f aca="false">IF(OR(E649="",E649="!!!"),"",IF(NOT(ISNA(VLOOKUP(E649,E$1:E648,1,FALSE()))),"OLD",IF(AND(E649&lt;&gt;"",E649&lt;&gt;"!!!"),"NEW","")))</f>
        <v/>
      </c>
      <c r="G649" s="12" t="str">
        <f aca="false">IF(OR(E649="",E649="!!!"),"",IF(OR(J649=0,AND(J649=1,K649=1),AND(J649=1,I649="SBJ"),AND(J649=1,I649=0)),"?IN_FOCUS",IF(J649&lt;=2,"?ACTIVATED",IF(J649&lt;&gt;"","?FAMILIAR",IF(F649="NEW",IF(ISNA(VLOOKUP(E649,#REF!,1,FALSE())),"?TYPE_IDENTIFIABLE","?REFERENTIAL"),"_")))))</f>
        <v/>
      </c>
      <c r="H649" s="13" t="str">
        <f aca="false">IF(J649&lt;&gt;1,"",IF(I649="SBJ","CB","?"))</f>
        <v/>
      </c>
      <c r="I649" s="14" t="str">
        <f aca="false">IF(OR(E649="",E649="!!!",F649="NEW"),"",INDEX(B$2:B648,-1+SUMPRODUCT(MAX(ROW(E$2:E648)*(E649=E$2:E648)))))</f>
        <v/>
      </c>
      <c r="J649" s="15" t="str">
        <f aca="true">IF(OR(E649="",E649="!!!",F649="NEW"),"",COUNTBLANK(OFFSET(A$1,,,SUMPRODUCT(MAX(ROW(E$2:E649)*(E649=E$2:E649)))))-COUNTBLANK(OFFSET(A$1,,,SUMPRODUCT(MAX(ROW(E$1:E648)*(E649=E$1:E648))))))</f>
        <v/>
      </c>
      <c r="K649" s="15" t="str">
        <f aca="false">IF(OR(E649="",E649="!!!",F649="NEW"),"",INDEX(J$1:J648,SUMPRODUCT(MAX(ROW(E$1:E648)*(E649=E$1:E648)))))</f>
        <v/>
      </c>
      <c r="L649" s="16"/>
    </row>
    <row r="650" customFormat="false" ht="12.75" hidden="false" customHeight="false" outlineLevel="0" collapsed="false">
      <c r="A650" s="9" t="s">
        <v>314</v>
      </c>
      <c r="B650" s="0" t="s">
        <v>96</v>
      </c>
      <c r="C650" s="0" t="s">
        <v>103</v>
      </c>
      <c r="D650" s="0" t="s">
        <v>19</v>
      </c>
      <c r="E650" s="10" t="s">
        <v>187</v>
      </c>
      <c r="F650" s="11" t="str">
        <f aca="false">IF(OR(E650="",E650="!!!"),"",IF(NOT(ISNA(VLOOKUP(E650,E$1:E649,1,FALSE()))),"OLD",IF(AND(E650&lt;&gt;"",E650&lt;&gt;"!!!"),"NEW","")))</f>
        <v>OLD</v>
      </c>
      <c r="G650" s="12" t="s">
        <v>33</v>
      </c>
      <c r="H650" s="13"/>
      <c r="I650" s="14" t="str">
        <f aca="false">IF(OR(E650="",E650="!!!",F650="NEW"),"",INDEX(B$2:B649,-1+SUMPRODUCT(MAX(ROW(E$2:E649)*(E650=E$2:E649)))))</f>
        <v>SBJ_3</v>
      </c>
      <c r="J650" s="15" t="n">
        <f aca="true">IF(OR(E650="",E650="!!!",F650="NEW"),"",COUNTBLANK(OFFSET(A$1,,,SUMPRODUCT(MAX(ROW(E$2:E650)*(E650=E$2:E650)))))-COUNTBLANK(OFFSET(A$1,,,SUMPRODUCT(MAX(ROW(E$1:E649)*(E650=E$1:E649))))))</f>
        <v>1</v>
      </c>
      <c r="K650" s="15" t="n">
        <f aca="false">IF(OR(E650="",E650="!!!",F650="NEW"),"",INDEX(J$1:J649,SUMPRODUCT(MAX(ROW(E$1:E649)*(E650=E$1:E649)))))</f>
        <v>0</v>
      </c>
      <c r="L650" s="16"/>
    </row>
    <row r="651" customFormat="false" ht="12.75" hidden="false" customHeight="false" outlineLevel="0" collapsed="false">
      <c r="A651" s="9" t="s">
        <v>372</v>
      </c>
      <c r="E651" s="10" t="str">
        <f aca="false">IF(D651="?OLD","!!!","")</f>
        <v/>
      </c>
      <c r="F651" s="11" t="str">
        <f aca="false">IF(OR(E651="",E651="!!!"),"",IF(NOT(ISNA(VLOOKUP(E651,E$1:E650,1,FALSE()))),"OLD",IF(AND(E651&lt;&gt;"",E651&lt;&gt;"!!!"),"NEW","")))</f>
        <v/>
      </c>
      <c r="G651" s="12" t="str">
        <f aca="false">IF(OR(E651="",E651="!!!"),"",IF(OR(J651=0,AND(J651=1,K651=1),AND(J651=1,I651="SBJ"),AND(J651=1,I651=0)),"?IN_FOCUS",IF(J651&lt;=2,"?ACTIVATED",IF(J651&lt;&gt;"","?FAMILIAR",IF(F651="NEW",IF(ISNA(VLOOKUP(E651,#REF!,1,FALSE())),"?TYPE_IDENTIFIABLE","?REFERENTIAL"),"_")))))</f>
        <v/>
      </c>
      <c r="H651" s="13" t="str">
        <f aca="false">IF(J651&lt;&gt;1,"",IF(I651="SBJ","CB","?"))</f>
        <v/>
      </c>
      <c r="I651" s="14" t="str">
        <f aca="false">IF(OR(E651="",E651="!!!",F651="NEW"),"",INDEX(B$2:B650,-1+SUMPRODUCT(MAX(ROW(E$2:E650)*(E651=E$2:E650)))))</f>
        <v/>
      </c>
      <c r="J651" s="15" t="str">
        <f aca="true">IF(OR(E651="",E651="!!!",F651="NEW"),"",COUNTBLANK(OFFSET(A$1,,,SUMPRODUCT(MAX(ROW(E$2:E651)*(E651=E$2:E651)))))-COUNTBLANK(OFFSET(A$1,,,SUMPRODUCT(MAX(ROW(E$1:E650)*(E651=E$1:E650))))))</f>
        <v/>
      </c>
      <c r="K651" s="15" t="str">
        <f aca="false">IF(OR(E651="",E651="!!!",F651="NEW"),"",INDEX(J$1:J650,SUMPRODUCT(MAX(ROW(E$1:E650)*(E651=E$1:E650)))))</f>
        <v/>
      </c>
      <c r="L651" s="16"/>
    </row>
    <row r="652" customFormat="false" ht="12.75" hidden="false" customHeight="false" outlineLevel="0" collapsed="false">
      <c r="A652" s="9" t="s">
        <v>310</v>
      </c>
      <c r="E652" s="10" t="str">
        <f aca="false">IF(D652="?OLD","!!!","")</f>
        <v/>
      </c>
      <c r="F652" s="11" t="str">
        <f aca="false">IF(OR(E652="",E652="!!!"),"",IF(NOT(ISNA(VLOOKUP(E652,E$1:E651,1,FALSE()))),"OLD",IF(AND(E652&lt;&gt;"",E652&lt;&gt;"!!!"),"NEW","")))</f>
        <v/>
      </c>
      <c r="G652" s="12" t="str">
        <f aca="false">IF(OR(E652="",E652="!!!"),"",IF(OR(J652=0,AND(J652=1,K652=1),AND(J652=1,I652="SBJ"),AND(J652=1,I652=0)),"?IN_FOCUS",IF(J652&lt;=2,"?ACTIVATED",IF(J652&lt;&gt;"","?FAMILIAR",IF(F652="NEW",IF(ISNA(VLOOKUP(E652,#REF!,1,FALSE())),"?TYPE_IDENTIFIABLE","?REFERENTIAL"),"_")))))</f>
        <v/>
      </c>
      <c r="H652" s="13" t="str">
        <f aca="false">IF(J652&lt;&gt;1,"",IF(I652="SBJ","CB","?"))</f>
        <v/>
      </c>
      <c r="I652" s="14" t="str">
        <f aca="false">IF(OR(E652="",E652="!!!",F652="NEW"),"",INDEX(B$2:B651,-1+SUMPRODUCT(MAX(ROW(E$2:E651)*(E652=E$2:E651)))))</f>
        <v/>
      </c>
      <c r="J652" s="15" t="str">
        <f aca="true">IF(OR(E652="",E652="!!!",F652="NEW"),"",COUNTBLANK(OFFSET(A$1,,,SUMPRODUCT(MAX(ROW(E$2:E652)*(E652=E$2:E652)))))-COUNTBLANK(OFFSET(A$1,,,SUMPRODUCT(MAX(ROW(E$1:E651)*(E652=E$1:E651))))))</f>
        <v/>
      </c>
      <c r="K652" s="15" t="str">
        <f aca="false">IF(OR(E652="",E652="!!!",F652="NEW"),"",INDEX(J$1:J651,SUMPRODUCT(MAX(ROW(E$1:E651)*(E652=E$1:E651)))))</f>
        <v/>
      </c>
      <c r="L652" s="16"/>
    </row>
    <row r="653" customFormat="false" ht="12.75" hidden="false" customHeight="false" outlineLevel="0" collapsed="false">
      <c r="A653" s="9" t="s">
        <v>228</v>
      </c>
      <c r="B653" s="0" t="s">
        <v>62</v>
      </c>
      <c r="C653" s="0" t="s">
        <v>128</v>
      </c>
      <c r="D653" s="0" t="s">
        <v>19</v>
      </c>
      <c r="E653" s="10" t="s">
        <v>367</v>
      </c>
      <c r="F653" s="11" t="str">
        <f aca="false">IF(OR(E653="",E653="!!!"),"",IF(NOT(ISNA(VLOOKUP(E653,E$1:E652,1,FALSE()))),"OLD",IF(AND(E653&lt;&gt;"",E653&lt;&gt;"!!!"),"NEW","")))</f>
        <v>OLD</v>
      </c>
      <c r="G653" s="12" t="s">
        <v>65</v>
      </c>
      <c r="H653" s="13" t="str">
        <f aca="false">IF(J653&lt;&gt;1,"",IF(I653="SBJ","CB","?"))</f>
        <v/>
      </c>
      <c r="I653" s="14" t="str">
        <f aca="false">IF(OR(E653="",E653="!!!",F653="NEW"),"",INDEX(B$2:B652,-1+SUMPRODUCT(MAX(ROW(E$2:E652)*(E653=E$2:E652)))))</f>
        <v>SBJ_3</v>
      </c>
      <c r="J653" s="15" t="n">
        <f aca="true">IF(OR(E653="",E653="!!!",F653="NEW"),"",COUNTBLANK(OFFSET(A$1,,,SUMPRODUCT(MAX(ROW(E$2:E653)*(E653=E$2:E653)))))-COUNTBLANK(OFFSET(A$1,,,SUMPRODUCT(MAX(ROW(E$1:E652)*(E653=E$1:E652))))))</f>
        <v>0</v>
      </c>
      <c r="K653" s="15" t="n">
        <f aca="false">IF(OR(E653="",E653="!!!",F653="NEW"),"",INDEX(J$1:J652,SUMPRODUCT(MAX(ROW(E$1:E652)*(E653=E$1:E652)))))</f>
        <v>0</v>
      </c>
      <c r="L653" s="16"/>
    </row>
    <row r="654" customFormat="false" ht="12.75" hidden="false" customHeight="false" outlineLevel="0" collapsed="false">
      <c r="A654" s="9" t="s">
        <v>373</v>
      </c>
      <c r="B654" s="0" t="s">
        <v>24</v>
      </c>
      <c r="C654" s="0" t="s">
        <v>83</v>
      </c>
      <c r="D654" s="0" t="s">
        <v>19</v>
      </c>
      <c r="E654" s="10" t="s">
        <v>374</v>
      </c>
      <c r="F654" s="11" t="str">
        <f aca="false">IF(OR(E654="",E654="!!!"),"",IF(NOT(ISNA(VLOOKUP(E654,E$1:E653,1,FALSE()))),"OLD",IF(AND(E654&lt;&gt;"",E654&lt;&gt;"!!!"),"NEW","")))</f>
        <v>NEW</v>
      </c>
      <c r="G654" s="12" t="s">
        <v>21</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75" hidden="false" customHeight="false" outlineLevel="0" collapsed="false">
      <c r="A655" s="9" t="s">
        <v>28</v>
      </c>
      <c r="E655" s="10" t="str">
        <f aca="false">IF(D655="?OLD","!!!","")</f>
        <v/>
      </c>
      <c r="F655" s="11" t="str">
        <f aca="false">IF(OR(E655="",E655="!!!"),"",IF(NOT(ISNA(VLOOKUP(E655,E$1:E654,1,FALSE()))),"OLD",IF(AND(E655&lt;&gt;"",E655&lt;&gt;"!!!"),"NEW","")))</f>
        <v/>
      </c>
      <c r="G655" s="12" t="str">
        <f aca="false">IF(OR(E655="",E655="!!!"),"",IF(OR(J655=0,AND(J655=1,K655=1),AND(J655=1,I655="SBJ"),AND(J655=1,I655=0)),"?IN_FOCUS",IF(J655&lt;=2,"?ACTIVATED",IF(J655&lt;&gt;"","?FAMILIAR",IF(F655="NEW",IF(ISNA(VLOOKUP(E655,#REF!,1,FALSE())),"?TYPE_IDENTIFIABLE","?REFERENTIAL"),"_")))))</f>
        <v/>
      </c>
      <c r="H655" s="13" t="str">
        <f aca="false">IF(J655&lt;&gt;1,"",IF(I655="SBJ","CB","?"))</f>
        <v/>
      </c>
      <c r="I655" s="14" t="str">
        <f aca="false">IF(OR(E655="",E655="!!!",F655="NEW"),"",INDEX(B$2:B654,-1+SUMPRODUCT(MAX(ROW(E$2:E654)*(E655=E$2:E654)))))</f>
        <v/>
      </c>
      <c r="J655" s="15" t="str">
        <f aca="true">IF(OR(E655="",E655="!!!",F655="NEW"),"",COUNTBLANK(OFFSET(A$1,,,SUMPRODUCT(MAX(ROW(E$2:E655)*(E655=E$2:E655)))))-COUNTBLANK(OFFSET(A$1,,,SUMPRODUCT(MAX(ROW(E$1:E654)*(E655=E$1:E654))))))</f>
        <v/>
      </c>
      <c r="K655" s="15" t="str">
        <f aca="false">IF(OR(E655="",E655="!!!",F655="NEW"),"",INDEX(J$1:J654,SUMPRODUCT(MAX(ROW(E$1:E654)*(E655=E$1:E654)))))</f>
        <v/>
      </c>
      <c r="L655" s="16"/>
    </row>
    <row r="656" customFormat="false" ht="12.75" hidden="false" customHeight="false" outlineLevel="0" collapsed="false">
      <c r="A656" s="9" t="s">
        <v>232</v>
      </c>
      <c r="E656" s="10" t="str">
        <f aca="false">IF(D656="?OLD","!!!","")</f>
        <v/>
      </c>
      <c r="F656" s="11" t="str">
        <f aca="false">IF(OR(E656="",E656="!!!"),"",IF(NOT(ISNA(VLOOKUP(E656,E$1:E655,1,FALSE()))),"OLD",IF(AND(E656&lt;&gt;"",E656&lt;&gt;"!!!"),"NEW","")))</f>
        <v/>
      </c>
      <c r="G656" s="12" t="str">
        <f aca="false">IF(OR(E656="",E656="!!!"),"",IF(OR(J656=0,AND(J656=1,K656=1),AND(J656=1,I656="SBJ"),AND(J656=1,I656=0)),"?IN_FOCUS",IF(J656&lt;=2,"?ACTIVATED",IF(J656&lt;&gt;"","?FAMILIAR",IF(F656="NEW",IF(ISNA(VLOOKUP(E656,#REF!,1,FALSE())),"?TYPE_IDENTIFIABLE","?REFERENTIAL"),"_")))))</f>
        <v/>
      </c>
      <c r="H656" s="13" t="str">
        <f aca="false">IF(J656&lt;&gt;1,"",IF(I656="SBJ","CB","?"))</f>
        <v/>
      </c>
      <c r="I656" s="14" t="str">
        <f aca="false">IF(OR(E656="",E656="!!!",F656="NEW"),"",INDEX(B$2:B655,-1+SUMPRODUCT(MAX(ROW(E$2:E655)*(E656=E$2:E655)))))</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75" hidden="false" customHeight="false" outlineLevel="0" collapsed="false">
      <c r="A657" s="9" t="s">
        <v>362</v>
      </c>
      <c r="B657" s="0" t="s">
        <v>94</v>
      </c>
      <c r="C657" s="0" t="s">
        <v>31</v>
      </c>
      <c r="D657" s="0" t="s">
        <v>19</v>
      </c>
      <c r="E657" s="10" t="s">
        <v>187</v>
      </c>
      <c r="F657" s="11" t="str">
        <f aca="false">IF(OR(E657="",E657="!!!"),"",IF(NOT(ISNA(VLOOKUP(E657,E$1:E656,1,FALSE()))),"OLD",IF(AND(E657&lt;&gt;"",E657&lt;&gt;"!!!"),"NEW","")))</f>
        <v>OLD</v>
      </c>
      <c r="G657" s="12" t="s">
        <v>65</v>
      </c>
      <c r="H657" s="13" t="str">
        <f aca="false">IF(J657&lt;&gt;1,"",IF(I657="SBJ","CB","?"))</f>
        <v/>
      </c>
      <c r="I657" s="14" t="str">
        <f aca="false">IF(OR(E657="",E657="!!!",F657="NEW"),"",INDEX(B$2:B656,-1+SUMPRODUCT(MAX(ROW(E$2:E656)*(E657=E$2:E656)))))</f>
        <v>OBJ_3</v>
      </c>
      <c r="J657" s="15" t="n">
        <f aca="true">IF(OR(E657="",E657="!!!",F657="NEW"),"",COUNTBLANK(OFFSET(A$1,,,SUMPRODUCT(MAX(ROW(E$2:E657)*(E657=E$2:E657)))))-COUNTBLANK(OFFSET(A$1,,,SUMPRODUCT(MAX(ROW(E$1:E656)*(E657=E$1:E656))))))</f>
        <v>0</v>
      </c>
      <c r="K657" s="15" t="n">
        <f aca="false">IF(OR(E657="",E657="!!!",F657="NEW"),"",INDEX(J$1:J656,SUMPRODUCT(MAX(ROW(E$1:E656)*(E657=E$1:E656)))))</f>
        <v>1</v>
      </c>
      <c r="L657" s="16"/>
    </row>
    <row r="658" customFormat="false" ht="12.75" hidden="false" customHeight="false" outlineLevel="0" collapsed="false">
      <c r="A658" s="9" t="s">
        <v>236</v>
      </c>
      <c r="E658" s="10" t="str">
        <f aca="false">IF(D658="?OLD","!!!","")</f>
        <v/>
      </c>
      <c r="F658" s="11" t="str">
        <f aca="false">IF(OR(E658="",E658="!!!"),"",IF(NOT(ISNA(VLOOKUP(E658,E$1:E657,1,FALSE()))),"OLD",IF(AND(E658&lt;&gt;"",E658&lt;&gt;"!!!"),"NEW","")))</f>
        <v/>
      </c>
      <c r="G658" s="12" t="str">
        <f aca="false">IF(OR(E658="",E658="!!!"),"",IF(OR(J658=0,AND(J658=1,K658=1),AND(J658=1,I658="SBJ"),AND(J658=1,I658=0)),"?IN_FOCUS",IF(J658&lt;=2,"?ACTIVATED",IF(J658&lt;&gt;"","?FAMILIAR",IF(F658="NEW",IF(ISNA(VLOOKUP(E658,#REF!,1,FALSE())),"?TYPE_IDENTIFIABLE","?REFERENTIAL"),"_")))))</f>
        <v/>
      </c>
      <c r="H658" s="13" t="str">
        <f aca="false">IF(J658&lt;&gt;1,"",IF(I658="SBJ","CB","?"))</f>
        <v/>
      </c>
      <c r="I658" s="14" t="str">
        <f aca="false">IF(OR(E658="",E658="!!!",F658="NEW"),"",INDEX(B$2:B657,-1+SUMPRODUCT(MAX(ROW(E$2:E657)*(E658=E$2:E657)))))</f>
        <v/>
      </c>
      <c r="J658" s="15" t="str">
        <f aca="true">IF(OR(E658="",E658="!!!",F658="NEW"),"",COUNTBLANK(OFFSET(A$1,,,SUMPRODUCT(MAX(ROW(E$2:E658)*(E658=E$2:E658)))))-COUNTBLANK(OFFSET(A$1,,,SUMPRODUCT(MAX(ROW(E$1:E657)*(E658=E$1:E657))))))</f>
        <v/>
      </c>
      <c r="K658" s="15" t="str">
        <f aca="false">IF(OR(E658="",E658="!!!",F658="NEW"),"",INDEX(J$1:J657,SUMPRODUCT(MAX(ROW(E$1:E657)*(E658=E$1:E657)))))</f>
        <v/>
      </c>
      <c r="L658" s="16"/>
    </row>
    <row r="659" customFormat="false" ht="12.75" hidden="false" customHeight="false" outlineLevel="0" collapsed="false">
      <c r="A659" s="9" t="s">
        <v>81</v>
      </c>
      <c r="E659" s="10" t="str">
        <f aca="false">IF(D659="?OLD","!!!","")</f>
        <v/>
      </c>
      <c r="F659" s="11" t="str">
        <f aca="false">IF(OR(E659="",E659="!!!"),"",IF(NOT(ISNA(VLOOKUP(E659,E$1:E658,1,FALSE()))),"OLD",IF(AND(E659&lt;&gt;"",E659&lt;&gt;"!!!"),"NEW","")))</f>
        <v/>
      </c>
      <c r="G659" s="12" t="str">
        <f aca="false">IF(OR(E659="",E659="!!!"),"",IF(OR(J659=0,AND(J659=1,K659=1),AND(J659=1,I659="SBJ"),AND(J659=1,I659=0)),"?IN_FOCUS",IF(J659&lt;=2,"?ACTIVATED",IF(J659&lt;&gt;"","?FAMILIAR",IF(F659="NEW",IF(ISNA(VLOOKUP(E659,#REF!,1,FALSE())),"?TYPE_IDENTIFIABLE","?REFERENTIAL"),"_")))))</f>
        <v/>
      </c>
      <c r="H659" s="13" t="str">
        <f aca="false">IF(J659&lt;&gt;1,"",IF(I659="SBJ","CB","?"))</f>
        <v/>
      </c>
      <c r="I659" s="14" t="str">
        <f aca="false">IF(OR(E659="",E659="!!!",F659="NEW"),"",INDEX(B$2:B658,-1+SUMPRODUCT(MAX(ROW(E$2:E658)*(E659=E$2:E658)))))</f>
        <v/>
      </c>
      <c r="J659" s="15" t="str">
        <f aca="true">IF(OR(E659="",E659="!!!",F659="NEW"),"",COUNTBLANK(OFFSET(A$1,,,SUMPRODUCT(MAX(ROW(E$2:E659)*(E659=E$2:E659)))))-COUNTBLANK(OFFSET(A$1,,,SUMPRODUCT(MAX(ROW(E$1:E658)*(E659=E$1:E658))))))</f>
        <v/>
      </c>
      <c r="K659" s="15" t="str">
        <f aca="false">IF(OR(E659="",E659="!!!",F659="NEW"),"",INDEX(J$1:J658,SUMPRODUCT(MAX(ROW(E$1:E658)*(E659=E$1:E658)))))</f>
        <v/>
      </c>
      <c r="L659" s="16"/>
    </row>
    <row r="660" customFormat="false" ht="12.75" hidden="false" customHeight="false" outlineLevel="0" collapsed="false">
      <c r="A660" s="9" t="s">
        <v>228</v>
      </c>
      <c r="B660" s="0" t="s">
        <v>24</v>
      </c>
      <c r="C660" s="0" t="s">
        <v>128</v>
      </c>
      <c r="D660" s="0" t="s">
        <v>19</v>
      </c>
      <c r="E660" s="10" t="s">
        <v>367</v>
      </c>
      <c r="F660" s="11" t="str">
        <f aca="false">IF(OR(E660="",E660="!!!"),"",IF(NOT(ISNA(VLOOKUP(E660,E$1:E659,1,FALSE()))),"OLD",IF(AND(E660&lt;&gt;"",E660&lt;&gt;"!!!"),"NEW","")))</f>
        <v>OLD</v>
      </c>
      <c r="G660" s="12" t="s">
        <v>65</v>
      </c>
      <c r="H660" s="13" t="str">
        <f aca="false">IF(J660&lt;&gt;1,"",IF(I660="SBJ","CB","?"))</f>
        <v/>
      </c>
      <c r="I660" s="14" t="str">
        <f aca="false">IF(OR(E660="",E660="!!!",F660="NEW"),"",INDEX(B$2:B659,-1+SUMPRODUCT(MAX(ROW(E$2:E659)*(E660=E$2:E659)))))</f>
        <v>other_4</v>
      </c>
      <c r="J660" s="15" t="n">
        <f aca="true">IF(OR(E660="",E660="!!!",F660="NEW"),"",COUNTBLANK(OFFSET(A$1,,,SUMPRODUCT(MAX(ROW(E$2:E660)*(E660=E$2:E660)))))-COUNTBLANK(OFFSET(A$1,,,SUMPRODUCT(MAX(ROW(E$1:E659)*(E660=E$1:E659))))))</f>
        <v>0</v>
      </c>
      <c r="K660" s="15" t="n">
        <f aca="false">IF(OR(E660="",E660="!!!",F660="NEW"),"",INDEX(J$1:J659,SUMPRODUCT(MAX(ROW(E$1:E659)*(E660=E$1:E659)))))</f>
        <v>0</v>
      </c>
      <c r="L660" s="16"/>
    </row>
    <row r="661" customFormat="false" ht="12.75" hidden="false" customHeight="false" outlineLevel="0" collapsed="false">
      <c r="A661" s="9" t="s">
        <v>375</v>
      </c>
      <c r="E661" s="10" t="str">
        <f aca="false">IF(D661="?OLD","!!!","")</f>
        <v/>
      </c>
      <c r="F661" s="11" t="str">
        <f aca="false">IF(OR(E661="",E661="!!!"),"",IF(NOT(ISNA(VLOOKUP(E661,E$1:E660,1,FALSE()))),"OLD",IF(AND(E661&lt;&gt;"",E661&lt;&gt;"!!!"),"NEW","")))</f>
        <v/>
      </c>
      <c r="G661" s="12" t="str">
        <f aca="false">IF(OR(E661="",E661="!!!"),"",IF(OR(J661=0,AND(J661=1,K661=1),AND(J661=1,I661="SBJ"),AND(J661=1,I661=0)),"?IN_FOCUS",IF(J661&lt;=2,"?ACTIVATED",IF(J661&lt;&gt;"","?FAMILIAR",IF(F661="NEW",IF(ISNA(VLOOKUP(E661,#REF!,1,FALSE())),"?TYPE_IDENTIFIABLE","?REFERENTIAL"),"_")))))</f>
        <v/>
      </c>
      <c r="H661" s="13" t="str">
        <f aca="false">IF(J661&lt;&gt;1,"",IF(I661="SBJ","CB","?"))</f>
        <v/>
      </c>
      <c r="I661" s="14" t="str">
        <f aca="false">IF(OR(E661="",E661="!!!",F661="NEW"),"",INDEX(B$2:B660,-1+SUMPRODUCT(MAX(ROW(E$2:E660)*(E661=E$2:E660)))))</f>
        <v/>
      </c>
      <c r="J661" s="15" t="str">
        <f aca="true">IF(OR(E661="",E661="!!!",F661="NEW"),"",COUNTBLANK(OFFSET(A$1,,,SUMPRODUCT(MAX(ROW(E$2:E661)*(E661=E$2:E661)))))-COUNTBLANK(OFFSET(A$1,,,SUMPRODUCT(MAX(ROW(E$1:E660)*(E661=E$1:E660))))))</f>
        <v/>
      </c>
      <c r="K661" s="15" t="str">
        <f aca="false">IF(OR(E661="",E661="!!!",F661="NEW"),"",INDEX(J$1:J660,SUMPRODUCT(MAX(ROW(E$1:E660)*(E661=E$1:E660)))))</f>
        <v/>
      </c>
      <c r="L661" s="16"/>
    </row>
    <row r="662" customFormat="false" ht="12.75" hidden="false" customHeight="false" outlineLevel="0" collapsed="false">
      <c r="A662" s="9" t="s">
        <v>348</v>
      </c>
      <c r="B662" s="0" t="s">
        <v>75</v>
      </c>
      <c r="C662" s="0" t="s">
        <v>83</v>
      </c>
      <c r="D662" s="0" t="s">
        <v>19</v>
      </c>
      <c r="E662" s="10" t="s">
        <v>376</v>
      </c>
      <c r="F662" s="11" t="str">
        <f aca="false">IF(OR(E662="",E662="!!!"),"",IF(NOT(ISNA(VLOOKUP(E662,E$1:E661,1,FALSE()))),"OLD",IF(AND(E662&lt;&gt;"",E662&lt;&gt;"!!!"),"NEW","")))</f>
        <v>NEW</v>
      </c>
      <c r="G662" s="12" t="s">
        <v>21</v>
      </c>
      <c r="H662" s="13" t="str">
        <f aca="false">IF(J662&lt;&gt;1,"",IF(I662="SBJ","CB","?"))</f>
        <v/>
      </c>
      <c r="I662" s="14" t="str">
        <f aca="false">IF(OR(E662="",E662="!!!",F662="NEW"),"",INDEX(B$2:B661,-1+SUMPRODUCT(MAX(ROW(E$2:E661)*(E662=E$2:E661)))))</f>
        <v/>
      </c>
      <c r="J662" s="15" t="str">
        <f aca="true">IF(OR(E662="",E662="!!!",F662="NEW"),"",COUNTBLANK(OFFSET(A$1,,,SUMPRODUCT(MAX(ROW(E$2:E662)*(E662=E$2:E662)))))-COUNTBLANK(OFFSET(A$1,,,SUMPRODUCT(MAX(ROW(E$1:E661)*(E662=E$1:E661))))))</f>
        <v/>
      </c>
      <c r="K662" s="15" t="str">
        <f aca="false">IF(OR(E662="",E662="!!!",F662="NEW"),"",INDEX(J$1:J661,SUMPRODUCT(MAX(ROW(E$1:E661)*(E662=E$1:E661)))))</f>
        <v/>
      </c>
      <c r="L662" s="16"/>
    </row>
    <row r="663" customFormat="false" ht="12.75" hidden="false" customHeight="false" outlineLevel="0" collapsed="false">
      <c r="A663" s="9" t="s">
        <v>28</v>
      </c>
      <c r="E663" s="10" t="str">
        <f aca="false">IF(D663="?OLD","!!!","")</f>
        <v/>
      </c>
      <c r="F663" s="11" t="str">
        <f aca="false">IF(OR(E663="",E663="!!!"),"",IF(NOT(ISNA(VLOOKUP(E663,E$1:E662,1,FALSE()))),"OLD",IF(AND(E663&lt;&gt;"",E663&lt;&gt;"!!!"),"NEW","")))</f>
        <v/>
      </c>
      <c r="G663" s="12" t="str">
        <f aca="false">IF(OR(E663="",E663="!!!"),"",IF(OR(J663=0,AND(J663=1,K663=1),AND(J663=1,I663="SBJ"),AND(J663=1,I663=0)),"?IN_FOCUS",IF(J663&lt;=2,"?ACTIVATED",IF(J663&lt;&gt;"","?FAMILIAR",IF(F663="NEW",IF(ISNA(VLOOKUP(E663,#REF!,1,FALSE())),"?TYPE_IDENTIFIABLE","?REFERENTIAL"),"_")))))</f>
        <v/>
      </c>
      <c r="H663" s="13" t="str">
        <f aca="false">IF(J663&lt;&gt;1,"",IF(I663="SBJ","CB","?"))</f>
        <v/>
      </c>
      <c r="I663" s="14" t="str">
        <f aca="false">IF(OR(E663="",E663="!!!",F663="NEW"),"",INDEX(B$2:B662,-1+SUMPRODUCT(MAX(ROW(E$2:E662)*(E663=E$2:E662)))))</f>
        <v/>
      </c>
      <c r="J663" s="15" t="str">
        <f aca="true">IF(OR(E663="",E663="!!!",F663="NEW"),"",COUNTBLANK(OFFSET(A$1,,,SUMPRODUCT(MAX(ROW(E$2:E663)*(E663=E$2:E663)))))-COUNTBLANK(OFFSET(A$1,,,SUMPRODUCT(MAX(ROW(E$1:E662)*(E663=E$1:E662))))))</f>
        <v/>
      </c>
      <c r="K663" s="15" t="str">
        <f aca="false">IF(OR(E663="",E663="!!!",F663="NEW"),"",INDEX(J$1:J662,SUMPRODUCT(MAX(ROW(E$1:E662)*(E663=E$1:E662)))))</f>
        <v/>
      </c>
      <c r="L663" s="16"/>
    </row>
    <row r="664" customFormat="false" ht="12.75" hidden="false" customHeight="false" outlineLevel="0" collapsed="false">
      <c r="A664" s="9" t="s">
        <v>258</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IF(OR(E664="",E664="!!!",F664="NEW"),"",INDEX(B$2:B663,-1+SUMPRODUCT(MAX(ROW(E$2:E663)*(E664=E$2:E663)))))</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75" hidden="false" customHeight="false" outlineLevel="0" collapsed="false">
      <c r="A665" s="9" t="s">
        <v>259</v>
      </c>
      <c r="B665" s="0" t="s">
        <v>17</v>
      </c>
      <c r="C665" s="0" t="s">
        <v>31</v>
      </c>
      <c r="D665" s="0" t="s">
        <v>19</v>
      </c>
      <c r="E665" s="10" t="s">
        <v>367</v>
      </c>
      <c r="F665" s="11" t="str">
        <f aca="false">IF(OR(E665="",E665="!!!"),"",IF(NOT(ISNA(VLOOKUP(E665,E$1:E664,1,FALSE()))),"OLD",IF(AND(E665&lt;&gt;"",E665&lt;&gt;"!!!"),"NEW","")))</f>
        <v>OLD</v>
      </c>
      <c r="G665" s="12" t="s">
        <v>65</v>
      </c>
      <c r="H665" s="13" t="str">
        <f aca="false">IF(J665&lt;&gt;1,"",IF(I665="SBJ","CB","?"))</f>
        <v/>
      </c>
      <c r="I665" s="14" t="str">
        <f aca="false">IF(OR(E665="",E665="!!!",F665="NEW"),"",INDEX(B$2:B664,-1+SUMPRODUCT(MAX(ROW(E$2:E664)*(E665=E$2:E664)))))</f>
        <v>other_3</v>
      </c>
      <c r="J665" s="15" t="n">
        <f aca="true">IF(OR(E665="",E665="!!!",F665="NEW"),"",COUNTBLANK(OFFSET(A$1,,,SUMPRODUCT(MAX(ROW(E$2:E665)*(E665=E$2:E665)))))-COUNTBLANK(OFFSET(A$1,,,SUMPRODUCT(MAX(ROW(E$1:E664)*(E665=E$1:E664))))))</f>
        <v>0</v>
      </c>
      <c r="K665" s="15" t="n">
        <f aca="false">IF(OR(E665="",E665="!!!",F665="NEW"),"",INDEX(J$1:J664,SUMPRODUCT(MAX(ROW(E$1:E664)*(E665=E$1:E664)))))</f>
        <v>0</v>
      </c>
      <c r="L665" s="16"/>
    </row>
    <row r="666" customFormat="false" ht="12.75" hidden="false" customHeight="false" outlineLevel="0" collapsed="false">
      <c r="A666" s="9" t="s">
        <v>363</v>
      </c>
      <c r="E666" s="10" t="str">
        <f aca="false">IF(D666="?OLD","!!!","")</f>
        <v/>
      </c>
      <c r="F666" s="11" t="str">
        <f aca="false">IF(OR(E666="",E666="!!!"),"",IF(NOT(ISNA(VLOOKUP(E666,E$1:E665,1,FALSE()))),"OLD",IF(AND(E666&lt;&gt;"",E666&lt;&gt;"!!!"),"NEW","")))</f>
        <v/>
      </c>
      <c r="G666" s="12" t="str">
        <f aca="false">IF(OR(E666="",E666="!!!"),"",IF(OR(J666=0,AND(J666=1,K666=1),AND(J666=1,I666="SBJ"),AND(J666=1,I666=0)),"?IN_FOCUS",IF(J666&lt;=2,"?ACTIVATED",IF(J666&lt;&gt;"","?FAMILIAR",IF(F666="NEW",IF(ISNA(VLOOKUP(E666,#REF!,1,FALSE())),"?TYPE_IDENTIFIABLE","?REFERENTIAL"),"_")))))</f>
        <v/>
      </c>
      <c r="H666" s="13" t="str">
        <f aca="false">IF(J666&lt;&gt;1,"",IF(I666="SBJ","CB","?"))</f>
        <v/>
      </c>
      <c r="I666" s="14" t="str">
        <f aca="false">IF(OR(E666="",E666="!!!",F666="NEW"),"",INDEX(B$2:B665,-1+SUMPRODUCT(MAX(ROW(E$2:E665)*(E666=E$2:E665)))))</f>
        <v/>
      </c>
      <c r="J666" s="15" t="str">
        <f aca="true">IF(OR(E666="",E666="!!!",F666="NEW"),"",COUNTBLANK(OFFSET(A$1,,,SUMPRODUCT(MAX(ROW(E$2:E666)*(E666=E$2:E666)))))-COUNTBLANK(OFFSET(A$1,,,SUMPRODUCT(MAX(ROW(E$1:E665)*(E666=E$1:E665))))))</f>
        <v/>
      </c>
      <c r="K666" s="15" t="str">
        <f aca="false">IF(OR(E666="",E666="!!!",F666="NEW"),"",INDEX(J$1:J665,SUMPRODUCT(MAX(ROW(E$1:E665)*(E666=E$1:E665)))))</f>
        <v/>
      </c>
      <c r="L666" s="16"/>
    </row>
    <row r="667" customFormat="false" ht="12.75" hidden="false" customHeight="false" outlineLevel="0" collapsed="false">
      <c r="A667" s="9" t="s">
        <v>360</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75" hidden="false" customHeight="false" outlineLevel="0" collapsed="false">
      <c r="A668" s="9" t="s">
        <v>225</v>
      </c>
      <c r="E668" s="10" t="str">
        <f aca="false">IF(D668="?OLD","!!!","")</f>
        <v/>
      </c>
      <c r="F668" s="11" t="str">
        <f aca="false">IF(OR(E668="",E668="!!!"),"",IF(NOT(ISNA(VLOOKUP(E668,E$1:E667,1,FALSE()))),"OLD",IF(AND(E668&lt;&gt;"",E668&lt;&gt;"!!!"),"NEW","")))</f>
        <v/>
      </c>
      <c r="G668" s="12" t="str">
        <f aca="false">IF(OR(E668="",E668="!!!"),"",IF(OR(J668=0,AND(J668=1,K668=1),AND(J668=1,I668="SBJ"),AND(J668=1,I668=0)),"?IN_FOCUS",IF(J668&lt;=2,"?ACTIVATED",IF(J668&lt;&gt;"","?FAMILIAR",IF(F668="NEW",IF(ISNA(VLOOKUP(E668,#REF!,1,FALSE())),"?TYPE_IDENTIFIABLE","?REFERENTIAL"),"_")))))</f>
        <v/>
      </c>
      <c r="H668" s="13" t="str">
        <f aca="false">IF(J668&lt;&gt;1,"",IF(I668="SBJ","CB","?"))</f>
        <v/>
      </c>
      <c r="I668" s="14" t="str">
        <f aca="false">IF(OR(E668="",E668="!!!",F668="NEW"),"",INDEX(B$2:B667,-1+SUMPRODUCT(MAX(ROW(E$2:E667)*(E668=E$2:E667)))))</f>
        <v/>
      </c>
      <c r="J668" s="15" t="str">
        <f aca="true">IF(OR(E668="",E668="!!!",F668="NEW"),"",COUNTBLANK(OFFSET(A$1,,,SUMPRODUCT(MAX(ROW(E$2:E668)*(E668=E$2:E668)))))-COUNTBLANK(OFFSET(A$1,,,SUMPRODUCT(MAX(ROW(E$1:E667)*(E668=E$1:E667))))))</f>
        <v/>
      </c>
      <c r="K668" s="15" t="str">
        <f aca="false">IF(OR(E668="",E668="!!!",F668="NEW"),"",INDEX(J$1:J667,SUMPRODUCT(MAX(ROW(E$1:E667)*(E668=E$1:E667)))))</f>
        <v/>
      </c>
      <c r="L668" s="16"/>
    </row>
    <row r="669" customFormat="false" ht="12.75" hidden="false" customHeight="false" outlineLevel="0" collapsed="false">
      <c r="A669" s="9" t="s">
        <v>377</v>
      </c>
      <c r="E669" s="10" t="str">
        <f aca="false">IF(D669="?OLD","!!!","")</f>
        <v/>
      </c>
      <c r="F669" s="11" t="str">
        <f aca="false">IF(OR(E669="",E669="!!!"),"",IF(NOT(ISNA(VLOOKUP(E669,E$1:E668,1,FALSE()))),"OLD",IF(AND(E669&lt;&gt;"",E669&lt;&gt;"!!!"),"NEW","")))</f>
        <v/>
      </c>
      <c r="G669" s="12" t="str">
        <f aca="false">IF(OR(E669="",E669="!!!"),"",IF(OR(J669=0,AND(J669=1,K669=1),AND(J669=1,I669="SBJ"),AND(J669=1,I669=0)),"?IN_FOCUS",IF(J669&lt;=2,"?ACTIVATED",IF(J669&lt;&gt;"","?FAMILIAR",IF(F669="NEW",IF(ISNA(VLOOKUP(E669,#REF!,1,FALSE())),"?TYPE_IDENTIFIABLE","?REFERENTIAL"),"_")))))</f>
        <v/>
      </c>
      <c r="H669" s="13" t="str">
        <f aca="false">IF(J669&lt;&gt;1,"",IF(I669="SBJ","CB","?"))</f>
        <v/>
      </c>
      <c r="I669" s="14" t="str">
        <f aca="false">IF(OR(E669="",E669="!!!",F669="NEW"),"",INDEX(B$2:B668,-1+SUMPRODUCT(MAX(ROW(E$2:E668)*(E669=E$2:E668)))))</f>
        <v/>
      </c>
      <c r="J669" s="15" t="str">
        <f aca="true">IF(OR(E669="",E669="!!!",F669="NEW"),"",COUNTBLANK(OFFSET(A$1,,,SUMPRODUCT(MAX(ROW(E$2:E669)*(E669=E$2:E669)))))-COUNTBLANK(OFFSET(A$1,,,SUMPRODUCT(MAX(ROW(E$1:E668)*(E669=E$1:E668))))))</f>
        <v/>
      </c>
      <c r="K669" s="15" t="str">
        <f aca="false">IF(OR(E669="",E669="!!!",F669="NEW"),"",INDEX(J$1:J668,SUMPRODUCT(MAX(ROW(E$1:E668)*(E669=E$1:E668)))))</f>
        <v/>
      </c>
      <c r="L669" s="16"/>
    </row>
    <row r="670" customFormat="false" ht="12.75" hidden="false" customHeight="false" outlineLevel="0" collapsed="false">
      <c r="A670" s="9" t="s">
        <v>44</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IF(OR(E670="",E670="!!!",F670="NEW"),"",INDEX(B$2:B669,-1+SUMPRODUCT(MAX(ROW(E$2:E669)*(E670=E$2:E669)))))</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12.75" hidden="false" customHeight="false" outlineLevel="0" collapsed="false">
      <c r="E671" s="10" t="str">
        <f aca="false">IF(D671="?OLD","!!!","")</f>
        <v/>
      </c>
      <c r="F671" s="11" t="str">
        <f aca="false">IF(OR(E671="",E671="!!!"),"",IF(NOT(ISNA(VLOOKUP(E671,E$1:E670,1,FALSE()))),"OLD",IF(AND(E671&lt;&gt;"",E671&lt;&gt;"!!!"),"NEW","")))</f>
        <v/>
      </c>
      <c r="G671" s="12" t="str">
        <f aca="false">IF(OR(E671="",E671="!!!"),"",IF(OR(J671=0,AND(J671=1,K671=1),AND(J671=1,I671="SBJ"),AND(J671=1,I671=0)),"?IN_FOCUS",IF(J671&lt;=2,"?ACTIVATED",IF(J671&lt;&gt;"","?FAMILIAR",IF(F671="NEW",IF(ISNA(VLOOKUP(E671,#REF!,1,FALSE())),"?TYPE_IDENTIFIABLE","?REFERENTIAL"),"_")))))</f>
        <v/>
      </c>
      <c r="H671" s="13" t="str">
        <f aca="false">IF(J671&lt;&gt;1,"",IF(I671="SBJ","CB","?"))</f>
        <v/>
      </c>
      <c r="I671" s="14" t="str">
        <f aca="false">IF(OR(E671="",E671="!!!",F671="NEW"),"",INDEX(B$2:B670,-1+SUMPRODUCT(MAX(ROW(E$2:E670)*(E671=E$2:E670)))))</f>
        <v/>
      </c>
      <c r="J671" s="15" t="str">
        <f aca="true">IF(OR(E671="",E671="!!!",F671="NEW"),"",COUNTBLANK(OFFSET(A$1,,,SUMPRODUCT(MAX(ROW(E$2:E671)*(E671=E$2:E671)))))-COUNTBLANK(OFFSET(A$1,,,SUMPRODUCT(MAX(ROW(E$1:E670)*(E671=E$1:E670))))))</f>
        <v/>
      </c>
      <c r="K671" s="15" t="str">
        <f aca="false">IF(OR(E671="",E671="!!!",F671="NEW"),"",INDEX(J$1:J670,SUMPRODUCT(MAX(ROW(E$1:E670)*(E671=E$1:E670)))))</f>
        <v/>
      </c>
      <c r="L671" s="16"/>
    </row>
    <row r="672" customFormat="false" ht="12.75" hidden="false" customHeight="false" outlineLevel="0" collapsed="false">
      <c r="A672" s="9" t="s">
        <v>378</v>
      </c>
      <c r="E672" s="10" t="str">
        <f aca="false">IF(D672="?OLD","!!!","")</f>
        <v/>
      </c>
      <c r="F672" s="11" t="str">
        <f aca="false">IF(OR(E672="",E672="!!!"),"",IF(NOT(ISNA(VLOOKUP(E672,E$1:E671,1,FALSE()))),"OLD",IF(AND(E672&lt;&gt;"",E672&lt;&gt;"!!!"),"NEW","")))</f>
        <v/>
      </c>
      <c r="G672" s="12" t="str">
        <f aca="false">IF(OR(E672="",E672="!!!"),"",IF(OR(J672=0,AND(J672=1,K672=1),AND(J672=1,I672="SBJ"),AND(J672=1,I672=0)),"?IN_FOCUS",IF(J672&lt;=2,"?ACTIVATED",IF(J672&lt;&gt;"","?FAMILIAR",IF(F672="NEW",IF(ISNA(VLOOKUP(E672,#REF!,1,FALSE())),"?TYPE_IDENTIFIABLE","?REFERENTIAL"),"_")))))</f>
        <v/>
      </c>
      <c r="H672" s="13" t="str">
        <f aca="false">IF(J672&lt;&gt;1,"",IF(I672="SBJ","CB","?"))</f>
        <v/>
      </c>
      <c r="I672" s="14" t="str">
        <f aca="false">IF(OR(E672="",E672="!!!",F672="NEW"),"",INDEX(B$2:B671,-1+SUMPRODUCT(MAX(ROW(E$2:E671)*(E672=E$2:E671)))))</f>
        <v/>
      </c>
      <c r="J672" s="15" t="str">
        <f aca="true">IF(OR(E672="",E672="!!!",F672="NEW"),"",COUNTBLANK(OFFSET(A$1,,,SUMPRODUCT(MAX(ROW(E$2:E672)*(E672=E$2:E672)))))-COUNTBLANK(OFFSET(A$1,,,SUMPRODUCT(MAX(ROW(E$1:E671)*(E672=E$1:E671))))))</f>
        <v/>
      </c>
      <c r="K672" s="15" t="str">
        <f aca="false">IF(OR(E672="",E672="!!!",F672="NEW"),"",INDEX(J$1:J671,SUMPRODUCT(MAX(ROW(E$1:E671)*(E672=E$1:E671)))))</f>
        <v/>
      </c>
      <c r="L672" s="16"/>
    </row>
    <row r="673" customFormat="false" ht="12.75" hidden="false" customHeight="false" outlineLevel="0" collapsed="false">
      <c r="A673" s="9" t="s">
        <v>379</v>
      </c>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75" hidden="false" customHeight="false" outlineLevel="0" collapsed="false">
      <c r="A674" s="9" t="s">
        <v>228</v>
      </c>
      <c r="B674" s="0" t="s">
        <v>75</v>
      </c>
      <c r="C674" s="0" t="s">
        <v>128</v>
      </c>
      <c r="D674" s="0" t="s">
        <v>19</v>
      </c>
      <c r="E674" s="10" t="s">
        <v>367</v>
      </c>
      <c r="F674" s="11" t="str">
        <f aca="false">IF(OR(E674="",E674="!!!"),"",IF(NOT(ISNA(VLOOKUP(E674,E$1:E673,1,FALSE()))),"OLD",IF(AND(E674&lt;&gt;"",E674&lt;&gt;"!!!"),"NEW","")))</f>
        <v>OLD</v>
      </c>
      <c r="G674" s="12" t="s">
        <v>33</v>
      </c>
      <c r="H674" s="13" t="s">
        <v>7</v>
      </c>
      <c r="I674" s="14" t="str">
        <f aca="false">IF(OR(E674="",E674="!!!",F674="NEW"),"",INDEX(B$2:B673,-1+SUMPRODUCT(MAX(ROW(E$2:E673)*(E674=E$2:E673)))))</f>
        <v>SBJ_2</v>
      </c>
      <c r="J674" s="15" t="n">
        <f aca="true">IF(OR(E674="",E674="!!!",F674="NEW"),"",COUNTBLANK(OFFSET(A$1,,,SUMPRODUCT(MAX(ROW(E$2:E674)*(E674=E$2:E674)))))-COUNTBLANK(OFFSET(A$1,,,SUMPRODUCT(MAX(ROW(E$1:E673)*(E674=E$1:E673))))))</f>
        <v>1</v>
      </c>
      <c r="K674" s="15" t="n">
        <f aca="false">IF(OR(E674="",E674="!!!",F674="NEW"),"",INDEX(J$1:J673,SUMPRODUCT(MAX(ROW(E$1:E673)*(E674=E$1:E673)))))</f>
        <v>0</v>
      </c>
      <c r="L674" s="16"/>
    </row>
    <row r="675" customFormat="false" ht="12.75" hidden="false" customHeight="false" outlineLevel="0" collapsed="false">
      <c r="A675" s="9" t="s">
        <v>380</v>
      </c>
      <c r="B675" s="0" t="s">
        <v>30</v>
      </c>
      <c r="C675" s="0" t="s">
        <v>83</v>
      </c>
      <c r="D675" s="0" t="s">
        <v>19</v>
      </c>
      <c r="E675" s="10" t="s">
        <v>381</v>
      </c>
      <c r="F675" s="11" t="str">
        <f aca="false">IF(OR(E675="",E675="!!!"),"",IF(NOT(ISNA(VLOOKUP(E675,E$1:E674,1,FALSE()))),"OLD",IF(AND(E675&lt;&gt;"",E675&lt;&gt;"!!!"),"NEW","")))</f>
        <v>NEW</v>
      </c>
      <c r="G675" s="12" t="s">
        <v>21</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75" hidden="false" customHeight="false" outlineLevel="0" collapsed="false">
      <c r="A676" s="9" t="s">
        <v>116</v>
      </c>
      <c r="E676" s="10" t="str">
        <f aca="false">IF(D676="?OLD","!!!","")</f>
        <v/>
      </c>
      <c r="F676" s="11" t="str">
        <f aca="false">IF(OR(E676="",E676="!!!"),"",IF(NOT(ISNA(VLOOKUP(E676,E$1:E675,1,FALSE()))),"OLD",IF(AND(E676&lt;&gt;"",E676&lt;&gt;"!!!"),"NEW","")))</f>
        <v/>
      </c>
      <c r="G676" s="12" t="str">
        <f aca="false">IF(OR(E676="",E676="!!!"),"",IF(OR(J676=0,AND(J676=1,K676=1),AND(J676=1,I676="SBJ"),AND(J676=1,I676=0)),"?IN_FOCUS",IF(J676&lt;=2,"?ACTIVATED",IF(J676&lt;&gt;"","?FAMILIAR",IF(F676="NEW",IF(ISNA(VLOOKUP(E676,#REF!,1,FALSE())),"?TYPE_IDENTIFIABLE","?REFERENTIAL"),"_")))))</f>
        <v/>
      </c>
      <c r="H676" s="13" t="str">
        <f aca="false">IF(J676&lt;&gt;1,"",IF(I676="SBJ","CB","?"))</f>
        <v/>
      </c>
      <c r="I676" s="14" t="str">
        <f aca="false">IF(OR(E676="",E676="!!!",F676="NEW"),"",INDEX(B$2:B675,-1+SUMPRODUCT(MAX(ROW(E$2:E675)*(E676=E$2:E675)))))</f>
        <v/>
      </c>
      <c r="J676" s="15" t="str">
        <f aca="true">IF(OR(E676="",E676="!!!",F676="NEW"),"",COUNTBLANK(OFFSET(A$1,,,SUMPRODUCT(MAX(ROW(E$2:E676)*(E676=E$2:E676)))))-COUNTBLANK(OFFSET(A$1,,,SUMPRODUCT(MAX(ROW(E$1:E675)*(E676=E$1:E675))))))</f>
        <v/>
      </c>
      <c r="K676" s="15" t="str">
        <f aca="false">IF(OR(E676="",E676="!!!",F676="NEW"),"",INDEX(J$1:J675,SUMPRODUCT(MAX(ROW(E$1:E675)*(E676=E$1:E675)))))</f>
        <v/>
      </c>
      <c r="L676" s="16"/>
    </row>
    <row r="677" customFormat="false" ht="12.75" hidden="false" customHeight="false" outlineLevel="0" collapsed="false">
      <c r="A677" s="9" t="s">
        <v>382</v>
      </c>
      <c r="E677" s="10" t="str">
        <f aca="false">IF(D677="?OLD","!!!","")</f>
        <v/>
      </c>
      <c r="F677" s="11" t="str">
        <f aca="false">IF(OR(E677="",E677="!!!"),"",IF(NOT(ISNA(VLOOKUP(E677,E$1:E676,1,FALSE()))),"OLD",IF(AND(E677&lt;&gt;"",E677&lt;&gt;"!!!"),"NEW","")))</f>
        <v/>
      </c>
      <c r="G677" s="12" t="str">
        <f aca="false">IF(OR(E677="",E677="!!!"),"",IF(OR(J677=0,AND(J677=1,K677=1),AND(J677=1,I677="SBJ"),AND(J677=1,I677=0)),"?IN_FOCUS",IF(J677&lt;=2,"?ACTIVATED",IF(J677&lt;&gt;"","?FAMILIAR",IF(F677="NEW",IF(ISNA(VLOOKUP(E677,#REF!,1,FALSE())),"?TYPE_IDENTIFIABLE","?REFERENTIAL"),"_")))))</f>
        <v/>
      </c>
      <c r="H677" s="13" t="str">
        <f aca="false">IF(J677&lt;&gt;1,"",IF(I677="SBJ","CB","?"))</f>
        <v/>
      </c>
      <c r="I677" s="14" t="str">
        <f aca="false">IF(OR(E677="",E677="!!!",F677="NEW"),"",INDEX(B$2:B676,-1+SUMPRODUCT(MAX(ROW(E$2:E676)*(E677=E$2:E676)))))</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75" hidden="false" customHeight="false" outlineLevel="0" collapsed="false">
      <c r="A678" s="9" t="s">
        <v>28</v>
      </c>
      <c r="E678" s="10" t="str">
        <f aca="false">IF(D678="?OLD","!!!","")</f>
        <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IF(OR(E678="",E678="!!!",F678="NEW"),"",INDEX(B$2:B677,-1+SUMPRODUCT(MAX(ROW(E$2:E677)*(E678=E$2:E677)))))</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75" hidden="false" customHeight="false" outlineLevel="0" collapsed="false">
      <c r="A679" s="9" t="s">
        <v>63</v>
      </c>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75" hidden="false" customHeight="false" outlineLevel="0" collapsed="false">
      <c r="A680" s="9" t="s">
        <v>228</v>
      </c>
      <c r="B680" s="0" t="s">
        <v>24</v>
      </c>
      <c r="C680" s="0" t="s">
        <v>128</v>
      </c>
      <c r="D680" s="0" t="s">
        <v>19</v>
      </c>
      <c r="E680" s="10" t="s">
        <v>367</v>
      </c>
      <c r="F680" s="11" t="str">
        <f aca="false">IF(OR(E680="",E680="!!!"),"",IF(NOT(ISNA(VLOOKUP(E680,E$1:E679,1,FALSE()))),"OLD",IF(AND(E680&lt;&gt;"",E680&lt;&gt;"!!!"),"NEW","")))</f>
        <v>OLD</v>
      </c>
      <c r="G680" s="12" t="s">
        <v>65</v>
      </c>
      <c r="H680" s="13" t="str">
        <f aca="false">IF(J680&lt;&gt;1,"",IF(I680="SBJ","CB","?"))</f>
        <v/>
      </c>
      <c r="I680" s="14" t="str">
        <f aca="false">IF(OR(E680="",E680="!!!",F680="NEW"),"",INDEX(B$2:B679,-1+SUMPRODUCT(MAX(ROW(E$2:E679)*(E680=E$2:E679)))))</f>
        <v>other_2</v>
      </c>
      <c r="J680" s="15" t="n">
        <f aca="true">IF(OR(E680="",E680="!!!",F680="NEW"),"",COUNTBLANK(OFFSET(A$1,,,SUMPRODUCT(MAX(ROW(E$2:E680)*(E680=E$2:E680)))))-COUNTBLANK(OFFSET(A$1,,,SUMPRODUCT(MAX(ROW(E$1:E679)*(E680=E$1:E679))))))</f>
        <v>0</v>
      </c>
      <c r="K680" s="15" t="n">
        <f aca="false">IF(OR(E680="",E680="!!!",F680="NEW"),"",INDEX(J$1:J679,SUMPRODUCT(MAX(ROW(E$1:E679)*(E680=E$1:E679)))))</f>
        <v>1</v>
      </c>
      <c r="L680" s="16"/>
    </row>
    <row r="681" customFormat="false" ht="12.75" hidden="false" customHeight="false" outlineLevel="0" collapsed="false">
      <c r="A681" s="9" t="s">
        <v>383</v>
      </c>
      <c r="B681" s="0" t="s">
        <v>17</v>
      </c>
      <c r="C681" s="0" t="s">
        <v>83</v>
      </c>
      <c r="D681" s="0" t="s">
        <v>19</v>
      </c>
      <c r="E681" s="10" t="s">
        <v>384</v>
      </c>
      <c r="F681" s="11" t="str">
        <f aca="false">IF(OR(E681="",E681="!!!"),"",IF(NOT(ISNA(VLOOKUP(E681,E$1:E680,1,FALSE()))),"OLD",IF(AND(E681&lt;&gt;"",E681&lt;&gt;"!!!"),"NEW","")))</f>
        <v>NEW</v>
      </c>
      <c r="G681" s="12" t="s">
        <v>21</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75" hidden="false" customHeight="false" outlineLevel="0" collapsed="false">
      <c r="A682" s="9" t="s">
        <v>385</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IF(OR(E682="",E682="!!!",F682="NEW"),"",INDEX(B$2:B681,-1+SUMPRODUCT(MAX(ROW(E$2:E681)*(E682=E$2:E681)))))</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75" hidden="false" customHeight="false" outlineLevel="0" collapsed="false">
      <c r="A683" s="9" t="s">
        <v>44</v>
      </c>
      <c r="E683" s="10" t="str">
        <f aca="false">IF(D683="?OLD","!!!","")</f>
        <v/>
      </c>
      <c r="F683" s="11" t="str">
        <f aca="false">IF(OR(E683="",E683="!!!"),"",IF(NOT(ISNA(VLOOKUP(E683,E$1:E682,1,FALSE()))),"OLD",IF(AND(E683&lt;&gt;"",E683&lt;&gt;"!!!"),"NEW","")))</f>
        <v/>
      </c>
      <c r="G683" s="12" t="str">
        <f aca="false">IF(OR(E683="",E683="!!!"),"",IF(OR(J683=0,AND(J683=1,K683=1),AND(J683=1,I683="SBJ"),AND(J683=1,I683=0)),"?IN_FOCUS",IF(J683&lt;=2,"?ACTIVATED",IF(J683&lt;&gt;"","?FAMILIAR",IF(F683="NEW",IF(ISNA(VLOOKUP(E683,#REF!,1,FALSE())),"?TYPE_IDENTIFIABLE","?REFERENTIAL"),"_")))))</f>
        <v/>
      </c>
      <c r="H683" s="13" t="str">
        <f aca="false">IF(J683&lt;&gt;1,"",IF(I683="SBJ","CB","?"))</f>
        <v/>
      </c>
      <c r="I683" s="14" t="str">
        <f aca="false">IF(OR(E683="",E683="!!!",F683="NEW"),"",INDEX(B$2:B682,-1+SUMPRODUCT(MAX(ROW(E$2:E682)*(E683=E$2:E682)))))</f>
        <v/>
      </c>
      <c r="J683" s="15" t="str">
        <f aca="true">IF(OR(E683="",E683="!!!",F683="NEW"),"",COUNTBLANK(OFFSET(A$1,,,SUMPRODUCT(MAX(ROW(E$2:E683)*(E683=E$2:E683)))))-COUNTBLANK(OFFSET(A$1,,,SUMPRODUCT(MAX(ROW(E$1:E682)*(E683=E$1:E682))))))</f>
        <v/>
      </c>
      <c r="K683" s="15" t="str">
        <f aca="false">IF(OR(E683="",E683="!!!",F683="NEW"),"",INDEX(J$1:J682,SUMPRODUCT(MAX(ROW(E$1:E682)*(E683=E$1:E682)))))</f>
        <v/>
      </c>
      <c r="L683" s="16"/>
    </row>
    <row r="684" customFormat="false" ht="12.75" hidden="false" customHeight="false" outlineLevel="0" collapsed="false">
      <c r="E684" s="10" t="str">
        <f aca="false">IF(D684="?OLD","!!!","")</f>
        <v/>
      </c>
      <c r="F684" s="11" t="str">
        <f aca="false">IF(OR(E684="",E684="!!!"),"",IF(NOT(ISNA(VLOOKUP(E684,E$1:E683,1,FALSE()))),"OLD",IF(AND(E684&lt;&gt;"",E684&lt;&gt;"!!!"),"NEW","")))</f>
        <v/>
      </c>
      <c r="G684" s="12" t="str">
        <f aca="false">IF(OR(E684="",E684="!!!"),"",IF(OR(J684=0,AND(J684=1,K684=1),AND(J684=1,I684="SBJ"),AND(J684=1,I684=0)),"?IN_FOCUS",IF(J684&lt;=2,"?ACTIVATED",IF(J684&lt;&gt;"","?FAMILIAR",IF(F684="NEW",IF(ISNA(VLOOKUP(E684,#REF!,1,FALSE())),"?TYPE_IDENTIFIABLE","?REFERENTIAL"),"_")))))</f>
        <v/>
      </c>
      <c r="H684" s="13" t="str">
        <f aca="false">IF(J684&lt;&gt;1,"",IF(I684="SBJ","CB","?"))</f>
        <v/>
      </c>
      <c r="I684" s="14" t="str">
        <f aca="false">IF(OR(E684="",E684="!!!",F684="NEW"),"",INDEX(B$2:B683,-1+SUMPRODUCT(MAX(ROW(E$2:E683)*(E684=E$2:E683)))))</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75" hidden="false" customHeight="false" outlineLevel="0" collapsed="false">
      <c r="A685" s="9" t="s">
        <v>386</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75" hidden="false" customHeight="false" outlineLevel="0" collapsed="false">
      <c r="A686" s="9" t="s">
        <v>387</v>
      </c>
      <c r="E686" s="10" t="str">
        <f aca="false">IF(D686="?OLD","!!!","")</f>
        <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IF(OR(E686="",E686="!!!",F686="NEW"),"",INDEX(B$2:B685,-1+SUMPRODUCT(MAX(ROW(E$2:E685)*(E686=E$2:E685)))))</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75" hidden="false" customHeight="false" outlineLevel="0" collapsed="false">
      <c r="A687" s="9" t="s">
        <v>228</v>
      </c>
      <c r="B687" s="0" t="s">
        <v>75</v>
      </c>
      <c r="C687" s="0" t="s">
        <v>128</v>
      </c>
      <c r="D687" s="0" t="s">
        <v>19</v>
      </c>
      <c r="E687" s="10" t="s">
        <v>367</v>
      </c>
      <c r="F687" s="11" t="str">
        <f aca="false">IF(OR(E687="",E687="!!!"),"",IF(NOT(ISNA(VLOOKUP(E687,E$1:E686,1,FALSE()))),"OLD",IF(AND(E687&lt;&gt;"",E687&lt;&gt;"!!!"),"NEW","")))</f>
        <v>OLD</v>
      </c>
      <c r="G687" s="12" t="s">
        <v>33</v>
      </c>
      <c r="H687" s="13" t="s">
        <v>7</v>
      </c>
      <c r="I687" s="14" t="str">
        <f aca="false">IF(OR(E687="",E687="!!!",F687="NEW"),"",INDEX(B$2:B686,-1+SUMPRODUCT(MAX(ROW(E$2:E686)*(E687=E$2:E686)))))</f>
        <v>other_3</v>
      </c>
      <c r="J687" s="15" t="n">
        <f aca="true">IF(OR(E687="",E687="!!!",F687="NEW"),"",COUNTBLANK(OFFSET(A$1,,,SUMPRODUCT(MAX(ROW(E$2:E687)*(E687=E$2:E687)))))-COUNTBLANK(OFFSET(A$1,,,SUMPRODUCT(MAX(ROW(E$1:E686)*(E687=E$1:E686))))))</f>
        <v>1</v>
      </c>
      <c r="K687" s="15" t="n">
        <f aca="false">IF(OR(E687="",E687="!!!",F687="NEW"),"",INDEX(J$1:J686,SUMPRODUCT(MAX(ROW(E$1:E686)*(E687=E$1:E686)))))</f>
        <v>0</v>
      </c>
      <c r="L687" s="16"/>
    </row>
    <row r="688" customFormat="false" ht="12.75" hidden="false" customHeight="false" outlineLevel="0" collapsed="false">
      <c r="A688" s="9" t="s">
        <v>261</v>
      </c>
      <c r="B688" s="0" t="s">
        <v>152</v>
      </c>
      <c r="C688" s="0" t="s">
        <v>83</v>
      </c>
      <c r="D688" s="0" t="s">
        <v>19</v>
      </c>
      <c r="E688" s="10" t="s">
        <v>388</v>
      </c>
      <c r="F688" s="11" t="str">
        <f aca="false">IF(OR(E688="",E688="!!!"),"",IF(NOT(ISNA(VLOOKUP(E688,E$1:E687,1,FALSE()))),"OLD",IF(AND(E688&lt;&gt;"",E688&lt;&gt;"!!!"),"NEW","")))</f>
        <v>NEW</v>
      </c>
      <c r="G688" s="12" t="s">
        <v>21</v>
      </c>
      <c r="H688" s="13" t="str">
        <f aca="false">IF(J688&lt;&gt;1,"",IF(I688="SBJ","CB","?"))</f>
        <v/>
      </c>
      <c r="I688" s="14" t="str">
        <f aca="false">IF(OR(E688="",E688="!!!",F688="NEW"),"",INDEX(B$2:B687,-1+SUMPRODUCT(MAX(ROW(E$2:E687)*(E688=E$2:E687)))))</f>
        <v/>
      </c>
      <c r="J688" s="15" t="str">
        <f aca="true">IF(OR(E688="",E688="!!!",F688="NEW"),"",COUNTBLANK(OFFSET(A$1,,,SUMPRODUCT(MAX(ROW(E$2:E688)*(E688=E$2:E688)))))-COUNTBLANK(OFFSET(A$1,,,SUMPRODUCT(MAX(ROW(E$1:E687)*(E688=E$1:E687))))))</f>
        <v/>
      </c>
      <c r="K688" s="15" t="str">
        <f aca="false">IF(OR(E688="",E688="!!!",F688="NEW"),"",INDEX(J$1:J687,SUMPRODUCT(MAX(ROW(E$1:E687)*(E688=E$1:E687)))))</f>
        <v/>
      </c>
      <c r="L688" s="16"/>
    </row>
    <row r="689" customFormat="false" ht="12.75" hidden="false" customHeight="false" outlineLevel="0" collapsed="false">
      <c r="A689" s="9" t="s">
        <v>389</v>
      </c>
      <c r="E689" s="10" t="str">
        <f aca="false">IF(D689="?OLD","!!!","")</f>
        <v/>
      </c>
      <c r="F689" s="11" t="str">
        <f aca="false">IF(OR(E689="",E689="!!!"),"",IF(NOT(ISNA(VLOOKUP(E689,E$1:E688,1,FALSE()))),"OLD",IF(AND(E689&lt;&gt;"",E689&lt;&gt;"!!!"),"NEW","")))</f>
        <v/>
      </c>
      <c r="G689" s="12" t="str">
        <f aca="false">IF(OR(E689="",E689="!!!"),"",IF(OR(J689=0,AND(J689=1,K689=1),AND(J689=1,I689="SBJ"),AND(J689=1,I689=0)),"?IN_FOCUS",IF(J689&lt;=2,"?ACTIVATED",IF(J689&lt;&gt;"","?FAMILIAR",IF(F689="NEW",IF(ISNA(VLOOKUP(E689,#REF!,1,FALSE())),"?TYPE_IDENTIFIABLE","?REFERENTIAL"),"_")))))</f>
        <v/>
      </c>
      <c r="H689" s="13" t="str">
        <f aca="false">IF(J689&lt;&gt;1,"",IF(I689="SBJ","CB","?"))</f>
        <v/>
      </c>
      <c r="I689" s="14" t="str">
        <f aca="false">IF(OR(E689="",E689="!!!",F689="NEW"),"",INDEX(B$2:B688,-1+SUMPRODUCT(MAX(ROW(E$2:E688)*(E689=E$2:E688)))))</f>
        <v/>
      </c>
      <c r="J689" s="15" t="str">
        <f aca="true">IF(OR(E689="",E689="!!!",F689="NEW"),"",COUNTBLANK(OFFSET(A$1,,,SUMPRODUCT(MAX(ROW(E$2:E689)*(E689=E$2:E689)))))-COUNTBLANK(OFFSET(A$1,,,SUMPRODUCT(MAX(ROW(E$1:E688)*(E689=E$1:E688))))))</f>
        <v/>
      </c>
      <c r="K689" s="15" t="str">
        <f aca="false">IF(OR(E689="",E689="!!!",F689="NEW"),"",INDEX(J$1:J688,SUMPRODUCT(MAX(ROW(E$1:E688)*(E689=E$1:E688)))))</f>
        <v/>
      </c>
      <c r="L689" s="16"/>
    </row>
    <row r="690" customFormat="false" ht="12.75" hidden="false" customHeight="false" outlineLevel="0" collapsed="false">
      <c r="A690" s="9" t="s">
        <v>253</v>
      </c>
      <c r="E690" s="10" t="str">
        <f aca="false">IF(D690="?OLD","!!!","")</f>
        <v/>
      </c>
      <c r="F690" s="11" t="str">
        <f aca="false">IF(OR(E690="",E690="!!!"),"",IF(NOT(ISNA(VLOOKUP(E690,E$1:E689,1,FALSE()))),"OLD",IF(AND(E690&lt;&gt;"",E690&lt;&gt;"!!!"),"NEW","")))</f>
        <v/>
      </c>
      <c r="G690" s="12" t="str">
        <f aca="false">IF(OR(E690="",E690="!!!"),"",IF(OR(J690=0,AND(J690=1,K690=1),AND(J690=1,I690="SBJ"),AND(J690=1,I690=0)),"?IN_FOCUS",IF(J690&lt;=2,"?ACTIVATED",IF(J690&lt;&gt;"","?FAMILIAR",IF(F690="NEW",IF(ISNA(VLOOKUP(E690,#REF!,1,FALSE())),"?TYPE_IDENTIFIABLE","?REFERENTIAL"),"_")))))</f>
        <v/>
      </c>
      <c r="H690" s="13" t="str">
        <f aca="false">IF(J690&lt;&gt;1,"",IF(I690="SBJ","CB","?"))</f>
        <v/>
      </c>
      <c r="I690" s="14" t="str">
        <f aca="false">IF(OR(E690="",E690="!!!",F690="NEW"),"",INDEX(B$2:B689,-1+SUMPRODUCT(MAX(ROW(E$2:E689)*(E690=E$2:E689)))))</f>
        <v/>
      </c>
      <c r="J690" s="15" t="str">
        <f aca="true">IF(OR(E690="",E690="!!!",F690="NEW"),"",COUNTBLANK(OFFSET(A$1,,,SUMPRODUCT(MAX(ROW(E$2:E690)*(E690=E$2:E690)))))-COUNTBLANK(OFFSET(A$1,,,SUMPRODUCT(MAX(ROW(E$1:E689)*(E690=E$1:E689))))))</f>
        <v/>
      </c>
      <c r="K690" s="15" t="str">
        <f aca="false">IF(OR(E690="",E690="!!!",F690="NEW"),"",INDEX(J$1:J689,SUMPRODUCT(MAX(ROW(E$1:E689)*(E690=E$1:E689)))))</f>
        <v/>
      </c>
      <c r="L690" s="16"/>
    </row>
    <row r="691" customFormat="false" ht="12.75" hidden="false" customHeight="false" outlineLevel="0" collapsed="false">
      <c r="A691" s="9" t="s">
        <v>219</v>
      </c>
      <c r="E691" s="10" t="str">
        <f aca="false">IF(D691="?OLD","!!!","")</f>
        <v/>
      </c>
      <c r="F691" s="11" t="str">
        <f aca="false">IF(OR(E691="",E691="!!!"),"",IF(NOT(ISNA(VLOOKUP(E691,E$1:E690,1,FALSE()))),"OLD",IF(AND(E691&lt;&gt;"",E691&lt;&gt;"!!!"),"NEW","")))</f>
        <v/>
      </c>
      <c r="G691" s="12" t="str">
        <f aca="false">IF(OR(E691="",E691="!!!"),"",IF(OR(J691=0,AND(J691=1,K691=1),AND(J691=1,I691="SBJ"),AND(J691=1,I691=0)),"?IN_FOCUS",IF(J691&lt;=2,"?ACTIVATED",IF(J691&lt;&gt;"","?FAMILIAR",IF(F691="NEW",IF(ISNA(VLOOKUP(E691,#REF!,1,FALSE())),"?TYPE_IDENTIFIABLE","?REFERENTIAL"),"_")))))</f>
        <v/>
      </c>
      <c r="H691" s="13" t="str">
        <f aca="false">IF(J691&lt;&gt;1,"",IF(I691="SBJ","CB","?"))</f>
        <v/>
      </c>
      <c r="I691" s="14" t="str">
        <f aca="false">IF(OR(E691="",E691="!!!",F691="NEW"),"",INDEX(B$2:B690,-1+SUMPRODUCT(MAX(ROW(E$2:E690)*(E691=E$2:E690)))))</f>
        <v/>
      </c>
      <c r="J691" s="15" t="str">
        <f aca="true">IF(OR(E691="",E691="!!!",F691="NEW"),"",COUNTBLANK(OFFSET(A$1,,,SUMPRODUCT(MAX(ROW(E$2:E691)*(E691=E$2:E691)))))-COUNTBLANK(OFFSET(A$1,,,SUMPRODUCT(MAX(ROW(E$1:E690)*(E691=E$1:E690))))))</f>
        <v/>
      </c>
      <c r="K691" s="15" t="str">
        <f aca="false">IF(OR(E691="",E691="!!!",F691="NEW"),"",INDEX(J$1:J690,SUMPRODUCT(MAX(ROW(E$1:E690)*(E691=E$1:E690)))))</f>
        <v/>
      </c>
      <c r="L691" s="16"/>
    </row>
    <row r="692" customFormat="false" ht="12.75" hidden="false" customHeight="false" outlineLevel="0" collapsed="false">
      <c r="A692" s="9" t="s">
        <v>42</v>
      </c>
      <c r="E692" s="10" t="str">
        <f aca="false">IF(D692="?OLD","!!!","")</f>
        <v/>
      </c>
      <c r="F692" s="11" t="str">
        <f aca="false">IF(OR(E692="",E692="!!!"),"",IF(NOT(ISNA(VLOOKUP(E692,E$1:E691,1,FALSE()))),"OLD",IF(AND(E692&lt;&gt;"",E692&lt;&gt;"!!!"),"NEW","")))</f>
        <v/>
      </c>
      <c r="G692" s="12" t="str">
        <f aca="false">IF(OR(E692="",E692="!!!"),"",IF(OR(J692=0,AND(J692=1,K692=1),AND(J692=1,I692="SBJ"),AND(J692=1,I692=0)),"?IN_FOCUS",IF(J692&lt;=2,"?ACTIVATED",IF(J692&lt;&gt;"","?FAMILIAR",IF(F692="NEW",IF(ISNA(VLOOKUP(E692,#REF!,1,FALSE())),"?TYPE_IDENTIFIABLE","?REFERENTIAL"),"_")))))</f>
        <v/>
      </c>
      <c r="H692" s="13" t="str">
        <f aca="false">IF(J692&lt;&gt;1,"",IF(I692="SBJ","CB","?"))</f>
        <v/>
      </c>
      <c r="I692" s="14" t="str">
        <f aca="false">IF(OR(E692="",E692="!!!",F692="NEW"),"",INDEX(B$2:B691,-1+SUMPRODUCT(MAX(ROW(E$2:E691)*(E692=E$2:E691)))))</f>
        <v/>
      </c>
      <c r="J692" s="15" t="str">
        <f aca="true">IF(OR(E692="",E692="!!!",F692="NEW"),"",COUNTBLANK(OFFSET(A$1,,,SUMPRODUCT(MAX(ROW(E$2:E692)*(E692=E$2:E692)))))-COUNTBLANK(OFFSET(A$1,,,SUMPRODUCT(MAX(ROW(E$1:E691)*(E692=E$1:E691))))))</f>
        <v/>
      </c>
      <c r="K692" s="15" t="str">
        <f aca="false">IF(OR(E692="",E692="!!!",F692="NEW"),"",INDEX(J$1:J691,SUMPRODUCT(MAX(ROW(E$1:E691)*(E692=E$1:E691)))))</f>
        <v/>
      </c>
      <c r="L692" s="16"/>
    </row>
    <row r="693" customFormat="false" ht="12.75" hidden="false" customHeight="false" outlineLevel="0" collapsed="false">
      <c r="A693" s="9" t="s">
        <v>390</v>
      </c>
      <c r="B693" s="0" t="s">
        <v>75</v>
      </c>
      <c r="C693" s="0" t="s">
        <v>25</v>
      </c>
      <c r="E693" s="10" t="str">
        <f aca="false">IF(D693="?OLD","!!!","")</f>
        <v/>
      </c>
      <c r="F693" s="11" t="str">
        <f aca="false">IF(OR(E693="",E693="!!!"),"",IF(NOT(ISNA(VLOOKUP(E693,E$1:E692,1,FALSE()))),"OLD",IF(AND(E693&lt;&gt;"",E693&lt;&gt;"!!!"),"NEW","")))</f>
        <v/>
      </c>
      <c r="G693" s="12" t="str">
        <f aca="false">IF(OR(E693="",E693="!!!"),"",IF(OR(J693=0,AND(J693=1,K693=1),AND(J693=1,I693="SBJ"),AND(J693=1,I693=0)),"?IN_FOCUS",IF(J693&lt;=2,"?ACTIVATED",IF(J693&lt;&gt;"","?FAMILIAR",IF(F693="NEW",IF(ISNA(VLOOKUP(E693,#REF!,1,FALSE())),"?TYPE_IDENTIFIABLE","?REFERENTIAL"),"_")))))</f>
        <v/>
      </c>
      <c r="H693" s="13" t="str">
        <f aca="false">IF(J693&lt;&gt;1,"",IF(I693="SBJ","CB","?"))</f>
        <v/>
      </c>
      <c r="I693" s="14" t="str">
        <f aca="false">IF(OR(E693="",E693="!!!",F693="NEW"),"",INDEX(B$2:B692,-1+SUMPRODUCT(MAX(ROW(E$2:E692)*(E693=E$2:E692)))))</f>
        <v/>
      </c>
      <c r="J693" s="15" t="str">
        <f aca="true">IF(OR(E693="",E693="!!!",F693="NEW"),"",COUNTBLANK(OFFSET(A$1,,,SUMPRODUCT(MAX(ROW(E$2:E693)*(E693=E$2:E693)))))-COUNTBLANK(OFFSET(A$1,,,SUMPRODUCT(MAX(ROW(E$1:E692)*(E693=E$1:E692))))))</f>
        <v/>
      </c>
      <c r="K693" s="15" t="str">
        <f aca="false">IF(OR(E693="",E693="!!!",F693="NEW"),"",INDEX(J$1:J692,SUMPRODUCT(MAX(ROW(E$1:E692)*(E693=E$1:E692)))))</f>
        <v/>
      </c>
      <c r="L693" s="16"/>
    </row>
    <row r="694" customFormat="false" ht="12.75" hidden="false" customHeight="false" outlineLevel="0" collapsed="false">
      <c r="A694" s="9" t="s">
        <v>297</v>
      </c>
      <c r="E694" s="10" t="str">
        <f aca="false">IF(D694="?OLD","!!!","")</f>
        <v/>
      </c>
      <c r="F694" s="11" t="str">
        <f aca="false">IF(OR(E694="",E694="!!!"),"",IF(NOT(ISNA(VLOOKUP(E694,E$1:E693,1,FALSE()))),"OLD",IF(AND(E694&lt;&gt;"",E694&lt;&gt;"!!!"),"NEW","")))</f>
        <v/>
      </c>
      <c r="G694" s="12" t="str">
        <f aca="false">IF(OR(E694="",E694="!!!"),"",IF(OR(J694=0,AND(J694=1,K694=1),AND(J694=1,I694="SBJ"),AND(J694=1,I694=0)),"?IN_FOCUS",IF(J694&lt;=2,"?ACTIVATED",IF(J694&lt;&gt;"","?FAMILIAR",IF(F694="NEW",IF(ISNA(VLOOKUP(E694,#REF!,1,FALSE())),"?TYPE_IDENTIFIABLE","?REFERENTIAL"),"_")))))</f>
        <v/>
      </c>
      <c r="H694" s="13" t="str">
        <f aca="false">IF(J694&lt;&gt;1,"",IF(I694="SBJ","CB","?"))</f>
        <v/>
      </c>
      <c r="I694" s="14" t="str">
        <f aca="false">IF(OR(E694="",E694="!!!",F694="NEW"),"",INDEX(B$2:B693,-1+SUMPRODUCT(MAX(ROW(E$2:E693)*(E694=E$2:E693)))))</f>
        <v/>
      </c>
      <c r="J694" s="15" t="str">
        <f aca="true">IF(OR(E694="",E694="!!!",F694="NEW"),"",COUNTBLANK(OFFSET(A$1,,,SUMPRODUCT(MAX(ROW(E$2:E694)*(E694=E$2:E694)))))-COUNTBLANK(OFFSET(A$1,,,SUMPRODUCT(MAX(ROW(E$1:E693)*(E694=E$1:E693))))))</f>
        <v/>
      </c>
      <c r="K694" s="15" t="str">
        <f aca="false">IF(OR(E694="",E694="!!!",F694="NEW"),"",INDEX(J$1:J693,SUMPRODUCT(MAX(ROW(E$1:E693)*(E694=E$1:E693)))))</f>
        <v/>
      </c>
      <c r="L694" s="16"/>
    </row>
    <row r="695" customFormat="false" ht="12.75" hidden="false" customHeight="false" outlineLevel="0" collapsed="false">
      <c r="A695" s="9" t="s">
        <v>122</v>
      </c>
      <c r="E695" s="10" t="str">
        <f aca="false">IF(D695="?OLD","!!!","")</f>
        <v/>
      </c>
      <c r="F695" s="11" t="str">
        <f aca="false">IF(OR(E695="",E695="!!!"),"",IF(NOT(ISNA(VLOOKUP(E695,E$1:E694,1,FALSE()))),"OLD",IF(AND(E695&lt;&gt;"",E695&lt;&gt;"!!!"),"NEW","")))</f>
        <v/>
      </c>
      <c r="G695" s="12" t="str">
        <f aca="false">IF(OR(E695="",E695="!!!"),"",IF(OR(J695=0,AND(J695=1,K695=1),AND(J695=1,I695="SBJ"),AND(J695=1,I695=0)),"?IN_FOCUS",IF(J695&lt;=2,"?ACTIVATED",IF(J695&lt;&gt;"","?FAMILIAR",IF(F695="NEW",IF(ISNA(VLOOKUP(E695,#REF!,1,FALSE())),"?TYPE_IDENTIFIABLE","?REFERENTIAL"),"_")))))</f>
        <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75" hidden="false" customHeight="false" outlineLevel="0" collapsed="false">
      <c r="A696" s="9" t="s">
        <v>216</v>
      </c>
      <c r="B696" s="0" t="s">
        <v>94</v>
      </c>
      <c r="C696" s="0" t="s">
        <v>31</v>
      </c>
      <c r="D696" s="0" t="s">
        <v>19</v>
      </c>
      <c r="E696" s="10" t="s">
        <v>187</v>
      </c>
      <c r="F696" s="11" t="str">
        <f aca="false">IF(OR(E696="",E696="!!!"),"",IF(NOT(ISNA(VLOOKUP(E696,E$1:E695,1,FALSE()))),"OLD",IF(AND(E696&lt;&gt;"",E696&lt;&gt;"!!!"),"NEW","")))</f>
        <v>OLD</v>
      </c>
      <c r="G696" s="12" t="s">
        <v>33</v>
      </c>
      <c r="H696" s="13" t="str">
        <f aca="false">IF(J696&lt;&gt;1,"",IF(I696="SBJ","CB","?"))</f>
        <v/>
      </c>
      <c r="I696" s="14" t="str">
        <f aca="false">IF(OR(E696="",E696="!!!",F696="NEW"),"",INDEX(B$2:B695,-1+SUMPRODUCT(MAX(ROW(E$2:E695)*(E696=E$2:E695)))))</f>
        <v>SBJ_3</v>
      </c>
      <c r="J696" s="15" t="n">
        <f aca="true">IF(OR(E696="",E696="!!!",F696="NEW"),"",COUNTBLANK(OFFSET(A$1,,,SUMPRODUCT(MAX(ROW(E$2:E696)*(E696=E$2:E696)))))-COUNTBLANK(OFFSET(A$1,,,SUMPRODUCT(MAX(ROW(E$1:E695)*(E696=E$1:E695))))))</f>
        <v>2</v>
      </c>
      <c r="K696" s="15" t="n">
        <f aca="false">IF(OR(E696="",E696="!!!",F696="NEW"),"",INDEX(J$1:J695,SUMPRODUCT(MAX(ROW(E$1:E695)*(E696=E$1:E695)))))</f>
        <v>0</v>
      </c>
      <c r="L696" s="16"/>
    </row>
    <row r="697" customFormat="false" ht="12.75" hidden="false" customHeight="false" outlineLevel="0" collapsed="false">
      <c r="A697" s="9" t="s">
        <v>253</v>
      </c>
      <c r="E697" s="10" t="str">
        <f aca="false">IF(D697="?OLD","!!!","")</f>
        <v/>
      </c>
      <c r="F697" s="11" t="str">
        <f aca="false">IF(OR(E697="",E697="!!!"),"",IF(NOT(ISNA(VLOOKUP(E697,E$1:E696,1,FALSE()))),"OLD",IF(AND(E697&lt;&gt;"",E697&lt;&gt;"!!!"),"NEW","")))</f>
        <v/>
      </c>
      <c r="G697" s="12" t="str">
        <f aca="false">IF(OR(E697="",E697="!!!"),"",IF(OR(J697=0,AND(J697=1,K697=1),AND(J697=1,I697="SBJ"),AND(J697=1,I697=0)),"?IN_FOCUS",IF(J697&lt;=2,"?ACTIVATED",IF(J697&lt;&gt;"","?FAMILIAR",IF(F697="NEW",IF(ISNA(VLOOKUP(E697,#REF!,1,FALSE())),"?TYPE_IDENTIFIABLE","?REFERENTIAL"),"_")))))</f>
        <v/>
      </c>
      <c r="H697" s="13" t="str">
        <f aca="false">IF(J697&lt;&gt;1,"",IF(I697="SBJ","CB","?"))</f>
        <v/>
      </c>
      <c r="I697" s="14" t="str">
        <f aca="false">IF(OR(E697="",E697="!!!",F697="NEW"),"",INDEX(B$2:B696,-1+SUMPRODUCT(MAX(ROW(E$2:E696)*(E697=E$2:E696)))))</f>
        <v/>
      </c>
      <c r="J697" s="15" t="str">
        <f aca="true">IF(OR(E697="",E697="!!!",F697="NEW"),"",COUNTBLANK(OFFSET(A$1,,,SUMPRODUCT(MAX(ROW(E$2:E697)*(E697=E$2:E697)))))-COUNTBLANK(OFFSET(A$1,,,SUMPRODUCT(MAX(ROW(E$1:E696)*(E697=E$1:E696))))))</f>
        <v/>
      </c>
      <c r="K697" s="15" t="str">
        <f aca="false">IF(OR(E697="",E697="!!!",F697="NEW"),"",INDEX(J$1:J696,SUMPRODUCT(MAX(ROW(E$1:E696)*(E697=E$1:E696)))))</f>
        <v/>
      </c>
      <c r="L697" s="16"/>
    </row>
    <row r="698" customFormat="false" ht="12.75" hidden="false" customHeight="false" outlineLevel="0" collapsed="false">
      <c r="A698" s="9" t="s">
        <v>360</v>
      </c>
      <c r="E698" s="10" t="str">
        <f aca="false">IF(D698="?OLD","!!!","")</f>
        <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75" hidden="false" customHeight="false" outlineLevel="0" collapsed="false">
      <c r="A699" s="9" t="s">
        <v>391</v>
      </c>
      <c r="E699" s="10" t="str">
        <f aca="false">IF(D699="?OLD","!!!","")</f>
        <v/>
      </c>
      <c r="F699" s="11" t="str">
        <f aca="false">IF(OR(E699="",E699="!!!"),"",IF(NOT(ISNA(VLOOKUP(E699,E$1:E698,1,FALSE()))),"OLD",IF(AND(E699&lt;&gt;"",E699&lt;&gt;"!!!"),"NEW","")))</f>
        <v/>
      </c>
      <c r="G699" s="12" t="str">
        <f aca="false">IF(OR(E699="",E699="!!!"),"",IF(OR(J699=0,AND(J699=1,K699=1),AND(J699=1,I699="SBJ"),AND(J699=1,I699=0)),"?IN_FOCUS",IF(J699&lt;=2,"?ACTIVATED",IF(J699&lt;&gt;"","?FAMILIAR",IF(F699="NEW",IF(ISNA(VLOOKUP(E699,#REF!,1,FALSE())),"?TYPE_IDENTIFIABLE","?REFERENTIAL"),"_")))))</f>
        <v/>
      </c>
      <c r="H699" s="13" t="str">
        <f aca="false">IF(J699&lt;&gt;1,"",IF(I699="SBJ","CB","?"))</f>
        <v/>
      </c>
      <c r="I699" s="14" t="str">
        <f aca="false">IF(OR(E699="",E699="!!!",F699="NEW"),"",INDEX(B$2:B698,-1+SUMPRODUCT(MAX(ROW(E$2:E698)*(E699=E$2:E698)))))</f>
        <v/>
      </c>
      <c r="J699" s="15" t="str">
        <f aca="true">IF(OR(E699="",E699="!!!",F699="NEW"),"",COUNTBLANK(OFFSET(A$1,,,SUMPRODUCT(MAX(ROW(E$2:E699)*(E699=E$2:E699)))))-COUNTBLANK(OFFSET(A$1,,,SUMPRODUCT(MAX(ROW(E$1:E698)*(E699=E$1:E698))))))</f>
        <v/>
      </c>
      <c r="K699" s="15" t="str">
        <f aca="false">IF(OR(E699="",E699="!!!",F699="NEW"),"",INDEX(J$1:J698,SUMPRODUCT(MAX(ROW(E$1:E698)*(E699=E$1:E698)))))</f>
        <v/>
      </c>
      <c r="L699" s="16"/>
    </row>
    <row r="700" customFormat="false" ht="12.75" hidden="false" customHeight="false" outlineLevel="0" collapsed="false">
      <c r="A700" s="9" t="s">
        <v>228</v>
      </c>
      <c r="B700" s="0" t="s">
        <v>62</v>
      </c>
      <c r="C700" s="0" t="s">
        <v>128</v>
      </c>
      <c r="D700" s="0" t="s">
        <v>19</v>
      </c>
      <c r="E700" s="10" t="s">
        <v>367</v>
      </c>
      <c r="F700" s="11" t="str">
        <f aca="false">IF(OR(E700="",E700="!!!"),"",IF(NOT(ISNA(VLOOKUP(E700,E$1:E699,1,FALSE()))),"OLD",IF(AND(E700&lt;&gt;"",E700&lt;&gt;"!!!"),"NEW","")))</f>
        <v>OLD</v>
      </c>
      <c r="G700" s="12" t="s">
        <v>65</v>
      </c>
      <c r="H700" s="13" t="str">
        <f aca="false">IF(J700&lt;&gt;1,"",IF(I700="SBJ","CB","?"))</f>
        <v/>
      </c>
      <c r="I700" s="14" t="str">
        <f aca="false">IF(OR(E700="",E700="!!!",F700="NEW"),"",INDEX(B$2:B699,-1+SUMPRODUCT(MAX(ROW(E$2:E699)*(E700=E$2:E699)))))</f>
        <v>other_2</v>
      </c>
      <c r="J700" s="15" t="n">
        <f aca="true">IF(OR(E700="",E700="!!!",F700="NEW"),"",COUNTBLANK(OFFSET(A$1,,,SUMPRODUCT(MAX(ROW(E$2:E700)*(E700=E$2:E700)))))-COUNTBLANK(OFFSET(A$1,,,SUMPRODUCT(MAX(ROW(E$1:E699)*(E700=E$1:E699))))))</f>
        <v>0</v>
      </c>
      <c r="K700" s="15" t="n">
        <f aca="false">IF(OR(E700="",E700="!!!",F700="NEW"),"",INDEX(J$1:J699,SUMPRODUCT(MAX(ROW(E$1:E699)*(E700=E$1:E699)))))</f>
        <v>1</v>
      </c>
      <c r="L700" s="16"/>
    </row>
    <row r="701" customFormat="false" ht="12.75" hidden="false" customHeight="false" outlineLevel="0" collapsed="false">
      <c r="A701" s="9" t="s">
        <v>392</v>
      </c>
      <c r="B701" s="0" t="s">
        <v>96</v>
      </c>
      <c r="C701" s="0" t="s">
        <v>83</v>
      </c>
      <c r="D701" s="0" t="s">
        <v>19</v>
      </c>
      <c r="E701" s="10" t="s">
        <v>393</v>
      </c>
      <c r="F701" s="11" t="str">
        <f aca="false">IF(OR(E701="",E701="!!!"),"",IF(NOT(ISNA(VLOOKUP(E701,E$1:E700,1,FALSE()))),"OLD",IF(AND(E701&lt;&gt;"",E701&lt;&gt;"!!!"),"NEW","")))</f>
        <v>NEW</v>
      </c>
      <c r="G701" s="12" t="s">
        <v>21</v>
      </c>
      <c r="H701" s="13" t="str">
        <f aca="false">IF(J701&lt;&gt;1,"",IF(I701="SBJ","CB","?"))</f>
        <v/>
      </c>
      <c r="I701" s="14" t="str">
        <f aca="false">IF(OR(E701="",E701="!!!",F701="NEW"),"",INDEX(B$2:B700,-1+SUMPRODUCT(MAX(ROW(E$2:E700)*(E701=E$2:E700)))))</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75" hidden="false" customHeight="false" outlineLevel="0" collapsed="false">
      <c r="A702" s="9" t="s">
        <v>42</v>
      </c>
      <c r="E702" s="10" t="str">
        <f aca="false">IF(D702="?OLD","!!!","")</f>
        <v/>
      </c>
      <c r="F702" s="11" t="str">
        <f aca="false">IF(OR(E702="",E702="!!!"),"",IF(NOT(ISNA(VLOOKUP(E702,E$1:E701,1,FALSE()))),"OLD",IF(AND(E702&lt;&gt;"",E702&lt;&gt;"!!!"),"NEW","")))</f>
        <v/>
      </c>
      <c r="G702" s="12" t="str">
        <f aca="false">IF(OR(E702="",E702="!!!"),"",IF(OR(J702=0,AND(J702=1,K702=1),AND(J702=1,I702="SBJ"),AND(J702=1,I702=0)),"?IN_FOCUS",IF(J702&lt;=2,"?ACTIVATED",IF(J702&lt;&gt;"","?FAMILIAR",IF(F702="NEW",IF(ISNA(VLOOKUP(E702,#REF!,1,FALSE())),"?TYPE_IDENTIFIABLE","?REFERENTIAL"),"_")))))</f>
        <v/>
      </c>
      <c r="H702" s="13" t="str">
        <f aca="false">IF(J702&lt;&gt;1,"",IF(I702="SBJ","CB","?"))</f>
        <v/>
      </c>
      <c r="I702" s="14" t="str">
        <f aca="false">IF(OR(E702="",E702="!!!",F702="NEW"),"",INDEX(B$2:B701,-1+SUMPRODUCT(MAX(ROW(E$2:E701)*(E702=E$2:E701)))))</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75" hidden="false" customHeight="false" outlineLevel="0" collapsed="false">
      <c r="A703" s="9" t="s">
        <v>394</v>
      </c>
      <c r="B703" s="0" t="s">
        <v>24</v>
      </c>
      <c r="C703" s="0" t="s">
        <v>103</v>
      </c>
      <c r="D703" s="0" t="s">
        <v>19</v>
      </c>
      <c r="E703" s="10" t="s">
        <v>394</v>
      </c>
      <c r="F703" s="11" t="str">
        <f aca="false">IF(OR(E703="",E703="!!!"),"",IF(NOT(ISNA(VLOOKUP(E703,E$1:E702,1,FALSE()))),"OLD",IF(AND(E703&lt;&gt;"",E703&lt;&gt;"!!!"),"NEW","")))</f>
        <v>NEW</v>
      </c>
      <c r="G703" s="12" t="s">
        <v>21</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75" hidden="false" customHeight="false" outlineLevel="0" collapsed="false">
      <c r="A704" s="9" t="s">
        <v>28</v>
      </c>
      <c r="E704" s="10" t="str">
        <f aca="false">IF(D704="?OLD","!!!","")</f>
        <v/>
      </c>
      <c r="F704" s="11" t="str">
        <f aca="false">IF(OR(E704="",E704="!!!"),"",IF(NOT(ISNA(VLOOKUP(E704,E$1:E703,1,FALSE()))),"OLD",IF(AND(E704&lt;&gt;"",E704&lt;&gt;"!!!"),"NEW","")))</f>
        <v/>
      </c>
      <c r="G704" s="12" t="str">
        <f aca="false">IF(OR(E704="",E704="!!!"),"",IF(OR(J704=0,AND(J704=1,K704=1),AND(J704=1,I704="SBJ"),AND(J704=1,I704=0)),"?IN_FOCUS",IF(J704&lt;=2,"?ACTIVATED",IF(J704&lt;&gt;"","?FAMILIAR",IF(F704="NEW",IF(ISNA(VLOOKUP(E704,#REF!,1,FALSE())),"?TYPE_IDENTIFIABLE","?REFERENTIAL"),"_")))))</f>
        <v/>
      </c>
      <c r="H704" s="13" t="str">
        <f aca="false">IF(J704&lt;&gt;1,"",IF(I704="SBJ","CB","?"))</f>
        <v/>
      </c>
      <c r="I704" s="14" t="str">
        <f aca="false">IF(OR(E704="",E704="!!!",F704="NEW"),"",INDEX(B$2:B703,-1+SUMPRODUCT(MAX(ROW(E$2:E703)*(E704=E$2:E703)))))</f>
        <v/>
      </c>
      <c r="J704" s="15" t="str">
        <f aca="true">IF(OR(E704="",E704="!!!",F704="NEW"),"",COUNTBLANK(OFFSET(A$1,,,SUMPRODUCT(MAX(ROW(E$2:E704)*(E704=E$2:E704)))))-COUNTBLANK(OFFSET(A$1,,,SUMPRODUCT(MAX(ROW(E$1:E703)*(E704=E$1:E703))))))</f>
        <v/>
      </c>
      <c r="K704" s="15" t="str">
        <f aca="false">IF(OR(E704="",E704="!!!",F704="NEW"),"",INDEX(J$1:J703,SUMPRODUCT(MAX(ROW(E$1:E703)*(E704=E$1:E703)))))</f>
        <v/>
      </c>
      <c r="L704" s="16"/>
    </row>
    <row r="705" customFormat="false" ht="12.75" hidden="false" customHeight="false" outlineLevel="0" collapsed="false">
      <c r="A705" s="9" t="s">
        <v>395</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75" hidden="false" customHeight="false" outlineLevel="0" collapsed="false">
      <c r="A706" s="9" t="s">
        <v>253</v>
      </c>
      <c r="E706" s="10" t="str">
        <f aca="false">IF(D706="?OLD","!!!","")</f>
        <v/>
      </c>
      <c r="F706" s="11" t="str">
        <f aca="false">IF(OR(E706="",E706="!!!"),"",IF(NOT(ISNA(VLOOKUP(E706,E$1:E705,1,FALSE()))),"OLD",IF(AND(E706&lt;&gt;"",E706&lt;&gt;"!!!"),"NEW","")))</f>
        <v/>
      </c>
      <c r="G706" s="12" t="str">
        <f aca="false">IF(OR(E706="",E706="!!!"),"",IF(OR(J706=0,AND(J706=1,K706=1),AND(J706=1,I706="SBJ"),AND(J706=1,I706=0)),"?IN_FOCUS",IF(J706&lt;=2,"?ACTIVATED",IF(J706&lt;&gt;"","?FAMILIAR",IF(F706="NEW",IF(ISNA(VLOOKUP(E706,#REF!,1,FALSE())),"?TYPE_IDENTIFIABLE","?REFERENTIAL"),"_")))))</f>
        <v/>
      </c>
      <c r="H706" s="13" t="str">
        <f aca="false">IF(J706&lt;&gt;1,"",IF(I706="SBJ","CB","?"))</f>
        <v/>
      </c>
      <c r="I706" s="14" t="str">
        <f aca="false">IF(OR(E706="",E706="!!!",F706="NEW"),"",INDEX(B$2:B705,-1+SUMPRODUCT(MAX(ROW(E$2:E705)*(E706=E$2:E705)))))</f>
        <v/>
      </c>
      <c r="J706" s="15" t="str">
        <f aca="true">IF(OR(E706="",E706="!!!",F706="NEW"),"",COUNTBLANK(OFFSET(A$1,,,SUMPRODUCT(MAX(ROW(E$2:E706)*(E706=E$2:E706)))))-COUNTBLANK(OFFSET(A$1,,,SUMPRODUCT(MAX(ROW(E$1:E705)*(E706=E$1:E705))))))</f>
        <v/>
      </c>
      <c r="K706" s="15" t="str">
        <f aca="false">IF(OR(E706="",E706="!!!",F706="NEW"),"",INDEX(J$1:J705,SUMPRODUCT(MAX(ROW(E$1:E705)*(E706=E$1:E705)))))</f>
        <v/>
      </c>
      <c r="L706" s="16"/>
    </row>
    <row r="707" customFormat="false" ht="12.75" hidden="false" customHeight="false" outlineLevel="0" collapsed="false">
      <c r="A707" s="9" t="s">
        <v>216</v>
      </c>
      <c r="B707" s="0" t="s">
        <v>94</v>
      </c>
      <c r="C707" s="0" t="s">
        <v>31</v>
      </c>
      <c r="D707" s="0" t="s">
        <v>19</v>
      </c>
      <c r="E707" s="10" t="s">
        <v>187</v>
      </c>
      <c r="F707" s="11" t="str">
        <f aca="false">IF(OR(E707="",E707="!!!"),"",IF(NOT(ISNA(VLOOKUP(E707,E$1:E706,1,FALSE()))),"OLD",IF(AND(E707&lt;&gt;"",E707&lt;&gt;"!!!"),"NEW","")))</f>
        <v>OLD</v>
      </c>
      <c r="G707" s="12" t="s">
        <v>65</v>
      </c>
      <c r="H707" s="13" t="str">
        <f aca="false">IF(J707&lt;&gt;1,"",IF(I707="SBJ","CB","?"))</f>
        <v/>
      </c>
      <c r="I707" s="14" t="str">
        <f aca="false">IF(OR(E707="",E707="!!!",F707="NEW"),"",INDEX(B$2:B706,-1+SUMPRODUCT(MAX(ROW(E$2:E706)*(E707=E$2:E706)))))</f>
        <v>SBJ_3</v>
      </c>
      <c r="J707" s="15" t="n">
        <f aca="true">IF(OR(E707="",E707="!!!",F707="NEW"),"",COUNTBLANK(OFFSET(A$1,,,SUMPRODUCT(MAX(ROW(E$2:E707)*(E707=E$2:E707)))))-COUNTBLANK(OFFSET(A$1,,,SUMPRODUCT(MAX(ROW(E$1:E706)*(E707=E$1:E706))))))</f>
        <v>0</v>
      </c>
      <c r="K707" s="15" t="n">
        <f aca="false">IF(OR(E707="",E707="!!!",F707="NEW"),"",INDEX(J$1:J706,SUMPRODUCT(MAX(ROW(E$1:E706)*(E707=E$1:E706)))))</f>
        <v>2</v>
      </c>
      <c r="L707" s="16"/>
    </row>
    <row r="708" customFormat="false" ht="12.75" hidden="false" customHeight="false" outlineLevel="0" collapsed="false">
      <c r="A708" s="9" t="s">
        <v>396</v>
      </c>
      <c r="E708" s="10" t="str">
        <f aca="false">IF(D708="?OLD","!!!","")</f>
        <v/>
      </c>
      <c r="F708" s="11" t="str">
        <f aca="false">IF(OR(E708="",E708="!!!"),"",IF(NOT(ISNA(VLOOKUP(E708,E$1:E707,1,FALSE()))),"OLD",IF(AND(E708&lt;&gt;"",E708&lt;&gt;"!!!"),"NEW","")))</f>
        <v/>
      </c>
      <c r="G708" s="12" t="str">
        <f aca="false">IF(OR(E708="",E708="!!!"),"",IF(OR(J708=0,AND(J708=1,K708=1),AND(J708=1,I708="SBJ"),AND(J708=1,I708=0)),"?IN_FOCUS",IF(J708&lt;=2,"?ACTIVATED",IF(J708&lt;&gt;"","?FAMILIAR",IF(F708="NEW",IF(ISNA(VLOOKUP(E708,#REF!,1,FALSE())),"?TYPE_IDENTIFIABLE","?REFERENTIAL"),"_")))))</f>
        <v/>
      </c>
      <c r="H708" s="13" t="str">
        <f aca="false">IF(J708&lt;&gt;1,"",IF(I708="SBJ","CB","?"))</f>
        <v/>
      </c>
      <c r="I708" s="14" t="str">
        <f aca="false">IF(OR(E708="",E708="!!!",F708="NEW"),"",INDEX(B$2:B707,-1+SUMPRODUCT(MAX(ROW(E$2:E707)*(E708=E$2:E707)))))</f>
        <v/>
      </c>
      <c r="J708" s="15" t="str">
        <f aca="true">IF(OR(E708="",E708="!!!",F708="NEW"),"",COUNTBLANK(OFFSET(A$1,,,SUMPRODUCT(MAX(ROW(E$2:E708)*(E708=E$2:E708)))))-COUNTBLANK(OFFSET(A$1,,,SUMPRODUCT(MAX(ROW(E$1:E707)*(E708=E$1:E707))))))</f>
        <v/>
      </c>
      <c r="K708" s="15" t="str">
        <f aca="false">IF(OR(E708="",E708="!!!",F708="NEW"),"",INDEX(J$1:J707,SUMPRODUCT(MAX(ROW(E$1:E707)*(E708=E$1:E707)))))</f>
        <v/>
      </c>
      <c r="L708" s="16"/>
    </row>
    <row r="709" customFormat="false" ht="12.75" hidden="false" customHeight="false" outlineLevel="0" collapsed="false">
      <c r="A709" s="9" t="s">
        <v>266</v>
      </c>
      <c r="B709" s="0" t="s">
        <v>62</v>
      </c>
      <c r="C709" s="0" t="s">
        <v>128</v>
      </c>
      <c r="D709" s="0" t="s">
        <v>19</v>
      </c>
      <c r="E709" s="10" t="s">
        <v>187</v>
      </c>
      <c r="F709" s="11" t="str">
        <f aca="false">IF(OR(E709="",E709="!!!"),"",IF(NOT(ISNA(VLOOKUP(E709,E$1:E708,1,FALSE()))),"OLD",IF(AND(E709&lt;&gt;"",E709&lt;&gt;"!!!"),"NEW","")))</f>
        <v>OLD</v>
      </c>
      <c r="G709" s="12" t="s">
        <v>65</v>
      </c>
      <c r="H709" s="13" t="str">
        <f aca="false">IF(J709&lt;&gt;1,"",IF(I709="SBJ","CB","?"))</f>
        <v/>
      </c>
      <c r="I709" s="14" t="str">
        <f aca="false">IF(OR(E709="",E709="!!!",F709="NEW"),"",INDEX(B$2:B708,-1+SUMPRODUCT(MAX(ROW(E$2:E708)*(E709=E$2:E708)))))</f>
        <v>SBJ_3</v>
      </c>
      <c r="J709" s="15" t="n">
        <f aca="true">IF(OR(E709="",E709="!!!",F709="NEW"),"",COUNTBLANK(OFFSET(A$1,,,SUMPRODUCT(MAX(ROW(E$2:E709)*(E709=E$2:E709)))))-COUNTBLANK(OFFSET(A$1,,,SUMPRODUCT(MAX(ROW(E$1:E708)*(E709=E$1:E708))))))</f>
        <v>0</v>
      </c>
      <c r="K709" s="15" t="n">
        <f aca="false">IF(OR(E709="",E709="!!!",F709="NEW"),"",INDEX(J$1:J708,SUMPRODUCT(MAX(ROW(E$1:E708)*(E709=E$1:E708)))))</f>
        <v>0</v>
      </c>
      <c r="L709" s="16"/>
    </row>
    <row r="710" customFormat="false" ht="12.75" hidden="false" customHeight="false" outlineLevel="0" collapsed="false">
      <c r="A710" s="9" t="s">
        <v>87</v>
      </c>
      <c r="B710" s="0" t="s">
        <v>96</v>
      </c>
      <c r="C710" s="0" t="s">
        <v>83</v>
      </c>
      <c r="D710" s="0" t="s">
        <v>19</v>
      </c>
      <c r="E710" s="10" t="s">
        <v>89</v>
      </c>
      <c r="F710" s="11" t="str">
        <f aca="false">IF(OR(E710="",E710="!!!"),"",IF(NOT(ISNA(VLOOKUP(E710,E$1:E709,1,FALSE()))),"OLD",IF(AND(E710&lt;&gt;"",E710&lt;&gt;"!!!"),"NEW","")))</f>
        <v>OLD</v>
      </c>
      <c r="G710" s="12" t="s">
        <v>52</v>
      </c>
      <c r="H710" s="13" t="str">
        <f aca="false">IF(J710&lt;&gt;1,"",IF(I710="SBJ","CB","?"))</f>
        <v/>
      </c>
      <c r="I710" s="14" t="str">
        <f aca="false">IF(OR(E710="",E710="!!!",F710="NEW"),"",INDEX(B$2:B709,-1+SUMPRODUCT(MAX(ROW(E$2:E709)*(E710=E$2:E709)))))</f>
        <v>OBJ</v>
      </c>
      <c r="J710" s="15" t="n">
        <f aca="true">IF(OR(E710="",E710="!!!",F710="NEW"),"",COUNTBLANK(OFFSET(A$1,,,SUMPRODUCT(MAX(ROW(E$2:E710)*(E710=E$2:E710)))))-COUNTBLANK(OFFSET(A$1,,,SUMPRODUCT(MAX(ROW(E$1:E709)*(E710=E$1:E709))))))</f>
        <v>8</v>
      </c>
      <c r="K710" s="15" t="n">
        <f aca="false">IF(OR(E710="",E710="!!!",F710="NEW"),"",INDEX(J$1:J709,SUMPRODUCT(MAX(ROW(E$1:E709)*(E710=E$1:E709)))))</f>
        <v>4</v>
      </c>
      <c r="L710" s="16"/>
    </row>
    <row r="711" customFormat="false" ht="12.75" hidden="false" customHeight="false" outlineLevel="0" collapsed="false">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IF(OR(E711="",E711="!!!",F711="NEW"),"",INDEX(B$2:B710,-1+SUMPRODUCT(MAX(ROW(E$2:E710)*(E711=E$2:E710)))))</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75" hidden="false" customHeight="false" outlineLevel="0" collapsed="false">
      <c r="A712" s="9" t="s">
        <v>397</v>
      </c>
      <c r="E712" s="10" t="str">
        <f aca="false">IF(D712="?OLD","!!!","")</f>
        <v/>
      </c>
      <c r="F712" s="11" t="str">
        <f aca="false">IF(OR(E712="",E712="!!!"),"",IF(NOT(ISNA(VLOOKUP(E712,E$1:E711,1,FALSE()))),"OLD",IF(AND(E712&lt;&gt;"",E712&lt;&gt;"!!!"),"NEW","")))</f>
        <v/>
      </c>
      <c r="G712" s="12" t="str">
        <f aca="false">IF(OR(E712="",E712="!!!"),"",IF(OR(J712=0,AND(J712=1,K712=1),AND(J712=1,I712="SBJ"),AND(J712=1,I712=0)),"?IN_FOCUS",IF(J712&lt;=2,"?ACTIVATED",IF(J712&lt;&gt;"","?FAMILIAR",IF(F712="NEW",IF(ISNA(VLOOKUP(E712,#REF!,1,FALSE())),"?TYPE_IDENTIFIABLE","?REFERENTIAL"),"_")))))</f>
        <v/>
      </c>
      <c r="H712" s="13" t="str">
        <f aca="false">IF(J712&lt;&gt;1,"",IF(I712="SBJ","CB","?"))</f>
        <v/>
      </c>
      <c r="I712" s="14" t="str">
        <f aca="false">IF(OR(E712="",E712="!!!",F712="NEW"),"",INDEX(B$2:B711,-1+SUMPRODUCT(MAX(ROW(E$2:E711)*(E712=E$2:E711)))))</f>
        <v/>
      </c>
      <c r="J712" s="15" t="str">
        <f aca="true">IF(OR(E712="",E712="!!!",F712="NEW"),"",COUNTBLANK(OFFSET(A$1,,,SUMPRODUCT(MAX(ROW(E$2:E712)*(E712=E$2:E712)))))-COUNTBLANK(OFFSET(A$1,,,SUMPRODUCT(MAX(ROW(E$1:E711)*(E712=E$1:E711))))))</f>
        <v/>
      </c>
      <c r="K712" s="15" t="str">
        <f aca="false">IF(OR(E712="",E712="!!!",F712="NEW"),"",INDEX(J$1:J711,SUMPRODUCT(MAX(ROW(E$1:E711)*(E712=E$1:E711)))))</f>
        <v/>
      </c>
      <c r="L712" s="16"/>
    </row>
    <row r="713" customFormat="false" ht="12.75" hidden="false" customHeight="false" outlineLevel="0" collapsed="false">
      <c r="A713" s="9" t="s">
        <v>398</v>
      </c>
      <c r="B713" s="0" t="s">
        <v>40</v>
      </c>
      <c r="C713" s="0" t="s">
        <v>124</v>
      </c>
      <c r="E713" s="10" t="str">
        <f aca="false">IF(D713="?OLD","!!!","")</f>
        <v/>
      </c>
      <c r="F713" s="11" t="str">
        <f aca="false">IF(OR(E713="",E713="!!!"),"",IF(NOT(ISNA(VLOOKUP(E713,E$1:E712,1,FALSE()))),"OLD",IF(AND(E713&lt;&gt;"",E713&lt;&gt;"!!!"),"NEW","")))</f>
        <v/>
      </c>
      <c r="G713" s="12" t="str">
        <f aca="false">IF(OR(E713="",E713="!!!"),"",IF(OR(J713=0,AND(J713=1,K713=1),AND(J713=1,I713="SBJ"),AND(J713=1,I713=0)),"?IN_FOCUS",IF(J713&lt;=2,"?ACTIVATED",IF(J713&lt;&gt;"","?FAMILIAR",IF(F713="NEW",IF(ISNA(VLOOKUP(E713,#REF!,1,FALSE())),"?TYPE_IDENTIFIABLE","?REFERENTIAL"),"_")))))</f>
        <v/>
      </c>
      <c r="H713" s="13" t="str">
        <f aca="false">IF(J713&lt;&gt;1,"",IF(I713="SBJ","CB","?"))</f>
        <v/>
      </c>
      <c r="I713" s="14" t="str">
        <f aca="false">IF(OR(E713="",E713="!!!",F713="NEW"),"",INDEX(B$2:B712,-1+SUMPRODUCT(MAX(ROW(E$2:E712)*(E713=E$2:E712)))))</f>
        <v/>
      </c>
      <c r="J713" s="15" t="str">
        <f aca="true">IF(OR(E713="",E713="!!!",F713="NEW"),"",COUNTBLANK(OFFSET(A$1,,,SUMPRODUCT(MAX(ROW(E$2:E713)*(E713=E$2:E713)))))-COUNTBLANK(OFFSET(A$1,,,SUMPRODUCT(MAX(ROW(E$1:E712)*(E713=E$1:E712))))))</f>
        <v/>
      </c>
      <c r="K713" s="15" t="str">
        <f aca="false">IF(OR(E713="",E713="!!!",F713="NEW"),"",INDEX(J$1:J712,SUMPRODUCT(MAX(ROW(E$1:E712)*(E713=E$1:E712)))))</f>
        <v/>
      </c>
      <c r="L713" s="16"/>
    </row>
    <row r="714" customFormat="false" ht="12.75" hidden="false" customHeight="false" outlineLevel="0" collapsed="false">
      <c r="A714" s="9" t="s">
        <v>78</v>
      </c>
      <c r="E714" s="10" t="str">
        <f aca="false">IF(D714="?OLD","!!!","")</f>
        <v/>
      </c>
      <c r="F714" s="11" t="str">
        <f aca="false">IF(OR(E714="",E714="!!!"),"",IF(NOT(ISNA(VLOOKUP(E714,E$1:E713,1,FALSE()))),"OLD",IF(AND(E714&lt;&gt;"",E714&lt;&gt;"!!!"),"NEW","")))</f>
        <v/>
      </c>
      <c r="G714" s="12" t="str">
        <f aca="false">IF(OR(E714="",E714="!!!"),"",IF(OR(J714=0,AND(J714=1,K714=1),AND(J714=1,I714="SBJ"),AND(J714=1,I714=0)),"?IN_FOCUS",IF(J714&lt;=2,"?ACTIVATED",IF(J714&lt;&gt;"","?FAMILIAR",IF(F714="NEW",IF(ISNA(VLOOKUP(E714,#REF!,1,FALSE())),"?TYPE_IDENTIFIABLE","?REFERENTIAL"),"_")))))</f>
        <v/>
      </c>
      <c r="H714" s="13" t="str">
        <f aca="false">IF(J714&lt;&gt;1,"",IF(I714="SBJ","CB","?"))</f>
        <v/>
      </c>
      <c r="I714" s="14" t="str">
        <f aca="false">IF(OR(E714="",E714="!!!",F714="NEW"),"",INDEX(B$2:B713,-1+SUMPRODUCT(MAX(ROW(E$2:E713)*(E714=E$2:E713)))))</f>
        <v/>
      </c>
      <c r="J714" s="15" t="str">
        <f aca="true">IF(OR(E714="",E714="!!!",F714="NEW"),"",COUNTBLANK(OFFSET(A$1,,,SUMPRODUCT(MAX(ROW(E$2:E714)*(E714=E$2:E714)))))-COUNTBLANK(OFFSET(A$1,,,SUMPRODUCT(MAX(ROW(E$1:E713)*(E714=E$1:E713))))))</f>
        <v/>
      </c>
      <c r="K714" s="15" t="str">
        <f aca="false">IF(OR(E714="",E714="!!!",F714="NEW"),"",INDEX(J$1:J713,SUMPRODUCT(MAX(ROW(E$1:E713)*(E714=E$1:E713)))))</f>
        <v/>
      </c>
      <c r="L714" s="16"/>
    </row>
    <row r="715" customFormat="false" ht="12.75" hidden="false" customHeight="false" outlineLevel="0" collapsed="false">
      <c r="A715" s="9" t="s">
        <v>273</v>
      </c>
      <c r="E715" s="10" t="str">
        <f aca="false">IF(D715="?OLD","!!!","")</f>
        <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IF(OR(E715="",E715="!!!",F715="NEW"),"",INDEX(B$2:B714,-1+SUMPRODUCT(MAX(ROW(E$2:E714)*(E715=E$2:E714)))))</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75" hidden="false" customHeight="false" outlineLevel="0" collapsed="false">
      <c r="A716" s="9" t="s">
        <v>399</v>
      </c>
      <c r="B716" s="0" t="s">
        <v>55</v>
      </c>
      <c r="C716" s="0" t="s">
        <v>25</v>
      </c>
      <c r="E716" s="10" t="str">
        <f aca="false">IF(D716="?OLD","!!!","")</f>
        <v/>
      </c>
      <c r="F716" s="11" t="str">
        <f aca="false">IF(OR(E716="",E716="!!!"),"",IF(NOT(ISNA(VLOOKUP(E716,E$1:E715,1,FALSE()))),"OLD",IF(AND(E716&lt;&gt;"",E716&lt;&gt;"!!!"),"NEW","")))</f>
        <v/>
      </c>
      <c r="G716" s="12" t="str">
        <f aca="false">IF(OR(E716="",E716="!!!"),"",IF(OR(J716=0,AND(J716=1,K716=1),AND(J716=1,I716="SBJ"),AND(J716=1,I716=0)),"?IN_FOCUS",IF(J716&lt;=2,"?ACTIVATED",IF(J716&lt;&gt;"","?FAMILIAR",IF(F716="NEW",IF(ISNA(VLOOKUP(E716,#REF!,1,FALSE())),"?TYPE_IDENTIFIABLE","?REFERENTIAL"),"_")))))</f>
        <v/>
      </c>
      <c r="H716" s="13" t="str">
        <f aca="false">IF(J716&lt;&gt;1,"",IF(I716="SBJ","CB","?"))</f>
        <v/>
      </c>
      <c r="I716" s="14" t="str">
        <f aca="false">IF(OR(E716="",E716="!!!",F716="NEW"),"",INDEX(B$2:B715,-1+SUMPRODUCT(MAX(ROW(E$2:E715)*(E716=E$2:E715)))))</f>
        <v/>
      </c>
      <c r="J716" s="15" t="str">
        <f aca="true">IF(OR(E716="",E716="!!!",F716="NEW"),"",COUNTBLANK(OFFSET(A$1,,,SUMPRODUCT(MAX(ROW(E$2:E716)*(E716=E$2:E716)))))-COUNTBLANK(OFFSET(A$1,,,SUMPRODUCT(MAX(ROW(E$1:E715)*(E716=E$1:E715))))))</f>
        <v/>
      </c>
      <c r="K716" s="15" t="str">
        <f aca="false">IF(OR(E716="",E716="!!!",F716="NEW"),"",INDEX(J$1:J715,SUMPRODUCT(MAX(ROW(E$1:E715)*(E716=E$1:E715)))))</f>
        <v/>
      </c>
      <c r="L716" s="16"/>
    </row>
    <row r="717" customFormat="false" ht="12.75" hidden="false" customHeight="false" outlineLevel="0" collapsed="false">
      <c r="A717" s="9" t="s">
        <v>44</v>
      </c>
      <c r="E717" s="10" t="str">
        <f aca="false">IF(D717="?OLD","!!!","")</f>
        <v/>
      </c>
      <c r="F717" s="11" t="str">
        <f aca="false">IF(OR(E717="",E717="!!!"),"",IF(NOT(ISNA(VLOOKUP(E717,E$1:E716,1,FALSE()))),"OLD",IF(AND(E717&lt;&gt;"",E717&lt;&gt;"!!!"),"NEW","")))</f>
        <v/>
      </c>
      <c r="G717" s="12" t="str">
        <f aca="false">IF(OR(E717="",E717="!!!"),"",IF(OR(J717=0,AND(J717=1,K717=1),AND(J717=1,I717="SBJ"),AND(J717=1,I717=0)),"?IN_FOCUS",IF(J717&lt;=2,"?ACTIVATED",IF(J717&lt;&gt;"","?FAMILIAR",IF(F717="NEW",IF(ISNA(VLOOKUP(E717,#REF!,1,FALSE())),"?TYPE_IDENTIFIABLE","?REFERENTIAL"),"_")))))</f>
        <v/>
      </c>
      <c r="H717" s="13" t="str">
        <f aca="false">IF(J717&lt;&gt;1,"",IF(I717="SBJ","CB","?"))</f>
        <v/>
      </c>
      <c r="I717" s="14" t="str">
        <f aca="false">IF(OR(E717="",E717="!!!",F717="NEW"),"",INDEX(B$2:B716,-1+SUMPRODUCT(MAX(ROW(E$2:E716)*(E717=E$2:E716)))))</f>
        <v/>
      </c>
      <c r="J717" s="15" t="str">
        <f aca="true">IF(OR(E717="",E717="!!!",F717="NEW"),"",COUNTBLANK(OFFSET(A$1,,,SUMPRODUCT(MAX(ROW(E$2:E717)*(E717=E$2:E717)))))-COUNTBLANK(OFFSET(A$1,,,SUMPRODUCT(MAX(ROW(E$1:E716)*(E717=E$1:E716))))))</f>
        <v/>
      </c>
      <c r="K717" s="15" t="str">
        <f aca="false">IF(OR(E717="",E717="!!!",F717="NEW"),"",INDEX(J$1:J716,SUMPRODUCT(MAX(ROW(E$1:E716)*(E717=E$1:E716)))))</f>
        <v/>
      </c>
      <c r="L717" s="16"/>
    </row>
    <row r="718" customFormat="false" ht="12.75" hidden="false" customHeight="false" outlineLevel="0" collapsed="false">
      <c r="E718" s="10" t="str">
        <f aca="false">IF(D718="?OLD","!!!","")</f>
        <v/>
      </c>
      <c r="F718" s="11" t="str">
        <f aca="false">IF(OR(E718="",E718="!!!"),"",IF(NOT(ISNA(VLOOKUP(E718,E$1:E717,1,FALSE()))),"OLD",IF(AND(E718&lt;&gt;"",E718&lt;&gt;"!!!"),"NEW","")))</f>
        <v/>
      </c>
      <c r="G718" s="12" t="str">
        <f aca="false">IF(OR(E718="",E718="!!!"),"",IF(OR(J718=0,AND(J718=1,K718=1),AND(J718=1,I718="SBJ"),AND(J718=1,I718=0)),"?IN_FOCUS",IF(J718&lt;=2,"?ACTIVATED",IF(J718&lt;&gt;"","?FAMILIAR",IF(F718="NEW",IF(ISNA(VLOOKUP(E718,#REF!,1,FALSE())),"?TYPE_IDENTIFIABLE","?REFERENTIAL"),"_")))))</f>
        <v/>
      </c>
      <c r="H718" s="13" t="str">
        <f aca="false">IF(J718&lt;&gt;1,"",IF(I718="SBJ","CB","?"))</f>
        <v/>
      </c>
      <c r="I718" s="14" t="str">
        <f aca="false">IF(OR(E718="",E718="!!!",F718="NEW"),"",INDEX(B$2:B717,-1+SUMPRODUCT(MAX(ROW(E$2:E717)*(E718=E$2:E717)))))</f>
        <v/>
      </c>
      <c r="J718" s="15" t="str">
        <f aca="true">IF(OR(E718="",E718="!!!",F718="NEW"),"",COUNTBLANK(OFFSET(A$1,,,SUMPRODUCT(MAX(ROW(E$2:E718)*(E718=E$2:E718)))))-COUNTBLANK(OFFSET(A$1,,,SUMPRODUCT(MAX(ROW(E$1:E717)*(E718=E$1:E717))))))</f>
        <v/>
      </c>
      <c r="K718" s="15" t="str">
        <f aca="false">IF(OR(E718="",E718="!!!",F718="NEW"),"",INDEX(J$1:J717,SUMPRODUCT(MAX(ROW(E$1:E717)*(E718=E$1:E717)))))</f>
        <v/>
      </c>
      <c r="L718" s="16"/>
    </row>
    <row r="719" customFormat="false" ht="12.75" hidden="false" customHeight="false" outlineLevel="0" collapsed="false">
      <c r="A719" s="9" t="s">
        <v>400</v>
      </c>
      <c r="E719" s="10" t="str">
        <f aca="false">IF(D719="?OLD","!!!","")</f>
        <v/>
      </c>
      <c r="F719" s="11" t="str">
        <f aca="false">IF(OR(E719="",E719="!!!"),"",IF(NOT(ISNA(VLOOKUP(E719,E$1:E718,1,FALSE()))),"OLD",IF(AND(E719&lt;&gt;"",E719&lt;&gt;"!!!"),"NEW","")))</f>
        <v/>
      </c>
      <c r="G719" s="12" t="str">
        <f aca="false">IF(OR(E719="",E719="!!!"),"",IF(OR(J719=0,AND(J719=1,K719=1),AND(J719=1,I719="SBJ"),AND(J719=1,I719=0)),"?IN_FOCUS",IF(J719&lt;=2,"?ACTIVATED",IF(J719&lt;&gt;"","?FAMILIAR",IF(F719="NEW",IF(ISNA(VLOOKUP(E719,#REF!,1,FALSE())),"?TYPE_IDENTIFIABLE","?REFERENTIAL"),"_")))))</f>
        <v/>
      </c>
      <c r="H719" s="13" t="str">
        <f aca="false">IF(J719&lt;&gt;1,"",IF(I719="SBJ","CB","?"))</f>
        <v/>
      </c>
      <c r="I719" s="14" t="str">
        <f aca="false">IF(OR(E719="",E719="!!!",F719="NEW"),"",INDEX(B$2:B718,-1+SUMPRODUCT(MAX(ROW(E$2:E718)*(E719=E$2:E718)))))</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75" hidden="false" customHeight="false" outlineLevel="0" collapsed="false">
      <c r="A720" s="9" t="s">
        <v>214</v>
      </c>
      <c r="B720" s="0" t="s">
        <v>30</v>
      </c>
      <c r="C720" s="0" t="s">
        <v>31</v>
      </c>
      <c r="D720" s="0" t="s">
        <v>19</v>
      </c>
      <c r="E720" s="10" t="s">
        <v>187</v>
      </c>
      <c r="F720" s="11" t="str">
        <f aca="false">IF(OR(E720="",E720="!!!"),"",IF(NOT(ISNA(VLOOKUP(E720,E$1:E719,1,FALSE()))),"OLD",IF(AND(E720&lt;&gt;"",E720&lt;&gt;"!!!"),"NEW","")))</f>
        <v>OLD</v>
      </c>
      <c r="G720" s="12" t="s">
        <v>33</v>
      </c>
      <c r="H720" s="13" t="str">
        <f aca="false">IF(J720&lt;&gt;1,"",IF(I720="SBJ","CB","?"))</f>
        <v/>
      </c>
      <c r="I720" s="14" t="str">
        <f aca="false">IF(OR(E720="",E720="!!!",F720="NEW"),"",INDEX(B$2:B719,-1+SUMPRODUCT(MAX(ROW(E$2:E719)*(E720=E$2:E719)))))</f>
        <v>other_4</v>
      </c>
      <c r="J720" s="15" t="n">
        <f aca="true">IF(OR(E720="",E720="!!!",F720="NEW"),"",COUNTBLANK(OFFSET(A$1,,,SUMPRODUCT(MAX(ROW(E$2:E720)*(E720=E$2:E720)))))-COUNTBLANK(OFFSET(A$1,,,SUMPRODUCT(MAX(ROW(E$1:E719)*(E720=E$1:E719))))))</f>
        <v>2</v>
      </c>
      <c r="K720" s="15" t="n">
        <f aca="false">IF(OR(E720="",E720="!!!",F720="NEW"),"",INDEX(J$1:J719,SUMPRODUCT(MAX(ROW(E$1:E719)*(E720=E$1:E719)))))</f>
        <v>0</v>
      </c>
      <c r="L720" s="16"/>
    </row>
    <row r="721" customFormat="false" ht="12.75" hidden="false" customHeight="false" outlineLevel="0" collapsed="false">
      <c r="A721" s="9" t="s">
        <v>401</v>
      </c>
      <c r="E721" s="10" t="str">
        <f aca="false">IF(D721="?OLD","!!!","")</f>
        <v/>
      </c>
      <c r="F721" s="11" t="str">
        <f aca="false">IF(OR(E721="",E721="!!!"),"",IF(NOT(ISNA(VLOOKUP(E721,E$1:E720,1,FALSE()))),"OLD",IF(AND(E721&lt;&gt;"",E721&lt;&gt;"!!!"),"NEW","")))</f>
        <v/>
      </c>
      <c r="G721" s="12" t="str">
        <f aca="false">IF(OR(E721="",E721="!!!"),"",IF(OR(J721=0,AND(J721=1,K721=1),AND(J721=1,I721="SBJ"),AND(J721=1,I721=0)),"?IN_FOCUS",IF(J721&lt;=2,"?ACTIVATED",IF(J721&lt;&gt;"","?FAMILIAR",IF(F721="NEW",IF(ISNA(VLOOKUP(E721,#REF!,1,FALSE())),"?TYPE_IDENTIFIABLE","?REFERENTIAL"),"_")))))</f>
        <v/>
      </c>
      <c r="H721" s="13" t="str">
        <f aca="false">IF(J721&lt;&gt;1,"",IF(I721="SBJ","CB","?"))</f>
        <v/>
      </c>
      <c r="I721" s="14" t="str">
        <f aca="false">IF(OR(E721="",E721="!!!",F721="NEW"),"",INDEX(B$2:B720,-1+SUMPRODUCT(MAX(ROW(E$2:E720)*(E721=E$2:E720)))))</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75" hidden="false" customHeight="false" outlineLevel="0" collapsed="false">
      <c r="A722" s="9" t="s">
        <v>226</v>
      </c>
      <c r="E722" s="10" t="str">
        <f aca="false">IF(D722="?OLD","!!!","")</f>
        <v/>
      </c>
      <c r="F722" s="11" t="str">
        <f aca="false">IF(OR(E722="",E722="!!!"),"",IF(NOT(ISNA(VLOOKUP(E722,E$1:E721,1,FALSE()))),"OLD",IF(AND(E722&lt;&gt;"",E722&lt;&gt;"!!!"),"NEW","")))</f>
        <v/>
      </c>
      <c r="G722" s="12" t="str">
        <f aca="false">IF(OR(E722="",E722="!!!"),"",IF(OR(J722=0,AND(J722=1,K722=1),AND(J722=1,I722="SBJ"),AND(J722=1,I722=0)),"?IN_FOCUS",IF(J722&lt;=2,"?ACTIVATED",IF(J722&lt;&gt;"","?FAMILIAR",IF(F722="NEW",IF(ISNA(VLOOKUP(E722,#REF!,1,FALSE())),"?TYPE_IDENTIFIABLE","?REFERENTIAL"),"_")))))</f>
        <v/>
      </c>
      <c r="H722" s="13" t="str">
        <f aca="false">IF(J722&lt;&gt;1,"",IF(I722="SBJ","CB","?"))</f>
        <v/>
      </c>
      <c r="I722" s="14" t="str">
        <f aca="false">IF(OR(E722="",E722="!!!",F722="NEW"),"",INDEX(B$2:B721,-1+SUMPRODUCT(MAX(ROW(E$2:E721)*(E722=E$2:E721)))))</f>
        <v/>
      </c>
      <c r="J722" s="15" t="str">
        <f aca="true">IF(OR(E722="",E722="!!!",F722="NEW"),"",COUNTBLANK(OFFSET(A$1,,,SUMPRODUCT(MAX(ROW(E$2:E722)*(E722=E$2:E722)))))-COUNTBLANK(OFFSET(A$1,,,SUMPRODUCT(MAX(ROW(E$1:E721)*(E722=E$1:E721))))))</f>
        <v/>
      </c>
      <c r="K722" s="15" t="str">
        <f aca="false">IF(OR(E722="",E722="!!!",F722="NEW"),"",INDEX(J$1:J721,SUMPRODUCT(MAX(ROW(E$1:E721)*(E722=E$1:E721)))))</f>
        <v/>
      </c>
      <c r="L722" s="16"/>
    </row>
    <row r="723" customFormat="false" ht="12.75" hidden="false" customHeight="false" outlineLevel="0" collapsed="false">
      <c r="A723" s="9" t="s">
        <v>78</v>
      </c>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IF(OR(E723="",E723="!!!",F723="NEW"),"",INDEX(B$2:B722,-1+SUMPRODUCT(MAX(ROW(E$2:E722)*(E723=E$2:E722)))))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75" hidden="false" customHeight="false" outlineLevel="0" collapsed="false">
      <c r="A724" s="9" t="s">
        <v>402</v>
      </c>
      <c r="B724" s="0" t="s">
        <v>40</v>
      </c>
      <c r="C724" s="0" t="s">
        <v>31</v>
      </c>
      <c r="D724" s="0" t="s">
        <v>19</v>
      </c>
      <c r="E724" s="10" t="s">
        <v>367</v>
      </c>
      <c r="F724" s="11" t="str">
        <f aca="false">IF(OR(E724="",E724="!!!"),"",IF(NOT(ISNA(VLOOKUP(E724,E$1:E723,1,FALSE()))),"OLD",IF(AND(E724&lt;&gt;"",E724&lt;&gt;"!!!"),"NEW","")))</f>
        <v>OLD</v>
      </c>
      <c r="G724" s="12" t="s">
        <v>33</v>
      </c>
      <c r="H724" s="13" t="str">
        <f aca="false">IF(J724&lt;&gt;1,"",IF(I724="SBJ","CB","?"))</f>
        <v/>
      </c>
      <c r="I724" s="14" t="str">
        <f aca="false">IF(OR(E724="",E724="!!!",F724="NEW"),"",INDEX(B$2:B723,-1+SUMPRODUCT(MAX(ROW(E$2:E723)*(E724=E$2:E723)))))</f>
        <v>other_4</v>
      </c>
      <c r="J724" s="15" t="n">
        <f aca="true">IF(OR(E724="",E724="!!!",F724="NEW"),"",COUNTBLANK(OFFSET(A$1,,,SUMPRODUCT(MAX(ROW(E$2:E724)*(E724=E$2:E724)))))-COUNTBLANK(OFFSET(A$1,,,SUMPRODUCT(MAX(ROW(E$1:E723)*(E724=E$1:E723))))))</f>
        <v>2</v>
      </c>
      <c r="K724" s="15" t="n">
        <f aca="false">IF(OR(E724="",E724="!!!",F724="NEW"),"",INDEX(J$1:J723,SUMPRODUCT(MAX(ROW(E$1:E723)*(E724=E$1:E723)))))</f>
        <v>0</v>
      </c>
      <c r="L724" s="16"/>
    </row>
    <row r="725" customFormat="false" ht="12.75" hidden="false" customHeight="false" outlineLevel="0" collapsed="false">
      <c r="A725" s="9" t="s">
        <v>15</v>
      </c>
      <c r="E725" s="10" t="str">
        <f aca="false">IF(D725="?OLD","!!!","")</f>
        <v/>
      </c>
      <c r="F725" s="11" t="str">
        <f aca="false">IF(OR(E725="",E725="!!!"),"",IF(NOT(ISNA(VLOOKUP(E725,E$1:E724,1,FALSE()))),"OLD",IF(AND(E725&lt;&gt;"",E725&lt;&gt;"!!!"),"NEW","")))</f>
        <v/>
      </c>
      <c r="G725" s="12" t="str">
        <f aca="false">IF(OR(E725="",E725="!!!"),"",IF(OR(J725=0,AND(J725=1,K725=1),AND(J725=1,I725="SBJ"),AND(J725=1,I725=0)),"?IN_FOCUS",IF(J725&lt;=2,"?ACTIVATED",IF(J725&lt;&gt;"","?FAMILIAR",IF(F725="NEW",IF(ISNA(VLOOKUP(E725,#REF!,1,FALSE())),"?TYPE_IDENTIFIABLE","?REFERENTIAL"),"_")))))</f>
        <v/>
      </c>
      <c r="H725" s="13" t="str">
        <f aca="false">IF(J725&lt;&gt;1,"",IF(I725="SBJ","CB","?"))</f>
        <v/>
      </c>
      <c r="I725" s="14" t="str">
        <f aca="false">IF(OR(E725="",E725="!!!",F725="NEW"),"",INDEX(B$2:B724,-1+SUMPRODUCT(MAX(ROW(E$2:E724)*(E725=E$2:E724)))))</f>
        <v/>
      </c>
      <c r="J725" s="15" t="str">
        <f aca="true">IF(OR(E725="",E725="!!!",F725="NEW"),"",COUNTBLANK(OFFSET(A$1,,,SUMPRODUCT(MAX(ROW(E$2:E725)*(E725=E$2:E725)))))-COUNTBLANK(OFFSET(A$1,,,SUMPRODUCT(MAX(ROW(E$1:E724)*(E725=E$1:E724))))))</f>
        <v/>
      </c>
      <c r="K725" s="15" t="str">
        <f aca="false">IF(OR(E725="",E725="!!!",F725="NEW"),"",INDEX(J$1:J724,SUMPRODUCT(MAX(ROW(E$1:E724)*(E725=E$1:E724)))))</f>
        <v/>
      </c>
      <c r="L725" s="16"/>
    </row>
    <row r="726" customFormat="false" ht="12.75" hidden="false" customHeight="false" outlineLevel="0" collapsed="false">
      <c r="A726" s="9" t="s">
        <v>403</v>
      </c>
      <c r="B726" s="0" t="s">
        <v>152</v>
      </c>
      <c r="C726" s="0" t="s">
        <v>18</v>
      </c>
      <c r="D726" s="0" t="s">
        <v>19</v>
      </c>
      <c r="E726" s="10" t="s">
        <v>404</v>
      </c>
      <c r="F726" s="11" t="str">
        <f aca="false">IF(OR(E726="",E726="!!!"),"",IF(NOT(ISNA(VLOOKUP(E726,E$1:E725,1,FALSE()))),"OLD",IF(AND(E726&lt;&gt;"",E726&lt;&gt;"!!!"),"NEW","")))</f>
        <v>NEW</v>
      </c>
      <c r="G726" s="12" t="s">
        <v>21</v>
      </c>
      <c r="H726" s="13" t="str">
        <f aca="false">IF(J726&lt;&gt;1,"",IF(I726="SBJ","CB","?"))</f>
        <v/>
      </c>
      <c r="I726" s="14" t="str">
        <f aca="false">IF(OR(E726="",E726="!!!",F726="NEW"),"",INDEX(B$2:B725,-1+SUMPRODUCT(MAX(ROW(E$2:E725)*(E726=E$2:E725)))))</f>
        <v/>
      </c>
      <c r="J726" s="15" t="str">
        <f aca="true">IF(OR(E726="",E726="!!!",F726="NEW"),"",COUNTBLANK(OFFSET(A$1,,,SUMPRODUCT(MAX(ROW(E$2:E726)*(E726=E$2:E726)))))-COUNTBLANK(OFFSET(A$1,,,SUMPRODUCT(MAX(ROW(E$1:E725)*(E726=E$1:E725))))))</f>
        <v/>
      </c>
      <c r="K726" s="15" t="str">
        <f aca="false">IF(OR(E726="",E726="!!!",F726="NEW"),"",INDEX(J$1:J725,SUMPRODUCT(MAX(ROW(E$1:E725)*(E726=E$1:E725)))))</f>
        <v/>
      </c>
      <c r="L726" s="16"/>
    </row>
    <row r="727" customFormat="false" ht="12.75" hidden="false" customHeight="false" outlineLevel="0" collapsed="false">
      <c r="A727" s="9" t="s">
        <v>22</v>
      </c>
      <c r="E727" s="10" t="str">
        <f aca="false">IF(D727="?OLD","!!!","")</f>
        <v/>
      </c>
      <c r="F727" s="11" t="str">
        <f aca="false">IF(OR(E727="",E727="!!!"),"",IF(NOT(ISNA(VLOOKUP(E727,E$1:E726,1,FALSE()))),"OLD",IF(AND(E727&lt;&gt;"",E727&lt;&gt;"!!!"),"NEW","")))</f>
        <v/>
      </c>
      <c r="G727" s="12" t="str">
        <f aca="false">IF(OR(E727="",E727="!!!"),"",IF(OR(J727=0,AND(J727=1,K727=1),AND(J727=1,I727="SBJ"),AND(J727=1,I727=0)),"?IN_FOCUS",IF(J727&lt;=2,"?ACTIVATED",IF(J727&lt;&gt;"","?FAMILIAR",IF(F727="NEW",IF(ISNA(VLOOKUP(E727,#REF!,1,FALSE())),"?TYPE_IDENTIFIABLE","?REFERENTIAL"),"_")))))</f>
        <v/>
      </c>
      <c r="H727" s="13" t="str">
        <f aca="false">IF(J727&lt;&gt;1,"",IF(I727="SBJ","CB","?"))</f>
        <v/>
      </c>
      <c r="I727" s="14" t="str">
        <f aca="false">IF(OR(E727="",E727="!!!",F727="NEW"),"",INDEX(B$2:B726,-1+SUMPRODUCT(MAX(ROW(E$2:E726)*(E727=E$2:E726)))))</f>
        <v/>
      </c>
      <c r="J727" s="15" t="str">
        <f aca="true">IF(OR(E727="",E727="!!!",F727="NEW"),"",COUNTBLANK(OFFSET(A$1,,,SUMPRODUCT(MAX(ROW(E$2:E727)*(E727=E$2:E727)))))-COUNTBLANK(OFFSET(A$1,,,SUMPRODUCT(MAX(ROW(E$1:E726)*(E727=E$1:E726))))))</f>
        <v/>
      </c>
      <c r="K727" s="15" t="str">
        <f aca="false">IF(OR(E727="",E727="!!!",F727="NEW"),"",INDEX(J$1:J726,SUMPRODUCT(MAX(ROW(E$1:E726)*(E727=E$1:E726)))))</f>
        <v/>
      </c>
      <c r="L727" s="16"/>
    </row>
    <row r="728" customFormat="false" ht="12.75" hidden="false" customHeight="false" outlineLevel="0" collapsed="false">
      <c r="A728" s="9" t="s">
        <v>405</v>
      </c>
      <c r="B728" s="0" t="s">
        <v>75</v>
      </c>
      <c r="C728" s="0" t="s">
        <v>25</v>
      </c>
      <c r="E728" s="10" t="str">
        <f aca="false">IF(D728="?OLD","!!!","")</f>
        <v/>
      </c>
      <c r="F728" s="11" t="str">
        <f aca="false">IF(OR(E728="",E728="!!!"),"",IF(NOT(ISNA(VLOOKUP(E728,E$1:E727,1,FALSE()))),"OLD",IF(AND(E728&lt;&gt;"",E728&lt;&gt;"!!!"),"NEW","")))</f>
        <v/>
      </c>
      <c r="G728" s="12" t="str">
        <f aca="false">IF(OR(E728="",E728="!!!"),"",IF(OR(J728=0,AND(J728=1,K728=1),AND(J728=1,I728="SBJ"),AND(J728=1,I728=0)),"?IN_FOCUS",IF(J728&lt;=2,"?ACTIVATED",IF(J728&lt;&gt;"","?FAMILIAR",IF(F728="NEW",IF(ISNA(VLOOKUP(E728,#REF!,1,FALSE())),"?TYPE_IDENTIFIABLE","?REFERENTIAL"),"_")))))</f>
        <v/>
      </c>
      <c r="H728" s="13" t="str">
        <f aca="false">IF(J728&lt;&gt;1,"",IF(I728="SBJ","CB","?"))</f>
        <v/>
      </c>
      <c r="I728" s="14" t="str">
        <f aca="false">IF(OR(E728="",E728="!!!",F728="NEW"),"",INDEX(B$2:B727,-1+SUMPRODUCT(MAX(ROW(E$2:E727)*(E728=E$2:E727)))))</f>
        <v/>
      </c>
      <c r="J728" s="15" t="str">
        <f aca="true">IF(OR(E728="",E728="!!!",F728="NEW"),"",COUNTBLANK(OFFSET(A$1,,,SUMPRODUCT(MAX(ROW(E$2:E728)*(E728=E$2:E728)))))-COUNTBLANK(OFFSET(A$1,,,SUMPRODUCT(MAX(ROW(E$1:E727)*(E728=E$1:E727))))))</f>
        <v/>
      </c>
      <c r="K728" s="15" t="str">
        <f aca="false">IF(OR(E728="",E728="!!!",F728="NEW"),"",INDEX(J$1:J727,SUMPRODUCT(MAX(ROW(E$1:E727)*(E728=E$1:E727)))))</f>
        <v/>
      </c>
      <c r="L728" s="16"/>
    </row>
    <row r="729" customFormat="false" ht="12.75" hidden="false" customHeight="false" outlineLevel="0" collapsed="false">
      <c r="A729" s="9" t="s">
        <v>44</v>
      </c>
      <c r="E729" s="10" t="str">
        <f aca="false">IF(D729="?OLD","!!!","")</f>
        <v/>
      </c>
      <c r="F729" s="11" t="str">
        <f aca="false">IF(OR(E729="",E729="!!!"),"",IF(NOT(ISNA(VLOOKUP(E729,E$1:E728,1,FALSE()))),"OLD",IF(AND(E729&lt;&gt;"",E729&lt;&gt;"!!!"),"NEW","")))</f>
        <v/>
      </c>
      <c r="G729" s="12" t="str">
        <f aca="false">IF(OR(E729="",E729="!!!"),"",IF(OR(J729=0,AND(J729=1,K729=1),AND(J729=1,I729="SBJ"),AND(J729=1,I729=0)),"?IN_FOCUS",IF(J729&lt;=2,"?ACTIVATED",IF(J729&lt;&gt;"","?FAMILIAR",IF(F729="NEW",IF(ISNA(VLOOKUP(E729,#REF!,1,FALSE())),"?TYPE_IDENTIFIABLE","?REFERENTIAL"),"_")))))</f>
        <v/>
      </c>
      <c r="H729" s="13" t="str">
        <f aca="false">IF(J729&lt;&gt;1,"",IF(I729="SBJ","CB","?"))</f>
        <v/>
      </c>
      <c r="I729" s="14" t="str">
        <f aca="false">IF(OR(E729="",E729="!!!",F729="NEW"),"",INDEX(B$2:B728,-1+SUMPRODUCT(MAX(ROW(E$2:E728)*(E729=E$2:E728)))))</f>
        <v/>
      </c>
      <c r="J729" s="15" t="str">
        <f aca="true">IF(OR(E729="",E729="!!!",F729="NEW"),"",COUNTBLANK(OFFSET(A$1,,,SUMPRODUCT(MAX(ROW(E$2:E729)*(E729=E$2:E729)))))-COUNTBLANK(OFFSET(A$1,,,SUMPRODUCT(MAX(ROW(E$1:E728)*(E729=E$1:E728))))))</f>
        <v/>
      </c>
      <c r="K729" s="15" t="str">
        <f aca="false">IF(OR(E729="",E729="!!!",F729="NEW"),"",INDEX(J$1:J728,SUMPRODUCT(MAX(ROW(E$1:E728)*(E729=E$1:E728)))))</f>
        <v/>
      </c>
      <c r="L729" s="16"/>
    </row>
    <row r="730" customFormat="false" ht="12.75" hidden="false" customHeight="false" outlineLevel="0" collapsed="false">
      <c r="E730" s="10" t="str">
        <f aca="false">IF(D730="?OLD","!!!","")</f>
        <v/>
      </c>
      <c r="F730" s="11" t="str">
        <f aca="false">IF(OR(E730="",E730="!!!"),"",IF(NOT(ISNA(VLOOKUP(E730,E$1:E729,1,FALSE()))),"OLD",IF(AND(E730&lt;&gt;"",E730&lt;&gt;"!!!"),"NEW","")))</f>
        <v/>
      </c>
      <c r="G730" s="12" t="str">
        <f aca="false">IF(OR(E730="",E730="!!!"),"",IF(OR(J730=0,AND(J730=1,K730=1),AND(J730=1,I730="SBJ"),AND(J730=1,I730=0)),"?IN_FOCUS",IF(J730&lt;=2,"?ACTIVATED",IF(J730&lt;&gt;"","?FAMILIAR",IF(F730="NEW",IF(ISNA(VLOOKUP(E730,#REF!,1,FALSE())),"?TYPE_IDENTIFIABLE","?REFERENTIAL"),"_")))))</f>
        <v/>
      </c>
      <c r="H730" s="13" t="str">
        <f aca="false">IF(J730&lt;&gt;1,"",IF(I730="SBJ","CB","?"))</f>
        <v/>
      </c>
      <c r="I730" s="14" t="str">
        <f aca="false">IF(OR(E730="",E730="!!!",F730="NEW"),"",INDEX(B$2:B729,-1+SUMPRODUCT(MAX(ROW(E$2:E729)*(E730=E$2:E729)))))</f>
        <v/>
      </c>
      <c r="J730" s="15" t="str">
        <f aca="true">IF(OR(E730="",E730="!!!",F730="NEW"),"",COUNTBLANK(OFFSET(A$1,,,SUMPRODUCT(MAX(ROW(E$2:E730)*(E730=E$2:E730)))))-COUNTBLANK(OFFSET(A$1,,,SUMPRODUCT(MAX(ROW(E$1:E729)*(E730=E$1:E729))))))</f>
        <v/>
      </c>
      <c r="K730" s="15" t="str">
        <f aca="false">IF(OR(E730="",E730="!!!",F730="NEW"),"",INDEX(J$1:J729,SUMPRODUCT(MAX(ROW(E$1:E729)*(E730=E$1:E729)))))</f>
        <v/>
      </c>
      <c r="L730" s="16"/>
    </row>
    <row r="731" customFormat="false" ht="12.75" hidden="false" customHeight="false" outlineLevel="0" collapsed="false">
      <c r="A731" s="9" t="s">
        <v>406</v>
      </c>
      <c r="E731" s="10" t="str">
        <f aca="false">IF(D731="?OLD","!!!","")</f>
        <v/>
      </c>
      <c r="F731" s="11" t="str">
        <f aca="false">IF(OR(E731="",E731="!!!"),"",IF(NOT(ISNA(VLOOKUP(E731,E$1:E730,1,FALSE()))),"OLD",IF(AND(E731&lt;&gt;"",E731&lt;&gt;"!!!"),"NEW","")))</f>
        <v/>
      </c>
      <c r="G731" s="12" t="str">
        <f aca="false">IF(OR(E731="",E731="!!!"),"",IF(OR(J731=0,AND(J731=1,K731=1),AND(J731=1,I731="SBJ"),AND(J731=1,I731=0)),"?IN_FOCUS",IF(J731&lt;=2,"?ACTIVATED",IF(J731&lt;&gt;"","?FAMILIAR",IF(F731="NEW",IF(ISNA(VLOOKUP(E731,#REF!,1,FALSE())),"?TYPE_IDENTIFIABLE","?REFERENTIAL"),"_")))))</f>
        <v/>
      </c>
      <c r="H731" s="13" t="str">
        <f aca="false">IF(J731&lt;&gt;1,"",IF(I731="SBJ","CB","?"))</f>
        <v/>
      </c>
      <c r="I731" s="14" t="str">
        <f aca="false">IF(OR(E731="",E731="!!!",F731="NEW"),"",INDEX(B$2:B730,-1+SUMPRODUCT(MAX(ROW(E$2:E730)*(E731=E$2:E730)))))</f>
        <v/>
      </c>
      <c r="J731" s="15" t="str">
        <f aca="true">IF(OR(E731="",E731="!!!",F731="NEW"),"",COUNTBLANK(OFFSET(A$1,,,SUMPRODUCT(MAX(ROW(E$2:E731)*(E731=E$2:E731)))))-COUNTBLANK(OFFSET(A$1,,,SUMPRODUCT(MAX(ROW(E$1:E730)*(E731=E$1:E730))))))</f>
        <v/>
      </c>
      <c r="K731" s="15" t="str">
        <f aca="false">IF(OR(E731="",E731="!!!",F731="NEW"),"",INDEX(J$1:J730,SUMPRODUCT(MAX(ROW(E$1:E730)*(E731=E$1:E730)))))</f>
        <v/>
      </c>
      <c r="L731" s="16"/>
    </row>
    <row r="732" customFormat="false" ht="12.75" hidden="false" customHeight="false" outlineLevel="0" collapsed="false">
      <c r="A732" s="9" t="s">
        <v>214</v>
      </c>
      <c r="B732" s="0" t="s">
        <v>30</v>
      </c>
      <c r="C732" s="0" t="s">
        <v>31</v>
      </c>
      <c r="D732" s="0" t="s">
        <v>19</v>
      </c>
      <c r="E732" s="10" t="s">
        <v>187</v>
      </c>
      <c r="F732" s="11" t="str">
        <f aca="false">IF(OR(E732="",E732="!!!"),"",IF(NOT(ISNA(VLOOKUP(E732,E$1:E731,1,FALSE()))),"OLD",IF(AND(E732&lt;&gt;"",E732&lt;&gt;"!!!"),"NEW","")))</f>
        <v>OLD</v>
      </c>
      <c r="G732" s="12" t="s">
        <v>65</v>
      </c>
      <c r="H732" s="13" t="str">
        <f aca="false">IF(J732&lt;&gt;1,"",IF(I732="SBJ","CB","?"))</f>
        <v>CB</v>
      </c>
      <c r="I732" s="14" t="str">
        <f aca="false">IF(OR(E732="",E732="!!!",F732="NEW"),"",INDEX(B$2:B731,-1+SUMPRODUCT(MAX(ROW(E$2:E731)*(E732=E$2:E731)))))</f>
        <v>SBJ</v>
      </c>
      <c r="J732" s="15" t="n">
        <f aca="true">IF(OR(E732="",E732="!!!",F732="NEW"),"",COUNTBLANK(OFFSET(A$1,,,SUMPRODUCT(MAX(ROW(E$2:E732)*(E732=E$2:E732)))))-COUNTBLANK(OFFSET(A$1,,,SUMPRODUCT(MAX(ROW(E$1:E731)*(E732=E$1:E731))))))</f>
        <v>1</v>
      </c>
      <c r="K732" s="15" t="n">
        <f aca="false">IF(OR(E732="",E732="!!!",F732="NEW"),"",INDEX(J$1:J731,SUMPRODUCT(MAX(ROW(E$1:E731)*(E732=E$1:E731)))))</f>
        <v>2</v>
      </c>
      <c r="L732" s="16"/>
    </row>
    <row r="733" customFormat="false" ht="12.75" hidden="false" customHeight="false" outlineLevel="0" collapsed="false">
      <c r="A733" s="9" t="s">
        <v>253</v>
      </c>
      <c r="E733" s="10" t="str">
        <f aca="false">IF(D733="?OLD","!!!","")</f>
        <v/>
      </c>
      <c r="F733" s="11" t="str">
        <f aca="false">IF(OR(E733="",E733="!!!"),"",IF(NOT(ISNA(VLOOKUP(E733,E$1:E732,1,FALSE()))),"OLD",IF(AND(E733&lt;&gt;"",E733&lt;&gt;"!!!"),"NEW","")))</f>
        <v/>
      </c>
      <c r="G733" s="12" t="str">
        <f aca="false">IF(OR(E733="",E733="!!!"),"",IF(OR(J733=0,AND(J733=1,K733=1),AND(J733=1,I733="SBJ"),AND(J733=1,I733=0)),"?IN_FOCUS",IF(J733&lt;=2,"?ACTIVATED",IF(J733&lt;&gt;"","?FAMILIAR",IF(F733="NEW",IF(ISNA(VLOOKUP(E733,#REF!,1,FALSE())),"?TYPE_IDENTIFIABLE","?REFERENTIAL"),"_")))))</f>
        <v/>
      </c>
      <c r="H733" s="13" t="str">
        <f aca="false">IF(J733&lt;&gt;1,"",IF(I733="SBJ","CB","?"))</f>
        <v/>
      </c>
      <c r="I733" s="14" t="str">
        <f aca="false">IF(OR(E733="",E733="!!!",F733="NEW"),"",INDEX(B$2:B732,-1+SUMPRODUCT(MAX(ROW(E$2:E732)*(E733=E$2:E732)))))</f>
        <v/>
      </c>
      <c r="J733" s="15" t="str">
        <f aca="true">IF(OR(E733="",E733="!!!",F733="NEW"),"",COUNTBLANK(OFFSET(A$1,,,SUMPRODUCT(MAX(ROW(E$2:E733)*(E733=E$2:E733)))))-COUNTBLANK(OFFSET(A$1,,,SUMPRODUCT(MAX(ROW(E$1:E732)*(E733=E$1:E732))))))</f>
        <v/>
      </c>
      <c r="K733" s="15" t="str">
        <f aca="false">IF(OR(E733="",E733="!!!",F733="NEW"),"",INDEX(J$1:J732,SUMPRODUCT(MAX(ROW(E$1:E732)*(E733=E$1:E732)))))</f>
        <v/>
      </c>
      <c r="L733" s="16"/>
    </row>
    <row r="734" customFormat="false" ht="12.75" hidden="false" customHeight="false" outlineLevel="0" collapsed="false">
      <c r="A734" s="9" t="s">
        <v>407</v>
      </c>
      <c r="E734" s="10" t="str">
        <f aca="false">IF(D734="?OLD","!!!","")</f>
        <v/>
      </c>
      <c r="F734" s="11" t="str">
        <f aca="false">IF(OR(E734="",E734="!!!"),"",IF(NOT(ISNA(VLOOKUP(E734,E$1:E733,1,FALSE()))),"OLD",IF(AND(E734&lt;&gt;"",E734&lt;&gt;"!!!"),"NEW","")))</f>
        <v/>
      </c>
      <c r="G734" s="12" t="str">
        <f aca="false">IF(OR(E734="",E734="!!!"),"",IF(OR(J734=0,AND(J734=1,K734=1),AND(J734=1,I734="SBJ"),AND(J734=1,I734=0)),"?IN_FOCUS",IF(J734&lt;=2,"?ACTIVATED",IF(J734&lt;&gt;"","?FAMILIAR",IF(F734="NEW",IF(ISNA(VLOOKUP(E734,#REF!,1,FALSE())),"?TYPE_IDENTIFIABLE","?REFERENTIAL"),"_")))))</f>
        <v/>
      </c>
      <c r="H734" s="13"/>
      <c r="I734" s="14" t="str">
        <f aca="false">IF(OR(E734="",E734="!!!",F734="NEW"),"",INDEX(B$2:B733,-1+SUMPRODUCT(MAX(ROW(E$2:E733)*(E734=E$2:E733)))))</f>
        <v/>
      </c>
      <c r="J734" s="15" t="str">
        <f aca="true">IF(OR(E734="",E734="!!!",F734="NEW"),"",COUNTBLANK(OFFSET(A$1,,,SUMPRODUCT(MAX(ROW(E$2:E734)*(E734=E$2:E734)))))-COUNTBLANK(OFFSET(A$1,,,SUMPRODUCT(MAX(ROW(E$1:E733)*(E734=E$1:E733))))))</f>
        <v/>
      </c>
      <c r="K734" s="15" t="str">
        <f aca="false">IF(OR(E734="",E734="!!!",F734="NEW"),"",INDEX(J$1:J733,SUMPRODUCT(MAX(ROW(E$1:E733)*(E734=E$1:E733)))))</f>
        <v/>
      </c>
      <c r="L734" s="16"/>
    </row>
    <row r="735" customFormat="false" ht="12.75" hidden="false" customHeight="false" outlineLevel="0" collapsed="false">
      <c r="A735" s="9" t="s">
        <v>402</v>
      </c>
      <c r="B735" s="0" t="s">
        <v>152</v>
      </c>
      <c r="C735" s="0" t="s">
        <v>31</v>
      </c>
      <c r="D735" s="0" t="s">
        <v>19</v>
      </c>
      <c r="E735" s="10" t="s">
        <v>367</v>
      </c>
      <c r="F735" s="11" t="str">
        <f aca="false">IF(OR(E735="",E735="!!!"),"",IF(NOT(ISNA(VLOOKUP(E735,E$1:E734,1,FALSE()))),"OLD",IF(AND(E735&lt;&gt;"",E735&lt;&gt;"!!!"),"NEW","")))</f>
        <v>OLD</v>
      </c>
      <c r="G735" s="12" t="s">
        <v>33</v>
      </c>
      <c r="H735" s="13"/>
      <c r="I735" s="14" t="str">
        <f aca="false">IF(OR(E735="",E735="!!!",F735="NEW"),"",INDEX(B$2:B734,-1+SUMPRODUCT(MAX(ROW(E$2:E734)*(E735=E$2:E734)))))</f>
        <v>other</v>
      </c>
      <c r="J735" s="15" t="n">
        <f aca="true">IF(OR(E735="",E735="!!!",F735="NEW"),"",COUNTBLANK(OFFSET(A$1,,,SUMPRODUCT(MAX(ROW(E$2:E735)*(E735=E$2:E735)))))-COUNTBLANK(OFFSET(A$1,,,SUMPRODUCT(MAX(ROW(E$1:E734)*(E735=E$1:E734))))))</f>
        <v>1</v>
      </c>
      <c r="K735" s="15" t="n">
        <f aca="false">IF(OR(E735="",E735="!!!",F735="NEW"),"",INDEX(J$1:J734,SUMPRODUCT(MAX(ROW(E$1:E734)*(E735=E$1:E734)))))</f>
        <v>2</v>
      </c>
      <c r="L735" s="16"/>
    </row>
    <row r="736" customFormat="false" ht="12.75" hidden="false" customHeight="false" outlineLevel="0" collapsed="false">
      <c r="A736" s="9" t="s">
        <v>408</v>
      </c>
      <c r="E736" s="10" t="str">
        <f aca="false">IF(D736="?OLD","!!!","")</f>
        <v/>
      </c>
      <c r="F736" s="11" t="str">
        <f aca="false">IF(OR(E736="",E736="!!!"),"",IF(NOT(ISNA(VLOOKUP(E736,E$1:E735,1,FALSE()))),"OLD",IF(AND(E736&lt;&gt;"",E736&lt;&gt;"!!!"),"NEW","")))</f>
        <v/>
      </c>
      <c r="G736" s="12" t="str">
        <f aca="false">IF(OR(E736="",E736="!!!"),"",IF(OR(J736=0,AND(J736=1,K736=1),AND(J736=1,I736="SBJ"),AND(J736=1,I736=0)),"?IN_FOCUS",IF(J736&lt;=2,"?ACTIVATED",IF(J736&lt;&gt;"","?FAMILIAR",IF(F736="NEW",IF(ISNA(VLOOKUP(E736,#REF!,1,FALSE())),"?TYPE_IDENTIFIABLE","?REFERENTIAL"),"_")))))</f>
        <v/>
      </c>
      <c r="H736" s="13" t="str">
        <f aca="false">IF(J736&lt;&gt;1,"",IF(I736="SBJ","CB","?"))</f>
        <v/>
      </c>
      <c r="I736" s="14" t="str">
        <f aca="false">IF(OR(E736="",E736="!!!",F736="NEW"),"",INDEX(B$2:B735,-1+SUMPRODUCT(MAX(ROW(E$2:E735)*(E736=E$2:E735)))))</f>
        <v/>
      </c>
      <c r="J736" s="15" t="str">
        <f aca="true">IF(OR(E736="",E736="!!!",F736="NEW"),"",COUNTBLANK(OFFSET(A$1,,,SUMPRODUCT(MAX(ROW(E$2:E736)*(E736=E$2:E736)))))-COUNTBLANK(OFFSET(A$1,,,SUMPRODUCT(MAX(ROW(E$1:E735)*(E736=E$1:E735))))))</f>
        <v/>
      </c>
      <c r="K736" s="15" t="str">
        <f aca="false">IF(OR(E736="",E736="!!!",F736="NEW"),"",INDEX(J$1:J735,SUMPRODUCT(MAX(ROW(E$1:E735)*(E736=E$1:E735)))))</f>
        <v/>
      </c>
      <c r="L736" s="16"/>
    </row>
    <row r="737" customFormat="false" ht="12.75" hidden="false" customHeight="false" outlineLevel="0" collapsed="false">
      <c r="A737" s="9" t="s">
        <v>22</v>
      </c>
      <c r="E737" s="10" t="str">
        <f aca="false">IF(D737="?OLD","!!!","")</f>
        <v/>
      </c>
      <c r="F737" s="11" t="str">
        <f aca="false">IF(OR(E737="",E737="!!!"),"",IF(NOT(ISNA(VLOOKUP(E737,E$1:E736,1,FALSE()))),"OLD",IF(AND(E737&lt;&gt;"",E737&lt;&gt;"!!!"),"NEW","")))</f>
        <v/>
      </c>
      <c r="G737" s="12" t="str">
        <f aca="false">IF(OR(E737="",E737="!!!"),"",IF(OR(J737=0,AND(J737=1,K737=1),AND(J737=1,I737="SBJ"),AND(J737=1,I737=0)),"?IN_FOCUS",IF(J737&lt;=2,"?ACTIVATED",IF(J737&lt;&gt;"","?FAMILIAR",IF(F737="NEW",IF(ISNA(VLOOKUP(E737,#REF!,1,FALSE())),"?TYPE_IDENTIFIABLE","?REFERENTIAL"),"_")))))</f>
        <v/>
      </c>
      <c r="H737" s="13" t="str">
        <f aca="false">IF(J737&lt;&gt;1,"",IF(I737="SBJ","CB","?"))</f>
        <v/>
      </c>
      <c r="I737" s="14" t="str">
        <f aca="false">IF(OR(E737="",E737="!!!",F737="NEW"),"",INDEX(B$2:B736,-1+SUMPRODUCT(MAX(ROW(E$2:E736)*(E737=E$2:E736)))))</f>
        <v/>
      </c>
      <c r="J737" s="15" t="str">
        <f aca="true">IF(OR(E737="",E737="!!!",F737="NEW"),"",COUNTBLANK(OFFSET(A$1,,,SUMPRODUCT(MAX(ROW(E$2:E737)*(E737=E$2:E737)))))-COUNTBLANK(OFFSET(A$1,,,SUMPRODUCT(MAX(ROW(E$1:E736)*(E737=E$1:E736))))))</f>
        <v/>
      </c>
      <c r="K737" s="15" t="str">
        <f aca="false">IF(OR(E737="",E737="!!!",F737="NEW"),"",INDEX(J$1:J736,SUMPRODUCT(MAX(ROW(E$1:E736)*(E737=E$1:E736)))))</f>
        <v/>
      </c>
      <c r="L737" s="16"/>
    </row>
    <row r="738" customFormat="false" ht="12.75" hidden="false" customHeight="false" outlineLevel="0" collapsed="false">
      <c r="A738" s="9" t="s">
        <v>409</v>
      </c>
      <c r="B738" s="0" t="s">
        <v>75</v>
      </c>
      <c r="C738" s="0" t="s">
        <v>25</v>
      </c>
      <c r="E738" s="10" t="str">
        <f aca="false">IF(D738="?OLD","!!!","")</f>
        <v/>
      </c>
      <c r="F738" s="11" t="str">
        <f aca="false">IF(OR(E738="",E738="!!!"),"",IF(NOT(ISNA(VLOOKUP(E738,E$1:E737,1,FALSE()))),"OLD",IF(AND(E738&lt;&gt;"",E738&lt;&gt;"!!!"),"NEW","")))</f>
        <v/>
      </c>
      <c r="G738" s="12" t="str">
        <f aca="false">IF(OR(E738="",E738="!!!"),"",IF(OR(J738=0,AND(J738=1,K738=1),AND(J738=1,I738="SBJ"),AND(J738=1,I738=0)),"?IN_FOCUS",IF(J738&lt;=2,"?ACTIVATED",IF(J738&lt;&gt;"","?FAMILIAR",IF(F738="NEW",IF(ISNA(VLOOKUP(E738,#REF!,1,FALSE())),"?TYPE_IDENTIFIABLE","?REFERENTIAL"),"_")))))</f>
        <v/>
      </c>
      <c r="H738" s="13" t="str">
        <f aca="false">IF(J738&lt;&gt;1,"",IF(I738="SBJ","CB","?"))</f>
        <v/>
      </c>
      <c r="I738" s="14" t="str">
        <f aca="false">IF(OR(E738="",E738="!!!",F738="NEW"),"",INDEX(B$2:B737,-1+SUMPRODUCT(MAX(ROW(E$2:E737)*(E738=E$2:E737)))))</f>
        <v/>
      </c>
      <c r="J738" s="15" t="str">
        <f aca="true">IF(OR(E738="",E738="!!!",F738="NEW"),"",COUNTBLANK(OFFSET(A$1,,,SUMPRODUCT(MAX(ROW(E$2:E738)*(E738=E$2:E738)))))-COUNTBLANK(OFFSET(A$1,,,SUMPRODUCT(MAX(ROW(E$1:E737)*(E738=E$1:E737))))))</f>
        <v/>
      </c>
      <c r="K738" s="15" t="str">
        <f aca="false">IF(OR(E738="",E738="!!!",F738="NEW"),"",INDEX(J$1:J737,SUMPRODUCT(MAX(ROW(E$1:E737)*(E738=E$1:E737)))))</f>
        <v/>
      </c>
      <c r="L738" s="16"/>
    </row>
    <row r="739" customFormat="false" ht="12.75" hidden="false" customHeight="false" outlineLevel="0" collapsed="false">
      <c r="A739" s="9" t="s">
        <v>37</v>
      </c>
      <c r="E739" s="10" t="str">
        <f aca="false">IF(D739="?OLD","!!!","")</f>
        <v/>
      </c>
      <c r="F739" s="11" t="str">
        <f aca="false">IF(OR(E739="",E739="!!!"),"",IF(NOT(ISNA(VLOOKUP(E739,E$1:E738,1,FALSE()))),"OLD",IF(AND(E739&lt;&gt;"",E739&lt;&gt;"!!!"),"NEW","")))</f>
        <v/>
      </c>
      <c r="G739" s="12" t="str">
        <f aca="false">IF(OR(E739="",E739="!!!"),"",IF(OR(J739=0,AND(J739=1,K739=1),AND(J739=1,I739="SBJ"),AND(J739=1,I739=0)),"?IN_FOCUS",IF(J739&lt;=2,"?ACTIVATED",IF(J739&lt;&gt;"","?FAMILIAR",IF(F739="NEW",IF(ISNA(VLOOKUP(E739,#REF!,1,FALSE())),"?TYPE_IDENTIFIABLE","?REFERENTIAL"),"_")))))</f>
        <v/>
      </c>
      <c r="H739" s="13" t="str">
        <f aca="false">IF(J739&lt;&gt;1,"",IF(I739="SBJ","CB","?"))</f>
        <v/>
      </c>
      <c r="I739" s="14" t="str">
        <f aca="false">IF(OR(E739="",E739="!!!",F739="NEW"),"",INDEX(B$2:B738,-1+SUMPRODUCT(MAX(ROW(E$2:E738)*(E739=E$2:E738)))))</f>
        <v/>
      </c>
      <c r="J739" s="15" t="str">
        <f aca="true">IF(OR(E739="",E739="!!!",F739="NEW"),"",COUNTBLANK(OFFSET(A$1,,,SUMPRODUCT(MAX(ROW(E$2:E739)*(E739=E$2:E739)))))-COUNTBLANK(OFFSET(A$1,,,SUMPRODUCT(MAX(ROW(E$1:E738)*(E739=E$1:E738))))))</f>
        <v/>
      </c>
      <c r="K739" s="15" t="str">
        <f aca="false">IF(OR(E739="",E739="!!!",F739="NEW"),"",INDEX(J$1:J738,SUMPRODUCT(MAX(ROW(E$1:E738)*(E739=E$1:E738)))))</f>
        <v/>
      </c>
      <c r="L739" s="16"/>
    </row>
    <row r="740" customFormat="false" ht="12.75" hidden="false" customHeight="false" outlineLevel="0" collapsed="false">
      <c r="A740" s="9" t="s">
        <v>266</v>
      </c>
      <c r="B740" s="0" t="s">
        <v>62</v>
      </c>
      <c r="C740" s="0" t="s">
        <v>128</v>
      </c>
      <c r="D740" s="0" t="s">
        <v>19</v>
      </c>
      <c r="E740" s="10" t="s">
        <v>187</v>
      </c>
      <c r="F740" s="11" t="str">
        <f aca="false">IF(OR(E740="",E740="!!!"),"",IF(NOT(ISNA(VLOOKUP(E740,E$1:E739,1,FALSE()))),"OLD",IF(AND(E740&lt;&gt;"",E740&lt;&gt;"!!!"),"NEW","")))</f>
        <v>OLD</v>
      </c>
      <c r="G740" s="12" t="s">
        <v>65</v>
      </c>
      <c r="H740" s="13" t="str">
        <f aca="false">IF(J740&lt;&gt;1,"",IF(I740="SBJ","CB","?"))</f>
        <v/>
      </c>
      <c r="I740" s="14" t="str">
        <f aca="false">IF(OR(E740="",E740="!!!",F740="NEW"),"",INDEX(B$2:B739,-1+SUMPRODUCT(MAX(ROW(E$2:E739)*(E740=E$2:E739)))))</f>
        <v>SBJ</v>
      </c>
      <c r="J740" s="15" t="n">
        <f aca="true">IF(OR(E740="",E740="!!!",F740="NEW"),"",COUNTBLANK(OFFSET(A$1,,,SUMPRODUCT(MAX(ROW(E$2:E740)*(E740=E$2:E740)))))-COUNTBLANK(OFFSET(A$1,,,SUMPRODUCT(MAX(ROW(E$1:E739)*(E740=E$1:E739))))))</f>
        <v>0</v>
      </c>
      <c r="K740" s="15" t="n">
        <f aca="false">IF(OR(E740="",E740="!!!",F740="NEW"),"",INDEX(J$1:J739,SUMPRODUCT(MAX(ROW(E$1:E739)*(E740=E$1:E739)))))</f>
        <v>1</v>
      </c>
      <c r="L740" s="16"/>
    </row>
    <row r="741" customFormat="false" ht="12.75" hidden="false" customHeight="false" outlineLevel="0" collapsed="false">
      <c r="A741" s="9" t="s">
        <v>410</v>
      </c>
      <c r="B741" s="0" t="s">
        <v>24</v>
      </c>
      <c r="C741" s="0" t="s">
        <v>83</v>
      </c>
      <c r="D741" s="0" t="s">
        <v>19</v>
      </c>
      <c r="E741" s="10" t="s">
        <v>411</v>
      </c>
      <c r="F741" s="11" t="str">
        <f aca="false">IF(OR(E741="",E741="!!!"),"",IF(NOT(ISNA(VLOOKUP(E741,E$1:E740,1,FALSE()))),"OLD",IF(AND(E741&lt;&gt;"",E741&lt;&gt;"!!!"),"NEW","")))</f>
        <v>NEW</v>
      </c>
      <c r="G741" s="12" t="s">
        <v>21</v>
      </c>
      <c r="H741" s="13" t="str">
        <f aca="false">IF(J741&lt;&gt;1,"",IF(I741="SBJ","CB","?"))</f>
        <v/>
      </c>
      <c r="I741" s="14" t="str">
        <f aca="false">IF(OR(E741="",E741="!!!",F741="NEW"),"",INDEX(B$2:B740,-1+SUMPRODUCT(MAX(ROW(E$2:E740)*(E741=E$2:E740)))))</f>
        <v/>
      </c>
      <c r="J741" s="15" t="str">
        <f aca="true">IF(OR(E741="",E741="!!!",F741="NEW"),"",COUNTBLANK(OFFSET(A$1,,,SUMPRODUCT(MAX(ROW(E$2:E741)*(E741=E$2:E741)))))-COUNTBLANK(OFFSET(A$1,,,SUMPRODUCT(MAX(ROW(E$1:E740)*(E741=E$1:E740))))))</f>
        <v/>
      </c>
      <c r="K741" s="15" t="str">
        <f aca="false">IF(OR(E741="",E741="!!!",F741="NEW"),"",INDEX(J$1:J740,SUMPRODUCT(MAX(ROW(E$1:E740)*(E741=E$1:E740)))))</f>
        <v/>
      </c>
      <c r="L741" s="16"/>
    </row>
    <row r="742" customFormat="false" ht="12.75" hidden="false" customHeight="false" outlineLevel="0" collapsed="false">
      <c r="A742" s="9" t="s">
        <v>44</v>
      </c>
      <c r="E742" s="10" t="str">
        <f aca="false">IF(D742="?OLD","!!!","")</f>
        <v/>
      </c>
      <c r="F742" s="11" t="str">
        <f aca="false">IF(OR(E742="",E742="!!!"),"",IF(NOT(ISNA(VLOOKUP(E742,E$1:E741,1,FALSE()))),"OLD",IF(AND(E742&lt;&gt;"",E742&lt;&gt;"!!!"),"NEW","")))</f>
        <v/>
      </c>
      <c r="G742" s="12" t="str">
        <f aca="false">IF(OR(E742="",E742="!!!"),"",IF(OR(J742=0,AND(J742=1,K742=1),AND(J742=1,I742="SBJ"),AND(J742=1,I742=0)),"?IN_FOCUS",IF(J742&lt;=2,"?ACTIVATED",IF(J742&lt;&gt;"","?FAMILIAR",IF(F742="NEW",IF(ISNA(VLOOKUP(E742,#REF!,1,FALSE())),"?TYPE_IDENTIFIABLE","?REFERENTIAL"),"_")))))</f>
        <v/>
      </c>
      <c r="H742" s="13" t="str">
        <f aca="false">IF(J742&lt;&gt;1,"",IF(I742="SBJ","CB","?"))</f>
        <v/>
      </c>
      <c r="I742" s="14" t="str">
        <f aca="false">IF(OR(E742="",E742="!!!",F742="NEW"),"",INDEX(B$2:B741,-1+SUMPRODUCT(MAX(ROW(E$2:E741)*(E742=E$2:E741)))))</f>
        <v/>
      </c>
      <c r="J742" s="15" t="str">
        <f aca="true">IF(OR(E742="",E742="!!!",F742="NEW"),"",COUNTBLANK(OFFSET(A$1,,,SUMPRODUCT(MAX(ROW(E$2:E742)*(E742=E$2:E742)))))-COUNTBLANK(OFFSET(A$1,,,SUMPRODUCT(MAX(ROW(E$1:E741)*(E742=E$1:E741))))))</f>
        <v/>
      </c>
      <c r="K742" s="15" t="str">
        <f aca="false">IF(OR(E742="",E742="!!!",F742="NEW"),"",INDEX(J$1:J741,SUMPRODUCT(MAX(ROW(E$1:E741)*(E742=E$1:E741)))))</f>
        <v/>
      </c>
      <c r="L742" s="16"/>
    </row>
    <row r="743" customFormat="false" ht="12.75" hidden="false" customHeight="false" outlineLevel="0" collapsed="false">
      <c r="A743" s="9" t="s">
        <v>251</v>
      </c>
      <c r="E743" s="10" t="str">
        <f aca="false">IF(D743="?OLD","!!!","")</f>
        <v/>
      </c>
      <c r="F743" s="11" t="str">
        <f aca="false">IF(OR(E743="",E743="!!!"),"",IF(NOT(ISNA(VLOOKUP(E743,E$1:E742,1,FALSE()))),"OLD",IF(AND(E743&lt;&gt;"",E743&lt;&gt;"!!!"),"NEW","")))</f>
        <v/>
      </c>
      <c r="G743" s="12" t="str">
        <f aca="false">IF(OR(E743="",E743="!!!"),"",IF(OR(J743=0,AND(J743=1,K743=1),AND(J743=1,I743="SBJ"),AND(J743=1,I743=0)),"?IN_FOCUS",IF(J743&lt;=2,"?ACTIVATED",IF(J743&lt;&gt;"","?FAMILIAR",IF(F743="NEW",IF(ISNA(VLOOKUP(E743,#REF!,1,FALSE())),"?TYPE_IDENTIFIABLE","?REFERENTIAL"),"_")))))</f>
        <v/>
      </c>
      <c r="H743" s="13" t="str">
        <f aca="false">IF(J743&lt;&gt;1,"",IF(I743="SBJ","CB","?"))</f>
        <v/>
      </c>
      <c r="I743" s="14" t="str">
        <f aca="false">IF(OR(E743="",E743="!!!",F743="NEW"),"",INDEX(B$2:B742,-1+SUMPRODUCT(MAX(ROW(E$2:E742)*(E743=E$2:E742)))))</f>
        <v/>
      </c>
      <c r="J743" s="15" t="str">
        <f aca="true">IF(OR(E743="",E743="!!!",F743="NEW"),"",COUNTBLANK(OFFSET(A$1,,,SUMPRODUCT(MAX(ROW(E$2:E743)*(E743=E$2:E743)))))-COUNTBLANK(OFFSET(A$1,,,SUMPRODUCT(MAX(ROW(E$1:E742)*(E743=E$1:E742))))))</f>
        <v/>
      </c>
      <c r="K743" s="15" t="str">
        <f aca="false">IF(OR(E743="",E743="!!!",F743="NEW"),"",INDEX(J$1:J742,SUMPRODUCT(MAX(ROW(E$1:E742)*(E743=E$1:E742)))))</f>
        <v/>
      </c>
      <c r="L743" s="16"/>
    </row>
    <row r="744" customFormat="false" ht="12.75" hidden="false" customHeight="false" outlineLevel="0" collapsed="false">
      <c r="E744" s="10" t="str">
        <f aca="false">IF(D744="?OLD","!!!","")</f>
        <v/>
      </c>
      <c r="F744" s="11" t="str">
        <f aca="false">IF(OR(E744="",E744="!!!"),"",IF(NOT(ISNA(VLOOKUP(E744,E$1:E743,1,FALSE()))),"OLD",IF(AND(E744&lt;&gt;"",E744&lt;&gt;"!!!"),"NEW","")))</f>
        <v/>
      </c>
      <c r="G744" s="12" t="str">
        <f aca="false">IF(OR(E744="",E744="!!!"),"",IF(OR(J744=0,AND(J744=1,K744=1),AND(J744=1,I744="SBJ"),AND(J744=1,I744=0)),"?IN_FOCUS",IF(J744&lt;=2,"?ACTIVATED",IF(J744&lt;&gt;"","?FAMILIAR",IF(F744="NEW",IF(ISNA(VLOOKUP(E744,#REF!,1,FALSE())),"?TYPE_IDENTIFIABLE","?REFERENTIAL"),"_")))))</f>
        <v/>
      </c>
      <c r="H744" s="13" t="str">
        <f aca="false">IF(J744&lt;&gt;1,"",IF(I744="SBJ","CB","?"))</f>
        <v/>
      </c>
      <c r="I744" s="14" t="str">
        <f aca="false">IF(OR(E744="",E744="!!!",F744="NEW"),"",INDEX(B$2:B743,-1+SUMPRODUCT(MAX(ROW(E$2:E743)*(E744=E$2:E743)))))</f>
        <v/>
      </c>
      <c r="J744" s="15" t="str">
        <f aca="true">IF(OR(E744="",E744="!!!",F744="NEW"),"",COUNTBLANK(OFFSET(A$1,,,SUMPRODUCT(MAX(ROW(E$2:E744)*(E744=E$2:E744)))))-COUNTBLANK(OFFSET(A$1,,,SUMPRODUCT(MAX(ROW(E$1:E743)*(E744=E$1:E743))))))</f>
        <v/>
      </c>
      <c r="K744" s="15" t="str">
        <f aca="false">IF(OR(E744="",E744="!!!",F744="NEW"),"",INDEX(J$1:J743,SUMPRODUCT(MAX(ROW(E$1:E743)*(E744=E$1:E743)))))</f>
        <v/>
      </c>
      <c r="L744" s="16"/>
    </row>
    <row r="745" customFormat="false" ht="12.75" hidden="false" customHeight="false" outlineLevel="0" collapsed="false">
      <c r="A745" s="9" t="s">
        <v>132</v>
      </c>
      <c r="E745" s="10" t="str">
        <f aca="false">IF(D745="?OLD","!!!","")</f>
        <v/>
      </c>
      <c r="F745" s="11" t="str">
        <f aca="false">IF(OR(E745="",E745="!!!"),"",IF(NOT(ISNA(VLOOKUP(E745,E$1:E744,1,FALSE()))),"OLD",IF(AND(E745&lt;&gt;"",E745&lt;&gt;"!!!"),"NEW","")))</f>
        <v/>
      </c>
      <c r="G745" s="12" t="str">
        <f aca="false">IF(OR(E745="",E745="!!!"),"",IF(OR(J745=0,AND(J745=1,K745=1),AND(J745=1,I745="SBJ"),AND(J745=1,I745=0)),"?IN_FOCUS",IF(J745&lt;=2,"?ACTIVATED",IF(J745&lt;&gt;"","?FAMILIAR",IF(F745="NEW",IF(ISNA(VLOOKUP(E745,#REF!,1,FALSE())),"?TYPE_IDENTIFIABLE","?REFERENTIAL"),"_")))))</f>
        <v/>
      </c>
      <c r="H745" s="13" t="str">
        <f aca="false">IF(J745&lt;&gt;1,"",IF(I745="SBJ","CB","?"))</f>
        <v/>
      </c>
      <c r="I745" s="14" t="str">
        <f aca="false">IF(OR(E745="",E745="!!!",F745="NEW"),"",INDEX(B$2:B744,-1+SUMPRODUCT(MAX(ROW(E$2:E744)*(E745=E$2:E744)))))</f>
        <v/>
      </c>
      <c r="J745" s="15" t="str">
        <f aca="true">IF(OR(E745="",E745="!!!",F745="NEW"),"",COUNTBLANK(OFFSET(A$1,,,SUMPRODUCT(MAX(ROW(E$2:E745)*(E745=E$2:E745)))))-COUNTBLANK(OFFSET(A$1,,,SUMPRODUCT(MAX(ROW(E$1:E744)*(E745=E$1:E744))))))</f>
        <v/>
      </c>
      <c r="K745" s="15" t="str">
        <f aca="false">IF(OR(E745="",E745="!!!",F745="NEW"),"",INDEX(J$1:J744,SUMPRODUCT(MAX(ROW(E$1:E744)*(E745=E$1:E744)))))</f>
        <v/>
      </c>
      <c r="L745" s="16"/>
    </row>
    <row r="746" customFormat="false" ht="12.75" hidden="false" customHeight="false" outlineLevel="0" collapsed="false">
      <c r="A746" s="9" t="s">
        <v>412</v>
      </c>
      <c r="E746" s="10" t="str">
        <f aca="false">IF(D746="?OLD","!!!","")</f>
        <v/>
      </c>
      <c r="F746" s="11" t="str">
        <f aca="false">IF(OR(E746="",E746="!!!"),"",IF(NOT(ISNA(VLOOKUP(E746,E$1:E745,1,FALSE()))),"OLD",IF(AND(E746&lt;&gt;"",E746&lt;&gt;"!!!"),"NEW","")))</f>
        <v/>
      </c>
      <c r="G746" s="12" t="str">
        <f aca="false">IF(OR(E746="",E746="!!!"),"",IF(OR(J746=0,AND(J746=1,K746=1),AND(J746=1,I746="SBJ"),AND(J746=1,I746=0)),"?IN_FOCUS",IF(J746&lt;=2,"?ACTIVATED",IF(J746&lt;&gt;"","?FAMILIAR",IF(F746="NEW",IF(ISNA(VLOOKUP(E746,#REF!,1,FALSE())),"?TYPE_IDENTIFIABLE","?REFERENTIAL"),"_")))))</f>
        <v/>
      </c>
      <c r="H746" s="13" t="str">
        <f aca="false">IF(J746&lt;&gt;1,"",IF(I746="SBJ","CB","?"))</f>
        <v/>
      </c>
      <c r="I746" s="14" t="str">
        <f aca="false">IF(OR(E746="",E746="!!!",F746="NEW"),"",INDEX(B$2:B745,-1+SUMPRODUCT(MAX(ROW(E$2:E745)*(E746=E$2:E745)))))</f>
        <v/>
      </c>
      <c r="J746" s="15" t="str">
        <f aca="true">IF(OR(E746="",E746="!!!",F746="NEW"),"",COUNTBLANK(OFFSET(A$1,,,SUMPRODUCT(MAX(ROW(E$2:E746)*(E746=E$2:E746)))))-COUNTBLANK(OFFSET(A$1,,,SUMPRODUCT(MAX(ROW(E$1:E745)*(E746=E$1:E745))))))</f>
        <v/>
      </c>
      <c r="K746" s="15" t="str">
        <f aca="false">IF(OR(E746="",E746="!!!",F746="NEW"),"",INDEX(J$1:J745,SUMPRODUCT(MAX(ROW(E$1:E745)*(E746=E$1:E745)))))</f>
        <v/>
      </c>
      <c r="L746" s="16"/>
    </row>
    <row r="747" customFormat="false" ht="12.75" hidden="false" customHeight="false" outlineLevel="0" collapsed="false">
      <c r="A747" s="9" t="s">
        <v>138</v>
      </c>
      <c r="E747" s="10" t="str">
        <f aca="false">IF(D747="?OLD","!!!","")</f>
        <v/>
      </c>
      <c r="F747" s="11" t="str">
        <f aca="false">IF(OR(E747="",E747="!!!"),"",IF(NOT(ISNA(VLOOKUP(E747,E$1:E746,1,FALSE()))),"OLD",IF(AND(E747&lt;&gt;"",E747&lt;&gt;"!!!"),"NEW","")))</f>
        <v/>
      </c>
      <c r="G747" s="12" t="str">
        <f aca="false">IF(OR(E747="",E747="!!!"),"",IF(OR(J747=0,AND(J747=1,K747=1),AND(J747=1,I747="SBJ"),AND(J747=1,I747=0)),"?IN_FOCUS",IF(J747&lt;=2,"?ACTIVATED",IF(J747&lt;&gt;"","?FAMILIAR",IF(F747="NEW",IF(ISNA(VLOOKUP(E747,#REF!,1,FALSE())),"?TYPE_IDENTIFIABLE","?REFERENTIAL"),"_")))))</f>
        <v/>
      </c>
      <c r="H747" s="13" t="str">
        <f aca="false">IF(J747&lt;&gt;1,"",IF(I747="SBJ","CB","?"))</f>
        <v/>
      </c>
      <c r="I747" s="14" t="str">
        <f aca="false">IF(OR(E747="",E747="!!!",F747="NEW"),"",INDEX(B$2:B746,-1+SUMPRODUCT(MAX(ROW(E$2:E746)*(E747=E$2:E746)))))</f>
        <v/>
      </c>
      <c r="J747" s="15" t="str">
        <f aca="true">IF(OR(E747="",E747="!!!",F747="NEW"),"",COUNTBLANK(OFFSET(A$1,,,SUMPRODUCT(MAX(ROW(E$2:E747)*(E747=E$2:E747)))))-COUNTBLANK(OFFSET(A$1,,,SUMPRODUCT(MAX(ROW(E$1:E746)*(E747=E$1:E746))))))</f>
        <v/>
      </c>
      <c r="K747" s="15" t="str">
        <f aca="false">IF(OR(E747="",E747="!!!",F747="NEW"),"",INDEX(J$1:J746,SUMPRODUCT(MAX(ROW(E$1:E746)*(E747=E$1:E746)))))</f>
        <v/>
      </c>
      <c r="L747" s="16"/>
    </row>
    <row r="748" customFormat="false" ht="12.75" hidden="false" customHeight="false" outlineLevel="0" collapsed="false">
      <c r="A748" s="9" t="s">
        <v>413</v>
      </c>
      <c r="B748" s="0" t="s">
        <v>40</v>
      </c>
      <c r="C748" s="0" t="s">
        <v>25</v>
      </c>
      <c r="E748" s="10" t="str">
        <f aca="false">IF(D748="?OLD","!!!","")</f>
        <v/>
      </c>
      <c r="F748" s="11" t="str">
        <f aca="false">IF(OR(E748="",E748="!!!"),"",IF(NOT(ISNA(VLOOKUP(E748,E$1:E747,1,FALSE()))),"OLD",IF(AND(E748&lt;&gt;"",E748&lt;&gt;"!!!"),"NEW","")))</f>
        <v/>
      </c>
      <c r="G748" s="12" t="str">
        <f aca="false">IF(OR(E748="",E748="!!!"),"",IF(OR(J748=0,AND(J748=1,K748=1),AND(J748=1,I748="SBJ"),AND(J748=1,I748=0)),"?IN_FOCUS",IF(J748&lt;=2,"?ACTIVATED",IF(J748&lt;&gt;"","?FAMILIAR",IF(F748="NEW",IF(ISNA(VLOOKUP(E748,#REF!,1,FALSE())),"?TYPE_IDENTIFIABLE","?REFERENTIAL"),"_")))))</f>
        <v/>
      </c>
      <c r="H748" s="13" t="str">
        <f aca="false">IF(J748&lt;&gt;1,"",IF(I748="SBJ","CB","?"))</f>
        <v/>
      </c>
      <c r="I748" s="14" t="str">
        <f aca="false">IF(OR(E748="",E748="!!!",F748="NEW"),"",INDEX(B$2:B747,-1+SUMPRODUCT(MAX(ROW(E$2:E747)*(E748=E$2:E747)))))</f>
        <v/>
      </c>
      <c r="J748" s="15" t="str">
        <f aca="true">IF(OR(E748="",E748="!!!",F748="NEW"),"",COUNTBLANK(OFFSET(A$1,,,SUMPRODUCT(MAX(ROW(E$2:E748)*(E748=E$2:E748)))))-COUNTBLANK(OFFSET(A$1,,,SUMPRODUCT(MAX(ROW(E$1:E747)*(E748=E$1:E747))))))</f>
        <v/>
      </c>
      <c r="K748" s="15" t="str">
        <f aca="false">IF(OR(E748="",E748="!!!",F748="NEW"),"",INDEX(J$1:J747,SUMPRODUCT(MAX(ROW(E$1:E747)*(E748=E$1:E747)))))</f>
        <v/>
      </c>
      <c r="L748" s="16"/>
    </row>
    <row r="749" customFormat="false" ht="12.75" hidden="false" customHeight="false" outlineLevel="0" collapsed="false">
      <c r="A749" s="9" t="s">
        <v>28</v>
      </c>
      <c r="E749" s="10" t="str">
        <f aca="false">IF(D749="?OLD","!!!","")</f>
        <v/>
      </c>
      <c r="F749" s="11" t="str">
        <f aca="false">IF(OR(E749="",E749="!!!"),"",IF(NOT(ISNA(VLOOKUP(E749,E$1:E748,1,FALSE()))),"OLD",IF(AND(E749&lt;&gt;"",E749&lt;&gt;"!!!"),"NEW","")))</f>
        <v/>
      </c>
      <c r="G749" s="12" t="str">
        <f aca="false">IF(OR(E749="",E749="!!!"),"",IF(OR(J749=0,AND(J749=1,K749=1),AND(J749=1,I749="SBJ"),AND(J749=1,I749=0)),"?IN_FOCUS",IF(J749&lt;=2,"?ACTIVATED",IF(J749&lt;&gt;"","?FAMILIAR",IF(F749="NEW",IF(ISNA(VLOOKUP(E749,#REF!,1,FALSE())),"?TYPE_IDENTIFIABLE","?REFERENTIAL"),"_")))))</f>
        <v/>
      </c>
      <c r="H749" s="13" t="str">
        <f aca="false">IF(J749&lt;&gt;1,"",IF(I749="SBJ","CB","?"))</f>
        <v/>
      </c>
      <c r="I749" s="14" t="str">
        <f aca="false">IF(OR(E749="",E749="!!!",F749="NEW"),"",INDEX(B$2:B748,-1+SUMPRODUCT(MAX(ROW(E$2:E748)*(E749=E$2:E748)))))</f>
        <v/>
      </c>
      <c r="J749" s="15" t="str">
        <f aca="true">IF(OR(E749="",E749="!!!",F749="NEW"),"",COUNTBLANK(OFFSET(A$1,,,SUMPRODUCT(MAX(ROW(E$2:E749)*(E749=E$2:E749)))))-COUNTBLANK(OFFSET(A$1,,,SUMPRODUCT(MAX(ROW(E$1:E748)*(E749=E$1:E748))))))</f>
        <v/>
      </c>
      <c r="K749" s="15" t="str">
        <f aca="false">IF(OR(E749="",E749="!!!",F749="NEW"),"",INDEX(J$1:J748,SUMPRODUCT(MAX(ROW(E$1:E748)*(E749=E$1:E748)))))</f>
        <v/>
      </c>
      <c r="L749" s="16"/>
    </row>
    <row r="750" customFormat="false" ht="12.75" hidden="false" customHeight="false" outlineLevel="0" collapsed="false">
      <c r="A750" s="9" t="s">
        <v>259</v>
      </c>
      <c r="B750" s="0" t="s">
        <v>17</v>
      </c>
      <c r="C750" s="0" t="s">
        <v>31</v>
      </c>
      <c r="D750" s="0" t="s">
        <v>19</v>
      </c>
      <c r="E750" s="10" t="s">
        <v>205</v>
      </c>
      <c r="F750" s="11" t="str">
        <f aca="false">IF(OR(E750="",E750="!!!"),"",IF(NOT(ISNA(VLOOKUP(E750,E$1:E749,1,FALSE()))),"OLD",IF(AND(E750&lt;&gt;"",E750&lt;&gt;"!!!"),"NEW","")))</f>
        <v>OLD</v>
      </c>
      <c r="G750" s="12" t="s">
        <v>52</v>
      </c>
      <c r="H750" s="13" t="str">
        <f aca="false">IF(J750&lt;&gt;1,"",IF(I750="SBJ","CB","?"))</f>
        <v/>
      </c>
      <c r="I750" s="14" t="str">
        <f aca="false">IF(OR(E750="",E750="!!!",F750="NEW"),"",INDEX(B$2:B749,-1+SUMPRODUCT(MAX(ROW(E$2:E749)*(E750=E$2:E749)))))</f>
        <v>other_7</v>
      </c>
      <c r="J750" s="15" t="n">
        <f aca="true">IF(OR(E750="",E750="!!!",F750="NEW"),"",COUNTBLANK(OFFSET(A$1,,,SUMPRODUCT(MAX(ROW(E$2:E750)*(E750=E$2:E750)))))-COUNTBLANK(OFFSET(A$1,,,SUMPRODUCT(MAX(ROW(E$1:E749)*(E750=E$1:E749))))))</f>
        <v>19</v>
      </c>
      <c r="K750" s="15" t="n">
        <f aca="false">IF(OR(E750="",E750="!!!",F750="NEW"),"",INDEX(J$1:J749,SUMPRODUCT(MAX(ROW(E$1:E749)*(E750=E$1:E749)))))</f>
        <v>0</v>
      </c>
      <c r="L750" s="16"/>
    </row>
    <row r="751" customFormat="false" ht="12.75" hidden="false" customHeight="false" outlineLevel="0" collapsed="false">
      <c r="A751" s="9" t="s">
        <v>414</v>
      </c>
      <c r="E751" s="10" t="str">
        <f aca="false">IF(D751="?OLD","!!!","")</f>
        <v/>
      </c>
      <c r="F751" s="11" t="str">
        <f aca="false">IF(OR(E751="",E751="!!!"),"",IF(NOT(ISNA(VLOOKUP(E751,E$1:E750,1,FALSE()))),"OLD",IF(AND(E751&lt;&gt;"",E751&lt;&gt;"!!!"),"NEW","")))</f>
        <v/>
      </c>
      <c r="G751" s="12" t="str">
        <f aca="false">IF(OR(E751="",E751="!!!"),"",IF(OR(J751=0,AND(J751=1,K751=1),AND(J751=1,I751="SBJ"),AND(J751=1,I751=0)),"?IN_FOCUS",IF(J751&lt;=2,"?ACTIVATED",IF(J751&lt;&gt;"","?FAMILIAR",IF(F751="NEW",IF(ISNA(VLOOKUP(E751,#REF!,1,FALSE())),"?TYPE_IDENTIFIABLE","?REFERENTIAL"),"_")))))</f>
        <v/>
      </c>
      <c r="H751" s="13" t="str">
        <f aca="false">IF(J751&lt;&gt;1,"",IF(I751="SBJ","CB","?"))</f>
        <v/>
      </c>
      <c r="I751" s="14" t="str">
        <f aca="false">IF(OR(E751="",E751="!!!",F751="NEW"),"",INDEX(B$2:B750,-1+SUMPRODUCT(MAX(ROW(E$2:E750)*(E751=E$2:E750)))))</f>
        <v/>
      </c>
      <c r="J751" s="15" t="str">
        <f aca="true">IF(OR(E751="",E751="!!!",F751="NEW"),"",COUNTBLANK(OFFSET(A$1,,,SUMPRODUCT(MAX(ROW(E$2:E751)*(E751=E$2:E751)))))-COUNTBLANK(OFFSET(A$1,,,SUMPRODUCT(MAX(ROW(E$1:E750)*(E751=E$1:E750))))))</f>
        <v/>
      </c>
      <c r="K751" s="15" t="str">
        <f aca="false">IF(OR(E751="",E751="!!!",F751="NEW"),"",INDEX(J$1:J750,SUMPRODUCT(MAX(ROW(E$1:E750)*(E751=E$1:E750)))))</f>
        <v/>
      </c>
      <c r="L751" s="16"/>
    </row>
    <row r="752" customFormat="false" ht="12.75" hidden="false" customHeight="false" outlineLevel="0" collapsed="false">
      <c r="A752" s="9" t="s">
        <v>415</v>
      </c>
      <c r="E752" s="10" t="str">
        <f aca="false">IF(D752="?OLD","!!!","")</f>
        <v/>
      </c>
      <c r="F752" s="11" t="str">
        <f aca="false">IF(OR(E752="",E752="!!!"),"",IF(NOT(ISNA(VLOOKUP(E752,E$1:E751,1,FALSE()))),"OLD",IF(AND(E752&lt;&gt;"",E752&lt;&gt;"!!!"),"NEW","")))</f>
        <v/>
      </c>
      <c r="G752" s="12" t="str">
        <f aca="false">IF(OR(E752="",E752="!!!"),"",IF(OR(J752=0,AND(J752=1,K752=1),AND(J752=1,I752="SBJ"),AND(J752=1,I752=0)),"?IN_FOCUS",IF(J752&lt;=2,"?ACTIVATED",IF(J752&lt;&gt;"","?FAMILIAR",IF(F752="NEW",IF(ISNA(VLOOKUP(E752,#REF!,1,FALSE())),"?TYPE_IDENTIFIABLE","?REFERENTIAL"),"_")))))</f>
        <v/>
      </c>
      <c r="H752" s="13" t="str">
        <f aca="false">IF(J752&lt;&gt;1,"",IF(I752="SBJ","CB","?"))</f>
        <v/>
      </c>
      <c r="I752" s="14" t="str">
        <f aca="false">IF(OR(E752="",E752="!!!",F752="NEW"),"",INDEX(B$2:B751,-1+SUMPRODUCT(MAX(ROW(E$2:E751)*(E752=E$2:E751)))))</f>
        <v/>
      </c>
      <c r="J752" s="15" t="str">
        <f aca="true">IF(OR(E752="",E752="!!!",F752="NEW"),"",COUNTBLANK(OFFSET(A$1,,,SUMPRODUCT(MAX(ROW(E$2:E752)*(E752=E$2:E752)))))-COUNTBLANK(OFFSET(A$1,,,SUMPRODUCT(MAX(ROW(E$1:E751)*(E752=E$1:E751))))))</f>
        <v/>
      </c>
      <c r="K752" s="15" t="str">
        <f aca="false">IF(OR(E752="",E752="!!!",F752="NEW"),"",INDEX(J$1:J751,SUMPRODUCT(MAX(ROW(E$1:E751)*(E752=E$1:E751)))))</f>
        <v/>
      </c>
      <c r="L752" s="16"/>
    </row>
    <row r="753" customFormat="false" ht="12.75" hidden="false" customHeight="false" outlineLevel="0" collapsed="false">
      <c r="A753" s="9" t="s">
        <v>216</v>
      </c>
      <c r="B753" s="0" t="s">
        <v>55</v>
      </c>
      <c r="C753" s="0" t="s">
        <v>31</v>
      </c>
      <c r="D753" s="0" t="s">
        <v>19</v>
      </c>
      <c r="E753" s="10" t="s">
        <v>413</v>
      </c>
      <c r="F753" s="11" t="str">
        <f aca="false">IF(OR(E753="",E753="!!!"),"",IF(NOT(ISNA(VLOOKUP(E753,E$1:E752,1,FALSE()))),"OLD",IF(AND(E753&lt;&gt;"",E753&lt;&gt;"!!!"),"NEW","")))</f>
        <v>NEW</v>
      </c>
      <c r="G753" s="12" t="s">
        <v>52</v>
      </c>
      <c r="H753" s="13" t="str">
        <f aca="false">IF(J753&lt;&gt;1,"",IF(I753="SBJ","CB","?"))</f>
        <v/>
      </c>
      <c r="I753" s="14" t="str">
        <f aca="false">IF(OR(E753="",E753="!!!",F753="NEW"),"",INDEX(B$2:B752,-1+SUMPRODUCT(MAX(ROW(E$2:E752)*(E753=E$2:E752)))))</f>
        <v/>
      </c>
      <c r="J753" s="15" t="str">
        <f aca="true">IF(OR(E753="",E753="!!!",F753="NEW"),"",COUNTBLANK(OFFSET(A$1,,,SUMPRODUCT(MAX(ROW(E$2:E753)*(E753=E$2:E753)))))-COUNTBLANK(OFFSET(A$1,,,SUMPRODUCT(MAX(ROW(E$1:E752)*(E753=E$1:E752))))))</f>
        <v/>
      </c>
      <c r="K753" s="15" t="str">
        <f aca="false">IF(OR(E753="",E753="!!!",F753="NEW"),"",INDEX(J$1:J752,SUMPRODUCT(MAX(ROW(E$1:E752)*(E753=E$1:E752)))))</f>
        <v/>
      </c>
      <c r="L753" s="16"/>
    </row>
    <row r="754" customFormat="false" ht="12.75" hidden="false" customHeight="false" outlineLevel="0" collapsed="false">
      <c r="A754" s="9" t="s">
        <v>416</v>
      </c>
      <c r="E754" s="10" t="str">
        <f aca="false">IF(D754="?OLD","!!!","")</f>
        <v/>
      </c>
      <c r="F754" s="11" t="str">
        <f aca="false">IF(OR(E754="",E754="!!!"),"",IF(NOT(ISNA(VLOOKUP(E754,E$1:E753,1,FALSE()))),"OLD",IF(AND(E754&lt;&gt;"",E754&lt;&gt;"!!!"),"NEW","")))</f>
        <v/>
      </c>
      <c r="G754" s="12" t="str">
        <f aca="false">IF(OR(E754="",E754="!!!"),"",IF(OR(J754=0,AND(J754=1,K754=1),AND(J754=1,I754="SBJ"),AND(J754=1,I754=0)),"?IN_FOCUS",IF(J754&lt;=2,"?ACTIVATED",IF(J754&lt;&gt;"","?FAMILIAR",IF(F754="NEW",IF(ISNA(VLOOKUP(E754,#REF!,1,FALSE())),"?TYPE_IDENTIFIABLE","?REFERENTIAL"),"_")))))</f>
        <v/>
      </c>
      <c r="H754" s="13" t="str">
        <f aca="false">IF(J754&lt;&gt;1,"",IF(I754="SBJ","CB","?"))</f>
        <v/>
      </c>
      <c r="I754" s="14" t="str">
        <f aca="false">IF(OR(E754="",E754="!!!",F754="NEW"),"",INDEX(B$2:B753,-1+SUMPRODUCT(MAX(ROW(E$2:E753)*(E754=E$2:E753)))))</f>
        <v/>
      </c>
      <c r="J754" s="15" t="str">
        <f aca="true">IF(OR(E754="",E754="!!!",F754="NEW"),"",COUNTBLANK(OFFSET(A$1,,,SUMPRODUCT(MAX(ROW(E$2:E754)*(E754=E$2:E754)))))-COUNTBLANK(OFFSET(A$1,,,SUMPRODUCT(MAX(ROW(E$1:E753)*(E754=E$1:E753))))))</f>
        <v/>
      </c>
      <c r="K754" s="15" t="str">
        <f aca="false">IF(OR(E754="",E754="!!!",F754="NEW"),"",INDEX(J$1:J753,SUMPRODUCT(MAX(ROW(E$1:E753)*(E754=E$1:E753)))))</f>
        <v/>
      </c>
      <c r="L754" s="16"/>
    </row>
    <row r="755" customFormat="false" ht="12.75" hidden="false" customHeight="false" outlineLevel="0" collapsed="false">
      <c r="A755" s="9" t="s">
        <v>22</v>
      </c>
      <c r="E755" s="10" t="str">
        <f aca="false">IF(D755="?OLD","!!!","")</f>
        <v/>
      </c>
      <c r="F755" s="11" t="str">
        <f aca="false">IF(OR(E755="",E755="!!!"),"",IF(NOT(ISNA(VLOOKUP(E755,E$1:E754,1,FALSE()))),"OLD",IF(AND(E755&lt;&gt;"",E755&lt;&gt;"!!!"),"NEW","")))</f>
        <v/>
      </c>
      <c r="G755" s="12" t="str">
        <f aca="false">IF(OR(E755="",E755="!!!"),"",IF(OR(J755=0,AND(J755=1,K755=1),AND(J755=1,I755="SBJ"),AND(J755=1,I755=0)),"?IN_FOCUS",IF(J755&lt;=2,"?ACTIVATED",IF(J755&lt;&gt;"","?FAMILIAR",IF(F755="NEW",IF(ISNA(VLOOKUP(E755,#REF!,1,FALSE())),"?TYPE_IDENTIFIABLE","?REFERENTIAL"),"_")))))</f>
        <v/>
      </c>
      <c r="H755" s="13" t="str">
        <f aca="false">IF(J755&lt;&gt;1,"",IF(I755="SBJ","CB","?"))</f>
        <v/>
      </c>
      <c r="I755" s="14" t="str">
        <f aca="false">IF(OR(E755="",E755="!!!",F755="NEW"),"",INDEX(B$2:B754,-1+SUMPRODUCT(MAX(ROW(E$2:E754)*(E755=E$2:E754)))))</f>
        <v/>
      </c>
      <c r="J755" s="15" t="str">
        <f aca="true">IF(OR(E755="",E755="!!!",F755="NEW"),"",COUNTBLANK(OFFSET(A$1,,,SUMPRODUCT(MAX(ROW(E$2:E755)*(E755=E$2:E755)))))-COUNTBLANK(OFFSET(A$1,,,SUMPRODUCT(MAX(ROW(E$1:E754)*(E755=E$1:E754))))))</f>
        <v/>
      </c>
      <c r="K755" s="15" t="str">
        <f aca="false">IF(OR(E755="",E755="!!!",F755="NEW"),"",INDEX(J$1:J754,SUMPRODUCT(MAX(ROW(E$1:E754)*(E755=E$1:E754)))))</f>
        <v/>
      </c>
      <c r="L755" s="16"/>
    </row>
    <row r="756" customFormat="false" ht="12.75" hidden="false" customHeight="false" outlineLevel="0" collapsed="false">
      <c r="A756" s="9" t="s">
        <v>15</v>
      </c>
      <c r="E756" s="10" t="str">
        <f aca="false">IF(D756="?OLD","!!!","")</f>
        <v/>
      </c>
      <c r="F756" s="11" t="str">
        <f aca="false">IF(OR(E756="",E756="!!!"),"",IF(NOT(ISNA(VLOOKUP(E756,E$1:E755,1,FALSE()))),"OLD",IF(AND(E756&lt;&gt;"",E756&lt;&gt;"!!!"),"NEW","")))</f>
        <v/>
      </c>
      <c r="G756" s="12" t="str">
        <f aca="false">IF(OR(E756="",E756="!!!"),"",IF(OR(J756=0,AND(J756=1,K756=1),AND(J756=1,I756="SBJ"),AND(J756=1,I756=0)),"?IN_FOCUS",IF(J756&lt;=2,"?ACTIVATED",IF(J756&lt;&gt;"","?FAMILIAR",IF(F756="NEW",IF(ISNA(VLOOKUP(E756,#REF!,1,FALSE())),"?TYPE_IDENTIFIABLE","?REFERENTIAL"),"_")))))</f>
        <v/>
      </c>
      <c r="H756" s="13" t="str">
        <f aca="false">IF(J756&lt;&gt;1,"",IF(I756="SBJ","CB","?"))</f>
        <v/>
      </c>
      <c r="I756" s="14" t="str">
        <f aca="false">IF(OR(E756="",E756="!!!",F756="NEW"),"",INDEX(B$2:B755,-1+SUMPRODUCT(MAX(ROW(E$2:E755)*(E756=E$2:E755)))))</f>
        <v/>
      </c>
      <c r="J756" s="15" t="str">
        <f aca="true">IF(OR(E756="",E756="!!!",F756="NEW"),"",COUNTBLANK(OFFSET(A$1,,,SUMPRODUCT(MAX(ROW(E$2:E756)*(E756=E$2:E756)))))-COUNTBLANK(OFFSET(A$1,,,SUMPRODUCT(MAX(ROW(E$1:E755)*(E756=E$1:E755))))))</f>
        <v/>
      </c>
      <c r="K756" s="15" t="str">
        <f aca="false">IF(OR(E756="",E756="!!!",F756="NEW"),"",INDEX(J$1:J755,SUMPRODUCT(MAX(ROW(E$1:E755)*(E756=E$1:E755)))))</f>
        <v/>
      </c>
      <c r="L756" s="16"/>
    </row>
    <row r="757" customFormat="false" ht="12.75" hidden="false" customHeight="false" outlineLevel="0" collapsed="false">
      <c r="A757" s="9" t="s">
        <v>417</v>
      </c>
      <c r="E757" s="10" t="str">
        <f aca="false">IF(D757="?OLD","!!!","")</f>
        <v/>
      </c>
      <c r="F757" s="11" t="str">
        <f aca="false">IF(OR(E757="",E757="!!!"),"",IF(NOT(ISNA(VLOOKUP(E757,E$1:E756,1,FALSE()))),"OLD",IF(AND(E757&lt;&gt;"",E757&lt;&gt;"!!!"),"NEW","")))</f>
        <v/>
      </c>
      <c r="G757" s="12" t="str">
        <f aca="false">IF(OR(E757="",E757="!!!"),"",IF(OR(J757=0,AND(J757=1,K757=1),AND(J757=1,I757="SBJ"),AND(J757=1,I757=0)),"?IN_FOCUS",IF(J757&lt;=2,"?ACTIVATED",IF(J757&lt;&gt;"","?FAMILIAR",IF(F757="NEW",IF(ISNA(VLOOKUP(E757,#REF!,1,FALSE())),"?TYPE_IDENTIFIABLE","?REFERENTIAL"),"_")))))</f>
        <v/>
      </c>
      <c r="H757" s="13" t="str">
        <f aca="false">IF(J757&lt;&gt;1,"",IF(I757="SBJ","CB","?"))</f>
        <v/>
      </c>
      <c r="I757" s="14" t="str">
        <f aca="false">IF(OR(E757="",E757="!!!",F757="NEW"),"",INDEX(B$2:B756,-1+SUMPRODUCT(MAX(ROW(E$2:E756)*(E757=E$2:E756)))))</f>
        <v/>
      </c>
      <c r="J757" s="15" t="str">
        <f aca="true">IF(OR(E757="",E757="!!!",F757="NEW"),"",COUNTBLANK(OFFSET(A$1,,,SUMPRODUCT(MAX(ROW(E$2:E757)*(E757=E$2:E757)))))-COUNTBLANK(OFFSET(A$1,,,SUMPRODUCT(MAX(ROW(E$1:E756)*(E757=E$1:E756))))))</f>
        <v/>
      </c>
      <c r="K757" s="15" t="str">
        <f aca="false">IF(OR(E757="",E757="!!!",F757="NEW"),"",INDEX(J$1:J756,SUMPRODUCT(MAX(ROW(E$1:E756)*(E757=E$1:E756)))))</f>
        <v/>
      </c>
      <c r="L757" s="16"/>
    </row>
    <row r="758" customFormat="false" ht="12.75" hidden="false" customHeight="false" outlineLevel="0" collapsed="false">
      <c r="A758" s="9" t="s">
        <v>367</v>
      </c>
      <c r="B758" s="0" t="s">
        <v>75</v>
      </c>
      <c r="C758" s="0" t="s">
        <v>103</v>
      </c>
      <c r="D758" s="0" t="s">
        <v>19</v>
      </c>
      <c r="E758" s="10" t="s">
        <v>367</v>
      </c>
      <c r="F758" s="11" t="str">
        <f aca="false">IF(OR(E758="",E758="!!!"),"",IF(NOT(ISNA(VLOOKUP(E758,E$1:E757,1,FALSE()))),"OLD",IF(AND(E758&lt;&gt;"",E758&lt;&gt;"!!!"),"NEW","")))</f>
        <v>OLD</v>
      </c>
      <c r="G758" s="12" t="s">
        <v>65</v>
      </c>
      <c r="H758" s="13" t="s">
        <v>7</v>
      </c>
      <c r="I758" s="14" t="str">
        <f aca="false">IF(OR(E758="",E758="!!!",F758="NEW"),"",INDEX(B$2:B757,-1+SUMPRODUCT(MAX(ROW(E$2:E757)*(E758=E$2:E757)))))</f>
        <v>OBJ</v>
      </c>
      <c r="J758" s="15" t="n">
        <f aca="true">IF(OR(E758="",E758="!!!",F758="NEW"),"",COUNTBLANK(OFFSET(A$1,,,SUMPRODUCT(MAX(ROW(E$2:E758)*(E758=E$2:E758)))))-COUNTBLANK(OFFSET(A$1,,,SUMPRODUCT(MAX(ROW(E$1:E757)*(E758=E$1:E757))))))</f>
        <v>1</v>
      </c>
      <c r="K758" s="15" t="n">
        <f aca="false">IF(OR(E758="",E758="!!!",F758="NEW"),"",INDEX(J$1:J757,SUMPRODUCT(MAX(ROW(E$1:E757)*(E758=E$1:E757)))))</f>
        <v>1</v>
      </c>
      <c r="L758" s="16"/>
    </row>
    <row r="759" customFormat="false" ht="12.75" hidden="false" customHeight="false" outlineLevel="0" collapsed="false">
      <c r="A759" s="9" t="s">
        <v>28</v>
      </c>
      <c r="E759" s="10" t="str">
        <f aca="false">IF(D759="?OLD","!!!","")</f>
        <v/>
      </c>
      <c r="F759" s="11" t="str">
        <f aca="false">IF(OR(E759="",E759="!!!"),"",IF(NOT(ISNA(VLOOKUP(E759,E$1:E758,1,FALSE()))),"OLD",IF(AND(E759&lt;&gt;"",E759&lt;&gt;"!!!"),"NEW","")))</f>
        <v/>
      </c>
      <c r="G759" s="12" t="str">
        <f aca="false">IF(OR(E759="",E759="!!!"),"",IF(OR(J759=0,AND(J759=1,K759=1),AND(J759=1,I759="SBJ"),AND(J759=1,I759=0)),"?IN_FOCUS",IF(J759&lt;=2,"?ACTIVATED",IF(J759&lt;&gt;"","?FAMILIAR",IF(F759="NEW",IF(ISNA(VLOOKUP(E759,#REF!,1,FALSE())),"?TYPE_IDENTIFIABLE","?REFERENTIAL"),"_")))))</f>
        <v/>
      </c>
      <c r="H759" s="13" t="str">
        <f aca="false">IF(J759&lt;&gt;1,"",IF(I759="SBJ","CB","?"))</f>
        <v/>
      </c>
      <c r="I759" s="14" t="str">
        <f aca="false">IF(OR(E759="",E759="!!!",F759="NEW"),"",INDEX(B$2:B758,-1+SUMPRODUCT(MAX(ROW(E$2:E758)*(E759=E$2:E758)))))</f>
        <v/>
      </c>
      <c r="J759" s="15" t="str">
        <f aca="true">IF(OR(E759="",E759="!!!",F759="NEW"),"",COUNTBLANK(OFFSET(A$1,,,SUMPRODUCT(MAX(ROW(E$2:E759)*(E759=E$2:E759)))))-COUNTBLANK(OFFSET(A$1,,,SUMPRODUCT(MAX(ROW(E$1:E758)*(E759=E$1:E758))))))</f>
        <v/>
      </c>
      <c r="K759" s="15" t="str">
        <f aca="false">IF(OR(E759="",E759="!!!",F759="NEW"),"",INDEX(J$1:J758,SUMPRODUCT(MAX(ROW(E$1:E758)*(E759=E$1:E758)))))</f>
        <v/>
      </c>
      <c r="L759" s="16"/>
    </row>
    <row r="760" customFormat="false" ht="12.75" hidden="false" customHeight="false" outlineLevel="0" collapsed="false">
      <c r="A760" s="9" t="s">
        <v>258</v>
      </c>
      <c r="E760" s="10" t="str">
        <f aca="false">IF(D760="?OLD","!!!","")</f>
        <v/>
      </c>
      <c r="F760" s="11" t="str">
        <f aca="false">IF(OR(E760="",E760="!!!"),"",IF(NOT(ISNA(VLOOKUP(E760,E$1:E759,1,FALSE()))),"OLD",IF(AND(E760&lt;&gt;"",E760&lt;&gt;"!!!"),"NEW","")))</f>
        <v/>
      </c>
      <c r="G760" s="12" t="str">
        <f aca="false">IF(OR(E760="",E760="!!!"),"",IF(OR(J760=0,AND(J760=1,K760=1),AND(J760=1,I760="SBJ"),AND(J760=1,I760=0)),"?IN_FOCUS",IF(J760&lt;=2,"?ACTIVATED",IF(J760&lt;&gt;"","?FAMILIAR",IF(F760="NEW",IF(ISNA(VLOOKUP(E760,#REF!,1,FALSE())),"?TYPE_IDENTIFIABLE","?REFERENTIAL"),"_")))))</f>
        <v/>
      </c>
      <c r="H760" s="13" t="str">
        <f aca="false">IF(J760&lt;&gt;1,"",IF(I760="SBJ","CB","?"))</f>
        <v/>
      </c>
      <c r="I760" s="14" t="str">
        <f aca="false">IF(OR(E760="",E760="!!!",F760="NEW"),"",INDEX(B$2:B759,-1+SUMPRODUCT(MAX(ROW(E$2:E759)*(E760=E$2:E759)))))</f>
        <v/>
      </c>
      <c r="J760" s="15" t="str">
        <f aca="true">IF(OR(E760="",E760="!!!",F760="NEW"),"",COUNTBLANK(OFFSET(A$1,,,SUMPRODUCT(MAX(ROW(E$2:E760)*(E760=E$2:E760)))))-COUNTBLANK(OFFSET(A$1,,,SUMPRODUCT(MAX(ROW(E$1:E759)*(E760=E$1:E759))))))</f>
        <v/>
      </c>
      <c r="K760" s="15" t="str">
        <f aca="false">IF(OR(E760="",E760="!!!",F760="NEW"),"",INDEX(J$1:J759,SUMPRODUCT(MAX(ROW(E$1:E759)*(E760=E$1:E759)))))</f>
        <v/>
      </c>
      <c r="L760" s="16"/>
    </row>
    <row r="761" customFormat="false" ht="12.75" hidden="false" customHeight="false" outlineLevel="0" collapsed="false">
      <c r="A761" s="9" t="s">
        <v>362</v>
      </c>
      <c r="B761" s="0" t="s">
        <v>17</v>
      </c>
      <c r="C761" s="0" t="s">
        <v>31</v>
      </c>
      <c r="D761" s="0" t="s">
        <v>19</v>
      </c>
      <c r="E761" s="10" t="s">
        <v>367</v>
      </c>
      <c r="F761" s="11" t="str">
        <f aca="false">IF(OR(E761="",E761="!!!"),"",IF(NOT(ISNA(VLOOKUP(E761,E$1:E760,1,FALSE()))),"OLD",IF(AND(E761&lt;&gt;"",E761&lt;&gt;"!!!"),"NEW","")))</f>
        <v>OLD</v>
      </c>
      <c r="G761" s="12" t="s">
        <v>65</v>
      </c>
      <c r="H761" s="13" t="str">
        <f aca="false">IF(J761&lt;&gt;1,"",IF(I761="SBJ","CB","?"))</f>
        <v/>
      </c>
      <c r="I761" s="14" t="str">
        <f aca="false">IF(OR(E761="",E761="!!!",F761="NEW"),"",INDEX(B$2:B760,-1+SUMPRODUCT(MAX(ROW(E$2:E760)*(E761=E$2:E760)))))</f>
        <v>other_2</v>
      </c>
      <c r="J761" s="15" t="n">
        <f aca="true">IF(OR(E761="",E761="!!!",F761="NEW"),"",COUNTBLANK(OFFSET(A$1,,,SUMPRODUCT(MAX(ROW(E$2:E761)*(E761=E$2:E761)))))-COUNTBLANK(OFFSET(A$1,,,SUMPRODUCT(MAX(ROW(E$1:E760)*(E761=E$1:E760))))))</f>
        <v>0</v>
      </c>
      <c r="K761" s="15" t="n">
        <f aca="false">IF(OR(E761="",E761="!!!",F761="NEW"),"",INDEX(J$1:J760,SUMPRODUCT(MAX(ROW(E$1:E760)*(E761=E$1:E760)))))</f>
        <v>1</v>
      </c>
      <c r="L761" s="16"/>
    </row>
    <row r="762" customFormat="false" ht="12.75" hidden="false" customHeight="false" outlineLevel="0" collapsed="false">
      <c r="A762" s="9" t="s">
        <v>178</v>
      </c>
      <c r="E762" s="10" t="str">
        <f aca="false">IF(D762="?OLD","!!!","")</f>
        <v/>
      </c>
      <c r="F762" s="11" t="str">
        <f aca="false">IF(OR(E762="",E762="!!!"),"",IF(NOT(ISNA(VLOOKUP(E762,E$1:E761,1,FALSE()))),"OLD",IF(AND(E762&lt;&gt;"",E762&lt;&gt;"!!!"),"NEW","")))</f>
        <v/>
      </c>
      <c r="G762" s="12" t="str">
        <f aca="false">IF(OR(E762="",E762="!!!"),"",IF(OR(J762=0,AND(J762=1,K762=1),AND(J762=1,I762="SBJ"),AND(J762=1,I762=0)),"?IN_FOCUS",IF(J762&lt;=2,"?ACTIVATED",IF(J762&lt;&gt;"","?FAMILIAR",IF(F762="NEW",IF(ISNA(VLOOKUP(E762,#REF!,1,FALSE())),"?TYPE_IDENTIFIABLE","?REFERENTIAL"),"_")))))</f>
        <v/>
      </c>
      <c r="H762" s="13" t="str">
        <f aca="false">IF(J762&lt;&gt;1,"",IF(I762="SBJ","CB","?"))</f>
        <v/>
      </c>
      <c r="I762" s="14" t="str">
        <f aca="false">IF(OR(E762="",E762="!!!",F762="NEW"),"",INDEX(B$2:B761,-1+SUMPRODUCT(MAX(ROW(E$2:E761)*(E762=E$2:E761)))))</f>
        <v/>
      </c>
      <c r="J762" s="15" t="str">
        <f aca="true">IF(OR(E762="",E762="!!!",F762="NEW"),"",COUNTBLANK(OFFSET(A$1,,,SUMPRODUCT(MAX(ROW(E$2:E762)*(E762=E$2:E762)))))-COUNTBLANK(OFFSET(A$1,,,SUMPRODUCT(MAX(ROW(E$1:E761)*(E762=E$1:E761))))))</f>
        <v/>
      </c>
      <c r="K762" s="15" t="str">
        <f aca="false">IF(OR(E762="",E762="!!!",F762="NEW"),"",INDEX(J$1:J761,SUMPRODUCT(MAX(ROW(E$1:E761)*(E762=E$1:E761)))))</f>
        <v/>
      </c>
      <c r="L762" s="16"/>
    </row>
    <row r="763" customFormat="false" ht="12.75" hidden="false" customHeight="false" outlineLevel="0" collapsed="false">
      <c r="A763" s="9" t="s">
        <v>418</v>
      </c>
      <c r="E763" s="10" t="str">
        <f aca="false">IF(D763="?OLD","!!!","")</f>
        <v/>
      </c>
      <c r="F763" s="11" t="str">
        <f aca="false">IF(OR(E763="",E763="!!!"),"",IF(NOT(ISNA(VLOOKUP(E763,E$1:E762,1,FALSE()))),"OLD",IF(AND(E763&lt;&gt;"",E763&lt;&gt;"!!!"),"NEW","")))</f>
        <v/>
      </c>
      <c r="G763" s="12" t="str">
        <f aca="false">IF(OR(E763="",E763="!!!"),"",IF(OR(J763=0,AND(J763=1,K763=1),AND(J763=1,I763="SBJ"),AND(J763=1,I763=0)),"?IN_FOCUS",IF(J763&lt;=2,"?ACTIVATED",IF(J763&lt;&gt;"","?FAMILIAR",IF(F763="NEW",IF(ISNA(VLOOKUP(E763,#REF!,1,FALSE())),"?TYPE_IDENTIFIABLE","?REFERENTIAL"),"_")))))</f>
        <v/>
      </c>
      <c r="H763" s="13" t="str">
        <f aca="false">IF(J763&lt;&gt;1,"",IF(I763="SBJ","CB","?"))</f>
        <v/>
      </c>
      <c r="I763" s="14" t="str">
        <f aca="false">IF(OR(E763="",E763="!!!",F763="NEW"),"",INDEX(B$2:B762,-1+SUMPRODUCT(MAX(ROW(E$2:E762)*(E763=E$2:E762)))))</f>
        <v/>
      </c>
      <c r="J763" s="15" t="str">
        <f aca="true">IF(OR(E763="",E763="!!!",F763="NEW"),"",COUNTBLANK(OFFSET(A$1,,,SUMPRODUCT(MAX(ROW(E$2:E763)*(E763=E$2:E763)))))-COUNTBLANK(OFFSET(A$1,,,SUMPRODUCT(MAX(ROW(E$1:E762)*(E763=E$1:E762))))))</f>
        <v/>
      </c>
      <c r="K763" s="15" t="str">
        <f aca="false">IF(OR(E763="",E763="!!!",F763="NEW"),"",INDEX(J$1:J762,SUMPRODUCT(MAX(ROW(E$1:E762)*(E763=E$1:E762)))))</f>
        <v/>
      </c>
      <c r="L763" s="16"/>
    </row>
    <row r="764" customFormat="false" ht="12.75" hidden="false" customHeight="false" outlineLevel="0" collapsed="false">
      <c r="A764" s="9" t="s">
        <v>63</v>
      </c>
      <c r="E764" s="10" t="str">
        <f aca="false">IF(D764="?OLD","!!!","")</f>
        <v/>
      </c>
      <c r="F764" s="11" t="str">
        <f aca="false">IF(OR(E764="",E764="!!!"),"",IF(NOT(ISNA(VLOOKUP(E764,E$1:E763,1,FALSE()))),"OLD",IF(AND(E764&lt;&gt;"",E764&lt;&gt;"!!!"),"NEW","")))</f>
        <v/>
      </c>
      <c r="G764" s="12" t="str">
        <f aca="false">IF(OR(E764="",E764="!!!"),"",IF(OR(J764=0,AND(J764=1,K764=1),AND(J764=1,I764="SBJ"),AND(J764=1,I764=0)),"?IN_FOCUS",IF(J764&lt;=2,"?ACTIVATED",IF(J764&lt;&gt;"","?FAMILIAR",IF(F764="NEW",IF(ISNA(VLOOKUP(E764,#REF!,1,FALSE())),"?TYPE_IDENTIFIABLE","?REFERENTIAL"),"_")))))</f>
        <v/>
      </c>
      <c r="H764" s="13" t="str">
        <f aca="false">IF(J764&lt;&gt;1,"",IF(I764="SBJ","CB","?"))</f>
        <v/>
      </c>
      <c r="I764" s="14" t="str">
        <f aca="false">IF(OR(E764="",E764="!!!",F764="NEW"),"",INDEX(B$2:B763,-1+SUMPRODUCT(MAX(ROW(E$2:E763)*(E764=E$2:E763)))))</f>
        <v/>
      </c>
      <c r="J764" s="15" t="str">
        <f aca="true">IF(OR(E764="",E764="!!!",F764="NEW"),"",COUNTBLANK(OFFSET(A$1,,,SUMPRODUCT(MAX(ROW(E$2:E764)*(E764=E$2:E764)))))-COUNTBLANK(OFFSET(A$1,,,SUMPRODUCT(MAX(ROW(E$1:E763)*(E764=E$1:E763))))))</f>
        <v/>
      </c>
      <c r="K764" s="15" t="str">
        <f aca="false">IF(OR(E764="",E764="!!!",F764="NEW"),"",INDEX(J$1:J763,SUMPRODUCT(MAX(ROW(E$1:E763)*(E764=E$1:E763)))))</f>
        <v/>
      </c>
      <c r="L764" s="16"/>
    </row>
    <row r="765" customFormat="false" ht="12.75" hidden="false" customHeight="false" outlineLevel="0" collapsed="false">
      <c r="A765" s="9" t="s">
        <v>116</v>
      </c>
      <c r="E765" s="10" t="str">
        <f aca="false">IF(D765="?OLD","!!!","")</f>
        <v/>
      </c>
      <c r="F765" s="11" t="str">
        <f aca="false">IF(OR(E765="",E765="!!!"),"",IF(NOT(ISNA(VLOOKUP(E765,E$1:E764,1,FALSE()))),"OLD",IF(AND(E765&lt;&gt;"",E765&lt;&gt;"!!!"),"NEW","")))</f>
        <v/>
      </c>
      <c r="G765" s="12" t="str">
        <f aca="false">IF(OR(E765="",E765="!!!"),"",IF(OR(J765=0,AND(J765=1,K765=1),AND(J765=1,I765="SBJ"),AND(J765=1,I765=0)),"?IN_FOCUS",IF(J765&lt;=2,"?ACTIVATED",IF(J765&lt;&gt;"","?FAMILIAR",IF(F765="NEW",IF(ISNA(VLOOKUP(E765,#REF!,1,FALSE())),"?TYPE_IDENTIFIABLE","?REFERENTIAL"),"_")))))</f>
        <v/>
      </c>
      <c r="H765" s="13" t="str">
        <f aca="false">IF(J765&lt;&gt;1,"",IF(I765="SBJ","CB","?"))</f>
        <v/>
      </c>
      <c r="I765" s="14" t="str">
        <f aca="false">IF(OR(E765="",E765="!!!",F765="NEW"),"",INDEX(B$2:B764,-1+SUMPRODUCT(MAX(ROW(E$2:E764)*(E765=E$2:E764)))))</f>
        <v/>
      </c>
      <c r="J765" s="15" t="str">
        <f aca="true">IF(OR(E765="",E765="!!!",F765="NEW"),"",COUNTBLANK(OFFSET(A$1,,,SUMPRODUCT(MAX(ROW(E$2:E765)*(E765=E$2:E765)))))-COUNTBLANK(OFFSET(A$1,,,SUMPRODUCT(MAX(ROW(E$1:E764)*(E765=E$1:E764))))))</f>
        <v/>
      </c>
      <c r="K765" s="15" t="str">
        <f aca="false">IF(OR(E765="",E765="!!!",F765="NEW"),"",INDEX(J$1:J764,SUMPRODUCT(MAX(ROW(E$1:E764)*(E765=E$1:E764)))))</f>
        <v/>
      </c>
      <c r="L765" s="16"/>
    </row>
    <row r="766" customFormat="false" ht="12.75" hidden="false" customHeight="false" outlineLevel="0" collapsed="false">
      <c r="A766" s="9" t="s">
        <v>419</v>
      </c>
      <c r="E766" s="10" t="str">
        <f aca="false">IF(D766="?OLD","!!!","")</f>
        <v/>
      </c>
      <c r="F766" s="11" t="str">
        <f aca="false">IF(OR(E766="",E766="!!!"),"",IF(NOT(ISNA(VLOOKUP(E766,E$1:E765,1,FALSE()))),"OLD",IF(AND(E766&lt;&gt;"",E766&lt;&gt;"!!!"),"NEW","")))</f>
        <v/>
      </c>
      <c r="G766" s="12" t="str">
        <f aca="false">IF(OR(E766="",E766="!!!"),"",IF(OR(J766=0,AND(J766=1,K766=1),AND(J766=1,I766="SBJ"),AND(J766=1,I766=0)),"?IN_FOCUS",IF(J766&lt;=2,"?ACTIVATED",IF(J766&lt;&gt;"","?FAMILIAR",IF(F766="NEW",IF(ISNA(VLOOKUP(E766,#REF!,1,FALSE())),"?TYPE_IDENTIFIABLE","?REFERENTIAL"),"_")))))</f>
        <v/>
      </c>
      <c r="H766" s="13" t="str">
        <f aca="false">IF(J766&lt;&gt;1,"",IF(I766="SBJ","CB","?"))</f>
        <v/>
      </c>
      <c r="I766" s="14" t="str">
        <f aca="false">IF(OR(E766="",E766="!!!",F766="NEW"),"",INDEX(B$2:B765,-1+SUMPRODUCT(MAX(ROW(E$2:E765)*(E766=E$2:E765)))))</f>
        <v/>
      </c>
      <c r="J766" s="15" t="str">
        <f aca="true">IF(OR(E766="",E766="!!!",F766="NEW"),"",COUNTBLANK(OFFSET(A$1,,,SUMPRODUCT(MAX(ROW(E$2:E766)*(E766=E$2:E766)))))-COUNTBLANK(OFFSET(A$1,,,SUMPRODUCT(MAX(ROW(E$1:E765)*(E766=E$1:E765))))))</f>
        <v/>
      </c>
      <c r="K766" s="15" t="str">
        <f aca="false">IF(OR(E766="",E766="!!!",F766="NEW"),"",INDEX(J$1:J765,SUMPRODUCT(MAX(ROW(E$1:E765)*(E766=E$1:E765)))))</f>
        <v/>
      </c>
      <c r="L766" s="16"/>
    </row>
    <row r="767" customFormat="false" ht="12.75" hidden="false" customHeight="false" outlineLevel="0" collapsed="false">
      <c r="A767" s="9" t="s">
        <v>28</v>
      </c>
      <c r="E767" s="10" t="str">
        <f aca="false">IF(D767="?OLD","!!!","")</f>
        <v/>
      </c>
      <c r="F767" s="11" t="str">
        <f aca="false">IF(OR(E767="",E767="!!!"),"",IF(NOT(ISNA(VLOOKUP(E767,E$1:E766,1,FALSE()))),"OLD",IF(AND(E767&lt;&gt;"",E767&lt;&gt;"!!!"),"NEW","")))</f>
        <v/>
      </c>
      <c r="G767" s="12" t="str">
        <f aca="false">IF(OR(E767="",E767="!!!"),"",IF(OR(J767=0,AND(J767=1,K767=1),AND(J767=1,I767="SBJ"),AND(J767=1,I767=0)),"?IN_FOCUS",IF(J767&lt;=2,"?ACTIVATED",IF(J767&lt;&gt;"","?FAMILIAR",IF(F767="NEW",IF(ISNA(VLOOKUP(E767,#REF!,1,FALSE())),"?TYPE_IDENTIFIABLE","?REFERENTIAL"),"_")))))</f>
        <v/>
      </c>
      <c r="H767" s="13" t="str">
        <f aca="false">IF(J767&lt;&gt;1,"",IF(I767="SBJ","CB","?"))</f>
        <v/>
      </c>
      <c r="I767" s="14" t="str">
        <f aca="false">IF(OR(E767="",E767="!!!",F767="NEW"),"",INDEX(B$2:B766,-1+SUMPRODUCT(MAX(ROW(E$2:E766)*(E767=E$2:E766)))))</f>
        <v/>
      </c>
      <c r="J767" s="15" t="str">
        <f aca="true">IF(OR(E767="",E767="!!!",F767="NEW"),"",COUNTBLANK(OFFSET(A$1,,,SUMPRODUCT(MAX(ROW(E$2:E767)*(E767=E$2:E767)))))-COUNTBLANK(OFFSET(A$1,,,SUMPRODUCT(MAX(ROW(E$1:E766)*(E767=E$1:E766))))))</f>
        <v/>
      </c>
      <c r="K767" s="15" t="str">
        <f aca="false">IF(OR(E767="",E767="!!!",F767="NEW"),"",INDEX(J$1:J766,SUMPRODUCT(MAX(ROW(E$1:E766)*(E767=E$1:E766)))))</f>
        <v/>
      </c>
      <c r="L767" s="16"/>
    </row>
    <row r="768" customFormat="false" ht="12.75" hidden="false" customHeight="false" outlineLevel="0" collapsed="false">
      <c r="A768" s="9" t="s">
        <v>63</v>
      </c>
      <c r="E768" s="10" t="str">
        <f aca="false">IF(D768="?OLD","!!!","")</f>
        <v/>
      </c>
      <c r="F768" s="11" t="str">
        <f aca="false">IF(OR(E768="",E768="!!!"),"",IF(NOT(ISNA(VLOOKUP(E768,E$1:E767,1,FALSE()))),"OLD",IF(AND(E768&lt;&gt;"",E768&lt;&gt;"!!!"),"NEW","")))</f>
        <v/>
      </c>
      <c r="G768" s="12" t="str">
        <f aca="false">IF(OR(E768="",E768="!!!"),"",IF(OR(J768=0,AND(J768=1,K768=1),AND(J768=1,I768="SBJ"),AND(J768=1,I768=0)),"?IN_FOCUS",IF(J768&lt;=2,"?ACTIVATED",IF(J768&lt;&gt;"","?FAMILIAR",IF(F768="NEW",IF(ISNA(VLOOKUP(E768,#REF!,1,FALSE())),"?TYPE_IDENTIFIABLE","?REFERENTIAL"),"_")))))</f>
        <v/>
      </c>
      <c r="H768" s="13" t="str">
        <f aca="false">IF(J768&lt;&gt;1,"",IF(I768="SBJ","CB","?"))</f>
        <v/>
      </c>
      <c r="I768" s="14" t="str">
        <f aca="false">IF(OR(E768="",E768="!!!",F768="NEW"),"",INDEX(B$2:B767,-1+SUMPRODUCT(MAX(ROW(E$2:E767)*(E768=E$2:E767)))))</f>
        <v/>
      </c>
      <c r="J768" s="15" t="str">
        <f aca="true">IF(OR(E768="",E768="!!!",F768="NEW"),"",COUNTBLANK(OFFSET(A$1,,,SUMPRODUCT(MAX(ROW(E$2:E768)*(E768=E$2:E768)))))-COUNTBLANK(OFFSET(A$1,,,SUMPRODUCT(MAX(ROW(E$1:E767)*(E768=E$1:E767))))))</f>
        <v/>
      </c>
      <c r="K768" s="15" t="str">
        <f aca="false">IF(OR(E768="",E768="!!!",F768="NEW"),"",INDEX(J$1:J767,SUMPRODUCT(MAX(ROW(E$1:E767)*(E768=E$1:E767)))))</f>
        <v/>
      </c>
      <c r="L768" s="16"/>
    </row>
    <row r="769" customFormat="false" ht="12.75" hidden="false" customHeight="false" outlineLevel="0" collapsed="false">
      <c r="A769" s="9" t="s">
        <v>126</v>
      </c>
      <c r="B769" s="0" t="s">
        <v>62</v>
      </c>
      <c r="C769" s="0" t="s">
        <v>128</v>
      </c>
      <c r="D769" s="0" t="s">
        <v>19</v>
      </c>
      <c r="E769" s="10" t="s">
        <v>367</v>
      </c>
      <c r="F769" s="11" t="str">
        <f aca="false">IF(OR(E769="",E769="!!!"),"",IF(NOT(ISNA(VLOOKUP(E769,E$1:E768,1,FALSE()))),"OLD",IF(AND(E769&lt;&gt;"",E769&lt;&gt;"!!!"),"NEW","")))</f>
        <v>OLD</v>
      </c>
      <c r="G769" s="12" t="s">
        <v>65</v>
      </c>
      <c r="H769" s="13" t="str">
        <f aca="false">IF(J769&lt;&gt;1,"",IF(I769="SBJ","CB","?"))</f>
        <v/>
      </c>
      <c r="I769" s="14" t="str">
        <f aca="false">IF(OR(E769="",E769="!!!",F769="NEW"),"",INDEX(B$2:B768,-1+SUMPRODUCT(MAX(ROW(E$2:E768)*(E769=E$2:E768)))))</f>
        <v>SBJ_2</v>
      </c>
      <c r="J769" s="15" t="n">
        <f aca="true">IF(OR(E769="",E769="!!!",F769="NEW"),"",COUNTBLANK(OFFSET(A$1,,,SUMPRODUCT(MAX(ROW(E$2:E769)*(E769=E$2:E769)))))-COUNTBLANK(OFFSET(A$1,,,SUMPRODUCT(MAX(ROW(E$1:E768)*(E769=E$1:E768))))))</f>
        <v>0</v>
      </c>
      <c r="K769" s="15" t="n">
        <f aca="false">IF(OR(E769="",E769="!!!",F769="NEW"),"",INDEX(J$1:J768,SUMPRODUCT(MAX(ROW(E$1:E768)*(E769=E$1:E768)))))</f>
        <v>0</v>
      </c>
      <c r="L769" s="16"/>
    </row>
    <row r="770" customFormat="false" ht="12.75" hidden="false" customHeight="false" outlineLevel="0" collapsed="false">
      <c r="A770" s="9" t="s">
        <v>420</v>
      </c>
      <c r="B770" s="0" t="s">
        <v>94</v>
      </c>
      <c r="C770" s="0" t="s">
        <v>83</v>
      </c>
      <c r="D770" s="0" t="s">
        <v>19</v>
      </c>
      <c r="E770" s="10" t="s">
        <v>421</v>
      </c>
      <c r="F770" s="11" t="str">
        <f aca="false">IF(OR(E770="",E770="!!!"),"",IF(NOT(ISNA(VLOOKUP(E770,E$1:E769,1,FALSE()))),"OLD",IF(AND(E770&lt;&gt;"",E770&lt;&gt;"!!!"),"NEW","")))</f>
        <v>NEW</v>
      </c>
      <c r="G770" s="12" t="s">
        <v>21</v>
      </c>
      <c r="H770" s="13" t="str">
        <f aca="false">IF(J770&lt;&gt;1,"",IF(I770="SBJ","CB","?"))</f>
        <v/>
      </c>
      <c r="I770" s="14" t="str">
        <f aca="false">IF(OR(E770="",E770="!!!",F770="NEW"),"",INDEX(B$2:B769,-1+SUMPRODUCT(MAX(ROW(E$2:E769)*(E770=E$2:E769)))))</f>
        <v/>
      </c>
      <c r="J770" s="15" t="str">
        <f aca="true">IF(OR(E770="",E770="!!!",F770="NEW"),"",COUNTBLANK(OFFSET(A$1,,,SUMPRODUCT(MAX(ROW(E$2:E770)*(E770=E$2:E770)))))-COUNTBLANK(OFFSET(A$1,,,SUMPRODUCT(MAX(ROW(E$1:E769)*(E770=E$1:E769))))))</f>
        <v/>
      </c>
      <c r="K770" s="15" t="str">
        <f aca="false">IF(OR(E770="",E770="!!!",F770="NEW"),"",INDEX(J$1:J769,SUMPRODUCT(MAX(ROW(E$1:E769)*(E770=E$1:E769)))))</f>
        <v/>
      </c>
      <c r="L770" s="16"/>
    </row>
    <row r="771" customFormat="false" ht="12.75" hidden="false" customHeight="false" outlineLevel="0" collapsed="false">
      <c r="A771" s="9" t="s">
        <v>236</v>
      </c>
      <c r="E771" s="10" t="str">
        <f aca="false">IF(D771="?OLD","!!!","")</f>
        <v/>
      </c>
      <c r="F771" s="11" t="str">
        <f aca="false">IF(OR(E771="",E771="!!!"),"",IF(NOT(ISNA(VLOOKUP(E771,E$1:E770,1,FALSE()))),"OLD",IF(AND(E771&lt;&gt;"",E771&lt;&gt;"!!!"),"NEW","")))</f>
        <v/>
      </c>
      <c r="G771" s="12" t="str">
        <f aca="false">IF(OR(E771="",E771="!!!"),"",IF(OR(J771=0,AND(J771=1,K771=1),AND(J771=1,I771="SBJ"),AND(J771=1,I771=0)),"?IN_FOCUS",IF(J771&lt;=2,"?ACTIVATED",IF(J771&lt;&gt;"","?FAMILIAR",IF(F771="NEW",IF(ISNA(VLOOKUP(E771,#REF!,1,FALSE())),"?TYPE_IDENTIFIABLE","?REFERENTIAL"),"_")))))</f>
        <v/>
      </c>
      <c r="H771" s="13" t="str">
        <f aca="false">IF(J771&lt;&gt;1,"",IF(I771="SBJ","CB","?"))</f>
        <v/>
      </c>
      <c r="I771" s="14" t="str">
        <f aca="false">IF(OR(E771="",E771="!!!",F771="NEW"),"",INDEX(B$2:B770,-1+SUMPRODUCT(MAX(ROW(E$2:E770)*(E771=E$2:E770)))))</f>
        <v/>
      </c>
      <c r="J771" s="15" t="str">
        <f aca="true">IF(OR(E771="",E771="!!!",F771="NEW"),"",COUNTBLANK(OFFSET(A$1,,,SUMPRODUCT(MAX(ROW(E$2:E771)*(E771=E$2:E771)))))-COUNTBLANK(OFFSET(A$1,,,SUMPRODUCT(MAX(ROW(E$1:E770)*(E771=E$1:E770))))))</f>
        <v/>
      </c>
      <c r="K771" s="15" t="str">
        <f aca="false">IF(OR(E771="",E771="!!!",F771="NEW"),"",INDEX(J$1:J770,SUMPRODUCT(MAX(ROW(E$1:E770)*(E771=E$1:E770)))))</f>
        <v/>
      </c>
      <c r="L771" s="16"/>
    </row>
    <row r="772" customFormat="false" ht="12.75" hidden="false" customHeight="false" outlineLevel="0" collapsed="false">
      <c r="A772" s="9" t="s">
        <v>37</v>
      </c>
      <c r="E772" s="10" t="str">
        <f aca="false">IF(D772="?OLD","!!!","")</f>
        <v/>
      </c>
      <c r="F772" s="11" t="str">
        <f aca="false">IF(OR(E772="",E772="!!!"),"",IF(NOT(ISNA(VLOOKUP(E772,E$1:E771,1,FALSE()))),"OLD",IF(AND(E772&lt;&gt;"",E772&lt;&gt;"!!!"),"NEW","")))</f>
        <v/>
      </c>
      <c r="G772" s="12" t="str">
        <f aca="false">IF(OR(E772="",E772="!!!"),"",IF(OR(J772=0,AND(J772=1,K772=1),AND(J772=1,I772="SBJ"),AND(J772=1,I772=0)),"?IN_FOCUS",IF(J772&lt;=2,"?ACTIVATED",IF(J772&lt;&gt;"","?FAMILIAR",IF(F772="NEW",IF(ISNA(VLOOKUP(E772,#REF!,1,FALSE())),"?TYPE_IDENTIFIABLE","?REFERENTIAL"),"_")))))</f>
        <v/>
      </c>
      <c r="H772" s="13" t="str">
        <f aca="false">IF(J772&lt;&gt;1,"",IF(I772="SBJ","CB","?"))</f>
        <v/>
      </c>
      <c r="I772" s="14" t="str">
        <f aca="false">IF(OR(E772="",E772="!!!",F772="NEW"),"",INDEX(B$2:B771,-1+SUMPRODUCT(MAX(ROW(E$2:E771)*(E772=E$2:E771)))))</f>
        <v/>
      </c>
      <c r="J772" s="15" t="str">
        <f aca="true">IF(OR(E772="",E772="!!!",F772="NEW"),"",COUNTBLANK(OFFSET(A$1,,,SUMPRODUCT(MAX(ROW(E$2:E772)*(E772=E$2:E772)))))-COUNTBLANK(OFFSET(A$1,,,SUMPRODUCT(MAX(ROW(E$1:E771)*(E772=E$1:E771))))))</f>
        <v/>
      </c>
      <c r="K772" s="15" t="str">
        <f aca="false">IF(OR(E772="",E772="!!!",F772="NEW"),"",INDEX(J$1:J771,SUMPRODUCT(MAX(ROW(E$1:E771)*(E772=E$1:E771)))))</f>
        <v/>
      </c>
      <c r="L772" s="16"/>
    </row>
    <row r="773" customFormat="false" ht="12.75" hidden="false" customHeight="false" outlineLevel="0" collapsed="false">
      <c r="A773" s="9" t="s">
        <v>422</v>
      </c>
      <c r="B773" s="0" t="s">
        <v>55</v>
      </c>
      <c r="C773" s="0" t="s">
        <v>31</v>
      </c>
      <c r="D773" s="0" t="s">
        <v>19</v>
      </c>
      <c r="E773" s="10" t="s">
        <v>32</v>
      </c>
      <c r="F773" s="11" t="str">
        <f aca="false">IF(OR(E773="",E773="!!!"),"",IF(NOT(ISNA(VLOOKUP(E773,E$1:E772,1,FALSE()))),"OLD",IF(AND(E773&lt;&gt;"",E773&lt;&gt;"!!!"),"NEW","")))</f>
        <v>OLD</v>
      </c>
      <c r="G773" s="12" t="s">
        <v>52</v>
      </c>
      <c r="H773" s="13" t="str">
        <f aca="false">IF(J773&lt;&gt;1,"",IF(I773="SBJ","CB","?"))</f>
        <v/>
      </c>
      <c r="I773" s="14" t="str">
        <f aca="false">IF(OR(E773="",E773="!!!",F773="NEW"),"",INDEX(B$2:B772,-1+SUMPRODUCT(MAX(ROW(E$2:E772)*(E773=E$2:E772)))))</f>
        <v>other_3</v>
      </c>
      <c r="J773" s="15" t="n">
        <f aca="true">IF(OR(E773="",E773="!!!",F773="NEW"),"",COUNTBLANK(OFFSET(A$1,,,SUMPRODUCT(MAX(ROW(E$2:E773)*(E773=E$2:E773)))))-COUNTBLANK(OFFSET(A$1,,,SUMPRODUCT(MAX(ROW(E$1:E772)*(E773=E$1:E772))))))</f>
        <v>19</v>
      </c>
      <c r="K773" s="15" t="n">
        <f aca="false">IF(OR(E773="",E773="!!!",F773="NEW"),"",INDEX(J$1:J772,SUMPRODUCT(MAX(ROW(E$1:E772)*(E773=E$1:E772)))))</f>
        <v>8</v>
      </c>
      <c r="L773" s="16"/>
    </row>
    <row r="774" customFormat="false" ht="12.75" hidden="false" customHeight="false" outlineLevel="0" collapsed="false">
      <c r="A774" s="9" t="s">
        <v>78</v>
      </c>
      <c r="E774" s="10" t="str">
        <f aca="false">IF(D774="?OLD","!!!","")</f>
        <v/>
      </c>
      <c r="F774" s="11" t="str">
        <f aca="false">IF(OR(E774="",E774="!!!"),"",IF(NOT(ISNA(VLOOKUP(E774,E$1:E773,1,FALSE()))),"OLD",IF(AND(E774&lt;&gt;"",E774&lt;&gt;"!!!"),"NEW","")))</f>
        <v/>
      </c>
      <c r="G774" s="12" t="str">
        <f aca="false">IF(OR(E774="",E774="!!!"),"",IF(OR(J774=0,AND(J774=1,K774=1),AND(J774=1,I774="SBJ"),AND(J774=1,I774=0)),"?IN_FOCUS",IF(J774&lt;=2,"?ACTIVATED",IF(J774&lt;&gt;"","?FAMILIAR",IF(F774="NEW",IF(ISNA(VLOOKUP(E774,#REF!,1,FALSE())),"?TYPE_IDENTIFIABLE","?REFERENTIAL"),"_")))))</f>
        <v/>
      </c>
      <c r="H774" s="13" t="str">
        <f aca="false">IF(J774&lt;&gt;1,"",IF(I774="SBJ","CB","?"))</f>
        <v/>
      </c>
      <c r="I774" s="14" t="str">
        <f aca="false">IF(OR(E774="",E774="!!!",F774="NEW"),"",INDEX(B$2:B773,-1+SUMPRODUCT(MAX(ROW(E$2:E773)*(E774=E$2:E773)))))</f>
        <v/>
      </c>
      <c r="J774" s="15" t="str">
        <f aca="true">IF(OR(E774="",E774="!!!",F774="NEW"),"",COUNTBLANK(OFFSET(A$1,,,SUMPRODUCT(MAX(ROW(E$2:E774)*(E774=E$2:E774)))))-COUNTBLANK(OFFSET(A$1,,,SUMPRODUCT(MAX(ROW(E$1:E773)*(E774=E$1:E773))))))</f>
        <v/>
      </c>
      <c r="K774" s="15" t="str">
        <f aca="false">IF(OR(E774="",E774="!!!",F774="NEW"),"",INDEX(J$1:J773,SUMPRODUCT(MAX(ROW(E$1:E773)*(E774=E$1:E773)))))</f>
        <v/>
      </c>
      <c r="L774" s="16"/>
    </row>
    <row r="775" customFormat="false" ht="12.75" hidden="false" customHeight="false" outlineLevel="0" collapsed="false">
      <c r="A775" s="9" t="s">
        <v>113</v>
      </c>
      <c r="E775" s="10" t="str">
        <f aca="false">IF(D775="?OLD","!!!","")</f>
        <v/>
      </c>
      <c r="F775" s="11" t="str">
        <f aca="false">IF(OR(E775="",E775="!!!"),"",IF(NOT(ISNA(VLOOKUP(E775,E$1:E774,1,FALSE()))),"OLD",IF(AND(E775&lt;&gt;"",E775&lt;&gt;"!!!"),"NEW","")))</f>
        <v/>
      </c>
      <c r="G775" s="12" t="str">
        <f aca="false">IF(OR(E775="",E775="!!!"),"",IF(OR(J775=0,AND(J775=1,K775=1),AND(J775=1,I775="SBJ"),AND(J775=1,I775=0)),"?IN_FOCUS",IF(J775&lt;=2,"?ACTIVATED",IF(J775&lt;&gt;"","?FAMILIAR",IF(F775="NEW",IF(ISNA(VLOOKUP(E775,#REF!,1,FALSE())),"?TYPE_IDENTIFIABLE","?REFERENTIAL"),"_")))))</f>
        <v/>
      </c>
      <c r="H775" s="13" t="str">
        <f aca="false">IF(J775&lt;&gt;1,"",IF(I775="SBJ","CB","?"))</f>
        <v/>
      </c>
      <c r="I775" s="14" t="str">
        <f aca="false">IF(OR(E775="",E775="!!!",F775="NEW"),"",INDEX(B$2:B774,-1+SUMPRODUCT(MAX(ROW(E$2:E774)*(E775=E$2:E774)))))</f>
        <v/>
      </c>
      <c r="J775" s="15" t="str">
        <f aca="true">IF(OR(E775="",E775="!!!",F775="NEW"),"",COUNTBLANK(OFFSET(A$1,,,SUMPRODUCT(MAX(ROW(E$2:E775)*(E775=E$2:E775)))))-COUNTBLANK(OFFSET(A$1,,,SUMPRODUCT(MAX(ROW(E$1:E774)*(E775=E$1:E774))))))</f>
        <v/>
      </c>
      <c r="K775" s="15" t="str">
        <f aca="false">IF(OR(E775="",E775="!!!",F775="NEW"),"",INDEX(J$1:J774,SUMPRODUCT(MAX(ROW(E$1:E774)*(E775=E$1:E774)))))</f>
        <v/>
      </c>
      <c r="L775" s="16"/>
    </row>
    <row r="776" customFormat="false" ht="12.75" hidden="false" customHeight="false" outlineLevel="0" collapsed="false">
      <c r="A776" s="9" t="s">
        <v>16</v>
      </c>
      <c r="B776" s="0" t="s">
        <v>75</v>
      </c>
      <c r="C776" s="0" t="s">
        <v>114</v>
      </c>
      <c r="D776" s="0" t="s">
        <v>19</v>
      </c>
      <c r="E776" s="10" t="s">
        <v>241</v>
      </c>
      <c r="F776" s="11" t="str">
        <f aca="false">IF(OR(E776="",E776="!!!"),"",IF(NOT(ISNA(VLOOKUP(E776,E$1:E775,1,FALSE()))),"OLD",IF(AND(E776&lt;&gt;"",E776&lt;&gt;"!!!"),"NEW","")))</f>
        <v>OLD</v>
      </c>
      <c r="G776" s="12" t="s">
        <v>52</v>
      </c>
      <c r="H776" s="13" t="str">
        <f aca="false">IF(J776&lt;&gt;1,"",IF(I776="SBJ","CB","?"))</f>
        <v/>
      </c>
      <c r="I776" s="14" t="str">
        <f aca="false">IF(OR(E776="",E776="!!!",F776="NEW"),"",INDEX(B$2:B775,-1+SUMPRODUCT(MAX(ROW(E$2:E775)*(E776=E$2:E775)))))</f>
        <v>other_4</v>
      </c>
      <c r="J776" s="15" t="n">
        <f aca="true">IF(OR(E776="",E776="!!!",F776="NEW"),"",COUNTBLANK(OFFSET(A$1,,,SUMPRODUCT(MAX(ROW(E$2:E776)*(E776=E$2:E776)))))-COUNTBLANK(OFFSET(A$1,,,SUMPRODUCT(MAX(ROW(E$1:E775)*(E776=E$1:E775))))))</f>
        <v>18</v>
      </c>
      <c r="K776" s="15" t="str">
        <f aca="false">IF(OR(E776="",E776="!!!",F776="NEW"),"",INDEX(J$1:J775,SUMPRODUCT(MAX(ROW(E$1:E775)*(E776=E$1:E775)))))</f>
        <v/>
      </c>
      <c r="L776" s="16"/>
    </row>
    <row r="777" customFormat="false" ht="12.75" hidden="false" customHeight="false" outlineLevel="0" collapsed="false">
      <c r="A777" s="9" t="s">
        <v>44</v>
      </c>
      <c r="E777" s="10" t="str">
        <f aca="false">IF(D777="?OLD","!!!","")</f>
        <v/>
      </c>
      <c r="F777" s="11" t="str">
        <f aca="false">IF(OR(E777="",E777="!!!"),"",IF(NOT(ISNA(VLOOKUP(E777,E$1:E776,1,FALSE()))),"OLD",IF(AND(E777&lt;&gt;"",E777&lt;&gt;"!!!"),"NEW","")))</f>
        <v/>
      </c>
      <c r="G777" s="12" t="str">
        <f aca="false">IF(OR(E777="",E777="!!!"),"",IF(OR(J777=0,AND(J777=1,K777=1),AND(J777=1,I777="SBJ"),AND(J777=1,I777=0)),"?IN_FOCUS",IF(J777&lt;=2,"?ACTIVATED",IF(J777&lt;&gt;"","?FAMILIAR",IF(F777="NEW",IF(ISNA(VLOOKUP(E777,#REF!,1,FALSE())),"?TYPE_IDENTIFIABLE","?REFERENTIAL"),"_")))))</f>
        <v/>
      </c>
      <c r="H777" s="13" t="str">
        <f aca="false">IF(J777&lt;&gt;1,"",IF(I777="SBJ","CB","?"))</f>
        <v/>
      </c>
      <c r="I777" s="14" t="str">
        <f aca="false">IF(OR(E777="",E777="!!!",F777="NEW"),"",INDEX(B$2:B776,-1+SUMPRODUCT(MAX(ROW(E$2:E776)*(E777=E$2:E776)))))</f>
        <v/>
      </c>
      <c r="J777" s="15" t="str">
        <f aca="true">IF(OR(E777="",E777="!!!",F777="NEW"),"",COUNTBLANK(OFFSET(A$1,,,SUMPRODUCT(MAX(ROW(E$2:E777)*(E777=E$2:E777)))))-COUNTBLANK(OFFSET(A$1,,,SUMPRODUCT(MAX(ROW(E$1:E776)*(E777=E$1:E776))))))</f>
        <v/>
      </c>
      <c r="K777" s="15" t="str">
        <f aca="false">IF(OR(E777="",E777="!!!",F777="NEW"),"",INDEX(J$1:J776,SUMPRODUCT(MAX(ROW(E$1:E776)*(E777=E$1:E776)))))</f>
        <v/>
      </c>
      <c r="L777" s="16"/>
    </row>
    <row r="778" customFormat="false" ht="12.75" hidden="false" customHeight="false" outlineLevel="0" collapsed="false">
      <c r="E778" s="10" t="str">
        <f aca="false">IF(D778="?OLD","!!!","")</f>
        <v/>
      </c>
      <c r="F778" s="11" t="str">
        <f aca="false">IF(OR(E778="",E778="!!!"),"",IF(NOT(ISNA(VLOOKUP(E778,E$1:E777,1,FALSE()))),"OLD",IF(AND(E778&lt;&gt;"",E778&lt;&gt;"!!!"),"NEW","")))</f>
        <v/>
      </c>
      <c r="G778" s="12" t="str">
        <f aca="false">IF(OR(E778="",E778="!!!"),"",IF(OR(J778=0,AND(J778=1,K778=1),AND(J778=1,I778="SBJ"),AND(J778=1,I778=0)),"?IN_FOCUS",IF(J778&lt;=2,"?ACTIVATED",IF(J778&lt;&gt;"","?FAMILIAR",IF(F778="NEW",IF(ISNA(VLOOKUP(E778,#REF!,1,FALSE())),"?TYPE_IDENTIFIABLE","?REFERENTIAL"),"_")))))</f>
        <v/>
      </c>
      <c r="H778" s="13" t="str">
        <f aca="false">IF(J778&lt;&gt;1,"",IF(I778="SBJ","CB","?"))</f>
        <v/>
      </c>
      <c r="I778" s="14" t="str">
        <f aca="false">IF(OR(E778="",E778="!!!",F778="NEW"),"",INDEX(B$2:B777,-1+SUMPRODUCT(MAX(ROW(E$2:E777)*(E778=E$2:E777)))))</f>
        <v/>
      </c>
      <c r="J778" s="15" t="str">
        <f aca="true">IF(OR(E778="",E778="!!!",F778="NEW"),"",COUNTBLANK(OFFSET(A$1,,,SUMPRODUCT(MAX(ROW(E$2:E778)*(E778=E$2:E778)))))-COUNTBLANK(OFFSET(A$1,,,SUMPRODUCT(MAX(ROW(E$1:E777)*(E778=E$1:E777))))))</f>
        <v/>
      </c>
      <c r="K778" s="15" t="str">
        <f aca="false">IF(OR(E778="",E778="!!!",F778="NEW"),"",INDEX(J$1:J777,SUMPRODUCT(MAX(ROW(E$1:E777)*(E778=E$1:E777)))))</f>
        <v/>
      </c>
      <c r="L778" s="16"/>
    </row>
    <row r="779" customFormat="false" ht="12.75" hidden="false" customHeight="false" outlineLevel="0" collapsed="false">
      <c r="A779" s="9" t="s">
        <v>423</v>
      </c>
      <c r="E779" s="10" t="str">
        <f aca="false">IF(D779="?OLD","!!!","")</f>
        <v/>
      </c>
      <c r="F779" s="11" t="str">
        <f aca="false">IF(OR(E779="",E779="!!!"),"",IF(NOT(ISNA(VLOOKUP(E779,E$1:E778,1,FALSE()))),"OLD",IF(AND(E779&lt;&gt;"",E779&lt;&gt;"!!!"),"NEW","")))</f>
        <v/>
      </c>
      <c r="G779" s="12" t="str">
        <f aca="false">IF(OR(E779="",E779="!!!"),"",IF(OR(J779=0,AND(J779=1,K779=1),AND(J779=1,I779="SBJ"),AND(J779=1,I779=0)),"?IN_FOCUS",IF(J779&lt;=2,"?ACTIVATED",IF(J779&lt;&gt;"","?FAMILIAR",IF(F779="NEW",IF(ISNA(VLOOKUP(E779,#REF!,1,FALSE())),"?TYPE_IDENTIFIABLE","?REFERENTIAL"),"_")))))</f>
        <v/>
      </c>
      <c r="H779" s="13" t="str">
        <f aca="false">IF(J779&lt;&gt;1,"",IF(I779="SBJ","CB","?"))</f>
        <v/>
      </c>
      <c r="I779" s="14" t="str">
        <f aca="false">IF(OR(E779="",E779="!!!",F779="NEW"),"",INDEX(B$2:B778,-1+SUMPRODUCT(MAX(ROW(E$2:E778)*(E779=E$2:E778)))))</f>
        <v/>
      </c>
      <c r="J779" s="15" t="str">
        <f aca="true">IF(OR(E779="",E779="!!!",F779="NEW"),"",COUNTBLANK(OFFSET(A$1,,,SUMPRODUCT(MAX(ROW(E$2:E779)*(E779=E$2:E779)))))-COUNTBLANK(OFFSET(A$1,,,SUMPRODUCT(MAX(ROW(E$1:E778)*(E779=E$1:E778))))))</f>
        <v/>
      </c>
      <c r="K779" s="15" t="str">
        <f aca="false">IF(OR(E779="",E779="!!!",F779="NEW"),"",INDEX(J$1:J778,SUMPRODUCT(MAX(ROW(E$1:E778)*(E779=E$1:E778)))))</f>
        <v/>
      </c>
      <c r="L779" s="16"/>
    </row>
    <row r="780" customFormat="false" ht="12.75" hidden="false" customHeight="false" outlineLevel="0" collapsed="false">
      <c r="A780" s="9" t="s">
        <v>379</v>
      </c>
      <c r="E780" s="10" t="str">
        <f aca="false">IF(D780="?OLD","!!!","")</f>
        <v/>
      </c>
      <c r="F780" s="11" t="str">
        <f aca="false">IF(OR(E780="",E780="!!!"),"",IF(NOT(ISNA(VLOOKUP(E780,E$1:E779,1,FALSE()))),"OLD",IF(AND(E780&lt;&gt;"",E780&lt;&gt;"!!!"),"NEW","")))</f>
        <v/>
      </c>
      <c r="G780" s="12" t="str">
        <f aca="false">IF(OR(E780="",E780="!!!"),"",IF(OR(J780=0,AND(J780=1,K780=1),AND(J780=1,I780="SBJ"),AND(J780=1,I780=0)),"?IN_FOCUS",IF(J780&lt;=2,"?ACTIVATED",IF(J780&lt;&gt;"","?FAMILIAR",IF(F780="NEW",IF(ISNA(VLOOKUP(E780,#REF!,1,FALSE())),"?TYPE_IDENTIFIABLE","?REFERENTIAL"),"_")))))</f>
        <v/>
      </c>
      <c r="H780" s="13" t="str">
        <f aca="false">IF(J780&lt;&gt;1,"",IF(I780="SBJ","CB","?"))</f>
        <v/>
      </c>
      <c r="I780" s="14" t="str">
        <f aca="false">IF(OR(E780="",E780="!!!",F780="NEW"),"",INDEX(B$2:B779,-1+SUMPRODUCT(MAX(ROW(E$2:E779)*(E780=E$2:E779)))))</f>
        <v/>
      </c>
      <c r="J780" s="15" t="str">
        <f aca="true">IF(OR(E780="",E780="!!!",F780="NEW"),"",COUNTBLANK(OFFSET(A$1,,,SUMPRODUCT(MAX(ROW(E$2:E780)*(E780=E$2:E780)))))-COUNTBLANK(OFFSET(A$1,,,SUMPRODUCT(MAX(ROW(E$1:E779)*(E780=E$1:E779))))))</f>
        <v/>
      </c>
      <c r="K780" s="15" t="str">
        <f aca="false">IF(OR(E780="",E780="!!!",F780="NEW"),"",INDEX(J$1:J779,SUMPRODUCT(MAX(ROW(E$1:E779)*(E780=E$1:E779)))))</f>
        <v/>
      </c>
      <c r="L780" s="16"/>
    </row>
    <row r="781" customFormat="false" ht="12.75" hidden="false" customHeight="false" outlineLevel="0" collapsed="false">
      <c r="A781" s="9" t="s">
        <v>28</v>
      </c>
      <c r="E781" s="10" t="str">
        <f aca="false">IF(D781="?OLD","!!!","")</f>
        <v/>
      </c>
      <c r="F781" s="11" t="str">
        <f aca="false">IF(OR(E781="",E781="!!!"),"",IF(NOT(ISNA(VLOOKUP(E781,E$1:E780,1,FALSE()))),"OLD",IF(AND(E781&lt;&gt;"",E781&lt;&gt;"!!!"),"NEW","")))</f>
        <v/>
      </c>
      <c r="G781" s="12" t="str">
        <f aca="false">IF(OR(E781="",E781="!!!"),"",IF(OR(J781=0,AND(J781=1,K781=1),AND(J781=1,I781="SBJ"),AND(J781=1,I781=0)),"?IN_FOCUS",IF(J781&lt;=2,"?ACTIVATED",IF(J781&lt;&gt;"","?FAMILIAR",IF(F781="NEW",IF(ISNA(VLOOKUP(E781,#REF!,1,FALSE())),"?TYPE_IDENTIFIABLE","?REFERENTIAL"),"_")))))</f>
        <v/>
      </c>
      <c r="H781" s="13" t="str">
        <f aca="false">IF(J781&lt;&gt;1,"",IF(I781="SBJ","CB","?"))</f>
        <v/>
      </c>
      <c r="I781" s="14" t="str">
        <f aca="false">IF(OR(E781="",E781="!!!",F781="NEW"),"",INDEX(B$2:B780,-1+SUMPRODUCT(MAX(ROW(E$2:E780)*(E781=E$2:E780)))))</f>
        <v/>
      </c>
      <c r="J781" s="15" t="str">
        <f aca="true">IF(OR(E781="",E781="!!!",F781="NEW"),"",COUNTBLANK(OFFSET(A$1,,,SUMPRODUCT(MAX(ROW(E$2:E781)*(E781=E$2:E781)))))-COUNTBLANK(OFFSET(A$1,,,SUMPRODUCT(MAX(ROW(E$1:E780)*(E781=E$1:E780))))))</f>
        <v/>
      </c>
      <c r="K781" s="15" t="str">
        <f aca="false">IF(OR(E781="",E781="!!!",F781="NEW"),"",INDEX(J$1:J780,SUMPRODUCT(MAX(ROW(E$1:E780)*(E781=E$1:E780)))))</f>
        <v/>
      </c>
      <c r="L781" s="16"/>
    </row>
    <row r="782" customFormat="false" ht="12.75" hidden="false" customHeight="false" outlineLevel="0" collapsed="false">
      <c r="A782" s="9" t="s">
        <v>340</v>
      </c>
      <c r="E782" s="10" t="str">
        <f aca="false">IF(D782="?OLD","!!!","")</f>
        <v/>
      </c>
      <c r="F782" s="11" t="str">
        <f aca="false">IF(OR(E782="",E782="!!!"),"",IF(NOT(ISNA(VLOOKUP(E782,E$1:E781,1,FALSE()))),"OLD",IF(AND(E782&lt;&gt;"",E782&lt;&gt;"!!!"),"NEW","")))</f>
        <v/>
      </c>
      <c r="G782" s="12" t="str">
        <f aca="false">IF(OR(E782="",E782="!!!"),"",IF(OR(J782=0,AND(J782=1,K782=1),AND(J782=1,I782="SBJ"),AND(J782=1,I782=0)),"?IN_FOCUS",IF(J782&lt;=2,"?ACTIVATED",IF(J782&lt;&gt;"","?FAMILIAR",IF(F782="NEW",IF(ISNA(VLOOKUP(E782,#REF!,1,FALSE())),"?TYPE_IDENTIFIABLE","?REFERENTIAL"),"_")))))</f>
        <v/>
      </c>
      <c r="H782" s="13" t="str">
        <f aca="false">IF(J782&lt;&gt;1,"",IF(I782="SBJ","CB","?"))</f>
        <v/>
      </c>
      <c r="I782" s="14" t="str">
        <f aca="false">IF(OR(E782="",E782="!!!",F782="NEW"),"",INDEX(B$2:B781,-1+SUMPRODUCT(MAX(ROW(E$2:E781)*(E782=E$2:E781)))))</f>
        <v/>
      </c>
      <c r="J782" s="15" t="str">
        <f aca="true">IF(OR(E782="",E782="!!!",F782="NEW"),"",COUNTBLANK(OFFSET(A$1,,,SUMPRODUCT(MAX(ROW(E$2:E782)*(E782=E$2:E782)))))-COUNTBLANK(OFFSET(A$1,,,SUMPRODUCT(MAX(ROW(E$1:E781)*(E782=E$1:E781))))))</f>
        <v/>
      </c>
      <c r="K782" s="15" t="str">
        <f aca="false">IF(OR(E782="",E782="!!!",F782="NEW"),"",INDEX(J$1:J781,SUMPRODUCT(MAX(ROW(E$1:E781)*(E782=E$1:E781)))))</f>
        <v/>
      </c>
      <c r="L782" s="16"/>
    </row>
    <row r="783" customFormat="false" ht="12.75" hidden="false" customHeight="false" outlineLevel="0" collapsed="false">
      <c r="A783" s="9" t="s">
        <v>53</v>
      </c>
      <c r="E783" s="10" t="str">
        <f aca="false">IF(D783="?OLD","!!!","")</f>
        <v/>
      </c>
      <c r="F783" s="11" t="str">
        <f aca="false">IF(OR(E783="",E783="!!!"),"",IF(NOT(ISNA(VLOOKUP(E783,E$1:E782,1,FALSE()))),"OLD",IF(AND(E783&lt;&gt;"",E783&lt;&gt;"!!!"),"NEW","")))</f>
        <v/>
      </c>
      <c r="G783" s="12" t="str">
        <f aca="false">IF(OR(E783="",E783="!!!"),"",IF(OR(J783=0,AND(J783=1,K783=1),AND(J783=1,I783="SBJ"),AND(J783=1,I783=0)),"?IN_FOCUS",IF(J783&lt;=2,"?ACTIVATED",IF(J783&lt;&gt;"","?FAMILIAR",IF(F783="NEW",IF(ISNA(VLOOKUP(E783,#REF!,1,FALSE())),"?TYPE_IDENTIFIABLE","?REFERENTIAL"),"_")))))</f>
        <v/>
      </c>
      <c r="H783" s="13" t="str">
        <f aca="false">IF(J783&lt;&gt;1,"",IF(I783="SBJ","CB","?"))</f>
        <v/>
      </c>
      <c r="I783" s="14" t="str">
        <f aca="false">IF(OR(E783="",E783="!!!",F783="NEW"),"",INDEX(B$2:B782,-1+SUMPRODUCT(MAX(ROW(E$2:E782)*(E783=E$2:E782)))))</f>
        <v/>
      </c>
      <c r="J783" s="15" t="str">
        <f aca="true">IF(OR(E783="",E783="!!!",F783="NEW"),"",COUNTBLANK(OFFSET(A$1,,,SUMPRODUCT(MAX(ROW(E$2:E783)*(E783=E$2:E783)))))-COUNTBLANK(OFFSET(A$1,,,SUMPRODUCT(MAX(ROW(E$1:E782)*(E783=E$1:E782))))))</f>
        <v/>
      </c>
      <c r="K783" s="15" t="str">
        <f aca="false">IF(OR(E783="",E783="!!!",F783="NEW"),"",INDEX(J$1:J782,SUMPRODUCT(MAX(ROW(E$1:E782)*(E783=E$1:E782)))))</f>
        <v/>
      </c>
      <c r="L783" s="16"/>
    </row>
    <row r="784" customFormat="false" ht="12.75" hidden="false" customHeight="false" outlineLevel="0" collapsed="false">
      <c r="A784" s="9" t="s">
        <v>248</v>
      </c>
      <c r="B784" s="0" t="s">
        <v>40</v>
      </c>
      <c r="C784" s="0" t="s">
        <v>56</v>
      </c>
      <c r="E784" s="10" t="str">
        <f aca="false">IF(D784="?OLD","!!!","")</f>
        <v/>
      </c>
      <c r="F784" s="11" t="str">
        <f aca="false">IF(OR(E784="",E784="!!!"),"",IF(NOT(ISNA(VLOOKUP(E784,E$1:E783,1,FALSE()))),"OLD",IF(AND(E784&lt;&gt;"",E784&lt;&gt;"!!!"),"NEW","")))</f>
        <v/>
      </c>
      <c r="G784" s="12" t="str">
        <f aca="false">IF(OR(E784="",E784="!!!"),"",IF(OR(J784=0,AND(J784=1,K784=1),AND(J784=1,I784="SBJ"),AND(J784=1,I784=0)),"?IN_FOCUS",IF(J784&lt;=2,"?ACTIVATED",IF(J784&lt;&gt;"","?FAMILIAR",IF(F784="NEW",IF(ISNA(VLOOKUP(E784,#REF!,1,FALSE())),"?TYPE_IDENTIFIABLE","?REFERENTIAL"),"_")))))</f>
        <v/>
      </c>
      <c r="H784" s="13" t="str">
        <f aca="false">IF(J784&lt;&gt;1,"",IF(I784="SBJ","CB","?"))</f>
        <v/>
      </c>
      <c r="I784" s="14" t="str">
        <f aca="false">IF(OR(E784="",E784="!!!",F784="NEW"),"",INDEX(B$2:B783,-1+SUMPRODUCT(MAX(ROW(E$2:E783)*(E784=E$2:E783)))))</f>
        <v/>
      </c>
      <c r="J784" s="15" t="str">
        <f aca="true">IF(OR(E784="",E784="!!!",F784="NEW"),"",COUNTBLANK(OFFSET(A$1,,,SUMPRODUCT(MAX(ROW(E$2:E784)*(E784=E$2:E784)))))-COUNTBLANK(OFFSET(A$1,,,SUMPRODUCT(MAX(ROW(E$1:E783)*(E784=E$1:E783))))))</f>
        <v/>
      </c>
      <c r="K784" s="15" t="str">
        <f aca="false">IF(OR(E784="",E784="!!!",F784="NEW"),"",INDEX(J$1:J783,SUMPRODUCT(MAX(ROW(E$1:E783)*(E784=E$1:E783)))))</f>
        <v/>
      </c>
      <c r="L784" s="16"/>
    </row>
    <row r="785" customFormat="false" ht="12.75" hidden="false" customHeight="false" outlineLevel="0" collapsed="false">
      <c r="A785" s="9" t="s">
        <v>28</v>
      </c>
      <c r="E785" s="10" t="str">
        <f aca="false">IF(D785="?OLD","!!!","")</f>
        <v/>
      </c>
      <c r="F785" s="11" t="str">
        <f aca="false">IF(OR(E785="",E785="!!!"),"",IF(NOT(ISNA(VLOOKUP(E785,E$1:E784,1,FALSE()))),"OLD",IF(AND(E785&lt;&gt;"",E785&lt;&gt;"!!!"),"NEW","")))</f>
        <v/>
      </c>
      <c r="G785" s="12" t="str">
        <f aca="false">IF(OR(E785="",E785="!!!"),"",IF(OR(J785=0,AND(J785=1,K785=1),AND(J785=1,I785="SBJ"),AND(J785=1,I785=0)),"?IN_FOCUS",IF(J785&lt;=2,"?ACTIVATED",IF(J785&lt;&gt;"","?FAMILIAR",IF(F785="NEW",IF(ISNA(VLOOKUP(E785,#REF!,1,FALSE())),"?TYPE_IDENTIFIABLE","?REFERENTIAL"),"_")))))</f>
        <v/>
      </c>
      <c r="H785" s="13" t="str">
        <f aca="false">IF(J785&lt;&gt;1,"",IF(I785="SBJ","CB","?"))</f>
        <v/>
      </c>
      <c r="I785" s="14" t="str">
        <f aca="false">IF(OR(E785="",E785="!!!",F785="NEW"),"",INDEX(B$2:B784,-1+SUMPRODUCT(MAX(ROW(E$2:E784)*(E785=E$2:E784)))))</f>
        <v/>
      </c>
      <c r="J785" s="15" t="str">
        <f aca="true">IF(OR(E785="",E785="!!!",F785="NEW"),"",COUNTBLANK(OFFSET(A$1,,,SUMPRODUCT(MAX(ROW(E$2:E785)*(E785=E$2:E785)))))-COUNTBLANK(OFFSET(A$1,,,SUMPRODUCT(MAX(ROW(E$1:E784)*(E785=E$1:E784))))))</f>
        <v/>
      </c>
      <c r="K785" s="15" t="str">
        <f aca="false">IF(OR(E785="",E785="!!!",F785="NEW"),"",INDEX(J$1:J784,SUMPRODUCT(MAX(ROW(E$1:E784)*(E785=E$1:E784)))))</f>
        <v/>
      </c>
      <c r="L785" s="16"/>
    </row>
    <row r="786" customFormat="false" ht="12.75" hidden="false" customHeight="false" outlineLevel="0" collapsed="false">
      <c r="A786" s="9" t="s">
        <v>63</v>
      </c>
      <c r="E786" s="10" t="str">
        <f aca="false">IF(D786="?OLD","!!!","")</f>
        <v/>
      </c>
      <c r="F786" s="11" t="str">
        <f aca="false">IF(OR(E786="",E786="!!!"),"",IF(NOT(ISNA(VLOOKUP(E786,E$1:E785,1,FALSE()))),"OLD",IF(AND(E786&lt;&gt;"",E786&lt;&gt;"!!!"),"NEW","")))</f>
        <v/>
      </c>
      <c r="G786" s="12" t="str">
        <f aca="false">IF(OR(E786="",E786="!!!"),"",IF(OR(J786=0,AND(J786=1,K786=1),AND(J786=1,I786="SBJ"),AND(J786=1,I786=0)),"?IN_FOCUS",IF(J786&lt;=2,"?ACTIVATED",IF(J786&lt;&gt;"","?FAMILIAR",IF(F786="NEW",IF(ISNA(VLOOKUP(E786,#REF!,1,FALSE())),"?TYPE_IDENTIFIABLE","?REFERENTIAL"),"_")))))</f>
        <v/>
      </c>
      <c r="H786" s="13" t="str">
        <f aca="false">IF(J786&lt;&gt;1,"",IF(I786="SBJ","CB","?"))</f>
        <v/>
      </c>
      <c r="I786" s="14" t="str">
        <f aca="false">IF(OR(E786="",E786="!!!",F786="NEW"),"",INDEX(B$2:B785,-1+SUMPRODUCT(MAX(ROW(E$2:E785)*(E786=E$2:E785)))))</f>
        <v/>
      </c>
      <c r="J786" s="15" t="str">
        <f aca="true">IF(OR(E786="",E786="!!!",F786="NEW"),"",COUNTBLANK(OFFSET(A$1,,,SUMPRODUCT(MAX(ROW(E$2:E786)*(E786=E$2:E786)))))-COUNTBLANK(OFFSET(A$1,,,SUMPRODUCT(MAX(ROW(E$1:E785)*(E786=E$1:E785))))))</f>
        <v/>
      </c>
      <c r="K786" s="15" t="str">
        <f aca="false">IF(OR(E786="",E786="!!!",F786="NEW"),"",INDEX(J$1:J785,SUMPRODUCT(MAX(ROW(E$1:E785)*(E786=E$1:E785)))))</f>
        <v/>
      </c>
      <c r="L786" s="16"/>
    </row>
    <row r="787" customFormat="false" ht="12.75" hidden="false" customHeight="false" outlineLevel="0" collapsed="false">
      <c r="A787" s="9" t="s">
        <v>424</v>
      </c>
      <c r="E787" s="10" t="str">
        <f aca="false">IF(D787="?OLD","!!!","")</f>
        <v/>
      </c>
      <c r="F787" s="11" t="str">
        <f aca="false">IF(OR(E787="",E787="!!!"),"",IF(NOT(ISNA(VLOOKUP(E787,E$1:E786,1,FALSE()))),"OLD",IF(AND(E787&lt;&gt;"",E787&lt;&gt;"!!!"),"NEW","")))</f>
        <v/>
      </c>
      <c r="G787" s="12" t="str">
        <f aca="false">IF(OR(E787="",E787="!!!"),"",IF(OR(J787=0,AND(J787=1,K787=1),AND(J787=1,I787="SBJ"),AND(J787=1,I787=0)),"?IN_FOCUS",IF(J787&lt;=2,"?ACTIVATED",IF(J787&lt;&gt;"","?FAMILIAR",IF(F787="NEW",IF(ISNA(VLOOKUP(E787,#REF!,1,FALSE())),"?TYPE_IDENTIFIABLE","?REFERENTIAL"),"_")))))</f>
        <v/>
      </c>
      <c r="H787" s="13" t="str">
        <f aca="false">IF(J787&lt;&gt;1,"",IF(I787="SBJ","CB","?"))</f>
        <v/>
      </c>
      <c r="I787" s="14" t="str">
        <f aca="false">IF(OR(E787="",E787="!!!",F787="NEW"),"",INDEX(B$2:B786,-1+SUMPRODUCT(MAX(ROW(E$2:E786)*(E787=E$2:E786)))))</f>
        <v/>
      </c>
      <c r="J787" s="15" t="str">
        <f aca="true">IF(OR(E787="",E787="!!!",F787="NEW"),"",COUNTBLANK(OFFSET(A$1,,,SUMPRODUCT(MAX(ROW(E$2:E787)*(E787=E$2:E787)))))-COUNTBLANK(OFFSET(A$1,,,SUMPRODUCT(MAX(ROW(E$1:E786)*(E787=E$1:E786))))))</f>
        <v/>
      </c>
      <c r="K787" s="15" t="str">
        <f aca="false">IF(OR(E787="",E787="!!!",F787="NEW"),"",INDEX(J$1:J786,SUMPRODUCT(MAX(ROW(E$1:E786)*(E787=E$1:E786)))))</f>
        <v/>
      </c>
      <c r="L787" s="16"/>
    </row>
    <row r="788" customFormat="false" ht="12.75" hidden="false" customHeight="false" outlineLevel="0" collapsed="false">
      <c r="A788" s="9" t="s">
        <v>258</v>
      </c>
      <c r="E788" s="10" t="str">
        <f aca="false">IF(D788="?OLD","!!!","")</f>
        <v/>
      </c>
      <c r="F788" s="11" t="str">
        <f aca="false">IF(OR(E788="",E788="!!!"),"",IF(NOT(ISNA(VLOOKUP(E788,E$1:E787,1,FALSE()))),"OLD",IF(AND(E788&lt;&gt;"",E788&lt;&gt;"!!!"),"NEW","")))</f>
        <v/>
      </c>
      <c r="G788" s="12" t="str">
        <f aca="false">IF(OR(E788="",E788="!!!"),"",IF(OR(J788=0,AND(J788=1,K788=1),AND(J788=1,I788="SBJ"),AND(J788=1,I788=0)),"?IN_FOCUS",IF(J788&lt;=2,"?ACTIVATED",IF(J788&lt;&gt;"","?FAMILIAR",IF(F788="NEW",IF(ISNA(VLOOKUP(E788,#REF!,1,FALSE())),"?TYPE_IDENTIFIABLE","?REFERENTIAL"),"_")))))</f>
        <v/>
      </c>
      <c r="H788" s="13" t="str">
        <f aca="false">IF(J788&lt;&gt;1,"",IF(I788="SBJ","CB","?"))</f>
        <v/>
      </c>
      <c r="I788" s="14" t="str">
        <f aca="false">IF(OR(E788="",E788="!!!",F788="NEW"),"",INDEX(B$2:B787,-1+SUMPRODUCT(MAX(ROW(E$2:E787)*(E788=E$2:E787)))))</f>
        <v/>
      </c>
      <c r="J788" s="15" t="str">
        <f aca="true">IF(OR(E788="",E788="!!!",F788="NEW"),"",COUNTBLANK(OFFSET(A$1,,,SUMPRODUCT(MAX(ROW(E$2:E788)*(E788=E$2:E788)))))-COUNTBLANK(OFFSET(A$1,,,SUMPRODUCT(MAX(ROW(E$1:E787)*(E788=E$1:E787))))))</f>
        <v/>
      </c>
      <c r="K788" s="15" t="str">
        <f aca="false">IF(OR(E788="",E788="!!!",F788="NEW"),"",INDEX(J$1:J787,SUMPRODUCT(MAX(ROW(E$1:E787)*(E788=E$1:E787)))))</f>
        <v/>
      </c>
      <c r="L788" s="16"/>
    </row>
    <row r="789" customFormat="false" ht="12.75" hidden="false" customHeight="false" outlineLevel="0" collapsed="false">
      <c r="A789" s="9" t="s">
        <v>187</v>
      </c>
      <c r="B789" s="0" t="s">
        <v>94</v>
      </c>
      <c r="C789" s="0" t="s">
        <v>103</v>
      </c>
      <c r="D789" s="0" t="s">
        <v>19</v>
      </c>
      <c r="E789" s="10" t="s">
        <v>187</v>
      </c>
      <c r="F789" s="11" t="str">
        <f aca="false">IF(OR(E789="",E789="!!!"),"",IF(NOT(ISNA(VLOOKUP(E789,E$1:E788,1,FALSE()))),"OLD",IF(AND(E789&lt;&gt;"",E789&lt;&gt;"!!!"),"NEW","")))</f>
        <v>OLD</v>
      </c>
      <c r="G789" s="12" t="s">
        <v>33</v>
      </c>
      <c r="H789" s="13" t="str">
        <f aca="false">IF(J789&lt;&gt;1,"",IF(I789="SBJ","CB","?"))</f>
        <v/>
      </c>
      <c r="I789" s="14" t="str">
        <f aca="false">IF(OR(E789="",E789="!!!",F789="NEW"),"",INDEX(B$2:B788,-1+SUMPRODUCT(MAX(ROW(E$2:E788)*(E789=E$2:E788)))))</f>
        <v>other_4</v>
      </c>
      <c r="J789" s="15" t="n">
        <f aca="true">IF(OR(E789="",E789="!!!",F789="NEW"),"",COUNTBLANK(OFFSET(A$1,,,SUMPRODUCT(MAX(ROW(E$2:E789)*(E789=E$2:E789)))))-COUNTBLANK(OFFSET(A$1,,,SUMPRODUCT(MAX(ROW(E$1:E788)*(E789=E$1:E788))))))</f>
        <v>2</v>
      </c>
      <c r="K789" s="15" t="n">
        <f aca="false">IF(OR(E789="",E789="!!!",F789="NEW"),"",INDEX(J$1:J788,SUMPRODUCT(MAX(ROW(E$1:E788)*(E789=E$1:E788)))))</f>
        <v>0</v>
      </c>
      <c r="L789" s="16"/>
    </row>
    <row r="790" customFormat="false" ht="12.75" hidden="false" customHeight="false" outlineLevel="0" collapsed="false">
      <c r="A790" s="9" t="s">
        <v>26</v>
      </c>
      <c r="E790" s="10" t="str">
        <f aca="false">IF(D790="?OLD","!!!","")</f>
        <v/>
      </c>
      <c r="F790" s="11" t="str">
        <f aca="false">IF(OR(E790="",E790="!!!"),"",IF(NOT(ISNA(VLOOKUP(E790,E$1:E789,1,FALSE()))),"OLD",IF(AND(E790&lt;&gt;"",E790&lt;&gt;"!!!"),"NEW","")))</f>
        <v/>
      </c>
      <c r="G790" s="12" t="str">
        <f aca="false">IF(OR(E790="",E790="!!!"),"",IF(OR(J790=0,AND(J790=1,K790=1),AND(J790=1,I790="SBJ"),AND(J790=1,I790=0)),"?IN_FOCUS",IF(J790&lt;=2,"?ACTIVATED",IF(J790&lt;&gt;"","?FAMILIAR",IF(F790="NEW",IF(ISNA(VLOOKUP(E790,#REF!,1,FALSE())),"?TYPE_IDENTIFIABLE","?REFERENTIAL"),"_")))))</f>
        <v/>
      </c>
      <c r="H790" s="13" t="str">
        <f aca="false">IF(J790&lt;&gt;1,"",IF(I790="SBJ","CB","?"))</f>
        <v/>
      </c>
      <c r="I790" s="14" t="str">
        <f aca="false">IF(OR(E790="",E790="!!!",F790="NEW"),"",INDEX(B$2:B789,-1+SUMPRODUCT(MAX(ROW(E$2:E789)*(E790=E$2:E789)))))</f>
        <v/>
      </c>
      <c r="J790" s="15" t="str">
        <f aca="true">IF(OR(E790="",E790="!!!",F790="NEW"),"",COUNTBLANK(OFFSET(A$1,,,SUMPRODUCT(MAX(ROW(E$2:E790)*(E790=E$2:E790)))))-COUNTBLANK(OFFSET(A$1,,,SUMPRODUCT(MAX(ROW(E$1:E789)*(E790=E$1:E789))))))</f>
        <v/>
      </c>
      <c r="K790" s="15" t="str">
        <f aca="false">IF(OR(E790="",E790="!!!",F790="NEW"),"",INDEX(J$1:J789,SUMPRODUCT(MAX(ROW(E$1:E789)*(E790=E$1:E789)))))</f>
        <v/>
      </c>
      <c r="L790" s="16"/>
    </row>
    <row r="791" customFormat="false" ht="12.75" hidden="false" customHeight="false" outlineLevel="0" collapsed="false">
      <c r="A791" s="9" t="s">
        <v>425</v>
      </c>
      <c r="E791" s="10" t="str">
        <f aca="false">IF(D791="?OLD","!!!","")</f>
        <v/>
      </c>
      <c r="F791" s="11" t="str">
        <f aca="false">IF(OR(E791="",E791="!!!"),"",IF(NOT(ISNA(VLOOKUP(E791,E$1:E790,1,FALSE()))),"OLD",IF(AND(E791&lt;&gt;"",E791&lt;&gt;"!!!"),"NEW","")))</f>
        <v/>
      </c>
      <c r="G791" s="12" t="str">
        <f aca="false">IF(OR(E791="",E791="!!!"),"",IF(OR(J791=0,AND(J791=1,K791=1),AND(J791=1,I791="SBJ"),AND(J791=1,I791=0)),"?IN_FOCUS",IF(J791&lt;=2,"?ACTIVATED",IF(J791&lt;&gt;"","?FAMILIAR",IF(F791="NEW",IF(ISNA(VLOOKUP(E791,#REF!,1,FALSE())),"?TYPE_IDENTIFIABLE","?REFERENTIAL"),"_")))))</f>
        <v/>
      </c>
      <c r="H791" s="13" t="str">
        <f aca="false">IF(J791&lt;&gt;1,"",IF(I791="SBJ","CB","?"))</f>
        <v/>
      </c>
      <c r="I791" s="14" t="str">
        <f aca="false">IF(OR(E791="",E791="!!!",F791="NEW"),"",INDEX(B$2:B790,-1+SUMPRODUCT(MAX(ROW(E$2:E790)*(E791=E$2:E790)))))</f>
        <v/>
      </c>
      <c r="J791" s="15" t="str">
        <f aca="true">IF(OR(E791="",E791="!!!",F791="NEW"),"",COUNTBLANK(OFFSET(A$1,,,SUMPRODUCT(MAX(ROW(E$2:E791)*(E791=E$2:E791)))))-COUNTBLANK(OFFSET(A$1,,,SUMPRODUCT(MAX(ROW(E$1:E790)*(E791=E$1:E790))))))</f>
        <v/>
      </c>
      <c r="K791" s="15" t="str">
        <f aca="false">IF(OR(E791="",E791="!!!",F791="NEW"),"",INDEX(J$1:J790,SUMPRODUCT(MAX(ROW(E$1:E790)*(E791=E$1:E790)))))</f>
        <v/>
      </c>
      <c r="L791" s="16"/>
    </row>
    <row r="792" customFormat="false" ht="12.75" hidden="false" customHeight="false" outlineLevel="0" collapsed="false">
      <c r="A792" s="9" t="s">
        <v>37</v>
      </c>
      <c r="E792" s="10" t="str">
        <f aca="false">IF(D792="?OLD","!!!","")</f>
        <v/>
      </c>
      <c r="F792" s="11" t="str">
        <f aca="false">IF(OR(E792="",E792="!!!"),"",IF(NOT(ISNA(VLOOKUP(E792,E$1:E791,1,FALSE()))),"OLD",IF(AND(E792&lt;&gt;"",E792&lt;&gt;"!!!"),"NEW","")))</f>
        <v/>
      </c>
      <c r="G792" s="12" t="str">
        <f aca="false">IF(OR(E792="",E792="!!!"),"",IF(OR(J792=0,AND(J792=1,K792=1),AND(J792=1,I792="SBJ"),AND(J792=1,I792=0)),"?IN_FOCUS",IF(J792&lt;=2,"?ACTIVATED",IF(J792&lt;&gt;"","?FAMILIAR",IF(F792="NEW",IF(ISNA(VLOOKUP(E792,#REF!,1,FALSE())),"?TYPE_IDENTIFIABLE","?REFERENTIAL"),"_")))))</f>
        <v/>
      </c>
      <c r="H792" s="13" t="str">
        <f aca="false">IF(J792&lt;&gt;1,"",IF(I792="SBJ","CB","?"))</f>
        <v/>
      </c>
      <c r="I792" s="14" t="str">
        <f aca="false">IF(OR(E792="",E792="!!!",F792="NEW"),"",INDEX(B$2:B791,-1+SUMPRODUCT(MAX(ROW(E$2:E791)*(E792=E$2:E791)))))</f>
        <v/>
      </c>
      <c r="J792" s="15" t="str">
        <f aca="true">IF(OR(E792="",E792="!!!",F792="NEW"),"",COUNTBLANK(OFFSET(A$1,,,SUMPRODUCT(MAX(ROW(E$2:E792)*(E792=E$2:E792)))))-COUNTBLANK(OFFSET(A$1,,,SUMPRODUCT(MAX(ROW(E$1:E791)*(E792=E$1:E791))))))</f>
        <v/>
      </c>
      <c r="K792" s="15" t="str">
        <f aca="false">IF(OR(E792="",E792="!!!",F792="NEW"),"",INDEX(J$1:J791,SUMPRODUCT(MAX(ROW(E$1:E791)*(E792=E$1:E791)))))</f>
        <v/>
      </c>
      <c r="L792" s="16"/>
    </row>
    <row r="793" customFormat="false" ht="12.75" hidden="false" customHeight="false" outlineLevel="0" collapsed="false">
      <c r="A793" s="9" t="s">
        <v>426</v>
      </c>
      <c r="E793" s="10" t="str">
        <f aca="false">IF(D793="?OLD","!!!","")</f>
        <v/>
      </c>
      <c r="F793" s="11" t="str">
        <f aca="false">IF(OR(E793="",E793="!!!"),"",IF(NOT(ISNA(VLOOKUP(E793,E$1:E792,1,FALSE()))),"OLD",IF(AND(E793&lt;&gt;"",E793&lt;&gt;"!!!"),"NEW","")))</f>
        <v/>
      </c>
      <c r="G793" s="12" t="str">
        <f aca="false">IF(OR(E793="",E793="!!!"),"",IF(OR(J793=0,AND(J793=1,K793=1),AND(J793=1,I793="SBJ"),AND(J793=1,I793=0)),"?IN_FOCUS",IF(J793&lt;=2,"?ACTIVATED",IF(J793&lt;&gt;"","?FAMILIAR",IF(F793="NEW",IF(ISNA(VLOOKUP(E793,#REF!,1,FALSE())),"?TYPE_IDENTIFIABLE","?REFERENTIAL"),"_")))))</f>
        <v/>
      </c>
      <c r="H793" s="13" t="str">
        <f aca="false">IF(J793&lt;&gt;1,"",IF(I793="SBJ","CB","?"))</f>
        <v/>
      </c>
      <c r="I793" s="14" t="str">
        <f aca="false">IF(OR(E793="",E793="!!!",F793="NEW"),"",INDEX(B$2:B792,-1+SUMPRODUCT(MAX(ROW(E$2:E792)*(E793=E$2:E792)))))</f>
        <v/>
      </c>
      <c r="J793" s="15" t="str">
        <f aca="true">IF(OR(E793="",E793="!!!",F793="NEW"),"",COUNTBLANK(OFFSET(A$1,,,SUMPRODUCT(MAX(ROW(E$2:E793)*(E793=E$2:E793)))))-COUNTBLANK(OFFSET(A$1,,,SUMPRODUCT(MAX(ROW(E$1:E792)*(E793=E$1:E792))))))</f>
        <v/>
      </c>
      <c r="K793" s="15" t="str">
        <f aca="false">IF(OR(E793="",E793="!!!",F793="NEW"),"",INDEX(J$1:J792,SUMPRODUCT(MAX(ROW(E$1:E792)*(E793=E$1:E792)))))</f>
        <v/>
      </c>
      <c r="L793" s="16"/>
    </row>
    <row r="794" customFormat="false" ht="12.75" hidden="false" customHeight="false" outlineLevel="0" collapsed="false">
      <c r="A794" s="9" t="s">
        <v>427</v>
      </c>
      <c r="B794" s="0" t="s">
        <v>24</v>
      </c>
      <c r="C794" s="0" t="s">
        <v>56</v>
      </c>
      <c r="E794" s="10" t="str">
        <f aca="false">IF(D794="?OLD","!!!","")</f>
        <v/>
      </c>
      <c r="F794" s="11" t="str">
        <f aca="false">IF(OR(E794="",E794="!!!"),"",IF(NOT(ISNA(VLOOKUP(E794,E$1:E793,1,FALSE()))),"OLD",IF(AND(E794&lt;&gt;"",E794&lt;&gt;"!!!"),"NEW","")))</f>
        <v/>
      </c>
      <c r="G794" s="12" t="str">
        <f aca="false">IF(OR(E794="",E794="!!!"),"",IF(OR(J794=0,AND(J794=1,K794=1),AND(J794=1,I794="SBJ"),AND(J794=1,I794=0)),"?IN_FOCUS",IF(J794&lt;=2,"?ACTIVATED",IF(J794&lt;&gt;"","?FAMILIAR",IF(F794="NEW",IF(ISNA(VLOOKUP(E794,#REF!,1,FALSE())),"?TYPE_IDENTIFIABLE","?REFERENTIAL"),"_")))))</f>
        <v/>
      </c>
      <c r="H794" s="13" t="str">
        <f aca="false">IF(J794&lt;&gt;1,"",IF(I794="SBJ","CB","?"))</f>
        <v/>
      </c>
      <c r="I794" s="14" t="str">
        <f aca="false">IF(OR(E794="",E794="!!!",F794="NEW"),"",INDEX(B$2:B793,-1+SUMPRODUCT(MAX(ROW(E$2:E793)*(E794=E$2:E793)))))</f>
        <v/>
      </c>
      <c r="J794" s="15" t="str">
        <f aca="true">IF(OR(E794="",E794="!!!",F794="NEW"),"",COUNTBLANK(OFFSET(A$1,,,SUMPRODUCT(MAX(ROW(E$2:E794)*(E794=E$2:E794)))))-COUNTBLANK(OFFSET(A$1,,,SUMPRODUCT(MAX(ROW(E$1:E793)*(E794=E$1:E793))))))</f>
        <v/>
      </c>
      <c r="K794" s="15" t="str">
        <f aca="false">IF(OR(E794="",E794="!!!",F794="NEW"),"",INDEX(J$1:J793,SUMPRODUCT(MAX(ROW(E$1:E793)*(E794=E$1:E793)))))</f>
        <v/>
      </c>
      <c r="L794" s="16"/>
    </row>
    <row r="795" customFormat="false" ht="12.75" hidden="false" customHeight="false" outlineLevel="0" collapsed="false">
      <c r="A795" s="9" t="s">
        <v>78</v>
      </c>
      <c r="E795" s="10" t="str">
        <f aca="false">IF(D795="?OLD","!!!","")</f>
        <v/>
      </c>
      <c r="F795" s="11" t="str">
        <f aca="false">IF(OR(E795="",E795="!!!"),"",IF(NOT(ISNA(VLOOKUP(E795,E$1:E794,1,FALSE()))),"OLD",IF(AND(E795&lt;&gt;"",E795&lt;&gt;"!!!"),"NEW","")))</f>
        <v/>
      </c>
      <c r="G795" s="12" t="str">
        <f aca="false">IF(OR(E795="",E795="!!!"),"",IF(OR(J795=0,AND(J795=1,K795=1),AND(J795=1,I795="SBJ"),AND(J795=1,I795=0)),"?IN_FOCUS",IF(J795&lt;=2,"?ACTIVATED",IF(J795&lt;&gt;"","?FAMILIAR",IF(F795="NEW",IF(ISNA(VLOOKUP(E795,#REF!,1,FALSE())),"?TYPE_IDENTIFIABLE","?REFERENTIAL"),"_")))))</f>
        <v/>
      </c>
      <c r="H795" s="13" t="str">
        <f aca="false">IF(J795&lt;&gt;1,"",IF(I795="SBJ","CB","?"))</f>
        <v/>
      </c>
      <c r="I795" s="14" t="str">
        <f aca="false">IF(OR(E795="",E795="!!!",F795="NEW"),"",INDEX(B$2:B794,-1+SUMPRODUCT(MAX(ROW(E$2:E794)*(E795=E$2:E794)))))</f>
        <v/>
      </c>
      <c r="J795" s="15" t="str">
        <f aca="true">IF(OR(E795="",E795="!!!",F795="NEW"),"",COUNTBLANK(OFFSET(A$1,,,SUMPRODUCT(MAX(ROW(E$2:E795)*(E795=E$2:E795)))))-COUNTBLANK(OFFSET(A$1,,,SUMPRODUCT(MAX(ROW(E$1:E794)*(E795=E$1:E794))))))</f>
        <v/>
      </c>
      <c r="K795" s="15" t="str">
        <f aca="false">IF(OR(E795="",E795="!!!",F795="NEW"),"",INDEX(J$1:J794,SUMPRODUCT(MAX(ROW(E$1:E794)*(E795=E$1:E794)))))</f>
        <v/>
      </c>
      <c r="L795" s="16"/>
    </row>
    <row r="796" customFormat="false" ht="12.75" hidden="false" customHeight="false" outlineLevel="0" collapsed="false">
      <c r="A796" s="9" t="s">
        <v>334</v>
      </c>
      <c r="B796" s="0" t="s">
        <v>62</v>
      </c>
      <c r="C796" s="0" t="s">
        <v>31</v>
      </c>
      <c r="D796" s="0" t="s">
        <v>19</v>
      </c>
      <c r="E796" s="10" t="s">
        <v>367</v>
      </c>
      <c r="F796" s="11" t="str">
        <f aca="false">IF(OR(E796="",E796="!!!"),"",IF(NOT(ISNA(VLOOKUP(E796,E$1:E795,1,FALSE()))),"OLD",IF(AND(E796&lt;&gt;"",E796&lt;&gt;"!!!"),"NEW","")))</f>
        <v>OLD</v>
      </c>
      <c r="G796" s="12" t="s">
        <v>33</v>
      </c>
      <c r="H796" s="13" t="s">
        <v>7</v>
      </c>
      <c r="I796" s="14" t="str">
        <f aca="false">IF(OR(E796="",E796="!!!",F796="NEW"),"",INDEX(B$2:B795,-1+SUMPRODUCT(MAX(ROW(E$2:E795)*(E796=E$2:E795)))))</f>
        <v>other_4</v>
      </c>
      <c r="J796" s="15" t="n">
        <f aca="true">IF(OR(E796="",E796="!!!",F796="NEW"),"",COUNTBLANK(OFFSET(A$1,,,SUMPRODUCT(MAX(ROW(E$2:E796)*(E796=E$2:E796)))))-COUNTBLANK(OFFSET(A$1,,,SUMPRODUCT(MAX(ROW(E$1:E795)*(E796=E$1:E795))))))</f>
        <v>1</v>
      </c>
      <c r="K796" s="15" t="n">
        <f aca="false">IF(OR(E796="",E796="!!!",F796="NEW"),"",INDEX(J$1:J795,SUMPRODUCT(MAX(ROW(E$1:E795)*(E796=E$1:E795)))))</f>
        <v>0</v>
      </c>
      <c r="L796" s="16"/>
    </row>
    <row r="797" customFormat="false" ht="12.75" hidden="false" customHeight="false" outlineLevel="0" collapsed="false">
      <c r="A797" s="9" t="s">
        <v>258</v>
      </c>
      <c r="B797" s="0" t="s">
        <v>40</v>
      </c>
      <c r="C797" s="0" t="s">
        <v>194</v>
      </c>
      <c r="D797" s="0" t="s">
        <v>19</v>
      </c>
      <c r="E797" s="10"/>
      <c r="F797" s="11" t="s">
        <v>224</v>
      </c>
      <c r="G797" s="12" t="str">
        <f aca="false">IF(OR(E797="",E797="!!!"),"",IF(OR(J797=0,AND(J797=1,K797=1),AND(J797=1,I797="SBJ"),AND(J797=1,I797=0)),"?IN_FOCUS",IF(J797&lt;=2,"?ACTIVATED",IF(J797&lt;&gt;"","?FAMILIAR",IF(F797="NEW",IF(ISNA(VLOOKUP(E797,#REF!,1,FALSE())),"?TYPE_IDENTIFIABLE","?REFERENTIAL"),"_")))))</f>
        <v/>
      </c>
      <c r="H797" s="13" t="str">
        <f aca="false">IF(J797&lt;&gt;1,"",IF(I797="SBJ","CB","?"))</f>
        <v/>
      </c>
      <c r="I797" s="14" t="str">
        <f aca="false">IF(OR(E797="",E797="!!!",F797="NEW"),"",INDEX(B$2:B796,-1+SUMPRODUCT(MAX(ROW(E$2:E796)*(E797=E$2:E796)))))</f>
        <v/>
      </c>
      <c r="J797" s="15" t="str">
        <f aca="true">IF(OR(E797="",E797="!!!",F797="NEW"),"",COUNTBLANK(OFFSET(A$1,,,SUMPRODUCT(MAX(ROW(E$2:E797)*(E797=E$2:E797)))))-COUNTBLANK(OFFSET(A$1,,,SUMPRODUCT(MAX(ROW(E$1:E796)*(E797=E$1:E796))))))</f>
        <v/>
      </c>
      <c r="K797" s="15" t="str">
        <f aca="false">IF(OR(E797="",E797="!!!",F797="NEW"),"",INDEX(J$1:J796,SUMPRODUCT(MAX(ROW(E$1:E796)*(E797=E$1:E796)))))</f>
        <v/>
      </c>
      <c r="L797" s="16"/>
    </row>
    <row r="798" customFormat="false" ht="12.75" hidden="false" customHeight="false" outlineLevel="0" collapsed="false">
      <c r="A798" s="9" t="s">
        <v>22</v>
      </c>
      <c r="E798" s="10" t="str">
        <f aca="false">IF(D798="?OLD","!!!","")</f>
        <v/>
      </c>
      <c r="F798" s="11" t="str">
        <f aca="false">IF(OR(E798="",E798="!!!"),"",IF(NOT(ISNA(VLOOKUP(E798,E$1:E797,1,FALSE()))),"OLD",IF(AND(E798&lt;&gt;"",E798&lt;&gt;"!!!"),"NEW","")))</f>
        <v/>
      </c>
      <c r="G798" s="12" t="str">
        <f aca="false">IF(OR(E798="",E798="!!!"),"",IF(OR(J798=0,AND(J798=1,K798=1),AND(J798=1,I798="SBJ"),AND(J798=1,I798=0)),"?IN_FOCUS",IF(J798&lt;=2,"?ACTIVATED",IF(J798&lt;&gt;"","?FAMILIAR",IF(F798="NEW",IF(ISNA(VLOOKUP(E798,#REF!,1,FALSE())),"?TYPE_IDENTIFIABLE","?REFERENTIAL"),"_")))))</f>
        <v/>
      </c>
      <c r="H798" s="13" t="str">
        <f aca="false">IF(J798&lt;&gt;1,"",IF(I798="SBJ","CB","?"))</f>
        <v/>
      </c>
      <c r="I798" s="14" t="str">
        <f aca="false">IF(OR(E798="",E798="!!!",F798="NEW"),"",INDEX(B$2:B797,-1+SUMPRODUCT(MAX(ROW(E$2:E797)*(E798=E$2:E797)))))</f>
        <v/>
      </c>
      <c r="J798" s="15" t="str">
        <f aca="true">IF(OR(E798="",E798="!!!",F798="NEW"),"",COUNTBLANK(OFFSET(A$1,,,SUMPRODUCT(MAX(ROW(E$2:E798)*(E798=E$2:E798)))))-COUNTBLANK(OFFSET(A$1,,,SUMPRODUCT(MAX(ROW(E$1:E797)*(E798=E$1:E797))))))</f>
        <v/>
      </c>
      <c r="K798" s="15" t="str">
        <f aca="false">IF(OR(E798="",E798="!!!",F798="NEW"),"",INDEX(J$1:J797,SUMPRODUCT(MAX(ROW(E$1:E797)*(E798=E$1:E797)))))</f>
        <v/>
      </c>
      <c r="L798" s="16"/>
    </row>
    <row r="799" customFormat="false" ht="12.75" hidden="false" customHeight="false" outlineLevel="0" collapsed="false">
      <c r="A799" s="9" t="s">
        <v>15</v>
      </c>
      <c r="E799" s="10" t="str">
        <f aca="false">IF(D799="?OLD","!!!","")</f>
        <v/>
      </c>
      <c r="F799" s="11" t="str">
        <f aca="false">IF(OR(E799="",E799="!!!"),"",IF(NOT(ISNA(VLOOKUP(E799,E$1:E798,1,FALSE()))),"OLD",IF(AND(E799&lt;&gt;"",E799&lt;&gt;"!!!"),"NEW","")))</f>
        <v/>
      </c>
      <c r="G799" s="12" t="str">
        <f aca="false">IF(OR(E799="",E799="!!!"),"",IF(OR(J799=0,AND(J799=1,K799=1),AND(J799=1,I799="SBJ"),AND(J799=1,I799=0)),"?IN_FOCUS",IF(J799&lt;=2,"?ACTIVATED",IF(J799&lt;&gt;"","?FAMILIAR",IF(F799="NEW",IF(ISNA(VLOOKUP(E799,#REF!,1,FALSE())),"?TYPE_IDENTIFIABLE","?REFERENTIAL"),"_")))))</f>
        <v/>
      </c>
      <c r="H799" s="13" t="str">
        <f aca="false">IF(J799&lt;&gt;1,"",IF(I799="SBJ","CB","?"))</f>
        <v/>
      </c>
      <c r="I799" s="14" t="str">
        <f aca="false">IF(OR(E799="",E799="!!!",F799="NEW"),"",INDEX(B$2:B798,-1+SUMPRODUCT(MAX(ROW(E$2:E798)*(E799=E$2:E798)))))</f>
        <v/>
      </c>
      <c r="J799" s="15" t="str">
        <f aca="true">IF(OR(E799="",E799="!!!",F799="NEW"),"",COUNTBLANK(OFFSET(A$1,,,SUMPRODUCT(MAX(ROW(E$2:E799)*(E799=E$2:E799)))))-COUNTBLANK(OFFSET(A$1,,,SUMPRODUCT(MAX(ROW(E$1:E798)*(E799=E$1:E798))))))</f>
        <v/>
      </c>
      <c r="K799" s="15" t="str">
        <f aca="false">IF(OR(E799="",E799="!!!",F799="NEW"),"",INDEX(J$1:J798,SUMPRODUCT(MAX(ROW(E$1:E798)*(E799=E$1:E798)))))</f>
        <v/>
      </c>
      <c r="L799" s="16"/>
    </row>
    <row r="800" customFormat="false" ht="12.75" hidden="false" customHeight="false" outlineLevel="0" collapsed="false">
      <c r="A800" s="9" t="s">
        <v>428</v>
      </c>
      <c r="B800" s="0" t="s">
        <v>75</v>
      </c>
      <c r="C800" s="0" t="s">
        <v>83</v>
      </c>
      <c r="D800" s="0" t="s">
        <v>19</v>
      </c>
      <c r="E800" s="10" t="s">
        <v>429</v>
      </c>
      <c r="F800" s="11" t="str">
        <f aca="false">IF(OR(E800="",E800="!!!"),"",IF(NOT(ISNA(VLOOKUP(E800,E$1:E799,1,FALSE()))),"OLD",IF(AND(E800&lt;&gt;"",E800&lt;&gt;"!!!"),"NEW","")))</f>
        <v>NEW</v>
      </c>
      <c r="G800" s="12" t="s">
        <v>21</v>
      </c>
      <c r="H800" s="13" t="str">
        <f aca="false">IF(J800&lt;&gt;1,"",IF(I800="SBJ","CB","?"))</f>
        <v/>
      </c>
      <c r="I800" s="14" t="str">
        <f aca="false">IF(OR(E800="",E800="!!!",F800="NEW"),"",INDEX(B$2:B799,-1+SUMPRODUCT(MAX(ROW(E$2:E799)*(E800=E$2:E799)))))</f>
        <v/>
      </c>
      <c r="J800" s="15" t="str">
        <f aca="true">IF(OR(E800="",E800="!!!",F800="NEW"),"",COUNTBLANK(OFFSET(A$1,,,SUMPRODUCT(MAX(ROW(E$2:E800)*(E800=E$2:E800)))))-COUNTBLANK(OFFSET(A$1,,,SUMPRODUCT(MAX(ROW(E$1:E799)*(E800=E$1:E799))))))</f>
        <v/>
      </c>
      <c r="K800" s="15" t="str">
        <f aca="false">IF(OR(E800="",E800="!!!",F800="NEW"),"",INDEX(J$1:J799,SUMPRODUCT(MAX(ROW(E$1:E799)*(E800=E$1:E799)))))</f>
        <v/>
      </c>
      <c r="L800" s="16"/>
    </row>
    <row r="801" customFormat="false" ht="12.75" hidden="false" customHeight="false" outlineLevel="0" collapsed="false">
      <c r="A801" s="9" t="s">
        <v>22</v>
      </c>
      <c r="E801" s="10" t="str">
        <f aca="false">IF(D801="?OLD","!!!","")</f>
        <v/>
      </c>
      <c r="F801" s="11" t="str">
        <f aca="false">IF(OR(E801="",E801="!!!"),"",IF(NOT(ISNA(VLOOKUP(E801,E$1:E800,1,FALSE()))),"OLD",IF(AND(E801&lt;&gt;"",E801&lt;&gt;"!!!"),"NEW","")))</f>
        <v/>
      </c>
      <c r="G801" s="12" t="str">
        <f aca="false">IF(OR(E801="",E801="!!!"),"",IF(OR(J801=0,AND(J801=1,K801=1),AND(J801=1,I801="SBJ"),AND(J801=1,I801=0)),"?IN_FOCUS",IF(J801&lt;=2,"?ACTIVATED",IF(J801&lt;&gt;"","?FAMILIAR",IF(F801="NEW",IF(ISNA(VLOOKUP(E801,#REF!,1,FALSE())),"?TYPE_IDENTIFIABLE","?REFERENTIAL"),"_")))))</f>
        <v/>
      </c>
      <c r="H801" s="13" t="str">
        <f aca="false">IF(J801&lt;&gt;1,"",IF(I801="SBJ","CB","?"))</f>
        <v/>
      </c>
      <c r="I801" s="14" t="str">
        <f aca="false">IF(OR(E801="",E801="!!!",F801="NEW"),"",INDEX(B$2:B800,-1+SUMPRODUCT(MAX(ROW(E$2:E800)*(E801=E$2:E800)))))</f>
        <v/>
      </c>
      <c r="J801" s="15" t="str">
        <f aca="true">IF(OR(E801="",E801="!!!",F801="NEW"),"",COUNTBLANK(OFFSET(A$1,,,SUMPRODUCT(MAX(ROW(E$2:E801)*(E801=E$2:E801)))))-COUNTBLANK(OFFSET(A$1,,,SUMPRODUCT(MAX(ROW(E$1:E800)*(E801=E$1:E800))))))</f>
        <v/>
      </c>
      <c r="K801" s="15" t="str">
        <f aca="false">IF(OR(E801="",E801="!!!",F801="NEW"),"",INDEX(J$1:J800,SUMPRODUCT(MAX(ROW(E$1:E800)*(E801=E$1:E800)))))</f>
        <v/>
      </c>
      <c r="L801" s="16"/>
    </row>
    <row r="802" customFormat="false" ht="12.75" hidden="false" customHeight="false" outlineLevel="0" collapsed="false">
      <c r="A802" s="9" t="s">
        <v>126</v>
      </c>
      <c r="B802" s="0" t="s">
        <v>62</v>
      </c>
      <c r="C802" s="0" t="s">
        <v>128</v>
      </c>
      <c r="D802" s="0" t="s">
        <v>19</v>
      </c>
      <c r="E802" s="10" t="s">
        <v>367</v>
      </c>
      <c r="F802" s="11" t="str">
        <f aca="false">IF(OR(E802="",E802="!!!"),"",IF(NOT(ISNA(VLOOKUP(E802,E$1:E801,1,FALSE()))),"OLD",IF(AND(E802&lt;&gt;"",E802&lt;&gt;"!!!"),"NEW","")))</f>
        <v>OLD</v>
      </c>
      <c r="G802" s="12" t="s">
        <v>65</v>
      </c>
      <c r="H802" s="13" t="str">
        <f aca="false">IF(J802&lt;&gt;1,"",IF(I802="SBJ","CB","?"))</f>
        <v/>
      </c>
      <c r="I802" s="14" t="str">
        <f aca="false">IF(OR(E802="",E802="!!!",F802="NEW"),"",INDEX(B$2:B801,-1+SUMPRODUCT(MAX(ROW(E$2:E801)*(E802=E$2:E801)))))</f>
        <v>other_4</v>
      </c>
      <c r="J802" s="15" t="n">
        <f aca="true">IF(OR(E802="",E802="!!!",F802="NEW"),"",COUNTBLANK(OFFSET(A$1,,,SUMPRODUCT(MAX(ROW(E$2:E802)*(E802=E$2:E802)))))-COUNTBLANK(OFFSET(A$1,,,SUMPRODUCT(MAX(ROW(E$1:E801)*(E802=E$1:E801))))))</f>
        <v>0</v>
      </c>
      <c r="K802" s="15" t="n">
        <f aca="false">IF(OR(E802="",E802="!!!",F802="NEW"),"",INDEX(J$1:J801,SUMPRODUCT(MAX(ROW(E$1:E801)*(E802=E$1:E801)))))</f>
        <v>1</v>
      </c>
      <c r="L802" s="16"/>
    </row>
    <row r="803" customFormat="false" ht="12.75" hidden="false" customHeight="false" outlineLevel="0" collapsed="false">
      <c r="A803" s="9" t="s">
        <v>430</v>
      </c>
      <c r="B803" s="0" t="s">
        <v>24</v>
      </c>
      <c r="C803" s="0" t="s">
        <v>83</v>
      </c>
      <c r="D803" s="0" t="s">
        <v>19</v>
      </c>
      <c r="E803" s="10" t="s">
        <v>431</v>
      </c>
      <c r="F803" s="11" t="str">
        <f aca="false">IF(OR(E803="",E803="!!!"),"",IF(NOT(ISNA(VLOOKUP(E803,E$1:E802,1,FALSE()))),"OLD",IF(AND(E803&lt;&gt;"",E803&lt;&gt;"!!!"),"NEW","")))</f>
        <v>NEW</v>
      </c>
      <c r="G803" s="12" t="s">
        <v>21</v>
      </c>
      <c r="H803" s="13" t="str">
        <f aca="false">IF(J803&lt;&gt;1,"",IF(I803="SBJ","CB","?"))</f>
        <v/>
      </c>
      <c r="I803" s="14" t="str">
        <f aca="false">IF(OR(E803="",E803="!!!",F803="NEW"),"",INDEX(B$2:B802,-1+SUMPRODUCT(MAX(ROW(E$2:E802)*(E803=E$2:E802)))))</f>
        <v/>
      </c>
      <c r="J803" s="15" t="str">
        <f aca="true">IF(OR(E803="",E803="!!!",F803="NEW"),"",COUNTBLANK(OFFSET(A$1,,,SUMPRODUCT(MAX(ROW(E$2:E803)*(E803=E$2:E803)))))-COUNTBLANK(OFFSET(A$1,,,SUMPRODUCT(MAX(ROW(E$1:E802)*(E803=E$1:E802))))))</f>
        <v/>
      </c>
      <c r="K803" s="15" t="str">
        <f aca="false">IF(OR(E803="",E803="!!!",F803="NEW"),"",INDEX(J$1:J802,SUMPRODUCT(MAX(ROW(E$1:E802)*(E803=E$1:E802)))))</f>
        <v/>
      </c>
      <c r="L803" s="16"/>
    </row>
    <row r="804" customFormat="false" ht="12.75" hidden="false" customHeight="false" outlineLevel="0" collapsed="false">
      <c r="A804" s="9" t="s">
        <v>28</v>
      </c>
      <c r="E804" s="10" t="str">
        <f aca="false">IF(D804="?OLD","!!!","")</f>
        <v/>
      </c>
      <c r="F804" s="11" t="str">
        <f aca="false">IF(OR(E804="",E804="!!!"),"",IF(NOT(ISNA(VLOOKUP(E804,E$1:E803,1,FALSE()))),"OLD",IF(AND(E804&lt;&gt;"",E804&lt;&gt;"!!!"),"NEW","")))</f>
        <v/>
      </c>
      <c r="G804" s="12" t="str">
        <f aca="false">IF(OR(E804="",E804="!!!"),"",IF(OR(J804=0,AND(J804=1,K804=1),AND(J804=1,I804="SBJ"),AND(J804=1,I804=0)),"?IN_FOCUS",IF(J804&lt;=2,"?ACTIVATED",IF(J804&lt;&gt;"","?FAMILIAR",IF(F804="NEW",IF(ISNA(VLOOKUP(E804,#REF!,1,FALSE())),"?TYPE_IDENTIFIABLE","?REFERENTIAL"),"_")))))</f>
        <v/>
      </c>
      <c r="H804" s="13" t="str">
        <f aca="false">IF(J804&lt;&gt;1,"",IF(I804="SBJ","CB","?"))</f>
        <v/>
      </c>
      <c r="I804" s="14" t="str">
        <f aca="false">IF(OR(E804="",E804="!!!",F804="NEW"),"",INDEX(B$2:B803,-1+SUMPRODUCT(MAX(ROW(E$2:E803)*(E804=E$2:E803)))))</f>
        <v/>
      </c>
      <c r="J804" s="15" t="str">
        <f aca="true">IF(OR(E804="",E804="!!!",F804="NEW"),"",COUNTBLANK(OFFSET(A$1,,,SUMPRODUCT(MAX(ROW(E$2:E804)*(E804=E$2:E804)))))-COUNTBLANK(OFFSET(A$1,,,SUMPRODUCT(MAX(ROW(E$1:E803)*(E804=E$1:E803))))))</f>
        <v/>
      </c>
      <c r="K804" s="15" t="str">
        <f aca="false">IF(OR(E804="",E804="!!!",F804="NEW"),"",INDEX(J$1:J803,SUMPRODUCT(MAX(ROW(E$1:E803)*(E804=E$1:E803)))))</f>
        <v/>
      </c>
      <c r="L804" s="16"/>
    </row>
    <row r="805" customFormat="false" ht="12.75" hidden="false" customHeight="false" outlineLevel="0" collapsed="false">
      <c r="A805" s="9" t="s">
        <v>432</v>
      </c>
      <c r="E805" s="10" t="str">
        <f aca="false">IF(D805="?OLD","!!!","")</f>
        <v/>
      </c>
      <c r="F805" s="11" t="str">
        <f aca="false">IF(OR(E805="",E805="!!!"),"",IF(NOT(ISNA(VLOOKUP(E805,E$1:E804,1,FALSE()))),"OLD",IF(AND(E805&lt;&gt;"",E805&lt;&gt;"!!!"),"NEW","")))</f>
        <v/>
      </c>
      <c r="G805" s="12" t="str">
        <f aca="false">IF(OR(E805="",E805="!!!"),"",IF(OR(J805=0,AND(J805=1,K805=1),AND(J805=1,I805="SBJ"),AND(J805=1,I805=0)),"?IN_FOCUS",IF(J805&lt;=2,"?ACTIVATED",IF(J805&lt;&gt;"","?FAMILIAR",IF(F805="NEW",IF(ISNA(VLOOKUP(E805,#REF!,1,FALSE())),"?TYPE_IDENTIFIABLE","?REFERENTIAL"),"_")))))</f>
        <v/>
      </c>
      <c r="H805" s="13" t="str">
        <f aca="false">IF(J805&lt;&gt;1,"",IF(I805="SBJ","CB","?"))</f>
        <v/>
      </c>
      <c r="I805" s="14" t="str">
        <f aca="false">IF(OR(E805="",E805="!!!",F805="NEW"),"",INDEX(B$2:B804,-1+SUMPRODUCT(MAX(ROW(E$2:E804)*(E805=E$2:E804)))))</f>
        <v/>
      </c>
      <c r="J805" s="15" t="str">
        <f aca="true">IF(OR(E805="",E805="!!!",F805="NEW"),"",COUNTBLANK(OFFSET(A$1,,,SUMPRODUCT(MAX(ROW(E$2:E805)*(E805=E$2:E805)))))-COUNTBLANK(OFFSET(A$1,,,SUMPRODUCT(MAX(ROW(E$1:E804)*(E805=E$1:E804))))))</f>
        <v/>
      </c>
      <c r="K805" s="15" t="str">
        <f aca="false">IF(OR(E805="",E805="!!!",F805="NEW"),"",INDEX(J$1:J804,SUMPRODUCT(MAX(ROW(E$1:E804)*(E805=E$1:E804)))))</f>
        <v/>
      </c>
      <c r="L805" s="16"/>
    </row>
    <row r="806" customFormat="false" ht="12.75" hidden="false" customHeight="false" outlineLevel="0" collapsed="false">
      <c r="A806" s="9" t="s">
        <v>78</v>
      </c>
      <c r="E806" s="10" t="str">
        <f aca="false">IF(D806="?OLD","!!!","")</f>
        <v/>
      </c>
      <c r="F806" s="11" t="str">
        <f aca="false">IF(OR(E806="",E806="!!!"),"",IF(NOT(ISNA(VLOOKUP(E806,E$1:E805,1,FALSE()))),"OLD",IF(AND(E806&lt;&gt;"",E806&lt;&gt;"!!!"),"NEW","")))</f>
        <v/>
      </c>
      <c r="G806" s="12" t="str">
        <f aca="false">IF(OR(E806="",E806="!!!"),"",IF(OR(J806=0,AND(J806=1,K806=1),AND(J806=1,I806="SBJ"),AND(J806=1,I806=0)),"?IN_FOCUS",IF(J806&lt;=2,"?ACTIVATED",IF(J806&lt;&gt;"","?FAMILIAR",IF(F806="NEW",IF(ISNA(VLOOKUP(E806,#REF!,1,FALSE())),"?TYPE_IDENTIFIABLE","?REFERENTIAL"),"_")))))</f>
        <v/>
      </c>
      <c r="H806" s="13" t="str">
        <f aca="false">IF(J806&lt;&gt;1,"",IF(I806="SBJ","CB","?"))</f>
        <v/>
      </c>
      <c r="I806" s="14" t="str">
        <f aca="false">IF(OR(E806="",E806="!!!",F806="NEW"),"",INDEX(B$2:B805,-1+SUMPRODUCT(MAX(ROW(E$2:E805)*(E806=E$2:E805)))))</f>
        <v/>
      </c>
      <c r="J806" s="15" t="str">
        <f aca="true">IF(OR(E806="",E806="!!!",F806="NEW"),"",COUNTBLANK(OFFSET(A$1,,,SUMPRODUCT(MAX(ROW(E$2:E806)*(E806=E$2:E806)))))-COUNTBLANK(OFFSET(A$1,,,SUMPRODUCT(MAX(ROW(E$1:E805)*(E806=E$1:E805))))))</f>
        <v/>
      </c>
      <c r="K806" s="15" t="str">
        <f aca="false">IF(OR(E806="",E806="!!!",F806="NEW"),"",INDEX(J$1:J805,SUMPRODUCT(MAX(ROW(E$1:E805)*(E806=E$1:E805)))))</f>
        <v/>
      </c>
      <c r="L806" s="16"/>
    </row>
    <row r="807" customFormat="false" ht="12.75" hidden="false" customHeight="false" outlineLevel="0" collapsed="false">
      <c r="A807" s="9" t="s">
        <v>15</v>
      </c>
      <c r="E807" s="10" t="str">
        <f aca="false">IF(D807="?OLD","!!!","")</f>
        <v/>
      </c>
      <c r="F807" s="11" t="str">
        <f aca="false">IF(OR(E807="",E807="!!!"),"",IF(NOT(ISNA(VLOOKUP(E807,E$1:E806,1,FALSE()))),"OLD",IF(AND(E807&lt;&gt;"",E807&lt;&gt;"!!!"),"NEW","")))</f>
        <v/>
      </c>
      <c r="G807" s="12" t="str">
        <f aca="false">IF(OR(E807="",E807="!!!"),"",IF(OR(J807=0,AND(J807=1,K807=1),AND(J807=1,I807="SBJ"),AND(J807=1,I807=0)),"?IN_FOCUS",IF(J807&lt;=2,"?ACTIVATED",IF(J807&lt;&gt;"","?FAMILIAR",IF(F807="NEW",IF(ISNA(VLOOKUP(E807,#REF!,1,FALSE())),"?TYPE_IDENTIFIABLE","?REFERENTIAL"),"_")))))</f>
        <v/>
      </c>
      <c r="H807" s="13" t="str">
        <f aca="false">IF(J807&lt;&gt;1,"",IF(I807="SBJ","CB","?"))</f>
        <v/>
      </c>
      <c r="I807" s="14" t="str">
        <f aca="false">IF(OR(E807="",E807="!!!",F807="NEW"),"",INDEX(B$2:B806,-1+SUMPRODUCT(MAX(ROW(E$2:E806)*(E807=E$2:E806)))))</f>
        <v/>
      </c>
      <c r="J807" s="15" t="str">
        <f aca="true">IF(OR(E807="",E807="!!!",F807="NEW"),"",COUNTBLANK(OFFSET(A$1,,,SUMPRODUCT(MAX(ROW(E$2:E807)*(E807=E$2:E807)))))-COUNTBLANK(OFFSET(A$1,,,SUMPRODUCT(MAX(ROW(E$1:E806)*(E807=E$1:E806))))))</f>
        <v/>
      </c>
      <c r="K807" s="15" t="str">
        <f aca="false">IF(OR(E807="",E807="!!!",F807="NEW"),"",INDEX(J$1:J806,SUMPRODUCT(MAX(ROW(E$1:E806)*(E807=E$1:E806)))))</f>
        <v/>
      </c>
      <c r="L807" s="16"/>
    </row>
    <row r="808" customFormat="false" ht="12.75" hidden="false" customHeight="false" outlineLevel="0" collapsed="false">
      <c r="A808" s="9" t="s">
        <v>261</v>
      </c>
      <c r="B808" s="0" t="s">
        <v>75</v>
      </c>
      <c r="C808" s="0" t="s">
        <v>18</v>
      </c>
      <c r="D808" s="0" t="s">
        <v>19</v>
      </c>
      <c r="E808" s="10" t="s">
        <v>429</v>
      </c>
      <c r="F808" s="11" t="str">
        <f aca="false">IF(OR(E808="",E808="!!!"),"",IF(NOT(ISNA(VLOOKUP(E808,E$1:E807,1,FALSE()))),"OLD",IF(AND(E808&lt;&gt;"",E808&lt;&gt;"!!!"),"NEW","")))</f>
        <v>OLD</v>
      </c>
      <c r="G808" s="12" t="s">
        <v>65</v>
      </c>
      <c r="H808" s="13" t="str">
        <f aca="false">IF(J808&lt;&gt;1,"",IF(I808="SBJ","CB","?"))</f>
        <v/>
      </c>
      <c r="I808" s="14" t="str">
        <f aca="false">IF(OR(E808="",E808="!!!",F808="NEW"),"",INDEX(B$2:B807,-1+SUMPRODUCT(MAX(ROW(E$2:E807)*(E808=E$2:E807)))))</f>
        <v>other_2</v>
      </c>
      <c r="J808" s="15" t="n">
        <f aca="true">IF(OR(E808="",E808="!!!",F808="NEW"),"",COUNTBLANK(OFFSET(A$1,,,SUMPRODUCT(MAX(ROW(E$2:E808)*(E808=E$2:E808)))))-COUNTBLANK(OFFSET(A$1,,,SUMPRODUCT(MAX(ROW(E$1:E807)*(E808=E$1:E807))))))</f>
        <v>0</v>
      </c>
      <c r="K808" s="15" t="str">
        <f aca="false">IF(OR(E808="",E808="!!!",F808="NEW"),"",INDEX(J$1:J807,SUMPRODUCT(MAX(ROW(E$1:E807)*(E808=E$1:E807)))))</f>
        <v/>
      </c>
      <c r="L808" s="16"/>
    </row>
    <row r="809" customFormat="false" ht="12.75" hidden="false" customHeight="false" outlineLevel="0" collapsed="false">
      <c r="A809" s="9" t="s">
        <v>28</v>
      </c>
      <c r="E809" s="10" t="str">
        <f aca="false">IF(D809="?OLD","!!!","")</f>
        <v/>
      </c>
      <c r="F809" s="11" t="str">
        <f aca="false">IF(OR(E809="",E809="!!!"),"",IF(NOT(ISNA(VLOOKUP(E809,E$1:E808,1,FALSE()))),"OLD",IF(AND(E809&lt;&gt;"",E809&lt;&gt;"!!!"),"NEW","")))</f>
        <v/>
      </c>
      <c r="G809" s="12" t="str">
        <f aca="false">IF(OR(E809="",E809="!!!"),"",IF(OR(J809=0,AND(J809=1,K809=1),AND(J809=1,I809="SBJ"),AND(J809=1,I809=0)),"?IN_FOCUS",IF(J809&lt;=2,"?ACTIVATED",IF(J809&lt;&gt;"","?FAMILIAR",IF(F809="NEW",IF(ISNA(VLOOKUP(E809,#REF!,1,FALSE())),"?TYPE_IDENTIFIABLE","?REFERENTIAL"),"_")))))</f>
        <v/>
      </c>
      <c r="H809" s="13" t="str">
        <f aca="false">IF(J809&lt;&gt;1,"",IF(I809="SBJ","CB","?"))</f>
        <v/>
      </c>
      <c r="I809" s="14" t="str">
        <f aca="false">IF(OR(E809="",E809="!!!",F809="NEW"),"",INDEX(B$2:B808,-1+SUMPRODUCT(MAX(ROW(E$2:E808)*(E809=E$2:E808)))))</f>
        <v/>
      </c>
      <c r="J809" s="15" t="str">
        <f aca="true">IF(OR(E809="",E809="!!!",F809="NEW"),"",COUNTBLANK(OFFSET(A$1,,,SUMPRODUCT(MAX(ROW(E$2:E809)*(E809=E$2:E809)))))-COUNTBLANK(OFFSET(A$1,,,SUMPRODUCT(MAX(ROW(E$1:E808)*(E809=E$1:E808))))))</f>
        <v/>
      </c>
      <c r="K809" s="15" t="str">
        <f aca="false">IF(OR(E809="",E809="!!!",F809="NEW"),"",INDEX(J$1:J808,SUMPRODUCT(MAX(ROW(E$1:E808)*(E809=E$1:E808)))))</f>
        <v/>
      </c>
      <c r="L809" s="16"/>
    </row>
    <row r="810" customFormat="false" ht="12.75" hidden="false" customHeight="false" outlineLevel="0" collapsed="false">
      <c r="A810" s="9" t="s">
        <v>362</v>
      </c>
      <c r="B810" s="0" t="s">
        <v>17</v>
      </c>
      <c r="C810" s="0" t="s">
        <v>31</v>
      </c>
      <c r="D810" s="0" t="s">
        <v>19</v>
      </c>
      <c r="E810" s="10" t="s">
        <v>367</v>
      </c>
      <c r="F810" s="11" t="str">
        <f aca="false">IF(OR(E810="",E810="!!!"),"",IF(NOT(ISNA(VLOOKUP(E810,E$1:E809,1,FALSE()))),"OLD",IF(AND(E810&lt;&gt;"",E810&lt;&gt;"!!!"),"NEW","")))</f>
        <v>OLD</v>
      </c>
      <c r="G810" s="12" t="s">
        <v>65</v>
      </c>
      <c r="H810" s="13" t="str">
        <f aca="false">IF(J810&lt;&gt;1,"",IF(I810="SBJ","CB","?"))</f>
        <v/>
      </c>
      <c r="I810" s="14" t="str">
        <f aca="false">IF(OR(E810="",E810="!!!",F810="NEW"),"",INDEX(B$2:B809,-1+SUMPRODUCT(MAX(ROW(E$2:E809)*(E810=E$2:E809)))))</f>
        <v>other_4</v>
      </c>
      <c r="J810" s="15" t="n">
        <f aca="true">IF(OR(E810="",E810="!!!",F810="NEW"),"",COUNTBLANK(OFFSET(A$1,,,SUMPRODUCT(MAX(ROW(E$2:E810)*(E810=E$2:E810)))))-COUNTBLANK(OFFSET(A$1,,,SUMPRODUCT(MAX(ROW(E$1:E809)*(E810=E$1:E809))))))</f>
        <v>0</v>
      </c>
      <c r="K810" s="15" t="n">
        <f aca="false">IF(OR(E810="",E810="!!!",F810="NEW"),"",INDEX(J$1:J809,SUMPRODUCT(MAX(ROW(E$1:E809)*(E810=E$1:E809)))))</f>
        <v>0</v>
      </c>
      <c r="L810" s="16"/>
    </row>
    <row r="811" customFormat="false" ht="12.75" hidden="false" customHeight="false" outlineLevel="0" collapsed="false">
      <c r="A811" s="9" t="s">
        <v>433</v>
      </c>
      <c r="E811" s="10" t="str">
        <f aca="false">IF(D811="?OLD","!!!","")</f>
        <v/>
      </c>
      <c r="F811" s="11" t="str">
        <f aca="false">IF(OR(E811="",E811="!!!"),"",IF(NOT(ISNA(VLOOKUP(E811,E$1:E810,1,FALSE()))),"OLD",IF(AND(E811&lt;&gt;"",E811&lt;&gt;"!!!"),"NEW","")))</f>
        <v/>
      </c>
      <c r="G811" s="12" t="str">
        <f aca="false">IF(OR(E811="",E811="!!!"),"",IF(OR(J811=0,AND(J811=1,K811=1),AND(J811=1,I811="SBJ"),AND(J811=1,I811=0)),"?IN_FOCUS",IF(J811&lt;=2,"?ACTIVATED",IF(J811&lt;&gt;"","?FAMILIAR",IF(F811="NEW",IF(ISNA(VLOOKUP(E811,#REF!,1,FALSE())),"?TYPE_IDENTIFIABLE","?REFERENTIAL"),"_")))))</f>
        <v/>
      </c>
      <c r="H811" s="13" t="str">
        <f aca="false">IF(J811&lt;&gt;1,"",IF(I811="SBJ","CB","?"))</f>
        <v/>
      </c>
      <c r="I811" s="14" t="str">
        <f aca="false">IF(OR(E811="",E811="!!!",F811="NEW"),"",INDEX(B$2:B810,-1+SUMPRODUCT(MAX(ROW(E$2:E810)*(E811=E$2:E810)))))</f>
        <v/>
      </c>
      <c r="J811" s="15" t="str">
        <f aca="true">IF(OR(E811="",E811="!!!",F811="NEW"),"",COUNTBLANK(OFFSET(A$1,,,SUMPRODUCT(MAX(ROW(E$2:E811)*(E811=E$2:E811)))))-COUNTBLANK(OFFSET(A$1,,,SUMPRODUCT(MAX(ROW(E$1:E810)*(E811=E$1:E810))))))</f>
        <v/>
      </c>
      <c r="K811" s="15" t="str">
        <f aca="false">IF(OR(E811="",E811="!!!",F811="NEW"),"",INDEX(J$1:J810,SUMPRODUCT(MAX(ROW(E$1:E810)*(E811=E$1:E810)))))</f>
        <v/>
      </c>
      <c r="L811" s="16"/>
    </row>
    <row r="812" customFormat="false" ht="12.75" hidden="false" customHeight="false" outlineLevel="0" collapsed="false">
      <c r="A812" s="9" t="s">
        <v>434</v>
      </c>
      <c r="E812" s="10" t="str">
        <f aca="false">IF(D812="?OLD","!!!","")</f>
        <v/>
      </c>
      <c r="F812" s="11" t="str">
        <f aca="false">IF(OR(E812="",E812="!!!"),"",IF(NOT(ISNA(VLOOKUP(E812,E$1:E811,1,FALSE()))),"OLD",IF(AND(E812&lt;&gt;"",E812&lt;&gt;"!!!"),"NEW","")))</f>
        <v/>
      </c>
      <c r="G812" s="12" t="str">
        <f aca="false">IF(OR(E812="",E812="!!!"),"",IF(OR(J812=0,AND(J812=1,K812=1),AND(J812=1,I812="SBJ"),AND(J812=1,I812=0)),"?IN_FOCUS",IF(J812&lt;=2,"?ACTIVATED",IF(J812&lt;&gt;"","?FAMILIAR",IF(F812="NEW",IF(ISNA(VLOOKUP(E812,#REF!,1,FALSE())),"?TYPE_IDENTIFIABLE","?REFERENTIAL"),"_")))))</f>
        <v/>
      </c>
      <c r="H812" s="13" t="str">
        <f aca="false">IF(J812&lt;&gt;1,"",IF(I812="SBJ","CB","?"))</f>
        <v/>
      </c>
      <c r="I812" s="14" t="str">
        <f aca="false">IF(OR(E812="",E812="!!!",F812="NEW"),"",INDEX(B$2:B811,-1+SUMPRODUCT(MAX(ROW(E$2:E811)*(E812=E$2:E811)))))</f>
        <v/>
      </c>
      <c r="J812" s="15" t="str">
        <f aca="true">IF(OR(E812="",E812="!!!",F812="NEW"),"",COUNTBLANK(OFFSET(A$1,,,SUMPRODUCT(MAX(ROW(E$2:E812)*(E812=E$2:E812)))))-COUNTBLANK(OFFSET(A$1,,,SUMPRODUCT(MAX(ROW(E$1:E811)*(E812=E$1:E811))))))</f>
        <v/>
      </c>
      <c r="K812" s="15" t="str">
        <f aca="false">IF(OR(E812="",E812="!!!",F812="NEW"),"",INDEX(J$1:J811,SUMPRODUCT(MAX(ROW(E$1:E811)*(E812=E$1:E811)))))</f>
        <v/>
      </c>
      <c r="L812" s="16"/>
    </row>
    <row r="813" customFormat="false" ht="12.75" hidden="false" customHeight="false" outlineLevel="0" collapsed="false">
      <c r="A813" s="9" t="s">
        <v>207</v>
      </c>
      <c r="E813" s="10" t="str">
        <f aca="false">IF(D813="?OLD","!!!","")</f>
        <v/>
      </c>
      <c r="F813" s="11" t="str">
        <f aca="false">IF(OR(E813="",E813="!!!"),"",IF(NOT(ISNA(VLOOKUP(E813,E$1:E812,1,FALSE()))),"OLD",IF(AND(E813&lt;&gt;"",E813&lt;&gt;"!!!"),"NEW","")))</f>
        <v/>
      </c>
      <c r="G813" s="12" t="str">
        <f aca="false">IF(OR(E813="",E813="!!!"),"",IF(OR(J813=0,AND(J813=1,K813=1),AND(J813=1,I813="SBJ"),AND(J813=1,I813=0)),"?IN_FOCUS",IF(J813&lt;=2,"?ACTIVATED",IF(J813&lt;&gt;"","?FAMILIAR",IF(F813="NEW",IF(ISNA(VLOOKUP(E813,#REF!,1,FALSE())),"?TYPE_IDENTIFIABLE","?REFERENTIAL"),"_")))))</f>
        <v/>
      </c>
      <c r="H813" s="13" t="str">
        <f aca="false">IF(J813&lt;&gt;1,"",IF(I813="SBJ","CB","?"))</f>
        <v/>
      </c>
      <c r="I813" s="14" t="str">
        <f aca="false">IF(OR(E813="",E813="!!!",F813="NEW"),"",INDEX(B$2:B812,-1+SUMPRODUCT(MAX(ROW(E$2:E812)*(E813=E$2:E812)))))</f>
        <v/>
      </c>
      <c r="J813" s="15" t="str">
        <f aca="true">IF(OR(E813="",E813="!!!",F813="NEW"),"",COUNTBLANK(OFFSET(A$1,,,SUMPRODUCT(MAX(ROW(E$2:E813)*(E813=E$2:E813)))))-COUNTBLANK(OFFSET(A$1,,,SUMPRODUCT(MAX(ROW(E$1:E812)*(E813=E$1:E812))))))</f>
        <v/>
      </c>
      <c r="K813" s="15" t="str">
        <f aca="false">IF(OR(E813="",E813="!!!",F813="NEW"),"",INDEX(J$1:J812,SUMPRODUCT(MAX(ROW(E$1:E812)*(E813=E$1:E812)))))</f>
        <v/>
      </c>
      <c r="L813" s="16"/>
    </row>
    <row r="814" customFormat="false" ht="12.75" hidden="false" customHeight="false" outlineLevel="0" collapsed="false">
      <c r="A814" s="9" t="s">
        <v>15</v>
      </c>
      <c r="E814" s="10" t="str">
        <f aca="false">IF(D814="?OLD","!!!","")</f>
        <v/>
      </c>
      <c r="F814" s="11" t="str">
        <f aca="false">IF(OR(E814="",E814="!!!"),"",IF(NOT(ISNA(VLOOKUP(E814,E$1:E813,1,FALSE()))),"OLD",IF(AND(E814&lt;&gt;"",E814&lt;&gt;"!!!"),"NEW","")))</f>
        <v/>
      </c>
      <c r="G814" s="12" t="str">
        <f aca="false">IF(OR(E814="",E814="!!!"),"",IF(OR(J814=0,AND(J814=1,K814=1),AND(J814=1,I814="SBJ"),AND(J814=1,I814=0)),"?IN_FOCUS",IF(J814&lt;=2,"?ACTIVATED",IF(J814&lt;&gt;"","?FAMILIAR",IF(F814="NEW",IF(ISNA(VLOOKUP(E814,#REF!,1,FALSE())),"?TYPE_IDENTIFIABLE","?REFERENTIAL"),"_")))))</f>
        <v/>
      </c>
      <c r="H814" s="13" t="str">
        <f aca="false">IF(J814&lt;&gt;1,"",IF(I814="SBJ","CB","?"))</f>
        <v/>
      </c>
      <c r="I814" s="14" t="str">
        <f aca="false">IF(OR(E814="",E814="!!!",F814="NEW"),"",INDEX(B$2:B813,-1+SUMPRODUCT(MAX(ROW(E$2:E813)*(E814=E$2:E813)))))</f>
        <v/>
      </c>
      <c r="J814" s="15" t="str">
        <f aca="true">IF(OR(E814="",E814="!!!",F814="NEW"),"",COUNTBLANK(OFFSET(A$1,,,SUMPRODUCT(MAX(ROW(E$2:E814)*(E814=E$2:E814)))))-COUNTBLANK(OFFSET(A$1,,,SUMPRODUCT(MAX(ROW(E$1:E813)*(E814=E$1:E813))))))</f>
        <v/>
      </c>
      <c r="K814" s="15" t="str">
        <f aca="false">IF(OR(E814="",E814="!!!",F814="NEW"),"",INDEX(J$1:J813,SUMPRODUCT(MAX(ROW(E$1:E813)*(E814=E$1:E813)))))</f>
        <v/>
      </c>
      <c r="L814" s="16"/>
    </row>
    <row r="815" customFormat="false" ht="12.75" hidden="false" customHeight="false" outlineLevel="0" collapsed="false">
      <c r="A815" s="9" t="s">
        <v>435</v>
      </c>
      <c r="B815" s="0" t="s">
        <v>55</v>
      </c>
      <c r="C815" s="0" t="s">
        <v>103</v>
      </c>
      <c r="D815" s="0" t="s">
        <v>19</v>
      </c>
      <c r="E815" s="10" t="s">
        <v>327</v>
      </c>
      <c r="F815" s="11" t="str">
        <f aca="false">IF(OR(E815="",E815="!!!"),"",IF(NOT(ISNA(VLOOKUP(E815,E$1:E814,1,FALSE()))),"OLD",IF(AND(E815&lt;&gt;"",E815&lt;&gt;"!!!"),"NEW","")))</f>
        <v>OLD</v>
      </c>
      <c r="G815" s="12" t="s">
        <v>52</v>
      </c>
      <c r="H815" s="13" t="str">
        <f aca="false">IF(J815&lt;&gt;1,"",IF(I815="SBJ","CB","?"))</f>
        <v/>
      </c>
      <c r="I815" s="14" t="str">
        <f aca="false">IF(OR(E815="",E815="!!!",F815="NEW"),"",INDEX(B$2:B814,-1+SUMPRODUCT(MAX(ROW(E$2:E814)*(E815=E$2:E814)))))</f>
        <v>other_3</v>
      </c>
      <c r="J815" s="15" t="n">
        <f aca="true">IF(OR(E815="",E815="!!!",F815="NEW"),"",COUNTBLANK(OFFSET(A$1,,,SUMPRODUCT(MAX(ROW(E$2:E815)*(E815=E$2:E815)))))-COUNTBLANK(OFFSET(A$1,,,SUMPRODUCT(MAX(ROW(E$1:E814)*(E815=E$1:E814))))))</f>
        <v>7</v>
      </c>
      <c r="K815" s="15" t="n">
        <f aca="false">IF(OR(E815="",E815="!!!",F815="NEW"),"",INDEX(J$1:J814,SUMPRODUCT(MAX(ROW(E$1:E814)*(E815=E$1:E814)))))</f>
        <v>1</v>
      </c>
      <c r="L815" s="16"/>
    </row>
    <row r="816" customFormat="false" ht="12.75" hidden="false" customHeight="false" outlineLevel="0" collapsed="false">
      <c r="A816" s="9" t="s">
        <v>78</v>
      </c>
      <c r="E816" s="10" t="str">
        <f aca="false">IF(D816="?OLD","!!!","")</f>
        <v/>
      </c>
      <c r="F816" s="11" t="str">
        <f aca="false">IF(OR(E816="",E816="!!!"),"",IF(NOT(ISNA(VLOOKUP(E816,E$1:E815,1,FALSE()))),"OLD",IF(AND(E816&lt;&gt;"",E816&lt;&gt;"!!!"),"NEW","")))</f>
        <v/>
      </c>
      <c r="G816" s="12" t="str">
        <f aca="false">IF(OR(E816="",E816="!!!"),"",IF(OR(J816=0,AND(J816=1,K816=1),AND(J816=1,I816="SBJ"),AND(J816=1,I816=0)),"?IN_FOCUS",IF(J816&lt;=2,"?ACTIVATED",IF(J816&lt;&gt;"","?FAMILIAR",IF(F816="NEW",IF(ISNA(VLOOKUP(E816,#REF!,1,FALSE())),"?TYPE_IDENTIFIABLE","?REFERENTIAL"),"_")))))</f>
        <v/>
      </c>
      <c r="H816" s="13" t="str">
        <f aca="false">IF(J816&lt;&gt;1,"",IF(I816="SBJ","CB","?"))</f>
        <v/>
      </c>
      <c r="I816" s="14" t="str">
        <f aca="false">IF(OR(E816="",E816="!!!",F816="NEW"),"",INDEX(B$2:B815,-1+SUMPRODUCT(MAX(ROW(E$2:E815)*(E816=E$2:E815)))))</f>
        <v/>
      </c>
      <c r="J816" s="15" t="str">
        <f aca="true">IF(OR(E816="",E816="!!!",F816="NEW"),"",COUNTBLANK(OFFSET(A$1,,,SUMPRODUCT(MAX(ROW(E$2:E816)*(E816=E$2:E816)))))-COUNTBLANK(OFFSET(A$1,,,SUMPRODUCT(MAX(ROW(E$1:E815)*(E816=E$1:E815))))))</f>
        <v/>
      </c>
      <c r="K816" s="15" t="str">
        <f aca="false">IF(OR(E816="",E816="!!!",F816="NEW"),"",INDEX(J$1:J815,SUMPRODUCT(MAX(ROW(E$1:E815)*(E816=E$1:E815)))))</f>
        <v/>
      </c>
      <c r="L816" s="16"/>
    </row>
    <row r="817" customFormat="false" ht="12.75" hidden="false" customHeight="false" outlineLevel="0" collapsed="false">
      <c r="A817" s="9" t="s">
        <v>436</v>
      </c>
      <c r="E817" s="10" t="str">
        <f aca="false">IF(D817="?OLD","!!!","")</f>
        <v/>
      </c>
      <c r="F817" s="11" t="str">
        <f aca="false">IF(OR(E817="",E817="!!!"),"",IF(NOT(ISNA(VLOOKUP(E817,E$1:E816,1,FALSE()))),"OLD",IF(AND(E817&lt;&gt;"",E817&lt;&gt;"!!!"),"NEW","")))</f>
        <v/>
      </c>
      <c r="G817" s="12" t="str">
        <f aca="false">IF(OR(E817="",E817="!!!"),"",IF(OR(J817=0,AND(J817=1,K817=1),AND(J817=1,I817="SBJ"),AND(J817=1,I817=0)),"?IN_FOCUS",IF(J817&lt;=2,"?ACTIVATED",IF(J817&lt;&gt;"","?FAMILIAR",IF(F817="NEW",IF(ISNA(VLOOKUP(E817,#REF!,1,FALSE())),"?TYPE_IDENTIFIABLE","?REFERENTIAL"),"_")))))</f>
        <v/>
      </c>
      <c r="H817" s="13" t="str">
        <f aca="false">IF(J817&lt;&gt;1,"",IF(I817="SBJ","CB","?"))</f>
        <v/>
      </c>
      <c r="I817" s="14" t="str">
        <f aca="false">IF(OR(E817="",E817="!!!",F817="NEW"),"",INDEX(B$2:B816,-1+SUMPRODUCT(MAX(ROW(E$2:E816)*(E817=E$2:E816)))))</f>
        <v/>
      </c>
      <c r="J817" s="15" t="str">
        <f aca="true">IF(OR(E817="",E817="!!!",F817="NEW"),"",COUNTBLANK(OFFSET(A$1,,,SUMPRODUCT(MAX(ROW(E$2:E817)*(E817=E$2:E817)))))-COUNTBLANK(OFFSET(A$1,,,SUMPRODUCT(MAX(ROW(E$1:E816)*(E817=E$1:E816))))))</f>
        <v/>
      </c>
      <c r="K817" s="15" t="str">
        <f aca="false">IF(OR(E817="",E817="!!!",F817="NEW"),"",INDEX(J$1:J816,SUMPRODUCT(MAX(ROW(E$1:E816)*(E817=E$1:E816)))))</f>
        <v/>
      </c>
      <c r="L817" s="16"/>
    </row>
    <row r="818" customFormat="false" ht="12.75" hidden="false" customHeight="false" outlineLevel="0" collapsed="false">
      <c r="A818" s="9" t="s">
        <v>81</v>
      </c>
      <c r="E818" s="10" t="str">
        <f aca="false">IF(D818="?OLD","!!!","")</f>
        <v/>
      </c>
      <c r="F818" s="11" t="str">
        <f aca="false">IF(OR(E818="",E818="!!!"),"",IF(NOT(ISNA(VLOOKUP(E818,E$1:E817,1,FALSE()))),"OLD",IF(AND(E818&lt;&gt;"",E818&lt;&gt;"!!!"),"NEW","")))</f>
        <v/>
      </c>
      <c r="G818" s="12" t="str">
        <f aca="false">IF(OR(E818="",E818="!!!"),"",IF(OR(J818=0,AND(J818=1,K818=1),AND(J818=1,I818="SBJ"),AND(J818=1,I818=0)),"?IN_FOCUS",IF(J818&lt;=2,"?ACTIVATED",IF(J818&lt;&gt;"","?FAMILIAR",IF(F818="NEW",IF(ISNA(VLOOKUP(E818,#REF!,1,FALSE())),"?TYPE_IDENTIFIABLE","?REFERENTIAL"),"_")))))</f>
        <v/>
      </c>
      <c r="H818" s="13" t="str">
        <f aca="false">IF(J818&lt;&gt;1,"",IF(I818="SBJ","CB","?"))</f>
        <v/>
      </c>
      <c r="I818" s="14" t="str">
        <f aca="false">IF(OR(E818="",E818="!!!",F818="NEW"),"",INDEX(B$2:B817,-1+SUMPRODUCT(MAX(ROW(E$2:E817)*(E818=E$2:E817)))))</f>
        <v/>
      </c>
      <c r="J818" s="15" t="str">
        <f aca="true">IF(OR(E818="",E818="!!!",F818="NEW"),"",COUNTBLANK(OFFSET(A$1,,,SUMPRODUCT(MAX(ROW(E$2:E818)*(E818=E$2:E818)))))-COUNTBLANK(OFFSET(A$1,,,SUMPRODUCT(MAX(ROW(E$1:E817)*(E818=E$1:E817))))))</f>
        <v/>
      </c>
      <c r="K818" s="15" t="str">
        <f aca="false">IF(OR(E818="",E818="!!!",F818="NEW"),"",INDEX(J$1:J817,SUMPRODUCT(MAX(ROW(E$1:E817)*(E818=E$1:E817)))))</f>
        <v/>
      </c>
      <c r="L818" s="16"/>
    </row>
    <row r="819" customFormat="false" ht="12.75" hidden="false" customHeight="false" outlineLevel="0" collapsed="false">
      <c r="A819" s="9" t="s">
        <v>126</v>
      </c>
      <c r="B819" s="0" t="s">
        <v>127</v>
      </c>
      <c r="C819" s="0" t="s">
        <v>128</v>
      </c>
      <c r="D819" s="0" t="s">
        <v>19</v>
      </c>
      <c r="E819" s="10" t="s">
        <v>327</v>
      </c>
      <c r="F819" s="11" t="str">
        <f aca="false">IF(OR(E819="",E819="!!!"),"",IF(NOT(ISNA(VLOOKUP(E819,E$1:E818,1,FALSE()))),"OLD",IF(AND(E819&lt;&gt;"",E819&lt;&gt;"!!!"),"NEW","")))</f>
        <v>OLD</v>
      </c>
      <c r="G819" s="12" t="s">
        <v>65</v>
      </c>
      <c r="H819" s="13" t="str">
        <f aca="false">IF(J819&lt;&gt;1,"",IF(I819="SBJ","CB","?"))</f>
        <v/>
      </c>
      <c r="I819" s="14" t="str">
        <f aca="false">IF(OR(E819="",E819="!!!",F819="NEW"),"",INDEX(B$2:B818,-1+SUMPRODUCT(MAX(ROW(E$2:E818)*(E819=E$2:E818)))))</f>
        <v>OBJ_2</v>
      </c>
      <c r="J819" s="15" t="n">
        <f aca="true">IF(OR(E819="",E819="!!!",F819="NEW"),"",COUNTBLANK(OFFSET(A$1,,,SUMPRODUCT(MAX(ROW(E$2:E819)*(E819=E$2:E819)))))-COUNTBLANK(OFFSET(A$1,,,SUMPRODUCT(MAX(ROW(E$1:E818)*(E819=E$1:E818))))))</f>
        <v>0</v>
      </c>
      <c r="K819" s="15" t="n">
        <f aca="false">IF(OR(E819="",E819="!!!",F819="NEW"),"",INDEX(J$1:J818,SUMPRODUCT(MAX(ROW(E$1:E818)*(E819=E$1:E818)))))</f>
        <v>7</v>
      </c>
      <c r="L819" s="16"/>
    </row>
    <row r="820" customFormat="false" ht="12.75" hidden="false" customHeight="false" outlineLevel="0" collapsed="false">
      <c r="A820" s="9" t="s">
        <v>437</v>
      </c>
      <c r="B820" s="0" t="s">
        <v>62</v>
      </c>
      <c r="C820" s="0" t="s">
        <v>83</v>
      </c>
      <c r="D820" s="0" t="s">
        <v>19</v>
      </c>
      <c r="E820" s="10" t="s">
        <v>438</v>
      </c>
      <c r="F820" s="11" t="str">
        <f aca="false">IF(OR(E820="",E820="!!!"),"",IF(NOT(ISNA(VLOOKUP(E820,E$1:E819,1,FALSE()))),"OLD",IF(AND(E820&lt;&gt;"",E820&lt;&gt;"!!!"),"NEW","")))</f>
        <v>NEW</v>
      </c>
      <c r="G820" s="12" t="s">
        <v>21</v>
      </c>
      <c r="H820" s="13" t="str">
        <f aca="false">IF(J820&lt;&gt;1,"",IF(I820="SBJ","CB","?"))</f>
        <v/>
      </c>
      <c r="I820" s="14" t="str">
        <f aca="false">IF(OR(E820="",E820="!!!",F820="NEW"),"",INDEX(B$2:B819,-1+SUMPRODUCT(MAX(ROW(E$2:E819)*(E820=E$2:E819)))))</f>
        <v/>
      </c>
      <c r="J820" s="15" t="str">
        <f aca="true">IF(OR(E820="",E820="!!!",F820="NEW"),"",COUNTBLANK(OFFSET(A$1,,,SUMPRODUCT(MAX(ROW(E$2:E820)*(E820=E$2:E820)))))-COUNTBLANK(OFFSET(A$1,,,SUMPRODUCT(MAX(ROW(E$1:E819)*(E820=E$1:E819))))))</f>
        <v/>
      </c>
      <c r="K820" s="15" t="str">
        <f aca="false">IF(OR(E820="",E820="!!!",F820="NEW"),"",INDEX(J$1:J819,SUMPRODUCT(MAX(ROW(E$1:E819)*(E820=E$1:E819)))))</f>
        <v/>
      </c>
      <c r="L820" s="16"/>
    </row>
    <row r="821" customFormat="false" ht="12.75" hidden="false" customHeight="false" outlineLevel="0" collapsed="false">
      <c r="A821" s="9" t="s">
        <v>28</v>
      </c>
      <c r="E821" s="10" t="str">
        <f aca="false">IF(D821="?OLD","!!!","")</f>
        <v/>
      </c>
      <c r="F821" s="11" t="str">
        <f aca="false">IF(OR(E821="",E821="!!!"),"",IF(NOT(ISNA(VLOOKUP(E821,E$1:E820,1,FALSE()))),"OLD",IF(AND(E821&lt;&gt;"",E821&lt;&gt;"!!!"),"NEW","")))</f>
        <v/>
      </c>
      <c r="G821" s="12" t="str">
        <f aca="false">IF(OR(E821="",E821="!!!"),"",IF(OR(J821=0,AND(J821=1,K821=1),AND(J821=1,I821="SBJ"),AND(J821=1,I821=0)),"?IN_FOCUS",IF(J821&lt;=2,"?ACTIVATED",IF(J821&lt;&gt;"","?FAMILIAR",IF(F821="NEW",IF(ISNA(VLOOKUP(E821,#REF!,1,FALSE())),"?TYPE_IDENTIFIABLE","?REFERENTIAL"),"_")))))</f>
        <v/>
      </c>
      <c r="H821" s="13" t="str">
        <f aca="false">IF(J821&lt;&gt;1,"",IF(I821="SBJ","CB","?"))</f>
        <v/>
      </c>
      <c r="I821" s="14" t="str">
        <f aca="false">IF(OR(E821="",E821="!!!",F821="NEW"),"",INDEX(B$2:B820,-1+SUMPRODUCT(MAX(ROW(E$2:E820)*(E821=E$2:E820)))))</f>
        <v/>
      </c>
      <c r="J821" s="15" t="str">
        <f aca="true">IF(OR(E821="",E821="!!!",F821="NEW"),"",COUNTBLANK(OFFSET(A$1,,,SUMPRODUCT(MAX(ROW(E$2:E821)*(E821=E$2:E821)))))-COUNTBLANK(OFFSET(A$1,,,SUMPRODUCT(MAX(ROW(E$1:E820)*(E821=E$1:E820))))))</f>
        <v/>
      </c>
      <c r="K821" s="15" t="str">
        <f aca="false">IF(OR(E821="",E821="!!!",F821="NEW"),"",INDEX(J$1:J820,SUMPRODUCT(MAX(ROW(E$1:E820)*(E821=E$1:E820)))))</f>
        <v/>
      </c>
      <c r="L821" s="16"/>
    </row>
    <row r="822" customFormat="false" ht="12.75" hidden="false" customHeight="false" outlineLevel="0" collapsed="false">
      <c r="A822" s="9" t="s">
        <v>362</v>
      </c>
      <c r="B822" s="0" t="s">
        <v>94</v>
      </c>
      <c r="C822" s="0" t="s">
        <v>31</v>
      </c>
      <c r="D822" s="0" t="s">
        <v>19</v>
      </c>
      <c r="E822" s="10" t="s">
        <v>367</v>
      </c>
      <c r="F822" s="11" t="str">
        <f aca="false">IF(OR(E822="",E822="!!!"),"",IF(NOT(ISNA(VLOOKUP(E822,E$1:E821,1,FALSE()))),"OLD",IF(AND(E822&lt;&gt;"",E822&lt;&gt;"!!!"),"NEW","")))</f>
        <v>OLD</v>
      </c>
      <c r="G822" s="12" t="s">
        <v>65</v>
      </c>
      <c r="H822" s="13" t="str">
        <f aca="false">IF(J822&lt;&gt;1,"",IF(I822="SBJ","CB","?"))</f>
        <v/>
      </c>
      <c r="I822" s="14" t="str">
        <f aca="false">IF(OR(E822="",E822="!!!",F822="NEW"),"",INDEX(B$2:B821,-1+SUMPRODUCT(MAX(ROW(E$2:E821)*(E822=E$2:E821)))))</f>
        <v>SBJ_2</v>
      </c>
      <c r="J822" s="15" t="n">
        <f aca="true">IF(OR(E822="",E822="!!!",F822="NEW"),"",COUNTBLANK(OFFSET(A$1,,,SUMPRODUCT(MAX(ROW(E$2:E822)*(E822=E$2:E822)))))-COUNTBLANK(OFFSET(A$1,,,SUMPRODUCT(MAX(ROW(E$1:E821)*(E822=E$1:E821))))))</f>
        <v>0</v>
      </c>
      <c r="K822" s="15" t="n">
        <f aca="false">IF(OR(E822="",E822="!!!",F822="NEW"),"",INDEX(J$1:J821,SUMPRODUCT(MAX(ROW(E$1:E821)*(E822=E$1:E821)))))</f>
        <v>0</v>
      </c>
      <c r="L822" s="16"/>
    </row>
    <row r="823" customFormat="false" ht="12.75" hidden="false" customHeight="false" outlineLevel="0" collapsed="false">
      <c r="A823" s="9" t="s">
        <v>439</v>
      </c>
      <c r="E823" s="10" t="str">
        <f aca="false">IF(D823="?OLD","!!!","")</f>
        <v/>
      </c>
      <c r="F823" s="11" t="str">
        <f aca="false">IF(OR(E823="",E823="!!!"),"",IF(NOT(ISNA(VLOOKUP(E823,E$1:E822,1,FALSE()))),"OLD",IF(AND(E823&lt;&gt;"",E823&lt;&gt;"!!!"),"NEW","")))</f>
        <v/>
      </c>
      <c r="G823" s="12" t="str">
        <f aca="false">IF(OR(E823="",E823="!!!"),"",IF(OR(J823=0,AND(J823=1,K823=1),AND(J823=1,I823="SBJ"),AND(J823=1,I823=0)),"?IN_FOCUS",IF(J823&lt;=2,"?ACTIVATED",IF(J823&lt;&gt;"","?FAMILIAR",IF(F823="NEW",IF(ISNA(VLOOKUP(E823,#REF!,1,FALSE())),"?TYPE_IDENTIFIABLE","?REFERENTIAL"),"_")))))</f>
        <v/>
      </c>
      <c r="H823" s="13" t="str">
        <f aca="false">IF(J823&lt;&gt;1,"",IF(I823="SBJ","CB","?"))</f>
        <v/>
      </c>
      <c r="I823" s="14" t="str">
        <f aca="false">IF(OR(E823="",E823="!!!",F823="NEW"),"",INDEX(B$2:B822,-1+SUMPRODUCT(MAX(ROW(E$2:E822)*(E823=E$2:E822)))))</f>
        <v/>
      </c>
      <c r="J823" s="15" t="str">
        <f aca="true">IF(OR(E823="",E823="!!!",F823="NEW"),"",COUNTBLANK(OFFSET(A$1,,,SUMPRODUCT(MAX(ROW(E$2:E823)*(E823=E$2:E823)))))-COUNTBLANK(OFFSET(A$1,,,SUMPRODUCT(MAX(ROW(E$1:E822)*(E823=E$1:E822))))))</f>
        <v/>
      </c>
      <c r="K823" s="15" t="str">
        <f aca="false">IF(OR(E823="",E823="!!!",F823="NEW"),"",INDEX(J$1:J822,SUMPRODUCT(MAX(ROW(E$1:E822)*(E823=E$1:E822)))))</f>
        <v/>
      </c>
      <c r="L823" s="16"/>
    </row>
    <row r="824" customFormat="false" ht="12.75" hidden="false" customHeight="false" outlineLevel="0" collapsed="false">
      <c r="A824" s="9" t="s">
        <v>113</v>
      </c>
      <c r="B824" s="0" t="s">
        <v>96</v>
      </c>
      <c r="C824" s="0" t="s">
        <v>194</v>
      </c>
      <c r="D824" s="0" t="s">
        <v>19</v>
      </c>
      <c r="E824" s="10" t="s">
        <v>440</v>
      </c>
      <c r="F824" s="11" t="str">
        <f aca="false">IF(OR(E824="",E824="!!!"),"",IF(NOT(ISNA(VLOOKUP(E824,E$1:E823,1,FALSE()))),"OLD",IF(AND(E824&lt;&gt;"",E824&lt;&gt;"!!!"),"NEW","")))</f>
        <v>NEW</v>
      </c>
      <c r="G824" s="12" t="s">
        <v>52</v>
      </c>
      <c r="H824" s="13" t="str">
        <f aca="false">IF(J824&lt;&gt;1,"",IF(I824="SBJ","CB","?"))</f>
        <v/>
      </c>
      <c r="I824" s="14" t="str">
        <f aca="false">IF(OR(E824="",E824="!!!",F824="NEW"),"",INDEX(B$2:B823,-1+SUMPRODUCT(MAX(ROW(E$2:E823)*(E824=E$2:E823)))))</f>
        <v/>
      </c>
      <c r="J824" s="15" t="str">
        <f aca="true">IF(OR(E824="",E824="!!!",F824="NEW"),"",COUNTBLANK(OFFSET(A$1,,,SUMPRODUCT(MAX(ROW(E$2:E824)*(E824=E$2:E824)))))-COUNTBLANK(OFFSET(A$1,,,SUMPRODUCT(MAX(ROW(E$1:E823)*(E824=E$1:E823))))))</f>
        <v/>
      </c>
      <c r="K824" s="15" t="str">
        <f aca="false">IF(OR(E824="",E824="!!!",F824="NEW"),"",INDEX(J$1:J823,SUMPRODUCT(MAX(ROW(E$1:E823)*(E824=E$1:E823)))))</f>
        <v/>
      </c>
      <c r="L824" s="16"/>
    </row>
    <row r="825" customFormat="false" ht="12.75" hidden="false" customHeight="false" outlineLevel="0" collapsed="false">
      <c r="A825" s="9" t="s">
        <v>212</v>
      </c>
      <c r="E825" s="10" t="str">
        <f aca="false">IF(D825="?OLD","!!!","")</f>
        <v/>
      </c>
      <c r="F825" s="11" t="str">
        <f aca="false">IF(OR(E825="",E825="!!!"),"",IF(NOT(ISNA(VLOOKUP(E825,E$1:E824,1,FALSE()))),"OLD",IF(AND(E825&lt;&gt;"",E825&lt;&gt;"!!!"),"NEW","")))</f>
        <v/>
      </c>
      <c r="G825" s="12" t="str">
        <f aca="false">IF(OR(E825="",E825="!!!"),"",IF(OR(J825=0,AND(J825=1,K825=1),AND(J825=1,I825="SBJ"),AND(J825=1,I825=0)),"?IN_FOCUS",IF(J825&lt;=2,"?ACTIVATED",IF(J825&lt;&gt;"","?FAMILIAR",IF(F825="NEW",IF(ISNA(VLOOKUP(E825,#REF!,1,FALSE())),"?TYPE_IDENTIFIABLE","?REFERENTIAL"),"_")))))</f>
        <v/>
      </c>
      <c r="H825" s="13" t="str">
        <f aca="false">IF(J825&lt;&gt;1,"",IF(I825="SBJ","CB","?"))</f>
        <v/>
      </c>
      <c r="I825" s="14" t="str">
        <f aca="false">IF(OR(E825="",E825="!!!",F825="NEW"),"",INDEX(B$2:B824,-1+SUMPRODUCT(MAX(ROW(E$2:E824)*(E825=E$2:E824)))))</f>
        <v/>
      </c>
      <c r="J825" s="15" t="str">
        <f aca="true">IF(OR(E825="",E825="!!!",F825="NEW"),"",COUNTBLANK(OFFSET(A$1,,,SUMPRODUCT(MAX(ROW(E$2:E825)*(E825=E$2:E825)))))-COUNTBLANK(OFFSET(A$1,,,SUMPRODUCT(MAX(ROW(E$1:E824)*(E825=E$1:E824))))))</f>
        <v/>
      </c>
      <c r="K825" s="15" t="str">
        <f aca="false">IF(OR(E825="",E825="!!!",F825="NEW"),"",INDEX(J$1:J824,SUMPRODUCT(MAX(ROW(E$1:E824)*(E825=E$1:E824)))))</f>
        <v/>
      </c>
      <c r="L825" s="16"/>
    </row>
    <row r="826" customFormat="false" ht="12.75" hidden="false" customHeight="false" outlineLevel="0" collapsed="false">
      <c r="A826" s="9" t="s">
        <v>441</v>
      </c>
      <c r="E826" s="10" t="str">
        <f aca="false">IF(D826="?OLD","!!!","")</f>
        <v/>
      </c>
      <c r="F826" s="11" t="str">
        <f aca="false">IF(OR(E826="",E826="!!!"),"",IF(NOT(ISNA(VLOOKUP(E826,E$1:E825,1,FALSE()))),"OLD",IF(AND(E826&lt;&gt;"",E826&lt;&gt;"!!!"),"NEW","")))</f>
        <v/>
      </c>
      <c r="G826" s="12" t="str">
        <f aca="false">IF(OR(E826="",E826="!!!"),"",IF(OR(J826=0,AND(J826=1,K826=1),AND(J826=1,I826="SBJ"),AND(J826=1,I826=0)),"?IN_FOCUS",IF(J826&lt;=2,"?ACTIVATED",IF(J826&lt;&gt;"","?FAMILIAR",IF(F826="NEW",IF(ISNA(VLOOKUP(E826,#REF!,1,FALSE())),"?TYPE_IDENTIFIABLE","?REFERENTIAL"),"_")))))</f>
        <v/>
      </c>
      <c r="H826" s="13" t="str">
        <f aca="false">IF(J826&lt;&gt;1,"",IF(I826="SBJ","CB","?"))</f>
        <v/>
      </c>
      <c r="I826" s="14" t="str">
        <f aca="false">IF(OR(E826="",E826="!!!",F826="NEW"),"",INDEX(B$2:B825,-1+SUMPRODUCT(MAX(ROW(E$2:E825)*(E826=E$2:E825)))))</f>
        <v/>
      </c>
      <c r="J826" s="15" t="str">
        <f aca="true">IF(OR(E826="",E826="!!!",F826="NEW"),"",COUNTBLANK(OFFSET(A$1,,,SUMPRODUCT(MAX(ROW(E$2:E826)*(E826=E$2:E826)))))-COUNTBLANK(OFFSET(A$1,,,SUMPRODUCT(MAX(ROW(E$1:E825)*(E826=E$1:E825))))))</f>
        <v/>
      </c>
      <c r="K826" s="15" t="str">
        <f aca="false">IF(OR(E826="",E826="!!!",F826="NEW"),"",INDEX(J$1:J825,SUMPRODUCT(MAX(ROW(E$1:E825)*(E826=E$1:E825)))))</f>
        <v/>
      </c>
      <c r="L826" s="16"/>
    </row>
    <row r="827" customFormat="false" ht="12.75" hidden="false" customHeight="false" outlineLevel="0" collapsed="false">
      <c r="A827" s="9" t="s">
        <v>15</v>
      </c>
      <c r="E827" s="10" t="str">
        <f aca="false">IF(D827="?OLD","!!!","")</f>
        <v/>
      </c>
      <c r="F827" s="11" t="str">
        <f aca="false">IF(OR(E827="",E827="!!!"),"",IF(NOT(ISNA(VLOOKUP(E827,E$1:E826,1,FALSE()))),"OLD",IF(AND(E827&lt;&gt;"",E827&lt;&gt;"!!!"),"NEW","")))</f>
        <v/>
      </c>
      <c r="G827" s="12" t="str">
        <f aca="false">IF(OR(E827="",E827="!!!"),"",IF(OR(J827=0,AND(J827=1,K827=1),AND(J827=1,I827="SBJ"),AND(J827=1,I827=0)),"?IN_FOCUS",IF(J827&lt;=2,"?ACTIVATED",IF(J827&lt;&gt;"","?FAMILIAR",IF(F827="NEW",IF(ISNA(VLOOKUP(E827,#REF!,1,FALSE())),"?TYPE_IDENTIFIABLE","?REFERENTIAL"),"_")))))</f>
        <v/>
      </c>
      <c r="H827" s="13" t="str">
        <f aca="false">IF(J827&lt;&gt;1,"",IF(I827="SBJ","CB","?"))</f>
        <v/>
      </c>
      <c r="I827" s="14" t="str">
        <f aca="false">IF(OR(E827="",E827="!!!",F827="NEW"),"",INDEX(B$2:B826,-1+SUMPRODUCT(MAX(ROW(E$2:E826)*(E827=E$2:E826)))))</f>
        <v/>
      </c>
      <c r="J827" s="15" t="str">
        <f aca="true">IF(OR(E827="",E827="!!!",F827="NEW"),"",COUNTBLANK(OFFSET(A$1,,,SUMPRODUCT(MAX(ROW(E$2:E827)*(E827=E$2:E827)))))-COUNTBLANK(OFFSET(A$1,,,SUMPRODUCT(MAX(ROW(E$1:E826)*(E827=E$1:E826))))))</f>
        <v/>
      </c>
      <c r="K827" s="15" t="str">
        <f aca="false">IF(OR(E827="",E827="!!!",F827="NEW"),"",INDEX(J$1:J826,SUMPRODUCT(MAX(ROW(E$1:E826)*(E827=E$1:E826)))))</f>
        <v/>
      </c>
      <c r="L827" s="16"/>
    </row>
    <row r="828" customFormat="false" ht="12.75" hidden="false" customHeight="false" outlineLevel="0" collapsed="false">
      <c r="A828" s="9" t="s">
        <v>442</v>
      </c>
      <c r="B828" s="0" t="s">
        <v>75</v>
      </c>
      <c r="C828" s="0" t="s">
        <v>83</v>
      </c>
      <c r="D828" s="0" t="s">
        <v>19</v>
      </c>
      <c r="E828" s="10" t="s">
        <v>440</v>
      </c>
      <c r="F828" s="11" t="str">
        <f aca="false">IF(OR(E828="",E828="!!!"),"",IF(NOT(ISNA(VLOOKUP(E828,E$1:E827,1,FALSE()))),"OLD",IF(AND(E828&lt;&gt;"",E828&lt;&gt;"!!!"),"NEW","")))</f>
        <v>OLD</v>
      </c>
      <c r="G828" s="12" t="s">
        <v>65</v>
      </c>
      <c r="H828" s="13" t="str">
        <f aca="false">IF(J828&lt;&gt;1,"",IF(I828="SBJ","CB","?"))</f>
        <v/>
      </c>
      <c r="I828" s="14" t="str">
        <f aca="false">IF(OR(E828="",E828="!!!",F828="NEW"),"",INDEX(B$2:B827,-1+SUMPRODUCT(MAX(ROW(E$2:E827)*(E828=E$2:E827)))))</f>
        <v>OBJ_3</v>
      </c>
      <c r="J828" s="15" t="n">
        <f aca="true">IF(OR(E828="",E828="!!!",F828="NEW"),"",COUNTBLANK(OFFSET(A$1,,,SUMPRODUCT(MAX(ROW(E$2:E828)*(E828=E$2:E828)))))-COUNTBLANK(OFFSET(A$1,,,SUMPRODUCT(MAX(ROW(E$1:E827)*(E828=E$1:E827))))))</f>
        <v>0</v>
      </c>
      <c r="K828" s="15" t="str">
        <f aca="false">IF(OR(E828="",E828="!!!",F828="NEW"),"",INDEX(J$1:J827,SUMPRODUCT(MAX(ROW(E$1:E827)*(E828=E$1:E827)))))</f>
        <v/>
      </c>
      <c r="L828" s="16"/>
    </row>
    <row r="829" customFormat="false" ht="12.75" hidden="false" customHeight="false" outlineLevel="0" collapsed="false">
      <c r="A829" s="9" t="s">
        <v>22</v>
      </c>
      <c r="E829" s="10" t="str">
        <f aca="false">IF(D829="?OLD","!!!","")</f>
        <v/>
      </c>
      <c r="F829" s="11" t="str">
        <f aca="false">IF(OR(E829="",E829="!!!"),"",IF(NOT(ISNA(VLOOKUP(E829,E$1:E828,1,FALSE()))),"OLD",IF(AND(E829&lt;&gt;"",E829&lt;&gt;"!!!"),"NEW","")))</f>
        <v/>
      </c>
      <c r="G829" s="12" t="str">
        <f aca="false">IF(OR(E829="",E829="!!!"),"",IF(OR(J829=0,AND(J829=1,K829=1),AND(J829=1,I829="SBJ"),AND(J829=1,I829=0)),"?IN_FOCUS",IF(J829&lt;=2,"?ACTIVATED",IF(J829&lt;&gt;"","?FAMILIAR",IF(F829="NEW",IF(ISNA(VLOOKUP(E829,#REF!,1,FALSE())),"?TYPE_IDENTIFIABLE","?REFERENTIAL"),"_")))))</f>
        <v/>
      </c>
      <c r="H829" s="13" t="str">
        <f aca="false">IF(J829&lt;&gt;1,"",IF(I829="SBJ","CB","?"))</f>
        <v/>
      </c>
      <c r="I829" s="14" t="str">
        <f aca="false">IF(OR(E829="",E829="!!!",F829="NEW"),"",INDEX(B$2:B828,-1+SUMPRODUCT(MAX(ROW(E$2:E828)*(E829=E$2:E828)))))</f>
        <v/>
      </c>
      <c r="J829" s="15" t="str">
        <f aca="true">IF(OR(E829="",E829="!!!",F829="NEW"),"",COUNTBLANK(OFFSET(A$1,,,SUMPRODUCT(MAX(ROW(E$2:E829)*(E829=E$2:E829)))))-COUNTBLANK(OFFSET(A$1,,,SUMPRODUCT(MAX(ROW(E$1:E828)*(E829=E$1:E828))))))</f>
        <v/>
      </c>
      <c r="K829" s="15" t="str">
        <f aca="false">IF(OR(E829="",E829="!!!",F829="NEW"),"",INDEX(J$1:J828,SUMPRODUCT(MAX(ROW(E$1:E828)*(E829=E$1:E828)))))</f>
        <v/>
      </c>
      <c r="L829" s="16"/>
    </row>
    <row r="830" customFormat="false" ht="12.75" hidden="false" customHeight="false" outlineLevel="0" collapsed="false">
      <c r="A830" s="9" t="s">
        <v>15</v>
      </c>
      <c r="E830" s="10" t="str">
        <f aca="false">IF(D830="?OLD","!!!","")</f>
        <v/>
      </c>
      <c r="F830" s="11" t="str">
        <f aca="false">IF(OR(E830="",E830="!!!"),"",IF(NOT(ISNA(VLOOKUP(E830,E$1:E829,1,FALSE()))),"OLD",IF(AND(E830&lt;&gt;"",E830&lt;&gt;"!!!"),"NEW","")))</f>
        <v/>
      </c>
      <c r="G830" s="12" t="str">
        <f aca="false">IF(OR(E830="",E830="!!!"),"",IF(OR(J830=0,AND(J830=1,K830=1),AND(J830=1,I830="SBJ"),AND(J830=1,I830=0)),"?IN_FOCUS",IF(J830&lt;=2,"?ACTIVATED",IF(J830&lt;&gt;"","?FAMILIAR",IF(F830="NEW",IF(ISNA(VLOOKUP(E830,#REF!,1,FALSE())),"?TYPE_IDENTIFIABLE","?REFERENTIAL"),"_")))))</f>
        <v/>
      </c>
      <c r="H830" s="13" t="str">
        <f aca="false">IF(J830&lt;&gt;1,"",IF(I830="SBJ","CB","?"))</f>
        <v/>
      </c>
      <c r="I830" s="14" t="str">
        <f aca="false">IF(OR(E830="",E830="!!!",F830="NEW"),"",INDEX(B$2:B829,-1+SUMPRODUCT(MAX(ROW(E$2:E829)*(E830=E$2:E829)))))</f>
        <v/>
      </c>
      <c r="J830" s="15" t="str">
        <f aca="true">IF(OR(E830="",E830="!!!",F830="NEW"),"",COUNTBLANK(OFFSET(A$1,,,SUMPRODUCT(MAX(ROW(E$2:E830)*(E830=E$2:E830)))))-COUNTBLANK(OFFSET(A$1,,,SUMPRODUCT(MAX(ROW(E$1:E829)*(E830=E$1:E829))))))</f>
        <v/>
      </c>
      <c r="K830" s="15" t="str">
        <f aca="false">IF(OR(E830="",E830="!!!",F830="NEW"),"",INDEX(J$1:J829,SUMPRODUCT(MAX(ROW(E$1:E829)*(E830=E$1:E829)))))</f>
        <v/>
      </c>
      <c r="L830" s="16"/>
    </row>
    <row r="831" customFormat="false" ht="12.75" hidden="false" customHeight="false" outlineLevel="0" collapsed="false">
      <c r="A831" s="9" t="s">
        <v>435</v>
      </c>
      <c r="B831" s="0" t="s">
        <v>24</v>
      </c>
      <c r="C831" s="0" t="s">
        <v>103</v>
      </c>
      <c r="D831" s="0" t="s">
        <v>19</v>
      </c>
      <c r="E831" s="10" t="s">
        <v>327</v>
      </c>
      <c r="F831" s="11" t="str">
        <f aca="false">IF(OR(E831="",E831="!!!"),"",IF(NOT(ISNA(VLOOKUP(E831,E$1:E830,1,FALSE()))),"OLD",IF(AND(E831&lt;&gt;"",E831&lt;&gt;"!!!"),"NEW","")))</f>
        <v>OLD</v>
      </c>
      <c r="G831" s="12" t="s">
        <v>65</v>
      </c>
      <c r="H831" s="13" t="str">
        <f aca="false">IF(J831&lt;&gt;1,"",IF(I831="SBJ","CB","?"))</f>
        <v/>
      </c>
      <c r="I831" s="14" t="str">
        <f aca="false">IF(OR(E831="",E831="!!!",F831="NEW"),"",INDEX(B$2:B830,-1+SUMPRODUCT(MAX(ROW(E$2:E830)*(E831=E$2:E830)))))</f>
        <v>other_5</v>
      </c>
      <c r="J831" s="15" t="n">
        <f aca="true">IF(OR(E831="",E831="!!!",F831="NEW"),"",COUNTBLANK(OFFSET(A$1,,,SUMPRODUCT(MAX(ROW(E$2:E831)*(E831=E$2:E831)))))-COUNTBLANK(OFFSET(A$1,,,SUMPRODUCT(MAX(ROW(E$1:E830)*(E831=E$1:E830))))))</f>
        <v>0</v>
      </c>
      <c r="K831" s="15" t="n">
        <f aca="false">IF(OR(E831="",E831="!!!",F831="NEW"),"",INDEX(J$1:J830,SUMPRODUCT(MAX(ROW(E$1:E830)*(E831=E$1:E830)))))</f>
        <v>0</v>
      </c>
      <c r="L831" s="16"/>
    </row>
    <row r="832" customFormat="false" ht="12.75" hidden="false" customHeight="false" outlineLevel="0" collapsed="false">
      <c r="A832" s="9" t="s">
        <v>28</v>
      </c>
      <c r="E832" s="10" t="str">
        <f aca="false">IF(D832="?OLD","!!!","")</f>
        <v/>
      </c>
      <c r="F832" s="11" t="str">
        <f aca="false">IF(OR(E832="",E832="!!!"),"",IF(NOT(ISNA(VLOOKUP(E832,E$1:E831,1,FALSE()))),"OLD",IF(AND(E832&lt;&gt;"",E832&lt;&gt;"!!!"),"NEW","")))</f>
        <v/>
      </c>
      <c r="G832" s="12" t="str">
        <f aca="false">IF(OR(E832="",E832="!!!"),"",IF(OR(J832=0,AND(J832=1,K832=1),AND(J832=1,I832="SBJ"),AND(J832=1,I832=0)),"?IN_FOCUS",IF(J832&lt;=2,"?ACTIVATED",IF(J832&lt;&gt;"","?FAMILIAR",IF(F832="NEW",IF(ISNA(VLOOKUP(E832,#REF!,1,FALSE())),"?TYPE_IDENTIFIABLE","?REFERENTIAL"),"_")))))</f>
        <v/>
      </c>
      <c r="H832" s="13" t="str">
        <f aca="false">IF(J832&lt;&gt;1,"",IF(I832="SBJ","CB","?"))</f>
        <v/>
      </c>
      <c r="I832" s="14" t="str">
        <f aca="false">IF(OR(E832="",E832="!!!",F832="NEW"),"",INDEX(B$2:B831,-1+SUMPRODUCT(MAX(ROW(E$2:E831)*(E832=E$2:E831)))))</f>
        <v/>
      </c>
      <c r="J832" s="15" t="str">
        <f aca="true">IF(OR(E832="",E832="!!!",F832="NEW"),"",COUNTBLANK(OFFSET(A$1,,,SUMPRODUCT(MAX(ROW(E$2:E832)*(E832=E$2:E832)))))-COUNTBLANK(OFFSET(A$1,,,SUMPRODUCT(MAX(ROW(E$1:E831)*(E832=E$1:E831))))))</f>
        <v/>
      </c>
      <c r="K832" s="15" t="str">
        <f aca="false">IF(OR(E832="",E832="!!!",F832="NEW"),"",INDEX(J$1:J831,SUMPRODUCT(MAX(ROW(E$1:E831)*(E832=E$1:E831)))))</f>
        <v/>
      </c>
      <c r="L832" s="16"/>
    </row>
    <row r="833" customFormat="false" ht="12.75" hidden="false" customHeight="false" outlineLevel="0" collapsed="false">
      <c r="A833" s="9" t="s">
        <v>258</v>
      </c>
      <c r="E833" s="10" t="str">
        <f aca="false">IF(D833="?OLD","!!!","")</f>
        <v/>
      </c>
      <c r="F833" s="11" t="str">
        <f aca="false">IF(OR(E833="",E833="!!!"),"",IF(NOT(ISNA(VLOOKUP(E833,E$1:E832,1,FALSE()))),"OLD",IF(AND(E833&lt;&gt;"",E833&lt;&gt;"!!!"),"NEW","")))</f>
        <v/>
      </c>
      <c r="G833" s="12" t="str">
        <f aca="false">IF(OR(E833="",E833="!!!"),"",IF(OR(J833=0,AND(J833=1,K833=1),AND(J833=1,I833="SBJ"),AND(J833=1,I833=0)),"?IN_FOCUS",IF(J833&lt;=2,"?ACTIVATED",IF(J833&lt;&gt;"","?FAMILIAR",IF(F833="NEW",IF(ISNA(VLOOKUP(E833,#REF!,1,FALSE())),"?TYPE_IDENTIFIABLE","?REFERENTIAL"),"_")))))</f>
        <v/>
      </c>
      <c r="H833" s="13" t="str">
        <f aca="false">IF(J833&lt;&gt;1,"",IF(I833="SBJ","CB","?"))</f>
        <v/>
      </c>
      <c r="I833" s="14" t="str">
        <f aca="false">IF(OR(E833="",E833="!!!",F833="NEW"),"",INDEX(B$2:B832,-1+SUMPRODUCT(MAX(ROW(E$2:E832)*(E833=E$2:E832)))))</f>
        <v/>
      </c>
      <c r="J833" s="15" t="str">
        <f aca="true">IF(OR(E833="",E833="!!!",F833="NEW"),"",COUNTBLANK(OFFSET(A$1,,,SUMPRODUCT(MAX(ROW(E$2:E833)*(E833=E$2:E833)))))-COUNTBLANK(OFFSET(A$1,,,SUMPRODUCT(MAX(ROW(E$1:E832)*(E833=E$1:E832))))))</f>
        <v/>
      </c>
      <c r="K833" s="15" t="str">
        <f aca="false">IF(OR(E833="",E833="!!!",F833="NEW"),"",INDEX(J$1:J832,SUMPRODUCT(MAX(ROW(E$1:E832)*(E833=E$1:E832)))))</f>
        <v/>
      </c>
      <c r="L833" s="16"/>
    </row>
    <row r="834" customFormat="false" ht="12.75" hidden="false" customHeight="false" outlineLevel="0" collapsed="false">
      <c r="A834" s="9" t="s">
        <v>395</v>
      </c>
      <c r="B834" s="0" t="s">
        <v>94</v>
      </c>
      <c r="E834" s="10" t="str">
        <f aca="false">IF(D834="?OLD","!!!","")</f>
        <v/>
      </c>
      <c r="F834" s="11" t="str">
        <f aca="false">IF(OR(E834="",E834="!!!"),"",IF(NOT(ISNA(VLOOKUP(E834,E$1:E833,1,FALSE()))),"OLD",IF(AND(E834&lt;&gt;"",E834&lt;&gt;"!!!"),"NEW","")))</f>
        <v/>
      </c>
      <c r="G834" s="12" t="str">
        <f aca="false">IF(OR(E834="",E834="!!!"),"",IF(OR(J834=0,AND(J834=1,K834=1),AND(J834=1,I834="SBJ"),AND(J834=1,I834=0)),"?IN_FOCUS",IF(J834&lt;=2,"?ACTIVATED",IF(J834&lt;&gt;"","?FAMILIAR",IF(F834="NEW",IF(ISNA(VLOOKUP(E834,#REF!,1,FALSE())),"?TYPE_IDENTIFIABLE","?REFERENTIAL"),"_")))))</f>
        <v/>
      </c>
      <c r="H834" s="13" t="str">
        <f aca="false">IF(J834&lt;&gt;1,"",IF(I834="SBJ","CB","?"))</f>
        <v/>
      </c>
      <c r="I834" s="14" t="str">
        <f aca="false">IF(OR(E834="",E834="!!!",F834="NEW"),"",INDEX(B$2:B833,-1+SUMPRODUCT(MAX(ROW(E$2:E833)*(E834=E$2:E833)))))</f>
        <v/>
      </c>
      <c r="J834" s="15" t="str">
        <f aca="true">IF(OR(E834="",E834="!!!",F834="NEW"),"",COUNTBLANK(OFFSET(A$1,,,SUMPRODUCT(MAX(ROW(E$2:E834)*(E834=E$2:E834)))))-COUNTBLANK(OFFSET(A$1,,,SUMPRODUCT(MAX(ROW(E$1:E833)*(E834=E$1:E833))))))</f>
        <v/>
      </c>
      <c r="K834" s="15" t="str">
        <f aca="false">IF(OR(E834="",E834="!!!",F834="NEW"),"",INDEX(J$1:J833,SUMPRODUCT(MAX(ROW(E$1:E833)*(E834=E$1:E833)))))</f>
        <v/>
      </c>
      <c r="L834" s="16"/>
    </row>
    <row r="835" customFormat="false" ht="12.75" hidden="false" customHeight="false" outlineLevel="0" collapsed="false">
      <c r="A835" s="9" t="s">
        <v>116</v>
      </c>
      <c r="E835" s="10" t="str">
        <f aca="false">IF(D835="?OLD","!!!","")</f>
        <v/>
      </c>
      <c r="F835" s="11" t="str">
        <f aca="false">IF(OR(E835="",E835="!!!"),"",IF(NOT(ISNA(VLOOKUP(E835,E$1:E834,1,FALSE()))),"OLD",IF(AND(E835&lt;&gt;"",E835&lt;&gt;"!!!"),"NEW","")))</f>
        <v/>
      </c>
      <c r="G835" s="12" t="str">
        <f aca="false">IF(OR(E835="",E835="!!!"),"",IF(OR(J835=0,AND(J835=1,K835=1),AND(J835=1,I835="SBJ"),AND(J835=1,I835=0)),"?IN_FOCUS",IF(J835&lt;=2,"?ACTIVATED",IF(J835&lt;&gt;"","?FAMILIAR",IF(F835="NEW",IF(ISNA(VLOOKUP(E835,#REF!,1,FALSE())),"?TYPE_IDENTIFIABLE","?REFERENTIAL"),"_")))))</f>
        <v/>
      </c>
      <c r="H835" s="13" t="str">
        <f aca="false">IF(J835&lt;&gt;1,"",IF(I835="SBJ","CB","?"))</f>
        <v/>
      </c>
      <c r="I835" s="14" t="str">
        <f aca="false">IF(OR(E835="",E835="!!!",F835="NEW"),"",INDEX(B$2:B834,-1+SUMPRODUCT(MAX(ROW(E$2:E834)*(E835=E$2:E834)))))</f>
        <v/>
      </c>
      <c r="J835" s="15" t="str">
        <f aca="true">IF(OR(E835="",E835="!!!",F835="NEW"),"",COUNTBLANK(OFFSET(A$1,,,SUMPRODUCT(MAX(ROW(E$2:E835)*(E835=E$2:E835)))))-COUNTBLANK(OFFSET(A$1,,,SUMPRODUCT(MAX(ROW(E$1:E834)*(E835=E$1:E834))))))</f>
        <v/>
      </c>
      <c r="K835" s="15" t="str">
        <f aca="false">IF(OR(E835="",E835="!!!",F835="NEW"),"",INDEX(J$1:J834,SUMPRODUCT(MAX(ROW(E$1:E834)*(E835=E$1:E834)))))</f>
        <v/>
      </c>
      <c r="L835" s="16"/>
    </row>
    <row r="836" customFormat="false" ht="12.75" hidden="false" customHeight="false" outlineLevel="0" collapsed="false">
      <c r="A836" s="9" t="s">
        <v>126</v>
      </c>
      <c r="B836" s="0" t="s">
        <v>24</v>
      </c>
      <c r="C836" s="0" t="s">
        <v>128</v>
      </c>
      <c r="D836" s="0" t="s">
        <v>19</v>
      </c>
      <c r="E836" s="10" t="s">
        <v>367</v>
      </c>
      <c r="F836" s="11" t="str">
        <f aca="false">IF(OR(E836="",E836="!!!"),"",IF(NOT(ISNA(VLOOKUP(E836,E$1:E835,1,FALSE()))),"OLD",IF(AND(E836&lt;&gt;"",E836&lt;&gt;"!!!"),"NEW","")))</f>
        <v>OLD</v>
      </c>
      <c r="G836" s="12" t="s">
        <v>65</v>
      </c>
      <c r="H836" s="13" t="str">
        <f aca="false">IF(J836&lt;&gt;1,"",IF(I836="SBJ","CB","?"))</f>
        <v/>
      </c>
      <c r="I836" s="14" t="str">
        <f aca="false">IF(OR(E836="",E836="!!!",F836="NEW"),"",INDEX(B$2:B835,-1+SUMPRODUCT(MAX(ROW(E$2:E835)*(E836=E$2:E835)))))</f>
        <v>SBJ_3</v>
      </c>
      <c r="J836" s="15" t="n">
        <f aca="true">IF(OR(E836="",E836="!!!",F836="NEW"),"",COUNTBLANK(OFFSET(A$1,,,SUMPRODUCT(MAX(ROW(E$2:E836)*(E836=E$2:E836)))))-COUNTBLANK(OFFSET(A$1,,,SUMPRODUCT(MAX(ROW(E$1:E835)*(E836=E$1:E835))))))</f>
        <v>0</v>
      </c>
      <c r="K836" s="15" t="n">
        <f aca="false">IF(OR(E836="",E836="!!!",F836="NEW"),"",INDEX(J$1:J835,SUMPRODUCT(MAX(ROW(E$1:E835)*(E836=E$1:E835)))))</f>
        <v>0</v>
      </c>
      <c r="L836" s="16"/>
    </row>
    <row r="837" customFormat="false" ht="12.75" hidden="false" customHeight="false" outlineLevel="0" collapsed="false">
      <c r="A837" s="9" t="s">
        <v>392</v>
      </c>
      <c r="B837" s="0" t="s">
        <v>17</v>
      </c>
      <c r="C837" s="0" t="s">
        <v>83</v>
      </c>
      <c r="D837" s="0" t="s">
        <v>19</v>
      </c>
      <c r="E837" s="10" t="s">
        <v>393</v>
      </c>
      <c r="F837" s="11" t="str">
        <f aca="false">IF(OR(E837="",E837="!!!"),"",IF(NOT(ISNA(VLOOKUP(E837,E$1:E836,1,FALSE()))),"OLD",IF(AND(E837&lt;&gt;"",E837&lt;&gt;"!!!"),"NEW","")))</f>
        <v>OLD</v>
      </c>
      <c r="G837" s="12" t="s">
        <v>52</v>
      </c>
      <c r="H837" s="13" t="str">
        <f aca="false">IF(J837&lt;&gt;1,"",IF(I837="SBJ","CB","?"))</f>
        <v/>
      </c>
      <c r="I837" s="14" t="str">
        <f aca="false">IF(OR(E837="",E837="!!!",F837="NEW"),"",INDEX(B$2:B836,-1+SUMPRODUCT(MAX(ROW(E$2:E836)*(E837=E$2:E836)))))</f>
        <v>OBJ_3</v>
      </c>
      <c r="J837" s="15" t="n">
        <f aca="true">IF(OR(E837="",E837="!!!",F837="NEW"),"",COUNTBLANK(OFFSET(A$1,,,SUMPRODUCT(MAX(ROW(E$2:E837)*(E837=E$2:E837)))))-COUNTBLANK(OFFSET(A$1,,,SUMPRODUCT(MAX(ROW(E$1:E836)*(E837=E$1:E836))))))</f>
        <v>5</v>
      </c>
      <c r="K837" s="15" t="str">
        <f aca="false">IF(OR(E837="",E837="!!!",F837="NEW"),"",INDEX(J$1:J836,SUMPRODUCT(MAX(ROW(E$1:E836)*(E837=E$1:E836)))))</f>
        <v/>
      </c>
      <c r="L837" s="16"/>
    </row>
    <row r="838" customFormat="false" ht="12.75" hidden="false" customHeight="false" outlineLevel="0" collapsed="false">
      <c r="A838" s="9" t="s">
        <v>443</v>
      </c>
      <c r="E838" s="10" t="str">
        <f aca="false">IF(D838="?OLD","!!!","")</f>
        <v/>
      </c>
      <c r="F838" s="11" t="str">
        <f aca="false">IF(OR(E838="",E838="!!!"),"",IF(NOT(ISNA(VLOOKUP(E838,E$1:E837,1,FALSE()))),"OLD",IF(AND(E838&lt;&gt;"",E838&lt;&gt;"!!!"),"NEW","")))</f>
        <v/>
      </c>
      <c r="G838" s="12" t="str">
        <f aca="false">IF(OR(E838="",E838="!!!"),"",IF(OR(J838=0,AND(J838=1,K838=1),AND(J838=1,I838="SBJ"),AND(J838=1,I838=0)),"?IN_FOCUS",IF(J838&lt;=2,"?ACTIVATED",IF(J838&lt;&gt;"","?FAMILIAR",IF(F838="NEW",IF(ISNA(VLOOKUP(E838,#REF!,1,FALSE())),"?TYPE_IDENTIFIABLE","?REFERENTIAL"),"_")))))</f>
        <v/>
      </c>
      <c r="H838" s="13" t="str">
        <f aca="false">IF(J838&lt;&gt;1,"",IF(I838="SBJ","CB","?"))</f>
        <v/>
      </c>
      <c r="I838" s="14" t="str">
        <f aca="false">IF(OR(E838="",E838="!!!",F838="NEW"),"",INDEX(B$2:B837,-1+SUMPRODUCT(MAX(ROW(E$2:E837)*(E838=E$2:E837)))))</f>
        <v/>
      </c>
      <c r="J838" s="15" t="str">
        <f aca="true">IF(OR(E838="",E838="!!!",F838="NEW"),"",COUNTBLANK(OFFSET(A$1,,,SUMPRODUCT(MAX(ROW(E$2:E838)*(E838=E$2:E838)))))-COUNTBLANK(OFFSET(A$1,,,SUMPRODUCT(MAX(ROW(E$1:E837)*(E838=E$1:E837))))))</f>
        <v/>
      </c>
      <c r="K838" s="15" t="str">
        <f aca="false">IF(OR(E838="",E838="!!!",F838="NEW"),"",INDEX(J$1:J837,SUMPRODUCT(MAX(ROW(E$1:E837)*(E838=E$1:E837)))))</f>
        <v/>
      </c>
      <c r="L838" s="16"/>
    </row>
    <row r="839" customFormat="false" ht="12.75" hidden="false" customHeight="false" outlineLevel="0" collapsed="false">
      <c r="A839" s="9" t="s">
        <v>42</v>
      </c>
      <c r="E839" s="10" t="str">
        <f aca="false">IF(D839="?OLD","!!!","")</f>
        <v/>
      </c>
      <c r="F839" s="11" t="str">
        <f aca="false">IF(OR(E839="",E839="!!!"),"",IF(NOT(ISNA(VLOOKUP(E839,E$1:E838,1,FALSE()))),"OLD",IF(AND(E839&lt;&gt;"",E839&lt;&gt;"!!!"),"NEW","")))</f>
        <v/>
      </c>
      <c r="G839" s="12" t="str">
        <f aca="false">IF(OR(E839="",E839="!!!"),"",IF(OR(J839=0,AND(J839=1,K839=1),AND(J839=1,I839="SBJ"),AND(J839=1,I839=0)),"?IN_FOCUS",IF(J839&lt;=2,"?ACTIVATED",IF(J839&lt;&gt;"","?FAMILIAR",IF(F839="NEW",IF(ISNA(VLOOKUP(E839,#REF!,1,FALSE())),"?TYPE_IDENTIFIABLE","?REFERENTIAL"),"_")))))</f>
        <v/>
      </c>
      <c r="H839" s="13" t="str">
        <f aca="false">IF(J839&lt;&gt;1,"",IF(I839="SBJ","CB","?"))</f>
        <v/>
      </c>
      <c r="I839" s="14" t="str">
        <f aca="false">IF(OR(E839="",E839="!!!",F839="NEW"),"",INDEX(B$2:B838,-1+SUMPRODUCT(MAX(ROW(E$2:E838)*(E839=E$2:E838)))))</f>
        <v/>
      </c>
      <c r="J839" s="15" t="str">
        <f aca="true">IF(OR(E839="",E839="!!!",F839="NEW"),"",COUNTBLANK(OFFSET(A$1,,,SUMPRODUCT(MAX(ROW(E$2:E839)*(E839=E$2:E839)))))-COUNTBLANK(OFFSET(A$1,,,SUMPRODUCT(MAX(ROW(E$1:E838)*(E839=E$1:E838))))))</f>
        <v/>
      </c>
      <c r="K839" s="15" t="str">
        <f aca="false">IF(OR(E839="",E839="!!!",F839="NEW"),"",INDEX(J$1:J838,SUMPRODUCT(MAX(ROW(E$1:E838)*(E839=E$1:E838)))))</f>
        <v/>
      </c>
      <c r="L839" s="16"/>
    </row>
    <row r="840" customFormat="false" ht="12.75" hidden="false" customHeight="false" outlineLevel="0" collapsed="false">
      <c r="A840" s="9" t="s">
        <v>394</v>
      </c>
      <c r="B840" s="0" t="s">
        <v>75</v>
      </c>
      <c r="C840" s="0" t="s">
        <v>103</v>
      </c>
      <c r="D840" s="0" t="s">
        <v>19</v>
      </c>
      <c r="E840" s="10" t="s">
        <v>394</v>
      </c>
      <c r="F840" s="11" t="str">
        <f aca="false">IF(OR(E840="",E840="!!!"),"",IF(NOT(ISNA(VLOOKUP(E840,E$1:E839,1,FALSE()))),"OLD",IF(AND(E840&lt;&gt;"",E840&lt;&gt;"!!!"),"NEW","")))</f>
        <v>OLD</v>
      </c>
      <c r="G840" s="12" t="s">
        <v>52</v>
      </c>
      <c r="H840" s="13" t="str">
        <f aca="false">IF(J840&lt;&gt;1,"",IF(I840="SBJ","CB","?"))</f>
        <v/>
      </c>
      <c r="I840" s="14" t="str">
        <f aca="false">IF(OR(E840="",E840="!!!",F840="NEW"),"",INDEX(B$2:B839,-1+SUMPRODUCT(MAX(ROW(E$2:E839)*(E840=E$2:E839)))))</f>
        <v>other_3</v>
      </c>
      <c r="J840" s="15" t="n">
        <f aca="true">IF(OR(E840="",E840="!!!",F840="NEW"),"",COUNTBLANK(OFFSET(A$1,,,SUMPRODUCT(MAX(ROW(E$2:E840)*(E840=E$2:E840)))))-COUNTBLANK(OFFSET(A$1,,,SUMPRODUCT(MAX(ROW(E$1:E839)*(E840=E$1:E839))))))</f>
        <v>5</v>
      </c>
      <c r="K840" s="15" t="str">
        <f aca="false">IF(OR(E840="",E840="!!!",F840="NEW"),"",INDEX(J$1:J839,SUMPRODUCT(MAX(ROW(E$1:E839)*(E840=E$1:E839)))))</f>
        <v/>
      </c>
      <c r="L840" s="16"/>
    </row>
    <row r="841" customFormat="false" ht="12.75" hidden="false" customHeight="false" outlineLevel="0" collapsed="false">
      <c r="A841" s="9" t="s">
        <v>28</v>
      </c>
      <c r="E841" s="10" t="str">
        <f aca="false">IF(D841="?OLD","!!!","")</f>
        <v/>
      </c>
      <c r="F841" s="11" t="str">
        <f aca="false">IF(OR(E841="",E841="!!!"),"",IF(NOT(ISNA(VLOOKUP(E841,E$1:E840,1,FALSE()))),"OLD",IF(AND(E841&lt;&gt;"",E841&lt;&gt;"!!!"),"NEW","")))</f>
        <v/>
      </c>
      <c r="G841" s="12" t="str">
        <f aca="false">IF(OR(E841="",E841="!!!"),"",IF(OR(J841=0,AND(J841=1,K841=1),AND(J841=1,I841="SBJ"),AND(J841=1,I841=0)),"?IN_FOCUS",IF(J841&lt;=2,"?ACTIVATED",IF(J841&lt;&gt;"","?FAMILIAR",IF(F841="NEW",IF(ISNA(VLOOKUP(E841,#REF!,1,FALSE())),"?TYPE_IDENTIFIABLE","?REFERENTIAL"),"_")))))</f>
        <v/>
      </c>
      <c r="H841" s="13" t="str">
        <f aca="false">IF(J841&lt;&gt;1,"",IF(I841="SBJ","CB","?"))</f>
        <v/>
      </c>
      <c r="I841" s="14" t="str">
        <f aca="false">IF(OR(E841="",E841="!!!",F841="NEW"),"",INDEX(B$2:B840,-1+SUMPRODUCT(MAX(ROW(E$2:E840)*(E841=E$2:E840)))))</f>
        <v/>
      </c>
      <c r="J841" s="15" t="str">
        <f aca="true">IF(OR(E841="",E841="!!!",F841="NEW"),"",COUNTBLANK(OFFSET(A$1,,,SUMPRODUCT(MAX(ROW(E$2:E841)*(E841=E$2:E841)))))-COUNTBLANK(OFFSET(A$1,,,SUMPRODUCT(MAX(ROW(E$1:E840)*(E841=E$1:E840))))))</f>
        <v/>
      </c>
      <c r="K841" s="15" t="str">
        <f aca="false">IF(OR(E841="",E841="!!!",F841="NEW"),"",INDEX(J$1:J840,SUMPRODUCT(MAX(ROW(E$1:E840)*(E841=E$1:E840)))))</f>
        <v/>
      </c>
      <c r="L841" s="16"/>
    </row>
    <row r="842" customFormat="false" ht="12.75" hidden="false" customHeight="false" outlineLevel="0" collapsed="false">
      <c r="A842" s="9" t="s">
        <v>444</v>
      </c>
      <c r="E842" s="10" t="str">
        <f aca="false">IF(D842="?OLD","!!!","")</f>
        <v/>
      </c>
      <c r="F842" s="11" t="str">
        <f aca="false">IF(OR(E842="",E842="!!!"),"",IF(NOT(ISNA(VLOOKUP(E842,E$1:E841,1,FALSE()))),"OLD",IF(AND(E842&lt;&gt;"",E842&lt;&gt;"!!!"),"NEW","")))</f>
        <v/>
      </c>
      <c r="G842" s="12" t="str">
        <f aca="false">IF(OR(E842="",E842="!!!"),"",IF(OR(J842=0,AND(J842=1,K842=1),AND(J842=1,I842="SBJ"),AND(J842=1,I842=0)),"?IN_FOCUS",IF(J842&lt;=2,"?ACTIVATED",IF(J842&lt;&gt;"","?FAMILIAR",IF(F842="NEW",IF(ISNA(VLOOKUP(E842,#REF!,1,FALSE())),"?TYPE_IDENTIFIABLE","?REFERENTIAL"),"_")))))</f>
        <v/>
      </c>
      <c r="H842" s="13" t="str">
        <f aca="false">IF(J842&lt;&gt;1,"",IF(I842="SBJ","CB","?"))</f>
        <v/>
      </c>
      <c r="I842" s="14" t="str">
        <f aca="false">IF(OR(E842="",E842="!!!",F842="NEW"),"",INDEX(B$2:B841,-1+SUMPRODUCT(MAX(ROW(E$2:E841)*(E842=E$2:E841)))))</f>
        <v/>
      </c>
      <c r="J842" s="15" t="str">
        <f aca="true">IF(OR(E842="",E842="!!!",F842="NEW"),"",COUNTBLANK(OFFSET(A$1,,,SUMPRODUCT(MAX(ROW(E$2:E842)*(E842=E$2:E842)))))-COUNTBLANK(OFFSET(A$1,,,SUMPRODUCT(MAX(ROW(E$1:E841)*(E842=E$1:E841))))))</f>
        <v/>
      </c>
      <c r="K842" s="15" t="str">
        <f aca="false">IF(OR(E842="",E842="!!!",F842="NEW"),"",INDEX(J$1:J841,SUMPRODUCT(MAX(ROW(E$1:E841)*(E842=E$1:E841)))))</f>
        <v/>
      </c>
      <c r="L842" s="16"/>
    </row>
    <row r="843" customFormat="false" ht="12.75" hidden="false" customHeight="false" outlineLevel="0" collapsed="false">
      <c r="A843" s="9" t="s">
        <v>333</v>
      </c>
      <c r="E843" s="10" t="str">
        <f aca="false">IF(D843="?OLD","!!!","")</f>
        <v/>
      </c>
      <c r="F843" s="11" t="str">
        <f aca="false">IF(OR(E843="",E843="!!!"),"",IF(NOT(ISNA(VLOOKUP(E843,E$1:E842,1,FALSE()))),"OLD",IF(AND(E843&lt;&gt;"",E843&lt;&gt;"!!!"),"NEW","")))</f>
        <v/>
      </c>
      <c r="G843" s="12" t="str">
        <f aca="false">IF(OR(E843="",E843="!!!"),"",IF(OR(J843=0,AND(J843=1,K843=1),AND(J843=1,I843="SBJ"),AND(J843=1,I843=0)),"?IN_FOCUS",IF(J843&lt;=2,"?ACTIVATED",IF(J843&lt;&gt;"","?FAMILIAR",IF(F843="NEW",IF(ISNA(VLOOKUP(E843,#REF!,1,FALSE())),"?TYPE_IDENTIFIABLE","?REFERENTIAL"),"_")))))</f>
        <v/>
      </c>
      <c r="H843" s="13" t="str">
        <f aca="false">IF(J843&lt;&gt;1,"",IF(I843="SBJ","CB","?"))</f>
        <v/>
      </c>
      <c r="I843" s="14" t="str">
        <f aca="false">IF(OR(E843="",E843="!!!",F843="NEW"),"",INDEX(B$2:B842,-1+SUMPRODUCT(MAX(ROW(E$2:E842)*(E843=E$2:E842)))))</f>
        <v/>
      </c>
      <c r="J843" s="15" t="str">
        <f aca="true">IF(OR(E843="",E843="!!!",F843="NEW"),"",COUNTBLANK(OFFSET(A$1,,,SUMPRODUCT(MAX(ROW(E$2:E843)*(E843=E$2:E843)))))-COUNTBLANK(OFFSET(A$1,,,SUMPRODUCT(MAX(ROW(E$1:E842)*(E843=E$1:E842))))))</f>
        <v/>
      </c>
      <c r="K843" s="15" t="str">
        <f aca="false">IF(OR(E843="",E843="!!!",F843="NEW"),"",INDEX(J$1:J842,SUMPRODUCT(MAX(ROW(E$1:E842)*(E843=E$1:E842)))))</f>
        <v/>
      </c>
      <c r="L843" s="16"/>
    </row>
    <row r="844" customFormat="false" ht="12.75" hidden="false" customHeight="false" outlineLevel="0" collapsed="false">
      <c r="A844" s="9" t="s">
        <v>126</v>
      </c>
      <c r="B844" s="0" t="s">
        <v>62</v>
      </c>
      <c r="C844" s="0" t="s">
        <v>128</v>
      </c>
      <c r="D844" s="0" t="s">
        <v>19</v>
      </c>
      <c r="E844" s="10" t="s">
        <v>367</v>
      </c>
      <c r="F844" s="11" t="str">
        <f aca="false">IF(OR(E844="",E844="!!!"),"",IF(NOT(ISNA(VLOOKUP(E844,E$1:E843,1,FALSE()))),"OLD",IF(AND(E844&lt;&gt;"",E844&lt;&gt;"!!!"),"NEW","")))</f>
        <v>OLD</v>
      </c>
      <c r="G844" s="12" t="s">
        <v>65</v>
      </c>
      <c r="H844" s="13" t="str">
        <f aca="false">IF(J844&lt;&gt;1,"",IF(I844="SBJ","CB","?"))</f>
        <v/>
      </c>
      <c r="I844" s="14" t="str">
        <f aca="false">IF(OR(E844="",E844="!!!",F844="NEW"),"",INDEX(B$2:B843,-1+SUMPRODUCT(MAX(ROW(E$2:E843)*(E844=E$2:E843)))))</f>
        <v>other_3</v>
      </c>
      <c r="J844" s="15" t="n">
        <f aca="true">IF(OR(E844="",E844="!!!",F844="NEW"),"",COUNTBLANK(OFFSET(A$1,,,SUMPRODUCT(MAX(ROW(E$2:E844)*(E844=E$2:E844)))))-COUNTBLANK(OFFSET(A$1,,,SUMPRODUCT(MAX(ROW(E$1:E843)*(E844=E$1:E843))))))</f>
        <v>0</v>
      </c>
      <c r="K844" s="15" t="n">
        <f aca="false">IF(OR(E844="",E844="!!!",F844="NEW"),"",INDEX(J$1:J843,SUMPRODUCT(MAX(ROW(E$1:E843)*(E844=E$1:E843)))))</f>
        <v>0</v>
      </c>
      <c r="L844" s="16"/>
    </row>
    <row r="845" customFormat="false" ht="12.75" hidden="false" customHeight="false" outlineLevel="0" collapsed="false">
      <c r="A845" s="9" t="s">
        <v>261</v>
      </c>
      <c r="B845" s="0" t="s">
        <v>94</v>
      </c>
      <c r="C845" s="0" t="s">
        <v>83</v>
      </c>
      <c r="D845" s="0" t="s">
        <v>19</v>
      </c>
      <c r="E845" s="10" t="s">
        <v>388</v>
      </c>
      <c r="F845" s="11" t="str">
        <f aca="false">IF(OR(E845="",E845="!!!"),"",IF(NOT(ISNA(VLOOKUP(E845,E$1:E844,1,FALSE()))),"OLD",IF(AND(E845&lt;&gt;"",E845&lt;&gt;"!!!"),"NEW","")))</f>
        <v>OLD</v>
      </c>
      <c r="G845" s="12" t="s">
        <v>52</v>
      </c>
      <c r="H845" s="13" t="str">
        <f aca="false">IF(J845&lt;&gt;1,"",IF(I845="SBJ","CB","?"))</f>
        <v/>
      </c>
      <c r="I845" s="14" t="str">
        <f aca="false">IF(OR(E845="",E845="!!!",F845="NEW"),"",INDEX(B$2:B844,-1+SUMPRODUCT(MAX(ROW(E$2:E844)*(E845=E$2:E844)))))</f>
        <v>OBJ</v>
      </c>
      <c r="J845" s="15" t="n">
        <f aca="true">IF(OR(E845="",E845="!!!",F845="NEW"),"",COUNTBLANK(OFFSET(A$1,,,SUMPRODUCT(MAX(ROW(E$2:E845)*(E845=E$2:E845)))))-COUNTBLANK(OFFSET(A$1,,,SUMPRODUCT(MAX(ROW(E$1:E844)*(E845=E$1:E844))))))</f>
        <v>5</v>
      </c>
      <c r="K845" s="15" t="str">
        <f aca="false">IF(OR(E845="",E845="!!!",F845="NEW"),"",INDEX(J$1:J844,SUMPRODUCT(MAX(ROW(E$1:E844)*(E845=E$1:E844)))))</f>
        <v/>
      </c>
      <c r="L845" s="16"/>
    </row>
    <row r="846" customFormat="false" ht="12.75" hidden="false" customHeight="false" outlineLevel="0" collapsed="false">
      <c r="A846" s="9" t="s">
        <v>273</v>
      </c>
      <c r="E846" s="10" t="str">
        <f aca="false">IF(D846="?OLD","!!!","")</f>
        <v/>
      </c>
      <c r="F846" s="11" t="str">
        <f aca="false">IF(OR(E846="",E846="!!!"),"",IF(NOT(ISNA(VLOOKUP(E846,E$1:E845,1,FALSE()))),"OLD",IF(AND(E846&lt;&gt;"",E846&lt;&gt;"!!!"),"NEW","")))</f>
        <v/>
      </c>
      <c r="G846" s="12" t="str">
        <f aca="false">IF(OR(E846="",E846="!!!"),"",IF(OR(J846=0,AND(J846=1,K846=1),AND(J846=1,I846="SBJ"),AND(J846=1,I846=0)),"?IN_FOCUS",IF(J846&lt;=2,"?ACTIVATED",IF(J846&lt;&gt;"","?FAMILIAR",IF(F846="NEW",IF(ISNA(VLOOKUP(E846,#REF!,1,FALSE())),"?TYPE_IDENTIFIABLE","?REFERENTIAL"),"_")))))</f>
        <v/>
      </c>
      <c r="H846" s="13" t="str">
        <f aca="false">IF(J846&lt;&gt;1,"",IF(I846="SBJ","CB","?"))</f>
        <v/>
      </c>
      <c r="I846" s="14" t="str">
        <f aca="false">IF(OR(E846="",E846="!!!",F846="NEW"),"",INDEX(B$2:B845,-1+SUMPRODUCT(MAX(ROW(E$2:E845)*(E846=E$2:E845)))))</f>
        <v/>
      </c>
      <c r="J846" s="15" t="str">
        <f aca="true">IF(OR(E846="",E846="!!!",F846="NEW"),"",COUNTBLANK(OFFSET(A$1,,,SUMPRODUCT(MAX(ROW(E$2:E846)*(E846=E$2:E846)))))-COUNTBLANK(OFFSET(A$1,,,SUMPRODUCT(MAX(ROW(E$1:E845)*(E846=E$1:E845))))))</f>
        <v/>
      </c>
      <c r="K846" s="15" t="str">
        <f aca="false">IF(OR(E846="",E846="!!!",F846="NEW"),"",INDEX(J$1:J845,SUMPRODUCT(MAX(ROW(E$1:E845)*(E846=E$1:E845)))))</f>
        <v/>
      </c>
      <c r="L846" s="16"/>
    </row>
    <row r="847" customFormat="false" ht="12.75" hidden="false" customHeight="false" outlineLevel="0" collapsed="false">
      <c r="A847" s="9" t="s">
        <v>399</v>
      </c>
      <c r="B847" s="0" t="s">
        <v>96</v>
      </c>
      <c r="C847" s="0" t="s">
        <v>25</v>
      </c>
      <c r="E847" s="10" t="s">
        <v>445</v>
      </c>
      <c r="F847" s="11" t="str">
        <f aca="false">IF(OR(E847="",E847="!!!"),"",IF(NOT(ISNA(VLOOKUP(E847,E$1:E846,1,FALSE()))),"OLD",IF(AND(E847&lt;&gt;"",E847&lt;&gt;"!!!"),"NEW","")))</f>
        <v>NEW</v>
      </c>
      <c r="G847" s="12" t="s">
        <v>21</v>
      </c>
      <c r="H847" s="13" t="str">
        <f aca="false">IF(J847&lt;&gt;1,"",IF(I847="SBJ","CB","?"))</f>
        <v/>
      </c>
      <c r="I847" s="14" t="str">
        <f aca="false">IF(OR(E847="",E847="!!!",F847="NEW"),"",INDEX(B$2:B846,-1+SUMPRODUCT(MAX(ROW(E$2:E846)*(E847=E$2:E846)))))</f>
        <v/>
      </c>
      <c r="J847" s="15" t="str">
        <f aca="true">IF(OR(E847="",E847="!!!",F847="NEW"),"",COUNTBLANK(OFFSET(A$1,,,SUMPRODUCT(MAX(ROW(E$2:E847)*(E847=E$2:E847)))))-COUNTBLANK(OFFSET(A$1,,,SUMPRODUCT(MAX(ROW(E$1:E846)*(E847=E$1:E846))))))</f>
        <v/>
      </c>
      <c r="K847" s="15" t="str">
        <f aca="false">IF(OR(E847="",E847="!!!",F847="NEW"),"",INDEX(J$1:J846,SUMPRODUCT(MAX(ROW(E$1:E846)*(E847=E$1:E846)))))</f>
        <v/>
      </c>
      <c r="L847" s="16"/>
    </row>
    <row r="848" customFormat="false" ht="12.75" hidden="false" customHeight="false" outlineLevel="0" collapsed="false">
      <c r="A848" s="9" t="s">
        <v>44</v>
      </c>
      <c r="E848" s="10" t="str">
        <f aca="false">IF(D848="?OLD","!!!","")</f>
        <v/>
      </c>
      <c r="F848" s="11" t="str">
        <f aca="false">IF(OR(E848="",E848="!!!"),"",IF(NOT(ISNA(VLOOKUP(E848,E$1:E847,1,FALSE()))),"OLD",IF(AND(E848&lt;&gt;"",E848&lt;&gt;"!!!"),"NEW","")))</f>
        <v/>
      </c>
      <c r="G848" s="12" t="str">
        <f aca="false">IF(OR(E848="",E848="!!!"),"",IF(OR(J848=0,AND(J848=1,K848=1),AND(J848=1,I848="SBJ"),AND(J848=1,I848=0)),"?IN_FOCUS",IF(J848&lt;=2,"?ACTIVATED",IF(J848&lt;&gt;"","?FAMILIAR",IF(F848="NEW",IF(ISNA(VLOOKUP(E848,#REF!,1,FALSE())),"?TYPE_IDENTIFIABLE","?REFERENTIAL"),"_")))))</f>
        <v/>
      </c>
      <c r="H848" s="13" t="str">
        <f aca="false">IF(J848&lt;&gt;1,"",IF(I848="SBJ","CB","?"))</f>
        <v/>
      </c>
      <c r="I848" s="14" t="str">
        <f aca="false">IF(OR(E848="",E848="!!!",F848="NEW"),"",INDEX(B$2:B847,-1+SUMPRODUCT(MAX(ROW(E$2:E847)*(E848=E$2:E847)))))</f>
        <v/>
      </c>
      <c r="J848" s="15" t="str">
        <f aca="true">IF(OR(E848="",E848="!!!",F848="NEW"),"",COUNTBLANK(OFFSET(A$1,,,SUMPRODUCT(MAX(ROW(E$2:E848)*(E848=E$2:E848)))))-COUNTBLANK(OFFSET(A$1,,,SUMPRODUCT(MAX(ROW(E$1:E847)*(E848=E$1:E847))))))</f>
        <v/>
      </c>
      <c r="K848" s="15" t="str">
        <f aca="false">IF(OR(E848="",E848="!!!",F848="NEW"),"",INDEX(J$1:J847,SUMPRODUCT(MAX(ROW(E$1:E847)*(E848=E$1:E847)))))</f>
        <v/>
      </c>
      <c r="L848" s="16"/>
    </row>
    <row r="849" customFormat="false" ht="12.75" hidden="false" customHeight="false" outlineLevel="0" collapsed="false">
      <c r="E849" s="10" t="str">
        <f aca="false">IF(D849="?OLD","!!!","")</f>
        <v/>
      </c>
      <c r="F849" s="11" t="str">
        <f aca="false">IF(OR(E849="",E849="!!!"),"",IF(NOT(ISNA(VLOOKUP(E849,E$1:E848,1,FALSE()))),"OLD",IF(AND(E849&lt;&gt;"",E849&lt;&gt;"!!!"),"NEW","")))</f>
        <v/>
      </c>
      <c r="G849" s="12" t="str">
        <f aca="false">IF(OR(E849="",E849="!!!"),"",IF(OR(J849=0,AND(J849=1,K849=1),AND(J849=1,I849="SBJ"),AND(J849=1,I849=0)),"?IN_FOCUS",IF(J849&lt;=2,"?ACTIVATED",IF(J849&lt;&gt;"","?FAMILIAR",IF(F849="NEW",IF(ISNA(VLOOKUP(E849,#REF!,1,FALSE())),"?TYPE_IDENTIFIABLE","?REFERENTIAL"),"_")))))</f>
        <v/>
      </c>
      <c r="H849" s="13" t="str">
        <f aca="false">IF(J849&lt;&gt;1,"",IF(I849="SBJ","CB","?"))</f>
        <v/>
      </c>
      <c r="I849" s="14" t="str">
        <f aca="false">IF(OR(E849="",E849="!!!",F849="NEW"),"",INDEX(B$2:B848,-1+SUMPRODUCT(MAX(ROW(E$2:E848)*(E849=E$2:E848)))))</f>
        <v/>
      </c>
      <c r="J849" s="15" t="str">
        <f aca="true">IF(OR(E849="",E849="!!!",F849="NEW"),"",COUNTBLANK(OFFSET(A$1,,,SUMPRODUCT(MAX(ROW(E$2:E849)*(E849=E$2:E849)))))-COUNTBLANK(OFFSET(A$1,,,SUMPRODUCT(MAX(ROW(E$1:E848)*(E849=E$1:E848))))))</f>
        <v/>
      </c>
      <c r="K849" s="15" t="str">
        <f aca="false">IF(OR(E849="",E849="!!!",F849="NEW"),"",INDEX(J$1:J848,SUMPRODUCT(MAX(ROW(E$1:E848)*(E849=E$1:E848)))))</f>
        <v/>
      </c>
      <c r="L849" s="16"/>
    </row>
    <row r="850" customFormat="false" ht="12.75" hidden="false" customHeight="false" outlineLevel="0" collapsed="false">
      <c r="A850" s="9" t="s">
        <v>446</v>
      </c>
      <c r="E850" s="10" t="str">
        <f aca="false">IF(D850="?OLD","!!!","")</f>
        <v/>
      </c>
      <c r="F850" s="11" t="str">
        <f aca="false">IF(OR(E850="",E850="!!!"),"",IF(NOT(ISNA(VLOOKUP(E850,E$1:E849,1,FALSE()))),"OLD",IF(AND(E850&lt;&gt;"",E850&lt;&gt;"!!!"),"NEW","")))</f>
        <v/>
      </c>
      <c r="G850" s="12" t="str">
        <f aca="false">IF(OR(E850="",E850="!!!"),"",IF(OR(J850=0,AND(J850=1,K850=1),AND(J850=1,I850="SBJ"),AND(J850=1,I850=0)),"?IN_FOCUS",IF(J850&lt;=2,"?ACTIVATED",IF(J850&lt;&gt;"","?FAMILIAR",IF(F850="NEW",IF(ISNA(VLOOKUP(E850,#REF!,1,FALSE())),"?TYPE_IDENTIFIABLE","?REFERENTIAL"),"_")))))</f>
        <v/>
      </c>
      <c r="H850" s="13" t="str">
        <f aca="false">IF(J850&lt;&gt;1,"",IF(I850="SBJ","CB","?"))</f>
        <v/>
      </c>
      <c r="I850" s="14" t="str">
        <f aca="false">IF(OR(E850="",E850="!!!",F850="NEW"),"",INDEX(B$2:B849,-1+SUMPRODUCT(MAX(ROW(E$2:E849)*(E850=E$2:E849)))))</f>
        <v/>
      </c>
      <c r="J850" s="15" t="str">
        <f aca="true">IF(OR(E850="",E850="!!!",F850="NEW"),"",COUNTBLANK(OFFSET(A$1,,,SUMPRODUCT(MAX(ROW(E$2:E850)*(E850=E$2:E850)))))-COUNTBLANK(OFFSET(A$1,,,SUMPRODUCT(MAX(ROW(E$1:E849)*(E850=E$1:E849))))))</f>
        <v/>
      </c>
      <c r="K850" s="15" t="str">
        <f aca="false">IF(OR(E850="",E850="!!!",F850="NEW"),"",INDEX(J$1:J849,SUMPRODUCT(MAX(ROW(E$1:E849)*(E850=E$1:E849)))))</f>
        <v/>
      </c>
      <c r="L850" s="16"/>
    </row>
    <row r="851" customFormat="false" ht="12.75" hidden="false" customHeight="false" outlineLevel="0" collapsed="false">
      <c r="A851" s="9" t="s">
        <v>447</v>
      </c>
      <c r="E851" s="10" t="str">
        <f aca="false">IF(D851="?OLD","!!!","")</f>
        <v/>
      </c>
      <c r="F851" s="11" t="str">
        <f aca="false">IF(OR(E851="",E851="!!!"),"",IF(NOT(ISNA(VLOOKUP(E851,E$1:E850,1,FALSE()))),"OLD",IF(AND(E851&lt;&gt;"",E851&lt;&gt;"!!!"),"NEW","")))</f>
        <v/>
      </c>
      <c r="G851" s="12" t="str">
        <f aca="false">IF(OR(E851="",E851="!!!"),"",IF(OR(J851=0,AND(J851=1,K851=1),AND(J851=1,I851="SBJ"),AND(J851=1,I851=0)),"?IN_FOCUS",IF(J851&lt;=2,"?ACTIVATED",IF(J851&lt;&gt;"","?FAMILIAR",IF(F851="NEW",IF(ISNA(VLOOKUP(E851,#REF!,1,FALSE())),"?TYPE_IDENTIFIABLE","?REFERENTIAL"),"_")))))</f>
        <v/>
      </c>
      <c r="H851" s="13" t="str">
        <f aca="false">IF(J851&lt;&gt;1,"",IF(I851="SBJ","CB","?"))</f>
        <v/>
      </c>
      <c r="I851" s="14" t="str">
        <f aca="false">IF(OR(E851="",E851="!!!",F851="NEW"),"",INDEX(B$2:B850,-1+SUMPRODUCT(MAX(ROW(E$2:E850)*(E851=E$2:E850)))))</f>
        <v/>
      </c>
      <c r="J851" s="15" t="str">
        <f aca="true">IF(OR(E851="",E851="!!!",F851="NEW"),"",COUNTBLANK(OFFSET(A$1,,,SUMPRODUCT(MAX(ROW(E$2:E851)*(E851=E$2:E851)))))-COUNTBLANK(OFFSET(A$1,,,SUMPRODUCT(MAX(ROW(E$1:E850)*(E851=E$1:E850))))))</f>
        <v/>
      </c>
      <c r="K851" s="15" t="str">
        <f aca="false">IF(OR(E851="",E851="!!!",F851="NEW"),"",INDEX(J$1:J850,SUMPRODUCT(MAX(ROW(E$1:E850)*(E851=E$1:E850)))))</f>
        <v/>
      </c>
      <c r="L851" s="16"/>
    </row>
    <row r="852" customFormat="false" ht="12.75" hidden="false" customHeight="false" outlineLevel="0" collapsed="false">
      <c r="A852" s="9" t="s">
        <v>327</v>
      </c>
      <c r="B852" s="0" t="s">
        <v>30</v>
      </c>
      <c r="C852" s="0" t="s">
        <v>103</v>
      </c>
      <c r="D852" s="0" t="s">
        <v>19</v>
      </c>
      <c r="E852" s="10" t="s">
        <v>327</v>
      </c>
      <c r="F852" s="11" t="str">
        <f aca="false">IF(OR(E852="",E852="!!!"),"",IF(NOT(ISNA(VLOOKUP(E852,E$1:E851,1,FALSE()))),"OLD",IF(AND(E852&lt;&gt;"",E852&lt;&gt;"!!!"),"NEW","")))</f>
        <v>OLD</v>
      </c>
      <c r="G852" s="12" t="s">
        <v>33</v>
      </c>
      <c r="H852" s="13" t="s">
        <v>7</v>
      </c>
      <c r="I852" s="14" t="str">
        <f aca="false">IF(OR(E852="",E852="!!!",F852="NEW"),"",INDEX(B$2:B851,-1+SUMPRODUCT(MAX(ROW(E$2:E851)*(E852=E$2:E851)))))</f>
        <v>other_3</v>
      </c>
      <c r="J852" s="15" t="n">
        <f aca="true">IF(OR(E852="",E852="!!!",F852="NEW"),"",COUNTBLANK(OFFSET(A$1,,,SUMPRODUCT(MAX(ROW(E$2:E852)*(E852=E$2:E852)))))-COUNTBLANK(OFFSET(A$1,,,SUMPRODUCT(MAX(ROW(E$1:E851)*(E852=E$1:E851))))))</f>
        <v>1</v>
      </c>
      <c r="K852" s="15" t="n">
        <f aca="false">IF(OR(E852="",E852="!!!",F852="NEW"),"",INDEX(J$1:J851,SUMPRODUCT(MAX(ROW(E$1:E851)*(E852=E$1:E851)))))</f>
        <v>0</v>
      </c>
      <c r="L852" s="16"/>
    </row>
    <row r="853" customFormat="false" ht="12.75" hidden="false" customHeight="false" outlineLevel="0" collapsed="false">
      <c r="A853" s="9" t="s">
        <v>187</v>
      </c>
      <c r="E853" s="10" t="str">
        <f aca="false">IF(D853="?OLD","!!!","")</f>
        <v/>
      </c>
      <c r="F853" s="11" t="str">
        <f aca="false">IF(OR(E853="",E853="!!!"),"",IF(NOT(ISNA(VLOOKUP(E853,E$1:E852,1,FALSE()))),"OLD",IF(AND(E853&lt;&gt;"",E853&lt;&gt;"!!!"),"NEW","")))</f>
        <v/>
      </c>
      <c r="G853" s="12" t="str">
        <f aca="false">IF(OR(E853="",E853="!!!"),"",IF(OR(J853=0,AND(J853=1,K853=1),AND(J853=1,I853="SBJ"),AND(J853=1,I853=0)),"?IN_FOCUS",IF(J853&lt;=2,"?ACTIVATED",IF(J853&lt;&gt;"","?FAMILIAR",IF(F853="NEW",IF(ISNA(VLOOKUP(E853,#REF!,1,FALSE())),"?TYPE_IDENTIFIABLE","?REFERENTIAL"),"_")))))</f>
        <v/>
      </c>
      <c r="H853" s="13" t="str">
        <f aca="false">IF(J853&lt;&gt;1,"",IF(I853="SBJ","CB","?"))</f>
        <v/>
      </c>
      <c r="I853" s="14" t="str">
        <f aca="false">IF(OR(E853="",E853="!!!",F853="NEW"),"",INDEX(B$2:B852,-1+SUMPRODUCT(MAX(ROW(E$2:E852)*(E853=E$2:E852)))))</f>
        <v/>
      </c>
      <c r="J853" s="15" t="str">
        <f aca="true">IF(OR(E853="",E853="!!!",F853="NEW"),"",COUNTBLANK(OFFSET(A$1,,,SUMPRODUCT(MAX(ROW(E$2:E853)*(E853=E$2:E853)))))-COUNTBLANK(OFFSET(A$1,,,SUMPRODUCT(MAX(ROW(E$1:E852)*(E853=E$1:E852))))))</f>
        <v/>
      </c>
      <c r="K853" s="15" t="str">
        <f aca="false">IF(OR(E853="",E853="!!!",F853="NEW"),"",INDEX(J$1:J852,SUMPRODUCT(MAX(ROW(E$1:E852)*(E853=E$1:E852)))))</f>
        <v/>
      </c>
      <c r="L853" s="16"/>
    </row>
    <row r="854" customFormat="false" ht="12.75" hidden="false" customHeight="false" outlineLevel="0" collapsed="false">
      <c r="A854" s="9" t="s">
        <v>354</v>
      </c>
      <c r="E854" s="10" t="str">
        <f aca="false">IF(D854="?OLD","!!!","")</f>
        <v/>
      </c>
      <c r="F854" s="11" t="str">
        <f aca="false">IF(OR(E854="",E854="!!!"),"",IF(NOT(ISNA(VLOOKUP(E854,E$1:E853,1,FALSE()))),"OLD",IF(AND(E854&lt;&gt;"",E854&lt;&gt;"!!!"),"NEW","")))</f>
        <v/>
      </c>
      <c r="G854" s="12" t="str">
        <f aca="false">IF(OR(E854="",E854="!!!"),"",IF(OR(J854=0,AND(J854=1,K854=1),AND(J854=1,I854="SBJ"),AND(J854=1,I854=0)),"?IN_FOCUS",IF(J854&lt;=2,"?ACTIVATED",IF(J854&lt;&gt;"","?FAMILIAR",IF(F854="NEW",IF(ISNA(VLOOKUP(E854,#REF!,1,FALSE())),"?TYPE_IDENTIFIABLE","?REFERENTIAL"),"_")))))</f>
        <v/>
      </c>
      <c r="H854" s="13" t="str">
        <f aca="false">IF(J854&lt;&gt;1,"",IF(I854="SBJ","CB","?"))</f>
        <v/>
      </c>
      <c r="I854" s="14" t="str">
        <f aca="false">IF(OR(E854="",E854="!!!",F854="NEW"),"",INDEX(B$2:B853,-1+SUMPRODUCT(MAX(ROW(E$2:E853)*(E854=E$2:E853)))))</f>
        <v/>
      </c>
      <c r="J854" s="15" t="str">
        <f aca="true">IF(OR(E854="",E854="!!!",F854="NEW"),"",COUNTBLANK(OFFSET(A$1,,,SUMPRODUCT(MAX(ROW(E$2:E854)*(E854=E$2:E854)))))-COUNTBLANK(OFFSET(A$1,,,SUMPRODUCT(MAX(ROW(E$1:E853)*(E854=E$1:E853))))))</f>
        <v/>
      </c>
      <c r="K854" s="15" t="str">
        <f aca="false">IF(OR(E854="",E854="!!!",F854="NEW"),"",INDEX(J$1:J853,SUMPRODUCT(MAX(ROW(E$1:E853)*(E854=E$1:E853)))))</f>
        <v/>
      </c>
      <c r="L854" s="16"/>
    </row>
    <row r="855" customFormat="false" ht="12.75" hidden="false" customHeight="false" outlineLevel="0" collapsed="false">
      <c r="A855" s="9" t="s">
        <v>207</v>
      </c>
      <c r="E855" s="10" t="str">
        <f aca="false">IF(D855="?OLD","!!!","")</f>
        <v/>
      </c>
      <c r="F855" s="11" t="str">
        <f aca="false">IF(OR(E855="",E855="!!!"),"",IF(NOT(ISNA(VLOOKUP(E855,E$1:E854,1,FALSE()))),"OLD",IF(AND(E855&lt;&gt;"",E855&lt;&gt;"!!!"),"NEW","")))</f>
        <v/>
      </c>
      <c r="G855" s="12" t="str">
        <f aca="false">IF(OR(E855="",E855="!!!"),"",IF(OR(J855=0,AND(J855=1,K855=1),AND(J855=1,I855="SBJ"),AND(J855=1,I855=0)),"?IN_FOCUS",IF(J855&lt;=2,"?ACTIVATED",IF(J855&lt;&gt;"","?FAMILIAR",IF(F855="NEW",IF(ISNA(VLOOKUP(E855,#REF!,1,FALSE())),"?TYPE_IDENTIFIABLE","?REFERENTIAL"),"_")))))</f>
        <v/>
      </c>
      <c r="H855" s="13" t="str">
        <f aca="false">IF(J855&lt;&gt;1,"",IF(I855="SBJ","CB","?"))</f>
        <v/>
      </c>
      <c r="I855" s="14" t="str">
        <f aca="false">IF(OR(E855="",E855="!!!",F855="NEW"),"",INDEX(B$2:B854,-1+SUMPRODUCT(MAX(ROW(E$2:E854)*(E855=E$2:E854)))))</f>
        <v/>
      </c>
      <c r="J855" s="15" t="str">
        <f aca="true">IF(OR(E855="",E855="!!!",F855="NEW"),"",COUNTBLANK(OFFSET(A$1,,,SUMPRODUCT(MAX(ROW(E$2:E855)*(E855=E$2:E855)))))-COUNTBLANK(OFFSET(A$1,,,SUMPRODUCT(MAX(ROW(E$1:E854)*(E855=E$1:E854))))))</f>
        <v/>
      </c>
      <c r="K855" s="15" t="str">
        <f aca="false">IF(OR(E855="",E855="!!!",F855="NEW"),"",INDEX(J$1:J854,SUMPRODUCT(MAX(ROW(E$1:E854)*(E855=E$1:E854)))))</f>
        <v/>
      </c>
      <c r="L855" s="16"/>
    </row>
    <row r="856" customFormat="false" ht="12.75" hidden="false" customHeight="false" outlineLevel="0" collapsed="false">
      <c r="A856" s="9" t="s">
        <v>28</v>
      </c>
      <c r="E856" s="10" t="str">
        <f aca="false">IF(D856="?OLD","!!!","")</f>
        <v/>
      </c>
      <c r="F856" s="11" t="str">
        <f aca="false">IF(OR(E856="",E856="!!!"),"",IF(NOT(ISNA(VLOOKUP(E856,E$1:E855,1,FALSE()))),"OLD",IF(AND(E856&lt;&gt;"",E856&lt;&gt;"!!!"),"NEW","")))</f>
        <v/>
      </c>
      <c r="G856" s="12" t="str">
        <f aca="false">IF(OR(E856="",E856="!!!"),"",IF(OR(J856=0,AND(J856=1,K856=1),AND(J856=1,I856="SBJ"),AND(J856=1,I856=0)),"?IN_FOCUS",IF(J856&lt;=2,"?ACTIVATED",IF(J856&lt;&gt;"","?FAMILIAR",IF(F856="NEW",IF(ISNA(VLOOKUP(E856,#REF!,1,FALSE())),"?TYPE_IDENTIFIABLE","?REFERENTIAL"),"_")))))</f>
        <v/>
      </c>
      <c r="H856" s="13" t="str">
        <f aca="false">IF(J856&lt;&gt;1,"",IF(I856="SBJ","CB","?"))</f>
        <v/>
      </c>
      <c r="I856" s="14" t="str">
        <f aca="false">IF(OR(E856="",E856="!!!",F856="NEW"),"",INDEX(B$2:B855,-1+SUMPRODUCT(MAX(ROW(E$2:E855)*(E856=E$2:E855)))))</f>
        <v/>
      </c>
      <c r="J856" s="15" t="str">
        <f aca="true">IF(OR(E856="",E856="!!!",F856="NEW"),"",COUNTBLANK(OFFSET(A$1,,,SUMPRODUCT(MAX(ROW(E$2:E856)*(E856=E$2:E856)))))-COUNTBLANK(OFFSET(A$1,,,SUMPRODUCT(MAX(ROW(E$1:E855)*(E856=E$1:E855))))))</f>
        <v/>
      </c>
      <c r="K856" s="15" t="str">
        <f aca="false">IF(OR(E856="",E856="!!!",F856="NEW"),"",INDEX(J$1:J855,SUMPRODUCT(MAX(ROW(E$1:E855)*(E856=E$1:E855)))))</f>
        <v/>
      </c>
      <c r="L856" s="16"/>
    </row>
    <row r="857" customFormat="false" ht="12.75" hidden="false" customHeight="false" outlineLevel="0" collapsed="false">
      <c r="A857" s="9" t="s">
        <v>78</v>
      </c>
      <c r="E857" s="10" t="str">
        <f aca="false">IF(D857="?OLD","!!!","")</f>
        <v/>
      </c>
      <c r="F857" s="11" t="str">
        <f aca="false">IF(OR(E857="",E857="!!!"),"",IF(NOT(ISNA(VLOOKUP(E857,E$1:E856,1,FALSE()))),"OLD",IF(AND(E857&lt;&gt;"",E857&lt;&gt;"!!!"),"NEW","")))</f>
        <v/>
      </c>
      <c r="G857" s="12" t="str">
        <f aca="false">IF(OR(E857="",E857="!!!"),"",IF(OR(J857=0,AND(J857=1,K857=1),AND(J857=1,I857="SBJ"),AND(J857=1,I857=0)),"?IN_FOCUS",IF(J857&lt;=2,"?ACTIVATED",IF(J857&lt;&gt;"","?FAMILIAR",IF(F857="NEW",IF(ISNA(VLOOKUP(E857,#REF!,1,FALSE())),"?TYPE_IDENTIFIABLE","?REFERENTIAL"),"_")))))</f>
        <v/>
      </c>
      <c r="H857" s="13" t="str">
        <f aca="false">IF(J857&lt;&gt;1,"",IF(I857="SBJ","CB","?"))</f>
        <v/>
      </c>
      <c r="I857" s="14" t="str">
        <f aca="false">IF(OR(E857="",E857="!!!",F857="NEW"),"",INDEX(B$2:B856,-1+SUMPRODUCT(MAX(ROW(E$2:E856)*(E857=E$2:E856)))))</f>
        <v/>
      </c>
      <c r="J857" s="15" t="str">
        <f aca="true">IF(OR(E857="",E857="!!!",F857="NEW"),"",COUNTBLANK(OFFSET(A$1,,,SUMPRODUCT(MAX(ROW(E$2:E857)*(E857=E$2:E857)))))-COUNTBLANK(OFFSET(A$1,,,SUMPRODUCT(MAX(ROW(E$1:E856)*(E857=E$1:E856))))))</f>
        <v/>
      </c>
      <c r="K857" s="15" t="str">
        <f aca="false">IF(OR(E857="",E857="!!!",F857="NEW"),"",INDEX(J$1:J856,SUMPRODUCT(MAX(ROW(E$1:E856)*(E857=E$1:E856)))))</f>
        <v/>
      </c>
      <c r="L857" s="16"/>
    </row>
    <row r="858" customFormat="false" ht="12.75" hidden="false" customHeight="false" outlineLevel="0" collapsed="false">
      <c r="A858" s="9" t="s">
        <v>332</v>
      </c>
      <c r="E858" s="10" t="str">
        <f aca="false">IF(D858="?OLD","!!!","")</f>
        <v/>
      </c>
      <c r="F858" s="11" t="str">
        <f aca="false">IF(OR(E858="",E858="!!!"),"",IF(NOT(ISNA(VLOOKUP(E858,E$1:E857,1,FALSE()))),"OLD",IF(AND(E858&lt;&gt;"",E858&lt;&gt;"!!!"),"NEW","")))</f>
        <v/>
      </c>
      <c r="G858" s="12" t="str">
        <f aca="false">IF(OR(E858="",E858="!!!"),"",IF(OR(J858=0,AND(J858=1,K858=1),AND(J858=1,I858="SBJ"),AND(J858=1,I858=0)),"?IN_FOCUS",IF(J858&lt;=2,"?ACTIVATED",IF(J858&lt;&gt;"","?FAMILIAR",IF(F858="NEW",IF(ISNA(VLOOKUP(E858,#REF!,1,FALSE())),"?TYPE_IDENTIFIABLE","?REFERENTIAL"),"_")))))</f>
        <v/>
      </c>
      <c r="H858" s="13" t="str">
        <f aca="false">IF(J858&lt;&gt;1,"",IF(I858="SBJ","CB","?"))</f>
        <v/>
      </c>
      <c r="I858" s="14" t="str">
        <f aca="false">IF(OR(E858="",E858="!!!",F858="NEW"),"",INDEX(B$2:B857,-1+SUMPRODUCT(MAX(ROW(E$2:E857)*(E858=E$2:E857)))))</f>
        <v/>
      </c>
      <c r="J858" s="15" t="str">
        <f aca="true">IF(OR(E858="",E858="!!!",F858="NEW"),"",COUNTBLANK(OFFSET(A$1,,,SUMPRODUCT(MAX(ROW(E$2:E858)*(E858=E$2:E858)))))-COUNTBLANK(OFFSET(A$1,,,SUMPRODUCT(MAX(ROW(E$1:E857)*(E858=E$1:E857))))))</f>
        <v/>
      </c>
      <c r="K858" s="15" t="str">
        <f aca="false">IF(OR(E858="",E858="!!!",F858="NEW"),"",INDEX(J$1:J857,SUMPRODUCT(MAX(ROW(E$1:E857)*(E858=E$1:E857)))))</f>
        <v/>
      </c>
      <c r="L858" s="16"/>
    </row>
    <row r="859" customFormat="false" ht="12.75" hidden="false" customHeight="false" outlineLevel="0" collapsed="false">
      <c r="A859" s="9" t="s">
        <v>150</v>
      </c>
      <c r="B859" s="0" t="s">
        <v>17</v>
      </c>
      <c r="C859" s="0" t="s">
        <v>31</v>
      </c>
      <c r="D859" s="0" t="s">
        <v>19</v>
      </c>
      <c r="E859" s="10" t="s">
        <v>32</v>
      </c>
      <c r="F859" s="11" t="str">
        <f aca="false">IF(OR(E859="",E859="!!!"),"",IF(NOT(ISNA(VLOOKUP(E859,E$1:E858,1,FALSE()))),"OLD",IF(AND(E859&lt;&gt;"",E859&lt;&gt;"!!!"),"NEW","")))</f>
        <v>OLD</v>
      </c>
      <c r="G859" s="12" t="s">
        <v>33</v>
      </c>
      <c r="H859" s="13" t="str">
        <f aca="false">IF(J859&lt;&gt;1,"",IF(I859="SBJ","CB","?"))</f>
        <v/>
      </c>
      <c r="I859" s="14" t="str">
        <f aca="false">IF(OR(E859="",E859="!!!",F859="NEW"),"",INDEX(B$2:B858,-1+SUMPRODUCT(MAX(ROW(E$2:E858)*(E859=E$2:E858)))))</f>
        <v>OBJ_2</v>
      </c>
      <c r="J859" s="15" t="n">
        <f aca="true">IF(OR(E859="",E859="!!!",F859="NEW"),"",COUNTBLANK(OFFSET(A$1,,,SUMPRODUCT(MAX(ROW(E$2:E859)*(E859=E$2:E859)))))-COUNTBLANK(OFFSET(A$1,,,SUMPRODUCT(MAX(ROW(E$1:E858)*(E859=E$1:E858))))))</f>
        <v>2</v>
      </c>
      <c r="K859" s="15" t="n">
        <f aca="false">IF(OR(E859="",E859="!!!",F859="NEW"),"",INDEX(J$1:J858,SUMPRODUCT(MAX(ROW(E$1:E858)*(E859=E$1:E858)))))</f>
        <v>19</v>
      </c>
      <c r="L859" s="16"/>
    </row>
    <row r="860" customFormat="false" ht="12.75" hidden="false" customHeight="false" outlineLevel="0" collapsed="false">
      <c r="A860" s="9" t="s">
        <v>36</v>
      </c>
      <c r="E860" s="10" t="str">
        <f aca="false">IF(D860="?OLD","!!!","")</f>
        <v/>
      </c>
      <c r="F860" s="11" t="str">
        <f aca="false">IF(OR(E860="",E860="!!!"),"",IF(NOT(ISNA(VLOOKUP(E860,E$1:E859,1,FALSE()))),"OLD",IF(AND(E860&lt;&gt;"",E860&lt;&gt;"!!!"),"NEW","")))</f>
        <v/>
      </c>
      <c r="G860" s="12" t="str">
        <f aca="false">IF(OR(E860="",E860="!!!"),"",IF(OR(J860=0,AND(J860=1,K860=1),AND(J860=1,I860="SBJ"),AND(J860=1,I860=0)),"?IN_FOCUS",IF(J860&lt;=2,"?ACTIVATED",IF(J860&lt;&gt;"","?FAMILIAR",IF(F860="NEW",IF(ISNA(VLOOKUP(E860,#REF!,1,FALSE())),"?TYPE_IDENTIFIABLE","?REFERENTIAL"),"_")))))</f>
        <v/>
      </c>
      <c r="H860" s="13" t="str">
        <f aca="false">IF(J860&lt;&gt;1,"",IF(I860="SBJ","CB","?"))</f>
        <v/>
      </c>
      <c r="I860" s="14" t="str">
        <f aca="false">IF(OR(E860="",E860="!!!",F860="NEW"),"",INDEX(B$2:B859,-1+SUMPRODUCT(MAX(ROW(E$2:E859)*(E860=E$2:E859)))))</f>
        <v/>
      </c>
      <c r="J860" s="15" t="str">
        <f aca="true">IF(OR(E860="",E860="!!!",F860="NEW"),"",COUNTBLANK(OFFSET(A$1,,,SUMPRODUCT(MAX(ROW(E$2:E860)*(E860=E$2:E860)))))-COUNTBLANK(OFFSET(A$1,,,SUMPRODUCT(MAX(ROW(E$1:E859)*(E860=E$1:E859))))))</f>
        <v/>
      </c>
      <c r="K860" s="15" t="str">
        <f aca="false">IF(OR(E860="",E860="!!!",F860="NEW"),"",INDEX(J$1:J859,SUMPRODUCT(MAX(ROW(E$1:E859)*(E860=E$1:E859)))))</f>
        <v/>
      </c>
      <c r="L860" s="16"/>
    </row>
    <row r="861" customFormat="false" ht="12.75" hidden="false" customHeight="false" outlineLevel="0" collapsed="false">
      <c r="A861" s="9" t="s">
        <v>140</v>
      </c>
      <c r="E861" s="10" t="str">
        <f aca="false">IF(D861="?OLD","!!!","")</f>
        <v/>
      </c>
      <c r="F861" s="11" t="str">
        <f aca="false">IF(OR(E861="",E861="!!!"),"",IF(NOT(ISNA(VLOOKUP(E861,E$1:E860,1,FALSE()))),"OLD",IF(AND(E861&lt;&gt;"",E861&lt;&gt;"!!!"),"NEW","")))</f>
        <v/>
      </c>
      <c r="G861" s="12" t="str">
        <f aca="false">IF(OR(E861="",E861="!!!"),"",IF(OR(J861=0,AND(J861=1,K861=1),AND(J861=1,I861="SBJ"),AND(J861=1,I861=0)),"?IN_FOCUS",IF(J861&lt;=2,"?ACTIVATED",IF(J861&lt;&gt;"","?FAMILIAR",IF(F861="NEW",IF(ISNA(VLOOKUP(E861,#REF!,1,FALSE())),"?TYPE_IDENTIFIABLE","?REFERENTIAL"),"_")))))</f>
        <v/>
      </c>
      <c r="H861" s="13" t="str">
        <f aca="false">IF(J861&lt;&gt;1,"",IF(I861="SBJ","CB","?"))</f>
        <v/>
      </c>
      <c r="I861" s="14" t="str">
        <f aca="false">IF(OR(E861="",E861="!!!",F861="NEW"),"",INDEX(B$2:B860,-1+SUMPRODUCT(MAX(ROW(E$2:E860)*(E861=E$2:E860)))))</f>
        <v/>
      </c>
      <c r="J861" s="15" t="str">
        <f aca="true">IF(OR(E861="",E861="!!!",F861="NEW"),"",COUNTBLANK(OFFSET(A$1,,,SUMPRODUCT(MAX(ROW(E$2:E861)*(E861=E$2:E861)))))-COUNTBLANK(OFFSET(A$1,,,SUMPRODUCT(MAX(ROW(E$1:E860)*(E861=E$1:E860))))))</f>
        <v/>
      </c>
      <c r="K861" s="15" t="str">
        <f aca="false">IF(OR(E861="",E861="!!!",F861="NEW"),"",INDEX(J$1:J860,SUMPRODUCT(MAX(ROW(E$1:E860)*(E861=E$1:E860)))))</f>
        <v/>
      </c>
      <c r="L861" s="16"/>
    </row>
    <row r="862" customFormat="false" ht="12.75" hidden="false" customHeight="false" outlineLevel="0" collapsed="false">
      <c r="A862" s="9" t="s">
        <v>448</v>
      </c>
      <c r="B862" s="0" t="s">
        <v>40</v>
      </c>
      <c r="C862" s="0" t="s">
        <v>25</v>
      </c>
      <c r="E862" s="10" t="str">
        <f aca="false">IF(D862="?OLD","!!!","")</f>
        <v/>
      </c>
      <c r="F862" s="11" t="str">
        <f aca="false">IF(OR(E862="",E862="!!!"),"",IF(NOT(ISNA(VLOOKUP(E862,E$1:E861,1,FALSE()))),"OLD",IF(AND(E862&lt;&gt;"",E862&lt;&gt;"!!!"),"NEW","")))</f>
        <v/>
      </c>
      <c r="G862" s="12" t="str">
        <f aca="false">IF(OR(E862="",E862="!!!"),"",IF(OR(J862=0,AND(J862=1,K862=1),AND(J862=1,I862="SBJ"),AND(J862=1,I862=0)),"?IN_FOCUS",IF(J862&lt;=2,"?ACTIVATED",IF(J862&lt;&gt;"","?FAMILIAR",IF(F862="NEW",IF(ISNA(VLOOKUP(E862,#REF!,1,FALSE())),"?TYPE_IDENTIFIABLE","?REFERENTIAL"),"_")))))</f>
        <v/>
      </c>
      <c r="H862" s="13" t="str">
        <f aca="false">IF(J862&lt;&gt;1,"",IF(I862="SBJ","CB","?"))</f>
        <v/>
      </c>
      <c r="I862" s="14" t="str">
        <f aca="false">IF(OR(E862="",E862="!!!",F862="NEW"),"",INDEX(B$2:B861,-1+SUMPRODUCT(MAX(ROW(E$2:E861)*(E862=E$2:E861)))))</f>
        <v/>
      </c>
      <c r="J862" s="15" t="str">
        <f aca="true">IF(OR(E862="",E862="!!!",F862="NEW"),"",COUNTBLANK(OFFSET(A$1,,,SUMPRODUCT(MAX(ROW(E$2:E862)*(E862=E$2:E862)))))-COUNTBLANK(OFFSET(A$1,,,SUMPRODUCT(MAX(ROW(E$1:E861)*(E862=E$1:E861))))))</f>
        <v/>
      </c>
      <c r="K862" s="15" t="str">
        <f aca="false">IF(OR(E862="",E862="!!!",F862="NEW"),"",INDEX(J$1:J861,SUMPRODUCT(MAX(ROW(E$1:E861)*(E862=E$1:E861)))))</f>
        <v/>
      </c>
      <c r="L862" s="16"/>
    </row>
    <row r="863" customFormat="false" ht="12.75" hidden="false" customHeight="false" outlineLevel="0" collapsed="false">
      <c r="A863" s="9" t="s">
        <v>44</v>
      </c>
      <c r="E863" s="10" t="str">
        <f aca="false">IF(D863="?OLD","!!!","")</f>
        <v/>
      </c>
      <c r="F863" s="11" t="str">
        <f aca="false">IF(OR(E863="",E863="!!!"),"",IF(NOT(ISNA(VLOOKUP(E863,E$1:E862,1,FALSE()))),"OLD",IF(AND(E863&lt;&gt;"",E863&lt;&gt;"!!!"),"NEW","")))</f>
        <v/>
      </c>
      <c r="G863" s="12" t="str">
        <f aca="false">IF(OR(E863="",E863="!!!"),"",IF(OR(J863=0,AND(J863=1,K863=1),AND(J863=1,I863="SBJ"),AND(J863=1,I863=0)),"?IN_FOCUS",IF(J863&lt;=2,"?ACTIVATED",IF(J863&lt;&gt;"","?FAMILIAR",IF(F863="NEW",IF(ISNA(VLOOKUP(E863,#REF!,1,FALSE())),"?TYPE_IDENTIFIABLE","?REFERENTIAL"),"_")))))</f>
        <v/>
      </c>
      <c r="H863" s="13" t="str">
        <f aca="false">IF(J863&lt;&gt;1,"",IF(I863="SBJ","CB","?"))</f>
        <v/>
      </c>
      <c r="I863" s="14" t="str">
        <f aca="false">IF(OR(E863="",E863="!!!",F863="NEW"),"",INDEX(B$2:B862,-1+SUMPRODUCT(MAX(ROW(E$2:E862)*(E863=E$2:E862)))))</f>
        <v/>
      </c>
      <c r="J863" s="15" t="str">
        <f aca="true">IF(OR(E863="",E863="!!!",F863="NEW"),"",COUNTBLANK(OFFSET(A$1,,,SUMPRODUCT(MAX(ROW(E$2:E863)*(E863=E$2:E863)))))-COUNTBLANK(OFFSET(A$1,,,SUMPRODUCT(MAX(ROW(E$1:E862)*(E863=E$1:E862))))))</f>
        <v/>
      </c>
      <c r="K863" s="15" t="str">
        <f aca="false">IF(OR(E863="",E863="!!!",F863="NEW"),"",INDEX(J$1:J862,SUMPRODUCT(MAX(ROW(E$1:E862)*(E863=E$1:E862)))))</f>
        <v/>
      </c>
      <c r="L863" s="16"/>
    </row>
    <row r="864" customFormat="false" ht="12.75" hidden="false" customHeight="false" outlineLevel="0" collapsed="false">
      <c r="E864" s="10" t="str">
        <f aca="false">IF(D864="?OLD","!!!","")</f>
        <v/>
      </c>
      <c r="F864" s="11" t="str">
        <f aca="false">IF(OR(E864="",E864="!!!"),"",IF(NOT(ISNA(VLOOKUP(E864,E$1:E863,1,FALSE()))),"OLD",IF(AND(E864&lt;&gt;"",E864&lt;&gt;"!!!"),"NEW","")))</f>
        <v/>
      </c>
      <c r="G864" s="12" t="str">
        <f aca="false">IF(OR(E864="",E864="!!!"),"",IF(OR(J864=0,AND(J864=1,K864=1),AND(J864=1,I864="SBJ"),AND(J864=1,I864=0)),"?IN_FOCUS",IF(J864&lt;=2,"?ACTIVATED",IF(J864&lt;&gt;"","?FAMILIAR",IF(F864="NEW",IF(ISNA(VLOOKUP(E864,#REF!,1,FALSE())),"?TYPE_IDENTIFIABLE","?REFERENTIAL"),"_")))))</f>
        <v/>
      </c>
      <c r="H864" s="13" t="str">
        <f aca="false">IF(J864&lt;&gt;1,"",IF(I864="SBJ","CB","?"))</f>
        <v/>
      </c>
      <c r="I864" s="14" t="str">
        <f aca="false">IF(OR(E864="",E864="!!!",F864="NEW"),"",INDEX(B$2:B863,-1+SUMPRODUCT(MAX(ROW(E$2:E863)*(E864=E$2:E863)))))</f>
        <v/>
      </c>
      <c r="J864" s="15" t="str">
        <f aca="true">IF(OR(E864="",E864="!!!",F864="NEW"),"",COUNTBLANK(OFFSET(A$1,,,SUMPRODUCT(MAX(ROW(E$2:E864)*(E864=E$2:E864)))))-COUNTBLANK(OFFSET(A$1,,,SUMPRODUCT(MAX(ROW(E$1:E863)*(E864=E$1:E863))))))</f>
        <v/>
      </c>
      <c r="K864" s="15" t="str">
        <f aca="false">IF(OR(E864="",E864="!!!",F864="NEW"),"",INDEX(J$1:J863,SUMPRODUCT(MAX(ROW(E$1:E863)*(E864=E$1:E863)))))</f>
        <v/>
      </c>
      <c r="L864" s="16"/>
    </row>
    <row r="865" customFormat="false" ht="12.75" hidden="false" customHeight="false" outlineLevel="0" collapsed="false">
      <c r="A865" s="9" t="s">
        <v>449</v>
      </c>
      <c r="E865" s="10" t="str">
        <f aca="false">IF(D865="?OLD","!!!","")</f>
        <v/>
      </c>
      <c r="F865" s="11" t="str">
        <f aca="false">IF(OR(E865="",E865="!!!"),"",IF(NOT(ISNA(VLOOKUP(E865,E$1:E864,1,FALSE()))),"OLD",IF(AND(E865&lt;&gt;"",E865&lt;&gt;"!!!"),"NEW","")))</f>
        <v/>
      </c>
      <c r="G865" s="12" t="str">
        <f aca="false">IF(OR(E865="",E865="!!!"),"",IF(OR(J865=0,AND(J865=1,K865=1),AND(J865=1,I865="SBJ"),AND(J865=1,I865=0)),"?IN_FOCUS",IF(J865&lt;=2,"?ACTIVATED",IF(J865&lt;&gt;"","?FAMILIAR",IF(F865="NEW",IF(ISNA(VLOOKUP(E865,#REF!,1,FALSE())),"?TYPE_IDENTIFIABLE","?REFERENTIAL"),"_")))))</f>
        <v/>
      </c>
      <c r="H865" s="13" t="str">
        <f aca="false">IF(J865&lt;&gt;1,"",IF(I865="SBJ","CB","?"))</f>
        <v/>
      </c>
      <c r="I865" s="14" t="str">
        <f aca="false">IF(OR(E865="",E865="!!!",F865="NEW"),"",INDEX(B$2:B864,-1+SUMPRODUCT(MAX(ROW(E$2:E864)*(E865=E$2:E864)))))</f>
        <v/>
      </c>
      <c r="J865" s="15" t="str">
        <f aca="true">IF(OR(E865="",E865="!!!",F865="NEW"),"",COUNTBLANK(OFFSET(A$1,,,SUMPRODUCT(MAX(ROW(E$2:E865)*(E865=E$2:E865)))))-COUNTBLANK(OFFSET(A$1,,,SUMPRODUCT(MAX(ROW(E$1:E864)*(E865=E$1:E864))))))</f>
        <v/>
      </c>
      <c r="K865" s="15" t="str">
        <f aca="false">IF(OR(E865="",E865="!!!",F865="NEW"),"",INDEX(J$1:J864,SUMPRODUCT(MAX(ROW(E$1:E864)*(E865=E$1:E864)))))</f>
        <v/>
      </c>
      <c r="L865" s="16"/>
    </row>
    <row r="866" customFormat="false" ht="12.75" hidden="false" customHeight="false" outlineLevel="0" collapsed="false">
      <c r="A866" s="9" t="s">
        <v>450</v>
      </c>
      <c r="E866" s="10" t="str">
        <f aca="false">IF(D866="?OLD","!!!","")</f>
        <v/>
      </c>
      <c r="F866" s="11" t="str">
        <f aca="false">IF(OR(E866="",E866="!!!"),"",IF(NOT(ISNA(VLOOKUP(E866,E$1:E865,1,FALSE()))),"OLD",IF(AND(E866&lt;&gt;"",E866&lt;&gt;"!!!"),"NEW","")))</f>
        <v/>
      </c>
      <c r="G866" s="12" t="str">
        <f aca="false">IF(OR(E866="",E866="!!!"),"",IF(OR(J866=0,AND(J866=1,K866=1),AND(J866=1,I866="SBJ"),AND(J866=1,I866=0)),"?IN_FOCUS",IF(J866&lt;=2,"?ACTIVATED",IF(J866&lt;&gt;"","?FAMILIAR",IF(F866="NEW",IF(ISNA(VLOOKUP(E866,#REF!,1,FALSE())),"?TYPE_IDENTIFIABLE","?REFERENTIAL"),"_")))))</f>
        <v/>
      </c>
      <c r="H866" s="13" t="str">
        <f aca="false">IF(J866&lt;&gt;1,"",IF(I866="SBJ","CB","?"))</f>
        <v/>
      </c>
      <c r="I866" s="14" t="str">
        <f aca="false">IF(OR(E866="",E866="!!!",F866="NEW"),"",INDEX(B$2:B865,-1+SUMPRODUCT(MAX(ROW(E$2:E865)*(E866=E$2:E865)))))</f>
        <v/>
      </c>
      <c r="J866" s="15" t="str">
        <f aca="true">IF(OR(E866="",E866="!!!",F866="NEW"),"",COUNTBLANK(OFFSET(A$1,,,SUMPRODUCT(MAX(ROW(E$2:E866)*(E866=E$2:E866)))))-COUNTBLANK(OFFSET(A$1,,,SUMPRODUCT(MAX(ROW(E$1:E865)*(E866=E$1:E865))))))</f>
        <v/>
      </c>
      <c r="K866" s="15" t="str">
        <f aca="false">IF(OR(E866="",E866="!!!",F866="NEW"),"",INDEX(J$1:J865,SUMPRODUCT(MAX(ROW(E$1:E865)*(E866=E$1:E865)))))</f>
        <v/>
      </c>
      <c r="L866" s="16"/>
    </row>
    <row r="867" customFormat="false" ht="12.75" hidden="false" customHeight="false" outlineLevel="0" collapsed="false">
      <c r="A867" s="9" t="s">
        <v>451</v>
      </c>
      <c r="E867" s="10" t="str">
        <f aca="false">IF(D867="?OLD","!!!","")</f>
        <v/>
      </c>
      <c r="F867" s="11" t="str">
        <f aca="false">IF(OR(E867="",E867="!!!"),"",IF(NOT(ISNA(VLOOKUP(E867,E$1:E866,1,FALSE()))),"OLD",IF(AND(E867&lt;&gt;"",E867&lt;&gt;"!!!"),"NEW","")))</f>
        <v/>
      </c>
      <c r="G867" s="12" t="str">
        <f aca="false">IF(OR(E867="",E867="!!!"),"",IF(OR(J867=0,AND(J867=1,K867=1),AND(J867=1,I867="SBJ"),AND(J867=1,I867=0)),"?IN_FOCUS",IF(J867&lt;=2,"?ACTIVATED",IF(J867&lt;&gt;"","?FAMILIAR",IF(F867="NEW",IF(ISNA(VLOOKUP(E867,#REF!,1,FALSE())),"?TYPE_IDENTIFIABLE","?REFERENTIAL"),"_")))))</f>
        <v/>
      </c>
      <c r="H867" s="13" t="str">
        <f aca="false">IF(J867&lt;&gt;1,"",IF(I867="SBJ","CB","?"))</f>
        <v/>
      </c>
      <c r="I867" s="14" t="str">
        <f aca="false">IF(OR(E867="",E867="!!!",F867="NEW"),"",INDEX(B$2:B866,-1+SUMPRODUCT(MAX(ROW(E$2:E866)*(E867=E$2:E866)))))</f>
        <v/>
      </c>
      <c r="J867" s="15" t="str">
        <f aca="true">IF(OR(E867="",E867="!!!",F867="NEW"),"",COUNTBLANK(OFFSET(A$1,,,SUMPRODUCT(MAX(ROW(E$2:E867)*(E867=E$2:E867)))))-COUNTBLANK(OFFSET(A$1,,,SUMPRODUCT(MAX(ROW(E$1:E866)*(E867=E$1:E866))))))</f>
        <v/>
      </c>
      <c r="K867" s="15" t="str">
        <f aca="false">IF(OR(E867="",E867="!!!",F867="NEW"),"",INDEX(J$1:J866,SUMPRODUCT(MAX(ROW(E$1:E866)*(E867=E$1:E866)))))</f>
        <v/>
      </c>
      <c r="L867" s="16"/>
    </row>
    <row r="868" customFormat="false" ht="12.75" hidden="false" customHeight="false" outlineLevel="0" collapsed="false">
      <c r="A868" s="9" t="s">
        <v>452</v>
      </c>
      <c r="E868" s="10" t="str">
        <f aca="false">IF(D868="?OLD","!!!","")</f>
        <v/>
      </c>
      <c r="F868" s="11" t="str">
        <f aca="false">IF(OR(E868="",E868="!!!"),"",IF(NOT(ISNA(VLOOKUP(E868,E$1:E867,1,FALSE()))),"OLD",IF(AND(E868&lt;&gt;"",E868&lt;&gt;"!!!"),"NEW","")))</f>
        <v/>
      </c>
      <c r="G868" s="12" t="str">
        <f aca="false">IF(OR(E868="",E868="!!!"),"",IF(OR(J868=0,AND(J868=1,K868=1),AND(J868=1,I868="SBJ"),AND(J868=1,I868=0)),"?IN_FOCUS",IF(J868&lt;=2,"?ACTIVATED",IF(J868&lt;&gt;"","?FAMILIAR",IF(F868="NEW",IF(ISNA(VLOOKUP(E868,#REF!,1,FALSE())),"?TYPE_IDENTIFIABLE","?REFERENTIAL"),"_")))))</f>
        <v/>
      </c>
      <c r="H868" s="13" t="str">
        <f aca="false">IF(J868&lt;&gt;1,"",IF(I868="SBJ","CB","?"))</f>
        <v/>
      </c>
      <c r="I868" s="14" t="str">
        <f aca="false">IF(OR(E868="",E868="!!!",F868="NEW"),"",INDEX(B$2:B867,-1+SUMPRODUCT(MAX(ROW(E$2:E867)*(E868=E$2:E867)))))</f>
        <v/>
      </c>
      <c r="J868" s="15" t="str">
        <f aca="true">IF(OR(E868="",E868="!!!",F868="NEW"),"",COUNTBLANK(OFFSET(A$1,,,SUMPRODUCT(MAX(ROW(E$2:E868)*(E868=E$2:E868)))))-COUNTBLANK(OFFSET(A$1,,,SUMPRODUCT(MAX(ROW(E$1:E867)*(E868=E$1:E867))))))</f>
        <v/>
      </c>
      <c r="K868" s="15" t="str">
        <f aca="false">IF(OR(E868="",E868="!!!",F868="NEW"),"",INDEX(J$1:J867,SUMPRODUCT(MAX(ROW(E$1:E867)*(E868=E$1:E867)))))</f>
        <v/>
      </c>
      <c r="L868" s="16"/>
    </row>
    <row r="869" customFormat="false" ht="12.75" hidden="false" customHeight="false" outlineLevel="0" collapsed="false">
      <c r="A869" s="9" t="s">
        <v>331</v>
      </c>
      <c r="E869" s="10" t="str">
        <f aca="false">IF(D869="?OLD","!!!","")</f>
        <v/>
      </c>
      <c r="F869" s="11" t="str">
        <f aca="false">IF(OR(E869="",E869="!!!"),"",IF(NOT(ISNA(VLOOKUP(E869,E$1:E868,1,FALSE()))),"OLD",IF(AND(E869&lt;&gt;"",E869&lt;&gt;"!!!"),"NEW","")))</f>
        <v/>
      </c>
      <c r="G869" s="12" t="str">
        <f aca="false">IF(OR(E869="",E869="!!!"),"",IF(OR(J869=0,AND(J869=1,K869=1),AND(J869=1,I869="SBJ"),AND(J869=1,I869=0)),"?IN_FOCUS",IF(J869&lt;=2,"?ACTIVATED",IF(J869&lt;&gt;"","?FAMILIAR",IF(F869="NEW",IF(ISNA(VLOOKUP(E869,#REF!,1,FALSE())),"?TYPE_IDENTIFIABLE","?REFERENTIAL"),"_")))))</f>
        <v/>
      </c>
      <c r="H869" s="13" t="str">
        <f aca="false">IF(J869&lt;&gt;1,"",IF(I869="SBJ","CB","?"))</f>
        <v/>
      </c>
      <c r="I869" s="14" t="str">
        <f aca="false">IF(OR(E869="",E869="!!!",F869="NEW"),"",INDEX(B$2:B868,-1+SUMPRODUCT(MAX(ROW(E$2:E868)*(E869=E$2:E868)))))</f>
        <v/>
      </c>
      <c r="J869" s="15" t="str">
        <f aca="true">IF(OR(E869="",E869="!!!",F869="NEW"),"",COUNTBLANK(OFFSET(A$1,,,SUMPRODUCT(MAX(ROW(E$2:E869)*(E869=E$2:E869)))))-COUNTBLANK(OFFSET(A$1,,,SUMPRODUCT(MAX(ROW(E$1:E868)*(E869=E$1:E868))))))</f>
        <v/>
      </c>
      <c r="K869" s="15" t="str">
        <f aca="false">IF(OR(E869="",E869="!!!",F869="NEW"),"",INDEX(J$1:J868,SUMPRODUCT(MAX(ROW(E$1:E868)*(E869=E$1:E868)))))</f>
        <v/>
      </c>
      <c r="L869" s="16"/>
    </row>
    <row r="870" customFormat="false" ht="12.75" hidden="false" customHeight="false" outlineLevel="0" collapsed="false">
      <c r="A870" s="9" t="s">
        <v>15</v>
      </c>
      <c r="E870" s="10" t="str">
        <f aca="false">IF(D870="?OLD","!!!","")</f>
        <v/>
      </c>
      <c r="F870" s="11" t="str">
        <f aca="false">IF(OR(E870="",E870="!!!"),"",IF(NOT(ISNA(VLOOKUP(E870,E$1:E869,1,FALSE()))),"OLD",IF(AND(E870&lt;&gt;"",E870&lt;&gt;"!!!"),"NEW","")))</f>
        <v/>
      </c>
      <c r="G870" s="12" t="str">
        <f aca="false">IF(OR(E870="",E870="!!!"),"",IF(OR(J870=0,AND(J870=1,K870=1),AND(J870=1,I870="SBJ"),AND(J870=1,I870=0)),"?IN_FOCUS",IF(J870&lt;=2,"?ACTIVATED",IF(J870&lt;&gt;"","?FAMILIAR",IF(F870="NEW",IF(ISNA(VLOOKUP(E870,#REF!,1,FALSE())),"?TYPE_IDENTIFIABLE","?REFERENTIAL"),"_")))))</f>
        <v/>
      </c>
      <c r="H870" s="13" t="str">
        <f aca="false">IF(J870&lt;&gt;1,"",IF(I870="SBJ","CB","?"))</f>
        <v/>
      </c>
      <c r="I870" s="14" t="str">
        <f aca="false">IF(OR(E870="",E870="!!!",F870="NEW"),"",INDEX(B$2:B869,-1+SUMPRODUCT(MAX(ROW(E$2:E869)*(E870=E$2:E869)))))</f>
        <v/>
      </c>
      <c r="J870" s="15" t="str">
        <f aca="true">IF(OR(E870="",E870="!!!",F870="NEW"),"",COUNTBLANK(OFFSET(A$1,,,SUMPRODUCT(MAX(ROW(E$2:E870)*(E870=E$2:E870)))))-COUNTBLANK(OFFSET(A$1,,,SUMPRODUCT(MAX(ROW(E$1:E869)*(E870=E$1:E869))))))</f>
        <v/>
      </c>
      <c r="K870" s="15" t="str">
        <f aca="false">IF(OR(E870="",E870="!!!",F870="NEW"),"",INDEX(J$1:J869,SUMPRODUCT(MAX(ROW(E$1:E869)*(E870=E$1:E869)))))</f>
        <v/>
      </c>
      <c r="L870" s="16"/>
    </row>
    <row r="871" customFormat="false" ht="12.75" hidden="false" customHeight="false" outlineLevel="0" collapsed="false">
      <c r="A871" s="9" t="s">
        <v>375</v>
      </c>
      <c r="E871" s="10" t="str">
        <f aca="false">IF(D871="?OLD","!!!","")</f>
        <v/>
      </c>
      <c r="F871" s="11" t="str">
        <f aca="false">IF(OR(E871="",E871="!!!"),"",IF(NOT(ISNA(VLOOKUP(E871,E$1:E870,1,FALSE()))),"OLD",IF(AND(E871&lt;&gt;"",E871&lt;&gt;"!!!"),"NEW","")))</f>
        <v/>
      </c>
      <c r="G871" s="12" t="str">
        <f aca="false">IF(OR(E871="",E871="!!!"),"",IF(OR(J871=0,AND(J871=1,K871=1),AND(J871=1,I871="SBJ"),AND(J871=1,I871=0)),"?IN_FOCUS",IF(J871&lt;=2,"?ACTIVATED",IF(J871&lt;&gt;"","?FAMILIAR",IF(F871="NEW",IF(ISNA(VLOOKUP(E871,#REF!,1,FALSE())),"?TYPE_IDENTIFIABLE","?REFERENTIAL"),"_")))))</f>
        <v/>
      </c>
      <c r="H871" s="13" t="str">
        <f aca="false">IF(J871&lt;&gt;1,"",IF(I871="SBJ","CB","?"))</f>
        <v/>
      </c>
      <c r="I871" s="14" t="str">
        <f aca="false">IF(OR(E871="",E871="!!!",F871="NEW"),"",INDEX(B$2:B870,-1+SUMPRODUCT(MAX(ROW(E$2:E870)*(E871=E$2:E870)))))</f>
        <v/>
      </c>
      <c r="J871" s="15" t="str">
        <f aca="true">IF(OR(E871="",E871="!!!",F871="NEW"),"",COUNTBLANK(OFFSET(A$1,,,SUMPRODUCT(MAX(ROW(E$2:E871)*(E871=E$2:E871)))))-COUNTBLANK(OFFSET(A$1,,,SUMPRODUCT(MAX(ROW(E$1:E870)*(E871=E$1:E870))))))</f>
        <v/>
      </c>
      <c r="K871" s="15" t="str">
        <f aca="false">IF(OR(E871="",E871="!!!",F871="NEW"),"",INDEX(J$1:J870,SUMPRODUCT(MAX(ROW(E$1:E870)*(E871=E$1:E870)))))</f>
        <v/>
      </c>
      <c r="L871" s="16"/>
    </row>
    <row r="872" customFormat="false" ht="12.75" hidden="false" customHeight="false" outlineLevel="0" collapsed="false">
      <c r="A872" s="9" t="s">
        <v>348</v>
      </c>
      <c r="B872" s="0" t="s">
        <v>75</v>
      </c>
      <c r="C872" s="0" t="s">
        <v>83</v>
      </c>
      <c r="D872" s="0" t="s">
        <v>19</v>
      </c>
      <c r="E872" s="10" t="s">
        <v>327</v>
      </c>
      <c r="F872" s="11" t="str">
        <f aca="false">IF(OR(E872="",E872="!!!"),"",IF(NOT(ISNA(VLOOKUP(E872,E$1:E871,1,FALSE()))),"OLD",IF(AND(E872&lt;&gt;"",E872&lt;&gt;"!!!"),"NEW","")))</f>
        <v>OLD</v>
      </c>
      <c r="G872" s="12" t="s">
        <v>65</v>
      </c>
      <c r="H872" s="13" t="str">
        <f aca="false">IF(J872&lt;&gt;1,"",IF(I872="SBJ","CB","?"))</f>
        <v>CB</v>
      </c>
      <c r="I872" s="14" t="str">
        <f aca="false">IF(OR(E872="",E872="!!!",F872="NEW"),"",INDEX(B$2:B871,-1+SUMPRODUCT(MAX(ROW(E$2:E871)*(E872=E$2:E871)))))</f>
        <v>SBJ</v>
      </c>
      <c r="J872" s="15" t="n">
        <f aca="true">IF(OR(E872="",E872="!!!",F872="NEW"),"",COUNTBLANK(OFFSET(A$1,,,SUMPRODUCT(MAX(ROW(E$2:E872)*(E872=E$2:E872)))))-COUNTBLANK(OFFSET(A$1,,,SUMPRODUCT(MAX(ROW(E$1:E871)*(E872=E$1:E871))))))</f>
        <v>1</v>
      </c>
      <c r="K872" s="15" t="n">
        <f aca="false">IF(OR(E872="",E872="!!!",F872="NEW"),"",INDEX(J$1:J871,SUMPRODUCT(MAX(ROW(E$1:E871)*(E872=E$1:E871)))))</f>
        <v>1</v>
      </c>
      <c r="L872" s="16"/>
    </row>
    <row r="873" customFormat="false" ht="12.75" hidden="false" customHeight="false" outlineLevel="0" collapsed="false">
      <c r="A873" s="9" t="s">
        <v>22</v>
      </c>
      <c r="E873" s="10" t="str">
        <f aca="false">IF(D873="?OLD","!!!","")</f>
        <v/>
      </c>
      <c r="F873" s="11" t="str">
        <f aca="false">IF(OR(E873="",E873="!!!"),"",IF(NOT(ISNA(VLOOKUP(E873,E$1:E872,1,FALSE()))),"OLD",IF(AND(E873&lt;&gt;"",E873&lt;&gt;"!!!"),"NEW","")))</f>
        <v/>
      </c>
      <c r="G873" s="12" t="str">
        <f aca="false">IF(OR(E873="",E873="!!!"),"",IF(OR(J873=0,AND(J873=1,K873=1),AND(J873=1,I873="SBJ"),AND(J873=1,I873=0)),"?IN_FOCUS",IF(J873&lt;=2,"?ACTIVATED",IF(J873&lt;&gt;"","?FAMILIAR",IF(F873="NEW",IF(ISNA(VLOOKUP(E873,#REF!,1,FALSE())),"?TYPE_IDENTIFIABLE","?REFERENTIAL"),"_")))))</f>
        <v/>
      </c>
      <c r="H873" s="13" t="str">
        <f aca="false">IF(J873&lt;&gt;1,"",IF(I873="SBJ","CB","?"))</f>
        <v/>
      </c>
      <c r="I873" s="14" t="str">
        <f aca="false">IF(OR(E873="",E873="!!!",F873="NEW"),"",INDEX(B$2:B872,-1+SUMPRODUCT(MAX(ROW(E$2:E872)*(E873=E$2:E872)))))</f>
        <v/>
      </c>
      <c r="J873" s="15" t="str">
        <f aca="true">IF(OR(E873="",E873="!!!",F873="NEW"),"",COUNTBLANK(OFFSET(A$1,,,SUMPRODUCT(MAX(ROW(E$2:E873)*(E873=E$2:E873)))))-COUNTBLANK(OFFSET(A$1,,,SUMPRODUCT(MAX(ROW(E$1:E872)*(E873=E$1:E872))))))</f>
        <v/>
      </c>
      <c r="K873" s="15" t="str">
        <f aca="false">IF(OR(E873="",E873="!!!",F873="NEW"),"",INDEX(J$1:J872,SUMPRODUCT(MAX(ROW(E$1:E872)*(E873=E$1:E872)))))</f>
        <v/>
      </c>
      <c r="L873" s="16"/>
    </row>
    <row r="874" customFormat="false" ht="12.75" hidden="false" customHeight="false" outlineLevel="0" collapsed="false">
      <c r="A874" s="9" t="s">
        <v>187</v>
      </c>
      <c r="B874" s="0" t="s">
        <v>24</v>
      </c>
      <c r="C874" s="0" t="s">
        <v>103</v>
      </c>
      <c r="D874" s="0" t="s">
        <v>19</v>
      </c>
      <c r="E874" s="10" t="s">
        <v>187</v>
      </c>
      <c r="F874" s="11" t="str">
        <f aca="false">IF(OR(E874="",E874="!!!"),"",IF(NOT(ISNA(VLOOKUP(E874,E$1:E873,1,FALSE()))),"OLD",IF(AND(E874&lt;&gt;"",E874&lt;&gt;"!!!"),"NEW","")))</f>
        <v>OLD</v>
      </c>
      <c r="G874" s="12" t="s">
        <v>33</v>
      </c>
      <c r="H874" s="13" t="str">
        <f aca="false">IF(J874&lt;&gt;1,"",IF(I874="SBJ","CB","?"))</f>
        <v/>
      </c>
      <c r="I874" s="14" t="str">
        <f aca="false">IF(OR(E874="",E874="!!!",F874="NEW"),"",INDEX(B$2:B873,-1+SUMPRODUCT(MAX(ROW(E$2:E873)*(E874=E$2:E873)))))</f>
        <v>SBJ_3</v>
      </c>
      <c r="J874" s="15" t="n">
        <f aca="true">IF(OR(E874="",E874="!!!",F874="NEW"),"",COUNTBLANK(OFFSET(A$1,,,SUMPRODUCT(MAX(ROW(E$2:E874)*(E874=E$2:E874)))))-COUNTBLANK(OFFSET(A$1,,,SUMPRODUCT(MAX(ROW(E$1:E873)*(E874=E$1:E873))))))</f>
        <v>2</v>
      </c>
      <c r="K874" s="15" t="n">
        <f aca="false">IF(OR(E874="",E874="!!!",F874="NEW"),"",INDEX(J$1:J873,SUMPRODUCT(MAX(ROW(E$1:E873)*(E874=E$1:E873)))))</f>
        <v>2</v>
      </c>
      <c r="L874" s="16"/>
    </row>
    <row r="875" customFormat="false" ht="12.75" hidden="false" customHeight="false" outlineLevel="0" collapsed="false">
      <c r="A875" s="9" t="s">
        <v>28</v>
      </c>
      <c r="E875" s="10" t="str">
        <f aca="false">IF(D875="?OLD","!!!","")</f>
        <v/>
      </c>
      <c r="F875" s="11" t="str">
        <f aca="false">IF(OR(E875="",E875="!!!"),"",IF(NOT(ISNA(VLOOKUP(E875,E$1:E874,1,FALSE()))),"OLD",IF(AND(E875&lt;&gt;"",E875&lt;&gt;"!!!"),"NEW","")))</f>
        <v/>
      </c>
      <c r="G875" s="12" t="str">
        <f aca="false">IF(OR(E875="",E875="!!!"),"",IF(OR(J875=0,AND(J875=1,K875=1),AND(J875=1,I875="SBJ"),AND(J875=1,I875=0)),"?IN_FOCUS",IF(J875&lt;=2,"?ACTIVATED",IF(J875&lt;&gt;"","?FAMILIAR",IF(F875="NEW",IF(ISNA(VLOOKUP(E875,#REF!,1,FALSE())),"?TYPE_IDENTIFIABLE","?REFERENTIAL"),"_")))))</f>
        <v/>
      </c>
      <c r="H875" s="13" t="str">
        <f aca="false">IF(J875&lt;&gt;1,"",IF(I875="SBJ","CB","?"))</f>
        <v/>
      </c>
      <c r="I875" s="14" t="str">
        <f aca="false">IF(OR(E875="",E875="!!!",F875="NEW"),"",INDEX(B$2:B874,-1+SUMPRODUCT(MAX(ROW(E$2:E874)*(E875=E$2:E874)))))</f>
        <v/>
      </c>
      <c r="J875" s="15" t="str">
        <f aca="true">IF(OR(E875="",E875="!!!",F875="NEW"),"",COUNTBLANK(OFFSET(A$1,,,SUMPRODUCT(MAX(ROW(E$2:E875)*(E875=E$2:E875)))))-COUNTBLANK(OFFSET(A$1,,,SUMPRODUCT(MAX(ROW(E$1:E874)*(E875=E$1:E874))))))</f>
        <v/>
      </c>
      <c r="K875" s="15" t="str">
        <f aca="false">IF(OR(E875="",E875="!!!",F875="NEW"),"",INDEX(J$1:J874,SUMPRODUCT(MAX(ROW(E$1:E874)*(E875=E$1:E874)))))</f>
        <v/>
      </c>
      <c r="L875" s="16"/>
    </row>
    <row r="876" customFormat="false" ht="12.75" hidden="false" customHeight="false" outlineLevel="0" collapsed="false">
      <c r="A876" s="9" t="s">
        <v>63</v>
      </c>
      <c r="E876" s="10" t="str">
        <f aca="false">IF(D876="?OLD","!!!","")</f>
        <v/>
      </c>
      <c r="F876" s="11" t="str">
        <f aca="false">IF(OR(E876="",E876="!!!"),"",IF(NOT(ISNA(VLOOKUP(E876,E$1:E875,1,FALSE()))),"OLD",IF(AND(E876&lt;&gt;"",E876&lt;&gt;"!!!"),"NEW","")))</f>
        <v/>
      </c>
      <c r="G876" s="12" t="str">
        <f aca="false">IF(OR(E876="",E876="!!!"),"",IF(OR(J876=0,AND(J876=1,K876=1),AND(J876=1,I876="SBJ"),AND(J876=1,I876=0)),"?IN_FOCUS",IF(J876&lt;=2,"?ACTIVATED",IF(J876&lt;&gt;"","?FAMILIAR",IF(F876="NEW",IF(ISNA(VLOOKUP(E876,#REF!,1,FALSE())),"?TYPE_IDENTIFIABLE","?REFERENTIAL"),"_")))))</f>
        <v/>
      </c>
      <c r="H876" s="13" t="str">
        <f aca="false">IF(J876&lt;&gt;1,"",IF(I876="SBJ","CB","?"))</f>
        <v/>
      </c>
      <c r="I876" s="14" t="str">
        <f aca="false">IF(OR(E876="",E876="!!!",F876="NEW"),"",INDEX(B$2:B875,-1+SUMPRODUCT(MAX(ROW(E$2:E875)*(E876=E$2:E875)))))</f>
        <v/>
      </c>
      <c r="J876" s="15" t="str">
        <f aca="true">IF(OR(E876="",E876="!!!",F876="NEW"),"",COUNTBLANK(OFFSET(A$1,,,SUMPRODUCT(MAX(ROW(E$2:E876)*(E876=E$2:E876)))))-COUNTBLANK(OFFSET(A$1,,,SUMPRODUCT(MAX(ROW(E$1:E875)*(E876=E$1:E875))))))</f>
        <v/>
      </c>
      <c r="K876" s="15" t="str">
        <f aca="false">IF(OR(E876="",E876="!!!",F876="NEW"),"",INDEX(J$1:J875,SUMPRODUCT(MAX(ROW(E$1:E875)*(E876=E$1:E875)))))</f>
        <v/>
      </c>
      <c r="L876" s="16"/>
    </row>
    <row r="877" customFormat="false" ht="12.75" hidden="false" customHeight="false" outlineLevel="0" collapsed="false">
      <c r="A877" s="9" t="s">
        <v>355</v>
      </c>
      <c r="E877" s="10" t="str">
        <f aca="false">IF(D877="?OLD","!!!","")</f>
        <v/>
      </c>
      <c r="F877" s="11" t="str">
        <f aca="false">IF(OR(E877="",E877="!!!"),"",IF(NOT(ISNA(VLOOKUP(E877,E$1:E876,1,FALSE()))),"OLD",IF(AND(E877&lt;&gt;"",E877&lt;&gt;"!!!"),"NEW","")))</f>
        <v/>
      </c>
      <c r="G877" s="12" t="str">
        <f aca="false">IF(OR(E877="",E877="!!!"),"",IF(OR(J877=0,AND(J877=1,K877=1),AND(J877=1,I877="SBJ"),AND(J877=1,I877=0)),"?IN_FOCUS",IF(J877&lt;=2,"?ACTIVATED",IF(J877&lt;&gt;"","?FAMILIAR",IF(F877="NEW",IF(ISNA(VLOOKUP(E877,#REF!,1,FALSE())),"?TYPE_IDENTIFIABLE","?REFERENTIAL"),"_")))))</f>
        <v/>
      </c>
      <c r="H877" s="13" t="str">
        <f aca="false">IF(J877&lt;&gt;1,"",IF(I877="SBJ","CB","?"))</f>
        <v/>
      </c>
      <c r="I877" s="14" t="str">
        <f aca="false">IF(OR(E877="",E877="!!!",F877="NEW"),"",INDEX(B$2:B876,-1+SUMPRODUCT(MAX(ROW(E$2:E876)*(E877=E$2:E876)))))</f>
        <v/>
      </c>
      <c r="J877" s="15" t="str">
        <f aca="true">IF(OR(E877="",E877="!!!",F877="NEW"),"",COUNTBLANK(OFFSET(A$1,,,SUMPRODUCT(MAX(ROW(E$2:E877)*(E877=E$2:E877)))))-COUNTBLANK(OFFSET(A$1,,,SUMPRODUCT(MAX(ROW(E$1:E876)*(E877=E$1:E876))))))</f>
        <v/>
      </c>
      <c r="K877" s="15" t="str">
        <f aca="false">IF(OR(E877="",E877="!!!",F877="NEW"),"",INDEX(J$1:J876,SUMPRODUCT(MAX(ROW(E$1:E876)*(E877=E$1:E876)))))</f>
        <v/>
      </c>
      <c r="L877" s="16"/>
    </row>
    <row r="878" customFormat="false" ht="12.75" hidden="false" customHeight="false" outlineLevel="0" collapsed="false">
      <c r="A878" s="9" t="s">
        <v>453</v>
      </c>
      <c r="E878" s="10" t="str">
        <f aca="false">IF(D878="?OLD","!!!","")</f>
        <v/>
      </c>
      <c r="F878" s="11" t="str">
        <f aca="false">IF(OR(E878="",E878="!!!"),"",IF(NOT(ISNA(VLOOKUP(E878,E$1:E877,1,FALSE()))),"OLD",IF(AND(E878&lt;&gt;"",E878&lt;&gt;"!!!"),"NEW","")))</f>
        <v/>
      </c>
      <c r="G878" s="12" t="str">
        <f aca="false">IF(OR(E878="",E878="!!!"),"",IF(OR(J878=0,AND(J878=1,K878=1),AND(J878=1,I878="SBJ"),AND(J878=1,I878=0)),"?IN_FOCUS",IF(J878&lt;=2,"?ACTIVATED",IF(J878&lt;&gt;"","?FAMILIAR",IF(F878="NEW",IF(ISNA(VLOOKUP(E878,#REF!,1,FALSE())),"?TYPE_IDENTIFIABLE","?REFERENTIAL"),"_")))))</f>
        <v/>
      </c>
      <c r="H878" s="13" t="str">
        <f aca="false">IF(J878&lt;&gt;1,"",IF(I878="SBJ","CB","?"))</f>
        <v/>
      </c>
      <c r="I878" s="14" t="str">
        <f aca="false">IF(OR(E878="",E878="!!!",F878="NEW"),"",INDEX(B$2:B877,-1+SUMPRODUCT(MAX(ROW(E$2:E877)*(E878=E$2:E877)))))</f>
        <v/>
      </c>
      <c r="J878" s="15" t="str">
        <f aca="true">IF(OR(E878="",E878="!!!",F878="NEW"),"",COUNTBLANK(OFFSET(A$1,,,SUMPRODUCT(MAX(ROW(E$2:E878)*(E878=E$2:E878)))))-COUNTBLANK(OFFSET(A$1,,,SUMPRODUCT(MAX(ROW(E$1:E877)*(E878=E$1:E877))))))</f>
        <v/>
      </c>
      <c r="K878" s="15" t="str">
        <f aca="false">IF(OR(E878="",E878="!!!",F878="NEW"),"",INDEX(J$1:J877,SUMPRODUCT(MAX(ROW(E$1:E877)*(E878=E$1:E877)))))</f>
        <v/>
      </c>
      <c r="L878" s="16"/>
    </row>
    <row r="879" customFormat="false" ht="12.75" hidden="false" customHeight="false" outlineLevel="0" collapsed="false">
      <c r="A879" s="9" t="s">
        <v>49</v>
      </c>
      <c r="E879" s="10" t="str">
        <f aca="false">IF(D879="?OLD","!!!","")</f>
        <v/>
      </c>
      <c r="F879" s="11" t="str">
        <f aca="false">IF(OR(E879="",E879="!!!"),"",IF(NOT(ISNA(VLOOKUP(E879,E$1:E878,1,FALSE()))),"OLD",IF(AND(E879&lt;&gt;"",E879&lt;&gt;"!!!"),"NEW","")))</f>
        <v/>
      </c>
      <c r="G879" s="12" t="str">
        <f aca="false">IF(OR(E879="",E879="!!!"),"",IF(OR(J879=0,AND(J879=1,K879=1),AND(J879=1,I879="SBJ"),AND(J879=1,I879=0)),"?IN_FOCUS",IF(J879&lt;=2,"?ACTIVATED",IF(J879&lt;&gt;"","?FAMILIAR",IF(F879="NEW",IF(ISNA(VLOOKUP(E879,#REF!,1,FALSE())),"?TYPE_IDENTIFIABLE","?REFERENTIAL"),"_")))))</f>
        <v/>
      </c>
      <c r="H879" s="13" t="str">
        <f aca="false">IF(J879&lt;&gt;1,"",IF(I879="SBJ","CB","?"))</f>
        <v/>
      </c>
      <c r="I879" s="14" t="str">
        <f aca="false">IF(OR(E879="",E879="!!!",F879="NEW"),"",INDEX(B$2:B878,-1+SUMPRODUCT(MAX(ROW(E$2:E878)*(E879=E$2:E878)))))</f>
        <v/>
      </c>
      <c r="J879" s="15" t="str">
        <f aca="true">IF(OR(E879="",E879="!!!",F879="NEW"),"",COUNTBLANK(OFFSET(A$1,,,SUMPRODUCT(MAX(ROW(E$2:E879)*(E879=E$2:E879)))))-COUNTBLANK(OFFSET(A$1,,,SUMPRODUCT(MAX(ROW(E$1:E878)*(E879=E$1:E878))))))</f>
        <v/>
      </c>
      <c r="K879" s="15" t="str">
        <f aca="false">IF(OR(E879="",E879="!!!",F879="NEW"),"",INDEX(J$1:J878,SUMPRODUCT(MAX(ROW(E$1:E878)*(E879=E$1:E878)))))</f>
        <v/>
      </c>
      <c r="L879" s="16"/>
    </row>
    <row r="880" customFormat="false" ht="12.75" hidden="false" customHeight="false" outlineLevel="0" collapsed="false">
      <c r="A880" s="9" t="s">
        <v>15</v>
      </c>
      <c r="E880" s="10" t="str">
        <f aca="false">IF(D880="?OLD","!!!","")</f>
        <v/>
      </c>
      <c r="F880" s="11" t="str">
        <f aca="false">IF(OR(E880="",E880="!!!"),"",IF(NOT(ISNA(VLOOKUP(E880,E$1:E879,1,FALSE()))),"OLD",IF(AND(E880&lt;&gt;"",E880&lt;&gt;"!!!"),"NEW","")))</f>
        <v/>
      </c>
      <c r="G880" s="12" t="str">
        <f aca="false">IF(OR(E880="",E880="!!!"),"",IF(OR(J880=0,AND(J880=1,K880=1),AND(J880=1,I880="SBJ"),AND(J880=1,I880=0)),"?IN_FOCUS",IF(J880&lt;=2,"?ACTIVATED",IF(J880&lt;&gt;"","?FAMILIAR",IF(F880="NEW",IF(ISNA(VLOOKUP(E880,#REF!,1,FALSE())),"?TYPE_IDENTIFIABLE","?REFERENTIAL"),"_")))))</f>
        <v/>
      </c>
      <c r="H880" s="13" t="str">
        <f aca="false">IF(J880&lt;&gt;1,"",IF(I880="SBJ","CB","?"))</f>
        <v/>
      </c>
      <c r="I880" s="14" t="str">
        <f aca="false">IF(OR(E880="",E880="!!!",F880="NEW"),"",INDEX(B$2:B879,-1+SUMPRODUCT(MAX(ROW(E$2:E879)*(E880=E$2:E879)))))</f>
        <v/>
      </c>
      <c r="J880" s="15" t="str">
        <f aca="true">IF(OR(E880="",E880="!!!",F880="NEW"),"",COUNTBLANK(OFFSET(A$1,,,SUMPRODUCT(MAX(ROW(E$2:E880)*(E880=E$2:E880)))))-COUNTBLANK(OFFSET(A$1,,,SUMPRODUCT(MAX(ROW(E$1:E879)*(E880=E$1:E879))))))</f>
        <v/>
      </c>
      <c r="K880" s="15" t="str">
        <f aca="false">IF(OR(E880="",E880="!!!",F880="NEW"),"",INDEX(J$1:J879,SUMPRODUCT(MAX(ROW(E$1:E879)*(E880=E$1:E879)))))</f>
        <v/>
      </c>
      <c r="L880" s="16"/>
    </row>
    <row r="881" customFormat="false" ht="12.75" hidden="false" customHeight="false" outlineLevel="0" collapsed="false">
      <c r="A881" s="9" t="s">
        <v>454</v>
      </c>
      <c r="B881" s="0" t="s">
        <v>62</v>
      </c>
      <c r="C881" s="0" t="s">
        <v>103</v>
      </c>
      <c r="D881" s="0" t="s">
        <v>19</v>
      </c>
      <c r="E881" s="10" t="s">
        <v>187</v>
      </c>
      <c r="F881" s="11" t="str">
        <f aca="false">IF(OR(E881="",E881="!!!"),"",IF(NOT(ISNA(VLOOKUP(E881,E$1:E880,1,FALSE()))),"OLD",IF(AND(E881&lt;&gt;"",E881&lt;&gt;"!!!"),"NEW","")))</f>
        <v>OLD</v>
      </c>
      <c r="G881" s="12" t="s">
        <v>65</v>
      </c>
      <c r="H881" s="13" t="str">
        <f aca="false">IF(J881&lt;&gt;1,"",IF(I881="SBJ","CB","?"))</f>
        <v/>
      </c>
      <c r="I881" s="14" t="str">
        <f aca="false">IF(OR(E881="",E881="!!!",F881="NEW"),"",INDEX(B$2:B880,-1+SUMPRODUCT(MAX(ROW(E$2:E880)*(E881=E$2:E880)))))</f>
        <v>other_3</v>
      </c>
      <c r="J881" s="15" t="n">
        <f aca="true">IF(OR(E881="",E881="!!!",F881="NEW"),"",COUNTBLANK(OFFSET(A$1,,,SUMPRODUCT(MAX(ROW(E$2:E881)*(E881=E$2:E881)))))-COUNTBLANK(OFFSET(A$1,,,SUMPRODUCT(MAX(ROW(E$1:E880)*(E881=E$1:E880))))))</f>
        <v>0</v>
      </c>
      <c r="K881" s="15" t="n">
        <f aca="false">IF(OR(E881="",E881="!!!",F881="NEW"),"",INDEX(J$1:J880,SUMPRODUCT(MAX(ROW(E$1:E880)*(E881=E$1:E880)))))</f>
        <v>2</v>
      </c>
      <c r="L881" s="16"/>
    </row>
    <row r="882" customFormat="false" ht="12.75" hidden="false" customHeight="false" outlineLevel="0" collapsed="false">
      <c r="A882" s="9" t="s">
        <v>15</v>
      </c>
      <c r="E882" s="10" t="str">
        <f aca="false">IF(D882="?OLD","!!!","")</f>
        <v/>
      </c>
      <c r="F882" s="11" t="str">
        <f aca="false">IF(OR(E882="",E882="!!!"),"",IF(NOT(ISNA(VLOOKUP(E882,E$1:E881,1,FALSE()))),"OLD",IF(AND(E882&lt;&gt;"",E882&lt;&gt;"!!!"),"NEW","")))</f>
        <v/>
      </c>
      <c r="G882" s="12" t="str">
        <f aca="false">IF(OR(E882="",E882="!!!"),"",IF(OR(J882=0,AND(J882=1,K882=1),AND(J882=1,I882="SBJ"),AND(J882=1,I882=0)),"?IN_FOCUS",IF(J882&lt;=2,"?ACTIVATED",IF(J882&lt;&gt;"","?FAMILIAR",IF(F882="NEW",IF(ISNA(VLOOKUP(E882,#REF!,1,FALSE())),"?TYPE_IDENTIFIABLE","?REFERENTIAL"),"_")))))</f>
        <v/>
      </c>
      <c r="H882" s="13" t="str">
        <f aca="false">IF(J882&lt;&gt;1,"",IF(I882="SBJ","CB","?"))</f>
        <v/>
      </c>
      <c r="I882" s="14" t="str">
        <f aca="false">IF(OR(E882="",E882="!!!",F882="NEW"),"",INDEX(B$2:B881,-1+SUMPRODUCT(MAX(ROW(E$2:E881)*(E882=E$2:E881)))))</f>
        <v/>
      </c>
      <c r="J882" s="15" t="str">
        <f aca="true">IF(OR(E882="",E882="!!!",F882="NEW"),"",COUNTBLANK(OFFSET(A$1,,,SUMPRODUCT(MAX(ROW(E$2:E882)*(E882=E$2:E882)))))-COUNTBLANK(OFFSET(A$1,,,SUMPRODUCT(MAX(ROW(E$1:E881)*(E882=E$1:E881))))))</f>
        <v/>
      </c>
      <c r="K882" s="15" t="str">
        <f aca="false">IF(OR(E882="",E882="!!!",F882="NEW"),"",INDEX(J$1:J881,SUMPRODUCT(MAX(ROW(E$1:E881)*(E882=E$1:E881)))))</f>
        <v/>
      </c>
      <c r="L882" s="16"/>
    </row>
    <row r="883" customFormat="false" ht="12.75" hidden="false" customHeight="false" outlineLevel="0" collapsed="false">
      <c r="A883" s="9" t="s">
        <v>455</v>
      </c>
      <c r="B883" s="0" t="s">
        <v>96</v>
      </c>
      <c r="C883" s="0" t="s">
        <v>83</v>
      </c>
      <c r="D883" s="0" t="s">
        <v>19</v>
      </c>
      <c r="E883" s="10" t="s">
        <v>456</v>
      </c>
      <c r="F883" s="11" t="str">
        <f aca="false">IF(OR(E883="",E883="!!!"),"",IF(NOT(ISNA(VLOOKUP(E883,E$1:E882,1,FALSE()))),"OLD",IF(AND(E883&lt;&gt;"",E883&lt;&gt;"!!!"),"NEW","")))</f>
        <v>NEW</v>
      </c>
      <c r="G883" s="12" t="s">
        <v>52</v>
      </c>
      <c r="H883" s="13" t="str">
        <f aca="false">IF(J883&lt;&gt;1,"",IF(I883="SBJ","CB","?"))</f>
        <v/>
      </c>
      <c r="I883" s="14" t="str">
        <f aca="false">IF(OR(E883="",E883="!!!",F883="NEW"),"",INDEX(B$2:B882,-1+SUMPRODUCT(MAX(ROW(E$2:E882)*(E883=E$2:E882)))))</f>
        <v/>
      </c>
      <c r="J883" s="15" t="str">
        <f aca="true">IF(OR(E883="",E883="!!!",F883="NEW"),"",COUNTBLANK(OFFSET(A$1,,,SUMPRODUCT(MAX(ROW(E$2:E883)*(E883=E$2:E883)))))-COUNTBLANK(OFFSET(A$1,,,SUMPRODUCT(MAX(ROW(E$1:E882)*(E883=E$1:E882))))))</f>
        <v/>
      </c>
      <c r="K883" s="15" t="str">
        <f aca="false">IF(OR(E883="",E883="!!!",F883="NEW"),"",INDEX(J$1:J882,SUMPRODUCT(MAX(ROW(E$1:E882)*(E883=E$1:E882)))))</f>
        <v/>
      </c>
      <c r="L883" s="16"/>
    </row>
    <row r="884" customFormat="false" ht="12.75" hidden="false" customHeight="false" outlineLevel="0" collapsed="false">
      <c r="A884" s="9" t="s">
        <v>22</v>
      </c>
      <c r="E884" s="10" t="str">
        <f aca="false">IF(D884="?OLD","!!!","")</f>
        <v/>
      </c>
      <c r="F884" s="11" t="str">
        <f aca="false">IF(OR(E884="",E884="!!!"),"",IF(NOT(ISNA(VLOOKUP(E884,E$1:E883,1,FALSE()))),"OLD",IF(AND(E884&lt;&gt;"",E884&lt;&gt;"!!!"),"NEW","")))</f>
        <v/>
      </c>
      <c r="G884" s="12" t="str">
        <f aca="false">IF(OR(E884="",E884="!!!"),"",IF(OR(J884=0,AND(J884=1,K884=1),AND(J884=1,I884="SBJ"),AND(J884=1,I884=0)),"?IN_FOCUS",IF(J884&lt;=2,"?ACTIVATED",IF(J884&lt;&gt;"","?FAMILIAR",IF(F884="NEW",IF(ISNA(VLOOKUP(E884,#REF!,1,FALSE())),"?TYPE_IDENTIFIABLE","?REFERENTIAL"),"_")))))</f>
        <v/>
      </c>
      <c r="H884" s="13" t="str">
        <f aca="false">IF(J884&lt;&gt;1,"",IF(I884="SBJ","CB","?"))</f>
        <v/>
      </c>
      <c r="I884" s="14" t="str">
        <f aca="false">IF(OR(E884="",E884="!!!",F884="NEW"),"",INDEX(B$2:B883,-1+SUMPRODUCT(MAX(ROW(E$2:E883)*(E884=E$2:E883)))))</f>
        <v/>
      </c>
      <c r="J884" s="15" t="str">
        <f aca="true">IF(OR(E884="",E884="!!!",F884="NEW"),"",COUNTBLANK(OFFSET(A$1,,,SUMPRODUCT(MAX(ROW(E$2:E884)*(E884=E$2:E884)))))-COUNTBLANK(OFFSET(A$1,,,SUMPRODUCT(MAX(ROW(E$1:E883)*(E884=E$1:E883))))))</f>
        <v/>
      </c>
      <c r="K884" s="15" t="str">
        <f aca="false">IF(OR(E884="",E884="!!!",F884="NEW"),"",INDEX(J$1:J883,SUMPRODUCT(MAX(ROW(E$1:E883)*(E884=E$1:E883)))))</f>
        <v/>
      </c>
      <c r="L884" s="16"/>
    </row>
    <row r="885" customFormat="false" ht="12.75" hidden="false" customHeight="false" outlineLevel="0" collapsed="false">
      <c r="A885" s="9" t="s">
        <v>15</v>
      </c>
      <c r="E885" s="10" t="str">
        <f aca="false">IF(D885="?OLD","!!!","")</f>
        <v/>
      </c>
      <c r="F885" s="11" t="str">
        <f aca="false">IF(OR(E885="",E885="!!!"),"",IF(NOT(ISNA(VLOOKUP(E885,E$1:E884,1,FALSE()))),"OLD",IF(AND(E885&lt;&gt;"",E885&lt;&gt;"!!!"),"NEW","")))</f>
        <v/>
      </c>
      <c r="G885" s="12" t="str">
        <f aca="false">IF(OR(E885="",E885="!!!"),"",IF(OR(J885=0,AND(J885=1,K885=1),AND(J885=1,I885="SBJ"),AND(J885=1,I885=0)),"?IN_FOCUS",IF(J885&lt;=2,"?ACTIVATED",IF(J885&lt;&gt;"","?FAMILIAR",IF(F885="NEW",IF(ISNA(VLOOKUP(E885,#REF!,1,FALSE())),"?TYPE_IDENTIFIABLE","?REFERENTIAL"),"_")))))</f>
        <v/>
      </c>
      <c r="H885" s="13" t="str">
        <f aca="false">IF(J885&lt;&gt;1,"",IF(I885="SBJ","CB","?"))</f>
        <v/>
      </c>
      <c r="I885" s="14" t="str">
        <f aca="false">IF(OR(E885="",E885="!!!",F885="NEW"),"",INDEX(B$2:B884,-1+SUMPRODUCT(MAX(ROW(E$2:E884)*(E885=E$2:E884)))))</f>
        <v/>
      </c>
      <c r="J885" s="15" t="str">
        <f aca="true">IF(OR(E885="",E885="!!!",F885="NEW"),"",COUNTBLANK(OFFSET(A$1,,,SUMPRODUCT(MAX(ROW(E$2:E885)*(E885=E$2:E885)))))-COUNTBLANK(OFFSET(A$1,,,SUMPRODUCT(MAX(ROW(E$1:E884)*(E885=E$1:E884))))))</f>
        <v/>
      </c>
      <c r="K885" s="15" t="str">
        <f aca="false">IF(OR(E885="",E885="!!!",F885="NEW"),"",INDEX(J$1:J884,SUMPRODUCT(MAX(ROW(E$1:E884)*(E885=E$1:E884)))))</f>
        <v/>
      </c>
      <c r="L885" s="16"/>
    </row>
    <row r="886" customFormat="false" ht="12.75" hidden="false" customHeight="false" outlineLevel="0" collapsed="false">
      <c r="A886" s="9" t="s">
        <v>87</v>
      </c>
      <c r="E886" s="10" t="str">
        <f aca="false">IF(D886="?OLD","!!!","")</f>
        <v/>
      </c>
      <c r="F886" s="11" t="str">
        <f aca="false">IF(OR(E886="",E886="!!!"),"",IF(NOT(ISNA(VLOOKUP(E886,E$1:E885,1,FALSE()))),"OLD",IF(AND(E886&lt;&gt;"",E886&lt;&gt;"!!!"),"NEW","")))</f>
        <v/>
      </c>
      <c r="G886" s="12" t="str">
        <f aca="false">IF(OR(E886="",E886="!!!"),"",IF(OR(J886=0,AND(J886=1,K886=1),AND(J886=1,I886="SBJ"),AND(J886=1,I886=0)),"?IN_FOCUS",IF(J886&lt;=2,"?ACTIVATED",IF(J886&lt;&gt;"","?FAMILIAR",IF(F886="NEW",IF(ISNA(VLOOKUP(E886,#REF!,1,FALSE())),"?TYPE_IDENTIFIABLE","?REFERENTIAL"),"_")))))</f>
        <v/>
      </c>
      <c r="H886" s="13" t="str">
        <f aca="false">IF(J886&lt;&gt;1,"",IF(I886="SBJ","CB","?"))</f>
        <v/>
      </c>
      <c r="I886" s="14" t="str">
        <f aca="false">IF(OR(E886="",E886="!!!",F886="NEW"),"",INDEX(B$2:B885,-1+SUMPRODUCT(MAX(ROW(E$2:E885)*(E886=E$2:E885)))))</f>
        <v/>
      </c>
      <c r="J886" s="15" t="str">
        <f aca="true">IF(OR(E886="",E886="!!!",F886="NEW"),"",COUNTBLANK(OFFSET(A$1,,,SUMPRODUCT(MAX(ROW(E$2:E886)*(E886=E$2:E886)))))-COUNTBLANK(OFFSET(A$1,,,SUMPRODUCT(MAX(ROW(E$1:E885)*(E886=E$1:E885))))))</f>
        <v/>
      </c>
      <c r="K886" s="15" t="str">
        <f aca="false">IF(OR(E886="",E886="!!!",F886="NEW"),"",INDEX(J$1:J885,SUMPRODUCT(MAX(ROW(E$1:E885)*(E886=E$1:E885)))))</f>
        <v/>
      </c>
      <c r="L886" s="16"/>
    </row>
    <row r="887" customFormat="false" ht="12.75" hidden="false" customHeight="false" outlineLevel="0" collapsed="false">
      <c r="A887" s="9" t="s">
        <v>88</v>
      </c>
      <c r="B887" s="0" t="s">
        <v>62</v>
      </c>
      <c r="C887" s="0" t="s">
        <v>103</v>
      </c>
      <c r="D887" s="0" t="s">
        <v>19</v>
      </c>
      <c r="E887" s="10" t="s">
        <v>89</v>
      </c>
      <c r="F887" s="11" t="str">
        <f aca="false">IF(OR(E887="",E887="!!!"),"",IF(NOT(ISNA(VLOOKUP(E887,E$1:E886,1,FALSE()))),"OLD",IF(AND(E887&lt;&gt;"",E887&lt;&gt;"!!!"),"NEW","")))</f>
        <v>OLD</v>
      </c>
      <c r="G887" s="12" t="s">
        <v>52</v>
      </c>
      <c r="H887" s="13" t="str">
        <f aca="false">IF(J887&lt;&gt;1,"",IF(I887="SBJ","CB","?"))</f>
        <v/>
      </c>
      <c r="I887" s="14" t="str">
        <f aca="false">IF(OR(E887="",E887="!!!",F887="NEW"),"",INDEX(B$2:B886,-1+SUMPRODUCT(MAX(ROW(E$2:E886)*(E887=E$2:E886)))))</f>
        <v>OBJ_3</v>
      </c>
      <c r="J887" s="15" t="n">
        <f aca="true">IF(OR(E887="",E887="!!!",F887="NEW"),"",COUNTBLANK(OFFSET(A$1,,,SUMPRODUCT(MAX(ROW(E$2:E887)*(E887=E$2:E887)))))-COUNTBLANK(OFFSET(A$1,,,SUMPRODUCT(MAX(ROW(E$1:E886)*(E887=E$1:E886))))))</f>
        <v>7</v>
      </c>
      <c r="K887" s="15" t="n">
        <f aca="false">IF(OR(E887="",E887="!!!",F887="NEW"),"",INDEX(J$1:J886,SUMPRODUCT(MAX(ROW(E$1:E886)*(E887=E$1:E886)))))</f>
        <v>8</v>
      </c>
      <c r="L887" s="16"/>
    </row>
    <row r="888" customFormat="false" ht="12.75" hidden="false" customHeight="false" outlineLevel="0" collapsed="false">
      <c r="A888" s="9" t="s">
        <v>28</v>
      </c>
      <c r="E888" s="10" t="str">
        <f aca="false">IF(D888="?OLD","!!!","")</f>
        <v/>
      </c>
      <c r="F888" s="11" t="str">
        <f aca="false">IF(OR(E888="",E888="!!!"),"",IF(NOT(ISNA(VLOOKUP(E888,E$1:E887,1,FALSE()))),"OLD",IF(AND(E888&lt;&gt;"",E888&lt;&gt;"!!!"),"NEW","")))</f>
        <v/>
      </c>
      <c r="G888" s="12" t="str">
        <f aca="false">IF(OR(E888="",E888="!!!"),"",IF(OR(J888=0,AND(J888=1,K888=1),AND(J888=1,I888="SBJ"),AND(J888=1,I888=0)),"?IN_FOCUS",IF(J888&lt;=2,"?ACTIVATED",IF(J888&lt;&gt;"","?FAMILIAR",IF(F888="NEW",IF(ISNA(VLOOKUP(E888,#REF!,1,FALSE())),"?TYPE_IDENTIFIABLE","?REFERENTIAL"),"_")))))</f>
        <v/>
      </c>
      <c r="H888" s="13" t="str">
        <f aca="false">IF(J888&lt;&gt;1,"",IF(I888="SBJ","CB","?"))</f>
        <v/>
      </c>
      <c r="I888" s="14" t="str">
        <f aca="false">IF(OR(E888="",E888="!!!",F888="NEW"),"",INDEX(B$2:B887,-1+SUMPRODUCT(MAX(ROW(E$2:E887)*(E888=E$2:E887)))))</f>
        <v/>
      </c>
      <c r="J888" s="15" t="str">
        <f aca="true">IF(OR(E888="",E888="!!!",F888="NEW"),"",COUNTBLANK(OFFSET(A$1,,,SUMPRODUCT(MAX(ROW(E$2:E888)*(E888=E$2:E888)))))-COUNTBLANK(OFFSET(A$1,,,SUMPRODUCT(MAX(ROW(E$1:E887)*(E888=E$1:E887))))))</f>
        <v/>
      </c>
      <c r="K888" s="15" t="str">
        <f aca="false">IF(OR(E888="",E888="!!!",F888="NEW"),"",INDEX(J$1:J887,SUMPRODUCT(MAX(ROW(E$1:E887)*(E888=E$1:E887)))))</f>
        <v/>
      </c>
      <c r="L888" s="16"/>
    </row>
    <row r="889" customFormat="false" ht="12.75" hidden="false" customHeight="false" outlineLevel="0" collapsed="false">
      <c r="A889" s="9" t="s">
        <v>362</v>
      </c>
      <c r="B889" s="0" t="s">
        <v>30</v>
      </c>
      <c r="C889" s="0" t="s">
        <v>31</v>
      </c>
      <c r="D889" s="0" t="s">
        <v>19</v>
      </c>
      <c r="E889" s="10" t="s">
        <v>327</v>
      </c>
      <c r="F889" s="11" t="str">
        <f aca="false">IF(OR(E889="",E889="!!!"),"",IF(NOT(ISNA(VLOOKUP(E889,E$1:E888,1,FALSE()))),"OLD",IF(AND(E889&lt;&gt;"",E889&lt;&gt;"!!!"),"NEW","")))</f>
        <v>OLD</v>
      </c>
      <c r="G889" s="12" t="s">
        <v>65</v>
      </c>
      <c r="H889" s="13" t="str">
        <f aca="false">IF(J889&lt;&gt;1,"",IF(I889="SBJ","CB","?"))</f>
        <v/>
      </c>
      <c r="I889" s="14" t="str">
        <f aca="false">IF(OR(E889="",E889="!!!",F889="NEW"),"",INDEX(B$2:B888,-1+SUMPRODUCT(MAX(ROW(E$2:E888)*(E889=E$2:E888)))))</f>
        <v>other_2</v>
      </c>
      <c r="J889" s="15" t="n">
        <f aca="true">IF(OR(E889="",E889="!!!",F889="NEW"),"",COUNTBLANK(OFFSET(A$1,,,SUMPRODUCT(MAX(ROW(E$2:E889)*(E889=E$2:E889)))))-COUNTBLANK(OFFSET(A$1,,,SUMPRODUCT(MAX(ROW(E$1:E888)*(E889=E$1:E888))))))</f>
        <v>0</v>
      </c>
      <c r="K889" s="15" t="n">
        <f aca="false">IF(OR(E889="",E889="!!!",F889="NEW"),"",INDEX(J$1:J888,SUMPRODUCT(MAX(ROW(E$1:E888)*(E889=E$1:E888)))))</f>
        <v>1</v>
      </c>
      <c r="L889" s="16"/>
    </row>
    <row r="890" customFormat="false" ht="12.75" hidden="false" customHeight="false" outlineLevel="0" collapsed="false">
      <c r="A890" s="9" t="s">
        <v>244</v>
      </c>
      <c r="E890" s="10" t="str">
        <f aca="false">IF(D890="?OLD","!!!","")</f>
        <v/>
      </c>
      <c r="F890" s="11" t="str">
        <f aca="false">IF(OR(E890="",E890="!!!"),"",IF(NOT(ISNA(VLOOKUP(E890,E$1:E889,1,FALSE()))),"OLD",IF(AND(E890&lt;&gt;"",E890&lt;&gt;"!!!"),"NEW","")))</f>
        <v/>
      </c>
      <c r="G890" s="12" t="str">
        <f aca="false">IF(OR(E890="",E890="!!!"),"",IF(OR(J890=0,AND(J890=1,K890=1),AND(J890=1,I890="SBJ"),AND(J890=1,I890=0)),"?IN_FOCUS",IF(J890&lt;=2,"?ACTIVATED",IF(J890&lt;&gt;"","?FAMILIAR",IF(F890="NEW",IF(ISNA(VLOOKUP(E890,#REF!,1,FALSE())),"?TYPE_IDENTIFIABLE","?REFERENTIAL"),"_")))))</f>
        <v/>
      </c>
      <c r="H890" s="13" t="str">
        <f aca="false">IF(J890&lt;&gt;1,"",IF(I890="SBJ","CB","?"))</f>
        <v/>
      </c>
      <c r="I890" s="14" t="str">
        <f aca="false">IF(OR(E890="",E890="!!!",F890="NEW"),"",INDEX(B$2:B889,-1+SUMPRODUCT(MAX(ROW(E$2:E889)*(E890=E$2:E889)))))</f>
        <v/>
      </c>
      <c r="J890" s="15" t="str">
        <f aca="true">IF(OR(E890="",E890="!!!",F890="NEW"),"",COUNTBLANK(OFFSET(A$1,,,SUMPRODUCT(MAX(ROW(E$2:E890)*(E890=E$2:E890)))))-COUNTBLANK(OFFSET(A$1,,,SUMPRODUCT(MAX(ROW(E$1:E889)*(E890=E$1:E889))))))</f>
        <v/>
      </c>
      <c r="K890" s="15" t="str">
        <f aca="false">IF(OR(E890="",E890="!!!",F890="NEW"),"",INDEX(J$1:J889,SUMPRODUCT(MAX(ROW(E$1:E889)*(E890=E$1:E889)))))</f>
        <v/>
      </c>
      <c r="L890" s="16"/>
    </row>
    <row r="891" customFormat="false" ht="12.75" hidden="false" customHeight="false" outlineLevel="0" collapsed="false">
      <c r="A891" s="9" t="s">
        <v>457</v>
      </c>
      <c r="E891" s="10" t="str">
        <f aca="false">IF(D891="?OLD","!!!","")</f>
        <v/>
      </c>
      <c r="F891" s="11" t="str">
        <f aca="false">IF(OR(E891="",E891="!!!"),"",IF(NOT(ISNA(VLOOKUP(E891,E$1:E890,1,FALSE()))),"OLD",IF(AND(E891&lt;&gt;"",E891&lt;&gt;"!!!"),"NEW","")))</f>
        <v/>
      </c>
      <c r="G891" s="12" t="str">
        <f aca="false">IF(OR(E891="",E891="!!!"),"",IF(OR(J891=0,AND(J891=1,K891=1),AND(J891=1,I891="SBJ"),AND(J891=1,I891=0)),"?IN_FOCUS",IF(J891&lt;=2,"?ACTIVATED",IF(J891&lt;&gt;"","?FAMILIAR",IF(F891="NEW",IF(ISNA(VLOOKUP(E891,#REF!,1,FALSE())),"?TYPE_IDENTIFIABLE","?REFERENTIAL"),"_")))))</f>
        <v/>
      </c>
      <c r="H891" s="13" t="str">
        <f aca="false">IF(J891&lt;&gt;1,"",IF(I891="SBJ","CB","?"))</f>
        <v/>
      </c>
      <c r="I891" s="14" t="str">
        <f aca="false">IF(OR(E891="",E891="!!!",F891="NEW"),"",INDEX(B$2:B890,-1+SUMPRODUCT(MAX(ROW(E$2:E890)*(E891=E$2:E890)))))</f>
        <v/>
      </c>
      <c r="J891" s="15" t="str">
        <f aca="true">IF(OR(E891="",E891="!!!",F891="NEW"),"",COUNTBLANK(OFFSET(A$1,,,SUMPRODUCT(MAX(ROW(E$2:E891)*(E891=E$2:E891)))))-COUNTBLANK(OFFSET(A$1,,,SUMPRODUCT(MAX(ROW(E$1:E890)*(E891=E$1:E890))))))</f>
        <v/>
      </c>
      <c r="K891" s="15" t="str">
        <f aca="false">IF(OR(E891="",E891="!!!",F891="NEW"),"",INDEX(J$1:J890,SUMPRODUCT(MAX(ROW(E$1:E890)*(E891=E$1:E890)))))</f>
        <v/>
      </c>
      <c r="L891" s="16"/>
    </row>
    <row r="892" customFormat="false" ht="12.75" hidden="false" customHeight="false" outlineLevel="0" collapsed="false">
      <c r="A892" s="9" t="s">
        <v>213</v>
      </c>
      <c r="E892" s="10" t="str">
        <f aca="false">IF(D892="?OLD","!!!","")</f>
        <v/>
      </c>
      <c r="F892" s="11" t="str">
        <f aca="false">IF(OR(E892="",E892="!!!"),"",IF(NOT(ISNA(VLOOKUP(E892,E$1:E891,1,FALSE()))),"OLD",IF(AND(E892&lt;&gt;"",E892&lt;&gt;"!!!"),"NEW","")))</f>
        <v/>
      </c>
      <c r="G892" s="12" t="str">
        <f aca="false">IF(OR(E892="",E892="!!!"),"",IF(OR(J892=0,AND(J892=1,K892=1),AND(J892=1,I892="SBJ"),AND(J892=1,I892=0)),"?IN_FOCUS",IF(J892&lt;=2,"?ACTIVATED",IF(J892&lt;&gt;"","?FAMILIAR",IF(F892="NEW",IF(ISNA(VLOOKUP(E892,#REF!,1,FALSE())),"?TYPE_IDENTIFIABLE","?REFERENTIAL"),"_")))))</f>
        <v/>
      </c>
      <c r="H892" s="13" t="str">
        <f aca="false">IF(J892&lt;&gt;1,"",IF(I892="SBJ","CB","?"))</f>
        <v/>
      </c>
      <c r="I892" s="14" t="str">
        <f aca="false">IF(OR(E892="",E892="!!!",F892="NEW"),"",INDEX(B$2:B891,-1+SUMPRODUCT(MAX(ROW(E$2:E891)*(E892=E$2:E891)))))</f>
        <v/>
      </c>
      <c r="J892" s="15" t="str">
        <f aca="true">IF(OR(E892="",E892="!!!",F892="NEW"),"",COUNTBLANK(OFFSET(A$1,,,SUMPRODUCT(MAX(ROW(E$2:E892)*(E892=E$2:E892)))))-COUNTBLANK(OFFSET(A$1,,,SUMPRODUCT(MAX(ROW(E$1:E891)*(E892=E$1:E891))))))</f>
        <v/>
      </c>
      <c r="K892" s="15" t="str">
        <f aca="false">IF(OR(E892="",E892="!!!",F892="NEW"),"",INDEX(J$1:J891,SUMPRODUCT(MAX(ROW(E$1:E891)*(E892=E$1:E891)))))</f>
        <v/>
      </c>
      <c r="L892" s="16"/>
    </row>
    <row r="893" customFormat="false" ht="12.75" hidden="false" customHeight="false" outlineLevel="0" collapsed="false">
      <c r="A893" s="9" t="s">
        <v>113</v>
      </c>
      <c r="B893" s="0" t="s">
        <v>40</v>
      </c>
      <c r="C893" s="0" t="s">
        <v>194</v>
      </c>
      <c r="D893" s="0" t="s">
        <v>19</v>
      </c>
      <c r="E893" s="10"/>
      <c r="F893" s="11" t="s">
        <v>224</v>
      </c>
      <c r="G893" s="12" t="str">
        <f aca="false">IF(OR(E893="",E893="!!!"),"",IF(OR(J893=0,AND(J893=1,K893=1),AND(J893=1,I893="SBJ"),AND(J893=1,I893=0)),"?IN_FOCUS",IF(J893&lt;=2,"?ACTIVATED",IF(J893&lt;&gt;"","?FAMILIAR",IF(F893="NEW",IF(ISNA(VLOOKUP(E893,#REF!,1,FALSE())),"?TYPE_IDENTIFIABLE","?REFERENTIAL"),"_")))))</f>
        <v/>
      </c>
      <c r="H893" s="13" t="str">
        <f aca="false">IF(J893&lt;&gt;1,"",IF(I893="SBJ","CB","?"))</f>
        <v/>
      </c>
      <c r="I893" s="14" t="str">
        <f aca="false">IF(OR(E893="",E893="!!!",F893="NEW"),"",INDEX(B$2:B892,-1+SUMPRODUCT(MAX(ROW(E$2:E892)*(E893=E$2:E892)))))</f>
        <v/>
      </c>
      <c r="J893" s="15" t="str">
        <f aca="true">IF(OR(E893="",E893="!!!",F893="NEW"),"",COUNTBLANK(OFFSET(A$1,,,SUMPRODUCT(MAX(ROW(E$2:E893)*(E893=E$2:E893)))))-COUNTBLANK(OFFSET(A$1,,,SUMPRODUCT(MAX(ROW(E$1:E892)*(E893=E$1:E892))))))</f>
        <v/>
      </c>
      <c r="K893" s="15" t="str">
        <f aca="false">IF(OR(E893="",E893="!!!",F893="NEW"),"",INDEX(J$1:J892,SUMPRODUCT(MAX(ROW(E$1:E892)*(E893=E$1:E892)))))</f>
        <v/>
      </c>
      <c r="L893" s="16"/>
    </row>
    <row r="894" customFormat="false" ht="12.75" hidden="false" customHeight="false" outlineLevel="0" collapsed="false">
      <c r="A894" s="9" t="s">
        <v>28</v>
      </c>
      <c r="E894" s="10" t="str">
        <f aca="false">IF(D894="?OLD","!!!","")</f>
        <v/>
      </c>
      <c r="F894" s="11" t="str">
        <f aca="false">IF(OR(E894="",E894="!!!"),"",IF(NOT(ISNA(VLOOKUP(E894,E$1:E893,1,FALSE()))),"OLD",IF(AND(E894&lt;&gt;"",E894&lt;&gt;"!!!"),"NEW","")))</f>
        <v/>
      </c>
      <c r="G894" s="12" t="str">
        <f aca="false">IF(OR(E894="",E894="!!!"),"",IF(OR(J894=0,AND(J894=1,K894=1),AND(J894=1,I894="SBJ"),AND(J894=1,I894=0)),"?IN_FOCUS",IF(J894&lt;=2,"?ACTIVATED",IF(J894&lt;&gt;"","?FAMILIAR",IF(F894="NEW",IF(ISNA(VLOOKUP(E894,#REF!,1,FALSE())),"?TYPE_IDENTIFIABLE","?REFERENTIAL"),"_")))))</f>
        <v/>
      </c>
      <c r="H894" s="13" t="str">
        <f aca="false">IF(J894&lt;&gt;1,"",IF(I894="SBJ","CB","?"))</f>
        <v/>
      </c>
      <c r="I894" s="14" t="str">
        <f aca="false">IF(OR(E894="",E894="!!!",F894="NEW"),"",INDEX(B$2:B893,-1+SUMPRODUCT(MAX(ROW(E$2:E893)*(E894=E$2:E893)))))</f>
        <v/>
      </c>
      <c r="J894" s="15" t="str">
        <f aca="true">IF(OR(E894="",E894="!!!",F894="NEW"),"",COUNTBLANK(OFFSET(A$1,,,SUMPRODUCT(MAX(ROW(E$2:E894)*(E894=E$2:E894)))))-COUNTBLANK(OFFSET(A$1,,,SUMPRODUCT(MAX(ROW(E$1:E893)*(E894=E$1:E893))))))</f>
        <v/>
      </c>
      <c r="K894" s="15" t="str">
        <f aca="false">IF(OR(E894="",E894="!!!",F894="NEW"),"",INDEX(J$1:J893,SUMPRODUCT(MAX(ROW(E$1:E893)*(E894=E$1:E893)))))</f>
        <v/>
      </c>
      <c r="L894" s="16"/>
    </row>
    <row r="895" customFormat="false" ht="12.75" hidden="false" customHeight="false" outlineLevel="0" collapsed="false">
      <c r="A895" s="9" t="s">
        <v>332</v>
      </c>
      <c r="B895" s="0" t="s">
        <v>96</v>
      </c>
      <c r="E895" s="10" t="str">
        <f aca="false">IF(D895="?OLD","!!!","")</f>
        <v/>
      </c>
      <c r="F895" s="11" t="str">
        <f aca="false">IF(OR(E895="",E895="!!!"),"",IF(NOT(ISNA(VLOOKUP(E895,E$1:E894,1,FALSE()))),"OLD",IF(AND(E895&lt;&gt;"",E895&lt;&gt;"!!!"),"NEW","")))</f>
        <v/>
      </c>
      <c r="G895" s="12" t="str">
        <f aca="false">IF(OR(E895="",E895="!!!"),"",IF(OR(J895=0,AND(J895=1,K895=1),AND(J895=1,I895="SBJ"),AND(J895=1,I895=0)),"?IN_FOCUS",IF(J895&lt;=2,"?ACTIVATED",IF(J895&lt;&gt;"","?FAMILIAR",IF(F895="NEW",IF(ISNA(VLOOKUP(E895,#REF!,1,FALSE())),"?TYPE_IDENTIFIABLE","?REFERENTIAL"),"_")))))</f>
        <v/>
      </c>
      <c r="H895" s="13" t="str">
        <f aca="false">IF(J895&lt;&gt;1,"",IF(I895="SBJ","CB","?"))</f>
        <v/>
      </c>
      <c r="I895" s="14" t="str">
        <f aca="false">IF(OR(E895="",E895="!!!",F895="NEW"),"",INDEX(B$2:B894,-1+SUMPRODUCT(MAX(ROW(E$2:E894)*(E895=E$2:E894)))))</f>
        <v/>
      </c>
      <c r="J895" s="15" t="str">
        <f aca="true">IF(OR(E895="",E895="!!!",F895="NEW"),"",COUNTBLANK(OFFSET(A$1,,,SUMPRODUCT(MAX(ROW(E$2:E895)*(E895=E$2:E895)))))-COUNTBLANK(OFFSET(A$1,,,SUMPRODUCT(MAX(ROW(E$1:E894)*(E895=E$1:E894))))))</f>
        <v/>
      </c>
      <c r="K895" s="15" t="str">
        <f aca="false">IF(OR(E895="",E895="!!!",F895="NEW"),"",INDEX(J$1:J894,SUMPRODUCT(MAX(ROW(E$1:E894)*(E895=E$1:E894)))))</f>
        <v/>
      </c>
      <c r="L895" s="16"/>
    </row>
    <row r="896" customFormat="false" ht="12.75" hidden="false" customHeight="false" outlineLevel="0" collapsed="false">
      <c r="A896" s="9" t="s">
        <v>216</v>
      </c>
      <c r="B896" s="0" t="s">
        <v>94</v>
      </c>
      <c r="C896" s="0" t="s">
        <v>31</v>
      </c>
      <c r="D896" s="0" t="s">
        <v>19</v>
      </c>
      <c r="E896" s="10" t="s">
        <v>32</v>
      </c>
      <c r="F896" s="11" t="str">
        <f aca="false">IF(OR(E896="",E896="!!!"),"",IF(NOT(ISNA(VLOOKUP(E896,E$1:E895,1,FALSE()))),"OLD",IF(AND(E896&lt;&gt;"",E896&lt;&gt;"!!!"),"NEW","")))</f>
        <v>OLD</v>
      </c>
      <c r="G896" s="12" t="s">
        <v>33</v>
      </c>
      <c r="H896" s="13"/>
      <c r="I896" s="14" t="str">
        <f aca="false">IF(OR(E896="",E896="!!!",F896="NEW"),"",INDEX(B$2:B895,-1+SUMPRODUCT(MAX(ROW(E$2:E895)*(E896=E$2:E895)))))</f>
        <v>SBJ_2</v>
      </c>
      <c r="J896" s="15" t="n">
        <f aca="true">IF(OR(E896="",E896="!!!",F896="NEW"),"",COUNTBLANK(OFFSET(A$1,,,SUMPRODUCT(MAX(ROW(E$2:E896)*(E896=E$2:E896)))))-COUNTBLANK(OFFSET(A$1,,,SUMPRODUCT(MAX(ROW(E$1:E895)*(E896=E$1:E895))))))</f>
        <v>1</v>
      </c>
      <c r="K896" s="15" t="n">
        <f aca="false">IF(OR(E896="",E896="!!!",F896="NEW"),"",INDEX(J$1:J895,SUMPRODUCT(MAX(ROW(E$1:E895)*(E896=E$1:E895)))))</f>
        <v>2</v>
      </c>
      <c r="L896" s="16"/>
    </row>
    <row r="897" customFormat="false" ht="12.75" hidden="false" customHeight="false" outlineLevel="0" collapsed="false">
      <c r="A897" s="9" t="s">
        <v>458</v>
      </c>
      <c r="E897" s="10" t="str">
        <f aca="false">IF(D897="?OLD","!!!","")</f>
        <v/>
      </c>
      <c r="F897" s="11" t="str">
        <f aca="false">IF(OR(E897="",E897="!!!"),"",IF(NOT(ISNA(VLOOKUP(E897,E$1:E896,1,FALSE()))),"OLD",IF(AND(E897&lt;&gt;"",E897&lt;&gt;"!!!"),"NEW","")))</f>
        <v/>
      </c>
      <c r="G897" s="12" t="str">
        <f aca="false">IF(OR(E897="",E897="!!!"),"",IF(OR(J897=0,AND(J897=1,K897=1),AND(J897=1,I897="SBJ"),AND(J897=1,I897=0)),"?IN_FOCUS",IF(J897&lt;=2,"?ACTIVATED",IF(J897&lt;&gt;"","?FAMILIAR",IF(F897="NEW",IF(ISNA(VLOOKUP(E897,#REF!,1,FALSE())),"?TYPE_IDENTIFIABLE","?REFERENTIAL"),"_")))))</f>
        <v/>
      </c>
      <c r="H897" s="13" t="str">
        <f aca="false">IF(J897&lt;&gt;1,"",IF(I897="SBJ","CB","?"))</f>
        <v/>
      </c>
      <c r="I897" s="14" t="str">
        <f aca="false">IF(OR(E897="",E897="!!!",F897="NEW"),"",INDEX(B$2:B896,-1+SUMPRODUCT(MAX(ROW(E$2:E896)*(E897=E$2:E896)))))</f>
        <v/>
      </c>
      <c r="J897" s="15" t="str">
        <f aca="true">IF(OR(E897="",E897="!!!",F897="NEW"),"",COUNTBLANK(OFFSET(A$1,,,SUMPRODUCT(MAX(ROW(E$2:E897)*(E897=E$2:E897)))))-COUNTBLANK(OFFSET(A$1,,,SUMPRODUCT(MAX(ROW(E$1:E896)*(E897=E$1:E896))))))</f>
        <v/>
      </c>
      <c r="K897" s="15" t="str">
        <f aca="false">IF(OR(E897="",E897="!!!",F897="NEW"),"",INDEX(J$1:J896,SUMPRODUCT(MAX(ROW(E$1:E896)*(E897=E$1:E896)))))</f>
        <v/>
      </c>
      <c r="L897" s="16"/>
    </row>
    <row r="898" customFormat="false" ht="12.75" hidden="false" customHeight="false" outlineLevel="0" collapsed="false">
      <c r="A898" s="9" t="s">
        <v>273</v>
      </c>
      <c r="E898" s="10" t="str">
        <f aca="false">IF(D898="?OLD","!!!","")</f>
        <v/>
      </c>
      <c r="F898" s="11" t="str">
        <f aca="false">IF(OR(E898="",E898="!!!"),"",IF(NOT(ISNA(VLOOKUP(E898,E$1:E897,1,FALSE()))),"OLD",IF(AND(E898&lt;&gt;"",E898&lt;&gt;"!!!"),"NEW","")))</f>
        <v/>
      </c>
      <c r="G898" s="12" t="str">
        <f aca="false">IF(OR(E898="",E898="!!!"),"",IF(OR(J898=0,AND(J898=1,K898=1),AND(J898=1,I898="SBJ"),AND(J898=1,I898=0)),"?IN_FOCUS",IF(J898&lt;=2,"?ACTIVATED",IF(J898&lt;&gt;"","?FAMILIAR",IF(F898="NEW",IF(ISNA(VLOOKUP(E898,#REF!,1,FALSE())),"?TYPE_IDENTIFIABLE","?REFERENTIAL"),"_")))))</f>
        <v/>
      </c>
      <c r="H898" s="13" t="str">
        <f aca="false">IF(J898&lt;&gt;1,"",IF(I898="SBJ","CB","?"))</f>
        <v/>
      </c>
      <c r="I898" s="14" t="str">
        <f aca="false">IF(OR(E898="",E898="!!!",F898="NEW"),"",INDEX(B$2:B897,-1+SUMPRODUCT(MAX(ROW(E$2:E897)*(E898=E$2:E897)))))</f>
        <v/>
      </c>
      <c r="J898" s="15" t="str">
        <f aca="true">IF(OR(E898="",E898="!!!",F898="NEW"),"",COUNTBLANK(OFFSET(A$1,,,SUMPRODUCT(MAX(ROW(E$2:E898)*(E898=E$2:E898)))))-COUNTBLANK(OFFSET(A$1,,,SUMPRODUCT(MAX(ROW(E$1:E897)*(E898=E$1:E897))))))</f>
        <v/>
      </c>
      <c r="K898" s="15" t="str">
        <f aca="false">IF(OR(E898="",E898="!!!",F898="NEW"),"",INDEX(J$1:J897,SUMPRODUCT(MAX(ROW(E$1:E897)*(E898=E$1:E897)))))</f>
        <v/>
      </c>
      <c r="L898" s="16"/>
    </row>
    <row r="899" customFormat="false" ht="12.75" hidden="false" customHeight="false" outlineLevel="0" collapsed="false">
      <c r="A899" s="9" t="s">
        <v>63</v>
      </c>
      <c r="E899" s="10" t="str">
        <f aca="false">IF(D899="?OLD","!!!","")</f>
        <v/>
      </c>
      <c r="F899" s="11" t="str">
        <f aca="false">IF(OR(E899="",E899="!!!"),"",IF(NOT(ISNA(VLOOKUP(E899,E$1:E898,1,FALSE()))),"OLD",IF(AND(E899&lt;&gt;"",E899&lt;&gt;"!!!"),"NEW","")))</f>
        <v/>
      </c>
      <c r="G899" s="12" t="str">
        <f aca="false">IF(OR(E899="",E899="!!!"),"",IF(OR(J899=0,AND(J899=1,K899=1),AND(J899=1,I899="SBJ"),AND(J899=1,I899=0)),"?IN_FOCUS",IF(J899&lt;=2,"?ACTIVATED",IF(J899&lt;&gt;"","?FAMILIAR",IF(F899="NEW",IF(ISNA(VLOOKUP(E899,#REF!,1,FALSE())),"?TYPE_IDENTIFIABLE","?REFERENTIAL"),"_")))))</f>
        <v/>
      </c>
      <c r="H899" s="13" t="str">
        <f aca="false">IF(J899&lt;&gt;1,"",IF(I899="SBJ","CB","?"))</f>
        <v/>
      </c>
      <c r="I899" s="14" t="str">
        <f aca="false">IF(OR(E899="",E899="!!!",F899="NEW"),"",INDEX(B$2:B898,-1+SUMPRODUCT(MAX(ROW(E$2:E898)*(E899=E$2:E898)))))</f>
        <v/>
      </c>
      <c r="J899" s="15" t="str">
        <f aca="true">IF(OR(E899="",E899="!!!",F899="NEW"),"",COUNTBLANK(OFFSET(A$1,,,SUMPRODUCT(MAX(ROW(E$2:E899)*(E899=E$2:E899)))))-COUNTBLANK(OFFSET(A$1,,,SUMPRODUCT(MAX(ROW(E$1:E898)*(E899=E$1:E898))))))</f>
        <v/>
      </c>
      <c r="K899" s="15" t="str">
        <f aca="false">IF(OR(E899="",E899="!!!",F899="NEW"),"",INDEX(J$1:J898,SUMPRODUCT(MAX(ROW(E$1:E898)*(E899=E$1:E898)))))</f>
        <v/>
      </c>
      <c r="L899" s="16"/>
    </row>
    <row r="900" customFormat="false" ht="12.75" hidden="false" customHeight="false" outlineLevel="0" collapsed="false">
      <c r="A900" s="9" t="s">
        <v>151</v>
      </c>
      <c r="E900" s="10" t="str">
        <f aca="false">IF(D900="?OLD","!!!","")</f>
        <v/>
      </c>
      <c r="F900" s="11" t="str">
        <f aca="false">IF(OR(E900="",E900="!!!"),"",IF(NOT(ISNA(VLOOKUP(E900,E$1:E899,1,FALSE()))),"OLD",IF(AND(E900&lt;&gt;"",E900&lt;&gt;"!!!"),"NEW","")))</f>
        <v/>
      </c>
      <c r="G900" s="12" t="str">
        <f aca="false">IF(OR(E900="",E900="!!!"),"",IF(OR(J900=0,AND(J900=1,K900=1),AND(J900=1,I900="SBJ"),AND(J900=1,I900=0)),"?IN_FOCUS",IF(J900&lt;=2,"?ACTIVATED",IF(J900&lt;&gt;"","?FAMILIAR",IF(F900="NEW",IF(ISNA(VLOOKUP(E900,#REF!,1,FALSE())),"?TYPE_IDENTIFIABLE","?REFERENTIAL"),"_")))))</f>
        <v/>
      </c>
      <c r="H900" s="13" t="str">
        <f aca="false">IF(J900&lt;&gt;1,"",IF(I900="SBJ","CB","?"))</f>
        <v/>
      </c>
      <c r="I900" s="14" t="str">
        <f aca="false">IF(OR(E900="",E900="!!!",F900="NEW"),"",INDEX(B$2:B899,-1+SUMPRODUCT(MAX(ROW(E$2:E899)*(E900=E$2:E899)))))</f>
        <v/>
      </c>
      <c r="J900" s="15" t="str">
        <f aca="true">IF(OR(E900="",E900="!!!",F900="NEW"),"",COUNTBLANK(OFFSET(A$1,,,SUMPRODUCT(MAX(ROW(E$2:E900)*(E900=E$2:E900)))))-COUNTBLANK(OFFSET(A$1,,,SUMPRODUCT(MAX(ROW(E$1:E899)*(E900=E$1:E899))))))</f>
        <v/>
      </c>
      <c r="K900" s="15" t="str">
        <f aca="false">IF(OR(E900="",E900="!!!",F900="NEW"),"",INDEX(J$1:J899,SUMPRODUCT(MAX(ROW(E$1:E899)*(E900=E$1:E899)))))</f>
        <v/>
      </c>
      <c r="L900" s="16"/>
    </row>
    <row r="901" customFormat="false" ht="12.75" hidden="false" customHeight="false" outlineLevel="0" collapsed="false">
      <c r="A901" s="9" t="s">
        <v>44</v>
      </c>
      <c r="E901" s="10" t="str">
        <f aca="false">IF(D901="?OLD","!!!","")</f>
        <v/>
      </c>
      <c r="F901" s="11" t="str">
        <f aca="false">IF(OR(E901="",E901="!!!"),"",IF(NOT(ISNA(VLOOKUP(E901,E$1:E900,1,FALSE()))),"OLD",IF(AND(E901&lt;&gt;"",E901&lt;&gt;"!!!"),"NEW","")))</f>
        <v/>
      </c>
      <c r="G901" s="12" t="str">
        <f aca="false">IF(OR(E901="",E901="!!!"),"",IF(OR(J901=0,AND(J901=1,K901=1),AND(J901=1,I901="SBJ"),AND(J901=1,I901=0)),"?IN_FOCUS",IF(J901&lt;=2,"?ACTIVATED",IF(J901&lt;&gt;"","?FAMILIAR",IF(F901="NEW",IF(ISNA(VLOOKUP(E901,#REF!,1,FALSE())),"?TYPE_IDENTIFIABLE","?REFERENTIAL"),"_")))))</f>
        <v/>
      </c>
      <c r="H901" s="13" t="str">
        <f aca="false">IF(J901&lt;&gt;1,"",IF(I901="SBJ","CB","?"))</f>
        <v/>
      </c>
      <c r="I901" s="14" t="str">
        <f aca="false">IF(OR(E901="",E901="!!!",F901="NEW"),"",INDEX(B$2:B900,-1+SUMPRODUCT(MAX(ROW(E$2:E900)*(E901=E$2:E900)))))</f>
        <v/>
      </c>
      <c r="J901" s="15" t="str">
        <f aca="true">IF(OR(E901="",E901="!!!",F901="NEW"),"",COUNTBLANK(OFFSET(A$1,,,SUMPRODUCT(MAX(ROW(E$2:E901)*(E901=E$2:E901)))))-COUNTBLANK(OFFSET(A$1,,,SUMPRODUCT(MAX(ROW(E$1:E900)*(E901=E$1:E900))))))</f>
        <v/>
      </c>
      <c r="K901" s="15" t="str">
        <f aca="false">IF(OR(E901="",E901="!!!",F901="NEW"),"",INDEX(J$1:J900,SUMPRODUCT(MAX(ROW(E$1:E900)*(E901=E$1:E900)))))</f>
        <v/>
      </c>
      <c r="L901" s="16"/>
    </row>
    <row r="902" customFormat="false" ht="12.75" hidden="false" customHeight="false" outlineLevel="0" collapsed="false">
      <c r="E902" s="10" t="str">
        <f aca="false">IF(D902="?OLD","!!!","")</f>
        <v/>
      </c>
      <c r="F902" s="11" t="str">
        <f aca="false">IF(OR(E902="",E902="!!!"),"",IF(NOT(ISNA(VLOOKUP(E902,E$1:E901,1,FALSE()))),"OLD",IF(AND(E902&lt;&gt;"",E902&lt;&gt;"!!!"),"NEW","")))</f>
        <v/>
      </c>
      <c r="G902" s="12" t="str">
        <f aca="false">IF(OR(E902="",E902="!!!"),"",IF(OR(J902=0,AND(J902=1,K902=1),AND(J902=1,I902="SBJ"),AND(J902=1,I902=0)),"?IN_FOCUS",IF(J902&lt;=2,"?ACTIVATED",IF(J902&lt;&gt;"","?FAMILIAR",IF(F902="NEW",IF(ISNA(VLOOKUP(E902,#REF!,1,FALSE())),"?TYPE_IDENTIFIABLE","?REFERENTIAL"),"_")))))</f>
        <v/>
      </c>
      <c r="H902" s="13" t="str">
        <f aca="false">IF(J902&lt;&gt;1,"",IF(I902="SBJ","CB","?"))</f>
        <v/>
      </c>
      <c r="I902" s="14" t="str">
        <f aca="false">IF(OR(E902="",E902="!!!",F902="NEW"),"",INDEX(B$2:B901,-1+SUMPRODUCT(MAX(ROW(E$2:E901)*(E902=E$2:E901)))))</f>
        <v/>
      </c>
      <c r="J902" s="15" t="str">
        <f aca="true">IF(OR(E902="",E902="!!!",F902="NEW"),"",COUNTBLANK(OFFSET(A$1,,,SUMPRODUCT(MAX(ROW(E$2:E902)*(E902=E$2:E902)))))-COUNTBLANK(OFFSET(A$1,,,SUMPRODUCT(MAX(ROW(E$1:E901)*(E902=E$1:E901))))))</f>
        <v/>
      </c>
      <c r="K902" s="15" t="str">
        <f aca="false">IF(OR(E902="",E902="!!!",F902="NEW"),"",INDEX(J$1:J901,SUMPRODUCT(MAX(ROW(E$1:E901)*(E902=E$1:E901)))))</f>
        <v/>
      </c>
      <c r="L902" s="16"/>
    </row>
    <row r="903" customFormat="false" ht="12.75" hidden="false" customHeight="false" outlineLevel="0" collapsed="false">
      <c r="A903" s="9" t="s">
        <v>132</v>
      </c>
      <c r="E903" s="10" t="str">
        <f aca="false">IF(D903="?OLD","!!!","")</f>
        <v/>
      </c>
      <c r="F903" s="11" t="str">
        <f aca="false">IF(OR(E903="",E903="!!!"),"",IF(NOT(ISNA(VLOOKUP(E903,E$1:E902,1,FALSE()))),"OLD",IF(AND(E903&lt;&gt;"",E903&lt;&gt;"!!!"),"NEW","")))</f>
        <v/>
      </c>
      <c r="G903" s="12" t="str">
        <f aca="false">IF(OR(E903="",E903="!!!"),"",IF(OR(J903=0,AND(J903=1,K903=1),AND(J903=1,I903="SBJ"),AND(J903=1,I903=0)),"?IN_FOCUS",IF(J903&lt;=2,"?ACTIVATED",IF(J903&lt;&gt;"","?FAMILIAR",IF(F903="NEW",IF(ISNA(VLOOKUP(E903,#REF!,1,FALSE())),"?TYPE_IDENTIFIABLE","?REFERENTIAL"),"_")))))</f>
        <v/>
      </c>
      <c r="H903" s="13" t="str">
        <f aca="false">IF(J903&lt;&gt;1,"",IF(I903="SBJ","CB","?"))</f>
        <v/>
      </c>
      <c r="I903" s="14" t="str">
        <f aca="false">IF(OR(E903="",E903="!!!",F903="NEW"),"",INDEX(B$2:B902,-1+SUMPRODUCT(MAX(ROW(E$2:E902)*(E903=E$2:E902)))))</f>
        <v/>
      </c>
      <c r="J903" s="15" t="str">
        <f aca="true">IF(OR(E903="",E903="!!!",F903="NEW"),"",COUNTBLANK(OFFSET(A$1,,,SUMPRODUCT(MAX(ROW(E$2:E903)*(E903=E$2:E903)))))-COUNTBLANK(OFFSET(A$1,,,SUMPRODUCT(MAX(ROW(E$1:E902)*(E903=E$1:E902))))))</f>
        <v/>
      </c>
      <c r="K903" s="15" t="str">
        <f aca="false">IF(OR(E903="",E903="!!!",F903="NEW"),"",INDEX(J$1:J902,SUMPRODUCT(MAX(ROW(E$1:E902)*(E903=E$1:E902)))))</f>
        <v/>
      </c>
      <c r="L903" s="16"/>
    </row>
    <row r="904" customFormat="false" ht="12.75" hidden="false" customHeight="false" outlineLevel="0" collapsed="false">
      <c r="A904" s="9" t="s">
        <v>459</v>
      </c>
      <c r="E904" s="10" t="str">
        <f aca="false">IF(D904="?OLD","!!!","")</f>
        <v/>
      </c>
      <c r="F904" s="11" t="str">
        <f aca="false">IF(OR(E904="",E904="!!!"),"",IF(NOT(ISNA(VLOOKUP(E904,E$1:E903,1,FALSE()))),"OLD",IF(AND(E904&lt;&gt;"",E904&lt;&gt;"!!!"),"NEW","")))</f>
        <v/>
      </c>
      <c r="G904" s="12" t="str">
        <f aca="false">IF(OR(E904="",E904="!!!"),"",IF(OR(J904=0,AND(J904=1,K904=1),AND(J904=1,I904="SBJ"),AND(J904=1,I904=0)),"?IN_FOCUS",IF(J904&lt;=2,"?ACTIVATED",IF(J904&lt;&gt;"","?FAMILIAR",IF(F904="NEW",IF(ISNA(VLOOKUP(E904,#REF!,1,FALSE())),"?TYPE_IDENTIFIABLE","?REFERENTIAL"),"_")))))</f>
        <v/>
      </c>
      <c r="H904" s="13" t="str">
        <f aca="false">IF(J904&lt;&gt;1,"",IF(I904="SBJ","CB","?"))</f>
        <v/>
      </c>
      <c r="I904" s="14" t="str">
        <f aca="false">IF(OR(E904="",E904="!!!",F904="NEW"),"",INDEX(B$2:B903,-1+SUMPRODUCT(MAX(ROW(E$2:E903)*(E904=E$2:E903)))))</f>
        <v/>
      </c>
      <c r="J904" s="15" t="str">
        <f aca="true">IF(OR(E904="",E904="!!!",F904="NEW"),"",COUNTBLANK(OFFSET(A$1,,,SUMPRODUCT(MAX(ROW(E$2:E904)*(E904=E$2:E904)))))-COUNTBLANK(OFFSET(A$1,,,SUMPRODUCT(MAX(ROW(E$1:E903)*(E904=E$1:E903))))))</f>
        <v/>
      </c>
      <c r="K904" s="15" t="str">
        <f aca="false">IF(OR(E904="",E904="!!!",F904="NEW"),"",INDEX(J$1:J903,SUMPRODUCT(MAX(ROW(E$1:E903)*(E904=E$1:E903)))))</f>
        <v/>
      </c>
      <c r="L904" s="16"/>
    </row>
    <row r="905" customFormat="false" ht="12.75" hidden="false" customHeight="false" outlineLevel="0" collapsed="false">
      <c r="A905" s="9" t="s">
        <v>232</v>
      </c>
      <c r="E905" s="10" t="str">
        <f aca="false">IF(D905="?OLD","!!!","")</f>
        <v/>
      </c>
      <c r="F905" s="11" t="str">
        <f aca="false">IF(OR(E905="",E905="!!!"),"",IF(NOT(ISNA(VLOOKUP(E905,E$1:E904,1,FALSE()))),"OLD",IF(AND(E905&lt;&gt;"",E905&lt;&gt;"!!!"),"NEW","")))</f>
        <v/>
      </c>
      <c r="G905" s="12" t="str">
        <f aca="false">IF(OR(E905="",E905="!!!"),"",IF(OR(J905=0,AND(J905=1,K905=1),AND(J905=1,I905="SBJ"),AND(J905=1,I905=0)),"?IN_FOCUS",IF(J905&lt;=2,"?ACTIVATED",IF(J905&lt;&gt;"","?FAMILIAR",IF(F905="NEW",IF(ISNA(VLOOKUP(E905,#REF!,1,FALSE())),"?TYPE_IDENTIFIABLE","?REFERENTIAL"),"_")))))</f>
        <v/>
      </c>
      <c r="H905" s="13" t="str">
        <f aca="false">IF(J905&lt;&gt;1,"",IF(I905="SBJ","CB","?"))</f>
        <v/>
      </c>
      <c r="I905" s="14" t="str">
        <f aca="false">IF(OR(E905="",E905="!!!",F905="NEW"),"",INDEX(B$2:B904,-1+SUMPRODUCT(MAX(ROW(E$2:E904)*(E905=E$2:E904)))))</f>
        <v/>
      </c>
      <c r="J905" s="15" t="str">
        <f aca="true">IF(OR(E905="",E905="!!!",F905="NEW"),"",COUNTBLANK(OFFSET(A$1,,,SUMPRODUCT(MAX(ROW(E$2:E905)*(E905=E$2:E905)))))-COUNTBLANK(OFFSET(A$1,,,SUMPRODUCT(MAX(ROW(E$1:E904)*(E905=E$1:E904))))))</f>
        <v/>
      </c>
      <c r="K905" s="15" t="str">
        <f aca="false">IF(OR(E905="",E905="!!!",F905="NEW"),"",INDEX(J$1:J904,SUMPRODUCT(MAX(ROW(E$1:E904)*(E905=E$1:E904)))))</f>
        <v/>
      </c>
      <c r="L905" s="16"/>
    </row>
    <row r="906" customFormat="false" ht="12.75" hidden="false" customHeight="false" outlineLevel="0" collapsed="false">
      <c r="A906" s="9" t="s">
        <v>367</v>
      </c>
      <c r="B906" s="0" t="s">
        <v>30</v>
      </c>
      <c r="C906" s="0" t="s">
        <v>103</v>
      </c>
      <c r="D906" s="0" t="s">
        <v>19</v>
      </c>
      <c r="E906" s="10" t="s">
        <v>367</v>
      </c>
      <c r="F906" s="11" t="str">
        <f aca="false">IF(OR(E906="",E906="!!!"),"",IF(NOT(ISNA(VLOOKUP(E906,E$1:E905,1,FALSE()))),"OLD",IF(AND(E906&lt;&gt;"",E906&lt;&gt;"!!!"),"NEW","")))</f>
        <v>OLD</v>
      </c>
      <c r="G906" s="12" t="s">
        <v>52</v>
      </c>
      <c r="H906" s="13" t="str">
        <f aca="false">IF(J906&lt;&gt;1,"",IF(I906="SBJ","CB","?"))</f>
        <v/>
      </c>
      <c r="I906" s="14" t="str">
        <f aca="false">IF(OR(E906="",E906="!!!",F906="NEW"),"",INDEX(B$2:B905,-1+SUMPRODUCT(MAX(ROW(E$2:E905)*(E906=E$2:E905)))))</f>
        <v>other_4</v>
      </c>
      <c r="J906" s="15" t="n">
        <f aca="true">IF(OR(E906="",E906="!!!",F906="NEW"),"",COUNTBLANK(OFFSET(A$1,,,SUMPRODUCT(MAX(ROW(E$2:E906)*(E906=E$2:E906)))))-COUNTBLANK(OFFSET(A$1,,,SUMPRODUCT(MAX(ROW(E$1:E905)*(E906=E$1:E905))))))</f>
        <v>3</v>
      </c>
      <c r="K906" s="15" t="n">
        <f aca="false">IF(OR(E906="",E906="!!!",F906="NEW"),"",INDEX(J$1:J905,SUMPRODUCT(MAX(ROW(E$1:E905)*(E906=E$1:E905)))))</f>
        <v>0</v>
      </c>
      <c r="L906" s="16"/>
    </row>
    <row r="907" customFormat="false" ht="12.75" hidden="false" customHeight="false" outlineLevel="0" collapsed="false">
      <c r="A907" s="9" t="s">
        <v>333</v>
      </c>
      <c r="E907" s="10" t="str">
        <f aca="false">IF(D907="?OLD","!!!","")</f>
        <v/>
      </c>
      <c r="F907" s="11" t="str">
        <f aca="false">IF(OR(E907="",E907="!!!"),"",IF(NOT(ISNA(VLOOKUP(E907,E$1:E906,1,FALSE()))),"OLD",IF(AND(E907&lt;&gt;"",E907&lt;&gt;"!!!"),"NEW","")))</f>
        <v/>
      </c>
      <c r="G907" s="12" t="str">
        <f aca="false">IF(OR(E907="",E907="!!!"),"",IF(OR(J907=0,AND(J907=1,K907=1),AND(J907=1,I907="SBJ"),AND(J907=1,I907=0)),"?IN_FOCUS",IF(J907&lt;=2,"?ACTIVATED",IF(J907&lt;&gt;"","?FAMILIAR",IF(F907="NEW",IF(ISNA(VLOOKUP(E907,#REF!,1,FALSE())),"?TYPE_IDENTIFIABLE","?REFERENTIAL"),"_")))))</f>
        <v/>
      </c>
      <c r="H907" s="13" t="str">
        <f aca="false">IF(J907&lt;&gt;1,"",IF(I907="SBJ","CB","?"))</f>
        <v/>
      </c>
      <c r="I907" s="14" t="str">
        <f aca="false">IF(OR(E907="",E907="!!!",F907="NEW"),"",INDEX(B$2:B906,-1+SUMPRODUCT(MAX(ROW(E$2:E906)*(E907=E$2:E906)))))</f>
        <v/>
      </c>
      <c r="J907" s="15" t="str">
        <f aca="true">IF(OR(E907="",E907="!!!",F907="NEW"),"",COUNTBLANK(OFFSET(A$1,,,SUMPRODUCT(MAX(ROW(E$2:E907)*(E907=E$2:E907)))))-COUNTBLANK(OFFSET(A$1,,,SUMPRODUCT(MAX(ROW(E$1:E906)*(E907=E$1:E906))))))</f>
        <v/>
      </c>
      <c r="K907" s="15" t="str">
        <f aca="false">IF(OR(E907="",E907="!!!",F907="NEW"),"",INDEX(J$1:J906,SUMPRODUCT(MAX(ROW(E$1:E906)*(E907=E$1:E906)))))</f>
        <v/>
      </c>
      <c r="L907" s="16"/>
    </row>
    <row r="908" customFormat="false" ht="12.75" hidden="false" customHeight="false" outlineLevel="0" collapsed="false">
      <c r="A908" s="9" t="s">
        <v>141</v>
      </c>
      <c r="E908" s="10" t="str">
        <f aca="false">IF(D908="?OLD","!!!","")</f>
        <v/>
      </c>
      <c r="F908" s="11" t="str">
        <f aca="false">IF(OR(E908="",E908="!!!"),"",IF(NOT(ISNA(VLOOKUP(E908,E$1:E907,1,FALSE()))),"OLD",IF(AND(E908&lt;&gt;"",E908&lt;&gt;"!!!"),"NEW","")))</f>
        <v/>
      </c>
      <c r="G908" s="12" t="str">
        <f aca="false">IF(OR(E908="",E908="!!!"),"",IF(OR(J908=0,AND(J908=1,K908=1),AND(J908=1,I908="SBJ"),AND(J908=1,I908=0)),"?IN_FOCUS",IF(J908&lt;=2,"?ACTIVATED",IF(J908&lt;&gt;"","?FAMILIAR",IF(F908="NEW",IF(ISNA(VLOOKUP(E908,#REF!,1,FALSE())),"?TYPE_IDENTIFIABLE","?REFERENTIAL"),"_")))))</f>
        <v/>
      </c>
      <c r="H908" s="13" t="str">
        <f aca="false">IF(J908&lt;&gt;1,"",IF(I908="SBJ","CB","?"))</f>
        <v/>
      </c>
      <c r="I908" s="14" t="str">
        <f aca="false">IF(OR(E908="",E908="!!!",F908="NEW"),"",INDEX(B$2:B907,-1+SUMPRODUCT(MAX(ROW(E$2:E907)*(E908=E$2:E907)))))</f>
        <v/>
      </c>
      <c r="J908" s="15" t="str">
        <f aca="true">IF(OR(E908="",E908="!!!",F908="NEW"),"",COUNTBLANK(OFFSET(A$1,,,SUMPRODUCT(MAX(ROW(E$2:E908)*(E908=E$2:E908)))))-COUNTBLANK(OFFSET(A$1,,,SUMPRODUCT(MAX(ROW(E$1:E907)*(E908=E$1:E907))))))</f>
        <v/>
      </c>
      <c r="K908" s="15" t="str">
        <f aca="false">IF(OR(E908="",E908="!!!",F908="NEW"),"",INDEX(J$1:J907,SUMPRODUCT(MAX(ROW(E$1:E907)*(E908=E$1:E907)))))</f>
        <v/>
      </c>
      <c r="L908" s="16"/>
    </row>
    <row r="909" customFormat="false" ht="12.75" hidden="false" customHeight="false" outlineLevel="0" collapsed="false">
      <c r="A909" s="9" t="s">
        <v>460</v>
      </c>
      <c r="E909" s="10" t="str">
        <f aca="false">IF(D909="?OLD","!!!","")</f>
        <v/>
      </c>
      <c r="F909" s="11" t="str">
        <f aca="false">IF(OR(E909="",E909="!!!"),"",IF(NOT(ISNA(VLOOKUP(E909,E$1:E908,1,FALSE()))),"OLD",IF(AND(E909&lt;&gt;"",E909&lt;&gt;"!!!"),"NEW","")))</f>
        <v/>
      </c>
      <c r="G909" s="12" t="str">
        <f aca="false">IF(OR(E909="",E909="!!!"),"",IF(OR(J909=0,AND(J909=1,K909=1),AND(J909=1,I909="SBJ"),AND(J909=1,I909=0)),"?IN_FOCUS",IF(J909&lt;=2,"?ACTIVATED",IF(J909&lt;&gt;"","?FAMILIAR",IF(F909="NEW",IF(ISNA(VLOOKUP(E909,#REF!,1,FALSE())),"?TYPE_IDENTIFIABLE","?REFERENTIAL"),"_")))))</f>
        <v/>
      </c>
      <c r="H909" s="13" t="str">
        <f aca="false">IF(J909&lt;&gt;1,"",IF(I909="SBJ","CB","?"))</f>
        <v/>
      </c>
      <c r="I909" s="14" t="str">
        <f aca="false">IF(OR(E909="",E909="!!!",F909="NEW"),"",INDEX(B$2:B908,-1+SUMPRODUCT(MAX(ROW(E$2:E908)*(E909=E$2:E908)))))</f>
        <v/>
      </c>
      <c r="J909" s="15" t="str">
        <f aca="true">IF(OR(E909="",E909="!!!",F909="NEW"),"",COUNTBLANK(OFFSET(A$1,,,SUMPRODUCT(MAX(ROW(E$2:E909)*(E909=E$2:E909)))))-COUNTBLANK(OFFSET(A$1,,,SUMPRODUCT(MAX(ROW(E$1:E908)*(E909=E$1:E908))))))</f>
        <v/>
      </c>
      <c r="K909" s="15" t="str">
        <f aca="false">IF(OR(E909="",E909="!!!",F909="NEW"),"",INDEX(J$1:J908,SUMPRODUCT(MAX(ROW(E$1:E908)*(E909=E$1:E908)))))</f>
        <v/>
      </c>
      <c r="L909" s="16"/>
    </row>
    <row r="910" customFormat="false" ht="12.75" hidden="false" customHeight="false" outlineLevel="0" collapsed="false">
      <c r="A910" s="9" t="s">
        <v>306</v>
      </c>
      <c r="E910" s="10" t="str">
        <f aca="false">IF(D910="?OLD","!!!","")</f>
        <v/>
      </c>
      <c r="F910" s="11" t="str">
        <f aca="false">IF(OR(E910="",E910="!!!"),"",IF(NOT(ISNA(VLOOKUP(E910,E$1:E909,1,FALSE()))),"OLD",IF(AND(E910&lt;&gt;"",E910&lt;&gt;"!!!"),"NEW","")))</f>
        <v/>
      </c>
      <c r="G910" s="12" t="str">
        <f aca="false">IF(OR(E910="",E910="!!!"),"",IF(OR(J910=0,AND(J910=1,K910=1),AND(J910=1,I910="SBJ"),AND(J910=1,I910=0)),"?IN_FOCUS",IF(J910&lt;=2,"?ACTIVATED",IF(J910&lt;&gt;"","?FAMILIAR",IF(F910="NEW",IF(ISNA(VLOOKUP(E910,#REF!,1,FALSE())),"?TYPE_IDENTIFIABLE","?REFERENTIAL"),"_")))))</f>
        <v/>
      </c>
      <c r="H910" s="13" t="str">
        <f aca="false">IF(J910&lt;&gt;1,"",IF(I910="SBJ","CB","?"))</f>
        <v/>
      </c>
      <c r="I910" s="14" t="str">
        <f aca="false">IF(OR(E910="",E910="!!!",F910="NEW"),"",INDEX(B$2:B909,-1+SUMPRODUCT(MAX(ROW(E$2:E909)*(E910=E$2:E909)))))</f>
        <v/>
      </c>
      <c r="J910" s="15" t="str">
        <f aca="true">IF(OR(E910="",E910="!!!",F910="NEW"),"",COUNTBLANK(OFFSET(A$1,,,SUMPRODUCT(MAX(ROW(E$2:E910)*(E910=E$2:E910)))))-COUNTBLANK(OFFSET(A$1,,,SUMPRODUCT(MAX(ROW(E$1:E909)*(E910=E$1:E909))))))</f>
        <v/>
      </c>
      <c r="K910" s="15" t="str">
        <f aca="false">IF(OR(E910="",E910="!!!",F910="NEW"),"",INDEX(J$1:J909,SUMPRODUCT(MAX(ROW(E$1:E909)*(E910=E$1:E909)))))</f>
        <v/>
      </c>
      <c r="L910" s="16"/>
    </row>
    <row r="911" customFormat="false" ht="12.75" hidden="false" customHeight="false" outlineLevel="0" collapsed="false">
      <c r="A911" s="9" t="s">
        <v>15</v>
      </c>
      <c r="E911" s="10" t="str">
        <f aca="false">IF(D911="?OLD","!!!","")</f>
        <v/>
      </c>
      <c r="F911" s="11" t="str">
        <f aca="false">IF(OR(E911="",E911="!!!"),"",IF(NOT(ISNA(VLOOKUP(E911,E$1:E910,1,FALSE()))),"OLD",IF(AND(E911&lt;&gt;"",E911&lt;&gt;"!!!"),"NEW","")))</f>
        <v/>
      </c>
      <c r="G911" s="12" t="str">
        <f aca="false">IF(OR(E911="",E911="!!!"),"",IF(OR(J911=0,AND(J911=1,K911=1),AND(J911=1,I911="SBJ"),AND(J911=1,I911=0)),"?IN_FOCUS",IF(J911&lt;=2,"?ACTIVATED",IF(J911&lt;&gt;"","?FAMILIAR",IF(F911="NEW",IF(ISNA(VLOOKUP(E911,#REF!,1,FALSE())),"?TYPE_IDENTIFIABLE","?REFERENTIAL"),"_")))))</f>
        <v/>
      </c>
      <c r="H911" s="13" t="str">
        <f aca="false">IF(J911&lt;&gt;1,"",IF(I911="SBJ","CB","?"))</f>
        <v/>
      </c>
      <c r="I911" s="14" t="str">
        <f aca="false">IF(OR(E911="",E911="!!!",F911="NEW"),"",INDEX(B$2:B910,-1+SUMPRODUCT(MAX(ROW(E$2:E910)*(E911=E$2:E910)))))</f>
        <v/>
      </c>
      <c r="J911" s="15" t="str">
        <f aca="true">IF(OR(E911="",E911="!!!",F911="NEW"),"",COUNTBLANK(OFFSET(A$1,,,SUMPRODUCT(MAX(ROW(E$2:E911)*(E911=E$2:E911)))))-COUNTBLANK(OFFSET(A$1,,,SUMPRODUCT(MAX(ROW(E$1:E910)*(E911=E$1:E910))))))</f>
        <v/>
      </c>
      <c r="K911" s="15" t="str">
        <f aca="false">IF(OR(E911="",E911="!!!",F911="NEW"),"",INDEX(J$1:J910,SUMPRODUCT(MAX(ROW(E$1:E910)*(E911=E$1:E910)))))</f>
        <v/>
      </c>
      <c r="L911" s="16"/>
    </row>
    <row r="912" customFormat="false" ht="12.75" hidden="false" customHeight="false" outlineLevel="0" collapsed="false">
      <c r="A912" s="9" t="s">
        <v>461</v>
      </c>
      <c r="B912" s="0" t="s">
        <v>40</v>
      </c>
      <c r="C912" s="0" t="s">
        <v>18</v>
      </c>
      <c r="D912" s="0" t="s">
        <v>19</v>
      </c>
      <c r="E912" s="10" t="s">
        <v>462</v>
      </c>
      <c r="F912" s="11" t="str">
        <f aca="false">IF(OR(E912="",E912="!!!"),"",IF(NOT(ISNA(VLOOKUP(E912,E$1:E911,1,FALSE()))),"OLD",IF(AND(E912&lt;&gt;"",E912&lt;&gt;"!!!"),"NEW","")))</f>
        <v>NEW</v>
      </c>
      <c r="G912" s="12" t="s">
        <v>21</v>
      </c>
      <c r="H912" s="13" t="str">
        <f aca="false">IF(J912&lt;&gt;1,"",IF(I912="SBJ","CB","?"))</f>
        <v/>
      </c>
      <c r="I912" s="14" t="str">
        <f aca="false">IF(OR(E912="",E912="!!!",F912="NEW"),"",INDEX(B$2:B911,-1+SUMPRODUCT(MAX(ROW(E$2:E911)*(E912=E$2:E911)))))</f>
        <v/>
      </c>
      <c r="J912" s="15" t="str">
        <f aca="true">IF(OR(E912="",E912="!!!",F912="NEW"),"",COUNTBLANK(OFFSET(A$1,,,SUMPRODUCT(MAX(ROW(E$2:E912)*(E912=E$2:E912)))))-COUNTBLANK(OFFSET(A$1,,,SUMPRODUCT(MAX(ROW(E$1:E911)*(E912=E$1:E911))))))</f>
        <v/>
      </c>
      <c r="K912" s="15" t="str">
        <f aca="false">IF(OR(E912="",E912="!!!",F912="NEW"),"",INDEX(J$1:J911,SUMPRODUCT(MAX(ROW(E$1:E911)*(E912=E$1:E911)))))</f>
        <v/>
      </c>
      <c r="L912" s="16"/>
    </row>
    <row r="913" customFormat="false" ht="12.75" hidden="false" customHeight="false" outlineLevel="0" collapsed="false">
      <c r="A913" s="9" t="s">
        <v>28</v>
      </c>
      <c r="E913" s="10" t="str">
        <f aca="false">IF(D913="?OLD","!!!","")</f>
        <v/>
      </c>
      <c r="F913" s="11" t="str">
        <f aca="false">IF(OR(E913="",E913="!!!"),"",IF(NOT(ISNA(VLOOKUP(E913,E$1:E912,1,FALSE()))),"OLD",IF(AND(E913&lt;&gt;"",E913&lt;&gt;"!!!"),"NEW","")))</f>
        <v/>
      </c>
      <c r="G913" s="12" t="str">
        <f aca="false">IF(OR(E913="",E913="!!!"),"",IF(OR(J913=0,AND(J913=1,K913=1),AND(J913=1,I913="SBJ"),AND(J913=1,I913=0)),"?IN_FOCUS",IF(J913&lt;=2,"?ACTIVATED",IF(J913&lt;&gt;"","?FAMILIAR",IF(F913="NEW",IF(ISNA(VLOOKUP(E913,#REF!,1,FALSE())),"?TYPE_IDENTIFIABLE","?REFERENTIAL"),"_")))))</f>
        <v/>
      </c>
      <c r="H913" s="13" t="str">
        <f aca="false">IF(J913&lt;&gt;1,"",IF(I913="SBJ","CB","?"))</f>
        <v/>
      </c>
      <c r="I913" s="14" t="str">
        <f aca="false">IF(OR(E913="",E913="!!!",F913="NEW"),"",INDEX(B$2:B912,-1+SUMPRODUCT(MAX(ROW(E$2:E912)*(E913=E$2:E912)))))</f>
        <v/>
      </c>
      <c r="J913" s="15" t="str">
        <f aca="true">IF(OR(E913="",E913="!!!",F913="NEW"),"",COUNTBLANK(OFFSET(A$1,,,SUMPRODUCT(MAX(ROW(E$2:E913)*(E913=E$2:E913)))))-COUNTBLANK(OFFSET(A$1,,,SUMPRODUCT(MAX(ROW(E$1:E912)*(E913=E$1:E912))))))</f>
        <v/>
      </c>
      <c r="K913" s="15" t="str">
        <f aca="false">IF(OR(E913="",E913="!!!",F913="NEW"),"",INDEX(J$1:J912,SUMPRODUCT(MAX(ROW(E$1:E912)*(E913=E$1:E912)))))</f>
        <v/>
      </c>
      <c r="L913" s="16"/>
    </row>
    <row r="914" customFormat="false" ht="12.75" hidden="false" customHeight="false" outlineLevel="0" collapsed="false">
      <c r="A914" s="9" t="s">
        <v>463</v>
      </c>
      <c r="E914" s="10" t="str">
        <f aca="false">IF(D914="?OLD","!!!","")</f>
        <v/>
      </c>
      <c r="F914" s="11" t="str">
        <f aca="false">IF(OR(E914="",E914="!!!"),"",IF(NOT(ISNA(VLOOKUP(E914,E$1:E913,1,FALSE()))),"OLD",IF(AND(E914&lt;&gt;"",E914&lt;&gt;"!!!"),"NEW","")))</f>
        <v/>
      </c>
      <c r="G914" s="12" t="str">
        <f aca="false">IF(OR(E914="",E914="!!!"),"",IF(OR(J914=0,AND(J914=1,K914=1),AND(J914=1,I914="SBJ"),AND(J914=1,I914=0)),"?IN_FOCUS",IF(J914&lt;=2,"?ACTIVATED",IF(J914&lt;&gt;"","?FAMILIAR",IF(F914="NEW",IF(ISNA(VLOOKUP(E914,#REF!,1,FALSE())),"?TYPE_IDENTIFIABLE","?REFERENTIAL"),"_")))))</f>
        <v/>
      </c>
      <c r="H914" s="13" t="str">
        <f aca="false">IF(J914&lt;&gt;1,"",IF(I914="SBJ","CB","?"))</f>
        <v/>
      </c>
      <c r="I914" s="14" t="str">
        <f aca="false">IF(OR(E914="",E914="!!!",F914="NEW"),"",INDEX(B$2:B913,-1+SUMPRODUCT(MAX(ROW(E$2:E913)*(E914=E$2:E913)))))</f>
        <v/>
      </c>
      <c r="J914" s="15" t="str">
        <f aca="true">IF(OR(E914="",E914="!!!",F914="NEW"),"",COUNTBLANK(OFFSET(A$1,,,SUMPRODUCT(MAX(ROW(E$2:E914)*(E914=E$2:E914)))))-COUNTBLANK(OFFSET(A$1,,,SUMPRODUCT(MAX(ROW(E$1:E913)*(E914=E$1:E913))))))</f>
        <v/>
      </c>
      <c r="K914" s="15" t="str">
        <f aca="false">IF(OR(E914="",E914="!!!",F914="NEW"),"",INDEX(J$1:J913,SUMPRODUCT(MAX(ROW(E$1:E913)*(E914=E$1:E913)))))</f>
        <v/>
      </c>
      <c r="L914" s="16"/>
    </row>
    <row r="915" customFormat="false" ht="12.75" hidden="false" customHeight="false" outlineLevel="0" collapsed="false">
      <c r="A915" s="9" t="s">
        <v>362</v>
      </c>
      <c r="B915" s="0" t="s">
        <v>17</v>
      </c>
      <c r="C915" s="0" t="s">
        <v>31</v>
      </c>
      <c r="D915" s="0" t="s">
        <v>19</v>
      </c>
      <c r="E915" s="10" t="s">
        <v>367</v>
      </c>
      <c r="F915" s="11" t="str">
        <f aca="false">IF(OR(E915="",E915="!!!"),"",IF(NOT(ISNA(VLOOKUP(E915,E$1:E914,1,FALSE()))),"OLD",IF(AND(E915&lt;&gt;"",E915&lt;&gt;"!!!"),"NEW","")))</f>
        <v>OLD</v>
      </c>
      <c r="G915" s="12" t="s">
        <v>65</v>
      </c>
      <c r="H915" s="13" t="str">
        <f aca="false">IF(J915&lt;&gt;1,"",IF(I915="SBJ","CB","?"))</f>
        <v/>
      </c>
      <c r="I915" s="14" t="str">
        <f aca="false">IF(OR(E915="",E915="!!!",F915="NEW"),"",INDEX(B$2:B914,-1+SUMPRODUCT(MAX(ROW(E$2:E914)*(E915=E$2:E914)))))</f>
        <v>SBJ</v>
      </c>
      <c r="J915" s="15" t="n">
        <f aca="true">IF(OR(E915="",E915="!!!",F915="NEW"),"",COUNTBLANK(OFFSET(A$1,,,SUMPRODUCT(MAX(ROW(E$2:E915)*(E915=E$2:E915)))))-COUNTBLANK(OFFSET(A$1,,,SUMPRODUCT(MAX(ROW(E$1:E914)*(E915=E$1:E914))))))</f>
        <v>0</v>
      </c>
      <c r="K915" s="15" t="n">
        <f aca="false">IF(OR(E915="",E915="!!!",F915="NEW"),"",INDEX(J$1:J914,SUMPRODUCT(MAX(ROW(E$1:E914)*(E915=E$1:E914)))))</f>
        <v>3</v>
      </c>
      <c r="L915" s="16"/>
    </row>
    <row r="916" customFormat="false" ht="12.75" hidden="false" customHeight="false" outlineLevel="0" collapsed="false">
      <c r="A916" s="9" t="s">
        <v>257</v>
      </c>
      <c r="E916" s="10" t="str">
        <f aca="false">IF(D916="?OLD","!!!","")</f>
        <v/>
      </c>
      <c r="F916" s="11" t="str">
        <f aca="false">IF(OR(E916="",E916="!!!"),"",IF(NOT(ISNA(VLOOKUP(E916,E$1:E915,1,FALSE()))),"OLD",IF(AND(E916&lt;&gt;"",E916&lt;&gt;"!!!"),"NEW","")))</f>
        <v/>
      </c>
      <c r="G916" s="12" t="str">
        <f aca="false">IF(OR(E916="",E916="!!!"),"",IF(OR(J916=0,AND(J916=1,K916=1),AND(J916=1,I916="SBJ"),AND(J916=1,I916=0)),"?IN_FOCUS",IF(J916&lt;=2,"?ACTIVATED",IF(J916&lt;&gt;"","?FAMILIAR",IF(F916="NEW",IF(ISNA(VLOOKUP(E916,#REF!,1,FALSE())),"?TYPE_IDENTIFIABLE","?REFERENTIAL"),"_")))))</f>
        <v/>
      </c>
      <c r="H916" s="13" t="str">
        <f aca="false">IF(J916&lt;&gt;1,"",IF(I916="SBJ","CB","?"))</f>
        <v/>
      </c>
      <c r="I916" s="14" t="str">
        <f aca="false">IF(OR(E916="",E916="!!!",F916="NEW"),"",INDEX(B$2:B915,-1+SUMPRODUCT(MAX(ROW(E$2:E915)*(E916=E$2:E915)))))</f>
        <v/>
      </c>
      <c r="J916" s="15" t="str">
        <f aca="true">IF(OR(E916="",E916="!!!",F916="NEW"),"",COUNTBLANK(OFFSET(A$1,,,SUMPRODUCT(MAX(ROW(E$2:E916)*(E916=E$2:E916)))))-COUNTBLANK(OFFSET(A$1,,,SUMPRODUCT(MAX(ROW(E$1:E915)*(E916=E$1:E915))))))</f>
        <v/>
      </c>
      <c r="K916" s="15" t="str">
        <f aca="false">IF(OR(E916="",E916="!!!",F916="NEW"),"",INDEX(J$1:J915,SUMPRODUCT(MAX(ROW(E$1:E915)*(E916=E$1:E915)))))</f>
        <v/>
      </c>
      <c r="L916" s="16"/>
    </row>
    <row r="917" customFormat="false" ht="12.75" hidden="false" customHeight="false" outlineLevel="0" collapsed="false">
      <c r="A917" s="9" t="s">
        <v>464</v>
      </c>
      <c r="B917" s="0" t="s">
        <v>94</v>
      </c>
      <c r="E917" s="10" t="str">
        <f aca="false">IF(D917="?OLD","!!!","")</f>
        <v/>
      </c>
      <c r="F917" s="11" t="str">
        <f aca="false">IF(OR(E917="",E917="!!!"),"",IF(NOT(ISNA(VLOOKUP(E917,E$1:E916,1,FALSE()))),"OLD",IF(AND(E917&lt;&gt;"",E917&lt;&gt;"!!!"),"NEW","")))</f>
        <v/>
      </c>
      <c r="G917" s="12" t="str">
        <f aca="false">IF(OR(E917="",E917="!!!"),"",IF(OR(J917=0,AND(J917=1,K917=1),AND(J917=1,I917="SBJ"),AND(J917=1,I917=0)),"?IN_FOCUS",IF(J917&lt;=2,"?ACTIVATED",IF(J917&lt;&gt;"","?FAMILIAR",IF(F917="NEW",IF(ISNA(VLOOKUP(E917,#REF!,1,FALSE())),"?TYPE_IDENTIFIABLE","?REFERENTIAL"),"_")))))</f>
        <v/>
      </c>
      <c r="H917" s="13" t="str">
        <f aca="false">IF(J917&lt;&gt;1,"",IF(I917="SBJ","CB","?"))</f>
        <v/>
      </c>
      <c r="I917" s="14" t="str">
        <f aca="false">IF(OR(E917="",E917="!!!",F917="NEW"),"",INDEX(B$2:B916,-1+SUMPRODUCT(MAX(ROW(E$2:E916)*(E917=E$2:E916)))))</f>
        <v/>
      </c>
      <c r="J917" s="15" t="str">
        <f aca="true">IF(OR(E917="",E917="!!!",F917="NEW"),"",COUNTBLANK(OFFSET(A$1,,,SUMPRODUCT(MAX(ROW(E$2:E917)*(E917=E$2:E917)))))-COUNTBLANK(OFFSET(A$1,,,SUMPRODUCT(MAX(ROW(E$1:E916)*(E917=E$1:E916))))))</f>
        <v/>
      </c>
      <c r="K917" s="15" t="str">
        <f aca="false">IF(OR(E917="",E917="!!!",F917="NEW"),"",INDEX(J$1:J916,SUMPRODUCT(MAX(ROW(E$1:E916)*(E917=E$1:E916)))))</f>
        <v/>
      </c>
      <c r="L917" s="16"/>
    </row>
    <row r="918" customFormat="false" ht="12.75" hidden="false" customHeight="false" outlineLevel="0" collapsed="false">
      <c r="A918" s="9" t="s">
        <v>28</v>
      </c>
      <c r="E918" s="10" t="str">
        <f aca="false">IF(D918="?OLD","!!!","")</f>
        <v/>
      </c>
      <c r="F918" s="11" t="str">
        <f aca="false">IF(OR(E918="",E918="!!!"),"",IF(NOT(ISNA(VLOOKUP(E918,E$1:E917,1,FALSE()))),"OLD",IF(AND(E918&lt;&gt;"",E918&lt;&gt;"!!!"),"NEW","")))</f>
        <v/>
      </c>
      <c r="G918" s="12" t="str">
        <f aca="false">IF(OR(E918="",E918="!!!"),"",IF(OR(J918=0,AND(J918=1,K918=1),AND(J918=1,I918="SBJ"),AND(J918=1,I918=0)),"?IN_FOCUS",IF(J918&lt;=2,"?ACTIVATED",IF(J918&lt;&gt;"","?FAMILIAR",IF(F918="NEW",IF(ISNA(VLOOKUP(E918,#REF!,1,FALSE())),"?TYPE_IDENTIFIABLE","?REFERENTIAL"),"_")))))</f>
        <v/>
      </c>
      <c r="H918" s="13" t="str">
        <f aca="false">IF(J918&lt;&gt;1,"",IF(I918="SBJ","CB","?"))</f>
        <v/>
      </c>
      <c r="I918" s="14" t="str">
        <f aca="false">IF(OR(E918="",E918="!!!",F918="NEW"),"",INDEX(B$2:B917,-1+SUMPRODUCT(MAX(ROW(E$2:E917)*(E918=E$2:E917)))))</f>
        <v/>
      </c>
      <c r="J918" s="15" t="str">
        <f aca="true">IF(OR(E918="",E918="!!!",F918="NEW"),"",COUNTBLANK(OFFSET(A$1,,,SUMPRODUCT(MAX(ROW(E$2:E918)*(E918=E$2:E918)))))-COUNTBLANK(OFFSET(A$1,,,SUMPRODUCT(MAX(ROW(E$1:E917)*(E918=E$1:E917))))))</f>
        <v/>
      </c>
      <c r="K918" s="15" t="str">
        <f aca="false">IF(OR(E918="",E918="!!!",F918="NEW"),"",INDEX(J$1:J917,SUMPRODUCT(MAX(ROW(E$1:E917)*(E918=E$1:E917)))))</f>
        <v/>
      </c>
      <c r="L918" s="16"/>
    </row>
    <row r="919" customFormat="false" ht="12.75" hidden="false" customHeight="false" outlineLevel="0" collapsed="false">
      <c r="A919" s="9" t="s">
        <v>251</v>
      </c>
      <c r="E919" s="10" t="str">
        <f aca="false">IF(D919="?OLD","!!!","")</f>
        <v/>
      </c>
      <c r="F919" s="11" t="str">
        <f aca="false">IF(OR(E919="",E919="!!!"),"",IF(NOT(ISNA(VLOOKUP(E919,E$1:E918,1,FALSE()))),"OLD",IF(AND(E919&lt;&gt;"",E919&lt;&gt;"!!!"),"NEW","")))</f>
        <v/>
      </c>
      <c r="G919" s="12" t="str">
        <f aca="false">IF(OR(E919="",E919="!!!"),"",IF(OR(J919=0,AND(J919=1,K919=1),AND(J919=1,I919="SBJ"),AND(J919=1,I919=0)),"?IN_FOCUS",IF(J919&lt;=2,"?ACTIVATED",IF(J919&lt;&gt;"","?FAMILIAR",IF(F919="NEW",IF(ISNA(VLOOKUP(E919,#REF!,1,FALSE())),"?TYPE_IDENTIFIABLE","?REFERENTIAL"),"_")))))</f>
        <v/>
      </c>
      <c r="H919" s="13" t="str">
        <f aca="false">IF(J919&lt;&gt;1,"",IF(I919="SBJ","CB","?"))</f>
        <v/>
      </c>
      <c r="I919" s="14" t="str">
        <f aca="false">IF(OR(E919="",E919="!!!",F919="NEW"),"",INDEX(B$2:B918,-1+SUMPRODUCT(MAX(ROW(E$2:E918)*(E919=E$2:E918)))))</f>
        <v/>
      </c>
      <c r="J919" s="15" t="str">
        <f aca="true">IF(OR(E919="",E919="!!!",F919="NEW"),"",COUNTBLANK(OFFSET(A$1,,,SUMPRODUCT(MAX(ROW(E$2:E919)*(E919=E$2:E919)))))-COUNTBLANK(OFFSET(A$1,,,SUMPRODUCT(MAX(ROW(E$1:E918)*(E919=E$1:E918))))))</f>
        <v/>
      </c>
      <c r="K919" s="15" t="str">
        <f aca="false">IF(OR(E919="",E919="!!!",F919="NEW"),"",INDEX(J$1:J918,SUMPRODUCT(MAX(ROW(E$1:E918)*(E919=E$1:E918)))))</f>
        <v/>
      </c>
      <c r="L919" s="16"/>
    </row>
    <row r="920" customFormat="false" ht="12.75" hidden="false" customHeight="false" outlineLevel="0" collapsed="false">
      <c r="A920" s="9" t="s">
        <v>302</v>
      </c>
      <c r="E920" s="10" t="str">
        <f aca="false">IF(D920="?OLD","!!!","")</f>
        <v/>
      </c>
      <c r="F920" s="11" t="str">
        <f aca="false">IF(OR(E920="",E920="!!!"),"",IF(NOT(ISNA(VLOOKUP(E920,E$1:E919,1,FALSE()))),"OLD",IF(AND(E920&lt;&gt;"",E920&lt;&gt;"!!!"),"NEW","")))</f>
        <v/>
      </c>
      <c r="G920" s="12" t="str">
        <f aca="false">IF(OR(E920="",E920="!!!"),"",IF(OR(J920=0,AND(J920=1,K920=1),AND(J920=1,I920="SBJ"),AND(J920=1,I920=0)),"?IN_FOCUS",IF(J920&lt;=2,"?ACTIVATED",IF(J920&lt;&gt;"","?FAMILIAR",IF(F920="NEW",IF(ISNA(VLOOKUP(E920,#REF!,1,FALSE())),"?TYPE_IDENTIFIABLE","?REFERENTIAL"),"_")))))</f>
        <v/>
      </c>
      <c r="H920" s="13" t="str">
        <f aca="false">IF(J920&lt;&gt;1,"",IF(I920="SBJ","CB","?"))</f>
        <v/>
      </c>
      <c r="I920" s="14" t="str">
        <f aca="false">IF(OR(E920="",E920="!!!",F920="NEW"),"",INDEX(B$2:B919,-1+SUMPRODUCT(MAX(ROW(E$2:E919)*(E920=E$2:E919)))))</f>
        <v/>
      </c>
      <c r="J920" s="15" t="str">
        <f aca="true">IF(OR(E920="",E920="!!!",F920="NEW"),"",COUNTBLANK(OFFSET(A$1,,,SUMPRODUCT(MAX(ROW(E$2:E920)*(E920=E$2:E920)))))-COUNTBLANK(OFFSET(A$1,,,SUMPRODUCT(MAX(ROW(E$1:E919)*(E920=E$1:E919))))))</f>
        <v/>
      </c>
      <c r="K920" s="15" t="str">
        <f aca="false">IF(OR(E920="",E920="!!!",F920="NEW"),"",INDEX(J$1:J919,SUMPRODUCT(MAX(ROW(E$1:E919)*(E920=E$1:E919)))))</f>
        <v/>
      </c>
      <c r="L920" s="16"/>
    </row>
    <row r="921" customFormat="false" ht="12.75" hidden="false" customHeight="false" outlineLevel="0" collapsed="false">
      <c r="A921" s="9" t="s">
        <v>314</v>
      </c>
      <c r="B921" s="0" t="s">
        <v>70</v>
      </c>
      <c r="C921" s="0" t="s">
        <v>103</v>
      </c>
      <c r="D921" s="0" t="s">
        <v>19</v>
      </c>
      <c r="E921" s="10" t="s">
        <v>187</v>
      </c>
      <c r="F921" s="11" t="str">
        <f aca="false">IF(OR(E921="",E921="!!!"),"",IF(NOT(ISNA(VLOOKUP(E921,E$1:E920,1,FALSE()))),"OLD",IF(AND(E921&lt;&gt;"",E921&lt;&gt;"!!!"),"NEW","")))</f>
        <v>OLD</v>
      </c>
      <c r="G921" s="12" t="s">
        <v>33</v>
      </c>
      <c r="H921" s="13"/>
      <c r="I921" s="14" t="str">
        <f aca="false">IF(OR(E921="",E921="!!!",F921="NEW"),"",INDEX(B$2:B920,-1+SUMPRODUCT(MAX(ROW(E$2:E920)*(E921=E$2:E920)))))</f>
        <v>other_4</v>
      </c>
      <c r="J921" s="15" t="n">
        <f aca="true">IF(OR(E921="",E921="!!!",F921="NEW"),"",COUNTBLANK(OFFSET(A$1,,,SUMPRODUCT(MAX(ROW(E$2:E921)*(E921=E$2:E921)))))-COUNTBLANK(OFFSET(A$1,,,SUMPRODUCT(MAX(ROW(E$1:E920)*(E921=E$1:E920))))))</f>
        <v>1</v>
      </c>
      <c r="K921" s="15" t="n">
        <f aca="false">IF(OR(E921="",E921="!!!",F921="NEW"),"",INDEX(J$1:J920,SUMPRODUCT(MAX(ROW(E$1:E920)*(E921=E$1:E920)))))</f>
        <v>0</v>
      </c>
      <c r="L921" s="16"/>
    </row>
    <row r="922" customFormat="false" ht="12.75" hidden="false" customHeight="false" outlineLevel="0" collapsed="false">
      <c r="A922" s="9" t="s">
        <v>200</v>
      </c>
      <c r="E922" s="10" t="str">
        <f aca="false">IF(D922="?OLD","!!!","")</f>
        <v/>
      </c>
      <c r="F922" s="11" t="str">
        <f aca="false">IF(OR(E922="",E922="!!!"),"",IF(NOT(ISNA(VLOOKUP(E922,E$1:E921,1,FALSE()))),"OLD",IF(AND(E922&lt;&gt;"",E922&lt;&gt;"!!!"),"NEW","")))</f>
        <v/>
      </c>
      <c r="G922" s="12" t="str">
        <f aca="false">IF(OR(E922="",E922="!!!"),"",IF(OR(J922=0,AND(J922=1,K922=1),AND(J922=1,I922="SBJ"),AND(J922=1,I922=0)),"?IN_FOCUS",IF(J922&lt;=2,"?ACTIVATED",IF(J922&lt;&gt;"","?FAMILIAR",IF(F922="NEW",IF(ISNA(VLOOKUP(E922,#REF!,1,FALSE())),"?TYPE_IDENTIFIABLE","?REFERENTIAL"),"_")))))</f>
        <v/>
      </c>
      <c r="H922" s="13" t="str">
        <f aca="false">IF(J922&lt;&gt;1,"",IF(I922="SBJ","CB","?"))</f>
        <v/>
      </c>
      <c r="I922" s="14" t="str">
        <f aca="false">IF(OR(E922="",E922="!!!",F922="NEW"),"",INDEX(B$2:B921,-1+SUMPRODUCT(MAX(ROW(E$2:E921)*(E922=E$2:E921)))))</f>
        <v/>
      </c>
      <c r="J922" s="15" t="str">
        <f aca="true">IF(OR(E922="",E922="!!!",F922="NEW"),"",COUNTBLANK(OFFSET(A$1,,,SUMPRODUCT(MAX(ROW(E$2:E922)*(E922=E$2:E922)))))-COUNTBLANK(OFFSET(A$1,,,SUMPRODUCT(MAX(ROW(E$1:E921)*(E922=E$1:E921))))))</f>
        <v/>
      </c>
      <c r="K922" s="15" t="str">
        <f aca="false">IF(OR(E922="",E922="!!!",F922="NEW"),"",INDEX(J$1:J921,SUMPRODUCT(MAX(ROW(E$1:E921)*(E922=E$1:E921)))))</f>
        <v/>
      </c>
      <c r="L922" s="16"/>
    </row>
    <row r="923" customFormat="false" ht="12.75" hidden="false" customHeight="false" outlineLevel="0" collapsed="false">
      <c r="A923" s="9" t="s">
        <v>78</v>
      </c>
      <c r="E923" s="10" t="str">
        <f aca="false">IF(D923="?OLD","!!!","")</f>
        <v/>
      </c>
      <c r="F923" s="11" t="str">
        <f aca="false">IF(OR(E923="",E923="!!!"),"",IF(NOT(ISNA(VLOOKUP(E923,E$1:E922,1,FALSE()))),"OLD",IF(AND(E923&lt;&gt;"",E923&lt;&gt;"!!!"),"NEW","")))</f>
        <v/>
      </c>
      <c r="G923" s="12" t="str">
        <f aca="false">IF(OR(E923="",E923="!!!"),"",IF(OR(J923=0,AND(J923=1,K923=1),AND(J923=1,I923="SBJ"),AND(J923=1,I923=0)),"?IN_FOCUS",IF(J923&lt;=2,"?ACTIVATED",IF(J923&lt;&gt;"","?FAMILIAR",IF(F923="NEW",IF(ISNA(VLOOKUP(E923,#REF!,1,FALSE())),"?TYPE_IDENTIFIABLE","?REFERENTIAL"),"_")))))</f>
        <v/>
      </c>
      <c r="H923" s="13" t="str">
        <f aca="false">IF(J923&lt;&gt;1,"",IF(I923="SBJ","CB","?"))</f>
        <v/>
      </c>
      <c r="I923" s="14" t="str">
        <f aca="false">IF(OR(E923="",E923="!!!",F923="NEW"),"",INDEX(B$2:B922,-1+SUMPRODUCT(MAX(ROW(E$2:E922)*(E923=E$2:E922)))))</f>
        <v/>
      </c>
      <c r="J923" s="15" t="str">
        <f aca="true">IF(OR(E923="",E923="!!!",F923="NEW"),"",COUNTBLANK(OFFSET(A$1,,,SUMPRODUCT(MAX(ROW(E$2:E923)*(E923=E$2:E923)))))-COUNTBLANK(OFFSET(A$1,,,SUMPRODUCT(MAX(ROW(E$1:E922)*(E923=E$1:E922))))))</f>
        <v/>
      </c>
      <c r="K923" s="15" t="str">
        <f aca="false">IF(OR(E923="",E923="!!!",F923="NEW"),"",INDEX(J$1:J922,SUMPRODUCT(MAX(ROW(E$1:E922)*(E923=E$1:E922)))))</f>
        <v/>
      </c>
      <c r="L923" s="16"/>
    </row>
    <row r="924" customFormat="false" ht="12.75" hidden="false" customHeight="false" outlineLevel="0" collapsed="false">
      <c r="A924" s="9" t="s">
        <v>228</v>
      </c>
      <c r="B924" s="0" t="s">
        <v>62</v>
      </c>
      <c r="C924" s="0" t="s">
        <v>128</v>
      </c>
      <c r="D924" s="0" t="s">
        <v>19</v>
      </c>
      <c r="E924" s="10" t="s">
        <v>367</v>
      </c>
      <c r="F924" s="11" t="str">
        <f aca="false">IF(OR(E924="",E924="!!!"),"",IF(NOT(ISNA(VLOOKUP(E924,E$1:E923,1,FALSE()))),"OLD",IF(AND(E924&lt;&gt;"",E924&lt;&gt;"!!!"),"NEW","")))</f>
        <v>OLD</v>
      </c>
      <c r="G924" s="12" t="s">
        <v>65</v>
      </c>
      <c r="H924" s="13" t="str">
        <f aca="false">IF(J924&lt;&gt;1,"",IF(I924="SBJ","CB","?"))</f>
        <v/>
      </c>
      <c r="I924" s="14" t="str">
        <f aca="false">IF(OR(E924="",E924="!!!",F924="NEW"),"",INDEX(B$2:B923,-1+SUMPRODUCT(MAX(ROW(E$2:E923)*(E924=E$2:E923)))))</f>
        <v>SBJ_2</v>
      </c>
      <c r="J924" s="15" t="n">
        <f aca="true">IF(OR(E924="",E924="!!!",F924="NEW"),"",COUNTBLANK(OFFSET(A$1,,,SUMPRODUCT(MAX(ROW(E$2:E924)*(E924=E$2:E924)))))-COUNTBLANK(OFFSET(A$1,,,SUMPRODUCT(MAX(ROW(E$1:E923)*(E924=E$1:E923))))))</f>
        <v>0</v>
      </c>
      <c r="K924" s="15" t="n">
        <f aca="false">IF(OR(E924="",E924="!!!",F924="NEW"),"",INDEX(J$1:J923,SUMPRODUCT(MAX(ROW(E$1:E923)*(E924=E$1:E923)))))</f>
        <v>0</v>
      </c>
      <c r="L924" s="16"/>
    </row>
    <row r="925" customFormat="false" ht="12.75" hidden="false" customHeight="false" outlineLevel="0" collapsed="false">
      <c r="A925" s="9" t="s">
        <v>314</v>
      </c>
      <c r="B925" s="0" t="s">
        <v>24</v>
      </c>
      <c r="C925" s="0" t="s">
        <v>103</v>
      </c>
      <c r="D925" s="0" t="s">
        <v>19</v>
      </c>
      <c r="E925" s="10" t="s">
        <v>327</v>
      </c>
      <c r="F925" s="11" t="str">
        <f aca="false">IF(OR(E925="",E925="!!!"),"",IF(NOT(ISNA(VLOOKUP(E925,E$1:E924,1,FALSE()))),"OLD",IF(AND(E925&lt;&gt;"",E925&lt;&gt;"!!!"),"NEW","")))</f>
        <v>OLD</v>
      </c>
      <c r="G925" s="12" t="s">
        <v>33</v>
      </c>
      <c r="H925" s="13" t="str">
        <f aca="false">IF(J925&lt;&gt;1,"",IF(I925="SBJ","CB","?"))</f>
        <v>CB</v>
      </c>
      <c r="I925" s="14" t="str">
        <f aca="false">IF(OR(E925="",E925="!!!",F925="NEW"),"",INDEX(B$2:B924,-1+SUMPRODUCT(MAX(ROW(E$2:E924)*(E925=E$2:E924)))))</f>
        <v>SBJ</v>
      </c>
      <c r="J925" s="15" t="n">
        <f aca="true">IF(OR(E925="",E925="!!!",F925="NEW"),"",COUNTBLANK(OFFSET(A$1,,,SUMPRODUCT(MAX(ROW(E$2:E925)*(E925=E$2:E925)))))-COUNTBLANK(OFFSET(A$1,,,SUMPRODUCT(MAX(ROW(E$1:E924)*(E925=E$1:E924))))))</f>
        <v>1</v>
      </c>
      <c r="K925" s="15" t="n">
        <f aca="false">IF(OR(E925="",E925="!!!",F925="NEW"),"",INDEX(J$1:J924,SUMPRODUCT(MAX(ROW(E$1:E924)*(E925=E$1:E924)))))</f>
        <v>0</v>
      </c>
      <c r="L925" s="16"/>
    </row>
    <row r="926" customFormat="false" ht="12.75" hidden="false" customHeight="false" outlineLevel="0" collapsed="false">
      <c r="A926" s="9" t="s">
        <v>28</v>
      </c>
      <c r="E926" s="10" t="str">
        <f aca="false">IF(D926="?OLD","!!!","")</f>
        <v/>
      </c>
      <c r="F926" s="11" t="str">
        <f aca="false">IF(OR(E926="",E926="!!!"),"",IF(NOT(ISNA(VLOOKUP(E926,E$1:E925,1,FALSE()))),"OLD",IF(AND(E926&lt;&gt;"",E926&lt;&gt;"!!!"),"NEW","")))</f>
        <v/>
      </c>
      <c r="G926" s="12" t="str">
        <f aca="false">IF(OR(E926="",E926="!!!"),"",IF(OR(J926=0,AND(J926=1,K926=1),AND(J926=1,I926="SBJ"),AND(J926=1,I926=0)),"?IN_FOCUS",IF(J926&lt;=2,"?ACTIVATED",IF(J926&lt;&gt;"","?FAMILIAR",IF(F926="NEW",IF(ISNA(VLOOKUP(E926,#REF!,1,FALSE())),"?TYPE_IDENTIFIABLE","?REFERENTIAL"),"_")))))</f>
        <v/>
      </c>
      <c r="H926" s="13" t="str">
        <f aca="false">IF(J926&lt;&gt;1,"",IF(I926="SBJ","CB","?"))</f>
        <v/>
      </c>
      <c r="I926" s="14" t="str">
        <f aca="false">IF(OR(E926="",E926="!!!",F926="NEW"),"",INDEX(B$2:B925,-1+SUMPRODUCT(MAX(ROW(E$2:E925)*(E926=E$2:E925)))))</f>
        <v/>
      </c>
      <c r="J926" s="15" t="str">
        <f aca="true">IF(OR(E926="",E926="!!!",F926="NEW"),"",COUNTBLANK(OFFSET(A$1,,,SUMPRODUCT(MAX(ROW(E$2:E926)*(E926=E$2:E926)))))-COUNTBLANK(OFFSET(A$1,,,SUMPRODUCT(MAX(ROW(E$1:E925)*(E926=E$1:E925))))))</f>
        <v/>
      </c>
      <c r="K926" s="15" t="str">
        <f aca="false">IF(OR(E926="",E926="!!!",F926="NEW"),"",INDEX(J$1:J925,SUMPRODUCT(MAX(ROW(E$1:E925)*(E926=E$1:E925)))))</f>
        <v/>
      </c>
      <c r="L926" s="16"/>
    </row>
    <row r="927" customFormat="false" ht="12.75" hidden="false" customHeight="false" outlineLevel="0" collapsed="false">
      <c r="A927" s="9" t="s">
        <v>138</v>
      </c>
      <c r="E927" s="10" t="str">
        <f aca="false">IF(D927="?OLD","!!!","")</f>
        <v/>
      </c>
      <c r="F927" s="11" t="str">
        <f aca="false">IF(OR(E927="",E927="!!!"),"",IF(NOT(ISNA(VLOOKUP(E927,E$1:E926,1,FALSE()))),"OLD",IF(AND(E927&lt;&gt;"",E927&lt;&gt;"!!!"),"NEW","")))</f>
        <v/>
      </c>
      <c r="G927" s="12" t="str">
        <f aca="false">IF(OR(E927="",E927="!!!"),"",IF(OR(J927=0,AND(J927=1,K927=1),AND(J927=1,I927="SBJ"),AND(J927=1,I927=0)),"?IN_FOCUS",IF(J927&lt;=2,"?ACTIVATED",IF(J927&lt;&gt;"","?FAMILIAR",IF(F927="NEW",IF(ISNA(VLOOKUP(E927,#REF!,1,FALSE())),"?TYPE_IDENTIFIABLE","?REFERENTIAL"),"_")))))</f>
        <v/>
      </c>
      <c r="H927" s="13" t="str">
        <f aca="false">IF(J927&lt;&gt;1,"",IF(I927="SBJ","CB","?"))</f>
        <v/>
      </c>
      <c r="I927" s="14" t="str">
        <f aca="false">IF(OR(E927="",E927="!!!",F927="NEW"),"",INDEX(B$2:B926,-1+SUMPRODUCT(MAX(ROW(E$2:E926)*(E927=E$2:E926)))))</f>
        <v/>
      </c>
      <c r="J927" s="15" t="str">
        <f aca="true">IF(OR(E927="",E927="!!!",F927="NEW"),"",COUNTBLANK(OFFSET(A$1,,,SUMPRODUCT(MAX(ROW(E$2:E927)*(E927=E$2:E927)))))-COUNTBLANK(OFFSET(A$1,,,SUMPRODUCT(MAX(ROW(E$1:E926)*(E927=E$1:E926))))))</f>
        <v/>
      </c>
      <c r="K927" s="15" t="str">
        <f aca="false">IF(OR(E927="",E927="!!!",F927="NEW"),"",INDEX(J$1:J926,SUMPRODUCT(MAX(ROW(E$1:E926)*(E927=E$1:E926)))))</f>
        <v/>
      </c>
      <c r="L927" s="16"/>
    </row>
    <row r="928" customFormat="false" ht="12.75" hidden="false" customHeight="false" outlineLevel="0" collapsed="false">
      <c r="A928" s="9" t="s">
        <v>465</v>
      </c>
      <c r="E928" s="10" t="str">
        <f aca="false">IF(D928="?OLD","!!!","")</f>
        <v/>
      </c>
      <c r="F928" s="11" t="str">
        <f aca="false">IF(OR(E928="",E928="!!!"),"",IF(NOT(ISNA(VLOOKUP(E928,E$1:E927,1,FALSE()))),"OLD",IF(AND(E928&lt;&gt;"",E928&lt;&gt;"!!!"),"NEW","")))</f>
        <v/>
      </c>
      <c r="G928" s="12" t="str">
        <f aca="false">IF(OR(E928="",E928="!!!"),"",IF(OR(J928=0,AND(J928=1,K928=1),AND(J928=1,I928="SBJ"),AND(J928=1,I928=0)),"?IN_FOCUS",IF(J928&lt;=2,"?ACTIVATED",IF(J928&lt;&gt;"","?FAMILIAR",IF(F928="NEW",IF(ISNA(VLOOKUP(E928,#REF!,1,FALSE())),"?TYPE_IDENTIFIABLE","?REFERENTIAL"),"_")))))</f>
        <v/>
      </c>
      <c r="H928" s="13" t="str">
        <f aca="false">IF(J928&lt;&gt;1,"",IF(I928="SBJ","CB","?"))</f>
        <v/>
      </c>
      <c r="I928" s="14" t="str">
        <f aca="false">IF(OR(E928="",E928="!!!",F928="NEW"),"",INDEX(B$2:B927,-1+SUMPRODUCT(MAX(ROW(E$2:E927)*(E928=E$2:E927)))))</f>
        <v/>
      </c>
      <c r="J928" s="15" t="str">
        <f aca="true">IF(OR(E928="",E928="!!!",F928="NEW"),"",COUNTBLANK(OFFSET(A$1,,,SUMPRODUCT(MAX(ROW(E$2:E928)*(E928=E$2:E928)))))-COUNTBLANK(OFFSET(A$1,,,SUMPRODUCT(MAX(ROW(E$1:E927)*(E928=E$1:E927))))))</f>
        <v/>
      </c>
      <c r="K928" s="15" t="str">
        <f aca="false">IF(OR(E928="",E928="!!!",F928="NEW"),"",INDEX(J$1:J927,SUMPRODUCT(MAX(ROW(E$1:E927)*(E928=E$1:E927)))))</f>
        <v/>
      </c>
      <c r="L928" s="16"/>
    </row>
    <row r="929" customFormat="false" ht="12.75" hidden="false" customHeight="false" outlineLevel="0" collapsed="false">
      <c r="A929" s="9" t="s">
        <v>331</v>
      </c>
      <c r="E929" s="10" t="str">
        <f aca="false">IF(D929="?OLD","!!!","")</f>
        <v/>
      </c>
      <c r="F929" s="11" t="str">
        <f aca="false">IF(OR(E929="",E929="!!!"),"",IF(NOT(ISNA(VLOOKUP(E929,E$1:E928,1,FALSE()))),"OLD",IF(AND(E929&lt;&gt;"",E929&lt;&gt;"!!!"),"NEW","")))</f>
        <v/>
      </c>
      <c r="G929" s="12" t="str">
        <f aca="false">IF(OR(E929="",E929="!!!"),"",IF(OR(J929=0,AND(J929=1,K929=1),AND(J929=1,I929="SBJ"),AND(J929=1,I929=0)),"?IN_FOCUS",IF(J929&lt;=2,"?ACTIVATED",IF(J929&lt;&gt;"","?FAMILIAR",IF(F929="NEW",IF(ISNA(VLOOKUP(E929,#REF!,1,FALSE())),"?TYPE_IDENTIFIABLE","?REFERENTIAL"),"_")))))</f>
        <v/>
      </c>
      <c r="H929" s="13" t="str">
        <f aca="false">IF(J929&lt;&gt;1,"",IF(I929="SBJ","CB","?"))</f>
        <v/>
      </c>
      <c r="I929" s="14" t="str">
        <f aca="false">IF(OR(E929="",E929="!!!",F929="NEW"),"",INDEX(B$2:B928,-1+SUMPRODUCT(MAX(ROW(E$2:E928)*(E929=E$2:E928)))))</f>
        <v/>
      </c>
      <c r="J929" s="15" t="str">
        <f aca="true">IF(OR(E929="",E929="!!!",F929="NEW"),"",COUNTBLANK(OFFSET(A$1,,,SUMPRODUCT(MAX(ROW(E$2:E929)*(E929=E$2:E929)))))-COUNTBLANK(OFFSET(A$1,,,SUMPRODUCT(MAX(ROW(E$1:E928)*(E929=E$1:E928))))))</f>
        <v/>
      </c>
      <c r="K929" s="15" t="str">
        <f aca="false">IF(OR(E929="",E929="!!!",F929="NEW"),"",INDEX(J$1:J928,SUMPRODUCT(MAX(ROW(E$1:E928)*(E929=E$1:E928)))))</f>
        <v/>
      </c>
      <c r="L929" s="16"/>
    </row>
    <row r="930" customFormat="false" ht="12.75" hidden="false" customHeight="false" outlineLevel="0" collapsed="false">
      <c r="A930" s="9" t="s">
        <v>228</v>
      </c>
      <c r="B930" s="0" t="s">
        <v>127</v>
      </c>
      <c r="C930" s="0" t="s">
        <v>128</v>
      </c>
      <c r="D930" s="0" t="s">
        <v>19</v>
      </c>
      <c r="E930" s="10" t="s">
        <v>187</v>
      </c>
      <c r="F930" s="11" t="str">
        <f aca="false">IF(OR(E930="",E930="!!!"),"",IF(NOT(ISNA(VLOOKUP(E930,E$1:E929,1,FALSE()))),"OLD",IF(AND(E930&lt;&gt;"",E930&lt;&gt;"!!!"),"NEW","")))</f>
        <v>OLD</v>
      </c>
      <c r="G930" s="12" t="s">
        <v>65</v>
      </c>
      <c r="H930" s="13" t="str">
        <f aca="false">IF(J930&lt;&gt;1,"",IF(I930="SBJ","CB","?"))</f>
        <v/>
      </c>
      <c r="I930" s="14" t="str">
        <f aca="false">IF(OR(E930="",E930="!!!",F930="NEW"),"",INDEX(B$2:B929,-1+SUMPRODUCT(MAX(ROW(E$2:E929)*(E930=E$2:E929)))))</f>
        <v>SBJ_4</v>
      </c>
      <c r="J930" s="15" t="n">
        <f aca="true">IF(OR(E930="",E930="!!!",F930="NEW"),"",COUNTBLANK(OFFSET(A$1,,,SUMPRODUCT(MAX(ROW(E$2:E930)*(E930=E$2:E930)))))-COUNTBLANK(OFFSET(A$1,,,SUMPRODUCT(MAX(ROW(E$1:E929)*(E930=E$1:E929))))))</f>
        <v>0</v>
      </c>
      <c r="K930" s="15" t="n">
        <f aca="false">IF(OR(E930="",E930="!!!",F930="NEW"),"",INDEX(J$1:J929,SUMPRODUCT(MAX(ROW(E$1:E929)*(E930=E$1:E929)))))</f>
        <v>1</v>
      </c>
      <c r="L930" s="16"/>
    </row>
    <row r="931" customFormat="false" ht="12.75" hidden="false" customHeight="false" outlineLevel="0" collapsed="false">
      <c r="A931" s="9" t="s">
        <v>375</v>
      </c>
      <c r="E931" s="10" t="str">
        <f aca="false">IF(D931="?OLD","!!!","")</f>
        <v/>
      </c>
      <c r="F931" s="11" t="str">
        <f aca="false">IF(OR(E931="",E931="!!!"),"",IF(NOT(ISNA(VLOOKUP(E931,E$1:E930,1,FALSE()))),"OLD",IF(AND(E931&lt;&gt;"",E931&lt;&gt;"!!!"),"NEW","")))</f>
        <v/>
      </c>
      <c r="G931" s="12" t="str">
        <f aca="false">IF(OR(E931="",E931="!!!"),"",IF(OR(J931=0,AND(J931=1,K931=1),AND(J931=1,I931="SBJ"),AND(J931=1,I931=0)),"?IN_FOCUS",IF(J931&lt;=2,"?ACTIVATED",IF(J931&lt;&gt;"","?FAMILIAR",IF(F931="NEW",IF(ISNA(VLOOKUP(E931,#REF!,1,FALSE())),"?TYPE_IDENTIFIABLE","?REFERENTIAL"),"_")))))</f>
        <v/>
      </c>
      <c r="H931" s="13" t="str">
        <f aca="false">IF(J931&lt;&gt;1,"",IF(I931="SBJ","CB","?"))</f>
        <v/>
      </c>
      <c r="I931" s="14" t="str">
        <f aca="false">IF(OR(E931="",E931="!!!",F931="NEW"),"",INDEX(B$2:B930,-1+SUMPRODUCT(MAX(ROW(E$2:E930)*(E931=E$2:E930)))))</f>
        <v/>
      </c>
      <c r="J931" s="15" t="str">
        <f aca="true">IF(OR(E931="",E931="!!!",F931="NEW"),"",COUNTBLANK(OFFSET(A$1,,,SUMPRODUCT(MAX(ROW(E$2:E931)*(E931=E$2:E931)))))-COUNTBLANK(OFFSET(A$1,,,SUMPRODUCT(MAX(ROW(E$1:E930)*(E931=E$1:E930))))))</f>
        <v/>
      </c>
      <c r="K931" s="15" t="str">
        <f aca="false">IF(OR(E931="",E931="!!!",F931="NEW"),"",INDEX(J$1:J930,SUMPRODUCT(MAX(ROW(E$1:E930)*(E931=E$1:E930)))))</f>
        <v/>
      </c>
      <c r="L931" s="16"/>
    </row>
    <row r="932" customFormat="false" ht="12.75" hidden="false" customHeight="false" outlineLevel="0" collapsed="false">
      <c r="A932" s="9" t="s">
        <v>348</v>
      </c>
      <c r="B932" s="0" t="s">
        <v>62</v>
      </c>
      <c r="C932" s="0" t="s">
        <v>83</v>
      </c>
      <c r="D932" s="0" t="s">
        <v>19</v>
      </c>
      <c r="E932" s="10" t="s">
        <v>466</v>
      </c>
      <c r="F932" s="11" t="str">
        <f aca="false">IF(OR(E932="",E932="!!!"),"",IF(NOT(ISNA(VLOOKUP(E932,E$1:E931,1,FALSE()))),"OLD",IF(AND(E932&lt;&gt;"",E932&lt;&gt;"!!!"),"NEW","")))</f>
        <v>NEW</v>
      </c>
      <c r="G932" s="12" t="s">
        <v>21</v>
      </c>
      <c r="H932" s="13" t="str">
        <f aca="false">IF(J932&lt;&gt;1,"",IF(I932="SBJ","CB","?"))</f>
        <v/>
      </c>
      <c r="I932" s="14" t="str">
        <f aca="false">IF(OR(E932="",E932="!!!",F932="NEW"),"",INDEX(B$2:B931,-1+SUMPRODUCT(MAX(ROW(E$2:E931)*(E932=E$2:E931)))))</f>
        <v/>
      </c>
      <c r="J932" s="15" t="str">
        <f aca="true">IF(OR(E932="",E932="!!!",F932="NEW"),"",COUNTBLANK(OFFSET(A$1,,,SUMPRODUCT(MAX(ROW(E$2:E932)*(E932=E$2:E932)))))-COUNTBLANK(OFFSET(A$1,,,SUMPRODUCT(MAX(ROW(E$1:E931)*(E932=E$1:E931))))))</f>
        <v/>
      </c>
      <c r="K932" s="15" t="str">
        <f aca="false">IF(OR(E932="",E932="!!!",F932="NEW"),"",INDEX(J$1:J931,SUMPRODUCT(MAX(ROW(E$1:E931)*(E932=E$1:E931)))))</f>
        <v/>
      </c>
      <c r="L932" s="16"/>
    </row>
    <row r="933" customFormat="false" ht="12.75" hidden="false" customHeight="false" outlineLevel="0" collapsed="false">
      <c r="A933" s="9" t="s">
        <v>28</v>
      </c>
      <c r="E933" s="10" t="str">
        <f aca="false">IF(D933="?OLD","!!!","")</f>
        <v/>
      </c>
      <c r="F933" s="11" t="str">
        <f aca="false">IF(OR(E933="",E933="!!!"),"",IF(NOT(ISNA(VLOOKUP(E933,E$1:E932,1,FALSE()))),"OLD",IF(AND(E933&lt;&gt;"",E933&lt;&gt;"!!!"),"NEW","")))</f>
        <v/>
      </c>
      <c r="G933" s="12" t="str">
        <f aca="false">IF(OR(E933="",E933="!!!"),"",IF(OR(J933=0,AND(J933=1,K933=1),AND(J933=1,I933="SBJ"),AND(J933=1,I933=0)),"?IN_FOCUS",IF(J933&lt;=2,"?ACTIVATED",IF(J933&lt;&gt;"","?FAMILIAR",IF(F933="NEW",IF(ISNA(VLOOKUP(E933,#REF!,1,FALSE())),"?TYPE_IDENTIFIABLE","?REFERENTIAL"),"_")))))</f>
        <v/>
      </c>
      <c r="H933" s="13" t="str">
        <f aca="false">IF(J933&lt;&gt;1,"",IF(I933="SBJ","CB","?"))</f>
        <v/>
      </c>
      <c r="I933" s="14" t="str">
        <f aca="false">IF(OR(E933="",E933="!!!",F933="NEW"),"",INDEX(B$2:B932,-1+SUMPRODUCT(MAX(ROW(E$2:E932)*(E933=E$2:E932)))))</f>
        <v/>
      </c>
      <c r="J933" s="15" t="str">
        <f aca="true">IF(OR(E933="",E933="!!!",F933="NEW"),"",COUNTBLANK(OFFSET(A$1,,,SUMPRODUCT(MAX(ROW(E$2:E933)*(E933=E$2:E933)))))-COUNTBLANK(OFFSET(A$1,,,SUMPRODUCT(MAX(ROW(E$1:E932)*(E933=E$1:E932))))))</f>
        <v/>
      </c>
      <c r="K933" s="15" t="str">
        <f aca="false">IF(OR(E933="",E933="!!!",F933="NEW"),"",INDEX(J$1:J932,SUMPRODUCT(MAX(ROW(E$1:E932)*(E933=E$1:E932)))))</f>
        <v/>
      </c>
      <c r="L933" s="16"/>
    </row>
    <row r="934" customFormat="false" ht="12.75" hidden="false" customHeight="false" outlineLevel="0" collapsed="false">
      <c r="A934" s="9" t="s">
        <v>467</v>
      </c>
      <c r="E934" s="10" t="str">
        <f aca="false">IF(D934="?OLD","!!!","")</f>
        <v/>
      </c>
      <c r="F934" s="11" t="str">
        <f aca="false">IF(OR(E934="",E934="!!!"),"",IF(NOT(ISNA(VLOOKUP(E934,E$1:E933,1,FALSE()))),"OLD",IF(AND(E934&lt;&gt;"",E934&lt;&gt;"!!!"),"NEW","")))</f>
        <v/>
      </c>
      <c r="G934" s="12" t="str">
        <f aca="false">IF(OR(E934="",E934="!!!"),"",IF(OR(J934=0,AND(J934=1,K934=1),AND(J934=1,I934="SBJ"),AND(J934=1,I934=0)),"?IN_FOCUS",IF(J934&lt;=2,"?ACTIVATED",IF(J934&lt;&gt;"","?FAMILIAR",IF(F934="NEW",IF(ISNA(VLOOKUP(E934,#REF!,1,FALSE())),"?TYPE_IDENTIFIABLE","?REFERENTIAL"),"_")))))</f>
        <v/>
      </c>
      <c r="H934" s="13" t="str">
        <f aca="false">IF(J934&lt;&gt;1,"",IF(I934="SBJ","CB","?"))</f>
        <v/>
      </c>
      <c r="I934" s="14" t="str">
        <f aca="false">IF(OR(E934="",E934="!!!",F934="NEW"),"",INDEX(B$2:B933,-1+SUMPRODUCT(MAX(ROW(E$2:E933)*(E934=E$2:E933)))))</f>
        <v/>
      </c>
      <c r="J934" s="15" t="str">
        <f aca="true">IF(OR(E934="",E934="!!!",F934="NEW"),"",COUNTBLANK(OFFSET(A$1,,,SUMPRODUCT(MAX(ROW(E$2:E934)*(E934=E$2:E934)))))-COUNTBLANK(OFFSET(A$1,,,SUMPRODUCT(MAX(ROW(E$1:E933)*(E934=E$1:E933))))))</f>
        <v/>
      </c>
      <c r="K934" s="15" t="str">
        <f aca="false">IF(OR(E934="",E934="!!!",F934="NEW"),"",INDEX(J$1:J933,SUMPRODUCT(MAX(ROW(E$1:E933)*(E934=E$1:E933)))))</f>
        <v/>
      </c>
      <c r="L934" s="16"/>
    </row>
    <row r="935" customFormat="false" ht="12.75" hidden="false" customHeight="false" outlineLevel="0" collapsed="false">
      <c r="A935" s="9" t="s">
        <v>259</v>
      </c>
      <c r="B935" s="0" t="s">
        <v>217</v>
      </c>
      <c r="C935" s="0" t="s">
        <v>31</v>
      </c>
      <c r="D935" s="0" t="s">
        <v>19</v>
      </c>
      <c r="E935" s="10" t="s">
        <v>187</v>
      </c>
      <c r="F935" s="11" t="str">
        <f aca="false">IF(OR(E935="",E935="!!!"),"",IF(NOT(ISNA(VLOOKUP(E935,E$1:E934,1,FALSE()))),"OLD",IF(AND(E935&lt;&gt;"",E935&lt;&gt;"!!!"),"NEW","")))</f>
        <v>OLD</v>
      </c>
      <c r="G935" s="12" t="s">
        <v>65</v>
      </c>
      <c r="H935" s="13" t="str">
        <f aca="false">IF(J935&lt;&gt;1,"",IF(I935="SBJ","CB","?"))</f>
        <v/>
      </c>
      <c r="I935" s="14" t="str">
        <f aca="false">IF(OR(E935="",E935="!!!",F935="NEW"),"",INDEX(B$2:B934,-1+SUMPRODUCT(MAX(ROW(E$2:E934)*(E935=E$2:E934)))))</f>
        <v>other_5</v>
      </c>
      <c r="J935" s="15" t="n">
        <f aca="true">IF(OR(E935="",E935="!!!",F935="NEW"),"",COUNTBLANK(OFFSET(A$1,,,SUMPRODUCT(MAX(ROW(E$2:E935)*(E935=E$2:E935)))))-COUNTBLANK(OFFSET(A$1,,,SUMPRODUCT(MAX(ROW(E$1:E934)*(E935=E$1:E934))))))</f>
        <v>0</v>
      </c>
      <c r="K935" s="15" t="n">
        <f aca="false">IF(OR(E935="",E935="!!!",F935="NEW"),"",INDEX(J$1:J934,SUMPRODUCT(MAX(ROW(E$1:E934)*(E935=E$1:E934)))))</f>
        <v>0</v>
      </c>
      <c r="L935" s="16"/>
    </row>
    <row r="936" customFormat="false" ht="12.75" hidden="false" customHeight="false" outlineLevel="0" collapsed="false">
      <c r="A936" s="9" t="s">
        <v>407</v>
      </c>
      <c r="E936" s="10" t="str">
        <f aca="false">IF(D936="?OLD","!!!","")</f>
        <v/>
      </c>
      <c r="F936" s="11" t="str">
        <f aca="false">IF(OR(E936="",E936="!!!"),"",IF(NOT(ISNA(VLOOKUP(E936,E$1:E935,1,FALSE()))),"OLD",IF(AND(E936&lt;&gt;"",E936&lt;&gt;"!!!"),"NEW","")))</f>
        <v/>
      </c>
      <c r="G936" s="12" t="str">
        <f aca="false">IF(OR(E936="",E936="!!!"),"",IF(OR(J936=0,AND(J936=1,K936=1),AND(J936=1,I936="SBJ"),AND(J936=1,I936=0)),"?IN_FOCUS",IF(J936&lt;=2,"?ACTIVATED",IF(J936&lt;&gt;"","?FAMILIAR",IF(F936="NEW",IF(ISNA(VLOOKUP(E936,#REF!,1,FALSE())),"?TYPE_IDENTIFIABLE","?REFERENTIAL"),"_")))))</f>
        <v/>
      </c>
      <c r="H936" s="13" t="str">
        <f aca="false">IF(J936&lt;&gt;1,"",IF(I936="SBJ","CB","?"))</f>
        <v/>
      </c>
      <c r="I936" s="14" t="str">
        <f aca="false">IF(OR(E936="",E936="!!!",F936="NEW"),"",INDEX(B$2:B935,-1+SUMPRODUCT(MAX(ROW(E$2:E935)*(E936=E$2:E935)))))</f>
        <v/>
      </c>
      <c r="J936" s="15" t="str">
        <f aca="true">IF(OR(E936="",E936="!!!",F936="NEW"),"",COUNTBLANK(OFFSET(A$1,,,SUMPRODUCT(MAX(ROW(E$2:E936)*(E936=E$2:E936)))))-COUNTBLANK(OFFSET(A$1,,,SUMPRODUCT(MAX(ROW(E$1:E935)*(E936=E$1:E935))))))</f>
        <v/>
      </c>
      <c r="K936" s="15" t="str">
        <f aca="false">IF(OR(E936="",E936="!!!",F936="NEW"),"",INDEX(J$1:J935,SUMPRODUCT(MAX(ROW(E$1:E935)*(E936=E$1:E935)))))</f>
        <v/>
      </c>
      <c r="L936" s="16"/>
    </row>
    <row r="937" customFormat="false" ht="12.75" hidden="false" customHeight="false" outlineLevel="0" collapsed="false">
      <c r="A937" s="9" t="s">
        <v>266</v>
      </c>
      <c r="B937" s="0" t="s">
        <v>221</v>
      </c>
      <c r="C937" s="0" t="s">
        <v>128</v>
      </c>
      <c r="D937" s="0" t="s">
        <v>19</v>
      </c>
      <c r="E937" s="10" t="s">
        <v>327</v>
      </c>
      <c r="F937" s="11" t="str">
        <f aca="false">IF(OR(E937="",E937="!!!"),"",IF(NOT(ISNA(VLOOKUP(E937,E$1:E936,1,FALSE()))),"OLD",IF(AND(E937&lt;&gt;"",E937&lt;&gt;"!!!"),"NEW","")))</f>
        <v>OLD</v>
      </c>
      <c r="G937" s="12" t="s">
        <v>65</v>
      </c>
      <c r="H937" s="13" t="str">
        <f aca="false">IF(J937&lt;&gt;1,"",IF(I937="SBJ","CB","?"))</f>
        <v/>
      </c>
      <c r="I937" s="14" t="str">
        <f aca="false">IF(OR(E937="",E937="!!!",F937="NEW"),"",INDEX(B$2:B936,-1+SUMPRODUCT(MAX(ROW(E$2:E936)*(E937=E$2:E936)))))</f>
        <v>other_3</v>
      </c>
      <c r="J937" s="15" t="n">
        <f aca="true">IF(OR(E937="",E937="!!!",F937="NEW"),"",COUNTBLANK(OFFSET(A$1,,,SUMPRODUCT(MAX(ROW(E$2:E937)*(E937=E$2:E937)))))-COUNTBLANK(OFFSET(A$1,,,SUMPRODUCT(MAX(ROW(E$1:E936)*(E937=E$1:E936))))))</f>
        <v>0</v>
      </c>
      <c r="K937" s="15" t="n">
        <f aca="false">IF(OR(E937="",E937="!!!",F937="NEW"),"",INDEX(J$1:J936,SUMPRODUCT(MAX(ROW(E$1:E936)*(E937=E$1:E936)))))</f>
        <v>1</v>
      </c>
      <c r="L937" s="16"/>
    </row>
    <row r="938" customFormat="false" ht="12.75" hidden="false" customHeight="false" outlineLevel="0" collapsed="false">
      <c r="A938" s="9" t="s">
        <v>468</v>
      </c>
      <c r="B938" s="0" t="s">
        <v>223</v>
      </c>
      <c r="C938" s="0" t="s">
        <v>83</v>
      </c>
      <c r="D938" s="0" t="s">
        <v>19</v>
      </c>
      <c r="E938" s="10" t="s">
        <v>469</v>
      </c>
      <c r="F938" s="11" t="str">
        <f aca="false">IF(OR(E938="",E938="!!!"),"",IF(NOT(ISNA(VLOOKUP(E938,E$1:E937,1,FALSE()))),"OLD",IF(AND(E938&lt;&gt;"",E938&lt;&gt;"!!!"),"NEW","")))</f>
        <v>NEW</v>
      </c>
      <c r="G938" s="12" t="s">
        <v>21</v>
      </c>
      <c r="H938" s="13" t="str">
        <f aca="false">IF(J938&lt;&gt;1,"",IF(I938="SBJ","CB","?"))</f>
        <v/>
      </c>
      <c r="I938" s="14" t="str">
        <f aca="false">IF(OR(E938="",E938="!!!",F938="NEW"),"",INDEX(B$2:B937,-1+SUMPRODUCT(MAX(ROW(E$2:E937)*(E938=E$2:E937)))))</f>
        <v/>
      </c>
      <c r="J938" s="15" t="str">
        <f aca="true">IF(OR(E938="",E938="!!!",F938="NEW"),"",COUNTBLANK(OFFSET(A$1,,,SUMPRODUCT(MAX(ROW(E$2:E938)*(E938=E$2:E938)))))-COUNTBLANK(OFFSET(A$1,,,SUMPRODUCT(MAX(ROW(E$1:E937)*(E938=E$1:E937))))))</f>
        <v/>
      </c>
      <c r="K938" s="15" t="str">
        <f aca="false">IF(OR(E938="",E938="!!!",F938="NEW"),"",INDEX(J$1:J937,SUMPRODUCT(MAX(ROW(E$1:E937)*(E938=E$1:E937)))))</f>
        <v/>
      </c>
      <c r="L938" s="16"/>
    </row>
    <row r="939" customFormat="false" ht="12.75" hidden="false" customHeight="false" outlineLevel="0" collapsed="false">
      <c r="A939" s="9" t="s">
        <v>53</v>
      </c>
      <c r="E939" s="10" t="str">
        <f aca="false">IF(D939="?OLD","!!!","")</f>
        <v/>
      </c>
      <c r="F939" s="11" t="str">
        <f aca="false">IF(OR(E939="",E939="!!!"),"",IF(NOT(ISNA(VLOOKUP(E939,E$1:E938,1,FALSE()))),"OLD",IF(AND(E939&lt;&gt;"",E939&lt;&gt;"!!!"),"NEW","")))</f>
        <v/>
      </c>
      <c r="G939" s="12" t="str">
        <f aca="false">IF(OR(E939="",E939="!!!"),"",IF(OR(J939=0,AND(J939=1,K939=1),AND(J939=1,I939="SBJ"),AND(J939=1,I939=0)),"?IN_FOCUS",IF(J939&lt;=2,"?ACTIVATED",IF(J939&lt;&gt;"","?FAMILIAR",IF(F939="NEW",IF(ISNA(VLOOKUP(E939,#REF!,1,FALSE())),"?TYPE_IDENTIFIABLE","?REFERENTIAL"),"_")))))</f>
        <v/>
      </c>
      <c r="H939" s="13" t="str">
        <f aca="false">IF(J939&lt;&gt;1,"",IF(I939="SBJ","CB","?"))</f>
        <v/>
      </c>
      <c r="I939" s="14" t="str">
        <f aca="false">IF(OR(E939="",E939="!!!",F939="NEW"),"",INDEX(B$2:B938,-1+SUMPRODUCT(MAX(ROW(E$2:E938)*(E939=E$2:E938)))))</f>
        <v/>
      </c>
      <c r="J939" s="15" t="str">
        <f aca="true">IF(OR(E939="",E939="!!!",F939="NEW"),"",COUNTBLANK(OFFSET(A$1,,,SUMPRODUCT(MAX(ROW(E$2:E939)*(E939=E$2:E939)))))-COUNTBLANK(OFFSET(A$1,,,SUMPRODUCT(MAX(ROW(E$1:E938)*(E939=E$1:E938))))))</f>
        <v/>
      </c>
      <c r="K939" s="15" t="str">
        <f aca="false">IF(OR(E939="",E939="!!!",F939="NEW"),"",INDEX(J$1:J938,SUMPRODUCT(MAX(ROW(E$1:E938)*(E939=E$1:E938)))))</f>
        <v/>
      </c>
      <c r="L939" s="16"/>
    </row>
    <row r="940" customFormat="false" ht="12.75" hidden="false" customHeight="false" outlineLevel="0" collapsed="false">
      <c r="A940" s="9" t="s">
        <v>470</v>
      </c>
      <c r="B940" s="0" t="s">
        <v>471</v>
      </c>
      <c r="C940" s="0" t="s">
        <v>56</v>
      </c>
      <c r="E940" s="10" t="str">
        <f aca="false">IF(D940="?OLD","!!!","")</f>
        <v/>
      </c>
      <c r="F940" s="11" t="str">
        <f aca="false">IF(OR(E940="",E940="!!!"),"",IF(NOT(ISNA(VLOOKUP(E940,E$1:E939,1,FALSE()))),"OLD",IF(AND(E940&lt;&gt;"",E940&lt;&gt;"!!!"),"NEW","")))</f>
        <v/>
      </c>
      <c r="G940" s="12" t="str">
        <f aca="false">IF(OR(E940="",E940="!!!"),"",IF(OR(J940=0,AND(J940=1,K940=1),AND(J940=1,I940="SBJ"),AND(J940=1,I940=0)),"?IN_FOCUS",IF(J940&lt;=2,"?ACTIVATED",IF(J940&lt;&gt;"","?FAMILIAR",IF(F940="NEW",IF(ISNA(VLOOKUP(E940,#REF!,1,FALSE())),"?TYPE_IDENTIFIABLE","?REFERENTIAL"),"_")))))</f>
        <v/>
      </c>
      <c r="H940" s="13" t="str">
        <f aca="false">IF(J940&lt;&gt;1,"",IF(I940="SBJ","CB","?"))</f>
        <v/>
      </c>
      <c r="I940" s="14" t="str">
        <f aca="false">IF(OR(E940="",E940="!!!",F940="NEW"),"",INDEX(B$2:B939,-1+SUMPRODUCT(MAX(ROW(E$2:E939)*(E940=E$2:E939)))))</f>
        <v/>
      </c>
      <c r="J940" s="15" t="str">
        <f aca="true">IF(OR(E940="",E940="!!!",F940="NEW"),"",COUNTBLANK(OFFSET(A$1,,,SUMPRODUCT(MAX(ROW(E$2:E940)*(E940=E$2:E940)))))-COUNTBLANK(OFFSET(A$1,,,SUMPRODUCT(MAX(ROW(E$1:E939)*(E940=E$1:E939))))))</f>
        <v/>
      </c>
      <c r="K940" s="15" t="str">
        <f aca="false">IF(OR(E940="",E940="!!!",F940="NEW"),"",INDEX(J$1:J939,SUMPRODUCT(MAX(ROW(E$1:E939)*(E940=E$1:E939)))))</f>
        <v/>
      </c>
      <c r="L940" s="16"/>
    </row>
    <row r="941" customFormat="false" ht="12.75" hidden="false" customHeight="false" outlineLevel="0" collapsed="false">
      <c r="A941" s="9" t="s">
        <v>472</v>
      </c>
      <c r="E941" s="10" t="str">
        <f aca="false">IF(D941="?OLD","!!!","")</f>
        <v/>
      </c>
      <c r="F941" s="11" t="str">
        <f aca="false">IF(OR(E941="",E941="!!!"),"",IF(NOT(ISNA(VLOOKUP(E941,E$1:E940,1,FALSE()))),"OLD",IF(AND(E941&lt;&gt;"",E941&lt;&gt;"!!!"),"NEW","")))</f>
        <v/>
      </c>
      <c r="G941" s="12" t="str">
        <f aca="false">IF(OR(E941="",E941="!!!"),"",IF(OR(J941=0,AND(J941=1,K941=1),AND(J941=1,I941="SBJ"),AND(J941=1,I941=0)),"?IN_FOCUS",IF(J941&lt;=2,"?ACTIVATED",IF(J941&lt;&gt;"","?FAMILIAR",IF(F941="NEW",IF(ISNA(VLOOKUP(E941,#REF!,1,FALSE())),"?TYPE_IDENTIFIABLE","?REFERENTIAL"),"_")))))</f>
        <v/>
      </c>
      <c r="H941" s="13" t="str">
        <f aca="false">IF(J941&lt;&gt;1,"",IF(I941="SBJ","CB","?"))</f>
        <v/>
      </c>
      <c r="I941" s="14" t="str">
        <f aca="false">IF(OR(E941="",E941="!!!",F941="NEW"),"",INDEX(B$2:B940,-1+SUMPRODUCT(MAX(ROW(E$2:E940)*(E941=E$2:E940)))))</f>
        <v/>
      </c>
      <c r="J941" s="15" t="str">
        <f aca="true">IF(OR(E941="",E941="!!!",F941="NEW"),"",COUNTBLANK(OFFSET(A$1,,,SUMPRODUCT(MAX(ROW(E$2:E941)*(E941=E$2:E941)))))-COUNTBLANK(OFFSET(A$1,,,SUMPRODUCT(MAX(ROW(E$1:E940)*(E941=E$1:E940))))))</f>
        <v/>
      </c>
      <c r="K941" s="15" t="str">
        <f aca="false">IF(OR(E941="",E941="!!!",F941="NEW"),"",INDEX(J$1:J940,SUMPRODUCT(MAX(ROW(E$1:E940)*(E941=E$1:E940)))))</f>
        <v/>
      </c>
      <c r="L941" s="16"/>
    </row>
    <row r="942" customFormat="false" ht="12.75" hidden="false" customHeight="false" outlineLevel="0" collapsed="false">
      <c r="A942" s="9" t="s">
        <v>266</v>
      </c>
      <c r="B942" s="0" t="s">
        <v>221</v>
      </c>
      <c r="C942" s="0" t="s">
        <v>128</v>
      </c>
      <c r="D942" s="0" t="s">
        <v>19</v>
      </c>
      <c r="E942" s="10" t="s">
        <v>327</v>
      </c>
      <c r="F942" s="11" t="str">
        <f aca="false">IF(OR(E942="",E942="!!!"),"",IF(NOT(ISNA(VLOOKUP(E942,E$1:E941,1,FALSE()))),"OLD",IF(AND(E942&lt;&gt;"",E942&lt;&gt;"!!!"),"NEW","")))</f>
        <v>OLD</v>
      </c>
      <c r="G942" s="12" t="s">
        <v>65</v>
      </c>
      <c r="H942" s="13" t="str">
        <f aca="false">IF(J942&lt;&gt;1,"",IF(I942="SBJ","CB","?"))</f>
        <v/>
      </c>
      <c r="I942" s="14" t="str">
        <f aca="false">IF(OR(E942="",E942="!!!",F942="NEW"),"",INDEX(B$2:B941,-1+SUMPRODUCT(MAX(ROW(E$2:E941)*(E942=E$2:E941)))))</f>
        <v>other_7</v>
      </c>
      <c r="J942" s="15" t="n">
        <f aca="true">IF(OR(E942="",E942="!!!",F942="NEW"),"",COUNTBLANK(OFFSET(A$1,,,SUMPRODUCT(MAX(ROW(E$2:E942)*(E942=E$2:E942)))))-COUNTBLANK(OFFSET(A$1,,,SUMPRODUCT(MAX(ROW(E$1:E941)*(E942=E$1:E941))))))</f>
        <v>0</v>
      </c>
      <c r="K942" s="15" t="n">
        <f aca="false">IF(OR(E942="",E942="!!!",F942="NEW"),"",INDEX(J$1:J941,SUMPRODUCT(MAX(ROW(E$1:E941)*(E942=E$1:E941)))))</f>
        <v>0</v>
      </c>
      <c r="L942" s="16"/>
    </row>
    <row r="943" customFormat="false" ht="12.75" hidden="false" customHeight="false" outlineLevel="0" collapsed="false">
      <c r="A943" s="9" t="s">
        <v>473</v>
      </c>
      <c r="B943" s="0" t="s">
        <v>175</v>
      </c>
      <c r="C943" s="0" t="s">
        <v>83</v>
      </c>
      <c r="D943" s="0" t="s">
        <v>19</v>
      </c>
      <c r="E943" s="10" t="s">
        <v>474</v>
      </c>
      <c r="F943" s="11" t="str">
        <f aca="false">IF(OR(E943="",E943="!!!"),"",IF(NOT(ISNA(VLOOKUP(E943,E$1:E942,1,FALSE()))),"OLD",IF(AND(E943&lt;&gt;"",E943&lt;&gt;"!!!"),"NEW","")))</f>
        <v>NEW</v>
      </c>
      <c r="G943" s="12" t="s">
        <v>21</v>
      </c>
      <c r="H943" s="13" t="str">
        <f aca="false">IF(J943&lt;&gt;1,"",IF(I943="SBJ","CB","?"))</f>
        <v/>
      </c>
      <c r="I943" s="14" t="str">
        <f aca="false">IF(OR(E943="",E943="!!!",F943="NEW"),"",INDEX(B$2:B942,-1+SUMPRODUCT(MAX(ROW(E$2:E942)*(E943=E$2:E942)))))</f>
        <v/>
      </c>
      <c r="J943" s="15" t="str">
        <f aca="true">IF(OR(E943="",E943="!!!",F943="NEW"),"",COUNTBLANK(OFFSET(A$1,,,SUMPRODUCT(MAX(ROW(E$2:E943)*(E943=E$2:E943)))))-COUNTBLANK(OFFSET(A$1,,,SUMPRODUCT(MAX(ROW(E$1:E942)*(E943=E$1:E942))))))</f>
        <v/>
      </c>
      <c r="K943" s="15" t="str">
        <f aca="false">IF(OR(E943="",E943="!!!",F943="NEW"),"",INDEX(J$1:J942,SUMPRODUCT(MAX(ROW(E$1:E942)*(E943=E$1:E942)))))</f>
        <v/>
      </c>
      <c r="L943" s="16"/>
    </row>
    <row r="944" customFormat="false" ht="12.75" hidden="false" customHeight="false" outlineLevel="0" collapsed="false">
      <c r="A944" s="9" t="s">
        <v>44</v>
      </c>
      <c r="E944" s="10" t="str">
        <f aca="false">IF(D944="?OLD","!!!","")</f>
        <v/>
      </c>
      <c r="F944" s="11" t="str">
        <f aca="false">IF(OR(E944="",E944="!!!"),"",IF(NOT(ISNA(VLOOKUP(E944,E$1:E943,1,FALSE()))),"OLD",IF(AND(E944&lt;&gt;"",E944&lt;&gt;"!!!"),"NEW","")))</f>
        <v/>
      </c>
      <c r="G944" s="12" t="str">
        <f aca="false">IF(OR(E944="",E944="!!!"),"",IF(OR(J944=0,AND(J944=1,K944=1),AND(J944=1,I944="SBJ"),AND(J944=1,I944=0)),"?IN_FOCUS",IF(J944&lt;=2,"?ACTIVATED",IF(J944&lt;&gt;"","?FAMILIAR",IF(F944="NEW",IF(ISNA(VLOOKUP(E944,#REF!,1,FALSE())),"?TYPE_IDENTIFIABLE","?REFERENTIAL"),"_")))))</f>
        <v/>
      </c>
      <c r="H944" s="13" t="str">
        <f aca="false">IF(J944&lt;&gt;1,"",IF(I944="SBJ","CB","?"))</f>
        <v/>
      </c>
      <c r="I944" s="14" t="str">
        <f aca="false">IF(OR(E944="",E944="!!!",F944="NEW"),"",INDEX(B$2:B943,-1+SUMPRODUCT(MAX(ROW(E$2:E943)*(E944=E$2:E943)))))</f>
        <v/>
      </c>
      <c r="J944" s="15" t="str">
        <f aca="true">IF(OR(E944="",E944="!!!",F944="NEW"),"",COUNTBLANK(OFFSET(A$1,,,SUMPRODUCT(MAX(ROW(E$2:E944)*(E944=E$2:E944)))))-COUNTBLANK(OFFSET(A$1,,,SUMPRODUCT(MAX(ROW(E$1:E943)*(E944=E$1:E943))))))</f>
        <v/>
      </c>
      <c r="K944" s="15" t="str">
        <f aca="false">IF(OR(E944="",E944="!!!",F944="NEW"),"",INDEX(J$1:J943,SUMPRODUCT(MAX(ROW(E$1:E943)*(E944=E$1:E943)))))</f>
        <v/>
      </c>
      <c r="L944" s="16"/>
    </row>
    <row r="945" customFormat="false" ht="12.75" hidden="false" customHeight="false" outlineLevel="0" collapsed="false">
      <c r="A945" s="9" t="s">
        <v>475</v>
      </c>
      <c r="E945" s="10" t="str">
        <f aca="false">IF(D945="?OLD","!!!","")</f>
        <v/>
      </c>
      <c r="F945" s="11" t="str">
        <f aca="false">IF(OR(E945="",E945="!!!"),"",IF(NOT(ISNA(VLOOKUP(E945,E$1:E944,1,FALSE()))),"OLD",IF(AND(E945&lt;&gt;"",E945&lt;&gt;"!!!"),"NEW","")))</f>
        <v/>
      </c>
      <c r="G945" s="12" t="str">
        <f aca="false">IF(OR(E945="",E945="!!!"),"",IF(OR(J945=0,AND(J945=1,K945=1),AND(J945=1,I945="SBJ"),AND(J945=1,I945=0)),"?IN_FOCUS",IF(J945&lt;=2,"?ACTIVATED",IF(J945&lt;&gt;"","?FAMILIAR",IF(F945="NEW",IF(ISNA(VLOOKUP(E945,#REF!,1,FALSE())),"?TYPE_IDENTIFIABLE","?REFERENTIAL"),"_")))))</f>
        <v/>
      </c>
      <c r="H945" s="13" t="str">
        <f aca="false">IF(J945&lt;&gt;1,"",IF(I945="SBJ","CB","?"))</f>
        <v/>
      </c>
      <c r="I945" s="14" t="str">
        <f aca="false">IF(OR(E945="",E945="!!!",F945="NEW"),"",INDEX(B$2:B944,-1+SUMPRODUCT(MAX(ROW(E$2:E944)*(E945=E$2:E944)))))</f>
        <v/>
      </c>
      <c r="J945" s="15" t="str">
        <f aca="true">IF(OR(E945="",E945="!!!",F945="NEW"),"",COUNTBLANK(OFFSET(A$1,,,SUMPRODUCT(MAX(ROW(E$2:E945)*(E945=E$2:E945)))))-COUNTBLANK(OFFSET(A$1,,,SUMPRODUCT(MAX(ROW(E$1:E944)*(E945=E$1:E944))))))</f>
        <v/>
      </c>
      <c r="K945" s="15" t="str">
        <f aca="false">IF(OR(E945="",E945="!!!",F945="NEW"),"",INDEX(J$1:J944,SUMPRODUCT(MAX(ROW(E$1:E944)*(E945=E$1:E944)))))</f>
        <v/>
      </c>
      <c r="L945" s="16"/>
    </row>
    <row r="946" customFormat="false" ht="12.75" hidden="false" customHeight="false" outlineLevel="0" collapsed="false">
      <c r="E946" s="10" t="str">
        <f aca="false">IF(D946="?OLD","!!!","")</f>
        <v/>
      </c>
      <c r="F946" s="11" t="str">
        <f aca="false">IF(OR(E946="",E946="!!!"),"",IF(NOT(ISNA(VLOOKUP(E946,E$1:E945,1,FALSE()))),"OLD",IF(AND(E946&lt;&gt;"",E946&lt;&gt;"!!!"),"NEW","")))</f>
        <v/>
      </c>
      <c r="G946" s="12" t="str">
        <f aca="false">IF(OR(E946="",E946="!!!"),"",IF(OR(J946=0,AND(J946=1,K946=1),AND(J946=1,I946="SBJ"),AND(J946=1,I946=0)),"?IN_FOCUS",IF(J946&lt;=2,"?ACTIVATED",IF(J946&lt;&gt;"","?FAMILIAR",IF(F946="NEW",IF(ISNA(VLOOKUP(E946,#REF!,1,FALSE())),"?TYPE_IDENTIFIABLE","?REFERENTIAL"),"_")))))</f>
        <v/>
      </c>
      <c r="H946" s="13" t="str">
        <f aca="false">IF(J946&lt;&gt;1,"",IF(I946="SBJ","CB","?"))</f>
        <v/>
      </c>
      <c r="I946" s="14" t="str">
        <f aca="false">IF(OR(E946="",E946="!!!",F946="NEW"),"",INDEX(B$2:B945,-1+SUMPRODUCT(MAX(ROW(E$2:E945)*(E946=E$2:E945)))))</f>
        <v/>
      </c>
      <c r="J946" s="15" t="str">
        <f aca="true">IF(OR(E946="",E946="!!!",F946="NEW"),"",COUNTBLANK(OFFSET(A$1,,,SUMPRODUCT(MAX(ROW(E$2:E946)*(E946=E$2:E946)))))-COUNTBLANK(OFFSET(A$1,,,SUMPRODUCT(MAX(ROW(E$1:E945)*(E946=E$1:E945))))))</f>
        <v/>
      </c>
      <c r="K946" s="15" t="str">
        <f aca="false">IF(OR(E946="",E946="!!!",F946="NEW"),"",INDEX(J$1:J945,SUMPRODUCT(MAX(ROW(E$1:E945)*(E946=E$1:E945)))))</f>
        <v/>
      </c>
      <c r="L946" s="16"/>
    </row>
    <row r="947" customFormat="false" ht="12.75" hidden="false" customHeight="false" outlineLevel="0" collapsed="false">
      <c r="A947" s="9" t="s">
        <v>132</v>
      </c>
      <c r="E947" s="10" t="str">
        <f aca="false">IF(D947="?OLD","!!!","")</f>
        <v/>
      </c>
      <c r="F947" s="11" t="str">
        <f aca="false">IF(OR(E947="",E947="!!!"),"",IF(NOT(ISNA(VLOOKUP(E947,E$1:E946,1,FALSE()))),"OLD",IF(AND(E947&lt;&gt;"",E947&lt;&gt;"!!!"),"NEW","")))</f>
        <v/>
      </c>
      <c r="G947" s="12" t="str">
        <f aca="false">IF(OR(E947="",E947="!!!"),"",IF(OR(J947=0,AND(J947=1,K947=1),AND(J947=1,I947="SBJ"),AND(J947=1,I947=0)),"?IN_FOCUS",IF(J947&lt;=2,"?ACTIVATED",IF(J947&lt;&gt;"","?FAMILIAR",IF(F947="NEW",IF(ISNA(VLOOKUP(E947,#REF!,1,FALSE())),"?TYPE_IDENTIFIABLE","?REFERENTIAL"),"_")))))</f>
        <v/>
      </c>
      <c r="H947" s="13" t="str">
        <f aca="false">IF(J947&lt;&gt;1,"",IF(I947="SBJ","CB","?"))</f>
        <v/>
      </c>
      <c r="I947" s="14" t="str">
        <f aca="false">IF(OR(E947="",E947="!!!",F947="NEW"),"",INDEX(B$2:B946,-1+SUMPRODUCT(MAX(ROW(E$2:E946)*(E947=E$2:E946)))))</f>
        <v/>
      </c>
      <c r="J947" s="15" t="str">
        <f aca="true">IF(OR(E947="",E947="!!!",F947="NEW"),"",COUNTBLANK(OFFSET(A$1,,,SUMPRODUCT(MAX(ROW(E$2:E947)*(E947=E$2:E947)))))-COUNTBLANK(OFFSET(A$1,,,SUMPRODUCT(MAX(ROW(E$1:E946)*(E947=E$1:E946))))))</f>
        <v/>
      </c>
      <c r="K947" s="15" t="str">
        <f aca="false">IF(OR(E947="",E947="!!!",F947="NEW"),"",INDEX(J$1:J946,SUMPRODUCT(MAX(ROW(E$1:E946)*(E947=E$1:E946)))))</f>
        <v/>
      </c>
      <c r="L947" s="16"/>
    </row>
    <row r="948" customFormat="false" ht="12.75" hidden="false" customHeight="false" outlineLevel="0" collapsed="false">
      <c r="A948" s="9" t="s">
        <v>476</v>
      </c>
      <c r="E948" s="10" t="str">
        <f aca="false">IF(D948="?OLD","!!!","")</f>
        <v/>
      </c>
      <c r="F948" s="11" t="str">
        <f aca="false">IF(OR(E948="",E948="!!!"),"",IF(NOT(ISNA(VLOOKUP(E948,E$1:E947,1,FALSE()))),"OLD",IF(AND(E948&lt;&gt;"",E948&lt;&gt;"!!!"),"NEW","")))</f>
        <v/>
      </c>
      <c r="G948" s="12" t="str">
        <f aca="false">IF(OR(E948="",E948="!!!"),"",IF(OR(J948=0,AND(J948=1,K948=1),AND(J948=1,I948="SBJ"),AND(J948=1,I948=0)),"?IN_FOCUS",IF(J948&lt;=2,"?ACTIVATED",IF(J948&lt;&gt;"","?FAMILIAR",IF(F948="NEW",IF(ISNA(VLOOKUP(E948,#REF!,1,FALSE())),"?TYPE_IDENTIFIABLE","?REFERENTIAL"),"_")))))</f>
        <v/>
      </c>
      <c r="H948" s="13" t="str">
        <f aca="false">IF(J948&lt;&gt;1,"",IF(I948="SBJ","CB","?"))</f>
        <v/>
      </c>
      <c r="I948" s="14" t="str">
        <f aca="false">IF(OR(E948="",E948="!!!",F948="NEW"),"",INDEX(B$2:B947,-1+SUMPRODUCT(MAX(ROW(E$2:E947)*(E948=E$2:E947)))))</f>
        <v/>
      </c>
      <c r="J948" s="15" t="str">
        <f aca="true">IF(OR(E948="",E948="!!!",F948="NEW"),"",COUNTBLANK(OFFSET(A$1,,,SUMPRODUCT(MAX(ROW(E$2:E948)*(E948=E$2:E948)))))-COUNTBLANK(OFFSET(A$1,,,SUMPRODUCT(MAX(ROW(E$1:E947)*(E948=E$1:E947))))))</f>
        <v/>
      </c>
      <c r="K948" s="15" t="str">
        <f aca="false">IF(OR(E948="",E948="!!!",F948="NEW"),"",INDEX(J$1:J947,SUMPRODUCT(MAX(ROW(E$1:E947)*(E948=E$1:E947)))))</f>
        <v/>
      </c>
      <c r="L948" s="16"/>
    </row>
    <row r="949" customFormat="false" ht="12.75" hidden="false" customHeight="false" outlineLevel="0" collapsed="false">
      <c r="A949" s="9" t="s">
        <v>138</v>
      </c>
      <c r="E949" s="10" t="str">
        <f aca="false">IF(D949="?OLD","!!!","")</f>
        <v/>
      </c>
      <c r="F949" s="11" t="str">
        <f aca="false">IF(OR(E949="",E949="!!!"),"",IF(NOT(ISNA(VLOOKUP(E949,E$1:E948,1,FALSE()))),"OLD",IF(AND(E949&lt;&gt;"",E949&lt;&gt;"!!!"),"NEW","")))</f>
        <v/>
      </c>
      <c r="G949" s="12" t="str">
        <f aca="false">IF(OR(E949="",E949="!!!"),"",IF(OR(J949=0,AND(J949=1,K949=1),AND(J949=1,I949="SBJ"),AND(J949=1,I949=0)),"?IN_FOCUS",IF(J949&lt;=2,"?ACTIVATED",IF(J949&lt;&gt;"","?FAMILIAR",IF(F949="NEW",IF(ISNA(VLOOKUP(E949,#REF!,1,FALSE())),"?TYPE_IDENTIFIABLE","?REFERENTIAL"),"_")))))</f>
        <v/>
      </c>
      <c r="H949" s="13" t="str">
        <f aca="false">IF(J949&lt;&gt;1,"",IF(I949="SBJ","CB","?"))</f>
        <v/>
      </c>
      <c r="I949" s="14" t="str">
        <f aca="false">IF(OR(E949="",E949="!!!",F949="NEW"),"",INDEX(B$2:B948,-1+SUMPRODUCT(MAX(ROW(E$2:E948)*(E949=E$2:E948)))))</f>
        <v/>
      </c>
      <c r="J949" s="15" t="str">
        <f aca="true">IF(OR(E949="",E949="!!!",F949="NEW"),"",COUNTBLANK(OFFSET(A$1,,,SUMPRODUCT(MAX(ROW(E$2:E949)*(E949=E$2:E949)))))-COUNTBLANK(OFFSET(A$1,,,SUMPRODUCT(MAX(ROW(E$1:E948)*(E949=E$1:E948))))))</f>
        <v/>
      </c>
      <c r="K949" s="15" t="str">
        <f aca="false">IF(OR(E949="",E949="!!!",F949="NEW"),"",INDEX(J$1:J948,SUMPRODUCT(MAX(ROW(E$1:E948)*(E949=E$1:E948)))))</f>
        <v/>
      </c>
      <c r="L949" s="16"/>
    </row>
    <row r="950" customFormat="false" ht="12.75" hidden="false" customHeight="false" outlineLevel="0" collapsed="false">
      <c r="A950" s="9" t="s">
        <v>477</v>
      </c>
      <c r="E950" s="10" t="str">
        <f aca="false">IF(D950="?OLD","!!!","")</f>
        <v/>
      </c>
      <c r="F950" s="11" t="str">
        <f aca="false">IF(OR(E950="",E950="!!!"),"",IF(NOT(ISNA(VLOOKUP(E950,E$1:E949,1,FALSE()))),"OLD",IF(AND(E950&lt;&gt;"",E950&lt;&gt;"!!!"),"NEW","")))</f>
        <v/>
      </c>
      <c r="G950" s="12" t="str">
        <f aca="false">IF(OR(E950="",E950="!!!"),"",IF(OR(J950=0,AND(J950=1,K950=1),AND(J950=1,I950="SBJ"),AND(J950=1,I950=0)),"?IN_FOCUS",IF(J950&lt;=2,"?ACTIVATED",IF(J950&lt;&gt;"","?FAMILIAR",IF(F950="NEW",IF(ISNA(VLOOKUP(E950,#REF!,1,FALSE())),"?TYPE_IDENTIFIABLE","?REFERENTIAL"),"_")))))</f>
        <v/>
      </c>
      <c r="H950" s="13" t="str">
        <f aca="false">IF(J950&lt;&gt;1,"",IF(I950="SBJ","CB","?"))</f>
        <v/>
      </c>
      <c r="I950" s="14" t="str">
        <f aca="false">IF(OR(E950="",E950="!!!",F950="NEW"),"",INDEX(B$2:B949,-1+SUMPRODUCT(MAX(ROW(E$2:E949)*(E950=E$2:E949)))))</f>
        <v/>
      </c>
      <c r="J950" s="15" t="str">
        <f aca="true">IF(OR(E950="",E950="!!!",F950="NEW"),"",COUNTBLANK(OFFSET(A$1,,,SUMPRODUCT(MAX(ROW(E$2:E950)*(E950=E$2:E950)))))-COUNTBLANK(OFFSET(A$1,,,SUMPRODUCT(MAX(ROW(E$1:E949)*(E950=E$1:E949))))))</f>
        <v/>
      </c>
      <c r="K950" s="15" t="str">
        <f aca="false">IF(OR(E950="",E950="!!!",F950="NEW"),"",INDEX(J$1:J949,SUMPRODUCT(MAX(ROW(E$1:E949)*(E950=E$1:E949)))))</f>
        <v/>
      </c>
      <c r="L950" s="16"/>
    </row>
    <row r="951" customFormat="false" ht="12.75" hidden="false" customHeight="false" outlineLevel="0" collapsed="false">
      <c r="A951" s="9" t="s">
        <v>36</v>
      </c>
      <c r="E951" s="10" t="str">
        <f aca="false">IF(D951="?OLD","!!!","")</f>
        <v/>
      </c>
      <c r="F951" s="11" t="str">
        <f aca="false">IF(OR(E951="",E951="!!!"),"",IF(NOT(ISNA(VLOOKUP(E951,E$1:E950,1,FALSE()))),"OLD",IF(AND(E951&lt;&gt;"",E951&lt;&gt;"!!!"),"NEW","")))</f>
        <v/>
      </c>
      <c r="G951" s="12" t="str">
        <f aca="false">IF(OR(E951="",E951="!!!"),"",IF(OR(J951=0,AND(J951=1,K951=1),AND(J951=1,I951="SBJ"),AND(J951=1,I951=0)),"?IN_FOCUS",IF(J951&lt;=2,"?ACTIVATED",IF(J951&lt;&gt;"","?FAMILIAR",IF(F951="NEW",IF(ISNA(VLOOKUP(E951,#REF!,1,FALSE())),"?TYPE_IDENTIFIABLE","?REFERENTIAL"),"_")))))</f>
        <v/>
      </c>
      <c r="H951" s="13" t="str">
        <f aca="false">IF(J951&lt;&gt;1,"",IF(I951="SBJ","CB","?"))</f>
        <v/>
      </c>
      <c r="I951" s="14" t="str">
        <f aca="false">IF(OR(E951="",E951="!!!",F951="NEW"),"",INDEX(B$2:B950,-1+SUMPRODUCT(MAX(ROW(E$2:E950)*(E951=E$2:E950)))))</f>
        <v/>
      </c>
      <c r="J951" s="15" t="str">
        <f aca="true">IF(OR(E951="",E951="!!!",F951="NEW"),"",COUNTBLANK(OFFSET(A$1,,,SUMPRODUCT(MAX(ROW(E$2:E951)*(E951=E$2:E951)))))-COUNTBLANK(OFFSET(A$1,,,SUMPRODUCT(MAX(ROW(E$1:E950)*(E951=E$1:E950))))))</f>
        <v/>
      </c>
      <c r="K951" s="15" t="str">
        <f aca="false">IF(OR(E951="",E951="!!!",F951="NEW"),"",INDEX(J$1:J950,SUMPRODUCT(MAX(ROW(E$1:E950)*(E951=E$1:E950)))))</f>
        <v/>
      </c>
      <c r="L951" s="16"/>
    </row>
    <row r="952" customFormat="false" ht="12.75" hidden="false" customHeight="false" outlineLevel="0" collapsed="false">
      <c r="A952" s="9" t="s">
        <v>15</v>
      </c>
      <c r="E952" s="10" t="str">
        <f aca="false">IF(D952="?OLD","!!!","")</f>
        <v/>
      </c>
      <c r="F952" s="11" t="str">
        <f aca="false">IF(OR(E952="",E952="!!!"),"",IF(NOT(ISNA(VLOOKUP(E952,E$1:E951,1,FALSE()))),"OLD",IF(AND(E952&lt;&gt;"",E952&lt;&gt;"!!!"),"NEW","")))</f>
        <v/>
      </c>
      <c r="G952" s="12" t="str">
        <f aca="false">IF(OR(E952="",E952="!!!"),"",IF(OR(J952=0,AND(J952=1,K952=1),AND(J952=1,I952="SBJ"),AND(J952=1,I952=0)),"?IN_FOCUS",IF(J952&lt;=2,"?ACTIVATED",IF(J952&lt;&gt;"","?FAMILIAR",IF(F952="NEW",IF(ISNA(VLOOKUP(E952,#REF!,1,FALSE())),"?TYPE_IDENTIFIABLE","?REFERENTIAL"),"_")))))</f>
        <v/>
      </c>
      <c r="H952" s="13" t="str">
        <f aca="false">IF(J952&lt;&gt;1,"",IF(I952="SBJ","CB","?"))</f>
        <v/>
      </c>
      <c r="I952" s="14" t="str">
        <f aca="false">IF(OR(E952="",E952="!!!",F952="NEW"),"",INDEX(B$2:B951,-1+SUMPRODUCT(MAX(ROW(E$2:E951)*(E952=E$2:E951)))))</f>
        <v/>
      </c>
      <c r="J952" s="15" t="str">
        <f aca="true">IF(OR(E952="",E952="!!!",F952="NEW"),"",COUNTBLANK(OFFSET(A$1,,,SUMPRODUCT(MAX(ROW(E$2:E952)*(E952=E$2:E952)))))-COUNTBLANK(OFFSET(A$1,,,SUMPRODUCT(MAX(ROW(E$1:E951)*(E952=E$1:E951))))))</f>
        <v/>
      </c>
      <c r="K952" s="15" t="str">
        <f aca="false">IF(OR(E952="",E952="!!!",F952="NEW"),"",INDEX(J$1:J951,SUMPRODUCT(MAX(ROW(E$1:E951)*(E952=E$1:E951)))))</f>
        <v/>
      </c>
      <c r="L952" s="16"/>
    </row>
    <row r="953" customFormat="false" ht="12.75" hidden="false" customHeight="false" outlineLevel="0" collapsed="false">
      <c r="A953" s="9" t="s">
        <v>67</v>
      </c>
      <c r="B953" s="0" t="s">
        <v>152</v>
      </c>
      <c r="C953" s="0" t="s">
        <v>83</v>
      </c>
      <c r="D953" s="0" t="s">
        <v>19</v>
      </c>
      <c r="E953" s="10" t="s">
        <v>68</v>
      </c>
      <c r="F953" s="11" t="str">
        <f aca="false">IF(OR(E953="",E953="!!!"),"",IF(NOT(ISNA(VLOOKUP(E953,E$1:E952,1,FALSE()))),"OLD",IF(AND(E953&lt;&gt;"",E953&lt;&gt;"!!!"),"NEW","")))</f>
        <v>OLD</v>
      </c>
      <c r="G953" s="12" t="s">
        <v>52</v>
      </c>
      <c r="H953" s="13" t="str">
        <f aca="false">IF(J953&lt;&gt;1,"",IF(I953="SBJ","CB","?"))</f>
        <v/>
      </c>
      <c r="I953" s="14" t="str">
        <f aca="false">IF(OR(E953="",E953="!!!",F953="NEW"),"",INDEX(B$2:B952,-1+SUMPRODUCT(MAX(ROW(E$2:E952)*(E953=E$2:E952)))))</f>
        <v>OBJ_2</v>
      </c>
      <c r="J953" s="15" t="n">
        <f aca="true">IF(OR(E953="",E953="!!!",F953="NEW"),"",COUNTBLANK(OFFSET(A$1,,,SUMPRODUCT(MAX(ROW(E$2:E953)*(E953=E$2:E953)))))-COUNTBLANK(OFFSET(A$1,,,SUMPRODUCT(MAX(ROW(E$1:E952)*(E953=E$1:E952))))))</f>
        <v>34</v>
      </c>
      <c r="K953" s="15" t="str">
        <f aca="false">IF(OR(E953="",E953="!!!",F953="NEW"),"",INDEX(J$1:J952,SUMPRODUCT(MAX(ROW(E$1:E952)*(E953=E$1:E952)))))</f>
        <v/>
      </c>
      <c r="L953" s="16"/>
    </row>
    <row r="954" customFormat="false" ht="12.75" hidden="false" customHeight="false" outlineLevel="0" collapsed="false">
      <c r="A954" s="9" t="s">
        <v>22</v>
      </c>
      <c r="E954" s="10" t="str">
        <f aca="false">IF(D954="?OLD","!!!","")</f>
        <v/>
      </c>
      <c r="F954" s="11" t="str">
        <f aca="false">IF(OR(E954="",E954="!!!"),"",IF(NOT(ISNA(VLOOKUP(E954,E$1:E953,1,FALSE()))),"OLD",IF(AND(E954&lt;&gt;"",E954&lt;&gt;"!!!"),"NEW","")))</f>
        <v/>
      </c>
      <c r="G954" s="12" t="str">
        <f aca="false">IF(OR(E954="",E954="!!!"),"",IF(OR(J954=0,AND(J954=1,K954=1),AND(J954=1,I954="SBJ"),AND(J954=1,I954=0)),"?IN_FOCUS",IF(J954&lt;=2,"?ACTIVATED",IF(J954&lt;&gt;"","?FAMILIAR",IF(F954="NEW",IF(ISNA(VLOOKUP(E954,#REF!,1,FALSE())),"?TYPE_IDENTIFIABLE","?REFERENTIAL"),"_")))))</f>
        <v/>
      </c>
      <c r="H954" s="13" t="str">
        <f aca="false">IF(J954&lt;&gt;1,"",IF(I954="SBJ","CB","?"))</f>
        <v/>
      </c>
      <c r="I954" s="14" t="str">
        <f aca="false">IF(OR(E954="",E954="!!!",F954="NEW"),"",INDEX(B$2:B953,-1+SUMPRODUCT(MAX(ROW(E$2:E953)*(E954=E$2:E953)))))</f>
        <v/>
      </c>
      <c r="J954" s="15" t="str">
        <f aca="true">IF(OR(E954="",E954="!!!",F954="NEW"),"",COUNTBLANK(OFFSET(A$1,,,SUMPRODUCT(MAX(ROW(E$2:E954)*(E954=E$2:E954)))))-COUNTBLANK(OFFSET(A$1,,,SUMPRODUCT(MAX(ROW(E$1:E953)*(E954=E$1:E953))))))</f>
        <v/>
      </c>
      <c r="K954" s="15" t="str">
        <f aca="false">IF(OR(E954="",E954="!!!",F954="NEW"),"",INDEX(J$1:J953,SUMPRODUCT(MAX(ROW(E$1:E953)*(E954=E$1:E953)))))</f>
        <v/>
      </c>
      <c r="L954" s="16"/>
    </row>
    <row r="955" customFormat="false" ht="12.75" hidden="false" customHeight="false" outlineLevel="0" collapsed="false">
      <c r="A955" s="9" t="s">
        <v>325</v>
      </c>
      <c r="B955" s="0" t="s">
        <v>75</v>
      </c>
      <c r="C955" s="0" t="s">
        <v>103</v>
      </c>
      <c r="D955" s="0" t="s">
        <v>19</v>
      </c>
      <c r="E955" s="10" t="s">
        <v>325</v>
      </c>
      <c r="F955" s="11" t="str">
        <f aca="false">IF(OR(E955="",E955="!!!"),"",IF(NOT(ISNA(VLOOKUP(E955,E$1:E954,1,FALSE()))),"OLD",IF(AND(E955&lt;&gt;"",E955&lt;&gt;"!!!"),"NEW","")))</f>
        <v>NEW</v>
      </c>
      <c r="G955" s="12" t="s">
        <v>52</v>
      </c>
      <c r="H955" s="13" t="str">
        <f aca="false">IF(J955&lt;&gt;1,"",IF(I955="SBJ","CB","?"))</f>
        <v/>
      </c>
      <c r="I955" s="14" t="str">
        <f aca="false">IF(OR(E955="",E955="!!!",F955="NEW"),"",INDEX(B$2:B954,-1+SUMPRODUCT(MAX(ROW(E$2:E954)*(E955=E$2:E954)))))</f>
        <v/>
      </c>
      <c r="J955" s="15" t="str">
        <f aca="true">IF(OR(E955="",E955="!!!",F955="NEW"),"",COUNTBLANK(OFFSET(A$1,,,SUMPRODUCT(MAX(ROW(E$2:E955)*(E955=E$2:E955)))))-COUNTBLANK(OFFSET(A$1,,,SUMPRODUCT(MAX(ROW(E$1:E954)*(E955=E$1:E954))))))</f>
        <v/>
      </c>
      <c r="K955" s="15" t="str">
        <f aca="false">IF(OR(E955="",E955="!!!",F955="NEW"),"",INDEX(J$1:J954,SUMPRODUCT(MAX(ROW(E$1:E954)*(E955=E$1:E954)))))</f>
        <v/>
      </c>
      <c r="L955" s="16"/>
    </row>
    <row r="956" customFormat="false" ht="12.75" hidden="false" customHeight="false" outlineLevel="0" collapsed="false">
      <c r="A956" s="9" t="s">
        <v>451</v>
      </c>
      <c r="E956" s="10" t="str">
        <f aca="false">IF(D956="?OLD","!!!","")</f>
        <v/>
      </c>
      <c r="F956" s="11" t="str">
        <f aca="false">IF(OR(E956="",E956="!!!"),"",IF(NOT(ISNA(VLOOKUP(E956,E$1:E955,1,FALSE()))),"OLD",IF(AND(E956&lt;&gt;"",E956&lt;&gt;"!!!"),"NEW","")))</f>
        <v/>
      </c>
      <c r="G956" s="12" t="str">
        <f aca="false">IF(OR(E956="",E956="!!!"),"",IF(OR(J956=0,AND(J956=1,K956=1),AND(J956=1,I956="SBJ"),AND(J956=1,I956=0)),"?IN_FOCUS",IF(J956&lt;=2,"?ACTIVATED",IF(J956&lt;&gt;"","?FAMILIAR",IF(F956="NEW",IF(ISNA(VLOOKUP(E956,#REF!,1,FALSE())),"?TYPE_IDENTIFIABLE","?REFERENTIAL"),"_")))))</f>
        <v/>
      </c>
      <c r="H956" s="13" t="str">
        <f aca="false">IF(J956&lt;&gt;1,"",IF(I956="SBJ","CB","?"))</f>
        <v/>
      </c>
      <c r="I956" s="14" t="str">
        <f aca="false">IF(OR(E956="",E956="!!!",F956="NEW"),"",INDEX(B$2:B955,-1+SUMPRODUCT(MAX(ROW(E$2:E955)*(E956=E$2:E955)))))</f>
        <v/>
      </c>
      <c r="J956" s="15" t="str">
        <f aca="true">IF(OR(E956="",E956="!!!",F956="NEW"),"",COUNTBLANK(OFFSET(A$1,,,SUMPRODUCT(MAX(ROW(E$2:E956)*(E956=E$2:E956)))))-COUNTBLANK(OFFSET(A$1,,,SUMPRODUCT(MAX(ROW(E$1:E955)*(E956=E$1:E955))))))</f>
        <v/>
      </c>
      <c r="K956" s="15" t="str">
        <f aca="false">IF(OR(E956="",E956="!!!",F956="NEW"),"",INDEX(J$1:J955,SUMPRODUCT(MAX(ROW(E$1:E955)*(E956=E$1:E955)))))</f>
        <v/>
      </c>
      <c r="L956" s="16"/>
    </row>
    <row r="957" customFormat="false" ht="12.75" hidden="false" customHeight="false" outlineLevel="0" collapsed="false">
      <c r="A957" s="9" t="s">
        <v>339</v>
      </c>
      <c r="E957" s="10" t="str">
        <f aca="false">IF(D957="?OLD","!!!","")</f>
        <v/>
      </c>
      <c r="F957" s="11" t="str">
        <f aca="false">IF(OR(E957="",E957="!!!"),"",IF(NOT(ISNA(VLOOKUP(E957,E$1:E956,1,FALSE()))),"OLD",IF(AND(E957&lt;&gt;"",E957&lt;&gt;"!!!"),"NEW","")))</f>
        <v/>
      </c>
      <c r="G957" s="12" t="str">
        <f aca="false">IF(OR(E957="",E957="!!!"),"",IF(OR(J957=0,AND(J957=1,K957=1),AND(J957=1,I957="SBJ"),AND(J957=1,I957=0)),"?IN_FOCUS",IF(J957&lt;=2,"?ACTIVATED",IF(J957&lt;&gt;"","?FAMILIAR",IF(F957="NEW",IF(ISNA(VLOOKUP(E957,#REF!,1,FALSE())),"?TYPE_IDENTIFIABLE","?REFERENTIAL"),"_")))))</f>
        <v/>
      </c>
      <c r="H957" s="13" t="str">
        <f aca="false">IF(J957&lt;&gt;1,"",IF(I957="SBJ","CB","?"))</f>
        <v/>
      </c>
      <c r="I957" s="14" t="str">
        <f aca="false">IF(OR(E957="",E957="!!!",F957="NEW"),"",INDEX(B$2:B956,-1+SUMPRODUCT(MAX(ROW(E$2:E956)*(E957=E$2:E956)))))</f>
        <v/>
      </c>
      <c r="J957" s="15" t="str">
        <f aca="true">IF(OR(E957="",E957="!!!",F957="NEW"),"",COUNTBLANK(OFFSET(A$1,,,SUMPRODUCT(MAX(ROW(E$2:E957)*(E957=E$2:E957)))))-COUNTBLANK(OFFSET(A$1,,,SUMPRODUCT(MAX(ROW(E$1:E956)*(E957=E$1:E956))))))</f>
        <v/>
      </c>
      <c r="K957" s="15" t="str">
        <f aca="false">IF(OR(E957="",E957="!!!",F957="NEW"),"",INDEX(J$1:J956,SUMPRODUCT(MAX(ROW(E$1:E956)*(E957=E$1:E956)))))</f>
        <v/>
      </c>
      <c r="L957" s="16"/>
    </row>
    <row r="958" customFormat="false" ht="12.75" hidden="false" customHeight="false" outlineLevel="0" collapsed="false">
      <c r="A958" s="9" t="s">
        <v>478</v>
      </c>
      <c r="E958" s="10" t="str">
        <f aca="false">IF(D958="?OLD","!!!","")</f>
        <v/>
      </c>
      <c r="F958" s="11" t="str">
        <f aca="false">IF(OR(E958="",E958="!!!"),"",IF(NOT(ISNA(VLOOKUP(E958,E$1:E957,1,FALSE()))),"OLD",IF(AND(E958&lt;&gt;"",E958&lt;&gt;"!!!"),"NEW","")))</f>
        <v/>
      </c>
      <c r="G958" s="12" t="str">
        <f aca="false">IF(OR(E958="",E958="!!!"),"",IF(OR(J958=0,AND(J958=1,K958=1),AND(J958=1,I958="SBJ"),AND(J958=1,I958=0)),"?IN_FOCUS",IF(J958&lt;=2,"?ACTIVATED",IF(J958&lt;&gt;"","?FAMILIAR",IF(F958="NEW",IF(ISNA(VLOOKUP(E958,#REF!,1,FALSE())),"?TYPE_IDENTIFIABLE","?REFERENTIAL"),"_")))))</f>
        <v/>
      </c>
      <c r="H958" s="13" t="str">
        <f aca="false">IF(J958&lt;&gt;1,"",IF(I958="SBJ","CB","?"))</f>
        <v/>
      </c>
      <c r="I958" s="14" t="str">
        <f aca="false">IF(OR(E958="",E958="!!!",F958="NEW"),"",INDEX(B$2:B957,-1+SUMPRODUCT(MAX(ROW(E$2:E957)*(E958=E$2:E957)))))</f>
        <v/>
      </c>
      <c r="J958" s="15" t="str">
        <f aca="true">IF(OR(E958="",E958="!!!",F958="NEW"),"",COUNTBLANK(OFFSET(A$1,,,SUMPRODUCT(MAX(ROW(E$2:E958)*(E958=E$2:E958)))))-COUNTBLANK(OFFSET(A$1,,,SUMPRODUCT(MAX(ROW(E$1:E957)*(E958=E$1:E957))))))</f>
        <v/>
      </c>
      <c r="K958" s="15" t="str">
        <f aca="false">IF(OR(E958="",E958="!!!",F958="NEW"),"",INDEX(J$1:J957,SUMPRODUCT(MAX(ROW(E$1:E957)*(E958=E$1:E957)))))</f>
        <v/>
      </c>
      <c r="L958" s="16"/>
    </row>
    <row r="959" customFormat="false" ht="12.75" hidden="false" customHeight="false" outlineLevel="0" collapsed="false">
      <c r="A959" s="9" t="s">
        <v>258</v>
      </c>
      <c r="E959" s="10" t="str">
        <f aca="false">IF(D959="?OLD","!!!","")</f>
        <v/>
      </c>
      <c r="F959" s="11" t="str">
        <f aca="false">IF(OR(E959="",E959="!!!"),"",IF(NOT(ISNA(VLOOKUP(E959,E$1:E958,1,FALSE()))),"OLD",IF(AND(E959&lt;&gt;"",E959&lt;&gt;"!!!"),"NEW","")))</f>
        <v/>
      </c>
      <c r="G959" s="12" t="str">
        <f aca="false">IF(OR(E959="",E959="!!!"),"",IF(OR(J959=0,AND(J959=1,K959=1),AND(J959=1,I959="SBJ"),AND(J959=1,I959=0)),"?IN_FOCUS",IF(J959&lt;=2,"?ACTIVATED",IF(J959&lt;&gt;"","?FAMILIAR",IF(F959="NEW",IF(ISNA(VLOOKUP(E959,#REF!,1,FALSE())),"?TYPE_IDENTIFIABLE","?REFERENTIAL"),"_")))))</f>
        <v/>
      </c>
      <c r="H959" s="13" t="str">
        <f aca="false">IF(J959&lt;&gt;1,"",IF(I959="SBJ","CB","?"))</f>
        <v/>
      </c>
      <c r="I959" s="14" t="str">
        <f aca="false">IF(OR(E959="",E959="!!!",F959="NEW"),"",INDEX(B$2:B958,-1+SUMPRODUCT(MAX(ROW(E$2:E958)*(E959=E$2:E958)))))</f>
        <v/>
      </c>
      <c r="J959" s="15" t="str">
        <f aca="true">IF(OR(E959="",E959="!!!",F959="NEW"),"",COUNTBLANK(OFFSET(A$1,,,SUMPRODUCT(MAX(ROW(E$2:E959)*(E959=E$2:E959)))))-COUNTBLANK(OFFSET(A$1,,,SUMPRODUCT(MAX(ROW(E$1:E958)*(E959=E$1:E958))))))</f>
        <v/>
      </c>
      <c r="K959" s="15" t="str">
        <f aca="false">IF(OR(E959="",E959="!!!",F959="NEW"),"",INDEX(J$1:J958,SUMPRODUCT(MAX(ROW(E$1:E958)*(E959=E$1:E958)))))</f>
        <v/>
      </c>
      <c r="L959" s="16"/>
    </row>
    <row r="960" customFormat="false" ht="12.75" hidden="false" customHeight="false" outlineLevel="0" collapsed="false">
      <c r="A960" s="9" t="s">
        <v>187</v>
      </c>
      <c r="B960" s="0" t="s">
        <v>94</v>
      </c>
      <c r="C960" s="0" t="s">
        <v>103</v>
      </c>
      <c r="D960" s="0" t="s">
        <v>19</v>
      </c>
      <c r="E960" s="10" t="s">
        <v>187</v>
      </c>
      <c r="F960" s="11" t="str">
        <f aca="false">IF(OR(E960="",E960="!!!"),"",IF(NOT(ISNA(VLOOKUP(E960,E$1:E959,1,FALSE()))),"OLD",IF(AND(E960&lt;&gt;"",E960&lt;&gt;"!!!"),"NEW","")))</f>
        <v>OLD</v>
      </c>
      <c r="G960" s="12" t="s">
        <v>33</v>
      </c>
      <c r="H960" s="13" t="s">
        <v>7</v>
      </c>
      <c r="I960" s="14" t="str">
        <f aca="false">IF(OR(E960="",E960="!!!",F960="NEW"),"",INDEX(B$2:B959,-1+SUMPRODUCT(MAX(ROW(E$2:E959)*(E960=E$2:E959)))))</f>
        <v>SBJ_5</v>
      </c>
      <c r="J960" s="15" t="n">
        <f aca="true">IF(OR(E960="",E960="!!!",F960="NEW"),"",COUNTBLANK(OFFSET(A$1,,,SUMPRODUCT(MAX(ROW(E$2:E960)*(E960=E$2:E960)))))-COUNTBLANK(OFFSET(A$1,,,SUMPRODUCT(MAX(ROW(E$1:E959)*(E960=E$1:E959))))))</f>
        <v>1</v>
      </c>
      <c r="K960" s="15" t="n">
        <f aca="false">IF(OR(E960="",E960="!!!",F960="NEW"),"",INDEX(J$1:J959,SUMPRODUCT(MAX(ROW(E$1:E959)*(E960=E$1:E959)))))</f>
        <v>0</v>
      </c>
      <c r="L960" s="16"/>
    </row>
    <row r="961" customFormat="false" ht="12.75" hidden="false" customHeight="false" outlineLevel="0" collapsed="false">
      <c r="A961" s="9" t="s">
        <v>244</v>
      </c>
      <c r="E961" s="10" t="str">
        <f aca="false">IF(D961="?OLD","!!!","")</f>
        <v/>
      </c>
      <c r="F961" s="11" t="str">
        <f aca="false">IF(OR(E961="",E961="!!!"),"",IF(NOT(ISNA(VLOOKUP(E961,E$1:E960,1,FALSE()))),"OLD",IF(AND(E961&lt;&gt;"",E961&lt;&gt;"!!!"),"NEW","")))</f>
        <v/>
      </c>
      <c r="G961" s="12" t="str">
        <f aca="false">IF(OR(E961="",E961="!!!"),"",IF(OR(J961=0,AND(J961=1,K961=1),AND(J961=1,I961="SBJ"),AND(J961=1,I961=0)),"?IN_FOCUS",IF(J961&lt;=2,"?ACTIVATED",IF(J961&lt;&gt;"","?FAMILIAR",IF(F961="NEW",IF(ISNA(VLOOKUP(E961,#REF!,1,FALSE())),"?TYPE_IDENTIFIABLE","?REFERENTIAL"),"_")))))</f>
        <v/>
      </c>
      <c r="H961" s="13" t="str">
        <f aca="false">IF(J961&lt;&gt;1,"",IF(I961="SBJ","CB","?"))</f>
        <v/>
      </c>
      <c r="I961" s="14" t="str">
        <f aca="false">IF(OR(E961="",E961="!!!",F961="NEW"),"",INDEX(B$2:B960,-1+SUMPRODUCT(MAX(ROW(E$2:E960)*(E961=E$2:E960)))))</f>
        <v/>
      </c>
      <c r="J961" s="15" t="str">
        <f aca="true">IF(OR(E961="",E961="!!!",F961="NEW"),"",COUNTBLANK(OFFSET(A$1,,,SUMPRODUCT(MAX(ROW(E$2:E961)*(E961=E$2:E961)))))-COUNTBLANK(OFFSET(A$1,,,SUMPRODUCT(MAX(ROW(E$1:E960)*(E961=E$1:E960))))))</f>
        <v/>
      </c>
      <c r="K961" s="15" t="str">
        <f aca="false">IF(OR(E961="",E961="!!!",F961="NEW"),"",INDEX(J$1:J960,SUMPRODUCT(MAX(ROW(E$1:E960)*(E961=E$1:E960)))))</f>
        <v/>
      </c>
      <c r="L961" s="16"/>
    </row>
    <row r="962" customFormat="false" ht="12.75" hidden="false" customHeight="false" outlineLevel="0" collapsed="false">
      <c r="A962" s="9" t="s">
        <v>401</v>
      </c>
      <c r="E962" s="10" t="str">
        <f aca="false">IF(D962="?OLD","!!!","")</f>
        <v/>
      </c>
      <c r="F962" s="11" t="str">
        <f aca="false">IF(OR(E962="",E962="!!!"),"",IF(NOT(ISNA(VLOOKUP(E962,E$1:E961,1,FALSE()))),"OLD",IF(AND(E962&lt;&gt;"",E962&lt;&gt;"!!!"),"NEW","")))</f>
        <v/>
      </c>
      <c r="G962" s="12" t="str">
        <f aca="false">IF(OR(E962="",E962="!!!"),"",IF(OR(J962=0,AND(J962=1,K962=1),AND(J962=1,I962="SBJ"),AND(J962=1,I962=0)),"?IN_FOCUS",IF(J962&lt;=2,"?ACTIVATED",IF(J962&lt;&gt;"","?FAMILIAR",IF(F962="NEW",IF(ISNA(VLOOKUP(E962,#REF!,1,FALSE())),"?TYPE_IDENTIFIABLE","?REFERENTIAL"),"_")))))</f>
        <v/>
      </c>
      <c r="H962" s="13" t="str">
        <f aca="false">IF(J962&lt;&gt;1,"",IF(I962="SBJ","CB","?"))</f>
        <v/>
      </c>
      <c r="I962" s="14" t="str">
        <f aca="false">IF(OR(E962="",E962="!!!",F962="NEW"),"",INDEX(B$2:B961,-1+SUMPRODUCT(MAX(ROW(E$2:E961)*(E962=E$2:E961)))))</f>
        <v/>
      </c>
      <c r="J962" s="15" t="str">
        <f aca="true">IF(OR(E962="",E962="!!!",F962="NEW"),"",COUNTBLANK(OFFSET(A$1,,,SUMPRODUCT(MAX(ROW(E$2:E962)*(E962=E$2:E962)))))-COUNTBLANK(OFFSET(A$1,,,SUMPRODUCT(MAX(ROW(E$1:E961)*(E962=E$1:E961))))))</f>
        <v/>
      </c>
      <c r="K962" s="15" t="str">
        <f aca="false">IF(OR(E962="",E962="!!!",F962="NEW"),"",INDEX(J$1:J961,SUMPRODUCT(MAX(ROW(E$1:E961)*(E962=E$1:E961)))))</f>
        <v/>
      </c>
      <c r="L962" s="16"/>
    </row>
    <row r="963" customFormat="false" ht="12.75" hidden="false" customHeight="false" outlineLevel="0" collapsed="false">
      <c r="A963" s="9" t="s">
        <v>334</v>
      </c>
      <c r="B963" s="0" t="s">
        <v>96</v>
      </c>
      <c r="C963" s="0" t="s">
        <v>31</v>
      </c>
      <c r="D963" s="0" t="s">
        <v>19</v>
      </c>
      <c r="E963" s="10" t="s">
        <v>327</v>
      </c>
      <c r="F963" s="11" t="str">
        <f aca="false">IF(OR(E963="",E963="!!!"),"",IF(NOT(ISNA(VLOOKUP(E963,E$1:E962,1,FALSE()))),"OLD",IF(AND(E963&lt;&gt;"",E963&lt;&gt;"!!!"),"NEW","")))</f>
        <v>OLD</v>
      </c>
      <c r="G963" s="12" t="s">
        <v>33</v>
      </c>
      <c r="H963" s="13"/>
      <c r="I963" s="14" t="str">
        <f aca="false">IF(OR(E963="",E963="!!!",F963="NEW"),"",INDEX(B$2:B962,-1+SUMPRODUCT(MAX(ROW(E$2:E962)*(E963=E$2:E962)))))</f>
        <v>other_7</v>
      </c>
      <c r="J963" s="15" t="n">
        <f aca="true">IF(OR(E963="",E963="!!!",F963="NEW"),"",COUNTBLANK(OFFSET(A$1,,,SUMPRODUCT(MAX(ROW(E$2:E963)*(E963=E$2:E963)))))-COUNTBLANK(OFFSET(A$1,,,SUMPRODUCT(MAX(ROW(E$1:E962)*(E963=E$1:E962))))))</f>
        <v>1</v>
      </c>
      <c r="K963" s="15" t="n">
        <f aca="false">IF(OR(E963="",E963="!!!",F963="NEW"),"",INDEX(J$1:J962,SUMPRODUCT(MAX(ROW(E$1:E962)*(E963=E$1:E962)))))</f>
        <v>0</v>
      </c>
      <c r="L963" s="16"/>
    </row>
    <row r="964" customFormat="false" ht="12.75" hidden="false" customHeight="false" outlineLevel="0" collapsed="false">
      <c r="A964" s="9" t="s">
        <v>178</v>
      </c>
      <c r="E964" s="10" t="str">
        <f aca="false">IF(D964="?OLD","!!!","")</f>
        <v/>
      </c>
      <c r="F964" s="11" t="str">
        <f aca="false">IF(OR(E964="",E964="!!!"),"",IF(NOT(ISNA(VLOOKUP(E964,E$1:E963,1,FALSE()))),"OLD",IF(AND(E964&lt;&gt;"",E964&lt;&gt;"!!!"),"NEW","")))</f>
        <v/>
      </c>
      <c r="G964" s="12" t="str">
        <f aca="false">IF(OR(E964="",E964="!!!"),"",IF(OR(J964=0,AND(J964=1,K964=1),AND(J964=1,I964="SBJ"),AND(J964=1,I964=0)),"?IN_FOCUS",IF(J964&lt;=2,"?ACTIVATED",IF(J964&lt;&gt;"","?FAMILIAR",IF(F964="NEW",IF(ISNA(VLOOKUP(E964,#REF!,1,FALSE())),"?TYPE_IDENTIFIABLE","?REFERENTIAL"),"_")))))</f>
        <v/>
      </c>
      <c r="H964" s="13" t="str">
        <f aca="false">IF(J964&lt;&gt;1,"",IF(I964="SBJ","CB","?"))</f>
        <v/>
      </c>
      <c r="I964" s="14" t="str">
        <f aca="false">IF(OR(E964="",E964="!!!",F964="NEW"),"",INDEX(B$2:B963,-1+SUMPRODUCT(MAX(ROW(E$2:E963)*(E964=E$2:E963)))))</f>
        <v/>
      </c>
      <c r="J964" s="15" t="str">
        <f aca="true">IF(OR(E964="",E964="!!!",F964="NEW"),"",COUNTBLANK(OFFSET(A$1,,,SUMPRODUCT(MAX(ROW(E$2:E964)*(E964=E$2:E964)))))-COUNTBLANK(OFFSET(A$1,,,SUMPRODUCT(MAX(ROW(E$1:E963)*(E964=E$1:E963))))))</f>
        <v/>
      </c>
      <c r="K964" s="15" t="str">
        <f aca="false">IF(OR(E964="",E964="!!!",F964="NEW"),"",INDEX(J$1:J963,SUMPRODUCT(MAX(ROW(E$1:E963)*(E964=E$1:E963)))))</f>
        <v/>
      </c>
      <c r="L964" s="16"/>
    </row>
    <row r="965" customFormat="false" ht="12.75" hidden="false" customHeight="false" outlineLevel="0" collapsed="false">
      <c r="A965" s="9" t="s">
        <v>314</v>
      </c>
      <c r="B965" s="0" t="s">
        <v>24</v>
      </c>
      <c r="C965" s="0" t="s">
        <v>103</v>
      </c>
      <c r="D965" s="0" t="s">
        <v>19</v>
      </c>
      <c r="E965" s="10" t="s">
        <v>314</v>
      </c>
      <c r="F965" s="11" t="str">
        <f aca="false">IF(OR(E965="",E965="!!!"),"",IF(NOT(ISNA(VLOOKUP(E965,E$1:E964,1,FALSE()))),"OLD",IF(AND(E965&lt;&gt;"",E965&lt;&gt;"!!!"),"NEW","")))</f>
        <v>NEW</v>
      </c>
      <c r="G965" s="12" t="s">
        <v>21</v>
      </c>
      <c r="H965" s="13" t="str">
        <f aca="false">IF(J965&lt;&gt;1,"",IF(I965="SBJ","CB","?"))</f>
        <v/>
      </c>
      <c r="I965" s="14" t="str">
        <f aca="false">IF(OR(E965="",E965="!!!",F965="NEW"),"",INDEX(B$2:B964,-1+SUMPRODUCT(MAX(ROW(E$2:E964)*(E965=E$2:E964)))))</f>
        <v/>
      </c>
      <c r="J965" s="15" t="str">
        <f aca="true">IF(OR(E965="",E965="!!!",F965="NEW"),"",COUNTBLANK(OFFSET(A$1,,,SUMPRODUCT(MAX(ROW(E$2:E965)*(E965=E$2:E965)))))-COUNTBLANK(OFFSET(A$1,,,SUMPRODUCT(MAX(ROW(E$1:E964)*(E965=E$1:E964))))))</f>
        <v/>
      </c>
      <c r="K965" s="15" t="str">
        <f aca="false">IF(OR(E965="",E965="!!!",F965="NEW"),"",INDEX(J$1:J964,SUMPRODUCT(MAX(ROW(E$1:E964)*(E965=E$1:E964)))))</f>
        <v/>
      </c>
      <c r="L965" s="16"/>
    </row>
    <row r="966" customFormat="false" ht="12.75" hidden="false" customHeight="false" outlineLevel="0" collapsed="false">
      <c r="A966" s="9" t="s">
        <v>63</v>
      </c>
      <c r="E966" s="10" t="str">
        <f aca="false">IF(D966="?OLD","!!!","")</f>
        <v/>
      </c>
      <c r="F966" s="11" t="str">
        <f aca="false">IF(OR(E966="",E966="!!!"),"",IF(NOT(ISNA(VLOOKUP(E966,E$1:E965,1,FALSE()))),"OLD",IF(AND(E966&lt;&gt;"",E966&lt;&gt;"!!!"),"NEW","")))</f>
        <v/>
      </c>
      <c r="G966" s="12" t="str">
        <f aca="false">IF(OR(E966="",E966="!!!"),"",IF(OR(J966=0,AND(J966=1,K966=1),AND(J966=1,I966="SBJ"),AND(J966=1,I966=0)),"?IN_FOCUS",IF(J966&lt;=2,"?ACTIVATED",IF(J966&lt;&gt;"","?FAMILIAR",IF(F966="NEW",IF(ISNA(VLOOKUP(E966,#REF!,1,FALSE())),"?TYPE_IDENTIFIABLE","?REFERENTIAL"),"_")))))</f>
        <v/>
      </c>
      <c r="H966" s="13" t="str">
        <f aca="false">IF(J966&lt;&gt;1,"",IF(I966="SBJ","CB","?"))</f>
        <v/>
      </c>
      <c r="I966" s="14" t="str">
        <f aca="false">IF(OR(E966="",E966="!!!",F966="NEW"),"",INDEX(B$2:B965,-1+SUMPRODUCT(MAX(ROW(E$2:E965)*(E966=E$2:E965)))))</f>
        <v/>
      </c>
      <c r="J966" s="15" t="str">
        <f aca="true">IF(OR(E966="",E966="!!!",F966="NEW"),"",COUNTBLANK(OFFSET(A$1,,,SUMPRODUCT(MAX(ROW(E$2:E966)*(E966=E$2:E966)))))-COUNTBLANK(OFFSET(A$1,,,SUMPRODUCT(MAX(ROW(E$1:E965)*(E966=E$1:E965))))))</f>
        <v/>
      </c>
      <c r="K966" s="15" t="str">
        <f aca="false">IF(OR(E966="",E966="!!!",F966="NEW"),"",INDEX(J$1:J965,SUMPRODUCT(MAX(ROW(E$1:E965)*(E966=E$1:E965)))))</f>
        <v/>
      </c>
      <c r="L966" s="16"/>
    </row>
    <row r="967" customFormat="false" ht="12.75" hidden="false" customHeight="false" outlineLevel="0" collapsed="false">
      <c r="A967" s="9" t="s">
        <v>435</v>
      </c>
      <c r="B967" s="0" t="s">
        <v>62</v>
      </c>
      <c r="C967" s="0" t="s">
        <v>103</v>
      </c>
      <c r="D967" s="0" t="s">
        <v>19</v>
      </c>
      <c r="E967" s="10" t="s">
        <v>435</v>
      </c>
      <c r="F967" s="11" t="str">
        <f aca="false">IF(OR(E967="",E967="!!!"),"",IF(NOT(ISNA(VLOOKUP(E967,E$1:E966,1,FALSE()))),"OLD",IF(AND(E967&lt;&gt;"",E967&lt;&gt;"!!!"),"NEW","")))</f>
        <v>NEW</v>
      </c>
      <c r="G967" s="12" t="s">
        <v>21</v>
      </c>
      <c r="H967" s="13" t="str">
        <f aca="false">IF(J967&lt;&gt;1,"",IF(I967="SBJ","CB","?"))</f>
        <v/>
      </c>
      <c r="I967" s="14" t="str">
        <f aca="false">IF(OR(E967="",E967="!!!",F967="NEW"),"",INDEX(B$2:B966,-1+SUMPRODUCT(MAX(ROW(E$2:E966)*(E967=E$2:E966)))))</f>
        <v/>
      </c>
      <c r="J967" s="15" t="str">
        <f aca="true">IF(OR(E967="",E967="!!!",F967="NEW"),"",COUNTBLANK(OFFSET(A$1,,,SUMPRODUCT(MAX(ROW(E$2:E967)*(E967=E$2:E967)))))-COUNTBLANK(OFFSET(A$1,,,SUMPRODUCT(MAX(ROW(E$1:E966)*(E967=E$1:E966))))))</f>
        <v/>
      </c>
      <c r="K967" s="15" t="str">
        <f aca="false">IF(OR(E967="",E967="!!!",F967="NEW"),"",INDEX(J$1:J966,SUMPRODUCT(MAX(ROW(E$1:E966)*(E967=E$1:E966)))))</f>
        <v/>
      </c>
      <c r="L967" s="16"/>
    </row>
    <row r="968" customFormat="false" ht="12.75" hidden="false" customHeight="false" outlineLevel="0" collapsed="false">
      <c r="A968" s="9" t="s">
        <v>28</v>
      </c>
      <c r="E968" s="10" t="str">
        <f aca="false">IF(D968="?OLD","!!!","")</f>
        <v/>
      </c>
      <c r="F968" s="11" t="str">
        <f aca="false">IF(OR(E968="",E968="!!!"),"",IF(NOT(ISNA(VLOOKUP(E968,E$1:E967,1,FALSE()))),"OLD",IF(AND(E968&lt;&gt;"",E968&lt;&gt;"!!!"),"NEW","")))</f>
        <v/>
      </c>
      <c r="G968" s="12" t="str">
        <f aca="false">IF(OR(E968="",E968="!!!"),"",IF(OR(J968=0,AND(J968=1,K968=1),AND(J968=1,I968="SBJ"),AND(J968=1,I968=0)),"?IN_FOCUS",IF(J968&lt;=2,"?ACTIVATED",IF(J968&lt;&gt;"","?FAMILIAR",IF(F968="NEW",IF(ISNA(VLOOKUP(E968,#REF!,1,FALSE())),"?TYPE_IDENTIFIABLE","?REFERENTIAL"),"_")))))</f>
        <v/>
      </c>
      <c r="H968" s="13" t="str">
        <f aca="false">IF(J968&lt;&gt;1,"",IF(I968="SBJ","CB","?"))</f>
        <v/>
      </c>
      <c r="I968" s="14" t="str">
        <f aca="false">IF(OR(E968="",E968="!!!",F968="NEW"),"",INDEX(B$2:B967,-1+SUMPRODUCT(MAX(ROW(E$2:E967)*(E968=E$2:E967)))))</f>
        <v/>
      </c>
      <c r="J968" s="15" t="str">
        <f aca="true">IF(OR(E968="",E968="!!!",F968="NEW"),"",COUNTBLANK(OFFSET(A$1,,,SUMPRODUCT(MAX(ROW(E$2:E968)*(E968=E$2:E968)))))-COUNTBLANK(OFFSET(A$1,,,SUMPRODUCT(MAX(ROW(E$1:E967)*(E968=E$1:E967))))))</f>
        <v/>
      </c>
      <c r="K968" s="15" t="str">
        <f aca="false">IF(OR(E968="",E968="!!!",F968="NEW"),"",INDEX(J$1:J967,SUMPRODUCT(MAX(ROW(E$1:E967)*(E968=E$1:E967)))))</f>
        <v/>
      </c>
      <c r="L968" s="16"/>
    </row>
    <row r="969" customFormat="false" ht="12.75" hidden="false" customHeight="false" outlineLevel="0" collapsed="false">
      <c r="A969" s="9" t="s">
        <v>113</v>
      </c>
      <c r="E969" s="10" t="str">
        <f aca="false">IF(D969="?OLD","!!!","")</f>
        <v/>
      </c>
      <c r="F969" s="11" t="str">
        <f aca="false">IF(OR(E969="",E969="!!!"),"",IF(NOT(ISNA(VLOOKUP(E969,E$1:E968,1,FALSE()))),"OLD",IF(AND(E969&lt;&gt;"",E969&lt;&gt;"!!!"),"NEW","")))</f>
        <v/>
      </c>
      <c r="G969" s="12" t="str">
        <f aca="false">IF(OR(E969="",E969="!!!"),"",IF(OR(J969=0,AND(J969=1,K969=1),AND(J969=1,I969="SBJ"),AND(J969=1,I969=0)),"?IN_FOCUS",IF(J969&lt;=2,"?ACTIVATED",IF(J969&lt;&gt;"","?FAMILIAR",IF(F969="NEW",IF(ISNA(VLOOKUP(E969,#REF!,1,FALSE())),"?TYPE_IDENTIFIABLE","?REFERENTIAL"),"_")))))</f>
        <v/>
      </c>
      <c r="H969" s="13" t="str">
        <f aca="false">IF(J969&lt;&gt;1,"",IF(I969="SBJ","CB","?"))</f>
        <v/>
      </c>
      <c r="I969" s="14" t="str">
        <f aca="false">IF(OR(E969="",E969="!!!",F969="NEW"),"",INDEX(B$2:B968,-1+SUMPRODUCT(MAX(ROW(E$2:E968)*(E969=E$2:E968)))))</f>
        <v/>
      </c>
      <c r="J969" s="15" t="str">
        <f aca="true">IF(OR(E969="",E969="!!!",F969="NEW"),"",COUNTBLANK(OFFSET(A$1,,,SUMPRODUCT(MAX(ROW(E$2:E969)*(E969=E$2:E969)))))-COUNTBLANK(OFFSET(A$1,,,SUMPRODUCT(MAX(ROW(E$1:E968)*(E969=E$1:E968))))))</f>
        <v/>
      </c>
      <c r="K969" s="15" t="str">
        <f aca="false">IF(OR(E969="",E969="!!!",F969="NEW"),"",INDEX(J$1:J968,SUMPRODUCT(MAX(ROW(E$1:E968)*(E969=E$1:E968)))))</f>
        <v/>
      </c>
      <c r="L969" s="16"/>
    </row>
    <row r="970" customFormat="false" ht="12.75" hidden="false" customHeight="false" outlineLevel="0" collapsed="false">
      <c r="A970" s="9" t="s">
        <v>327</v>
      </c>
      <c r="B970" s="0" t="s">
        <v>62</v>
      </c>
      <c r="C970" s="0" t="s">
        <v>103</v>
      </c>
      <c r="D970" s="0" t="s">
        <v>19</v>
      </c>
      <c r="E970" s="10" t="s">
        <v>327</v>
      </c>
      <c r="F970" s="11" t="str">
        <f aca="false">IF(OR(E970="",E970="!!!"),"",IF(NOT(ISNA(VLOOKUP(E970,E$1:E969,1,FALSE()))),"OLD",IF(AND(E970&lt;&gt;"",E970&lt;&gt;"!!!"),"NEW","")))</f>
        <v>OLD</v>
      </c>
      <c r="G970" s="12" t="s">
        <v>65</v>
      </c>
      <c r="H970" s="13" t="str">
        <f aca="false">IF(J970&lt;&gt;1,"",IF(I970="SBJ","CB","?"))</f>
        <v/>
      </c>
      <c r="I970" s="14" t="str">
        <f aca="false">IF(OR(E970="",E970="!!!",F970="NEW"),"",INDEX(B$2:B969,-1+SUMPRODUCT(MAX(ROW(E$2:E969)*(E970=E$2:E969)))))</f>
        <v>OBJ_3</v>
      </c>
      <c r="J970" s="15" t="n">
        <f aca="true">IF(OR(E970="",E970="!!!",F970="NEW"),"",COUNTBLANK(OFFSET(A$1,,,SUMPRODUCT(MAX(ROW(E$2:E970)*(E970=E$2:E970)))))-COUNTBLANK(OFFSET(A$1,,,SUMPRODUCT(MAX(ROW(E$1:E969)*(E970=E$1:E969))))))</f>
        <v>0</v>
      </c>
      <c r="K970" s="15" t="n">
        <f aca="false">IF(OR(E970="",E970="!!!",F970="NEW"),"",INDEX(J$1:J969,SUMPRODUCT(MAX(ROW(E$1:E969)*(E970=E$1:E969)))))</f>
        <v>1</v>
      </c>
      <c r="L970" s="16"/>
    </row>
    <row r="971" customFormat="false" ht="12.75" hidden="false" customHeight="false" outlineLevel="0" collapsed="false">
      <c r="A971" s="9" t="s">
        <v>353</v>
      </c>
      <c r="B971" s="0" t="s">
        <v>479</v>
      </c>
      <c r="E971" s="10" t="str">
        <f aca="false">IF(D971="?OLD","!!!","")</f>
        <v/>
      </c>
      <c r="F971" s="11" t="str">
        <f aca="false">IF(OR(E971="",E971="!!!"),"",IF(NOT(ISNA(VLOOKUP(E971,E$1:E970,1,FALSE()))),"OLD",IF(AND(E971&lt;&gt;"",E971&lt;&gt;"!!!"),"NEW","")))</f>
        <v/>
      </c>
      <c r="G971" s="12" t="str">
        <f aca="false">IF(OR(E971="",E971="!!!"),"",IF(OR(J971=0,AND(J971=1,K971=1),AND(J971=1,I971="SBJ"),AND(J971=1,I971=0)),"?IN_FOCUS",IF(J971&lt;=2,"?ACTIVATED",IF(J971&lt;&gt;"","?FAMILIAR",IF(F971="NEW",IF(ISNA(VLOOKUP(E971,#REF!,1,FALSE())),"?TYPE_IDENTIFIABLE","?REFERENTIAL"),"_")))))</f>
        <v/>
      </c>
      <c r="H971" s="13" t="str">
        <f aca="false">IF(J971&lt;&gt;1,"",IF(I971="SBJ","CB","?"))</f>
        <v/>
      </c>
      <c r="I971" s="14" t="str">
        <f aca="false">IF(OR(E971="",E971="!!!",F971="NEW"),"",INDEX(B$2:B970,-1+SUMPRODUCT(MAX(ROW(E$2:E970)*(E971=E$2:E970)))))</f>
        <v/>
      </c>
      <c r="J971" s="15" t="str">
        <f aca="true">IF(OR(E971="",E971="!!!",F971="NEW"),"",COUNTBLANK(OFFSET(A$1,,,SUMPRODUCT(MAX(ROW(E$2:E971)*(E971=E$2:E971)))))-COUNTBLANK(OFFSET(A$1,,,SUMPRODUCT(MAX(ROW(E$1:E970)*(E971=E$1:E970))))))</f>
        <v/>
      </c>
      <c r="K971" s="15" t="str">
        <f aca="false">IF(OR(E971="",E971="!!!",F971="NEW"),"",INDEX(J$1:J970,SUMPRODUCT(MAX(ROW(E$1:E970)*(E971=E$1:E970)))))</f>
        <v/>
      </c>
      <c r="L971" s="16"/>
    </row>
    <row r="972" customFormat="false" ht="12.75" hidden="false" customHeight="false" outlineLevel="0" collapsed="false">
      <c r="A972" s="9" t="s">
        <v>216</v>
      </c>
      <c r="B972" s="0" t="s">
        <v>223</v>
      </c>
      <c r="C972" s="0" t="s">
        <v>31</v>
      </c>
      <c r="D972" s="0" t="s">
        <v>19</v>
      </c>
      <c r="E972" s="10" t="s">
        <v>215</v>
      </c>
      <c r="F972" s="11" t="str">
        <f aca="false">IF(OR(E972="",E972="!!!"),"",IF(NOT(ISNA(VLOOKUP(E972,E$1:E971,1,FALSE()))),"OLD",IF(AND(E972&lt;&gt;"",E972&lt;&gt;"!!!"),"NEW","")))</f>
        <v>OLD</v>
      </c>
      <c r="G972" s="12" t="s">
        <v>52</v>
      </c>
      <c r="H972" s="13" t="str">
        <f aca="false">IF(J972&lt;&gt;1,"",IF(I972="SBJ","CB","?"))</f>
        <v/>
      </c>
      <c r="I972" s="14" t="str">
        <f aca="false">IF(OR(E972="",E972="!!!",F972="NEW"),"",INDEX(B$2:B971,-1+SUMPRODUCT(MAX(ROW(E$2:E971)*(E972=E$2:E971)))))</f>
        <v>other_2</v>
      </c>
      <c r="J972" s="15" t="n">
        <f aca="true">IF(OR(E972="",E972="!!!",F972="NEW"),"",COUNTBLANK(OFFSET(A$1,,,SUMPRODUCT(MAX(ROW(E$2:E972)*(E972=E$2:E972)))))-COUNTBLANK(OFFSET(A$1,,,SUMPRODUCT(MAX(ROW(E$1:E971)*(E972=E$1:E971))))))</f>
        <v>18</v>
      </c>
      <c r="K972" s="15" t="n">
        <f aca="false">IF(OR(E972="",E972="!!!",F972="NEW"),"",INDEX(J$1:J971,SUMPRODUCT(MAX(ROW(E$1:E971)*(E972=E$1:E971)))))</f>
        <v>1</v>
      </c>
      <c r="L972" s="16"/>
    </row>
    <row r="973" customFormat="false" ht="12.75" hidden="false" customHeight="false" outlineLevel="0" collapsed="false">
      <c r="A973" s="9" t="s">
        <v>351</v>
      </c>
      <c r="E973" s="10" t="str">
        <f aca="false">IF(D973="?OLD","!!!","")</f>
        <v/>
      </c>
      <c r="F973" s="11" t="str">
        <f aca="false">IF(OR(E973="",E973="!!!"),"",IF(NOT(ISNA(VLOOKUP(E973,E$1:E972,1,FALSE()))),"OLD",IF(AND(E973&lt;&gt;"",E973&lt;&gt;"!!!"),"NEW","")))</f>
        <v/>
      </c>
      <c r="G973" s="12" t="str">
        <f aca="false">IF(OR(E973="",E973="!!!"),"",IF(OR(J973=0,AND(J973=1,K973=1),AND(J973=1,I973="SBJ"),AND(J973=1,I973=0)),"?IN_FOCUS",IF(J973&lt;=2,"?ACTIVATED",IF(J973&lt;&gt;"","?FAMILIAR",IF(F973="NEW",IF(ISNA(VLOOKUP(E973,#REF!,1,FALSE())),"?TYPE_IDENTIFIABLE","?REFERENTIAL"),"_")))))</f>
        <v/>
      </c>
      <c r="H973" s="13" t="str">
        <f aca="false">IF(J973&lt;&gt;1,"",IF(I973="SBJ","CB","?"))</f>
        <v/>
      </c>
      <c r="I973" s="14" t="str">
        <f aca="false">IF(OR(E973="",E973="!!!",F973="NEW"),"",INDEX(B$2:B972,-1+SUMPRODUCT(MAX(ROW(E$2:E972)*(E973=E$2:E972)))))</f>
        <v/>
      </c>
      <c r="J973" s="15" t="str">
        <f aca="true">IF(OR(E973="",E973="!!!",F973="NEW"),"",COUNTBLANK(OFFSET(A$1,,,SUMPRODUCT(MAX(ROW(E$2:E973)*(E973=E$2:E973)))))-COUNTBLANK(OFFSET(A$1,,,SUMPRODUCT(MAX(ROW(E$1:E972)*(E973=E$1:E972))))))</f>
        <v/>
      </c>
      <c r="K973" s="15" t="str">
        <f aca="false">IF(OR(E973="",E973="!!!",F973="NEW"),"",INDEX(J$1:J972,SUMPRODUCT(MAX(ROW(E$1:E972)*(E973=E$1:E972)))))</f>
        <v/>
      </c>
      <c r="L973" s="16"/>
    </row>
    <row r="974" customFormat="false" ht="12.75" hidden="false" customHeight="false" outlineLevel="0" collapsed="false">
      <c r="A974" s="9" t="s">
        <v>44</v>
      </c>
      <c r="E974" s="10" t="str">
        <f aca="false">IF(D974="?OLD","!!!","")</f>
        <v/>
      </c>
      <c r="F974" s="11" t="str">
        <f aca="false">IF(OR(E974="",E974="!!!"),"",IF(NOT(ISNA(VLOOKUP(E974,E$1:E973,1,FALSE()))),"OLD",IF(AND(E974&lt;&gt;"",E974&lt;&gt;"!!!"),"NEW","")))</f>
        <v/>
      </c>
      <c r="G974" s="12" t="str">
        <f aca="false">IF(OR(E974="",E974="!!!"),"",IF(OR(J974=0,AND(J974=1,K974=1),AND(J974=1,I974="SBJ"),AND(J974=1,I974=0)),"?IN_FOCUS",IF(J974&lt;=2,"?ACTIVATED",IF(J974&lt;&gt;"","?FAMILIAR",IF(F974="NEW",IF(ISNA(VLOOKUP(E974,#REF!,1,FALSE())),"?TYPE_IDENTIFIABLE","?REFERENTIAL"),"_")))))</f>
        <v/>
      </c>
      <c r="H974" s="13" t="str">
        <f aca="false">IF(J974&lt;&gt;1,"",IF(I974="SBJ","CB","?"))</f>
        <v/>
      </c>
      <c r="I974" s="14" t="str">
        <f aca="false">IF(OR(E974="",E974="!!!",F974="NEW"),"",INDEX(B$2:B973,-1+SUMPRODUCT(MAX(ROW(E$2:E973)*(E974=E$2:E973)))))</f>
        <v/>
      </c>
      <c r="J974" s="15" t="str">
        <f aca="true">IF(OR(E974="",E974="!!!",F974="NEW"),"",COUNTBLANK(OFFSET(A$1,,,SUMPRODUCT(MAX(ROW(E$2:E974)*(E974=E$2:E974)))))-COUNTBLANK(OFFSET(A$1,,,SUMPRODUCT(MAX(ROW(E$1:E973)*(E974=E$1:E973))))))</f>
        <v/>
      </c>
      <c r="K974" s="15" t="str">
        <f aca="false">IF(OR(E974="",E974="!!!",F974="NEW"),"",INDEX(J$1:J973,SUMPRODUCT(MAX(ROW(E$1:E973)*(E974=E$1:E973)))))</f>
        <v/>
      </c>
      <c r="L974" s="16"/>
    </row>
    <row r="975" customFormat="false" ht="12.75" hidden="false" customHeight="false" outlineLevel="0" collapsed="false">
      <c r="A975" s="9" t="s">
        <v>138</v>
      </c>
      <c r="E975" s="10" t="str">
        <f aca="false">IF(D975="?OLD","!!!","")</f>
        <v/>
      </c>
      <c r="F975" s="11" t="str">
        <f aca="false">IF(OR(E975="",E975="!!!"),"",IF(NOT(ISNA(VLOOKUP(E975,E$1:E974,1,FALSE()))),"OLD",IF(AND(E975&lt;&gt;"",E975&lt;&gt;"!!!"),"NEW","")))</f>
        <v/>
      </c>
      <c r="G975" s="12" t="str">
        <f aca="false">IF(OR(E975="",E975="!!!"),"",IF(OR(J975=0,AND(J975=1,K975=1),AND(J975=1,I975="SBJ"),AND(J975=1,I975=0)),"?IN_FOCUS",IF(J975&lt;=2,"?ACTIVATED",IF(J975&lt;&gt;"","?FAMILIAR",IF(F975="NEW",IF(ISNA(VLOOKUP(E975,#REF!,1,FALSE())),"?TYPE_IDENTIFIABLE","?REFERENTIAL"),"_")))))</f>
        <v/>
      </c>
      <c r="H975" s="13" t="str">
        <f aca="false">IF(J975&lt;&gt;1,"",IF(I975="SBJ","CB","?"))</f>
        <v/>
      </c>
      <c r="I975" s="14" t="str">
        <f aca="false">IF(OR(E975="",E975="!!!",F975="NEW"),"",INDEX(B$2:B974,-1+SUMPRODUCT(MAX(ROW(E$2:E974)*(E975=E$2:E974)))))</f>
        <v/>
      </c>
      <c r="J975" s="15" t="str">
        <f aca="true">IF(OR(E975="",E975="!!!",F975="NEW"),"",COUNTBLANK(OFFSET(A$1,,,SUMPRODUCT(MAX(ROW(E$2:E975)*(E975=E$2:E975)))))-COUNTBLANK(OFFSET(A$1,,,SUMPRODUCT(MAX(ROW(E$1:E974)*(E975=E$1:E974))))))</f>
        <v/>
      </c>
      <c r="K975" s="15" t="str">
        <f aca="false">IF(OR(E975="",E975="!!!",F975="NEW"),"",INDEX(J$1:J974,SUMPRODUCT(MAX(ROW(E$1:E974)*(E975=E$1:E974)))))</f>
        <v/>
      </c>
      <c r="L975" s="16"/>
    </row>
    <row r="976" customFormat="false" ht="12.75" hidden="false" customHeight="false" outlineLevel="0" collapsed="false">
      <c r="E976" s="10" t="str">
        <f aca="false">IF(D976="?OLD","!!!","")</f>
        <v/>
      </c>
      <c r="F976" s="11" t="str">
        <f aca="false">IF(OR(E976="",E976="!!!"),"",IF(NOT(ISNA(VLOOKUP(E976,E$1:E975,1,FALSE()))),"OLD",IF(AND(E976&lt;&gt;"",E976&lt;&gt;"!!!"),"NEW","")))</f>
        <v/>
      </c>
      <c r="G976" s="12" t="str">
        <f aca="false">IF(OR(E976="",E976="!!!"),"",IF(OR(J976=0,AND(J976=1,K976=1),AND(J976=1,I976="SBJ"),AND(J976=1,I976=0)),"?IN_FOCUS",IF(J976&lt;=2,"?ACTIVATED",IF(J976&lt;&gt;"","?FAMILIAR",IF(F976="NEW",IF(ISNA(VLOOKUP(E976,#REF!,1,FALSE())),"?TYPE_IDENTIFIABLE","?REFERENTIAL"),"_")))))</f>
        <v/>
      </c>
      <c r="H976" s="13" t="str">
        <f aca="false">IF(J976&lt;&gt;1,"",IF(I976="SBJ","CB","?"))</f>
        <v/>
      </c>
      <c r="I976" s="14" t="str">
        <f aca="false">IF(OR(E976="",E976="!!!",F976="NEW"),"",INDEX(B$2:B975,-1+SUMPRODUCT(MAX(ROW(E$2:E975)*(E976=E$2:E975)))))</f>
        <v/>
      </c>
      <c r="J976" s="15" t="str">
        <f aca="true">IF(OR(E976="",E976="!!!",F976="NEW"),"",COUNTBLANK(OFFSET(A$1,,,SUMPRODUCT(MAX(ROW(E$2:E976)*(E976=E$2:E976)))))-COUNTBLANK(OFFSET(A$1,,,SUMPRODUCT(MAX(ROW(E$1:E975)*(E976=E$1:E975))))))</f>
        <v/>
      </c>
      <c r="K976" s="15" t="str">
        <f aca="false">IF(OR(E976="",E976="!!!",F976="NEW"),"",INDEX(J$1:J975,SUMPRODUCT(MAX(ROW(E$1:E975)*(E976=E$1:E975)))))</f>
        <v/>
      </c>
      <c r="L976" s="16"/>
    </row>
    <row r="977" customFormat="false" ht="12.75" hidden="false" customHeight="false" outlineLevel="0" collapsed="false">
      <c r="A977" s="9" t="s">
        <v>132</v>
      </c>
      <c r="E977" s="10" t="str">
        <f aca="false">IF(D977="?OLD","!!!","")</f>
        <v/>
      </c>
      <c r="F977" s="11" t="str">
        <f aca="false">IF(OR(E977="",E977="!!!"),"",IF(NOT(ISNA(VLOOKUP(E977,E$1:E976,1,FALSE()))),"OLD",IF(AND(E977&lt;&gt;"",E977&lt;&gt;"!!!"),"NEW","")))</f>
        <v/>
      </c>
      <c r="G977" s="12" t="str">
        <f aca="false">IF(OR(E977="",E977="!!!"),"",IF(OR(J977=0,AND(J977=1,K977=1),AND(J977=1,I977="SBJ"),AND(J977=1,I977=0)),"?IN_FOCUS",IF(J977&lt;=2,"?ACTIVATED",IF(J977&lt;&gt;"","?FAMILIAR",IF(F977="NEW",IF(ISNA(VLOOKUP(E977,#REF!,1,FALSE())),"?TYPE_IDENTIFIABLE","?REFERENTIAL"),"_")))))</f>
        <v/>
      </c>
      <c r="H977" s="13" t="str">
        <f aca="false">IF(J977&lt;&gt;1,"",IF(I977="SBJ","CB","?"))</f>
        <v/>
      </c>
      <c r="I977" s="14" t="str">
        <f aca="false">IF(OR(E977="",E977="!!!",F977="NEW"),"",INDEX(B$2:B976,-1+SUMPRODUCT(MAX(ROW(E$2:E976)*(E977=E$2:E976)))))</f>
        <v/>
      </c>
      <c r="J977" s="15" t="str">
        <f aca="true">IF(OR(E977="",E977="!!!",F977="NEW"),"",COUNTBLANK(OFFSET(A$1,,,SUMPRODUCT(MAX(ROW(E$2:E977)*(E977=E$2:E977)))))-COUNTBLANK(OFFSET(A$1,,,SUMPRODUCT(MAX(ROW(E$1:E976)*(E977=E$1:E976))))))</f>
        <v/>
      </c>
      <c r="K977" s="15" t="str">
        <f aca="false">IF(OR(E977="",E977="!!!",F977="NEW"),"",INDEX(J$1:J976,SUMPRODUCT(MAX(ROW(E$1:E976)*(E977=E$1:E976)))))</f>
        <v/>
      </c>
      <c r="L977" s="16"/>
    </row>
    <row r="978" customFormat="false" ht="12.75" hidden="false" customHeight="false" outlineLevel="0" collapsed="false">
      <c r="A978" s="9" t="s">
        <v>480</v>
      </c>
      <c r="E978" s="10" t="str">
        <f aca="false">IF(D978="?OLD","!!!","")</f>
        <v/>
      </c>
      <c r="F978" s="11" t="str">
        <f aca="false">IF(OR(E978="",E978="!!!"),"",IF(NOT(ISNA(VLOOKUP(E978,E$1:E977,1,FALSE()))),"OLD",IF(AND(E978&lt;&gt;"",E978&lt;&gt;"!!!"),"NEW","")))</f>
        <v/>
      </c>
      <c r="G978" s="12" t="str">
        <f aca="false">IF(OR(E978="",E978="!!!"),"",IF(OR(J978=0,AND(J978=1,K978=1),AND(J978=1,I978="SBJ"),AND(J978=1,I978=0)),"?IN_FOCUS",IF(J978&lt;=2,"?ACTIVATED",IF(J978&lt;&gt;"","?FAMILIAR",IF(F978="NEW",IF(ISNA(VLOOKUP(E978,#REF!,1,FALSE())),"?TYPE_IDENTIFIABLE","?REFERENTIAL"),"_")))))</f>
        <v/>
      </c>
      <c r="H978" s="13" t="str">
        <f aca="false">IF(J978&lt;&gt;1,"",IF(I978="SBJ","CB","?"))</f>
        <v/>
      </c>
      <c r="I978" s="14" t="str">
        <f aca="false">IF(OR(E978="",E978="!!!",F978="NEW"),"",INDEX(B$2:B977,-1+SUMPRODUCT(MAX(ROW(E$2:E977)*(E978=E$2:E977)))))</f>
        <v/>
      </c>
      <c r="J978" s="15" t="str">
        <f aca="true">IF(OR(E978="",E978="!!!",F978="NEW"),"",COUNTBLANK(OFFSET(A$1,,,SUMPRODUCT(MAX(ROW(E$2:E978)*(E978=E$2:E978)))))-COUNTBLANK(OFFSET(A$1,,,SUMPRODUCT(MAX(ROW(E$1:E977)*(E978=E$1:E977))))))</f>
        <v/>
      </c>
      <c r="K978" s="15" t="str">
        <f aca="false">IF(OR(E978="",E978="!!!",F978="NEW"),"",INDEX(J$1:J977,SUMPRODUCT(MAX(ROW(E$1:E977)*(E978=E$1:E977)))))</f>
        <v/>
      </c>
      <c r="L978" s="16"/>
    </row>
    <row r="979" customFormat="false" ht="12.75" hidden="false" customHeight="false" outlineLevel="0" collapsed="false">
      <c r="A979" s="9" t="s">
        <v>13</v>
      </c>
      <c r="E979" s="10" t="str">
        <f aca="false">IF(D979="?OLD","!!!","")</f>
        <v/>
      </c>
      <c r="F979" s="11" t="str">
        <f aca="false">IF(OR(E979="",E979="!!!"),"",IF(NOT(ISNA(VLOOKUP(E979,E$1:E978,1,FALSE()))),"OLD",IF(AND(E979&lt;&gt;"",E979&lt;&gt;"!!!"),"NEW","")))</f>
        <v/>
      </c>
      <c r="G979" s="12" t="str">
        <f aca="false">IF(OR(E979="",E979="!!!"),"",IF(OR(J979=0,AND(J979=1,K979=1),AND(J979=1,I979="SBJ"),AND(J979=1,I979=0)),"?IN_FOCUS",IF(J979&lt;=2,"?ACTIVATED",IF(J979&lt;&gt;"","?FAMILIAR",IF(F979="NEW",IF(ISNA(VLOOKUP(E979,#REF!,1,FALSE())),"?TYPE_IDENTIFIABLE","?REFERENTIAL"),"_")))))</f>
        <v/>
      </c>
      <c r="H979" s="13" t="str">
        <f aca="false">IF(J979&lt;&gt;1,"",IF(I979="SBJ","CB","?"))</f>
        <v/>
      </c>
      <c r="I979" s="14" t="str">
        <f aca="false">IF(OR(E979="",E979="!!!",F979="NEW"),"",INDEX(B$2:B978,-1+SUMPRODUCT(MAX(ROW(E$2:E978)*(E979=E$2:E978)))))</f>
        <v/>
      </c>
      <c r="J979" s="15" t="str">
        <f aca="true">IF(OR(E979="",E979="!!!",F979="NEW"),"",COUNTBLANK(OFFSET(A$1,,,SUMPRODUCT(MAX(ROW(E$2:E979)*(E979=E$2:E979)))))-COUNTBLANK(OFFSET(A$1,,,SUMPRODUCT(MAX(ROW(E$1:E978)*(E979=E$1:E978))))))</f>
        <v/>
      </c>
      <c r="K979" s="15" t="str">
        <f aca="false">IF(OR(E979="",E979="!!!",F979="NEW"),"",INDEX(J$1:J978,SUMPRODUCT(MAX(ROW(E$1:E978)*(E979=E$1:E978)))))</f>
        <v/>
      </c>
      <c r="L979" s="16"/>
    </row>
    <row r="980" customFormat="false" ht="12.75" hidden="false" customHeight="false" outlineLevel="0" collapsed="false">
      <c r="A980" s="9" t="s">
        <v>14</v>
      </c>
      <c r="E980" s="10" t="str">
        <f aca="false">IF(D980="?OLD","!!!","")</f>
        <v/>
      </c>
      <c r="F980" s="11" t="str">
        <f aca="false">IF(OR(E980="",E980="!!!"),"",IF(NOT(ISNA(VLOOKUP(E980,E$1:E979,1,FALSE()))),"OLD",IF(AND(E980&lt;&gt;"",E980&lt;&gt;"!!!"),"NEW","")))</f>
        <v/>
      </c>
      <c r="G980" s="12" t="str">
        <f aca="false">IF(OR(E980="",E980="!!!"),"",IF(OR(J980=0,AND(J980=1,K980=1),AND(J980=1,I980="SBJ"),AND(J980=1,I980=0)),"?IN_FOCUS",IF(J980&lt;=2,"?ACTIVATED",IF(J980&lt;&gt;"","?FAMILIAR",IF(F980="NEW",IF(ISNA(VLOOKUP(E980,#REF!,1,FALSE())),"?TYPE_IDENTIFIABLE","?REFERENTIAL"),"_")))))</f>
        <v/>
      </c>
      <c r="H980" s="13" t="str">
        <f aca="false">IF(J980&lt;&gt;1,"",IF(I980="SBJ","CB","?"))</f>
        <v/>
      </c>
      <c r="I980" s="14" t="str">
        <f aca="false">IF(OR(E980="",E980="!!!",F980="NEW"),"",INDEX(B$2:B979,-1+SUMPRODUCT(MAX(ROW(E$2:E979)*(E980=E$2:E979)))))</f>
        <v/>
      </c>
      <c r="J980" s="15" t="str">
        <f aca="true">IF(OR(E980="",E980="!!!",F980="NEW"),"",COUNTBLANK(OFFSET(A$1,,,SUMPRODUCT(MAX(ROW(E$2:E980)*(E980=E$2:E980)))))-COUNTBLANK(OFFSET(A$1,,,SUMPRODUCT(MAX(ROW(E$1:E979)*(E980=E$1:E979))))))</f>
        <v/>
      </c>
      <c r="K980" s="15" t="str">
        <f aca="false">IF(OR(E980="",E980="!!!",F980="NEW"),"",INDEX(J$1:J979,SUMPRODUCT(MAX(ROW(E$1:E979)*(E980=E$1:E979)))))</f>
        <v/>
      </c>
      <c r="L980" s="16"/>
    </row>
    <row r="981" customFormat="false" ht="12.75" hidden="false" customHeight="false" outlineLevel="0" collapsed="false">
      <c r="A981" s="9" t="s">
        <v>29</v>
      </c>
      <c r="B981" s="0" t="s">
        <v>17</v>
      </c>
      <c r="C981" s="0" t="s">
        <v>31</v>
      </c>
      <c r="D981" s="0" t="s">
        <v>19</v>
      </c>
      <c r="E981" s="10" t="s">
        <v>215</v>
      </c>
      <c r="F981" s="11" t="str">
        <f aca="false">IF(OR(E981="",E981="!!!"),"",IF(NOT(ISNA(VLOOKUP(E981,E$1:E980,1,FALSE()))),"OLD",IF(AND(E981&lt;&gt;"",E981&lt;&gt;"!!!"),"NEW","")))</f>
        <v>OLD</v>
      </c>
      <c r="G981" s="12" t="s">
        <v>33</v>
      </c>
      <c r="H981" s="13" t="s">
        <v>7</v>
      </c>
      <c r="I981" s="14" t="str">
        <f aca="false">IF(OR(E981="",E981="!!!",F981="NEW"),"",INDEX(B$2:B980,-1+SUMPRODUCT(MAX(ROW(E$2:E980)*(E981=E$2:E980)))))</f>
        <v>SBJ_6</v>
      </c>
      <c r="J981" s="15" t="n">
        <f aca="true">IF(OR(E981="",E981="!!!",F981="NEW"),"",COUNTBLANK(OFFSET(A$1,,,SUMPRODUCT(MAX(ROW(E$2:E981)*(E981=E$2:E981)))))-COUNTBLANK(OFFSET(A$1,,,SUMPRODUCT(MAX(ROW(E$1:E980)*(E981=E$1:E980))))))</f>
        <v>1</v>
      </c>
      <c r="K981" s="15" t="n">
        <f aca="false">IF(OR(E981="",E981="!!!",F981="NEW"),"",INDEX(J$1:J980,SUMPRODUCT(MAX(ROW(E$1:E980)*(E981=E$1:E980)))))</f>
        <v>18</v>
      </c>
      <c r="L981" s="16"/>
    </row>
    <row r="982" customFormat="false" ht="12.75" hidden="false" customHeight="false" outlineLevel="0" collapsed="false">
      <c r="A982" s="9" t="s">
        <v>117</v>
      </c>
      <c r="E982" s="10" t="str">
        <f aca="false">IF(D982="?OLD","!!!","")</f>
        <v/>
      </c>
      <c r="F982" s="11" t="str">
        <f aca="false">IF(OR(E982="",E982="!!!"),"",IF(NOT(ISNA(VLOOKUP(E982,E$1:E981,1,FALSE()))),"OLD",IF(AND(E982&lt;&gt;"",E982&lt;&gt;"!!!"),"NEW","")))</f>
        <v/>
      </c>
      <c r="G982" s="12" t="str">
        <f aca="false">IF(OR(E982="",E982="!!!"),"",IF(OR(J982=0,AND(J982=1,K982=1),AND(J982=1,I982="SBJ"),AND(J982=1,I982=0)),"?IN_FOCUS",IF(J982&lt;=2,"?ACTIVATED",IF(J982&lt;&gt;"","?FAMILIAR",IF(F982="NEW",IF(ISNA(VLOOKUP(E982,#REF!,1,FALSE())),"?TYPE_IDENTIFIABLE","?REFERENTIAL"),"_")))))</f>
        <v/>
      </c>
      <c r="H982" s="13" t="str">
        <f aca="false">IF(J982&lt;&gt;1,"",IF(I982="SBJ","CB","?"))</f>
        <v/>
      </c>
      <c r="I982" s="14" t="str">
        <f aca="false">IF(OR(E982="",E982="!!!",F982="NEW"),"",INDEX(B$2:B981,-1+SUMPRODUCT(MAX(ROW(E$2:E981)*(E982=E$2:E981)))))</f>
        <v/>
      </c>
      <c r="J982" s="15" t="str">
        <f aca="true">IF(OR(E982="",E982="!!!",F982="NEW"),"",COUNTBLANK(OFFSET(A$1,,,SUMPRODUCT(MAX(ROW(E$2:E982)*(E982=E$2:E982)))))-COUNTBLANK(OFFSET(A$1,,,SUMPRODUCT(MAX(ROW(E$1:E981)*(E982=E$1:E981))))))</f>
        <v/>
      </c>
      <c r="K982" s="15" t="str">
        <f aca="false">IF(OR(E982="",E982="!!!",F982="NEW"),"",INDEX(J$1:J981,SUMPRODUCT(MAX(ROW(E$1:E981)*(E982=E$1:E981)))))</f>
        <v/>
      </c>
      <c r="L982" s="16"/>
    </row>
    <row r="983" customFormat="false" ht="35.05" hidden="false" customHeight="false" outlineLevel="0" collapsed="false">
      <c r="A983" s="9" t="s">
        <v>113</v>
      </c>
      <c r="B983" s="0" t="s">
        <v>55</v>
      </c>
      <c r="C983" s="0" t="s">
        <v>194</v>
      </c>
      <c r="D983" s="0" t="s">
        <v>19</v>
      </c>
      <c r="E983" s="10"/>
      <c r="F983" s="11" t="str">
        <f aca="false">IF(OR(E983="",E983="!!!"),"",IF(NOT(ISNA(VLOOKUP(E983,E$1:E982,1,FALSE()))),"OLD",IF(AND(E983&lt;&gt;"",E983&lt;&gt;"!!!"),"NEW","")))</f>
        <v/>
      </c>
      <c r="G983" s="12" t="str">
        <f aca="false">IF(OR(E983="",E983="!!!"),"",IF(OR(J983=0,AND(J983=1,K983=1),AND(J983=1,I983="SBJ"),AND(J983=1,I983=0)),"?IN_FOCUS",IF(J983&lt;=2,"?ACTIVATED",IF(J983&lt;&gt;"","?FAMILIAR",IF(F983="NEW",IF(ISNA(VLOOKUP(E983,#REF!,1,FALSE())),"?TYPE_IDENTIFIABLE","?REFERENTIAL"),"_")))))</f>
        <v/>
      </c>
      <c r="H983" s="13" t="str">
        <f aca="false">IF(J983&lt;&gt;1,"",IF(I983="SBJ","CB","?"))</f>
        <v/>
      </c>
      <c r="I983" s="14" t="str">
        <f aca="false">IF(OR(E983="",E983="!!!",F983="NEW"),"",INDEX(B$2:B982,-1+SUMPRODUCT(MAX(ROW(E$2:E982)*(E983=E$2:E982)))))</f>
        <v/>
      </c>
      <c r="J983" s="15" t="str">
        <f aca="true">IF(OR(E983="",E983="!!!",F983="NEW"),"",COUNTBLANK(OFFSET(A$1,,,SUMPRODUCT(MAX(ROW(E$2:E983)*(E983=E$2:E983)))))-COUNTBLANK(OFFSET(A$1,,,SUMPRODUCT(MAX(ROW(E$1:E982)*(E983=E$1:E982))))))</f>
        <v/>
      </c>
      <c r="K983" s="15" t="str">
        <f aca="false">IF(OR(E983="",E983="!!!",F983="NEW"),"",INDEX(J$1:J982,SUMPRODUCT(MAX(ROW(E$1:E982)*(E983=E$1:E982)))))</f>
        <v/>
      </c>
      <c r="L983" s="16" t="s">
        <v>481</v>
      </c>
    </row>
    <row r="984" customFormat="false" ht="12.75" hidden="false" customHeight="false" outlineLevel="0" collapsed="false">
      <c r="A984" s="9" t="s">
        <v>28</v>
      </c>
      <c r="E984" s="10" t="str">
        <f aca="false">IF(D984="?OLD","!!!","")</f>
        <v/>
      </c>
      <c r="F984" s="11" t="str">
        <f aca="false">IF(OR(E984="",E984="!!!"),"",IF(NOT(ISNA(VLOOKUP(E984,E$1:E983,1,FALSE()))),"OLD",IF(AND(E984&lt;&gt;"",E984&lt;&gt;"!!!"),"NEW","")))</f>
        <v/>
      </c>
      <c r="G984" s="12" t="str">
        <f aca="false">IF(OR(E984="",E984="!!!"),"",IF(OR(J984=0,AND(J984=1,K984=1),AND(J984=1,I984="SBJ"),AND(J984=1,I984=0)),"?IN_FOCUS",IF(J984&lt;=2,"?ACTIVATED",IF(J984&lt;&gt;"","?FAMILIAR",IF(F984="NEW",IF(ISNA(VLOOKUP(E984,#REF!,1,FALSE())),"?TYPE_IDENTIFIABLE","?REFERENTIAL"),"_")))))</f>
        <v/>
      </c>
      <c r="H984" s="13" t="str">
        <f aca="false">IF(J984&lt;&gt;1,"",IF(I984="SBJ","CB","?"))</f>
        <v/>
      </c>
      <c r="I984" s="14" t="str">
        <f aca="false">IF(OR(E984="",E984="!!!",F984="NEW"),"",INDEX(B$2:B983,-1+SUMPRODUCT(MAX(ROW(E$2:E983)*(E984=E$2:E983)))))</f>
        <v/>
      </c>
      <c r="J984" s="15" t="str">
        <f aca="true">IF(OR(E984="",E984="!!!",F984="NEW"),"",COUNTBLANK(OFFSET(A$1,,,SUMPRODUCT(MAX(ROW(E$2:E984)*(E984=E$2:E984)))))-COUNTBLANK(OFFSET(A$1,,,SUMPRODUCT(MAX(ROW(E$1:E983)*(E984=E$1:E983))))))</f>
        <v/>
      </c>
      <c r="K984" s="15" t="str">
        <f aca="false">IF(OR(E984="",E984="!!!",F984="NEW"),"",INDEX(J$1:J983,SUMPRODUCT(MAX(ROW(E$1:E983)*(E984=E$1:E983)))))</f>
        <v/>
      </c>
      <c r="L984" s="16"/>
    </row>
    <row r="985" customFormat="false" ht="12.75" hidden="false" customHeight="false" outlineLevel="0" collapsed="false">
      <c r="A985" s="9" t="s">
        <v>29</v>
      </c>
      <c r="B985" s="0" t="s">
        <v>30</v>
      </c>
      <c r="C985" s="0" t="s">
        <v>31</v>
      </c>
      <c r="D985" s="0" t="s">
        <v>19</v>
      </c>
      <c r="E985" s="10" t="s">
        <v>215</v>
      </c>
      <c r="F985" s="11" t="str">
        <f aca="false">IF(OR(E985="",E985="!!!"),"",IF(NOT(ISNA(VLOOKUP(E985,E$1:E984,1,FALSE()))),"OLD",IF(AND(E985&lt;&gt;"",E985&lt;&gt;"!!!"),"NEW","")))</f>
        <v>OLD</v>
      </c>
      <c r="G985" s="12" t="s">
        <v>65</v>
      </c>
      <c r="H985" s="13" t="str">
        <f aca="false">IF(J985&lt;&gt;1,"",IF(I985="SBJ","CB","?"))</f>
        <v/>
      </c>
      <c r="I985" s="14" t="str">
        <f aca="false">IF(OR(E985="",E985="!!!",F985="NEW"),"",INDEX(B$2:B984,-1+SUMPRODUCT(MAX(ROW(E$2:E984)*(E985=E$2:E984)))))</f>
        <v>SBJ_2</v>
      </c>
      <c r="J985" s="15" t="n">
        <f aca="true">IF(OR(E985="",E985="!!!",F985="NEW"),"",COUNTBLANK(OFFSET(A$1,,,SUMPRODUCT(MAX(ROW(E$2:E985)*(E985=E$2:E985)))))-COUNTBLANK(OFFSET(A$1,,,SUMPRODUCT(MAX(ROW(E$1:E984)*(E985=E$1:E984))))))</f>
        <v>0</v>
      </c>
      <c r="K985" s="15" t="n">
        <f aca="false">IF(OR(E985="",E985="!!!",F985="NEW"),"",INDEX(J$1:J984,SUMPRODUCT(MAX(ROW(E$1:E984)*(E985=E$1:E984)))))</f>
        <v>1</v>
      </c>
      <c r="L985" s="16"/>
    </row>
    <row r="986" customFormat="false" ht="12.75" hidden="false" customHeight="false" outlineLevel="0" collapsed="false">
      <c r="A986" s="9" t="s">
        <v>35</v>
      </c>
      <c r="E986" s="10" t="str">
        <f aca="false">IF(D986="?OLD","!!!","")</f>
        <v/>
      </c>
      <c r="F986" s="11" t="str">
        <f aca="false">IF(OR(E986="",E986="!!!"),"",IF(NOT(ISNA(VLOOKUP(E986,E$1:E985,1,FALSE()))),"OLD",IF(AND(E986&lt;&gt;"",E986&lt;&gt;"!!!"),"NEW","")))</f>
        <v/>
      </c>
      <c r="G986" s="12" t="str">
        <f aca="false">IF(OR(E986="",E986="!!!"),"",IF(OR(J986=0,AND(J986=1,K986=1),AND(J986=1,I986="SBJ"),AND(J986=1,I986=0)),"?IN_FOCUS",IF(J986&lt;=2,"?ACTIVATED",IF(J986&lt;&gt;"","?FAMILIAR",IF(F986="NEW",IF(ISNA(VLOOKUP(E986,#REF!,1,FALSE())),"?TYPE_IDENTIFIABLE","?REFERENTIAL"),"_")))))</f>
        <v/>
      </c>
      <c r="H986" s="13" t="str">
        <f aca="false">IF(J986&lt;&gt;1,"",IF(I986="SBJ","CB","?"))</f>
        <v/>
      </c>
      <c r="I986" s="14" t="str">
        <f aca="false">IF(OR(E986="",E986="!!!",F986="NEW"),"",INDEX(B$2:B985,-1+SUMPRODUCT(MAX(ROW(E$2:E985)*(E986=E$2:E985)))))</f>
        <v/>
      </c>
      <c r="J986" s="15" t="str">
        <f aca="true">IF(OR(E986="",E986="!!!",F986="NEW"),"",COUNTBLANK(OFFSET(A$1,,,SUMPRODUCT(MAX(ROW(E$2:E986)*(E986=E$2:E986)))))-COUNTBLANK(OFFSET(A$1,,,SUMPRODUCT(MAX(ROW(E$1:E985)*(E986=E$1:E985))))))</f>
        <v/>
      </c>
      <c r="K986" s="15" t="str">
        <f aca="false">IF(OR(E986="",E986="!!!",F986="NEW"),"",INDEX(J$1:J985,SUMPRODUCT(MAX(ROW(E$1:E985)*(E986=E$1:E985)))))</f>
        <v/>
      </c>
      <c r="L986" s="16"/>
    </row>
    <row r="987" customFormat="false" ht="12.75" hidden="false" customHeight="false" outlineLevel="0" collapsed="false">
      <c r="A987" s="9" t="s">
        <v>482</v>
      </c>
      <c r="E987" s="10" t="str">
        <f aca="false">IF(D987="?OLD","!!!","")</f>
        <v/>
      </c>
      <c r="F987" s="11" t="str">
        <f aca="false">IF(OR(E987="",E987="!!!"),"",IF(NOT(ISNA(VLOOKUP(E987,E$1:E986,1,FALSE()))),"OLD",IF(AND(E987&lt;&gt;"",E987&lt;&gt;"!!!"),"NEW","")))</f>
        <v/>
      </c>
      <c r="G987" s="12" t="str">
        <f aca="false">IF(OR(E987="",E987="!!!"),"",IF(OR(J987=0,AND(J987=1,K987=1),AND(J987=1,I987="SBJ"),AND(J987=1,I987=0)),"?IN_FOCUS",IF(J987&lt;=2,"?ACTIVATED",IF(J987&lt;&gt;"","?FAMILIAR",IF(F987="NEW",IF(ISNA(VLOOKUP(E987,#REF!,1,FALSE())),"?TYPE_IDENTIFIABLE","?REFERENTIAL"),"_")))))</f>
        <v/>
      </c>
      <c r="H987" s="13" t="str">
        <f aca="false">IF(J987&lt;&gt;1,"",IF(I987="SBJ","CB","?"))</f>
        <v/>
      </c>
      <c r="I987" s="14" t="str">
        <f aca="false">IF(OR(E987="",E987="!!!",F987="NEW"),"",INDEX(B$2:B986,-1+SUMPRODUCT(MAX(ROW(E$2:E986)*(E987=E$2:E986)))))</f>
        <v/>
      </c>
      <c r="J987" s="15" t="str">
        <f aca="true">IF(OR(E987="",E987="!!!",F987="NEW"),"",COUNTBLANK(OFFSET(A$1,,,SUMPRODUCT(MAX(ROW(E$2:E987)*(E987=E$2:E987)))))-COUNTBLANK(OFFSET(A$1,,,SUMPRODUCT(MAX(ROW(E$1:E986)*(E987=E$1:E986))))))</f>
        <v/>
      </c>
      <c r="K987" s="15" t="str">
        <f aca="false">IF(OR(E987="",E987="!!!",F987="NEW"),"",INDEX(J$1:J986,SUMPRODUCT(MAX(ROW(E$1:E986)*(E987=E$1:E986)))))</f>
        <v/>
      </c>
      <c r="L987" s="16"/>
    </row>
    <row r="988" customFormat="false" ht="12.75" hidden="false" customHeight="false" outlineLevel="0" collapsed="false">
      <c r="A988" s="9" t="s">
        <v>78</v>
      </c>
      <c r="E988" s="10" t="str">
        <f aca="false">IF(D988="?OLD","!!!","")</f>
        <v/>
      </c>
      <c r="F988" s="11" t="str">
        <f aca="false">IF(OR(E988="",E988="!!!"),"",IF(NOT(ISNA(VLOOKUP(E988,E$1:E987,1,FALSE()))),"OLD",IF(AND(E988&lt;&gt;"",E988&lt;&gt;"!!!"),"NEW","")))</f>
        <v/>
      </c>
      <c r="G988" s="12" t="str">
        <f aca="false">IF(OR(E988="",E988="!!!"),"",IF(OR(J988=0,AND(J988=1,K988=1),AND(J988=1,I988="SBJ"),AND(J988=1,I988=0)),"?IN_FOCUS",IF(J988&lt;=2,"?ACTIVATED",IF(J988&lt;&gt;"","?FAMILIAR",IF(F988="NEW",IF(ISNA(VLOOKUP(E988,#REF!,1,FALSE())),"?TYPE_IDENTIFIABLE","?REFERENTIAL"),"_")))))</f>
        <v/>
      </c>
      <c r="H988" s="13" t="str">
        <f aca="false">IF(J988&lt;&gt;1,"",IF(I988="SBJ","CB","?"))</f>
        <v/>
      </c>
      <c r="I988" s="14" t="str">
        <f aca="false">IF(OR(E988="",E988="!!!",F988="NEW"),"",INDEX(B$2:B987,-1+SUMPRODUCT(MAX(ROW(E$2:E987)*(E988=E$2:E987)))))</f>
        <v/>
      </c>
      <c r="J988" s="15" t="str">
        <f aca="true">IF(OR(E988="",E988="!!!",F988="NEW"),"",COUNTBLANK(OFFSET(A$1,,,SUMPRODUCT(MAX(ROW(E$2:E988)*(E988=E$2:E988)))))-COUNTBLANK(OFFSET(A$1,,,SUMPRODUCT(MAX(ROW(E$1:E987)*(E988=E$1:E987))))))</f>
        <v/>
      </c>
      <c r="K988" s="15" t="str">
        <f aca="false">IF(OR(E988="",E988="!!!",F988="NEW"),"",INDEX(J$1:J987,SUMPRODUCT(MAX(ROW(E$1:E987)*(E988=E$1:E987)))))</f>
        <v/>
      </c>
      <c r="L988" s="16"/>
    </row>
    <row r="989" customFormat="false" ht="12.75" hidden="false" customHeight="false" outlineLevel="0" collapsed="false">
      <c r="A989" s="9" t="s">
        <v>15</v>
      </c>
      <c r="E989" s="10" t="str">
        <f aca="false">IF(D989="?OLD","!!!","")</f>
        <v/>
      </c>
      <c r="F989" s="11" t="str">
        <f aca="false">IF(OR(E989="",E989="!!!"),"",IF(NOT(ISNA(VLOOKUP(E989,E$1:E988,1,FALSE()))),"OLD",IF(AND(E989&lt;&gt;"",E989&lt;&gt;"!!!"),"NEW","")))</f>
        <v/>
      </c>
      <c r="G989" s="12" t="str">
        <f aca="false">IF(OR(E989="",E989="!!!"),"",IF(OR(J989=0,AND(J989=1,K989=1),AND(J989=1,I989="SBJ"),AND(J989=1,I989=0)),"?IN_FOCUS",IF(J989&lt;=2,"?ACTIVATED",IF(J989&lt;&gt;"","?FAMILIAR",IF(F989="NEW",IF(ISNA(VLOOKUP(E989,#REF!,1,FALSE())),"?TYPE_IDENTIFIABLE","?REFERENTIAL"),"_")))))</f>
        <v/>
      </c>
      <c r="H989" s="13" t="str">
        <f aca="false">IF(J989&lt;&gt;1,"",IF(I989="SBJ","CB","?"))</f>
        <v/>
      </c>
      <c r="I989" s="14" t="str">
        <f aca="false">IF(OR(E989="",E989="!!!",F989="NEW"),"",INDEX(B$2:B988,-1+SUMPRODUCT(MAX(ROW(E$2:E988)*(E989=E$2:E988)))))</f>
        <v/>
      </c>
      <c r="J989" s="15" t="str">
        <f aca="true">IF(OR(E989="",E989="!!!",F989="NEW"),"",COUNTBLANK(OFFSET(A$1,,,SUMPRODUCT(MAX(ROW(E$2:E989)*(E989=E$2:E989)))))-COUNTBLANK(OFFSET(A$1,,,SUMPRODUCT(MAX(ROW(E$1:E988)*(E989=E$1:E988))))))</f>
        <v/>
      </c>
      <c r="K989" s="15" t="str">
        <f aca="false">IF(OR(E989="",E989="!!!",F989="NEW"),"",INDEX(J$1:J988,SUMPRODUCT(MAX(ROW(E$1:E988)*(E989=E$1:E988)))))</f>
        <v/>
      </c>
      <c r="L989" s="16"/>
    </row>
    <row r="990" customFormat="false" ht="12.75" hidden="false" customHeight="false" outlineLevel="0" collapsed="false">
      <c r="A990" s="9" t="s">
        <v>380</v>
      </c>
      <c r="B990" s="0" t="s">
        <v>40</v>
      </c>
      <c r="C990" s="0" t="s">
        <v>18</v>
      </c>
      <c r="D990" s="0" t="s">
        <v>19</v>
      </c>
      <c r="E990" s="10" t="s">
        <v>483</v>
      </c>
      <c r="F990" s="11" t="str">
        <f aca="false">IF(OR(E990="",E990="!!!"),"",IF(NOT(ISNA(VLOOKUP(E990,E$1:E989,1,FALSE()))),"OLD",IF(AND(E990&lt;&gt;"",E990&lt;&gt;"!!!"),"NEW","")))</f>
        <v>NEW</v>
      </c>
      <c r="G990" s="12" t="s">
        <v>21</v>
      </c>
      <c r="H990" s="13" t="str">
        <f aca="false">IF(J990&lt;&gt;1,"",IF(I990="SBJ","CB","?"))</f>
        <v/>
      </c>
      <c r="I990" s="14" t="str">
        <f aca="false">IF(OR(E990="",E990="!!!",F990="NEW"),"",INDEX(B$2:B989,-1+SUMPRODUCT(MAX(ROW(E$2:E989)*(E990=E$2:E989)))))</f>
        <v/>
      </c>
      <c r="J990" s="15" t="str">
        <f aca="true">IF(OR(E990="",E990="!!!",F990="NEW"),"",COUNTBLANK(OFFSET(A$1,,,SUMPRODUCT(MAX(ROW(E$2:E990)*(E990=E$2:E990)))))-COUNTBLANK(OFFSET(A$1,,,SUMPRODUCT(MAX(ROW(E$1:E989)*(E990=E$1:E989))))))</f>
        <v/>
      </c>
      <c r="K990" s="15" t="str">
        <f aca="false">IF(OR(E990="",E990="!!!",F990="NEW"),"",INDEX(J$1:J989,SUMPRODUCT(MAX(ROW(E$1:E989)*(E990=E$1:E989)))))</f>
        <v/>
      </c>
      <c r="L990" s="16"/>
    </row>
    <row r="991" customFormat="false" ht="12.75" hidden="false" customHeight="false" outlineLevel="0" collapsed="false">
      <c r="A991" s="9" t="s">
        <v>28</v>
      </c>
      <c r="E991" s="10" t="str">
        <f aca="false">IF(D991="?OLD","!!!","")</f>
        <v/>
      </c>
      <c r="F991" s="11" t="str">
        <f aca="false">IF(OR(E991="",E991="!!!"),"",IF(NOT(ISNA(VLOOKUP(E991,E$1:E990,1,FALSE()))),"OLD",IF(AND(E991&lt;&gt;"",E991&lt;&gt;"!!!"),"NEW","")))</f>
        <v/>
      </c>
      <c r="G991" s="12" t="str">
        <f aca="false">IF(OR(E991="",E991="!!!"),"",IF(OR(J991=0,AND(J991=1,K991=1),AND(J991=1,I991="SBJ"),AND(J991=1,I991=0)),"?IN_FOCUS",IF(J991&lt;=2,"?ACTIVATED",IF(J991&lt;&gt;"","?FAMILIAR",IF(F991="NEW",IF(ISNA(VLOOKUP(E991,#REF!,1,FALSE())),"?TYPE_IDENTIFIABLE","?REFERENTIAL"),"_")))))</f>
        <v/>
      </c>
      <c r="H991" s="13" t="str">
        <f aca="false">IF(J991&lt;&gt;1,"",IF(I991="SBJ","CB","?"))</f>
        <v/>
      </c>
      <c r="I991" s="14" t="str">
        <f aca="false">IF(OR(E991="",E991="!!!",F991="NEW"),"",INDEX(B$2:B990,-1+SUMPRODUCT(MAX(ROW(E$2:E990)*(E991=E$2:E990)))))</f>
        <v/>
      </c>
      <c r="J991" s="15" t="str">
        <f aca="true">IF(OR(E991="",E991="!!!",F991="NEW"),"",COUNTBLANK(OFFSET(A$1,,,SUMPRODUCT(MAX(ROW(E$2:E991)*(E991=E$2:E991)))))-COUNTBLANK(OFFSET(A$1,,,SUMPRODUCT(MAX(ROW(E$1:E990)*(E991=E$1:E990))))))</f>
        <v/>
      </c>
      <c r="K991" s="15" t="str">
        <f aca="false">IF(OR(E991="",E991="!!!",F991="NEW"),"",INDEX(J$1:J990,SUMPRODUCT(MAX(ROW(E$1:E990)*(E991=E$1:E990)))))</f>
        <v/>
      </c>
      <c r="L991" s="16"/>
    </row>
    <row r="992" customFormat="false" ht="12.75" hidden="false" customHeight="false" outlineLevel="0" collapsed="false">
      <c r="A992" s="9" t="s">
        <v>63</v>
      </c>
      <c r="E992" s="10" t="str">
        <f aca="false">IF(D992="?OLD","!!!","")</f>
        <v/>
      </c>
      <c r="F992" s="11" t="str">
        <f aca="false">IF(OR(E992="",E992="!!!"),"",IF(NOT(ISNA(VLOOKUP(E992,E$1:E991,1,FALSE()))),"OLD",IF(AND(E992&lt;&gt;"",E992&lt;&gt;"!!!"),"NEW","")))</f>
        <v/>
      </c>
      <c r="G992" s="12" t="str">
        <f aca="false">IF(OR(E992="",E992="!!!"),"",IF(OR(J992=0,AND(J992=1,K992=1),AND(J992=1,I992="SBJ"),AND(J992=1,I992=0)),"?IN_FOCUS",IF(J992&lt;=2,"?ACTIVATED",IF(J992&lt;&gt;"","?FAMILIAR",IF(F992="NEW",IF(ISNA(VLOOKUP(E992,#REF!,1,FALSE())),"?TYPE_IDENTIFIABLE","?REFERENTIAL"),"_")))))</f>
        <v/>
      </c>
      <c r="H992" s="13" t="str">
        <f aca="false">IF(J992&lt;&gt;1,"",IF(I992="SBJ","CB","?"))</f>
        <v/>
      </c>
      <c r="I992" s="14" t="str">
        <f aca="false">IF(OR(E992="",E992="!!!",F992="NEW"),"",INDEX(B$2:B991,-1+SUMPRODUCT(MAX(ROW(E$2:E991)*(E992=E$2:E991)))))</f>
        <v/>
      </c>
      <c r="J992" s="15" t="str">
        <f aca="true">IF(OR(E992="",E992="!!!",F992="NEW"),"",COUNTBLANK(OFFSET(A$1,,,SUMPRODUCT(MAX(ROW(E$2:E992)*(E992=E$2:E992)))))-COUNTBLANK(OFFSET(A$1,,,SUMPRODUCT(MAX(ROW(E$1:E991)*(E992=E$1:E991))))))</f>
        <v/>
      </c>
      <c r="K992" s="15" t="str">
        <f aca="false">IF(OR(E992="",E992="!!!",F992="NEW"),"",INDEX(J$1:J991,SUMPRODUCT(MAX(ROW(E$1:E991)*(E992=E$1:E991)))))</f>
        <v/>
      </c>
      <c r="L992" s="16"/>
    </row>
    <row r="993" customFormat="false" ht="12.75" hidden="false" customHeight="false" outlineLevel="0" collapsed="false">
      <c r="A993" s="9" t="s">
        <v>200</v>
      </c>
      <c r="E993" s="10" t="str">
        <f aca="false">IF(D993="?OLD","!!!","")</f>
        <v/>
      </c>
      <c r="F993" s="11" t="str">
        <f aca="false">IF(OR(E993="",E993="!!!"),"",IF(NOT(ISNA(VLOOKUP(E993,E$1:E992,1,FALSE()))),"OLD",IF(AND(E993&lt;&gt;"",E993&lt;&gt;"!!!"),"NEW","")))</f>
        <v/>
      </c>
      <c r="G993" s="12" t="str">
        <f aca="false">IF(OR(E993="",E993="!!!"),"",IF(OR(J993=0,AND(J993=1,K993=1),AND(J993=1,I993="SBJ"),AND(J993=1,I993=0)),"?IN_FOCUS",IF(J993&lt;=2,"?ACTIVATED",IF(J993&lt;&gt;"","?FAMILIAR",IF(F993="NEW",IF(ISNA(VLOOKUP(E993,#REF!,1,FALSE())),"?TYPE_IDENTIFIABLE","?REFERENTIAL"),"_")))))</f>
        <v/>
      </c>
      <c r="H993" s="13" t="str">
        <f aca="false">IF(J993&lt;&gt;1,"",IF(I993="SBJ","CB","?"))</f>
        <v/>
      </c>
      <c r="I993" s="14" t="str">
        <f aca="false">IF(OR(E993="",E993="!!!",F993="NEW"),"",INDEX(B$2:B992,-1+SUMPRODUCT(MAX(ROW(E$2:E992)*(E993=E$2:E992)))))</f>
        <v/>
      </c>
      <c r="J993" s="15" t="str">
        <f aca="true">IF(OR(E993="",E993="!!!",F993="NEW"),"",COUNTBLANK(OFFSET(A$1,,,SUMPRODUCT(MAX(ROW(E$2:E993)*(E993=E$2:E993)))))-COUNTBLANK(OFFSET(A$1,,,SUMPRODUCT(MAX(ROW(E$1:E992)*(E993=E$1:E992))))))</f>
        <v/>
      </c>
      <c r="K993" s="15" t="str">
        <f aca="false">IF(OR(E993="",E993="!!!",F993="NEW"),"",INDEX(J$1:J992,SUMPRODUCT(MAX(ROW(E$1:E992)*(E993=E$1:E992)))))</f>
        <v/>
      </c>
      <c r="L993" s="16"/>
    </row>
    <row r="994" customFormat="false" ht="12.75" hidden="false" customHeight="false" outlineLevel="0" collapsed="false">
      <c r="A994" s="9" t="s">
        <v>78</v>
      </c>
      <c r="E994" s="10" t="str">
        <f aca="false">IF(D994="?OLD","!!!","")</f>
        <v/>
      </c>
      <c r="F994" s="11" t="str">
        <f aca="false">IF(OR(E994="",E994="!!!"),"",IF(NOT(ISNA(VLOOKUP(E994,E$1:E993,1,FALSE()))),"OLD",IF(AND(E994&lt;&gt;"",E994&lt;&gt;"!!!"),"NEW","")))</f>
        <v/>
      </c>
      <c r="G994" s="12" t="str">
        <f aca="false">IF(OR(E994="",E994="!!!"),"",IF(OR(J994=0,AND(J994=1,K994=1),AND(J994=1,I994="SBJ"),AND(J994=1,I994=0)),"?IN_FOCUS",IF(J994&lt;=2,"?ACTIVATED",IF(J994&lt;&gt;"","?FAMILIAR",IF(F994="NEW",IF(ISNA(VLOOKUP(E994,#REF!,1,FALSE())),"?TYPE_IDENTIFIABLE","?REFERENTIAL"),"_")))))</f>
        <v/>
      </c>
      <c r="H994" s="13" t="str">
        <f aca="false">IF(J994&lt;&gt;1,"",IF(I994="SBJ","CB","?"))</f>
        <v/>
      </c>
      <c r="I994" s="14" t="str">
        <f aca="false">IF(OR(E994="",E994="!!!",F994="NEW"),"",INDEX(B$2:B993,-1+SUMPRODUCT(MAX(ROW(E$2:E993)*(E994=E$2:E993)))))</f>
        <v/>
      </c>
      <c r="J994" s="15" t="str">
        <f aca="true">IF(OR(E994="",E994="!!!",F994="NEW"),"",COUNTBLANK(OFFSET(A$1,,,SUMPRODUCT(MAX(ROW(E$2:E994)*(E994=E$2:E994)))))-COUNTBLANK(OFFSET(A$1,,,SUMPRODUCT(MAX(ROW(E$1:E993)*(E994=E$1:E993))))))</f>
        <v/>
      </c>
      <c r="K994" s="15" t="str">
        <f aca="false">IF(OR(E994="",E994="!!!",F994="NEW"),"",INDEX(J$1:J993,SUMPRODUCT(MAX(ROW(E$1:E993)*(E994=E$1:E993)))))</f>
        <v/>
      </c>
      <c r="L994" s="16"/>
    </row>
    <row r="995" customFormat="false" ht="12.75" hidden="false" customHeight="false" outlineLevel="0" collapsed="false">
      <c r="A995" s="9" t="s">
        <v>205</v>
      </c>
      <c r="B995" s="0" t="s">
        <v>75</v>
      </c>
      <c r="C995" s="0" t="s">
        <v>103</v>
      </c>
      <c r="D995" s="0" t="s">
        <v>19</v>
      </c>
      <c r="E995" s="10" t="s">
        <v>205</v>
      </c>
      <c r="F995" s="11" t="str">
        <f aca="false">IF(OR(E995="",E995="!!!"),"",IF(NOT(ISNA(VLOOKUP(E995,E$1:E994,1,FALSE()))),"OLD",IF(AND(E995&lt;&gt;"",E995&lt;&gt;"!!!"),"NEW","")))</f>
        <v>OLD</v>
      </c>
      <c r="G995" s="12" t="s">
        <v>52</v>
      </c>
      <c r="H995" s="13" t="str">
        <f aca="false">IF(J995&lt;&gt;1,"",IF(I995="SBJ","CB","?"))</f>
        <v/>
      </c>
      <c r="I995" s="14" t="str">
        <f aca="false">IF(OR(E995="",E995="!!!",F995="NEW"),"",INDEX(B$2:B994,-1+SUMPRODUCT(MAX(ROW(E$2:E994)*(E995=E$2:E994)))))</f>
        <v>SBJ_2</v>
      </c>
      <c r="J995" s="15" t="n">
        <f aca="true">IF(OR(E995="",E995="!!!",F995="NEW"),"",COUNTBLANK(OFFSET(A$1,,,SUMPRODUCT(MAX(ROW(E$2:E995)*(E995=E$2:E995)))))-COUNTBLANK(OFFSET(A$1,,,SUMPRODUCT(MAX(ROW(E$1:E994)*(E995=E$1:E994))))))</f>
        <v>6</v>
      </c>
      <c r="K995" s="15" t="n">
        <f aca="false">IF(OR(E995="",E995="!!!",F995="NEW"),"",INDEX(J$1:J994,SUMPRODUCT(MAX(ROW(E$1:E994)*(E995=E$1:E994)))))</f>
        <v>19</v>
      </c>
      <c r="L995" s="16"/>
    </row>
    <row r="996" customFormat="false" ht="12.75" hidden="false" customHeight="false" outlineLevel="0" collapsed="false">
      <c r="A996" s="9" t="s">
        <v>63</v>
      </c>
      <c r="E996" s="10" t="str">
        <f aca="false">IF(D996="?OLD","!!!","")</f>
        <v/>
      </c>
      <c r="F996" s="11" t="str">
        <f aca="false">IF(OR(E996="",E996="!!!"),"",IF(NOT(ISNA(VLOOKUP(E996,E$1:E995,1,FALSE()))),"OLD",IF(AND(E996&lt;&gt;"",E996&lt;&gt;"!!!"),"NEW","")))</f>
        <v/>
      </c>
      <c r="G996" s="12" t="str">
        <f aca="false">IF(OR(E996="",E996="!!!"),"",IF(OR(J996=0,AND(J996=1,K996=1),AND(J996=1,I996="SBJ"),AND(J996=1,I996=0)),"?IN_FOCUS",IF(J996&lt;=2,"?ACTIVATED",IF(J996&lt;&gt;"","?FAMILIAR",IF(F996="NEW",IF(ISNA(VLOOKUP(E996,#REF!,1,FALSE())),"?TYPE_IDENTIFIABLE","?REFERENTIAL"),"_")))))</f>
        <v/>
      </c>
      <c r="H996" s="13" t="str">
        <f aca="false">IF(J996&lt;&gt;1,"",IF(I996="SBJ","CB","?"))</f>
        <v/>
      </c>
      <c r="I996" s="14" t="str">
        <f aca="false">IF(OR(E996="",E996="!!!",F996="NEW"),"",INDEX(B$2:B995,-1+SUMPRODUCT(MAX(ROW(E$2:E995)*(E996=E$2:E995)))))</f>
        <v/>
      </c>
      <c r="J996" s="15" t="str">
        <f aca="true">IF(OR(E996="",E996="!!!",F996="NEW"),"",COUNTBLANK(OFFSET(A$1,,,SUMPRODUCT(MAX(ROW(E$2:E996)*(E996=E$2:E996)))))-COUNTBLANK(OFFSET(A$1,,,SUMPRODUCT(MAX(ROW(E$1:E995)*(E996=E$1:E995))))))</f>
        <v/>
      </c>
      <c r="K996" s="15" t="str">
        <f aca="false">IF(OR(E996="",E996="!!!",F996="NEW"),"",INDEX(J$1:J995,SUMPRODUCT(MAX(ROW(E$1:E995)*(E996=E$1:E995)))))</f>
        <v/>
      </c>
      <c r="L996" s="16"/>
    </row>
    <row r="997" customFormat="false" ht="12.75" hidden="false" customHeight="false" outlineLevel="0" collapsed="false">
      <c r="A997" s="9" t="s">
        <v>15</v>
      </c>
      <c r="E997" s="10" t="str">
        <f aca="false">IF(D997="?OLD","!!!","")</f>
        <v/>
      </c>
      <c r="F997" s="11" t="str">
        <f aca="false">IF(OR(E997="",E997="!!!"),"",IF(NOT(ISNA(VLOOKUP(E997,E$1:E996,1,FALSE()))),"OLD",IF(AND(E997&lt;&gt;"",E997&lt;&gt;"!!!"),"NEW","")))</f>
        <v/>
      </c>
      <c r="G997" s="12" t="str">
        <f aca="false">IF(OR(E997="",E997="!!!"),"",IF(OR(J997=0,AND(J997=1,K997=1),AND(J997=1,I997="SBJ"),AND(J997=1,I997=0)),"?IN_FOCUS",IF(J997&lt;=2,"?ACTIVATED",IF(J997&lt;&gt;"","?FAMILIAR",IF(F997="NEW",IF(ISNA(VLOOKUP(E997,#REF!,1,FALSE())),"?TYPE_IDENTIFIABLE","?REFERENTIAL"),"_")))))</f>
        <v/>
      </c>
      <c r="H997" s="13" t="str">
        <f aca="false">IF(J997&lt;&gt;1,"",IF(I997="SBJ","CB","?"))</f>
        <v/>
      </c>
      <c r="I997" s="14" t="str">
        <f aca="false">IF(OR(E997="",E997="!!!",F997="NEW"),"",INDEX(B$2:B996,-1+SUMPRODUCT(MAX(ROW(E$2:E996)*(E997=E$2:E996)))))</f>
        <v/>
      </c>
      <c r="J997" s="15" t="str">
        <f aca="true">IF(OR(E997="",E997="!!!",F997="NEW"),"",COUNTBLANK(OFFSET(A$1,,,SUMPRODUCT(MAX(ROW(E$2:E997)*(E997=E$2:E997)))))-COUNTBLANK(OFFSET(A$1,,,SUMPRODUCT(MAX(ROW(E$1:E996)*(E997=E$1:E996))))))</f>
        <v/>
      </c>
      <c r="K997" s="15" t="str">
        <f aca="false">IF(OR(E997="",E997="!!!",F997="NEW"),"",INDEX(J$1:J996,SUMPRODUCT(MAX(ROW(E$1:E996)*(E997=E$1:E996)))))</f>
        <v/>
      </c>
      <c r="L997" s="16"/>
    </row>
    <row r="998" customFormat="false" ht="12.75" hidden="false" customHeight="false" outlineLevel="0" collapsed="false">
      <c r="A998" s="9" t="s">
        <v>484</v>
      </c>
      <c r="B998" s="0" t="s">
        <v>24</v>
      </c>
      <c r="C998" s="0" t="s">
        <v>18</v>
      </c>
      <c r="D998" s="0" t="s">
        <v>19</v>
      </c>
      <c r="E998" s="10" t="s">
        <v>485</v>
      </c>
      <c r="F998" s="11" t="str">
        <f aca="false">IF(OR(E998="",E998="!!!"),"",IF(NOT(ISNA(VLOOKUP(E998,E$1:E997,1,FALSE()))),"OLD",IF(AND(E998&lt;&gt;"",E998&lt;&gt;"!!!"),"NEW","")))</f>
        <v>NEW</v>
      </c>
      <c r="G998" s="12" t="s">
        <v>21</v>
      </c>
      <c r="H998" s="13" t="str">
        <f aca="false">IF(J998&lt;&gt;1,"",IF(I998="SBJ","CB","?"))</f>
        <v/>
      </c>
      <c r="I998" s="14" t="str">
        <f aca="false">IF(OR(E998="",E998="!!!",F998="NEW"),"",INDEX(B$2:B997,-1+SUMPRODUCT(MAX(ROW(E$2:E997)*(E998=E$2:E997)))))</f>
        <v/>
      </c>
      <c r="J998" s="15" t="str">
        <f aca="true">IF(OR(E998="",E998="!!!",F998="NEW"),"",COUNTBLANK(OFFSET(A$1,,,SUMPRODUCT(MAX(ROW(E$2:E998)*(E998=E$2:E998)))))-COUNTBLANK(OFFSET(A$1,,,SUMPRODUCT(MAX(ROW(E$1:E997)*(E998=E$1:E997))))))</f>
        <v/>
      </c>
      <c r="K998" s="15" t="str">
        <f aca="false">IF(OR(E998="",E998="!!!",F998="NEW"),"",INDEX(J$1:J997,SUMPRODUCT(MAX(ROW(E$1:E997)*(E998=E$1:E997)))))</f>
        <v/>
      </c>
      <c r="L998" s="16"/>
    </row>
    <row r="999" customFormat="false" ht="12.75" hidden="false" customHeight="false" outlineLevel="0" collapsed="false">
      <c r="A999" s="9" t="s">
        <v>22</v>
      </c>
      <c r="E999" s="10" t="str">
        <f aca="false">IF(D999="?OLD","!!!","")</f>
        <v/>
      </c>
      <c r="F999" s="11" t="str">
        <f aca="false">IF(OR(E999="",E999="!!!"),"",IF(NOT(ISNA(VLOOKUP(E999,E$1:E998,1,FALSE()))),"OLD",IF(AND(E999&lt;&gt;"",E999&lt;&gt;"!!!"),"NEW","")))</f>
        <v/>
      </c>
      <c r="G999" s="12" t="str">
        <f aca="false">IF(OR(E999="",E999="!!!"),"",IF(OR(J999=0,AND(J999=1,K999=1),AND(J999=1,I999="SBJ"),AND(J999=1,I999=0)),"?IN_FOCUS",IF(J999&lt;=2,"?ACTIVATED",IF(J999&lt;&gt;"","?FAMILIAR",IF(F999="NEW",IF(ISNA(VLOOKUP(E999,#REF!,1,FALSE())),"?TYPE_IDENTIFIABLE","?REFERENTIAL"),"_")))))</f>
        <v/>
      </c>
      <c r="H999" s="13" t="str">
        <f aca="false">IF(J999&lt;&gt;1,"",IF(I999="SBJ","CB","?"))</f>
        <v/>
      </c>
      <c r="I999" s="14" t="str">
        <f aca="false">IF(OR(E999="",E999="!!!",F999="NEW"),"",INDEX(B$2:B998,-1+SUMPRODUCT(MAX(ROW(E$2:E998)*(E999=E$2:E998)))))</f>
        <v/>
      </c>
      <c r="J999" s="15" t="str">
        <f aca="true">IF(OR(E999="",E999="!!!",F999="NEW"),"",COUNTBLANK(OFFSET(A$1,,,SUMPRODUCT(MAX(ROW(E$2:E999)*(E999=E$2:E999)))))-COUNTBLANK(OFFSET(A$1,,,SUMPRODUCT(MAX(ROW(E$1:E998)*(E999=E$1:E998))))))</f>
        <v/>
      </c>
      <c r="K999" s="15" t="str">
        <f aca="false">IF(OR(E999="",E999="!!!",F999="NEW"),"",INDEX(J$1:J998,SUMPRODUCT(MAX(ROW(E$1:E998)*(E999=E$1:E998)))))</f>
        <v/>
      </c>
      <c r="L999" s="16"/>
    </row>
    <row r="1000" customFormat="false" ht="12.75" hidden="false" customHeight="false" outlineLevel="0" collapsed="false">
      <c r="A1000" s="9" t="s">
        <v>15</v>
      </c>
      <c r="E1000" s="10" t="str">
        <f aca="false">IF(D1000="?OLD","!!!","")</f>
        <v/>
      </c>
      <c r="F1000" s="11" t="str">
        <f aca="false">IF(OR(E1000="",E1000="!!!"),"",IF(NOT(ISNA(VLOOKUP(E1000,E$1:E999,1,FALSE()))),"OLD",IF(AND(E1000&lt;&gt;"",E1000&lt;&gt;"!!!"),"NEW","")))</f>
        <v/>
      </c>
      <c r="G1000" s="12" t="str">
        <f aca="false">IF(OR(E1000="",E1000="!!!"),"",IF(OR(J1000=0,AND(J1000=1,K1000=1),AND(J1000=1,I1000="SBJ"),AND(J1000=1,I1000=0)),"?IN_FOCUS",IF(J1000&lt;=2,"?ACTIVATED",IF(J1000&lt;&gt;"","?FAMILIAR",IF(F1000="NEW",IF(ISNA(VLOOKUP(E1000,#REF!,1,FALSE())),"?TYPE_IDENTIFIABLE","?REFERENTIAL"),"_")))))</f>
        <v/>
      </c>
      <c r="H1000" s="13" t="str">
        <f aca="false">IF(J1000&lt;&gt;1,"",IF(I1000="SBJ","CB","?"))</f>
        <v/>
      </c>
      <c r="I1000" s="14" t="str">
        <f aca="false">IF(OR(E1000="",E1000="!!!",F1000="NEW"),"",INDEX(B$2:B999,-1+SUMPRODUCT(MAX(ROW(E$2:E999)*(E1000=E$2:E999)))))</f>
        <v/>
      </c>
      <c r="J1000" s="15" t="str">
        <f aca="true">IF(OR(E1000="",E1000="!!!",F1000="NEW"),"",COUNTBLANK(OFFSET(A$1,,,SUMPRODUCT(MAX(ROW(E$2:E1000)*(E1000=E$2:E1000)))))-COUNTBLANK(OFFSET(A$1,,,SUMPRODUCT(MAX(ROW(E$1:E999)*(E1000=E$1:E999))))))</f>
        <v/>
      </c>
      <c r="K1000" s="15" t="str">
        <f aca="false">IF(OR(E1000="",E1000="!!!",F1000="NEW"),"",INDEX(J$1:J999,SUMPRODUCT(MAX(ROW(E$1:E999)*(E1000=E$1:E999)))))</f>
        <v/>
      </c>
      <c r="L1000" s="16"/>
    </row>
    <row r="1001" customFormat="false" ht="12.75" hidden="false" customHeight="false" outlineLevel="0" collapsed="false">
      <c r="A1001" s="9" t="s">
        <v>486</v>
      </c>
      <c r="B1001" s="0" t="s">
        <v>62</v>
      </c>
      <c r="C1001" s="0" t="s">
        <v>18</v>
      </c>
      <c r="D1001" s="0" t="s">
        <v>19</v>
      </c>
      <c r="E1001" s="10" t="s">
        <v>32</v>
      </c>
      <c r="F1001" s="11" t="str">
        <f aca="false">IF(OR(E1001="",E1001="!!!"),"",IF(NOT(ISNA(VLOOKUP(E1001,E$1:E1000,1,FALSE()))),"OLD",IF(AND(E1001&lt;&gt;"",E1001&lt;&gt;"!!!"),"NEW","")))</f>
        <v>OLD</v>
      </c>
      <c r="G1001" s="12" t="s">
        <v>52</v>
      </c>
      <c r="H1001" s="13" t="str">
        <f aca="false">IF(J1001&lt;&gt;1,"",IF(I1001="SBJ","CB","?"))</f>
        <v/>
      </c>
      <c r="I1001" s="14" t="str">
        <f aca="false">IF(OR(E1001="",E1001="!!!",F1001="NEW"),"",INDEX(B$2:B1000,-1+SUMPRODUCT(MAX(ROW(E$2:E1000)*(E1001=E$2:E1000)))))</f>
        <v>SBJ_3</v>
      </c>
      <c r="J1001" s="15" t="n">
        <f aca="true">IF(OR(E1001="",E1001="!!!",F1001="NEW"),"",COUNTBLANK(OFFSET(A$1,,,SUMPRODUCT(MAX(ROW(E$2:E1001)*(E1001=E$2:E1001)))))-COUNTBLANK(OFFSET(A$1,,,SUMPRODUCT(MAX(ROW(E$1:E1000)*(E1001=E$1:E1000))))))</f>
        <v>3</v>
      </c>
      <c r="K1001" s="15" t="n">
        <f aca="false">IF(OR(E1001="",E1001="!!!",F1001="NEW"),"",INDEX(J$1:J1000,SUMPRODUCT(MAX(ROW(E$1:E1000)*(E1001=E$1:E1000)))))</f>
        <v>1</v>
      </c>
      <c r="L1001" s="16"/>
    </row>
    <row r="1002" customFormat="false" ht="12.75" hidden="false" customHeight="false" outlineLevel="0" collapsed="false">
      <c r="A1002" s="9" t="s">
        <v>28</v>
      </c>
      <c r="E1002" s="10" t="str">
        <f aca="false">IF(D1002="?OLD","!!!","")</f>
        <v/>
      </c>
      <c r="F1002" s="11" t="str">
        <f aca="false">IF(OR(E1002="",E1002="!!!"),"",IF(NOT(ISNA(VLOOKUP(E1002,E$1:E1001,1,FALSE()))),"OLD",IF(AND(E1002&lt;&gt;"",E1002&lt;&gt;"!!!"),"NEW","")))</f>
        <v/>
      </c>
      <c r="G1002" s="12" t="str">
        <f aca="false">IF(OR(E1002="",E1002="!!!"),"",IF(OR(J1002=0,AND(J1002=1,K1002=1),AND(J1002=1,I1002="SBJ"),AND(J1002=1,I1002=0)),"?IN_FOCUS",IF(J1002&lt;=2,"?ACTIVATED",IF(J1002&lt;&gt;"","?FAMILIAR",IF(F1002="NEW",IF(ISNA(VLOOKUP(E1002,#REF!,1,FALSE())),"?TYPE_IDENTIFIABLE","?REFERENTIAL"),"_")))))</f>
        <v/>
      </c>
      <c r="H1002" s="13" t="str">
        <f aca="false">IF(J1002&lt;&gt;1,"",IF(I1002="SBJ","CB","?"))</f>
        <v/>
      </c>
      <c r="I1002" s="14" t="str">
        <f aca="false">IF(OR(E1002="",E1002="!!!",F1002="NEW"),"",INDEX(B$2:B1001,-1+SUMPRODUCT(MAX(ROW(E$2:E1001)*(E1002=E$2:E1001)))))</f>
        <v/>
      </c>
      <c r="J1002" s="15" t="str">
        <f aca="true">IF(OR(E1002="",E1002="!!!",F1002="NEW"),"",COUNTBLANK(OFFSET(A$1,,,SUMPRODUCT(MAX(ROW(E$2:E1002)*(E1002=E$2:E1002)))))-COUNTBLANK(OFFSET(A$1,,,SUMPRODUCT(MAX(ROW(E$1:E1001)*(E1002=E$1:E1001))))))</f>
        <v/>
      </c>
      <c r="K1002" s="15" t="str">
        <f aca="false">IF(OR(E1002="",E1002="!!!",F1002="NEW"),"",INDEX(J$1:J1001,SUMPRODUCT(MAX(ROW(E$1:E1001)*(E1002=E$1:E1001)))))</f>
        <v/>
      </c>
      <c r="L1002" s="16"/>
    </row>
    <row r="1003" customFormat="false" ht="12.75" hidden="false" customHeight="false" outlineLevel="0" collapsed="false">
      <c r="A1003" s="9" t="s">
        <v>138</v>
      </c>
      <c r="E1003" s="10" t="str">
        <f aca="false">IF(D1003="?OLD","!!!","")</f>
        <v/>
      </c>
      <c r="F1003" s="11" t="str">
        <f aca="false">IF(OR(E1003="",E1003="!!!"),"",IF(NOT(ISNA(VLOOKUP(E1003,E$1:E1002,1,FALSE()))),"OLD",IF(AND(E1003&lt;&gt;"",E1003&lt;&gt;"!!!"),"NEW","")))</f>
        <v/>
      </c>
      <c r="G1003" s="12" t="str">
        <f aca="false">IF(OR(E1003="",E1003="!!!"),"",IF(OR(J1003=0,AND(J1003=1,K1003=1),AND(J1003=1,I1003="SBJ"),AND(J1003=1,I1003=0)),"?IN_FOCUS",IF(J1003&lt;=2,"?ACTIVATED",IF(J1003&lt;&gt;"","?FAMILIAR",IF(F1003="NEW",IF(ISNA(VLOOKUP(E1003,#REF!,1,FALSE())),"?TYPE_IDENTIFIABLE","?REFERENTIAL"),"_")))))</f>
        <v/>
      </c>
      <c r="H1003" s="13" t="str">
        <f aca="false">IF(J1003&lt;&gt;1,"",IF(I1003="SBJ","CB","?"))</f>
        <v/>
      </c>
      <c r="I1003" s="14" t="str">
        <f aca="false">IF(OR(E1003="",E1003="!!!",F1003="NEW"),"",INDEX(B$2:B1002,-1+SUMPRODUCT(MAX(ROW(E$2:E1002)*(E1003=E$2:E1002)))))</f>
        <v/>
      </c>
      <c r="J1003" s="15" t="str">
        <f aca="true">IF(OR(E1003="",E1003="!!!",F1003="NEW"),"",COUNTBLANK(OFFSET(A$1,,,SUMPRODUCT(MAX(ROW(E$2:E1003)*(E1003=E$2:E1003)))))-COUNTBLANK(OFFSET(A$1,,,SUMPRODUCT(MAX(ROW(E$1:E1002)*(E1003=E$1:E1002))))))</f>
        <v/>
      </c>
      <c r="K1003" s="15" t="str">
        <f aca="false">IF(OR(E1003="",E1003="!!!",F1003="NEW"),"",INDEX(J$1:J1002,SUMPRODUCT(MAX(ROW(E$1:E1002)*(E1003=E$1:E1002)))))</f>
        <v/>
      </c>
      <c r="L1003" s="16"/>
    </row>
    <row r="1004" customFormat="false" ht="12.75" hidden="false" customHeight="false" outlineLevel="0" collapsed="false">
      <c r="A1004" s="9" t="s">
        <v>413</v>
      </c>
      <c r="B1004" s="0" t="s">
        <v>24</v>
      </c>
      <c r="C1004" s="0" t="s">
        <v>25</v>
      </c>
      <c r="E1004" s="10" t="str">
        <f aca="false">IF(D1004="?OLD","!!!","")</f>
        <v/>
      </c>
      <c r="F1004" s="11" t="str">
        <f aca="false">IF(OR(E1004="",E1004="!!!"),"",IF(NOT(ISNA(VLOOKUP(E1004,E$1:E1003,1,FALSE()))),"OLD",IF(AND(E1004&lt;&gt;"",E1004&lt;&gt;"!!!"),"NEW","")))</f>
        <v/>
      </c>
      <c r="G1004" s="12" t="str">
        <f aca="false">IF(OR(E1004="",E1004="!!!"),"",IF(OR(J1004=0,AND(J1004=1,K1004=1),AND(J1004=1,I1004="SBJ"),AND(J1004=1,I1004=0)),"?IN_FOCUS",IF(J1004&lt;=2,"?ACTIVATED",IF(J1004&lt;&gt;"","?FAMILIAR",IF(F1004="NEW",IF(ISNA(VLOOKUP(E1004,#REF!,1,FALSE())),"?TYPE_IDENTIFIABLE","?REFERENTIAL"),"_")))))</f>
        <v/>
      </c>
      <c r="H1004" s="13" t="str">
        <f aca="false">IF(J1004&lt;&gt;1,"",IF(I1004="SBJ","CB","?"))</f>
        <v/>
      </c>
      <c r="I1004" s="14" t="str">
        <f aca="false">IF(OR(E1004="",E1004="!!!",F1004="NEW"),"",INDEX(B$2:B1003,-1+SUMPRODUCT(MAX(ROW(E$2:E1003)*(E1004=E$2:E1003)))))</f>
        <v/>
      </c>
      <c r="J1004" s="15" t="str">
        <f aca="true">IF(OR(E1004="",E1004="!!!",F1004="NEW"),"",COUNTBLANK(OFFSET(A$1,,,SUMPRODUCT(MAX(ROW(E$2:E1004)*(E1004=E$2:E1004)))))-COUNTBLANK(OFFSET(A$1,,,SUMPRODUCT(MAX(ROW(E$1:E1003)*(E1004=E$1:E1003))))))</f>
        <v/>
      </c>
      <c r="K1004" s="15" t="str">
        <f aca="false">IF(OR(E1004="",E1004="!!!",F1004="NEW"),"",INDEX(J$1:J1003,SUMPRODUCT(MAX(ROW(E$1:E1003)*(E1004=E$1:E1003)))))</f>
        <v/>
      </c>
      <c r="L1004" s="16"/>
    </row>
    <row r="1005" customFormat="false" ht="12.75" hidden="false" customHeight="false" outlineLevel="0" collapsed="false">
      <c r="A1005" s="9" t="s">
        <v>28</v>
      </c>
      <c r="E1005" s="10" t="str">
        <f aca="false">IF(D1005="?OLD","!!!","")</f>
        <v/>
      </c>
      <c r="F1005" s="11" t="str">
        <f aca="false">IF(OR(E1005="",E1005="!!!"),"",IF(NOT(ISNA(VLOOKUP(E1005,E$1:E1004,1,FALSE()))),"OLD",IF(AND(E1005&lt;&gt;"",E1005&lt;&gt;"!!!"),"NEW","")))</f>
        <v/>
      </c>
      <c r="G1005" s="12" t="str">
        <f aca="false">IF(OR(E1005="",E1005="!!!"),"",IF(OR(J1005=0,AND(J1005=1,K1005=1),AND(J1005=1,I1005="SBJ"),AND(J1005=1,I1005=0)),"?IN_FOCUS",IF(J1005&lt;=2,"?ACTIVATED",IF(J1005&lt;&gt;"","?FAMILIAR",IF(F1005="NEW",IF(ISNA(VLOOKUP(E1005,#REF!,1,FALSE())),"?TYPE_IDENTIFIABLE","?REFERENTIAL"),"_")))))</f>
        <v/>
      </c>
      <c r="H1005" s="13" t="str">
        <f aca="false">IF(J1005&lt;&gt;1,"",IF(I1005="SBJ","CB","?"))</f>
        <v/>
      </c>
      <c r="I1005" s="14" t="str">
        <f aca="false">IF(OR(E1005="",E1005="!!!",F1005="NEW"),"",INDEX(B$2:B1004,-1+SUMPRODUCT(MAX(ROW(E$2:E1004)*(E1005=E$2:E1004)))))</f>
        <v/>
      </c>
      <c r="J1005" s="15" t="str">
        <f aca="true">IF(OR(E1005="",E1005="!!!",F1005="NEW"),"",COUNTBLANK(OFFSET(A$1,,,SUMPRODUCT(MAX(ROW(E$2:E1005)*(E1005=E$2:E1005)))))-COUNTBLANK(OFFSET(A$1,,,SUMPRODUCT(MAX(ROW(E$1:E1004)*(E1005=E$1:E1004))))))</f>
        <v/>
      </c>
      <c r="K1005" s="15" t="str">
        <f aca="false">IF(OR(E1005="",E1005="!!!",F1005="NEW"),"",INDEX(J$1:J1004,SUMPRODUCT(MAX(ROW(E$1:E1004)*(E1005=E$1:E1004)))))</f>
        <v/>
      </c>
      <c r="L1005" s="16"/>
    </row>
    <row r="1006" customFormat="false" ht="12.75" hidden="false" customHeight="false" outlineLevel="0" collapsed="false">
      <c r="A1006" s="9" t="s">
        <v>243</v>
      </c>
      <c r="B1006" s="0" t="s">
        <v>471</v>
      </c>
      <c r="C1006" s="0" t="s">
        <v>192</v>
      </c>
      <c r="E1006" s="10" t="str">
        <f aca="false">IF(D1006="?OLD","!!!","")</f>
        <v/>
      </c>
      <c r="F1006" s="11" t="str">
        <f aca="false">IF(OR(E1006="",E1006="!!!"),"",IF(NOT(ISNA(VLOOKUP(E1006,E$1:E1005,1,FALSE()))),"OLD",IF(AND(E1006&lt;&gt;"",E1006&lt;&gt;"!!!"),"NEW","")))</f>
        <v/>
      </c>
      <c r="G1006" s="12" t="str">
        <f aca="false">IF(OR(E1006="",E1006="!!!"),"",IF(OR(J1006=0,AND(J1006=1,K1006=1),AND(J1006=1,I1006="SBJ"),AND(J1006=1,I1006=0)),"?IN_FOCUS",IF(J1006&lt;=2,"?ACTIVATED",IF(J1006&lt;&gt;"","?FAMILIAR",IF(F1006="NEW",IF(ISNA(VLOOKUP(E1006,#REF!,1,FALSE())),"?TYPE_IDENTIFIABLE","?REFERENTIAL"),"_")))))</f>
        <v/>
      </c>
      <c r="H1006" s="13" t="str">
        <f aca="false">IF(J1006&lt;&gt;1,"",IF(I1006="SBJ","CB","?"))</f>
        <v/>
      </c>
      <c r="I1006" s="14" t="str">
        <f aca="false">IF(OR(E1006="",E1006="!!!",F1006="NEW"),"",INDEX(B$2:B1005,-1+SUMPRODUCT(MAX(ROW(E$2:E1005)*(E1006=E$2:E1005)))))</f>
        <v/>
      </c>
      <c r="J1006" s="15" t="str">
        <f aca="true">IF(OR(E1006="",E1006="!!!",F1006="NEW"),"",COUNTBLANK(OFFSET(A$1,,,SUMPRODUCT(MAX(ROW(E$2:E1006)*(E1006=E$2:E1006)))))-COUNTBLANK(OFFSET(A$1,,,SUMPRODUCT(MAX(ROW(E$1:E1005)*(E1006=E$1:E1005))))))</f>
        <v/>
      </c>
      <c r="K1006" s="15" t="str">
        <f aca="false">IF(OR(E1006="",E1006="!!!",F1006="NEW"),"",INDEX(J$1:J1005,SUMPRODUCT(MAX(ROW(E$1:E1005)*(E1006=E$1:E1005)))))</f>
        <v/>
      </c>
      <c r="L1006" s="16"/>
    </row>
    <row r="1007" customFormat="false" ht="12.75" hidden="false" customHeight="false" outlineLevel="0" collapsed="false">
      <c r="A1007" s="9" t="s">
        <v>487</v>
      </c>
      <c r="E1007" s="10" t="str">
        <f aca="false">IF(D1007="?OLD","!!!","")</f>
        <v/>
      </c>
      <c r="F1007" s="11" t="str">
        <f aca="false">IF(OR(E1007="",E1007="!!!"),"",IF(NOT(ISNA(VLOOKUP(E1007,E$1:E1006,1,FALSE()))),"OLD",IF(AND(E1007&lt;&gt;"",E1007&lt;&gt;"!!!"),"NEW","")))</f>
        <v/>
      </c>
      <c r="G1007" s="12" t="str">
        <f aca="false">IF(OR(E1007="",E1007="!!!"),"",IF(OR(J1007=0,AND(J1007=1,K1007=1),AND(J1007=1,I1007="SBJ"),AND(J1007=1,I1007=0)),"?IN_FOCUS",IF(J1007&lt;=2,"?ACTIVATED",IF(J1007&lt;&gt;"","?FAMILIAR",IF(F1007="NEW",IF(ISNA(VLOOKUP(E1007,#REF!,1,FALSE())),"?TYPE_IDENTIFIABLE","?REFERENTIAL"),"_")))))</f>
        <v/>
      </c>
      <c r="H1007" s="13" t="str">
        <f aca="false">IF(J1007&lt;&gt;1,"",IF(I1007="SBJ","CB","?"))</f>
        <v/>
      </c>
      <c r="I1007" s="14" t="str">
        <f aca="false">IF(OR(E1007="",E1007="!!!",F1007="NEW"),"",INDEX(B$2:B1006,-1+SUMPRODUCT(MAX(ROW(E$2:E1006)*(E1007=E$2:E1006)))))</f>
        <v/>
      </c>
      <c r="J1007" s="15" t="str">
        <f aca="true">IF(OR(E1007="",E1007="!!!",F1007="NEW"),"",COUNTBLANK(OFFSET(A$1,,,SUMPRODUCT(MAX(ROW(E$2:E1007)*(E1007=E$2:E1007)))))-COUNTBLANK(OFFSET(A$1,,,SUMPRODUCT(MAX(ROW(E$1:E1006)*(E1007=E$1:E1006))))))</f>
        <v/>
      </c>
      <c r="K1007" s="15" t="str">
        <f aca="false">IF(OR(E1007="",E1007="!!!",F1007="NEW"),"",INDEX(J$1:J1006,SUMPRODUCT(MAX(ROW(E$1:E1006)*(E1007=E$1:E1006)))))</f>
        <v/>
      </c>
      <c r="L1007" s="16"/>
    </row>
    <row r="1008" customFormat="false" ht="12.75" hidden="false" customHeight="false" outlineLevel="0" collapsed="false">
      <c r="A1008" s="9" t="s">
        <v>150</v>
      </c>
      <c r="B1008" s="0" t="s">
        <v>217</v>
      </c>
      <c r="C1008" s="0" t="s">
        <v>31</v>
      </c>
      <c r="D1008" s="0" t="s">
        <v>19</v>
      </c>
      <c r="E1008" s="10" t="s">
        <v>32</v>
      </c>
      <c r="F1008" s="11" t="str">
        <f aca="false">IF(OR(E1008="",E1008="!!!"),"",IF(NOT(ISNA(VLOOKUP(E1008,E$1:E1007,1,FALSE()))),"OLD",IF(AND(E1008&lt;&gt;"",E1008&lt;&gt;"!!!"),"NEW","")))</f>
        <v>OLD</v>
      </c>
      <c r="G1008" s="12" t="s">
        <v>65</v>
      </c>
      <c r="H1008" s="13" t="str">
        <f aca="false">IF(J1008&lt;&gt;1,"",IF(I1008="SBJ","CB","?"))</f>
        <v/>
      </c>
      <c r="I1008" s="14" t="str">
        <f aca="false">IF(OR(E1008="",E1008="!!!",F1008="NEW"),"",INDEX(B$2:B1007,-1+SUMPRODUCT(MAX(ROW(E$2:E1007)*(E1008=E$2:E1007)))))</f>
        <v>other_4</v>
      </c>
      <c r="J1008" s="15" t="n">
        <f aca="true">IF(OR(E1008="",E1008="!!!",F1008="NEW"),"",COUNTBLANK(OFFSET(A$1,,,SUMPRODUCT(MAX(ROW(E$2:E1008)*(E1008=E$2:E1008)))))-COUNTBLANK(OFFSET(A$1,,,SUMPRODUCT(MAX(ROW(E$1:E1007)*(E1008=E$1:E1007))))))</f>
        <v>0</v>
      </c>
      <c r="K1008" s="15" t="n">
        <f aca="false">IF(OR(E1008="",E1008="!!!",F1008="NEW"),"",INDEX(J$1:J1007,SUMPRODUCT(MAX(ROW(E$1:E1007)*(E1008=E$1:E1007)))))</f>
        <v>3</v>
      </c>
      <c r="L1008" s="16"/>
    </row>
    <row r="1009" customFormat="false" ht="12.75" hidden="false" customHeight="false" outlineLevel="0" collapsed="false">
      <c r="A1009" s="9" t="s">
        <v>149</v>
      </c>
      <c r="E1009" s="10" t="str">
        <f aca="false">IF(D1009="?OLD","!!!","")</f>
        <v/>
      </c>
      <c r="F1009" s="11" t="str">
        <f aca="false">IF(OR(E1009="",E1009="!!!"),"",IF(NOT(ISNA(VLOOKUP(E1009,E$1:E1008,1,FALSE()))),"OLD",IF(AND(E1009&lt;&gt;"",E1009&lt;&gt;"!!!"),"NEW","")))</f>
        <v/>
      </c>
      <c r="G1009" s="12" t="str">
        <f aca="false">IF(OR(E1009="",E1009="!!!"),"",IF(OR(J1009=0,AND(J1009=1,K1009=1),AND(J1009=1,I1009="SBJ"),AND(J1009=1,I1009=0)),"?IN_FOCUS",IF(J1009&lt;=2,"?ACTIVATED",IF(J1009&lt;&gt;"","?FAMILIAR",IF(F1009="NEW",IF(ISNA(VLOOKUP(E1009,#REF!,1,FALSE())),"?TYPE_IDENTIFIABLE","?REFERENTIAL"),"_")))))</f>
        <v/>
      </c>
      <c r="H1009" s="13" t="str">
        <f aca="false">IF(J1009&lt;&gt;1,"",IF(I1009="SBJ","CB","?"))</f>
        <v/>
      </c>
      <c r="I1009" s="14" t="str">
        <f aca="false">IF(OR(E1009="",E1009="!!!",F1009="NEW"),"",INDEX(B$2:B1008,-1+SUMPRODUCT(MAX(ROW(E$2:E1008)*(E1009=E$2:E1008)))))</f>
        <v/>
      </c>
      <c r="J1009" s="15" t="str">
        <f aca="true">IF(OR(E1009="",E1009="!!!",F1009="NEW"),"",COUNTBLANK(OFFSET(A$1,,,SUMPRODUCT(MAX(ROW(E$2:E1009)*(E1009=E$2:E1009)))))-COUNTBLANK(OFFSET(A$1,,,SUMPRODUCT(MAX(ROW(E$1:E1008)*(E1009=E$1:E1008))))))</f>
        <v/>
      </c>
      <c r="K1009" s="15" t="str">
        <f aca="false">IF(OR(E1009="",E1009="!!!",F1009="NEW"),"",INDEX(J$1:J1008,SUMPRODUCT(MAX(ROW(E$1:E1008)*(E1009=E$1:E1008)))))</f>
        <v/>
      </c>
      <c r="L1009" s="16"/>
    </row>
    <row r="1010" customFormat="false" ht="12.75" hidden="false" customHeight="false" outlineLevel="0" collapsed="false">
      <c r="A1010" s="9" t="s">
        <v>146</v>
      </c>
      <c r="E1010" s="10" t="str">
        <f aca="false">IF(D1010="?OLD","!!!","")</f>
        <v/>
      </c>
      <c r="F1010" s="11" t="str">
        <f aca="false">IF(OR(E1010="",E1010="!!!"),"",IF(NOT(ISNA(VLOOKUP(E1010,E$1:E1009,1,FALSE()))),"OLD",IF(AND(E1010&lt;&gt;"",E1010&lt;&gt;"!!!"),"NEW","")))</f>
        <v/>
      </c>
      <c r="G1010" s="12" t="str">
        <f aca="false">IF(OR(E1010="",E1010="!!!"),"",IF(OR(J1010=0,AND(J1010=1,K1010=1),AND(J1010=1,I1010="SBJ"),AND(J1010=1,I1010=0)),"?IN_FOCUS",IF(J1010&lt;=2,"?ACTIVATED",IF(J1010&lt;&gt;"","?FAMILIAR",IF(F1010="NEW",IF(ISNA(VLOOKUP(E1010,#REF!,1,FALSE())),"?TYPE_IDENTIFIABLE","?REFERENTIAL"),"_")))))</f>
        <v/>
      </c>
      <c r="H1010" s="13" t="str">
        <f aca="false">IF(J1010&lt;&gt;1,"",IF(I1010="SBJ","CB","?"))</f>
        <v/>
      </c>
      <c r="I1010" s="14" t="str">
        <f aca="false">IF(OR(E1010="",E1010="!!!",F1010="NEW"),"",INDEX(B$2:B1009,-1+SUMPRODUCT(MAX(ROW(E$2:E1009)*(E1010=E$2:E1009)))))</f>
        <v/>
      </c>
      <c r="J1010" s="15" t="str">
        <f aca="true">IF(OR(E1010="",E1010="!!!",F1010="NEW"),"",COUNTBLANK(OFFSET(A$1,,,SUMPRODUCT(MAX(ROW(E$2:E1010)*(E1010=E$2:E1010)))))-COUNTBLANK(OFFSET(A$1,,,SUMPRODUCT(MAX(ROW(E$1:E1009)*(E1010=E$1:E1009))))))</f>
        <v/>
      </c>
      <c r="K1010" s="15" t="str">
        <f aca="false">IF(OR(E1010="",E1010="!!!",F1010="NEW"),"",INDEX(J$1:J1009,SUMPRODUCT(MAX(ROW(E$1:E1009)*(E1010=E$1:E1009)))))</f>
        <v/>
      </c>
      <c r="L1010" s="16"/>
    </row>
    <row r="1011" customFormat="false" ht="12.75" hidden="false" customHeight="false" outlineLevel="0" collapsed="false">
      <c r="A1011" s="9" t="s">
        <v>138</v>
      </c>
      <c r="E1011" s="10" t="str">
        <f aca="false">IF(D1011="?OLD","!!!","")</f>
        <v/>
      </c>
      <c r="F1011" s="11" t="str">
        <f aca="false">IF(OR(E1011="",E1011="!!!"),"",IF(NOT(ISNA(VLOOKUP(E1011,E$1:E1010,1,FALSE()))),"OLD",IF(AND(E1011&lt;&gt;"",E1011&lt;&gt;"!!!"),"NEW","")))</f>
        <v/>
      </c>
      <c r="G1011" s="12" t="str">
        <f aca="false">IF(OR(E1011="",E1011="!!!"),"",IF(OR(J1011=0,AND(J1011=1,K1011=1),AND(J1011=1,I1011="SBJ"),AND(J1011=1,I1011=0)),"?IN_FOCUS",IF(J1011&lt;=2,"?ACTIVATED",IF(J1011&lt;&gt;"","?FAMILIAR",IF(F1011="NEW",IF(ISNA(VLOOKUP(E1011,#REF!,1,FALSE())),"?TYPE_IDENTIFIABLE","?REFERENTIAL"),"_")))))</f>
        <v/>
      </c>
      <c r="H1011" s="13" t="str">
        <f aca="false">IF(J1011&lt;&gt;1,"",IF(I1011="SBJ","CB","?"))</f>
        <v/>
      </c>
      <c r="I1011" s="14" t="str">
        <f aca="false">IF(OR(E1011="",E1011="!!!",F1011="NEW"),"",INDEX(B$2:B1010,-1+SUMPRODUCT(MAX(ROW(E$2:E1010)*(E1011=E$2:E1010)))))</f>
        <v/>
      </c>
      <c r="J1011" s="15" t="str">
        <f aca="true">IF(OR(E1011="",E1011="!!!",F1011="NEW"),"",COUNTBLANK(OFFSET(A$1,,,SUMPRODUCT(MAX(ROW(E$2:E1011)*(E1011=E$2:E1011)))))-COUNTBLANK(OFFSET(A$1,,,SUMPRODUCT(MAX(ROW(E$1:E1010)*(E1011=E$1:E1010))))))</f>
        <v/>
      </c>
      <c r="K1011" s="15" t="str">
        <f aca="false">IF(OR(E1011="",E1011="!!!",F1011="NEW"),"",INDEX(J$1:J1010,SUMPRODUCT(MAX(ROW(E$1:E1010)*(E1011=E$1:E1010)))))</f>
        <v/>
      </c>
      <c r="L1011" s="16"/>
    </row>
    <row r="1012" customFormat="false" ht="12.75" hidden="false" customHeight="false" outlineLevel="0" collapsed="false">
      <c r="E1012" s="10" t="str">
        <f aca="false">IF(D1012="?OLD","!!!","")</f>
        <v/>
      </c>
      <c r="F1012" s="11" t="str">
        <f aca="false">IF(OR(E1012="",E1012="!!!"),"",IF(NOT(ISNA(VLOOKUP(E1012,E$1:E1011,1,FALSE()))),"OLD",IF(AND(E1012&lt;&gt;"",E1012&lt;&gt;"!!!"),"NEW","")))</f>
        <v/>
      </c>
      <c r="G1012" s="12" t="str">
        <f aca="false">IF(OR(E1012="",E1012="!!!"),"",IF(OR(J1012=0,AND(J1012=1,K1012=1),AND(J1012=1,I1012="SBJ"),AND(J1012=1,I1012=0)),"?IN_FOCUS",IF(J1012&lt;=2,"?ACTIVATED",IF(J1012&lt;&gt;"","?FAMILIAR",IF(F1012="NEW",IF(ISNA(VLOOKUP(E1012,#REF!,1,FALSE())),"?TYPE_IDENTIFIABLE","?REFERENTIAL"),"_")))))</f>
        <v/>
      </c>
      <c r="H1012" s="13" t="str">
        <f aca="false">IF(J1012&lt;&gt;1,"",IF(I1012="SBJ","CB","?"))</f>
        <v/>
      </c>
      <c r="I1012" s="14" t="str">
        <f aca="false">IF(OR(E1012="",E1012="!!!",F1012="NEW"),"",INDEX(B$2:B1011,-1+SUMPRODUCT(MAX(ROW(E$2:E1011)*(E1012=E$2:E1011)))))</f>
        <v/>
      </c>
      <c r="J1012" s="15" t="str">
        <f aca="true">IF(OR(E1012="",E1012="!!!",F1012="NEW"),"",COUNTBLANK(OFFSET(A$1,,,SUMPRODUCT(MAX(ROW(E$2:E1012)*(E1012=E$2:E1012)))))-COUNTBLANK(OFFSET(A$1,,,SUMPRODUCT(MAX(ROW(E$1:E1011)*(E1012=E$1:E1011))))))</f>
        <v/>
      </c>
      <c r="K1012" s="15" t="str">
        <f aca="false">IF(OR(E1012="",E1012="!!!",F1012="NEW"),"",INDEX(J$1:J1011,SUMPRODUCT(MAX(ROW(E$1:E1011)*(E1012=E$1:E1011)))))</f>
        <v/>
      </c>
      <c r="L1012" s="16"/>
    </row>
    <row r="1013" customFormat="false" ht="12.75" hidden="false" customHeight="false" outlineLevel="0" collapsed="false">
      <c r="A1013" s="9" t="s">
        <v>132</v>
      </c>
      <c r="E1013" s="10" t="str">
        <f aca="false">IF(D1013="?OLD","!!!","")</f>
        <v/>
      </c>
      <c r="F1013" s="11" t="str">
        <f aca="false">IF(OR(E1013="",E1013="!!!"),"",IF(NOT(ISNA(VLOOKUP(E1013,E$1:E1012,1,FALSE()))),"OLD",IF(AND(E1013&lt;&gt;"",E1013&lt;&gt;"!!!"),"NEW","")))</f>
        <v/>
      </c>
      <c r="G1013" s="12" t="str">
        <f aca="false">IF(OR(E1013="",E1013="!!!"),"",IF(OR(J1013=0,AND(J1013=1,K1013=1),AND(J1013=1,I1013="SBJ"),AND(J1013=1,I1013=0)),"?IN_FOCUS",IF(J1013&lt;=2,"?ACTIVATED",IF(J1013&lt;&gt;"","?FAMILIAR",IF(F1013="NEW",IF(ISNA(VLOOKUP(E1013,#REF!,1,FALSE())),"?TYPE_IDENTIFIABLE","?REFERENTIAL"),"_")))))</f>
        <v/>
      </c>
      <c r="H1013" s="13" t="str">
        <f aca="false">IF(J1013&lt;&gt;1,"",IF(I1013="SBJ","CB","?"))</f>
        <v/>
      </c>
      <c r="I1013" s="14" t="str">
        <f aca="false">IF(OR(E1013="",E1013="!!!",F1013="NEW"),"",INDEX(B$2:B1012,-1+SUMPRODUCT(MAX(ROW(E$2:E1012)*(E1013=E$2:E1012)))))</f>
        <v/>
      </c>
      <c r="J1013" s="15" t="str">
        <f aca="true">IF(OR(E1013="",E1013="!!!",F1013="NEW"),"",COUNTBLANK(OFFSET(A$1,,,SUMPRODUCT(MAX(ROW(E$2:E1013)*(E1013=E$2:E1013)))))-COUNTBLANK(OFFSET(A$1,,,SUMPRODUCT(MAX(ROW(E$1:E1012)*(E1013=E$1:E1012))))))</f>
        <v/>
      </c>
      <c r="K1013" s="15" t="str">
        <f aca="false">IF(OR(E1013="",E1013="!!!",F1013="NEW"),"",INDEX(J$1:J1012,SUMPRODUCT(MAX(ROW(E$1:E1012)*(E1013=E$1:E1012)))))</f>
        <v/>
      </c>
      <c r="L1013" s="16"/>
    </row>
    <row r="1014" customFormat="false" ht="12.75" hidden="false" customHeight="false" outlineLevel="0" collapsed="false">
      <c r="A1014" s="9" t="s">
        <v>488</v>
      </c>
      <c r="E1014" s="10" t="str">
        <f aca="false">IF(D1014="?OLD","!!!","")</f>
        <v/>
      </c>
      <c r="F1014" s="11" t="str">
        <f aca="false">IF(OR(E1014="",E1014="!!!"),"",IF(NOT(ISNA(VLOOKUP(E1014,E$1:E1013,1,FALSE()))),"OLD",IF(AND(E1014&lt;&gt;"",E1014&lt;&gt;"!!!"),"NEW","")))</f>
        <v/>
      </c>
      <c r="G1014" s="12" t="str">
        <f aca="false">IF(OR(E1014="",E1014="!!!"),"",IF(OR(J1014=0,AND(J1014=1,K1014=1),AND(J1014=1,I1014="SBJ"),AND(J1014=1,I1014=0)),"?IN_FOCUS",IF(J1014&lt;=2,"?ACTIVATED",IF(J1014&lt;&gt;"","?FAMILIAR",IF(F1014="NEW",IF(ISNA(VLOOKUP(E1014,#REF!,1,FALSE())),"?TYPE_IDENTIFIABLE","?REFERENTIAL"),"_")))))</f>
        <v/>
      </c>
      <c r="H1014" s="13" t="str">
        <f aca="false">IF(J1014&lt;&gt;1,"",IF(I1014="SBJ","CB","?"))</f>
        <v/>
      </c>
      <c r="I1014" s="14" t="str">
        <f aca="false">IF(OR(E1014="",E1014="!!!",F1014="NEW"),"",INDEX(B$2:B1013,-1+SUMPRODUCT(MAX(ROW(E$2:E1013)*(E1014=E$2:E1013)))))</f>
        <v/>
      </c>
      <c r="J1014" s="15" t="str">
        <f aca="true">IF(OR(E1014="",E1014="!!!",F1014="NEW"),"",COUNTBLANK(OFFSET(A$1,,,SUMPRODUCT(MAX(ROW(E$2:E1014)*(E1014=E$2:E1014)))))-COUNTBLANK(OFFSET(A$1,,,SUMPRODUCT(MAX(ROW(E$1:E1013)*(E1014=E$1:E1013))))))</f>
        <v/>
      </c>
      <c r="K1014" s="15" t="str">
        <f aca="false">IF(OR(E1014="",E1014="!!!",F1014="NEW"),"",INDEX(J$1:J1013,SUMPRODUCT(MAX(ROW(E$1:E1013)*(E1014=E$1:E1013)))))</f>
        <v/>
      </c>
      <c r="L1014" s="16"/>
    </row>
    <row r="1015" customFormat="false" ht="12.75" hidden="false" customHeight="false" outlineLevel="0" collapsed="false">
      <c r="A1015" s="9" t="s">
        <v>205</v>
      </c>
      <c r="B1015" s="0" t="s">
        <v>30</v>
      </c>
      <c r="C1015" s="0" t="s">
        <v>103</v>
      </c>
      <c r="D1015" s="0" t="s">
        <v>19</v>
      </c>
      <c r="E1015" s="10" t="s">
        <v>205</v>
      </c>
      <c r="F1015" s="11" t="str">
        <f aca="false">IF(OR(E1015="",E1015="!!!"),"",IF(NOT(ISNA(VLOOKUP(E1015,E$1:E1014,1,FALSE()))),"OLD",IF(AND(E1015&lt;&gt;"",E1015&lt;&gt;"!!!"),"NEW","")))</f>
        <v>OLD</v>
      </c>
      <c r="G1015" s="12" t="s">
        <v>33</v>
      </c>
      <c r="H1015" s="13"/>
      <c r="I1015" s="14" t="str">
        <f aca="false">IF(OR(E1015="",E1015="!!!",F1015="NEW"),"",INDEX(B$2:B1014,-1+SUMPRODUCT(MAX(ROW(E$2:E1014)*(E1015=E$2:E1014)))))</f>
        <v>other_2</v>
      </c>
      <c r="J1015" s="15" t="n">
        <f aca="true">IF(OR(E1015="",E1015="!!!",F1015="NEW"),"",COUNTBLANK(OFFSET(A$1,,,SUMPRODUCT(MAX(ROW(E$2:E1015)*(E1015=E$2:E1015)))))-COUNTBLANK(OFFSET(A$1,,,SUMPRODUCT(MAX(ROW(E$1:E1014)*(E1015=E$1:E1014))))))</f>
        <v>1</v>
      </c>
      <c r="K1015" s="15" t="n">
        <f aca="false">IF(OR(E1015="",E1015="!!!",F1015="NEW"),"",INDEX(J$1:J1014,SUMPRODUCT(MAX(ROW(E$1:E1014)*(E1015=E$1:E1014)))))</f>
        <v>6</v>
      </c>
      <c r="L1015" s="16"/>
    </row>
    <row r="1016" customFormat="false" ht="12.75" hidden="false" customHeight="false" outlineLevel="0" collapsed="false">
      <c r="A1016" s="9" t="s">
        <v>200</v>
      </c>
      <c r="E1016" s="10" t="str">
        <f aca="false">IF(D1016="?OLD","!!!","")</f>
        <v/>
      </c>
      <c r="F1016" s="11" t="str">
        <f aca="false">IF(OR(E1016="",E1016="!!!"),"",IF(NOT(ISNA(VLOOKUP(E1016,E$1:E1015,1,FALSE()))),"OLD",IF(AND(E1016&lt;&gt;"",E1016&lt;&gt;"!!!"),"NEW","")))</f>
        <v/>
      </c>
      <c r="G1016" s="12" t="str">
        <f aca="false">IF(OR(E1016="",E1016="!!!"),"",IF(OR(J1016=0,AND(J1016=1,K1016=1),AND(J1016=1,I1016="SBJ"),AND(J1016=1,I1016=0)),"?IN_FOCUS",IF(J1016&lt;=2,"?ACTIVATED",IF(J1016&lt;&gt;"","?FAMILIAR",IF(F1016="NEW",IF(ISNA(VLOOKUP(E1016,#REF!,1,FALSE())),"?TYPE_IDENTIFIABLE","?REFERENTIAL"),"_")))))</f>
        <v/>
      </c>
      <c r="H1016" s="13" t="str">
        <f aca="false">IF(J1016&lt;&gt;1,"",IF(I1016="SBJ","CB","?"))</f>
        <v/>
      </c>
      <c r="I1016" s="14" t="str">
        <f aca="false">IF(OR(E1016="",E1016="!!!",F1016="NEW"),"",INDEX(B$2:B1015,-1+SUMPRODUCT(MAX(ROW(E$2:E1015)*(E1016=E$2:E1015)))))</f>
        <v/>
      </c>
      <c r="J1016" s="15" t="str">
        <f aca="true">IF(OR(E1016="",E1016="!!!",F1016="NEW"),"",COUNTBLANK(OFFSET(A$1,,,SUMPRODUCT(MAX(ROW(E$2:E1016)*(E1016=E$2:E1016)))))-COUNTBLANK(OFFSET(A$1,,,SUMPRODUCT(MAX(ROW(E$1:E1015)*(E1016=E$1:E1015))))))</f>
        <v/>
      </c>
      <c r="K1016" s="15" t="str">
        <f aca="false">IF(OR(E1016="",E1016="!!!",F1016="NEW"),"",INDEX(J$1:J1015,SUMPRODUCT(MAX(ROW(E$1:E1015)*(E1016=E$1:E1015)))))</f>
        <v/>
      </c>
      <c r="L1016" s="16"/>
    </row>
    <row r="1017" customFormat="false" ht="12.75" hidden="false" customHeight="false" outlineLevel="0" collapsed="false">
      <c r="A1017" s="9" t="s">
        <v>78</v>
      </c>
      <c r="E1017" s="10" t="str">
        <f aca="false">IF(D1017="?OLD","!!!","")</f>
        <v/>
      </c>
      <c r="F1017" s="11" t="str">
        <f aca="false">IF(OR(E1017="",E1017="!!!"),"",IF(NOT(ISNA(VLOOKUP(E1017,E$1:E1016,1,FALSE()))),"OLD",IF(AND(E1017&lt;&gt;"",E1017&lt;&gt;"!!!"),"NEW","")))</f>
        <v/>
      </c>
      <c r="G1017" s="12" t="str">
        <f aca="false">IF(OR(E1017="",E1017="!!!"),"",IF(OR(J1017=0,AND(J1017=1,K1017=1),AND(J1017=1,I1017="SBJ"),AND(J1017=1,I1017=0)),"?IN_FOCUS",IF(J1017&lt;=2,"?ACTIVATED",IF(J1017&lt;&gt;"","?FAMILIAR",IF(F1017="NEW",IF(ISNA(VLOOKUP(E1017,#REF!,1,FALSE())),"?TYPE_IDENTIFIABLE","?REFERENTIAL"),"_")))))</f>
        <v/>
      </c>
      <c r="H1017" s="13" t="str">
        <f aca="false">IF(J1017&lt;&gt;1,"",IF(I1017="SBJ","CB","?"))</f>
        <v/>
      </c>
      <c r="I1017" s="14" t="str">
        <f aca="false">IF(OR(E1017="",E1017="!!!",F1017="NEW"),"",INDEX(B$2:B1016,-1+SUMPRODUCT(MAX(ROW(E$2:E1016)*(E1017=E$2:E1016)))))</f>
        <v/>
      </c>
      <c r="J1017" s="15" t="str">
        <f aca="true">IF(OR(E1017="",E1017="!!!",F1017="NEW"),"",COUNTBLANK(OFFSET(A$1,,,SUMPRODUCT(MAX(ROW(E$2:E1017)*(E1017=E$2:E1017)))))-COUNTBLANK(OFFSET(A$1,,,SUMPRODUCT(MAX(ROW(E$1:E1016)*(E1017=E$1:E1016))))))</f>
        <v/>
      </c>
      <c r="K1017" s="15" t="str">
        <f aca="false">IF(OR(E1017="",E1017="!!!",F1017="NEW"),"",INDEX(J$1:J1016,SUMPRODUCT(MAX(ROW(E$1:E1016)*(E1017=E$1:E1016)))))</f>
        <v/>
      </c>
      <c r="L1017" s="16"/>
    </row>
    <row r="1018" customFormat="false" ht="12.75" hidden="false" customHeight="false" outlineLevel="0" collapsed="false">
      <c r="A1018" s="9" t="s">
        <v>79</v>
      </c>
      <c r="B1018" s="0" t="s">
        <v>40</v>
      </c>
      <c r="C1018" s="0" t="s">
        <v>31</v>
      </c>
      <c r="D1018" s="0" t="s">
        <v>19</v>
      </c>
      <c r="E1018" s="10" t="s">
        <v>32</v>
      </c>
      <c r="F1018" s="11" t="str">
        <f aca="false">IF(OR(E1018="",E1018="!!!"),"",IF(NOT(ISNA(VLOOKUP(E1018,E$1:E1017,1,FALSE()))),"OLD",IF(AND(E1018&lt;&gt;"",E1018&lt;&gt;"!!!"),"NEW","")))</f>
        <v>OLD</v>
      </c>
      <c r="G1018" s="12" t="s">
        <v>33</v>
      </c>
      <c r="H1018" s="13" t="s">
        <v>7</v>
      </c>
      <c r="I1018" s="14" t="str">
        <f aca="false">IF(OR(E1018="",E1018="!!!",F1018="NEW"),"",INDEX(B$2:B1017,-1+SUMPRODUCT(MAX(ROW(E$2:E1017)*(E1018=E$2:E1017)))))</f>
        <v>SBJ_5</v>
      </c>
      <c r="J1018" s="15" t="n">
        <f aca="true">IF(OR(E1018="",E1018="!!!",F1018="NEW"),"",COUNTBLANK(OFFSET(A$1,,,SUMPRODUCT(MAX(ROW(E$2:E1018)*(E1018=E$2:E1018)))))-COUNTBLANK(OFFSET(A$1,,,SUMPRODUCT(MAX(ROW(E$1:E1017)*(E1018=E$1:E1017))))))</f>
        <v>1</v>
      </c>
      <c r="K1018" s="15" t="n">
        <f aca="false">IF(OR(E1018="",E1018="!!!",F1018="NEW"),"",INDEX(J$1:J1017,SUMPRODUCT(MAX(ROW(E$1:E1017)*(E1018=E$1:E1017)))))</f>
        <v>0</v>
      </c>
      <c r="L1018" s="16"/>
    </row>
    <row r="1019" customFormat="false" ht="12.75" hidden="false" customHeight="false" outlineLevel="0" collapsed="false">
      <c r="A1019" s="9" t="s">
        <v>28</v>
      </c>
      <c r="E1019" s="10" t="str">
        <f aca="false">IF(D1019="?OLD","!!!","")</f>
        <v/>
      </c>
      <c r="F1019" s="11" t="str">
        <f aca="false">IF(OR(E1019="",E1019="!!!"),"",IF(NOT(ISNA(VLOOKUP(E1019,E$1:E1018,1,FALSE()))),"OLD",IF(AND(E1019&lt;&gt;"",E1019&lt;&gt;"!!!"),"NEW","")))</f>
        <v/>
      </c>
      <c r="G1019" s="12" t="str">
        <f aca="false">IF(OR(E1019="",E1019="!!!"),"",IF(OR(J1019=0,AND(J1019=1,K1019=1),AND(J1019=1,I1019="SBJ"),AND(J1019=1,I1019=0)),"?IN_FOCUS",IF(J1019&lt;=2,"?ACTIVATED",IF(J1019&lt;&gt;"","?FAMILIAR",IF(F1019="NEW",IF(ISNA(VLOOKUP(E1019,#REF!,1,FALSE())),"?TYPE_IDENTIFIABLE","?REFERENTIAL"),"_")))))</f>
        <v/>
      </c>
      <c r="H1019" s="13" t="str">
        <f aca="false">IF(J1019&lt;&gt;1,"",IF(I1019="SBJ","CB","?"))</f>
        <v/>
      </c>
      <c r="I1019" s="14" t="str">
        <f aca="false">IF(OR(E1019="",E1019="!!!",F1019="NEW"),"",INDEX(B$2:B1018,-1+SUMPRODUCT(MAX(ROW(E$2:E1018)*(E1019=E$2:E1018)))))</f>
        <v/>
      </c>
      <c r="J1019" s="15" t="str">
        <f aca="true">IF(OR(E1019="",E1019="!!!",F1019="NEW"),"",COUNTBLANK(OFFSET(A$1,,,SUMPRODUCT(MAX(ROW(E$2:E1019)*(E1019=E$2:E1019)))))-COUNTBLANK(OFFSET(A$1,,,SUMPRODUCT(MAX(ROW(E$1:E1018)*(E1019=E$1:E1018))))))</f>
        <v/>
      </c>
      <c r="K1019" s="15" t="str">
        <f aca="false">IF(OR(E1019="",E1019="!!!",F1019="NEW"),"",INDEX(J$1:J1018,SUMPRODUCT(MAX(ROW(E$1:E1018)*(E1019=E$1:E1018)))))</f>
        <v/>
      </c>
      <c r="L1019" s="16"/>
    </row>
    <row r="1020" customFormat="false" ht="12.75" hidden="false" customHeight="false" outlineLevel="0" collapsed="false">
      <c r="A1020" s="9" t="s">
        <v>138</v>
      </c>
      <c r="E1020" s="10" t="str">
        <f aca="false">IF(D1020="?OLD","!!!","")</f>
        <v/>
      </c>
      <c r="F1020" s="11" t="str">
        <f aca="false">IF(OR(E1020="",E1020="!!!"),"",IF(NOT(ISNA(VLOOKUP(E1020,E$1:E1019,1,FALSE()))),"OLD",IF(AND(E1020&lt;&gt;"",E1020&lt;&gt;"!!!"),"NEW","")))</f>
        <v/>
      </c>
      <c r="G1020" s="12" t="str">
        <f aca="false">IF(OR(E1020="",E1020="!!!"),"",IF(OR(J1020=0,AND(J1020=1,K1020=1),AND(J1020=1,I1020="SBJ"),AND(J1020=1,I1020=0)),"?IN_FOCUS",IF(J1020&lt;=2,"?ACTIVATED",IF(J1020&lt;&gt;"","?FAMILIAR",IF(F1020="NEW",IF(ISNA(VLOOKUP(E1020,#REF!,1,FALSE())),"?TYPE_IDENTIFIABLE","?REFERENTIAL"),"_")))))</f>
        <v/>
      </c>
      <c r="H1020" s="13" t="str">
        <f aca="false">IF(J1020&lt;&gt;1,"",IF(I1020="SBJ","CB","?"))</f>
        <v/>
      </c>
      <c r="I1020" s="14" t="str">
        <f aca="false">IF(OR(E1020="",E1020="!!!",F1020="NEW"),"",INDEX(B$2:B1019,-1+SUMPRODUCT(MAX(ROW(E$2:E1019)*(E1020=E$2:E1019)))))</f>
        <v/>
      </c>
      <c r="J1020" s="15" t="str">
        <f aca="true">IF(OR(E1020="",E1020="!!!",F1020="NEW"),"",COUNTBLANK(OFFSET(A$1,,,SUMPRODUCT(MAX(ROW(E$2:E1020)*(E1020=E$2:E1020)))))-COUNTBLANK(OFFSET(A$1,,,SUMPRODUCT(MAX(ROW(E$1:E1019)*(E1020=E$1:E1019))))))</f>
        <v/>
      </c>
      <c r="K1020" s="15" t="str">
        <f aca="false">IF(OR(E1020="",E1020="!!!",F1020="NEW"),"",INDEX(J$1:J1019,SUMPRODUCT(MAX(ROW(E$1:E1019)*(E1020=E$1:E1019)))))</f>
        <v/>
      </c>
      <c r="L1020" s="16"/>
    </row>
    <row r="1021" customFormat="false" ht="12.75" hidden="false" customHeight="false" outlineLevel="0" collapsed="false">
      <c r="A1021" s="9" t="s">
        <v>489</v>
      </c>
      <c r="B1021" s="0" t="s">
        <v>40</v>
      </c>
      <c r="C1021" s="0" t="s">
        <v>25</v>
      </c>
      <c r="E1021" s="10" t="str">
        <f aca="false">IF(D1021="?OLD","!!!","")</f>
        <v/>
      </c>
      <c r="F1021" s="11" t="str">
        <f aca="false">IF(OR(E1021="",E1021="!!!"),"",IF(NOT(ISNA(VLOOKUP(E1021,E$1:E1020,1,FALSE()))),"OLD",IF(AND(E1021&lt;&gt;"",E1021&lt;&gt;"!!!"),"NEW","")))</f>
        <v/>
      </c>
      <c r="G1021" s="12" t="str">
        <f aca="false">IF(OR(E1021="",E1021="!!!"),"",IF(OR(J1021=0,AND(J1021=1,K1021=1),AND(J1021=1,I1021="SBJ"),AND(J1021=1,I1021=0)),"?IN_FOCUS",IF(J1021&lt;=2,"?ACTIVATED",IF(J1021&lt;&gt;"","?FAMILIAR",IF(F1021="NEW",IF(ISNA(VLOOKUP(E1021,#REF!,1,FALSE())),"?TYPE_IDENTIFIABLE","?REFERENTIAL"),"_")))))</f>
        <v/>
      </c>
      <c r="H1021" s="13" t="str">
        <f aca="false">IF(J1021&lt;&gt;1,"",IF(I1021="SBJ","CB","?"))</f>
        <v/>
      </c>
      <c r="I1021" s="14" t="str">
        <f aca="false">IF(OR(E1021="",E1021="!!!",F1021="NEW"),"",INDEX(B$2:B1020,-1+SUMPRODUCT(MAX(ROW(E$2:E1020)*(E1021=E$2:E1020)))))</f>
        <v/>
      </c>
      <c r="J1021" s="15" t="str">
        <f aca="true">IF(OR(E1021="",E1021="!!!",F1021="NEW"),"",COUNTBLANK(OFFSET(A$1,,,SUMPRODUCT(MAX(ROW(E$2:E1021)*(E1021=E$2:E1021)))))-COUNTBLANK(OFFSET(A$1,,,SUMPRODUCT(MAX(ROW(E$1:E1020)*(E1021=E$1:E1020))))))</f>
        <v/>
      </c>
      <c r="K1021" s="15" t="str">
        <f aca="false">IF(OR(E1021="",E1021="!!!",F1021="NEW"),"",INDEX(J$1:J1020,SUMPRODUCT(MAX(ROW(E$1:E1020)*(E1021=E$1:E1020)))))</f>
        <v/>
      </c>
      <c r="L1021" s="16"/>
    </row>
    <row r="1022" customFormat="false" ht="12.75" hidden="false" customHeight="false" outlineLevel="0" collapsed="false">
      <c r="A1022" s="9" t="s">
        <v>28</v>
      </c>
      <c r="E1022" s="10" t="str">
        <f aca="false">IF(D1022="?OLD","!!!","")</f>
        <v/>
      </c>
      <c r="F1022" s="11" t="str">
        <f aca="false">IF(OR(E1022="",E1022="!!!"),"",IF(NOT(ISNA(VLOOKUP(E1022,E$1:E1021,1,FALSE()))),"OLD",IF(AND(E1022&lt;&gt;"",E1022&lt;&gt;"!!!"),"NEW","")))</f>
        <v/>
      </c>
      <c r="G1022" s="12" t="str">
        <f aca="false">IF(OR(E1022="",E1022="!!!"),"",IF(OR(J1022=0,AND(J1022=1,K1022=1),AND(J1022=1,I1022="SBJ"),AND(J1022=1,I1022=0)),"?IN_FOCUS",IF(J1022&lt;=2,"?ACTIVATED",IF(J1022&lt;&gt;"","?FAMILIAR",IF(F1022="NEW",IF(ISNA(VLOOKUP(E1022,#REF!,1,FALSE())),"?TYPE_IDENTIFIABLE","?REFERENTIAL"),"_")))))</f>
        <v/>
      </c>
      <c r="H1022" s="13" t="str">
        <f aca="false">IF(J1022&lt;&gt;1,"",IF(I1022="SBJ","CB","?"))</f>
        <v/>
      </c>
      <c r="I1022" s="14" t="str">
        <f aca="false">IF(OR(E1022="",E1022="!!!",F1022="NEW"),"",INDEX(B$2:B1021,-1+SUMPRODUCT(MAX(ROW(E$2:E1021)*(E1022=E$2:E1021)))))</f>
        <v/>
      </c>
      <c r="J1022" s="15" t="str">
        <f aca="true">IF(OR(E1022="",E1022="!!!",F1022="NEW"),"",COUNTBLANK(OFFSET(A$1,,,SUMPRODUCT(MAX(ROW(E$2:E1022)*(E1022=E$2:E1022)))))-COUNTBLANK(OFFSET(A$1,,,SUMPRODUCT(MAX(ROW(E$1:E1021)*(E1022=E$1:E1021))))))</f>
        <v/>
      </c>
      <c r="K1022" s="15" t="str">
        <f aca="false">IF(OR(E1022="",E1022="!!!",F1022="NEW"),"",INDEX(J$1:J1021,SUMPRODUCT(MAX(ROW(E$1:E1021)*(E1022=E$1:E1021)))))</f>
        <v/>
      </c>
      <c r="L1022" s="16"/>
    </row>
    <row r="1023" customFormat="false" ht="12.75" hidden="false" customHeight="false" outlineLevel="0" collapsed="false">
      <c r="A1023" s="9" t="s">
        <v>63</v>
      </c>
      <c r="E1023" s="10" t="str">
        <f aca="false">IF(D1023="?OLD","!!!","")</f>
        <v/>
      </c>
      <c r="F1023" s="11" t="str">
        <f aca="false">IF(OR(E1023="",E1023="!!!"),"",IF(NOT(ISNA(VLOOKUP(E1023,E$1:E1022,1,FALSE()))),"OLD",IF(AND(E1023&lt;&gt;"",E1023&lt;&gt;"!!!"),"NEW","")))</f>
        <v/>
      </c>
      <c r="G1023" s="12" t="str">
        <f aca="false">IF(OR(E1023="",E1023="!!!"),"",IF(OR(J1023=0,AND(J1023=1,K1023=1),AND(J1023=1,I1023="SBJ"),AND(J1023=1,I1023=0)),"?IN_FOCUS",IF(J1023&lt;=2,"?ACTIVATED",IF(J1023&lt;&gt;"","?FAMILIAR",IF(F1023="NEW",IF(ISNA(VLOOKUP(E1023,#REF!,1,FALSE())),"?TYPE_IDENTIFIABLE","?REFERENTIAL"),"_")))))</f>
        <v/>
      </c>
      <c r="H1023" s="13" t="str">
        <f aca="false">IF(J1023&lt;&gt;1,"",IF(I1023="SBJ","CB","?"))</f>
        <v/>
      </c>
      <c r="I1023" s="14" t="str">
        <f aca="false">IF(OR(E1023="",E1023="!!!",F1023="NEW"),"",INDEX(B$2:B1022,-1+SUMPRODUCT(MAX(ROW(E$2:E1022)*(E1023=E$2:E1022)))))</f>
        <v/>
      </c>
      <c r="J1023" s="15" t="str">
        <f aca="true">IF(OR(E1023="",E1023="!!!",F1023="NEW"),"",COUNTBLANK(OFFSET(A$1,,,SUMPRODUCT(MAX(ROW(E$2:E1023)*(E1023=E$2:E1023)))))-COUNTBLANK(OFFSET(A$1,,,SUMPRODUCT(MAX(ROW(E$1:E1022)*(E1023=E$1:E1022))))))</f>
        <v/>
      </c>
      <c r="K1023" s="15" t="str">
        <f aca="false">IF(OR(E1023="",E1023="!!!",F1023="NEW"),"",INDEX(J$1:J1022,SUMPRODUCT(MAX(ROW(E$1:E1022)*(E1023=E$1:E1022)))))</f>
        <v/>
      </c>
      <c r="L1023" s="16"/>
    </row>
    <row r="1024" customFormat="false" ht="12.75" hidden="false" customHeight="false" outlineLevel="0" collapsed="false">
      <c r="A1024" s="9" t="s">
        <v>225</v>
      </c>
      <c r="E1024" s="10" t="str">
        <f aca="false">IF(D1024="?OLD","!!!","")</f>
        <v/>
      </c>
      <c r="F1024" s="11" t="str">
        <f aca="false">IF(OR(E1024="",E1024="!!!"),"",IF(NOT(ISNA(VLOOKUP(E1024,E$1:E1023,1,FALSE()))),"OLD",IF(AND(E1024&lt;&gt;"",E1024&lt;&gt;"!!!"),"NEW","")))</f>
        <v/>
      </c>
      <c r="G1024" s="12" t="str">
        <f aca="false">IF(OR(E1024="",E1024="!!!"),"",IF(OR(J1024=0,AND(J1024=1,K1024=1),AND(J1024=1,I1024="SBJ"),AND(J1024=1,I1024=0)),"?IN_FOCUS",IF(J1024&lt;=2,"?ACTIVATED",IF(J1024&lt;&gt;"","?FAMILIAR",IF(F1024="NEW",IF(ISNA(VLOOKUP(E1024,#REF!,1,FALSE())),"?TYPE_IDENTIFIABLE","?REFERENTIAL"),"_")))))</f>
        <v/>
      </c>
      <c r="H1024" s="13" t="str">
        <f aca="false">IF(J1024&lt;&gt;1,"",IF(I1024="SBJ","CB","?"))</f>
        <v/>
      </c>
      <c r="I1024" s="14" t="str">
        <f aca="false">IF(OR(E1024="",E1024="!!!",F1024="NEW"),"",INDEX(B$2:B1023,-1+SUMPRODUCT(MAX(ROW(E$2:E1023)*(E1024=E$2:E1023)))))</f>
        <v/>
      </c>
      <c r="J1024" s="15" t="str">
        <f aca="true">IF(OR(E1024="",E1024="!!!",F1024="NEW"),"",COUNTBLANK(OFFSET(A$1,,,SUMPRODUCT(MAX(ROW(E$2:E1024)*(E1024=E$2:E1024)))))-COUNTBLANK(OFFSET(A$1,,,SUMPRODUCT(MAX(ROW(E$1:E1023)*(E1024=E$1:E1023))))))</f>
        <v/>
      </c>
      <c r="K1024" s="15" t="str">
        <f aca="false">IF(OR(E1024="",E1024="!!!",F1024="NEW"),"",INDEX(J$1:J1023,SUMPRODUCT(MAX(ROW(E$1:E1023)*(E1024=E$1:E1023)))))</f>
        <v/>
      </c>
      <c r="L1024" s="16"/>
    </row>
    <row r="1025" customFormat="false" ht="12.75" hidden="false" customHeight="false" outlineLevel="0" collapsed="false">
      <c r="A1025" s="9" t="s">
        <v>490</v>
      </c>
      <c r="E1025" s="10" t="str">
        <f aca="false">IF(D1025="?OLD","!!!","")</f>
        <v/>
      </c>
      <c r="F1025" s="11" t="str">
        <f aca="false">IF(OR(E1025="",E1025="!!!"),"",IF(NOT(ISNA(VLOOKUP(E1025,E$1:E1024,1,FALSE()))),"OLD",IF(AND(E1025&lt;&gt;"",E1025&lt;&gt;"!!!"),"NEW","")))</f>
        <v/>
      </c>
      <c r="G1025" s="12" t="str">
        <f aca="false">IF(OR(E1025="",E1025="!!!"),"",IF(OR(J1025=0,AND(J1025=1,K1025=1),AND(J1025=1,I1025="SBJ"),AND(J1025=1,I1025=0)),"?IN_FOCUS",IF(J1025&lt;=2,"?ACTIVATED",IF(J1025&lt;&gt;"","?FAMILIAR",IF(F1025="NEW",IF(ISNA(VLOOKUP(E1025,#REF!,1,FALSE())),"?TYPE_IDENTIFIABLE","?REFERENTIAL"),"_")))))</f>
        <v/>
      </c>
      <c r="H1025" s="13" t="str">
        <f aca="false">IF(J1025&lt;&gt;1,"",IF(I1025="SBJ","CB","?"))</f>
        <v/>
      </c>
      <c r="I1025" s="14" t="str">
        <f aca="false">IF(OR(E1025="",E1025="!!!",F1025="NEW"),"",INDEX(B$2:B1024,-1+SUMPRODUCT(MAX(ROW(E$2:E1024)*(E1025=E$2:E1024)))))</f>
        <v/>
      </c>
      <c r="J1025" s="15" t="str">
        <f aca="true">IF(OR(E1025="",E1025="!!!",F1025="NEW"),"",COUNTBLANK(OFFSET(A$1,,,SUMPRODUCT(MAX(ROW(E$2:E1025)*(E1025=E$2:E1025)))))-COUNTBLANK(OFFSET(A$1,,,SUMPRODUCT(MAX(ROW(E$1:E1024)*(E1025=E$1:E1024))))))</f>
        <v/>
      </c>
      <c r="K1025" s="15" t="str">
        <f aca="false">IF(OR(E1025="",E1025="!!!",F1025="NEW"),"",INDEX(J$1:J1024,SUMPRODUCT(MAX(ROW(E$1:E1024)*(E1025=E$1:E1024)))))</f>
        <v/>
      </c>
      <c r="L1025" s="16"/>
    </row>
    <row r="1026" customFormat="false" ht="12.75" hidden="false" customHeight="false" outlineLevel="0" collapsed="false">
      <c r="A1026" s="9" t="s">
        <v>28</v>
      </c>
      <c r="E1026" s="10" t="str">
        <f aca="false">IF(D1026="?OLD","!!!","")</f>
        <v/>
      </c>
      <c r="F1026" s="11" t="str">
        <f aca="false">IF(OR(E1026="",E1026="!!!"),"",IF(NOT(ISNA(VLOOKUP(E1026,E$1:E1025,1,FALSE()))),"OLD",IF(AND(E1026&lt;&gt;"",E1026&lt;&gt;"!!!"),"NEW","")))</f>
        <v/>
      </c>
      <c r="G1026" s="12" t="str">
        <f aca="false">IF(OR(E1026="",E1026="!!!"),"",IF(OR(J1026=0,AND(J1026=1,K1026=1),AND(J1026=1,I1026="SBJ"),AND(J1026=1,I1026=0)),"?IN_FOCUS",IF(J1026&lt;=2,"?ACTIVATED",IF(J1026&lt;&gt;"","?FAMILIAR",IF(F1026="NEW",IF(ISNA(VLOOKUP(E1026,#REF!,1,FALSE())),"?TYPE_IDENTIFIABLE","?REFERENTIAL"),"_")))))</f>
        <v/>
      </c>
      <c r="H1026" s="13" t="str">
        <f aca="false">IF(J1026&lt;&gt;1,"",IF(I1026="SBJ","CB","?"))</f>
        <v/>
      </c>
      <c r="I1026" s="14" t="str">
        <f aca="false">IF(OR(E1026="",E1026="!!!",F1026="NEW"),"",INDEX(B$2:B1025,-1+SUMPRODUCT(MAX(ROW(E$2:E1025)*(E1026=E$2:E1025)))))</f>
        <v/>
      </c>
      <c r="J1026" s="15" t="str">
        <f aca="true">IF(OR(E1026="",E1026="!!!",F1026="NEW"),"",COUNTBLANK(OFFSET(A$1,,,SUMPRODUCT(MAX(ROW(E$2:E1026)*(E1026=E$2:E1026)))))-COUNTBLANK(OFFSET(A$1,,,SUMPRODUCT(MAX(ROW(E$1:E1025)*(E1026=E$1:E1025))))))</f>
        <v/>
      </c>
      <c r="K1026" s="15" t="str">
        <f aca="false">IF(OR(E1026="",E1026="!!!",F1026="NEW"),"",INDEX(J$1:J1025,SUMPRODUCT(MAX(ROW(E$1:E1025)*(E1026=E$1:E1025)))))</f>
        <v/>
      </c>
      <c r="L1026" s="16"/>
    </row>
    <row r="1027" customFormat="false" ht="12.75" hidden="false" customHeight="false" outlineLevel="0" collapsed="false">
      <c r="A1027" s="9" t="s">
        <v>107</v>
      </c>
      <c r="E1027" s="10" t="str">
        <f aca="false">IF(D1027="?OLD","!!!","")</f>
        <v/>
      </c>
      <c r="F1027" s="11" t="str">
        <f aca="false">IF(OR(E1027="",E1027="!!!"),"",IF(NOT(ISNA(VLOOKUP(E1027,E$1:E1026,1,FALSE()))),"OLD",IF(AND(E1027&lt;&gt;"",E1027&lt;&gt;"!!!"),"NEW","")))</f>
        <v/>
      </c>
      <c r="G1027" s="12" t="str">
        <f aca="false">IF(OR(E1027="",E1027="!!!"),"",IF(OR(J1027=0,AND(J1027=1,K1027=1),AND(J1027=1,I1027="SBJ"),AND(J1027=1,I1027=0)),"?IN_FOCUS",IF(J1027&lt;=2,"?ACTIVATED",IF(J1027&lt;&gt;"","?FAMILIAR",IF(F1027="NEW",IF(ISNA(VLOOKUP(E1027,#REF!,1,FALSE())),"?TYPE_IDENTIFIABLE","?REFERENTIAL"),"_")))))</f>
        <v/>
      </c>
      <c r="H1027" s="13" t="str">
        <f aca="false">IF(J1027&lt;&gt;1,"",IF(I1027="SBJ","CB","?"))</f>
        <v/>
      </c>
      <c r="I1027" s="14" t="str">
        <f aca="false">IF(OR(E1027="",E1027="!!!",F1027="NEW"),"",INDEX(B$2:B1026,-1+SUMPRODUCT(MAX(ROW(E$2:E1026)*(E1027=E$2:E1026)))))</f>
        <v/>
      </c>
      <c r="J1027" s="15" t="str">
        <f aca="true">IF(OR(E1027="",E1027="!!!",F1027="NEW"),"",COUNTBLANK(OFFSET(A$1,,,SUMPRODUCT(MAX(ROW(E$2:E1027)*(E1027=E$2:E1027)))))-COUNTBLANK(OFFSET(A$1,,,SUMPRODUCT(MAX(ROW(E$1:E1026)*(E1027=E$1:E1026))))))</f>
        <v/>
      </c>
      <c r="K1027" s="15" t="str">
        <f aca="false">IF(OR(E1027="",E1027="!!!",F1027="NEW"),"",INDEX(J$1:J1026,SUMPRODUCT(MAX(ROW(E$1:E1026)*(E1027=E$1:E1026)))))</f>
        <v/>
      </c>
      <c r="L1027" s="16"/>
    </row>
    <row r="1028" customFormat="false" ht="12.75" hidden="false" customHeight="false" outlineLevel="0" collapsed="false">
      <c r="A1028" s="9" t="s">
        <v>38</v>
      </c>
      <c r="B1028" s="0" t="s">
        <v>96</v>
      </c>
      <c r="C1028" s="0" t="s">
        <v>83</v>
      </c>
      <c r="D1028" s="0" t="s">
        <v>19</v>
      </c>
      <c r="E1028" s="10" t="s">
        <v>32</v>
      </c>
      <c r="F1028" s="11" t="str">
        <f aca="false">IF(OR(E1028="",E1028="!!!"),"",IF(NOT(ISNA(VLOOKUP(E1028,E$1:E1027,1,FALSE()))),"OLD",IF(AND(E1028&lt;&gt;"",E1028&lt;&gt;"!!!"),"NEW","")))</f>
        <v>OLD</v>
      </c>
      <c r="G1028" s="12" t="s">
        <v>65</v>
      </c>
      <c r="H1028" s="13" t="str">
        <f aca="false">IF(J1028&lt;&gt;1,"",IF(I1028="SBJ","CB","?"))</f>
        <v/>
      </c>
      <c r="I1028" s="14" t="str">
        <f aca="false">IF(OR(E1028="",E1028="!!!",F1028="NEW"),"",INDEX(B$2:B1027,-1+SUMPRODUCT(MAX(ROW(E$2:E1027)*(E1028=E$2:E1027)))))</f>
        <v>other</v>
      </c>
      <c r="J1028" s="15" t="n">
        <f aca="true">IF(OR(E1028="",E1028="!!!",F1028="NEW"),"",COUNTBLANK(OFFSET(A$1,,,SUMPRODUCT(MAX(ROW(E$2:E1028)*(E1028=E$2:E1028)))))-COUNTBLANK(OFFSET(A$1,,,SUMPRODUCT(MAX(ROW(E$1:E1027)*(E1028=E$1:E1027))))))</f>
        <v>0</v>
      </c>
      <c r="K1028" s="15" t="n">
        <f aca="false">IF(OR(E1028="",E1028="!!!",F1028="NEW"),"",INDEX(J$1:J1027,SUMPRODUCT(MAX(ROW(E$1:E1027)*(E1028=E$1:E1027)))))</f>
        <v>1</v>
      </c>
      <c r="L1028" s="16"/>
    </row>
    <row r="1029" customFormat="false" ht="12.75" hidden="false" customHeight="false" outlineLevel="0" collapsed="false">
      <c r="A1029" s="9" t="s">
        <v>22</v>
      </c>
      <c r="E1029" s="10" t="str">
        <f aca="false">IF(D1029="?OLD","!!!","")</f>
        <v/>
      </c>
      <c r="F1029" s="11" t="str">
        <f aca="false">IF(OR(E1029="",E1029="!!!"),"",IF(NOT(ISNA(VLOOKUP(E1029,E$1:E1028,1,FALSE()))),"OLD",IF(AND(E1029&lt;&gt;"",E1029&lt;&gt;"!!!"),"NEW","")))</f>
        <v/>
      </c>
      <c r="G1029" s="12" t="str">
        <f aca="false">IF(OR(E1029="",E1029="!!!"),"",IF(OR(J1029=0,AND(J1029=1,K1029=1),AND(J1029=1,I1029="SBJ"),AND(J1029=1,I1029=0)),"?IN_FOCUS",IF(J1029&lt;=2,"?ACTIVATED",IF(J1029&lt;&gt;"","?FAMILIAR",IF(F1029="NEW",IF(ISNA(VLOOKUP(E1029,#REF!,1,FALSE())),"?TYPE_IDENTIFIABLE","?REFERENTIAL"),"_")))))</f>
        <v/>
      </c>
      <c r="H1029" s="13" t="str">
        <f aca="false">IF(J1029&lt;&gt;1,"",IF(I1029="SBJ","CB","?"))</f>
        <v/>
      </c>
      <c r="I1029" s="14" t="str">
        <f aca="false">IF(OR(E1029="",E1029="!!!",F1029="NEW"),"",INDEX(B$2:B1028,-1+SUMPRODUCT(MAX(ROW(E$2:E1028)*(E1029=E$2:E1028)))))</f>
        <v/>
      </c>
      <c r="J1029" s="15" t="str">
        <f aca="true">IF(OR(E1029="",E1029="!!!",F1029="NEW"),"",COUNTBLANK(OFFSET(A$1,,,SUMPRODUCT(MAX(ROW(E$2:E1029)*(E1029=E$2:E1029)))))-COUNTBLANK(OFFSET(A$1,,,SUMPRODUCT(MAX(ROW(E$1:E1028)*(E1029=E$1:E1028))))))</f>
        <v/>
      </c>
      <c r="K1029" s="15" t="str">
        <f aca="false">IF(OR(E1029="",E1029="!!!",F1029="NEW"),"",INDEX(J$1:J1028,SUMPRODUCT(MAX(ROW(E$1:E1028)*(E1029=E$1:E1028)))))</f>
        <v/>
      </c>
      <c r="L1029" s="16"/>
    </row>
    <row r="1030" customFormat="false" ht="12.75" hidden="false" customHeight="false" outlineLevel="0" collapsed="false">
      <c r="A1030" s="9" t="s">
        <v>216</v>
      </c>
      <c r="B1030" s="0" t="s">
        <v>62</v>
      </c>
      <c r="C1030" s="0" t="s">
        <v>31</v>
      </c>
      <c r="D1030" s="0" t="s">
        <v>19</v>
      </c>
      <c r="E1030" s="10" t="s">
        <v>32</v>
      </c>
      <c r="F1030" s="11" t="str">
        <f aca="false">IF(OR(E1030="",E1030="!!!"),"",IF(NOT(ISNA(VLOOKUP(E1030,E$1:E1029,1,FALSE()))),"OLD",IF(AND(E1030&lt;&gt;"",E1030&lt;&gt;"!!!"),"NEW","")))</f>
        <v>OLD</v>
      </c>
      <c r="G1030" s="12" t="s">
        <v>65</v>
      </c>
      <c r="H1030" s="13" t="str">
        <f aca="false">IF(J1030&lt;&gt;1,"",IF(I1030="SBJ","CB","?"))</f>
        <v/>
      </c>
      <c r="I1030" s="14" t="str">
        <f aca="false">IF(OR(E1030="",E1030="!!!",F1030="NEW"),"",INDEX(B$2:B1029,-1+SUMPRODUCT(MAX(ROW(E$2:E1029)*(E1030=E$2:E1029)))))</f>
        <v>OBJ_3</v>
      </c>
      <c r="J1030" s="15" t="n">
        <f aca="true">IF(OR(E1030="",E1030="!!!",F1030="NEW"),"",COUNTBLANK(OFFSET(A$1,,,SUMPRODUCT(MAX(ROW(E$2:E1030)*(E1030=E$2:E1030)))))-COUNTBLANK(OFFSET(A$1,,,SUMPRODUCT(MAX(ROW(E$1:E1029)*(E1030=E$1:E1029))))))</f>
        <v>0</v>
      </c>
      <c r="K1030" s="15" t="n">
        <f aca="false">IF(OR(E1030="",E1030="!!!",F1030="NEW"),"",INDEX(J$1:J1029,SUMPRODUCT(MAX(ROW(E$1:E1029)*(E1030=E$1:E1029)))))</f>
        <v>0</v>
      </c>
      <c r="L1030" s="16"/>
    </row>
    <row r="1031" customFormat="false" ht="12.75" hidden="false" customHeight="false" outlineLevel="0" collapsed="false">
      <c r="A1031" s="9" t="s">
        <v>28</v>
      </c>
      <c r="E1031" s="10" t="str">
        <f aca="false">IF(D1031="?OLD","!!!","")</f>
        <v/>
      </c>
      <c r="F1031" s="11" t="str">
        <f aca="false">IF(OR(E1031="",E1031="!!!"),"",IF(NOT(ISNA(VLOOKUP(E1031,E$1:E1030,1,FALSE()))),"OLD",IF(AND(E1031&lt;&gt;"",E1031&lt;&gt;"!!!"),"NEW","")))</f>
        <v/>
      </c>
      <c r="G1031" s="12" t="str">
        <f aca="false">IF(OR(E1031="",E1031="!!!"),"",IF(OR(J1031=0,AND(J1031=1,K1031=1),AND(J1031=1,I1031="SBJ"),AND(J1031=1,I1031=0)),"?IN_FOCUS",IF(J1031&lt;=2,"?ACTIVATED",IF(J1031&lt;&gt;"","?FAMILIAR",IF(F1031="NEW",IF(ISNA(VLOOKUP(E1031,#REF!,1,FALSE())),"?TYPE_IDENTIFIABLE","?REFERENTIAL"),"_")))))</f>
        <v/>
      </c>
      <c r="H1031" s="13" t="str">
        <f aca="false">IF(J1031&lt;&gt;1,"",IF(I1031="SBJ","CB","?"))</f>
        <v/>
      </c>
      <c r="I1031" s="14" t="str">
        <f aca="false">IF(OR(E1031="",E1031="!!!",F1031="NEW"),"",INDEX(B$2:B1030,-1+SUMPRODUCT(MAX(ROW(E$2:E1030)*(E1031=E$2:E1030)))))</f>
        <v/>
      </c>
      <c r="J1031" s="15" t="str">
        <f aca="true">IF(OR(E1031="",E1031="!!!",F1031="NEW"),"",COUNTBLANK(OFFSET(A$1,,,SUMPRODUCT(MAX(ROW(E$2:E1031)*(E1031=E$2:E1031)))))-COUNTBLANK(OFFSET(A$1,,,SUMPRODUCT(MAX(ROW(E$1:E1030)*(E1031=E$1:E1030))))))</f>
        <v/>
      </c>
      <c r="K1031" s="15" t="str">
        <f aca="false">IF(OR(E1031="",E1031="!!!",F1031="NEW"),"",INDEX(J$1:J1030,SUMPRODUCT(MAX(ROW(E$1:E1030)*(E1031=E$1:E1030)))))</f>
        <v/>
      </c>
      <c r="L1031" s="16"/>
    </row>
    <row r="1032" customFormat="false" ht="12.75" hidden="false" customHeight="false" outlineLevel="0" collapsed="false">
      <c r="A1032" s="9" t="s">
        <v>42</v>
      </c>
      <c r="E1032" s="10" t="str">
        <f aca="false">IF(D1032="?OLD","!!!","")</f>
        <v/>
      </c>
      <c r="F1032" s="11" t="str">
        <f aca="false">IF(OR(E1032="",E1032="!!!"),"",IF(NOT(ISNA(VLOOKUP(E1032,E$1:E1031,1,FALSE()))),"OLD",IF(AND(E1032&lt;&gt;"",E1032&lt;&gt;"!!!"),"NEW","")))</f>
        <v/>
      </c>
      <c r="G1032" s="12" t="str">
        <f aca="false">IF(OR(E1032="",E1032="!!!"),"",IF(OR(J1032=0,AND(J1032=1,K1032=1),AND(J1032=1,I1032="SBJ"),AND(J1032=1,I1032=0)),"?IN_FOCUS",IF(J1032&lt;=2,"?ACTIVATED",IF(J1032&lt;&gt;"","?FAMILIAR",IF(F1032="NEW",IF(ISNA(VLOOKUP(E1032,#REF!,1,FALSE())),"?TYPE_IDENTIFIABLE","?REFERENTIAL"),"_")))))</f>
        <v/>
      </c>
      <c r="H1032" s="13" t="str">
        <f aca="false">IF(J1032&lt;&gt;1,"",IF(I1032="SBJ","CB","?"))</f>
        <v/>
      </c>
      <c r="I1032" s="14" t="str">
        <f aca="false">IF(OR(E1032="",E1032="!!!",F1032="NEW"),"",INDEX(B$2:B1031,-1+SUMPRODUCT(MAX(ROW(E$2:E1031)*(E1032=E$2:E1031)))))</f>
        <v/>
      </c>
      <c r="J1032" s="15" t="str">
        <f aca="true">IF(OR(E1032="",E1032="!!!",F1032="NEW"),"",COUNTBLANK(OFFSET(A$1,,,SUMPRODUCT(MAX(ROW(E$2:E1032)*(E1032=E$2:E1032)))))-COUNTBLANK(OFFSET(A$1,,,SUMPRODUCT(MAX(ROW(E$1:E1031)*(E1032=E$1:E1031))))))</f>
        <v/>
      </c>
      <c r="K1032" s="15" t="str">
        <f aca="false">IF(OR(E1032="",E1032="!!!",F1032="NEW"),"",INDEX(J$1:J1031,SUMPRODUCT(MAX(ROW(E$1:E1031)*(E1032=E$1:E1031)))))</f>
        <v/>
      </c>
      <c r="L1032" s="16"/>
    </row>
    <row r="1033" customFormat="false" ht="12.75" hidden="false" customHeight="false" outlineLevel="0" collapsed="false">
      <c r="A1033" s="9" t="s">
        <v>15</v>
      </c>
      <c r="E1033" s="10" t="str">
        <f aca="false">IF(D1033="?OLD","!!!","")</f>
        <v/>
      </c>
      <c r="F1033" s="11" t="str">
        <f aca="false">IF(OR(E1033="",E1033="!!!"),"",IF(NOT(ISNA(VLOOKUP(E1033,E$1:E1032,1,FALSE()))),"OLD",IF(AND(E1033&lt;&gt;"",E1033&lt;&gt;"!!!"),"NEW","")))</f>
        <v/>
      </c>
      <c r="G1033" s="12" t="str">
        <f aca="false">IF(OR(E1033="",E1033="!!!"),"",IF(OR(J1033=0,AND(J1033=1,K1033=1),AND(J1033=1,I1033="SBJ"),AND(J1033=1,I1033=0)),"?IN_FOCUS",IF(J1033&lt;=2,"?ACTIVATED",IF(J1033&lt;&gt;"","?FAMILIAR",IF(F1033="NEW",IF(ISNA(VLOOKUP(E1033,#REF!,1,FALSE())),"?TYPE_IDENTIFIABLE","?REFERENTIAL"),"_")))))</f>
        <v/>
      </c>
      <c r="H1033" s="13" t="str">
        <f aca="false">IF(J1033&lt;&gt;1,"",IF(I1033="SBJ","CB","?"))</f>
        <v/>
      </c>
      <c r="I1033" s="14" t="str">
        <f aca="false">IF(OR(E1033="",E1033="!!!",F1033="NEW"),"",INDEX(B$2:B1032,-1+SUMPRODUCT(MAX(ROW(E$2:E1032)*(E1033=E$2:E1032)))))</f>
        <v/>
      </c>
      <c r="J1033" s="15" t="str">
        <f aca="true">IF(OR(E1033="",E1033="!!!",F1033="NEW"),"",COUNTBLANK(OFFSET(A$1,,,SUMPRODUCT(MAX(ROW(E$2:E1033)*(E1033=E$2:E1033)))))-COUNTBLANK(OFFSET(A$1,,,SUMPRODUCT(MAX(ROW(E$1:E1032)*(E1033=E$1:E1032))))))</f>
        <v/>
      </c>
      <c r="K1033" s="15" t="str">
        <f aca="false">IF(OR(E1033="",E1033="!!!",F1033="NEW"),"",INDEX(J$1:J1032,SUMPRODUCT(MAX(ROW(E$1:E1032)*(E1033=E$1:E1032)))))</f>
        <v/>
      </c>
      <c r="L1033" s="16"/>
    </row>
    <row r="1034" customFormat="false" ht="12.75" hidden="false" customHeight="false" outlineLevel="0" collapsed="false">
      <c r="A1034" s="9" t="s">
        <v>319</v>
      </c>
      <c r="B1034" s="0" t="s">
        <v>24</v>
      </c>
      <c r="C1034" s="0" t="s">
        <v>83</v>
      </c>
      <c r="D1034" s="0" t="s">
        <v>19</v>
      </c>
      <c r="E1034" s="10" t="s">
        <v>327</v>
      </c>
      <c r="F1034" s="11" t="str">
        <f aca="false">IF(OR(E1034="",E1034="!!!"),"",IF(NOT(ISNA(VLOOKUP(E1034,E$1:E1033,1,FALSE()))),"OLD",IF(AND(E1034&lt;&gt;"",E1034&lt;&gt;"!!!"),"NEW","")))</f>
        <v>OLD</v>
      </c>
      <c r="G1034" s="12" t="s">
        <v>33</v>
      </c>
      <c r="H1034" s="13" t="str">
        <f aca="false">IF(J1034&lt;&gt;1,"",IF(I1034="SBJ","CB","?"))</f>
        <v/>
      </c>
      <c r="I1034" s="14" t="str">
        <f aca="false">IF(OR(E1034="",E1034="!!!",F1034="NEW"),"",INDEX(B$2:B1033,-1+SUMPRODUCT(MAX(ROW(E$2:E1033)*(E1034=E$2:E1033)))))</f>
        <v>other_4</v>
      </c>
      <c r="J1034" s="15" t="n">
        <f aca="true">IF(OR(E1034="",E1034="!!!",F1034="NEW"),"",COUNTBLANK(OFFSET(A$1,,,SUMPRODUCT(MAX(ROW(E$2:E1034)*(E1034=E$2:E1034)))))-COUNTBLANK(OFFSET(A$1,,,SUMPRODUCT(MAX(ROW(E$1:E1033)*(E1034=E$1:E1033))))))</f>
        <v>2</v>
      </c>
      <c r="K1034" s="15" t="n">
        <f aca="false">IF(OR(E1034="",E1034="!!!",F1034="NEW"),"",INDEX(J$1:J1033,SUMPRODUCT(MAX(ROW(E$1:E1033)*(E1034=E$1:E1033)))))</f>
        <v>0</v>
      </c>
      <c r="L1034" s="16"/>
    </row>
    <row r="1035" customFormat="false" ht="12.75" hidden="false" customHeight="false" outlineLevel="0" collapsed="false">
      <c r="A1035" s="9" t="s">
        <v>22</v>
      </c>
      <c r="E1035" s="10" t="str">
        <f aca="false">IF(D1035="?OLD","!!!","")</f>
        <v/>
      </c>
      <c r="F1035" s="11" t="str">
        <f aca="false">IF(OR(E1035="",E1035="!!!"),"",IF(NOT(ISNA(VLOOKUP(E1035,E$1:E1034,1,FALSE()))),"OLD",IF(AND(E1035&lt;&gt;"",E1035&lt;&gt;"!!!"),"NEW","")))</f>
        <v/>
      </c>
      <c r="G1035" s="12" t="str">
        <f aca="false">IF(OR(E1035="",E1035="!!!"),"",IF(OR(J1035=0,AND(J1035=1,K1035=1),AND(J1035=1,I1035="SBJ"),AND(J1035=1,I1035=0)),"?IN_FOCUS",IF(J1035&lt;=2,"?ACTIVATED",IF(J1035&lt;&gt;"","?FAMILIAR",IF(F1035="NEW",IF(ISNA(VLOOKUP(E1035,#REF!,1,FALSE())),"?TYPE_IDENTIFIABLE","?REFERENTIAL"),"_")))))</f>
        <v/>
      </c>
      <c r="H1035" s="13" t="str">
        <f aca="false">IF(J1035&lt;&gt;1,"",IF(I1035="SBJ","CB","?"))</f>
        <v/>
      </c>
      <c r="I1035" s="14" t="str">
        <f aca="false">IF(OR(E1035="",E1035="!!!",F1035="NEW"),"",INDEX(B$2:B1034,-1+SUMPRODUCT(MAX(ROW(E$2:E1034)*(E1035=E$2:E1034)))))</f>
        <v/>
      </c>
      <c r="J1035" s="15" t="str">
        <f aca="true">IF(OR(E1035="",E1035="!!!",F1035="NEW"),"",COUNTBLANK(OFFSET(A$1,,,SUMPRODUCT(MAX(ROW(E$2:E1035)*(E1035=E$2:E1035)))))-COUNTBLANK(OFFSET(A$1,,,SUMPRODUCT(MAX(ROW(E$1:E1034)*(E1035=E$1:E1034))))))</f>
        <v/>
      </c>
      <c r="K1035" s="15" t="str">
        <f aca="false">IF(OR(E1035="",E1035="!!!",F1035="NEW"),"",INDEX(J$1:J1034,SUMPRODUCT(MAX(ROW(E$1:E1034)*(E1035=E$1:E1034)))))</f>
        <v/>
      </c>
      <c r="L1035" s="16"/>
    </row>
    <row r="1036" customFormat="false" ht="12.75" hidden="false" customHeight="false" outlineLevel="0" collapsed="false">
      <c r="A1036" s="9" t="s">
        <v>327</v>
      </c>
      <c r="B1036" s="0" t="s">
        <v>62</v>
      </c>
      <c r="C1036" s="0" t="s">
        <v>103</v>
      </c>
      <c r="D1036" s="0" t="s">
        <v>19</v>
      </c>
      <c r="E1036" s="10" t="s">
        <v>327</v>
      </c>
      <c r="F1036" s="11" t="str">
        <f aca="false">IF(OR(E1036="",E1036="!!!"),"",IF(NOT(ISNA(VLOOKUP(E1036,E$1:E1035,1,FALSE()))),"OLD",IF(AND(E1036&lt;&gt;"",E1036&lt;&gt;"!!!"),"NEW","")))</f>
        <v>OLD</v>
      </c>
      <c r="G1036" s="12" t="s">
        <v>33</v>
      </c>
      <c r="H1036" s="13" t="str">
        <f aca="false">IF(J1036&lt;&gt;1,"",IF(I1036="SBJ","CB","?"))</f>
        <v/>
      </c>
      <c r="I1036" s="14" t="str">
        <f aca="false">IF(OR(E1036="",E1036="!!!",F1036="NEW"),"",INDEX(B$2:B1035,-1+SUMPRODUCT(MAX(ROW(E$2:E1035)*(E1036=E$2:E1035)))))</f>
        <v>other_3</v>
      </c>
      <c r="J1036" s="15" t="n">
        <f aca="true">IF(OR(E1036="",E1036="!!!",F1036="NEW"),"",COUNTBLANK(OFFSET(A$1,,,SUMPRODUCT(MAX(ROW(E$2:E1036)*(E1036=E$2:E1036)))))-COUNTBLANK(OFFSET(A$1,,,SUMPRODUCT(MAX(ROW(E$1:E1035)*(E1036=E$1:E1035))))))</f>
        <v>0</v>
      </c>
      <c r="K1036" s="15" t="n">
        <f aca="false">IF(OR(E1036="",E1036="!!!",F1036="NEW"),"",INDEX(J$1:J1035,SUMPRODUCT(MAX(ROW(E$1:E1035)*(E1036=E$1:E1035)))))</f>
        <v>2</v>
      </c>
      <c r="L1036" s="16"/>
    </row>
    <row r="1037" customFormat="false" ht="12.75" hidden="false" customHeight="false" outlineLevel="0" collapsed="false">
      <c r="A1037" s="9" t="s">
        <v>435</v>
      </c>
      <c r="E1037" s="10" t="str">
        <f aca="false">IF(D1037="?OLD","!!!","")</f>
        <v/>
      </c>
      <c r="F1037" s="11" t="str">
        <f aca="false">IF(OR(E1037="",E1037="!!!"),"",IF(NOT(ISNA(VLOOKUP(E1037,E$1:E1036,1,FALSE()))),"OLD",IF(AND(E1037&lt;&gt;"",E1037&lt;&gt;"!!!"),"NEW","")))</f>
        <v/>
      </c>
      <c r="G1037" s="12" t="str">
        <f aca="false">IF(OR(E1037="",E1037="!!!"),"",IF(OR(J1037=0,AND(J1037=1,K1037=1),AND(J1037=1,I1037="SBJ"),AND(J1037=1,I1037=0)),"?IN_FOCUS",IF(J1037&lt;=2,"?ACTIVATED",IF(J1037&lt;&gt;"","?FAMILIAR",IF(F1037="NEW",IF(ISNA(VLOOKUP(E1037,#REF!,1,FALSE())),"?TYPE_IDENTIFIABLE","?REFERENTIAL"),"_")))))</f>
        <v/>
      </c>
      <c r="H1037" s="13" t="str">
        <f aca="false">IF(J1037&lt;&gt;1,"",IF(I1037="SBJ","CB","?"))</f>
        <v/>
      </c>
      <c r="I1037" s="14" t="str">
        <f aca="false">IF(OR(E1037="",E1037="!!!",F1037="NEW"),"",INDEX(B$2:B1036,-1+SUMPRODUCT(MAX(ROW(E$2:E1036)*(E1037=E$2:E1036)))))</f>
        <v/>
      </c>
      <c r="J1037" s="15" t="str">
        <f aca="true">IF(OR(E1037="",E1037="!!!",F1037="NEW"),"",COUNTBLANK(OFFSET(A$1,,,SUMPRODUCT(MAX(ROW(E$2:E1037)*(E1037=E$2:E1037)))))-COUNTBLANK(OFFSET(A$1,,,SUMPRODUCT(MAX(ROW(E$1:E1036)*(E1037=E$1:E1036))))))</f>
        <v/>
      </c>
      <c r="K1037" s="15" t="str">
        <f aca="false">IF(OR(E1037="",E1037="!!!",F1037="NEW"),"",INDEX(J$1:J1036,SUMPRODUCT(MAX(ROW(E$1:E1036)*(E1037=E$1:E1036)))))</f>
        <v/>
      </c>
      <c r="L1037" s="16"/>
    </row>
    <row r="1038" customFormat="false" ht="12.75" hidden="false" customHeight="false" outlineLevel="0" collapsed="false">
      <c r="A1038" s="9" t="s">
        <v>472</v>
      </c>
      <c r="E1038" s="10" t="str">
        <f aca="false">IF(D1038="?OLD","!!!","")</f>
        <v/>
      </c>
      <c r="F1038" s="11" t="str">
        <f aca="false">IF(OR(E1038="",E1038="!!!"),"",IF(NOT(ISNA(VLOOKUP(E1038,E$1:E1037,1,FALSE()))),"OLD",IF(AND(E1038&lt;&gt;"",E1038&lt;&gt;"!!!"),"NEW","")))</f>
        <v/>
      </c>
      <c r="G1038" s="12" t="str">
        <f aca="false">IF(OR(E1038="",E1038="!!!"),"",IF(OR(J1038=0,AND(J1038=1,K1038=1),AND(J1038=1,I1038="SBJ"),AND(J1038=1,I1038=0)),"?IN_FOCUS",IF(J1038&lt;=2,"?ACTIVATED",IF(J1038&lt;&gt;"","?FAMILIAR",IF(F1038="NEW",IF(ISNA(VLOOKUP(E1038,#REF!,1,FALSE())),"?TYPE_IDENTIFIABLE","?REFERENTIAL"),"_")))))</f>
        <v/>
      </c>
      <c r="H1038" s="13" t="str">
        <f aca="false">IF(J1038&lt;&gt;1,"",IF(I1038="SBJ","CB","?"))</f>
        <v/>
      </c>
      <c r="I1038" s="14" t="str">
        <f aca="false">IF(OR(E1038="",E1038="!!!",F1038="NEW"),"",INDEX(B$2:B1037,-1+SUMPRODUCT(MAX(ROW(E$2:E1037)*(E1038=E$2:E1037)))))</f>
        <v/>
      </c>
      <c r="J1038" s="15" t="str">
        <f aca="true">IF(OR(E1038="",E1038="!!!",F1038="NEW"),"",COUNTBLANK(OFFSET(A$1,,,SUMPRODUCT(MAX(ROW(E$2:E1038)*(E1038=E$2:E1038)))))-COUNTBLANK(OFFSET(A$1,,,SUMPRODUCT(MAX(ROW(E$1:E1037)*(E1038=E$1:E1037))))))</f>
        <v/>
      </c>
      <c r="K1038" s="15" t="str">
        <f aca="false">IF(OR(E1038="",E1038="!!!",F1038="NEW"),"",INDEX(J$1:J1037,SUMPRODUCT(MAX(ROW(E$1:E1037)*(E1038=E$1:E1037)))))</f>
        <v/>
      </c>
      <c r="L1038" s="16"/>
    </row>
    <row r="1039" customFormat="false" ht="12.75" hidden="false" customHeight="false" outlineLevel="0" collapsed="false">
      <c r="A1039" s="9" t="s">
        <v>15</v>
      </c>
      <c r="E1039" s="10" t="str">
        <f aca="false">IF(D1039="?OLD","!!!","")</f>
        <v/>
      </c>
      <c r="F1039" s="11" t="str">
        <f aca="false">IF(OR(E1039="",E1039="!!!"),"",IF(NOT(ISNA(VLOOKUP(E1039,E$1:E1038,1,FALSE()))),"OLD",IF(AND(E1039&lt;&gt;"",E1039&lt;&gt;"!!!"),"NEW","")))</f>
        <v/>
      </c>
      <c r="G1039" s="12" t="str">
        <f aca="false">IF(OR(E1039="",E1039="!!!"),"",IF(OR(J1039=0,AND(J1039=1,K1039=1),AND(J1039=1,I1039="SBJ"),AND(J1039=1,I1039=0)),"?IN_FOCUS",IF(J1039&lt;=2,"?ACTIVATED",IF(J1039&lt;&gt;"","?FAMILIAR",IF(F1039="NEW",IF(ISNA(VLOOKUP(E1039,#REF!,1,FALSE())),"?TYPE_IDENTIFIABLE","?REFERENTIAL"),"_")))))</f>
        <v/>
      </c>
      <c r="H1039" s="13" t="str">
        <f aca="false">IF(J1039&lt;&gt;1,"",IF(I1039="SBJ","CB","?"))</f>
        <v/>
      </c>
      <c r="I1039" s="14" t="str">
        <f aca="false">IF(OR(E1039="",E1039="!!!",F1039="NEW"),"",INDEX(B$2:B1038,-1+SUMPRODUCT(MAX(ROW(E$2:E1038)*(E1039=E$2:E1038)))))</f>
        <v/>
      </c>
      <c r="J1039" s="15" t="str">
        <f aca="true">IF(OR(E1039="",E1039="!!!",F1039="NEW"),"",COUNTBLANK(OFFSET(A$1,,,SUMPRODUCT(MAX(ROW(E$2:E1039)*(E1039=E$2:E1039)))))-COUNTBLANK(OFFSET(A$1,,,SUMPRODUCT(MAX(ROW(E$1:E1038)*(E1039=E$1:E1038))))))</f>
        <v/>
      </c>
      <c r="K1039" s="15" t="str">
        <f aca="false">IF(OR(E1039="",E1039="!!!",F1039="NEW"),"",INDEX(J$1:J1038,SUMPRODUCT(MAX(ROW(E$1:E1038)*(E1039=E$1:E1038)))))</f>
        <v/>
      </c>
      <c r="L1039" s="16"/>
    </row>
    <row r="1040" customFormat="false" ht="12.75" hidden="false" customHeight="false" outlineLevel="0" collapsed="false">
      <c r="A1040" s="9" t="s">
        <v>491</v>
      </c>
      <c r="B1040" s="0" t="s">
        <v>62</v>
      </c>
      <c r="C1040" s="0" t="s">
        <v>18</v>
      </c>
      <c r="D1040" s="0" t="s">
        <v>19</v>
      </c>
      <c r="E1040" s="10" t="s">
        <v>492</v>
      </c>
      <c r="F1040" s="11" t="str">
        <f aca="false">IF(OR(E1040="",E1040="!!!"),"",IF(NOT(ISNA(VLOOKUP(E1040,E$1:E1039,1,FALSE()))),"OLD",IF(AND(E1040&lt;&gt;"",E1040&lt;&gt;"!!!"),"NEW","")))</f>
        <v>NEW</v>
      </c>
      <c r="G1040" s="12" t="s">
        <v>21</v>
      </c>
      <c r="H1040" s="13" t="str">
        <f aca="false">IF(J1040&lt;&gt;1,"",IF(I1040="SBJ","CB","?"))</f>
        <v/>
      </c>
      <c r="I1040" s="14" t="str">
        <f aca="false">IF(OR(E1040="",E1040="!!!",F1040="NEW"),"",INDEX(B$2:B1039,-1+SUMPRODUCT(MAX(ROW(E$2:E1039)*(E1040=E$2:E1039)))))</f>
        <v/>
      </c>
      <c r="J1040" s="15" t="str">
        <f aca="true">IF(OR(E1040="",E1040="!!!",F1040="NEW"),"",COUNTBLANK(OFFSET(A$1,,,SUMPRODUCT(MAX(ROW(E$2:E1040)*(E1040=E$2:E1040)))))-COUNTBLANK(OFFSET(A$1,,,SUMPRODUCT(MAX(ROW(E$1:E1039)*(E1040=E$1:E1039))))))</f>
        <v/>
      </c>
      <c r="K1040" s="15" t="str">
        <f aca="false">IF(OR(E1040="",E1040="!!!",F1040="NEW"),"",INDEX(J$1:J1039,SUMPRODUCT(MAX(ROW(E$1:E1039)*(E1040=E$1:E1039)))))</f>
        <v/>
      </c>
      <c r="L1040" s="16"/>
    </row>
    <row r="1041" customFormat="false" ht="12.75" hidden="false" customHeight="false" outlineLevel="0" collapsed="false">
      <c r="A1041" s="9" t="s">
        <v>22</v>
      </c>
      <c r="E1041" s="10" t="str">
        <f aca="false">IF(D1041="?OLD","!!!","")</f>
        <v/>
      </c>
      <c r="F1041" s="11" t="str">
        <f aca="false">IF(OR(E1041="",E1041="!!!"),"",IF(NOT(ISNA(VLOOKUP(E1041,E$1:E1040,1,FALSE()))),"OLD",IF(AND(E1041&lt;&gt;"",E1041&lt;&gt;"!!!"),"NEW","")))</f>
        <v/>
      </c>
      <c r="G1041" s="12" t="str">
        <f aca="false">IF(OR(E1041="",E1041="!!!"),"",IF(OR(J1041=0,AND(J1041=1,K1041=1),AND(J1041=1,I1041="SBJ"),AND(J1041=1,I1041=0)),"?IN_FOCUS",IF(J1041&lt;=2,"?ACTIVATED",IF(J1041&lt;&gt;"","?FAMILIAR",IF(F1041="NEW",IF(ISNA(VLOOKUP(E1041,#REF!,1,FALSE())),"?TYPE_IDENTIFIABLE","?REFERENTIAL"),"_")))))</f>
        <v/>
      </c>
      <c r="H1041" s="13" t="str">
        <f aca="false">IF(J1041&lt;&gt;1,"",IF(I1041="SBJ","CB","?"))</f>
        <v/>
      </c>
      <c r="I1041" s="14" t="str">
        <f aca="false">IF(OR(E1041="",E1041="!!!",F1041="NEW"),"",INDEX(B$2:B1040,-1+SUMPRODUCT(MAX(ROW(E$2:E1040)*(E1041=E$2:E1040)))))</f>
        <v/>
      </c>
      <c r="J1041" s="15" t="str">
        <f aca="true">IF(OR(E1041="",E1041="!!!",F1041="NEW"),"",COUNTBLANK(OFFSET(A$1,,,SUMPRODUCT(MAX(ROW(E$2:E1041)*(E1041=E$2:E1041)))))-COUNTBLANK(OFFSET(A$1,,,SUMPRODUCT(MAX(ROW(E$1:E1040)*(E1041=E$1:E1040))))))</f>
        <v/>
      </c>
      <c r="K1041" s="15" t="str">
        <f aca="false">IF(OR(E1041="",E1041="!!!",F1041="NEW"),"",INDEX(J$1:J1040,SUMPRODUCT(MAX(ROW(E$1:E1040)*(E1041=E$1:E1040)))))</f>
        <v/>
      </c>
      <c r="L1041" s="16"/>
    </row>
    <row r="1042" customFormat="false" ht="12.75" hidden="false" customHeight="false" outlineLevel="0" collapsed="false">
      <c r="A1042" s="9" t="s">
        <v>493</v>
      </c>
      <c r="B1042" s="0" t="s">
        <v>127</v>
      </c>
      <c r="C1042" s="0" t="s">
        <v>25</v>
      </c>
      <c r="E1042" s="10" t="str">
        <f aca="false">IF(D1042="?OLD","!!!","")</f>
        <v/>
      </c>
      <c r="F1042" s="11" t="str">
        <f aca="false">IF(OR(E1042="",E1042="!!!"),"",IF(NOT(ISNA(VLOOKUP(E1042,E$1:E1041,1,FALSE()))),"OLD",IF(AND(E1042&lt;&gt;"",E1042&lt;&gt;"!!!"),"NEW","")))</f>
        <v/>
      </c>
      <c r="G1042" s="12" t="str">
        <f aca="false">IF(OR(E1042="",E1042="!!!"),"",IF(OR(J1042=0,AND(J1042=1,K1042=1),AND(J1042=1,I1042="SBJ"),AND(J1042=1,I1042=0)),"?IN_FOCUS",IF(J1042&lt;=2,"?ACTIVATED",IF(J1042&lt;&gt;"","?FAMILIAR",IF(F1042="NEW",IF(ISNA(VLOOKUP(E1042,#REF!,1,FALSE())),"?TYPE_IDENTIFIABLE","?REFERENTIAL"),"_")))))</f>
        <v/>
      </c>
      <c r="H1042" s="13" t="str">
        <f aca="false">IF(J1042&lt;&gt;1,"",IF(I1042="SBJ","CB","?"))</f>
        <v/>
      </c>
      <c r="I1042" s="14" t="str">
        <f aca="false">IF(OR(E1042="",E1042="!!!",F1042="NEW"),"",INDEX(B$2:B1041,-1+SUMPRODUCT(MAX(ROW(E$2:E1041)*(E1042=E$2:E1041)))))</f>
        <v/>
      </c>
      <c r="J1042" s="15" t="str">
        <f aca="true">IF(OR(E1042="",E1042="!!!",F1042="NEW"),"",COUNTBLANK(OFFSET(A$1,,,SUMPRODUCT(MAX(ROW(E$2:E1042)*(E1042=E$2:E1042)))))-COUNTBLANK(OFFSET(A$1,,,SUMPRODUCT(MAX(ROW(E$1:E1041)*(E1042=E$1:E1041))))))</f>
        <v/>
      </c>
      <c r="K1042" s="15" t="str">
        <f aca="false">IF(OR(E1042="",E1042="!!!",F1042="NEW"),"",INDEX(J$1:J1041,SUMPRODUCT(MAX(ROW(E$1:E1041)*(E1042=E$1:E1041)))))</f>
        <v/>
      </c>
      <c r="L1042" s="16"/>
    </row>
    <row r="1043" customFormat="false" ht="12.75" hidden="false" customHeight="false" outlineLevel="0" collapsed="false">
      <c r="A1043" s="9" t="s">
        <v>28</v>
      </c>
      <c r="E1043" s="10" t="str">
        <f aca="false">IF(D1043="?OLD","!!!","")</f>
        <v/>
      </c>
      <c r="F1043" s="11" t="str">
        <f aca="false">IF(OR(E1043="",E1043="!!!"),"",IF(NOT(ISNA(VLOOKUP(E1043,E$1:E1042,1,FALSE()))),"OLD",IF(AND(E1043&lt;&gt;"",E1043&lt;&gt;"!!!"),"NEW","")))</f>
        <v/>
      </c>
      <c r="G1043" s="12" t="str">
        <f aca="false">IF(OR(E1043="",E1043="!!!"),"",IF(OR(J1043=0,AND(J1043=1,K1043=1),AND(J1043=1,I1043="SBJ"),AND(J1043=1,I1043=0)),"?IN_FOCUS",IF(J1043&lt;=2,"?ACTIVATED",IF(J1043&lt;&gt;"","?FAMILIAR",IF(F1043="NEW",IF(ISNA(VLOOKUP(E1043,#REF!,1,FALSE())),"?TYPE_IDENTIFIABLE","?REFERENTIAL"),"_")))))</f>
        <v/>
      </c>
      <c r="H1043" s="13" t="str">
        <f aca="false">IF(J1043&lt;&gt;1,"",IF(I1043="SBJ","CB","?"))</f>
        <v/>
      </c>
      <c r="I1043" s="14" t="str">
        <f aca="false">IF(OR(E1043="",E1043="!!!",F1043="NEW"),"",INDEX(B$2:B1042,-1+SUMPRODUCT(MAX(ROW(E$2:E1042)*(E1043=E$2:E1042)))))</f>
        <v/>
      </c>
      <c r="J1043" s="15" t="str">
        <f aca="true">IF(OR(E1043="",E1043="!!!",F1043="NEW"),"",COUNTBLANK(OFFSET(A$1,,,SUMPRODUCT(MAX(ROW(E$2:E1043)*(E1043=E$2:E1043)))))-COUNTBLANK(OFFSET(A$1,,,SUMPRODUCT(MAX(ROW(E$1:E1042)*(E1043=E$1:E1042))))))</f>
        <v/>
      </c>
      <c r="K1043" s="15" t="str">
        <f aca="false">IF(OR(E1043="",E1043="!!!",F1043="NEW"),"",INDEX(J$1:J1042,SUMPRODUCT(MAX(ROW(E$1:E1042)*(E1043=E$1:E1042)))))</f>
        <v/>
      </c>
      <c r="L1043" s="16"/>
    </row>
    <row r="1044" customFormat="false" ht="12.75" hidden="false" customHeight="false" outlineLevel="0" collapsed="false">
      <c r="A1044" s="9" t="s">
        <v>63</v>
      </c>
      <c r="E1044" s="10" t="str">
        <f aca="false">IF(D1044="?OLD","!!!","")</f>
        <v/>
      </c>
      <c r="F1044" s="11" t="str">
        <f aca="false">IF(OR(E1044="",E1044="!!!"),"",IF(NOT(ISNA(VLOOKUP(E1044,E$1:E1043,1,FALSE()))),"OLD",IF(AND(E1044&lt;&gt;"",E1044&lt;&gt;"!!!"),"NEW","")))</f>
        <v/>
      </c>
      <c r="G1044" s="12" t="str">
        <f aca="false">IF(OR(E1044="",E1044="!!!"),"",IF(OR(J1044=0,AND(J1044=1,K1044=1),AND(J1044=1,I1044="SBJ"),AND(J1044=1,I1044=0)),"?IN_FOCUS",IF(J1044&lt;=2,"?ACTIVATED",IF(J1044&lt;&gt;"","?FAMILIAR",IF(F1044="NEW",IF(ISNA(VLOOKUP(E1044,#REF!,1,FALSE())),"?TYPE_IDENTIFIABLE","?REFERENTIAL"),"_")))))</f>
        <v/>
      </c>
      <c r="H1044" s="13" t="str">
        <f aca="false">IF(J1044&lt;&gt;1,"",IF(I1044="SBJ","CB","?"))</f>
        <v/>
      </c>
      <c r="I1044" s="14" t="str">
        <f aca="false">IF(OR(E1044="",E1044="!!!",F1044="NEW"),"",INDEX(B$2:B1043,-1+SUMPRODUCT(MAX(ROW(E$2:E1043)*(E1044=E$2:E1043)))))</f>
        <v/>
      </c>
      <c r="J1044" s="15" t="str">
        <f aca="true">IF(OR(E1044="",E1044="!!!",F1044="NEW"),"",COUNTBLANK(OFFSET(A$1,,,SUMPRODUCT(MAX(ROW(E$2:E1044)*(E1044=E$2:E1044)))))-COUNTBLANK(OFFSET(A$1,,,SUMPRODUCT(MAX(ROW(E$1:E1043)*(E1044=E$1:E1043))))))</f>
        <v/>
      </c>
      <c r="K1044" s="15" t="str">
        <f aca="false">IF(OR(E1044="",E1044="!!!",F1044="NEW"),"",INDEX(J$1:J1043,SUMPRODUCT(MAX(ROW(E$1:E1043)*(E1044=E$1:E1043)))))</f>
        <v/>
      </c>
      <c r="L1044" s="16"/>
    </row>
    <row r="1045" customFormat="false" ht="12.75" hidden="false" customHeight="false" outlineLevel="0" collapsed="false">
      <c r="A1045" s="9" t="s">
        <v>216</v>
      </c>
      <c r="B1045" s="0" t="s">
        <v>94</v>
      </c>
      <c r="C1045" s="0" t="s">
        <v>31</v>
      </c>
      <c r="D1045" s="0" t="s">
        <v>19</v>
      </c>
      <c r="E1045" s="10" t="s">
        <v>32</v>
      </c>
      <c r="F1045" s="11" t="str">
        <f aca="false">IF(OR(E1045="",E1045="!!!"),"",IF(NOT(ISNA(VLOOKUP(E1045,E$1:E1044,1,FALSE()))),"OLD",IF(AND(E1045&lt;&gt;"",E1045&lt;&gt;"!!!"),"NEW","")))</f>
        <v>OLD</v>
      </c>
      <c r="G1045" s="12" t="s">
        <v>65</v>
      </c>
      <c r="H1045" s="13" t="str">
        <f aca="false">IF(J1045&lt;&gt;1,"",IF(I1045="SBJ","CB","?"))</f>
        <v/>
      </c>
      <c r="I1045" s="14" t="str">
        <f aca="false">IF(OR(E1045="",E1045="!!!",F1045="NEW"),"",INDEX(B$2:B1044,-1+SUMPRODUCT(MAX(ROW(E$2:E1044)*(E1045=E$2:E1044)))))</f>
        <v>other_4</v>
      </c>
      <c r="J1045" s="15" t="n">
        <f aca="true">IF(OR(E1045="",E1045="!!!",F1045="NEW"),"",COUNTBLANK(OFFSET(A$1,,,SUMPRODUCT(MAX(ROW(E$2:E1045)*(E1045=E$2:E1045)))))-COUNTBLANK(OFFSET(A$1,,,SUMPRODUCT(MAX(ROW(E$1:E1044)*(E1045=E$1:E1044))))))</f>
        <v>0</v>
      </c>
      <c r="K1045" s="15" t="n">
        <f aca="false">IF(OR(E1045="",E1045="!!!",F1045="NEW"),"",INDEX(J$1:J1044,SUMPRODUCT(MAX(ROW(E$1:E1044)*(E1045=E$1:E1044)))))</f>
        <v>0</v>
      </c>
      <c r="L1045" s="16"/>
    </row>
    <row r="1046" customFormat="false" ht="12.75" hidden="false" customHeight="false" outlineLevel="0" collapsed="false">
      <c r="A1046" s="9" t="s">
        <v>253</v>
      </c>
      <c r="E1046" s="10" t="str">
        <f aca="false">IF(D1046="?OLD","!!!","")</f>
        <v/>
      </c>
      <c r="F1046" s="11" t="str">
        <f aca="false">IF(OR(E1046="",E1046="!!!"),"",IF(NOT(ISNA(VLOOKUP(E1046,E$1:E1045,1,FALSE()))),"OLD",IF(AND(E1046&lt;&gt;"",E1046&lt;&gt;"!!!"),"NEW","")))</f>
        <v/>
      </c>
      <c r="G1046" s="12" t="str">
        <f aca="false">IF(OR(E1046="",E1046="!!!"),"",IF(OR(J1046=0,AND(J1046=1,K1046=1),AND(J1046=1,I1046="SBJ"),AND(J1046=1,I1046=0)),"?IN_FOCUS",IF(J1046&lt;=2,"?ACTIVATED",IF(J1046&lt;&gt;"","?FAMILIAR",IF(F1046="NEW",IF(ISNA(VLOOKUP(E1046,#REF!,1,FALSE())),"?TYPE_IDENTIFIABLE","?REFERENTIAL"),"_")))))</f>
        <v/>
      </c>
      <c r="H1046" s="13" t="str">
        <f aca="false">IF(J1046&lt;&gt;1,"",IF(I1046="SBJ","CB","?"))</f>
        <v/>
      </c>
      <c r="I1046" s="14" t="str">
        <f aca="false">IF(OR(E1046="",E1046="!!!",F1046="NEW"),"",INDEX(B$2:B1045,-1+SUMPRODUCT(MAX(ROW(E$2:E1045)*(E1046=E$2:E1045)))))</f>
        <v/>
      </c>
      <c r="J1046" s="15" t="str">
        <f aca="true">IF(OR(E1046="",E1046="!!!",F1046="NEW"),"",COUNTBLANK(OFFSET(A$1,,,SUMPRODUCT(MAX(ROW(E$2:E1046)*(E1046=E$2:E1046)))))-COUNTBLANK(OFFSET(A$1,,,SUMPRODUCT(MAX(ROW(E$1:E1045)*(E1046=E$1:E1045))))))</f>
        <v/>
      </c>
      <c r="K1046" s="15" t="str">
        <f aca="false">IF(OR(E1046="",E1046="!!!",F1046="NEW"),"",INDEX(J$1:J1045,SUMPRODUCT(MAX(ROW(E$1:E1045)*(E1046=E$1:E1045)))))</f>
        <v/>
      </c>
      <c r="L1046" s="16"/>
    </row>
    <row r="1047" customFormat="false" ht="12.75" hidden="false" customHeight="false" outlineLevel="0" collapsed="false">
      <c r="A1047" s="9" t="s">
        <v>494</v>
      </c>
      <c r="E1047" s="10" t="str">
        <f aca="false">IF(D1047="?OLD","!!!","")</f>
        <v/>
      </c>
      <c r="F1047" s="11" t="str">
        <f aca="false">IF(OR(E1047="",E1047="!!!"),"",IF(NOT(ISNA(VLOOKUP(E1047,E$1:E1046,1,FALSE()))),"OLD",IF(AND(E1047&lt;&gt;"",E1047&lt;&gt;"!!!"),"NEW","")))</f>
        <v/>
      </c>
      <c r="G1047" s="12" t="str">
        <f aca="false">IF(OR(E1047="",E1047="!!!"),"",IF(OR(J1047=0,AND(J1047=1,K1047=1),AND(J1047=1,I1047="SBJ"),AND(J1047=1,I1047=0)),"?IN_FOCUS",IF(J1047&lt;=2,"?ACTIVATED",IF(J1047&lt;&gt;"","?FAMILIAR",IF(F1047="NEW",IF(ISNA(VLOOKUP(E1047,#REF!,1,FALSE())),"?TYPE_IDENTIFIABLE","?REFERENTIAL"),"_")))))</f>
        <v/>
      </c>
      <c r="H1047" s="13" t="str">
        <f aca="false">IF(J1047&lt;&gt;1,"",IF(I1047="SBJ","CB","?"))</f>
        <v/>
      </c>
      <c r="I1047" s="14" t="str">
        <f aca="false">IF(OR(E1047="",E1047="!!!",F1047="NEW"),"",INDEX(B$2:B1046,-1+SUMPRODUCT(MAX(ROW(E$2:E1046)*(E1047=E$2:E1046)))))</f>
        <v/>
      </c>
      <c r="J1047" s="15" t="str">
        <f aca="true">IF(OR(E1047="",E1047="!!!",F1047="NEW"),"",COUNTBLANK(OFFSET(A$1,,,SUMPRODUCT(MAX(ROW(E$2:E1047)*(E1047=E$2:E1047)))))-COUNTBLANK(OFFSET(A$1,,,SUMPRODUCT(MAX(ROW(E$1:E1046)*(E1047=E$1:E1046))))))</f>
        <v/>
      </c>
      <c r="K1047" s="15" t="str">
        <f aca="false">IF(OR(E1047="",E1047="!!!",F1047="NEW"),"",INDEX(J$1:J1046,SUMPRODUCT(MAX(ROW(E$1:E1046)*(E1047=E$1:E1046)))))</f>
        <v/>
      </c>
      <c r="L1047" s="16"/>
    </row>
    <row r="1048" customFormat="false" ht="12.75" hidden="false" customHeight="false" outlineLevel="0" collapsed="false">
      <c r="A1048" s="9" t="s">
        <v>15</v>
      </c>
      <c r="E1048" s="10" t="str">
        <f aca="false">IF(D1048="?OLD","!!!","")</f>
        <v/>
      </c>
      <c r="F1048" s="11" t="str">
        <f aca="false">IF(OR(E1048="",E1048="!!!"),"",IF(NOT(ISNA(VLOOKUP(E1048,E$1:E1047,1,FALSE()))),"OLD",IF(AND(E1048&lt;&gt;"",E1048&lt;&gt;"!!!"),"NEW","")))</f>
        <v/>
      </c>
      <c r="G1048" s="12" t="str">
        <f aca="false">IF(OR(E1048="",E1048="!!!"),"",IF(OR(J1048=0,AND(J1048=1,K1048=1),AND(J1048=1,I1048="SBJ"),AND(J1048=1,I1048=0)),"?IN_FOCUS",IF(J1048&lt;=2,"?ACTIVATED",IF(J1048&lt;&gt;"","?FAMILIAR",IF(F1048="NEW",IF(ISNA(VLOOKUP(E1048,#REF!,1,FALSE())),"?TYPE_IDENTIFIABLE","?REFERENTIAL"),"_")))))</f>
        <v/>
      </c>
      <c r="H1048" s="13" t="str">
        <f aca="false">IF(J1048&lt;&gt;1,"",IF(I1048="SBJ","CB","?"))</f>
        <v/>
      </c>
      <c r="I1048" s="14" t="str">
        <f aca="false">IF(OR(E1048="",E1048="!!!",F1048="NEW"),"",INDEX(B$2:B1047,-1+SUMPRODUCT(MAX(ROW(E$2:E1047)*(E1048=E$2:E1047)))))</f>
        <v/>
      </c>
      <c r="J1048" s="15" t="str">
        <f aca="true">IF(OR(E1048="",E1048="!!!",F1048="NEW"),"",COUNTBLANK(OFFSET(A$1,,,SUMPRODUCT(MAX(ROW(E$2:E1048)*(E1048=E$2:E1048)))))-COUNTBLANK(OFFSET(A$1,,,SUMPRODUCT(MAX(ROW(E$1:E1047)*(E1048=E$1:E1047))))))</f>
        <v/>
      </c>
      <c r="K1048" s="15" t="str">
        <f aca="false">IF(OR(E1048="",E1048="!!!",F1048="NEW"),"",INDEX(J$1:J1047,SUMPRODUCT(MAX(ROW(E$1:E1047)*(E1048=E$1:E1047)))))</f>
        <v/>
      </c>
      <c r="L1048" s="16"/>
    </row>
    <row r="1049" customFormat="false" ht="12.75" hidden="false" customHeight="false" outlineLevel="0" collapsed="false">
      <c r="A1049" s="9" t="s">
        <v>495</v>
      </c>
      <c r="B1049" s="0" t="s">
        <v>96</v>
      </c>
      <c r="C1049" s="0" t="s">
        <v>83</v>
      </c>
      <c r="D1049" s="0" t="s">
        <v>19</v>
      </c>
      <c r="E1049" s="10" t="s">
        <v>496</v>
      </c>
      <c r="F1049" s="11" t="str">
        <f aca="false">IF(OR(E1049="",E1049="!!!"),"",IF(NOT(ISNA(VLOOKUP(E1049,E$1:E1048,1,FALSE()))),"OLD",IF(AND(E1049&lt;&gt;"",E1049&lt;&gt;"!!!"),"NEW","")))</f>
        <v>NEW</v>
      </c>
      <c r="G1049" s="12" t="s">
        <v>21</v>
      </c>
      <c r="H1049" s="13" t="str">
        <f aca="false">IF(J1049&lt;&gt;1,"",IF(I1049="SBJ","CB","?"))</f>
        <v/>
      </c>
      <c r="I1049" s="14" t="str">
        <f aca="false">IF(OR(E1049="",E1049="!!!",F1049="NEW"),"",INDEX(B$2:B1048,-1+SUMPRODUCT(MAX(ROW(E$2:E1048)*(E1049=E$2:E1048)))))</f>
        <v/>
      </c>
      <c r="J1049" s="15" t="str">
        <f aca="true">IF(OR(E1049="",E1049="!!!",F1049="NEW"),"",COUNTBLANK(OFFSET(A$1,,,SUMPRODUCT(MAX(ROW(E$2:E1049)*(E1049=E$2:E1049)))))-COUNTBLANK(OFFSET(A$1,,,SUMPRODUCT(MAX(ROW(E$1:E1048)*(E1049=E$1:E1048))))))</f>
        <v/>
      </c>
      <c r="K1049" s="15" t="str">
        <f aca="false">IF(OR(E1049="",E1049="!!!",F1049="NEW"),"",INDEX(J$1:J1048,SUMPRODUCT(MAX(ROW(E$1:E1048)*(E1049=E$1:E1048)))))</f>
        <v/>
      </c>
      <c r="L1049" s="16"/>
    </row>
    <row r="1050" customFormat="false" ht="12.75" hidden="false" customHeight="false" outlineLevel="0" collapsed="false">
      <c r="A1050" s="9" t="s">
        <v>22</v>
      </c>
      <c r="E1050" s="10" t="str">
        <f aca="false">IF(D1050="?OLD","!!!","")</f>
        <v/>
      </c>
      <c r="F1050" s="11" t="str">
        <f aca="false">IF(OR(E1050="",E1050="!!!"),"",IF(NOT(ISNA(VLOOKUP(E1050,E$1:E1049,1,FALSE()))),"OLD",IF(AND(E1050&lt;&gt;"",E1050&lt;&gt;"!!!"),"NEW","")))</f>
        <v/>
      </c>
      <c r="G1050" s="12" t="str">
        <f aca="false">IF(OR(E1050="",E1050="!!!"),"",IF(OR(J1050=0,AND(J1050=1,K1050=1),AND(J1050=1,I1050="SBJ"),AND(J1050=1,I1050=0)),"?IN_FOCUS",IF(J1050&lt;=2,"?ACTIVATED",IF(J1050&lt;&gt;"","?FAMILIAR",IF(F1050="NEW",IF(ISNA(VLOOKUP(E1050,#REF!,1,FALSE())),"?TYPE_IDENTIFIABLE","?REFERENTIAL"),"_")))))</f>
        <v/>
      </c>
      <c r="H1050" s="13" t="str">
        <f aca="false">IF(J1050&lt;&gt;1,"",IF(I1050="SBJ","CB","?"))</f>
        <v/>
      </c>
      <c r="I1050" s="14" t="str">
        <f aca="false">IF(OR(E1050="",E1050="!!!",F1050="NEW"),"",INDEX(B$2:B1049,-1+SUMPRODUCT(MAX(ROW(E$2:E1049)*(E1050=E$2:E1049)))))</f>
        <v/>
      </c>
      <c r="J1050" s="15" t="str">
        <f aca="true">IF(OR(E1050="",E1050="!!!",F1050="NEW"),"",COUNTBLANK(OFFSET(A$1,,,SUMPRODUCT(MAX(ROW(E$2:E1050)*(E1050=E$2:E1050)))))-COUNTBLANK(OFFSET(A$1,,,SUMPRODUCT(MAX(ROW(E$1:E1049)*(E1050=E$1:E1049))))))</f>
        <v/>
      </c>
      <c r="K1050" s="15" t="str">
        <f aca="false">IF(OR(E1050="",E1050="!!!",F1050="NEW"),"",INDEX(J$1:J1049,SUMPRODUCT(MAX(ROW(E$1:E1049)*(E1050=E$1:E1049)))))</f>
        <v/>
      </c>
      <c r="L1050" s="16"/>
    </row>
    <row r="1051" customFormat="false" ht="12.75" hidden="false" customHeight="false" outlineLevel="0" collapsed="false">
      <c r="A1051" s="9" t="s">
        <v>15</v>
      </c>
      <c r="E1051" s="10" t="str">
        <f aca="false">IF(D1051="?OLD","!!!","")</f>
        <v/>
      </c>
      <c r="F1051" s="11" t="str">
        <f aca="false">IF(OR(E1051="",E1051="!!!"),"",IF(NOT(ISNA(VLOOKUP(E1051,E$1:E1050,1,FALSE()))),"OLD",IF(AND(E1051&lt;&gt;"",E1051&lt;&gt;"!!!"),"NEW","")))</f>
        <v/>
      </c>
      <c r="G1051" s="12" t="str">
        <f aca="false">IF(OR(E1051="",E1051="!!!"),"",IF(OR(J1051=0,AND(J1051=1,K1051=1),AND(J1051=1,I1051="SBJ"),AND(J1051=1,I1051=0)),"?IN_FOCUS",IF(J1051&lt;=2,"?ACTIVATED",IF(J1051&lt;&gt;"","?FAMILIAR",IF(F1051="NEW",IF(ISNA(VLOOKUP(E1051,#REF!,1,FALSE())),"?TYPE_IDENTIFIABLE","?REFERENTIAL"),"_")))))</f>
        <v/>
      </c>
      <c r="H1051" s="13" t="str">
        <f aca="false">IF(J1051&lt;&gt;1,"",IF(I1051="SBJ","CB","?"))</f>
        <v/>
      </c>
      <c r="I1051" s="14" t="str">
        <f aca="false">IF(OR(E1051="",E1051="!!!",F1051="NEW"),"",INDEX(B$2:B1050,-1+SUMPRODUCT(MAX(ROW(E$2:E1050)*(E1051=E$2:E1050)))))</f>
        <v/>
      </c>
      <c r="J1051" s="15" t="str">
        <f aca="true">IF(OR(E1051="",E1051="!!!",F1051="NEW"),"",COUNTBLANK(OFFSET(A$1,,,SUMPRODUCT(MAX(ROW(E$2:E1051)*(E1051=E$2:E1051)))))-COUNTBLANK(OFFSET(A$1,,,SUMPRODUCT(MAX(ROW(E$1:E1050)*(E1051=E$1:E1050))))))</f>
        <v/>
      </c>
      <c r="K1051" s="15" t="str">
        <f aca="false">IF(OR(E1051="",E1051="!!!",F1051="NEW"),"",INDEX(J$1:J1050,SUMPRODUCT(MAX(ROW(E$1:E1050)*(E1051=E$1:E1050)))))</f>
        <v/>
      </c>
      <c r="L1051" s="16"/>
    </row>
    <row r="1052" customFormat="false" ht="12.75" hidden="false" customHeight="false" outlineLevel="0" collapsed="false">
      <c r="A1052" s="9" t="s">
        <v>87</v>
      </c>
      <c r="E1052" s="10" t="str">
        <f aca="false">IF(D1052="?OLD","!!!","")</f>
        <v/>
      </c>
      <c r="F1052" s="11" t="str">
        <f aca="false">IF(OR(E1052="",E1052="!!!"),"",IF(NOT(ISNA(VLOOKUP(E1052,E$1:E1051,1,FALSE()))),"OLD",IF(AND(E1052&lt;&gt;"",E1052&lt;&gt;"!!!"),"NEW","")))</f>
        <v/>
      </c>
      <c r="G1052" s="12" t="str">
        <f aca="false">IF(OR(E1052="",E1052="!!!"),"",IF(OR(J1052=0,AND(J1052=1,K1052=1),AND(J1052=1,I1052="SBJ"),AND(J1052=1,I1052=0)),"?IN_FOCUS",IF(J1052&lt;=2,"?ACTIVATED",IF(J1052&lt;&gt;"","?FAMILIAR",IF(F1052="NEW",IF(ISNA(VLOOKUP(E1052,#REF!,1,FALSE())),"?TYPE_IDENTIFIABLE","?REFERENTIAL"),"_")))))</f>
        <v/>
      </c>
      <c r="H1052" s="13" t="str">
        <f aca="false">IF(J1052&lt;&gt;1,"",IF(I1052="SBJ","CB","?"))</f>
        <v/>
      </c>
      <c r="I1052" s="14" t="str">
        <f aca="false">IF(OR(E1052="",E1052="!!!",F1052="NEW"),"",INDEX(B$2:B1051,-1+SUMPRODUCT(MAX(ROW(E$2:E1051)*(E1052=E$2:E1051)))))</f>
        <v/>
      </c>
      <c r="J1052" s="15" t="str">
        <f aca="true">IF(OR(E1052="",E1052="!!!",F1052="NEW"),"",COUNTBLANK(OFFSET(A$1,,,SUMPRODUCT(MAX(ROW(E$2:E1052)*(E1052=E$2:E1052)))))-COUNTBLANK(OFFSET(A$1,,,SUMPRODUCT(MAX(ROW(E$1:E1051)*(E1052=E$1:E1051))))))</f>
        <v/>
      </c>
      <c r="K1052" s="15" t="str">
        <f aca="false">IF(OR(E1052="",E1052="!!!",F1052="NEW"),"",INDEX(J$1:J1051,SUMPRODUCT(MAX(ROW(E$1:E1051)*(E1052=E$1:E1051)))))</f>
        <v/>
      </c>
      <c r="L1052" s="16"/>
    </row>
    <row r="1053" customFormat="false" ht="12.75" hidden="false" customHeight="false" outlineLevel="0" collapsed="false">
      <c r="A1053" s="9" t="s">
        <v>88</v>
      </c>
      <c r="B1053" s="0" t="s">
        <v>62</v>
      </c>
      <c r="C1053" s="0" t="s">
        <v>103</v>
      </c>
      <c r="D1053" s="0" t="s">
        <v>19</v>
      </c>
      <c r="E1053" s="10" t="s">
        <v>89</v>
      </c>
      <c r="F1053" s="11" t="str">
        <f aca="false">IF(OR(E1053="",E1053="!!!"),"",IF(NOT(ISNA(VLOOKUP(E1053,E$1:E1052,1,FALSE()))),"OLD",IF(AND(E1053&lt;&gt;"",E1053&lt;&gt;"!!!"),"NEW","")))</f>
        <v>OLD</v>
      </c>
      <c r="G1053" s="12" t="s">
        <v>52</v>
      </c>
      <c r="H1053" s="13" t="str">
        <f aca="false">IF(J1053&lt;&gt;1,"",IF(I1053="SBJ","CB","?"))</f>
        <v/>
      </c>
      <c r="I1053" s="14" t="str">
        <f aca="false">IF(OR(E1053="",E1053="!!!",F1053="NEW"),"",INDEX(B$2:B1052,-1+SUMPRODUCT(MAX(ROW(E$2:E1052)*(E1053=E$2:E1052)))))</f>
        <v>other_4</v>
      </c>
      <c r="J1053" s="15" t="n">
        <f aca="true">IF(OR(E1053="",E1053="!!!",F1053="NEW"),"",COUNTBLANK(OFFSET(A$1,,,SUMPRODUCT(MAX(ROW(E$2:E1053)*(E1053=E$2:E1053)))))-COUNTBLANK(OFFSET(A$1,,,SUMPRODUCT(MAX(ROW(E$1:E1052)*(E1053=E$1:E1052))))))</f>
        <v>4</v>
      </c>
      <c r="K1053" s="15" t="n">
        <f aca="false">IF(OR(E1053="",E1053="!!!",F1053="NEW"),"",INDEX(J$1:J1052,SUMPRODUCT(MAX(ROW(E$1:E1052)*(E1053=E$1:E1052)))))</f>
        <v>7</v>
      </c>
      <c r="L1053" s="16"/>
    </row>
    <row r="1054" customFormat="false" ht="12.75" hidden="false" customHeight="false" outlineLevel="0" collapsed="false">
      <c r="A1054" s="9" t="s">
        <v>44</v>
      </c>
      <c r="E1054" s="10" t="str">
        <f aca="false">IF(D1054="?OLD","!!!","")</f>
        <v/>
      </c>
      <c r="F1054" s="11" t="str">
        <f aca="false">IF(OR(E1054="",E1054="!!!"),"",IF(NOT(ISNA(VLOOKUP(E1054,E$1:E1053,1,FALSE()))),"OLD",IF(AND(E1054&lt;&gt;"",E1054&lt;&gt;"!!!"),"NEW","")))</f>
        <v/>
      </c>
      <c r="G1054" s="12" t="str">
        <f aca="false">IF(OR(E1054="",E1054="!!!"),"",IF(OR(J1054=0,AND(J1054=1,K1054=1),AND(J1054=1,I1054="SBJ"),AND(J1054=1,I1054=0)),"?IN_FOCUS",IF(J1054&lt;=2,"?ACTIVATED",IF(J1054&lt;&gt;"","?FAMILIAR",IF(F1054="NEW",IF(ISNA(VLOOKUP(E1054,#REF!,1,FALSE())),"?TYPE_IDENTIFIABLE","?REFERENTIAL"),"_")))))</f>
        <v/>
      </c>
      <c r="H1054" s="13" t="str">
        <f aca="false">IF(J1054&lt;&gt;1,"",IF(I1054="SBJ","CB","?"))</f>
        <v/>
      </c>
      <c r="I1054" s="14" t="str">
        <f aca="false">IF(OR(E1054="",E1054="!!!",F1054="NEW"),"",INDEX(B$2:B1053,-1+SUMPRODUCT(MAX(ROW(E$2:E1053)*(E1054=E$2:E1053)))))</f>
        <v/>
      </c>
      <c r="J1054" s="15" t="str">
        <f aca="true">IF(OR(E1054="",E1054="!!!",F1054="NEW"),"",COUNTBLANK(OFFSET(A$1,,,SUMPRODUCT(MAX(ROW(E$2:E1054)*(E1054=E$2:E1054)))))-COUNTBLANK(OFFSET(A$1,,,SUMPRODUCT(MAX(ROW(E$1:E1053)*(E1054=E$1:E1053))))))</f>
        <v/>
      </c>
      <c r="K1054" s="15" t="str">
        <f aca="false">IF(OR(E1054="",E1054="!!!",F1054="NEW"),"",INDEX(J$1:J1053,SUMPRODUCT(MAX(ROW(E$1:E1053)*(E1054=E$1:E1053)))))</f>
        <v/>
      </c>
      <c r="L1054" s="16"/>
    </row>
    <row r="1055" customFormat="false" ht="12.75" hidden="false" customHeight="false" outlineLevel="0" collapsed="false">
      <c r="E1055" s="10" t="str">
        <f aca="false">IF(D1055="?OLD","!!!","")</f>
        <v/>
      </c>
      <c r="F1055" s="11" t="str">
        <f aca="false">IF(OR(E1055="",E1055="!!!"),"",IF(NOT(ISNA(VLOOKUP(E1055,E$1:E1054,1,FALSE()))),"OLD",IF(AND(E1055&lt;&gt;"",E1055&lt;&gt;"!!!"),"NEW","")))</f>
        <v/>
      </c>
      <c r="G1055" s="12" t="str">
        <f aca="false">IF(OR(E1055="",E1055="!!!"),"",IF(OR(J1055=0,AND(J1055=1,K1055=1),AND(J1055=1,I1055="SBJ"),AND(J1055=1,I1055=0)),"?IN_FOCUS",IF(J1055&lt;=2,"?ACTIVATED",IF(J1055&lt;&gt;"","?FAMILIAR",IF(F1055="NEW",IF(ISNA(VLOOKUP(E1055,#REF!,1,FALSE())),"?TYPE_IDENTIFIABLE","?REFERENTIAL"),"_")))))</f>
        <v/>
      </c>
      <c r="H1055" s="13" t="str">
        <f aca="false">IF(J1055&lt;&gt;1,"",IF(I1055="SBJ","CB","?"))</f>
        <v/>
      </c>
      <c r="I1055" s="14" t="str">
        <f aca="false">IF(OR(E1055="",E1055="!!!",F1055="NEW"),"",INDEX(B$2:B1054,-1+SUMPRODUCT(MAX(ROW(E$2:E1054)*(E1055=E$2:E1054)))))</f>
        <v/>
      </c>
      <c r="J1055" s="15" t="str">
        <f aca="true">IF(OR(E1055="",E1055="!!!",F1055="NEW"),"",COUNTBLANK(OFFSET(A$1,,,SUMPRODUCT(MAX(ROW(E$2:E1055)*(E1055=E$2:E1055)))))-COUNTBLANK(OFFSET(A$1,,,SUMPRODUCT(MAX(ROW(E$1:E1054)*(E1055=E$1:E1054))))))</f>
        <v/>
      </c>
      <c r="K1055" s="15" t="str">
        <f aca="false">IF(OR(E1055="",E1055="!!!",F1055="NEW"),"",INDEX(J$1:J1054,SUMPRODUCT(MAX(ROW(E$1:E1054)*(E1055=E$1:E1054)))))</f>
        <v/>
      </c>
      <c r="L1055" s="16"/>
    </row>
    <row r="1056" customFormat="false" ht="12.75" hidden="false" customHeight="false" outlineLevel="0" collapsed="false">
      <c r="A1056" s="9" t="s">
        <v>132</v>
      </c>
      <c r="E1056" s="10" t="str">
        <f aca="false">IF(D1056="?OLD","!!!","")</f>
        <v/>
      </c>
      <c r="F1056" s="11" t="str">
        <f aca="false">IF(OR(E1056="",E1056="!!!"),"",IF(NOT(ISNA(VLOOKUP(E1056,E$1:E1055,1,FALSE()))),"OLD",IF(AND(E1056&lt;&gt;"",E1056&lt;&gt;"!!!"),"NEW","")))</f>
        <v/>
      </c>
      <c r="G1056" s="12" t="str">
        <f aca="false">IF(OR(E1056="",E1056="!!!"),"",IF(OR(J1056=0,AND(J1056=1,K1056=1),AND(J1056=1,I1056="SBJ"),AND(J1056=1,I1056=0)),"?IN_FOCUS",IF(J1056&lt;=2,"?ACTIVATED",IF(J1056&lt;&gt;"","?FAMILIAR",IF(F1056="NEW",IF(ISNA(VLOOKUP(E1056,#REF!,1,FALSE())),"?TYPE_IDENTIFIABLE","?REFERENTIAL"),"_")))))</f>
        <v/>
      </c>
      <c r="H1056" s="13" t="str">
        <f aca="false">IF(J1056&lt;&gt;1,"",IF(I1056="SBJ","CB","?"))</f>
        <v/>
      </c>
      <c r="I1056" s="14" t="str">
        <f aca="false">IF(OR(E1056="",E1056="!!!",F1056="NEW"),"",INDEX(B$2:B1055,-1+SUMPRODUCT(MAX(ROW(E$2:E1055)*(E1056=E$2:E1055)))))</f>
        <v/>
      </c>
      <c r="J1056" s="15" t="str">
        <f aca="true">IF(OR(E1056="",E1056="!!!",F1056="NEW"),"",COUNTBLANK(OFFSET(A$1,,,SUMPRODUCT(MAX(ROW(E$2:E1056)*(E1056=E$2:E1056)))))-COUNTBLANK(OFFSET(A$1,,,SUMPRODUCT(MAX(ROW(E$1:E1055)*(E1056=E$1:E1055))))))</f>
        <v/>
      </c>
      <c r="K1056" s="15" t="str">
        <f aca="false">IF(OR(E1056="",E1056="!!!",F1056="NEW"),"",INDEX(J$1:J1055,SUMPRODUCT(MAX(ROW(E$1:E1055)*(E1056=E$1:E1055)))))</f>
        <v/>
      </c>
      <c r="L1056" s="16"/>
    </row>
    <row r="1057" customFormat="false" ht="12.75" hidden="false" customHeight="false" outlineLevel="0" collapsed="false">
      <c r="A1057" s="9" t="s">
        <v>497</v>
      </c>
      <c r="E1057" s="10" t="str">
        <f aca="false">IF(D1057="?OLD","!!!","")</f>
        <v/>
      </c>
      <c r="F1057" s="11" t="str">
        <f aca="false">IF(OR(E1057="",E1057="!!!"),"",IF(NOT(ISNA(VLOOKUP(E1057,E$1:E1056,1,FALSE()))),"OLD",IF(AND(E1057&lt;&gt;"",E1057&lt;&gt;"!!!"),"NEW","")))</f>
        <v/>
      </c>
      <c r="G1057" s="12" t="str">
        <f aca="false">IF(OR(E1057="",E1057="!!!"),"",IF(OR(J1057=0,AND(J1057=1,K1057=1),AND(J1057=1,I1057="SBJ"),AND(J1057=1,I1057=0)),"?IN_FOCUS",IF(J1057&lt;=2,"?ACTIVATED",IF(J1057&lt;&gt;"","?FAMILIAR",IF(F1057="NEW",IF(ISNA(VLOOKUP(E1057,#REF!,1,FALSE())),"?TYPE_IDENTIFIABLE","?REFERENTIAL"),"_")))))</f>
        <v/>
      </c>
      <c r="H1057" s="13" t="str">
        <f aca="false">IF(J1057&lt;&gt;1,"",IF(I1057="SBJ","CB","?"))</f>
        <v/>
      </c>
      <c r="I1057" s="14" t="str">
        <f aca="false">IF(OR(E1057="",E1057="!!!",F1057="NEW"),"",INDEX(B$2:B1056,-1+SUMPRODUCT(MAX(ROW(E$2:E1056)*(E1057=E$2:E1056)))))</f>
        <v/>
      </c>
      <c r="J1057" s="15" t="str">
        <f aca="true">IF(OR(E1057="",E1057="!!!",F1057="NEW"),"",COUNTBLANK(OFFSET(A$1,,,SUMPRODUCT(MAX(ROW(E$2:E1057)*(E1057=E$2:E1057)))))-COUNTBLANK(OFFSET(A$1,,,SUMPRODUCT(MAX(ROW(E$1:E1056)*(E1057=E$1:E1056))))))</f>
        <v/>
      </c>
      <c r="K1057" s="15" t="str">
        <f aca="false">IF(OR(E1057="",E1057="!!!",F1057="NEW"),"",INDEX(J$1:J1056,SUMPRODUCT(MAX(ROW(E$1:E1056)*(E1057=E$1:E1056)))))</f>
        <v/>
      </c>
      <c r="L1057" s="16"/>
    </row>
    <row r="1058" customFormat="false" ht="12.75" hidden="false" customHeight="false" outlineLevel="0" collapsed="false">
      <c r="A1058" s="9" t="s">
        <v>232</v>
      </c>
      <c r="E1058" s="10" t="str">
        <f aca="false">IF(D1058="?OLD","!!!","")</f>
        <v/>
      </c>
      <c r="F1058" s="11" t="str">
        <f aca="false">IF(OR(E1058="",E1058="!!!"),"",IF(NOT(ISNA(VLOOKUP(E1058,E$1:E1057,1,FALSE()))),"OLD",IF(AND(E1058&lt;&gt;"",E1058&lt;&gt;"!!!"),"NEW","")))</f>
        <v/>
      </c>
      <c r="G1058" s="12" t="str">
        <f aca="false">IF(OR(E1058="",E1058="!!!"),"",IF(OR(J1058=0,AND(J1058=1,K1058=1),AND(J1058=1,I1058="SBJ"),AND(J1058=1,I1058=0)),"?IN_FOCUS",IF(J1058&lt;=2,"?ACTIVATED",IF(J1058&lt;&gt;"","?FAMILIAR",IF(F1058="NEW",IF(ISNA(VLOOKUP(E1058,#REF!,1,FALSE())),"?TYPE_IDENTIFIABLE","?REFERENTIAL"),"_")))))</f>
        <v/>
      </c>
      <c r="H1058" s="13" t="str">
        <f aca="false">IF(J1058&lt;&gt;1,"",IF(I1058="SBJ","CB","?"))</f>
        <v/>
      </c>
      <c r="I1058" s="14" t="str">
        <f aca="false">IF(OR(E1058="",E1058="!!!",F1058="NEW"),"",INDEX(B$2:B1057,-1+SUMPRODUCT(MAX(ROW(E$2:E1057)*(E1058=E$2:E1057)))))</f>
        <v/>
      </c>
      <c r="J1058" s="15" t="str">
        <f aca="true">IF(OR(E1058="",E1058="!!!",F1058="NEW"),"",COUNTBLANK(OFFSET(A$1,,,SUMPRODUCT(MAX(ROW(E$2:E1058)*(E1058=E$2:E1058)))))-COUNTBLANK(OFFSET(A$1,,,SUMPRODUCT(MAX(ROW(E$1:E1057)*(E1058=E$1:E1057))))))</f>
        <v/>
      </c>
      <c r="K1058" s="15" t="str">
        <f aca="false">IF(OR(E1058="",E1058="!!!",F1058="NEW"),"",INDEX(J$1:J1057,SUMPRODUCT(MAX(ROW(E$1:E1057)*(E1058=E$1:E1057)))))</f>
        <v/>
      </c>
      <c r="L1058" s="16"/>
    </row>
    <row r="1059" customFormat="false" ht="12.75" hidden="false" customHeight="false" outlineLevel="0" collapsed="false">
      <c r="A1059" s="9" t="s">
        <v>15</v>
      </c>
      <c r="E1059" s="10" t="str">
        <f aca="false">IF(D1059="?OLD","!!!","")</f>
        <v/>
      </c>
      <c r="F1059" s="11" t="str">
        <f aca="false">IF(OR(E1059="",E1059="!!!"),"",IF(NOT(ISNA(VLOOKUP(E1059,E$1:E1058,1,FALSE()))),"OLD",IF(AND(E1059&lt;&gt;"",E1059&lt;&gt;"!!!"),"NEW","")))</f>
        <v/>
      </c>
      <c r="G1059" s="12" t="str">
        <f aca="false">IF(OR(E1059="",E1059="!!!"),"",IF(OR(J1059=0,AND(J1059=1,K1059=1),AND(J1059=1,I1059="SBJ"),AND(J1059=1,I1059=0)),"?IN_FOCUS",IF(J1059&lt;=2,"?ACTIVATED",IF(J1059&lt;&gt;"","?FAMILIAR",IF(F1059="NEW",IF(ISNA(VLOOKUP(E1059,#REF!,1,FALSE())),"?TYPE_IDENTIFIABLE","?REFERENTIAL"),"_")))))</f>
        <v/>
      </c>
      <c r="H1059" s="13" t="str">
        <f aca="false">IF(J1059&lt;&gt;1,"",IF(I1059="SBJ","CB","?"))</f>
        <v/>
      </c>
      <c r="I1059" s="14" t="str">
        <f aca="false">IF(OR(E1059="",E1059="!!!",F1059="NEW"),"",INDEX(B$2:B1058,-1+SUMPRODUCT(MAX(ROW(E$2:E1058)*(E1059=E$2:E1058)))))</f>
        <v/>
      </c>
      <c r="J1059" s="15" t="str">
        <f aca="true">IF(OR(E1059="",E1059="!!!",F1059="NEW"),"",COUNTBLANK(OFFSET(A$1,,,SUMPRODUCT(MAX(ROW(E$2:E1059)*(E1059=E$2:E1059)))))-COUNTBLANK(OFFSET(A$1,,,SUMPRODUCT(MAX(ROW(E$1:E1058)*(E1059=E$1:E1058))))))</f>
        <v/>
      </c>
      <c r="K1059" s="15" t="str">
        <f aca="false">IF(OR(E1059="",E1059="!!!",F1059="NEW"),"",INDEX(J$1:J1058,SUMPRODUCT(MAX(ROW(E$1:E1058)*(E1059=E$1:E1058)))))</f>
        <v/>
      </c>
      <c r="L1059" s="16"/>
    </row>
    <row r="1060" customFormat="false" ht="12.75" hidden="false" customHeight="false" outlineLevel="0" collapsed="false">
      <c r="A1060" s="9" t="s">
        <v>455</v>
      </c>
      <c r="B1060" s="0" t="s">
        <v>40</v>
      </c>
      <c r="C1060" s="0" t="s">
        <v>18</v>
      </c>
      <c r="D1060" s="0" t="s">
        <v>19</v>
      </c>
      <c r="E1060" s="10" t="s">
        <v>456</v>
      </c>
      <c r="F1060" s="11" t="str">
        <f aca="false">IF(OR(E1060="",E1060="!!!"),"",IF(NOT(ISNA(VLOOKUP(E1060,E$1:E1059,1,FALSE()))),"OLD",IF(AND(E1060&lt;&gt;"",E1060&lt;&gt;"!!!"),"NEW","")))</f>
        <v>OLD</v>
      </c>
      <c r="G1060" s="12" t="s">
        <v>52</v>
      </c>
      <c r="H1060" s="13" t="str">
        <f aca="false">IF(J1060&lt;&gt;1,"",IF(I1060="SBJ","CB","?"))</f>
        <v/>
      </c>
      <c r="I1060" s="14" t="str">
        <f aca="false">IF(OR(E1060="",E1060="!!!",F1060="NEW"),"",INDEX(B$2:B1059,-1+SUMPRODUCT(MAX(ROW(E$2:E1059)*(E1060=E$2:E1059)))))</f>
        <v>OBJ_3</v>
      </c>
      <c r="J1060" s="15" t="n">
        <f aca="true">IF(OR(E1060="",E1060="!!!",F1060="NEW"),"",COUNTBLANK(OFFSET(A$1,,,SUMPRODUCT(MAX(ROW(E$2:E1060)*(E1060=E$2:E1060)))))-COUNTBLANK(OFFSET(A$1,,,SUMPRODUCT(MAX(ROW(E$1:E1059)*(E1060=E$1:E1059))))))</f>
        <v>5</v>
      </c>
      <c r="K1060" s="15" t="str">
        <f aca="false">IF(OR(E1060="",E1060="!!!",F1060="NEW"),"",INDEX(J$1:J1059,SUMPRODUCT(MAX(ROW(E$1:E1059)*(E1060=E$1:E1059)))))</f>
        <v/>
      </c>
      <c r="L1060" s="16"/>
    </row>
    <row r="1061" customFormat="false" ht="12.75" hidden="false" customHeight="false" outlineLevel="0" collapsed="false">
      <c r="A1061" s="9" t="s">
        <v>236</v>
      </c>
      <c r="E1061" s="10" t="str">
        <f aca="false">IF(D1061="?OLD","!!!","")</f>
        <v/>
      </c>
      <c r="F1061" s="11" t="str">
        <f aca="false">IF(OR(E1061="",E1061="!!!"),"",IF(NOT(ISNA(VLOOKUP(E1061,E$1:E1060,1,FALSE()))),"OLD",IF(AND(E1061&lt;&gt;"",E1061&lt;&gt;"!!!"),"NEW","")))</f>
        <v/>
      </c>
      <c r="G1061" s="12" t="str">
        <f aca="false">IF(OR(E1061="",E1061="!!!"),"",IF(OR(J1061=0,AND(J1061=1,K1061=1),AND(J1061=1,I1061="SBJ"),AND(J1061=1,I1061=0)),"?IN_FOCUS",IF(J1061&lt;=2,"?ACTIVATED",IF(J1061&lt;&gt;"","?FAMILIAR",IF(F1061="NEW",IF(ISNA(VLOOKUP(E1061,#REF!,1,FALSE())),"?TYPE_IDENTIFIABLE","?REFERENTIAL"),"_")))))</f>
        <v/>
      </c>
      <c r="H1061" s="13" t="str">
        <f aca="false">IF(J1061&lt;&gt;1,"",IF(I1061="SBJ","CB","?"))</f>
        <v/>
      </c>
      <c r="I1061" s="14" t="str">
        <f aca="false">IF(OR(E1061="",E1061="!!!",F1061="NEW"),"",INDEX(B$2:B1060,-1+SUMPRODUCT(MAX(ROW(E$2:E1060)*(E1061=E$2:E1060)))))</f>
        <v/>
      </c>
      <c r="J1061" s="15" t="str">
        <f aca="true">IF(OR(E1061="",E1061="!!!",F1061="NEW"),"",COUNTBLANK(OFFSET(A$1,,,SUMPRODUCT(MAX(ROW(E$2:E1061)*(E1061=E$2:E1061)))))-COUNTBLANK(OFFSET(A$1,,,SUMPRODUCT(MAX(ROW(E$1:E1060)*(E1061=E$1:E1060))))))</f>
        <v/>
      </c>
      <c r="K1061" s="15" t="str">
        <f aca="false">IF(OR(E1061="",E1061="!!!",F1061="NEW"),"",INDEX(J$1:J1060,SUMPRODUCT(MAX(ROW(E$1:E1060)*(E1061=E$1:E1060)))))</f>
        <v/>
      </c>
      <c r="L1061" s="16"/>
    </row>
    <row r="1062" customFormat="false" ht="12.75" hidden="false" customHeight="false" outlineLevel="0" collapsed="false">
      <c r="A1062" s="9" t="s">
        <v>78</v>
      </c>
      <c r="E1062" s="10" t="str">
        <f aca="false">IF(D1062="?OLD","!!!","")</f>
        <v/>
      </c>
      <c r="F1062" s="11" t="str">
        <f aca="false">IF(OR(E1062="",E1062="!!!"),"",IF(NOT(ISNA(VLOOKUP(E1062,E$1:E1061,1,FALSE()))),"OLD",IF(AND(E1062&lt;&gt;"",E1062&lt;&gt;"!!!"),"NEW","")))</f>
        <v/>
      </c>
      <c r="G1062" s="12" t="str">
        <f aca="false">IF(OR(E1062="",E1062="!!!"),"",IF(OR(J1062=0,AND(J1062=1,K1062=1),AND(J1062=1,I1062="SBJ"),AND(J1062=1,I1062=0)),"?IN_FOCUS",IF(J1062&lt;=2,"?ACTIVATED",IF(J1062&lt;&gt;"","?FAMILIAR",IF(F1062="NEW",IF(ISNA(VLOOKUP(E1062,#REF!,1,FALSE())),"?TYPE_IDENTIFIABLE","?REFERENTIAL"),"_")))))</f>
        <v/>
      </c>
      <c r="H1062" s="13" t="str">
        <f aca="false">IF(J1062&lt;&gt;1,"",IF(I1062="SBJ","CB","?"))</f>
        <v/>
      </c>
      <c r="I1062" s="14" t="str">
        <f aca="false">IF(OR(E1062="",E1062="!!!",F1062="NEW"),"",INDEX(B$2:B1061,-1+SUMPRODUCT(MAX(ROW(E$2:E1061)*(E1062=E$2:E1061)))))</f>
        <v/>
      </c>
      <c r="J1062" s="15" t="str">
        <f aca="true">IF(OR(E1062="",E1062="!!!",F1062="NEW"),"",COUNTBLANK(OFFSET(A$1,,,SUMPRODUCT(MAX(ROW(E$2:E1062)*(E1062=E$2:E1062)))))-COUNTBLANK(OFFSET(A$1,,,SUMPRODUCT(MAX(ROW(E$1:E1061)*(E1062=E$1:E1061))))))</f>
        <v/>
      </c>
      <c r="K1062" s="15" t="str">
        <f aca="false">IF(OR(E1062="",E1062="!!!",F1062="NEW"),"",INDEX(J$1:J1061,SUMPRODUCT(MAX(ROW(E$1:E1061)*(E1062=E$1:E1061)))))</f>
        <v/>
      </c>
      <c r="L1062" s="16"/>
    </row>
    <row r="1063" customFormat="false" ht="12.75" hidden="false" customHeight="false" outlineLevel="0" collapsed="false">
      <c r="A1063" s="9" t="s">
        <v>216</v>
      </c>
      <c r="B1063" s="0" t="s">
        <v>24</v>
      </c>
      <c r="C1063" s="0" t="s">
        <v>31</v>
      </c>
      <c r="D1063" s="0" t="s">
        <v>19</v>
      </c>
      <c r="E1063" s="10" t="s">
        <v>32</v>
      </c>
      <c r="F1063" s="11" t="str">
        <f aca="false">IF(OR(E1063="",E1063="!!!"),"",IF(NOT(ISNA(VLOOKUP(E1063,E$1:E1062,1,FALSE()))),"OLD",IF(AND(E1063&lt;&gt;"",E1063&lt;&gt;"!!!"),"NEW","")))</f>
        <v>OLD</v>
      </c>
      <c r="G1063" s="12" t="s">
        <v>33</v>
      </c>
      <c r="H1063" s="13" t="s">
        <v>7</v>
      </c>
      <c r="I1063" s="14" t="str">
        <f aca="false">IF(OR(E1063="",E1063="!!!",F1063="NEW"),"",INDEX(B$2:B1062,-1+SUMPRODUCT(MAX(ROW(E$2:E1062)*(E1063=E$2:E1062)))))</f>
        <v>SBJ_3</v>
      </c>
      <c r="J1063" s="15" t="n">
        <f aca="true">IF(OR(E1063="",E1063="!!!",F1063="NEW"),"",COUNTBLANK(OFFSET(A$1,,,SUMPRODUCT(MAX(ROW(E$2:E1063)*(E1063=E$2:E1063)))))-COUNTBLANK(OFFSET(A$1,,,SUMPRODUCT(MAX(ROW(E$1:E1062)*(E1063=E$1:E1062))))))</f>
        <v>1</v>
      </c>
      <c r="K1063" s="15" t="n">
        <f aca="false">IF(OR(E1063="",E1063="!!!",F1063="NEW"),"",INDEX(J$1:J1062,SUMPRODUCT(MAX(ROW(E$1:E1062)*(E1063=E$1:E1062)))))</f>
        <v>0</v>
      </c>
      <c r="L1063" s="16"/>
    </row>
    <row r="1064" customFormat="false" ht="12.75" hidden="false" customHeight="false" outlineLevel="0" collapsed="false">
      <c r="A1064" s="9" t="s">
        <v>28</v>
      </c>
      <c r="E1064" s="10" t="str">
        <f aca="false">IF(D1064="?OLD","!!!","")</f>
        <v/>
      </c>
      <c r="F1064" s="11" t="str">
        <f aca="false">IF(OR(E1064="",E1064="!!!"),"",IF(NOT(ISNA(VLOOKUP(E1064,E$1:E1063,1,FALSE()))),"OLD",IF(AND(E1064&lt;&gt;"",E1064&lt;&gt;"!!!"),"NEW","")))</f>
        <v/>
      </c>
      <c r="G1064" s="12" t="str">
        <f aca="false">IF(OR(E1064="",E1064="!!!"),"",IF(OR(J1064=0,AND(J1064=1,K1064=1),AND(J1064=1,I1064="SBJ"),AND(J1064=1,I1064=0)),"?IN_FOCUS",IF(J1064&lt;=2,"?ACTIVATED",IF(J1064&lt;&gt;"","?FAMILIAR",IF(F1064="NEW",IF(ISNA(VLOOKUP(E1064,#REF!,1,FALSE())),"?TYPE_IDENTIFIABLE","?REFERENTIAL"),"_")))))</f>
        <v/>
      </c>
      <c r="H1064" s="13" t="str">
        <f aca="false">IF(J1064&lt;&gt;1,"",IF(I1064="SBJ","CB","?"))</f>
        <v/>
      </c>
      <c r="I1064" s="14" t="str">
        <f aca="false">IF(OR(E1064="",E1064="!!!",F1064="NEW"),"",INDEX(B$2:B1063,-1+SUMPRODUCT(MAX(ROW(E$2:E1063)*(E1064=E$2:E1063)))))</f>
        <v/>
      </c>
      <c r="J1064" s="15" t="str">
        <f aca="true">IF(OR(E1064="",E1064="!!!",F1064="NEW"),"",COUNTBLANK(OFFSET(A$1,,,SUMPRODUCT(MAX(ROW(E$2:E1064)*(E1064=E$2:E1064)))))-COUNTBLANK(OFFSET(A$1,,,SUMPRODUCT(MAX(ROW(E$1:E1063)*(E1064=E$1:E1063))))))</f>
        <v/>
      </c>
      <c r="K1064" s="15" t="str">
        <f aca="false">IF(OR(E1064="",E1064="!!!",F1064="NEW"),"",INDEX(J$1:J1063,SUMPRODUCT(MAX(ROW(E$1:E1063)*(E1064=E$1:E1063)))))</f>
        <v/>
      </c>
      <c r="L1064" s="16"/>
    </row>
    <row r="1065" customFormat="false" ht="12.75" hidden="false" customHeight="false" outlineLevel="0" collapsed="false">
      <c r="A1065" s="9" t="s">
        <v>63</v>
      </c>
      <c r="E1065" s="10" t="str">
        <f aca="false">IF(D1065="?OLD","!!!","")</f>
        <v/>
      </c>
      <c r="F1065" s="11" t="str">
        <f aca="false">IF(OR(E1065="",E1065="!!!"),"",IF(NOT(ISNA(VLOOKUP(E1065,E$1:E1064,1,FALSE()))),"OLD",IF(AND(E1065&lt;&gt;"",E1065&lt;&gt;"!!!"),"NEW","")))</f>
        <v/>
      </c>
      <c r="G1065" s="12" t="str">
        <f aca="false">IF(OR(E1065="",E1065="!!!"),"",IF(OR(J1065=0,AND(J1065=1,K1065=1),AND(J1065=1,I1065="SBJ"),AND(J1065=1,I1065=0)),"?IN_FOCUS",IF(J1065&lt;=2,"?ACTIVATED",IF(J1065&lt;&gt;"","?FAMILIAR",IF(F1065="NEW",IF(ISNA(VLOOKUP(E1065,#REF!,1,FALSE())),"?TYPE_IDENTIFIABLE","?REFERENTIAL"),"_")))))</f>
        <v/>
      </c>
      <c r="H1065" s="13" t="str">
        <f aca="false">IF(J1065&lt;&gt;1,"",IF(I1065="SBJ","CB","?"))</f>
        <v/>
      </c>
      <c r="I1065" s="14" t="str">
        <f aca="false">IF(OR(E1065="",E1065="!!!",F1065="NEW"),"",INDEX(B$2:B1064,-1+SUMPRODUCT(MAX(ROW(E$2:E1064)*(E1065=E$2:E1064)))))</f>
        <v/>
      </c>
      <c r="J1065" s="15" t="str">
        <f aca="true">IF(OR(E1065="",E1065="!!!",F1065="NEW"),"",COUNTBLANK(OFFSET(A$1,,,SUMPRODUCT(MAX(ROW(E$2:E1065)*(E1065=E$2:E1065)))))-COUNTBLANK(OFFSET(A$1,,,SUMPRODUCT(MAX(ROW(E$1:E1064)*(E1065=E$1:E1064))))))</f>
        <v/>
      </c>
      <c r="K1065" s="15" t="str">
        <f aca="false">IF(OR(E1065="",E1065="!!!",F1065="NEW"),"",INDEX(J$1:J1064,SUMPRODUCT(MAX(ROW(E$1:E1064)*(E1065=E$1:E1064)))))</f>
        <v/>
      </c>
      <c r="L1065" s="16"/>
    </row>
    <row r="1066" customFormat="false" ht="12.75" hidden="false" customHeight="false" outlineLevel="0" collapsed="false">
      <c r="A1066" s="9" t="s">
        <v>78</v>
      </c>
      <c r="E1066" s="10" t="str">
        <f aca="false">IF(D1066="?OLD","!!!","")</f>
        <v/>
      </c>
      <c r="F1066" s="11" t="str">
        <f aca="false">IF(OR(E1066="",E1066="!!!"),"",IF(NOT(ISNA(VLOOKUP(E1066,E$1:E1065,1,FALSE()))),"OLD",IF(AND(E1066&lt;&gt;"",E1066&lt;&gt;"!!!"),"NEW","")))</f>
        <v/>
      </c>
      <c r="G1066" s="12" t="str">
        <f aca="false">IF(OR(E1066="",E1066="!!!"),"",IF(OR(J1066=0,AND(J1066=1,K1066=1),AND(J1066=1,I1066="SBJ"),AND(J1066=1,I1066=0)),"?IN_FOCUS",IF(J1066&lt;=2,"?ACTIVATED",IF(J1066&lt;&gt;"","?FAMILIAR",IF(F1066="NEW",IF(ISNA(VLOOKUP(E1066,#REF!,1,FALSE())),"?TYPE_IDENTIFIABLE","?REFERENTIAL"),"_")))))</f>
        <v/>
      </c>
      <c r="H1066" s="13" t="str">
        <f aca="false">IF(J1066&lt;&gt;1,"",IF(I1066="SBJ","CB","?"))</f>
        <v/>
      </c>
      <c r="I1066" s="14" t="str">
        <f aca="false">IF(OR(E1066="",E1066="!!!",F1066="NEW"),"",INDEX(B$2:B1065,-1+SUMPRODUCT(MAX(ROW(E$2:E1065)*(E1066=E$2:E1065)))))</f>
        <v/>
      </c>
      <c r="J1066" s="15" t="str">
        <f aca="true">IF(OR(E1066="",E1066="!!!",F1066="NEW"),"",COUNTBLANK(OFFSET(A$1,,,SUMPRODUCT(MAX(ROW(E$2:E1066)*(E1066=E$2:E1066)))))-COUNTBLANK(OFFSET(A$1,,,SUMPRODUCT(MAX(ROW(E$1:E1065)*(E1066=E$1:E1065))))))</f>
        <v/>
      </c>
      <c r="K1066" s="15" t="str">
        <f aca="false">IF(OR(E1066="",E1066="!!!",F1066="NEW"),"",INDEX(J$1:J1065,SUMPRODUCT(MAX(ROW(E$1:E1065)*(E1066=E$1:E1065)))))</f>
        <v/>
      </c>
      <c r="L1066" s="16"/>
    </row>
    <row r="1067" customFormat="false" ht="12.75" hidden="false" customHeight="false" outlineLevel="0" collapsed="false">
      <c r="A1067" s="9" t="s">
        <v>266</v>
      </c>
      <c r="B1067" s="0" t="s">
        <v>24</v>
      </c>
      <c r="C1067" s="0" t="s">
        <v>128</v>
      </c>
      <c r="D1067" s="0" t="s">
        <v>19</v>
      </c>
      <c r="E1067" s="10" t="s">
        <v>32</v>
      </c>
      <c r="F1067" s="11" t="str">
        <f aca="false">IF(OR(E1067="",E1067="!!!"),"",IF(NOT(ISNA(VLOOKUP(E1067,E$1:E1066,1,FALSE()))),"OLD",IF(AND(E1067&lt;&gt;"",E1067&lt;&gt;"!!!"),"NEW","")))</f>
        <v>OLD</v>
      </c>
      <c r="G1067" s="12" t="s">
        <v>65</v>
      </c>
      <c r="H1067" s="13" t="str">
        <f aca="false">IF(J1067&lt;&gt;1,"",IF(I1067="SBJ","CB","?"))</f>
        <v/>
      </c>
      <c r="I1067" s="14" t="str">
        <f aca="false">IF(OR(E1067="",E1067="!!!",F1067="NEW"),"",INDEX(B$2:B1066,-1+SUMPRODUCT(MAX(ROW(E$2:E1066)*(E1067=E$2:E1066)))))</f>
        <v>other_3</v>
      </c>
      <c r="J1067" s="15" t="n">
        <f aca="true">IF(OR(E1067="",E1067="!!!",F1067="NEW"),"",COUNTBLANK(OFFSET(A$1,,,SUMPRODUCT(MAX(ROW(E$2:E1067)*(E1067=E$2:E1067)))))-COUNTBLANK(OFFSET(A$1,,,SUMPRODUCT(MAX(ROW(E$1:E1066)*(E1067=E$1:E1066))))))</f>
        <v>0</v>
      </c>
      <c r="K1067" s="15" t="n">
        <f aca="false">IF(OR(E1067="",E1067="!!!",F1067="NEW"),"",INDEX(J$1:J1066,SUMPRODUCT(MAX(ROW(E$1:E1066)*(E1067=E$1:E1066)))))</f>
        <v>1</v>
      </c>
      <c r="L1067" s="16"/>
    </row>
    <row r="1068" customFormat="false" ht="12.75" hidden="false" customHeight="false" outlineLevel="0" collapsed="false">
      <c r="A1068" s="9" t="s">
        <v>498</v>
      </c>
      <c r="B1068" s="0" t="s">
        <v>75</v>
      </c>
      <c r="C1068" s="0" t="s">
        <v>83</v>
      </c>
      <c r="D1068" s="0" t="s">
        <v>19</v>
      </c>
      <c r="E1068" s="10" t="s">
        <v>499</v>
      </c>
      <c r="F1068" s="11" t="str">
        <f aca="false">IF(OR(E1068="",E1068="!!!"),"",IF(NOT(ISNA(VLOOKUP(E1068,E$1:E1067,1,FALSE()))),"OLD",IF(AND(E1068&lt;&gt;"",E1068&lt;&gt;"!!!"),"NEW","")))</f>
        <v>NEW</v>
      </c>
      <c r="G1068" s="12" t="s">
        <v>21</v>
      </c>
      <c r="H1068" s="13" t="str">
        <f aca="false">IF(J1068&lt;&gt;1,"",IF(I1068="SBJ","CB","?"))</f>
        <v/>
      </c>
      <c r="I1068" s="14" t="str">
        <f aca="false">IF(OR(E1068="",E1068="!!!",F1068="NEW"),"",INDEX(B$2:B1067,-1+SUMPRODUCT(MAX(ROW(E$2:E1067)*(E1068=E$2:E1067)))))</f>
        <v/>
      </c>
      <c r="J1068" s="15" t="str">
        <f aca="true">IF(OR(E1068="",E1068="!!!",F1068="NEW"),"",COUNTBLANK(OFFSET(A$1,,,SUMPRODUCT(MAX(ROW(E$2:E1068)*(E1068=E$2:E1068)))))-COUNTBLANK(OFFSET(A$1,,,SUMPRODUCT(MAX(ROW(E$1:E1067)*(E1068=E$1:E1067))))))</f>
        <v/>
      </c>
      <c r="K1068" s="15" t="str">
        <f aca="false">IF(OR(E1068="",E1068="!!!",F1068="NEW"),"",INDEX(J$1:J1067,SUMPRODUCT(MAX(ROW(E$1:E1067)*(E1068=E$1:E1067)))))</f>
        <v/>
      </c>
      <c r="L1068" s="16"/>
    </row>
    <row r="1069" customFormat="false" ht="12.75" hidden="false" customHeight="false" outlineLevel="0" collapsed="false">
      <c r="A1069" s="9" t="s">
        <v>28</v>
      </c>
      <c r="E1069" s="10" t="str">
        <f aca="false">IF(D1069="?OLD","!!!","")</f>
        <v/>
      </c>
      <c r="F1069" s="11" t="str">
        <f aca="false">IF(OR(E1069="",E1069="!!!"),"",IF(NOT(ISNA(VLOOKUP(E1069,E$1:E1068,1,FALSE()))),"OLD",IF(AND(E1069&lt;&gt;"",E1069&lt;&gt;"!!!"),"NEW","")))</f>
        <v/>
      </c>
      <c r="G1069" s="12" t="str">
        <f aca="false">IF(OR(E1069="",E1069="!!!"),"",IF(OR(J1069=0,AND(J1069=1,K1069=1),AND(J1069=1,I1069="SBJ"),AND(J1069=1,I1069=0)),"?IN_FOCUS",IF(J1069&lt;=2,"?ACTIVATED",IF(J1069&lt;&gt;"","?FAMILIAR",IF(F1069="NEW",IF(ISNA(VLOOKUP(E1069,#REF!,1,FALSE())),"?TYPE_IDENTIFIABLE","?REFERENTIAL"),"_")))))</f>
        <v/>
      </c>
      <c r="H1069" s="13" t="str">
        <f aca="false">IF(J1069&lt;&gt;1,"",IF(I1069="SBJ","CB","?"))</f>
        <v/>
      </c>
      <c r="I1069" s="14" t="str">
        <f aca="false">IF(OR(E1069="",E1069="!!!",F1069="NEW"),"",INDEX(B$2:B1068,-1+SUMPRODUCT(MAX(ROW(E$2:E1068)*(E1069=E$2:E1068)))))</f>
        <v/>
      </c>
      <c r="J1069" s="15" t="str">
        <f aca="true">IF(OR(E1069="",E1069="!!!",F1069="NEW"),"",COUNTBLANK(OFFSET(A$1,,,SUMPRODUCT(MAX(ROW(E$2:E1069)*(E1069=E$2:E1069)))))-COUNTBLANK(OFFSET(A$1,,,SUMPRODUCT(MAX(ROW(E$1:E1068)*(E1069=E$1:E1068))))))</f>
        <v/>
      </c>
      <c r="K1069" s="15" t="str">
        <f aca="false">IF(OR(E1069="",E1069="!!!",F1069="NEW"),"",INDEX(J$1:J1068,SUMPRODUCT(MAX(ROW(E$1:E1068)*(E1069=E$1:E1068)))))</f>
        <v/>
      </c>
      <c r="L1069" s="16"/>
    </row>
    <row r="1070" customFormat="false" ht="12.75" hidden="false" customHeight="false" outlineLevel="0" collapsed="false">
      <c r="A1070" s="9" t="s">
        <v>63</v>
      </c>
      <c r="E1070" s="10" t="str">
        <f aca="false">IF(D1070="?OLD","!!!","")</f>
        <v/>
      </c>
      <c r="F1070" s="11" t="str">
        <f aca="false">IF(OR(E1070="",E1070="!!!"),"",IF(NOT(ISNA(VLOOKUP(E1070,E$1:E1069,1,FALSE()))),"OLD",IF(AND(E1070&lt;&gt;"",E1070&lt;&gt;"!!!"),"NEW","")))</f>
        <v/>
      </c>
      <c r="G1070" s="12" t="str">
        <f aca="false">IF(OR(E1070="",E1070="!!!"),"",IF(OR(J1070=0,AND(J1070=1,K1070=1),AND(J1070=1,I1070="SBJ"),AND(J1070=1,I1070=0)),"?IN_FOCUS",IF(J1070&lt;=2,"?ACTIVATED",IF(J1070&lt;&gt;"","?FAMILIAR",IF(F1070="NEW",IF(ISNA(VLOOKUP(E1070,#REF!,1,FALSE())),"?TYPE_IDENTIFIABLE","?REFERENTIAL"),"_")))))</f>
        <v/>
      </c>
      <c r="H1070" s="13" t="str">
        <f aca="false">IF(J1070&lt;&gt;1,"",IF(I1070="SBJ","CB","?"))</f>
        <v/>
      </c>
      <c r="I1070" s="14" t="str">
        <f aca="false">IF(OR(E1070="",E1070="!!!",F1070="NEW"),"",INDEX(B$2:B1069,-1+SUMPRODUCT(MAX(ROW(E$2:E1069)*(E1070=E$2:E1069)))))</f>
        <v/>
      </c>
      <c r="J1070" s="15" t="str">
        <f aca="true">IF(OR(E1070="",E1070="!!!",F1070="NEW"),"",COUNTBLANK(OFFSET(A$1,,,SUMPRODUCT(MAX(ROW(E$2:E1070)*(E1070=E$2:E1070)))))-COUNTBLANK(OFFSET(A$1,,,SUMPRODUCT(MAX(ROW(E$1:E1069)*(E1070=E$1:E1069))))))</f>
        <v/>
      </c>
      <c r="K1070" s="15" t="str">
        <f aca="false">IF(OR(E1070="",E1070="!!!",F1070="NEW"),"",INDEX(J$1:J1069,SUMPRODUCT(MAX(ROW(E$1:E1069)*(E1070=E$1:E1069)))))</f>
        <v/>
      </c>
      <c r="L1070" s="16"/>
    </row>
    <row r="1071" customFormat="false" ht="12.75" hidden="false" customHeight="false" outlineLevel="0" collapsed="false">
      <c r="A1071" s="9" t="s">
        <v>78</v>
      </c>
      <c r="E1071" s="10" t="str">
        <f aca="false">IF(D1071="?OLD","!!!","")</f>
        <v/>
      </c>
      <c r="F1071" s="11" t="str">
        <f aca="false">IF(OR(E1071="",E1071="!!!"),"",IF(NOT(ISNA(VLOOKUP(E1071,E$1:E1070,1,FALSE()))),"OLD",IF(AND(E1071&lt;&gt;"",E1071&lt;&gt;"!!!"),"NEW","")))</f>
        <v/>
      </c>
      <c r="G1071" s="12" t="str">
        <f aca="false">IF(OR(E1071="",E1071="!!!"),"",IF(OR(J1071=0,AND(J1071=1,K1071=1),AND(J1071=1,I1071="SBJ"),AND(J1071=1,I1071=0)),"?IN_FOCUS",IF(J1071&lt;=2,"?ACTIVATED",IF(J1071&lt;&gt;"","?FAMILIAR",IF(F1071="NEW",IF(ISNA(VLOOKUP(E1071,#REF!,1,FALSE())),"?TYPE_IDENTIFIABLE","?REFERENTIAL"),"_")))))</f>
        <v/>
      </c>
      <c r="H1071" s="13" t="str">
        <f aca="false">IF(J1071&lt;&gt;1,"",IF(I1071="SBJ","CB","?"))</f>
        <v/>
      </c>
      <c r="I1071" s="14" t="str">
        <f aca="false">IF(OR(E1071="",E1071="!!!",F1071="NEW"),"",INDEX(B$2:B1070,-1+SUMPRODUCT(MAX(ROW(E$2:E1070)*(E1071=E$2:E1070)))))</f>
        <v/>
      </c>
      <c r="J1071" s="15" t="str">
        <f aca="true">IF(OR(E1071="",E1071="!!!",F1071="NEW"),"",COUNTBLANK(OFFSET(A$1,,,SUMPRODUCT(MAX(ROW(E$2:E1071)*(E1071=E$2:E1071)))))-COUNTBLANK(OFFSET(A$1,,,SUMPRODUCT(MAX(ROW(E$1:E1070)*(E1071=E$1:E1070))))))</f>
        <v/>
      </c>
      <c r="K1071" s="15" t="str">
        <f aca="false">IF(OR(E1071="",E1071="!!!",F1071="NEW"),"",INDEX(J$1:J1070,SUMPRODUCT(MAX(ROW(E$1:E1070)*(E1071=E$1:E1070)))))</f>
        <v/>
      </c>
      <c r="L1071" s="16"/>
    </row>
    <row r="1072" customFormat="false" ht="12.75" hidden="false" customHeight="false" outlineLevel="0" collapsed="false">
      <c r="A1072" s="9" t="s">
        <v>36</v>
      </c>
      <c r="B1072" s="0" t="s">
        <v>30</v>
      </c>
      <c r="E1072" s="10" t="str">
        <f aca="false">IF(D1072="?OLD","!!!","")</f>
        <v/>
      </c>
      <c r="F1072" s="11" t="str">
        <f aca="false">IF(OR(E1072="",E1072="!!!"),"",IF(NOT(ISNA(VLOOKUP(E1072,E$1:E1071,1,FALSE()))),"OLD",IF(AND(E1072&lt;&gt;"",E1072&lt;&gt;"!!!"),"NEW","")))</f>
        <v/>
      </c>
      <c r="G1072" s="12" t="str">
        <f aca="false">IF(OR(E1072="",E1072="!!!"),"",IF(OR(J1072=0,AND(J1072=1,K1072=1),AND(J1072=1,I1072="SBJ"),AND(J1072=1,I1072=0)),"?IN_FOCUS",IF(J1072&lt;=2,"?ACTIVATED",IF(J1072&lt;&gt;"","?FAMILIAR",IF(F1072="NEW",IF(ISNA(VLOOKUP(E1072,#REF!,1,FALSE())),"?TYPE_IDENTIFIABLE","?REFERENTIAL"),"_")))))</f>
        <v/>
      </c>
      <c r="H1072" s="13" t="str">
        <f aca="false">IF(J1072&lt;&gt;1,"",IF(I1072="SBJ","CB","?"))</f>
        <v/>
      </c>
      <c r="I1072" s="14" t="str">
        <f aca="false">IF(OR(E1072="",E1072="!!!",F1072="NEW"),"",INDEX(B$2:B1071,-1+SUMPRODUCT(MAX(ROW(E$2:E1071)*(E1072=E$2:E1071)))))</f>
        <v/>
      </c>
      <c r="J1072" s="15" t="str">
        <f aca="true">IF(OR(E1072="",E1072="!!!",F1072="NEW"),"",COUNTBLANK(OFFSET(A$1,,,SUMPRODUCT(MAX(ROW(E$2:E1072)*(E1072=E$2:E1072)))))-COUNTBLANK(OFFSET(A$1,,,SUMPRODUCT(MAX(ROW(E$1:E1071)*(E1072=E$1:E1071))))))</f>
        <v/>
      </c>
      <c r="K1072" s="15" t="str">
        <f aca="false">IF(OR(E1072="",E1072="!!!",F1072="NEW"),"",INDEX(J$1:J1071,SUMPRODUCT(MAX(ROW(E$1:E1071)*(E1072=E$1:E1071)))))</f>
        <v/>
      </c>
      <c r="L1072" s="16"/>
    </row>
    <row r="1073" customFormat="false" ht="12.75" hidden="false" customHeight="false" outlineLevel="0" collapsed="false">
      <c r="A1073" s="9" t="s">
        <v>143</v>
      </c>
      <c r="B1073" s="0" t="s">
        <v>94</v>
      </c>
      <c r="E1073" s="10" t="str">
        <f aca="false">IF(D1073="?OLD","!!!","")</f>
        <v/>
      </c>
      <c r="F1073" s="11" t="str">
        <f aca="false">IF(OR(E1073="",E1073="!!!"),"",IF(NOT(ISNA(VLOOKUP(E1073,E$1:E1072,1,FALSE()))),"OLD",IF(AND(E1073&lt;&gt;"",E1073&lt;&gt;"!!!"),"NEW","")))</f>
        <v/>
      </c>
      <c r="G1073" s="12" t="str">
        <f aca="false">IF(OR(E1073="",E1073="!!!"),"",IF(OR(J1073=0,AND(J1073=1,K1073=1),AND(J1073=1,I1073="SBJ"),AND(J1073=1,I1073=0)),"?IN_FOCUS",IF(J1073&lt;=2,"?ACTIVATED",IF(J1073&lt;&gt;"","?FAMILIAR",IF(F1073="NEW",IF(ISNA(VLOOKUP(E1073,#REF!,1,FALSE())),"?TYPE_IDENTIFIABLE","?REFERENTIAL"),"_")))))</f>
        <v/>
      </c>
      <c r="H1073" s="13" t="str">
        <f aca="false">IF(J1073&lt;&gt;1,"",IF(I1073="SBJ","CB","?"))</f>
        <v/>
      </c>
      <c r="I1073" s="14" t="str">
        <f aca="false">IF(OR(E1073="",E1073="!!!",F1073="NEW"),"",INDEX(B$2:B1072,-1+SUMPRODUCT(MAX(ROW(E$2:E1072)*(E1073=E$2:E1072)))))</f>
        <v/>
      </c>
      <c r="J1073" s="15" t="str">
        <f aca="true">IF(OR(E1073="",E1073="!!!",F1073="NEW"),"",COUNTBLANK(OFFSET(A$1,,,SUMPRODUCT(MAX(ROW(E$2:E1073)*(E1073=E$2:E1073)))))-COUNTBLANK(OFFSET(A$1,,,SUMPRODUCT(MAX(ROW(E$1:E1072)*(E1073=E$1:E1072))))))</f>
        <v/>
      </c>
      <c r="K1073" s="15" t="str">
        <f aca="false">IF(OR(E1073="",E1073="!!!",F1073="NEW"),"",INDEX(J$1:J1072,SUMPRODUCT(MAX(ROW(E$1:E1072)*(E1073=E$1:E1072)))))</f>
        <v/>
      </c>
      <c r="L1073" s="16"/>
    </row>
    <row r="1074" customFormat="false" ht="12.75" hidden="false" customHeight="false" outlineLevel="0" collapsed="false">
      <c r="A1074" s="9" t="s">
        <v>140</v>
      </c>
      <c r="E1074" s="10" t="str">
        <f aca="false">IF(D1074="?OLD","!!!","")</f>
        <v/>
      </c>
      <c r="F1074" s="11" t="str">
        <f aca="false">IF(OR(E1074="",E1074="!!!"),"",IF(NOT(ISNA(VLOOKUP(E1074,E$1:E1073,1,FALSE()))),"OLD",IF(AND(E1074&lt;&gt;"",E1074&lt;&gt;"!!!"),"NEW","")))</f>
        <v/>
      </c>
      <c r="G1074" s="12" t="str">
        <f aca="false">IF(OR(E1074="",E1074="!!!"),"",IF(OR(J1074=0,AND(J1074=1,K1074=1),AND(J1074=1,I1074="SBJ"),AND(J1074=1,I1074=0)),"?IN_FOCUS",IF(J1074&lt;=2,"?ACTIVATED",IF(J1074&lt;&gt;"","?FAMILIAR",IF(F1074="NEW",IF(ISNA(VLOOKUP(E1074,#REF!,1,FALSE())),"?TYPE_IDENTIFIABLE","?REFERENTIAL"),"_")))))</f>
        <v/>
      </c>
      <c r="H1074" s="13" t="str">
        <f aca="false">IF(J1074&lt;&gt;1,"",IF(I1074="SBJ","CB","?"))</f>
        <v/>
      </c>
      <c r="I1074" s="14" t="str">
        <f aca="false">IF(OR(E1074="",E1074="!!!",F1074="NEW"),"",INDEX(B$2:B1073,-1+SUMPRODUCT(MAX(ROW(E$2:E1073)*(E1074=E$2:E1073)))))</f>
        <v/>
      </c>
      <c r="J1074" s="15" t="str">
        <f aca="true">IF(OR(E1074="",E1074="!!!",F1074="NEW"),"",COUNTBLANK(OFFSET(A$1,,,SUMPRODUCT(MAX(ROW(E$2:E1074)*(E1074=E$2:E1074)))))-COUNTBLANK(OFFSET(A$1,,,SUMPRODUCT(MAX(ROW(E$1:E1073)*(E1074=E$1:E1073))))))</f>
        <v/>
      </c>
      <c r="K1074" s="15" t="str">
        <f aca="false">IF(OR(E1074="",E1074="!!!",F1074="NEW"),"",INDEX(J$1:J1073,SUMPRODUCT(MAX(ROW(E$1:E1073)*(E1074=E$1:E1073)))))</f>
        <v/>
      </c>
      <c r="L1074" s="16"/>
    </row>
    <row r="1075" customFormat="false" ht="12.75" hidden="false" customHeight="false" outlineLevel="0" collapsed="false">
      <c r="A1075" s="9" t="s">
        <v>500</v>
      </c>
      <c r="E1075" s="10" t="str">
        <f aca="false">IF(D1075="?OLD","!!!","")</f>
        <v/>
      </c>
      <c r="F1075" s="11" t="str">
        <f aca="false">IF(OR(E1075="",E1075="!!!"),"",IF(NOT(ISNA(VLOOKUP(E1075,E$1:E1074,1,FALSE()))),"OLD",IF(AND(E1075&lt;&gt;"",E1075&lt;&gt;"!!!"),"NEW","")))</f>
        <v/>
      </c>
      <c r="G1075" s="12" t="str">
        <f aca="false">IF(OR(E1075="",E1075="!!!"),"",IF(OR(J1075=0,AND(J1075=1,K1075=1),AND(J1075=1,I1075="SBJ"),AND(J1075=1,I1075=0)),"?IN_FOCUS",IF(J1075&lt;=2,"?ACTIVATED",IF(J1075&lt;&gt;"","?FAMILIAR",IF(F1075="NEW",IF(ISNA(VLOOKUP(E1075,#REF!,1,FALSE())),"?TYPE_IDENTIFIABLE","?REFERENTIAL"),"_")))))</f>
        <v/>
      </c>
      <c r="H1075" s="13" t="str">
        <f aca="false">IF(J1075&lt;&gt;1,"",IF(I1075="SBJ","CB","?"))</f>
        <v/>
      </c>
      <c r="I1075" s="14" t="str">
        <f aca="false">IF(OR(E1075="",E1075="!!!",F1075="NEW"),"",INDEX(B$2:B1074,-1+SUMPRODUCT(MAX(ROW(E$2:E1074)*(E1075=E$2:E1074)))))</f>
        <v/>
      </c>
      <c r="J1075" s="15" t="str">
        <f aca="true">IF(OR(E1075="",E1075="!!!",F1075="NEW"),"",COUNTBLANK(OFFSET(A$1,,,SUMPRODUCT(MAX(ROW(E$2:E1075)*(E1075=E$2:E1075)))))-COUNTBLANK(OFFSET(A$1,,,SUMPRODUCT(MAX(ROW(E$1:E1074)*(E1075=E$1:E1074))))))</f>
        <v/>
      </c>
      <c r="K1075" s="15" t="str">
        <f aca="false">IF(OR(E1075="",E1075="!!!",F1075="NEW"),"",INDEX(J$1:J1074,SUMPRODUCT(MAX(ROW(E$1:E1074)*(E1075=E$1:E1074)))))</f>
        <v/>
      </c>
      <c r="L1075" s="16"/>
    </row>
    <row r="1076" customFormat="false" ht="12.75" hidden="false" customHeight="false" outlineLevel="0" collapsed="false">
      <c r="A1076" s="9" t="s">
        <v>501</v>
      </c>
      <c r="E1076" s="10" t="str">
        <f aca="false">IF(D1076="?OLD","!!!","")</f>
        <v/>
      </c>
      <c r="F1076" s="11" t="str">
        <f aca="false">IF(OR(E1076="",E1076="!!!"),"",IF(NOT(ISNA(VLOOKUP(E1076,E$1:E1075,1,FALSE()))),"OLD",IF(AND(E1076&lt;&gt;"",E1076&lt;&gt;"!!!"),"NEW","")))</f>
        <v/>
      </c>
      <c r="G1076" s="12" t="str">
        <f aca="false">IF(OR(E1076="",E1076="!!!"),"",IF(OR(J1076=0,AND(J1076=1,K1076=1),AND(J1076=1,I1076="SBJ"),AND(J1076=1,I1076=0)),"?IN_FOCUS",IF(J1076&lt;=2,"?ACTIVATED",IF(J1076&lt;&gt;"","?FAMILIAR",IF(F1076="NEW",IF(ISNA(VLOOKUP(E1076,#REF!,1,FALSE())),"?TYPE_IDENTIFIABLE","?REFERENTIAL"),"_")))))</f>
        <v/>
      </c>
      <c r="H1076" s="13" t="str">
        <f aca="false">IF(J1076&lt;&gt;1,"",IF(I1076="SBJ","CB","?"))</f>
        <v/>
      </c>
      <c r="I1076" s="14" t="str">
        <f aca="false">IF(OR(E1076="",E1076="!!!",F1076="NEW"),"",INDEX(B$2:B1075,-1+SUMPRODUCT(MAX(ROW(E$2:E1075)*(E1076=E$2:E1075)))))</f>
        <v/>
      </c>
      <c r="J1076" s="15" t="str">
        <f aca="true">IF(OR(E1076="",E1076="!!!",F1076="NEW"),"",COUNTBLANK(OFFSET(A$1,,,SUMPRODUCT(MAX(ROW(E$2:E1076)*(E1076=E$2:E1076)))))-COUNTBLANK(OFFSET(A$1,,,SUMPRODUCT(MAX(ROW(E$1:E1075)*(E1076=E$1:E1075))))))</f>
        <v/>
      </c>
      <c r="K1076" s="15" t="str">
        <f aca="false">IF(OR(E1076="",E1076="!!!",F1076="NEW"),"",INDEX(J$1:J1075,SUMPRODUCT(MAX(ROW(E$1:E1075)*(E1076=E$1:E1075)))))</f>
        <v/>
      </c>
      <c r="L1076" s="16"/>
    </row>
    <row r="1077" customFormat="false" ht="12.75" hidden="false" customHeight="false" outlineLevel="0" collapsed="false">
      <c r="A1077" s="9" t="s">
        <v>28</v>
      </c>
      <c r="E1077" s="10" t="str">
        <f aca="false">IF(D1077="?OLD","!!!","")</f>
        <v/>
      </c>
      <c r="F1077" s="11" t="str">
        <f aca="false">IF(OR(E1077="",E1077="!!!"),"",IF(NOT(ISNA(VLOOKUP(E1077,E$1:E1076,1,FALSE()))),"OLD",IF(AND(E1077&lt;&gt;"",E1077&lt;&gt;"!!!"),"NEW","")))</f>
        <v/>
      </c>
      <c r="G1077" s="12" t="str">
        <f aca="false">IF(OR(E1077="",E1077="!!!"),"",IF(OR(J1077=0,AND(J1077=1,K1077=1),AND(J1077=1,I1077="SBJ"),AND(J1077=1,I1077=0)),"?IN_FOCUS",IF(J1077&lt;=2,"?ACTIVATED",IF(J1077&lt;&gt;"","?FAMILIAR",IF(F1077="NEW",IF(ISNA(VLOOKUP(E1077,#REF!,1,FALSE())),"?TYPE_IDENTIFIABLE","?REFERENTIAL"),"_")))))</f>
        <v/>
      </c>
      <c r="H1077" s="13" t="str">
        <f aca="false">IF(J1077&lt;&gt;1,"",IF(I1077="SBJ","CB","?"))</f>
        <v/>
      </c>
      <c r="I1077" s="14" t="str">
        <f aca="false">IF(OR(E1077="",E1077="!!!",F1077="NEW"),"",INDEX(B$2:B1076,-1+SUMPRODUCT(MAX(ROW(E$2:E1076)*(E1077=E$2:E1076)))))</f>
        <v/>
      </c>
      <c r="J1077" s="15" t="str">
        <f aca="true">IF(OR(E1077="",E1077="!!!",F1077="NEW"),"",COUNTBLANK(OFFSET(A$1,,,SUMPRODUCT(MAX(ROW(E$2:E1077)*(E1077=E$2:E1077)))))-COUNTBLANK(OFFSET(A$1,,,SUMPRODUCT(MAX(ROW(E$1:E1076)*(E1077=E$1:E1076))))))</f>
        <v/>
      </c>
      <c r="K1077" s="15" t="str">
        <f aca="false">IF(OR(E1077="",E1077="!!!",F1077="NEW"),"",INDEX(J$1:J1076,SUMPRODUCT(MAX(ROW(E$1:E1076)*(E1077=E$1:E1076)))))</f>
        <v/>
      </c>
      <c r="L1077" s="16"/>
    </row>
    <row r="1078" customFormat="false" ht="12.75" hidden="false" customHeight="false" outlineLevel="0" collapsed="false">
      <c r="A1078" s="9" t="s">
        <v>337</v>
      </c>
      <c r="E1078" s="10" t="str">
        <f aca="false">IF(D1078="?OLD","!!!","")</f>
        <v/>
      </c>
      <c r="F1078" s="11" t="str">
        <f aca="false">IF(OR(E1078="",E1078="!!!"),"",IF(NOT(ISNA(VLOOKUP(E1078,E$1:E1077,1,FALSE()))),"OLD",IF(AND(E1078&lt;&gt;"",E1078&lt;&gt;"!!!"),"NEW","")))</f>
        <v/>
      </c>
      <c r="G1078" s="12" t="str">
        <f aca="false">IF(OR(E1078="",E1078="!!!"),"",IF(OR(J1078=0,AND(J1078=1,K1078=1),AND(J1078=1,I1078="SBJ"),AND(J1078=1,I1078=0)),"?IN_FOCUS",IF(J1078&lt;=2,"?ACTIVATED",IF(J1078&lt;&gt;"","?FAMILIAR",IF(F1078="NEW",IF(ISNA(VLOOKUP(E1078,#REF!,1,FALSE())),"?TYPE_IDENTIFIABLE","?REFERENTIAL"),"_")))))</f>
        <v/>
      </c>
      <c r="H1078" s="13" t="str">
        <f aca="false">IF(J1078&lt;&gt;1,"",IF(I1078="SBJ","CB","?"))</f>
        <v/>
      </c>
      <c r="I1078" s="14" t="str">
        <f aca="false">IF(OR(E1078="",E1078="!!!",F1078="NEW"),"",INDEX(B$2:B1077,-1+SUMPRODUCT(MAX(ROW(E$2:E1077)*(E1078=E$2:E1077)))))</f>
        <v/>
      </c>
      <c r="J1078" s="15" t="str">
        <f aca="true">IF(OR(E1078="",E1078="!!!",F1078="NEW"),"",COUNTBLANK(OFFSET(A$1,,,SUMPRODUCT(MAX(ROW(E$2:E1078)*(E1078=E$2:E1078)))))-COUNTBLANK(OFFSET(A$1,,,SUMPRODUCT(MAX(ROW(E$1:E1077)*(E1078=E$1:E1077))))))</f>
        <v/>
      </c>
      <c r="K1078" s="15" t="str">
        <f aca="false">IF(OR(E1078="",E1078="!!!",F1078="NEW"),"",INDEX(J$1:J1077,SUMPRODUCT(MAX(ROW(E$1:E1077)*(E1078=E$1:E1077)))))</f>
        <v/>
      </c>
      <c r="L1078" s="16"/>
    </row>
    <row r="1079" customFormat="false" ht="12.75" hidden="false" customHeight="false" outlineLevel="0" collapsed="false">
      <c r="A1079" s="9" t="s">
        <v>93</v>
      </c>
      <c r="E1079" s="10" t="str">
        <f aca="false">IF(D1079="?OLD","!!!","")</f>
        <v/>
      </c>
      <c r="F1079" s="11" t="str">
        <f aca="false">IF(OR(E1079="",E1079="!!!"),"",IF(NOT(ISNA(VLOOKUP(E1079,E$1:E1078,1,FALSE()))),"OLD",IF(AND(E1079&lt;&gt;"",E1079&lt;&gt;"!!!"),"NEW","")))</f>
        <v/>
      </c>
      <c r="G1079" s="12" t="str">
        <f aca="false">IF(OR(E1079="",E1079="!!!"),"",IF(OR(J1079=0,AND(J1079=1,K1079=1),AND(J1079=1,I1079="SBJ"),AND(J1079=1,I1079=0)),"?IN_FOCUS",IF(J1079&lt;=2,"?ACTIVATED",IF(J1079&lt;&gt;"","?FAMILIAR",IF(F1079="NEW",IF(ISNA(VLOOKUP(E1079,#REF!,1,FALSE())),"?TYPE_IDENTIFIABLE","?REFERENTIAL"),"_")))))</f>
        <v/>
      </c>
      <c r="H1079" s="13" t="str">
        <f aca="false">IF(J1079&lt;&gt;1,"",IF(I1079="SBJ","CB","?"))</f>
        <v/>
      </c>
      <c r="I1079" s="14" t="str">
        <f aca="false">IF(OR(E1079="",E1079="!!!",F1079="NEW"),"",INDEX(B$2:B1078,-1+SUMPRODUCT(MAX(ROW(E$2:E1078)*(E1079=E$2:E1078)))))</f>
        <v/>
      </c>
      <c r="J1079" s="15" t="str">
        <f aca="true">IF(OR(E1079="",E1079="!!!",F1079="NEW"),"",COUNTBLANK(OFFSET(A$1,,,SUMPRODUCT(MAX(ROW(E$2:E1079)*(E1079=E$2:E1079)))))-COUNTBLANK(OFFSET(A$1,,,SUMPRODUCT(MAX(ROW(E$1:E1078)*(E1079=E$1:E1078))))))</f>
        <v/>
      </c>
      <c r="K1079" s="15" t="str">
        <f aca="false">IF(OR(E1079="",E1079="!!!",F1079="NEW"),"",INDEX(J$1:J1078,SUMPRODUCT(MAX(ROW(E$1:E1078)*(E1079=E$1:E1078)))))</f>
        <v/>
      </c>
      <c r="L1079" s="16"/>
    </row>
    <row r="1080" customFormat="false" ht="12.75" hidden="false" customHeight="false" outlineLevel="0" collapsed="false">
      <c r="A1080" s="9" t="s">
        <v>502</v>
      </c>
      <c r="E1080" s="10" t="str">
        <f aca="false">IF(D1080="?OLD","!!!","")</f>
        <v/>
      </c>
      <c r="F1080" s="11" t="str">
        <f aca="false">IF(OR(E1080="",E1080="!!!"),"",IF(NOT(ISNA(VLOOKUP(E1080,E$1:E1079,1,FALSE()))),"OLD",IF(AND(E1080&lt;&gt;"",E1080&lt;&gt;"!!!"),"NEW","")))</f>
        <v/>
      </c>
      <c r="G1080" s="12" t="str">
        <f aca="false">IF(OR(E1080="",E1080="!!!"),"",IF(OR(J1080=0,AND(J1080=1,K1080=1),AND(J1080=1,I1080="SBJ"),AND(J1080=1,I1080=0)),"?IN_FOCUS",IF(J1080&lt;=2,"?ACTIVATED",IF(J1080&lt;&gt;"","?FAMILIAR",IF(F1080="NEW",IF(ISNA(VLOOKUP(E1080,#REF!,1,FALSE())),"?TYPE_IDENTIFIABLE","?REFERENTIAL"),"_")))))</f>
        <v/>
      </c>
      <c r="H1080" s="13" t="str">
        <f aca="false">IF(J1080&lt;&gt;1,"",IF(I1080="SBJ","CB","?"))</f>
        <v/>
      </c>
      <c r="I1080" s="14" t="str">
        <f aca="false">IF(OR(E1080="",E1080="!!!",F1080="NEW"),"",INDEX(B$2:B1079,-1+SUMPRODUCT(MAX(ROW(E$2:E1079)*(E1080=E$2:E1079)))))</f>
        <v/>
      </c>
      <c r="J1080" s="15" t="str">
        <f aca="true">IF(OR(E1080="",E1080="!!!",F1080="NEW"),"",COUNTBLANK(OFFSET(A$1,,,SUMPRODUCT(MAX(ROW(E$2:E1080)*(E1080=E$2:E1080)))))-COUNTBLANK(OFFSET(A$1,,,SUMPRODUCT(MAX(ROW(E$1:E1079)*(E1080=E$1:E1079))))))</f>
        <v/>
      </c>
      <c r="K1080" s="15" t="str">
        <f aca="false">IF(OR(E1080="",E1080="!!!",F1080="NEW"),"",INDEX(J$1:J1079,SUMPRODUCT(MAX(ROW(E$1:E1079)*(E1080=E$1:E1079)))))</f>
        <v/>
      </c>
      <c r="L1080" s="16"/>
    </row>
    <row r="1081" customFormat="false" ht="12.75" hidden="false" customHeight="false" outlineLevel="0" collapsed="false">
      <c r="A1081" s="9" t="s">
        <v>93</v>
      </c>
      <c r="E1081" s="10" t="str">
        <f aca="false">IF(D1081="?OLD","!!!","")</f>
        <v/>
      </c>
      <c r="F1081" s="11" t="str">
        <f aca="false">IF(OR(E1081="",E1081="!!!"),"",IF(NOT(ISNA(VLOOKUP(E1081,E$1:E1080,1,FALSE()))),"OLD",IF(AND(E1081&lt;&gt;"",E1081&lt;&gt;"!!!"),"NEW","")))</f>
        <v/>
      </c>
      <c r="G1081" s="12" t="str">
        <f aca="false">IF(OR(E1081="",E1081="!!!"),"",IF(OR(J1081=0,AND(J1081=1,K1081=1),AND(J1081=1,I1081="SBJ"),AND(J1081=1,I1081=0)),"?IN_FOCUS",IF(J1081&lt;=2,"?ACTIVATED",IF(J1081&lt;&gt;"","?FAMILIAR",IF(F1081="NEW",IF(ISNA(VLOOKUP(E1081,#REF!,1,FALSE())),"?TYPE_IDENTIFIABLE","?REFERENTIAL"),"_")))))</f>
        <v/>
      </c>
      <c r="H1081" s="13" t="str">
        <f aca="false">IF(J1081&lt;&gt;1,"",IF(I1081="SBJ","CB","?"))</f>
        <v/>
      </c>
      <c r="I1081" s="14" t="str">
        <f aca="false">IF(OR(E1081="",E1081="!!!",F1081="NEW"),"",INDEX(B$2:B1080,-1+SUMPRODUCT(MAX(ROW(E$2:E1080)*(E1081=E$2:E1080)))))</f>
        <v/>
      </c>
      <c r="J1081" s="15" t="str">
        <f aca="true">IF(OR(E1081="",E1081="!!!",F1081="NEW"),"",COUNTBLANK(OFFSET(A$1,,,SUMPRODUCT(MAX(ROW(E$2:E1081)*(E1081=E$2:E1081)))))-COUNTBLANK(OFFSET(A$1,,,SUMPRODUCT(MAX(ROW(E$1:E1080)*(E1081=E$1:E1080))))))</f>
        <v/>
      </c>
      <c r="K1081" s="15" t="str">
        <f aca="false">IF(OR(E1081="",E1081="!!!",F1081="NEW"),"",INDEX(J$1:J1080,SUMPRODUCT(MAX(ROW(E$1:E1080)*(E1081=E$1:E1080)))))</f>
        <v/>
      </c>
      <c r="L1081" s="16"/>
    </row>
    <row r="1082" customFormat="false" ht="12.75" hidden="false" customHeight="false" outlineLevel="0" collapsed="false">
      <c r="A1082" s="9" t="s">
        <v>15</v>
      </c>
      <c r="E1082" s="10" t="str">
        <f aca="false">IF(D1082="?OLD","!!!","")</f>
        <v/>
      </c>
      <c r="F1082" s="11" t="str">
        <f aca="false">IF(OR(E1082="",E1082="!!!"),"",IF(NOT(ISNA(VLOOKUP(E1082,E$1:E1081,1,FALSE()))),"OLD",IF(AND(E1082&lt;&gt;"",E1082&lt;&gt;"!!!"),"NEW","")))</f>
        <v/>
      </c>
      <c r="G1082" s="12" t="str">
        <f aca="false">IF(OR(E1082="",E1082="!!!"),"",IF(OR(J1082=0,AND(J1082=1,K1082=1),AND(J1082=1,I1082="SBJ"),AND(J1082=1,I1082=0)),"?IN_FOCUS",IF(J1082&lt;=2,"?ACTIVATED",IF(J1082&lt;&gt;"","?FAMILIAR",IF(F1082="NEW",IF(ISNA(VLOOKUP(E1082,#REF!,1,FALSE())),"?TYPE_IDENTIFIABLE","?REFERENTIAL"),"_")))))</f>
        <v/>
      </c>
      <c r="H1082" s="13" t="str">
        <f aca="false">IF(J1082&lt;&gt;1,"",IF(I1082="SBJ","CB","?"))</f>
        <v/>
      </c>
      <c r="I1082" s="14" t="str">
        <f aca="false">IF(OR(E1082="",E1082="!!!",F1082="NEW"),"",INDEX(B$2:B1081,-1+SUMPRODUCT(MAX(ROW(E$2:E1081)*(E1082=E$2:E1081)))))</f>
        <v/>
      </c>
      <c r="J1082" s="15" t="str">
        <f aca="true">IF(OR(E1082="",E1082="!!!",F1082="NEW"),"",COUNTBLANK(OFFSET(A$1,,,SUMPRODUCT(MAX(ROW(E$2:E1082)*(E1082=E$2:E1082)))))-COUNTBLANK(OFFSET(A$1,,,SUMPRODUCT(MAX(ROW(E$1:E1081)*(E1082=E$1:E1081))))))</f>
        <v/>
      </c>
      <c r="K1082" s="15" t="str">
        <f aca="false">IF(OR(E1082="",E1082="!!!",F1082="NEW"),"",INDEX(J$1:J1081,SUMPRODUCT(MAX(ROW(E$1:E1081)*(E1082=E$1:E1081)))))</f>
        <v/>
      </c>
      <c r="L1082" s="16"/>
    </row>
    <row r="1083" customFormat="false" ht="12.75" hidden="false" customHeight="false" outlineLevel="0" collapsed="false">
      <c r="A1083" s="9" t="s">
        <v>314</v>
      </c>
      <c r="B1083" s="0" t="s">
        <v>75</v>
      </c>
      <c r="C1083" s="0" t="s">
        <v>103</v>
      </c>
      <c r="D1083" s="0" t="s">
        <v>19</v>
      </c>
      <c r="E1083" s="10" t="s">
        <v>187</v>
      </c>
      <c r="F1083" s="11" t="str">
        <f aca="false">IF(OR(E1083="",E1083="!!!"),"",IF(NOT(ISNA(VLOOKUP(E1083,E$1:E1082,1,FALSE()))),"OLD",IF(AND(E1083&lt;&gt;"",E1083&lt;&gt;"!!!"),"NEW","")))</f>
        <v>OLD</v>
      </c>
      <c r="G1083" s="12" t="s">
        <v>52</v>
      </c>
      <c r="H1083" s="13" t="str">
        <f aca="false">IF(J1083&lt;&gt;1,"",IF(I1083="SBJ","CB","?"))</f>
        <v/>
      </c>
      <c r="I1083" s="14" t="str">
        <f aca="false">IF(OR(E1083="",E1083="!!!",F1083="NEW"),"",INDEX(B$2:B1082,-1+SUMPRODUCT(MAX(ROW(E$2:E1082)*(E1083=E$2:E1082)))))</f>
        <v>SBJ_3</v>
      </c>
      <c r="J1083" s="15" t="n">
        <f aca="true">IF(OR(E1083="",E1083="!!!",F1083="NEW"),"",COUNTBLANK(OFFSET(A$1,,,SUMPRODUCT(MAX(ROW(E$2:E1083)*(E1083=E$2:E1083)))))-COUNTBLANK(OFFSET(A$1,,,SUMPRODUCT(MAX(ROW(E$1:E1082)*(E1083=E$1:E1082))))))</f>
        <v>3</v>
      </c>
      <c r="K1083" s="15" t="n">
        <f aca="false">IF(OR(E1083="",E1083="!!!",F1083="NEW"),"",INDEX(J$1:J1082,SUMPRODUCT(MAX(ROW(E$1:E1082)*(E1083=E$1:E1082)))))</f>
        <v>1</v>
      </c>
      <c r="L1083" s="16"/>
    </row>
    <row r="1084" customFormat="false" ht="12.75" hidden="false" customHeight="false" outlineLevel="0" collapsed="false">
      <c r="A1084" s="9" t="s">
        <v>153</v>
      </c>
      <c r="B1084" s="0" t="s">
        <v>62</v>
      </c>
      <c r="C1084" s="0" t="s">
        <v>128</v>
      </c>
      <c r="D1084" s="0" t="s">
        <v>19</v>
      </c>
      <c r="E1084" s="10" t="s">
        <v>32</v>
      </c>
      <c r="F1084" s="11" t="str">
        <f aca="false">IF(OR(E1084="",E1084="!!!"),"",IF(NOT(ISNA(VLOOKUP(E1084,E$1:E1083,1,FALSE()))),"OLD",IF(AND(E1084&lt;&gt;"",E1084&lt;&gt;"!!!"),"NEW","")))</f>
        <v>OLD</v>
      </c>
      <c r="G1084" s="12" t="s">
        <v>65</v>
      </c>
      <c r="H1084" s="13" t="str">
        <f aca="false">IF(J1084&lt;&gt;1,"",IF(I1084="SBJ","CB","?"))</f>
        <v/>
      </c>
      <c r="I1084" s="14" t="str">
        <f aca="false">IF(OR(E1084="",E1084="!!!",F1084="NEW"),"",INDEX(B$2:B1083,-1+SUMPRODUCT(MAX(ROW(E$2:E1083)*(E1084=E$2:E1083)))))</f>
        <v>other_3</v>
      </c>
      <c r="J1084" s="15" t="n">
        <f aca="true">IF(OR(E1084="",E1084="!!!",F1084="NEW"),"",COUNTBLANK(OFFSET(A$1,,,SUMPRODUCT(MAX(ROW(E$2:E1084)*(E1084=E$2:E1084)))))-COUNTBLANK(OFFSET(A$1,,,SUMPRODUCT(MAX(ROW(E$1:E1083)*(E1084=E$1:E1083))))))</f>
        <v>0</v>
      </c>
      <c r="K1084" s="15" t="n">
        <f aca="false">IF(OR(E1084="",E1084="!!!",F1084="NEW"),"",INDEX(J$1:J1083,SUMPRODUCT(MAX(ROW(E$1:E1083)*(E1084=E$1:E1083)))))</f>
        <v>0</v>
      </c>
      <c r="L1084" s="16"/>
    </row>
    <row r="1085" customFormat="false" ht="12.75" hidden="false" customHeight="false" outlineLevel="0" collapsed="false">
      <c r="A1085" s="9" t="s">
        <v>187</v>
      </c>
      <c r="B1085" s="0" t="s">
        <v>94</v>
      </c>
      <c r="C1085" s="0" t="s">
        <v>103</v>
      </c>
      <c r="D1085" s="0" t="s">
        <v>19</v>
      </c>
      <c r="E1085" s="10" t="s">
        <v>187</v>
      </c>
      <c r="F1085" s="11" t="str">
        <f aca="false">IF(OR(E1085="",E1085="!!!"),"",IF(NOT(ISNA(VLOOKUP(E1085,E$1:E1084,1,FALSE()))),"OLD",IF(AND(E1085&lt;&gt;"",E1085&lt;&gt;"!!!"),"NEW","")))</f>
        <v>OLD</v>
      </c>
      <c r="G1085" s="12" t="s">
        <v>65</v>
      </c>
      <c r="H1085" s="13" t="str">
        <f aca="false">IF(J1085&lt;&gt;1,"",IF(I1085="SBJ","CB","?"))</f>
        <v/>
      </c>
      <c r="I1085" s="14" t="str">
        <f aca="false">IF(OR(E1085="",E1085="!!!",F1085="NEW"),"",INDEX(B$2:B1084,-1+SUMPRODUCT(MAX(ROW(E$2:E1084)*(E1085=E$2:E1084)))))</f>
        <v>other_2</v>
      </c>
      <c r="J1085" s="15" t="n">
        <f aca="true">IF(OR(E1085="",E1085="!!!",F1085="NEW"),"",COUNTBLANK(OFFSET(A$1,,,SUMPRODUCT(MAX(ROW(E$2:E1085)*(E1085=E$2:E1085)))))-COUNTBLANK(OFFSET(A$1,,,SUMPRODUCT(MAX(ROW(E$1:E1084)*(E1085=E$1:E1084))))))</f>
        <v>0</v>
      </c>
      <c r="K1085" s="15" t="n">
        <f aca="false">IF(OR(E1085="",E1085="!!!",F1085="NEW"),"",INDEX(J$1:J1084,SUMPRODUCT(MAX(ROW(E$1:E1084)*(E1085=E$1:E1084)))))</f>
        <v>3</v>
      </c>
      <c r="L1085" s="16"/>
    </row>
    <row r="1086" customFormat="false" ht="12.75" hidden="false" customHeight="false" outlineLevel="0" collapsed="false">
      <c r="A1086" s="9" t="s">
        <v>253</v>
      </c>
      <c r="E1086" s="10" t="str">
        <f aca="false">IF(D1086="?OLD","!!!","")</f>
        <v/>
      </c>
      <c r="F1086" s="11" t="str">
        <f aca="false">IF(OR(E1086="",E1086="!!!"),"",IF(NOT(ISNA(VLOOKUP(E1086,E$1:E1085,1,FALSE()))),"OLD",IF(AND(E1086&lt;&gt;"",E1086&lt;&gt;"!!!"),"NEW","")))</f>
        <v/>
      </c>
      <c r="G1086" s="12" t="str">
        <f aca="false">IF(OR(E1086="",E1086="!!!"),"",IF(OR(J1086=0,AND(J1086=1,K1086=1),AND(J1086=1,I1086="SBJ"),AND(J1086=1,I1086=0)),"?IN_FOCUS",IF(J1086&lt;=2,"?ACTIVATED",IF(J1086&lt;&gt;"","?FAMILIAR",IF(F1086="NEW",IF(ISNA(VLOOKUP(E1086,#REF!,1,FALSE())),"?TYPE_IDENTIFIABLE","?REFERENTIAL"),"_")))))</f>
        <v/>
      </c>
      <c r="H1086" s="13" t="str">
        <f aca="false">IF(J1086&lt;&gt;1,"",IF(I1086="SBJ","CB","?"))</f>
        <v/>
      </c>
      <c r="I1086" s="14" t="str">
        <f aca="false">IF(OR(E1086="",E1086="!!!",F1086="NEW"),"",INDEX(B$2:B1085,-1+SUMPRODUCT(MAX(ROW(E$2:E1085)*(E1086=E$2:E1085)))))</f>
        <v/>
      </c>
      <c r="J1086" s="15" t="str">
        <f aca="true">IF(OR(E1086="",E1086="!!!",F1086="NEW"),"",COUNTBLANK(OFFSET(A$1,,,SUMPRODUCT(MAX(ROW(E$2:E1086)*(E1086=E$2:E1086)))))-COUNTBLANK(OFFSET(A$1,,,SUMPRODUCT(MAX(ROW(E$1:E1085)*(E1086=E$1:E1085))))))</f>
        <v/>
      </c>
      <c r="K1086" s="15" t="str">
        <f aca="false">IF(OR(E1086="",E1086="!!!",F1086="NEW"),"",INDEX(J$1:J1085,SUMPRODUCT(MAX(ROW(E$1:E1085)*(E1086=E$1:E1085)))))</f>
        <v/>
      </c>
      <c r="L1086" s="16"/>
    </row>
    <row r="1087" customFormat="false" ht="12.75" hidden="false" customHeight="false" outlineLevel="0" collapsed="false">
      <c r="A1087" s="9" t="s">
        <v>318</v>
      </c>
      <c r="E1087" s="10" t="str">
        <f aca="false">IF(D1087="?OLD","!!!","")</f>
        <v/>
      </c>
      <c r="F1087" s="11" t="str">
        <f aca="false">IF(OR(E1087="",E1087="!!!"),"",IF(NOT(ISNA(VLOOKUP(E1087,E$1:E1086,1,FALSE()))),"OLD",IF(AND(E1087&lt;&gt;"",E1087&lt;&gt;"!!!"),"NEW","")))</f>
        <v/>
      </c>
      <c r="G1087" s="12" t="str">
        <f aca="false">IF(OR(E1087="",E1087="!!!"),"",IF(OR(J1087=0,AND(J1087=1,K1087=1),AND(J1087=1,I1087="SBJ"),AND(J1087=1,I1087=0)),"?IN_FOCUS",IF(J1087&lt;=2,"?ACTIVATED",IF(J1087&lt;&gt;"","?FAMILIAR",IF(F1087="NEW",IF(ISNA(VLOOKUP(E1087,#REF!,1,FALSE())),"?TYPE_IDENTIFIABLE","?REFERENTIAL"),"_")))))</f>
        <v/>
      </c>
      <c r="H1087" s="13" t="str">
        <f aca="false">IF(J1087&lt;&gt;1,"",IF(I1087="SBJ","CB","?"))</f>
        <v/>
      </c>
      <c r="I1087" s="14" t="str">
        <f aca="false">IF(OR(E1087="",E1087="!!!",F1087="NEW"),"",INDEX(B$2:B1086,-1+SUMPRODUCT(MAX(ROW(E$2:E1086)*(E1087=E$2:E1086)))))</f>
        <v/>
      </c>
      <c r="J1087" s="15" t="str">
        <f aca="true">IF(OR(E1087="",E1087="!!!",F1087="NEW"),"",COUNTBLANK(OFFSET(A$1,,,SUMPRODUCT(MAX(ROW(E$2:E1087)*(E1087=E$2:E1087)))))-COUNTBLANK(OFFSET(A$1,,,SUMPRODUCT(MAX(ROW(E$1:E1086)*(E1087=E$1:E1086))))))</f>
        <v/>
      </c>
      <c r="K1087" s="15" t="str">
        <f aca="false">IF(OR(E1087="",E1087="!!!",F1087="NEW"),"",INDEX(J$1:J1086,SUMPRODUCT(MAX(ROW(E$1:E1086)*(E1087=E$1:E1086)))))</f>
        <v/>
      </c>
      <c r="L1087" s="16"/>
    </row>
    <row r="1088" customFormat="false" ht="12.75" hidden="false" customHeight="false" outlineLevel="0" collapsed="false">
      <c r="A1088" s="9" t="s">
        <v>78</v>
      </c>
      <c r="E1088" s="10" t="str">
        <f aca="false">IF(D1088="?OLD","!!!","")</f>
        <v/>
      </c>
      <c r="F1088" s="11" t="str">
        <f aca="false">IF(OR(E1088="",E1088="!!!"),"",IF(NOT(ISNA(VLOOKUP(E1088,E$1:E1087,1,FALSE()))),"OLD",IF(AND(E1088&lt;&gt;"",E1088&lt;&gt;"!!!"),"NEW","")))</f>
        <v/>
      </c>
      <c r="G1088" s="12" t="str">
        <f aca="false">IF(OR(E1088="",E1088="!!!"),"",IF(OR(J1088=0,AND(J1088=1,K1088=1),AND(J1088=1,I1088="SBJ"),AND(J1088=1,I1088=0)),"?IN_FOCUS",IF(J1088&lt;=2,"?ACTIVATED",IF(J1088&lt;&gt;"","?FAMILIAR",IF(F1088="NEW",IF(ISNA(VLOOKUP(E1088,#REF!,1,FALSE())),"?TYPE_IDENTIFIABLE","?REFERENTIAL"),"_")))))</f>
        <v/>
      </c>
      <c r="H1088" s="13" t="str">
        <f aca="false">IF(J1088&lt;&gt;1,"",IF(I1088="SBJ","CB","?"))</f>
        <v/>
      </c>
      <c r="I1088" s="14" t="str">
        <f aca="false">IF(OR(E1088="",E1088="!!!",F1088="NEW"),"",INDEX(B$2:B1087,-1+SUMPRODUCT(MAX(ROW(E$2:E1087)*(E1088=E$2:E1087)))))</f>
        <v/>
      </c>
      <c r="J1088" s="15" t="str">
        <f aca="true">IF(OR(E1088="",E1088="!!!",F1088="NEW"),"",COUNTBLANK(OFFSET(A$1,,,SUMPRODUCT(MAX(ROW(E$2:E1088)*(E1088=E$2:E1088)))))-COUNTBLANK(OFFSET(A$1,,,SUMPRODUCT(MAX(ROW(E$1:E1087)*(E1088=E$1:E1087))))))</f>
        <v/>
      </c>
      <c r="K1088" s="15" t="str">
        <f aca="false">IF(OR(E1088="",E1088="!!!",F1088="NEW"),"",INDEX(J$1:J1087,SUMPRODUCT(MAX(ROW(E$1:E1087)*(E1088=E$1:E1087)))))</f>
        <v/>
      </c>
      <c r="L1088" s="16"/>
    </row>
    <row r="1089" customFormat="false" ht="12.75" hidden="false" customHeight="false" outlineLevel="0" collapsed="false">
      <c r="A1089" s="9" t="s">
        <v>464</v>
      </c>
      <c r="B1089" s="0" t="s">
        <v>40</v>
      </c>
      <c r="C1089" s="0" t="s">
        <v>31</v>
      </c>
      <c r="D1089" s="0" t="s">
        <v>19</v>
      </c>
      <c r="E1089" s="10" t="s">
        <v>187</v>
      </c>
      <c r="F1089" s="11" t="str">
        <f aca="false">IF(OR(E1089="",E1089="!!!"),"",IF(NOT(ISNA(VLOOKUP(E1089,E$1:E1088,1,FALSE()))),"OLD",IF(AND(E1089&lt;&gt;"",E1089&lt;&gt;"!!!"),"NEW","")))</f>
        <v>OLD</v>
      </c>
      <c r="G1089" s="12" t="s">
        <v>65</v>
      </c>
      <c r="H1089" s="13" t="str">
        <f aca="false">IF(J1089&lt;&gt;1,"",IF(I1089="SBJ","CB","?"))</f>
        <v/>
      </c>
      <c r="I1089" s="14" t="str">
        <f aca="false">IF(OR(E1089="",E1089="!!!",F1089="NEW"),"",INDEX(B$2:B1088,-1+SUMPRODUCT(MAX(ROW(E$2:E1088)*(E1089=E$2:E1088)))))</f>
        <v>SBJ_3</v>
      </c>
      <c r="J1089" s="15" t="n">
        <f aca="true">IF(OR(E1089="",E1089="!!!",F1089="NEW"),"",COUNTBLANK(OFFSET(A$1,,,SUMPRODUCT(MAX(ROW(E$2:E1089)*(E1089=E$2:E1089)))))-COUNTBLANK(OFFSET(A$1,,,SUMPRODUCT(MAX(ROW(E$1:E1088)*(E1089=E$1:E1088))))))</f>
        <v>0</v>
      </c>
      <c r="K1089" s="15" t="n">
        <f aca="false">IF(OR(E1089="",E1089="!!!",F1089="NEW"),"",INDEX(J$1:J1088,SUMPRODUCT(MAX(ROW(E$1:E1088)*(E1089=E$1:E1088)))))</f>
        <v>0</v>
      </c>
      <c r="L1089" s="16"/>
    </row>
    <row r="1090" customFormat="false" ht="12.75" hidden="false" customHeight="false" outlineLevel="0" collapsed="false">
      <c r="A1090" s="9" t="s">
        <v>44</v>
      </c>
      <c r="E1090" s="10" t="str">
        <f aca="false">IF(D1090="?OLD","!!!","")</f>
        <v/>
      </c>
      <c r="F1090" s="11" t="str">
        <f aca="false">IF(OR(E1090="",E1090="!!!"),"",IF(NOT(ISNA(VLOOKUP(E1090,E$1:E1089,1,FALSE()))),"OLD",IF(AND(E1090&lt;&gt;"",E1090&lt;&gt;"!!!"),"NEW","")))</f>
        <v/>
      </c>
      <c r="G1090" s="12" t="str">
        <f aca="false">IF(OR(E1090="",E1090="!!!"),"",IF(OR(J1090=0,AND(J1090=1,K1090=1),AND(J1090=1,I1090="SBJ"),AND(J1090=1,I1090=0)),"?IN_FOCUS",IF(J1090&lt;=2,"?ACTIVATED",IF(J1090&lt;&gt;"","?FAMILIAR",IF(F1090="NEW",IF(ISNA(VLOOKUP(E1090,#REF!,1,FALSE())),"?TYPE_IDENTIFIABLE","?REFERENTIAL"),"_")))))</f>
        <v/>
      </c>
      <c r="H1090" s="13" t="str">
        <f aca="false">IF(J1090&lt;&gt;1,"",IF(I1090="SBJ","CB","?"))</f>
        <v/>
      </c>
      <c r="I1090" s="14" t="str">
        <f aca="false">IF(OR(E1090="",E1090="!!!",F1090="NEW"),"",INDEX(B$2:B1089,-1+SUMPRODUCT(MAX(ROW(E$2:E1089)*(E1090=E$2:E1089)))))</f>
        <v/>
      </c>
      <c r="J1090" s="15" t="str">
        <f aca="true">IF(OR(E1090="",E1090="!!!",F1090="NEW"),"",COUNTBLANK(OFFSET(A$1,,,SUMPRODUCT(MAX(ROW(E$2:E1090)*(E1090=E$2:E1090)))))-COUNTBLANK(OFFSET(A$1,,,SUMPRODUCT(MAX(ROW(E$1:E1089)*(E1090=E$1:E1089))))))</f>
        <v/>
      </c>
      <c r="K1090" s="15" t="str">
        <f aca="false">IF(OR(E1090="",E1090="!!!",F1090="NEW"),"",INDEX(J$1:J1089,SUMPRODUCT(MAX(ROW(E$1:E1089)*(E1090=E$1:E1089)))))</f>
        <v/>
      </c>
      <c r="L1090" s="16"/>
    </row>
    <row r="1091" customFormat="false" ht="12.75" hidden="false" customHeight="false" outlineLevel="0" collapsed="false">
      <c r="A1091" s="9" t="s">
        <v>138</v>
      </c>
      <c r="E1091" s="10" t="str">
        <f aca="false">IF(D1091="?OLD","!!!","")</f>
        <v/>
      </c>
      <c r="F1091" s="11" t="str">
        <f aca="false">IF(OR(E1091="",E1091="!!!"),"",IF(NOT(ISNA(VLOOKUP(E1091,E$1:E1090,1,FALSE()))),"OLD",IF(AND(E1091&lt;&gt;"",E1091&lt;&gt;"!!!"),"NEW","")))</f>
        <v/>
      </c>
      <c r="G1091" s="12" t="str">
        <f aca="false">IF(OR(E1091="",E1091="!!!"),"",IF(OR(J1091=0,AND(J1091=1,K1091=1),AND(J1091=1,I1091="SBJ"),AND(J1091=1,I1091=0)),"?IN_FOCUS",IF(J1091&lt;=2,"?ACTIVATED",IF(J1091&lt;&gt;"","?FAMILIAR",IF(F1091="NEW",IF(ISNA(VLOOKUP(E1091,#REF!,1,FALSE())),"?TYPE_IDENTIFIABLE","?REFERENTIAL"),"_")))))</f>
        <v/>
      </c>
      <c r="H1091" s="13" t="str">
        <f aca="false">IF(J1091&lt;&gt;1,"",IF(I1091="SBJ","CB","?"))</f>
        <v/>
      </c>
      <c r="I1091" s="14" t="str">
        <f aca="false">IF(OR(E1091="",E1091="!!!",F1091="NEW"),"",INDEX(B$2:B1090,-1+SUMPRODUCT(MAX(ROW(E$2:E1090)*(E1091=E$2:E1090)))))</f>
        <v/>
      </c>
      <c r="J1091" s="15" t="str">
        <f aca="true">IF(OR(E1091="",E1091="!!!",F1091="NEW"),"",COUNTBLANK(OFFSET(A$1,,,SUMPRODUCT(MAX(ROW(E$2:E1091)*(E1091=E$2:E1091)))))-COUNTBLANK(OFFSET(A$1,,,SUMPRODUCT(MAX(ROW(E$1:E1090)*(E1091=E$1:E1090))))))</f>
        <v/>
      </c>
      <c r="K1091" s="15" t="str">
        <f aca="false">IF(OR(E1091="",E1091="!!!",F1091="NEW"),"",INDEX(J$1:J1090,SUMPRODUCT(MAX(ROW(E$1:E1090)*(E1091=E$1:E1090)))))</f>
        <v/>
      </c>
      <c r="L1091" s="16"/>
    </row>
    <row r="1092" customFormat="false" ht="12.75" hidden="false" customHeight="false" outlineLevel="0" collapsed="false">
      <c r="E1092" s="10" t="str">
        <f aca="false">IF(D1092="?OLD","!!!","")</f>
        <v/>
      </c>
      <c r="F1092" s="11" t="str">
        <f aca="false">IF(OR(E1092="",E1092="!!!"),"",IF(NOT(ISNA(VLOOKUP(E1092,E$1:E1091,1,FALSE()))),"OLD",IF(AND(E1092&lt;&gt;"",E1092&lt;&gt;"!!!"),"NEW","")))</f>
        <v/>
      </c>
      <c r="G1092" s="12" t="str">
        <f aca="false">IF(OR(E1092="",E1092="!!!"),"",IF(OR(J1092=0,AND(J1092=1,K1092=1),AND(J1092=1,I1092="SBJ"),AND(J1092=1,I1092=0)),"?IN_FOCUS",IF(J1092&lt;=2,"?ACTIVATED",IF(J1092&lt;&gt;"","?FAMILIAR",IF(F1092="NEW",IF(ISNA(VLOOKUP(E1092,#REF!,1,FALSE())),"?TYPE_IDENTIFIABLE","?REFERENTIAL"),"_")))))</f>
        <v/>
      </c>
      <c r="H1092" s="13" t="str">
        <f aca="false">IF(J1092&lt;&gt;1,"",IF(I1092="SBJ","CB","?"))</f>
        <v/>
      </c>
      <c r="I1092" s="14" t="str">
        <f aca="false">IF(OR(E1092="",E1092="!!!",F1092="NEW"),"",INDEX(B$2:B1091,-1+SUMPRODUCT(MAX(ROW(E$2:E1091)*(E1092=E$2:E1091)))))</f>
        <v/>
      </c>
      <c r="J1092" s="15" t="str">
        <f aca="true">IF(OR(E1092="",E1092="!!!",F1092="NEW"),"",COUNTBLANK(OFFSET(A$1,,,SUMPRODUCT(MAX(ROW(E$2:E1092)*(E1092=E$2:E1092)))))-COUNTBLANK(OFFSET(A$1,,,SUMPRODUCT(MAX(ROW(E$1:E1091)*(E1092=E$1:E1091))))))</f>
        <v/>
      </c>
      <c r="K1092" s="15" t="str">
        <f aca="false">IF(OR(E1092="",E1092="!!!",F1092="NEW"),"",INDEX(J$1:J1091,SUMPRODUCT(MAX(ROW(E$1:E1091)*(E1092=E$1:E1091)))))</f>
        <v/>
      </c>
      <c r="L1092" s="16"/>
    </row>
    <row r="1093" customFormat="false" ht="12.75" hidden="false" customHeight="false" outlineLevel="0" collapsed="false">
      <c r="A1093" s="9" t="s">
        <v>132</v>
      </c>
      <c r="E1093" s="10" t="str">
        <f aca="false">IF(D1093="?OLD","!!!","")</f>
        <v/>
      </c>
      <c r="F1093" s="11" t="str">
        <f aca="false">IF(OR(E1093="",E1093="!!!"),"",IF(NOT(ISNA(VLOOKUP(E1093,E$1:E1092,1,FALSE()))),"OLD",IF(AND(E1093&lt;&gt;"",E1093&lt;&gt;"!!!"),"NEW","")))</f>
        <v/>
      </c>
      <c r="G1093" s="12" t="str">
        <f aca="false">IF(OR(E1093="",E1093="!!!"),"",IF(OR(J1093=0,AND(J1093=1,K1093=1),AND(J1093=1,I1093="SBJ"),AND(J1093=1,I1093=0)),"?IN_FOCUS",IF(J1093&lt;=2,"?ACTIVATED",IF(J1093&lt;&gt;"","?FAMILIAR",IF(F1093="NEW",IF(ISNA(VLOOKUP(E1093,#REF!,1,FALSE())),"?TYPE_IDENTIFIABLE","?REFERENTIAL"),"_")))))</f>
        <v/>
      </c>
      <c r="H1093" s="13" t="str">
        <f aca="false">IF(J1093&lt;&gt;1,"",IF(I1093="SBJ","CB","?"))</f>
        <v/>
      </c>
      <c r="I1093" s="14" t="str">
        <f aca="false">IF(OR(E1093="",E1093="!!!",F1093="NEW"),"",INDEX(B$2:B1092,-1+SUMPRODUCT(MAX(ROW(E$2:E1092)*(E1093=E$2:E1092)))))</f>
        <v/>
      </c>
      <c r="J1093" s="15" t="str">
        <f aca="true">IF(OR(E1093="",E1093="!!!",F1093="NEW"),"",COUNTBLANK(OFFSET(A$1,,,SUMPRODUCT(MAX(ROW(E$2:E1093)*(E1093=E$2:E1093)))))-COUNTBLANK(OFFSET(A$1,,,SUMPRODUCT(MAX(ROW(E$1:E1092)*(E1093=E$1:E1092))))))</f>
        <v/>
      </c>
      <c r="K1093" s="15" t="str">
        <f aca="false">IF(OR(E1093="",E1093="!!!",F1093="NEW"),"",INDEX(J$1:J1092,SUMPRODUCT(MAX(ROW(E$1:E1092)*(E1093=E$1:E1092)))))</f>
        <v/>
      </c>
      <c r="L1093" s="16"/>
    </row>
    <row r="1094" customFormat="false" ht="12.75" hidden="false" customHeight="false" outlineLevel="0" collapsed="false">
      <c r="A1094" s="9" t="s">
        <v>503</v>
      </c>
      <c r="E1094" s="10" t="str">
        <f aca="false">IF(D1094="?OLD","!!!","")</f>
        <v/>
      </c>
      <c r="F1094" s="11" t="str">
        <f aca="false">IF(OR(E1094="",E1094="!!!"),"",IF(NOT(ISNA(VLOOKUP(E1094,E$1:E1093,1,FALSE()))),"OLD",IF(AND(E1094&lt;&gt;"",E1094&lt;&gt;"!!!"),"NEW","")))</f>
        <v/>
      </c>
      <c r="G1094" s="12" t="str">
        <f aca="false">IF(OR(E1094="",E1094="!!!"),"",IF(OR(J1094=0,AND(J1094=1,K1094=1),AND(J1094=1,I1094="SBJ"),AND(J1094=1,I1094=0)),"?IN_FOCUS",IF(J1094&lt;=2,"?ACTIVATED",IF(J1094&lt;&gt;"","?FAMILIAR",IF(F1094="NEW",IF(ISNA(VLOOKUP(E1094,#REF!,1,FALSE())),"?TYPE_IDENTIFIABLE","?REFERENTIAL"),"_")))))</f>
        <v/>
      </c>
      <c r="H1094" s="13" t="str">
        <f aca="false">IF(J1094&lt;&gt;1,"",IF(I1094="SBJ","CB","?"))</f>
        <v/>
      </c>
      <c r="I1094" s="14" t="str">
        <f aca="false">IF(OR(E1094="",E1094="!!!",F1094="NEW"),"",INDEX(B$2:B1093,-1+SUMPRODUCT(MAX(ROW(E$2:E1093)*(E1094=E$2:E1093)))))</f>
        <v/>
      </c>
      <c r="J1094" s="15" t="str">
        <f aca="true">IF(OR(E1094="",E1094="!!!",F1094="NEW"),"",COUNTBLANK(OFFSET(A$1,,,SUMPRODUCT(MAX(ROW(E$2:E1094)*(E1094=E$2:E1094)))))-COUNTBLANK(OFFSET(A$1,,,SUMPRODUCT(MAX(ROW(E$1:E1093)*(E1094=E$1:E1093))))))</f>
        <v/>
      </c>
      <c r="K1094" s="15" t="str">
        <f aca="false">IF(OR(E1094="",E1094="!!!",F1094="NEW"),"",INDEX(J$1:J1093,SUMPRODUCT(MAX(ROW(E$1:E1093)*(E1094=E$1:E1093)))))</f>
        <v/>
      </c>
      <c r="L1094" s="16"/>
    </row>
    <row r="1095" customFormat="false" ht="12.75" hidden="false" customHeight="false" outlineLevel="0" collapsed="false">
      <c r="A1095" s="9" t="s">
        <v>504</v>
      </c>
      <c r="E1095" s="10" t="str">
        <f aca="false">IF(D1095="?OLD","!!!","")</f>
        <v/>
      </c>
      <c r="F1095" s="11" t="str">
        <f aca="false">IF(OR(E1095="",E1095="!!!"),"",IF(NOT(ISNA(VLOOKUP(E1095,E$1:E1094,1,FALSE()))),"OLD",IF(AND(E1095&lt;&gt;"",E1095&lt;&gt;"!!!"),"NEW","")))</f>
        <v/>
      </c>
      <c r="G1095" s="12" t="str">
        <f aca="false">IF(OR(E1095="",E1095="!!!"),"",IF(OR(J1095=0,AND(J1095=1,K1095=1),AND(J1095=1,I1095="SBJ"),AND(J1095=1,I1095=0)),"?IN_FOCUS",IF(J1095&lt;=2,"?ACTIVATED",IF(J1095&lt;&gt;"","?FAMILIAR",IF(F1095="NEW",IF(ISNA(VLOOKUP(E1095,#REF!,1,FALSE())),"?TYPE_IDENTIFIABLE","?REFERENTIAL"),"_")))))</f>
        <v/>
      </c>
      <c r="H1095" s="13" t="str">
        <f aca="false">IF(J1095&lt;&gt;1,"",IF(I1095="SBJ","CB","?"))</f>
        <v/>
      </c>
      <c r="I1095" s="14" t="str">
        <f aca="false">IF(OR(E1095="",E1095="!!!",F1095="NEW"),"",INDEX(B$2:B1094,-1+SUMPRODUCT(MAX(ROW(E$2:E1094)*(E1095=E$2:E1094)))))</f>
        <v/>
      </c>
      <c r="J1095" s="15" t="str">
        <f aca="true">IF(OR(E1095="",E1095="!!!",F1095="NEW"),"",COUNTBLANK(OFFSET(A$1,,,SUMPRODUCT(MAX(ROW(E$2:E1095)*(E1095=E$2:E1095)))))-COUNTBLANK(OFFSET(A$1,,,SUMPRODUCT(MAX(ROW(E$1:E1094)*(E1095=E$1:E1094))))))</f>
        <v/>
      </c>
      <c r="K1095" s="15" t="str">
        <f aca="false">IF(OR(E1095="",E1095="!!!",F1095="NEW"),"",INDEX(J$1:J1094,SUMPRODUCT(MAX(ROW(E$1:E1094)*(E1095=E$1:E1094)))))</f>
        <v/>
      </c>
      <c r="L1095" s="16"/>
    </row>
    <row r="1096" customFormat="false" ht="12.75" hidden="false" customHeight="false" outlineLevel="0" collapsed="false">
      <c r="A1096" s="9" t="s">
        <v>502</v>
      </c>
      <c r="E1096" s="10" t="str">
        <f aca="false">IF(D1096="?OLD","!!!","")</f>
        <v/>
      </c>
      <c r="F1096" s="11" t="str">
        <f aca="false">IF(OR(E1096="",E1096="!!!"),"",IF(NOT(ISNA(VLOOKUP(E1096,E$1:E1095,1,FALSE()))),"OLD",IF(AND(E1096&lt;&gt;"",E1096&lt;&gt;"!!!"),"NEW","")))</f>
        <v/>
      </c>
      <c r="G1096" s="12" t="str">
        <f aca="false">IF(OR(E1096="",E1096="!!!"),"",IF(OR(J1096=0,AND(J1096=1,K1096=1),AND(J1096=1,I1096="SBJ"),AND(J1096=1,I1096=0)),"?IN_FOCUS",IF(J1096&lt;=2,"?ACTIVATED",IF(J1096&lt;&gt;"","?FAMILIAR",IF(F1096="NEW",IF(ISNA(VLOOKUP(E1096,#REF!,1,FALSE())),"?TYPE_IDENTIFIABLE","?REFERENTIAL"),"_")))))</f>
        <v/>
      </c>
      <c r="H1096" s="13" t="str">
        <f aca="false">IF(J1096&lt;&gt;1,"",IF(I1096="SBJ","CB","?"))</f>
        <v/>
      </c>
      <c r="I1096" s="14" t="str">
        <f aca="false">IF(OR(E1096="",E1096="!!!",F1096="NEW"),"",INDEX(B$2:B1095,-1+SUMPRODUCT(MAX(ROW(E$2:E1095)*(E1096=E$2:E1095)))))</f>
        <v/>
      </c>
      <c r="J1096" s="15" t="str">
        <f aca="true">IF(OR(E1096="",E1096="!!!",F1096="NEW"),"",COUNTBLANK(OFFSET(A$1,,,SUMPRODUCT(MAX(ROW(E$2:E1096)*(E1096=E$2:E1096)))))-COUNTBLANK(OFFSET(A$1,,,SUMPRODUCT(MAX(ROW(E$1:E1095)*(E1096=E$1:E1095))))))</f>
        <v/>
      </c>
      <c r="K1096" s="15" t="str">
        <f aca="false">IF(OR(E1096="",E1096="!!!",F1096="NEW"),"",INDEX(J$1:J1095,SUMPRODUCT(MAX(ROW(E$1:E1095)*(E1096=E$1:E1095)))))</f>
        <v/>
      </c>
      <c r="L1096" s="16"/>
    </row>
    <row r="1097" customFormat="false" ht="12.75" hidden="false" customHeight="false" outlineLevel="0" collapsed="false">
      <c r="A1097" s="9" t="s">
        <v>40</v>
      </c>
      <c r="E1097" s="10" t="str">
        <f aca="false">IF(D1097="?OLD","!!!","")</f>
        <v/>
      </c>
      <c r="F1097" s="11" t="str">
        <f aca="false">IF(OR(E1097="",E1097="!!!"),"",IF(NOT(ISNA(VLOOKUP(E1097,E$1:E1096,1,FALSE()))),"OLD",IF(AND(E1097&lt;&gt;"",E1097&lt;&gt;"!!!"),"NEW","")))</f>
        <v/>
      </c>
      <c r="G1097" s="12" t="str">
        <f aca="false">IF(OR(E1097="",E1097="!!!"),"",IF(OR(J1097=0,AND(J1097=1,K1097=1),AND(J1097=1,I1097="SBJ"),AND(J1097=1,I1097=0)),"?IN_FOCUS",IF(J1097&lt;=2,"?ACTIVATED",IF(J1097&lt;&gt;"","?FAMILIAR",IF(F1097="NEW",IF(ISNA(VLOOKUP(E1097,#REF!,1,FALSE())),"?TYPE_IDENTIFIABLE","?REFERENTIAL"),"_")))))</f>
        <v/>
      </c>
      <c r="H1097" s="13" t="str">
        <f aca="false">IF(J1097&lt;&gt;1,"",IF(I1097="SBJ","CB","?"))</f>
        <v/>
      </c>
      <c r="I1097" s="14" t="str">
        <f aca="false">IF(OR(E1097="",E1097="!!!",F1097="NEW"),"",INDEX(B$2:B1096,-1+SUMPRODUCT(MAX(ROW(E$2:E1096)*(E1097=E$2:E1096)))))</f>
        <v/>
      </c>
      <c r="J1097" s="15" t="str">
        <f aca="true">IF(OR(E1097="",E1097="!!!",F1097="NEW"),"",COUNTBLANK(OFFSET(A$1,,,SUMPRODUCT(MAX(ROW(E$2:E1097)*(E1097=E$2:E1097)))))-COUNTBLANK(OFFSET(A$1,,,SUMPRODUCT(MAX(ROW(E$1:E1096)*(E1097=E$1:E1096))))))</f>
        <v/>
      </c>
      <c r="K1097" s="15" t="str">
        <f aca="false">IF(OR(E1097="",E1097="!!!",F1097="NEW"),"",INDEX(J$1:J1096,SUMPRODUCT(MAX(ROW(E$1:E1096)*(E1097=E$1:E1096)))))</f>
        <v/>
      </c>
      <c r="L1097" s="16"/>
    </row>
    <row r="1098" customFormat="false" ht="12.75" hidden="false" customHeight="false" outlineLevel="0" collapsed="false">
      <c r="A1098" s="9" t="s">
        <v>229</v>
      </c>
      <c r="B1098" s="0" t="s">
        <v>40</v>
      </c>
      <c r="C1098" s="0" t="s">
        <v>41</v>
      </c>
      <c r="E1098" s="10" t="str">
        <f aca="false">IF(D1098="?OLD","!!!","")</f>
        <v/>
      </c>
      <c r="F1098" s="11" t="str">
        <f aca="false">IF(OR(E1098="",E1098="!!!"),"",IF(NOT(ISNA(VLOOKUP(E1098,E$1:E1097,1,FALSE()))),"OLD",IF(AND(E1098&lt;&gt;"",E1098&lt;&gt;"!!!"),"NEW","")))</f>
        <v/>
      </c>
      <c r="G1098" s="12" t="str">
        <f aca="false">IF(OR(E1098="",E1098="!!!"),"",IF(OR(J1098=0,AND(J1098=1,K1098=1),AND(J1098=1,I1098="SBJ"),AND(J1098=1,I1098=0)),"?IN_FOCUS",IF(J1098&lt;=2,"?ACTIVATED",IF(J1098&lt;&gt;"","?FAMILIAR",IF(F1098="NEW",IF(ISNA(VLOOKUP(E1098,#REF!,1,FALSE())),"?TYPE_IDENTIFIABLE","?REFERENTIAL"),"_")))))</f>
        <v/>
      </c>
      <c r="H1098" s="13" t="str">
        <f aca="false">IF(J1098&lt;&gt;1,"",IF(I1098="SBJ","CB","?"))</f>
        <v/>
      </c>
      <c r="I1098" s="14" t="str">
        <f aca="false">IF(OR(E1098="",E1098="!!!",F1098="NEW"),"",INDEX(B$2:B1097,-1+SUMPRODUCT(MAX(ROW(E$2:E1097)*(E1098=E$2:E1097)))))</f>
        <v/>
      </c>
      <c r="J1098" s="15" t="str">
        <f aca="true">IF(OR(E1098="",E1098="!!!",F1098="NEW"),"",COUNTBLANK(OFFSET(A$1,,,SUMPRODUCT(MAX(ROW(E$2:E1098)*(E1098=E$2:E1098)))))-COUNTBLANK(OFFSET(A$1,,,SUMPRODUCT(MAX(ROW(E$1:E1097)*(E1098=E$1:E1097))))))</f>
        <v/>
      </c>
      <c r="K1098" s="15" t="str">
        <f aca="false">IF(OR(E1098="",E1098="!!!",F1098="NEW"),"",INDEX(J$1:J1097,SUMPRODUCT(MAX(ROW(E$1:E1097)*(E1098=E$1:E1097)))))</f>
        <v/>
      </c>
      <c r="L1098" s="16"/>
    </row>
    <row r="1099" customFormat="false" ht="12.75" hidden="false" customHeight="false" outlineLevel="0" collapsed="false">
      <c r="A1099" s="9" t="s">
        <v>362</v>
      </c>
      <c r="B1099" s="0" t="s">
        <v>30</v>
      </c>
      <c r="C1099" s="0" t="s">
        <v>31</v>
      </c>
      <c r="D1099" s="0" t="s">
        <v>19</v>
      </c>
      <c r="E1099" s="10" t="s">
        <v>205</v>
      </c>
      <c r="F1099" s="11" t="str">
        <f aca="false">IF(OR(E1099="",E1099="!!!"),"",IF(NOT(ISNA(VLOOKUP(E1099,E$1:E1098,1,FALSE()))),"OLD",IF(AND(E1099&lt;&gt;"",E1099&lt;&gt;"!!!"),"NEW","")))</f>
        <v>OLD</v>
      </c>
      <c r="G1099" s="12" t="s">
        <v>33</v>
      </c>
      <c r="H1099" s="13" t="str">
        <f aca="false">IF(J1099&lt;&gt;1,"",IF(I1099="SBJ","CB","?"))</f>
        <v/>
      </c>
      <c r="I1099" s="14" t="str">
        <f aca="false">IF(OR(E1099="",E1099="!!!",F1099="NEW"),"",INDEX(B$2:B1098,-1+SUMPRODUCT(MAX(ROW(E$2:E1098)*(E1099=E$2:E1098)))))</f>
        <v>SBJ</v>
      </c>
      <c r="J1099" s="15" t="n">
        <f aca="true">IF(OR(E1099="",E1099="!!!",F1099="NEW"),"",COUNTBLANK(OFFSET(A$1,,,SUMPRODUCT(MAX(ROW(E$2:E1099)*(E1099=E$2:E1099)))))-COUNTBLANK(OFFSET(A$1,,,SUMPRODUCT(MAX(ROW(E$1:E1098)*(E1099=E$1:E1098))))))</f>
        <v>2</v>
      </c>
      <c r="K1099" s="15" t="n">
        <f aca="false">IF(OR(E1099="",E1099="!!!",F1099="NEW"),"",INDEX(J$1:J1098,SUMPRODUCT(MAX(ROW(E$1:E1098)*(E1099=E$1:E1098)))))</f>
        <v>1</v>
      </c>
      <c r="L1099" s="16"/>
    </row>
    <row r="1100" customFormat="false" ht="12.75" hidden="false" customHeight="false" outlineLevel="0" collapsed="false">
      <c r="A1100" s="9" t="s">
        <v>505</v>
      </c>
      <c r="E1100" s="10" t="str">
        <f aca="false">IF(D1100="?OLD","!!!","")</f>
        <v/>
      </c>
      <c r="F1100" s="11" t="str">
        <f aca="false">IF(OR(E1100="",E1100="!!!"),"",IF(NOT(ISNA(VLOOKUP(E1100,E$1:E1099,1,FALSE()))),"OLD",IF(AND(E1100&lt;&gt;"",E1100&lt;&gt;"!!!"),"NEW","")))</f>
        <v/>
      </c>
      <c r="G1100" s="12" t="str">
        <f aca="false">IF(OR(E1100="",E1100="!!!"),"",IF(OR(J1100=0,AND(J1100=1,K1100=1),AND(J1100=1,I1100="SBJ"),AND(J1100=1,I1100=0)),"?IN_FOCUS",IF(J1100&lt;=2,"?ACTIVATED",IF(J1100&lt;&gt;"","?FAMILIAR",IF(F1100="NEW",IF(ISNA(VLOOKUP(E1100,#REF!,1,FALSE())),"?TYPE_IDENTIFIABLE","?REFERENTIAL"),"_")))))</f>
        <v/>
      </c>
      <c r="H1100" s="13" t="str">
        <f aca="false">IF(J1100&lt;&gt;1,"",IF(I1100="SBJ","CB","?"))</f>
        <v/>
      </c>
      <c r="I1100" s="14" t="str">
        <f aca="false">IF(OR(E1100="",E1100="!!!",F1100="NEW"),"",INDEX(B$2:B1099,-1+SUMPRODUCT(MAX(ROW(E$2:E1099)*(E1100=E$2:E1099)))))</f>
        <v/>
      </c>
      <c r="J1100" s="15" t="str">
        <f aca="true">IF(OR(E1100="",E1100="!!!",F1100="NEW"),"",COUNTBLANK(OFFSET(A$1,,,SUMPRODUCT(MAX(ROW(E$2:E1100)*(E1100=E$2:E1100)))))-COUNTBLANK(OFFSET(A$1,,,SUMPRODUCT(MAX(ROW(E$1:E1099)*(E1100=E$1:E1099))))))</f>
        <v/>
      </c>
      <c r="K1100" s="15" t="str">
        <f aca="false">IF(OR(E1100="",E1100="!!!",F1100="NEW"),"",INDEX(J$1:J1099,SUMPRODUCT(MAX(ROW(E$1:E1099)*(E1100=E$1:E1099)))))</f>
        <v/>
      </c>
      <c r="L1100" s="16"/>
    </row>
    <row r="1101" customFormat="false" ht="12.75" hidden="false" customHeight="false" outlineLevel="0" collapsed="false">
      <c r="A1101" s="9" t="s">
        <v>28</v>
      </c>
      <c r="E1101" s="10" t="str">
        <f aca="false">IF(D1101="?OLD","!!!","")</f>
        <v/>
      </c>
      <c r="F1101" s="11" t="str">
        <f aca="false">IF(OR(E1101="",E1101="!!!"),"",IF(NOT(ISNA(VLOOKUP(E1101,E$1:E1100,1,FALSE()))),"OLD",IF(AND(E1101&lt;&gt;"",E1101&lt;&gt;"!!!"),"NEW","")))</f>
        <v/>
      </c>
      <c r="G1101" s="12" t="str">
        <f aca="false">IF(OR(E1101="",E1101="!!!"),"",IF(OR(J1101=0,AND(J1101=1,K1101=1),AND(J1101=1,I1101="SBJ"),AND(J1101=1,I1101=0)),"?IN_FOCUS",IF(J1101&lt;=2,"?ACTIVATED",IF(J1101&lt;&gt;"","?FAMILIAR",IF(F1101="NEW",IF(ISNA(VLOOKUP(E1101,#REF!,1,FALSE())),"?TYPE_IDENTIFIABLE","?REFERENTIAL"),"_")))))</f>
        <v/>
      </c>
      <c r="H1101" s="13" t="str">
        <f aca="false">IF(J1101&lt;&gt;1,"",IF(I1101="SBJ","CB","?"))</f>
        <v/>
      </c>
      <c r="I1101" s="14" t="str">
        <f aca="false">IF(OR(E1101="",E1101="!!!",F1101="NEW"),"",INDEX(B$2:B1100,-1+SUMPRODUCT(MAX(ROW(E$2:E1100)*(E1101=E$2:E1100)))))</f>
        <v/>
      </c>
      <c r="J1101" s="15" t="str">
        <f aca="true">IF(OR(E1101="",E1101="!!!",F1101="NEW"),"",COUNTBLANK(OFFSET(A$1,,,SUMPRODUCT(MAX(ROW(E$2:E1101)*(E1101=E$2:E1101)))))-COUNTBLANK(OFFSET(A$1,,,SUMPRODUCT(MAX(ROW(E$1:E1100)*(E1101=E$1:E1100))))))</f>
        <v/>
      </c>
      <c r="K1101" s="15" t="str">
        <f aca="false">IF(OR(E1101="",E1101="!!!",F1101="NEW"),"",INDEX(J$1:J1100,SUMPRODUCT(MAX(ROW(E$1:E1100)*(E1101=E$1:E1100)))))</f>
        <v/>
      </c>
      <c r="L1101" s="16"/>
    </row>
    <row r="1102" customFormat="false" ht="12.75" hidden="false" customHeight="false" outlineLevel="0" collapsed="false">
      <c r="A1102" s="9" t="s">
        <v>63</v>
      </c>
      <c r="E1102" s="10" t="str">
        <f aca="false">IF(D1102="?OLD","!!!","")</f>
        <v/>
      </c>
      <c r="F1102" s="11" t="str">
        <f aca="false">IF(OR(E1102="",E1102="!!!"),"",IF(NOT(ISNA(VLOOKUP(E1102,E$1:E1101,1,FALSE()))),"OLD",IF(AND(E1102&lt;&gt;"",E1102&lt;&gt;"!!!"),"NEW","")))</f>
        <v/>
      </c>
      <c r="G1102" s="12" t="str">
        <f aca="false">IF(OR(E1102="",E1102="!!!"),"",IF(OR(J1102=0,AND(J1102=1,K1102=1),AND(J1102=1,I1102="SBJ"),AND(J1102=1,I1102=0)),"?IN_FOCUS",IF(J1102&lt;=2,"?ACTIVATED",IF(J1102&lt;&gt;"","?FAMILIAR",IF(F1102="NEW",IF(ISNA(VLOOKUP(E1102,#REF!,1,FALSE())),"?TYPE_IDENTIFIABLE","?REFERENTIAL"),"_")))))</f>
        <v/>
      </c>
      <c r="H1102" s="13" t="str">
        <f aca="false">IF(J1102&lt;&gt;1,"",IF(I1102="SBJ","CB","?"))</f>
        <v/>
      </c>
      <c r="I1102" s="14" t="str">
        <f aca="false">IF(OR(E1102="",E1102="!!!",F1102="NEW"),"",INDEX(B$2:B1101,-1+SUMPRODUCT(MAX(ROW(E$2:E1101)*(E1102=E$2:E1101)))))</f>
        <v/>
      </c>
      <c r="J1102" s="15" t="str">
        <f aca="true">IF(OR(E1102="",E1102="!!!",F1102="NEW"),"",COUNTBLANK(OFFSET(A$1,,,SUMPRODUCT(MAX(ROW(E$2:E1102)*(E1102=E$2:E1102)))))-COUNTBLANK(OFFSET(A$1,,,SUMPRODUCT(MAX(ROW(E$1:E1101)*(E1102=E$1:E1101))))))</f>
        <v/>
      </c>
      <c r="K1102" s="15" t="str">
        <f aca="false">IF(OR(E1102="",E1102="!!!",F1102="NEW"),"",INDEX(J$1:J1101,SUMPRODUCT(MAX(ROW(E$1:E1101)*(E1102=E$1:E1101)))))</f>
        <v/>
      </c>
      <c r="L1102" s="16"/>
    </row>
    <row r="1103" customFormat="false" ht="12.75" hidden="false" customHeight="false" outlineLevel="0" collapsed="false">
      <c r="A1103" s="9" t="s">
        <v>506</v>
      </c>
      <c r="E1103" s="10" t="str">
        <f aca="false">IF(D1103="?OLD","!!!","")</f>
        <v/>
      </c>
      <c r="F1103" s="11" t="str">
        <f aca="false">IF(OR(E1103="",E1103="!!!"),"",IF(NOT(ISNA(VLOOKUP(E1103,E$1:E1102,1,FALSE()))),"OLD",IF(AND(E1103&lt;&gt;"",E1103&lt;&gt;"!!!"),"NEW","")))</f>
        <v/>
      </c>
      <c r="G1103" s="12" t="str">
        <f aca="false">IF(OR(E1103="",E1103="!!!"),"",IF(OR(J1103=0,AND(J1103=1,K1103=1),AND(J1103=1,I1103="SBJ"),AND(J1103=1,I1103=0)),"?IN_FOCUS",IF(J1103&lt;=2,"?ACTIVATED",IF(J1103&lt;&gt;"","?FAMILIAR",IF(F1103="NEW",IF(ISNA(VLOOKUP(E1103,#REF!,1,FALSE())),"?TYPE_IDENTIFIABLE","?REFERENTIAL"),"_")))))</f>
        <v/>
      </c>
      <c r="H1103" s="13" t="str">
        <f aca="false">IF(J1103&lt;&gt;1,"",IF(I1103="SBJ","CB","?"))</f>
        <v/>
      </c>
      <c r="I1103" s="14" t="str">
        <f aca="false">IF(OR(E1103="",E1103="!!!",F1103="NEW"),"",INDEX(B$2:B1102,-1+SUMPRODUCT(MAX(ROW(E$2:E1102)*(E1103=E$2:E1102)))))</f>
        <v/>
      </c>
      <c r="J1103" s="15" t="str">
        <f aca="true">IF(OR(E1103="",E1103="!!!",F1103="NEW"),"",COUNTBLANK(OFFSET(A$1,,,SUMPRODUCT(MAX(ROW(E$2:E1103)*(E1103=E$2:E1103)))))-COUNTBLANK(OFFSET(A$1,,,SUMPRODUCT(MAX(ROW(E$1:E1102)*(E1103=E$1:E1102))))))</f>
        <v/>
      </c>
      <c r="K1103" s="15" t="str">
        <f aca="false">IF(OR(E1103="",E1103="!!!",F1103="NEW"),"",INDEX(J$1:J1102,SUMPRODUCT(MAX(ROW(E$1:E1102)*(E1103=E$1:E1102)))))</f>
        <v/>
      </c>
      <c r="L1103" s="16"/>
    </row>
    <row r="1104" customFormat="false" ht="12.75" hidden="false" customHeight="false" outlineLevel="0" collapsed="false">
      <c r="A1104" s="9" t="s">
        <v>79</v>
      </c>
      <c r="B1104" s="0" t="s">
        <v>55</v>
      </c>
      <c r="C1104" s="0" t="s">
        <v>31</v>
      </c>
      <c r="D1104" s="0" t="s">
        <v>19</v>
      </c>
      <c r="E1104" s="10" t="s">
        <v>32</v>
      </c>
      <c r="F1104" s="11" t="str">
        <f aca="false">IF(OR(E1104="",E1104="!!!"),"",IF(NOT(ISNA(VLOOKUP(E1104,E$1:E1103,1,FALSE()))),"OLD",IF(AND(E1104&lt;&gt;"",E1104&lt;&gt;"!!!"),"NEW","")))</f>
        <v>OLD</v>
      </c>
      <c r="G1104" s="12" t="s">
        <v>33</v>
      </c>
      <c r="H1104" s="13" t="s">
        <v>7</v>
      </c>
      <c r="I1104" s="14" t="str">
        <f aca="false">IF(OR(E1104="",E1104="!!!",F1104="NEW"),"",INDEX(B$2:B1103,-1+SUMPRODUCT(MAX(ROW(E$2:E1103)*(E1104=E$2:E1103)))))</f>
        <v>other_4</v>
      </c>
      <c r="J1104" s="15" t="n">
        <f aca="true">IF(OR(E1104="",E1104="!!!",F1104="NEW"),"",COUNTBLANK(OFFSET(A$1,,,SUMPRODUCT(MAX(ROW(E$2:E1104)*(E1104=E$2:E1104)))))-COUNTBLANK(OFFSET(A$1,,,SUMPRODUCT(MAX(ROW(E$1:E1103)*(E1104=E$1:E1103))))))</f>
        <v>1</v>
      </c>
      <c r="K1104" s="15" t="n">
        <f aca="false">IF(OR(E1104="",E1104="!!!",F1104="NEW"),"",INDEX(J$1:J1103,SUMPRODUCT(MAX(ROW(E$1:E1103)*(E1104=E$1:E1103)))))</f>
        <v>0</v>
      </c>
      <c r="L1104" s="16"/>
    </row>
    <row r="1105" customFormat="false" ht="12.75" hidden="false" customHeight="false" outlineLevel="0" collapsed="false">
      <c r="A1105" s="9" t="s">
        <v>28</v>
      </c>
      <c r="E1105" s="10" t="str">
        <f aca="false">IF(D1105="?OLD","!!!","")</f>
        <v/>
      </c>
      <c r="F1105" s="11" t="str">
        <f aca="false">IF(OR(E1105="",E1105="!!!"),"",IF(NOT(ISNA(VLOOKUP(E1105,E$1:E1104,1,FALSE()))),"OLD",IF(AND(E1105&lt;&gt;"",E1105&lt;&gt;"!!!"),"NEW","")))</f>
        <v/>
      </c>
      <c r="G1105" s="12" t="str">
        <f aca="false">IF(OR(E1105="",E1105="!!!"),"",IF(OR(J1105=0,AND(J1105=1,K1105=1),AND(J1105=1,I1105="SBJ"),AND(J1105=1,I1105=0)),"?IN_FOCUS",IF(J1105&lt;=2,"?ACTIVATED",IF(J1105&lt;&gt;"","?FAMILIAR",IF(F1105="NEW",IF(ISNA(VLOOKUP(E1105,#REF!,1,FALSE())),"?TYPE_IDENTIFIABLE","?REFERENTIAL"),"_")))))</f>
        <v/>
      </c>
      <c r="H1105" s="13" t="str">
        <f aca="false">IF(J1105&lt;&gt;1,"",IF(I1105="SBJ","CB","?"))</f>
        <v/>
      </c>
      <c r="I1105" s="14" t="str">
        <f aca="false">IF(OR(E1105="",E1105="!!!",F1105="NEW"),"",INDEX(B$2:B1104,-1+SUMPRODUCT(MAX(ROW(E$2:E1104)*(E1105=E$2:E1104)))))</f>
        <v/>
      </c>
      <c r="J1105" s="15" t="str">
        <f aca="true">IF(OR(E1105="",E1105="!!!",F1105="NEW"),"",COUNTBLANK(OFFSET(A$1,,,SUMPRODUCT(MAX(ROW(E$2:E1105)*(E1105=E$2:E1105)))))-COUNTBLANK(OFFSET(A$1,,,SUMPRODUCT(MAX(ROW(E$1:E1104)*(E1105=E$1:E1104))))))</f>
        <v/>
      </c>
      <c r="K1105" s="15" t="str">
        <f aca="false">IF(OR(E1105="",E1105="!!!",F1105="NEW"),"",INDEX(J$1:J1104,SUMPRODUCT(MAX(ROW(E$1:E1104)*(E1105=E$1:E1104)))))</f>
        <v/>
      </c>
      <c r="L1105" s="16"/>
    </row>
    <row r="1106" customFormat="false" ht="12.75" hidden="false" customHeight="false" outlineLevel="0" collapsed="false">
      <c r="A1106" s="9" t="s">
        <v>136</v>
      </c>
      <c r="E1106" s="10" t="str">
        <f aca="false">IF(D1106="?OLD","!!!","")</f>
        <v/>
      </c>
      <c r="F1106" s="11" t="str">
        <f aca="false">IF(OR(E1106="",E1106="!!!"),"",IF(NOT(ISNA(VLOOKUP(E1106,E$1:E1105,1,FALSE()))),"OLD",IF(AND(E1106&lt;&gt;"",E1106&lt;&gt;"!!!"),"NEW","")))</f>
        <v/>
      </c>
      <c r="G1106" s="12" t="str">
        <f aca="false">IF(OR(E1106="",E1106="!!!"),"",IF(OR(J1106=0,AND(J1106=1,K1106=1),AND(J1106=1,I1106="SBJ"),AND(J1106=1,I1106=0)),"?IN_FOCUS",IF(J1106&lt;=2,"?ACTIVATED",IF(J1106&lt;&gt;"","?FAMILIAR",IF(F1106="NEW",IF(ISNA(VLOOKUP(E1106,#REF!,1,FALSE())),"?TYPE_IDENTIFIABLE","?REFERENTIAL"),"_")))))</f>
        <v/>
      </c>
      <c r="H1106" s="13" t="str">
        <f aca="false">IF(J1106&lt;&gt;1,"",IF(I1106="SBJ","CB","?"))</f>
        <v/>
      </c>
      <c r="I1106" s="14" t="str">
        <f aca="false">IF(OR(E1106="",E1106="!!!",F1106="NEW"),"",INDEX(B$2:B1105,-1+SUMPRODUCT(MAX(ROW(E$2:E1105)*(E1106=E$2:E1105)))))</f>
        <v/>
      </c>
      <c r="J1106" s="15" t="str">
        <f aca="true">IF(OR(E1106="",E1106="!!!",F1106="NEW"),"",COUNTBLANK(OFFSET(A$1,,,SUMPRODUCT(MAX(ROW(E$2:E1106)*(E1106=E$2:E1106)))))-COUNTBLANK(OFFSET(A$1,,,SUMPRODUCT(MAX(ROW(E$1:E1105)*(E1106=E$1:E1105))))))</f>
        <v/>
      </c>
      <c r="K1106" s="15" t="str">
        <f aca="false">IF(OR(E1106="",E1106="!!!",F1106="NEW"),"",INDEX(J$1:J1105,SUMPRODUCT(MAX(ROW(E$1:E1105)*(E1106=E$1:E1105)))))</f>
        <v/>
      </c>
      <c r="L1106" s="16"/>
    </row>
    <row r="1107" customFormat="false" ht="12.75" hidden="false" customHeight="false" outlineLevel="0" collapsed="false">
      <c r="A1107" s="9" t="s">
        <v>28</v>
      </c>
      <c r="E1107" s="10" t="str">
        <f aca="false">IF(D1107="?OLD","!!!","")</f>
        <v/>
      </c>
      <c r="F1107" s="11" t="str">
        <f aca="false">IF(OR(E1107="",E1107="!!!"),"",IF(NOT(ISNA(VLOOKUP(E1107,E$1:E1106,1,FALSE()))),"OLD",IF(AND(E1107&lt;&gt;"",E1107&lt;&gt;"!!!"),"NEW","")))</f>
        <v/>
      </c>
      <c r="G1107" s="12" t="str">
        <f aca="false">IF(OR(E1107="",E1107="!!!"),"",IF(OR(J1107=0,AND(J1107=1,K1107=1),AND(J1107=1,I1107="SBJ"),AND(J1107=1,I1107=0)),"?IN_FOCUS",IF(J1107&lt;=2,"?ACTIVATED",IF(J1107&lt;&gt;"","?FAMILIAR",IF(F1107="NEW",IF(ISNA(VLOOKUP(E1107,#REF!,1,FALSE())),"?TYPE_IDENTIFIABLE","?REFERENTIAL"),"_")))))</f>
        <v/>
      </c>
      <c r="H1107" s="13" t="str">
        <f aca="false">IF(J1107&lt;&gt;1,"",IF(I1107="SBJ","CB","?"))</f>
        <v/>
      </c>
      <c r="I1107" s="14" t="str">
        <f aca="false">IF(OR(E1107="",E1107="!!!",F1107="NEW"),"",INDEX(B$2:B1106,-1+SUMPRODUCT(MAX(ROW(E$2:E1106)*(E1107=E$2:E1106)))))</f>
        <v/>
      </c>
      <c r="J1107" s="15" t="str">
        <f aca="true">IF(OR(E1107="",E1107="!!!",F1107="NEW"),"",COUNTBLANK(OFFSET(A$1,,,SUMPRODUCT(MAX(ROW(E$2:E1107)*(E1107=E$2:E1107)))))-COUNTBLANK(OFFSET(A$1,,,SUMPRODUCT(MAX(ROW(E$1:E1106)*(E1107=E$1:E1106))))))</f>
        <v/>
      </c>
      <c r="K1107" s="15" t="str">
        <f aca="false">IF(OR(E1107="",E1107="!!!",F1107="NEW"),"",INDEX(J$1:J1106,SUMPRODUCT(MAX(ROW(E$1:E1106)*(E1107=E$1:E1106)))))</f>
        <v/>
      </c>
      <c r="L1107" s="16"/>
    </row>
    <row r="1108" customFormat="false" ht="12.75" hidden="false" customHeight="false" outlineLevel="0" collapsed="false">
      <c r="A1108" s="9" t="s">
        <v>138</v>
      </c>
      <c r="E1108" s="10" t="str">
        <f aca="false">IF(D1108="?OLD","!!!","")</f>
        <v/>
      </c>
      <c r="F1108" s="11" t="str">
        <f aca="false">IF(OR(E1108="",E1108="!!!"),"",IF(NOT(ISNA(VLOOKUP(E1108,E$1:E1107,1,FALSE()))),"OLD",IF(AND(E1108&lt;&gt;"",E1108&lt;&gt;"!!!"),"NEW","")))</f>
        <v/>
      </c>
      <c r="G1108" s="12" t="str">
        <f aca="false">IF(OR(E1108="",E1108="!!!"),"",IF(OR(J1108=0,AND(J1108=1,K1108=1),AND(J1108=1,I1108="SBJ"),AND(J1108=1,I1108=0)),"?IN_FOCUS",IF(J1108&lt;=2,"?ACTIVATED",IF(J1108&lt;&gt;"","?FAMILIAR",IF(F1108="NEW",IF(ISNA(VLOOKUP(E1108,#REF!,1,FALSE())),"?TYPE_IDENTIFIABLE","?REFERENTIAL"),"_")))))</f>
        <v/>
      </c>
      <c r="H1108" s="13" t="str">
        <f aca="false">IF(J1108&lt;&gt;1,"",IF(I1108="SBJ","CB","?"))</f>
        <v/>
      </c>
      <c r="I1108" s="14" t="str">
        <f aca="false">IF(OR(E1108="",E1108="!!!",F1108="NEW"),"",INDEX(B$2:B1107,-1+SUMPRODUCT(MAX(ROW(E$2:E1107)*(E1108=E$2:E1107)))))</f>
        <v/>
      </c>
      <c r="J1108" s="15" t="str">
        <f aca="true">IF(OR(E1108="",E1108="!!!",F1108="NEW"),"",COUNTBLANK(OFFSET(A$1,,,SUMPRODUCT(MAX(ROW(E$2:E1108)*(E1108=E$2:E1108)))))-COUNTBLANK(OFFSET(A$1,,,SUMPRODUCT(MAX(ROW(E$1:E1107)*(E1108=E$1:E1107))))))</f>
        <v/>
      </c>
      <c r="K1108" s="15" t="str">
        <f aca="false">IF(OR(E1108="",E1108="!!!",F1108="NEW"),"",INDEX(J$1:J1107,SUMPRODUCT(MAX(ROW(E$1:E1107)*(E1108=E$1:E1107)))))</f>
        <v/>
      </c>
      <c r="L1108" s="16"/>
    </row>
    <row r="1109" customFormat="false" ht="12.75" hidden="false" customHeight="false" outlineLevel="0" collapsed="false">
      <c r="A1109" s="9" t="s">
        <v>507</v>
      </c>
      <c r="E1109" s="10" t="str">
        <f aca="false">IF(D1109="?OLD","!!!","")</f>
        <v/>
      </c>
      <c r="F1109" s="11" t="str">
        <f aca="false">IF(OR(E1109="",E1109="!!!"),"",IF(NOT(ISNA(VLOOKUP(E1109,E$1:E1108,1,FALSE()))),"OLD",IF(AND(E1109&lt;&gt;"",E1109&lt;&gt;"!!!"),"NEW","")))</f>
        <v/>
      </c>
      <c r="G1109" s="12" t="str">
        <f aca="false">IF(OR(E1109="",E1109="!!!"),"",IF(OR(J1109=0,AND(J1109=1,K1109=1),AND(J1109=1,I1109="SBJ"),AND(J1109=1,I1109=0)),"?IN_FOCUS",IF(J1109&lt;=2,"?ACTIVATED",IF(J1109&lt;&gt;"","?FAMILIAR",IF(F1109="NEW",IF(ISNA(VLOOKUP(E1109,#REF!,1,FALSE())),"?TYPE_IDENTIFIABLE","?REFERENTIAL"),"_")))))</f>
        <v/>
      </c>
      <c r="H1109" s="13" t="str">
        <f aca="false">IF(J1109&lt;&gt;1,"",IF(I1109="SBJ","CB","?"))</f>
        <v/>
      </c>
      <c r="I1109" s="14" t="str">
        <f aca="false">IF(OR(E1109="",E1109="!!!",F1109="NEW"),"",INDEX(B$2:B1108,-1+SUMPRODUCT(MAX(ROW(E$2:E1108)*(E1109=E$2:E1108)))))</f>
        <v/>
      </c>
      <c r="J1109" s="15" t="str">
        <f aca="true">IF(OR(E1109="",E1109="!!!",F1109="NEW"),"",COUNTBLANK(OFFSET(A$1,,,SUMPRODUCT(MAX(ROW(E$2:E1109)*(E1109=E$2:E1109)))))-COUNTBLANK(OFFSET(A$1,,,SUMPRODUCT(MAX(ROW(E$1:E1108)*(E1109=E$1:E1108))))))</f>
        <v/>
      </c>
      <c r="K1109" s="15" t="str">
        <f aca="false">IF(OR(E1109="",E1109="!!!",F1109="NEW"),"",INDEX(J$1:J1108,SUMPRODUCT(MAX(ROW(E$1:E1108)*(E1109=E$1:E1108)))))</f>
        <v/>
      </c>
      <c r="L1109" s="16"/>
    </row>
    <row r="1110" customFormat="false" ht="12.75" hidden="false" customHeight="false" outlineLevel="0" collapsed="false">
      <c r="A1110" s="9" t="s">
        <v>338</v>
      </c>
      <c r="B1110" s="0" t="s">
        <v>145</v>
      </c>
      <c r="E1110" s="10" t="str">
        <f aca="false">IF(D1110="?OLD","!!!","")</f>
        <v/>
      </c>
      <c r="F1110" s="11" t="str">
        <f aca="false">IF(OR(E1110="",E1110="!!!"),"",IF(NOT(ISNA(VLOOKUP(E1110,E$1:E1109,1,FALSE()))),"OLD",IF(AND(E1110&lt;&gt;"",E1110&lt;&gt;"!!!"),"NEW","")))</f>
        <v/>
      </c>
      <c r="G1110" s="12" t="str">
        <f aca="false">IF(OR(E1110="",E1110="!!!"),"",IF(OR(J1110=0,AND(J1110=1,K1110=1),AND(J1110=1,I1110="SBJ"),AND(J1110=1,I1110=0)),"?IN_FOCUS",IF(J1110&lt;=2,"?ACTIVATED",IF(J1110&lt;&gt;"","?FAMILIAR",IF(F1110="NEW",IF(ISNA(VLOOKUP(E1110,#REF!,1,FALSE())),"?TYPE_IDENTIFIABLE","?REFERENTIAL"),"_")))))</f>
        <v/>
      </c>
      <c r="H1110" s="13" t="str">
        <f aca="false">IF(J1110&lt;&gt;1,"",IF(I1110="SBJ","CB","?"))</f>
        <v/>
      </c>
      <c r="I1110" s="14" t="str">
        <f aca="false">IF(OR(E1110="",E1110="!!!",F1110="NEW"),"",INDEX(B$2:B1109,-1+SUMPRODUCT(MAX(ROW(E$2:E1109)*(E1110=E$2:E1109)))))</f>
        <v/>
      </c>
      <c r="J1110" s="15" t="str">
        <f aca="true">IF(OR(E1110="",E1110="!!!",F1110="NEW"),"",COUNTBLANK(OFFSET(A$1,,,SUMPRODUCT(MAX(ROW(E$2:E1110)*(E1110=E$2:E1110)))))-COUNTBLANK(OFFSET(A$1,,,SUMPRODUCT(MAX(ROW(E$1:E1109)*(E1110=E$1:E1109))))))</f>
        <v/>
      </c>
      <c r="K1110" s="15" t="str">
        <f aca="false">IF(OR(E1110="",E1110="!!!",F1110="NEW"),"",INDEX(J$1:J1109,SUMPRODUCT(MAX(ROW(E$1:E1109)*(E1110=E$1:E1109)))))</f>
        <v/>
      </c>
      <c r="L1110" s="16"/>
    </row>
    <row r="1111" customFormat="false" ht="12.75" hidden="false" customHeight="false" outlineLevel="0" collapsed="false">
      <c r="A1111" s="9" t="s">
        <v>49</v>
      </c>
      <c r="E1111" s="10" t="str">
        <f aca="false">IF(D1111="?OLD","!!!","")</f>
        <v/>
      </c>
      <c r="F1111" s="11" t="str">
        <f aca="false">IF(OR(E1111="",E1111="!!!"),"",IF(NOT(ISNA(VLOOKUP(E1111,E$1:E1110,1,FALSE()))),"OLD",IF(AND(E1111&lt;&gt;"",E1111&lt;&gt;"!!!"),"NEW","")))</f>
        <v/>
      </c>
      <c r="G1111" s="12" t="str">
        <f aca="false">IF(OR(E1111="",E1111="!!!"),"",IF(OR(J1111=0,AND(J1111=1,K1111=1),AND(J1111=1,I1111="SBJ"),AND(J1111=1,I1111=0)),"?IN_FOCUS",IF(J1111&lt;=2,"?ACTIVATED",IF(J1111&lt;&gt;"","?FAMILIAR",IF(F1111="NEW",IF(ISNA(VLOOKUP(E1111,#REF!,1,FALSE())),"?TYPE_IDENTIFIABLE","?REFERENTIAL"),"_")))))</f>
        <v/>
      </c>
      <c r="H1111" s="13" t="str">
        <f aca="false">IF(J1111&lt;&gt;1,"",IF(I1111="SBJ","CB","?"))</f>
        <v/>
      </c>
      <c r="I1111" s="14" t="str">
        <f aca="false">IF(OR(E1111="",E1111="!!!",F1111="NEW"),"",INDEX(B$2:B1110,-1+SUMPRODUCT(MAX(ROW(E$2:E1110)*(E1111=E$2:E1110)))))</f>
        <v/>
      </c>
      <c r="J1111" s="15" t="str">
        <f aca="true">IF(OR(E1111="",E1111="!!!",F1111="NEW"),"",COUNTBLANK(OFFSET(A$1,,,SUMPRODUCT(MAX(ROW(E$2:E1111)*(E1111=E$2:E1111)))))-COUNTBLANK(OFFSET(A$1,,,SUMPRODUCT(MAX(ROW(E$1:E1110)*(E1111=E$1:E1110))))))</f>
        <v/>
      </c>
      <c r="K1111" s="15" t="str">
        <f aca="false">IF(OR(E1111="",E1111="!!!",F1111="NEW"),"",INDEX(J$1:J1110,SUMPRODUCT(MAX(ROW(E$1:E1110)*(E1111=E$1:E1110)))))</f>
        <v/>
      </c>
      <c r="L1111" s="16"/>
    </row>
    <row r="1112" customFormat="false" ht="12.75" hidden="false" customHeight="false" outlineLevel="0" collapsed="false">
      <c r="A1112" s="9" t="s">
        <v>113</v>
      </c>
      <c r="E1112" s="10" t="str">
        <f aca="false">IF(D1112="?OLD","!!!","")</f>
        <v/>
      </c>
      <c r="F1112" s="11" t="str">
        <f aca="false">IF(OR(E1112="",E1112="!!!"),"",IF(NOT(ISNA(VLOOKUP(E1112,E$1:E1111,1,FALSE()))),"OLD",IF(AND(E1112&lt;&gt;"",E1112&lt;&gt;"!!!"),"NEW","")))</f>
        <v/>
      </c>
      <c r="G1112" s="12" t="str">
        <f aca="false">IF(OR(E1112="",E1112="!!!"),"",IF(OR(J1112=0,AND(J1112=1,K1112=1),AND(J1112=1,I1112="SBJ"),AND(J1112=1,I1112=0)),"?IN_FOCUS",IF(J1112&lt;=2,"?ACTIVATED",IF(J1112&lt;&gt;"","?FAMILIAR",IF(F1112="NEW",IF(ISNA(VLOOKUP(E1112,#REF!,1,FALSE())),"?TYPE_IDENTIFIABLE","?REFERENTIAL"),"_")))))</f>
        <v/>
      </c>
      <c r="H1112" s="13" t="str">
        <f aca="false">IF(J1112&lt;&gt;1,"",IF(I1112="SBJ","CB","?"))</f>
        <v/>
      </c>
      <c r="I1112" s="14" t="str">
        <f aca="false">IF(OR(E1112="",E1112="!!!",F1112="NEW"),"",INDEX(B$2:B1111,-1+SUMPRODUCT(MAX(ROW(E$2:E1111)*(E1112=E$2:E1111)))))</f>
        <v/>
      </c>
      <c r="J1112" s="15" t="str">
        <f aca="true">IF(OR(E1112="",E1112="!!!",F1112="NEW"),"",COUNTBLANK(OFFSET(A$1,,,SUMPRODUCT(MAX(ROW(E$2:E1112)*(E1112=E$2:E1112)))))-COUNTBLANK(OFFSET(A$1,,,SUMPRODUCT(MAX(ROW(E$1:E1111)*(E1112=E$1:E1111))))))</f>
        <v/>
      </c>
      <c r="K1112" s="15" t="str">
        <f aca="false">IF(OR(E1112="",E1112="!!!",F1112="NEW"),"",INDEX(J$1:J1111,SUMPRODUCT(MAX(ROW(E$1:E1111)*(E1112=E$1:E1111)))))</f>
        <v/>
      </c>
      <c r="L1112" s="16"/>
    </row>
    <row r="1113" customFormat="false" ht="12.75" hidden="false" customHeight="false" outlineLevel="0" collapsed="false">
      <c r="A1113" s="9" t="s">
        <v>508</v>
      </c>
      <c r="E1113" s="10" t="str">
        <f aca="false">IF(D1113="?OLD","!!!","")</f>
        <v/>
      </c>
      <c r="F1113" s="11" t="str">
        <f aca="false">IF(OR(E1113="",E1113="!!!"),"",IF(NOT(ISNA(VLOOKUP(E1113,E$1:E1112,1,FALSE()))),"OLD",IF(AND(E1113&lt;&gt;"",E1113&lt;&gt;"!!!"),"NEW","")))</f>
        <v/>
      </c>
      <c r="G1113" s="12" t="str">
        <f aca="false">IF(OR(E1113="",E1113="!!!"),"",IF(OR(J1113=0,AND(J1113=1,K1113=1),AND(J1113=1,I1113="SBJ"),AND(J1113=1,I1113=0)),"?IN_FOCUS",IF(J1113&lt;=2,"?ACTIVATED",IF(J1113&lt;&gt;"","?FAMILIAR",IF(F1113="NEW",IF(ISNA(VLOOKUP(E1113,#REF!,1,FALSE())),"?TYPE_IDENTIFIABLE","?REFERENTIAL"),"_")))))</f>
        <v/>
      </c>
      <c r="H1113" s="13" t="str">
        <f aca="false">IF(J1113&lt;&gt;1,"",IF(I1113="SBJ","CB","?"))</f>
        <v/>
      </c>
      <c r="I1113" s="14" t="str">
        <f aca="false">IF(OR(E1113="",E1113="!!!",F1113="NEW"),"",INDEX(B$2:B1112,-1+SUMPRODUCT(MAX(ROW(E$2:E1112)*(E1113=E$2:E1112)))))</f>
        <v/>
      </c>
      <c r="J1113" s="15" t="str">
        <f aca="true">IF(OR(E1113="",E1113="!!!",F1113="NEW"),"",COUNTBLANK(OFFSET(A$1,,,SUMPRODUCT(MAX(ROW(E$2:E1113)*(E1113=E$2:E1113)))))-COUNTBLANK(OFFSET(A$1,,,SUMPRODUCT(MAX(ROW(E$1:E1112)*(E1113=E$1:E1112))))))</f>
        <v/>
      </c>
      <c r="K1113" s="15" t="str">
        <f aca="false">IF(OR(E1113="",E1113="!!!",F1113="NEW"),"",INDEX(J$1:J1112,SUMPRODUCT(MAX(ROW(E$1:E1112)*(E1113=E$1:E1112)))))</f>
        <v/>
      </c>
      <c r="L1113" s="16"/>
    </row>
    <row r="1114" customFormat="false" ht="12.75" hidden="false" customHeight="false" outlineLevel="0" collapsed="false">
      <c r="A1114" s="9" t="s">
        <v>509</v>
      </c>
      <c r="B1114" s="0" t="s">
        <v>62</v>
      </c>
      <c r="C1114" s="0" t="s">
        <v>114</v>
      </c>
      <c r="D1114" s="0" t="s">
        <v>19</v>
      </c>
      <c r="E1114" s="10" t="s">
        <v>510</v>
      </c>
      <c r="F1114" s="11" t="str">
        <f aca="false">IF(OR(E1114="",E1114="!!!"),"",IF(NOT(ISNA(VLOOKUP(E1114,E$1:E1113,1,FALSE()))),"OLD",IF(AND(E1114&lt;&gt;"",E1114&lt;&gt;"!!!"),"NEW","")))</f>
        <v>NEW</v>
      </c>
      <c r="G1114" s="12" t="s">
        <v>21</v>
      </c>
      <c r="H1114" s="13" t="str">
        <f aca="false">IF(J1114&lt;&gt;1,"",IF(I1114="SBJ","CB","?"))</f>
        <v/>
      </c>
      <c r="I1114" s="14" t="str">
        <f aca="false">IF(OR(E1114="",E1114="!!!",F1114="NEW"),"",INDEX(B$2:B1113,-1+SUMPRODUCT(MAX(ROW(E$2:E1113)*(E1114=E$2:E1113)))))</f>
        <v/>
      </c>
      <c r="J1114" s="15" t="str">
        <f aca="true">IF(OR(E1114="",E1114="!!!",F1114="NEW"),"",COUNTBLANK(OFFSET(A$1,,,SUMPRODUCT(MAX(ROW(E$2:E1114)*(E1114=E$2:E1114)))))-COUNTBLANK(OFFSET(A$1,,,SUMPRODUCT(MAX(ROW(E$1:E1113)*(E1114=E$1:E1113))))))</f>
        <v/>
      </c>
      <c r="K1114" s="15" t="str">
        <f aca="false">IF(OR(E1114="",E1114="!!!",F1114="NEW"),"",INDEX(J$1:J1113,SUMPRODUCT(MAX(ROW(E$1:E1113)*(E1114=E$1:E1113)))))</f>
        <v/>
      </c>
      <c r="L1114" s="16"/>
    </row>
    <row r="1115" customFormat="false" ht="12.75" hidden="false" customHeight="false" outlineLevel="0" collapsed="false">
      <c r="A1115" s="9" t="s">
        <v>188</v>
      </c>
      <c r="E1115" s="10" t="str">
        <f aca="false">IF(D1115="?OLD","!!!","")</f>
        <v/>
      </c>
      <c r="F1115" s="11" t="str">
        <f aca="false">IF(OR(E1115="",E1115="!!!"),"",IF(NOT(ISNA(VLOOKUP(E1115,E$1:E1114,1,FALSE()))),"OLD",IF(AND(E1115&lt;&gt;"",E1115&lt;&gt;"!!!"),"NEW","")))</f>
        <v/>
      </c>
      <c r="G1115" s="12" t="str">
        <f aca="false">IF(OR(E1115="",E1115="!!!"),"",IF(OR(J1115=0,AND(J1115=1,K1115=1),AND(J1115=1,I1115="SBJ"),AND(J1115=1,I1115=0)),"?IN_FOCUS",IF(J1115&lt;=2,"?ACTIVATED",IF(J1115&lt;&gt;"","?FAMILIAR",IF(F1115="NEW",IF(ISNA(VLOOKUP(E1115,#REF!,1,FALSE())),"?TYPE_IDENTIFIABLE","?REFERENTIAL"),"_")))))</f>
        <v/>
      </c>
      <c r="H1115" s="13" t="str">
        <f aca="false">IF(J1115&lt;&gt;1,"",IF(I1115="SBJ","CB","?"))</f>
        <v/>
      </c>
      <c r="I1115" s="14" t="str">
        <f aca="false">IF(OR(E1115="",E1115="!!!",F1115="NEW"),"",INDEX(B$2:B1114,-1+SUMPRODUCT(MAX(ROW(E$2:E1114)*(E1115=E$2:E1114)))))</f>
        <v/>
      </c>
      <c r="J1115" s="15" t="str">
        <f aca="true">IF(OR(E1115="",E1115="!!!",F1115="NEW"),"",COUNTBLANK(OFFSET(A$1,,,SUMPRODUCT(MAX(ROW(E$2:E1115)*(E1115=E$2:E1115)))))-COUNTBLANK(OFFSET(A$1,,,SUMPRODUCT(MAX(ROW(E$1:E1114)*(E1115=E$1:E1114))))))</f>
        <v/>
      </c>
      <c r="K1115" s="15" t="str">
        <f aca="false">IF(OR(E1115="",E1115="!!!",F1115="NEW"),"",INDEX(J$1:J1114,SUMPRODUCT(MAX(ROW(E$1:E1114)*(E1115=E$1:E1114)))))</f>
        <v/>
      </c>
      <c r="L1115" s="16"/>
    </row>
    <row r="1116" customFormat="false" ht="12.75" hidden="false" customHeight="false" outlineLevel="0" collapsed="false">
      <c r="A1116" s="9" t="s">
        <v>138</v>
      </c>
      <c r="E1116" s="10" t="str">
        <f aca="false">IF(D1116="?OLD","!!!","")</f>
        <v/>
      </c>
      <c r="F1116" s="11" t="str">
        <f aca="false">IF(OR(E1116="",E1116="!!!"),"",IF(NOT(ISNA(VLOOKUP(E1116,E$1:E1115,1,FALSE()))),"OLD",IF(AND(E1116&lt;&gt;"",E1116&lt;&gt;"!!!"),"NEW","")))</f>
        <v/>
      </c>
      <c r="G1116" s="12" t="str">
        <f aca="false">IF(OR(E1116="",E1116="!!!"),"",IF(OR(J1116=0,AND(J1116=1,K1116=1),AND(J1116=1,I1116="SBJ"),AND(J1116=1,I1116=0)),"?IN_FOCUS",IF(J1116&lt;=2,"?ACTIVATED",IF(J1116&lt;&gt;"","?FAMILIAR",IF(F1116="NEW",IF(ISNA(VLOOKUP(E1116,#REF!,1,FALSE())),"?TYPE_IDENTIFIABLE","?REFERENTIAL"),"_")))))</f>
        <v/>
      </c>
      <c r="H1116" s="13" t="str">
        <f aca="false">IF(J1116&lt;&gt;1,"",IF(I1116="SBJ","CB","?"))</f>
        <v/>
      </c>
      <c r="I1116" s="14" t="str">
        <f aca="false">IF(OR(E1116="",E1116="!!!",F1116="NEW"),"",INDEX(B$2:B1115,-1+SUMPRODUCT(MAX(ROW(E$2:E1115)*(E1116=E$2:E1115)))))</f>
        <v/>
      </c>
      <c r="J1116" s="15" t="str">
        <f aca="true">IF(OR(E1116="",E1116="!!!",F1116="NEW"),"",COUNTBLANK(OFFSET(A$1,,,SUMPRODUCT(MAX(ROW(E$2:E1116)*(E1116=E$2:E1116)))))-COUNTBLANK(OFFSET(A$1,,,SUMPRODUCT(MAX(ROW(E$1:E1115)*(E1116=E$1:E1115))))))</f>
        <v/>
      </c>
      <c r="K1116" s="15" t="str">
        <f aca="false">IF(OR(E1116="",E1116="!!!",F1116="NEW"),"",INDEX(J$1:J1115,SUMPRODUCT(MAX(ROW(E$1:E1115)*(E1116=E$1:E1115)))))</f>
        <v/>
      </c>
      <c r="L1116" s="16"/>
    </row>
    <row r="1117" customFormat="false" ht="12.75" hidden="false" customHeight="false" outlineLevel="0" collapsed="false">
      <c r="E1117" s="10" t="str">
        <f aca="false">IF(D1117="?OLD","!!!","")</f>
        <v/>
      </c>
      <c r="F1117" s="11" t="str">
        <f aca="false">IF(OR(E1117="",E1117="!!!"),"",IF(NOT(ISNA(VLOOKUP(E1117,E$1:E1116,1,FALSE()))),"OLD",IF(AND(E1117&lt;&gt;"",E1117&lt;&gt;"!!!"),"NEW","")))</f>
        <v/>
      </c>
      <c r="G1117" s="12" t="str">
        <f aca="false">IF(OR(E1117="",E1117="!!!"),"",IF(OR(J1117=0,AND(J1117=1,K1117=1),AND(J1117=1,I1117="SBJ"),AND(J1117=1,I1117=0)),"?IN_FOCUS",IF(J1117&lt;=2,"?ACTIVATED",IF(J1117&lt;&gt;"","?FAMILIAR",IF(F1117="NEW",IF(ISNA(VLOOKUP(E1117,#REF!,1,FALSE())),"?TYPE_IDENTIFIABLE","?REFERENTIAL"),"_")))))</f>
        <v/>
      </c>
      <c r="H1117" s="13" t="str">
        <f aca="false">IF(J1117&lt;&gt;1,"",IF(I1117="SBJ","CB","?"))</f>
        <v/>
      </c>
      <c r="I1117" s="14" t="str">
        <f aca="false">IF(OR(E1117="",E1117="!!!",F1117="NEW"),"",INDEX(B$2:B1116,-1+SUMPRODUCT(MAX(ROW(E$2:E1116)*(E1117=E$2:E1116)))))</f>
        <v/>
      </c>
      <c r="J1117" s="15" t="str">
        <f aca="true">IF(OR(E1117="",E1117="!!!",F1117="NEW"),"",COUNTBLANK(OFFSET(A$1,,,SUMPRODUCT(MAX(ROW(E$2:E1117)*(E1117=E$2:E1117)))))-COUNTBLANK(OFFSET(A$1,,,SUMPRODUCT(MAX(ROW(E$1:E1116)*(E1117=E$1:E1116))))))</f>
        <v/>
      </c>
      <c r="K1117" s="15" t="str">
        <f aca="false">IF(OR(E1117="",E1117="!!!",F1117="NEW"),"",INDEX(J$1:J1116,SUMPRODUCT(MAX(ROW(E$1:E1116)*(E1117=E$1:E1116)))))</f>
        <v/>
      </c>
      <c r="L1117" s="16"/>
    </row>
    <row r="1118" customFormat="false" ht="12.75" hidden="false" customHeight="false" outlineLevel="0" collapsed="false">
      <c r="A1118" s="9" t="s">
        <v>511</v>
      </c>
      <c r="E1118" s="10" t="str">
        <f aca="false">IF(D1118="?OLD","!!!","")</f>
        <v/>
      </c>
      <c r="F1118" s="11" t="str">
        <f aca="false">IF(OR(E1118="",E1118="!!!"),"",IF(NOT(ISNA(VLOOKUP(E1118,E$1:E1117,1,FALSE()))),"OLD",IF(AND(E1118&lt;&gt;"",E1118&lt;&gt;"!!!"),"NEW","")))</f>
        <v/>
      </c>
      <c r="G1118" s="12" t="str">
        <f aca="false">IF(OR(E1118="",E1118="!!!"),"",IF(OR(J1118=0,AND(J1118=1,K1118=1),AND(J1118=1,I1118="SBJ"),AND(J1118=1,I1118=0)),"?IN_FOCUS",IF(J1118&lt;=2,"?ACTIVATED",IF(J1118&lt;&gt;"","?FAMILIAR",IF(F1118="NEW",IF(ISNA(VLOOKUP(E1118,#REF!,1,FALSE())),"?TYPE_IDENTIFIABLE","?REFERENTIAL"),"_")))))</f>
        <v/>
      </c>
      <c r="H1118" s="13" t="str">
        <f aca="false">IF(J1118&lt;&gt;1,"",IF(I1118="SBJ","CB","?"))</f>
        <v/>
      </c>
      <c r="I1118" s="14" t="str">
        <f aca="false">IF(OR(E1118="",E1118="!!!",F1118="NEW"),"",INDEX(B$2:B1117,-1+SUMPRODUCT(MAX(ROW(E$2:E1117)*(E1118=E$2:E1117)))))</f>
        <v/>
      </c>
      <c r="J1118" s="15" t="str">
        <f aca="true">IF(OR(E1118="",E1118="!!!",F1118="NEW"),"",COUNTBLANK(OFFSET(A$1,,,SUMPRODUCT(MAX(ROW(E$2:E1118)*(E1118=E$2:E1118)))))-COUNTBLANK(OFFSET(A$1,,,SUMPRODUCT(MAX(ROW(E$1:E1117)*(E1118=E$1:E1117))))))</f>
        <v/>
      </c>
      <c r="K1118" s="15" t="str">
        <f aca="false">IF(OR(E1118="",E1118="!!!",F1118="NEW"),"",INDEX(J$1:J1117,SUMPRODUCT(MAX(ROW(E$1:E1117)*(E1118=E$1:E1117)))))</f>
        <v/>
      </c>
      <c r="L1118" s="16"/>
    </row>
    <row r="1119" customFormat="false" ht="12.75" hidden="false" customHeight="false" outlineLevel="0" collapsed="false">
      <c r="A1119" s="9" t="s">
        <v>512</v>
      </c>
      <c r="E1119" s="10" t="str">
        <f aca="false">IF(D1119="?OLD","!!!","")</f>
        <v/>
      </c>
      <c r="F1119" s="11" t="str">
        <f aca="false">IF(OR(E1119="",E1119="!!!"),"",IF(NOT(ISNA(VLOOKUP(E1119,E$1:E1118,1,FALSE()))),"OLD",IF(AND(E1119&lt;&gt;"",E1119&lt;&gt;"!!!"),"NEW","")))</f>
        <v/>
      </c>
      <c r="G1119" s="12" t="str">
        <f aca="false">IF(OR(E1119="",E1119="!!!"),"",IF(OR(J1119=0,AND(J1119=1,K1119=1),AND(J1119=1,I1119="SBJ"),AND(J1119=1,I1119=0)),"?IN_FOCUS",IF(J1119&lt;=2,"?ACTIVATED",IF(J1119&lt;&gt;"","?FAMILIAR",IF(F1119="NEW",IF(ISNA(VLOOKUP(E1119,#REF!,1,FALSE())),"?TYPE_IDENTIFIABLE","?REFERENTIAL"),"_")))))</f>
        <v/>
      </c>
      <c r="H1119" s="13" t="str">
        <f aca="false">IF(J1119&lt;&gt;1,"",IF(I1119="SBJ","CB","?"))</f>
        <v/>
      </c>
      <c r="I1119" s="14" t="str">
        <f aca="false">IF(OR(E1119="",E1119="!!!",F1119="NEW"),"",INDEX(B$2:B1118,-1+SUMPRODUCT(MAX(ROW(E$2:E1118)*(E1119=E$2:E1118)))))</f>
        <v/>
      </c>
      <c r="J1119" s="15" t="str">
        <f aca="true">IF(OR(E1119="",E1119="!!!",F1119="NEW"),"",COUNTBLANK(OFFSET(A$1,,,SUMPRODUCT(MAX(ROW(E$2:E1119)*(E1119=E$2:E1119)))))-COUNTBLANK(OFFSET(A$1,,,SUMPRODUCT(MAX(ROW(E$1:E1118)*(E1119=E$1:E1118))))))</f>
        <v/>
      </c>
      <c r="K1119" s="15" t="str">
        <f aca="false">IF(OR(E1119="",E1119="!!!",F1119="NEW"),"",INDEX(J$1:J1118,SUMPRODUCT(MAX(ROW(E$1:E1118)*(E1119=E$1:E1118)))))</f>
        <v/>
      </c>
      <c r="L1119" s="16"/>
    </row>
    <row r="1120" customFormat="false" ht="12.75" hidden="false" customHeight="false" outlineLevel="0" collapsed="false">
      <c r="A1120" s="9" t="s">
        <v>286</v>
      </c>
      <c r="B1120" s="0" t="s">
        <v>30</v>
      </c>
      <c r="C1120" s="0" t="s">
        <v>194</v>
      </c>
      <c r="D1120" s="0" t="s">
        <v>19</v>
      </c>
      <c r="E1120" s="10" t="s">
        <v>32</v>
      </c>
      <c r="F1120" s="11" t="str">
        <f aca="false">IF(OR(E1120="",E1120="!!!"),"",IF(NOT(ISNA(VLOOKUP(E1120,E$1:E1119,1,FALSE()))),"OLD",IF(AND(E1120&lt;&gt;"",E1120&lt;&gt;"!!!"),"NEW","")))</f>
        <v>OLD</v>
      </c>
      <c r="G1120" s="12" t="s">
        <v>65</v>
      </c>
      <c r="H1120" s="13" t="s">
        <v>7</v>
      </c>
      <c r="I1120" s="14" t="str">
        <f aca="false">IF(OR(E1120="",E1120="!!!",F1120="NEW"),"",INDEX(B$2:B1119,-1+SUMPRODUCT(MAX(ROW(E$2:E1119)*(E1120=E$2:E1119)))))</f>
        <v>OBJ_2</v>
      </c>
      <c r="J1120" s="15" t="n">
        <f aca="true">IF(OR(E1120="",E1120="!!!",F1120="NEW"),"",COUNTBLANK(OFFSET(A$1,,,SUMPRODUCT(MAX(ROW(E$2:E1120)*(E1120=E$2:E1120)))))-COUNTBLANK(OFFSET(A$1,,,SUMPRODUCT(MAX(ROW(E$1:E1119)*(E1120=E$1:E1119))))))</f>
        <v>1</v>
      </c>
      <c r="K1120" s="15" t="n">
        <f aca="false">IF(OR(E1120="",E1120="!!!",F1120="NEW"),"",INDEX(J$1:J1119,SUMPRODUCT(MAX(ROW(E$1:E1119)*(E1120=E$1:E1119)))))</f>
        <v>1</v>
      </c>
      <c r="L1120" s="16"/>
    </row>
    <row r="1121" customFormat="false" ht="12.75" hidden="false" customHeight="false" outlineLevel="0" collapsed="false">
      <c r="A1121" s="9" t="s">
        <v>143</v>
      </c>
      <c r="B1121" s="0" t="s">
        <v>94</v>
      </c>
      <c r="E1121" s="10" t="str">
        <f aca="false">IF(D1121="?OLD","!!!","")</f>
        <v/>
      </c>
      <c r="F1121" s="11" t="str">
        <f aca="false">IF(OR(E1121="",E1121="!!!"),"",IF(NOT(ISNA(VLOOKUP(E1121,E$1:E1120,1,FALSE()))),"OLD",IF(AND(E1121&lt;&gt;"",E1121&lt;&gt;"!!!"),"NEW","")))</f>
        <v/>
      </c>
      <c r="G1121" s="12" t="str">
        <f aca="false">IF(OR(E1121="",E1121="!!!"),"",IF(OR(J1121=0,AND(J1121=1,K1121=1),AND(J1121=1,I1121="SBJ"),AND(J1121=1,I1121=0)),"?IN_FOCUS",IF(J1121&lt;=2,"?ACTIVATED",IF(J1121&lt;&gt;"","?FAMILIAR",IF(F1121="NEW",IF(ISNA(VLOOKUP(E1121,#REF!,1,FALSE())),"?TYPE_IDENTIFIABLE","?REFERENTIAL"),"_")))))</f>
        <v/>
      </c>
      <c r="H1121" s="13" t="str">
        <f aca="false">IF(J1121&lt;&gt;1,"",IF(I1121="SBJ","CB","?"))</f>
        <v/>
      </c>
      <c r="I1121" s="14" t="str">
        <f aca="false">IF(OR(E1121="",E1121="!!!",F1121="NEW"),"",INDEX(B$2:B1120,-1+SUMPRODUCT(MAX(ROW(E$2:E1120)*(E1121=E$2:E1120)))))</f>
        <v/>
      </c>
      <c r="J1121" s="15" t="str">
        <f aca="true">IF(OR(E1121="",E1121="!!!",F1121="NEW"),"",COUNTBLANK(OFFSET(A$1,,,SUMPRODUCT(MAX(ROW(E$2:E1121)*(E1121=E$2:E1121)))))-COUNTBLANK(OFFSET(A$1,,,SUMPRODUCT(MAX(ROW(E$1:E1120)*(E1121=E$1:E1120))))))</f>
        <v/>
      </c>
      <c r="K1121" s="15" t="str">
        <f aca="false">IF(OR(E1121="",E1121="!!!",F1121="NEW"),"",INDEX(J$1:J1120,SUMPRODUCT(MAX(ROW(E$1:E1120)*(E1121=E$1:E1120)))))</f>
        <v/>
      </c>
      <c r="L1121" s="16"/>
    </row>
    <row r="1122" customFormat="false" ht="12.75" hidden="false" customHeight="false" outlineLevel="0" collapsed="false">
      <c r="A1122" s="9" t="s">
        <v>513</v>
      </c>
      <c r="E1122" s="10" t="str">
        <f aca="false">IF(D1122="?OLD","!!!","")</f>
        <v/>
      </c>
      <c r="F1122" s="11" t="str">
        <f aca="false">IF(OR(E1122="",E1122="!!!"),"",IF(NOT(ISNA(VLOOKUP(E1122,E$1:E1121,1,FALSE()))),"OLD",IF(AND(E1122&lt;&gt;"",E1122&lt;&gt;"!!!"),"NEW","")))</f>
        <v/>
      </c>
      <c r="G1122" s="12" t="str">
        <f aca="false">IF(OR(E1122="",E1122="!!!"),"",IF(OR(J1122=0,AND(J1122=1,K1122=1),AND(J1122=1,I1122="SBJ"),AND(J1122=1,I1122=0)),"?IN_FOCUS",IF(J1122&lt;=2,"?ACTIVATED",IF(J1122&lt;&gt;"","?FAMILIAR",IF(F1122="NEW",IF(ISNA(VLOOKUP(E1122,#REF!,1,FALSE())),"?TYPE_IDENTIFIABLE","?REFERENTIAL"),"_")))))</f>
        <v/>
      </c>
      <c r="H1122" s="13" t="str">
        <f aca="false">IF(J1122&lt;&gt;1,"",IF(I1122="SBJ","CB","?"))</f>
        <v/>
      </c>
      <c r="I1122" s="14" t="str">
        <f aca="false">IF(OR(E1122="",E1122="!!!",F1122="NEW"),"",INDEX(B$2:B1121,-1+SUMPRODUCT(MAX(ROW(E$2:E1121)*(E1122=E$2:E1121)))))</f>
        <v/>
      </c>
      <c r="J1122" s="15" t="str">
        <f aca="true">IF(OR(E1122="",E1122="!!!",F1122="NEW"),"",COUNTBLANK(OFFSET(A$1,,,SUMPRODUCT(MAX(ROW(E$2:E1122)*(E1122=E$2:E1122)))))-COUNTBLANK(OFFSET(A$1,,,SUMPRODUCT(MAX(ROW(E$1:E1121)*(E1122=E$1:E1121))))))</f>
        <v/>
      </c>
      <c r="K1122" s="15" t="str">
        <f aca="false">IF(OR(E1122="",E1122="!!!",F1122="NEW"),"",INDEX(J$1:J1121,SUMPRODUCT(MAX(ROW(E$1:E1121)*(E1122=E$1:E1121)))))</f>
        <v/>
      </c>
      <c r="L1122" s="16"/>
    </row>
    <row r="1123" customFormat="false" ht="12.75" hidden="false" customHeight="false" outlineLevel="0" collapsed="false">
      <c r="A1123" s="9" t="s">
        <v>453</v>
      </c>
      <c r="E1123" s="10" t="str">
        <f aca="false">IF(D1123="?OLD","!!!","")</f>
        <v/>
      </c>
      <c r="F1123" s="11" t="str">
        <f aca="false">IF(OR(E1123="",E1123="!!!"),"",IF(NOT(ISNA(VLOOKUP(E1123,E$1:E1122,1,FALSE()))),"OLD",IF(AND(E1123&lt;&gt;"",E1123&lt;&gt;"!!!"),"NEW","")))</f>
        <v/>
      </c>
      <c r="G1123" s="12" t="str">
        <f aca="false">IF(OR(E1123="",E1123="!!!"),"",IF(OR(J1123=0,AND(J1123=1,K1123=1),AND(J1123=1,I1123="SBJ"),AND(J1123=1,I1123=0)),"?IN_FOCUS",IF(J1123&lt;=2,"?ACTIVATED",IF(J1123&lt;&gt;"","?FAMILIAR",IF(F1123="NEW",IF(ISNA(VLOOKUP(E1123,#REF!,1,FALSE())),"?TYPE_IDENTIFIABLE","?REFERENTIAL"),"_")))))</f>
        <v/>
      </c>
      <c r="H1123" s="13" t="str">
        <f aca="false">IF(J1123&lt;&gt;1,"",IF(I1123="SBJ","CB","?"))</f>
        <v/>
      </c>
      <c r="I1123" s="14" t="str">
        <f aca="false">IF(OR(E1123="",E1123="!!!",F1123="NEW"),"",INDEX(B$2:B1122,-1+SUMPRODUCT(MAX(ROW(E$2:E1122)*(E1123=E$2:E1122)))))</f>
        <v/>
      </c>
      <c r="J1123" s="15" t="str">
        <f aca="true">IF(OR(E1123="",E1123="!!!",F1123="NEW"),"",COUNTBLANK(OFFSET(A$1,,,SUMPRODUCT(MAX(ROW(E$2:E1123)*(E1123=E$2:E1123)))))-COUNTBLANK(OFFSET(A$1,,,SUMPRODUCT(MAX(ROW(E$1:E1122)*(E1123=E$1:E1122))))))</f>
        <v/>
      </c>
      <c r="K1123" s="15" t="str">
        <f aca="false">IF(OR(E1123="",E1123="!!!",F1123="NEW"),"",INDEX(J$1:J1122,SUMPRODUCT(MAX(ROW(E$1:E1122)*(E1123=E$1:E1122)))))</f>
        <v/>
      </c>
      <c r="L1123" s="16"/>
    </row>
    <row r="1124" customFormat="false" ht="12.75" hidden="false" customHeight="false" outlineLevel="0" collapsed="false">
      <c r="A1124" s="9" t="s">
        <v>126</v>
      </c>
      <c r="B1124" s="0" t="s">
        <v>62</v>
      </c>
      <c r="C1124" s="0" t="s">
        <v>128</v>
      </c>
      <c r="D1124" s="0" t="s">
        <v>19</v>
      </c>
      <c r="E1124" s="10" t="s">
        <v>187</v>
      </c>
      <c r="F1124" s="11" t="str">
        <f aca="false">IF(OR(E1124="",E1124="!!!"),"",IF(NOT(ISNA(VLOOKUP(E1124,E$1:E1123,1,FALSE()))),"OLD",IF(AND(E1124&lt;&gt;"",E1124&lt;&gt;"!!!"),"NEW","")))</f>
        <v>OLD</v>
      </c>
      <c r="G1124" s="12" t="s">
        <v>33</v>
      </c>
      <c r="H1124" s="13" t="str">
        <f aca="false">IF(J1124&lt;&gt;1,"",IF(I1124="SBJ","CB","?"))</f>
        <v/>
      </c>
      <c r="I1124" s="14" t="str">
        <f aca="false">IF(OR(E1124="",E1124="!!!",F1124="NEW"),"",INDEX(B$2:B1123,-1+SUMPRODUCT(MAX(ROW(E$2:E1123)*(E1124=E$2:E1123)))))</f>
        <v>other</v>
      </c>
      <c r="J1124" s="15" t="n">
        <f aca="true">IF(OR(E1124="",E1124="!!!",F1124="NEW"),"",COUNTBLANK(OFFSET(A$1,,,SUMPRODUCT(MAX(ROW(E$2:E1124)*(E1124=E$2:E1124)))))-COUNTBLANK(OFFSET(A$1,,,SUMPRODUCT(MAX(ROW(E$1:E1123)*(E1124=E$1:E1123))))))</f>
        <v>2</v>
      </c>
      <c r="K1124" s="15" t="n">
        <f aca="false">IF(OR(E1124="",E1124="!!!",F1124="NEW"),"",INDEX(J$1:J1123,SUMPRODUCT(MAX(ROW(E$1:E1123)*(E1124=E$1:E1123)))))</f>
        <v>0</v>
      </c>
      <c r="L1124" s="16"/>
    </row>
    <row r="1125" customFormat="false" ht="12.75" hidden="false" customHeight="false" outlineLevel="0" collapsed="false">
      <c r="A1125" s="9" t="s">
        <v>514</v>
      </c>
      <c r="B1125" s="0" t="s">
        <v>96</v>
      </c>
      <c r="C1125" s="0" t="s">
        <v>83</v>
      </c>
      <c r="D1125" s="0" t="s">
        <v>19</v>
      </c>
      <c r="E1125" s="10" t="s">
        <v>515</v>
      </c>
      <c r="F1125" s="11" t="str">
        <f aca="false">IF(OR(E1125="",E1125="!!!"),"",IF(NOT(ISNA(VLOOKUP(E1125,E$1:E1124,1,FALSE()))),"OLD",IF(AND(E1125&lt;&gt;"",E1125&lt;&gt;"!!!"),"NEW","")))</f>
        <v>NEW</v>
      </c>
      <c r="G1125" s="12" t="s">
        <v>21</v>
      </c>
      <c r="H1125" s="13" t="str">
        <f aca="false">IF(J1125&lt;&gt;1,"",IF(I1125="SBJ","CB","?"))</f>
        <v/>
      </c>
      <c r="I1125" s="14" t="str">
        <f aca="false">IF(OR(E1125="",E1125="!!!",F1125="NEW"),"",INDEX(B$2:B1124,-1+SUMPRODUCT(MAX(ROW(E$2:E1124)*(E1125=E$2:E1124)))))</f>
        <v/>
      </c>
      <c r="J1125" s="15" t="str">
        <f aca="true">IF(OR(E1125="",E1125="!!!",F1125="NEW"),"",COUNTBLANK(OFFSET(A$1,,,SUMPRODUCT(MAX(ROW(E$2:E1125)*(E1125=E$2:E1125)))))-COUNTBLANK(OFFSET(A$1,,,SUMPRODUCT(MAX(ROW(E$1:E1124)*(E1125=E$1:E1124))))))</f>
        <v/>
      </c>
      <c r="K1125" s="15" t="str">
        <f aca="false">IF(OR(E1125="",E1125="!!!",F1125="NEW"),"",INDEX(J$1:J1124,SUMPRODUCT(MAX(ROW(E$1:E1124)*(E1125=E$1:E1124)))))</f>
        <v/>
      </c>
      <c r="L1125" s="16"/>
    </row>
    <row r="1126" customFormat="false" ht="12.75" hidden="false" customHeight="false" outlineLevel="0" collapsed="false">
      <c r="A1126" s="9" t="s">
        <v>35</v>
      </c>
      <c r="E1126" s="10" t="str">
        <f aca="false">IF(D1126="?OLD","!!!","")</f>
        <v/>
      </c>
      <c r="F1126" s="11" t="str">
        <f aca="false">IF(OR(E1126="",E1126="!!!"),"",IF(NOT(ISNA(VLOOKUP(E1126,E$1:E1125,1,FALSE()))),"OLD",IF(AND(E1126&lt;&gt;"",E1126&lt;&gt;"!!!"),"NEW","")))</f>
        <v/>
      </c>
      <c r="G1126" s="12" t="str">
        <f aca="false">IF(OR(E1126="",E1126="!!!"),"",IF(OR(J1126=0,AND(J1126=1,K1126=1),AND(J1126=1,I1126="SBJ"),AND(J1126=1,I1126=0)),"?IN_FOCUS",IF(J1126&lt;=2,"?ACTIVATED",IF(J1126&lt;&gt;"","?FAMILIAR",IF(F1126="NEW",IF(ISNA(VLOOKUP(E1126,#REF!,1,FALSE())),"?TYPE_IDENTIFIABLE","?REFERENTIAL"),"_")))))</f>
        <v/>
      </c>
      <c r="H1126" s="13" t="str">
        <f aca="false">IF(J1126&lt;&gt;1,"",IF(I1126="SBJ","CB","?"))</f>
        <v/>
      </c>
      <c r="I1126" s="14" t="str">
        <f aca="false">IF(OR(E1126="",E1126="!!!",F1126="NEW"),"",INDEX(B$2:B1125,-1+SUMPRODUCT(MAX(ROW(E$2:E1125)*(E1126=E$2:E1125)))))</f>
        <v/>
      </c>
      <c r="J1126" s="15" t="str">
        <f aca="true">IF(OR(E1126="",E1126="!!!",F1126="NEW"),"",COUNTBLANK(OFFSET(A$1,,,SUMPRODUCT(MAX(ROW(E$2:E1126)*(E1126=E$2:E1126)))))-COUNTBLANK(OFFSET(A$1,,,SUMPRODUCT(MAX(ROW(E$1:E1125)*(E1126=E$1:E1125))))))</f>
        <v/>
      </c>
      <c r="K1126" s="15" t="str">
        <f aca="false">IF(OR(E1126="",E1126="!!!",F1126="NEW"),"",INDEX(J$1:J1125,SUMPRODUCT(MAX(ROW(E$1:E1125)*(E1126=E$1:E1125)))))</f>
        <v/>
      </c>
      <c r="L1126" s="16"/>
    </row>
    <row r="1127" customFormat="false" ht="12.75" hidden="false" customHeight="false" outlineLevel="0" collapsed="false">
      <c r="A1127" s="9" t="s">
        <v>490</v>
      </c>
      <c r="E1127" s="10" t="str">
        <f aca="false">IF(D1127="?OLD","!!!","")</f>
        <v/>
      </c>
      <c r="F1127" s="11" t="str">
        <f aca="false">IF(OR(E1127="",E1127="!!!"),"",IF(NOT(ISNA(VLOOKUP(E1127,E$1:E1126,1,FALSE()))),"OLD",IF(AND(E1127&lt;&gt;"",E1127&lt;&gt;"!!!"),"NEW","")))</f>
        <v/>
      </c>
      <c r="G1127" s="12" t="str">
        <f aca="false">IF(OR(E1127="",E1127="!!!"),"",IF(OR(J1127=0,AND(J1127=1,K1127=1),AND(J1127=1,I1127="SBJ"),AND(J1127=1,I1127=0)),"?IN_FOCUS",IF(J1127&lt;=2,"?ACTIVATED",IF(J1127&lt;&gt;"","?FAMILIAR",IF(F1127="NEW",IF(ISNA(VLOOKUP(E1127,#REF!,1,FALSE())),"?TYPE_IDENTIFIABLE","?REFERENTIAL"),"_")))))</f>
        <v/>
      </c>
      <c r="H1127" s="13" t="str">
        <f aca="false">IF(J1127&lt;&gt;1,"",IF(I1127="SBJ","CB","?"))</f>
        <v/>
      </c>
      <c r="I1127" s="14" t="str">
        <f aca="false">IF(OR(E1127="",E1127="!!!",F1127="NEW"),"",INDEX(B$2:B1126,-1+SUMPRODUCT(MAX(ROW(E$2:E1126)*(E1127=E$2:E1126)))))</f>
        <v/>
      </c>
      <c r="J1127" s="15" t="str">
        <f aca="true">IF(OR(E1127="",E1127="!!!",F1127="NEW"),"",COUNTBLANK(OFFSET(A$1,,,SUMPRODUCT(MAX(ROW(E$2:E1127)*(E1127=E$2:E1127)))))-COUNTBLANK(OFFSET(A$1,,,SUMPRODUCT(MAX(ROW(E$1:E1126)*(E1127=E$1:E1126))))))</f>
        <v/>
      </c>
      <c r="K1127" s="15" t="str">
        <f aca="false">IF(OR(E1127="",E1127="!!!",F1127="NEW"),"",INDEX(J$1:J1126,SUMPRODUCT(MAX(ROW(E$1:E1126)*(E1127=E$1:E1126)))))</f>
        <v/>
      </c>
      <c r="L1127" s="16"/>
    </row>
    <row r="1128" customFormat="false" ht="12.75" hidden="false" customHeight="false" outlineLevel="0" collapsed="false">
      <c r="A1128" s="9" t="s">
        <v>44</v>
      </c>
      <c r="E1128" s="10" t="str">
        <f aca="false">IF(D1128="?OLD","!!!","")</f>
        <v/>
      </c>
      <c r="F1128" s="11" t="str">
        <f aca="false">IF(OR(E1128="",E1128="!!!"),"",IF(NOT(ISNA(VLOOKUP(E1128,E$1:E1127,1,FALSE()))),"OLD",IF(AND(E1128&lt;&gt;"",E1128&lt;&gt;"!!!"),"NEW","")))</f>
        <v/>
      </c>
      <c r="G1128" s="12" t="str">
        <f aca="false">IF(OR(E1128="",E1128="!!!"),"",IF(OR(J1128=0,AND(J1128=1,K1128=1),AND(J1128=1,I1128="SBJ"),AND(J1128=1,I1128=0)),"?IN_FOCUS",IF(J1128&lt;=2,"?ACTIVATED",IF(J1128&lt;&gt;"","?FAMILIAR",IF(F1128="NEW",IF(ISNA(VLOOKUP(E1128,#REF!,1,FALSE())),"?TYPE_IDENTIFIABLE","?REFERENTIAL"),"_")))))</f>
        <v/>
      </c>
      <c r="H1128" s="13" t="str">
        <f aca="false">IF(J1128&lt;&gt;1,"",IF(I1128="SBJ","CB","?"))</f>
        <v/>
      </c>
      <c r="I1128" s="14" t="str">
        <f aca="false">IF(OR(E1128="",E1128="!!!",F1128="NEW"),"",INDEX(B$2:B1127,-1+SUMPRODUCT(MAX(ROW(E$2:E1127)*(E1128=E$2:E1127)))))</f>
        <v/>
      </c>
      <c r="J1128" s="15" t="str">
        <f aca="true">IF(OR(E1128="",E1128="!!!",F1128="NEW"),"",COUNTBLANK(OFFSET(A$1,,,SUMPRODUCT(MAX(ROW(E$2:E1128)*(E1128=E$2:E1128)))))-COUNTBLANK(OFFSET(A$1,,,SUMPRODUCT(MAX(ROW(E$1:E1127)*(E1128=E$1:E1127))))))</f>
        <v/>
      </c>
      <c r="K1128" s="15" t="str">
        <f aca="false">IF(OR(E1128="",E1128="!!!",F1128="NEW"),"",INDEX(J$1:J1127,SUMPRODUCT(MAX(ROW(E$1:E1127)*(E1128=E$1:E1127)))))</f>
        <v/>
      </c>
      <c r="L1128" s="16"/>
    </row>
    <row r="1129" customFormat="false" ht="12.75" hidden="false" customHeight="false" outlineLevel="0" collapsed="false">
      <c r="E1129" s="10" t="str">
        <f aca="false">IF(D1129="?OLD","!!!","")</f>
        <v/>
      </c>
      <c r="F1129" s="11" t="str">
        <f aca="false">IF(OR(E1129="",E1129="!!!"),"",IF(NOT(ISNA(VLOOKUP(E1129,E$1:E1128,1,FALSE()))),"OLD",IF(AND(E1129&lt;&gt;"",E1129&lt;&gt;"!!!"),"NEW","")))</f>
        <v/>
      </c>
      <c r="G1129" s="12" t="str">
        <f aca="false">IF(OR(E1129="",E1129="!!!"),"",IF(OR(J1129=0,AND(J1129=1,K1129=1),AND(J1129=1,I1129="SBJ"),AND(J1129=1,I1129=0)),"?IN_FOCUS",IF(J1129&lt;=2,"?ACTIVATED",IF(J1129&lt;&gt;"","?FAMILIAR",IF(F1129="NEW",IF(ISNA(VLOOKUP(E1129,#REF!,1,FALSE())),"?TYPE_IDENTIFIABLE","?REFERENTIAL"),"_")))))</f>
        <v/>
      </c>
      <c r="H1129" s="13" t="str">
        <f aca="false">IF(J1129&lt;&gt;1,"",IF(I1129="SBJ","CB","?"))</f>
        <v/>
      </c>
      <c r="I1129" s="14" t="str">
        <f aca="false">IF(OR(E1129="",E1129="!!!",F1129="NEW"),"",INDEX(B$2:B1128,-1+SUMPRODUCT(MAX(ROW(E$2:E1128)*(E1129=E$2:E1128)))))</f>
        <v/>
      </c>
      <c r="J1129" s="15" t="str">
        <f aca="true">IF(OR(E1129="",E1129="!!!",F1129="NEW"),"",COUNTBLANK(OFFSET(A$1,,,SUMPRODUCT(MAX(ROW(E$2:E1129)*(E1129=E$2:E1129)))))-COUNTBLANK(OFFSET(A$1,,,SUMPRODUCT(MAX(ROW(E$1:E1128)*(E1129=E$1:E1128))))))</f>
        <v/>
      </c>
      <c r="K1129" s="15" t="str">
        <f aca="false">IF(OR(E1129="",E1129="!!!",F1129="NEW"),"",INDEX(J$1:J1128,SUMPRODUCT(MAX(ROW(E$1:E1128)*(E1129=E$1:E1128)))))</f>
        <v/>
      </c>
      <c r="L1129" s="16"/>
    </row>
    <row r="1130" customFormat="false" ht="12.75" hidden="false" customHeight="false" outlineLevel="0" collapsed="false">
      <c r="A1130" s="9" t="s">
        <v>516</v>
      </c>
      <c r="E1130" s="10" t="str">
        <f aca="false">IF(D1130="?OLD","!!!","")</f>
        <v/>
      </c>
      <c r="F1130" s="11" t="str">
        <f aca="false">IF(OR(E1130="",E1130="!!!"),"",IF(NOT(ISNA(VLOOKUP(E1130,E$1:E1129,1,FALSE()))),"OLD",IF(AND(E1130&lt;&gt;"",E1130&lt;&gt;"!!!"),"NEW","")))</f>
        <v/>
      </c>
      <c r="G1130" s="12" t="str">
        <f aca="false">IF(OR(E1130="",E1130="!!!"),"",IF(OR(J1130=0,AND(J1130=1,K1130=1),AND(J1130=1,I1130="SBJ"),AND(J1130=1,I1130=0)),"?IN_FOCUS",IF(J1130&lt;=2,"?ACTIVATED",IF(J1130&lt;&gt;"","?FAMILIAR",IF(F1130="NEW",IF(ISNA(VLOOKUP(E1130,#REF!,1,FALSE())),"?TYPE_IDENTIFIABLE","?REFERENTIAL"),"_")))))</f>
        <v/>
      </c>
      <c r="H1130" s="13" t="str">
        <f aca="false">IF(J1130&lt;&gt;1,"",IF(I1130="SBJ","CB","?"))</f>
        <v/>
      </c>
      <c r="I1130" s="14" t="str">
        <f aca="false">IF(OR(E1130="",E1130="!!!",F1130="NEW"),"",INDEX(B$2:B1129,-1+SUMPRODUCT(MAX(ROW(E$2:E1129)*(E1130=E$2:E1129)))))</f>
        <v/>
      </c>
      <c r="J1130" s="15" t="str">
        <f aca="true">IF(OR(E1130="",E1130="!!!",F1130="NEW"),"",COUNTBLANK(OFFSET(A$1,,,SUMPRODUCT(MAX(ROW(E$2:E1130)*(E1130=E$2:E1130)))))-COUNTBLANK(OFFSET(A$1,,,SUMPRODUCT(MAX(ROW(E$1:E1129)*(E1130=E$1:E1129))))))</f>
        <v/>
      </c>
      <c r="K1130" s="15" t="str">
        <f aca="false">IF(OR(E1130="",E1130="!!!",F1130="NEW"),"",INDEX(J$1:J1129,SUMPRODUCT(MAX(ROW(E$1:E1129)*(E1130=E$1:E1129)))))</f>
        <v/>
      </c>
      <c r="L1130" s="16"/>
    </row>
    <row r="1131" customFormat="false" ht="12.75" hidden="false" customHeight="false" outlineLevel="0" collapsed="false">
      <c r="A1131" s="9" t="s">
        <v>517</v>
      </c>
      <c r="E1131" s="10" t="str">
        <f aca="false">IF(D1131="?OLD","!!!","")</f>
        <v/>
      </c>
      <c r="F1131" s="11" t="str">
        <f aca="false">IF(OR(E1131="",E1131="!!!"),"",IF(NOT(ISNA(VLOOKUP(E1131,E$1:E1130,1,FALSE()))),"OLD",IF(AND(E1131&lt;&gt;"",E1131&lt;&gt;"!!!"),"NEW","")))</f>
        <v/>
      </c>
      <c r="G1131" s="12" t="str">
        <f aca="false">IF(OR(E1131="",E1131="!!!"),"",IF(OR(J1131=0,AND(J1131=1,K1131=1),AND(J1131=1,I1131="SBJ"),AND(J1131=1,I1131=0)),"?IN_FOCUS",IF(J1131&lt;=2,"?ACTIVATED",IF(J1131&lt;&gt;"","?FAMILIAR",IF(F1131="NEW",IF(ISNA(VLOOKUP(E1131,#REF!,1,FALSE())),"?TYPE_IDENTIFIABLE","?REFERENTIAL"),"_")))))</f>
        <v/>
      </c>
      <c r="H1131" s="13" t="str">
        <f aca="false">IF(J1131&lt;&gt;1,"",IF(I1131="SBJ","CB","?"))</f>
        <v/>
      </c>
      <c r="I1131" s="14" t="str">
        <f aca="false">IF(OR(E1131="",E1131="!!!",F1131="NEW"),"",INDEX(B$2:B1130,-1+SUMPRODUCT(MAX(ROW(E$2:E1130)*(E1131=E$2:E1130)))))</f>
        <v/>
      </c>
      <c r="J1131" s="15" t="str">
        <f aca="true">IF(OR(E1131="",E1131="!!!",F1131="NEW"),"",COUNTBLANK(OFFSET(A$1,,,SUMPRODUCT(MAX(ROW(E$2:E1131)*(E1131=E$2:E1131)))))-COUNTBLANK(OFFSET(A$1,,,SUMPRODUCT(MAX(ROW(E$1:E1130)*(E1131=E$1:E1130))))))</f>
        <v/>
      </c>
      <c r="K1131" s="15" t="str">
        <f aca="false">IF(OR(E1131="",E1131="!!!",F1131="NEW"),"",INDEX(J$1:J1130,SUMPRODUCT(MAX(ROW(E$1:E1130)*(E1131=E$1:E1130)))))</f>
        <v/>
      </c>
      <c r="L1131" s="16"/>
    </row>
    <row r="1132" customFormat="false" ht="12.75" hidden="false" customHeight="false" outlineLevel="0" collapsed="false">
      <c r="A1132" s="9" t="s">
        <v>35</v>
      </c>
      <c r="E1132" s="10" t="str">
        <f aca="false">IF(D1132="?OLD","!!!","")</f>
        <v/>
      </c>
      <c r="F1132" s="11" t="str">
        <f aca="false">IF(OR(E1132="",E1132="!!!"),"",IF(NOT(ISNA(VLOOKUP(E1132,E$1:E1131,1,FALSE()))),"OLD",IF(AND(E1132&lt;&gt;"",E1132&lt;&gt;"!!!"),"NEW","")))</f>
        <v/>
      </c>
      <c r="G1132" s="12" t="str">
        <f aca="false">IF(OR(E1132="",E1132="!!!"),"",IF(OR(J1132=0,AND(J1132=1,K1132=1),AND(J1132=1,I1132="SBJ"),AND(J1132=1,I1132=0)),"?IN_FOCUS",IF(J1132&lt;=2,"?ACTIVATED",IF(J1132&lt;&gt;"","?FAMILIAR",IF(F1132="NEW",IF(ISNA(VLOOKUP(E1132,#REF!,1,FALSE())),"?TYPE_IDENTIFIABLE","?REFERENTIAL"),"_")))))</f>
        <v/>
      </c>
      <c r="H1132" s="13" t="str">
        <f aca="false">IF(J1132&lt;&gt;1,"",IF(I1132="SBJ","CB","?"))</f>
        <v/>
      </c>
      <c r="I1132" s="14" t="str">
        <f aca="false">IF(OR(E1132="",E1132="!!!",F1132="NEW"),"",INDEX(B$2:B1131,-1+SUMPRODUCT(MAX(ROW(E$2:E1131)*(E1132=E$2:E1131)))))</f>
        <v/>
      </c>
      <c r="J1132" s="15" t="str">
        <f aca="true">IF(OR(E1132="",E1132="!!!",F1132="NEW"),"",COUNTBLANK(OFFSET(A$1,,,SUMPRODUCT(MAX(ROW(E$2:E1132)*(E1132=E$2:E1132)))))-COUNTBLANK(OFFSET(A$1,,,SUMPRODUCT(MAX(ROW(E$1:E1131)*(E1132=E$1:E1131))))))</f>
        <v/>
      </c>
      <c r="K1132" s="15" t="str">
        <f aca="false">IF(OR(E1132="",E1132="!!!",F1132="NEW"),"",INDEX(J$1:J1131,SUMPRODUCT(MAX(ROW(E$1:E1131)*(E1132=E$1:E1131)))))</f>
        <v/>
      </c>
      <c r="L1132" s="16"/>
    </row>
    <row r="1133" customFormat="false" ht="12.75" hidden="false" customHeight="false" outlineLevel="0" collapsed="false">
      <c r="A1133" s="9" t="s">
        <v>518</v>
      </c>
      <c r="E1133" s="10" t="str">
        <f aca="false">IF(D1133="?OLD","!!!","")</f>
        <v/>
      </c>
      <c r="F1133" s="11" t="str">
        <f aca="false">IF(OR(E1133="",E1133="!!!"),"",IF(NOT(ISNA(VLOOKUP(E1133,E$1:E1132,1,FALSE()))),"OLD",IF(AND(E1133&lt;&gt;"",E1133&lt;&gt;"!!!"),"NEW","")))</f>
        <v/>
      </c>
      <c r="G1133" s="12" t="str">
        <f aca="false">IF(OR(E1133="",E1133="!!!"),"",IF(OR(J1133=0,AND(J1133=1,K1133=1),AND(J1133=1,I1133="SBJ"),AND(J1133=1,I1133=0)),"?IN_FOCUS",IF(J1133&lt;=2,"?ACTIVATED",IF(J1133&lt;&gt;"","?FAMILIAR",IF(F1133="NEW",IF(ISNA(VLOOKUP(E1133,#REF!,1,FALSE())),"?TYPE_IDENTIFIABLE","?REFERENTIAL"),"_")))))</f>
        <v/>
      </c>
      <c r="H1133" s="13" t="str">
        <f aca="false">IF(J1133&lt;&gt;1,"",IF(I1133="SBJ","CB","?"))</f>
        <v/>
      </c>
      <c r="I1133" s="14" t="str">
        <f aca="false">IF(OR(E1133="",E1133="!!!",F1133="NEW"),"",INDEX(B$2:B1132,-1+SUMPRODUCT(MAX(ROW(E$2:E1132)*(E1133=E$2:E1132)))))</f>
        <v/>
      </c>
      <c r="J1133" s="15" t="str">
        <f aca="true">IF(OR(E1133="",E1133="!!!",F1133="NEW"),"",COUNTBLANK(OFFSET(A$1,,,SUMPRODUCT(MAX(ROW(E$2:E1133)*(E1133=E$2:E1133)))))-COUNTBLANK(OFFSET(A$1,,,SUMPRODUCT(MAX(ROW(E$1:E1132)*(E1133=E$1:E1132))))))</f>
        <v/>
      </c>
      <c r="K1133" s="15" t="str">
        <f aca="false">IF(OR(E1133="",E1133="!!!",F1133="NEW"),"",INDEX(J$1:J1132,SUMPRODUCT(MAX(ROW(E$1:E1132)*(E1133=E$1:E1132)))))</f>
        <v/>
      </c>
      <c r="L1133" s="16"/>
    </row>
    <row r="1134" customFormat="false" ht="12.75" hidden="false" customHeight="false" outlineLevel="0" collapsed="false">
      <c r="A1134" s="9" t="s">
        <v>258</v>
      </c>
      <c r="E1134" s="10" t="str">
        <f aca="false">IF(D1134="?OLD","!!!","")</f>
        <v/>
      </c>
      <c r="F1134" s="11" t="str">
        <f aca="false">IF(OR(E1134="",E1134="!!!"),"",IF(NOT(ISNA(VLOOKUP(E1134,E$1:E1133,1,FALSE()))),"OLD",IF(AND(E1134&lt;&gt;"",E1134&lt;&gt;"!!!"),"NEW","")))</f>
        <v/>
      </c>
      <c r="G1134" s="12" t="str">
        <f aca="false">IF(OR(E1134="",E1134="!!!"),"",IF(OR(J1134=0,AND(J1134=1,K1134=1),AND(J1134=1,I1134="SBJ"),AND(J1134=1,I1134=0)),"?IN_FOCUS",IF(J1134&lt;=2,"?ACTIVATED",IF(J1134&lt;&gt;"","?FAMILIAR",IF(F1134="NEW",IF(ISNA(VLOOKUP(E1134,#REF!,1,FALSE())),"?TYPE_IDENTIFIABLE","?REFERENTIAL"),"_")))))</f>
        <v/>
      </c>
      <c r="H1134" s="13" t="str">
        <f aca="false">IF(J1134&lt;&gt;1,"",IF(I1134="SBJ","CB","?"))</f>
        <v/>
      </c>
      <c r="I1134" s="14" t="str">
        <f aca="false">IF(OR(E1134="",E1134="!!!",F1134="NEW"),"",INDEX(B$2:B1133,-1+SUMPRODUCT(MAX(ROW(E$2:E1133)*(E1134=E$2:E1133)))))</f>
        <v/>
      </c>
      <c r="J1134" s="15" t="str">
        <f aca="true">IF(OR(E1134="",E1134="!!!",F1134="NEW"),"",COUNTBLANK(OFFSET(A$1,,,SUMPRODUCT(MAX(ROW(E$2:E1134)*(E1134=E$2:E1134)))))-COUNTBLANK(OFFSET(A$1,,,SUMPRODUCT(MAX(ROW(E$1:E1133)*(E1134=E$1:E1133))))))</f>
        <v/>
      </c>
      <c r="K1134" s="15" t="str">
        <f aca="false">IF(OR(E1134="",E1134="!!!",F1134="NEW"),"",INDEX(J$1:J1133,SUMPRODUCT(MAX(ROW(E$1:E1133)*(E1134=E$1:E1133)))))</f>
        <v/>
      </c>
      <c r="L1134" s="16"/>
    </row>
    <row r="1135" customFormat="false" ht="12.75" hidden="false" customHeight="false" outlineLevel="0" collapsed="false">
      <c r="A1135" s="9" t="s">
        <v>16</v>
      </c>
      <c r="B1135" s="0" t="s">
        <v>40</v>
      </c>
      <c r="C1135" s="0" t="s">
        <v>114</v>
      </c>
      <c r="D1135" s="0" t="s">
        <v>19</v>
      </c>
      <c r="E1135" s="10" t="s">
        <v>241</v>
      </c>
      <c r="F1135" s="11" t="str">
        <f aca="false">IF(OR(E1135="",E1135="!!!"),"",IF(NOT(ISNA(VLOOKUP(E1135,E$1:E1134,1,FALSE()))),"OLD",IF(AND(E1135&lt;&gt;"",E1135&lt;&gt;"!!!"),"NEW","")))</f>
        <v>OLD</v>
      </c>
      <c r="G1135" s="12" t="s">
        <v>52</v>
      </c>
      <c r="H1135" s="13" t="str">
        <f aca="false">IF(J1135&lt;&gt;1,"",IF(I1135="SBJ","CB","?"))</f>
        <v/>
      </c>
      <c r="I1135" s="14" t="str">
        <f aca="false">IF(OR(E1135="",E1135="!!!",F1135="NEW"),"",INDEX(B$2:B1134,-1+SUMPRODUCT(MAX(ROW(E$2:E1134)*(E1135=E$2:E1134)))))</f>
        <v>other_2</v>
      </c>
      <c r="J1135" s="15" t="n">
        <f aca="true">IF(OR(E1135="",E1135="!!!",F1135="NEW"),"",COUNTBLANK(OFFSET(A$1,,,SUMPRODUCT(MAX(ROW(E$2:E1135)*(E1135=E$2:E1135)))))-COUNTBLANK(OFFSET(A$1,,,SUMPRODUCT(MAX(ROW(E$1:E1134)*(E1135=E$1:E1134))))))</f>
        <v>11</v>
      </c>
      <c r="K1135" s="15" t="n">
        <f aca="false">IF(OR(E1135="",E1135="!!!",F1135="NEW"),"",INDEX(J$1:J1134,SUMPRODUCT(MAX(ROW(E$1:E1134)*(E1135=E$1:E1134)))))</f>
        <v>18</v>
      </c>
      <c r="L1135" s="16"/>
    </row>
    <row r="1136" customFormat="false" ht="12.75" hidden="false" customHeight="false" outlineLevel="0" collapsed="false">
      <c r="A1136" s="9" t="s">
        <v>441</v>
      </c>
      <c r="E1136" s="10" t="str">
        <f aca="false">IF(D1136="?OLD","!!!","")</f>
        <v/>
      </c>
      <c r="F1136" s="11" t="str">
        <f aca="false">IF(OR(E1136="",E1136="!!!"),"",IF(NOT(ISNA(VLOOKUP(E1136,E$1:E1135,1,FALSE()))),"OLD",IF(AND(E1136&lt;&gt;"",E1136&lt;&gt;"!!!"),"NEW","")))</f>
        <v/>
      </c>
      <c r="G1136" s="12" t="str">
        <f aca="false">IF(OR(E1136="",E1136="!!!"),"",IF(OR(J1136=0,AND(J1136=1,K1136=1),AND(J1136=1,I1136="SBJ"),AND(J1136=1,I1136=0)),"?IN_FOCUS",IF(J1136&lt;=2,"?ACTIVATED",IF(J1136&lt;&gt;"","?FAMILIAR",IF(F1136="NEW",IF(ISNA(VLOOKUP(E1136,#REF!,1,FALSE())),"?TYPE_IDENTIFIABLE","?REFERENTIAL"),"_")))))</f>
        <v/>
      </c>
      <c r="H1136" s="13" t="str">
        <f aca="false">IF(J1136&lt;&gt;1,"",IF(I1136="SBJ","CB","?"))</f>
        <v/>
      </c>
      <c r="I1136" s="14" t="str">
        <f aca="false">IF(OR(E1136="",E1136="!!!",F1136="NEW"),"",INDEX(B$2:B1135,-1+SUMPRODUCT(MAX(ROW(E$2:E1135)*(E1136=E$2:E1135)))))</f>
        <v/>
      </c>
      <c r="J1136" s="15" t="str">
        <f aca="true">IF(OR(E1136="",E1136="!!!",F1136="NEW"),"",COUNTBLANK(OFFSET(A$1,,,SUMPRODUCT(MAX(ROW(E$2:E1136)*(E1136=E$2:E1136)))))-COUNTBLANK(OFFSET(A$1,,,SUMPRODUCT(MAX(ROW(E$1:E1135)*(E1136=E$1:E1135))))))</f>
        <v/>
      </c>
      <c r="K1136" s="15" t="str">
        <f aca="false">IF(OR(E1136="",E1136="!!!",F1136="NEW"),"",INDEX(J$1:J1135,SUMPRODUCT(MAX(ROW(E$1:E1135)*(E1136=E$1:E1135)))))</f>
        <v/>
      </c>
      <c r="L1136" s="16"/>
    </row>
    <row r="1137" customFormat="false" ht="12.75" hidden="false" customHeight="false" outlineLevel="0" collapsed="false">
      <c r="A1137" s="9" t="s">
        <v>519</v>
      </c>
      <c r="E1137" s="10" t="str">
        <f aca="false">IF(D1137="?OLD","!!!","")</f>
        <v/>
      </c>
      <c r="F1137" s="11" t="str">
        <f aca="false">IF(OR(E1137="",E1137="!!!"),"",IF(NOT(ISNA(VLOOKUP(E1137,E$1:E1136,1,FALSE()))),"OLD",IF(AND(E1137&lt;&gt;"",E1137&lt;&gt;"!!!"),"NEW","")))</f>
        <v/>
      </c>
      <c r="G1137" s="12" t="str">
        <f aca="false">IF(OR(E1137="",E1137="!!!"),"",IF(OR(J1137=0,AND(J1137=1,K1137=1),AND(J1137=1,I1137="SBJ"),AND(J1137=1,I1137=0)),"?IN_FOCUS",IF(J1137&lt;=2,"?ACTIVATED",IF(J1137&lt;&gt;"","?FAMILIAR",IF(F1137="NEW",IF(ISNA(VLOOKUP(E1137,#REF!,1,FALSE())),"?TYPE_IDENTIFIABLE","?REFERENTIAL"),"_")))))</f>
        <v/>
      </c>
      <c r="H1137" s="13" t="str">
        <f aca="false">IF(J1137&lt;&gt;1,"",IF(I1137="SBJ","CB","?"))</f>
        <v/>
      </c>
      <c r="I1137" s="14" t="str">
        <f aca="false">IF(OR(E1137="",E1137="!!!",F1137="NEW"),"",INDEX(B$2:B1136,-1+SUMPRODUCT(MAX(ROW(E$2:E1136)*(E1137=E$2:E1136)))))</f>
        <v/>
      </c>
      <c r="J1137" s="15" t="str">
        <f aca="true">IF(OR(E1137="",E1137="!!!",F1137="NEW"),"",COUNTBLANK(OFFSET(A$1,,,SUMPRODUCT(MAX(ROW(E$2:E1137)*(E1137=E$2:E1137)))))-COUNTBLANK(OFFSET(A$1,,,SUMPRODUCT(MAX(ROW(E$1:E1136)*(E1137=E$1:E1136))))))</f>
        <v/>
      </c>
      <c r="K1137" s="15" t="str">
        <f aca="false">IF(OR(E1137="",E1137="!!!",F1137="NEW"),"",INDEX(J$1:J1136,SUMPRODUCT(MAX(ROW(E$1:E1136)*(E1137=E$1:E1136)))))</f>
        <v/>
      </c>
      <c r="L1137" s="16"/>
    </row>
    <row r="1138" customFormat="false" ht="12.75" hidden="false" customHeight="false" outlineLevel="0" collapsed="false">
      <c r="A1138" s="9" t="s">
        <v>520</v>
      </c>
      <c r="E1138" s="10" t="str">
        <f aca="false">IF(D1138="?OLD","!!!","")</f>
        <v/>
      </c>
      <c r="F1138" s="11" t="str">
        <f aca="false">IF(OR(E1138="",E1138="!!!"),"",IF(NOT(ISNA(VLOOKUP(E1138,E$1:E1137,1,FALSE()))),"OLD",IF(AND(E1138&lt;&gt;"",E1138&lt;&gt;"!!!"),"NEW","")))</f>
        <v/>
      </c>
      <c r="G1138" s="12" t="str">
        <f aca="false">IF(OR(E1138="",E1138="!!!"),"",IF(OR(J1138=0,AND(J1138=1,K1138=1),AND(J1138=1,I1138="SBJ"),AND(J1138=1,I1138=0)),"?IN_FOCUS",IF(J1138&lt;=2,"?ACTIVATED",IF(J1138&lt;&gt;"","?FAMILIAR",IF(F1138="NEW",IF(ISNA(VLOOKUP(E1138,#REF!,1,FALSE())),"?TYPE_IDENTIFIABLE","?REFERENTIAL"),"_")))))</f>
        <v/>
      </c>
      <c r="H1138" s="13" t="str">
        <f aca="false">IF(J1138&lt;&gt;1,"",IF(I1138="SBJ","CB","?"))</f>
        <v/>
      </c>
      <c r="I1138" s="14" t="str">
        <f aca="false">IF(OR(E1138="",E1138="!!!",F1138="NEW"),"",INDEX(B$2:B1137,-1+SUMPRODUCT(MAX(ROW(E$2:E1137)*(E1138=E$2:E1137)))))</f>
        <v/>
      </c>
      <c r="J1138" s="15" t="str">
        <f aca="true">IF(OR(E1138="",E1138="!!!",F1138="NEW"),"",COUNTBLANK(OFFSET(A$1,,,SUMPRODUCT(MAX(ROW(E$2:E1138)*(E1138=E$2:E1138)))))-COUNTBLANK(OFFSET(A$1,,,SUMPRODUCT(MAX(ROW(E$1:E1137)*(E1138=E$1:E1137))))))</f>
        <v/>
      </c>
      <c r="K1138" s="15" t="str">
        <f aca="false">IF(OR(E1138="",E1138="!!!",F1138="NEW"),"",INDEX(J$1:J1137,SUMPRODUCT(MAX(ROW(E$1:E1137)*(E1138=E$1:E1137)))))</f>
        <v/>
      </c>
      <c r="L1138" s="16"/>
    </row>
    <row r="1139" customFormat="false" ht="12.75" hidden="false" customHeight="false" outlineLevel="0" collapsed="false">
      <c r="A1139" s="9" t="s">
        <v>521</v>
      </c>
      <c r="B1139" s="0" t="s">
        <v>40</v>
      </c>
      <c r="C1139" s="0" t="s">
        <v>41</v>
      </c>
      <c r="E1139" s="10" t="str">
        <f aca="false">IF(D1139="?OLD","!!!","")</f>
        <v/>
      </c>
      <c r="F1139" s="11" t="str">
        <f aca="false">IF(OR(E1139="",E1139="!!!"),"",IF(NOT(ISNA(VLOOKUP(E1139,E$1:E1138,1,FALSE()))),"OLD",IF(AND(E1139&lt;&gt;"",E1139&lt;&gt;"!!!"),"NEW","")))</f>
        <v/>
      </c>
      <c r="G1139" s="12" t="str">
        <f aca="false">IF(OR(E1139="",E1139="!!!"),"",IF(OR(J1139=0,AND(J1139=1,K1139=1),AND(J1139=1,I1139="SBJ"),AND(J1139=1,I1139=0)),"?IN_FOCUS",IF(J1139&lt;=2,"?ACTIVATED",IF(J1139&lt;&gt;"","?FAMILIAR",IF(F1139="NEW",IF(ISNA(VLOOKUP(E1139,#REF!,1,FALSE())),"?TYPE_IDENTIFIABLE","?REFERENTIAL"),"_")))))</f>
        <v/>
      </c>
      <c r="H1139" s="13" t="str">
        <f aca="false">IF(J1139&lt;&gt;1,"",IF(I1139="SBJ","CB","?"))</f>
        <v/>
      </c>
      <c r="I1139" s="14" t="str">
        <f aca="false">IF(OR(E1139="",E1139="!!!",F1139="NEW"),"",INDEX(B$2:B1138,-1+SUMPRODUCT(MAX(ROW(E$2:E1138)*(E1139=E$2:E1138)))))</f>
        <v/>
      </c>
      <c r="J1139" s="15" t="str">
        <f aca="true">IF(OR(E1139="",E1139="!!!",F1139="NEW"),"",COUNTBLANK(OFFSET(A$1,,,SUMPRODUCT(MAX(ROW(E$2:E1139)*(E1139=E$2:E1139)))))-COUNTBLANK(OFFSET(A$1,,,SUMPRODUCT(MAX(ROW(E$1:E1138)*(E1139=E$1:E1138))))))</f>
        <v/>
      </c>
      <c r="K1139" s="15" t="str">
        <f aca="false">IF(OR(E1139="",E1139="!!!",F1139="NEW"),"",INDEX(J$1:J1138,SUMPRODUCT(MAX(ROW(E$1:E1138)*(E1139=E$1:E1138)))))</f>
        <v/>
      </c>
      <c r="L1139" s="16"/>
    </row>
    <row r="1140" customFormat="false" ht="12.75" hidden="false" customHeight="false" outlineLevel="0" collapsed="false">
      <c r="A1140" s="9" t="s">
        <v>44</v>
      </c>
      <c r="E1140" s="10" t="str">
        <f aca="false">IF(D1140="?OLD","!!!","")</f>
        <v/>
      </c>
      <c r="F1140" s="11" t="str">
        <f aca="false">IF(OR(E1140="",E1140="!!!"),"",IF(NOT(ISNA(VLOOKUP(E1140,E$1:E1139,1,FALSE()))),"OLD",IF(AND(E1140&lt;&gt;"",E1140&lt;&gt;"!!!"),"NEW","")))</f>
        <v/>
      </c>
      <c r="G1140" s="12" t="str">
        <f aca="false">IF(OR(E1140="",E1140="!!!"),"",IF(OR(J1140=0,AND(J1140=1,K1140=1),AND(J1140=1,I1140="SBJ"),AND(J1140=1,I1140=0)),"?IN_FOCUS",IF(J1140&lt;=2,"?ACTIVATED",IF(J1140&lt;&gt;"","?FAMILIAR",IF(F1140="NEW",IF(ISNA(VLOOKUP(E1140,#REF!,1,FALSE())),"?TYPE_IDENTIFIABLE","?REFERENTIAL"),"_")))))</f>
        <v/>
      </c>
      <c r="H1140" s="13" t="str">
        <f aca="false">IF(J1140&lt;&gt;1,"",IF(I1140="SBJ","CB","?"))</f>
        <v/>
      </c>
      <c r="I1140" s="14" t="str">
        <f aca="false">IF(OR(E1140="",E1140="!!!",F1140="NEW"),"",INDEX(B$2:B1139,-1+SUMPRODUCT(MAX(ROW(E$2:E1139)*(E1140=E$2:E1139)))))</f>
        <v/>
      </c>
      <c r="J1140" s="15" t="str">
        <f aca="true">IF(OR(E1140="",E1140="!!!",F1140="NEW"),"",COUNTBLANK(OFFSET(A$1,,,SUMPRODUCT(MAX(ROW(E$2:E1140)*(E1140=E$2:E1140)))))-COUNTBLANK(OFFSET(A$1,,,SUMPRODUCT(MAX(ROW(E$1:E1139)*(E1140=E$1:E1139))))))</f>
        <v/>
      </c>
      <c r="K1140" s="15" t="str">
        <f aca="false">IF(OR(E1140="",E1140="!!!",F1140="NEW"),"",INDEX(J$1:J1139,SUMPRODUCT(MAX(ROW(E$1:E1139)*(E1140=E$1:E1139)))))</f>
        <v/>
      </c>
      <c r="L1140" s="16"/>
    </row>
    <row r="1141" customFormat="false" ht="12.75" hidden="false" customHeight="false" outlineLevel="0" collapsed="false">
      <c r="E1141" s="10" t="str">
        <f aca="false">IF(D1141="?OLD","!!!","")</f>
        <v/>
      </c>
      <c r="F1141" s="11" t="str">
        <f aca="false">IF(OR(E1141="",E1141="!!!"),"",IF(NOT(ISNA(VLOOKUP(E1141,E$1:E1140,1,FALSE()))),"OLD",IF(AND(E1141&lt;&gt;"",E1141&lt;&gt;"!!!"),"NEW","")))</f>
        <v/>
      </c>
      <c r="G1141" s="12" t="str">
        <f aca="false">IF(OR(E1141="",E1141="!!!"),"",IF(OR(J1141=0,AND(J1141=1,K1141=1),AND(J1141=1,I1141="SBJ"),AND(J1141=1,I1141=0)),"?IN_FOCUS",IF(J1141&lt;=2,"?ACTIVATED",IF(J1141&lt;&gt;"","?FAMILIAR",IF(F1141="NEW",IF(ISNA(VLOOKUP(E1141,#REF!,1,FALSE())),"?TYPE_IDENTIFIABLE","?REFERENTIAL"),"_")))))</f>
        <v/>
      </c>
      <c r="H1141" s="13" t="str">
        <f aca="false">IF(J1141&lt;&gt;1,"",IF(I1141="SBJ","CB","?"))</f>
        <v/>
      </c>
      <c r="I1141" s="14" t="str">
        <f aca="false">IF(OR(E1141="",E1141="!!!",F1141="NEW"),"",INDEX(B$2:B1140,-1+SUMPRODUCT(MAX(ROW(E$2:E1140)*(E1141=E$2:E1140)))))</f>
        <v/>
      </c>
      <c r="J1141" s="15" t="str">
        <f aca="true">IF(OR(E1141="",E1141="!!!",F1141="NEW"),"",COUNTBLANK(OFFSET(A$1,,,SUMPRODUCT(MAX(ROW(E$2:E1141)*(E1141=E$2:E1141)))))-COUNTBLANK(OFFSET(A$1,,,SUMPRODUCT(MAX(ROW(E$1:E1140)*(E1141=E$1:E1140))))))</f>
        <v/>
      </c>
      <c r="K1141" s="15" t="str">
        <f aca="false">IF(OR(E1141="",E1141="!!!",F1141="NEW"),"",INDEX(J$1:J1140,SUMPRODUCT(MAX(ROW(E$1:E1140)*(E1141=E$1:E1140)))))</f>
        <v/>
      </c>
      <c r="L1141" s="16"/>
    </row>
    <row r="1142" customFormat="false" ht="12.75" hidden="false" customHeight="false" outlineLevel="0" collapsed="false">
      <c r="A1142" s="9" t="s">
        <v>522</v>
      </c>
      <c r="E1142" s="10" t="str">
        <f aca="false">IF(D1142="?OLD","!!!","")</f>
        <v/>
      </c>
      <c r="F1142" s="11" t="str">
        <f aca="false">IF(OR(E1142="",E1142="!!!"),"",IF(NOT(ISNA(VLOOKUP(E1142,E$1:E1141,1,FALSE()))),"OLD",IF(AND(E1142&lt;&gt;"",E1142&lt;&gt;"!!!"),"NEW","")))</f>
        <v/>
      </c>
      <c r="G1142" s="12" t="str">
        <f aca="false">IF(OR(E1142="",E1142="!!!"),"",IF(OR(J1142=0,AND(J1142=1,K1142=1),AND(J1142=1,I1142="SBJ"),AND(J1142=1,I1142=0)),"?IN_FOCUS",IF(J1142&lt;=2,"?ACTIVATED",IF(J1142&lt;&gt;"","?FAMILIAR",IF(F1142="NEW",IF(ISNA(VLOOKUP(E1142,#REF!,1,FALSE())),"?TYPE_IDENTIFIABLE","?REFERENTIAL"),"_")))))</f>
        <v/>
      </c>
      <c r="H1142" s="13" t="str">
        <f aca="false">IF(J1142&lt;&gt;1,"",IF(I1142="SBJ","CB","?"))</f>
        <v/>
      </c>
      <c r="I1142" s="14" t="str">
        <f aca="false">IF(OR(E1142="",E1142="!!!",F1142="NEW"),"",INDEX(B$2:B1141,-1+SUMPRODUCT(MAX(ROW(E$2:E1141)*(E1142=E$2:E1141)))))</f>
        <v/>
      </c>
      <c r="J1142" s="15" t="str">
        <f aca="true">IF(OR(E1142="",E1142="!!!",F1142="NEW"),"",COUNTBLANK(OFFSET(A$1,,,SUMPRODUCT(MAX(ROW(E$2:E1142)*(E1142=E$2:E1142)))))-COUNTBLANK(OFFSET(A$1,,,SUMPRODUCT(MAX(ROW(E$1:E1141)*(E1142=E$1:E1141))))))</f>
        <v/>
      </c>
      <c r="K1142" s="15" t="str">
        <f aca="false">IF(OR(E1142="",E1142="!!!",F1142="NEW"),"",INDEX(J$1:J1141,SUMPRODUCT(MAX(ROW(E$1:E1141)*(E1142=E$1:E1141)))))</f>
        <v/>
      </c>
      <c r="L1142" s="16"/>
    </row>
    <row r="1143" customFormat="false" ht="12.75" hidden="false" customHeight="false" outlineLevel="0" collapsed="false">
      <c r="A1143" s="9" t="s">
        <v>86</v>
      </c>
      <c r="B1143" s="0" t="s">
        <v>30</v>
      </c>
      <c r="C1143" s="0" t="s">
        <v>31</v>
      </c>
      <c r="D1143" s="0" t="s">
        <v>19</v>
      </c>
      <c r="E1143" s="10" t="s">
        <v>32</v>
      </c>
      <c r="F1143" s="11" t="str">
        <f aca="false">IF(OR(E1143="",E1143="!!!"),"",IF(NOT(ISNA(VLOOKUP(E1143,E$1:E1142,1,FALSE()))),"OLD",IF(AND(E1143&lt;&gt;"",E1143&lt;&gt;"!!!"),"NEW","")))</f>
        <v>OLD</v>
      </c>
      <c r="G1143" s="12" t="s">
        <v>33</v>
      </c>
      <c r="H1143" s="13" t="str">
        <f aca="false">IF(J1143&lt;&gt;1,"",IF(I1143="SBJ","CB","?"))</f>
        <v/>
      </c>
      <c r="I1143" s="14" t="str">
        <f aca="false">IF(OR(E1143="",E1143="!!!",F1143="NEW"),"",INDEX(B$2:B1142,-1+SUMPRODUCT(MAX(ROW(E$2:E1142)*(E1143=E$2:E1142)))))</f>
        <v>SBJ</v>
      </c>
      <c r="J1143" s="15" t="n">
        <f aca="true">IF(OR(E1143="",E1143="!!!",F1143="NEW"),"",COUNTBLANK(OFFSET(A$1,,,SUMPRODUCT(MAX(ROW(E$2:E1143)*(E1143=E$2:E1143)))))-COUNTBLANK(OFFSET(A$1,,,SUMPRODUCT(MAX(ROW(E$1:E1142)*(E1143=E$1:E1142))))))</f>
        <v>2</v>
      </c>
      <c r="K1143" s="15" t="n">
        <f aca="false">IF(OR(E1143="",E1143="!!!",F1143="NEW"),"",INDEX(J$1:J1142,SUMPRODUCT(MAX(ROW(E$1:E1142)*(E1143=E$1:E1142)))))</f>
        <v>1</v>
      </c>
      <c r="L1143" s="16"/>
    </row>
    <row r="1144" customFormat="false" ht="12.75" hidden="false" customHeight="false" outlineLevel="0" collapsed="false">
      <c r="A1144" s="9" t="s">
        <v>523</v>
      </c>
      <c r="E1144" s="10" t="str">
        <f aca="false">IF(D1144="?OLD","!!!","")</f>
        <v/>
      </c>
      <c r="F1144" s="11" t="str">
        <f aca="false">IF(OR(E1144="",E1144="!!!"),"",IF(NOT(ISNA(VLOOKUP(E1144,E$1:E1143,1,FALSE()))),"OLD",IF(AND(E1144&lt;&gt;"",E1144&lt;&gt;"!!!"),"NEW","")))</f>
        <v/>
      </c>
      <c r="G1144" s="12" t="str">
        <f aca="false">IF(OR(E1144="",E1144="!!!"),"",IF(OR(J1144=0,AND(J1144=1,K1144=1),AND(J1144=1,I1144="SBJ"),AND(J1144=1,I1144=0)),"?IN_FOCUS",IF(J1144&lt;=2,"?ACTIVATED",IF(J1144&lt;&gt;"","?FAMILIAR",IF(F1144="NEW",IF(ISNA(VLOOKUP(E1144,#REF!,1,FALSE())),"?TYPE_IDENTIFIABLE","?REFERENTIAL"),"_")))))</f>
        <v/>
      </c>
      <c r="H1144" s="13" t="str">
        <f aca="false">IF(J1144&lt;&gt;1,"",IF(I1144="SBJ","CB","?"))</f>
        <v/>
      </c>
      <c r="I1144" s="14" t="str">
        <f aca="false">IF(OR(E1144="",E1144="!!!",F1144="NEW"),"",INDEX(B$2:B1143,-1+SUMPRODUCT(MAX(ROW(E$2:E1143)*(E1144=E$2:E1143)))))</f>
        <v/>
      </c>
      <c r="J1144" s="15" t="str">
        <f aca="true">IF(OR(E1144="",E1144="!!!",F1144="NEW"),"",COUNTBLANK(OFFSET(A$1,,,SUMPRODUCT(MAX(ROW(E$2:E1144)*(E1144=E$2:E1144)))))-COUNTBLANK(OFFSET(A$1,,,SUMPRODUCT(MAX(ROW(E$1:E1143)*(E1144=E$1:E1143))))))</f>
        <v/>
      </c>
      <c r="K1144" s="15" t="str">
        <f aca="false">IF(OR(E1144="",E1144="!!!",F1144="NEW"),"",INDEX(J$1:J1143,SUMPRODUCT(MAX(ROW(E$1:E1143)*(E1144=E$1:E1143)))))</f>
        <v/>
      </c>
      <c r="L1144" s="16"/>
    </row>
    <row r="1145" customFormat="false" ht="12.75" hidden="false" customHeight="false" outlineLevel="0" collapsed="false">
      <c r="A1145" s="9" t="s">
        <v>524</v>
      </c>
      <c r="E1145" s="10" t="str">
        <f aca="false">IF(D1145="?OLD","!!!","")</f>
        <v/>
      </c>
      <c r="F1145" s="11" t="str">
        <f aca="false">IF(OR(E1145="",E1145="!!!"),"",IF(NOT(ISNA(VLOOKUP(E1145,E$1:E1144,1,FALSE()))),"OLD",IF(AND(E1145&lt;&gt;"",E1145&lt;&gt;"!!!"),"NEW","")))</f>
        <v/>
      </c>
      <c r="G1145" s="12" t="str">
        <f aca="false">IF(OR(E1145="",E1145="!!!"),"",IF(OR(J1145=0,AND(J1145=1,K1145=1),AND(J1145=1,I1145="SBJ"),AND(J1145=1,I1145=0)),"?IN_FOCUS",IF(J1145&lt;=2,"?ACTIVATED",IF(J1145&lt;&gt;"","?FAMILIAR",IF(F1145="NEW",IF(ISNA(VLOOKUP(E1145,#REF!,1,FALSE())),"?TYPE_IDENTIFIABLE","?REFERENTIAL"),"_")))))</f>
        <v/>
      </c>
      <c r="H1145" s="13" t="str">
        <f aca="false">IF(J1145&lt;&gt;1,"",IF(I1145="SBJ","CB","?"))</f>
        <v/>
      </c>
      <c r="I1145" s="14" t="str">
        <f aca="false">IF(OR(E1145="",E1145="!!!",F1145="NEW"),"",INDEX(B$2:B1144,-1+SUMPRODUCT(MAX(ROW(E$2:E1144)*(E1145=E$2:E1144)))))</f>
        <v/>
      </c>
      <c r="J1145" s="15" t="str">
        <f aca="true">IF(OR(E1145="",E1145="!!!",F1145="NEW"),"",COUNTBLANK(OFFSET(A$1,,,SUMPRODUCT(MAX(ROW(E$2:E1145)*(E1145=E$2:E1145)))))-COUNTBLANK(OFFSET(A$1,,,SUMPRODUCT(MAX(ROW(E$1:E1144)*(E1145=E$1:E1144))))))</f>
        <v/>
      </c>
      <c r="K1145" s="15" t="str">
        <f aca="false">IF(OR(E1145="",E1145="!!!",F1145="NEW"),"",INDEX(J$1:J1144,SUMPRODUCT(MAX(ROW(E$1:E1144)*(E1145=E$1:E1144)))))</f>
        <v/>
      </c>
      <c r="L1145" s="16"/>
    </row>
    <row r="1146" customFormat="false" ht="12.75" hidden="false" customHeight="false" outlineLevel="0" collapsed="false">
      <c r="A1146" s="9" t="s">
        <v>42</v>
      </c>
      <c r="E1146" s="10" t="str">
        <f aca="false">IF(D1146="?OLD","!!!","")</f>
        <v/>
      </c>
      <c r="F1146" s="11" t="str">
        <f aca="false">IF(OR(E1146="",E1146="!!!"),"",IF(NOT(ISNA(VLOOKUP(E1146,E$1:E1145,1,FALSE()))),"OLD",IF(AND(E1146&lt;&gt;"",E1146&lt;&gt;"!!!"),"NEW","")))</f>
        <v/>
      </c>
      <c r="G1146" s="12" t="str">
        <f aca="false">IF(OR(E1146="",E1146="!!!"),"",IF(OR(J1146=0,AND(J1146=1,K1146=1),AND(J1146=1,I1146="SBJ"),AND(J1146=1,I1146=0)),"?IN_FOCUS",IF(J1146&lt;=2,"?ACTIVATED",IF(J1146&lt;&gt;"","?FAMILIAR",IF(F1146="NEW",IF(ISNA(VLOOKUP(E1146,#REF!,1,FALSE())),"?TYPE_IDENTIFIABLE","?REFERENTIAL"),"_")))))</f>
        <v/>
      </c>
      <c r="H1146" s="13" t="str">
        <f aca="false">IF(J1146&lt;&gt;1,"",IF(I1146="SBJ","CB","?"))</f>
        <v/>
      </c>
      <c r="I1146" s="14" t="str">
        <f aca="false">IF(OR(E1146="",E1146="!!!",F1146="NEW"),"",INDEX(B$2:B1145,-1+SUMPRODUCT(MAX(ROW(E$2:E1145)*(E1146=E$2:E1145)))))</f>
        <v/>
      </c>
      <c r="J1146" s="15" t="str">
        <f aca="true">IF(OR(E1146="",E1146="!!!",F1146="NEW"),"",COUNTBLANK(OFFSET(A$1,,,SUMPRODUCT(MAX(ROW(E$2:E1146)*(E1146=E$2:E1146)))))-COUNTBLANK(OFFSET(A$1,,,SUMPRODUCT(MAX(ROW(E$1:E1145)*(E1146=E$1:E1145))))))</f>
        <v/>
      </c>
      <c r="K1146" s="15" t="str">
        <f aca="false">IF(OR(E1146="",E1146="!!!",F1146="NEW"),"",INDEX(J$1:J1145,SUMPRODUCT(MAX(ROW(E$1:E1145)*(E1146=E$1:E1145)))))</f>
        <v/>
      </c>
      <c r="L1146" s="16"/>
    </row>
    <row r="1147" customFormat="false" ht="12.75" hidden="false" customHeight="false" outlineLevel="0" collapsed="false">
      <c r="A1147" s="9" t="s">
        <v>15</v>
      </c>
      <c r="E1147" s="10" t="str">
        <f aca="false">IF(D1147="?OLD","!!!","")</f>
        <v/>
      </c>
      <c r="F1147" s="11" t="str">
        <f aca="false">IF(OR(E1147="",E1147="!!!"),"",IF(NOT(ISNA(VLOOKUP(E1147,E$1:E1146,1,FALSE()))),"OLD",IF(AND(E1147&lt;&gt;"",E1147&lt;&gt;"!!!"),"NEW","")))</f>
        <v/>
      </c>
      <c r="G1147" s="12" t="str">
        <f aca="false">IF(OR(E1147="",E1147="!!!"),"",IF(OR(J1147=0,AND(J1147=1,K1147=1),AND(J1147=1,I1147="SBJ"),AND(J1147=1,I1147=0)),"?IN_FOCUS",IF(J1147&lt;=2,"?ACTIVATED",IF(J1147&lt;&gt;"","?FAMILIAR",IF(F1147="NEW",IF(ISNA(VLOOKUP(E1147,#REF!,1,FALSE())),"?TYPE_IDENTIFIABLE","?REFERENTIAL"),"_")))))</f>
        <v/>
      </c>
      <c r="H1147" s="13" t="str">
        <f aca="false">IF(J1147&lt;&gt;1,"",IF(I1147="SBJ","CB","?"))</f>
        <v/>
      </c>
      <c r="I1147" s="14" t="str">
        <f aca="false">IF(OR(E1147="",E1147="!!!",F1147="NEW"),"",INDEX(B$2:B1146,-1+SUMPRODUCT(MAX(ROW(E$2:E1146)*(E1147=E$2:E1146)))))</f>
        <v/>
      </c>
      <c r="J1147" s="15" t="str">
        <f aca="true">IF(OR(E1147="",E1147="!!!",F1147="NEW"),"",COUNTBLANK(OFFSET(A$1,,,SUMPRODUCT(MAX(ROW(E$2:E1147)*(E1147=E$2:E1147)))))-COUNTBLANK(OFFSET(A$1,,,SUMPRODUCT(MAX(ROW(E$1:E1146)*(E1147=E$1:E1146))))))</f>
        <v/>
      </c>
      <c r="K1147" s="15" t="str">
        <f aca="false">IF(OR(E1147="",E1147="!!!",F1147="NEW"),"",INDEX(J$1:J1146,SUMPRODUCT(MAX(ROW(E$1:E1146)*(E1147=E$1:E1146)))))</f>
        <v/>
      </c>
      <c r="L1147" s="16"/>
    </row>
    <row r="1148" customFormat="false" ht="12.75" hidden="false" customHeight="false" outlineLevel="0" collapsed="false">
      <c r="A1148" s="9" t="s">
        <v>486</v>
      </c>
      <c r="B1148" s="0" t="s">
        <v>75</v>
      </c>
      <c r="C1148" s="0" t="s">
        <v>18</v>
      </c>
      <c r="D1148" s="0" t="s">
        <v>19</v>
      </c>
      <c r="E1148" s="10" t="s">
        <v>32</v>
      </c>
      <c r="F1148" s="11" t="str">
        <f aca="false">IF(OR(E1148="",E1148="!!!"),"",IF(NOT(ISNA(VLOOKUP(E1148,E$1:E1147,1,FALSE()))),"OLD",IF(AND(E1148&lt;&gt;"",E1148&lt;&gt;"!!!"),"NEW","")))</f>
        <v>OLD</v>
      </c>
      <c r="G1148" s="12" t="s">
        <v>52</v>
      </c>
      <c r="H1148" s="13" t="str">
        <f aca="false">IF(J1148&lt;&gt;1,"",IF(I1148="SBJ","CB","?"))</f>
        <v/>
      </c>
      <c r="I1148" s="14" t="str">
        <f aca="false">IF(OR(E1148="",E1148="!!!",F1148="NEW"),"",INDEX(B$2:B1147,-1+SUMPRODUCT(MAX(ROW(E$2:E1147)*(E1148=E$2:E1147)))))</f>
        <v>SBJ</v>
      </c>
      <c r="J1148" s="15" t="n">
        <f aca="true">IF(OR(E1148="",E1148="!!!",F1148="NEW"),"",COUNTBLANK(OFFSET(A$1,,,SUMPRODUCT(MAX(ROW(E$2:E1148)*(E1148=E$2:E1148)))))-COUNTBLANK(OFFSET(A$1,,,SUMPRODUCT(MAX(ROW(E$1:E1147)*(E1148=E$1:E1147))))))</f>
        <v>0</v>
      </c>
      <c r="K1148" s="15" t="n">
        <f aca="false">IF(OR(E1148="",E1148="!!!",F1148="NEW"),"",INDEX(J$1:J1147,SUMPRODUCT(MAX(ROW(E$1:E1147)*(E1148=E$1:E1147)))))</f>
        <v>2</v>
      </c>
      <c r="L1148" s="16"/>
    </row>
    <row r="1149" customFormat="false" ht="12.75" hidden="false" customHeight="false" outlineLevel="0" collapsed="false">
      <c r="A1149" s="9" t="s">
        <v>251</v>
      </c>
      <c r="E1149" s="10" t="str">
        <f aca="false">IF(D1149="?OLD","!!!","")</f>
        <v/>
      </c>
      <c r="F1149" s="11" t="str">
        <f aca="false">IF(OR(E1149="",E1149="!!!"),"",IF(NOT(ISNA(VLOOKUP(E1149,E$1:E1148,1,FALSE()))),"OLD",IF(AND(E1149&lt;&gt;"",E1149&lt;&gt;"!!!"),"NEW","")))</f>
        <v/>
      </c>
      <c r="G1149" s="12" t="str">
        <f aca="false">IF(OR(E1149="",E1149="!!!"),"",IF(OR(J1149=0,AND(J1149=1,K1149=1),AND(J1149=1,I1149="SBJ"),AND(J1149=1,I1149=0)),"?IN_FOCUS",IF(J1149&lt;=2,"?ACTIVATED",IF(J1149&lt;&gt;"","?FAMILIAR",IF(F1149="NEW",IF(ISNA(VLOOKUP(E1149,#REF!,1,FALSE())),"?TYPE_IDENTIFIABLE","?REFERENTIAL"),"_")))))</f>
        <v/>
      </c>
      <c r="H1149" s="13" t="str">
        <f aca="false">IF(J1149&lt;&gt;1,"",IF(I1149="SBJ","CB","?"))</f>
        <v/>
      </c>
      <c r="I1149" s="14" t="str">
        <f aca="false">IF(OR(E1149="",E1149="!!!",F1149="NEW"),"",INDEX(B$2:B1148,-1+SUMPRODUCT(MAX(ROW(E$2:E1148)*(E1149=E$2:E1148)))))</f>
        <v/>
      </c>
      <c r="J1149" s="15" t="str">
        <f aca="true">IF(OR(E1149="",E1149="!!!",F1149="NEW"),"",COUNTBLANK(OFFSET(A$1,,,SUMPRODUCT(MAX(ROW(E$2:E1149)*(E1149=E$2:E1149)))))-COUNTBLANK(OFFSET(A$1,,,SUMPRODUCT(MAX(ROW(E$1:E1148)*(E1149=E$1:E1148))))))</f>
        <v/>
      </c>
      <c r="K1149" s="15" t="str">
        <f aca="false">IF(OR(E1149="",E1149="!!!",F1149="NEW"),"",INDEX(J$1:J1148,SUMPRODUCT(MAX(ROW(E$1:E1148)*(E1149=E$1:E1148)))))</f>
        <v/>
      </c>
      <c r="L1149" s="16"/>
    </row>
    <row r="1150" customFormat="false" ht="12.75" hidden="false" customHeight="false" outlineLevel="0" collapsed="false">
      <c r="A1150" s="9" t="s">
        <v>525</v>
      </c>
      <c r="B1150" s="0" t="s">
        <v>40</v>
      </c>
      <c r="C1150" s="0" t="s">
        <v>83</v>
      </c>
      <c r="D1150" s="0" t="s">
        <v>19</v>
      </c>
      <c r="E1150" s="10" t="s">
        <v>526</v>
      </c>
      <c r="F1150" s="11" t="str">
        <f aca="false">IF(OR(E1150="",E1150="!!!"),"",IF(NOT(ISNA(VLOOKUP(E1150,E$1:E1149,1,FALSE()))),"OLD",IF(AND(E1150&lt;&gt;"",E1150&lt;&gt;"!!!"),"NEW","")))</f>
        <v>NEW</v>
      </c>
      <c r="G1150" s="12" t="s">
        <v>21</v>
      </c>
      <c r="H1150" s="13" t="str">
        <f aca="false">IF(J1150&lt;&gt;1,"",IF(I1150="SBJ","CB","?"))</f>
        <v/>
      </c>
      <c r="I1150" s="14" t="str">
        <f aca="false">IF(OR(E1150="",E1150="!!!",F1150="NEW"),"",INDEX(B$2:B1149,-1+SUMPRODUCT(MAX(ROW(E$2:E1149)*(E1150=E$2:E1149)))))</f>
        <v/>
      </c>
      <c r="J1150" s="15" t="str">
        <f aca="true">IF(OR(E1150="",E1150="!!!",F1150="NEW"),"",COUNTBLANK(OFFSET(A$1,,,SUMPRODUCT(MAX(ROW(E$2:E1150)*(E1150=E$2:E1150)))))-COUNTBLANK(OFFSET(A$1,,,SUMPRODUCT(MAX(ROW(E$1:E1149)*(E1150=E$1:E1149))))))</f>
        <v/>
      </c>
      <c r="K1150" s="15" t="str">
        <f aca="false">IF(OR(E1150="",E1150="!!!",F1150="NEW"),"",INDEX(J$1:J1149,SUMPRODUCT(MAX(ROW(E$1:E1149)*(E1150=E$1:E1149)))))</f>
        <v/>
      </c>
      <c r="L1150" s="16"/>
    </row>
    <row r="1151" customFormat="false" ht="12.75" hidden="false" customHeight="false" outlineLevel="0" collapsed="false">
      <c r="A1151" s="9" t="s">
        <v>63</v>
      </c>
      <c r="E1151" s="10" t="str">
        <f aca="false">IF(D1151="?OLD","!!!","")</f>
        <v/>
      </c>
      <c r="F1151" s="11" t="str">
        <f aca="false">IF(OR(E1151="",E1151="!!!"),"",IF(NOT(ISNA(VLOOKUP(E1151,E$1:E1150,1,FALSE()))),"OLD",IF(AND(E1151&lt;&gt;"",E1151&lt;&gt;"!!!"),"NEW","")))</f>
        <v/>
      </c>
      <c r="G1151" s="12" t="str">
        <f aca="false">IF(OR(E1151="",E1151="!!!"),"",IF(OR(J1151=0,AND(J1151=1,K1151=1),AND(J1151=1,I1151="SBJ"),AND(J1151=1,I1151=0)),"?IN_FOCUS",IF(J1151&lt;=2,"?ACTIVATED",IF(J1151&lt;&gt;"","?FAMILIAR",IF(F1151="NEW",IF(ISNA(VLOOKUP(E1151,#REF!,1,FALSE())),"?TYPE_IDENTIFIABLE","?REFERENTIAL"),"_")))))</f>
        <v/>
      </c>
      <c r="H1151" s="13" t="str">
        <f aca="false">IF(J1151&lt;&gt;1,"",IF(I1151="SBJ","CB","?"))</f>
        <v/>
      </c>
      <c r="I1151" s="14" t="str">
        <f aca="false">IF(OR(E1151="",E1151="!!!",F1151="NEW"),"",INDEX(B$2:B1150,-1+SUMPRODUCT(MAX(ROW(E$2:E1150)*(E1151=E$2:E1150)))))</f>
        <v/>
      </c>
      <c r="J1151" s="15" t="str">
        <f aca="true">IF(OR(E1151="",E1151="!!!",F1151="NEW"),"",COUNTBLANK(OFFSET(A$1,,,SUMPRODUCT(MAX(ROW(E$2:E1151)*(E1151=E$2:E1151)))))-COUNTBLANK(OFFSET(A$1,,,SUMPRODUCT(MAX(ROW(E$1:E1150)*(E1151=E$1:E1150))))))</f>
        <v/>
      </c>
      <c r="K1151" s="15" t="str">
        <f aca="false">IF(OR(E1151="",E1151="!!!",F1151="NEW"),"",INDEX(J$1:J1150,SUMPRODUCT(MAX(ROW(E$1:E1150)*(E1151=E$1:E1150)))))</f>
        <v/>
      </c>
      <c r="L1151" s="16"/>
    </row>
    <row r="1152" customFormat="false" ht="12.75" hidden="false" customHeight="false" outlineLevel="0" collapsed="false">
      <c r="A1152" s="9" t="s">
        <v>527</v>
      </c>
      <c r="B1152" s="0" t="s">
        <v>75</v>
      </c>
      <c r="C1152" s="0" t="s">
        <v>25</v>
      </c>
      <c r="E1152" s="10" t="str">
        <f aca="false">IF(D1152="?OLD","!!!","")</f>
        <v/>
      </c>
      <c r="F1152" s="11" t="str">
        <f aca="false">IF(OR(E1152="",E1152="!!!"),"",IF(NOT(ISNA(VLOOKUP(E1152,E$1:E1151,1,FALSE()))),"OLD",IF(AND(E1152&lt;&gt;"",E1152&lt;&gt;"!!!"),"NEW","")))</f>
        <v/>
      </c>
      <c r="G1152" s="12" t="str">
        <f aca="false">IF(OR(E1152="",E1152="!!!"),"",IF(OR(J1152=0,AND(J1152=1,K1152=1),AND(J1152=1,I1152="SBJ"),AND(J1152=1,I1152=0)),"?IN_FOCUS",IF(J1152&lt;=2,"?ACTIVATED",IF(J1152&lt;&gt;"","?FAMILIAR",IF(F1152="NEW",IF(ISNA(VLOOKUP(E1152,#REF!,1,FALSE())),"?TYPE_IDENTIFIABLE","?REFERENTIAL"),"_")))))</f>
        <v/>
      </c>
      <c r="H1152" s="13" t="str">
        <f aca="false">IF(J1152&lt;&gt;1,"",IF(I1152="SBJ","CB","?"))</f>
        <v/>
      </c>
      <c r="I1152" s="14" t="str">
        <f aca="false">IF(OR(E1152="",E1152="!!!",F1152="NEW"),"",INDEX(B$2:B1151,-1+SUMPRODUCT(MAX(ROW(E$2:E1151)*(E1152=E$2:E1151)))))</f>
        <v/>
      </c>
      <c r="J1152" s="15" t="str">
        <f aca="true">IF(OR(E1152="",E1152="!!!",F1152="NEW"),"",COUNTBLANK(OFFSET(A$1,,,SUMPRODUCT(MAX(ROW(E$2:E1152)*(E1152=E$2:E1152)))))-COUNTBLANK(OFFSET(A$1,,,SUMPRODUCT(MAX(ROW(E$1:E1151)*(E1152=E$1:E1151))))))</f>
        <v/>
      </c>
      <c r="K1152" s="15" t="str">
        <f aca="false">IF(OR(E1152="",E1152="!!!",F1152="NEW"),"",INDEX(J$1:J1151,SUMPRODUCT(MAX(ROW(E$1:E1151)*(E1152=E$1:E1151)))))</f>
        <v/>
      </c>
      <c r="L1152" s="16"/>
    </row>
    <row r="1153" customFormat="false" ht="12.75" hidden="false" customHeight="false" outlineLevel="0" collapsed="false">
      <c r="A1153" s="9" t="s">
        <v>28</v>
      </c>
      <c r="E1153" s="10" t="str">
        <f aca="false">IF(D1153="?OLD","!!!","")</f>
        <v/>
      </c>
      <c r="F1153" s="11" t="str">
        <f aca="false">IF(OR(E1153="",E1153="!!!"),"",IF(NOT(ISNA(VLOOKUP(E1153,E$1:E1152,1,FALSE()))),"OLD",IF(AND(E1153&lt;&gt;"",E1153&lt;&gt;"!!!"),"NEW","")))</f>
        <v/>
      </c>
      <c r="G1153" s="12" t="str">
        <f aca="false">IF(OR(E1153="",E1153="!!!"),"",IF(OR(J1153=0,AND(J1153=1,K1153=1),AND(J1153=1,I1153="SBJ"),AND(J1153=1,I1153=0)),"?IN_FOCUS",IF(J1153&lt;=2,"?ACTIVATED",IF(J1153&lt;&gt;"","?FAMILIAR",IF(F1153="NEW",IF(ISNA(VLOOKUP(E1153,#REF!,1,FALSE())),"?TYPE_IDENTIFIABLE","?REFERENTIAL"),"_")))))</f>
        <v/>
      </c>
      <c r="H1153" s="13" t="str">
        <f aca="false">IF(J1153&lt;&gt;1,"",IF(I1153="SBJ","CB","?"))</f>
        <v/>
      </c>
      <c r="I1153" s="14" t="str">
        <f aca="false">IF(OR(E1153="",E1153="!!!",F1153="NEW"),"",INDEX(B$2:B1152,-1+SUMPRODUCT(MAX(ROW(E$2:E1152)*(E1153=E$2:E1152)))))</f>
        <v/>
      </c>
      <c r="J1153" s="15" t="str">
        <f aca="true">IF(OR(E1153="",E1153="!!!",F1153="NEW"),"",COUNTBLANK(OFFSET(A$1,,,SUMPRODUCT(MAX(ROW(E$2:E1153)*(E1153=E$2:E1153)))))-COUNTBLANK(OFFSET(A$1,,,SUMPRODUCT(MAX(ROW(E$1:E1152)*(E1153=E$1:E1152))))))</f>
        <v/>
      </c>
      <c r="K1153" s="15" t="str">
        <f aca="false">IF(OR(E1153="",E1153="!!!",F1153="NEW"),"",INDEX(J$1:J1152,SUMPRODUCT(MAX(ROW(E$1:E1152)*(E1153=E$1:E1152)))))</f>
        <v/>
      </c>
      <c r="L1153" s="16"/>
    </row>
    <row r="1154" customFormat="false" ht="12.75" hidden="false" customHeight="false" outlineLevel="0" collapsed="false">
      <c r="A1154" s="9" t="s">
        <v>42</v>
      </c>
      <c r="E1154" s="10" t="str">
        <f aca="false">IF(D1154="?OLD","!!!","")</f>
        <v/>
      </c>
      <c r="F1154" s="11" t="str">
        <f aca="false">IF(OR(E1154="",E1154="!!!"),"",IF(NOT(ISNA(VLOOKUP(E1154,E$1:E1153,1,FALSE()))),"OLD",IF(AND(E1154&lt;&gt;"",E1154&lt;&gt;"!!!"),"NEW","")))</f>
        <v/>
      </c>
      <c r="G1154" s="12" t="str">
        <f aca="false">IF(OR(E1154="",E1154="!!!"),"",IF(OR(J1154=0,AND(J1154=1,K1154=1),AND(J1154=1,I1154="SBJ"),AND(J1154=1,I1154=0)),"?IN_FOCUS",IF(J1154&lt;=2,"?ACTIVATED",IF(J1154&lt;&gt;"","?FAMILIAR",IF(F1154="NEW",IF(ISNA(VLOOKUP(E1154,#REF!,1,FALSE())),"?TYPE_IDENTIFIABLE","?REFERENTIAL"),"_")))))</f>
        <v/>
      </c>
      <c r="H1154" s="13" t="str">
        <f aca="false">IF(J1154&lt;&gt;1,"",IF(I1154="SBJ","CB","?"))</f>
        <v/>
      </c>
      <c r="I1154" s="14" t="str">
        <f aca="false">IF(OR(E1154="",E1154="!!!",F1154="NEW"),"",INDEX(B$2:B1153,-1+SUMPRODUCT(MAX(ROW(E$2:E1153)*(E1154=E$2:E1153)))))</f>
        <v/>
      </c>
      <c r="J1154" s="15" t="str">
        <f aca="true">IF(OR(E1154="",E1154="!!!",F1154="NEW"),"",COUNTBLANK(OFFSET(A$1,,,SUMPRODUCT(MAX(ROW(E$2:E1154)*(E1154=E$2:E1154)))))-COUNTBLANK(OFFSET(A$1,,,SUMPRODUCT(MAX(ROW(E$1:E1153)*(E1154=E$1:E1153))))))</f>
        <v/>
      </c>
      <c r="K1154" s="15" t="str">
        <f aca="false">IF(OR(E1154="",E1154="!!!",F1154="NEW"),"",INDEX(J$1:J1153,SUMPRODUCT(MAX(ROW(E$1:E1153)*(E1154=E$1:E1153)))))</f>
        <v/>
      </c>
      <c r="L1154" s="16"/>
    </row>
    <row r="1155" customFormat="false" ht="12.75" hidden="false" customHeight="false" outlineLevel="0" collapsed="false">
      <c r="A1155" s="9" t="s">
        <v>15</v>
      </c>
      <c r="E1155" s="10" t="str">
        <f aca="false">IF(D1155="?OLD","!!!","")</f>
        <v/>
      </c>
      <c r="F1155" s="11" t="str">
        <f aca="false">IF(OR(E1155="",E1155="!!!"),"",IF(NOT(ISNA(VLOOKUP(E1155,E$1:E1154,1,FALSE()))),"OLD",IF(AND(E1155&lt;&gt;"",E1155&lt;&gt;"!!!"),"NEW","")))</f>
        <v/>
      </c>
      <c r="G1155" s="12" t="str">
        <f aca="false">IF(OR(E1155="",E1155="!!!"),"",IF(OR(J1155=0,AND(J1155=1,K1155=1),AND(J1155=1,I1155="SBJ"),AND(J1155=1,I1155=0)),"?IN_FOCUS",IF(J1155&lt;=2,"?ACTIVATED",IF(J1155&lt;&gt;"","?FAMILIAR",IF(F1155="NEW",IF(ISNA(VLOOKUP(E1155,#REF!,1,FALSE())),"?TYPE_IDENTIFIABLE","?REFERENTIAL"),"_")))))</f>
        <v/>
      </c>
      <c r="H1155" s="13" t="str">
        <f aca="false">IF(J1155&lt;&gt;1,"",IF(I1155="SBJ","CB","?"))</f>
        <v/>
      </c>
      <c r="I1155" s="14" t="str">
        <f aca="false">IF(OR(E1155="",E1155="!!!",F1155="NEW"),"",INDEX(B$2:B1154,-1+SUMPRODUCT(MAX(ROW(E$2:E1154)*(E1155=E$2:E1154)))))</f>
        <v/>
      </c>
      <c r="J1155" s="15" t="str">
        <f aca="true">IF(OR(E1155="",E1155="!!!",F1155="NEW"),"",COUNTBLANK(OFFSET(A$1,,,SUMPRODUCT(MAX(ROW(E$2:E1155)*(E1155=E$2:E1155)))))-COUNTBLANK(OFFSET(A$1,,,SUMPRODUCT(MAX(ROW(E$1:E1154)*(E1155=E$1:E1154))))))</f>
        <v/>
      </c>
      <c r="K1155" s="15" t="str">
        <f aca="false">IF(OR(E1155="",E1155="!!!",F1155="NEW"),"",INDEX(J$1:J1154,SUMPRODUCT(MAX(ROW(E$1:E1154)*(E1155=E$1:E1154)))))</f>
        <v/>
      </c>
      <c r="L1155" s="16"/>
    </row>
    <row r="1156" customFormat="false" ht="12.75" hidden="false" customHeight="false" outlineLevel="0" collapsed="false">
      <c r="A1156" s="9" t="s">
        <v>528</v>
      </c>
      <c r="B1156" s="0" t="s">
        <v>40</v>
      </c>
      <c r="C1156" s="0" t="s">
        <v>18</v>
      </c>
      <c r="D1156" s="0" t="s">
        <v>19</v>
      </c>
      <c r="E1156" s="10" t="s">
        <v>529</v>
      </c>
      <c r="F1156" s="11" t="str">
        <f aca="false">IF(OR(E1156="",E1156="!!!"),"",IF(NOT(ISNA(VLOOKUP(E1156,E$1:E1155,1,FALSE()))),"OLD",IF(AND(E1156&lt;&gt;"",E1156&lt;&gt;"!!!"),"NEW","")))</f>
        <v>NEW</v>
      </c>
      <c r="G1156" s="12" t="s">
        <v>21</v>
      </c>
      <c r="H1156" s="13" t="str">
        <f aca="false">IF(J1156&lt;&gt;1,"",IF(I1156="SBJ","CB","?"))</f>
        <v/>
      </c>
      <c r="I1156" s="14" t="str">
        <f aca="false">IF(OR(E1156="",E1156="!!!",F1156="NEW"),"",INDEX(B$2:B1155,-1+SUMPRODUCT(MAX(ROW(E$2:E1155)*(E1156=E$2:E1155)))))</f>
        <v/>
      </c>
      <c r="J1156" s="15" t="str">
        <f aca="true">IF(OR(E1156="",E1156="!!!",F1156="NEW"),"",COUNTBLANK(OFFSET(A$1,,,SUMPRODUCT(MAX(ROW(E$2:E1156)*(E1156=E$2:E1156)))))-COUNTBLANK(OFFSET(A$1,,,SUMPRODUCT(MAX(ROW(E$1:E1155)*(E1156=E$1:E1155))))))</f>
        <v/>
      </c>
      <c r="K1156" s="15" t="str">
        <f aca="false">IF(OR(E1156="",E1156="!!!",F1156="NEW"),"",INDEX(J$1:J1155,SUMPRODUCT(MAX(ROW(E$1:E1155)*(E1156=E$1:E1155)))))</f>
        <v/>
      </c>
      <c r="L1156" s="16"/>
    </row>
    <row r="1157" customFormat="false" ht="12.75" hidden="false" customHeight="false" outlineLevel="0" collapsed="false">
      <c r="A1157" s="9" t="s">
        <v>22</v>
      </c>
      <c r="E1157" s="10" t="str">
        <f aca="false">IF(D1157="?OLD","!!!","")</f>
        <v/>
      </c>
      <c r="F1157" s="11" t="str">
        <f aca="false">IF(OR(E1157="",E1157="!!!"),"",IF(NOT(ISNA(VLOOKUP(E1157,E$1:E1156,1,FALSE()))),"OLD",IF(AND(E1157&lt;&gt;"",E1157&lt;&gt;"!!!"),"NEW","")))</f>
        <v/>
      </c>
      <c r="G1157" s="12" t="str">
        <f aca="false">IF(OR(E1157="",E1157="!!!"),"",IF(OR(J1157=0,AND(J1157=1,K1157=1),AND(J1157=1,I1157="SBJ"),AND(J1157=1,I1157=0)),"?IN_FOCUS",IF(J1157&lt;=2,"?ACTIVATED",IF(J1157&lt;&gt;"","?FAMILIAR",IF(F1157="NEW",IF(ISNA(VLOOKUP(E1157,#REF!,1,FALSE())),"?TYPE_IDENTIFIABLE","?REFERENTIAL"),"_")))))</f>
        <v/>
      </c>
      <c r="H1157" s="13" t="str">
        <f aca="false">IF(J1157&lt;&gt;1,"",IF(I1157="SBJ","CB","?"))</f>
        <v/>
      </c>
      <c r="I1157" s="14" t="str">
        <f aca="false">IF(OR(E1157="",E1157="!!!",F1157="NEW"),"",INDEX(B$2:B1156,-1+SUMPRODUCT(MAX(ROW(E$2:E1156)*(E1157=E$2:E1156)))))</f>
        <v/>
      </c>
      <c r="J1157" s="15" t="str">
        <f aca="true">IF(OR(E1157="",E1157="!!!",F1157="NEW"),"",COUNTBLANK(OFFSET(A$1,,,SUMPRODUCT(MAX(ROW(E$2:E1157)*(E1157=E$2:E1157)))))-COUNTBLANK(OFFSET(A$1,,,SUMPRODUCT(MAX(ROW(E$1:E1156)*(E1157=E$1:E1156))))))</f>
        <v/>
      </c>
      <c r="K1157" s="15" t="str">
        <f aca="false">IF(OR(E1157="",E1157="!!!",F1157="NEW"),"",INDEX(J$1:J1156,SUMPRODUCT(MAX(ROW(E$1:E1156)*(E1157=E$1:E1156)))))</f>
        <v/>
      </c>
      <c r="L1157" s="16"/>
    </row>
    <row r="1158" customFormat="false" ht="12.75" hidden="false" customHeight="false" outlineLevel="0" collapsed="false">
      <c r="A1158" s="9" t="s">
        <v>530</v>
      </c>
      <c r="B1158" s="0" t="s">
        <v>75</v>
      </c>
      <c r="C1158" s="0" t="s">
        <v>25</v>
      </c>
      <c r="E1158" s="10" t="str">
        <f aca="false">IF(D1158="?OLD","!!!","")</f>
        <v/>
      </c>
      <c r="F1158" s="11" t="str">
        <f aca="false">IF(OR(E1158="",E1158="!!!"),"",IF(NOT(ISNA(VLOOKUP(E1158,E$1:E1157,1,FALSE()))),"OLD",IF(AND(E1158&lt;&gt;"",E1158&lt;&gt;"!!!"),"NEW","")))</f>
        <v/>
      </c>
      <c r="G1158" s="12" t="str">
        <f aca="false">IF(OR(E1158="",E1158="!!!"),"",IF(OR(J1158=0,AND(J1158=1,K1158=1),AND(J1158=1,I1158="SBJ"),AND(J1158=1,I1158=0)),"?IN_FOCUS",IF(J1158&lt;=2,"?ACTIVATED",IF(J1158&lt;&gt;"","?FAMILIAR",IF(F1158="NEW",IF(ISNA(VLOOKUP(E1158,#REF!,1,FALSE())),"?TYPE_IDENTIFIABLE","?REFERENTIAL"),"_")))))</f>
        <v/>
      </c>
      <c r="H1158" s="13" t="str">
        <f aca="false">IF(J1158&lt;&gt;1,"",IF(I1158="SBJ","CB","?"))</f>
        <v/>
      </c>
      <c r="I1158" s="14" t="str">
        <f aca="false">IF(OR(E1158="",E1158="!!!",F1158="NEW"),"",INDEX(B$2:B1157,-1+SUMPRODUCT(MAX(ROW(E$2:E1157)*(E1158=E$2:E1157)))))</f>
        <v/>
      </c>
      <c r="J1158" s="15" t="str">
        <f aca="true">IF(OR(E1158="",E1158="!!!",F1158="NEW"),"",COUNTBLANK(OFFSET(A$1,,,SUMPRODUCT(MAX(ROW(E$2:E1158)*(E1158=E$2:E1158)))))-COUNTBLANK(OFFSET(A$1,,,SUMPRODUCT(MAX(ROW(E$1:E1157)*(E1158=E$1:E1157))))))</f>
        <v/>
      </c>
      <c r="K1158" s="15" t="str">
        <f aca="false">IF(OR(E1158="",E1158="!!!",F1158="NEW"),"",INDEX(J$1:J1157,SUMPRODUCT(MAX(ROW(E$1:E1157)*(E1158=E$1:E1157)))))</f>
        <v/>
      </c>
      <c r="L1158" s="16"/>
    </row>
    <row r="1159" customFormat="false" ht="12.75" hidden="false" customHeight="false" outlineLevel="0" collapsed="false">
      <c r="A1159" s="9" t="s">
        <v>28</v>
      </c>
      <c r="E1159" s="10" t="str">
        <f aca="false">IF(D1159="?OLD","!!!","")</f>
        <v/>
      </c>
      <c r="F1159" s="11" t="str">
        <f aca="false">IF(OR(E1159="",E1159="!!!"),"",IF(NOT(ISNA(VLOOKUP(E1159,E$1:E1158,1,FALSE()))),"OLD",IF(AND(E1159&lt;&gt;"",E1159&lt;&gt;"!!!"),"NEW","")))</f>
        <v/>
      </c>
      <c r="G1159" s="12" t="str">
        <f aca="false">IF(OR(E1159="",E1159="!!!"),"",IF(OR(J1159=0,AND(J1159=1,K1159=1),AND(J1159=1,I1159="SBJ"),AND(J1159=1,I1159=0)),"?IN_FOCUS",IF(J1159&lt;=2,"?ACTIVATED",IF(J1159&lt;&gt;"","?FAMILIAR",IF(F1159="NEW",IF(ISNA(VLOOKUP(E1159,#REF!,1,FALSE())),"?TYPE_IDENTIFIABLE","?REFERENTIAL"),"_")))))</f>
        <v/>
      </c>
      <c r="H1159" s="13" t="str">
        <f aca="false">IF(J1159&lt;&gt;1,"",IF(I1159="SBJ","CB","?"))</f>
        <v/>
      </c>
      <c r="I1159" s="14" t="str">
        <f aca="false">IF(OR(E1159="",E1159="!!!",F1159="NEW"),"",INDEX(B$2:B1158,-1+SUMPRODUCT(MAX(ROW(E$2:E1158)*(E1159=E$2:E1158)))))</f>
        <v/>
      </c>
      <c r="J1159" s="15" t="str">
        <f aca="true">IF(OR(E1159="",E1159="!!!",F1159="NEW"),"",COUNTBLANK(OFFSET(A$1,,,SUMPRODUCT(MAX(ROW(E$2:E1159)*(E1159=E$2:E1159)))))-COUNTBLANK(OFFSET(A$1,,,SUMPRODUCT(MAX(ROW(E$1:E1158)*(E1159=E$1:E1158))))))</f>
        <v/>
      </c>
      <c r="K1159" s="15" t="str">
        <f aca="false">IF(OR(E1159="",E1159="!!!",F1159="NEW"),"",INDEX(J$1:J1158,SUMPRODUCT(MAX(ROW(E$1:E1158)*(E1159=E$1:E1158)))))</f>
        <v/>
      </c>
      <c r="L1159" s="16"/>
    </row>
    <row r="1160" customFormat="false" ht="12.75" hidden="false" customHeight="false" outlineLevel="0" collapsed="false">
      <c r="A1160" s="9" t="s">
        <v>63</v>
      </c>
      <c r="E1160" s="10" t="str">
        <f aca="false">IF(D1160="?OLD","!!!","")</f>
        <v/>
      </c>
      <c r="F1160" s="11" t="str">
        <f aca="false">IF(OR(E1160="",E1160="!!!"),"",IF(NOT(ISNA(VLOOKUP(E1160,E$1:E1159,1,FALSE()))),"OLD",IF(AND(E1160&lt;&gt;"",E1160&lt;&gt;"!!!"),"NEW","")))</f>
        <v/>
      </c>
      <c r="G1160" s="12" t="str">
        <f aca="false">IF(OR(E1160="",E1160="!!!"),"",IF(OR(J1160=0,AND(J1160=1,K1160=1),AND(J1160=1,I1160="SBJ"),AND(J1160=1,I1160=0)),"?IN_FOCUS",IF(J1160&lt;=2,"?ACTIVATED",IF(J1160&lt;&gt;"","?FAMILIAR",IF(F1160="NEW",IF(ISNA(VLOOKUP(E1160,#REF!,1,FALSE())),"?TYPE_IDENTIFIABLE","?REFERENTIAL"),"_")))))</f>
        <v/>
      </c>
      <c r="H1160" s="13" t="str">
        <f aca="false">IF(J1160&lt;&gt;1,"",IF(I1160="SBJ","CB","?"))</f>
        <v/>
      </c>
      <c r="I1160" s="14" t="str">
        <f aca="false">IF(OR(E1160="",E1160="!!!",F1160="NEW"),"",INDEX(B$2:B1159,-1+SUMPRODUCT(MAX(ROW(E$2:E1159)*(E1160=E$2:E1159)))))</f>
        <v/>
      </c>
      <c r="J1160" s="15" t="str">
        <f aca="true">IF(OR(E1160="",E1160="!!!",F1160="NEW"),"",COUNTBLANK(OFFSET(A$1,,,SUMPRODUCT(MAX(ROW(E$2:E1160)*(E1160=E$2:E1160)))))-COUNTBLANK(OFFSET(A$1,,,SUMPRODUCT(MAX(ROW(E$1:E1159)*(E1160=E$1:E1159))))))</f>
        <v/>
      </c>
      <c r="K1160" s="15" t="str">
        <f aca="false">IF(OR(E1160="",E1160="!!!",F1160="NEW"),"",INDEX(J$1:J1159,SUMPRODUCT(MAX(ROW(E$1:E1159)*(E1160=E$1:E1159)))))</f>
        <v/>
      </c>
      <c r="L1160" s="16"/>
    </row>
    <row r="1161" customFormat="false" ht="12.75" hidden="false" customHeight="false" outlineLevel="0" collapsed="false">
      <c r="A1161" s="9" t="s">
        <v>531</v>
      </c>
      <c r="B1161" s="0" t="s">
        <v>75</v>
      </c>
      <c r="C1161" s="0" t="s">
        <v>25</v>
      </c>
      <c r="E1161" s="10" t="str">
        <f aca="false">IF(D1161="?OLD","!!!","")</f>
        <v/>
      </c>
      <c r="F1161" s="11" t="str">
        <f aca="false">IF(OR(E1161="",E1161="!!!"),"",IF(NOT(ISNA(VLOOKUP(E1161,E$1:E1160,1,FALSE()))),"OLD",IF(AND(E1161&lt;&gt;"",E1161&lt;&gt;"!!!"),"NEW","")))</f>
        <v/>
      </c>
      <c r="G1161" s="12" t="str">
        <f aca="false">IF(OR(E1161="",E1161="!!!"),"",IF(OR(J1161=0,AND(J1161=1,K1161=1),AND(J1161=1,I1161="SBJ"),AND(J1161=1,I1161=0)),"?IN_FOCUS",IF(J1161&lt;=2,"?ACTIVATED",IF(J1161&lt;&gt;"","?FAMILIAR",IF(F1161="NEW",IF(ISNA(VLOOKUP(E1161,#REF!,1,FALSE())),"?TYPE_IDENTIFIABLE","?REFERENTIAL"),"_")))))</f>
        <v/>
      </c>
      <c r="H1161" s="13" t="str">
        <f aca="false">IF(J1161&lt;&gt;1,"",IF(I1161="SBJ","CB","?"))</f>
        <v/>
      </c>
      <c r="I1161" s="14" t="str">
        <f aca="false">IF(OR(E1161="",E1161="!!!",F1161="NEW"),"",INDEX(B$2:B1160,-1+SUMPRODUCT(MAX(ROW(E$2:E1160)*(E1161=E$2:E1160)))))</f>
        <v/>
      </c>
      <c r="J1161" s="15" t="str">
        <f aca="true">IF(OR(E1161="",E1161="!!!",F1161="NEW"),"",COUNTBLANK(OFFSET(A$1,,,SUMPRODUCT(MAX(ROW(E$2:E1161)*(E1161=E$2:E1161)))))-COUNTBLANK(OFFSET(A$1,,,SUMPRODUCT(MAX(ROW(E$1:E1160)*(E1161=E$1:E1160))))))</f>
        <v/>
      </c>
      <c r="K1161" s="15" t="str">
        <f aca="false">IF(OR(E1161="",E1161="!!!",F1161="NEW"),"",INDEX(J$1:J1160,SUMPRODUCT(MAX(ROW(E$1:E1160)*(E1161=E$1:E1160)))))</f>
        <v/>
      </c>
      <c r="L1161" s="16"/>
    </row>
    <row r="1162" customFormat="false" ht="12.75" hidden="false" customHeight="false" outlineLevel="0" collapsed="false">
      <c r="A1162" s="9" t="s">
        <v>44</v>
      </c>
      <c r="E1162" s="10" t="str">
        <f aca="false">IF(D1162="?OLD","!!!","")</f>
        <v/>
      </c>
      <c r="F1162" s="11" t="str">
        <f aca="false">IF(OR(E1162="",E1162="!!!"),"",IF(NOT(ISNA(VLOOKUP(E1162,E$1:E1161,1,FALSE()))),"OLD",IF(AND(E1162&lt;&gt;"",E1162&lt;&gt;"!!!"),"NEW","")))</f>
        <v/>
      </c>
      <c r="G1162" s="12" t="str">
        <f aca="false">IF(OR(E1162="",E1162="!!!"),"",IF(OR(J1162=0,AND(J1162=1,K1162=1),AND(J1162=1,I1162="SBJ"),AND(J1162=1,I1162=0)),"?IN_FOCUS",IF(J1162&lt;=2,"?ACTIVATED",IF(J1162&lt;&gt;"","?FAMILIAR",IF(F1162="NEW",IF(ISNA(VLOOKUP(E1162,#REF!,1,FALSE())),"?TYPE_IDENTIFIABLE","?REFERENTIAL"),"_")))))</f>
        <v/>
      </c>
      <c r="H1162" s="13" t="str">
        <f aca="false">IF(J1162&lt;&gt;1,"",IF(I1162="SBJ","CB","?"))</f>
        <v/>
      </c>
      <c r="I1162" s="14" t="str">
        <f aca="false">IF(OR(E1162="",E1162="!!!",F1162="NEW"),"",INDEX(B$2:B1161,-1+SUMPRODUCT(MAX(ROW(E$2:E1161)*(E1162=E$2:E1161)))))</f>
        <v/>
      </c>
      <c r="J1162" s="15" t="str">
        <f aca="true">IF(OR(E1162="",E1162="!!!",F1162="NEW"),"",COUNTBLANK(OFFSET(A$1,,,SUMPRODUCT(MAX(ROW(E$2:E1162)*(E1162=E$2:E1162)))))-COUNTBLANK(OFFSET(A$1,,,SUMPRODUCT(MAX(ROW(E$1:E1161)*(E1162=E$1:E1161))))))</f>
        <v/>
      </c>
      <c r="K1162" s="15" t="str">
        <f aca="false">IF(OR(E1162="",E1162="!!!",F1162="NEW"),"",INDEX(J$1:J1161,SUMPRODUCT(MAX(ROW(E$1:E1161)*(E1162=E$1:E1161)))))</f>
        <v/>
      </c>
      <c r="L1162" s="16"/>
    </row>
    <row r="1163" customFormat="false" ht="12.75" hidden="false" customHeight="false" outlineLevel="0" collapsed="false">
      <c r="E1163" s="10" t="str">
        <f aca="false">IF(D1163="?OLD","!!!","")</f>
        <v/>
      </c>
      <c r="F1163" s="11" t="str">
        <f aca="false">IF(OR(E1163="",E1163="!!!"),"",IF(NOT(ISNA(VLOOKUP(E1163,E$1:E1162,1,FALSE()))),"OLD",IF(AND(E1163&lt;&gt;"",E1163&lt;&gt;"!!!"),"NEW","")))</f>
        <v/>
      </c>
      <c r="G1163" s="12" t="str">
        <f aca="false">IF(OR(E1163="",E1163="!!!"),"",IF(OR(J1163=0,AND(J1163=1,K1163=1),AND(J1163=1,I1163="SBJ"),AND(J1163=1,I1163=0)),"?IN_FOCUS",IF(J1163&lt;=2,"?ACTIVATED",IF(J1163&lt;&gt;"","?FAMILIAR",IF(F1163="NEW",IF(ISNA(VLOOKUP(E1163,#REF!,1,FALSE())),"?TYPE_IDENTIFIABLE","?REFERENTIAL"),"_")))))</f>
        <v/>
      </c>
      <c r="H1163" s="13" t="str">
        <f aca="false">IF(J1163&lt;&gt;1,"",IF(I1163="SBJ","CB","?"))</f>
        <v/>
      </c>
      <c r="I1163" s="14" t="str">
        <f aca="false">IF(OR(E1163="",E1163="!!!",F1163="NEW"),"",INDEX(B$2:B1162,-1+SUMPRODUCT(MAX(ROW(E$2:E1162)*(E1163=E$2:E1162)))))</f>
        <v/>
      </c>
      <c r="J1163" s="15" t="str">
        <f aca="true">IF(OR(E1163="",E1163="!!!",F1163="NEW"),"",COUNTBLANK(OFFSET(A$1,,,SUMPRODUCT(MAX(ROW(E$2:E1163)*(E1163=E$2:E1163)))))-COUNTBLANK(OFFSET(A$1,,,SUMPRODUCT(MAX(ROW(E$1:E1162)*(E1163=E$1:E1162))))))</f>
        <v/>
      </c>
      <c r="K1163" s="15" t="str">
        <f aca="false">IF(OR(E1163="",E1163="!!!",F1163="NEW"),"",INDEX(J$1:J1162,SUMPRODUCT(MAX(ROW(E$1:E1162)*(E1163=E$1:E1162)))))</f>
        <v/>
      </c>
      <c r="L1163" s="16"/>
    </row>
    <row r="1164" customFormat="false" ht="12.75" hidden="false" customHeight="false" outlineLevel="0" collapsed="false">
      <c r="A1164" s="9" t="s">
        <v>532</v>
      </c>
      <c r="E1164" s="10" t="str">
        <f aca="false">IF(D1164="?OLD","!!!","")</f>
        <v/>
      </c>
      <c r="F1164" s="11" t="str">
        <f aca="false">IF(OR(E1164="",E1164="!!!"),"",IF(NOT(ISNA(VLOOKUP(E1164,E$1:E1163,1,FALSE()))),"OLD",IF(AND(E1164&lt;&gt;"",E1164&lt;&gt;"!!!"),"NEW","")))</f>
        <v/>
      </c>
      <c r="G1164" s="12" t="str">
        <f aca="false">IF(OR(E1164="",E1164="!!!"),"",IF(OR(J1164=0,AND(J1164=1,K1164=1),AND(J1164=1,I1164="SBJ"),AND(J1164=1,I1164=0)),"?IN_FOCUS",IF(J1164&lt;=2,"?ACTIVATED",IF(J1164&lt;&gt;"","?FAMILIAR",IF(F1164="NEW",IF(ISNA(VLOOKUP(E1164,#REF!,1,FALSE())),"?TYPE_IDENTIFIABLE","?REFERENTIAL"),"_")))))</f>
        <v/>
      </c>
      <c r="H1164" s="13" t="str">
        <f aca="false">IF(J1164&lt;&gt;1,"",IF(I1164="SBJ","CB","?"))</f>
        <v/>
      </c>
      <c r="I1164" s="14" t="str">
        <f aca="false">IF(OR(E1164="",E1164="!!!",F1164="NEW"),"",INDEX(B$2:B1163,-1+SUMPRODUCT(MAX(ROW(E$2:E1163)*(E1164=E$2:E1163)))))</f>
        <v/>
      </c>
      <c r="J1164" s="15" t="str">
        <f aca="true">IF(OR(E1164="",E1164="!!!",F1164="NEW"),"",COUNTBLANK(OFFSET(A$1,,,SUMPRODUCT(MAX(ROW(E$2:E1164)*(E1164=E$2:E1164)))))-COUNTBLANK(OFFSET(A$1,,,SUMPRODUCT(MAX(ROW(E$1:E1163)*(E1164=E$1:E1163))))))</f>
        <v/>
      </c>
      <c r="K1164" s="15" t="str">
        <f aca="false">IF(OR(E1164="",E1164="!!!",F1164="NEW"),"",INDEX(J$1:J1163,SUMPRODUCT(MAX(ROW(E$1:E1163)*(E1164=E$1:E1163)))))</f>
        <v/>
      </c>
      <c r="L1164" s="16"/>
    </row>
    <row r="1165" customFormat="false" ht="12.75" hidden="false" customHeight="false" outlineLevel="0" collapsed="false">
      <c r="A1165" s="9" t="s">
        <v>533</v>
      </c>
      <c r="B1165" s="0" t="s">
        <v>30</v>
      </c>
      <c r="C1165" s="0" t="s">
        <v>103</v>
      </c>
      <c r="D1165" s="0" t="s">
        <v>19</v>
      </c>
      <c r="E1165" s="10" t="s">
        <v>533</v>
      </c>
      <c r="F1165" s="11" t="str">
        <f aca="false">IF(OR(E1165="",E1165="!!!"),"",IF(NOT(ISNA(VLOOKUP(E1165,E$1:E1164,1,FALSE()))),"OLD",IF(AND(E1165&lt;&gt;"",E1165&lt;&gt;"!!!"),"NEW","")))</f>
        <v>NEW</v>
      </c>
      <c r="G1165" s="12" t="s">
        <v>21</v>
      </c>
      <c r="H1165" s="13" t="str">
        <f aca="false">IF(J1165&lt;&gt;1,"",IF(I1165="SBJ","CB","?"))</f>
        <v/>
      </c>
      <c r="I1165" s="14" t="str">
        <f aca="false">IF(OR(E1165="",E1165="!!!",F1165="NEW"),"",INDEX(B$2:B1164,-1+SUMPRODUCT(MAX(ROW(E$2:E1164)*(E1165=E$2:E1164)))))</f>
        <v/>
      </c>
      <c r="J1165" s="15" t="str">
        <f aca="true">IF(OR(E1165="",E1165="!!!",F1165="NEW"),"",COUNTBLANK(OFFSET(A$1,,,SUMPRODUCT(MAX(ROW(E$2:E1165)*(E1165=E$2:E1165)))))-COUNTBLANK(OFFSET(A$1,,,SUMPRODUCT(MAX(ROW(E$1:E1164)*(E1165=E$1:E1164))))))</f>
        <v/>
      </c>
      <c r="K1165" s="15" t="str">
        <f aca="false">IF(OR(E1165="",E1165="!!!",F1165="NEW"),"",INDEX(J$1:J1164,SUMPRODUCT(MAX(ROW(E$1:E1164)*(E1165=E$1:E1164)))))</f>
        <v/>
      </c>
      <c r="L1165" s="16"/>
    </row>
    <row r="1166" customFormat="false" ht="12.75" hidden="false" customHeight="false" outlineLevel="0" collapsed="false">
      <c r="A1166" s="9" t="s">
        <v>48</v>
      </c>
      <c r="E1166" s="10" t="str">
        <f aca="false">IF(D1166="?OLD","!!!","")</f>
        <v/>
      </c>
      <c r="F1166" s="11" t="str">
        <f aca="false">IF(OR(E1166="",E1166="!!!"),"",IF(NOT(ISNA(VLOOKUP(E1166,E$1:E1165,1,FALSE()))),"OLD",IF(AND(E1166&lt;&gt;"",E1166&lt;&gt;"!!!"),"NEW","")))</f>
        <v/>
      </c>
      <c r="G1166" s="12" t="str">
        <f aca="false">IF(OR(E1166="",E1166="!!!"),"",IF(OR(J1166=0,AND(J1166=1,K1166=1),AND(J1166=1,I1166="SBJ"),AND(J1166=1,I1166=0)),"?IN_FOCUS",IF(J1166&lt;=2,"?ACTIVATED",IF(J1166&lt;&gt;"","?FAMILIAR",IF(F1166="NEW",IF(ISNA(VLOOKUP(E1166,#REF!,1,FALSE())),"?TYPE_IDENTIFIABLE","?REFERENTIAL"),"_")))))</f>
        <v/>
      </c>
      <c r="H1166" s="13" t="str">
        <f aca="false">IF(J1166&lt;&gt;1,"",IF(I1166="SBJ","CB","?"))</f>
        <v/>
      </c>
      <c r="I1166" s="14" t="str">
        <f aca="false">IF(OR(E1166="",E1166="!!!",F1166="NEW"),"",INDEX(B$2:B1165,-1+SUMPRODUCT(MAX(ROW(E$2:E1165)*(E1166=E$2:E1165)))))</f>
        <v/>
      </c>
      <c r="J1166" s="15" t="str">
        <f aca="true">IF(OR(E1166="",E1166="!!!",F1166="NEW"),"",COUNTBLANK(OFFSET(A$1,,,SUMPRODUCT(MAX(ROW(E$2:E1166)*(E1166=E$2:E1166)))))-COUNTBLANK(OFFSET(A$1,,,SUMPRODUCT(MAX(ROW(E$1:E1165)*(E1166=E$1:E1165))))))</f>
        <v/>
      </c>
      <c r="K1166" s="15" t="str">
        <f aca="false">IF(OR(E1166="",E1166="!!!",F1166="NEW"),"",INDEX(J$1:J1165,SUMPRODUCT(MAX(ROW(E$1:E1165)*(E1166=E$1:E1165)))))</f>
        <v/>
      </c>
      <c r="L1166" s="16"/>
    </row>
    <row r="1167" customFormat="false" ht="12.75" hidden="false" customHeight="false" outlineLevel="0" collapsed="false">
      <c r="A1167" s="9" t="s">
        <v>81</v>
      </c>
      <c r="E1167" s="10" t="str">
        <f aca="false">IF(D1167="?OLD","!!!","")</f>
        <v/>
      </c>
      <c r="F1167" s="11" t="str">
        <f aca="false">IF(OR(E1167="",E1167="!!!"),"",IF(NOT(ISNA(VLOOKUP(E1167,E$1:E1166,1,FALSE()))),"OLD",IF(AND(E1167&lt;&gt;"",E1167&lt;&gt;"!!!"),"NEW","")))</f>
        <v/>
      </c>
      <c r="G1167" s="12" t="str">
        <f aca="false">IF(OR(E1167="",E1167="!!!"),"",IF(OR(J1167=0,AND(J1167=1,K1167=1),AND(J1167=1,I1167="SBJ"),AND(J1167=1,I1167=0)),"?IN_FOCUS",IF(J1167&lt;=2,"?ACTIVATED",IF(J1167&lt;&gt;"","?FAMILIAR",IF(F1167="NEW",IF(ISNA(VLOOKUP(E1167,#REF!,1,FALSE())),"?TYPE_IDENTIFIABLE","?REFERENTIAL"),"_")))))</f>
        <v/>
      </c>
      <c r="H1167" s="13" t="str">
        <f aca="false">IF(J1167&lt;&gt;1,"",IF(I1167="SBJ","CB","?"))</f>
        <v/>
      </c>
      <c r="I1167" s="14" t="str">
        <f aca="false">IF(OR(E1167="",E1167="!!!",F1167="NEW"),"",INDEX(B$2:B1166,-1+SUMPRODUCT(MAX(ROW(E$2:E1166)*(E1167=E$2:E1166)))))</f>
        <v/>
      </c>
      <c r="J1167" s="15" t="str">
        <f aca="true">IF(OR(E1167="",E1167="!!!",F1167="NEW"),"",COUNTBLANK(OFFSET(A$1,,,SUMPRODUCT(MAX(ROW(E$2:E1167)*(E1167=E$2:E1167)))))-COUNTBLANK(OFFSET(A$1,,,SUMPRODUCT(MAX(ROW(E$1:E1166)*(E1167=E$1:E1166))))))</f>
        <v/>
      </c>
      <c r="K1167" s="15" t="str">
        <f aca="false">IF(OR(E1167="",E1167="!!!",F1167="NEW"),"",INDEX(J$1:J1166,SUMPRODUCT(MAX(ROW(E$1:E1166)*(E1167=E$1:E1166)))))</f>
        <v/>
      </c>
      <c r="L1167" s="16"/>
    </row>
    <row r="1168" customFormat="false" ht="12.75" hidden="false" customHeight="false" outlineLevel="0" collapsed="false">
      <c r="A1168" s="9" t="s">
        <v>107</v>
      </c>
      <c r="E1168" s="10" t="str">
        <f aca="false">IF(D1168="?OLD","!!!","")</f>
        <v/>
      </c>
      <c r="F1168" s="11" t="str">
        <f aca="false">IF(OR(E1168="",E1168="!!!"),"",IF(NOT(ISNA(VLOOKUP(E1168,E$1:E1167,1,FALSE()))),"OLD",IF(AND(E1168&lt;&gt;"",E1168&lt;&gt;"!!!"),"NEW","")))</f>
        <v/>
      </c>
      <c r="G1168" s="12" t="str">
        <f aca="false">IF(OR(E1168="",E1168="!!!"),"",IF(OR(J1168=0,AND(J1168=1,K1168=1),AND(J1168=1,I1168="SBJ"),AND(J1168=1,I1168=0)),"?IN_FOCUS",IF(J1168&lt;=2,"?ACTIVATED",IF(J1168&lt;&gt;"","?FAMILIAR",IF(F1168="NEW",IF(ISNA(VLOOKUP(E1168,#REF!,1,FALSE())),"?TYPE_IDENTIFIABLE","?REFERENTIAL"),"_")))))</f>
        <v/>
      </c>
      <c r="H1168" s="13" t="str">
        <f aca="false">IF(J1168&lt;&gt;1,"",IF(I1168="SBJ","CB","?"))</f>
        <v/>
      </c>
      <c r="I1168" s="14" t="str">
        <f aca="false">IF(OR(E1168="",E1168="!!!",F1168="NEW"),"",INDEX(B$2:B1167,-1+SUMPRODUCT(MAX(ROW(E$2:E1167)*(E1168=E$2:E1167)))))</f>
        <v/>
      </c>
      <c r="J1168" s="15" t="str">
        <f aca="true">IF(OR(E1168="",E1168="!!!",F1168="NEW"),"",COUNTBLANK(OFFSET(A$1,,,SUMPRODUCT(MAX(ROW(E$2:E1168)*(E1168=E$2:E1168)))))-COUNTBLANK(OFFSET(A$1,,,SUMPRODUCT(MAX(ROW(E$1:E1167)*(E1168=E$1:E1167))))))</f>
        <v/>
      </c>
      <c r="K1168" s="15" t="str">
        <f aca="false">IF(OR(E1168="",E1168="!!!",F1168="NEW"),"",INDEX(J$1:J1167,SUMPRODUCT(MAX(ROW(E$1:E1167)*(E1168=E$1:E1167)))))</f>
        <v/>
      </c>
      <c r="L1168" s="16"/>
    </row>
    <row r="1169" customFormat="false" ht="12.75" hidden="false" customHeight="false" outlineLevel="0" collapsed="false">
      <c r="A1169" s="9" t="s">
        <v>392</v>
      </c>
      <c r="B1169" s="0" t="s">
        <v>40</v>
      </c>
      <c r="C1169" s="0" t="s">
        <v>109</v>
      </c>
      <c r="E1169" s="10" t="str">
        <f aca="false">IF(D1169="?OLD","!!!","")</f>
        <v/>
      </c>
      <c r="F1169" s="11" t="str">
        <f aca="false">IF(OR(E1169="",E1169="!!!"),"",IF(NOT(ISNA(VLOOKUP(E1169,E$1:E1168,1,FALSE()))),"OLD",IF(AND(E1169&lt;&gt;"",E1169&lt;&gt;"!!!"),"NEW","")))</f>
        <v/>
      </c>
      <c r="G1169" s="12" t="str">
        <f aca="false">IF(OR(E1169="",E1169="!!!"),"",IF(OR(J1169=0,AND(J1169=1,K1169=1),AND(J1169=1,I1169="SBJ"),AND(J1169=1,I1169=0)),"?IN_FOCUS",IF(J1169&lt;=2,"?ACTIVATED",IF(J1169&lt;&gt;"","?FAMILIAR",IF(F1169="NEW",IF(ISNA(VLOOKUP(E1169,#REF!,1,FALSE())),"?TYPE_IDENTIFIABLE","?REFERENTIAL"),"_")))))</f>
        <v/>
      </c>
      <c r="H1169" s="13" t="str">
        <f aca="false">IF(J1169&lt;&gt;1,"",IF(I1169="SBJ","CB","?"))</f>
        <v/>
      </c>
      <c r="I1169" s="14" t="str">
        <f aca="false">IF(OR(E1169="",E1169="!!!",F1169="NEW"),"",INDEX(B$2:B1168,-1+SUMPRODUCT(MAX(ROW(E$2:E1168)*(E1169=E$2:E1168)))))</f>
        <v/>
      </c>
      <c r="J1169" s="15" t="str">
        <f aca="true">IF(OR(E1169="",E1169="!!!",F1169="NEW"),"",COUNTBLANK(OFFSET(A$1,,,SUMPRODUCT(MAX(ROW(E$2:E1169)*(E1169=E$2:E1169)))))-COUNTBLANK(OFFSET(A$1,,,SUMPRODUCT(MAX(ROW(E$1:E1168)*(E1169=E$1:E1168))))))</f>
        <v/>
      </c>
      <c r="K1169" s="15" t="str">
        <f aca="false">IF(OR(E1169="",E1169="!!!",F1169="NEW"),"",INDEX(J$1:J1168,SUMPRODUCT(MAX(ROW(E$1:E1168)*(E1169=E$1:E1168)))))</f>
        <v/>
      </c>
      <c r="L1169" s="16"/>
    </row>
    <row r="1170" customFormat="false" ht="12.75" hidden="false" customHeight="false" outlineLevel="0" collapsed="false">
      <c r="A1170" s="9" t="s">
        <v>28</v>
      </c>
      <c r="E1170" s="10" t="str">
        <f aca="false">IF(D1170="?OLD","!!!","")</f>
        <v/>
      </c>
      <c r="F1170" s="11" t="str">
        <f aca="false">IF(OR(E1170="",E1170="!!!"),"",IF(NOT(ISNA(VLOOKUP(E1170,E$1:E1169,1,FALSE()))),"OLD",IF(AND(E1170&lt;&gt;"",E1170&lt;&gt;"!!!"),"NEW","")))</f>
        <v/>
      </c>
      <c r="G1170" s="12" t="str">
        <f aca="false">IF(OR(E1170="",E1170="!!!"),"",IF(OR(J1170=0,AND(J1170=1,K1170=1),AND(J1170=1,I1170="SBJ"),AND(J1170=1,I1170=0)),"?IN_FOCUS",IF(J1170&lt;=2,"?ACTIVATED",IF(J1170&lt;&gt;"","?FAMILIAR",IF(F1170="NEW",IF(ISNA(VLOOKUP(E1170,#REF!,1,FALSE())),"?TYPE_IDENTIFIABLE","?REFERENTIAL"),"_")))))</f>
        <v/>
      </c>
      <c r="H1170" s="13" t="str">
        <f aca="false">IF(J1170&lt;&gt;1,"",IF(I1170="SBJ","CB","?"))</f>
        <v/>
      </c>
      <c r="I1170" s="14" t="str">
        <f aca="false">IF(OR(E1170="",E1170="!!!",F1170="NEW"),"",INDEX(B$2:B1169,-1+SUMPRODUCT(MAX(ROW(E$2:E1169)*(E1170=E$2:E1169)))))</f>
        <v/>
      </c>
      <c r="J1170" s="15" t="str">
        <f aca="true">IF(OR(E1170="",E1170="!!!",F1170="NEW"),"",COUNTBLANK(OFFSET(A$1,,,SUMPRODUCT(MAX(ROW(E$2:E1170)*(E1170=E$2:E1170)))))-COUNTBLANK(OFFSET(A$1,,,SUMPRODUCT(MAX(ROW(E$1:E1169)*(E1170=E$1:E1169))))))</f>
        <v/>
      </c>
      <c r="K1170" s="15" t="str">
        <f aca="false">IF(OR(E1170="",E1170="!!!",F1170="NEW"),"",INDEX(J$1:J1169,SUMPRODUCT(MAX(ROW(E$1:E1169)*(E1170=E$1:E1169)))))</f>
        <v/>
      </c>
      <c r="L1170" s="16"/>
    </row>
    <row r="1171" customFormat="false" ht="12.75" hidden="false" customHeight="false" outlineLevel="0" collapsed="false">
      <c r="A1171" s="9" t="s">
        <v>63</v>
      </c>
      <c r="E1171" s="10" t="str">
        <f aca="false">IF(D1171="?OLD","!!!","")</f>
        <v/>
      </c>
      <c r="F1171" s="11" t="str">
        <f aca="false">IF(OR(E1171="",E1171="!!!"),"",IF(NOT(ISNA(VLOOKUP(E1171,E$1:E1170,1,FALSE()))),"OLD",IF(AND(E1171&lt;&gt;"",E1171&lt;&gt;"!!!"),"NEW","")))</f>
        <v/>
      </c>
      <c r="G1171" s="12" t="str">
        <f aca="false">IF(OR(E1171="",E1171="!!!"),"",IF(OR(J1171=0,AND(J1171=1,K1171=1),AND(J1171=1,I1171="SBJ"),AND(J1171=1,I1171=0)),"?IN_FOCUS",IF(J1171&lt;=2,"?ACTIVATED",IF(J1171&lt;&gt;"","?FAMILIAR",IF(F1171="NEW",IF(ISNA(VLOOKUP(E1171,#REF!,1,FALSE())),"?TYPE_IDENTIFIABLE","?REFERENTIAL"),"_")))))</f>
        <v/>
      </c>
      <c r="H1171" s="13" t="str">
        <f aca="false">IF(J1171&lt;&gt;1,"",IF(I1171="SBJ","CB","?"))</f>
        <v/>
      </c>
      <c r="I1171" s="14" t="str">
        <f aca="false">IF(OR(E1171="",E1171="!!!",F1171="NEW"),"",INDEX(B$2:B1170,-1+SUMPRODUCT(MAX(ROW(E$2:E1170)*(E1171=E$2:E1170)))))</f>
        <v/>
      </c>
      <c r="J1171" s="15" t="str">
        <f aca="true">IF(OR(E1171="",E1171="!!!",F1171="NEW"),"",COUNTBLANK(OFFSET(A$1,,,SUMPRODUCT(MAX(ROW(E$2:E1171)*(E1171=E$2:E1171)))))-COUNTBLANK(OFFSET(A$1,,,SUMPRODUCT(MAX(ROW(E$1:E1170)*(E1171=E$1:E1170))))))</f>
        <v/>
      </c>
      <c r="K1171" s="15" t="str">
        <f aca="false">IF(OR(E1171="",E1171="!!!",F1171="NEW"),"",INDEX(J$1:J1170,SUMPRODUCT(MAX(ROW(E$1:E1170)*(E1171=E$1:E1170)))))</f>
        <v/>
      </c>
      <c r="L1171" s="16"/>
    </row>
    <row r="1172" customFormat="false" ht="12.75" hidden="false" customHeight="false" outlineLevel="0" collapsed="false">
      <c r="A1172" s="9" t="s">
        <v>502</v>
      </c>
      <c r="E1172" s="10" t="str">
        <f aca="false">IF(D1172="?OLD","!!!","")</f>
        <v/>
      </c>
      <c r="F1172" s="11" t="str">
        <f aca="false">IF(OR(E1172="",E1172="!!!"),"",IF(NOT(ISNA(VLOOKUP(E1172,E$1:E1171,1,FALSE()))),"OLD",IF(AND(E1172&lt;&gt;"",E1172&lt;&gt;"!!!"),"NEW","")))</f>
        <v/>
      </c>
      <c r="G1172" s="12" t="str">
        <f aca="false">IF(OR(E1172="",E1172="!!!"),"",IF(OR(J1172=0,AND(J1172=1,K1172=1),AND(J1172=1,I1172="SBJ"),AND(J1172=1,I1172=0)),"?IN_FOCUS",IF(J1172&lt;=2,"?ACTIVATED",IF(J1172&lt;&gt;"","?FAMILIAR",IF(F1172="NEW",IF(ISNA(VLOOKUP(E1172,#REF!,1,FALSE())),"?TYPE_IDENTIFIABLE","?REFERENTIAL"),"_")))))</f>
        <v/>
      </c>
      <c r="H1172" s="13" t="str">
        <f aca="false">IF(J1172&lt;&gt;1,"",IF(I1172="SBJ","CB","?"))</f>
        <v/>
      </c>
      <c r="I1172" s="14" t="str">
        <f aca="false">IF(OR(E1172="",E1172="!!!",F1172="NEW"),"",INDEX(B$2:B1171,-1+SUMPRODUCT(MAX(ROW(E$2:E1171)*(E1172=E$2:E1171)))))</f>
        <v/>
      </c>
      <c r="J1172" s="15" t="str">
        <f aca="true">IF(OR(E1172="",E1172="!!!",F1172="NEW"),"",COUNTBLANK(OFFSET(A$1,,,SUMPRODUCT(MAX(ROW(E$2:E1172)*(E1172=E$2:E1172)))))-COUNTBLANK(OFFSET(A$1,,,SUMPRODUCT(MAX(ROW(E$1:E1171)*(E1172=E$1:E1171))))))</f>
        <v/>
      </c>
      <c r="K1172" s="15" t="str">
        <f aca="false">IF(OR(E1172="",E1172="!!!",F1172="NEW"),"",INDEX(J$1:J1171,SUMPRODUCT(MAX(ROW(E$1:E1171)*(E1172=E$1:E1171)))))</f>
        <v/>
      </c>
      <c r="L1172" s="16"/>
    </row>
    <row r="1173" customFormat="false" ht="12.75" hidden="false" customHeight="false" outlineLevel="0" collapsed="false">
      <c r="A1173" s="9" t="s">
        <v>291</v>
      </c>
      <c r="B1173" s="0" t="s">
        <v>17</v>
      </c>
      <c r="C1173" s="0" t="s">
        <v>41</v>
      </c>
      <c r="E1173" s="10" t="str">
        <f aca="false">IF(D1173="?OLD","!!!","")</f>
        <v/>
      </c>
      <c r="F1173" s="11" t="str">
        <f aca="false">IF(OR(E1173="",E1173="!!!"),"",IF(NOT(ISNA(VLOOKUP(E1173,E$1:E1172,1,FALSE()))),"OLD",IF(AND(E1173&lt;&gt;"",E1173&lt;&gt;"!!!"),"NEW","")))</f>
        <v/>
      </c>
      <c r="G1173" s="12" t="str">
        <f aca="false">IF(OR(E1173="",E1173="!!!"),"",IF(OR(J1173=0,AND(J1173=1,K1173=1),AND(J1173=1,I1173="SBJ"),AND(J1173=1,I1173=0)),"?IN_FOCUS",IF(J1173&lt;=2,"?ACTIVATED",IF(J1173&lt;&gt;"","?FAMILIAR",IF(F1173="NEW",IF(ISNA(VLOOKUP(E1173,#REF!,1,FALSE())),"?TYPE_IDENTIFIABLE","?REFERENTIAL"),"_")))))</f>
        <v/>
      </c>
      <c r="H1173" s="13" t="str">
        <f aca="false">IF(J1173&lt;&gt;1,"",IF(I1173="SBJ","CB","?"))</f>
        <v/>
      </c>
      <c r="I1173" s="14" t="str">
        <f aca="false">IF(OR(E1173="",E1173="!!!",F1173="NEW"),"",INDEX(B$2:B1172,-1+SUMPRODUCT(MAX(ROW(E$2:E1172)*(E1173=E$2:E1172)))))</f>
        <v/>
      </c>
      <c r="J1173" s="15" t="str">
        <f aca="true">IF(OR(E1173="",E1173="!!!",F1173="NEW"),"",COUNTBLANK(OFFSET(A$1,,,SUMPRODUCT(MAX(ROW(E$2:E1173)*(E1173=E$2:E1173)))))-COUNTBLANK(OFFSET(A$1,,,SUMPRODUCT(MAX(ROW(E$1:E1172)*(E1173=E$1:E1172))))))</f>
        <v/>
      </c>
      <c r="K1173" s="15" t="str">
        <f aca="false">IF(OR(E1173="",E1173="!!!",F1173="NEW"),"",INDEX(J$1:J1172,SUMPRODUCT(MAX(ROW(E$1:E1172)*(E1173=E$1:E1172)))))</f>
        <v/>
      </c>
      <c r="L1173" s="16"/>
    </row>
    <row r="1174" customFormat="false" ht="12.75" hidden="false" customHeight="false" outlineLevel="0" collapsed="false">
      <c r="A1174" s="9" t="s">
        <v>63</v>
      </c>
      <c r="E1174" s="10" t="str">
        <f aca="false">IF(D1174="?OLD","!!!","")</f>
        <v/>
      </c>
      <c r="F1174" s="11" t="str">
        <f aca="false">IF(OR(E1174="",E1174="!!!"),"",IF(NOT(ISNA(VLOOKUP(E1174,E$1:E1173,1,FALSE()))),"OLD",IF(AND(E1174&lt;&gt;"",E1174&lt;&gt;"!!!"),"NEW","")))</f>
        <v/>
      </c>
      <c r="G1174" s="12" t="str">
        <f aca="false">IF(OR(E1174="",E1174="!!!"),"",IF(OR(J1174=0,AND(J1174=1,K1174=1),AND(J1174=1,I1174="SBJ"),AND(J1174=1,I1174=0)),"?IN_FOCUS",IF(J1174&lt;=2,"?ACTIVATED",IF(J1174&lt;&gt;"","?FAMILIAR",IF(F1174="NEW",IF(ISNA(VLOOKUP(E1174,#REF!,1,FALSE())),"?TYPE_IDENTIFIABLE","?REFERENTIAL"),"_")))))</f>
        <v/>
      </c>
      <c r="H1174" s="13" t="str">
        <f aca="false">IF(J1174&lt;&gt;1,"",IF(I1174="SBJ","CB","?"))</f>
        <v/>
      </c>
      <c r="I1174" s="14" t="str">
        <f aca="false">IF(OR(E1174="",E1174="!!!",F1174="NEW"),"",INDEX(B$2:B1173,-1+SUMPRODUCT(MAX(ROW(E$2:E1173)*(E1174=E$2:E1173)))))</f>
        <v/>
      </c>
      <c r="J1174" s="15" t="str">
        <f aca="true">IF(OR(E1174="",E1174="!!!",F1174="NEW"),"",COUNTBLANK(OFFSET(A$1,,,SUMPRODUCT(MAX(ROW(E$2:E1174)*(E1174=E$2:E1174)))))-COUNTBLANK(OFFSET(A$1,,,SUMPRODUCT(MAX(ROW(E$1:E1173)*(E1174=E$1:E1173))))))</f>
        <v/>
      </c>
      <c r="K1174" s="15" t="str">
        <f aca="false">IF(OR(E1174="",E1174="!!!",F1174="NEW"),"",INDEX(J$1:J1173,SUMPRODUCT(MAX(ROW(E$1:E1173)*(E1174=E$1:E1173)))))</f>
        <v/>
      </c>
      <c r="L1174" s="16"/>
    </row>
    <row r="1175" customFormat="false" ht="12.75" hidden="false" customHeight="false" outlineLevel="0" collapsed="false">
      <c r="A1175" s="9" t="s">
        <v>293</v>
      </c>
      <c r="B1175" s="0" t="s">
        <v>24</v>
      </c>
      <c r="C1175" s="0" t="s">
        <v>25</v>
      </c>
      <c r="E1175" s="10" t="str">
        <f aca="false">IF(D1175="?OLD","!!!","")</f>
        <v/>
      </c>
      <c r="F1175" s="11" t="str">
        <f aca="false">IF(OR(E1175="",E1175="!!!"),"",IF(NOT(ISNA(VLOOKUP(E1175,E$1:E1174,1,FALSE()))),"OLD",IF(AND(E1175&lt;&gt;"",E1175&lt;&gt;"!!!"),"NEW","")))</f>
        <v/>
      </c>
      <c r="G1175" s="12" t="str">
        <f aca="false">IF(OR(E1175="",E1175="!!!"),"",IF(OR(J1175=0,AND(J1175=1,K1175=1),AND(J1175=1,I1175="SBJ"),AND(J1175=1,I1175=0)),"?IN_FOCUS",IF(J1175&lt;=2,"?ACTIVATED",IF(J1175&lt;&gt;"","?FAMILIAR",IF(F1175="NEW",IF(ISNA(VLOOKUP(E1175,#REF!,1,FALSE())),"?TYPE_IDENTIFIABLE","?REFERENTIAL"),"_")))))</f>
        <v/>
      </c>
      <c r="H1175" s="13" t="str">
        <f aca="false">IF(J1175&lt;&gt;1,"",IF(I1175="SBJ","CB","?"))</f>
        <v/>
      </c>
      <c r="I1175" s="14" t="str">
        <f aca="false">IF(OR(E1175="",E1175="!!!",F1175="NEW"),"",INDEX(B$2:B1174,-1+SUMPRODUCT(MAX(ROW(E$2:E1174)*(E1175=E$2:E1174)))))</f>
        <v/>
      </c>
      <c r="J1175" s="15" t="str">
        <f aca="true">IF(OR(E1175="",E1175="!!!",F1175="NEW"),"",COUNTBLANK(OFFSET(A$1,,,SUMPRODUCT(MAX(ROW(E$2:E1175)*(E1175=E$2:E1175)))))-COUNTBLANK(OFFSET(A$1,,,SUMPRODUCT(MAX(ROW(E$1:E1174)*(E1175=E$1:E1174))))))</f>
        <v/>
      </c>
      <c r="K1175" s="15" t="str">
        <f aca="false">IF(OR(E1175="",E1175="!!!",F1175="NEW"),"",INDEX(J$1:J1174,SUMPRODUCT(MAX(ROW(E$1:E1174)*(E1175=E$1:E1174)))))</f>
        <v/>
      </c>
      <c r="L1175" s="16"/>
    </row>
    <row r="1176" customFormat="false" ht="12.75" hidden="false" customHeight="false" outlineLevel="0" collapsed="false">
      <c r="A1176" s="9" t="s">
        <v>35</v>
      </c>
      <c r="E1176" s="10" t="str">
        <f aca="false">IF(D1176="?OLD","!!!","")</f>
        <v/>
      </c>
      <c r="F1176" s="11" t="str">
        <f aca="false">IF(OR(E1176="",E1176="!!!"),"",IF(NOT(ISNA(VLOOKUP(E1176,E$1:E1175,1,FALSE()))),"OLD",IF(AND(E1176&lt;&gt;"",E1176&lt;&gt;"!!!"),"NEW","")))</f>
        <v/>
      </c>
      <c r="G1176" s="12" t="str">
        <f aca="false">IF(OR(E1176="",E1176="!!!"),"",IF(OR(J1176=0,AND(J1176=1,K1176=1),AND(J1176=1,I1176="SBJ"),AND(J1176=1,I1176=0)),"?IN_FOCUS",IF(J1176&lt;=2,"?ACTIVATED",IF(J1176&lt;&gt;"","?FAMILIAR",IF(F1176="NEW",IF(ISNA(VLOOKUP(E1176,#REF!,1,FALSE())),"?TYPE_IDENTIFIABLE","?REFERENTIAL"),"_")))))</f>
        <v/>
      </c>
      <c r="H1176" s="13" t="str">
        <f aca="false">IF(J1176&lt;&gt;1,"",IF(I1176="SBJ","CB","?"))</f>
        <v/>
      </c>
      <c r="I1176" s="14" t="str">
        <f aca="false">IF(OR(E1176="",E1176="!!!",F1176="NEW"),"",INDEX(B$2:B1175,-1+SUMPRODUCT(MAX(ROW(E$2:E1175)*(E1176=E$2:E1175)))))</f>
        <v/>
      </c>
      <c r="J1176" s="15" t="str">
        <f aca="true">IF(OR(E1176="",E1176="!!!",F1176="NEW"),"",COUNTBLANK(OFFSET(A$1,,,SUMPRODUCT(MAX(ROW(E$2:E1176)*(E1176=E$2:E1176)))))-COUNTBLANK(OFFSET(A$1,,,SUMPRODUCT(MAX(ROW(E$1:E1175)*(E1176=E$1:E1175))))))</f>
        <v/>
      </c>
      <c r="K1176" s="15" t="str">
        <f aca="false">IF(OR(E1176="",E1176="!!!",F1176="NEW"),"",INDEX(J$1:J1175,SUMPRODUCT(MAX(ROW(E$1:E1175)*(E1176=E$1:E1175)))))</f>
        <v/>
      </c>
      <c r="L1176" s="16"/>
    </row>
    <row r="1177" customFormat="false" ht="12.75" hidden="false" customHeight="false" outlineLevel="0" collapsed="false">
      <c r="A1177" s="9" t="s">
        <v>534</v>
      </c>
      <c r="E1177" s="10" t="str">
        <f aca="false">IF(D1177="?OLD","!!!","")</f>
        <v/>
      </c>
      <c r="F1177" s="11" t="str">
        <f aca="false">IF(OR(E1177="",E1177="!!!"),"",IF(NOT(ISNA(VLOOKUP(E1177,E$1:E1176,1,FALSE()))),"OLD",IF(AND(E1177&lt;&gt;"",E1177&lt;&gt;"!!!"),"NEW","")))</f>
        <v/>
      </c>
      <c r="G1177" s="12" t="str">
        <f aca="false">IF(OR(E1177="",E1177="!!!"),"",IF(OR(J1177=0,AND(J1177=1,K1177=1),AND(J1177=1,I1177="SBJ"),AND(J1177=1,I1177=0)),"?IN_FOCUS",IF(J1177&lt;=2,"?ACTIVATED",IF(J1177&lt;&gt;"","?FAMILIAR",IF(F1177="NEW",IF(ISNA(VLOOKUP(E1177,#REF!,1,FALSE())),"?TYPE_IDENTIFIABLE","?REFERENTIAL"),"_")))))</f>
        <v/>
      </c>
      <c r="H1177" s="13" t="str">
        <f aca="false">IF(J1177&lt;&gt;1,"",IF(I1177="SBJ","CB","?"))</f>
        <v/>
      </c>
      <c r="I1177" s="14" t="str">
        <f aca="false">IF(OR(E1177="",E1177="!!!",F1177="NEW"),"",INDEX(B$2:B1176,-1+SUMPRODUCT(MAX(ROW(E$2:E1176)*(E1177=E$2:E1176)))))</f>
        <v/>
      </c>
      <c r="J1177" s="15" t="str">
        <f aca="true">IF(OR(E1177="",E1177="!!!",F1177="NEW"),"",COUNTBLANK(OFFSET(A$1,,,SUMPRODUCT(MAX(ROW(E$2:E1177)*(E1177=E$2:E1177)))))-COUNTBLANK(OFFSET(A$1,,,SUMPRODUCT(MAX(ROW(E$1:E1176)*(E1177=E$1:E1176))))))</f>
        <v/>
      </c>
      <c r="K1177" s="15" t="str">
        <f aca="false">IF(OR(E1177="",E1177="!!!",F1177="NEW"),"",INDEX(J$1:J1176,SUMPRODUCT(MAX(ROW(E$1:E1176)*(E1177=E$1:E1176)))))</f>
        <v/>
      </c>
      <c r="L1177" s="16"/>
    </row>
    <row r="1178" customFormat="false" ht="12.75" hidden="false" customHeight="false" outlineLevel="0" collapsed="false">
      <c r="A1178" s="9" t="s">
        <v>247</v>
      </c>
      <c r="E1178" s="10" t="str">
        <f aca="false">IF(D1178="?OLD","!!!","")</f>
        <v/>
      </c>
      <c r="F1178" s="11" t="str">
        <f aca="false">IF(OR(E1178="",E1178="!!!"),"",IF(NOT(ISNA(VLOOKUP(E1178,E$1:E1177,1,FALSE()))),"OLD",IF(AND(E1178&lt;&gt;"",E1178&lt;&gt;"!!!"),"NEW","")))</f>
        <v/>
      </c>
      <c r="G1178" s="12" t="str">
        <f aca="false">IF(OR(E1178="",E1178="!!!"),"",IF(OR(J1178=0,AND(J1178=1,K1178=1),AND(J1178=1,I1178="SBJ"),AND(J1178=1,I1178=0)),"?IN_FOCUS",IF(J1178&lt;=2,"?ACTIVATED",IF(J1178&lt;&gt;"","?FAMILIAR",IF(F1178="NEW",IF(ISNA(VLOOKUP(E1178,#REF!,1,FALSE())),"?TYPE_IDENTIFIABLE","?REFERENTIAL"),"_")))))</f>
        <v/>
      </c>
      <c r="H1178" s="13" t="str">
        <f aca="false">IF(J1178&lt;&gt;1,"",IF(I1178="SBJ","CB","?"))</f>
        <v/>
      </c>
      <c r="I1178" s="14" t="str">
        <f aca="false">IF(OR(E1178="",E1178="!!!",F1178="NEW"),"",INDEX(B$2:B1177,-1+SUMPRODUCT(MAX(ROW(E$2:E1177)*(E1178=E$2:E1177)))))</f>
        <v/>
      </c>
      <c r="J1178" s="15" t="str">
        <f aca="true">IF(OR(E1178="",E1178="!!!",F1178="NEW"),"",COUNTBLANK(OFFSET(A$1,,,SUMPRODUCT(MAX(ROW(E$2:E1178)*(E1178=E$2:E1178)))))-COUNTBLANK(OFFSET(A$1,,,SUMPRODUCT(MAX(ROW(E$1:E1177)*(E1178=E$1:E1177))))))</f>
        <v/>
      </c>
      <c r="K1178" s="15" t="str">
        <f aca="false">IF(OR(E1178="",E1178="!!!",F1178="NEW"),"",INDEX(J$1:J1177,SUMPRODUCT(MAX(ROW(E$1:E1177)*(E1178=E$1:E1177)))))</f>
        <v/>
      </c>
      <c r="L1178" s="16"/>
    </row>
    <row r="1179" customFormat="false" ht="12.75" hidden="false" customHeight="false" outlineLevel="0" collapsed="false">
      <c r="A1179" s="9" t="s">
        <v>15</v>
      </c>
      <c r="E1179" s="10" t="str">
        <f aca="false">IF(D1179="?OLD","!!!","")</f>
        <v/>
      </c>
      <c r="F1179" s="11" t="str">
        <f aca="false">IF(OR(E1179="",E1179="!!!"),"",IF(NOT(ISNA(VLOOKUP(E1179,E$1:E1178,1,FALSE()))),"OLD",IF(AND(E1179&lt;&gt;"",E1179&lt;&gt;"!!!"),"NEW","")))</f>
        <v/>
      </c>
      <c r="G1179" s="12" t="str">
        <f aca="false">IF(OR(E1179="",E1179="!!!"),"",IF(OR(J1179=0,AND(J1179=1,K1179=1),AND(J1179=1,I1179="SBJ"),AND(J1179=1,I1179=0)),"?IN_FOCUS",IF(J1179&lt;=2,"?ACTIVATED",IF(J1179&lt;&gt;"","?FAMILIAR",IF(F1179="NEW",IF(ISNA(VLOOKUP(E1179,#REF!,1,FALSE())),"?TYPE_IDENTIFIABLE","?REFERENTIAL"),"_")))))</f>
        <v/>
      </c>
      <c r="H1179" s="13" t="str">
        <f aca="false">IF(J1179&lt;&gt;1,"",IF(I1179="SBJ","CB","?"))</f>
        <v/>
      </c>
      <c r="I1179" s="14" t="str">
        <f aca="false">IF(OR(E1179="",E1179="!!!",F1179="NEW"),"",INDEX(B$2:B1178,-1+SUMPRODUCT(MAX(ROW(E$2:E1178)*(E1179=E$2:E1178)))))</f>
        <v/>
      </c>
      <c r="J1179" s="15" t="str">
        <f aca="true">IF(OR(E1179="",E1179="!!!",F1179="NEW"),"",COUNTBLANK(OFFSET(A$1,,,SUMPRODUCT(MAX(ROW(E$2:E1179)*(E1179=E$2:E1179)))))-COUNTBLANK(OFFSET(A$1,,,SUMPRODUCT(MAX(ROW(E$1:E1178)*(E1179=E$1:E1178))))))</f>
        <v/>
      </c>
      <c r="K1179" s="15" t="str">
        <f aca="false">IF(OR(E1179="",E1179="!!!",F1179="NEW"),"",INDEX(J$1:J1178,SUMPRODUCT(MAX(ROW(E$1:E1178)*(E1179=E$1:E1178)))))</f>
        <v/>
      </c>
      <c r="L1179" s="16"/>
    </row>
    <row r="1180" customFormat="false" ht="12.75" hidden="false" customHeight="false" outlineLevel="0" collapsed="false">
      <c r="A1180" s="9" t="s">
        <v>486</v>
      </c>
      <c r="B1180" s="0" t="s">
        <v>75</v>
      </c>
      <c r="C1180" s="0" t="s">
        <v>18</v>
      </c>
      <c r="D1180" s="0" t="s">
        <v>19</v>
      </c>
      <c r="E1180" s="10" t="s">
        <v>32</v>
      </c>
      <c r="F1180" s="11" t="str">
        <f aca="false">IF(OR(E1180="",E1180="!!!"),"",IF(NOT(ISNA(VLOOKUP(E1180,E$1:E1179,1,FALSE()))),"OLD",IF(AND(E1180&lt;&gt;"",E1180&lt;&gt;"!!!"),"NEW","")))</f>
        <v>OLD</v>
      </c>
      <c r="G1180" s="12" t="s">
        <v>33</v>
      </c>
      <c r="H1180" s="13" t="s">
        <v>7</v>
      </c>
      <c r="I1180" s="14" t="str">
        <f aca="false">IF(OR(E1180="",E1180="!!!",F1180="NEW"),"",INDEX(B$2:B1179,-1+SUMPRODUCT(MAX(ROW(E$2:E1179)*(E1180=E$2:E1179)))))</f>
        <v>other_2</v>
      </c>
      <c r="J1180" s="15" t="n">
        <f aca="true">IF(OR(E1180="",E1180="!!!",F1180="NEW"),"",COUNTBLANK(OFFSET(A$1,,,SUMPRODUCT(MAX(ROW(E$2:E1180)*(E1180=E$2:E1180)))))-COUNTBLANK(OFFSET(A$1,,,SUMPRODUCT(MAX(ROW(E$1:E1179)*(E1180=E$1:E1179))))))</f>
        <v>1</v>
      </c>
      <c r="K1180" s="15" t="n">
        <f aca="false">IF(OR(E1180="",E1180="!!!",F1180="NEW"),"",INDEX(J$1:J1179,SUMPRODUCT(MAX(ROW(E$1:E1179)*(E1180=E$1:E1179)))))</f>
        <v>0</v>
      </c>
      <c r="L1180" s="16"/>
    </row>
    <row r="1181" customFormat="false" ht="12.75" hidden="false" customHeight="false" outlineLevel="0" collapsed="false">
      <c r="A1181" s="9" t="s">
        <v>44</v>
      </c>
      <c r="E1181" s="10" t="str">
        <f aca="false">IF(D1181="?OLD","!!!","")</f>
        <v/>
      </c>
      <c r="F1181" s="11" t="str">
        <f aca="false">IF(OR(E1181="",E1181="!!!"),"",IF(NOT(ISNA(VLOOKUP(E1181,E$1:E1180,1,FALSE()))),"OLD",IF(AND(E1181&lt;&gt;"",E1181&lt;&gt;"!!!"),"NEW","")))</f>
        <v/>
      </c>
      <c r="G1181" s="12" t="str">
        <f aca="false">IF(OR(E1181="",E1181="!!!"),"",IF(OR(J1181=0,AND(J1181=1,K1181=1),AND(J1181=1,I1181="SBJ"),AND(J1181=1,I1181=0)),"?IN_FOCUS",IF(J1181&lt;=2,"?ACTIVATED",IF(J1181&lt;&gt;"","?FAMILIAR",IF(F1181="NEW",IF(ISNA(VLOOKUP(E1181,#REF!,1,FALSE())),"?TYPE_IDENTIFIABLE","?REFERENTIAL"),"_")))))</f>
        <v/>
      </c>
      <c r="H1181" s="13" t="str">
        <f aca="false">IF(J1181&lt;&gt;1,"",IF(I1181="SBJ","CB","?"))</f>
        <v/>
      </c>
      <c r="I1181" s="14" t="str">
        <f aca="false">IF(OR(E1181="",E1181="!!!",F1181="NEW"),"",INDEX(B$2:B1180,-1+SUMPRODUCT(MAX(ROW(E$2:E1180)*(E1181=E$2:E1180)))))</f>
        <v/>
      </c>
      <c r="J1181" s="15" t="str">
        <f aca="true">IF(OR(E1181="",E1181="!!!",F1181="NEW"),"",COUNTBLANK(OFFSET(A$1,,,SUMPRODUCT(MAX(ROW(E$2:E1181)*(E1181=E$2:E1181)))))-COUNTBLANK(OFFSET(A$1,,,SUMPRODUCT(MAX(ROW(E$1:E1180)*(E1181=E$1:E1180))))))</f>
        <v/>
      </c>
      <c r="K1181" s="15" t="str">
        <f aca="false">IF(OR(E1181="",E1181="!!!",F1181="NEW"),"",INDEX(J$1:J1180,SUMPRODUCT(MAX(ROW(E$1:E1180)*(E1181=E$1:E1180)))))</f>
        <v/>
      </c>
      <c r="L1181" s="16"/>
    </row>
    <row r="1182" customFormat="false" ht="12.75" hidden="false" customHeight="false" outlineLevel="0" collapsed="false">
      <c r="E1182" s="10" t="str">
        <f aca="false">IF(D1182="?OLD","!!!","")</f>
        <v/>
      </c>
      <c r="F1182" s="11" t="str">
        <f aca="false">IF(OR(E1182="",E1182="!!!"),"",IF(NOT(ISNA(VLOOKUP(E1182,E$1:E1181,1,FALSE()))),"OLD",IF(AND(E1182&lt;&gt;"",E1182&lt;&gt;"!!!"),"NEW","")))</f>
        <v/>
      </c>
      <c r="G1182" s="12" t="str">
        <f aca="false">IF(OR(E1182="",E1182="!!!"),"",IF(OR(J1182=0,AND(J1182=1,K1182=1),AND(J1182=1,I1182="SBJ"),AND(J1182=1,I1182=0)),"?IN_FOCUS",IF(J1182&lt;=2,"?ACTIVATED",IF(J1182&lt;&gt;"","?FAMILIAR",IF(F1182="NEW",IF(ISNA(VLOOKUP(E1182,#REF!,1,FALSE())),"?TYPE_IDENTIFIABLE","?REFERENTIAL"),"_")))))</f>
        <v/>
      </c>
      <c r="H1182" s="13" t="str">
        <f aca="false">IF(J1182&lt;&gt;1,"",IF(I1182="SBJ","CB","?"))</f>
        <v/>
      </c>
      <c r="I1182" s="14" t="str">
        <f aca="false">IF(OR(E1182="",E1182="!!!",F1182="NEW"),"",INDEX(B$2:B1181,-1+SUMPRODUCT(MAX(ROW(E$2:E1181)*(E1182=E$2:E1181)))))</f>
        <v/>
      </c>
      <c r="J1182" s="15" t="str">
        <f aca="true">IF(OR(E1182="",E1182="!!!",F1182="NEW"),"",COUNTBLANK(OFFSET(A$1,,,SUMPRODUCT(MAX(ROW(E$2:E1182)*(E1182=E$2:E1182)))))-COUNTBLANK(OFFSET(A$1,,,SUMPRODUCT(MAX(ROW(E$1:E1181)*(E1182=E$1:E1181))))))</f>
        <v/>
      </c>
      <c r="K1182" s="15" t="str">
        <f aca="false">IF(OR(E1182="",E1182="!!!",F1182="NEW"),"",INDEX(J$1:J1181,SUMPRODUCT(MAX(ROW(E$1:E1181)*(E1182=E$1:E1181)))))</f>
        <v/>
      </c>
      <c r="L1182" s="16"/>
    </row>
    <row r="1183" customFormat="false" ht="12.75" hidden="false" customHeight="false" outlineLevel="0" collapsed="false">
      <c r="A1183" s="9" t="s">
        <v>535</v>
      </c>
      <c r="E1183" s="10" t="str">
        <f aca="false">IF(D1183="?OLD","!!!","")</f>
        <v/>
      </c>
      <c r="F1183" s="11" t="str">
        <f aca="false">IF(OR(E1183="",E1183="!!!"),"",IF(NOT(ISNA(VLOOKUP(E1183,E$1:E1182,1,FALSE()))),"OLD",IF(AND(E1183&lt;&gt;"",E1183&lt;&gt;"!!!"),"NEW","")))</f>
        <v/>
      </c>
      <c r="G1183" s="12" t="str">
        <f aca="false">IF(OR(E1183="",E1183="!!!"),"",IF(OR(J1183=0,AND(J1183=1,K1183=1),AND(J1183=1,I1183="SBJ"),AND(J1183=1,I1183=0)),"?IN_FOCUS",IF(J1183&lt;=2,"?ACTIVATED",IF(J1183&lt;&gt;"","?FAMILIAR",IF(F1183="NEW",IF(ISNA(VLOOKUP(E1183,#REF!,1,FALSE())),"?TYPE_IDENTIFIABLE","?REFERENTIAL"),"_")))))</f>
        <v/>
      </c>
      <c r="H1183" s="13" t="str">
        <f aca="false">IF(J1183&lt;&gt;1,"",IF(I1183="SBJ","CB","?"))</f>
        <v/>
      </c>
      <c r="I1183" s="14" t="str">
        <f aca="false">IF(OR(E1183="",E1183="!!!",F1183="NEW"),"",INDEX(B$2:B1182,-1+SUMPRODUCT(MAX(ROW(E$2:E1182)*(E1183=E$2:E1182)))))</f>
        <v/>
      </c>
      <c r="J1183" s="15" t="str">
        <f aca="true">IF(OR(E1183="",E1183="!!!",F1183="NEW"),"",COUNTBLANK(OFFSET(A$1,,,SUMPRODUCT(MAX(ROW(E$2:E1183)*(E1183=E$2:E1183)))))-COUNTBLANK(OFFSET(A$1,,,SUMPRODUCT(MAX(ROW(E$1:E1182)*(E1183=E$1:E1182))))))</f>
        <v/>
      </c>
      <c r="K1183" s="15" t="str">
        <f aca="false">IF(OR(E1183="",E1183="!!!",F1183="NEW"),"",INDEX(J$1:J1182,SUMPRODUCT(MAX(ROW(E$1:E1182)*(E1183=E$1:E1182)))))</f>
        <v/>
      </c>
      <c r="L1183" s="16"/>
    </row>
    <row r="1184" customFormat="false" ht="12.75" hidden="false" customHeight="false" outlineLevel="0" collapsed="false">
      <c r="A1184" s="9" t="s">
        <v>536</v>
      </c>
      <c r="E1184" s="10" t="str">
        <f aca="false">IF(D1184="?OLD","!!!","")</f>
        <v/>
      </c>
      <c r="F1184" s="11" t="str">
        <f aca="false">IF(OR(E1184="",E1184="!!!"),"",IF(NOT(ISNA(VLOOKUP(E1184,E$1:E1183,1,FALSE()))),"OLD",IF(AND(E1184&lt;&gt;"",E1184&lt;&gt;"!!!"),"NEW","")))</f>
        <v/>
      </c>
      <c r="G1184" s="12" t="str">
        <f aca="false">IF(OR(E1184="",E1184="!!!"),"",IF(OR(J1184=0,AND(J1184=1,K1184=1),AND(J1184=1,I1184="SBJ"),AND(J1184=1,I1184=0)),"?IN_FOCUS",IF(J1184&lt;=2,"?ACTIVATED",IF(J1184&lt;&gt;"","?FAMILIAR",IF(F1184="NEW",IF(ISNA(VLOOKUP(E1184,#REF!,1,FALSE())),"?TYPE_IDENTIFIABLE","?REFERENTIAL"),"_")))))</f>
        <v/>
      </c>
      <c r="H1184" s="13" t="str">
        <f aca="false">IF(J1184&lt;&gt;1,"",IF(I1184="SBJ","CB","?"))</f>
        <v/>
      </c>
      <c r="I1184" s="14" t="str">
        <f aca="false">IF(OR(E1184="",E1184="!!!",F1184="NEW"),"",INDEX(B$2:B1183,-1+SUMPRODUCT(MAX(ROW(E$2:E1183)*(E1184=E$2:E1183)))))</f>
        <v/>
      </c>
      <c r="J1184" s="15" t="str">
        <f aca="true">IF(OR(E1184="",E1184="!!!",F1184="NEW"),"",COUNTBLANK(OFFSET(A$1,,,SUMPRODUCT(MAX(ROW(E$2:E1184)*(E1184=E$2:E1184)))))-COUNTBLANK(OFFSET(A$1,,,SUMPRODUCT(MAX(ROW(E$1:E1183)*(E1184=E$1:E1183))))))</f>
        <v/>
      </c>
      <c r="K1184" s="15" t="str">
        <f aca="false">IF(OR(E1184="",E1184="!!!",F1184="NEW"),"",INDEX(J$1:J1183,SUMPRODUCT(MAX(ROW(E$1:E1183)*(E1184=E$1:E1183)))))</f>
        <v/>
      </c>
      <c r="L1184" s="16"/>
    </row>
    <row r="1185" customFormat="false" ht="12.75" hidden="false" customHeight="false" outlineLevel="0" collapsed="false">
      <c r="A1185" s="9" t="s">
        <v>143</v>
      </c>
      <c r="B1185" s="0" t="s">
        <v>17</v>
      </c>
      <c r="E1185" s="10" t="str">
        <f aca="false">IF(D1185="?OLD","!!!","")</f>
        <v/>
      </c>
      <c r="F1185" s="11" t="str">
        <f aca="false">IF(OR(E1185="",E1185="!!!"),"",IF(NOT(ISNA(VLOOKUP(E1185,E$1:E1184,1,FALSE()))),"OLD",IF(AND(E1185&lt;&gt;"",E1185&lt;&gt;"!!!"),"NEW","")))</f>
        <v/>
      </c>
      <c r="G1185" s="12" t="str">
        <f aca="false">IF(OR(E1185="",E1185="!!!"),"",IF(OR(J1185=0,AND(J1185=1,K1185=1),AND(J1185=1,I1185="SBJ"),AND(J1185=1,I1185=0)),"?IN_FOCUS",IF(J1185&lt;=2,"?ACTIVATED",IF(J1185&lt;&gt;"","?FAMILIAR",IF(F1185="NEW",IF(ISNA(VLOOKUP(E1185,#REF!,1,FALSE())),"?TYPE_IDENTIFIABLE","?REFERENTIAL"),"_")))))</f>
        <v/>
      </c>
      <c r="H1185" s="13" t="str">
        <f aca="false">IF(J1185&lt;&gt;1,"",IF(I1185="SBJ","CB","?"))</f>
        <v/>
      </c>
      <c r="I1185" s="14" t="str">
        <f aca="false">IF(OR(E1185="",E1185="!!!",F1185="NEW"),"",INDEX(B$2:B1184,-1+SUMPRODUCT(MAX(ROW(E$2:E1184)*(E1185=E$2:E1184)))))</f>
        <v/>
      </c>
      <c r="J1185" s="15" t="str">
        <f aca="true">IF(OR(E1185="",E1185="!!!",F1185="NEW"),"",COUNTBLANK(OFFSET(A$1,,,SUMPRODUCT(MAX(ROW(E$2:E1185)*(E1185=E$2:E1185)))))-COUNTBLANK(OFFSET(A$1,,,SUMPRODUCT(MAX(ROW(E$1:E1184)*(E1185=E$1:E1184))))))</f>
        <v/>
      </c>
      <c r="K1185" s="15" t="str">
        <f aca="false">IF(OR(E1185="",E1185="!!!",F1185="NEW"),"",INDEX(J$1:J1184,SUMPRODUCT(MAX(ROW(E$1:E1184)*(E1185=E$1:E1184)))))</f>
        <v/>
      </c>
      <c r="L1185" s="16"/>
    </row>
    <row r="1186" customFormat="false" ht="12.75" hidden="false" customHeight="false" outlineLevel="0" collapsed="false">
      <c r="A1186" s="9" t="s">
        <v>537</v>
      </c>
      <c r="E1186" s="10" t="str">
        <f aca="false">IF(D1186="?OLD","!!!","")</f>
        <v/>
      </c>
      <c r="F1186" s="11" t="str">
        <f aca="false">IF(OR(E1186="",E1186="!!!"),"",IF(NOT(ISNA(VLOOKUP(E1186,E$1:E1185,1,FALSE()))),"OLD",IF(AND(E1186&lt;&gt;"",E1186&lt;&gt;"!!!"),"NEW","")))</f>
        <v/>
      </c>
      <c r="G1186" s="12" t="str">
        <f aca="false">IF(OR(E1186="",E1186="!!!"),"",IF(OR(J1186=0,AND(J1186=1,K1186=1),AND(J1186=1,I1186="SBJ"),AND(J1186=1,I1186=0)),"?IN_FOCUS",IF(J1186&lt;=2,"?ACTIVATED",IF(J1186&lt;&gt;"","?FAMILIAR",IF(F1186="NEW",IF(ISNA(VLOOKUP(E1186,#REF!,1,FALSE())),"?TYPE_IDENTIFIABLE","?REFERENTIAL"),"_")))))</f>
        <v/>
      </c>
      <c r="H1186" s="13" t="str">
        <f aca="false">IF(J1186&lt;&gt;1,"",IF(I1186="SBJ","CB","?"))</f>
        <v/>
      </c>
      <c r="I1186" s="14" t="str">
        <f aca="false">IF(OR(E1186="",E1186="!!!",F1186="NEW"),"",INDEX(B$2:B1185,-1+SUMPRODUCT(MAX(ROW(E$2:E1185)*(E1186=E$2:E1185)))))</f>
        <v/>
      </c>
      <c r="J1186" s="15" t="str">
        <f aca="true">IF(OR(E1186="",E1186="!!!",F1186="NEW"),"",COUNTBLANK(OFFSET(A$1,,,SUMPRODUCT(MAX(ROW(E$2:E1186)*(E1186=E$2:E1186)))))-COUNTBLANK(OFFSET(A$1,,,SUMPRODUCT(MAX(ROW(E$1:E1185)*(E1186=E$1:E1185))))))</f>
        <v/>
      </c>
      <c r="K1186" s="15" t="str">
        <f aca="false">IF(OR(E1186="",E1186="!!!",F1186="NEW"),"",INDEX(J$1:J1185,SUMPRODUCT(MAX(ROW(E$1:E1185)*(E1186=E$1:E1185)))))</f>
        <v/>
      </c>
      <c r="L1186" s="16"/>
    </row>
    <row r="1187" customFormat="false" ht="12.75" hidden="false" customHeight="false" outlineLevel="0" collapsed="false">
      <c r="A1187" s="9" t="s">
        <v>35</v>
      </c>
      <c r="E1187" s="10" t="str">
        <f aca="false">IF(D1187="?OLD","!!!","")</f>
        <v/>
      </c>
      <c r="F1187" s="11" t="str">
        <f aca="false">IF(OR(E1187="",E1187="!!!"),"",IF(NOT(ISNA(VLOOKUP(E1187,E$1:E1186,1,FALSE()))),"OLD",IF(AND(E1187&lt;&gt;"",E1187&lt;&gt;"!!!"),"NEW","")))</f>
        <v/>
      </c>
      <c r="G1187" s="12" t="str">
        <f aca="false">IF(OR(E1187="",E1187="!!!"),"",IF(OR(J1187=0,AND(J1187=1,K1187=1),AND(J1187=1,I1187="SBJ"),AND(J1187=1,I1187=0)),"?IN_FOCUS",IF(J1187&lt;=2,"?ACTIVATED",IF(J1187&lt;&gt;"","?FAMILIAR",IF(F1187="NEW",IF(ISNA(VLOOKUP(E1187,#REF!,1,FALSE())),"?TYPE_IDENTIFIABLE","?REFERENTIAL"),"_")))))</f>
        <v/>
      </c>
      <c r="H1187" s="13" t="str">
        <f aca="false">IF(J1187&lt;&gt;1,"",IF(I1187="SBJ","CB","?"))</f>
        <v/>
      </c>
      <c r="I1187" s="14" t="str">
        <f aca="false">IF(OR(E1187="",E1187="!!!",F1187="NEW"),"",INDEX(B$2:B1186,-1+SUMPRODUCT(MAX(ROW(E$2:E1186)*(E1187=E$2:E1186)))))</f>
        <v/>
      </c>
      <c r="J1187" s="15" t="str">
        <f aca="true">IF(OR(E1187="",E1187="!!!",F1187="NEW"),"",COUNTBLANK(OFFSET(A$1,,,SUMPRODUCT(MAX(ROW(E$2:E1187)*(E1187=E$2:E1187)))))-COUNTBLANK(OFFSET(A$1,,,SUMPRODUCT(MAX(ROW(E$1:E1186)*(E1187=E$1:E1186))))))</f>
        <v/>
      </c>
      <c r="K1187" s="15" t="str">
        <f aca="false">IF(OR(E1187="",E1187="!!!",F1187="NEW"),"",INDEX(J$1:J1186,SUMPRODUCT(MAX(ROW(E$1:E1186)*(E1187=E$1:E1186)))))</f>
        <v/>
      </c>
      <c r="L1187" s="16"/>
    </row>
    <row r="1188" customFormat="false" ht="12.75" hidden="false" customHeight="false" outlineLevel="0" collapsed="false">
      <c r="A1188" s="9" t="s">
        <v>120</v>
      </c>
      <c r="E1188" s="10" t="str">
        <f aca="false">IF(D1188="?OLD","!!!","")</f>
        <v/>
      </c>
      <c r="F1188" s="11" t="str">
        <f aca="false">IF(OR(E1188="",E1188="!!!"),"",IF(NOT(ISNA(VLOOKUP(E1188,E$1:E1187,1,FALSE()))),"OLD",IF(AND(E1188&lt;&gt;"",E1188&lt;&gt;"!!!"),"NEW","")))</f>
        <v/>
      </c>
      <c r="G1188" s="12" t="str">
        <f aca="false">IF(OR(E1188="",E1188="!!!"),"",IF(OR(J1188=0,AND(J1188=1,K1188=1),AND(J1188=1,I1188="SBJ"),AND(J1188=1,I1188=0)),"?IN_FOCUS",IF(J1188&lt;=2,"?ACTIVATED",IF(J1188&lt;&gt;"","?FAMILIAR",IF(F1188="NEW",IF(ISNA(VLOOKUP(E1188,#REF!,1,FALSE())),"?TYPE_IDENTIFIABLE","?REFERENTIAL"),"_")))))</f>
        <v/>
      </c>
      <c r="H1188" s="13" t="str">
        <f aca="false">IF(J1188&lt;&gt;1,"",IF(I1188="SBJ","CB","?"))</f>
        <v/>
      </c>
      <c r="I1188" s="14" t="str">
        <f aca="false">IF(OR(E1188="",E1188="!!!",F1188="NEW"),"",INDEX(B$2:B1187,-1+SUMPRODUCT(MAX(ROW(E$2:E1187)*(E1188=E$2:E1187)))))</f>
        <v/>
      </c>
      <c r="J1188" s="15" t="str">
        <f aca="true">IF(OR(E1188="",E1188="!!!",F1188="NEW"),"",COUNTBLANK(OFFSET(A$1,,,SUMPRODUCT(MAX(ROW(E$2:E1188)*(E1188=E$2:E1188)))))-COUNTBLANK(OFFSET(A$1,,,SUMPRODUCT(MAX(ROW(E$1:E1187)*(E1188=E$1:E1187))))))</f>
        <v/>
      </c>
      <c r="K1188" s="15" t="str">
        <f aca="false">IF(OR(E1188="",E1188="!!!",F1188="NEW"),"",INDEX(J$1:J1187,SUMPRODUCT(MAX(ROW(E$1:E1187)*(E1188=E$1:E1187)))))</f>
        <v/>
      </c>
      <c r="L1188" s="16"/>
    </row>
    <row r="1189" customFormat="false" ht="12.75" hidden="false" customHeight="false" outlineLevel="0" collapsed="false">
      <c r="A1189" s="9" t="s">
        <v>28</v>
      </c>
      <c r="E1189" s="10" t="str">
        <f aca="false">IF(D1189="?OLD","!!!","")</f>
        <v/>
      </c>
      <c r="F1189" s="11" t="str">
        <f aca="false">IF(OR(E1189="",E1189="!!!"),"",IF(NOT(ISNA(VLOOKUP(E1189,E$1:E1188,1,FALSE()))),"OLD",IF(AND(E1189&lt;&gt;"",E1189&lt;&gt;"!!!"),"NEW","")))</f>
        <v/>
      </c>
      <c r="G1189" s="12" t="str">
        <f aca="false">IF(OR(E1189="",E1189="!!!"),"",IF(OR(J1189=0,AND(J1189=1,K1189=1),AND(J1189=1,I1189="SBJ"),AND(J1189=1,I1189=0)),"?IN_FOCUS",IF(J1189&lt;=2,"?ACTIVATED",IF(J1189&lt;&gt;"","?FAMILIAR",IF(F1189="NEW",IF(ISNA(VLOOKUP(E1189,#REF!,1,FALSE())),"?TYPE_IDENTIFIABLE","?REFERENTIAL"),"_")))))</f>
        <v/>
      </c>
      <c r="H1189" s="13" t="str">
        <f aca="false">IF(J1189&lt;&gt;1,"",IF(I1189="SBJ","CB","?"))</f>
        <v/>
      </c>
      <c r="I1189" s="14" t="str">
        <f aca="false">IF(OR(E1189="",E1189="!!!",F1189="NEW"),"",INDEX(B$2:B1188,-1+SUMPRODUCT(MAX(ROW(E$2:E1188)*(E1189=E$2:E1188)))))</f>
        <v/>
      </c>
      <c r="J1189" s="15" t="str">
        <f aca="true">IF(OR(E1189="",E1189="!!!",F1189="NEW"),"",COUNTBLANK(OFFSET(A$1,,,SUMPRODUCT(MAX(ROW(E$2:E1189)*(E1189=E$2:E1189)))))-COUNTBLANK(OFFSET(A$1,,,SUMPRODUCT(MAX(ROW(E$1:E1188)*(E1189=E$1:E1188))))))</f>
        <v/>
      </c>
      <c r="K1189" s="15" t="str">
        <f aca="false">IF(OR(E1189="",E1189="!!!",F1189="NEW"),"",INDEX(J$1:J1188,SUMPRODUCT(MAX(ROW(E$1:E1188)*(E1189=E$1:E1188)))))</f>
        <v/>
      </c>
      <c r="L1189" s="16"/>
    </row>
    <row r="1190" customFormat="false" ht="12.75" hidden="false" customHeight="false" outlineLevel="0" collapsed="false">
      <c r="A1190" s="9" t="s">
        <v>63</v>
      </c>
      <c r="E1190" s="10" t="str">
        <f aca="false">IF(D1190="?OLD","!!!","")</f>
        <v/>
      </c>
      <c r="F1190" s="11" t="str">
        <f aca="false">IF(OR(E1190="",E1190="!!!"),"",IF(NOT(ISNA(VLOOKUP(E1190,E$1:E1189,1,FALSE()))),"OLD",IF(AND(E1190&lt;&gt;"",E1190&lt;&gt;"!!!"),"NEW","")))</f>
        <v/>
      </c>
      <c r="G1190" s="12" t="str">
        <f aca="false">IF(OR(E1190="",E1190="!!!"),"",IF(OR(J1190=0,AND(J1190=1,K1190=1),AND(J1190=1,I1190="SBJ"),AND(J1190=1,I1190=0)),"?IN_FOCUS",IF(J1190&lt;=2,"?ACTIVATED",IF(J1190&lt;&gt;"","?FAMILIAR",IF(F1190="NEW",IF(ISNA(VLOOKUP(E1190,#REF!,1,FALSE())),"?TYPE_IDENTIFIABLE","?REFERENTIAL"),"_")))))</f>
        <v/>
      </c>
      <c r="H1190" s="13" t="str">
        <f aca="false">IF(J1190&lt;&gt;1,"",IF(I1190="SBJ","CB","?"))</f>
        <v/>
      </c>
      <c r="I1190" s="14" t="str">
        <f aca="false">IF(OR(E1190="",E1190="!!!",F1190="NEW"),"",INDEX(B$2:B1189,-1+SUMPRODUCT(MAX(ROW(E$2:E1189)*(E1190=E$2:E1189)))))</f>
        <v/>
      </c>
      <c r="J1190" s="15" t="str">
        <f aca="true">IF(OR(E1190="",E1190="!!!",F1190="NEW"),"",COUNTBLANK(OFFSET(A$1,,,SUMPRODUCT(MAX(ROW(E$2:E1190)*(E1190=E$2:E1190)))))-COUNTBLANK(OFFSET(A$1,,,SUMPRODUCT(MAX(ROW(E$1:E1189)*(E1190=E$1:E1189))))))</f>
        <v/>
      </c>
      <c r="K1190" s="15" t="str">
        <f aca="false">IF(OR(E1190="",E1190="!!!",F1190="NEW"),"",INDEX(J$1:J1189,SUMPRODUCT(MAX(ROW(E$1:E1189)*(E1190=E$1:E1189)))))</f>
        <v/>
      </c>
      <c r="L1190" s="16"/>
    </row>
    <row r="1191" customFormat="false" ht="12.75" hidden="false" customHeight="false" outlineLevel="0" collapsed="false">
      <c r="A1191" s="9" t="s">
        <v>26</v>
      </c>
      <c r="E1191" s="10" t="str">
        <f aca="false">IF(D1191="?OLD","!!!","")</f>
        <v/>
      </c>
      <c r="F1191" s="11" t="str">
        <f aca="false">IF(OR(E1191="",E1191="!!!"),"",IF(NOT(ISNA(VLOOKUP(E1191,E$1:E1190,1,FALSE()))),"OLD",IF(AND(E1191&lt;&gt;"",E1191&lt;&gt;"!!!"),"NEW","")))</f>
        <v/>
      </c>
      <c r="G1191" s="12" t="str">
        <f aca="false">IF(OR(E1191="",E1191="!!!"),"",IF(OR(J1191=0,AND(J1191=1,K1191=1),AND(J1191=1,I1191="SBJ"),AND(J1191=1,I1191=0)),"?IN_FOCUS",IF(J1191&lt;=2,"?ACTIVATED",IF(J1191&lt;&gt;"","?FAMILIAR",IF(F1191="NEW",IF(ISNA(VLOOKUP(E1191,#REF!,1,FALSE())),"?TYPE_IDENTIFIABLE","?REFERENTIAL"),"_")))))</f>
        <v/>
      </c>
      <c r="H1191" s="13" t="str">
        <f aca="false">IF(J1191&lt;&gt;1,"",IF(I1191="SBJ","CB","?"))</f>
        <v/>
      </c>
      <c r="I1191" s="14" t="str">
        <f aca="false">IF(OR(E1191="",E1191="!!!",F1191="NEW"),"",INDEX(B$2:B1190,-1+SUMPRODUCT(MAX(ROW(E$2:E1190)*(E1191=E$2:E1190)))))</f>
        <v/>
      </c>
      <c r="J1191" s="15" t="str">
        <f aca="true">IF(OR(E1191="",E1191="!!!",F1191="NEW"),"",COUNTBLANK(OFFSET(A$1,,,SUMPRODUCT(MAX(ROW(E$2:E1191)*(E1191=E$2:E1191)))))-COUNTBLANK(OFFSET(A$1,,,SUMPRODUCT(MAX(ROW(E$1:E1190)*(E1191=E$1:E1190))))))</f>
        <v/>
      </c>
      <c r="K1191" s="15" t="str">
        <f aca="false">IF(OR(E1191="",E1191="!!!",F1191="NEW"),"",INDEX(J$1:J1190,SUMPRODUCT(MAX(ROW(E$1:E1190)*(E1191=E$1:E1190)))))</f>
        <v/>
      </c>
      <c r="L1191" s="16"/>
    </row>
    <row r="1192" customFormat="false" ht="12.75" hidden="false" customHeight="false" outlineLevel="0" collapsed="false">
      <c r="A1192" s="9" t="s">
        <v>36</v>
      </c>
      <c r="E1192" s="10" t="str">
        <f aca="false">IF(D1192="?OLD","!!!","")</f>
        <v/>
      </c>
      <c r="F1192" s="11" t="str">
        <f aca="false">IF(OR(E1192="",E1192="!!!"),"",IF(NOT(ISNA(VLOOKUP(E1192,E$1:E1191,1,FALSE()))),"OLD",IF(AND(E1192&lt;&gt;"",E1192&lt;&gt;"!!!"),"NEW","")))</f>
        <v/>
      </c>
      <c r="G1192" s="12" t="str">
        <f aca="false">IF(OR(E1192="",E1192="!!!"),"",IF(OR(J1192=0,AND(J1192=1,K1192=1),AND(J1192=1,I1192="SBJ"),AND(J1192=1,I1192=0)),"?IN_FOCUS",IF(J1192&lt;=2,"?ACTIVATED",IF(J1192&lt;&gt;"","?FAMILIAR",IF(F1192="NEW",IF(ISNA(VLOOKUP(E1192,#REF!,1,FALSE())),"?TYPE_IDENTIFIABLE","?REFERENTIAL"),"_")))))</f>
        <v/>
      </c>
      <c r="H1192" s="13" t="str">
        <f aca="false">IF(J1192&lt;&gt;1,"",IF(I1192="SBJ","CB","?"))</f>
        <v/>
      </c>
      <c r="I1192" s="14" t="str">
        <f aca="false">IF(OR(E1192="",E1192="!!!",F1192="NEW"),"",INDEX(B$2:B1191,-1+SUMPRODUCT(MAX(ROW(E$2:E1191)*(E1192=E$2:E1191)))))</f>
        <v/>
      </c>
      <c r="J1192" s="15" t="str">
        <f aca="true">IF(OR(E1192="",E1192="!!!",F1192="NEW"),"",COUNTBLANK(OFFSET(A$1,,,SUMPRODUCT(MAX(ROW(E$2:E1192)*(E1192=E$2:E1192)))))-COUNTBLANK(OFFSET(A$1,,,SUMPRODUCT(MAX(ROW(E$1:E1191)*(E1192=E$1:E1191))))))</f>
        <v/>
      </c>
      <c r="K1192" s="15" t="str">
        <f aca="false">IF(OR(E1192="",E1192="!!!",F1192="NEW"),"",INDEX(J$1:J1191,SUMPRODUCT(MAX(ROW(E$1:E1191)*(E1192=E$1:E1191)))))</f>
        <v/>
      </c>
      <c r="L1192" s="16"/>
    </row>
    <row r="1193" customFormat="false" ht="12.75" hidden="false" customHeight="false" outlineLevel="0" collapsed="false">
      <c r="A1193" s="9" t="s">
        <v>538</v>
      </c>
      <c r="B1193" s="0" t="s">
        <v>96</v>
      </c>
      <c r="C1193" s="0" t="s">
        <v>56</v>
      </c>
      <c r="E1193" s="10" t="str">
        <f aca="false">IF(D1193="?OLD","!!!","")</f>
        <v/>
      </c>
      <c r="F1193" s="11" t="str">
        <f aca="false">IF(OR(E1193="",E1193="!!!"),"",IF(NOT(ISNA(VLOOKUP(E1193,E$1:E1192,1,FALSE()))),"OLD",IF(AND(E1193&lt;&gt;"",E1193&lt;&gt;"!!!"),"NEW","")))</f>
        <v/>
      </c>
      <c r="G1193" s="12" t="str">
        <f aca="false">IF(OR(E1193="",E1193="!!!"),"",IF(OR(J1193=0,AND(J1193=1,K1193=1),AND(J1193=1,I1193="SBJ"),AND(J1193=1,I1193=0)),"?IN_FOCUS",IF(J1193&lt;=2,"?ACTIVATED",IF(J1193&lt;&gt;"","?FAMILIAR",IF(F1193="NEW",IF(ISNA(VLOOKUP(E1193,#REF!,1,FALSE())),"?TYPE_IDENTIFIABLE","?REFERENTIAL"),"_")))))</f>
        <v/>
      </c>
      <c r="H1193" s="13" t="str">
        <f aca="false">IF(J1193&lt;&gt;1,"",IF(I1193="SBJ","CB","?"))</f>
        <v/>
      </c>
      <c r="I1193" s="14" t="str">
        <f aca="false">IF(OR(E1193="",E1193="!!!",F1193="NEW"),"",INDEX(B$2:B1192,-1+SUMPRODUCT(MAX(ROW(E$2:E1192)*(E1193=E$2:E1192)))))</f>
        <v/>
      </c>
      <c r="J1193" s="15" t="str">
        <f aca="true">IF(OR(E1193="",E1193="!!!",F1193="NEW"),"",COUNTBLANK(OFFSET(A$1,,,SUMPRODUCT(MAX(ROW(E$2:E1193)*(E1193=E$2:E1193)))))-COUNTBLANK(OFFSET(A$1,,,SUMPRODUCT(MAX(ROW(E$1:E1192)*(E1193=E$1:E1192))))))</f>
        <v/>
      </c>
      <c r="K1193" s="15" t="str">
        <f aca="false">IF(OR(E1193="",E1193="!!!",F1193="NEW"),"",INDEX(J$1:J1192,SUMPRODUCT(MAX(ROW(E$1:E1192)*(E1193=E$1:E1192)))))</f>
        <v/>
      </c>
      <c r="L1193" s="16"/>
    </row>
    <row r="1194" customFormat="false" ht="12.75" hidden="false" customHeight="false" outlineLevel="0" collapsed="false">
      <c r="A1194" s="9" t="s">
        <v>42</v>
      </c>
      <c r="E1194" s="10" t="str">
        <f aca="false">IF(D1194="?OLD","!!!","")</f>
        <v/>
      </c>
      <c r="F1194" s="11" t="str">
        <f aca="false">IF(OR(E1194="",E1194="!!!"),"",IF(NOT(ISNA(VLOOKUP(E1194,E$1:E1193,1,FALSE()))),"OLD",IF(AND(E1194&lt;&gt;"",E1194&lt;&gt;"!!!"),"NEW","")))</f>
        <v/>
      </c>
      <c r="G1194" s="12" t="str">
        <f aca="false">IF(OR(E1194="",E1194="!!!"),"",IF(OR(J1194=0,AND(J1194=1,K1194=1),AND(J1194=1,I1194="SBJ"),AND(J1194=1,I1194=0)),"?IN_FOCUS",IF(J1194&lt;=2,"?ACTIVATED",IF(J1194&lt;&gt;"","?FAMILIAR",IF(F1194="NEW",IF(ISNA(VLOOKUP(E1194,#REF!,1,FALSE())),"?TYPE_IDENTIFIABLE","?REFERENTIAL"),"_")))))</f>
        <v/>
      </c>
      <c r="H1194" s="13" t="str">
        <f aca="false">IF(J1194&lt;&gt;1,"",IF(I1194="SBJ","CB","?"))</f>
        <v/>
      </c>
      <c r="I1194" s="14" t="str">
        <f aca="false">IF(OR(E1194="",E1194="!!!",F1194="NEW"),"",INDEX(B$2:B1193,-1+SUMPRODUCT(MAX(ROW(E$2:E1193)*(E1194=E$2:E1193)))))</f>
        <v/>
      </c>
      <c r="J1194" s="15" t="str">
        <f aca="true">IF(OR(E1194="",E1194="!!!",F1194="NEW"),"",COUNTBLANK(OFFSET(A$1,,,SUMPRODUCT(MAX(ROW(E$2:E1194)*(E1194=E$2:E1194)))))-COUNTBLANK(OFFSET(A$1,,,SUMPRODUCT(MAX(ROW(E$1:E1193)*(E1194=E$1:E1193))))))</f>
        <v/>
      </c>
      <c r="K1194" s="15" t="str">
        <f aca="false">IF(OR(E1194="",E1194="!!!",F1194="NEW"),"",INDEX(J$1:J1193,SUMPRODUCT(MAX(ROW(E$1:E1193)*(E1194=E$1:E1193)))))</f>
        <v/>
      </c>
      <c r="L1194" s="16"/>
    </row>
    <row r="1195" customFormat="false" ht="12.75" hidden="false" customHeight="false" outlineLevel="0" collapsed="false">
      <c r="A1195" s="9" t="s">
        <v>539</v>
      </c>
      <c r="E1195" s="10" t="str">
        <f aca="false">IF(D1195="?OLD","!!!","")</f>
        <v/>
      </c>
      <c r="F1195" s="11" t="str">
        <f aca="false">IF(OR(E1195="",E1195="!!!"),"",IF(NOT(ISNA(VLOOKUP(E1195,E$1:E1194,1,FALSE()))),"OLD",IF(AND(E1195&lt;&gt;"",E1195&lt;&gt;"!!!"),"NEW","")))</f>
        <v/>
      </c>
      <c r="G1195" s="12" t="str">
        <f aca="false">IF(OR(E1195="",E1195="!!!"),"",IF(OR(J1195=0,AND(J1195=1,K1195=1),AND(J1195=1,I1195="SBJ"),AND(J1195=1,I1195=0)),"?IN_FOCUS",IF(J1195&lt;=2,"?ACTIVATED",IF(J1195&lt;&gt;"","?FAMILIAR",IF(F1195="NEW",IF(ISNA(VLOOKUP(E1195,#REF!,1,FALSE())),"?TYPE_IDENTIFIABLE","?REFERENTIAL"),"_")))))</f>
        <v/>
      </c>
      <c r="H1195" s="13" t="str">
        <f aca="false">IF(J1195&lt;&gt;1,"",IF(I1195="SBJ","CB","?"))</f>
        <v/>
      </c>
      <c r="I1195" s="14" t="str">
        <f aca="false">IF(OR(E1195="",E1195="!!!",F1195="NEW"),"",INDEX(B$2:B1194,-1+SUMPRODUCT(MAX(ROW(E$2:E1194)*(E1195=E$2:E1194)))))</f>
        <v/>
      </c>
      <c r="J1195" s="15" t="str">
        <f aca="true">IF(OR(E1195="",E1195="!!!",F1195="NEW"),"",COUNTBLANK(OFFSET(A$1,,,SUMPRODUCT(MAX(ROW(E$2:E1195)*(E1195=E$2:E1195)))))-COUNTBLANK(OFFSET(A$1,,,SUMPRODUCT(MAX(ROW(E$1:E1194)*(E1195=E$1:E1194))))))</f>
        <v/>
      </c>
      <c r="K1195" s="15" t="str">
        <f aca="false">IF(OR(E1195="",E1195="!!!",F1195="NEW"),"",INDEX(J$1:J1194,SUMPRODUCT(MAX(ROW(E$1:E1194)*(E1195=E$1:E1194)))))</f>
        <v/>
      </c>
      <c r="L1195" s="16"/>
    </row>
    <row r="1196" customFormat="false" ht="12.75" hidden="false" customHeight="false" outlineLevel="0" collapsed="false">
      <c r="A1196" s="9" t="s">
        <v>44</v>
      </c>
      <c r="E1196" s="10" t="str">
        <f aca="false">IF(D1196="?OLD","!!!","")</f>
        <v/>
      </c>
      <c r="F1196" s="11" t="str">
        <f aca="false">IF(OR(E1196="",E1196="!!!"),"",IF(NOT(ISNA(VLOOKUP(E1196,E$1:E1195,1,FALSE()))),"OLD",IF(AND(E1196&lt;&gt;"",E1196&lt;&gt;"!!!"),"NEW","")))</f>
        <v/>
      </c>
      <c r="G1196" s="12" t="str">
        <f aca="false">IF(OR(E1196="",E1196="!!!"),"",IF(OR(J1196=0,AND(J1196=1,K1196=1),AND(J1196=1,I1196="SBJ"),AND(J1196=1,I1196=0)),"?IN_FOCUS",IF(J1196&lt;=2,"?ACTIVATED",IF(J1196&lt;&gt;"","?FAMILIAR",IF(F1196="NEW",IF(ISNA(VLOOKUP(E1196,#REF!,1,FALSE())),"?TYPE_IDENTIFIABLE","?REFERENTIAL"),"_")))))</f>
        <v/>
      </c>
      <c r="H1196" s="13" t="str">
        <f aca="false">IF(J1196&lt;&gt;1,"",IF(I1196="SBJ","CB","?"))</f>
        <v/>
      </c>
      <c r="I1196" s="14" t="str">
        <f aca="false">IF(OR(E1196="",E1196="!!!",F1196="NEW"),"",INDEX(B$2:B1195,-1+SUMPRODUCT(MAX(ROW(E$2:E1195)*(E1196=E$2:E1195)))))</f>
        <v/>
      </c>
      <c r="J1196" s="15" t="str">
        <f aca="true">IF(OR(E1196="",E1196="!!!",F1196="NEW"),"",COUNTBLANK(OFFSET(A$1,,,SUMPRODUCT(MAX(ROW(E$2:E1196)*(E1196=E$2:E1196)))))-COUNTBLANK(OFFSET(A$1,,,SUMPRODUCT(MAX(ROW(E$1:E1195)*(E1196=E$1:E1195))))))</f>
        <v/>
      </c>
      <c r="K1196" s="15" t="str">
        <f aca="false">IF(OR(E1196="",E1196="!!!",F1196="NEW"),"",INDEX(J$1:J1195,SUMPRODUCT(MAX(ROW(E$1:E1195)*(E1196=E$1:E1195)))))</f>
        <v/>
      </c>
      <c r="L1196" s="16"/>
    </row>
    <row r="1197" customFormat="false" ht="12.75" hidden="false" customHeight="false" outlineLevel="0" collapsed="false">
      <c r="E1197" s="10" t="str">
        <f aca="false">IF(D1197="?OLD","!!!","")</f>
        <v/>
      </c>
      <c r="F1197" s="11" t="str">
        <f aca="false">IF(OR(E1197="",E1197="!!!"),"",IF(NOT(ISNA(VLOOKUP(E1197,E$1:E1196,1,FALSE()))),"OLD",IF(AND(E1197&lt;&gt;"",E1197&lt;&gt;"!!!"),"NEW","")))</f>
        <v/>
      </c>
      <c r="G1197" s="12" t="str">
        <f aca="false">IF(OR(E1197="",E1197="!!!"),"",IF(OR(J1197=0,AND(J1197=1,K1197=1),AND(J1197=1,I1197="SBJ"),AND(J1197=1,I1197=0)),"?IN_FOCUS",IF(J1197&lt;=2,"?ACTIVATED",IF(J1197&lt;&gt;"","?FAMILIAR",IF(F1197="NEW",IF(ISNA(VLOOKUP(E1197,#REF!,1,FALSE())),"?TYPE_IDENTIFIABLE","?REFERENTIAL"),"_")))))</f>
        <v/>
      </c>
      <c r="H1197" s="13" t="str">
        <f aca="false">IF(J1197&lt;&gt;1,"",IF(I1197="SBJ","CB","?"))</f>
        <v/>
      </c>
      <c r="I1197" s="14" t="str">
        <f aca="false">IF(OR(E1197="",E1197="!!!",F1197="NEW"),"",INDEX(B$2:B1196,-1+SUMPRODUCT(MAX(ROW(E$2:E1196)*(E1197=E$2:E1196)))))</f>
        <v/>
      </c>
      <c r="J1197" s="15" t="str">
        <f aca="true">IF(OR(E1197="",E1197="!!!",F1197="NEW"),"",COUNTBLANK(OFFSET(A$1,,,SUMPRODUCT(MAX(ROW(E$2:E1197)*(E1197=E$2:E1197)))))-COUNTBLANK(OFFSET(A$1,,,SUMPRODUCT(MAX(ROW(E$1:E1196)*(E1197=E$1:E1196))))))</f>
        <v/>
      </c>
      <c r="K1197" s="15" t="str">
        <f aca="false">IF(OR(E1197="",E1197="!!!",F1197="NEW"),"",INDEX(J$1:J1196,SUMPRODUCT(MAX(ROW(E$1:E1196)*(E1197=E$1:E1196)))))</f>
        <v/>
      </c>
      <c r="L1197" s="16"/>
    </row>
    <row r="1198" customFormat="false" ht="12.75" hidden="false" customHeight="false" outlineLevel="0" collapsed="false">
      <c r="A1198" s="9" t="s">
        <v>540</v>
      </c>
      <c r="E1198" s="10" t="str">
        <f aca="false">IF(D1198="?OLD","!!!","")</f>
        <v/>
      </c>
      <c r="F1198" s="11" t="str">
        <f aca="false">IF(OR(E1198="",E1198="!!!"),"",IF(NOT(ISNA(VLOOKUP(E1198,E$1:E1197,1,FALSE()))),"OLD",IF(AND(E1198&lt;&gt;"",E1198&lt;&gt;"!!!"),"NEW","")))</f>
        <v/>
      </c>
      <c r="G1198" s="12" t="str">
        <f aca="false">IF(OR(E1198="",E1198="!!!"),"",IF(OR(J1198=0,AND(J1198=1,K1198=1),AND(J1198=1,I1198="SBJ"),AND(J1198=1,I1198=0)),"?IN_FOCUS",IF(J1198&lt;=2,"?ACTIVATED",IF(J1198&lt;&gt;"","?FAMILIAR",IF(F1198="NEW",IF(ISNA(VLOOKUP(E1198,#REF!,1,FALSE())),"?TYPE_IDENTIFIABLE","?REFERENTIAL"),"_")))))</f>
        <v/>
      </c>
      <c r="H1198" s="13" t="str">
        <f aca="false">IF(J1198&lt;&gt;1,"",IF(I1198="SBJ","CB","?"))</f>
        <v/>
      </c>
      <c r="I1198" s="14" t="str">
        <f aca="false">IF(OR(E1198="",E1198="!!!",F1198="NEW"),"",INDEX(B$2:B1197,-1+SUMPRODUCT(MAX(ROW(E$2:E1197)*(E1198=E$2:E1197)))))</f>
        <v/>
      </c>
      <c r="J1198" s="15" t="str">
        <f aca="true">IF(OR(E1198="",E1198="!!!",F1198="NEW"),"",COUNTBLANK(OFFSET(A$1,,,SUMPRODUCT(MAX(ROW(E$2:E1198)*(E1198=E$2:E1198)))))-COUNTBLANK(OFFSET(A$1,,,SUMPRODUCT(MAX(ROW(E$1:E1197)*(E1198=E$1:E1197))))))</f>
        <v/>
      </c>
      <c r="K1198" s="15" t="str">
        <f aca="false">IF(OR(E1198="",E1198="!!!",F1198="NEW"),"",INDEX(J$1:J1197,SUMPRODUCT(MAX(ROW(E$1:E1197)*(E1198=E$1:E1197)))))</f>
        <v/>
      </c>
      <c r="L1198" s="16"/>
    </row>
    <row r="1199" customFormat="false" ht="12.75" hidden="false" customHeight="false" outlineLevel="0" collapsed="false">
      <c r="A1199" s="9" t="s">
        <v>86</v>
      </c>
      <c r="B1199" s="0" t="s">
        <v>30</v>
      </c>
      <c r="C1199" s="0" t="s">
        <v>31</v>
      </c>
      <c r="D1199" s="0" t="s">
        <v>19</v>
      </c>
      <c r="E1199" s="10" t="s">
        <v>32</v>
      </c>
      <c r="F1199" s="11" t="str">
        <f aca="false">IF(OR(E1199="",E1199="!!!"),"",IF(NOT(ISNA(VLOOKUP(E1199,E$1:E1198,1,FALSE()))),"OLD",IF(AND(E1199&lt;&gt;"",E1199&lt;&gt;"!!!"),"NEW","")))</f>
        <v>OLD</v>
      </c>
      <c r="G1199" s="12" t="s">
        <v>33</v>
      </c>
      <c r="H1199" s="13" t="str">
        <f aca="false">IF(J1199&lt;&gt;1,"",IF(I1199="SBJ","CB","?"))</f>
        <v/>
      </c>
      <c r="I1199" s="14" t="str">
        <f aca="false">IF(OR(E1199="",E1199="!!!",F1199="NEW"),"",INDEX(B$2:B1198,-1+SUMPRODUCT(MAX(ROW(E$2:E1198)*(E1199=E$2:E1198)))))</f>
        <v>other_2</v>
      </c>
      <c r="J1199" s="15" t="n">
        <f aca="true">IF(OR(E1199="",E1199="!!!",F1199="NEW"),"",COUNTBLANK(OFFSET(A$1,,,SUMPRODUCT(MAX(ROW(E$2:E1199)*(E1199=E$2:E1199)))))-COUNTBLANK(OFFSET(A$1,,,SUMPRODUCT(MAX(ROW(E$1:E1198)*(E1199=E$1:E1198))))))</f>
        <v>2</v>
      </c>
      <c r="K1199" s="15" t="n">
        <f aca="false">IF(OR(E1199="",E1199="!!!",F1199="NEW"),"",INDEX(J$1:J1198,SUMPRODUCT(MAX(ROW(E$1:E1198)*(E1199=E$1:E1198)))))</f>
        <v>1</v>
      </c>
      <c r="L1199" s="16"/>
    </row>
    <row r="1200" customFormat="false" ht="12.75" hidden="false" customHeight="false" outlineLevel="0" collapsed="false">
      <c r="A1200" s="9" t="s">
        <v>541</v>
      </c>
      <c r="E1200" s="10" t="str">
        <f aca="false">IF(D1200="?OLD","!!!","")</f>
        <v/>
      </c>
      <c r="F1200" s="11" t="str">
        <f aca="false">IF(OR(E1200="",E1200="!!!"),"",IF(NOT(ISNA(VLOOKUP(E1200,E$1:E1199,1,FALSE()))),"OLD",IF(AND(E1200&lt;&gt;"",E1200&lt;&gt;"!!!"),"NEW","")))</f>
        <v/>
      </c>
      <c r="G1200" s="12" t="str">
        <f aca="false">IF(OR(E1200="",E1200="!!!"),"",IF(OR(J1200=0,AND(J1200=1,K1200=1),AND(J1200=1,I1200="SBJ"),AND(J1200=1,I1200=0)),"?IN_FOCUS",IF(J1200&lt;=2,"?ACTIVATED",IF(J1200&lt;&gt;"","?FAMILIAR",IF(F1200="NEW",IF(ISNA(VLOOKUP(E1200,#REF!,1,FALSE())),"?TYPE_IDENTIFIABLE","?REFERENTIAL"),"_")))))</f>
        <v/>
      </c>
      <c r="H1200" s="13" t="str">
        <f aca="false">IF(J1200&lt;&gt;1,"",IF(I1200="SBJ","CB","?"))</f>
        <v/>
      </c>
      <c r="I1200" s="14" t="str">
        <f aca="false">IF(OR(E1200="",E1200="!!!",F1200="NEW"),"",INDEX(B$2:B1199,-1+SUMPRODUCT(MAX(ROW(E$2:E1199)*(E1200=E$2:E1199)))))</f>
        <v/>
      </c>
      <c r="J1200" s="15" t="str">
        <f aca="true">IF(OR(E1200="",E1200="!!!",F1200="NEW"),"",COUNTBLANK(OFFSET(A$1,,,SUMPRODUCT(MAX(ROW(E$2:E1200)*(E1200=E$2:E1200)))))-COUNTBLANK(OFFSET(A$1,,,SUMPRODUCT(MAX(ROW(E$1:E1199)*(E1200=E$1:E1199))))))</f>
        <v/>
      </c>
      <c r="K1200" s="15" t="str">
        <f aca="false">IF(OR(E1200="",E1200="!!!",F1200="NEW"),"",INDEX(J$1:J1199,SUMPRODUCT(MAX(ROW(E$1:E1199)*(E1200=E$1:E1199)))))</f>
        <v/>
      </c>
      <c r="L1200" s="16"/>
    </row>
    <row r="1201" customFormat="false" ht="12.75" hidden="false" customHeight="false" outlineLevel="0" collapsed="false">
      <c r="A1201" s="9" t="s">
        <v>542</v>
      </c>
      <c r="B1201" s="0" t="s">
        <v>75</v>
      </c>
      <c r="C1201" s="0" t="s">
        <v>128</v>
      </c>
      <c r="D1201" s="0" t="s">
        <v>19</v>
      </c>
      <c r="E1201" s="10" t="s">
        <v>32</v>
      </c>
      <c r="F1201" s="11" t="str">
        <f aca="false">IF(OR(E1201="",E1201="!!!"),"",IF(NOT(ISNA(VLOOKUP(E1201,E$1:E1200,1,FALSE()))),"OLD",IF(AND(E1201&lt;&gt;"",E1201&lt;&gt;"!!!"),"NEW","")))</f>
        <v>OLD</v>
      </c>
      <c r="G1201" s="12" t="s">
        <v>65</v>
      </c>
      <c r="H1201" s="13" t="str">
        <f aca="false">IF(J1201&lt;&gt;1,"",IF(I1201="SBJ","CB","?"))</f>
        <v/>
      </c>
      <c r="I1201" s="14" t="str">
        <f aca="false">IF(OR(E1201="",E1201="!!!",F1201="NEW"),"",INDEX(B$2:B1200,-1+SUMPRODUCT(MAX(ROW(E$2:E1200)*(E1201=E$2:E1200)))))</f>
        <v>SBJ</v>
      </c>
      <c r="J1201" s="15" t="n">
        <f aca="true">IF(OR(E1201="",E1201="!!!",F1201="NEW"),"",COUNTBLANK(OFFSET(A$1,,,SUMPRODUCT(MAX(ROW(E$2:E1201)*(E1201=E$2:E1201)))))-COUNTBLANK(OFFSET(A$1,,,SUMPRODUCT(MAX(ROW(E$1:E1200)*(E1201=E$1:E1200))))))</f>
        <v>0</v>
      </c>
      <c r="K1201" s="15" t="n">
        <f aca="false">IF(OR(E1201="",E1201="!!!",F1201="NEW"),"",INDEX(J$1:J1200,SUMPRODUCT(MAX(ROW(E$1:E1200)*(E1201=E$1:E1200)))))</f>
        <v>2</v>
      </c>
      <c r="L1201" s="16"/>
    </row>
    <row r="1202" customFormat="false" ht="12.75" hidden="false" customHeight="false" outlineLevel="0" collapsed="false">
      <c r="A1202" s="9" t="s">
        <v>543</v>
      </c>
      <c r="B1202" s="0" t="s">
        <v>152</v>
      </c>
      <c r="C1202" s="0" t="s">
        <v>83</v>
      </c>
      <c r="D1202" s="0" t="s">
        <v>19</v>
      </c>
      <c r="E1202" s="10" t="s">
        <v>544</v>
      </c>
      <c r="F1202" s="11" t="str">
        <f aca="false">IF(OR(E1202="",E1202="!!!"),"",IF(NOT(ISNA(VLOOKUP(E1202,E$1:E1201,1,FALSE()))),"OLD",IF(AND(E1202&lt;&gt;"",E1202&lt;&gt;"!!!"),"NEW","")))</f>
        <v>NEW</v>
      </c>
      <c r="G1202" s="12" t="s">
        <v>21</v>
      </c>
      <c r="H1202" s="13" t="str">
        <f aca="false">IF(J1202&lt;&gt;1,"",IF(I1202="SBJ","CB","?"))</f>
        <v/>
      </c>
      <c r="I1202" s="14" t="str">
        <f aca="false">IF(OR(E1202="",E1202="!!!",F1202="NEW"),"",INDEX(B$2:B1201,-1+SUMPRODUCT(MAX(ROW(E$2:E1201)*(E1202=E$2:E1201)))))</f>
        <v/>
      </c>
      <c r="J1202" s="15" t="str">
        <f aca="true">IF(OR(E1202="",E1202="!!!",F1202="NEW"),"",COUNTBLANK(OFFSET(A$1,,,SUMPRODUCT(MAX(ROW(E$2:E1202)*(E1202=E$2:E1202)))))-COUNTBLANK(OFFSET(A$1,,,SUMPRODUCT(MAX(ROW(E$1:E1201)*(E1202=E$1:E1201))))))</f>
        <v/>
      </c>
      <c r="K1202" s="15" t="str">
        <f aca="false">IF(OR(E1202="",E1202="!!!",F1202="NEW"),"",INDEX(J$1:J1201,SUMPRODUCT(MAX(ROW(E$1:E1201)*(E1202=E$1:E1201)))))</f>
        <v/>
      </c>
      <c r="L1202" s="16"/>
    </row>
    <row r="1203" customFormat="false" ht="12.75" hidden="false" customHeight="false" outlineLevel="0" collapsed="false">
      <c r="A1203" s="9" t="s">
        <v>63</v>
      </c>
      <c r="E1203" s="10" t="str">
        <f aca="false">IF(D1203="?OLD","!!!","")</f>
        <v/>
      </c>
      <c r="F1203" s="11" t="str">
        <f aca="false">IF(OR(E1203="",E1203="!!!"),"",IF(NOT(ISNA(VLOOKUP(E1203,E$1:E1202,1,FALSE()))),"OLD",IF(AND(E1203&lt;&gt;"",E1203&lt;&gt;"!!!"),"NEW","")))</f>
        <v/>
      </c>
      <c r="G1203" s="12" t="str">
        <f aca="false">IF(OR(E1203="",E1203="!!!"),"",IF(OR(J1203=0,AND(J1203=1,K1203=1),AND(J1203=1,I1203="SBJ"),AND(J1203=1,I1203=0)),"?IN_FOCUS",IF(J1203&lt;=2,"?ACTIVATED",IF(J1203&lt;&gt;"","?FAMILIAR",IF(F1203="NEW",IF(ISNA(VLOOKUP(E1203,#REF!,1,FALSE())),"?TYPE_IDENTIFIABLE","?REFERENTIAL"),"_")))))</f>
        <v/>
      </c>
      <c r="H1203" s="13" t="str">
        <f aca="false">IF(J1203&lt;&gt;1,"",IF(I1203="SBJ","CB","?"))</f>
        <v/>
      </c>
      <c r="I1203" s="14" t="str">
        <f aca="false">IF(OR(E1203="",E1203="!!!",F1203="NEW"),"",INDEX(B$2:B1202,-1+SUMPRODUCT(MAX(ROW(E$2:E1202)*(E1203=E$2:E1202)))))</f>
        <v/>
      </c>
      <c r="J1203" s="15" t="str">
        <f aca="true">IF(OR(E1203="",E1203="!!!",F1203="NEW"),"",COUNTBLANK(OFFSET(A$1,,,SUMPRODUCT(MAX(ROW(E$2:E1203)*(E1203=E$2:E1203)))))-COUNTBLANK(OFFSET(A$1,,,SUMPRODUCT(MAX(ROW(E$1:E1202)*(E1203=E$1:E1202))))))</f>
        <v/>
      </c>
      <c r="K1203" s="15" t="str">
        <f aca="false">IF(OR(E1203="",E1203="!!!",F1203="NEW"),"",INDEX(J$1:J1202,SUMPRODUCT(MAX(ROW(E$1:E1202)*(E1203=E$1:E1202)))))</f>
        <v/>
      </c>
      <c r="L1203" s="16"/>
    </row>
    <row r="1204" customFormat="false" ht="12.75" hidden="false" customHeight="false" outlineLevel="0" collapsed="false">
      <c r="A1204" s="9" t="s">
        <v>545</v>
      </c>
      <c r="B1204" s="0" t="s">
        <v>75</v>
      </c>
      <c r="C1204" s="0" t="s">
        <v>25</v>
      </c>
      <c r="E1204" s="10" t="str">
        <f aca="false">IF(D1204="?OLD","!!!","")</f>
        <v/>
      </c>
      <c r="F1204" s="11" t="str">
        <f aca="false">IF(OR(E1204="",E1204="!!!"),"",IF(NOT(ISNA(VLOOKUP(E1204,E$1:E1203,1,FALSE()))),"OLD",IF(AND(E1204&lt;&gt;"",E1204&lt;&gt;"!!!"),"NEW","")))</f>
        <v/>
      </c>
      <c r="G1204" s="12" t="str">
        <f aca="false">IF(OR(E1204="",E1204="!!!"),"",IF(OR(J1204=0,AND(J1204=1,K1204=1),AND(J1204=1,I1204="SBJ"),AND(J1204=1,I1204=0)),"?IN_FOCUS",IF(J1204&lt;=2,"?ACTIVATED",IF(J1204&lt;&gt;"","?FAMILIAR",IF(F1204="NEW",IF(ISNA(VLOOKUP(E1204,#REF!,1,FALSE())),"?TYPE_IDENTIFIABLE","?REFERENTIAL"),"_")))))</f>
        <v/>
      </c>
      <c r="H1204" s="13" t="str">
        <f aca="false">IF(J1204&lt;&gt;1,"",IF(I1204="SBJ","CB","?"))</f>
        <v/>
      </c>
      <c r="I1204" s="14" t="str">
        <f aca="false">IF(OR(E1204="",E1204="!!!",F1204="NEW"),"",INDEX(B$2:B1203,-1+SUMPRODUCT(MAX(ROW(E$2:E1203)*(E1204=E$2:E1203)))))</f>
        <v/>
      </c>
      <c r="J1204" s="15" t="str">
        <f aca="true">IF(OR(E1204="",E1204="!!!",F1204="NEW"),"",COUNTBLANK(OFFSET(A$1,,,SUMPRODUCT(MAX(ROW(E$2:E1204)*(E1204=E$2:E1204)))))-COUNTBLANK(OFFSET(A$1,,,SUMPRODUCT(MAX(ROW(E$1:E1203)*(E1204=E$1:E1203))))))</f>
        <v/>
      </c>
      <c r="K1204" s="15" t="str">
        <f aca="false">IF(OR(E1204="",E1204="!!!",F1204="NEW"),"",INDEX(J$1:J1203,SUMPRODUCT(MAX(ROW(E$1:E1203)*(E1204=E$1:E1203)))))</f>
        <v/>
      </c>
      <c r="L1204" s="16"/>
    </row>
    <row r="1205" customFormat="false" ht="12.75" hidden="false" customHeight="false" outlineLevel="0" collapsed="false">
      <c r="A1205" s="9" t="s">
        <v>28</v>
      </c>
      <c r="E1205" s="10" t="str">
        <f aca="false">IF(D1205="?OLD","!!!","")</f>
        <v/>
      </c>
      <c r="F1205" s="11" t="str">
        <f aca="false">IF(OR(E1205="",E1205="!!!"),"",IF(NOT(ISNA(VLOOKUP(E1205,E$1:E1204,1,FALSE()))),"OLD",IF(AND(E1205&lt;&gt;"",E1205&lt;&gt;"!!!"),"NEW","")))</f>
        <v/>
      </c>
      <c r="G1205" s="12" t="str">
        <f aca="false">IF(OR(E1205="",E1205="!!!"),"",IF(OR(J1205=0,AND(J1205=1,K1205=1),AND(J1205=1,I1205="SBJ"),AND(J1205=1,I1205=0)),"?IN_FOCUS",IF(J1205&lt;=2,"?ACTIVATED",IF(J1205&lt;&gt;"","?FAMILIAR",IF(F1205="NEW",IF(ISNA(VLOOKUP(E1205,#REF!,1,FALSE())),"?TYPE_IDENTIFIABLE","?REFERENTIAL"),"_")))))</f>
        <v/>
      </c>
      <c r="H1205" s="13" t="str">
        <f aca="false">IF(J1205&lt;&gt;1,"",IF(I1205="SBJ","CB","?"))</f>
        <v/>
      </c>
      <c r="I1205" s="14" t="str">
        <f aca="false">IF(OR(E1205="",E1205="!!!",F1205="NEW"),"",INDEX(B$2:B1204,-1+SUMPRODUCT(MAX(ROW(E$2:E1204)*(E1205=E$2:E1204)))))</f>
        <v/>
      </c>
      <c r="J1205" s="15" t="str">
        <f aca="true">IF(OR(E1205="",E1205="!!!",F1205="NEW"),"",COUNTBLANK(OFFSET(A$1,,,SUMPRODUCT(MAX(ROW(E$2:E1205)*(E1205=E$2:E1205)))))-COUNTBLANK(OFFSET(A$1,,,SUMPRODUCT(MAX(ROW(E$1:E1204)*(E1205=E$1:E1204))))))</f>
        <v/>
      </c>
      <c r="K1205" s="15" t="str">
        <f aca="false">IF(OR(E1205="",E1205="!!!",F1205="NEW"),"",INDEX(J$1:J1204,SUMPRODUCT(MAX(ROW(E$1:E1204)*(E1205=E$1:E1204)))))</f>
        <v/>
      </c>
      <c r="L1205" s="16"/>
    </row>
    <row r="1206" customFormat="false" ht="12.75" hidden="false" customHeight="false" outlineLevel="0" collapsed="false">
      <c r="A1206" s="9" t="s">
        <v>63</v>
      </c>
      <c r="E1206" s="10" t="str">
        <f aca="false">IF(D1206="?OLD","!!!","")</f>
        <v/>
      </c>
      <c r="F1206" s="11" t="str">
        <f aca="false">IF(OR(E1206="",E1206="!!!"),"",IF(NOT(ISNA(VLOOKUP(E1206,E$1:E1205,1,FALSE()))),"OLD",IF(AND(E1206&lt;&gt;"",E1206&lt;&gt;"!!!"),"NEW","")))</f>
        <v/>
      </c>
      <c r="G1206" s="12" t="str">
        <f aca="false">IF(OR(E1206="",E1206="!!!"),"",IF(OR(J1206=0,AND(J1206=1,K1206=1),AND(J1206=1,I1206="SBJ"),AND(J1206=1,I1206=0)),"?IN_FOCUS",IF(J1206&lt;=2,"?ACTIVATED",IF(J1206&lt;&gt;"","?FAMILIAR",IF(F1206="NEW",IF(ISNA(VLOOKUP(E1206,#REF!,1,FALSE())),"?TYPE_IDENTIFIABLE","?REFERENTIAL"),"_")))))</f>
        <v/>
      </c>
      <c r="H1206" s="13" t="str">
        <f aca="false">IF(J1206&lt;&gt;1,"",IF(I1206="SBJ","CB","?"))</f>
        <v/>
      </c>
      <c r="I1206" s="14" t="str">
        <f aca="false">IF(OR(E1206="",E1206="!!!",F1206="NEW"),"",INDEX(B$2:B1205,-1+SUMPRODUCT(MAX(ROW(E$2:E1205)*(E1206=E$2:E1205)))))</f>
        <v/>
      </c>
      <c r="J1206" s="15" t="str">
        <f aca="true">IF(OR(E1206="",E1206="!!!",F1206="NEW"),"",COUNTBLANK(OFFSET(A$1,,,SUMPRODUCT(MAX(ROW(E$2:E1206)*(E1206=E$2:E1206)))))-COUNTBLANK(OFFSET(A$1,,,SUMPRODUCT(MAX(ROW(E$1:E1205)*(E1206=E$1:E1205))))))</f>
        <v/>
      </c>
      <c r="K1206" s="15" t="str">
        <f aca="false">IF(OR(E1206="",E1206="!!!",F1206="NEW"),"",INDEX(J$1:J1205,SUMPRODUCT(MAX(ROW(E$1:E1205)*(E1206=E$1:E1205)))))</f>
        <v/>
      </c>
      <c r="L1206" s="16"/>
    </row>
    <row r="1207" customFormat="false" ht="12.75" hidden="false" customHeight="false" outlineLevel="0" collapsed="false">
      <c r="A1207" s="9" t="s">
        <v>77</v>
      </c>
      <c r="E1207" s="10" t="str">
        <f aca="false">IF(D1207="?OLD","!!!","")</f>
        <v/>
      </c>
      <c r="F1207" s="11" t="str">
        <f aca="false">IF(OR(E1207="",E1207="!!!"),"",IF(NOT(ISNA(VLOOKUP(E1207,E$1:E1206,1,FALSE()))),"OLD",IF(AND(E1207&lt;&gt;"",E1207&lt;&gt;"!!!"),"NEW","")))</f>
        <v/>
      </c>
      <c r="G1207" s="12" t="str">
        <f aca="false">IF(OR(E1207="",E1207="!!!"),"",IF(OR(J1207=0,AND(J1207=1,K1207=1),AND(J1207=1,I1207="SBJ"),AND(J1207=1,I1207=0)),"?IN_FOCUS",IF(J1207&lt;=2,"?ACTIVATED",IF(J1207&lt;&gt;"","?FAMILIAR",IF(F1207="NEW",IF(ISNA(VLOOKUP(E1207,#REF!,1,FALSE())),"?TYPE_IDENTIFIABLE","?REFERENTIAL"),"_")))))</f>
        <v/>
      </c>
      <c r="H1207" s="13" t="str">
        <f aca="false">IF(J1207&lt;&gt;1,"",IF(I1207="SBJ","CB","?"))</f>
        <v/>
      </c>
      <c r="I1207" s="14" t="str">
        <f aca="false">IF(OR(E1207="",E1207="!!!",F1207="NEW"),"",INDEX(B$2:B1206,-1+SUMPRODUCT(MAX(ROW(E$2:E1206)*(E1207=E$2:E1206)))))</f>
        <v/>
      </c>
      <c r="J1207" s="15" t="str">
        <f aca="true">IF(OR(E1207="",E1207="!!!",F1207="NEW"),"",COUNTBLANK(OFFSET(A$1,,,SUMPRODUCT(MAX(ROW(E$2:E1207)*(E1207=E$2:E1207)))))-COUNTBLANK(OFFSET(A$1,,,SUMPRODUCT(MAX(ROW(E$1:E1206)*(E1207=E$1:E1206))))))</f>
        <v/>
      </c>
      <c r="K1207" s="15" t="str">
        <f aca="false">IF(OR(E1207="",E1207="!!!",F1207="NEW"),"",INDEX(J$1:J1206,SUMPRODUCT(MAX(ROW(E$1:E1206)*(E1207=E$1:E1206)))))</f>
        <v/>
      </c>
      <c r="L1207" s="16"/>
    </row>
    <row r="1208" customFormat="false" ht="12.75" hidden="false" customHeight="false" outlineLevel="0" collapsed="false">
      <c r="A1208" s="9" t="s">
        <v>79</v>
      </c>
      <c r="B1208" s="0" t="s">
        <v>55</v>
      </c>
      <c r="C1208" s="0" t="s">
        <v>31</v>
      </c>
      <c r="D1208" s="0" t="s">
        <v>19</v>
      </c>
      <c r="E1208" s="10" t="s">
        <v>544</v>
      </c>
      <c r="F1208" s="11" t="str">
        <f aca="false">IF(OR(E1208="",E1208="!!!"),"",IF(NOT(ISNA(VLOOKUP(E1208,E$1:E1207,1,FALSE()))),"OLD",IF(AND(E1208&lt;&gt;"",E1208&lt;&gt;"!!!"),"NEW","")))</f>
        <v>OLD</v>
      </c>
      <c r="G1208" s="12" t="s">
        <v>65</v>
      </c>
      <c r="H1208" s="13" t="str">
        <f aca="false">IF(J1208&lt;&gt;1,"",IF(I1208="SBJ","CB","?"))</f>
        <v/>
      </c>
      <c r="I1208" s="14" t="str">
        <f aca="false">IF(OR(E1208="",E1208="!!!",F1208="NEW"),"",INDEX(B$2:B1207,-1+SUMPRODUCT(MAX(ROW(E$2:E1207)*(E1208=E$2:E1207)))))</f>
        <v>OBJ</v>
      </c>
      <c r="J1208" s="15" t="n">
        <f aca="true">IF(OR(E1208="",E1208="!!!",F1208="NEW"),"",COUNTBLANK(OFFSET(A$1,,,SUMPRODUCT(MAX(ROW(E$2:E1208)*(E1208=E$2:E1208)))))-COUNTBLANK(OFFSET(A$1,,,SUMPRODUCT(MAX(ROW(E$1:E1207)*(E1208=E$1:E1207))))))</f>
        <v>0</v>
      </c>
      <c r="K1208" s="15" t="str">
        <f aca="false">IF(OR(E1208="",E1208="!!!",F1208="NEW"),"",INDEX(J$1:J1207,SUMPRODUCT(MAX(ROW(E$1:E1207)*(E1208=E$1:E1207)))))</f>
        <v/>
      </c>
      <c r="L1208" s="16"/>
    </row>
    <row r="1209" customFormat="false" ht="12.75" hidden="false" customHeight="false" outlineLevel="0" collapsed="false">
      <c r="A1209" s="9" t="s">
        <v>78</v>
      </c>
      <c r="E1209" s="10" t="str">
        <f aca="false">IF(D1209="?OLD","!!!","")</f>
        <v/>
      </c>
      <c r="F1209" s="11" t="str">
        <f aca="false">IF(OR(E1209="",E1209="!!!"),"",IF(NOT(ISNA(VLOOKUP(E1209,E$1:E1208,1,FALSE()))),"OLD",IF(AND(E1209&lt;&gt;"",E1209&lt;&gt;"!!!"),"NEW","")))</f>
        <v/>
      </c>
      <c r="G1209" s="12" t="str">
        <f aca="false">IF(OR(E1209="",E1209="!!!"),"",IF(OR(J1209=0,AND(J1209=1,K1209=1),AND(J1209=1,I1209="SBJ"),AND(J1209=1,I1209=0)),"?IN_FOCUS",IF(J1209&lt;=2,"?ACTIVATED",IF(J1209&lt;&gt;"","?FAMILIAR",IF(F1209="NEW",IF(ISNA(VLOOKUP(E1209,#REF!,1,FALSE())),"?TYPE_IDENTIFIABLE","?REFERENTIAL"),"_")))))</f>
        <v/>
      </c>
      <c r="H1209" s="13" t="str">
        <f aca="false">IF(J1209&lt;&gt;1,"",IF(I1209="SBJ","CB","?"))</f>
        <v/>
      </c>
      <c r="I1209" s="14" t="str">
        <f aca="false">IF(OR(E1209="",E1209="!!!",F1209="NEW"),"",INDEX(B$2:B1208,-1+SUMPRODUCT(MAX(ROW(E$2:E1208)*(E1209=E$2:E1208)))))</f>
        <v/>
      </c>
      <c r="J1209" s="15" t="str">
        <f aca="true">IF(OR(E1209="",E1209="!!!",F1209="NEW"),"",COUNTBLANK(OFFSET(A$1,,,SUMPRODUCT(MAX(ROW(E$2:E1209)*(E1209=E$2:E1209)))))-COUNTBLANK(OFFSET(A$1,,,SUMPRODUCT(MAX(ROW(E$1:E1208)*(E1209=E$1:E1208))))))</f>
        <v/>
      </c>
      <c r="K1209" s="15" t="str">
        <f aca="false">IF(OR(E1209="",E1209="!!!",F1209="NEW"),"",INDEX(J$1:J1208,SUMPRODUCT(MAX(ROW(E$1:E1208)*(E1209=E$1:E1208)))))</f>
        <v/>
      </c>
      <c r="L1209" s="16"/>
    </row>
    <row r="1210" customFormat="false" ht="12.75" hidden="false" customHeight="false" outlineLevel="0" collapsed="false">
      <c r="A1210" s="9" t="s">
        <v>36</v>
      </c>
      <c r="E1210" s="10" t="str">
        <f aca="false">IF(D1210="?OLD","!!!","")</f>
        <v/>
      </c>
      <c r="F1210" s="11" t="str">
        <f aca="false">IF(OR(E1210="",E1210="!!!"),"",IF(NOT(ISNA(VLOOKUP(E1210,E$1:E1209,1,FALSE()))),"OLD",IF(AND(E1210&lt;&gt;"",E1210&lt;&gt;"!!!"),"NEW","")))</f>
        <v/>
      </c>
      <c r="G1210" s="12" t="str">
        <f aca="false">IF(OR(E1210="",E1210="!!!"),"",IF(OR(J1210=0,AND(J1210=1,K1210=1),AND(J1210=1,I1210="SBJ"),AND(J1210=1,I1210=0)),"?IN_FOCUS",IF(J1210&lt;=2,"?ACTIVATED",IF(J1210&lt;&gt;"","?FAMILIAR",IF(F1210="NEW",IF(ISNA(VLOOKUP(E1210,#REF!,1,FALSE())),"?TYPE_IDENTIFIABLE","?REFERENTIAL"),"_")))))</f>
        <v/>
      </c>
      <c r="H1210" s="13" t="str">
        <f aca="false">IF(J1210&lt;&gt;1,"",IF(I1210="SBJ","CB","?"))</f>
        <v/>
      </c>
      <c r="I1210" s="14" t="str">
        <f aca="false">IF(OR(E1210="",E1210="!!!",F1210="NEW"),"",INDEX(B$2:B1209,-1+SUMPRODUCT(MAX(ROW(E$2:E1209)*(E1210=E$2:E1209)))))</f>
        <v/>
      </c>
      <c r="J1210" s="15" t="str">
        <f aca="true">IF(OR(E1210="",E1210="!!!",F1210="NEW"),"",COUNTBLANK(OFFSET(A$1,,,SUMPRODUCT(MAX(ROW(E$2:E1210)*(E1210=E$2:E1210)))))-COUNTBLANK(OFFSET(A$1,,,SUMPRODUCT(MAX(ROW(E$1:E1209)*(E1210=E$1:E1209))))))</f>
        <v/>
      </c>
      <c r="K1210" s="15" t="str">
        <f aca="false">IF(OR(E1210="",E1210="!!!",F1210="NEW"),"",INDEX(J$1:J1209,SUMPRODUCT(MAX(ROW(E$1:E1209)*(E1210=E$1:E1209)))))</f>
        <v/>
      </c>
      <c r="L1210" s="16"/>
    </row>
    <row r="1211" customFormat="false" ht="12.75" hidden="false" customHeight="false" outlineLevel="0" collapsed="false">
      <c r="A1211" s="9" t="s">
        <v>28</v>
      </c>
      <c r="E1211" s="10" t="str">
        <f aca="false">IF(D1211="?OLD","!!!","")</f>
        <v/>
      </c>
      <c r="F1211" s="11" t="str">
        <f aca="false">IF(OR(E1211="",E1211="!!!"),"",IF(NOT(ISNA(VLOOKUP(E1211,E$1:E1210,1,FALSE()))),"OLD",IF(AND(E1211&lt;&gt;"",E1211&lt;&gt;"!!!"),"NEW","")))</f>
        <v/>
      </c>
      <c r="G1211" s="12" t="str">
        <f aca="false">IF(OR(E1211="",E1211="!!!"),"",IF(OR(J1211=0,AND(J1211=1,K1211=1),AND(J1211=1,I1211="SBJ"),AND(J1211=1,I1211=0)),"?IN_FOCUS",IF(J1211&lt;=2,"?ACTIVATED",IF(J1211&lt;&gt;"","?FAMILIAR",IF(F1211="NEW",IF(ISNA(VLOOKUP(E1211,#REF!,1,FALSE())),"?TYPE_IDENTIFIABLE","?REFERENTIAL"),"_")))))</f>
        <v/>
      </c>
      <c r="H1211" s="13" t="str">
        <f aca="false">IF(J1211&lt;&gt;1,"",IF(I1211="SBJ","CB","?"))</f>
        <v/>
      </c>
      <c r="I1211" s="14" t="str">
        <f aca="false">IF(OR(E1211="",E1211="!!!",F1211="NEW"),"",INDEX(B$2:B1210,-1+SUMPRODUCT(MAX(ROW(E$2:E1210)*(E1211=E$2:E1210)))))</f>
        <v/>
      </c>
      <c r="J1211" s="15" t="str">
        <f aca="true">IF(OR(E1211="",E1211="!!!",F1211="NEW"),"",COUNTBLANK(OFFSET(A$1,,,SUMPRODUCT(MAX(ROW(E$2:E1211)*(E1211=E$2:E1211)))))-COUNTBLANK(OFFSET(A$1,,,SUMPRODUCT(MAX(ROW(E$1:E1210)*(E1211=E$1:E1210))))))</f>
        <v/>
      </c>
      <c r="K1211" s="15" t="str">
        <f aca="false">IF(OR(E1211="",E1211="!!!",F1211="NEW"),"",INDEX(J$1:J1210,SUMPRODUCT(MAX(ROW(E$1:E1210)*(E1211=E$1:E1210)))))</f>
        <v/>
      </c>
      <c r="L1211" s="16"/>
    </row>
    <row r="1212" customFormat="false" ht="12.75" hidden="false" customHeight="false" outlineLevel="0" collapsed="false">
      <c r="A1212" s="9" t="s">
        <v>432</v>
      </c>
      <c r="E1212" s="10" t="str">
        <f aca="false">IF(D1212="?OLD","!!!","")</f>
        <v/>
      </c>
      <c r="F1212" s="11" t="str">
        <f aca="false">IF(OR(E1212="",E1212="!!!"),"",IF(NOT(ISNA(VLOOKUP(E1212,E$1:E1211,1,FALSE()))),"OLD",IF(AND(E1212&lt;&gt;"",E1212&lt;&gt;"!!!"),"NEW","")))</f>
        <v/>
      </c>
      <c r="G1212" s="12" t="str">
        <f aca="false">IF(OR(E1212="",E1212="!!!"),"",IF(OR(J1212=0,AND(J1212=1,K1212=1),AND(J1212=1,I1212="SBJ"),AND(J1212=1,I1212=0)),"?IN_FOCUS",IF(J1212&lt;=2,"?ACTIVATED",IF(J1212&lt;&gt;"","?FAMILIAR",IF(F1212="NEW",IF(ISNA(VLOOKUP(E1212,#REF!,1,FALSE())),"?TYPE_IDENTIFIABLE","?REFERENTIAL"),"_")))))</f>
        <v/>
      </c>
      <c r="H1212" s="13" t="str">
        <f aca="false">IF(J1212&lt;&gt;1,"",IF(I1212="SBJ","CB","?"))</f>
        <v/>
      </c>
      <c r="I1212" s="14" t="str">
        <f aca="false">IF(OR(E1212="",E1212="!!!",F1212="NEW"),"",INDEX(B$2:B1211,-1+SUMPRODUCT(MAX(ROW(E$2:E1211)*(E1212=E$2:E1211)))))</f>
        <v/>
      </c>
      <c r="J1212" s="15" t="str">
        <f aca="true">IF(OR(E1212="",E1212="!!!",F1212="NEW"),"",COUNTBLANK(OFFSET(A$1,,,SUMPRODUCT(MAX(ROW(E$2:E1212)*(E1212=E$2:E1212)))))-COUNTBLANK(OFFSET(A$1,,,SUMPRODUCT(MAX(ROW(E$1:E1211)*(E1212=E$1:E1211))))))</f>
        <v/>
      </c>
      <c r="K1212" s="15" t="str">
        <f aca="false">IF(OR(E1212="",E1212="!!!",F1212="NEW"),"",INDEX(J$1:J1211,SUMPRODUCT(MAX(ROW(E$1:E1211)*(E1212=E$1:E1211)))))</f>
        <v/>
      </c>
      <c r="L1212" s="16"/>
    </row>
    <row r="1213" customFormat="false" ht="12.75" hidden="false" customHeight="false" outlineLevel="0" collapsed="false">
      <c r="A1213" s="9" t="s">
        <v>93</v>
      </c>
      <c r="E1213" s="10" t="str">
        <f aca="false">IF(D1213="?OLD","!!!","")</f>
        <v/>
      </c>
      <c r="F1213" s="11" t="str">
        <f aca="false">IF(OR(E1213="",E1213="!!!"),"",IF(NOT(ISNA(VLOOKUP(E1213,E$1:E1212,1,FALSE()))),"OLD",IF(AND(E1213&lt;&gt;"",E1213&lt;&gt;"!!!"),"NEW","")))</f>
        <v/>
      </c>
      <c r="G1213" s="12" t="str">
        <f aca="false">IF(OR(E1213="",E1213="!!!"),"",IF(OR(J1213=0,AND(J1213=1,K1213=1),AND(J1213=1,I1213="SBJ"),AND(J1213=1,I1213=0)),"?IN_FOCUS",IF(J1213&lt;=2,"?ACTIVATED",IF(J1213&lt;&gt;"","?FAMILIAR",IF(F1213="NEW",IF(ISNA(VLOOKUP(E1213,#REF!,1,FALSE())),"?TYPE_IDENTIFIABLE","?REFERENTIAL"),"_")))))</f>
        <v/>
      </c>
      <c r="H1213" s="13" t="str">
        <f aca="false">IF(J1213&lt;&gt;1,"",IF(I1213="SBJ","CB","?"))</f>
        <v/>
      </c>
      <c r="I1213" s="14" t="str">
        <f aca="false">IF(OR(E1213="",E1213="!!!",F1213="NEW"),"",INDEX(B$2:B1212,-1+SUMPRODUCT(MAX(ROW(E$2:E1212)*(E1213=E$2:E1212)))))</f>
        <v/>
      </c>
      <c r="J1213" s="15" t="str">
        <f aca="true">IF(OR(E1213="",E1213="!!!",F1213="NEW"),"",COUNTBLANK(OFFSET(A$1,,,SUMPRODUCT(MAX(ROW(E$2:E1213)*(E1213=E$2:E1213)))))-COUNTBLANK(OFFSET(A$1,,,SUMPRODUCT(MAX(ROW(E$1:E1212)*(E1213=E$1:E1212))))))</f>
        <v/>
      </c>
      <c r="K1213" s="15" t="str">
        <f aca="false">IF(OR(E1213="",E1213="!!!",F1213="NEW"),"",INDEX(J$1:J1212,SUMPRODUCT(MAX(ROW(E$1:E1212)*(E1213=E$1:E1212)))))</f>
        <v/>
      </c>
      <c r="L1213" s="16"/>
    </row>
    <row r="1214" customFormat="false" ht="12.75" hidden="false" customHeight="false" outlineLevel="0" collapsed="false">
      <c r="A1214" s="9" t="s">
        <v>546</v>
      </c>
      <c r="B1214" s="0" t="s">
        <v>94</v>
      </c>
      <c r="C1214" s="0" t="s">
        <v>124</v>
      </c>
      <c r="E1214" s="10" t="str">
        <f aca="false">IF(D1214="?OLD","!!!","")</f>
        <v/>
      </c>
      <c r="F1214" s="11" t="str">
        <f aca="false">IF(OR(E1214="",E1214="!!!"),"",IF(NOT(ISNA(VLOOKUP(E1214,E$1:E1213,1,FALSE()))),"OLD",IF(AND(E1214&lt;&gt;"",E1214&lt;&gt;"!!!"),"NEW","")))</f>
        <v/>
      </c>
      <c r="G1214" s="12" t="str">
        <f aca="false">IF(OR(E1214="",E1214="!!!"),"",IF(OR(J1214=0,AND(J1214=1,K1214=1),AND(J1214=1,I1214="SBJ"),AND(J1214=1,I1214=0)),"?IN_FOCUS",IF(J1214&lt;=2,"?ACTIVATED",IF(J1214&lt;&gt;"","?FAMILIAR",IF(F1214="NEW",IF(ISNA(VLOOKUP(E1214,#REF!,1,FALSE())),"?TYPE_IDENTIFIABLE","?REFERENTIAL"),"_")))))</f>
        <v/>
      </c>
      <c r="H1214" s="13" t="str">
        <f aca="false">IF(J1214&lt;&gt;1,"",IF(I1214="SBJ","CB","?"))</f>
        <v/>
      </c>
      <c r="I1214" s="14" t="str">
        <f aca="false">IF(OR(E1214="",E1214="!!!",F1214="NEW"),"",INDEX(B$2:B1213,-1+SUMPRODUCT(MAX(ROW(E$2:E1213)*(E1214=E$2:E1213)))))</f>
        <v/>
      </c>
      <c r="J1214" s="15" t="str">
        <f aca="true">IF(OR(E1214="",E1214="!!!",F1214="NEW"),"",COUNTBLANK(OFFSET(A$1,,,SUMPRODUCT(MAX(ROW(E$2:E1214)*(E1214=E$2:E1214)))))-COUNTBLANK(OFFSET(A$1,,,SUMPRODUCT(MAX(ROW(E$1:E1213)*(E1214=E$1:E1213))))))</f>
        <v/>
      </c>
      <c r="K1214" s="15" t="str">
        <f aca="false">IF(OR(E1214="",E1214="!!!",F1214="NEW"),"",INDEX(J$1:J1213,SUMPRODUCT(MAX(ROW(E$1:E1213)*(E1214=E$1:E1213)))))</f>
        <v/>
      </c>
      <c r="L1214" s="16"/>
    </row>
    <row r="1215" customFormat="false" ht="12.75" hidden="false" customHeight="false" outlineLevel="0" collapsed="false">
      <c r="A1215" s="9" t="s">
        <v>26</v>
      </c>
      <c r="E1215" s="10" t="str">
        <f aca="false">IF(D1215="?OLD","!!!","")</f>
        <v/>
      </c>
      <c r="F1215" s="11" t="str">
        <f aca="false">IF(OR(E1215="",E1215="!!!"),"",IF(NOT(ISNA(VLOOKUP(E1215,E$1:E1214,1,FALSE()))),"OLD",IF(AND(E1215&lt;&gt;"",E1215&lt;&gt;"!!!"),"NEW","")))</f>
        <v/>
      </c>
      <c r="G1215" s="12" t="str">
        <f aca="false">IF(OR(E1215="",E1215="!!!"),"",IF(OR(J1215=0,AND(J1215=1,K1215=1),AND(J1215=1,I1215="SBJ"),AND(J1215=1,I1215=0)),"?IN_FOCUS",IF(J1215&lt;=2,"?ACTIVATED",IF(J1215&lt;&gt;"","?FAMILIAR",IF(F1215="NEW",IF(ISNA(VLOOKUP(E1215,#REF!,1,FALSE())),"?TYPE_IDENTIFIABLE","?REFERENTIAL"),"_")))))</f>
        <v/>
      </c>
      <c r="H1215" s="13" t="str">
        <f aca="false">IF(J1215&lt;&gt;1,"",IF(I1215="SBJ","CB","?"))</f>
        <v/>
      </c>
      <c r="I1215" s="14" t="str">
        <f aca="false">IF(OR(E1215="",E1215="!!!",F1215="NEW"),"",INDEX(B$2:B1214,-1+SUMPRODUCT(MAX(ROW(E$2:E1214)*(E1215=E$2:E1214)))))</f>
        <v/>
      </c>
      <c r="J1215" s="15" t="str">
        <f aca="true">IF(OR(E1215="",E1215="!!!",F1215="NEW"),"",COUNTBLANK(OFFSET(A$1,,,SUMPRODUCT(MAX(ROW(E$2:E1215)*(E1215=E$2:E1215)))))-COUNTBLANK(OFFSET(A$1,,,SUMPRODUCT(MAX(ROW(E$1:E1214)*(E1215=E$1:E1214))))))</f>
        <v/>
      </c>
      <c r="K1215" s="15" t="str">
        <f aca="false">IF(OR(E1215="",E1215="!!!",F1215="NEW"),"",INDEX(J$1:J1214,SUMPRODUCT(MAX(ROW(E$1:E1214)*(E1215=E$1:E1214)))))</f>
        <v/>
      </c>
      <c r="L1215" s="16"/>
    </row>
    <row r="1216" customFormat="false" ht="12.75" hidden="false" customHeight="false" outlineLevel="0" collapsed="false">
      <c r="A1216" s="9" t="s">
        <v>547</v>
      </c>
      <c r="E1216" s="10" t="str">
        <f aca="false">IF(D1216="?OLD","!!!","")</f>
        <v/>
      </c>
      <c r="F1216" s="11" t="str">
        <f aca="false">IF(OR(E1216="",E1216="!!!"),"",IF(NOT(ISNA(VLOOKUP(E1216,E$1:E1215,1,FALSE()))),"OLD",IF(AND(E1216&lt;&gt;"",E1216&lt;&gt;"!!!"),"NEW","")))</f>
        <v/>
      </c>
      <c r="G1216" s="12" t="str">
        <f aca="false">IF(OR(E1216="",E1216="!!!"),"",IF(OR(J1216=0,AND(J1216=1,K1216=1),AND(J1216=1,I1216="SBJ"),AND(J1216=1,I1216=0)),"?IN_FOCUS",IF(J1216&lt;=2,"?ACTIVATED",IF(J1216&lt;&gt;"","?FAMILIAR",IF(F1216="NEW",IF(ISNA(VLOOKUP(E1216,#REF!,1,FALSE())),"?TYPE_IDENTIFIABLE","?REFERENTIAL"),"_")))))</f>
        <v/>
      </c>
      <c r="H1216" s="13" t="str">
        <f aca="false">IF(J1216&lt;&gt;1,"",IF(I1216="SBJ","CB","?"))</f>
        <v/>
      </c>
      <c r="I1216" s="14" t="str">
        <f aca="false">IF(OR(E1216="",E1216="!!!",F1216="NEW"),"",INDEX(B$2:B1215,-1+SUMPRODUCT(MAX(ROW(E$2:E1215)*(E1216=E$2:E1215)))))</f>
        <v/>
      </c>
      <c r="J1216" s="15" t="str">
        <f aca="true">IF(OR(E1216="",E1216="!!!",F1216="NEW"),"",COUNTBLANK(OFFSET(A$1,,,SUMPRODUCT(MAX(ROW(E$2:E1216)*(E1216=E$2:E1216)))))-COUNTBLANK(OFFSET(A$1,,,SUMPRODUCT(MAX(ROW(E$1:E1215)*(E1216=E$1:E1215))))))</f>
        <v/>
      </c>
      <c r="K1216" s="15" t="str">
        <f aca="false">IF(OR(E1216="",E1216="!!!",F1216="NEW"),"",INDEX(J$1:J1215,SUMPRODUCT(MAX(ROW(E$1:E1215)*(E1216=E$1:E1215)))))</f>
        <v/>
      </c>
      <c r="L1216" s="16"/>
    </row>
    <row r="1217" customFormat="false" ht="12.75" hidden="false" customHeight="false" outlineLevel="0" collapsed="false">
      <c r="A1217" s="9" t="s">
        <v>44</v>
      </c>
      <c r="E1217" s="10" t="str">
        <f aca="false">IF(D1217="?OLD","!!!","")</f>
        <v/>
      </c>
      <c r="F1217" s="11" t="str">
        <f aca="false">IF(OR(E1217="",E1217="!!!"),"",IF(NOT(ISNA(VLOOKUP(E1217,E$1:E1216,1,FALSE()))),"OLD",IF(AND(E1217&lt;&gt;"",E1217&lt;&gt;"!!!"),"NEW","")))</f>
        <v/>
      </c>
      <c r="G1217" s="12" t="str">
        <f aca="false">IF(OR(E1217="",E1217="!!!"),"",IF(OR(J1217=0,AND(J1217=1,K1217=1),AND(J1217=1,I1217="SBJ"),AND(J1217=1,I1217=0)),"?IN_FOCUS",IF(J1217&lt;=2,"?ACTIVATED",IF(J1217&lt;&gt;"","?FAMILIAR",IF(F1217="NEW",IF(ISNA(VLOOKUP(E1217,#REF!,1,FALSE())),"?TYPE_IDENTIFIABLE","?REFERENTIAL"),"_")))))</f>
        <v/>
      </c>
      <c r="H1217" s="13" t="str">
        <f aca="false">IF(J1217&lt;&gt;1,"",IF(I1217="SBJ","CB","?"))</f>
        <v/>
      </c>
      <c r="I1217" s="14" t="str">
        <f aca="false">IF(OR(E1217="",E1217="!!!",F1217="NEW"),"",INDEX(B$2:B1216,-1+SUMPRODUCT(MAX(ROW(E$2:E1216)*(E1217=E$2:E1216)))))</f>
        <v/>
      </c>
      <c r="J1217" s="15" t="str">
        <f aca="true">IF(OR(E1217="",E1217="!!!",F1217="NEW"),"",COUNTBLANK(OFFSET(A$1,,,SUMPRODUCT(MAX(ROW(E$2:E1217)*(E1217=E$2:E1217)))))-COUNTBLANK(OFFSET(A$1,,,SUMPRODUCT(MAX(ROW(E$1:E1216)*(E1217=E$1:E1216))))))</f>
        <v/>
      </c>
      <c r="K1217" s="15" t="str">
        <f aca="false">IF(OR(E1217="",E1217="!!!",F1217="NEW"),"",INDEX(J$1:J1216,SUMPRODUCT(MAX(ROW(E$1:E1216)*(E1217=E$1:E1216)))))</f>
        <v/>
      </c>
      <c r="L1217" s="16"/>
    </row>
    <row r="1218" customFormat="false" ht="12.75" hidden="false" customHeight="false" outlineLevel="0" collapsed="false">
      <c r="E1218" s="10" t="str">
        <f aca="false">IF(D1218="?OLD","!!!","")</f>
        <v/>
      </c>
      <c r="F1218" s="11" t="str">
        <f aca="false">IF(OR(E1218="",E1218="!!!"),"",IF(NOT(ISNA(VLOOKUP(E1218,E$1:E1217,1,FALSE()))),"OLD",IF(AND(E1218&lt;&gt;"",E1218&lt;&gt;"!!!"),"NEW","")))</f>
        <v/>
      </c>
      <c r="G1218" s="12" t="str">
        <f aca="false">IF(OR(E1218="",E1218="!!!"),"",IF(OR(J1218=0,AND(J1218=1,K1218=1),AND(J1218=1,I1218="SBJ"),AND(J1218=1,I1218=0)),"?IN_FOCUS",IF(J1218&lt;=2,"?ACTIVATED",IF(J1218&lt;&gt;"","?FAMILIAR",IF(F1218="NEW",IF(ISNA(VLOOKUP(E1218,#REF!,1,FALSE())),"?TYPE_IDENTIFIABLE","?REFERENTIAL"),"_")))))</f>
        <v/>
      </c>
      <c r="H1218" s="13" t="str">
        <f aca="false">IF(J1218&lt;&gt;1,"",IF(I1218="SBJ","CB","?"))</f>
        <v/>
      </c>
      <c r="I1218" s="14" t="str">
        <f aca="false">IF(OR(E1218="",E1218="!!!",F1218="NEW"),"",INDEX(B$2:B1217,-1+SUMPRODUCT(MAX(ROW(E$2:E1217)*(E1218=E$2:E1217)))))</f>
        <v/>
      </c>
      <c r="J1218" s="15" t="str">
        <f aca="true">IF(OR(E1218="",E1218="!!!",F1218="NEW"),"",COUNTBLANK(OFFSET(A$1,,,SUMPRODUCT(MAX(ROW(E$2:E1218)*(E1218=E$2:E1218)))))-COUNTBLANK(OFFSET(A$1,,,SUMPRODUCT(MAX(ROW(E$1:E1217)*(E1218=E$1:E1217))))))</f>
        <v/>
      </c>
      <c r="K1218" s="15" t="str">
        <f aca="false">IF(OR(E1218="",E1218="!!!",F1218="NEW"),"",INDEX(J$1:J1217,SUMPRODUCT(MAX(ROW(E$1:E1217)*(E1218=E$1:E1217)))))</f>
        <v/>
      </c>
      <c r="L1218" s="16"/>
    </row>
    <row r="1219" customFormat="false" ht="12.75" hidden="false" customHeight="false" outlineLevel="0" collapsed="false">
      <c r="A1219" s="9" t="s">
        <v>548</v>
      </c>
      <c r="E1219" s="10" t="str">
        <f aca="false">IF(D1219="?OLD","!!!","")</f>
        <v/>
      </c>
      <c r="F1219" s="11" t="str">
        <f aca="false">IF(OR(E1219="",E1219="!!!"),"",IF(NOT(ISNA(VLOOKUP(E1219,E$1:E1218,1,FALSE()))),"OLD",IF(AND(E1219&lt;&gt;"",E1219&lt;&gt;"!!!"),"NEW","")))</f>
        <v/>
      </c>
      <c r="G1219" s="12" t="str">
        <f aca="false">IF(OR(E1219="",E1219="!!!"),"",IF(OR(J1219=0,AND(J1219=1,K1219=1),AND(J1219=1,I1219="SBJ"),AND(J1219=1,I1219=0)),"?IN_FOCUS",IF(J1219&lt;=2,"?ACTIVATED",IF(J1219&lt;&gt;"","?FAMILIAR",IF(F1219="NEW",IF(ISNA(VLOOKUP(E1219,#REF!,1,FALSE())),"?TYPE_IDENTIFIABLE","?REFERENTIAL"),"_")))))</f>
        <v/>
      </c>
      <c r="H1219" s="13" t="str">
        <f aca="false">IF(J1219&lt;&gt;1,"",IF(I1219="SBJ","CB","?"))</f>
        <v/>
      </c>
      <c r="I1219" s="14" t="str">
        <f aca="false">IF(OR(E1219="",E1219="!!!",F1219="NEW"),"",INDEX(B$2:B1218,-1+SUMPRODUCT(MAX(ROW(E$2:E1218)*(E1219=E$2:E1218)))))</f>
        <v/>
      </c>
      <c r="J1219" s="15" t="str">
        <f aca="true">IF(OR(E1219="",E1219="!!!",F1219="NEW"),"",COUNTBLANK(OFFSET(A$1,,,SUMPRODUCT(MAX(ROW(E$2:E1219)*(E1219=E$2:E1219)))))-COUNTBLANK(OFFSET(A$1,,,SUMPRODUCT(MAX(ROW(E$1:E1218)*(E1219=E$1:E1218))))))</f>
        <v/>
      </c>
      <c r="K1219" s="15" t="str">
        <f aca="false">IF(OR(E1219="",E1219="!!!",F1219="NEW"),"",INDEX(J$1:J1218,SUMPRODUCT(MAX(ROW(E$1:E1218)*(E1219=E$1:E1218)))))</f>
        <v/>
      </c>
      <c r="L1219" s="16"/>
    </row>
    <row r="1220" customFormat="false" ht="12.75" hidden="false" customHeight="false" outlineLevel="0" collapsed="false">
      <c r="A1220" s="9" t="s">
        <v>241</v>
      </c>
      <c r="B1220" s="0" t="s">
        <v>40</v>
      </c>
      <c r="C1220" s="0" t="s">
        <v>25</v>
      </c>
      <c r="E1220" s="10" t="str">
        <f aca="false">IF(D1220="?OLD","!!!","")</f>
        <v/>
      </c>
      <c r="F1220" s="11" t="str">
        <f aca="false">IF(OR(E1220="",E1220="!!!"),"",IF(NOT(ISNA(VLOOKUP(E1220,E$1:E1219,1,FALSE()))),"OLD",IF(AND(E1220&lt;&gt;"",E1220&lt;&gt;"!!!"),"NEW","")))</f>
        <v/>
      </c>
      <c r="G1220" s="12" t="str">
        <f aca="false">IF(OR(E1220="",E1220="!!!"),"",IF(OR(J1220=0,AND(J1220=1,K1220=1),AND(J1220=1,I1220="SBJ"),AND(J1220=1,I1220=0)),"?IN_FOCUS",IF(J1220&lt;=2,"?ACTIVATED",IF(J1220&lt;&gt;"","?FAMILIAR",IF(F1220="NEW",IF(ISNA(VLOOKUP(E1220,#REF!,1,FALSE())),"?TYPE_IDENTIFIABLE","?REFERENTIAL"),"_")))))</f>
        <v/>
      </c>
      <c r="H1220" s="13" t="str">
        <f aca="false">IF(J1220&lt;&gt;1,"",IF(I1220="SBJ","CB","?"))</f>
        <v/>
      </c>
      <c r="I1220" s="14" t="str">
        <f aca="false">IF(OR(E1220="",E1220="!!!",F1220="NEW"),"",INDEX(B$2:B1219,-1+SUMPRODUCT(MAX(ROW(E$2:E1219)*(E1220=E$2:E1219)))))</f>
        <v/>
      </c>
      <c r="J1220" s="15" t="str">
        <f aca="true">IF(OR(E1220="",E1220="!!!",F1220="NEW"),"",COUNTBLANK(OFFSET(A$1,,,SUMPRODUCT(MAX(ROW(E$2:E1220)*(E1220=E$2:E1220)))))-COUNTBLANK(OFFSET(A$1,,,SUMPRODUCT(MAX(ROW(E$1:E1219)*(E1220=E$1:E1219))))))</f>
        <v/>
      </c>
      <c r="K1220" s="15" t="str">
        <f aca="false">IF(OR(E1220="",E1220="!!!",F1220="NEW"),"",INDEX(J$1:J1219,SUMPRODUCT(MAX(ROW(E$1:E1219)*(E1220=E$1:E1219)))))</f>
        <v/>
      </c>
      <c r="L1220" s="16"/>
    </row>
    <row r="1221" customFormat="false" ht="12.75" hidden="false" customHeight="false" outlineLevel="0" collapsed="false">
      <c r="A1221" s="9" t="s">
        <v>331</v>
      </c>
      <c r="E1221" s="10" t="str">
        <f aca="false">IF(D1221="?OLD","!!!","")</f>
        <v/>
      </c>
      <c r="F1221" s="11" t="str">
        <f aca="false">IF(OR(E1221="",E1221="!!!"),"",IF(NOT(ISNA(VLOOKUP(E1221,E$1:E1220,1,FALSE()))),"OLD",IF(AND(E1221&lt;&gt;"",E1221&lt;&gt;"!!!"),"NEW","")))</f>
        <v/>
      </c>
      <c r="G1221" s="12" t="str">
        <f aca="false">IF(OR(E1221="",E1221="!!!"),"",IF(OR(J1221=0,AND(J1221=1,K1221=1),AND(J1221=1,I1221="SBJ"),AND(J1221=1,I1221=0)),"?IN_FOCUS",IF(J1221&lt;=2,"?ACTIVATED",IF(J1221&lt;&gt;"","?FAMILIAR",IF(F1221="NEW",IF(ISNA(VLOOKUP(E1221,#REF!,1,FALSE())),"?TYPE_IDENTIFIABLE","?REFERENTIAL"),"_")))))</f>
        <v/>
      </c>
      <c r="H1221" s="13" t="str">
        <f aca="false">IF(J1221&lt;&gt;1,"",IF(I1221="SBJ","CB","?"))</f>
        <v/>
      </c>
      <c r="I1221" s="14" t="str">
        <f aca="false">IF(OR(E1221="",E1221="!!!",F1221="NEW"),"",INDEX(B$2:B1220,-1+SUMPRODUCT(MAX(ROW(E$2:E1220)*(E1221=E$2:E1220)))))</f>
        <v/>
      </c>
      <c r="J1221" s="15" t="str">
        <f aca="true">IF(OR(E1221="",E1221="!!!",F1221="NEW"),"",COUNTBLANK(OFFSET(A$1,,,SUMPRODUCT(MAX(ROW(E$2:E1221)*(E1221=E$2:E1221)))))-COUNTBLANK(OFFSET(A$1,,,SUMPRODUCT(MAX(ROW(E$1:E1220)*(E1221=E$1:E1220))))))</f>
        <v/>
      </c>
      <c r="K1221" s="15" t="str">
        <f aca="false">IF(OR(E1221="",E1221="!!!",F1221="NEW"),"",INDEX(J$1:J1220,SUMPRODUCT(MAX(ROW(E$1:E1220)*(E1221=E$1:E1220)))))</f>
        <v/>
      </c>
      <c r="L1221" s="16"/>
    </row>
    <row r="1222" customFormat="false" ht="12.75" hidden="false" customHeight="false" outlineLevel="0" collapsed="false">
      <c r="A1222" s="9" t="s">
        <v>16</v>
      </c>
      <c r="B1222" s="0" t="s">
        <v>40</v>
      </c>
      <c r="C1222" s="0" t="s">
        <v>25</v>
      </c>
      <c r="E1222" s="10" t="str">
        <f aca="false">IF(D1222="?OLD","!!!","")</f>
        <v/>
      </c>
      <c r="F1222" s="11" t="str">
        <f aca="false">IF(OR(E1222="",E1222="!!!"),"",IF(NOT(ISNA(VLOOKUP(E1222,E$1:E1221,1,FALSE()))),"OLD",IF(AND(E1222&lt;&gt;"",E1222&lt;&gt;"!!!"),"NEW","")))</f>
        <v/>
      </c>
      <c r="G1222" s="12" t="str">
        <f aca="false">IF(OR(E1222="",E1222="!!!"),"",IF(OR(J1222=0,AND(J1222=1,K1222=1),AND(J1222=1,I1222="SBJ"),AND(J1222=1,I1222=0)),"?IN_FOCUS",IF(J1222&lt;=2,"?ACTIVATED",IF(J1222&lt;&gt;"","?FAMILIAR",IF(F1222="NEW",IF(ISNA(VLOOKUP(E1222,#REF!,1,FALSE())),"?TYPE_IDENTIFIABLE","?REFERENTIAL"),"_")))))</f>
        <v/>
      </c>
      <c r="H1222" s="13" t="str">
        <f aca="false">IF(J1222&lt;&gt;1,"",IF(I1222="SBJ","CB","?"))</f>
        <v/>
      </c>
      <c r="I1222" s="14" t="str">
        <f aca="false">IF(OR(E1222="",E1222="!!!",F1222="NEW"),"",INDEX(B$2:B1221,-1+SUMPRODUCT(MAX(ROW(E$2:E1221)*(E1222=E$2:E1221)))))</f>
        <v/>
      </c>
      <c r="J1222" s="15" t="str">
        <f aca="true">IF(OR(E1222="",E1222="!!!",F1222="NEW"),"",COUNTBLANK(OFFSET(A$1,,,SUMPRODUCT(MAX(ROW(E$2:E1222)*(E1222=E$2:E1222)))))-COUNTBLANK(OFFSET(A$1,,,SUMPRODUCT(MAX(ROW(E$1:E1221)*(E1222=E$1:E1221))))))</f>
        <v/>
      </c>
      <c r="K1222" s="15" t="str">
        <f aca="false">IF(OR(E1222="",E1222="!!!",F1222="NEW"),"",INDEX(J$1:J1221,SUMPRODUCT(MAX(ROW(E$1:E1221)*(E1222=E$1:E1221)))))</f>
        <v/>
      </c>
      <c r="L1222" s="16"/>
    </row>
    <row r="1223" customFormat="false" ht="12.75" hidden="false" customHeight="false" outlineLevel="0" collapsed="false">
      <c r="A1223" s="9" t="s">
        <v>28</v>
      </c>
      <c r="E1223" s="10" t="str">
        <f aca="false">IF(D1223="?OLD","!!!","")</f>
        <v/>
      </c>
      <c r="F1223" s="11" t="str">
        <f aca="false">IF(OR(E1223="",E1223="!!!"),"",IF(NOT(ISNA(VLOOKUP(E1223,E$1:E1222,1,FALSE()))),"OLD",IF(AND(E1223&lt;&gt;"",E1223&lt;&gt;"!!!"),"NEW","")))</f>
        <v/>
      </c>
      <c r="G1223" s="12" t="str">
        <f aca="false">IF(OR(E1223="",E1223="!!!"),"",IF(OR(J1223=0,AND(J1223=1,K1223=1),AND(J1223=1,I1223="SBJ"),AND(J1223=1,I1223=0)),"?IN_FOCUS",IF(J1223&lt;=2,"?ACTIVATED",IF(J1223&lt;&gt;"","?FAMILIAR",IF(F1223="NEW",IF(ISNA(VLOOKUP(E1223,#REF!,1,FALSE())),"?TYPE_IDENTIFIABLE","?REFERENTIAL"),"_")))))</f>
        <v/>
      </c>
      <c r="H1223" s="13" t="str">
        <f aca="false">IF(J1223&lt;&gt;1,"",IF(I1223="SBJ","CB","?"))</f>
        <v/>
      </c>
      <c r="I1223" s="14" t="str">
        <f aca="false">IF(OR(E1223="",E1223="!!!",F1223="NEW"),"",INDEX(B$2:B1222,-1+SUMPRODUCT(MAX(ROW(E$2:E1222)*(E1223=E$2:E1222)))))</f>
        <v/>
      </c>
      <c r="J1223" s="15" t="str">
        <f aca="true">IF(OR(E1223="",E1223="!!!",F1223="NEW"),"",COUNTBLANK(OFFSET(A$1,,,SUMPRODUCT(MAX(ROW(E$2:E1223)*(E1223=E$2:E1223)))))-COUNTBLANK(OFFSET(A$1,,,SUMPRODUCT(MAX(ROW(E$1:E1222)*(E1223=E$1:E1222))))))</f>
        <v/>
      </c>
      <c r="K1223" s="15" t="str">
        <f aca="false">IF(OR(E1223="",E1223="!!!",F1223="NEW"),"",INDEX(J$1:J1222,SUMPRODUCT(MAX(ROW(E$1:E1222)*(E1223=E$1:E1222)))))</f>
        <v/>
      </c>
      <c r="L1223" s="16"/>
    </row>
    <row r="1224" customFormat="false" ht="12.75" hidden="false" customHeight="false" outlineLevel="0" collapsed="false">
      <c r="A1224" s="9" t="s">
        <v>549</v>
      </c>
      <c r="E1224" s="10" t="str">
        <f aca="false">IF(D1224="?OLD","!!!","")</f>
        <v/>
      </c>
      <c r="F1224" s="11" t="str">
        <f aca="false">IF(OR(E1224="",E1224="!!!"),"",IF(NOT(ISNA(VLOOKUP(E1224,E$1:E1223,1,FALSE()))),"OLD",IF(AND(E1224&lt;&gt;"",E1224&lt;&gt;"!!!"),"NEW","")))</f>
        <v/>
      </c>
      <c r="G1224" s="12" t="str">
        <f aca="false">IF(OR(E1224="",E1224="!!!"),"",IF(OR(J1224=0,AND(J1224=1,K1224=1),AND(J1224=1,I1224="SBJ"),AND(J1224=1,I1224=0)),"?IN_FOCUS",IF(J1224&lt;=2,"?ACTIVATED",IF(J1224&lt;&gt;"","?FAMILIAR",IF(F1224="NEW",IF(ISNA(VLOOKUP(E1224,#REF!,1,FALSE())),"?TYPE_IDENTIFIABLE","?REFERENTIAL"),"_")))))</f>
        <v/>
      </c>
      <c r="H1224" s="13" t="str">
        <f aca="false">IF(J1224&lt;&gt;1,"",IF(I1224="SBJ","CB","?"))</f>
        <v/>
      </c>
      <c r="I1224" s="14" t="str">
        <f aca="false">IF(OR(E1224="",E1224="!!!",F1224="NEW"),"",INDEX(B$2:B1223,-1+SUMPRODUCT(MAX(ROW(E$2:E1223)*(E1224=E$2:E1223)))))</f>
        <v/>
      </c>
      <c r="J1224" s="15" t="str">
        <f aca="true">IF(OR(E1224="",E1224="!!!",F1224="NEW"),"",COUNTBLANK(OFFSET(A$1,,,SUMPRODUCT(MAX(ROW(E$2:E1224)*(E1224=E$2:E1224)))))-COUNTBLANK(OFFSET(A$1,,,SUMPRODUCT(MAX(ROW(E$1:E1223)*(E1224=E$1:E1223))))))</f>
        <v/>
      </c>
      <c r="K1224" s="15" t="str">
        <f aca="false">IF(OR(E1224="",E1224="!!!",F1224="NEW"),"",INDEX(J$1:J1223,SUMPRODUCT(MAX(ROW(E$1:E1223)*(E1224=E$1:E1223)))))</f>
        <v/>
      </c>
      <c r="L1224" s="16"/>
    </row>
    <row r="1225" customFormat="false" ht="12.75" hidden="false" customHeight="false" outlineLevel="0" collapsed="false">
      <c r="A1225" s="9" t="s">
        <v>524</v>
      </c>
      <c r="E1225" s="10" t="str">
        <f aca="false">IF(D1225="?OLD","!!!","")</f>
        <v/>
      </c>
      <c r="F1225" s="11" t="str">
        <f aca="false">IF(OR(E1225="",E1225="!!!"),"",IF(NOT(ISNA(VLOOKUP(E1225,E$1:E1224,1,FALSE()))),"OLD",IF(AND(E1225&lt;&gt;"",E1225&lt;&gt;"!!!"),"NEW","")))</f>
        <v/>
      </c>
      <c r="G1225" s="12" t="str">
        <f aca="false">IF(OR(E1225="",E1225="!!!"),"",IF(OR(J1225=0,AND(J1225=1,K1225=1),AND(J1225=1,I1225="SBJ"),AND(J1225=1,I1225=0)),"?IN_FOCUS",IF(J1225&lt;=2,"?ACTIVATED",IF(J1225&lt;&gt;"","?FAMILIAR",IF(F1225="NEW",IF(ISNA(VLOOKUP(E1225,#REF!,1,FALSE())),"?TYPE_IDENTIFIABLE","?REFERENTIAL"),"_")))))</f>
        <v/>
      </c>
      <c r="H1225" s="13" t="str">
        <f aca="false">IF(J1225&lt;&gt;1,"",IF(I1225="SBJ","CB","?"))</f>
        <v/>
      </c>
      <c r="I1225" s="14" t="str">
        <f aca="false">IF(OR(E1225="",E1225="!!!",F1225="NEW"),"",INDEX(B$2:B1224,-1+SUMPRODUCT(MAX(ROW(E$2:E1224)*(E1225=E$2:E1224)))))</f>
        <v/>
      </c>
      <c r="J1225" s="15" t="str">
        <f aca="true">IF(OR(E1225="",E1225="!!!",F1225="NEW"),"",COUNTBLANK(OFFSET(A$1,,,SUMPRODUCT(MAX(ROW(E$2:E1225)*(E1225=E$2:E1225)))))-COUNTBLANK(OFFSET(A$1,,,SUMPRODUCT(MAX(ROW(E$1:E1224)*(E1225=E$1:E1224))))))</f>
        <v/>
      </c>
      <c r="K1225" s="15" t="str">
        <f aca="false">IF(OR(E1225="",E1225="!!!",F1225="NEW"),"",INDEX(J$1:J1224,SUMPRODUCT(MAX(ROW(E$1:E1224)*(E1225=E$1:E1224)))))</f>
        <v/>
      </c>
      <c r="L1225" s="16"/>
    </row>
    <row r="1226" customFormat="false" ht="12.75" hidden="false" customHeight="false" outlineLevel="0" collapsed="false">
      <c r="A1226" s="9" t="s">
        <v>37</v>
      </c>
      <c r="E1226" s="10" t="str">
        <f aca="false">IF(D1226="?OLD","!!!","")</f>
        <v/>
      </c>
      <c r="F1226" s="11" t="str">
        <f aca="false">IF(OR(E1226="",E1226="!!!"),"",IF(NOT(ISNA(VLOOKUP(E1226,E$1:E1225,1,FALSE()))),"OLD",IF(AND(E1226&lt;&gt;"",E1226&lt;&gt;"!!!"),"NEW","")))</f>
        <v/>
      </c>
      <c r="G1226" s="12" t="str">
        <f aca="false">IF(OR(E1226="",E1226="!!!"),"",IF(OR(J1226=0,AND(J1226=1,K1226=1),AND(J1226=1,I1226="SBJ"),AND(J1226=1,I1226=0)),"?IN_FOCUS",IF(J1226&lt;=2,"?ACTIVATED",IF(J1226&lt;&gt;"","?FAMILIAR",IF(F1226="NEW",IF(ISNA(VLOOKUP(E1226,#REF!,1,FALSE())),"?TYPE_IDENTIFIABLE","?REFERENTIAL"),"_")))))</f>
        <v/>
      </c>
      <c r="H1226" s="13" t="str">
        <f aca="false">IF(J1226&lt;&gt;1,"",IF(I1226="SBJ","CB","?"))</f>
        <v/>
      </c>
      <c r="I1226" s="14" t="str">
        <f aca="false">IF(OR(E1226="",E1226="!!!",F1226="NEW"),"",INDEX(B$2:B1225,-1+SUMPRODUCT(MAX(ROW(E$2:E1225)*(E1226=E$2:E1225)))))</f>
        <v/>
      </c>
      <c r="J1226" s="15" t="str">
        <f aca="true">IF(OR(E1226="",E1226="!!!",F1226="NEW"),"",COUNTBLANK(OFFSET(A$1,,,SUMPRODUCT(MAX(ROW(E$2:E1226)*(E1226=E$2:E1226)))))-COUNTBLANK(OFFSET(A$1,,,SUMPRODUCT(MAX(ROW(E$1:E1225)*(E1226=E$1:E1225))))))</f>
        <v/>
      </c>
      <c r="K1226" s="15" t="str">
        <f aca="false">IF(OR(E1226="",E1226="!!!",F1226="NEW"),"",INDEX(J$1:J1225,SUMPRODUCT(MAX(ROW(E$1:E1225)*(E1226=E$1:E1225)))))</f>
        <v/>
      </c>
      <c r="L1226" s="16"/>
    </row>
    <row r="1227" customFormat="false" ht="12.75" hidden="false" customHeight="false" outlineLevel="0" collapsed="false">
      <c r="A1227" s="9" t="s">
        <v>38</v>
      </c>
      <c r="E1227" s="10" t="str">
        <f aca="false">IF(D1227="?OLD","!!!","")</f>
        <v/>
      </c>
      <c r="F1227" s="11" t="str">
        <f aca="false">IF(OR(E1227="",E1227="!!!"),"",IF(NOT(ISNA(VLOOKUP(E1227,E$1:E1226,1,FALSE()))),"OLD",IF(AND(E1227&lt;&gt;"",E1227&lt;&gt;"!!!"),"NEW","")))</f>
        <v/>
      </c>
      <c r="G1227" s="12" t="str">
        <f aca="false">IF(OR(E1227="",E1227="!!!"),"",IF(OR(J1227=0,AND(J1227=1,K1227=1),AND(J1227=1,I1227="SBJ"),AND(J1227=1,I1227=0)),"?IN_FOCUS",IF(J1227&lt;=2,"?ACTIVATED",IF(J1227&lt;&gt;"","?FAMILIAR",IF(F1227="NEW",IF(ISNA(VLOOKUP(E1227,#REF!,1,FALSE())),"?TYPE_IDENTIFIABLE","?REFERENTIAL"),"_")))))</f>
        <v/>
      </c>
      <c r="H1227" s="13" t="str">
        <f aca="false">IF(J1227&lt;&gt;1,"",IF(I1227="SBJ","CB","?"))</f>
        <v/>
      </c>
      <c r="I1227" s="14" t="str">
        <f aca="false">IF(OR(E1227="",E1227="!!!",F1227="NEW"),"",INDEX(B$2:B1226,-1+SUMPRODUCT(MAX(ROW(E$2:E1226)*(E1227=E$2:E1226)))))</f>
        <v/>
      </c>
      <c r="J1227" s="15" t="str">
        <f aca="true">IF(OR(E1227="",E1227="!!!",F1227="NEW"),"",COUNTBLANK(OFFSET(A$1,,,SUMPRODUCT(MAX(ROW(E$2:E1227)*(E1227=E$2:E1227)))))-COUNTBLANK(OFFSET(A$1,,,SUMPRODUCT(MAX(ROW(E$1:E1226)*(E1227=E$1:E1226))))))</f>
        <v/>
      </c>
      <c r="K1227" s="15" t="str">
        <f aca="false">IF(OR(E1227="",E1227="!!!",F1227="NEW"),"",INDEX(J$1:J1226,SUMPRODUCT(MAX(ROW(E$1:E1226)*(E1227=E$1:E1226)))))</f>
        <v/>
      </c>
      <c r="L1227" s="16"/>
    </row>
    <row r="1228" customFormat="false" ht="12.75" hidden="false" customHeight="false" outlineLevel="0" collapsed="false">
      <c r="A1228" s="9" t="s">
        <v>39</v>
      </c>
      <c r="B1228" s="0" t="s">
        <v>75</v>
      </c>
      <c r="C1228" s="0" t="s">
        <v>41</v>
      </c>
      <c r="E1228" s="10" t="str">
        <f aca="false">IF(D1228="?OLD","!!!","")</f>
        <v/>
      </c>
      <c r="F1228" s="11" t="str">
        <f aca="false">IF(OR(E1228="",E1228="!!!"),"",IF(NOT(ISNA(VLOOKUP(E1228,E$1:E1227,1,FALSE()))),"OLD",IF(AND(E1228&lt;&gt;"",E1228&lt;&gt;"!!!"),"NEW","")))</f>
        <v/>
      </c>
      <c r="G1228" s="12" t="str">
        <f aca="false">IF(OR(E1228="",E1228="!!!"),"",IF(OR(J1228=0,AND(J1228=1,K1228=1),AND(J1228=1,I1228="SBJ"),AND(J1228=1,I1228=0)),"?IN_FOCUS",IF(J1228&lt;=2,"?ACTIVATED",IF(J1228&lt;&gt;"","?FAMILIAR",IF(F1228="NEW",IF(ISNA(VLOOKUP(E1228,#REF!,1,FALSE())),"?TYPE_IDENTIFIABLE","?REFERENTIAL"),"_")))))</f>
        <v/>
      </c>
      <c r="H1228" s="13" t="str">
        <f aca="false">IF(J1228&lt;&gt;1,"",IF(I1228="SBJ","CB","?"))</f>
        <v/>
      </c>
      <c r="I1228" s="14" t="str">
        <f aca="false">IF(OR(E1228="",E1228="!!!",F1228="NEW"),"",INDEX(B$2:B1227,-1+SUMPRODUCT(MAX(ROW(E$2:E1227)*(E1228=E$2:E1227)))))</f>
        <v/>
      </c>
      <c r="J1228" s="15" t="str">
        <f aca="true">IF(OR(E1228="",E1228="!!!",F1228="NEW"),"",COUNTBLANK(OFFSET(A$1,,,SUMPRODUCT(MAX(ROW(E$2:E1228)*(E1228=E$2:E1228)))))-COUNTBLANK(OFFSET(A$1,,,SUMPRODUCT(MAX(ROW(E$1:E1227)*(E1228=E$1:E1227))))))</f>
        <v/>
      </c>
      <c r="K1228" s="15" t="str">
        <f aca="false">IF(OR(E1228="",E1228="!!!",F1228="NEW"),"",INDEX(J$1:J1227,SUMPRODUCT(MAX(ROW(E$1:E1227)*(E1228=E$1:E1227)))))</f>
        <v/>
      </c>
      <c r="L1228" s="16"/>
    </row>
    <row r="1229" customFormat="false" ht="12.75" hidden="false" customHeight="false" outlineLevel="0" collapsed="false">
      <c r="A1229" s="9" t="s">
        <v>42</v>
      </c>
      <c r="E1229" s="10" t="str">
        <f aca="false">IF(D1229="?OLD","!!!","")</f>
        <v/>
      </c>
      <c r="F1229" s="11" t="str">
        <f aca="false">IF(OR(E1229="",E1229="!!!"),"",IF(NOT(ISNA(VLOOKUP(E1229,E$1:E1228,1,FALSE()))),"OLD",IF(AND(E1229&lt;&gt;"",E1229&lt;&gt;"!!!"),"NEW","")))</f>
        <v/>
      </c>
      <c r="G1229" s="12" t="str">
        <f aca="false">IF(OR(E1229="",E1229="!!!"),"",IF(OR(J1229=0,AND(J1229=1,K1229=1),AND(J1229=1,I1229="SBJ"),AND(J1229=1,I1229=0)),"?IN_FOCUS",IF(J1229&lt;=2,"?ACTIVATED",IF(J1229&lt;&gt;"","?FAMILIAR",IF(F1229="NEW",IF(ISNA(VLOOKUP(E1229,#REF!,1,FALSE())),"?TYPE_IDENTIFIABLE","?REFERENTIAL"),"_")))))</f>
        <v/>
      </c>
      <c r="H1229" s="13" t="str">
        <f aca="false">IF(J1229&lt;&gt;1,"",IF(I1229="SBJ","CB","?"))</f>
        <v/>
      </c>
      <c r="I1229" s="14" t="str">
        <f aca="false">IF(OR(E1229="",E1229="!!!",F1229="NEW"),"",INDEX(B$2:B1228,-1+SUMPRODUCT(MAX(ROW(E$2:E1228)*(E1229=E$2:E1228)))))</f>
        <v/>
      </c>
      <c r="J1229" s="15" t="str">
        <f aca="true">IF(OR(E1229="",E1229="!!!",F1229="NEW"),"",COUNTBLANK(OFFSET(A$1,,,SUMPRODUCT(MAX(ROW(E$2:E1229)*(E1229=E$2:E1229)))))-COUNTBLANK(OFFSET(A$1,,,SUMPRODUCT(MAX(ROW(E$1:E1228)*(E1229=E$1:E1228))))))</f>
        <v/>
      </c>
      <c r="K1229" s="15" t="str">
        <f aca="false">IF(OR(E1229="",E1229="!!!",F1229="NEW"),"",INDEX(J$1:J1228,SUMPRODUCT(MAX(ROW(E$1:E1228)*(E1229=E$1:E1228)))))</f>
        <v/>
      </c>
      <c r="L1229" s="16"/>
    </row>
    <row r="1230" customFormat="false" ht="12.75" hidden="false" customHeight="false" outlineLevel="0" collapsed="false">
      <c r="A1230" s="9" t="s">
        <v>15</v>
      </c>
      <c r="E1230" s="10" t="str">
        <f aca="false">IF(D1230="?OLD","!!!","")</f>
        <v/>
      </c>
      <c r="F1230" s="11" t="str">
        <f aca="false">IF(OR(E1230="",E1230="!!!"),"",IF(NOT(ISNA(VLOOKUP(E1230,E$1:E1229,1,FALSE()))),"OLD",IF(AND(E1230&lt;&gt;"",E1230&lt;&gt;"!!!"),"NEW","")))</f>
        <v/>
      </c>
      <c r="G1230" s="12" t="str">
        <f aca="false">IF(OR(E1230="",E1230="!!!"),"",IF(OR(J1230=0,AND(J1230=1,K1230=1),AND(J1230=1,I1230="SBJ"),AND(J1230=1,I1230=0)),"?IN_FOCUS",IF(J1230&lt;=2,"?ACTIVATED",IF(J1230&lt;&gt;"","?FAMILIAR",IF(F1230="NEW",IF(ISNA(VLOOKUP(E1230,#REF!,1,FALSE())),"?TYPE_IDENTIFIABLE","?REFERENTIAL"),"_")))))</f>
        <v/>
      </c>
      <c r="H1230" s="13" t="str">
        <f aca="false">IF(J1230&lt;&gt;1,"",IF(I1230="SBJ","CB","?"))</f>
        <v/>
      </c>
      <c r="I1230" s="14" t="str">
        <f aca="false">IF(OR(E1230="",E1230="!!!",F1230="NEW"),"",INDEX(B$2:B1229,-1+SUMPRODUCT(MAX(ROW(E$2:E1229)*(E1230=E$2:E1229)))))</f>
        <v/>
      </c>
      <c r="J1230" s="15" t="str">
        <f aca="true">IF(OR(E1230="",E1230="!!!",F1230="NEW"),"",COUNTBLANK(OFFSET(A$1,,,SUMPRODUCT(MAX(ROW(E$2:E1230)*(E1230=E$2:E1230)))))-COUNTBLANK(OFFSET(A$1,,,SUMPRODUCT(MAX(ROW(E$1:E1229)*(E1230=E$1:E1229))))))</f>
        <v/>
      </c>
      <c r="K1230" s="15" t="str">
        <f aca="false">IF(OR(E1230="",E1230="!!!",F1230="NEW"),"",INDEX(J$1:J1229,SUMPRODUCT(MAX(ROW(E$1:E1229)*(E1230=E$1:E1229)))))</f>
        <v/>
      </c>
      <c r="L1230" s="16"/>
    </row>
    <row r="1231" customFormat="false" ht="12.75" hidden="false" customHeight="false" outlineLevel="0" collapsed="false">
      <c r="A1231" s="9" t="s">
        <v>550</v>
      </c>
      <c r="B1231" s="0" t="s">
        <v>75</v>
      </c>
      <c r="C1231" s="0" t="s">
        <v>18</v>
      </c>
      <c r="D1231" s="0" t="s">
        <v>19</v>
      </c>
      <c r="E1231" s="10" t="s">
        <v>551</v>
      </c>
      <c r="F1231" s="11" t="str">
        <f aca="false">IF(OR(E1231="",E1231="!!!"),"",IF(NOT(ISNA(VLOOKUP(E1231,E$1:E1230,1,FALSE()))),"OLD",IF(AND(E1231&lt;&gt;"",E1231&lt;&gt;"!!!"),"NEW","")))</f>
        <v>NEW</v>
      </c>
      <c r="G1231" s="12" t="s">
        <v>21</v>
      </c>
      <c r="H1231" s="13" t="str">
        <f aca="false">IF(J1231&lt;&gt;1,"",IF(I1231="SBJ","CB","?"))</f>
        <v/>
      </c>
      <c r="I1231" s="14" t="str">
        <f aca="false">IF(OR(E1231="",E1231="!!!",F1231="NEW"),"",INDEX(B$2:B1230,-1+SUMPRODUCT(MAX(ROW(E$2:E1230)*(E1231=E$2:E1230)))))</f>
        <v/>
      </c>
      <c r="J1231" s="15" t="str">
        <f aca="true">IF(OR(E1231="",E1231="!!!",F1231="NEW"),"",COUNTBLANK(OFFSET(A$1,,,SUMPRODUCT(MAX(ROW(E$2:E1231)*(E1231=E$2:E1231)))))-COUNTBLANK(OFFSET(A$1,,,SUMPRODUCT(MAX(ROW(E$1:E1230)*(E1231=E$1:E1230))))))</f>
        <v/>
      </c>
      <c r="K1231" s="15" t="str">
        <f aca="false">IF(OR(E1231="",E1231="!!!",F1231="NEW"),"",INDEX(J$1:J1230,SUMPRODUCT(MAX(ROW(E$1:E1230)*(E1231=E$1:E1230)))))</f>
        <v/>
      </c>
      <c r="L1231" s="16"/>
    </row>
    <row r="1232" customFormat="false" ht="12.75" hidden="false" customHeight="false" outlineLevel="0" collapsed="false">
      <c r="A1232" s="9" t="s">
        <v>28</v>
      </c>
      <c r="E1232" s="10" t="str">
        <f aca="false">IF(D1232="?OLD","!!!","")</f>
        <v/>
      </c>
      <c r="F1232" s="11" t="str">
        <f aca="false">IF(OR(E1232="",E1232="!!!"),"",IF(NOT(ISNA(VLOOKUP(E1232,E$1:E1231,1,FALSE()))),"OLD",IF(AND(E1232&lt;&gt;"",E1232&lt;&gt;"!!!"),"NEW","")))</f>
        <v/>
      </c>
      <c r="G1232" s="12" t="str">
        <f aca="false">IF(OR(E1232="",E1232="!!!"),"",IF(OR(J1232=0,AND(J1232=1,K1232=1),AND(J1232=1,I1232="SBJ"),AND(J1232=1,I1232=0)),"?IN_FOCUS",IF(J1232&lt;=2,"?ACTIVATED",IF(J1232&lt;&gt;"","?FAMILIAR",IF(F1232="NEW",IF(ISNA(VLOOKUP(E1232,#REF!,1,FALSE())),"?TYPE_IDENTIFIABLE","?REFERENTIAL"),"_")))))</f>
        <v/>
      </c>
      <c r="H1232" s="13" t="str">
        <f aca="false">IF(J1232&lt;&gt;1,"",IF(I1232="SBJ","CB","?"))</f>
        <v/>
      </c>
      <c r="I1232" s="14" t="str">
        <f aca="false">IF(OR(E1232="",E1232="!!!",F1232="NEW"),"",INDEX(B$2:B1231,-1+SUMPRODUCT(MAX(ROW(E$2:E1231)*(E1232=E$2:E1231)))))</f>
        <v/>
      </c>
      <c r="J1232" s="15" t="str">
        <f aca="true">IF(OR(E1232="",E1232="!!!",F1232="NEW"),"",COUNTBLANK(OFFSET(A$1,,,SUMPRODUCT(MAX(ROW(E$2:E1232)*(E1232=E$2:E1232)))))-COUNTBLANK(OFFSET(A$1,,,SUMPRODUCT(MAX(ROW(E$1:E1231)*(E1232=E$1:E1231))))))</f>
        <v/>
      </c>
      <c r="K1232" s="15" t="str">
        <f aca="false">IF(OR(E1232="",E1232="!!!",F1232="NEW"),"",INDEX(J$1:J1231,SUMPRODUCT(MAX(ROW(E$1:E1231)*(E1232=E$1:E1231)))))</f>
        <v/>
      </c>
      <c r="L1232" s="16"/>
    </row>
    <row r="1233" customFormat="false" ht="12.75" hidden="false" customHeight="false" outlineLevel="0" collapsed="false">
      <c r="A1233" s="9" t="s">
        <v>63</v>
      </c>
      <c r="E1233" s="10" t="str">
        <f aca="false">IF(D1233="?OLD","!!!","")</f>
        <v/>
      </c>
      <c r="F1233" s="11" t="str">
        <f aca="false">IF(OR(E1233="",E1233="!!!"),"",IF(NOT(ISNA(VLOOKUP(E1233,E$1:E1232,1,FALSE()))),"OLD",IF(AND(E1233&lt;&gt;"",E1233&lt;&gt;"!!!"),"NEW","")))</f>
        <v/>
      </c>
      <c r="G1233" s="12" t="str">
        <f aca="false">IF(OR(E1233="",E1233="!!!"),"",IF(OR(J1233=0,AND(J1233=1,K1233=1),AND(J1233=1,I1233="SBJ"),AND(J1233=1,I1233=0)),"?IN_FOCUS",IF(J1233&lt;=2,"?ACTIVATED",IF(J1233&lt;&gt;"","?FAMILIAR",IF(F1233="NEW",IF(ISNA(VLOOKUP(E1233,#REF!,1,FALSE())),"?TYPE_IDENTIFIABLE","?REFERENTIAL"),"_")))))</f>
        <v/>
      </c>
      <c r="H1233" s="13" t="str">
        <f aca="false">IF(J1233&lt;&gt;1,"",IF(I1233="SBJ","CB","?"))</f>
        <v/>
      </c>
      <c r="I1233" s="14" t="str">
        <f aca="false">IF(OR(E1233="",E1233="!!!",F1233="NEW"),"",INDEX(B$2:B1232,-1+SUMPRODUCT(MAX(ROW(E$2:E1232)*(E1233=E$2:E1232)))))</f>
        <v/>
      </c>
      <c r="J1233" s="15" t="str">
        <f aca="true">IF(OR(E1233="",E1233="!!!",F1233="NEW"),"",COUNTBLANK(OFFSET(A$1,,,SUMPRODUCT(MAX(ROW(E$2:E1233)*(E1233=E$2:E1233)))))-COUNTBLANK(OFFSET(A$1,,,SUMPRODUCT(MAX(ROW(E$1:E1232)*(E1233=E$1:E1232))))))</f>
        <v/>
      </c>
      <c r="K1233" s="15" t="str">
        <f aca="false">IF(OR(E1233="",E1233="!!!",F1233="NEW"),"",INDEX(J$1:J1232,SUMPRODUCT(MAX(ROW(E$1:E1232)*(E1233=E$1:E1232)))))</f>
        <v/>
      </c>
      <c r="L1233" s="16"/>
    </row>
    <row r="1234" customFormat="false" ht="12.75" hidden="false" customHeight="false" outlineLevel="0" collapsed="false">
      <c r="A1234" s="9" t="s">
        <v>528</v>
      </c>
      <c r="E1234" s="10" t="str">
        <f aca="false">IF(D1234="?OLD","!!!","")</f>
        <v/>
      </c>
      <c r="F1234" s="11" t="str">
        <f aca="false">IF(OR(E1234="",E1234="!!!"),"",IF(NOT(ISNA(VLOOKUP(E1234,E$1:E1233,1,FALSE()))),"OLD",IF(AND(E1234&lt;&gt;"",E1234&lt;&gt;"!!!"),"NEW","")))</f>
        <v/>
      </c>
      <c r="G1234" s="12" t="str">
        <f aca="false">IF(OR(E1234="",E1234="!!!"),"",IF(OR(J1234=0,AND(J1234=1,K1234=1),AND(J1234=1,I1234="SBJ"),AND(J1234=1,I1234=0)),"?IN_FOCUS",IF(J1234&lt;=2,"?ACTIVATED",IF(J1234&lt;&gt;"","?FAMILIAR",IF(F1234="NEW",IF(ISNA(VLOOKUP(E1234,#REF!,1,FALSE())),"?TYPE_IDENTIFIABLE","?REFERENTIAL"),"_")))))</f>
        <v/>
      </c>
      <c r="H1234" s="13" t="str">
        <f aca="false">IF(J1234&lt;&gt;1,"",IF(I1234="SBJ","CB","?"))</f>
        <v/>
      </c>
      <c r="I1234" s="14" t="str">
        <f aca="false">IF(OR(E1234="",E1234="!!!",F1234="NEW"),"",INDEX(B$2:B1233,-1+SUMPRODUCT(MAX(ROW(E$2:E1233)*(E1234=E$2:E1233)))))</f>
        <v/>
      </c>
      <c r="J1234" s="15" t="str">
        <f aca="true">IF(OR(E1234="",E1234="!!!",F1234="NEW"),"",COUNTBLANK(OFFSET(A$1,,,SUMPRODUCT(MAX(ROW(E$2:E1234)*(E1234=E$2:E1234)))))-COUNTBLANK(OFFSET(A$1,,,SUMPRODUCT(MAX(ROW(E$1:E1233)*(E1234=E$1:E1233))))))</f>
        <v/>
      </c>
      <c r="K1234" s="15" t="str">
        <f aca="false">IF(OR(E1234="",E1234="!!!",F1234="NEW"),"",INDEX(J$1:J1233,SUMPRODUCT(MAX(ROW(E$1:E1233)*(E1234=E$1:E1233)))))</f>
        <v/>
      </c>
      <c r="L1234" s="16"/>
    </row>
    <row r="1235" customFormat="false" ht="12.75" hidden="false" customHeight="false" outlineLevel="0" collapsed="false">
      <c r="A1235" s="9" t="s">
        <v>530</v>
      </c>
      <c r="B1235" s="0" t="s">
        <v>40</v>
      </c>
      <c r="C1235" s="0" t="s">
        <v>25</v>
      </c>
      <c r="E1235" s="10" t="str">
        <f aca="false">IF(D1235="?OLD","!!!","")</f>
        <v/>
      </c>
      <c r="F1235" s="11" t="str">
        <f aca="false">IF(OR(E1235="",E1235="!!!"),"",IF(NOT(ISNA(VLOOKUP(E1235,E$1:E1234,1,FALSE()))),"OLD",IF(AND(E1235&lt;&gt;"",E1235&lt;&gt;"!!!"),"NEW","")))</f>
        <v/>
      </c>
      <c r="G1235" s="12" t="str">
        <f aca="false">IF(OR(E1235="",E1235="!!!"),"",IF(OR(J1235=0,AND(J1235=1,K1235=1),AND(J1235=1,I1235="SBJ"),AND(J1235=1,I1235=0)),"?IN_FOCUS",IF(J1235&lt;=2,"?ACTIVATED",IF(J1235&lt;&gt;"","?FAMILIAR",IF(F1235="NEW",IF(ISNA(VLOOKUP(E1235,#REF!,1,FALSE())),"?TYPE_IDENTIFIABLE","?REFERENTIAL"),"_")))))</f>
        <v/>
      </c>
      <c r="H1235" s="13" t="str">
        <f aca="false">IF(J1235&lt;&gt;1,"",IF(I1235="SBJ","CB","?"))</f>
        <v/>
      </c>
      <c r="I1235" s="14" t="str">
        <f aca="false">IF(OR(E1235="",E1235="!!!",F1235="NEW"),"",INDEX(B$2:B1234,-1+SUMPRODUCT(MAX(ROW(E$2:E1234)*(E1235=E$2:E1234)))))</f>
        <v/>
      </c>
      <c r="J1235" s="15" t="str">
        <f aca="true">IF(OR(E1235="",E1235="!!!",F1235="NEW"),"",COUNTBLANK(OFFSET(A$1,,,SUMPRODUCT(MAX(ROW(E$2:E1235)*(E1235=E$2:E1235)))))-COUNTBLANK(OFFSET(A$1,,,SUMPRODUCT(MAX(ROW(E$1:E1234)*(E1235=E$1:E1234))))))</f>
        <v/>
      </c>
      <c r="K1235" s="15" t="str">
        <f aca="false">IF(OR(E1235="",E1235="!!!",F1235="NEW"),"",INDEX(J$1:J1234,SUMPRODUCT(MAX(ROW(E$1:E1234)*(E1235=E$1:E1234)))))</f>
        <v/>
      </c>
      <c r="L1235" s="16"/>
    </row>
    <row r="1236" customFormat="false" ht="12.75" hidden="false" customHeight="false" outlineLevel="0" collapsed="false">
      <c r="A1236" s="9" t="s">
        <v>220</v>
      </c>
      <c r="E1236" s="10" t="str">
        <f aca="false">IF(D1236="?OLD","!!!","")</f>
        <v/>
      </c>
      <c r="F1236" s="11" t="str">
        <f aca="false">IF(OR(E1236="",E1236="!!!"),"",IF(NOT(ISNA(VLOOKUP(E1236,E$1:E1235,1,FALSE()))),"OLD",IF(AND(E1236&lt;&gt;"",E1236&lt;&gt;"!!!"),"NEW","")))</f>
        <v/>
      </c>
      <c r="G1236" s="12" t="str">
        <f aca="false">IF(OR(E1236="",E1236="!!!"),"",IF(OR(J1236=0,AND(J1236=1,K1236=1),AND(J1236=1,I1236="SBJ"),AND(J1236=1,I1236=0)),"?IN_FOCUS",IF(J1236&lt;=2,"?ACTIVATED",IF(J1236&lt;&gt;"","?FAMILIAR",IF(F1236="NEW",IF(ISNA(VLOOKUP(E1236,#REF!,1,FALSE())),"?TYPE_IDENTIFIABLE","?REFERENTIAL"),"_")))))</f>
        <v/>
      </c>
      <c r="H1236" s="13" t="str">
        <f aca="false">IF(J1236&lt;&gt;1,"",IF(I1236="SBJ","CB","?"))</f>
        <v/>
      </c>
      <c r="I1236" s="14" t="str">
        <f aca="false">IF(OR(E1236="",E1236="!!!",F1236="NEW"),"",INDEX(B$2:B1235,-1+SUMPRODUCT(MAX(ROW(E$2:E1235)*(E1236=E$2:E1235)))))</f>
        <v/>
      </c>
      <c r="J1236" s="15" t="str">
        <f aca="true">IF(OR(E1236="",E1236="!!!",F1236="NEW"),"",COUNTBLANK(OFFSET(A$1,,,SUMPRODUCT(MAX(ROW(E$2:E1236)*(E1236=E$2:E1236)))))-COUNTBLANK(OFFSET(A$1,,,SUMPRODUCT(MAX(ROW(E$1:E1235)*(E1236=E$1:E1235))))))</f>
        <v/>
      </c>
      <c r="K1236" s="15" t="str">
        <f aca="false">IF(OR(E1236="",E1236="!!!",F1236="NEW"),"",INDEX(J$1:J1235,SUMPRODUCT(MAX(ROW(E$1:E1235)*(E1236=E$1:E1235)))))</f>
        <v/>
      </c>
      <c r="L1236" s="16"/>
    </row>
    <row r="1237" customFormat="false" ht="12.75" hidden="false" customHeight="false" outlineLevel="0" collapsed="false">
      <c r="A1237" s="9" t="s">
        <v>552</v>
      </c>
      <c r="B1237" s="0" t="s">
        <v>75</v>
      </c>
      <c r="C1237" s="0" t="s">
        <v>25</v>
      </c>
      <c r="E1237" s="10" t="str">
        <f aca="false">IF(D1237="?OLD","!!!","")</f>
        <v/>
      </c>
      <c r="F1237" s="11" t="str">
        <f aca="false">IF(OR(E1237="",E1237="!!!"),"",IF(NOT(ISNA(VLOOKUP(E1237,E$1:E1236,1,FALSE()))),"OLD",IF(AND(E1237&lt;&gt;"",E1237&lt;&gt;"!!!"),"NEW","")))</f>
        <v/>
      </c>
      <c r="G1237" s="12" t="str">
        <f aca="false">IF(OR(E1237="",E1237="!!!"),"",IF(OR(J1237=0,AND(J1237=1,K1237=1),AND(J1237=1,I1237="SBJ"),AND(J1237=1,I1237=0)),"?IN_FOCUS",IF(J1237&lt;=2,"?ACTIVATED",IF(J1237&lt;&gt;"","?FAMILIAR",IF(F1237="NEW",IF(ISNA(VLOOKUP(E1237,#REF!,1,FALSE())),"?TYPE_IDENTIFIABLE","?REFERENTIAL"),"_")))))</f>
        <v/>
      </c>
      <c r="H1237" s="13" t="str">
        <f aca="false">IF(J1237&lt;&gt;1,"",IF(I1237="SBJ","CB","?"))</f>
        <v/>
      </c>
      <c r="I1237" s="14" t="str">
        <f aca="false">IF(OR(E1237="",E1237="!!!",F1237="NEW"),"",INDEX(B$2:B1236,-1+SUMPRODUCT(MAX(ROW(E$2:E1236)*(E1237=E$2:E1236)))))</f>
        <v/>
      </c>
      <c r="J1237" s="15" t="str">
        <f aca="true">IF(OR(E1237="",E1237="!!!",F1237="NEW"),"",COUNTBLANK(OFFSET(A$1,,,SUMPRODUCT(MAX(ROW(E$2:E1237)*(E1237=E$2:E1237)))))-COUNTBLANK(OFFSET(A$1,,,SUMPRODUCT(MAX(ROW(E$1:E1236)*(E1237=E$1:E1236))))))</f>
        <v/>
      </c>
      <c r="K1237" s="15" t="str">
        <f aca="false">IF(OR(E1237="",E1237="!!!",F1237="NEW"),"",INDEX(J$1:J1236,SUMPRODUCT(MAX(ROW(E$1:E1236)*(E1237=E$1:E1236)))))</f>
        <v/>
      </c>
      <c r="L1237" s="16"/>
    </row>
    <row r="1238" customFormat="false" ht="12.75" hidden="false" customHeight="false" outlineLevel="0" collapsed="false">
      <c r="A1238" s="9" t="s">
        <v>28</v>
      </c>
      <c r="E1238" s="10" t="str">
        <f aca="false">IF(D1238="?OLD","!!!","")</f>
        <v/>
      </c>
      <c r="F1238" s="11" t="str">
        <f aca="false">IF(OR(E1238="",E1238="!!!"),"",IF(NOT(ISNA(VLOOKUP(E1238,E$1:E1237,1,FALSE()))),"OLD",IF(AND(E1238&lt;&gt;"",E1238&lt;&gt;"!!!"),"NEW","")))</f>
        <v/>
      </c>
      <c r="G1238" s="12" t="str">
        <f aca="false">IF(OR(E1238="",E1238="!!!"),"",IF(OR(J1238=0,AND(J1238=1,K1238=1),AND(J1238=1,I1238="SBJ"),AND(J1238=1,I1238=0)),"?IN_FOCUS",IF(J1238&lt;=2,"?ACTIVATED",IF(J1238&lt;&gt;"","?FAMILIAR",IF(F1238="NEW",IF(ISNA(VLOOKUP(E1238,#REF!,1,FALSE())),"?TYPE_IDENTIFIABLE","?REFERENTIAL"),"_")))))</f>
        <v/>
      </c>
      <c r="H1238" s="13" t="str">
        <f aca="false">IF(J1238&lt;&gt;1,"",IF(I1238="SBJ","CB","?"))</f>
        <v/>
      </c>
      <c r="I1238" s="14" t="str">
        <f aca="false">IF(OR(E1238="",E1238="!!!",F1238="NEW"),"",INDEX(B$2:B1237,-1+SUMPRODUCT(MAX(ROW(E$2:E1237)*(E1238=E$2:E1237)))))</f>
        <v/>
      </c>
      <c r="J1238" s="15" t="str">
        <f aca="true">IF(OR(E1238="",E1238="!!!",F1238="NEW"),"",COUNTBLANK(OFFSET(A$1,,,SUMPRODUCT(MAX(ROW(E$2:E1238)*(E1238=E$2:E1238)))))-COUNTBLANK(OFFSET(A$1,,,SUMPRODUCT(MAX(ROW(E$1:E1237)*(E1238=E$1:E1237))))))</f>
        <v/>
      </c>
      <c r="K1238" s="15" t="str">
        <f aca="false">IF(OR(E1238="",E1238="!!!",F1238="NEW"),"",INDEX(J$1:J1237,SUMPRODUCT(MAX(ROW(E$1:E1237)*(E1238=E$1:E1237)))))</f>
        <v/>
      </c>
      <c r="L1238" s="16"/>
    </row>
    <row r="1239" customFormat="false" ht="12.75" hidden="false" customHeight="false" outlineLevel="0" collapsed="false">
      <c r="A1239" s="9" t="s">
        <v>29</v>
      </c>
      <c r="B1239" s="0" t="s">
        <v>17</v>
      </c>
      <c r="C1239" s="0" t="s">
        <v>31</v>
      </c>
      <c r="D1239" s="0" t="s">
        <v>19</v>
      </c>
      <c r="E1239" s="10" t="s">
        <v>32</v>
      </c>
      <c r="F1239" s="11" t="str">
        <f aca="false">IF(OR(E1239="",E1239="!!!"),"",IF(NOT(ISNA(VLOOKUP(E1239,E$1:E1238,1,FALSE()))),"OLD",IF(AND(E1239&lt;&gt;"",E1239&lt;&gt;"!!!"),"NEW","")))</f>
        <v>OLD</v>
      </c>
      <c r="G1239" s="12" t="s">
        <v>33</v>
      </c>
      <c r="H1239" s="13" t="s">
        <v>7</v>
      </c>
      <c r="I1239" s="14" t="str">
        <f aca="false">IF(OR(E1239="",E1239="!!!",F1239="NEW"),"",INDEX(B$2:B1238,-1+SUMPRODUCT(MAX(ROW(E$2:E1238)*(E1239=E$2:E1238)))))</f>
        <v>other_2</v>
      </c>
      <c r="J1239" s="15" t="n">
        <f aca="true">IF(OR(E1239="",E1239="!!!",F1239="NEW"),"",COUNTBLANK(OFFSET(A$1,,,SUMPRODUCT(MAX(ROW(E$2:E1239)*(E1239=E$2:E1239)))))-COUNTBLANK(OFFSET(A$1,,,SUMPRODUCT(MAX(ROW(E$1:E1238)*(E1239=E$1:E1238))))))</f>
        <v>1</v>
      </c>
      <c r="K1239" s="15" t="n">
        <f aca="false">IF(OR(E1239="",E1239="!!!",F1239="NEW"),"",INDEX(J$1:J1238,SUMPRODUCT(MAX(ROW(E$1:E1238)*(E1239=E$1:E1238)))))</f>
        <v>0</v>
      </c>
      <c r="L1239" s="16"/>
    </row>
    <row r="1240" customFormat="false" ht="12.75" hidden="false" customHeight="false" outlineLevel="0" collapsed="false">
      <c r="A1240" s="9" t="s">
        <v>553</v>
      </c>
      <c r="E1240" s="10" t="str">
        <f aca="false">IF(D1240="?OLD","!!!","")</f>
        <v/>
      </c>
      <c r="F1240" s="11" t="str">
        <f aca="false">IF(OR(E1240="",E1240="!!!"),"",IF(NOT(ISNA(VLOOKUP(E1240,E$1:E1239,1,FALSE()))),"OLD",IF(AND(E1240&lt;&gt;"",E1240&lt;&gt;"!!!"),"NEW","")))</f>
        <v/>
      </c>
      <c r="G1240" s="12" t="str">
        <f aca="false">IF(OR(E1240="",E1240="!!!"),"",IF(OR(J1240=0,AND(J1240=1,K1240=1),AND(J1240=1,I1240="SBJ"),AND(J1240=1,I1240=0)),"?IN_FOCUS",IF(J1240&lt;=2,"?ACTIVATED",IF(J1240&lt;&gt;"","?FAMILIAR",IF(F1240="NEW",IF(ISNA(VLOOKUP(E1240,#REF!,1,FALSE())),"?TYPE_IDENTIFIABLE","?REFERENTIAL"),"_")))))</f>
        <v/>
      </c>
      <c r="H1240" s="13" t="str">
        <f aca="false">IF(J1240&lt;&gt;1,"",IF(I1240="SBJ","CB","?"))</f>
        <v/>
      </c>
      <c r="I1240" s="14" t="str">
        <f aca="false">IF(OR(E1240="",E1240="!!!",F1240="NEW"),"",INDEX(B$2:B1239,-1+SUMPRODUCT(MAX(ROW(E$2:E1239)*(E1240=E$2:E1239)))))</f>
        <v/>
      </c>
      <c r="J1240" s="15" t="str">
        <f aca="true">IF(OR(E1240="",E1240="!!!",F1240="NEW"),"",COUNTBLANK(OFFSET(A$1,,,SUMPRODUCT(MAX(ROW(E$2:E1240)*(E1240=E$2:E1240)))))-COUNTBLANK(OFFSET(A$1,,,SUMPRODUCT(MAX(ROW(E$1:E1239)*(E1240=E$1:E1239))))))</f>
        <v/>
      </c>
      <c r="K1240" s="15" t="str">
        <f aca="false">IF(OR(E1240="",E1240="!!!",F1240="NEW"),"",INDEX(J$1:J1239,SUMPRODUCT(MAX(ROW(E$1:E1239)*(E1240=E$1:E1239)))))</f>
        <v/>
      </c>
      <c r="L1240" s="16"/>
    </row>
    <row r="1241" customFormat="false" ht="12.75" hidden="false" customHeight="false" outlineLevel="0" collapsed="false">
      <c r="A1241" s="9" t="s">
        <v>542</v>
      </c>
      <c r="B1241" s="0" t="s">
        <v>24</v>
      </c>
      <c r="C1241" s="0" t="s">
        <v>128</v>
      </c>
      <c r="D1241" s="0" t="s">
        <v>19</v>
      </c>
      <c r="E1241" s="10" t="s">
        <v>32</v>
      </c>
      <c r="F1241" s="11" t="str">
        <f aca="false">IF(OR(E1241="",E1241="!!!"),"",IF(NOT(ISNA(VLOOKUP(E1241,E$1:E1240,1,FALSE()))),"OLD",IF(AND(E1241&lt;&gt;"",E1241&lt;&gt;"!!!"),"NEW","")))</f>
        <v>OLD</v>
      </c>
      <c r="G1241" s="12" t="s">
        <v>65</v>
      </c>
      <c r="H1241" s="13" t="str">
        <f aca="false">IF(J1241&lt;&gt;1,"",IF(I1241="SBJ","CB","?"))</f>
        <v/>
      </c>
      <c r="I1241" s="14" t="str">
        <f aca="false">IF(OR(E1241="",E1241="!!!",F1241="NEW"),"",INDEX(B$2:B1240,-1+SUMPRODUCT(MAX(ROW(E$2:E1240)*(E1241=E$2:E1240)))))</f>
        <v>SBJ_2</v>
      </c>
      <c r="J1241" s="15" t="n">
        <f aca="true">IF(OR(E1241="",E1241="!!!",F1241="NEW"),"",COUNTBLANK(OFFSET(A$1,,,SUMPRODUCT(MAX(ROW(E$2:E1241)*(E1241=E$2:E1241)))))-COUNTBLANK(OFFSET(A$1,,,SUMPRODUCT(MAX(ROW(E$1:E1240)*(E1241=E$1:E1240))))))</f>
        <v>0</v>
      </c>
      <c r="K1241" s="15" t="n">
        <f aca="false">IF(OR(E1241="",E1241="!!!",F1241="NEW"),"",INDEX(J$1:J1240,SUMPRODUCT(MAX(ROW(E$1:E1240)*(E1241=E$1:E1240)))))</f>
        <v>1</v>
      </c>
      <c r="L1241" s="16"/>
    </row>
    <row r="1242" customFormat="false" ht="12.75" hidden="false" customHeight="false" outlineLevel="0" collapsed="false">
      <c r="A1242" s="9" t="s">
        <v>554</v>
      </c>
      <c r="B1242" s="0" t="s">
        <v>55</v>
      </c>
      <c r="C1242" s="0" t="s">
        <v>83</v>
      </c>
      <c r="D1242" s="0" t="s">
        <v>19</v>
      </c>
      <c r="E1242" s="10" t="s">
        <v>555</v>
      </c>
      <c r="F1242" s="11" t="str">
        <f aca="false">IF(OR(E1242="",E1242="!!!"),"",IF(NOT(ISNA(VLOOKUP(E1242,E$1:E1241,1,FALSE()))),"OLD",IF(AND(E1242&lt;&gt;"",E1242&lt;&gt;"!!!"),"NEW","")))</f>
        <v>NEW</v>
      </c>
      <c r="G1242" s="12" t="s">
        <v>21</v>
      </c>
      <c r="H1242" s="13" t="str">
        <f aca="false">IF(J1242&lt;&gt;1,"",IF(I1242="SBJ","CB","?"))</f>
        <v/>
      </c>
      <c r="I1242" s="14" t="str">
        <f aca="false">IF(OR(E1242="",E1242="!!!",F1242="NEW"),"",INDEX(B$2:B1241,-1+SUMPRODUCT(MAX(ROW(E$2:E1241)*(E1242=E$2:E1241)))))</f>
        <v/>
      </c>
      <c r="J1242" s="15" t="str">
        <f aca="true">IF(OR(E1242="",E1242="!!!",F1242="NEW"),"",COUNTBLANK(OFFSET(A$1,,,SUMPRODUCT(MAX(ROW(E$2:E1242)*(E1242=E$2:E1242)))))-COUNTBLANK(OFFSET(A$1,,,SUMPRODUCT(MAX(ROW(E$1:E1241)*(E1242=E$1:E1241))))))</f>
        <v/>
      </c>
      <c r="K1242" s="15" t="str">
        <f aca="false">IF(OR(E1242="",E1242="!!!",F1242="NEW"),"",INDEX(J$1:J1241,SUMPRODUCT(MAX(ROW(E$1:E1241)*(E1242=E$1:E1241)))))</f>
        <v/>
      </c>
      <c r="L1242" s="16"/>
    </row>
    <row r="1243" customFormat="false" ht="12.75" hidden="false" customHeight="false" outlineLevel="0" collapsed="false">
      <c r="A1243" s="9" t="s">
        <v>37</v>
      </c>
      <c r="E1243" s="10" t="str">
        <f aca="false">IF(D1243="?OLD","!!!","")</f>
        <v/>
      </c>
      <c r="F1243" s="11" t="str">
        <f aca="false">IF(OR(E1243="",E1243="!!!"),"",IF(NOT(ISNA(VLOOKUP(E1243,E$1:E1242,1,FALSE()))),"OLD",IF(AND(E1243&lt;&gt;"",E1243&lt;&gt;"!!!"),"NEW","")))</f>
        <v/>
      </c>
      <c r="G1243" s="12" t="str">
        <f aca="false">IF(OR(E1243="",E1243="!!!"),"",IF(OR(J1243=0,AND(J1243=1,K1243=1),AND(J1243=1,I1243="SBJ"),AND(J1243=1,I1243=0)),"?IN_FOCUS",IF(J1243&lt;=2,"?ACTIVATED",IF(J1243&lt;&gt;"","?FAMILIAR",IF(F1243="NEW",IF(ISNA(VLOOKUP(E1243,#REF!,1,FALSE())),"?TYPE_IDENTIFIABLE","?REFERENTIAL"),"_")))))</f>
        <v/>
      </c>
      <c r="H1243" s="13" t="str">
        <f aca="false">IF(J1243&lt;&gt;1,"",IF(I1243="SBJ","CB","?"))</f>
        <v/>
      </c>
      <c r="I1243" s="14" t="str">
        <f aca="false">IF(OR(E1243="",E1243="!!!",F1243="NEW"),"",INDEX(B$2:B1242,-1+SUMPRODUCT(MAX(ROW(E$2:E1242)*(E1243=E$2:E1242)))))</f>
        <v/>
      </c>
      <c r="J1243" s="15" t="str">
        <f aca="true">IF(OR(E1243="",E1243="!!!",F1243="NEW"),"",COUNTBLANK(OFFSET(A$1,,,SUMPRODUCT(MAX(ROW(E$2:E1243)*(E1243=E$2:E1243)))))-COUNTBLANK(OFFSET(A$1,,,SUMPRODUCT(MAX(ROW(E$1:E1242)*(E1243=E$1:E1242))))))</f>
        <v/>
      </c>
      <c r="K1243" s="15" t="str">
        <f aca="false">IF(OR(E1243="",E1243="!!!",F1243="NEW"),"",INDEX(J$1:J1242,SUMPRODUCT(MAX(ROW(E$1:E1242)*(E1243=E$1:E1242)))))</f>
        <v/>
      </c>
      <c r="L1243" s="16"/>
    </row>
    <row r="1244" customFormat="false" ht="12.75" hidden="false" customHeight="false" outlineLevel="0" collapsed="false">
      <c r="A1244" s="9" t="s">
        <v>409</v>
      </c>
      <c r="B1244" s="0" t="s">
        <v>75</v>
      </c>
      <c r="C1244" s="0" t="s">
        <v>25</v>
      </c>
      <c r="E1244" s="10" t="str">
        <f aca="false">IF(D1244="?OLD","!!!","")</f>
        <v/>
      </c>
      <c r="F1244" s="11" t="str">
        <f aca="false">IF(OR(E1244="",E1244="!!!"),"",IF(NOT(ISNA(VLOOKUP(E1244,E$1:E1243,1,FALSE()))),"OLD",IF(AND(E1244&lt;&gt;"",E1244&lt;&gt;"!!!"),"NEW","")))</f>
        <v/>
      </c>
      <c r="G1244" s="12" t="str">
        <f aca="false">IF(OR(E1244="",E1244="!!!"),"",IF(OR(J1244=0,AND(J1244=1,K1244=1),AND(J1244=1,I1244="SBJ"),AND(J1244=1,I1244=0)),"?IN_FOCUS",IF(J1244&lt;=2,"?ACTIVATED",IF(J1244&lt;&gt;"","?FAMILIAR",IF(F1244="NEW",IF(ISNA(VLOOKUP(E1244,#REF!,1,FALSE())),"?TYPE_IDENTIFIABLE","?REFERENTIAL"),"_")))))</f>
        <v/>
      </c>
      <c r="H1244" s="13" t="str">
        <f aca="false">IF(J1244&lt;&gt;1,"",IF(I1244="SBJ","CB","?"))</f>
        <v/>
      </c>
      <c r="I1244" s="14" t="str">
        <f aca="false">IF(OR(E1244="",E1244="!!!",F1244="NEW"),"",INDEX(B$2:B1243,-1+SUMPRODUCT(MAX(ROW(E$2:E1243)*(E1244=E$2:E1243)))))</f>
        <v/>
      </c>
      <c r="J1244" s="15" t="str">
        <f aca="true">IF(OR(E1244="",E1244="!!!",F1244="NEW"),"",COUNTBLANK(OFFSET(A$1,,,SUMPRODUCT(MAX(ROW(E$2:E1244)*(E1244=E$2:E1244)))))-COUNTBLANK(OFFSET(A$1,,,SUMPRODUCT(MAX(ROW(E$1:E1243)*(E1244=E$1:E1243))))))</f>
        <v/>
      </c>
      <c r="K1244" s="15" t="str">
        <f aca="false">IF(OR(E1244="",E1244="!!!",F1244="NEW"),"",INDEX(J$1:J1243,SUMPRODUCT(MAX(ROW(E$1:E1243)*(E1244=E$1:E1243)))))</f>
        <v/>
      </c>
      <c r="L1244" s="16"/>
    </row>
    <row r="1245" customFormat="false" ht="12.75" hidden="false" customHeight="false" outlineLevel="0" collapsed="false">
      <c r="A1245" s="9" t="s">
        <v>63</v>
      </c>
      <c r="E1245" s="10" t="str">
        <f aca="false">IF(D1245="?OLD","!!!","")</f>
        <v/>
      </c>
      <c r="F1245" s="11" t="str">
        <f aca="false">IF(OR(E1245="",E1245="!!!"),"",IF(NOT(ISNA(VLOOKUP(E1245,E$1:E1244,1,FALSE()))),"OLD",IF(AND(E1245&lt;&gt;"",E1245&lt;&gt;"!!!"),"NEW","")))</f>
        <v/>
      </c>
      <c r="G1245" s="12" t="str">
        <f aca="false">IF(OR(E1245="",E1245="!!!"),"",IF(OR(J1245=0,AND(J1245=1,K1245=1),AND(J1245=1,I1245="SBJ"),AND(J1245=1,I1245=0)),"?IN_FOCUS",IF(J1245&lt;=2,"?ACTIVATED",IF(J1245&lt;&gt;"","?FAMILIAR",IF(F1245="NEW",IF(ISNA(VLOOKUP(E1245,#REF!,1,FALSE())),"?TYPE_IDENTIFIABLE","?REFERENTIAL"),"_")))))</f>
        <v/>
      </c>
      <c r="H1245" s="13" t="str">
        <f aca="false">IF(J1245&lt;&gt;1,"",IF(I1245="SBJ","CB","?"))</f>
        <v/>
      </c>
      <c r="I1245" s="14" t="str">
        <f aca="false">IF(OR(E1245="",E1245="!!!",F1245="NEW"),"",INDEX(B$2:B1244,-1+SUMPRODUCT(MAX(ROW(E$2:E1244)*(E1245=E$2:E1244)))))</f>
        <v/>
      </c>
      <c r="J1245" s="15" t="str">
        <f aca="true">IF(OR(E1245="",E1245="!!!",F1245="NEW"),"",COUNTBLANK(OFFSET(A$1,,,SUMPRODUCT(MAX(ROW(E$2:E1245)*(E1245=E$2:E1245)))))-COUNTBLANK(OFFSET(A$1,,,SUMPRODUCT(MAX(ROW(E$1:E1244)*(E1245=E$1:E1244))))))</f>
        <v/>
      </c>
      <c r="K1245" s="15" t="str">
        <f aca="false">IF(OR(E1245="",E1245="!!!",F1245="NEW"),"",INDEX(J$1:J1244,SUMPRODUCT(MAX(ROW(E$1:E1244)*(E1245=E$1:E1244)))))</f>
        <v/>
      </c>
      <c r="L1245" s="16"/>
    </row>
    <row r="1246" customFormat="false" ht="12.75" hidden="false" customHeight="false" outlineLevel="0" collapsed="false">
      <c r="A1246" s="9" t="s">
        <v>556</v>
      </c>
      <c r="B1246" s="0" t="s">
        <v>24</v>
      </c>
      <c r="C1246" s="0" t="s">
        <v>25</v>
      </c>
      <c r="E1246" s="10" t="str">
        <f aca="false">IF(D1246="?OLD","!!!","")</f>
        <v/>
      </c>
      <c r="F1246" s="11" t="str">
        <f aca="false">IF(OR(E1246="",E1246="!!!"),"",IF(NOT(ISNA(VLOOKUP(E1246,E$1:E1245,1,FALSE()))),"OLD",IF(AND(E1246&lt;&gt;"",E1246&lt;&gt;"!!!"),"NEW","")))</f>
        <v/>
      </c>
      <c r="G1246" s="12" t="str">
        <f aca="false">IF(OR(E1246="",E1246="!!!"),"",IF(OR(J1246=0,AND(J1246=1,K1246=1),AND(J1246=1,I1246="SBJ"),AND(J1246=1,I1246=0)),"?IN_FOCUS",IF(J1246&lt;=2,"?ACTIVATED",IF(J1246&lt;&gt;"","?FAMILIAR",IF(F1246="NEW",IF(ISNA(VLOOKUP(E1246,#REF!,1,FALSE())),"?TYPE_IDENTIFIABLE","?REFERENTIAL"),"_")))))</f>
        <v/>
      </c>
      <c r="H1246" s="13" t="str">
        <f aca="false">IF(J1246&lt;&gt;1,"",IF(I1246="SBJ","CB","?"))</f>
        <v/>
      </c>
      <c r="I1246" s="14" t="str">
        <f aca="false">IF(OR(E1246="",E1246="!!!",F1246="NEW"),"",INDEX(B$2:B1245,-1+SUMPRODUCT(MAX(ROW(E$2:E1245)*(E1246=E$2:E1245)))))</f>
        <v/>
      </c>
      <c r="J1246" s="15" t="str">
        <f aca="true">IF(OR(E1246="",E1246="!!!",F1246="NEW"),"",COUNTBLANK(OFFSET(A$1,,,SUMPRODUCT(MAX(ROW(E$2:E1246)*(E1246=E$2:E1246)))))-COUNTBLANK(OFFSET(A$1,,,SUMPRODUCT(MAX(ROW(E$1:E1245)*(E1246=E$1:E1245))))))</f>
        <v/>
      </c>
      <c r="K1246" s="15" t="str">
        <f aca="false">IF(OR(E1246="",E1246="!!!",F1246="NEW"),"",INDEX(J$1:J1245,SUMPRODUCT(MAX(ROW(E$1:E1245)*(E1246=E$1:E1245)))))</f>
        <v/>
      </c>
      <c r="L1246" s="16"/>
    </row>
    <row r="1247" customFormat="false" ht="12.75" hidden="false" customHeight="false" outlineLevel="0" collapsed="false">
      <c r="A1247" s="9" t="s">
        <v>22</v>
      </c>
      <c r="E1247" s="10" t="str">
        <f aca="false">IF(D1247="?OLD","!!!","")</f>
        <v/>
      </c>
      <c r="F1247" s="11" t="str">
        <f aca="false">IF(OR(E1247="",E1247="!!!"),"",IF(NOT(ISNA(VLOOKUP(E1247,E$1:E1246,1,FALSE()))),"OLD",IF(AND(E1247&lt;&gt;"",E1247&lt;&gt;"!!!"),"NEW","")))</f>
        <v/>
      </c>
      <c r="G1247" s="12" t="str">
        <f aca="false">IF(OR(E1247="",E1247="!!!"),"",IF(OR(J1247=0,AND(J1247=1,K1247=1),AND(J1247=1,I1247="SBJ"),AND(J1247=1,I1247=0)),"?IN_FOCUS",IF(J1247&lt;=2,"?ACTIVATED",IF(J1247&lt;&gt;"","?FAMILIAR",IF(F1247="NEW",IF(ISNA(VLOOKUP(E1247,#REF!,1,FALSE())),"?TYPE_IDENTIFIABLE","?REFERENTIAL"),"_")))))</f>
        <v/>
      </c>
      <c r="H1247" s="13" t="str">
        <f aca="false">IF(J1247&lt;&gt;1,"",IF(I1247="SBJ","CB","?"))</f>
        <v/>
      </c>
      <c r="I1247" s="14" t="str">
        <f aca="false">IF(OR(E1247="",E1247="!!!",F1247="NEW"),"",INDEX(B$2:B1246,-1+SUMPRODUCT(MAX(ROW(E$2:E1246)*(E1247=E$2:E1246)))))</f>
        <v/>
      </c>
      <c r="J1247" s="15" t="str">
        <f aca="true">IF(OR(E1247="",E1247="!!!",F1247="NEW"),"",COUNTBLANK(OFFSET(A$1,,,SUMPRODUCT(MAX(ROW(E$2:E1247)*(E1247=E$2:E1247)))))-COUNTBLANK(OFFSET(A$1,,,SUMPRODUCT(MAX(ROW(E$1:E1246)*(E1247=E$1:E1246))))))</f>
        <v/>
      </c>
      <c r="K1247" s="15" t="str">
        <f aca="false">IF(OR(E1247="",E1247="!!!",F1247="NEW"),"",INDEX(J$1:J1246,SUMPRODUCT(MAX(ROW(E$1:E1246)*(E1247=E$1:E1246)))))</f>
        <v/>
      </c>
      <c r="L1247" s="16"/>
    </row>
    <row r="1248" customFormat="false" ht="12.75" hidden="false" customHeight="false" outlineLevel="0" collapsed="false">
      <c r="A1248" s="9" t="s">
        <v>380</v>
      </c>
      <c r="B1248" s="0" t="s">
        <v>24</v>
      </c>
      <c r="C1248" s="0" t="s">
        <v>25</v>
      </c>
      <c r="E1248" s="10" t="str">
        <f aca="false">IF(D1248="?OLD","!!!","")</f>
        <v/>
      </c>
      <c r="F1248" s="11" t="str">
        <f aca="false">IF(OR(E1248="",E1248="!!!"),"",IF(NOT(ISNA(VLOOKUP(E1248,E$1:E1247,1,FALSE()))),"OLD",IF(AND(E1248&lt;&gt;"",E1248&lt;&gt;"!!!"),"NEW","")))</f>
        <v/>
      </c>
      <c r="G1248" s="12" t="str">
        <f aca="false">IF(OR(E1248="",E1248="!!!"),"",IF(OR(J1248=0,AND(J1248=1,K1248=1),AND(J1248=1,I1248="SBJ"),AND(J1248=1,I1248=0)),"?IN_FOCUS",IF(J1248&lt;=2,"?ACTIVATED",IF(J1248&lt;&gt;"","?FAMILIAR",IF(F1248="NEW",IF(ISNA(VLOOKUP(E1248,#REF!,1,FALSE())),"?TYPE_IDENTIFIABLE","?REFERENTIAL"),"_")))))</f>
        <v/>
      </c>
      <c r="H1248" s="13" t="str">
        <f aca="false">IF(J1248&lt;&gt;1,"",IF(I1248="SBJ","CB","?"))</f>
        <v/>
      </c>
      <c r="I1248" s="14" t="str">
        <f aca="false">IF(OR(E1248="",E1248="!!!",F1248="NEW"),"",INDEX(B$2:B1247,-1+SUMPRODUCT(MAX(ROW(E$2:E1247)*(E1248=E$2:E1247)))))</f>
        <v/>
      </c>
      <c r="J1248" s="15" t="str">
        <f aca="true">IF(OR(E1248="",E1248="!!!",F1248="NEW"),"",COUNTBLANK(OFFSET(A$1,,,SUMPRODUCT(MAX(ROW(E$2:E1248)*(E1248=E$2:E1248)))))-COUNTBLANK(OFFSET(A$1,,,SUMPRODUCT(MAX(ROW(E$1:E1247)*(E1248=E$1:E1247))))))</f>
        <v/>
      </c>
      <c r="K1248" s="15" t="str">
        <f aca="false">IF(OR(E1248="",E1248="!!!",F1248="NEW"),"",INDEX(J$1:J1247,SUMPRODUCT(MAX(ROW(E$1:E1247)*(E1248=E$1:E1247)))))</f>
        <v/>
      </c>
      <c r="L1248" s="16"/>
    </row>
    <row r="1249" customFormat="false" ht="12.75" hidden="false" customHeight="false" outlineLevel="0" collapsed="false">
      <c r="A1249" s="9" t="s">
        <v>28</v>
      </c>
      <c r="E1249" s="10" t="str">
        <f aca="false">IF(D1249="?OLD","!!!","")</f>
        <v/>
      </c>
      <c r="F1249" s="11" t="str">
        <f aca="false">IF(OR(E1249="",E1249="!!!"),"",IF(NOT(ISNA(VLOOKUP(E1249,E$1:E1248,1,FALSE()))),"OLD",IF(AND(E1249&lt;&gt;"",E1249&lt;&gt;"!!!"),"NEW","")))</f>
        <v/>
      </c>
      <c r="G1249" s="12" t="str">
        <f aca="false">IF(OR(E1249="",E1249="!!!"),"",IF(OR(J1249=0,AND(J1249=1,K1249=1),AND(J1249=1,I1249="SBJ"),AND(J1249=1,I1249=0)),"?IN_FOCUS",IF(J1249&lt;=2,"?ACTIVATED",IF(J1249&lt;&gt;"","?FAMILIAR",IF(F1249="NEW",IF(ISNA(VLOOKUP(E1249,#REF!,1,FALSE())),"?TYPE_IDENTIFIABLE","?REFERENTIAL"),"_")))))</f>
        <v/>
      </c>
      <c r="H1249" s="13" t="str">
        <f aca="false">IF(J1249&lt;&gt;1,"",IF(I1249="SBJ","CB","?"))</f>
        <v/>
      </c>
      <c r="I1249" s="14" t="str">
        <f aca="false">IF(OR(E1249="",E1249="!!!",F1249="NEW"),"",INDEX(B$2:B1248,-1+SUMPRODUCT(MAX(ROW(E$2:E1248)*(E1249=E$2:E1248)))))</f>
        <v/>
      </c>
      <c r="J1249" s="15" t="str">
        <f aca="true">IF(OR(E1249="",E1249="!!!",F1249="NEW"),"",COUNTBLANK(OFFSET(A$1,,,SUMPRODUCT(MAX(ROW(E$2:E1249)*(E1249=E$2:E1249)))))-COUNTBLANK(OFFSET(A$1,,,SUMPRODUCT(MAX(ROW(E$1:E1248)*(E1249=E$1:E1248))))))</f>
        <v/>
      </c>
      <c r="K1249" s="15" t="str">
        <f aca="false">IF(OR(E1249="",E1249="!!!",F1249="NEW"),"",INDEX(J$1:J1248,SUMPRODUCT(MAX(ROW(E$1:E1248)*(E1249=E$1:E1248)))))</f>
        <v/>
      </c>
      <c r="L1249" s="16"/>
    </row>
    <row r="1250" customFormat="false" ht="12.75" hidden="false" customHeight="false" outlineLevel="0" collapsed="false">
      <c r="A1250" s="9" t="s">
        <v>557</v>
      </c>
      <c r="E1250" s="10" t="str">
        <f aca="false">IF(D1250="?OLD","!!!","")</f>
        <v/>
      </c>
      <c r="F1250" s="11" t="str">
        <f aca="false">IF(OR(E1250="",E1250="!!!"),"",IF(NOT(ISNA(VLOOKUP(E1250,E$1:E1249,1,FALSE()))),"OLD",IF(AND(E1250&lt;&gt;"",E1250&lt;&gt;"!!!"),"NEW","")))</f>
        <v/>
      </c>
      <c r="G1250" s="12" t="str">
        <f aca="false">IF(OR(E1250="",E1250="!!!"),"",IF(OR(J1250=0,AND(J1250=1,K1250=1),AND(J1250=1,I1250="SBJ"),AND(J1250=1,I1250=0)),"?IN_FOCUS",IF(J1250&lt;=2,"?ACTIVATED",IF(J1250&lt;&gt;"","?FAMILIAR",IF(F1250="NEW",IF(ISNA(VLOOKUP(E1250,#REF!,1,FALSE())),"?TYPE_IDENTIFIABLE","?REFERENTIAL"),"_")))))</f>
        <v/>
      </c>
      <c r="H1250" s="13" t="str">
        <f aca="false">IF(J1250&lt;&gt;1,"",IF(I1250="SBJ","CB","?"))</f>
        <v/>
      </c>
      <c r="I1250" s="14" t="str">
        <f aca="false">IF(OR(E1250="",E1250="!!!",F1250="NEW"),"",INDEX(B$2:B1249,-1+SUMPRODUCT(MAX(ROW(E$2:E1249)*(E1250=E$2:E1249)))))</f>
        <v/>
      </c>
      <c r="J1250" s="15" t="str">
        <f aca="true">IF(OR(E1250="",E1250="!!!",F1250="NEW"),"",COUNTBLANK(OFFSET(A$1,,,SUMPRODUCT(MAX(ROW(E$2:E1250)*(E1250=E$2:E1250)))))-COUNTBLANK(OFFSET(A$1,,,SUMPRODUCT(MAX(ROW(E$1:E1249)*(E1250=E$1:E1249))))))</f>
        <v/>
      </c>
      <c r="K1250" s="15" t="str">
        <f aca="false">IF(OR(E1250="",E1250="!!!",F1250="NEW"),"",INDEX(J$1:J1249,SUMPRODUCT(MAX(ROW(E$1:E1249)*(E1250=E$1:E1249)))))</f>
        <v/>
      </c>
      <c r="L1250" s="16"/>
    </row>
    <row r="1251" customFormat="false" ht="12.75" hidden="false" customHeight="false" outlineLevel="0" collapsed="false">
      <c r="A1251" s="9" t="s">
        <v>187</v>
      </c>
      <c r="B1251" s="0" t="s">
        <v>55</v>
      </c>
      <c r="C1251" s="0" t="s">
        <v>103</v>
      </c>
      <c r="D1251" s="0" t="s">
        <v>19</v>
      </c>
      <c r="E1251" s="10" t="s">
        <v>187</v>
      </c>
      <c r="F1251" s="11" t="str">
        <f aca="false">IF(OR(E1251="",E1251="!!!"),"",IF(NOT(ISNA(VLOOKUP(E1251,E$1:E1250,1,FALSE()))),"OLD",IF(AND(E1251&lt;&gt;"",E1251&lt;&gt;"!!!"),"NEW","")))</f>
        <v>OLD</v>
      </c>
      <c r="G1251" s="12" t="s">
        <v>52</v>
      </c>
      <c r="H1251" s="13" t="str">
        <f aca="false">IF(J1251&lt;&gt;1,"",IF(I1251="SBJ","CB","?"))</f>
        <v/>
      </c>
      <c r="I1251" s="14" t="str">
        <f aca="false">IF(OR(E1251="",E1251="!!!",F1251="NEW"),"",INDEX(B$2:B1250,-1+SUMPRODUCT(MAX(ROW(E$2:E1250)*(E1251=E$2:E1250)))))</f>
        <v>other_4</v>
      </c>
      <c r="J1251" s="15" t="n">
        <f aca="true">IF(OR(E1251="",E1251="!!!",F1251="NEW"),"",COUNTBLANK(OFFSET(A$1,,,SUMPRODUCT(MAX(ROW(E$2:E1251)*(E1251=E$2:E1251)))))-COUNTBLANK(OFFSET(A$1,,,SUMPRODUCT(MAX(ROW(E$1:E1250)*(E1251=E$1:E1250))))))</f>
        <v>6</v>
      </c>
      <c r="K1251" s="15" t="n">
        <f aca="false">IF(OR(E1251="",E1251="!!!",F1251="NEW"),"",INDEX(J$1:J1250,SUMPRODUCT(MAX(ROW(E$1:E1250)*(E1251=E$1:E1250)))))</f>
        <v>2</v>
      </c>
      <c r="L1251" s="16"/>
    </row>
    <row r="1252" customFormat="false" ht="12.75" hidden="false" customHeight="false" outlineLevel="0" collapsed="false">
      <c r="A1252" s="9" t="s">
        <v>28</v>
      </c>
      <c r="E1252" s="10" t="str">
        <f aca="false">IF(#REF!="?OLD","!!!","")</f>
        <v/>
      </c>
      <c r="F1252" s="11" t="str">
        <f aca="false">IF(OR(E1252="",E1252="!!!"),"",IF(NOT(ISNA(VLOOKUP(E1252,E$1:E1251,1,FALSE()))),"OLD",IF(AND(E1252&lt;&gt;"",E1252&lt;&gt;"!!!"),"NEW","")))</f>
        <v/>
      </c>
      <c r="G1252" s="12" t="str">
        <f aca="false">IF(OR(E1252="",E1252="!!!"),"",IF(OR(J1252=0,AND(J1252=1,K1252=1),AND(J1252=1,I1252="SBJ"),AND(J1252=1,I1252=0)),"?IN_FOCUS",IF(J1252&lt;=2,"?ACTIVATED",IF(J1252&lt;&gt;"","?FAMILIAR",IF(F1252="NEW",IF(ISNA(VLOOKUP(E1252,#REF!,1,FALSE())),"?TYPE_IDENTIFIABLE","?REFERENTIAL"),"_")))))</f>
        <v/>
      </c>
      <c r="H1252" s="13" t="str">
        <f aca="false">IF(J1252&lt;&gt;1,"",IF(I1252="SBJ","CB","?"))</f>
        <v/>
      </c>
      <c r="I1252" s="14" t="str">
        <f aca="false">IF(OR(E1252="",E1252="!!!",F1252="NEW"),"",INDEX(B$2:B1251,-1+SUMPRODUCT(MAX(ROW(E$2:E1251)*(E1252=E$2:E1251)))))</f>
        <v/>
      </c>
      <c r="J1252" s="15" t="str">
        <f aca="true">IF(OR(E1252="",E1252="!!!",F1252="NEW"),"",COUNTBLANK(OFFSET(A$1,,,SUMPRODUCT(MAX(ROW(E$2:E1252)*(E1252=E$2:E1252)))))-COUNTBLANK(OFFSET(A$1,,,SUMPRODUCT(MAX(ROW(E$1:E1251)*(E1252=E$1:E1251))))))</f>
        <v/>
      </c>
      <c r="K1252" s="15" t="str">
        <f aca="false">IF(OR(E1252="",E1252="!!!",F1252="NEW"),"",INDEX(J$1:J1251,SUMPRODUCT(MAX(ROW(E$1:E1251)*(E1252=E$1:E1251)))))</f>
        <v/>
      </c>
      <c r="L1252" s="16"/>
    </row>
    <row r="1253" customFormat="false" ht="12.75" hidden="false" customHeight="false" outlineLevel="0" collapsed="false">
      <c r="A1253" s="9" t="s">
        <v>63</v>
      </c>
      <c r="E1253" s="10" t="str">
        <f aca="false">IF(#REF!="?OLD","!!!","")</f>
        <v/>
      </c>
      <c r="F1253" s="11" t="str">
        <f aca="false">IF(OR(E1253="",E1253="!!!"),"",IF(NOT(ISNA(VLOOKUP(E1253,E$1:E1252,1,FALSE()))),"OLD",IF(AND(E1253&lt;&gt;"",E1253&lt;&gt;"!!!"),"NEW","")))</f>
        <v/>
      </c>
      <c r="G1253" s="12" t="str">
        <f aca="false">IF(OR(E1253="",E1253="!!!"),"",IF(OR(J1253=0,AND(J1253=1,K1253=1),AND(J1253=1,I1253="SBJ"),AND(J1253=1,I1253=0)),"?IN_FOCUS",IF(J1253&lt;=2,"?ACTIVATED",IF(J1253&lt;&gt;"","?FAMILIAR",IF(F1253="NEW",IF(ISNA(VLOOKUP(E1253,#REF!,1,FALSE())),"?TYPE_IDENTIFIABLE","?REFERENTIAL"),"_")))))</f>
        <v/>
      </c>
      <c r="H1253" s="13" t="str">
        <f aca="false">IF(J1253&lt;&gt;1,"",IF(I1253="SBJ","CB","?"))</f>
        <v/>
      </c>
      <c r="I1253" s="14" t="str">
        <f aca="false">IF(OR(E1253="",E1253="!!!",F1253="NEW"),"",INDEX(B$2:B1252,-1+SUMPRODUCT(MAX(ROW(E$2:E1252)*(E1253=E$2:E1252)))))</f>
        <v/>
      </c>
      <c r="J1253" s="15" t="str">
        <f aca="true">IF(OR(E1253="",E1253="!!!",F1253="NEW"),"",COUNTBLANK(OFFSET(A$1,,,SUMPRODUCT(MAX(ROW(E$2:E1253)*(E1253=E$2:E1253)))))-COUNTBLANK(OFFSET(A$1,,,SUMPRODUCT(MAX(ROW(E$1:E1252)*(E1253=E$1:E1252))))))</f>
        <v/>
      </c>
      <c r="K1253" s="15" t="str">
        <f aca="false">IF(OR(E1253="",E1253="!!!",F1253="NEW"),"",INDEX(J$1:J1252,SUMPRODUCT(MAX(ROW(E$1:E1252)*(E1253=E$1:E1252)))))</f>
        <v/>
      </c>
      <c r="L1253" s="16"/>
    </row>
    <row r="1254" customFormat="false" ht="12.75" hidden="false" customHeight="false" outlineLevel="0" collapsed="false">
      <c r="A1254" s="9" t="s">
        <v>355</v>
      </c>
      <c r="E1254" s="10" t="str">
        <f aca="false">IF(#REF!="?OLD","!!!","")</f>
        <v/>
      </c>
      <c r="F1254" s="11" t="str">
        <f aca="false">IF(OR(E1254="",E1254="!!!"),"",IF(NOT(ISNA(VLOOKUP(E1254,E$1:E1253,1,FALSE()))),"OLD",IF(AND(E1254&lt;&gt;"",E1254&lt;&gt;"!!!"),"NEW","")))</f>
        <v/>
      </c>
      <c r="G1254" s="12" t="str">
        <f aca="false">IF(OR(E1254="",E1254="!!!"),"",IF(OR(J1254=0,AND(J1254=1,K1254=1),AND(J1254=1,I1254="SBJ"),AND(J1254=1,I1254=0)),"?IN_FOCUS",IF(J1254&lt;=2,"?ACTIVATED",IF(J1254&lt;&gt;"","?FAMILIAR",IF(F1254="NEW",IF(ISNA(VLOOKUP(E1254,#REF!,1,FALSE())),"?TYPE_IDENTIFIABLE","?REFERENTIAL"),"_")))))</f>
        <v/>
      </c>
      <c r="H1254" s="13" t="str">
        <f aca="false">IF(J1254&lt;&gt;1,"",IF(I1254="SBJ","CB","?"))</f>
        <v/>
      </c>
      <c r="I1254" s="14" t="str">
        <f aca="false">IF(OR(E1254="",E1254="!!!",F1254="NEW"),"",INDEX(B$2:B1253,-1+SUMPRODUCT(MAX(ROW(E$2:E1253)*(E1254=E$2:E1253)))))</f>
        <v/>
      </c>
      <c r="J1254" s="15" t="str">
        <f aca="true">IF(OR(E1254="",E1254="!!!",F1254="NEW"),"",COUNTBLANK(OFFSET(A$1,,,SUMPRODUCT(MAX(ROW(E$2:E1254)*(E1254=E$2:E1254)))))-COUNTBLANK(OFFSET(A$1,,,SUMPRODUCT(MAX(ROW(E$1:E1253)*(E1254=E$1:E1253))))))</f>
        <v/>
      </c>
      <c r="K1254" s="15" t="str">
        <f aca="false">IF(OR(E1254="",E1254="!!!",F1254="NEW"),"",INDEX(J$1:J1253,SUMPRODUCT(MAX(ROW(E$1:E1253)*(E1254=E$1:E1253)))))</f>
        <v/>
      </c>
      <c r="L1254" s="16"/>
    </row>
    <row r="1255" customFormat="false" ht="12.75" hidden="false" customHeight="false" outlineLevel="0" collapsed="false">
      <c r="A1255" s="9" t="s">
        <v>558</v>
      </c>
      <c r="B1255" s="0" t="s">
        <v>55</v>
      </c>
      <c r="C1255" s="0" t="s">
        <v>25</v>
      </c>
      <c r="E1255" s="10" t="str">
        <f aca="false">IF(#REF!="?OLD","!!!","")</f>
        <v/>
      </c>
      <c r="F1255" s="11" t="str">
        <f aca="false">IF(OR(E1255="",E1255="!!!"),"",IF(NOT(ISNA(VLOOKUP(E1255,E$1:E1254,1,FALSE()))),"OLD",IF(AND(E1255&lt;&gt;"",E1255&lt;&gt;"!!!"),"NEW","")))</f>
        <v/>
      </c>
      <c r="G1255" s="12" t="str">
        <f aca="false">IF(OR(E1255="",E1255="!!!"),"",IF(OR(J1255=0,AND(J1255=1,K1255=1),AND(J1255=1,I1255="SBJ"),AND(J1255=1,I1255=0)),"?IN_FOCUS",IF(J1255&lt;=2,"?ACTIVATED",IF(J1255&lt;&gt;"","?FAMILIAR",IF(F1255="NEW",IF(ISNA(VLOOKUP(E1255,#REF!,1,FALSE())),"?TYPE_IDENTIFIABLE","?REFERENTIAL"),"_")))))</f>
        <v/>
      </c>
      <c r="H1255" s="13" t="str">
        <f aca="false">IF(J1255&lt;&gt;1,"",IF(I1255="SBJ","CB","?"))</f>
        <v/>
      </c>
      <c r="I1255" s="14" t="str">
        <f aca="false">IF(OR(E1255="",E1255="!!!",F1255="NEW"),"",INDEX(B$2:B1254,-1+SUMPRODUCT(MAX(ROW(E$2:E1254)*(E1255=E$2:E1254)))))</f>
        <v/>
      </c>
      <c r="J1255" s="15" t="str">
        <f aca="true">IF(OR(E1255="",E1255="!!!",F1255="NEW"),"",COUNTBLANK(OFFSET(A$1,,,SUMPRODUCT(MAX(ROW(E$2:E1255)*(E1255=E$2:E1255)))))-COUNTBLANK(OFFSET(A$1,,,SUMPRODUCT(MAX(ROW(E$1:E1254)*(E1255=E$1:E1254))))))</f>
        <v/>
      </c>
      <c r="K1255" s="15" t="str">
        <f aca="false">IF(OR(E1255="",E1255="!!!",F1255="NEW"),"",INDEX(J$1:J1254,SUMPRODUCT(MAX(ROW(E$1:E1254)*(E1255=E$1:E1254)))))</f>
        <v/>
      </c>
      <c r="L1255" s="16"/>
    </row>
    <row r="1256" customFormat="false" ht="12.75" hidden="false" customHeight="false" outlineLevel="0" collapsed="false">
      <c r="A1256" s="9" t="s">
        <v>37</v>
      </c>
      <c r="E1256" s="10" t="str">
        <f aca="false">IF(#REF!="?OLD","!!!","")</f>
        <v/>
      </c>
      <c r="F1256" s="11" t="str">
        <f aca="false">IF(OR(E1256="",E1256="!!!"),"",IF(NOT(ISNA(VLOOKUP(E1256,E$1:E1255,1,FALSE()))),"OLD",IF(AND(E1256&lt;&gt;"",E1256&lt;&gt;"!!!"),"NEW","")))</f>
        <v/>
      </c>
      <c r="G1256" s="12" t="str">
        <f aca="false">IF(OR(E1256="",E1256="!!!"),"",IF(OR(J1256=0,AND(J1256=1,K1256=1),AND(J1256=1,I1256="SBJ"),AND(J1256=1,I1256=0)),"?IN_FOCUS",IF(J1256&lt;=2,"?ACTIVATED",IF(J1256&lt;&gt;"","?FAMILIAR",IF(F1256="NEW",IF(ISNA(VLOOKUP(E1256,#REF!,1,FALSE())),"?TYPE_IDENTIFIABLE","?REFERENTIAL"),"_")))))</f>
        <v/>
      </c>
      <c r="H1256" s="13" t="str">
        <f aca="false">IF(J1256&lt;&gt;1,"",IF(I1256="SBJ","CB","?"))</f>
        <v/>
      </c>
      <c r="I1256" s="14" t="str">
        <f aca="false">IF(OR(E1256="",E1256="!!!",F1256="NEW"),"",INDEX(B$2:B1255,-1+SUMPRODUCT(MAX(ROW(E$2:E1255)*(E1256=E$2:E1255)))))</f>
        <v/>
      </c>
      <c r="J1256" s="15" t="str">
        <f aca="true">IF(OR(E1256="",E1256="!!!",F1256="NEW"),"",COUNTBLANK(OFFSET(A$1,,,SUMPRODUCT(MAX(ROW(E$2:E1256)*(E1256=E$2:E1256)))))-COUNTBLANK(OFFSET(A$1,,,SUMPRODUCT(MAX(ROW(E$1:E1255)*(E1256=E$1:E1255))))))</f>
        <v/>
      </c>
      <c r="K1256" s="15" t="str">
        <f aca="false">IF(OR(E1256="",E1256="!!!",F1256="NEW"),"",INDEX(J$1:J1255,SUMPRODUCT(MAX(ROW(E$1:E1255)*(E1256=E$1:E1255)))))</f>
        <v/>
      </c>
      <c r="L1256" s="16"/>
    </row>
    <row r="1257" customFormat="false" ht="12.75" hidden="false" customHeight="false" outlineLevel="0" collapsed="false">
      <c r="A1257" s="9" t="s">
        <v>36</v>
      </c>
      <c r="E1257" s="10" t="str">
        <f aca="false">IF(#REF!="?OLD","!!!","")</f>
        <v/>
      </c>
      <c r="F1257" s="11" t="str">
        <f aca="false">IF(OR(E1257="",E1257="!!!"),"",IF(NOT(ISNA(VLOOKUP(E1257,E$1:E1256,1,FALSE()))),"OLD",IF(AND(E1257&lt;&gt;"",E1257&lt;&gt;"!!!"),"NEW","")))</f>
        <v/>
      </c>
      <c r="G1257" s="12" t="str">
        <f aca="false">IF(OR(E1257="",E1257="!!!"),"",IF(OR(J1257=0,AND(J1257=1,K1257=1),AND(J1257=1,I1257="SBJ"),AND(J1257=1,I1257=0)),"?IN_FOCUS",IF(J1257&lt;=2,"?ACTIVATED",IF(J1257&lt;&gt;"","?FAMILIAR",IF(F1257="NEW",IF(ISNA(VLOOKUP(E1257,#REF!,1,FALSE())),"?TYPE_IDENTIFIABLE","?REFERENTIAL"),"_")))))</f>
        <v/>
      </c>
      <c r="H1257" s="13" t="str">
        <f aca="false">IF(J1257&lt;&gt;1,"",IF(I1257="SBJ","CB","?"))</f>
        <v/>
      </c>
      <c r="I1257" s="14" t="str">
        <f aca="false">IF(OR(E1257="",E1257="!!!",F1257="NEW"),"",INDEX(B$2:B1256,-1+SUMPRODUCT(MAX(ROW(E$2:E1256)*(E1257=E$2:E1256)))))</f>
        <v/>
      </c>
      <c r="J1257" s="15" t="str">
        <f aca="true">IF(OR(E1257="",E1257="!!!",F1257="NEW"),"",COUNTBLANK(OFFSET(A$1,,,SUMPRODUCT(MAX(ROW(E$2:E1257)*(E1257=E$2:E1257)))))-COUNTBLANK(OFFSET(A$1,,,SUMPRODUCT(MAX(ROW(E$1:E1256)*(E1257=E$1:E1256))))))</f>
        <v/>
      </c>
      <c r="K1257" s="15" t="str">
        <f aca="false">IF(OR(E1257="",E1257="!!!",F1257="NEW"),"",INDEX(J$1:J1256,SUMPRODUCT(MAX(ROW(E$1:E1256)*(E1257=E$1:E1256)))))</f>
        <v/>
      </c>
      <c r="L1257" s="16"/>
    </row>
    <row r="1258" customFormat="false" ht="12.75" hidden="false" customHeight="false" outlineLevel="0" collapsed="false">
      <c r="A1258" s="9" t="s">
        <v>15</v>
      </c>
      <c r="E1258" s="10" t="str">
        <f aca="false">IF(#REF!="?OLD","!!!","")</f>
        <v/>
      </c>
      <c r="F1258" s="11" t="str">
        <f aca="false">IF(OR(E1258="",E1258="!!!"),"",IF(NOT(ISNA(VLOOKUP(E1258,E$1:E1257,1,FALSE()))),"OLD",IF(AND(E1258&lt;&gt;"",E1258&lt;&gt;"!!!"),"NEW","")))</f>
        <v/>
      </c>
      <c r="G1258" s="12" t="str">
        <f aca="false">IF(OR(E1258="",E1258="!!!"),"",IF(OR(J1258=0,AND(J1258=1,K1258=1),AND(J1258=1,I1258="SBJ"),AND(J1258=1,I1258=0)),"?IN_FOCUS",IF(J1258&lt;=2,"?ACTIVATED",IF(J1258&lt;&gt;"","?FAMILIAR",IF(F1258="NEW",IF(ISNA(VLOOKUP(E1258,#REF!,1,FALSE())),"?TYPE_IDENTIFIABLE","?REFERENTIAL"),"_")))))</f>
        <v/>
      </c>
      <c r="H1258" s="13" t="str">
        <f aca="false">IF(J1258&lt;&gt;1,"",IF(I1258="SBJ","CB","?"))</f>
        <v/>
      </c>
      <c r="I1258" s="14" t="str">
        <f aca="false">IF(OR(E1258="",E1258="!!!",F1258="NEW"),"",INDEX(B$2:B1257,-1+SUMPRODUCT(MAX(ROW(E$2:E1257)*(E1258=E$2:E1257)))))</f>
        <v/>
      </c>
      <c r="J1258" s="15" t="str">
        <f aca="true">IF(OR(E1258="",E1258="!!!",F1258="NEW"),"",COUNTBLANK(OFFSET(A$1,,,SUMPRODUCT(MAX(ROW(E$2:E1258)*(E1258=E$2:E1258)))))-COUNTBLANK(OFFSET(A$1,,,SUMPRODUCT(MAX(ROW(E$1:E1257)*(E1258=E$1:E1257))))))</f>
        <v/>
      </c>
      <c r="K1258" s="15" t="str">
        <f aca="false">IF(OR(E1258="",E1258="!!!",F1258="NEW"),"",INDEX(J$1:J1257,SUMPRODUCT(MAX(ROW(E$1:E1257)*(E1258=E$1:E1257)))))</f>
        <v/>
      </c>
      <c r="L1258" s="16"/>
    </row>
    <row r="1259" customFormat="false" ht="12.75" hidden="false" customHeight="false" outlineLevel="0" collapsed="false">
      <c r="A1259" s="9" t="s">
        <v>161</v>
      </c>
      <c r="B1259" s="0" t="s">
        <v>24</v>
      </c>
      <c r="C1259" s="0" t="s">
        <v>18</v>
      </c>
      <c r="D1259" s="0" t="s">
        <v>19</v>
      </c>
      <c r="E1259" s="10" t="s">
        <v>559</v>
      </c>
      <c r="F1259" s="11" t="str">
        <f aca="false">IF(OR(E1259="",E1259="!!!"),"",IF(NOT(ISNA(VLOOKUP(E1259,E$1:E1258,1,FALSE()))),"OLD",IF(AND(E1259&lt;&gt;"",E1259&lt;&gt;"!!!"),"NEW","")))</f>
        <v>NEW</v>
      </c>
      <c r="G1259" s="12" t="s">
        <v>21</v>
      </c>
      <c r="H1259" s="13" t="str">
        <f aca="false">IF(J1259&lt;&gt;1,"",IF(I1259="SBJ","CB","?"))</f>
        <v/>
      </c>
      <c r="I1259" s="14" t="str">
        <f aca="false">IF(OR(E1259="",E1259="!!!",F1259="NEW"),"",INDEX(B$2:B1258,-1+SUMPRODUCT(MAX(ROW(E$2:E1258)*(E1259=E$2:E1258)))))</f>
        <v/>
      </c>
      <c r="J1259" s="15" t="str">
        <f aca="true">IF(OR(E1259="",E1259="!!!",F1259="NEW"),"",COUNTBLANK(OFFSET(A$1,,,SUMPRODUCT(MAX(ROW(E$2:E1259)*(E1259=E$2:E1259)))))-COUNTBLANK(OFFSET(A$1,,,SUMPRODUCT(MAX(ROW(E$1:E1258)*(E1259=E$1:E1258))))))</f>
        <v/>
      </c>
      <c r="K1259" s="15" t="str">
        <f aca="false">IF(OR(E1259="",E1259="!!!",F1259="NEW"),"",INDEX(J$1:J1258,SUMPRODUCT(MAX(ROW(E$1:E1258)*(E1259=E$1:E1258)))))</f>
        <v/>
      </c>
      <c r="L1259" s="16"/>
    </row>
    <row r="1260" customFormat="false" ht="12.75" hidden="false" customHeight="false" outlineLevel="0" collapsed="false">
      <c r="A1260" s="9" t="s">
        <v>44</v>
      </c>
      <c r="E1260" s="10" t="str">
        <f aca="false">IF(#REF!="?OLD","!!!","")</f>
        <v/>
      </c>
      <c r="F1260" s="11" t="str">
        <f aca="false">IF(OR(E1260="",E1260="!!!"),"",IF(NOT(ISNA(VLOOKUP(E1260,E$1:E1259,1,FALSE()))),"OLD",IF(AND(E1260&lt;&gt;"",E1260&lt;&gt;"!!!"),"NEW","")))</f>
        <v/>
      </c>
      <c r="G1260" s="12" t="str">
        <f aca="false">IF(OR(E1260="",E1260="!!!"),"",IF(OR(J1260=0,AND(J1260=1,K1260=1),AND(J1260=1,I1260="SBJ"),AND(J1260=1,I1260=0)),"?IN_FOCUS",IF(J1260&lt;=2,"?ACTIVATED",IF(J1260&lt;&gt;"","?FAMILIAR",IF(F1260="NEW",IF(ISNA(VLOOKUP(E1260,#REF!,1,FALSE())),"?TYPE_IDENTIFIABLE","?REFERENTIAL"),"_")))))</f>
        <v/>
      </c>
      <c r="H1260" s="13" t="str">
        <f aca="false">IF(J1260&lt;&gt;1,"",IF(I1260="SBJ","CB","?"))</f>
        <v/>
      </c>
      <c r="I1260" s="14" t="str">
        <f aca="false">IF(OR(E1260="",E1260="!!!",F1260="NEW"),"",INDEX(B$2:B1259,-1+SUMPRODUCT(MAX(ROW(E$2:E1259)*(E1260=E$2:E1259)))))</f>
        <v/>
      </c>
      <c r="J1260" s="15" t="str">
        <f aca="true">IF(OR(E1260="",E1260="!!!",F1260="NEW"),"",COUNTBLANK(OFFSET(A$1,,,SUMPRODUCT(MAX(ROW(E$2:E1260)*(E1260=E$2:E1260)))))-COUNTBLANK(OFFSET(A$1,,,SUMPRODUCT(MAX(ROW(E$1:E1259)*(E1260=E$1:E1259))))))</f>
        <v/>
      </c>
      <c r="K1260" s="15" t="str">
        <f aca="false">IF(OR(E1260="",E1260="!!!",F1260="NEW"),"",INDEX(J$1:J1259,SUMPRODUCT(MAX(ROW(E$1:E1259)*(E1260=E$1:E1259)))))</f>
        <v/>
      </c>
      <c r="L1260" s="16"/>
    </row>
    <row r="1261" customFormat="false" ht="12.75" hidden="false" customHeight="false" outlineLevel="0" collapsed="false">
      <c r="E1261" s="10" t="str">
        <f aca="false">IF(#REF!="?OLD","!!!","")</f>
        <v/>
      </c>
      <c r="F1261" s="11" t="str">
        <f aca="false">IF(OR(E1261="",E1261="!!!"),"",IF(NOT(ISNA(VLOOKUP(E1261,E$1:E1260,1,FALSE()))),"OLD",IF(AND(E1261&lt;&gt;"",E1261&lt;&gt;"!!!"),"NEW","")))</f>
        <v/>
      </c>
      <c r="G1261" s="12" t="str">
        <f aca="false">IF(OR(E1261="",E1261="!!!"),"",IF(OR(J1261=0,AND(J1261=1,K1261=1),AND(J1261=1,I1261="SBJ"),AND(J1261=1,I1261=0)),"?IN_FOCUS",IF(J1261&lt;=2,"?ACTIVATED",IF(J1261&lt;&gt;"","?FAMILIAR",IF(F1261="NEW",IF(ISNA(VLOOKUP(E1261,#REF!,1,FALSE())),"?TYPE_IDENTIFIABLE","?REFERENTIAL"),"_")))))</f>
        <v/>
      </c>
      <c r="H1261" s="13" t="str">
        <f aca="false">IF(J1261&lt;&gt;1,"",IF(I1261="SBJ","CB","?"))</f>
        <v/>
      </c>
      <c r="I1261" s="14" t="str">
        <f aca="false">IF(OR(E1261="",E1261="!!!",F1261="NEW"),"",INDEX(B$2:B1260,-1+SUMPRODUCT(MAX(ROW(E$2:E1260)*(E1261=E$2:E1260)))))</f>
        <v/>
      </c>
      <c r="J1261" s="15" t="str">
        <f aca="true">IF(OR(E1261="",E1261="!!!",F1261="NEW"),"",COUNTBLANK(OFFSET(A$1,,,SUMPRODUCT(MAX(ROW(E$2:E1261)*(E1261=E$2:E1261)))))-COUNTBLANK(OFFSET(A$1,,,SUMPRODUCT(MAX(ROW(E$1:E1260)*(E1261=E$1:E1260))))))</f>
        <v/>
      </c>
      <c r="K1261" s="15" t="str">
        <f aca="false">IF(OR(E1261="",E1261="!!!",F1261="NEW"),"",INDEX(J$1:J1260,SUMPRODUCT(MAX(ROW(E$1:E1260)*(E1261=E$1:E1260)))))</f>
        <v/>
      </c>
      <c r="L1261" s="16"/>
    </row>
    <row r="1262" customFormat="false" ht="12.75" hidden="false" customHeight="false" outlineLevel="0" collapsed="false">
      <c r="A1262" s="9" t="s">
        <v>560</v>
      </c>
      <c r="E1262" s="10" t="str">
        <f aca="false">IF(#REF!="?OLD","!!!","")</f>
        <v/>
      </c>
      <c r="F1262" s="11" t="str">
        <f aca="false">IF(OR(E1262="",E1262="!!!"),"",IF(NOT(ISNA(VLOOKUP(E1262,E$1:E1261,1,FALSE()))),"OLD",IF(AND(E1262&lt;&gt;"",E1262&lt;&gt;"!!!"),"NEW","")))</f>
        <v/>
      </c>
      <c r="G1262" s="12" t="str">
        <f aca="false">IF(OR(E1262="",E1262="!!!"),"",IF(OR(J1262=0,AND(J1262=1,K1262=1),AND(J1262=1,I1262="SBJ"),AND(J1262=1,I1262=0)),"?IN_FOCUS",IF(J1262&lt;=2,"?ACTIVATED",IF(J1262&lt;&gt;"","?FAMILIAR",IF(F1262="NEW",IF(ISNA(VLOOKUP(E1262,#REF!,1,FALSE())),"?TYPE_IDENTIFIABLE","?REFERENTIAL"),"_")))))</f>
        <v/>
      </c>
      <c r="H1262" s="13" t="str">
        <f aca="false">IF(J1262&lt;&gt;1,"",IF(I1262="SBJ","CB","?"))</f>
        <v/>
      </c>
      <c r="I1262" s="14" t="str">
        <f aca="false">IF(OR(E1262="",E1262="!!!",F1262="NEW"),"",INDEX(B$2:B1261,-1+SUMPRODUCT(MAX(ROW(E$2:E1261)*(E1262=E$2:E1261)))))</f>
        <v/>
      </c>
      <c r="J1262" s="15" t="str">
        <f aca="true">IF(OR(E1262="",E1262="!!!",F1262="NEW"),"",COUNTBLANK(OFFSET(A$1,,,SUMPRODUCT(MAX(ROW(E$2:E1262)*(E1262=E$2:E1262)))))-COUNTBLANK(OFFSET(A$1,,,SUMPRODUCT(MAX(ROW(E$1:E1261)*(E1262=E$1:E1261))))))</f>
        <v/>
      </c>
      <c r="K1262" s="15" t="str">
        <f aca="false">IF(OR(E1262="",E1262="!!!",F1262="NEW"),"",INDEX(J$1:J1261,SUMPRODUCT(MAX(ROW(E$1:E1261)*(E1262=E$1:E1261)))))</f>
        <v/>
      </c>
      <c r="L1262" s="16"/>
    </row>
    <row r="1263" customFormat="false" ht="12.75" hidden="false" customHeight="false" outlineLevel="0" collapsed="false">
      <c r="A1263" s="9" t="s">
        <v>302</v>
      </c>
      <c r="E1263" s="10" t="str">
        <f aca="false">IF(#REF!="?OLD","!!!","")</f>
        <v/>
      </c>
      <c r="F1263" s="11" t="str">
        <f aca="false">IF(OR(E1263="",E1263="!!!"),"",IF(NOT(ISNA(VLOOKUP(E1263,E$1:E1262,1,FALSE()))),"OLD",IF(AND(E1263&lt;&gt;"",E1263&lt;&gt;"!!!"),"NEW","")))</f>
        <v/>
      </c>
      <c r="G1263" s="12" t="str">
        <f aca="false">IF(OR(E1263="",E1263="!!!"),"",IF(OR(J1263=0,AND(J1263=1,K1263=1),AND(J1263=1,I1263="SBJ"),AND(J1263=1,I1263=0)),"?IN_FOCUS",IF(J1263&lt;=2,"?ACTIVATED",IF(J1263&lt;&gt;"","?FAMILIAR",IF(F1263="NEW",IF(ISNA(VLOOKUP(E1263,#REF!,1,FALSE())),"?TYPE_IDENTIFIABLE","?REFERENTIAL"),"_")))))</f>
        <v/>
      </c>
      <c r="H1263" s="13" t="str">
        <f aca="false">IF(J1263&lt;&gt;1,"",IF(I1263="SBJ","CB","?"))</f>
        <v/>
      </c>
      <c r="I1263" s="14" t="str">
        <f aca="false">IF(OR(E1263="",E1263="!!!",F1263="NEW"),"",INDEX(B$2:B1262,-1+SUMPRODUCT(MAX(ROW(E$2:E1262)*(E1263=E$2:E1262)))))</f>
        <v/>
      </c>
      <c r="J1263" s="15" t="str">
        <f aca="true">IF(OR(E1263="",E1263="!!!",F1263="NEW"),"",COUNTBLANK(OFFSET(A$1,,,SUMPRODUCT(MAX(ROW(E$2:E1263)*(E1263=E$2:E1263)))))-COUNTBLANK(OFFSET(A$1,,,SUMPRODUCT(MAX(ROW(E$1:E1262)*(E1263=E$1:E1262))))))</f>
        <v/>
      </c>
      <c r="K1263" s="15" t="str">
        <f aca="false">IF(OR(E1263="",E1263="!!!",F1263="NEW"),"",INDEX(J$1:J1262,SUMPRODUCT(MAX(ROW(E$1:E1262)*(E1263=E$1:E1262)))))</f>
        <v/>
      </c>
      <c r="L1263" s="16"/>
    </row>
    <row r="1264" customFormat="false" ht="12.75" hidden="false" customHeight="false" outlineLevel="0" collapsed="false">
      <c r="A1264" s="9" t="s">
        <v>314</v>
      </c>
      <c r="B1264" s="0" t="s">
        <v>30</v>
      </c>
      <c r="C1264" s="0" t="s">
        <v>103</v>
      </c>
      <c r="D1264" s="0" t="s">
        <v>19</v>
      </c>
      <c r="E1264" s="10" t="s">
        <v>187</v>
      </c>
      <c r="F1264" s="11" t="str">
        <f aca="false">IF(OR(E1264="",E1264="!!!"),"",IF(NOT(ISNA(VLOOKUP(E1264,E$1:E1263,1,FALSE()))),"OLD",IF(AND(E1264&lt;&gt;"",E1264&lt;&gt;"!!!"),"NEW","")))</f>
        <v>OLD</v>
      </c>
      <c r="G1264" s="12" t="s">
        <v>33</v>
      </c>
      <c r="H1264" s="13" t="s">
        <v>7</v>
      </c>
      <c r="I1264" s="14" t="str">
        <f aca="false">IF(OR(E1264="",E1264="!!!",F1264="NEW"),"",INDEX(B$2:B1263,-1+SUMPRODUCT(MAX(ROW(E$2:E1263)*(E1264=E$2:E1263)))))</f>
        <v>OBJ_2</v>
      </c>
      <c r="J1264" s="15" t="n">
        <f aca="true">IF(OR(E1264="",E1264="!!!",F1264="NEW"),"",COUNTBLANK(OFFSET(A$1,,,SUMPRODUCT(MAX(ROW(E$2:E1264)*(E1264=E$2:E1264)))))-COUNTBLANK(OFFSET(A$1,,,SUMPRODUCT(MAX(ROW(E$1:E1263)*(E1264=E$1:E1263))))))</f>
        <v>1</v>
      </c>
      <c r="K1264" s="15" t="n">
        <f aca="false">IF(OR(E1264="",E1264="!!!",F1264="NEW"),"",INDEX(J$1:J1263,SUMPRODUCT(MAX(ROW(E$1:E1263)*(E1264=E$1:E1263)))))</f>
        <v>6</v>
      </c>
      <c r="L1264" s="16"/>
    </row>
    <row r="1265" customFormat="false" ht="12.75" hidden="false" customHeight="false" outlineLevel="0" collapsed="false">
      <c r="A1265" s="9" t="s">
        <v>518</v>
      </c>
      <c r="E1265" s="10" t="str">
        <f aca="false">IF(#REF!="?OLD","!!!","")</f>
        <v/>
      </c>
      <c r="F1265" s="11" t="str">
        <f aca="false">IF(OR(E1265="",E1265="!!!"),"",IF(NOT(ISNA(VLOOKUP(E1265,E$1:E1264,1,FALSE()))),"OLD",IF(AND(E1265&lt;&gt;"",E1265&lt;&gt;"!!!"),"NEW","")))</f>
        <v/>
      </c>
      <c r="G1265" s="12" t="str">
        <f aca="false">IF(OR(E1265="",E1265="!!!"),"",IF(OR(J1265=0,AND(J1265=1,K1265=1),AND(J1265=1,I1265="SBJ"),AND(J1265=1,I1265=0)),"?IN_FOCUS",IF(J1265&lt;=2,"?ACTIVATED",IF(J1265&lt;&gt;"","?FAMILIAR",IF(F1265="NEW",IF(ISNA(VLOOKUP(E1265,#REF!,1,FALSE())),"?TYPE_IDENTIFIABLE","?REFERENTIAL"),"_")))))</f>
        <v/>
      </c>
      <c r="H1265" s="13" t="str">
        <f aca="false">IF(J1265&lt;&gt;1,"",IF(I1265="SBJ","CB","?"))</f>
        <v/>
      </c>
      <c r="I1265" s="14" t="str">
        <f aca="false">IF(OR(E1265="",E1265="!!!",F1265="NEW"),"",INDEX(B$2:B1264,-1+SUMPRODUCT(MAX(ROW(E$2:E1264)*(E1265=E$2:E1264)))))</f>
        <v/>
      </c>
      <c r="J1265" s="15" t="str">
        <f aca="true">IF(OR(E1265="",E1265="!!!",F1265="NEW"),"",COUNTBLANK(OFFSET(A$1,,,SUMPRODUCT(MAX(ROW(E$2:E1265)*(E1265=E$2:E1265)))))-COUNTBLANK(OFFSET(A$1,,,SUMPRODUCT(MAX(ROW(E$1:E1264)*(E1265=E$1:E1264))))))</f>
        <v/>
      </c>
      <c r="K1265" s="15" t="str">
        <f aca="false">IF(OR(E1265="",E1265="!!!",F1265="NEW"),"",INDEX(J$1:J1264,SUMPRODUCT(MAX(ROW(E$1:E1264)*(E1265=E$1:E1264)))))</f>
        <v/>
      </c>
      <c r="L1265" s="16"/>
    </row>
    <row r="1266" customFormat="false" ht="12.75" hidden="false" customHeight="false" outlineLevel="0" collapsed="false">
      <c r="A1266" s="9" t="s">
        <v>78</v>
      </c>
      <c r="E1266" s="10" t="str">
        <f aca="false">IF(#REF!="?OLD","!!!","")</f>
        <v/>
      </c>
      <c r="F1266" s="11" t="str">
        <f aca="false">IF(OR(E1266="",E1266="!!!"),"",IF(NOT(ISNA(VLOOKUP(E1266,E$1:E1265,1,FALSE()))),"OLD",IF(AND(E1266&lt;&gt;"",E1266&lt;&gt;"!!!"),"NEW","")))</f>
        <v/>
      </c>
      <c r="G1266" s="12" t="str">
        <f aca="false">IF(OR(E1266="",E1266="!!!"),"",IF(OR(J1266=0,AND(J1266=1,K1266=1),AND(J1266=1,I1266="SBJ"),AND(J1266=1,I1266=0)),"?IN_FOCUS",IF(J1266&lt;=2,"?ACTIVATED",IF(J1266&lt;&gt;"","?FAMILIAR",IF(F1266="NEW",IF(ISNA(VLOOKUP(E1266,#REF!,1,FALSE())),"?TYPE_IDENTIFIABLE","?REFERENTIAL"),"_")))))</f>
        <v/>
      </c>
      <c r="H1266" s="13" t="str">
        <f aca="false">IF(J1266&lt;&gt;1,"",IF(I1266="SBJ","CB","?"))</f>
        <v/>
      </c>
      <c r="I1266" s="14" t="str">
        <f aca="false">IF(OR(E1266="",E1266="!!!",F1266="NEW"),"",INDEX(B$2:B1265,-1+SUMPRODUCT(MAX(ROW(E$2:E1265)*(E1266=E$2:E1265)))))</f>
        <v/>
      </c>
      <c r="J1266" s="15" t="str">
        <f aca="true">IF(OR(E1266="",E1266="!!!",F1266="NEW"),"",COUNTBLANK(OFFSET(A$1,,,SUMPRODUCT(MAX(ROW(E$2:E1266)*(E1266=E$2:E1266)))))-COUNTBLANK(OFFSET(A$1,,,SUMPRODUCT(MAX(ROW(E$1:E1265)*(E1266=E$1:E1265))))))</f>
        <v/>
      </c>
      <c r="K1266" s="15" t="str">
        <f aca="false">IF(OR(E1266="",E1266="!!!",F1266="NEW"),"",INDEX(J$1:J1265,SUMPRODUCT(MAX(ROW(E$1:E1265)*(E1266=E$1:E1265)))))</f>
        <v/>
      </c>
      <c r="L1266" s="16"/>
    </row>
    <row r="1267" customFormat="false" ht="12.75" hidden="false" customHeight="false" outlineLevel="0" collapsed="false">
      <c r="A1267" s="9" t="s">
        <v>15</v>
      </c>
      <c r="E1267" s="10" t="str">
        <f aca="false">IF(#REF!="?OLD","!!!","")</f>
        <v/>
      </c>
      <c r="F1267" s="11" t="str">
        <f aca="false">IF(OR(E1267="",E1267="!!!"),"",IF(NOT(ISNA(VLOOKUP(E1267,E$1:E1266,1,FALSE()))),"OLD",IF(AND(E1267&lt;&gt;"",E1267&lt;&gt;"!!!"),"NEW","")))</f>
        <v/>
      </c>
      <c r="G1267" s="12" t="str">
        <f aca="false">IF(OR(E1267="",E1267="!!!"),"",IF(OR(J1267=0,AND(J1267=1,K1267=1),AND(J1267=1,I1267="SBJ"),AND(J1267=1,I1267=0)),"?IN_FOCUS",IF(J1267&lt;=2,"?ACTIVATED",IF(J1267&lt;&gt;"","?FAMILIAR",IF(F1267="NEW",IF(ISNA(VLOOKUP(E1267,#REF!,1,FALSE())),"?TYPE_IDENTIFIABLE","?REFERENTIAL"),"_")))))</f>
        <v/>
      </c>
      <c r="H1267" s="13" t="str">
        <f aca="false">IF(J1267&lt;&gt;1,"",IF(I1267="SBJ","CB","?"))</f>
        <v/>
      </c>
      <c r="I1267" s="14" t="str">
        <f aca="false">IF(OR(E1267="",E1267="!!!",F1267="NEW"),"",INDEX(B$2:B1266,-1+SUMPRODUCT(MAX(ROW(E$2:E1266)*(E1267=E$2:E1266)))))</f>
        <v/>
      </c>
      <c r="J1267" s="15" t="str">
        <f aca="true">IF(OR(E1267="",E1267="!!!",F1267="NEW"),"",COUNTBLANK(OFFSET(A$1,,,SUMPRODUCT(MAX(ROW(E$2:E1267)*(E1267=E$2:E1267)))))-COUNTBLANK(OFFSET(A$1,,,SUMPRODUCT(MAX(ROW(E$1:E1266)*(E1267=E$1:E1266))))))</f>
        <v/>
      </c>
      <c r="K1267" s="15" t="str">
        <f aca="false">IF(OR(E1267="",E1267="!!!",F1267="NEW"),"",INDEX(J$1:J1266,SUMPRODUCT(MAX(ROW(E$1:E1266)*(E1267=E$1:E1266)))))</f>
        <v/>
      </c>
      <c r="L1267" s="16"/>
    </row>
    <row r="1268" customFormat="false" ht="12.75" hidden="false" customHeight="false" outlineLevel="0" collapsed="false">
      <c r="A1268" s="9" t="s">
        <v>561</v>
      </c>
      <c r="E1268" s="10" t="str">
        <f aca="false">IF(#REF!="?OLD","!!!","")</f>
        <v/>
      </c>
      <c r="F1268" s="11" t="str">
        <f aca="false">IF(OR(E1268="",E1268="!!!"),"",IF(NOT(ISNA(VLOOKUP(E1268,E$1:E1267,1,FALSE()))),"OLD",IF(AND(E1268&lt;&gt;"",E1268&lt;&gt;"!!!"),"NEW","")))</f>
        <v/>
      </c>
      <c r="G1268" s="12" t="str">
        <f aca="false">IF(OR(E1268="",E1268="!!!"),"",IF(OR(J1268=0,AND(J1268=1,K1268=1),AND(J1268=1,I1268="SBJ"),AND(J1268=1,I1268=0)),"?IN_FOCUS",IF(J1268&lt;=2,"?ACTIVATED",IF(J1268&lt;&gt;"","?FAMILIAR",IF(F1268="NEW",IF(ISNA(VLOOKUP(E1268,#REF!,1,FALSE())),"?TYPE_IDENTIFIABLE","?REFERENTIAL"),"_")))))</f>
        <v/>
      </c>
      <c r="H1268" s="13" t="str">
        <f aca="false">IF(J1268&lt;&gt;1,"",IF(I1268="SBJ","CB","?"))</f>
        <v/>
      </c>
      <c r="I1268" s="14" t="str">
        <f aca="false">IF(OR(E1268="",E1268="!!!",F1268="NEW"),"",INDEX(B$2:B1267,-1+SUMPRODUCT(MAX(ROW(E$2:E1267)*(E1268=E$2:E1267)))))</f>
        <v/>
      </c>
      <c r="J1268" s="15" t="str">
        <f aca="true">IF(OR(E1268="",E1268="!!!",F1268="NEW"),"",COUNTBLANK(OFFSET(A$1,,,SUMPRODUCT(MAX(ROW(E$2:E1268)*(E1268=E$2:E1268)))))-COUNTBLANK(OFFSET(A$1,,,SUMPRODUCT(MAX(ROW(E$1:E1267)*(E1268=E$1:E1267))))))</f>
        <v/>
      </c>
      <c r="K1268" s="15" t="str">
        <f aca="false">IF(OR(E1268="",E1268="!!!",F1268="NEW"),"",INDEX(J$1:J1267,SUMPRODUCT(MAX(ROW(E$1:E1267)*(E1268=E$1:E1267)))))</f>
        <v/>
      </c>
      <c r="L1268" s="16"/>
    </row>
    <row r="1269" customFormat="false" ht="12.75" hidden="false" customHeight="false" outlineLevel="0" collapsed="false">
      <c r="A1269" s="9" t="s">
        <v>16</v>
      </c>
      <c r="B1269" s="0" t="s">
        <v>40</v>
      </c>
      <c r="C1269" s="0" t="s">
        <v>18</v>
      </c>
      <c r="D1269" s="0" t="s">
        <v>19</v>
      </c>
      <c r="E1269" s="10" t="s">
        <v>241</v>
      </c>
      <c r="F1269" s="11" t="str">
        <f aca="false">IF(OR(E1269="",E1269="!!!"),"",IF(NOT(ISNA(VLOOKUP(E1269,E$1:E1268,1,FALSE()))),"OLD",IF(AND(E1269&lt;&gt;"",E1269&lt;&gt;"!!!"),"NEW","")))</f>
        <v>OLD</v>
      </c>
      <c r="G1269" s="12" t="s">
        <v>52</v>
      </c>
      <c r="H1269" s="13" t="str">
        <f aca="false">IF(J1269&lt;&gt;1,"",IF(I1269="SBJ","CB","?"))</f>
        <v/>
      </c>
      <c r="I1269" s="14" t="str">
        <f aca="false">IF(OR(E1269="",E1269="!!!",F1269="NEW"),"",INDEX(B$2:B1268,-1+SUMPRODUCT(MAX(ROW(E$2:E1268)*(E1269=E$2:E1268)))))</f>
        <v>other</v>
      </c>
      <c r="J1269" s="15" t="n">
        <f aca="true">IF(OR(E1269="",E1269="!!!",F1269="NEW"),"",COUNTBLANK(OFFSET(A$1,,,SUMPRODUCT(MAX(ROW(E$2:E1269)*(E1269=E$2:E1269)))))-COUNTBLANK(OFFSET(A$1,,,SUMPRODUCT(MAX(ROW(E$1:E1268)*(E1269=E$1:E1268))))))</f>
        <v>6</v>
      </c>
      <c r="K1269" s="15" t="n">
        <f aca="false">IF(OR(E1269="",E1269="!!!",F1269="NEW"),"",INDEX(J$1:J1268,SUMPRODUCT(MAX(ROW(E$1:E1268)*(E1269=E$1:E1268)))))</f>
        <v>11</v>
      </c>
      <c r="L1269" s="16"/>
    </row>
    <row r="1270" customFormat="false" ht="12.75" hidden="false" customHeight="false" outlineLevel="0" collapsed="false">
      <c r="A1270" s="9" t="s">
        <v>331</v>
      </c>
      <c r="E1270" s="10" t="str">
        <f aca="false">IF(#REF!="?OLD","!!!","")</f>
        <v/>
      </c>
      <c r="F1270" s="11" t="str">
        <f aca="false">IF(OR(E1270="",E1270="!!!"),"",IF(NOT(ISNA(VLOOKUP(E1270,E$1:E1269,1,FALSE()))),"OLD",IF(AND(E1270&lt;&gt;"",E1270&lt;&gt;"!!!"),"NEW","")))</f>
        <v/>
      </c>
      <c r="G1270" s="12" t="str">
        <f aca="false">IF(OR(E1270="",E1270="!!!"),"",IF(OR(J1270=0,AND(J1270=1,K1270=1),AND(J1270=1,I1270="SBJ"),AND(J1270=1,I1270=0)),"?IN_FOCUS",IF(J1270&lt;=2,"?ACTIVATED",IF(J1270&lt;&gt;"","?FAMILIAR",IF(F1270="NEW",IF(ISNA(VLOOKUP(E1270,#REF!,1,FALSE())),"?TYPE_IDENTIFIABLE","?REFERENTIAL"),"_")))))</f>
        <v/>
      </c>
      <c r="H1270" s="13" t="str">
        <f aca="false">IF(J1270&lt;&gt;1,"",IF(I1270="SBJ","CB","?"))</f>
        <v/>
      </c>
      <c r="I1270" s="14" t="str">
        <f aca="false">IF(OR(E1270="",E1270="!!!",F1270="NEW"),"",INDEX(B$2:B1269,-1+SUMPRODUCT(MAX(ROW(E$2:E1269)*(E1270=E$2:E1269)))))</f>
        <v/>
      </c>
      <c r="J1270" s="15" t="str">
        <f aca="true">IF(OR(E1270="",E1270="!!!",F1270="NEW"),"",COUNTBLANK(OFFSET(A$1,,,SUMPRODUCT(MAX(ROW(E$2:E1270)*(E1270=E$2:E1270)))))-COUNTBLANK(OFFSET(A$1,,,SUMPRODUCT(MAX(ROW(E$1:E1269)*(E1270=E$1:E1269))))))</f>
        <v/>
      </c>
      <c r="K1270" s="15" t="str">
        <f aca="false">IF(OR(E1270="",E1270="!!!",F1270="NEW"),"",INDEX(J$1:J1269,SUMPRODUCT(MAX(ROW(E$1:E1269)*(E1270=E$1:E1269)))))</f>
        <v/>
      </c>
      <c r="L1270" s="16"/>
    </row>
    <row r="1271" customFormat="false" ht="12.75" hidden="false" customHeight="false" outlineLevel="0" collapsed="false">
      <c r="A1271" s="9" t="s">
        <v>16</v>
      </c>
      <c r="B1271" s="0" t="s">
        <v>75</v>
      </c>
      <c r="C1271" s="0" t="s">
        <v>25</v>
      </c>
      <c r="E1271" s="10" t="str">
        <f aca="false">IF(#REF!="?OLD","!!!","")</f>
        <v/>
      </c>
      <c r="F1271" s="11" t="str">
        <f aca="false">IF(OR(E1271="",E1271="!!!"),"",IF(NOT(ISNA(VLOOKUP(E1271,E$1:E1270,1,FALSE()))),"OLD",IF(AND(E1271&lt;&gt;"",E1271&lt;&gt;"!!!"),"NEW","")))</f>
        <v/>
      </c>
      <c r="G1271" s="12" t="str">
        <f aca="false">IF(OR(E1271="",E1271="!!!"),"",IF(OR(J1271=0,AND(J1271=1,K1271=1),AND(J1271=1,I1271="SBJ"),AND(J1271=1,I1271=0)),"?IN_FOCUS",IF(J1271&lt;=2,"?ACTIVATED",IF(J1271&lt;&gt;"","?FAMILIAR",IF(F1271="NEW",IF(ISNA(VLOOKUP(E1271,#REF!,1,FALSE())),"?TYPE_IDENTIFIABLE","?REFERENTIAL"),"_")))))</f>
        <v/>
      </c>
      <c r="H1271" s="13" t="str">
        <f aca="false">IF(J1271&lt;&gt;1,"",IF(I1271="SBJ","CB","?"))</f>
        <v/>
      </c>
      <c r="I1271" s="14" t="str">
        <f aca="false">IF(OR(E1271="",E1271="!!!",F1271="NEW"),"",INDEX(B$2:B1270,-1+SUMPRODUCT(MAX(ROW(E$2:E1270)*(E1271=E$2:E1270)))))</f>
        <v/>
      </c>
      <c r="J1271" s="15" t="str">
        <f aca="true">IF(OR(E1271="",E1271="!!!",F1271="NEW"),"",COUNTBLANK(OFFSET(A$1,,,SUMPRODUCT(MAX(ROW(E$2:E1271)*(E1271=E$2:E1271)))))-COUNTBLANK(OFFSET(A$1,,,SUMPRODUCT(MAX(ROW(E$1:E1270)*(E1271=E$1:E1270))))))</f>
        <v/>
      </c>
      <c r="K1271" s="15" t="str">
        <f aca="false">IF(OR(E1271="",E1271="!!!",F1271="NEW"),"",INDEX(J$1:J1270,SUMPRODUCT(MAX(ROW(E$1:E1270)*(E1271=E$1:E1270)))))</f>
        <v/>
      </c>
      <c r="L1271" s="16"/>
    </row>
    <row r="1272" customFormat="false" ht="12.75" hidden="false" customHeight="false" outlineLevel="0" collapsed="false">
      <c r="A1272" s="9" t="s">
        <v>286</v>
      </c>
      <c r="B1272" s="0" t="s">
        <v>152</v>
      </c>
      <c r="C1272" s="0" t="s">
        <v>194</v>
      </c>
      <c r="D1272" s="0" t="s">
        <v>19</v>
      </c>
      <c r="E1272" s="10"/>
      <c r="F1272" s="11" t="s">
        <v>224</v>
      </c>
      <c r="G1272" s="12" t="str">
        <f aca="false">IF(OR(E1272="",E1272="!!!"),"",IF(OR(J1272=0,AND(J1272=1,K1272=1),AND(J1272=1,I1272="SBJ"),AND(J1272=1,I1272=0)),"?IN_FOCUS",IF(J1272&lt;=2,"?ACTIVATED",IF(J1272&lt;&gt;"","?FAMILIAR",IF(F1272="NEW",IF(ISNA(VLOOKUP(E1272,#REF!,1,FALSE())),"?TYPE_IDENTIFIABLE","?REFERENTIAL"),"_")))))</f>
        <v/>
      </c>
      <c r="H1272" s="13" t="str">
        <f aca="false">IF(J1272&lt;&gt;1,"",IF(I1272="SBJ","CB","?"))</f>
        <v/>
      </c>
      <c r="I1272" s="14" t="str">
        <f aca="false">IF(OR(E1272="",E1272="!!!",F1272="NEW"),"",INDEX(B$2:B1271,-1+SUMPRODUCT(MAX(ROW(E$2:E1271)*(E1272=E$2:E1271)))))</f>
        <v/>
      </c>
      <c r="J1272" s="15" t="str">
        <f aca="true">IF(OR(E1272="",E1272="!!!",F1272="NEW"),"",COUNTBLANK(OFFSET(A$1,,,SUMPRODUCT(MAX(ROW(E$2:E1272)*(E1272=E$2:E1272)))))-COUNTBLANK(OFFSET(A$1,,,SUMPRODUCT(MAX(ROW(E$1:E1271)*(E1272=E$1:E1271))))))</f>
        <v/>
      </c>
      <c r="K1272" s="15" t="str">
        <f aca="false">IF(OR(E1272="",E1272="!!!",F1272="NEW"),"",INDEX(J$1:J1271,SUMPRODUCT(MAX(ROW(E$1:E1271)*(E1272=E$1:E1271)))))</f>
        <v/>
      </c>
      <c r="L1272" s="16"/>
    </row>
    <row r="1273" customFormat="false" ht="12.75" hidden="false" customHeight="false" outlineLevel="0" collapsed="false">
      <c r="A1273" s="9" t="s">
        <v>143</v>
      </c>
      <c r="B1273" s="0" t="s">
        <v>94</v>
      </c>
      <c r="E1273" s="10" t="str">
        <f aca="false">IF(#REF!="?OLD","!!!","")</f>
        <v/>
      </c>
      <c r="F1273" s="11" t="str">
        <f aca="false">IF(OR(E1273="",E1273="!!!"),"",IF(NOT(ISNA(VLOOKUP(E1273,E$1:E1272,1,FALSE()))),"OLD",IF(AND(E1273&lt;&gt;"",E1273&lt;&gt;"!!!"),"NEW","")))</f>
        <v/>
      </c>
      <c r="G1273" s="12" t="str">
        <f aca="false">IF(OR(E1273="",E1273="!!!"),"",IF(OR(J1273=0,AND(J1273=1,K1273=1),AND(J1273=1,I1273="SBJ"),AND(J1273=1,I1273=0)),"?IN_FOCUS",IF(J1273&lt;=2,"?ACTIVATED",IF(J1273&lt;&gt;"","?FAMILIAR",IF(F1273="NEW",IF(ISNA(VLOOKUP(E1273,#REF!,1,FALSE())),"?TYPE_IDENTIFIABLE","?REFERENTIAL"),"_")))))</f>
        <v/>
      </c>
      <c r="H1273" s="13" t="str">
        <f aca="false">IF(J1273&lt;&gt;1,"",IF(I1273="SBJ","CB","?"))</f>
        <v/>
      </c>
      <c r="I1273" s="14" t="str">
        <f aca="false">IF(OR(E1273="",E1273="!!!",F1273="NEW"),"",INDEX(B$2:B1272,-1+SUMPRODUCT(MAX(ROW(E$2:E1272)*(E1273=E$2:E1272)))))</f>
        <v/>
      </c>
      <c r="J1273" s="15" t="str">
        <f aca="true">IF(OR(E1273="",E1273="!!!",F1273="NEW"),"",COUNTBLANK(OFFSET(A$1,,,SUMPRODUCT(MAX(ROW(E$2:E1273)*(E1273=E$2:E1273)))))-COUNTBLANK(OFFSET(A$1,,,SUMPRODUCT(MAX(ROW(E$1:E1272)*(E1273=E$1:E1272))))))</f>
        <v/>
      </c>
      <c r="K1273" s="15" t="str">
        <f aca="false">IF(OR(E1273="",E1273="!!!",F1273="NEW"),"",INDEX(J$1:J1272,SUMPRODUCT(MAX(ROW(E$1:E1272)*(E1273=E$1:E1272)))))</f>
        <v/>
      </c>
      <c r="L1273" s="16"/>
    </row>
    <row r="1274" customFormat="false" ht="12.75" hidden="false" customHeight="false" outlineLevel="0" collapsed="false">
      <c r="A1274" s="9" t="s">
        <v>35</v>
      </c>
      <c r="E1274" s="10" t="str">
        <f aca="false">IF(#REF!="?OLD","!!!","")</f>
        <v/>
      </c>
      <c r="F1274" s="11" t="str">
        <f aca="false">IF(OR(E1274="",E1274="!!!"),"",IF(NOT(ISNA(VLOOKUP(E1274,E$1:E1273,1,FALSE()))),"OLD",IF(AND(E1274&lt;&gt;"",E1274&lt;&gt;"!!!"),"NEW","")))</f>
        <v/>
      </c>
      <c r="G1274" s="12" t="str">
        <f aca="false">IF(OR(E1274="",E1274="!!!"),"",IF(OR(J1274=0,AND(J1274=1,K1274=1),AND(J1274=1,I1274="SBJ"),AND(J1274=1,I1274=0)),"?IN_FOCUS",IF(J1274&lt;=2,"?ACTIVATED",IF(J1274&lt;&gt;"","?FAMILIAR",IF(F1274="NEW",IF(ISNA(VLOOKUP(E1274,#REF!,1,FALSE())),"?TYPE_IDENTIFIABLE","?REFERENTIAL"),"_")))))</f>
        <v/>
      </c>
      <c r="H1274" s="13" t="str">
        <f aca="false">IF(J1274&lt;&gt;1,"",IF(I1274="SBJ","CB","?"))</f>
        <v/>
      </c>
      <c r="I1274" s="14" t="str">
        <f aca="false">IF(OR(E1274="",E1274="!!!",F1274="NEW"),"",INDEX(B$2:B1273,-1+SUMPRODUCT(MAX(ROW(E$2:E1273)*(E1274=E$2:E1273)))))</f>
        <v/>
      </c>
      <c r="J1274" s="15" t="str">
        <f aca="true">IF(OR(E1274="",E1274="!!!",F1274="NEW"),"",COUNTBLANK(OFFSET(A$1,,,SUMPRODUCT(MAX(ROW(E$2:E1274)*(E1274=E$2:E1274)))))-COUNTBLANK(OFFSET(A$1,,,SUMPRODUCT(MAX(ROW(E$1:E1273)*(E1274=E$1:E1273))))))</f>
        <v/>
      </c>
      <c r="K1274" s="15" t="str">
        <f aca="false">IF(OR(E1274="",E1274="!!!",F1274="NEW"),"",INDEX(J$1:J1273,SUMPRODUCT(MAX(ROW(E$1:E1273)*(E1274=E$1:E1273)))))</f>
        <v/>
      </c>
      <c r="L1274" s="16"/>
    </row>
    <row r="1275" customFormat="false" ht="12.75" hidden="false" customHeight="false" outlineLevel="0" collapsed="false">
      <c r="A1275" s="9" t="s">
        <v>340</v>
      </c>
      <c r="E1275" s="10" t="str">
        <f aca="false">IF(#REF!="?OLD","!!!","")</f>
        <v/>
      </c>
      <c r="F1275" s="11" t="str">
        <f aca="false">IF(OR(E1275="",E1275="!!!"),"",IF(NOT(ISNA(VLOOKUP(E1275,E$1:E1274,1,FALSE()))),"OLD",IF(AND(E1275&lt;&gt;"",E1275&lt;&gt;"!!!"),"NEW","")))</f>
        <v/>
      </c>
      <c r="G1275" s="12" t="str">
        <f aca="false">IF(OR(E1275="",E1275="!!!"),"",IF(OR(J1275=0,AND(J1275=1,K1275=1),AND(J1275=1,I1275="SBJ"),AND(J1275=1,I1275=0)),"?IN_FOCUS",IF(J1275&lt;=2,"?ACTIVATED",IF(J1275&lt;&gt;"","?FAMILIAR",IF(F1275="NEW",IF(ISNA(VLOOKUP(E1275,#REF!,1,FALSE())),"?TYPE_IDENTIFIABLE","?REFERENTIAL"),"_")))))</f>
        <v/>
      </c>
      <c r="H1275" s="13" t="str">
        <f aca="false">IF(J1275&lt;&gt;1,"",IF(I1275="SBJ","CB","?"))</f>
        <v/>
      </c>
      <c r="I1275" s="14" t="str">
        <f aca="false">IF(OR(E1275="",E1275="!!!",F1275="NEW"),"",INDEX(B$2:B1274,-1+SUMPRODUCT(MAX(ROW(E$2:E1274)*(E1275=E$2:E1274)))))</f>
        <v/>
      </c>
      <c r="J1275" s="15" t="str">
        <f aca="true">IF(OR(E1275="",E1275="!!!",F1275="NEW"),"",COUNTBLANK(OFFSET(A$1,,,SUMPRODUCT(MAX(ROW(E$2:E1275)*(E1275=E$2:E1275)))))-COUNTBLANK(OFFSET(A$1,,,SUMPRODUCT(MAX(ROW(E$1:E1274)*(E1275=E$1:E1274))))))</f>
        <v/>
      </c>
      <c r="K1275" s="15" t="str">
        <f aca="false">IF(OR(E1275="",E1275="!!!",F1275="NEW"),"",INDEX(J$1:J1274,SUMPRODUCT(MAX(ROW(E$1:E1274)*(E1275=E$1:E1274)))))</f>
        <v/>
      </c>
      <c r="L1275" s="16"/>
    </row>
    <row r="1276" customFormat="false" ht="12.75" hidden="false" customHeight="false" outlineLevel="0" collapsed="false">
      <c r="A1276" s="9" t="s">
        <v>321</v>
      </c>
      <c r="E1276" s="10" t="str">
        <f aca="false">IF(#REF!="?OLD","!!!","")</f>
        <v/>
      </c>
      <c r="F1276" s="11" t="str">
        <f aca="false">IF(OR(E1276="",E1276="!!!"),"",IF(NOT(ISNA(VLOOKUP(E1276,E$1:E1275,1,FALSE()))),"OLD",IF(AND(E1276&lt;&gt;"",E1276&lt;&gt;"!!!"),"NEW","")))</f>
        <v/>
      </c>
      <c r="G1276" s="12" t="str">
        <f aca="false">IF(OR(E1276="",E1276="!!!"),"",IF(OR(J1276=0,AND(J1276=1,K1276=1),AND(J1276=1,I1276="SBJ"),AND(J1276=1,I1276=0)),"?IN_FOCUS",IF(J1276&lt;=2,"?ACTIVATED",IF(J1276&lt;&gt;"","?FAMILIAR",IF(F1276="NEW",IF(ISNA(VLOOKUP(E1276,#REF!,1,FALSE())),"?TYPE_IDENTIFIABLE","?REFERENTIAL"),"_")))))</f>
        <v/>
      </c>
      <c r="H1276" s="13" t="str">
        <f aca="false">IF(J1276&lt;&gt;1,"",IF(I1276="SBJ","CB","?"))</f>
        <v/>
      </c>
      <c r="I1276" s="14" t="str">
        <f aca="false">IF(OR(E1276="",E1276="!!!",F1276="NEW"),"",INDEX(B$2:B1275,-1+SUMPRODUCT(MAX(ROW(E$2:E1275)*(E1276=E$2:E1275)))))</f>
        <v/>
      </c>
      <c r="J1276" s="15" t="str">
        <f aca="true">IF(OR(E1276="",E1276="!!!",F1276="NEW"),"",COUNTBLANK(OFFSET(A$1,,,SUMPRODUCT(MAX(ROW(E$2:E1276)*(E1276=E$2:E1276)))))-COUNTBLANK(OFFSET(A$1,,,SUMPRODUCT(MAX(ROW(E$1:E1275)*(E1276=E$1:E1275))))))</f>
        <v/>
      </c>
      <c r="K1276" s="15" t="str">
        <f aca="false">IF(OR(E1276="",E1276="!!!",F1276="NEW"),"",INDEX(J$1:J1275,SUMPRODUCT(MAX(ROW(E$1:E1275)*(E1276=E$1:E1275)))))</f>
        <v/>
      </c>
      <c r="L1276" s="16"/>
    </row>
    <row r="1277" customFormat="false" ht="12.75" hidden="false" customHeight="false" outlineLevel="0" collapsed="false">
      <c r="A1277" s="9" t="s">
        <v>44</v>
      </c>
      <c r="E1277" s="10" t="str">
        <f aca="false">IF(#REF!="?OLD","!!!","")</f>
        <v/>
      </c>
      <c r="F1277" s="11" t="str">
        <f aca="false">IF(OR(E1277="",E1277="!!!"),"",IF(NOT(ISNA(VLOOKUP(E1277,E$1:E1276,1,FALSE()))),"OLD",IF(AND(E1277&lt;&gt;"",E1277&lt;&gt;"!!!"),"NEW","")))</f>
        <v/>
      </c>
      <c r="G1277" s="12" t="str">
        <f aca="false">IF(OR(E1277="",E1277="!!!"),"",IF(OR(J1277=0,AND(J1277=1,K1277=1),AND(J1277=1,I1277="SBJ"),AND(J1277=1,I1277=0)),"?IN_FOCUS",IF(J1277&lt;=2,"?ACTIVATED",IF(J1277&lt;&gt;"","?FAMILIAR",IF(F1277="NEW",IF(ISNA(VLOOKUP(E1277,#REF!,1,FALSE())),"?TYPE_IDENTIFIABLE","?REFERENTIAL"),"_")))))</f>
        <v/>
      </c>
      <c r="H1277" s="13" t="str">
        <f aca="false">IF(J1277&lt;&gt;1,"",IF(I1277="SBJ","CB","?"))</f>
        <v/>
      </c>
      <c r="I1277" s="14" t="str">
        <f aca="false">IF(OR(E1277="",E1277="!!!",F1277="NEW"),"",INDEX(B$2:B1276,-1+SUMPRODUCT(MAX(ROW(E$2:E1276)*(E1277=E$2:E1276)))))</f>
        <v/>
      </c>
      <c r="J1277" s="15" t="str">
        <f aca="true">IF(OR(E1277="",E1277="!!!",F1277="NEW"),"",COUNTBLANK(OFFSET(A$1,,,SUMPRODUCT(MAX(ROW(E$2:E1277)*(E1277=E$2:E1277)))))-COUNTBLANK(OFFSET(A$1,,,SUMPRODUCT(MAX(ROW(E$1:E1276)*(E1277=E$1:E1276))))))</f>
        <v/>
      </c>
      <c r="K1277" s="15" t="str">
        <f aca="false">IF(OR(E1277="",E1277="!!!",F1277="NEW"),"",INDEX(J$1:J1276,SUMPRODUCT(MAX(ROW(E$1:E1276)*(E1277=E$1:E1276)))))</f>
        <v/>
      </c>
      <c r="L1277" s="16"/>
    </row>
    <row r="1278" customFormat="false" ht="12.75" hidden="false" customHeight="false" outlineLevel="0" collapsed="false">
      <c r="E1278" s="10" t="str">
        <f aca="false">IF(#REF!="?OLD","!!!","")</f>
        <v/>
      </c>
      <c r="F1278" s="11" t="str">
        <f aca="false">IF(OR(E1278="",E1278="!!!"),"",IF(NOT(ISNA(VLOOKUP(E1278,E$1:E1277,1,FALSE()))),"OLD",IF(AND(E1278&lt;&gt;"",E1278&lt;&gt;"!!!"),"NEW","")))</f>
        <v/>
      </c>
      <c r="G1278" s="12" t="str">
        <f aca="false">IF(OR(E1278="",E1278="!!!"),"",IF(OR(J1278=0,AND(J1278=1,K1278=1),AND(J1278=1,I1278="SBJ"),AND(J1278=1,I1278=0)),"?IN_FOCUS",IF(J1278&lt;=2,"?ACTIVATED",IF(J1278&lt;&gt;"","?FAMILIAR",IF(F1278="NEW",IF(ISNA(VLOOKUP(E1278,#REF!,1,FALSE())),"?TYPE_IDENTIFIABLE","?REFERENTIAL"),"_")))))</f>
        <v/>
      </c>
      <c r="H1278" s="13" t="str">
        <f aca="false">IF(J1278&lt;&gt;1,"",IF(I1278="SBJ","CB","?"))</f>
        <v/>
      </c>
      <c r="I1278" s="14" t="str">
        <f aca="false">IF(OR(E1278="",E1278="!!!",F1278="NEW"),"",INDEX(B$2:B1277,-1+SUMPRODUCT(MAX(ROW(E$2:E1277)*(E1278=E$2:E1277)))))</f>
        <v/>
      </c>
      <c r="J1278" s="15" t="str">
        <f aca="true">IF(OR(E1278="",E1278="!!!",F1278="NEW"),"",COUNTBLANK(OFFSET(A$1,,,SUMPRODUCT(MAX(ROW(E$2:E1278)*(E1278=E$2:E1278)))))-COUNTBLANK(OFFSET(A$1,,,SUMPRODUCT(MAX(ROW(E$1:E1277)*(E1278=E$1:E1277))))))</f>
        <v/>
      </c>
      <c r="K1278" s="15" t="str">
        <f aca="false">IF(OR(E1278="",E1278="!!!",F1278="NEW"),"",INDEX(J$1:J1277,SUMPRODUCT(MAX(ROW(E$1:E1277)*(E1278=E$1:E1277)))))</f>
        <v/>
      </c>
      <c r="L1278" s="16"/>
    </row>
    <row r="1044344" customFormat="false" ht="12.8" hidden="false" customHeight="false" outlineLevel="0" collapsed="false"/>
    <row r="1044345" customFormat="false" ht="12.8" hidden="false" customHeight="false" outlineLevel="0" collapsed="false"/>
    <row r="1044346" customFormat="false" ht="12.8" hidden="false" customHeight="false" outlineLevel="0" collapsed="false"/>
    <row r="1044347" customFormat="false" ht="12.8" hidden="false" customHeight="false" outlineLevel="0" collapsed="false"/>
    <row r="1044348" customFormat="false" ht="12.8" hidden="false" customHeight="false" outlineLevel="0" collapsed="false"/>
    <row r="1044349" customFormat="false" ht="12.8" hidden="false" customHeight="false" outlineLevel="0" collapsed="false"/>
    <row r="1044350" customFormat="false" ht="12.8" hidden="false" customHeight="false" outlineLevel="0" collapsed="false"/>
    <row r="1044351" customFormat="false" ht="12.8" hidden="false" customHeight="false" outlineLevel="0" collapsed="false"/>
    <row r="1044352" customFormat="false" ht="12.8" hidden="false" customHeight="false" outlineLevel="0" collapsed="false"/>
    <row r="1044353" customFormat="false" ht="12.8" hidden="false" customHeight="false" outlineLevel="0" collapsed="false"/>
    <row r="1044354" customFormat="false" ht="12.8" hidden="false" customHeight="false" outlineLevel="0" collapsed="false"/>
    <row r="1044355" customFormat="false" ht="12.8" hidden="false" customHeight="false" outlineLevel="0" collapsed="false"/>
    <row r="1044356" customFormat="false" ht="12.8" hidden="false" customHeight="false" outlineLevel="0" collapsed="false"/>
    <row r="1044357" customFormat="false" ht="12.8" hidden="false" customHeight="false" outlineLevel="0" collapsed="false"/>
    <row r="1044358" customFormat="false" ht="12.8" hidden="false" customHeight="false" outlineLevel="0" collapsed="false"/>
    <row r="1044359" customFormat="false" ht="12.8" hidden="false" customHeight="false" outlineLevel="0" collapsed="false"/>
    <row r="1044360" customFormat="false" ht="12.8" hidden="false" customHeight="false" outlineLevel="0" collapsed="false"/>
    <row r="1044361" customFormat="false" ht="12.8" hidden="false" customHeight="false" outlineLevel="0" collapsed="false"/>
    <row r="1044362" customFormat="false" ht="12.8" hidden="false" customHeight="false" outlineLevel="0" collapsed="false"/>
    <row r="1044363" customFormat="false" ht="12.8" hidden="false" customHeight="false" outlineLevel="0" collapsed="false"/>
    <row r="1044364" customFormat="false" ht="12.8" hidden="false" customHeight="false" outlineLevel="0" collapsed="false"/>
    <row r="1044365" customFormat="false" ht="12.8" hidden="false" customHeight="false" outlineLevel="0" collapsed="false"/>
    <row r="1044366" customFormat="false" ht="12.8" hidden="false" customHeight="false" outlineLevel="0" collapsed="false"/>
    <row r="1044367" customFormat="false" ht="12.8" hidden="false" customHeight="false" outlineLevel="0" collapsed="false"/>
    <row r="1044368" customFormat="false" ht="12.8" hidden="false" customHeight="false" outlineLevel="0" collapsed="false"/>
    <row r="1044369" customFormat="false" ht="12.8" hidden="false" customHeight="false" outlineLevel="0" collapsed="false"/>
    <row r="1044370" customFormat="false" ht="12.8" hidden="false" customHeight="false" outlineLevel="0" collapsed="false"/>
    <row r="1044371" customFormat="false" ht="12.8" hidden="false" customHeight="false" outlineLevel="0" collapsed="false"/>
    <row r="1044372" customFormat="false" ht="12.8" hidden="false" customHeight="false" outlineLevel="0" collapsed="false"/>
    <row r="1044373" customFormat="false" ht="12.8" hidden="false" customHeight="false" outlineLevel="0" collapsed="false"/>
    <row r="1044374" customFormat="false" ht="12.8" hidden="false" customHeight="false" outlineLevel="0" collapsed="false"/>
    <row r="1044375" customFormat="false" ht="12.8" hidden="false" customHeight="false" outlineLevel="0" collapsed="false"/>
    <row r="1044376" customFormat="false" ht="12.8" hidden="false" customHeight="false" outlineLevel="0" collapsed="false"/>
    <row r="1044377" customFormat="false" ht="12.8" hidden="false" customHeight="false" outlineLevel="0" collapsed="false"/>
    <row r="1044378" customFormat="false" ht="12.8" hidden="false" customHeight="false" outlineLevel="0" collapsed="false"/>
    <row r="1044379" customFormat="false" ht="12.8" hidden="false" customHeight="false" outlineLevel="0" collapsed="false"/>
    <row r="1044380" customFormat="false" ht="12.8" hidden="false" customHeight="false" outlineLevel="0" collapsed="false"/>
    <row r="1044381" customFormat="false" ht="12.8" hidden="false" customHeight="false" outlineLevel="0" collapsed="false"/>
    <row r="1044382" customFormat="false" ht="12.8" hidden="false" customHeight="false" outlineLevel="0" collapsed="false"/>
    <row r="1044383" customFormat="false" ht="12.8" hidden="false" customHeight="false" outlineLevel="0" collapsed="false"/>
    <row r="1044384" customFormat="false" ht="12.8" hidden="false" customHeight="false" outlineLevel="0" collapsed="false"/>
    <row r="1044385" customFormat="false" ht="12.8" hidden="false" customHeight="false" outlineLevel="0" collapsed="false"/>
    <row r="1044386" customFormat="false" ht="12.8" hidden="false" customHeight="false" outlineLevel="0" collapsed="false"/>
    <row r="1044387" customFormat="false" ht="12.8" hidden="false" customHeight="false" outlineLevel="0" collapsed="false"/>
    <row r="1044388" customFormat="false" ht="12.8" hidden="false" customHeight="false" outlineLevel="0" collapsed="false"/>
    <row r="1044389" customFormat="false" ht="12.8" hidden="false" customHeight="false" outlineLevel="0" collapsed="false"/>
    <row r="1044390" customFormat="false" ht="12.8" hidden="false" customHeight="false" outlineLevel="0" collapsed="false"/>
    <row r="1044391" customFormat="false" ht="12.8" hidden="false" customHeight="false" outlineLevel="0" collapsed="false"/>
    <row r="1044392" customFormat="false" ht="12.8" hidden="false" customHeight="false" outlineLevel="0" collapsed="false"/>
    <row r="1044393" customFormat="false" ht="12.8" hidden="false" customHeight="false" outlineLevel="0" collapsed="false"/>
    <row r="1044394" customFormat="false" ht="12.8" hidden="false" customHeight="false" outlineLevel="0" collapsed="false"/>
    <row r="1044395" customFormat="false" ht="12.8" hidden="false" customHeight="false" outlineLevel="0" collapsed="false"/>
    <row r="1044396" customFormat="false" ht="12.8" hidden="false" customHeight="false" outlineLevel="0" collapsed="false"/>
    <row r="1044397" customFormat="false" ht="12.8" hidden="false" customHeight="false" outlineLevel="0" collapsed="false"/>
    <row r="1044398" customFormat="false" ht="12.8" hidden="false" customHeight="false" outlineLevel="0" collapsed="false"/>
    <row r="1044399" customFormat="false" ht="12.8" hidden="false" customHeight="false" outlineLevel="0" collapsed="false"/>
    <row r="1044400" customFormat="false" ht="12.8" hidden="false" customHeight="false" outlineLevel="0" collapsed="false"/>
    <row r="1044401" customFormat="false" ht="12.8" hidden="false" customHeight="false" outlineLevel="0" collapsed="false"/>
    <row r="1044402" customFormat="false" ht="12.8" hidden="false" customHeight="false" outlineLevel="0" collapsed="false"/>
    <row r="1044403" customFormat="false" ht="12.8" hidden="false" customHeight="false" outlineLevel="0" collapsed="false"/>
    <row r="1044404" customFormat="false" ht="12.8" hidden="false" customHeight="false" outlineLevel="0" collapsed="false"/>
    <row r="1044405" customFormat="false" ht="12.8" hidden="false" customHeight="false" outlineLevel="0" collapsed="false"/>
    <row r="1044406" customFormat="false" ht="12.8" hidden="false" customHeight="false" outlineLevel="0" collapsed="false"/>
    <row r="1044407" customFormat="false" ht="12.8" hidden="false" customHeight="false" outlineLevel="0" collapsed="false"/>
    <row r="1044408" customFormat="false" ht="12.8" hidden="false" customHeight="false" outlineLevel="0" collapsed="false"/>
    <row r="1044409" customFormat="false" ht="12.8" hidden="false" customHeight="false" outlineLevel="0" collapsed="false"/>
    <row r="1044410" customFormat="false" ht="12.8" hidden="false" customHeight="false" outlineLevel="0" collapsed="false"/>
    <row r="1044411" customFormat="false" ht="12.8" hidden="false" customHeight="false" outlineLevel="0" collapsed="false"/>
    <row r="1044412" customFormat="false" ht="12.8" hidden="false" customHeight="false" outlineLevel="0" collapsed="false"/>
    <row r="1044413" customFormat="false" ht="12.8" hidden="false" customHeight="false" outlineLevel="0" collapsed="false"/>
    <row r="1044414" customFormat="false" ht="12.8" hidden="false" customHeight="false" outlineLevel="0" collapsed="false"/>
    <row r="1044415" customFormat="false" ht="12.8" hidden="false" customHeight="false" outlineLevel="0" collapsed="false"/>
    <row r="1044416" customFormat="false" ht="12.8" hidden="false" customHeight="false" outlineLevel="0" collapsed="false"/>
    <row r="1044417" customFormat="false" ht="12.8" hidden="false" customHeight="false" outlineLevel="0" collapsed="false"/>
    <row r="1044418" customFormat="false" ht="12.8" hidden="false" customHeight="false" outlineLevel="0" collapsed="false"/>
    <row r="1044419" customFormat="false" ht="12.8" hidden="false" customHeight="false" outlineLevel="0" collapsed="false"/>
    <row r="1044420" customFormat="false" ht="12.8" hidden="false" customHeight="false" outlineLevel="0" collapsed="false"/>
    <row r="1044421" customFormat="false" ht="12.8" hidden="false" customHeight="false" outlineLevel="0" collapsed="false"/>
    <row r="1044422" customFormat="false" ht="12.8" hidden="false" customHeight="false" outlineLevel="0" collapsed="false"/>
    <row r="1044423" customFormat="false" ht="12.8" hidden="false" customHeight="false" outlineLevel="0" collapsed="false"/>
    <row r="1044424" customFormat="false" ht="12.8" hidden="false" customHeight="false" outlineLevel="0" collapsed="false"/>
    <row r="1044425" customFormat="false" ht="12.8" hidden="false" customHeight="false" outlineLevel="0" collapsed="false"/>
    <row r="1044426" customFormat="false" ht="12.8" hidden="false" customHeight="false" outlineLevel="0" collapsed="false"/>
    <row r="1044427" customFormat="false" ht="12.8" hidden="false" customHeight="false" outlineLevel="0" collapsed="false"/>
    <row r="1044428" customFormat="false" ht="12.8" hidden="false" customHeight="false" outlineLevel="0" collapsed="false"/>
    <row r="1044429" customFormat="false" ht="12.8" hidden="false" customHeight="false" outlineLevel="0" collapsed="false"/>
    <row r="1044430" customFormat="false" ht="12.8" hidden="false" customHeight="false" outlineLevel="0" collapsed="false"/>
    <row r="1044431" customFormat="false" ht="12.8" hidden="false" customHeight="false" outlineLevel="0" collapsed="false"/>
    <row r="1044432" customFormat="false" ht="12.8" hidden="false" customHeight="false" outlineLevel="0" collapsed="false"/>
    <row r="1044433" customFormat="false" ht="12.8" hidden="false" customHeight="false" outlineLevel="0" collapsed="false"/>
    <row r="1044434" customFormat="false" ht="12.8" hidden="false" customHeight="false" outlineLevel="0" collapsed="false"/>
    <row r="1044435" customFormat="false" ht="12.8" hidden="false" customHeight="false" outlineLevel="0" collapsed="false"/>
    <row r="1044436" customFormat="false" ht="12.8" hidden="false" customHeight="false" outlineLevel="0" collapsed="false"/>
    <row r="1044437" customFormat="false" ht="12.8" hidden="false" customHeight="false" outlineLevel="0" collapsed="false"/>
    <row r="1044438" customFormat="false" ht="12.8" hidden="false" customHeight="false" outlineLevel="0" collapsed="false"/>
    <row r="1044439" customFormat="false" ht="12.8" hidden="false" customHeight="false" outlineLevel="0" collapsed="false"/>
    <row r="1044440" customFormat="false" ht="12.8" hidden="false" customHeight="false" outlineLevel="0" collapsed="false"/>
    <row r="1044441" customFormat="false" ht="12.8" hidden="false" customHeight="false" outlineLevel="0" collapsed="false"/>
    <row r="1044442" customFormat="false" ht="12.8" hidden="false" customHeight="false" outlineLevel="0" collapsed="false"/>
    <row r="1044443" customFormat="false" ht="12.8" hidden="false" customHeight="false" outlineLevel="0" collapsed="false"/>
    <row r="1044444" customFormat="false" ht="12.8" hidden="false" customHeight="false" outlineLevel="0" collapsed="false"/>
    <row r="1044445" customFormat="false" ht="12.8" hidden="false" customHeight="false" outlineLevel="0" collapsed="false"/>
    <row r="1044446" customFormat="false" ht="12.8" hidden="false" customHeight="false" outlineLevel="0" collapsed="false"/>
    <row r="1044447" customFormat="false" ht="12.8" hidden="false" customHeight="false" outlineLevel="0" collapsed="false"/>
    <row r="1044448" customFormat="false" ht="12.8" hidden="false" customHeight="false" outlineLevel="0" collapsed="false"/>
    <row r="1044449" customFormat="false" ht="12.8" hidden="false" customHeight="false" outlineLevel="0" collapsed="false"/>
    <row r="1044450" customFormat="false" ht="12.8" hidden="false" customHeight="false" outlineLevel="0" collapsed="false"/>
    <row r="1044451" customFormat="false" ht="12.8" hidden="false" customHeight="false" outlineLevel="0" collapsed="false"/>
    <row r="1044452" customFormat="false" ht="12.8" hidden="false" customHeight="false" outlineLevel="0" collapsed="false"/>
    <row r="1044453" customFormat="false" ht="12.8" hidden="false" customHeight="false" outlineLevel="0" collapsed="false"/>
    <row r="1044454" customFormat="false" ht="12.8" hidden="false" customHeight="false" outlineLevel="0" collapsed="false"/>
    <row r="1044455" customFormat="false" ht="12.8" hidden="false" customHeight="false" outlineLevel="0" collapsed="false"/>
    <row r="1044456" customFormat="false" ht="12.8" hidden="false" customHeight="false" outlineLevel="0" collapsed="false"/>
    <row r="1044457" customFormat="false" ht="12.8" hidden="false" customHeight="false" outlineLevel="0" collapsed="false"/>
    <row r="1044458" customFormat="false" ht="12.8" hidden="false" customHeight="false" outlineLevel="0" collapsed="false"/>
    <row r="1044459" customFormat="false" ht="12.8" hidden="false" customHeight="false" outlineLevel="0" collapsed="false"/>
    <row r="1044460" customFormat="false" ht="12.8" hidden="false" customHeight="false" outlineLevel="0" collapsed="false"/>
    <row r="1044461" customFormat="false" ht="12.8" hidden="false" customHeight="false" outlineLevel="0" collapsed="false"/>
    <row r="1044462" customFormat="false" ht="12.8" hidden="false" customHeight="false" outlineLevel="0" collapsed="false"/>
    <row r="1044463" customFormat="false" ht="12.8" hidden="false" customHeight="false" outlineLevel="0" collapsed="false"/>
    <row r="1044464" customFormat="false" ht="12.8" hidden="false" customHeight="false" outlineLevel="0" collapsed="false"/>
    <row r="1044465" customFormat="false" ht="12.8" hidden="false" customHeight="false" outlineLevel="0" collapsed="false"/>
    <row r="1044466" customFormat="false" ht="12.8" hidden="false" customHeight="false" outlineLevel="0" collapsed="false"/>
    <row r="1044467" customFormat="false" ht="12.8" hidden="false" customHeight="false" outlineLevel="0" collapsed="false"/>
    <row r="1044468" customFormat="false" ht="12.8" hidden="false" customHeight="false" outlineLevel="0" collapsed="false"/>
    <row r="1044469" customFormat="false" ht="12.8" hidden="false" customHeight="false" outlineLevel="0" collapsed="false"/>
    <row r="1044470" customFormat="false" ht="12.8" hidden="false" customHeight="false" outlineLevel="0" collapsed="false"/>
    <row r="1044471" customFormat="false" ht="12.8" hidden="false" customHeight="false" outlineLevel="0" collapsed="false"/>
    <row r="1044472" customFormat="false" ht="12.8" hidden="false" customHeight="false" outlineLevel="0" collapsed="false"/>
    <row r="1044473" customFormat="false" ht="12.8" hidden="false" customHeight="false" outlineLevel="0" collapsed="false"/>
    <row r="1044474" customFormat="false" ht="12.8" hidden="false" customHeight="false" outlineLevel="0" collapsed="false"/>
    <row r="1044475" customFormat="false" ht="12.8" hidden="false" customHeight="false" outlineLevel="0" collapsed="false"/>
    <row r="1044476" customFormat="false" ht="12.8" hidden="false" customHeight="false" outlineLevel="0" collapsed="false"/>
    <row r="1044477" customFormat="false" ht="12.8" hidden="false" customHeight="false" outlineLevel="0" collapsed="false"/>
    <row r="1044478" customFormat="false" ht="12.8" hidden="false" customHeight="false" outlineLevel="0" collapsed="false"/>
    <row r="1044479" customFormat="false" ht="12.8" hidden="false" customHeight="false" outlineLevel="0" collapsed="false"/>
    <row r="1044480" customFormat="false" ht="12.8" hidden="false" customHeight="false" outlineLevel="0" collapsed="false"/>
    <row r="1044481" customFormat="false" ht="12.8" hidden="false" customHeight="false" outlineLevel="0" collapsed="false"/>
    <row r="1044482" customFormat="false" ht="12.8" hidden="false" customHeight="false" outlineLevel="0" collapsed="false"/>
    <row r="1044483" customFormat="false" ht="12.8" hidden="false" customHeight="false" outlineLevel="0" collapsed="false"/>
    <row r="1044484" customFormat="false" ht="12.8" hidden="false" customHeight="false" outlineLevel="0" collapsed="false"/>
    <row r="1044485" customFormat="false" ht="12.8" hidden="false" customHeight="false" outlineLevel="0" collapsed="false"/>
    <row r="1044486" customFormat="false" ht="12.8" hidden="false" customHeight="false" outlineLevel="0" collapsed="false"/>
    <row r="1044487" customFormat="false" ht="12.8" hidden="false" customHeight="false" outlineLevel="0" collapsed="false"/>
    <row r="1044488" customFormat="false" ht="12.8" hidden="false" customHeight="false" outlineLevel="0" collapsed="false"/>
    <row r="1044489" customFormat="false" ht="12.8" hidden="false" customHeight="false" outlineLevel="0" collapsed="false"/>
    <row r="1044490" customFormat="false" ht="12.8" hidden="false" customHeight="false" outlineLevel="0" collapsed="false"/>
    <row r="1044491" customFormat="false" ht="12.8" hidden="false" customHeight="false" outlineLevel="0" collapsed="false"/>
    <row r="1044492" customFormat="false" ht="12.8" hidden="false" customHeight="false" outlineLevel="0" collapsed="false"/>
    <row r="1044493" customFormat="false" ht="12.8" hidden="false" customHeight="false" outlineLevel="0" collapsed="false"/>
    <row r="1044494" customFormat="false" ht="12.8" hidden="false" customHeight="false" outlineLevel="0" collapsed="false"/>
    <row r="1044495" customFormat="false" ht="12.8" hidden="false" customHeight="false" outlineLevel="0" collapsed="false"/>
    <row r="1044496" customFormat="false" ht="12.8" hidden="false" customHeight="false" outlineLevel="0" collapsed="false"/>
    <row r="1044497" customFormat="false" ht="12.8" hidden="false" customHeight="false" outlineLevel="0" collapsed="false"/>
    <row r="1044498" customFormat="false" ht="12.8" hidden="false" customHeight="false" outlineLevel="0" collapsed="false"/>
    <row r="1044499" customFormat="false" ht="12.8" hidden="false" customHeight="false" outlineLevel="0" collapsed="false"/>
    <row r="1044500" customFormat="false" ht="12.8" hidden="false" customHeight="false" outlineLevel="0" collapsed="false"/>
    <row r="1044501" customFormat="false" ht="12.8" hidden="false" customHeight="false" outlineLevel="0" collapsed="false"/>
    <row r="1044502" customFormat="false" ht="12.8" hidden="false" customHeight="false" outlineLevel="0" collapsed="false"/>
    <row r="1044503" customFormat="false" ht="12.8" hidden="false" customHeight="false" outlineLevel="0" collapsed="false"/>
    <row r="1044504" customFormat="false" ht="12.8" hidden="false" customHeight="false" outlineLevel="0" collapsed="false"/>
    <row r="1044505" customFormat="false" ht="12.8" hidden="false" customHeight="false" outlineLevel="0" collapsed="false"/>
    <row r="1044506" customFormat="false" ht="12.8" hidden="false" customHeight="false" outlineLevel="0" collapsed="false"/>
    <row r="1044507" customFormat="false" ht="12.8" hidden="false" customHeight="false" outlineLevel="0" collapsed="false"/>
    <row r="1044508" customFormat="false" ht="12.8" hidden="false" customHeight="false" outlineLevel="0" collapsed="false"/>
    <row r="1044509" customFormat="false" ht="12.8" hidden="false" customHeight="false" outlineLevel="0" collapsed="false"/>
    <row r="1044510" customFormat="false" ht="12.8" hidden="false" customHeight="false" outlineLevel="0" collapsed="false"/>
    <row r="1044511" customFormat="false" ht="12.8" hidden="false" customHeight="false" outlineLevel="0" collapsed="false"/>
    <row r="1044512" customFormat="false" ht="12.8" hidden="false" customHeight="false" outlineLevel="0" collapsed="false"/>
    <row r="1044513" customFormat="false" ht="12.8" hidden="false" customHeight="false" outlineLevel="0" collapsed="false"/>
    <row r="1044514" customFormat="false" ht="12.8" hidden="false" customHeight="false" outlineLevel="0" collapsed="false"/>
    <row r="1044515" customFormat="false" ht="12.8" hidden="false" customHeight="false" outlineLevel="0" collapsed="false"/>
    <row r="1044516" customFormat="false" ht="12.8" hidden="false" customHeight="false" outlineLevel="0" collapsed="false"/>
    <row r="1044517" customFormat="false" ht="12.8" hidden="false" customHeight="false" outlineLevel="0" collapsed="false"/>
    <row r="1044518" customFormat="false" ht="12.8" hidden="false" customHeight="false" outlineLevel="0" collapsed="false"/>
    <row r="1044519" customFormat="false" ht="12.8" hidden="false" customHeight="false" outlineLevel="0" collapsed="false"/>
    <row r="1044520" customFormat="false" ht="12.8" hidden="false" customHeight="false" outlineLevel="0" collapsed="false"/>
    <row r="1044521" customFormat="false" ht="12.8" hidden="false" customHeight="false" outlineLevel="0" collapsed="false"/>
    <row r="1044522" customFormat="false" ht="12.8" hidden="false" customHeight="false" outlineLevel="0" collapsed="false"/>
    <row r="1044523" customFormat="false" ht="12.8" hidden="false" customHeight="false" outlineLevel="0" collapsed="false"/>
    <row r="1044524" customFormat="false" ht="12.8" hidden="false" customHeight="false" outlineLevel="0" collapsed="false"/>
    <row r="1044525" customFormat="false" ht="12.8" hidden="false" customHeight="false" outlineLevel="0" collapsed="false"/>
    <row r="1044526" customFormat="false" ht="12.8" hidden="false" customHeight="false" outlineLevel="0" collapsed="false"/>
    <row r="1044527" customFormat="false" ht="12.8" hidden="false" customHeight="false" outlineLevel="0" collapsed="false"/>
    <row r="1044528" customFormat="false" ht="12.8" hidden="false" customHeight="false" outlineLevel="0" collapsed="false"/>
    <row r="1044529" customFormat="false" ht="12.8" hidden="false" customHeight="false" outlineLevel="0" collapsed="false"/>
    <row r="1044530" customFormat="false" ht="12.8" hidden="false" customHeight="false" outlineLevel="0" collapsed="false"/>
    <row r="1044531" customFormat="false" ht="12.8" hidden="false" customHeight="false" outlineLevel="0" collapsed="false"/>
    <row r="1044532" customFormat="false" ht="12.8" hidden="false" customHeight="false" outlineLevel="0" collapsed="false"/>
    <row r="1044533" customFormat="false" ht="12.8" hidden="false" customHeight="false" outlineLevel="0" collapsed="false"/>
    <row r="1044534" customFormat="false" ht="12.8" hidden="false" customHeight="false" outlineLevel="0" collapsed="false"/>
    <row r="1044535" customFormat="false" ht="12.8" hidden="false" customHeight="false" outlineLevel="0" collapsed="false"/>
    <row r="1044536" customFormat="false" ht="12.8" hidden="false" customHeight="false" outlineLevel="0" collapsed="false"/>
    <row r="1044537" customFormat="false" ht="12.8" hidden="false" customHeight="false" outlineLevel="0" collapsed="false"/>
    <row r="1044538" customFormat="false" ht="12.8" hidden="false" customHeight="false" outlineLevel="0" collapsed="false"/>
    <row r="1044539" customFormat="false" ht="12.8" hidden="false" customHeight="false" outlineLevel="0" collapsed="false"/>
    <row r="1044540" customFormat="false" ht="12.8" hidden="false" customHeight="false" outlineLevel="0" collapsed="false"/>
    <row r="1044541" customFormat="false" ht="12.8" hidden="false" customHeight="false" outlineLevel="0" collapsed="false"/>
    <row r="1044542" customFormat="false" ht="12.8" hidden="false" customHeight="false" outlineLevel="0" collapsed="false"/>
    <row r="1044543" customFormat="false" ht="12.8" hidden="false" customHeight="false" outlineLevel="0" collapsed="false"/>
    <row r="1044544" customFormat="false" ht="12.8" hidden="false" customHeight="false" outlineLevel="0" collapsed="false"/>
    <row r="1044545" customFormat="false" ht="12.8" hidden="false" customHeight="false" outlineLevel="0" collapsed="false"/>
    <row r="1044546" customFormat="false" ht="12.8" hidden="false" customHeight="false" outlineLevel="0" collapsed="false"/>
    <row r="1044547" customFormat="false" ht="12.8" hidden="false" customHeight="false" outlineLevel="0" collapsed="false"/>
    <row r="1044548" customFormat="false" ht="12.8" hidden="false" customHeight="false" outlineLevel="0" collapsed="false"/>
    <row r="1044549" customFormat="false" ht="12.8" hidden="false" customHeight="false" outlineLevel="0" collapsed="false"/>
    <row r="1044550" customFormat="false" ht="12.8" hidden="false" customHeight="false" outlineLevel="0" collapsed="false"/>
    <row r="1044551" customFormat="false" ht="12.8" hidden="false" customHeight="false" outlineLevel="0" collapsed="false"/>
    <row r="1044552" customFormat="false" ht="12.8" hidden="false" customHeight="false" outlineLevel="0" collapsed="false"/>
    <row r="1044553" customFormat="false" ht="12.8" hidden="false" customHeight="false" outlineLevel="0" collapsed="false"/>
    <row r="1044554" customFormat="false" ht="12.8" hidden="false" customHeight="false" outlineLevel="0" collapsed="false"/>
    <row r="1044555" customFormat="false" ht="12.8" hidden="false" customHeight="false" outlineLevel="0" collapsed="false"/>
    <row r="1044556" customFormat="false" ht="12.8" hidden="false" customHeight="false" outlineLevel="0" collapsed="false"/>
    <row r="1044557" customFormat="false" ht="12.8" hidden="false" customHeight="false" outlineLevel="0" collapsed="false"/>
    <row r="1044558" customFormat="false" ht="12.8" hidden="false" customHeight="false" outlineLevel="0" collapsed="false"/>
    <row r="1044559" customFormat="false" ht="12.8" hidden="false" customHeight="false" outlineLevel="0" collapsed="false"/>
    <row r="1044560" customFormat="false" ht="12.8" hidden="false" customHeight="false" outlineLevel="0" collapsed="false"/>
    <row r="1044561" customFormat="false" ht="12.8" hidden="false" customHeight="false" outlineLevel="0" collapsed="false"/>
    <row r="1044562" customFormat="false" ht="12.8" hidden="false" customHeight="false" outlineLevel="0" collapsed="false"/>
    <row r="1044563" customFormat="false" ht="12.8" hidden="false" customHeight="false" outlineLevel="0" collapsed="false"/>
    <row r="1044564" customFormat="false" ht="12.8" hidden="false" customHeight="false" outlineLevel="0" collapsed="false"/>
    <row r="1044565" customFormat="false" ht="12.8" hidden="false" customHeight="false" outlineLevel="0" collapsed="false"/>
    <row r="1044566" customFormat="false" ht="12.8" hidden="false" customHeight="false" outlineLevel="0" collapsed="false"/>
    <row r="1044567" customFormat="false" ht="12.8" hidden="false" customHeight="false" outlineLevel="0" collapsed="false"/>
    <row r="1044568" customFormat="false" ht="12.8" hidden="false" customHeight="false" outlineLevel="0" collapsed="false"/>
    <row r="1044569" customFormat="false" ht="12.8" hidden="false" customHeight="false" outlineLevel="0" collapsed="false"/>
    <row r="1044570" customFormat="false" ht="12.8" hidden="false" customHeight="false" outlineLevel="0" collapsed="false"/>
    <row r="1044571" customFormat="false" ht="12.8" hidden="false" customHeight="false" outlineLevel="0" collapsed="false"/>
    <row r="1044572" customFormat="false" ht="12.8" hidden="false" customHeight="false" outlineLevel="0" collapsed="false"/>
    <row r="1044573" customFormat="false" ht="12.8" hidden="false" customHeight="false" outlineLevel="0" collapsed="false"/>
    <row r="1044574" customFormat="false" ht="12.8" hidden="false" customHeight="false" outlineLevel="0" collapsed="false"/>
    <row r="1044575" customFormat="false" ht="12.8" hidden="false" customHeight="false" outlineLevel="0" collapsed="false"/>
    <row r="1044576" customFormat="false" ht="12.8" hidden="false" customHeight="false" outlineLevel="0" collapsed="false"/>
    <row r="1044577" customFormat="false" ht="12.8" hidden="false" customHeight="false" outlineLevel="0" collapsed="false"/>
    <row r="1044578" customFormat="false" ht="12.8" hidden="false" customHeight="false" outlineLevel="0" collapsed="false"/>
    <row r="1044579" customFormat="false" ht="12.8" hidden="false" customHeight="false" outlineLevel="0" collapsed="false"/>
    <row r="1044580" customFormat="false" ht="12.8" hidden="false" customHeight="false" outlineLevel="0" collapsed="false"/>
    <row r="1044581" customFormat="false" ht="12.8" hidden="false" customHeight="false" outlineLevel="0" collapsed="false"/>
    <row r="1044582" customFormat="false" ht="12.8" hidden="false" customHeight="false" outlineLevel="0" collapsed="false"/>
    <row r="1044583" customFormat="false" ht="12.8" hidden="false" customHeight="false" outlineLevel="0" collapsed="false"/>
    <row r="1044584" customFormat="false" ht="12.8" hidden="false" customHeight="false" outlineLevel="0" collapsed="false"/>
    <row r="1044585" customFormat="false" ht="12.8" hidden="false" customHeight="false" outlineLevel="0" collapsed="false"/>
    <row r="1044586" customFormat="false" ht="12.8" hidden="false" customHeight="false" outlineLevel="0" collapsed="false"/>
    <row r="1044587" customFormat="false" ht="12.8" hidden="false" customHeight="false" outlineLevel="0" collapsed="false"/>
    <row r="1044588" customFormat="false" ht="12.8" hidden="false" customHeight="false" outlineLevel="0" collapsed="false"/>
    <row r="1044589" customFormat="false" ht="12.8" hidden="false" customHeight="false" outlineLevel="0" collapsed="false"/>
    <row r="1044590" customFormat="false" ht="12.8" hidden="false" customHeight="false" outlineLevel="0" collapsed="false"/>
    <row r="1044591" customFormat="false" ht="12.8" hidden="false" customHeight="false" outlineLevel="0" collapsed="false"/>
    <row r="1044592" customFormat="false" ht="12.8" hidden="false" customHeight="false" outlineLevel="0" collapsed="false"/>
    <row r="1044593" customFormat="false" ht="12.8" hidden="false" customHeight="false" outlineLevel="0" collapsed="false"/>
    <row r="1044594" customFormat="false" ht="12.8" hidden="false" customHeight="false" outlineLevel="0" collapsed="false"/>
    <row r="1044595" customFormat="false" ht="12.8" hidden="false" customHeight="false" outlineLevel="0" collapsed="false"/>
    <row r="1044596" customFormat="false" ht="12.8" hidden="false" customHeight="false" outlineLevel="0" collapsed="false"/>
    <row r="1044597" customFormat="false" ht="12.8" hidden="false" customHeight="false" outlineLevel="0" collapsed="false"/>
    <row r="1044598" customFormat="false" ht="12.8" hidden="false" customHeight="false" outlineLevel="0" collapsed="false"/>
    <row r="1044599" customFormat="false" ht="12.8" hidden="false" customHeight="false" outlineLevel="0" collapsed="false"/>
    <row r="1044600" customFormat="false" ht="12.8" hidden="false" customHeight="false" outlineLevel="0" collapsed="false"/>
    <row r="1044601" customFormat="false" ht="12.8" hidden="false" customHeight="false" outlineLevel="0" collapsed="false"/>
    <row r="1044602" customFormat="false" ht="12.8" hidden="false" customHeight="false" outlineLevel="0" collapsed="false"/>
    <row r="1044603" customFormat="false" ht="12.8" hidden="false" customHeight="false" outlineLevel="0" collapsed="false"/>
    <row r="1044604" customFormat="false" ht="12.8" hidden="false" customHeight="false" outlineLevel="0" collapsed="false"/>
    <row r="1044605" customFormat="false" ht="12.8" hidden="false" customHeight="false" outlineLevel="0" collapsed="false"/>
    <row r="1044606" customFormat="false" ht="12.8" hidden="false" customHeight="false" outlineLevel="0" collapsed="false"/>
    <row r="1044607" customFormat="false" ht="12.8" hidden="false" customHeight="false" outlineLevel="0" collapsed="false"/>
    <row r="1044608" customFormat="false" ht="12.8" hidden="false" customHeight="false" outlineLevel="0" collapsed="false"/>
    <row r="1044609" customFormat="false" ht="12.8" hidden="false" customHeight="false" outlineLevel="0" collapsed="false"/>
    <row r="1044610" customFormat="false" ht="12.8" hidden="false" customHeight="false" outlineLevel="0" collapsed="false"/>
    <row r="1044611" customFormat="false" ht="12.8" hidden="false" customHeight="false" outlineLevel="0" collapsed="false"/>
    <row r="1044612" customFormat="false" ht="12.8" hidden="false" customHeight="false" outlineLevel="0" collapsed="false"/>
    <row r="1044613" customFormat="false" ht="12.8" hidden="false" customHeight="false" outlineLevel="0" collapsed="false"/>
    <row r="1044614" customFormat="false" ht="12.8" hidden="false" customHeight="false" outlineLevel="0" collapsed="false"/>
    <row r="1044615" customFormat="false" ht="12.8" hidden="false" customHeight="false" outlineLevel="0" collapsed="false"/>
    <row r="1044616" customFormat="false" ht="12.8" hidden="false" customHeight="false" outlineLevel="0" collapsed="false"/>
    <row r="1044617" customFormat="false" ht="12.8" hidden="false" customHeight="false" outlineLevel="0" collapsed="false"/>
    <row r="1044618" customFormat="false" ht="12.8" hidden="false" customHeight="false" outlineLevel="0" collapsed="false"/>
    <row r="1044619" customFormat="false" ht="12.8" hidden="false" customHeight="false" outlineLevel="0" collapsed="false"/>
    <row r="1044620" customFormat="false" ht="12.8" hidden="false" customHeight="false" outlineLevel="0" collapsed="false"/>
    <row r="1044621" customFormat="false" ht="12.8" hidden="false" customHeight="false" outlineLevel="0" collapsed="false"/>
    <row r="1044622" customFormat="false" ht="12.8" hidden="false" customHeight="false" outlineLevel="0" collapsed="false"/>
    <row r="1044623" customFormat="false" ht="12.8" hidden="false" customHeight="false" outlineLevel="0" collapsed="false"/>
    <row r="1044624" customFormat="false" ht="12.8" hidden="false" customHeight="false" outlineLevel="0" collapsed="false"/>
    <row r="1044625" customFormat="false" ht="12.8" hidden="false" customHeight="false" outlineLevel="0" collapsed="false"/>
    <row r="1044626" customFormat="false" ht="12.8" hidden="false" customHeight="false" outlineLevel="0" collapsed="false"/>
    <row r="1044627" customFormat="false" ht="12.8" hidden="false" customHeight="false" outlineLevel="0" collapsed="false"/>
    <row r="1044628" customFormat="false" ht="12.8" hidden="false" customHeight="false" outlineLevel="0" collapsed="false"/>
    <row r="1044629" customFormat="false" ht="12.8" hidden="false" customHeight="false" outlineLevel="0" collapsed="false"/>
    <row r="1044630" customFormat="false" ht="12.8" hidden="false" customHeight="false" outlineLevel="0" collapsed="false"/>
    <row r="1044631" customFormat="false" ht="12.8" hidden="false" customHeight="false" outlineLevel="0" collapsed="false"/>
    <row r="1044632" customFormat="false" ht="12.8" hidden="false" customHeight="false" outlineLevel="0" collapsed="false"/>
    <row r="1044633" customFormat="false" ht="12.8" hidden="false" customHeight="false" outlineLevel="0" collapsed="false"/>
    <row r="1044634" customFormat="false" ht="12.8" hidden="false" customHeight="false" outlineLevel="0" collapsed="false"/>
    <row r="1044635" customFormat="false" ht="12.8" hidden="false" customHeight="false" outlineLevel="0" collapsed="false"/>
    <row r="1044636" customFormat="false" ht="12.8" hidden="false" customHeight="false" outlineLevel="0" collapsed="false"/>
    <row r="1044637" customFormat="false" ht="12.8" hidden="false" customHeight="false" outlineLevel="0" collapsed="false"/>
    <row r="1044638" customFormat="false" ht="12.8" hidden="false" customHeight="false" outlineLevel="0" collapsed="false"/>
    <row r="1044639" customFormat="false" ht="12.8" hidden="false" customHeight="false" outlineLevel="0" collapsed="false"/>
    <row r="1044640" customFormat="false" ht="12.8" hidden="false" customHeight="false" outlineLevel="0" collapsed="false"/>
    <row r="1044641" customFormat="false" ht="12.8" hidden="false" customHeight="false" outlineLevel="0" collapsed="false"/>
    <row r="1044642" customFormat="false" ht="12.8" hidden="false" customHeight="false" outlineLevel="0" collapsed="false"/>
    <row r="1044643" customFormat="false" ht="12.8" hidden="false" customHeight="false" outlineLevel="0" collapsed="false"/>
    <row r="1044644" customFormat="false" ht="12.8" hidden="false" customHeight="false" outlineLevel="0" collapsed="false"/>
    <row r="1044645" customFormat="false" ht="12.8" hidden="false" customHeight="false" outlineLevel="0" collapsed="false"/>
    <row r="1044646" customFormat="false" ht="12.8" hidden="false" customHeight="false" outlineLevel="0" collapsed="false"/>
    <row r="1044647" customFormat="false" ht="12.8" hidden="false" customHeight="false" outlineLevel="0" collapsed="false"/>
    <row r="1044648" customFormat="false" ht="12.8" hidden="false" customHeight="false" outlineLevel="0" collapsed="false"/>
    <row r="1044649" customFormat="false" ht="12.8" hidden="false" customHeight="false" outlineLevel="0" collapsed="false"/>
    <row r="1044650" customFormat="false" ht="12.8" hidden="false" customHeight="false" outlineLevel="0" collapsed="false"/>
    <row r="1044651" customFormat="false" ht="12.8" hidden="false" customHeight="false" outlineLevel="0" collapsed="false"/>
    <row r="1044652" customFormat="false" ht="12.8" hidden="false" customHeight="false" outlineLevel="0" collapsed="false"/>
    <row r="1044653" customFormat="false" ht="12.8" hidden="false" customHeight="false" outlineLevel="0" collapsed="false"/>
    <row r="1044654" customFormat="false" ht="12.8" hidden="false" customHeight="false" outlineLevel="0" collapsed="false"/>
    <row r="1044655" customFormat="false" ht="12.8" hidden="false" customHeight="false" outlineLevel="0" collapsed="false"/>
    <row r="1044656" customFormat="false" ht="12.8" hidden="false" customHeight="false" outlineLevel="0" collapsed="false"/>
    <row r="1044657" customFormat="false" ht="12.8" hidden="false" customHeight="false" outlineLevel="0" collapsed="false"/>
    <row r="1044658" customFormat="false" ht="12.8" hidden="false" customHeight="false" outlineLevel="0" collapsed="false"/>
    <row r="1044659" customFormat="false" ht="12.8" hidden="false" customHeight="false" outlineLevel="0" collapsed="false"/>
    <row r="1044660" customFormat="false" ht="12.8" hidden="false" customHeight="false" outlineLevel="0" collapsed="false"/>
    <row r="1044661" customFormat="false" ht="12.8" hidden="false" customHeight="false" outlineLevel="0" collapsed="false"/>
    <row r="1044662" customFormat="false" ht="12.8" hidden="false" customHeight="false" outlineLevel="0" collapsed="false"/>
    <row r="1044663" customFormat="false" ht="12.8" hidden="false" customHeight="false" outlineLevel="0" collapsed="false"/>
    <row r="1044664" customFormat="false" ht="12.8" hidden="false" customHeight="false" outlineLevel="0" collapsed="false"/>
    <row r="1044665" customFormat="false" ht="12.8" hidden="false" customHeight="false" outlineLevel="0" collapsed="false"/>
    <row r="1044666" customFormat="false" ht="12.8" hidden="false" customHeight="false" outlineLevel="0" collapsed="false"/>
    <row r="1044667" customFormat="false" ht="12.8" hidden="false" customHeight="false" outlineLevel="0" collapsed="false"/>
    <row r="1044668" customFormat="false" ht="12.8" hidden="false" customHeight="false" outlineLevel="0" collapsed="false"/>
    <row r="1044669" customFormat="false" ht="12.8" hidden="false" customHeight="false" outlineLevel="0" collapsed="false"/>
    <row r="1044670" customFormat="false" ht="12.8" hidden="false" customHeight="false" outlineLevel="0" collapsed="false"/>
    <row r="1044671" customFormat="false" ht="12.8" hidden="false" customHeight="false" outlineLevel="0" collapsed="false"/>
    <row r="1044672" customFormat="false" ht="12.8" hidden="false" customHeight="false" outlineLevel="0" collapsed="false"/>
    <row r="1044673" customFormat="false" ht="12.8" hidden="false" customHeight="false" outlineLevel="0" collapsed="false"/>
    <row r="1044674" customFormat="false" ht="12.8" hidden="false" customHeight="false" outlineLevel="0" collapsed="false"/>
    <row r="1044675" customFormat="false" ht="12.8" hidden="false" customHeight="false" outlineLevel="0" collapsed="false"/>
    <row r="1044676" customFormat="false" ht="12.8" hidden="false" customHeight="false" outlineLevel="0" collapsed="false"/>
    <row r="1044677" customFormat="false" ht="12.8" hidden="false" customHeight="false" outlineLevel="0" collapsed="false"/>
    <row r="1044678" customFormat="false" ht="12.8" hidden="false" customHeight="false" outlineLevel="0" collapsed="false"/>
    <row r="1044679" customFormat="false" ht="12.8" hidden="false" customHeight="false" outlineLevel="0" collapsed="false"/>
    <row r="1044680" customFormat="false" ht="12.8" hidden="false" customHeight="false" outlineLevel="0" collapsed="false"/>
    <row r="1044681" customFormat="false" ht="12.8" hidden="false" customHeight="false" outlineLevel="0" collapsed="false"/>
    <row r="1044682" customFormat="false" ht="12.8" hidden="false" customHeight="false" outlineLevel="0" collapsed="false"/>
    <row r="1044683" customFormat="false" ht="12.8" hidden="false" customHeight="false" outlineLevel="0" collapsed="false"/>
    <row r="1044684" customFormat="false" ht="12.8" hidden="false" customHeight="false" outlineLevel="0" collapsed="false"/>
    <row r="1044685" customFormat="false" ht="12.8" hidden="false" customHeight="false" outlineLevel="0" collapsed="false"/>
    <row r="1044686" customFormat="false" ht="12.8" hidden="false" customHeight="false" outlineLevel="0" collapsed="false"/>
    <row r="1044687" customFormat="false" ht="12.8" hidden="false" customHeight="false" outlineLevel="0" collapsed="false"/>
    <row r="1044688" customFormat="false" ht="12.8" hidden="false" customHeight="false" outlineLevel="0" collapsed="false"/>
    <row r="1044689" customFormat="false" ht="12.8" hidden="false" customHeight="false" outlineLevel="0" collapsed="false"/>
    <row r="1044690" customFormat="false" ht="12.8" hidden="false" customHeight="false" outlineLevel="0" collapsed="false"/>
    <row r="1044691" customFormat="false" ht="12.8" hidden="false" customHeight="false" outlineLevel="0" collapsed="false"/>
    <row r="1044692" customFormat="false" ht="12.8" hidden="false" customHeight="false" outlineLevel="0" collapsed="false"/>
    <row r="1044693" customFormat="false" ht="12.8" hidden="false" customHeight="false" outlineLevel="0" collapsed="false"/>
    <row r="1044694" customFormat="false" ht="12.8" hidden="false" customHeight="false" outlineLevel="0" collapsed="false"/>
    <row r="1044695" customFormat="false" ht="12.8" hidden="false" customHeight="false" outlineLevel="0" collapsed="false"/>
    <row r="1044696" customFormat="false" ht="12.8" hidden="false" customHeight="false" outlineLevel="0" collapsed="false"/>
    <row r="1044697" customFormat="false" ht="12.8" hidden="false" customHeight="false" outlineLevel="0" collapsed="false"/>
    <row r="1044698" customFormat="false" ht="12.8" hidden="false" customHeight="false" outlineLevel="0" collapsed="false"/>
    <row r="1044699" customFormat="false" ht="12.8" hidden="false" customHeight="false" outlineLevel="0" collapsed="false"/>
    <row r="1044700" customFormat="false" ht="12.8" hidden="false" customHeight="false" outlineLevel="0" collapsed="false"/>
    <row r="1044701" customFormat="false" ht="12.8" hidden="false" customHeight="false" outlineLevel="0" collapsed="false"/>
    <row r="1044702" customFormat="false" ht="12.8" hidden="false" customHeight="false" outlineLevel="0" collapsed="false"/>
    <row r="1044703" customFormat="false" ht="12.8" hidden="false" customHeight="false" outlineLevel="0" collapsed="false"/>
    <row r="1044704" customFormat="false" ht="12.8" hidden="false" customHeight="false" outlineLevel="0" collapsed="false"/>
    <row r="1044705" customFormat="false" ht="12.8" hidden="false" customHeight="false" outlineLevel="0" collapsed="false"/>
    <row r="1044706" customFormat="false" ht="12.8" hidden="false" customHeight="false" outlineLevel="0" collapsed="false"/>
    <row r="1044707" customFormat="false" ht="12.8" hidden="false" customHeight="false" outlineLevel="0" collapsed="false"/>
    <row r="1044708" customFormat="false" ht="12.8" hidden="false" customHeight="false" outlineLevel="0" collapsed="false"/>
    <row r="1044709" customFormat="false" ht="12.8" hidden="false" customHeight="false" outlineLevel="0" collapsed="false"/>
    <row r="1044710" customFormat="false" ht="12.8" hidden="false" customHeight="false" outlineLevel="0" collapsed="false"/>
    <row r="1044711" customFormat="false" ht="12.8" hidden="false" customHeight="false" outlineLevel="0" collapsed="false"/>
    <row r="1044712" customFormat="false" ht="12.8" hidden="false" customHeight="false" outlineLevel="0" collapsed="false"/>
    <row r="1044713" customFormat="false" ht="12.8" hidden="false" customHeight="false" outlineLevel="0" collapsed="false"/>
    <row r="1044714" customFormat="false" ht="12.8" hidden="false" customHeight="false" outlineLevel="0" collapsed="false"/>
    <row r="1044715" customFormat="false" ht="12.8" hidden="false" customHeight="false" outlineLevel="0" collapsed="false"/>
    <row r="1044716" customFormat="false" ht="12.8" hidden="false" customHeight="false" outlineLevel="0" collapsed="false"/>
    <row r="1044717" customFormat="false" ht="12.8" hidden="false" customHeight="false" outlineLevel="0" collapsed="false"/>
    <row r="1044718" customFormat="false" ht="12.8" hidden="false" customHeight="false" outlineLevel="0" collapsed="false"/>
    <row r="1044719" customFormat="false" ht="12.8" hidden="false" customHeight="false" outlineLevel="0" collapsed="false"/>
    <row r="1044720" customFormat="false" ht="12.8" hidden="false" customHeight="false" outlineLevel="0" collapsed="false"/>
    <row r="1044721" customFormat="false" ht="12.8" hidden="false" customHeight="false" outlineLevel="0" collapsed="false"/>
    <row r="1044722" customFormat="false" ht="12.8" hidden="false" customHeight="false" outlineLevel="0" collapsed="false"/>
    <row r="1044723" customFormat="false" ht="12.8" hidden="false" customHeight="false" outlineLevel="0" collapsed="false"/>
    <row r="1044724" customFormat="false" ht="12.8" hidden="false" customHeight="false" outlineLevel="0" collapsed="false"/>
    <row r="1044725" customFormat="false" ht="12.8" hidden="false" customHeight="false" outlineLevel="0" collapsed="false"/>
    <row r="1044726" customFormat="false" ht="12.8" hidden="false" customHeight="false" outlineLevel="0" collapsed="false"/>
    <row r="1044727" customFormat="false" ht="12.8" hidden="false" customHeight="false" outlineLevel="0" collapsed="false"/>
    <row r="1044728" customFormat="false" ht="12.8" hidden="false" customHeight="false" outlineLevel="0" collapsed="false"/>
    <row r="1044729" customFormat="false" ht="12.8" hidden="false" customHeight="false" outlineLevel="0" collapsed="false"/>
    <row r="1044730" customFormat="false" ht="12.8" hidden="false" customHeight="false" outlineLevel="0" collapsed="false"/>
    <row r="1044731" customFormat="false" ht="12.8" hidden="false" customHeight="false" outlineLevel="0" collapsed="false"/>
    <row r="1044732" customFormat="false" ht="12.8" hidden="false" customHeight="false" outlineLevel="0" collapsed="false"/>
    <row r="1044733" customFormat="false" ht="12.8" hidden="false" customHeight="false" outlineLevel="0" collapsed="false"/>
    <row r="1044734" customFormat="false" ht="12.8" hidden="false" customHeight="false" outlineLevel="0" collapsed="false"/>
    <row r="1044735" customFormat="false" ht="12.8" hidden="false" customHeight="false" outlineLevel="0" collapsed="false"/>
    <row r="1044736" customFormat="false" ht="12.8" hidden="false" customHeight="false" outlineLevel="0" collapsed="false"/>
    <row r="1044737" customFormat="false" ht="12.8" hidden="false" customHeight="false" outlineLevel="0" collapsed="false"/>
    <row r="1044738" customFormat="false" ht="12.8" hidden="false" customHeight="false" outlineLevel="0" collapsed="false"/>
    <row r="1044739" customFormat="false" ht="12.8" hidden="false" customHeight="false" outlineLevel="0" collapsed="false"/>
    <row r="1044740" customFormat="false" ht="12.8" hidden="false" customHeight="false" outlineLevel="0" collapsed="false"/>
    <row r="1044741" customFormat="false" ht="12.8" hidden="false" customHeight="false" outlineLevel="0" collapsed="false"/>
    <row r="1044742" customFormat="false" ht="12.8" hidden="false" customHeight="false" outlineLevel="0" collapsed="false"/>
    <row r="1044743" customFormat="false" ht="12.8" hidden="false" customHeight="false" outlineLevel="0" collapsed="false"/>
    <row r="1044744" customFormat="false" ht="12.8" hidden="false" customHeight="false" outlineLevel="0" collapsed="false"/>
    <row r="1044745" customFormat="false" ht="12.8" hidden="false" customHeight="false" outlineLevel="0" collapsed="false"/>
    <row r="1044746" customFormat="false" ht="12.8" hidden="false" customHeight="false" outlineLevel="0" collapsed="false"/>
    <row r="1044747" customFormat="false" ht="12.8" hidden="false" customHeight="false" outlineLevel="0" collapsed="false"/>
    <row r="1044748" customFormat="false" ht="12.8" hidden="false" customHeight="false" outlineLevel="0" collapsed="false"/>
    <row r="1044749" customFormat="false" ht="12.8" hidden="false" customHeight="false" outlineLevel="0" collapsed="false"/>
    <row r="1044750" customFormat="false" ht="12.8" hidden="false" customHeight="false" outlineLevel="0" collapsed="false"/>
    <row r="1044751" customFormat="false" ht="12.8" hidden="false" customHeight="false" outlineLevel="0" collapsed="false"/>
    <row r="1044752" customFormat="false" ht="12.8" hidden="false" customHeight="false" outlineLevel="0" collapsed="false"/>
    <row r="1044753" customFormat="false" ht="12.8" hidden="false" customHeight="false" outlineLevel="0" collapsed="false"/>
    <row r="1044754" customFormat="false" ht="12.8" hidden="false" customHeight="false" outlineLevel="0" collapsed="false"/>
    <row r="1044755" customFormat="false" ht="12.8" hidden="false" customHeight="false" outlineLevel="0" collapsed="false"/>
    <row r="1044756" customFormat="false" ht="12.8" hidden="false" customHeight="false" outlineLevel="0" collapsed="false"/>
    <row r="1044757" customFormat="false" ht="12.8" hidden="false" customHeight="false" outlineLevel="0" collapsed="false"/>
    <row r="1044758" customFormat="false" ht="12.8" hidden="false" customHeight="false" outlineLevel="0" collapsed="false"/>
    <row r="1044759" customFormat="false" ht="12.8" hidden="false" customHeight="false" outlineLevel="0" collapsed="false"/>
    <row r="1044760" customFormat="false" ht="12.8" hidden="false" customHeight="false" outlineLevel="0" collapsed="false"/>
    <row r="1044761" customFormat="false" ht="12.8" hidden="false" customHeight="false" outlineLevel="0" collapsed="false"/>
    <row r="1044762" customFormat="false" ht="12.8" hidden="false" customHeight="false" outlineLevel="0" collapsed="false"/>
    <row r="1044763" customFormat="false" ht="12.8" hidden="false" customHeight="false" outlineLevel="0" collapsed="false"/>
    <row r="1044764" customFormat="false" ht="12.8" hidden="false" customHeight="false" outlineLevel="0" collapsed="false"/>
    <row r="1044765" customFormat="false" ht="12.8" hidden="false" customHeight="false" outlineLevel="0" collapsed="false"/>
    <row r="1044766" customFormat="false" ht="12.8" hidden="false" customHeight="false" outlineLevel="0" collapsed="false"/>
    <row r="1044767" customFormat="false" ht="12.8" hidden="false" customHeight="false" outlineLevel="0" collapsed="false"/>
    <row r="1044768" customFormat="false" ht="12.8" hidden="false" customHeight="false" outlineLevel="0" collapsed="false"/>
    <row r="1044769" customFormat="false" ht="12.8" hidden="false" customHeight="false" outlineLevel="0" collapsed="false"/>
    <row r="1044770" customFormat="false" ht="12.8" hidden="false" customHeight="false" outlineLevel="0" collapsed="false"/>
    <row r="1044771" customFormat="false" ht="12.8" hidden="false" customHeight="false" outlineLevel="0" collapsed="false"/>
    <row r="1044772" customFormat="false" ht="12.8" hidden="false" customHeight="false" outlineLevel="0" collapsed="false"/>
    <row r="1044773" customFormat="false" ht="12.8" hidden="false" customHeight="false" outlineLevel="0" collapsed="false"/>
    <row r="1044774" customFormat="false" ht="12.8" hidden="false" customHeight="false" outlineLevel="0" collapsed="false"/>
    <row r="1044775" customFormat="false" ht="12.8" hidden="false" customHeight="false" outlineLevel="0" collapsed="false"/>
    <row r="1044776" customFormat="false" ht="12.8" hidden="false" customHeight="false" outlineLevel="0" collapsed="false"/>
    <row r="1044777" customFormat="false" ht="12.8" hidden="false" customHeight="false" outlineLevel="0" collapsed="false"/>
    <row r="1044778" customFormat="false" ht="12.8" hidden="false" customHeight="false" outlineLevel="0" collapsed="false"/>
    <row r="1044779" customFormat="false" ht="12.8" hidden="false" customHeight="false" outlineLevel="0" collapsed="false"/>
    <row r="1044780" customFormat="false" ht="12.8" hidden="false" customHeight="false" outlineLevel="0" collapsed="false"/>
    <row r="1044781" customFormat="false" ht="12.8" hidden="false" customHeight="false" outlineLevel="0" collapsed="false"/>
    <row r="1044782" customFormat="false" ht="12.8" hidden="false" customHeight="false" outlineLevel="0" collapsed="false"/>
    <row r="1044783" customFormat="false" ht="12.8" hidden="false" customHeight="false" outlineLevel="0" collapsed="false"/>
    <row r="1044784" customFormat="false" ht="12.8" hidden="false" customHeight="false" outlineLevel="0" collapsed="false"/>
    <row r="1044785" customFormat="false" ht="12.8" hidden="false" customHeight="false" outlineLevel="0" collapsed="false"/>
    <row r="1044786" customFormat="false" ht="12.8" hidden="false" customHeight="false" outlineLevel="0" collapsed="false"/>
    <row r="1044787" customFormat="false" ht="12.8" hidden="false" customHeight="false" outlineLevel="0" collapsed="false"/>
    <row r="1044788" customFormat="false" ht="12.8" hidden="false" customHeight="false" outlineLevel="0" collapsed="false"/>
    <row r="1044789" customFormat="false" ht="12.8" hidden="false" customHeight="false" outlineLevel="0" collapsed="false"/>
    <row r="1044790" customFormat="false" ht="12.8" hidden="false" customHeight="false" outlineLevel="0" collapsed="false"/>
    <row r="1044791" customFormat="false" ht="12.8" hidden="false" customHeight="false" outlineLevel="0" collapsed="false"/>
    <row r="1044792" customFormat="false" ht="12.8" hidden="false" customHeight="false" outlineLevel="0" collapsed="false"/>
    <row r="1044793" customFormat="false" ht="12.8" hidden="false" customHeight="false" outlineLevel="0" collapsed="false"/>
    <row r="1044794" customFormat="false" ht="12.8" hidden="false" customHeight="false" outlineLevel="0" collapsed="false"/>
    <row r="1044795" customFormat="false" ht="12.8" hidden="false" customHeight="false" outlineLevel="0" collapsed="false"/>
    <row r="1044796" customFormat="false" ht="12.8" hidden="false" customHeight="false" outlineLevel="0" collapsed="false"/>
    <row r="1044797" customFormat="false" ht="12.8" hidden="false" customHeight="false" outlineLevel="0" collapsed="false"/>
    <row r="1044798" customFormat="false" ht="12.8" hidden="false" customHeight="false" outlineLevel="0" collapsed="false"/>
    <row r="1044799" customFormat="false" ht="12.8" hidden="false" customHeight="false" outlineLevel="0" collapsed="false"/>
    <row r="1044800" customFormat="false" ht="12.8" hidden="false" customHeight="false" outlineLevel="0" collapsed="false"/>
    <row r="1044801" customFormat="false" ht="12.8" hidden="false" customHeight="false" outlineLevel="0" collapsed="false"/>
    <row r="1044802" customFormat="false" ht="12.8" hidden="false" customHeight="false" outlineLevel="0" collapsed="false"/>
    <row r="1044803" customFormat="false" ht="12.8" hidden="false" customHeight="false" outlineLevel="0" collapsed="false"/>
    <row r="1044804" customFormat="false" ht="12.8" hidden="false" customHeight="false" outlineLevel="0" collapsed="false"/>
    <row r="1044805" customFormat="false" ht="12.8" hidden="false" customHeight="false" outlineLevel="0" collapsed="false"/>
    <row r="1044806" customFormat="false" ht="12.8" hidden="false" customHeight="false" outlineLevel="0" collapsed="false"/>
    <row r="1044807" customFormat="false" ht="12.8" hidden="false" customHeight="false" outlineLevel="0" collapsed="false"/>
    <row r="1044808" customFormat="false" ht="12.8" hidden="false" customHeight="false" outlineLevel="0" collapsed="false"/>
    <row r="1044809" customFormat="false" ht="12.8" hidden="false" customHeight="false" outlineLevel="0" collapsed="false"/>
    <row r="1044810" customFormat="false" ht="12.8" hidden="false" customHeight="false" outlineLevel="0" collapsed="false"/>
    <row r="1044811" customFormat="false" ht="12.8" hidden="false" customHeight="false" outlineLevel="0" collapsed="false"/>
    <row r="1044812" customFormat="false" ht="12.8" hidden="false" customHeight="false" outlineLevel="0" collapsed="false"/>
    <row r="1044813" customFormat="false" ht="12.8" hidden="false" customHeight="false" outlineLevel="0" collapsed="false"/>
    <row r="1044814" customFormat="false" ht="12.8" hidden="false" customHeight="false" outlineLevel="0" collapsed="false"/>
    <row r="1044815" customFormat="false" ht="12.8" hidden="false" customHeight="false" outlineLevel="0" collapsed="false"/>
    <row r="1044816" customFormat="false" ht="12.8" hidden="false" customHeight="false" outlineLevel="0" collapsed="false"/>
    <row r="1044817" customFormat="false" ht="12.8" hidden="false" customHeight="false" outlineLevel="0" collapsed="false"/>
    <row r="1044818" customFormat="false" ht="12.8" hidden="false" customHeight="false" outlineLevel="0" collapsed="false"/>
    <row r="1044819" customFormat="false" ht="12.8" hidden="false" customHeight="false" outlineLevel="0" collapsed="false"/>
    <row r="1044820" customFormat="false" ht="12.8" hidden="false" customHeight="false" outlineLevel="0" collapsed="false"/>
    <row r="1044821" customFormat="false" ht="12.8" hidden="false" customHeight="false" outlineLevel="0" collapsed="false"/>
    <row r="1044822" customFormat="false" ht="12.8" hidden="false" customHeight="false" outlineLevel="0" collapsed="false"/>
    <row r="1044823" customFormat="false" ht="12.8" hidden="false" customHeight="false" outlineLevel="0" collapsed="false"/>
    <row r="1044824" customFormat="false" ht="12.8" hidden="false" customHeight="false" outlineLevel="0" collapsed="false"/>
    <row r="1044825" customFormat="false" ht="12.8" hidden="false" customHeight="false" outlineLevel="0" collapsed="false"/>
    <row r="1044826" customFormat="false" ht="12.8" hidden="false" customHeight="false" outlineLevel="0" collapsed="false"/>
    <row r="1044827" customFormat="false" ht="12.8" hidden="false" customHeight="false" outlineLevel="0" collapsed="false"/>
    <row r="1044828" customFormat="false" ht="12.8" hidden="false" customHeight="false" outlineLevel="0" collapsed="false"/>
    <row r="1044829" customFormat="false" ht="12.8" hidden="false" customHeight="false" outlineLevel="0" collapsed="false"/>
    <row r="1044830" customFormat="false" ht="12.8" hidden="false" customHeight="false" outlineLevel="0" collapsed="false"/>
    <row r="1044831" customFormat="false" ht="12.8" hidden="false" customHeight="false" outlineLevel="0" collapsed="false"/>
    <row r="1044832" customFormat="false" ht="12.8" hidden="false" customHeight="false" outlineLevel="0" collapsed="false"/>
    <row r="1044833" customFormat="false" ht="12.8" hidden="false" customHeight="false" outlineLevel="0" collapsed="false"/>
    <row r="1044834" customFormat="false" ht="12.8" hidden="false" customHeight="false" outlineLevel="0" collapsed="false"/>
    <row r="1044835" customFormat="false" ht="12.8" hidden="false" customHeight="false" outlineLevel="0" collapsed="false"/>
    <row r="1044836" customFormat="false" ht="12.8" hidden="false" customHeight="false" outlineLevel="0" collapsed="false"/>
    <row r="1044837" customFormat="false" ht="12.8" hidden="false" customHeight="false" outlineLevel="0" collapsed="false"/>
    <row r="1044838" customFormat="false" ht="12.8" hidden="false" customHeight="false" outlineLevel="0" collapsed="false"/>
    <row r="1044839" customFormat="false" ht="12.8" hidden="false" customHeight="false" outlineLevel="0" collapsed="false"/>
    <row r="1044840" customFormat="false" ht="12.8" hidden="false" customHeight="false" outlineLevel="0" collapsed="false"/>
    <row r="1044841" customFormat="false" ht="12.8" hidden="false" customHeight="false" outlineLevel="0" collapsed="false"/>
    <row r="1044842" customFormat="false" ht="12.8" hidden="false" customHeight="false" outlineLevel="0" collapsed="false"/>
    <row r="1044843" customFormat="false" ht="12.8" hidden="false" customHeight="false" outlineLevel="0" collapsed="false"/>
    <row r="1044844" customFormat="false" ht="12.8" hidden="false" customHeight="false" outlineLevel="0" collapsed="false"/>
    <row r="1044845" customFormat="false" ht="12.8" hidden="false" customHeight="false" outlineLevel="0" collapsed="false"/>
    <row r="1044846" customFormat="false" ht="12.8" hidden="false" customHeight="false" outlineLevel="0" collapsed="false"/>
    <row r="1044847" customFormat="false" ht="12.8" hidden="false" customHeight="false" outlineLevel="0" collapsed="false"/>
    <row r="1044848" customFormat="false" ht="12.8" hidden="false" customHeight="false" outlineLevel="0" collapsed="false"/>
    <row r="1044849" customFormat="false" ht="12.8" hidden="false" customHeight="false" outlineLevel="0" collapsed="false"/>
    <row r="1044850" customFormat="false" ht="12.8" hidden="false" customHeight="false" outlineLevel="0" collapsed="false"/>
    <row r="1044851" customFormat="false" ht="12.8" hidden="false" customHeight="false" outlineLevel="0" collapsed="false"/>
    <row r="1044852" customFormat="false" ht="12.8" hidden="false" customHeight="false" outlineLevel="0" collapsed="false"/>
    <row r="1044853" customFormat="false" ht="12.8" hidden="false" customHeight="false" outlineLevel="0" collapsed="false"/>
    <row r="1044854" customFormat="false" ht="12.8" hidden="false" customHeight="false" outlineLevel="0" collapsed="false"/>
    <row r="1044855" customFormat="false" ht="12.8" hidden="false" customHeight="false" outlineLevel="0" collapsed="false"/>
    <row r="1044856" customFormat="false" ht="12.8" hidden="false" customHeight="false" outlineLevel="0" collapsed="false"/>
    <row r="1044857" customFormat="false" ht="12.8" hidden="false" customHeight="false" outlineLevel="0" collapsed="false"/>
    <row r="1044858" customFormat="false" ht="12.8" hidden="false" customHeight="false" outlineLevel="0" collapsed="false"/>
    <row r="1044859" customFormat="false" ht="12.8" hidden="false" customHeight="false" outlineLevel="0" collapsed="false"/>
    <row r="1044860" customFormat="false" ht="12.8" hidden="false" customHeight="false" outlineLevel="0" collapsed="false"/>
    <row r="1044861" customFormat="false" ht="12.8" hidden="false" customHeight="false" outlineLevel="0" collapsed="false"/>
    <row r="1044862" customFormat="false" ht="12.8" hidden="false" customHeight="false" outlineLevel="0" collapsed="false"/>
    <row r="1044863" customFormat="false" ht="12.8" hidden="false" customHeight="false" outlineLevel="0" collapsed="false"/>
    <row r="1044864" customFormat="false" ht="12.8" hidden="false" customHeight="false" outlineLevel="0" collapsed="false"/>
    <row r="1044865" customFormat="false" ht="12.8" hidden="false" customHeight="false" outlineLevel="0" collapsed="false"/>
    <row r="1044866" customFormat="false" ht="12.8" hidden="false" customHeight="false" outlineLevel="0" collapsed="false"/>
    <row r="1044867" customFormat="false" ht="12.8" hidden="false" customHeight="false" outlineLevel="0" collapsed="false"/>
    <row r="1044868" customFormat="false" ht="12.8" hidden="false" customHeight="false" outlineLevel="0" collapsed="false"/>
    <row r="1044869" customFormat="false" ht="12.8" hidden="false" customHeight="false" outlineLevel="0" collapsed="false"/>
    <row r="1044870" customFormat="false" ht="12.8" hidden="false" customHeight="false" outlineLevel="0" collapsed="false"/>
    <row r="1044871" customFormat="false" ht="12.8" hidden="false" customHeight="false" outlineLevel="0" collapsed="false"/>
    <row r="1044872" customFormat="false" ht="12.8" hidden="false" customHeight="false" outlineLevel="0" collapsed="false"/>
    <row r="1044873" customFormat="false" ht="12.8" hidden="false" customHeight="false" outlineLevel="0" collapsed="false"/>
    <row r="1044874" customFormat="false" ht="12.8" hidden="false" customHeight="false" outlineLevel="0" collapsed="false"/>
    <row r="1044875" customFormat="false" ht="12.8" hidden="false" customHeight="false" outlineLevel="0" collapsed="false"/>
    <row r="1044876" customFormat="false" ht="12.8" hidden="false" customHeight="false" outlineLevel="0" collapsed="false"/>
    <row r="1044877" customFormat="false" ht="12.8" hidden="false" customHeight="false" outlineLevel="0" collapsed="false"/>
    <row r="1044878" customFormat="false" ht="12.8" hidden="false" customHeight="false" outlineLevel="0" collapsed="false"/>
    <row r="1044879" customFormat="false" ht="12.8" hidden="false" customHeight="false" outlineLevel="0" collapsed="false"/>
    <row r="1044880" customFormat="false" ht="12.8" hidden="false" customHeight="false" outlineLevel="0" collapsed="false"/>
    <row r="1044881" customFormat="false" ht="12.8" hidden="false" customHeight="false" outlineLevel="0" collapsed="false"/>
    <row r="1044882" customFormat="false" ht="12.8" hidden="false" customHeight="false" outlineLevel="0" collapsed="false"/>
    <row r="1044883" customFormat="false" ht="12.8" hidden="false" customHeight="false" outlineLevel="0" collapsed="false"/>
    <row r="1044884" customFormat="false" ht="12.8" hidden="false" customHeight="false" outlineLevel="0" collapsed="false"/>
    <row r="1044885" customFormat="false" ht="12.8" hidden="false" customHeight="false" outlineLevel="0" collapsed="false"/>
    <row r="1044886" customFormat="false" ht="12.8" hidden="false" customHeight="false" outlineLevel="0" collapsed="false"/>
    <row r="1044887" customFormat="false" ht="12.8" hidden="false" customHeight="false" outlineLevel="0" collapsed="false"/>
    <row r="1044888" customFormat="false" ht="12.8" hidden="false" customHeight="false" outlineLevel="0" collapsed="false"/>
    <row r="1044889" customFormat="false" ht="12.8" hidden="false" customHeight="false" outlineLevel="0" collapsed="false"/>
    <row r="1044890" customFormat="false" ht="12.8" hidden="false" customHeight="false" outlineLevel="0" collapsed="false"/>
    <row r="1044891" customFormat="false" ht="12.8" hidden="false" customHeight="false" outlineLevel="0" collapsed="false"/>
    <row r="1044892" customFormat="false" ht="12.8" hidden="false" customHeight="false" outlineLevel="0" collapsed="false"/>
    <row r="1044893" customFormat="false" ht="12.8" hidden="false" customHeight="false" outlineLevel="0" collapsed="false"/>
    <row r="1044894" customFormat="false" ht="12.8" hidden="false" customHeight="false" outlineLevel="0" collapsed="false"/>
    <row r="1044895" customFormat="false" ht="12.8" hidden="false" customHeight="false" outlineLevel="0" collapsed="false"/>
    <row r="1044896" customFormat="false" ht="12.8" hidden="false" customHeight="false" outlineLevel="0" collapsed="false"/>
    <row r="1044897" customFormat="false" ht="12.8" hidden="false" customHeight="false" outlineLevel="0" collapsed="false"/>
    <row r="1044898" customFormat="false" ht="12.8" hidden="false" customHeight="false" outlineLevel="0" collapsed="false"/>
    <row r="1044899" customFormat="false" ht="12.8" hidden="false" customHeight="false" outlineLevel="0" collapsed="false"/>
    <row r="1044900" customFormat="false" ht="12.8" hidden="false" customHeight="false" outlineLevel="0" collapsed="false"/>
    <row r="1044901" customFormat="false" ht="12.8" hidden="false" customHeight="false" outlineLevel="0" collapsed="false"/>
    <row r="1044902" customFormat="false" ht="12.8" hidden="false" customHeight="false" outlineLevel="0" collapsed="false"/>
    <row r="1044903" customFormat="false" ht="12.8" hidden="false" customHeight="false" outlineLevel="0" collapsed="false"/>
    <row r="1044904" customFormat="false" ht="12.8" hidden="false" customHeight="false" outlineLevel="0" collapsed="false"/>
    <row r="1044905" customFormat="false" ht="12.8" hidden="false" customHeight="false" outlineLevel="0" collapsed="false"/>
    <row r="1044906" customFormat="false" ht="12.8" hidden="false" customHeight="false" outlineLevel="0" collapsed="false"/>
    <row r="1044907" customFormat="false" ht="12.8" hidden="false" customHeight="false" outlineLevel="0" collapsed="false"/>
    <row r="1044908" customFormat="false" ht="12.8" hidden="false" customHeight="false" outlineLevel="0" collapsed="false"/>
    <row r="1044909" customFormat="false" ht="12.8" hidden="false" customHeight="false" outlineLevel="0" collapsed="false"/>
    <row r="1044910" customFormat="false" ht="12.8" hidden="false" customHeight="false" outlineLevel="0" collapsed="false"/>
    <row r="1044911" customFormat="false" ht="12.8" hidden="false" customHeight="false" outlineLevel="0" collapsed="false"/>
    <row r="1044912" customFormat="false" ht="12.8" hidden="false" customHeight="false" outlineLevel="0" collapsed="false"/>
    <row r="1044913" customFormat="false" ht="12.8" hidden="false" customHeight="false" outlineLevel="0" collapsed="false"/>
    <row r="1044914" customFormat="false" ht="12.8" hidden="false" customHeight="false" outlineLevel="0" collapsed="false"/>
    <row r="1044915" customFormat="false" ht="12.8" hidden="false" customHeight="false" outlineLevel="0" collapsed="false"/>
    <row r="1044916" customFormat="false" ht="12.8" hidden="false" customHeight="false" outlineLevel="0" collapsed="false"/>
    <row r="1044917" customFormat="false" ht="12.8" hidden="false" customHeight="false" outlineLevel="0" collapsed="false"/>
    <row r="1044918" customFormat="false" ht="12.8" hidden="false" customHeight="false" outlineLevel="0" collapsed="false"/>
    <row r="1044919" customFormat="false" ht="12.8" hidden="false" customHeight="false" outlineLevel="0" collapsed="false"/>
    <row r="1044920" customFormat="false" ht="12.8" hidden="false" customHeight="false" outlineLevel="0" collapsed="false"/>
    <row r="1044921" customFormat="false" ht="12.8" hidden="false" customHeight="false" outlineLevel="0" collapsed="false"/>
    <row r="1044922" customFormat="false" ht="12.8" hidden="false" customHeight="false" outlineLevel="0" collapsed="false"/>
    <row r="1044923" customFormat="false" ht="12.8" hidden="false" customHeight="false" outlineLevel="0" collapsed="false"/>
    <row r="1044924" customFormat="false" ht="12.8" hidden="false" customHeight="false" outlineLevel="0" collapsed="false"/>
    <row r="1044925" customFormat="false" ht="12.8" hidden="false" customHeight="false" outlineLevel="0" collapsed="false"/>
    <row r="1044926" customFormat="false" ht="12.8" hidden="false" customHeight="false" outlineLevel="0" collapsed="false"/>
    <row r="1044927" customFormat="false" ht="12.8" hidden="false" customHeight="false" outlineLevel="0" collapsed="false"/>
    <row r="1044928" customFormat="false" ht="12.8" hidden="false" customHeight="false" outlineLevel="0" collapsed="false"/>
    <row r="1044929" customFormat="false" ht="12.8" hidden="false" customHeight="false" outlineLevel="0" collapsed="false"/>
    <row r="1044930" customFormat="false" ht="12.8" hidden="false" customHeight="false" outlineLevel="0" collapsed="false"/>
    <row r="1044931" customFormat="false" ht="12.8" hidden="false" customHeight="false" outlineLevel="0" collapsed="false"/>
    <row r="1044932" customFormat="false" ht="12.8" hidden="false" customHeight="false" outlineLevel="0" collapsed="false"/>
    <row r="1044933" customFormat="false" ht="12.8" hidden="false" customHeight="false" outlineLevel="0" collapsed="false"/>
    <row r="1044934" customFormat="false" ht="12.8" hidden="false" customHeight="false" outlineLevel="0" collapsed="false"/>
    <row r="1044935" customFormat="false" ht="12.8" hidden="false" customHeight="false" outlineLevel="0" collapsed="false"/>
    <row r="1044936" customFormat="false" ht="12.8" hidden="false" customHeight="false" outlineLevel="0" collapsed="false"/>
    <row r="1044937" customFormat="false" ht="12.8" hidden="false" customHeight="false" outlineLevel="0" collapsed="false"/>
    <row r="1044938" customFormat="false" ht="12.8" hidden="false" customHeight="false" outlineLevel="0" collapsed="false"/>
    <row r="1044939" customFormat="false" ht="12.8" hidden="false" customHeight="false" outlineLevel="0" collapsed="false"/>
    <row r="1044940" customFormat="false" ht="12.8" hidden="false" customHeight="false" outlineLevel="0" collapsed="false"/>
    <row r="1044941" customFormat="false" ht="12.8" hidden="false" customHeight="false" outlineLevel="0" collapsed="false"/>
    <row r="1044942" customFormat="false" ht="12.8" hidden="false" customHeight="false" outlineLevel="0" collapsed="false"/>
    <row r="1044943" customFormat="false" ht="12.8" hidden="false" customHeight="false" outlineLevel="0" collapsed="false"/>
    <row r="1044944" customFormat="false" ht="12.8" hidden="false" customHeight="false" outlineLevel="0" collapsed="false"/>
    <row r="1044945" customFormat="false" ht="12.8" hidden="false" customHeight="false" outlineLevel="0" collapsed="false"/>
    <row r="1044946" customFormat="false" ht="12.8" hidden="false" customHeight="false" outlineLevel="0" collapsed="false"/>
    <row r="1044947" customFormat="false" ht="12.8" hidden="false" customHeight="false" outlineLevel="0" collapsed="false"/>
    <row r="1044948" customFormat="false" ht="12.8" hidden="false" customHeight="false" outlineLevel="0" collapsed="false"/>
    <row r="1044949" customFormat="false" ht="12.8" hidden="false" customHeight="false" outlineLevel="0" collapsed="false"/>
    <row r="1044950" customFormat="false" ht="12.8" hidden="false" customHeight="false" outlineLevel="0" collapsed="false"/>
    <row r="1044951" customFormat="false" ht="12.8" hidden="false" customHeight="false" outlineLevel="0" collapsed="false"/>
    <row r="1044952" customFormat="false" ht="12.8" hidden="false" customHeight="false" outlineLevel="0" collapsed="false"/>
    <row r="1044953" customFormat="false" ht="12.8" hidden="false" customHeight="false" outlineLevel="0" collapsed="false"/>
    <row r="1044954" customFormat="false" ht="12.8" hidden="false" customHeight="false" outlineLevel="0" collapsed="false"/>
    <row r="1044955" customFormat="false" ht="12.8" hidden="false" customHeight="false" outlineLevel="0" collapsed="false"/>
    <row r="1044956" customFormat="false" ht="12.8" hidden="false" customHeight="false" outlineLevel="0" collapsed="false"/>
    <row r="1044957" customFormat="false" ht="12.8" hidden="false" customHeight="false" outlineLevel="0" collapsed="false"/>
    <row r="1044958" customFormat="false" ht="12.8" hidden="false" customHeight="false" outlineLevel="0" collapsed="false"/>
    <row r="1044959" customFormat="false" ht="12.8" hidden="false" customHeight="false" outlineLevel="0" collapsed="false"/>
    <row r="1044960" customFormat="false" ht="12.8" hidden="false" customHeight="false" outlineLevel="0" collapsed="false"/>
    <row r="1044961" customFormat="false" ht="12.8" hidden="false" customHeight="false" outlineLevel="0" collapsed="false"/>
    <row r="1044962" customFormat="false" ht="12.8" hidden="false" customHeight="false" outlineLevel="0" collapsed="false"/>
    <row r="1044963" customFormat="false" ht="12.8" hidden="false" customHeight="false" outlineLevel="0" collapsed="false"/>
    <row r="1044964" customFormat="false" ht="12.8" hidden="false" customHeight="false" outlineLevel="0" collapsed="false"/>
    <row r="1044965" customFormat="false" ht="12.8" hidden="false" customHeight="false" outlineLevel="0" collapsed="false"/>
    <row r="1044966" customFormat="false" ht="12.8" hidden="false" customHeight="false" outlineLevel="0" collapsed="false"/>
    <row r="1044967" customFormat="false" ht="12.8" hidden="false" customHeight="false" outlineLevel="0" collapsed="false"/>
    <row r="1044968" customFormat="false" ht="12.8" hidden="false" customHeight="false" outlineLevel="0" collapsed="false"/>
    <row r="1044969" customFormat="false" ht="12.8" hidden="false" customHeight="false" outlineLevel="0" collapsed="false"/>
    <row r="1044970" customFormat="false" ht="12.8" hidden="false" customHeight="false" outlineLevel="0" collapsed="false"/>
    <row r="1044971" customFormat="false" ht="12.8" hidden="false" customHeight="false" outlineLevel="0" collapsed="false"/>
    <row r="1044972" customFormat="false" ht="12.8" hidden="false" customHeight="false" outlineLevel="0" collapsed="false"/>
    <row r="1044973" customFormat="false" ht="12.8" hidden="false" customHeight="false" outlineLevel="0" collapsed="false"/>
    <row r="1044974" customFormat="false" ht="12.8" hidden="false" customHeight="false" outlineLevel="0" collapsed="false"/>
    <row r="1044975" customFormat="false" ht="12.8" hidden="false" customHeight="false" outlineLevel="0" collapsed="false"/>
    <row r="1044976" customFormat="false" ht="12.8" hidden="false" customHeight="false" outlineLevel="0" collapsed="false"/>
    <row r="1044977" customFormat="false" ht="12.8" hidden="false" customHeight="false" outlineLevel="0" collapsed="false"/>
    <row r="1044978" customFormat="false" ht="12.8" hidden="false" customHeight="false" outlineLevel="0" collapsed="false"/>
    <row r="1044979" customFormat="false" ht="12.8" hidden="false" customHeight="false" outlineLevel="0" collapsed="false"/>
    <row r="1044980" customFormat="false" ht="12.8" hidden="false" customHeight="false" outlineLevel="0" collapsed="false"/>
    <row r="1044981" customFormat="false" ht="12.8" hidden="false" customHeight="false" outlineLevel="0" collapsed="false"/>
    <row r="1044982" customFormat="false" ht="12.8" hidden="false" customHeight="false" outlineLevel="0" collapsed="false"/>
    <row r="1044983" customFormat="false" ht="12.8" hidden="false" customHeight="false" outlineLevel="0" collapsed="false"/>
    <row r="1044984" customFormat="false" ht="12.8" hidden="false" customHeight="false" outlineLevel="0" collapsed="false"/>
    <row r="1044985" customFormat="false" ht="12.8" hidden="false" customHeight="false" outlineLevel="0" collapsed="false"/>
    <row r="1044986" customFormat="false" ht="12.8" hidden="false" customHeight="false" outlineLevel="0" collapsed="false"/>
    <row r="1044987" customFormat="false" ht="12.8" hidden="false" customHeight="false" outlineLevel="0" collapsed="false"/>
    <row r="1044988" customFormat="false" ht="12.8" hidden="false" customHeight="false" outlineLevel="0" collapsed="false"/>
    <row r="1044989" customFormat="false" ht="12.8" hidden="false" customHeight="false" outlineLevel="0" collapsed="false"/>
    <row r="1044990" customFormat="false" ht="12.8" hidden="false" customHeight="false" outlineLevel="0" collapsed="false"/>
    <row r="1044991" customFormat="false" ht="12.8" hidden="false" customHeight="false" outlineLevel="0" collapsed="false"/>
    <row r="1044992" customFormat="false" ht="12.8" hidden="false" customHeight="false" outlineLevel="0" collapsed="false"/>
    <row r="1044993" customFormat="false" ht="12.8" hidden="false" customHeight="false" outlineLevel="0" collapsed="false"/>
    <row r="1044994" customFormat="false" ht="12.8" hidden="false" customHeight="false" outlineLevel="0" collapsed="false"/>
    <row r="1044995" customFormat="false" ht="12.8" hidden="false" customHeight="false" outlineLevel="0" collapsed="false"/>
    <row r="1044996" customFormat="false" ht="12.8" hidden="false" customHeight="false" outlineLevel="0" collapsed="false"/>
    <row r="1044997" customFormat="false" ht="12.8" hidden="false" customHeight="false" outlineLevel="0" collapsed="false"/>
    <row r="1044998" customFormat="false" ht="12.8" hidden="false" customHeight="false" outlineLevel="0" collapsed="false"/>
    <row r="1044999" customFormat="false" ht="12.8" hidden="false" customHeight="false" outlineLevel="0" collapsed="false"/>
    <row r="1045000" customFormat="false" ht="12.8" hidden="false" customHeight="false" outlineLevel="0" collapsed="false"/>
    <row r="1045001" customFormat="false" ht="12.8" hidden="false" customHeight="false" outlineLevel="0" collapsed="false"/>
    <row r="1045002" customFormat="false" ht="12.8" hidden="false" customHeight="false" outlineLevel="0" collapsed="false"/>
    <row r="1045003" customFormat="false" ht="12.8" hidden="false" customHeight="false" outlineLevel="0" collapsed="false"/>
    <row r="1045004" customFormat="false" ht="12.8" hidden="false" customHeight="false" outlineLevel="0" collapsed="false"/>
    <row r="1045005" customFormat="false" ht="12.8" hidden="false" customHeight="false" outlineLevel="0" collapsed="false"/>
    <row r="1045006" customFormat="false" ht="12.8" hidden="false" customHeight="false" outlineLevel="0" collapsed="false"/>
    <row r="1045007" customFormat="false" ht="12.8" hidden="false" customHeight="false" outlineLevel="0" collapsed="false"/>
    <row r="1045008" customFormat="false" ht="12.8" hidden="false" customHeight="false" outlineLevel="0" collapsed="false"/>
    <row r="1045009" customFormat="false" ht="12.8" hidden="false" customHeight="false" outlineLevel="0" collapsed="false"/>
    <row r="1045010" customFormat="false" ht="12.8" hidden="false" customHeight="false" outlineLevel="0" collapsed="false"/>
    <row r="1045011" customFormat="false" ht="12.8" hidden="false" customHeight="false" outlineLevel="0" collapsed="false"/>
    <row r="1045012" customFormat="false" ht="12.8" hidden="false" customHeight="false" outlineLevel="0" collapsed="false"/>
    <row r="1045013" customFormat="false" ht="12.8" hidden="false" customHeight="false" outlineLevel="0" collapsed="false"/>
    <row r="1045014" customFormat="false" ht="12.8" hidden="false" customHeight="false" outlineLevel="0" collapsed="false"/>
    <row r="1045015" customFormat="false" ht="12.8" hidden="false" customHeight="false" outlineLevel="0" collapsed="false"/>
    <row r="1045016" customFormat="false" ht="12.8" hidden="false" customHeight="false" outlineLevel="0" collapsed="false"/>
    <row r="1045017" customFormat="false" ht="12.8" hidden="false" customHeight="false" outlineLevel="0" collapsed="false"/>
    <row r="1045018" customFormat="false" ht="12.8" hidden="false" customHeight="false" outlineLevel="0" collapsed="false"/>
    <row r="1045019" customFormat="false" ht="12.8" hidden="false" customHeight="false" outlineLevel="0" collapsed="false"/>
    <row r="1045020" customFormat="false" ht="12.8" hidden="false" customHeight="false" outlineLevel="0" collapsed="false"/>
    <row r="1045021" customFormat="false" ht="12.8" hidden="false" customHeight="false" outlineLevel="0" collapsed="false"/>
    <row r="1045022" customFormat="false" ht="12.8" hidden="false" customHeight="false" outlineLevel="0" collapsed="false"/>
    <row r="1045023" customFormat="false" ht="12.8" hidden="false" customHeight="false" outlineLevel="0" collapsed="false"/>
    <row r="1045024" customFormat="false" ht="12.8" hidden="false" customHeight="false" outlineLevel="0" collapsed="false"/>
    <row r="1045025" customFormat="false" ht="12.8" hidden="false" customHeight="false" outlineLevel="0" collapsed="false"/>
    <row r="1045026" customFormat="false" ht="12.8" hidden="false" customHeight="false" outlineLevel="0" collapsed="false"/>
    <row r="1045027" customFormat="false" ht="12.8" hidden="false" customHeight="false" outlineLevel="0" collapsed="false"/>
    <row r="1045028" customFormat="false" ht="12.8" hidden="false" customHeight="false" outlineLevel="0" collapsed="false"/>
    <row r="1045029" customFormat="false" ht="12.8" hidden="false" customHeight="false" outlineLevel="0" collapsed="false"/>
    <row r="1045030" customFormat="false" ht="12.8" hidden="false" customHeight="false" outlineLevel="0" collapsed="false"/>
    <row r="1045031" customFormat="false" ht="12.8" hidden="false" customHeight="false" outlineLevel="0" collapsed="false"/>
    <row r="1045032" customFormat="false" ht="12.8" hidden="false" customHeight="false" outlineLevel="0" collapsed="false"/>
    <row r="1045033" customFormat="false" ht="12.8" hidden="false" customHeight="false" outlineLevel="0" collapsed="false"/>
    <row r="1045034" customFormat="false" ht="12.8" hidden="false" customHeight="false" outlineLevel="0" collapsed="false"/>
    <row r="1045035" customFormat="false" ht="12.8" hidden="false" customHeight="false" outlineLevel="0" collapsed="false"/>
    <row r="1045036" customFormat="false" ht="12.8" hidden="false" customHeight="false" outlineLevel="0" collapsed="false"/>
    <row r="1045037" customFormat="false" ht="12.8" hidden="false" customHeight="false" outlineLevel="0" collapsed="false"/>
    <row r="1045038" customFormat="false" ht="12.8" hidden="false" customHeight="false" outlineLevel="0" collapsed="false"/>
    <row r="1045039" customFormat="false" ht="12.8" hidden="false" customHeight="false" outlineLevel="0" collapsed="false"/>
    <row r="1045040" customFormat="false" ht="12.8" hidden="false" customHeight="false" outlineLevel="0" collapsed="false"/>
    <row r="1045041" customFormat="false" ht="12.8" hidden="false" customHeight="false" outlineLevel="0" collapsed="false"/>
    <row r="1045042" customFormat="false" ht="12.8" hidden="false" customHeight="false" outlineLevel="0" collapsed="false"/>
    <row r="1045043" customFormat="false" ht="12.8" hidden="false" customHeight="false" outlineLevel="0" collapsed="false"/>
    <row r="1045044" customFormat="false" ht="12.8" hidden="false" customHeight="false" outlineLevel="0" collapsed="false"/>
    <row r="1045045" customFormat="false" ht="12.8" hidden="false" customHeight="false" outlineLevel="0" collapsed="false"/>
    <row r="1045046" customFormat="false" ht="12.8" hidden="false" customHeight="false" outlineLevel="0" collapsed="false"/>
    <row r="1045047" customFormat="false" ht="12.8" hidden="false" customHeight="false" outlineLevel="0" collapsed="false"/>
    <row r="1045048" customFormat="false" ht="12.8" hidden="false" customHeight="false" outlineLevel="0" collapsed="false"/>
    <row r="1045049" customFormat="false" ht="12.8" hidden="false" customHeight="false" outlineLevel="0" collapsed="false"/>
    <row r="1045050" customFormat="false" ht="12.8" hidden="false" customHeight="false" outlineLevel="0" collapsed="false"/>
    <row r="1045051" customFormat="false" ht="12.8" hidden="false" customHeight="false" outlineLevel="0" collapsed="false"/>
    <row r="1045052" customFormat="false" ht="12.8" hidden="false" customHeight="false" outlineLevel="0" collapsed="false"/>
    <row r="1045053" customFormat="false" ht="12.8" hidden="false" customHeight="false" outlineLevel="0" collapsed="false"/>
    <row r="1045054" customFormat="false" ht="12.8" hidden="false" customHeight="false" outlineLevel="0" collapsed="false"/>
    <row r="1045055" customFormat="false" ht="12.8" hidden="false" customHeight="false" outlineLevel="0" collapsed="false"/>
    <row r="1045056" customFormat="false" ht="12.8" hidden="false" customHeight="false" outlineLevel="0" collapsed="false"/>
    <row r="1045057" customFormat="false" ht="12.8" hidden="false" customHeight="false" outlineLevel="0" collapsed="false"/>
    <row r="1045058" customFormat="false" ht="12.8" hidden="false" customHeight="false" outlineLevel="0" collapsed="false"/>
    <row r="1045059" customFormat="false" ht="12.8" hidden="false" customHeight="false" outlineLevel="0" collapsed="false"/>
    <row r="1045060" customFormat="false" ht="12.8" hidden="false" customHeight="false" outlineLevel="0" collapsed="false"/>
    <row r="1045061" customFormat="false" ht="12.8" hidden="false" customHeight="false" outlineLevel="0" collapsed="false"/>
    <row r="1045062" customFormat="false" ht="12.8" hidden="false" customHeight="false" outlineLevel="0" collapsed="false"/>
    <row r="1045063" customFormat="false" ht="12.8" hidden="false" customHeight="false" outlineLevel="0" collapsed="false"/>
    <row r="1045064" customFormat="false" ht="12.8" hidden="false" customHeight="false" outlineLevel="0" collapsed="false"/>
    <row r="1045065" customFormat="false" ht="12.8" hidden="false" customHeight="false" outlineLevel="0" collapsed="false"/>
    <row r="1045066" customFormat="false" ht="12.8" hidden="false" customHeight="false" outlineLevel="0" collapsed="false"/>
    <row r="1045067" customFormat="false" ht="12.8" hidden="false" customHeight="false" outlineLevel="0" collapsed="false"/>
    <row r="1045068" customFormat="false" ht="12.8" hidden="false" customHeight="false" outlineLevel="0" collapsed="false"/>
    <row r="1045069" customFormat="false" ht="12.8" hidden="false" customHeight="false" outlineLevel="0" collapsed="false"/>
    <row r="1045070" customFormat="false" ht="12.8" hidden="false" customHeight="false" outlineLevel="0" collapsed="false"/>
    <row r="1045071" customFormat="false" ht="12.8" hidden="false" customHeight="false" outlineLevel="0" collapsed="false"/>
    <row r="1045072" customFormat="false" ht="12.8" hidden="false" customHeight="false" outlineLevel="0" collapsed="false"/>
    <row r="1045073" customFormat="false" ht="12.8" hidden="false" customHeight="false" outlineLevel="0" collapsed="false"/>
    <row r="1045074" customFormat="false" ht="12.8" hidden="false" customHeight="false" outlineLevel="0" collapsed="false"/>
    <row r="1045075" customFormat="false" ht="12.8" hidden="false" customHeight="false" outlineLevel="0" collapsed="false"/>
    <row r="1045076" customFormat="false" ht="12.8" hidden="false" customHeight="false" outlineLevel="0" collapsed="false"/>
    <row r="1045077" customFormat="false" ht="12.8" hidden="false" customHeight="false" outlineLevel="0" collapsed="false"/>
    <row r="1045078" customFormat="false" ht="12.8" hidden="false" customHeight="false" outlineLevel="0" collapsed="false"/>
    <row r="1045079" customFormat="false" ht="12.8" hidden="false" customHeight="false" outlineLevel="0" collapsed="false"/>
    <row r="1045080" customFormat="false" ht="12.8" hidden="false" customHeight="false" outlineLevel="0" collapsed="false"/>
    <row r="1045081" customFormat="false" ht="12.8" hidden="false" customHeight="false" outlineLevel="0" collapsed="false"/>
    <row r="1045082" customFormat="false" ht="12.8" hidden="false" customHeight="false" outlineLevel="0" collapsed="false"/>
    <row r="1045083" customFormat="false" ht="12.8" hidden="false" customHeight="false" outlineLevel="0" collapsed="false"/>
    <row r="1045084" customFormat="false" ht="12.8" hidden="false" customHeight="false" outlineLevel="0" collapsed="false"/>
    <row r="1045085" customFormat="false" ht="12.8" hidden="false" customHeight="false" outlineLevel="0" collapsed="false"/>
    <row r="1045086" customFormat="false" ht="12.8" hidden="false" customHeight="false" outlineLevel="0" collapsed="false"/>
    <row r="1045087" customFormat="false" ht="12.8" hidden="false" customHeight="false" outlineLevel="0" collapsed="false"/>
    <row r="1045088" customFormat="false" ht="12.8" hidden="false" customHeight="false" outlineLevel="0" collapsed="false"/>
    <row r="1045089" customFormat="false" ht="12.8" hidden="false" customHeight="false" outlineLevel="0" collapsed="false"/>
    <row r="1045090" customFormat="false" ht="12.8" hidden="false" customHeight="false" outlineLevel="0" collapsed="false"/>
    <row r="1045091" customFormat="false" ht="12.8" hidden="false" customHeight="false" outlineLevel="0" collapsed="false"/>
    <row r="1045092" customFormat="false" ht="12.8" hidden="false" customHeight="false" outlineLevel="0" collapsed="false"/>
    <row r="1045093" customFormat="false" ht="12.8" hidden="false" customHeight="false" outlineLevel="0" collapsed="false"/>
    <row r="1045094" customFormat="false" ht="12.8" hidden="false" customHeight="false" outlineLevel="0" collapsed="false"/>
    <row r="1045095" customFormat="false" ht="12.8" hidden="false" customHeight="false" outlineLevel="0" collapsed="false"/>
    <row r="1045096" customFormat="false" ht="12.8" hidden="false" customHeight="false" outlineLevel="0" collapsed="false"/>
    <row r="1045097" customFormat="false" ht="12.8" hidden="false" customHeight="false" outlineLevel="0" collapsed="false"/>
    <row r="1045098" customFormat="false" ht="12.8" hidden="false" customHeight="false" outlineLevel="0" collapsed="false"/>
    <row r="1045099" customFormat="false" ht="12.8" hidden="false" customHeight="false" outlineLevel="0" collapsed="false"/>
    <row r="1045100" customFormat="false" ht="12.8" hidden="false" customHeight="false" outlineLevel="0" collapsed="false"/>
    <row r="1045101" customFormat="false" ht="12.8" hidden="false" customHeight="false" outlineLevel="0" collapsed="false"/>
    <row r="1045102" customFormat="false" ht="12.8" hidden="false" customHeight="false" outlineLevel="0" collapsed="false"/>
    <row r="1045103" customFormat="false" ht="12.8" hidden="false" customHeight="false" outlineLevel="0" collapsed="false"/>
    <row r="1045104" customFormat="false" ht="12.8" hidden="false" customHeight="false" outlineLevel="0" collapsed="false"/>
    <row r="1045105" customFormat="false" ht="12.8" hidden="false" customHeight="false" outlineLevel="0" collapsed="false"/>
    <row r="1045106" customFormat="false" ht="12.8" hidden="false" customHeight="false" outlineLevel="0" collapsed="false"/>
    <row r="1045107" customFormat="false" ht="12.8" hidden="false" customHeight="false" outlineLevel="0" collapsed="false"/>
    <row r="1045108" customFormat="false" ht="12.8" hidden="false" customHeight="false" outlineLevel="0" collapsed="false"/>
    <row r="1045109" customFormat="false" ht="12.8" hidden="false" customHeight="false" outlineLevel="0" collapsed="false"/>
    <row r="1045110" customFormat="false" ht="12.8" hidden="false" customHeight="false" outlineLevel="0" collapsed="false"/>
    <row r="1045111" customFormat="false" ht="12.8" hidden="false" customHeight="false" outlineLevel="0" collapsed="false"/>
    <row r="1045112" customFormat="false" ht="12.8" hidden="false" customHeight="false" outlineLevel="0" collapsed="false"/>
    <row r="1045113" customFormat="false" ht="12.8" hidden="false" customHeight="false" outlineLevel="0" collapsed="false"/>
    <row r="1045114" customFormat="false" ht="12.8" hidden="false" customHeight="false" outlineLevel="0" collapsed="false"/>
    <row r="1045115" customFormat="false" ht="12.8" hidden="false" customHeight="false" outlineLevel="0" collapsed="false"/>
    <row r="1045116" customFormat="false" ht="12.8" hidden="false" customHeight="false" outlineLevel="0" collapsed="false"/>
    <row r="1045117" customFormat="false" ht="12.8" hidden="false" customHeight="false" outlineLevel="0" collapsed="false"/>
    <row r="1045118" customFormat="false" ht="12.8" hidden="false" customHeight="false" outlineLevel="0" collapsed="false"/>
    <row r="1045119" customFormat="false" ht="12.8" hidden="false" customHeight="false" outlineLevel="0" collapsed="false"/>
    <row r="1045120" customFormat="false" ht="12.8" hidden="false" customHeight="false" outlineLevel="0" collapsed="false"/>
    <row r="1045121" customFormat="false" ht="12.8" hidden="false" customHeight="false" outlineLevel="0" collapsed="false"/>
    <row r="1045122" customFormat="false" ht="12.8" hidden="false" customHeight="false" outlineLevel="0" collapsed="false"/>
    <row r="1045123" customFormat="false" ht="12.8" hidden="false" customHeight="false" outlineLevel="0" collapsed="false"/>
    <row r="1045124" customFormat="false" ht="12.8" hidden="false" customHeight="false" outlineLevel="0" collapsed="false"/>
    <row r="1045125" customFormat="false" ht="12.8" hidden="false" customHeight="false" outlineLevel="0" collapsed="false"/>
    <row r="1045126" customFormat="false" ht="12.8" hidden="false" customHeight="false" outlineLevel="0" collapsed="false"/>
    <row r="1045127" customFormat="false" ht="12.8" hidden="false" customHeight="false" outlineLevel="0" collapsed="false"/>
    <row r="1045128" customFormat="false" ht="12.8" hidden="false" customHeight="false" outlineLevel="0" collapsed="false"/>
    <row r="1045129" customFormat="false" ht="12.8" hidden="false" customHeight="false" outlineLevel="0" collapsed="false"/>
    <row r="1045130" customFormat="false" ht="12.8" hidden="false" customHeight="false" outlineLevel="0" collapsed="false"/>
    <row r="1045131" customFormat="false" ht="12.8" hidden="false" customHeight="false" outlineLevel="0" collapsed="false"/>
    <row r="1045132" customFormat="false" ht="12.8" hidden="false" customHeight="false" outlineLevel="0" collapsed="false"/>
    <row r="1045133" customFormat="false" ht="12.8" hidden="false" customHeight="false" outlineLevel="0" collapsed="false"/>
    <row r="1045134" customFormat="false" ht="12.8" hidden="false" customHeight="false" outlineLevel="0" collapsed="false"/>
    <row r="1045135" customFormat="false" ht="12.8" hidden="false" customHeight="false" outlineLevel="0" collapsed="false"/>
    <row r="1045136" customFormat="false" ht="12.8" hidden="false" customHeight="false" outlineLevel="0" collapsed="false"/>
    <row r="1045137" customFormat="false" ht="12.8" hidden="false" customHeight="false" outlineLevel="0" collapsed="false"/>
    <row r="1045138" customFormat="false" ht="12.8" hidden="false" customHeight="false" outlineLevel="0" collapsed="false"/>
    <row r="1045139" customFormat="false" ht="12.8" hidden="false" customHeight="false" outlineLevel="0" collapsed="false"/>
    <row r="1045140" customFormat="false" ht="12.8" hidden="false" customHeight="false" outlineLevel="0" collapsed="false"/>
    <row r="1045141" customFormat="false" ht="12.8" hidden="false" customHeight="false" outlineLevel="0" collapsed="false"/>
    <row r="1045142" customFormat="false" ht="12.8" hidden="false" customHeight="false" outlineLevel="0" collapsed="false"/>
    <row r="1045143" customFormat="false" ht="12.8" hidden="false" customHeight="false" outlineLevel="0" collapsed="false"/>
    <row r="1045144" customFormat="false" ht="12.8" hidden="false" customHeight="false" outlineLevel="0" collapsed="false"/>
    <row r="1045145" customFormat="false" ht="12.8" hidden="false" customHeight="false" outlineLevel="0" collapsed="false"/>
    <row r="1045146" customFormat="false" ht="12.8" hidden="false" customHeight="false" outlineLevel="0" collapsed="false"/>
    <row r="1045147" customFormat="false" ht="12.8" hidden="false" customHeight="false" outlineLevel="0" collapsed="false"/>
    <row r="1045148" customFormat="false" ht="12.8" hidden="false" customHeight="false" outlineLevel="0" collapsed="false"/>
    <row r="1045149" customFormat="false" ht="12.8" hidden="false" customHeight="false" outlineLevel="0" collapsed="false"/>
    <row r="1045150" customFormat="false" ht="12.8" hidden="false" customHeight="false" outlineLevel="0" collapsed="false"/>
    <row r="1045151" customFormat="false" ht="12.8" hidden="false" customHeight="false" outlineLevel="0" collapsed="false"/>
    <row r="1045152" customFormat="false" ht="12.8" hidden="false" customHeight="false" outlineLevel="0" collapsed="false"/>
    <row r="1045153" customFormat="false" ht="12.8" hidden="false" customHeight="false" outlineLevel="0" collapsed="false"/>
    <row r="1045154" customFormat="false" ht="12.8" hidden="false" customHeight="false" outlineLevel="0" collapsed="false"/>
    <row r="1045155" customFormat="false" ht="12.8" hidden="false" customHeight="false" outlineLevel="0" collapsed="false"/>
    <row r="1045156" customFormat="false" ht="12.8" hidden="false" customHeight="false" outlineLevel="0" collapsed="false"/>
    <row r="1045157" customFormat="false" ht="12.8" hidden="false" customHeight="false" outlineLevel="0" collapsed="false"/>
    <row r="1045158" customFormat="false" ht="12.8" hidden="false" customHeight="false" outlineLevel="0" collapsed="false"/>
    <row r="1045159" customFormat="false" ht="12.8" hidden="false" customHeight="false" outlineLevel="0" collapsed="false"/>
    <row r="1045160" customFormat="false" ht="12.8" hidden="false" customHeight="false" outlineLevel="0" collapsed="false"/>
    <row r="1045161" customFormat="false" ht="12.8" hidden="false" customHeight="false" outlineLevel="0" collapsed="false"/>
    <row r="1045162" customFormat="false" ht="12.8" hidden="false" customHeight="false" outlineLevel="0" collapsed="false"/>
    <row r="1045163" customFormat="false" ht="12.8" hidden="false" customHeight="false" outlineLevel="0" collapsed="false"/>
    <row r="1045164" customFormat="false" ht="12.8" hidden="false" customHeight="false" outlineLevel="0" collapsed="false"/>
    <row r="1045165" customFormat="false" ht="12.8" hidden="false" customHeight="false" outlineLevel="0" collapsed="false"/>
    <row r="1045166" customFormat="false" ht="12.8" hidden="false" customHeight="false" outlineLevel="0" collapsed="false"/>
    <row r="1045167" customFormat="false" ht="12.8" hidden="false" customHeight="false" outlineLevel="0" collapsed="false"/>
    <row r="1045168" customFormat="false" ht="12.8" hidden="false" customHeight="false" outlineLevel="0" collapsed="false"/>
    <row r="1045169" customFormat="false" ht="12.8" hidden="false" customHeight="false" outlineLevel="0" collapsed="false"/>
    <row r="1045170" customFormat="false" ht="12.8" hidden="false" customHeight="false" outlineLevel="0" collapsed="false"/>
    <row r="1045171" customFormat="false" ht="12.8" hidden="false" customHeight="false" outlineLevel="0" collapsed="false"/>
    <row r="1045172" customFormat="false" ht="12.8" hidden="false" customHeight="false" outlineLevel="0" collapsed="false"/>
    <row r="1045173" customFormat="false" ht="12.8" hidden="false" customHeight="false" outlineLevel="0" collapsed="false"/>
    <row r="1045174" customFormat="false" ht="12.8" hidden="false" customHeight="false" outlineLevel="0" collapsed="false"/>
    <row r="1045175" customFormat="false" ht="12.8" hidden="false" customHeight="false" outlineLevel="0" collapsed="false"/>
    <row r="1045176" customFormat="false" ht="12.8" hidden="false" customHeight="false" outlineLevel="0" collapsed="false"/>
    <row r="1045177" customFormat="false" ht="12.8" hidden="false" customHeight="false" outlineLevel="0" collapsed="false"/>
    <row r="1045178" customFormat="false" ht="12.8" hidden="false" customHeight="false" outlineLevel="0" collapsed="false"/>
    <row r="1045179" customFormat="false" ht="12.8" hidden="false" customHeight="false" outlineLevel="0" collapsed="false"/>
    <row r="1045180" customFormat="false" ht="12.8" hidden="false" customHeight="false" outlineLevel="0" collapsed="false"/>
    <row r="1045181" customFormat="false" ht="12.8" hidden="false" customHeight="false" outlineLevel="0" collapsed="false"/>
    <row r="1045182" customFormat="false" ht="12.8" hidden="false" customHeight="false" outlineLevel="0" collapsed="false"/>
    <row r="1045183" customFormat="false" ht="12.8" hidden="false" customHeight="false" outlineLevel="0" collapsed="false"/>
    <row r="1045184" customFormat="false" ht="12.8" hidden="false" customHeight="false" outlineLevel="0" collapsed="false"/>
    <row r="1045185" customFormat="false" ht="12.8" hidden="false" customHeight="false" outlineLevel="0" collapsed="false"/>
    <row r="1045186" customFormat="false" ht="12.8" hidden="false" customHeight="false" outlineLevel="0" collapsed="false"/>
    <row r="1045187" customFormat="false" ht="12.8" hidden="false" customHeight="false" outlineLevel="0" collapsed="false"/>
    <row r="1045188" customFormat="false" ht="12.8" hidden="false" customHeight="false" outlineLevel="0" collapsed="false"/>
    <row r="1045189" customFormat="false" ht="12.8" hidden="false" customHeight="false" outlineLevel="0" collapsed="false"/>
    <row r="1045190" customFormat="false" ht="12.8" hidden="false" customHeight="false" outlineLevel="0" collapsed="false"/>
    <row r="1045191" customFormat="false" ht="12.8" hidden="false" customHeight="false" outlineLevel="0" collapsed="false"/>
    <row r="1045192" customFormat="false" ht="12.8" hidden="false" customHeight="false" outlineLevel="0" collapsed="false"/>
    <row r="1045193" customFormat="false" ht="12.8" hidden="false" customHeight="false" outlineLevel="0" collapsed="false"/>
    <row r="1045194" customFormat="false" ht="12.8" hidden="false" customHeight="false" outlineLevel="0" collapsed="false"/>
    <row r="1045195" customFormat="false" ht="12.8" hidden="false" customHeight="false" outlineLevel="0" collapsed="false"/>
    <row r="1045196" customFormat="false" ht="12.8" hidden="false" customHeight="false" outlineLevel="0" collapsed="false"/>
    <row r="1045197" customFormat="false" ht="12.8" hidden="false" customHeight="false" outlineLevel="0" collapsed="false"/>
    <row r="1045198" customFormat="false" ht="12.8" hidden="false" customHeight="false" outlineLevel="0" collapsed="false"/>
    <row r="1045199" customFormat="false" ht="12.8" hidden="false" customHeight="false" outlineLevel="0" collapsed="false"/>
    <row r="1045200" customFormat="false" ht="12.8" hidden="false" customHeight="false" outlineLevel="0" collapsed="false"/>
    <row r="1045201" customFormat="false" ht="12.8" hidden="false" customHeight="false" outlineLevel="0" collapsed="false"/>
    <row r="1045202" customFormat="false" ht="12.8" hidden="false" customHeight="false" outlineLevel="0" collapsed="false"/>
    <row r="1045203" customFormat="false" ht="12.8" hidden="false" customHeight="false" outlineLevel="0" collapsed="false"/>
    <row r="1045204" customFormat="false" ht="12.8" hidden="false" customHeight="false" outlineLevel="0" collapsed="false"/>
    <row r="1045205" customFormat="false" ht="12.8" hidden="false" customHeight="false" outlineLevel="0" collapsed="false"/>
    <row r="1045206" customFormat="false" ht="12.8" hidden="false" customHeight="false" outlineLevel="0" collapsed="false"/>
    <row r="1045207" customFormat="false" ht="12.8" hidden="false" customHeight="false" outlineLevel="0" collapsed="false"/>
    <row r="1045208" customFormat="false" ht="12.8" hidden="false" customHeight="false" outlineLevel="0" collapsed="false"/>
    <row r="1045209" customFormat="false" ht="12.8" hidden="false" customHeight="false" outlineLevel="0" collapsed="false"/>
    <row r="1045210" customFormat="false" ht="12.8" hidden="false" customHeight="false" outlineLevel="0" collapsed="false"/>
    <row r="1045211" customFormat="false" ht="12.8" hidden="false" customHeight="false" outlineLevel="0" collapsed="false"/>
    <row r="1045212" customFormat="false" ht="12.8" hidden="false" customHeight="false" outlineLevel="0" collapsed="false"/>
    <row r="1045213" customFormat="false" ht="12.8" hidden="false" customHeight="false" outlineLevel="0" collapsed="false"/>
    <row r="1045214" customFormat="false" ht="12.8" hidden="false" customHeight="false" outlineLevel="0" collapsed="false"/>
    <row r="1045215" customFormat="false" ht="12.8" hidden="false" customHeight="false" outlineLevel="0" collapsed="false"/>
    <row r="1045216" customFormat="false" ht="12.8" hidden="false" customHeight="false" outlineLevel="0" collapsed="false"/>
    <row r="1045217" customFormat="false" ht="12.8" hidden="false" customHeight="false" outlineLevel="0" collapsed="false"/>
    <row r="1045218" customFormat="false" ht="12.8" hidden="false" customHeight="false" outlineLevel="0" collapsed="false"/>
    <row r="1045219" customFormat="false" ht="12.8" hidden="false" customHeight="false" outlineLevel="0" collapsed="false"/>
    <row r="1045220" customFormat="false" ht="12.8" hidden="false" customHeight="false" outlineLevel="0" collapsed="false"/>
    <row r="1045221" customFormat="false" ht="12.8" hidden="false" customHeight="false" outlineLevel="0" collapsed="false"/>
    <row r="1045222" customFormat="false" ht="12.8" hidden="false" customHeight="false" outlineLevel="0" collapsed="false"/>
    <row r="1045223" customFormat="false" ht="12.8" hidden="false" customHeight="false" outlineLevel="0" collapsed="false"/>
    <row r="1045224" customFormat="false" ht="12.8" hidden="false" customHeight="false" outlineLevel="0" collapsed="false"/>
    <row r="1045225" customFormat="false" ht="12.8" hidden="false" customHeight="false" outlineLevel="0" collapsed="false"/>
    <row r="1045226" customFormat="false" ht="12.8" hidden="false" customHeight="false" outlineLevel="0" collapsed="false"/>
    <row r="1045227" customFormat="false" ht="12.8" hidden="false" customHeight="false" outlineLevel="0" collapsed="false"/>
    <row r="1045228" customFormat="false" ht="12.8" hidden="false" customHeight="false" outlineLevel="0" collapsed="false"/>
    <row r="1045229" customFormat="false" ht="12.8" hidden="false" customHeight="false" outlineLevel="0" collapsed="false"/>
    <row r="1045230" customFormat="false" ht="12.8" hidden="false" customHeight="false" outlineLevel="0" collapsed="false"/>
    <row r="1045231" customFormat="false" ht="12.8" hidden="false" customHeight="false" outlineLevel="0" collapsed="false"/>
    <row r="1045232" customFormat="false" ht="12.8" hidden="false" customHeight="false" outlineLevel="0" collapsed="false"/>
    <row r="1045233" customFormat="false" ht="12.8" hidden="false" customHeight="false" outlineLevel="0" collapsed="false"/>
    <row r="1045234" customFormat="false" ht="12.8" hidden="false" customHeight="false" outlineLevel="0" collapsed="false"/>
    <row r="1045235" customFormat="false" ht="12.8" hidden="false" customHeight="false" outlineLevel="0" collapsed="false"/>
    <row r="1045236" customFormat="false" ht="12.8" hidden="false" customHeight="false" outlineLevel="0" collapsed="false"/>
    <row r="1045237" customFormat="false" ht="12.8" hidden="false" customHeight="false" outlineLevel="0" collapsed="false"/>
    <row r="1045238" customFormat="false" ht="12.8" hidden="false" customHeight="false" outlineLevel="0" collapsed="false"/>
    <row r="1045239" customFormat="false" ht="12.8" hidden="false" customHeight="false" outlineLevel="0" collapsed="false"/>
    <row r="1045240" customFormat="false" ht="12.8" hidden="false" customHeight="false" outlineLevel="0" collapsed="false"/>
    <row r="1045241" customFormat="false" ht="12.8" hidden="false" customHeight="false" outlineLevel="0" collapsed="false"/>
    <row r="1045242" customFormat="false" ht="12.8" hidden="false" customHeight="false" outlineLevel="0" collapsed="false"/>
    <row r="1045243" customFormat="false" ht="12.8" hidden="false" customHeight="false" outlineLevel="0" collapsed="false"/>
    <row r="1045244" customFormat="false" ht="12.8" hidden="false" customHeight="false" outlineLevel="0" collapsed="false"/>
    <row r="1045245" customFormat="false" ht="12.8" hidden="false" customHeight="false" outlineLevel="0" collapsed="false"/>
    <row r="1045246" customFormat="false" ht="12.8" hidden="false" customHeight="false" outlineLevel="0" collapsed="false"/>
    <row r="1045247" customFormat="false" ht="12.8" hidden="false" customHeight="false" outlineLevel="0" collapsed="false"/>
    <row r="1045248" customFormat="false" ht="12.8" hidden="false" customHeight="false" outlineLevel="0" collapsed="false"/>
    <row r="1045249" customFormat="false" ht="12.8" hidden="false" customHeight="false" outlineLevel="0" collapsed="false"/>
    <row r="1045250" customFormat="false" ht="12.8" hidden="false" customHeight="false" outlineLevel="0" collapsed="false"/>
    <row r="1045251" customFormat="false" ht="12.8" hidden="false" customHeight="false" outlineLevel="0" collapsed="false"/>
    <row r="1045252" customFormat="false" ht="12.8" hidden="false" customHeight="false" outlineLevel="0" collapsed="false"/>
    <row r="1045253" customFormat="false" ht="12.8" hidden="false" customHeight="false" outlineLevel="0" collapsed="false"/>
    <row r="1045254" customFormat="false" ht="12.8" hidden="false" customHeight="false" outlineLevel="0" collapsed="false"/>
    <row r="1045255" customFormat="false" ht="12.8" hidden="false" customHeight="false" outlineLevel="0" collapsed="false"/>
    <row r="1045256" customFormat="false" ht="12.8" hidden="false" customHeight="false" outlineLevel="0" collapsed="false"/>
    <row r="1045257" customFormat="false" ht="12.8" hidden="false" customHeight="false" outlineLevel="0" collapsed="false"/>
    <row r="1045258" customFormat="false" ht="12.8" hidden="false" customHeight="false" outlineLevel="0" collapsed="false"/>
    <row r="1045259" customFormat="false" ht="12.8" hidden="false" customHeight="false" outlineLevel="0" collapsed="false"/>
    <row r="1045260" customFormat="false" ht="12.8" hidden="false" customHeight="false" outlineLevel="0" collapsed="false"/>
    <row r="1045261" customFormat="false" ht="12.8" hidden="false" customHeight="false" outlineLevel="0" collapsed="false"/>
    <row r="1045262" customFormat="false" ht="12.8" hidden="false" customHeight="false" outlineLevel="0" collapsed="false"/>
    <row r="1045263" customFormat="false" ht="12.8" hidden="false" customHeight="false" outlineLevel="0" collapsed="false"/>
    <row r="1045264" customFormat="false" ht="12.8" hidden="false" customHeight="false" outlineLevel="0" collapsed="false"/>
    <row r="1045265" customFormat="false" ht="12.8" hidden="false" customHeight="false" outlineLevel="0" collapsed="false"/>
    <row r="1045266" customFormat="false" ht="12.8" hidden="false" customHeight="false" outlineLevel="0" collapsed="false"/>
    <row r="1045267" customFormat="false" ht="12.8" hidden="false" customHeight="false" outlineLevel="0" collapsed="false"/>
    <row r="1045268" customFormat="false" ht="12.8" hidden="false" customHeight="false" outlineLevel="0" collapsed="false"/>
    <row r="1045269" customFormat="false" ht="12.8" hidden="false" customHeight="false" outlineLevel="0" collapsed="false"/>
    <row r="1045270" customFormat="false" ht="12.8" hidden="false" customHeight="false" outlineLevel="0" collapsed="false"/>
    <row r="1045271" customFormat="false" ht="12.8" hidden="false" customHeight="false" outlineLevel="0" collapsed="false"/>
    <row r="1045272" customFormat="false" ht="12.8" hidden="false" customHeight="false" outlineLevel="0" collapsed="false"/>
    <row r="1045273" customFormat="false" ht="12.8" hidden="false" customHeight="false" outlineLevel="0" collapsed="false"/>
    <row r="1045274" customFormat="false" ht="12.8" hidden="false" customHeight="false" outlineLevel="0" collapsed="false"/>
    <row r="1045275" customFormat="false" ht="12.8" hidden="false" customHeight="false" outlineLevel="0" collapsed="false"/>
    <row r="1045276" customFormat="false" ht="12.8" hidden="false" customHeight="false" outlineLevel="0" collapsed="false"/>
    <row r="1045277" customFormat="false" ht="12.8" hidden="false" customHeight="false" outlineLevel="0" collapsed="false"/>
    <row r="1045278" customFormat="false" ht="12.8" hidden="false" customHeight="false" outlineLevel="0" collapsed="false"/>
    <row r="1045279" customFormat="false" ht="12.8" hidden="false" customHeight="false" outlineLevel="0" collapsed="false"/>
    <row r="1045280" customFormat="false" ht="12.8" hidden="false" customHeight="false" outlineLevel="0" collapsed="false"/>
    <row r="1045281" customFormat="false" ht="12.8" hidden="false" customHeight="false" outlineLevel="0" collapsed="false"/>
    <row r="1045282" customFormat="false" ht="12.8" hidden="false" customHeight="false" outlineLevel="0" collapsed="false"/>
    <row r="1045283" customFormat="false" ht="12.8" hidden="false" customHeight="false" outlineLevel="0" collapsed="false"/>
    <row r="1045284" customFormat="false" ht="12.8" hidden="false" customHeight="false" outlineLevel="0" collapsed="false"/>
    <row r="1045285" customFormat="false" ht="12.8" hidden="false" customHeight="false" outlineLevel="0" collapsed="false"/>
    <row r="1045286" customFormat="false" ht="12.8" hidden="false" customHeight="false" outlineLevel="0" collapsed="false"/>
    <row r="1045287" customFormat="false" ht="12.8" hidden="false" customHeight="false" outlineLevel="0" collapsed="false"/>
    <row r="1045288" customFormat="false" ht="12.8" hidden="false" customHeight="false" outlineLevel="0" collapsed="false"/>
    <row r="1045289" customFormat="false" ht="12.8" hidden="false" customHeight="false" outlineLevel="0" collapsed="false"/>
    <row r="1045290" customFormat="false" ht="12.8" hidden="false" customHeight="false" outlineLevel="0" collapsed="false"/>
    <row r="1045291" customFormat="false" ht="12.8" hidden="false" customHeight="false" outlineLevel="0" collapsed="false"/>
    <row r="1045292" customFormat="false" ht="12.8" hidden="false" customHeight="false" outlineLevel="0" collapsed="false"/>
    <row r="1045293" customFormat="false" ht="12.8" hidden="false" customHeight="false" outlineLevel="0" collapsed="false"/>
    <row r="1045294" customFormat="false" ht="12.8" hidden="false" customHeight="false" outlineLevel="0" collapsed="false"/>
    <row r="1045295" customFormat="false" ht="12.8" hidden="false" customHeight="false" outlineLevel="0" collapsed="false"/>
    <row r="1045296" customFormat="false" ht="12.8" hidden="false" customHeight="false" outlineLevel="0" collapsed="false"/>
    <row r="1045297" customFormat="false" ht="12.8" hidden="false" customHeight="false" outlineLevel="0" collapsed="false"/>
    <row r="1045298" customFormat="false" ht="12.8" hidden="false" customHeight="false" outlineLevel="0" collapsed="false"/>
    <row r="1045299" customFormat="false" ht="12.8" hidden="false" customHeight="false" outlineLevel="0" collapsed="false"/>
    <row r="1045300" customFormat="false" ht="12.8" hidden="false" customHeight="false" outlineLevel="0" collapsed="false"/>
    <row r="1045301" customFormat="false" ht="12.8" hidden="false" customHeight="false" outlineLevel="0" collapsed="false"/>
    <row r="1045302" customFormat="false" ht="12.8" hidden="false" customHeight="false" outlineLevel="0" collapsed="false"/>
    <row r="1045303" customFormat="false" ht="12.8" hidden="false" customHeight="false" outlineLevel="0" collapsed="false"/>
    <row r="1045304" customFormat="false" ht="12.8" hidden="false" customHeight="false" outlineLevel="0" collapsed="false"/>
    <row r="1045305" customFormat="false" ht="12.8" hidden="false" customHeight="false" outlineLevel="0" collapsed="false"/>
    <row r="1045306" customFormat="false" ht="12.8" hidden="false" customHeight="false" outlineLevel="0" collapsed="false"/>
    <row r="1045307" customFormat="false" ht="12.8" hidden="false" customHeight="false" outlineLevel="0" collapsed="false"/>
    <row r="1045308" customFormat="false" ht="12.8" hidden="false" customHeight="false" outlineLevel="0" collapsed="false"/>
    <row r="1045309" customFormat="false" ht="12.8" hidden="false" customHeight="false" outlineLevel="0" collapsed="false"/>
    <row r="1045310" customFormat="false" ht="12.8" hidden="false" customHeight="false" outlineLevel="0" collapsed="false"/>
    <row r="1045311" customFormat="false" ht="12.8" hidden="false" customHeight="false" outlineLevel="0" collapsed="false"/>
    <row r="1045312" customFormat="false" ht="12.8" hidden="false" customHeight="false" outlineLevel="0" collapsed="false"/>
    <row r="1045313" customFormat="false" ht="12.8" hidden="false" customHeight="false" outlineLevel="0" collapsed="false"/>
    <row r="1045314" customFormat="false" ht="12.8" hidden="false" customHeight="false" outlineLevel="0" collapsed="false"/>
    <row r="1045315" customFormat="false" ht="12.8" hidden="false" customHeight="false" outlineLevel="0" collapsed="false"/>
    <row r="1045316" customFormat="false" ht="12.8" hidden="false" customHeight="false" outlineLevel="0" collapsed="false"/>
    <row r="1045317" customFormat="false" ht="12.8" hidden="false" customHeight="false" outlineLevel="0" collapsed="false"/>
    <row r="1045318" customFormat="false" ht="12.8" hidden="false" customHeight="false" outlineLevel="0" collapsed="false"/>
    <row r="1045319" customFormat="false" ht="12.8" hidden="false" customHeight="false" outlineLevel="0" collapsed="false"/>
    <row r="1045320" customFormat="false" ht="12.8" hidden="false" customHeight="false" outlineLevel="0" collapsed="false"/>
    <row r="1045321" customFormat="false" ht="12.8" hidden="false" customHeight="false" outlineLevel="0" collapsed="false"/>
    <row r="1045322" customFormat="false" ht="12.8" hidden="false" customHeight="false" outlineLevel="0" collapsed="false"/>
    <row r="1045323" customFormat="false" ht="12.8" hidden="false" customHeight="false" outlineLevel="0" collapsed="false"/>
    <row r="1045324" customFormat="false" ht="12.8" hidden="false" customHeight="false" outlineLevel="0" collapsed="false"/>
    <row r="1045325" customFormat="false" ht="12.8" hidden="false" customHeight="false" outlineLevel="0" collapsed="false"/>
    <row r="1045326" customFormat="false" ht="12.8" hidden="false" customHeight="false" outlineLevel="0" collapsed="false"/>
    <row r="1045327" customFormat="false" ht="12.8" hidden="false" customHeight="false" outlineLevel="0" collapsed="false"/>
    <row r="1045328" customFormat="false" ht="12.8" hidden="false" customHeight="false" outlineLevel="0" collapsed="false"/>
    <row r="1045329" customFormat="false" ht="12.8" hidden="false" customHeight="false" outlineLevel="0" collapsed="false"/>
    <row r="1045330" customFormat="false" ht="12.8" hidden="false" customHeight="false" outlineLevel="0" collapsed="false"/>
    <row r="1045331" customFormat="false" ht="12.8" hidden="false" customHeight="false" outlineLevel="0" collapsed="false"/>
    <row r="1045332" customFormat="false" ht="12.8" hidden="false" customHeight="false" outlineLevel="0" collapsed="false"/>
    <row r="1045333" customFormat="false" ht="12.8" hidden="false" customHeight="false" outlineLevel="0" collapsed="false"/>
    <row r="1045334" customFormat="false" ht="12.8" hidden="false" customHeight="false" outlineLevel="0" collapsed="false"/>
    <row r="1045335" customFormat="false" ht="12.8" hidden="false" customHeight="false" outlineLevel="0" collapsed="false"/>
    <row r="1045336" customFormat="false" ht="12.8" hidden="false" customHeight="false" outlineLevel="0" collapsed="false"/>
    <row r="1045337" customFormat="false" ht="12.8" hidden="false" customHeight="false" outlineLevel="0" collapsed="false"/>
    <row r="1045338" customFormat="false" ht="12.8" hidden="false" customHeight="false" outlineLevel="0" collapsed="false"/>
    <row r="1045339" customFormat="false" ht="12.8" hidden="false" customHeight="false" outlineLevel="0" collapsed="false"/>
    <row r="1045340" customFormat="false" ht="12.8" hidden="false" customHeight="false" outlineLevel="0" collapsed="false"/>
    <row r="1045341" customFormat="false" ht="12.8" hidden="false" customHeight="false" outlineLevel="0" collapsed="false"/>
    <row r="1045342" customFormat="false" ht="12.8" hidden="false" customHeight="false" outlineLevel="0" collapsed="false"/>
    <row r="1045343" customFormat="false" ht="12.8" hidden="false" customHeight="false" outlineLevel="0" collapsed="false"/>
    <row r="1045344" customFormat="false" ht="12.8" hidden="false" customHeight="false" outlineLevel="0" collapsed="false"/>
    <row r="1045345" customFormat="false" ht="12.8" hidden="false" customHeight="false" outlineLevel="0" collapsed="false"/>
    <row r="1045346" customFormat="false" ht="12.8" hidden="false" customHeight="false" outlineLevel="0" collapsed="false"/>
    <row r="1045347" customFormat="false" ht="12.8" hidden="false" customHeight="false" outlineLevel="0" collapsed="false"/>
    <row r="1045348" customFormat="false" ht="12.8" hidden="false" customHeight="false" outlineLevel="0" collapsed="false"/>
    <row r="1045349" customFormat="false" ht="12.8" hidden="false" customHeight="false" outlineLevel="0" collapsed="false"/>
    <row r="1045350" customFormat="false" ht="12.8" hidden="false" customHeight="false" outlineLevel="0" collapsed="false"/>
    <row r="1045351" customFormat="false" ht="12.8" hidden="false" customHeight="false" outlineLevel="0" collapsed="false"/>
    <row r="1045352" customFormat="false" ht="12.8" hidden="false" customHeight="false" outlineLevel="0" collapsed="false"/>
    <row r="1045353" customFormat="false" ht="12.8" hidden="false" customHeight="false" outlineLevel="0" collapsed="false"/>
    <row r="1045354" customFormat="false" ht="12.8" hidden="false" customHeight="false" outlineLevel="0" collapsed="false"/>
    <row r="1045355" customFormat="false" ht="12.8" hidden="false" customHeight="false" outlineLevel="0" collapsed="false"/>
    <row r="1045356" customFormat="false" ht="12.8" hidden="false" customHeight="false" outlineLevel="0" collapsed="false"/>
    <row r="1045357" customFormat="false" ht="12.8" hidden="false" customHeight="false" outlineLevel="0" collapsed="false"/>
    <row r="1045358" customFormat="false" ht="12.8" hidden="false" customHeight="false" outlineLevel="0" collapsed="false"/>
    <row r="1045359" customFormat="false" ht="12.8" hidden="false" customHeight="false" outlineLevel="0" collapsed="false"/>
    <row r="1045360" customFormat="false" ht="12.8" hidden="false" customHeight="false" outlineLevel="0" collapsed="false"/>
    <row r="1045361" customFormat="false" ht="12.8" hidden="false" customHeight="false" outlineLevel="0" collapsed="false"/>
    <row r="1045362" customFormat="false" ht="12.8" hidden="false" customHeight="false" outlineLevel="0" collapsed="false"/>
    <row r="1045363" customFormat="false" ht="12.8" hidden="false" customHeight="false" outlineLevel="0" collapsed="false"/>
    <row r="1045364" customFormat="false" ht="12.8" hidden="false" customHeight="false" outlineLevel="0" collapsed="false"/>
    <row r="1045365" customFormat="false" ht="12.8" hidden="false" customHeight="false" outlineLevel="0" collapsed="false"/>
    <row r="1045366" customFormat="false" ht="12.8" hidden="false" customHeight="false" outlineLevel="0" collapsed="false"/>
    <row r="1045367" customFormat="false" ht="12.8" hidden="false" customHeight="false" outlineLevel="0" collapsed="false"/>
    <row r="1045368" customFormat="false" ht="12.8" hidden="false" customHeight="false" outlineLevel="0" collapsed="false"/>
    <row r="1045369" customFormat="false" ht="12.8" hidden="false" customHeight="false" outlineLevel="0" collapsed="false"/>
    <row r="1045370" customFormat="false" ht="12.8" hidden="false" customHeight="false" outlineLevel="0" collapsed="false"/>
    <row r="1045371" customFormat="false" ht="12.8" hidden="false" customHeight="false" outlineLevel="0" collapsed="false"/>
    <row r="1045372" customFormat="false" ht="12.8" hidden="false" customHeight="false" outlineLevel="0" collapsed="false"/>
    <row r="1045373" customFormat="false" ht="12.8" hidden="false" customHeight="false" outlineLevel="0" collapsed="false"/>
    <row r="1045374" customFormat="false" ht="12.8" hidden="false" customHeight="false" outlineLevel="0" collapsed="false"/>
    <row r="1045375" customFormat="false" ht="12.8" hidden="false" customHeight="false" outlineLevel="0" collapsed="false"/>
    <row r="1045376" customFormat="false" ht="12.8" hidden="false" customHeight="false" outlineLevel="0" collapsed="false"/>
    <row r="1045377" customFormat="false" ht="12.8" hidden="false" customHeight="false" outlineLevel="0" collapsed="false"/>
    <row r="1045378" customFormat="false" ht="12.8" hidden="false" customHeight="false" outlineLevel="0" collapsed="false"/>
    <row r="1045379" customFormat="false" ht="12.8" hidden="false" customHeight="false" outlineLevel="0" collapsed="false"/>
    <row r="1045380" customFormat="false" ht="12.8" hidden="false" customHeight="false" outlineLevel="0" collapsed="false"/>
    <row r="1045381" customFormat="false" ht="12.8" hidden="false" customHeight="false" outlineLevel="0" collapsed="false"/>
    <row r="1045382" customFormat="false" ht="12.8" hidden="false" customHeight="false" outlineLevel="0" collapsed="false"/>
    <row r="1045383" customFormat="false" ht="12.8" hidden="false" customHeight="false" outlineLevel="0" collapsed="false"/>
    <row r="1045384" customFormat="false" ht="12.8" hidden="false" customHeight="false" outlineLevel="0" collapsed="false"/>
    <row r="1045385" customFormat="false" ht="12.8" hidden="false" customHeight="false" outlineLevel="0" collapsed="false"/>
    <row r="1045386" customFormat="false" ht="12.8" hidden="false" customHeight="false" outlineLevel="0" collapsed="false"/>
    <row r="1045387" customFormat="false" ht="12.8" hidden="false" customHeight="false" outlineLevel="0" collapsed="false"/>
    <row r="1045388" customFormat="false" ht="12.8" hidden="false" customHeight="false" outlineLevel="0" collapsed="false"/>
    <row r="1045389" customFormat="false" ht="12.8" hidden="false" customHeight="false" outlineLevel="0" collapsed="false"/>
    <row r="1045390" customFormat="false" ht="12.8" hidden="false" customHeight="false" outlineLevel="0" collapsed="false"/>
    <row r="1045391" customFormat="false" ht="12.8" hidden="false" customHeight="false" outlineLevel="0" collapsed="false"/>
    <row r="1045392" customFormat="false" ht="12.8" hidden="false" customHeight="false" outlineLevel="0" collapsed="false"/>
    <row r="1045393" customFormat="false" ht="12.8" hidden="false" customHeight="false" outlineLevel="0" collapsed="false"/>
    <row r="1045394" customFormat="false" ht="12.8" hidden="false" customHeight="false" outlineLevel="0" collapsed="false"/>
    <row r="1045395" customFormat="false" ht="12.8" hidden="false" customHeight="false" outlineLevel="0" collapsed="false"/>
    <row r="1045396" customFormat="false" ht="12.8" hidden="false" customHeight="false" outlineLevel="0" collapsed="false"/>
    <row r="1045397" customFormat="false" ht="12.8" hidden="false" customHeight="false" outlineLevel="0" collapsed="false"/>
    <row r="1045398" customFormat="false" ht="12.8" hidden="false" customHeight="false" outlineLevel="0" collapsed="false"/>
    <row r="1045399" customFormat="false" ht="12.8" hidden="false" customHeight="false" outlineLevel="0" collapsed="false"/>
    <row r="1045400" customFormat="false" ht="12.8" hidden="false" customHeight="false" outlineLevel="0" collapsed="false"/>
    <row r="1045401" customFormat="false" ht="12.8" hidden="false" customHeight="false" outlineLevel="0" collapsed="false"/>
    <row r="1045402" customFormat="false" ht="12.8" hidden="false" customHeight="false" outlineLevel="0" collapsed="false"/>
    <row r="1045403" customFormat="false" ht="12.8" hidden="false" customHeight="false" outlineLevel="0" collapsed="false"/>
    <row r="1045404" customFormat="false" ht="12.8" hidden="false" customHeight="false" outlineLevel="0" collapsed="false"/>
    <row r="1045405" customFormat="false" ht="12.8" hidden="false" customHeight="false" outlineLevel="0" collapsed="false"/>
    <row r="1045406" customFormat="false" ht="12.8" hidden="false" customHeight="false" outlineLevel="0" collapsed="false"/>
    <row r="1045407" customFormat="false" ht="12.8" hidden="false" customHeight="false" outlineLevel="0" collapsed="false"/>
    <row r="1045408" customFormat="false" ht="12.8" hidden="false" customHeight="false" outlineLevel="0" collapsed="false"/>
    <row r="1045409" customFormat="false" ht="12.8" hidden="false" customHeight="false" outlineLevel="0" collapsed="false"/>
    <row r="1045410" customFormat="false" ht="12.8" hidden="false" customHeight="false" outlineLevel="0" collapsed="false"/>
    <row r="1045411" customFormat="false" ht="12.8" hidden="false" customHeight="false" outlineLevel="0" collapsed="false"/>
    <row r="1045412" customFormat="false" ht="12.8" hidden="false" customHeight="false" outlineLevel="0" collapsed="false"/>
    <row r="1045413" customFormat="false" ht="12.8" hidden="false" customHeight="false" outlineLevel="0" collapsed="false"/>
    <row r="1045414" customFormat="false" ht="12.8" hidden="false" customHeight="false" outlineLevel="0" collapsed="false"/>
    <row r="1045415" customFormat="false" ht="12.8" hidden="false" customHeight="false" outlineLevel="0" collapsed="false"/>
    <row r="1045416" customFormat="false" ht="12.8" hidden="false" customHeight="false" outlineLevel="0" collapsed="false"/>
    <row r="1045417" customFormat="false" ht="12.8" hidden="false" customHeight="false" outlineLevel="0" collapsed="false"/>
    <row r="1045418" customFormat="false" ht="12.8" hidden="false" customHeight="false" outlineLevel="0" collapsed="false"/>
    <row r="1045419" customFormat="false" ht="12.8" hidden="false" customHeight="false" outlineLevel="0" collapsed="false"/>
    <row r="1045420" customFormat="false" ht="12.8" hidden="false" customHeight="false" outlineLevel="0" collapsed="false"/>
    <row r="1045421" customFormat="false" ht="12.8" hidden="false" customHeight="false" outlineLevel="0" collapsed="false"/>
    <row r="1045422" customFormat="false" ht="12.8" hidden="false" customHeight="false" outlineLevel="0" collapsed="false"/>
    <row r="1045423" customFormat="false" ht="12.8" hidden="false" customHeight="false" outlineLevel="0" collapsed="false"/>
    <row r="1045424" customFormat="false" ht="12.8" hidden="false" customHeight="false" outlineLevel="0" collapsed="false"/>
    <row r="1045425" customFormat="false" ht="12.8" hidden="false" customHeight="false" outlineLevel="0" collapsed="false"/>
    <row r="1045426" customFormat="false" ht="12.8" hidden="false" customHeight="false" outlineLevel="0" collapsed="false"/>
    <row r="1045427" customFormat="false" ht="12.8" hidden="false" customHeight="false" outlineLevel="0" collapsed="false"/>
    <row r="1045428" customFormat="false" ht="12.8" hidden="false" customHeight="false" outlineLevel="0" collapsed="false"/>
    <row r="1045429" customFormat="false" ht="12.8" hidden="false" customHeight="false" outlineLevel="0" collapsed="false"/>
    <row r="1045430" customFormat="false" ht="12.8" hidden="false" customHeight="false" outlineLevel="0" collapsed="false"/>
    <row r="1045431" customFormat="false" ht="12.8" hidden="false" customHeight="false" outlineLevel="0" collapsed="false"/>
    <row r="1045432" customFormat="false" ht="12.8" hidden="false" customHeight="false" outlineLevel="0" collapsed="false"/>
    <row r="1045433" customFormat="false" ht="12.8" hidden="false" customHeight="false" outlineLevel="0" collapsed="false"/>
    <row r="1045434" customFormat="false" ht="12.8" hidden="false" customHeight="false" outlineLevel="0" collapsed="false"/>
    <row r="1045435" customFormat="false" ht="12.8" hidden="false" customHeight="false" outlineLevel="0" collapsed="false"/>
    <row r="1045436" customFormat="false" ht="12.8" hidden="false" customHeight="false" outlineLevel="0" collapsed="false"/>
    <row r="1045437" customFormat="false" ht="12.8" hidden="false" customHeight="false" outlineLevel="0" collapsed="false"/>
    <row r="1045438" customFormat="false" ht="12.8" hidden="false" customHeight="false" outlineLevel="0" collapsed="false"/>
    <row r="1045439" customFormat="false" ht="12.8" hidden="false" customHeight="false" outlineLevel="0" collapsed="false"/>
    <row r="1045440" customFormat="false" ht="12.8" hidden="false" customHeight="false" outlineLevel="0" collapsed="false"/>
    <row r="1045441" customFormat="false" ht="12.8" hidden="false" customHeight="false" outlineLevel="0" collapsed="false"/>
    <row r="1045442" customFormat="false" ht="12.8" hidden="false" customHeight="false" outlineLevel="0" collapsed="false"/>
    <row r="1045443" customFormat="false" ht="12.8" hidden="false" customHeight="false" outlineLevel="0" collapsed="false"/>
    <row r="1045444" customFormat="false" ht="12.8" hidden="false" customHeight="false" outlineLevel="0" collapsed="false"/>
    <row r="1045445" customFormat="false" ht="12.8" hidden="false" customHeight="false" outlineLevel="0" collapsed="false"/>
    <row r="1045446" customFormat="false" ht="12.8" hidden="false" customHeight="false" outlineLevel="0" collapsed="false"/>
    <row r="1045447" customFormat="false" ht="12.8" hidden="false" customHeight="false" outlineLevel="0" collapsed="false"/>
    <row r="1045448" customFormat="false" ht="12.8" hidden="false" customHeight="false" outlineLevel="0" collapsed="false"/>
    <row r="1045449" customFormat="false" ht="12.8" hidden="false" customHeight="false" outlineLevel="0" collapsed="false"/>
    <row r="1045450" customFormat="false" ht="12.8" hidden="false" customHeight="false" outlineLevel="0" collapsed="false"/>
    <row r="1045451" customFormat="false" ht="12.8" hidden="false" customHeight="false" outlineLevel="0" collapsed="false"/>
    <row r="1045452" customFormat="false" ht="12.8" hidden="false" customHeight="false" outlineLevel="0" collapsed="false"/>
    <row r="1045453" customFormat="false" ht="12.8" hidden="false" customHeight="false" outlineLevel="0" collapsed="false"/>
    <row r="1045454" customFormat="false" ht="12.8" hidden="false" customHeight="false" outlineLevel="0" collapsed="false"/>
    <row r="1045455" customFormat="false" ht="12.8" hidden="false" customHeight="false" outlineLevel="0" collapsed="false"/>
    <row r="1045456" customFormat="false" ht="12.8" hidden="false" customHeight="false" outlineLevel="0" collapsed="false"/>
    <row r="1045457" customFormat="false" ht="12.8" hidden="false" customHeight="false" outlineLevel="0" collapsed="false"/>
    <row r="1045458" customFormat="false" ht="12.8" hidden="false" customHeight="false" outlineLevel="0" collapsed="false"/>
    <row r="1045459" customFormat="false" ht="12.8" hidden="false" customHeight="false" outlineLevel="0" collapsed="false"/>
    <row r="1045460" customFormat="false" ht="12.8" hidden="false" customHeight="false" outlineLevel="0" collapsed="false"/>
    <row r="1045461" customFormat="false" ht="12.8" hidden="false" customHeight="false" outlineLevel="0" collapsed="false"/>
    <row r="1045462" customFormat="false" ht="12.8" hidden="false" customHeight="false" outlineLevel="0" collapsed="false"/>
    <row r="1045463" customFormat="false" ht="12.8" hidden="false" customHeight="false" outlineLevel="0" collapsed="false"/>
    <row r="1045464" customFormat="false" ht="12.8" hidden="false" customHeight="false" outlineLevel="0" collapsed="false"/>
    <row r="1045465" customFormat="false" ht="12.8" hidden="false" customHeight="false" outlineLevel="0" collapsed="false"/>
    <row r="1045466" customFormat="false" ht="12.8" hidden="false" customHeight="false" outlineLevel="0" collapsed="false"/>
    <row r="1045467" customFormat="false" ht="12.8" hidden="false" customHeight="false" outlineLevel="0" collapsed="false"/>
    <row r="1045468" customFormat="false" ht="12.8" hidden="false" customHeight="false" outlineLevel="0" collapsed="false"/>
    <row r="1045469" customFormat="false" ht="12.8" hidden="false" customHeight="false" outlineLevel="0" collapsed="false"/>
    <row r="1045470" customFormat="false" ht="12.8" hidden="false" customHeight="false" outlineLevel="0" collapsed="false"/>
    <row r="1045471" customFormat="false" ht="12.8" hidden="false" customHeight="false" outlineLevel="0" collapsed="false"/>
    <row r="1045472" customFormat="false" ht="12.8" hidden="false" customHeight="false" outlineLevel="0" collapsed="false"/>
    <row r="1045473" customFormat="false" ht="12.8" hidden="false" customHeight="false" outlineLevel="0" collapsed="false"/>
    <row r="1045474" customFormat="false" ht="12.8" hidden="false" customHeight="false" outlineLevel="0" collapsed="false"/>
    <row r="1045475" customFormat="false" ht="12.8" hidden="false" customHeight="false" outlineLevel="0" collapsed="false"/>
    <row r="1045476" customFormat="false" ht="12.8" hidden="false" customHeight="false" outlineLevel="0" collapsed="false"/>
    <row r="1045477" customFormat="false" ht="12.8" hidden="false" customHeight="false" outlineLevel="0" collapsed="false"/>
    <row r="1045478" customFormat="false" ht="12.8" hidden="false" customHeight="false" outlineLevel="0" collapsed="false"/>
    <row r="1045479" customFormat="false" ht="12.8" hidden="false" customHeight="false" outlineLevel="0" collapsed="false"/>
    <row r="1045480" customFormat="false" ht="12.8" hidden="false" customHeight="false" outlineLevel="0" collapsed="false"/>
    <row r="1045481" customFormat="false" ht="12.8" hidden="false" customHeight="false" outlineLevel="0" collapsed="false"/>
    <row r="1045482" customFormat="false" ht="12.8" hidden="false" customHeight="false" outlineLevel="0" collapsed="false"/>
    <row r="1045483" customFormat="false" ht="12.8" hidden="false" customHeight="false" outlineLevel="0" collapsed="false"/>
    <row r="1045484" customFormat="false" ht="12.8" hidden="false" customHeight="false" outlineLevel="0" collapsed="false"/>
    <row r="1045485" customFormat="false" ht="12.8" hidden="false" customHeight="false" outlineLevel="0" collapsed="false"/>
    <row r="1045486" customFormat="false" ht="12.8" hidden="false" customHeight="false" outlineLevel="0" collapsed="false"/>
    <row r="1045487" customFormat="false" ht="12.8" hidden="false" customHeight="false" outlineLevel="0" collapsed="false"/>
    <row r="1045488" customFormat="false" ht="12.8" hidden="false" customHeight="false" outlineLevel="0" collapsed="false"/>
    <row r="1045489" customFormat="false" ht="12.8" hidden="false" customHeight="false" outlineLevel="0" collapsed="false"/>
    <row r="1045490" customFormat="false" ht="12.8" hidden="false" customHeight="false" outlineLevel="0" collapsed="false"/>
    <row r="1045491" customFormat="false" ht="12.8" hidden="false" customHeight="false" outlineLevel="0" collapsed="false"/>
    <row r="1045492" customFormat="false" ht="12.8" hidden="false" customHeight="false" outlineLevel="0" collapsed="false"/>
    <row r="1045493" customFormat="false" ht="12.8" hidden="false" customHeight="false" outlineLevel="0" collapsed="false"/>
    <row r="1045494" customFormat="false" ht="12.8" hidden="false" customHeight="false" outlineLevel="0" collapsed="false"/>
    <row r="1045495" customFormat="false" ht="12.8" hidden="false" customHeight="false" outlineLevel="0" collapsed="false"/>
    <row r="1045496" customFormat="false" ht="12.8" hidden="false" customHeight="false" outlineLevel="0" collapsed="false"/>
    <row r="1045497" customFormat="false" ht="12.8" hidden="false" customHeight="false" outlineLevel="0" collapsed="false"/>
    <row r="1045498" customFormat="false" ht="12.8" hidden="false" customHeight="false" outlineLevel="0" collapsed="false"/>
    <row r="1045499" customFormat="false" ht="12.8" hidden="false" customHeight="false" outlineLevel="0" collapsed="false"/>
    <row r="1045500" customFormat="false" ht="12.8" hidden="false" customHeight="false" outlineLevel="0" collapsed="false"/>
    <row r="1045501" customFormat="false" ht="12.8" hidden="false" customHeight="false" outlineLevel="0" collapsed="false"/>
    <row r="1045502" customFormat="false" ht="12.8" hidden="false" customHeight="false" outlineLevel="0" collapsed="false"/>
    <row r="1045503" customFormat="false" ht="12.8" hidden="false" customHeight="false" outlineLevel="0" collapsed="false"/>
    <row r="1045504" customFormat="false" ht="12.8" hidden="false" customHeight="false" outlineLevel="0" collapsed="false"/>
    <row r="1045505" customFormat="false" ht="12.8" hidden="false" customHeight="false" outlineLevel="0" collapsed="false"/>
    <row r="1045506" customFormat="false" ht="12.8" hidden="false" customHeight="false" outlineLevel="0" collapsed="false"/>
    <row r="1045507" customFormat="false" ht="12.8" hidden="false" customHeight="false" outlineLevel="0" collapsed="false"/>
    <row r="1045508" customFormat="false" ht="12.8" hidden="false" customHeight="false" outlineLevel="0" collapsed="false"/>
    <row r="1045509" customFormat="false" ht="12.8" hidden="false" customHeight="false" outlineLevel="0" collapsed="false"/>
    <row r="1045510" customFormat="false" ht="12.8" hidden="false" customHeight="false" outlineLevel="0" collapsed="false"/>
    <row r="1045511" customFormat="false" ht="12.8" hidden="false" customHeight="false" outlineLevel="0" collapsed="false"/>
    <row r="1045512" customFormat="false" ht="12.8" hidden="false" customHeight="false" outlineLevel="0" collapsed="false"/>
    <row r="1045513" customFormat="false" ht="12.8" hidden="false" customHeight="false" outlineLevel="0" collapsed="false"/>
    <row r="1045514" customFormat="false" ht="12.8" hidden="false" customHeight="false" outlineLevel="0" collapsed="false"/>
    <row r="1045515" customFormat="false" ht="12.8" hidden="false" customHeight="false" outlineLevel="0" collapsed="false"/>
    <row r="1045516" customFormat="false" ht="12.8" hidden="false" customHeight="false" outlineLevel="0" collapsed="false"/>
    <row r="1045517" customFormat="false" ht="12.8" hidden="false" customHeight="false" outlineLevel="0" collapsed="false"/>
    <row r="1045518" customFormat="false" ht="12.8" hidden="false" customHeight="false" outlineLevel="0" collapsed="false"/>
    <row r="1045519" customFormat="false" ht="12.8" hidden="false" customHeight="false" outlineLevel="0" collapsed="false"/>
    <row r="1045520" customFormat="false" ht="12.8" hidden="false" customHeight="false" outlineLevel="0" collapsed="false"/>
    <row r="1045521" customFormat="false" ht="12.8" hidden="false" customHeight="false" outlineLevel="0" collapsed="false"/>
    <row r="1045522" customFormat="false" ht="12.8" hidden="false" customHeight="false" outlineLevel="0" collapsed="false"/>
    <row r="1045523" customFormat="false" ht="12.8" hidden="false" customHeight="false" outlineLevel="0" collapsed="false"/>
    <row r="1045524" customFormat="false" ht="12.8" hidden="false" customHeight="false" outlineLevel="0" collapsed="false"/>
    <row r="1045525" customFormat="false" ht="12.8" hidden="false" customHeight="false" outlineLevel="0" collapsed="false"/>
    <row r="1045526" customFormat="false" ht="12.8" hidden="false" customHeight="false" outlineLevel="0" collapsed="false"/>
    <row r="1045527" customFormat="false" ht="12.8" hidden="false" customHeight="false" outlineLevel="0" collapsed="false"/>
    <row r="1045528" customFormat="false" ht="12.8" hidden="false" customHeight="false" outlineLevel="0" collapsed="false"/>
    <row r="1045529" customFormat="false" ht="12.8" hidden="false" customHeight="false" outlineLevel="0" collapsed="false"/>
    <row r="1045530" customFormat="false" ht="12.8" hidden="false" customHeight="false" outlineLevel="0" collapsed="false"/>
    <row r="1045531" customFormat="false" ht="12.8" hidden="false" customHeight="false" outlineLevel="0" collapsed="false"/>
    <row r="1045532" customFormat="false" ht="12.8" hidden="false" customHeight="false" outlineLevel="0" collapsed="false"/>
    <row r="1045533" customFormat="false" ht="12.8" hidden="false" customHeight="false" outlineLevel="0" collapsed="false"/>
    <row r="1045534" customFormat="false" ht="12.8" hidden="false" customHeight="false" outlineLevel="0" collapsed="false"/>
    <row r="1045535" customFormat="false" ht="12.8" hidden="false" customHeight="false" outlineLevel="0" collapsed="false"/>
    <row r="1045536" customFormat="false" ht="12.8" hidden="false" customHeight="false" outlineLevel="0" collapsed="false"/>
    <row r="1045537" customFormat="false" ht="12.8" hidden="false" customHeight="false" outlineLevel="0" collapsed="false"/>
    <row r="1045538" customFormat="false" ht="12.8" hidden="false" customHeight="false" outlineLevel="0" collapsed="false"/>
    <row r="1045539" customFormat="false" ht="12.8" hidden="false" customHeight="false" outlineLevel="0" collapsed="false"/>
    <row r="1045540" customFormat="false" ht="12.8" hidden="false" customHeight="false" outlineLevel="0" collapsed="false"/>
    <row r="1045541" customFormat="false" ht="12.8" hidden="false" customHeight="false" outlineLevel="0" collapsed="false"/>
    <row r="1045542" customFormat="false" ht="12.8" hidden="false" customHeight="false" outlineLevel="0" collapsed="false"/>
    <row r="1045543" customFormat="false" ht="12.8" hidden="false" customHeight="false" outlineLevel="0" collapsed="false"/>
    <row r="1045544" customFormat="false" ht="12.8" hidden="false" customHeight="false" outlineLevel="0" collapsed="false"/>
    <row r="1045545" customFormat="false" ht="12.8" hidden="false" customHeight="false" outlineLevel="0" collapsed="false"/>
    <row r="1045546" customFormat="false" ht="12.8" hidden="false" customHeight="false" outlineLevel="0" collapsed="false"/>
    <row r="1045547" customFormat="false" ht="12.8" hidden="false" customHeight="false" outlineLevel="0" collapsed="false"/>
    <row r="1045548" customFormat="false" ht="12.8" hidden="false" customHeight="false" outlineLevel="0" collapsed="false"/>
    <row r="1045549" customFormat="false" ht="12.8" hidden="false" customHeight="false" outlineLevel="0" collapsed="false"/>
    <row r="1045550" customFormat="false" ht="12.8" hidden="false" customHeight="false" outlineLevel="0" collapsed="false"/>
    <row r="1045551" customFormat="false" ht="12.8" hidden="false" customHeight="false" outlineLevel="0" collapsed="false"/>
    <row r="1045552" customFormat="false" ht="12.8" hidden="false" customHeight="false" outlineLevel="0" collapsed="false"/>
    <row r="1045553" customFormat="false" ht="12.8" hidden="false" customHeight="false" outlineLevel="0" collapsed="false"/>
    <row r="1045554" customFormat="false" ht="12.8" hidden="false" customHeight="false" outlineLevel="0" collapsed="false"/>
    <row r="1045555" customFormat="false" ht="12.8" hidden="false" customHeight="false" outlineLevel="0" collapsed="false"/>
    <row r="1045556" customFormat="false" ht="12.8" hidden="false" customHeight="false" outlineLevel="0" collapsed="false"/>
    <row r="1045557" customFormat="false" ht="12.8" hidden="false" customHeight="false" outlineLevel="0" collapsed="false"/>
    <row r="1045558" customFormat="false" ht="12.8" hidden="false" customHeight="false" outlineLevel="0" collapsed="false"/>
    <row r="1045559" customFormat="false" ht="12.8" hidden="false" customHeight="false" outlineLevel="0" collapsed="false"/>
    <row r="1045560" customFormat="false" ht="12.8" hidden="false" customHeight="false" outlineLevel="0" collapsed="false"/>
    <row r="1045561" customFormat="false" ht="12.8" hidden="false" customHeight="false" outlineLevel="0" collapsed="false"/>
    <row r="1045562" customFormat="false" ht="12.8" hidden="false" customHeight="false" outlineLevel="0" collapsed="false"/>
    <row r="1045563" customFormat="false" ht="12.8" hidden="false" customHeight="false" outlineLevel="0" collapsed="false"/>
    <row r="1045564" customFormat="false" ht="12.8" hidden="false" customHeight="false" outlineLevel="0" collapsed="false"/>
    <row r="1045565" customFormat="false" ht="12.8" hidden="false" customHeight="false" outlineLevel="0" collapsed="false"/>
    <row r="1045566" customFormat="false" ht="12.8" hidden="false" customHeight="false" outlineLevel="0" collapsed="false"/>
    <row r="1045567" customFormat="false" ht="12.8" hidden="false" customHeight="false" outlineLevel="0" collapsed="false"/>
    <row r="1045568" customFormat="false" ht="12.8" hidden="false" customHeight="false" outlineLevel="0" collapsed="false"/>
    <row r="1045569" customFormat="false" ht="12.8" hidden="false" customHeight="false" outlineLevel="0" collapsed="false"/>
    <row r="1045570" customFormat="false" ht="12.8" hidden="false" customHeight="false" outlineLevel="0" collapsed="false"/>
    <row r="1045571" customFormat="false" ht="12.8" hidden="false" customHeight="false" outlineLevel="0" collapsed="false"/>
    <row r="1045572" customFormat="false" ht="12.8" hidden="false" customHeight="false" outlineLevel="0" collapsed="false"/>
    <row r="1045573" customFormat="false" ht="12.8" hidden="false" customHeight="false" outlineLevel="0" collapsed="false"/>
    <row r="1045574" customFormat="false" ht="12.8" hidden="false" customHeight="false" outlineLevel="0" collapsed="false"/>
    <row r="1045575" customFormat="false" ht="12.8" hidden="false" customHeight="false" outlineLevel="0" collapsed="false"/>
    <row r="1045576" customFormat="false" ht="12.8" hidden="false" customHeight="false" outlineLevel="0" collapsed="false"/>
    <row r="1045577" customFormat="false" ht="12.8" hidden="false" customHeight="false" outlineLevel="0" collapsed="false"/>
    <row r="1045578" customFormat="false" ht="12.8" hidden="false" customHeight="false" outlineLevel="0" collapsed="false"/>
    <row r="1045579" customFormat="false" ht="12.8" hidden="false" customHeight="false" outlineLevel="0" collapsed="false"/>
    <row r="1045580" customFormat="false" ht="12.8" hidden="false" customHeight="false" outlineLevel="0" collapsed="false"/>
    <row r="1045581" customFormat="false" ht="12.8" hidden="false" customHeight="false" outlineLevel="0" collapsed="false"/>
    <row r="1045582" customFormat="false" ht="12.8" hidden="false" customHeight="false" outlineLevel="0" collapsed="false"/>
    <row r="1045583" customFormat="false" ht="12.8" hidden="false" customHeight="false" outlineLevel="0" collapsed="false"/>
    <row r="1045584" customFormat="false" ht="12.8" hidden="false" customHeight="false" outlineLevel="0" collapsed="false"/>
    <row r="1045585" customFormat="false" ht="12.8" hidden="false" customHeight="false" outlineLevel="0" collapsed="false"/>
    <row r="1045586" customFormat="false" ht="12.8" hidden="false" customHeight="false" outlineLevel="0" collapsed="false"/>
    <row r="1045587" customFormat="false" ht="12.8" hidden="false" customHeight="false" outlineLevel="0" collapsed="false"/>
    <row r="1045588" customFormat="false" ht="12.8" hidden="false" customHeight="false" outlineLevel="0" collapsed="false"/>
    <row r="1045589" customFormat="false" ht="12.8" hidden="false" customHeight="false" outlineLevel="0" collapsed="false"/>
    <row r="1045590" customFormat="false" ht="12.8" hidden="false" customHeight="false" outlineLevel="0" collapsed="false"/>
    <row r="1045591" customFormat="false" ht="12.8" hidden="false" customHeight="false" outlineLevel="0" collapsed="false"/>
    <row r="1045592" customFormat="false" ht="12.8" hidden="false" customHeight="false" outlineLevel="0" collapsed="false"/>
    <row r="1045593" customFormat="false" ht="12.8" hidden="false" customHeight="false" outlineLevel="0" collapsed="false"/>
    <row r="1045594" customFormat="false" ht="12.8" hidden="false" customHeight="false" outlineLevel="0" collapsed="false"/>
    <row r="1045595" customFormat="false" ht="12.8" hidden="false" customHeight="false" outlineLevel="0" collapsed="false"/>
    <row r="1045596" customFormat="false" ht="12.8" hidden="false" customHeight="false" outlineLevel="0" collapsed="false"/>
    <row r="1045597" customFormat="false" ht="12.8" hidden="false" customHeight="false" outlineLevel="0" collapsed="false"/>
    <row r="1045598" customFormat="false" ht="12.8" hidden="false" customHeight="false" outlineLevel="0" collapsed="false"/>
    <row r="1045599" customFormat="false" ht="12.8" hidden="false" customHeight="false" outlineLevel="0" collapsed="false"/>
    <row r="1045600" customFormat="false" ht="12.8" hidden="false" customHeight="false" outlineLevel="0" collapsed="false"/>
    <row r="1045601" customFormat="false" ht="12.8" hidden="false" customHeight="false" outlineLevel="0" collapsed="false"/>
    <row r="1045602" customFormat="false" ht="12.8" hidden="false" customHeight="false" outlineLevel="0" collapsed="false"/>
    <row r="1045603" customFormat="false" ht="12.8" hidden="false" customHeight="false" outlineLevel="0" collapsed="false"/>
    <row r="1045604" customFormat="false" ht="12.8" hidden="false" customHeight="false" outlineLevel="0" collapsed="false"/>
    <row r="1045605" customFormat="false" ht="12.8" hidden="false" customHeight="false" outlineLevel="0" collapsed="false"/>
    <row r="1045606" customFormat="false" ht="12.8" hidden="false" customHeight="false" outlineLevel="0" collapsed="false"/>
    <row r="1045607" customFormat="false" ht="12.8" hidden="false" customHeight="false" outlineLevel="0" collapsed="false"/>
    <row r="1045608" customFormat="false" ht="12.8" hidden="false" customHeight="false" outlineLevel="0" collapsed="false"/>
    <row r="1045609" customFormat="false" ht="12.8" hidden="false" customHeight="false" outlineLevel="0" collapsed="false"/>
    <row r="1045610" customFormat="false" ht="12.8" hidden="false" customHeight="false" outlineLevel="0" collapsed="false"/>
    <row r="1045611" customFormat="false" ht="12.8" hidden="false" customHeight="false" outlineLevel="0" collapsed="false"/>
    <row r="1045612" customFormat="false" ht="12.8" hidden="false" customHeight="false" outlineLevel="0" collapsed="false"/>
    <row r="1045613" customFormat="false" ht="12.8" hidden="false" customHeight="false" outlineLevel="0" collapsed="false"/>
    <row r="1045614" customFormat="false" ht="12.8" hidden="false" customHeight="false" outlineLevel="0" collapsed="false"/>
    <row r="1045615" customFormat="false" ht="12.8" hidden="false" customHeight="false" outlineLevel="0" collapsed="false"/>
    <row r="1045616" customFormat="false" ht="12.8" hidden="false" customHeight="false" outlineLevel="0" collapsed="false"/>
    <row r="1045617" customFormat="false" ht="12.8" hidden="false" customHeight="false" outlineLevel="0" collapsed="false"/>
    <row r="1045618" customFormat="false" ht="12.8" hidden="false" customHeight="false" outlineLevel="0" collapsed="false"/>
    <row r="1045619" customFormat="false" ht="12.8" hidden="false" customHeight="false" outlineLevel="0" collapsed="false"/>
    <row r="1045620" customFormat="false" ht="12.8" hidden="false" customHeight="false" outlineLevel="0" collapsed="false"/>
    <row r="1045621" customFormat="false" ht="12.8" hidden="false" customHeight="false" outlineLevel="0" collapsed="false"/>
    <row r="1045622" customFormat="false" ht="12.8" hidden="false" customHeight="false" outlineLevel="0" collapsed="false"/>
    <row r="1045623" customFormat="false" ht="12.8" hidden="false" customHeight="false" outlineLevel="0" collapsed="false"/>
    <row r="1045624" customFormat="false" ht="12.8" hidden="false" customHeight="false" outlineLevel="0" collapsed="false"/>
    <row r="1045625" customFormat="false" ht="12.8" hidden="false" customHeight="false" outlineLevel="0" collapsed="false"/>
    <row r="1045626" customFormat="false" ht="12.8" hidden="false" customHeight="false" outlineLevel="0" collapsed="false"/>
    <row r="1045627" customFormat="false" ht="12.8" hidden="false" customHeight="false" outlineLevel="0" collapsed="false"/>
    <row r="1045628" customFormat="false" ht="12.8" hidden="false" customHeight="false" outlineLevel="0" collapsed="false"/>
    <row r="1045629" customFormat="false" ht="12.8" hidden="false" customHeight="false" outlineLevel="0" collapsed="false"/>
    <row r="1045630" customFormat="false" ht="12.8" hidden="false" customHeight="false" outlineLevel="0" collapsed="false"/>
    <row r="1045631" customFormat="false" ht="12.8" hidden="false" customHeight="false" outlineLevel="0" collapsed="false"/>
    <row r="1045632" customFormat="false" ht="12.8" hidden="false" customHeight="false" outlineLevel="0" collapsed="false"/>
    <row r="1045633" customFormat="false" ht="12.8" hidden="false" customHeight="false" outlineLevel="0" collapsed="false"/>
    <row r="1045634" customFormat="false" ht="12.8" hidden="false" customHeight="false" outlineLevel="0" collapsed="false"/>
    <row r="1045635" customFormat="false" ht="12.8" hidden="false" customHeight="false" outlineLevel="0" collapsed="false"/>
    <row r="1045636" customFormat="false" ht="12.8" hidden="false" customHeight="false" outlineLevel="0" collapsed="false"/>
    <row r="1045637" customFormat="false" ht="12.8" hidden="false" customHeight="false" outlineLevel="0" collapsed="false"/>
    <row r="1045638" customFormat="false" ht="12.8" hidden="false" customHeight="false" outlineLevel="0" collapsed="false"/>
    <row r="1045639" customFormat="false" ht="12.8" hidden="false" customHeight="false" outlineLevel="0" collapsed="false"/>
    <row r="1045640" customFormat="false" ht="12.8" hidden="false" customHeight="false" outlineLevel="0" collapsed="false"/>
    <row r="1045641" customFormat="false" ht="12.8" hidden="false" customHeight="false" outlineLevel="0" collapsed="false"/>
    <row r="1045642" customFormat="false" ht="12.8" hidden="false" customHeight="false" outlineLevel="0" collapsed="false"/>
    <row r="1045643" customFormat="false" ht="12.8" hidden="false" customHeight="false" outlineLevel="0" collapsed="false"/>
    <row r="1045644" customFormat="false" ht="12.8" hidden="false" customHeight="false" outlineLevel="0" collapsed="false"/>
    <row r="1045645" customFormat="false" ht="12.8" hidden="false" customHeight="false" outlineLevel="0" collapsed="false"/>
    <row r="1045646" customFormat="false" ht="12.8" hidden="false" customHeight="false" outlineLevel="0" collapsed="false"/>
    <row r="1045647" customFormat="false" ht="12.8" hidden="false" customHeight="false" outlineLevel="0" collapsed="false"/>
    <row r="1045648" customFormat="false" ht="12.8" hidden="false" customHeight="false" outlineLevel="0" collapsed="false"/>
    <row r="1045649" customFormat="false" ht="12.8" hidden="false" customHeight="false" outlineLevel="0" collapsed="false"/>
    <row r="1045650" customFormat="false" ht="12.8" hidden="false" customHeight="false" outlineLevel="0" collapsed="false"/>
    <row r="1045651" customFormat="false" ht="12.8" hidden="false" customHeight="false" outlineLevel="0" collapsed="false"/>
    <row r="1045652" customFormat="false" ht="12.8" hidden="false" customHeight="false" outlineLevel="0" collapsed="false"/>
    <row r="1045653" customFormat="false" ht="12.8" hidden="false" customHeight="false" outlineLevel="0" collapsed="false"/>
    <row r="1045654" customFormat="false" ht="12.8" hidden="false" customHeight="false" outlineLevel="0" collapsed="false"/>
    <row r="1045655" customFormat="false" ht="12.8" hidden="false" customHeight="false" outlineLevel="0" collapsed="false"/>
    <row r="1045656" customFormat="false" ht="12.8" hidden="false" customHeight="false" outlineLevel="0" collapsed="false"/>
    <row r="1045657" customFormat="false" ht="12.8" hidden="false" customHeight="false" outlineLevel="0" collapsed="false"/>
    <row r="1045658" customFormat="false" ht="12.8" hidden="false" customHeight="false" outlineLevel="0" collapsed="false"/>
    <row r="1045659" customFormat="false" ht="12.8" hidden="false" customHeight="false" outlineLevel="0" collapsed="false"/>
    <row r="1045660" customFormat="false" ht="12.8" hidden="false" customHeight="false" outlineLevel="0" collapsed="false"/>
    <row r="1045661" customFormat="false" ht="12.8" hidden="false" customHeight="false" outlineLevel="0" collapsed="false"/>
    <row r="1045662" customFormat="false" ht="12.8" hidden="false" customHeight="false" outlineLevel="0" collapsed="false"/>
    <row r="1045663" customFormat="false" ht="12.8" hidden="false" customHeight="false" outlineLevel="0" collapsed="false"/>
    <row r="1045664" customFormat="false" ht="12.8" hidden="false" customHeight="false" outlineLevel="0" collapsed="false"/>
    <row r="1045665" customFormat="false" ht="12.8" hidden="false" customHeight="false" outlineLevel="0" collapsed="false"/>
    <row r="1045666" customFormat="false" ht="12.8" hidden="false" customHeight="false" outlineLevel="0" collapsed="false"/>
    <row r="1045667" customFormat="false" ht="12.8" hidden="false" customHeight="false" outlineLevel="0" collapsed="false"/>
    <row r="1045668" customFormat="false" ht="12.8" hidden="false" customHeight="false" outlineLevel="0" collapsed="false"/>
    <row r="1045669" customFormat="false" ht="12.8" hidden="false" customHeight="false" outlineLevel="0" collapsed="false"/>
    <row r="1045670" customFormat="false" ht="12.8" hidden="false" customHeight="false" outlineLevel="0" collapsed="false"/>
    <row r="1045671" customFormat="false" ht="12.8" hidden="false" customHeight="false" outlineLevel="0" collapsed="false"/>
    <row r="1045672" customFormat="false" ht="12.8" hidden="false" customHeight="false" outlineLevel="0" collapsed="false"/>
    <row r="1045673" customFormat="false" ht="12.8" hidden="false" customHeight="false" outlineLevel="0" collapsed="false"/>
    <row r="1045674" customFormat="false" ht="12.8" hidden="false" customHeight="false" outlineLevel="0" collapsed="false"/>
    <row r="1045675" customFormat="false" ht="12.8" hidden="false" customHeight="false" outlineLevel="0" collapsed="false"/>
    <row r="1045676" customFormat="false" ht="12.8" hidden="false" customHeight="false" outlineLevel="0" collapsed="false"/>
    <row r="1045677" customFormat="false" ht="12.8" hidden="false" customHeight="false" outlineLevel="0" collapsed="false"/>
    <row r="1045678" customFormat="false" ht="12.8" hidden="false" customHeight="false" outlineLevel="0" collapsed="false"/>
    <row r="1045679" customFormat="false" ht="12.8" hidden="false" customHeight="false" outlineLevel="0" collapsed="false"/>
    <row r="1045680" customFormat="false" ht="12.8" hidden="false" customHeight="false" outlineLevel="0" collapsed="false"/>
    <row r="1045681" customFormat="false" ht="12.8" hidden="false" customHeight="false" outlineLevel="0" collapsed="false"/>
    <row r="1045682" customFormat="false" ht="12.8" hidden="false" customHeight="false" outlineLevel="0" collapsed="false"/>
    <row r="1045683" customFormat="false" ht="12.8" hidden="false" customHeight="false" outlineLevel="0" collapsed="false"/>
    <row r="1045684" customFormat="false" ht="12.8" hidden="false" customHeight="false" outlineLevel="0" collapsed="false"/>
    <row r="1045685" customFormat="false" ht="12.8" hidden="false" customHeight="false" outlineLevel="0" collapsed="false"/>
    <row r="1045686" customFormat="false" ht="12.8" hidden="false" customHeight="false" outlineLevel="0" collapsed="false"/>
    <row r="1045687" customFormat="false" ht="12.8" hidden="false" customHeight="false" outlineLevel="0" collapsed="false"/>
    <row r="1045688" customFormat="false" ht="12.8" hidden="false" customHeight="false" outlineLevel="0" collapsed="false"/>
    <row r="1045689" customFormat="false" ht="12.8" hidden="false" customHeight="false" outlineLevel="0" collapsed="false"/>
    <row r="1045690" customFormat="false" ht="12.8" hidden="false" customHeight="false" outlineLevel="0" collapsed="false"/>
    <row r="1045691" customFormat="false" ht="12.8" hidden="false" customHeight="false" outlineLevel="0" collapsed="false"/>
    <row r="1045692" customFormat="false" ht="12.8" hidden="false" customHeight="false" outlineLevel="0" collapsed="false"/>
    <row r="1045693" customFormat="false" ht="12.8" hidden="false" customHeight="false" outlineLevel="0" collapsed="false"/>
    <row r="1045694" customFormat="false" ht="12.8" hidden="false" customHeight="false" outlineLevel="0" collapsed="false"/>
    <row r="1045695" customFormat="false" ht="12.8" hidden="false" customHeight="false" outlineLevel="0" collapsed="false"/>
    <row r="1045696" customFormat="false" ht="12.8" hidden="false" customHeight="false" outlineLevel="0" collapsed="false"/>
    <row r="1045697" customFormat="false" ht="12.8" hidden="false" customHeight="false" outlineLevel="0" collapsed="false"/>
    <row r="1045698" customFormat="false" ht="12.8" hidden="false" customHeight="false" outlineLevel="0" collapsed="false"/>
    <row r="1045699" customFormat="false" ht="12.8" hidden="false" customHeight="false" outlineLevel="0" collapsed="false"/>
    <row r="1045700" customFormat="false" ht="12.8" hidden="false" customHeight="false" outlineLevel="0" collapsed="false"/>
    <row r="1045701" customFormat="false" ht="12.8" hidden="false" customHeight="false" outlineLevel="0" collapsed="false"/>
    <row r="1045702" customFormat="false" ht="12.8" hidden="false" customHeight="false" outlineLevel="0" collapsed="false"/>
    <row r="1045703" customFormat="false" ht="12.8" hidden="false" customHeight="false" outlineLevel="0" collapsed="false"/>
    <row r="1045704" customFormat="false" ht="12.8" hidden="false" customHeight="false" outlineLevel="0" collapsed="false"/>
    <row r="1045705" customFormat="false" ht="12.8" hidden="false" customHeight="false" outlineLevel="0" collapsed="false"/>
    <row r="1045706" customFormat="false" ht="12.8" hidden="false" customHeight="false" outlineLevel="0" collapsed="false"/>
    <row r="1045707" customFormat="false" ht="12.8" hidden="false" customHeight="false" outlineLevel="0" collapsed="false"/>
    <row r="1045708" customFormat="false" ht="12.8" hidden="false" customHeight="false" outlineLevel="0" collapsed="false"/>
    <row r="1045709" customFormat="false" ht="12.8" hidden="false" customHeight="false" outlineLevel="0" collapsed="false"/>
    <row r="1045710" customFormat="false" ht="12.8" hidden="false" customHeight="false" outlineLevel="0" collapsed="false"/>
    <row r="1045711" customFormat="false" ht="12.8" hidden="false" customHeight="false" outlineLevel="0" collapsed="false"/>
    <row r="1045712" customFormat="false" ht="12.8" hidden="false" customHeight="false" outlineLevel="0" collapsed="false"/>
    <row r="1045713" customFormat="false" ht="12.8" hidden="false" customHeight="false" outlineLevel="0" collapsed="false"/>
    <row r="1045714" customFormat="false" ht="12.8" hidden="false" customHeight="false" outlineLevel="0" collapsed="false"/>
    <row r="1045715" customFormat="false" ht="12.8" hidden="false" customHeight="false" outlineLevel="0" collapsed="false"/>
    <row r="1045716" customFormat="false" ht="12.8" hidden="false" customHeight="false" outlineLevel="0" collapsed="false"/>
    <row r="1045717" customFormat="false" ht="12.8" hidden="false" customHeight="false" outlineLevel="0" collapsed="false"/>
    <row r="1045718" customFormat="false" ht="12.8" hidden="false" customHeight="false" outlineLevel="0" collapsed="false"/>
    <row r="1045719" customFormat="false" ht="12.8" hidden="false" customHeight="false" outlineLevel="0" collapsed="false"/>
    <row r="1045720" customFormat="false" ht="12.8" hidden="false" customHeight="false" outlineLevel="0" collapsed="false"/>
    <row r="1045721" customFormat="false" ht="12.8" hidden="false" customHeight="false" outlineLevel="0" collapsed="false"/>
    <row r="1045722" customFormat="false" ht="12.8" hidden="false" customHeight="false" outlineLevel="0" collapsed="false"/>
    <row r="1045723" customFormat="false" ht="12.8" hidden="false" customHeight="false" outlineLevel="0" collapsed="false"/>
    <row r="1045724" customFormat="false" ht="12.8" hidden="false" customHeight="false" outlineLevel="0" collapsed="false"/>
    <row r="1045725" customFormat="false" ht="12.8" hidden="false" customHeight="false" outlineLevel="0" collapsed="false"/>
    <row r="1045726" customFormat="false" ht="12.8" hidden="false" customHeight="false" outlineLevel="0" collapsed="false"/>
    <row r="1045727" customFormat="false" ht="12.8" hidden="false" customHeight="false" outlineLevel="0" collapsed="false"/>
    <row r="1045728" customFormat="false" ht="12.8" hidden="false" customHeight="false" outlineLevel="0" collapsed="false"/>
    <row r="1045729" customFormat="false" ht="12.8" hidden="false" customHeight="false" outlineLevel="0" collapsed="false"/>
    <row r="1045730" customFormat="false" ht="12.8" hidden="false" customHeight="false" outlineLevel="0" collapsed="false"/>
    <row r="1045731" customFormat="false" ht="12.8" hidden="false" customHeight="false" outlineLevel="0" collapsed="false"/>
    <row r="1045732" customFormat="false" ht="12.8" hidden="false" customHeight="false" outlineLevel="0" collapsed="false"/>
    <row r="1045733" customFormat="false" ht="12.8" hidden="false" customHeight="false" outlineLevel="0" collapsed="false"/>
    <row r="1045734" customFormat="false" ht="12.8" hidden="false" customHeight="false" outlineLevel="0" collapsed="false"/>
    <row r="1045735" customFormat="false" ht="12.8" hidden="false" customHeight="false" outlineLevel="0" collapsed="false"/>
    <row r="1045736" customFormat="false" ht="12.8" hidden="false" customHeight="false" outlineLevel="0" collapsed="false"/>
    <row r="1045737" customFormat="false" ht="12.8" hidden="false" customHeight="false" outlineLevel="0" collapsed="false"/>
    <row r="1045738" customFormat="false" ht="12.8" hidden="false" customHeight="false" outlineLevel="0" collapsed="false"/>
    <row r="1045739" customFormat="false" ht="12.8" hidden="false" customHeight="false" outlineLevel="0" collapsed="false"/>
    <row r="1045740" customFormat="false" ht="12.8" hidden="false" customHeight="false" outlineLevel="0" collapsed="false"/>
    <row r="1045741" customFormat="false" ht="12.8" hidden="false" customHeight="false" outlineLevel="0" collapsed="false"/>
    <row r="1045742" customFormat="false" ht="12.8" hidden="false" customHeight="false" outlineLevel="0" collapsed="false"/>
    <row r="1045743" customFormat="false" ht="12.8" hidden="false" customHeight="false" outlineLevel="0" collapsed="false"/>
    <row r="1045744" customFormat="false" ht="12.8" hidden="false" customHeight="false" outlineLevel="0" collapsed="false"/>
    <row r="1045745" customFormat="false" ht="12.8" hidden="false" customHeight="false" outlineLevel="0" collapsed="false"/>
    <row r="1045746" customFormat="false" ht="12.8" hidden="false" customHeight="false" outlineLevel="0" collapsed="false"/>
    <row r="1045747" customFormat="false" ht="12.8" hidden="false" customHeight="false" outlineLevel="0" collapsed="false"/>
    <row r="1045748" customFormat="false" ht="12.8" hidden="false" customHeight="false" outlineLevel="0" collapsed="false"/>
    <row r="1045749" customFormat="false" ht="12.8" hidden="false" customHeight="false" outlineLevel="0" collapsed="false"/>
    <row r="1045750" customFormat="false" ht="12.8" hidden="false" customHeight="false" outlineLevel="0" collapsed="false"/>
    <row r="1045751" customFormat="false" ht="12.8" hidden="false" customHeight="false" outlineLevel="0" collapsed="false"/>
    <row r="1045752" customFormat="false" ht="12.8" hidden="false" customHeight="false" outlineLevel="0" collapsed="false"/>
    <row r="1045753" customFormat="false" ht="12.8" hidden="false" customHeight="false" outlineLevel="0" collapsed="false"/>
    <row r="1045754" customFormat="false" ht="12.8" hidden="false" customHeight="false" outlineLevel="0" collapsed="false"/>
    <row r="1045755" customFormat="false" ht="12.8" hidden="false" customHeight="false" outlineLevel="0" collapsed="false"/>
    <row r="1045756" customFormat="false" ht="12.8" hidden="false" customHeight="false" outlineLevel="0" collapsed="false"/>
    <row r="1045757" customFormat="false" ht="12.8" hidden="false" customHeight="false" outlineLevel="0" collapsed="false"/>
    <row r="1045758" customFormat="false" ht="12.8" hidden="false" customHeight="false" outlineLevel="0" collapsed="false"/>
    <row r="1045759" customFormat="false" ht="12.8" hidden="false" customHeight="false" outlineLevel="0" collapsed="false"/>
    <row r="1045760" customFormat="false" ht="12.8" hidden="false" customHeight="false" outlineLevel="0" collapsed="false"/>
    <row r="1045761" customFormat="false" ht="12.8" hidden="false" customHeight="false" outlineLevel="0" collapsed="false"/>
    <row r="1045762" customFormat="false" ht="12.8" hidden="false" customHeight="false" outlineLevel="0" collapsed="false"/>
    <row r="1045763" customFormat="false" ht="12.8" hidden="false" customHeight="false" outlineLevel="0" collapsed="false"/>
    <row r="1045764" customFormat="false" ht="12.8" hidden="false" customHeight="false" outlineLevel="0" collapsed="false"/>
    <row r="1045765" customFormat="false" ht="12.8" hidden="false" customHeight="false" outlineLevel="0" collapsed="false"/>
    <row r="1045766" customFormat="false" ht="12.8" hidden="false" customHeight="false" outlineLevel="0" collapsed="false"/>
    <row r="1045767" customFormat="false" ht="12.8" hidden="false" customHeight="false" outlineLevel="0" collapsed="false"/>
    <row r="1045768" customFormat="false" ht="12.8" hidden="false" customHeight="false" outlineLevel="0" collapsed="false"/>
    <row r="1045769" customFormat="false" ht="12.8" hidden="false" customHeight="false" outlineLevel="0" collapsed="false"/>
    <row r="1045770" customFormat="false" ht="12.8" hidden="false" customHeight="false" outlineLevel="0" collapsed="false"/>
    <row r="1045771" customFormat="false" ht="12.8" hidden="false" customHeight="false" outlineLevel="0" collapsed="false"/>
    <row r="1045772" customFormat="false" ht="12.8" hidden="false" customHeight="false" outlineLevel="0" collapsed="false"/>
    <row r="1045773" customFormat="false" ht="12.8" hidden="false" customHeight="false" outlineLevel="0" collapsed="false"/>
    <row r="1045774" customFormat="false" ht="12.8" hidden="false" customHeight="false" outlineLevel="0" collapsed="false"/>
    <row r="1045775" customFormat="false" ht="12.8" hidden="false" customHeight="false" outlineLevel="0" collapsed="false"/>
    <row r="1045776" customFormat="false" ht="12.8" hidden="false" customHeight="false" outlineLevel="0" collapsed="false"/>
    <row r="1045777" customFormat="false" ht="12.8" hidden="false" customHeight="false" outlineLevel="0" collapsed="false"/>
    <row r="1045778" customFormat="false" ht="12.8" hidden="false" customHeight="false" outlineLevel="0" collapsed="false"/>
    <row r="1045779" customFormat="false" ht="12.8" hidden="false" customHeight="false" outlineLevel="0" collapsed="false"/>
    <row r="1045780" customFormat="false" ht="12.8" hidden="false" customHeight="false" outlineLevel="0" collapsed="false"/>
    <row r="1045781" customFormat="false" ht="12.8" hidden="false" customHeight="false" outlineLevel="0" collapsed="false"/>
    <row r="1045782" customFormat="false" ht="12.8" hidden="false" customHeight="false" outlineLevel="0" collapsed="false"/>
    <row r="1045783" customFormat="false" ht="12.8" hidden="false" customHeight="false" outlineLevel="0" collapsed="false"/>
    <row r="1045784" customFormat="false" ht="12.8" hidden="false" customHeight="false" outlineLevel="0" collapsed="false"/>
    <row r="1045785" customFormat="false" ht="12.8" hidden="false" customHeight="false" outlineLevel="0" collapsed="false"/>
    <row r="1045786" customFormat="false" ht="12.8" hidden="false" customHeight="false" outlineLevel="0" collapsed="false"/>
    <row r="1045787" customFormat="false" ht="12.8" hidden="false" customHeight="false" outlineLevel="0" collapsed="false"/>
    <row r="1045788" customFormat="false" ht="12.8" hidden="false" customHeight="false" outlineLevel="0" collapsed="false"/>
    <row r="1045789" customFormat="false" ht="12.8" hidden="false" customHeight="false" outlineLevel="0" collapsed="false"/>
    <row r="1045790" customFormat="false" ht="12.8" hidden="false" customHeight="false" outlineLevel="0" collapsed="false"/>
    <row r="1045791" customFormat="false" ht="12.8" hidden="false" customHeight="false" outlineLevel="0" collapsed="false"/>
    <row r="1045792" customFormat="false" ht="12.8" hidden="false" customHeight="false" outlineLevel="0" collapsed="false"/>
    <row r="1045793" customFormat="false" ht="12.8" hidden="false" customHeight="false" outlineLevel="0" collapsed="false"/>
    <row r="1045794" customFormat="false" ht="12.8" hidden="false" customHeight="false" outlineLevel="0" collapsed="false"/>
    <row r="1045795" customFormat="false" ht="12.8" hidden="false" customHeight="false" outlineLevel="0" collapsed="false"/>
    <row r="1045796" customFormat="false" ht="12.8" hidden="false" customHeight="false" outlineLevel="0" collapsed="false"/>
    <row r="1045797" customFormat="false" ht="12.8" hidden="false" customHeight="false" outlineLevel="0" collapsed="false"/>
    <row r="1045798" customFormat="false" ht="12.8" hidden="false" customHeight="false" outlineLevel="0" collapsed="false"/>
    <row r="1045799" customFormat="false" ht="12.8" hidden="false" customHeight="false" outlineLevel="0" collapsed="false"/>
    <row r="1045800" customFormat="false" ht="12.8" hidden="false" customHeight="false" outlineLevel="0" collapsed="false"/>
    <row r="1045801" customFormat="false" ht="12.8" hidden="false" customHeight="false" outlineLevel="0" collapsed="false"/>
    <row r="1045802" customFormat="false" ht="12.8" hidden="false" customHeight="false" outlineLevel="0" collapsed="false"/>
    <row r="1045803" customFormat="false" ht="12.8" hidden="false" customHeight="false" outlineLevel="0" collapsed="false"/>
    <row r="1045804" customFormat="false" ht="12.8" hidden="false" customHeight="false" outlineLevel="0" collapsed="false"/>
    <row r="1045805" customFormat="false" ht="12.8" hidden="false" customHeight="false" outlineLevel="0" collapsed="false"/>
    <row r="1045806" customFormat="false" ht="12.8" hidden="false" customHeight="false" outlineLevel="0" collapsed="false"/>
    <row r="1045807" customFormat="false" ht="12.8" hidden="false" customHeight="false" outlineLevel="0" collapsed="false"/>
    <row r="1045808" customFormat="false" ht="12.8" hidden="false" customHeight="false" outlineLevel="0" collapsed="false"/>
    <row r="1045809" customFormat="false" ht="12.8" hidden="false" customHeight="false" outlineLevel="0" collapsed="false"/>
    <row r="1045810" customFormat="false" ht="12.8" hidden="false" customHeight="false" outlineLevel="0" collapsed="false"/>
    <row r="1045811" customFormat="false" ht="12.8" hidden="false" customHeight="false" outlineLevel="0" collapsed="false"/>
    <row r="1045812" customFormat="false" ht="12.8" hidden="false" customHeight="false" outlineLevel="0" collapsed="false"/>
    <row r="1045813" customFormat="false" ht="12.8" hidden="false" customHeight="false" outlineLevel="0" collapsed="false"/>
    <row r="1045814" customFormat="false" ht="12.8" hidden="false" customHeight="false" outlineLevel="0" collapsed="false"/>
    <row r="1045815" customFormat="false" ht="12.8" hidden="false" customHeight="false" outlineLevel="0" collapsed="false"/>
    <row r="1045816" customFormat="false" ht="12.8" hidden="false" customHeight="false" outlineLevel="0" collapsed="false"/>
    <row r="1045817" customFormat="false" ht="12.8" hidden="false" customHeight="false" outlineLevel="0" collapsed="false"/>
    <row r="1045818" customFormat="false" ht="12.8" hidden="false" customHeight="false" outlineLevel="0" collapsed="false"/>
    <row r="1045819" customFormat="false" ht="12.8" hidden="false" customHeight="false" outlineLevel="0" collapsed="false"/>
    <row r="1045820" customFormat="false" ht="12.8" hidden="false" customHeight="false" outlineLevel="0" collapsed="false"/>
    <row r="1045821" customFormat="false" ht="12.8" hidden="false" customHeight="false" outlineLevel="0" collapsed="false"/>
    <row r="1045822" customFormat="false" ht="12.8" hidden="false" customHeight="false" outlineLevel="0" collapsed="false"/>
    <row r="1045823" customFormat="false" ht="12.8" hidden="false" customHeight="false" outlineLevel="0" collapsed="false"/>
    <row r="1045824" customFormat="false" ht="12.8" hidden="false" customHeight="false" outlineLevel="0" collapsed="false"/>
    <row r="1045825" customFormat="false" ht="12.8" hidden="false" customHeight="false" outlineLevel="0" collapsed="false"/>
    <row r="1045826" customFormat="false" ht="12.8" hidden="false" customHeight="false" outlineLevel="0" collapsed="false"/>
    <row r="1045827" customFormat="false" ht="12.8" hidden="false" customHeight="false" outlineLevel="0" collapsed="false"/>
    <row r="1045828" customFormat="false" ht="12.8" hidden="false" customHeight="false" outlineLevel="0" collapsed="false"/>
    <row r="1045829" customFormat="false" ht="12.8" hidden="false" customHeight="false" outlineLevel="0" collapsed="false"/>
    <row r="1045830" customFormat="false" ht="12.8" hidden="false" customHeight="false" outlineLevel="0" collapsed="false"/>
    <row r="1045831" customFormat="false" ht="12.8" hidden="false" customHeight="false" outlineLevel="0" collapsed="false"/>
    <row r="1045832" customFormat="false" ht="12.8" hidden="false" customHeight="false" outlineLevel="0" collapsed="false"/>
    <row r="1045833" customFormat="false" ht="12.8" hidden="false" customHeight="false" outlineLevel="0" collapsed="false"/>
    <row r="1045834" customFormat="false" ht="12.8" hidden="false" customHeight="false" outlineLevel="0" collapsed="false"/>
    <row r="1045835" customFormat="false" ht="12.8" hidden="false" customHeight="false" outlineLevel="0" collapsed="false"/>
    <row r="1045836" customFormat="false" ht="12.8" hidden="false" customHeight="false" outlineLevel="0" collapsed="false"/>
    <row r="1045837" customFormat="false" ht="12.8" hidden="false" customHeight="false" outlineLevel="0" collapsed="false"/>
    <row r="1045838" customFormat="false" ht="12.8" hidden="false" customHeight="false" outlineLevel="0" collapsed="false"/>
    <row r="1045839" customFormat="false" ht="12.8" hidden="false" customHeight="false" outlineLevel="0" collapsed="false"/>
    <row r="1045840" customFormat="false" ht="12.8" hidden="false" customHeight="false" outlineLevel="0" collapsed="false"/>
    <row r="1045841" customFormat="false" ht="12.8" hidden="false" customHeight="false" outlineLevel="0" collapsed="false"/>
    <row r="1045842" customFormat="false" ht="12.8" hidden="false" customHeight="false" outlineLevel="0" collapsed="false"/>
    <row r="1045843" customFormat="false" ht="12.8" hidden="false" customHeight="false" outlineLevel="0" collapsed="false"/>
    <row r="1045844" customFormat="false" ht="12.8" hidden="false" customHeight="false" outlineLevel="0" collapsed="false"/>
    <row r="1045845" customFormat="false" ht="12.8" hidden="false" customHeight="false" outlineLevel="0" collapsed="false"/>
    <row r="1045846" customFormat="false" ht="12.8" hidden="false" customHeight="false" outlineLevel="0" collapsed="false"/>
    <row r="1045847" customFormat="false" ht="12.8" hidden="false" customHeight="false" outlineLevel="0" collapsed="false"/>
    <row r="1045848" customFormat="false" ht="12.8" hidden="false" customHeight="false" outlineLevel="0" collapsed="false"/>
    <row r="1045849" customFormat="false" ht="12.8" hidden="false" customHeight="false" outlineLevel="0" collapsed="false"/>
    <row r="1045850" customFormat="false" ht="12.8" hidden="false" customHeight="false" outlineLevel="0" collapsed="false"/>
    <row r="1045851" customFormat="false" ht="12.8" hidden="false" customHeight="false" outlineLevel="0" collapsed="false"/>
    <row r="1045852" customFormat="false" ht="12.8" hidden="false" customHeight="false" outlineLevel="0" collapsed="false"/>
    <row r="1045853" customFormat="false" ht="12.8" hidden="false" customHeight="false" outlineLevel="0" collapsed="false"/>
    <row r="1045854" customFormat="false" ht="12.8" hidden="false" customHeight="false" outlineLevel="0" collapsed="false"/>
    <row r="1045855" customFormat="false" ht="12.8" hidden="false" customHeight="false" outlineLevel="0" collapsed="false"/>
    <row r="1045856" customFormat="false" ht="12.8" hidden="false" customHeight="false" outlineLevel="0" collapsed="false"/>
    <row r="1045857" customFormat="false" ht="12.8" hidden="false" customHeight="false" outlineLevel="0" collapsed="false"/>
    <row r="1045858" customFormat="false" ht="12.8" hidden="false" customHeight="false" outlineLevel="0" collapsed="false"/>
    <row r="1045859" customFormat="false" ht="12.8" hidden="false" customHeight="false" outlineLevel="0" collapsed="false"/>
    <row r="1045860" customFormat="false" ht="12.8" hidden="false" customHeight="false" outlineLevel="0" collapsed="false"/>
    <row r="1045861" customFormat="false" ht="12.8" hidden="false" customHeight="false" outlineLevel="0" collapsed="false"/>
    <row r="1045862" customFormat="false" ht="12.8" hidden="false" customHeight="false" outlineLevel="0" collapsed="false"/>
    <row r="1045863" customFormat="false" ht="12.8" hidden="false" customHeight="false" outlineLevel="0" collapsed="false"/>
    <row r="1045864" customFormat="false" ht="12.8" hidden="false" customHeight="false" outlineLevel="0" collapsed="false"/>
    <row r="1045865" customFormat="false" ht="12.8" hidden="false" customHeight="false" outlineLevel="0" collapsed="false"/>
    <row r="1045866" customFormat="false" ht="12.8" hidden="false" customHeight="false" outlineLevel="0" collapsed="false"/>
    <row r="1045867" customFormat="false" ht="12.8" hidden="false" customHeight="false" outlineLevel="0" collapsed="false"/>
    <row r="1045868" customFormat="false" ht="12.8" hidden="false" customHeight="false" outlineLevel="0" collapsed="false"/>
    <row r="1045869" customFormat="false" ht="12.8" hidden="false" customHeight="false" outlineLevel="0" collapsed="false"/>
    <row r="1045870" customFormat="false" ht="12.8" hidden="false" customHeight="false" outlineLevel="0" collapsed="false"/>
    <row r="1045871" customFormat="false" ht="12.8" hidden="false" customHeight="false" outlineLevel="0" collapsed="false"/>
    <row r="1045872" customFormat="false" ht="12.8" hidden="false" customHeight="false" outlineLevel="0" collapsed="false"/>
    <row r="1045873" customFormat="false" ht="12.8" hidden="false" customHeight="false" outlineLevel="0" collapsed="false"/>
    <row r="1045874" customFormat="false" ht="12.8" hidden="false" customHeight="false" outlineLevel="0" collapsed="false"/>
    <row r="1045875" customFormat="false" ht="12.8" hidden="false" customHeight="false" outlineLevel="0" collapsed="false"/>
    <row r="1045876" customFormat="false" ht="12.8" hidden="false" customHeight="false" outlineLevel="0" collapsed="false"/>
    <row r="1045877" customFormat="false" ht="12.8" hidden="false" customHeight="false" outlineLevel="0" collapsed="false"/>
    <row r="1045878" customFormat="false" ht="12.8" hidden="false" customHeight="false" outlineLevel="0" collapsed="false"/>
    <row r="1045879" customFormat="false" ht="12.8" hidden="false" customHeight="false" outlineLevel="0" collapsed="false"/>
    <row r="1045880" customFormat="false" ht="12.8" hidden="false" customHeight="false" outlineLevel="0" collapsed="false"/>
    <row r="1045881" customFormat="false" ht="12.8" hidden="false" customHeight="false" outlineLevel="0" collapsed="false"/>
    <row r="1045882" customFormat="false" ht="12.8" hidden="false" customHeight="false" outlineLevel="0" collapsed="false"/>
    <row r="1045883" customFormat="false" ht="12.8" hidden="false" customHeight="false" outlineLevel="0" collapsed="false"/>
    <row r="1045884" customFormat="false" ht="12.8" hidden="false" customHeight="false" outlineLevel="0" collapsed="false"/>
    <row r="1045885" customFormat="false" ht="12.8" hidden="false" customHeight="false" outlineLevel="0" collapsed="false"/>
    <row r="1045886" customFormat="false" ht="12.8" hidden="false" customHeight="false" outlineLevel="0" collapsed="false"/>
    <row r="1045887" customFormat="false" ht="12.8" hidden="false" customHeight="false" outlineLevel="0" collapsed="false"/>
    <row r="1045888" customFormat="false" ht="12.8" hidden="false" customHeight="false" outlineLevel="0" collapsed="false"/>
    <row r="1045889" customFormat="false" ht="12.8" hidden="false" customHeight="false" outlineLevel="0" collapsed="false"/>
    <row r="1045890" customFormat="false" ht="12.8" hidden="false" customHeight="false" outlineLevel="0" collapsed="false"/>
    <row r="1045891" customFormat="false" ht="12.8" hidden="false" customHeight="false" outlineLevel="0" collapsed="false"/>
    <row r="1045892" customFormat="false" ht="12.8" hidden="false" customHeight="false" outlineLevel="0" collapsed="false"/>
    <row r="1045893" customFormat="false" ht="12.8" hidden="false" customHeight="false" outlineLevel="0" collapsed="false"/>
    <row r="1045894" customFormat="false" ht="12.8" hidden="false" customHeight="false" outlineLevel="0" collapsed="false"/>
    <row r="1045895" customFormat="false" ht="12.8" hidden="false" customHeight="false" outlineLevel="0" collapsed="false"/>
    <row r="1045896" customFormat="false" ht="12.8" hidden="false" customHeight="false" outlineLevel="0" collapsed="false"/>
    <row r="1045897" customFormat="false" ht="12.8" hidden="false" customHeight="false" outlineLevel="0" collapsed="false"/>
    <row r="1045898" customFormat="false" ht="12.8" hidden="false" customHeight="false" outlineLevel="0" collapsed="false"/>
    <row r="1045899" customFormat="false" ht="12.8" hidden="false" customHeight="false" outlineLevel="0" collapsed="false"/>
    <row r="1045900" customFormat="false" ht="12.8" hidden="false" customHeight="false" outlineLevel="0" collapsed="false"/>
    <row r="1045901" customFormat="false" ht="12.8" hidden="false" customHeight="false" outlineLevel="0" collapsed="false"/>
    <row r="1045902" customFormat="false" ht="12.8" hidden="false" customHeight="false" outlineLevel="0" collapsed="false"/>
    <row r="1045903" customFormat="false" ht="12.8" hidden="false" customHeight="false" outlineLevel="0" collapsed="false"/>
    <row r="1045904" customFormat="false" ht="12.8" hidden="false" customHeight="false" outlineLevel="0" collapsed="false"/>
    <row r="1045905" customFormat="false" ht="12.8" hidden="false" customHeight="false" outlineLevel="0" collapsed="false"/>
    <row r="1045906" customFormat="false" ht="12.8" hidden="false" customHeight="false" outlineLevel="0" collapsed="false"/>
    <row r="1045907" customFormat="false" ht="12.8" hidden="false" customHeight="false" outlineLevel="0" collapsed="false"/>
    <row r="1045908" customFormat="false" ht="12.8" hidden="false" customHeight="false" outlineLevel="0" collapsed="false"/>
    <row r="1045909" customFormat="false" ht="12.8" hidden="false" customHeight="false" outlineLevel="0" collapsed="false"/>
    <row r="1045910" customFormat="false" ht="12.8" hidden="false" customHeight="false" outlineLevel="0" collapsed="false"/>
    <row r="1045911" customFormat="false" ht="12.8" hidden="false" customHeight="false" outlineLevel="0" collapsed="false"/>
    <row r="1045912" customFormat="false" ht="12.8" hidden="false" customHeight="false" outlineLevel="0" collapsed="false"/>
    <row r="1045913" customFormat="false" ht="12.8" hidden="false" customHeight="false" outlineLevel="0" collapsed="false"/>
    <row r="1045914" customFormat="false" ht="12.8" hidden="false" customHeight="false" outlineLevel="0" collapsed="false"/>
    <row r="1045915" customFormat="false" ht="12.8" hidden="false" customHeight="false" outlineLevel="0" collapsed="false"/>
    <row r="1045916" customFormat="false" ht="12.8" hidden="false" customHeight="false" outlineLevel="0" collapsed="false"/>
    <row r="1045917" customFormat="false" ht="12.8" hidden="false" customHeight="false" outlineLevel="0" collapsed="false"/>
    <row r="1045918" customFormat="false" ht="12.8" hidden="false" customHeight="false" outlineLevel="0" collapsed="false"/>
    <row r="1045919" customFormat="false" ht="12.8" hidden="false" customHeight="false" outlineLevel="0" collapsed="false"/>
    <row r="1045920" customFormat="false" ht="12.8" hidden="false" customHeight="false" outlineLevel="0" collapsed="false"/>
    <row r="1045921" customFormat="false" ht="12.8" hidden="false" customHeight="false" outlineLevel="0" collapsed="false"/>
    <row r="1045922" customFormat="false" ht="12.8" hidden="false" customHeight="false" outlineLevel="0" collapsed="false"/>
    <row r="1045923" customFormat="false" ht="12.8" hidden="false" customHeight="false" outlineLevel="0" collapsed="false"/>
    <row r="1045924" customFormat="false" ht="12.8" hidden="false" customHeight="false" outlineLevel="0" collapsed="false"/>
    <row r="1045925" customFormat="false" ht="12.8" hidden="false" customHeight="false" outlineLevel="0" collapsed="false"/>
    <row r="1045926" customFormat="false" ht="12.8" hidden="false" customHeight="false" outlineLevel="0" collapsed="false"/>
    <row r="1045927" customFormat="false" ht="12.8" hidden="false" customHeight="false" outlineLevel="0" collapsed="false"/>
    <row r="1045928" customFormat="false" ht="12.8" hidden="false" customHeight="false" outlineLevel="0" collapsed="false"/>
    <row r="1045929" customFormat="false" ht="12.8" hidden="false" customHeight="false" outlineLevel="0" collapsed="false"/>
    <row r="1045930" customFormat="false" ht="12.8" hidden="false" customHeight="false" outlineLevel="0" collapsed="false"/>
    <row r="1045931" customFormat="false" ht="12.8" hidden="false" customHeight="false" outlineLevel="0" collapsed="false"/>
    <row r="1045932" customFormat="false" ht="12.8" hidden="false" customHeight="false" outlineLevel="0" collapsed="false"/>
    <row r="1045933" customFormat="false" ht="12.8" hidden="false" customHeight="false" outlineLevel="0" collapsed="false"/>
    <row r="1045934" customFormat="false" ht="12.8" hidden="false" customHeight="false" outlineLevel="0" collapsed="false"/>
    <row r="1045935" customFormat="false" ht="12.8" hidden="false" customHeight="false" outlineLevel="0" collapsed="false"/>
    <row r="1045936" customFormat="false" ht="12.8" hidden="false" customHeight="false" outlineLevel="0" collapsed="false"/>
    <row r="1045937" customFormat="false" ht="12.8" hidden="false" customHeight="false" outlineLevel="0" collapsed="false"/>
    <row r="1045938" customFormat="false" ht="12.8" hidden="false" customHeight="false" outlineLevel="0" collapsed="false"/>
    <row r="1045939" customFormat="false" ht="12.8" hidden="false" customHeight="false" outlineLevel="0" collapsed="false"/>
    <row r="1045940" customFormat="false" ht="12.8" hidden="false" customHeight="false" outlineLevel="0" collapsed="false"/>
    <row r="1045941" customFormat="false" ht="12.8" hidden="false" customHeight="false" outlineLevel="0" collapsed="false"/>
    <row r="1045942" customFormat="false" ht="12.8" hidden="false" customHeight="false" outlineLevel="0" collapsed="false"/>
    <row r="1045943" customFormat="false" ht="12.8" hidden="false" customHeight="false" outlineLevel="0" collapsed="false"/>
    <row r="1045944" customFormat="false" ht="12.8" hidden="false" customHeight="false" outlineLevel="0" collapsed="false"/>
    <row r="1045945" customFormat="false" ht="12.8" hidden="false" customHeight="false" outlineLevel="0" collapsed="false"/>
    <row r="1045946" customFormat="false" ht="12.8" hidden="false" customHeight="false" outlineLevel="0" collapsed="false"/>
    <row r="1045947" customFormat="false" ht="12.8" hidden="false" customHeight="false" outlineLevel="0" collapsed="false"/>
    <row r="1045948" customFormat="false" ht="12.8" hidden="false" customHeight="false" outlineLevel="0" collapsed="false"/>
    <row r="1045949" customFormat="false" ht="12.8" hidden="false" customHeight="false" outlineLevel="0" collapsed="false"/>
    <row r="1045950" customFormat="false" ht="12.8" hidden="false" customHeight="false" outlineLevel="0" collapsed="false"/>
    <row r="1045951" customFormat="false" ht="12.8" hidden="false" customHeight="false" outlineLevel="0" collapsed="false"/>
    <row r="1045952" customFormat="false" ht="12.8" hidden="false" customHeight="false" outlineLevel="0" collapsed="false"/>
    <row r="1045953" customFormat="false" ht="12.8" hidden="false" customHeight="false" outlineLevel="0" collapsed="false"/>
    <row r="1045954" customFormat="false" ht="12.8" hidden="false" customHeight="false" outlineLevel="0" collapsed="false"/>
    <row r="1045955" customFormat="false" ht="12.8" hidden="false" customHeight="false" outlineLevel="0" collapsed="false"/>
    <row r="1045956" customFormat="false" ht="12.8" hidden="false" customHeight="false" outlineLevel="0" collapsed="false"/>
    <row r="1045957" customFormat="false" ht="12.8" hidden="false" customHeight="false" outlineLevel="0" collapsed="false"/>
    <row r="1045958" customFormat="false" ht="12.8" hidden="false" customHeight="false" outlineLevel="0" collapsed="false"/>
    <row r="1045959" customFormat="false" ht="12.8" hidden="false" customHeight="false" outlineLevel="0" collapsed="false"/>
    <row r="1045960" customFormat="false" ht="12.8" hidden="false" customHeight="false" outlineLevel="0" collapsed="false"/>
    <row r="1045961" customFormat="false" ht="12.8" hidden="false" customHeight="false" outlineLevel="0" collapsed="false"/>
    <row r="1045962" customFormat="false" ht="12.8" hidden="false" customHeight="false" outlineLevel="0" collapsed="false"/>
    <row r="1045963" customFormat="false" ht="12.8" hidden="false" customHeight="false" outlineLevel="0" collapsed="false"/>
    <row r="1045964" customFormat="false" ht="12.8" hidden="false" customHeight="false" outlineLevel="0" collapsed="false"/>
    <row r="1045965" customFormat="false" ht="12.8" hidden="false" customHeight="false" outlineLevel="0" collapsed="false"/>
    <row r="1045966" customFormat="false" ht="12.8" hidden="false" customHeight="false" outlineLevel="0" collapsed="false"/>
    <row r="1045967" customFormat="false" ht="12.8" hidden="false" customHeight="false" outlineLevel="0" collapsed="false"/>
    <row r="1045968" customFormat="false" ht="12.8" hidden="false" customHeight="false" outlineLevel="0" collapsed="false"/>
    <row r="1045969" customFormat="false" ht="12.8" hidden="false" customHeight="false" outlineLevel="0" collapsed="false"/>
    <row r="1045970" customFormat="false" ht="12.8" hidden="false" customHeight="false" outlineLevel="0" collapsed="false"/>
    <row r="1045971" customFormat="false" ht="12.8" hidden="false" customHeight="false" outlineLevel="0" collapsed="false"/>
    <row r="1045972" customFormat="false" ht="12.8" hidden="false" customHeight="false" outlineLevel="0" collapsed="false"/>
    <row r="1045973" customFormat="false" ht="12.8" hidden="false" customHeight="false" outlineLevel="0" collapsed="false"/>
    <row r="1045974" customFormat="false" ht="12.8" hidden="false" customHeight="false" outlineLevel="0" collapsed="false"/>
    <row r="1045975" customFormat="false" ht="12.8" hidden="false" customHeight="false" outlineLevel="0" collapsed="false"/>
    <row r="1045976" customFormat="false" ht="12.8" hidden="false" customHeight="false" outlineLevel="0" collapsed="false"/>
    <row r="1045977" customFormat="false" ht="12.8" hidden="false" customHeight="false" outlineLevel="0" collapsed="false"/>
    <row r="1045978" customFormat="false" ht="12.8" hidden="false" customHeight="false" outlineLevel="0" collapsed="false"/>
    <row r="1045979" customFormat="false" ht="12.8" hidden="false" customHeight="false" outlineLevel="0" collapsed="false"/>
    <row r="1045980" customFormat="false" ht="12.8" hidden="false" customHeight="false" outlineLevel="0" collapsed="false"/>
    <row r="1045981" customFormat="false" ht="12.8" hidden="false" customHeight="false" outlineLevel="0" collapsed="false"/>
    <row r="1045982" customFormat="false" ht="12.8" hidden="false" customHeight="false" outlineLevel="0" collapsed="false"/>
    <row r="1045983" customFormat="false" ht="12.8" hidden="false" customHeight="false" outlineLevel="0" collapsed="false"/>
    <row r="1045984" customFormat="false" ht="12.8" hidden="false" customHeight="false" outlineLevel="0" collapsed="false"/>
    <row r="1045985" customFormat="false" ht="12.8" hidden="false" customHeight="false" outlineLevel="0" collapsed="false"/>
    <row r="1045986" customFormat="false" ht="12.8" hidden="false" customHeight="false" outlineLevel="0" collapsed="false"/>
    <row r="1045987" customFormat="false" ht="12.8" hidden="false" customHeight="false" outlineLevel="0" collapsed="false"/>
    <row r="1045988" customFormat="false" ht="12.8" hidden="false" customHeight="false" outlineLevel="0" collapsed="false"/>
    <row r="1045989" customFormat="false" ht="12.8" hidden="false" customHeight="false" outlineLevel="0" collapsed="false"/>
    <row r="1045990" customFormat="false" ht="12.8" hidden="false" customHeight="false" outlineLevel="0" collapsed="false"/>
    <row r="1045991" customFormat="false" ht="12.8" hidden="false" customHeight="false" outlineLevel="0" collapsed="false"/>
    <row r="1045992" customFormat="false" ht="12.8" hidden="false" customHeight="false" outlineLevel="0" collapsed="false"/>
    <row r="1045993" customFormat="false" ht="12.8" hidden="false" customHeight="false" outlineLevel="0" collapsed="false"/>
    <row r="1045994" customFormat="false" ht="12.8" hidden="false" customHeight="false" outlineLevel="0" collapsed="false"/>
    <row r="1045995" customFormat="false" ht="12.8" hidden="false" customHeight="false" outlineLevel="0" collapsed="false"/>
    <row r="1045996" customFormat="false" ht="12.8" hidden="false" customHeight="false" outlineLevel="0" collapsed="false"/>
    <row r="1045997" customFormat="false" ht="12.8" hidden="false" customHeight="false" outlineLevel="0" collapsed="false"/>
    <row r="1045998" customFormat="false" ht="12.8" hidden="false" customHeight="false" outlineLevel="0" collapsed="false"/>
    <row r="1045999" customFormat="false" ht="12.8" hidden="false" customHeight="false" outlineLevel="0" collapsed="false"/>
    <row r="1046000" customFormat="false" ht="12.8" hidden="false" customHeight="false" outlineLevel="0" collapsed="false"/>
    <row r="1046001" customFormat="false" ht="12.8" hidden="false" customHeight="false" outlineLevel="0" collapsed="false"/>
    <row r="1046002" customFormat="false" ht="12.8" hidden="false" customHeight="false" outlineLevel="0" collapsed="false"/>
    <row r="1046003" customFormat="false" ht="12.8" hidden="false" customHeight="false" outlineLevel="0" collapsed="false"/>
    <row r="1046004" customFormat="false" ht="12.8" hidden="false" customHeight="false" outlineLevel="0" collapsed="false"/>
    <row r="1046005" customFormat="false" ht="12.8" hidden="false" customHeight="false" outlineLevel="0" collapsed="false"/>
    <row r="1046006" customFormat="false" ht="12.8" hidden="false" customHeight="false" outlineLevel="0" collapsed="false"/>
    <row r="1046007" customFormat="false" ht="12.8" hidden="false" customHeight="false" outlineLevel="0" collapsed="false"/>
    <row r="1046008" customFormat="false" ht="12.8" hidden="false" customHeight="false" outlineLevel="0" collapsed="false"/>
    <row r="1046009" customFormat="false" ht="12.8" hidden="false" customHeight="false" outlineLevel="0" collapsed="false"/>
    <row r="1046010" customFormat="false" ht="12.8" hidden="false" customHeight="false" outlineLevel="0" collapsed="false"/>
    <row r="1046011" customFormat="false" ht="12.8" hidden="false" customHeight="false" outlineLevel="0" collapsed="false"/>
    <row r="1046012" customFormat="false" ht="12.8" hidden="false" customHeight="false" outlineLevel="0" collapsed="false"/>
    <row r="1046013" customFormat="false" ht="12.8" hidden="false" customHeight="false" outlineLevel="0" collapsed="false"/>
    <row r="1046014" customFormat="false" ht="12.8" hidden="false" customHeight="false" outlineLevel="0" collapsed="false"/>
    <row r="1046015" customFormat="false" ht="12.8" hidden="false" customHeight="false" outlineLevel="0" collapsed="false"/>
    <row r="1046016" customFormat="false" ht="12.8" hidden="false" customHeight="false" outlineLevel="0" collapsed="false"/>
    <row r="1046017" customFormat="false" ht="12.8" hidden="false" customHeight="false" outlineLevel="0" collapsed="false"/>
    <row r="1046018" customFormat="false" ht="12.8" hidden="false" customHeight="false" outlineLevel="0" collapsed="false"/>
    <row r="1046019" customFormat="false" ht="12.8" hidden="false" customHeight="false" outlineLevel="0" collapsed="false"/>
    <row r="1046020" customFormat="false" ht="12.8" hidden="false" customHeight="false" outlineLevel="0" collapsed="false"/>
    <row r="1046021" customFormat="false" ht="12.8" hidden="false" customHeight="false" outlineLevel="0" collapsed="false"/>
    <row r="1046022" customFormat="false" ht="12.8" hidden="false" customHeight="false" outlineLevel="0" collapsed="false"/>
    <row r="1046023" customFormat="false" ht="12.8" hidden="false" customHeight="false" outlineLevel="0" collapsed="false"/>
    <row r="1046024" customFormat="false" ht="12.8" hidden="false" customHeight="false" outlineLevel="0" collapsed="false"/>
    <row r="1046025" customFormat="false" ht="12.8" hidden="false" customHeight="false" outlineLevel="0" collapsed="false"/>
    <row r="1046026" customFormat="false" ht="12.8" hidden="false" customHeight="false" outlineLevel="0" collapsed="false"/>
    <row r="1046027" customFormat="false" ht="12.8" hidden="false" customHeight="false" outlineLevel="0" collapsed="false"/>
    <row r="1046028" customFormat="false" ht="12.8" hidden="false" customHeight="false" outlineLevel="0" collapsed="false"/>
    <row r="1046029" customFormat="false" ht="12.8" hidden="false" customHeight="false" outlineLevel="0" collapsed="false"/>
    <row r="1046030" customFormat="false" ht="12.8" hidden="false" customHeight="false" outlineLevel="0" collapsed="false"/>
    <row r="1046031" customFormat="false" ht="12.8" hidden="false" customHeight="false" outlineLevel="0" collapsed="false"/>
    <row r="1046032" customFormat="false" ht="12.8" hidden="false" customHeight="false" outlineLevel="0" collapsed="false"/>
    <row r="1046033" customFormat="false" ht="12.8" hidden="false" customHeight="false" outlineLevel="0" collapsed="false"/>
    <row r="1046034" customFormat="false" ht="12.8" hidden="false" customHeight="false" outlineLevel="0" collapsed="false"/>
    <row r="1046035" customFormat="false" ht="12.8" hidden="false" customHeight="false" outlineLevel="0" collapsed="false"/>
    <row r="1046036" customFormat="false" ht="12.8" hidden="false" customHeight="false" outlineLevel="0" collapsed="false"/>
    <row r="1046037" customFormat="false" ht="12.8" hidden="false" customHeight="false" outlineLevel="0" collapsed="false"/>
    <row r="1046038" customFormat="false" ht="12.8" hidden="false" customHeight="false" outlineLevel="0" collapsed="false"/>
    <row r="1046039" customFormat="false" ht="12.8" hidden="false" customHeight="false" outlineLevel="0" collapsed="false"/>
    <row r="1046040" customFormat="false" ht="12.8" hidden="false" customHeight="false" outlineLevel="0" collapsed="false"/>
    <row r="1046041" customFormat="false" ht="12.8" hidden="false" customHeight="false" outlineLevel="0" collapsed="false"/>
    <row r="1046042" customFormat="false" ht="12.8" hidden="false" customHeight="false" outlineLevel="0" collapsed="false"/>
    <row r="1046043" customFormat="false" ht="12.8" hidden="false" customHeight="false" outlineLevel="0" collapsed="false"/>
    <row r="1046044" customFormat="false" ht="12.8" hidden="false" customHeight="false" outlineLevel="0" collapsed="false"/>
    <row r="1046045" customFormat="false" ht="12.8" hidden="false" customHeight="false" outlineLevel="0" collapsed="false"/>
    <row r="1046046" customFormat="false" ht="12.8" hidden="false" customHeight="false" outlineLevel="0" collapsed="false"/>
    <row r="1046047" customFormat="false" ht="12.8" hidden="false" customHeight="false" outlineLevel="0" collapsed="false"/>
    <row r="1046048" customFormat="false" ht="12.8" hidden="false" customHeight="false" outlineLevel="0" collapsed="false"/>
    <row r="1046049" customFormat="false" ht="12.8" hidden="false" customHeight="false" outlineLevel="0" collapsed="false"/>
    <row r="1046050" customFormat="false" ht="12.8" hidden="false" customHeight="false" outlineLevel="0" collapsed="false"/>
    <row r="1046051" customFormat="false" ht="12.8" hidden="false" customHeight="false" outlineLevel="0" collapsed="false"/>
    <row r="1046052" customFormat="false" ht="12.8" hidden="false" customHeight="false" outlineLevel="0" collapsed="false"/>
    <row r="1046053" customFormat="false" ht="12.8" hidden="false" customHeight="false" outlineLevel="0" collapsed="false"/>
    <row r="1046054" customFormat="false" ht="12.8" hidden="false" customHeight="false" outlineLevel="0" collapsed="false"/>
    <row r="1046055" customFormat="false" ht="12.8" hidden="false" customHeight="false" outlineLevel="0" collapsed="false"/>
    <row r="1046056" customFormat="false" ht="12.8" hidden="false" customHeight="false" outlineLevel="0" collapsed="false"/>
    <row r="1046057" customFormat="false" ht="12.8" hidden="false" customHeight="false" outlineLevel="0" collapsed="false"/>
    <row r="1046058" customFormat="false" ht="12.8" hidden="false" customHeight="false" outlineLevel="0" collapsed="false"/>
    <row r="1046059" customFormat="false" ht="12.8" hidden="false" customHeight="false" outlineLevel="0" collapsed="false"/>
    <row r="1046060" customFormat="false" ht="12.8" hidden="false" customHeight="false" outlineLevel="0" collapsed="false"/>
    <row r="1046061" customFormat="false" ht="12.8" hidden="false" customHeight="false" outlineLevel="0" collapsed="false"/>
    <row r="1046062" customFormat="false" ht="12.8" hidden="false" customHeight="false" outlineLevel="0" collapsed="false"/>
    <row r="1046063" customFormat="false" ht="12.8" hidden="false" customHeight="false" outlineLevel="0" collapsed="false"/>
    <row r="1046064" customFormat="false" ht="12.8" hidden="false" customHeight="false" outlineLevel="0" collapsed="false"/>
    <row r="1046065" customFormat="false" ht="12.8" hidden="false" customHeight="false" outlineLevel="0" collapsed="false"/>
    <row r="1046066" customFormat="false" ht="12.8" hidden="false" customHeight="false" outlineLevel="0" collapsed="false"/>
    <row r="1046067" customFormat="false" ht="12.8" hidden="false" customHeight="false" outlineLevel="0" collapsed="false"/>
    <row r="1046068" customFormat="false" ht="12.8" hidden="false" customHeight="false" outlineLevel="0" collapsed="false"/>
    <row r="1046069" customFormat="false" ht="12.8" hidden="false" customHeight="false" outlineLevel="0" collapsed="false"/>
    <row r="1046070" customFormat="false" ht="12.8" hidden="false" customHeight="false" outlineLevel="0" collapsed="false"/>
    <row r="1046071" customFormat="false" ht="12.8" hidden="false" customHeight="false" outlineLevel="0" collapsed="false"/>
    <row r="1046072" customFormat="false" ht="12.8" hidden="false" customHeight="false" outlineLevel="0" collapsed="false"/>
    <row r="1046073" customFormat="false" ht="12.8" hidden="false" customHeight="false" outlineLevel="0" collapsed="false"/>
    <row r="1046074" customFormat="false" ht="12.8" hidden="false" customHeight="false" outlineLevel="0" collapsed="false"/>
    <row r="1046075" customFormat="false" ht="12.8" hidden="false" customHeight="false" outlineLevel="0" collapsed="false"/>
    <row r="1046076" customFormat="false" ht="12.8" hidden="false" customHeight="false" outlineLevel="0" collapsed="false"/>
    <row r="1046077" customFormat="false" ht="12.8" hidden="false" customHeight="false" outlineLevel="0" collapsed="false"/>
    <row r="1046078" customFormat="false" ht="12.8" hidden="false" customHeight="false" outlineLevel="0" collapsed="false"/>
    <row r="1046079" customFormat="false" ht="12.8" hidden="false" customHeight="false" outlineLevel="0" collapsed="false"/>
    <row r="1046080" customFormat="false" ht="12.8" hidden="false" customHeight="false" outlineLevel="0" collapsed="false"/>
    <row r="1046081" customFormat="false" ht="12.8" hidden="false" customHeight="false" outlineLevel="0" collapsed="false"/>
    <row r="1046082" customFormat="false" ht="12.8" hidden="false" customHeight="false" outlineLevel="0" collapsed="false"/>
    <row r="1046083" customFormat="false" ht="12.8" hidden="false" customHeight="false" outlineLevel="0" collapsed="false"/>
    <row r="1046084" customFormat="false" ht="12.8" hidden="false" customHeight="false" outlineLevel="0" collapsed="false"/>
    <row r="1046085" customFormat="false" ht="12.8" hidden="false" customHeight="false" outlineLevel="0" collapsed="false"/>
    <row r="1046086" customFormat="false" ht="12.8" hidden="false" customHeight="false" outlineLevel="0" collapsed="false"/>
    <row r="1046087" customFormat="false" ht="12.8" hidden="false" customHeight="false" outlineLevel="0" collapsed="false"/>
    <row r="1046088" customFormat="false" ht="12.8" hidden="false" customHeight="false" outlineLevel="0" collapsed="false"/>
    <row r="1046089" customFormat="false" ht="12.8" hidden="false" customHeight="false" outlineLevel="0" collapsed="false"/>
    <row r="1046090" customFormat="false" ht="12.8" hidden="false" customHeight="false" outlineLevel="0" collapsed="false"/>
    <row r="1046091" customFormat="false" ht="12.8" hidden="false" customHeight="false" outlineLevel="0" collapsed="false"/>
    <row r="1046092" customFormat="false" ht="12.8" hidden="false" customHeight="false" outlineLevel="0" collapsed="false"/>
    <row r="1046093" customFormat="false" ht="12.8" hidden="false" customHeight="false" outlineLevel="0" collapsed="false"/>
    <row r="1046094" customFormat="false" ht="12.8" hidden="false" customHeight="false" outlineLevel="0" collapsed="false"/>
    <row r="1046095" customFormat="false" ht="12.8" hidden="false" customHeight="false" outlineLevel="0" collapsed="false"/>
    <row r="1046096" customFormat="false" ht="12.8" hidden="false" customHeight="false" outlineLevel="0" collapsed="false"/>
    <row r="1046097" customFormat="false" ht="12.8" hidden="false" customHeight="false" outlineLevel="0" collapsed="false"/>
    <row r="1046098" customFormat="false" ht="12.8" hidden="false" customHeight="false" outlineLevel="0" collapsed="false"/>
    <row r="1046099" customFormat="false" ht="12.8" hidden="false" customHeight="false" outlineLevel="0" collapsed="false"/>
    <row r="1046100" customFormat="false" ht="12.8" hidden="false" customHeight="false" outlineLevel="0" collapsed="false"/>
    <row r="1046101" customFormat="false" ht="12.8" hidden="false" customHeight="false" outlineLevel="0" collapsed="false"/>
    <row r="1046102" customFormat="false" ht="12.8" hidden="false" customHeight="false" outlineLevel="0" collapsed="false"/>
    <row r="1046103" customFormat="false" ht="12.8" hidden="false" customHeight="false" outlineLevel="0" collapsed="false"/>
    <row r="1046104" customFormat="false" ht="12.8" hidden="false" customHeight="false" outlineLevel="0" collapsed="false"/>
    <row r="1046105" customFormat="false" ht="12.8" hidden="false" customHeight="false" outlineLevel="0" collapsed="false"/>
    <row r="1046106" customFormat="false" ht="12.8" hidden="false" customHeight="false" outlineLevel="0" collapsed="false"/>
    <row r="1046107" customFormat="false" ht="12.8" hidden="false" customHeight="false" outlineLevel="0" collapsed="false"/>
    <row r="1046108" customFormat="false" ht="12.8" hidden="false" customHeight="false" outlineLevel="0" collapsed="false"/>
    <row r="1046109" customFormat="false" ht="12.8" hidden="false" customHeight="false" outlineLevel="0" collapsed="false"/>
    <row r="1046110" customFormat="false" ht="12.8" hidden="false" customHeight="false" outlineLevel="0" collapsed="false"/>
    <row r="1046111" customFormat="false" ht="12.8" hidden="false" customHeight="false" outlineLevel="0" collapsed="false"/>
    <row r="1046112" customFormat="false" ht="12.8" hidden="false" customHeight="false" outlineLevel="0" collapsed="false"/>
    <row r="1046113" customFormat="false" ht="12.8" hidden="false" customHeight="false" outlineLevel="0" collapsed="false"/>
    <row r="1046114" customFormat="false" ht="12.8" hidden="false" customHeight="false" outlineLevel="0" collapsed="false"/>
    <row r="1046115" customFormat="false" ht="12.8" hidden="false" customHeight="false" outlineLevel="0" collapsed="false"/>
    <row r="1046116" customFormat="false" ht="12.8" hidden="false" customHeight="false" outlineLevel="0" collapsed="false"/>
    <row r="1046117" customFormat="false" ht="12.8" hidden="false" customHeight="false" outlineLevel="0" collapsed="false"/>
    <row r="1046118" customFormat="false" ht="12.8" hidden="false" customHeight="false" outlineLevel="0" collapsed="false"/>
    <row r="1046119" customFormat="false" ht="12.8" hidden="false" customHeight="false" outlineLevel="0" collapsed="false"/>
    <row r="1046120" customFormat="false" ht="12.8" hidden="false" customHeight="false" outlineLevel="0" collapsed="false"/>
    <row r="1046121" customFormat="false" ht="12.8" hidden="false" customHeight="false" outlineLevel="0" collapsed="false"/>
    <row r="1046122" customFormat="false" ht="12.8" hidden="false" customHeight="false" outlineLevel="0" collapsed="false"/>
    <row r="1046123" customFormat="false" ht="12.8" hidden="false" customHeight="false" outlineLevel="0" collapsed="false"/>
    <row r="1046124" customFormat="false" ht="12.8" hidden="false" customHeight="false" outlineLevel="0" collapsed="false"/>
    <row r="1046125" customFormat="false" ht="12.8" hidden="false" customHeight="false" outlineLevel="0" collapsed="false"/>
    <row r="1046126" customFormat="false" ht="12.8" hidden="false" customHeight="false" outlineLevel="0" collapsed="false"/>
    <row r="1046127" customFormat="false" ht="12.8" hidden="false" customHeight="false" outlineLevel="0" collapsed="false"/>
    <row r="1046128" customFormat="false" ht="12.8" hidden="false" customHeight="false" outlineLevel="0" collapsed="false"/>
    <row r="1046129" customFormat="false" ht="12.8" hidden="false" customHeight="false" outlineLevel="0" collapsed="false"/>
    <row r="1046130" customFormat="false" ht="12.8" hidden="false" customHeight="false" outlineLevel="0" collapsed="false"/>
    <row r="1046131" customFormat="false" ht="12.8" hidden="false" customHeight="false" outlineLevel="0" collapsed="false"/>
    <row r="1046132" customFormat="false" ht="12.8" hidden="false" customHeight="false" outlineLevel="0" collapsed="false"/>
    <row r="1046133" customFormat="false" ht="12.8" hidden="false" customHeight="false" outlineLevel="0" collapsed="false"/>
    <row r="1046134" customFormat="false" ht="12.8" hidden="false" customHeight="false" outlineLevel="0" collapsed="false"/>
    <row r="1046135" customFormat="false" ht="12.8" hidden="false" customHeight="false" outlineLevel="0" collapsed="false"/>
    <row r="1046136" customFormat="false" ht="12.8" hidden="false" customHeight="false" outlineLevel="0" collapsed="false"/>
    <row r="1046137" customFormat="false" ht="12.8" hidden="false" customHeight="false" outlineLevel="0" collapsed="false"/>
    <row r="1046138" customFormat="false" ht="12.8" hidden="false" customHeight="false" outlineLevel="0" collapsed="false"/>
    <row r="1046139" customFormat="false" ht="12.8" hidden="false" customHeight="false" outlineLevel="0" collapsed="false"/>
    <row r="1046140" customFormat="false" ht="12.8" hidden="false" customHeight="false" outlineLevel="0" collapsed="false"/>
    <row r="1046141" customFormat="false" ht="12.8" hidden="false" customHeight="false" outlineLevel="0" collapsed="false"/>
    <row r="1046142" customFormat="false" ht="12.8" hidden="false" customHeight="false" outlineLevel="0" collapsed="false"/>
    <row r="1046143" customFormat="false" ht="12.8" hidden="false" customHeight="false" outlineLevel="0" collapsed="false"/>
    <row r="1046144" customFormat="false" ht="12.8" hidden="false" customHeight="false" outlineLevel="0" collapsed="false"/>
    <row r="1046145" customFormat="false" ht="12.8" hidden="false" customHeight="false" outlineLevel="0" collapsed="false"/>
    <row r="1046146" customFormat="false" ht="12.8" hidden="false" customHeight="false" outlineLevel="0" collapsed="false"/>
    <row r="1046147" customFormat="false" ht="12.8" hidden="false" customHeight="false" outlineLevel="0" collapsed="false"/>
    <row r="1046148" customFormat="false" ht="12.8" hidden="false" customHeight="false" outlineLevel="0" collapsed="false"/>
    <row r="1046149" customFormat="false" ht="12.8" hidden="false" customHeight="false" outlineLevel="0" collapsed="false"/>
    <row r="1046150" customFormat="false" ht="12.8" hidden="false" customHeight="false" outlineLevel="0" collapsed="false"/>
    <row r="1046151" customFormat="false" ht="12.8" hidden="false" customHeight="false" outlineLevel="0" collapsed="false"/>
    <row r="1046152" customFormat="false" ht="12.8" hidden="false" customHeight="false" outlineLevel="0" collapsed="false"/>
    <row r="1046153" customFormat="false" ht="12.8" hidden="false" customHeight="false" outlineLevel="0" collapsed="false"/>
    <row r="1046154" customFormat="false" ht="12.8" hidden="false" customHeight="false" outlineLevel="0" collapsed="false"/>
    <row r="1046155" customFormat="false" ht="12.8" hidden="false" customHeight="false" outlineLevel="0" collapsed="false"/>
    <row r="1046156" customFormat="false" ht="12.8" hidden="false" customHeight="false" outlineLevel="0" collapsed="false"/>
    <row r="1046157" customFormat="false" ht="12.8" hidden="false" customHeight="false" outlineLevel="0" collapsed="false"/>
    <row r="1046158" customFormat="false" ht="12.8" hidden="false" customHeight="false" outlineLevel="0" collapsed="false"/>
    <row r="1046159" customFormat="false" ht="12.8" hidden="false" customHeight="false" outlineLevel="0" collapsed="false"/>
    <row r="1046160" customFormat="false" ht="12.8" hidden="false" customHeight="false" outlineLevel="0" collapsed="false"/>
    <row r="1046161" customFormat="false" ht="12.8" hidden="false" customHeight="false" outlineLevel="0" collapsed="false"/>
    <row r="1046162" customFormat="false" ht="12.8" hidden="false" customHeight="false" outlineLevel="0" collapsed="false"/>
    <row r="1046163" customFormat="false" ht="12.8" hidden="false" customHeight="false" outlineLevel="0" collapsed="false"/>
    <row r="1046164" customFormat="false" ht="12.8" hidden="false" customHeight="false" outlineLevel="0" collapsed="false"/>
    <row r="1046165" customFormat="false" ht="12.8" hidden="false" customHeight="false" outlineLevel="0" collapsed="false"/>
    <row r="1046166" customFormat="false" ht="12.8" hidden="false" customHeight="false" outlineLevel="0" collapsed="false"/>
    <row r="1046167" customFormat="false" ht="12.8" hidden="false" customHeight="false" outlineLevel="0" collapsed="false"/>
    <row r="1046168" customFormat="false" ht="12.8" hidden="false" customHeight="false" outlineLevel="0" collapsed="false"/>
    <row r="1046169" customFormat="false" ht="12.8" hidden="false" customHeight="false" outlineLevel="0" collapsed="false"/>
    <row r="1046170" customFormat="false" ht="12.8" hidden="false" customHeight="false" outlineLevel="0" collapsed="false"/>
    <row r="1046171" customFormat="false" ht="12.8" hidden="false" customHeight="false" outlineLevel="0" collapsed="false"/>
    <row r="1046172" customFormat="false" ht="12.8" hidden="false" customHeight="false" outlineLevel="0" collapsed="false"/>
    <row r="1046173" customFormat="false" ht="12.8" hidden="false" customHeight="false" outlineLevel="0" collapsed="false"/>
    <row r="1046174" customFormat="false" ht="12.8" hidden="false" customHeight="false" outlineLevel="0" collapsed="false"/>
    <row r="1046175" customFormat="false" ht="12.8" hidden="false" customHeight="false" outlineLevel="0" collapsed="false"/>
    <row r="1046176" customFormat="false" ht="12.8" hidden="false" customHeight="false" outlineLevel="0" collapsed="false"/>
    <row r="1046177" customFormat="false" ht="12.8" hidden="false" customHeight="false" outlineLevel="0" collapsed="false"/>
    <row r="1046178" customFormat="false" ht="12.8" hidden="false" customHeight="false" outlineLevel="0" collapsed="false"/>
    <row r="1046179" customFormat="false" ht="12.8" hidden="false" customHeight="false" outlineLevel="0" collapsed="false"/>
    <row r="1046180" customFormat="false" ht="12.8" hidden="false" customHeight="false" outlineLevel="0" collapsed="false"/>
    <row r="1046181" customFormat="false" ht="12.8" hidden="false" customHeight="false" outlineLevel="0" collapsed="false"/>
    <row r="1046182" customFormat="false" ht="12.8" hidden="false" customHeight="false" outlineLevel="0" collapsed="false"/>
    <row r="1046183" customFormat="false" ht="12.8" hidden="false" customHeight="false" outlineLevel="0" collapsed="false"/>
    <row r="1046184" customFormat="false" ht="12.8" hidden="false" customHeight="false" outlineLevel="0" collapsed="false"/>
    <row r="1046185" customFormat="false" ht="12.8" hidden="false" customHeight="false" outlineLevel="0" collapsed="false"/>
    <row r="1046186" customFormat="false" ht="12.8" hidden="false" customHeight="false" outlineLevel="0" collapsed="false"/>
    <row r="1046187" customFormat="false" ht="12.8" hidden="false" customHeight="false" outlineLevel="0" collapsed="false"/>
    <row r="1046188" customFormat="false" ht="12.8" hidden="false" customHeight="false" outlineLevel="0" collapsed="false"/>
    <row r="1046189" customFormat="false" ht="12.8" hidden="false" customHeight="false" outlineLevel="0" collapsed="false"/>
    <row r="1046190" customFormat="false" ht="12.8" hidden="false" customHeight="false" outlineLevel="0" collapsed="false"/>
    <row r="1046191" customFormat="false" ht="12.8" hidden="false" customHeight="false" outlineLevel="0" collapsed="false"/>
    <row r="1046192" customFormat="false" ht="12.8" hidden="false" customHeight="false" outlineLevel="0" collapsed="false"/>
    <row r="1046193" customFormat="false" ht="12.8" hidden="false" customHeight="false" outlineLevel="0" collapsed="false"/>
    <row r="1046194" customFormat="false" ht="12.8" hidden="false" customHeight="false" outlineLevel="0" collapsed="false"/>
    <row r="1046195" customFormat="false" ht="12.8" hidden="false" customHeight="false" outlineLevel="0" collapsed="false"/>
    <row r="1046196" customFormat="false" ht="12.8" hidden="false" customHeight="false" outlineLevel="0" collapsed="false"/>
    <row r="1046197" customFormat="false" ht="12.8" hidden="false" customHeight="false" outlineLevel="0" collapsed="false"/>
    <row r="1046198" customFormat="false" ht="12.8" hidden="false" customHeight="false" outlineLevel="0" collapsed="false"/>
    <row r="1046199" customFormat="false" ht="12.8" hidden="false" customHeight="false" outlineLevel="0" collapsed="false"/>
    <row r="1046200" customFormat="false" ht="12.8" hidden="false" customHeight="false" outlineLevel="0" collapsed="false"/>
    <row r="1046201" customFormat="false" ht="12.8" hidden="false" customHeight="false" outlineLevel="0" collapsed="false"/>
    <row r="1046202" customFormat="false" ht="12.8" hidden="false" customHeight="false" outlineLevel="0" collapsed="false"/>
    <row r="1046203" customFormat="false" ht="12.8" hidden="false" customHeight="false" outlineLevel="0" collapsed="false"/>
    <row r="1046204" customFormat="false" ht="12.8" hidden="false" customHeight="false" outlineLevel="0" collapsed="false"/>
    <row r="1046205" customFormat="false" ht="12.8" hidden="false" customHeight="false" outlineLevel="0" collapsed="false"/>
    <row r="1046206" customFormat="false" ht="12.8" hidden="false" customHeight="false" outlineLevel="0" collapsed="false"/>
    <row r="1046207" customFormat="false" ht="12.8" hidden="false" customHeight="false" outlineLevel="0" collapsed="false"/>
    <row r="1046208" customFormat="false" ht="12.8" hidden="false" customHeight="false" outlineLevel="0" collapsed="false"/>
    <row r="1046209" customFormat="false" ht="12.8" hidden="false" customHeight="false" outlineLevel="0" collapsed="false"/>
    <row r="1046210" customFormat="false" ht="12.8" hidden="false" customHeight="false" outlineLevel="0" collapsed="false"/>
    <row r="1046211" customFormat="false" ht="12.8" hidden="false" customHeight="false" outlineLevel="0" collapsed="false"/>
    <row r="1046212" customFormat="false" ht="12.8" hidden="false" customHeight="false" outlineLevel="0" collapsed="false"/>
    <row r="1046213" customFormat="false" ht="12.8" hidden="false" customHeight="false" outlineLevel="0" collapsed="false"/>
    <row r="1046214" customFormat="false" ht="12.8" hidden="false" customHeight="false" outlineLevel="0" collapsed="false"/>
    <row r="1046215" customFormat="false" ht="12.8" hidden="false" customHeight="false" outlineLevel="0" collapsed="false"/>
    <row r="1046216" customFormat="false" ht="12.8" hidden="false" customHeight="false" outlineLevel="0" collapsed="false"/>
    <row r="1046217" customFormat="false" ht="12.8" hidden="false" customHeight="false" outlineLevel="0" collapsed="false"/>
    <row r="1046218" customFormat="false" ht="12.8" hidden="false" customHeight="false" outlineLevel="0" collapsed="false"/>
    <row r="1046219" customFormat="false" ht="12.8" hidden="false" customHeight="false" outlineLevel="0" collapsed="false"/>
    <row r="1046220" customFormat="false" ht="12.8" hidden="false" customHeight="false" outlineLevel="0" collapsed="false"/>
    <row r="1046221" customFormat="false" ht="12.8" hidden="false" customHeight="false" outlineLevel="0" collapsed="false"/>
    <row r="1046222" customFormat="false" ht="12.8" hidden="false" customHeight="false" outlineLevel="0" collapsed="false"/>
    <row r="1046223" customFormat="false" ht="12.8" hidden="false" customHeight="false" outlineLevel="0" collapsed="false"/>
    <row r="1046224" customFormat="false" ht="12.8" hidden="false" customHeight="false" outlineLevel="0" collapsed="false"/>
    <row r="1046225" customFormat="false" ht="12.8" hidden="false" customHeight="false" outlineLevel="0" collapsed="false"/>
    <row r="1046226" customFormat="false" ht="12.8" hidden="false" customHeight="false" outlineLevel="0" collapsed="false"/>
    <row r="1046227" customFormat="false" ht="12.8" hidden="false" customHeight="false" outlineLevel="0" collapsed="false"/>
    <row r="1046228" customFormat="false" ht="12.8" hidden="false" customHeight="false" outlineLevel="0" collapsed="false"/>
    <row r="1046229" customFormat="false" ht="12.8" hidden="false" customHeight="false" outlineLevel="0" collapsed="false"/>
    <row r="1046230" customFormat="false" ht="12.8" hidden="false" customHeight="false" outlineLevel="0" collapsed="false"/>
    <row r="1046231" customFormat="false" ht="12.8" hidden="false" customHeight="false" outlineLevel="0" collapsed="false"/>
    <row r="1046232" customFormat="false" ht="12.8" hidden="false" customHeight="false" outlineLevel="0" collapsed="false"/>
    <row r="1046233" customFormat="false" ht="12.8" hidden="false" customHeight="false" outlineLevel="0" collapsed="false"/>
    <row r="1046234" customFormat="false" ht="12.8" hidden="false" customHeight="false" outlineLevel="0" collapsed="false"/>
    <row r="1046235" customFormat="false" ht="12.8" hidden="false" customHeight="false" outlineLevel="0" collapsed="false"/>
    <row r="1046236" customFormat="false" ht="12.8" hidden="false" customHeight="false" outlineLevel="0" collapsed="false"/>
    <row r="1046237" customFormat="false" ht="12.8" hidden="false" customHeight="false" outlineLevel="0" collapsed="false"/>
    <row r="1046238" customFormat="false" ht="12.8" hidden="false" customHeight="false" outlineLevel="0" collapsed="false"/>
    <row r="1046239" customFormat="false" ht="12.8" hidden="false" customHeight="false" outlineLevel="0" collapsed="false"/>
    <row r="1046240" customFormat="false" ht="12.8" hidden="false" customHeight="false" outlineLevel="0" collapsed="false"/>
    <row r="1046241" customFormat="false" ht="12.8" hidden="false" customHeight="false" outlineLevel="0" collapsed="false"/>
    <row r="1046242" customFormat="false" ht="12.8" hidden="false" customHeight="false" outlineLevel="0" collapsed="false"/>
    <row r="1046243" customFormat="false" ht="12.8" hidden="false" customHeight="false" outlineLevel="0" collapsed="false"/>
    <row r="1046244" customFormat="false" ht="12.8" hidden="false" customHeight="false" outlineLevel="0" collapsed="false"/>
    <row r="1046245" customFormat="false" ht="12.8" hidden="false" customHeight="false" outlineLevel="0" collapsed="false"/>
    <row r="1046246" customFormat="false" ht="12.8" hidden="false" customHeight="false" outlineLevel="0" collapsed="false"/>
    <row r="1046247" customFormat="false" ht="12.8" hidden="false" customHeight="false" outlineLevel="0" collapsed="false"/>
    <row r="1046248" customFormat="false" ht="12.8" hidden="false" customHeight="false" outlineLevel="0" collapsed="false"/>
    <row r="1046249" customFormat="false" ht="12.8" hidden="false" customHeight="false" outlineLevel="0" collapsed="false"/>
    <row r="1046250" customFormat="false" ht="12.8" hidden="false" customHeight="false" outlineLevel="0" collapsed="false"/>
    <row r="1046251" customFormat="false" ht="12.8" hidden="false" customHeight="false" outlineLevel="0" collapsed="false"/>
    <row r="1046252" customFormat="false" ht="12.8" hidden="false" customHeight="false" outlineLevel="0" collapsed="false"/>
    <row r="1046253" customFormat="false" ht="12.8" hidden="false" customHeight="false" outlineLevel="0" collapsed="false"/>
    <row r="1046254" customFormat="false" ht="12.8" hidden="false" customHeight="false" outlineLevel="0" collapsed="false"/>
    <row r="1046255" customFormat="false" ht="12.8" hidden="false" customHeight="false" outlineLevel="0" collapsed="false"/>
    <row r="1046256" customFormat="false" ht="12.8" hidden="false" customHeight="false" outlineLevel="0" collapsed="false"/>
    <row r="1046257" customFormat="false" ht="12.8" hidden="false" customHeight="false" outlineLevel="0" collapsed="false"/>
    <row r="1046258" customFormat="false" ht="12.8" hidden="false" customHeight="false" outlineLevel="0" collapsed="false"/>
    <row r="1046259" customFormat="false" ht="12.8" hidden="false" customHeight="false" outlineLevel="0" collapsed="false"/>
    <row r="1046260" customFormat="false" ht="12.8" hidden="false" customHeight="false" outlineLevel="0" collapsed="false"/>
    <row r="1046261" customFormat="false" ht="12.8" hidden="false" customHeight="false" outlineLevel="0" collapsed="false"/>
    <row r="1046262" customFormat="false" ht="12.8" hidden="false" customHeight="false" outlineLevel="0" collapsed="false"/>
    <row r="1046263" customFormat="false" ht="12.8" hidden="false" customHeight="false" outlineLevel="0" collapsed="false"/>
    <row r="1046264" customFormat="false" ht="12.8" hidden="false" customHeight="false" outlineLevel="0" collapsed="false"/>
    <row r="1046265" customFormat="false" ht="12.8" hidden="false" customHeight="false" outlineLevel="0" collapsed="false"/>
    <row r="1046266" customFormat="false" ht="12.8" hidden="false" customHeight="false" outlineLevel="0" collapsed="false"/>
    <row r="1046267" customFormat="false" ht="12.8" hidden="false" customHeight="false" outlineLevel="0" collapsed="false"/>
    <row r="1046268" customFormat="false" ht="12.8" hidden="false" customHeight="false" outlineLevel="0" collapsed="false"/>
    <row r="1046269" customFormat="false" ht="12.8" hidden="false" customHeight="false" outlineLevel="0" collapsed="false"/>
    <row r="1046270" customFormat="false" ht="12.8" hidden="false" customHeight="false" outlineLevel="0" collapsed="false"/>
    <row r="1046271" customFormat="false" ht="12.8" hidden="false" customHeight="false" outlineLevel="0" collapsed="false"/>
    <row r="1046272" customFormat="false" ht="12.8" hidden="false" customHeight="false" outlineLevel="0" collapsed="false"/>
    <row r="1046273" customFormat="false" ht="12.8" hidden="false" customHeight="false" outlineLevel="0" collapsed="false"/>
    <row r="1046274" customFormat="false" ht="12.8" hidden="false" customHeight="false" outlineLevel="0" collapsed="false"/>
    <row r="1046275" customFormat="false" ht="12.8" hidden="false" customHeight="false" outlineLevel="0" collapsed="false"/>
    <row r="1046276" customFormat="false" ht="12.8" hidden="false" customHeight="false" outlineLevel="0" collapsed="false"/>
    <row r="1046277" customFormat="false" ht="12.8" hidden="false" customHeight="false" outlineLevel="0" collapsed="false"/>
    <row r="1046278" customFormat="false" ht="12.8" hidden="false" customHeight="false" outlineLevel="0" collapsed="false"/>
    <row r="1046279" customFormat="false" ht="12.8" hidden="false" customHeight="false" outlineLevel="0" collapsed="false"/>
    <row r="1046280" customFormat="false" ht="12.8" hidden="false" customHeight="false" outlineLevel="0" collapsed="false"/>
    <row r="1046281" customFormat="false" ht="12.8" hidden="false" customHeight="false" outlineLevel="0" collapsed="false"/>
    <row r="1046282" customFormat="false" ht="12.8" hidden="false" customHeight="false" outlineLevel="0" collapsed="false"/>
    <row r="1046283" customFormat="false" ht="12.8" hidden="false" customHeight="false" outlineLevel="0" collapsed="false"/>
    <row r="1046284" customFormat="false" ht="12.8" hidden="false" customHeight="false" outlineLevel="0" collapsed="false"/>
    <row r="1046285" customFormat="false" ht="12.8" hidden="false" customHeight="false" outlineLevel="0" collapsed="false"/>
    <row r="1046286" customFormat="false" ht="12.8" hidden="false" customHeight="false" outlineLevel="0" collapsed="false"/>
    <row r="1046287" customFormat="false" ht="12.8" hidden="false" customHeight="false" outlineLevel="0" collapsed="false"/>
    <row r="1046288" customFormat="false" ht="12.8" hidden="false" customHeight="false" outlineLevel="0" collapsed="false"/>
    <row r="1046289" customFormat="false" ht="12.8" hidden="false" customHeight="false" outlineLevel="0" collapsed="false"/>
    <row r="1046290" customFormat="false" ht="12.8" hidden="false" customHeight="false" outlineLevel="0" collapsed="false"/>
    <row r="1046291" customFormat="false" ht="12.8" hidden="false" customHeight="false" outlineLevel="0" collapsed="false"/>
    <row r="1046292" customFormat="false" ht="12.8" hidden="false" customHeight="false" outlineLevel="0" collapsed="false"/>
    <row r="1046293" customFormat="false" ht="12.8" hidden="false" customHeight="false" outlineLevel="0" collapsed="false"/>
    <row r="1046294" customFormat="false" ht="12.8" hidden="false" customHeight="false" outlineLevel="0" collapsed="false"/>
    <row r="1046295" customFormat="false" ht="12.8" hidden="false" customHeight="false" outlineLevel="0" collapsed="false"/>
    <row r="1046296" customFormat="false" ht="12.8" hidden="false" customHeight="false" outlineLevel="0" collapsed="false"/>
    <row r="1046297" customFormat="false" ht="12.8" hidden="false" customHeight="false" outlineLevel="0" collapsed="false"/>
    <row r="1046298" customFormat="false" ht="12.8" hidden="false" customHeight="false" outlineLevel="0" collapsed="false"/>
    <row r="1046299" customFormat="false" ht="12.8" hidden="false" customHeight="false" outlineLevel="0" collapsed="false"/>
    <row r="1046300" customFormat="false" ht="12.8" hidden="false" customHeight="false" outlineLevel="0" collapsed="false"/>
    <row r="1046301" customFormat="false" ht="12.8" hidden="false" customHeight="false" outlineLevel="0" collapsed="false"/>
    <row r="1046302" customFormat="false" ht="12.8" hidden="false" customHeight="false" outlineLevel="0" collapsed="false"/>
    <row r="1046303" customFormat="false" ht="12.8" hidden="false" customHeight="false" outlineLevel="0" collapsed="false"/>
    <row r="1046304" customFormat="false" ht="12.8" hidden="false" customHeight="false" outlineLevel="0" collapsed="false"/>
    <row r="1046305" customFormat="false" ht="12.8" hidden="false" customHeight="false" outlineLevel="0" collapsed="false"/>
    <row r="1046306" customFormat="false" ht="12.8" hidden="false" customHeight="false" outlineLevel="0" collapsed="false"/>
    <row r="1046307" customFormat="false" ht="12.8" hidden="false" customHeight="false" outlineLevel="0" collapsed="false"/>
    <row r="1046308" customFormat="false" ht="12.8" hidden="false" customHeight="false" outlineLevel="0" collapsed="false"/>
    <row r="1046309" customFormat="false" ht="12.8" hidden="false" customHeight="false" outlineLevel="0" collapsed="false"/>
    <row r="1046310" customFormat="false" ht="12.8" hidden="false" customHeight="false" outlineLevel="0" collapsed="false"/>
    <row r="1046311" customFormat="false" ht="12.8" hidden="false" customHeight="false" outlineLevel="0" collapsed="false"/>
    <row r="1046312" customFormat="false" ht="12.8" hidden="false" customHeight="false" outlineLevel="0" collapsed="false"/>
    <row r="1046313" customFormat="false" ht="12.8" hidden="false" customHeight="false" outlineLevel="0" collapsed="false"/>
    <row r="1046314" customFormat="false" ht="12.8" hidden="false" customHeight="false" outlineLevel="0" collapsed="false"/>
    <row r="1046315" customFormat="false" ht="12.8" hidden="false" customHeight="false" outlineLevel="0" collapsed="false"/>
    <row r="1046316" customFormat="false" ht="12.8" hidden="false" customHeight="false" outlineLevel="0" collapsed="false"/>
    <row r="1046317" customFormat="false" ht="12.8" hidden="false" customHeight="false" outlineLevel="0" collapsed="false"/>
    <row r="1046318" customFormat="false" ht="12.8" hidden="false" customHeight="false" outlineLevel="0" collapsed="false"/>
    <row r="1046319" customFormat="false" ht="12.8" hidden="false" customHeight="false" outlineLevel="0" collapsed="false"/>
    <row r="1046320" customFormat="false" ht="12.8" hidden="false" customHeight="false" outlineLevel="0" collapsed="false"/>
    <row r="1046321" customFormat="false" ht="12.8" hidden="false" customHeight="false" outlineLevel="0" collapsed="false"/>
    <row r="1046322" customFormat="false" ht="12.8" hidden="false" customHeight="false" outlineLevel="0" collapsed="false"/>
    <row r="1046323" customFormat="false" ht="12.8" hidden="false" customHeight="false" outlineLevel="0" collapsed="false"/>
    <row r="1046324" customFormat="false" ht="12.8" hidden="false" customHeight="false" outlineLevel="0" collapsed="false"/>
    <row r="1046325" customFormat="false" ht="12.8" hidden="false" customHeight="false" outlineLevel="0" collapsed="false"/>
    <row r="1046326" customFormat="false" ht="12.8" hidden="false" customHeight="false" outlineLevel="0" collapsed="false"/>
    <row r="1046327" customFormat="false" ht="12.8" hidden="false" customHeight="false" outlineLevel="0" collapsed="false"/>
    <row r="1046328" customFormat="false" ht="12.8" hidden="false" customHeight="false" outlineLevel="0" collapsed="false"/>
    <row r="1046329" customFormat="false" ht="12.8" hidden="false" customHeight="false" outlineLevel="0" collapsed="false"/>
    <row r="1046330" customFormat="false" ht="12.8" hidden="false" customHeight="false" outlineLevel="0" collapsed="false"/>
    <row r="1046331" customFormat="false" ht="12.8" hidden="false" customHeight="false" outlineLevel="0" collapsed="false"/>
    <row r="1046332" customFormat="false" ht="12.8" hidden="false" customHeight="false" outlineLevel="0" collapsed="false"/>
    <row r="1046333" customFormat="false" ht="12.8" hidden="false" customHeight="false" outlineLevel="0" collapsed="false"/>
    <row r="1046334" customFormat="false" ht="12.8" hidden="false" customHeight="false" outlineLevel="0" collapsed="false"/>
    <row r="1046335" customFormat="false" ht="12.8" hidden="false" customHeight="false" outlineLevel="0" collapsed="false"/>
    <row r="1046336" customFormat="false" ht="12.8" hidden="false" customHeight="false" outlineLevel="0" collapsed="false"/>
    <row r="1046337" customFormat="false" ht="12.8" hidden="false" customHeight="false" outlineLevel="0" collapsed="false"/>
    <row r="1046338" customFormat="false" ht="12.8" hidden="false" customHeight="false" outlineLevel="0" collapsed="false"/>
    <row r="1046339" customFormat="false" ht="12.8" hidden="false" customHeight="false" outlineLevel="0" collapsed="false"/>
    <row r="1046340" customFormat="false" ht="12.8" hidden="false" customHeight="false" outlineLevel="0" collapsed="false"/>
    <row r="1046341" customFormat="false" ht="12.8" hidden="false" customHeight="false" outlineLevel="0" collapsed="false"/>
    <row r="1046342" customFormat="false" ht="12.8" hidden="false" customHeight="false" outlineLevel="0" collapsed="false"/>
    <row r="1046343" customFormat="false" ht="12.8" hidden="false" customHeight="false" outlineLevel="0" collapsed="false"/>
    <row r="1046344" customFormat="false" ht="12.8" hidden="false" customHeight="false" outlineLevel="0" collapsed="false"/>
    <row r="1046345" customFormat="false" ht="12.8" hidden="false" customHeight="false" outlineLevel="0" collapsed="false"/>
    <row r="1046346" customFormat="false" ht="12.8" hidden="false" customHeight="false" outlineLevel="0" collapsed="false"/>
    <row r="1046347" customFormat="false" ht="12.8" hidden="false" customHeight="false" outlineLevel="0" collapsed="false"/>
    <row r="1046348" customFormat="false" ht="12.8" hidden="false" customHeight="false" outlineLevel="0" collapsed="false"/>
    <row r="1046349" customFormat="false" ht="12.8" hidden="false" customHeight="false" outlineLevel="0" collapsed="false"/>
    <row r="1046350" customFormat="false" ht="12.8" hidden="false" customHeight="false" outlineLevel="0" collapsed="false"/>
    <row r="1046351" customFormat="false" ht="12.8" hidden="false" customHeight="false" outlineLevel="0" collapsed="false"/>
    <row r="1046352" customFormat="false" ht="12.8" hidden="false" customHeight="false" outlineLevel="0" collapsed="false"/>
    <row r="1046353" customFormat="false" ht="12.8" hidden="false" customHeight="false" outlineLevel="0" collapsed="false"/>
    <row r="1046354" customFormat="false" ht="12.8" hidden="false" customHeight="false" outlineLevel="0" collapsed="false"/>
    <row r="1046355" customFormat="false" ht="12.8" hidden="false" customHeight="false" outlineLevel="0" collapsed="false"/>
    <row r="1046356" customFormat="false" ht="12.8" hidden="false" customHeight="false" outlineLevel="0" collapsed="false"/>
    <row r="1046357" customFormat="false" ht="12.8" hidden="false" customHeight="false" outlineLevel="0" collapsed="false"/>
    <row r="1046358" customFormat="false" ht="12.8" hidden="false" customHeight="false" outlineLevel="0" collapsed="false"/>
    <row r="1046359" customFormat="false" ht="12.8" hidden="false" customHeight="false" outlineLevel="0" collapsed="false"/>
    <row r="1046360" customFormat="false" ht="12.8" hidden="false" customHeight="false" outlineLevel="0" collapsed="false"/>
    <row r="1046361" customFormat="false" ht="12.8" hidden="false" customHeight="false" outlineLevel="0" collapsed="false"/>
    <row r="1046362" customFormat="false" ht="12.8" hidden="false" customHeight="false" outlineLevel="0" collapsed="false"/>
    <row r="1046363" customFormat="false" ht="12.8" hidden="false" customHeight="false" outlineLevel="0" collapsed="false"/>
    <row r="1046364" customFormat="false" ht="12.8" hidden="false" customHeight="false" outlineLevel="0" collapsed="false"/>
    <row r="1046365" customFormat="false" ht="12.8" hidden="false" customHeight="false" outlineLevel="0" collapsed="false"/>
    <row r="1046366" customFormat="false" ht="12.8" hidden="false" customHeight="false" outlineLevel="0" collapsed="false"/>
    <row r="1046367" customFormat="false" ht="12.8" hidden="false" customHeight="false" outlineLevel="0" collapsed="false"/>
    <row r="1046368" customFormat="false" ht="12.8" hidden="false" customHeight="false" outlineLevel="0" collapsed="false"/>
    <row r="1046369" customFormat="false" ht="12.8" hidden="false" customHeight="false" outlineLevel="0" collapsed="false"/>
    <row r="1046370" customFormat="false" ht="12.8" hidden="false" customHeight="false" outlineLevel="0" collapsed="false"/>
    <row r="1046371" customFormat="false" ht="12.8" hidden="false" customHeight="false" outlineLevel="0" collapsed="false"/>
    <row r="1046372" customFormat="false" ht="12.8" hidden="false" customHeight="false" outlineLevel="0" collapsed="false"/>
    <row r="1046373" customFormat="false" ht="12.8" hidden="false" customHeight="false" outlineLevel="0" collapsed="false"/>
    <row r="1046374" customFormat="false" ht="12.8" hidden="false" customHeight="false" outlineLevel="0" collapsed="false"/>
    <row r="1046375" customFormat="false" ht="12.8" hidden="false" customHeight="false" outlineLevel="0" collapsed="false"/>
    <row r="1046376" customFormat="false" ht="12.8" hidden="false" customHeight="false" outlineLevel="0" collapsed="false"/>
    <row r="1046377" customFormat="false" ht="12.8" hidden="false" customHeight="false" outlineLevel="0" collapsed="false"/>
    <row r="1046378" customFormat="false" ht="12.8" hidden="false" customHeight="false" outlineLevel="0" collapsed="false"/>
    <row r="1046379" customFormat="false" ht="12.8" hidden="false" customHeight="false" outlineLevel="0" collapsed="false"/>
    <row r="1046380" customFormat="false" ht="12.8" hidden="false" customHeight="false" outlineLevel="0" collapsed="false"/>
    <row r="1046381" customFormat="false" ht="12.8" hidden="false" customHeight="false" outlineLevel="0" collapsed="false"/>
    <row r="1046382" customFormat="false" ht="12.8" hidden="false" customHeight="false" outlineLevel="0" collapsed="false"/>
    <row r="1046383" customFormat="false" ht="12.8" hidden="false" customHeight="false" outlineLevel="0" collapsed="false"/>
    <row r="1046384" customFormat="false" ht="12.8" hidden="false" customHeight="false" outlineLevel="0" collapsed="false"/>
    <row r="1046385" customFormat="false" ht="12.8" hidden="false" customHeight="false" outlineLevel="0" collapsed="false"/>
    <row r="1046386" customFormat="false" ht="12.8" hidden="false" customHeight="false" outlineLevel="0" collapsed="false"/>
    <row r="1046387" customFormat="false" ht="12.8" hidden="false" customHeight="false" outlineLevel="0" collapsed="false"/>
    <row r="1046388" customFormat="false" ht="12.8" hidden="false" customHeight="false" outlineLevel="0" collapsed="false"/>
    <row r="1046389" customFormat="false" ht="12.8" hidden="false" customHeight="false" outlineLevel="0" collapsed="false"/>
    <row r="1046390" customFormat="false" ht="12.8" hidden="false" customHeight="false" outlineLevel="0" collapsed="false"/>
    <row r="1046391" customFormat="false" ht="12.8" hidden="false" customHeight="false" outlineLevel="0" collapsed="false"/>
    <row r="1046392" customFormat="false" ht="12.8" hidden="false" customHeight="false" outlineLevel="0" collapsed="false"/>
    <row r="1046393" customFormat="false" ht="12.8" hidden="false" customHeight="false" outlineLevel="0" collapsed="false"/>
    <row r="1046394" customFormat="false" ht="12.8" hidden="false" customHeight="false" outlineLevel="0" collapsed="false"/>
    <row r="1046395" customFormat="false" ht="12.8" hidden="false" customHeight="false" outlineLevel="0" collapsed="false"/>
    <row r="1046396" customFormat="false" ht="12.8" hidden="false" customHeight="false" outlineLevel="0" collapsed="false"/>
    <row r="1046397" customFormat="false" ht="12.8" hidden="false" customHeight="false" outlineLevel="0" collapsed="false"/>
    <row r="1046398" customFormat="false" ht="12.8" hidden="false" customHeight="false" outlineLevel="0" collapsed="false"/>
    <row r="1046399" customFormat="false" ht="12.8" hidden="false" customHeight="false" outlineLevel="0" collapsed="false"/>
    <row r="1046400" customFormat="false" ht="12.8" hidden="false" customHeight="false" outlineLevel="0" collapsed="false"/>
    <row r="1046401" customFormat="false" ht="12.8" hidden="false" customHeight="false" outlineLevel="0" collapsed="false"/>
    <row r="1046402" customFormat="false" ht="12.8" hidden="false" customHeight="false" outlineLevel="0" collapsed="false"/>
    <row r="1046403" customFormat="false" ht="12.8" hidden="false" customHeight="false" outlineLevel="0" collapsed="false"/>
    <row r="1046404" customFormat="false" ht="12.8" hidden="false" customHeight="false" outlineLevel="0" collapsed="false"/>
    <row r="1046405" customFormat="false" ht="12.8" hidden="false" customHeight="false" outlineLevel="0" collapsed="false"/>
    <row r="1046406" customFormat="false" ht="12.8" hidden="false" customHeight="false" outlineLevel="0" collapsed="false"/>
    <row r="1046407" customFormat="false" ht="12.8" hidden="false" customHeight="false" outlineLevel="0" collapsed="false"/>
    <row r="1046408" customFormat="false" ht="12.8" hidden="false" customHeight="false" outlineLevel="0" collapsed="false"/>
    <row r="1046409" customFormat="false" ht="12.8" hidden="false" customHeight="false" outlineLevel="0" collapsed="false"/>
    <row r="1046410" customFormat="false" ht="12.8" hidden="false" customHeight="false" outlineLevel="0" collapsed="false"/>
    <row r="1046411" customFormat="false" ht="12.8" hidden="false" customHeight="false" outlineLevel="0" collapsed="false"/>
    <row r="1046412" customFormat="false" ht="12.8" hidden="false" customHeight="false" outlineLevel="0" collapsed="false"/>
    <row r="1046413" customFormat="false" ht="12.8" hidden="false" customHeight="false" outlineLevel="0" collapsed="false"/>
    <row r="1046414" customFormat="false" ht="12.8" hidden="false" customHeight="false" outlineLevel="0" collapsed="false"/>
    <row r="1046415" customFormat="false" ht="12.8" hidden="false" customHeight="false" outlineLevel="0" collapsed="false"/>
    <row r="1046416" customFormat="false" ht="12.8" hidden="false" customHeight="false" outlineLevel="0" collapsed="false"/>
    <row r="1046417" customFormat="false" ht="12.8" hidden="false" customHeight="false" outlineLevel="0" collapsed="false"/>
    <row r="1046418" customFormat="false" ht="12.8" hidden="false" customHeight="false" outlineLevel="0" collapsed="false"/>
    <row r="1046419" customFormat="false" ht="12.8" hidden="false" customHeight="false" outlineLevel="0" collapsed="false"/>
    <row r="1046420" customFormat="false" ht="12.8" hidden="false" customHeight="false" outlineLevel="0" collapsed="false"/>
    <row r="1046421" customFormat="false" ht="12.8" hidden="false" customHeight="false" outlineLevel="0" collapsed="false"/>
    <row r="1046422" customFormat="false" ht="12.8" hidden="false" customHeight="false" outlineLevel="0" collapsed="false"/>
    <row r="1046423" customFormat="false" ht="12.8" hidden="false" customHeight="false" outlineLevel="0" collapsed="false"/>
    <row r="1046424" customFormat="false" ht="12.8" hidden="false" customHeight="false" outlineLevel="0" collapsed="false"/>
    <row r="1046425" customFormat="false" ht="12.8" hidden="false" customHeight="false" outlineLevel="0" collapsed="false"/>
    <row r="1046426" customFormat="false" ht="12.8" hidden="false" customHeight="false" outlineLevel="0" collapsed="false"/>
    <row r="1046427" customFormat="false" ht="12.8" hidden="false" customHeight="false" outlineLevel="0" collapsed="false"/>
    <row r="1046428" customFormat="false" ht="12.8" hidden="false" customHeight="false" outlineLevel="0" collapsed="false"/>
    <row r="1046429" customFormat="false" ht="12.8" hidden="false" customHeight="false" outlineLevel="0" collapsed="false"/>
    <row r="1046430" customFormat="false" ht="12.8" hidden="false" customHeight="false" outlineLevel="0" collapsed="false"/>
    <row r="1046431" customFormat="false" ht="12.8" hidden="false" customHeight="false" outlineLevel="0" collapsed="false"/>
    <row r="1046432" customFormat="false" ht="12.8" hidden="false" customHeight="false" outlineLevel="0" collapsed="false"/>
    <row r="1046433" customFormat="false" ht="12.8" hidden="false" customHeight="false" outlineLevel="0" collapsed="false"/>
    <row r="1046434" customFormat="false" ht="12.8" hidden="false" customHeight="false" outlineLevel="0" collapsed="false"/>
    <row r="1046435" customFormat="false" ht="12.8" hidden="false" customHeight="false" outlineLevel="0" collapsed="false"/>
    <row r="1046436" customFormat="false" ht="12.8" hidden="false" customHeight="false" outlineLevel="0" collapsed="false"/>
    <row r="1046437" customFormat="false" ht="12.8" hidden="false" customHeight="false" outlineLevel="0" collapsed="false"/>
    <row r="1046438" customFormat="false" ht="12.8" hidden="false" customHeight="false" outlineLevel="0" collapsed="false"/>
    <row r="1046439" customFormat="false" ht="12.8" hidden="false" customHeight="false" outlineLevel="0" collapsed="false"/>
    <row r="1046440" customFormat="false" ht="12.8" hidden="false" customHeight="false" outlineLevel="0" collapsed="false"/>
    <row r="1046441" customFormat="false" ht="12.8" hidden="false" customHeight="false" outlineLevel="0" collapsed="false"/>
    <row r="1046442" customFormat="false" ht="12.8" hidden="false" customHeight="false" outlineLevel="0" collapsed="false"/>
    <row r="1046443" customFormat="false" ht="12.8" hidden="false" customHeight="false" outlineLevel="0" collapsed="false"/>
    <row r="1046444" customFormat="false" ht="12.8" hidden="false" customHeight="false" outlineLevel="0" collapsed="false"/>
    <row r="1046445" customFormat="false" ht="12.8" hidden="false" customHeight="false" outlineLevel="0" collapsed="false"/>
    <row r="1046446" customFormat="false" ht="12.8" hidden="false" customHeight="false" outlineLevel="0" collapsed="false"/>
    <row r="1046447" customFormat="false" ht="12.8" hidden="false" customHeight="false" outlineLevel="0" collapsed="false"/>
    <row r="1046448" customFormat="false" ht="12.8" hidden="false" customHeight="false" outlineLevel="0" collapsed="false"/>
    <row r="1046449" customFormat="false" ht="12.8" hidden="false" customHeight="false" outlineLevel="0" collapsed="false"/>
    <row r="1046450" customFormat="false" ht="12.8" hidden="false" customHeight="false" outlineLevel="0" collapsed="false"/>
    <row r="1046451" customFormat="false" ht="12.8" hidden="false" customHeight="false" outlineLevel="0" collapsed="false"/>
    <row r="1046452" customFormat="false" ht="12.8" hidden="false" customHeight="false" outlineLevel="0" collapsed="false"/>
    <row r="1046453" customFormat="false" ht="12.8" hidden="false" customHeight="false" outlineLevel="0" collapsed="false"/>
    <row r="1046454" customFormat="false" ht="12.8" hidden="false" customHeight="false" outlineLevel="0" collapsed="false"/>
    <row r="1046455" customFormat="false" ht="12.8" hidden="false" customHeight="false" outlineLevel="0" collapsed="false"/>
    <row r="1046456" customFormat="false" ht="12.8" hidden="false" customHeight="false" outlineLevel="0" collapsed="false"/>
    <row r="1046457" customFormat="false" ht="12.8" hidden="false" customHeight="false" outlineLevel="0" collapsed="false"/>
    <row r="1046458" customFormat="false" ht="12.8" hidden="false" customHeight="false" outlineLevel="0" collapsed="false"/>
    <row r="1046459" customFormat="false" ht="12.8" hidden="false" customHeight="false" outlineLevel="0" collapsed="false"/>
    <row r="1046460" customFormat="false" ht="12.8" hidden="false" customHeight="false" outlineLevel="0" collapsed="false"/>
    <row r="1046461" customFormat="false" ht="12.8" hidden="false" customHeight="false" outlineLevel="0" collapsed="false"/>
    <row r="1046462" customFormat="false" ht="12.8" hidden="false" customHeight="false" outlineLevel="0" collapsed="false"/>
    <row r="1046463" customFormat="false" ht="12.8" hidden="false" customHeight="false" outlineLevel="0" collapsed="false"/>
    <row r="1046464" customFormat="false" ht="12.8" hidden="false" customHeight="false" outlineLevel="0" collapsed="false"/>
    <row r="1046465" customFormat="false" ht="12.8" hidden="false" customHeight="false" outlineLevel="0" collapsed="false"/>
    <row r="1046466" customFormat="false" ht="12.8" hidden="false" customHeight="false" outlineLevel="0" collapsed="false"/>
    <row r="1046467" customFormat="false" ht="12.8" hidden="false" customHeight="false" outlineLevel="0" collapsed="false"/>
    <row r="1046468" customFormat="false" ht="12.8" hidden="false" customHeight="false" outlineLevel="0" collapsed="false"/>
    <row r="1046469" customFormat="false" ht="12.8" hidden="false" customHeight="false" outlineLevel="0" collapsed="false"/>
    <row r="1046470" customFormat="false" ht="12.8" hidden="false" customHeight="false" outlineLevel="0" collapsed="false"/>
    <row r="1046471" customFormat="false" ht="12.8" hidden="false" customHeight="false" outlineLevel="0" collapsed="false"/>
    <row r="1046472" customFormat="false" ht="12.8" hidden="false" customHeight="false" outlineLevel="0" collapsed="false"/>
    <row r="1046473" customFormat="false" ht="12.8" hidden="false" customHeight="false" outlineLevel="0" collapsed="false"/>
    <row r="1046474" customFormat="false" ht="12.8" hidden="false" customHeight="false" outlineLevel="0" collapsed="false"/>
    <row r="1046475" customFormat="false" ht="12.8" hidden="false" customHeight="false" outlineLevel="0" collapsed="false"/>
    <row r="1046476" customFormat="false" ht="12.8" hidden="false" customHeight="false" outlineLevel="0" collapsed="false"/>
    <row r="1046477" customFormat="false" ht="12.8" hidden="false" customHeight="false" outlineLevel="0" collapsed="false"/>
    <row r="1046478" customFormat="false" ht="12.8" hidden="false" customHeight="false" outlineLevel="0" collapsed="false"/>
    <row r="1046479" customFormat="false" ht="12.8" hidden="false" customHeight="false" outlineLevel="0" collapsed="false"/>
    <row r="1046480" customFormat="false" ht="12.8" hidden="false" customHeight="false" outlineLevel="0" collapsed="false"/>
    <row r="1046481" customFormat="false" ht="12.8" hidden="false" customHeight="false" outlineLevel="0" collapsed="false"/>
    <row r="1046482" customFormat="false" ht="12.8" hidden="false" customHeight="false" outlineLevel="0" collapsed="false"/>
    <row r="1046483" customFormat="false" ht="12.8" hidden="false" customHeight="false" outlineLevel="0" collapsed="false"/>
    <row r="1046484" customFormat="false" ht="12.8" hidden="false" customHeight="false" outlineLevel="0" collapsed="false"/>
    <row r="1046485" customFormat="false" ht="12.8" hidden="false" customHeight="false" outlineLevel="0" collapsed="false"/>
    <row r="1046486" customFormat="false" ht="12.8" hidden="false" customHeight="false" outlineLevel="0" collapsed="false"/>
    <row r="1046487" customFormat="false" ht="12.8" hidden="false" customHeight="false" outlineLevel="0" collapsed="false"/>
    <row r="1046488" customFormat="false" ht="12.8" hidden="false" customHeight="false" outlineLevel="0" collapsed="false"/>
    <row r="1046489" customFormat="false" ht="12.8" hidden="false" customHeight="false" outlineLevel="0" collapsed="false"/>
    <row r="1046490" customFormat="false" ht="12.8" hidden="false" customHeight="false" outlineLevel="0" collapsed="false"/>
    <row r="1046491" customFormat="false" ht="12.8" hidden="false" customHeight="false" outlineLevel="0" collapsed="false"/>
    <row r="1046492" customFormat="false" ht="12.8" hidden="false" customHeight="false" outlineLevel="0" collapsed="false"/>
    <row r="1046493" customFormat="false" ht="12.8" hidden="false" customHeight="false" outlineLevel="0" collapsed="false"/>
    <row r="1046494" customFormat="false" ht="12.8" hidden="false" customHeight="false" outlineLevel="0" collapsed="false"/>
    <row r="1046495" customFormat="false" ht="12.8" hidden="false" customHeight="false" outlineLevel="0" collapsed="false"/>
    <row r="1046496" customFormat="false" ht="12.8" hidden="false" customHeight="false" outlineLevel="0" collapsed="false"/>
    <row r="1046497" customFormat="false" ht="12.8" hidden="false" customHeight="false" outlineLevel="0" collapsed="false"/>
    <row r="1046498" customFormat="false" ht="12.8" hidden="false" customHeight="false" outlineLevel="0" collapsed="false"/>
    <row r="1046499" customFormat="false" ht="12.8" hidden="false" customHeight="false" outlineLevel="0" collapsed="false"/>
    <row r="1046500" customFormat="false" ht="12.8" hidden="false" customHeight="false" outlineLevel="0" collapsed="false"/>
    <row r="1046501" customFormat="false" ht="12.8" hidden="false" customHeight="false" outlineLevel="0" collapsed="false"/>
    <row r="1046502" customFormat="false" ht="12.8" hidden="false" customHeight="false" outlineLevel="0" collapsed="false"/>
    <row r="1046503" customFormat="false" ht="12.8" hidden="false" customHeight="false" outlineLevel="0" collapsed="false"/>
    <row r="1046504" customFormat="false" ht="12.8" hidden="false" customHeight="false" outlineLevel="0" collapsed="false"/>
    <row r="1046505" customFormat="false" ht="12.8" hidden="false" customHeight="false" outlineLevel="0" collapsed="false"/>
    <row r="1046506" customFormat="false" ht="12.8" hidden="false" customHeight="false" outlineLevel="0" collapsed="false"/>
    <row r="1046507" customFormat="false" ht="12.8" hidden="false" customHeight="false" outlineLevel="0" collapsed="false"/>
    <row r="1046508" customFormat="false" ht="12.8" hidden="false" customHeight="false" outlineLevel="0" collapsed="false"/>
    <row r="1046509" customFormat="false" ht="12.8" hidden="false" customHeight="false" outlineLevel="0" collapsed="false"/>
    <row r="1046510" customFormat="false" ht="12.8" hidden="false" customHeight="false" outlineLevel="0" collapsed="false"/>
    <row r="1046511" customFormat="false" ht="12.8" hidden="false" customHeight="false" outlineLevel="0" collapsed="false"/>
    <row r="1046512" customFormat="false" ht="12.8" hidden="false" customHeight="false" outlineLevel="0" collapsed="false"/>
    <row r="1046513" customFormat="false" ht="12.8" hidden="false" customHeight="false" outlineLevel="0" collapsed="false"/>
    <row r="1046514" customFormat="false" ht="12.8" hidden="false" customHeight="false" outlineLevel="0" collapsed="false"/>
    <row r="1046515" customFormat="false" ht="12.8" hidden="false" customHeight="false" outlineLevel="0" collapsed="false"/>
    <row r="1046516" customFormat="false" ht="12.8" hidden="false" customHeight="false" outlineLevel="0" collapsed="false"/>
    <row r="1046517" customFormat="false" ht="12.8" hidden="false" customHeight="false" outlineLevel="0" collapsed="false"/>
    <row r="1046518" customFormat="false" ht="12.8" hidden="false" customHeight="false" outlineLevel="0" collapsed="false"/>
    <row r="1046519" customFormat="false" ht="12.8" hidden="false" customHeight="false" outlineLevel="0" collapsed="false"/>
    <row r="1046520" customFormat="false" ht="12.8" hidden="false" customHeight="false" outlineLevel="0" collapsed="false"/>
    <row r="1046521" customFormat="false" ht="12.8" hidden="false" customHeight="false" outlineLevel="0" collapsed="false"/>
    <row r="1046522" customFormat="false" ht="12.8" hidden="false" customHeight="false" outlineLevel="0" collapsed="false"/>
    <row r="1046523" customFormat="false" ht="12.8" hidden="false" customHeight="false" outlineLevel="0" collapsed="false"/>
    <row r="1046524" customFormat="false" ht="12.8" hidden="false" customHeight="false" outlineLevel="0" collapsed="false"/>
    <row r="1046525" customFormat="false" ht="12.8" hidden="false" customHeight="false" outlineLevel="0" collapsed="false"/>
    <row r="1046526" customFormat="false" ht="12.8" hidden="false" customHeight="false" outlineLevel="0" collapsed="false"/>
    <row r="1046527" customFormat="false" ht="12.8" hidden="false" customHeight="false" outlineLevel="0" collapsed="false"/>
    <row r="1046528" customFormat="false" ht="12.8" hidden="false" customHeight="false" outlineLevel="0" collapsed="false"/>
    <row r="1046529" customFormat="false" ht="12.8" hidden="false" customHeight="false" outlineLevel="0" collapsed="false"/>
    <row r="1046530" customFormat="false" ht="12.8" hidden="false" customHeight="false" outlineLevel="0" collapsed="false"/>
    <row r="1046531" customFormat="false" ht="12.8" hidden="false" customHeight="false" outlineLevel="0" collapsed="false"/>
    <row r="1046532" customFormat="false" ht="12.8" hidden="false" customHeight="false" outlineLevel="0" collapsed="false"/>
    <row r="1046533" customFormat="false" ht="12.8" hidden="false" customHeight="false" outlineLevel="0" collapsed="false"/>
    <row r="1046534" customFormat="false" ht="12.8" hidden="false" customHeight="false" outlineLevel="0" collapsed="false"/>
    <row r="1046535" customFormat="false" ht="12.8" hidden="false" customHeight="false" outlineLevel="0" collapsed="false"/>
    <row r="1046536" customFormat="false" ht="12.8" hidden="false" customHeight="false" outlineLevel="0" collapsed="false"/>
    <row r="1046537" customFormat="false" ht="12.8" hidden="false" customHeight="false" outlineLevel="0" collapsed="false"/>
    <row r="1046538" customFormat="false" ht="12.8" hidden="false" customHeight="false" outlineLevel="0" collapsed="false"/>
    <row r="1046539" customFormat="false" ht="12.8" hidden="false" customHeight="false" outlineLevel="0" collapsed="false"/>
    <row r="1046540" customFormat="false" ht="12.8" hidden="false" customHeight="false" outlineLevel="0" collapsed="false"/>
    <row r="1046541" customFormat="false" ht="12.8" hidden="false" customHeight="false" outlineLevel="0" collapsed="false"/>
    <row r="1046542" customFormat="false" ht="12.8" hidden="false" customHeight="false" outlineLevel="0" collapsed="false"/>
    <row r="1046543" customFormat="false" ht="12.8" hidden="false" customHeight="false" outlineLevel="0" collapsed="false"/>
    <row r="1046544" customFormat="false" ht="12.8" hidden="false" customHeight="false" outlineLevel="0" collapsed="false"/>
    <row r="1046545" customFormat="false" ht="12.8" hidden="false" customHeight="false" outlineLevel="0" collapsed="false"/>
    <row r="1046546" customFormat="false" ht="12.8" hidden="false" customHeight="false" outlineLevel="0" collapsed="false"/>
    <row r="1046547" customFormat="false" ht="12.8" hidden="false" customHeight="false" outlineLevel="0" collapsed="false"/>
    <row r="1046548" customFormat="false" ht="12.8" hidden="false" customHeight="false" outlineLevel="0" collapsed="false"/>
    <row r="1046549" customFormat="false" ht="12.8" hidden="false" customHeight="false" outlineLevel="0" collapsed="false"/>
    <row r="1046550" customFormat="false" ht="12.8" hidden="false" customHeight="false" outlineLevel="0" collapsed="false"/>
    <row r="1046551" customFormat="false" ht="12.8" hidden="false" customHeight="false" outlineLevel="0" collapsed="false"/>
    <row r="1046552" customFormat="false" ht="12.8" hidden="false" customHeight="false" outlineLevel="0" collapsed="false"/>
    <row r="1046553" customFormat="false" ht="12.8" hidden="false" customHeight="false" outlineLevel="0" collapsed="false"/>
    <row r="1046554" customFormat="false" ht="12.8" hidden="false" customHeight="false" outlineLevel="0" collapsed="false"/>
    <row r="1046555" customFormat="false" ht="12.8" hidden="false" customHeight="false" outlineLevel="0" collapsed="false"/>
    <row r="1046556" customFormat="false" ht="12.8" hidden="false" customHeight="false" outlineLevel="0" collapsed="false"/>
    <row r="1046557" customFormat="false" ht="12.8" hidden="false" customHeight="false" outlineLevel="0" collapsed="false"/>
    <row r="1046558" customFormat="false" ht="12.8" hidden="false" customHeight="false" outlineLevel="0" collapsed="false"/>
    <row r="1046559" customFormat="false" ht="12.8" hidden="false" customHeight="false" outlineLevel="0" collapsed="false"/>
    <row r="1046560" customFormat="false" ht="12.8" hidden="false" customHeight="false" outlineLevel="0" collapsed="false"/>
    <row r="1046561" customFormat="false" ht="12.8" hidden="false" customHeight="false" outlineLevel="0" collapsed="false"/>
    <row r="1046562" customFormat="false" ht="12.8" hidden="false" customHeight="false" outlineLevel="0" collapsed="false"/>
    <row r="1046563" customFormat="false" ht="12.8" hidden="false" customHeight="false" outlineLevel="0" collapsed="false"/>
    <row r="1046564" customFormat="false" ht="12.8" hidden="false" customHeight="false" outlineLevel="0" collapsed="false"/>
    <row r="1046565" customFormat="false" ht="12.8" hidden="false" customHeight="false" outlineLevel="0" collapsed="false"/>
    <row r="1046566" customFormat="false" ht="12.8" hidden="false" customHeight="false" outlineLevel="0" collapsed="false"/>
    <row r="1046567" customFormat="false" ht="12.8" hidden="false" customHeight="false" outlineLevel="0" collapsed="false"/>
    <row r="1046568" customFormat="false" ht="12.8" hidden="false" customHeight="false" outlineLevel="0" collapsed="false"/>
    <row r="1046569" customFormat="false" ht="12.8" hidden="false" customHeight="false" outlineLevel="0" collapsed="false"/>
    <row r="1046570" customFormat="false" ht="12.8" hidden="false" customHeight="false" outlineLevel="0" collapsed="false"/>
    <row r="1046571" customFormat="false" ht="12.8" hidden="false" customHeight="false" outlineLevel="0" collapsed="false"/>
    <row r="1046572" customFormat="false" ht="12.8" hidden="false" customHeight="false" outlineLevel="0" collapsed="false"/>
    <row r="1046573" customFormat="false" ht="12.8" hidden="false" customHeight="false" outlineLevel="0" collapsed="false"/>
    <row r="1046574" customFormat="false" ht="12.8" hidden="false" customHeight="false" outlineLevel="0" collapsed="false"/>
    <row r="1046575" customFormat="false" ht="12.8" hidden="false" customHeight="false" outlineLevel="0" collapsed="false"/>
    <row r="1046576" customFormat="false" ht="12.8" hidden="false" customHeight="false" outlineLevel="0" collapsed="false"/>
    <row r="1046577" customFormat="false" ht="12.8" hidden="false" customHeight="false" outlineLevel="0" collapsed="false"/>
    <row r="1046578" customFormat="false" ht="12.8" hidden="false" customHeight="false" outlineLevel="0" collapsed="false"/>
    <row r="1046579" customFormat="false" ht="12.8" hidden="false" customHeight="false" outlineLevel="0" collapsed="false"/>
    <row r="1046580" customFormat="false" ht="12.8" hidden="false" customHeight="false" outlineLevel="0" collapsed="false"/>
    <row r="1046581" customFormat="false" ht="12.8" hidden="false" customHeight="false" outlineLevel="0" collapsed="false"/>
    <row r="1046582" customFormat="false" ht="12.8" hidden="false" customHeight="false" outlineLevel="0" collapsed="false"/>
    <row r="1046583" customFormat="false" ht="12.8" hidden="false" customHeight="false" outlineLevel="0" collapsed="false"/>
    <row r="1046584" customFormat="false" ht="12.8" hidden="false" customHeight="false" outlineLevel="0" collapsed="false"/>
    <row r="1046585" customFormat="false" ht="12.8" hidden="false" customHeight="false" outlineLevel="0" collapsed="false"/>
    <row r="1046586" customFormat="false" ht="12.8" hidden="false" customHeight="false" outlineLevel="0" collapsed="false"/>
    <row r="1046587" customFormat="false" ht="12.8" hidden="false" customHeight="false" outlineLevel="0" collapsed="false"/>
    <row r="1046588" customFormat="false" ht="12.8" hidden="false" customHeight="false" outlineLevel="0" collapsed="false"/>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L1278"/>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2023-07-10T14:16:17Z</dcterms:created>
  <dc:creator>Kalbsmaster 5000</dc:creator>
  <dc:description/>
  <dc:language>en-US</dc:language>
  <cp:lastModifiedBy/>
  <dcterms:modified xsi:type="dcterms:W3CDTF">2025-11-14T18:07:48Z</dcterms:modified>
  <cp:revision>31</cp:revision>
  <dc:subject/>
  <dc:title/>
</cp:coreProperties>
</file>

<file path=docProps/custom.xml><?xml version="1.0" encoding="utf-8"?>
<Properties xmlns="http://schemas.openxmlformats.org/officeDocument/2006/custom-properties" xmlns:vt="http://schemas.openxmlformats.org/officeDocument/2006/docPropsVTypes"/>
</file>