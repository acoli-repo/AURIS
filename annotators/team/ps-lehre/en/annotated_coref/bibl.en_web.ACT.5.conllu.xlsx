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annotation!$A$1:$L$1279</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<sst xmlns="http://schemas.openxmlformats.org/spreadsheetml/2006/main" count="2683" uniqueCount="528">
  <si>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</si>
  <si>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</si>
  <si>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</si>
  <si>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</si>
  <si>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</si>
  <si>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</si>
  <si>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</si>
  <si>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</si>
  <si>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</si>
  <si>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</si>
  <si>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</si>
  <si>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</si>
  <si>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But a certain man named Ananias, with Sapphira, his wife, sold a possession, and kept back part of the price, his wife also being aware of it, and brought a certain part, and laid it at the apostles' feet.</t>
  </si>
  <si>
    <t xml:space="preserve">But</t>
  </si>
  <si>
    <t xml:space="preserve">a</t>
  </si>
  <si>
    <t xml:space="preserve">certain</t>
  </si>
  <si>
    <t xml:space="preserve">man</t>
  </si>
  <si>
    <t xml:space="preserve">SBJ</t>
  </si>
  <si>
    <t xml:space="preserve">indef-np.a</t>
  </si>
  <si>
    <t xml:space="preserve">named</t>
  </si>
  <si>
    <t xml:space="preserve">Ananias</t>
  </si>
  <si>
    <t xml:space="preserve">indef-np.bare</t>
  </si>
  <si>
    <t xml:space="preserve">,</t>
  </si>
  <si>
    <t xml:space="preserve">with</t>
  </si>
  <si>
    <t xml:space="preserve">Sapphira</t>
  </si>
  <si>
    <t xml:space="preserve">other_2</t>
  </si>
  <si>
    <t xml:space="preserve">ne</t>
  </si>
  <si>
    <t xml:space="preserve">?OLD</t>
  </si>
  <si>
    <t xml:space="preserve">REFERENTIAL</t>
  </si>
  <si>
    <t xml:space="preserve">his</t>
  </si>
  <si>
    <t xml:space="preserve">other_4</t>
  </si>
  <si>
    <t xml:space="preserve">pron.ppos</t>
  </si>
  <si>
    <t xml:space="preserve">wife</t>
  </si>
  <si>
    <t xml:space="preserve">other_3</t>
  </si>
  <si>
    <t xml:space="preserve">def-np.poss</t>
  </si>
  <si>
    <t xml:space="preserve">PRED</t>
  </si>
  <si>
    <t xml:space="preserve">sold</t>
  </si>
  <si>
    <t xml:space="preserve">possession</t>
  </si>
  <si>
    <t xml:space="preserve">OBJ</t>
  </si>
  <si>
    <t xml:space="preserve">and</t>
  </si>
  <si>
    <t xml:space="preserve">kept</t>
  </si>
  <si>
    <t xml:space="preserve">back</t>
  </si>
  <si>
    <t xml:space="preserve">part</t>
  </si>
  <si>
    <t xml:space="preserve">OBJ_2</t>
  </si>
  <si>
    <t xml:space="preserve">of</t>
  </si>
  <si>
    <t xml:space="preserve">the</t>
  </si>
  <si>
    <t xml:space="preserve">price</t>
  </si>
  <si>
    <t xml:space="preserve">def-np.the</t>
  </si>
  <si>
    <t xml:space="preserve">Money</t>
  </si>
  <si>
    <t xml:space="preserve">ACTIVATED</t>
  </si>
  <si>
    <t xml:space="preserve">other_6</t>
  </si>
  <si>
    <t xml:space="preserve">IN_FOCUS</t>
  </si>
  <si>
    <t xml:space="preserve">SBJ_5</t>
  </si>
  <si>
    <t xml:space="preserve">also</t>
  </si>
  <si>
    <t xml:space="preserve">being</t>
  </si>
  <si>
    <t xml:space="preserve">aware</t>
  </si>
  <si>
    <t xml:space="preserve">it</t>
  </si>
  <si>
    <t xml:space="preserve">other_5</t>
  </si>
  <si>
    <t xml:space="preserve">pron.pper</t>
  </si>
  <si>
    <t xml:space="preserve">Ananias kept back part of the price</t>
  </si>
  <si>
    <t xml:space="preserve">brought</t>
  </si>
  <si>
    <t xml:space="preserve">laid</t>
  </si>
  <si>
    <t xml:space="preserve">at</t>
  </si>
  <si>
    <t xml:space="preserve">apostles</t>
  </si>
  <si>
    <t xml:space="preserve">Apostles</t>
  </si>
  <si>
    <t xml:space="preserve">'</t>
  </si>
  <si>
    <t xml:space="preserve">feet</t>
  </si>
  <si>
    <t xml:space="preserve">Apostles_feet</t>
  </si>
  <si>
    <t xml:space="preserve">.</t>
  </si>
  <si>
    <t xml:space="preserve">--</t>
  </si>
  <si>
    <t xml:space="preserve"># text = But Peter said, "Ananias, why has Satan filled your heart to lie to the Holy Spirit, and to keep back part of the price of the land?</t>
  </si>
  <si>
    <t xml:space="preserve">Peter</t>
  </si>
  <si>
    <t xml:space="preserve">FAMILIAR</t>
  </si>
  <si>
    <t xml:space="preserve">said</t>
  </si>
  <si>
    <t xml:space="preserve">&amp;quot;</t>
  </si>
  <si>
    <t xml:space="preserve">other</t>
  </si>
  <si>
    <t xml:space="preserve">why</t>
  </si>
  <si>
    <t xml:space="preserve">has</t>
  </si>
  <si>
    <t xml:space="preserve">Satan</t>
  </si>
  <si>
    <t xml:space="preserve">SBJ_2</t>
  </si>
  <si>
    <t xml:space="preserve">filled</t>
  </si>
  <si>
    <t xml:space="preserve">your</t>
  </si>
  <si>
    <t xml:space="preserve">heart</t>
  </si>
  <si>
    <t xml:space="preserve">Ananias_heart</t>
  </si>
  <si>
    <t xml:space="preserve">to</t>
  </si>
  <si>
    <t xml:space="preserve">lie</t>
  </si>
  <si>
    <t xml:space="preserve">Holy</t>
  </si>
  <si>
    <t xml:space="preserve">Spirit</t>
  </si>
  <si>
    <t xml:space="preserve">Holy_Spirit</t>
  </si>
  <si>
    <t xml:space="preserve">keep</t>
  </si>
  <si>
    <t xml:space="preserve">OBJ_3</t>
  </si>
  <si>
    <t xml:space="preserve">land</t>
  </si>
  <si>
    <t xml:space="preserve">Ananias_land</t>
  </si>
  <si>
    <t xml:space="preserve">?</t>
  </si>
  <si>
    <t xml:space="preserve"># text = While you kept it, didn't it remain your own?</t>
  </si>
  <si>
    <t xml:space="preserve">While</t>
  </si>
  <si>
    <t xml:space="preserve">you</t>
  </si>
  <si>
    <t xml:space="preserve">did</t>
  </si>
  <si>
    <t xml:space="preserve">n't</t>
  </si>
  <si>
    <t xml:space="preserve">remain</t>
  </si>
  <si>
    <t xml:space="preserve">own</t>
  </si>
  <si>
    <t xml:space="preserve"># text = After it was sold, wasn't it in your power?</t>
  </si>
  <si>
    <t xml:space="preserve">After</t>
  </si>
  <si>
    <t xml:space="preserve">was</t>
  </si>
  <si>
    <t xml:space="preserve">Bringing the money</t>
  </si>
  <si>
    <t xml:space="preserve">in</t>
  </si>
  <si>
    <t xml:space="preserve">power</t>
  </si>
  <si>
    <t xml:space="preserve">Ananias_power</t>
  </si>
  <si>
    <t xml:space="preserve"># text = How is it that you have conceived this thing in your heart?</t>
  </si>
  <si>
    <t xml:space="preserve">How</t>
  </si>
  <si>
    <t xml:space="preserve">pron.pint</t>
  </si>
  <si>
    <t xml:space="preserve">is</t>
  </si>
  <si>
    <t xml:space="preserve">EXPL</t>
  </si>
  <si>
    <t xml:space="preserve">that</t>
  </si>
  <si>
    <t xml:space="preserve">SBJ_3</t>
  </si>
  <si>
    <t xml:space="preserve">have</t>
  </si>
  <si>
    <t xml:space="preserve">conceived</t>
  </si>
  <si>
    <t xml:space="preserve">this</t>
  </si>
  <si>
    <t xml:space="preserve">thing</t>
  </si>
  <si>
    <t xml:space="preserve">def-np.dem</t>
  </si>
  <si>
    <t xml:space="preserve">Holding back part of the price</t>
  </si>
  <si>
    <t xml:space="preserve"># text = You haven't lied to men, but to God."</t>
  </si>
  <si>
    <t xml:space="preserve">You</t>
  </si>
  <si>
    <t xml:space="preserve">lied</t>
  </si>
  <si>
    <t xml:space="preserve">men</t>
  </si>
  <si>
    <t xml:space="preserve">but</t>
  </si>
  <si>
    <t xml:space="preserve">God</t>
  </si>
  <si>
    <t xml:space="preserve"># text = Ananias, hearing these words, fell down and died.</t>
  </si>
  <si>
    <t xml:space="preserve">hearing</t>
  </si>
  <si>
    <t xml:space="preserve">these</t>
  </si>
  <si>
    <t xml:space="preserve">words</t>
  </si>
  <si>
    <t xml:space="preserve">Peter_words</t>
  </si>
  <si>
    <t xml:space="preserve">fell</t>
  </si>
  <si>
    <t xml:space="preserve">down</t>
  </si>
  <si>
    <t xml:space="preserve">died</t>
  </si>
  <si>
    <t xml:space="preserve"># text = Great fear came on all who heard these things.</t>
  </si>
  <si>
    <t xml:space="preserve">Great</t>
  </si>
  <si>
    <t xml:space="preserve">fear</t>
  </si>
  <si>
    <t xml:space="preserve">came</t>
  </si>
  <si>
    <t xml:space="preserve">on</t>
  </si>
  <si>
    <t xml:space="preserve">all</t>
  </si>
  <si>
    <t xml:space="preserve">who</t>
  </si>
  <si>
    <t xml:space="preserve">heard</t>
  </si>
  <si>
    <t xml:space="preserve">things</t>
  </si>
  <si>
    <t xml:space="preserve">That Ananias lied and died</t>
  </si>
  <si>
    <t xml:space="preserve"># text = The young men arose and wrapped him up, and they carried him out and buried him.</t>
  </si>
  <si>
    <t xml:space="preserve">The</t>
  </si>
  <si>
    <t xml:space="preserve">young</t>
  </si>
  <si>
    <t xml:space="preserve">arose</t>
  </si>
  <si>
    <t xml:space="preserve">wrapped</t>
  </si>
  <si>
    <t xml:space="preserve">him</t>
  </si>
  <si>
    <t xml:space="preserve">up</t>
  </si>
  <si>
    <t xml:space="preserve">they</t>
  </si>
  <si>
    <t xml:space="preserve">carried</t>
  </si>
  <si>
    <t xml:space="preserve">out</t>
  </si>
  <si>
    <t xml:space="preserve">buried</t>
  </si>
  <si>
    <t xml:space="preserve"># text = About three hours later, his wife, not knowing what had happened, came in.</t>
  </si>
  <si>
    <t xml:space="preserve">About</t>
  </si>
  <si>
    <t xml:space="preserve">three</t>
  </si>
  <si>
    <t xml:space="preserve">hours</t>
  </si>
  <si>
    <t xml:space="preserve">indef-np.quant</t>
  </si>
  <si>
    <t xml:space="preserve">later</t>
  </si>
  <si>
    <t xml:space="preserve">not</t>
  </si>
  <si>
    <t xml:space="preserve">knowing</t>
  </si>
  <si>
    <t xml:space="preserve">what</t>
  </si>
  <si>
    <t xml:space="preserve">SBJ_4</t>
  </si>
  <si>
    <t xml:space="preserve">had</t>
  </si>
  <si>
    <t xml:space="preserve">happened</t>
  </si>
  <si>
    <t xml:space="preserve"># text = Peter answered her, "Tell me whether you sold the land for so much."</t>
  </si>
  <si>
    <t xml:space="preserve">answered</t>
  </si>
  <si>
    <t xml:space="preserve">her</t>
  </si>
  <si>
    <t xml:space="preserve">Tell</t>
  </si>
  <si>
    <t xml:space="preserve">me</t>
  </si>
  <si>
    <t xml:space="preserve">whether</t>
  </si>
  <si>
    <t xml:space="preserve">for</t>
  </si>
  <si>
    <t xml:space="preserve">so</t>
  </si>
  <si>
    <t xml:space="preserve">much</t>
  </si>
  <si>
    <t xml:space="preserve"># text = She said, \"Yes, for so much.\"</t>
  </si>
  <si>
    <t xml:space="preserve">She</t>
  </si>
  <si>
    <t xml:space="preserve">Yes</t>
  </si>
  <si>
    <t xml:space="preserve"># text = But Peter asked her, \"How is it that you have agreed together to tempt the Spirit of the Lord?</t>
  </si>
  <si>
    <t xml:space="preserve">asked</t>
  </si>
  <si>
    <t xml:space="preserve">agreed</t>
  </si>
  <si>
    <t xml:space="preserve">together</t>
  </si>
  <si>
    <t xml:space="preserve">tempt</t>
  </si>
  <si>
    <t xml:space="preserve">OBJ_5</t>
  </si>
  <si>
    <t xml:space="preserve">Lord</t>
  </si>
  <si>
    <t xml:space="preserve"># text = Behold, the feet of those who have buried your husband are at the door, and they will carry you out.\"</t>
  </si>
  <si>
    <t xml:space="preserve">Behold</t>
  </si>
  <si>
    <t xml:space="preserve">those</t>
  </si>
  <si>
    <t xml:space="preserve">pron.pds</t>
  </si>
  <si>
    <t xml:space="preserve">husband</t>
  </si>
  <si>
    <t xml:space="preserve">OBJ_4</t>
  </si>
  <si>
    <t xml:space="preserve">are</t>
  </si>
  <si>
    <t xml:space="preserve">door</t>
  </si>
  <si>
    <t xml:space="preserve">Door</t>
  </si>
  <si>
    <t xml:space="preserve">will</t>
  </si>
  <si>
    <t xml:space="preserve">carry</t>
  </si>
  <si>
    <t xml:space="preserve"># text = She fell down immediately at his feet, and died.</t>
  </si>
  <si>
    <t xml:space="preserve">immediately</t>
  </si>
  <si>
    <t xml:space="preserve">Peter_feet</t>
  </si>
  <si>
    <t xml:space="preserve"># text = The young men came in and found her dead, and they carried her out and buried her by her husband.</t>
  </si>
  <si>
    <t xml:space="preserve">found</t>
  </si>
  <si>
    <t xml:space="preserve">dead</t>
  </si>
  <si>
    <t xml:space="preserve">by</t>
  </si>
  <si>
    <t xml:space="preserve"># text = Great fear came on the whole assembly, and on all who heard these things.</t>
  </si>
  <si>
    <t xml:space="preserve">whole</t>
  </si>
  <si>
    <t xml:space="preserve">assembly</t>
  </si>
  <si>
    <t xml:space="preserve">Assembly</t>
  </si>
  <si>
    <t xml:space="preserve">Ananias and Sapphira died</t>
  </si>
  <si>
    <t xml:space="preserve"># text = By the hands of the apostles many signs and wonders were done among the people.</t>
  </si>
  <si>
    <t xml:space="preserve">By</t>
  </si>
  <si>
    <t xml:space="preserve">hands</t>
  </si>
  <si>
    <t xml:space="preserve">Apostles_hands</t>
  </si>
  <si>
    <t xml:space="preserve">many</t>
  </si>
  <si>
    <t xml:space="preserve">signs</t>
  </si>
  <si>
    <t xml:space="preserve">wonders</t>
  </si>
  <si>
    <t xml:space="preserve">were</t>
  </si>
  <si>
    <t xml:space="preserve">done</t>
  </si>
  <si>
    <t xml:space="preserve">among</t>
  </si>
  <si>
    <t xml:space="preserve">people</t>
  </si>
  <si>
    <t xml:space="preserve">People</t>
  </si>
  <si>
    <t xml:space="preserve"># text = They were all with one accord in Solomon's porch.</t>
  </si>
  <si>
    <t xml:space="preserve">They</t>
  </si>
  <si>
    <t xml:space="preserve">one</t>
  </si>
  <si>
    <t xml:space="preserve">accord</t>
  </si>
  <si>
    <t xml:space="preserve">Solomon</t>
  </si>
  <si>
    <t xml:space="preserve">Solomons</t>
  </si>
  <si>
    <t xml:space="preserve">'s</t>
  </si>
  <si>
    <t xml:space="preserve">porch</t>
  </si>
  <si>
    <t xml:space="preserve">Solomons_porch</t>
  </si>
  <si>
    <t xml:space="preserve"># text = None of the rest dared to join them, however the people honored them.</t>
  </si>
  <si>
    <t xml:space="preserve">None</t>
  </si>
  <si>
    <t xml:space="preserve">rest</t>
  </si>
  <si>
    <t xml:space="preserve">Rest_of_People</t>
  </si>
  <si>
    <t xml:space="preserve">dared</t>
  </si>
  <si>
    <t xml:space="preserve">join</t>
  </si>
  <si>
    <t xml:space="preserve">them</t>
  </si>
  <si>
    <t xml:space="preserve">however</t>
  </si>
  <si>
    <t xml:space="preserve">honored</t>
  </si>
  <si>
    <t xml:space="preserve"># text = More believers were added to the Lord, multitudes of both men and women.</t>
  </si>
  <si>
    <t xml:space="preserve">More</t>
  </si>
  <si>
    <t xml:space="preserve">believers</t>
  </si>
  <si>
    <t xml:space="preserve">added</t>
  </si>
  <si>
    <t xml:space="preserve">multitudes</t>
  </si>
  <si>
    <t xml:space="preserve">both</t>
  </si>
  <si>
    <t xml:space="preserve">def-np.quant</t>
  </si>
  <si>
    <t xml:space="preserve">Men</t>
  </si>
  <si>
    <t xml:space="preserve">women</t>
  </si>
  <si>
    <t xml:space="preserve"># text = They even carried out the sick into the streets, and laid them on cots and mattresses, so that as</t>
  </si>
  <si>
    <t xml:space="preserve">even</t>
  </si>
  <si>
    <t xml:space="preserve">sick</t>
  </si>
  <si>
    <t xml:space="preserve">Sick_people</t>
  </si>
  <si>
    <t xml:space="preserve">into</t>
  </si>
  <si>
    <t xml:space="preserve">streets</t>
  </si>
  <si>
    <t xml:space="preserve">Streets</t>
  </si>
  <si>
    <t xml:space="preserve">cots</t>
  </si>
  <si>
    <t xml:space="preserve">mattresses</t>
  </si>
  <si>
    <t xml:space="preserve">as</t>
  </si>
  <si>
    <t xml:space="preserve"># text = Peter came by, at the least his shadow might overshadow some of them.</t>
  </si>
  <si>
    <t xml:space="preserve">least</t>
  </si>
  <si>
    <t xml:space="preserve">shadow</t>
  </si>
  <si>
    <t xml:space="preserve">Peter_shadow</t>
  </si>
  <si>
    <t xml:space="preserve">might</t>
  </si>
  <si>
    <t xml:space="preserve">overshadow</t>
  </si>
  <si>
    <t xml:space="preserve">some</t>
  </si>
  <si>
    <t xml:space="preserve"># text = Multitudes also came together from the cities around Jerusalem, bringing sick people, and those who were tormented by unclean spirits: and they were all healed.</t>
  </si>
  <si>
    <t xml:space="preserve">Multitudes</t>
  </si>
  <si>
    <t xml:space="preserve">Devout_men</t>
  </si>
  <si>
    <t xml:space="preserve">from</t>
  </si>
  <si>
    <t xml:space="preserve">cities</t>
  </si>
  <si>
    <t xml:space="preserve">Cities</t>
  </si>
  <si>
    <t xml:space="preserve">around</t>
  </si>
  <si>
    <t xml:space="preserve">Jerusalem</t>
  </si>
  <si>
    <t xml:space="preserve">bringing</t>
  </si>
  <si>
    <t xml:space="preserve">tormented</t>
  </si>
  <si>
    <t xml:space="preserve">unclean</t>
  </si>
  <si>
    <t xml:space="preserve">spirits</t>
  </si>
  <si>
    <t xml:space="preserve">:</t>
  </si>
  <si>
    <t xml:space="preserve">Sick people and those who were tormented by unclean spirits </t>
  </si>
  <si>
    <t xml:space="preserve">healed</t>
  </si>
  <si>
    <t xml:space="preserve"># text = But the high priest rose up, and all those who were with him (which is the sect of the Sadducees), and they were filled with jealousy, and laid hands on the apostles, and put them in public custody.</t>
  </si>
  <si>
    <t xml:space="preserve">high</t>
  </si>
  <si>
    <t xml:space="preserve">priest</t>
  </si>
  <si>
    <t xml:space="preserve">High_priest</t>
  </si>
  <si>
    <t xml:space="preserve">rose</t>
  </si>
  <si>
    <t xml:space="preserve">(</t>
  </si>
  <si>
    <t xml:space="preserve">which</t>
  </si>
  <si>
    <t xml:space="preserve">sect</t>
  </si>
  <si>
    <t xml:space="preserve">Sadducees</t>
  </si>
  <si>
    <t xml:space="preserve">)</t>
  </si>
  <si>
    <t xml:space="preserve">jealousy</t>
  </si>
  <si>
    <t xml:space="preserve">put</t>
  </si>
  <si>
    <t xml:space="preserve">public</t>
  </si>
  <si>
    <t xml:space="preserve">custody</t>
  </si>
  <si>
    <t xml:space="preserve"># text = But an angel of the Lord opened the prison doors by night, and brought them out, and said, \"Go stand and speak in the temple to the people all the words of this life.\"</t>
  </si>
  <si>
    <t xml:space="preserve">an</t>
  </si>
  <si>
    <t xml:space="preserve">angel</t>
  </si>
  <si>
    <t xml:space="preserve">Angel</t>
  </si>
  <si>
    <t xml:space="preserve">opened</t>
  </si>
  <si>
    <t xml:space="preserve">prison</t>
  </si>
  <si>
    <t xml:space="preserve">doors</t>
  </si>
  <si>
    <t xml:space="preserve">Prison_door</t>
  </si>
  <si>
    <t xml:space="preserve">night</t>
  </si>
  <si>
    <t xml:space="preserve">Go</t>
  </si>
  <si>
    <t xml:space="preserve">stand</t>
  </si>
  <si>
    <t xml:space="preserve">speak</t>
  </si>
  <si>
    <t xml:space="preserve">temple</t>
  </si>
  <si>
    <t xml:space="preserve">Temple</t>
  </si>
  <si>
    <t xml:space="preserve">God_words</t>
  </si>
  <si>
    <t xml:space="preserve">life</t>
  </si>
  <si>
    <t xml:space="preserve">Life</t>
  </si>
  <si>
    <t xml:space="preserve"># text = When they heard this, they entered into the temple about daybreak, and taught.</t>
  </si>
  <si>
    <t xml:space="preserve">When</t>
  </si>
  <si>
    <t xml:space="preserve">Go stnad and speak in the temple to the people alle the words of this life.</t>
  </si>
  <si>
    <t xml:space="preserve">entered</t>
  </si>
  <si>
    <t xml:space="preserve">about</t>
  </si>
  <si>
    <t xml:space="preserve">daybreak</t>
  </si>
  <si>
    <t xml:space="preserve">taught</t>
  </si>
  <si>
    <t xml:space="preserve"># text = But the high priest came, and those who were with him, and called the council together, and all the senate of the children of Israel, and sent to the prison to have them brought.</t>
  </si>
  <si>
    <t xml:space="preserve">called</t>
  </si>
  <si>
    <t xml:space="preserve">council</t>
  </si>
  <si>
    <t xml:space="preserve">Council</t>
  </si>
  <si>
    <t xml:space="preserve">senate</t>
  </si>
  <si>
    <t xml:space="preserve">Senate_of_Children</t>
  </si>
  <si>
    <t xml:space="preserve">children</t>
  </si>
  <si>
    <t xml:space="preserve">Israel</t>
  </si>
  <si>
    <t xml:space="preserve">sent</t>
  </si>
  <si>
    <t xml:space="preserve">Prison</t>
  </si>
  <si>
    <t xml:space="preserve"># text = But the officers who came didn't find them in the prison.</t>
  </si>
  <si>
    <t xml:space="preserve">officers</t>
  </si>
  <si>
    <t xml:space="preserve">Officers</t>
  </si>
  <si>
    <t xml:space="preserve">find</t>
  </si>
  <si>
    <t xml:space="preserve"># text = They returned and reported, \"We found the prison shut and locked, and the guards standing before the doors, but when we opened them, we found no one inside!\"</t>
  </si>
  <si>
    <t xml:space="preserve">returned</t>
  </si>
  <si>
    <t xml:space="preserve">reported</t>
  </si>
  <si>
    <t xml:space="preserve">We</t>
  </si>
  <si>
    <t xml:space="preserve">shut</t>
  </si>
  <si>
    <t xml:space="preserve">locked</t>
  </si>
  <si>
    <t xml:space="preserve">guards</t>
  </si>
  <si>
    <t xml:space="preserve">Guards</t>
  </si>
  <si>
    <t xml:space="preserve">standing</t>
  </si>
  <si>
    <t xml:space="preserve">before</t>
  </si>
  <si>
    <t xml:space="preserve">when</t>
  </si>
  <si>
    <t xml:space="preserve">we</t>
  </si>
  <si>
    <t xml:space="preserve">no</t>
  </si>
  <si>
    <t xml:space="preserve">inside</t>
  </si>
  <si>
    <t xml:space="preserve">!</t>
  </si>
  <si>
    <t xml:space="preserve"># text = Now when the high priest, the captain of the temple, and the chief priests heard these words, they were very perplexed about them and what might become of this.</t>
  </si>
  <si>
    <t xml:space="preserve">Now</t>
  </si>
  <si>
    <t xml:space="preserve">captain</t>
  </si>
  <si>
    <t xml:space="preserve">Captain</t>
  </si>
  <si>
    <t xml:space="preserve">chief</t>
  </si>
  <si>
    <t xml:space="preserve">priests</t>
  </si>
  <si>
    <t xml:space="preserve">Chief_Priests</t>
  </si>
  <si>
    <t xml:space="preserve">Officers_words</t>
  </si>
  <si>
    <t xml:space="preserve">High_priest_and_chief_priests</t>
  </si>
  <si>
    <t xml:space="preserve">very</t>
  </si>
  <si>
    <t xml:space="preserve">perplexed</t>
  </si>
  <si>
    <t xml:space="preserve">become</t>
  </si>
  <si>
    <t xml:space="preserve">Apostles are not in prison</t>
  </si>
  <si>
    <t xml:space="preserve"># text = One came and told them, \"Behold, the men whom you put in prison are in the temple, standing and teaching the people.\"</t>
  </si>
  <si>
    <t xml:space="preserve">One</t>
  </si>
  <si>
    <t xml:space="preserve">pron.pind</t>
  </si>
  <si>
    <t xml:space="preserve">told</t>
  </si>
  <si>
    <t xml:space="preserve">whom</t>
  </si>
  <si>
    <t xml:space="preserve">teaching</t>
  </si>
  <si>
    <t xml:space="preserve"># text = Then the captain went with the officers, and brought them without violence, for they were afraid that the people might stone them.</t>
  </si>
  <si>
    <t xml:space="preserve">Then</t>
  </si>
  <si>
    <t xml:space="preserve">went</t>
  </si>
  <si>
    <t xml:space="preserve">without</t>
  </si>
  <si>
    <t xml:space="preserve">violence</t>
  </si>
  <si>
    <t xml:space="preserve">Captain_and_Officers</t>
  </si>
  <si>
    <t xml:space="preserve">afraid</t>
  </si>
  <si>
    <t xml:space="preserve">stone</t>
  </si>
  <si>
    <t xml:space="preserve"># text = When they had brought them, they set them before the council.</t>
  </si>
  <si>
    <t xml:space="preserve">set</t>
  </si>
  <si>
    <t xml:space="preserve"># text = The high priest questioned them, saying, \"Didn't we strictly command you not to teach in this name?</t>
  </si>
  <si>
    <t xml:space="preserve">questioned</t>
  </si>
  <si>
    <t xml:space="preserve">saying</t>
  </si>
  <si>
    <t xml:space="preserve">Did</t>
  </si>
  <si>
    <t xml:space="preserve">High_priest_council_senate_of_children_of_israel_</t>
  </si>
  <si>
    <t xml:space="preserve">strictly</t>
  </si>
  <si>
    <t xml:space="preserve">command</t>
  </si>
  <si>
    <t xml:space="preserve">teach</t>
  </si>
  <si>
    <t xml:space="preserve">name</t>
  </si>
  <si>
    <t xml:space="preserve">Jesus</t>
  </si>
  <si>
    <t xml:space="preserve"># text = Behold, you have filled Jerusalem with your teaching, and intend to bring this man's blood on us."</t>
  </si>
  <si>
    <t xml:space="preserve">Apostles_teaching</t>
  </si>
  <si>
    <t xml:space="preserve">intend</t>
  </si>
  <si>
    <t xml:space="preserve">bring</t>
  </si>
  <si>
    <t xml:space="preserve">blood</t>
  </si>
  <si>
    <t xml:space="preserve">Jesus_blood</t>
  </si>
  <si>
    <t xml:space="preserve">us</t>
  </si>
  <si>
    <t xml:space="preserve"># text = But Peter and the apostles answered, \"We must obey God rather than men.</t>
  </si>
  <si>
    <t xml:space="preserve">must</t>
  </si>
  <si>
    <t xml:space="preserve">obey</t>
  </si>
  <si>
    <t xml:space="preserve">rather</t>
  </si>
  <si>
    <t xml:space="preserve">than</t>
  </si>
  <si>
    <t xml:space="preserve"># text = The God of our fathers raised up Jesus, whom you killed, hanging him on a tree.</t>
  </si>
  <si>
    <t xml:space="preserve">our</t>
  </si>
  <si>
    <t xml:space="preserve">fathers</t>
  </si>
  <si>
    <t xml:space="preserve">Apostles_fathers</t>
  </si>
  <si>
    <t xml:space="preserve">raised</t>
  </si>
  <si>
    <t xml:space="preserve">OBJ_6</t>
  </si>
  <si>
    <t xml:space="preserve">SBJ_6</t>
  </si>
  <si>
    <t xml:space="preserve">Men_of_Israel</t>
  </si>
  <si>
    <t xml:space="preserve">killed</t>
  </si>
  <si>
    <t xml:space="preserve">hanging</t>
  </si>
  <si>
    <t xml:space="preserve">tree</t>
  </si>
  <si>
    <t xml:space="preserve"># text = God exalted him with his right hand to be a Prince and a Savior, to give repentance to Israel, and remission of sins.</t>
  </si>
  <si>
    <t xml:space="preserve">exalted</t>
  </si>
  <si>
    <t xml:space="preserve">right</t>
  </si>
  <si>
    <t xml:space="preserve">hand</t>
  </si>
  <si>
    <t xml:space="preserve">God_right_hand</t>
  </si>
  <si>
    <t xml:space="preserve">be</t>
  </si>
  <si>
    <t xml:space="preserve">Prince</t>
  </si>
  <si>
    <t xml:space="preserve">Savior</t>
  </si>
  <si>
    <t xml:space="preserve">give</t>
  </si>
  <si>
    <t xml:space="preserve">repentance</t>
  </si>
  <si>
    <t xml:space="preserve">remission</t>
  </si>
  <si>
    <t xml:space="preserve">sins</t>
  </si>
  <si>
    <t xml:space="preserve"># text = We are His witnesses of these things; and so also is the Holy Spirit, whom God has given to those who obey him.\"</t>
  </si>
  <si>
    <t xml:space="preserve">His</t>
  </si>
  <si>
    <t xml:space="preserve">witnesses</t>
  </si>
  <si>
    <t xml:space="preserve">God exalted him with his right hand to be a Prince and a Savior, to give repentance to Israel, and remission of sins.</t>
  </si>
  <si>
    <t xml:space="preserve">;</t>
  </si>
  <si>
    <t xml:space="preserve">given</t>
  </si>
  <si>
    <t xml:space="preserve"># text = But they, when they heard this, were cut to the heart, and determined to kill them.</t>
  </si>
  <si>
    <t xml:space="preserve">cut</t>
  </si>
  <si>
    <t xml:space="preserve">Men_of_Israel_heart</t>
  </si>
  <si>
    <t xml:space="preserve">determined</t>
  </si>
  <si>
    <t xml:space="preserve">kill</t>
  </si>
  <si>
    <t xml:space="preserve"># text = But one stood up in the council, a Pharisee named Gamaliel, a teacher of the law, honored by all the people, and commanded to put the apostles out for a little while.</t>
  </si>
  <si>
    <t xml:space="preserve">stood</t>
  </si>
  <si>
    <t xml:space="preserve">Pharisee</t>
  </si>
  <si>
    <t xml:space="preserve">Gamaliel</t>
  </si>
  <si>
    <t xml:space="preserve">teacher</t>
  </si>
  <si>
    <t xml:space="preserve">law</t>
  </si>
  <si>
    <t xml:space="preserve">Law</t>
  </si>
  <si>
    <t xml:space="preserve">commanded</t>
  </si>
  <si>
    <t xml:space="preserve">little</t>
  </si>
  <si>
    <t xml:space="preserve">while</t>
  </si>
  <si>
    <t xml:space="preserve"># text = He said to them, \"You men of Israel, be careful concerning these men, what you are about to do.</t>
  </si>
  <si>
    <t xml:space="preserve">He</t>
  </si>
  <si>
    <t xml:space="preserve">careful</t>
  </si>
  <si>
    <t xml:space="preserve">concerning</t>
  </si>
  <si>
    <t xml:space="preserve">do</t>
  </si>
  <si>
    <t xml:space="preserve"># text = For before these days Theudas rose up, making himself out to be somebody; to whom a number of men, about four hundred, joined themselves:</t>
  </si>
  <si>
    <t xml:space="preserve">For</t>
  </si>
  <si>
    <t xml:space="preserve">days</t>
  </si>
  <si>
    <t xml:space="preserve">These_days</t>
  </si>
  <si>
    <t xml:space="preserve">Theudas</t>
  </si>
  <si>
    <t xml:space="preserve">making</t>
  </si>
  <si>
    <t xml:space="preserve">himself</t>
  </si>
  <si>
    <t xml:space="preserve">somebody</t>
  </si>
  <si>
    <t xml:space="preserve">pron</t>
  </si>
  <si>
    <t xml:space="preserve">Somebody</t>
  </si>
  <si>
    <t xml:space="preserve">number</t>
  </si>
  <si>
    <t xml:space="preserve">four</t>
  </si>
  <si>
    <t xml:space="preserve">hundred</t>
  </si>
  <si>
    <t xml:space="preserve">joined</t>
  </si>
  <si>
    <t xml:space="preserve">themselves</t>
  </si>
  <si>
    <t xml:space="preserve"># text = who was slain; and all, as many as obeyed him, were dispersed, and came to nothing.</t>
  </si>
  <si>
    <t xml:space="preserve">slain</t>
  </si>
  <si>
    <t xml:space="preserve">obeyed</t>
  </si>
  <si>
    <t xml:space="preserve">dispersed</t>
  </si>
  <si>
    <t xml:space="preserve">nothing</t>
  </si>
  <si>
    <t xml:space="preserve">GEN</t>
  </si>
  <si>
    <t xml:space="preserve"># text = After this man, Judas of Galilee rose up in the days of the enrollment, and drew away some people after him.</t>
  </si>
  <si>
    <t xml:space="preserve">Judas</t>
  </si>
  <si>
    <t xml:space="preserve">Galilee</t>
  </si>
  <si>
    <t xml:space="preserve">Days_of_enrollment</t>
  </si>
  <si>
    <t xml:space="preserve">enrollment</t>
  </si>
  <si>
    <t xml:space="preserve">drew</t>
  </si>
  <si>
    <t xml:space="preserve">away</t>
  </si>
  <si>
    <t xml:space="preserve">after</t>
  </si>
  <si>
    <t xml:space="preserve"># text = He also perished, and all, as many as obeyed him, were scattered abroad.</t>
  </si>
  <si>
    <t xml:space="preserve">perished</t>
  </si>
  <si>
    <t xml:space="preserve">scattered</t>
  </si>
  <si>
    <t xml:space="preserve">abroad</t>
  </si>
  <si>
    <t xml:space="preserve"># text = Now I tell you, withdraw from these men, and leave them alone.</t>
  </si>
  <si>
    <t xml:space="preserve">I</t>
  </si>
  <si>
    <t xml:space="preserve">tell</t>
  </si>
  <si>
    <t xml:space="preserve">withdraw</t>
  </si>
  <si>
    <t xml:space="preserve">leave</t>
  </si>
  <si>
    <t xml:space="preserve">alone</t>
  </si>
  <si>
    <t xml:space="preserve"># text = For if this counsel or this work is of men, it will be overthrown.</t>
  </si>
  <si>
    <t xml:space="preserve">if</t>
  </si>
  <si>
    <t xml:space="preserve">counsel</t>
  </si>
  <si>
    <t xml:space="preserve">Counsel</t>
  </si>
  <si>
    <t xml:space="preserve">or</t>
  </si>
  <si>
    <t xml:space="preserve">work</t>
  </si>
  <si>
    <t xml:space="preserve">Work</t>
  </si>
  <si>
    <t xml:space="preserve">Counsel_or_work</t>
  </si>
  <si>
    <t xml:space="preserve">overthrown</t>
  </si>
  <si>
    <t xml:space="preserve"># text = But if it is of God, you will not be able to overthrow it, and you would be found even to be fighting against God!\"</t>
  </si>
  <si>
    <t xml:space="preserve">able</t>
  </si>
  <si>
    <t xml:space="preserve">overthrow</t>
  </si>
  <si>
    <t xml:space="preserve">would</t>
  </si>
  <si>
    <t xml:space="preserve">fighting</t>
  </si>
  <si>
    <t xml:space="preserve">against</t>
  </si>
  <si>
    <t xml:space="preserve"># text = They agreed with him.</t>
  </si>
  <si>
    <t xml:space="preserve"># text = Summoning the apostles, they beat them and commanded them not to speak in the name of Jesus, and let them go.</t>
  </si>
  <si>
    <t xml:space="preserve">Summoning</t>
  </si>
  <si>
    <t xml:space="preserve">beat</t>
  </si>
  <si>
    <t xml:space="preserve">let</t>
  </si>
  <si>
    <t xml:space="preserve">go</t>
  </si>
  <si>
    <t xml:space="preserve"># text = They therefore departed from the presence of the council, rejoicing that they were counted worthy to suffer dishonor for Jesus' name.</t>
  </si>
  <si>
    <t xml:space="preserve">therefore</t>
  </si>
  <si>
    <t xml:space="preserve">departed</t>
  </si>
  <si>
    <t xml:space="preserve">presence</t>
  </si>
  <si>
    <t xml:space="preserve">Presence</t>
  </si>
  <si>
    <t xml:space="preserve">rejoicing</t>
  </si>
  <si>
    <t xml:space="preserve">counted</t>
  </si>
  <si>
    <t xml:space="preserve">worthy</t>
  </si>
  <si>
    <t xml:space="preserve">suffer</t>
  </si>
  <si>
    <t xml:space="preserve">dishonor</t>
  </si>
  <si>
    <t xml:space="preserve">other_7</t>
  </si>
  <si>
    <t xml:space="preserve"># text = Every day, in the temple and at home, they never stopped teaching and preaching Jesus, the Christ.</t>
  </si>
  <si>
    <t xml:space="preserve">Every</t>
  </si>
  <si>
    <t xml:space="preserve">day</t>
  </si>
  <si>
    <t xml:space="preserve">indef-np</t>
  </si>
  <si>
    <t xml:space="preserve">home</t>
  </si>
  <si>
    <t xml:space="preserve">never</t>
  </si>
  <si>
    <t xml:space="preserve">stopped</t>
  </si>
  <si>
    <t xml:space="preserve">preaching</t>
  </si>
  <si>
    <t xml:space="preserve">Christ</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</si>
</sst>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78125" defaultRowHeight="12.75" zeroHeight="false" outlineLevelRow="0" outlineLevelCol="0"/>
  <cols>
    <col collapsed="false" customWidth="true" hidden="false" outlineLevel="0" max="5" min="5" style="0" width="16.16"/>
    <col collapsed="false" customWidth="false" hidden="true" outlineLevel="0" max="10" min="9" style="0" width="11.5"/>
    <col collapsed="false" customWidth="true" hidden="true" outlineLevel="0" max="11" min="11" style="0" width="18.83"/>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9"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IF(OR(E2="",E2="!!!",F2="NEW"),"",INDEX(#REF!,-1+SUMPRODUCT(MAX(ROW(#REF!)*(E2=#REF!)))))</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9"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9" t="s">
        <v>14</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9" t="s">
        <v>15</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9" t="s">
        <v>16</v>
      </c>
      <c r="B6" s="0" t="s">
        <v>17</v>
      </c>
      <c r="C6" s="0" t="s">
        <v>18</v>
      </c>
      <c r="E6" s="10" t="str">
        <f aca="false">IF(D6="?OLD","!!!","")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9" t="s">
        <v>19</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9" t="s">
        <v>20</v>
      </c>
      <c r="B8" s="0" t="s">
        <v>17</v>
      </c>
      <c r="C8" s="0" t="s">
        <v>21</v>
      </c>
      <c r="E8" s="10" t="str">
        <f aca="false">IF(D8="?OLD","!!!","")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9" t="s">
        <v>22</v>
      </c>
      <c r="E9" s="10" t="str">
        <f aca="false">IF(D9="?OLD","!!!","")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9" t="s">
        <v>23</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9" t="s">
        <v>24</v>
      </c>
      <c r="B11" s="0" t="s">
        <v>25</v>
      </c>
      <c r="C11" s="0" t="s">
        <v>26</v>
      </c>
      <c r="D11" s="0" t="s">
        <v>27</v>
      </c>
      <c r="E11" s="10" t="s">
        <v>24</v>
      </c>
      <c r="F11" s="11" t="str">
        <f aca="false">IF(OR(E11="",E11="!!!"),"",IF(NOT(ISNA(VLOOKUP(E11,E$1:E10,1,FALSE()))),"OLD",IF(AND(E11&lt;&gt;"",E11&lt;&gt;"!!!"),"NEW","")))</f>
        <v>NEW</v>
      </c>
      <c r="G11" s="12" t="s">
        <v>28</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A12" s="9" t="s">
        <v>22</v>
      </c>
      <c r="E12" s="10" t="str">
        <f aca="false">IF(#REF!="?OLD","!!!","")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9" t="s">
        <v>29</v>
      </c>
      <c r="B13" s="0" t="s">
        <v>30</v>
      </c>
      <c r="C13" s="0" t="s">
        <v>31</v>
      </c>
      <c r="D13" s="0" t="s">
        <v>27</v>
      </c>
      <c r="E13" s="10" t="s">
        <v>20</v>
      </c>
      <c r="F13" s="11" t="str">
        <f aca="false">IF(OR(E13="",E13="!!!"),"",IF(NOT(ISNA(VLOOKUP(E13,E$1:E12,1,FALSE()))),"OLD",IF(AND(E13&lt;&gt;"",E13&lt;&gt;"!!!"),"NEW","")))</f>
        <v>NEW</v>
      </c>
      <c r="G13" s="12" t="s">
        <v>28</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9" t="s">
        <v>32</v>
      </c>
      <c r="B14" s="0" t="s">
        <v>33</v>
      </c>
      <c r="C14" s="0" t="s">
        <v>34</v>
      </c>
      <c r="D14" s="0" t="s">
        <v>27</v>
      </c>
      <c r="E14" s="10"/>
      <c r="F14" s="11" t="s">
        <v>35</v>
      </c>
      <c r="G14" s="12"/>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9" t="s">
        <v>22</v>
      </c>
      <c r="E15" s="10" t="str">
        <f aca="false">IF(#REF!="?OLD","!!!","")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9" t="s">
        <v>36</v>
      </c>
      <c r="E16" s="10" t="str">
        <f aca="false">IF(#REF!="?OLD","!!!","")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9" t="s">
        <v>14</v>
      </c>
      <c r="E17" s="10" t="str">
        <f aca="false">IF(#REF!="?OLD","!!!","")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9" t="s">
        <v>37</v>
      </c>
      <c r="B18" s="0" t="s">
        <v>38</v>
      </c>
      <c r="C18" s="0" t="s">
        <v>18</v>
      </c>
      <c r="E18" s="10" t="str">
        <f aca="false">IF(#REF!="?OLD","!!!","")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75" hidden="false" customHeight="false" outlineLevel="0" collapsed="false">
      <c r="A19" s="9" t="s">
        <v>22</v>
      </c>
      <c r="E19" s="10" t="str">
        <f aca="false">IF(#REF!="?OLD","!!!","")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9" t="s">
        <v>39</v>
      </c>
      <c r="E20" s="10" t="str">
        <f aca="false">IF(#REF!="?OLD","!!!","")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9" t="s">
        <v>40</v>
      </c>
      <c r="E21" s="10" t="str">
        <f aca="false">IF(#REF!="?OLD","!!!","")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A22" s="9" t="s">
        <v>41</v>
      </c>
      <c r="E22" s="10" t="str">
        <f aca="false">IF(#REF!="?OLD","!!!","")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9" t="s">
        <v>42</v>
      </c>
      <c r="B23" s="0" t="s">
        <v>43</v>
      </c>
      <c r="C23" s="0" t="s">
        <v>21</v>
      </c>
      <c r="E23" s="10" t="str">
        <f aca="false">IF(#REF!="?OLD","!!!","")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75" hidden="false" customHeight="false" outlineLevel="0" collapsed="false">
      <c r="A24" s="9" t="s">
        <v>44</v>
      </c>
      <c r="E24" s="10" t="str">
        <f aca="false">IF(#REF!="?OLD","!!!","")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9" t="s">
        <v>45</v>
      </c>
      <c r="E25" s="10" t="str">
        <f aca="false">IF(#REF!="?OLD","!!!","")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9" t="s">
        <v>46</v>
      </c>
      <c r="B26" s="0" t="s">
        <v>33</v>
      </c>
      <c r="C26" s="0" t="s">
        <v>47</v>
      </c>
      <c r="D26" s="0" t="s">
        <v>27</v>
      </c>
      <c r="E26" s="10" t="s">
        <v>48</v>
      </c>
      <c r="F26" s="11" t="str">
        <f aca="false">IF(OR(E26="",E26="!!!"),"",IF(NOT(ISNA(VLOOKUP(E26,E$1:E25,1,FALSE()))),"OLD",IF(AND(E26&lt;&gt;"",E26&lt;&gt;"!!!"),"NEW","")))</f>
        <v>NEW</v>
      </c>
      <c r="G26" s="12" t="s">
        <v>49</v>
      </c>
      <c r="H26" s="13" t="s">
        <v>7</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9" t="s">
        <v>22</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9" t="s">
        <v>29</v>
      </c>
      <c r="B28" s="0" t="s">
        <v>50</v>
      </c>
      <c r="C28" s="0" t="s">
        <v>31</v>
      </c>
      <c r="D28" s="0" t="s">
        <v>27</v>
      </c>
      <c r="E28" s="10" t="s">
        <v>20</v>
      </c>
      <c r="F28" s="11" t="str">
        <f aca="false">IF(OR(E28="",E28="!!!"),"",IF(NOT(ISNA(VLOOKUP(E28,E$1:E27,1,FALSE()))),"OLD",IF(AND(E28&lt;&gt;"",E28&lt;&gt;"!!!"),"NEW","")))</f>
        <v>OLD</v>
      </c>
      <c r="G28" s="12" t="s">
        <v>51</v>
      </c>
      <c r="H28" s="13" t="str">
        <f aca="false">IF(J28&lt;&gt;1,"",IF(I28="SBJ","CB","?"))</f>
        <v/>
      </c>
      <c r="I28" s="14" t="str">
        <f aca="false">IF(OR(E28="",E28="!!!",F28="NEW"),"",INDEX(B$2:B27,-1+SUMPRODUCT(MAX(ROW(E$2:E27)*(E28=E$2:E27)))))</f>
        <v>other_4</v>
      </c>
      <c r="J28" s="15" t="n">
        <f aca="true">IF(OR(E28="",E28="!!!",F28="NEW"),"",COUNTBLANK(OFFSET(A$1,,,SUMPRODUCT(MAX(ROW(E$2:E28)*(E28=E$2:E28)))))-COUNTBLANK(OFFSET(A$1,,,SUMPRODUCT(MAX(ROW(E$1:E27)*(E28=E$1:E27))))))</f>
        <v>0</v>
      </c>
      <c r="K28" s="15" t="str">
        <f aca="false">IF(OR(E28="",E28="!!!",F28="NEW"),"",INDEX(J$1:J27,SUMPRODUCT(MAX(ROW(E$1:E27)*(E28=E$1:E27)))))</f>
        <v/>
      </c>
      <c r="L28" s="16"/>
    </row>
    <row r="29" customFormat="false" ht="12.75" hidden="false" customHeight="false" outlineLevel="0" collapsed="false">
      <c r="A29" s="9" t="s">
        <v>32</v>
      </c>
      <c r="B29" s="0" t="s">
        <v>52</v>
      </c>
      <c r="C29" s="0" t="s">
        <v>34</v>
      </c>
      <c r="D29" s="0" t="s">
        <v>27</v>
      </c>
      <c r="E29" s="10" t="s">
        <v>24</v>
      </c>
      <c r="F29" s="11" t="str">
        <f aca="false">IF(OR(E29="",E29="!!!"),"",IF(NOT(ISNA(VLOOKUP(E29,E$1:E28,1,FALSE()))),"OLD",IF(AND(E29&lt;&gt;"",E29&lt;&gt;"!!!"),"NEW","")))</f>
        <v>OLD</v>
      </c>
      <c r="G29" s="12" t="s">
        <v>51</v>
      </c>
      <c r="H29" s="13" t="str">
        <f aca="false">IF(J29&lt;&gt;1,"",IF(I29="SBJ","CB","?"))</f>
        <v/>
      </c>
      <c r="I29" s="14" t="str">
        <f aca="false">IF(OR(E29="",E29="!!!",F29="NEW"),"",INDEX(B$2:B28,-1+SUMPRODUCT(MAX(ROW(E$2:E28)*(E29=E$2:E28)))))</f>
        <v>other_2</v>
      </c>
      <c r="J29" s="15" t="n">
        <f aca="true">IF(OR(E29="",E29="!!!",F29="NEW"),"",COUNTBLANK(OFFSET(A$1,,,SUMPRODUCT(MAX(ROW(E$2:E29)*(E29=E$2:E29)))))-COUNTBLANK(OFFSET(A$1,,,SUMPRODUCT(MAX(ROW(E$1:E28)*(E29=E$1:E28))))))</f>
        <v>0</v>
      </c>
      <c r="K29" s="15" t="str">
        <f aca="false">IF(OR(E29="",E29="!!!",F29="NEW"),"",INDEX(J$1:J28,SUMPRODUCT(MAX(ROW(E$1:E28)*(E29=E$1:E28)))))</f>
        <v/>
      </c>
      <c r="L29" s="16"/>
    </row>
    <row r="30" customFormat="false" ht="12.75" hidden="false" customHeight="false" outlineLevel="0" collapsed="false">
      <c r="A30" s="9" t="s">
        <v>53</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9" t="s">
        <v>54</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75" hidden="false" customHeight="false" outlineLevel="0" collapsed="false">
      <c r="A32" s="9" t="s">
        <v>55</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9" t="s">
        <v>44</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9" t="s">
        <v>56</v>
      </c>
      <c r="B34" s="0" t="s">
        <v>57</v>
      </c>
      <c r="C34" s="0" t="s">
        <v>58</v>
      </c>
      <c r="D34" s="0" t="s">
        <v>27</v>
      </c>
      <c r="E34" s="10"/>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t="s">
        <v>59</v>
      </c>
    </row>
    <row r="35" customFormat="false" ht="12.75" hidden="false" customHeight="false" outlineLevel="0" collapsed="false">
      <c r="A35" s="9" t="s">
        <v>22</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9" t="s">
        <v>39</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A37" s="9" t="s">
        <v>60</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75" hidden="false" customHeight="false" outlineLevel="0" collapsed="false">
      <c r="A38" s="9" t="s">
        <v>14</v>
      </c>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75" hidden="false" customHeight="false" outlineLevel="0" collapsed="false">
      <c r="A39" s="9" t="s">
        <v>15</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9" t="s">
        <v>42</v>
      </c>
      <c r="B40" s="0" t="s">
        <v>43</v>
      </c>
      <c r="C40" s="0" t="s">
        <v>18</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75" hidden="false" customHeight="false" outlineLevel="0" collapsed="false">
      <c r="A41" s="9" t="s">
        <v>22</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75" hidden="false" customHeight="false" outlineLevel="0" collapsed="false">
      <c r="A42" s="9" t="s">
        <v>39</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9" t="s">
        <v>61</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9" t="s">
        <v>56</v>
      </c>
      <c r="B44" s="0" t="s">
        <v>43</v>
      </c>
      <c r="C44" s="0" t="s">
        <v>58</v>
      </c>
      <c r="D44" s="0" t="s">
        <v>27</v>
      </c>
      <c r="E44" s="10" t="s">
        <v>48</v>
      </c>
      <c r="F44" s="11" t="str">
        <f aca="false">IF(OR(E44="",E44="!!!"),"",IF(NOT(ISNA(VLOOKUP(E44,E$1:E43,1,FALSE()))),"OLD",IF(AND(E44&lt;&gt;"",E44&lt;&gt;"!!!"),"NEW","")))</f>
        <v>OLD</v>
      </c>
      <c r="G44" s="12" t="s">
        <v>51</v>
      </c>
      <c r="H44" s="13" t="str">
        <f aca="false">IF(J44&lt;&gt;1,"",IF(I44="SBJ","CB","?"))</f>
        <v/>
      </c>
      <c r="I44" s="14" t="str">
        <f aca="false">IF(OR(E44="",E44="!!!",F44="NEW"),"",INDEX(B$2:B43,-1+SUMPRODUCT(MAX(ROW(E$2:E43)*(E44=E$2:E43)))))</f>
        <v>other_3</v>
      </c>
      <c r="J44" s="15" t="n">
        <f aca="true">IF(OR(E44="",E44="!!!",F44="NEW"),"",COUNTBLANK(OFFSET(A$1,,,SUMPRODUCT(MAX(ROW(E$2:E44)*(E44=E$2:E44)))))-COUNTBLANK(OFFSET(A$1,,,SUMPRODUCT(MAX(ROW(E$1:E43)*(E44=E$1:E43))))))</f>
        <v>0</v>
      </c>
      <c r="K44" s="15" t="str">
        <f aca="false">IF(OR(E44="",E44="!!!",F44="NEW"),"",INDEX(J$1:J43,SUMPRODUCT(MAX(ROW(E$1:E43)*(E44=E$1:E43)))))</f>
        <v/>
      </c>
      <c r="L44" s="16"/>
    </row>
    <row r="45" customFormat="false" ht="12.75" hidden="false" customHeight="false" outlineLevel="0" collapsed="false">
      <c r="A45" s="9" t="s">
        <v>62</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9" t="s">
        <v>45</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75" hidden="false" customHeight="false" outlineLevel="0" collapsed="false">
      <c r="A47" s="9" t="s">
        <v>63</v>
      </c>
      <c r="B47" s="0" t="s">
        <v>33</v>
      </c>
      <c r="C47" s="0" t="s">
        <v>47</v>
      </c>
      <c r="D47" s="0" t="s">
        <v>27</v>
      </c>
      <c r="E47" s="10" t="s">
        <v>64</v>
      </c>
      <c r="F47" s="11" t="str">
        <f aca="false">IF(OR(E47="",E47="!!!"),"",IF(NOT(ISNA(VLOOKUP(E47,E$1:E46,1,FALSE()))),"OLD",IF(AND(E47&lt;&gt;"",E47&lt;&gt;"!!!"),"NEW","")))</f>
        <v>NEW</v>
      </c>
      <c r="G47" s="12" t="s">
        <v>49</v>
      </c>
      <c r="H47" s="13"/>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75" hidden="false" customHeight="false" outlineLevel="0" collapsed="false">
      <c r="A48" s="9" t="s">
        <v>65</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75" hidden="false" customHeight="false" outlineLevel="0" collapsed="false">
      <c r="A49" s="9" t="s">
        <v>66</v>
      </c>
      <c r="B49" s="0" t="s">
        <v>25</v>
      </c>
      <c r="C49" s="0" t="s">
        <v>34</v>
      </c>
      <c r="D49" s="0" t="s">
        <v>27</v>
      </c>
      <c r="E49" s="10" t="s">
        <v>67</v>
      </c>
      <c r="F49" s="11" t="str">
        <f aca="false">IF(OR(E49="",E49="!!!"),"",IF(NOT(ISNA(VLOOKUP(E49,E$1:E48,1,FALSE()))),"OLD",IF(AND(E49&lt;&gt;"",E49&lt;&gt;"!!!"),"NEW","")))</f>
        <v>NEW</v>
      </c>
      <c r="G49" s="12" t="s">
        <v>51</v>
      </c>
      <c r="H49" s="13"/>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A50" s="9" t="s">
        <v>68</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9" t="s">
        <v>69</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75" hidden="false" customHeight="false" outlineLevel="0" collapsed="false">
      <c r="A53" s="9" t="s">
        <v>70</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9" t="s">
        <v>13</v>
      </c>
      <c r="E54" s="10" t="str">
        <f aca="false">IF(D54="?OLD","!!!","")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9" t="s">
        <v>71</v>
      </c>
      <c r="B55" s="0" t="s">
        <v>17</v>
      </c>
      <c r="C55" s="0" t="s">
        <v>26</v>
      </c>
      <c r="D55" s="0" t="s">
        <v>27</v>
      </c>
      <c r="E55" s="10" t="s">
        <v>71</v>
      </c>
      <c r="F55" s="11" t="str">
        <f aca="false">IF(OR(E55="",E55="!!!"),"",IF(NOT(ISNA(VLOOKUP(E55,E$1:E54,1,FALSE()))),"OLD",IF(AND(E55&lt;&gt;"",E55&lt;&gt;"!!!"),"NEW","")))</f>
        <v>NEW</v>
      </c>
      <c r="G55" s="12" t="s">
        <v>72</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9" t="s">
        <v>73</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9" t="s">
        <v>22</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9" t="s">
        <v>74</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9" t="s">
        <v>20</v>
      </c>
      <c r="B59" s="0" t="s">
        <v>75</v>
      </c>
      <c r="C59" s="0" t="s">
        <v>26</v>
      </c>
      <c r="D59" s="0" t="s">
        <v>27</v>
      </c>
      <c r="E59" s="10" t="s">
        <v>20</v>
      </c>
      <c r="F59" s="11" t="str">
        <f aca="false">IF(OR(E59="",E59="!!!"),"",IF(NOT(ISNA(VLOOKUP(E59,E$1:E58,1,FALSE()))),"OLD",IF(AND(E59&lt;&gt;"",E59&lt;&gt;"!!!"),"NEW","")))</f>
        <v>OLD</v>
      </c>
      <c r="G59" s="12" t="s">
        <v>49</v>
      </c>
      <c r="H59" s="13"/>
      <c r="I59" s="14" t="str">
        <f aca="false">IF(OR(E59="",E59="!!!",F59="NEW"),"",INDEX(B$2:B58,-1+SUMPRODUCT(MAX(ROW(E$2:E58)*(E59=E$2:E58)))))</f>
        <v>other_6</v>
      </c>
      <c r="J59" s="15" t="n">
        <f aca="true">IF(OR(E59="",E59="!!!",F59="NEW"),"",COUNTBLANK(OFFSET(A$1,,,SUMPRODUCT(MAX(ROW(E$2:E59)*(E59=E$2:E59)))))-COUNTBLANK(OFFSET(A$1,,,SUMPRODUCT(MAX(ROW(E$1:E58)*(E59=E$1:E58))))))</f>
        <v>1</v>
      </c>
      <c r="K59" s="15" t="n">
        <f aca="false">IF(OR(E59="",E59="!!!",F59="NEW"),"",INDEX(J$1:J58,SUMPRODUCT(MAX(ROW(E$1:E58)*(E59=E$1:E58)))))</f>
        <v>0</v>
      </c>
      <c r="L59" s="16"/>
    </row>
    <row r="60" customFormat="false" ht="12.75" hidden="false" customHeight="false" outlineLevel="0" collapsed="false">
      <c r="A60" s="9" t="s">
        <v>22</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9" t="s">
        <v>76</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75" hidden="false" customHeight="false" outlineLevel="0" collapsed="false">
      <c r="A62" s="9" t="s">
        <v>77</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9" t="s">
        <v>78</v>
      </c>
      <c r="B63" s="0" t="s">
        <v>79</v>
      </c>
      <c r="C63" s="0" t="s">
        <v>26</v>
      </c>
      <c r="D63" s="0" t="s">
        <v>27</v>
      </c>
      <c r="E63" s="10" t="s">
        <v>78</v>
      </c>
      <c r="F63" s="11" t="str">
        <f aca="false">IF(OR(E63="",E63="!!!"),"",IF(NOT(ISNA(VLOOKUP(E63,E$1:E62,1,FALSE()))),"OLD",IF(AND(E63&lt;&gt;"",E63&lt;&gt;"!!!"),"NEW","")))</f>
        <v>NEW</v>
      </c>
      <c r="G63" s="12" t="s">
        <v>28</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9" t="s">
        <v>80</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9" t="s">
        <v>81</v>
      </c>
      <c r="B65" s="0" t="s">
        <v>33</v>
      </c>
      <c r="C65" s="0" t="s">
        <v>31</v>
      </c>
      <c r="D65" s="0" t="s">
        <v>27</v>
      </c>
      <c r="E65" s="10" t="s">
        <v>20</v>
      </c>
      <c r="F65" s="11" t="str">
        <f aca="false">IF(OR(E65="",E65="!!!"),"",IF(NOT(ISNA(VLOOKUP(E65,E$1:E64,1,FALSE()))),"OLD",IF(AND(E65&lt;&gt;"",E65&lt;&gt;"!!!"),"NEW","")))</f>
        <v>OLD</v>
      </c>
      <c r="G65" s="12" t="s">
        <v>51</v>
      </c>
      <c r="H65" s="13" t="str">
        <f aca="false">IF(J65&lt;&gt;1,"",IF(I65="SBJ","CB","?"))</f>
        <v/>
      </c>
      <c r="I65" s="14" t="str">
        <f aca="false">IF(OR(E65="",E65="!!!",F65="NEW"),"",INDEX(B$2:B64,-1+SUMPRODUCT(MAX(ROW(E$2:E64)*(E65=E$2:E64)))))</f>
        <v>other</v>
      </c>
      <c r="J65" s="15" t="n">
        <f aca="true">IF(OR(E65="",E65="!!!",F65="NEW"),"",COUNTBLANK(OFFSET(A$1,,,SUMPRODUCT(MAX(ROW(E$2:E65)*(E65=E$2:E65)))))-COUNTBLANK(OFFSET(A$1,,,SUMPRODUCT(MAX(ROW(E$1:E64)*(E65=E$1:E64))))))</f>
        <v>0</v>
      </c>
      <c r="K65" s="15" t="n">
        <f aca="false">IF(OR(E65="",E65="!!!",F65="NEW"),"",INDEX(J$1:J64,SUMPRODUCT(MAX(ROW(E$1:E64)*(E65=E$1:E64)))))</f>
        <v>1</v>
      </c>
      <c r="L65" s="16"/>
    </row>
    <row r="66" customFormat="false" ht="12.75" hidden="false" customHeight="false" outlineLevel="0" collapsed="false">
      <c r="A66" s="9" t="s">
        <v>82</v>
      </c>
      <c r="B66" s="0" t="s">
        <v>43</v>
      </c>
      <c r="C66" s="0" t="s">
        <v>34</v>
      </c>
      <c r="D66" s="0" t="s">
        <v>27</v>
      </c>
      <c r="E66" s="10" t="s">
        <v>83</v>
      </c>
      <c r="F66" s="11" t="str">
        <f aca="false">IF(OR(E66="",E66="!!!"),"",IF(NOT(ISNA(VLOOKUP(E66,E$1:E65,1,FALSE()))),"OLD",IF(AND(E66&lt;&gt;"",E66&lt;&gt;"!!!"),"NEW","")))</f>
        <v>NEW</v>
      </c>
      <c r="G66" s="12" t="s">
        <v>28</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75" hidden="false" customHeight="false" outlineLevel="0" collapsed="false">
      <c r="A67" s="9" t="s">
        <v>84</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A68" s="9" t="s">
        <v>85</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9" t="s">
        <v>84</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75" hidden="false" customHeight="false" outlineLevel="0" collapsed="false">
      <c r="A70" s="9" t="s">
        <v>45</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9" t="s">
        <v>86</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75" hidden="false" customHeight="false" outlineLevel="0" collapsed="false">
      <c r="A72" s="9" t="s">
        <v>87</v>
      </c>
      <c r="B72" s="0" t="s">
        <v>30</v>
      </c>
      <c r="C72" s="0" t="s">
        <v>26</v>
      </c>
      <c r="D72" s="0" t="s">
        <v>27</v>
      </c>
      <c r="E72" s="10" t="s">
        <v>88</v>
      </c>
      <c r="F72" s="11" t="str">
        <f aca="false">IF(OR(E72="",E72="!!!"),"",IF(NOT(ISNA(VLOOKUP(E72,E$1:E71,1,FALSE()))),"OLD",IF(AND(E72&lt;&gt;"",E72&lt;&gt;"!!!"),"NEW","")))</f>
        <v>NEW</v>
      </c>
      <c r="G72" s="12" t="s">
        <v>72</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9" t="s">
        <v>22</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75" hidden="false" customHeight="false" outlineLevel="0" collapsed="false">
      <c r="A74" s="9" t="s">
        <v>39</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9" t="s">
        <v>84</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9" t="s">
        <v>89</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A77" s="9" t="s">
        <v>41</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75" hidden="false" customHeight="false" outlineLevel="0" collapsed="false">
      <c r="A78" s="9" t="s">
        <v>42</v>
      </c>
      <c r="B78" s="0" t="s">
        <v>90</v>
      </c>
      <c r="C78" s="0" t="s">
        <v>21</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9" t="s">
        <v>44</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75" hidden="false" customHeight="false" outlineLevel="0" collapsed="false">
      <c r="A80" s="9" t="s">
        <v>45</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A81" s="9" t="s">
        <v>46</v>
      </c>
      <c r="B81" s="0" t="s">
        <v>30</v>
      </c>
      <c r="C81" s="0" t="s">
        <v>47</v>
      </c>
      <c r="D81" s="0" t="s">
        <v>27</v>
      </c>
      <c r="E81" s="10" t="s">
        <v>48</v>
      </c>
      <c r="F81" s="11" t="str">
        <f aca="false">IF(OR(E81="",E81="!!!"),"",IF(NOT(ISNA(VLOOKUP(E81,E$1:E80,1,FALSE()))),"OLD",IF(AND(E81&lt;&gt;"",E81&lt;&gt;"!!!"),"NEW","")))</f>
        <v>OLD</v>
      </c>
      <c r="G81" s="12" t="s">
        <v>49</v>
      </c>
      <c r="H81" s="13" t="s">
        <v>7</v>
      </c>
      <c r="I81" s="14" t="str">
        <f aca="false">IF(OR(E81="",E81="!!!",F81="NEW"),"",INDEX(B$2:B80,-1+SUMPRODUCT(MAX(ROW(E$2:E80)*(E81=E$2:E80)))))</f>
        <v>OBJ_2</v>
      </c>
      <c r="J81" s="15" t="n">
        <f aca="true">IF(OR(E81="",E81="!!!",F81="NEW"),"",COUNTBLANK(OFFSET(A$1,,,SUMPRODUCT(MAX(ROW(E$2:E81)*(E81=E$2:E81)))))-COUNTBLANK(OFFSET(A$1,,,SUMPRODUCT(MAX(ROW(E$1:E80)*(E81=E$1:E80))))))</f>
        <v>1</v>
      </c>
      <c r="K81" s="15" t="n">
        <f aca="false">IF(OR(E81="",E81="!!!",F81="NEW"),"",INDEX(J$1:J80,SUMPRODUCT(MAX(ROW(E$1:E80)*(E81=E$1:E80)))))</f>
        <v>0</v>
      </c>
      <c r="L81" s="16"/>
    </row>
    <row r="82" customFormat="false" ht="12.75" hidden="false" customHeight="false" outlineLevel="0" collapsed="false">
      <c r="A82" s="9" t="s">
        <v>44</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9" t="s">
        <v>45</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75" hidden="false" customHeight="false" outlineLevel="0" collapsed="false">
      <c r="A84" s="9" t="s">
        <v>91</v>
      </c>
      <c r="B84" s="0" t="s">
        <v>57</v>
      </c>
      <c r="C84" s="0" t="s">
        <v>47</v>
      </c>
      <c r="D84" s="0" t="s">
        <v>27</v>
      </c>
      <c r="E84" s="10" t="s">
        <v>92</v>
      </c>
      <c r="F84" s="11" t="str">
        <f aca="false">IF(OR(E84="",E84="!!!"),"",IF(NOT(ISNA(VLOOKUP(E84,E$1:E83,1,FALSE()))),"OLD",IF(AND(E84&lt;&gt;"",E84&lt;&gt;"!!!"),"NEW","")))</f>
        <v>NEW</v>
      </c>
      <c r="G84" s="12" t="s">
        <v>28</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9" t="s">
        <v>93</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9" t="s">
        <v>94</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9" t="s">
        <v>95</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9" t="s">
        <v>96</v>
      </c>
      <c r="B89" s="0" t="s">
        <v>79</v>
      </c>
      <c r="C89" s="0" t="s">
        <v>58</v>
      </c>
      <c r="D89" s="0" t="s">
        <v>27</v>
      </c>
      <c r="E89" s="10" t="s">
        <v>20</v>
      </c>
      <c r="F89" s="11" t="str">
        <f aca="false">IF(OR(E89="",E89="!!!"),"",IF(NOT(ISNA(VLOOKUP(E89,E$1:E88,1,FALSE()))),"OLD",IF(AND(E89&lt;&gt;"",E89&lt;&gt;"!!!"),"NEW","")))</f>
        <v>OLD</v>
      </c>
      <c r="G89" s="12" t="s">
        <v>49</v>
      </c>
      <c r="H89" s="13"/>
      <c r="I89" s="14" t="str">
        <f aca="false">IF(OR(E89="",E89="!!!",F89="NEW"),"",INDEX(B$2:B88,-1+SUMPRODUCT(MAX(ROW(E$2:E88)*(E89=E$2:E88)))))</f>
        <v>other_3</v>
      </c>
      <c r="J89" s="15" t="n">
        <f aca="true">IF(OR(E89="",E89="!!!",F89="NEW"),"",COUNTBLANK(OFFSET(A$1,,,SUMPRODUCT(MAX(ROW(E$2:E89)*(E89=E$2:E89)))))-COUNTBLANK(OFFSET(A$1,,,SUMPRODUCT(MAX(ROW(E$1:E88)*(E89=E$1:E88))))))</f>
        <v>1</v>
      </c>
      <c r="K89" s="15" t="n">
        <f aca="false">IF(OR(E89="",E89="!!!",F89="NEW"),"",INDEX(J$1:J88,SUMPRODUCT(MAX(ROW(E$1:E88)*(E89=E$1:E88)))))</f>
        <v>0</v>
      </c>
      <c r="L89" s="16"/>
    </row>
    <row r="90" customFormat="false" ht="12.75" hidden="false" customHeight="false" outlineLevel="0" collapsed="false">
      <c r="A90" s="9" t="s">
        <v>40</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A91" s="9" t="s">
        <v>56</v>
      </c>
      <c r="B91" s="0" t="s">
        <v>43</v>
      </c>
      <c r="C91" s="0" t="s">
        <v>58</v>
      </c>
      <c r="D91" s="0" t="s">
        <v>27</v>
      </c>
      <c r="E91" s="10" t="s">
        <v>48</v>
      </c>
      <c r="F91" s="11" t="str">
        <f aca="false">IF(OR(E91="",E91="!!!"),"",IF(NOT(ISNA(VLOOKUP(E91,E$1:E90,1,FALSE()))),"OLD",IF(AND(E91&lt;&gt;"",E91&lt;&gt;"!!!"),"NEW","")))</f>
        <v>OLD</v>
      </c>
      <c r="G91" s="12" t="s">
        <v>51</v>
      </c>
      <c r="H91" s="13" t="s">
        <v>7</v>
      </c>
      <c r="I91" s="14" t="str">
        <f aca="false">IF(OR(E91="",E91="!!!",F91="NEW"),"",INDEX(B$2:B90,-1+SUMPRODUCT(MAX(ROW(E$2:E90)*(E91=E$2:E90)))))</f>
        <v>other_4</v>
      </c>
      <c r="J91" s="15" t="n">
        <f aca="true">IF(OR(E91="",E91="!!!",F91="NEW"),"",COUNTBLANK(OFFSET(A$1,,,SUMPRODUCT(MAX(ROW(E$2:E91)*(E91=E$2:E91)))))-COUNTBLANK(OFFSET(A$1,,,SUMPRODUCT(MAX(ROW(E$1:E90)*(E91=E$1:E90))))))</f>
        <v>1</v>
      </c>
      <c r="K91" s="15" t="n">
        <f aca="false">IF(OR(E91="",E91="!!!",F91="NEW"),"",INDEX(J$1:J90,SUMPRODUCT(MAX(ROW(E$1:E90)*(E91=E$1:E90)))))</f>
        <v>1</v>
      </c>
      <c r="L91" s="16"/>
    </row>
    <row r="92" customFormat="false" ht="12.75" hidden="false" customHeight="false" outlineLevel="0" collapsed="false">
      <c r="A92" s="9" t="s">
        <v>22</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9" t="s">
        <v>97</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75" hidden="false" customHeight="false" outlineLevel="0" collapsed="false">
      <c r="A94" s="9" t="s">
        <v>98</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75" hidden="false" customHeight="false" outlineLevel="0" collapsed="false">
      <c r="A95" s="9" t="s">
        <v>56</v>
      </c>
      <c r="B95" s="0" t="s">
        <v>17</v>
      </c>
      <c r="C95" s="0" t="s">
        <v>58</v>
      </c>
      <c r="D95" s="0" t="s">
        <v>27</v>
      </c>
      <c r="E95" s="10" t="s">
        <v>92</v>
      </c>
      <c r="F95" s="11" t="str">
        <f aca="false">IF(OR(E95="",E95="!!!"),"",IF(NOT(ISNA(VLOOKUP(E95,E$1:E94,1,FALSE()))),"OLD",IF(AND(E95&lt;&gt;"",E95&lt;&gt;"!!!"),"NEW","")))</f>
        <v>OLD</v>
      </c>
      <c r="G95" s="12" t="s">
        <v>49</v>
      </c>
      <c r="H95" s="13"/>
      <c r="I95" s="14" t="str">
        <f aca="false">IF(OR(E95="",E95="!!!",F95="NEW"),"",INDEX(B$2:B94,-1+SUMPRODUCT(MAX(ROW(E$2:E94)*(E95=E$2:E94)))))</f>
        <v>other_5</v>
      </c>
      <c r="J95" s="15" t="n">
        <f aca="true">IF(OR(E95="",E95="!!!",F95="NEW"),"",COUNTBLANK(OFFSET(A$1,,,SUMPRODUCT(MAX(ROW(E$2:E95)*(E95=E$2:E95)))))-COUNTBLANK(OFFSET(A$1,,,SUMPRODUCT(MAX(ROW(E$1:E94)*(E95=E$1:E94))))))</f>
        <v>1</v>
      </c>
      <c r="K95" s="15" t="str">
        <f aca="false">IF(OR(E95="",E95="!!!",F95="NEW"),"",INDEX(J$1:J94,SUMPRODUCT(MAX(ROW(E$1:E94)*(E95=E$1:E94)))))</f>
        <v/>
      </c>
      <c r="L95" s="16"/>
    </row>
    <row r="96" customFormat="false" ht="12.75" hidden="false" customHeight="false" outlineLevel="0" collapsed="false">
      <c r="A96" s="9" t="s">
        <v>99</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75" hidden="false" customHeight="false" outlineLevel="0" collapsed="false">
      <c r="A97" s="9" t="s">
        <v>81</v>
      </c>
      <c r="B97" s="0" t="s">
        <v>25</v>
      </c>
      <c r="C97" s="0" t="s">
        <v>31</v>
      </c>
      <c r="D97" s="0" t="s">
        <v>27</v>
      </c>
      <c r="E97" s="10" t="s">
        <v>20</v>
      </c>
      <c r="F97" s="11" t="str">
        <f aca="false">IF(OR(E97="",E97="!!!"),"",IF(NOT(ISNA(VLOOKUP(E97,E$1:E96,1,FALSE()))),"OLD",IF(AND(E97&lt;&gt;"",E97&lt;&gt;"!!!"),"NEW","")))</f>
        <v>OLD</v>
      </c>
      <c r="G97" s="12" t="s">
        <v>51</v>
      </c>
      <c r="H97" s="13" t="str">
        <f aca="false">IF(J97&lt;&gt;1,"",IF(I97="SBJ","CB","?"))</f>
        <v/>
      </c>
      <c r="I97" s="14" t="str">
        <f aca="false">IF(OR(E97="",E97="!!!",F97="NEW"),"",INDEX(B$2:B96,-1+SUMPRODUCT(MAX(ROW(E$2:E96)*(E97=E$2:E96)))))</f>
        <v>SBJ_2</v>
      </c>
      <c r="J97" s="15" t="n">
        <f aca="true">IF(OR(E97="",E97="!!!",F97="NEW"),"",COUNTBLANK(OFFSET(A$1,,,SUMPRODUCT(MAX(ROW(E$2:E97)*(E97=E$2:E97)))))-COUNTBLANK(OFFSET(A$1,,,SUMPRODUCT(MAX(ROW(E$1:E96)*(E97=E$1:E96))))))</f>
        <v>0</v>
      </c>
      <c r="K97" s="15" t="n">
        <f aca="false">IF(OR(E97="",E97="!!!",F97="NEW"),"",INDEX(J$1:J96,SUMPRODUCT(MAX(ROW(E$1:E96)*(E97=E$1:E96)))))</f>
        <v>1</v>
      </c>
      <c r="L97" s="16"/>
    </row>
    <row r="98" customFormat="false" ht="12.75" hidden="false" customHeight="false" outlineLevel="0" collapsed="false">
      <c r="A98" s="9" t="s">
        <v>100</v>
      </c>
      <c r="B98" s="0" t="s">
        <v>38</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9" t="s">
        <v>93</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75" hidden="false" customHeight="false" outlineLevel="0" collapsed="false">
      <c r="A101" s="9" t="s">
        <v>101</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75" hidden="false" customHeight="false" outlineLevel="0" collapsed="false">
      <c r="A102" s="9" t="s">
        <v>102</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75" hidden="false" customHeight="false" outlineLevel="0" collapsed="false">
      <c r="A103" s="9" t="s">
        <v>56</v>
      </c>
      <c r="B103" s="0" t="s">
        <v>79</v>
      </c>
      <c r="C103" s="0" t="s">
        <v>58</v>
      </c>
      <c r="D103" s="0" t="s">
        <v>27</v>
      </c>
      <c r="E103" s="10" t="s">
        <v>92</v>
      </c>
      <c r="F103" s="11" t="str">
        <f aca="false">IF(OR(E103="",E103="!!!"),"",IF(NOT(ISNA(VLOOKUP(E103,E$1:E102,1,FALSE()))),"OLD",IF(AND(E103&lt;&gt;"",E103&lt;&gt;"!!!"),"NEW","")))</f>
        <v>OLD</v>
      </c>
      <c r="G103" s="12" t="s">
        <v>51</v>
      </c>
      <c r="H103" s="13" t="str">
        <f aca="false">IF(J103&lt;&gt;1,"",IF(I103="SBJ","CB","?"))</f>
        <v>CB</v>
      </c>
      <c r="I103" s="14" t="str">
        <f aca="false">IF(OR(E103="",E103="!!!",F103="NEW"),"",INDEX(B$2:B102,-1+SUMPRODUCT(MAX(ROW(E$2:E102)*(E103=E$2:E102)))))</f>
        <v>SBJ</v>
      </c>
      <c r="J103" s="15" t="n">
        <f aca="true">IF(OR(E103="",E103="!!!",F103="NEW"),"",COUNTBLANK(OFFSET(A$1,,,SUMPRODUCT(MAX(ROW(E$2:E103)*(E103=E$2:E103)))))-COUNTBLANK(OFFSET(A$1,,,SUMPRODUCT(MAX(ROW(E$1:E102)*(E103=E$1:E102))))))</f>
        <v>1</v>
      </c>
      <c r="K103" s="15" t="n">
        <f aca="false">IF(OR(E103="",E103="!!!",F103="NEW"),"",INDEX(J$1:J102,SUMPRODUCT(MAX(ROW(E$1:E102)*(E103=E$1:E102)))))</f>
        <v>1</v>
      </c>
      <c r="L103" s="16"/>
    </row>
    <row r="104" customFormat="false" ht="12.75" hidden="false" customHeight="false" outlineLevel="0" collapsed="false">
      <c r="A104" s="9" t="s">
        <v>103</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A105" s="9" t="s">
        <v>36</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75" hidden="false" customHeight="false" outlineLevel="0" collapsed="false">
      <c r="A106" s="9" t="s">
        <v>22</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A107" s="9" t="s">
        <v>103</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9" t="s">
        <v>98</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9" t="s">
        <v>56</v>
      </c>
      <c r="B109" s="0" t="s">
        <v>75</v>
      </c>
      <c r="C109" s="0" t="s">
        <v>58</v>
      </c>
      <c r="D109" s="0" t="s">
        <v>27</v>
      </c>
      <c r="E109" s="10"/>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t="s">
        <v>104</v>
      </c>
    </row>
    <row r="110" customFormat="false" ht="12.75" hidden="false" customHeight="false" outlineLevel="0" collapsed="false">
      <c r="A110" s="9" t="s">
        <v>105</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9" t="s">
        <v>81</v>
      </c>
      <c r="B111" s="0" t="s">
        <v>25</v>
      </c>
      <c r="C111" s="0" t="s">
        <v>31</v>
      </c>
      <c r="D111" s="0" t="s">
        <v>27</v>
      </c>
      <c r="E111" s="10" t="s">
        <v>20</v>
      </c>
      <c r="F111" s="11" t="str">
        <f aca="false">IF(OR(E111="",E111="!!!"),"",IF(NOT(ISNA(VLOOKUP(E111,E$1:E110,1,FALSE()))),"OLD",IF(AND(E111&lt;&gt;"",E111&lt;&gt;"!!!"),"NEW","")))</f>
        <v>OLD</v>
      </c>
      <c r="G111" s="12" t="s">
        <v>49</v>
      </c>
      <c r="H111" s="13"/>
      <c r="I111" s="14" t="str">
        <f aca="false">IF(OR(E111="",E111="!!!",F111="NEW"),"",INDEX(B$2:B110,-1+SUMPRODUCT(MAX(ROW(E$2:E110)*(E111=E$2:E110)))))</f>
        <v>other_2</v>
      </c>
      <c r="J111" s="15" t="n">
        <f aca="true">IF(OR(E111="",E111="!!!",F111="NEW"),"",COUNTBLANK(OFFSET(A$1,,,SUMPRODUCT(MAX(ROW(E$2:E111)*(E111=E$2:E111)))))-COUNTBLANK(OFFSET(A$1,,,SUMPRODUCT(MAX(ROW(E$1:E110)*(E111=E$1:E110))))))</f>
        <v>1</v>
      </c>
      <c r="K111" s="15" t="n">
        <f aca="false">IF(OR(E111="",E111="!!!",F111="NEW"),"",INDEX(J$1:J110,SUMPRODUCT(MAX(ROW(E$1:E110)*(E111=E$1:E110)))))</f>
        <v>0</v>
      </c>
      <c r="L111" s="16"/>
    </row>
    <row r="112" customFormat="false" ht="12.75" hidden="false" customHeight="false" outlineLevel="0" collapsed="false">
      <c r="A112" s="9" t="s">
        <v>106</v>
      </c>
      <c r="B112" s="0" t="s">
        <v>75</v>
      </c>
      <c r="C112" s="0" t="s">
        <v>34</v>
      </c>
      <c r="D112" s="0" t="s">
        <v>27</v>
      </c>
      <c r="E112" s="10" t="s">
        <v>107</v>
      </c>
      <c r="F112" s="11" t="str">
        <f aca="false">IF(OR(E112="",E112="!!!"),"",IF(NOT(ISNA(VLOOKUP(E112,E$1:E111,1,FALSE()))),"OLD",IF(AND(E112&lt;&gt;"",E112&lt;&gt;"!!!"),"NEW","")))</f>
        <v>NEW</v>
      </c>
      <c r="G112" s="12" t="s">
        <v>28</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A113" s="9" t="s">
        <v>93</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75" hidden="false" customHeight="false" outlineLevel="0" collapsed="false">
      <c r="A115" s="9" t="s">
        <v>108</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9" t="s">
        <v>109</v>
      </c>
      <c r="B116" s="0" t="s">
        <v>75</v>
      </c>
      <c r="C116" s="0" t="s">
        <v>110</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9" t="s">
        <v>111</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75" hidden="false" customHeight="false" outlineLevel="0" collapsed="false">
      <c r="A118" s="9" t="s">
        <v>56</v>
      </c>
      <c r="B118" s="0" t="s">
        <v>17</v>
      </c>
      <c r="C118" s="0" t="s">
        <v>58</v>
      </c>
      <c r="D118" s="0" t="s">
        <v>27</v>
      </c>
      <c r="E118" s="10"/>
      <c r="F118" s="11" t="s">
        <v>112</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A119" s="9" t="s">
        <v>113</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A120" s="9" t="s">
        <v>96</v>
      </c>
      <c r="B120" s="0" t="s">
        <v>114</v>
      </c>
      <c r="C120" s="0" t="s">
        <v>58</v>
      </c>
      <c r="D120" s="0" t="s">
        <v>27</v>
      </c>
      <c r="E120" s="10" t="s">
        <v>20</v>
      </c>
      <c r="F120" s="11" t="str">
        <f aca="false">IF(OR(E120="",E120="!!!"),"",IF(NOT(ISNA(VLOOKUP(E120,E$1:E119,1,FALSE()))),"OLD",IF(AND(E120&lt;&gt;"",E120&lt;&gt;"!!!"),"NEW","")))</f>
        <v>OLD</v>
      </c>
      <c r="G120" s="12" t="s">
        <v>51</v>
      </c>
      <c r="H120" s="13" t="s">
        <v>7</v>
      </c>
      <c r="I120" s="14" t="str">
        <f aca="false">IF(OR(E120="",E120="!!!",F120="NEW"),"",INDEX(B$2:B119,-1+SUMPRODUCT(MAX(ROW(E$2:E119)*(E120=E$2:E119)))))</f>
        <v>other_2</v>
      </c>
      <c r="J120" s="15" t="n">
        <f aca="true">IF(OR(E120="",E120="!!!",F120="NEW"),"",COUNTBLANK(OFFSET(A$1,,,SUMPRODUCT(MAX(ROW(E$2:E120)*(E120=E$2:E120)))))-COUNTBLANK(OFFSET(A$1,,,SUMPRODUCT(MAX(ROW(E$1:E119)*(E120=E$1:E119))))))</f>
        <v>1</v>
      </c>
      <c r="K120" s="15" t="n">
        <f aca="false">IF(OR(E120="",E120="!!!",F120="NEW"),"",INDEX(J$1:J119,SUMPRODUCT(MAX(ROW(E$1:E119)*(E120=E$1:E119)))))</f>
        <v>1</v>
      </c>
      <c r="L120" s="16"/>
    </row>
    <row r="121" customFormat="false" ht="12.75" hidden="false" customHeight="false" outlineLevel="0" collapsed="false">
      <c r="A121" s="9" t="s">
        <v>115</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9" t="s">
        <v>116</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9" t="s">
        <v>117</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A124" s="9" t="s">
        <v>118</v>
      </c>
      <c r="B124" s="0" t="s">
        <v>90</v>
      </c>
      <c r="C124" s="0" t="s">
        <v>119</v>
      </c>
      <c r="D124" s="0" t="s">
        <v>27</v>
      </c>
      <c r="E124" s="10"/>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t="s">
        <v>120</v>
      </c>
    </row>
    <row r="125" customFormat="false" ht="12.75" hidden="false" customHeight="false" outlineLevel="0" collapsed="false">
      <c r="A125" s="9" t="s">
        <v>105</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9" t="s">
        <v>81</v>
      </c>
      <c r="B126" s="0" t="s">
        <v>30</v>
      </c>
      <c r="C126" s="0" t="s">
        <v>31</v>
      </c>
      <c r="D126" s="0" t="s">
        <v>27</v>
      </c>
      <c r="E126" s="10" t="s">
        <v>20</v>
      </c>
      <c r="F126" s="11" t="str">
        <f aca="false">IF(OR(E126="",E126="!!!"),"",IF(NOT(ISNA(VLOOKUP(E126,E$1:E125,1,FALSE()))),"OLD",IF(AND(E126&lt;&gt;"",E126&lt;&gt;"!!!"),"NEW","")))</f>
        <v>OLD</v>
      </c>
      <c r="G126" s="12" t="s">
        <v>51</v>
      </c>
      <c r="H126" s="13" t="str">
        <f aca="false">IF(J126&lt;&gt;1,"",IF(I126="SBJ","CB","?"))</f>
        <v/>
      </c>
      <c r="I126" s="14" t="str">
        <f aca="false">IF(OR(E126="",E126="!!!",F126="NEW"),"",INDEX(B$2:B125,-1+SUMPRODUCT(MAX(ROW(E$2:E125)*(E126=E$2:E125)))))</f>
        <v>SBJ_3</v>
      </c>
      <c r="J126" s="15" t="n">
        <f aca="true">IF(OR(E126="",E126="!!!",F126="NEW"),"",COUNTBLANK(OFFSET(A$1,,,SUMPRODUCT(MAX(ROW(E$2:E126)*(E126=E$2:E126)))))-COUNTBLANK(OFFSET(A$1,,,SUMPRODUCT(MAX(ROW(E$1:E125)*(E126=E$1:E125))))))</f>
        <v>0</v>
      </c>
      <c r="K126" s="15" t="n">
        <f aca="false">IF(OR(E126="",E126="!!!",F126="NEW"),"",INDEX(J$1:J125,SUMPRODUCT(MAX(ROW(E$1:E125)*(E126=E$1:E125)))))</f>
        <v>1</v>
      </c>
      <c r="L126" s="16"/>
    </row>
    <row r="127" customFormat="false" ht="12.75" hidden="false" customHeight="false" outlineLevel="0" collapsed="false">
      <c r="A127" s="9" t="s">
        <v>82</v>
      </c>
      <c r="B127" s="0" t="s">
        <v>33</v>
      </c>
      <c r="C127" s="0" t="s">
        <v>34</v>
      </c>
      <c r="D127" s="0" t="s">
        <v>27</v>
      </c>
      <c r="E127" s="10" t="s">
        <v>83</v>
      </c>
      <c r="F127" s="11" t="str">
        <f aca="false">IF(OR(E127="",E127="!!!"),"",IF(NOT(ISNA(VLOOKUP(E127,E$1:E126,1,FALSE()))),"OLD",IF(AND(E127&lt;&gt;"",E127&lt;&gt;"!!!"),"NEW","")))</f>
        <v>OLD</v>
      </c>
      <c r="G127" s="12" t="s">
        <v>72</v>
      </c>
      <c r="H127" s="13" t="str">
        <f aca="false">IF(J127&lt;&gt;1,"",IF(I127="SBJ","CB","?"))</f>
        <v/>
      </c>
      <c r="I127" s="14" t="str">
        <f aca="false">IF(OR(E127="",E127="!!!",F127="NEW"),"",INDEX(B$2:B126,-1+SUMPRODUCT(MAX(ROW(E$2:E126)*(E127=E$2:E126)))))</f>
        <v>OBJ_2</v>
      </c>
      <c r="J127" s="15" t="n">
        <f aca="true">IF(OR(E127="",E127="!!!",F127="NEW"),"",COUNTBLANK(OFFSET(A$1,,,SUMPRODUCT(MAX(ROW(E$2:E127)*(E127=E$2:E127)))))-COUNTBLANK(OFFSET(A$1,,,SUMPRODUCT(MAX(ROW(E$1:E126)*(E127=E$1:E126))))))</f>
        <v>3</v>
      </c>
      <c r="K127" s="15" t="str">
        <f aca="false">IF(OR(E127="",E127="!!!",F127="NEW"),"",INDEX(J$1:J126,SUMPRODUCT(MAX(ROW(E$1:E126)*(E127=E$1:E126)))))</f>
        <v/>
      </c>
      <c r="L127" s="16"/>
    </row>
    <row r="128" customFormat="false" ht="12.75" hidden="false" customHeight="false" outlineLevel="0" collapsed="false">
      <c r="A128" s="9" t="s">
        <v>93</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9" t="s">
        <v>69</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75" hidden="false" customHeight="false" outlineLevel="0" collapsed="false">
      <c r="A131" s="9" t="s">
        <v>121</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75" hidden="false" customHeight="false" outlineLevel="0" collapsed="false">
      <c r="A132" s="9" t="s">
        <v>122</v>
      </c>
      <c r="B132" s="0" t="s">
        <v>17</v>
      </c>
      <c r="C132" s="0" t="s">
        <v>58</v>
      </c>
      <c r="D132" s="0" t="s">
        <v>27</v>
      </c>
      <c r="E132" s="10" t="s">
        <v>20</v>
      </c>
      <c r="F132" s="11" t="str">
        <f aca="false">IF(OR(E132="",E132="!!!"),"",IF(NOT(ISNA(VLOOKUP(E132,E$1:E131,1,FALSE()))),"OLD",IF(AND(E132&lt;&gt;"",E132&lt;&gt;"!!!"),"NEW","")))</f>
        <v>OLD</v>
      </c>
      <c r="G132" s="12" t="s">
        <v>49</v>
      </c>
      <c r="H132" s="13" t="s">
        <v>7</v>
      </c>
      <c r="I132" s="14" t="str">
        <f aca="false">IF(OR(E132="",E132="!!!",F132="NEW"),"",INDEX(B$2:B131,-1+SUMPRODUCT(MAX(ROW(E$2:E131)*(E132=E$2:E131)))))</f>
        <v>other_4</v>
      </c>
      <c r="J132" s="15" t="n">
        <f aca="true">IF(OR(E132="",E132="!!!",F132="NEW"),"",COUNTBLANK(OFFSET(A$1,,,SUMPRODUCT(MAX(ROW(E$2:E132)*(E132=E$2:E132)))))-COUNTBLANK(OFFSET(A$1,,,SUMPRODUCT(MAX(ROW(E$1:E131)*(E132=E$1:E131))))))</f>
        <v>1</v>
      </c>
      <c r="K132" s="15" t="n">
        <f aca="false">IF(OR(E132="",E132="!!!",F132="NEW"),"",INDEX(J$1:J131,SUMPRODUCT(MAX(ROW(E$1:E131)*(E132=E$1:E131)))))</f>
        <v>0</v>
      </c>
      <c r="L132" s="16"/>
    </row>
    <row r="133" customFormat="false" ht="12.75" hidden="false" customHeight="false" outlineLevel="0" collapsed="false">
      <c r="A133" s="9" t="s">
        <v>115</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9" t="s">
        <v>98</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9" t="s">
        <v>123</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9" t="s">
        <v>84</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75" hidden="false" customHeight="false" outlineLevel="0" collapsed="false">
      <c r="A137" s="9" t="s">
        <v>124</v>
      </c>
      <c r="B137" s="0" t="s">
        <v>75</v>
      </c>
      <c r="C137" s="0" t="s">
        <v>21</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9" t="s">
        <v>22</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75" hidden="false" customHeight="false" outlineLevel="0" collapsed="false">
      <c r="A139" s="9" t="s">
        <v>125</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9" t="s">
        <v>84</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75" hidden="false" customHeight="false" outlineLevel="0" collapsed="false">
      <c r="A141" s="9" t="s">
        <v>126</v>
      </c>
      <c r="B141" s="0" t="s">
        <v>75</v>
      </c>
      <c r="C141" s="0" t="s">
        <v>26</v>
      </c>
      <c r="D141" s="0" t="s">
        <v>27</v>
      </c>
      <c r="E141" s="10" t="s">
        <v>126</v>
      </c>
      <c r="F141" s="11" t="str">
        <f aca="false">IF(OR(E141="",E141="!!!"),"",IF(NOT(ISNA(VLOOKUP(E141,E$1:E140,1,FALSE()))),"OLD",IF(AND(E141&lt;&gt;"",E141&lt;&gt;"!!!"),"NEW","")))</f>
        <v>NEW</v>
      </c>
      <c r="G141" s="12" t="s">
        <v>72</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9" t="s">
        <v>68</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9" t="s">
        <v>74</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75" hidden="false" customHeight="false" outlineLevel="0" collapsed="false">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A145" s="9" t="s">
        <v>127</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9" t="s">
        <v>20</v>
      </c>
      <c r="B146" s="0" t="s">
        <v>17</v>
      </c>
      <c r="C146" s="0" t="s">
        <v>21</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9" t="s">
        <v>22</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75" hidden="false" customHeight="false" outlineLevel="0" collapsed="false">
      <c r="A148" s="9" t="s">
        <v>128</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9" t="s">
        <v>129</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9" t="s">
        <v>130</v>
      </c>
      <c r="B150" s="0" t="s">
        <v>90</v>
      </c>
      <c r="C150" s="0" t="s">
        <v>119</v>
      </c>
      <c r="D150" s="0" t="s">
        <v>27</v>
      </c>
      <c r="E150" s="10" t="s">
        <v>131</v>
      </c>
      <c r="F150" s="11" t="str">
        <f aca="false">IF(OR(E150="",E150="!!!"),"",IF(NOT(ISNA(VLOOKUP(E150,E$1:E149,1,FALSE()))),"OLD",IF(AND(E150&lt;&gt;"",E150&lt;&gt;"!!!"),"NEW","")))</f>
        <v>NEW</v>
      </c>
      <c r="G150" s="12" t="s">
        <v>28</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A151" s="9" t="s">
        <v>22</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75" hidden="false" customHeight="false" outlineLevel="0" collapsed="false">
      <c r="A152" s="9" t="s">
        <v>132</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9" t="s">
        <v>133</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75" hidden="false" customHeight="false" outlineLevel="0" collapsed="false">
      <c r="A154" s="9" t="s">
        <v>39</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75" hidden="false" customHeight="false" outlineLevel="0" collapsed="false">
      <c r="A155" s="9" t="s">
        <v>134</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9" t="s">
        <v>68</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75" hidden="false" customHeight="false" outlineLevel="0" collapsed="false">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9" t="s">
        <v>135</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75" hidden="false" customHeight="false" outlineLevel="0" collapsed="false">
      <c r="A159" s="9" t="s">
        <v>136</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75" hidden="false" customHeight="false" outlineLevel="0" collapsed="false">
      <c r="A160" s="9" t="s">
        <v>137</v>
      </c>
      <c r="B160" s="0" t="s">
        <v>17</v>
      </c>
      <c r="C160" s="0" t="s">
        <v>21</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9" t="s">
        <v>138</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75" hidden="false" customHeight="false" outlineLevel="0" collapsed="false">
      <c r="A162" s="9" t="s">
        <v>139</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9" t="s">
        <v>140</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9" t="s">
        <v>141</v>
      </c>
      <c r="B164" s="0" t="s">
        <v>114</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75" hidden="false" customHeight="false" outlineLevel="0" collapsed="false">
      <c r="A165" s="9" t="s">
        <v>142</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9" t="s">
        <v>129</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9" t="s">
        <v>143</v>
      </c>
      <c r="B167" s="0" t="s">
        <v>90</v>
      </c>
      <c r="C167" s="0" t="s">
        <v>119</v>
      </c>
      <c r="D167" s="0" t="s">
        <v>27</v>
      </c>
      <c r="E167" s="10"/>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t="s">
        <v>144</v>
      </c>
    </row>
    <row r="168" customFormat="false" ht="12.75" hidden="false" customHeight="false" outlineLevel="0" collapsed="false">
      <c r="A168" s="9" t="s">
        <v>68</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75" hidden="false" customHeight="false" outlineLevel="0" collapsed="false">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9" t="s">
        <v>145</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9" t="s">
        <v>146</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75" hidden="false" customHeight="false" outlineLevel="0" collapsed="false">
      <c r="A172" s="9" t="s">
        <v>147</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A173" s="9" t="s">
        <v>124</v>
      </c>
      <c r="B173" s="0" t="s">
        <v>17</v>
      </c>
      <c r="C173" s="0" t="s">
        <v>47</v>
      </c>
      <c r="D173" s="0" t="s">
        <v>27</v>
      </c>
      <c r="E173" s="10" t="s">
        <v>64</v>
      </c>
      <c r="F173" s="11" t="str">
        <f aca="false">IF(OR(E173="",E173="!!!"),"",IF(NOT(ISNA(VLOOKUP(E173,E$1:E172,1,FALSE()))),"OLD",IF(AND(E173&lt;&gt;"",E173&lt;&gt;"!!!"),"NEW","")))</f>
        <v>OLD</v>
      </c>
      <c r="G173" s="12" t="s">
        <v>72</v>
      </c>
      <c r="H173" s="13" t="str">
        <f aca="false">IF(J173&lt;&gt;1,"",IF(I173="SBJ","CB","?"))</f>
        <v/>
      </c>
      <c r="I173" s="14" t="str">
        <f aca="false">IF(OR(E173="",E173="!!!",F173="NEW"),"",INDEX(B$2:B172,-1+SUMPRODUCT(MAX(ROW(E$2:E172)*(E173=E$2:E172)))))</f>
        <v>other_3</v>
      </c>
      <c r="J173" s="15" t="n">
        <f aca="true">IF(OR(E173="",E173="!!!",F173="NEW"),"",COUNTBLANK(OFFSET(A$1,,,SUMPRODUCT(MAX(ROW(E$2:E173)*(E173=E$2:E173)))))-COUNTBLANK(OFFSET(A$1,,,SUMPRODUCT(MAX(ROW(E$1:E172)*(E173=E$1:E172))))))</f>
        <v>8</v>
      </c>
      <c r="K173" s="15" t="str">
        <f aca="false">IF(OR(E173="",E173="!!!",F173="NEW"),"",INDEX(J$1:J172,SUMPRODUCT(MAX(ROW(E$1:E172)*(E173=E$1:E172)))))</f>
        <v/>
      </c>
      <c r="L173" s="16"/>
    </row>
    <row r="174" customFormat="false" ht="12.75" hidden="false" customHeight="false" outlineLevel="0" collapsed="false">
      <c r="A174" s="9" t="s">
        <v>148</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9" t="s">
        <v>39</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9" t="s">
        <v>149</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75" hidden="false" customHeight="false" outlineLevel="0" collapsed="false">
      <c r="A177" s="9" t="s">
        <v>150</v>
      </c>
      <c r="B177" s="0" t="s">
        <v>43</v>
      </c>
      <c r="C177" s="0" t="s">
        <v>58</v>
      </c>
      <c r="D177" s="0" t="s">
        <v>27</v>
      </c>
      <c r="E177" s="10" t="s">
        <v>20</v>
      </c>
      <c r="F177" s="11" t="str">
        <f aca="false">IF(OR(E177="",E177="!!!"),"",IF(NOT(ISNA(VLOOKUP(E177,E$1:E176,1,FALSE()))),"OLD",IF(AND(E177&lt;&gt;"",E177&lt;&gt;"!!!"),"NEW","")))</f>
        <v>OLD</v>
      </c>
      <c r="G177" s="12" t="s">
        <v>72</v>
      </c>
      <c r="H177" s="13" t="str">
        <f aca="false">IF(J177&lt;&gt;1,"",IF(I177="SBJ","CB","?"))</f>
        <v/>
      </c>
      <c r="I177" s="14" t="str">
        <f aca="false">IF(OR(E177="",E177="!!!",F177="NEW"),"",INDEX(B$2:B176,-1+SUMPRODUCT(MAX(ROW(E$2:E176)*(E177=E$2:E176)))))</f>
        <v>SBJ</v>
      </c>
      <c r="J177" s="15" t="n">
        <f aca="true">IF(OR(E177="",E177="!!!",F177="NEW"),"",COUNTBLANK(OFFSET(A$1,,,SUMPRODUCT(MAX(ROW(E$2:E177)*(E177=E$2:E177)))))-COUNTBLANK(OFFSET(A$1,,,SUMPRODUCT(MAX(ROW(E$1:E176)*(E177=E$1:E176))))))</f>
        <v>3</v>
      </c>
      <c r="K177" s="15" t="n">
        <f aca="false">IF(OR(E177="",E177="!!!",F177="NEW"),"",INDEX(J$1:J176,SUMPRODUCT(MAX(ROW(E$1:E176)*(E177=E$1:E176)))))</f>
        <v>1</v>
      </c>
      <c r="L177" s="16"/>
    </row>
    <row r="178" customFormat="false" ht="12.75" hidden="false" customHeight="false" outlineLevel="0" collapsed="false">
      <c r="A178" s="9" t="s">
        <v>151</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9" t="s">
        <v>22</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75" hidden="false" customHeight="false" outlineLevel="0" collapsed="false">
      <c r="A180" s="9" t="s">
        <v>39</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75" hidden="false" customHeight="false" outlineLevel="0" collapsed="false">
      <c r="A181" s="9" t="s">
        <v>152</v>
      </c>
      <c r="B181" s="0" t="s">
        <v>79</v>
      </c>
      <c r="C181" s="0" t="s">
        <v>58</v>
      </c>
      <c r="D181" s="0" t="s">
        <v>27</v>
      </c>
      <c r="E181" s="10" t="s">
        <v>64</v>
      </c>
      <c r="F181" s="11" t="str">
        <f aca="false">IF(OR(E181="",E181="!!!"),"",IF(NOT(ISNA(VLOOKUP(E181,E$1:E180,1,FALSE()))),"OLD",IF(AND(E181&lt;&gt;"",E181&lt;&gt;"!!!"),"NEW","")))</f>
        <v>OLD</v>
      </c>
      <c r="G181" s="12" t="s">
        <v>51</v>
      </c>
      <c r="H181" s="13" t="str">
        <f aca="false">IF(J181&lt;&gt;1,"",IF(I181="SBJ","CB","?"))</f>
        <v/>
      </c>
      <c r="I181" s="14" t="str">
        <f aca="false">IF(OR(E181="",E181="!!!",F181="NEW"),"",INDEX(B$2:B180,-1+SUMPRODUCT(MAX(ROW(E$2:E180)*(E181=E$2:E180)))))</f>
        <v>SBJ</v>
      </c>
      <c r="J181" s="15" t="n">
        <f aca="true">IF(OR(E181="",E181="!!!",F181="NEW"),"",COUNTBLANK(OFFSET(A$1,,,SUMPRODUCT(MAX(ROW(E$2:E181)*(E181=E$2:E181)))))-COUNTBLANK(OFFSET(A$1,,,SUMPRODUCT(MAX(ROW(E$1:E180)*(E181=E$1:E180))))))</f>
        <v>0</v>
      </c>
      <c r="K181" s="15" t="n">
        <f aca="false">IF(OR(E181="",E181="!!!",F181="NEW"),"",INDEX(J$1:J180,SUMPRODUCT(MAX(ROW(E$1:E180)*(E181=E$1:E180)))))</f>
        <v>8</v>
      </c>
      <c r="L181" s="16"/>
    </row>
    <row r="182" customFormat="false" ht="12.75" hidden="false" customHeight="false" outlineLevel="0" collapsed="false">
      <c r="A182" s="9" t="s">
        <v>153</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75" hidden="false" customHeight="false" outlineLevel="0" collapsed="false">
      <c r="A183" s="9" t="s">
        <v>150</v>
      </c>
      <c r="B183" s="0" t="s">
        <v>43</v>
      </c>
      <c r="C183" s="0" t="s">
        <v>58</v>
      </c>
      <c r="D183" s="0" t="s">
        <v>27</v>
      </c>
      <c r="E183" s="10" t="s">
        <v>20</v>
      </c>
      <c r="F183" s="11" t="str">
        <f aca="false">IF(OR(E183="",E183="!!!"),"",IF(NOT(ISNA(VLOOKUP(E183,E$1:E182,1,FALSE()))),"OLD",IF(AND(E183&lt;&gt;"",E183&lt;&gt;"!!!"),"NEW","")))</f>
        <v>OLD</v>
      </c>
      <c r="G183" s="12" t="s">
        <v>51</v>
      </c>
      <c r="H183" s="13" t="str">
        <f aca="false">IF(J183&lt;&gt;1,"",IF(I183="SBJ","CB","?"))</f>
        <v/>
      </c>
      <c r="I183" s="14" t="str">
        <f aca="false">IF(OR(E183="",E183="!!!",F183="NEW"),"",INDEX(B$2:B182,-1+SUMPRODUCT(MAX(ROW(E$2:E182)*(E183=E$2:E182)))))</f>
        <v>OBJ_2</v>
      </c>
      <c r="J183" s="15" t="n">
        <f aca="true">IF(OR(E183="",E183="!!!",F183="NEW"),"",COUNTBLANK(OFFSET(A$1,,,SUMPRODUCT(MAX(ROW(E$2:E183)*(E183=E$2:E183)))))-COUNTBLANK(OFFSET(A$1,,,SUMPRODUCT(MAX(ROW(E$1:E182)*(E183=E$1:E182))))))</f>
        <v>0</v>
      </c>
      <c r="K183" s="15" t="n">
        <f aca="false">IF(OR(E183="",E183="!!!",F183="NEW"),"",INDEX(J$1:J182,SUMPRODUCT(MAX(ROW(E$1:E182)*(E183=E$1:E182)))))</f>
        <v>3</v>
      </c>
      <c r="L183" s="16"/>
    </row>
    <row r="184" customFormat="false" ht="12.75" hidden="false" customHeight="false" outlineLevel="0" collapsed="false">
      <c r="A184" s="9" t="s">
        <v>154</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9" t="s">
        <v>39</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9" t="s">
        <v>155</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75" hidden="false" customHeight="false" outlineLevel="0" collapsed="false">
      <c r="A187" s="9" t="s">
        <v>150</v>
      </c>
      <c r="B187" s="0" t="s">
        <v>90</v>
      </c>
      <c r="C187" s="0" t="s">
        <v>58</v>
      </c>
      <c r="D187" s="0" t="s">
        <v>27</v>
      </c>
      <c r="E187" s="10" t="s">
        <v>20</v>
      </c>
      <c r="F187" s="11" t="str">
        <f aca="false">IF(OR(E187="",E187="!!!"),"",IF(NOT(ISNA(VLOOKUP(E187,E$1:E186,1,FALSE()))),"OLD",IF(AND(E187&lt;&gt;"",E187&lt;&gt;"!!!"),"NEW","")))</f>
        <v>OLD</v>
      </c>
      <c r="G187" s="12" t="s">
        <v>51</v>
      </c>
      <c r="H187" s="13" t="str">
        <f aca="false">IF(J187&lt;&gt;1,"",IF(I187="SBJ","CB","?"))</f>
        <v/>
      </c>
      <c r="I187" s="14" t="str">
        <f aca="false">IF(OR(E187="",E187="!!!",F187="NEW"),"",INDEX(B$2:B186,-1+SUMPRODUCT(MAX(ROW(E$2:E186)*(E187=E$2:E186)))))</f>
        <v>OBJ_2</v>
      </c>
      <c r="J187" s="15" t="n">
        <f aca="true">IF(OR(E187="",E187="!!!",F187="NEW"),"",COUNTBLANK(OFFSET(A$1,,,SUMPRODUCT(MAX(ROW(E$2:E187)*(E187=E$2:E187)))))-COUNTBLANK(OFFSET(A$1,,,SUMPRODUCT(MAX(ROW(E$1:E186)*(E187=E$1:E186))))))</f>
        <v>0</v>
      </c>
      <c r="K187" s="15" t="n">
        <f aca="false">IF(OR(E187="",E187="!!!",F187="NEW"),"",INDEX(J$1:J186,SUMPRODUCT(MAX(ROW(E$1:E186)*(E187=E$1:E186)))))</f>
        <v>0</v>
      </c>
      <c r="L187" s="16"/>
    </row>
    <row r="188" customFormat="false" ht="12.75" hidden="false" customHeight="false" outlineLevel="0" collapsed="false">
      <c r="A188" s="9" t="s">
        <v>68</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9" t="s">
        <v>156</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75" hidden="false" customHeight="false" outlineLevel="0" collapsed="false">
      <c r="A191" s="9" t="s">
        <v>157</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9" t="s">
        <v>158</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75" hidden="false" customHeight="false" outlineLevel="0" collapsed="false">
      <c r="A193" s="9" t="s">
        <v>159</v>
      </c>
      <c r="B193" s="0" t="s">
        <v>17</v>
      </c>
      <c r="C193" s="0" t="s">
        <v>160</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9" t="s">
        <v>161</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75" hidden="false" customHeight="false" outlineLevel="0" collapsed="false">
      <c r="A195" s="9" t="s">
        <v>22</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9" t="s">
        <v>29</v>
      </c>
      <c r="B196" s="0" t="s">
        <v>30</v>
      </c>
      <c r="C196" s="0" t="s">
        <v>31</v>
      </c>
      <c r="D196" s="0" t="s">
        <v>27</v>
      </c>
      <c r="E196" s="10" t="s">
        <v>20</v>
      </c>
      <c r="F196" s="11" t="str">
        <f aca="false">IF(OR(E196="",E196="!!!"),"",IF(NOT(ISNA(VLOOKUP(E196,E$1:E195,1,FALSE()))),"OLD",IF(AND(E196&lt;&gt;"",E196&lt;&gt;"!!!"),"NEW","")))</f>
        <v>OLD</v>
      </c>
      <c r="G196" s="12" t="s">
        <v>49</v>
      </c>
      <c r="H196" s="13" t="s">
        <v>7</v>
      </c>
      <c r="I196" s="14" t="str">
        <f aca="false">IF(OR(E196="",E196="!!!",F196="NEW"),"",INDEX(B$2:B195,-1+SUMPRODUCT(MAX(ROW(E$2:E195)*(E196=E$2:E195)))))</f>
        <v>OBJ_3</v>
      </c>
      <c r="J196" s="15" t="n">
        <f aca="true">IF(OR(E196="",E196="!!!",F196="NEW"),"",COUNTBLANK(OFFSET(A$1,,,SUMPRODUCT(MAX(ROW(E$2:E196)*(E196=E$2:E196)))))-COUNTBLANK(OFFSET(A$1,,,SUMPRODUCT(MAX(ROW(E$1:E195)*(E196=E$1:E195))))))</f>
        <v>1</v>
      </c>
      <c r="K196" s="15" t="n">
        <f aca="false">IF(OR(E196="",E196="!!!",F196="NEW"),"",INDEX(J$1:J195,SUMPRODUCT(MAX(ROW(E$1:E195)*(E196=E$1:E195)))))</f>
        <v>0</v>
      </c>
      <c r="L196" s="16"/>
    </row>
    <row r="197" customFormat="false" ht="12.75" hidden="false" customHeight="false" outlineLevel="0" collapsed="false">
      <c r="A197" s="9" t="s">
        <v>32</v>
      </c>
      <c r="B197" s="0" t="s">
        <v>114</v>
      </c>
      <c r="C197" s="0" t="s">
        <v>34</v>
      </c>
      <c r="D197" s="0" t="s">
        <v>27</v>
      </c>
      <c r="E197" s="10" t="s">
        <v>24</v>
      </c>
      <c r="F197" s="11" t="str">
        <f aca="false">IF(OR(E197="",E197="!!!"),"",IF(NOT(ISNA(VLOOKUP(E197,E$1:E196,1,FALSE()))),"OLD",IF(AND(E197&lt;&gt;"",E197&lt;&gt;"!!!"),"NEW","")))</f>
        <v>OLD</v>
      </c>
      <c r="G197" s="12" t="s">
        <v>72</v>
      </c>
      <c r="H197" s="13" t="str">
        <f aca="false">IF(J197&lt;&gt;1,"",IF(I197="SBJ","CB","?"))</f>
        <v/>
      </c>
      <c r="I197" s="14" t="str">
        <f aca="false">IF(OR(E197="",E197="!!!",F197="NEW"),"",INDEX(B$2:B196,-1+SUMPRODUCT(MAX(ROW(E$2:E196)*(E197=E$2:E196)))))</f>
        <v>SBJ_5</v>
      </c>
      <c r="J197" s="15" t="n">
        <f aca="true">IF(OR(E197="",E197="!!!",F197="NEW"),"",COUNTBLANK(OFFSET(A$1,,,SUMPRODUCT(MAX(ROW(E$2:E197)*(E197=E$2:E197)))))-COUNTBLANK(OFFSET(A$1,,,SUMPRODUCT(MAX(ROW(E$1:E196)*(E197=E$1:E196))))))</f>
        <v>9</v>
      </c>
      <c r="K197" s="15" t="n">
        <f aca="false">IF(OR(E197="",E197="!!!",F197="NEW"),"",INDEX(J$1:J196,SUMPRODUCT(MAX(ROW(E$1:E196)*(E197=E$1:E196)))))</f>
        <v>0</v>
      </c>
      <c r="L197" s="16"/>
    </row>
    <row r="198" customFormat="false" ht="12.75" hidden="false" customHeight="false" outlineLevel="0" collapsed="false">
      <c r="A198" s="9" t="s">
        <v>22</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9" t="s">
        <v>162</v>
      </c>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75" hidden="false" customHeight="false" outlineLevel="0" collapsed="false">
      <c r="A200" s="9" t="s">
        <v>163</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9" t="s">
        <v>164</v>
      </c>
      <c r="B201" s="0" t="s">
        <v>165</v>
      </c>
      <c r="C201" s="0" t="s">
        <v>110</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75" hidden="false" customHeight="false" outlineLevel="0" collapsed="false">
      <c r="A202" s="9" t="s">
        <v>166</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75" hidden="false" customHeight="false" outlineLevel="0" collapsed="false">
      <c r="A203" s="9" t="s">
        <v>167</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9" t="s">
        <v>22</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9" t="s">
        <v>138</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9" t="s">
        <v>105</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9" t="s">
        <v>68</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A209" s="9" t="s">
        <v>69</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9" t="s">
        <v>168</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9" t="s">
        <v>71</v>
      </c>
      <c r="B211" s="0" t="s">
        <v>17</v>
      </c>
      <c r="C211" s="0" t="s">
        <v>26</v>
      </c>
      <c r="D211" s="0" t="s">
        <v>27</v>
      </c>
      <c r="E211" s="10" t="s">
        <v>71</v>
      </c>
      <c r="F211" s="11" t="str">
        <f aca="false">IF(OR(E211="",E211="!!!"),"",IF(NOT(ISNA(VLOOKUP(E211,E$1:E210,1,FALSE()))),"OLD",IF(AND(E211&lt;&gt;"",E211&lt;&gt;"!!!"),"NEW","")))</f>
        <v>OLD</v>
      </c>
      <c r="G211" s="12" t="s">
        <v>72</v>
      </c>
      <c r="H211" s="13" t="str">
        <f aca="false">IF(J211&lt;&gt;1,"",IF(I211="SBJ","CB","?"))</f>
        <v/>
      </c>
      <c r="I211" s="14" t="str">
        <f aca="false">IF(OR(E211="",E211="!!!",F211="NEW"),"",INDEX(B$2:B210,-1+SUMPRODUCT(MAX(ROW(E$2:E210)*(E211=E$2:E210)))))</f>
        <v>SBJ</v>
      </c>
      <c r="J211" s="15" t="n">
        <f aca="true">IF(OR(E211="",E211="!!!",F211="NEW"),"",COUNTBLANK(OFFSET(A$1,,,SUMPRODUCT(MAX(ROW(E$2:E211)*(E211=E$2:E211)))))-COUNTBLANK(OFFSET(A$1,,,SUMPRODUCT(MAX(ROW(E$1:E210)*(E211=E$1:E210))))))</f>
        <v>9</v>
      </c>
      <c r="K211" s="15" t="str">
        <f aca="false">IF(OR(E211="",E211="!!!",F211="NEW"),"",INDEX(J$1:J210,SUMPRODUCT(MAX(ROW(E$1:E210)*(E211=E$1:E210)))))</f>
        <v/>
      </c>
      <c r="L211" s="16"/>
    </row>
    <row r="212" customFormat="false" ht="12.75" hidden="false" customHeight="false" outlineLevel="0" collapsed="false">
      <c r="A212" s="9" t="s">
        <v>169</v>
      </c>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75" hidden="false" customHeight="false" outlineLevel="0" collapsed="false">
      <c r="A213" s="9" t="s">
        <v>170</v>
      </c>
      <c r="B213" s="0" t="s">
        <v>38</v>
      </c>
      <c r="C213" s="0" t="s">
        <v>58</v>
      </c>
      <c r="D213" s="0" t="s">
        <v>27</v>
      </c>
      <c r="E213" s="10" t="s">
        <v>24</v>
      </c>
      <c r="F213" s="11" t="str">
        <f aca="false">IF(OR(E213="",E213="!!!"),"",IF(NOT(ISNA(VLOOKUP(E213,E$1:E212,1,FALSE()))),"OLD",IF(AND(E213&lt;&gt;"",E213&lt;&gt;"!!!"),"NEW","")))</f>
        <v>OLD</v>
      </c>
      <c r="G213" s="12" t="s">
        <v>49</v>
      </c>
      <c r="H213" s="13" t="s">
        <v>7</v>
      </c>
      <c r="I213" s="14" t="str">
        <f aca="false">IF(OR(E213="",E213="!!!",F213="NEW"),"",INDEX(B$2:B212,-1+SUMPRODUCT(MAX(ROW(E$2:E212)*(E213=E$2:E212)))))</f>
        <v>SBJ_3</v>
      </c>
      <c r="J213" s="15" t="n">
        <f aca="true">IF(OR(E213="",E213="!!!",F213="NEW"),"",COUNTBLANK(OFFSET(A$1,,,SUMPRODUCT(MAX(ROW(E$2:E213)*(E213=E$2:E213)))))-COUNTBLANK(OFFSET(A$1,,,SUMPRODUCT(MAX(ROW(E$1:E212)*(E213=E$1:E212))))))</f>
        <v>1</v>
      </c>
      <c r="K213" s="15" t="n">
        <f aca="false">IF(OR(E213="",E213="!!!",F213="NEW"),"",INDEX(J$1:J212,SUMPRODUCT(MAX(ROW(E$1:E212)*(E213=E$1:E212)))))</f>
        <v>9</v>
      </c>
      <c r="L213" s="16"/>
    </row>
    <row r="214" customFormat="false" ht="12.75" hidden="false" customHeight="false" outlineLevel="0" collapsed="false">
      <c r="A214" s="9" t="s">
        <v>22</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9" t="s">
        <v>74</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9" t="s">
        <v>171</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75" hidden="false" customHeight="false" outlineLevel="0" collapsed="false">
      <c r="A217" s="9" t="s">
        <v>172</v>
      </c>
      <c r="B217" s="0" t="s">
        <v>43</v>
      </c>
      <c r="C217" s="0" t="s">
        <v>58</v>
      </c>
      <c r="D217" s="0" t="s">
        <v>27</v>
      </c>
      <c r="E217" s="10" t="s">
        <v>71</v>
      </c>
      <c r="F217" s="11" t="str">
        <f aca="false">IF(OR(E217="",E217="!!!"),"",IF(NOT(ISNA(VLOOKUP(E217,E$1:E216,1,FALSE()))),"OLD",IF(AND(E217&lt;&gt;"",E217&lt;&gt;"!!!"),"NEW","")))</f>
        <v>OLD</v>
      </c>
      <c r="G217" s="12" t="s">
        <v>51</v>
      </c>
      <c r="H217" s="13" t="str">
        <f aca="false">IF(J217&lt;&gt;1,"",IF(I217="SBJ","CB","?"))</f>
        <v/>
      </c>
      <c r="I217" s="14" t="str">
        <f aca="false">IF(OR(E217="",E217="!!!",F217="NEW"),"",INDEX(B$2:B216,-1+SUMPRODUCT(MAX(ROW(E$2:E216)*(E217=E$2:E216)))))</f>
        <v>SBJ</v>
      </c>
      <c r="J217" s="15" t="n">
        <f aca="true">IF(OR(E217="",E217="!!!",F217="NEW"),"",COUNTBLANK(OFFSET(A$1,,,SUMPRODUCT(MAX(ROW(E$2:E217)*(E217=E$2:E217)))))-COUNTBLANK(OFFSET(A$1,,,SUMPRODUCT(MAX(ROW(E$1:E216)*(E217=E$1:E216))))))</f>
        <v>0</v>
      </c>
      <c r="K217" s="15" t="n">
        <f aca="false">IF(OR(E217="",E217="!!!",F217="NEW"),"",INDEX(J$1:J216,SUMPRODUCT(MAX(ROW(E$1:E216)*(E217=E$1:E216)))))</f>
        <v>9</v>
      </c>
      <c r="L217" s="16"/>
    </row>
    <row r="218" customFormat="false" ht="12.75" hidden="false" customHeight="false" outlineLevel="0" collapsed="false">
      <c r="A218" s="9" t="s">
        <v>173</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75" hidden="false" customHeight="false" outlineLevel="0" collapsed="false">
      <c r="A219" s="9" t="s">
        <v>96</v>
      </c>
      <c r="B219" s="0" t="s">
        <v>114</v>
      </c>
      <c r="C219" s="0" t="s">
        <v>58</v>
      </c>
      <c r="D219" s="0" t="s">
        <v>27</v>
      </c>
      <c r="E219" s="10" t="s">
        <v>24</v>
      </c>
      <c r="F219" s="11" t="str">
        <f aca="false">IF(OR(E219="",E219="!!!"),"",IF(NOT(ISNA(VLOOKUP(E219,E$1:E218,1,FALSE()))),"OLD",IF(AND(E219&lt;&gt;"",E219&lt;&gt;"!!!"),"NEW","")))</f>
        <v>OLD</v>
      </c>
      <c r="G219" s="12" t="s">
        <v>51</v>
      </c>
      <c r="H219" s="13" t="str">
        <f aca="false">IF(J219&lt;&gt;1,"",IF(I219="SBJ","CB","?"))</f>
        <v/>
      </c>
      <c r="I219" s="14" t="str">
        <f aca="false">IF(OR(E219="",E219="!!!",F219="NEW"),"",INDEX(B$2:B218,-1+SUMPRODUCT(MAX(ROW(E$2:E218)*(E219=E$2:E218)))))</f>
        <v>OBJ</v>
      </c>
      <c r="J219" s="15" t="n">
        <f aca="true">IF(OR(E219="",E219="!!!",F219="NEW"),"",COUNTBLANK(OFFSET(A$1,,,SUMPRODUCT(MAX(ROW(E$2:E219)*(E219=E$2:E219)))))-COUNTBLANK(OFFSET(A$1,,,SUMPRODUCT(MAX(ROW(E$1:E218)*(E219=E$1:E218))))))</f>
        <v>0</v>
      </c>
      <c r="K219" s="15" t="n">
        <f aca="false">IF(OR(E219="",E219="!!!",F219="NEW"),"",INDEX(J$1:J218,SUMPRODUCT(MAX(ROW(E$1:E218)*(E219=E$1:E218)))))</f>
        <v>1</v>
      </c>
      <c r="L219" s="16"/>
    </row>
    <row r="220" customFormat="false" ht="12.75" hidden="false" customHeight="false" outlineLevel="0" collapsed="false">
      <c r="A220" s="9" t="s">
        <v>36</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9" t="s">
        <v>45</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75" hidden="false" customHeight="false" outlineLevel="0" collapsed="false">
      <c r="A222" s="9" t="s">
        <v>91</v>
      </c>
      <c r="B222" s="0" t="s">
        <v>90</v>
      </c>
      <c r="C222" s="0" t="s">
        <v>47</v>
      </c>
      <c r="D222" s="0" t="s">
        <v>27</v>
      </c>
      <c r="E222" s="10" t="s">
        <v>92</v>
      </c>
      <c r="F222" s="11" t="str">
        <f aca="false">IF(OR(E222="",E222="!!!"),"",IF(NOT(ISNA(VLOOKUP(E222,E$1:E221,1,FALSE()))),"OLD",IF(AND(E222&lt;&gt;"",E222&lt;&gt;"!!!"),"NEW","")))</f>
        <v>OLD</v>
      </c>
      <c r="G222" s="12" t="s">
        <v>72</v>
      </c>
      <c r="H222" s="13" t="str">
        <f aca="false">IF(J222&lt;&gt;1,"",IF(I222="SBJ","CB","?"))</f>
        <v/>
      </c>
      <c r="I222" s="14" t="str">
        <f aca="false">IF(OR(E222="",E222="!!!",F222="NEW"),"",INDEX(B$2:B221,-1+SUMPRODUCT(MAX(ROW(E$2:E221)*(E222=E$2:E221)))))</f>
        <v>SBJ_2</v>
      </c>
      <c r="J222" s="15" t="n">
        <f aca="true">IF(OR(E222="",E222="!!!",F222="NEW"),"",COUNTBLANK(OFFSET(A$1,,,SUMPRODUCT(MAX(ROW(E$2:E222)*(E222=E$2:E222)))))-COUNTBLANK(OFFSET(A$1,,,SUMPRODUCT(MAX(ROW(E$1:E221)*(E222=E$1:E221))))))</f>
        <v>7</v>
      </c>
      <c r="K222" s="15" t="n">
        <f aca="false">IF(OR(E222="",E222="!!!",F222="NEW"),"",INDEX(J$1:J221,SUMPRODUCT(MAX(ROW(E$1:E221)*(E222=E$1:E221)))))</f>
        <v>1</v>
      </c>
      <c r="L222" s="16"/>
    </row>
    <row r="223" customFormat="false" ht="12.75" hidden="false" customHeight="false" outlineLevel="0" collapsed="false">
      <c r="A223" s="9" t="s">
        <v>174</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9" t="s">
        <v>175</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A225" s="9" t="s">
        <v>176</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9" t="s">
        <v>68</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A227" s="9" t="s">
        <v>74</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75" hidden="false" customHeight="false" outlineLevel="0" collapsed="false">
      <c r="A229" s="9" t="s">
        <v>69</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9" t="s">
        <v>177</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9" t="s">
        <v>178</v>
      </c>
      <c r="B231" s="0" t="s">
        <v>17</v>
      </c>
      <c r="C231" s="0" t="s">
        <v>58</v>
      </c>
      <c r="D231" s="0" t="s">
        <v>27</v>
      </c>
      <c r="E231" s="10" t="s">
        <v>24</v>
      </c>
      <c r="F231" s="11" t="str">
        <f aca="false">IF(OR(E231="",E231="!!!"),"",IF(NOT(ISNA(VLOOKUP(E231,E$1:E230,1,FALSE()))),"OLD",IF(AND(E231&lt;&gt;"",E231&lt;&gt;"!!!"),"NEW","")))</f>
        <v>OLD</v>
      </c>
      <c r="G231" s="12" t="s">
        <v>49</v>
      </c>
      <c r="H231" s="13" t="s">
        <v>7</v>
      </c>
      <c r="I231" s="14" t="str">
        <f aca="false">IF(OR(E231="",E231="!!!",F231="NEW"),"",INDEX(B$2:B230,-1+SUMPRODUCT(MAX(ROW(E$2:E230)*(E231=E$2:E230)))))</f>
        <v>SBJ_3</v>
      </c>
      <c r="J231" s="15" t="n">
        <f aca="true">IF(OR(E231="",E231="!!!",F231="NEW"),"",COUNTBLANK(OFFSET(A$1,,,SUMPRODUCT(MAX(ROW(E$2:E231)*(E231=E$2:E231)))))-COUNTBLANK(OFFSET(A$1,,,SUMPRODUCT(MAX(ROW(E$1:E230)*(E231=E$1:E230))))))</f>
        <v>1</v>
      </c>
      <c r="K231" s="15" t="n">
        <f aca="false">IF(OR(E231="",E231="!!!",F231="NEW"),"",INDEX(J$1:J230,SUMPRODUCT(MAX(ROW(E$1:E230)*(E231=E$1:E230)))))</f>
        <v>0</v>
      </c>
      <c r="L231" s="16"/>
    </row>
    <row r="232" customFormat="false" ht="12.75" hidden="false" customHeight="false" outlineLevel="0" collapsed="false">
      <c r="A232" s="9" t="s">
        <v>73</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9" t="s">
        <v>22</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A234" s="9" t="s">
        <v>74</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9" t="s">
        <v>179</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9" t="s">
        <v>22</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75" hidden="false" customHeight="false" outlineLevel="0" collapsed="false">
      <c r="A237" s="9" t="s">
        <v>174</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75" hidden="false" customHeight="false" outlineLevel="0" collapsed="false">
      <c r="A238" s="9" t="s">
        <v>175</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75" hidden="false" customHeight="false" outlineLevel="0" collapsed="false">
      <c r="A239" s="9" t="s">
        <v>176</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9" t="s">
        <v>68</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75" hidden="false" customHeight="false" outlineLevel="0" collapsed="false">
      <c r="A241" s="9" t="s">
        <v>74</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9" t="s">
        <v>69</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75" hidden="false" customHeight="false" outlineLevel="0" collapsed="false">
      <c r="A244" s="9" t="s">
        <v>180</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9" t="s">
        <v>13</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75" hidden="false" customHeight="false" outlineLevel="0" collapsed="false">
      <c r="A246" s="9" t="s">
        <v>71</v>
      </c>
      <c r="B246" s="0" t="s">
        <v>17</v>
      </c>
      <c r="C246" s="0" t="s">
        <v>26</v>
      </c>
      <c r="D246" s="0" t="s">
        <v>27</v>
      </c>
      <c r="E246" s="10" t="s">
        <v>71</v>
      </c>
      <c r="F246" s="11" t="str">
        <f aca="false">IF(OR(E246="",E246="!!!"),"",IF(NOT(ISNA(VLOOKUP(E246,E$1:E245,1,FALSE()))),"OLD",IF(AND(E246&lt;&gt;"",E246&lt;&gt;"!!!"),"NEW","")))</f>
        <v>OLD</v>
      </c>
      <c r="G246" s="12" t="s">
        <v>49</v>
      </c>
      <c r="H246" s="13" t="str">
        <f aca="false">IF(J246&lt;&gt;1,"",IF(I246="SBJ","CB","?"))</f>
        <v/>
      </c>
      <c r="I246" s="14" t="str">
        <f aca="false">IF(OR(E246="",E246="!!!",F246="NEW"),"",INDEX(B$2:B245,-1+SUMPRODUCT(MAX(ROW(E$2:E245)*(E246=E$2:E245)))))</f>
        <v>OBJ_2</v>
      </c>
      <c r="J246" s="15" t="n">
        <f aca="true">IF(OR(E246="",E246="!!!",F246="NEW"),"",COUNTBLANK(OFFSET(A$1,,,SUMPRODUCT(MAX(ROW(E$2:E246)*(E246=E$2:E246)))))-COUNTBLANK(OFFSET(A$1,,,SUMPRODUCT(MAX(ROW(E$1:E245)*(E246=E$1:E245))))))</f>
        <v>2</v>
      </c>
      <c r="K246" s="15" t="n">
        <f aca="false">IF(OR(E246="",E246="!!!",F246="NEW"),"",INDEX(J$1:J245,SUMPRODUCT(MAX(ROW(E$1:E245)*(E246=E$1:E245)))))</f>
        <v>0</v>
      </c>
      <c r="L246" s="16"/>
    </row>
    <row r="247" customFormat="false" ht="12.75" hidden="false" customHeight="false" outlineLevel="0" collapsed="false">
      <c r="A247" s="9" t="s">
        <v>181</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9" t="s">
        <v>170</v>
      </c>
      <c r="B248" s="0" t="s">
        <v>38</v>
      </c>
      <c r="C248" s="0" t="s">
        <v>58</v>
      </c>
      <c r="D248" s="0" t="s">
        <v>27</v>
      </c>
      <c r="E248" s="10" t="s">
        <v>24</v>
      </c>
      <c r="F248" s="11" t="str">
        <f aca="false">IF(OR(E248="",E248="!!!"),"",IF(NOT(ISNA(VLOOKUP(E248,E$1:E247,1,FALSE()))),"OLD",IF(AND(E248&lt;&gt;"",E248&lt;&gt;"!!!"),"NEW","")))</f>
        <v>OLD</v>
      </c>
      <c r="G248" s="12" t="s">
        <v>51</v>
      </c>
      <c r="H248" s="13" t="str">
        <f aca="false">IF(J248&lt;&gt;1,"",IF(I248="SBJ","CB","?"))</f>
        <v>CB</v>
      </c>
      <c r="I248" s="14" t="str">
        <f aca="false">IF(OR(E248="",E248="!!!",F248="NEW"),"",INDEX(B$2:B247,-1+SUMPRODUCT(MAX(ROW(E$2:E247)*(E248=E$2:E247)))))</f>
        <v>SBJ</v>
      </c>
      <c r="J248" s="15" t="n">
        <f aca="true">IF(OR(E248="",E248="!!!",F248="NEW"),"",COUNTBLANK(OFFSET(A$1,,,SUMPRODUCT(MAX(ROW(E$2:E248)*(E248=E$2:E248)))))-COUNTBLANK(OFFSET(A$1,,,SUMPRODUCT(MAX(ROW(E$1:E247)*(E248=E$1:E247))))))</f>
        <v>1</v>
      </c>
      <c r="K248" s="15" t="n">
        <f aca="false">IF(OR(E248="",E248="!!!",F248="NEW"),"",INDEX(J$1:J247,SUMPRODUCT(MAX(ROW(E$1:E247)*(E248=E$1:E247)))))</f>
        <v>1</v>
      </c>
      <c r="L248" s="16"/>
    </row>
    <row r="249" customFormat="false" ht="12.75" hidden="false" customHeight="false" outlineLevel="0" collapsed="false">
      <c r="A249" s="9" t="s">
        <v>22</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75" hidden="false" customHeight="false" outlineLevel="0" collapsed="false">
      <c r="A250" s="9" t="s">
        <v>74</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9" t="s">
        <v>109</v>
      </c>
      <c r="B251" s="0" t="s">
        <v>75</v>
      </c>
      <c r="C251" s="0" t="s">
        <v>110</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75" hidden="false" customHeight="false" outlineLevel="0" collapsed="false">
      <c r="A252" s="9" t="s">
        <v>111</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75" hidden="false" customHeight="false" outlineLevel="0" collapsed="false">
      <c r="A253" s="9" t="s">
        <v>56</v>
      </c>
      <c r="B253" s="0" t="s">
        <v>79</v>
      </c>
      <c r="C253" s="0" t="s">
        <v>58</v>
      </c>
      <c r="D253" s="0" t="s">
        <v>27</v>
      </c>
      <c r="E253" s="10"/>
      <c r="F253" s="11" t="s">
        <v>112</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75" hidden="false" customHeight="false" outlineLevel="0" collapsed="false">
      <c r="A254" s="9" t="s">
        <v>113</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9" t="s">
        <v>96</v>
      </c>
      <c r="B255" s="0" t="s">
        <v>165</v>
      </c>
      <c r="C255" s="0" t="s">
        <v>58</v>
      </c>
      <c r="D255" s="0" t="s">
        <v>27</v>
      </c>
      <c r="E255" s="10" t="s">
        <v>24</v>
      </c>
      <c r="F255" s="11" t="str">
        <f aca="false">IF(OR(E255="",E255="!!!"),"",IF(NOT(ISNA(VLOOKUP(E255,E$1:E254,1,FALSE()))),"OLD",IF(AND(E255&lt;&gt;"",E255&lt;&gt;"!!!"),"NEW","")))</f>
        <v>OLD</v>
      </c>
      <c r="G255" s="12" t="s">
        <v>51</v>
      </c>
      <c r="H255" s="13" t="str">
        <f aca="false">IF(J255&lt;&gt;1,"",IF(I255="SBJ","CB","?"))</f>
        <v/>
      </c>
      <c r="I255" s="14" t="str">
        <f aca="false">IF(OR(E255="",E255="!!!",F255="NEW"),"",INDEX(B$2:B254,-1+SUMPRODUCT(MAX(ROW(E$2:E254)*(E255=E$2:E254)))))</f>
        <v>OBJ</v>
      </c>
      <c r="J255" s="15" t="n">
        <f aca="true">IF(OR(E255="",E255="!!!",F255="NEW"),"",COUNTBLANK(OFFSET(A$1,,,SUMPRODUCT(MAX(ROW(E$2:E255)*(E255=E$2:E255)))))-COUNTBLANK(OFFSET(A$1,,,SUMPRODUCT(MAX(ROW(E$1:E254)*(E255=E$1:E254))))))</f>
        <v>0</v>
      </c>
      <c r="K255" s="15" t="n">
        <f aca="false">IF(OR(E255="",E255="!!!",F255="NEW"),"",INDEX(J$1:J254,SUMPRODUCT(MAX(ROW(E$1:E254)*(E255=E$1:E254)))))</f>
        <v>1</v>
      </c>
      <c r="L255" s="16"/>
    </row>
    <row r="256" customFormat="false" ht="12.75" hidden="false" customHeight="false" outlineLevel="0" collapsed="false">
      <c r="A256" s="9" t="s">
        <v>115</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9" t="s">
        <v>182</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9" t="s">
        <v>183</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A259" s="9" t="s">
        <v>84</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9" t="s">
        <v>184</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75" hidden="false" customHeight="false" outlineLevel="0" collapsed="false">
      <c r="A261" s="9" t="s">
        <v>45</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75" hidden="false" customHeight="false" outlineLevel="0" collapsed="false">
      <c r="A262" s="9" t="s">
        <v>87</v>
      </c>
      <c r="B262" s="0" t="s">
        <v>185</v>
      </c>
      <c r="C262" s="0" t="s">
        <v>34</v>
      </c>
      <c r="D262" s="0" t="s">
        <v>27</v>
      </c>
      <c r="E262" s="10" t="s">
        <v>88</v>
      </c>
      <c r="F262" s="11" t="str">
        <f aca="false">IF(OR(E262="",E262="!!!"),"",IF(NOT(ISNA(VLOOKUP(E262,E$1:E261,1,FALSE()))),"OLD",IF(AND(E262&lt;&gt;"",E262&lt;&gt;"!!!"),"NEW","")))</f>
        <v>OLD</v>
      </c>
      <c r="G262" s="12" t="s">
        <v>72</v>
      </c>
      <c r="H262" s="13" t="str">
        <f aca="false">IF(J262&lt;&gt;1,"",IF(I262="SBJ","CB","?"))</f>
        <v/>
      </c>
      <c r="I262" s="14" t="str">
        <f aca="false">IF(OR(E262="",E262="!!!",F262="NEW"),"",INDEX(B$2:B261,-1+SUMPRODUCT(MAX(ROW(E$2:E261)*(E262=E$2:E261)))))</f>
        <v>other_4</v>
      </c>
      <c r="J262" s="15" t="n">
        <f aca="true">IF(OR(E262="",E262="!!!",F262="NEW"),"",COUNTBLANK(OFFSET(A$1,,,SUMPRODUCT(MAX(ROW(E$2:E262)*(E262=E$2:E262)))))-COUNTBLANK(OFFSET(A$1,,,SUMPRODUCT(MAX(ROW(E$1:E261)*(E262=E$1:E261))))))</f>
        <v>11</v>
      </c>
      <c r="K262" s="15" t="str">
        <f aca="false">IF(OR(E262="",E262="!!!",F262="NEW"),"",INDEX(J$1:J261,SUMPRODUCT(MAX(ROW(E$1:E261)*(E262=E$1:E261)))))</f>
        <v/>
      </c>
      <c r="L262" s="16"/>
    </row>
    <row r="263" customFormat="false" ht="12.75" hidden="false" customHeight="false" outlineLevel="0" collapsed="false">
      <c r="A263" s="9" t="s">
        <v>44</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9" t="s">
        <v>45</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9" t="s">
        <v>186</v>
      </c>
      <c r="B265" s="0" t="s">
        <v>50</v>
      </c>
      <c r="C265" s="0" t="s">
        <v>26</v>
      </c>
      <c r="D265" s="0" t="s">
        <v>27</v>
      </c>
      <c r="E265" s="10" t="s">
        <v>126</v>
      </c>
      <c r="F265" s="11" t="str">
        <f aca="false">IF(OR(E265="",E265="!!!"),"",IF(NOT(ISNA(VLOOKUP(E265,E$1:E264,1,FALSE()))),"OLD",IF(AND(E265&lt;&gt;"",E265&lt;&gt;"!!!"),"NEW","")))</f>
        <v>OLD</v>
      </c>
      <c r="G265" s="12" t="s">
        <v>72</v>
      </c>
      <c r="H265" s="13" t="str">
        <f aca="false">IF(J265&lt;&gt;1,"",IF(I265="SBJ","CB","?"))</f>
        <v/>
      </c>
      <c r="I265" s="14" t="str">
        <f aca="false">IF(OR(E265="",E265="!!!",F265="NEW"),"",INDEX(B$2:B264,-1+SUMPRODUCT(MAX(ROW(E$2:E264)*(E265=E$2:E264)))))</f>
        <v>other</v>
      </c>
      <c r="J265" s="15" t="n">
        <f aca="true">IF(OR(E265="",E265="!!!",F265="NEW"),"",COUNTBLANK(OFFSET(A$1,,,SUMPRODUCT(MAX(ROW(E$2:E265)*(E265=E$2:E265)))))-COUNTBLANK(OFFSET(A$1,,,SUMPRODUCT(MAX(ROW(E$1:E264)*(E265=E$1:E264))))))</f>
        <v>7</v>
      </c>
      <c r="K265" s="15" t="str">
        <f aca="false">IF(OR(E265="",E265="!!!",F265="NEW"),"",INDEX(J$1:J264,SUMPRODUCT(MAX(ROW(E$1:E264)*(E265=E$1:E264)))))</f>
        <v/>
      </c>
      <c r="L265" s="16"/>
    </row>
    <row r="266" customFormat="false" ht="12.75" hidden="false" customHeight="false" outlineLevel="0" collapsed="false">
      <c r="A266" s="9" t="s">
        <v>93</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9" t="s">
        <v>69</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9" t="s">
        <v>187</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75" hidden="false" customHeight="false" outlineLevel="0" collapsed="false">
      <c r="A270" s="9" t="s">
        <v>188</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9" t="s">
        <v>22</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A272" s="9" t="s">
        <v>45</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75" hidden="false" customHeight="false" outlineLevel="0" collapsed="false">
      <c r="A273" s="9" t="s">
        <v>66</v>
      </c>
      <c r="B273" s="0" t="s">
        <v>17</v>
      </c>
      <c r="C273" s="0" t="s">
        <v>34</v>
      </c>
      <c r="D273" s="0" t="s">
        <v>27</v>
      </c>
      <c r="E273" s="10" t="s">
        <v>67</v>
      </c>
      <c r="F273" s="11" t="str">
        <f aca="false">IF(OR(E273="",E273="!!!"),"",IF(NOT(ISNA(VLOOKUP(E273,E$1:E272,1,FALSE()))),"OLD",IF(AND(E273&lt;&gt;"",E273&lt;&gt;"!!!"),"NEW","")))</f>
        <v>OLD</v>
      </c>
      <c r="G273" s="12" t="s">
        <v>72</v>
      </c>
      <c r="H273" s="13" t="str">
        <f aca="false">IF(J273&lt;&gt;1,"",IF(I273="SBJ","CB","?"))</f>
        <v/>
      </c>
      <c r="I273" s="14" t="str">
        <f aca="false">IF(OR(E273="",E273="!!!",F273="NEW"),"",INDEX(B$2:B272,-1+SUMPRODUCT(MAX(ROW(E$2:E272)*(E273=E$2:E272)))))</f>
        <v>other_2</v>
      </c>
      <c r="J273" s="15" t="n">
        <f aca="true">IF(OR(E273="",E273="!!!",F273="NEW"),"",COUNTBLANK(OFFSET(A$1,,,SUMPRODUCT(MAX(ROW(E$2:E273)*(E273=E$2:E273)))))-COUNTBLANK(OFFSET(A$1,,,SUMPRODUCT(MAX(ROW(E$1:E272)*(E273=E$1:E272))))))</f>
        <v>13</v>
      </c>
      <c r="K273" s="15" t="str">
        <f aca="false">IF(OR(E273="",E273="!!!",F273="NEW"),"",INDEX(J$1:J272,SUMPRODUCT(MAX(ROW(E$1:E272)*(E273=E$1:E272)))))</f>
        <v/>
      </c>
      <c r="L273" s="16"/>
    </row>
    <row r="274" customFormat="false" ht="12.75" hidden="false" customHeight="false" outlineLevel="0" collapsed="false">
      <c r="A274" s="9" t="s">
        <v>44</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A275" s="9" t="s">
        <v>189</v>
      </c>
      <c r="B275" s="0" t="s">
        <v>25</v>
      </c>
      <c r="C275" s="0" t="s">
        <v>190</v>
      </c>
      <c r="D275" s="0" t="s">
        <v>27</v>
      </c>
      <c r="E275" s="10" t="s">
        <v>64</v>
      </c>
      <c r="F275" s="11" t="str">
        <f aca="false">IF(OR(E275="",E275="!!!"),"",IF(NOT(ISNA(VLOOKUP(E275,E$1:E274,1,FALSE()))),"OLD",IF(AND(E275&lt;&gt;"",E275&lt;&gt;"!!!"),"NEW","")))</f>
        <v>OLD</v>
      </c>
      <c r="G275" s="12" t="s">
        <v>72</v>
      </c>
      <c r="H275" s="13" t="str">
        <f aca="false">IF(J275&lt;&gt;1,"",IF(I275="SBJ","CB","?"))</f>
        <v/>
      </c>
      <c r="I275" s="14" t="str">
        <f aca="false">IF(OR(E275="",E275="!!!",F275="NEW"),"",INDEX(B$2:B274,-1+SUMPRODUCT(MAX(ROW(E$2:E274)*(E275=E$2:E274)))))</f>
        <v>SBJ_2</v>
      </c>
      <c r="J275" s="15" t="n">
        <f aca="true">IF(OR(E275="",E275="!!!",F275="NEW"),"",COUNTBLANK(OFFSET(A$1,,,SUMPRODUCT(MAX(ROW(E$2:E275)*(E275=E$2:E275)))))-COUNTBLANK(OFFSET(A$1,,,SUMPRODUCT(MAX(ROW(E$1:E274)*(E275=E$1:E274))))))</f>
        <v>5</v>
      </c>
      <c r="K275" s="15" t="n">
        <f aca="false">IF(OR(E275="",E275="!!!",F275="NEW"),"",INDEX(J$1:J274,SUMPRODUCT(MAX(ROW(E$1:E274)*(E275=E$1:E274)))))</f>
        <v>0</v>
      </c>
      <c r="L275" s="16"/>
    </row>
    <row r="276" customFormat="false" ht="12.75" hidden="false" customHeight="false" outlineLevel="0" collapsed="false">
      <c r="A276" s="9" t="s">
        <v>141</v>
      </c>
      <c r="B276" s="0" t="s">
        <v>165</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9" t="s">
        <v>115</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9" t="s">
        <v>155</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75" hidden="false" customHeight="false" outlineLevel="0" collapsed="false">
      <c r="A279" s="9" t="s">
        <v>81</v>
      </c>
      <c r="B279" s="0" t="s">
        <v>57</v>
      </c>
      <c r="C279" s="0" t="s">
        <v>31</v>
      </c>
      <c r="D279" s="0" t="s">
        <v>27</v>
      </c>
      <c r="E279" s="10" t="s">
        <v>24</v>
      </c>
      <c r="F279" s="11" t="str">
        <f aca="false">IF(OR(E279="",E279="!!!"),"",IF(NOT(ISNA(VLOOKUP(E279,E$1:E278,1,FALSE()))),"OLD",IF(AND(E279&lt;&gt;"",E279&lt;&gt;"!!!"),"NEW","")))</f>
        <v>OLD</v>
      </c>
      <c r="G279" s="12" t="s">
        <v>49</v>
      </c>
      <c r="H279" s="13" t="s">
        <v>7</v>
      </c>
      <c r="I279" s="14" t="str">
        <f aca="false">IF(OR(E279="",E279="!!!",F279="NEW"),"",INDEX(B$2:B278,-1+SUMPRODUCT(MAX(ROW(E$2:E278)*(E279=E$2:E278)))))</f>
        <v>SBJ_4</v>
      </c>
      <c r="J279" s="15" t="n">
        <f aca="true">IF(OR(E279="",E279="!!!",F279="NEW"),"",COUNTBLANK(OFFSET(A$1,,,SUMPRODUCT(MAX(ROW(E$2:E279)*(E279=E$2:E279)))))-COUNTBLANK(OFFSET(A$1,,,SUMPRODUCT(MAX(ROW(E$1:E278)*(E279=E$1:E278))))))</f>
        <v>1</v>
      </c>
      <c r="K279" s="15" t="n">
        <f aca="false">IF(OR(E279="",E279="!!!",F279="NEW"),"",INDEX(J$1:J278,SUMPRODUCT(MAX(ROW(E$1:E278)*(E279=E$1:E278)))))</f>
        <v>0</v>
      </c>
      <c r="L279" s="16"/>
    </row>
    <row r="280" customFormat="false" ht="12.75" hidden="false" customHeight="false" outlineLevel="0" collapsed="false">
      <c r="A280" s="9" t="s">
        <v>191</v>
      </c>
      <c r="B280" s="0" t="s">
        <v>192</v>
      </c>
      <c r="C280" s="0" t="s">
        <v>34</v>
      </c>
      <c r="D280" s="0" t="s">
        <v>27</v>
      </c>
      <c r="E280" s="10" t="s">
        <v>20</v>
      </c>
      <c r="F280" s="11" t="str">
        <f aca="false">IF(OR(E280="",E280="!!!"),"",IF(NOT(ISNA(VLOOKUP(E280,E$1:E279,1,FALSE()))),"OLD",IF(AND(E280&lt;&gt;"",E280&lt;&gt;"!!!"),"NEW","")))</f>
        <v>OLD</v>
      </c>
      <c r="G280" s="12" t="s">
        <v>72</v>
      </c>
      <c r="H280" s="13" t="str">
        <f aca="false">IF(J280&lt;&gt;1,"",IF(I280="SBJ","CB","?"))</f>
        <v/>
      </c>
      <c r="I280" s="14" t="str">
        <f aca="false">IF(OR(E280="",E280="!!!",F280="NEW"),"",INDEX(B$2:B279,-1+SUMPRODUCT(MAX(ROW(E$2:E279)*(E280=E$2:E279)))))</f>
        <v>other_4</v>
      </c>
      <c r="J280" s="15" t="n">
        <f aca="true">IF(OR(E280="",E280="!!!",F280="NEW"),"",COUNTBLANK(OFFSET(A$1,,,SUMPRODUCT(MAX(ROW(E$2:E280)*(E280=E$2:E280)))))-COUNTBLANK(OFFSET(A$1,,,SUMPRODUCT(MAX(ROW(E$1:E279)*(E280=E$1:E279))))))</f>
        <v>4</v>
      </c>
      <c r="K280" s="15" t="n">
        <f aca="false">IF(OR(E280="",E280="!!!",F280="NEW"),"",INDEX(J$1:J279,SUMPRODUCT(MAX(ROW(E$1:E279)*(E280=E$1:E279)))))</f>
        <v>1</v>
      </c>
      <c r="L280" s="16"/>
    </row>
    <row r="281" customFormat="false" ht="12.75" hidden="false" customHeight="false" outlineLevel="0" collapsed="false">
      <c r="A281" s="9" t="s">
        <v>193</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75" hidden="false" customHeight="false" outlineLevel="0" collapsed="false">
      <c r="A282" s="9" t="s">
        <v>62</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75" hidden="false" customHeight="false" outlineLevel="0" collapsed="false">
      <c r="A283" s="9" t="s">
        <v>45</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75" hidden="false" customHeight="false" outlineLevel="0" collapsed="false">
      <c r="A284" s="9" t="s">
        <v>194</v>
      </c>
      <c r="B284" s="0" t="s">
        <v>75</v>
      </c>
      <c r="C284" s="0" t="s">
        <v>47</v>
      </c>
      <c r="D284" s="0" t="s">
        <v>27</v>
      </c>
      <c r="E284" s="10" t="s">
        <v>195</v>
      </c>
      <c r="F284" s="11" t="str">
        <f aca="false">IF(OR(E284="",E284="!!!"),"",IF(NOT(ISNA(VLOOKUP(E284,E$1:E283,1,FALSE()))),"OLD",IF(AND(E284&lt;&gt;"",E284&lt;&gt;"!!!"),"NEW","")))</f>
        <v>NEW</v>
      </c>
      <c r="G284" s="12" t="s">
        <v>28</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75" hidden="false" customHeight="false" outlineLevel="0" collapsed="false">
      <c r="A285" s="9" t="s">
        <v>22</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75" hidden="false" customHeight="false" outlineLevel="0" collapsed="false">
      <c r="A286" s="9" t="s">
        <v>39</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75" hidden="false" customHeight="false" outlineLevel="0" collapsed="false">
      <c r="A287" s="9" t="s">
        <v>152</v>
      </c>
      <c r="B287" s="0" t="s">
        <v>79</v>
      </c>
      <c r="C287" s="0" t="s">
        <v>58</v>
      </c>
      <c r="D287" s="0" t="s">
        <v>27</v>
      </c>
      <c r="E287" s="10" t="s">
        <v>64</v>
      </c>
      <c r="F287" s="11" t="str">
        <f aca="false">IF(OR(E287="",E287="!!!"),"",IF(NOT(ISNA(VLOOKUP(E287,E$1:E286,1,FALSE()))),"OLD",IF(AND(E287&lt;&gt;"",E287&lt;&gt;"!!!"),"NEW","")))</f>
        <v>OLD</v>
      </c>
      <c r="G287" s="12" t="s">
        <v>51</v>
      </c>
      <c r="H287" s="13" t="str">
        <f aca="false">IF(J287&lt;&gt;1,"",IF(I287="SBJ","CB","?"))</f>
        <v/>
      </c>
      <c r="I287" s="14" t="str">
        <f aca="false">IF(OR(E287="",E287="!!!",F287="NEW"),"",INDEX(B$2:B286,-1+SUMPRODUCT(MAX(ROW(E$2:E286)*(E287=E$2:E286)))))</f>
        <v>other_2</v>
      </c>
      <c r="J287" s="15" t="n">
        <f aca="true">IF(OR(E287="",E287="!!!",F287="NEW"),"",COUNTBLANK(OFFSET(A$1,,,SUMPRODUCT(MAX(ROW(E$2:E287)*(E287=E$2:E287)))))-COUNTBLANK(OFFSET(A$1,,,SUMPRODUCT(MAX(ROW(E$1:E286)*(E287=E$1:E286))))))</f>
        <v>0</v>
      </c>
      <c r="K287" s="15" t="n">
        <f aca="false">IF(OR(E287="",E287="!!!",F287="NEW"),"",INDEX(J$1:J286,SUMPRODUCT(MAX(ROW(E$1:E286)*(E287=E$1:E286)))))</f>
        <v>5</v>
      </c>
      <c r="L287" s="16"/>
    </row>
    <row r="288" customFormat="false" ht="12.75" hidden="false" customHeight="false" outlineLevel="0" collapsed="false">
      <c r="A288" s="9" t="s">
        <v>196</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75" hidden="false" customHeight="false" outlineLevel="0" collapsed="false">
      <c r="A289" s="9" t="s">
        <v>197</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9" t="s">
        <v>96</v>
      </c>
      <c r="B290" s="0" t="s">
        <v>43</v>
      </c>
      <c r="C290" s="0" t="s">
        <v>58</v>
      </c>
      <c r="D290" s="0" t="s">
        <v>27</v>
      </c>
      <c r="E290" s="10" t="s">
        <v>24</v>
      </c>
      <c r="F290" s="11" t="str">
        <f aca="false">IF(OR(E290="",E290="!!!"),"",IF(NOT(ISNA(VLOOKUP(E290,E$1:E289,1,FALSE()))),"OLD",IF(AND(E290&lt;&gt;"",E290&lt;&gt;"!!!"),"NEW","")))</f>
        <v>OLD</v>
      </c>
      <c r="G290" s="12" t="s">
        <v>51</v>
      </c>
      <c r="H290" s="13" t="str">
        <f aca="false">IF(J290&lt;&gt;1,"",IF(I290="SBJ","CB","?"))</f>
        <v/>
      </c>
      <c r="I290" s="14" t="str">
        <f aca="false">IF(OR(E290="",E290="!!!",F290="NEW"),"",INDEX(B$2:B289,-1+SUMPRODUCT(MAX(ROW(E$2:E289)*(E290=E$2:E289)))))</f>
        <v>other_5</v>
      </c>
      <c r="J290" s="15" t="n">
        <f aca="true">IF(OR(E290="",E290="!!!",F290="NEW"),"",COUNTBLANK(OFFSET(A$1,,,SUMPRODUCT(MAX(ROW(E$2:E290)*(E290=E$2:E290)))))-COUNTBLANK(OFFSET(A$1,,,SUMPRODUCT(MAX(ROW(E$1:E289)*(E290=E$1:E289))))))</f>
        <v>0</v>
      </c>
      <c r="K290" s="15" t="n">
        <f aca="false">IF(OR(E290="",E290="!!!",F290="NEW"),"",INDEX(J$1:J289,SUMPRODUCT(MAX(ROW(E$1:E289)*(E290=E$1:E289)))))</f>
        <v>1</v>
      </c>
      <c r="L290" s="16"/>
    </row>
    <row r="291" customFormat="false" ht="12.75" hidden="false" customHeight="false" outlineLevel="0" collapsed="false">
      <c r="A291" s="9" t="s">
        <v>154</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9" t="s">
        <v>68</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75" hidden="false" customHeight="false" outlineLevel="0" collapsed="false">
      <c r="A293" s="9" t="s">
        <v>74</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75" hidden="false" customHeight="false" outlineLevel="0" collapsed="false">
      <c r="A295" s="9" t="s">
        <v>198</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75" hidden="false" customHeight="false" outlineLevel="0" collapsed="false">
      <c r="A296" s="9" t="s">
        <v>178</v>
      </c>
      <c r="B296" s="0" t="s">
        <v>17</v>
      </c>
      <c r="C296" s="0" t="s">
        <v>58</v>
      </c>
      <c r="D296" s="0" t="s">
        <v>27</v>
      </c>
      <c r="E296" s="10" t="s">
        <v>24</v>
      </c>
      <c r="F296" s="11" t="str">
        <f aca="false">IF(OR(E296="",E296="!!!"),"",IF(NOT(ISNA(VLOOKUP(E296,E$1:E295,1,FALSE()))),"OLD",IF(AND(E296&lt;&gt;"",E296&lt;&gt;"!!!"),"NEW","")))</f>
        <v>OLD</v>
      </c>
      <c r="G296" s="12" t="s">
        <v>49</v>
      </c>
      <c r="H296" s="13" t="s">
        <v>7</v>
      </c>
      <c r="I296" s="14" t="str">
        <f aca="false">IF(OR(E296="",E296="!!!",F296="NEW"),"",INDEX(B$2:B295,-1+SUMPRODUCT(MAX(ROW(E$2:E295)*(E296=E$2:E295)))))</f>
        <v>OBJ_2</v>
      </c>
      <c r="J296" s="15" t="n">
        <f aca="true">IF(OR(E296="",E296="!!!",F296="NEW"),"",COUNTBLANK(OFFSET(A$1,,,SUMPRODUCT(MAX(ROW(E$2:E296)*(E296=E$2:E296)))))-COUNTBLANK(OFFSET(A$1,,,SUMPRODUCT(MAX(ROW(E$1:E295)*(E296=E$1:E295))))))</f>
        <v>1</v>
      </c>
      <c r="K296" s="15" t="n">
        <f aca="false">IF(OR(E296="",E296="!!!",F296="NEW"),"",INDEX(J$1:J295,SUMPRODUCT(MAX(ROW(E$1:E295)*(E296=E$1:E295)))))</f>
        <v>0</v>
      </c>
      <c r="L296" s="16"/>
    </row>
    <row r="297" customFormat="false" ht="12.75" hidden="false" customHeight="false" outlineLevel="0" collapsed="false">
      <c r="A297" s="9" t="s">
        <v>132</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75" hidden="false" customHeight="false" outlineLevel="0" collapsed="false">
      <c r="A298" s="9" t="s">
        <v>133</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A299" s="9" t="s">
        <v>199</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A300" s="9" t="s">
        <v>62</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9" t="s">
        <v>29</v>
      </c>
      <c r="B301" s="0" t="s">
        <v>25</v>
      </c>
      <c r="C301" s="0" t="s">
        <v>31</v>
      </c>
      <c r="D301" s="0" t="s">
        <v>27</v>
      </c>
      <c r="E301" s="10" t="s">
        <v>71</v>
      </c>
      <c r="F301" s="11" t="str">
        <f aca="false">IF(OR(E301="",E301="!!!"),"",IF(NOT(ISNA(VLOOKUP(E301,E$1:E300,1,FALSE()))),"OLD",IF(AND(E301&lt;&gt;"",E301&lt;&gt;"!!!"),"NEW","")))</f>
        <v>OLD</v>
      </c>
      <c r="G301" s="12" t="s">
        <v>49</v>
      </c>
      <c r="H301" s="13" t="str">
        <f aca="false">IF(J301&lt;&gt;1,"",IF(I301="SBJ","CB","?"))</f>
        <v/>
      </c>
      <c r="I301" s="14" t="str">
        <f aca="false">IF(OR(E301="",E301="!!!",F301="NEW"),"",INDEX(B$2:B300,-1+SUMPRODUCT(MAX(ROW(E$2:E300)*(E301=E$2:E300)))))</f>
        <v>SBJ</v>
      </c>
      <c r="J301" s="15" t="n">
        <f aca="true">IF(OR(E301="",E301="!!!",F301="NEW"),"",COUNTBLANK(OFFSET(A$1,,,SUMPRODUCT(MAX(ROW(E$2:E301)*(E301=E$2:E301)))))-COUNTBLANK(OFFSET(A$1,,,SUMPRODUCT(MAX(ROW(E$1:E300)*(E301=E$1:E300))))))</f>
        <v>2</v>
      </c>
      <c r="K301" s="15" t="n">
        <f aca="false">IF(OR(E301="",E301="!!!",F301="NEW"),"",INDEX(J$1:J300,SUMPRODUCT(MAX(ROW(E$1:E300)*(E301=E$1:E300)))))</f>
        <v>2</v>
      </c>
      <c r="L301" s="16"/>
    </row>
    <row r="302" customFormat="false" ht="12.75" hidden="false" customHeight="false" outlineLevel="0" collapsed="false">
      <c r="A302" s="9" t="s">
        <v>66</v>
      </c>
      <c r="B302" s="0" t="s">
        <v>75</v>
      </c>
      <c r="C302" s="0" t="s">
        <v>34</v>
      </c>
      <c r="D302" s="0" t="s">
        <v>27</v>
      </c>
      <c r="E302" s="10" t="s">
        <v>200</v>
      </c>
      <c r="F302" s="11" t="str">
        <f aca="false">IF(OR(E302="",E302="!!!"),"",IF(NOT(ISNA(VLOOKUP(E302,E$1:E301,1,FALSE()))),"OLD",IF(AND(E302&lt;&gt;"",E302&lt;&gt;"!!!"),"NEW","")))</f>
        <v>NEW</v>
      </c>
      <c r="G302" s="12" t="s">
        <v>28</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75" hidden="false" customHeight="false" outlineLevel="0" collapsed="false">
      <c r="A303" s="9" t="s">
        <v>22</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9" t="s">
        <v>39</v>
      </c>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75" hidden="false" customHeight="false" outlineLevel="0" collapsed="false">
      <c r="A305" s="9" t="s">
        <v>134</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75" hidden="false" customHeight="false" outlineLevel="0" collapsed="false">
      <c r="A306" s="9" t="s">
        <v>68</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75" hidden="false" customHeight="false" outlineLevel="0" collapsed="false">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75" hidden="false" customHeight="false" outlineLevel="0" collapsed="false">
      <c r="A308" s="9" t="s">
        <v>201</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75" hidden="false" customHeight="false" outlineLevel="0" collapsed="false">
      <c r="A309" s="9" t="s">
        <v>146</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75" hidden="false" customHeight="false" outlineLevel="0" collapsed="false">
      <c r="A310" s="9" t="s">
        <v>147</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75" hidden="false" customHeight="false" outlineLevel="0" collapsed="false">
      <c r="A311" s="9" t="s">
        <v>124</v>
      </c>
      <c r="B311" s="0" t="s">
        <v>17</v>
      </c>
      <c r="C311" s="0" t="s">
        <v>47</v>
      </c>
      <c r="D311" s="0" t="s">
        <v>27</v>
      </c>
      <c r="E311" s="10" t="s">
        <v>64</v>
      </c>
      <c r="F311" s="11" t="str">
        <f aca="false">IF(OR(E311="",E311="!!!"),"",IF(NOT(ISNA(VLOOKUP(E311,E$1:E310,1,FALSE()))),"OLD",IF(AND(E311&lt;&gt;"",E311&lt;&gt;"!!!"),"NEW","")))</f>
        <v>OLD</v>
      </c>
      <c r="G311" s="12" t="s">
        <v>49</v>
      </c>
      <c r="H311" s="13" t="str">
        <f aca="false">IF(J311&lt;&gt;1,"",IF(I311="SBJ","CB","?"))</f>
        <v/>
      </c>
      <c r="I311" s="14" t="str">
        <f aca="false">IF(OR(E311="",E311="!!!",F311="NEW"),"",INDEX(B$2:B310,-1+SUMPRODUCT(MAX(ROW(E$2:E310)*(E311=E$2:E310)))))</f>
        <v>SBJ_2</v>
      </c>
      <c r="J311" s="15" t="n">
        <f aca="true">IF(OR(E311="",E311="!!!",F311="NEW"),"",COUNTBLANK(OFFSET(A$1,,,SUMPRODUCT(MAX(ROW(E$2:E311)*(E311=E$2:E311)))))-COUNTBLANK(OFFSET(A$1,,,SUMPRODUCT(MAX(ROW(E$1:E310)*(E311=E$1:E310))))))</f>
        <v>2</v>
      </c>
      <c r="K311" s="15" t="n">
        <f aca="false">IF(OR(E311="",E311="!!!",F311="NEW"),"",INDEX(J$1:J310,SUMPRODUCT(MAX(ROW(E$1:E310)*(E311=E$1:E310)))))</f>
        <v>0</v>
      </c>
      <c r="L311" s="16"/>
    </row>
    <row r="312" customFormat="false" ht="12.75" hidden="false" customHeight="false" outlineLevel="0" collapsed="false">
      <c r="A312" s="9" t="s">
        <v>138</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75" hidden="false" customHeight="false" outlineLevel="0" collapsed="false">
      <c r="A313" s="9" t="s">
        <v>105</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75" hidden="false" customHeight="false" outlineLevel="0" collapsed="false">
      <c r="A314" s="9" t="s">
        <v>39</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75" hidden="false" customHeight="false" outlineLevel="0" collapsed="false">
      <c r="A315" s="9" t="s">
        <v>202</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75" hidden="false" customHeight="false" outlineLevel="0" collapsed="false">
      <c r="A316" s="9" t="s">
        <v>170</v>
      </c>
      <c r="B316" s="0" t="s">
        <v>43</v>
      </c>
      <c r="C316" s="0" t="s">
        <v>58</v>
      </c>
      <c r="D316" s="0" t="s">
        <v>27</v>
      </c>
      <c r="E316" s="10" t="s">
        <v>24</v>
      </c>
      <c r="F316" s="11" t="str">
        <f aca="false">IF(OR(E316="",E316="!!!"),"",IF(NOT(ISNA(VLOOKUP(E316,E$1:E315,1,FALSE()))),"OLD",IF(AND(E316&lt;&gt;"",E316&lt;&gt;"!!!"),"NEW","")))</f>
        <v>OLD</v>
      </c>
      <c r="G316" s="12" t="s">
        <v>51</v>
      </c>
      <c r="H316" s="13" t="str">
        <f aca="false">IF(J316&lt;&gt;1,"",IF(I316="SBJ","CB","?"))</f>
        <v>CB</v>
      </c>
      <c r="I316" s="14" t="str">
        <f aca="false">IF(OR(E316="",E316="!!!",F316="NEW"),"",INDEX(B$2:B315,-1+SUMPRODUCT(MAX(ROW(E$2:E315)*(E316=E$2:E315)))))</f>
        <v>SBJ</v>
      </c>
      <c r="J316" s="15" t="n">
        <f aca="true">IF(OR(E316="",E316="!!!",F316="NEW"),"",COUNTBLANK(OFFSET(A$1,,,SUMPRODUCT(MAX(ROW(E$2:E316)*(E316=E$2:E316)))))-COUNTBLANK(OFFSET(A$1,,,SUMPRODUCT(MAX(ROW(E$1:E315)*(E316=E$1:E315))))))</f>
        <v>1</v>
      </c>
      <c r="K316" s="15" t="n">
        <f aca="false">IF(OR(E316="",E316="!!!",F316="NEW"),"",INDEX(J$1:J315,SUMPRODUCT(MAX(ROW(E$1:E315)*(E316=E$1:E315)))))</f>
        <v>1</v>
      </c>
      <c r="L316" s="16"/>
    </row>
    <row r="317" customFormat="false" ht="12.75" hidden="false" customHeight="false" outlineLevel="0" collapsed="false">
      <c r="A317" s="9" t="s">
        <v>203</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A318" s="9" t="s">
        <v>22</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75" hidden="false" customHeight="false" outlineLevel="0" collapsed="false">
      <c r="A319" s="9" t="s">
        <v>39</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75" hidden="false" customHeight="false" outlineLevel="0" collapsed="false">
      <c r="A320" s="9" t="s">
        <v>152</v>
      </c>
      <c r="B320" s="0" t="s">
        <v>79</v>
      </c>
      <c r="C320" s="0" t="s">
        <v>58</v>
      </c>
      <c r="D320" s="0" t="s">
        <v>27</v>
      </c>
      <c r="E320" s="10" t="s">
        <v>64</v>
      </c>
      <c r="F320" s="11" t="str">
        <f aca="false">IF(OR(E320="",E320="!!!"),"",IF(NOT(ISNA(VLOOKUP(E320,E$1:E319,1,FALSE()))),"OLD",IF(AND(E320&lt;&gt;"",E320&lt;&gt;"!!!"),"NEW","")))</f>
        <v>OLD</v>
      </c>
      <c r="G320" s="12" t="s">
        <v>51</v>
      </c>
      <c r="H320" s="13" t="str">
        <f aca="false">IF(J320&lt;&gt;1,"",IF(I320="SBJ","CB","?"))</f>
        <v/>
      </c>
      <c r="I320" s="14" t="str">
        <f aca="false">IF(OR(E320="",E320="!!!",F320="NEW"),"",INDEX(B$2:B319,-1+SUMPRODUCT(MAX(ROW(E$2:E319)*(E320=E$2:E319)))))</f>
        <v>SBJ</v>
      </c>
      <c r="J320" s="15" t="n">
        <f aca="true">IF(OR(E320="",E320="!!!",F320="NEW"),"",COUNTBLANK(OFFSET(A$1,,,SUMPRODUCT(MAX(ROW(E$2:E320)*(E320=E$2:E320)))))-COUNTBLANK(OFFSET(A$1,,,SUMPRODUCT(MAX(ROW(E$1:E319)*(E320=E$1:E319))))))</f>
        <v>0</v>
      </c>
      <c r="K320" s="15" t="n">
        <f aca="false">IF(OR(E320="",E320="!!!",F320="NEW"),"",INDEX(J$1:J319,SUMPRODUCT(MAX(ROW(E$1:E319)*(E320=E$1:E319)))))</f>
        <v>2</v>
      </c>
      <c r="L320" s="16"/>
    </row>
    <row r="321" customFormat="false" ht="12.75" hidden="false" customHeight="false" outlineLevel="0" collapsed="false">
      <c r="A321" s="9" t="s">
        <v>153</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75" hidden="false" customHeight="false" outlineLevel="0" collapsed="false">
      <c r="A322" s="9" t="s">
        <v>170</v>
      </c>
      <c r="B322" s="0" t="s">
        <v>43</v>
      </c>
      <c r="C322" s="0" t="s">
        <v>58</v>
      </c>
      <c r="D322" s="0" t="s">
        <v>27</v>
      </c>
      <c r="E322" s="10" t="s">
        <v>24</v>
      </c>
      <c r="F322" s="11" t="str">
        <f aca="false">IF(OR(E322="",E322="!!!"),"",IF(NOT(ISNA(VLOOKUP(E322,E$1:E321,1,FALSE()))),"OLD",IF(AND(E322&lt;&gt;"",E322&lt;&gt;"!!!"),"NEW","")))</f>
        <v>OLD</v>
      </c>
      <c r="G322" s="12" t="s">
        <v>51</v>
      </c>
      <c r="H322" s="13" t="str">
        <f aca="false">IF(J322&lt;&gt;1,"",IF(I322="SBJ","CB","?"))</f>
        <v/>
      </c>
      <c r="I322" s="14" t="str">
        <f aca="false">IF(OR(E322="",E322="!!!",F322="NEW"),"",INDEX(B$2:B321,-1+SUMPRODUCT(MAX(ROW(E$2:E321)*(E322=E$2:E321)))))</f>
        <v>OBJ_2</v>
      </c>
      <c r="J322" s="15" t="n">
        <f aca="true">IF(OR(E322="",E322="!!!",F322="NEW"),"",COUNTBLANK(OFFSET(A$1,,,SUMPRODUCT(MAX(ROW(E$2:E322)*(E322=E$2:E322)))))-COUNTBLANK(OFFSET(A$1,,,SUMPRODUCT(MAX(ROW(E$1:E321)*(E322=E$1:E321))))))</f>
        <v>0</v>
      </c>
      <c r="K322" s="15" t="n">
        <f aca="false">IF(OR(E322="",E322="!!!",F322="NEW"),"",INDEX(J$1:J321,SUMPRODUCT(MAX(ROW(E$1:E321)*(E322=E$1:E321)))))</f>
        <v>1</v>
      </c>
      <c r="L322" s="16"/>
    </row>
    <row r="323" customFormat="false" ht="12.75" hidden="false" customHeight="false" outlineLevel="0" collapsed="false">
      <c r="A323" s="9" t="s">
        <v>154</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9" t="s">
        <v>39</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75" hidden="false" customHeight="false" outlineLevel="0" collapsed="false">
      <c r="A325" s="9" t="s">
        <v>155</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75" hidden="false" customHeight="false" outlineLevel="0" collapsed="false">
      <c r="A326" s="9" t="s">
        <v>170</v>
      </c>
      <c r="B326" s="0" t="s">
        <v>90</v>
      </c>
      <c r="C326" s="0" t="s">
        <v>58</v>
      </c>
      <c r="D326" s="0" t="s">
        <v>27</v>
      </c>
      <c r="E326" s="10" t="s">
        <v>24</v>
      </c>
      <c r="F326" s="11" t="str">
        <f aca="false">IF(OR(E326="",E326="!!!"),"",IF(NOT(ISNA(VLOOKUP(E326,E$1:E325,1,FALSE()))),"OLD",IF(AND(E326&lt;&gt;"",E326&lt;&gt;"!!!"),"NEW","")))</f>
        <v>OLD</v>
      </c>
      <c r="G326" s="12" t="s">
        <v>51</v>
      </c>
      <c r="H326" s="13" t="str">
        <f aca="false">IF(J326&lt;&gt;1,"",IF(I326="SBJ","CB","?"))</f>
        <v/>
      </c>
      <c r="I326" s="14" t="str">
        <f aca="false">IF(OR(E326="",E326="!!!",F326="NEW"),"",INDEX(B$2:B325,-1+SUMPRODUCT(MAX(ROW(E$2:E325)*(E326=E$2:E325)))))</f>
        <v>OBJ_2</v>
      </c>
      <c r="J326" s="15" t="n">
        <f aca="true">IF(OR(E326="",E326="!!!",F326="NEW"),"",COUNTBLANK(OFFSET(A$1,,,SUMPRODUCT(MAX(ROW(E$2:E326)*(E326=E$2:E326)))))-COUNTBLANK(OFFSET(A$1,,,SUMPRODUCT(MAX(ROW(E$1:E325)*(E326=E$1:E325))))))</f>
        <v>0</v>
      </c>
      <c r="K326" s="15" t="n">
        <f aca="false">IF(OR(E326="",E326="!!!",F326="NEW"),"",INDEX(J$1:J325,SUMPRODUCT(MAX(ROW(E$1:E325)*(E326=E$1:E325)))))</f>
        <v>0</v>
      </c>
      <c r="L326" s="16"/>
    </row>
    <row r="327" customFormat="false" ht="12.75" hidden="false" customHeight="false" outlineLevel="0" collapsed="false">
      <c r="A327" s="9" t="s">
        <v>204</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A328" s="9" t="s">
        <v>170</v>
      </c>
      <c r="B328" s="0" t="s">
        <v>30</v>
      </c>
      <c r="C328" s="0" t="s">
        <v>31</v>
      </c>
      <c r="D328" s="0" t="s">
        <v>27</v>
      </c>
      <c r="E328" s="10" t="s">
        <v>24</v>
      </c>
      <c r="F328" s="11" t="str">
        <f aca="false">IF(OR(E328="",E328="!!!"),"",IF(NOT(ISNA(VLOOKUP(E328,E$1:E327,1,FALSE()))),"OLD",IF(AND(E328&lt;&gt;"",E328&lt;&gt;"!!!"),"NEW","")))</f>
        <v>OLD</v>
      </c>
      <c r="G328" s="12" t="s">
        <v>51</v>
      </c>
      <c r="H328" s="13" t="str">
        <f aca="false">IF(J328&lt;&gt;1,"",IF(I328="SBJ","CB","?"))</f>
        <v/>
      </c>
      <c r="I328" s="14" t="str">
        <f aca="false">IF(OR(E328="",E328="!!!",F328="NEW"),"",INDEX(B$2:B327,-1+SUMPRODUCT(MAX(ROW(E$2:E327)*(E328=E$2:E327)))))</f>
        <v>OBJ_3</v>
      </c>
      <c r="J328" s="15" t="n">
        <f aca="true">IF(OR(E328="",E328="!!!",F328="NEW"),"",COUNTBLANK(OFFSET(A$1,,,SUMPRODUCT(MAX(ROW(E$2:E328)*(E328=E$2:E328)))))-COUNTBLANK(OFFSET(A$1,,,SUMPRODUCT(MAX(ROW(E$1:E327)*(E328=E$1:E327))))))</f>
        <v>0</v>
      </c>
      <c r="K328" s="15" t="n">
        <f aca="false">IF(OR(E328="",E328="!!!",F328="NEW"),"",INDEX(J$1:J327,SUMPRODUCT(MAX(ROW(E$1:E327)*(E328=E$1:E327)))))</f>
        <v>0</v>
      </c>
      <c r="L328" s="16"/>
    </row>
    <row r="329" customFormat="false" ht="12.75" hidden="false" customHeight="false" outlineLevel="0" collapsed="false">
      <c r="A329" s="9" t="s">
        <v>191</v>
      </c>
      <c r="B329" s="0" t="s">
        <v>33</v>
      </c>
      <c r="C329" s="0" t="s">
        <v>34</v>
      </c>
      <c r="D329" s="0" t="s">
        <v>27</v>
      </c>
      <c r="E329" s="10" t="s">
        <v>20</v>
      </c>
      <c r="F329" s="11" t="str">
        <f aca="false">IF(OR(E329="",E329="!!!"),"",IF(NOT(ISNA(VLOOKUP(E329,E$1:E328,1,FALSE()))),"OLD",IF(AND(E329&lt;&gt;"",E329&lt;&gt;"!!!"),"NEW","")))</f>
        <v>OLD</v>
      </c>
      <c r="G329" s="12" t="s">
        <v>49</v>
      </c>
      <c r="H329" s="13" t="str">
        <f aca="false">IF(J329&lt;&gt;1,"",IF(I329="SBJ","CB","?"))</f>
        <v/>
      </c>
      <c r="I329" s="14" t="str">
        <f aca="false">IF(OR(E329="",E329="!!!",F329="NEW"),"",INDEX(B$2:B328,-1+SUMPRODUCT(MAX(ROW(E$2:E328)*(E329=E$2:E328)))))</f>
        <v>OBJ_4</v>
      </c>
      <c r="J329" s="15" t="n">
        <f aca="true">IF(OR(E329="",E329="!!!",F329="NEW"),"",COUNTBLANK(OFFSET(A$1,,,SUMPRODUCT(MAX(ROW(E$2:E329)*(E329=E$2:E329)))))-COUNTBLANK(OFFSET(A$1,,,SUMPRODUCT(MAX(ROW(E$1:E328)*(E329=E$1:E328))))))</f>
        <v>2</v>
      </c>
      <c r="K329" s="15" t="n">
        <f aca="false">IF(OR(E329="",E329="!!!",F329="NEW"),"",INDEX(J$1:J328,SUMPRODUCT(MAX(ROW(E$1:E328)*(E329=E$1:E328)))))</f>
        <v>4</v>
      </c>
      <c r="L329" s="16"/>
    </row>
    <row r="330" customFormat="false" ht="12.75" hidden="false" customHeight="false" outlineLevel="0" collapsed="false">
      <c r="A330" s="9" t="s">
        <v>68</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75" hidden="false" customHeight="false" outlineLevel="0" collapsed="false">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75" hidden="false" customHeight="false" outlineLevel="0" collapsed="false">
      <c r="A332" s="9" t="s">
        <v>205</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75" hidden="false" customHeight="false" outlineLevel="0" collapsed="false">
      <c r="A333" s="9" t="s">
        <v>136</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75" hidden="false" customHeight="false" outlineLevel="0" collapsed="false">
      <c r="A334" s="9" t="s">
        <v>137</v>
      </c>
      <c r="B334" s="0" t="s">
        <v>17</v>
      </c>
      <c r="C334" s="0" t="s">
        <v>21</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75" hidden="false" customHeight="false" outlineLevel="0" collapsed="false">
      <c r="A335" s="9" t="s">
        <v>138</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9" t="s">
        <v>139</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75" hidden="false" customHeight="false" outlineLevel="0" collapsed="false">
      <c r="A337" s="9" t="s">
        <v>45</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9" t="s">
        <v>206</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75" hidden="false" customHeight="false" outlineLevel="0" collapsed="false">
      <c r="A339" s="9" t="s">
        <v>207</v>
      </c>
      <c r="B339" s="0" t="s">
        <v>75</v>
      </c>
      <c r="C339" s="0" t="s">
        <v>47</v>
      </c>
      <c r="D339" s="0" t="s">
        <v>27</v>
      </c>
      <c r="E339" s="10" t="s">
        <v>208</v>
      </c>
      <c r="F339" s="11" t="str">
        <f aca="false">IF(OR(E339="",E339="!!!"),"",IF(NOT(ISNA(VLOOKUP(E339,E$1:E338,1,FALSE()))),"OLD",IF(AND(E339&lt;&gt;"",E339&lt;&gt;"!!!"),"NEW","")))</f>
        <v>NEW</v>
      </c>
      <c r="G339" s="12" t="s">
        <v>28</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75" hidden="false" customHeight="false" outlineLevel="0" collapsed="false">
      <c r="A340" s="9" t="s">
        <v>22</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75" hidden="false" customHeight="false" outlineLevel="0" collapsed="false">
      <c r="A341" s="9" t="s">
        <v>39</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75" hidden="false" customHeight="false" outlineLevel="0" collapsed="false">
      <c r="A342" s="9" t="s">
        <v>139</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75" hidden="false" customHeight="false" outlineLevel="0" collapsed="false">
      <c r="A343" s="9" t="s">
        <v>140</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75" hidden="false" customHeight="false" outlineLevel="0" collapsed="false">
      <c r="A344" s="9" t="s">
        <v>141</v>
      </c>
      <c r="B344" s="0" t="s">
        <v>114</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75" hidden="false" customHeight="false" outlineLevel="0" collapsed="false">
      <c r="A345" s="9" t="s">
        <v>142</v>
      </c>
      <c r="E345" s="10" t="str">
        <f aca="false">IF(D345="?OLD","!!!","")</f>
        <v/>
      </c>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row>
    <row r="346" customFormat="false" ht="12.75" hidden="false" customHeight="false" outlineLevel="0" collapsed="false">
      <c r="A346" s="9" t="s">
        <v>129</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75" hidden="false" customHeight="false" outlineLevel="0" collapsed="false">
      <c r="A347" s="9" t="s">
        <v>143</v>
      </c>
      <c r="B347" s="0" t="s">
        <v>90</v>
      </c>
      <c r="C347" s="0" t="s">
        <v>119</v>
      </c>
      <c r="D347" s="0" t="s">
        <v>27</v>
      </c>
      <c r="E347" s="10"/>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t="s">
        <v>209</v>
      </c>
    </row>
    <row r="348" customFormat="false" ht="12.75" hidden="false" customHeight="false" outlineLevel="0" collapsed="false">
      <c r="A348" s="9" t="s">
        <v>68</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75" hidden="false" customHeight="false" outlineLevel="0" collapsed="false">
      <c r="A350" s="9" t="s">
        <v>210</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75" hidden="false" customHeight="false" outlineLevel="0" collapsed="false">
      <c r="A351" s="9" t="s">
        <v>211</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75" hidden="false" customHeight="false" outlineLevel="0" collapsed="false">
      <c r="A352" s="9" t="s">
        <v>45</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75" hidden="false" customHeight="false" outlineLevel="0" collapsed="false">
      <c r="A353" s="9" t="s">
        <v>212</v>
      </c>
      <c r="B353" s="0" t="s">
        <v>75</v>
      </c>
      <c r="C353" s="0" t="s">
        <v>47</v>
      </c>
      <c r="D353" s="0" t="s">
        <v>27</v>
      </c>
      <c r="E353" s="10" t="s">
        <v>213</v>
      </c>
      <c r="F353" s="11" t="str">
        <f aca="false">IF(OR(E353="",E353="!!!"),"",IF(NOT(ISNA(VLOOKUP(E353,E$1:E352,1,FALSE()))),"OLD",IF(AND(E353&lt;&gt;"",E353&lt;&gt;"!!!"),"NEW","")))</f>
        <v>NEW</v>
      </c>
      <c r="G353" s="12" t="s">
        <v>28</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75" hidden="false" customHeight="false" outlineLevel="0" collapsed="false">
      <c r="A354" s="9" t="s">
        <v>44</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A355" s="9" t="s">
        <v>45</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75" hidden="false" customHeight="false" outlineLevel="0" collapsed="false">
      <c r="A356" s="9" t="s">
        <v>63</v>
      </c>
      <c r="B356" s="0" t="s">
        <v>25</v>
      </c>
      <c r="C356" s="0" t="s">
        <v>47</v>
      </c>
      <c r="D356" s="0" t="s">
        <v>27</v>
      </c>
      <c r="E356" s="10" t="s">
        <v>64</v>
      </c>
      <c r="F356" s="11" t="str">
        <f aca="false">IF(OR(E356="",E356="!!!"),"",IF(NOT(ISNA(VLOOKUP(E356,E$1:E355,1,FALSE()))),"OLD",IF(AND(E356&lt;&gt;"",E356&lt;&gt;"!!!"),"NEW","")))</f>
        <v>OLD</v>
      </c>
      <c r="G356" s="12" t="s">
        <v>72</v>
      </c>
      <c r="H356" s="13" t="str">
        <f aca="false">IF(J356&lt;&gt;1,"",IF(I356="SBJ","CB","?"))</f>
        <v/>
      </c>
      <c r="I356" s="14" t="str">
        <f aca="false">IF(OR(E356="",E356="!!!",F356="NEW"),"",INDEX(B$2:B355,-1+SUMPRODUCT(MAX(ROW(E$2:E355)*(E356=E$2:E355)))))</f>
        <v>SBJ_2</v>
      </c>
      <c r="J356" s="15" t="n">
        <f aca="true">IF(OR(E356="",E356="!!!",F356="NEW"),"",COUNTBLANK(OFFSET(A$1,,,SUMPRODUCT(MAX(ROW(E$2:E356)*(E356=E$2:E356)))))-COUNTBLANK(OFFSET(A$1,,,SUMPRODUCT(MAX(ROW(E$1:E355)*(E356=E$1:E355))))))</f>
        <v>2</v>
      </c>
      <c r="K356" s="15" t="n">
        <f aca="false">IF(OR(E356="",E356="!!!",F356="NEW"),"",INDEX(J$1:J355,SUMPRODUCT(MAX(ROW(E$1:E355)*(E356=E$1:E355)))))</f>
        <v>0</v>
      </c>
      <c r="L356" s="16"/>
    </row>
    <row r="357" customFormat="false" ht="12.75" hidden="false" customHeight="false" outlineLevel="0" collapsed="false">
      <c r="A357" s="9" t="s">
        <v>214</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9" t="s">
        <v>215</v>
      </c>
      <c r="B358" s="0" t="s">
        <v>165</v>
      </c>
      <c r="C358" s="0" t="s">
        <v>160</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75" hidden="false" customHeight="false" outlineLevel="0" collapsed="false">
      <c r="A359" s="9" t="s">
        <v>39</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A360" s="9" t="s">
        <v>216</v>
      </c>
      <c r="B360" s="0" t="s">
        <v>57</v>
      </c>
      <c r="C360" s="0" t="s">
        <v>21</v>
      </c>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75" hidden="false" customHeight="false" outlineLevel="0" collapsed="false">
      <c r="A361" s="9" t="s">
        <v>217</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75" hidden="false" customHeight="false" outlineLevel="0" collapsed="false">
      <c r="A362" s="9" t="s">
        <v>218</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9" t="s">
        <v>219</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75" hidden="false" customHeight="false" outlineLevel="0" collapsed="false">
      <c r="A364" s="9" t="s">
        <v>45</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9" t="s">
        <v>220</v>
      </c>
      <c r="B365" s="0" t="s">
        <v>30</v>
      </c>
      <c r="C365" s="0" t="s">
        <v>47</v>
      </c>
      <c r="D365" s="0" t="s">
        <v>27</v>
      </c>
      <c r="E365" s="10" t="s">
        <v>221</v>
      </c>
      <c r="F365" s="11" t="str">
        <f aca="false">IF(OR(E365="",E365="!!!"),"",IF(NOT(ISNA(VLOOKUP(E365,E$1:E364,1,FALSE()))),"OLD",IF(AND(E365&lt;&gt;"",E365&lt;&gt;"!!!"),"NEW","")))</f>
        <v>NEW</v>
      </c>
      <c r="G365" s="12" t="s">
        <v>72</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75" hidden="false" customHeight="false" outlineLevel="0" collapsed="false">
      <c r="A366" s="9" t="s">
        <v>68</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75" hidden="false" customHeight="false" outlineLevel="0" collapsed="false">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9" t="s">
        <v>222</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75" hidden="false" customHeight="false" outlineLevel="0" collapsed="false">
      <c r="A369" s="9" t="s">
        <v>223</v>
      </c>
      <c r="B369" s="0" t="s">
        <v>17</v>
      </c>
      <c r="C369" s="0" t="s">
        <v>58</v>
      </c>
      <c r="D369" s="0" t="s">
        <v>27</v>
      </c>
      <c r="E369" s="10" t="s">
        <v>64</v>
      </c>
      <c r="F369" s="11" t="str">
        <f aca="false">IF(OR(E369="",E369="!!!"),"",IF(NOT(ISNA(VLOOKUP(E369,E$1:E368,1,FALSE()))),"OLD",IF(AND(E369&lt;&gt;"",E369&lt;&gt;"!!!"),"NEW","")))</f>
        <v>OLD</v>
      </c>
      <c r="G369" s="12" t="s">
        <v>49</v>
      </c>
      <c r="H369" s="13" t="s">
        <v>7</v>
      </c>
      <c r="I369" s="14" t="str">
        <f aca="false">IF(OR(E369="",E369="!!!",F369="NEW"),"",INDEX(B$2:B368,-1+SUMPRODUCT(MAX(ROW(E$2:E368)*(E369=E$2:E368)))))</f>
        <v>other_2</v>
      </c>
      <c r="J369" s="15" t="n">
        <f aca="true">IF(OR(E369="",E369="!!!",F369="NEW"),"",COUNTBLANK(OFFSET(A$1,,,SUMPRODUCT(MAX(ROW(E$2:E369)*(E369=E$2:E369)))))-COUNTBLANK(OFFSET(A$1,,,SUMPRODUCT(MAX(ROW(E$1:E368)*(E369=E$1:E368))))))</f>
        <v>1</v>
      </c>
      <c r="K369" s="15" t="n">
        <f aca="false">IF(OR(E369="",E369="!!!",F369="NEW"),"",INDEX(J$1:J368,SUMPRODUCT(MAX(ROW(E$1:E368)*(E369=E$1:E368)))))</f>
        <v>2</v>
      </c>
      <c r="L369" s="16"/>
    </row>
    <row r="370" customFormat="false" ht="12.75" hidden="false" customHeight="false" outlineLevel="0" collapsed="false">
      <c r="A370" s="9" t="s">
        <v>217</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75" hidden="false" customHeight="false" outlineLevel="0" collapsed="false">
      <c r="A371" s="9" t="s">
        <v>140</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A372" s="9" t="s">
        <v>23</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A373" s="9" t="s">
        <v>224</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9" t="s">
        <v>225</v>
      </c>
      <c r="B374" s="0" t="s">
        <v>75</v>
      </c>
      <c r="C374" s="0" t="s">
        <v>160</v>
      </c>
      <c r="E374" s="10" t="str">
        <f aca="false">IF(D374="?OLD","!!!","")</f>
        <v/>
      </c>
      <c r="F374" s="11" t="str">
        <f aca="false">IF(OR(E374="",E374="!!!"),"",IF(NOT(ISNA(VLOOKUP(E374,E$1:E373,1,FALSE()))),"OLD",IF(AND(E374&lt;&gt;"",E374&lt;&gt;"!!!"),"NEW","")))</f>
        <v/>
      </c>
      <c r="G374" s="12" t="str">
        <f aca="false">IF(OR(E374="",E374="!!!"),"",IF(OR(J374=0,AND(J374=1,K374=1),AND(J374=1,I374="SBJ"),AND(J374=1,I374=0)),"?IN_FOCUS",IF(J374&lt;=2,"?ACTIVATED",IF(J374&lt;&gt;"","?FAMILIAR",IF(F374="NEW",IF(ISNA(VLOOKUP(E374,#REF!,1,FALSE())),"?TYPE_IDENTIFIABLE","?REFERENTIAL"),"_")))))</f>
        <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75" hidden="false" customHeight="false" outlineLevel="0" collapsed="false">
      <c r="A375" s="9" t="s">
        <v>105</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9" t="s">
        <v>226</v>
      </c>
      <c r="B376" s="0" t="s">
        <v>25</v>
      </c>
      <c r="C376" s="0" t="s">
        <v>26</v>
      </c>
      <c r="D376" s="0" t="s">
        <v>27</v>
      </c>
      <c r="E376" s="10" t="s">
        <v>227</v>
      </c>
      <c r="F376" s="11" t="str">
        <f aca="false">IF(OR(E376="",E376="!!!"),"",IF(NOT(ISNA(VLOOKUP(E376,E$1:E375,1,FALSE()))),"OLD",IF(AND(E376&lt;&gt;"",E376&lt;&gt;"!!!"),"NEW","")))</f>
        <v>NEW</v>
      </c>
      <c r="G376" s="12" t="s">
        <v>72</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75" hidden="false" customHeight="false" outlineLevel="0" collapsed="false">
      <c r="A377" s="9" t="s">
        <v>228</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A378" s="9" t="s">
        <v>229</v>
      </c>
      <c r="B378" s="0" t="s">
        <v>75</v>
      </c>
      <c r="C378" s="0" t="s">
        <v>34</v>
      </c>
      <c r="D378" s="0" t="s">
        <v>27</v>
      </c>
      <c r="E378" s="10" t="s">
        <v>230</v>
      </c>
      <c r="F378" s="11" t="str">
        <f aca="false">IF(OR(E378="",E378="!!!"),"",IF(NOT(ISNA(VLOOKUP(E378,E$1:E377,1,FALSE()))),"OLD",IF(AND(E378&lt;&gt;"",E378&lt;&gt;"!!!"),"NEW","")))</f>
        <v>NEW</v>
      </c>
      <c r="G378" s="12" t="s">
        <v>28</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75" hidden="false" customHeight="false" outlineLevel="0" collapsed="false">
      <c r="A379" s="9" t="s">
        <v>68</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75" hidden="false" customHeight="false" outlineLevel="0" collapsed="false">
      <c r="A381" s="9" t="s">
        <v>231</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9" t="s">
        <v>232</v>
      </c>
      <c r="B382" s="0" t="s">
        <v>17</v>
      </c>
      <c r="C382" s="0" t="s">
        <v>21</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75" hidden="false" customHeight="false" outlineLevel="0" collapsed="false">
      <c r="A383" s="9" t="s">
        <v>44</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9" t="s">
        <v>45</v>
      </c>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IF(OR(E384="",E384="!!!",F384="NEW"),"",INDEX(B$2:B383,-1+SUMPRODUCT(MAX(ROW(E$2:E383)*(E384=E$2:E383)))))</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75" hidden="false" customHeight="false" outlineLevel="0" collapsed="false">
      <c r="A385" s="9" t="s">
        <v>233</v>
      </c>
      <c r="B385" s="0" t="s">
        <v>25</v>
      </c>
      <c r="C385" s="0" t="s">
        <v>47</v>
      </c>
      <c r="D385" s="0" t="s">
        <v>27</v>
      </c>
      <c r="E385" s="10" t="s">
        <v>234</v>
      </c>
      <c r="F385" s="11" t="str">
        <f aca="false">IF(OR(E385="",E385="!!!"),"",IF(NOT(ISNA(VLOOKUP(E385,E$1:E384,1,FALSE()))),"OLD",IF(AND(E385&lt;&gt;"",E385&lt;&gt;"!!!"),"NEW","")))</f>
        <v>NEW</v>
      </c>
      <c r="G385" s="12" t="s">
        <v>28</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75" hidden="false" customHeight="false" outlineLevel="0" collapsed="false">
      <c r="A386" s="9" t="s">
        <v>235</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A387" s="9" t="s">
        <v>84</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9" t="s">
        <v>236</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75" hidden="false" customHeight="false" outlineLevel="0" collapsed="false">
      <c r="A389" s="9" t="s">
        <v>237</v>
      </c>
      <c r="B389" s="0" t="s">
        <v>43</v>
      </c>
      <c r="C389" s="0" t="s">
        <v>58</v>
      </c>
      <c r="D389" s="0" t="s">
        <v>27</v>
      </c>
      <c r="E389" s="10" t="s">
        <v>64</v>
      </c>
      <c r="F389" s="11" t="str">
        <f aca="false">IF(OR(E389="",E389="!!!"),"",IF(NOT(ISNA(VLOOKUP(E389,E$1:E388,1,FALSE()))),"OLD",IF(AND(E389&lt;&gt;"",E389&lt;&gt;"!!!"),"NEW","")))</f>
        <v>OLD</v>
      </c>
      <c r="G389" s="12" t="s">
        <v>51</v>
      </c>
      <c r="H389" s="13" t="str">
        <f aca="false">IF(J389&lt;&gt;1,"",IF(I389="SBJ","CB","?"))</f>
        <v>CB</v>
      </c>
      <c r="I389" s="14" t="str">
        <f aca="false">IF(OR(E389="",E389="!!!",F389="NEW"),"",INDEX(B$2:B388,-1+SUMPRODUCT(MAX(ROW(E$2:E388)*(E389=E$2:E388)))))</f>
        <v>SBJ</v>
      </c>
      <c r="J389" s="15" t="n">
        <f aca="true">IF(OR(E389="",E389="!!!",F389="NEW"),"",COUNTBLANK(OFFSET(A$1,,,SUMPRODUCT(MAX(ROW(E$2:E389)*(E389=E$2:E389)))))-COUNTBLANK(OFFSET(A$1,,,SUMPRODUCT(MAX(ROW(E$1:E388)*(E389=E$1:E388))))))</f>
        <v>1</v>
      </c>
      <c r="K389" s="15" t="n">
        <f aca="false">IF(OR(E389="",E389="!!!",F389="NEW"),"",INDEX(J$1:J388,SUMPRODUCT(MAX(ROW(E$1:E388)*(E389=E$1:E388)))))</f>
        <v>1</v>
      </c>
      <c r="L389" s="16"/>
    </row>
    <row r="390" customFormat="false" ht="12.75" hidden="false" customHeight="false" outlineLevel="0" collapsed="false">
      <c r="A390" s="9" t="s">
        <v>22</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75" hidden="false" customHeight="false" outlineLevel="0" collapsed="false">
      <c r="A391" s="9" t="s">
        <v>238</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75" hidden="false" customHeight="false" outlineLevel="0" collapsed="false">
      <c r="A392" s="9" t="s">
        <v>45</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75" hidden="false" customHeight="false" outlineLevel="0" collapsed="false">
      <c r="A393" s="9" t="s">
        <v>220</v>
      </c>
      <c r="B393" s="0" t="s">
        <v>79</v>
      </c>
      <c r="C393" s="0" t="s">
        <v>47</v>
      </c>
      <c r="D393" s="0" t="s">
        <v>27</v>
      </c>
      <c r="E393" s="10" t="s">
        <v>234</v>
      </c>
      <c r="F393" s="11" t="str">
        <f aca="false">IF(OR(E393="",E393="!!!"),"",IF(NOT(ISNA(VLOOKUP(E393,E$1:E392,1,FALSE()))),"OLD",IF(AND(E393&lt;&gt;"",E393&lt;&gt;"!!!"),"NEW","")))</f>
        <v>OLD</v>
      </c>
      <c r="G393" s="12" t="s">
        <v>51</v>
      </c>
      <c r="H393" s="13" t="str">
        <f aca="false">IF(J393&lt;&gt;1,"",IF(I393="SBJ","CB","?"))</f>
        <v/>
      </c>
      <c r="I393" s="14" t="str">
        <f aca="false">IF(OR(E393="",E393="!!!",F393="NEW"),"",INDEX(B$2:B392,-1+SUMPRODUCT(MAX(ROW(E$2:E392)*(E393=E$2:E392)))))</f>
        <v>other_2</v>
      </c>
      <c r="J393" s="15" t="n">
        <f aca="true">IF(OR(E393="",E393="!!!",F393="NEW"),"",COUNTBLANK(OFFSET(A$1,,,SUMPRODUCT(MAX(ROW(E$2:E393)*(E393=E$2:E393)))))-COUNTBLANK(OFFSET(A$1,,,SUMPRODUCT(MAX(ROW(E$1:E392)*(E393=E$1:E392))))))</f>
        <v>0</v>
      </c>
      <c r="K393" s="15" t="str">
        <f aca="false">IF(OR(E393="",E393="!!!",F393="NEW"),"",INDEX(J$1:J392,SUMPRODUCT(MAX(ROW(E$1:E392)*(E393=E$1:E392)))))</f>
        <v/>
      </c>
      <c r="L393" s="16"/>
    </row>
    <row r="394" customFormat="false" ht="12.75" hidden="false" customHeight="false" outlineLevel="0" collapsed="false">
      <c r="A394" s="9" t="s">
        <v>239</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75" hidden="false" customHeight="false" outlineLevel="0" collapsed="false">
      <c r="A395" s="9" t="s">
        <v>237</v>
      </c>
      <c r="B395" s="0" t="s">
        <v>43</v>
      </c>
      <c r="C395" s="0" t="s">
        <v>58</v>
      </c>
      <c r="D395" s="0" t="s">
        <v>27</v>
      </c>
      <c r="E395" s="10" t="s">
        <v>64</v>
      </c>
      <c r="F395" s="11" t="str">
        <f aca="false">IF(OR(E395="",E395="!!!"),"",IF(NOT(ISNA(VLOOKUP(E395,E$1:E394,1,FALSE()))),"OLD",IF(AND(E395&lt;&gt;"",E395&lt;&gt;"!!!"),"NEW","")))</f>
        <v>OLD</v>
      </c>
      <c r="G395" s="12" t="s">
        <v>51</v>
      </c>
      <c r="H395" s="13" t="str">
        <f aca="false">IF(J395&lt;&gt;1,"",IF(I395="SBJ","CB","?"))</f>
        <v/>
      </c>
      <c r="I395" s="14" t="str">
        <f aca="false">IF(OR(E395="",E395="!!!",F395="NEW"),"",INDEX(B$2:B394,-1+SUMPRODUCT(MAX(ROW(E$2:E394)*(E395=E$2:E394)))))</f>
        <v>OBJ_2</v>
      </c>
      <c r="J395" s="15" t="n">
        <f aca="true">IF(OR(E395="",E395="!!!",F395="NEW"),"",COUNTBLANK(OFFSET(A$1,,,SUMPRODUCT(MAX(ROW(E$2:E395)*(E395=E$2:E395)))))-COUNTBLANK(OFFSET(A$1,,,SUMPRODUCT(MAX(ROW(E$1:E394)*(E395=E$1:E394))))))</f>
        <v>0</v>
      </c>
      <c r="K395" s="15" t="n">
        <f aca="false">IF(OR(E395="",E395="!!!",F395="NEW"),"",INDEX(J$1:J394,SUMPRODUCT(MAX(ROW(E$1:E394)*(E395=E$1:E394)))))</f>
        <v>1</v>
      </c>
      <c r="L395" s="16"/>
    </row>
    <row r="396" customFormat="false" ht="12.75" hidden="false" customHeight="false" outlineLevel="0" collapsed="false">
      <c r="A396" s="9" t="s">
        <v>68</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75" hidden="false" customHeight="false" outlineLevel="0" collapsed="false">
      <c r="E397" s="10" t="str">
        <f aca="false">IF(D397="?OLD","!!!","")</f>
        <v/>
      </c>
      <c r="F397" s="11" t="str">
        <f aca="false">IF(OR(E397="",E397="!!!"),"",IF(NOT(ISNA(VLOOKUP(E397,E$1:E396,1,FALSE()))),"OLD",IF(AND(E397&lt;&gt;"",E397&lt;&gt;"!!!"),"NEW","")))</f>
        <v/>
      </c>
      <c r="G397" s="12" t="str">
        <f aca="false">IF(OR(E397="",E397="!!!"),"",IF(OR(J397=0,AND(J397=1,K397=1),AND(J397=1,I397="SBJ"),AND(J397=1,I397=0)),"?IN_FOCUS",IF(J397&lt;=2,"?ACTIVATED",IF(J397&lt;&gt;"","?FAMILIAR",IF(F397="NEW",IF(ISNA(VLOOKUP(E397,#REF!,1,FALSE())),"?TYPE_IDENTIFIABLE","?REFERENTIAL"),"_")))))</f>
        <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75" hidden="false" customHeight="false" outlineLevel="0" collapsed="false">
      <c r="A398" s="9" t="s">
        <v>240</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75" hidden="false" customHeight="false" outlineLevel="0" collapsed="false">
      <c r="A399" s="9" t="s">
        <v>241</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75" hidden="false" customHeight="false" outlineLevel="0" collapsed="false">
      <c r="A400" s="9" t="s">
        <v>242</v>
      </c>
      <c r="B400" s="0" t="s">
        <v>17</v>
      </c>
      <c r="C400" s="0" t="s">
        <v>21</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9" t="s">
        <v>217</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75" hidden="false" customHeight="false" outlineLevel="0" collapsed="false">
      <c r="A402" s="9" t="s">
        <v>243</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75" hidden="false" customHeight="false" outlineLevel="0" collapsed="false">
      <c r="A403" s="9" t="s">
        <v>84</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75" hidden="false" customHeight="false" outlineLevel="0" collapsed="false">
      <c r="A404" s="9" t="s">
        <v>45</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75" hidden="false" customHeight="false" outlineLevel="0" collapsed="false">
      <c r="A405" s="9" t="s">
        <v>186</v>
      </c>
      <c r="B405" s="0" t="s">
        <v>75</v>
      </c>
      <c r="C405" s="0" t="s">
        <v>26</v>
      </c>
      <c r="D405" s="0" t="s">
        <v>27</v>
      </c>
      <c r="E405" s="10" t="s">
        <v>126</v>
      </c>
      <c r="F405" s="11" t="str">
        <f aca="false">IF(OR(E405="",E405="!!!"),"",IF(NOT(ISNA(VLOOKUP(E405,E$1:E404,1,FALSE()))),"OLD",IF(AND(E405&lt;&gt;"",E405&lt;&gt;"!!!"),"NEW","")))</f>
        <v>OLD</v>
      </c>
      <c r="G405" s="12" t="s">
        <v>72</v>
      </c>
      <c r="H405" s="13" t="str">
        <f aca="false">IF(J405&lt;&gt;1,"",IF(I405="SBJ","CB","?"))</f>
        <v/>
      </c>
      <c r="I405" s="14" t="str">
        <f aca="false">IF(OR(E405="",E405="!!!",F405="NEW"),"",INDEX(B$2:B404,-1+SUMPRODUCT(MAX(ROW(E$2:E404)*(E405=E$2:E404)))))</f>
        <v>other_6</v>
      </c>
      <c r="J405" s="15" t="n">
        <f aca="true">IF(OR(E405="",E405="!!!",F405="NEW"),"",COUNTBLANK(OFFSET(A$1,,,SUMPRODUCT(MAX(ROW(E$2:E405)*(E405=E$2:E405)))))-COUNTBLANK(OFFSET(A$1,,,SUMPRODUCT(MAX(ROW(E$1:E404)*(E405=E$1:E404))))))</f>
        <v>8</v>
      </c>
      <c r="K405" s="15" t="n">
        <f aca="false">IF(OR(E405="",E405="!!!",F405="NEW"),"",INDEX(J$1:J404,SUMPRODUCT(MAX(ROW(E$1:E404)*(E405=E$1:E404)))))</f>
        <v>7</v>
      </c>
      <c r="L405" s="16"/>
    </row>
    <row r="406" customFormat="false" ht="12.75" hidden="false" customHeight="false" outlineLevel="0" collapsed="false">
      <c r="A406" s="9" t="s">
        <v>22</v>
      </c>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9" t="s">
        <v>244</v>
      </c>
      <c r="B407" s="0" t="s">
        <v>75</v>
      </c>
      <c r="C407" s="0" t="s">
        <v>21</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A408" s="9" t="s">
        <v>44</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75" hidden="false" customHeight="false" outlineLevel="0" collapsed="false">
      <c r="A409" s="9" t="s">
        <v>245</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75" hidden="false" customHeight="false" outlineLevel="0" collapsed="false">
      <c r="A410" s="9" t="s">
        <v>124</v>
      </c>
      <c r="B410" s="0" t="s">
        <v>25</v>
      </c>
      <c r="C410" s="0" t="s">
        <v>246</v>
      </c>
      <c r="D410" s="0" t="s">
        <v>27</v>
      </c>
      <c r="E410" s="10" t="s">
        <v>247</v>
      </c>
      <c r="F410" s="11" t="str">
        <f aca="false">IF(OR(E410="",E410="!!!"),"",IF(NOT(ISNA(VLOOKUP(E410,E$1:E409,1,FALSE()))),"OLD",IF(AND(E410&lt;&gt;"",E410&lt;&gt;"!!!"),"NEW","")))</f>
        <v>NEW</v>
      </c>
      <c r="G410" s="12" t="s">
        <v>28</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9" t="s">
        <v>39</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A412" s="9" t="s">
        <v>248</v>
      </c>
      <c r="B412" s="0" t="s">
        <v>33</v>
      </c>
      <c r="C412" s="0" t="s">
        <v>21</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A413" s="9" t="s">
        <v>68</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75" hidden="false" customHeight="false" outlineLevel="0" collapsed="false">
      <c r="A415" s="9" t="s">
        <v>249</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75" hidden="false" customHeight="false" outlineLevel="0" collapsed="false">
      <c r="A416" s="9" t="s">
        <v>223</v>
      </c>
      <c r="B416" s="0" t="s">
        <v>17</v>
      </c>
      <c r="C416" s="0" t="s">
        <v>58</v>
      </c>
      <c r="D416" s="0" t="s">
        <v>27</v>
      </c>
      <c r="E416" s="10" t="s">
        <v>234</v>
      </c>
      <c r="F416" s="11" t="str">
        <f aca="false">IF(OR(E416="",E416="!!!"),"",IF(NOT(ISNA(VLOOKUP(E416,E$1:E415,1,FALSE()))),"OLD",IF(AND(E416&lt;&gt;"",E416&lt;&gt;"!!!"),"NEW","")))</f>
        <v>OLD</v>
      </c>
      <c r="G416" s="12" t="s">
        <v>49</v>
      </c>
      <c r="H416" s="13" t="str">
        <f aca="false">IF(J416&lt;&gt;1,"",IF(I416="SBJ","CB","?"))</f>
        <v/>
      </c>
      <c r="I416" s="14" t="str">
        <f aca="false">IF(OR(E416="",E416="!!!",F416="NEW"),"",INDEX(B$2:B415,-1+SUMPRODUCT(MAX(ROW(E$2:E415)*(E416=E$2:E415)))))</f>
        <v>SBJ_2</v>
      </c>
      <c r="J416" s="15" t="n">
        <f aca="true">IF(OR(E416="",E416="!!!",F416="NEW"),"",COUNTBLANK(OFFSET(A$1,,,SUMPRODUCT(MAX(ROW(E$2:E416)*(E416=E$2:E416)))))-COUNTBLANK(OFFSET(A$1,,,SUMPRODUCT(MAX(ROW(E$1:E415)*(E416=E$1:E415))))))</f>
        <v>2</v>
      </c>
      <c r="K416" s="15" t="n">
        <f aca="false">IF(OR(E416="",E416="!!!",F416="NEW"),"",INDEX(J$1:J415,SUMPRODUCT(MAX(ROW(E$1:E415)*(E416=E$1:E415)))))</f>
        <v>0</v>
      </c>
      <c r="L416" s="16"/>
    </row>
    <row r="417" customFormat="false" ht="12.75" hidden="false" customHeight="false" outlineLevel="0" collapsed="false">
      <c r="A417" s="9" t="s">
        <v>250</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75" hidden="false" customHeight="false" outlineLevel="0" collapsed="false">
      <c r="A418" s="9" t="s">
        <v>153</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75" hidden="false" customHeight="false" outlineLevel="0" collapsed="false">
      <c r="A419" s="9" t="s">
        <v>154</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75" hidden="false" customHeight="false" outlineLevel="0" collapsed="false">
      <c r="A420" s="9" t="s">
        <v>45</v>
      </c>
      <c r="E420" s="10" t="str">
        <f aca="false">IF(D420="?OLD","!!!","")</f>
        <v/>
      </c>
      <c r="F420" s="11" t="str">
        <f aca="false">IF(OR(E420="",E420="!!!"),"",IF(NOT(ISNA(VLOOKUP(E420,E$1:E419,1,FALSE()))),"OLD",IF(AND(E420&lt;&gt;"",E420&lt;&gt;"!!!"),"NEW","")))</f>
        <v/>
      </c>
      <c r="G420" s="12" t="str">
        <f aca="false">IF(OR(E420="",E420="!!!"),"",IF(OR(J420=0,AND(J420=1,K420=1),AND(J420=1,I420="SBJ"),AND(J420=1,I420=0)),"?IN_FOCUS",IF(J420&lt;=2,"?ACTIVATED",IF(J420&lt;&gt;"","?FAMILIAR",IF(F420="NEW",IF(ISNA(VLOOKUP(E420,#REF!,1,FALSE())),"?TYPE_IDENTIFIABLE","?REFERENTIAL"),"_")))))</f>
        <v/>
      </c>
      <c r="H420" s="13" t="str">
        <f aca="false">IF(J420&lt;&gt;1,"",IF(I420="SBJ","CB","?"))</f>
        <v/>
      </c>
      <c r="I420" s="14" t="str">
        <f aca="false">IF(OR(E420="",E420="!!!",F420="NEW"),"",INDEX(B$2:B419,-1+SUMPRODUCT(MAX(ROW(E$2:E419)*(E420=E$2:E419)))))</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75" hidden="false" customHeight="false" outlineLevel="0" collapsed="false">
      <c r="A421" s="9" t="s">
        <v>251</v>
      </c>
      <c r="B421" s="0" t="s">
        <v>38</v>
      </c>
      <c r="C421" s="0" t="s">
        <v>47</v>
      </c>
      <c r="D421" s="0" t="s">
        <v>27</v>
      </c>
      <c r="E421" s="10" t="s">
        <v>252</v>
      </c>
      <c r="F421" s="11" t="str">
        <f aca="false">IF(OR(E421="",E421="!!!"),"",IF(NOT(ISNA(VLOOKUP(E421,E$1:E420,1,FALSE()))),"OLD",IF(AND(E421&lt;&gt;"",E421&lt;&gt;"!!!"),"NEW","")))</f>
        <v>NEW</v>
      </c>
      <c r="G421" s="12" t="s">
        <v>28</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A422" s="9" t="s">
        <v>253</v>
      </c>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75" hidden="false" customHeight="false" outlineLevel="0" collapsed="false">
      <c r="A423" s="9" t="s">
        <v>45</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A424" s="9" t="s">
        <v>254</v>
      </c>
      <c r="B424" s="0" t="s">
        <v>75</v>
      </c>
      <c r="C424" s="0" t="s">
        <v>47</v>
      </c>
      <c r="D424" s="0" t="s">
        <v>27</v>
      </c>
      <c r="E424" s="10" t="s">
        <v>255</v>
      </c>
      <c r="F424" s="11" t="str">
        <f aca="false">IF(OR(E424="",E424="!!!"),"",IF(NOT(ISNA(VLOOKUP(E424,E$1:E423,1,FALSE()))),"OLD",IF(AND(E424&lt;&gt;"",E424&lt;&gt;"!!!"),"NEW","")))</f>
        <v>NEW</v>
      </c>
      <c r="G424" s="12" t="s">
        <v>28</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75" hidden="false" customHeight="false" outlineLevel="0" collapsed="false">
      <c r="A425" s="9" t="s">
        <v>22</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75" hidden="false" customHeight="false" outlineLevel="0" collapsed="false">
      <c r="A426" s="9" t="s">
        <v>39</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9" t="s">
        <v>61</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A428" s="9" t="s">
        <v>237</v>
      </c>
      <c r="B428" s="0" t="s">
        <v>43</v>
      </c>
      <c r="C428" s="0" t="s">
        <v>58</v>
      </c>
      <c r="D428" s="0" t="s">
        <v>27</v>
      </c>
      <c r="E428" s="10" t="s">
        <v>252</v>
      </c>
      <c r="F428" s="11" t="str">
        <f aca="false">IF(OR(E428="",E428="!!!"),"",IF(NOT(ISNA(VLOOKUP(E428,E$1:E427,1,FALSE()))),"OLD",IF(AND(E428&lt;&gt;"",E428&lt;&gt;"!!!"),"NEW","")))</f>
        <v>OLD</v>
      </c>
      <c r="G428" s="12" t="s">
        <v>51</v>
      </c>
      <c r="H428" s="13" t="str">
        <f aca="false">IF(J428&lt;&gt;1,"",IF(I428="SBJ","CB","?"))</f>
        <v/>
      </c>
      <c r="I428" s="14" t="str">
        <f aca="false">IF(OR(E428="",E428="!!!",F428="NEW"),"",INDEX(B$2:B427,-1+SUMPRODUCT(MAX(ROW(E$2:E427)*(E428=E$2:E427)))))</f>
        <v>OBJ</v>
      </c>
      <c r="J428" s="15" t="n">
        <f aca="true">IF(OR(E428="",E428="!!!",F428="NEW"),"",COUNTBLANK(OFFSET(A$1,,,SUMPRODUCT(MAX(ROW(E$2:E428)*(E428=E$2:E428)))))-COUNTBLANK(OFFSET(A$1,,,SUMPRODUCT(MAX(ROW(E$1:E427)*(E428=E$1:E427))))))</f>
        <v>0</v>
      </c>
      <c r="K428" s="15" t="str">
        <f aca="false">IF(OR(E428="",E428="!!!",F428="NEW"),"",INDEX(J$1:J427,SUMPRODUCT(MAX(ROW(E$1:E427)*(E428=E$1:E427)))))</f>
        <v/>
      </c>
      <c r="L428" s="16"/>
    </row>
    <row r="429" customFormat="false" ht="12.75" hidden="false" customHeight="false" outlineLevel="0" collapsed="false">
      <c r="A429" s="9" t="s">
        <v>139</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9" t="s">
        <v>256</v>
      </c>
      <c r="B430" s="0" t="s">
        <v>25</v>
      </c>
      <c r="C430" s="0" t="s">
        <v>21</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75" hidden="false" customHeight="false" outlineLevel="0" collapsed="false">
      <c r="A431" s="9" t="s">
        <v>39</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75" hidden="false" customHeight="false" outlineLevel="0" collapsed="false">
      <c r="A432" s="9" t="s">
        <v>257</v>
      </c>
      <c r="B432" s="0" t="s">
        <v>33</v>
      </c>
      <c r="C432" s="0" t="s">
        <v>21</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75" hidden="false" customHeight="false" outlineLevel="0" collapsed="false">
      <c r="A433" s="9" t="s">
        <v>22</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A434" s="9" t="s">
        <v>175</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9" t="s">
        <v>113</v>
      </c>
      <c r="B435" s="0" t="s">
        <v>79</v>
      </c>
      <c r="C435" s="0" t="s">
        <v>190</v>
      </c>
      <c r="D435" s="0" t="s">
        <v>27</v>
      </c>
      <c r="E435" s="10"/>
      <c r="F435" s="11" t="s">
        <v>112</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75" hidden="false" customHeight="false" outlineLevel="0" collapsed="false">
      <c r="A436" s="9" t="s">
        <v>258</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75" hidden="false" customHeight="false" outlineLevel="0" collapsed="false">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75" hidden="false" customHeight="false" outlineLevel="0" collapsed="false">
      <c r="A438" s="9" t="s">
        <v>259</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75" hidden="false" customHeight="false" outlineLevel="0" collapsed="false">
      <c r="A439" s="9" t="s">
        <v>71</v>
      </c>
      <c r="B439" s="0" t="s">
        <v>17</v>
      </c>
      <c r="C439" s="0" t="s">
        <v>26</v>
      </c>
      <c r="D439" s="0" t="s">
        <v>27</v>
      </c>
      <c r="E439" s="10" t="s">
        <v>71</v>
      </c>
      <c r="F439" s="11" t="str">
        <f aca="false">IF(OR(E439="",E439="!!!"),"",IF(NOT(ISNA(VLOOKUP(E439,E$1:E438,1,FALSE()))),"OLD",IF(AND(E439&lt;&gt;"",E439&lt;&gt;"!!!"),"NEW","")))</f>
        <v>OLD</v>
      </c>
      <c r="G439" s="12" t="s">
        <v>72</v>
      </c>
      <c r="H439" s="13" t="str">
        <f aca="false">IF(J439&lt;&gt;1,"",IF(I439="SBJ","CB","?"))</f>
        <v/>
      </c>
      <c r="I439" s="14" t="str">
        <f aca="false">IF(OR(E439="",E439="!!!",F439="NEW"),"",INDEX(B$2:B438,-1+SUMPRODUCT(MAX(ROW(E$2:E438)*(E439=E$2:E438)))))</f>
        <v>other_2</v>
      </c>
      <c r="J439" s="15" t="n">
        <f aca="true">IF(OR(E439="",E439="!!!",F439="NEW"),"",COUNTBLANK(OFFSET(A$1,,,SUMPRODUCT(MAX(ROW(E$2:E439)*(E439=E$2:E439)))))-COUNTBLANK(OFFSET(A$1,,,SUMPRODUCT(MAX(ROW(E$1:E438)*(E439=E$1:E438))))))</f>
        <v>8</v>
      </c>
      <c r="K439" s="15" t="n">
        <f aca="false">IF(OR(E439="",E439="!!!",F439="NEW"),"",INDEX(J$1:J438,SUMPRODUCT(MAX(ROW(E$1:E438)*(E439=E$1:E438)))))</f>
        <v>2</v>
      </c>
      <c r="L439" s="16"/>
    </row>
    <row r="440" customFormat="false" ht="12.75" hidden="false" customHeight="false" outlineLevel="0" collapsed="false">
      <c r="A440" s="9" t="s">
        <v>138</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75" hidden="false" customHeight="false" outlineLevel="0" collapsed="false">
      <c r="A441" s="9" t="s">
        <v>204</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75" hidden="false" customHeight="false" outlineLevel="0" collapsed="false">
      <c r="A442" s="9" t="s">
        <v>22</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75" hidden="false" customHeight="false" outlineLevel="0" collapsed="false">
      <c r="A443" s="9" t="s">
        <v>62</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75" hidden="false" customHeight="false" outlineLevel="0" collapsed="false">
      <c r="A444" s="9" t="s">
        <v>45</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A445" s="9" t="s">
        <v>260</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A446" s="9" t="s">
        <v>29</v>
      </c>
      <c r="B446" s="0" t="s">
        <v>33</v>
      </c>
      <c r="C446" s="0" t="s">
        <v>31</v>
      </c>
      <c r="D446" s="0" t="s">
        <v>27</v>
      </c>
      <c r="E446" s="10" t="s">
        <v>71</v>
      </c>
      <c r="F446" s="11" t="str">
        <f aca="false">IF(OR(E446="",E446="!!!"),"",IF(NOT(ISNA(VLOOKUP(E446,E$1:E445,1,FALSE()))),"OLD",IF(AND(E446&lt;&gt;"",E446&lt;&gt;"!!!"),"NEW","")))</f>
        <v>OLD</v>
      </c>
      <c r="G446" s="12" t="s">
        <v>51</v>
      </c>
      <c r="H446" s="13" t="str">
        <f aca="false">IF(J446&lt;&gt;1,"",IF(I446="SBJ","CB","?"))</f>
        <v/>
      </c>
      <c r="I446" s="14" t="str">
        <f aca="false">IF(OR(E446="",E446="!!!",F446="NEW"),"",INDEX(B$2:B445,-1+SUMPRODUCT(MAX(ROW(E$2:E445)*(E446=E$2:E445)))))</f>
        <v>SBJ</v>
      </c>
      <c r="J446" s="15" t="n">
        <f aca="true">IF(OR(E446="",E446="!!!",F446="NEW"),"",COUNTBLANK(OFFSET(A$1,,,SUMPRODUCT(MAX(ROW(E$2:E446)*(E446=E$2:E446)))))-COUNTBLANK(OFFSET(A$1,,,SUMPRODUCT(MAX(ROW(E$1:E445)*(E446=E$1:E445))))))</f>
        <v>0</v>
      </c>
      <c r="K446" s="15" t="n">
        <f aca="false">IF(OR(E446="",E446="!!!",F446="NEW"),"",INDEX(J$1:J445,SUMPRODUCT(MAX(ROW(E$1:E445)*(E446=E$1:E445)))))</f>
        <v>8</v>
      </c>
      <c r="L446" s="16"/>
    </row>
    <row r="447" customFormat="false" ht="12.75" hidden="false" customHeight="false" outlineLevel="0" collapsed="false">
      <c r="A447" s="9" t="s">
        <v>261</v>
      </c>
      <c r="B447" s="0" t="s">
        <v>79</v>
      </c>
      <c r="C447" s="0" t="s">
        <v>34</v>
      </c>
      <c r="D447" s="0" t="s">
        <v>27</v>
      </c>
      <c r="E447" s="10" t="s">
        <v>262</v>
      </c>
      <c r="F447" s="11" t="str">
        <f aca="false">IF(OR(E447="",E447="!!!"),"",IF(NOT(ISNA(VLOOKUP(E447,E$1:E446,1,FALSE()))),"OLD",IF(AND(E447&lt;&gt;"",E447&lt;&gt;"!!!"),"NEW","")))</f>
        <v>NEW</v>
      </c>
      <c r="G447" s="12" t="s">
        <v>28</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75" hidden="false" customHeight="false" outlineLevel="0" collapsed="false">
      <c r="A448" s="9" t="s">
        <v>263</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9" t="s">
        <v>264</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75" hidden="false" customHeight="false" outlineLevel="0" collapsed="false">
      <c r="A450" s="9" t="s">
        <v>265</v>
      </c>
      <c r="B450" s="0" t="s">
        <v>75</v>
      </c>
      <c r="C450" s="0" t="s">
        <v>34</v>
      </c>
      <c r="D450" s="0" t="s">
        <v>27</v>
      </c>
      <c r="E450" s="10" t="s">
        <v>252</v>
      </c>
      <c r="F450" s="11" t="str">
        <f aca="false">IF(OR(E450="",E450="!!!"),"",IF(NOT(ISNA(VLOOKUP(E450,E$1:E449,1,FALSE()))),"OLD",IF(AND(E450&lt;&gt;"",E450&lt;&gt;"!!!"),"NEW","")))</f>
        <v>OLD</v>
      </c>
      <c r="G450" s="12" t="s">
        <v>49</v>
      </c>
      <c r="H450" s="13" t="s">
        <v>7</v>
      </c>
      <c r="I450" s="14" t="str">
        <f aca="false">IF(OR(E450="",E450="!!!",F450="NEW"),"",INDEX(B$2:B449,-1+SUMPRODUCT(MAX(ROW(E$2:E449)*(E450=E$2:E449)))))</f>
        <v>OBJ_2</v>
      </c>
      <c r="J450" s="15" t="n">
        <f aca="true">IF(OR(E450="",E450="!!!",F450="NEW"),"",COUNTBLANK(OFFSET(A$1,,,SUMPRODUCT(MAX(ROW(E$2:E450)*(E450=E$2:E450)))))-COUNTBLANK(OFFSET(A$1,,,SUMPRODUCT(MAX(ROW(E$1:E449)*(E450=E$1:E449))))))</f>
        <v>1</v>
      </c>
      <c r="K450" s="15" t="n">
        <f aca="false">IF(OR(E450="",E450="!!!",F450="NEW"),"",INDEX(J$1:J449,SUMPRODUCT(MAX(ROW(E$1:E449)*(E450=E$1:E449)))))</f>
        <v>0</v>
      </c>
      <c r="L450" s="16"/>
    </row>
    <row r="451" customFormat="false" ht="12.75" hidden="false" customHeight="false" outlineLevel="0" collapsed="false">
      <c r="A451" s="9" t="s">
        <v>44</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75" hidden="false" customHeight="false" outlineLevel="0" collapsed="false">
      <c r="A452" s="9" t="s">
        <v>237</v>
      </c>
      <c r="B452" s="0" t="s">
        <v>25</v>
      </c>
      <c r="C452" s="0" t="s">
        <v>58</v>
      </c>
      <c r="D452" s="0" t="s">
        <v>27</v>
      </c>
      <c r="E452" s="10" t="s">
        <v>252</v>
      </c>
      <c r="F452" s="11" t="str">
        <f aca="false">IF(OR(E452="",E452="!!!"),"",IF(NOT(ISNA(VLOOKUP(E452,E$1:E451,1,FALSE()))),"OLD",IF(AND(E452&lt;&gt;"",E452&lt;&gt;"!!!"),"NEW","")))</f>
        <v>OLD</v>
      </c>
      <c r="G452" s="12" t="s">
        <v>49</v>
      </c>
      <c r="H452" s="13" t="str">
        <f aca="false">IF(J452&lt;&gt;1,"",IF(I452="SBJ","CB","?"))</f>
        <v/>
      </c>
      <c r="I452" s="14" t="str">
        <f aca="false">IF(OR(E452="",E452="!!!",F452="NEW"),"",INDEX(B$2:B451,-1+SUMPRODUCT(MAX(ROW(E$2:E451)*(E452=E$2:E451)))))</f>
        <v>other</v>
      </c>
      <c r="J452" s="15" t="n">
        <f aca="true">IF(OR(E452="",E452="!!!",F452="NEW"),"",COUNTBLANK(OFFSET(A$1,,,SUMPRODUCT(MAX(ROW(E$2:E452)*(E452=E$2:E452)))))-COUNTBLANK(OFFSET(A$1,,,SUMPRODUCT(MAX(ROW(E$1:E451)*(E452=E$1:E451))))))</f>
        <v>0</v>
      </c>
      <c r="K452" s="15" t="n">
        <f aca="false">IF(OR(E452="",E452="!!!",F452="NEW"),"",INDEX(J$1:J451,SUMPRODUCT(MAX(ROW(E$1:E451)*(E452=E$1:E451)))))</f>
        <v>1</v>
      </c>
      <c r="L452" s="16"/>
    </row>
    <row r="453" customFormat="false" ht="12.75" hidden="false" customHeight="false" outlineLevel="0" collapsed="false">
      <c r="A453" s="9" t="s">
        <v>68</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75" hidden="false" customHeight="false" outlineLevel="0" collapsed="false">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75" hidden="false" customHeight="false" outlineLevel="0" collapsed="false">
      <c r="A455" s="9" t="s">
        <v>266</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75" hidden="false" customHeight="false" outlineLevel="0" collapsed="false">
      <c r="A456" s="9" t="s">
        <v>267</v>
      </c>
      <c r="B456" s="0" t="s">
        <v>17</v>
      </c>
      <c r="C456" s="0" t="s">
        <v>26</v>
      </c>
      <c r="D456" s="0" t="s">
        <v>27</v>
      </c>
      <c r="E456" s="10" t="s">
        <v>268</v>
      </c>
      <c r="F456" s="11" t="str">
        <f aca="false">IF(OR(E456="",E456="!!!"),"",IF(NOT(ISNA(VLOOKUP(E456,E$1:E455,1,FALSE()))),"OLD",IF(AND(E456&lt;&gt;"",E456&lt;&gt;"!!!"),"NEW","")))</f>
        <v>NEW</v>
      </c>
      <c r="G456" s="12" t="s">
        <v>72</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9" t="s">
        <v>53</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75" hidden="false" customHeight="false" outlineLevel="0" collapsed="false">
      <c r="A458" s="9" t="s">
        <v>138</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75" hidden="false" customHeight="false" outlineLevel="0" collapsed="false">
      <c r="A459" s="9" t="s">
        <v>183</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75" hidden="false" customHeight="false" outlineLevel="0" collapsed="false">
      <c r="A460" s="9" t="s">
        <v>269</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9" t="s">
        <v>45</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75" hidden="false" customHeight="false" outlineLevel="0" collapsed="false">
      <c r="A462" s="9" t="s">
        <v>270</v>
      </c>
      <c r="B462" s="0" t="s">
        <v>75</v>
      </c>
      <c r="C462" s="0" t="s">
        <v>47</v>
      </c>
      <c r="D462" s="0" t="s">
        <v>27</v>
      </c>
      <c r="E462" s="10" t="s">
        <v>271</v>
      </c>
      <c r="F462" s="11" t="str">
        <f aca="false">IF(OR(E462="",E462="!!!"),"",IF(NOT(ISNA(VLOOKUP(E462,E$1:E461,1,FALSE()))),"OLD",IF(AND(E462&lt;&gt;"",E462&lt;&gt;"!!!"),"NEW","")))</f>
        <v>NEW</v>
      </c>
      <c r="G462" s="12" t="s">
        <v>28</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75" hidden="false" customHeight="false" outlineLevel="0" collapsed="false">
      <c r="A463" s="9" t="s">
        <v>272</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75" hidden="false" customHeight="false" outlineLevel="0" collapsed="false">
      <c r="A464" s="9" t="s">
        <v>273</v>
      </c>
      <c r="B464" s="0" t="s">
        <v>25</v>
      </c>
      <c r="C464" s="0" t="s">
        <v>26</v>
      </c>
      <c r="D464" s="0" t="s">
        <v>27</v>
      </c>
      <c r="E464" s="10" t="s">
        <v>273</v>
      </c>
      <c r="F464" s="11" t="str">
        <f aca="false">IF(OR(E464="",E464="!!!"),"",IF(NOT(ISNA(VLOOKUP(E464,E$1:E463,1,FALSE()))),"OLD",IF(AND(E464&lt;&gt;"",E464&lt;&gt;"!!!"),"NEW","")))</f>
        <v>NEW</v>
      </c>
      <c r="G464" s="12" t="s">
        <v>72</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75" hidden="false" customHeight="false" outlineLevel="0" collapsed="false">
      <c r="A465" s="9" t="s">
        <v>22</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9" t="s">
        <v>274</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75" hidden="false" customHeight="false" outlineLevel="0" collapsed="false">
      <c r="A467" s="9" t="s">
        <v>251</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75" hidden="false" customHeight="false" outlineLevel="0" collapsed="false">
      <c r="A468" s="9" t="s">
        <v>220</v>
      </c>
      <c r="B468" s="0" t="s">
        <v>43</v>
      </c>
      <c r="C468" s="0" t="s">
        <v>21</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A469" s="9" t="s">
        <v>22</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9" t="s">
        <v>39</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A471" s="9" t="s">
        <v>189</v>
      </c>
      <c r="B471" s="0" t="s">
        <v>75</v>
      </c>
      <c r="C471" s="0" t="s">
        <v>190</v>
      </c>
      <c r="D471" s="0" t="s">
        <v>27</v>
      </c>
      <c r="E471" s="10"/>
      <c r="F471" s="11" t="s">
        <v>112</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75" hidden="false" customHeight="false" outlineLevel="0" collapsed="false">
      <c r="A472" s="9" t="s">
        <v>141</v>
      </c>
      <c r="B472" s="0" t="s">
        <v>114</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9" t="s">
        <v>217</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75" hidden="false" customHeight="false" outlineLevel="0" collapsed="false">
      <c r="A474" s="9" t="s">
        <v>275</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9" t="s">
        <v>204</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75" hidden="false" customHeight="false" outlineLevel="0" collapsed="false">
      <c r="A476" s="9" t="s">
        <v>276</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75" hidden="false" customHeight="false" outlineLevel="0" collapsed="false">
      <c r="A477" s="9" t="s">
        <v>277</v>
      </c>
      <c r="B477" s="0" t="s">
        <v>33</v>
      </c>
      <c r="C477" s="0" t="s">
        <v>21</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9" t="s">
        <v>278</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75" hidden="false" customHeight="false" outlineLevel="0" collapsed="false">
      <c r="A479" s="9" t="s">
        <v>39</v>
      </c>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23.85" hidden="false" customHeight="false" outlineLevel="0" collapsed="false">
      <c r="A480" s="9" t="s">
        <v>152</v>
      </c>
      <c r="B480" s="0" t="s">
        <v>79</v>
      </c>
      <c r="C480" s="0" t="s">
        <v>58</v>
      </c>
      <c r="D480" s="0" t="s">
        <v>27</v>
      </c>
      <c r="E480" s="10"/>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t="s">
        <v>279</v>
      </c>
    </row>
    <row r="481" customFormat="false" ht="12.75" hidden="false" customHeight="false" outlineLevel="0" collapsed="false">
      <c r="A481" s="9" t="s">
        <v>217</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75" hidden="false" customHeight="false" outlineLevel="0" collapsed="false">
      <c r="A482" s="9" t="s">
        <v>140</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75" hidden="false" customHeight="false" outlineLevel="0" collapsed="false">
      <c r="A483" s="9" t="s">
        <v>280</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75" hidden="false" customHeight="false" outlineLevel="0" collapsed="false">
      <c r="A484" s="9" t="s">
        <v>68</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75" hidden="false" customHeight="false" outlineLevel="0" collapsed="false">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9" t="s">
        <v>281</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75" hidden="false" customHeight="false" outlineLevel="0" collapsed="false">
      <c r="A487" s="9" t="s">
        <v>13</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75" hidden="false" customHeight="false" outlineLevel="0" collapsed="false">
      <c r="A488" s="9" t="s">
        <v>45</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75" hidden="false" customHeight="false" outlineLevel="0" collapsed="false">
      <c r="A489" s="9" t="s">
        <v>282</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75" hidden="false" customHeight="false" outlineLevel="0" collapsed="false">
      <c r="A490" s="9" t="s">
        <v>283</v>
      </c>
      <c r="B490" s="0" t="s">
        <v>17</v>
      </c>
      <c r="C490" s="0" t="s">
        <v>47</v>
      </c>
      <c r="D490" s="0" t="s">
        <v>27</v>
      </c>
      <c r="E490" s="10" t="s">
        <v>284</v>
      </c>
      <c r="F490" s="11" t="str">
        <f aca="false">IF(OR(E490="",E490="!!!"),"",IF(NOT(ISNA(VLOOKUP(E490,E$1:E489,1,FALSE()))),"OLD",IF(AND(E490&lt;&gt;"",E490&lt;&gt;"!!!"),"NEW","")))</f>
        <v>NEW</v>
      </c>
      <c r="G490" s="12" t="s">
        <v>72</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75" hidden="false" customHeight="false" outlineLevel="0" collapsed="false">
      <c r="A491" s="9" t="s">
        <v>285</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9" t="s">
        <v>151</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75" hidden="false" customHeight="false" outlineLevel="0" collapsed="false">
      <c r="A493" s="9" t="s">
        <v>22</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9" t="s">
        <v>39</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75" hidden="false" customHeight="false" outlineLevel="0" collapsed="false">
      <c r="A495" s="9" t="s">
        <v>140</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75" hidden="false" customHeight="false" outlineLevel="0" collapsed="false">
      <c r="A496" s="9" t="s">
        <v>189</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A497" s="9" t="s">
        <v>141</v>
      </c>
      <c r="B497" s="0" t="s">
        <v>114</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75" hidden="false" customHeight="false" outlineLevel="0" collapsed="false">
      <c r="A498" s="9" t="s">
        <v>217</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75" hidden="false" customHeight="false" outlineLevel="0" collapsed="false">
      <c r="A499" s="9" t="s">
        <v>23</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75" hidden="false" customHeight="false" outlineLevel="0" collapsed="false">
      <c r="A500" s="9" t="s">
        <v>150</v>
      </c>
      <c r="B500" s="0" t="s">
        <v>25</v>
      </c>
      <c r="C500" s="0" t="s">
        <v>58</v>
      </c>
      <c r="D500" s="0" t="s">
        <v>27</v>
      </c>
      <c r="E500" s="10" t="s">
        <v>284</v>
      </c>
      <c r="F500" s="11" t="str">
        <f aca="false">IF(OR(E500="",E500="!!!"),"",IF(NOT(ISNA(VLOOKUP(E500,E$1:E499,1,FALSE()))),"OLD",IF(AND(E500&lt;&gt;"",E500&lt;&gt;"!!!"),"NEW","")))</f>
        <v>OLD</v>
      </c>
      <c r="G500" s="12" t="s">
        <v>51</v>
      </c>
      <c r="H500" s="13" t="str">
        <f aca="false">IF(J500&lt;&gt;1,"",IF(I500="SBJ","CB","?"))</f>
        <v/>
      </c>
      <c r="I500" s="14" t="str">
        <f aca="false">IF(OR(E500="",E500="!!!",F500="NEW"),"",INDEX(B$2:B499,-1+SUMPRODUCT(MAX(ROW(E$2:E499)*(E500=E$2:E499)))))</f>
        <v>SBJ</v>
      </c>
      <c r="J500" s="15" t="n">
        <f aca="true">IF(OR(E500="",E500="!!!",F500="NEW"),"",COUNTBLANK(OFFSET(A$1,,,SUMPRODUCT(MAX(ROW(E$2:E500)*(E500=E$2:E500)))))-COUNTBLANK(OFFSET(A$1,,,SUMPRODUCT(MAX(ROW(E$1:E499)*(E500=E$1:E499))))))</f>
        <v>0</v>
      </c>
      <c r="K500" s="15" t="str">
        <f aca="false">IF(OR(E500="",E500="!!!",F500="NEW"),"",INDEX(J$1:J499,SUMPRODUCT(MAX(ROW(E$1:E499)*(E500=E$1:E499)))))</f>
        <v/>
      </c>
      <c r="L500" s="16"/>
    </row>
    <row r="501" customFormat="false" ht="12.75" hidden="false" customHeight="false" outlineLevel="0" collapsed="false">
      <c r="A501" s="9" t="s">
        <v>286</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9" t="s">
        <v>287</v>
      </c>
      <c r="B502" s="0" t="s">
        <v>114</v>
      </c>
      <c r="C502" s="0" t="s">
        <v>110</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A503" s="9" t="s">
        <v>111</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9" t="s">
        <v>45</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75" hidden="false" customHeight="false" outlineLevel="0" collapsed="false">
      <c r="A505" s="9" t="s">
        <v>288</v>
      </c>
      <c r="B505" s="0" t="s">
        <v>25</v>
      </c>
      <c r="C505" s="0" t="s">
        <v>34</v>
      </c>
      <c r="D505" s="0" t="s">
        <v>27</v>
      </c>
      <c r="E505" s="10" t="s">
        <v>289</v>
      </c>
      <c r="F505" s="11" t="str">
        <f aca="false">IF(OR(E505="",E505="!!!"),"",IF(NOT(ISNA(VLOOKUP(E505,E$1:E504,1,FALSE()))),"OLD",IF(AND(E505&lt;&gt;"",E505&lt;&gt;"!!!"),"NEW","")))</f>
        <v>NEW</v>
      </c>
      <c r="G505" s="12" t="s">
        <v>72</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75" hidden="false" customHeight="false" outlineLevel="0" collapsed="false">
      <c r="A506" s="9" t="s">
        <v>44</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75" hidden="false" customHeight="false" outlineLevel="0" collapsed="false">
      <c r="A507" s="9" t="s">
        <v>45</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75" hidden="false" customHeight="false" outlineLevel="0" collapsed="false">
      <c r="A508" s="9" t="s">
        <v>289</v>
      </c>
      <c r="B508" s="0" t="s">
        <v>33</v>
      </c>
      <c r="C508" s="0" t="s">
        <v>26</v>
      </c>
      <c r="D508" s="0" t="s">
        <v>27</v>
      </c>
      <c r="E508" s="10" t="s">
        <v>289</v>
      </c>
      <c r="F508" s="11" t="str">
        <f aca="false">IF(OR(E508="",E508="!!!"),"",IF(NOT(ISNA(VLOOKUP(E508,E$1:E507,1,FALSE()))),"OLD",IF(AND(E508&lt;&gt;"",E508&lt;&gt;"!!!"),"NEW","")))</f>
        <v>OLD</v>
      </c>
      <c r="G508" s="12" t="s">
        <v>51</v>
      </c>
      <c r="H508" s="13" t="str">
        <f aca="false">IF(J508&lt;&gt;1,"",IF(I508="SBJ","CB","?"))</f>
        <v/>
      </c>
      <c r="I508" s="14" t="str">
        <f aca="false">IF(OR(E508="",E508="!!!",F508="NEW"),"",INDEX(B$2:B507,-1+SUMPRODUCT(MAX(ROW(E$2:E507)*(E508=E$2:E507)))))</f>
        <v>other_2</v>
      </c>
      <c r="J508" s="15" t="n">
        <f aca="true">IF(OR(E508="",E508="!!!",F508="NEW"),"",COUNTBLANK(OFFSET(A$1,,,SUMPRODUCT(MAX(ROW(E$2:E508)*(E508=E$2:E508)))))-COUNTBLANK(OFFSET(A$1,,,SUMPRODUCT(MAX(ROW(E$1:E507)*(E508=E$1:E507))))))</f>
        <v>0</v>
      </c>
      <c r="K508" s="15" t="str">
        <f aca="false">IF(OR(E508="",E508="!!!",F508="NEW"),"",INDEX(J$1:J507,SUMPRODUCT(MAX(ROW(E$1:E507)*(E508=E$1:E507)))))</f>
        <v/>
      </c>
      <c r="L508" s="16"/>
    </row>
    <row r="509" customFormat="false" ht="12.75" hidden="false" customHeight="false" outlineLevel="0" collapsed="false">
      <c r="A509" s="9" t="s">
        <v>290</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A510" s="9" t="s">
        <v>22</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75" hidden="false" customHeight="false" outlineLevel="0" collapsed="false">
      <c r="A511" s="9" t="s">
        <v>39</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75" hidden="false" customHeight="false" outlineLevel="0" collapsed="false">
      <c r="A512" s="9" t="s">
        <v>152</v>
      </c>
      <c r="B512" s="0" t="s">
        <v>79</v>
      </c>
      <c r="C512" s="0" t="s">
        <v>58</v>
      </c>
      <c r="D512" s="0" t="s">
        <v>27</v>
      </c>
      <c r="E512" s="10" t="s">
        <v>289</v>
      </c>
      <c r="F512" s="11" t="str">
        <f aca="false">IF(OR(E512="",E512="!!!"),"",IF(NOT(ISNA(VLOOKUP(E512,E$1:E511,1,FALSE()))),"OLD",IF(AND(E512&lt;&gt;"",E512&lt;&gt;"!!!"),"NEW","")))</f>
        <v>OLD</v>
      </c>
      <c r="G512" s="12" t="s">
        <v>51</v>
      </c>
      <c r="H512" s="13" t="str">
        <f aca="false">IF(J512&lt;&gt;1,"",IF(I512="SBJ","CB","?"))</f>
        <v/>
      </c>
      <c r="I512" s="14" t="str">
        <f aca="false">IF(OR(E512="",E512="!!!",F512="NEW"),"",INDEX(B$2:B511,-1+SUMPRODUCT(MAX(ROW(E$2:E511)*(E512=E$2:E511)))))</f>
        <v>other_3</v>
      </c>
      <c r="J512" s="15" t="n">
        <f aca="true">IF(OR(E512="",E512="!!!",F512="NEW"),"",COUNTBLANK(OFFSET(A$1,,,SUMPRODUCT(MAX(ROW(E$2:E512)*(E512=E$2:E512)))))-COUNTBLANK(OFFSET(A$1,,,SUMPRODUCT(MAX(ROW(E$1:E511)*(E512=E$1:E511))))))</f>
        <v>0</v>
      </c>
      <c r="K512" s="15" t="n">
        <f aca="false">IF(OR(E512="",E512="!!!",F512="NEW"),"",INDEX(J$1:J511,SUMPRODUCT(MAX(ROW(E$1:E511)*(E512=E$1:E511)))))</f>
        <v>0</v>
      </c>
      <c r="L512" s="16"/>
    </row>
    <row r="513" customFormat="false" ht="12.75" hidden="false" customHeight="false" outlineLevel="0" collapsed="false">
      <c r="A513" s="9" t="s">
        <v>217</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75" hidden="false" customHeight="false" outlineLevel="0" collapsed="false">
      <c r="A514" s="9" t="s">
        <v>80</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75" hidden="false" customHeight="false" outlineLevel="0" collapsed="false">
      <c r="A515" s="9" t="s">
        <v>23</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75" hidden="false" customHeight="false" outlineLevel="0" collapsed="false">
      <c r="A516" s="9" t="s">
        <v>291</v>
      </c>
      <c r="B516" s="0" t="s">
        <v>25</v>
      </c>
      <c r="C516" s="0" t="s">
        <v>21</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75" hidden="false" customHeight="false" outlineLevel="0" collapsed="false">
      <c r="A517" s="9" t="s">
        <v>22</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75" hidden="false" customHeight="false" outlineLevel="0" collapsed="false">
      <c r="A518" s="9" t="s">
        <v>39</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75" hidden="false" customHeight="false" outlineLevel="0" collapsed="false">
      <c r="A519" s="9" t="s">
        <v>61</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9" t="s">
        <v>212</v>
      </c>
      <c r="B520" s="0" t="s">
        <v>38</v>
      </c>
      <c r="C520" s="0" t="s">
        <v>21</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75" hidden="false" customHeight="false" outlineLevel="0" collapsed="false">
      <c r="A521" s="9" t="s">
        <v>139</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75" hidden="false" customHeight="false" outlineLevel="0" collapsed="false">
      <c r="A522" s="9" t="s">
        <v>45</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9" t="s">
        <v>63</v>
      </c>
      <c r="B523" s="0" t="s">
        <v>75</v>
      </c>
      <c r="C523" s="0" t="s">
        <v>47</v>
      </c>
      <c r="D523" s="0" t="s">
        <v>27</v>
      </c>
      <c r="E523" s="10" t="s">
        <v>64</v>
      </c>
      <c r="F523" s="11" t="str">
        <f aca="false">IF(OR(E523="",E523="!!!"),"",IF(NOT(ISNA(VLOOKUP(E523,E$1:E522,1,FALSE()))),"OLD",IF(AND(E523&lt;&gt;"",E523&lt;&gt;"!!!"),"NEW","")))</f>
        <v>OLD</v>
      </c>
      <c r="G523" s="12" t="s">
        <v>72</v>
      </c>
      <c r="H523" s="13" t="str">
        <f aca="false">IF(J523&lt;&gt;1,"",IF(I523="SBJ","CB","?"))</f>
        <v/>
      </c>
      <c r="I523" s="14" t="str">
        <f aca="false">IF(OR(E523="",E523="!!!",F523="NEW"),"",INDEX(B$2:B522,-1+SUMPRODUCT(MAX(ROW(E$2:E522)*(E523=E$2:E522)))))</f>
        <v>OBJ_2</v>
      </c>
      <c r="J523" s="15" t="n">
        <f aca="true">IF(OR(E523="",E523="!!!",F523="NEW"),"",COUNTBLANK(OFFSET(A$1,,,SUMPRODUCT(MAX(ROW(E$2:E523)*(E523=E$2:E523)))))-COUNTBLANK(OFFSET(A$1,,,SUMPRODUCT(MAX(ROW(E$1:E522)*(E523=E$1:E522))))))</f>
        <v>5</v>
      </c>
      <c r="K523" s="15" t="n">
        <f aca="false">IF(OR(E523="",E523="!!!",F523="NEW"),"",INDEX(J$1:J522,SUMPRODUCT(MAX(ROW(E$1:E522)*(E523=E$1:E522)))))</f>
        <v>0</v>
      </c>
      <c r="L523" s="16"/>
    </row>
    <row r="524" customFormat="false" ht="12.75" hidden="false" customHeight="false" outlineLevel="0" collapsed="false">
      <c r="A524" s="9" t="s">
        <v>22</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9" t="s">
        <v>39</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A526" s="9" t="s">
        <v>292</v>
      </c>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9" t="s">
        <v>237</v>
      </c>
      <c r="B527" s="0" t="s">
        <v>43</v>
      </c>
      <c r="C527" s="0" t="s">
        <v>58</v>
      </c>
      <c r="D527" s="0" t="s">
        <v>27</v>
      </c>
      <c r="E527" s="10" t="s">
        <v>64</v>
      </c>
      <c r="F527" s="11" t="str">
        <f aca="false">IF(OR(E527="",E527="!!!"),"",IF(NOT(ISNA(VLOOKUP(E527,E$1:E526,1,FALSE()))),"OLD",IF(AND(E527&lt;&gt;"",E527&lt;&gt;"!!!"),"NEW","")))</f>
        <v>OLD</v>
      </c>
      <c r="G527" s="12" t="s">
        <v>51</v>
      </c>
      <c r="H527" s="13" t="str">
        <f aca="false">IF(J527&lt;&gt;1,"",IF(I527="SBJ","CB","?"))</f>
        <v/>
      </c>
      <c r="I527" s="14" t="str">
        <f aca="false">IF(OR(E527="",E527="!!!",F527="NEW"),"",INDEX(B$2:B526,-1+SUMPRODUCT(MAX(ROW(E$2:E526)*(E527=E$2:E526)))))</f>
        <v>other</v>
      </c>
      <c r="J527" s="15" t="n">
        <f aca="true">IF(OR(E527="",E527="!!!",F527="NEW"),"",COUNTBLANK(OFFSET(A$1,,,SUMPRODUCT(MAX(ROW(E$2:E527)*(E527=E$2:E527)))))-COUNTBLANK(OFFSET(A$1,,,SUMPRODUCT(MAX(ROW(E$1:E526)*(E527=E$1:E526))))))</f>
        <v>0</v>
      </c>
      <c r="K527" s="15" t="n">
        <f aca="false">IF(OR(E527="",E527="!!!",F527="NEW"),"",INDEX(J$1:J526,SUMPRODUCT(MAX(ROW(E$1:E526)*(E527=E$1:E526)))))</f>
        <v>5</v>
      </c>
      <c r="L527" s="16"/>
    </row>
    <row r="528" customFormat="false" ht="12.75" hidden="false" customHeight="false" outlineLevel="0" collapsed="false">
      <c r="A528" s="9" t="s">
        <v>105</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75" hidden="false" customHeight="false" outlineLevel="0" collapsed="false">
      <c r="A529" s="9" t="s">
        <v>293</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75" hidden="false" customHeight="false" outlineLevel="0" collapsed="false">
      <c r="A530" s="9" t="s">
        <v>294</v>
      </c>
      <c r="B530" s="0" t="s">
        <v>25</v>
      </c>
      <c r="C530" s="0" t="s">
        <v>21</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75" hidden="false" customHeight="false" outlineLevel="0" collapsed="false">
      <c r="A531" s="9" t="s">
        <v>68</v>
      </c>
      <c r="E531" s="10" t="str">
        <f aca="false">IF(D531="?OLD","!!!","")</f>
        <v/>
      </c>
      <c r="F531" s="11" t="str">
        <f aca="false">IF(OR(E531="",E531="!!!"),"",IF(NOT(ISNA(VLOOKUP(E531,E$1:E530,1,FALSE()))),"OLD",IF(AND(E531&lt;&gt;"",E531&lt;&gt;"!!!"),"NEW","")))</f>
        <v/>
      </c>
      <c r="G531" s="12" t="str">
        <f aca="false">IF(OR(E531="",E531="!!!"),"",IF(OR(J531=0,AND(J531=1,K531=1),AND(J531=1,I531="SBJ"),AND(J531=1,I531=0)),"?IN_FOCUS",IF(J531&lt;=2,"?ACTIVATED",IF(J531&lt;&gt;"","?FAMILIAR",IF(F531="NEW",IF(ISNA(VLOOKUP(E531,#REF!,1,FALSE())),"?TYPE_IDENTIFIABLE","?REFERENTIAL"),"_")))))</f>
        <v/>
      </c>
      <c r="H531" s="13" t="str">
        <f aca="false">IF(J531&lt;&gt;1,"",IF(I531="SBJ","CB","?"))</f>
        <v/>
      </c>
      <c r="I531" s="14" t="str">
        <f aca="false">IF(OR(E531="",E531="!!!",F531="NEW"),"",INDEX(B$2:B530,-1+SUMPRODUCT(MAX(ROW(E$2:E530)*(E531=E$2:E530)))))</f>
        <v/>
      </c>
      <c r="J531" s="15" t="str">
        <f aca="true">IF(OR(E531="",E531="!!!",F531="NEW"),"",COUNTBLANK(OFFSET(A$1,,,SUMPRODUCT(MAX(ROW(E$2:E531)*(E531=E$2:E531)))))-COUNTBLANK(OFFSET(A$1,,,SUMPRODUCT(MAX(ROW(E$1:E530)*(E531=E$1:E530))))))</f>
        <v/>
      </c>
      <c r="K531" s="15" t="str">
        <f aca="false">IF(OR(E531="",E531="!!!",F531="NEW"),"",INDEX(J$1:J530,SUMPRODUCT(MAX(ROW(E$1:E530)*(E531=E$1:E530)))))</f>
        <v/>
      </c>
      <c r="L531" s="16"/>
    </row>
    <row r="532" customFormat="false" ht="12.75" hidden="false" customHeight="false" outlineLevel="0" collapsed="false">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75" hidden="false" customHeight="false" outlineLevel="0" collapsed="false">
      <c r="A533" s="9" t="s">
        <v>69</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9" t="s">
        <v>295</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A535" s="9" t="s">
        <v>13</v>
      </c>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IF(OR(E535="",E535="!!!",F535="NEW"),"",INDEX(B$2:B534,-1+SUMPRODUCT(MAX(ROW(E$2:E534)*(E535=E$2:E534)))))</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75" hidden="false" customHeight="false" outlineLevel="0" collapsed="false">
      <c r="A536" s="9" t="s">
        <v>296</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75" hidden="false" customHeight="false" outlineLevel="0" collapsed="false">
      <c r="A537" s="9" t="s">
        <v>297</v>
      </c>
      <c r="B537" s="0" t="s">
        <v>17</v>
      </c>
      <c r="C537" s="0" t="s">
        <v>34</v>
      </c>
      <c r="D537" s="0" t="s">
        <v>27</v>
      </c>
      <c r="E537" s="10" t="s">
        <v>298</v>
      </c>
      <c r="F537" s="11" t="str">
        <f aca="false">IF(OR(E537="",E537="!!!"),"",IF(NOT(ISNA(VLOOKUP(E537,E$1:E536,1,FALSE()))),"OLD",IF(AND(E537&lt;&gt;"",E537&lt;&gt;"!!!"),"NEW","")))</f>
        <v>NEW</v>
      </c>
      <c r="G537" s="12" t="s">
        <v>28</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9" t="s">
        <v>44</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75" hidden="false" customHeight="false" outlineLevel="0" collapsed="false">
      <c r="A539" s="9" t="s">
        <v>45</v>
      </c>
      <c r="E539" s="10" t="str">
        <f aca="false">IF(D539="?OLD","!!!","")</f>
        <v/>
      </c>
      <c r="F539" s="11" t="str">
        <f aca="false">IF(OR(E539="",E539="!!!"),"",IF(NOT(ISNA(VLOOKUP(E539,E$1:E538,1,FALSE()))),"OLD",IF(AND(E539&lt;&gt;"",E539&lt;&gt;"!!!"),"NEW","")))</f>
        <v/>
      </c>
      <c r="G539" s="12" t="str">
        <f aca="false">IF(OR(E539="",E539="!!!"),"",IF(OR(J539=0,AND(J539=1,K539=1),AND(J539=1,I539="SBJ"),AND(J539=1,I539=0)),"?IN_FOCUS",IF(J539&lt;=2,"?ACTIVATED",IF(J539&lt;&gt;"","?FAMILIAR",IF(F539="NEW",IF(ISNA(VLOOKUP(E539,#REF!,1,FALSE())),"?TYPE_IDENTIFIABLE","?REFERENTIAL"),"_")))))</f>
        <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75" hidden="false" customHeight="false" outlineLevel="0" collapsed="false">
      <c r="A540" s="9" t="s">
        <v>186</v>
      </c>
      <c r="B540" s="0" t="s">
        <v>25</v>
      </c>
      <c r="C540" s="0" t="s">
        <v>26</v>
      </c>
      <c r="D540" s="0" t="s">
        <v>27</v>
      </c>
      <c r="E540" s="10" t="s">
        <v>126</v>
      </c>
      <c r="F540" s="11" t="str">
        <f aca="false">IF(OR(E540="",E540="!!!"),"",IF(NOT(ISNA(VLOOKUP(E540,E$1:E539,1,FALSE()))),"OLD",IF(AND(E540&lt;&gt;"",E540&lt;&gt;"!!!"),"NEW","")))</f>
        <v>OLD</v>
      </c>
      <c r="G540" s="12" t="s">
        <v>72</v>
      </c>
      <c r="H540" s="13" t="str">
        <f aca="false">IF(J540&lt;&gt;1,"",IF(I540="SBJ","CB","?"))</f>
        <v/>
      </c>
      <c r="I540" s="14" t="str">
        <f aca="false">IF(OR(E540="",E540="!!!",F540="NEW"),"",INDEX(B$2:B539,-1+SUMPRODUCT(MAX(ROW(E$2:E539)*(E540=E$2:E539)))))</f>
        <v>other</v>
      </c>
      <c r="J540" s="15" t="n">
        <f aca="true">IF(OR(E540="",E540="!!!",F540="NEW"),"",COUNTBLANK(OFFSET(A$1,,,SUMPRODUCT(MAX(ROW(E$2:E540)*(E540=E$2:E540)))))-COUNTBLANK(OFFSET(A$1,,,SUMPRODUCT(MAX(ROW(E$1:E539)*(E540=E$1:E539))))))</f>
        <v>5</v>
      </c>
      <c r="K540" s="15" t="n">
        <f aca="false">IF(OR(E540="",E540="!!!",F540="NEW"),"",INDEX(J$1:J539,SUMPRODUCT(MAX(ROW(E$1:E539)*(E540=E$1:E539)))))</f>
        <v>8</v>
      </c>
      <c r="L540" s="16"/>
    </row>
    <row r="541" customFormat="false" ht="12.75" hidden="false" customHeight="false" outlineLevel="0" collapsed="false">
      <c r="A541" s="9" t="s">
        <v>299</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75" hidden="false" customHeight="false" outlineLevel="0" collapsed="false">
      <c r="A542" s="9" t="s">
        <v>45</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75" hidden="false" customHeight="false" outlineLevel="0" collapsed="false">
      <c r="A543" s="9" t="s">
        <v>300</v>
      </c>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IF(OR(E543="",E543="!!!",F543="NEW"),"",INDEX(B$2:B542,-1+SUMPRODUCT(MAX(ROW(E$2:E542)*(E543=E$2:E542)))))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75" hidden="false" customHeight="false" outlineLevel="0" collapsed="false">
      <c r="A544" s="9" t="s">
        <v>301</v>
      </c>
      <c r="B544" s="0" t="s">
        <v>38</v>
      </c>
      <c r="C544" s="0" t="s">
        <v>47</v>
      </c>
      <c r="D544" s="0" t="s">
        <v>27</v>
      </c>
      <c r="E544" s="10" t="s">
        <v>302</v>
      </c>
      <c r="F544" s="11" t="str">
        <f aca="false">IF(OR(E544="",E544="!!!"),"",IF(NOT(ISNA(VLOOKUP(E544,E$1:E543,1,FALSE()))),"OLD",IF(AND(E544&lt;&gt;"",E544&lt;&gt;"!!!"),"NEW","")))</f>
        <v>NEW</v>
      </c>
      <c r="G544" s="12" t="s">
        <v>28</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75" hidden="false" customHeight="false" outlineLevel="0" collapsed="false">
      <c r="A545" s="9" t="s">
        <v>204</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75" hidden="false" customHeight="false" outlineLevel="0" collapsed="false">
      <c r="A546" s="9" t="s">
        <v>303</v>
      </c>
      <c r="B546" s="0" t="s">
        <v>75</v>
      </c>
      <c r="C546" s="0" t="s">
        <v>21</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75" hidden="false" customHeight="false" outlineLevel="0" collapsed="false">
      <c r="A547" s="9" t="s">
        <v>22</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75" hidden="false" customHeight="false" outlineLevel="0" collapsed="false">
      <c r="A548" s="9" t="s">
        <v>39</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A549" s="9" t="s">
        <v>60</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A550" s="9" t="s">
        <v>237</v>
      </c>
      <c r="B550" s="0" t="s">
        <v>43</v>
      </c>
      <c r="C550" s="0" t="s">
        <v>58</v>
      </c>
      <c r="D550" s="0" t="s">
        <v>27</v>
      </c>
      <c r="E550" s="10" t="s">
        <v>64</v>
      </c>
      <c r="F550" s="11" t="str">
        <f aca="false">IF(OR(E550="",E550="!!!"),"",IF(NOT(ISNA(VLOOKUP(E550,E$1:E549,1,FALSE()))),"OLD",IF(AND(E550&lt;&gt;"",E550&lt;&gt;"!!!"),"NEW","")))</f>
        <v>OLD</v>
      </c>
      <c r="G550" s="12" t="s">
        <v>49</v>
      </c>
      <c r="H550" s="13" t="s">
        <v>7</v>
      </c>
      <c r="I550" s="14" t="str">
        <f aca="false">IF(OR(E550="",E550="!!!",F550="NEW"),"",INDEX(B$2:B549,-1+SUMPRODUCT(MAX(ROW(E$2:E549)*(E550=E$2:E549)))))</f>
        <v>OBJ_2</v>
      </c>
      <c r="J550" s="15" t="n">
        <f aca="true">IF(OR(E550="",E550="!!!",F550="NEW"),"",COUNTBLANK(OFFSET(A$1,,,SUMPRODUCT(MAX(ROW(E$2:E550)*(E550=E$2:E550)))))-COUNTBLANK(OFFSET(A$1,,,SUMPRODUCT(MAX(ROW(E$1:E549)*(E550=E$1:E549))))))</f>
        <v>1</v>
      </c>
      <c r="K550" s="15" t="n">
        <f aca="false">IF(OR(E550="",E550="!!!",F550="NEW"),"",INDEX(J$1:J549,SUMPRODUCT(MAX(ROW(E$1:E549)*(E550=E$1:E549)))))</f>
        <v>0</v>
      </c>
      <c r="L550" s="16"/>
    </row>
    <row r="551" customFormat="false" ht="12.75" hidden="false" customHeight="false" outlineLevel="0" collapsed="false">
      <c r="A551" s="9" t="s">
        <v>154</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9" t="s">
        <v>22</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75" hidden="false" customHeight="false" outlineLevel="0" collapsed="false">
      <c r="A553" s="9" t="s">
        <v>39</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75" hidden="false" customHeight="false" outlineLevel="0" collapsed="false">
      <c r="A554" s="9" t="s">
        <v>73</v>
      </c>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75" hidden="false" customHeight="false" outlineLevel="0" collapsed="false">
      <c r="A555" s="9" t="s">
        <v>22</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75" hidden="false" customHeight="false" outlineLevel="0" collapsed="false">
      <c r="A556" s="9" t="s">
        <v>74</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75" hidden="false" customHeight="false" outlineLevel="0" collapsed="false">
      <c r="A557" s="9" t="s">
        <v>304</v>
      </c>
      <c r="B557" s="0" t="s">
        <v>114</v>
      </c>
      <c r="C557" s="0" t="s">
        <v>26</v>
      </c>
      <c r="D557" s="0" t="s">
        <v>27</v>
      </c>
      <c r="E557" s="10" t="s">
        <v>304</v>
      </c>
      <c r="F557" s="11" t="str">
        <f aca="false">IF(OR(E557="",E557="!!!"),"",IF(NOT(ISNA(VLOOKUP(E557,E$1:E556,1,FALSE()))),"OLD",IF(AND(E557&lt;&gt;"",E557&lt;&gt;"!!!"),"NEW","")))</f>
        <v>NEW</v>
      </c>
      <c r="G557" s="12" t="s">
        <v>28</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75" hidden="false" customHeight="false" outlineLevel="0" collapsed="false">
      <c r="A558" s="9" t="s">
        <v>305</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A559" s="9" t="s">
        <v>39</v>
      </c>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75" hidden="false" customHeight="false" outlineLevel="0" collapsed="false">
      <c r="A560" s="9" t="s">
        <v>306</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A561" s="9" t="s">
        <v>105</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75" hidden="false" customHeight="false" outlineLevel="0" collapsed="false">
      <c r="A562" s="9" t="s">
        <v>45</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9" t="s">
        <v>307</v>
      </c>
      <c r="B563" s="0" t="s">
        <v>33</v>
      </c>
      <c r="C563" s="0" t="s">
        <v>47</v>
      </c>
      <c r="D563" s="0" t="s">
        <v>27</v>
      </c>
      <c r="E563" s="10" t="s">
        <v>308</v>
      </c>
      <c r="F563" s="11" t="str">
        <f aca="false">IF(OR(E563="",E563="!!!"),"",IF(NOT(ISNA(VLOOKUP(E563,E$1:E562,1,FALSE()))),"OLD",IF(AND(E563&lt;&gt;"",E563&lt;&gt;"!!!"),"NEW","")))</f>
        <v>NEW</v>
      </c>
      <c r="G563" s="12" t="s">
        <v>72</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75" hidden="false" customHeight="false" outlineLevel="0" collapsed="false">
      <c r="A564" s="9" t="s">
        <v>84</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9" t="s">
        <v>45</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9" t="s">
        <v>220</v>
      </c>
      <c r="B566" s="0" t="s">
        <v>33</v>
      </c>
      <c r="C566" s="0" t="s">
        <v>47</v>
      </c>
      <c r="D566" s="0" t="s">
        <v>27</v>
      </c>
      <c r="E566" s="10" t="s">
        <v>221</v>
      </c>
      <c r="F566" s="11" t="str">
        <f aca="false">IF(OR(E566="",E566="!!!"),"",IF(NOT(ISNA(VLOOKUP(E566,E$1:E565,1,FALSE()))),"OLD",IF(AND(E566&lt;&gt;"",E566&lt;&gt;"!!!"),"NEW","")))</f>
        <v>OLD</v>
      </c>
      <c r="G566" s="12" t="s">
        <v>72</v>
      </c>
      <c r="H566" s="13" t="str">
        <f aca="false">IF(J566&lt;&gt;1,"",IF(I566="SBJ","CB","?"))</f>
        <v/>
      </c>
      <c r="I566" s="14" t="str">
        <f aca="false">IF(OR(E566="",E566="!!!",F566="NEW"),"",INDEX(B$2:B565,-1+SUMPRODUCT(MAX(ROW(E$2:E565)*(E566=E$2:E565)))))</f>
        <v>other_4</v>
      </c>
      <c r="J566" s="15" t="n">
        <f aca="true">IF(OR(E566="",E566="!!!",F566="NEW"),"",COUNTBLANK(OFFSET(A$1,,,SUMPRODUCT(MAX(ROW(E$2:E566)*(E566=E$2:E566)))))-COUNTBLANK(OFFSET(A$1,,,SUMPRODUCT(MAX(ROW(E$1:E565)*(E566=E$1:E565))))))</f>
        <v>8</v>
      </c>
      <c r="K566" s="15" t="str">
        <f aca="false">IF(OR(E566="",E566="!!!",F566="NEW"),"",INDEX(J$1:J565,SUMPRODUCT(MAX(ROW(E$1:E565)*(E566=E$1:E565)))))</f>
        <v/>
      </c>
      <c r="L566" s="16"/>
    </row>
    <row r="567" customFormat="false" ht="12.75" hidden="false" customHeight="false" outlineLevel="0" collapsed="false">
      <c r="A567" s="9" t="s">
        <v>140</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75" hidden="false" customHeight="false" outlineLevel="0" collapsed="false">
      <c r="A568" s="9" t="s">
        <v>45</v>
      </c>
      <c r="E568" s="10" t="str">
        <f aca="false">IF(D568="?OLD","!!!","")</f>
        <v/>
      </c>
      <c r="F568" s="11" t="str">
        <f aca="false">IF(OR(E568="",E568="!!!"),"",IF(NOT(ISNA(VLOOKUP(E568,E$1:E567,1,FALSE()))),"OLD",IF(AND(E568&lt;&gt;"",E568&lt;&gt;"!!!"),"NEW","")))</f>
        <v/>
      </c>
      <c r="G568" s="12" t="str">
        <f aca="false">IF(OR(E568="",E568="!!!"),"",IF(OR(J568=0,AND(J568=1,K568=1),AND(J568=1,I568="SBJ"),AND(J568=1,I568=0)),"?IN_FOCUS",IF(J568&lt;=2,"?ACTIVATED",IF(J568&lt;&gt;"","?FAMILIAR",IF(F568="NEW",IF(ISNA(VLOOKUP(E568,#REF!,1,FALSE())),"?TYPE_IDENTIFIABLE","?REFERENTIAL"),"_")))))</f>
        <v/>
      </c>
      <c r="H568" s="13" t="str">
        <f aca="false">IF(J568&lt;&gt;1,"",IF(I568="SBJ","CB","?"))</f>
        <v/>
      </c>
      <c r="I568" s="14" t="str">
        <f aca="false">IF(OR(E568="",E568="!!!",F568="NEW"),"",INDEX(B$2:B567,-1+SUMPRODUCT(MAX(ROW(E$2:E567)*(E568=E$2:E567)))))</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75" hidden="false" customHeight="false" outlineLevel="0" collapsed="false">
      <c r="A569" s="9" t="s">
        <v>130</v>
      </c>
      <c r="B569" s="0" t="s">
        <v>30</v>
      </c>
      <c r="C569" s="0" t="s">
        <v>34</v>
      </c>
      <c r="D569" s="0" t="s">
        <v>27</v>
      </c>
      <c r="E569" s="10" t="s">
        <v>309</v>
      </c>
      <c r="F569" s="11" t="str">
        <f aca="false">IF(OR(E569="",E569="!!!"),"",IF(NOT(ISNA(VLOOKUP(E569,E$1:E568,1,FALSE()))),"OLD",IF(AND(E569&lt;&gt;"",E569&lt;&gt;"!!!"),"NEW","")))</f>
        <v>NEW</v>
      </c>
      <c r="G569" s="12" t="s">
        <v>28</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75" hidden="false" customHeight="false" outlineLevel="0" collapsed="false">
      <c r="A570" s="9" t="s">
        <v>44</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9" t="s">
        <v>117</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75" hidden="false" customHeight="false" outlineLevel="0" collapsed="false">
      <c r="A572" s="9" t="s">
        <v>310</v>
      </c>
      <c r="B572" s="0" t="s">
        <v>57</v>
      </c>
      <c r="C572" s="0" t="s">
        <v>119</v>
      </c>
      <c r="D572" s="0" t="s">
        <v>27</v>
      </c>
      <c r="E572" s="10" t="s">
        <v>311</v>
      </c>
      <c r="F572" s="11" t="str">
        <f aca="false">IF(OR(E572="",E572="!!!"),"",IF(NOT(ISNA(VLOOKUP(E572,E$1:E571,1,FALSE()))),"OLD",IF(AND(E572&lt;&gt;"",E572&lt;&gt;"!!!"),"NEW","")))</f>
        <v>NEW</v>
      </c>
      <c r="G572" s="12" t="s">
        <v>28</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9" t="s">
        <v>68</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9" t="s">
        <v>74</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75" hidden="false" customHeight="false" outlineLevel="0" collapsed="false">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75" hidden="false" customHeight="false" outlineLevel="0" collapsed="false">
      <c r="A576" s="9" t="s">
        <v>312</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75" hidden="false" customHeight="false" outlineLevel="0" collapsed="false">
      <c r="A577" s="9" t="s">
        <v>313</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75" hidden="false" customHeight="false" outlineLevel="0" collapsed="false">
      <c r="A578" s="9" t="s">
        <v>152</v>
      </c>
      <c r="B578" s="0" t="s">
        <v>79</v>
      </c>
      <c r="C578" s="0" t="s">
        <v>58</v>
      </c>
      <c r="D578" s="0" t="s">
        <v>27</v>
      </c>
      <c r="E578" s="10" t="s">
        <v>64</v>
      </c>
      <c r="F578" s="11" t="str">
        <f aca="false">IF(OR(E578="",E578="!!!"),"",IF(NOT(ISNA(VLOOKUP(E578,E$1:E577,1,FALSE()))),"OLD",IF(AND(E578&lt;&gt;"",E578&lt;&gt;"!!!"),"NEW","")))</f>
        <v>OLD</v>
      </c>
      <c r="G578" s="12" t="s">
        <v>51</v>
      </c>
      <c r="H578" s="13" t="s">
        <v>7</v>
      </c>
      <c r="I578" s="14" t="str">
        <f aca="false">IF(OR(E578="",E578="!!!",F578="NEW"),"",INDEX(B$2:B577,-1+SUMPRODUCT(MAX(ROW(E$2:E577)*(E578=E$2:E577)))))</f>
        <v>OBJ_2</v>
      </c>
      <c r="J578" s="15" t="n">
        <f aca="true">IF(OR(E578="",E578="!!!",F578="NEW"),"",COUNTBLANK(OFFSET(A$1,,,SUMPRODUCT(MAX(ROW(E$2:E578)*(E578=E$2:E578)))))-COUNTBLANK(OFFSET(A$1,,,SUMPRODUCT(MAX(ROW(E$1:E577)*(E578=E$1:E577))))))</f>
        <v>1</v>
      </c>
      <c r="K578" s="15" t="n">
        <f aca="false">IF(OR(E578="",E578="!!!",F578="NEW"),"",INDEX(J$1:J577,SUMPRODUCT(MAX(ROW(E$1:E577)*(E578=E$1:E577)))))</f>
        <v>1</v>
      </c>
      <c r="L578" s="16"/>
    </row>
    <row r="579" customFormat="false" ht="12.75" hidden="false" customHeight="false" outlineLevel="0" collapsed="false">
      <c r="A579" s="9" t="s">
        <v>142</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23.85" hidden="false" customHeight="false" outlineLevel="0" collapsed="false">
      <c r="A580" s="9" t="s">
        <v>117</v>
      </c>
      <c r="B580" s="0" t="s">
        <v>43</v>
      </c>
      <c r="C580" s="0" t="s">
        <v>190</v>
      </c>
      <c r="D580" s="0" t="s">
        <v>27</v>
      </c>
      <c r="E580" s="10"/>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t="s">
        <v>314</v>
      </c>
    </row>
    <row r="581" customFormat="false" ht="12.75" hidden="false" customHeight="false" outlineLevel="0" collapsed="false">
      <c r="A581" s="9" t="s">
        <v>22</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75" hidden="false" customHeight="false" outlineLevel="0" collapsed="false">
      <c r="A582" s="9" t="s">
        <v>152</v>
      </c>
      <c r="B582" s="0" t="s">
        <v>17</v>
      </c>
      <c r="C582" s="0" t="s">
        <v>58</v>
      </c>
      <c r="D582" s="0" t="s">
        <v>27</v>
      </c>
      <c r="E582" s="10" t="s">
        <v>64</v>
      </c>
      <c r="F582" s="11" t="str">
        <f aca="false">IF(OR(E582="",E582="!!!"),"",IF(NOT(ISNA(VLOOKUP(E582,E$1:E581,1,FALSE()))),"OLD",IF(AND(E582&lt;&gt;"",E582&lt;&gt;"!!!"),"NEW","")))</f>
        <v>OLD</v>
      </c>
      <c r="G582" s="12" t="s">
        <v>51</v>
      </c>
      <c r="H582" s="13" t="str">
        <f aca="false">IF(J582&lt;&gt;1,"",IF(I582="SBJ","CB","?"))</f>
        <v/>
      </c>
      <c r="I582" s="14" t="str">
        <f aca="false">IF(OR(E582="",E582="!!!",F582="NEW"),"",INDEX(B$2:B581,-1+SUMPRODUCT(MAX(ROW(E$2:E581)*(E582=E$2:E581)))))</f>
        <v>SBJ_2</v>
      </c>
      <c r="J582" s="15" t="n">
        <f aca="true">IF(OR(E582="",E582="!!!",F582="NEW"),"",COUNTBLANK(OFFSET(A$1,,,SUMPRODUCT(MAX(ROW(E$2:E582)*(E582=E$2:E582)))))-COUNTBLANK(OFFSET(A$1,,,SUMPRODUCT(MAX(ROW(E$1:E581)*(E582=E$1:E581))))))</f>
        <v>0</v>
      </c>
      <c r="K582" s="15" t="n">
        <f aca="false">IF(OR(E582="",E582="!!!",F582="NEW"),"",INDEX(J$1:J581,SUMPRODUCT(MAX(ROW(E$1:E581)*(E582=E$1:E581)))))</f>
        <v>1</v>
      </c>
      <c r="L582" s="16"/>
    </row>
    <row r="583" customFormat="false" ht="12.75" hidden="false" customHeight="false" outlineLevel="0" collapsed="false">
      <c r="A583" s="9" t="s">
        <v>315</v>
      </c>
      <c r="E583" s="10" t="str">
        <f aca="false">IF(D583="?OLD","!!!","")</f>
        <v/>
      </c>
      <c r="F583" s="11" t="str">
        <f aca="false">IF(OR(E583="",E583="!!!"),"",IF(NOT(ISNA(VLOOKUP(E583,E$1:E582,1,FALSE()))),"OLD",IF(AND(E583&lt;&gt;"",E583&lt;&gt;"!!!"),"NEW","")))</f>
        <v/>
      </c>
      <c r="G583" s="12" t="str">
        <f aca="false">IF(OR(E583="",E583="!!!"),"",IF(OR(J583=0,AND(J583=1,K583=1),AND(J583=1,I583="SBJ"),AND(J583=1,I583=0)),"?IN_FOCUS",IF(J583&lt;=2,"?ACTIVATED",IF(J583&lt;&gt;"","?FAMILIAR",IF(F583="NEW",IF(ISNA(VLOOKUP(E583,#REF!,1,FALSE())),"?TYPE_IDENTIFIABLE","?REFERENTIAL"),"_")))))</f>
        <v/>
      </c>
      <c r="H583" s="13" t="str">
        <f aca="false">IF(J583&lt;&gt;1,"",IF(I583="SBJ","CB","?"))</f>
        <v/>
      </c>
      <c r="I583" s="14" t="str">
        <f aca="false">IF(OR(E583="",E583="!!!",F583="NEW"),"",INDEX(B$2:B582,-1+SUMPRODUCT(MAX(ROW(E$2:E582)*(E583=E$2:E582)))))</f>
        <v/>
      </c>
      <c r="J583" s="15" t="str">
        <f aca="true">IF(OR(E583="",E583="!!!",F583="NEW"),"",COUNTBLANK(OFFSET(A$1,,,SUMPRODUCT(MAX(ROW(E$2:E583)*(E583=E$2:E583)))))-COUNTBLANK(OFFSET(A$1,,,SUMPRODUCT(MAX(ROW(E$1:E582)*(E583=E$1:E582))))))</f>
        <v/>
      </c>
      <c r="K583" s="15" t="str">
        <f aca="false">IF(OR(E583="",E583="!!!",F583="NEW"),"",INDEX(J$1:J582,SUMPRODUCT(MAX(ROW(E$1:E582)*(E583=E$1:E582)))))</f>
        <v/>
      </c>
      <c r="L583" s="16"/>
    </row>
    <row r="584" customFormat="false" ht="12.75" hidden="false" customHeight="false" outlineLevel="0" collapsed="false">
      <c r="A584" s="9" t="s">
        <v>253</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75" hidden="false" customHeight="false" outlineLevel="0" collapsed="false">
      <c r="A585" s="9" t="s">
        <v>45</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75" hidden="false" customHeight="false" outlineLevel="0" collapsed="false">
      <c r="A586" s="9" t="s">
        <v>307</v>
      </c>
      <c r="B586" s="0" t="s">
        <v>75</v>
      </c>
      <c r="C586" s="0" t="s">
        <v>47</v>
      </c>
      <c r="D586" s="0" t="s">
        <v>27</v>
      </c>
      <c r="E586" s="10" t="s">
        <v>308</v>
      </c>
      <c r="F586" s="11" t="str">
        <f aca="false">IF(OR(E586="",E586="!!!"),"",IF(NOT(ISNA(VLOOKUP(E586,E$1:E585,1,FALSE()))),"OLD",IF(AND(E586&lt;&gt;"",E586&lt;&gt;"!!!"),"NEW","")))</f>
        <v>OLD</v>
      </c>
      <c r="G586" s="12" t="s">
        <v>49</v>
      </c>
      <c r="H586" s="13"/>
      <c r="I586" s="14" t="str">
        <f aca="false">IF(OR(E586="",E586="!!!",F586="NEW"),"",INDEX(B$2:B585,-1+SUMPRODUCT(MAX(ROW(E$2:E585)*(E586=E$2:E585)))))</f>
        <v>other_3</v>
      </c>
      <c r="J586" s="15" t="n">
        <f aca="true">IF(OR(E586="",E586="!!!",F586="NEW"),"",COUNTBLANK(OFFSET(A$1,,,SUMPRODUCT(MAX(ROW(E$2:E586)*(E586=E$2:E586)))))-COUNTBLANK(OFFSET(A$1,,,SUMPRODUCT(MAX(ROW(E$1:E585)*(E586=E$1:E585))))))</f>
        <v>1</v>
      </c>
      <c r="K586" s="15" t="str">
        <f aca="false">IF(OR(E586="",E586="!!!",F586="NEW"),"",INDEX(J$1:J585,SUMPRODUCT(MAX(ROW(E$1:E585)*(E586=E$1:E585)))))</f>
        <v/>
      </c>
      <c r="L586" s="16"/>
    </row>
    <row r="587" customFormat="false" ht="12.75" hidden="false" customHeight="false" outlineLevel="0" collapsed="false">
      <c r="A587" s="9" t="s">
        <v>316</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75" hidden="false" customHeight="false" outlineLevel="0" collapsed="false">
      <c r="A588" s="9" t="s">
        <v>317</v>
      </c>
      <c r="B588" s="0" t="s">
        <v>25</v>
      </c>
      <c r="C588" s="0" t="s">
        <v>21</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75" hidden="false" customHeight="false" outlineLevel="0" collapsed="false">
      <c r="A589" s="9" t="s">
        <v>22</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75" hidden="false" customHeight="false" outlineLevel="0" collapsed="false">
      <c r="A590" s="9" t="s">
        <v>39</v>
      </c>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75" hidden="false" customHeight="false" outlineLevel="0" collapsed="false">
      <c r="A591" s="9" t="s">
        <v>318</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A592" s="9" t="s">
        <v>68</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75" hidden="false" customHeight="false" outlineLevel="0" collapsed="false">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9" t="s">
        <v>319</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75" hidden="false" customHeight="false" outlineLevel="0" collapsed="false">
      <c r="A595" s="9" t="s">
        <v>13</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A596" s="9" t="s">
        <v>45</v>
      </c>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75" hidden="false" customHeight="false" outlineLevel="0" collapsed="false">
      <c r="A597" s="9" t="s">
        <v>282</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75" hidden="false" customHeight="false" outlineLevel="0" collapsed="false">
      <c r="A598" s="9" t="s">
        <v>283</v>
      </c>
      <c r="B598" s="0" t="s">
        <v>17</v>
      </c>
      <c r="C598" s="0" t="s">
        <v>47</v>
      </c>
      <c r="D598" s="0" t="s">
        <v>27</v>
      </c>
      <c r="E598" s="10" t="s">
        <v>284</v>
      </c>
      <c r="F598" s="11" t="str">
        <f aca="false">IF(OR(E598="",E598="!!!"),"",IF(NOT(ISNA(VLOOKUP(E598,E$1:E597,1,FALSE()))),"OLD",IF(AND(E598&lt;&gt;"",E598&lt;&gt;"!!!"),"NEW","")))</f>
        <v>OLD</v>
      </c>
      <c r="G598" s="12" t="s">
        <v>72</v>
      </c>
      <c r="H598" s="13" t="str">
        <f aca="false">IF(J598&lt;&gt;1,"",IF(I598="SBJ","CB","?"))</f>
        <v/>
      </c>
      <c r="I598" s="14" t="str">
        <f aca="false">IF(OR(E598="",E598="!!!",F598="NEW"),"",INDEX(B$2:B597,-1+SUMPRODUCT(MAX(ROW(E$2:E597)*(E598=E$2:E597)))))</f>
        <v>other_2</v>
      </c>
      <c r="J598" s="15" t="n">
        <f aca="true">IF(OR(E598="",E598="!!!",F598="NEW"),"",COUNTBLANK(OFFSET(A$1,,,SUMPRODUCT(MAX(ROW(E$2:E598)*(E598=E$2:E598)))))-COUNTBLANK(OFFSET(A$1,,,SUMPRODUCT(MAX(ROW(E$1:E597)*(E598=E$1:E597))))))</f>
        <v>3</v>
      </c>
      <c r="K598" s="15" t="n">
        <f aca="false">IF(OR(E598="",E598="!!!",F598="NEW"),"",INDEX(J$1:J597,SUMPRODUCT(MAX(ROW(E$1:E597)*(E598=E$1:E597)))))</f>
        <v>0</v>
      </c>
      <c r="L598" s="16"/>
    </row>
    <row r="599" customFormat="false" ht="12.75" hidden="false" customHeight="false" outlineLevel="0" collapsed="false">
      <c r="A599" s="9" t="s">
        <v>138</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9" t="s">
        <v>22</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75" hidden="false" customHeight="false" outlineLevel="0" collapsed="false">
      <c r="A601" s="9" t="s">
        <v>39</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A602" s="9" t="s">
        <v>189</v>
      </c>
      <c r="B602" s="0" t="s">
        <v>75</v>
      </c>
      <c r="C602" s="0" t="s">
        <v>190</v>
      </c>
      <c r="D602" s="0" t="s">
        <v>27</v>
      </c>
      <c r="E602" s="10"/>
      <c r="F602" s="11" t="s">
        <v>112</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75" hidden="false" customHeight="false" outlineLevel="0" collapsed="false">
      <c r="A603" s="9" t="s">
        <v>141</v>
      </c>
      <c r="B603" s="0" t="s">
        <v>114</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75" hidden="false" customHeight="false" outlineLevel="0" collapsed="false">
      <c r="A604" s="9" t="s">
        <v>217</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75" hidden="false" customHeight="false" outlineLevel="0" collapsed="false">
      <c r="A605" s="9" t="s">
        <v>23</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A606" s="9" t="s">
        <v>150</v>
      </c>
      <c r="B606" s="0" t="s">
        <v>25</v>
      </c>
      <c r="C606" s="0" t="s">
        <v>58</v>
      </c>
      <c r="D606" s="0" t="s">
        <v>27</v>
      </c>
      <c r="E606" s="10" t="s">
        <v>284</v>
      </c>
      <c r="F606" s="11" t="str">
        <f aca="false">IF(OR(E606="",E606="!!!"),"",IF(NOT(ISNA(VLOOKUP(E606,E$1:E605,1,FALSE()))),"OLD",IF(AND(E606&lt;&gt;"",E606&lt;&gt;"!!!"),"NEW","")))</f>
        <v>OLD</v>
      </c>
      <c r="G606" s="12" t="s">
        <v>51</v>
      </c>
      <c r="H606" s="13" t="str">
        <f aca="false">IF(J606&lt;&gt;1,"",IF(I606="SBJ","CB","?"))</f>
        <v/>
      </c>
      <c r="I606" s="14" t="str">
        <f aca="false">IF(OR(E606="",E606="!!!",F606="NEW"),"",INDEX(B$2:B605,-1+SUMPRODUCT(MAX(ROW(E$2:E605)*(E606=E$2:E605)))))</f>
        <v>SBJ</v>
      </c>
      <c r="J606" s="15" t="n">
        <f aca="true">IF(OR(E606="",E606="!!!",F606="NEW"),"",COUNTBLANK(OFFSET(A$1,,,SUMPRODUCT(MAX(ROW(E$2:E606)*(E606=E$2:E606)))))-COUNTBLANK(OFFSET(A$1,,,SUMPRODUCT(MAX(ROW(E$1:E605)*(E606=E$1:E605))))))</f>
        <v>0</v>
      </c>
      <c r="K606" s="15" t="n">
        <f aca="false">IF(OR(E606="",E606="!!!",F606="NEW"),"",INDEX(J$1:J605,SUMPRODUCT(MAX(ROW(E$1:E605)*(E606=E$1:E605)))))</f>
        <v>3</v>
      </c>
      <c r="L606" s="16"/>
    </row>
    <row r="607" customFormat="false" ht="12.75" hidden="false" customHeight="false" outlineLevel="0" collapsed="false">
      <c r="A607" s="9" t="s">
        <v>22</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9" t="s">
        <v>39</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75" hidden="false" customHeight="false" outlineLevel="0" collapsed="false">
      <c r="A609" s="9" t="s">
        <v>320</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75" hidden="false" customHeight="false" outlineLevel="0" collapsed="false">
      <c r="A610" s="9" t="s">
        <v>45</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75" hidden="false" customHeight="false" outlineLevel="0" collapsed="false">
      <c r="A611" s="9" t="s">
        <v>321</v>
      </c>
      <c r="B611" s="0" t="s">
        <v>43</v>
      </c>
      <c r="C611" s="0" t="s">
        <v>47</v>
      </c>
      <c r="D611" s="0" t="s">
        <v>27</v>
      </c>
      <c r="E611" s="10" t="s">
        <v>322</v>
      </c>
      <c r="F611" s="11" t="str">
        <f aca="false">IF(OR(E611="",E611="!!!"),"",IF(NOT(ISNA(VLOOKUP(E611,E$1:E610,1,FALSE()))),"OLD",IF(AND(E611&lt;&gt;"",E611&lt;&gt;"!!!"),"NEW","")))</f>
        <v>NEW</v>
      </c>
      <c r="G611" s="12" t="s">
        <v>72</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75" hidden="false" customHeight="false" outlineLevel="0" collapsed="false">
      <c r="A612" s="9" t="s">
        <v>183</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75" hidden="false" customHeight="false" outlineLevel="0" collapsed="false">
      <c r="A613" s="9" t="s">
        <v>22</v>
      </c>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75" hidden="false" customHeight="false" outlineLevel="0" collapsed="false">
      <c r="A614" s="9" t="s">
        <v>39</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75" hidden="false" customHeight="false" outlineLevel="0" collapsed="false">
      <c r="A615" s="9" t="s">
        <v>140</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75" hidden="false" customHeight="false" outlineLevel="0" collapsed="false">
      <c r="A616" s="9" t="s">
        <v>45</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75" hidden="false" customHeight="false" outlineLevel="0" collapsed="false">
      <c r="A617" s="9" t="s">
        <v>323</v>
      </c>
      <c r="B617" s="0" t="s">
        <v>75</v>
      </c>
      <c r="C617" s="0" t="s">
        <v>47</v>
      </c>
      <c r="D617" s="0" t="s">
        <v>27</v>
      </c>
      <c r="E617" s="10" t="s">
        <v>324</v>
      </c>
      <c r="F617" s="11" t="str">
        <f aca="false">IF(OR(E617="",E617="!!!"),"",IF(NOT(ISNA(VLOOKUP(E617,E$1:E616,1,FALSE()))),"OLD",IF(AND(E617&lt;&gt;"",E617&lt;&gt;"!!!"),"NEW","")))</f>
        <v>NEW</v>
      </c>
      <c r="G617" s="12" t="s">
        <v>28</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75" hidden="false" customHeight="false" outlineLevel="0" collapsed="false">
      <c r="A618" s="9" t="s">
        <v>44</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75" hidden="false" customHeight="false" outlineLevel="0" collapsed="false">
      <c r="A619" s="9" t="s">
        <v>45</v>
      </c>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75" hidden="false" customHeight="false" outlineLevel="0" collapsed="false">
      <c r="A620" s="9" t="s">
        <v>325</v>
      </c>
      <c r="B620" s="0" t="s">
        <v>25</v>
      </c>
      <c r="C620" s="0" t="s">
        <v>34</v>
      </c>
      <c r="D620" s="0" t="s">
        <v>27</v>
      </c>
      <c r="E620" s="10" t="s">
        <v>324</v>
      </c>
      <c r="F620" s="11" t="str">
        <f aca="false">IF(OR(E620="",E620="!!!"),"",IF(NOT(ISNA(VLOOKUP(E620,E$1:E619,1,FALSE()))),"OLD",IF(AND(E620&lt;&gt;"",E620&lt;&gt;"!!!"),"NEW","")))</f>
        <v>OLD</v>
      </c>
      <c r="G620" s="12" t="s">
        <v>51</v>
      </c>
      <c r="H620" s="13" t="str">
        <f aca="false">IF(J620&lt;&gt;1,"",IF(I620="SBJ","CB","?"))</f>
        <v/>
      </c>
      <c r="I620" s="14" t="str">
        <f aca="false">IF(OR(E620="",E620="!!!",F620="NEW"),"",INDEX(B$2:B619,-1+SUMPRODUCT(MAX(ROW(E$2:E619)*(E620=E$2:E619)))))</f>
        <v>other</v>
      </c>
      <c r="J620" s="15" t="n">
        <f aca="true">IF(OR(E620="",E620="!!!",F620="NEW"),"",COUNTBLANK(OFFSET(A$1,,,SUMPRODUCT(MAX(ROW(E$2:E620)*(E620=E$2:E620)))))-COUNTBLANK(OFFSET(A$1,,,SUMPRODUCT(MAX(ROW(E$1:E619)*(E620=E$1:E619))))))</f>
        <v>0</v>
      </c>
      <c r="K620" s="15" t="str">
        <f aca="false">IF(OR(E620="",E620="!!!",F620="NEW"),"",INDEX(J$1:J619,SUMPRODUCT(MAX(ROW(E$1:E619)*(E620=E$1:E619)))))</f>
        <v/>
      </c>
      <c r="L620" s="16"/>
    </row>
    <row r="621" customFormat="false" ht="12.75" hidden="false" customHeight="false" outlineLevel="0" collapsed="false">
      <c r="A621" s="9" t="s">
        <v>44</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75" hidden="false" customHeight="false" outlineLevel="0" collapsed="false">
      <c r="A622" s="9" t="s">
        <v>326</v>
      </c>
      <c r="B622" s="0" t="s">
        <v>33</v>
      </c>
      <c r="C622" s="0" t="s">
        <v>26</v>
      </c>
      <c r="D622" s="0" t="s">
        <v>27</v>
      </c>
      <c r="E622" s="10" t="s">
        <v>326</v>
      </c>
      <c r="F622" s="11" t="str">
        <f aca="false">IF(OR(E622="",E622="!!!"),"",IF(NOT(ISNA(VLOOKUP(E622,E$1:E621,1,FALSE()))),"OLD",IF(AND(E622&lt;&gt;"",E622&lt;&gt;"!!!"),"NEW","")))</f>
        <v>NEW</v>
      </c>
      <c r="G622" s="12" t="s">
        <v>72</v>
      </c>
      <c r="H622" s="13" t="str">
        <f aca="false">IF(J622&lt;&gt;1,"",IF(I622="SBJ","CB","?"))</f>
        <v/>
      </c>
      <c r="I622" s="14" t="str">
        <f aca="false">IF(OR(E622="",E622="!!!",F622="NEW"),"",INDEX(B$2:B621,-1+SUMPRODUCT(MAX(ROW(E$2:E621)*(E622=E$2:E621)))))</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75" hidden="false" customHeight="false" outlineLevel="0" collapsed="false">
      <c r="A623" s="9" t="s">
        <v>22</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75" hidden="false" customHeight="false" outlineLevel="0" collapsed="false">
      <c r="A624" s="9" t="s">
        <v>39</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75" hidden="false" customHeight="false" outlineLevel="0" collapsed="false">
      <c r="A625" s="9" t="s">
        <v>327</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75" hidden="false" customHeight="false" outlineLevel="0" collapsed="false">
      <c r="A626" s="9" t="s">
        <v>84</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75" hidden="false" customHeight="false" outlineLevel="0" collapsed="false">
      <c r="A627" s="9" t="s">
        <v>45</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75" hidden="false" customHeight="false" outlineLevel="0" collapsed="false">
      <c r="A628" s="9" t="s">
        <v>300</v>
      </c>
      <c r="B628" s="0" t="s">
        <v>25</v>
      </c>
      <c r="C628" s="0" t="s">
        <v>47</v>
      </c>
      <c r="D628" s="0" t="s">
        <v>27</v>
      </c>
      <c r="E628" s="10" t="s">
        <v>328</v>
      </c>
      <c r="F628" s="11" t="str">
        <f aca="false">IF(OR(E628="",E628="!!!"),"",IF(NOT(ISNA(VLOOKUP(E628,E$1:E627,1,FALSE()))),"OLD",IF(AND(E628&lt;&gt;"",E628&lt;&gt;"!!!"),"NEW","")))</f>
        <v>NEW</v>
      </c>
      <c r="G628" s="12" t="s">
        <v>28</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75" hidden="false" customHeight="false" outlineLevel="0" collapsed="false">
      <c r="A629" s="9" t="s">
        <v>84</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75" hidden="false" customHeight="false" outlineLevel="0" collapsed="false">
      <c r="A630" s="9" t="s">
        <v>115</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75" hidden="false" customHeight="false" outlineLevel="0" collapsed="false">
      <c r="A631" s="9" t="s">
        <v>237</v>
      </c>
      <c r="B631" s="0" t="s">
        <v>90</v>
      </c>
      <c r="C631" s="0" t="s">
        <v>58</v>
      </c>
      <c r="D631" s="0" t="s">
        <v>27</v>
      </c>
      <c r="E631" s="10" t="s">
        <v>64</v>
      </c>
      <c r="F631" s="11" t="str">
        <f aca="false">IF(OR(E631="",E631="!!!"),"",IF(NOT(ISNA(VLOOKUP(E631,E$1:E630,1,FALSE()))),"OLD",IF(AND(E631&lt;&gt;"",E631&lt;&gt;"!!!"),"NEW","")))</f>
        <v>OLD</v>
      </c>
      <c r="G631" s="12" t="s">
        <v>51</v>
      </c>
      <c r="H631" s="13" t="str">
        <f aca="false">IF(J631&lt;&gt;1,"",IF(I631="SBJ","CB","?"))</f>
        <v>CB</v>
      </c>
      <c r="I631" s="14" t="str">
        <f aca="false">IF(OR(E631="",E631="!!!",F631="NEW"),"",INDEX(B$2:B630,-1+SUMPRODUCT(MAX(ROW(E$2:E630)*(E631=E$2:E630)))))</f>
        <v>SBJ</v>
      </c>
      <c r="J631" s="15" t="n">
        <f aca="true">IF(OR(E631="",E631="!!!",F631="NEW"),"",COUNTBLANK(OFFSET(A$1,,,SUMPRODUCT(MAX(ROW(E$2:E631)*(E631=E$2:E631)))))-COUNTBLANK(OFFSET(A$1,,,SUMPRODUCT(MAX(ROW(E$1:E630)*(E631=E$1:E630))))))</f>
        <v>1</v>
      </c>
      <c r="K631" s="15" t="n">
        <f aca="false">IF(OR(E631="",E631="!!!",F631="NEW"),"",INDEX(J$1:J630,SUMPRODUCT(MAX(ROW(E$1:E630)*(E631=E$1:E630)))))</f>
        <v>0</v>
      </c>
      <c r="L631" s="16"/>
    </row>
    <row r="632" customFormat="false" ht="12.75" hidden="false" customHeight="false" outlineLevel="0" collapsed="false">
      <c r="A632" s="9" t="s">
        <v>60</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75" hidden="false" customHeight="false" outlineLevel="0" collapsed="false">
      <c r="A633" s="9" t="s">
        <v>68</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75" hidden="false" customHeight="false" outlineLevel="0" collapsed="false">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75" hidden="false" customHeight="false" outlineLevel="0" collapsed="false">
      <c r="A635" s="9" t="s">
        <v>329</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75" hidden="false" customHeight="false" outlineLevel="0" collapsed="false">
      <c r="A636" s="9" t="s">
        <v>13</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75" hidden="false" customHeight="false" outlineLevel="0" collapsed="false">
      <c r="A637" s="9" t="s">
        <v>45</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75" hidden="false" customHeight="false" outlineLevel="0" collapsed="false">
      <c r="A638" s="9" t="s">
        <v>330</v>
      </c>
      <c r="B638" s="0" t="s">
        <v>75</v>
      </c>
      <c r="C638" s="0" t="s">
        <v>47</v>
      </c>
      <c r="D638" s="0" t="s">
        <v>27</v>
      </c>
      <c r="E638" s="10" t="s">
        <v>331</v>
      </c>
      <c r="F638" s="11" t="str">
        <f aca="false">IF(OR(E638="",E638="!!!"),"",IF(NOT(ISNA(VLOOKUP(E638,E$1:E637,1,FALSE()))),"OLD",IF(AND(E638&lt;&gt;"",E638&lt;&gt;"!!!"),"NEW","")))</f>
        <v>NEW</v>
      </c>
      <c r="G638" s="12" t="s">
        <v>28</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75" hidden="false" customHeight="false" outlineLevel="0" collapsed="false">
      <c r="A639" s="9" t="s">
        <v>141</v>
      </c>
      <c r="B639" s="0" t="s">
        <v>79</v>
      </c>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75" hidden="false" customHeight="false" outlineLevel="0" collapsed="false">
      <c r="A640" s="9" t="s">
        <v>138</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75" hidden="false" customHeight="false" outlineLevel="0" collapsed="false">
      <c r="A641" s="9" t="s">
        <v>97</v>
      </c>
      <c r="E641" s="10" t="str">
        <f aca="false">IF(D641="?OLD","!!!","")</f>
        <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75" hidden="false" customHeight="false" outlineLevel="0" collapsed="false">
      <c r="A642" s="9" t="s">
        <v>98</v>
      </c>
      <c r="E642" s="10" t="str">
        <f aca="false">IF(D642="?OLD","!!!","")</f>
        <v/>
      </c>
      <c r="F642" s="11" t="str">
        <f aca="false">IF(OR(E642="",E642="!!!"),"",IF(NOT(ISNA(VLOOKUP(E642,E$1:E641,1,FALSE()))),"OLD",IF(AND(E642&lt;&gt;"",E642&lt;&gt;"!!!"),"NEW","")))</f>
        <v/>
      </c>
      <c r="G642" s="12" t="str">
        <f aca="false">IF(OR(E642="",E642="!!!"),"",IF(OR(J642=0,AND(J642=1,K642=1),AND(J642=1,I642="SBJ"),AND(J642=1,I642=0)),"?IN_FOCUS",IF(J642&lt;=2,"?ACTIVATED",IF(J642&lt;&gt;"","?FAMILIAR",IF(F642="NEW",IF(ISNA(VLOOKUP(E642,#REF!,1,FALSE())),"?TYPE_IDENTIFIABLE","?REFERENTIAL"),"_")))))</f>
        <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75" hidden="false" customHeight="false" outlineLevel="0" collapsed="false">
      <c r="A643" s="9" t="s">
        <v>332</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75" hidden="false" customHeight="false" outlineLevel="0" collapsed="false">
      <c r="A644" s="9" t="s">
        <v>237</v>
      </c>
      <c r="B644" s="0" t="s">
        <v>90</v>
      </c>
      <c r="C644" s="0" t="s">
        <v>58</v>
      </c>
      <c r="D644" s="0" t="s">
        <v>27</v>
      </c>
      <c r="E644" s="10" t="s">
        <v>64</v>
      </c>
      <c r="F644" s="11" t="str">
        <f aca="false">IF(OR(E644="",E644="!!!"),"",IF(NOT(ISNA(VLOOKUP(E644,E$1:E643,1,FALSE()))),"OLD",IF(AND(E644&lt;&gt;"",E644&lt;&gt;"!!!"),"NEW","")))</f>
        <v>OLD</v>
      </c>
      <c r="G644" s="12" t="s">
        <v>51</v>
      </c>
      <c r="H644" s="13" t="s">
        <v>7</v>
      </c>
      <c r="I644" s="14" t="str">
        <f aca="false">IF(OR(E644="",E644="!!!",F644="NEW"),"",INDEX(B$2:B643,-1+SUMPRODUCT(MAX(ROW(E$2:E643)*(E644=E$2:E643)))))</f>
        <v>OBJ_3</v>
      </c>
      <c r="J644" s="15" t="n">
        <f aca="true">IF(OR(E644="",E644="!!!",F644="NEW"),"",COUNTBLANK(OFFSET(A$1,,,SUMPRODUCT(MAX(ROW(E$2:E644)*(E644=E$2:E644)))))-COUNTBLANK(OFFSET(A$1,,,SUMPRODUCT(MAX(ROW(E$1:E643)*(E644=E$1:E643))))))</f>
        <v>1</v>
      </c>
      <c r="K644" s="15" t="n">
        <f aca="false">IF(OR(E644="",E644="!!!",F644="NEW"),"",INDEX(J$1:J643,SUMPRODUCT(MAX(ROW(E$1:E643)*(E644=E$1:E643)))))</f>
        <v>1</v>
      </c>
      <c r="L644" s="16"/>
    </row>
    <row r="645" customFormat="false" ht="12.75" hidden="false" customHeight="false" outlineLevel="0" collapsed="false">
      <c r="A645" s="9" t="s">
        <v>105</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75" hidden="false" customHeight="false" outlineLevel="0" collapsed="false">
      <c r="A646" s="9" t="s">
        <v>45</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75" hidden="false" customHeight="false" outlineLevel="0" collapsed="false">
      <c r="A647" s="9" t="s">
        <v>300</v>
      </c>
      <c r="B647" s="0" t="s">
        <v>33</v>
      </c>
      <c r="C647" s="0" t="s">
        <v>47</v>
      </c>
      <c r="D647" s="0" t="s">
        <v>27</v>
      </c>
      <c r="E647" s="10" t="s">
        <v>328</v>
      </c>
      <c r="F647" s="11" t="str">
        <f aca="false">IF(OR(E647="",E647="!!!"),"",IF(NOT(ISNA(VLOOKUP(E647,E$1:E646,1,FALSE()))),"OLD",IF(AND(E647&lt;&gt;"",E647&lt;&gt;"!!!"),"NEW","")))</f>
        <v>OLD</v>
      </c>
      <c r="G647" s="12" t="s">
        <v>28</v>
      </c>
      <c r="H647" s="13"/>
      <c r="I647" s="14" t="str">
        <f aca="false">IF(OR(E647="",E647="!!!",F647="NEW"),"",INDEX(B$2:B646,-1+SUMPRODUCT(MAX(ROW(E$2:E646)*(E647=E$2:E646)))))</f>
        <v>other_2</v>
      </c>
      <c r="J647" s="15" t="n">
        <f aca="true">IF(OR(E647="",E647="!!!",F647="NEW"),"",COUNTBLANK(OFFSET(A$1,,,SUMPRODUCT(MAX(ROW(E$2:E647)*(E647=E$2:E647)))))-COUNTBLANK(OFFSET(A$1,,,SUMPRODUCT(MAX(ROW(E$1:E646)*(E647=E$1:E646))))))</f>
        <v>1</v>
      </c>
      <c r="K647" s="15" t="str">
        <f aca="false">IF(OR(E647="",E647="!!!",F647="NEW"),"",INDEX(J$1:J646,SUMPRODUCT(MAX(ROW(E$1:E646)*(E647=E$1:E646)))))</f>
        <v/>
      </c>
      <c r="L647" s="16"/>
    </row>
    <row r="648" customFormat="false" ht="12.75" hidden="false" customHeight="false" outlineLevel="0" collapsed="false">
      <c r="A648" s="9" t="s">
        <v>68</v>
      </c>
      <c r="E648" s="10" t="str">
        <f aca="false">IF(D648="?OLD","!!!","")</f>
        <v/>
      </c>
      <c r="F648" s="11" t="str">
        <f aca="false">IF(OR(E648="",E648="!!!"),"",IF(NOT(ISNA(VLOOKUP(E648,E$1:E647,1,FALSE()))),"OLD",IF(AND(E648&lt;&gt;"",E648&lt;&gt;"!!!"),"NEW","")))</f>
        <v/>
      </c>
      <c r="G648" s="12" t="str">
        <f aca="false">IF(OR(E648="",E648="!!!"),"",IF(OR(J648=0,AND(J648=1,K648=1),AND(J648=1,I648="SBJ"),AND(J648=1,I648=0)),"?IN_FOCUS",IF(J648&lt;=2,"?ACTIVATED",IF(J648&lt;&gt;"","?FAMILIAR",IF(F648="NEW",IF(ISNA(VLOOKUP(E648,#REF!,1,FALSE())),"?TYPE_IDENTIFIABLE","?REFERENTIAL"),"_")))))</f>
        <v/>
      </c>
      <c r="H648" s="13" t="str">
        <f aca="false">IF(J648&lt;&gt;1,"",IF(I648="SBJ","CB","?"))</f>
        <v/>
      </c>
      <c r="I648" s="14" t="str">
        <f aca="false">IF(OR(E648="",E648="!!!",F648="NEW"),"",INDEX(B$2:B647,-1+SUMPRODUCT(MAX(ROW(E$2:E647)*(E648=E$2:E647)))))</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75" hidden="false" customHeight="false" outlineLevel="0" collapsed="false">
      <c r="E649" s="10" t="str">
        <f aca="false">IF(D649="?OLD","!!!","")</f>
        <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75" hidden="false" customHeight="false" outlineLevel="0" collapsed="false">
      <c r="A650" s="9" t="s">
        <v>69</v>
      </c>
      <c r="E650" s="10" t="str">
        <f aca="false">IF(D650="?OLD","!!!","")</f>
        <v/>
      </c>
      <c r="F650" s="11" t="str">
        <f aca="false">IF(OR(E650="",E650="!!!"),"",IF(NOT(ISNA(VLOOKUP(E650,E$1:E649,1,FALSE()))),"OLD",IF(AND(E650&lt;&gt;"",E650&lt;&gt;"!!!"),"NEW","")))</f>
        <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75" hidden="false" customHeight="false" outlineLevel="0" collapsed="false">
      <c r="A651" s="9" t="s">
        <v>333</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75" hidden="false" customHeight="false" outlineLevel="0" collapsed="false">
      <c r="A652" s="9" t="s">
        <v>223</v>
      </c>
      <c r="B652" s="0" t="s">
        <v>79</v>
      </c>
      <c r="C652" s="0" t="s">
        <v>58</v>
      </c>
      <c r="D652" s="0" t="s">
        <v>27</v>
      </c>
      <c r="E652" s="10" t="s">
        <v>331</v>
      </c>
      <c r="F652" s="11" t="str">
        <f aca="false">IF(OR(E652="",E652="!!!"),"",IF(NOT(ISNA(VLOOKUP(E652,E$1:E651,1,FALSE()))),"OLD",IF(AND(E652&lt;&gt;"",E652&lt;&gt;"!!!"),"NEW","")))</f>
        <v>OLD</v>
      </c>
      <c r="G652" s="12" t="s">
        <v>49</v>
      </c>
      <c r="H652" s="13" t="s">
        <v>7</v>
      </c>
      <c r="I652" s="14" t="str">
        <f aca="false">IF(OR(E652="",E652="!!!",F652="NEW"),"",INDEX(B$2:B651,-1+SUMPRODUCT(MAX(ROW(E$2:E651)*(E652=E$2:E651)))))</f>
        <v>other</v>
      </c>
      <c r="J652" s="15" t="n">
        <f aca="true">IF(OR(E652="",E652="!!!",F652="NEW"),"",COUNTBLANK(OFFSET(A$1,,,SUMPRODUCT(MAX(ROW(E$2:E652)*(E652=E$2:E652)))))-COUNTBLANK(OFFSET(A$1,,,SUMPRODUCT(MAX(ROW(E$1:E651)*(E652=E$1:E651))))))</f>
        <v>1</v>
      </c>
      <c r="K652" s="15" t="str">
        <f aca="false">IF(OR(E652="",E652="!!!",F652="NEW"),"",INDEX(J$1:J651,SUMPRODUCT(MAX(ROW(E$1:E651)*(E652=E$1:E651)))))</f>
        <v/>
      </c>
      <c r="L652" s="16"/>
    </row>
    <row r="653" customFormat="false" ht="12.75" hidden="false" customHeight="false" outlineLevel="0" collapsed="false">
      <c r="A653" s="9" t="s">
        <v>334</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75" hidden="false" customHeight="false" outlineLevel="0" collapsed="false">
      <c r="A654" s="9" t="s">
        <v>39</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75" hidden="false" customHeight="false" outlineLevel="0" collapsed="false">
      <c r="A655" s="9" t="s">
        <v>335</v>
      </c>
      <c r="E655" s="10" t="str">
        <f aca="false">IF(D655="?OLD","!!!","")</f>
        <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75" hidden="false" customHeight="false" outlineLevel="0" collapsed="false">
      <c r="A656" s="9" t="s">
        <v>22</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75" hidden="false" customHeight="false" outlineLevel="0" collapsed="false">
      <c r="A657" s="9" t="s">
        <v>74</v>
      </c>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75" hidden="false" customHeight="false" outlineLevel="0" collapsed="false">
      <c r="A658" s="9" t="s">
        <v>336</v>
      </c>
      <c r="B658" s="0" t="s">
        <v>17</v>
      </c>
      <c r="C658" s="0" t="s">
        <v>58</v>
      </c>
      <c r="D658" s="0" t="s">
        <v>27</v>
      </c>
      <c r="E658" s="10" t="s">
        <v>331</v>
      </c>
      <c r="F658" s="11" t="str">
        <f aca="false">IF(OR(E658="",E658="!!!"),"",IF(NOT(ISNA(VLOOKUP(E658,E$1:E657,1,FALSE()))),"OLD",IF(AND(E658&lt;&gt;"",E658&lt;&gt;"!!!"),"NEW","")))</f>
        <v>OLD</v>
      </c>
      <c r="G658" s="12" t="s">
        <v>51</v>
      </c>
      <c r="H658" s="13" t="str">
        <f aca="false">IF(J658&lt;&gt;1,"",IF(I658="SBJ","CB","?"))</f>
        <v/>
      </c>
      <c r="I658" s="14" t="str">
        <f aca="false">IF(OR(E658="",E658="!!!",F658="NEW"),"",INDEX(B$2:B657,-1+SUMPRODUCT(MAX(ROW(E$2:E657)*(E658=E$2:E657)))))</f>
        <v>SBJ_2</v>
      </c>
      <c r="J658" s="15" t="n">
        <f aca="true">IF(OR(E658="",E658="!!!",F658="NEW"),"",COUNTBLANK(OFFSET(A$1,,,SUMPRODUCT(MAX(ROW(E$2:E658)*(E658=E$2:E658)))))-COUNTBLANK(OFFSET(A$1,,,SUMPRODUCT(MAX(ROW(E$1:E657)*(E658=E$1:E657))))))</f>
        <v>0</v>
      </c>
      <c r="K658" s="15" t="n">
        <f aca="false">IF(OR(E658="",E658="!!!",F658="NEW"),"",INDEX(J$1:J657,SUMPRODUCT(MAX(ROW(E$1:E657)*(E658=E$1:E657)))))</f>
        <v>1</v>
      </c>
      <c r="L658" s="16"/>
    </row>
    <row r="659" customFormat="false" ht="12.75" hidden="false" customHeight="false" outlineLevel="0" collapsed="false">
      <c r="A659" s="9" t="s">
        <v>202</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75" hidden="false" customHeight="false" outlineLevel="0" collapsed="false">
      <c r="A660" s="9" t="s">
        <v>45</v>
      </c>
      <c r="E660" s="10" t="str">
        <f aca="false">IF(D660="?OLD","!!!","")</f>
        <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75" hidden="false" customHeight="false" outlineLevel="0" collapsed="false">
      <c r="A661" s="9" t="s">
        <v>300</v>
      </c>
      <c r="B661" s="0" t="s">
        <v>38</v>
      </c>
      <c r="C661" s="0" t="s">
        <v>47</v>
      </c>
      <c r="D661" s="0" t="s">
        <v>27</v>
      </c>
      <c r="E661" s="10" t="s">
        <v>328</v>
      </c>
      <c r="F661" s="11" t="str">
        <f aca="false">IF(OR(E661="",E661="!!!"),"",IF(NOT(ISNA(VLOOKUP(E661,E$1:E660,1,FALSE()))),"OLD",IF(AND(E661&lt;&gt;"",E661&lt;&gt;"!!!"),"NEW","")))</f>
        <v>OLD</v>
      </c>
      <c r="G661" s="12" t="s">
        <v>49</v>
      </c>
      <c r="H661" s="13"/>
      <c r="I661" s="14" t="str">
        <f aca="false">IF(OR(E661="",E661="!!!",F661="NEW"),"",INDEX(B$2:B660,-1+SUMPRODUCT(MAX(ROW(E$2:E660)*(E661=E$2:E660)))))</f>
        <v>other_3</v>
      </c>
      <c r="J661" s="15" t="n">
        <f aca="true">IF(OR(E661="",E661="!!!",F661="NEW"),"",COUNTBLANK(OFFSET(A$1,,,SUMPRODUCT(MAX(ROW(E$2:E661)*(E661=E$2:E661)))))-COUNTBLANK(OFFSET(A$1,,,SUMPRODUCT(MAX(ROW(E$1:E660)*(E661=E$1:E660))))))</f>
        <v>1</v>
      </c>
      <c r="K661" s="15" t="n">
        <f aca="false">IF(OR(E661="",E661="!!!",F661="NEW"),"",INDEX(J$1:J660,SUMPRODUCT(MAX(ROW(E$1:E660)*(E661=E$1:E660)))))</f>
        <v>1</v>
      </c>
      <c r="L661" s="16"/>
    </row>
    <row r="662" customFormat="false" ht="12.75" hidden="false" customHeight="false" outlineLevel="0" collapsed="false">
      <c r="A662" s="9" t="s">
        <v>337</v>
      </c>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75" hidden="false" customHeight="false" outlineLevel="0" collapsed="false">
      <c r="A663" s="9" t="s">
        <v>39</v>
      </c>
      <c r="E663" s="10" t="str">
        <f aca="false">IF(D663="?OLD","!!!","")</f>
        <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75" hidden="false" customHeight="false" outlineLevel="0" collapsed="false">
      <c r="A664" s="9" t="s">
        <v>338</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75" hidden="false" customHeight="false" outlineLevel="0" collapsed="false">
      <c r="A665" s="9" t="s">
        <v>22</v>
      </c>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75" hidden="false" customHeight="false" outlineLevel="0" collapsed="false">
      <c r="A666" s="9" t="s">
        <v>39</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75" hidden="false" customHeight="false" outlineLevel="0" collapsed="false">
      <c r="A667" s="9" t="s">
        <v>45</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75" hidden="false" customHeight="false" outlineLevel="0" collapsed="false">
      <c r="A668" s="9" t="s">
        <v>339</v>
      </c>
      <c r="B668" s="0" t="s">
        <v>75</v>
      </c>
      <c r="C668" s="0" t="s">
        <v>47</v>
      </c>
      <c r="D668" s="0" t="s">
        <v>27</v>
      </c>
      <c r="E668" s="10" t="s">
        <v>340</v>
      </c>
      <c r="F668" s="11" t="str">
        <f aca="false">IF(OR(E668="",E668="!!!"),"",IF(NOT(ISNA(VLOOKUP(E668,E$1:E667,1,FALSE()))),"OLD",IF(AND(E668&lt;&gt;"",E668&lt;&gt;"!!!"),"NEW","")))</f>
        <v>NEW</v>
      </c>
      <c r="G668" s="12" t="s">
        <v>28</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75" hidden="false" customHeight="false" outlineLevel="0" collapsed="false">
      <c r="A669" s="9" t="s">
        <v>341</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75" hidden="false" customHeight="false" outlineLevel="0" collapsed="false">
      <c r="A670" s="9" t="s">
        <v>342</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75" hidden="false" customHeight="false" outlineLevel="0" collapsed="false">
      <c r="A671" s="9" t="s">
        <v>45</v>
      </c>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75" hidden="false" customHeight="false" outlineLevel="0" collapsed="false">
      <c r="A672" s="9" t="s">
        <v>301</v>
      </c>
      <c r="B672" s="0" t="s">
        <v>33</v>
      </c>
      <c r="C672" s="0" t="s">
        <v>47</v>
      </c>
      <c r="D672" s="0" t="s">
        <v>27</v>
      </c>
      <c r="E672" s="10" t="s">
        <v>302</v>
      </c>
      <c r="F672" s="11" t="str">
        <f aca="false">IF(OR(E672="",E672="!!!"),"",IF(NOT(ISNA(VLOOKUP(E672,E$1:E671,1,FALSE()))),"OLD",IF(AND(E672&lt;&gt;"",E672&lt;&gt;"!!!"),"NEW","")))</f>
        <v>OLD</v>
      </c>
      <c r="G672" s="12" t="s">
        <v>72</v>
      </c>
      <c r="H672" s="13" t="str">
        <f aca="false">IF(J672&lt;&gt;1,"",IF(I672="SBJ","CB","?"))</f>
        <v/>
      </c>
      <c r="I672" s="14" t="str">
        <f aca="false">IF(OR(E672="",E672="!!!",F672="NEW"),"",INDEX(B$2:B671,-1+SUMPRODUCT(MAX(ROW(E$2:E671)*(E672=E$2:E671)))))</f>
        <v>OBJ</v>
      </c>
      <c r="J672" s="15" t="n">
        <f aca="true">IF(OR(E672="",E672="!!!",F672="NEW"),"",COUNTBLANK(OFFSET(A$1,,,SUMPRODUCT(MAX(ROW(E$2:E672)*(E672=E$2:E672)))))-COUNTBLANK(OFFSET(A$1,,,SUMPRODUCT(MAX(ROW(E$1:E671)*(E672=E$1:E671))))))</f>
        <v>4</v>
      </c>
      <c r="K672" s="15" t="str">
        <f aca="false">IF(OR(E672="",E672="!!!",F672="NEW"),"",INDEX(J$1:J671,SUMPRODUCT(MAX(ROW(E$1:E671)*(E672=E$1:E671)))))</f>
        <v/>
      </c>
      <c r="L672" s="16"/>
    </row>
    <row r="673" customFormat="false" ht="12.75" hidden="false" customHeight="false" outlineLevel="0" collapsed="false">
      <c r="A673" s="9" t="s">
        <v>22</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75" hidden="false" customHeight="false" outlineLevel="0" collapsed="false">
      <c r="A674" s="9" t="s">
        <v>125</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75" hidden="false" customHeight="false" outlineLevel="0" collapsed="false">
      <c r="A675" s="9" t="s">
        <v>343</v>
      </c>
      <c r="E675" s="10" t="str">
        <f aca="false">IF(D675="?OLD","!!!","")</f>
        <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75" hidden="false" customHeight="false" outlineLevel="0" collapsed="false">
      <c r="A676" s="9" t="s">
        <v>344</v>
      </c>
      <c r="B676" s="0" t="s">
        <v>114</v>
      </c>
      <c r="C676" s="0" t="s">
        <v>58</v>
      </c>
      <c r="D676" s="0" t="s">
        <v>27</v>
      </c>
      <c r="E676" s="10" t="s">
        <v>331</v>
      </c>
      <c r="F676" s="11" t="str">
        <f aca="false">IF(OR(E676="",E676="!!!"),"",IF(NOT(ISNA(VLOOKUP(E676,E$1:E675,1,FALSE()))),"OLD",IF(AND(E676&lt;&gt;"",E676&lt;&gt;"!!!"),"NEW","")))</f>
        <v>OLD</v>
      </c>
      <c r="G676" s="12" t="s">
        <v>51</v>
      </c>
      <c r="H676" s="13" t="str">
        <f aca="false">IF(J676&lt;&gt;1,"",IF(I676="SBJ","CB","?"))</f>
        <v/>
      </c>
      <c r="I676" s="14" t="str">
        <f aca="false">IF(OR(E676="",E676="!!!",F676="NEW"),"",INDEX(B$2:B675,-1+SUMPRODUCT(MAX(ROW(E$2:E675)*(E676=E$2:E675)))))</f>
        <v>SBJ</v>
      </c>
      <c r="J676" s="15" t="n">
        <f aca="true">IF(OR(E676="",E676="!!!",F676="NEW"),"",COUNTBLANK(OFFSET(A$1,,,SUMPRODUCT(MAX(ROW(E$2:E676)*(E676=E$2:E676)))))-COUNTBLANK(OFFSET(A$1,,,SUMPRODUCT(MAX(ROW(E$1:E675)*(E676=E$1:E675))))))</f>
        <v>0</v>
      </c>
      <c r="K676" s="15" t="n">
        <f aca="false">IF(OR(E676="",E676="!!!",F676="NEW"),"",INDEX(J$1:J675,SUMPRODUCT(MAX(ROW(E$1:E675)*(E676=E$1:E675)))))</f>
        <v>0</v>
      </c>
      <c r="L676" s="16"/>
    </row>
    <row r="677" customFormat="false" ht="12.75" hidden="false" customHeight="false" outlineLevel="0" collapsed="false">
      <c r="A677" s="9" t="s">
        <v>299</v>
      </c>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75" hidden="false" customHeight="false" outlineLevel="0" collapsed="false">
      <c r="A678" s="9" t="s">
        <v>237</v>
      </c>
      <c r="B678" s="0" t="s">
        <v>90</v>
      </c>
      <c r="C678" s="0" t="s">
        <v>58</v>
      </c>
      <c r="D678" s="0" t="s">
        <v>27</v>
      </c>
      <c r="E678" s="10" t="s">
        <v>302</v>
      </c>
      <c r="F678" s="11" t="str">
        <f aca="false">IF(OR(E678="",E678="!!!"),"",IF(NOT(ISNA(VLOOKUP(E678,E$1:E677,1,FALSE()))),"OLD",IF(AND(E678&lt;&gt;"",E678&lt;&gt;"!!!"),"NEW","")))</f>
        <v>OLD</v>
      </c>
      <c r="G678" s="12" t="s">
        <v>51</v>
      </c>
      <c r="H678" s="13" t="str">
        <f aca="false">IF(J678&lt;&gt;1,"",IF(I678="SBJ","CB","?"))</f>
        <v/>
      </c>
      <c r="I678" s="14" t="str">
        <f aca="false">IF(OR(E678="",E678="!!!",F678="NEW"),"",INDEX(B$2:B677,-1+SUMPRODUCT(MAX(ROW(E$2:E677)*(E678=E$2:E677)))))</f>
        <v>other_3</v>
      </c>
      <c r="J678" s="15" t="n">
        <f aca="true">IF(OR(E678="",E678="!!!",F678="NEW"),"",COUNTBLANK(OFFSET(A$1,,,SUMPRODUCT(MAX(ROW(E$2:E678)*(E678=E$2:E678)))))-COUNTBLANK(OFFSET(A$1,,,SUMPRODUCT(MAX(ROW(E$1:E677)*(E678=E$1:E677))))))</f>
        <v>0</v>
      </c>
      <c r="K678" s="15" t="n">
        <f aca="false">IF(OR(E678="",E678="!!!",F678="NEW"),"",INDEX(J$1:J677,SUMPRODUCT(MAX(ROW(E$1:E677)*(E678=E$1:E677)))))</f>
        <v>4</v>
      </c>
      <c r="L678" s="16"/>
    </row>
    <row r="679" customFormat="false" ht="12.75" hidden="false" customHeight="false" outlineLevel="0" collapsed="false">
      <c r="A679" s="9" t="s">
        <v>22</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75" hidden="false" customHeight="false" outlineLevel="0" collapsed="false">
      <c r="A680" s="9" t="s">
        <v>344</v>
      </c>
      <c r="B680" s="0" t="s">
        <v>79</v>
      </c>
      <c r="C680" s="0" t="s">
        <v>58</v>
      </c>
      <c r="D680" s="0" t="s">
        <v>27</v>
      </c>
      <c r="E680" s="10" t="s">
        <v>331</v>
      </c>
      <c r="F680" s="11" t="str">
        <f aca="false">IF(OR(E680="",E680="!!!"),"",IF(NOT(ISNA(VLOOKUP(E680,E$1:E679,1,FALSE()))),"OLD",IF(AND(E680&lt;&gt;"",E680&lt;&gt;"!!!"),"NEW","")))</f>
        <v>OLD</v>
      </c>
      <c r="G680" s="12" t="s">
        <v>51</v>
      </c>
      <c r="H680" s="13" t="str">
        <f aca="false">IF(J680&lt;&gt;1,"",IF(I680="SBJ","CB","?"))</f>
        <v/>
      </c>
      <c r="I680" s="14" t="str">
        <f aca="false">IF(OR(E680="",E680="!!!",F680="NEW"),"",INDEX(B$2:B679,-1+SUMPRODUCT(MAX(ROW(E$2:E679)*(E680=E$2:E679)))))</f>
        <v>SBJ_3</v>
      </c>
      <c r="J680" s="15" t="n">
        <f aca="true">IF(OR(E680="",E680="!!!",F680="NEW"),"",COUNTBLANK(OFFSET(A$1,,,SUMPRODUCT(MAX(ROW(E$2:E680)*(E680=E$2:E680)))))-COUNTBLANK(OFFSET(A$1,,,SUMPRODUCT(MAX(ROW(E$1:E679)*(E680=E$1:E679))))))</f>
        <v>0</v>
      </c>
      <c r="K680" s="15" t="n">
        <f aca="false">IF(OR(E680="",E680="!!!",F680="NEW"),"",INDEX(J$1:J679,SUMPRODUCT(MAX(ROW(E$1:E679)*(E680=E$1:E679)))))</f>
        <v>0</v>
      </c>
      <c r="L680" s="16"/>
    </row>
    <row r="681" customFormat="false" ht="12.75" hidden="false" customHeight="false" outlineLevel="0" collapsed="false">
      <c r="A681" s="9" t="s">
        <v>202</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75" hidden="false" customHeight="false" outlineLevel="0" collapsed="false">
      <c r="A682" s="9" t="s">
        <v>345</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75" hidden="false" customHeight="false" outlineLevel="0" collapsed="false">
      <c r="A683" s="9" t="s">
        <v>224</v>
      </c>
      <c r="B683" s="0" t="s">
        <v>43</v>
      </c>
      <c r="C683" s="0" t="s">
        <v>160</v>
      </c>
      <c r="E683" s="10" t="str">
        <f aca="false">IF(D683="?OLD","!!!","")</f>
        <v/>
      </c>
      <c r="F683" s="11" t="str">
        <f aca="false">IF(OR(E683="",E683="!!!"),"",IF(NOT(ISNA(VLOOKUP(E683,E$1:E682,1,FALSE()))),"OLD",IF(AND(E683&lt;&gt;"",E683&lt;&gt;"!!!"),"NEW","")))</f>
        <v/>
      </c>
      <c r="G683" s="12" t="str">
        <f aca="false">IF(OR(E683="",E683="!!!"),"",IF(OR(J683=0,AND(J683=1,K683=1),AND(J683=1,I683="SBJ"),AND(J683=1,I683=0)),"?IN_FOCUS",IF(J683&lt;=2,"?ACTIVATED",IF(J683&lt;&gt;"","?FAMILIAR",IF(F683="NEW",IF(ISNA(VLOOKUP(E683,#REF!,1,FALSE())),"?TYPE_IDENTIFIABLE","?REFERENTIAL"),"_")))))</f>
        <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75" hidden="false" customHeight="false" outlineLevel="0" collapsed="false">
      <c r="A684" s="9" t="s">
        <v>346</v>
      </c>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75" hidden="false" customHeight="false" outlineLevel="0" collapsed="false">
      <c r="A685" s="9" t="s">
        <v>347</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75" hidden="false" customHeight="false" outlineLevel="0" collapsed="false">
      <c r="A686" s="9" t="s">
        <v>74</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75" hidden="false" customHeight="false" outlineLevel="0" collapsed="false">
      <c r="E687" s="10" t="str">
        <f aca="false">IF(D687="?OLD","!!!","")</f>
        <v/>
      </c>
      <c r="F687" s="11" t="str">
        <f aca="false">IF(OR(E687="",E687="!!!"),"",IF(NOT(ISNA(VLOOKUP(E687,E$1:E686,1,FALSE()))),"OLD",IF(AND(E687&lt;&gt;"",E687&lt;&gt;"!!!"),"NEW","")))</f>
        <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75" hidden="false" customHeight="false" outlineLevel="0" collapsed="false">
      <c r="A688" s="9" t="s">
        <v>348</v>
      </c>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75" hidden="false" customHeight="false" outlineLevel="0" collapsed="false">
      <c r="A689" s="9" t="s">
        <v>349</v>
      </c>
      <c r="E689" s="10" t="str">
        <f aca="false">IF(D689="?OLD","!!!","")</f>
        <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75" hidden="false" customHeight="false" outlineLevel="0" collapsed="false">
      <c r="A690" s="9" t="s">
        <v>343</v>
      </c>
      <c r="B690" s="0" t="s">
        <v>25</v>
      </c>
      <c r="C690" s="0" t="s">
        <v>110</v>
      </c>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75" hidden="false" customHeight="false" outlineLevel="0" collapsed="false">
      <c r="A691" s="9" t="s">
        <v>45</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75" hidden="false" customHeight="false" outlineLevel="0" collapsed="false">
      <c r="A692" s="9" t="s">
        <v>282</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75" hidden="false" customHeight="false" outlineLevel="0" collapsed="false">
      <c r="A693" s="9" t="s">
        <v>283</v>
      </c>
      <c r="B693" s="0" t="s">
        <v>75</v>
      </c>
      <c r="C693" s="0" t="s">
        <v>47</v>
      </c>
      <c r="D693" s="0" t="s">
        <v>27</v>
      </c>
      <c r="E693" s="10" t="s">
        <v>284</v>
      </c>
      <c r="F693" s="11" t="str">
        <f aca="false">IF(OR(E693="",E693="!!!"),"",IF(NOT(ISNA(VLOOKUP(E693,E$1:E692,1,FALSE()))),"OLD",IF(AND(E693&lt;&gt;"",E693&lt;&gt;"!!!"),"NEW","")))</f>
        <v>OLD</v>
      </c>
      <c r="G693" s="12" t="s">
        <v>72</v>
      </c>
      <c r="H693" s="13" t="str">
        <f aca="false">IF(J693&lt;&gt;1,"",IF(I693="SBJ","CB","?"))</f>
        <v/>
      </c>
      <c r="I693" s="14" t="str">
        <f aca="false">IF(OR(E693="",E693="!!!",F693="NEW"),"",INDEX(B$2:B692,-1+SUMPRODUCT(MAX(ROW(E$2:E692)*(E693=E$2:E692)))))</f>
        <v>other_2</v>
      </c>
      <c r="J693" s="15" t="n">
        <f aca="true">IF(OR(E693="",E693="!!!",F693="NEW"),"",COUNTBLANK(OFFSET(A$1,,,SUMPRODUCT(MAX(ROW(E$2:E693)*(E693=E$2:E693)))))-COUNTBLANK(OFFSET(A$1,,,SUMPRODUCT(MAX(ROW(E$1:E692)*(E693=E$1:E692))))))</f>
        <v>3</v>
      </c>
      <c r="K693" s="15" t="n">
        <f aca="false">IF(OR(E693="",E693="!!!",F693="NEW"),"",INDEX(J$1:J692,SUMPRODUCT(MAX(ROW(E$1:E692)*(E693=E$1:E692)))))</f>
        <v>0</v>
      </c>
      <c r="L693" s="16"/>
    </row>
    <row r="694" customFormat="false" ht="12.75" hidden="false" customHeight="false" outlineLevel="0" collapsed="false">
      <c r="A694" s="9" t="s">
        <v>22</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75" hidden="false" customHeight="false" outlineLevel="0" collapsed="false">
      <c r="A695" s="9" t="s">
        <v>45</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75" hidden="false" customHeight="false" outlineLevel="0" collapsed="false">
      <c r="A696" s="9" t="s">
        <v>350</v>
      </c>
      <c r="B696" s="0" t="s">
        <v>25</v>
      </c>
      <c r="C696" s="0" t="s">
        <v>47</v>
      </c>
      <c r="D696" s="0" t="s">
        <v>27</v>
      </c>
      <c r="E696" s="10" t="s">
        <v>351</v>
      </c>
      <c r="F696" s="11" t="str">
        <f aca="false">IF(OR(E696="",E696="!!!"),"",IF(NOT(ISNA(VLOOKUP(E696,E$1:E695,1,FALSE()))),"OLD",IF(AND(E696&lt;&gt;"",E696&lt;&gt;"!!!"),"NEW","")))</f>
        <v>NEW</v>
      </c>
      <c r="G696" s="12" t="s">
        <v>51</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75" hidden="false" customHeight="false" outlineLevel="0" collapsed="false">
      <c r="A697" s="9" t="s">
        <v>44</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75" hidden="false" customHeight="false" outlineLevel="0" collapsed="false">
      <c r="A698" s="9" t="s">
        <v>45</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75" hidden="false" customHeight="false" outlineLevel="0" collapsed="false">
      <c r="A699" s="9" t="s">
        <v>307</v>
      </c>
      <c r="B699" s="0" t="s">
        <v>33</v>
      </c>
      <c r="C699" s="0" t="s">
        <v>47</v>
      </c>
      <c r="D699" s="0" t="s">
        <v>27</v>
      </c>
      <c r="E699" s="10" t="s">
        <v>308</v>
      </c>
      <c r="F699" s="11" t="str">
        <f aca="false">IF(OR(E699="",E699="!!!"),"",IF(NOT(ISNA(VLOOKUP(E699,E$1:E698,1,FALSE()))),"OLD",IF(AND(E699&lt;&gt;"",E699&lt;&gt;"!!!"),"NEW","")))</f>
        <v>OLD</v>
      </c>
      <c r="G699" s="12" t="s">
        <v>72</v>
      </c>
      <c r="H699" s="13" t="str">
        <f aca="false">IF(J699&lt;&gt;1,"",IF(I699="SBJ","CB","?"))</f>
        <v/>
      </c>
      <c r="I699" s="14" t="str">
        <f aca="false">IF(OR(E699="",E699="!!!",F699="NEW"),"",INDEX(B$2:B698,-1+SUMPRODUCT(MAX(ROW(E$2:E698)*(E699=E$2:E698)))))</f>
        <v>other</v>
      </c>
      <c r="J699" s="15" t="n">
        <f aca="true">IF(OR(E699="",E699="!!!",F699="NEW"),"",COUNTBLANK(OFFSET(A$1,,,SUMPRODUCT(MAX(ROW(E$2:E699)*(E699=E$2:E699)))))-COUNTBLANK(OFFSET(A$1,,,SUMPRODUCT(MAX(ROW(E$1:E698)*(E699=E$1:E698))))))</f>
        <v>4</v>
      </c>
      <c r="K699" s="15" t="n">
        <f aca="false">IF(OR(E699="",E699="!!!",F699="NEW"),"",INDEX(J$1:J698,SUMPRODUCT(MAX(ROW(E$1:E698)*(E699=E$1:E698)))))</f>
        <v>1</v>
      </c>
      <c r="L699" s="16"/>
    </row>
    <row r="700" customFormat="false" ht="12.75" hidden="false" customHeight="false" outlineLevel="0" collapsed="false">
      <c r="A700" s="9" t="s">
        <v>22</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75" hidden="false" customHeight="false" outlineLevel="0" collapsed="false">
      <c r="A701" s="9" t="s">
        <v>39</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75" hidden="false" customHeight="false" outlineLevel="0" collapsed="false">
      <c r="A702" s="9" t="s">
        <v>45</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75" hidden="false" customHeight="false" outlineLevel="0" collapsed="false">
      <c r="A703" s="9" t="s">
        <v>352</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75" hidden="false" customHeight="false" outlineLevel="0" collapsed="false">
      <c r="A704" s="9" t="s">
        <v>353</v>
      </c>
      <c r="B704" s="0" t="s">
        <v>114</v>
      </c>
      <c r="C704" s="0" t="s">
        <v>47</v>
      </c>
      <c r="D704" s="0" t="s">
        <v>27</v>
      </c>
      <c r="E704" s="10" t="s">
        <v>354</v>
      </c>
      <c r="F704" s="11" t="str">
        <f aca="false">IF(OR(E704="",E704="!!!"),"",IF(NOT(ISNA(VLOOKUP(E704,E$1:E703,1,FALSE()))),"OLD",IF(AND(E704&lt;&gt;"",E704&lt;&gt;"!!!"),"NEW","")))</f>
        <v>NEW</v>
      </c>
      <c r="G704" s="12" t="s">
        <v>28</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75" hidden="false" customHeight="false" outlineLevel="0" collapsed="false">
      <c r="A705" s="9" t="s">
        <v>142</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75" hidden="false" customHeight="false" outlineLevel="0" collapsed="false">
      <c r="A706" s="9" t="s">
        <v>129</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75" hidden="false" customHeight="false" outlineLevel="0" collapsed="false">
      <c r="A707" s="9" t="s">
        <v>130</v>
      </c>
      <c r="B707" s="0" t="s">
        <v>90</v>
      </c>
      <c r="C707" s="0" t="s">
        <v>119</v>
      </c>
      <c r="D707" s="0" t="s">
        <v>27</v>
      </c>
      <c r="E707" s="10" t="s">
        <v>355</v>
      </c>
      <c r="F707" s="11" t="str">
        <f aca="false">IF(OR(E707="",E707="!!!"),"",IF(NOT(ISNA(VLOOKUP(E707,E$1:E706,1,FALSE()))),"OLD",IF(AND(E707&lt;&gt;"",E707&lt;&gt;"!!!"),"NEW","")))</f>
        <v>NEW</v>
      </c>
      <c r="G707" s="12" t="s">
        <v>28</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75" hidden="false" customHeight="false" outlineLevel="0" collapsed="false">
      <c r="A708" s="9" t="s">
        <v>22</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75" hidden="false" customHeight="false" outlineLevel="0" collapsed="false">
      <c r="A709" s="9" t="s">
        <v>152</v>
      </c>
      <c r="B709" s="0" t="s">
        <v>17</v>
      </c>
      <c r="C709" s="0" t="s">
        <v>58</v>
      </c>
      <c r="D709" s="0" t="s">
        <v>27</v>
      </c>
      <c r="E709" s="10" t="s">
        <v>356</v>
      </c>
      <c r="F709" s="11" t="str">
        <f aca="false">IF(OR(E709="",E709="!!!"),"",IF(NOT(ISNA(VLOOKUP(E709,E$1:E708,1,FALSE()))),"OLD",IF(AND(E709&lt;&gt;"",E709&lt;&gt;"!!!"),"NEW","")))</f>
        <v>NEW</v>
      </c>
      <c r="G709" s="12" t="s">
        <v>28</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75" hidden="false" customHeight="false" outlineLevel="0" collapsed="false">
      <c r="A710" s="9" t="s">
        <v>217</v>
      </c>
      <c r="E710" s="10" t="str">
        <f aca="false">IF(D710="?OLD","!!!","")</f>
        <v/>
      </c>
      <c r="F710" s="11" t="str">
        <f aca="false">IF(OR(E710="",E710="!!!"),"",IF(NOT(ISNA(VLOOKUP(E710,E$1:E709,1,FALSE()))),"OLD",IF(AND(E710&lt;&gt;"",E710&lt;&gt;"!!!"),"NEW","")))</f>
        <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75" hidden="false" customHeight="false" outlineLevel="0" collapsed="false">
      <c r="A711" s="9" t="s">
        <v>357</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75" hidden="false" customHeight="false" outlineLevel="0" collapsed="false">
      <c r="A712" s="9" t="s">
        <v>358</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75" hidden="false" customHeight="false" outlineLevel="0" collapsed="false">
      <c r="A713" s="9" t="s">
        <v>316</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75" hidden="false" customHeight="false" outlineLevel="0" collapsed="false">
      <c r="A714" s="9" t="s">
        <v>237</v>
      </c>
      <c r="B714" s="0" t="s">
        <v>75</v>
      </c>
      <c r="C714" s="0" t="s">
        <v>58</v>
      </c>
      <c r="D714" s="0" t="s">
        <v>27</v>
      </c>
      <c r="E714" s="10" t="s">
        <v>64</v>
      </c>
      <c r="F714" s="11" t="str">
        <f aca="false">IF(OR(E714="",E714="!!!"),"",IF(NOT(ISNA(VLOOKUP(E714,E$1:E713,1,FALSE()))),"OLD",IF(AND(E714&lt;&gt;"",E714&lt;&gt;"!!!"),"NEW","")))</f>
        <v>OLD</v>
      </c>
      <c r="G714" s="12" t="s">
        <v>49</v>
      </c>
      <c r="H714" s="13" t="str">
        <f aca="false">IF(J714&lt;&gt;1,"",IF(I714="SBJ","CB","?"))</f>
        <v/>
      </c>
      <c r="I714" s="14" t="str">
        <f aca="false">IF(OR(E714="",E714="!!!",F714="NEW"),"",INDEX(B$2:B713,-1+SUMPRODUCT(MAX(ROW(E$2:E713)*(E714=E$2:E713)))))</f>
        <v>OBJ_3</v>
      </c>
      <c r="J714" s="15" t="n">
        <f aca="true">IF(OR(E714="",E714="!!!",F714="NEW"),"",COUNTBLANK(OFFSET(A$1,,,SUMPRODUCT(MAX(ROW(E$2:E714)*(E714=E$2:E714)))))-COUNTBLANK(OFFSET(A$1,,,SUMPRODUCT(MAX(ROW(E$1:E713)*(E714=E$1:E713))))))</f>
        <v>2</v>
      </c>
      <c r="K714" s="15" t="n">
        <f aca="false">IF(OR(E714="",E714="!!!",F714="NEW"),"",INDEX(J$1:J713,SUMPRODUCT(MAX(ROW(E$1:E713)*(E714=E$1:E713)))))</f>
        <v>1</v>
      </c>
      <c r="L714" s="16"/>
    </row>
    <row r="715" customFormat="false" ht="12.75" hidden="false" customHeight="false" outlineLevel="0" collapsed="false">
      <c r="A715" s="9" t="s">
        <v>39</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75" hidden="false" customHeight="false" outlineLevel="0" collapsed="false">
      <c r="A716" s="9" t="s">
        <v>164</v>
      </c>
      <c r="B716" s="0" t="s">
        <v>79</v>
      </c>
      <c r="C716" s="0" t="s">
        <v>110</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75" hidden="false" customHeight="false" outlineLevel="0" collapsed="false">
      <c r="A717" s="9" t="s">
        <v>263</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75" hidden="false" customHeight="false" outlineLevel="0" collapsed="false">
      <c r="A718" s="9" t="s">
        <v>359</v>
      </c>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75" hidden="false" customHeight="false" outlineLevel="0" collapsed="false">
      <c r="A719" s="9" t="s">
        <v>44</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75" hidden="false" customHeight="false" outlineLevel="0" collapsed="false">
      <c r="A720" s="9" t="s">
        <v>117</v>
      </c>
      <c r="B720" s="0" t="s">
        <v>25</v>
      </c>
      <c r="C720" s="0" t="s">
        <v>190</v>
      </c>
      <c r="D720" s="0" t="s">
        <v>27</v>
      </c>
      <c r="E720" s="10"/>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t="s">
        <v>360</v>
      </c>
    </row>
    <row r="721" customFormat="false" ht="12.75" hidden="false" customHeight="false" outlineLevel="0" collapsed="false">
      <c r="A721" s="9" t="s">
        <v>68</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75" hidden="false" customHeight="false" outlineLevel="0" collapsed="false">
      <c r="E722" s="10" t="str">
        <f aca="false">IF(D722="?OLD","!!!","")</f>
        <v/>
      </c>
      <c r="F722" s="11" t="str">
        <f aca="false">IF(OR(E722="",E722="!!!"),"",IF(NOT(ISNA(VLOOKUP(E722,E$1:E721,1,FALSE()))),"OLD",IF(AND(E722&lt;&gt;"",E722&lt;&gt;"!!!"),"NEW","")))</f>
        <v/>
      </c>
      <c r="G722" s="12" t="str">
        <f aca="false">IF(OR(E722="",E722="!!!"),"",IF(OR(J722=0,AND(J722=1,K722=1),AND(J722=1,I722="SBJ"),AND(J722=1,I722=0)),"?IN_FOCUS",IF(J722&lt;=2,"?ACTIVATED",IF(J722&lt;&gt;"","?FAMILIAR",IF(F722="NEW",IF(ISNA(VLOOKUP(E722,#REF!,1,FALSE())),"?TYPE_IDENTIFIABLE","?REFERENTIAL"),"_")))))</f>
        <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75" hidden="false" customHeight="false" outlineLevel="0" collapsed="false">
      <c r="A723" s="9" t="s">
        <v>69</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75" hidden="false" customHeight="false" outlineLevel="0" collapsed="false">
      <c r="A724" s="9" t="s">
        <v>361</v>
      </c>
      <c r="E724" s="10" t="str">
        <f aca="false">IF(D724="?OLD","!!!","")</f>
        <v/>
      </c>
      <c r="F724" s="11" t="str">
        <f aca="false">IF(OR(E724="",E724="!!!"),"",IF(NOT(ISNA(VLOOKUP(E724,E$1:E723,1,FALSE()))),"OLD",IF(AND(E724&lt;&gt;"",E724&lt;&gt;"!!!"),"NEW","")))</f>
        <v/>
      </c>
      <c r="G724" s="12" t="str">
        <f aca="false">IF(OR(E724="",E724="!!!"),"",IF(OR(J724=0,AND(J724=1,K724=1),AND(J724=1,I724="SBJ"),AND(J724=1,I724=0)),"?IN_FOCUS",IF(J724&lt;=2,"?ACTIVATED",IF(J724&lt;&gt;"","?FAMILIAR",IF(F724="NEW",IF(ISNA(VLOOKUP(E724,#REF!,1,FALSE())),"?TYPE_IDENTIFIABLE","?REFERENTIAL"),"_")))))</f>
        <v/>
      </c>
      <c r="H724" s="13" t="str">
        <f aca="false">IF(J724&lt;&gt;1,"",IF(I724="SBJ","CB","?"))</f>
        <v/>
      </c>
      <c r="I724" s="14" t="str">
        <f aca="false">IF(OR(E724="",E724="!!!",F724="NEW"),"",INDEX(B$2:B723,-1+SUMPRODUCT(MAX(ROW(E$2:E723)*(E724=E$2:E723)))))</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75" hidden="false" customHeight="false" outlineLevel="0" collapsed="false">
      <c r="A725" s="9" t="s">
        <v>362</v>
      </c>
      <c r="B725" s="0" t="s">
        <v>17</v>
      </c>
      <c r="C725" s="0" t="s">
        <v>363</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75" hidden="false" customHeight="false" outlineLevel="0" collapsed="false">
      <c r="A726" s="9" t="s">
        <v>138</v>
      </c>
      <c r="E726" s="10" t="str">
        <f aca="false">IF(D726="?OLD","!!!","")</f>
        <v/>
      </c>
      <c r="F726" s="11" t="str">
        <f aca="false">IF(OR(E726="",E726="!!!"),"",IF(NOT(ISNA(VLOOKUP(E726,E$1:E725,1,FALSE()))),"OLD",IF(AND(E726&lt;&gt;"",E726&lt;&gt;"!!!"),"NEW","")))</f>
        <v/>
      </c>
      <c r="G726" s="12" t="str">
        <f aca="false">IF(OR(E726="",E726="!!!"),"",IF(OR(J726=0,AND(J726=1,K726=1),AND(J726=1,I726="SBJ"),AND(J726=1,I726=0)),"?IN_FOCUS",IF(J726&lt;=2,"?ACTIVATED",IF(J726&lt;&gt;"","?FAMILIAR",IF(F726="NEW",IF(ISNA(VLOOKUP(E726,#REF!,1,FALSE())),"?TYPE_IDENTIFIABLE","?REFERENTIAL"),"_")))))</f>
        <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75" hidden="false" customHeight="false" outlineLevel="0" collapsed="false">
      <c r="A727" s="9" t="s">
        <v>39</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75" hidden="false" customHeight="false" outlineLevel="0" collapsed="false">
      <c r="A728" s="9" t="s">
        <v>364</v>
      </c>
      <c r="E728" s="10" t="str">
        <f aca="false">IF(D728="?OLD","!!!","")</f>
        <v/>
      </c>
      <c r="F728" s="11" t="str">
        <f aca="false">IF(OR(E728="",E728="!!!"),"",IF(NOT(ISNA(VLOOKUP(E728,E$1:E727,1,FALSE()))),"OLD",IF(AND(E728&lt;&gt;"",E728&lt;&gt;"!!!"),"NEW","")))</f>
        <v/>
      </c>
      <c r="G728" s="12" t="str">
        <f aca="false">IF(OR(E728="",E728="!!!"),"",IF(OR(J728=0,AND(J728=1,K728=1),AND(J728=1,I728="SBJ"),AND(J728=1,I728=0)),"?IN_FOCUS",IF(J728&lt;=2,"?ACTIVATED",IF(J728&lt;&gt;"","?FAMILIAR",IF(F728="NEW",IF(ISNA(VLOOKUP(E728,#REF!,1,FALSE())),"?TYPE_IDENTIFIABLE","?REFERENTIAL"),"_")))))</f>
        <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row>
    <row r="729" customFormat="false" ht="12.75" hidden="false" customHeight="false" outlineLevel="0" collapsed="false">
      <c r="A729" s="9" t="s">
        <v>237</v>
      </c>
      <c r="B729" s="0" t="s">
        <v>43</v>
      </c>
      <c r="C729" s="0" t="s">
        <v>58</v>
      </c>
      <c r="D729" s="0" t="s">
        <v>27</v>
      </c>
      <c r="E729" s="10" t="s">
        <v>356</v>
      </c>
      <c r="F729" s="11" t="str">
        <f aca="false">IF(OR(E729="",E729="!!!"),"",IF(NOT(ISNA(VLOOKUP(E729,E$1:E728,1,FALSE()))),"OLD",IF(AND(E729&lt;&gt;"",E729&lt;&gt;"!!!"),"NEW","")))</f>
        <v>OLD</v>
      </c>
      <c r="G729" s="12" t="s">
        <v>51</v>
      </c>
      <c r="H729" s="13" t="str">
        <f aca="false">IF(J729&lt;&gt;1,"",IF(I729="SBJ","CB","?"))</f>
        <v>CB</v>
      </c>
      <c r="I729" s="14" t="str">
        <f aca="false">IF(OR(E729="",E729="!!!",F729="NEW"),"",INDEX(B$2:B728,-1+SUMPRODUCT(MAX(ROW(E$2:E728)*(E729=E$2:E728)))))</f>
        <v>SBJ</v>
      </c>
      <c r="J729" s="15" t="n">
        <f aca="true">IF(OR(E729="",E729="!!!",F729="NEW"),"",COUNTBLANK(OFFSET(A$1,,,SUMPRODUCT(MAX(ROW(E$2:E729)*(E729=E$2:E729)))))-COUNTBLANK(OFFSET(A$1,,,SUMPRODUCT(MAX(ROW(E$1:E728)*(E729=E$1:E728))))))</f>
        <v>1</v>
      </c>
      <c r="K729" s="15" t="str">
        <f aca="false">IF(OR(E729="",E729="!!!",F729="NEW"),"",INDEX(J$1:J728,SUMPRODUCT(MAX(ROW(E$1:E728)*(E729=E$1:E728)))))</f>
        <v/>
      </c>
      <c r="L729" s="16"/>
    </row>
    <row r="730" customFormat="false" ht="12.75" hidden="false" customHeight="false" outlineLevel="0" collapsed="false">
      <c r="A730" s="9" t="s">
        <v>22</v>
      </c>
      <c r="E730" s="10" t="str">
        <f aca="false">IF(D730="?OLD","!!!","")</f>
        <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75" hidden="false" customHeight="false" outlineLevel="0" collapsed="false">
      <c r="A731" s="9" t="s">
        <v>74</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75" hidden="false" customHeight="false" outlineLevel="0" collapsed="false">
      <c r="A732" s="9" t="s">
        <v>188</v>
      </c>
      <c r="E732" s="10" t="str">
        <f aca="false">IF(D732="?OLD","!!!","")</f>
        <v/>
      </c>
      <c r="F732" s="11" t="str">
        <f aca="false">IF(OR(E732="",E732="!!!"),"",IF(NOT(ISNA(VLOOKUP(E732,E$1:E731,1,FALSE()))),"OLD",IF(AND(E732&lt;&gt;"",E732&lt;&gt;"!!!"),"NEW","")))</f>
        <v/>
      </c>
      <c r="G732" s="12" t="str">
        <f aca="false">IF(OR(E732="",E732="!!!"),"",IF(OR(J732=0,AND(J732=1,K732=1),AND(J732=1,I732="SBJ"),AND(J732=1,I732=0)),"?IN_FOCUS",IF(J732&lt;=2,"?ACTIVATED",IF(J732&lt;&gt;"","?FAMILIAR",IF(F732="NEW",IF(ISNA(VLOOKUP(E732,#REF!,1,FALSE())),"?TYPE_IDENTIFIABLE","?REFERENTIAL"),"_")))))</f>
        <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75" hidden="false" customHeight="false" outlineLevel="0" collapsed="false">
      <c r="A733" s="9" t="s">
        <v>22</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75" hidden="false" customHeight="false" outlineLevel="0" collapsed="false">
      <c r="A734" s="9" t="s">
        <v>45</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75" hidden="false" customHeight="false" outlineLevel="0" collapsed="false">
      <c r="A735" s="9" t="s">
        <v>124</v>
      </c>
      <c r="B735" s="0" t="s">
        <v>79</v>
      </c>
      <c r="C735" s="0" t="s">
        <v>47</v>
      </c>
      <c r="D735" s="0" t="s">
        <v>27</v>
      </c>
      <c r="E735" s="10" t="s">
        <v>64</v>
      </c>
      <c r="F735" s="11" t="str">
        <f aca="false">IF(OR(E735="",E735="!!!"),"",IF(NOT(ISNA(VLOOKUP(E735,E$1:E734,1,FALSE()))),"OLD",IF(AND(E735&lt;&gt;"",E735&lt;&gt;"!!!"),"NEW","")))</f>
        <v>OLD</v>
      </c>
      <c r="G735" s="12" t="s">
        <v>72</v>
      </c>
      <c r="H735" s="13"/>
      <c r="I735" s="14" t="str">
        <f aca="false">IF(OR(E735="",E735="!!!",F735="NEW"),"",INDEX(B$2:B734,-1+SUMPRODUCT(MAX(ROW(E$2:E734)*(E735=E$2:E734)))))</f>
        <v>other</v>
      </c>
      <c r="J735" s="15" t="n">
        <f aca="true">IF(OR(E735="",E735="!!!",F735="NEW"),"",COUNTBLANK(OFFSET(A$1,,,SUMPRODUCT(MAX(ROW(E$2:E735)*(E735=E$2:E735)))))-COUNTBLANK(OFFSET(A$1,,,SUMPRODUCT(MAX(ROW(E$1:E734)*(E735=E$1:E734))))))</f>
        <v>1</v>
      </c>
      <c r="K735" s="15" t="n">
        <f aca="false">IF(OR(E735="",E735="!!!",F735="NEW"),"",INDEX(J$1:J734,SUMPRODUCT(MAX(ROW(E$1:E734)*(E735=E$1:E734)))))</f>
        <v>2</v>
      </c>
      <c r="L735" s="16"/>
    </row>
    <row r="736" customFormat="false" ht="12.75" hidden="false" customHeight="false" outlineLevel="0" collapsed="false">
      <c r="A736" s="9" t="s">
        <v>365</v>
      </c>
      <c r="B736" s="0" t="s">
        <v>192</v>
      </c>
      <c r="E736" s="10" t="str">
        <f aca="false">IF(D736="?OLD","!!!","")</f>
        <v/>
      </c>
      <c r="F736" s="11" t="str">
        <f aca="false">IF(OR(E736="",E736="!!!"),"",IF(NOT(ISNA(VLOOKUP(E736,E$1:E735,1,FALSE()))),"OLD",IF(AND(E736&lt;&gt;"",E736&lt;&gt;"!!!"),"NEW","")))</f>
        <v/>
      </c>
      <c r="G736" s="12" t="str">
        <f aca="false">IF(OR(E736="",E736="!!!"),"",IF(OR(J736=0,AND(J736=1,K736=1),AND(J736=1,I736="SBJ"),AND(J736=1,I736=0)),"?IN_FOCUS",IF(J736&lt;=2,"?ACTIVATED",IF(J736&lt;&gt;"","?FAMILIAR",IF(F736="NEW",IF(ISNA(VLOOKUP(E736,#REF!,1,FALSE())),"?TYPE_IDENTIFIABLE","?REFERENTIAL"),"_")))))</f>
        <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75" hidden="false" customHeight="false" outlineLevel="0" collapsed="false">
      <c r="A737" s="9" t="s">
        <v>96</v>
      </c>
      <c r="B737" s="0" t="s">
        <v>165</v>
      </c>
      <c r="C737" s="0" t="s">
        <v>58</v>
      </c>
      <c r="D737" s="0" t="s">
        <v>27</v>
      </c>
      <c r="E737" s="10" t="s">
        <v>356</v>
      </c>
      <c r="F737" s="11" t="str">
        <f aca="false">IF(OR(E737="",E737="!!!"),"",IF(NOT(ISNA(VLOOKUP(E737,E$1:E736,1,FALSE()))),"OLD",IF(AND(E737&lt;&gt;"",E737&lt;&gt;"!!!"),"NEW","")))</f>
        <v>OLD</v>
      </c>
      <c r="G737" s="12" t="s">
        <v>51</v>
      </c>
      <c r="H737" s="13" t="str">
        <f aca="false">IF(J737&lt;&gt;1,"",IF(I737="SBJ","CB","?"))</f>
        <v/>
      </c>
      <c r="I737" s="14" t="str">
        <f aca="false">IF(OR(E737="",E737="!!!",F737="NEW"),"",INDEX(B$2:B736,-1+SUMPRODUCT(MAX(ROW(E$2:E736)*(E737=E$2:E736)))))</f>
        <v>OBJ_2</v>
      </c>
      <c r="J737" s="15" t="n">
        <f aca="true">IF(OR(E737="",E737="!!!",F737="NEW"),"",COUNTBLANK(OFFSET(A$1,,,SUMPRODUCT(MAX(ROW(E$2:E737)*(E737=E$2:E737)))))-COUNTBLANK(OFFSET(A$1,,,SUMPRODUCT(MAX(ROW(E$1:E736)*(E737=E$1:E736))))))</f>
        <v>0</v>
      </c>
      <c r="K737" s="15" t="n">
        <f aca="false">IF(OR(E737="",E737="!!!",F737="NEW"),"",INDEX(J$1:J736,SUMPRODUCT(MAX(ROW(E$1:E736)*(E737=E$1:E736)))))</f>
        <v>1</v>
      </c>
      <c r="L737" s="16"/>
    </row>
    <row r="738" customFormat="false" ht="12.75" hidden="false" customHeight="false" outlineLevel="0" collapsed="false">
      <c r="A738" s="9" t="s">
        <v>292</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75" hidden="false" customHeight="false" outlineLevel="0" collapsed="false">
      <c r="A739" s="9" t="s">
        <v>105</v>
      </c>
      <c r="E739" s="10" t="str">
        <f aca="false">IF(D739="?OLD","!!!","")</f>
        <v/>
      </c>
      <c r="F739" s="11" t="str">
        <f aca="false">IF(OR(E739="",E739="!!!"),"",IF(NOT(ISNA(VLOOKUP(E739,E$1:E738,1,FALSE()))),"OLD",IF(AND(E739&lt;&gt;"",E739&lt;&gt;"!!!"),"NEW","")))</f>
        <v/>
      </c>
      <c r="G739" s="12" t="str">
        <f aca="false">IF(OR(E739="",E739="!!!"),"",IF(OR(J739=0,AND(J739=1,K739=1),AND(J739=1,I739="SBJ"),AND(J739=1,I739=0)),"?IN_FOCUS",IF(J739&lt;=2,"?ACTIVATED",IF(J739&lt;&gt;"","?FAMILIAR",IF(F739="NEW",IF(ISNA(VLOOKUP(E739,#REF!,1,FALSE())),"?TYPE_IDENTIFIABLE","?REFERENTIAL"),"_")))))</f>
        <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75" hidden="false" customHeight="false" outlineLevel="0" collapsed="false">
      <c r="A740" s="9" t="s">
        <v>300</v>
      </c>
      <c r="B740" s="0" t="s">
        <v>30</v>
      </c>
      <c r="C740" s="0" t="s">
        <v>21</v>
      </c>
      <c r="E740" s="10" t="str">
        <f aca="false">IF(D740="?OLD","!!!","")</f>
        <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75" hidden="false" customHeight="false" outlineLevel="0" collapsed="false">
      <c r="A741" s="9" t="s">
        <v>193</v>
      </c>
      <c r="E741" s="10" t="str">
        <f aca="false">IF(D741="?OLD","!!!","")</f>
        <v/>
      </c>
      <c r="F741" s="11" t="str">
        <f aca="false">IF(OR(E741="",E741="!!!"),"",IF(NOT(ISNA(VLOOKUP(E741,E$1:E740,1,FALSE()))),"OLD",IF(AND(E741&lt;&gt;"",E741&lt;&gt;"!!!"),"NEW","")))</f>
        <v/>
      </c>
      <c r="G741" s="12" t="str">
        <f aca="false">IF(OR(E741="",E741="!!!"),"",IF(OR(J741=0,AND(J741=1,K741=1),AND(J741=1,I741="SBJ"),AND(J741=1,I741=0)),"?IN_FOCUS",IF(J741&lt;=2,"?ACTIVATED",IF(J741&lt;&gt;"","?FAMILIAR",IF(F741="NEW",IF(ISNA(VLOOKUP(E741,#REF!,1,FALSE())),"?TYPE_IDENTIFIABLE","?REFERENTIAL"),"_")))))</f>
        <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75" hidden="false" customHeight="false" outlineLevel="0" collapsed="false">
      <c r="A742" s="9" t="s">
        <v>105</v>
      </c>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75" hidden="false" customHeight="false" outlineLevel="0" collapsed="false">
      <c r="A743" s="9" t="s">
        <v>45</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75" hidden="false" customHeight="false" outlineLevel="0" collapsed="false">
      <c r="A744" s="9" t="s">
        <v>307</v>
      </c>
      <c r="B744" s="0" t="s">
        <v>75</v>
      </c>
      <c r="C744" s="0" t="s">
        <v>47</v>
      </c>
      <c r="D744" s="0" t="s">
        <v>27</v>
      </c>
      <c r="E744" s="10" t="s">
        <v>308</v>
      </c>
      <c r="F744" s="11" t="str">
        <f aca="false">IF(OR(E744="",E744="!!!"),"",IF(NOT(ISNA(VLOOKUP(E744,E$1:E743,1,FALSE()))),"OLD",IF(AND(E744&lt;&gt;"",E744&lt;&gt;"!!!"),"NEW","")))</f>
        <v>OLD</v>
      </c>
      <c r="G744" s="12" t="s">
        <v>49</v>
      </c>
      <c r="H744" s="13"/>
      <c r="I744" s="14" t="str">
        <f aca="false">IF(OR(E744="",E744="!!!",F744="NEW"),"",INDEX(B$2:B743,-1+SUMPRODUCT(MAX(ROW(E$2:E743)*(E744=E$2:E743)))))</f>
        <v>other_3</v>
      </c>
      <c r="J744" s="15" t="n">
        <f aca="true">IF(OR(E744="",E744="!!!",F744="NEW"),"",COUNTBLANK(OFFSET(A$1,,,SUMPRODUCT(MAX(ROW(E$2:E744)*(E744=E$2:E744)))))-COUNTBLANK(OFFSET(A$1,,,SUMPRODUCT(MAX(ROW(E$1:E743)*(E744=E$1:E743))))))</f>
        <v>1</v>
      </c>
      <c r="K744" s="15" t="n">
        <f aca="false">IF(OR(E744="",E744="!!!",F744="NEW"),"",INDEX(J$1:J743,SUMPRODUCT(MAX(ROW(E$1:E743)*(E744=E$1:E743)))))</f>
        <v>4</v>
      </c>
      <c r="L744" s="16"/>
    </row>
    <row r="745" customFormat="false" ht="12.75" hidden="false" customHeight="false" outlineLevel="0" collapsed="false">
      <c r="A745" s="9" t="s">
        <v>22</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75" hidden="false" customHeight="false" outlineLevel="0" collapsed="false">
      <c r="A746" s="9" t="s">
        <v>341</v>
      </c>
      <c r="E746" s="10" t="str">
        <f aca="false">IF(D746="?OLD","!!!","")</f>
        <v/>
      </c>
      <c r="F746" s="11" t="str">
        <f aca="false">IF(OR(E746="",E746="!!!"),"",IF(NOT(ISNA(VLOOKUP(E746,E$1:E745,1,FALSE()))),"OLD",IF(AND(E746&lt;&gt;"",E746&lt;&gt;"!!!"),"NEW","")))</f>
        <v/>
      </c>
      <c r="G746" s="12" t="str">
        <f aca="false">IF(OR(E746="",E746="!!!"),"",IF(OR(J746=0,AND(J746=1,K746=1),AND(J746=1,I746="SBJ"),AND(J746=1,I746=0)),"?IN_FOCUS",IF(J746&lt;=2,"?ACTIVATED",IF(J746&lt;&gt;"","?FAMILIAR",IF(F746="NEW",IF(ISNA(VLOOKUP(E746,#REF!,1,FALSE())),"?TYPE_IDENTIFIABLE","?REFERENTIAL"),"_")))))</f>
        <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row>
    <row r="747" customFormat="false" ht="12.75" hidden="false" customHeight="false" outlineLevel="0" collapsed="false">
      <c r="A747" s="9" t="s">
        <v>39</v>
      </c>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75" hidden="false" customHeight="false" outlineLevel="0" collapsed="false">
      <c r="A748" s="9" t="s">
        <v>366</v>
      </c>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75" hidden="false" customHeight="false" outlineLevel="0" collapsed="false">
      <c r="A749" s="9" t="s">
        <v>45</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75" hidden="false" customHeight="false" outlineLevel="0" collapsed="false">
      <c r="A750" s="9" t="s">
        <v>220</v>
      </c>
      <c r="B750" s="0" t="s">
        <v>43</v>
      </c>
      <c r="C750" s="0" t="s">
        <v>47</v>
      </c>
      <c r="D750" s="0" t="s">
        <v>27</v>
      </c>
      <c r="E750" s="10" t="s">
        <v>221</v>
      </c>
      <c r="F750" s="11" t="str">
        <f aca="false">IF(OR(E750="",E750="!!!"),"",IF(NOT(ISNA(VLOOKUP(E750,E$1:E749,1,FALSE()))),"OLD",IF(AND(E750&lt;&gt;"",E750&lt;&gt;"!!!"),"NEW","")))</f>
        <v>OLD</v>
      </c>
      <c r="G750" s="12" t="s">
        <v>72</v>
      </c>
      <c r="H750" s="13" t="str">
        <f aca="false">IF(J750&lt;&gt;1,"",IF(I750="SBJ","CB","?"))</f>
        <v/>
      </c>
      <c r="I750" s="14" t="str">
        <f aca="false">IF(OR(E750="",E750="!!!",F750="NEW"),"",INDEX(B$2:B749,-1+SUMPRODUCT(MAX(ROW(E$2:E749)*(E750=E$2:E749)))))</f>
        <v>other_3</v>
      </c>
      <c r="J750" s="15" t="n">
        <f aca="true">IF(OR(E750="",E750="!!!",F750="NEW"),"",COUNTBLANK(OFFSET(A$1,,,SUMPRODUCT(MAX(ROW(E$2:E750)*(E750=E$2:E750)))))-COUNTBLANK(OFFSET(A$1,,,SUMPRODUCT(MAX(ROW(E$1:E749)*(E750=E$1:E749))))))</f>
        <v>6</v>
      </c>
      <c r="K750" s="15" t="n">
        <f aca="false">IF(OR(E750="",E750="!!!",F750="NEW"),"",INDEX(J$1:J749,SUMPRODUCT(MAX(ROW(E$1:E749)*(E750=E$1:E749)))))</f>
        <v>8</v>
      </c>
      <c r="L750" s="16"/>
    </row>
    <row r="751" customFormat="false" ht="12.75" hidden="false" customHeight="false" outlineLevel="0" collapsed="false">
      <c r="A751" s="9" t="s">
        <v>68</v>
      </c>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75" hidden="false" customHeight="false" outlineLevel="0" collapsed="false">
      <c r="A752" s="9" t="s">
        <v>74</v>
      </c>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75" hidden="false" customHeight="false" outlineLevel="0" collapsed="false">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75" hidden="false" customHeight="false" outlineLevel="0" collapsed="false">
      <c r="A754" s="9" t="s">
        <v>367</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75" hidden="false" customHeight="false" outlineLevel="0" collapsed="false">
      <c r="A755" s="9" t="s">
        <v>368</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75" hidden="false" customHeight="false" outlineLevel="0" collapsed="false">
      <c r="A756" s="9" t="s">
        <v>45</v>
      </c>
      <c r="E756" s="10" t="str">
        <f aca="false">IF(D756="?OLD","!!!","")</f>
        <v/>
      </c>
      <c r="F756" s="11" t="str">
        <f aca="false">IF(OR(E756="",E756="!!!"),"",IF(NOT(ISNA(VLOOKUP(E756,E$1:E755,1,FALSE()))),"OLD",IF(AND(E756&lt;&gt;"",E756&lt;&gt;"!!!"),"NEW","")))</f>
        <v/>
      </c>
      <c r="G756" s="12" t="str">
        <f aca="false">IF(OR(E756="",E756="!!!"),"",IF(OR(J756=0,AND(J756=1,K756=1),AND(J756=1,I756="SBJ"),AND(J756=1,I756=0)),"?IN_FOCUS",IF(J756&lt;=2,"?ACTIVATED",IF(J756&lt;&gt;"","?FAMILIAR",IF(F756="NEW",IF(ISNA(VLOOKUP(E756,#REF!,1,FALSE())),"?TYPE_IDENTIFIABLE","?REFERENTIAL"),"_")))))</f>
        <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75" hidden="false" customHeight="false" outlineLevel="0" collapsed="false">
      <c r="A757" s="9" t="s">
        <v>350</v>
      </c>
      <c r="B757" s="0" t="s">
        <v>17</v>
      </c>
      <c r="C757" s="0" t="s">
        <v>26</v>
      </c>
      <c r="D757" s="0" t="s">
        <v>27</v>
      </c>
      <c r="E757" s="10" t="s">
        <v>351</v>
      </c>
      <c r="F757" s="11" t="str">
        <f aca="false">IF(OR(E757="",E757="!!!"),"",IF(NOT(ISNA(VLOOKUP(E757,E$1:E756,1,FALSE()))),"OLD",IF(AND(E757&lt;&gt;"",E757&lt;&gt;"!!!"),"NEW","")))</f>
        <v>OLD</v>
      </c>
      <c r="G757" s="12" t="s">
        <v>72</v>
      </c>
      <c r="H757" s="13" t="str">
        <f aca="false">IF(J757&lt;&gt;1,"",IF(I757="SBJ","CB","?"))</f>
        <v/>
      </c>
      <c r="I757" s="14" t="str">
        <f aca="false">IF(OR(E757="",E757="!!!",F757="NEW"),"",INDEX(B$2:B756,-1+SUMPRODUCT(MAX(ROW(E$2:E756)*(E757=E$2:E756)))))</f>
        <v>other_2</v>
      </c>
      <c r="J757" s="15" t="n">
        <f aca="true">IF(OR(E757="",E757="!!!",F757="NEW"),"",COUNTBLANK(OFFSET(A$1,,,SUMPRODUCT(MAX(ROW(E$2:E757)*(E757=E$2:E757)))))-COUNTBLANK(OFFSET(A$1,,,SUMPRODUCT(MAX(ROW(E$1:E756)*(E757=E$1:E756))))))</f>
        <v>2</v>
      </c>
      <c r="K757" s="15" t="str">
        <f aca="false">IF(OR(E757="",E757="!!!",F757="NEW"),"",INDEX(J$1:J756,SUMPRODUCT(MAX(ROW(E$1:E756)*(E757=E$1:E756)))))</f>
        <v/>
      </c>
      <c r="L757" s="16"/>
    </row>
    <row r="758" customFormat="false" ht="12.75" hidden="false" customHeight="false" outlineLevel="0" collapsed="false">
      <c r="A758" s="9" t="s">
        <v>369</v>
      </c>
      <c r="E758" s="10" t="str">
        <f aca="false">IF(D758="?OLD","!!!","")</f>
        <v/>
      </c>
      <c r="F758" s="11" t="str">
        <f aca="false">IF(OR(E758="",E758="!!!"),"",IF(NOT(ISNA(VLOOKUP(E758,E$1:E757,1,FALSE()))),"OLD",IF(AND(E758&lt;&gt;"",E758&lt;&gt;"!!!"),"NEW","")))</f>
        <v/>
      </c>
      <c r="G758" s="12" t="str">
        <f aca="false">IF(OR(E758="",E758="!!!"),"",IF(OR(J758=0,AND(J758=1,K758=1),AND(J758=1,I758="SBJ"),AND(J758=1,I758=0)),"?IN_FOCUS",IF(J758&lt;=2,"?ACTIVATED",IF(J758&lt;&gt;"","?FAMILIAR",IF(F758="NEW",IF(ISNA(VLOOKUP(E758,#REF!,1,FALSE())),"?TYPE_IDENTIFIABLE","?REFERENTIAL"),"_")))))</f>
        <v/>
      </c>
      <c r="H758" s="13" t="str">
        <f aca="false">IF(J758&lt;&gt;1,"",IF(I758="SBJ","CB","?"))</f>
        <v/>
      </c>
      <c r="I758" s="14" t="str">
        <f aca="false">IF(OR(E758="",E758="!!!",F758="NEW"),"",INDEX(B$2:B757,-1+SUMPRODUCT(MAX(ROW(E$2:E757)*(E758=E$2:E757)))))</f>
        <v/>
      </c>
      <c r="J758" s="15" t="str">
        <f aca="true">IF(OR(E758="",E758="!!!",F758="NEW"),"",COUNTBLANK(OFFSET(A$1,,,SUMPRODUCT(MAX(ROW(E$2:E758)*(E758=E$2:E758)))))-COUNTBLANK(OFFSET(A$1,,,SUMPRODUCT(MAX(ROW(E$1:E757)*(E758=E$1:E757))))))</f>
        <v/>
      </c>
      <c r="K758" s="15" t="str">
        <f aca="false">IF(OR(E758="",E758="!!!",F758="NEW"),"",INDEX(J$1:J757,SUMPRODUCT(MAX(ROW(E$1:E757)*(E758=E$1:E757)))))</f>
        <v/>
      </c>
      <c r="L758" s="16"/>
    </row>
    <row r="759" customFormat="false" ht="12.75" hidden="false" customHeight="false" outlineLevel="0" collapsed="false">
      <c r="A759" s="9" t="s">
        <v>23</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75" hidden="false" customHeight="false" outlineLevel="0" collapsed="false">
      <c r="A760" s="9" t="s">
        <v>45</v>
      </c>
      <c r="E760" s="10" t="str">
        <f aca="false">IF(D760="?OLD","!!!","")</f>
        <v/>
      </c>
      <c r="F760" s="11" t="str">
        <f aca="false">IF(OR(E760="",E760="!!!"),"",IF(NOT(ISNA(VLOOKUP(E760,E$1:E759,1,FALSE()))),"OLD",IF(AND(E760&lt;&gt;"",E760&lt;&gt;"!!!"),"NEW","")))</f>
        <v/>
      </c>
      <c r="G760" s="12" t="str">
        <f aca="false">IF(OR(E760="",E760="!!!"),"",IF(OR(J760=0,AND(J760=1,K760=1),AND(J760=1,I760="SBJ"),AND(J760=1,I760=0)),"?IN_FOCUS",IF(J760&lt;=2,"?ACTIVATED",IF(J760&lt;&gt;"","?FAMILIAR",IF(F760="NEW",IF(ISNA(VLOOKUP(E760,#REF!,1,FALSE())),"?TYPE_IDENTIFIABLE","?REFERENTIAL"),"_")))))</f>
        <v/>
      </c>
      <c r="H760" s="13" t="str">
        <f aca="false">IF(J760&lt;&gt;1,"",IF(I760="SBJ","CB","?"))</f>
        <v/>
      </c>
      <c r="I760" s="14" t="str">
        <f aca="false">IF(OR(E760="",E760="!!!",F760="NEW"),"",INDEX(B$2:B759,-1+SUMPRODUCT(MAX(ROW(E$2:E759)*(E760=E$2:E759)))))</f>
        <v/>
      </c>
      <c r="J760" s="15" t="str">
        <f aca="true">IF(OR(E760="",E760="!!!",F760="NEW"),"",COUNTBLANK(OFFSET(A$1,,,SUMPRODUCT(MAX(ROW(E$2:E760)*(E760=E$2:E760)))))-COUNTBLANK(OFFSET(A$1,,,SUMPRODUCT(MAX(ROW(E$1:E759)*(E760=E$1:E759))))))</f>
        <v/>
      </c>
      <c r="K760" s="15" t="str">
        <f aca="false">IF(OR(E760="",E760="!!!",F760="NEW"),"",INDEX(J$1:J759,SUMPRODUCT(MAX(ROW(E$1:E759)*(E760=E$1:E759)))))</f>
        <v/>
      </c>
      <c r="L760" s="16"/>
    </row>
    <row r="761" customFormat="false" ht="12.75" hidden="false" customHeight="false" outlineLevel="0" collapsed="false">
      <c r="A761" s="9" t="s">
        <v>330</v>
      </c>
      <c r="B761" s="0" t="s">
        <v>75</v>
      </c>
      <c r="C761" s="0" t="s">
        <v>47</v>
      </c>
      <c r="D761" s="0" t="s">
        <v>27</v>
      </c>
      <c r="E761" s="10" t="s">
        <v>331</v>
      </c>
      <c r="F761" s="11" t="str">
        <f aca="false">IF(OR(E761="",E761="!!!"),"",IF(NOT(ISNA(VLOOKUP(E761,E$1:E760,1,FALSE()))),"OLD",IF(AND(E761&lt;&gt;"",E761&lt;&gt;"!!!"),"NEW","")))</f>
        <v>OLD</v>
      </c>
      <c r="G761" s="12" t="s">
        <v>72</v>
      </c>
      <c r="H761" s="13" t="str">
        <f aca="false">IF(J761&lt;&gt;1,"",IF(I761="SBJ","CB","?"))</f>
        <v/>
      </c>
      <c r="I761" s="14" t="str">
        <f aca="false">IF(OR(E761="",E761="!!!",F761="NEW"),"",INDEX(B$2:B760,-1+SUMPRODUCT(MAX(ROW(E$2:E760)*(E761=E$2:E760)))))</f>
        <v>SBJ_2</v>
      </c>
      <c r="J761" s="15" t="n">
        <f aca="true">IF(OR(E761="",E761="!!!",F761="NEW"),"",COUNTBLANK(OFFSET(A$1,,,SUMPRODUCT(MAX(ROW(E$2:E761)*(E761=E$2:E761)))))-COUNTBLANK(OFFSET(A$1,,,SUMPRODUCT(MAX(ROW(E$1:E760)*(E761=E$1:E760))))))</f>
        <v>3</v>
      </c>
      <c r="K761" s="15" t="n">
        <f aca="false">IF(OR(E761="",E761="!!!",F761="NEW"),"",INDEX(J$1:J760,SUMPRODUCT(MAX(ROW(E$1:E760)*(E761=E$1:E760)))))</f>
        <v>0</v>
      </c>
      <c r="L761" s="16"/>
    </row>
    <row r="762" customFormat="false" ht="12.75" hidden="false" customHeight="false" outlineLevel="0" collapsed="false">
      <c r="A762" s="9" t="s">
        <v>22</v>
      </c>
      <c r="E762" s="10" t="str">
        <f aca="false">IF(D762="?OLD","!!!","")</f>
        <v/>
      </c>
      <c r="F762" s="11" t="str">
        <f aca="false">IF(OR(E762="",E762="!!!"),"",IF(NOT(ISNA(VLOOKUP(E762,E$1:E761,1,FALSE()))),"OLD",IF(AND(E762&lt;&gt;"",E762&lt;&gt;"!!!"),"NEW","")))</f>
        <v/>
      </c>
      <c r="G762" s="12" t="str">
        <f aca="false">IF(OR(E762="",E762="!!!"),"",IF(OR(J762=0,AND(J762=1,K762=1),AND(J762=1,I762="SBJ"),AND(J762=1,I762=0)),"?IN_FOCUS",IF(J762&lt;=2,"?ACTIVATED",IF(J762&lt;&gt;"","?FAMILIAR",IF(F762="NEW",IF(ISNA(VLOOKUP(E762,#REF!,1,FALSE())),"?TYPE_IDENTIFIABLE","?REFERENTIAL"),"_")))))</f>
        <v/>
      </c>
      <c r="H762" s="13" t="str">
        <f aca="false">IF(J762&lt;&gt;1,"",IF(I762="SBJ","CB","?"))</f>
        <v/>
      </c>
      <c r="I762" s="14" t="str">
        <f aca="false">IF(OR(E762="",E762="!!!",F762="NEW"),"",INDEX(B$2:B761,-1+SUMPRODUCT(MAX(ROW(E$2:E761)*(E762=E$2:E761)))))</f>
        <v/>
      </c>
      <c r="J762" s="15" t="str">
        <f aca="true">IF(OR(E762="",E762="!!!",F762="NEW"),"",COUNTBLANK(OFFSET(A$1,,,SUMPRODUCT(MAX(ROW(E$2:E762)*(E762=E$2:E762)))))-COUNTBLANK(OFFSET(A$1,,,SUMPRODUCT(MAX(ROW(E$1:E761)*(E762=E$1:E761))))))</f>
        <v/>
      </c>
      <c r="K762" s="15" t="str">
        <f aca="false">IF(OR(E762="",E762="!!!",F762="NEW"),"",INDEX(J$1:J761,SUMPRODUCT(MAX(ROW(E$1:E761)*(E762=E$1:E761)))))</f>
        <v/>
      </c>
      <c r="L762" s="16"/>
    </row>
    <row r="763" customFormat="false" ht="12.75" hidden="false" customHeight="false" outlineLevel="0" collapsed="false">
      <c r="A763" s="9" t="s">
        <v>39</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75" hidden="false" customHeight="false" outlineLevel="0" collapsed="false">
      <c r="A764" s="9" t="s">
        <v>60</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75" hidden="false" customHeight="false" outlineLevel="0" collapsed="false">
      <c r="A765" s="9" t="s">
        <v>237</v>
      </c>
      <c r="B765" s="0" t="s">
        <v>43</v>
      </c>
      <c r="C765" s="0" t="s">
        <v>58</v>
      </c>
      <c r="D765" s="0" t="s">
        <v>27</v>
      </c>
      <c r="E765" s="10" t="s">
        <v>64</v>
      </c>
      <c r="F765" s="11" t="str">
        <f aca="false">IF(OR(E765="",E765="!!!"),"",IF(NOT(ISNA(VLOOKUP(E765,E$1:E764,1,FALSE()))),"OLD",IF(AND(E765&lt;&gt;"",E765&lt;&gt;"!!!"),"NEW","")))</f>
        <v>OLD</v>
      </c>
      <c r="G765" s="12" t="s">
        <v>51</v>
      </c>
      <c r="H765" s="13" t="s">
        <v>7</v>
      </c>
      <c r="I765" s="14" t="str">
        <f aca="false">IF(OR(E765="",E765="!!!",F765="NEW"),"",INDEX(B$2:B764,-1+SUMPRODUCT(MAX(ROW(E$2:E764)*(E765=E$2:E764)))))</f>
        <v>SBJ_2</v>
      </c>
      <c r="J765" s="15" t="n">
        <f aca="true">IF(OR(E765="",E765="!!!",F765="NEW"),"",COUNTBLANK(OFFSET(A$1,,,SUMPRODUCT(MAX(ROW(E$2:E765)*(E765=E$2:E765)))))-COUNTBLANK(OFFSET(A$1,,,SUMPRODUCT(MAX(ROW(E$1:E764)*(E765=E$1:E764))))))</f>
        <v>1</v>
      </c>
      <c r="K765" s="15" t="n">
        <f aca="false">IF(OR(E765="",E765="!!!",F765="NEW"),"",INDEX(J$1:J764,SUMPRODUCT(MAX(ROW(E$1:E764)*(E765=E$1:E764)))))</f>
        <v>1</v>
      </c>
      <c r="L765" s="16"/>
    </row>
    <row r="766" customFormat="false" ht="12.75" hidden="false" customHeight="false" outlineLevel="0" collapsed="false">
      <c r="A766" s="9" t="s">
        <v>370</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75" hidden="false" customHeight="false" outlineLevel="0" collapsed="false">
      <c r="A767" s="9" t="s">
        <v>371</v>
      </c>
      <c r="B767" s="0" t="s">
        <v>25</v>
      </c>
      <c r="C767" s="0" t="s">
        <v>21</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75" hidden="false" customHeight="false" outlineLevel="0" collapsed="false">
      <c r="A768" s="9" t="s">
        <v>22</v>
      </c>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75" hidden="false" customHeight="false" outlineLevel="0" collapsed="false">
      <c r="A769" s="9" t="s">
        <v>174</v>
      </c>
      <c r="E769" s="10" t="str">
        <f aca="false">IF(D769="?OLD","!!!","")</f>
        <v/>
      </c>
      <c r="F769" s="11" t="str">
        <f aca="false">IF(OR(E769="",E769="!!!"),"",IF(NOT(ISNA(VLOOKUP(E769,E$1:E768,1,FALSE()))),"OLD",IF(AND(E769&lt;&gt;"",E769&lt;&gt;"!!!"),"NEW","")))</f>
        <v/>
      </c>
      <c r="G769" s="12" t="str">
        <f aca="false">IF(OR(E769="",E769="!!!"),"",IF(OR(J769=0,AND(J769=1,K769=1),AND(J769=1,I769="SBJ"),AND(J769=1,I769=0)),"?IN_FOCUS",IF(J769&lt;=2,"?ACTIVATED",IF(J769&lt;&gt;"","?FAMILIAR",IF(F769="NEW",IF(ISNA(VLOOKUP(E769,#REF!,1,FALSE())),"?TYPE_IDENTIFIABLE","?REFERENTIAL"),"_")))))</f>
        <v/>
      </c>
      <c r="H769" s="13" t="str">
        <f aca="false">IF(J769&lt;&gt;1,"",IF(I769="SBJ","CB","?"))</f>
        <v/>
      </c>
      <c r="I769" s="14" t="str">
        <f aca="false">IF(OR(E769="",E769="!!!",F769="NEW"),"",INDEX(B$2:B768,-1+SUMPRODUCT(MAX(ROW(E$2:E768)*(E769=E$2:E768)))))</f>
        <v/>
      </c>
      <c r="J769" s="15" t="str">
        <f aca="true">IF(OR(E769="",E769="!!!",F769="NEW"),"",COUNTBLANK(OFFSET(A$1,,,SUMPRODUCT(MAX(ROW(E$2:E769)*(E769=E$2:E769)))))-COUNTBLANK(OFFSET(A$1,,,SUMPRODUCT(MAX(ROW(E$1:E768)*(E769=E$1:E768))))))</f>
        <v/>
      </c>
      <c r="K769" s="15" t="str">
        <f aca="false">IF(OR(E769="",E769="!!!",F769="NEW"),"",INDEX(J$1:J768,SUMPRODUCT(MAX(ROW(E$1:E768)*(E769=E$1:E768)))))</f>
        <v/>
      </c>
      <c r="L769" s="16"/>
    </row>
    <row r="770" customFormat="false" ht="12.75" hidden="false" customHeight="false" outlineLevel="0" collapsed="false">
      <c r="A770" s="9" t="s">
        <v>152</v>
      </c>
      <c r="B770" s="0" t="s">
        <v>79</v>
      </c>
      <c r="C770" s="0" t="s">
        <v>58</v>
      </c>
      <c r="D770" s="0" t="s">
        <v>27</v>
      </c>
      <c r="E770" s="10" t="s">
        <v>372</v>
      </c>
      <c r="F770" s="11" t="str">
        <f aca="false">IF(OR(E770="",E770="!!!"),"",IF(NOT(ISNA(VLOOKUP(E770,E$1:E769,1,FALSE()))),"OLD",IF(AND(E770&lt;&gt;"",E770&lt;&gt;"!!!"),"NEW","")))</f>
        <v>NEW</v>
      </c>
      <c r="G770" s="12" t="s">
        <v>28</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75" hidden="false" customHeight="false" outlineLevel="0" collapsed="false">
      <c r="A771" s="9" t="s">
        <v>217</v>
      </c>
      <c r="E771" s="10" t="str">
        <f aca="false">IF(D771="?OLD","!!!","")</f>
        <v/>
      </c>
      <c r="F771" s="11" t="str">
        <f aca="false">IF(OR(E771="",E771="!!!"),"",IF(NOT(ISNA(VLOOKUP(E771,E$1:E770,1,FALSE()))),"OLD",IF(AND(E771&lt;&gt;"",E771&lt;&gt;"!!!"),"NEW","")))</f>
        <v/>
      </c>
      <c r="G771" s="12" t="str">
        <f aca="false">IF(OR(E771="",E771="!!!"),"",IF(OR(J771=0,AND(J771=1,K771=1),AND(J771=1,I771="SBJ"),AND(J771=1,I771=0)),"?IN_FOCUS",IF(J771&lt;=2,"?ACTIVATED",IF(J771&lt;&gt;"","?FAMILIAR",IF(F771="NEW",IF(ISNA(VLOOKUP(E771,#REF!,1,FALSE())),"?TYPE_IDENTIFIABLE","?REFERENTIAL"),"_")))))</f>
        <v/>
      </c>
      <c r="H771" s="13" t="str">
        <f aca="false">IF(J771&lt;&gt;1,"",IF(I771="SBJ","CB","?"))</f>
        <v/>
      </c>
      <c r="I771" s="14" t="str">
        <f aca="false">IF(OR(E771="",E771="!!!",F771="NEW"),"",INDEX(B$2:B770,-1+SUMPRODUCT(MAX(ROW(E$2:E770)*(E771=E$2:E770)))))</f>
        <v/>
      </c>
      <c r="J771" s="15" t="str">
        <f aca="true">IF(OR(E771="",E771="!!!",F771="NEW"),"",COUNTBLANK(OFFSET(A$1,,,SUMPRODUCT(MAX(ROW(E$2:E771)*(E771=E$2:E771)))))-COUNTBLANK(OFFSET(A$1,,,SUMPRODUCT(MAX(ROW(E$1:E770)*(E771=E$1:E770))))))</f>
        <v/>
      </c>
      <c r="K771" s="15" t="str">
        <f aca="false">IF(OR(E771="",E771="!!!",F771="NEW"),"",INDEX(J$1:J770,SUMPRODUCT(MAX(ROW(E$1:E770)*(E771=E$1:E770)))))</f>
        <v/>
      </c>
      <c r="L771" s="16"/>
    </row>
    <row r="772" customFormat="false" ht="12.75" hidden="false" customHeight="false" outlineLevel="0" collapsed="false">
      <c r="A772" s="9" t="s">
        <v>373</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75" hidden="false" customHeight="false" outlineLevel="0" collapsed="false">
      <c r="A773" s="9" t="s">
        <v>113</v>
      </c>
      <c r="E773" s="10" t="str">
        <f aca="false">IF(D773="?OLD","!!!","")</f>
        <v/>
      </c>
      <c r="F773" s="11" t="str">
        <f aca="false">IF(OR(E773="",E773="!!!"),"",IF(NOT(ISNA(VLOOKUP(E773,E$1:E772,1,FALSE()))),"OLD",IF(AND(E773&lt;&gt;"",E773&lt;&gt;"!!!"),"NEW","")))</f>
        <v/>
      </c>
      <c r="G773" s="12" t="str">
        <f aca="false">IF(OR(E773="",E773="!!!"),"",IF(OR(J773=0,AND(J773=1,K773=1),AND(J773=1,I773="SBJ"),AND(J773=1,I773=0)),"?IN_FOCUS",IF(J773&lt;=2,"?ACTIVATED",IF(J773&lt;&gt;"","?FAMILIAR",IF(F773="NEW",IF(ISNA(VLOOKUP(E773,#REF!,1,FALSE())),"?TYPE_IDENTIFIABLE","?REFERENTIAL"),"_")))))</f>
        <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75" hidden="false" customHeight="false" outlineLevel="0" collapsed="false">
      <c r="A774" s="9" t="s">
        <v>45</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75" hidden="false" customHeight="false" outlineLevel="0" collapsed="false">
      <c r="A775" s="9" t="s">
        <v>220</v>
      </c>
      <c r="B775" s="0" t="s">
        <v>114</v>
      </c>
      <c r="C775" s="0" t="s">
        <v>47</v>
      </c>
      <c r="D775" s="0" t="s">
        <v>27</v>
      </c>
      <c r="E775" s="10" t="s">
        <v>221</v>
      </c>
      <c r="F775" s="11" t="str">
        <f aca="false">IF(OR(E775="",E775="!!!"),"",IF(NOT(ISNA(VLOOKUP(E775,E$1:E774,1,FALSE()))),"OLD",IF(AND(E775&lt;&gt;"",E775&lt;&gt;"!!!"),"NEW","")))</f>
        <v>OLD</v>
      </c>
      <c r="G775" s="12" t="s">
        <v>49</v>
      </c>
      <c r="H775" s="13"/>
      <c r="I775" s="14" t="str">
        <f aca="false">IF(OR(E775="",E775="!!!",F775="NEW"),"",INDEX(B$2:B774,-1+SUMPRODUCT(MAX(ROW(E$2:E774)*(E775=E$2:E774)))))</f>
        <v>OBJ_2</v>
      </c>
      <c r="J775" s="15" t="n">
        <f aca="true">IF(OR(E775="",E775="!!!",F775="NEW"),"",COUNTBLANK(OFFSET(A$1,,,SUMPRODUCT(MAX(ROW(E$2:E775)*(E775=E$2:E775)))))-COUNTBLANK(OFFSET(A$1,,,SUMPRODUCT(MAX(ROW(E$1:E774)*(E775=E$1:E774))))))</f>
        <v>1</v>
      </c>
      <c r="K775" s="15" t="n">
        <f aca="false">IF(OR(E775="",E775="!!!",F775="NEW"),"",INDEX(J$1:J774,SUMPRODUCT(MAX(ROW(E$1:E774)*(E775=E$1:E774)))))</f>
        <v>6</v>
      </c>
      <c r="L775" s="16"/>
    </row>
    <row r="776" customFormat="false" ht="12.75" hidden="false" customHeight="false" outlineLevel="0" collapsed="false">
      <c r="A776" s="9" t="s">
        <v>263</v>
      </c>
      <c r="E776" s="10" t="str">
        <f aca="false">IF(D776="?OLD","!!!","")</f>
        <v/>
      </c>
      <c r="F776" s="11" t="str">
        <f aca="false">IF(OR(E776="",E776="!!!"),"",IF(NOT(ISNA(VLOOKUP(E776,E$1:E775,1,FALSE()))),"OLD",IF(AND(E776&lt;&gt;"",E776&lt;&gt;"!!!"),"NEW","")))</f>
        <v/>
      </c>
      <c r="G776" s="12" t="str">
        <f aca="false">IF(OR(E776="",E776="!!!"),"",IF(OR(J776=0,AND(J776=1,K776=1),AND(J776=1,I776="SBJ"),AND(J776=1,I776=0)),"?IN_FOCUS",IF(J776&lt;=2,"?ACTIVATED",IF(J776&lt;&gt;"","?FAMILIAR",IF(F776="NEW",IF(ISNA(VLOOKUP(E776,#REF!,1,FALSE())),"?TYPE_IDENTIFIABLE","?REFERENTIAL"),"_")))))</f>
        <v/>
      </c>
      <c r="H776" s="13" t="str">
        <f aca="false">IF(J776&lt;&gt;1,"",IF(I776="SBJ","CB","?"))</f>
        <v/>
      </c>
      <c r="I776" s="14" t="str">
        <f aca="false">IF(OR(E776="",E776="!!!",F776="NEW"),"",INDEX(B$2:B775,-1+SUMPRODUCT(MAX(ROW(E$2:E775)*(E776=E$2:E775)))))</f>
        <v/>
      </c>
      <c r="J776" s="15" t="str">
        <f aca="true">IF(OR(E776="",E776="!!!",F776="NEW"),"",COUNTBLANK(OFFSET(A$1,,,SUMPRODUCT(MAX(ROW(E$2:E776)*(E776=E$2:E776)))))-COUNTBLANK(OFFSET(A$1,,,SUMPRODUCT(MAX(ROW(E$1:E775)*(E776=E$1:E775))))))</f>
        <v/>
      </c>
      <c r="K776" s="15" t="str">
        <f aca="false">IF(OR(E776="",E776="!!!",F776="NEW"),"",INDEX(J$1:J775,SUMPRODUCT(MAX(ROW(E$1:E775)*(E776=E$1:E775)))))</f>
        <v/>
      </c>
      <c r="L776" s="16"/>
    </row>
    <row r="777" customFormat="false" ht="12.75" hidden="false" customHeight="false" outlineLevel="0" collapsed="false">
      <c r="A777" s="9" t="s">
        <v>374</v>
      </c>
      <c r="E777" s="10" t="str">
        <f aca="false">IF(D777="?OLD","!!!","")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75" hidden="false" customHeight="false" outlineLevel="0" collapsed="false">
      <c r="A778" s="9" t="s">
        <v>237</v>
      </c>
      <c r="B778" s="0" t="s">
        <v>90</v>
      </c>
      <c r="C778" s="0" t="s">
        <v>58</v>
      </c>
      <c r="D778" s="0" t="s">
        <v>27</v>
      </c>
      <c r="E778" s="10" t="s">
        <v>372</v>
      </c>
      <c r="F778" s="11" t="str">
        <f aca="false">IF(OR(E778="",E778="!!!"),"",IF(NOT(ISNA(VLOOKUP(E778,E$1:E777,1,FALSE()))),"OLD",IF(AND(E778&lt;&gt;"",E778&lt;&gt;"!!!"),"NEW","")))</f>
        <v>OLD</v>
      </c>
      <c r="G778" s="12" t="s">
        <v>49</v>
      </c>
      <c r="H778" s="13" t="str">
        <f aca="false">IF(J778&lt;&gt;1,"",IF(I778="SBJ","CB","?"))</f>
        <v/>
      </c>
      <c r="I778" s="14" t="str">
        <f aca="false">IF(OR(E778="",E778="!!!",F778="NEW"),"",INDEX(B$2:B777,-1+SUMPRODUCT(MAX(ROW(E$2:E777)*(E778=E$2:E777)))))</f>
        <v>SBJ_2</v>
      </c>
      <c r="J778" s="15" t="n">
        <f aca="true">IF(OR(E778="",E778="!!!",F778="NEW"),"",COUNTBLANK(OFFSET(A$1,,,SUMPRODUCT(MAX(ROW(E$2:E778)*(E778=E$2:E778)))))-COUNTBLANK(OFFSET(A$1,,,SUMPRODUCT(MAX(ROW(E$1:E777)*(E778=E$1:E777))))))</f>
        <v>0</v>
      </c>
      <c r="K778" s="15" t="str">
        <f aca="false">IF(OR(E778="",E778="!!!",F778="NEW"),"",INDEX(J$1:J777,SUMPRODUCT(MAX(ROW(E$1:E777)*(E778=E$1:E777)))))</f>
        <v/>
      </c>
      <c r="L778" s="16"/>
    </row>
    <row r="779" customFormat="false" ht="12.75" hidden="false" customHeight="false" outlineLevel="0" collapsed="false">
      <c r="A779" s="9" t="s">
        <v>68</v>
      </c>
      <c r="E779" s="10" t="str">
        <f aca="false">IF(D779="?OLD","!!!","")</f>
        <v/>
      </c>
      <c r="F779" s="11" t="str">
        <f aca="false">IF(OR(E779="",E779="!!!"),"",IF(NOT(ISNA(VLOOKUP(E779,E$1:E778,1,FALSE()))),"OLD",IF(AND(E779&lt;&gt;"",E779&lt;&gt;"!!!"),"NEW","")))</f>
        <v/>
      </c>
      <c r="G779" s="12" t="str">
        <f aca="false">IF(OR(E779="",E779="!!!"),"",IF(OR(J779=0,AND(J779=1,K779=1),AND(J779=1,I779="SBJ"),AND(J779=1,I779=0)),"?IN_FOCUS",IF(J779&lt;=2,"?ACTIVATED",IF(J779&lt;&gt;"","?FAMILIAR",IF(F779="NEW",IF(ISNA(VLOOKUP(E779,#REF!,1,FALSE())),"?TYPE_IDENTIFIABLE","?REFERENTIAL"),"_")))))</f>
        <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75" hidden="false" customHeight="false" outlineLevel="0" collapsed="false">
      <c r="E780" s="10" t="str">
        <f aca="false">IF(D780="?OLD","!!!","")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75" hidden="false" customHeight="false" outlineLevel="0" collapsed="false">
      <c r="A781" s="9" t="s">
        <v>375</v>
      </c>
      <c r="E781" s="10" t="str">
        <f aca="false">IF(D781="?OLD","!!!","")</f>
        <v/>
      </c>
      <c r="F781" s="11" t="str">
        <f aca="false">IF(OR(E781="",E781="!!!"),"",IF(NOT(ISNA(VLOOKUP(E781,E$1:E780,1,FALSE()))),"OLD",IF(AND(E781&lt;&gt;"",E781&lt;&gt;"!!!"),"NEW","")))</f>
        <v/>
      </c>
      <c r="G781" s="12" t="str">
        <f aca="false">IF(OR(E781="",E781="!!!"),"",IF(OR(J781=0,AND(J781=1,K781=1),AND(J781=1,I781="SBJ"),AND(J781=1,I781=0)),"?IN_FOCUS",IF(J781&lt;=2,"?ACTIVATED",IF(J781&lt;&gt;"","?FAMILIAR",IF(F781="NEW",IF(ISNA(VLOOKUP(E781,#REF!,1,FALSE())),"?TYPE_IDENTIFIABLE","?REFERENTIAL"),"_")))))</f>
        <v/>
      </c>
      <c r="H781" s="13" t="str">
        <f aca="false">IF(J781&lt;&gt;1,"",IF(I781="SBJ","CB","?"))</f>
        <v/>
      </c>
      <c r="I781" s="14" t="str">
        <f aca="false">IF(OR(E781="",E781="!!!",F781="NEW"),"",INDEX(B$2:B780,-1+SUMPRODUCT(MAX(ROW(E$2:E780)*(E781=E$2:E780)))))</f>
        <v/>
      </c>
      <c r="J781" s="15" t="str">
        <f aca="true">IF(OR(E781="",E781="!!!",F781="NEW"),"",COUNTBLANK(OFFSET(A$1,,,SUMPRODUCT(MAX(ROW(E$2:E781)*(E781=E$2:E781)))))-COUNTBLANK(OFFSET(A$1,,,SUMPRODUCT(MAX(ROW(E$1:E780)*(E781=E$1:E780))))))</f>
        <v/>
      </c>
      <c r="K781" s="15" t="str">
        <f aca="false">IF(OR(E781="",E781="!!!",F781="NEW"),"",INDEX(J$1:J780,SUMPRODUCT(MAX(ROW(E$1:E780)*(E781=E$1:E780)))))</f>
        <v/>
      </c>
      <c r="L781" s="16"/>
    </row>
    <row r="782" customFormat="false" ht="12.75" hidden="false" customHeight="false" outlineLevel="0" collapsed="false">
      <c r="A782" s="9" t="s">
        <v>313</v>
      </c>
      <c r="E782" s="10" t="str">
        <f aca="false">IF(D782="?OLD","!!!","")</f>
        <v/>
      </c>
      <c r="F782" s="11" t="str">
        <f aca="false">IF(OR(E782="",E782="!!!"),"",IF(NOT(ISNA(VLOOKUP(E782,E$1:E781,1,FALSE()))),"OLD",IF(AND(E782&lt;&gt;"",E782&lt;&gt;"!!!"),"NEW","")))</f>
        <v/>
      </c>
      <c r="G782" s="12" t="str">
        <f aca="false">IF(OR(E782="",E782="!!!"),"",IF(OR(J782=0,AND(J782=1,K782=1),AND(J782=1,I782="SBJ"),AND(J782=1,I782=0)),"?IN_FOCUS",IF(J782&lt;=2,"?ACTIVATED",IF(J782&lt;&gt;"","?FAMILIAR",IF(F782="NEW",IF(ISNA(VLOOKUP(E782,#REF!,1,FALSE())),"?TYPE_IDENTIFIABLE","?REFERENTIAL"),"_")))))</f>
        <v/>
      </c>
      <c r="H782" s="13" t="str">
        <f aca="false">IF(J782&lt;&gt;1,"",IF(I782="SBJ","CB","?"))</f>
        <v/>
      </c>
      <c r="I782" s="14" t="str">
        <f aca="false">IF(OR(E782="",E782="!!!",F782="NEW"),"",INDEX(B$2:B781,-1+SUMPRODUCT(MAX(ROW(E$2:E781)*(E782=E$2:E781)))))</f>
        <v/>
      </c>
      <c r="J782" s="15" t="str">
        <f aca="true">IF(OR(E782="",E782="!!!",F782="NEW"),"",COUNTBLANK(OFFSET(A$1,,,SUMPRODUCT(MAX(ROW(E$2:E782)*(E782=E$2:E782)))))-COUNTBLANK(OFFSET(A$1,,,SUMPRODUCT(MAX(ROW(E$1:E781)*(E782=E$1:E781))))))</f>
        <v/>
      </c>
      <c r="K782" s="15" t="str">
        <f aca="false">IF(OR(E782="",E782="!!!",F782="NEW"),"",INDEX(J$1:J781,SUMPRODUCT(MAX(ROW(E$1:E781)*(E782=E$1:E781)))))</f>
        <v/>
      </c>
      <c r="L782" s="16"/>
    </row>
    <row r="783" customFormat="false" ht="12.75" hidden="false" customHeight="false" outlineLevel="0" collapsed="false">
      <c r="A783" s="9" t="s">
        <v>152</v>
      </c>
      <c r="B783" s="0" t="s">
        <v>79</v>
      </c>
      <c r="C783" s="0" t="s">
        <v>58</v>
      </c>
      <c r="D783" s="0" t="s">
        <v>27</v>
      </c>
      <c r="E783" s="10" t="s">
        <v>372</v>
      </c>
      <c r="F783" s="11" t="str">
        <f aca="false">IF(OR(E783="",E783="!!!"),"",IF(NOT(ISNA(VLOOKUP(E783,E$1:E782,1,FALSE()))),"OLD",IF(AND(E783&lt;&gt;"",E783&lt;&gt;"!!!"),"NEW","")))</f>
        <v>OLD</v>
      </c>
      <c r="G783" s="12" t="s">
        <v>49</v>
      </c>
      <c r="H783" s="13"/>
      <c r="I783" s="14" t="str">
        <f aca="false">IF(OR(E783="",E783="!!!",F783="NEW"),"",INDEX(B$2:B782,-1+SUMPRODUCT(MAX(ROW(E$2:E782)*(E783=E$2:E782)))))</f>
        <v>OBJ_3</v>
      </c>
      <c r="J783" s="15" t="n">
        <f aca="true">IF(OR(E783="",E783="!!!",F783="NEW"),"",COUNTBLANK(OFFSET(A$1,,,SUMPRODUCT(MAX(ROW(E$2:E783)*(E783=E$2:E783)))))-COUNTBLANK(OFFSET(A$1,,,SUMPRODUCT(MAX(ROW(E$1:E782)*(E783=E$1:E782))))))</f>
        <v>1</v>
      </c>
      <c r="K783" s="15" t="n">
        <f aca="false">IF(OR(E783="",E783="!!!",F783="NEW"),"",INDEX(J$1:J782,SUMPRODUCT(MAX(ROW(E$1:E782)*(E783=E$1:E782)))))</f>
        <v>0</v>
      </c>
      <c r="L783" s="16"/>
    </row>
    <row r="784" customFormat="false" ht="12.75" hidden="false" customHeight="false" outlineLevel="0" collapsed="false">
      <c r="A784" s="9" t="s">
        <v>166</v>
      </c>
      <c r="E784" s="10" t="str">
        <f aca="false">IF(D784="?OLD","!!!","")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75" hidden="false" customHeight="false" outlineLevel="0" collapsed="false">
      <c r="A785" s="9" t="s">
        <v>60</v>
      </c>
      <c r="E785" s="10" t="str">
        <f aca="false">IF(D785="?OLD","!!!","")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75" hidden="false" customHeight="false" outlineLevel="0" collapsed="false">
      <c r="A786" s="9" t="s">
        <v>237</v>
      </c>
      <c r="B786" s="0" t="s">
        <v>43</v>
      </c>
      <c r="C786" s="0" t="s">
        <v>58</v>
      </c>
      <c r="D786" s="0" t="s">
        <v>27</v>
      </c>
      <c r="E786" s="10" t="s">
        <v>64</v>
      </c>
      <c r="F786" s="11" t="str">
        <f aca="false">IF(OR(E786="",E786="!!!"),"",IF(NOT(ISNA(VLOOKUP(E786,E$1:E785,1,FALSE()))),"OLD",IF(AND(E786&lt;&gt;"",E786&lt;&gt;"!!!"),"NEW","")))</f>
        <v>OLD</v>
      </c>
      <c r="G786" s="12" t="s">
        <v>51</v>
      </c>
      <c r="H786" s="13" t="s">
        <v>7</v>
      </c>
      <c r="I786" s="14" t="str">
        <f aca="false">IF(OR(E786="",E786="!!!",F786="NEW"),"",INDEX(B$2:B785,-1+SUMPRODUCT(MAX(ROW(E$2:E785)*(E786=E$2:E785)))))</f>
        <v>OBJ_2</v>
      </c>
      <c r="J786" s="15" t="n">
        <f aca="true">IF(OR(E786="",E786="!!!",F786="NEW"),"",COUNTBLANK(OFFSET(A$1,,,SUMPRODUCT(MAX(ROW(E$2:E786)*(E786=E$2:E786)))))-COUNTBLANK(OFFSET(A$1,,,SUMPRODUCT(MAX(ROW(E$1:E785)*(E786=E$1:E785))))))</f>
        <v>1</v>
      </c>
      <c r="K786" s="15" t="n">
        <f aca="false">IF(OR(E786="",E786="!!!",F786="NEW"),"",INDEX(J$1:J785,SUMPRODUCT(MAX(ROW(E$1:E785)*(E786=E$1:E785)))))</f>
        <v>1</v>
      </c>
      <c r="L786" s="16"/>
    </row>
    <row r="787" customFormat="false" ht="12.75" hidden="false" customHeight="false" outlineLevel="0" collapsed="false">
      <c r="A787" s="9" t="s">
        <v>22</v>
      </c>
      <c r="E787" s="10" t="str">
        <f aca="false">IF(D787="?OLD","!!!","")</f>
        <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75" hidden="false" customHeight="false" outlineLevel="0" collapsed="false">
      <c r="A788" s="9" t="s">
        <v>152</v>
      </c>
      <c r="B788" s="0" t="s">
        <v>17</v>
      </c>
      <c r="C788" s="0" t="s">
        <v>58</v>
      </c>
      <c r="D788" s="0" t="s">
        <v>27</v>
      </c>
      <c r="E788" s="10" t="s">
        <v>372</v>
      </c>
      <c r="F788" s="11" t="str">
        <f aca="false">IF(OR(E788="",E788="!!!"),"",IF(NOT(ISNA(VLOOKUP(E788,E$1:E787,1,FALSE()))),"OLD",IF(AND(E788&lt;&gt;"",E788&lt;&gt;"!!!"),"NEW","")))</f>
        <v>OLD</v>
      </c>
      <c r="G788" s="12" t="s">
        <v>51</v>
      </c>
      <c r="H788" s="13" t="str">
        <f aca="false">IF(J788&lt;&gt;1,"",IF(I788="SBJ","CB","?"))</f>
        <v/>
      </c>
      <c r="I788" s="14" t="str">
        <f aca="false">IF(OR(E788="",E788="!!!",F788="NEW"),"",INDEX(B$2:B787,-1+SUMPRODUCT(MAX(ROW(E$2:E787)*(E788=E$2:E787)))))</f>
        <v>SBJ_2</v>
      </c>
      <c r="J788" s="15" t="n">
        <f aca="true">IF(OR(E788="",E788="!!!",F788="NEW"),"",COUNTBLANK(OFFSET(A$1,,,SUMPRODUCT(MAX(ROW(E$2:E788)*(E788=E$2:E788)))))-COUNTBLANK(OFFSET(A$1,,,SUMPRODUCT(MAX(ROW(E$1:E787)*(E788=E$1:E787))))))</f>
        <v>0</v>
      </c>
      <c r="K788" s="15" t="n">
        <f aca="false">IF(OR(E788="",E788="!!!",F788="NEW"),"",INDEX(J$1:J787,SUMPRODUCT(MAX(ROW(E$1:E787)*(E788=E$1:E787)))))</f>
        <v>1</v>
      </c>
      <c r="L788" s="16"/>
    </row>
    <row r="789" customFormat="false" ht="12.75" hidden="false" customHeight="false" outlineLevel="0" collapsed="false">
      <c r="A789" s="9" t="s">
        <v>376</v>
      </c>
      <c r="E789" s="10" t="str">
        <f aca="false">IF(D789="?OLD","!!!","")</f>
        <v/>
      </c>
      <c r="F789" s="11" t="str">
        <f aca="false">IF(OR(E789="",E789="!!!"),"",IF(NOT(ISNA(VLOOKUP(E789,E$1:E788,1,FALSE()))),"OLD",IF(AND(E789&lt;&gt;"",E789&lt;&gt;"!!!"),"NEW","")))</f>
        <v/>
      </c>
      <c r="G789" s="12" t="str">
        <f aca="false">IF(OR(E789="",E789="!!!"),"",IF(OR(J789=0,AND(J789=1,K789=1),AND(J789=1,I789="SBJ"),AND(J789=1,I789=0)),"?IN_FOCUS",IF(J789&lt;=2,"?ACTIVATED",IF(J789&lt;&gt;"","?FAMILIAR",IF(F789="NEW",IF(ISNA(VLOOKUP(E789,#REF!,1,FALSE())),"?TYPE_IDENTIFIABLE","?REFERENTIAL"),"_")))))</f>
        <v/>
      </c>
      <c r="H789" s="13" t="str">
        <f aca="false">IF(J789&lt;&gt;1,"",IF(I789="SBJ","CB","?"))</f>
        <v/>
      </c>
      <c r="I789" s="14" t="str">
        <f aca="false">IF(OR(E789="",E789="!!!",F789="NEW"),"",INDEX(B$2:B788,-1+SUMPRODUCT(MAX(ROW(E$2:E788)*(E789=E$2:E788)))))</f>
        <v/>
      </c>
      <c r="J789" s="15" t="str">
        <f aca="true">IF(OR(E789="",E789="!!!",F789="NEW"),"",COUNTBLANK(OFFSET(A$1,,,SUMPRODUCT(MAX(ROW(E$2:E789)*(E789=E$2:E789)))))-COUNTBLANK(OFFSET(A$1,,,SUMPRODUCT(MAX(ROW(E$1:E788)*(E789=E$1:E788))))))</f>
        <v/>
      </c>
      <c r="K789" s="15" t="str">
        <f aca="false">IF(OR(E789="",E789="!!!",F789="NEW"),"",INDEX(J$1:J788,SUMPRODUCT(MAX(ROW(E$1:E788)*(E789=E$1:E788)))))</f>
        <v/>
      </c>
      <c r="L789" s="16"/>
    </row>
    <row r="790" customFormat="false" ht="12.75" hidden="false" customHeight="false" outlineLevel="0" collapsed="false">
      <c r="A790" s="9" t="s">
        <v>237</v>
      </c>
      <c r="B790" s="0" t="s">
        <v>38</v>
      </c>
      <c r="C790" s="0" t="s">
        <v>58</v>
      </c>
      <c r="D790" s="0" t="s">
        <v>27</v>
      </c>
      <c r="E790" s="10" t="s">
        <v>64</v>
      </c>
      <c r="F790" s="11" t="str">
        <f aca="false">IF(OR(E790="",E790="!!!"),"",IF(NOT(ISNA(VLOOKUP(E790,E$1:E789,1,FALSE()))),"OLD",IF(AND(E790&lt;&gt;"",E790&lt;&gt;"!!!"),"NEW","")))</f>
        <v>OLD</v>
      </c>
      <c r="G790" s="12" t="s">
        <v>51</v>
      </c>
      <c r="H790" s="13" t="str">
        <f aca="false">IF(J790&lt;&gt;1,"",IF(I790="SBJ","CB","?"))</f>
        <v/>
      </c>
      <c r="I790" s="14" t="str">
        <f aca="false">IF(OR(E790="",E790="!!!",F790="NEW"),"",INDEX(B$2:B789,-1+SUMPRODUCT(MAX(ROW(E$2:E789)*(E790=E$2:E789)))))</f>
        <v>OBJ_2</v>
      </c>
      <c r="J790" s="15" t="n">
        <f aca="true">IF(OR(E790="",E790="!!!",F790="NEW"),"",COUNTBLANK(OFFSET(A$1,,,SUMPRODUCT(MAX(ROW(E$2:E790)*(E790=E$2:E790)))))-COUNTBLANK(OFFSET(A$1,,,SUMPRODUCT(MAX(ROW(E$1:E789)*(E790=E$1:E789))))))</f>
        <v>0</v>
      </c>
      <c r="K790" s="15" t="n">
        <f aca="false">IF(OR(E790="",E790="!!!",F790="NEW"),"",INDEX(J$1:J789,SUMPRODUCT(MAX(ROW(E$1:E789)*(E790=E$1:E789)))))</f>
        <v>1</v>
      </c>
      <c r="L790" s="16"/>
    </row>
    <row r="791" customFormat="false" ht="12.75" hidden="false" customHeight="false" outlineLevel="0" collapsed="false">
      <c r="A791" s="9" t="s">
        <v>342</v>
      </c>
      <c r="E791" s="10" t="str">
        <f aca="false">IF(D791="?OLD","!!!","")</f>
        <v/>
      </c>
      <c r="F791" s="11" t="str">
        <f aca="false">IF(OR(E791="",E791="!!!"),"",IF(NOT(ISNA(VLOOKUP(E791,E$1:E790,1,FALSE()))),"OLD",IF(AND(E791&lt;&gt;"",E791&lt;&gt;"!!!"),"NEW","")))</f>
        <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75" hidden="false" customHeight="false" outlineLevel="0" collapsed="false">
      <c r="A792" s="9" t="s">
        <v>45</v>
      </c>
      <c r="E792" s="10" t="str">
        <f aca="false">IF(D792="?OLD","!!!","")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75" hidden="false" customHeight="false" outlineLevel="0" collapsed="false">
      <c r="A793" s="9" t="s">
        <v>321</v>
      </c>
      <c r="B793" s="0" t="s">
        <v>75</v>
      </c>
      <c r="C793" s="0" t="s">
        <v>47</v>
      </c>
      <c r="D793" s="0" t="s">
        <v>27</v>
      </c>
      <c r="E793" s="10" t="s">
        <v>322</v>
      </c>
      <c r="F793" s="11" t="str">
        <f aca="false">IF(OR(E793="",E793="!!!"),"",IF(NOT(ISNA(VLOOKUP(E793,E$1:E792,1,FALSE()))),"OLD",IF(AND(E793&lt;&gt;"",E793&lt;&gt;"!!!"),"NEW","")))</f>
        <v>OLD</v>
      </c>
      <c r="G793" s="12" t="s">
        <v>72</v>
      </c>
      <c r="H793" s="13" t="str">
        <f aca="false">IF(J793&lt;&gt;1,"",IF(I793="SBJ","CB","?"))</f>
        <v/>
      </c>
      <c r="I793" s="14" t="str">
        <f aca="false">IF(OR(E793="",E793="!!!",F793="NEW"),"",INDEX(B$2:B792,-1+SUMPRODUCT(MAX(ROW(E$2:E792)*(E793=E$2:E792)))))</f>
        <v>OBJ_2</v>
      </c>
      <c r="J793" s="15" t="n">
        <f aca="true">IF(OR(E793="",E793="!!!",F793="NEW"),"",COUNTBLANK(OFFSET(A$1,,,SUMPRODUCT(MAX(ROW(E$2:E793)*(E793=E$2:E793)))))-COUNTBLANK(OFFSET(A$1,,,SUMPRODUCT(MAX(ROW(E$1:E792)*(E793=E$1:E792))))))</f>
        <v>6</v>
      </c>
      <c r="K793" s="15" t="str">
        <f aca="false">IF(OR(E793="",E793="!!!",F793="NEW"),"",INDEX(J$1:J792,SUMPRODUCT(MAX(ROW(E$1:E792)*(E793=E$1:E792)))))</f>
        <v/>
      </c>
      <c r="L793" s="16"/>
    </row>
    <row r="794" customFormat="false" ht="12.75" hidden="false" customHeight="false" outlineLevel="0" collapsed="false">
      <c r="A794" s="9" t="s">
        <v>68</v>
      </c>
      <c r="E794" s="10" t="str">
        <f aca="false">IF(D794="?OLD","!!!","")</f>
        <v/>
      </c>
      <c r="F794" s="11" t="str">
        <f aca="false">IF(OR(E794="",E794="!!!"),"",IF(NOT(ISNA(VLOOKUP(E794,E$1:E793,1,FALSE()))),"OLD",IF(AND(E794&lt;&gt;"",E794&lt;&gt;"!!!"),"NEW","")))</f>
        <v/>
      </c>
      <c r="G794" s="12" t="str">
        <f aca="false">IF(OR(E794="",E794="!!!"),"",IF(OR(J794=0,AND(J794=1,K794=1),AND(J794=1,I794="SBJ"),AND(J794=1,I794=0)),"?IN_FOCUS",IF(J794&lt;=2,"?ACTIVATED",IF(J794&lt;&gt;"","?FAMILIAR",IF(F794="NEW",IF(ISNA(VLOOKUP(E794,#REF!,1,FALSE())),"?TYPE_IDENTIFIABLE","?REFERENTIAL"),"_")))))</f>
        <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75" hidden="false" customHeight="false" outlineLevel="0" collapsed="false">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75" hidden="false" customHeight="false" outlineLevel="0" collapsed="false">
      <c r="A796" s="9" t="s">
        <v>69</v>
      </c>
      <c r="E796" s="10" t="str">
        <f aca="false">IF(D796="?OLD","!!!","")</f>
        <v/>
      </c>
      <c r="F796" s="11" t="str">
        <f aca="false">IF(OR(E796="",E796="!!!"),"",IF(NOT(ISNA(VLOOKUP(E796,E$1:E795,1,FALSE()))),"OLD",IF(AND(E796&lt;&gt;"",E796&lt;&gt;"!!!"),"NEW","")))</f>
        <v/>
      </c>
      <c r="G796" s="12" t="str">
        <f aca="false">IF(OR(E796="",E796="!!!"),"",IF(OR(J796=0,AND(J796=1,K796=1),AND(J796=1,I796="SBJ"),AND(J796=1,I796=0)),"?IN_FOCUS",IF(J796&lt;=2,"?ACTIVATED",IF(J796&lt;&gt;"","?FAMILIAR",IF(F796="NEW",IF(ISNA(VLOOKUP(E796,#REF!,1,FALSE())),"?TYPE_IDENTIFIABLE","?REFERENTIAL"),"_")))))</f>
        <v/>
      </c>
      <c r="H796" s="13" t="str">
        <f aca="false">IF(J796&lt;&gt;1,"",IF(I796="SBJ","CB","?"))</f>
        <v/>
      </c>
      <c r="I796" s="14" t="str">
        <f aca="false">IF(OR(E796="",E796="!!!",F796="NEW"),"",INDEX(B$2:B795,-1+SUMPRODUCT(MAX(ROW(E$2:E795)*(E796=E$2:E795)))))</f>
        <v/>
      </c>
      <c r="J796" s="15" t="str">
        <f aca="true">IF(OR(E796="",E796="!!!",F796="NEW"),"",COUNTBLANK(OFFSET(A$1,,,SUMPRODUCT(MAX(ROW(E$2:E796)*(E796=E$2:E796)))))-COUNTBLANK(OFFSET(A$1,,,SUMPRODUCT(MAX(ROW(E$1:E795)*(E796=E$1:E795))))))</f>
        <v/>
      </c>
      <c r="K796" s="15" t="str">
        <f aca="false">IF(OR(E796="",E796="!!!",F796="NEW"),"",INDEX(J$1:J795,SUMPRODUCT(MAX(ROW(E$1:E795)*(E796=E$1:E795)))))</f>
        <v/>
      </c>
      <c r="L796" s="16"/>
    </row>
    <row r="797" customFormat="false" ht="12.75" hidden="false" customHeight="false" outlineLevel="0" collapsed="false">
      <c r="A797" s="9" t="s">
        <v>377</v>
      </c>
      <c r="E797" s="10" t="str">
        <f aca="false">IF(D797="?OLD","!!!","")</f>
        <v/>
      </c>
      <c r="F797" s="11" t="str">
        <f aca="false">IF(OR(E797="",E797="!!!"),"",IF(NOT(ISNA(VLOOKUP(E797,E$1:E796,1,FALSE()))),"OLD",IF(AND(E797&lt;&gt;"",E797&lt;&gt;"!!!"),"NEW","")))</f>
        <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75" hidden="false" customHeight="false" outlineLevel="0" collapsed="false">
      <c r="A798" s="9" t="s">
        <v>146</v>
      </c>
      <c r="E798" s="10" t="str">
        <f aca="false">IF(D798="?OLD","!!!","")</f>
        <v/>
      </c>
      <c r="F798" s="11" t="str">
        <f aca="false">IF(OR(E798="",E798="!!!"),"",IF(NOT(ISNA(VLOOKUP(E798,E$1:E797,1,FALSE()))),"OLD",IF(AND(E798&lt;&gt;"",E798&lt;&gt;"!!!"),"NEW","")))</f>
        <v/>
      </c>
      <c r="G798" s="12" t="str">
        <f aca="false">IF(OR(E798="",E798="!!!"),"",IF(OR(J798=0,AND(J798=1,K798=1),AND(J798=1,I798="SBJ"),AND(J798=1,I798=0)),"?IN_FOCUS",IF(J798&lt;=2,"?ACTIVATED",IF(J798&lt;&gt;"","?FAMILIAR",IF(F798="NEW",IF(ISNA(VLOOKUP(E798,#REF!,1,FALSE())),"?TYPE_IDENTIFIABLE","?REFERENTIAL"),"_")))))</f>
        <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row>
    <row r="799" customFormat="false" ht="12.75" hidden="false" customHeight="false" outlineLevel="0" collapsed="false">
      <c r="A799" s="9" t="s">
        <v>282</v>
      </c>
      <c r="E799" s="10" t="str">
        <f aca="false">IF(D799="?OLD","!!!","")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75" hidden="false" customHeight="false" outlineLevel="0" collapsed="false">
      <c r="A800" s="9" t="s">
        <v>283</v>
      </c>
      <c r="B800" s="0" t="s">
        <v>17</v>
      </c>
      <c r="C800" s="0" t="s">
        <v>47</v>
      </c>
      <c r="D800" s="0" t="s">
        <v>27</v>
      </c>
      <c r="E800" s="10" t="s">
        <v>284</v>
      </c>
      <c r="F800" s="11" t="str">
        <f aca="false">IF(OR(E800="",E800="!!!"),"",IF(NOT(ISNA(VLOOKUP(E800,E$1:E799,1,FALSE()))),"OLD",IF(AND(E800&lt;&gt;"",E800&lt;&gt;"!!!"),"NEW","")))</f>
        <v>OLD</v>
      </c>
      <c r="G800" s="12" t="s">
        <v>49</v>
      </c>
      <c r="H800" s="13" t="str">
        <f aca="false">IF(J800&lt;&gt;1,"",IF(I800="SBJ","CB","?"))</f>
        <v/>
      </c>
      <c r="I800" s="14" t="str">
        <f aca="false">IF(OR(E800="",E800="!!!",F800="NEW"),"",INDEX(B$2:B799,-1+SUMPRODUCT(MAX(ROW(E$2:E799)*(E800=E$2:E799)))))</f>
        <v>other</v>
      </c>
      <c r="J800" s="15" t="n">
        <f aca="true">IF(OR(E800="",E800="!!!",F800="NEW"),"",COUNTBLANK(OFFSET(A$1,,,SUMPRODUCT(MAX(ROW(E$2:E800)*(E800=E$2:E800)))))-COUNTBLANK(OFFSET(A$1,,,SUMPRODUCT(MAX(ROW(E$1:E799)*(E800=E$1:E799))))))</f>
        <v>4</v>
      </c>
      <c r="K800" s="15" t="n">
        <f aca="false">IF(OR(E800="",E800="!!!",F800="NEW"),"",INDEX(J$1:J799,SUMPRODUCT(MAX(ROW(E$1:E799)*(E800=E$1:E799)))))</f>
        <v>3</v>
      </c>
      <c r="L800" s="16"/>
    </row>
    <row r="801" customFormat="false" ht="12.75" hidden="false" customHeight="false" outlineLevel="0" collapsed="false">
      <c r="A801" s="9" t="s">
        <v>378</v>
      </c>
      <c r="E801" s="10" t="str">
        <f aca="false">IF(D801="?OLD","!!!","")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75" hidden="false" customHeight="false" outlineLevel="0" collapsed="false">
      <c r="A802" s="9" t="s">
        <v>237</v>
      </c>
      <c r="B802" s="0" t="s">
        <v>38</v>
      </c>
      <c r="C802" s="0" t="s">
        <v>58</v>
      </c>
      <c r="D802" s="0" t="s">
        <v>27</v>
      </c>
      <c r="E802" s="10" t="s">
        <v>64</v>
      </c>
      <c r="F802" s="11" t="str">
        <f aca="false">IF(OR(E802="",E802="!!!"),"",IF(NOT(ISNA(VLOOKUP(E802,E$1:E801,1,FALSE()))),"OLD",IF(AND(E802&lt;&gt;"",E802&lt;&gt;"!!!"),"NEW","")))</f>
        <v>OLD</v>
      </c>
      <c r="G802" s="12" t="s">
        <v>72</v>
      </c>
      <c r="H802" s="13" t="s">
        <v>7</v>
      </c>
      <c r="I802" s="14" t="str">
        <f aca="false">IF(OR(E802="",E802="!!!",F802="NEW"),"",INDEX(B$2:B801,-1+SUMPRODUCT(MAX(ROW(E$2:E801)*(E802=E$2:E801)))))</f>
        <v>OBJ</v>
      </c>
      <c r="J802" s="15" t="n">
        <f aca="true">IF(OR(E802="",E802="!!!",F802="NEW"),"",COUNTBLANK(OFFSET(A$1,,,SUMPRODUCT(MAX(ROW(E$2:E802)*(E802=E$2:E802)))))-COUNTBLANK(OFFSET(A$1,,,SUMPRODUCT(MAX(ROW(E$1:E801)*(E802=E$1:E801))))))</f>
        <v>1</v>
      </c>
      <c r="K802" s="15" t="n">
        <f aca="false">IF(OR(E802="",E802="!!!",F802="NEW"),"",INDEX(J$1:J801,SUMPRODUCT(MAX(ROW(E$1:E801)*(E802=E$1:E801)))))</f>
        <v>0</v>
      </c>
      <c r="L802" s="16"/>
    </row>
    <row r="803" customFormat="false" ht="12.75" hidden="false" customHeight="false" outlineLevel="0" collapsed="false">
      <c r="A803" s="9" t="s">
        <v>22</v>
      </c>
      <c r="E803" s="10" t="str">
        <f aca="false">IF(D803="?OLD","!!!","")</f>
        <v/>
      </c>
      <c r="F803" s="11" t="str">
        <f aca="false">IF(OR(E803="",E803="!!!"),"",IF(NOT(ISNA(VLOOKUP(E803,E$1:E802,1,FALSE()))),"OLD",IF(AND(E803&lt;&gt;"",E803&lt;&gt;"!!!"),"NEW","")))</f>
        <v/>
      </c>
      <c r="G803" s="12" t="str">
        <f aca="false">IF(OR(E803="",E803="!!!"),"",IF(OR(J803=0,AND(J803=1,K803=1),AND(J803=1,I803="SBJ"),AND(J803=1,I803=0)),"?IN_FOCUS",IF(J803&lt;=2,"?ACTIVATED",IF(J803&lt;&gt;"","?FAMILIAR",IF(F803="NEW",IF(ISNA(VLOOKUP(E803,#REF!,1,FALSE())),"?TYPE_IDENTIFIABLE","?REFERENTIAL"),"_")))))</f>
        <v/>
      </c>
      <c r="H803" s="13" t="str">
        <f aca="false">IF(J803&lt;&gt;1,"",IF(I803="SBJ","CB","?"))</f>
        <v/>
      </c>
      <c r="I803" s="14" t="str">
        <f aca="false">IF(OR(E803="",E803="!!!",F803="NEW"),"",INDEX(B$2:B802,-1+SUMPRODUCT(MAX(ROW(E$2:E802)*(E803=E$2:E802)))))</f>
        <v/>
      </c>
      <c r="J803" s="15" t="str">
        <f aca="true">IF(OR(E803="",E803="!!!",F803="NEW"),"",COUNTBLANK(OFFSET(A$1,,,SUMPRODUCT(MAX(ROW(E$2:E803)*(E803=E$2:E803)))))-COUNTBLANK(OFFSET(A$1,,,SUMPRODUCT(MAX(ROW(E$1:E802)*(E803=E$1:E802))))))</f>
        <v/>
      </c>
      <c r="K803" s="15" t="str">
        <f aca="false">IF(OR(E803="",E803="!!!",F803="NEW"),"",INDEX(J$1:J802,SUMPRODUCT(MAX(ROW(E$1:E802)*(E803=E$1:E802)))))</f>
        <v/>
      </c>
      <c r="L803" s="16"/>
    </row>
    <row r="804" customFormat="false" ht="12.75" hidden="false" customHeight="false" outlineLevel="0" collapsed="false">
      <c r="A804" s="9" t="s">
        <v>379</v>
      </c>
      <c r="E804" s="10" t="str">
        <f aca="false">IF(D804="?OLD","!!!","")</f>
        <v/>
      </c>
      <c r="F804" s="11" t="str">
        <f aca="false">IF(OR(E804="",E804="!!!"),"",IF(NOT(ISNA(VLOOKUP(E804,E$1:E803,1,FALSE()))),"OLD",IF(AND(E804&lt;&gt;"",E804&lt;&gt;"!!!"),"NEW","")))</f>
        <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75" hidden="false" customHeight="false" outlineLevel="0" collapsed="false">
      <c r="A805" s="9" t="s">
        <v>22</v>
      </c>
      <c r="E805" s="10" t="str">
        <f aca="false">IF(D805="?OLD","!!!","")</f>
        <v/>
      </c>
      <c r="F805" s="11" t="str">
        <f aca="false">IF(OR(E805="",E805="!!!"),"",IF(NOT(ISNA(VLOOKUP(E805,E$1:E804,1,FALSE()))),"OLD",IF(AND(E805&lt;&gt;"",E805&lt;&gt;"!!!"),"NEW","")))</f>
        <v/>
      </c>
      <c r="G805" s="12" t="str">
        <f aca="false">IF(OR(E805="",E805="!!!"),"",IF(OR(J805=0,AND(J805=1,K805=1),AND(J805=1,I805="SBJ"),AND(J805=1,I805=0)),"?IN_FOCUS",IF(J805&lt;=2,"?ACTIVATED",IF(J805&lt;&gt;"","?FAMILIAR",IF(F805="NEW",IF(ISNA(VLOOKUP(E805,#REF!,1,FALSE())),"?TYPE_IDENTIFIABLE","?REFERENTIAL"),"_")))))</f>
        <v/>
      </c>
      <c r="H805" s="13" t="str">
        <f aca="false">IF(J805&lt;&gt;1,"",IF(I805="SBJ","CB","?"))</f>
        <v/>
      </c>
      <c r="I805" s="14" t="str">
        <f aca="false">IF(OR(E805="",E805="!!!",F805="NEW"),"",INDEX(B$2:B804,-1+SUMPRODUCT(MAX(ROW(E$2:E804)*(E805=E$2:E804)))))</f>
        <v/>
      </c>
      <c r="J805" s="15" t="str">
        <f aca="true">IF(OR(E805="",E805="!!!",F805="NEW"),"",COUNTBLANK(OFFSET(A$1,,,SUMPRODUCT(MAX(ROW(E$2:E805)*(E805=E$2:E805)))))-COUNTBLANK(OFFSET(A$1,,,SUMPRODUCT(MAX(ROW(E$1:E804)*(E805=E$1:E804))))))</f>
        <v/>
      </c>
      <c r="K805" s="15" t="str">
        <f aca="false">IF(OR(E805="",E805="!!!",F805="NEW"),"",INDEX(J$1:J804,SUMPRODUCT(MAX(ROW(E$1:E804)*(E805=E$1:E804)))))</f>
        <v/>
      </c>
      <c r="L805" s="16"/>
    </row>
    <row r="806" customFormat="false" ht="12.75" hidden="false" customHeight="false" outlineLevel="0" collapsed="false">
      <c r="A806" s="9" t="s">
        <v>74</v>
      </c>
      <c r="E806" s="10" t="str">
        <f aca="false">IF(D806="?OLD","!!!","")</f>
        <v/>
      </c>
      <c r="F806" s="11" t="str">
        <f aca="false">IF(OR(E806="",E806="!!!"),"",IF(NOT(ISNA(VLOOKUP(E806,E$1:E805,1,FALSE()))),"OLD",IF(AND(E806&lt;&gt;"",E806&lt;&gt;"!!!"),"NEW","")))</f>
        <v/>
      </c>
      <c r="G806" s="12" t="str">
        <f aca="false">IF(OR(E806="",E806="!!!"),"",IF(OR(J806=0,AND(J806=1,K806=1),AND(J806=1,I806="SBJ"),AND(J806=1,I806=0)),"?IN_FOCUS",IF(J806&lt;=2,"?ACTIVATED",IF(J806&lt;&gt;"","?FAMILIAR",IF(F806="NEW",IF(ISNA(VLOOKUP(E806,#REF!,1,FALSE())),"?TYPE_IDENTIFIABLE","?REFERENTIAL"),"_")))))</f>
        <v/>
      </c>
      <c r="H806" s="13" t="str">
        <f aca="false">IF(J806&lt;&gt;1,"",IF(I806="SBJ","CB","?"))</f>
        <v/>
      </c>
      <c r="I806" s="14" t="str">
        <f aca="false">IF(OR(E806="",E806="!!!",F806="NEW"),"",INDEX(B$2:B805,-1+SUMPRODUCT(MAX(ROW(E$2:E805)*(E806=E$2:E805)))))</f>
        <v/>
      </c>
      <c r="J806" s="15" t="str">
        <f aca="true">IF(OR(E806="",E806="!!!",F806="NEW"),"",COUNTBLANK(OFFSET(A$1,,,SUMPRODUCT(MAX(ROW(E$2:E806)*(E806=E$2:E806)))))-COUNTBLANK(OFFSET(A$1,,,SUMPRODUCT(MAX(ROW(E$1:E805)*(E806=E$1:E805))))))</f>
        <v/>
      </c>
      <c r="K806" s="15" t="str">
        <f aca="false">IF(OR(E806="",E806="!!!",F806="NEW"),"",INDEX(J$1:J805,SUMPRODUCT(MAX(ROW(E$1:E805)*(E806=E$1:E805)))))</f>
        <v/>
      </c>
      <c r="L806" s="16"/>
    </row>
    <row r="807" customFormat="false" ht="12.75" hidden="false" customHeight="false" outlineLevel="0" collapsed="false">
      <c r="A807" s="9" t="s">
        <v>380</v>
      </c>
      <c r="E807" s="10" t="str">
        <f aca="false">IF(D807="?OLD","!!!","")</f>
        <v/>
      </c>
      <c r="F807" s="11" t="str">
        <f aca="false">IF(OR(E807="",E807="!!!"),"",IF(NOT(ISNA(VLOOKUP(E807,E$1:E806,1,FALSE()))),"OLD",IF(AND(E807&lt;&gt;"",E807&lt;&gt;"!!!"),"NEW","")))</f>
        <v/>
      </c>
      <c r="G807" s="12" t="str">
        <f aca="false">IF(OR(E807="",E807="!!!"),"",IF(OR(J807=0,AND(J807=1,K807=1),AND(J807=1,I807="SBJ"),AND(J807=1,I807=0)),"?IN_FOCUS",IF(J807&lt;=2,"?ACTIVATED",IF(J807&lt;&gt;"","?FAMILIAR",IF(F807="NEW",IF(ISNA(VLOOKUP(E807,#REF!,1,FALSE())),"?TYPE_IDENTIFIABLE","?REFERENTIAL"),"_")))))</f>
        <v/>
      </c>
      <c r="H807" s="13" t="str">
        <f aca="false">IF(J807&lt;&gt;1,"",IF(I807="SBJ","CB","?"))</f>
        <v/>
      </c>
      <c r="I807" s="14" t="str">
        <f aca="false">IF(OR(E807="",E807="!!!",F807="NEW"),"",INDEX(B$2:B806,-1+SUMPRODUCT(MAX(ROW(E$2:E806)*(E807=E$2:E806)))))</f>
        <v/>
      </c>
      <c r="J807" s="15" t="str">
        <f aca="true">IF(OR(E807="",E807="!!!",F807="NEW"),"",COUNTBLANK(OFFSET(A$1,,,SUMPRODUCT(MAX(ROW(E$2:E807)*(E807=E$2:E807)))))-COUNTBLANK(OFFSET(A$1,,,SUMPRODUCT(MAX(ROW(E$1:E806)*(E807=E$1:E806))))))</f>
        <v/>
      </c>
      <c r="K807" s="15" t="str">
        <f aca="false">IF(OR(E807="",E807="!!!",F807="NEW"),"",INDEX(J$1:J806,SUMPRODUCT(MAX(ROW(E$1:E806)*(E807=E$1:E806)))))</f>
        <v/>
      </c>
      <c r="L807" s="16"/>
    </row>
    <row r="808" customFormat="false" ht="12.75" hidden="false" customHeight="false" outlineLevel="0" collapsed="false">
      <c r="A808" s="9" t="s">
        <v>98</v>
      </c>
      <c r="E808" s="10" t="str">
        <f aca="false">IF(D808="?OLD","!!!","")</f>
        <v/>
      </c>
      <c r="F808" s="11" t="str">
        <f aca="false">IF(OR(E808="",E808="!!!"),"",IF(NOT(ISNA(VLOOKUP(E808,E$1:E807,1,FALSE()))),"OLD",IF(AND(E808&lt;&gt;"",E808&lt;&gt;"!!!"),"NEW","")))</f>
        <v/>
      </c>
      <c r="G808" s="12" t="str">
        <f aca="false">IF(OR(E808="",E808="!!!"),"",IF(OR(J808=0,AND(J808=1,K808=1),AND(J808=1,I808="SBJ"),AND(J808=1,I808=0)),"?IN_FOCUS",IF(J808&lt;=2,"?ACTIVATED",IF(J808&lt;&gt;"","?FAMILIAR",IF(F808="NEW",IF(ISNA(VLOOKUP(E808,#REF!,1,FALSE())),"?TYPE_IDENTIFIABLE","?REFERENTIAL"),"_")))))</f>
        <v/>
      </c>
      <c r="H808" s="13" t="str">
        <f aca="false">IF(J808&lt;&gt;1,"",IF(I808="SBJ","CB","?"))</f>
        <v/>
      </c>
      <c r="I808" s="14" t="str">
        <f aca="false">IF(OR(E808="",E808="!!!",F808="NEW"),"",INDEX(B$2:B807,-1+SUMPRODUCT(MAX(ROW(E$2:E807)*(E808=E$2:E807)))))</f>
        <v/>
      </c>
      <c r="J808" s="15" t="str">
        <f aca="true">IF(OR(E808="",E808="!!!",F808="NEW"),"",COUNTBLANK(OFFSET(A$1,,,SUMPRODUCT(MAX(ROW(E$2:E808)*(E808=E$2:E808)))))-COUNTBLANK(OFFSET(A$1,,,SUMPRODUCT(MAX(ROW(E$1:E807)*(E808=E$1:E807))))))</f>
        <v/>
      </c>
      <c r="K808" s="15" t="str">
        <f aca="false">IF(OR(E808="",E808="!!!",F808="NEW"),"",INDEX(J$1:J807,SUMPRODUCT(MAX(ROW(E$1:E807)*(E808=E$1:E807)))))</f>
        <v/>
      </c>
      <c r="L808" s="16"/>
    </row>
    <row r="809" customFormat="false" ht="12.75" hidden="false" customHeight="false" outlineLevel="0" collapsed="false">
      <c r="A809" s="9" t="s">
        <v>344</v>
      </c>
      <c r="B809" s="0" t="s">
        <v>79</v>
      </c>
      <c r="C809" s="0" t="s">
        <v>58</v>
      </c>
      <c r="D809" s="0" t="s">
        <v>27</v>
      </c>
      <c r="E809" s="10" t="s">
        <v>381</v>
      </c>
      <c r="F809" s="11" t="str">
        <f aca="false">IF(OR(E809="",E809="!!!"),"",IF(NOT(ISNA(VLOOKUP(E809,E$1:E808,1,FALSE()))),"OLD",IF(AND(E809&lt;&gt;"",E809&lt;&gt;"!!!"),"NEW","")))</f>
        <v>NEW</v>
      </c>
      <c r="G809" s="12" t="s">
        <v>28</v>
      </c>
      <c r="H809" s="13" t="str">
        <f aca="false">IF(J809&lt;&gt;1,"",IF(I809="SBJ","CB","?"))</f>
        <v/>
      </c>
      <c r="I809" s="14" t="str">
        <f aca="false">IF(OR(E809="",E809="!!!",F809="NEW"),"",INDEX(B$2:B808,-1+SUMPRODUCT(MAX(ROW(E$2:E808)*(E809=E$2:E808)))))</f>
        <v/>
      </c>
      <c r="J809" s="15" t="str">
        <f aca="true">IF(OR(E809="",E809="!!!",F809="NEW"),"",COUNTBLANK(OFFSET(A$1,,,SUMPRODUCT(MAX(ROW(E$2:E809)*(E809=E$2:E809)))))-COUNTBLANK(OFFSET(A$1,,,SUMPRODUCT(MAX(ROW(E$1:E808)*(E809=E$1:E808))))))</f>
        <v/>
      </c>
      <c r="K809" s="15" t="str">
        <f aca="false">IF(OR(E809="",E809="!!!",F809="NEW"),"",INDEX(J$1:J808,SUMPRODUCT(MAX(ROW(E$1:E808)*(E809=E$1:E808)))))</f>
        <v/>
      </c>
      <c r="L809" s="16"/>
    </row>
    <row r="810" customFormat="false" ht="12.75" hidden="false" customHeight="false" outlineLevel="0" collapsed="false">
      <c r="A810" s="9" t="s">
        <v>382</v>
      </c>
      <c r="E810" s="10" t="str">
        <f aca="false">IF(D810="?OLD","!!!","")</f>
        <v/>
      </c>
      <c r="F810" s="11" t="str">
        <f aca="false">IF(OR(E810="",E810="!!!"),"",IF(NOT(ISNA(VLOOKUP(E810,E$1:E809,1,FALSE()))),"OLD",IF(AND(E810&lt;&gt;"",E810&lt;&gt;"!!!"),"NEW","")))</f>
        <v/>
      </c>
      <c r="G810" s="12" t="str">
        <f aca="false">IF(OR(E810="",E810="!!!"),"",IF(OR(J810=0,AND(J810=1,K810=1),AND(J810=1,I810="SBJ"),AND(J810=1,I810=0)),"?IN_FOCUS",IF(J810&lt;=2,"?ACTIVATED",IF(J810&lt;&gt;"","?FAMILIAR",IF(F810="NEW",IF(ISNA(VLOOKUP(E810,#REF!,1,FALSE())),"?TYPE_IDENTIFIABLE","?REFERENTIAL"),"_")))))</f>
        <v/>
      </c>
      <c r="H810" s="13" t="str">
        <f aca="false">IF(J810&lt;&gt;1,"",IF(I810="SBJ","CB","?"))</f>
        <v/>
      </c>
      <c r="I810" s="14" t="str">
        <f aca="false">IF(OR(E810="",E810="!!!",F810="NEW"),"",INDEX(B$2:B809,-1+SUMPRODUCT(MAX(ROW(E$2:E809)*(E810=E$2:E809)))))</f>
        <v/>
      </c>
      <c r="J810" s="15" t="str">
        <f aca="true">IF(OR(E810="",E810="!!!",F810="NEW"),"",COUNTBLANK(OFFSET(A$1,,,SUMPRODUCT(MAX(ROW(E$2:E810)*(E810=E$2:E810)))))-COUNTBLANK(OFFSET(A$1,,,SUMPRODUCT(MAX(ROW(E$1:E809)*(E810=E$1:E809))))))</f>
        <v/>
      </c>
      <c r="K810" s="15" t="str">
        <f aca="false">IF(OR(E810="",E810="!!!",F810="NEW"),"",INDEX(J$1:J809,SUMPRODUCT(MAX(ROW(E$1:E809)*(E810=E$1:E809)))))</f>
        <v/>
      </c>
      <c r="L810" s="16"/>
    </row>
    <row r="811" customFormat="false" ht="12.75" hidden="false" customHeight="false" outlineLevel="0" collapsed="false">
      <c r="A811" s="9" t="s">
        <v>383</v>
      </c>
      <c r="E811" s="10" t="str">
        <f aca="false">IF(D811="?OLD","!!!","")</f>
        <v/>
      </c>
      <c r="F811" s="11" t="str">
        <f aca="false">IF(OR(E811="",E811="!!!"),"",IF(NOT(ISNA(VLOOKUP(E811,E$1:E810,1,FALSE()))),"OLD",IF(AND(E811&lt;&gt;"",E811&lt;&gt;"!!!"),"NEW","")))</f>
        <v/>
      </c>
      <c r="G811" s="12" t="str">
        <f aca="false">IF(OR(E811="",E811="!!!"),"",IF(OR(J811=0,AND(J811=1,K811=1),AND(J811=1,I811="SBJ"),AND(J811=1,I811=0)),"?IN_FOCUS",IF(J811&lt;=2,"?ACTIVATED",IF(J811&lt;&gt;"","?FAMILIAR",IF(F811="NEW",IF(ISNA(VLOOKUP(E811,#REF!,1,FALSE())),"?TYPE_IDENTIFIABLE","?REFERENTIAL"),"_")))))</f>
        <v/>
      </c>
      <c r="H811" s="13" t="str">
        <f aca="false">IF(J811&lt;&gt;1,"",IF(I811="SBJ","CB","?"))</f>
        <v/>
      </c>
      <c r="I811" s="14" t="str">
        <f aca="false">IF(OR(E811="",E811="!!!",F811="NEW"),"",INDEX(B$2:B810,-1+SUMPRODUCT(MAX(ROW(E$2:E810)*(E811=E$2:E810)))))</f>
        <v/>
      </c>
      <c r="J811" s="15" t="str">
        <f aca="true">IF(OR(E811="",E811="!!!",F811="NEW"),"",COUNTBLANK(OFFSET(A$1,,,SUMPRODUCT(MAX(ROW(E$2:E811)*(E811=E$2:E811)))))-COUNTBLANK(OFFSET(A$1,,,SUMPRODUCT(MAX(ROW(E$1:E810)*(E811=E$1:E810))))))</f>
        <v/>
      </c>
      <c r="K811" s="15" t="str">
        <f aca="false">IF(OR(E811="",E811="!!!",F811="NEW"),"",INDEX(J$1:J810,SUMPRODUCT(MAX(ROW(E$1:E810)*(E811=E$1:E810)))))</f>
        <v/>
      </c>
      <c r="L811" s="16"/>
    </row>
    <row r="812" customFormat="false" ht="12.75" hidden="false" customHeight="false" outlineLevel="0" collapsed="false">
      <c r="A812" s="9" t="s">
        <v>96</v>
      </c>
      <c r="B812" s="0" t="s">
        <v>114</v>
      </c>
      <c r="C812" s="0" t="s">
        <v>58</v>
      </c>
      <c r="D812" s="0" t="s">
        <v>27</v>
      </c>
      <c r="E812" s="10" t="s">
        <v>64</v>
      </c>
      <c r="F812" s="11" t="str">
        <f aca="false">IF(OR(E812="",E812="!!!"),"",IF(NOT(ISNA(VLOOKUP(E812,E$1:E811,1,FALSE()))),"OLD",IF(AND(E812&lt;&gt;"",E812&lt;&gt;"!!!"),"NEW","")))</f>
        <v>OLD</v>
      </c>
      <c r="G812" s="12" t="s">
        <v>51</v>
      </c>
      <c r="H812" s="13" t="str">
        <f aca="false">IF(J812&lt;&gt;1,"",IF(I812="SBJ","CB","?"))</f>
        <v/>
      </c>
      <c r="I812" s="14" t="str">
        <f aca="false">IF(OR(E812="",E812="!!!",F812="NEW"),"",INDEX(B$2:B811,-1+SUMPRODUCT(MAX(ROW(E$2:E811)*(E812=E$2:E811)))))</f>
        <v>OBJ</v>
      </c>
      <c r="J812" s="15" t="n">
        <f aca="true">IF(OR(E812="",E812="!!!",F812="NEW"),"",COUNTBLANK(OFFSET(A$1,,,SUMPRODUCT(MAX(ROW(E$2:E812)*(E812=E$2:E812)))))-COUNTBLANK(OFFSET(A$1,,,SUMPRODUCT(MAX(ROW(E$1:E811)*(E812=E$1:E811))))))</f>
        <v>0</v>
      </c>
      <c r="K812" s="15" t="n">
        <f aca="false">IF(OR(E812="",E812="!!!",F812="NEW"),"",INDEX(J$1:J811,SUMPRODUCT(MAX(ROW(E$1:E811)*(E812=E$1:E811)))))</f>
        <v>1</v>
      </c>
      <c r="L812" s="16"/>
    </row>
    <row r="813" customFormat="false" ht="12.75" hidden="false" customHeight="false" outlineLevel="0" collapsed="false">
      <c r="A813" s="9" t="s">
        <v>162</v>
      </c>
      <c r="E813" s="10" t="str">
        <f aca="false">IF(D813="?OLD","!!!","")</f>
        <v/>
      </c>
      <c r="F813" s="11" t="str">
        <f aca="false">IF(OR(E813="",E813="!!!"),"",IF(NOT(ISNA(VLOOKUP(E813,E$1:E812,1,FALSE()))),"OLD",IF(AND(E813&lt;&gt;"",E813&lt;&gt;"!!!"),"NEW","")))</f>
        <v/>
      </c>
      <c r="G813" s="12" t="str">
        <f aca="false">IF(OR(E813="",E813="!!!"),"",IF(OR(J813=0,AND(J813=1,K813=1),AND(J813=1,I813="SBJ"),AND(J813=1,I813=0)),"?IN_FOCUS",IF(J813&lt;=2,"?ACTIVATED",IF(J813&lt;&gt;"","?FAMILIAR",IF(F813="NEW",IF(ISNA(VLOOKUP(E813,#REF!,1,FALSE())),"?TYPE_IDENTIFIABLE","?REFERENTIAL"),"_")))))</f>
        <v/>
      </c>
      <c r="H813" s="13" t="str">
        <f aca="false">IF(J813&lt;&gt;1,"",IF(I813="SBJ","CB","?"))</f>
        <v/>
      </c>
      <c r="I813" s="14" t="str">
        <f aca="false">IF(OR(E813="",E813="!!!",F813="NEW"),"",INDEX(B$2:B812,-1+SUMPRODUCT(MAX(ROW(E$2:E812)*(E813=E$2:E812)))))</f>
        <v/>
      </c>
      <c r="J813" s="15" t="str">
        <f aca="true">IF(OR(E813="",E813="!!!",F813="NEW"),"",COUNTBLANK(OFFSET(A$1,,,SUMPRODUCT(MAX(ROW(E$2:E813)*(E813=E$2:E813)))))-COUNTBLANK(OFFSET(A$1,,,SUMPRODUCT(MAX(ROW(E$1:E812)*(E813=E$1:E812))))))</f>
        <v/>
      </c>
      <c r="K813" s="15" t="str">
        <f aca="false">IF(OR(E813="",E813="!!!",F813="NEW"),"",INDEX(J$1:J812,SUMPRODUCT(MAX(ROW(E$1:E812)*(E813=E$1:E812)))))</f>
        <v/>
      </c>
      <c r="L813" s="16"/>
    </row>
    <row r="814" customFormat="false" ht="12.75" hidden="false" customHeight="false" outlineLevel="0" collapsed="false">
      <c r="A814" s="9" t="s">
        <v>84</v>
      </c>
      <c r="E814" s="10" t="str">
        <f aca="false">IF(D814="?OLD","!!!","")</f>
        <v/>
      </c>
      <c r="F814" s="11" t="str">
        <f aca="false">IF(OR(E814="",E814="!!!"),"",IF(NOT(ISNA(VLOOKUP(E814,E$1:E813,1,FALSE()))),"OLD",IF(AND(E814&lt;&gt;"",E814&lt;&gt;"!!!"),"NEW","")))</f>
        <v/>
      </c>
      <c r="G814" s="12" t="str">
        <f aca="false">IF(OR(E814="",E814="!!!"),"",IF(OR(J814=0,AND(J814=1,K814=1),AND(J814=1,I814="SBJ"),AND(J814=1,I814=0)),"?IN_FOCUS",IF(J814&lt;=2,"?ACTIVATED",IF(J814&lt;&gt;"","?FAMILIAR",IF(F814="NEW",IF(ISNA(VLOOKUP(E814,#REF!,1,FALSE())),"?TYPE_IDENTIFIABLE","?REFERENTIAL"),"_")))))</f>
        <v/>
      </c>
      <c r="H814" s="13" t="str">
        <f aca="false">IF(J814&lt;&gt;1,"",IF(I814="SBJ","CB","?"))</f>
        <v/>
      </c>
      <c r="I814" s="14" t="str">
        <f aca="false">IF(OR(E814="",E814="!!!",F814="NEW"),"",INDEX(B$2:B813,-1+SUMPRODUCT(MAX(ROW(E$2:E813)*(E814=E$2:E813)))))</f>
        <v/>
      </c>
      <c r="J814" s="15" t="str">
        <f aca="true">IF(OR(E814="",E814="!!!",F814="NEW"),"",COUNTBLANK(OFFSET(A$1,,,SUMPRODUCT(MAX(ROW(E$2:E814)*(E814=E$2:E814)))))-COUNTBLANK(OFFSET(A$1,,,SUMPRODUCT(MAX(ROW(E$1:E813)*(E814=E$1:E813))))))</f>
        <v/>
      </c>
      <c r="K814" s="15" t="str">
        <f aca="false">IF(OR(E814="",E814="!!!",F814="NEW"),"",INDEX(J$1:J813,SUMPRODUCT(MAX(ROW(E$1:E813)*(E814=E$1:E813)))))</f>
        <v/>
      </c>
      <c r="L814" s="16"/>
    </row>
    <row r="815" customFormat="false" ht="12.75" hidden="false" customHeight="false" outlineLevel="0" collapsed="false">
      <c r="A815" s="9" t="s">
        <v>384</v>
      </c>
      <c r="E815" s="10" t="str">
        <f aca="false">IF(D815="?OLD","!!!","")</f>
        <v/>
      </c>
      <c r="F815" s="11" t="str">
        <f aca="false">IF(OR(E815="",E815="!!!"),"",IF(NOT(ISNA(VLOOKUP(E815,E$1:E814,1,FALSE()))),"OLD",IF(AND(E815&lt;&gt;"",E815&lt;&gt;"!!!"),"NEW","")))</f>
        <v/>
      </c>
      <c r="G815" s="12" t="str">
        <f aca="false">IF(OR(E815="",E815="!!!"),"",IF(OR(J815=0,AND(J815=1,K815=1),AND(J815=1,I815="SBJ"),AND(J815=1,I815=0)),"?IN_FOCUS",IF(J815&lt;=2,"?ACTIVATED",IF(J815&lt;&gt;"","?FAMILIAR",IF(F815="NEW",IF(ISNA(VLOOKUP(E815,#REF!,1,FALSE())),"?TYPE_IDENTIFIABLE","?REFERENTIAL"),"_")))))</f>
        <v/>
      </c>
      <c r="H815" s="13" t="str">
        <f aca="false">IF(J815&lt;&gt;1,"",IF(I815="SBJ","CB","?"))</f>
        <v/>
      </c>
      <c r="I815" s="14" t="str">
        <f aca="false">IF(OR(E815="",E815="!!!",F815="NEW"),"",INDEX(B$2:B814,-1+SUMPRODUCT(MAX(ROW(E$2:E814)*(E815=E$2:E814)))))</f>
        <v/>
      </c>
      <c r="J815" s="15" t="str">
        <f aca="true">IF(OR(E815="",E815="!!!",F815="NEW"),"",COUNTBLANK(OFFSET(A$1,,,SUMPRODUCT(MAX(ROW(E$2:E815)*(E815=E$2:E815)))))-COUNTBLANK(OFFSET(A$1,,,SUMPRODUCT(MAX(ROW(E$1:E814)*(E815=E$1:E814))))))</f>
        <v/>
      </c>
      <c r="K815" s="15" t="str">
        <f aca="false">IF(OR(E815="",E815="!!!",F815="NEW"),"",INDEX(J$1:J814,SUMPRODUCT(MAX(ROW(E$1:E814)*(E815=E$1:E814)))))</f>
        <v/>
      </c>
      <c r="L815" s="16"/>
    </row>
    <row r="816" customFormat="false" ht="12.75" hidden="false" customHeight="false" outlineLevel="0" collapsed="false">
      <c r="A816" s="9" t="s">
        <v>105</v>
      </c>
      <c r="E816" s="10" t="str">
        <f aca="false">IF(D816="?OLD","!!!","")</f>
        <v/>
      </c>
      <c r="F816" s="11" t="str">
        <f aca="false">IF(OR(E816="",E816="!!!"),"",IF(NOT(ISNA(VLOOKUP(E816,E$1:E815,1,FALSE()))),"OLD",IF(AND(E816&lt;&gt;"",E816&lt;&gt;"!!!"),"NEW","")))</f>
        <v/>
      </c>
      <c r="G816" s="12" t="str">
        <f aca="false">IF(OR(E816="",E816="!!!"),"",IF(OR(J816=0,AND(J816=1,K816=1),AND(J816=1,I816="SBJ"),AND(J816=1,I816=0)),"?IN_FOCUS",IF(J816&lt;=2,"?ACTIVATED",IF(J816&lt;&gt;"","?FAMILIAR",IF(F816="NEW",IF(ISNA(VLOOKUP(E816,#REF!,1,FALSE())),"?TYPE_IDENTIFIABLE","?REFERENTIAL"),"_")))))</f>
        <v/>
      </c>
      <c r="H816" s="13" t="str">
        <f aca="false">IF(J816&lt;&gt;1,"",IF(I816="SBJ","CB","?"))</f>
        <v/>
      </c>
      <c r="I816" s="14" t="str">
        <f aca="false">IF(OR(E816="",E816="!!!",F816="NEW"),"",INDEX(B$2:B815,-1+SUMPRODUCT(MAX(ROW(E$2:E815)*(E816=E$2:E815)))))</f>
        <v/>
      </c>
      <c r="J816" s="15" t="str">
        <f aca="true">IF(OR(E816="",E816="!!!",F816="NEW"),"",COUNTBLANK(OFFSET(A$1,,,SUMPRODUCT(MAX(ROW(E$2:E816)*(E816=E$2:E816)))))-COUNTBLANK(OFFSET(A$1,,,SUMPRODUCT(MAX(ROW(E$1:E815)*(E816=E$1:E815))))))</f>
        <v/>
      </c>
      <c r="K816" s="15" t="str">
        <f aca="false">IF(OR(E816="",E816="!!!",F816="NEW"),"",INDEX(J$1:J815,SUMPRODUCT(MAX(ROW(E$1:E815)*(E816=E$1:E815)))))</f>
        <v/>
      </c>
      <c r="L816" s="16"/>
    </row>
    <row r="817" customFormat="false" ht="12.75" hidden="false" customHeight="false" outlineLevel="0" collapsed="false">
      <c r="A817" s="9" t="s">
        <v>117</v>
      </c>
      <c r="E817" s="10" t="str">
        <f aca="false">IF(D817="?OLD","!!!","")</f>
        <v/>
      </c>
      <c r="F817" s="11" t="str">
        <f aca="false">IF(OR(E817="",E817="!!!"),"",IF(NOT(ISNA(VLOOKUP(E817,E$1:E816,1,FALSE()))),"OLD",IF(AND(E817&lt;&gt;"",E817&lt;&gt;"!!!"),"NEW","")))</f>
        <v/>
      </c>
      <c r="G817" s="12" t="str">
        <f aca="false">IF(OR(E817="",E817="!!!"),"",IF(OR(J817=0,AND(J817=1,K817=1),AND(J817=1,I817="SBJ"),AND(J817=1,I817=0)),"?IN_FOCUS",IF(J817&lt;=2,"?ACTIVATED",IF(J817&lt;&gt;"","?FAMILIAR",IF(F817="NEW",IF(ISNA(VLOOKUP(E817,#REF!,1,FALSE())),"?TYPE_IDENTIFIABLE","?REFERENTIAL"),"_")))))</f>
        <v/>
      </c>
      <c r="H817" s="13" t="str">
        <f aca="false">IF(J817&lt;&gt;1,"",IF(I817="SBJ","CB","?"))</f>
        <v/>
      </c>
      <c r="I817" s="14" t="str">
        <f aca="false">IF(OR(E817="",E817="!!!",F817="NEW"),"",INDEX(B$2:B816,-1+SUMPRODUCT(MAX(ROW(E$2:E816)*(E817=E$2:E816)))))</f>
        <v/>
      </c>
      <c r="J817" s="15" t="str">
        <f aca="true">IF(OR(E817="",E817="!!!",F817="NEW"),"",COUNTBLANK(OFFSET(A$1,,,SUMPRODUCT(MAX(ROW(E$2:E817)*(E817=E$2:E817)))))-COUNTBLANK(OFFSET(A$1,,,SUMPRODUCT(MAX(ROW(E$1:E816)*(E817=E$1:E816))))))</f>
        <v/>
      </c>
      <c r="K817" s="15" t="str">
        <f aca="false">IF(OR(E817="",E817="!!!",F817="NEW"),"",INDEX(J$1:J816,SUMPRODUCT(MAX(ROW(E$1:E816)*(E817=E$1:E816)))))</f>
        <v/>
      </c>
      <c r="L817" s="16"/>
    </row>
    <row r="818" customFormat="false" ht="12.75" hidden="false" customHeight="false" outlineLevel="0" collapsed="false">
      <c r="A818" s="9" t="s">
        <v>385</v>
      </c>
      <c r="B818" s="0" t="s">
        <v>33</v>
      </c>
      <c r="C818" s="0" t="s">
        <v>119</v>
      </c>
      <c r="D818" s="0" t="s">
        <v>27</v>
      </c>
      <c r="E818" s="10" t="s">
        <v>386</v>
      </c>
      <c r="F818" s="11" t="str">
        <f aca="false">IF(OR(E818="",E818="!!!"),"",IF(NOT(ISNA(VLOOKUP(E818,E$1:E817,1,FALSE()))),"OLD",IF(AND(E818&lt;&gt;"",E818&lt;&gt;"!!!"),"NEW","")))</f>
        <v>NEW</v>
      </c>
      <c r="G818" s="12" t="s">
        <v>72</v>
      </c>
      <c r="H818" s="13" t="str">
        <f aca="false">IF(J818&lt;&gt;1,"",IF(I818="SBJ","CB","?"))</f>
        <v/>
      </c>
      <c r="I818" s="14" t="str">
        <f aca="false">IF(OR(E818="",E818="!!!",F818="NEW"),"",INDEX(B$2:B817,-1+SUMPRODUCT(MAX(ROW(E$2:E817)*(E818=E$2:E817)))))</f>
        <v/>
      </c>
      <c r="J818" s="15" t="str">
        <f aca="true">IF(OR(E818="",E818="!!!",F818="NEW"),"",COUNTBLANK(OFFSET(A$1,,,SUMPRODUCT(MAX(ROW(E$2:E818)*(E818=E$2:E818)))))-COUNTBLANK(OFFSET(A$1,,,SUMPRODUCT(MAX(ROW(E$1:E817)*(E818=E$1:E817))))))</f>
        <v/>
      </c>
      <c r="K818" s="15" t="str">
        <f aca="false">IF(OR(E818="",E818="!!!",F818="NEW"),"",INDEX(J$1:J817,SUMPRODUCT(MAX(ROW(E$1:E817)*(E818=E$1:E817)))))</f>
        <v/>
      </c>
      <c r="L818" s="16"/>
    </row>
    <row r="819" customFormat="false" ht="12.75" hidden="false" customHeight="false" outlineLevel="0" collapsed="false">
      <c r="A819" s="9" t="s">
        <v>93</v>
      </c>
      <c r="E819" s="10" t="str">
        <f aca="false">IF(D819="?OLD","!!!","")</f>
        <v/>
      </c>
      <c r="F819" s="11" t="str">
        <f aca="false">IF(OR(E819="",E819="!!!"),"",IF(NOT(ISNA(VLOOKUP(E819,E$1:E818,1,FALSE()))),"OLD",IF(AND(E819&lt;&gt;"",E819&lt;&gt;"!!!"),"NEW","")))</f>
        <v/>
      </c>
      <c r="G819" s="12" t="str">
        <f aca="false">IF(OR(E819="",E819="!!!"),"",IF(OR(J819=0,AND(J819=1,K819=1),AND(J819=1,I819="SBJ"),AND(J819=1,I819=0)),"?IN_FOCUS",IF(J819&lt;=2,"?ACTIVATED",IF(J819&lt;&gt;"","?FAMILIAR",IF(F819="NEW",IF(ISNA(VLOOKUP(E819,#REF!,1,FALSE())),"?TYPE_IDENTIFIABLE","?REFERENTIAL"),"_")))))</f>
        <v/>
      </c>
      <c r="H819" s="13" t="str">
        <f aca="false">IF(J819&lt;&gt;1,"",IF(I819="SBJ","CB","?"))</f>
        <v/>
      </c>
      <c r="I819" s="14" t="str">
        <f aca="false">IF(OR(E819="",E819="!!!",F819="NEW"),"",INDEX(B$2:B818,-1+SUMPRODUCT(MAX(ROW(E$2:E818)*(E819=E$2:E818)))))</f>
        <v/>
      </c>
      <c r="J819" s="15" t="str">
        <f aca="true">IF(OR(E819="",E819="!!!",F819="NEW"),"",COUNTBLANK(OFFSET(A$1,,,SUMPRODUCT(MAX(ROW(E$2:E819)*(E819=E$2:E819)))))-COUNTBLANK(OFFSET(A$1,,,SUMPRODUCT(MAX(ROW(E$1:E818)*(E819=E$1:E818))))))</f>
        <v/>
      </c>
      <c r="K819" s="15" t="str">
        <f aca="false">IF(OR(E819="",E819="!!!",F819="NEW"),"",INDEX(J$1:J818,SUMPRODUCT(MAX(ROW(E$1:E818)*(E819=E$1:E818)))))</f>
        <v/>
      </c>
      <c r="L819" s="16"/>
    </row>
    <row r="820" customFormat="false" ht="12.75" hidden="false" customHeight="false" outlineLevel="0" collapsed="false">
      <c r="E820" s="10" t="str">
        <f aca="false">IF(D820="?OLD","!!!","")</f>
        <v/>
      </c>
      <c r="F820" s="11" t="str">
        <f aca="false">IF(OR(E820="",E820="!!!"),"",IF(NOT(ISNA(VLOOKUP(E820,E$1:E819,1,FALSE()))),"OLD",IF(AND(E820&lt;&gt;"",E820&lt;&gt;"!!!"),"NEW","")))</f>
        <v/>
      </c>
      <c r="G820" s="12" t="str">
        <f aca="false">IF(OR(E820="",E820="!!!"),"",IF(OR(J820=0,AND(J820=1,K820=1),AND(J820=1,I820="SBJ"),AND(J820=1,I820=0)),"?IN_FOCUS",IF(J820&lt;=2,"?ACTIVATED",IF(J820&lt;&gt;"","?FAMILIAR",IF(F820="NEW",IF(ISNA(VLOOKUP(E820,#REF!,1,FALSE())),"?TYPE_IDENTIFIABLE","?REFERENTIAL"),"_")))))</f>
        <v/>
      </c>
      <c r="H820" s="13" t="str">
        <f aca="false">IF(J820&lt;&gt;1,"",IF(I820="SBJ","CB","?"))</f>
        <v/>
      </c>
      <c r="I820" s="14" t="str">
        <f aca="false">IF(OR(E820="",E820="!!!",F820="NEW"),"",INDEX(B$2:B819,-1+SUMPRODUCT(MAX(ROW(E$2:E819)*(E820=E$2:E819)))))</f>
        <v/>
      </c>
      <c r="J820" s="15" t="str">
        <f aca="true">IF(OR(E820="",E820="!!!",F820="NEW"),"",COUNTBLANK(OFFSET(A$1,,,SUMPRODUCT(MAX(ROW(E$2:E820)*(E820=E$2:E820)))))-COUNTBLANK(OFFSET(A$1,,,SUMPRODUCT(MAX(ROW(E$1:E819)*(E820=E$1:E819))))))</f>
        <v/>
      </c>
      <c r="K820" s="15" t="str">
        <f aca="false">IF(OR(E820="",E820="!!!",F820="NEW"),"",INDEX(J$1:J819,SUMPRODUCT(MAX(ROW(E$1:E819)*(E820=E$1:E819)))))</f>
        <v/>
      </c>
      <c r="L820" s="16"/>
    </row>
    <row r="821" customFormat="false" ht="12.75" hidden="false" customHeight="false" outlineLevel="0" collapsed="false">
      <c r="A821" s="9" t="s">
        <v>69</v>
      </c>
      <c r="E821" s="10" t="str">
        <f aca="false">IF(D821="?OLD","!!!","")</f>
        <v/>
      </c>
      <c r="F821" s="11" t="str">
        <f aca="false">IF(OR(E821="",E821="!!!"),"",IF(NOT(ISNA(VLOOKUP(E821,E$1:E820,1,FALSE()))),"OLD",IF(AND(E821&lt;&gt;"",E821&lt;&gt;"!!!"),"NEW","")))</f>
        <v/>
      </c>
      <c r="G821" s="12" t="str">
        <f aca="false">IF(OR(E821="",E821="!!!"),"",IF(OR(J821=0,AND(J821=1,K821=1),AND(J821=1,I821="SBJ"),AND(J821=1,I821=0)),"?IN_FOCUS",IF(J821&lt;=2,"?ACTIVATED",IF(J821&lt;&gt;"","?FAMILIAR",IF(F821="NEW",IF(ISNA(VLOOKUP(E821,#REF!,1,FALSE())),"?TYPE_IDENTIFIABLE","?REFERENTIAL"),"_")))))</f>
        <v/>
      </c>
      <c r="H821" s="13" t="str">
        <f aca="false">IF(J821&lt;&gt;1,"",IF(I821="SBJ","CB","?"))</f>
        <v/>
      </c>
      <c r="I821" s="14" t="str">
        <f aca="false">IF(OR(E821="",E821="!!!",F821="NEW"),"",INDEX(B$2:B820,-1+SUMPRODUCT(MAX(ROW(E$2:E820)*(E821=E$2:E820)))))</f>
        <v/>
      </c>
      <c r="J821" s="15" t="str">
        <f aca="true">IF(OR(E821="",E821="!!!",F821="NEW"),"",COUNTBLANK(OFFSET(A$1,,,SUMPRODUCT(MAX(ROW(E$2:E821)*(E821=E$2:E821)))))-COUNTBLANK(OFFSET(A$1,,,SUMPRODUCT(MAX(ROW(E$1:E820)*(E821=E$1:E820))))))</f>
        <v/>
      </c>
      <c r="K821" s="15" t="str">
        <f aca="false">IF(OR(E821="",E821="!!!",F821="NEW"),"",INDEX(J$1:J820,SUMPRODUCT(MAX(ROW(E$1:E820)*(E821=E$1:E820)))))</f>
        <v/>
      </c>
      <c r="L821" s="16"/>
    </row>
    <row r="822" customFormat="false" ht="12.75" hidden="false" customHeight="false" outlineLevel="0" collapsed="false">
      <c r="A822" s="9" t="s">
        <v>387</v>
      </c>
      <c r="E822" s="10" t="str">
        <f aca="false">IF(D822="?OLD","!!!","")</f>
        <v/>
      </c>
      <c r="F822" s="11" t="str">
        <f aca="false">IF(OR(E822="",E822="!!!"),"",IF(NOT(ISNA(VLOOKUP(E822,E$1:E821,1,FALSE()))),"OLD",IF(AND(E822&lt;&gt;"",E822&lt;&gt;"!!!"),"NEW","")))</f>
        <v/>
      </c>
      <c r="G822" s="12" t="str">
        <f aca="false">IF(OR(E822="",E822="!!!"),"",IF(OR(J822=0,AND(J822=1,K822=1),AND(J822=1,I822="SBJ"),AND(J822=1,I822=0)),"?IN_FOCUS",IF(J822&lt;=2,"?ACTIVATED",IF(J822&lt;&gt;"","?FAMILIAR",IF(F822="NEW",IF(ISNA(VLOOKUP(E822,#REF!,1,FALSE())),"?TYPE_IDENTIFIABLE","?REFERENTIAL"),"_")))))</f>
        <v/>
      </c>
      <c r="H822" s="13" t="str">
        <f aca="false">IF(J822&lt;&gt;1,"",IF(I822="SBJ","CB","?"))</f>
        <v/>
      </c>
      <c r="I822" s="14" t="str">
        <f aca="false">IF(OR(E822="",E822="!!!",F822="NEW"),"",INDEX(B$2:B821,-1+SUMPRODUCT(MAX(ROW(E$2:E821)*(E822=E$2:E821)))))</f>
        <v/>
      </c>
      <c r="J822" s="15" t="str">
        <f aca="true">IF(OR(E822="",E822="!!!",F822="NEW"),"",COUNTBLANK(OFFSET(A$1,,,SUMPRODUCT(MAX(ROW(E$2:E822)*(E822=E$2:E822)))))-COUNTBLANK(OFFSET(A$1,,,SUMPRODUCT(MAX(ROW(E$1:E821)*(E822=E$1:E821))))))</f>
        <v/>
      </c>
      <c r="K822" s="15" t="str">
        <f aca="false">IF(OR(E822="",E822="!!!",F822="NEW"),"",INDEX(J$1:J821,SUMPRODUCT(MAX(ROW(E$1:E821)*(E822=E$1:E821)))))</f>
        <v/>
      </c>
      <c r="L822" s="16"/>
    </row>
    <row r="823" customFormat="false" ht="12.75" hidden="false" customHeight="false" outlineLevel="0" collapsed="false">
      <c r="A823" s="9" t="s">
        <v>188</v>
      </c>
      <c r="E823" s="10" t="str">
        <f aca="false">IF(D823="?OLD","!!!","")</f>
        <v/>
      </c>
      <c r="F823" s="11" t="str">
        <f aca="false">IF(OR(E823="",E823="!!!"),"",IF(NOT(ISNA(VLOOKUP(E823,E$1:E822,1,FALSE()))),"OLD",IF(AND(E823&lt;&gt;"",E823&lt;&gt;"!!!"),"NEW","")))</f>
        <v/>
      </c>
      <c r="G823" s="12" t="str">
        <f aca="false">IF(OR(E823="",E823="!!!"),"",IF(OR(J823=0,AND(J823=1,K823=1),AND(J823=1,I823="SBJ"),AND(J823=1,I823=0)),"?IN_FOCUS",IF(J823&lt;=2,"?ACTIVATED",IF(J823&lt;&gt;"","?FAMILIAR",IF(F823="NEW",IF(ISNA(VLOOKUP(E823,#REF!,1,FALSE())),"?TYPE_IDENTIFIABLE","?REFERENTIAL"),"_")))))</f>
        <v/>
      </c>
      <c r="H823" s="13" t="str">
        <f aca="false">IF(J823&lt;&gt;1,"",IF(I823="SBJ","CB","?"))</f>
        <v/>
      </c>
      <c r="I823" s="14" t="str">
        <f aca="false">IF(OR(E823="",E823="!!!",F823="NEW"),"",INDEX(B$2:B822,-1+SUMPRODUCT(MAX(ROW(E$2:E822)*(E823=E$2:E822)))))</f>
        <v/>
      </c>
      <c r="J823" s="15" t="str">
        <f aca="true">IF(OR(E823="",E823="!!!",F823="NEW"),"",COUNTBLANK(OFFSET(A$1,,,SUMPRODUCT(MAX(ROW(E$2:E823)*(E823=E$2:E823)))))-COUNTBLANK(OFFSET(A$1,,,SUMPRODUCT(MAX(ROW(E$1:E822)*(E823=E$1:E822))))))</f>
        <v/>
      </c>
      <c r="K823" s="15" t="str">
        <f aca="false">IF(OR(E823="",E823="!!!",F823="NEW"),"",INDEX(J$1:J822,SUMPRODUCT(MAX(ROW(E$1:E822)*(E823=E$1:E822)))))</f>
        <v/>
      </c>
      <c r="L823" s="16"/>
    </row>
    <row r="824" customFormat="false" ht="12.75" hidden="false" customHeight="false" outlineLevel="0" collapsed="false">
      <c r="A824" s="9" t="s">
        <v>22</v>
      </c>
      <c r="E824" s="10" t="str">
        <f aca="false">IF(D824="?OLD","!!!","")</f>
        <v/>
      </c>
      <c r="F824" s="11" t="str">
        <f aca="false">IF(OR(E824="",E824="!!!"),"",IF(NOT(ISNA(VLOOKUP(E824,E$1:E823,1,FALSE()))),"OLD",IF(AND(E824&lt;&gt;"",E824&lt;&gt;"!!!"),"NEW","")))</f>
        <v/>
      </c>
      <c r="G824" s="12" t="str">
        <f aca="false">IF(OR(E824="",E824="!!!"),"",IF(OR(J824=0,AND(J824=1,K824=1),AND(J824=1,I824="SBJ"),AND(J824=1,I824=0)),"?IN_FOCUS",IF(J824&lt;=2,"?ACTIVATED",IF(J824&lt;&gt;"","?FAMILIAR",IF(F824="NEW",IF(ISNA(VLOOKUP(E824,#REF!,1,FALSE())),"?TYPE_IDENTIFIABLE","?REFERENTIAL"),"_")))))</f>
        <v/>
      </c>
      <c r="H824" s="13" t="str">
        <f aca="false">IF(J824&lt;&gt;1,"",IF(I824="SBJ","CB","?"))</f>
        <v/>
      </c>
      <c r="I824" s="14" t="str">
        <f aca="false">IF(OR(E824="",E824="!!!",F824="NEW"),"",INDEX(B$2:B823,-1+SUMPRODUCT(MAX(ROW(E$2:E823)*(E824=E$2:E823)))))</f>
        <v/>
      </c>
      <c r="J824" s="15" t="str">
        <f aca="true">IF(OR(E824="",E824="!!!",F824="NEW"),"",COUNTBLANK(OFFSET(A$1,,,SUMPRODUCT(MAX(ROW(E$2:E824)*(E824=E$2:E824)))))-COUNTBLANK(OFFSET(A$1,,,SUMPRODUCT(MAX(ROW(E$1:E823)*(E824=E$1:E823))))))</f>
        <v/>
      </c>
      <c r="K824" s="15" t="str">
        <f aca="false">IF(OR(E824="",E824="!!!",F824="NEW"),"",INDEX(J$1:J823,SUMPRODUCT(MAX(ROW(E$1:E823)*(E824=E$1:E823)))))</f>
        <v/>
      </c>
      <c r="L824" s="16"/>
    </row>
    <row r="825" customFormat="false" ht="12.75" hidden="false" customHeight="false" outlineLevel="0" collapsed="false">
      <c r="A825" s="9" t="s">
        <v>96</v>
      </c>
      <c r="B825" s="0" t="s">
        <v>17</v>
      </c>
      <c r="C825" s="0" t="s">
        <v>58</v>
      </c>
      <c r="D825" s="0" t="s">
        <v>27</v>
      </c>
      <c r="E825" s="10" t="s">
        <v>64</v>
      </c>
      <c r="F825" s="11" t="str">
        <f aca="false">IF(OR(E825="",E825="!!!"),"",IF(NOT(ISNA(VLOOKUP(E825,E$1:E824,1,FALSE()))),"OLD",IF(AND(E825&lt;&gt;"",E825&lt;&gt;"!!!"),"NEW","")))</f>
        <v>OLD</v>
      </c>
      <c r="G825" s="12" t="s">
        <v>49</v>
      </c>
      <c r="H825" s="13"/>
      <c r="I825" s="14" t="str">
        <f aca="false">IF(OR(E825="",E825="!!!",F825="NEW"),"",INDEX(B$2:B824,-1+SUMPRODUCT(MAX(ROW(E$2:E824)*(E825=E$2:E824)))))</f>
        <v>SBJ_3</v>
      </c>
      <c r="J825" s="15" t="n">
        <f aca="true">IF(OR(E825="",E825="!!!",F825="NEW"),"",COUNTBLANK(OFFSET(A$1,,,SUMPRODUCT(MAX(ROW(E$2:E825)*(E825=E$2:E825)))))-COUNTBLANK(OFFSET(A$1,,,SUMPRODUCT(MAX(ROW(E$1:E824)*(E825=E$1:E824))))))</f>
        <v>1</v>
      </c>
      <c r="K825" s="15" t="n">
        <f aca="false">IF(OR(E825="",E825="!!!",F825="NEW"),"",INDEX(J$1:J824,SUMPRODUCT(MAX(ROW(E$1:E824)*(E825=E$1:E824)))))</f>
        <v>0</v>
      </c>
      <c r="L825" s="16"/>
    </row>
    <row r="826" customFormat="false" ht="12.75" hidden="false" customHeight="false" outlineLevel="0" collapsed="false">
      <c r="A826" s="9" t="s">
        <v>115</v>
      </c>
      <c r="E826" s="10" t="str">
        <f aca="false">IF(D826="?OLD","!!!","")</f>
        <v/>
      </c>
      <c r="F826" s="11" t="str">
        <f aca="false">IF(OR(E826="",E826="!!!"),"",IF(NOT(ISNA(VLOOKUP(E826,E$1:E825,1,FALSE()))),"OLD",IF(AND(E826&lt;&gt;"",E826&lt;&gt;"!!!"),"NEW","")))</f>
        <v/>
      </c>
      <c r="G826" s="12" t="str">
        <f aca="false">IF(OR(E826="",E826="!!!"),"",IF(OR(J826=0,AND(J826=1,K826=1),AND(J826=1,I826="SBJ"),AND(J826=1,I826=0)),"?IN_FOCUS",IF(J826&lt;=2,"?ACTIVATED",IF(J826&lt;&gt;"","?FAMILIAR",IF(F826="NEW",IF(ISNA(VLOOKUP(E826,#REF!,1,FALSE())),"?TYPE_IDENTIFIABLE","?REFERENTIAL"),"_")))))</f>
        <v/>
      </c>
      <c r="H826" s="13" t="str">
        <f aca="false">IF(J826&lt;&gt;1,"",IF(I826="SBJ","CB","?"))</f>
        <v/>
      </c>
      <c r="I826" s="14" t="str">
        <f aca="false">IF(OR(E826="",E826="!!!",F826="NEW"),"",INDEX(B$2:B825,-1+SUMPRODUCT(MAX(ROW(E$2:E825)*(E826=E$2:E825)))))</f>
        <v/>
      </c>
      <c r="J826" s="15" t="str">
        <f aca="true">IF(OR(E826="",E826="!!!",F826="NEW"),"",COUNTBLANK(OFFSET(A$1,,,SUMPRODUCT(MAX(ROW(E$2:E826)*(E826=E$2:E826)))))-COUNTBLANK(OFFSET(A$1,,,SUMPRODUCT(MAX(ROW(E$1:E825)*(E826=E$1:E825))))))</f>
        <v/>
      </c>
      <c r="K826" s="15" t="str">
        <f aca="false">IF(OR(E826="",E826="!!!",F826="NEW"),"",INDEX(J$1:J825,SUMPRODUCT(MAX(ROW(E$1:E825)*(E826=E$1:E825)))))</f>
        <v/>
      </c>
      <c r="L826" s="16"/>
    </row>
    <row r="827" customFormat="false" ht="12.75" hidden="false" customHeight="false" outlineLevel="0" collapsed="false">
      <c r="A827" s="9" t="s">
        <v>80</v>
      </c>
      <c r="E827" s="10" t="str">
        <f aca="false">IF(D827="?OLD","!!!","")</f>
        <v/>
      </c>
      <c r="F827" s="11" t="str">
        <f aca="false">IF(OR(E827="",E827="!!!"),"",IF(NOT(ISNA(VLOOKUP(E827,E$1:E826,1,FALSE()))),"OLD",IF(AND(E827&lt;&gt;"",E827&lt;&gt;"!!!"),"NEW","")))</f>
        <v/>
      </c>
      <c r="G827" s="12" t="str">
        <f aca="false">IF(OR(E827="",E827="!!!"),"",IF(OR(J827=0,AND(J827=1,K827=1),AND(J827=1,I827="SBJ"),AND(J827=1,I827=0)),"?IN_FOCUS",IF(J827&lt;=2,"?ACTIVATED",IF(J827&lt;&gt;"","?FAMILIAR",IF(F827="NEW",IF(ISNA(VLOOKUP(E827,#REF!,1,FALSE())),"?TYPE_IDENTIFIABLE","?REFERENTIAL"),"_")))))</f>
        <v/>
      </c>
      <c r="H827" s="13" t="str">
        <f aca="false">IF(J827&lt;&gt;1,"",IF(I827="SBJ","CB","?"))</f>
        <v/>
      </c>
      <c r="I827" s="14" t="str">
        <f aca="false">IF(OR(E827="",E827="!!!",F827="NEW"),"",INDEX(B$2:B826,-1+SUMPRODUCT(MAX(ROW(E$2:E826)*(E827=E$2:E826)))))</f>
        <v/>
      </c>
      <c r="J827" s="15" t="str">
        <f aca="true">IF(OR(E827="",E827="!!!",F827="NEW"),"",COUNTBLANK(OFFSET(A$1,,,SUMPRODUCT(MAX(ROW(E$2:E827)*(E827=E$2:E827)))))-COUNTBLANK(OFFSET(A$1,,,SUMPRODUCT(MAX(ROW(E$1:E826)*(E827=E$1:E826))))))</f>
        <v/>
      </c>
      <c r="K827" s="15" t="str">
        <f aca="false">IF(OR(E827="",E827="!!!",F827="NEW"),"",INDEX(J$1:J826,SUMPRODUCT(MAX(ROW(E$1:E826)*(E827=E$1:E826)))))</f>
        <v/>
      </c>
      <c r="L827" s="16"/>
    </row>
    <row r="828" customFormat="false" ht="12.75" hidden="false" customHeight="false" outlineLevel="0" collapsed="false">
      <c r="A828" s="9" t="s">
        <v>273</v>
      </c>
      <c r="B828" s="0" t="s">
        <v>38</v>
      </c>
      <c r="C828" s="0" t="s">
        <v>26</v>
      </c>
      <c r="D828" s="0" t="s">
        <v>27</v>
      </c>
      <c r="E828" s="10" t="s">
        <v>273</v>
      </c>
      <c r="F828" s="11" t="str">
        <f aca="false">IF(OR(E828="",E828="!!!"),"",IF(NOT(ISNA(VLOOKUP(E828,E$1:E827,1,FALSE()))),"OLD",IF(AND(E828&lt;&gt;"",E828&lt;&gt;"!!!"),"NEW","")))</f>
        <v>OLD</v>
      </c>
      <c r="G828" s="12" t="s">
        <v>72</v>
      </c>
      <c r="H828" s="13" t="str">
        <f aca="false">IF(J828&lt;&gt;1,"",IF(I828="SBJ","CB","?"))</f>
        <v/>
      </c>
      <c r="I828" s="14" t="str">
        <f aca="false">IF(OR(E828="",E828="!!!",F828="NEW"),"",INDEX(B$2:B827,-1+SUMPRODUCT(MAX(ROW(E$2:E827)*(E828=E$2:E827)))))</f>
        <v>other_2</v>
      </c>
      <c r="J828" s="15" t="n">
        <f aca="true">IF(OR(E828="",E828="!!!",F828="NEW"),"",COUNTBLANK(OFFSET(A$1,,,SUMPRODUCT(MAX(ROW(E$2:E828)*(E828=E$2:E828)))))-COUNTBLANK(OFFSET(A$1,,,SUMPRODUCT(MAX(ROW(E$1:E827)*(E828=E$1:E827))))))</f>
        <v>12</v>
      </c>
      <c r="K828" s="15" t="str">
        <f aca="false">IF(OR(E828="",E828="!!!",F828="NEW"),"",INDEX(J$1:J827,SUMPRODUCT(MAX(ROW(E$1:E827)*(E828=E$1:E827)))))</f>
        <v/>
      </c>
      <c r="L828" s="16"/>
    </row>
    <row r="829" customFormat="false" ht="12.75" hidden="false" customHeight="false" outlineLevel="0" collapsed="false">
      <c r="A829" s="9" t="s">
        <v>23</v>
      </c>
      <c r="E829" s="10" t="str">
        <f aca="false">IF(D829="?OLD","!!!","")</f>
        <v/>
      </c>
      <c r="F829" s="11" t="str">
        <f aca="false">IF(OR(E829="",E829="!!!"),"",IF(NOT(ISNA(VLOOKUP(E829,E$1:E828,1,FALSE()))),"OLD",IF(AND(E829&lt;&gt;"",E829&lt;&gt;"!!!"),"NEW","")))</f>
        <v/>
      </c>
      <c r="G829" s="12" t="str">
        <f aca="false">IF(OR(E829="",E829="!!!"),"",IF(OR(J829=0,AND(J829=1,K829=1),AND(J829=1,I829="SBJ"),AND(J829=1,I829=0)),"?IN_FOCUS",IF(J829&lt;=2,"?ACTIVATED",IF(J829&lt;&gt;"","?FAMILIAR",IF(F829="NEW",IF(ISNA(VLOOKUP(E829,#REF!,1,FALSE())),"?TYPE_IDENTIFIABLE","?REFERENTIAL"),"_")))))</f>
        <v/>
      </c>
      <c r="H829" s="13" t="str">
        <f aca="false">IF(J829&lt;&gt;1,"",IF(I829="SBJ","CB","?"))</f>
        <v/>
      </c>
      <c r="I829" s="14" t="str">
        <f aca="false">IF(OR(E829="",E829="!!!",F829="NEW"),"",INDEX(B$2:B828,-1+SUMPRODUCT(MAX(ROW(E$2:E828)*(E829=E$2:E828)))))</f>
        <v/>
      </c>
      <c r="J829" s="15" t="str">
        <f aca="true">IF(OR(E829="",E829="!!!",F829="NEW"),"",COUNTBLANK(OFFSET(A$1,,,SUMPRODUCT(MAX(ROW(E$2:E829)*(E829=E$2:E829)))))-COUNTBLANK(OFFSET(A$1,,,SUMPRODUCT(MAX(ROW(E$1:E828)*(E829=E$1:E828))))))</f>
        <v/>
      </c>
      <c r="K829" s="15" t="str">
        <f aca="false">IF(OR(E829="",E829="!!!",F829="NEW"),"",INDEX(J$1:J828,SUMPRODUCT(MAX(ROW(E$1:E828)*(E829=E$1:E828)))))</f>
        <v/>
      </c>
      <c r="L829" s="16"/>
    </row>
    <row r="830" customFormat="false" ht="12.75" hidden="false" customHeight="false" outlineLevel="0" collapsed="false">
      <c r="A830" s="9" t="s">
        <v>81</v>
      </c>
      <c r="B830" s="0" t="s">
        <v>25</v>
      </c>
      <c r="C830" s="0" t="s">
        <v>31</v>
      </c>
      <c r="D830" s="0" t="s">
        <v>27</v>
      </c>
      <c r="E830" s="10" t="s">
        <v>64</v>
      </c>
      <c r="F830" s="11" t="str">
        <f aca="false">IF(OR(E830="",E830="!!!"),"",IF(NOT(ISNA(VLOOKUP(E830,E$1:E829,1,FALSE()))),"OLD",IF(AND(E830&lt;&gt;"",E830&lt;&gt;"!!!"),"NEW","")))</f>
        <v>OLD</v>
      </c>
      <c r="G830" s="12" t="s">
        <v>51</v>
      </c>
      <c r="H830" s="13" t="str">
        <f aca="false">IF(J830&lt;&gt;1,"",IF(I830="SBJ","CB","?"))</f>
        <v/>
      </c>
      <c r="I830" s="14" t="str">
        <f aca="false">IF(OR(E830="",E830="!!!",F830="NEW"),"",INDEX(B$2:B829,-1+SUMPRODUCT(MAX(ROW(E$2:E829)*(E830=E$2:E829)))))</f>
        <v>SBJ</v>
      </c>
      <c r="J830" s="15" t="n">
        <f aca="true">IF(OR(E830="",E830="!!!",F830="NEW"),"",COUNTBLANK(OFFSET(A$1,,,SUMPRODUCT(MAX(ROW(E$2:E830)*(E830=E$2:E830)))))-COUNTBLANK(OFFSET(A$1,,,SUMPRODUCT(MAX(ROW(E$1:E829)*(E830=E$1:E829))))))</f>
        <v>0</v>
      </c>
      <c r="K830" s="15" t="n">
        <f aca="false">IF(OR(E830="",E830="!!!",F830="NEW"),"",INDEX(J$1:J829,SUMPRODUCT(MAX(ROW(E$1:E829)*(E830=E$1:E829)))))</f>
        <v>1</v>
      </c>
      <c r="L830" s="16"/>
    </row>
    <row r="831" customFormat="false" ht="12.75" hidden="false" customHeight="false" outlineLevel="0" collapsed="false">
      <c r="A831" s="9" t="s">
        <v>366</v>
      </c>
      <c r="B831" s="0" t="s">
        <v>75</v>
      </c>
      <c r="C831" s="0" t="s">
        <v>34</v>
      </c>
      <c r="D831" s="0" t="s">
        <v>27</v>
      </c>
      <c r="E831" s="10" t="s">
        <v>388</v>
      </c>
      <c r="F831" s="11" t="str">
        <f aca="false">IF(OR(E831="",E831="!!!"),"",IF(NOT(ISNA(VLOOKUP(E831,E$1:E830,1,FALSE()))),"OLD",IF(AND(E831&lt;&gt;"",E831&lt;&gt;"!!!"),"NEW","")))</f>
        <v>NEW</v>
      </c>
      <c r="G831" s="12" t="s">
        <v>28</v>
      </c>
      <c r="H831" s="13" t="str">
        <f aca="false">IF(J831&lt;&gt;1,"",IF(I831="SBJ","CB","?"))</f>
        <v/>
      </c>
      <c r="I831" s="14" t="str">
        <f aca="false">IF(OR(E831="",E831="!!!",F831="NEW"),"",INDEX(B$2:B830,-1+SUMPRODUCT(MAX(ROW(E$2:E830)*(E831=E$2:E830)))))</f>
        <v/>
      </c>
      <c r="J831" s="15" t="str">
        <f aca="true">IF(OR(E831="",E831="!!!",F831="NEW"),"",COUNTBLANK(OFFSET(A$1,,,SUMPRODUCT(MAX(ROW(E$2:E831)*(E831=E$2:E831)))))-COUNTBLANK(OFFSET(A$1,,,SUMPRODUCT(MAX(ROW(E$1:E830)*(E831=E$1:E830))))))</f>
        <v/>
      </c>
      <c r="K831" s="15" t="str">
        <f aca="false">IF(OR(E831="",E831="!!!",F831="NEW"),"",INDEX(J$1:J830,SUMPRODUCT(MAX(ROW(E$1:E830)*(E831=E$1:E830)))))</f>
        <v/>
      </c>
      <c r="L831" s="16"/>
    </row>
    <row r="832" customFormat="false" ht="12.75" hidden="false" customHeight="false" outlineLevel="0" collapsed="false">
      <c r="A832" s="9" t="s">
        <v>22</v>
      </c>
      <c r="E832" s="10" t="str">
        <f aca="false">IF(D832="?OLD","!!!","")</f>
        <v/>
      </c>
      <c r="F832" s="11" t="str">
        <f aca="false">IF(OR(E832="",E832="!!!"),"",IF(NOT(ISNA(VLOOKUP(E832,E$1:E831,1,FALSE()))),"OLD",IF(AND(E832&lt;&gt;"",E832&lt;&gt;"!!!"),"NEW","")))</f>
        <v/>
      </c>
      <c r="G832" s="12" t="str">
        <f aca="false">IF(OR(E832="",E832="!!!"),"",IF(OR(J832=0,AND(J832=1,K832=1),AND(J832=1,I832="SBJ"),AND(J832=1,I832=0)),"?IN_FOCUS",IF(J832&lt;=2,"?ACTIVATED",IF(J832&lt;&gt;"","?FAMILIAR",IF(F832="NEW",IF(ISNA(VLOOKUP(E832,#REF!,1,FALSE())),"?TYPE_IDENTIFIABLE","?REFERENTIAL"),"_")))))</f>
        <v/>
      </c>
      <c r="H832" s="13" t="str">
        <f aca="false">IF(J832&lt;&gt;1,"",IF(I832="SBJ","CB","?"))</f>
        <v/>
      </c>
      <c r="I832" s="14" t="str">
        <f aca="false">IF(OR(E832="",E832="!!!",F832="NEW"),"",INDEX(B$2:B831,-1+SUMPRODUCT(MAX(ROW(E$2:E831)*(E832=E$2:E831)))))</f>
        <v/>
      </c>
      <c r="J832" s="15" t="str">
        <f aca="true">IF(OR(E832="",E832="!!!",F832="NEW"),"",COUNTBLANK(OFFSET(A$1,,,SUMPRODUCT(MAX(ROW(E$2:E832)*(E832=E$2:E832)))))-COUNTBLANK(OFFSET(A$1,,,SUMPRODUCT(MAX(ROW(E$1:E831)*(E832=E$1:E831))))))</f>
        <v/>
      </c>
      <c r="K832" s="15" t="str">
        <f aca="false">IF(OR(E832="",E832="!!!",F832="NEW"),"",INDEX(J$1:J831,SUMPRODUCT(MAX(ROW(E$1:E831)*(E832=E$1:E831)))))</f>
        <v/>
      </c>
      <c r="L832" s="16"/>
    </row>
    <row r="833" customFormat="false" ht="12.75" hidden="false" customHeight="false" outlineLevel="0" collapsed="false">
      <c r="A833" s="9" t="s">
        <v>39</v>
      </c>
      <c r="E833" s="10" t="str">
        <f aca="false">IF(D833="?OLD","!!!","")</f>
        <v/>
      </c>
      <c r="F833" s="11" t="str">
        <f aca="false">IF(OR(E833="",E833="!!!"),"",IF(NOT(ISNA(VLOOKUP(E833,E$1:E832,1,FALSE()))),"OLD",IF(AND(E833&lt;&gt;"",E833&lt;&gt;"!!!"),"NEW","")))</f>
        <v/>
      </c>
      <c r="G833" s="12" t="str">
        <f aca="false">IF(OR(E833="",E833="!!!"),"",IF(OR(J833=0,AND(J833=1,K833=1),AND(J833=1,I833="SBJ"),AND(J833=1,I833=0)),"?IN_FOCUS",IF(J833&lt;=2,"?ACTIVATED",IF(J833&lt;&gt;"","?FAMILIAR",IF(F833="NEW",IF(ISNA(VLOOKUP(E833,#REF!,1,FALSE())),"?TYPE_IDENTIFIABLE","?REFERENTIAL"),"_")))))</f>
        <v/>
      </c>
      <c r="H833" s="13" t="str">
        <f aca="false">IF(J833&lt;&gt;1,"",IF(I833="SBJ","CB","?"))</f>
        <v/>
      </c>
      <c r="I833" s="14" t="str">
        <f aca="false">IF(OR(E833="",E833="!!!",F833="NEW"),"",INDEX(B$2:B832,-1+SUMPRODUCT(MAX(ROW(E$2:E832)*(E833=E$2:E832)))))</f>
        <v/>
      </c>
      <c r="J833" s="15" t="str">
        <f aca="true">IF(OR(E833="",E833="!!!",F833="NEW"),"",COUNTBLANK(OFFSET(A$1,,,SUMPRODUCT(MAX(ROW(E$2:E833)*(E833=E$2:E833)))))-COUNTBLANK(OFFSET(A$1,,,SUMPRODUCT(MAX(ROW(E$1:E832)*(E833=E$1:E832))))))</f>
        <v/>
      </c>
      <c r="K833" s="15" t="str">
        <f aca="false">IF(OR(E833="",E833="!!!",F833="NEW"),"",INDEX(J$1:J832,SUMPRODUCT(MAX(ROW(E$1:E832)*(E833=E$1:E832)))))</f>
        <v/>
      </c>
      <c r="L833" s="16"/>
    </row>
    <row r="834" customFormat="false" ht="12.75" hidden="false" customHeight="false" outlineLevel="0" collapsed="false">
      <c r="A834" s="9" t="s">
        <v>389</v>
      </c>
      <c r="E834" s="10" t="str">
        <f aca="false">IF(D834="?OLD","!!!","")</f>
        <v/>
      </c>
      <c r="F834" s="11" t="str">
        <f aca="false">IF(OR(E834="",E834="!!!"),"",IF(NOT(ISNA(VLOOKUP(E834,E$1:E833,1,FALSE()))),"OLD",IF(AND(E834&lt;&gt;"",E834&lt;&gt;"!!!"),"NEW","")))</f>
        <v/>
      </c>
      <c r="G834" s="12" t="str">
        <f aca="false">IF(OR(E834="",E834="!!!"),"",IF(OR(J834=0,AND(J834=1,K834=1),AND(J834=1,I834="SBJ"),AND(J834=1,I834=0)),"?IN_FOCUS",IF(J834&lt;=2,"?ACTIVATED",IF(J834&lt;&gt;"","?FAMILIAR",IF(F834="NEW",IF(ISNA(VLOOKUP(E834,#REF!,1,FALSE())),"?TYPE_IDENTIFIABLE","?REFERENTIAL"),"_")))))</f>
        <v/>
      </c>
      <c r="H834" s="13" t="str">
        <f aca="false">IF(J834&lt;&gt;1,"",IF(I834="SBJ","CB","?"))</f>
        <v/>
      </c>
      <c r="I834" s="14" t="str">
        <f aca="false">IF(OR(E834="",E834="!!!",F834="NEW"),"",INDEX(B$2:B833,-1+SUMPRODUCT(MAX(ROW(E$2:E833)*(E834=E$2:E833)))))</f>
        <v/>
      </c>
      <c r="J834" s="15" t="str">
        <f aca="true">IF(OR(E834="",E834="!!!",F834="NEW"),"",COUNTBLANK(OFFSET(A$1,,,SUMPRODUCT(MAX(ROW(E$2:E834)*(E834=E$2:E834)))))-COUNTBLANK(OFFSET(A$1,,,SUMPRODUCT(MAX(ROW(E$1:E833)*(E834=E$1:E833))))))</f>
        <v/>
      </c>
      <c r="K834" s="15" t="str">
        <f aca="false">IF(OR(E834="",E834="!!!",F834="NEW"),"",INDEX(J$1:J833,SUMPRODUCT(MAX(ROW(E$1:E833)*(E834=E$1:E833)))))</f>
        <v/>
      </c>
      <c r="L834" s="16"/>
    </row>
    <row r="835" customFormat="false" ht="12.75" hidden="false" customHeight="false" outlineLevel="0" collapsed="false">
      <c r="A835" s="9" t="s">
        <v>84</v>
      </c>
      <c r="E835" s="10" t="str">
        <f aca="false">IF(D835="?OLD","!!!","")</f>
        <v/>
      </c>
      <c r="F835" s="11" t="str">
        <f aca="false">IF(OR(E835="",E835="!!!"),"",IF(NOT(ISNA(VLOOKUP(E835,E$1:E834,1,FALSE()))),"OLD",IF(AND(E835&lt;&gt;"",E835&lt;&gt;"!!!"),"NEW","")))</f>
        <v/>
      </c>
      <c r="G835" s="12" t="str">
        <f aca="false">IF(OR(E835="",E835="!!!"),"",IF(OR(J835=0,AND(J835=1,K835=1),AND(J835=1,I835="SBJ"),AND(J835=1,I835=0)),"?IN_FOCUS",IF(J835&lt;=2,"?ACTIVATED",IF(J835&lt;&gt;"","?FAMILIAR",IF(F835="NEW",IF(ISNA(VLOOKUP(E835,#REF!,1,FALSE())),"?TYPE_IDENTIFIABLE","?REFERENTIAL"),"_")))))</f>
        <v/>
      </c>
      <c r="H835" s="13" t="str">
        <f aca="false">IF(J835&lt;&gt;1,"",IF(I835="SBJ","CB","?"))</f>
        <v/>
      </c>
      <c r="I835" s="14" t="str">
        <f aca="false">IF(OR(E835="",E835="!!!",F835="NEW"),"",INDEX(B$2:B834,-1+SUMPRODUCT(MAX(ROW(E$2:E834)*(E835=E$2:E834)))))</f>
        <v/>
      </c>
      <c r="J835" s="15" t="str">
        <f aca="true">IF(OR(E835="",E835="!!!",F835="NEW"),"",COUNTBLANK(OFFSET(A$1,,,SUMPRODUCT(MAX(ROW(E$2:E835)*(E835=E$2:E835)))))-COUNTBLANK(OFFSET(A$1,,,SUMPRODUCT(MAX(ROW(E$1:E834)*(E835=E$1:E834))))))</f>
        <v/>
      </c>
      <c r="K835" s="15" t="str">
        <f aca="false">IF(OR(E835="",E835="!!!",F835="NEW"),"",INDEX(J$1:J834,SUMPRODUCT(MAX(ROW(E$1:E834)*(E835=E$1:E834)))))</f>
        <v/>
      </c>
      <c r="L835" s="16"/>
    </row>
    <row r="836" customFormat="false" ht="12.75" hidden="false" customHeight="false" outlineLevel="0" collapsed="false">
      <c r="A836" s="9" t="s">
        <v>390</v>
      </c>
      <c r="E836" s="10" t="str">
        <f aca="false">IF(D836="?OLD","!!!","")</f>
        <v/>
      </c>
      <c r="F836" s="11" t="str">
        <f aca="false">IF(OR(E836="",E836="!!!"),"",IF(NOT(ISNA(VLOOKUP(E836,E$1:E835,1,FALSE()))),"OLD",IF(AND(E836&lt;&gt;"",E836&lt;&gt;"!!!"),"NEW","")))</f>
        <v/>
      </c>
      <c r="G836" s="12" t="str">
        <f aca="false">IF(OR(E836="",E836="!!!"),"",IF(OR(J836=0,AND(J836=1,K836=1),AND(J836=1,I836="SBJ"),AND(J836=1,I836=0)),"?IN_FOCUS",IF(J836&lt;=2,"?ACTIVATED",IF(J836&lt;&gt;"","?FAMILIAR",IF(F836="NEW",IF(ISNA(VLOOKUP(E836,#REF!,1,FALSE())),"?TYPE_IDENTIFIABLE","?REFERENTIAL"),"_")))))</f>
        <v/>
      </c>
      <c r="H836" s="13" t="str">
        <f aca="false">IF(J836&lt;&gt;1,"",IF(I836="SBJ","CB","?"))</f>
        <v/>
      </c>
      <c r="I836" s="14" t="str">
        <f aca="false">IF(OR(E836="",E836="!!!",F836="NEW"),"",INDEX(B$2:B835,-1+SUMPRODUCT(MAX(ROW(E$2:E835)*(E836=E$2:E835)))))</f>
        <v/>
      </c>
      <c r="J836" s="15" t="str">
        <f aca="true">IF(OR(E836="",E836="!!!",F836="NEW"),"",COUNTBLANK(OFFSET(A$1,,,SUMPRODUCT(MAX(ROW(E$2:E836)*(E836=E$2:E836)))))-COUNTBLANK(OFFSET(A$1,,,SUMPRODUCT(MAX(ROW(E$1:E835)*(E836=E$1:E835))))))</f>
        <v/>
      </c>
      <c r="K836" s="15" t="str">
        <f aca="false">IF(OR(E836="",E836="!!!",F836="NEW"),"",INDEX(J$1:J835,SUMPRODUCT(MAX(ROW(E$1:E835)*(E836=E$1:E835)))))</f>
        <v/>
      </c>
      <c r="L836" s="16"/>
    </row>
    <row r="837" customFormat="false" ht="12.75" hidden="false" customHeight="false" outlineLevel="0" collapsed="false">
      <c r="A837" s="9" t="s">
        <v>117</v>
      </c>
      <c r="E837" s="10" t="str">
        <f aca="false">IF(D837="?OLD","!!!","")</f>
        <v/>
      </c>
      <c r="F837" s="11" t="str">
        <f aca="false">IF(OR(E837="",E837="!!!"),"",IF(NOT(ISNA(VLOOKUP(E837,E$1:E836,1,FALSE()))),"OLD",IF(AND(E837&lt;&gt;"",E837&lt;&gt;"!!!"),"NEW","")))</f>
        <v/>
      </c>
      <c r="G837" s="12" t="str">
        <f aca="false">IF(OR(E837="",E837="!!!"),"",IF(OR(J837=0,AND(J837=1,K837=1),AND(J837=1,I837="SBJ"),AND(J837=1,I837=0)),"?IN_FOCUS",IF(J837&lt;=2,"?ACTIVATED",IF(J837&lt;&gt;"","?FAMILIAR",IF(F837="NEW",IF(ISNA(VLOOKUP(E837,#REF!,1,FALSE())),"?TYPE_IDENTIFIABLE","?REFERENTIAL"),"_")))))</f>
        <v/>
      </c>
      <c r="H837" s="13" t="str">
        <f aca="false">IF(J837&lt;&gt;1,"",IF(I837="SBJ","CB","?"))</f>
        <v/>
      </c>
      <c r="I837" s="14" t="str">
        <f aca="false">IF(OR(E837="",E837="!!!",F837="NEW"),"",INDEX(B$2:B836,-1+SUMPRODUCT(MAX(ROW(E$2:E836)*(E837=E$2:E836)))))</f>
        <v/>
      </c>
      <c r="J837" s="15" t="str">
        <f aca="true">IF(OR(E837="",E837="!!!",F837="NEW"),"",COUNTBLANK(OFFSET(A$1,,,SUMPRODUCT(MAX(ROW(E$2:E837)*(E837=E$2:E837)))))-COUNTBLANK(OFFSET(A$1,,,SUMPRODUCT(MAX(ROW(E$1:E836)*(E837=E$1:E836))))))</f>
        <v/>
      </c>
      <c r="K837" s="15" t="str">
        <f aca="false">IF(OR(E837="",E837="!!!",F837="NEW"),"",INDEX(J$1:J836,SUMPRODUCT(MAX(ROW(E$1:E836)*(E837=E$1:E836)))))</f>
        <v/>
      </c>
      <c r="L837" s="16"/>
    </row>
    <row r="838" customFormat="false" ht="12.75" hidden="false" customHeight="false" outlineLevel="0" collapsed="false">
      <c r="A838" s="9" t="s">
        <v>16</v>
      </c>
      <c r="B838" s="0" t="s">
        <v>30</v>
      </c>
      <c r="C838" s="0" t="s">
        <v>119</v>
      </c>
      <c r="D838" s="0" t="s">
        <v>27</v>
      </c>
      <c r="E838" s="10" t="s">
        <v>386</v>
      </c>
      <c r="F838" s="11" t="str">
        <f aca="false">IF(OR(E838="",E838="!!!"),"",IF(NOT(ISNA(VLOOKUP(E838,E$1:E837,1,FALSE()))),"OLD",IF(AND(E838&lt;&gt;"",E838&lt;&gt;"!!!"),"NEW","")))</f>
        <v>OLD</v>
      </c>
      <c r="G838" s="12" t="s">
        <v>49</v>
      </c>
      <c r="H838" s="13" t="s">
        <v>7</v>
      </c>
      <c r="I838" s="14" t="str">
        <f aca="false">IF(OR(E838="",E838="!!!",F838="NEW"),"",INDEX(B$2:B837,-1+SUMPRODUCT(MAX(ROW(E$2:E837)*(E838=E$2:E837)))))</f>
        <v>other_3</v>
      </c>
      <c r="J838" s="15" t="n">
        <f aca="true">IF(OR(E838="",E838="!!!",F838="NEW"),"",COUNTBLANK(OFFSET(A$1,,,SUMPRODUCT(MAX(ROW(E$2:E838)*(E838=E$2:E838)))))-COUNTBLANK(OFFSET(A$1,,,SUMPRODUCT(MAX(ROW(E$1:E837)*(E838=E$1:E837))))))</f>
        <v>1</v>
      </c>
      <c r="K838" s="15" t="str">
        <f aca="false">IF(OR(E838="",E838="!!!",F838="NEW"),"",INDEX(J$1:J837,SUMPRODUCT(MAX(ROW(E$1:E837)*(E838=E$1:E837)))))</f>
        <v/>
      </c>
      <c r="L838" s="16"/>
    </row>
    <row r="839" customFormat="false" ht="12.75" hidden="false" customHeight="false" outlineLevel="0" collapsed="false">
      <c r="A839" s="9" t="s">
        <v>228</v>
      </c>
      <c r="E839" s="10" t="str">
        <f aca="false">IF(D839="?OLD","!!!","")</f>
        <v/>
      </c>
      <c r="F839" s="11" t="str">
        <f aca="false">IF(OR(E839="",E839="!!!"),"",IF(NOT(ISNA(VLOOKUP(E839,E$1:E838,1,FALSE()))),"OLD",IF(AND(E839&lt;&gt;"",E839&lt;&gt;"!!!"),"NEW","")))</f>
        <v/>
      </c>
      <c r="G839" s="12" t="str">
        <f aca="false">IF(OR(E839="",E839="!!!"),"",IF(OR(J839=0,AND(J839=1,K839=1),AND(J839=1,I839="SBJ"),AND(J839=1,I839=0)),"?IN_FOCUS",IF(J839&lt;=2,"?ACTIVATED",IF(J839&lt;&gt;"","?FAMILIAR",IF(F839="NEW",IF(ISNA(VLOOKUP(E839,#REF!,1,FALSE())),"?TYPE_IDENTIFIABLE","?REFERENTIAL"),"_")))))</f>
        <v/>
      </c>
      <c r="H839" s="13" t="str">
        <f aca="false">IF(J839&lt;&gt;1,"",IF(I839="SBJ","CB","?"))</f>
        <v/>
      </c>
      <c r="I839" s="14" t="str">
        <f aca="false">IF(OR(E839="",E839="!!!",F839="NEW"),"",INDEX(B$2:B838,-1+SUMPRODUCT(MAX(ROW(E$2:E838)*(E839=E$2:E838)))))</f>
        <v/>
      </c>
      <c r="J839" s="15" t="str">
        <f aca="true">IF(OR(E839="",E839="!!!",F839="NEW"),"",COUNTBLANK(OFFSET(A$1,,,SUMPRODUCT(MAX(ROW(E$2:E839)*(E839=E$2:E839)))))-COUNTBLANK(OFFSET(A$1,,,SUMPRODUCT(MAX(ROW(E$1:E838)*(E839=E$1:E838))))))</f>
        <v/>
      </c>
      <c r="K839" s="15" t="str">
        <f aca="false">IF(OR(E839="",E839="!!!",F839="NEW"),"",INDEX(J$1:J838,SUMPRODUCT(MAX(ROW(E$1:E838)*(E839=E$1:E838)))))</f>
        <v/>
      </c>
      <c r="L839" s="16"/>
    </row>
    <row r="840" customFormat="false" ht="12.75" hidden="false" customHeight="false" outlineLevel="0" collapsed="false">
      <c r="A840" s="9" t="s">
        <v>391</v>
      </c>
      <c r="B840" s="0" t="s">
        <v>90</v>
      </c>
      <c r="C840" s="0" t="s">
        <v>34</v>
      </c>
      <c r="D840" s="0" t="s">
        <v>27</v>
      </c>
      <c r="E840" s="10" t="s">
        <v>392</v>
      </c>
      <c r="F840" s="11" t="str">
        <f aca="false">IF(OR(E840="",E840="!!!"),"",IF(NOT(ISNA(VLOOKUP(E840,E$1:E839,1,FALSE()))),"OLD",IF(AND(E840&lt;&gt;"",E840&lt;&gt;"!!!"),"NEW","")))</f>
        <v>NEW</v>
      </c>
      <c r="G840" s="12" t="s">
        <v>28</v>
      </c>
      <c r="H840" s="13" t="str">
        <f aca="false">IF(J840&lt;&gt;1,"",IF(I840="SBJ","CB","?"))</f>
        <v/>
      </c>
      <c r="I840" s="14" t="str">
        <f aca="false">IF(OR(E840="",E840="!!!",F840="NEW"),"",INDEX(B$2:B839,-1+SUMPRODUCT(MAX(ROW(E$2:E839)*(E840=E$2:E839)))))</f>
        <v/>
      </c>
      <c r="J840" s="15" t="str">
        <f aca="true">IF(OR(E840="",E840="!!!",F840="NEW"),"",COUNTBLANK(OFFSET(A$1,,,SUMPRODUCT(MAX(ROW(E$2:E840)*(E840=E$2:E840)))))-COUNTBLANK(OFFSET(A$1,,,SUMPRODUCT(MAX(ROW(E$1:E839)*(E840=E$1:E839))))))</f>
        <v/>
      </c>
      <c r="K840" s="15" t="str">
        <f aca="false">IF(OR(E840="",E840="!!!",F840="NEW"),"",INDEX(J$1:J839,SUMPRODUCT(MAX(ROW(E$1:E839)*(E840=E$1:E839)))))</f>
        <v/>
      </c>
      <c r="L840" s="16"/>
    </row>
    <row r="841" customFormat="false" ht="12.75" hidden="false" customHeight="false" outlineLevel="0" collapsed="false">
      <c r="A841" s="9" t="s">
        <v>139</v>
      </c>
      <c r="E841" s="10" t="str">
        <f aca="false">IF(D841="?OLD","!!!","")</f>
        <v/>
      </c>
      <c r="F841" s="11" t="str">
        <f aca="false">IF(OR(E841="",E841="!!!"),"",IF(NOT(ISNA(VLOOKUP(E841,E$1:E840,1,FALSE()))),"OLD",IF(AND(E841&lt;&gt;"",E841&lt;&gt;"!!!"),"NEW","")))</f>
        <v/>
      </c>
      <c r="G841" s="12" t="str">
        <f aca="false">IF(OR(E841="",E841="!!!"),"",IF(OR(J841=0,AND(J841=1,K841=1),AND(J841=1,I841="SBJ"),AND(J841=1,I841=0)),"?IN_FOCUS",IF(J841&lt;=2,"?ACTIVATED",IF(J841&lt;&gt;"","?FAMILIAR",IF(F841="NEW",IF(ISNA(VLOOKUP(E841,#REF!,1,FALSE())),"?TYPE_IDENTIFIABLE","?REFERENTIAL"),"_")))))</f>
        <v/>
      </c>
      <c r="H841" s="13" t="str">
        <f aca="false">IF(J841&lt;&gt;1,"",IF(I841="SBJ","CB","?"))</f>
        <v/>
      </c>
      <c r="I841" s="14" t="str">
        <f aca="false">IF(OR(E841="",E841="!!!",F841="NEW"),"",INDEX(B$2:B840,-1+SUMPRODUCT(MAX(ROW(E$2:E840)*(E841=E$2:E840)))))</f>
        <v/>
      </c>
      <c r="J841" s="15" t="str">
        <f aca="true">IF(OR(E841="",E841="!!!",F841="NEW"),"",COUNTBLANK(OFFSET(A$1,,,SUMPRODUCT(MAX(ROW(E$2:E841)*(E841=E$2:E841)))))-COUNTBLANK(OFFSET(A$1,,,SUMPRODUCT(MAX(ROW(E$1:E840)*(E841=E$1:E840))))))</f>
        <v/>
      </c>
      <c r="K841" s="15" t="str">
        <f aca="false">IF(OR(E841="",E841="!!!",F841="NEW"),"",INDEX(J$1:J840,SUMPRODUCT(MAX(ROW(E$1:E840)*(E841=E$1:E840)))))</f>
        <v/>
      </c>
      <c r="L841" s="16"/>
    </row>
    <row r="842" customFormat="false" ht="12.75" hidden="false" customHeight="false" outlineLevel="0" collapsed="false">
      <c r="A842" s="9" t="s">
        <v>393</v>
      </c>
      <c r="B842" s="0" t="s">
        <v>33</v>
      </c>
      <c r="C842" s="0" t="s">
        <v>58</v>
      </c>
      <c r="D842" s="0" t="s">
        <v>27</v>
      </c>
      <c r="E842" s="10" t="s">
        <v>273</v>
      </c>
      <c r="F842" s="11" t="str">
        <f aca="false">IF(OR(E842="",E842="!!!"),"",IF(NOT(ISNA(VLOOKUP(E842,E$1:E841,1,FALSE()))),"OLD",IF(AND(E842&lt;&gt;"",E842&lt;&gt;"!!!"),"NEW","")))</f>
        <v>OLD</v>
      </c>
      <c r="G842" s="12" t="s">
        <v>51</v>
      </c>
      <c r="H842" s="13" t="str">
        <f aca="false">IF(J842&lt;&gt;1,"",IF(I842="SBJ","CB","?"))</f>
        <v/>
      </c>
      <c r="I842" s="14" t="str">
        <f aca="false">IF(OR(E842="",E842="!!!",F842="NEW"),"",INDEX(B$2:B841,-1+SUMPRODUCT(MAX(ROW(E$2:E841)*(E842=E$2:E841)))))</f>
        <v>OBJ</v>
      </c>
      <c r="J842" s="15" t="n">
        <f aca="true">IF(OR(E842="",E842="!!!",F842="NEW"),"",COUNTBLANK(OFFSET(A$1,,,SUMPRODUCT(MAX(ROW(E$2:E842)*(E842=E$2:E842)))))-COUNTBLANK(OFFSET(A$1,,,SUMPRODUCT(MAX(ROW(E$1:E841)*(E842=E$1:E841))))))</f>
        <v>0</v>
      </c>
      <c r="K842" s="15" t="n">
        <f aca="false">IF(OR(E842="",E842="!!!",F842="NEW"),"",INDEX(J$1:J841,SUMPRODUCT(MAX(ROW(E$1:E841)*(E842=E$1:E841)))))</f>
        <v>12</v>
      </c>
      <c r="L842" s="16"/>
    </row>
    <row r="843" customFormat="false" ht="12.75" hidden="false" customHeight="false" outlineLevel="0" collapsed="false">
      <c r="A843" s="9" t="s">
        <v>68</v>
      </c>
      <c r="E843" s="10" t="str">
        <f aca="false">IF(D843="?OLD","!!!","")</f>
        <v/>
      </c>
      <c r="F843" s="11" t="str">
        <f aca="false">IF(OR(E843="",E843="!!!"),"",IF(NOT(ISNA(VLOOKUP(E843,E$1:E842,1,FALSE()))),"OLD",IF(AND(E843&lt;&gt;"",E843&lt;&gt;"!!!"),"NEW","")))</f>
        <v/>
      </c>
      <c r="G843" s="12" t="str">
        <f aca="false">IF(OR(E843="",E843="!!!"),"",IF(OR(J843=0,AND(J843=1,K843=1),AND(J843=1,I843="SBJ"),AND(J843=1,I843=0)),"?IN_FOCUS",IF(J843&lt;=2,"?ACTIVATED",IF(J843&lt;&gt;"","?FAMILIAR",IF(F843="NEW",IF(ISNA(VLOOKUP(E843,#REF!,1,FALSE())),"?TYPE_IDENTIFIABLE","?REFERENTIAL"),"_")))))</f>
        <v/>
      </c>
      <c r="H843" s="13" t="str">
        <f aca="false">IF(J843&lt;&gt;1,"",IF(I843="SBJ","CB","?"))</f>
        <v/>
      </c>
      <c r="I843" s="14" t="str">
        <f aca="false">IF(OR(E843="",E843="!!!",F843="NEW"),"",INDEX(B$2:B842,-1+SUMPRODUCT(MAX(ROW(E$2:E842)*(E843=E$2:E842)))))</f>
        <v/>
      </c>
      <c r="J843" s="15" t="str">
        <f aca="true">IF(OR(E843="",E843="!!!",F843="NEW"),"",COUNTBLANK(OFFSET(A$1,,,SUMPRODUCT(MAX(ROW(E$2:E843)*(E843=E$2:E843)))))-COUNTBLANK(OFFSET(A$1,,,SUMPRODUCT(MAX(ROW(E$1:E842)*(E843=E$1:E842))))))</f>
        <v/>
      </c>
      <c r="K843" s="15" t="str">
        <f aca="false">IF(OR(E843="",E843="!!!",F843="NEW"),"",INDEX(J$1:J842,SUMPRODUCT(MAX(ROW(E$1:E842)*(E843=E$1:E842)))))</f>
        <v/>
      </c>
      <c r="L843" s="16"/>
    </row>
    <row r="844" customFormat="false" ht="12.75" hidden="false" customHeight="false" outlineLevel="0" collapsed="false">
      <c r="A844" s="9" t="s">
        <v>74</v>
      </c>
      <c r="E844" s="10" t="str">
        <f aca="false">IF(D844="?OLD","!!!","")</f>
        <v/>
      </c>
      <c r="F844" s="11" t="str">
        <f aca="false">IF(OR(E844="",E844="!!!"),"",IF(NOT(ISNA(VLOOKUP(E844,E$1:E843,1,FALSE()))),"OLD",IF(AND(E844&lt;&gt;"",E844&lt;&gt;"!!!"),"NEW","")))</f>
        <v/>
      </c>
      <c r="G844" s="12" t="str">
        <f aca="false">IF(OR(E844="",E844="!!!"),"",IF(OR(J844=0,AND(J844=1,K844=1),AND(J844=1,I844="SBJ"),AND(J844=1,I844=0)),"?IN_FOCUS",IF(J844&lt;=2,"?ACTIVATED",IF(J844&lt;&gt;"","?FAMILIAR",IF(F844="NEW",IF(ISNA(VLOOKUP(E844,#REF!,1,FALSE())),"?TYPE_IDENTIFIABLE","?REFERENTIAL"),"_")))))</f>
        <v/>
      </c>
      <c r="H844" s="13" t="str">
        <f aca="false">IF(J844&lt;&gt;1,"",IF(I844="SBJ","CB","?"))</f>
        <v/>
      </c>
      <c r="I844" s="14" t="str">
        <f aca="false">IF(OR(E844="",E844="!!!",F844="NEW"),"",INDEX(B$2:B843,-1+SUMPRODUCT(MAX(ROW(E$2:E843)*(E844=E$2:E843)))))</f>
        <v/>
      </c>
      <c r="J844" s="15" t="str">
        <f aca="true">IF(OR(E844="",E844="!!!",F844="NEW"),"",COUNTBLANK(OFFSET(A$1,,,SUMPRODUCT(MAX(ROW(E$2:E844)*(E844=E$2:E844)))))-COUNTBLANK(OFFSET(A$1,,,SUMPRODUCT(MAX(ROW(E$1:E843)*(E844=E$1:E843))))))</f>
        <v/>
      </c>
      <c r="K844" s="15" t="str">
        <f aca="false">IF(OR(E844="",E844="!!!",F844="NEW"),"",INDEX(J$1:J843,SUMPRODUCT(MAX(ROW(E$1:E843)*(E844=E$1:E843)))))</f>
        <v/>
      </c>
      <c r="L844" s="16"/>
    </row>
    <row r="845" customFormat="false" ht="12.75" hidden="false" customHeight="false" outlineLevel="0" collapsed="false">
      <c r="E845" s="10" t="str">
        <f aca="false">IF(D845="?OLD","!!!","")</f>
        <v/>
      </c>
      <c r="F845" s="11" t="str">
        <f aca="false">IF(OR(E845="",E845="!!!"),"",IF(NOT(ISNA(VLOOKUP(E845,E$1:E844,1,FALSE()))),"OLD",IF(AND(E845&lt;&gt;"",E845&lt;&gt;"!!!"),"NEW","")))</f>
        <v/>
      </c>
      <c r="G845" s="12" t="str">
        <f aca="false">IF(OR(E845="",E845="!!!"),"",IF(OR(J845=0,AND(J845=1,K845=1),AND(J845=1,I845="SBJ"),AND(J845=1,I845=0)),"?IN_FOCUS",IF(J845&lt;=2,"?ACTIVATED",IF(J845&lt;&gt;"","?FAMILIAR",IF(F845="NEW",IF(ISNA(VLOOKUP(E845,#REF!,1,FALSE())),"?TYPE_IDENTIFIABLE","?REFERENTIAL"),"_")))))</f>
        <v/>
      </c>
      <c r="H845" s="13" t="str">
        <f aca="false">IF(J845&lt;&gt;1,"",IF(I845="SBJ","CB","?"))</f>
        <v/>
      </c>
      <c r="I845" s="14" t="str">
        <f aca="false">IF(OR(E845="",E845="!!!",F845="NEW"),"",INDEX(B$2:B844,-1+SUMPRODUCT(MAX(ROW(E$2:E844)*(E845=E$2:E844)))))</f>
        <v/>
      </c>
      <c r="J845" s="15" t="str">
        <f aca="true">IF(OR(E845="",E845="!!!",F845="NEW"),"",COUNTBLANK(OFFSET(A$1,,,SUMPRODUCT(MAX(ROW(E$2:E845)*(E845=E$2:E845)))))-COUNTBLANK(OFFSET(A$1,,,SUMPRODUCT(MAX(ROW(E$1:E844)*(E845=E$1:E844))))))</f>
        <v/>
      </c>
      <c r="K845" s="15" t="str">
        <f aca="false">IF(OR(E845="",E845="!!!",F845="NEW"),"",INDEX(J$1:J844,SUMPRODUCT(MAX(ROW(E$1:E844)*(E845=E$1:E844)))))</f>
        <v/>
      </c>
      <c r="L845" s="16"/>
    </row>
    <row r="846" customFormat="false" ht="12.75" hidden="false" customHeight="false" outlineLevel="0" collapsed="false">
      <c r="A846" s="9" t="s">
        <v>69</v>
      </c>
      <c r="E846" s="10" t="str">
        <f aca="false">IF(D846="?OLD","!!!","")</f>
        <v/>
      </c>
      <c r="F846" s="11" t="str">
        <f aca="false">IF(OR(E846="",E846="!!!"),"",IF(NOT(ISNA(VLOOKUP(E846,E$1:E845,1,FALSE()))),"OLD",IF(AND(E846&lt;&gt;"",E846&lt;&gt;"!!!"),"NEW","")))</f>
        <v/>
      </c>
      <c r="G846" s="12" t="str">
        <f aca="false">IF(OR(E846="",E846="!!!"),"",IF(OR(J846=0,AND(J846=1,K846=1),AND(J846=1,I846="SBJ"),AND(J846=1,I846=0)),"?IN_FOCUS",IF(J846&lt;=2,"?ACTIVATED",IF(J846&lt;&gt;"","?FAMILIAR",IF(F846="NEW",IF(ISNA(VLOOKUP(E846,#REF!,1,FALSE())),"?TYPE_IDENTIFIABLE","?REFERENTIAL"),"_")))))</f>
        <v/>
      </c>
      <c r="H846" s="13" t="str">
        <f aca="false">IF(J846&lt;&gt;1,"",IF(I846="SBJ","CB","?"))</f>
        <v/>
      </c>
      <c r="I846" s="14" t="str">
        <f aca="false">IF(OR(E846="",E846="!!!",F846="NEW"),"",INDEX(B$2:B845,-1+SUMPRODUCT(MAX(ROW(E$2:E845)*(E846=E$2:E845)))))</f>
        <v/>
      </c>
      <c r="J846" s="15" t="str">
        <f aca="true">IF(OR(E846="",E846="!!!",F846="NEW"),"",COUNTBLANK(OFFSET(A$1,,,SUMPRODUCT(MAX(ROW(E$2:E846)*(E846=E$2:E846)))))-COUNTBLANK(OFFSET(A$1,,,SUMPRODUCT(MAX(ROW(E$1:E845)*(E846=E$1:E845))))))</f>
        <v/>
      </c>
      <c r="K846" s="15" t="str">
        <f aca="false">IF(OR(E846="",E846="!!!",F846="NEW"),"",INDEX(J$1:J845,SUMPRODUCT(MAX(ROW(E$1:E845)*(E846=E$1:E845)))))</f>
        <v/>
      </c>
      <c r="L846" s="16"/>
    </row>
    <row r="847" customFormat="false" ht="12.75" hidden="false" customHeight="false" outlineLevel="0" collapsed="false">
      <c r="A847" s="9" t="s">
        <v>394</v>
      </c>
      <c r="E847" s="10" t="str">
        <f aca="false">IF(D847="?OLD","!!!","")</f>
        <v/>
      </c>
      <c r="F847" s="11" t="str">
        <f aca="false">IF(OR(E847="",E847="!!!"),"",IF(NOT(ISNA(VLOOKUP(E847,E$1:E846,1,FALSE()))),"OLD",IF(AND(E847&lt;&gt;"",E847&lt;&gt;"!!!"),"NEW","")))</f>
        <v/>
      </c>
      <c r="G847" s="12" t="str">
        <f aca="false">IF(OR(E847="",E847="!!!"),"",IF(OR(J847=0,AND(J847=1,K847=1),AND(J847=1,I847="SBJ"),AND(J847=1,I847=0)),"?IN_FOCUS",IF(J847&lt;=2,"?ACTIVATED",IF(J847&lt;&gt;"","?FAMILIAR",IF(F847="NEW",IF(ISNA(VLOOKUP(E847,#REF!,1,FALSE())),"?TYPE_IDENTIFIABLE","?REFERENTIAL"),"_")))))</f>
        <v/>
      </c>
      <c r="H847" s="13" t="str">
        <f aca="false">IF(J847&lt;&gt;1,"",IF(I847="SBJ","CB","?"))</f>
        <v/>
      </c>
      <c r="I847" s="14" t="str">
        <f aca="false">IF(OR(E847="",E847="!!!",F847="NEW"),"",INDEX(B$2:B846,-1+SUMPRODUCT(MAX(ROW(E$2:E846)*(E847=E$2:E846)))))</f>
        <v/>
      </c>
      <c r="J847" s="15" t="str">
        <f aca="true">IF(OR(E847="",E847="!!!",F847="NEW"),"",COUNTBLANK(OFFSET(A$1,,,SUMPRODUCT(MAX(ROW(E$2:E847)*(E847=E$2:E847)))))-COUNTBLANK(OFFSET(A$1,,,SUMPRODUCT(MAX(ROW(E$1:E846)*(E847=E$1:E846))))))</f>
        <v/>
      </c>
      <c r="K847" s="15" t="str">
        <f aca="false">IF(OR(E847="",E847="!!!",F847="NEW"),"",INDEX(J$1:J846,SUMPRODUCT(MAX(ROW(E$1:E846)*(E847=E$1:E846)))))</f>
        <v/>
      </c>
      <c r="L847" s="16"/>
    </row>
    <row r="848" customFormat="false" ht="12.75" hidden="false" customHeight="false" outlineLevel="0" collapsed="false">
      <c r="A848" s="9" t="s">
        <v>13</v>
      </c>
      <c r="E848" s="10" t="str">
        <f aca="false">IF(D848="?OLD","!!!","")</f>
        <v/>
      </c>
      <c r="F848" s="11" t="str">
        <f aca="false">IF(OR(E848="",E848="!!!"),"",IF(NOT(ISNA(VLOOKUP(E848,E$1:E847,1,FALSE()))),"OLD",IF(AND(E848&lt;&gt;"",E848&lt;&gt;"!!!"),"NEW","")))</f>
        <v/>
      </c>
      <c r="G848" s="12" t="str">
        <f aca="false">IF(OR(E848="",E848="!!!"),"",IF(OR(J848=0,AND(J848=1,K848=1),AND(J848=1,I848="SBJ"),AND(J848=1,I848=0)),"?IN_FOCUS",IF(J848&lt;=2,"?ACTIVATED",IF(J848&lt;&gt;"","?FAMILIAR",IF(F848="NEW",IF(ISNA(VLOOKUP(E848,#REF!,1,FALSE())),"?TYPE_IDENTIFIABLE","?REFERENTIAL"),"_")))))</f>
        <v/>
      </c>
      <c r="H848" s="13" t="str">
        <f aca="false">IF(J848&lt;&gt;1,"",IF(I848="SBJ","CB","?"))</f>
        <v/>
      </c>
      <c r="I848" s="14" t="str">
        <f aca="false">IF(OR(E848="",E848="!!!",F848="NEW"),"",INDEX(B$2:B847,-1+SUMPRODUCT(MAX(ROW(E$2:E847)*(E848=E$2:E847)))))</f>
        <v/>
      </c>
      <c r="J848" s="15" t="str">
        <f aca="true">IF(OR(E848="",E848="!!!",F848="NEW"),"",COUNTBLANK(OFFSET(A$1,,,SUMPRODUCT(MAX(ROW(E$2:E848)*(E848=E$2:E848)))))-COUNTBLANK(OFFSET(A$1,,,SUMPRODUCT(MAX(ROW(E$1:E847)*(E848=E$1:E847))))))</f>
        <v/>
      </c>
      <c r="K848" s="15" t="str">
        <f aca="false">IF(OR(E848="",E848="!!!",F848="NEW"),"",INDEX(J$1:J847,SUMPRODUCT(MAX(ROW(E$1:E847)*(E848=E$1:E847)))))</f>
        <v/>
      </c>
      <c r="L848" s="16"/>
    </row>
    <row r="849" customFormat="false" ht="12.75" hidden="false" customHeight="false" outlineLevel="0" collapsed="false">
      <c r="A849" s="9" t="s">
        <v>71</v>
      </c>
      <c r="B849" s="0" t="s">
        <v>17</v>
      </c>
      <c r="C849" s="0" t="s">
        <v>26</v>
      </c>
      <c r="D849" s="0" t="s">
        <v>27</v>
      </c>
      <c r="E849" s="10" t="s">
        <v>71</v>
      </c>
      <c r="F849" s="11" t="str">
        <f aca="false">IF(OR(E849="",E849="!!!"),"",IF(NOT(ISNA(VLOOKUP(E849,E$1:E848,1,FALSE()))),"OLD",IF(AND(E849&lt;&gt;"",E849&lt;&gt;"!!!"),"NEW","")))</f>
        <v>OLD</v>
      </c>
      <c r="G849" s="12" t="s">
        <v>72</v>
      </c>
      <c r="H849" s="13" t="str">
        <f aca="false">IF(J849&lt;&gt;1,"",IF(I849="SBJ","CB","?"))</f>
        <v/>
      </c>
      <c r="I849" s="14" t="str">
        <f aca="false">IF(OR(E849="",E849="!!!",F849="NEW"),"",INDEX(B$2:B848,-1+SUMPRODUCT(MAX(ROW(E$2:E848)*(E849=E$2:E848)))))</f>
        <v>other_3</v>
      </c>
      <c r="J849" s="15" t="n">
        <f aca="true">IF(OR(E849="",E849="!!!",F849="NEW"),"",COUNTBLANK(OFFSET(A$1,,,SUMPRODUCT(MAX(ROW(E$2:E849)*(E849=E$2:E849)))))-COUNTBLANK(OFFSET(A$1,,,SUMPRODUCT(MAX(ROW(E$1:E848)*(E849=E$1:E848))))))</f>
        <v>14</v>
      </c>
      <c r="K849" s="15" t="n">
        <f aca="false">IF(OR(E849="",E849="!!!",F849="NEW"),"",INDEX(J$1:J848,SUMPRODUCT(MAX(ROW(E$1:E848)*(E849=E$1:E848)))))</f>
        <v>0</v>
      </c>
      <c r="L849" s="16"/>
    </row>
    <row r="850" customFormat="false" ht="12.75" hidden="false" customHeight="false" outlineLevel="0" collapsed="false">
      <c r="A850" s="9" t="s">
        <v>39</v>
      </c>
      <c r="E850" s="10" t="str">
        <f aca="false">IF(D850="?OLD","!!!","")</f>
        <v/>
      </c>
      <c r="F850" s="11" t="str">
        <f aca="false">IF(OR(E850="",E850="!!!"),"",IF(NOT(ISNA(VLOOKUP(E850,E$1:E849,1,FALSE()))),"OLD",IF(AND(E850&lt;&gt;"",E850&lt;&gt;"!!!"),"NEW","")))</f>
        <v/>
      </c>
      <c r="G850" s="12" t="str">
        <f aca="false">IF(OR(E850="",E850="!!!"),"",IF(OR(J850=0,AND(J850=1,K850=1),AND(J850=1,I850="SBJ"),AND(J850=1,I850=0)),"?IN_FOCUS",IF(J850&lt;=2,"?ACTIVATED",IF(J850&lt;&gt;"","?FAMILIAR",IF(F850="NEW",IF(ISNA(VLOOKUP(E850,#REF!,1,FALSE())),"?TYPE_IDENTIFIABLE","?REFERENTIAL"),"_")))))</f>
        <v/>
      </c>
      <c r="H850" s="13" t="str">
        <f aca="false">IF(J850&lt;&gt;1,"",IF(I850="SBJ","CB","?"))</f>
        <v/>
      </c>
      <c r="I850" s="14" t="str">
        <f aca="false">IF(OR(E850="",E850="!!!",F850="NEW"),"",INDEX(B$2:B849,-1+SUMPRODUCT(MAX(ROW(E$2:E849)*(E850=E$2:E849)))))</f>
        <v/>
      </c>
      <c r="J850" s="15" t="str">
        <f aca="true">IF(OR(E850="",E850="!!!",F850="NEW"),"",COUNTBLANK(OFFSET(A$1,,,SUMPRODUCT(MAX(ROW(E$2:E850)*(E850=E$2:E850)))))-COUNTBLANK(OFFSET(A$1,,,SUMPRODUCT(MAX(ROW(E$1:E849)*(E850=E$1:E849))))))</f>
        <v/>
      </c>
      <c r="K850" s="15" t="str">
        <f aca="false">IF(OR(E850="",E850="!!!",F850="NEW"),"",INDEX(J$1:J849,SUMPRODUCT(MAX(ROW(E$1:E849)*(E850=E$1:E849)))))</f>
        <v/>
      </c>
      <c r="L850" s="16"/>
    </row>
    <row r="851" customFormat="false" ht="12.75" hidden="false" customHeight="false" outlineLevel="0" collapsed="false">
      <c r="A851" s="9" t="s">
        <v>45</v>
      </c>
      <c r="E851" s="10" t="str">
        <f aca="false">IF(D851="?OLD","!!!","")</f>
        <v/>
      </c>
      <c r="F851" s="11" t="str">
        <f aca="false">IF(OR(E851="",E851="!!!"),"",IF(NOT(ISNA(VLOOKUP(E851,E$1:E850,1,FALSE()))),"OLD",IF(AND(E851&lt;&gt;"",E851&lt;&gt;"!!!"),"NEW","")))</f>
        <v/>
      </c>
      <c r="G851" s="12" t="str">
        <f aca="false">IF(OR(E851="",E851="!!!"),"",IF(OR(J851=0,AND(J851=1,K851=1),AND(J851=1,I851="SBJ"),AND(J851=1,I851=0)),"?IN_FOCUS",IF(J851&lt;=2,"?ACTIVATED",IF(J851&lt;&gt;"","?FAMILIAR",IF(F851="NEW",IF(ISNA(VLOOKUP(E851,#REF!,1,FALSE())),"?TYPE_IDENTIFIABLE","?REFERENTIAL"),"_")))))</f>
        <v/>
      </c>
      <c r="H851" s="13" t="str">
        <f aca="false">IF(J851&lt;&gt;1,"",IF(I851="SBJ","CB","?"))</f>
        <v/>
      </c>
      <c r="I851" s="14" t="str">
        <f aca="false">IF(OR(E851="",E851="!!!",F851="NEW"),"",INDEX(B$2:B850,-1+SUMPRODUCT(MAX(ROW(E$2:E850)*(E851=E$2:E850)))))</f>
        <v/>
      </c>
      <c r="J851" s="15" t="str">
        <f aca="true">IF(OR(E851="",E851="!!!",F851="NEW"),"",COUNTBLANK(OFFSET(A$1,,,SUMPRODUCT(MAX(ROW(E$2:E851)*(E851=E$2:E851)))))-COUNTBLANK(OFFSET(A$1,,,SUMPRODUCT(MAX(ROW(E$1:E850)*(E851=E$1:E850))))))</f>
        <v/>
      </c>
      <c r="K851" s="15" t="str">
        <f aca="false">IF(OR(E851="",E851="!!!",F851="NEW"),"",INDEX(J$1:J850,SUMPRODUCT(MAX(ROW(E$1:E850)*(E851=E$1:E850)))))</f>
        <v/>
      </c>
      <c r="L851" s="16"/>
    </row>
    <row r="852" customFormat="false" ht="12.75" hidden="false" customHeight="false" outlineLevel="0" collapsed="false">
      <c r="A852" s="9" t="s">
        <v>63</v>
      </c>
      <c r="B852" s="0" t="s">
        <v>25</v>
      </c>
      <c r="C852" s="0" t="s">
        <v>47</v>
      </c>
      <c r="D852" s="0" t="s">
        <v>27</v>
      </c>
      <c r="E852" s="10" t="s">
        <v>64</v>
      </c>
      <c r="F852" s="11" t="str">
        <f aca="false">IF(OR(E852="",E852="!!!"),"",IF(NOT(ISNA(VLOOKUP(E852,E$1:E851,1,FALSE()))),"OLD",IF(AND(E852&lt;&gt;"",E852&lt;&gt;"!!!"),"NEW","")))</f>
        <v>OLD</v>
      </c>
      <c r="G852" s="12" t="s">
        <v>49</v>
      </c>
      <c r="H852" s="13" t="s">
        <v>7</v>
      </c>
      <c r="I852" s="14" t="str">
        <f aca="false">IF(OR(E852="",E852="!!!",F852="NEW"),"",INDEX(B$2:B851,-1+SUMPRODUCT(MAX(ROW(E$2:E851)*(E852=E$2:E851)))))</f>
        <v>other_2</v>
      </c>
      <c r="J852" s="15" t="n">
        <f aca="true">IF(OR(E852="",E852="!!!",F852="NEW"),"",COUNTBLANK(OFFSET(A$1,,,SUMPRODUCT(MAX(ROW(E$2:E852)*(E852=E$2:E852)))))-COUNTBLANK(OFFSET(A$1,,,SUMPRODUCT(MAX(ROW(E$1:E851)*(E852=E$1:E851))))))</f>
        <v>1</v>
      </c>
      <c r="K852" s="15" t="n">
        <f aca="false">IF(OR(E852="",E852="!!!",F852="NEW"),"",INDEX(J$1:J851,SUMPRODUCT(MAX(ROW(E$1:E851)*(E852=E$1:E851)))))</f>
        <v>0</v>
      </c>
      <c r="L852" s="16"/>
    </row>
    <row r="853" customFormat="false" ht="12.75" hidden="false" customHeight="false" outlineLevel="0" collapsed="false">
      <c r="A853" s="9" t="s">
        <v>169</v>
      </c>
      <c r="E853" s="10" t="str">
        <f aca="false">IF(D853="?OLD","!!!","")</f>
        <v/>
      </c>
      <c r="F853" s="11" t="str">
        <f aca="false">IF(OR(E853="",E853="!!!"),"",IF(NOT(ISNA(VLOOKUP(E853,E$1:E852,1,FALSE()))),"OLD",IF(AND(E853&lt;&gt;"",E853&lt;&gt;"!!!"),"NEW","")))</f>
        <v/>
      </c>
      <c r="G853" s="12" t="str">
        <f aca="false">IF(OR(E853="",E853="!!!"),"",IF(OR(J853=0,AND(J853=1,K853=1),AND(J853=1,I853="SBJ"),AND(J853=1,I853=0)),"?IN_FOCUS",IF(J853&lt;=2,"?ACTIVATED",IF(J853&lt;&gt;"","?FAMILIAR",IF(F853="NEW",IF(ISNA(VLOOKUP(E853,#REF!,1,FALSE())),"?TYPE_IDENTIFIABLE","?REFERENTIAL"),"_")))))</f>
        <v/>
      </c>
      <c r="H853" s="13" t="str">
        <f aca="false">IF(J853&lt;&gt;1,"",IF(I853="SBJ","CB","?"))</f>
        <v/>
      </c>
      <c r="I853" s="14" t="str">
        <f aca="false">IF(OR(E853="",E853="!!!",F853="NEW"),"",INDEX(B$2:B852,-1+SUMPRODUCT(MAX(ROW(E$2:E852)*(E853=E$2:E852)))))</f>
        <v/>
      </c>
      <c r="J853" s="15" t="str">
        <f aca="true">IF(OR(E853="",E853="!!!",F853="NEW"),"",COUNTBLANK(OFFSET(A$1,,,SUMPRODUCT(MAX(ROW(E$2:E853)*(E853=E$2:E853)))))-COUNTBLANK(OFFSET(A$1,,,SUMPRODUCT(MAX(ROW(E$1:E852)*(E853=E$1:E852))))))</f>
        <v/>
      </c>
      <c r="K853" s="15" t="str">
        <f aca="false">IF(OR(E853="",E853="!!!",F853="NEW"),"",INDEX(J$1:J852,SUMPRODUCT(MAX(ROW(E$1:E852)*(E853=E$1:E852)))))</f>
        <v/>
      </c>
      <c r="L853" s="16"/>
    </row>
    <row r="854" customFormat="false" ht="12.75" hidden="false" customHeight="false" outlineLevel="0" collapsed="false">
      <c r="A854" s="9" t="s">
        <v>22</v>
      </c>
      <c r="E854" s="10" t="str">
        <f aca="false">IF(D854="?OLD","!!!","")</f>
        <v/>
      </c>
      <c r="F854" s="11" t="str">
        <f aca="false">IF(OR(E854="",E854="!!!"),"",IF(NOT(ISNA(VLOOKUP(E854,E$1:E853,1,FALSE()))),"OLD",IF(AND(E854&lt;&gt;"",E854&lt;&gt;"!!!"),"NEW","")))</f>
        <v/>
      </c>
      <c r="G854" s="12" t="str">
        <f aca="false">IF(OR(E854="",E854="!!!"),"",IF(OR(J854=0,AND(J854=1,K854=1),AND(J854=1,I854="SBJ"),AND(J854=1,I854=0)),"?IN_FOCUS",IF(J854&lt;=2,"?ACTIVATED",IF(J854&lt;&gt;"","?FAMILIAR",IF(F854="NEW",IF(ISNA(VLOOKUP(E854,#REF!,1,FALSE())),"?TYPE_IDENTIFIABLE","?REFERENTIAL"),"_")))))</f>
        <v/>
      </c>
      <c r="H854" s="13" t="str">
        <f aca="false">IF(J854&lt;&gt;1,"",IF(I854="SBJ","CB","?"))</f>
        <v/>
      </c>
      <c r="I854" s="14" t="str">
        <f aca="false">IF(OR(E854="",E854="!!!",F854="NEW"),"",INDEX(B$2:B853,-1+SUMPRODUCT(MAX(ROW(E$2:E853)*(E854=E$2:E853)))))</f>
        <v/>
      </c>
      <c r="J854" s="15" t="str">
        <f aca="true">IF(OR(E854="",E854="!!!",F854="NEW"),"",COUNTBLANK(OFFSET(A$1,,,SUMPRODUCT(MAX(ROW(E$2:E854)*(E854=E$2:E854)))))-COUNTBLANK(OFFSET(A$1,,,SUMPRODUCT(MAX(ROW(E$1:E853)*(E854=E$1:E853))))))</f>
        <v/>
      </c>
      <c r="K854" s="15" t="str">
        <f aca="false">IF(OR(E854="",E854="!!!",F854="NEW"),"",INDEX(J$1:J853,SUMPRODUCT(MAX(ROW(E$1:E853)*(E854=E$1:E853)))))</f>
        <v/>
      </c>
      <c r="L854" s="16"/>
    </row>
    <row r="855" customFormat="false" ht="12.75" hidden="false" customHeight="false" outlineLevel="0" collapsed="false">
      <c r="A855" s="9" t="s">
        <v>74</v>
      </c>
      <c r="E855" s="10" t="str">
        <f aca="false">IF(D855="?OLD","!!!","")</f>
        <v/>
      </c>
      <c r="F855" s="11" t="str">
        <f aca="false">IF(OR(E855="",E855="!!!"),"",IF(NOT(ISNA(VLOOKUP(E855,E$1:E854,1,FALSE()))),"OLD",IF(AND(E855&lt;&gt;"",E855&lt;&gt;"!!!"),"NEW","")))</f>
        <v/>
      </c>
      <c r="G855" s="12" t="str">
        <f aca="false">IF(OR(E855="",E855="!!!"),"",IF(OR(J855=0,AND(J855=1,K855=1),AND(J855=1,I855="SBJ"),AND(J855=1,I855=0)),"?IN_FOCUS",IF(J855&lt;=2,"?ACTIVATED",IF(J855&lt;&gt;"","?FAMILIAR",IF(F855="NEW",IF(ISNA(VLOOKUP(E855,#REF!,1,FALSE())),"?TYPE_IDENTIFIABLE","?REFERENTIAL"),"_")))))</f>
        <v/>
      </c>
      <c r="H855" s="13" t="str">
        <f aca="false">IF(J855&lt;&gt;1,"",IF(I855="SBJ","CB","?"))</f>
        <v/>
      </c>
      <c r="I855" s="14" t="str">
        <f aca="false">IF(OR(E855="",E855="!!!",F855="NEW"),"",INDEX(B$2:B854,-1+SUMPRODUCT(MAX(ROW(E$2:E854)*(E855=E$2:E854)))))</f>
        <v/>
      </c>
      <c r="J855" s="15" t="str">
        <f aca="true">IF(OR(E855="",E855="!!!",F855="NEW"),"",COUNTBLANK(OFFSET(A$1,,,SUMPRODUCT(MAX(ROW(E$2:E855)*(E855=E$2:E855)))))-COUNTBLANK(OFFSET(A$1,,,SUMPRODUCT(MAX(ROW(E$1:E854)*(E855=E$1:E854))))))</f>
        <v/>
      </c>
      <c r="K855" s="15" t="str">
        <f aca="false">IF(OR(E855="",E855="!!!",F855="NEW"),"",INDEX(J$1:J854,SUMPRODUCT(MAX(ROW(E$1:E854)*(E855=E$1:E854)))))</f>
        <v/>
      </c>
      <c r="L855" s="16"/>
    </row>
    <row r="856" customFormat="false" ht="12.75" hidden="false" customHeight="false" outlineLevel="0" collapsed="false">
      <c r="A856" s="9" t="s">
        <v>336</v>
      </c>
      <c r="B856" s="0" t="s">
        <v>79</v>
      </c>
      <c r="C856" s="0" t="s">
        <v>58</v>
      </c>
      <c r="D856" s="0" t="s">
        <v>27</v>
      </c>
      <c r="E856" s="10" t="s">
        <v>64</v>
      </c>
      <c r="F856" s="11" t="str">
        <f aca="false">IF(OR(E856="",E856="!!!"),"",IF(NOT(ISNA(VLOOKUP(E856,E$1:E855,1,FALSE()))),"OLD",IF(AND(E856&lt;&gt;"",E856&lt;&gt;"!!!"),"NEW","")))</f>
        <v>OLD</v>
      </c>
      <c r="G856" s="12" t="s">
        <v>51</v>
      </c>
      <c r="H856" s="13" t="str">
        <f aca="false">IF(J856&lt;&gt;1,"",IF(I856="SBJ","CB","?"))</f>
        <v/>
      </c>
      <c r="I856" s="14" t="str">
        <f aca="false">IF(OR(E856="",E856="!!!",F856="NEW"),"",INDEX(B$2:B855,-1+SUMPRODUCT(MAX(ROW(E$2:E855)*(E856=E$2:E855)))))</f>
        <v>other_2</v>
      </c>
      <c r="J856" s="15" t="n">
        <f aca="true">IF(OR(E856="",E856="!!!",F856="NEW"),"",COUNTBLANK(OFFSET(A$1,,,SUMPRODUCT(MAX(ROW(E$2:E856)*(E856=E$2:E856)))))-COUNTBLANK(OFFSET(A$1,,,SUMPRODUCT(MAX(ROW(E$1:E855)*(E856=E$1:E855))))))</f>
        <v>0</v>
      </c>
      <c r="K856" s="15" t="n">
        <f aca="false">IF(OR(E856="",E856="!!!",F856="NEW"),"",INDEX(J$1:J855,SUMPRODUCT(MAX(ROW(E$1:E855)*(E856=E$1:E855)))))</f>
        <v>1</v>
      </c>
      <c r="L856" s="16"/>
    </row>
    <row r="857" customFormat="false" ht="12.75" hidden="false" customHeight="false" outlineLevel="0" collapsed="false">
      <c r="A857" s="9" t="s">
        <v>395</v>
      </c>
      <c r="E857" s="10" t="str">
        <f aca="false">IF(D857="?OLD","!!!","")</f>
        <v/>
      </c>
      <c r="F857" s="11" t="str">
        <f aca="false">IF(OR(E857="",E857="!!!"),"",IF(NOT(ISNA(VLOOKUP(E857,E$1:E856,1,FALSE()))),"OLD",IF(AND(E857&lt;&gt;"",E857&lt;&gt;"!!!"),"NEW","")))</f>
        <v/>
      </c>
      <c r="G857" s="12" t="str">
        <f aca="false">IF(OR(E857="",E857="!!!"),"",IF(OR(J857=0,AND(J857=1,K857=1),AND(J857=1,I857="SBJ"),AND(J857=1,I857=0)),"?IN_FOCUS",IF(J857&lt;=2,"?ACTIVATED",IF(J857&lt;&gt;"","?FAMILIAR",IF(F857="NEW",IF(ISNA(VLOOKUP(E857,#REF!,1,FALSE())),"?TYPE_IDENTIFIABLE","?REFERENTIAL"),"_")))))</f>
        <v/>
      </c>
      <c r="H857" s="13" t="str">
        <f aca="false">IF(J857&lt;&gt;1,"",IF(I857="SBJ","CB","?"))</f>
        <v/>
      </c>
      <c r="I857" s="14" t="str">
        <f aca="false">IF(OR(E857="",E857="!!!",F857="NEW"),"",INDEX(B$2:B856,-1+SUMPRODUCT(MAX(ROW(E$2:E856)*(E857=E$2:E856)))))</f>
        <v/>
      </c>
      <c r="J857" s="15" t="str">
        <f aca="true">IF(OR(E857="",E857="!!!",F857="NEW"),"",COUNTBLANK(OFFSET(A$1,,,SUMPRODUCT(MAX(ROW(E$2:E857)*(E857=E$2:E857)))))-COUNTBLANK(OFFSET(A$1,,,SUMPRODUCT(MAX(ROW(E$1:E856)*(E857=E$1:E856))))))</f>
        <v/>
      </c>
      <c r="K857" s="15" t="str">
        <f aca="false">IF(OR(E857="",E857="!!!",F857="NEW"),"",INDEX(J$1:J856,SUMPRODUCT(MAX(ROW(E$1:E856)*(E857=E$1:E856)))))</f>
        <v/>
      </c>
      <c r="L857" s="16"/>
    </row>
    <row r="858" customFormat="false" ht="12.75" hidden="false" customHeight="false" outlineLevel="0" collapsed="false">
      <c r="A858" s="9" t="s">
        <v>396</v>
      </c>
      <c r="E858" s="10" t="str">
        <f aca="false">IF(D858="?OLD","!!!","")</f>
        <v/>
      </c>
      <c r="F858" s="11" t="str">
        <f aca="false">IF(OR(E858="",E858="!!!"),"",IF(NOT(ISNA(VLOOKUP(E858,E$1:E857,1,FALSE()))),"OLD",IF(AND(E858&lt;&gt;"",E858&lt;&gt;"!!!"),"NEW","")))</f>
        <v/>
      </c>
      <c r="G858" s="12" t="str">
        <f aca="false">IF(OR(E858="",E858="!!!"),"",IF(OR(J858=0,AND(J858=1,K858=1),AND(J858=1,I858="SBJ"),AND(J858=1,I858=0)),"?IN_FOCUS",IF(J858&lt;=2,"?ACTIVATED",IF(J858&lt;&gt;"","?FAMILIAR",IF(F858="NEW",IF(ISNA(VLOOKUP(E858,#REF!,1,FALSE())),"?TYPE_IDENTIFIABLE","?REFERENTIAL"),"_")))))</f>
        <v/>
      </c>
      <c r="H858" s="13" t="str">
        <f aca="false">IF(J858&lt;&gt;1,"",IF(I858="SBJ","CB","?"))</f>
        <v/>
      </c>
      <c r="I858" s="14" t="str">
        <f aca="false">IF(OR(E858="",E858="!!!",F858="NEW"),"",INDEX(B$2:B857,-1+SUMPRODUCT(MAX(ROW(E$2:E857)*(E858=E$2:E857)))))</f>
        <v/>
      </c>
      <c r="J858" s="15" t="str">
        <f aca="true">IF(OR(E858="",E858="!!!",F858="NEW"),"",COUNTBLANK(OFFSET(A$1,,,SUMPRODUCT(MAX(ROW(E$2:E858)*(E858=E$2:E858)))))-COUNTBLANK(OFFSET(A$1,,,SUMPRODUCT(MAX(ROW(E$1:E857)*(E858=E$1:E857))))))</f>
        <v/>
      </c>
      <c r="K858" s="15" t="str">
        <f aca="false">IF(OR(E858="",E858="!!!",F858="NEW"),"",INDEX(J$1:J857,SUMPRODUCT(MAX(ROW(E$1:E857)*(E858=E$1:E857)))))</f>
        <v/>
      </c>
      <c r="L858" s="16"/>
    </row>
    <row r="859" customFormat="false" ht="12.75" hidden="false" customHeight="false" outlineLevel="0" collapsed="false">
      <c r="A859" s="9" t="s">
        <v>126</v>
      </c>
      <c r="B859" s="0" t="s">
        <v>43</v>
      </c>
      <c r="C859" s="0" t="s">
        <v>26</v>
      </c>
      <c r="D859" s="0" t="s">
        <v>27</v>
      </c>
      <c r="E859" s="10" t="s">
        <v>126</v>
      </c>
      <c r="F859" s="11" t="str">
        <f aca="false">IF(OR(E859="",E859="!!!"),"",IF(NOT(ISNA(VLOOKUP(E859,E$1:E858,1,FALSE()))),"OLD",IF(AND(E859&lt;&gt;"",E859&lt;&gt;"!!!"),"NEW","")))</f>
        <v>OLD</v>
      </c>
      <c r="G859" s="12" t="s">
        <v>72</v>
      </c>
      <c r="H859" s="13" t="str">
        <f aca="false">IF(J859&lt;&gt;1,"",IF(I859="SBJ","CB","?"))</f>
        <v/>
      </c>
      <c r="I859" s="14" t="str">
        <f aca="false">IF(OR(E859="",E859="!!!",F859="NEW"),"",INDEX(B$2:B858,-1+SUMPRODUCT(MAX(ROW(E$2:E858)*(E859=E$2:E858)))))</f>
        <v>other_2</v>
      </c>
      <c r="J859" s="15" t="n">
        <f aca="true">IF(OR(E859="",E859="!!!",F859="NEW"),"",COUNTBLANK(OFFSET(A$1,,,SUMPRODUCT(MAX(ROW(E$2:E859)*(E859=E$2:E859)))))-COUNTBLANK(OFFSET(A$1,,,SUMPRODUCT(MAX(ROW(E$1:E858)*(E859=E$1:E858))))))</f>
        <v>11</v>
      </c>
      <c r="K859" s="15" t="n">
        <f aca="false">IF(OR(E859="",E859="!!!",F859="NEW"),"",INDEX(J$1:J858,SUMPRODUCT(MAX(ROW(E$1:E858)*(E859=E$1:E858)))))</f>
        <v>5</v>
      </c>
      <c r="L859" s="16"/>
    </row>
    <row r="860" customFormat="false" ht="12.75" hidden="false" customHeight="false" outlineLevel="0" collapsed="false">
      <c r="A860" s="9" t="s">
        <v>397</v>
      </c>
      <c r="E860" s="10" t="str">
        <f aca="false">IF(D860="?OLD","!!!","")</f>
        <v/>
      </c>
      <c r="F860" s="11" t="str">
        <f aca="false">IF(OR(E860="",E860="!!!"),"",IF(NOT(ISNA(VLOOKUP(E860,E$1:E859,1,FALSE()))),"OLD",IF(AND(E860&lt;&gt;"",E860&lt;&gt;"!!!"),"NEW","")))</f>
        <v/>
      </c>
      <c r="G860" s="12" t="str">
        <f aca="false">IF(OR(E860="",E860="!!!"),"",IF(OR(J860=0,AND(J860=1,K860=1),AND(J860=1,I860="SBJ"),AND(J860=1,I860=0)),"?IN_FOCUS",IF(J860&lt;=2,"?ACTIVATED",IF(J860&lt;&gt;"","?FAMILIAR",IF(F860="NEW",IF(ISNA(VLOOKUP(E860,#REF!,1,FALSE())),"?TYPE_IDENTIFIABLE","?REFERENTIAL"),"_")))))</f>
        <v/>
      </c>
      <c r="H860" s="13" t="str">
        <f aca="false">IF(J860&lt;&gt;1,"",IF(I860="SBJ","CB","?"))</f>
        <v/>
      </c>
      <c r="I860" s="14" t="str">
        <f aca="false">IF(OR(E860="",E860="!!!",F860="NEW"),"",INDEX(B$2:B859,-1+SUMPRODUCT(MAX(ROW(E$2:E859)*(E860=E$2:E859)))))</f>
        <v/>
      </c>
      <c r="J860" s="15" t="str">
        <f aca="true">IF(OR(E860="",E860="!!!",F860="NEW"),"",COUNTBLANK(OFFSET(A$1,,,SUMPRODUCT(MAX(ROW(E$2:E860)*(E860=E$2:E860)))))-COUNTBLANK(OFFSET(A$1,,,SUMPRODUCT(MAX(ROW(E$1:E859)*(E860=E$1:E859))))))</f>
        <v/>
      </c>
      <c r="K860" s="15" t="str">
        <f aca="false">IF(OR(E860="",E860="!!!",F860="NEW"),"",INDEX(J$1:J859,SUMPRODUCT(MAX(ROW(E$1:E859)*(E860=E$1:E859)))))</f>
        <v/>
      </c>
      <c r="L860" s="16"/>
    </row>
    <row r="861" customFormat="false" ht="12.75" hidden="false" customHeight="false" outlineLevel="0" collapsed="false">
      <c r="A861" s="9" t="s">
        <v>398</v>
      </c>
      <c r="E861" s="10" t="str">
        <f aca="false">IF(D861="?OLD","!!!","")</f>
        <v/>
      </c>
      <c r="F861" s="11" t="str">
        <f aca="false">IF(OR(E861="",E861="!!!"),"",IF(NOT(ISNA(VLOOKUP(E861,E$1:E860,1,FALSE()))),"OLD",IF(AND(E861&lt;&gt;"",E861&lt;&gt;"!!!"),"NEW","")))</f>
        <v/>
      </c>
      <c r="G861" s="12" t="str">
        <f aca="false">IF(OR(E861="",E861="!!!"),"",IF(OR(J861=0,AND(J861=1,K861=1),AND(J861=1,I861="SBJ"),AND(J861=1,I861=0)),"?IN_FOCUS",IF(J861&lt;=2,"?ACTIVATED",IF(J861&lt;&gt;"","?FAMILIAR",IF(F861="NEW",IF(ISNA(VLOOKUP(E861,#REF!,1,FALSE())),"?TYPE_IDENTIFIABLE","?REFERENTIAL"),"_")))))</f>
        <v/>
      </c>
      <c r="H861" s="13" t="str">
        <f aca="false">IF(J861&lt;&gt;1,"",IF(I861="SBJ","CB","?"))</f>
        <v/>
      </c>
      <c r="I861" s="14" t="str">
        <f aca="false">IF(OR(E861="",E861="!!!",F861="NEW"),"",INDEX(B$2:B860,-1+SUMPRODUCT(MAX(ROW(E$2:E860)*(E861=E$2:E860)))))</f>
        <v/>
      </c>
      <c r="J861" s="15" t="str">
        <f aca="true">IF(OR(E861="",E861="!!!",F861="NEW"),"",COUNTBLANK(OFFSET(A$1,,,SUMPRODUCT(MAX(ROW(E$2:E861)*(E861=E$2:E861)))))-COUNTBLANK(OFFSET(A$1,,,SUMPRODUCT(MAX(ROW(E$1:E860)*(E861=E$1:E860))))))</f>
        <v/>
      </c>
      <c r="K861" s="15" t="str">
        <f aca="false">IF(OR(E861="",E861="!!!",F861="NEW"),"",INDEX(J$1:J860,SUMPRODUCT(MAX(ROW(E$1:E860)*(E861=E$1:E860)))))</f>
        <v/>
      </c>
      <c r="L861" s="16"/>
    </row>
    <row r="862" customFormat="false" ht="12.75" hidden="false" customHeight="false" outlineLevel="0" collapsed="false">
      <c r="A862" s="9" t="s">
        <v>124</v>
      </c>
      <c r="B862" s="0" t="s">
        <v>25</v>
      </c>
      <c r="C862" s="0" t="s">
        <v>21</v>
      </c>
      <c r="E862" s="10" t="str">
        <f aca="false">IF(D862="?OLD","!!!","")</f>
        <v/>
      </c>
      <c r="F862" s="11" t="str">
        <f aca="false">IF(OR(E862="",E862="!!!"),"",IF(NOT(ISNA(VLOOKUP(E862,E$1:E861,1,FALSE()))),"OLD",IF(AND(E862&lt;&gt;"",E862&lt;&gt;"!!!"),"NEW","")))</f>
        <v/>
      </c>
      <c r="G862" s="12" t="str">
        <f aca="false">IF(OR(E862="",E862="!!!"),"",IF(OR(J862=0,AND(J862=1,K862=1),AND(J862=1,I862="SBJ"),AND(J862=1,I862=0)),"?IN_FOCUS",IF(J862&lt;=2,"?ACTIVATED",IF(J862&lt;&gt;"","?FAMILIAR",IF(F862="NEW",IF(ISNA(VLOOKUP(E862,#REF!,1,FALSE())),"?TYPE_IDENTIFIABLE","?REFERENTIAL"),"_")))))</f>
        <v/>
      </c>
      <c r="H862" s="13" t="str">
        <f aca="false">IF(J862&lt;&gt;1,"",IF(I862="SBJ","CB","?"))</f>
        <v/>
      </c>
      <c r="I862" s="14" t="str">
        <f aca="false">IF(OR(E862="",E862="!!!",F862="NEW"),"",INDEX(B$2:B861,-1+SUMPRODUCT(MAX(ROW(E$2:E861)*(E862=E$2:E861)))))</f>
        <v/>
      </c>
      <c r="J862" s="15" t="str">
        <f aca="true">IF(OR(E862="",E862="!!!",F862="NEW"),"",COUNTBLANK(OFFSET(A$1,,,SUMPRODUCT(MAX(ROW(E$2:E862)*(E862=E$2:E862)))))-COUNTBLANK(OFFSET(A$1,,,SUMPRODUCT(MAX(ROW(E$1:E861)*(E862=E$1:E861))))))</f>
        <v/>
      </c>
      <c r="K862" s="15" t="str">
        <f aca="false">IF(OR(E862="",E862="!!!",F862="NEW"),"",INDEX(J$1:J861,SUMPRODUCT(MAX(ROW(E$1:E861)*(E862=E$1:E861)))))</f>
        <v/>
      </c>
      <c r="L862" s="16"/>
    </row>
    <row r="863" customFormat="false" ht="12.75" hidden="false" customHeight="false" outlineLevel="0" collapsed="false">
      <c r="A863" s="9" t="s">
        <v>68</v>
      </c>
      <c r="E863" s="10" t="str">
        <f aca="false">IF(D863="?OLD","!!!","")</f>
        <v/>
      </c>
      <c r="F863" s="11" t="str">
        <f aca="false">IF(OR(E863="",E863="!!!"),"",IF(NOT(ISNA(VLOOKUP(E863,E$1:E862,1,FALSE()))),"OLD",IF(AND(E863&lt;&gt;"",E863&lt;&gt;"!!!"),"NEW","")))</f>
        <v/>
      </c>
      <c r="G863" s="12" t="str">
        <f aca="false">IF(OR(E863="",E863="!!!"),"",IF(OR(J863=0,AND(J863=1,K863=1),AND(J863=1,I863="SBJ"),AND(J863=1,I863=0)),"?IN_FOCUS",IF(J863&lt;=2,"?ACTIVATED",IF(J863&lt;&gt;"","?FAMILIAR",IF(F863="NEW",IF(ISNA(VLOOKUP(E863,#REF!,1,FALSE())),"?TYPE_IDENTIFIABLE","?REFERENTIAL"),"_")))))</f>
        <v/>
      </c>
      <c r="H863" s="13" t="str">
        <f aca="false">IF(J863&lt;&gt;1,"",IF(I863="SBJ","CB","?"))</f>
        <v/>
      </c>
      <c r="I863" s="14" t="str">
        <f aca="false">IF(OR(E863="",E863="!!!",F863="NEW"),"",INDEX(B$2:B862,-1+SUMPRODUCT(MAX(ROW(E$2:E862)*(E863=E$2:E862)))))</f>
        <v/>
      </c>
      <c r="J863" s="15" t="str">
        <f aca="true">IF(OR(E863="",E863="!!!",F863="NEW"),"",COUNTBLANK(OFFSET(A$1,,,SUMPRODUCT(MAX(ROW(E$2:E863)*(E863=E$2:E863)))))-COUNTBLANK(OFFSET(A$1,,,SUMPRODUCT(MAX(ROW(E$1:E862)*(E863=E$1:E862))))))</f>
        <v/>
      </c>
      <c r="K863" s="15" t="str">
        <f aca="false">IF(OR(E863="",E863="!!!",F863="NEW"),"",INDEX(J$1:J862,SUMPRODUCT(MAX(ROW(E$1:E862)*(E863=E$1:E862)))))</f>
        <v/>
      </c>
      <c r="L863" s="16"/>
    </row>
    <row r="864" customFormat="false" ht="12.75" hidden="false" customHeight="false" outlineLevel="0" collapsed="false">
      <c r="E864" s="10" t="str">
        <f aca="false">IF(D864="?OLD","!!!","")</f>
        <v/>
      </c>
      <c r="F864" s="11" t="str">
        <f aca="false">IF(OR(E864="",E864="!!!"),"",IF(NOT(ISNA(VLOOKUP(E864,E$1:E863,1,FALSE()))),"OLD",IF(AND(E864&lt;&gt;"",E864&lt;&gt;"!!!"),"NEW","")))</f>
        <v/>
      </c>
      <c r="G864" s="12" t="str">
        <f aca="false">IF(OR(E864="",E864="!!!"),"",IF(OR(J864=0,AND(J864=1,K864=1),AND(J864=1,I864="SBJ"),AND(J864=1,I864=0)),"?IN_FOCUS",IF(J864&lt;=2,"?ACTIVATED",IF(J864&lt;&gt;"","?FAMILIAR",IF(F864="NEW",IF(ISNA(VLOOKUP(E864,#REF!,1,FALSE())),"?TYPE_IDENTIFIABLE","?REFERENTIAL"),"_")))))</f>
        <v/>
      </c>
      <c r="H864" s="13" t="str">
        <f aca="false">IF(J864&lt;&gt;1,"",IF(I864="SBJ","CB","?"))</f>
        <v/>
      </c>
      <c r="I864" s="14" t="str">
        <f aca="false">IF(OR(E864="",E864="!!!",F864="NEW"),"",INDEX(B$2:B863,-1+SUMPRODUCT(MAX(ROW(E$2:E863)*(E864=E$2:E863)))))</f>
        <v/>
      </c>
      <c r="J864" s="15" t="str">
        <f aca="true">IF(OR(E864="",E864="!!!",F864="NEW"),"",COUNTBLANK(OFFSET(A$1,,,SUMPRODUCT(MAX(ROW(E$2:E864)*(E864=E$2:E864)))))-COUNTBLANK(OFFSET(A$1,,,SUMPRODUCT(MAX(ROW(E$1:E863)*(E864=E$1:E863))))))</f>
        <v/>
      </c>
      <c r="K864" s="15" t="str">
        <f aca="false">IF(OR(E864="",E864="!!!",F864="NEW"),"",INDEX(J$1:J863,SUMPRODUCT(MAX(ROW(E$1:E863)*(E864=E$1:E863)))))</f>
        <v/>
      </c>
      <c r="L864" s="16"/>
    </row>
    <row r="865" customFormat="false" ht="12.75" hidden="false" customHeight="false" outlineLevel="0" collapsed="false">
      <c r="A865" s="9" t="s">
        <v>399</v>
      </c>
      <c r="E865" s="10" t="str">
        <f aca="false">IF(D865="?OLD","!!!","")</f>
        <v/>
      </c>
      <c r="F865" s="11" t="str">
        <f aca="false">IF(OR(E865="",E865="!!!"),"",IF(NOT(ISNA(VLOOKUP(E865,E$1:E864,1,FALSE()))),"OLD",IF(AND(E865&lt;&gt;"",E865&lt;&gt;"!!!"),"NEW","")))</f>
        <v/>
      </c>
      <c r="G865" s="12" t="str">
        <f aca="false">IF(OR(E865="",E865="!!!"),"",IF(OR(J865=0,AND(J865=1,K865=1),AND(J865=1,I865="SBJ"),AND(J865=1,I865=0)),"?IN_FOCUS",IF(J865&lt;=2,"?ACTIVATED",IF(J865&lt;&gt;"","?FAMILIAR",IF(F865="NEW",IF(ISNA(VLOOKUP(E865,#REF!,1,FALSE())),"?TYPE_IDENTIFIABLE","?REFERENTIAL"),"_")))))</f>
        <v/>
      </c>
      <c r="H865" s="13" t="str">
        <f aca="false">IF(J865&lt;&gt;1,"",IF(I865="SBJ","CB","?"))</f>
        <v/>
      </c>
      <c r="I865" s="14" t="str">
        <f aca="false">IF(OR(E865="",E865="!!!",F865="NEW"),"",INDEX(B$2:B864,-1+SUMPRODUCT(MAX(ROW(E$2:E864)*(E865=E$2:E864)))))</f>
        <v/>
      </c>
      <c r="J865" s="15" t="str">
        <f aca="true">IF(OR(E865="",E865="!!!",F865="NEW"),"",COUNTBLANK(OFFSET(A$1,,,SUMPRODUCT(MAX(ROW(E$2:E865)*(E865=E$2:E865)))))-COUNTBLANK(OFFSET(A$1,,,SUMPRODUCT(MAX(ROW(E$1:E864)*(E865=E$1:E864))))))</f>
        <v/>
      </c>
      <c r="K865" s="15" t="str">
        <f aca="false">IF(OR(E865="",E865="!!!",F865="NEW"),"",INDEX(J$1:J864,SUMPRODUCT(MAX(ROW(E$1:E864)*(E865=E$1:E864)))))</f>
        <v/>
      </c>
      <c r="L865" s="16"/>
    </row>
    <row r="866" customFormat="false" ht="12.75" hidden="false" customHeight="false" outlineLevel="0" collapsed="false">
      <c r="A866" s="9" t="s">
        <v>146</v>
      </c>
      <c r="E866" s="10" t="str">
        <f aca="false">IF(D866="?OLD","!!!","")</f>
        <v/>
      </c>
      <c r="F866" s="11" t="str">
        <f aca="false">IF(OR(E866="",E866="!!!"),"",IF(NOT(ISNA(VLOOKUP(E866,E$1:E865,1,FALSE()))),"OLD",IF(AND(E866&lt;&gt;"",E866&lt;&gt;"!!!"),"NEW","")))</f>
        <v/>
      </c>
      <c r="G866" s="12" t="str">
        <f aca="false">IF(OR(E866="",E866="!!!"),"",IF(OR(J866=0,AND(J866=1,K866=1),AND(J866=1,I866="SBJ"),AND(J866=1,I866=0)),"?IN_FOCUS",IF(J866&lt;=2,"?ACTIVATED",IF(J866&lt;&gt;"","?FAMILIAR",IF(F866="NEW",IF(ISNA(VLOOKUP(E866,#REF!,1,FALSE())),"?TYPE_IDENTIFIABLE","?REFERENTIAL"),"_")))))</f>
        <v/>
      </c>
      <c r="H866" s="13" t="str">
        <f aca="false">IF(J866&lt;&gt;1,"",IF(I866="SBJ","CB","?"))</f>
        <v/>
      </c>
      <c r="I866" s="14" t="str">
        <f aca="false">IF(OR(E866="",E866="!!!",F866="NEW"),"",INDEX(B$2:B865,-1+SUMPRODUCT(MAX(ROW(E$2:E865)*(E866=E$2:E865)))))</f>
        <v/>
      </c>
      <c r="J866" s="15" t="str">
        <f aca="true">IF(OR(E866="",E866="!!!",F866="NEW"),"",COUNTBLANK(OFFSET(A$1,,,SUMPRODUCT(MAX(ROW(E$2:E866)*(E866=E$2:E866)))))-COUNTBLANK(OFFSET(A$1,,,SUMPRODUCT(MAX(ROW(E$1:E865)*(E866=E$1:E865))))))</f>
        <v/>
      </c>
      <c r="K866" s="15" t="str">
        <f aca="false">IF(OR(E866="",E866="!!!",F866="NEW"),"",INDEX(J$1:J865,SUMPRODUCT(MAX(ROW(E$1:E865)*(E866=E$1:E865)))))</f>
        <v/>
      </c>
      <c r="L866" s="16"/>
    </row>
    <row r="867" customFormat="false" ht="12.75" hidden="false" customHeight="false" outlineLevel="0" collapsed="false">
      <c r="A867" s="9" t="s">
        <v>126</v>
      </c>
      <c r="B867" s="0" t="s">
        <v>17</v>
      </c>
      <c r="C867" s="0" t="s">
        <v>26</v>
      </c>
      <c r="D867" s="0" t="s">
        <v>27</v>
      </c>
      <c r="E867" s="10" t="s">
        <v>126</v>
      </c>
      <c r="F867" s="11" t="str">
        <f aca="false">IF(OR(E867="",E867="!!!"),"",IF(NOT(ISNA(VLOOKUP(E867,E$1:E866,1,FALSE()))),"OLD",IF(AND(E867&lt;&gt;"",E867&lt;&gt;"!!!"),"NEW","")))</f>
        <v>OLD</v>
      </c>
      <c r="G867" s="12" t="s">
        <v>49</v>
      </c>
      <c r="H867" s="13" t="s">
        <v>7</v>
      </c>
      <c r="I867" s="14" t="str">
        <f aca="false">IF(OR(E867="",E867="!!!",F867="NEW"),"",INDEX(B$2:B866,-1+SUMPRODUCT(MAX(ROW(E$2:E866)*(E867=E$2:E866)))))</f>
        <v>OBJ_2</v>
      </c>
      <c r="J867" s="15" t="n">
        <f aca="true">IF(OR(E867="",E867="!!!",F867="NEW"),"",COUNTBLANK(OFFSET(A$1,,,SUMPRODUCT(MAX(ROW(E$2:E867)*(E867=E$2:E867)))))-COUNTBLANK(OFFSET(A$1,,,SUMPRODUCT(MAX(ROW(E$1:E866)*(E867=E$1:E866))))))</f>
        <v>1</v>
      </c>
      <c r="K867" s="15" t="n">
        <f aca="false">IF(OR(E867="",E867="!!!",F867="NEW"),"",INDEX(J$1:J866,SUMPRODUCT(MAX(ROW(E$1:E866)*(E867=E$1:E866)))))</f>
        <v>11</v>
      </c>
      <c r="L867" s="16"/>
    </row>
    <row r="868" customFormat="false" ht="12.75" hidden="false" customHeight="false" outlineLevel="0" collapsed="false">
      <c r="A868" s="9" t="s">
        <v>44</v>
      </c>
      <c r="E868" s="10" t="str">
        <f aca="false">IF(D868="?OLD","!!!","")</f>
        <v/>
      </c>
      <c r="F868" s="11" t="str">
        <f aca="false">IF(OR(E868="",E868="!!!"),"",IF(NOT(ISNA(VLOOKUP(E868,E$1:E867,1,FALSE()))),"OLD",IF(AND(E868&lt;&gt;"",E868&lt;&gt;"!!!"),"NEW","")))</f>
        <v/>
      </c>
      <c r="G868" s="12" t="str">
        <f aca="false">IF(OR(E868="",E868="!!!"),"",IF(OR(J868=0,AND(J868=1,K868=1),AND(J868=1,I868="SBJ"),AND(J868=1,I868=0)),"?IN_FOCUS",IF(J868&lt;=2,"?ACTIVATED",IF(J868&lt;&gt;"","?FAMILIAR",IF(F868="NEW",IF(ISNA(VLOOKUP(E868,#REF!,1,FALSE())),"?TYPE_IDENTIFIABLE","?REFERENTIAL"),"_")))))</f>
        <v/>
      </c>
      <c r="H868" s="13" t="str">
        <f aca="false">IF(J868&lt;&gt;1,"",IF(I868="SBJ","CB","?"))</f>
        <v/>
      </c>
      <c r="I868" s="14" t="str">
        <f aca="false">IF(OR(E868="",E868="!!!",F868="NEW"),"",INDEX(B$2:B867,-1+SUMPRODUCT(MAX(ROW(E$2:E867)*(E868=E$2:E867)))))</f>
        <v/>
      </c>
      <c r="J868" s="15" t="str">
        <f aca="true">IF(OR(E868="",E868="!!!",F868="NEW"),"",COUNTBLANK(OFFSET(A$1,,,SUMPRODUCT(MAX(ROW(E$2:E868)*(E868=E$2:E868)))))-COUNTBLANK(OFFSET(A$1,,,SUMPRODUCT(MAX(ROW(E$1:E867)*(E868=E$1:E867))))))</f>
        <v/>
      </c>
      <c r="K868" s="15" t="str">
        <f aca="false">IF(OR(E868="",E868="!!!",F868="NEW"),"",INDEX(J$1:J867,SUMPRODUCT(MAX(ROW(E$1:E867)*(E868=E$1:E867)))))</f>
        <v/>
      </c>
      <c r="L868" s="16"/>
    </row>
    <row r="869" customFormat="false" ht="12.75" hidden="false" customHeight="false" outlineLevel="0" collapsed="false">
      <c r="A869" s="9" t="s">
        <v>400</v>
      </c>
      <c r="B869" s="0" t="s">
        <v>33</v>
      </c>
      <c r="C869" s="0" t="s">
        <v>31</v>
      </c>
      <c r="D869" s="0" t="s">
        <v>27</v>
      </c>
      <c r="E869" s="10" t="s">
        <v>64</v>
      </c>
      <c r="F869" s="11" t="str">
        <f aca="false">IF(OR(E869="",E869="!!!"),"",IF(NOT(ISNA(VLOOKUP(E869,E$1:E868,1,FALSE()))),"OLD",IF(AND(E869&lt;&gt;"",E869&lt;&gt;"!!!"),"NEW","")))</f>
        <v>OLD</v>
      </c>
      <c r="G869" s="12" t="s">
        <v>49</v>
      </c>
      <c r="H869" s="13"/>
      <c r="I869" s="14" t="str">
        <f aca="false">IF(OR(E869="",E869="!!!",F869="NEW"),"",INDEX(B$2:B868,-1+SUMPRODUCT(MAX(ROW(E$2:E868)*(E869=E$2:E868)))))</f>
        <v>SBJ_2</v>
      </c>
      <c r="J869" s="15" t="n">
        <f aca="true">IF(OR(E869="",E869="!!!",F869="NEW"),"",COUNTBLANK(OFFSET(A$1,,,SUMPRODUCT(MAX(ROW(E$2:E869)*(E869=E$2:E869)))))-COUNTBLANK(OFFSET(A$1,,,SUMPRODUCT(MAX(ROW(E$1:E868)*(E869=E$1:E868))))))</f>
        <v>1</v>
      </c>
      <c r="K869" s="15" t="n">
        <f aca="false">IF(OR(E869="",E869="!!!",F869="NEW"),"",INDEX(J$1:J868,SUMPRODUCT(MAX(ROW(E$1:E868)*(E869=E$1:E868)))))</f>
        <v>0</v>
      </c>
      <c r="L869" s="16"/>
    </row>
    <row r="870" customFormat="false" ht="12.75" hidden="false" customHeight="false" outlineLevel="0" collapsed="false">
      <c r="A870" s="9" t="s">
        <v>401</v>
      </c>
      <c r="B870" s="0" t="s">
        <v>25</v>
      </c>
      <c r="C870" s="0" t="s">
        <v>34</v>
      </c>
      <c r="D870" s="0" t="s">
        <v>27</v>
      </c>
      <c r="E870" s="10" t="s">
        <v>402</v>
      </c>
      <c r="F870" s="11" t="str">
        <f aca="false">IF(OR(E870="",E870="!!!"),"",IF(NOT(ISNA(VLOOKUP(E870,E$1:E869,1,FALSE()))),"OLD",IF(AND(E870&lt;&gt;"",E870&lt;&gt;"!!!"),"NEW","")))</f>
        <v>NEW</v>
      </c>
      <c r="G870" s="12" t="s">
        <v>28</v>
      </c>
      <c r="H870" s="13" t="str">
        <f aca="false">IF(J870&lt;&gt;1,"",IF(I870="SBJ","CB","?"))</f>
        <v/>
      </c>
      <c r="I870" s="14" t="str">
        <f aca="false">IF(OR(E870="",E870="!!!",F870="NEW"),"",INDEX(B$2:B869,-1+SUMPRODUCT(MAX(ROW(E$2:E869)*(E870=E$2:E869)))))</f>
        <v/>
      </c>
      <c r="J870" s="15" t="str">
        <f aca="true">IF(OR(E870="",E870="!!!",F870="NEW"),"",COUNTBLANK(OFFSET(A$1,,,SUMPRODUCT(MAX(ROW(E$2:E870)*(E870=E$2:E870)))))-COUNTBLANK(OFFSET(A$1,,,SUMPRODUCT(MAX(ROW(E$1:E869)*(E870=E$1:E869))))))</f>
        <v/>
      </c>
      <c r="K870" s="15" t="str">
        <f aca="false">IF(OR(E870="",E870="!!!",F870="NEW"),"",INDEX(J$1:J869,SUMPRODUCT(MAX(ROW(E$1:E869)*(E870=E$1:E869)))))</f>
        <v/>
      </c>
      <c r="L870" s="16"/>
    </row>
    <row r="871" customFormat="false" ht="12.75" hidden="false" customHeight="false" outlineLevel="0" collapsed="false">
      <c r="A871" s="9" t="s">
        <v>403</v>
      </c>
      <c r="E871" s="10" t="str">
        <f aca="false">IF(D871="?OLD","!!!","")</f>
        <v/>
      </c>
      <c r="F871" s="11" t="str">
        <f aca="false">IF(OR(E871="",E871="!!!"),"",IF(NOT(ISNA(VLOOKUP(E871,E$1:E870,1,FALSE()))),"OLD",IF(AND(E871&lt;&gt;"",E871&lt;&gt;"!!!"),"NEW","")))</f>
        <v/>
      </c>
      <c r="G871" s="12" t="str">
        <f aca="false">IF(OR(E871="",E871="!!!"),"",IF(OR(J871=0,AND(J871=1,K871=1),AND(J871=1,I871="SBJ"),AND(J871=1,I871=0)),"?IN_FOCUS",IF(J871&lt;=2,"?ACTIVATED",IF(J871&lt;&gt;"","?FAMILIAR",IF(F871="NEW",IF(ISNA(VLOOKUP(E871,#REF!,1,FALSE())),"?TYPE_IDENTIFIABLE","?REFERENTIAL"),"_")))))</f>
        <v/>
      </c>
      <c r="H871" s="13" t="str">
        <f aca="false">IF(J871&lt;&gt;1,"",IF(I871="SBJ","CB","?"))</f>
        <v/>
      </c>
      <c r="I871" s="14" t="str">
        <f aca="false">IF(OR(E871="",E871="!!!",F871="NEW"),"",INDEX(B$2:B870,-1+SUMPRODUCT(MAX(ROW(E$2:E870)*(E871=E$2:E870)))))</f>
        <v/>
      </c>
      <c r="J871" s="15" t="str">
        <f aca="true">IF(OR(E871="",E871="!!!",F871="NEW"),"",COUNTBLANK(OFFSET(A$1,,,SUMPRODUCT(MAX(ROW(E$2:E871)*(E871=E$2:E871)))))-COUNTBLANK(OFFSET(A$1,,,SUMPRODUCT(MAX(ROW(E$1:E870)*(E871=E$1:E870))))))</f>
        <v/>
      </c>
      <c r="K871" s="15" t="str">
        <f aca="false">IF(OR(E871="",E871="!!!",F871="NEW"),"",INDEX(J$1:J870,SUMPRODUCT(MAX(ROW(E$1:E870)*(E871=E$1:E870)))))</f>
        <v/>
      </c>
      <c r="L871" s="16"/>
    </row>
    <row r="872" customFormat="false" ht="12.75" hidden="false" customHeight="false" outlineLevel="0" collapsed="false">
      <c r="A872" s="9" t="s">
        <v>151</v>
      </c>
      <c r="E872" s="10" t="str">
        <f aca="false">IF(D872="?OLD","!!!","")</f>
        <v/>
      </c>
      <c r="F872" s="11" t="str">
        <f aca="false">IF(OR(E872="",E872="!!!"),"",IF(NOT(ISNA(VLOOKUP(E872,E$1:E871,1,FALSE()))),"OLD",IF(AND(E872&lt;&gt;"",E872&lt;&gt;"!!!"),"NEW","")))</f>
        <v/>
      </c>
      <c r="G872" s="12" t="str">
        <f aca="false">IF(OR(E872="",E872="!!!"),"",IF(OR(J872=0,AND(J872=1,K872=1),AND(J872=1,I872="SBJ"),AND(J872=1,I872=0)),"?IN_FOCUS",IF(J872&lt;=2,"?ACTIVATED",IF(J872&lt;&gt;"","?FAMILIAR",IF(F872="NEW",IF(ISNA(VLOOKUP(E872,#REF!,1,FALSE())),"?TYPE_IDENTIFIABLE","?REFERENTIAL"),"_")))))</f>
        <v/>
      </c>
      <c r="H872" s="13" t="str">
        <f aca="false">IF(J872&lt;&gt;1,"",IF(I872="SBJ","CB","?"))</f>
        <v/>
      </c>
      <c r="I872" s="14" t="str">
        <f aca="false">IF(OR(E872="",E872="!!!",F872="NEW"),"",INDEX(B$2:B871,-1+SUMPRODUCT(MAX(ROW(E$2:E871)*(E872=E$2:E871)))))</f>
        <v/>
      </c>
      <c r="J872" s="15" t="str">
        <f aca="true">IF(OR(E872="",E872="!!!",F872="NEW"),"",COUNTBLANK(OFFSET(A$1,,,SUMPRODUCT(MAX(ROW(E$2:E872)*(E872=E$2:E872)))))-COUNTBLANK(OFFSET(A$1,,,SUMPRODUCT(MAX(ROW(E$1:E871)*(E872=E$1:E871))))))</f>
        <v/>
      </c>
      <c r="K872" s="15" t="str">
        <f aca="false">IF(OR(E872="",E872="!!!",F872="NEW"),"",INDEX(J$1:J871,SUMPRODUCT(MAX(ROW(E$1:E871)*(E872=E$1:E871)))))</f>
        <v/>
      </c>
      <c r="L872" s="16"/>
    </row>
    <row r="873" customFormat="false" ht="12.75" hidden="false" customHeight="false" outlineLevel="0" collapsed="false">
      <c r="A873" s="9" t="s">
        <v>386</v>
      </c>
      <c r="B873" s="0" t="s">
        <v>30</v>
      </c>
      <c r="C873" s="0" t="s">
        <v>26</v>
      </c>
      <c r="D873" s="0" t="s">
        <v>27</v>
      </c>
      <c r="E873" s="10" t="s">
        <v>386</v>
      </c>
      <c r="F873" s="11" t="str">
        <f aca="false">IF(OR(E873="",E873="!!!"),"",IF(NOT(ISNA(VLOOKUP(E873,E$1:E872,1,FALSE()))),"OLD",IF(AND(E873&lt;&gt;"",E873&lt;&gt;"!!!"),"NEW","")))</f>
        <v>OLD</v>
      </c>
      <c r="G873" s="12" t="s">
        <v>49</v>
      </c>
      <c r="H873" s="13" t="str">
        <f aca="false">IF(J873&lt;&gt;1,"",IF(I873="SBJ","CB","?"))</f>
        <v/>
      </c>
      <c r="I873" s="14" t="str">
        <f aca="false">IF(OR(E873="",E873="!!!",F873="NEW"),"",INDEX(B$2:B872,-1+SUMPRODUCT(MAX(ROW(E$2:E872)*(E873=E$2:E872)))))</f>
        <v>other_4</v>
      </c>
      <c r="J873" s="15" t="n">
        <f aca="true">IF(OR(E873="",E873="!!!",F873="NEW"),"",COUNTBLANK(OFFSET(A$1,,,SUMPRODUCT(MAX(ROW(E$2:E873)*(E873=E$2:E873)))))-COUNTBLANK(OFFSET(A$1,,,SUMPRODUCT(MAX(ROW(E$1:E872)*(E873=E$1:E872))))))</f>
        <v>2</v>
      </c>
      <c r="K873" s="15" t="n">
        <f aca="false">IF(OR(E873="",E873="!!!",F873="NEW"),"",INDEX(J$1:J872,SUMPRODUCT(MAX(ROW(E$1:E872)*(E873=E$1:E872)))))</f>
        <v>1</v>
      </c>
      <c r="L873" s="16"/>
    </row>
    <row r="874" customFormat="false" ht="12.75" hidden="false" customHeight="false" outlineLevel="0" collapsed="false">
      <c r="A874" s="9" t="s">
        <v>22</v>
      </c>
      <c r="E874" s="10" t="str">
        <f aca="false">IF(D874="?OLD","!!!","")</f>
        <v/>
      </c>
      <c r="F874" s="11" t="str">
        <f aca="false">IF(OR(E874="",E874="!!!"),"",IF(NOT(ISNA(VLOOKUP(E874,E$1:E873,1,FALSE()))),"OLD",IF(AND(E874&lt;&gt;"",E874&lt;&gt;"!!!"),"NEW","")))</f>
        <v/>
      </c>
      <c r="G874" s="12" t="str">
        <f aca="false">IF(OR(E874="",E874="!!!"),"",IF(OR(J874=0,AND(J874=1,K874=1),AND(J874=1,I874="SBJ"),AND(J874=1,I874=0)),"?IN_FOCUS",IF(J874&lt;=2,"?ACTIVATED",IF(J874&lt;&gt;"","?FAMILIAR",IF(F874="NEW",IF(ISNA(VLOOKUP(E874,#REF!,1,FALSE())),"?TYPE_IDENTIFIABLE","?REFERENTIAL"),"_")))))</f>
        <v/>
      </c>
      <c r="H874" s="13" t="str">
        <f aca="false">IF(J874&lt;&gt;1,"",IF(I874="SBJ","CB","?"))</f>
        <v/>
      </c>
      <c r="I874" s="14" t="str">
        <f aca="false">IF(OR(E874="",E874="!!!",F874="NEW"),"",INDEX(B$2:B873,-1+SUMPRODUCT(MAX(ROW(E$2:E873)*(E874=E$2:E873)))))</f>
        <v/>
      </c>
      <c r="J874" s="15" t="str">
        <f aca="true">IF(OR(E874="",E874="!!!",F874="NEW"),"",COUNTBLANK(OFFSET(A$1,,,SUMPRODUCT(MAX(ROW(E$2:E874)*(E874=E$2:E874)))))-COUNTBLANK(OFFSET(A$1,,,SUMPRODUCT(MAX(ROW(E$1:E873)*(E874=E$1:E873))))))</f>
        <v/>
      </c>
      <c r="K874" s="15" t="str">
        <f aca="false">IF(OR(E874="",E874="!!!",F874="NEW"),"",INDEX(J$1:J873,SUMPRODUCT(MAX(ROW(E$1:E873)*(E874=E$1:E873)))))</f>
        <v/>
      </c>
      <c r="L874" s="16"/>
    </row>
    <row r="875" customFormat="false" ht="12.75" hidden="false" customHeight="false" outlineLevel="0" collapsed="false">
      <c r="A875" s="9" t="s">
        <v>365</v>
      </c>
      <c r="B875" s="0" t="s">
        <v>404</v>
      </c>
      <c r="E875" s="10" t="str">
        <f aca="false">IF(D875="?OLD","!!!","")</f>
        <v/>
      </c>
      <c r="F875" s="11" t="str">
        <f aca="false">IF(OR(E875="",E875="!!!"),"",IF(NOT(ISNA(VLOOKUP(E875,E$1:E874,1,FALSE()))),"OLD",IF(AND(E875&lt;&gt;"",E875&lt;&gt;"!!!"),"NEW","")))</f>
        <v/>
      </c>
      <c r="G875" s="12" t="str">
        <f aca="false">IF(OR(E875="",E875="!!!"),"",IF(OR(J875=0,AND(J875=1,K875=1),AND(J875=1,I875="SBJ"),AND(J875=1,I875=0)),"?IN_FOCUS",IF(J875&lt;=2,"?ACTIVATED",IF(J875&lt;&gt;"","?FAMILIAR",IF(F875="NEW",IF(ISNA(VLOOKUP(E875,#REF!,1,FALSE())),"?TYPE_IDENTIFIABLE","?REFERENTIAL"),"_")))))</f>
        <v/>
      </c>
      <c r="H875" s="13" t="str">
        <f aca="false">IF(J875&lt;&gt;1,"",IF(I875="SBJ","CB","?"))</f>
        <v/>
      </c>
      <c r="I875" s="14" t="str">
        <f aca="false">IF(OR(E875="",E875="!!!",F875="NEW"),"",INDEX(B$2:B874,-1+SUMPRODUCT(MAX(ROW(E$2:E874)*(E875=E$2:E874)))))</f>
        <v/>
      </c>
      <c r="J875" s="15" t="str">
        <f aca="true">IF(OR(E875="",E875="!!!",F875="NEW"),"",COUNTBLANK(OFFSET(A$1,,,SUMPRODUCT(MAX(ROW(E$2:E875)*(E875=E$2:E875)))))-COUNTBLANK(OFFSET(A$1,,,SUMPRODUCT(MAX(ROW(E$1:E874)*(E875=E$1:E874))))))</f>
        <v/>
      </c>
      <c r="K875" s="15" t="str">
        <f aca="false">IF(OR(E875="",E875="!!!",F875="NEW"),"",INDEX(J$1:J874,SUMPRODUCT(MAX(ROW(E$1:E874)*(E875=E$1:E874)))))</f>
        <v/>
      </c>
      <c r="L875" s="16"/>
    </row>
    <row r="876" customFormat="false" ht="12.75" hidden="false" customHeight="false" outlineLevel="0" collapsed="false">
      <c r="A876" s="9" t="s">
        <v>96</v>
      </c>
      <c r="B876" s="0" t="s">
        <v>405</v>
      </c>
      <c r="C876" s="0" t="s">
        <v>58</v>
      </c>
      <c r="D876" s="0" t="s">
        <v>27</v>
      </c>
      <c r="E876" s="10" t="s">
        <v>406</v>
      </c>
      <c r="F876" s="11" t="str">
        <f aca="false">IF(OR(E876="",E876="!!!"),"",IF(NOT(ISNA(VLOOKUP(E876,E$1:E875,1,FALSE()))),"OLD",IF(AND(E876&lt;&gt;"",E876&lt;&gt;"!!!"),"NEW","")))</f>
        <v>NEW</v>
      </c>
      <c r="G876" s="12" t="s">
        <v>72</v>
      </c>
      <c r="H876" s="13" t="str">
        <f aca="false">IF(J876&lt;&gt;1,"",IF(I876="SBJ","CB","?"))</f>
        <v/>
      </c>
      <c r="I876" s="14" t="str">
        <f aca="false">IF(OR(E876="",E876="!!!",F876="NEW"),"",INDEX(B$2:B875,-1+SUMPRODUCT(MAX(ROW(E$2:E875)*(E876=E$2:E875)))))</f>
        <v/>
      </c>
      <c r="J876" s="15" t="str">
        <f aca="true">IF(OR(E876="",E876="!!!",F876="NEW"),"",COUNTBLANK(OFFSET(A$1,,,SUMPRODUCT(MAX(ROW(E$2:E876)*(E876=E$2:E876)))))-COUNTBLANK(OFFSET(A$1,,,SUMPRODUCT(MAX(ROW(E$1:E875)*(E876=E$1:E875))))))</f>
        <v/>
      </c>
      <c r="K876" s="15" t="str">
        <f aca="false">IF(OR(E876="",E876="!!!",F876="NEW"),"",INDEX(J$1:J875,SUMPRODUCT(MAX(ROW(E$1:E875)*(E876=E$1:E875)))))</f>
        <v/>
      </c>
      <c r="L876" s="16"/>
    </row>
    <row r="877" customFormat="false" ht="12.75" hidden="false" customHeight="false" outlineLevel="0" collapsed="false">
      <c r="A877" s="9" t="s">
        <v>407</v>
      </c>
      <c r="E877" s="10" t="str">
        <f aca="false">IF(D877="?OLD","!!!","")</f>
        <v/>
      </c>
      <c r="F877" s="11" t="str">
        <f aca="false">IF(OR(E877="",E877="!!!"),"",IF(NOT(ISNA(VLOOKUP(E877,E$1:E876,1,FALSE()))),"OLD",IF(AND(E877&lt;&gt;"",E877&lt;&gt;"!!!"),"NEW","")))</f>
        <v/>
      </c>
      <c r="G877" s="12" t="str">
        <f aca="false">IF(OR(E877="",E877="!!!"),"",IF(OR(J877=0,AND(J877=1,K877=1),AND(J877=1,I877="SBJ"),AND(J877=1,I877=0)),"?IN_FOCUS",IF(J877&lt;=2,"?ACTIVATED",IF(J877&lt;&gt;"","?FAMILIAR",IF(F877="NEW",IF(ISNA(VLOOKUP(E877,#REF!,1,FALSE())),"?TYPE_IDENTIFIABLE","?REFERENTIAL"),"_")))))</f>
        <v/>
      </c>
      <c r="H877" s="13" t="str">
        <f aca="false">IF(J877&lt;&gt;1,"",IF(I877="SBJ","CB","?"))</f>
        <v/>
      </c>
      <c r="I877" s="14" t="str">
        <f aca="false">IF(OR(E877="",E877="!!!",F877="NEW"),"",INDEX(B$2:B876,-1+SUMPRODUCT(MAX(ROW(E$2:E876)*(E877=E$2:E876)))))</f>
        <v/>
      </c>
      <c r="J877" s="15" t="str">
        <f aca="true">IF(OR(E877="",E877="!!!",F877="NEW"),"",COUNTBLANK(OFFSET(A$1,,,SUMPRODUCT(MAX(ROW(E$2:E877)*(E877=E$2:E877)))))-COUNTBLANK(OFFSET(A$1,,,SUMPRODUCT(MAX(ROW(E$1:E876)*(E877=E$1:E876))))))</f>
        <v/>
      </c>
      <c r="K877" s="15" t="str">
        <f aca="false">IF(OR(E877="",E877="!!!",F877="NEW"),"",INDEX(J$1:J876,SUMPRODUCT(MAX(ROW(E$1:E876)*(E877=E$1:E876)))))</f>
        <v/>
      </c>
      <c r="L877" s="16"/>
    </row>
    <row r="878" customFormat="false" ht="12.75" hidden="false" customHeight="false" outlineLevel="0" collapsed="false">
      <c r="A878" s="9" t="s">
        <v>22</v>
      </c>
      <c r="E878" s="10" t="str">
        <f aca="false">IF(D878="?OLD","!!!","")</f>
        <v/>
      </c>
      <c r="F878" s="11" t="str">
        <f aca="false">IF(OR(E878="",E878="!!!"),"",IF(NOT(ISNA(VLOOKUP(E878,E$1:E877,1,FALSE()))),"OLD",IF(AND(E878&lt;&gt;"",E878&lt;&gt;"!!!"),"NEW","")))</f>
        <v/>
      </c>
      <c r="G878" s="12" t="str">
        <f aca="false">IF(OR(E878="",E878="!!!"),"",IF(OR(J878=0,AND(J878=1,K878=1),AND(J878=1,I878="SBJ"),AND(J878=1,I878=0)),"?IN_FOCUS",IF(J878&lt;=2,"?ACTIVATED",IF(J878&lt;&gt;"","?FAMILIAR",IF(F878="NEW",IF(ISNA(VLOOKUP(E878,#REF!,1,FALSE())),"?TYPE_IDENTIFIABLE","?REFERENTIAL"),"_")))))</f>
        <v/>
      </c>
      <c r="H878" s="13" t="str">
        <f aca="false">IF(J878&lt;&gt;1,"",IF(I878="SBJ","CB","?"))</f>
        <v/>
      </c>
      <c r="I878" s="14" t="str">
        <f aca="false">IF(OR(E878="",E878="!!!",F878="NEW"),"",INDEX(B$2:B877,-1+SUMPRODUCT(MAX(ROW(E$2:E877)*(E878=E$2:E877)))))</f>
        <v/>
      </c>
      <c r="J878" s="15" t="str">
        <f aca="true">IF(OR(E878="",E878="!!!",F878="NEW"),"",COUNTBLANK(OFFSET(A$1,,,SUMPRODUCT(MAX(ROW(E$2:E878)*(E878=E$2:E878)))))-COUNTBLANK(OFFSET(A$1,,,SUMPRODUCT(MAX(ROW(E$1:E877)*(E878=E$1:E877))))))</f>
        <v/>
      </c>
      <c r="K878" s="15" t="str">
        <f aca="false">IF(OR(E878="",E878="!!!",F878="NEW"),"",INDEX(J$1:J877,SUMPRODUCT(MAX(ROW(E$1:E877)*(E878=E$1:E877)))))</f>
        <v/>
      </c>
      <c r="L878" s="16"/>
    </row>
    <row r="879" customFormat="false" ht="12.75" hidden="false" customHeight="false" outlineLevel="0" collapsed="false">
      <c r="A879" s="9" t="s">
        <v>408</v>
      </c>
      <c r="E879" s="10" t="str">
        <f aca="false">IF(D879="?OLD","!!!","")</f>
        <v/>
      </c>
      <c r="F879" s="11" t="str">
        <f aca="false">IF(OR(E879="",E879="!!!"),"",IF(NOT(ISNA(VLOOKUP(E879,E$1:E878,1,FALSE()))),"OLD",IF(AND(E879&lt;&gt;"",E879&lt;&gt;"!!!"),"NEW","")))</f>
        <v/>
      </c>
      <c r="G879" s="12" t="str">
        <f aca="false">IF(OR(E879="",E879="!!!"),"",IF(OR(J879=0,AND(J879=1,K879=1),AND(J879=1,I879="SBJ"),AND(J879=1,I879=0)),"?IN_FOCUS",IF(J879&lt;=2,"?ACTIVATED",IF(J879&lt;&gt;"","?FAMILIAR",IF(F879="NEW",IF(ISNA(VLOOKUP(E879,#REF!,1,FALSE())),"?TYPE_IDENTIFIABLE","?REFERENTIAL"),"_")))))</f>
        <v/>
      </c>
      <c r="H879" s="13" t="str">
        <f aca="false">IF(J879&lt;&gt;1,"",IF(I879="SBJ","CB","?"))</f>
        <v/>
      </c>
      <c r="I879" s="14" t="str">
        <f aca="false">IF(OR(E879="",E879="!!!",F879="NEW"),"",INDEX(B$2:B878,-1+SUMPRODUCT(MAX(ROW(E$2:E878)*(E879=E$2:E878)))))</f>
        <v/>
      </c>
      <c r="J879" s="15" t="str">
        <f aca="true">IF(OR(E879="",E879="!!!",F879="NEW"),"",COUNTBLANK(OFFSET(A$1,,,SUMPRODUCT(MAX(ROW(E$2:E879)*(E879=E$2:E879)))))-COUNTBLANK(OFFSET(A$1,,,SUMPRODUCT(MAX(ROW(E$1:E878)*(E879=E$1:E878))))))</f>
        <v/>
      </c>
      <c r="K879" s="15" t="str">
        <f aca="false">IF(OR(E879="",E879="!!!",F879="NEW"),"",INDEX(J$1:J878,SUMPRODUCT(MAX(ROW(E$1:E878)*(E879=E$1:E878)))))</f>
        <v/>
      </c>
      <c r="L879" s="16"/>
    </row>
    <row r="880" customFormat="false" ht="12.75" hidden="false" customHeight="false" outlineLevel="0" collapsed="false">
      <c r="A880" s="9" t="s">
        <v>150</v>
      </c>
      <c r="B880" s="0" t="s">
        <v>185</v>
      </c>
      <c r="C880" s="0" t="s">
        <v>58</v>
      </c>
      <c r="D880" s="0" t="s">
        <v>27</v>
      </c>
      <c r="E880" s="10" t="s">
        <v>386</v>
      </c>
      <c r="F880" s="11" t="str">
        <f aca="false">IF(OR(E880="",E880="!!!"),"",IF(NOT(ISNA(VLOOKUP(E880,E$1:E879,1,FALSE()))),"OLD",IF(AND(E880&lt;&gt;"",E880&lt;&gt;"!!!"),"NEW","")))</f>
        <v>OLD</v>
      </c>
      <c r="G880" s="12" t="s">
        <v>51</v>
      </c>
      <c r="H880" s="13" t="str">
        <f aca="false">IF(J880&lt;&gt;1,"",IF(I880="SBJ","CB","?"))</f>
        <v/>
      </c>
      <c r="I880" s="14" t="str">
        <f aca="false">IF(OR(E880="",E880="!!!",F880="NEW"),"",INDEX(B$2:B879,-1+SUMPRODUCT(MAX(ROW(E$2:E879)*(E880=E$2:E879)))))</f>
        <v>other_4</v>
      </c>
      <c r="J880" s="15" t="n">
        <f aca="true">IF(OR(E880="",E880="!!!",F880="NEW"),"",COUNTBLANK(OFFSET(A$1,,,SUMPRODUCT(MAX(ROW(E$2:E880)*(E880=E$2:E880)))))-COUNTBLANK(OFFSET(A$1,,,SUMPRODUCT(MAX(ROW(E$1:E879)*(E880=E$1:E879))))))</f>
        <v>0</v>
      </c>
      <c r="K880" s="15" t="n">
        <f aca="false">IF(OR(E880="",E880="!!!",F880="NEW"),"",INDEX(J$1:J879,SUMPRODUCT(MAX(ROW(E$1:E879)*(E880=E$1:E879)))))</f>
        <v>2</v>
      </c>
      <c r="L880" s="16"/>
    </row>
    <row r="881" customFormat="false" ht="12.75" hidden="false" customHeight="false" outlineLevel="0" collapsed="false">
      <c r="A881" s="9" t="s">
        <v>139</v>
      </c>
      <c r="E881" s="10" t="str">
        <f aca="false">IF(D881="?OLD","!!!","")</f>
        <v/>
      </c>
      <c r="F881" s="11" t="str">
        <f aca="false">IF(OR(E881="",E881="!!!"),"",IF(NOT(ISNA(VLOOKUP(E881,E$1:E880,1,FALSE()))),"OLD",IF(AND(E881&lt;&gt;"",E881&lt;&gt;"!!!"),"NEW","")))</f>
        <v/>
      </c>
      <c r="G881" s="12" t="str">
        <f aca="false">IF(OR(E881="",E881="!!!"),"",IF(OR(J881=0,AND(J881=1,K881=1),AND(J881=1,I881="SBJ"),AND(J881=1,I881=0)),"?IN_FOCUS",IF(J881&lt;=2,"?ACTIVATED",IF(J881&lt;&gt;"","?FAMILIAR",IF(F881="NEW",IF(ISNA(VLOOKUP(E881,#REF!,1,FALSE())),"?TYPE_IDENTIFIABLE","?REFERENTIAL"),"_")))))</f>
        <v/>
      </c>
      <c r="H881" s="13" t="str">
        <f aca="false">IF(J881&lt;&gt;1,"",IF(I881="SBJ","CB","?"))</f>
        <v/>
      </c>
      <c r="I881" s="14" t="str">
        <f aca="false">IF(OR(E881="",E881="!!!",F881="NEW"),"",INDEX(B$2:B880,-1+SUMPRODUCT(MAX(ROW(E$2:E880)*(E881=E$2:E880)))))</f>
        <v/>
      </c>
      <c r="J881" s="15" t="str">
        <f aca="true">IF(OR(E881="",E881="!!!",F881="NEW"),"",COUNTBLANK(OFFSET(A$1,,,SUMPRODUCT(MAX(ROW(E$2:E881)*(E881=E$2:E881)))))-COUNTBLANK(OFFSET(A$1,,,SUMPRODUCT(MAX(ROW(E$1:E880)*(E881=E$1:E880))))))</f>
        <v/>
      </c>
      <c r="K881" s="15" t="str">
        <f aca="false">IF(OR(E881="",E881="!!!",F881="NEW"),"",INDEX(J$1:J880,SUMPRODUCT(MAX(ROW(E$1:E880)*(E881=E$1:E880)))))</f>
        <v/>
      </c>
      <c r="L881" s="16"/>
    </row>
    <row r="882" customFormat="false" ht="12.75" hidden="false" customHeight="false" outlineLevel="0" collapsed="false">
      <c r="A882" s="9" t="s">
        <v>14</v>
      </c>
      <c r="E882" s="10" t="str">
        <f aca="false">IF(D882="?OLD","!!!","")</f>
        <v/>
      </c>
      <c r="F882" s="11" t="str">
        <f aca="false">IF(OR(E882="",E882="!!!"),"",IF(NOT(ISNA(VLOOKUP(E882,E$1:E881,1,FALSE()))),"OLD",IF(AND(E882&lt;&gt;"",E882&lt;&gt;"!!!"),"NEW","")))</f>
        <v/>
      </c>
      <c r="G882" s="12" t="str">
        <f aca="false">IF(OR(E882="",E882="!!!"),"",IF(OR(J882=0,AND(J882=1,K882=1),AND(J882=1,I882="SBJ"),AND(J882=1,I882=0)),"?IN_FOCUS",IF(J882&lt;=2,"?ACTIVATED",IF(J882&lt;&gt;"","?FAMILIAR",IF(F882="NEW",IF(ISNA(VLOOKUP(E882,#REF!,1,FALSE())),"?TYPE_IDENTIFIABLE","?REFERENTIAL"),"_")))))</f>
        <v/>
      </c>
      <c r="H882" s="13" t="str">
        <f aca="false">IF(J882&lt;&gt;1,"",IF(I882="SBJ","CB","?"))</f>
        <v/>
      </c>
      <c r="I882" s="14" t="str">
        <f aca="false">IF(OR(E882="",E882="!!!",F882="NEW"),"",INDEX(B$2:B881,-1+SUMPRODUCT(MAX(ROW(E$2:E881)*(E882=E$2:E881)))))</f>
        <v/>
      </c>
      <c r="J882" s="15" t="str">
        <f aca="true">IF(OR(E882="",E882="!!!",F882="NEW"),"",COUNTBLANK(OFFSET(A$1,,,SUMPRODUCT(MAX(ROW(E$2:E882)*(E882=E$2:E882)))))-COUNTBLANK(OFFSET(A$1,,,SUMPRODUCT(MAX(ROW(E$1:E881)*(E882=E$1:E881))))))</f>
        <v/>
      </c>
      <c r="K882" s="15" t="str">
        <f aca="false">IF(OR(E882="",E882="!!!",F882="NEW"),"",INDEX(J$1:J881,SUMPRODUCT(MAX(ROW(E$1:E881)*(E882=E$1:E881)))))</f>
        <v/>
      </c>
      <c r="L882" s="16"/>
    </row>
    <row r="883" customFormat="false" ht="12.75" hidden="false" customHeight="false" outlineLevel="0" collapsed="false">
      <c r="A883" s="9" t="s">
        <v>409</v>
      </c>
      <c r="B883" s="0" t="s">
        <v>57</v>
      </c>
      <c r="C883" s="0" t="s">
        <v>18</v>
      </c>
      <c r="E883" s="10" t="str">
        <f aca="false">IF(D883="?OLD","!!!","")</f>
        <v/>
      </c>
      <c r="F883" s="11" t="str">
        <f aca="false">IF(OR(E883="",E883="!!!"),"",IF(NOT(ISNA(VLOOKUP(E883,E$1:E882,1,FALSE()))),"OLD",IF(AND(E883&lt;&gt;"",E883&lt;&gt;"!!!"),"NEW","")))</f>
        <v/>
      </c>
      <c r="G883" s="12" t="str">
        <f aca="false">IF(OR(E883="",E883="!!!"),"",IF(OR(J883=0,AND(J883=1,K883=1),AND(J883=1,I883="SBJ"),AND(J883=1,I883=0)),"?IN_FOCUS",IF(J883&lt;=2,"?ACTIVATED",IF(J883&lt;&gt;"","?FAMILIAR",IF(F883="NEW",IF(ISNA(VLOOKUP(E883,#REF!,1,FALSE())),"?TYPE_IDENTIFIABLE","?REFERENTIAL"),"_")))))</f>
        <v/>
      </c>
      <c r="H883" s="13" t="str">
        <f aca="false">IF(J883&lt;&gt;1,"",IF(I883="SBJ","CB","?"))</f>
        <v/>
      </c>
      <c r="I883" s="14" t="str">
        <f aca="false">IF(OR(E883="",E883="!!!",F883="NEW"),"",INDEX(B$2:B882,-1+SUMPRODUCT(MAX(ROW(E$2:E882)*(E883=E$2:E882)))))</f>
        <v/>
      </c>
      <c r="J883" s="15" t="str">
        <f aca="true">IF(OR(E883="",E883="!!!",F883="NEW"),"",COUNTBLANK(OFFSET(A$1,,,SUMPRODUCT(MAX(ROW(E$2:E883)*(E883=E$2:E883)))))-COUNTBLANK(OFFSET(A$1,,,SUMPRODUCT(MAX(ROW(E$1:E882)*(E883=E$1:E882))))))</f>
        <v/>
      </c>
      <c r="K883" s="15" t="str">
        <f aca="false">IF(OR(E883="",E883="!!!",F883="NEW"),"",INDEX(J$1:J882,SUMPRODUCT(MAX(ROW(E$1:E882)*(E883=E$1:E882)))))</f>
        <v/>
      </c>
      <c r="L883" s="16"/>
    </row>
    <row r="884" customFormat="false" ht="12.75" hidden="false" customHeight="false" outlineLevel="0" collapsed="false">
      <c r="A884" s="9" t="s">
        <v>68</v>
      </c>
      <c r="E884" s="10" t="str">
        <f aca="false">IF(D884="?OLD","!!!","")</f>
        <v/>
      </c>
      <c r="F884" s="11" t="str">
        <f aca="false">IF(OR(E884="",E884="!!!"),"",IF(NOT(ISNA(VLOOKUP(E884,E$1:E883,1,FALSE()))),"OLD",IF(AND(E884&lt;&gt;"",E884&lt;&gt;"!!!"),"NEW","")))</f>
        <v/>
      </c>
      <c r="G884" s="12" t="str">
        <f aca="false">IF(OR(E884="",E884="!!!"),"",IF(OR(J884=0,AND(J884=1,K884=1),AND(J884=1,I884="SBJ"),AND(J884=1,I884=0)),"?IN_FOCUS",IF(J884&lt;=2,"?ACTIVATED",IF(J884&lt;&gt;"","?FAMILIAR",IF(F884="NEW",IF(ISNA(VLOOKUP(E884,#REF!,1,FALSE())),"?TYPE_IDENTIFIABLE","?REFERENTIAL"),"_")))))</f>
        <v/>
      </c>
      <c r="H884" s="13" t="str">
        <f aca="false">IF(J884&lt;&gt;1,"",IF(I884="SBJ","CB","?"))</f>
        <v/>
      </c>
      <c r="I884" s="14" t="str">
        <f aca="false">IF(OR(E884="",E884="!!!",F884="NEW"),"",INDEX(B$2:B883,-1+SUMPRODUCT(MAX(ROW(E$2:E883)*(E884=E$2:E883)))))</f>
        <v/>
      </c>
      <c r="J884" s="15" t="str">
        <f aca="true">IF(OR(E884="",E884="!!!",F884="NEW"),"",COUNTBLANK(OFFSET(A$1,,,SUMPRODUCT(MAX(ROW(E$2:E884)*(E884=E$2:E884)))))-COUNTBLANK(OFFSET(A$1,,,SUMPRODUCT(MAX(ROW(E$1:E883)*(E884=E$1:E883))))))</f>
        <v/>
      </c>
      <c r="K884" s="15" t="str">
        <f aca="false">IF(OR(E884="",E884="!!!",F884="NEW"),"",INDEX(J$1:J883,SUMPRODUCT(MAX(ROW(E$1:E883)*(E884=E$1:E883)))))</f>
        <v/>
      </c>
      <c r="L884" s="16"/>
    </row>
    <row r="885" customFormat="false" ht="12.75" hidden="false" customHeight="false" outlineLevel="0" collapsed="false">
      <c r="E885" s="10" t="str">
        <f aca="false">IF(D885="?OLD","!!!","")</f>
        <v/>
      </c>
      <c r="F885" s="11" t="str">
        <f aca="false">IF(OR(E885="",E885="!!!"),"",IF(NOT(ISNA(VLOOKUP(E885,E$1:E884,1,FALSE()))),"OLD",IF(AND(E885&lt;&gt;"",E885&lt;&gt;"!!!"),"NEW","")))</f>
        <v/>
      </c>
      <c r="G885" s="12" t="str">
        <f aca="false">IF(OR(E885="",E885="!!!"),"",IF(OR(J885=0,AND(J885=1,K885=1),AND(J885=1,I885="SBJ"),AND(J885=1,I885=0)),"?IN_FOCUS",IF(J885&lt;=2,"?ACTIVATED",IF(J885&lt;&gt;"","?FAMILIAR",IF(F885="NEW",IF(ISNA(VLOOKUP(E885,#REF!,1,FALSE())),"?TYPE_IDENTIFIABLE","?REFERENTIAL"),"_")))))</f>
        <v/>
      </c>
      <c r="H885" s="13" t="str">
        <f aca="false">IF(J885&lt;&gt;1,"",IF(I885="SBJ","CB","?"))</f>
        <v/>
      </c>
      <c r="I885" s="14" t="str">
        <f aca="false">IF(OR(E885="",E885="!!!",F885="NEW"),"",INDEX(B$2:B884,-1+SUMPRODUCT(MAX(ROW(E$2:E884)*(E885=E$2:E884)))))</f>
        <v/>
      </c>
      <c r="J885" s="15" t="str">
        <f aca="true">IF(OR(E885="",E885="!!!",F885="NEW"),"",COUNTBLANK(OFFSET(A$1,,,SUMPRODUCT(MAX(ROW(E$2:E885)*(E885=E$2:E885)))))-COUNTBLANK(OFFSET(A$1,,,SUMPRODUCT(MAX(ROW(E$1:E884)*(E885=E$1:E884))))))</f>
        <v/>
      </c>
      <c r="K885" s="15" t="str">
        <f aca="false">IF(OR(E885="",E885="!!!",F885="NEW"),"",INDEX(J$1:J884,SUMPRODUCT(MAX(ROW(E$1:E884)*(E885=E$1:E884)))))</f>
        <v/>
      </c>
      <c r="L885" s="16"/>
    </row>
    <row r="886" customFormat="false" ht="12.75" hidden="false" customHeight="false" outlineLevel="0" collapsed="false">
      <c r="A886" s="9" t="s">
        <v>410</v>
      </c>
      <c r="E886" s="10" t="str">
        <f aca="false">IF(D886="?OLD","!!!","")</f>
        <v/>
      </c>
      <c r="F886" s="11" t="str">
        <f aca="false">IF(OR(E886="",E886="!!!"),"",IF(NOT(ISNA(VLOOKUP(E886,E$1:E885,1,FALSE()))),"OLD",IF(AND(E886&lt;&gt;"",E886&lt;&gt;"!!!"),"NEW","")))</f>
        <v/>
      </c>
      <c r="G886" s="12" t="str">
        <f aca="false">IF(OR(E886="",E886="!!!"),"",IF(OR(J886=0,AND(J886=1,K886=1),AND(J886=1,I886="SBJ"),AND(J886=1,I886=0)),"?IN_FOCUS",IF(J886&lt;=2,"?ACTIVATED",IF(J886&lt;&gt;"","?FAMILIAR",IF(F886="NEW",IF(ISNA(VLOOKUP(E886,#REF!,1,FALSE())),"?TYPE_IDENTIFIABLE","?REFERENTIAL"),"_")))))</f>
        <v/>
      </c>
      <c r="H886" s="13" t="str">
        <f aca="false">IF(J886&lt;&gt;1,"",IF(I886="SBJ","CB","?"))</f>
        <v/>
      </c>
      <c r="I886" s="14" t="str">
        <f aca="false">IF(OR(E886="",E886="!!!",F886="NEW"),"",INDEX(B$2:B885,-1+SUMPRODUCT(MAX(ROW(E$2:E885)*(E886=E$2:E885)))))</f>
        <v/>
      </c>
      <c r="J886" s="15" t="str">
        <f aca="true">IF(OR(E886="",E886="!!!",F886="NEW"),"",COUNTBLANK(OFFSET(A$1,,,SUMPRODUCT(MAX(ROW(E$2:E886)*(E886=E$2:E886)))))-COUNTBLANK(OFFSET(A$1,,,SUMPRODUCT(MAX(ROW(E$1:E885)*(E886=E$1:E885))))))</f>
        <v/>
      </c>
      <c r="K886" s="15" t="str">
        <f aca="false">IF(OR(E886="",E886="!!!",F886="NEW"),"",INDEX(J$1:J885,SUMPRODUCT(MAX(ROW(E$1:E885)*(E886=E$1:E885)))))</f>
        <v/>
      </c>
      <c r="L886" s="16"/>
    </row>
    <row r="887" customFormat="false" ht="12.75" hidden="false" customHeight="false" outlineLevel="0" collapsed="false">
      <c r="A887" s="9" t="s">
        <v>126</v>
      </c>
      <c r="B887" s="0" t="s">
        <v>17</v>
      </c>
      <c r="C887" s="0" t="s">
        <v>26</v>
      </c>
      <c r="D887" s="0" t="s">
        <v>27</v>
      </c>
      <c r="E887" s="10" t="s">
        <v>126</v>
      </c>
      <c r="F887" s="11" t="str">
        <f aca="false">IF(OR(E887="",E887="!!!"),"",IF(NOT(ISNA(VLOOKUP(E887,E$1:E886,1,FALSE()))),"OLD",IF(AND(E887&lt;&gt;"",E887&lt;&gt;"!!!"),"NEW","")))</f>
        <v>OLD</v>
      </c>
      <c r="G887" s="12" t="s">
        <v>51</v>
      </c>
      <c r="H887" s="13" t="str">
        <f aca="false">IF(J887&lt;&gt;1,"",IF(I887="SBJ","CB","?"))</f>
        <v>CB</v>
      </c>
      <c r="I887" s="14" t="str">
        <f aca="false">IF(OR(E887="",E887="!!!",F887="NEW"),"",INDEX(B$2:B886,-1+SUMPRODUCT(MAX(ROW(E$2:E886)*(E887=E$2:E886)))))</f>
        <v>SBJ</v>
      </c>
      <c r="J887" s="15" t="n">
        <f aca="true">IF(OR(E887="",E887="!!!",F887="NEW"),"",COUNTBLANK(OFFSET(A$1,,,SUMPRODUCT(MAX(ROW(E$2:E887)*(E887=E$2:E887)))))-COUNTBLANK(OFFSET(A$1,,,SUMPRODUCT(MAX(ROW(E$1:E886)*(E887=E$1:E886))))))</f>
        <v>1</v>
      </c>
      <c r="K887" s="15" t="n">
        <f aca="false">IF(OR(E887="",E887="!!!",F887="NEW"),"",INDEX(J$1:J886,SUMPRODUCT(MAX(ROW(E$1:E886)*(E887=E$1:E886)))))</f>
        <v>1</v>
      </c>
      <c r="L887" s="16"/>
    </row>
    <row r="888" customFormat="false" ht="12.75" hidden="false" customHeight="false" outlineLevel="0" collapsed="false">
      <c r="A888" s="9" t="s">
        <v>411</v>
      </c>
      <c r="E888" s="10" t="str">
        <f aca="false">IF(D888="?OLD","!!!","")</f>
        <v/>
      </c>
      <c r="F888" s="11" t="str">
        <f aca="false">IF(OR(E888="",E888="!!!"),"",IF(NOT(ISNA(VLOOKUP(E888,E$1:E887,1,FALSE()))),"OLD",IF(AND(E888&lt;&gt;"",E888&lt;&gt;"!!!"),"NEW","")))</f>
        <v/>
      </c>
      <c r="G888" s="12" t="str">
        <f aca="false">IF(OR(E888="",E888="!!!"),"",IF(OR(J888=0,AND(J888=1,K888=1),AND(J888=1,I888="SBJ"),AND(J888=1,I888=0)),"?IN_FOCUS",IF(J888&lt;=2,"?ACTIVATED",IF(J888&lt;&gt;"","?FAMILIAR",IF(F888="NEW",IF(ISNA(VLOOKUP(E888,#REF!,1,FALSE())),"?TYPE_IDENTIFIABLE","?REFERENTIAL"),"_")))))</f>
        <v/>
      </c>
      <c r="H888" s="13" t="str">
        <f aca="false">IF(J888&lt;&gt;1,"",IF(I888="SBJ","CB","?"))</f>
        <v/>
      </c>
      <c r="I888" s="14" t="str">
        <f aca="false">IF(OR(E888="",E888="!!!",F888="NEW"),"",INDEX(B$2:B887,-1+SUMPRODUCT(MAX(ROW(E$2:E887)*(E888=E$2:E887)))))</f>
        <v/>
      </c>
      <c r="J888" s="15" t="str">
        <f aca="true">IF(OR(E888="",E888="!!!",F888="NEW"),"",COUNTBLANK(OFFSET(A$1,,,SUMPRODUCT(MAX(ROW(E$2:E888)*(E888=E$2:E888)))))-COUNTBLANK(OFFSET(A$1,,,SUMPRODUCT(MAX(ROW(E$1:E887)*(E888=E$1:E887))))))</f>
        <v/>
      </c>
      <c r="K888" s="15" t="str">
        <f aca="false">IF(OR(E888="",E888="!!!",F888="NEW"),"",INDEX(J$1:J887,SUMPRODUCT(MAX(ROW(E$1:E887)*(E888=E$1:E887)))))</f>
        <v/>
      </c>
      <c r="L888" s="16"/>
    </row>
    <row r="889" customFormat="false" ht="12.75" hidden="false" customHeight="false" outlineLevel="0" collapsed="false">
      <c r="A889" s="9" t="s">
        <v>150</v>
      </c>
      <c r="B889" s="0" t="s">
        <v>38</v>
      </c>
      <c r="C889" s="0" t="s">
        <v>58</v>
      </c>
      <c r="D889" s="0" t="s">
        <v>27</v>
      </c>
      <c r="E889" s="10" t="s">
        <v>386</v>
      </c>
      <c r="F889" s="11" t="str">
        <f aca="false">IF(OR(E889="",E889="!!!"),"",IF(NOT(ISNA(VLOOKUP(E889,E$1:E888,1,FALSE()))),"OLD",IF(AND(E889&lt;&gt;"",E889&lt;&gt;"!!!"),"NEW","")))</f>
        <v>OLD</v>
      </c>
      <c r="G889" s="12" t="s">
        <v>49</v>
      </c>
      <c r="H889" s="13"/>
      <c r="I889" s="14" t="str">
        <f aca="false">IF(OR(E889="",E889="!!!",F889="NEW"),"",INDEX(B$2:B888,-1+SUMPRODUCT(MAX(ROW(E$2:E888)*(E889=E$2:E888)))))</f>
        <v>OBJ_5</v>
      </c>
      <c r="J889" s="15" t="n">
        <f aca="true">IF(OR(E889="",E889="!!!",F889="NEW"),"",COUNTBLANK(OFFSET(A$1,,,SUMPRODUCT(MAX(ROW(E$2:E889)*(E889=E$2:E889)))))-COUNTBLANK(OFFSET(A$1,,,SUMPRODUCT(MAX(ROW(E$1:E888)*(E889=E$1:E888))))))</f>
        <v>1</v>
      </c>
      <c r="K889" s="15" t="n">
        <f aca="false">IF(OR(E889="",E889="!!!",F889="NEW"),"",INDEX(J$1:J888,SUMPRODUCT(MAX(ROW(E$1:E888)*(E889=E$1:E888)))))</f>
        <v>0</v>
      </c>
      <c r="L889" s="16"/>
    </row>
    <row r="890" customFormat="false" ht="12.75" hidden="false" customHeight="false" outlineLevel="0" collapsed="false">
      <c r="A890" s="9" t="s">
        <v>23</v>
      </c>
      <c r="E890" s="10" t="str">
        <f aca="false">IF(D890="?OLD","!!!","")</f>
        <v/>
      </c>
      <c r="F890" s="11" t="str">
        <f aca="false">IF(OR(E890="",E890="!!!"),"",IF(NOT(ISNA(VLOOKUP(E890,E$1:E889,1,FALSE()))),"OLD",IF(AND(E890&lt;&gt;"",E890&lt;&gt;"!!!"),"NEW","")))</f>
        <v/>
      </c>
      <c r="G890" s="12" t="str">
        <f aca="false">IF(OR(E890="",E890="!!!"),"",IF(OR(J890=0,AND(J890=1,K890=1),AND(J890=1,I890="SBJ"),AND(J890=1,I890=0)),"?IN_FOCUS",IF(J890&lt;=2,"?ACTIVATED",IF(J890&lt;&gt;"","?FAMILIAR",IF(F890="NEW",IF(ISNA(VLOOKUP(E890,#REF!,1,FALSE())),"?TYPE_IDENTIFIABLE","?REFERENTIAL"),"_")))))</f>
        <v/>
      </c>
      <c r="H890" s="13" t="str">
        <f aca="false">IF(J890&lt;&gt;1,"",IF(I890="SBJ","CB","?"))</f>
        <v/>
      </c>
      <c r="I890" s="14" t="str">
        <f aca="false">IF(OR(E890="",E890="!!!",F890="NEW"),"",INDEX(B$2:B889,-1+SUMPRODUCT(MAX(ROW(E$2:E889)*(E890=E$2:E889)))))</f>
        <v/>
      </c>
      <c r="J890" s="15" t="str">
        <f aca="true">IF(OR(E890="",E890="!!!",F890="NEW"),"",COUNTBLANK(OFFSET(A$1,,,SUMPRODUCT(MAX(ROW(E$2:E890)*(E890=E$2:E890)))))-COUNTBLANK(OFFSET(A$1,,,SUMPRODUCT(MAX(ROW(E$1:E889)*(E890=E$1:E889))))))</f>
        <v/>
      </c>
      <c r="K890" s="15" t="str">
        <f aca="false">IF(OR(E890="",E890="!!!",F890="NEW"),"",INDEX(J$1:J889,SUMPRODUCT(MAX(ROW(E$1:E889)*(E890=E$1:E889)))))</f>
        <v/>
      </c>
      <c r="L890" s="16"/>
    </row>
    <row r="891" customFormat="false" ht="12.75" hidden="false" customHeight="false" outlineLevel="0" collapsed="false">
      <c r="A891" s="9" t="s">
        <v>29</v>
      </c>
      <c r="B891" s="0" t="s">
        <v>25</v>
      </c>
      <c r="C891" s="0" t="s">
        <v>31</v>
      </c>
      <c r="D891" s="0" t="s">
        <v>27</v>
      </c>
      <c r="E891" s="10" t="s">
        <v>126</v>
      </c>
      <c r="F891" s="11" t="str">
        <f aca="false">IF(OR(E891="",E891="!!!"),"",IF(NOT(ISNA(VLOOKUP(E891,E$1:E890,1,FALSE()))),"OLD",IF(AND(E891&lt;&gt;"",E891&lt;&gt;"!!!"),"NEW","")))</f>
        <v>OLD</v>
      </c>
      <c r="G891" s="12" t="s">
        <v>51</v>
      </c>
      <c r="H891" s="13" t="str">
        <f aca="false">IF(J891&lt;&gt;1,"",IF(I891="SBJ","CB","?"))</f>
        <v/>
      </c>
      <c r="I891" s="14" t="str">
        <f aca="false">IF(OR(E891="",E891="!!!",F891="NEW"),"",INDEX(B$2:B890,-1+SUMPRODUCT(MAX(ROW(E$2:E890)*(E891=E$2:E890)))))</f>
        <v>SBJ</v>
      </c>
      <c r="J891" s="15" t="n">
        <f aca="true">IF(OR(E891="",E891="!!!",F891="NEW"),"",COUNTBLANK(OFFSET(A$1,,,SUMPRODUCT(MAX(ROW(E$2:E891)*(E891=E$2:E891)))))-COUNTBLANK(OFFSET(A$1,,,SUMPRODUCT(MAX(ROW(E$1:E890)*(E891=E$1:E890))))))</f>
        <v>0</v>
      </c>
      <c r="K891" s="15" t="n">
        <f aca="false">IF(OR(E891="",E891="!!!",F891="NEW"),"",INDEX(J$1:J890,SUMPRODUCT(MAX(ROW(E$1:E890)*(E891=E$1:E890)))))</f>
        <v>1</v>
      </c>
      <c r="L891" s="16"/>
    </row>
    <row r="892" customFormat="false" ht="12.75" hidden="false" customHeight="false" outlineLevel="0" collapsed="false">
      <c r="A892" s="9" t="s">
        <v>412</v>
      </c>
      <c r="E892" s="10" t="str">
        <f aca="false">IF(D892="?OLD","!!!","")</f>
        <v/>
      </c>
      <c r="F892" s="11" t="str">
        <f aca="false">IF(OR(E892="",E892="!!!"),"",IF(NOT(ISNA(VLOOKUP(E892,E$1:E891,1,FALSE()))),"OLD",IF(AND(E892&lt;&gt;"",E892&lt;&gt;"!!!"),"NEW","")))</f>
        <v/>
      </c>
      <c r="G892" s="12" t="str">
        <f aca="false">IF(OR(E892="",E892="!!!"),"",IF(OR(J892=0,AND(J892=1,K892=1),AND(J892=1,I892="SBJ"),AND(J892=1,I892=0)),"?IN_FOCUS",IF(J892&lt;=2,"?ACTIVATED",IF(J892&lt;&gt;"","?FAMILIAR",IF(F892="NEW",IF(ISNA(VLOOKUP(E892,#REF!,1,FALSE())),"?TYPE_IDENTIFIABLE","?REFERENTIAL"),"_")))))</f>
        <v/>
      </c>
      <c r="H892" s="13" t="str">
        <f aca="false">IF(J892&lt;&gt;1,"",IF(I892="SBJ","CB","?"))</f>
        <v/>
      </c>
      <c r="I892" s="14" t="str">
        <f aca="false">IF(OR(E892="",E892="!!!",F892="NEW"),"",INDEX(B$2:B891,-1+SUMPRODUCT(MAX(ROW(E$2:E891)*(E892=E$2:E891)))))</f>
        <v/>
      </c>
      <c r="J892" s="15" t="str">
        <f aca="true">IF(OR(E892="",E892="!!!",F892="NEW"),"",COUNTBLANK(OFFSET(A$1,,,SUMPRODUCT(MAX(ROW(E$2:E892)*(E892=E$2:E892)))))-COUNTBLANK(OFFSET(A$1,,,SUMPRODUCT(MAX(ROW(E$1:E891)*(E892=E$1:E891))))))</f>
        <v/>
      </c>
      <c r="K892" s="15" t="str">
        <f aca="false">IF(OR(E892="",E892="!!!",F892="NEW"),"",INDEX(J$1:J891,SUMPRODUCT(MAX(ROW(E$1:E891)*(E892=E$1:E891)))))</f>
        <v/>
      </c>
      <c r="L892" s="16"/>
    </row>
    <row r="893" customFormat="false" ht="12.75" hidden="false" customHeight="false" outlineLevel="0" collapsed="false">
      <c r="A893" s="9" t="s">
        <v>413</v>
      </c>
      <c r="B893" s="0" t="s">
        <v>75</v>
      </c>
      <c r="C893" s="0" t="s">
        <v>34</v>
      </c>
      <c r="D893" s="0" t="s">
        <v>27</v>
      </c>
      <c r="E893" s="10" t="s">
        <v>414</v>
      </c>
      <c r="F893" s="11" t="str">
        <f aca="false">IF(OR(E893="",E893="!!!"),"",IF(NOT(ISNA(VLOOKUP(E893,E$1:E892,1,FALSE()))),"OLD",IF(AND(E893&lt;&gt;"",E893&lt;&gt;"!!!"),"NEW","")))</f>
        <v>NEW</v>
      </c>
      <c r="G893" s="12" t="s">
        <v>28</v>
      </c>
      <c r="H893" s="13" t="str">
        <f aca="false">IF(J893&lt;&gt;1,"",IF(I893="SBJ","CB","?"))</f>
        <v/>
      </c>
      <c r="I893" s="14" t="str">
        <f aca="false">IF(OR(E893="",E893="!!!",F893="NEW"),"",INDEX(B$2:B892,-1+SUMPRODUCT(MAX(ROW(E$2:E892)*(E893=E$2:E892)))))</f>
        <v/>
      </c>
      <c r="J893" s="15" t="str">
        <f aca="true">IF(OR(E893="",E893="!!!",F893="NEW"),"",COUNTBLANK(OFFSET(A$1,,,SUMPRODUCT(MAX(ROW(E$2:E893)*(E893=E$2:E893)))))-COUNTBLANK(OFFSET(A$1,,,SUMPRODUCT(MAX(ROW(E$1:E892)*(E893=E$1:E892))))))</f>
        <v/>
      </c>
      <c r="K893" s="15" t="str">
        <f aca="false">IF(OR(E893="",E893="!!!",F893="NEW"),"",INDEX(J$1:J892,SUMPRODUCT(MAX(ROW(E$1:E892)*(E893=E$1:E892)))))</f>
        <v/>
      </c>
      <c r="L893" s="16"/>
    </row>
    <row r="894" customFormat="false" ht="12.75" hidden="false" customHeight="false" outlineLevel="0" collapsed="false">
      <c r="A894" s="9" t="s">
        <v>84</v>
      </c>
      <c r="E894" s="10" t="str">
        <f aca="false">IF(D894="?OLD","!!!","")</f>
        <v/>
      </c>
      <c r="F894" s="11" t="str">
        <f aca="false">IF(OR(E894="",E894="!!!"),"",IF(NOT(ISNA(VLOOKUP(E894,E$1:E893,1,FALSE()))),"OLD",IF(AND(E894&lt;&gt;"",E894&lt;&gt;"!!!"),"NEW","")))</f>
        <v/>
      </c>
      <c r="G894" s="12" t="str">
        <f aca="false">IF(OR(E894="",E894="!!!"),"",IF(OR(J894=0,AND(J894=1,K894=1),AND(J894=1,I894="SBJ"),AND(J894=1,I894=0)),"?IN_FOCUS",IF(J894&lt;=2,"?ACTIVATED",IF(J894&lt;&gt;"","?FAMILIAR",IF(F894="NEW",IF(ISNA(VLOOKUP(E894,#REF!,1,FALSE())),"?TYPE_IDENTIFIABLE","?REFERENTIAL"),"_")))))</f>
        <v/>
      </c>
      <c r="H894" s="13" t="str">
        <f aca="false">IF(J894&lt;&gt;1,"",IF(I894="SBJ","CB","?"))</f>
        <v/>
      </c>
      <c r="I894" s="14" t="str">
        <f aca="false">IF(OR(E894="",E894="!!!",F894="NEW"),"",INDEX(B$2:B893,-1+SUMPRODUCT(MAX(ROW(E$2:E893)*(E894=E$2:E893)))))</f>
        <v/>
      </c>
      <c r="J894" s="15" t="str">
        <f aca="true">IF(OR(E894="",E894="!!!",F894="NEW"),"",COUNTBLANK(OFFSET(A$1,,,SUMPRODUCT(MAX(ROW(E$2:E894)*(E894=E$2:E894)))))-COUNTBLANK(OFFSET(A$1,,,SUMPRODUCT(MAX(ROW(E$1:E893)*(E894=E$1:E893))))))</f>
        <v/>
      </c>
      <c r="K894" s="15" t="str">
        <f aca="false">IF(OR(E894="",E894="!!!",F894="NEW"),"",INDEX(J$1:J893,SUMPRODUCT(MAX(ROW(E$1:E893)*(E894=E$1:E893)))))</f>
        <v/>
      </c>
      <c r="L894" s="16"/>
    </row>
    <row r="895" customFormat="false" ht="12.75" hidden="false" customHeight="false" outlineLevel="0" collapsed="false">
      <c r="A895" s="9" t="s">
        <v>415</v>
      </c>
      <c r="E895" s="10" t="str">
        <f aca="false">IF(D895="?OLD","!!!","")</f>
        <v/>
      </c>
      <c r="F895" s="11" t="str">
        <f aca="false">IF(OR(E895="",E895="!!!"),"",IF(NOT(ISNA(VLOOKUP(E895,E$1:E894,1,FALSE()))),"OLD",IF(AND(E895&lt;&gt;"",E895&lt;&gt;"!!!"),"NEW","")))</f>
        <v/>
      </c>
      <c r="G895" s="12" t="str">
        <f aca="false">IF(OR(E895="",E895="!!!"),"",IF(OR(J895=0,AND(J895=1,K895=1),AND(J895=1,I895="SBJ"),AND(J895=1,I895=0)),"?IN_FOCUS",IF(J895&lt;=2,"?ACTIVATED",IF(J895&lt;&gt;"","?FAMILIAR",IF(F895="NEW",IF(ISNA(VLOOKUP(E895,#REF!,1,FALSE())),"?TYPE_IDENTIFIABLE","?REFERENTIAL"),"_")))))</f>
        <v/>
      </c>
      <c r="H895" s="13" t="str">
        <f aca="false">IF(J895&lt;&gt;1,"",IF(I895="SBJ","CB","?"))</f>
        <v/>
      </c>
      <c r="I895" s="14" t="str">
        <f aca="false">IF(OR(E895="",E895="!!!",F895="NEW"),"",INDEX(B$2:B894,-1+SUMPRODUCT(MAX(ROW(E$2:E894)*(E895=E$2:E894)))))</f>
        <v/>
      </c>
      <c r="J895" s="15" t="str">
        <f aca="true">IF(OR(E895="",E895="!!!",F895="NEW"),"",COUNTBLANK(OFFSET(A$1,,,SUMPRODUCT(MAX(ROW(E$2:E895)*(E895=E$2:E895)))))-COUNTBLANK(OFFSET(A$1,,,SUMPRODUCT(MAX(ROW(E$1:E894)*(E895=E$1:E894))))))</f>
        <v/>
      </c>
      <c r="K895" s="15" t="str">
        <f aca="false">IF(OR(E895="",E895="!!!",F895="NEW"),"",INDEX(J$1:J894,SUMPRODUCT(MAX(ROW(E$1:E894)*(E895=E$1:E894)))))</f>
        <v/>
      </c>
      <c r="L895" s="16"/>
    </row>
    <row r="896" customFormat="false" ht="12.75" hidden="false" customHeight="false" outlineLevel="0" collapsed="false">
      <c r="A896" s="9" t="s">
        <v>14</v>
      </c>
      <c r="E896" s="10" t="str">
        <f aca="false">IF(D896="?OLD","!!!","")</f>
        <v/>
      </c>
      <c r="F896" s="11" t="str">
        <f aca="false">IF(OR(E896="",E896="!!!"),"",IF(NOT(ISNA(VLOOKUP(E896,E$1:E895,1,FALSE()))),"OLD",IF(AND(E896&lt;&gt;"",E896&lt;&gt;"!!!"),"NEW","")))</f>
        <v/>
      </c>
      <c r="G896" s="12" t="str">
        <f aca="false">IF(OR(E896="",E896="!!!"),"",IF(OR(J896=0,AND(J896=1,K896=1),AND(J896=1,I896="SBJ"),AND(J896=1,I896=0)),"?IN_FOCUS",IF(J896&lt;=2,"?ACTIVATED",IF(J896&lt;&gt;"","?FAMILIAR",IF(F896="NEW",IF(ISNA(VLOOKUP(E896,#REF!,1,FALSE())),"?TYPE_IDENTIFIABLE","?REFERENTIAL"),"_")))))</f>
        <v/>
      </c>
      <c r="H896" s="13" t="str">
        <f aca="false">IF(J896&lt;&gt;1,"",IF(I896="SBJ","CB","?"))</f>
        <v/>
      </c>
      <c r="I896" s="14" t="str">
        <f aca="false">IF(OR(E896="",E896="!!!",F896="NEW"),"",INDEX(B$2:B895,-1+SUMPRODUCT(MAX(ROW(E$2:E895)*(E896=E$2:E895)))))</f>
        <v/>
      </c>
      <c r="J896" s="15" t="str">
        <f aca="true">IF(OR(E896="",E896="!!!",F896="NEW"),"",COUNTBLANK(OFFSET(A$1,,,SUMPRODUCT(MAX(ROW(E$2:E896)*(E896=E$2:E896)))))-COUNTBLANK(OFFSET(A$1,,,SUMPRODUCT(MAX(ROW(E$1:E895)*(E896=E$1:E895))))))</f>
        <v/>
      </c>
      <c r="K896" s="15" t="str">
        <f aca="false">IF(OR(E896="",E896="!!!",F896="NEW"),"",INDEX(J$1:J895,SUMPRODUCT(MAX(ROW(E$1:E895)*(E896=E$1:E895)))))</f>
        <v/>
      </c>
      <c r="L896" s="16"/>
    </row>
    <row r="897" customFormat="false" ht="12.75" hidden="false" customHeight="false" outlineLevel="0" collapsed="false">
      <c r="A897" s="9" t="s">
        <v>416</v>
      </c>
      <c r="B897" s="0" t="s">
        <v>75</v>
      </c>
      <c r="C897" s="0" t="s">
        <v>26</v>
      </c>
      <c r="D897" s="0" t="s">
        <v>27</v>
      </c>
      <c r="E897" s="10" t="s">
        <v>416</v>
      </c>
      <c r="F897" s="11" t="str">
        <f aca="false">IF(OR(E897="",E897="!!!"),"",IF(NOT(ISNA(VLOOKUP(E897,E$1:E896,1,FALSE()))),"OLD",IF(AND(E897&lt;&gt;"",E897&lt;&gt;"!!!"),"NEW","")))</f>
        <v>NEW</v>
      </c>
      <c r="G897" s="12" t="s">
        <v>28</v>
      </c>
      <c r="H897" s="13" t="str">
        <f aca="false">IF(J897&lt;&gt;1,"",IF(I897="SBJ","CB","?"))</f>
        <v/>
      </c>
      <c r="I897" s="14" t="str">
        <f aca="false">IF(OR(E897="",E897="!!!",F897="NEW"),"",INDEX(B$2:B896,-1+SUMPRODUCT(MAX(ROW(E$2:E896)*(E897=E$2:E896)))))</f>
        <v/>
      </c>
      <c r="J897" s="15" t="str">
        <f aca="true">IF(OR(E897="",E897="!!!",F897="NEW"),"",COUNTBLANK(OFFSET(A$1,,,SUMPRODUCT(MAX(ROW(E$2:E897)*(E897=E$2:E897)))))-COUNTBLANK(OFFSET(A$1,,,SUMPRODUCT(MAX(ROW(E$1:E896)*(E897=E$1:E896))))))</f>
        <v/>
      </c>
      <c r="K897" s="15" t="str">
        <f aca="false">IF(OR(E897="",E897="!!!",F897="NEW"),"",INDEX(J$1:J896,SUMPRODUCT(MAX(ROW(E$1:E896)*(E897=E$1:E896)))))</f>
        <v/>
      </c>
      <c r="L897" s="16"/>
    </row>
    <row r="898" customFormat="false" ht="12.75" hidden="false" customHeight="false" outlineLevel="0" collapsed="false">
      <c r="A898" s="9" t="s">
        <v>39</v>
      </c>
      <c r="E898" s="10" t="str">
        <f aca="false">IF(D898="?OLD","!!!","")</f>
        <v/>
      </c>
      <c r="F898" s="11" t="str">
        <f aca="false">IF(OR(E898="",E898="!!!"),"",IF(NOT(ISNA(VLOOKUP(E898,E$1:E897,1,FALSE()))),"OLD",IF(AND(E898&lt;&gt;"",E898&lt;&gt;"!!!"),"NEW","")))</f>
        <v/>
      </c>
      <c r="G898" s="12" t="str">
        <f aca="false">IF(OR(E898="",E898="!!!"),"",IF(OR(J898=0,AND(J898=1,K898=1),AND(J898=1,I898="SBJ"),AND(J898=1,I898=0)),"?IN_FOCUS",IF(J898&lt;=2,"?ACTIVATED",IF(J898&lt;&gt;"","?FAMILIAR",IF(F898="NEW",IF(ISNA(VLOOKUP(E898,#REF!,1,FALSE())),"?TYPE_IDENTIFIABLE","?REFERENTIAL"),"_")))))</f>
        <v/>
      </c>
      <c r="H898" s="13" t="str">
        <f aca="false">IF(J898&lt;&gt;1,"",IF(I898="SBJ","CB","?"))</f>
        <v/>
      </c>
      <c r="I898" s="14" t="str">
        <f aca="false">IF(OR(E898="",E898="!!!",F898="NEW"),"",INDEX(B$2:B897,-1+SUMPRODUCT(MAX(ROW(E$2:E897)*(E898=E$2:E897)))))</f>
        <v/>
      </c>
      <c r="J898" s="15" t="str">
        <f aca="true">IF(OR(E898="",E898="!!!",F898="NEW"),"",COUNTBLANK(OFFSET(A$1,,,SUMPRODUCT(MAX(ROW(E$2:E898)*(E898=E$2:E898)))))-COUNTBLANK(OFFSET(A$1,,,SUMPRODUCT(MAX(ROW(E$1:E897)*(E898=E$1:E897))))))</f>
        <v/>
      </c>
      <c r="K898" s="15" t="str">
        <f aca="false">IF(OR(E898="",E898="!!!",F898="NEW"),"",INDEX(J$1:J897,SUMPRODUCT(MAX(ROW(E$1:E897)*(E898=E$1:E897)))))</f>
        <v/>
      </c>
      <c r="L898" s="16"/>
    </row>
    <row r="899" customFormat="false" ht="12.75" hidden="false" customHeight="false" outlineLevel="0" collapsed="false">
      <c r="A899" s="9" t="s">
        <v>14</v>
      </c>
      <c r="E899" s="10" t="str">
        <f aca="false">IF(D899="?OLD","!!!","")</f>
        <v/>
      </c>
      <c r="F899" s="11" t="str">
        <f aca="false">IF(OR(E899="",E899="!!!"),"",IF(NOT(ISNA(VLOOKUP(E899,E$1:E898,1,FALSE()))),"OLD",IF(AND(E899&lt;&gt;"",E899&lt;&gt;"!!!"),"NEW","")))</f>
        <v/>
      </c>
      <c r="G899" s="12" t="str">
        <f aca="false">IF(OR(E899="",E899="!!!"),"",IF(OR(J899=0,AND(J899=1,K899=1),AND(J899=1,I899="SBJ"),AND(J899=1,I899=0)),"?IN_FOCUS",IF(J899&lt;=2,"?ACTIVATED",IF(J899&lt;&gt;"","?FAMILIAR",IF(F899="NEW",IF(ISNA(VLOOKUP(E899,#REF!,1,FALSE())),"?TYPE_IDENTIFIABLE","?REFERENTIAL"),"_")))))</f>
        <v/>
      </c>
      <c r="H899" s="13" t="str">
        <f aca="false">IF(J899&lt;&gt;1,"",IF(I899="SBJ","CB","?"))</f>
        <v/>
      </c>
      <c r="I899" s="14" t="str">
        <f aca="false">IF(OR(E899="",E899="!!!",F899="NEW"),"",INDEX(B$2:B898,-1+SUMPRODUCT(MAX(ROW(E$2:E898)*(E899=E$2:E898)))))</f>
        <v/>
      </c>
      <c r="J899" s="15" t="str">
        <f aca="true">IF(OR(E899="",E899="!!!",F899="NEW"),"",COUNTBLANK(OFFSET(A$1,,,SUMPRODUCT(MAX(ROW(E$2:E899)*(E899=E$2:E899)))))-COUNTBLANK(OFFSET(A$1,,,SUMPRODUCT(MAX(ROW(E$1:E898)*(E899=E$1:E898))))))</f>
        <v/>
      </c>
      <c r="K899" s="15" t="str">
        <f aca="false">IF(OR(E899="",E899="!!!",F899="NEW"),"",INDEX(J$1:J898,SUMPRODUCT(MAX(ROW(E$1:E898)*(E899=E$1:E898)))))</f>
        <v/>
      </c>
      <c r="L899" s="16"/>
    </row>
    <row r="900" customFormat="false" ht="12.75" hidden="false" customHeight="false" outlineLevel="0" collapsed="false">
      <c r="A900" s="9" t="s">
        <v>417</v>
      </c>
      <c r="B900" s="0" t="s">
        <v>25</v>
      </c>
      <c r="C900" s="0" t="s">
        <v>18</v>
      </c>
      <c r="E900" s="10" t="str">
        <f aca="false">IF(D900="?OLD","!!!","")</f>
        <v/>
      </c>
      <c r="F900" s="11" t="str">
        <f aca="false">IF(OR(E900="",E900="!!!"),"",IF(NOT(ISNA(VLOOKUP(E900,E$1:E899,1,FALSE()))),"OLD",IF(AND(E900&lt;&gt;"",E900&lt;&gt;"!!!"),"NEW","")))</f>
        <v/>
      </c>
      <c r="G900" s="12" t="str">
        <f aca="false">IF(OR(E900="",E900="!!!"),"",IF(OR(J900=0,AND(J900=1,K900=1),AND(J900=1,I900="SBJ"),AND(J900=1,I900=0)),"?IN_FOCUS",IF(J900&lt;=2,"?ACTIVATED",IF(J900&lt;&gt;"","?FAMILIAR",IF(F900="NEW",IF(ISNA(VLOOKUP(E900,#REF!,1,FALSE())),"?TYPE_IDENTIFIABLE","?REFERENTIAL"),"_")))))</f>
        <v/>
      </c>
      <c r="H900" s="13" t="str">
        <f aca="false">IF(J900&lt;&gt;1,"",IF(I900="SBJ","CB","?"))</f>
        <v/>
      </c>
      <c r="I900" s="14" t="str">
        <f aca="false">IF(OR(E900="",E900="!!!",F900="NEW"),"",INDEX(B$2:B899,-1+SUMPRODUCT(MAX(ROW(E$2:E899)*(E900=E$2:E899)))))</f>
        <v/>
      </c>
      <c r="J900" s="15" t="str">
        <f aca="true">IF(OR(E900="",E900="!!!",F900="NEW"),"",COUNTBLANK(OFFSET(A$1,,,SUMPRODUCT(MAX(ROW(E$2:E900)*(E900=E$2:E900)))))-COUNTBLANK(OFFSET(A$1,,,SUMPRODUCT(MAX(ROW(E$1:E899)*(E900=E$1:E899))))))</f>
        <v/>
      </c>
      <c r="K900" s="15" t="str">
        <f aca="false">IF(OR(E900="",E900="!!!",F900="NEW"),"",INDEX(J$1:J899,SUMPRODUCT(MAX(ROW(E$1:E899)*(E900=E$1:E899)))))</f>
        <v/>
      </c>
      <c r="L900" s="16"/>
    </row>
    <row r="901" customFormat="false" ht="12.75" hidden="false" customHeight="false" outlineLevel="0" collapsed="false">
      <c r="A901" s="9" t="s">
        <v>22</v>
      </c>
      <c r="E901" s="10" t="str">
        <f aca="false">IF(D901="?OLD","!!!","")</f>
        <v/>
      </c>
      <c r="F901" s="11" t="str">
        <f aca="false">IF(OR(E901="",E901="!!!"),"",IF(NOT(ISNA(VLOOKUP(E901,E$1:E900,1,FALSE()))),"OLD",IF(AND(E901&lt;&gt;"",E901&lt;&gt;"!!!"),"NEW","")))</f>
        <v/>
      </c>
      <c r="G901" s="12" t="str">
        <f aca="false">IF(OR(E901="",E901="!!!"),"",IF(OR(J901=0,AND(J901=1,K901=1),AND(J901=1,I901="SBJ"),AND(J901=1,I901=0)),"?IN_FOCUS",IF(J901&lt;=2,"?ACTIVATED",IF(J901&lt;&gt;"","?FAMILIAR",IF(F901="NEW",IF(ISNA(VLOOKUP(E901,#REF!,1,FALSE())),"?TYPE_IDENTIFIABLE","?REFERENTIAL"),"_")))))</f>
        <v/>
      </c>
      <c r="H901" s="13" t="str">
        <f aca="false">IF(J901&lt;&gt;1,"",IF(I901="SBJ","CB","?"))</f>
        <v/>
      </c>
      <c r="I901" s="14" t="str">
        <f aca="false">IF(OR(E901="",E901="!!!",F901="NEW"),"",INDEX(B$2:B900,-1+SUMPRODUCT(MAX(ROW(E$2:E900)*(E901=E$2:E900)))))</f>
        <v/>
      </c>
      <c r="J901" s="15" t="str">
        <f aca="true">IF(OR(E901="",E901="!!!",F901="NEW"),"",COUNTBLANK(OFFSET(A$1,,,SUMPRODUCT(MAX(ROW(E$2:E901)*(E901=E$2:E901)))))-COUNTBLANK(OFFSET(A$1,,,SUMPRODUCT(MAX(ROW(E$1:E900)*(E901=E$1:E900))))))</f>
        <v/>
      </c>
      <c r="K901" s="15" t="str">
        <f aca="false">IF(OR(E901="",E901="!!!",F901="NEW"),"",INDEX(J$1:J900,SUMPRODUCT(MAX(ROW(E$1:E900)*(E901=E$1:E900)))))</f>
        <v/>
      </c>
      <c r="L901" s="16"/>
    </row>
    <row r="902" customFormat="false" ht="12.75" hidden="false" customHeight="false" outlineLevel="0" collapsed="false">
      <c r="A902" s="9" t="s">
        <v>84</v>
      </c>
      <c r="E902" s="10" t="str">
        <f aca="false">IF(D902="?OLD","!!!","")</f>
        <v/>
      </c>
      <c r="F902" s="11" t="str">
        <f aca="false">IF(OR(E902="",E902="!!!"),"",IF(NOT(ISNA(VLOOKUP(E902,E$1:E901,1,FALSE()))),"OLD",IF(AND(E902&lt;&gt;"",E902&lt;&gt;"!!!"),"NEW","")))</f>
        <v/>
      </c>
      <c r="G902" s="12" t="str">
        <f aca="false">IF(OR(E902="",E902="!!!"),"",IF(OR(J902=0,AND(J902=1,K902=1),AND(J902=1,I902="SBJ"),AND(J902=1,I902=0)),"?IN_FOCUS",IF(J902&lt;=2,"?ACTIVATED",IF(J902&lt;&gt;"","?FAMILIAR",IF(F902="NEW",IF(ISNA(VLOOKUP(E902,#REF!,1,FALSE())),"?TYPE_IDENTIFIABLE","?REFERENTIAL"),"_")))))</f>
        <v/>
      </c>
      <c r="H902" s="13" t="str">
        <f aca="false">IF(J902&lt;&gt;1,"",IF(I902="SBJ","CB","?"))</f>
        <v/>
      </c>
      <c r="I902" s="14" t="str">
        <f aca="false">IF(OR(E902="",E902="!!!",F902="NEW"),"",INDEX(B$2:B901,-1+SUMPRODUCT(MAX(ROW(E$2:E901)*(E902=E$2:E901)))))</f>
        <v/>
      </c>
      <c r="J902" s="15" t="str">
        <f aca="true">IF(OR(E902="",E902="!!!",F902="NEW"),"",COUNTBLANK(OFFSET(A$1,,,SUMPRODUCT(MAX(ROW(E$2:E902)*(E902=E$2:E902)))))-COUNTBLANK(OFFSET(A$1,,,SUMPRODUCT(MAX(ROW(E$1:E901)*(E902=E$1:E901))))))</f>
        <v/>
      </c>
      <c r="K902" s="15" t="str">
        <f aca="false">IF(OR(E902="",E902="!!!",F902="NEW"),"",INDEX(J$1:J901,SUMPRODUCT(MAX(ROW(E$1:E901)*(E902=E$1:E901)))))</f>
        <v/>
      </c>
      <c r="L902" s="16"/>
    </row>
    <row r="903" customFormat="false" ht="12.75" hidden="false" customHeight="false" outlineLevel="0" collapsed="false">
      <c r="A903" s="9" t="s">
        <v>418</v>
      </c>
      <c r="E903" s="10" t="str">
        <f aca="false">IF(D903="?OLD","!!!","")</f>
        <v/>
      </c>
      <c r="F903" s="11" t="str">
        <f aca="false">IF(OR(E903="",E903="!!!"),"",IF(NOT(ISNA(VLOOKUP(E903,E$1:E902,1,FALSE()))),"OLD",IF(AND(E903&lt;&gt;"",E903&lt;&gt;"!!!"),"NEW","")))</f>
        <v/>
      </c>
      <c r="G903" s="12" t="str">
        <f aca="false">IF(OR(E903="",E903="!!!"),"",IF(OR(J903=0,AND(J903=1,K903=1),AND(J903=1,I903="SBJ"),AND(J903=1,I903=0)),"?IN_FOCUS",IF(J903&lt;=2,"?ACTIVATED",IF(J903&lt;&gt;"","?FAMILIAR",IF(F903="NEW",IF(ISNA(VLOOKUP(E903,#REF!,1,FALSE())),"?TYPE_IDENTIFIABLE","?REFERENTIAL"),"_")))))</f>
        <v/>
      </c>
      <c r="H903" s="13" t="str">
        <f aca="false">IF(J903&lt;&gt;1,"",IF(I903="SBJ","CB","?"))</f>
        <v/>
      </c>
      <c r="I903" s="14" t="str">
        <f aca="false">IF(OR(E903="",E903="!!!",F903="NEW"),"",INDEX(B$2:B902,-1+SUMPRODUCT(MAX(ROW(E$2:E902)*(E903=E$2:E902)))))</f>
        <v/>
      </c>
      <c r="J903" s="15" t="str">
        <f aca="true">IF(OR(E903="",E903="!!!",F903="NEW"),"",COUNTBLANK(OFFSET(A$1,,,SUMPRODUCT(MAX(ROW(E$2:E903)*(E903=E$2:E903)))))-COUNTBLANK(OFFSET(A$1,,,SUMPRODUCT(MAX(ROW(E$1:E902)*(E903=E$1:E902))))))</f>
        <v/>
      </c>
      <c r="K903" s="15" t="str">
        <f aca="false">IF(OR(E903="",E903="!!!",F903="NEW"),"",INDEX(J$1:J902,SUMPRODUCT(MAX(ROW(E$1:E902)*(E903=E$1:E902)))))</f>
        <v/>
      </c>
      <c r="L903" s="16"/>
    </row>
    <row r="904" customFormat="false" ht="12.75" hidden="false" customHeight="false" outlineLevel="0" collapsed="false">
      <c r="A904" s="9" t="s">
        <v>419</v>
      </c>
      <c r="B904" s="0" t="s">
        <v>43</v>
      </c>
      <c r="C904" s="0" t="s">
        <v>21</v>
      </c>
      <c r="E904" s="10" t="str">
        <f aca="false">IF(D904="?OLD","!!!","")</f>
        <v/>
      </c>
      <c r="F904" s="11" t="str">
        <f aca="false">IF(OR(E904="",E904="!!!"),"",IF(NOT(ISNA(VLOOKUP(E904,E$1:E903,1,FALSE()))),"OLD",IF(AND(E904&lt;&gt;"",E904&lt;&gt;"!!!"),"NEW","")))</f>
        <v/>
      </c>
      <c r="G904" s="12" t="str">
        <f aca="false">IF(OR(E904="",E904="!!!"),"",IF(OR(J904=0,AND(J904=1,K904=1),AND(J904=1,I904="SBJ"),AND(J904=1,I904=0)),"?IN_FOCUS",IF(J904&lt;=2,"?ACTIVATED",IF(J904&lt;&gt;"","?FAMILIAR",IF(F904="NEW",IF(ISNA(VLOOKUP(E904,#REF!,1,FALSE())),"?TYPE_IDENTIFIABLE","?REFERENTIAL"),"_")))))</f>
        <v/>
      </c>
      <c r="H904" s="13" t="str">
        <f aca="false">IF(J904&lt;&gt;1,"",IF(I904="SBJ","CB","?"))</f>
        <v/>
      </c>
      <c r="I904" s="14" t="str">
        <f aca="false">IF(OR(E904="",E904="!!!",F904="NEW"),"",INDEX(B$2:B903,-1+SUMPRODUCT(MAX(ROW(E$2:E903)*(E904=E$2:E903)))))</f>
        <v/>
      </c>
      <c r="J904" s="15" t="str">
        <f aca="true">IF(OR(E904="",E904="!!!",F904="NEW"),"",COUNTBLANK(OFFSET(A$1,,,SUMPRODUCT(MAX(ROW(E$2:E904)*(E904=E$2:E904)))))-COUNTBLANK(OFFSET(A$1,,,SUMPRODUCT(MAX(ROW(E$1:E903)*(E904=E$1:E903))))))</f>
        <v/>
      </c>
      <c r="K904" s="15" t="str">
        <f aca="false">IF(OR(E904="",E904="!!!",F904="NEW"),"",INDEX(J$1:J903,SUMPRODUCT(MAX(ROW(E$1:E903)*(E904=E$1:E903)))))</f>
        <v/>
      </c>
      <c r="L904" s="16"/>
    </row>
    <row r="905" customFormat="false" ht="12.75" hidden="false" customHeight="false" outlineLevel="0" collapsed="false">
      <c r="A905" s="9" t="s">
        <v>84</v>
      </c>
      <c r="E905" s="10" t="str">
        <f aca="false">IF(D905="?OLD","!!!","")</f>
        <v/>
      </c>
      <c r="F905" s="11" t="str">
        <f aca="false">IF(OR(E905="",E905="!!!"),"",IF(NOT(ISNA(VLOOKUP(E905,E$1:E904,1,FALSE()))),"OLD",IF(AND(E905&lt;&gt;"",E905&lt;&gt;"!!!"),"NEW","")))</f>
        <v/>
      </c>
      <c r="G905" s="12" t="str">
        <f aca="false">IF(OR(E905="",E905="!!!"),"",IF(OR(J905=0,AND(J905=1,K905=1),AND(J905=1,I905="SBJ"),AND(J905=1,I905=0)),"?IN_FOCUS",IF(J905&lt;=2,"?ACTIVATED",IF(J905&lt;&gt;"","?FAMILIAR",IF(F905="NEW",IF(ISNA(VLOOKUP(E905,#REF!,1,FALSE())),"?TYPE_IDENTIFIABLE","?REFERENTIAL"),"_")))))</f>
        <v/>
      </c>
      <c r="H905" s="13" t="str">
        <f aca="false">IF(J905&lt;&gt;1,"",IF(I905="SBJ","CB","?"))</f>
        <v/>
      </c>
      <c r="I905" s="14" t="str">
        <f aca="false">IF(OR(E905="",E905="!!!",F905="NEW"),"",INDEX(B$2:B904,-1+SUMPRODUCT(MAX(ROW(E$2:E904)*(E905=E$2:E904)))))</f>
        <v/>
      </c>
      <c r="J905" s="15" t="str">
        <f aca="true">IF(OR(E905="",E905="!!!",F905="NEW"),"",COUNTBLANK(OFFSET(A$1,,,SUMPRODUCT(MAX(ROW(E$2:E905)*(E905=E$2:E905)))))-COUNTBLANK(OFFSET(A$1,,,SUMPRODUCT(MAX(ROW(E$1:E904)*(E905=E$1:E904))))))</f>
        <v/>
      </c>
      <c r="K905" s="15" t="str">
        <f aca="false">IF(OR(E905="",E905="!!!",F905="NEW"),"",INDEX(J$1:J904,SUMPRODUCT(MAX(ROW(E$1:E904)*(E905=E$1:E904)))))</f>
        <v/>
      </c>
      <c r="L905" s="16"/>
    </row>
    <row r="906" customFormat="false" ht="12.75" hidden="false" customHeight="false" outlineLevel="0" collapsed="false">
      <c r="A906" s="9" t="s">
        <v>326</v>
      </c>
      <c r="B906" s="0" t="s">
        <v>25</v>
      </c>
      <c r="C906" s="0" t="s">
        <v>26</v>
      </c>
      <c r="D906" s="0" t="s">
        <v>27</v>
      </c>
      <c r="E906" s="10" t="s">
        <v>326</v>
      </c>
      <c r="F906" s="11" t="str">
        <f aca="false">IF(OR(E906="",E906="!!!"),"",IF(NOT(ISNA(VLOOKUP(E906,E$1:E905,1,FALSE()))),"OLD",IF(AND(E906&lt;&gt;"",E906&lt;&gt;"!!!"),"NEW","")))</f>
        <v>OLD</v>
      </c>
      <c r="G906" s="12" t="s">
        <v>72</v>
      </c>
      <c r="H906" s="13" t="str">
        <f aca="false">IF(J906&lt;&gt;1,"",IF(I906="SBJ","CB","?"))</f>
        <v/>
      </c>
      <c r="I906" s="14" t="str">
        <f aca="false">IF(OR(E906="",E906="!!!",F906="NEW"),"",INDEX(B$2:B905,-1+SUMPRODUCT(MAX(ROW(E$2:E905)*(E906=E$2:E905)))))</f>
        <v>other_3</v>
      </c>
      <c r="J906" s="15" t="n">
        <f aca="true">IF(OR(E906="",E906="!!!",F906="NEW"),"",COUNTBLANK(OFFSET(A$1,,,SUMPRODUCT(MAX(ROW(E$2:E906)*(E906=E$2:E906)))))-COUNTBLANK(OFFSET(A$1,,,SUMPRODUCT(MAX(ROW(E$1:E905)*(E906=E$1:E905))))))</f>
        <v>11</v>
      </c>
      <c r="K906" s="15" t="str">
        <f aca="false">IF(OR(E906="",E906="!!!",F906="NEW"),"",INDEX(J$1:J905,SUMPRODUCT(MAX(ROW(E$1:E905)*(E906=E$1:E905)))))</f>
        <v/>
      </c>
      <c r="L906" s="16"/>
    </row>
    <row r="907" customFormat="false" ht="12.75" hidden="false" customHeight="false" outlineLevel="0" collapsed="false">
      <c r="A907" s="9" t="s">
        <v>22</v>
      </c>
      <c r="E907" s="10" t="str">
        <f aca="false">IF(D907="?OLD","!!!","")</f>
        <v/>
      </c>
      <c r="F907" s="11" t="str">
        <f aca="false">IF(OR(E907="",E907="!!!"),"",IF(NOT(ISNA(VLOOKUP(E907,E$1:E906,1,FALSE()))),"OLD",IF(AND(E907&lt;&gt;"",E907&lt;&gt;"!!!"),"NEW","")))</f>
        <v/>
      </c>
      <c r="G907" s="12" t="str">
        <f aca="false">IF(OR(E907="",E907="!!!"),"",IF(OR(J907=0,AND(J907=1,K907=1),AND(J907=1,I907="SBJ"),AND(J907=1,I907=0)),"?IN_FOCUS",IF(J907&lt;=2,"?ACTIVATED",IF(J907&lt;&gt;"","?FAMILIAR",IF(F907="NEW",IF(ISNA(VLOOKUP(E907,#REF!,1,FALSE())),"?TYPE_IDENTIFIABLE","?REFERENTIAL"),"_")))))</f>
        <v/>
      </c>
      <c r="H907" s="13" t="str">
        <f aca="false">IF(J907&lt;&gt;1,"",IF(I907="SBJ","CB","?"))</f>
        <v/>
      </c>
      <c r="I907" s="14" t="str">
        <f aca="false">IF(OR(E907="",E907="!!!",F907="NEW"),"",INDEX(B$2:B906,-1+SUMPRODUCT(MAX(ROW(E$2:E906)*(E907=E$2:E906)))))</f>
        <v/>
      </c>
      <c r="J907" s="15" t="str">
        <f aca="true">IF(OR(E907="",E907="!!!",F907="NEW"),"",COUNTBLANK(OFFSET(A$1,,,SUMPRODUCT(MAX(ROW(E$2:E907)*(E907=E$2:E907)))))-COUNTBLANK(OFFSET(A$1,,,SUMPRODUCT(MAX(ROW(E$1:E906)*(E907=E$1:E906))))))</f>
        <v/>
      </c>
      <c r="K907" s="15" t="str">
        <f aca="false">IF(OR(E907="",E907="!!!",F907="NEW"),"",INDEX(J$1:J906,SUMPRODUCT(MAX(ROW(E$1:E906)*(E907=E$1:E906)))))</f>
        <v/>
      </c>
      <c r="L907" s="16"/>
    </row>
    <row r="908" customFormat="false" ht="12.75" hidden="false" customHeight="false" outlineLevel="0" collapsed="false">
      <c r="A908" s="9" t="s">
        <v>39</v>
      </c>
      <c r="E908" s="10" t="str">
        <f aca="false">IF(D908="?OLD","!!!","")</f>
        <v/>
      </c>
      <c r="F908" s="11" t="str">
        <f aca="false">IF(OR(E908="",E908="!!!"),"",IF(NOT(ISNA(VLOOKUP(E908,E$1:E907,1,FALSE()))),"OLD",IF(AND(E908&lt;&gt;"",E908&lt;&gt;"!!!"),"NEW","")))</f>
        <v/>
      </c>
      <c r="G908" s="12" t="str">
        <f aca="false">IF(OR(E908="",E908="!!!"),"",IF(OR(J908=0,AND(J908=1,K908=1),AND(J908=1,I908="SBJ"),AND(J908=1,I908=0)),"?IN_FOCUS",IF(J908&lt;=2,"?ACTIVATED",IF(J908&lt;&gt;"","?FAMILIAR",IF(F908="NEW",IF(ISNA(VLOOKUP(E908,#REF!,1,FALSE())),"?TYPE_IDENTIFIABLE","?REFERENTIAL"),"_")))))</f>
        <v/>
      </c>
      <c r="H908" s="13" t="str">
        <f aca="false">IF(J908&lt;&gt;1,"",IF(I908="SBJ","CB","?"))</f>
        <v/>
      </c>
      <c r="I908" s="14" t="str">
        <f aca="false">IF(OR(E908="",E908="!!!",F908="NEW"),"",INDEX(B$2:B907,-1+SUMPRODUCT(MAX(ROW(E$2:E907)*(E908=E$2:E907)))))</f>
        <v/>
      </c>
      <c r="J908" s="15" t="str">
        <f aca="true">IF(OR(E908="",E908="!!!",F908="NEW"),"",COUNTBLANK(OFFSET(A$1,,,SUMPRODUCT(MAX(ROW(E$2:E908)*(E908=E$2:E908)))))-COUNTBLANK(OFFSET(A$1,,,SUMPRODUCT(MAX(ROW(E$1:E907)*(E908=E$1:E907))))))</f>
        <v/>
      </c>
      <c r="K908" s="15" t="str">
        <f aca="false">IF(OR(E908="",E908="!!!",F908="NEW"),"",INDEX(J$1:J907,SUMPRODUCT(MAX(ROW(E$1:E907)*(E908=E$1:E907)))))</f>
        <v/>
      </c>
      <c r="L908" s="16"/>
    </row>
    <row r="909" customFormat="false" ht="12.75" hidden="false" customHeight="false" outlineLevel="0" collapsed="false">
      <c r="A909" s="9" t="s">
        <v>420</v>
      </c>
      <c r="B909" s="0" t="s">
        <v>75</v>
      </c>
      <c r="C909" s="0" t="s">
        <v>21</v>
      </c>
      <c r="E909" s="10" t="str">
        <f aca="false">IF(D909="?OLD","!!!","")</f>
        <v/>
      </c>
      <c r="F909" s="11" t="str">
        <f aca="false">IF(OR(E909="",E909="!!!"),"",IF(NOT(ISNA(VLOOKUP(E909,E$1:E908,1,FALSE()))),"OLD",IF(AND(E909&lt;&gt;"",E909&lt;&gt;"!!!"),"NEW","")))</f>
        <v/>
      </c>
      <c r="G909" s="12" t="str">
        <f aca="false">IF(OR(E909="",E909="!!!"),"",IF(OR(J909=0,AND(J909=1,K909=1),AND(J909=1,I909="SBJ"),AND(J909=1,I909=0)),"?IN_FOCUS",IF(J909&lt;=2,"?ACTIVATED",IF(J909&lt;&gt;"","?FAMILIAR",IF(F909="NEW",IF(ISNA(VLOOKUP(E909,#REF!,1,FALSE())),"?TYPE_IDENTIFIABLE","?REFERENTIAL"),"_")))))</f>
        <v/>
      </c>
      <c r="H909" s="13" t="str">
        <f aca="false">IF(J909&lt;&gt;1,"",IF(I909="SBJ","CB","?"))</f>
        <v/>
      </c>
      <c r="I909" s="14" t="str">
        <f aca="false">IF(OR(E909="",E909="!!!",F909="NEW"),"",INDEX(B$2:B908,-1+SUMPRODUCT(MAX(ROW(E$2:E908)*(E909=E$2:E908)))))</f>
        <v/>
      </c>
      <c r="J909" s="15" t="str">
        <f aca="true">IF(OR(E909="",E909="!!!",F909="NEW"),"",COUNTBLANK(OFFSET(A$1,,,SUMPRODUCT(MAX(ROW(E$2:E909)*(E909=E$2:E909)))))-COUNTBLANK(OFFSET(A$1,,,SUMPRODUCT(MAX(ROW(E$1:E908)*(E909=E$1:E908))))))</f>
        <v/>
      </c>
      <c r="K909" s="15" t="str">
        <f aca="false">IF(OR(E909="",E909="!!!",F909="NEW"),"",INDEX(J$1:J908,SUMPRODUCT(MAX(ROW(E$1:E908)*(E909=E$1:E908)))))</f>
        <v/>
      </c>
      <c r="L909" s="16"/>
    </row>
    <row r="910" customFormat="false" ht="12.75" hidden="false" customHeight="false" outlineLevel="0" collapsed="false">
      <c r="A910" s="9" t="s">
        <v>44</v>
      </c>
      <c r="E910" s="10" t="str">
        <f aca="false">IF(D910="?OLD","!!!","")</f>
        <v/>
      </c>
      <c r="F910" s="11" t="str">
        <f aca="false">IF(OR(E910="",E910="!!!"),"",IF(NOT(ISNA(VLOOKUP(E910,E$1:E909,1,FALSE()))),"OLD",IF(AND(E910&lt;&gt;"",E910&lt;&gt;"!!!"),"NEW","")))</f>
        <v/>
      </c>
      <c r="G910" s="12" t="str">
        <f aca="false">IF(OR(E910="",E910="!!!"),"",IF(OR(J910=0,AND(J910=1,K910=1),AND(J910=1,I910="SBJ"),AND(J910=1,I910=0)),"?IN_FOCUS",IF(J910&lt;=2,"?ACTIVATED",IF(J910&lt;&gt;"","?FAMILIAR",IF(F910="NEW",IF(ISNA(VLOOKUP(E910,#REF!,1,FALSE())),"?TYPE_IDENTIFIABLE","?REFERENTIAL"),"_")))))</f>
        <v/>
      </c>
      <c r="H910" s="13" t="str">
        <f aca="false">IF(J910&lt;&gt;1,"",IF(I910="SBJ","CB","?"))</f>
        <v/>
      </c>
      <c r="I910" s="14" t="str">
        <f aca="false">IF(OR(E910="",E910="!!!",F910="NEW"),"",INDEX(B$2:B909,-1+SUMPRODUCT(MAX(ROW(E$2:E909)*(E910=E$2:E909)))))</f>
        <v/>
      </c>
      <c r="J910" s="15" t="str">
        <f aca="true">IF(OR(E910="",E910="!!!",F910="NEW"),"",COUNTBLANK(OFFSET(A$1,,,SUMPRODUCT(MAX(ROW(E$2:E910)*(E910=E$2:E910)))))-COUNTBLANK(OFFSET(A$1,,,SUMPRODUCT(MAX(ROW(E$1:E909)*(E910=E$1:E909))))))</f>
        <v/>
      </c>
      <c r="K910" s="15" t="str">
        <f aca="false">IF(OR(E910="",E910="!!!",F910="NEW"),"",INDEX(J$1:J909,SUMPRODUCT(MAX(ROW(E$1:E909)*(E910=E$1:E909)))))</f>
        <v/>
      </c>
      <c r="L910" s="16"/>
    </row>
    <row r="911" customFormat="false" ht="12.75" hidden="false" customHeight="false" outlineLevel="0" collapsed="false">
      <c r="A911" s="9" t="s">
        <v>421</v>
      </c>
      <c r="B911" s="0" t="s">
        <v>25</v>
      </c>
      <c r="C911" s="0" t="s">
        <v>21</v>
      </c>
      <c r="E911" s="10" t="str">
        <f aca="false">IF(D911="?OLD","!!!","")</f>
        <v/>
      </c>
      <c r="F911" s="11" t="str">
        <f aca="false">IF(OR(E911="",E911="!!!"),"",IF(NOT(ISNA(VLOOKUP(E911,E$1:E910,1,FALSE()))),"OLD",IF(AND(E911&lt;&gt;"",E911&lt;&gt;"!!!"),"NEW","")))</f>
        <v/>
      </c>
      <c r="G911" s="12" t="str">
        <f aca="false">IF(OR(E911="",E911="!!!"),"",IF(OR(J911=0,AND(J911=1,K911=1),AND(J911=1,I911="SBJ"),AND(J911=1,I911=0)),"?IN_FOCUS",IF(J911&lt;=2,"?ACTIVATED",IF(J911&lt;&gt;"","?FAMILIAR",IF(F911="NEW",IF(ISNA(VLOOKUP(E911,#REF!,1,FALSE())),"?TYPE_IDENTIFIABLE","?REFERENTIAL"),"_")))))</f>
        <v/>
      </c>
      <c r="H911" s="13" t="str">
        <f aca="false">IF(J911&lt;&gt;1,"",IF(I911="SBJ","CB","?"))</f>
        <v/>
      </c>
      <c r="I911" s="14" t="str">
        <f aca="false">IF(OR(E911="",E911="!!!",F911="NEW"),"",INDEX(B$2:B910,-1+SUMPRODUCT(MAX(ROW(E$2:E910)*(E911=E$2:E910)))))</f>
        <v/>
      </c>
      <c r="J911" s="15" t="str">
        <f aca="true">IF(OR(E911="",E911="!!!",F911="NEW"),"",COUNTBLANK(OFFSET(A$1,,,SUMPRODUCT(MAX(ROW(E$2:E911)*(E911=E$2:E911)))))-COUNTBLANK(OFFSET(A$1,,,SUMPRODUCT(MAX(ROW(E$1:E910)*(E911=E$1:E910))))))</f>
        <v/>
      </c>
      <c r="K911" s="15" t="str">
        <f aca="false">IF(OR(E911="",E911="!!!",F911="NEW"),"",INDEX(J$1:J910,SUMPRODUCT(MAX(ROW(E$1:E910)*(E911=E$1:E910)))))</f>
        <v/>
      </c>
      <c r="L911" s="16"/>
    </row>
    <row r="912" customFormat="false" ht="12.75" hidden="false" customHeight="false" outlineLevel="0" collapsed="false">
      <c r="A912" s="9" t="s">
        <v>68</v>
      </c>
      <c r="E912" s="10" t="str">
        <f aca="false">IF(D912="?OLD","!!!","")</f>
        <v/>
      </c>
      <c r="F912" s="11" t="str">
        <f aca="false">IF(OR(E912="",E912="!!!"),"",IF(NOT(ISNA(VLOOKUP(E912,E$1:E911,1,FALSE()))),"OLD",IF(AND(E912&lt;&gt;"",E912&lt;&gt;"!!!"),"NEW","")))</f>
        <v/>
      </c>
      <c r="G912" s="12" t="str">
        <f aca="false">IF(OR(E912="",E912="!!!"),"",IF(OR(J912=0,AND(J912=1,K912=1),AND(J912=1,I912="SBJ"),AND(J912=1,I912=0)),"?IN_FOCUS",IF(J912&lt;=2,"?ACTIVATED",IF(J912&lt;&gt;"","?FAMILIAR",IF(F912="NEW",IF(ISNA(VLOOKUP(E912,#REF!,1,FALSE())),"?TYPE_IDENTIFIABLE","?REFERENTIAL"),"_")))))</f>
        <v/>
      </c>
      <c r="H912" s="13" t="str">
        <f aca="false">IF(J912&lt;&gt;1,"",IF(I912="SBJ","CB","?"))</f>
        <v/>
      </c>
      <c r="I912" s="14" t="str">
        <f aca="false">IF(OR(E912="",E912="!!!",F912="NEW"),"",INDEX(B$2:B911,-1+SUMPRODUCT(MAX(ROW(E$2:E911)*(E912=E$2:E911)))))</f>
        <v/>
      </c>
      <c r="J912" s="15" t="str">
        <f aca="true">IF(OR(E912="",E912="!!!",F912="NEW"),"",COUNTBLANK(OFFSET(A$1,,,SUMPRODUCT(MAX(ROW(E$2:E912)*(E912=E$2:E912)))))-COUNTBLANK(OFFSET(A$1,,,SUMPRODUCT(MAX(ROW(E$1:E911)*(E912=E$1:E911))))))</f>
        <v/>
      </c>
      <c r="K912" s="15" t="str">
        <f aca="false">IF(OR(E912="",E912="!!!",F912="NEW"),"",INDEX(J$1:J911,SUMPRODUCT(MAX(ROW(E$1:E911)*(E912=E$1:E911)))))</f>
        <v/>
      </c>
      <c r="L912" s="16"/>
    </row>
    <row r="913" customFormat="false" ht="12.75" hidden="false" customHeight="false" outlineLevel="0" collapsed="false">
      <c r="E913" s="10" t="str">
        <f aca="false">IF(D913="?OLD","!!!","")</f>
        <v/>
      </c>
      <c r="F913" s="11" t="str">
        <f aca="false">IF(OR(E913="",E913="!!!"),"",IF(NOT(ISNA(VLOOKUP(E913,E$1:E912,1,FALSE()))),"OLD",IF(AND(E913&lt;&gt;"",E913&lt;&gt;"!!!"),"NEW","")))</f>
        <v/>
      </c>
      <c r="G913" s="12" t="str">
        <f aca="false">IF(OR(E913="",E913="!!!"),"",IF(OR(J913=0,AND(J913=1,K913=1),AND(J913=1,I913="SBJ"),AND(J913=1,I913=0)),"?IN_FOCUS",IF(J913&lt;=2,"?ACTIVATED",IF(J913&lt;&gt;"","?FAMILIAR",IF(F913="NEW",IF(ISNA(VLOOKUP(E913,#REF!,1,FALSE())),"?TYPE_IDENTIFIABLE","?REFERENTIAL"),"_")))))</f>
        <v/>
      </c>
      <c r="H913" s="13" t="str">
        <f aca="false">IF(J913&lt;&gt;1,"",IF(I913="SBJ","CB","?"))</f>
        <v/>
      </c>
      <c r="I913" s="14" t="str">
        <f aca="false">IF(OR(E913="",E913="!!!",F913="NEW"),"",INDEX(B$2:B912,-1+SUMPRODUCT(MAX(ROW(E$2:E912)*(E913=E$2:E912)))))</f>
        <v/>
      </c>
      <c r="J913" s="15" t="str">
        <f aca="true">IF(OR(E913="",E913="!!!",F913="NEW"),"",COUNTBLANK(OFFSET(A$1,,,SUMPRODUCT(MAX(ROW(E$2:E913)*(E913=E$2:E913)))))-COUNTBLANK(OFFSET(A$1,,,SUMPRODUCT(MAX(ROW(E$1:E912)*(E913=E$1:E912))))))</f>
        <v/>
      </c>
      <c r="K913" s="15" t="str">
        <f aca="false">IF(OR(E913="",E913="!!!",F913="NEW"),"",INDEX(J$1:J912,SUMPRODUCT(MAX(ROW(E$1:E912)*(E913=E$1:E912)))))</f>
        <v/>
      </c>
      <c r="L913" s="16"/>
    </row>
    <row r="914" customFormat="false" ht="12.75" hidden="false" customHeight="false" outlineLevel="0" collapsed="false">
      <c r="A914" s="9" t="s">
        <v>69</v>
      </c>
      <c r="E914" s="10" t="str">
        <f aca="false">IF(D914="?OLD","!!!","")</f>
        <v/>
      </c>
      <c r="F914" s="11" t="str">
        <f aca="false">IF(OR(E914="",E914="!!!"),"",IF(NOT(ISNA(VLOOKUP(E914,E$1:E913,1,FALSE()))),"OLD",IF(AND(E914&lt;&gt;"",E914&lt;&gt;"!!!"),"NEW","")))</f>
        <v/>
      </c>
      <c r="G914" s="12" t="str">
        <f aca="false">IF(OR(E914="",E914="!!!"),"",IF(OR(J914=0,AND(J914=1,K914=1),AND(J914=1,I914="SBJ"),AND(J914=1,I914=0)),"?IN_FOCUS",IF(J914&lt;=2,"?ACTIVATED",IF(J914&lt;&gt;"","?FAMILIAR",IF(F914="NEW",IF(ISNA(VLOOKUP(E914,#REF!,1,FALSE())),"?TYPE_IDENTIFIABLE","?REFERENTIAL"),"_")))))</f>
        <v/>
      </c>
      <c r="H914" s="13" t="str">
        <f aca="false">IF(J914&lt;&gt;1,"",IF(I914="SBJ","CB","?"))</f>
        <v/>
      </c>
      <c r="I914" s="14" t="str">
        <f aca="false">IF(OR(E914="",E914="!!!",F914="NEW"),"",INDEX(B$2:B913,-1+SUMPRODUCT(MAX(ROW(E$2:E913)*(E914=E$2:E913)))))</f>
        <v/>
      </c>
      <c r="J914" s="15" t="str">
        <f aca="true">IF(OR(E914="",E914="!!!",F914="NEW"),"",COUNTBLANK(OFFSET(A$1,,,SUMPRODUCT(MAX(ROW(E$2:E914)*(E914=E$2:E914)))))-COUNTBLANK(OFFSET(A$1,,,SUMPRODUCT(MAX(ROW(E$1:E913)*(E914=E$1:E913))))))</f>
        <v/>
      </c>
      <c r="K914" s="15" t="str">
        <f aca="false">IF(OR(E914="",E914="!!!",F914="NEW"),"",INDEX(J$1:J913,SUMPRODUCT(MAX(ROW(E$1:E913)*(E914=E$1:E913)))))</f>
        <v/>
      </c>
      <c r="L914" s="16"/>
    </row>
    <row r="915" customFormat="false" ht="12.75" hidden="false" customHeight="false" outlineLevel="0" collapsed="false">
      <c r="A915" s="9" t="s">
        <v>422</v>
      </c>
      <c r="E915" s="10" t="str">
        <f aca="false">IF(D915="?OLD","!!!","")</f>
        <v/>
      </c>
      <c r="F915" s="11" t="str">
        <f aca="false">IF(OR(E915="",E915="!!!"),"",IF(NOT(ISNA(VLOOKUP(E915,E$1:E914,1,FALSE()))),"OLD",IF(AND(E915&lt;&gt;"",E915&lt;&gt;"!!!"),"NEW","")))</f>
        <v/>
      </c>
      <c r="G915" s="12" t="str">
        <f aca="false">IF(OR(E915="",E915="!!!"),"",IF(OR(J915=0,AND(J915=1,K915=1),AND(J915=1,I915="SBJ"),AND(J915=1,I915=0)),"?IN_FOCUS",IF(J915&lt;=2,"?ACTIVATED",IF(J915&lt;&gt;"","?FAMILIAR",IF(F915="NEW",IF(ISNA(VLOOKUP(E915,#REF!,1,FALSE())),"?TYPE_IDENTIFIABLE","?REFERENTIAL"),"_")))))</f>
        <v/>
      </c>
      <c r="H915" s="13" t="str">
        <f aca="false">IF(J915&lt;&gt;1,"",IF(I915="SBJ","CB","?"))</f>
        <v/>
      </c>
      <c r="I915" s="14" t="str">
        <f aca="false">IF(OR(E915="",E915="!!!",F915="NEW"),"",INDEX(B$2:B914,-1+SUMPRODUCT(MAX(ROW(E$2:E914)*(E915=E$2:E914)))))</f>
        <v/>
      </c>
      <c r="J915" s="15" t="str">
        <f aca="true">IF(OR(E915="",E915="!!!",F915="NEW"),"",COUNTBLANK(OFFSET(A$1,,,SUMPRODUCT(MAX(ROW(E$2:E915)*(E915=E$2:E915)))))-COUNTBLANK(OFFSET(A$1,,,SUMPRODUCT(MAX(ROW(E$1:E914)*(E915=E$1:E914))))))</f>
        <v/>
      </c>
      <c r="K915" s="15" t="str">
        <f aca="false">IF(OR(E915="",E915="!!!",F915="NEW"),"",INDEX(J$1:J914,SUMPRODUCT(MAX(ROW(E$1:E914)*(E915=E$1:E914)))))</f>
        <v/>
      </c>
      <c r="L915" s="16"/>
    </row>
    <row r="916" customFormat="false" ht="12.75" hidden="false" customHeight="false" outlineLevel="0" collapsed="false">
      <c r="A916" s="9" t="s">
        <v>336</v>
      </c>
      <c r="B916" s="0" t="s">
        <v>17</v>
      </c>
      <c r="C916" s="0" t="s">
        <v>58</v>
      </c>
      <c r="D916" s="0" t="s">
        <v>27</v>
      </c>
      <c r="E916" s="10" t="s">
        <v>64</v>
      </c>
      <c r="F916" s="11" t="str">
        <f aca="false">IF(OR(E916="",E916="!!!"),"",IF(NOT(ISNA(VLOOKUP(E916,E$1:E915,1,FALSE()))),"OLD",IF(AND(E916&lt;&gt;"",E916&lt;&gt;"!!!"),"NEW","")))</f>
        <v>OLD</v>
      </c>
      <c r="G916" s="12" t="s">
        <v>49</v>
      </c>
      <c r="H916" s="13" t="str">
        <f aca="false">IF(J916&lt;&gt;1,"",IF(I916="SBJ","CB","?"))</f>
        <v/>
      </c>
      <c r="I916" s="14" t="str">
        <f aca="false">IF(OR(E916="",E916="!!!",F916="NEW"),"",INDEX(B$2:B915,-1+SUMPRODUCT(MAX(ROW(E$2:E915)*(E916=E$2:E915)))))</f>
        <v>other_3</v>
      </c>
      <c r="J916" s="15" t="n">
        <f aca="true">IF(OR(E916="",E916="!!!",F916="NEW"),"",COUNTBLANK(OFFSET(A$1,,,SUMPRODUCT(MAX(ROW(E$2:E916)*(E916=E$2:E916)))))-COUNTBLANK(OFFSET(A$1,,,SUMPRODUCT(MAX(ROW(E$1:E915)*(E916=E$1:E915))))))</f>
        <v>2</v>
      </c>
      <c r="K916" s="15" t="n">
        <f aca="false">IF(OR(E916="",E916="!!!",F916="NEW"),"",INDEX(J$1:J915,SUMPRODUCT(MAX(ROW(E$1:E915)*(E916=E$1:E915)))))</f>
        <v>1</v>
      </c>
      <c r="L916" s="16"/>
    </row>
    <row r="917" customFormat="false" ht="12.75" hidden="false" customHeight="false" outlineLevel="0" collapsed="false">
      <c r="A917" s="9" t="s">
        <v>193</v>
      </c>
      <c r="E917" s="10" t="str">
        <f aca="false">IF(D917="?OLD","!!!","")</f>
        <v/>
      </c>
      <c r="F917" s="11" t="str">
        <f aca="false">IF(OR(E917="",E917="!!!"),"",IF(NOT(ISNA(VLOOKUP(E917,E$1:E916,1,FALSE()))),"OLD",IF(AND(E917&lt;&gt;"",E917&lt;&gt;"!!!"),"NEW","")))</f>
        <v/>
      </c>
      <c r="G917" s="12" t="str">
        <f aca="false">IF(OR(E917="",E917="!!!"),"",IF(OR(J917=0,AND(J917=1,K917=1),AND(J917=1,I917="SBJ"),AND(J917=1,I917=0)),"?IN_FOCUS",IF(J917&lt;=2,"?ACTIVATED",IF(J917&lt;&gt;"","?FAMILIAR",IF(F917="NEW",IF(ISNA(VLOOKUP(E917,#REF!,1,FALSE())),"?TYPE_IDENTIFIABLE","?REFERENTIAL"),"_")))))</f>
        <v/>
      </c>
      <c r="H917" s="13" t="str">
        <f aca="false">IF(J917&lt;&gt;1,"",IF(I917="SBJ","CB","?"))</f>
        <v/>
      </c>
      <c r="I917" s="14" t="str">
        <f aca="false">IF(OR(E917="",E917="!!!",F917="NEW"),"",INDEX(B$2:B916,-1+SUMPRODUCT(MAX(ROW(E$2:E916)*(E917=E$2:E916)))))</f>
        <v/>
      </c>
      <c r="J917" s="15" t="str">
        <f aca="true">IF(OR(E917="",E917="!!!",F917="NEW"),"",COUNTBLANK(OFFSET(A$1,,,SUMPRODUCT(MAX(ROW(E$2:E917)*(E917=E$2:E917)))))-COUNTBLANK(OFFSET(A$1,,,SUMPRODUCT(MAX(ROW(E$1:E916)*(E917=E$1:E916))))))</f>
        <v/>
      </c>
      <c r="K917" s="15" t="str">
        <f aca="false">IF(OR(E917="",E917="!!!",F917="NEW"),"",INDEX(J$1:J916,SUMPRODUCT(MAX(ROW(E$1:E916)*(E917=E$1:E916)))))</f>
        <v/>
      </c>
      <c r="L917" s="16"/>
    </row>
    <row r="918" customFormat="false" ht="12.75" hidden="false" customHeight="false" outlineLevel="0" collapsed="false">
      <c r="A918" s="9" t="s">
        <v>423</v>
      </c>
      <c r="B918" s="0" t="s">
        <v>75</v>
      </c>
      <c r="C918" s="0" t="s">
        <v>31</v>
      </c>
      <c r="D918" s="0" t="s">
        <v>27</v>
      </c>
      <c r="E918" s="10" t="s">
        <v>126</v>
      </c>
      <c r="F918" s="11" t="str">
        <f aca="false">IF(OR(E918="",E918="!!!"),"",IF(NOT(ISNA(VLOOKUP(E918,E$1:E917,1,FALSE()))),"OLD",IF(AND(E918&lt;&gt;"",E918&lt;&gt;"!!!"),"NEW","")))</f>
        <v>OLD</v>
      </c>
      <c r="G918" s="12" t="s">
        <v>49</v>
      </c>
      <c r="H918" s="13" t="s">
        <v>7</v>
      </c>
      <c r="I918" s="14" t="str">
        <f aca="false">IF(OR(E918="",E918="!!!",F918="NEW"),"",INDEX(B$2:B917,-1+SUMPRODUCT(MAX(ROW(E$2:E917)*(E918=E$2:E917)))))</f>
        <v>other_2</v>
      </c>
      <c r="J918" s="15" t="n">
        <f aca="true">IF(OR(E918="",E918="!!!",F918="NEW"),"",COUNTBLANK(OFFSET(A$1,,,SUMPRODUCT(MAX(ROW(E$2:E918)*(E918=E$2:E918)))))-COUNTBLANK(OFFSET(A$1,,,SUMPRODUCT(MAX(ROW(E$1:E917)*(E918=E$1:E917))))))</f>
        <v>1</v>
      </c>
      <c r="K918" s="15" t="n">
        <f aca="false">IF(OR(E918="",E918="!!!",F918="NEW"),"",INDEX(J$1:J917,SUMPRODUCT(MAX(ROW(E$1:E917)*(E918=E$1:E917)))))</f>
        <v>0</v>
      </c>
      <c r="L918" s="16"/>
    </row>
    <row r="919" customFormat="false" ht="12.75" hidden="false" customHeight="false" outlineLevel="0" collapsed="false">
      <c r="A919" s="9" t="s">
        <v>424</v>
      </c>
      <c r="B919" s="0" t="s">
        <v>75</v>
      </c>
      <c r="C919" s="0" t="s">
        <v>34</v>
      </c>
      <c r="D919" s="0" t="s">
        <v>27</v>
      </c>
      <c r="E919" s="10" t="s">
        <v>64</v>
      </c>
      <c r="F919" s="11" t="str">
        <f aca="false">IF(OR(E919="",E919="!!!"),"",IF(NOT(ISNA(VLOOKUP(E919,E$1:E918,1,FALSE()))),"OLD",IF(AND(E919&lt;&gt;"",E919&lt;&gt;"!!!"),"NEW","")))</f>
        <v>OLD</v>
      </c>
      <c r="G919" s="12" t="s">
        <v>51</v>
      </c>
      <c r="H919" s="13" t="str">
        <f aca="false">IF(J919&lt;&gt;1,"",IF(I919="SBJ","CB","?"))</f>
        <v/>
      </c>
      <c r="I919" s="14" t="str">
        <f aca="false">IF(OR(E919="",E919="!!!",F919="NEW"),"",INDEX(B$2:B918,-1+SUMPRODUCT(MAX(ROW(E$2:E918)*(E919=E$2:E918)))))</f>
        <v>SBJ</v>
      </c>
      <c r="J919" s="15" t="n">
        <f aca="true">IF(OR(E919="",E919="!!!",F919="NEW"),"",COUNTBLANK(OFFSET(A$1,,,SUMPRODUCT(MAX(ROW(E$2:E919)*(E919=E$2:E919)))))-COUNTBLANK(OFFSET(A$1,,,SUMPRODUCT(MAX(ROW(E$1:E918)*(E919=E$1:E918))))))</f>
        <v>0</v>
      </c>
      <c r="K919" s="15" t="n">
        <f aca="false">IF(OR(E919="",E919="!!!",F919="NEW"),"",INDEX(J$1:J918,SUMPRODUCT(MAX(ROW(E$1:E918)*(E919=E$1:E918)))))</f>
        <v>2</v>
      </c>
      <c r="L919" s="16"/>
    </row>
    <row r="920" customFormat="false" ht="12.75" hidden="false" customHeight="false" outlineLevel="0" collapsed="false">
      <c r="A920" s="9" t="s">
        <v>44</v>
      </c>
      <c r="E920" s="10" t="str">
        <f aca="false">IF(D920="?OLD","!!!","")</f>
        <v/>
      </c>
      <c r="F920" s="11" t="str">
        <f aca="false">IF(OR(E920="",E920="!!!"),"",IF(NOT(ISNA(VLOOKUP(E920,E$1:E919,1,FALSE()))),"OLD",IF(AND(E920&lt;&gt;"",E920&lt;&gt;"!!!"),"NEW","")))</f>
        <v/>
      </c>
      <c r="G920" s="12" t="str">
        <f aca="false">IF(OR(E920="",E920="!!!"),"",IF(OR(J920=0,AND(J920=1,K920=1),AND(J920=1,I920="SBJ"),AND(J920=1,I920=0)),"?IN_FOCUS",IF(J920&lt;=2,"?ACTIVATED",IF(J920&lt;&gt;"","?FAMILIAR",IF(F920="NEW",IF(ISNA(VLOOKUP(E920,#REF!,1,FALSE())),"?TYPE_IDENTIFIABLE","?REFERENTIAL"),"_")))))</f>
        <v/>
      </c>
      <c r="H920" s="13" t="str">
        <f aca="false">IF(J920&lt;&gt;1,"",IF(I920="SBJ","CB","?"))</f>
        <v/>
      </c>
      <c r="I920" s="14" t="str">
        <f aca="false">IF(OR(E920="",E920="!!!",F920="NEW"),"",INDEX(B$2:B919,-1+SUMPRODUCT(MAX(ROW(E$2:E919)*(E920=E$2:E919)))))</f>
        <v/>
      </c>
      <c r="J920" s="15" t="str">
        <f aca="true">IF(OR(E920="",E920="!!!",F920="NEW"),"",COUNTBLANK(OFFSET(A$1,,,SUMPRODUCT(MAX(ROW(E$2:E920)*(E920=E$2:E920)))))-COUNTBLANK(OFFSET(A$1,,,SUMPRODUCT(MAX(ROW(E$1:E919)*(E920=E$1:E919))))))</f>
        <v/>
      </c>
      <c r="K920" s="15" t="str">
        <f aca="false">IF(OR(E920="",E920="!!!",F920="NEW"),"",INDEX(J$1:J919,SUMPRODUCT(MAX(ROW(E$1:E919)*(E920=E$1:E919)))))</f>
        <v/>
      </c>
      <c r="L920" s="16"/>
    </row>
    <row r="921" customFormat="false" ht="12.75" hidden="false" customHeight="false" outlineLevel="0" collapsed="false">
      <c r="A921" s="9" t="s">
        <v>129</v>
      </c>
      <c r="E921" s="10" t="str">
        <f aca="false">IF(D921="?OLD","!!!","")</f>
        <v/>
      </c>
      <c r="F921" s="11" t="str">
        <f aca="false">IF(OR(E921="",E921="!!!"),"",IF(NOT(ISNA(VLOOKUP(E921,E$1:E920,1,FALSE()))),"OLD",IF(AND(E921&lt;&gt;"",E921&lt;&gt;"!!!"),"NEW","")))</f>
        <v/>
      </c>
      <c r="G921" s="12" t="str">
        <f aca="false">IF(OR(E921="",E921="!!!"),"",IF(OR(J921=0,AND(J921=1,K921=1),AND(J921=1,I921="SBJ"),AND(J921=1,I921=0)),"?IN_FOCUS",IF(J921&lt;=2,"?ACTIVATED",IF(J921&lt;&gt;"","?FAMILIAR",IF(F921="NEW",IF(ISNA(VLOOKUP(E921,#REF!,1,FALSE())),"?TYPE_IDENTIFIABLE","?REFERENTIAL"),"_")))))</f>
        <v/>
      </c>
      <c r="H921" s="13" t="str">
        <f aca="false">IF(J921&lt;&gt;1,"",IF(I921="SBJ","CB","?"))</f>
        <v/>
      </c>
      <c r="I921" s="14" t="str">
        <f aca="false">IF(OR(E921="",E921="!!!",F921="NEW"),"",INDEX(B$2:B920,-1+SUMPRODUCT(MAX(ROW(E$2:E920)*(E921=E$2:E920)))))</f>
        <v/>
      </c>
      <c r="J921" s="15" t="str">
        <f aca="true">IF(OR(E921="",E921="!!!",F921="NEW"),"",COUNTBLANK(OFFSET(A$1,,,SUMPRODUCT(MAX(ROW(E$2:E921)*(E921=E$2:E921)))))-COUNTBLANK(OFFSET(A$1,,,SUMPRODUCT(MAX(ROW(E$1:E920)*(E921=E$1:E920))))))</f>
        <v/>
      </c>
      <c r="K921" s="15" t="str">
        <f aca="false">IF(OR(E921="",E921="!!!",F921="NEW"),"",INDEX(J$1:J920,SUMPRODUCT(MAX(ROW(E$1:E920)*(E921=E$1:E920)))))</f>
        <v/>
      </c>
      <c r="L921" s="16"/>
    </row>
    <row r="922" customFormat="false" ht="35.05" hidden="false" customHeight="false" outlineLevel="0" collapsed="false">
      <c r="A922" s="9" t="s">
        <v>143</v>
      </c>
      <c r="B922" s="0" t="s">
        <v>75</v>
      </c>
      <c r="C922" s="0" t="s">
        <v>119</v>
      </c>
      <c r="D922" s="0" t="s">
        <v>27</v>
      </c>
      <c r="E922" s="10"/>
      <c r="F922" s="11" t="str">
        <f aca="false">IF(OR(E922="",E922="!!!"),"",IF(NOT(ISNA(VLOOKUP(E922,E$1:E921,1,FALSE()))),"OLD",IF(AND(E922&lt;&gt;"",E922&lt;&gt;"!!!"),"NEW","")))</f>
        <v/>
      </c>
      <c r="G922" s="12" t="str">
        <f aca="false">IF(OR(E922="",E922="!!!"),"",IF(OR(J922=0,AND(J922=1,K922=1),AND(J922=1,I922="SBJ"),AND(J922=1,I922=0)),"?IN_FOCUS",IF(J922&lt;=2,"?ACTIVATED",IF(J922&lt;&gt;"","?FAMILIAR",IF(F922="NEW",IF(ISNA(VLOOKUP(E922,#REF!,1,FALSE())),"?TYPE_IDENTIFIABLE","?REFERENTIAL"),"_")))))</f>
        <v/>
      </c>
      <c r="H922" s="13" t="str">
        <f aca="false">IF(J922&lt;&gt;1,"",IF(I922="SBJ","CB","?"))</f>
        <v/>
      </c>
      <c r="I922" s="14" t="str">
        <f aca="false">IF(OR(E922="",E922="!!!",F922="NEW"),"",INDEX(B$2:B921,-1+SUMPRODUCT(MAX(ROW(E$2:E921)*(E922=E$2:E921)))))</f>
        <v/>
      </c>
      <c r="J922" s="15" t="str">
        <f aca="true">IF(OR(E922="",E922="!!!",F922="NEW"),"",COUNTBLANK(OFFSET(A$1,,,SUMPRODUCT(MAX(ROW(E$2:E922)*(E922=E$2:E922)))))-COUNTBLANK(OFFSET(A$1,,,SUMPRODUCT(MAX(ROW(E$1:E921)*(E922=E$1:E921))))))</f>
        <v/>
      </c>
      <c r="K922" s="15" t="str">
        <f aca="false">IF(OR(E922="",E922="!!!",F922="NEW"),"",INDEX(J$1:J921,SUMPRODUCT(MAX(ROW(E$1:E921)*(E922=E$1:E921)))))</f>
        <v/>
      </c>
      <c r="L922" s="16" t="s">
        <v>425</v>
      </c>
    </row>
    <row r="923" customFormat="false" ht="12.75" hidden="false" customHeight="false" outlineLevel="0" collapsed="false">
      <c r="A923" s="9" t="s">
        <v>426</v>
      </c>
      <c r="E923" s="10" t="str">
        <f aca="false">IF(D923="?OLD","!!!","")</f>
        <v/>
      </c>
      <c r="F923" s="11" t="str">
        <f aca="false">IF(OR(E923="",E923="!!!"),"",IF(NOT(ISNA(VLOOKUP(E923,E$1:E922,1,FALSE()))),"OLD",IF(AND(E923&lt;&gt;"",E923&lt;&gt;"!!!"),"NEW","")))</f>
        <v/>
      </c>
      <c r="G923" s="12" t="str">
        <f aca="false">IF(OR(E923="",E923="!!!"),"",IF(OR(J923=0,AND(J923=1,K923=1),AND(J923=1,I923="SBJ"),AND(J923=1,I923=0)),"?IN_FOCUS",IF(J923&lt;=2,"?ACTIVATED",IF(J923&lt;&gt;"","?FAMILIAR",IF(F923="NEW",IF(ISNA(VLOOKUP(E923,#REF!,1,FALSE())),"?TYPE_IDENTIFIABLE","?REFERENTIAL"),"_")))))</f>
        <v/>
      </c>
      <c r="H923" s="13" t="str">
        <f aca="false">IF(J923&lt;&gt;1,"",IF(I923="SBJ","CB","?"))</f>
        <v/>
      </c>
      <c r="I923" s="14" t="str">
        <f aca="false">IF(OR(E923="",E923="!!!",F923="NEW"),"",INDEX(B$2:B922,-1+SUMPRODUCT(MAX(ROW(E$2:E922)*(E923=E$2:E922)))))</f>
        <v/>
      </c>
      <c r="J923" s="15" t="str">
        <f aca="true">IF(OR(E923="",E923="!!!",F923="NEW"),"",COUNTBLANK(OFFSET(A$1,,,SUMPRODUCT(MAX(ROW(E$2:E923)*(E923=E$2:E923)))))-COUNTBLANK(OFFSET(A$1,,,SUMPRODUCT(MAX(ROW(E$1:E922)*(E923=E$1:E922))))))</f>
        <v/>
      </c>
      <c r="K923" s="15" t="str">
        <f aca="false">IF(OR(E923="",E923="!!!",F923="NEW"),"",INDEX(J$1:J922,SUMPRODUCT(MAX(ROW(E$1:E922)*(E923=E$1:E922)))))</f>
        <v/>
      </c>
      <c r="L923" s="16"/>
    </row>
    <row r="924" customFormat="false" ht="12.75" hidden="false" customHeight="false" outlineLevel="0" collapsed="false">
      <c r="A924" s="9" t="s">
        <v>39</v>
      </c>
      <c r="E924" s="10" t="str">
        <f aca="false">IF(D924="?OLD","!!!","")</f>
        <v/>
      </c>
      <c r="F924" s="11" t="str">
        <f aca="false">IF(OR(E924="",E924="!!!"),"",IF(NOT(ISNA(VLOOKUP(E924,E$1:E923,1,FALSE()))),"OLD",IF(AND(E924&lt;&gt;"",E924&lt;&gt;"!!!"),"NEW","")))</f>
        <v/>
      </c>
      <c r="G924" s="12" t="str">
        <f aca="false">IF(OR(E924="",E924="!!!"),"",IF(OR(J924=0,AND(J924=1,K924=1),AND(J924=1,I924="SBJ"),AND(J924=1,I924=0)),"?IN_FOCUS",IF(J924&lt;=2,"?ACTIVATED",IF(J924&lt;&gt;"","?FAMILIAR",IF(F924="NEW",IF(ISNA(VLOOKUP(E924,#REF!,1,FALSE())),"?TYPE_IDENTIFIABLE","?REFERENTIAL"),"_")))))</f>
        <v/>
      </c>
      <c r="H924" s="13" t="str">
        <f aca="false">IF(J924&lt;&gt;1,"",IF(I924="SBJ","CB","?"))</f>
        <v/>
      </c>
      <c r="I924" s="14" t="str">
        <f aca="false">IF(OR(E924="",E924="!!!",F924="NEW"),"",INDEX(B$2:B923,-1+SUMPRODUCT(MAX(ROW(E$2:E923)*(E924=E$2:E923)))))</f>
        <v/>
      </c>
      <c r="J924" s="15" t="str">
        <f aca="true">IF(OR(E924="",E924="!!!",F924="NEW"),"",COUNTBLANK(OFFSET(A$1,,,SUMPRODUCT(MAX(ROW(E$2:E924)*(E924=E$2:E924)))))-COUNTBLANK(OFFSET(A$1,,,SUMPRODUCT(MAX(ROW(E$1:E923)*(E924=E$1:E923))))))</f>
        <v/>
      </c>
      <c r="K924" s="15" t="str">
        <f aca="false">IF(OR(E924="",E924="!!!",F924="NEW"),"",INDEX(J$1:J923,SUMPRODUCT(MAX(ROW(E$1:E923)*(E924=E$1:E923)))))</f>
        <v/>
      </c>
      <c r="L924" s="16"/>
    </row>
    <row r="925" customFormat="false" ht="12.75" hidden="false" customHeight="false" outlineLevel="0" collapsed="false">
      <c r="A925" s="9" t="s">
        <v>175</v>
      </c>
      <c r="E925" s="10" t="str">
        <f aca="false">IF(D925="?OLD","!!!","")</f>
        <v/>
      </c>
      <c r="F925" s="11" t="str">
        <f aca="false">IF(OR(E925="",E925="!!!"),"",IF(NOT(ISNA(VLOOKUP(E925,E$1:E924,1,FALSE()))),"OLD",IF(AND(E925&lt;&gt;"",E925&lt;&gt;"!!!"),"NEW","")))</f>
        <v/>
      </c>
      <c r="G925" s="12" t="str">
        <f aca="false">IF(OR(E925="",E925="!!!"),"",IF(OR(J925=0,AND(J925=1,K925=1),AND(J925=1,I925="SBJ"),AND(J925=1,I925=0)),"?IN_FOCUS",IF(J925&lt;=2,"?ACTIVATED",IF(J925&lt;&gt;"","?FAMILIAR",IF(F925="NEW",IF(ISNA(VLOOKUP(E925,#REF!,1,FALSE())),"?TYPE_IDENTIFIABLE","?REFERENTIAL"),"_")))))</f>
        <v/>
      </c>
      <c r="H925" s="13" t="str">
        <f aca="false">IF(J925&lt;&gt;1,"",IF(I925="SBJ","CB","?"))</f>
        <v/>
      </c>
      <c r="I925" s="14" t="str">
        <f aca="false">IF(OR(E925="",E925="!!!",F925="NEW"),"",INDEX(B$2:B924,-1+SUMPRODUCT(MAX(ROW(E$2:E924)*(E925=E$2:E924)))))</f>
        <v/>
      </c>
      <c r="J925" s="15" t="str">
        <f aca="true">IF(OR(E925="",E925="!!!",F925="NEW"),"",COUNTBLANK(OFFSET(A$1,,,SUMPRODUCT(MAX(ROW(E$2:E925)*(E925=E$2:E925)))))-COUNTBLANK(OFFSET(A$1,,,SUMPRODUCT(MAX(ROW(E$1:E924)*(E925=E$1:E924))))))</f>
        <v/>
      </c>
      <c r="K925" s="15" t="str">
        <f aca="false">IF(OR(E925="",E925="!!!",F925="NEW"),"",INDEX(J$1:J924,SUMPRODUCT(MAX(ROW(E$1:E924)*(E925=E$1:E924)))))</f>
        <v/>
      </c>
      <c r="L925" s="16"/>
    </row>
    <row r="926" customFormat="false" ht="12.75" hidden="false" customHeight="false" outlineLevel="0" collapsed="false">
      <c r="A926" s="9" t="s">
        <v>53</v>
      </c>
      <c r="E926" s="10" t="str">
        <f aca="false">IF(D926="?OLD","!!!","")</f>
        <v/>
      </c>
      <c r="F926" s="11" t="str">
        <f aca="false">IF(OR(E926="",E926="!!!"),"",IF(NOT(ISNA(VLOOKUP(E926,E$1:E925,1,FALSE()))),"OLD",IF(AND(E926&lt;&gt;"",E926&lt;&gt;"!!!"),"NEW","")))</f>
        <v/>
      </c>
      <c r="G926" s="12" t="str">
        <f aca="false">IF(OR(E926="",E926="!!!"),"",IF(OR(J926=0,AND(J926=1,K926=1),AND(J926=1,I926="SBJ"),AND(J926=1,I926=0)),"?IN_FOCUS",IF(J926&lt;=2,"?ACTIVATED",IF(J926&lt;&gt;"","?FAMILIAR",IF(F926="NEW",IF(ISNA(VLOOKUP(E926,#REF!,1,FALSE())),"?TYPE_IDENTIFIABLE","?REFERENTIAL"),"_")))))</f>
        <v/>
      </c>
      <c r="H926" s="13" t="str">
        <f aca="false">IF(J926&lt;&gt;1,"",IF(I926="SBJ","CB","?"))</f>
        <v/>
      </c>
      <c r="I926" s="14" t="str">
        <f aca="false">IF(OR(E926="",E926="!!!",F926="NEW"),"",INDEX(B$2:B925,-1+SUMPRODUCT(MAX(ROW(E$2:E925)*(E926=E$2:E925)))))</f>
        <v/>
      </c>
      <c r="J926" s="15" t="str">
        <f aca="true">IF(OR(E926="",E926="!!!",F926="NEW"),"",COUNTBLANK(OFFSET(A$1,,,SUMPRODUCT(MAX(ROW(E$2:E926)*(E926=E$2:E926)))))-COUNTBLANK(OFFSET(A$1,,,SUMPRODUCT(MAX(ROW(E$1:E925)*(E926=E$1:E925))))))</f>
        <v/>
      </c>
      <c r="K926" s="15" t="str">
        <f aca="false">IF(OR(E926="",E926="!!!",F926="NEW"),"",INDEX(J$1:J925,SUMPRODUCT(MAX(ROW(E$1:E925)*(E926=E$1:E925)))))</f>
        <v/>
      </c>
      <c r="L926" s="16"/>
    </row>
    <row r="927" customFormat="false" ht="12.75" hidden="false" customHeight="false" outlineLevel="0" collapsed="false">
      <c r="A927" s="9" t="s">
        <v>111</v>
      </c>
      <c r="E927" s="10" t="str">
        <f aca="false">IF(D927="?OLD","!!!","")</f>
        <v/>
      </c>
      <c r="F927" s="11" t="str">
        <f aca="false">IF(OR(E927="",E927="!!!"),"",IF(NOT(ISNA(VLOOKUP(E927,E$1:E926,1,FALSE()))),"OLD",IF(AND(E927&lt;&gt;"",E927&lt;&gt;"!!!"),"NEW","")))</f>
        <v/>
      </c>
      <c r="G927" s="12" t="str">
        <f aca="false">IF(OR(E927="",E927="!!!"),"",IF(OR(J927=0,AND(J927=1,K927=1),AND(J927=1,I927="SBJ"),AND(J927=1,I927=0)),"?IN_FOCUS",IF(J927&lt;=2,"?ACTIVATED",IF(J927&lt;&gt;"","?FAMILIAR",IF(F927="NEW",IF(ISNA(VLOOKUP(E927,#REF!,1,FALSE())),"?TYPE_IDENTIFIABLE","?REFERENTIAL"),"_")))))</f>
        <v/>
      </c>
      <c r="H927" s="13" t="str">
        <f aca="false">IF(J927&lt;&gt;1,"",IF(I927="SBJ","CB","?"))</f>
        <v/>
      </c>
      <c r="I927" s="14" t="str">
        <f aca="false">IF(OR(E927="",E927="!!!",F927="NEW"),"",INDEX(B$2:B926,-1+SUMPRODUCT(MAX(ROW(E$2:E926)*(E927=E$2:E926)))))</f>
        <v/>
      </c>
      <c r="J927" s="15" t="str">
        <f aca="true">IF(OR(E927="",E927="!!!",F927="NEW"),"",COUNTBLANK(OFFSET(A$1,,,SUMPRODUCT(MAX(ROW(E$2:E927)*(E927=E$2:E927)))))-COUNTBLANK(OFFSET(A$1,,,SUMPRODUCT(MAX(ROW(E$1:E926)*(E927=E$1:E926))))))</f>
        <v/>
      </c>
      <c r="K927" s="15" t="str">
        <f aca="false">IF(OR(E927="",E927="!!!",F927="NEW"),"",INDEX(J$1:J926,SUMPRODUCT(MAX(ROW(E$1:E926)*(E927=E$1:E926)))))</f>
        <v/>
      </c>
      <c r="L927" s="16"/>
    </row>
    <row r="928" customFormat="false" ht="12.75" hidden="false" customHeight="false" outlineLevel="0" collapsed="false">
      <c r="A928" s="9" t="s">
        <v>45</v>
      </c>
      <c r="E928" s="10" t="str">
        <f aca="false">IF(D928="?OLD","!!!","")</f>
        <v/>
      </c>
      <c r="F928" s="11" t="str">
        <f aca="false">IF(OR(E928="",E928="!!!"),"",IF(NOT(ISNA(VLOOKUP(E928,E$1:E927,1,FALSE()))),"OLD",IF(AND(E928&lt;&gt;"",E928&lt;&gt;"!!!"),"NEW","")))</f>
        <v/>
      </c>
      <c r="G928" s="12" t="str">
        <f aca="false">IF(OR(E928="",E928="!!!"),"",IF(OR(J928=0,AND(J928=1,K928=1),AND(J928=1,I928="SBJ"),AND(J928=1,I928=0)),"?IN_FOCUS",IF(J928&lt;=2,"?ACTIVATED",IF(J928&lt;&gt;"","?FAMILIAR",IF(F928="NEW",IF(ISNA(VLOOKUP(E928,#REF!,1,FALSE())),"?TYPE_IDENTIFIABLE","?REFERENTIAL"),"_")))))</f>
        <v/>
      </c>
      <c r="H928" s="13" t="str">
        <f aca="false">IF(J928&lt;&gt;1,"",IF(I928="SBJ","CB","?"))</f>
        <v/>
      </c>
      <c r="I928" s="14" t="str">
        <f aca="false">IF(OR(E928="",E928="!!!",F928="NEW"),"",INDEX(B$2:B927,-1+SUMPRODUCT(MAX(ROW(E$2:E927)*(E928=E$2:E927)))))</f>
        <v/>
      </c>
      <c r="J928" s="15" t="str">
        <f aca="true">IF(OR(E928="",E928="!!!",F928="NEW"),"",COUNTBLANK(OFFSET(A$1,,,SUMPRODUCT(MAX(ROW(E$2:E928)*(E928=E$2:E928)))))-COUNTBLANK(OFFSET(A$1,,,SUMPRODUCT(MAX(ROW(E$1:E927)*(E928=E$1:E927))))))</f>
        <v/>
      </c>
      <c r="K928" s="15" t="str">
        <f aca="false">IF(OR(E928="",E928="!!!",F928="NEW"),"",INDEX(J$1:J927,SUMPRODUCT(MAX(ROW(E$1:E927)*(E928=E$1:E927)))))</f>
        <v/>
      </c>
      <c r="L928" s="16"/>
    </row>
    <row r="929" customFormat="false" ht="12.75" hidden="false" customHeight="false" outlineLevel="0" collapsed="false">
      <c r="A929" s="9" t="s">
        <v>86</v>
      </c>
      <c r="E929" s="10" t="str">
        <f aca="false">IF(D929="?OLD","!!!","")</f>
        <v/>
      </c>
      <c r="F929" s="11" t="str">
        <f aca="false">IF(OR(E929="",E929="!!!"),"",IF(NOT(ISNA(VLOOKUP(E929,E$1:E928,1,FALSE()))),"OLD",IF(AND(E929&lt;&gt;"",E929&lt;&gt;"!!!"),"NEW","")))</f>
        <v/>
      </c>
      <c r="G929" s="12" t="str">
        <f aca="false">IF(OR(E929="",E929="!!!"),"",IF(OR(J929=0,AND(J929=1,K929=1),AND(J929=1,I929="SBJ"),AND(J929=1,I929=0)),"?IN_FOCUS",IF(J929&lt;=2,"?ACTIVATED",IF(J929&lt;&gt;"","?FAMILIAR",IF(F929="NEW",IF(ISNA(VLOOKUP(E929,#REF!,1,FALSE())),"?TYPE_IDENTIFIABLE","?REFERENTIAL"),"_")))))</f>
        <v/>
      </c>
      <c r="H929" s="13" t="str">
        <f aca="false">IF(J929&lt;&gt;1,"",IF(I929="SBJ","CB","?"))</f>
        <v/>
      </c>
      <c r="I929" s="14" t="str">
        <f aca="false">IF(OR(E929="",E929="!!!",F929="NEW"),"",INDEX(B$2:B928,-1+SUMPRODUCT(MAX(ROW(E$2:E928)*(E929=E$2:E928)))))</f>
        <v/>
      </c>
      <c r="J929" s="15" t="str">
        <f aca="true">IF(OR(E929="",E929="!!!",F929="NEW"),"",COUNTBLANK(OFFSET(A$1,,,SUMPRODUCT(MAX(ROW(E$2:E929)*(E929=E$2:E929)))))-COUNTBLANK(OFFSET(A$1,,,SUMPRODUCT(MAX(ROW(E$1:E928)*(E929=E$1:E928))))))</f>
        <v/>
      </c>
      <c r="K929" s="15" t="str">
        <f aca="false">IF(OR(E929="",E929="!!!",F929="NEW"),"",INDEX(J$1:J928,SUMPRODUCT(MAX(ROW(E$1:E928)*(E929=E$1:E928)))))</f>
        <v/>
      </c>
      <c r="L929" s="16"/>
    </row>
    <row r="930" customFormat="false" ht="12.75" hidden="false" customHeight="false" outlineLevel="0" collapsed="false">
      <c r="A930" s="9" t="s">
        <v>87</v>
      </c>
      <c r="B930" s="0" t="s">
        <v>75</v>
      </c>
      <c r="C930" s="0" t="s">
        <v>26</v>
      </c>
      <c r="D930" s="0" t="s">
        <v>27</v>
      </c>
      <c r="E930" s="10" t="s">
        <v>88</v>
      </c>
      <c r="F930" s="11" t="str">
        <f aca="false">IF(OR(E930="",E930="!!!"),"",IF(NOT(ISNA(VLOOKUP(E930,E$1:E929,1,FALSE()))),"OLD",IF(AND(E930&lt;&gt;"",E930&lt;&gt;"!!!"),"NEW","")))</f>
        <v>OLD</v>
      </c>
      <c r="G930" s="12" t="s">
        <v>72</v>
      </c>
      <c r="H930" s="13" t="str">
        <f aca="false">IF(J930&lt;&gt;1,"",IF(I930="SBJ","CB","?"))</f>
        <v/>
      </c>
      <c r="I930" s="14" t="str">
        <f aca="false">IF(OR(E930="",E930="!!!",F930="NEW"),"",INDEX(B$2:B929,-1+SUMPRODUCT(MAX(ROW(E$2:E929)*(E930=E$2:E929)))))</f>
        <v>OBJ_5</v>
      </c>
      <c r="J930" s="15" t="n">
        <f aca="true">IF(OR(E930="",E930="!!!",F930="NEW"),"",COUNTBLANK(OFFSET(A$1,,,SUMPRODUCT(MAX(ROW(E$2:E930)*(E930=E$2:E930)))))-COUNTBLANK(OFFSET(A$1,,,SUMPRODUCT(MAX(ROW(E$1:E929)*(E930=E$1:E929))))))</f>
        <v>27</v>
      </c>
      <c r="K930" s="15" t="n">
        <f aca="false">IF(OR(E930="",E930="!!!",F930="NEW"),"",INDEX(J$1:J929,SUMPRODUCT(MAX(ROW(E$1:E929)*(E930=E$1:E929)))))</f>
        <v>11</v>
      </c>
      <c r="L930" s="16"/>
    </row>
    <row r="931" customFormat="false" ht="12.75" hidden="false" customHeight="false" outlineLevel="0" collapsed="false">
      <c r="A931" s="9" t="s">
        <v>22</v>
      </c>
      <c r="E931" s="10" t="str">
        <f aca="false">IF(D931="?OLD","!!!","")</f>
        <v/>
      </c>
      <c r="F931" s="11" t="str">
        <f aca="false">IF(OR(E931="",E931="!!!"),"",IF(NOT(ISNA(VLOOKUP(E931,E$1:E930,1,FALSE()))),"OLD",IF(AND(E931&lt;&gt;"",E931&lt;&gt;"!!!"),"NEW","")))</f>
        <v/>
      </c>
      <c r="G931" s="12" t="str">
        <f aca="false">IF(OR(E931="",E931="!!!"),"",IF(OR(J931=0,AND(J931=1,K931=1),AND(J931=1,I931="SBJ"),AND(J931=1,I931=0)),"?IN_FOCUS",IF(J931&lt;=2,"?ACTIVATED",IF(J931&lt;&gt;"","?FAMILIAR",IF(F931="NEW",IF(ISNA(VLOOKUP(E931,#REF!,1,FALSE())),"?TYPE_IDENTIFIABLE","?REFERENTIAL"),"_")))))</f>
        <v/>
      </c>
      <c r="H931" s="13" t="str">
        <f aca="false">IF(J931&lt;&gt;1,"",IF(I931="SBJ","CB","?"))</f>
        <v/>
      </c>
      <c r="I931" s="14" t="str">
        <f aca="false">IF(OR(E931="",E931="!!!",F931="NEW"),"",INDEX(B$2:B930,-1+SUMPRODUCT(MAX(ROW(E$2:E930)*(E931=E$2:E930)))))</f>
        <v/>
      </c>
      <c r="J931" s="15" t="str">
        <f aca="true">IF(OR(E931="",E931="!!!",F931="NEW"),"",COUNTBLANK(OFFSET(A$1,,,SUMPRODUCT(MAX(ROW(E$2:E931)*(E931=E$2:E931)))))-COUNTBLANK(OFFSET(A$1,,,SUMPRODUCT(MAX(ROW(E$1:E930)*(E931=E$1:E930))))))</f>
        <v/>
      </c>
      <c r="K931" s="15" t="str">
        <f aca="false">IF(OR(E931="",E931="!!!",F931="NEW"),"",INDEX(J$1:J930,SUMPRODUCT(MAX(ROW(E$1:E930)*(E931=E$1:E930)))))</f>
        <v/>
      </c>
      <c r="L931" s="16"/>
    </row>
    <row r="932" customFormat="false" ht="12.75" hidden="false" customHeight="false" outlineLevel="0" collapsed="false">
      <c r="A932" s="9" t="s">
        <v>365</v>
      </c>
      <c r="B932" s="0" t="s">
        <v>90</v>
      </c>
      <c r="E932" s="10" t="str">
        <f aca="false">IF(D932="?OLD","!!!","")</f>
        <v/>
      </c>
      <c r="F932" s="11" t="str">
        <f aca="false">IF(OR(E932="",E932="!!!"),"",IF(NOT(ISNA(VLOOKUP(E932,E$1:E931,1,FALSE()))),"OLD",IF(AND(E932&lt;&gt;"",E932&lt;&gt;"!!!"),"NEW","")))</f>
        <v/>
      </c>
      <c r="G932" s="12" t="str">
        <f aca="false">IF(OR(E932="",E932="!!!"),"",IF(OR(J932=0,AND(J932=1,K932=1),AND(J932=1,I932="SBJ"),AND(J932=1,I932=0)),"?IN_FOCUS",IF(J932&lt;=2,"?ACTIVATED",IF(J932&lt;&gt;"","?FAMILIAR",IF(F932="NEW",IF(ISNA(VLOOKUP(E932,#REF!,1,FALSE())),"?TYPE_IDENTIFIABLE","?REFERENTIAL"),"_")))))</f>
        <v/>
      </c>
      <c r="H932" s="13" t="str">
        <f aca="false">IF(J932&lt;&gt;1,"",IF(I932="SBJ","CB","?"))</f>
        <v/>
      </c>
      <c r="I932" s="14" t="str">
        <f aca="false">IF(OR(E932="",E932="!!!",F932="NEW"),"",INDEX(B$2:B931,-1+SUMPRODUCT(MAX(ROW(E$2:E931)*(E932=E$2:E931)))))</f>
        <v/>
      </c>
      <c r="J932" s="15" t="str">
        <f aca="true">IF(OR(E932="",E932="!!!",F932="NEW"),"",COUNTBLANK(OFFSET(A$1,,,SUMPRODUCT(MAX(ROW(E$2:E932)*(E932=E$2:E932)))))-COUNTBLANK(OFFSET(A$1,,,SUMPRODUCT(MAX(ROW(E$1:E931)*(E932=E$1:E931))))))</f>
        <v/>
      </c>
      <c r="K932" s="15" t="str">
        <f aca="false">IF(OR(E932="",E932="!!!",F932="NEW"),"",INDEX(J$1:J931,SUMPRODUCT(MAX(ROW(E$1:E931)*(E932=E$1:E931)))))</f>
        <v/>
      </c>
      <c r="L932" s="16"/>
    </row>
    <row r="933" customFormat="false" ht="12.75" hidden="false" customHeight="false" outlineLevel="0" collapsed="false">
      <c r="A933" s="9" t="s">
        <v>126</v>
      </c>
      <c r="B933" s="0" t="s">
        <v>114</v>
      </c>
      <c r="C933" s="0" t="s">
        <v>26</v>
      </c>
      <c r="D933" s="0" t="s">
        <v>27</v>
      </c>
      <c r="E933" s="10" t="s">
        <v>126</v>
      </c>
      <c r="F933" s="11" t="str">
        <f aca="false">IF(OR(E933="",E933="!!!"),"",IF(NOT(ISNA(VLOOKUP(E933,E$1:E932,1,FALSE()))),"OLD",IF(AND(E933&lt;&gt;"",E933&lt;&gt;"!!!"),"NEW","")))</f>
        <v>OLD</v>
      </c>
      <c r="G933" s="12" t="s">
        <v>51</v>
      </c>
      <c r="H933" s="13" t="str">
        <f aca="false">IF(J933&lt;&gt;1,"",IF(I933="SBJ","CB","?"))</f>
        <v/>
      </c>
      <c r="I933" s="14" t="str">
        <f aca="false">IF(OR(E933="",E933="!!!",F933="NEW"),"",INDEX(B$2:B932,-1+SUMPRODUCT(MAX(ROW(E$2:E932)*(E933=E$2:E932)))))</f>
        <v>other</v>
      </c>
      <c r="J933" s="15" t="n">
        <f aca="true">IF(OR(E933="",E933="!!!",F933="NEW"),"",COUNTBLANK(OFFSET(A$1,,,SUMPRODUCT(MAX(ROW(E$2:E933)*(E933=E$2:E933)))))-COUNTBLANK(OFFSET(A$1,,,SUMPRODUCT(MAX(ROW(E$1:E932)*(E933=E$1:E932))))))</f>
        <v>0</v>
      </c>
      <c r="K933" s="15" t="n">
        <f aca="false">IF(OR(E933="",E933="!!!",F933="NEW"),"",INDEX(J$1:J932,SUMPRODUCT(MAX(ROW(E$1:E932)*(E933=E$1:E932)))))</f>
        <v>1</v>
      </c>
      <c r="L933" s="16"/>
    </row>
    <row r="934" customFormat="false" ht="12.75" hidden="false" customHeight="false" outlineLevel="0" collapsed="false">
      <c r="A934" s="9" t="s">
        <v>77</v>
      </c>
      <c r="E934" s="10" t="str">
        <f aca="false">IF(D934="?OLD","!!!","")</f>
        <v/>
      </c>
      <c r="F934" s="11" t="str">
        <f aca="false">IF(OR(E934="",E934="!!!"),"",IF(NOT(ISNA(VLOOKUP(E934,E$1:E933,1,FALSE()))),"OLD",IF(AND(E934&lt;&gt;"",E934&lt;&gt;"!!!"),"NEW","")))</f>
        <v/>
      </c>
      <c r="G934" s="12" t="str">
        <f aca="false">IF(OR(E934="",E934="!!!"),"",IF(OR(J934=0,AND(J934=1,K934=1),AND(J934=1,I934="SBJ"),AND(J934=1,I934=0)),"?IN_FOCUS",IF(J934&lt;=2,"?ACTIVATED",IF(J934&lt;&gt;"","?FAMILIAR",IF(F934="NEW",IF(ISNA(VLOOKUP(E934,#REF!,1,FALSE())),"?TYPE_IDENTIFIABLE","?REFERENTIAL"),"_")))))</f>
        <v/>
      </c>
      <c r="H934" s="13" t="str">
        <f aca="false">IF(J934&lt;&gt;1,"",IF(I934="SBJ","CB","?"))</f>
        <v/>
      </c>
      <c r="I934" s="14" t="str">
        <f aca="false">IF(OR(E934="",E934="!!!",F934="NEW"),"",INDEX(B$2:B933,-1+SUMPRODUCT(MAX(ROW(E$2:E933)*(E934=E$2:E933)))))</f>
        <v/>
      </c>
      <c r="J934" s="15" t="str">
        <f aca="true">IF(OR(E934="",E934="!!!",F934="NEW"),"",COUNTBLANK(OFFSET(A$1,,,SUMPRODUCT(MAX(ROW(E$2:E934)*(E934=E$2:E934)))))-COUNTBLANK(OFFSET(A$1,,,SUMPRODUCT(MAX(ROW(E$1:E933)*(E934=E$1:E933))))))</f>
        <v/>
      </c>
      <c r="K934" s="15" t="str">
        <f aca="false">IF(OR(E934="",E934="!!!",F934="NEW"),"",INDEX(J$1:J933,SUMPRODUCT(MAX(ROW(E$1:E933)*(E934=E$1:E933)))))</f>
        <v/>
      </c>
      <c r="L934" s="16"/>
    </row>
    <row r="935" customFormat="false" ht="12.75" hidden="false" customHeight="false" outlineLevel="0" collapsed="false">
      <c r="A935" s="9" t="s">
        <v>427</v>
      </c>
      <c r="E935" s="10" t="str">
        <f aca="false">IF(D935="?OLD","!!!","")</f>
        <v/>
      </c>
      <c r="F935" s="11" t="str">
        <f aca="false">IF(OR(E935="",E935="!!!"),"",IF(NOT(ISNA(VLOOKUP(E935,E$1:E934,1,FALSE()))),"OLD",IF(AND(E935&lt;&gt;"",E935&lt;&gt;"!!!"),"NEW","")))</f>
        <v/>
      </c>
      <c r="G935" s="12" t="str">
        <f aca="false">IF(OR(E935="",E935="!!!"),"",IF(OR(J935=0,AND(J935=1,K935=1),AND(J935=1,I935="SBJ"),AND(J935=1,I935=0)),"?IN_FOCUS",IF(J935&lt;=2,"?ACTIVATED",IF(J935&lt;&gt;"","?FAMILIAR",IF(F935="NEW",IF(ISNA(VLOOKUP(E935,#REF!,1,FALSE())),"?TYPE_IDENTIFIABLE","?REFERENTIAL"),"_")))))</f>
        <v/>
      </c>
      <c r="H935" s="13" t="str">
        <f aca="false">IF(J935&lt;&gt;1,"",IF(I935="SBJ","CB","?"))</f>
        <v/>
      </c>
      <c r="I935" s="14" t="str">
        <f aca="false">IF(OR(E935="",E935="!!!",F935="NEW"),"",INDEX(B$2:B934,-1+SUMPRODUCT(MAX(ROW(E$2:E934)*(E935=E$2:E934)))))</f>
        <v/>
      </c>
      <c r="J935" s="15" t="str">
        <f aca="true">IF(OR(E935="",E935="!!!",F935="NEW"),"",COUNTBLANK(OFFSET(A$1,,,SUMPRODUCT(MAX(ROW(E$2:E935)*(E935=E$2:E935)))))-COUNTBLANK(OFFSET(A$1,,,SUMPRODUCT(MAX(ROW(E$1:E934)*(E935=E$1:E934))))))</f>
        <v/>
      </c>
      <c r="K935" s="15" t="str">
        <f aca="false">IF(OR(E935="",E935="!!!",F935="NEW"),"",INDEX(J$1:J934,SUMPRODUCT(MAX(ROW(E$1:E934)*(E935=E$1:E934)))))</f>
        <v/>
      </c>
      <c r="L935" s="16"/>
    </row>
    <row r="936" customFormat="false" ht="12.75" hidden="false" customHeight="false" outlineLevel="0" collapsed="false">
      <c r="A936" s="9" t="s">
        <v>84</v>
      </c>
      <c r="E936" s="10" t="str">
        <f aca="false">IF(D936="?OLD","!!!","")</f>
        <v/>
      </c>
      <c r="F936" s="11" t="str">
        <f aca="false">IF(OR(E936="",E936="!!!"),"",IF(NOT(ISNA(VLOOKUP(E936,E$1:E935,1,FALSE()))),"OLD",IF(AND(E936&lt;&gt;"",E936&lt;&gt;"!!!"),"NEW","")))</f>
        <v/>
      </c>
      <c r="G936" s="12" t="str">
        <f aca="false">IF(OR(E936="",E936="!!!"),"",IF(OR(J936=0,AND(J936=1,K936=1),AND(J936=1,I936="SBJ"),AND(J936=1,I936=0)),"?IN_FOCUS",IF(J936&lt;=2,"?ACTIVATED",IF(J936&lt;&gt;"","?FAMILIAR",IF(F936="NEW",IF(ISNA(VLOOKUP(E936,#REF!,1,FALSE())),"?TYPE_IDENTIFIABLE","?REFERENTIAL"),"_")))))</f>
        <v/>
      </c>
      <c r="H936" s="13" t="str">
        <f aca="false">IF(J936&lt;&gt;1,"",IF(I936="SBJ","CB","?"))</f>
        <v/>
      </c>
      <c r="I936" s="14" t="str">
        <f aca="false">IF(OR(E936="",E936="!!!",F936="NEW"),"",INDEX(B$2:B935,-1+SUMPRODUCT(MAX(ROW(E$2:E935)*(E936=E$2:E935)))))</f>
        <v/>
      </c>
      <c r="J936" s="15" t="str">
        <f aca="true">IF(OR(E936="",E936="!!!",F936="NEW"),"",COUNTBLANK(OFFSET(A$1,,,SUMPRODUCT(MAX(ROW(E$2:E936)*(E936=E$2:E936)))))-COUNTBLANK(OFFSET(A$1,,,SUMPRODUCT(MAX(ROW(E$1:E935)*(E936=E$1:E935))))))</f>
        <v/>
      </c>
      <c r="K936" s="15" t="str">
        <f aca="false">IF(OR(E936="",E936="!!!",F936="NEW"),"",INDEX(J$1:J935,SUMPRODUCT(MAX(ROW(E$1:E935)*(E936=E$1:E935)))))</f>
        <v/>
      </c>
      <c r="L936" s="16"/>
    </row>
    <row r="937" customFormat="false" ht="12.75" hidden="false" customHeight="false" outlineLevel="0" collapsed="false">
      <c r="A937" s="9" t="s">
        <v>189</v>
      </c>
      <c r="B937" s="0" t="s">
        <v>33</v>
      </c>
      <c r="C937" s="0" t="s">
        <v>190</v>
      </c>
      <c r="D937" s="0" t="s">
        <v>27</v>
      </c>
      <c r="E937" s="10"/>
      <c r="F937" s="11" t="s">
        <v>112</v>
      </c>
      <c r="G937" s="12" t="str">
        <f aca="false">IF(OR(E937="",E937="!!!"),"",IF(OR(J937=0,AND(J937=1,K937=1),AND(J937=1,I937="SBJ"),AND(J937=1,I937=0)),"?IN_FOCUS",IF(J937&lt;=2,"?ACTIVATED",IF(J937&lt;&gt;"","?FAMILIAR",IF(F937="NEW",IF(ISNA(VLOOKUP(E937,#REF!,1,FALSE())),"?TYPE_IDENTIFIABLE","?REFERENTIAL"),"_")))))</f>
        <v/>
      </c>
      <c r="H937" s="13" t="str">
        <f aca="false">IF(J937&lt;&gt;1,"",IF(I937="SBJ","CB","?"))</f>
        <v/>
      </c>
      <c r="I937" s="14" t="str">
        <f aca="false">IF(OR(E937="",E937="!!!",F937="NEW"),"",INDEX(B$2:B936,-1+SUMPRODUCT(MAX(ROW(E$2:E936)*(E937=E$2:E936)))))</f>
        <v/>
      </c>
      <c r="J937" s="15" t="str">
        <f aca="true">IF(OR(E937="",E937="!!!",F937="NEW"),"",COUNTBLANK(OFFSET(A$1,,,SUMPRODUCT(MAX(ROW(E$2:E937)*(E937=E$2:E937)))))-COUNTBLANK(OFFSET(A$1,,,SUMPRODUCT(MAX(ROW(E$1:E936)*(E937=E$1:E936))))))</f>
        <v/>
      </c>
      <c r="K937" s="15" t="str">
        <f aca="false">IF(OR(E937="",E937="!!!",F937="NEW"),"",INDEX(J$1:J936,SUMPRODUCT(MAX(ROW(E$1:E936)*(E937=E$1:E936)))))</f>
        <v/>
      </c>
      <c r="L937" s="16"/>
    </row>
    <row r="938" customFormat="false" ht="12.75" hidden="false" customHeight="false" outlineLevel="0" collapsed="false">
      <c r="A938" s="9" t="s">
        <v>141</v>
      </c>
      <c r="B938" s="0" t="s">
        <v>52</v>
      </c>
      <c r="E938" s="10" t="str">
        <f aca="false">IF(D938="?OLD","!!!","")</f>
        <v/>
      </c>
      <c r="F938" s="11" t="str">
        <f aca="false">IF(OR(E938="",E938="!!!"),"",IF(NOT(ISNA(VLOOKUP(E938,E$1:E937,1,FALSE()))),"OLD",IF(AND(E938&lt;&gt;"",E938&lt;&gt;"!!!"),"NEW","")))</f>
        <v/>
      </c>
      <c r="G938" s="12" t="str">
        <f aca="false">IF(OR(E938="",E938="!!!"),"",IF(OR(J938=0,AND(J938=1,K938=1),AND(J938=1,I938="SBJ"),AND(J938=1,I938=0)),"?IN_FOCUS",IF(J938&lt;=2,"?ACTIVATED",IF(J938&lt;&gt;"","?FAMILIAR",IF(F938="NEW",IF(ISNA(VLOOKUP(E938,#REF!,1,FALSE())),"?TYPE_IDENTIFIABLE","?REFERENTIAL"),"_")))))</f>
        <v/>
      </c>
      <c r="H938" s="13" t="str">
        <f aca="false">IF(J938&lt;&gt;1,"",IF(I938="SBJ","CB","?"))</f>
        <v/>
      </c>
      <c r="I938" s="14" t="str">
        <f aca="false">IF(OR(E938="",E938="!!!",F938="NEW"),"",INDEX(B$2:B937,-1+SUMPRODUCT(MAX(ROW(E$2:E937)*(E938=E$2:E937)))))</f>
        <v/>
      </c>
      <c r="J938" s="15" t="str">
        <f aca="true">IF(OR(E938="",E938="!!!",F938="NEW"),"",COUNTBLANK(OFFSET(A$1,,,SUMPRODUCT(MAX(ROW(E$2:E938)*(E938=E$2:E938)))))-COUNTBLANK(OFFSET(A$1,,,SUMPRODUCT(MAX(ROW(E$1:E937)*(E938=E$1:E937))))))</f>
        <v/>
      </c>
      <c r="K938" s="15" t="str">
        <f aca="false">IF(OR(E938="",E938="!!!",F938="NEW"),"",INDEX(J$1:J937,SUMPRODUCT(MAX(ROW(E$1:E937)*(E938=E$1:E937)))))</f>
        <v/>
      </c>
      <c r="L938" s="16"/>
    </row>
    <row r="939" customFormat="false" ht="12.75" hidden="false" customHeight="false" outlineLevel="0" collapsed="false">
      <c r="A939" s="9" t="s">
        <v>396</v>
      </c>
      <c r="E939" s="10" t="str">
        <f aca="false">IF(D939="?OLD","!!!","")</f>
        <v/>
      </c>
      <c r="F939" s="11" t="str">
        <f aca="false">IF(OR(E939="",E939="!!!"),"",IF(NOT(ISNA(VLOOKUP(E939,E$1:E938,1,FALSE()))),"OLD",IF(AND(E939&lt;&gt;"",E939&lt;&gt;"!!!"),"NEW","")))</f>
        <v/>
      </c>
      <c r="G939" s="12" t="str">
        <f aca="false">IF(OR(E939="",E939="!!!"),"",IF(OR(J939=0,AND(J939=1,K939=1),AND(J939=1,I939="SBJ"),AND(J939=1,I939=0)),"?IN_FOCUS",IF(J939&lt;=2,"?ACTIVATED",IF(J939&lt;&gt;"","?FAMILIAR",IF(F939="NEW",IF(ISNA(VLOOKUP(E939,#REF!,1,FALSE())),"?TYPE_IDENTIFIABLE","?REFERENTIAL"),"_")))))</f>
        <v/>
      </c>
      <c r="H939" s="13" t="str">
        <f aca="false">IF(J939&lt;&gt;1,"",IF(I939="SBJ","CB","?"))</f>
        <v/>
      </c>
      <c r="I939" s="14" t="str">
        <f aca="false">IF(OR(E939="",E939="!!!",F939="NEW"),"",INDEX(B$2:B938,-1+SUMPRODUCT(MAX(ROW(E$2:E938)*(E939=E$2:E938)))))</f>
        <v/>
      </c>
      <c r="J939" s="15" t="str">
        <f aca="true">IF(OR(E939="",E939="!!!",F939="NEW"),"",COUNTBLANK(OFFSET(A$1,,,SUMPRODUCT(MAX(ROW(E$2:E939)*(E939=E$2:E939)))))-COUNTBLANK(OFFSET(A$1,,,SUMPRODUCT(MAX(ROW(E$1:E938)*(E939=E$1:E938))))))</f>
        <v/>
      </c>
      <c r="K939" s="15" t="str">
        <f aca="false">IF(OR(E939="",E939="!!!",F939="NEW"),"",INDEX(J$1:J938,SUMPRODUCT(MAX(ROW(E$1:E938)*(E939=E$1:E938)))))</f>
        <v/>
      </c>
      <c r="L939" s="16"/>
    </row>
    <row r="940" customFormat="false" ht="12.75" hidden="false" customHeight="false" outlineLevel="0" collapsed="false">
      <c r="A940" s="9" t="s">
        <v>150</v>
      </c>
      <c r="B940" s="0" t="s">
        <v>185</v>
      </c>
      <c r="C940" s="0" t="s">
        <v>58</v>
      </c>
      <c r="D940" s="0" t="s">
        <v>27</v>
      </c>
      <c r="E940" s="10" t="s">
        <v>126</v>
      </c>
      <c r="F940" s="11" t="str">
        <f aca="false">IF(OR(E940="",E940="!!!"),"",IF(NOT(ISNA(VLOOKUP(E940,E$1:E939,1,FALSE()))),"OLD",IF(AND(E940&lt;&gt;"",E940&lt;&gt;"!!!"),"NEW","")))</f>
        <v>OLD</v>
      </c>
      <c r="G940" s="12" t="s">
        <v>51</v>
      </c>
      <c r="H940" s="13" t="str">
        <f aca="false">IF(J940&lt;&gt;1,"",IF(I940="SBJ","CB","?"))</f>
        <v/>
      </c>
      <c r="I940" s="14" t="str">
        <f aca="false">IF(OR(E940="",E940="!!!",F940="NEW"),"",INDEX(B$2:B939,-1+SUMPRODUCT(MAX(ROW(E$2:E939)*(E940=E$2:E939)))))</f>
        <v>SBJ_3</v>
      </c>
      <c r="J940" s="15" t="n">
        <f aca="true">IF(OR(E940="",E940="!!!",F940="NEW"),"",COUNTBLANK(OFFSET(A$1,,,SUMPRODUCT(MAX(ROW(E$2:E940)*(E940=E$2:E940)))))-COUNTBLANK(OFFSET(A$1,,,SUMPRODUCT(MAX(ROW(E$1:E939)*(E940=E$1:E939))))))</f>
        <v>0</v>
      </c>
      <c r="K940" s="15" t="n">
        <f aca="false">IF(OR(E940="",E940="!!!",F940="NEW"),"",INDEX(J$1:J939,SUMPRODUCT(MAX(ROW(E$1:E939)*(E940=E$1:E939)))))</f>
        <v>0</v>
      </c>
      <c r="L940" s="16"/>
    </row>
    <row r="941" customFormat="false" ht="12.75" hidden="false" customHeight="false" outlineLevel="0" collapsed="false">
      <c r="A941" s="9" t="s">
        <v>68</v>
      </c>
      <c r="E941" s="10" t="str">
        <f aca="false">IF(D941="?OLD","!!!","")</f>
        <v/>
      </c>
      <c r="F941" s="11" t="str">
        <f aca="false">IF(OR(E941="",E941="!!!"),"",IF(NOT(ISNA(VLOOKUP(E941,E$1:E940,1,FALSE()))),"OLD",IF(AND(E941&lt;&gt;"",E941&lt;&gt;"!!!"),"NEW","")))</f>
        <v/>
      </c>
      <c r="G941" s="12" t="str">
        <f aca="false">IF(OR(E941="",E941="!!!"),"",IF(OR(J941=0,AND(J941=1,K941=1),AND(J941=1,I941="SBJ"),AND(J941=1,I941=0)),"?IN_FOCUS",IF(J941&lt;=2,"?ACTIVATED",IF(J941&lt;&gt;"","?FAMILIAR",IF(F941="NEW",IF(ISNA(VLOOKUP(E941,#REF!,1,FALSE())),"?TYPE_IDENTIFIABLE","?REFERENTIAL"),"_")))))</f>
        <v/>
      </c>
      <c r="H941" s="13" t="str">
        <f aca="false">IF(J941&lt;&gt;1,"",IF(I941="SBJ","CB","?"))</f>
        <v/>
      </c>
      <c r="I941" s="14" t="str">
        <f aca="false">IF(OR(E941="",E941="!!!",F941="NEW"),"",INDEX(B$2:B940,-1+SUMPRODUCT(MAX(ROW(E$2:E940)*(E941=E$2:E940)))))</f>
        <v/>
      </c>
      <c r="J941" s="15" t="str">
        <f aca="true">IF(OR(E941="",E941="!!!",F941="NEW"),"",COUNTBLANK(OFFSET(A$1,,,SUMPRODUCT(MAX(ROW(E$2:E941)*(E941=E$2:E941)))))-COUNTBLANK(OFFSET(A$1,,,SUMPRODUCT(MAX(ROW(E$1:E940)*(E941=E$1:E940))))))</f>
        <v/>
      </c>
      <c r="K941" s="15" t="str">
        <f aca="false">IF(OR(E941="",E941="!!!",F941="NEW"),"",INDEX(J$1:J940,SUMPRODUCT(MAX(ROW(E$1:E940)*(E941=E$1:E940)))))</f>
        <v/>
      </c>
      <c r="L941" s="16"/>
    </row>
    <row r="942" customFormat="false" ht="12.75" hidden="false" customHeight="false" outlineLevel="0" collapsed="false">
      <c r="A942" s="9" t="s">
        <v>74</v>
      </c>
      <c r="E942" s="10" t="str">
        <f aca="false">IF(D942="?OLD","!!!","")</f>
        <v/>
      </c>
      <c r="F942" s="11" t="str">
        <f aca="false">IF(OR(E942="",E942="!!!"),"",IF(NOT(ISNA(VLOOKUP(E942,E$1:E941,1,FALSE()))),"OLD",IF(AND(E942&lt;&gt;"",E942&lt;&gt;"!!!"),"NEW","")))</f>
        <v/>
      </c>
      <c r="G942" s="12" t="str">
        <f aca="false">IF(OR(E942="",E942="!!!"),"",IF(OR(J942=0,AND(J942=1,K942=1),AND(J942=1,I942="SBJ"),AND(J942=1,I942=0)),"?IN_FOCUS",IF(J942&lt;=2,"?ACTIVATED",IF(J942&lt;&gt;"","?FAMILIAR",IF(F942="NEW",IF(ISNA(VLOOKUP(E942,#REF!,1,FALSE())),"?TYPE_IDENTIFIABLE","?REFERENTIAL"),"_")))))</f>
        <v/>
      </c>
      <c r="H942" s="13" t="str">
        <f aca="false">IF(J942&lt;&gt;1,"",IF(I942="SBJ","CB","?"))</f>
        <v/>
      </c>
      <c r="I942" s="14" t="str">
        <f aca="false">IF(OR(E942="",E942="!!!",F942="NEW"),"",INDEX(B$2:B941,-1+SUMPRODUCT(MAX(ROW(E$2:E941)*(E942=E$2:E941)))))</f>
        <v/>
      </c>
      <c r="J942" s="15" t="str">
        <f aca="true">IF(OR(E942="",E942="!!!",F942="NEW"),"",COUNTBLANK(OFFSET(A$1,,,SUMPRODUCT(MAX(ROW(E$2:E942)*(E942=E$2:E942)))))-COUNTBLANK(OFFSET(A$1,,,SUMPRODUCT(MAX(ROW(E$1:E941)*(E942=E$1:E941))))))</f>
        <v/>
      </c>
      <c r="K942" s="15" t="str">
        <f aca="false">IF(OR(E942="",E942="!!!",F942="NEW"),"",INDEX(J$1:J941,SUMPRODUCT(MAX(ROW(E$1:E941)*(E942=E$1:E941)))))</f>
        <v/>
      </c>
      <c r="L942" s="16"/>
    </row>
    <row r="943" customFormat="false" ht="12.75" hidden="false" customHeight="false" outlineLevel="0" collapsed="false">
      <c r="E943" s="10" t="str">
        <f aca="false">IF(D943="?OLD","!!!","")</f>
        <v/>
      </c>
      <c r="F943" s="11" t="str">
        <f aca="false">IF(OR(E943="",E943="!!!"),"",IF(NOT(ISNA(VLOOKUP(E943,E$1:E942,1,FALSE()))),"OLD",IF(AND(E943&lt;&gt;"",E943&lt;&gt;"!!!"),"NEW","")))</f>
        <v/>
      </c>
      <c r="G943" s="12" t="str">
        <f aca="false">IF(OR(E943="",E943="!!!"),"",IF(OR(J943=0,AND(J943=1,K943=1),AND(J943=1,I943="SBJ"),AND(J943=1,I943=0)),"?IN_FOCUS",IF(J943&lt;=2,"?ACTIVATED",IF(J943&lt;&gt;"","?FAMILIAR",IF(F943="NEW",IF(ISNA(VLOOKUP(E943,#REF!,1,FALSE())),"?TYPE_IDENTIFIABLE","?REFERENTIAL"),"_")))))</f>
        <v/>
      </c>
      <c r="H943" s="13" t="str">
        <f aca="false">IF(J943&lt;&gt;1,"",IF(I943="SBJ","CB","?"))</f>
        <v/>
      </c>
      <c r="I943" s="14" t="str">
        <f aca="false">IF(OR(E943="",E943="!!!",F943="NEW"),"",INDEX(B$2:B942,-1+SUMPRODUCT(MAX(ROW(E$2:E942)*(E943=E$2:E942)))))</f>
        <v/>
      </c>
      <c r="J943" s="15" t="str">
        <f aca="true">IF(OR(E943="",E943="!!!",F943="NEW"),"",COUNTBLANK(OFFSET(A$1,,,SUMPRODUCT(MAX(ROW(E$2:E943)*(E943=E$2:E943)))))-COUNTBLANK(OFFSET(A$1,,,SUMPRODUCT(MAX(ROW(E$1:E942)*(E943=E$1:E942))))))</f>
        <v/>
      </c>
      <c r="K943" s="15" t="str">
        <f aca="false">IF(OR(E943="",E943="!!!",F943="NEW"),"",INDEX(J$1:J942,SUMPRODUCT(MAX(ROW(E$1:E942)*(E943=E$1:E942)))))</f>
        <v/>
      </c>
      <c r="L943" s="16"/>
    </row>
    <row r="944" customFormat="false" ht="12.75" hidden="false" customHeight="false" outlineLevel="0" collapsed="false">
      <c r="A944" s="9" t="s">
        <v>428</v>
      </c>
      <c r="E944" s="10" t="str">
        <f aca="false">IF(D944="?OLD","!!!","")</f>
        <v/>
      </c>
      <c r="F944" s="11" t="str">
        <f aca="false">IF(OR(E944="",E944="!!!"),"",IF(NOT(ISNA(VLOOKUP(E944,E$1:E943,1,FALSE()))),"OLD",IF(AND(E944&lt;&gt;"",E944&lt;&gt;"!!!"),"NEW","")))</f>
        <v/>
      </c>
      <c r="G944" s="12" t="str">
        <f aca="false">IF(OR(E944="",E944="!!!"),"",IF(OR(J944=0,AND(J944=1,K944=1),AND(J944=1,I944="SBJ"),AND(J944=1,I944=0)),"?IN_FOCUS",IF(J944&lt;=2,"?ACTIVATED",IF(J944&lt;&gt;"","?FAMILIAR",IF(F944="NEW",IF(ISNA(VLOOKUP(E944,#REF!,1,FALSE())),"?TYPE_IDENTIFIABLE","?REFERENTIAL"),"_")))))</f>
        <v/>
      </c>
      <c r="H944" s="13" t="str">
        <f aca="false">IF(J944&lt;&gt;1,"",IF(I944="SBJ","CB","?"))</f>
        <v/>
      </c>
      <c r="I944" s="14" t="str">
        <f aca="false">IF(OR(E944="",E944="!!!",F944="NEW"),"",INDEX(B$2:B943,-1+SUMPRODUCT(MAX(ROW(E$2:E943)*(E944=E$2:E943)))))</f>
        <v/>
      </c>
      <c r="J944" s="15" t="str">
        <f aca="true">IF(OR(E944="",E944="!!!",F944="NEW"),"",COUNTBLANK(OFFSET(A$1,,,SUMPRODUCT(MAX(ROW(E$2:E944)*(E944=E$2:E944)))))-COUNTBLANK(OFFSET(A$1,,,SUMPRODUCT(MAX(ROW(E$1:E943)*(E944=E$1:E943))))))</f>
        <v/>
      </c>
      <c r="K944" s="15" t="str">
        <f aca="false">IF(OR(E944="",E944="!!!",F944="NEW"),"",INDEX(J$1:J943,SUMPRODUCT(MAX(ROW(E$1:E943)*(E944=E$1:E943)))))</f>
        <v/>
      </c>
      <c r="L944" s="16"/>
    </row>
    <row r="945" customFormat="false" ht="12.75" hidden="false" customHeight="false" outlineLevel="0" collapsed="false">
      <c r="A945" s="9" t="s">
        <v>13</v>
      </c>
      <c r="E945" s="10" t="str">
        <f aca="false">IF(D945="?OLD","!!!","")</f>
        <v/>
      </c>
      <c r="F945" s="11" t="str">
        <f aca="false">IF(OR(E945="",E945="!!!"),"",IF(NOT(ISNA(VLOOKUP(E945,E$1:E944,1,FALSE()))),"OLD",IF(AND(E945&lt;&gt;"",E945&lt;&gt;"!!!"),"NEW","")))</f>
        <v/>
      </c>
      <c r="G945" s="12" t="str">
        <f aca="false">IF(OR(E945="",E945="!!!"),"",IF(OR(J945=0,AND(J945=1,K945=1),AND(J945=1,I945="SBJ"),AND(J945=1,I945=0)),"?IN_FOCUS",IF(J945&lt;=2,"?ACTIVATED",IF(J945&lt;&gt;"","?FAMILIAR",IF(F945="NEW",IF(ISNA(VLOOKUP(E945,#REF!,1,FALSE())),"?TYPE_IDENTIFIABLE","?REFERENTIAL"),"_")))))</f>
        <v/>
      </c>
      <c r="H945" s="13" t="str">
        <f aca="false">IF(J945&lt;&gt;1,"",IF(I945="SBJ","CB","?"))</f>
        <v/>
      </c>
      <c r="I945" s="14" t="str">
        <f aca="false">IF(OR(E945="",E945="!!!",F945="NEW"),"",INDEX(B$2:B944,-1+SUMPRODUCT(MAX(ROW(E$2:E944)*(E945=E$2:E944)))))</f>
        <v/>
      </c>
      <c r="J945" s="15" t="str">
        <f aca="true">IF(OR(E945="",E945="!!!",F945="NEW"),"",COUNTBLANK(OFFSET(A$1,,,SUMPRODUCT(MAX(ROW(E$2:E945)*(E945=E$2:E945)))))-COUNTBLANK(OFFSET(A$1,,,SUMPRODUCT(MAX(ROW(E$1:E944)*(E945=E$1:E944))))))</f>
        <v/>
      </c>
      <c r="K945" s="15" t="str">
        <f aca="false">IF(OR(E945="",E945="!!!",F945="NEW"),"",INDEX(J$1:J944,SUMPRODUCT(MAX(ROW(E$1:E944)*(E945=E$1:E944)))))</f>
        <v/>
      </c>
      <c r="L945" s="16"/>
    </row>
    <row r="946" customFormat="false" ht="12.75" hidden="false" customHeight="false" outlineLevel="0" collapsed="false">
      <c r="A946" s="9" t="s">
        <v>152</v>
      </c>
      <c r="B946" s="0" t="s">
        <v>17</v>
      </c>
      <c r="C946" s="0" t="s">
        <v>58</v>
      </c>
      <c r="D946" s="0" t="s">
        <v>27</v>
      </c>
      <c r="E946" s="10" t="s">
        <v>406</v>
      </c>
      <c r="F946" s="11" t="str">
        <f aca="false">IF(OR(E946="",E946="!!!"),"",IF(NOT(ISNA(VLOOKUP(E946,E$1:E945,1,FALSE()))),"OLD",IF(AND(E946&lt;&gt;"",E946&lt;&gt;"!!!"),"NEW","")))</f>
        <v>OLD</v>
      </c>
      <c r="G946" s="12" t="s">
        <v>72</v>
      </c>
      <c r="H946" s="13" t="str">
        <f aca="false">IF(J946&lt;&gt;1,"",IF(I946="SBJ","CB","?"))</f>
        <v/>
      </c>
      <c r="I946" s="14" t="str">
        <f aca="false">IF(OR(E946="",E946="!!!",F946="NEW"),"",INDEX(B$2:B945,-1+SUMPRODUCT(MAX(ROW(E$2:E945)*(E946=E$2:E945)))))</f>
        <v>SBJ_6</v>
      </c>
      <c r="J946" s="15" t="n">
        <f aca="true">IF(OR(E946="",E946="!!!",F946="NEW"),"",COUNTBLANK(OFFSET(A$1,,,SUMPRODUCT(MAX(ROW(E$2:E946)*(E946=E$2:E946)))))-COUNTBLANK(OFFSET(A$1,,,SUMPRODUCT(MAX(ROW(E$1:E945)*(E946=E$1:E945))))))</f>
        <v>3</v>
      </c>
      <c r="K946" s="15" t="str">
        <f aca="false">IF(OR(E946="",E946="!!!",F946="NEW"),"",INDEX(J$1:J945,SUMPRODUCT(MAX(ROW(E$1:E945)*(E946=E$1:E945)))))</f>
        <v/>
      </c>
      <c r="L946" s="16"/>
    </row>
    <row r="947" customFormat="false" ht="12.75" hidden="false" customHeight="false" outlineLevel="0" collapsed="false">
      <c r="A947" s="9" t="s">
        <v>22</v>
      </c>
      <c r="E947" s="10" t="str">
        <f aca="false">IF(D947="?OLD","!!!","")</f>
        <v/>
      </c>
      <c r="F947" s="11" t="str">
        <f aca="false">IF(OR(E947="",E947="!!!"),"",IF(NOT(ISNA(VLOOKUP(E947,E$1:E946,1,FALSE()))),"OLD",IF(AND(E947&lt;&gt;"",E947&lt;&gt;"!!!"),"NEW","")))</f>
        <v/>
      </c>
      <c r="G947" s="12" t="str">
        <f aca="false">IF(OR(E947="",E947="!!!"),"",IF(OR(J947=0,AND(J947=1,K947=1),AND(J947=1,I947="SBJ"),AND(J947=1,I947=0)),"?IN_FOCUS",IF(J947&lt;=2,"?ACTIVATED",IF(J947&lt;&gt;"","?FAMILIAR",IF(F947="NEW",IF(ISNA(VLOOKUP(E947,#REF!,1,FALSE())),"?TYPE_IDENTIFIABLE","?REFERENTIAL"),"_")))))</f>
        <v/>
      </c>
      <c r="H947" s="13" t="str">
        <f aca="false">IF(J947&lt;&gt;1,"",IF(I947="SBJ","CB","?"))</f>
        <v/>
      </c>
      <c r="I947" s="14" t="str">
        <f aca="false">IF(OR(E947="",E947="!!!",F947="NEW"),"",INDEX(B$2:B946,-1+SUMPRODUCT(MAX(ROW(E$2:E946)*(E947=E$2:E946)))))</f>
        <v/>
      </c>
      <c r="J947" s="15" t="str">
        <f aca="true">IF(OR(E947="",E947="!!!",F947="NEW"),"",COUNTBLANK(OFFSET(A$1,,,SUMPRODUCT(MAX(ROW(E$2:E947)*(E947=E$2:E947)))))-COUNTBLANK(OFFSET(A$1,,,SUMPRODUCT(MAX(ROW(E$1:E946)*(E947=E$1:E946))))))</f>
        <v/>
      </c>
      <c r="K947" s="15" t="str">
        <f aca="false">IF(OR(E947="",E947="!!!",F947="NEW"),"",INDEX(J$1:J946,SUMPRODUCT(MAX(ROW(E$1:E946)*(E947=E$1:E946)))))</f>
        <v/>
      </c>
      <c r="L947" s="16"/>
    </row>
    <row r="948" customFormat="false" ht="12.75" hidden="false" customHeight="false" outlineLevel="0" collapsed="false">
      <c r="A948" s="9" t="s">
        <v>343</v>
      </c>
      <c r="E948" s="10" t="str">
        <f aca="false">IF(D948="?OLD","!!!","")</f>
        <v/>
      </c>
      <c r="F948" s="11" t="str">
        <f aca="false">IF(OR(E948="",E948="!!!"),"",IF(NOT(ISNA(VLOOKUP(E948,E$1:E947,1,FALSE()))),"OLD",IF(AND(E948&lt;&gt;"",E948&lt;&gt;"!!!"),"NEW","")))</f>
        <v/>
      </c>
      <c r="G948" s="12" t="str">
        <f aca="false">IF(OR(E948="",E948="!!!"),"",IF(OR(J948=0,AND(J948=1,K948=1),AND(J948=1,I948="SBJ"),AND(J948=1,I948=0)),"?IN_FOCUS",IF(J948&lt;=2,"?ACTIVATED",IF(J948&lt;&gt;"","?FAMILIAR",IF(F948="NEW",IF(ISNA(VLOOKUP(E948,#REF!,1,FALSE())),"?TYPE_IDENTIFIABLE","?REFERENTIAL"),"_")))))</f>
        <v/>
      </c>
      <c r="H948" s="13" t="str">
        <f aca="false">IF(J948&lt;&gt;1,"",IF(I948="SBJ","CB","?"))</f>
        <v/>
      </c>
      <c r="I948" s="14" t="str">
        <f aca="false">IF(OR(E948="",E948="!!!",F948="NEW"),"",INDEX(B$2:B947,-1+SUMPRODUCT(MAX(ROW(E$2:E947)*(E948=E$2:E947)))))</f>
        <v/>
      </c>
      <c r="J948" s="15" t="str">
        <f aca="true">IF(OR(E948="",E948="!!!",F948="NEW"),"",COUNTBLANK(OFFSET(A$1,,,SUMPRODUCT(MAX(ROW(E$2:E948)*(E948=E$2:E948)))))-COUNTBLANK(OFFSET(A$1,,,SUMPRODUCT(MAX(ROW(E$1:E947)*(E948=E$1:E947))))))</f>
        <v/>
      </c>
      <c r="K948" s="15" t="str">
        <f aca="false">IF(OR(E948="",E948="!!!",F948="NEW"),"",INDEX(J$1:J947,SUMPRODUCT(MAX(ROW(E$1:E947)*(E948=E$1:E947)))))</f>
        <v/>
      </c>
      <c r="L948" s="16"/>
    </row>
    <row r="949" customFormat="false" ht="12.75" hidden="false" customHeight="false" outlineLevel="0" collapsed="false">
      <c r="A949" s="9" t="s">
        <v>152</v>
      </c>
      <c r="B949" s="0" t="s">
        <v>79</v>
      </c>
      <c r="C949" s="0" t="s">
        <v>58</v>
      </c>
      <c r="D949" s="0" t="s">
        <v>27</v>
      </c>
      <c r="E949" s="10" t="s">
        <v>406</v>
      </c>
      <c r="F949" s="11" t="str">
        <f aca="false">IF(OR(E949="",E949="!!!"),"",IF(NOT(ISNA(VLOOKUP(E949,E$1:E948,1,FALSE()))),"OLD",IF(AND(E949&lt;&gt;"",E949&lt;&gt;"!!!"),"NEW","")))</f>
        <v>OLD</v>
      </c>
      <c r="G949" s="12" t="s">
        <v>51</v>
      </c>
      <c r="H949" s="13" t="str">
        <f aca="false">IF(J949&lt;&gt;1,"",IF(I949="SBJ","CB","?"))</f>
        <v/>
      </c>
      <c r="I949" s="14" t="str">
        <f aca="false">IF(OR(E949="",E949="!!!",F949="NEW"),"",INDEX(B$2:B948,-1+SUMPRODUCT(MAX(ROW(E$2:E948)*(E949=E$2:E948)))))</f>
        <v>SBJ</v>
      </c>
      <c r="J949" s="15" t="n">
        <f aca="true">IF(OR(E949="",E949="!!!",F949="NEW"),"",COUNTBLANK(OFFSET(A$1,,,SUMPRODUCT(MAX(ROW(E$2:E949)*(E949=E$2:E949)))))-COUNTBLANK(OFFSET(A$1,,,SUMPRODUCT(MAX(ROW(E$1:E948)*(E949=E$1:E948))))))</f>
        <v>0</v>
      </c>
      <c r="K949" s="15" t="n">
        <f aca="false">IF(OR(E949="",E949="!!!",F949="NEW"),"",INDEX(J$1:J948,SUMPRODUCT(MAX(ROW(E$1:E948)*(E949=E$1:E948)))))</f>
        <v>3</v>
      </c>
      <c r="L949" s="16"/>
    </row>
    <row r="950" customFormat="false" ht="12.75" hidden="false" customHeight="false" outlineLevel="0" collapsed="false">
      <c r="A950" s="9" t="s">
        <v>142</v>
      </c>
      <c r="E950" s="10" t="str">
        <f aca="false">IF(D950="?OLD","!!!","")</f>
        <v/>
      </c>
      <c r="F950" s="11" t="str">
        <f aca="false">IF(OR(E950="",E950="!!!"),"",IF(NOT(ISNA(VLOOKUP(E950,E$1:E949,1,FALSE()))),"OLD",IF(AND(E950&lt;&gt;"",E950&lt;&gt;"!!!"),"NEW","")))</f>
        <v/>
      </c>
      <c r="G950" s="12" t="str">
        <f aca="false">IF(OR(E950="",E950="!!!"),"",IF(OR(J950=0,AND(J950=1,K950=1),AND(J950=1,I950="SBJ"),AND(J950=1,I950=0)),"?IN_FOCUS",IF(J950&lt;=2,"?ACTIVATED",IF(J950&lt;&gt;"","?FAMILIAR",IF(F950="NEW",IF(ISNA(VLOOKUP(E950,#REF!,1,FALSE())),"?TYPE_IDENTIFIABLE","?REFERENTIAL"),"_")))))</f>
        <v/>
      </c>
      <c r="H950" s="13" t="str">
        <f aca="false">IF(J950&lt;&gt;1,"",IF(I950="SBJ","CB","?"))</f>
        <v/>
      </c>
      <c r="I950" s="14" t="str">
        <f aca="false">IF(OR(E950="",E950="!!!",F950="NEW"),"",INDEX(B$2:B949,-1+SUMPRODUCT(MAX(ROW(E$2:E949)*(E950=E$2:E949)))))</f>
        <v/>
      </c>
      <c r="J950" s="15" t="str">
        <f aca="true">IF(OR(E950="",E950="!!!",F950="NEW"),"",COUNTBLANK(OFFSET(A$1,,,SUMPRODUCT(MAX(ROW(E$2:E950)*(E950=E$2:E950)))))-COUNTBLANK(OFFSET(A$1,,,SUMPRODUCT(MAX(ROW(E$1:E949)*(E950=E$1:E949))))))</f>
        <v/>
      </c>
      <c r="K950" s="15" t="str">
        <f aca="false">IF(OR(E950="",E950="!!!",F950="NEW"),"",INDEX(J$1:J949,SUMPRODUCT(MAX(ROW(E$1:E949)*(E950=E$1:E949)))))</f>
        <v/>
      </c>
      <c r="L950" s="16"/>
    </row>
    <row r="951" customFormat="false" ht="35.05" hidden="false" customHeight="false" outlineLevel="0" collapsed="false">
      <c r="A951" s="9" t="s">
        <v>117</v>
      </c>
      <c r="B951" s="0" t="s">
        <v>43</v>
      </c>
      <c r="C951" s="0" t="s">
        <v>190</v>
      </c>
      <c r="D951" s="0" t="s">
        <v>27</v>
      </c>
      <c r="E951" s="10"/>
      <c r="F951" s="11" t="str">
        <f aca="false">IF(OR(E951="",E951="!!!"),"",IF(NOT(ISNA(VLOOKUP(E951,E$1:E950,1,FALSE()))),"OLD",IF(AND(E951&lt;&gt;"",E951&lt;&gt;"!!!"),"NEW","")))</f>
        <v/>
      </c>
      <c r="G951" s="12" t="str">
        <f aca="false">IF(OR(E951="",E951="!!!"),"",IF(OR(J951=0,AND(J951=1,K951=1),AND(J951=1,I951="SBJ"),AND(J951=1,I951=0)),"?IN_FOCUS",IF(J951&lt;=2,"?ACTIVATED",IF(J951&lt;&gt;"","?FAMILIAR",IF(F951="NEW",IF(ISNA(VLOOKUP(E951,#REF!,1,FALSE())),"?TYPE_IDENTIFIABLE","?REFERENTIAL"),"_")))))</f>
        <v/>
      </c>
      <c r="H951" s="13" t="str">
        <f aca="false">IF(J951&lt;&gt;1,"",IF(I951="SBJ","CB","?"))</f>
        <v/>
      </c>
      <c r="I951" s="14" t="str">
        <f aca="false">IF(OR(E951="",E951="!!!",F951="NEW"),"",INDEX(B$2:B950,-1+SUMPRODUCT(MAX(ROW(E$2:E950)*(E951=E$2:E950)))))</f>
        <v/>
      </c>
      <c r="J951" s="15" t="str">
        <f aca="true">IF(OR(E951="",E951="!!!",F951="NEW"),"",COUNTBLANK(OFFSET(A$1,,,SUMPRODUCT(MAX(ROW(E$2:E951)*(E951=E$2:E951)))))-COUNTBLANK(OFFSET(A$1,,,SUMPRODUCT(MAX(ROW(E$1:E950)*(E951=E$1:E950))))))</f>
        <v/>
      </c>
      <c r="K951" s="15" t="str">
        <f aca="false">IF(OR(E951="",E951="!!!",F951="NEW"),"",INDEX(J$1:J950,SUMPRODUCT(MAX(ROW(E$1:E950)*(E951=E$1:E950)))))</f>
        <v/>
      </c>
      <c r="L951" s="16" t="s">
        <v>425</v>
      </c>
    </row>
    <row r="952" customFormat="false" ht="12.75" hidden="false" customHeight="false" outlineLevel="0" collapsed="false">
      <c r="A952" s="9" t="s">
        <v>22</v>
      </c>
      <c r="E952" s="10" t="str">
        <f aca="false">IF(D952="?OLD","!!!","")</f>
        <v/>
      </c>
      <c r="F952" s="11" t="str">
        <f aca="false">IF(OR(E952="",E952="!!!"),"",IF(NOT(ISNA(VLOOKUP(E952,E$1:E951,1,FALSE()))),"OLD",IF(AND(E952&lt;&gt;"",E952&lt;&gt;"!!!"),"NEW","")))</f>
        <v/>
      </c>
      <c r="G952" s="12" t="str">
        <f aca="false">IF(OR(E952="",E952="!!!"),"",IF(OR(J952=0,AND(J952=1,K952=1),AND(J952=1,I952="SBJ"),AND(J952=1,I952=0)),"?IN_FOCUS",IF(J952&lt;=2,"?ACTIVATED",IF(J952&lt;&gt;"","?FAMILIAR",IF(F952="NEW",IF(ISNA(VLOOKUP(E952,#REF!,1,FALSE())),"?TYPE_IDENTIFIABLE","?REFERENTIAL"),"_")))))</f>
        <v/>
      </c>
      <c r="H952" s="13" t="str">
        <f aca="false">IF(J952&lt;&gt;1,"",IF(I952="SBJ","CB","?"))</f>
        <v/>
      </c>
      <c r="I952" s="14" t="str">
        <f aca="false">IF(OR(E952="",E952="!!!",F952="NEW"),"",INDEX(B$2:B951,-1+SUMPRODUCT(MAX(ROW(E$2:E951)*(E952=E$2:E951)))))</f>
        <v/>
      </c>
      <c r="J952" s="15" t="str">
        <f aca="true">IF(OR(E952="",E952="!!!",F952="NEW"),"",COUNTBLANK(OFFSET(A$1,,,SUMPRODUCT(MAX(ROW(E$2:E952)*(E952=E$2:E952)))))-COUNTBLANK(OFFSET(A$1,,,SUMPRODUCT(MAX(ROW(E$1:E951)*(E952=E$1:E951))))))</f>
        <v/>
      </c>
      <c r="K952" s="15" t="str">
        <f aca="false">IF(OR(E952="",E952="!!!",F952="NEW"),"",INDEX(J$1:J951,SUMPRODUCT(MAX(ROW(E$1:E951)*(E952=E$1:E951)))))</f>
        <v/>
      </c>
      <c r="L952" s="16"/>
    </row>
    <row r="953" customFormat="false" ht="12.75" hidden="false" customHeight="false" outlineLevel="0" collapsed="false">
      <c r="A953" s="9" t="s">
        <v>217</v>
      </c>
      <c r="E953" s="10" t="str">
        <f aca="false">IF(D953="?OLD","!!!","")</f>
        <v/>
      </c>
      <c r="F953" s="11" t="str">
        <f aca="false">IF(OR(E953="",E953="!!!"),"",IF(NOT(ISNA(VLOOKUP(E953,E$1:E952,1,FALSE()))),"OLD",IF(AND(E953&lt;&gt;"",E953&lt;&gt;"!!!"),"NEW","")))</f>
        <v/>
      </c>
      <c r="G953" s="12" t="str">
        <f aca="false">IF(OR(E953="",E953="!!!"),"",IF(OR(J953=0,AND(J953=1,K953=1),AND(J953=1,I953="SBJ"),AND(J953=1,I953=0)),"?IN_FOCUS",IF(J953&lt;=2,"?ACTIVATED",IF(J953&lt;&gt;"","?FAMILIAR",IF(F953="NEW",IF(ISNA(VLOOKUP(E953,#REF!,1,FALSE())),"?TYPE_IDENTIFIABLE","?REFERENTIAL"),"_")))))</f>
        <v/>
      </c>
      <c r="H953" s="13" t="str">
        <f aca="false">IF(J953&lt;&gt;1,"",IF(I953="SBJ","CB","?"))</f>
        <v/>
      </c>
      <c r="I953" s="14" t="str">
        <f aca="false">IF(OR(E953="",E953="!!!",F953="NEW"),"",INDEX(B$2:B952,-1+SUMPRODUCT(MAX(ROW(E$2:E952)*(E953=E$2:E952)))))</f>
        <v/>
      </c>
      <c r="J953" s="15" t="str">
        <f aca="true">IF(OR(E953="",E953="!!!",F953="NEW"),"",COUNTBLANK(OFFSET(A$1,,,SUMPRODUCT(MAX(ROW(E$2:E953)*(E953=E$2:E953)))))-COUNTBLANK(OFFSET(A$1,,,SUMPRODUCT(MAX(ROW(E$1:E952)*(E953=E$1:E952))))))</f>
        <v/>
      </c>
      <c r="K953" s="15" t="str">
        <f aca="false">IF(OR(E953="",E953="!!!",F953="NEW"),"",INDEX(J$1:J952,SUMPRODUCT(MAX(ROW(E$1:E952)*(E953=E$1:E952)))))</f>
        <v/>
      </c>
      <c r="L953" s="16"/>
    </row>
    <row r="954" customFormat="false" ht="12.75" hidden="false" customHeight="false" outlineLevel="0" collapsed="false">
      <c r="A954" s="9" t="s">
        <v>429</v>
      </c>
      <c r="E954" s="10" t="str">
        <f aca="false">IF(D954="?OLD","!!!","")</f>
        <v/>
      </c>
      <c r="F954" s="11" t="str">
        <f aca="false">IF(OR(E954="",E954="!!!"),"",IF(NOT(ISNA(VLOOKUP(E954,E$1:E953,1,FALSE()))),"OLD",IF(AND(E954&lt;&gt;"",E954&lt;&gt;"!!!"),"NEW","")))</f>
        <v/>
      </c>
      <c r="G954" s="12" t="str">
        <f aca="false">IF(OR(E954="",E954="!!!"),"",IF(OR(J954=0,AND(J954=1,K954=1),AND(J954=1,I954="SBJ"),AND(J954=1,I954=0)),"?IN_FOCUS",IF(J954&lt;=2,"?ACTIVATED",IF(J954&lt;&gt;"","?FAMILIAR",IF(F954="NEW",IF(ISNA(VLOOKUP(E954,#REF!,1,FALSE())),"?TYPE_IDENTIFIABLE","?REFERENTIAL"),"_")))))</f>
        <v/>
      </c>
      <c r="H954" s="13" t="str">
        <f aca="false">IF(J954&lt;&gt;1,"",IF(I954="SBJ","CB","?"))</f>
        <v/>
      </c>
      <c r="I954" s="14" t="str">
        <f aca="false">IF(OR(E954="",E954="!!!",F954="NEW"),"",INDEX(B$2:B953,-1+SUMPRODUCT(MAX(ROW(E$2:E953)*(E954=E$2:E953)))))</f>
        <v/>
      </c>
      <c r="J954" s="15" t="str">
        <f aca="true">IF(OR(E954="",E954="!!!",F954="NEW"),"",COUNTBLANK(OFFSET(A$1,,,SUMPRODUCT(MAX(ROW(E$2:E954)*(E954=E$2:E954)))))-COUNTBLANK(OFFSET(A$1,,,SUMPRODUCT(MAX(ROW(E$1:E953)*(E954=E$1:E953))))))</f>
        <v/>
      </c>
      <c r="K954" s="15" t="str">
        <f aca="false">IF(OR(E954="",E954="!!!",F954="NEW"),"",INDEX(J$1:J953,SUMPRODUCT(MAX(ROW(E$1:E953)*(E954=E$1:E953)))))</f>
        <v/>
      </c>
      <c r="L954" s="16"/>
    </row>
    <row r="955" customFormat="false" ht="12.75" hidden="false" customHeight="false" outlineLevel="0" collapsed="false">
      <c r="A955" s="9" t="s">
        <v>84</v>
      </c>
      <c r="E955" s="10" t="str">
        <f aca="false">IF(D955="?OLD","!!!","")</f>
        <v/>
      </c>
      <c r="F955" s="11" t="str">
        <f aca="false">IF(OR(E955="",E955="!!!"),"",IF(NOT(ISNA(VLOOKUP(E955,E$1:E954,1,FALSE()))),"OLD",IF(AND(E955&lt;&gt;"",E955&lt;&gt;"!!!"),"NEW","")))</f>
        <v/>
      </c>
      <c r="G955" s="12" t="str">
        <f aca="false">IF(OR(E955="",E955="!!!"),"",IF(OR(J955=0,AND(J955=1,K955=1),AND(J955=1,I955="SBJ"),AND(J955=1,I955=0)),"?IN_FOCUS",IF(J955&lt;=2,"?ACTIVATED",IF(J955&lt;&gt;"","?FAMILIAR",IF(F955="NEW",IF(ISNA(VLOOKUP(E955,#REF!,1,FALSE())),"?TYPE_IDENTIFIABLE","?REFERENTIAL"),"_")))))</f>
        <v/>
      </c>
      <c r="H955" s="13" t="str">
        <f aca="false">IF(J955&lt;&gt;1,"",IF(I955="SBJ","CB","?"))</f>
        <v/>
      </c>
      <c r="I955" s="14" t="str">
        <f aca="false">IF(OR(E955="",E955="!!!",F955="NEW"),"",INDEX(B$2:B954,-1+SUMPRODUCT(MAX(ROW(E$2:E954)*(E955=E$2:E954)))))</f>
        <v/>
      </c>
      <c r="J955" s="15" t="str">
        <f aca="true">IF(OR(E955="",E955="!!!",F955="NEW"),"",COUNTBLANK(OFFSET(A$1,,,SUMPRODUCT(MAX(ROW(E$2:E955)*(E955=E$2:E955)))))-COUNTBLANK(OFFSET(A$1,,,SUMPRODUCT(MAX(ROW(E$1:E954)*(E955=E$1:E954))))))</f>
        <v/>
      </c>
      <c r="K955" s="15" t="str">
        <f aca="false">IF(OR(E955="",E955="!!!",F955="NEW"),"",INDEX(J$1:J954,SUMPRODUCT(MAX(ROW(E$1:E954)*(E955=E$1:E954)))))</f>
        <v/>
      </c>
      <c r="L955" s="16"/>
    </row>
    <row r="956" customFormat="false" ht="12.75" hidden="false" customHeight="false" outlineLevel="0" collapsed="false">
      <c r="A956" s="9" t="s">
        <v>45</v>
      </c>
      <c r="E956" s="10" t="str">
        <f aca="false">IF(D956="?OLD","!!!","")</f>
        <v/>
      </c>
      <c r="F956" s="11" t="str">
        <f aca="false">IF(OR(E956="",E956="!!!"),"",IF(NOT(ISNA(VLOOKUP(E956,E$1:E955,1,FALSE()))),"OLD",IF(AND(E956&lt;&gt;"",E956&lt;&gt;"!!!"),"NEW","")))</f>
        <v/>
      </c>
      <c r="G956" s="12" t="str">
        <f aca="false">IF(OR(E956="",E956="!!!"),"",IF(OR(J956=0,AND(J956=1,K956=1),AND(J956=1,I956="SBJ"),AND(J956=1,I956=0)),"?IN_FOCUS",IF(J956&lt;=2,"?ACTIVATED",IF(J956&lt;&gt;"","?FAMILIAR",IF(F956="NEW",IF(ISNA(VLOOKUP(E956,#REF!,1,FALSE())),"?TYPE_IDENTIFIABLE","?REFERENTIAL"),"_")))))</f>
        <v/>
      </c>
      <c r="H956" s="13" t="str">
        <f aca="false">IF(J956&lt;&gt;1,"",IF(I956="SBJ","CB","?"))</f>
        <v/>
      </c>
      <c r="I956" s="14" t="str">
        <f aca="false">IF(OR(E956="",E956="!!!",F956="NEW"),"",INDEX(B$2:B955,-1+SUMPRODUCT(MAX(ROW(E$2:E955)*(E956=E$2:E955)))))</f>
        <v/>
      </c>
      <c r="J956" s="15" t="str">
        <f aca="true">IF(OR(E956="",E956="!!!",F956="NEW"),"",COUNTBLANK(OFFSET(A$1,,,SUMPRODUCT(MAX(ROW(E$2:E956)*(E956=E$2:E956)))))-COUNTBLANK(OFFSET(A$1,,,SUMPRODUCT(MAX(ROW(E$1:E955)*(E956=E$1:E955))))))</f>
        <v/>
      </c>
      <c r="K956" s="15" t="str">
        <f aca="false">IF(OR(E956="",E956="!!!",F956="NEW"),"",INDEX(J$1:J955,SUMPRODUCT(MAX(ROW(E$1:E955)*(E956=E$1:E955)))))</f>
        <v/>
      </c>
      <c r="L956" s="16"/>
    </row>
    <row r="957" customFormat="false" ht="12.75" hidden="false" customHeight="false" outlineLevel="0" collapsed="false">
      <c r="A957" s="9" t="s">
        <v>82</v>
      </c>
      <c r="B957" s="0" t="s">
        <v>75</v>
      </c>
      <c r="C957" s="0" t="s">
        <v>47</v>
      </c>
      <c r="D957" s="0" t="s">
        <v>27</v>
      </c>
      <c r="E957" s="10" t="s">
        <v>430</v>
      </c>
      <c r="F957" s="11" t="str">
        <f aca="false">IF(OR(E957="",E957="!!!"),"",IF(NOT(ISNA(VLOOKUP(E957,E$1:E956,1,FALSE()))),"OLD",IF(AND(E957&lt;&gt;"",E957&lt;&gt;"!!!"),"NEW","")))</f>
        <v>NEW</v>
      </c>
      <c r="G957" s="12" t="s">
        <v>28</v>
      </c>
      <c r="H957" s="13" t="str">
        <f aca="false">IF(J957&lt;&gt;1,"",IF(I957="SBJ","CB","?"))</f>
        <v/>
      </c>
      <c r="I957" s="14" t="str">
        <f aca="false">IF(OR(E957="",E957="!!!",F957="NEW"),"",INDEX(B$2:B956,-1+SUMPRODUCT(MAX(ROW(E$2:E956)*(E957=E$2:E956)))))</f>
        <v/>
      </c>
      <c r="J957" s="15" t="str">
        <f aca="true">IF(OR(E957="",E957="!!!",F957="NEW"),"",COUNTBLANK(OFFSET(A$1,,,SUMPRODUCT(MAX(ROW(E$2:E957)*(E957=E$2:E957)))))-COUNTBLANK(OFFSET(A$1,,,SUMPRODUCT(MAX(ROW(E$1:E956)*(E957=E$1:E956))))))</f>
        <v/>
      </c>
      <c r="K957" s="15" t="str">
        <f aca="false">IF(OR(E957="",E957="!!!",F957="NEW"),"",INDEX(J$1:J956,SUMPRODUCT(MAX(ROW(E$1:E956)*(E957=E$1:E956)))))</f>
        <v/>
      </c>
      <c r="L957" s="16"/>
    </row>
    <row r="958" customFormat="false" ht="12.75" hidden="false" customHeight="false" outlineLevel="0" collapsed="false">
      <c r="A958" s="9" t="s">
        <v>22</v>
      </c>
      <c r="E958" s="10" t="str">
        <f aca="false">IF(D958="?OLD","!!!","")</f>
        <v/>
      </c>
      <c r="F958" s="11" t="str">
        <f aca="false">IF(OR(E958="",E958="!!!"),"",IF(NOT(ISNA(VLOOKUP(E958,E$1:E957,1,FALSE()))),"OLD",IF(AND(E958&lt;&gt;"",E958&lt;&gt;"!!!"),"NEW","")))</f>
        <v/>
      </c>
      <c r="G958" s="12" t="str">
        <f aca="false">IF(OR(E958="",E958="!!!"),"",IF(OR(J958=0,AND(J958=1,K958=1),AND(J958=1,I958="SBJ"),AND(J958=1,I958=0)),"?IN_FOCUS",IF(J958&lt;=2,"?ACTIVATED",IF(J958&lt;&gt;"","?FAMILIAR",IF(F958="NEW",IF(ISNA(VLOOKUP(E958,#REF!,1,FALSE())),"?TYPE_IDENTIFIABLE","?REFERENTIAL"),"_")))))</f>
        <v/>
      </c>
      <c r="H958" s="13" t="str">
        <f aca="false">IF(J958&lt;&gt;1,"",IF(I958="SBJ","CB","?"))</f>
        <v/>
      </c>
      <c r="I958" s="14" t="str">
        <f aca="false">IF(OR(E958="",E958="!!!",F958="NEW"),"",INDEX(B$2:B957,-1+SUMPRODUCT(MAX(ROW(E$2:E957)*(E958=E$2:E957)))))</f>
        <v/>
      </c>
      <c r="J958" s="15" t="str">
        <f aca="true">IF(OR(E958="",E958="!!!",F958="NEW"),"",COUNTBLANK(OFFSET(A$1,,,SUMPRODUCT(MAX(ROW(E$2:E958)*(E958=E$2:E958)))))-COUNTBLANK(OFFSET(A$1,,,SUMPRODUCT(MAX(ROW(E$1:E957)*(E958=E$1:E957))))))</f>
        <v/>
      </c>
      <c r="K958" s="15" t="str">
        <f aca="false">IF(OR(E958="",E958="!!!",F958="NEW"),"",INDEX(J$1:J957,SUMPRODUCT(MAX(ROW(E$1:E957)*(E958=E$1:E957)))))</f>
        <v/>
      </c>
      <c r="L958" s="16"/>
    </row>
    <row r="959" customFormat="false" ht="12.75" hidden="false" customHeight="false" outlineLevel="0" collapsed="false">
      <c r="A959" s="9" t="s">
        <v>39</v>
      </c>
      <c r="E959" s="10" t="str">
        <f aca="false">IF(D959="?OLD","!!!","")</f>
        <v/>
      </c>
      <c r="F959" s="11" t="str">
        <f aca="false">IF(OR(E959="",E959="!!!"),"",IF(NOT(ISNA(VLOOKUP(E959,E$1:E958,1,FALSE()))),"OLD",IF(AND(E959&lt;&gt;"",E959&lt;&gt;"!!!"),"NEW","")))</f>
        <v/>
      </c>
      <c r="G959" s="12" t="str">
        <f aca="false">IF(OR(E959="",E959="!!!"),"",IF(OR(J959=0,AND(J959=1,K959=1),AND(J959=1,I959="SBJ"),AND(J959=1,I959=0)),"?IN_FOCUS",IF(J959&lt;=2,"?ACTIVATED",IF(J959&lt;&gt;"","?FAMILIAR",IF(F959="NEW",IF(ISNA(VLOOKUP(E959,#REF!,1,FALSE())),"?TYPE_IDENTIFIABLE","?REFERENTIAL"),"_")))))</f>
        <v/>
      </c>
      <c r="H959" s="13" t="str">
        <f aca="false">IF(J959&lt;&gt;1,"",IF(I959="SBJ","CB","?"))</f>
        <v/>
      </c>
      <c r="I959" s="14" t="str">
        <f aca="false">IF(OR(E959="",E959="!!!",F959="NEW"),"",INDEX(B$2:B958,-1+SUMPRODUCT(MAX(ROW(E$2:E958)*(E959=E$2:E958)))))</f>
        <v/>
      </c>
      <c r="J959" s="15" t="str">
        <f aca="true">IF(OR(E959="",E959="!!!",F959="NEW"),"",COUNTBLANK(OFFSET(A$1,,,SUMPRODUCT(MAX(ROW(E$2:E959)*(E959=E$2:E959)))))-COUNTBLANK(OFFSET(A$1,,,SUMPRODUCT(MAX(ROW(E$1:E958)*(E959=E$1:E958))))))</f>
        <v/>
      </c>
      <c r="K959" s="15" t="str">
        <f aca="false">IF(OR(E959="",E959="!!!",F959="NEW"),"",INDEX(J$1:J958,SUMPRODUCT(MAX(ROW(E$1:E958)*(E959=E$1:E958)))))</f>
        <v/>
      </c>
      <c r="L959" s="16"/>
    </row>
    <row r="960" customFormat="false" ht="12.75" hidden="false" customHeight="false" outlineLevel="0" collapsed="false">
      <c r="A960" s="9" t="s">
        <v>431</v>
      </c>
      <c r="E960" s="10" t="str">
        <f aca="false">IF(D960="?OLD","!!!","")</f>
        <v/>
      </c>
      <c r="F960" s="11" t="str">
        <f aca="false">IF(OR(E960="",E960="!!!"),"",IF(NOT(ISNA(VLOOKUP(E960,E$1:E959,1,FALSE()))),"OLD",IF(AND(E960&lt;&gt;"",E960&lt;&gt;"!!!"),"NEW","")))</f>
        <v/>
      </c>
      <c r="G960" s="12" t="str">
        <f aca="false">IF(OR(E960="",E960="!!!"),"",IF(OR(J960=0,AND(J960=1,K960=1),AND(J960=1,I960="SBJ"),AND(J960=1,I960=0)),"?IN_FOCUS",IF(J960&lt;=2,"?ACTIVATED",IF(J960&lt;&gt;"","?FAMILIAR",IF(F960="NEW",IF(ISNA(VLOOKUP(E960,#REF!,1,FALSE())),"?TYPE_IDENTIFIABLE","?REFERENTIAL"),"_")))))</f>
        <v/>
      </c>
      <c r="H960" s="13" t="str">
        <f aca="false">IF(J960&lt;&gt;1,"",IF(I960="SBJ","CB","?"))</f>
        <v/>
      </c>
      <c r="I960" s="14" t="str">
        <f aca="false">IF(OR(E960="",E960="!!!",F960="NEW"),"",INDEX(B$2:B959,-1+SUMPRODUCT(MAX(ROW(E$2:E959)*(E960=E$2:E959)))))</f>
        <v/>
      </c>
      <c r="J960" s="15" t="str">
        <f aca="true">IF(OR(E960="",E960="!!!",F960="NEW"),"",COUNTBLANK(OFFSET(A$1,,,SUMPRODUCT(MAX(ROW(E$2:E960)*(E960=E$2:E960)))))-COUNTBLANK(OFFSET(A$1,,,SUMPRODUCT(MAX(ROW(E$1:E959)*(E960=E$1:E959))))))</f>
        <v/>
      </c>
      <c r="K960" s="15" t="str">
        <f aca="false">IF(OR(E960="",E960="!!!",F960="NEW"),"",INDEX(J$1:J959,SUMPRODUCT(MAX(ROW(E$1:E959)*(E960=E$1:E959)))))</f>
        <v/>
      </c>
      <c r="L960" s="16"/>
    </row>
    <row r="961" customFormat="false" ht="12.75" hidden="false" customHeight="false" outlineLevel="0" collapsed="false">
      <c r="A961" s="9" t="s">
        <v>84</v>
      </c>
      <c r="E961" s="10" t="str">
        <f aca="false">IF(D961="?OLD","!!!","")</f>
        <v/>
      </c>
      <c r="F961" s="11" t="str">
        <f aca="false">IF(OR(E961="",E961="!!!"),"",IF(NOT(ISNA(VLOOKUP(E961,E$1:E960,1,FALSE()))),"OLD",IF(AND(E961&lt;&gt;"",E961&lt;&gt;"!!!"),"NEW","")))</f>
        <v/>
      </c>
      <c r="G961" s="12" t="str">
        <f aca="false">IF(OR(E961="",E961="!!!"),"",IF(OR(J961=0,AND(J961=1,K961=1),AND(J961=1,I961="SBJ"),AND(J961=1,I961=0)),"?IN_FOCUS",IF(J961&lt;=2,"?ACTIVATED",IF(J961&lt;&gt;"","?FAMILIAR",IF(F961="NEW",IF(ISNA(VLOOKUP(E961,#REF!,1,FALSE())),"?TYPE_IDENTIFIABLE","?REFERENTIAL"),"_")))))</f>
        <v/>
      </c>
      <c r="H961" s="13" t="str">
        <f aca="false">IF(J961&lt;&gt;1,"",IF(I961="SBJ","CB","?"))</f>
        <v/>
      </c>
      <c r="I961" s="14" t="str">
        <f aca="false">IF(OR(E961="",E961="!!!",F961="NEW"),"",INDEX(B$2:B960,-1+SUMPRODUCT(MAX(ROW(E$2:E960)*(E961=E$2:E960)))))</f>
        <v/>
      </c>
      <c r="J961" s="15" t="str">
        <f aca="true">IF(OR(E961="",E961="!!!",F961="NEW"),"",COUNTBLANK(OFFSET(A$1,,,SUMPRODUCT(MAX(ROW(E$2:E961)*(E961=E$2:E961)))))-COUNTBLANK(OFFSET(A$1,,,SUMPRODUCT(MAX(ROW(E$1:E960)*(E961=E$1:E960))))))</f>
        <v/>
      </c>
      <c r="K961" s="15" t="str">
        <f aca="false">IF(OR(E961="",E961="!!!",F961="NEW"),"",INDEX(J$1:J960,SUMPRODUCT(MAX(ROW(E$1:E960)*(E961=E$1:E960)))))</f>
        <v/>
      </c>
      <c r="L961" s="16"/>
    </row>
    <row r="962" customFormat="false" ht="12.75" hidden="false" customHeight="false" outlineLevel="0" collapsed="false">
      <c r="A962" s="9" t="s">
        <v>432</v>
      </c>
      <c r="E962" s="10" t="str">
        <f aca="false">IF(D962="?OLD","!!!","")</f>
        <v/>
      </c>
      <c r="F962" s="11" t="str">
        <f aca="false">IF(OR(E962="",E962="!!!"),"",IF(NOT(ISNA(VLOOKUP(E962,E$1:E961,1,FALSE()))),"OLD",IF(AND(E962&lt;&gt;"",E962&lt;&gt;"!!!"),"NEW","")))</f>
        <v/>
      </c>
      <c r="G962" s="12" t="str">
        <f aca="false">IF(OR(E962="",E962="!!!"),"",IF(OR(J962=0,AND(J962=1,K962=1),AND(J962=1,I962="SBJ"),AND(J962=1,I962=0)),"?IN_FOCUS",IF(J962&lt;=2,"?ACTIVATED",IF(J962&lt;&gt;"","?FAMILIAR",IF(F962="NEW",IF(ISNA(VLOOKUP(E962,#REF!,1,FALSE())),"?TYPE_IDENTIFIABLE","?REFERENTIAL"),"_")))))</f>
        <v/>
      </c>
      <c r="H962" s="13" t="str">
        <f aca="false">IF(J962&lt;&gt;1,"",IF(I962="SBJ","CB","?"))</f>
        <v/>
      </c>
      <c r="I962" s="14" t="str">
        <f aca="false">IF(OR(E962="",E962="!!!",F962="NEW"),"",INDEX(B$2:B961,-1+SUMPRODUCT(MAX(ROW(E$2:E961)*(E962=E$2:E961)))))</f>
        <v/>
      </c>
      <c r="J962" s="15" t="str">
        <f aca="true">IF(OR(E962="",E962="!!!",F962="NEW"),"",COUNTBLANK(OFFSET(A$1,,,SUMPRODUCT(MAX(ROW(E$2:E962)*(E962=E$2:E962)))))-COUNTBLANK(OFFSET(A$1,,,SUMPRODUCT(MAX(ROW(E$1:E961)*(E962=E$1:E961))))))</f>
        <v/>
      </c>
      <c r="K962" s="15" t="str">
        <f aca="false">IF(OR(E962="",E962="!!!",F962="NEW"),"",INDEX(J$1:J961,SUMPRODUCT(MAX(ROW(E$1:E961)*(E962=E$1:E961)))))</f>
        <v/>
      </c>
      <c r="L962" s="16"/>
    </row>
    <row r="963" customFormat="false" ht="12.75" hidden="false" customHeight="false" outlineLevel="0" collapsed="false">
      <c r="A963" s="9" t="s">
        <v>237</v>
      </c>
      <c r="B963" s="0" t="s">
        <v>90</v>
      </c>
      <c r="C963" s="0" t="s">
        <v>58</v>
      </c>
      <c r="D963" s="0" t="s">
        <v>27</v>
      </c>
      <c r="E963" s="10" t="s">
        <v>64</v>
      </c>
      <c r="F963" s="11" t="str">
        <f aca="false">IF(OR(E963="",E963="!!!"),"",IF(NOT(ISNA(VLOOKUP(E963,E$1:E962,1,FALSE()))),"OLD",IF(AND(E963&lt;&gt;"",E963&lt;&gt;"!!!"),"NEW","")))</f>
        <v>OLD</v>
      </c>
      <c r="G963" s="12" t="s">
        <v>49</v>
      </c>
      <c r="H963" s="13" t="s">
        <v>7</v>
      </c>
      <c r="I963" s="14" t="str">
        <f aca="false">IF(OR(E963="",E963="!!!",F963="NEW"),"",INDEX(B$2:B962,-1+SUMPRODUCT(MAX(ROW(E$2:E962)*(E963=E$2:E962)))))</f>
        <v>other</v>
      </c>
      <c r="J963" s="15" t="n">
        <f aca="true">IF(OR(E963="",E963="!!!",F963="NEW"),"",COUNTBLANK(OFFSET(A$1,,,SUMPRODUCT(MAX(ROW(E$2:E963)*(E963=E$2:E963)))))-COUNTBLANK(OFFSET(A$1,,,SUMPRODUCT(MAX(ROW(E$1:E962)*(E963=E$1:E962))))))</f>
        <v>1</v>
      </c>
      <c r="K963" s="15" t="n">
        <f aca="false">IF(OR(E963="",E963="!!!",F963="NEW"),"",INDEX(J$1:J962,SUMPRODUCT(MAX(ROW(E$1:E962)*(E963=E$1:E962)))))</f>
        <v>0</v>
      </c>
      <c r="L963" s="16"/>
    </row>
    <row r="964" customFormat="false" ht="12.75" hidden="false" customHeight="false" outlineLevel="0" collapsed="false">
      <c r="A964" s="9" t="s">
        <v>68</v>
      </c>
      <c r="E964" s="10" t="str">
        <f aca="false">IF(D964="?OLD","!!!","")</f>
        <v/>
      </c>
      <c r="F964" s="11" t="str">
        <f aca="false">IF(OR(E964="",E964="!!!"),"",IF(NOT(ISNA(VLOOKUP(E964,E$1:E963,1,FALSE()))),"OLD",IF(AND(E964&lt;&gt;"",E964&lt;&gt;"!!!"),"NEW","")))</f>
        <v/>
      </c>
      <c r="G964" s="12" t="str">
        <f aca="false">IF(OR(E964="",E964="!!!"),"",IF(OR(J964=0,AND(J964=1,K964=1),AND(J964=1,I964="SBJ"),AND(J964=1,I964=0)),"?IN_FOCUS",IF(J964&lt;=2,"?ACTIVATED",IF(J964&lt;&gt;"","?FAMILIAR",IF(F964="NEW",IF(ISNA(VLOOKUP(E964,#REF!,1,FALSE())),"?TYPE_IDENTIFIABLE","?REFERENTIAL"),"_")))))</f>
        <v/>
      </c>
      <c r="H964" s="13" t="str">
        <f aca="false">IF(J964&lt;&gt;1,"",IF(I964="SBJ","CB","?"))</f>
        <v/>
      </c>
      <c r="I964" s="14" t="str">
        <f aca="false">IF(OR(E964="",E964="!!!",F964="NEW"),"",INDEX(B$2:B963,-1+SUMPRODUCT(MAX(ROW(E$2:E963)*(E964=E$2:E963)))))</f>
        <v/>
      </c>
      <c r="J964" s="15" t="str">
        <f aca="true">IF(OR(E964="",E964="!!!",F964="NEW"),"",COUNTBLANK(OFFSET(A$1,,,SUMPRODUCT(MAX(ROW(E$2:E964)*(E964=E$2:E964)))))-COUNTBLANK(OFFSET(A$1,,,SUMPRODUCT(MAX(ROW(E$1:E963)*(E964=E$1:E963))))))</f>
        <v/>
      </c>
      <c r="K964" s="15" t="str">
        <f aca="false">IF(OR(E964="",E964="!!!",F964="NEW"),"",INDEX(J$1:J963,SUMPRODUCT(MAX(ROW(E$1:E963)*(E964=E$1:E963)))))</f>
        <v/>
      </c>
      <c r="L964" s="16"/>
    </row>
    <row r="965" customFormat="false" ht="12.75" hidden="false" customHeight="false" outlineLevel="0" collapsed="false">
      <c r="E965" s="10" t="str">
        <f aca="false">IF(D965="?OLD","!!!","")</f>
        <v/>
      </c>
      <c r="F965" s="11" t="str">
        <f aca="false">IF(OR(E965="",E965="!!!"),"",IF(NOT(ISNA(VLOOKUP(E965,E$1:E964,1,FALSE()))),"OLD",IF(AND(E965&lt;&gt;"",E965&lt;&gt;"!!!"),"NEW","")))</f>
        <v/>
      </c>
      <c r="G965" s="12" t="str">
        <f aca="false">IF(OR(E965="",E965="!!!"),"",IF(OR(J965=0,AND(J965=1,K965=1),AND(J965=1,I965="SBJ"),AND(J965=1,I965=0)),"?IN_FOCUS",IF(J965&lt;=2,"?ACTIVATED",IF(J965&lt;&gt;"","?FAMILIAR",IF(F965="NEW",IF(ISNA(VLOOKUP(E965,#REF!,1,FALSE())),"?TYPE_IDENTIFIABLE","?REFERENTIAL"),"_")))))</f>
        <v/>
      </c>
      <c r="H965" s="13" t="str">
        <f aca="false">IF(J965&lt;&gt;1,"",IF(I965="SBJ","CB","?"))</f>
        <v/>
      </c>
      <c r="I965" s="14" t="str">
        <f aca="false">IF(OR(E965="",E965="!!!",F965="NEW"),"",INDEX(B$2:B964,-1+SUMPRODUCT(MAX(ROW(E$2:E964)*(E965=E$2:E964)))))</f>
        <v/>
      </c>
      <c r="J965" s="15" t="str">
        <f aca="true">IF(OR(E965="",E965="!!!",F965="NEW"),"",COUNTBLANK(OFFSET(A$1,,,SUMPRODUCT(MAX(ROW(E$2:E965)*(E965=E$2:E965)))))-COUNTBLANK(OFFSET(A$1,,,SUMPRODUCT(MAX(ROW(E$1:E964)*(E965=E$1:E964))))))</f>
        <v/>
      </c>
      <c r="K965" s="15" t="str">
        <f aca="false">IF(OR(E965="",E965="!!!",F965="NEW"),"",INDEX(J$1:J964,SUMPRODUCT(MAX(ROW(E$1:E964)*(E965=E$1:E964)))))</f>
        <v/>
      </c>
      <c r="L965" s="16"/>
    </row>
    <row r="966" customFormat="false" ht="12.75" hidden="false" customHeight="false" outlineLevel="0" collapsed="false">
      <c r="A966" s="9" t="s">
        <v>433</v>
      </c>
      <c r="E966" s="10" t="str">
        <f aca="false">IF(D966="?OLD","!!!","")</f>
        <v/>
      </c>
      <c r="F966" s="11" t="str">
        <f aca="false">IF(OR(E966="",E966="!!!"),"",IF(NOT(ISNA(VLOOKUP(E966,E$1:E965,1,FALSE()))),"OLD",IF(AND(E966&lt;&gt;"",E966&lt;&gt;"!!!"),"NEW","")))</f>
        <v/>
      </c>
      <c r="G966" s="12" t="str">
        <f aca="false">IF(OR(E966="",E966="!!!"),"",IF(OR(J966=0,AND(J966=1,K966=1),AND(J966=1,I966="SBJ"),AND(J966=1,I966=0)),"?IN_FOCUS",IF(J966&lt;=2,"?ACTIVATED",IF(J966&lt;&gt;"","?FAMILIAR",IF(F966="NEW",IF(ISNA(VLOOKUP(E966,#REF!,1,FALSE())),"?TYPE_IDENTIFIABLE","?REFERENTIAL"),"_")))))</f>
        <v/>
      </c>
      <c r="H966" s="13" t="str">
        <f aca="false">IF(J966&lt;&gt;1,"",IF(I966="SBJ","CB","?"))</f>
        <v/>
      </c>
      <c r="I966" s="14" t="str">
        <f aca="false">IF(OR(E966="",E966="!!!",F966="NEW"),"",INDEX(B$2:B965,-1+SUMPRODUCT(MAX(ROW(E$2:E965)*(E966=E$2:E965)))))</f>
        <v/>
      </c>
      <c r="J966" s="15" t="str">
        <f aca="true">IF(OR(E966="",E966="!!!",F966="NEW"),"",COUNTBLANK(OFFSET(A$1,,,SUMPRODUCT(MAX(ROW(E$2:E966)*(E966=E$2:E966)))))-COUNTBLANK(OFFSET(A$1,,,SUMPRODUCT(MAX(ROW(E$1:E965)*(E966=E$1:E965))))))</f>
        <v/>
      </c>
      <c r="K966" s="15" t="str">
        <f aca="false">IF(OR(E966="",E966="!!!",F966="NEW"),"",INDEX(J$1:J965,SUMPRODUCT(MAX(ROW(E$1:E965)*(E966=E$1:E965)))))</f>
        <v/>
      </c>
      <c r="L966" s="16"/>
    </row>
    <row r="967" customFormat="false" ht="12.75" hidden="false" customHeight="false" outlineLevel="0" collapsed="false">
      <c r="A967" s="9" t="s">
        <v>13</v>
      </c>
      <c r="E967" s="10" t="str">
        <f aca="false">IF(D967="?OLD","!!!","")</f>
        <v/>
      </c>
      <c r="F967" s="11" t="str">
        <f aca="false">IF(OR(E967="",E967="!!!"),"",IF(NOT(ISNA(VLOOKUP(E967,E$1:E966,1,FALSE()))),"OLD",IF(AND(E967&lt;&gt;"",E967&lt;&gt;"!!!"),"NEW","")))</f>
        <v/>
      </c>
      <c r="G967" s="12" t="str">
        <f aca="false">IF(OR(E967="",E967="!!!"),"",IF(OR(J967=0,AND(J967=1,K967=1),AND(J967=1,I967="SBJ"),AND(J967=1,I967=0)),"?IN_FOCUS",IF(J967&lt;=2,"?ACTIVATED",IF(J967&lt;&gt;"","?FAMILIAR",IF(F967="NEW",IF(ISNA(VLOOKUP(E967,#REF!,1,FALSE())),"?TYPE_IDENTIFIABLE","?REFERENTIAL"),"_")))))</f>
        <v/>
      </c>
      <c r="H967" s="13" t="str">
        <f aca="false">IF(J967&lt;&gt;1,"",IF(I967="SBJ","CB","?"))</f>
        <v/>
      </c>
      <c r="I967" s="14" t="str">
        <f aca="false">IF(OR(E967="",E967="!!!",F967="NEW"),"",INDEX(B$2:B966,-1+SUMPRODUCT(MAX(ROW(E$2:E966)*(E967=E$2:E966)))))</f>
        <v/>
      </c>
      <c r="J967" s="15" t="str">
        <f aca="true">IF(OR(E967="",E967="!!!",F967="NEW"),"",COUNTBLANK(OFFSET(A$1,,,SUMPRODUCT(MAX(ROW(E$2:E967)*(E967=E$2:E967)))))-COUNTBLANK(OFFSET(A$1,,,SUMPRODUCT(MAX(ROW(E$1:E966)*(E967=E$1:E966))))))</f>
        <v/>
      </c>
      <c r="K967" s="15" t="str">
        <f aca="false">IF(OR(E967="",E967="!!!",F967="NEW"),"",INDEX(J$1:J966,SUMPRODUCT(MAX(ROW(E$1:E966)*(E967=E$1:E966)))))</f>
        <v/>
      </c>
      <c r="L967" s="16"/>
    </row>
    <row r="968" customFormat="false" ht="12.75" hidden="false" customHeight="false" outlineLevel="0" collapsed="false">
      <c r="A968" s="9" t="s">
        <v>224</v>
      </c>
      <c r="B968" s="0" t="s">
        <v>17</v>
      </c>
      <c r="E968" s="10" t="str">
        <f aca="false">IF(D968="?OLD","!!!","")</f>
        <v/>
      </c>
      <c r="F968" s="11" t="str">
        <f aca="false">IF(OR(E968="",E968="!!!"),"",IF(NOT(ISNA(VLOOKUP(E968,E$1:E967,1,FALSE()))),"OLD",IF(AND(E968&lt;&gt;"",E968&lt;&gt;"!!!"),"NEW","")))</f>
        <v/>
      </c>
      <c r="G968" s="12" t="str">
        <f aca="false">IF(OR(E968="",E968="!!!"),"",IF(OR(J968=0,AND(J968=1,K968=1),AND(J968=1,I968="SBJ"),AND(J968=1,I968=0)),"?IN_FOCUS",IF(J968&lt;=2,"?ACTIVATED",IF(J968&lt;&gt;"","?FAMILIAR",IF(F968="NEW",IF(ISNA(VLOOKUP(E968,#REF!,1,FALSE())),"?TYPE_IDENTIFIABLE","?REFERENTIAL"),"_")))))</f>
        <v/>
      </c>
      <c r="H968" s="13" t="str">
        <f aca="false">IF(J968&lt;&gt;1,"",IF(I968="SBJ","CB","?"))</f>
        <v/>
      </c>
      <c r="I968" s="14" t="str">
        <f aca="false">IF(OR(E968="",E968="!!!",F968="NEW"),"",INDEX(B$2:B967,-1+SUMPRODUCT(MAX(ROW(E$2:E967)*(E968=E$2:E967)))))</f>
        <v/>
      </c>
      <c r="J968" s="15" t="str">
        <f aca="true">IF(OR(E968="",E968="!!!",F968="NEW"),"",COUNTBLANK(OFFSET(A$1,,,SUMPRODUCT(MAX(ROW(E$2:E968)*(E968=E$2:E968)))))-COUNTBLANK(OFFSET(A$1,,,SUMPRODUCT(MAX(ROW(E$1:E967)*(E968=E$1:E967))))))</f>
        <v/>
      </c>
      <c r="K968" s="15" t="str">
        <f aca="false">IF(OR(E968="",E968="!!!",F968="NEW"),"",INDEX(J$1:J967,SUMPRODUCT(MAX(ROW(E$1:E967)*(E968=E$1:E967)))))</f>
        <v/>
      </c>
      <c r="L968" s="16"/>
    </row>
    <row r="969" customFormat="false" ht="12.75" hidden="false" customHeight="false" outlineLevel="0" collapsed="false">
      <c r="A969" s="9" t="s">
        <v>434</v>
      </c>
      <c r="E969" s="10" t="str">
        <f aca="false">IF(D969="?OLD","!!!","")</f>
        <v/>
      </c>
      <c r="F969" s="11" t="str">
        <f aca="false">IF(OR(E969="",E969="!!!"),"",IF(NOT(ISNA(VLOOKUP(E969,E$1:E968,1,FALSE()))),"OLD",IF(AND(E969&lt;&gt;"",E969&lt;&gt;"!!!"),"NEW","")))</f>
        <v/>
      </c>
      <c r="G969" s="12" t="str">
        <f aca="false">IF(OR(E969="",E969="!!!"),"",IF(OR(J969=0,AND(J969=1,K969=1),AND(J969=1,I969="SBJ"),AND(J969=1,I969=0)),"?IN_FOCUS",IF(J969&lt;=2,"?ACTIVATED",IF(J969&lt;&gt;"","?FAMILIAR",IF(F969="NEW",IF(ISNA(VLOOKUP(E969,#REF!,1,FALSE())),"?TYPE_IDENTIFIABLE","?REFERENTIAL"),"_")))))</f>
        <v/>
      </c>
      <c r="H969" s="13" t="str">
        <f aca="false">IF(J969&lt;&gt;1,"",IF(I969="SBJ","CB","?"))</f>
        <v/>
      </c>
      <c r="I969" s="14" t="str">
        <f aca="false">IF(OR(E969="",E969="!!!",F969="NEW"),"",INDEX(B$2:B968,-1+SUMPRODUCT(MAX(ROW(E$2:E968)*(E969=E$2:E968)))))</f>
        <v/>
      </c>
      <c r="J969" s="15" t="str">
        <f aca="true">IF(OR(E969="",E969="!!!",F969="NEW"),"",COUNTBLANK(OFFSET(A$1,,,SUMPRODUCT(MAX(ROW(E$2:E969)*(E969=E$2:E969)))))-COUNTBLANK(OFFSET(A$1,,,SUMPRODUCT(MAX(ROW(E$1:E968)*(E969=E$1:E968))))))</f>
        <v/>
      </c>
      <c r="K969" s="15" t="str">
        <f aca="false">IF(OR(E969="",E969="!!!",F969="NEW"),"",INDEX(J$1:J968,SUMPRODUCT(MAX(ROW(E$1:E968)*(E969=E$1:E968)))))</f>
        <v/>
      </c>
      <c r="L969" s="16"/>
    </row>
    <row r="970" customFormat="false" ht="12.75" hidden="false" customHeight="false" outlineLevel="0" collapsed="false">
      <c r="A970" s="9" t="s">
        <v>151</v>
      </c>
      <c r="E970" s="10" t="str">
        <f aca="false">IF(D970="?OLD","!!!","")</f>
        <v/>
      </c>
      <c r="F970" s="11" t="str">
        <f aca="false">IF(OR(E970="",E970="!!!"),"",IF(NOT(ISNA(VLOOKUP(E970,E$1:E969,1,FALSE()))),"OLD",IF(AND(E970&lt;&gt;"",E970&lt;&gt;"!!!"),"NEW","")))</f>
        <v/>
      </c>
      <c r="G970" s="12" t="str">
        <f aca="false">IF(OR(E970="",E970="!!!"),"",IF(OR(J970=0,AND(J970=1,K970=1),AND(J970=1,I970="SBJ"),AND(J970=1,I970=0)),"?IN_FOCUS",IF(J970&lt;=2,"?ACTIVATED",IF(J970&lt;&gt;"","?FAMILIAR",IF(F970="NEW",IF(ISNA(VLOOKUP(E970,#REF!,1,FALSE())),"?TYPE_IDENTIFIABLE","?REFERENTIAL"),"_")))))</f>
        <v/>
      </c>
      <c r="H970" s="13" t="str">
        <f aca="false">IF(J970&lt;&gt;1,"",IF(I970="SBJ","CB","?"))</f>
        <v/>
      </c>
      <c r="I970" s="14" t="str">
        <f aca="false">IF(OR(E970="",E970="!!!",F970="NEW"),"",INDEX(B$2:B969,-1+SUMPRODUCT(MAX(ROW(E$2:E969)*(E970=E$2:E969)))))</f>
        <v/>
      </c>
      <c r="J970" s="15" t="str">
        <f aca="true">IF(OR(E970="",E970="!!!",F970="NEW"),"",COUNTBLANK(OFFSET(A$1,,,SUMPRODUCT(MAX(ROW(E$2:E970)*(E970=E$2:E970)))))-COUNTBLANK(OFFSET(A$1,,,SUMPRODUCT(MAX(ROW(E$1:E969)*(E970=E$1:E969))))))</f>
        <v/>
      </c>
      <c r="K970" s="15" t="str">
        <f aca="false">IF(OR(E970="",E970="!!!",F970="NEW"),"",INDEX(J$1:J969,SUMPRODUCT(MAX(ROW(E$1:E969)*(E970=E$1:E969)))))</f>
        <v/>
      </c>
      <c r="L970" s="16"/>
    </row>
    <row r="971" customFormat="false" ht="12.75" hidden="false" customHeight="false" outlineLevel="0" collapsed="false">
      <c r="A971" s="9" t="s">
        <v>105</v>
      </c>
      <c r="E971" s="10" t="str">
        <f aca="false">IF(D971="?OLD","!!!","")</f>
        <v/>
      </c>
      <c r="F971" s="11" t="str">
        <f aca="false">IF(OR(E971="",E971="!!!"),"",IF(NOT(ISNA(VLOOKUP(E971,E$1:E970,1,FALSE()))),"OLD",IF(AND(E971&lt;&gt;"",E971&lt;&gt;"!!!"),"NEW","")))</f>
        <v/>
      </c>
      <c r="G971" s="12" t="str">
        <f aca="false">IF(OR(E971="",E971="!!!"),"",IF(OR(J971=0,AND(J971=1,K971=1),AND(J971=1,I971="SBJ"),AND(J971=1,I971=0)),"?IN_FOCUS",IF(J971&lt;=2,"?ACTIVATED",IF(J971&lt;&gt;"","?FAMILIAR",IF(F971="NEW",IF(ISNA(VLOOKUP(E971,#REF!,1,FALSE())),"?TYPE_IDENTIFIABLE","?REFERENTIAL"),"_")))))</f>
        <v/>
      </c>
      <c r="H971" s="13" t="str">
        <f aca="false">IF(J971&lt;&gt;1,"",IF(I971="SBJ","CB","?"))</f>
        <v/>
      </c>
      <c r="I971" s="14" t="str">
        <f aca="false">IF(OR(E971="",E971="!!!",F971="NEW"),"",INDEX(B$2:B970,-1+SUMPRODUCT(MAX(ROW(E$2:E970)*(E971=E$2:E970)))))</f>
        <v/>
      </c>
      <c r="J971" s="15" t="str">
        <f aca="true">IF(OR(E971="",E971="!!!",F971="NEW"),"",COUNTBLANK(OFFSET(A$1,,,SUMPRODUCT(MAX(ROW(E$2:E971)*(E971=E$2:E971)))))-COUNTBLANK(OFFSET(A$1,,,SUMPRODUCT(MAX(ROW(E$1:E970)*(E971=E$1:E970))))))</f>
        <v/>
      </c>
      <c r="K971" s="15" t="str">
        <f aca="false">IF(OR(E971="",E971="!!!",F971="NEW"),"",INDEX(J$1:J970,SUMPRODUCT(MAX(ROW(E$1:E970)*(E971=E$1:E970)))))</f>
        <v/>
      </c>
      <c r="L971" s="16"/>
    </row>
    <row r="972" customFormat="false" ht="12.75" hidden="false" customHeight="false" outlineLevel="0" collapsed="false">
      <c r="A972" s="9" t="s">
        <v>45</v>
      </c>
      <c r="E972" s="10" t="str">
        <f aca="false">IF(D972="?OLD","!!!","")</f>
        <v/>
      </c>
      <c r="F972" s="11" t="str">
        <f aca="false">IF(OR(E972="",E972="!!!"),"",IF(NOT(ISNA(VLOOKUP(E972,E$1:E971,1,FALSE()))),"OLD",IF(AND(E972&lt;&gt;"",E972&lt;&gt;"!!!"),"NEW","")))</f>
        <v/>
      </c>
      <c r="G972" s="12" t="str">
        <f aca="false">IF(OR(E972="",E972="!!!"),"",IF(OR(J972=0,AND(J972=1,K972=1),AND(J972=1,I972="SBJ"),AND(J972=1,I972=0)),"?IN_FOCUS",IF(J972&lt;=2,"?ACTIVATED",IF(J972&lt;&gt;"","?FAMILIAR",IF(F972="NEW",IF(ISNA(VLOOKUP(E972,#REF!,1,FALSE())),"?TYPE_IDENTIFIABLE","?REFERENTIAL"),"_")))))</f>
        <v/>
      </c>
      <c r="H972" s="13" t="str">
        <f aca="false">IF(J972&lt;&gt;1,"",IF(I972="SBJ","CB","?"))</f>
        <v/>
      </c>
      <c r="I972" s="14" t="str">
        <f aca="false">IF(OR(E972="",E972="!!!",F972="NEW"),"",INDEX(B$2:B971,-1+SUMPRODUCT(MAX(ROW(E$2:E971)*(E972=E$2:E971)))))</f>
        <v/>
      </c>
      <c r="J972" s="15" t="str">
        <f aca="true">IF(OR(E972="",E972="!!!",F972="NEW"),"",COUNTBLANK(OFFSET(A$1,,,SUMPRODUCT(MAX(ROW(E$2:E972)*(E972=E$2:E972)))))-COUNTBLANK(OFFSET(A$1,,,SUMPRODUCT(MAX(ROW(E$1:E971)*(E972=E$1:E971))))))</f>
        <v/>
      </c>
      <c r="K972" s="15" t="str">
        <f aca="false">IF(OR(E972="",E972="!!!",F972="NEW"),"",INDEX(J$1:J971,SUMPRODUCT(MAX(ROW(E$1:E971)*(E972=E$1:E971)))))</f>
        <v/>
      </c>
      <c r="L972" s="16"/>
    </row>
    <row r="973" customFormat="false" ht="12.75" hidden="false" customHeight="false" outlineLevel="0" collapsed="false">
      <c r="A973" s="9" t="s">
        <v>321</v>
      </c>
      <c r="B973" s="0" t="s">
        <v>75</v>
      </c>
      <c r="C973" s="0" t="s">
        <v>47</v>
      </c>
      <c r="D973" s="0" t="s">
        <v>27</v>
      </c>
      <c r="E973" s="10" t="s">
        <v>322</v>
      </c>
      <c r="F973" s="11" t="str">
        <f aca="false">IF(OR(E973="",E973="!!!"),"",IF(NOT(ISNA(VLOOKUP(E973,E$1:E972,1,FALSE()))),"OLD",IF(AND(E973&lt;&gt;"",E973&lt;&gt;"!!!"),"NEW","")))</f>
        <v>OLD</v>
      </c>
      <c r="G973" s="12" t="s">
        <v>72</v>
      </c>
      <c r="H973" s="13" t="str">
        <f aca="false">IF(J973&lt;&gt;1,"",IF(I973="SBJ","CB","?"))</f>
        <v/>
      </c>
      <c r="I973" s="14" t="str">
        <f aca="false">IF(OR(E973="",E973="!!!",F973="NEW"),"",INDEX(B$2:B972,-1+SUMPRODUCT(MAX(ROW(E$2:E972)*(E973=E$2:E972)))))</f>
        <v>other</v>
      </c>
      <c r="J973" s="15" t="n">
        <f aca="true">IF(OR(E973="",E973="!!!",F973="NEW"),"",COUNTBLANK(OFFSET(A$1,,,SUMPRODUCT(MAX(ROW(E$2:E973)*(E973=E$2:E973)))))-COUNTBLANK(OFFSET(A$1,,,SUMPRODUCT(MAX(ROW(E$1:E972)*(E973=E$1:E972))))))</f>
        <v>8</v>
      </c>
      <c r="K973" s="15" t="n">
        <f aca="false">IF(OR(E973="",E973="!!!",F973="NEW"),"",INDEX(J$1:J972,SUMPRODUCT(MAX(ROW(E$1:E972)*(E973=E$1:E972)))))</f>
        <v>6</v>
      </c>
      <c r="L973" s="16"/>
    </row>
    <row r="974" customFormat="false" ht="12.75" hidden="false" customHeight="false" outlineLevel="0" collapsed="false">
      <c r="A974" s="9" t="s">
        <v>22</v>
      </c>
      <c r="E974" s="10" t="str">
        <f aca="false">IF(D974="?OLD","!!!","")</f>
        <v/>
      </c>
      <c r="F974" s="11" t="str">
        <f aca="false">IF(OR(E974="",E974="!!!"),"",IF(NOT(ISNA(VLOOKUP(E974,E$1:E973,1,FALSE()))),"OLD",IF(AND(E974&lt;&gt;"",E974&lt;&gt;"!!!"),"NEW","")))</f>
        <v/>
      </c>
      <c r="G974" s="12" t="str">
        <f aca="false">IF(OR(E974="",E974="!!!"),"",IF(OR(J974=0,AND(J974=1,K974=1),AND(J974=1,I974="SBJ"),AND(J974=1,I974=0)),"?IN_FOCUS",IF(J974&lt;=2,"?ACTIVATED",IF(J974&lt;&gt;"","?FAMILIAR",IF(F974="NEW",IF(ISNA(VLOOKUP(E974,#REF!,1,FALSE())),"?TYPE_IDENTIFIABLE","?REFERENTIAL"),"_")))))</f>
        <v/>
      </c>
      <c r="H974" s="13" t="str">
        <f aca="false">IF(J974&lt;&gt;1,"",IF(I974="SBJ","CB","?"))</f>
        <v/>
      </c>
      <c r="I974" s="14" t="str">
        <f aca="false">IF(OR(E974="",E974="!!!",F974="NEW"),"",INDEX(B$2:B973,-1+SUMPRODUCT(MAX(ROW(E$2:E973)*(E974=E$2:E973)))))</f>
        <v/>
      </c>
      <c r="J974" s="15" t="str">
        <f aca="true">IF(OR(E974="",E974="!!!",F974="NEW"),"",COUNTBLANK(OFFSET(A$1,,,SUMPRODUCT(MAX(ROW(E$2:E974)*(E974=E$2:E974)))))-COUNTBLANK(OFFSET(A$1,,,SUMPRODUCT(MAX(ROW(E$1:E973)*(E974=E$1:E973))))))</f>
        <v/>
      </c>
      <c r="K974" s="15" t="str">
        <f aca="false">IF(OR(E974="",E974="!!!",F974="NEW"),"",INDEX(J$1:J973,SUMPRODUCT(MAX(ROW(E$1:E973)*(E974=E$1:E973)))))</f>
        <v/>
      </c>
      <c r="L974" s="16"/>
    </row>
    <row r="975" customFormat="false" ht="12.75" hidden="false" customHeight="false" outlineLevel="0" collapsed="false">
      <c r="A975" s="9" t="s">
        <v>14</v>
      </c>
      <c r="E975" s="10" t="str">
        <f aca="false">IF(D975="?OLD","!!!","")</f>
        <v/>
      </c>
      <c r="F975" s="11" t="str">
        <f aca="false">IF(OR(E975="",E975="!!!"),"",IF(NOT(ISNA(VLOOKUP(E975,E$1:E974,1,FALSE()))),"OLD",IF(AND(E975&lt;&gt;"",E975&lt;&gt;"!!!"),"NEW","")))</f>
        <v/>
      </c>
      <c r="G975" s="12" t="str">
        <f aca="false">IF(OR(E975="",E975="!!!"),"",IF(OR(J975=0,AND(J975=1,K975=1),AND(J975=1,I975="SBJ"),AND(J975=1,I975=0)),"?IN_FOCUS",IF(J975&lt;=2,"?ACTIVATED",IF(J975&lt;&gt;"","?FAMILIAR",IF(F975="NEW",IF(ISNA(VLOOKUP(E975,#REF!,1,FALSE())),"?TYPE_IDENTIFIABLE","?REFERENTIAL"),"_")))))</f>
        <v/>
      </c>
      <c r="H975" s="13" t="str">
        <f aca="false">IF(J975&lt;&gt;1,"",IF(I975="SBJ","CB","?"))</f>
        <v/>
      </c>
      <c r="I975" s="14" t="str">
        <f aca="false">IF(OR(E975="",E975="!!!",F975="NEW"),"",INDEX(B$2:B974,-1+SUMPRODUCT(MAX(ROW(E$2:E974)*(E975=E$2:E974)))))</f>
        <v/>
      </c>
      <c r="J975" s="15" t="str">
        <f aca="true">IF(OR(E975="",E975="!!!",F975="NEW"),"",COUNTBLANK(OFFSET(A$1,,,SUMPRODUCT(MAX(ROW(E$2:E975)*(E975=E$2:E975)))))-COUNTBLANK(OFFSET(A$1,,,SUMPRODUCT(MAX(ROW(E$1:E974)*(E975=E$1:E974))))))</f>
        <v/>
      </c>
      <c r="K975" s="15" t="str">
        <f aca="false">IF(OR(E975="",E975="!!!",F975="NEW"),"",INDEX(J$1:J974,SUMPRODUCT(MAX(ROW(E$1:E974)*(E975=E$1:E974)))))</f>
        <v/>
      </c>
      <c r="L975" s="16"/>
    </row>
    <row r="976" customFormat="false" ht="12.75" hidden="false" customHeight="false" outlineLevel="0" collapsed="false">
      <c r="A976" s="9" t="s">
        <v>435</v>
      </c>
      <c r="B976" s="0" t="s">
        <v>38</v>
      </c>
      <c r="C976" s="0" t="s">
        <v>18</v>
      </c>
      <c r="E976" s="10" t="str">
        <f aca="false">IF(D976="?OLD","!!!","")</f>
        <v/>
      </c>
      <c r="F976" s="11" t="str">
        <f aca="false">IF(OR(E976="",E976="!!!"),"",IF(NOT(ISNA(VLOOKUP(E976,E$1:E975,1,FALSE()))),"OLD",IF(AND(E976&lt;&gt;"",E976&lt;&gt;"!!!"),"NEW","")))</f>
        <v/>
      </c>
      <c r="G976" s="12" t="str">
        <f aca="false">IF(OR(E976="",E976="!!!"),"",IF(OR(J976=0,AND(J976=1,K976=1),AND(J976=1,I976="SBJ"),AND(J976=1,I976=0)),"?IN_FOCUS",IF(J976&lt;=2,"?ACTIVATED",IF(J976&lt;&gt;"","?FAMILIAR",IF(F976="NEW",IF(ISNA(VLOOKUP(E976,#REF!,1,FALSE())),"?TYPE_IDENTIFIABLE","?REFERENTIAL"),"_")))))</f>
        <v/>
      </c>
      <c r="H976" s="13" t="str">
        <f aca="false">IF(J976&lt;&gt;1,"",IF(I976="SBJ","CB","?"))</f>
        <v/>
      </c>
      <c r="I976" s="14" t="str">
        <f aca="false">IF(OR(E976="",E976="!!!",F976="NEW"),"",INDEX(B$2:B975,-1+SUMPRODUCT(MAX(ROW(E$2:E975)*(E976=E$2:E975)))))</f>
        <v/>
      </c>
      <c r="J976" s="15" t="str">
        <f aca="true">IF(OR(E976="",E976="!!!",F976="NEW"),"",COUNTBLANK(OFFSET(A$1,,,SUMPRODUCT(MAX(ROW(E$2:E976)*(E976=E$2:E976)))))-COUNTBLANK(OFFSET(A$1,,,SUMPRODUCT(MAX(ROW(E$1:E975)*(E976=E$1:E975))))))</f>
        <v/>
      </c>
      <c r="K976" s="15" t="str">
        <f aca="false">IF(OR(E976="",E976="!!!",F976="NEW"),"",INDEX(J$1:J975,SUMPRODUCT(MAX(ROW(E$1:E975)*(E976=E$1:E975)))))</f>
        <v/>
      </c>
      <c r="L976" s="16"/>
    </row>
    <row r="977" customFormat="false" ht="12.75" hidden="false" customHeight="false" outlineLevel="0" collapsed="false">
      <c r="A977" s="9" t="s">
        <v>19</v>
      </c>
      <c r="E977" s="10" t="str">
        <f aca="false">IF(D977="?OLD","!!!","")</f>
        <v/>
      </c>
      <c r="F977" s="11" t="str">
        <f aca="false">IF(OR(E977="",E977="!!!"),"",IF(NOT(ISNA(VLOOKUP(E977,E$1:E976,1,FALSE()))),"OLD",IF(AND(E977&lt;&gt;"",E977&lt;&gt;"!!!"),"NEW","")))</f>
        <v/>
      </c>
      <c r="G977" s="12" t="str">
        <f aca="false">IF(OR(E977="",E977="!!!"),"",IF(OR(J977=0,AND(J977=1,K977=1),AND(J977=1,I977="SBJ"),AND(J977=1,I977=0)),"?IN_FOCUS",IF(J977&lt;=2,"?ACTIVATED",IF(J977&lt;&gt;"","?FAMILIAR",IF(F977="NEW",IF(ISNA(VLOOKUP(E977,#REF!,1,FALSE())),"?TYPE_IDENTIFIABLE","?REFERENTIAL"),"_")))))</f>
        <v/>
      </c>
      <c r="H977" s="13" t="str">
        <f aca="false">IF(J977&lt;&gt;1,"",IF(I977="SBJ","CB","?"))</f>
        <v/>
      </c>
      <c r="I977" s="14" t="str">
        <f aca="false">IF(OR(E977="",E977="!!!",F977="NEW"),"",INDEX(B$2:B976,-1+SUMPRODUCT(MAX(ROW(E$2:E976)*(E977=E$2:E976)))))</f>
        <v/>
      </c>
      <c r="J977" s="15" t="str">
        <f aca="true">IF(OR(E977="",E977="!!!",F977="NEW"),"",COUNTBLANK(OFFSET(A$1,,,SUMPRODUCT(MAX(ROW(E$2:E977)*(E977=E$2:E977)))))-COUNTBLANK(OFFSET(A$1,,,SUMPRODUCT(MAX(ROW(E$1:E976)*(E977=E$1:E976))))))</f>
        <v/>
      </c>
      <c r="K977" s="15" t="str">
        <f aca="false">IF(OR(E977="",E977="!!!",F977="NEW"),"",INDEX(J$1:J976,SUMPRODUCT(MAX(ROW(E$1:E976)*(E977=E$1:E976)))))</f>
        <v/>
      </c>
      <c r="L977" s="16"/>
    </row>
    <row r="978" customFormat="false" ht="12.75" hidden="false" customHeight="false" outlineLevel="0" collapsed="false">
      <c r="A978" s="9" t="s">
        <v>436</v>
      </c>
      <c r="B978" s="0" t="s">
        <v>33</v>
      </c>
      <c r="C978" s="0" t="s">
        <v>26</v>
      </c>
      <c r="D978" s="0" t="s">
        <v>27</v>
      </c>
      <c r="E978" s="10" t="s">
        <v>436</v>
      </c>
      <c r="F978" s="11" t="str">
        <f aca="false">IF(OR(E978="",E978="!!!"),"",IF(NOT(ISNA(VLOOKUP(E978,E$1:E977,1,FALSE()))),"OLD",IF(AND(E978&lt;&gt;"",E978&lt;&gt;"!!!"),"NEW","")))</f>
        <v>NEW</v>
      </c>
      <c r="G978" s="12" t="s">
        <v>28</v>
      </c>
      <c r="H978" s="13" t="str">
        <f aca="false">IF(J978&lt;&gt;1,"",IF(I978="SBJ","CB","?"))</f>
        <v/>
      </c>
      <c r="I978" s="14" t="str">
        <f aca="false">IF(OR(E978="",E978="!!!",F978="NEW"),"",INDEX(B$2:B977,-1+SUMPRODUCT(MAX(ROW(E$2:E977)*(E978=E$2:E977)))))</f>
        <v/>
      </c>
      <c r="J978" s="15" t="str">
        <f aca="true">IF(OR(E978="",E978="!!!",F978="NEW"),"",COUNTBLANK(OFFSET(A$1,,,SUMPRODUCT(MAX(ROW(E$2:E978)*(E978=E$2:E978)))))-COUNTBLANK(OFFSET(A$1,,,SUMPRODUCT(MAX(ROW(E$1:E977)*(E978=E$1:E977))))))</f>
        <v/>
      </c>
      <c r="K978" s="15" t="str">
        <f aca="false">IF(OR(E978="",E978="!!!",F978="NEW"),"",INDEX(J$1:J977,SUMPRODUCT(MAX(ROW(E$1:E977)*(E978=E$1:E977)))))</f>
        <v/>
      </c>
      <c r="L978" s="16"/>
    </row>
    <row r="979" customFormat="false" ht="12.75" hidden="false" customHeight="false" outlineLevel="0" collapsed="false">
      <c r="A979" s="9" t="s">
        <v>22</v>
      </c>
      <c r="E979" s="10" t="str">
        <f aca="false">IF(D979="?OLD","!!!","")</f>
        <v/>
      </c>
      <c r="F979" s="11" t="str">
        <f aca="false">IF(OR(E979="",E979="!!!"),"",IF(NOT(ISNA(VLOOKUP(E979,E$1:E978,1,FALSE()))),"OLD",IF(AND(E979&lt;&gt;"",E979&lt;&gt;"!!!"),"NEW","")))</f>
        <v/>
      </c>
      <c r="G979" s="12" t="str">
        <f aca="false">IF(OR(E979="",E979="!!!"),"",IF(OR(J979=0,AND(J979=1,K979=1),AND(J979=1,I979="SBJ"),AND(J979=1,I979=0)),"?IN_FOCUS",IF(J979&lt;=2,"?ACTIVATED",IF(J979&lt;&gt;"","?FAMILIAR",IF(F979="NEW",IF(ISNA(VLOOKUP(E979,#REF!,1,FALSE())),"?TYPE_IDENTIFIABLE","?REFERENTIAL"),"_")))))</f>
        <v/>
      </c>
      <c r="H979" s="13" t="str">
        <f aca="false">IF(J979&lt;&gt;1,"",IF(I979="SBJ","CB","?"))</f>
        <v/>
      </c>
      <c r="I979" s="14" t="str">
        <f aca="false">IF(OR(E979="",E979="!!!",F979="NEW"),"",INDEX(B$2:B978,-1+SUMPRODUCT(MAX(ROW(E$2:E978)*(E979=E$2:E978)))))</f>
        <v/>
      </c>
      <c r="J979" s="15" t="str">
        <f aca="true">IF(OR(E979="",E979="!!!",F979="NEW"),"",COUNTBLANK(OFFSET(A$1,,,SUMPRODUCT(MAX(ROW(E$2:E979)*(E979=E$2:E979)))))-COUNTBLANK(OFFSET(A$1,,,SUMPRODUCT(MAX(ROW(E$1:E978)*(E979=E$1:E978))))))</f>
        <v/>
      </c>
      <c r="K979" s="15" t="str">
        <f aca="false">IF(OR(E979="",E979="!!!",F979="NEW"),"",INDEX(J$1:J978,SUMPRODUCT(MAX(ROW(E$1:E978)*(E979=E$1:E978)))))</f>
        <v/>
      </c>
      <c r="L979" s="16"/>
    </row>
    <row r="980" customFormat="false" ht="12.75" hidden="false" customHeight="false" outlineLevel="0" collapsed="false">
      <c r="A980" s="9" t="s">
        <v>14</v>
      </c>
      <c r="E980" s="10" t="str">
        <f aca="false">IF(D980="?OLD","!!!","")</f>
        <v/>
      </c>
      <c r="F980" s="11" t="str">
        <f aca="false">IF(OR(E980="",E980="!!!"),"",IF(NOT(ISNA(VLOOKUP(E980,E$1:E979,1,FALSE()))),"OLD",IF(AND(E980&lt;&gt;"",E980&lt;&gt;"!!!"),"NEW","")))</f>
        <v/>
      </c>
      <c r="G980" s="12" t="str">
        <f aca="false">IF(OR(E980="",E980="!!!"),"",IF(OR(J980=0,AND(J980=1,K980=1),AND(J980=1,I980="SBJ"),AND(J980=1,I980=0)),"?IN_FOCUS",IF(J980&lt;=2,"?ACTIVATED",IF(J980&lt;&gt;"","?FAMILIAR",IF(F980="NEW",IF(ISNA(VLOOKUP(E980,#REF!,1,FALSE())),"?TYPE_IDENTIFIABLE","?REFERENTIAL"),"_")))))</f>
        <v/>
      </c>
      <c r="H980" s="13" t="str">
        <f aca="false">IF(J980&lt;&gt;1,"",IF(I980="SBJ","CB","?"))</f>
        <v/>
      </c>
      <c r="I980" s="14" t="str">
        <f aca="false">IF(OR(E980="",E980="!!!",F980="NEW"),"",INDEX(B$2:B979,-1+SUMPRODUCT(MAX(ROW(E$2:E979)*(E980=E$2:E979)))))</f>
        <v/>
      </c>
      <c r="J980" s="15" t="str">
        <f aca="true">IF(OR(E980="",E980="!!!",F980="NEW"),"",COUNTBLANK(OFFSET(A$1,,,SUMPRODUCT(MAX(ROW(E$2:E980)*(E980=E$2:E980)))))-COUNTBLANK(OFFSET(A$1,,,SUMPRODUCT(MAX(ROW(E$1:E979)*(E980=E$1:E979))))))</f>
        <v/>
      </c>
      <c r="K980" s="15" t="str">
        <f aca="false">IF(OR(E980="",E980="!!!",F980="NEW"),"",INDEX(J$1:J979,SUMPRODUCT(MAX(ROW(E$1:E979)*(E980=E$1:E979)))))</f>
        <v/>
      </c>
      <c r="L980" s="16"/>
    </row>
    <row r="981" customFormat="false" ht="12.75" hidden="false" customHeight="false" outlineLevel="0" collapsed="false">
      <c r="A981" s="9" t="s">
        <v>437</v>
      </c>
      <c r="B981" s="0" t="s">
        <v>30</v>
      </c>
      <c r="C981" s="0" t="s">
        <v>18</v>
      </c>
      <c r="E981" s="10" t="str">
        <f aca="false">IF(D981="?OLD","!!!","")</f>
        <v/>
      </c>
      <c r="F981" s="11" t="str">
        <f aca="false">IF(OR(E981="",E981="!!!"),"",IF(NOT(ISNA(VLOOKUP(E981,E$1:E980,1,FALSE()))),"OLD",IF(AND(E981&lt;&gt;"",E981&lt;&gt;"!!!"),"NEW","")))</f>
        <v/>
      </c>
      <c r="G981" s="12" t="str">
        <f aca="false">IF(OR(E981="",E981="!!!"),"",IF(OR(J981=0,AND(J981=1,K981=1),AND(J981=1,I981="SBJ"),AND(J981=1,I981=0)),"?IN_FOCUS",IF(J981&lt;=2,"?ACTIVATED",IF(J981&lt;&gt;"","?FAMILIAR",IF(F981="NEW",IF(ISNA(VLOOKUP(E981,#REF!,1,FALSE())),"?TYPE_IDENTIFIABLE","?REFERENTIAL"),"_")))))</f>
        <v/>
      </c>
      <c r="H981" s="13" t="str">
        <f aca="false">IF(J981&lt;&gt;1,"",IF(I981="SBJ","CB","?"))</f>
        <v/>
      </c>
      <c r="I981" s="14" t="str">
        <f aca="false">IF(OR(E981="",E981="!!!",F981="NEW"),"",INDEX(B$2:B980,-1+SUMPRODUCT(MAX(ROW(E$2:E980)*(E981=E$2:E980)))))</f>
        <v/>
      </c>
      <c r="J981" s="15" t="str">
        <f aca="true">IF(OR(E981="",E981="!!!",F981="NEW"),"",COUNTBLANK(OFFSET(A$1,,,SUMPRODUCT(MAX(ROW(E$2:E981)*(E981=E$2:E981)))))-COUNTBLANK(OFFSET(A$1,,,SUMPRODUCT(MAX(ROW(E$1:E980)*(E981=E$1:E980))))))</f>
        <v/>
      </c>
      <c r="K981" s="15" t="str">
        <f aca="false">IF(OR(E981="",E981="!!!",F981="NEW"),"",INDEX(J$1:J980,SUMPRODUCT(MAX(ROW(E$1:E980)*(E981=E$1:E980)))))</f>
        <v/>
      </c>
      <c r="L981" s="16"/>
    </row>
    <row r="982" customFormat="false" ht="12.75" hidden="false" customHeight="false" outlineLevel="0" collapsed="false">
      <c r="A982" s="9" t="s">
        <v>44</v>
      </c>
      <c r="E982" s="10" t="str">
        <f aca="false">IF(D982="?OLD","!!!","")</f>
        <v/>
      </c>
      <c r="F982" s="11" t="str">
        <f aca="false">IF(OR(E982="",E982="!!!"),"",IF(NOT(ISNA(VLOOKUP(E982,E$1:E981,1,FALSE()))),"OLD",IF(AND(E982&lt;&gt;"",E982&lt;&gt;"!!!"),"NEW","")))</f>
        <v/>
      </c>
      <c r="G982" s="12" t="str">
        <f aca="false">IF(OR(E982="",E982="!!!"),"",IF(OR(J982=0,AND(J982=1,K982=1),AND(J982=1,I982="SBJ"),AND(J982=1,I982=0)),"?IN_FOCUS",IF(J982&lt;=2,"?ACTIVATED",IF(J982&lt;&gt;"","?FAMILIAR",IF(F982="NEW",IF(ISNA(VLOOKUP(E982,#REF!,1,FALSE())),"?TYPE_IDENTIFIABLE","?REFERENTIAL"),"_")))))</f>
        <v/>
      </c>
      <c r="H982" s="13" t="str">
        <f aca="false">IF(J982&lt;&gt;1,"",IF(I982="SBJ","CB","?"))</f>
        <v/>
      </c>
      <c r="I982" s="14" t="str">
        <f aca="false">IF(OR(E982="",E982="!!!",F982="NEW"),"",INDEX(B$2:B981,-1+SUMPRODUCT(MAX(ROW(E$2:E981)*(E982=E$2:E981)))))</f>
        <v/>
      </c>
      <c r="J982" s="15" t="str">
        <f aca="true">IF(OR(E982="",E982="!!!",F982="NEW"),"",COUNTBLANK(OFFSET(A$1,,,SUMPRODUCT(MAX(ROW(E$2:E982)*(E982=E$2:E982)))))-COUNTBLANK(OFFSET(A$1,,,SUMPRODUCT(MAX(ROW(E$1:E981)*(E982=E$1:E981))))))</f>
        <v/>
      </c>
      <c r="K982" s="15" t="str">
        <f aca="false">IF(OR(E982="",E982="!!!",F982="NEW"),"",INDEX(J$1:J981,SUMPRODUCT(MAX(ROW(E$1:E981)*(E982=E$1:E981)))))</f>
        <v/>
      </c>
      <c r="L982" s="16"/>
    </row>
    <row r="983" customFormat="false" ht="12.75" hidden="false" customHeight="false" outlineLevel="0" collapsed="false">
      <c r="A983" s="9" t="s">
        <v>45</v>
      </c>
      <c r="E983" s="10" t="str">
        <f aca="false">IF(D983="?OLD","!!!","")</f>
        <v/>
      </c>
      <c r="F983" s="11" t="str">
        <f aca="false">IF(OR(E983="",E983="!!!"),"",IF(NOT(ISNA(VLOOKUP(E983,E$1:E982,1,FALSE()))),"OLD",IF(AND(E983&lt;&gt;"",E983&lt;&gt;"!!!"),"NEW","")))</f>
        <v/>
      </c>
      <c r="G983" s="12" t="str">
        <f aca="false">IF(OR(E983="",E983="!!!"),"",IF(OR(J983=0,AND(J983=1,K983=1),AND(J983=1,I983="SBJ"),AND(J983=1,I983=0)),"?IN_FOCUS",IF(J983&lt;=2,"?ACTIVATED",IF(J983&lt;&gt;"","?FAMILIAR",IF(F983="NEW",IF(ISNA(VLOOKUP(E983,#REF!,1,FALSE())),"?TYPE_IDENTIFIABLE","?REFERENTIAL"),"_")))))</f>
        <v/>
      </c>
      <c r="H983" s="13" t="str">
        <f aca="false">IF(J983&lt;&gt;1,"",IF(I983="SBJ","CB","?"))</f>
        <v/>
      </c>
      <c r="I983" s="14" t="str">
        <f aca="false">IF(OR(E983="",E983="!!!",F983="NEW"),"",INDEX(B$2:B982,-1+SUMPRODUCT(MAX(ROW(E$2:E982)*(E983=E$2:E982)))))</f>
        <v/>
      </c>
      <c r="J983" s="15" t="str">
        <f aca="true">IF(OR(E983="",E983="!!!",F983="NEW"),"",COUNTBLANK(OFFSET(A$1,,,SUMPRODUCT(MAX(ROW(E$2:E983)*(E983=E$2:E983)))))-COUNTBLANK(OFFSET(A$1,,,SUMPRODUCT(MAX(ROW(E$1:E982)*(E983=E$1:E982))))))</f>
        <v/>
      </c>
      <c r="K983" s="15" t="str">
        <f aca="false">IF(OR(E983="",E983="!!!",F983="NEW"),"",INDEX(J$1:J982,SUMPRODUCT(MAX(ROW(E$1:E982)*(E983=E$1:E982)))))</f>
        <v/>
      </c>
      <c r="L983" s="16"/>
    </row>
    <row r="984" customFormat="false" ht="12.75" hidden="false" customHeight="false" outlineLevel="0" collapsed="false">
      <c r="A984" s="9" t="s">
        <v>438</v>
      </c>
      <c r="B984" s="0" t="s">
        <v>57</v>
      </c>
      <c r="C984" s="0" t="s">
        <v>47</v>
      </c>
      <c r="D984" s="0" t="s">
        <v>27</v>
      </c>
      <c r="E984" s="10" t="s">
        <v>439</v>
      </c>
      <c r="F984" s="11" t="str">
        <f aca="false">IF(OR(E984="",E984="!!!"),"",IF(NOT(ISNA(VLOOKUP(E984,E$1:E983,1,FALSE()))),"OLD",IF(AND(E984&lt;&gt;"",E984&lt;&gt;"!!!"),"NEW","")))</f>
        <v>NEW</v>
      </c>
      <c r="G984" s="12" t="s">
        <v>28</v>
      </c>
      <c r="H984" s="13" t="str">
        <f aca="false">IF(J984&lt;&gt;1,"",IF(I984="SBJ","CB","?"))</f>
        <v/>
      </c>
      <c r="I984" s="14" t="str">
        <f aca="false">IF(OR(E984="",E984="!!!",F984="NEW"),"",INDEX(B$2:B983,-1+SUMPRODUCT(MAX(ROW(E$2:E983)*(E984=E$2:E983)))))</f>
        <v/>
      </c>
      <c r="J984" s="15" t="str">
        <f aca="true">IF(OR(E984="",E984="!!!",F984="NEW"),"",COUNTBLANK(OFFSET(A$1,,,SUMPRODUCT(MAX(ROW(E$2:E984)*(E984=E$2:E984)))))-COUNTBLANK(OFFSET(A$1,,,SUMPRODUCT(MAX(ROW(E$1:E983)*(E984=E$1:E983))))))</f>
        <v/>
      </c>
      <c r="K984" s="15" t="str">
        <f aca="false">IF(OR(E984="",E984="!!!",F984="NEW"),"",INDEX(J$1:J983,SUMPRODUCT(MAX(ROW(E$1:E983)*(E984=E$1:E983)))))</f>
        <v/>
      </c>
      <c r="L984" s="16"/>
    </row>
    <row r="985" customFormat="false" ht="12.75" hidden="false" customHeight="false" outlineLevel="0" collapsed="false">
      <c r="A985" s="9" t="s">
        <v>22</v>
      </c>
      <c r="E985" s="10" t="str">
        <f aca="false">IF(D985="?OLD","!!!","")</f>
        <v/>
      </c>
      <c r="F985" s="11" t="str">
        <f aca="false">IF(OR(E985="",E985="!!!"),"",IF(NOT(ISNA(VLOOKUP(E985,E$1:E984,1,FALSE()))),"OLD",IF(AND(E985&lt;&gt;"",E985&lt;&gt;"!!!"),"NEW","")))</f>
        <v/>
      </c>
      <c r="G985" s="12" t="str">
        <f aca="false">IF(OR(E985="",E985="!!!"),"",IF(OR(J985=0,AND(J985=1,K985=1),AND(J985=1,I985="SBJ"),AND(J985=1,I985=0)),"?IN_FOCUS",IF(J985&lt;=2,"?ACTIVATED",IF(J985&lt;&gt;"","?FAMILIAR",IF(F985="NEW",IF(ISNA(VLOOKUP(E985,#REF!,1,FALSE())),"?TYPE_IDENTIFIABLE","?REFERENTIAL"),"_")))))</f>
        <v/>
      </c>
      <c r="H985" s="13" t="str">
        <f aca="false">IF(J985&lt;&gt;1,"",IF(I985="SBJ","CB","?"))</f>
        <v/>
      </c>
      <c r="I985" s="14" t="str">
        <f aca="false">IF(OR(E985="",E985="!!!",F985="NEW"),"",INDEX(B$2:B984,-1+SUMPRODUCT(MAX(ROW(E$2:E984)*(E985=E$2:E984)))))</f>
        <v/>
      </c>
      <c r="J985" s="15" t="str">
        <f aca="true">IF(OR(E985="",E985="!!!",F985="NEW"),"",COUNTBLANK(OFFSET(A$1,,,SUMPRODUCT(MAX(ROW(E$2:E985)*(E985=E$2:E985)))))-COUNTBLANK(OFFSET(A$1,,,SUMPRODUCT(MAX(ROW(E$1:E984)*(E985=E$1:E984))))))</f>
        <v/>
      </c>
      <c r="K985" s="15" t="str">
        <f aca="false">IF(OR(E985="",E985="!!!",F985="NEW"),"",INDEX(J$1:J984,SUMPRODUCT(MAX(ROW(E$1:E984)*(E985=E$1:E984)))))</f>
        <v/>
      </c>
      <c r="L985" s="16"/>
    </row>
    <row r="986" customFormat="false" ht="12.75" hidden="false" customHeight="false" outlineLevel="0" collapsed="false">
      <c r="A986" s="9" t="s">
        <v>239</v>
      </c>
      <c r="E986" s="10" t="str">
        <f aca="false">IF(D986="?OLD","!!!","")</f>
        <v/>
      </c>
      <c r="F986" s="11" t="str">
        <f aca="false">IF(OR(E986="",E986="!!!"),"",IF(NOT(ISNA(VLOOKUP(E986,E$1:E985,1,FALSE()))),"OLD",IF(AND(E986&lt;&gt;"",E986&lt;&gt;"!!!"),"NEW","")))</f>
        <v/>
      </c>
      <c r="G986" s="12" t="str">
        <f aca="false">IF(OR(E986="",E986="!!!"),"",IF(OR(J986=0,AND(J986=1,K986=1),AND(J986=1,I986="SBJ"),AND(J986=1,I986=0)),"?IN_FOCUS",IF(J986&lt;=2,"?ACTIVATED",IF(J986&lt;&gt;"","?FAMILIAR",IF(F986="NEW",IF(ISNA(VLOOKUP(E986,#REF!,1,FALSE())),"?TYPE_IDENTIFIABLE","?REFERENTIAL"),"_")))))</f>
        <v/>
      </c>
      <c r="H986" s="13" t="str">
        <f aca="false">IF(J986&lt;&gt;1,"",IF(I986="SBJ","CB","?"))</f>
        <v/>
      </c>
      <c r="I986" s="14" t="str">
        <f aca="false">IF(OR(E986="",E986="!!!",F986="NEW"),"",INDEX(B$2:B985,-1+SUMPRODUCT(MAX(ROW(E$2:E985)*(E986=E$2:E985)))))</f>
        <v/>
      </c>
      <c r="J986" s="15" t="str">
        <f aca="true">IF(OR(E986="",E986="!!!",F986="NEW"),"",COUNTBLANK(OFFSET(A$1,,,SUMPRODUCT(MAX(ROW(E$2:E986)*(E986=E$2:E986)))))-COUNTBLANK(OFFSET(A$1,,,SUMPRODUCT(MAX(ROW(E$1:E985)*(E986=E$1:E985))))))</f>
        <v/>
      </c>
      <c r="K986" s="15" t="str">
        <f aca="false">IF(OR(E986="",E986="!!!",F986="NEW"),"",INDEX(J$1:J985,SUMPRODUCT(MAX(ROW(E$1:E985)*(E986=E$1:E985)))))</f>
        <v/>
      </c>
      <c r="L986" s="16"/>
    </row>
    <row r="987" customFormat="false" ht="12.75" hidden="false" customHeight="false" outlineLevel="0" collapsed="false">
      <c r="A987" s="9" t="s">
        <v>204</v>
      </c>
      <c r="E987" s="10" t="str">
        <f aca="false">IF(D987="?OLD","!!!","")</f>
        <v/>
      </c>
      <c r="F987" s="11" t="str">
        <f aca="false">IF(OR(E987="",E987="!!!"),"",IF(NOT(ISNA(VLOOKUP(E987,E$1:E986,1,FALSE()))),"OLD",IF(AND(E987&lt;&gt;"",E987&lt;&gt;"!!!"),"NEW","")))</f>
        <v/>
      </c>
      <c r="G987" s="12" t="str">
        <f aca="false">IF(OR(E987="",E987="!!!"),"",IF(OR(J987=0,AND(J987=1,K987=1),AND(J987=1,I987="SBJ"),AND(J987=1,I987=0)),"?IN_FOCUS",IF(J987&lt;=2,"?ACTIVATED",IF(J987&lt;&gt;"","?FAMILIAR",IF(F987="NEW",IF(ISNA(VLOOKUP(E987,#REF!,1,FALSE())),"?TYPE_IDENTIFIABLE","?REFERENTIAL"),"_")))))</f>
        <v/>
      </c>
      <c r="H987" s="13" t="str">
        <f aca="false">IF(J987&lt;&gt;1,"",IF(I987="SBJ","CB","?"))</f>
        <v/>
      </c>
      <c r="I987" s="14" t="str">
        <f aca="false">IF(OR(E987="",E987="!!!",F987="NEW"),"",INDEX(B$2:B986,-1+SUMPRODUCT(MAX(ROW(E$2:E986)*(E987=E$2:E986)))))</f>
        <v/>
      </c>
      <c r="J987" s="15" t="str">
        <f aca="true">IF(OR(E987="",E987="!!!",F987="NEW"),"",COUNTBLANK(OFFSET(A$1,,,SUMPRODUCT(MAX(ROW(E$2:E987)*(E987=E$2:E987)))))-COUNTBLANK(OFFSET(A$1,,,SUMPRODUCT(MAX(ROW(E$1:E986)*(E987=E$1:E986))))))</f>
        <v/>
      </c>
      <c r="K987" s="15" t="str">
        <f aca="false">IF(OR(E987="",E987="!!!",F987="NEW"),"",INDEX(J$1:J986,SUMPRODUCT(MAX(ROW(E$1:E986)*(E987=E$1:E986)))))</f>
        <v/>
      </c>
      <c r="L987" s="16"/>
    </row>
    <row r="988" customFormat="false" ht="12.75" hidden="false" customHeight="false" outlineLevel="0" collapsed="false">
      <c r="A988" s="9" t="s">
        <v>140</v>
      </c>
      <c r="E988" s="10" t="str">
        <f aca="false">IF(D988="?OLD","!!!","")</f>
        <v/>
      </c>
      <c r="F988" s="11" t="str">
        <f aca="false">IF(OR(E988="",E988="!!!"),"",IF(NOT(ISNA(VLOOKUP(E988,E$1:E987,1,FALSE()))),"OLD",IF(AND(E988&lt;&gt;"",E988&lt;&gt;"!!!"),"NEW","")))</f>
        <v/>
      </c>
      <c r="G988" s="12" t="str">
        <f aca="false">IF(OR(E988="",E988="!!!"),"",IF(OR(J988=0,AND(J988=1,K988=1),AND(J988=1,I988="SBJ"),AND(J988=1,I988=0)),"?IN_FOCUS",IF(J988&lt;=2,"?ACTIVATED",IF(J988&lt;&gt;"","?FAMILIAR",IF(F988="NEW",IF(ISNA(VLOOKUP(E988,#REF!,1,FALSE())),"?TYPE_IDENTIFIABLE","?REFERENTIAL"),"_")))))</f>
        <v/>
      </c>
      <c r="H988" s="13" t="str">
        <f aca="false">IF(J988&lt;&gt;1,"",IF(I988="SBJ","CB","?"))</f>
        <v/>
      </c>
      <c r="I988" s="14" t="str">
        <f aca="false">IF(OR(E988="",E988="!!!",F988="NEW"),"",INDEX(B$2:B987,-1+SUMPRODUCT(MAX(ROW(E$2:E987)*(E988=E$2:E987)))))</f>
        <v/>
      </c>
      <c r="J988" s="15" t="str">
        <f aca="true">IF(OR(E988="",E988="!!!",F988="NEW"),"",COUNTBLANK(OFFSET(A$1,,,SUMPRODUCT(MAX(ROW(E$2:E988)*(E988=E$2:E988)))))-COUNTBLANK(OFFSET(A$1,,,SUMPRODUCT(MAX(ROW(E$1:E987)*(E988=E$1:E987))))))</f>
        <v/>
      </c>
      <c r="K988" s="15" t="str">
        <f aca="false">IF(OR(E988="",E988="!!!",F988="NEW"),"",INDEX(J$1:J987,SUMPRODUCT(MAX(ROW(E$1:E987)*(E988=E$1:E987)))))</f>
        <v/>
      </c>
      <c r="L988" s="16"/>
    </row>
    <row r="989" customFormat="false" ht="12.75" hidden="false" customHeight="false" outlineLevel="0" collapsed="false">
      <c r="A989" s="9" t="s">
        <v>45</v>
      </c>
      <c r="E989" s="10" t="str">
        <f aca="false">IF(D989="?OLD","!!!","")</f>
        <v/>
      </c>
      <c r="F989" s="11" t="str">
        <f aca="false">IF(OR(E989="",E989="!!!"),"",IF(NOT(ISNA(VLOOKUP(E989,E$1:E988,1,FALSE()))),"OLD",IF(AND(E989&lt;&gt;"",E989&lt;&gt;"!!!"),"NEW","")))</f>
        <v/>
      </c>
      <c r="G989" s="12" t="str">
        <f aca="false">IF(OR(E989="",E989="!!!"),"",IF(OR(J989=0,AND(J989=1,K989=1),AND(J989=1,I989="SBJ"),AND(J989=1,I989=0)),"?IN_FOCUS",IF(J989&lt;=2,"?ACTIVATED",IF(J989&lt;&gt;"","?FAMILIAR",IF(F989="NEW",IF(ISNA(VLOOKUP(E989,#REF!,1,FALSE())),"?TYPE_IDENTIFIABLE","?REFERENTIAL"),"_")))))</f>
        <v/>
      </c>
      <c r="H989" s="13" t="str">
        <f aca="false">IF(J989&lt;&gt;1,"",IF(I989="SBJ","CB","?"))</f>
        <v/>
      </c>
      <c r="I989" s="14" t="str">
        <f aca="false">IF(OR(E989="",E989="!!!",F989="NEW"),"",INDEX(B$2:B988,-1+SUMPRODUCT(MAX(ROW(E$2:E988)*(E989=E$2:E988)))))</f>
        <v/>
      </c>
      <c r="J989" s="15" t="str">
        <f aca="true">IF(OR(E989="",E989="!!!",F989="NEW"),"",COUNTBLANK(OFFSET(A$1,,,SUMPRODUCT(MAX(ROW(E$2:E989)*(E989=E$2:E989)))))-COUNTBLANK(OFFSET(A$1,,,SUMPRODUCT(MAX(ROW(E$1:E988)*(E989=E$1:E988))))))</f>
        <v/>
      </c>
      <c r="K989" s="15" t="str">
        <f aca="false">IF(OR(E989="",E989="!!!",F989="NEW"),"",INDEX(J$1:J988,SUMPRODUCT(MAX(ROW(E$1:E988)*(E989=E$1:E988)))))</f>
        <v/>
      </c>
      <c r="L989" s="16"/>
    </row>
    <row r="990" customFormat="false" ht="12.75" hidden="false" customHeight="false" outlineLevel="0" collapsed="false">
      <c r="A990" s="9" t="s">
        <v>220</v>
      </c>
      <c r="B990" s="0" t="s">
        <v>33</v>
      </c>
      <c r="C990" s="0" t="s">
        <v>47</v>
      </c>
      <c r="D990" s="0" t="s">
        <v>27</v>
      </c>
      <c r="E990" s="10" t="s">
        <v>221</v>
      </c>
      <c r="F990" s="11" t="str">
        <f aca="false">IF(OR(E990="",E990="!!!"),"",IF(NOT(ISNA(VLOOKUP(E990,E$1:E989,1,FALSE()))),"OLD",IF(AND(E990&lt;&gt;"",E990&lt;&gt;"!!!"),"NEW","")))</f>
        <v>OLD</v>
      </c>
      <c r="G990" s="12" t="s">
        <v>72</v>
      </c>
      <c r="H990" s="13" t="str">
        <f aca="false">IF(J990&lt;&gt;1,"",IF(I990="SBJ","CB","?"))</f>
        <v/>
      </c>
      <c r="I990" s="14" t="str">
        <f aca="false">IF(OR(E990="",E990="!!!",F990="NEW"),"",INDEX(B$2:B989,-1+SUMPRODUCT(MAX(ROW(E$2:E989)*(E990=E$2:E989)))))</f>
        <v>SBJ_3</v>
      </c>
      <c r="J990" s="15" t="n">
        <f aca="true">IF(OR(E990="",E990="!!!",F990="NEW"),"",COUNTBLANK(OFFSET(A$1,,,SUMPRODUCT(MAX(ROW(E$2:E990)*(E990=E$2:E990)))))-COUNTBLANK(OFFSET(A$1,,,SUMPRODUCT(MAX(ROW(E$1:E989)*(E990=E$1:E989))))))</f>
        <v>9</v>
      </c>
      <c r="K990" s="15" t="n">
        <f aca="false">IF(OR(E990="",E990="!!!",F990="NEW"),"",INDEX(J$1:J989,SUMPRODUCT(MAX(ROW(E$1:E989)*(E990=E$1:E989)))))</f>
        <v>1</v>
      </c>
      <c r="L990" s="16"/>
    </row>
    <row r="991" customFormat="false" ht="12.75" hidden="false" customHeight="false" outlineLevel="0" collapsed="false">
      <c r="A991" s="9" t="s">
        <v>22</v>
      </c>
      <c r="E991" s="10" t="str">
        <f aca="false">IF(D991="?OLD","!!!","")</f>
        <v/>
      </c>
      <c r="F991" s="11" t="str">
        <f aca="false">IF(OR(E991="",E991="!!!"),"",IF(NOT(ISNA(VLOOKUP(E991,E$1:E990,1,FALSE()))),"OLD",IF(AND(E991&lt;&gt;"",E991&lt;&gt;"!!!"),"NEW","")))</f>
        <v/>
      </c>
      <c r="G991" s="12" t="str">
        <f aca="false">IF(OR(E991="",E991="!!!"),"",IF(OR(J991=0,AND(J991=1,K991=1),AND(J991=1,I991="SBJ"),AND(J991=1,I991=0)),"?IN_FOCUS",IF(J991&lt;=2,"?ACTIVATED",IF(J991&lt;&gt;"","?FAMILIAR",IF(F991="NEW",IF(ISNA(VLOOKUP(E991,#REF!,1,FALSE())),"?TYPE_IDENTIFIABLE","?REFERENTIAL"),"_")))))</f>
        <v/>
      </c>
      <c r="H991" s="13" t="str">
        <f aca="false">IF(J991&lt;&gt;1,"",IF(I991="SBJ","CB","?"))</f>
        <v/>
      </c>
      <c r="I991" s="14" t="str">
        <f aca="false">IF(OR(E991="",E991="!!!",F991="NEW"),"",INDEX(B$2:B990,-1+SUMPRODUCT(MAX(ROW(E$2:E990)*(E991=E$2:E990)))))</f>
        <v/>
      </c>
      <c r="J991" s="15" t="str">
        <f aca="true">IF(OR(E991="",E991="!!!",F991="NEW"),"",COUNTBLANK(OFFSET(A$1,,,SUMPRODUCT(MAX(ROW(E$2:E991)*(E991=E$2:E991)))))-COUNTBLANK(OFFSET(A$1,,,SUMPRODUCT(MAX(ROW(E$1:E990)*(E991=E$1:E990))))))</f>
        <v/>
      </c>
      <c r="K991" s="15" t="str">
        <f aca="false">IF(OR(E991="",E991="!!!",F991="NEW"),"",INDEX(J$1:J990,SUMPRODUCT(MAX(ROW(E$1:E990)*(E991=E$1:E990)))))</f>
        <v/>
      </c>
      <c r="L991" s="16"/>
    </row>
    <row r="992" customFormat="false" ht="12.75" hidden="false" customHeight="false" outlineLevel="0" collapsed="false">
      <c r="A992" s="9" t="s">
        <v>39</v>
      </c>
      <c r="E992" s="10" t="str">
        <f aca="false">IF(D992="?OLD","!!!","")</f>
        <v/>
      </c>
      <c r="F992" s="11" t="str">
        <f aca="false">IF(OR(E992="",E992="!!!"),"",IF(NOT(ISNA(VLOOKUP(E992,E$1:E991,1,FALSE()))),"OLD",IF(AND(E992&lt;&gt;"",E992&lt;&gt;"!!!"),"NEW","")))</f>
        <v/>
      </c>
      <c r="G992" s="12" t="str">
        <f aca="false">IF(OR(E992="",E992="!!!"),"",IF(OR(J992=0,AND(J992=1,K992=1),AND(J992=1,I992="SBJ"),AND(J992=1,I992=0)),"?IN_FOCUS",IF(J992&lt;=2,"?ACTIVATED",IF(J992&lt;&gt;"","?FAMILIAR",IF(F992="NEW",IF(ISNA(VLOOKUP(E992,#REF!,1,FALSE())),"?TYPE_IDENTIFIABLE","?REFERENTIAL"),"_")))))</f>
        <v/>
      </c>
      <c r="H992" s="13" t="str">
        <f aca="false">IF(J992&lt;&gt;1,"",IF(I992="SBJ","CB","?"))</f>
        <v/>
      </c>
      <c r="I992" s="14" t="str">
        <f aca="false">IF(OR(E992="",E992="!!!",F992="NEW"),"",INDEX(B$2:B991,-1+SUMPRODUCT(MAX(ROW(E$2:E991)*(E992=E$2:E991)))))</f>
        <v/>
      </c>
      <c r="J992" s="15" t="str">
        <f aca="true">IF(OR(E992="",E992="!!!",F992="NEW"),"",COUNTBLANK(OFFSET(A$1,,,SUMPRODUCT(MAX(ROW(E$2:E992)*(E992=E$2:E992)))))-COUNTBLANK(OFFSET(A$1,,,SUMPRODUCT(MAX(ROW(E$1:E991)*(E992=E$1:E991))))))</f>
        <v/>
      </c>
      <c r="K992" s="15" t="str">
        <f aca="false">IF(OR(E992="",E992="!!!",F992="NEW"),"",INDEX(J$1:J991,SUMPRODUCT(MAX(ROW(E$1:E991)*(E992=E$1:E991)))))</f>
        <v/>
      </c>
      <c r="L992" s="16"/>
    </row>
    <row r="993" customFormat="false" ht="12.75" hidden="false" customHeight="false" outlineLevel="0" collapsed="false">
      <c r="A993" s="9" t="s">
        <v>440</v>
      </c>
      <c r="E993" s="10" t="str">
        <f aca="false">IF(D993="?OLD","!!!","")</f>
        <v/>
      </c>
      <c r="F993" s="11" t="str">
        <f aca="false">IF(OR(E993="",E993="!!!"),"",IF(NOT(ISNA(VLOOKUP(E993,E$1:E992,1,FALSE()))),"OLD",IF(AND(E993&lt;&gt;"",E993&lt;&gt;"!!!"),"NEW","")))</f>
        <v/>
      </c>
      <c r="G993" s="12" t="str">
        <f aca="false">IF(OR(E993="",E993="!!!"),"",IF(OR(J993=0,AND(J993=1,K993=1),AND(J993=1,I993="SBJ"),AND(J993=1,I993=0)),"?IN_FOCUS",IF(J993&lt;=2,"?ACTIVATED",IF(J993&lt;&gt;"","?FAMILIAR",IF(F993="NEW",IF(ISNA(VLOOKUP(E993,#REF!,1,FALSE())),"?TYPE_IDENTIFIABLE","?REFERENTIAL"),"_")))))</f>
        <v/>
      </c>
      <c r="H993" s="13" t="str">
        <f aca="false">IF(J993&lt;&gt;1,"",IF(I993="SBJ","CB","?"))</f>
        <v/>
      </c>
      <c r="I993" s="14" t="str">
        <f aca="false">IF(OR(E993="",E993="!!!",F993="NEW"),"",INDEX(B$2:B992,-1+SUMPRODUCT(MAX(ROW(E$2:E992)*(E993=E$2:E992)))))</f>
        <v/>
      </c>
      <c r="J993" s="15" t="str">
        <f aca="true">IF(OR(E993="",E993="!!!",F993="NEW"),"",COUNTBLANK(OFFSET(A$1,,,SUMPRODUCT(MAX(ROW(E$2:E993)*(E993=E$2:E993)))))-COUNTBLANK(OFFSET(A$1,,,SUMPRODUCT(MAX(ROW(E$1:E992)*(E993=E$1:E992))))))</f>
        <v/>
      </c>
      <c r="K993" s="15" t="str">
        <f aca="false">IF(OR(E993="",E993="!!!",F993="NEW"),"",INDEX(J$1:J992,SUMPRODUCT(MAX(ROW(E$1:E992)*(E993=E$1:E992)))))</f>
        <v/>
      </c>
      <c r="L993" s="16"/>
    </row>
    <row r="994" customFormat="false" ht="12.75" hidden="false" customHeight="false" outlineLevel="0" collapsed="false">
      <c r="A994" s="9" t="s">
        <v>84</v>
      </c>
      <c r="E994" s="10" t="str">
        <f aca="false">IF(D994="?OLD","!!!","")</f>
        <v/>
      </c>
      <c r="F994" s="11" t="str">
        <f aca="false">IF(OR(E994="",E994="!!!"),"",IF(NOT(ISNA(VLOOKUP(E994,E$1:E993,1,FALSE()))),"OLD",IF(AND(E994&lt;&gt;"",E994&lt;&gt;"!!!"),"NEW","")))</f>
        <v/>
      </c>
      <c r="G994" s="12" t="str">
        <f aca="false">IF(OR(E994="",E994="!!!"),"",IF(OR(J994=0,AND(J994=1,K994=1),AND(J994=1,I994="SBJ"),AND(J994=1,I994=0)),"?IN_FOCUS",IF(J994&lt;=2,"?ACTIVATED",IF(J994&lt;&gt;"","?FAMILIAR",IF(F994="NEW",IF(ISNA(VLOOKUP(E994,#REF!,1,FALSE())),"?TYPE_IDENTIFIABLE","?REFERENTIAL"),"_")))))</f>
        <v/>
      </c>
      <c r="H994" s="13" t="str">
        <f aca="false">IF(J994&lt;&gt;1,"",IF(I994="SBJ","CB","?"))</f>
        <v/>
      </c>
      <c r="I994" s="14" t="str">
        <f aca="false">IF(OR(E994="",E994="!!!",F994="NEW"),"",INDEX(B$2:B993,-1+SUMPRODUCT(MAX(ROW(E$2:E993)*(E994=E$2:E993)))))</f>
        <v/>
      </c>
      <c r="J994" s="15" t="str">
        <f aca="true">IF(OR(E994="",E994="!!!",F994="NEW"),"",COUNTBLANK(OFFSET(A$1,,,SUMPRODUCT(MAX(ROW(E$2:E994)*(E994=E$2:E994)))))-COUNTBLANK(OFFSET(A$1,,,SUMPRODUCT(MAX(ROW(E$1:E993)*(E994=E$1:E993))))))</f>
        <v/>
      </c>
      <c r="K994" s="15" t="str">
        <f aca="false">IF(OR(E994="",E994="!!!",F994="NEW"),"",INDEX(J$1:J993,SUMPRODUCT(MAX(ROW(E$1:E993)*(E994=E$1:E993)))))</f>
        <v/>
      </c>
      <c r="L994" s="16"/>
    </row>
    <row r="995" customFormat="false" ht="12.75" hidden="false" customHeight="false" outlineLevel="0" collapsed="false">
      <c r="A995" s="9" t="s">
        <v>292</v>
      </c>
      <c r="E995" s="10" t="str">
        <f aca="false">IF(D995="?OLD","!!!","")</f>
        <v/>
      </c>
      <c r="F995" s="11" t="str">
        <f aca="false">IF(OR(E995="",E995="!!!"),"",IF(NOT(ISNA(VLOOKUP(E995,E$1:E994,1,FALSE()))),"OLD",IF(AND(E995&lt;&gt;"",E995&lt;&gt;"!!!"),"NEW","")))</f>
        <v/>
      </c>
      <c r="G995" s="12" t="str">
        <f aca="false">IF(OR(E995="",E995="!!!"),"",IF(OR(J995=0,AND(J995=1,K995=1),AND(J995=1,I995="SBJ"),AND(J995=1,I995=0)),"?IN_FOCUS",IF(J995&lt;=2,"?ACTIVATED",IF(J995&lt;&gt;"","?FAMILIAR",IF(F995="NEW",IF(ISNA(VLOOKUP(E995,#REF!,1,FALSE())),"?TYPE_IDENTIFIABLE","?REFERENTIAL"),"_")))))</f>
        <v/>
      </c>
      <c r="H995" s="13" t="str">
        <f aca="false">IF(J995&lt;&gt;1,"",IF(I995="SBJ","CB","?"))</f>
        <v/>
      </c>
      <c r="I995" s="14" t="str">
        <f aca="false">IF(OR(E995="",E995="!!!",F995="NEW"),"",INDEX(B$2:B994,-1+SUMPRODUCT(MAX(ROW(E$2:E994)*(E995=E$2:E994)))))</f>
        <v/>
      </c>
      <c r="J995" s="15" t="str">
        <f aca="true">IF(OR(E995="",E995="!!!",F995="NEW"),"",COUNTBLANK(OFFSET(A$1,,,SUMPRODUCT(MAX(ROW(E$2:E995)*(E995=E$2:E995)))))-COUNTBLANK(OFFSET(A$1,,,SUMPRODUCT(MAX(ROW(E$1:E994)*(E995=E$1:E994))))))</f>
        <v/>
      </c>
      <c r="K995" s="15" t="str">
        <f aca="false">IF(OR(E995="",E995="!!!",F995="NEW"),"",INDEX(J$1:J994,SUMPRODUCT(MAX(ROW(E$1:E994)*(E995=E$1:E994)))))</f>
        <v/>
      </c>
      <c r="L995" s="16"/>
    </row>
    <row r="996" customFormat="false" ht="12.75" hidden="false" customHeight="false" outlineLevel="0" collapsed="false">
      <c r="A996" s="9" t="s">
        <v>45</v>
      </c>
      <c r="E996" s="10" t="str">
        <f aca="false">IF(D996="?OLD","!!!","")</f>
        <v/>
      </c>
      <c r="F996" s="11" t="str">
        <f aca="false">IF(OR(E996="",E996="!!!"),"",IF(NOT(ISNA(VLOOKUP(E996,E$1:E995,1,FALSE()))),"OLD",IF(AND(E996&lt;&gt;"",E996&lt;&gt;"!!!"),"NEW","")))</f>
        <v/>
      </c>
      <c r="G996" s="12" t="str">
        <f aca="false">IF(OR(E996="",E996="!!!"),"",IF(OR(J996=0,AND(J996=1,K996=1),AND(J996=1,I996="SBJ"),AND(J996=1,I996=0)),"?IN_FOCUS",IF(J996&lt;=2,"?ACTIVATED",IF(J996&lt;&gt;"","?FAMILIAR",IF(F996="NEW",IF(ISNA(VLOOKUP(E996,#REF!,1,FALSE())),"?TYPE_IDENTIFIABLE","?REFERENTIAL"),"_")))))</f>
        <v/>
      </c>
      <c r="H996" s="13" t="str">
        <f aca="false">IF(J996&lt;&gt;1,"",IF(I996="SBJ","CB","?"))</f>
        <v/>
      </c>
      <c r="I996" s="14" t="str">
        <f aca="false">IF(OR(E996="",E996="!!!",F996="NEW"),"",INDEX(B$2:B995,-1+SUMPRODUCT(MAX(ROW(E$2:E995)*(E996=E$2:E995)))))</f>
        <v/>
      </c>
      <c r="J996" s="15" t="str">
        <f aca="true">IF(OR(E996="",E996="!!!",F996="NEW"),"",COUNTBLANK(OFFSET(A$1,,,SUMPRODUCT(MAX(ROW(E$2:E996)*(E996=E$2:E996)))))-COUNTBLANK(OFFSET(A$1,,,SUMPRODUCT(MAX(ROW(E$1:E995)*(E996=E$1:E995))))))</f>
        <v/>
      </c>
      <c r="K996" s="15" t="str">
        <f aca="false">IF(OR(E996="",E996="!!!",F996="NEW"),"",INDEX(J$1:J995,SUMPRODUCT(MAX(ROW(E$1:E995)*(E996=E$1:E995)))))</f>
        <v/>
      </c>
      <c r="L996" s="16"/>
    </row>
    <row r="997" customFormat="false" ht="12.75" hidden="false" customHeight="false" outlineLevel="0" collapsed="false">
      <c r="A997" s="9" t="s">
        <v>63</v>
      </c>
      <c r="B997" s="0" t="s">
        <v>90</v>
      </c>
      <c r="C997" s="0" t="s">
        <v>47</v>
      </c>
      <c r="D997" s="0" t="s">
        <v>27</v>
      </c>
      <c r="E997" s="10" t="s">
        <v>64</v>
      </c>
      <c r="F997" s="11" t="str">
        <f aca="false">IF(OR(E997="",E997="!!!"),"",IF(NOT(ISNA(VLOOKUP(E997,E$1:E996,1,FALSE()))),"OLD",IF(AND(E997&lt;&gt;"",E997&lt;&gt;"!!!"),"NEW","")))</f>
        <v>OLD</v>
      </c>
      <c r="G997" s="12" t="s">
        <v>51</v>
      </c>
      <c r="H997" s="13" t="s">
        <v>7</v>
      </c>
      <c r="I997" s="14" t="str">
        <f aca="false">IF(OR(E997="",E997="!!!",F997="NEW"),"",INDEX(B$2:B996,-1+SUMPRODUCT(MAX(ROW(E$2:E996)*(E997=E$2:E996)))))</f>
        <v>OBJ_3</v>
      </c>
      <c r="J997" s="15" t="n">
        <f aca="true">IF(OR(E997="",E997="!!!",F997="NEW"),"",COUNTBLANK(OFFSET(A$1,,,SUMPRODUCT(MAX(ROW(E$2:E997)*(E997=E$2:E997)))))-COUNTBLANK(OFFSET(A$1,,,SUMPRODUCT(MAX(ROW(E$1:E996)*(E997=E$1:E996))))))</f>
        <v>1</v>
      </c>
      <c r="K997" s="15" t="n">
        <f aca="false">IF(OR(E997="",E997="!!!",F997="NEW"),"",INDEX(J$1:J996,SUMPRODUCT(MAX(ROW(E$1:E996)*(E997=E$1:E996)))))</f>
        <v>1</v>
      </c>
      <c r="L997" s="16"/>
    </row>
    <row r="998" customFormat="false" ht="12.75" hidden="false" customHeight="false" outlineLevel="0" collapsed="false">
      <c r="A998" s="9" t="s">
        <v>154</v>
      </c>
      <c r="E998" s="10" t="str">
        <f aca="false">IF(D998="?OLD","!!!","")</f>
        <v/>
      </c>
      <c r="F998" s="11" t="str">
        <f aca="false">IF(OR(E998="",E998="!!!"),"",IF(NOT(ISNA(VLOOKUP(E998,E$1:E997,1,FALSE()))),"OLD",IF(AND(E998&lt;&gt;"",E998&lt;&gt;"!!!"),"NEW","")))</f>
        <v/>
      </c>
      <c r="G998" s="12" t="str">
        <f aca="false">IF(OR(E998="",E998="!!!"),"",IF(OR(J998=0,AND(J998=1,K998=1),AND(J998=1,I998="SBJ"),AND(J998=1,I998=0)),"?IN_FOCUS",IF(J998&lt;=2,"?ACTIVATED",IF(J998&lt;&gt;"","?FAMILIAR",IF(F998="NEW",IF(ISNA(VLOOKUP(E998,#REF!,1,FALSE())),"?TYPE_IDENTIFIABLE","?REFERENTIAL"),"_")))))</f>
        <v/>
      </c>
      <c r="H998" s="13" t="str">
        <f aca="false">IF(J998&lt;&gt;1,"",IF(I998="SBJ","CB","?"))</f>
        <v/>
      </c>
      <c r="I998" s="14" t="str">
        <f aca="false">IF(OR(E998="",E998="!!!",F998="NEW"),"",INDEX(B$2:B997,-1+SUMPRODUCT(MAX(ROW(E$2:E997)*(E998=E$2:E997)))))</f>
        <v/>
      </c>
      <c r="J998" s="15" t="str">
        <f aca="true">IF(OR(E998="",E998="!!!",F998="NEW"),"",COUNTBLANK(OFFSET(A$1,,,SUMPRODUCT(MAX(ROW(E$2:E998)*(E998=E$2:E998)))))-COUNTBLANK(OFFSET(A$1,,,SUMPRODUCT(MAX(ROW(E$1:E997)*(E998=E$1:E997))))))</f>
        <v/>
      </c>
      <c r="K998" s="15" t="str">
        <f aca="false">IF(OR(E998="",E998="!!!",F998="NEW"),"",INDEX(J$1:J997,SUMPRODUCT(MAX(ROW(E$1:E997)*(E998=E$1:E997)))))</f>
        <v/>
      </c>
      <c r="L998" s="16"/>
    </row>
    <row r="999" customFormat="false" ht="12.75" hidden="false" customHeight="false" outlineLevel="0" collapsed="false">
      <c r="A999" s="9" t="s">
        <v>174</v>
      </c>
      <c r="E999" s="10" t="str">
        <f aca="false">IF(D999="?OLD","!!!","")</f>
        <v/>
      </c>
      <c r="F999" s="11" t="str">
        <f aca="false">IF(OR(E999="",E999="!!!"),"",IF(NOT(ISNA(VLOOKUP(E999,E$1:E998,1,FALSE()))),"OLD",IF(AND(E999&lt;&gt;"",E999&lt;&gt;"!!!"),"NEW","")))</f>
        <v/>
      </c>
      <c r="G999" s="12" t="str">
        <f aca="false">IF(OR(E999="",E999="!!!"),"",IF(OR(J999=0,AND(J999=1,K999=1),AND(J999=1,I999="SBJ"),AND(J999=1,I999=0)),"?IN_FOCUS",IF(J999&lt;=2,"?ACTIVATED",IF(J999&lt;&gt;"","?FAMILIAR",IF(F999="NEW",IF(ISNA(VLOOKUP(E999,#REF!,1,FALSE())),"?TYPE_IDENTIFIABLE","?REFERENTIAL"),"_")))))</f>
        <v/>
      </c>
      <c r="H999" s="13" t="str">
        <f aca="false">IF(J999&lt;&gt;1,"",IF(I999="SBJ","CB","?"))</f>
        <v/>
      </c>
      <c r="I999" s="14" t="str">
        <f aca="false">IF(OR(E999="",E999="!!!",F999="NEW"),"",INDEX(B$2:B998,-1+SUMPRODUCT(MAX(ROW(E$2:E998)*(E999=E$2:E998)))))</f>
        <v/>
      </c>
      <c r="J999" s="15" t="str">
        <f aca="true">IF(OR(E999="",E999="!!!",F999="NEW"),"",COUNTBLANK(OFFSET(A$1,,,SUMPRODUCT(MAX(ROW(E$2:E999)*(E999=E$2:E999)))))-COUNTBLANK(OFFSET(A$1,,,SUMPRODUCT(MAX(ROW(E$1:E998)*(E999=E$1:E998))))))</f>
        <v/>
      </c>
      <c r="K999" s="15" t="str">
        <f aca="false">IF(OR(E999="",E999="!!!",F999="NEW"),"",INDEX(J$1:J998,SUMPRODUCT(MAX(ROW(E$1:E998)*(E999=E$1:E998)))))</f>
        <v/>
      </c>
      <c r="L999" s="16"/>
    </row>
    <row r="1000" customFormat="false" ht="12.75" hidden="false" customHeight="false" outlineLevel="0" collapsed="false">
      <c r="A1000" s="9" t="s">
        <v>14</v>
      </c>
      <c r="E1000" s="10" t="str">
        <f aca="false">IF(D1000="?OLD","!!!","")</f>
        <v/>
      </c>
      <c r="F1000" s="11" t="str">
        <f aca="false">IF(OR(E1000="",E1000="!!!"),"",IF(NOT(ISNA(VLOOKUP(E1000,E$1:E999,1,FALSE()))),"OLD",IF(AND(E1000&lt;&gt;"",E1000&lt;&gt;"!!!"),"NEW","")))</f>
        <v/>
      </c>
      <c r="G1000" s="12" t="str">
        <f aca="false">IF(OR(E1000="",E1000="!!!"),"",IF(OR(J1000=0,AND(J1000=1,K1000=1),AND(J1000=1,I1000="SBJ"),AND(J1000=1,I1000=0)),"?IN_FOCUS",IF(J1000&lt;=2,"?ACTIVATED",IF(J1000&lt;&gt;"","?FAMILIAR",IF(F1000="NEW",IF(ISNA(VLOOKUP(E1000,#REF!,1,FALSE())),"?TYPE_IDENTIFIABLE","?REFERENTIAL"),"_")))))</f>
        <v/>
      </c>
      <c r="H1000" s="13" t="str">
        <f aca="false">IF(J1000&lt;&gt;1,"",IF(I1000="SBJ","CB","?"))</f>
        <v/>
      </c>
      <c r="I1000" s="14" t="str">
        <f aca="false">IF(OR(E1000="",E1000="!!!",F1000="NEW"),"",INDEX(B$2:B999,-1+SUMPRODUCT(MAX(ROW(E$2:E999)*(E1000=E$2:E999)))))</f>
        <v/>
      </c>
      <c r="J1000" s="15" t="str">
        <f aca="true">IF(OR(E1000="",E1000="!!!",F1000="NEW"),"",COUNTBLANK(OFFSET(A$1,,,SUMPRODUCT(MAX(ROW(E$2:E1000)*(E1000=E$2:E1000)))))-COUNTBLANK(OFFSET(A$1,,,SUMPRODUCT(MAX(ROW(E$1:E999)*(E1000=E$1:E999))))))</f>
        <v/>
      </c>
      <c r="K1000" s="15" t="str">
        <f aca="false">IF(OR(E1000="",E1000="!!!",F1000="NEW"),"",INDEX(J$1:J999,SUMPRODUCT(MAX(ROW(E$1:E999)*(E1000=E$1:E999)))))</f>
        <v/>
      </c>
      <c r="L1000" s="16"/>
    </row>
    <row r="1001" customFormat="false" ht="12.75" hidden="false" customHeight="false" outlineLevel="0" collapsed="false">
      <c r="A1001" s="9" t="s">
        <v>441</v>
      </c>
      <c r="E1001" s="10" t="str">
        <f aca="false">IF(D1001="?OLD","!!!","")</f>
        <v/>
      </c>
      <c r="F1001" s="11" t="str">
        <f aca="false">IF(OR(E1001="",E1001="!!!"),"",IF(NOT(ISNA(VLOOKUP(E1001,E$1:E1000,1,FALSE()))),"OLD",IF(AND(E1001&lt;&gt;"",E1001&lt;&gt;"!!!"),"NEW","")))</f>
        <v/>
      </c>
      <c r="G1001" s="12" t="str">
        <f aca="false">IF(OR(E1001="",E1001="!!!"),"",IF(OR(J1001=0,AND(J1001=1,K1001=1),AND(J1001=1,I1001="SBJ"),AND(J1001=1,I1001=0)),"?IN_FOCUS",IF(J1001&lt;=2,"?ACTIVATED",IF(J1001&lt;&gt;"","?FAMILIAR",IF(F1001="NEW",IF(ISNA(VLOOKUP(E1001,#REF!,1,FALSE())),"?TYPE_IDENTIFIABLE","?REFERENTIAL"),"_")))))</f>
        <v/>
      </c>
      <c r="H1001" s="13" t="str">
        <f aca="false">IF(J1001&lt;&gt;1,"",IF(I1001="SBJ","CB","?"))</f>
        <v/>
      </c>
      <c r="I1001" s="14" t="str">
        <f aca="false">IF(OR(E1001="",E1001="!!!",F1001="NEW"),"",INDEX(B$2:B1000,-1+SUMPRODUCT(MAX(ROW(E$2:E1000)*(E1001=E$2:E1000)))))</f>
        <v/>
      </c>
      <c r="J1001" s="15" t="str">
        <f aca="true">IF(OR(E1001="",E1001="!!!",F1001="NEW"),"",COUNTBLANK(OFFSET(A$1,,,SUMPRODUCT(MAX(ROW(E$2:E1001)*(E1001=E$2:E1001)))))-COUNTBLANK(OFFSET(A$1,,,SUMPRODUCT(MAX(ROW(E$1:E1000)*(E1001=E$1:E1000))))))</f>
        <v/>
      </c>
      <c r="K1001" s="15" t="str">
        <f aca="false">IF(OR(E1001="",E1001="!!!",F1001="NEW"),"",INDEX(J$1:J1000,SUMPRODUCT(MAX(ROW(E$1:E1000)*(E1001=E$1:E1000)))))</f>
        <v/>
      </c>
      <c r="L1001" s="16"/>
    </row>
    <row r="1002" customFormat="false" ht="12.75" hidden="false" customHeight="false" outlineLevel="0" collapsed="false">
      <c r="A1002" s="9" t="s">
        <v>442</v>
      </c>
      <c r="B1002" s="0" t="s">
        <v>33</v>
      </c>
      <c r="C1002" s="0" t="s">
        <v>18</v>
      </c>
      <c r="E1002" s="10" t="str">
        <f aca="false">IF(D1002="?OLD","!!!","")</f>
        <v/>
      </c>
      <c r="F1002" s="11" t="str">
        <f aca="false">IF(OR(E1002="",E1002="!!!"),"",IF(NOT(ISNA(VLOOKUP(E1002,E$1:E1001,1,FALSE()))),"OLD",IF(AND(E1002&lt;&gt;"",E1002&lt;&gt;"!!!"),"NEW","")))</f>
        <v/>
      </c>
      <c r="G1002" s="12" t="str">
        <f aca="false">IF(OR(E1002="",E1002="!!!"),"",IF(OR(J1002=0,AND(J1002=1,K1002=1),AND(J1002=1,I1002="SBJ"),AND(J1002=1,I1002=0)),"?IN_FOCUS",IF(J1002&lt;=2,"?ACTIVATED",IF(J1002&lt;&gt;"","?FAMILIAR",IF(F1002="NEW",IF(ISNA(VLOOKUP(E1002,#REF!,1,FALSE())),"?TYPE_IDENTIFIABLE","?REFERENTIAL"),"_")))))</f>
        <v/>
      </c>
      <c r="H1002" s="13" t="str">
        <f aca="false">IF(J1002&lt;&gt;1,"",IF(I1002="SBJ","CB","?"))</f>
        <v/>
      </c>
      <c r="I1002" s="14" t="str">
        <f aca="false">IF(OR(E1002="",E1002="!!!",F1002="NEW"),"",INDEX(B$2:B1001,-1+SUMPRODUCT(MAX(ROW(E$2:E1001)*(E1002=E$2:E1001)))))</f>
        <v/>
      </c>
      <c r="J1002" s="15" t="str">
        <f aca="true">IF(OR(E1002="",E1002="!!!",F1002="NEW"),"",COUNTBLANK(OFFSET(A$1,,,SUMPRODUCT(MAX(ROW(E$2:E1002)*(E1002=E$2:E1002)))))-COUNTBLANK(OFFSET(A$1,,,SUMPRODUCT(MAX(ROW(E$1:E1001)*(E1002=E$1:E1001))))))</f>
        <v/>
      </c>
      <c r="K1002" s="15" t="str">
        <f aca="false">IF(OR(E1002="",E1002="!!!",F1002="NEW"),"",INDEX(J$1:J1001,SUMPRODUCT(MAX(ROW(E$1:E1001)*(E1002=E$1:E1001)))))</f>
        <v/>
      </c>
      <c r="L1002" s="16"/>
    </row>
    <row r="1003" customFormat="false" ht="12.75" hidden="false" customHeight="false" outlineLevel="0" collapsed="false">
      <c r="A1003" s="9" t="s">
        <v>68</v>
      </c>
      <c r="E1003" s="10" t="str">
        <f aca="false">IF(D1003="?OLD","!!!","")</f>
        <v/>
      </c>
      <c r="F1003" s="11" t="str">
        <f aca="false">IF(OR(E1003="",E1003="!!!"),"",IF(NOT(ISNA(VLOOKUP(E1003,E$1:E1002,1,FALSE()))),"OLD",IF(AND(E1003&lt;&gt;"",E1003&lt;&gt;"!!!"),"NEW","")))</f>
        <v/>
      </c>
      <c r="G1003" s="12" t="str">
        <f aca="false">IF(OR(E1003="",E1003="!!!"),"",IF(OR(J1003=0,AND(J1003=1,K1003=1),AND(J1003=1,I1003="SBJ"),AND(J1003=1,I1003=0)),"?IN_FOCUS",IF(J1003&lt;=2,"?ACTIVATED",IF(J1003&lt;&gt;"","?FAMILIAR",IF(F1003="NEW",IF(ISNA(VLOOKUP(E1003,#REF!,1,FALSE())),"?TYPE_IDENTIFIABLE","?REFERENTIAL"),"_")))))</f>
        <v/>
      </c>
      <c r="H1003" s="13" t="str">
        <f aca="false">IF(J1003&lt;&gt;1,"",IF(I1003="SBJ","CB","?"))</f>
        <v/>
      </c>
      <c r="I1003" s="14" t="str">
        <f aca="false">IF(OR(E1003="",E1003="!!!",F1003="NEW"),"",INDEX(B$2:B1002,-1+SUMPRODUCT(MAX(ROW(E$2:E1002)*(E1003=E$2:E1002)))))</f>
        <v/>
      </c>
      <c r="J1003" s="15" t="str">
        <f aca="true">IF(OR(E1003="",E1003="!!!",F1003="NEW"),"",COUNTBLANK(OFFSET(A$1,,,SUMPRODUCT(MAX(ROW(E$2:E1003)*(E1003=E$2:E1003)))))-COUNTBLANK(OFFSET(A$1,,,SUMPRODUCT(MAX(ROW(E$1:E1002)*(E1003=E$1:E1002))))))</f>
        <v/>
      </c>
      <c r="K1003" s="15" t="str">
        <f aca="false">IF(OR(E1003="",E1003="!!!",F1003="NEW"),"",INDEX(J$1:J1002,SUMPRODUCT(MAX(ROW(E$1:E1002)*(E1003=E$1:E1002)))))</f>
        <v/>
      </c>
      <c r="L1003" s="16"/>
    </row>
    <row r="1004" customFormat="false" ht="12.75" hidden="false" customHeight="false" outlineLevel="0" collapsed="false">
      <c r="E1004" s="10" t="str">
        <f aca="false">IF(D1004="?OLD","!!!","")</f>
        <v/>
      </c>
      <c r="F1004" s="11" t="str">
        <f aca="false">IF(OR(E1004="",E1004="!!!"),"",IF(NOT(ISNA(VLOOKUP(E1004,E$1:E1003,1,FALSE()))),"OLD",IF(AND(E1004&lt;&gt;"",E1004&lt;&gt;"!!!"),"NEW","")))</f>
        <v/>
      </c>
      <c r="G1004" s="12" t="str">
        <f aca="false">IF(OR(E1004="",E1004="!!!"),"",IF(OR(J1004=0,AND(J1004=1,K1004=1),AND(J1004=1,I1004="SBJ"),AND(J1004=1,I1004=0)),"?IN_FOCUS",IF(J1004&lt;=2,"?ACTIVATED",IF(J1004&lt;&gt;"","?FAMILIAR",IF(F1004="NEW",IF(ISNA(VLOOKUP(E1004,#REF!,1,FALSE())),"?TYPE_IDENTIFIABLE","?REFERENTIAL"),"_")))))</f>
        <v/>
      </c>
      <c r="H1004" s="13" t="str">
        <f aca="false">IF(J1004&lt;&gt;1,"",IF(I1004="SBJ","CB","?"))</f>
        <v/>
      </c>
      <c r="I1004" s="14" t="str">
        <f aca="false">IF(OR(E1004="",E1004="!!!",F1004="NEW"),"",INDEX(B$2:B1003,-1+SUMPRODUCT(MAX(ROW(E$2:E1003)*(E1004=E$2:E1003)))))</f>
        <v/>
      </c>
      <c r="J1004" s="15" t="str">
        <f aca="true">IF(OR(E1004="",E1004="!!!",F1004="NEW"),"",COUNTBLANK(OFFSET(A$1,,,SUMPRODUCT(MAX(ROW(E$2:E1004)*(E1004=E$2:E1004)))))-COUNTBLANK(OFFSET(A$1,,,SUMPRODUCT(MAX(ROW(E$1:E1003)*(E1004=E$1:E1003))))))</f>
        <v/>
      </c>
      <c r="K1004" s="15" t="str">
        <f aca="false">IF(OR(E1004="",E1004="!!!",F1004="NEW"),"",INDEX(J$1:J1003,SUMPRODUCT(MAX(ROW(E$1:E1003)*(E1004=E$1:E1003)))))</f>
        <v/>
      </c>
      <c r="L1004" s="16"/>
    </row>
    <row r="1005" customFormat="false" ht="12.75" hidden="false" customHeight="false" outlineLevel="0" collapsed="false">
      <c r="A1005" s="9" t="s">
        <v>69</v>
      </c>
      <c r="E1005" s="10" t="str">
        <f aca="false">IF(D1005="?OLD","!!!","")</f>
        <v/>
      </c>
      <c r="F1005" s="11" t="str">
        <f aca="false">IF(OR(E1005="",E1005="!!!"),"",IF(NOT(ISNA(VLOOKUP(E1005,E$1:E1004,1,FALSE()))),"OLD",IF(AND(E1005&lt;&gt;"",E1005&lt;&gt;"!!!"),"NEW","")))</f>
        <v/>
      </c>
      <c r="G1005" s="12" t="str">
        <f aca="false">IF(OR(E1005="",E1005="!!!"),"",IF(OR(J1005=0,AND(J1005=1,K1005=1),AND(J1005=1,I1005="SBJ"),AND(J1005=1,I1005=0)),"?IN_FOCUS",IF(J1005&lt;=2,"?ACTIVATED",IF(J1005&lt;&gt;"","?FAMILIAR",IF(F1005="NEW",IF(ISNA(VLOOKUP(E1005,#REF!,1,FALSE())),"?TYPE_IDENTIFIABLE","?REFERENTIAL"),"_")))))</f>
        <v/>
      </c>
      <c r="H1005" s="13" t="str">
        <f aca="false">IF(J1005&lt;&gt;1,"",IF(I1005="SBJ","CB","?"))</f>
        <v/>
      </c>
      <c r="I1005" s="14" t="str">
        <f aca="false">IF(OR(E1005="",E1005="!!!",F1005="NEW"),"",INDEX(B$2:B1004,-1+SUMPRODUCT(MAX(ROW(E$2:E1004)*(E1005=E$2:E1004)))))</f>
        <v/>
      </c>
      <c r="J1005" s="15" t="str">
        <f aca="true">IF(OR(E1005="",E1005="!!!",F1005="NEW"),"",COUNTBLANK(OFFSET(A$1,,,SUMPRODUCT(MAX(ROW(E$2:E1005)*(E1005=E$2:E1005)))))-COUNTBLANK(OFFSET(A$1,,,SUMPRODUCT(MAX(ROW(E$1:E1004)*(E1005=E$1:E1004))))))</f>
        <v/>
      </c>
      <c r="K1005" s="15" t="str">
        <f aca="false">IF(OR(E1005="",E1005="!!!",F1005="NEW"),"",INDEX(J$1:J1004,SUMPRODUCT(MAX(ROW(E$1:E1004)*(E1005=E$1:E1004)))))</f>
        <v/>
      </c>
      <c r="L1005" s="16"/>
    </row>
    <row r="1006" customFormat="false" ht="12.75" hidden="false" customHeight="false" outlineLevel="0" collapsed="false">
      <c r="A1006" s="9" t="s">
        <v>443</v>
      </c>
      <c r="E1006" s="10" t="str">
        <f aca="false">IF(D1006="?OLD","!!!","")</f>
        <v/>
      </c>
      <c r="F1006" s="11" t="str">
        <f aca="false">IF(OR(E1006="",E1006="!!!"),"",IF(NOT(ISNA(VLOOKUP(E1006,E$1:E1005,1,FALSE()))),"OLD",IF(AND(E1006&lt;&gt;"",E1006&lt;&gt;"!!!"),"NEW","")))</f>
        <v/>
      </c>
      <c r="G1006" s="12" t="str">
        <f aca="false">IF(OR(E1006="",E1006="!!!"),"",IF(OR(J1006=0,AND(J1006=1,K1006=1),AND(J1006=1,I1006="SBJ"),AND(J1006=1,I1006=0)),"?IN_FOCUS",IF(J1006&lt;=2,"?ACTIVATED",IF(J1006&lt;&gt;"","?FAMILIAR",IF(F1006="NEW",IF(ISNA(VLOOKUP(E1006,#REF!,1,FALSE())),"?TYPE_IDENTIFIABLE","?REFERENTIAL"),"_")))))</f>
        <v/>
      </c>
      <c r="H1006" s="13" t="str">
        <f aca="false">IF(J1006&lt;&gt;1,"",IF(I1006="SBJ","CB","?"))</f>
        <v/>
      </c>
      <c r="I1006" s="14" t="str">
        <f aca="false">IF(OR(E1006="",E1006="!!!",F1006="NEW"),"",INDEX(B$2:B1005,-1+SUMPRODUCT(MAX(ROW(E$2:E1005)*(E1006=E$2:E1005)))))</f>
        <v/>
      </c>
      <c r="J1006" s="15" t="str">
        <f aca="true">IF(OR(E1006="",E1006="!!!",F1006="NEW"),"",COUNTBLANK(OFFSET(A$1,,,SUMPRODUCT(MAX(ROW(E$2:E1006)*(E1006=E$2:E1006)))))-COUNTBLANK(OFFSET(A$1,,,SUMPRODUCT(MAX(ROW(E$1:E1005)*(E1006=E$1:E1005))))))</f>
        <v/>
      </c>
      <c r="K1006" s="15" t="str">
        <f aca="false">IF(OR(E1006="",E1006="!!!",F1006="NEW"),"",INDEX(J$1:J1005,SUMPRODUCT(MAX(ROW(E$1:E1005)*(E1006=E$1:E1005)))))</f>
        <v/>
      </c>
      <c r="L1006" s="16"/>
    </row>
    <row r="1007" customFormat="false" ht="12.75" hidden="false" customHeight="false" outlineLevel="0" collapsed="false">
      <c r="A1007" s="9" t="s">
        <v>444</v>
      </c>
      <c r="B1007" s="0" t="s">
        <v>17</v>
      </c>
      <c r="C1007" s="0" t="s">
        <v>58</v>
      </c>
      <c r="D1007" s="0" t="s">
        <v>27</v>
      </c>
      <c r="E1007" s="10" t="s">
        <v>436</v>
      </c>
      <c r="F1007" s="11" t="str">
        <f aca="false">IF(OR(E1007="",E1007="!!!"),"",IF(NOT(ISNA(VLOOKUP(E1007,E$1:E1006,1,FALSE()))),"OLD",IF(AND(E1007&lt;&gt;"",E1007&lt;&gt;"!!!"),"NEW","")))</f>
        <v>OLD</v>
      </c>
      <c r="G1007" s="12" t="s">
        <v>49</v>
      </c>
      <c r="H1007" s="13" t="s">
        <v>7</v>
      </c>
      <c r="I1007" s="14" t="str">
        <f aca="false">IF(OR(E1007="",E1007="!!!",F1007="NEW"),"",INDEX(B$2:B1006,-1+SUMPRODUCT(MAX(ROW(E$2:E1006)*(E1007=E$2:E1006)))))</f>
        <v>other_3</v>
      </c>
      <c r="J1007" s="15" t="n">
        <f aca="true">IF(OR(E1007="",E1007="!!!",F1007="NEW"),"",COUNTBLANK(OFFSET(A$1,,,SUMPRODUCT(MAX(ROW(E$2:E1007)*(E1007=E$2:E1007)))))-COUNTBLANK(OFFSET(A$1,,,SUMPRODUCT(MAX(ROW(E$1:E1006)*(E1007=E$1:E1006))))))</f>
        <v>1</v>
      </c>
      <c r="K1007" s="15" t="str">
        <f aca="false">IF(OR(E1007="",E1007="!!!",F1007="NEW"),"",INDEX(J$1:J1006,SUMPRODUCT(MAX(ROW(E$1:E1006)*(E1007=E$1:E1006)))))</f>
        <v/>
      </c>
      <c r="L1007" s="16"/>
    </row>
    <row r="1008" customFormat="false" ht="12.75" hidden="false" customHeight="false" outlineLevel="0" collapsed="false">
      <c r="A1008" s="9" t="s">
        <v>73</v>
      </c>
      <c r="E1008" s="10" t="str">
        <f aca="false">IF(D1008="?OLD","!!!","")</f>
        <v/>
      </c>
      <c r="F1008" s="11" t="str">
        <f aca="false">IF(OR(E1008="",E1008="!!!"),"",IF(NOT(ISNA(VLOOKUP(E1008,E$1:E1007,1,FALSE()))),"OLD",IF(AND(E1008&lt;&gt;"",E1008&lt;&gt;"!!!"),"NEW","")))</f>
        <v/>
      </c>
      <c r="G1008" s="12" t="str">
        <f aca="false">IF(OR(E1008="",E1008="!!!"),"",IF(OR(J1008=0,AND(J1008=1,K1008=1),AND(J1008=1,I1008="SBJ"),AND(J1008=1,I1008=0)),"?IN_FOCUS",IF(J1008&lt;=2,"?ACTIVATED",IF(J1008&lt;&gt;"","?FAMILIAR",IF(F1008="NEW",IF(ISNA(VLOOKUP(E1008,#REF!,1,FALSE())),"?TYPE_IDENTIFIABLE","?REFERENTIAL"),"_")))))</f>
        <v/>
      </c>
      <c r="H1008" s="13" t="str">
        <f aca="false">IF(J1008&lt;&gt;1,"",IF(I1008="SBJ","CB","?"))</f>
        <v/>
      </c>
      <c r="I1008" s="14" t="str">
        <f aca="false">IF(OR(E1008="",E1008="!!!",F1008="NEW"),"",INDEX(B$2:B1007,-1+SUMPRODUCT(MAX(ROW(E$2:E1007)*(E1008=E$2:E1007)))))</f>
        <v/>
      </c>
      <c r="J1008" s="15" t="str">
        <f aca="true">IF(OR(E1008="",E1008="!!!",F1008="NEW"),"",COUNTBLANK(OFFSET(A$1,,,SUMPRODUCT(MAX(ROW(E$2:E1008)*(E1008=E$2:E1008)))))-COUNTBLANK(OFFSET(A$1,,,SUMPRODUCT(MAX(ROW(E$1:E1007)*(E1008=E$1:E1007))))))</f>
        <v/>
      </c>
      <c r="K1008" s="15" t="str">
        <f aca="false">IF(OR(E1008="",E1008="!!!",F1008="NEW"),"",INDEX(J$1:J1007,SUMPRODUCT(MAX(ROW(E$1:E1007)*(E1008=E$1:E1007)))))</f>
        <v/>
      </c>
      <c r="L1008" s="16"/>
    </row>
    <row r="1009" customFormat="false" ht="12.75" hidden="false" customHeight="false" outlineLevel="0" collapsed="false">
      <c r="A1009" s="9" t="s">
        <v>84</v>
      </c>
      <c r="E1009" s="10" t="str">
        <f aca="false">IF(D1009="?OLD","!!!","")</f>
        <v/>
      </c>
      <c r="F1009" s="11" t="str">
        <f aca="false">IF(OR(E1009="",E1009="!!!"),"",IF(NOT(ISNA(VLOOKUP(E1009,E$1:E1008,1,FALSE()))),"OLD",IF(AND(E1009&lt;&gt;"",E1009&lt;&gt;"!!!"),"NEW","")))</f>
        <v/>
      </c>
      <c r="G1009" s="12" t="str">
        <f aca="false">IF(OR(E1009="",E1009="!!!"),"",IF(OR(J1009=0,AND(J1009=1,K1009=1),AND(J1009=1,I1009="SBJ"),AND(J1009=1,I1009=0)),"?IN_FOCUS",IF(J1009&lt;=2,"?ACTIVATED",IF(J1009&lt;&gt;"","?FAMILIAR",IF(F1009="NEW",IF(ISNA(VLOOKUP(E1009,#REF!,1,FALSE())),"?TYPE_IDENTIFIABLE","?REFERENTIAL"),"_")))))</f>
        <v/>
      </c>
      <c r="H1009" s="13" t="str">
        <f aca="false">IF(J1009&lt;&gt;1,"",IF(I1009="SBJ","CB","?"))</f>
        <v/>
      </c>
      <c r="I1009" s="14" t="str">
        <f aca="false">IF(OR(E1009="",E1009="!!!",F1009="NEW"),"",INDEX(B$2:B1008,-1+SUMPRODUCT(MAX(ROW(E$2:E1008)*(E1009=E$2:E1008)))))</f>
        <v/>
      </c>
      <c r="J1009" s="15" t="str">
        <f aca="true">IF(OR(E1009="",E1009="!!!",F1009="NEW"),"",COUNTBLANK(OFFSET(A$1,,,SUMPRODUCT(MAX(ROW(E$2:E1009)*(E1009=E$2:E1009)))))-COUNTBLANK(OFFSET(A$1,,,SUMPRODUCT(MAX(ROW(E$1:E1008)*(E1009=E$1:E1008))))))</f>
        <v/>
      </c>
      <c r="K1009" s="15" t="str">
        <f aca="false">IF(OR(E1009="",E1009="!!!",F1009="NEW"),"",INDEX(J$1:J1008,SUMPRODUCT(MAX(ROW(E$1:E1008)*(E1009=E$1:E1008)))))</f>
        <v/>
      </c>
      <c r="L1009" s="16"/>
    </row>
    <row r="1010" customFormat="false" ht="12.75" hidden="false" customHeight="false" outlineLevel="0" collapsed="false">
      <c r="A1010" s="9" t="s">
        <v>237</v>
      </c>
      <c r="B1010" s="0" t="s">
        <v>75</v>
      </c>
      <c r="C1010" s="0" t="s">
        <v>58</v>
      </c>
      <c r="D1010" s="0" t="s">
        <v>27</v>
      </c>
      <c r="E1010" s="10" t="s">
        <v>406</v>
      </c>
      <c r="F1010" s="11" t="str">
        <f aca="false">IF(OR(E1010="",E1010="!!!"),"",IF(NOT(ISNA(VLOOKUP(E1010,E$1:E1009,1,FALSE()))),"OLD",IF(AND(E1010&lt;&gt;"",E1010&lt;&gt;"!!!"),"NEW","")))</f>
        <v>OLD</v>
      </c>
      <c r="G1010" s="12" t="s">
        <v>72</v>
      </c>
      <c r="H1010" s="13" t="str">
        <f aca="false">IF(J1010&lt;&gt;1,"",IF(I1010="SBJ","CB","?"))</f>
        <v/>
      </c>
      <c r="I1010" s="14" t="str">
        <f aca="false">IF(OR(E1010="",E1010="!!!",F1010="NEW"),"",INDEX(B$2:B1009,-1+SUMPRODUCT(MAX(ROW(E$2:E1009)*(E1010=E$2:E1009)))))</f>
        <v>SBJ_2</v>
      </c>
      <c r="J1010" s="15" t="n">
        <f aca="true">IF(OR(E1010="",E1010="!!!",F1010="NEW"),"",COUNTBLANK(OFFSET(A$1,,,SUMPRODUCT(MAX(ROW(E$2:E1010)*(E1010=E$2:E1010)))))-COUNTBLANK(OFFSET(A$1,,,SUMPRODUCT(MAX(ROW(E$1:E1009)*(E1010=E$1:E1009))))))</f>
        <v>2</v>
      </c>
      <c r="K1010" s="15" t="n">
        <f aca="false">IF(OR(E1010="",E1010="!!!",F1010="NEW"),"",INDEX(J$1:J1009,SUMPRODUCT(MAX(ROW(E$1:E1009)*(E1010=E$1:E1009)))))</f>
        <v>0</v>
      </c>
      <c r="L1010" s="16"/>
    </row>
    <row r="1011" customFormat="false" ht="12.75" hidden="false" customHeight="false" outlineLevel="0" collapsed="false">
      <c r="A1011" s="9" t="s">
        <v>22</v>
      </c>
      <c r="E1011" s="10" t="str">
        <f aca="false">IF(D1011="?OLD","!!!","")</f>
        <v/>
      </c>
      <c r="F1011" s="11" t="str">
        <f aca="false">IF(OR(E1011="",E1011="!!!"),"",IF(NOT(ISNA(VLOOKUP(E1011,E$1:E1010,1,FALSE()))),"OLD",IF(AND(E1011&lt;&gt;"",E1011&lt;&gt;"!!!"),"NEW","")))</f>
        <v/>
      </c>
      <c r="G1011" s="12" t="str">
        <f aca="false">IF(OR(E1011="",E1011="!!!"),"",IF(OR(J1011=0,AND(J1011=1,K1011=1),AND(J1011=1,I1011="SBJ"),AND(J1011=1,I1011=0)),"?IN_FOCUS",IF(J1011&lt;=2,"?ACTIVATED",IF(J1011&lt;&gt;"","?FAMILIAR",IF(F1011="NEW",IF(ISNA(VLOOKUP(E1011,#REF!,1,FALSE())),"?TYPE_IDENTIFIABLE","?REFERENTIAL"),"_")))))</f>
        <v/>
      </c>
      <c r="H1011" s="13" t="str">
        <f aca="false">IF(J1011&lt;&gt;1,"",IF(I1011="SBJ","CB","?"))</f>
        <v/>
      </c>
      <c r="I1011" s="14" t="str">
        <f aca="false">IF(OR(E1011="",E1011="!!!",F1011="NEW"),"",INDEX(B$2:B1010,-1+SUMPRODUCT(MAX(ROW(E$2:E1010)*(E1011=E$2:E1010)))))</f>
        <v/>
      </c>
      <c r="J1011" s="15" t="str">
        <f aca="true">IF(OR(E1011="",E1011="!!!",F1011="NEW"),"",COUNTBLANK(OFFSET(A$1,,,SUMPRODUCT(MAX(ROW(E$2:E1011)*(E1011=E$2:E1011)))))-COUNTBLANK(OFFSET(A$1,,,SUMPRODUCT(MAX(ROW(E$1:E1010)*(E1011=E$1:E1010))))))</f>
        <v/>
      </c>
      <c r="K1011" s="15" t="str">
        <f aca="false">IF(OR(E1011="",E1011="!!!",F1011="NEW"),"",INDEX(J$1:J1010,SUMPRODUCT(MAX(ROW(E$1:E1010)*(E1011=E$1:E1010)))))</f>
        <v/>
      </c>
      <c r="L1011" s="16"/>
    </row>
    <row r="1012" customFormat="false" ht="12.75" hidden="false" customHeight="false" outlineLevel="0" collapsed="false">
      <c r="A1012" s="9" t="s">
        <v>74</v>
      </c>
      <c r="E1012" s="10" t="str">
        <f aca="false">IF(D1012="?OLD","!!!","")</f>
        <v/>
      </c>
      <c r="F1012" s="11" t="str">
        <f aca="false">IF(OR(E1012="",E1012="!!!"),"",IF(NOT(ISNA(VLOOKUP(E1012,E$1:E1011,1,FALSE()))),"OLD",IF(AND(E1012&lt;&gt;"",E1012&lt;&gt;"!!!"),"NEW","")))</f>
        <v/>
      </c>
      <c r="G1012" s="12" t="str">
        <f aca="false">IF(OR(E1012="",E1012="!!!"),"",IF(OR(J1012=0,AND(J1012=1,K1012=1),AND(J1012=1,I1012="SBJ"),AND(J1012=1,I1012=0)),"?IN_FOCUS",IF(J1012&lt;=2,"?ACTIVATED",IF(J1012&lt;&gt;"","?FAMILIAR",IF(F1012="NEW",IF(ISNA(VLOOKUP(E1012,#REF!,1,FALSE())),"?TYPE_IDENTIFIABLE","?REFERENTIAL"),"_")))))</f>
        <v/>
      </c>
      <c r="H1012" s="13" t="str">
        <f aca="false">IF(J1012&lt;&gt;1,"",IF(I1012="SBJ","CB","?"))</f>
        <v/>
      </c>
      <c r="I1012" s="14" t="str">
        <f aca="false">IF(OR(E1012="",E1012="!!!",F1012="NEW"),"",INDEX(B$2:B1011,-1+SUMPRODUCT(MAX(ROW(E$2:E1011)*(E1012=E$2:E1011)))))</f>
        <v/>
      </c>
      <c r="J1012" s="15" t="str">
        <f aca="true">IF(OR(E1012="",E1012="!!!",F1012="NEW"),"",COUNTBLANK(OFFSET(A$1,,,SUMPRODUCT(MAX(ROW(E$2:E1012)*(E1012=E$2:E1012)))))-COUNTBLANK(OFFSET(A$1,,,SUMPRODUCT(MAX(ROW(E$1:E1011)*(E1012=E$1:E1011))))))</f>
        <v/>
      </c>
      <c r="K1012" s="15" t="str">
        <f aca="false">IF(OR(E1012="",E1012="!!!",F1012="NEW"),"",INDEX(J$1:J1011,SUMPRODUCT(MAX(ROW(E$1:E1011)*(E1012=E$1:E1011)))))</f>
        <v/>
      </c>
      <c r="L1012" s="16"/>
    </row>
    <row r="1013" customFormat="false" ht="12.75" hidden="false" customHeight="false" outlineLevel="0" collapsed="false">
      <c r="A1013" s="9" t="s">
        <v>122</v>
      </c>
      <c r="B1013" s="0" t="s">
        <v>25</v>
      </c>
      <c r="C1013" s="0" t="s">
        <v>31</v>
      </c>
      <c r="D1013" s="0" t="s">
        <v>27</v>
      </c>
      <c r="E1013" s="10" t="s">
        <v>406</v>
      </c>
      <c r="F1013" s="11" t="str">
        <f aca="false">IF(OR(E1013="",E1013="!!!"),"",IF(NOT(ISNA(VLOOKUP(E1013,E$1:E1012,1,FALSE()))),"OLD",IF(AND(E1013&lt;&gt;"",E1013&lt;&gt;"!!!"),"NEW","")))</f>
        <v>OLD</v>
      </c>
      <c r="G1013" s="12" t="s">
        <v>51</v>
      </c>
      <c r="H1013" s="13" t="str">
        <f aca="false">IF(J1013&lt;&gt;1,"",IF(I1013="SBJ","CB","?"))</f>
        <v/>
      </c>
      <c r="I1013" s="14" t="str">
        <f aca="false">IF(OR(E1013="",E1013="!!!",F1013="NEW"),"",INDEX(B$2:B1012,-1+SUMPRODUCT(MAX(ROW(E$2:E1012)*(E1013=E$2:E1012)))))</f>
        <v>other</v>
      </c>
      <c r="J1013" s="15" t="n">
        <f aca="true">IF(OR(E1013="",E1013="!!!",F1013="NEW"),"",COUNTBLANK(OFFSET(A$1,,,SUMPRODUCT(MAX(ROW(E$2:E1013)*(E1013=E$2:E1013)))))-COUNTBLANK(OFFSET(A$1,,,SUMPRODUCT(MAX(ROW(E$1:E1012)*(E1013=E$1:E1012))))))</f>
        <v>0</v>
      </c>
      <c r="K1013" s="15" t="n">
        <f aca="false">IF(OR(E1013="",E1013="!!!",F1013="NEW"),"",INDEX(J$1:J1012,SUMPRODUCT(MAX(ROW(E$1:E1012)*(E1013=E$1:E1012)))))</f>
        <v>2</v>
      </c>
      <c r="L1013" s="16"/>
    </row>
    <row r="1014" customFormat="false" ht="12.75" hidden="false" customHeight="false" outlineLevel="0" collapsed="false">
      <c r="A1014" s="9" t="s">
        <v>124</v>
      </c>
      <c r="B1014" s="0" t="s">
        <v>17</v>
      </c>
      <c r="C1014" s="0" t="s">
        <v>34</v>
      </c>
      <c r="D1014" s="0" t="s">
        <v>27</v>
      </c>
      <c r="E1014" s="10" t="s">
        <v>406</v>
      </c>
      <c r="F1014" s="11" t="str">
        <f aca="false">IF(OR(E1014="",E1014="!!!"),"",IF(NOT(ISNA(VLOOKUP(E1014,E$1:E1013,1,FALSE()))),"OLD",IF(AND(E1014&lt;&gt;"",E1014&lt;&gt;"!!!"),"NEW","")))</f>
        <v>OLD</v>
      </c>
      <c r="G1014" s="12" t="s">
        <v>51</v>
      </c>
      <c r="H1014" s="13" t="str">
        <f aca="false">IF(J1014&lt;&gt;1,"",IF(I1014="SBJ","CB","?"))</f>
        <v/>
      </c>
      <c r="I1014" s="14" t="str">
        <f aca="false">IF(OR(E1014="",E1014="!!!",F1014="NEW"),"",INDEX(B$2:B1013,-1+SUMPRODUCT(MAX(ROW(E$2:E1013)*(E1014=E$2:E1013)))))</f>
        <v>other_2</v>
      </c>
      <c r="J1014" s="15" t="n">
        <f aca="true">IF(OR(E1014="",E1014="!!!",F1014="NEW"),"",COUNTBLANK(OFFSET(A$1,,,SUMPRODUCT(MAX(ROW(E$2:E1014)*(E1014=E$2:E1014)))))-COUNTBLANK(OFFSET(A$1,,,SUMPRODUCT(MAX(ROW(E$1:E1013)*(E1014=E$1:E1013))))))</f>
        <v>0</v>
      </c>
      <c r="K1014" s="15" t="n">
        <f aca="false">IF(OR(E1014="",E1014="!!!",F1014="NEW"),"",INDEX(J$1:J1013,SUMPRODUCT(MAX(ROW(E$1:E1013)*(E1014=E$1:E1013)))))</f>
        <v>0</v>
      </c>
      <c r="L1014" s="16"/>
    </row>
    <row r="1015" customFormat="false" ht="12.75" hidden="false" customHeight="false" outlineLevel="0" collapsed="false">
      <c r="A1015" s="9" t="s">
        <v>44</v>
      </c>
      <c r="E1015" s="10" t="str">
        <f aca="false">IF(D1015="?OLD","!!!","")</f>
        <v/>
      </c>
      <c r="F1015" s="11" t="str">
        <f aca="false">IF(OR(E1015="",E1015="!!!"),"",IF(NOT(ISNA(VLOOKUP(E1015,E$1:E1014,1,FALSE()))),"OLD",IF(AND(E1015&lt;&gt;"",E1015&lt;&gt;"!!!"),"NEW","")))</f>
        <v/>
      </c>
      <c r="G1015" s="12" t="str">
        <f aca="false">IF(OR(E1015="",E1015="!!!"),"",IF(OR(J1015=0,AND(J1015=1,K1015=1),AND(J1015=1,I1015="SBJ"),AND(J1015=1,I1015=0)),"?IN_FOCUS",IF(J1015&lt;=2,"?ACTIVATED",IF(J1015&lt;&gt;"","?FAMILIAR",IF(F1015="NEW",IF(ISNA(VLOOKUP(E1015,#REF!,1,FALSE())),"?TYPE_IDENTIFIABLE","?REFERENTIAL"),"_")))))</f>
        <v/>
      </c>
      <c r="H1015" s="13" t="str">
        <f aca="false">IF(J1015&lt;&gt;1,"",IF(I1015="SBJ","CB","?"))</f>
        <v/>
      </c>
      <c r="I1015" s="14" t="str">
        <f aca="false">IF(OR(E1015="",E1015="!!!",F1015="NEW"),"",INDEX(B$2:B1014,-1+SUMPRODUCT(MAX(ROW(E$2:E1014)*(E1015=E$2:E1014)))))</f>
        <v/>
      </c>
      <c r="J1015" s="15" t="str">
        <f aca="true">IF(OR(E1015="",E1015="!!!",F1015="NEW"),"",COUNTBLANK(OFFSET(A$1,,,SUMPRODUCT(MAX(ROW(E$2:E1015)*(E1015=E$2:E1015)))))-COUNTBLANK(OFFSET(A$1,,,SUMPRODUCT(MAX(ROW(E$1:E1014)*(E1015=E$1:E1014))))))</f>
        <v/>
      </c>
      <c r="K1015" s="15" t="str">
        <f aca="false">IF(OR(E1015="",E1015="!!!",F1015="NEW"),"",INDEX(J$1:J1014,SUMPRODUCT(MAX(ROW(E$1:E1014)*(E1015=E$1:E1014)))))</f>
        <v/>
      </c>
      <c r="L1015" s="16"/>
    </row>
    <row r="1016" customFormat="false" ht="12.75" hidden="false" customHeight="false" outlineLevel="0" collapsed="false">
      <c r="A1016" s="9" t="s">
        <v>326</v>
      </c>
      <c r="B1016" s="0" t="s">
        <v>25</v>
      </c>
      <c r="C1016" s="0" t="s">
        <v>26</v>
      </c>
      <c r="D1016" s="0" t="s">
        <v>27</v>
      </c>
      <c r="E1016" s="10" t="s">
        <v>326</v>
      </c>
      <c r="F1016" s="11" t="str">
        <f aca="false">IF(OR(E1016="",E1016="!!!"),"",IF(NOT(ISNA(VLOOKUP(E1016,E$1:E1015,1,FALSE()))),"OLD",IF(AND(E1016&lt;&gt;"",E1016&lt;&gt;"!!!"),"NEW","")))</f>
        <v>OLD</v>
      </c>
      <c r="G1016" s="12" t="s">
        <v>72</v>
      </c>
      <c r="H1016" s="13" t="str">
        <f aca="false">IF(J1016&lt;&gt;1,"",IF(I1016="SBJ","CB","?"))</f>
        <v/>
      </c>
      <c r="I1016" s="14" t="str">
        <f aca="false">IF(OR(E1016="",E1016="!!!",F1016="NEW"),"",INDEX(B$2:B1015,-1+SUMPRODUCT(MAX(ROW(E$2:E1015)*(E1016=E$2:E1015)))))</f>
        <v>other_2</v>
      </c>
      <c r="J1016" s="15" t="n">
        <f aca="true">IF(OR(E1016="",E1016="!!!",F1016="NEW"),"",COUNTBLANK(OFFSET(A$1,,,SUMPRODUCT(MAX(ROW(E$2:E1016)*(E1016=E$2:E1016)))))-COUNTBLANK(OFFSET(A$1,,,SUMPRODUCT(MAX(ROW(E$1:E1015)*(E1016=E$1:E1015))))))</f>
        <v>4</v>
      </c>
      <c r="K1016" s="15" t="n">
        <f aca="false">IF(OR(E1016="",E1016="!!!",F1016="NEW"),"",INDEX(J$1:J1015,SUMPRODUCT(MAX(ROW(E$1:E1015)*(E1016=E$1:E1015)))))</f>
        <v>11</v>
      </c>
      <c r="L1016" s="16"/>
    </row>
    <row r="1017" customFormat="false" ht="12.75" hidden="false" customHeight="false" outlineLevel="0" collapsed="false">
      <c r="A1017" s="9" t="s">
        <v>22</v>
      </c>
      <c r="E1017" s="10" t="str">
        <f aca="false">IF(D1017="?OLD","!!!","")</f>
        <v/>
      </c>
      <c r="F1017" s="11" t="str">
        <f aca="false">IF(OR(E1017="",E1017="!!!"),"",IF(NOT(ISNA(VLOOKUP(E1017,E$1:E1016,1,FALSE()))),"OLD",IF(AND(E1017&lt;&gt;"",E1017&lt;&gt;"!!!"),"NEW","")))</f>
        <v/>
      </c>
      <c r="G1017" s="12" t="str">
        <f aca="false">IF(OR(E1017="",E1017="!!!"),"",IF(OR(J1017=0,AND(J1017=1,K1017=1),AND(J1017=1,I1017="SBJ"),AND(J1017=1,I1017=0)),"?IN_FOCUS",IF(J1017&lt;=2,"?ACTIVATED",IF(J1017&lt;&gt;"","?FAMILIAR",IF(F1017="NEW",IF(ISNA(VLOOKUP(E1017,#REF!,1,FALSE())),"?TYPE_IDENTIFIABLE","?REFERENTIAL"),"_")))))</f>
        <v/>
      </c>
      <c r="H1017" s="13" t="str">
        <f aca="false">IF(J1017&lt;&gt;1,"",IF(I1017="SBJ","CB","?"))</f>
        <v/>
      </c>
      <c r="I1017" s="14" t="str">
        <f aca="false">IF(OR(E1017="",E1017="!!!",F1017="NEW"),"",INDEX(B$2:B1016,-1+SUMPRODUCT(MAX(ROW(E$2:E1016)*(E1017=E$2:E1016)))))</f>
        <v/>
      </c>
      <c r="J1017" s="15" t="str">
        <f aca="true">IF(OR(E1017="",E1017="!!!",F1017="NEW"),"",COUNTBLANK(OFFSET(A$1,,,SUMPRODUCT(MAX(ROW(E$2:E1017)*(E1017=E$2:E1017)))))-COUNTBLANK(OFFSET(A$1,,,SUMPRODUCT(MAX(ROW(E$1:E1016)*(E1017=E$1:E1016))))))</f>
        <v/>
      </c>
      <c r="K1017" s="15" t="str">
        <f aca="false">IF(OR(E1017="",E1017="!!!",F1017="NEW"),"",INDEX(J$1:J1016,SUMPRODUCT(MAX(ROW(E$1:E1016)*(E1017=E$1:E1016)))))</f>
        <v/>
      </c>
      <c r="L1017" s="16"/>
    </row>
    <row r="1018" customFormat="false" ht="12.75" hidden="false" customHeight="false" outlineLevel="0" collapsed="false">
      <c r="A1018" s="9" t="s">
        <v>415</v>
      </c>
      <c r="E1018" s="10" t="str">
        <f aca="false">IF(D1018="?OLD","!!!","")</f>
        <v/>
      </c>
      <c r="F1018" s="11" t="str">
        <f aca="false">IF(OR(E1018="",E1018="!!!"),"",IF(NOT(ISNA(VLOOKUP(E1018,E$1:E1017,1,FALSE()))),"OLD",IF(AND(E1018&lt;&gt;"",E1018&lt;&gt;"!!!"),"NEW","")))</f>
        <v/>
      </c>
      <c r="G1018" s="12" t="str">
        <f aca="false">IF(OR(E1018="",E1018="!!!"),"",IF(OR(J1018=0,AND(J1018=1,K1018=1),AND(J1018=1,I1018="SBJ"),AND(J1018=1,I1018=0)),"?IN_FOCUS",IF(J1018&lt;=2,"?ACTIVATED",IF(J1018&lt;&gt;"","?FAMILIAR",IF(F1018="NEW",IF(ISNA(VLOOKUP(E1018,#REF!,1,FALSE())),"?TYPE_IDENTIFIABLE","?REFERENTIAL"),"_")))))</f>
        <v/>
      </c>
      <c r="H1018" s="13" t="str">
        <f aca="false">IF(J1018&lt;&gt;1,"",IF(I1018="SBJ","CB","?"))</f>
        <v/>
      </c>
      <c r="I1018" s="14" t="str">
        <f aca="false">IF(OR(E1018="",E1018="!!!",F1018="NEW"),"",INDEX(B$2:B1017,-1+SUMPRODUCT(MAX(ROW(E$2:E1017)*(E1018=E$2:E1017)))))</f>
        <v/>
      </c>
      <c r="J1018" s="15" t="str">
        <f aca="true">IF(OR(E1018="",E1018="!!!",F1018="NEW"),"",COUNTBLANK(OFFSET(A$1,,,SUMPRODUCT(MAX(ROW(E$2:E1018)*(E1018=E$2:E1018)))))-COUNTBLANK(OFFSET(A$1,,,SUMPRODUCT(MAX(ROW(E$1:E1017)*(E1018=E$1:E1017))))))</f>
        <v/>
      </c>
      <c r="K1018" s="15" t="str">
        <f aca="false">IF(OR(E1018="",E1018="!!!",F1018="NEW"),"",INDEX(J$1:J1017,SUMPRODUCT(MAX(ROW(E$1:E1017)*(E1018=E$1:E1017)))))</f>
        <v/>
      </c>
      <c r="L1018" s="16"/>
    </row>
    <row r="1019" customFormat="false" ht="12.75" hidden="false" customHeight="false" outlineLevel="0" collapsed="false">
      <c r="A1019" s="9" t="s">
        <v>445</v>
      </c>
      <c r="E1019" s="10" t="str">
        <f aca="false">IF(D1019="?OLD","!!!","")</f>
        <v/>
      </c>
      <c r="F1019" s="11" t="str">
        <f aca="false">IF(OR(E1019="",E1019="!!!"),"",IF(NOT(ISNA(VLOOKUP(E1019,E$1:E1018,1,FALSE()))),"OLD",IF(AND(E1019&lt;&gt;"",E1019&lt;&gt;"!!!"),"NEW","")))</f>
        <v/>
      </c>
      <c r="G1019" s="12" t="str">
        <f aca="false">IF(OR(E1019="",E1019="!!!"),"",IF(OR(J1019=0,AND(J1019=1,K1019=1),AND(J1019=1,I1019="SBJ"),AND(J1019=1,I1019=0)),"?IN_FOCUS",IF(J1019&lt;=2,"?ACTIVATED",IF(J1019&lt;&gt;"","?FAMILIAR",IF(F1019="NEW",IF(ISNA(VLOOKUP(E1019,#REF!,1,FALSE())),"?TYPE_IDENTIFIABLE","?REFERENTIAL"),"_")))))</f>
        <v/>
      </c>
      <c r="H1019" s="13" t="str">
        <f aca="false">IF(J1019&lt;&gt;1,"",IF(I1019="SBJ","CB","?"))</f>
        <v/>
      </c>
      <c r="I1019" s="14" t="str">
        <f aca="false">IF(OR(E1019="",E1019="!!!",F1019="NEW"),"",INDEX(B$2:B1018,-1+SUMPRODUCT(MAX(ROW(E$2:E1018)*(E1019=E$2:E1018)))))</f>
        <v/>
      </c>
      <c r="J1019" s="15" t="str">
        <f aca="true">IF(OR(E1019="",E1019="!!!",F1019="NEW"),"",COUNTBLANK(OFFSET(A$1,,,SUMPRODUCT(MAX(ROW(E$2:E1019)*(E1019=E$2:E1019)))))-COUNTBLANK(OFFSET(A$1,,,SUMPRODUCT(MAX(ROW(E$1:E1018)*(E1019=E$1:E1018))))))</f>
        <v/>
      </c>
      <c r="K1019" s="15" t="str">
        <f aca="false">IF(OR(E1019="",E1019="!!!",F1019="NEW"),"",INDEX(J$1:J1018,SUMPRODUCT(MAX(ROW(E$1:E1018)*(E1019=E$1:E1018)))))</f>
        <v/>
      </c>
      <c r="L1019" s="16"/>
    </row>
    <row r="1020" customFormat="false" ht="12.75" hidden="false" customHeight="false" outlineLevel="0" collapsed="false">
      <c r="A1020" s="9" t="s">
        <v>446</v>
      </c>
      <c r="E1020" s="10" t="str">
        <f aca="false">IF(D1020="?OLD","!!!","")</f>
        <v/>
      </c>
      <c r="F1020" s="11" t="str">
        <f aca="false">IF(OR(E1020="",E1020="!!!"),"",IF(NOT(ISNA(VLOOKUP(E1020,E$1:E1019,1,FALSE()))),"OLD",IF(AND(E1020&lt;&gt;"",E1020&lt;&gt;"!!!"),"NEW","")))</f>
        <v/>
      </c>
      <c r="G1020" s="12" t="str">
        <f aca="false">IF(OR(E1020="",E1020="!!!"),"",IF(OR(J1020=0,AND(J1020=1,K1020=1),AND(J1020=1,I1020="SBJ"),AND(J1020=1,I1020=0)),"?IN_FOCUS",IF(J1020&lt;=2,"?ACTIVATED",IF(J1020&lt;&gt;"","?FAMILIAR",IF(F1020="NEW",IF(ISNA(VLOOKUP(E1020,#REF!,1,FALSE())),"?TYPE_IDENTIFIABLE","?REFERENTIAL"),"_")))))</f>
        <v/>
      </c>
      <c r="H1020" s="13" t="str">
        <f aca="false">IF(J1020&lt;&gt;1,"",IF(I1020="SBJ","CB","?"))</f>
        <v/>
      </c>
      <c r="I1020" s="14" t="str">
        <f aca="false">IF(OR(E1020="",E1020="!!!",F1020="NEW"),"",INDEX(B$2:B1019,-1+SUMPRODUCT(MAX(ROW(E$2:E1019)*(E1020=E$2:E1019)))))</f>
        <v/>
      </c>
      <c r="J1020" s="15" t="str">
        <f aca="true">IF(OR(E1020="",E1020="!!!",F1020="NEW"),"",COUNTBLANK(OFFSET(A$1,,,SUMPRODUCT(MAX(ROW(E$2:E1020)*(E1020=E$2:E1020)))))-COUNTBLANK(OFFSET(A$1,,,SUMPRODUCT(MAX(ROW(E$1:E1019)*(E1020=E$1:E1019))))))</f>
        <v/>
      </c>
      <c r="K1020" s="15" t="str">
        <f aca="false">IF(OR(E1020="",E1020="!!!",F1020="NEW"),"",INDEX(J$1:J1019,SUMPRODUCT(MAX(ROW(E$1:E1019)*(E1020=E$1:E1019)))))</f>
        <v/>
      </c>
      <c r="L1020" s="16"/>
    </row>
    <row r="1021" customFormat="false" ht="12.75" hidden="false" customHeight="false" outlineLevel="0" collapsed="false">
      <c r="A1021" s="9" t="s">
        <v>129</v>
      </c>
      <c r="E1021" s="10" t="str">
        <f aca="false">IF(D1021="?OLD","!!!","")</f>
        <v/>
      </c>
      <c r="F1021" s="11" t="str">
        <f aca="false">IF(OR(E1021="",E1021="!!!"),"",IF(NOT(ISNA(VLOOKUP(E1021,E$1:E1020,1,FALSE()))),"OLD",IF(AND(E1021&lt;&gt;"",E1021&lt;&gt;"!!!"),"NEW","")))</f>
        <v/>
      </c>
      <c r="G1021" s="12" t="str">
        <f aca="false">IF(OR(E1021="",E1021="!!!"),"",IF(OR(J1021=0,AND(J1021=1,K1021=1),AND(J1021=1,I1021="SBJ"),AND(J1021=1,I1021=0)),"?IN_FOCUS",IF(J1021&lt;=2,"?ACTIVATED",IF(J1021&lt;&gt;"","?FAMILIAR",IF(F1021="NEW",IF(ISNA(VLOOKUP(E1021,#REF!,1,FALSE())),"?TYPE_IDENTIFIABLE","?REFERENTIAL"),"_")))))</f>
        <v/>
      </c>
      <c r="H1021" s="13" t="str">
        <f aca="false">IF(J1021&lt;&gt;1,"",IF(I1021="SBJ","CB","?"))</f>
        <v/>
      </c>
      <c r="I1021" s="14" t="str">
        <f aca="false">IF(OR(E1021="",E1021="!!!",F1021="NEW"),"",INDEX(B$2:B1020,-1+SUMPRODUCT(MAX(ROW(E$2:E1020)*(E1021=E$2:E1020)))))</f>
        <v/>
      </c>
      <c r="J1021" s="15" t="str">
        <f aca="true">IF(OR(E1021="",E1021="!!!",F1021="NEW"),"",COUNTBLANK(OFFSET(A$1,,,SUMPRODUCT(MAX(ROW(E$2:E1021)*(E1021=E$2:E1021)))))-COUNTBLANK(OFFSET(A$1,,,SUMPRODUCT(MAX(ROW(E$1:E1020)*(E1021=E$1:E1020))))))</f>
        <v/>
      </c>
      <c r="K1021" s="15" t="str">
        <f aca="false">IF(OR(E1021="",E1021="!!!",F1021="NEW"),"",INDEX(J$1:J1020,SUMPRODUCT(MAX(ROW(E$1:E1020)*(E1021=E$1:E1020)))))</f>
        <v/>
      </c>
      <c r="L1021" s="16"/>
    </row>
    <row r="1022" customFormat="false" ht="12.75" hidden="false" customHeight="false" outlineLevel="0" collapsed="false">
      <c r="A1022" s="9" t="s">
        <v>124</v>
      </c>
      <c r="B1022" s="0" t="s">
        <v>33</v>
      </c>
      <c r="C1022" s="0" t="s">
        <v>119</v>
      </c>
      <c r="D1022" s="0" t="s">
        <v>27</v>
      </c>
      <c r="E1022" s="10" t="s">
        <v>64</v>
      </c>
      <c r="F1022" s="11" t="str">
        <f aca="false">IF(OR(E1022="",E1022="!!!"),"",IF(NOT(ISNA(VLOOKUP(E1022,E$1:E1021,1,FALSE()))),"OLD",IF(AND(E1022&lt;&gt;"",E1022&lt;&gt;"!!!"),"NEW","")))</f>
        <v>OLD</v>
      </c>
      <c r="G1022" s="12" t="s">
        <v>51</v>
      </c>
      <c r="H1022" s="13"/>
      <c r="I1022" s="14" t="str">
        <f aca="false">IF(OR(E1022="",E1022="!!!",F1022="NEW"),"",INDEX(B$2:B1021,-1+SUMPRODUCT(MAX(ROW(E$2:E1021)*(E1022=E$2:E1021)))))</f>
        <v>OBJ_3</v>
      </c>
      <c r="J1022" s="15" t="n">
        <f aca="true">IF(OR(E1022="",E1022="!!!",F1022="NEW"),"",COUNTBLANK(OFFSET(A$1,,,SUMPRODUCT(MAX(ROW(E$2:E1022)*(E1022=E$2:E1022)))))-COUNTBLANK(OFFSET(A$1,,,SUMPRODUCT(MAX(ROW(E$1:E1021)*(E1022=E$1:E1021))))))</f>
        <v>1</v>
      </c>
      <c r="K1022" s="15" t="n">
        <f aca="false">IF(OR(E1022="",E1022="!!!",F1022="NEW"),"",INDEX(J$1:J1021,SUMPRODUCT(MAX(ROW(E$1:E1021)*(E1022=E$1:E1021)))))</f>
        <v>1</v>
      </c>
      <c r="L1022" s="16"/>
    </row>
    <row r="1023" customFormat="false" ht="12.75" hidden="false" customHeight="false" outlineLevel="0" collapsed="false">
      <c r="A1023" s="9" t="s">
        <v>22</v>
      </c>
      <c r="E1023" s="10" t="str">
        <f aca="false">IF(D1023="?OLD","!!!","")</f>
        <v/>
      </c>
      <c r="F1023" s="11" t="str">
        <f aca="false">IF(OR(E1023="",E1023="!!!"),"",IF(NOT(ISNA(VLOOKUP(E1023,E$1:E1022,1,FALSE()))),"OLD",IF(AND(E1023&lt;&gt;"",E1023&lt;&gt;"!!!"),"NEW","")))</f>
        <v/>
      </c>
      <c r="G1023" s="12" t="str">
        <f aca="false">IF(OR(E1023="",E1023="!!!"),"",IF(OR(J1023=0,AND(J1023=1,K1023=1),AND(J1023=1,I1023="SBJ"),AND(J1023=1,I1023=0)),"?IN_FOCUS",IF(J1023&lt;=2,"?ACTIVATED",IF(J1023&lt;&gt;"","?FAMILIAR",IF(F1023="NEW",IF(ISNA(VLOOKUP(E1023,#REF!,1,FALSE())),"?TYPE_IDENTIFIABLE","?REFERENTIAL"),"_")))))</f>
        <v/>
      </c>
      <c r="H1023" s="13" t="str">
        <f aca="false">IF(J1023&lt;&gt;1,"",IF(I1023="SBJ","CB","?"))</f>
        <v/>
      </c>
      <c r="I1023" s="14" t="str">
        <f aca="false">IF(OR(E1023="",E1023="!!!",F1023="NEW"),"",INDEX(B$2:B1022,-1+SUMPRODUCT(MAX(ROW(E$2:E1022)*(E1023=E$2:E1022)))))</f>
        <v/>
      </c>
      <c r="J1023" s="15" t="str">
        <f aca="true">IF(OR(E1023="",E1023="!!!",F1023="NEW"),"",COUNTBLANK(OFFSET(A$1,,,SUMPRODUCT(MAX(ROW(E$2:E1023)*(E1023=E$2:E1023)))))-COUNTBLANK(OFFSET(A$1,,,SUMPRODUCT(MAX(ROW(E$1:E1022)*(E1023=E$1:E1022))))))</f>
        <v/>
      </c>
      <c r="K1023" s="15" t="str">
        <f aca="false">IF(OR(E1023="",E1023="!!!",F1023="NEW"),"",INDEX(J$1:J1022,SUMPRODUCT(MAX(ROW(E$1:E1022)*(E1023=E$1:E1022)))))</f>
        <v/>
      </c>
      <c r="L1023" s="16"/>
    </row>
    <row r="1024" customFormat="false" ht="12.75" hidden="false" customHeight="false" outlineLevel="0" collapsed="false">
      <c r="A1024" s="9" t="s">
        <v>164</v>
      </c>
      <c r="B1024" s="0" t="s">
        <v>25</v>
      </c>
      <c r="C1024" s="0" t="s">
        <v>110</v>
      </c>
      <c r="E1024" s="10" t="str">
        <f aca="false">IF(D1024="?OLD","!!!","")</f>
        <v/>
      </c>
      <c r="F1024" s="11" t="str">
        <f aca="false">IF(OR(E1024="",E1024="!!!"),"",IF(NOT(ISNA(VLOOKUP(E1024,E$1:E1023,1,FALSE()))),"OLD",IF(AND(E1024&lt;&gt;"",E1024&lt;&gt;"!!!"),"NEW","")))</f>
        <v/>
      </c>
      <c r="G1024" s="12" t="str">
        <f aca="false">IF(OR(E1024="",E1024="!!!"),"",IF(OR(J1024=0,AND(J1024=1,K1024=1),AND(J1024=1,I1024="SBJ"),AND(J1024=1,I1024=0)),"?IN_FOCUS",IF(J1024&lt;=2,"?ACTIVATED",IF(J1024&lt;&gt;"","?FAMILIAR",IF(F1024="NEW",IF(ISNA(VLOOKUP(E1024,#REF!,1,FALSE())),"?TYPE_IDENTIFIABLE","?REFERENTIAL"),"_")))))</f>
        <v/>
      </c>
      <c r="H1024" s="13" t="str">
        <f aca="false">IF(J1024&lt;&gt;1,"",IF(I1024="SBJ","CB","?"))</f>
        <v/>
      </c>
      <c r="I1024" s="14" t="str">
        <f aca="false">IF(OR(E1024="",E1024="!!!",F1024="NEW"),"",INDEX(B$2:B1023,-1+SUMPRODUCT(MAX(ROW(E$2:E1023)*(E1024=E$2:E1023)))))</f>
        <v/>
      </c>
      <c r="J1024" s="15" t="str">
        <f aca="true">IF(OR(E1024="",E1024="!!!",F1024="NEW"),"",COUNTBLANK(OFFSET(A$1,,,SUMPRODUCT(MAX(ROW(E$2:E1024)*(E1024=E$2:E1024)))))-COUNTBLANK(OFFSET(A$1,,,SUMPRODUCT(MAX(ROW(E$1:E1023)*(E1024=E$1:E1023))))))</f>
        <v/>
      </c>
      <c r="K1024" s="15" t="str">
        <f aca="false">IF(OR(E1024="",E1024="!!!",F1024="NEW"),"",INDEX(J$1:J1023,SUMPRODUCT(MAX(ROW(E$1:E1023)*(E1024=E$1:E1023)))))</f>
        <v/>
      </c>
      <c r="L1024" s="16"/>
    </row>
    <row r="1025" customFormat="false" ht="12.75" hidden="false" customHeight="false" outlineLevel="0" collapsed="false">
      <c r="A1025" s="9" t="s">
        <v>96</v>
      </c>
      <c r="B1025" s="0" t="s">
        <v>165</v>
      </c>
      <c r="C1025" s="0" t="s">
        <v>58</v>
      </c>
      <c r="D1025" s="0" t="s">
        <v>27</v>
      </c>
      <c r="E1025" s="10" t="s">
        <v>406</v>
      </c>
      <c r="F1025" s="11" t="str">
        <f aca="false">IF(OR(E1025="",E1025="!!!"),"",IF(NOT(ISNA(VLOOKUP(E1025,E$1:E1024,1,FALSE()))),"OLD",IF(AND(E1025&lt;&gt;"",E1025&lt;&gt;"!!!"),"NEW","")))</f>
        <v>OLD</v>
      </c>
      <c r="G1025" s="12" t="s">
        <v>51</v>
      </c>
      <c r="H1025" s="13" t="str">
        <f aca="false">IF(J1025&lt;&gt;1,"",IF(I1025="SBJ","CB","?"))</f>
        <v/>
      </c>
      <c r="I1025" s="14" t="str">
        <f aca="false">IF(OR(E1025="",E1025="!!!",F1025="NEW"),"",INDEX(B$2:B1024,-1+SUMPRODUCT(MAX(ROW(E$2:E1024)*(E1025=E$2:E1024)))))</f>
        <v>SBJ</v>
      </c>
      <c r="J1025" s="15" t="n">
        <f aca="true">IF(OR(E1025="",E1025="!!!",F1025="NEW"),"",COUNTBLANK(OFFSET(A$1,,,SUMPRODUCT(MAX(ROW(E$2:E1025)*(E1025=E$2:E1025)))))-COUNTBLANK(OFFSET(A$1,,,SUMPRODUCT(MAX(ROW(E$1:E1024)*(E1025=E$1:E1024))))))</f>
        <v>0</v>
      </c>
      <c r="K1025" s="15" t="n">
        <f aca="false">IF(OR(E1025="",E1025="!!!",F1025="NEW"),"",INDEX(J$1:J1024,SUMPRODUCT(MAX(ROW(E$1:E1024)*(E1025=E$1:E1024)))))</f>
        <v>0</v>
      </c>
      <c r="L1025" s="16"/>
    </row>
    <row r="1026" customFormat="false" ht="12.75" hidden="false" customHeight="false" outlineLevel="0" collapsed="false">
      <c r="A1026" s="9" t="s">
        <v>193</v>
      </c>
      <c r="E1026" s="10" t="str">
        <f aca="false">IF(D1026="?OLD","!!!","")</f>
        <v/>
      </c>
      <c r="F1026" s="11" t="str">
        <f aca="false">IF(OR(E1026="",E1026="!!!"),"",IF(NOT(ISNA(VLOOKUP(E1026,E$1:E1025,1,FALSE()))),"OLD",IF(AND(E1026&lt;&gt;"",E1026&lt;&gt;"!!!"),"NEW","")))</f>
        <v/>
      </c>
      <c r="G1026" s="12" t="str">
        <f aca="false">IF(OR(E1026="",E1026="!!!"),"",IF(OR(J1026=0,AND(J1026=1,K1026=1),AND(J1026=1,I1026="SBJ"),AND(J1026=1,I1026=0)),"?IN_FOCUS",IF(J1026&lt;=2,"?ACTIVATED",IF(J1026&lt;&gt;"","?FAMILIAR",IF(F1026="NEW",IF(ISNA(VLOOKUP(E1026,#REF!,1,FALSE())),"?TYPE_IDENTIFIABLE","?REFERENTIAL"),"_")))))</f>
        <v/>
      </c>
      <c r="H1026" s="13" t="str">
        <f aca="false">IF(J1026&lt;&gt;1,"",IF(I1026="SBJ","CB","?"))</f>
        <v/>
      </c>
      <c r="I1026" s="14" t="str">
        <f aca="false">IF(OR(E1026="",E1026="!!!",F1026="NEW"),"",INDEX(B$2:B1025,-1+SUMPRODUCT(MAX(ROW(E$2:E1025)*(E1026=E$2:E1025)))))</f>
        <v/>
      </c>
      <c r="J1026" s="15" t="str">
        <f aca="true">IF(OR(E1026="",E1026="!!!",F1026="NEW"),"",COUNTBLANK(OFFSET(A$1,,,SUMPRODUCT(MAX(ROW(E$2:E1026)*(E1026=E$2:E1026)))))-COUNTBLANK(OFFSET(A$1,,,SUMPRODUCT(MAX(ROW(E$1:E1025)*(E1026=E$1:E1025))))))</f>
        <v/>
      </c>
      <c r="K1026" s="15" t="str">
        <f aca="false">IF(OR(E1026="",E1026="!!!",F1026="NEW"),"",INDEX(J$1:J1025,SUMPRODUCT(MAX(ROW(E$1:E1025)*(E1026=E$1:E1025)))))</f>
        <v/>
      </c>
      <c r="L1026" s="16"/>
    </row>
    <row r="1027" customFormat="false" ht="12.75" hidden="false" customHeight="false" outlineLevel="0" collapsed="false">
      <c r="A1027" s="9" t="s">
        <v>316</v>
      </c>
      <c r="E1027" s="10" t="str">
        <f aca="false">IF(D1027="?OLD","!!!","")</f>
        <v/>
      </c>
      <c r="F1027" s="11" t="str">
        <f aca="false">IF(OR(E1027="",E1027="!!!"),"",IF(NOT(ISNA(VLOOKUP(E1027,E$1:E1026,1,FALSE()))),"OLD",IF(AND(E1027&lt;&gt;"",E1027&lt;&gt;"!!!"),"NEW","")))</f>
        <v/>
      </c>
      <c r="G1027" s="12" t="str">
        <f aca="false">IF(OR(E1027="",E1027="!!!"),"",IF(OR(J1027=0,AND(J1027=1,K1027=1),AND(J1027=1,I1027="SBJ"),AND(J1027=1,I1027=0)),"?IN_FOCUS",IF(J1027&lt;=2,"?ACTIVATED",IF(J1027&lt;&gt;"","?FAMILIAR",IF(F1027="NEW",IF(ISNA(VLOOKUP(E1027,#REF!,1,FALSE())),"?TYPE_IDENTIFIABLE","?REFERENTIAL"),"_")))))</f>
        <v/>
      </c>
      <c r="H1027" s="13" t="str">
        <f aca="false">IF(J1027&lt;&gt;1,"",IF(I1027="SBJ","CB","?"))</f>
        <v/>
      </c>
      <c r="I1027" s="14" t="str">
        <f aca="false">IF(OR(E1027="",E1027="!!!",F1027="NEW"),"",INDEX(B$2:B1026,-1+SUMPRODUCT(MAX(ROW(E$2:E1026)*(E1027=E$2:E1026)))))</f>
        <v/>
      </c>
      <c r="J1027" s="15" t="str">
        <f aca="true">IF(OR(E1027="",E1027="!!!",F1027="NEW"),"",COUNTBLANK(OFFSET(A$1,,,SUMPRODUCT(MAX(ROW(E$2:E1027)*(E1027=E$2:E1027)))))-COUNTBLANK(OFFSET(A$1,,,SUMPRODUCT(MAX(ROW(E$1:E1026)*(E1027=E$1:E1026))))))</f>
        <v/>
      </c>
      <c r="K1027" s="15" t="str">
        <f aca="false">IF(OR(E1027="",E1027="!!!",F1027="NEW"),"",INDEX(J$1:J1026,SUMPRODUCT(MAX(ROW(E$1:E1026)*(E1027=E$1:E1026)))))</f>
        <v/>
      </c>
      <c r="L1027" s="16"/>
    </row>
    <row r="1028" customFormat="false" ht="12.75" hidden="false" customHeight="false" outlineLevel="0" collapsed="false">
      <c r="A1028" s="9" t="s">
        <v>84</v>
      </c>
      <c r="E1028" s="10" t="str">
        <f aca="false">IF(D1028="?OLD","!!!","")</f>
        <v/>
      </c>
      <c r="F1028" s="11" t="str">
        <f aca="false">IF(OR(E1028="",E1028="!!!"),"",IF(NOT(ISNA(VLOOKUP(E1028,E$1:E1027,1,FALSE()))),"OLD",IF(AND(E1028&lt;&gt;"",E1028&lt;&gt;"!!!"),"NEW","")))</f>
        <v/>
      </c>
      <c r="G1028" s="12" t="str">
        <f aca="false">IF(OR(E1028="",E1028="!!!"),"",IF(OR(J1028=0,AND(J1028=1,K1028=1),AND(J1028=1,I1028="SBJ"),AND(J1028=1,I1028=0)),"?IN_FOCUS",IF(J1028&lt;=2,"?ACTIVATED",IF(J1028&lt;&gt;"","?FAMILIAR",IF(F1028="NEW",IF(ISNA(VLOOKUP(E1028,#REF!,1,FALSE())),"?TYPE_IDENTIFIABLE","?REFERENTIAL"),"_")))))</f>
        <v/>
      </c>
      <c r="H1028" s="13" t="str">
        <f aca="false">IF(J1028&lt;&gt;1,"",IF(I1028="SBJ","CB","?"))</f>
        <v/>
      </c>
      <c r="I1028" s="14" t="str">
        <f aca="false">IF(OR(E1028="",E1028="!!!",F1028="NEW"),"",INDEX(B$2:B1027,-1+SUMPRODUCT(MAX(ROW(E$2:E1027)*(E1028=E$2:E1027)))))</f>
        <v/>
      </c>
      <c r="J1028" s="15" t="str">
        <f aca="true">IF(OR(E1028="",E1028="!!!",F1028="NEW"),"",COUNTBLANK(OFFSET(A$1,,,SUMPRODUCT(MAX(ROW(E$2:E1028)*(E1028=E$2:E1028)))))-COUNTBLANK(OFFSET(A$1,,,SUMPRODUCT(MAX(ROW(E$1:E1027)*(E1028=E$1:E1027))))))</f>
        <v/>
      </c>
      <c r="K1028" s="15" t="str">
        <f aca="false">IF(OR(E1028="",E1028="!!!",F1028="NEW"),"",INDEX(J$1:J1027,SUMPRODUCT(MAX(ROW(E$1:E1027)*(E1028=E$1:E1027)))))</f>
        <v/>
      </c>
      <c r="L1028" s="16"/>
    </row>
    <row r="1029" customFormat="false" ht="12.75" hidden="false" customHeight="false" outlineLevel="0" collapsed="false">
      <c r="A1029" s="9" t="s">
        <v>447</v>
      </c>
      <c r="E1029" s="10" t="str">
        <f aca="false">IF(D1029="?OLD","!!!","")</f>
        <v/>
      </c>
      <c r="F1029" s="11" t="str">
        <f aca="false">IF(OR(E1029="",E1029="!!!"),"",IF(NOT(ISNA(VLOOKUP(E1029,E$1:E1028,1,FALSE()))),"OLD",IF(AND(E1029&lt;&gt;"",E1029&lt;&gt;"!!!"),"NEW","")))</f>
        <v/>
      </c>
      <c r="G1029" s="12" t="str">
        <f aca="false">IF(OR(E1029="",E1029="!!!"),"",IF(OR(J1029=0,AND(J1029=1,K1029=1),AND(J1029=1,I1029="SBJ"),AND(J1029=1,I1029=0)),"?IN_FOCUS",IF(J1029&lt;=2,"?ACTIVATED",IF(J1029&lt;&gt;"","?FAMILIAR",IF(F1029="NEW",IF(ISNA(VLOOKUP(E1029,#REF!,1,FALSE())),"?TYPE_IDENTIFIABLE","?REFERENTIAL"),"_")))))</f>
        <v/>
      </c>
      <c r="H1029" s="13" t="str">
        <f aca="false">IF(J1029&lt;&gt;1,"",IF(I1029="SBJ","CB","?"))</f>
        <v/>
      </c>
      <c r="I1029" s="14" t="str">
        <f aca="false">IF(OR(E1029="",E1029="!!!",F1029="NEW"),"",INDEX(B$2:B1028,-1+SUMPRODUCT(MAX(ROW(E$2:E1028)*(E1029=E$2:E1028)))))</f>
        <v/>
      </c>
      <c r="J1029" s="15" t="str">
        <f aca="true">IF(OR(E1029="",E1029="!!!",F1029="NEW"),"",COUNTBLANK(OFFSET(A$1,,,SUMPRODUCT(MAX(ROW(E$2:E1029)*(E1029=E$2:E1029)))))-COUNTBLANK(OFFSET(A$1,,,SUMPRODUCT(MAX(ROW(E$1:E1028)*(E1029=E$1:E1028))))))</f>
        <v/>
      </c>
      <c r="K1029" s="15" t="str">
        <f aca="false">IF(OR(E1029="",E1029="!!!",F1029="NEW"),"",INDEX(J$1:J1028,SUMPRODUCT(MAX(ROW(E$1:E1028)*(E1029=E$1:E1028)))))</f>
        <v/>
      </c>
      <c r="L1029" s="16"/>
    </row>
    <row r="1030" customFormat="false" ht="12.75" hidden="false" customHeight="false" outlineLevel="0" collapsed="false">
      <c r="A1030" s="9" t="s">
        <v>68</v>
      </c>
      <c r="E1030" s="10" t="str">
        <f aca="false">IF(D1030="?OLD","!!!","")</f>
        <v/>
      </c>
      <c r="F1030" s="11" t="str">
        <f aca="false">IF(OR(E1030="",E1030="!!!"),"",IF(NOT(ISNA(VLOOKUP(E1030,E$1:E1029,1,FALSE()))),"OLD",IF(AND(E1030&lt;&gt;"",E1030&lt;&gt;"!!!"),"NEW","")))</f>
        <v/>
      </c>
      <c r="G1030" s="12" t="str">
        <f aca="false">IF(OR(E1030="",E1030="!!!"),"",IF(OR(J1030=0,AND(J1030=1,K1030=1),AND(J1030=1,I1030="SBJ"),AND(J1030=1,I1030=0)),"?IN_FOCUS",IF(J1030&lt;=2,"?ACTIVATED",IF(J1030&lt;&gt;"","?FAMILIAR",IF(F1030="NEW",IF(ISNA(VLOOKUP(E1030,#REF!,1,FALSE())),"?TYPE_IDENTIFIABLE","?REFERENTIAL"),"_")))))</f>
        <v/>
      </c>
      <c r="H1030" s="13" t="str">
        <f aca="false">IF(J1030&lt;&gt;1,"",IF(I1030="SBJ","CB","?"))</f>
        <v/>
      </c>
      <c r="I1030" s="14" t="str">
        <f aca="false">IF(OR(E1030="",E1030="!!!",F1030="NEW"),"",INDEX(B$2:B1029,-1+SUMPRODUCT(MAX(ROW(E$2:E1029)*(E1030=E$2:E1029)))))</f>
        <v/>
      </c>
      <c r="J1030" s="15" t="str">
        <f aca="true">IF(OR(E1030="",E1030="!!!",F1030="NEW"),"",COUNTBLANK(OFFSET(A$1,,,SUMPRODUCT(MAX(ROW(E$2:E1030)*(E1030=E$2:E1030)))))-COUNTBLANK(OFFSET(A$1,,,SUMPRODUCT(MAX(ROW(E$1:E1029)*(E1030=E$1:E1029))))))</f>
        <v/>
      </c>
      <c r="K1030" s="15" t="str">
        <f aca="false">IF(OR(E1030="",E1030="!!!",F1030="NEW"),"",INDEX(J$1:J1029,SUMPRODUCT(MAX(ROW(E$1:E1029)*(E1030=E$1:E1029)))))</f>
        <v/>
      </c>
      <c r="L1030" s="16"/>
    </row>
    <row r="1031" customFormat="false" ht="12.75" hidden="false" customHeight="false" outlineLevel="0" collapsed="false">
      <c r="E1031" s="10" t="str">
        <f aca="false">IF(D1031="?OLD","!!!","")</f>
        <v/>
      </c>
      <c r="F1031" s="11" t="str">
        <f aca="false">IF(OR(E1031="",E1031="!!!"),"",IF(NOT(ISNA(VLOOKUP(E1031,E$1:E1030,1,FALSE()))),"OLD",IF(AND(E1031&lt;&gt;"",E1031&lt;&gt;"!!!"),"NEW","")))</f>
        <v/>
      </c>
      <c r="G1031" s="12" t="str">
        <f aca="false">IF(OR(E1031="",E1031="!!!"),"",IF(OR(J1031=0,AND(J1031=1,K1031=1),AND(J1031=1,I1031="SBJ"),AND(J1031=1,I1031=0)),"?IN_FOCUS",IF(J1031&lt;=2,"?ACTIVATED",IF(J1031&lt;&gt;"","?FAMILIAR",IF(F1031="NEW",IF(ISNA(VLOOKUP(E1031,#REF!,1,FALSE())),"?TYPE_IDENTIFIABLE","?REFERENTIAL"),"_")))))</f>
        <v/>
      </c>
      <c r="H1031" s="13" t="str">
        <f aca="false">IF(J1031&lt;&gt;1,"",IF(I1031="SBJ","CB","?"))</f>
        <v/>
      </c>
      <c r="I1031" s="14" t="str">
        <f aca="false">IF(OR(E1031="",E1031="!!!",F1031="NEW"),"",INDEX(B$2:B1030,-1+SUMPRODUCT(MAX(ROW(E$2:E1030)*(E1031=E$2:E1030)))))</f>
        <v/>
      </c>
      <c r="J1031" s="15" t="str">
        <f aca="true">IF(OR(E1031="",E1031="!!!",F1031="NEW"),"",COUNTBLANK(OFFSET(A$1,,,SUMPRODUCT(MAX(ROW(E$2:E1031)*(E1031=E$2:E1031)))))-COUNTBLANK(OFFSET(A$1,,,SUMPRODUCT(MAX(ROW(E$1:E1030)*(E1031=E$1:E1030))))))</f>
        <v/>
      </c>
      <c r="K1031" s="15" t="str">
        <f aca="false">IF(OR(E1031="",E1031="!!!",F1031="NEW"),"",INDEX(J$1:J1030,SUMPRODUCT(MAX(ROW(E$1:E1030)*(E1031=E$1:E1030)))))</f>
        <v/>
      </c>
      <c r="L1031" s="16"/>
    </row>
    <row r="1032" customFormat="false" ht="12.75" hidden="false" customHeight="false" outlineLevel="0" collapsed="false">
      <c r="A1032" s="9" t="s">
        <v>448</v>
      </c>
      <c r="E1032" s="10" t="str">
        <f aca="false">IF(D1032="?OLD","!!!","")</f>
        <v/>
      </c>
      <c r="F1032" s="11" t="str">
        <f aca="false">IF(OR(E1032="",E1032="!!!"),"",IF(NOT(ISNA(VLOOKUP(E1032,E$1:E1031,1,FALSE()))),"OLD",IF(AND(E1032&lt;&gt;"",E1032&lt;&gt;"!!!"),"NEW","")))</f>
        <v/>
      </c>
      <c r="G1032" s="12" t="str">
        <f aca="false">IF(OR(E1032="",E1032="!!!"),"",IF(OR(J1032=0,AND(J1032=1,K1032=1),AND(J1032=1,I1032="SBJ"),AND(J1032=1,I1032=0)),"?IN_FOCUS",IF(J1032&lt;=2,"?ACTIVATED",IF(J1032&lt;&gt;"","?FAMILIAR",IF(F1032="NEW",IF(ISNA(VLOOKUP(E1032,#REF!,1,FALSE())),"?TYPE_IDENTIFIABLE","?REFERENTIAL"),"_")))))</f>
        <v/>
      </c>
      <c r="H1032" s="13" t="str">
        <f aca="false">IF(J1032&lt;&gt;1,"",IF(I1032="SBJ","CB","?"))</f>
        <v/>
      </c>
      <c r="I1032" s="14" t="str">
        <f aca="false">IF(OR(E1032="",E1032="!!!",F1032="NEW"),"",INDEX(B$2:B1031,-1+SUMPRODUCT(MAX(ROW(E$2:E1031)*(E1032=E$2:E1031)))))</f>
        <v/>
      </c>
      <c r="J1032" s="15" t="str">
        <f aca="true">IF(OR(E1032="",E1032="!!!",F1032="NEW"),"",COUNTBLANK(OFFSET(A$1,,,SUMPRODUCT(MAX(ROW(E$2:E1032)*(E1032=E$2:E1032)))))-COUNTBLANK(OFFSET(A$1,,,SUMPRODUCT(MAX(ROW(E$1:E1031)*(E1032=E$1:E1031))))))</f>
        <v/>
      </c>
      <c r="K1032" s="15" t="str">
        <f aca="false">IF(OR(E1032="",E1032="!!!",F1032="NEW"),"",INDEX(J$1:J1031,SUMPRODUCT(MAX(ROW(E$1:E1031)*(E1032=E$1:E1031)))))</f>
        <v/>
      </c>
      <c r="L1032" s="16"/>
    </row>
    <row r="1033" customFormat="false" ht="12.75" hidden="false" customHeight="false" outlineLevel="0" collapsed="false">
      <c r="A1033" s="9" t="s">
        <v>449</v>
      </c>
      <c r="E1033" s="10" t="str">
        <f aca="false">IF(D1033="?OLD","!!!","")</f>
        <v/>
      </c>
      <c r="F1033" s="11" t="str">
        <f aca="false">IF(OR(E1033="",E1033="!!!"),"",IF(NOT(ISNA(VLOOKUP(E1033,E$1:E1032,1,FALSE()))),"OLD",IF(AND(E1033&lt;&gt;"",E1033&lt;&gt;"!!!"),"NEW","")))</f>
        <v/>
      </c>
      <c r="G1033" s="12" t="str">
        <f aca="false">IF(OR(E1033="",E1033="!!!"),"",IF(OR(J1033=0,AND(J1033=1,K1033=1),AND(J1033=1,I1033="SBJ"),AND(J1033=1,I1033=0)),"?IN_FOCUS",IF(J1033&lt;=2,"?ACTIVATED",IF(J1033&lt;&gt;"","?FAMILIAR",IF(F1033="NEW",IF(ISNA(VLOOKUP(E1033,#REF!,1,FALSE())),"?TYPE_IDENTIFIABLE","?REFERENTIAL"),"_")))))</f>
        <v/>
      </c>
      <c r="H1033" s="13" t="str">
        <f aca="false">IF(J1033&lt;&gt;1,"",IF(I1033="SBJ","CB","?"))</f>
        <v/>
      </c>
      <c r="I1033" s="14" t="str">
        <f aca="false">IF(OR(E1033="",E1033="!!!",F1033="NEW"),"",INDEX(B$2:B1032,-1+SUMPRODUCT(MAX(ROW(E$2:E1032)*(E1033=E$2:E1032)))))</f>
        <v/>
      </c>
      <c r="J1033" s="15" t="str">
        <f aca="true">IF(OR(E1033="",E1033="!!!",F1033="NEW"),"",COUNTBLANK(OFFSET(A$1,,,SUMPRODUCT(MAX(ROW(E$2:E1033)*(E1033=E$2:E1033)))))-COUNTBLANK(OFFSET(A$1,,,SUMPRODUCT(MAX(ROW(E$1:E1032)*(E1033=E$1:E1032))))))</f>
        <v/>
      </c>
      <c r="K1033" s="15" t="str">
        <f aca="false">IF(OR(E1033="",E1033="!!!",F1033="NEW"),"",INDEX(J$1:J1032,SUMPRODUCT(MAX(ROW(E$1:E1032)*(E1033=E$1:E1032)))))</f>
        <v/>
      </c>
      <c r="L1033" s="16"/>
    </row>
    <row r="1034" customFormat="false" ht="12.75" hidden="false" customHeight="false" outlineLevel="0" collapsed="false">
      <c r="A1034" s="9" t="s">
        <v>342</v>
      </c>
      <c r="E1034" s="10" t="str">
        <f aca="false">IF(D1034="?OLD","!!!","")</f>
        <v/>
      </c>
      <c r="F1034" s="11" t="str">
        <f aca="false">IF(OR(E1034="",E1034="!!!"),"",IF(NOT(ISNA(VLOOKUP(E1034,E$1:E1033,1,FALSE()))),"OLD",IF(AND(E1034&lt;&gt;"",E1034&lt;&gt;"!!!"),"NEW","")))</f>
        <v/>
      </c>
      <c r="G1034" s="12" t="str">
        <f aca="false">IF(OR(E1034="",E1034="!!!"),"",IF(OR(J1034=0,AND(J1034=1,K1034=1),AND(J1034=1,I1034="SBJ"),AND(J1034=1,I1034=0)),"?IN_FOCUS",IF(J1034&lt;=2,"?ACTIVATED",IF(J1034&lt;&gt;"","?FAMILIAR",IF(F1034="NEW",IF(ISNA(VLOOKUP(E1034,#REF!,1,FALSE())),"?TYPE_IDENTIFIABLE","?REFERENTIAL"),"_")))))</f>
        <v/>
      </c>
      <c r="H1034" s="13" t="str">
        <f aca="false">IF(J1034&lt;&gt;1,"",IF(I1034="SBJ","CB","?"))</f>
        <v/>
      </c>
      <c r="I1034" s="14" t="str">
        <f aca="false">IF(OR(E1034="",E1034="!!!",F1034="NEW"),"",INDEX(B$2:B1033,-1+SUMPRODUCT(MAX(ROW(E$2:E1033)*(E1034=E$2:E1033)))))</f>
        <v/>
      </c>
      <c r="J1034" s="15" t="str">
        <f aca="true">IF(OR(E1034="",E1034="!!!",F1034="NEW"),"",COUNTBLANK(OFFSET(A$1,,,SUMPRODUCT(MAX(ROW(E$2:E1034)*(E1034=E$2:E1034)))))-COUNTBLANK(OFFSET(A$1,,,SUMPRODUCT(MAX(ROW(E$1:E1033)*(E1034=E$1:E1033))))))</f>
        <v/>
      </c>
      <c r="K1034" s="15" t="str">
        <f aca="false">IF(OR(E1034="",E1034="!!!",F1034="NEW"),"",INDEX(J$1:J1033,SUMPRODUCT(MAX(ROW(E$1:E1033)*(E1034=E$1:E1033)))))</f>
        <v/>
      </c>
      <c r="L1034" s="16"/>
    </row>
    <row r="1035" customFormat="false" ht="12.75" hidden="false" customHeight="false" outlineLevel="0" collapsed="false">
      <c r="A1035" s="9" t="s">
        <v>129</v>
      </c>
      <c r="E1035" s="10" t="str">
        <f aca="false">IF(D1035="?OLD","!!!","")</f>
        <v/>
      </c>
      <c r="F1035" s="11" t="str">
        <f aca="false">IF(OR(E1035="",E1035="!!!"),"",IF(NOT(ISNA(VLOOKUP(E1035,E$1:E1034,1,FALSE()))),"OLD",IF(AND(E1035&lt;&gt;"",E1035&lt;&gt;"!!!"),"NEW","")))</f>
        <v/>
      </c>
      <c r="G1035" s="12" t="str">
        <f aca="false">IF(OR(E1035="",E1035="!!!"),"",IF(OR(J1035=0,AND(J1035=1,K1035=1),AND(J1035=1,I1035="SBJ"),AND(J1035=1,I1035=0)),"?IN_FOCUS",IF(J1035&lt;=2,"?ACTIVATED",IF(J1035&lt;&gt;"","?FAMILIAR",IF(F1035="NEW",IF(ISNA(VLOOKUP(E1035,#REF!,1,FALSE())),"?TYPE_IDENTIFIABLE","?REFERENTIAL"),"_")))))</f>
        <v/>
      </c>
      <c r="H1035" s="13" t="str">
        <f aca="false">IF(J1035&lt;&gt;1,"",IF(I1035="SBJ","CB","?"))</f>
        <v/>
      </c>
      <c r="I1035" s="14" t="str">
        <f aca="false">IF(OR(E1035="",E1035="!!!",F1035="NEW"),"",INDEX(B$2:B1034,-1+SUMPRODUCT(MAX(ROW(E$2:E1034)*(E1035=E$2:E1034)))))</f>
        <v/>
      </c>
      <c r="J1035" s="15" t="str">
        <f aca="true">IF(OR(E1035="",E1035="!!!",F1035="NEW"),"",COUNTBLANK(OFFSET(A$1,,,SUMPRODUCT(MAX(ROW(E$2:E1035)*(E1035=E$2:E1035)))))-COUNTBLANK(OFFSET(A$1,,,SUMPRODUCT(MAX(ROW(E$1:E1034)*(E1035=E$1:E1034))))))</f>
        <v/>
      </c>
      <c r="K1035" s="15" t="str">
        <f aca="false">IF(OR(E1035="",E1035="!!!",F1035="NEW"),"",INDEX(J$1:J1034,SUMPRODUCT(MAX(ROW(E$1:E1034)*(E1035=E$1:E1034)))))</f>
        <v/>
      </c>
      <c r="L1035" s="16"/>
    </row>
    <row r="1036" customFormat="false" ht="12.75" hidden="false" customHeight="false" outlineLevel="0" collapsed="false">
      <c r="A1036" s="9" t="s">
        <v>450</v>
      </c>
      <c r="B1036" s="0" t="s">
        <v>75</v>
      </c>
      <c r="C1036" s="0" t="s">
        <v>119</v>
      </c>
      <c r="D1036" s="0" t="s">
        <v>27</v>
      </c>
      <c r="E1036" s="10" t="s">
        <v>451</v>
      </c>
      <c r="F1036" s="11" t="str">
        <f aca="false">IF(OR(E1036="",E1036="!!!"),"",IF(NOT(ISNA(VLOOKUP(E1036,E$1:E1035,1,FALSE()))),"OLD",IF(AND(E1036&lt;&gt;"",E1036&lt;&gt;"!!!"),"NEW","")))</f>
        <v>NEW</v>
      </c>
      <c r="G1036" s="12" t="s">
        <v>28</v>
      </c>
      <c r="H1036" s="13" t="str">
        <f aca="false">IF(J1036&lt;&gt;1,"",IF(I1036="SBJ","CB","?"))</f>
        <v/>
      </c>
      <c r="I1036" s="14" t="str">
        <f aca="false">IF(OR(E1036="",E1036="!!!",F1036="NEW"),"",INDEX(B$2:B1035,-1+SUMPRODUCT(MAX(ROW(E$2:E1035)*(E1036=E$2:E1035)))))</f>
        <v/>
      </c>
      <c r="J1036" s="15" t="str">
        <f aca="true">IF(OR(E1036="",E1036="!!!",F1036="NEW"),"",COUNTBLANK(OFFSET(A$1,,,SUMPRODUCT(MAX(ROW(E$2:E1036)*(E1036=E$2:E1036)))))-COUNTBLANK(OFFSET(A$1,,,SUMPRODUCT(MAX(ROW(E$1:E1035)*(E1036=E$1:E1035))))))</f>
        <v/>
      </c>
      <c r="K1036" s="15" t="str">
        <f aca="false">IF(OR(E1036="",E1036="!!!",F1036="NEW"),"",INDEX(J$1:J1035,SUMPRODUCT(MAX(ROW(E$1:E1035)*(E1036=E$1:E1035)))))</f>
        <v/>
      </c>
      <c r="L1036" s="16"/>
    </row>
    <row r="1037" customFormat="false" ht="12.75" hidden="false" customHeight="false" outlineLevel="0" collapsed="false">
      <c r="A1037" s="9" t="s">
        <v>452</v>
      </c>
      <c r="E1037" s="10" t="str">
        <f aca="false">IF(D1037="?OLD","!!!","")</f>
        <v/>
      </c>
      <c r="F1037" s="11" t="str">
        <f aca="false">IF(OR(E1037="",E1037="!!!"),"",IF(NOT(ISNA(VLOOKUP(E1037,E$1:E1036,1,FALSE()))),"OLD",IF(AND(E1037&lt;&gt;"",E1037&lt;&gt;"!!!"),"NEW","")))</f>
        <v/>
      </c>
      <c r="G1037" s="12" t="str">
        <f aca="false">IF(OR(E1037="",E1037="!!!"),"",IF(OR(J1037=0,AND(J1037=1,K1037=1),AND(J1037=1,I1037="SBJ"),AND(J1037=1,I1037=0)),"?IN_FOCUS",IF(J1037&lt;=2,"?ACTIVATED",IF(J1037&lt;&gt;"","?FAMILIAR",IF(F1037="NEW",IF(ISNA(VLOOKUP(E1037,#REF!,1,FALSE())),"?TYPE_IDENTIFIABLE","?REFERENTIAL"),"_")))))</f>
        <v/>
      </c>
      <c r="H1037" s="13" t="str">
        <f aca="false">IF(J1037&lt;&gt;1,"",IF(I1037="SBJ","CB","?"))</f>
        <v/>
      </c>
      <c r="I1037" s="14" t="str">
        <f aca="false">IF(OR(E1037="",E1037="!!!",F1037="NEW"),"",INDEX(B$2:B1036,-1+SUMPRODUCT(MAX(ROW(E$2:E1036)*(E1037=E$2:E1036)))))</f>
        <v/>
      </c>
      <c r="J1037" s="15" t="str">
        <f aca="true">IF(OR(E1037="",E1037="!!!",F1037="NEW"),"",COUNTBLANK(OFFSET(A$1,,,SUMPRODUCT(MAX(ROW(E$2:E1037)*(E1037=E$2:E1037)))))-COUNTBLANK(OFFSET(A$1,,,SUMPRODUCT(MAX(ROW(E$1:E1036)*(E1037=E$1:E1036))))))</f>
        <v/>
      </c>
      <c r="K1037" s="15" t="str">
        <f aca="false">IF(OR(E1037="",E1037="!!!",F1037="NEW"),"",INDEX(J$1:J1036,SUMPRODUCT(MAX(ROW(E$1:E1036)*(E1037=E$1:E1036)))))</f>
        <v/>
      </c>
      <c r="L1037" s="16"/>
    </row>
    <row r="1038" customFormat="false" ht="12.75" hidden="false" customHeight="false" outlineLevel="0" collapsed="false">
      <c r="A1038" s="9" t="s">
        <v>285</v>
      </c>
      <c r="E1038" s="10" t="str">
        <f aca="false">IF(D1038="?OLD","!!!","")</f>
        <v/>
      </c>
      <c r="F1038" s="11" t="str">
        <f aca="false">IF(OR(E1038="",E1038="!!!"),"",IF(NOT(ISNA(VLOOKUP(E1038,E$1:E1037,1,FALSE()))),"OLD",IF(AND(E1038&lt;&gt;"",E1038&lt;&gt;"!!!"),"NEW","")))</f>
        <v/>
      </c>
      <c r="G1038" s="12" t="str">
        <f aca="false">IF(OR(E1038="",E1038="!!!"),"",IF(OR(J1038=0,AND(J1038=1,K1038=1),AND(J1038=1,I1038="SBJ"),AND(J1038=1,I1038=0)),"?IN_FOCUS",IF(J1038&lt;=2,"?ACTIVATED",IF(J1038&lt;&gt;"","?FAMILIAR",IF(F1038="NEW",IF(ISNA(VLOOKUP(E1038,#REF!,1,FALSE())),"?TYPE_IDENTIFIABLE","?REFERENTIAL"),"_")))))</f>
        <v/>
      </c>
      <c r="H1038" s="13" t="str">
        <f aca="false">IF(J1038&lt;&gt;1,"",IF(I1038="SBJ","CB","?"))</f>
        <v/>
      </c>
      <c r="I1038" s="14" t="str">
        <f aca="false">IF(OR(E1038="",E1038="!!!",F1038="NEW"),"",INDEX(B$2:B1037,-1+SUMPRODUCT(MAX(ROW(E$2:E1037)*(E1038=E$2:E1037)))))</f>
        <v/>
      </c>
      <c r="J1038" s="15" t="str">
        <f aca="true">IF(OR(E1038="",E1038="!!!",F1038="NEW"),"",COUNTBLANK(OFFSET(A$1,,,SUMPRODUCT(MAX(ROW(E$2:E1038)*(E1038=E$2:E1038)))))-COUNTBLANK(OFFSET(A$1,,,SUMPRODUCT(MAX(ROW(E$1:E1037)*(E1038=E$1:E1037))))))</f>
        <v/>
      </c>
      <c r="K1038" s="15" t="str">
        <f aca="false">IF(OR(E1038="",E1038="!!!",F1038="NEW"),"",INDEX(J$1:J1037,SUMPRODUCT(MAX(ROW(E$1:E1037)*(E1038=E$1:E1037)))))</f>
        <v/>
      </c>
      <c r="L1038" s="16"/>
    </row>
    <row r="1039" customFormat="false" ht="12.75" hidden="false" customHeight="false" outlineLevel="0" collapsed="false">
      <c r="A1039" s="9" t="s">
        <v>151</v>
      </c>
      <c r="E1039" s="10" t="str">
        <f aca="false">IF(D1039="?OLD","!!!","")</f>
        <v/>
      </c>
      <c r="F1039" s="11" t="str">
        <f aca="false">IF(OR(E1039="",E1039="!!!"),"",IF(NOT(ISNA(VLOOKUP(E1039,E$1:E1038,1,FALSE()))),"OLD",IF(AND(E1039&lt;&gt;"",E1039&lt;&gt;"!!!"),"NEW","")))</f>
        <v/>
      </c>
      <c r="G1039" s="12" t="str">
        <f aca="false">IF(OR(E1039="",E1039="!!!"),"",IF(OR(J1039=0,AND(J1039=1,K1039=1),AND(J1039=1,I1039="SBJ"),AND(J1039=1,I1039=0)),"?IN_FOCUS",IF(J1039&lt;=2,"?ACTIVATED",IF(J1039&lt;&gt;"","?FAMILIAR",IF(F1039="NEW",IF(ISNA(VLOOKUP(E1039,#REF!,1,FALSE())),"?TYPE_IDENTIFIABLE","?REFERENTIAL"),"_")))))</f>
        <v/>
      </c>
      <c r="H1039" s="13" t="str">
        <f aca="false">IF(J1039&lt;&gt;1,"",IF(I1039="SBJ","CB","?"))</f>
        <v/>
      </c>
      <c r="I1039" s="14" t="str">
        <f aca="false">IF(OR(E1039="",E1039="!!!",F1039="NEW"),"",INDEX(B$2:B1038,-1+SUMPRODUCT(MAX(ROW(E$2:E1038)*(E1039=E$2:E1038)))))</f>
        <v/>
      </c>
      <c r="J1039" s="15" t="str">
        <f aca="true">IF(OR(E1039="",E1039="!!!",F1039="NEW"),"",COUNTBLANK(OFFSET(A$1,,,SUMPRODUCT(MAX(ROW(E$2:E1039)*(E1039=E$2:E1039)))))-COUNTBLANK(OFFSET(A$1,,,SUMPRODUCT(MAX(ROW(E$1:E1038)*(E1039=E$1:E1038))))))</f>
        <v/>
      </c>
      <c r="K1039" s="15" t="str">
        <f aca="false">IF(OR(E1039="",E1039="!!!",F1039="NEW"),"",INDEX(J$1:J1038,SUMPRODUCT(MAX(ROW(E$1:E1038)*(E1039=E$1:E1038)))))</f>
        <v/>
      </c>
      <c r="L1039" s="16"/>
    </row>
    <row r="1040" customFormat="false" ht="12.75" hidden="false" customHeight="false" outlineLevel="0" collapsed="false">
      <c r="A1040" s="9" t="s">
        <v>22</v>
      </c>
      <c r="E1040" s="10" t="str">
        <f aca="false">IF(D1040="?OLD","!!!","")</f>
        <v/>
      </c>
      <c r="F1040" s="11" t="str">
        <f aca="false">IF(OR(E1040="",E1040="!!!"),"",IF(NOT(ISNA(VLOOKUP(E1040,E$1:E1039,1,FALSE()))),"OLD",IF(AND(E1040&lt;&gt;"",E1040&lt;&gt;"!!!"),"NEW","")))</f>
        <v/>
      </c>
      <c r="G1040" s="12" t="str">
        <f aca="false">IF(OR(E1040="",E1040="!!!"),"",IF(OR(J1040=0,AND(J1040=1,K1040=1),AND(J1040=1,I1040="SBJ"),AND(J1040=1,I1040=0)),"?IN_FOCUS",IF(J1040&lt;=2,"?ACTIVATED",IF(J1040&lt;&gt;"","?FAMILIAR",IF(F1040="NEW",IF(ISNA(VLOOKUP(E1040,#REF!,1,FALSE())),"?TYPE_IDENTIFIABLE","?REFERENTIAL"),"_")))))</f>
        <v/>
      </c>
      <c r="H1040" s="13" t="str">
        <f aca="false">IF(J1040&lt;&gt;1,"",IF(I1040="SBJ","CB","?"))</f>
        <v/>
      </c>
      <c r="I1040" s="14" t="str">
        <f aca="false">IF(OR(E1040="",E1040="!!!",F1040="NEW"),"",INDEX(B$2:B1039,-1+SUMPRODUCT(MAX(ROW(E$2:E1039)*(E1040=E$2:E1039)))))</f>
        <v/>
      </c>
      <c r="J1040" s="15" t="str">
        <f aca="true">IF(OR(E1040="",E1040="!!!",F1040="NEW"),"",COUNTBLANK(OFFSET(A$1,,,SUMPRODUCT(MAX(ROW(E$2:E1040)*(E1040=E$2:E1040)))))-COUNTBLANK(OFFSET(A$1,,,SUMPRODUCT(MAX(ROW(E$1:E1039)*(E1040=E$1:E1039))))))</f>
        <v/>
      </c>
      <c r="K1040" s="15" t="str">
        <f aca="false">IF(OR(E1040="",E1040="!!!",F1040="NEW"),"",INDEX(J$1:J1039,SUMPRODUCT(MAX(ROW(E$1:E1039)*(E1040=E$1:E1039)))))</f>
        <v/>
      </c>
      <c r="L1040" s="16"/>
    </row>
    <row r="1041" customFormat="false" ht="12.75" hidden="false" customHeight="false" outlineLevel="0" collapsed="false">
      <c r="A1041" s="9" t="s">
        <v>453</v>
      </c>
      <c r="E1041" s="10" t="str">
        <f aca="false">IF(D1041="?OLD","!!!","")</f>
        <v/>
      </c>
      <c r="F1041" s="11" t="str">
        <f aca="false">IF(OR(E1041="",E1041="!!!"),"",IF(NOT(ISNA(VLOOKUP(E1041,E$1:E1040,1,FALSE()))),"OLD",IF(AND(E1041&lt;&gt;"",E1041&lt;&gt;"!!!"),"NEW","")))</f>
        <v/>
      </c>
      <c r="G1041" s="12" t="str">
        <f aca="false">IF(OR(E1041="",E1041="!!!"),"",IF(OR(J1041=0,AND(J1041=1,K1041=1),AND(J1041=1,I1041="SBJ"),AND(J1041=1,I1041=0)),"?IN_FOCUS",IF(J1041&lt;=2,"?ACTIVATED",IF(J1041&lt;&gt;"","?FAMILIAR",IF(F1041="NEW",IF(ISNA(VLOOKUP(E1041,#REF!,1,FALSE())),"?TYPE_IDENTIFIABLE","?REFERENTIAL"),"_")))))</f>
        <v/>
      </c>
      <c r="H1041" s="13" t="str">
        <f aca="false">IF(J1041&lt;&gt;1,"",IF(I1041="SBJ","CB","?"))</f>
        <v/>
      </c>
      <c r="I1041" s="14" t="str">
        <f aca="false">IF(OR(E1041="",E1041="!!!",F1041="NEW"),"",INDEX(B$2:B1040,-1+SUMPRODUCT(MAX(ROW(E$2:E1040)*(E1041=E$2:E1040)))))</f>
        <v/>
      </c>
      <c r="J1041" s="15" t="str">
        <f aca="true">IF(OR(E1041="",E1041="!!!",F1041="NEW"),"",COUNTBLANK(OFFSET(A$1,,,SUMPRODUCT(MAX(ROW(E$2:E1041)*(E1041=E$2:E1041)))))-COUNTBLANK(OFFSET(A$1,,,SUMPRODUCT(MAX(ROW(E$1:E1040)*(E1041=E$1:E1040))))))</f>
        <v/>
      </c>
      <c r="K1041" s="15" t="str">
        <f aca="false">IF(OR(E1041="",E1041="!!!",F1041="NEW"),"",INDEX(J$1:J1040,SUMPRODUCT(MAX(ROW(E$1:E1040)*(E1041=E$1:E1040)))))</f>
        <v/>
      </c>
      <c r="L1041" s="16"/>
    </row>
    <row r="1042" customFormat="false" ht="12.75" hidden="false" customHeight="false" outlineLevel="0" collapsed="false">
      <c r="A1042" s="9" t="s">
        <v>454</v>
      </c>
      <c r="B1042" s="0" t="s">
        <v>43</v>
      </c>
      <c r="E1042" s="10" t="str">
        <f aca="false">IF(D1042="?OLD","!!!","")</f>
        <v/>
      </c>
      <c r="F1042" s="11" t="str">
        <f aca="false">IF(OR(E1042="",E1042="!!!"),"",IF(NOT(ISNA(VLOOKUP(E1042,E$1:E1041,1,FALSE()))),"OLD",IF(AND(E1042&lt;&gt;"",E1042&lt;&gt;"!!!"),"NEW","")))</f>
        <v/>
      </c>
      <c r="G1042" s="12" t="str">
        <f aca="false">IF(OR(E1042="",E1042="!!!"),"",IF(OR(J1042=0,AND(J1042=1,K1042=1),AND(J1042=1,I1042="SBJ"),AND(J1042=1,I1042=0)),"?IN_FOCUS",IF(J1042&lt;=2,"?ACTIVATED",IF(J1042&lt;&gt;"","?FAMILIAR",IF(F1042="NEW",IF(ISNA(VLOOKUP(E1042,#REF!,1,FALSE())),"?TYPE_IDENTIFIABLE","?REFERENTIAL"),"_")))))</f>
        <v/>
      </c>
      <c r="H1042" s="13" t="str">
        <f aca="false">IF(J1042&lt;&gt;1,"",IF(I1042="SBJ","CB","?"))</f>
        <v/>
      </c>
      <c r="I1042" s="14" t="str">
        <f aca="false">IF(OR(E1042="",E1042="!!!",F1042="NEW"),"",INDEX(B$2:B1041,-1+SUMPRODUCT(MAX(ROW(E$2:E1041)*(E1042=E$2:E1041)))))</f>
        <v/>
      </c>
      <c r="J1042" s="15" t="str">
        <f aca="true">IF(OR(E1042="",E1042="!!!",F1042="NEW"),"",COUNTBLANK(OFFSET(A$1,,,SUMPRODUCT(MAX(ROW(E$2:E1042)*(E1042=E$2:E1042)))))-COUNTBLANK(OFFSET(A$1,,,SUMPRODUCT(MAX(ROW(E$1:E1041)*(E1042=E$1:E1041))))))</f>
        <v/>
      </c>
      <c r="K1042" s="15" t="str">
        <f aca="false">IF(OR(E1042="",E1042="!!!",F1042="NEW"),"",INDEX(J$1:J1041,SUMPRODUCT(MAX(ROW(E$1:E1041)*(E1042=E$1:E1041)))))</f>
        <v/>
      </c>
      <c r="L1042" s="16"/>
    </row>
    <row r="1043" customFormat="false" ht="12.75" hidden="false" customHeight="false" outlineLevel="0" collapsed="false">
      <c r="A1043" s="9" t="s">
        <v>154</v>
      </c>
      <c r="E1043" s="10" t="str">
        <f aca="false">IF(D1043="?OLD","!!!","")</f>
        <v/>
      </c>
      <c r="F1043" s="11" t="str">
        <f aca="false">IF(OR(E1043="",E1043="!!!"),"",IF(NOT(ISNA(VLOOKUP(E1043,E$1:E1042,1,FALSE()))),"OLD",IF(AND(E1043&lt;&gt;"",E1043&lt;&gt;"!!!"),"NEW","")))</f>
        <v/>
      </c>
      <c r="G1043" s="12" t="str">
        <f aca="false">IF(OR(E1043="",E1043="!!!"),"",IF(OR(J1043=0,AND(J1043=1,K1043=1),AND(J1043=1,I1043="SBJ"),AND(J1043=1,I1043=0)),"?IN_FOCUS",IF(J1043&lt;=2,"?ACTIVATED",IF(J1043&lt;&gt;"","?FAMILIAR",IF(F1043="NEW",IF(ISNA(VLOOKUP(E1043,#REF!,1,FALSE())),"?TYPE_IDENTIFIABLE","?REFERENTIAL"),"_")))))</f>
        <v/>
      </c>
      <c r="H1043" s="13" t="str">
        <f aca="false">IF(J1043&lt;&gt;1,"",IF(I1043="SBJ","CB","?"))</f>
        <v/>
      </c>
      <c r="I1043" s="14" t="str">
        <f aca="false">IF(OR(E1043="",E1043="!!!",F1043="NEW"),"",INDEX(B$2:B1042,-1+SUMPRODUCT(MAX(ROW(E$2:E1042)*(E1043=E$2:E1042)))))</f>
        <v/>
      </c>
      <c r="J1043" s="15" t="str">
        <f aca="true">IF(OR(E1043="",E1043="!!!",F1043="NEW"),"",COUNTBLANK(OFFSET(A$1,,,SUMPRODUCT(MAX(ROW(E$2:E1043)*(E1043=E$2:E1043)))))-COUNTBLANK(OFFSET(A$1,,,SUMPRODUCT(MAX(ROW(E$1:E1042)*(E1043=E$1:E1042))))))</f>
        <v/>
      </c>
      <c r="K1043" s="15" t="str">
        <f aca="false">IF(OR(E1043="",E1043="!!!",F1043="NEW"),"",INDEX(J$1:J1042,SUMPRODUCT(MAX(ROW(E$1:E1042)*(E1043=E$1:E1042)))))</f>
        <v/>
      </c>
      <c r="L1043" s="16"/>
    </row>
    <row r="1044" customFormat="false" ht="12.75" hidden="false" customHeight="false" outlineLevel="0" collapsed="false">
      <c r="A1044" s="9" t="s">
        <v>84</v>
      </c>
      <c r="E1044" s="10" t="str">
        <f aca="false">IF(D1044="?OLD","!!!","")</f>
        <v/>
      </c>
      <c r="F1044" s="11" t="str">
        <f aca="false">IF(OR(E1044="",E1044="!!!"),"",IF(NOT(ISNA(VLOOKUP(E1044,E$1:E1043,1,FALSE()))),"OLD",IF(AND(E1044&lt;&gt;"",E1044&lt;&gt;"!!!"),"NEW","")))</f>
        <v/>
      </c>
      <c r="G1044" s="12" t="str">
        <f aca="false">IF(OR(E1044="",E1044="!!!"),"",IF(OR(J1044=0,AND(J1044=1,K1044=1),AND(J1044=1,I1044="SBJ"),AND(J1044=1,I1044=0)),"?IN_FOCUS",IF(J1044&lt;=2,"?ACTIVATED",IF(J1044&lt;&gt;"","?FAMILIAR",IF(F1044="NEW",IF(ISNA(VLOOKUP(E1044,#REF!,1,FALSE())),"?TYPE_IDENTIFIABLE","?REFERENTIAL"),"_")))))</f>
        <v/>
      </c>
      <c r="H1044" s="13" t="str">
        <f aca="false">IF(J1044&lt;&gt;1,"",IF(I1044="SBJ","CB","?"))</f>
        <v/>
      </c>
      <c r="I1044" s="14" t="str">
        <f aca="false">IF(OR(E1044="",E1044="!!!",F1044="NEW"),"",INDEX(B$2:B1043,-1+SUMPRODUCT(MAX(ROW(E$2:E1043)*(E1044=E$2:E1043)))))</f>
        <v/>
      </c>
      <c r="J1044" s="15" t="str">
        <f aca="true">IF(OR(E1044="",E1044="!!!",F1044="NEW"),"",COUNTBLANK(OFFSET(A$1,,,SUMPRODUCT(MAX(ROW(E$2:E1044)*(E1044=E$2:E1044)))))-COUNTBLANK(OFFSET(A$1,,,SUMPRODUCT(MAX(ROW(E$1:E1043)*(E1044=E$1:E1043))))))</f>
        <v/>
      </c>
      <c r="K1044" s="15" t="str">
        <f aca="false">IF(OR(E1044="",E1044="!!!",F1044="NEW"),"",INDEX(J$1:J1043,SUMPRODUCT(MAX(ROW(E$1:E1043)*(E1044=E$1:E1043)))))</f>
        <v/>
      </c>
      <c r="L1044" s="16"/>
    </row>
    <row r="1045" customFormat="false" ht="12.75" hidden="false" customHeight="false" outlineLevel="0" collapsed="false">
      <c r="A1045" s="9" t="s">
        <v>415</v>
      </c>
      <c r="E1045" s="10" t="str">
        <f aca="false">IF(D1045="?OLD","!!!","")</f>
        <v/>
      </c>
      <c r="F1045" s="11" t="str">
        <f aca="false">IF(OR(E1045="",E1045="!!!"),"",IF(NOT(ISNA(VLOOKUP(E1045,E$1:E1044,1,FALSE()))),"OLD",IF(AND(E1045&lt;&gt;"",E1045&lt;&gt;"!!!"),"NEW","")))</f>
        <v/>
      </c>
      <c r="G1045" s="12" t="str">
        <f aca="false">IF(OR(E1045="",E1045="!!!"),"",IF(OR(J1045=0,AND(J1045=1,K1045=1),AND(J1045=1,I1045="SBJ"),AND(J1045=1,I1045=0)),"?IN_FOCUS",IF(J1045&lt;=2,"?ACTIVATED",IF(J1045&lt;&gt;"","?FAMILIAR",IF(F1045="NEW",IF(ISNA(VLOOKUP(E1045,#REF!,1,FALSE())),"?TYPE_IDENTIFIABLE","?REFERENTIAL"),"_")))))</f>
        <v/>
      </c>
      <c r="H1045" s="13" t="str">
        <f aca="false">IF(J1045&lt;&gt;1,"",IF(I1045="SBJ","CB","?"))</f>
        <v/>
      </c>
      <c r="I1045" s="14" t="str">
        <f aca="false">IF(OR(E1045="",E1045="!!!",F1045="NEW"),"",INDEX(B$2:B1044,-1+SUMPRODUCT(MAX(ROW(E$2:E1044)*(E1045=E$2:E1044)))))</f>
        <v/>
      </c>
      <c r="J1045" s="15" t="str">
        <f aca="true">IF(OR(E1045="",E1045="!!!",F1045="NEW"),"",COUNTBLANK(OFFSET(A$1,,,SUMPRODUCT(MAX(ROW(E$2:E1045)*(E1045=E$2:E1045)))))-COUNTBLANK(OFFSET(A$1,,,SUMPRODUCT(MAX(ROW(E$1:E1044)*(E1045=E$1:E1044))))))</f>
        <v/>
      </c>
      <c r="K1045" s="15" t="str">
        <f aca="false">IF(OR(E1045="",E1045="!!!",F1045="NEW"),"",INDEX(J$1:J1044,SUMPRODUCT(MAX(ROW(E$1:E1044)*(E1045=E$1:E1044)))))</f>
        <v/>
      </c>
      <c r="L1045" s="16"/>
    </row>
    <row r="1046" customFormat="false" ht="12.75" hidden="false" customHeight="false" outlineLevel="0" collapsed="false">
      <c r="A1046" s="9" t="s">
        <v>455</v>
      </c>
      <c r="B1046" s="0" t="s">
        <v>25</v>
      </c>
      <c r="C1046" s="0" t="s">
        <v>456</v>
      </c>
      <c r="D1046" s="0" t="s">
        <v>27</v>
      </c>
      <c r="E1046" s="10" t="s">
        <v>457</v>
      </c>
      <c r="F1046" s="11" t="str">
        <f aca="false">IF(OR(E1046="",E1046="!!!"),"",IF(NOT(ISNA(VLOOKUP(E1046,E$1:E1045,1,FALSE()))),"OLD",IF(AND(E1046&lt;&gt;"",E1046&lt;&gt;"!!!"),"NEW","")))</f>
        <v>NEW</v>
      </c>
      <c r="G1046" s="12" t="s">
        <v>28</v>
      </c>
      <c r="H1046" s="13" t="str">
        <f aca="false">IF(J1046&lt;&gt;1,"",IF(I1046="SBJ","CB","?"))</f>
        <v/>
      </c>
      <c r="I1046" s="14" t="str">
        <f aca="false">IF(OR(E1046="",E1046="!!!",F1046="NEW"),"",INDEX(B$2:B1045,-1+SUMPRODUCT(MAX(ROW(E$2:E1045)*(E1046=E$2:E1045)))))</f>
        <v/>
      </c>
      <c r="J1046" s="15" t="str">
        <f aca="true">IF(OR(E1046="",E1046="!!!",F1046="NEW"),"",COUNTBLANK(OFFSET(A$1,,,SUMPRODUCT(MAX(ROW(E$2:E1046)*(E1046=E$2:E1046)))))-COUNTBLANK(OFFSET(A$1,,,SUMPRODUCT(MAX(ROW(E$1:E1045)*(E1046=E$1:E1045))))))</f>
        <v/>
      </c>
      <c r="K1046" s="15" t="str">
        <f aca="false">IF(OR(E1046="",E1046="!!!",F1046="NEW"),"",INDEX(J$1:J1045,SUMPRODUCT(MAX(ROW(E$1:E1045)*(E1046=E$1:E1045)))))</f>
        <v/>
      </c>
      <c r="L1046" s="16"/>
    </row>
    <row r="1047" customFormat="false" ht="12.75" hidden="false" customHeight="false" outlineLevel="0" collapsed="false">
      <c r="A1047" s="9" t="s">
        <v>426</v>
      </c>
      <c r="E1047" s="10" t="str">
        <f aca="false">IF(D1047="?OLD","!!!","")</f>
        <v/>
      </c>
      <c r="F1047" s="11" t="str">
        <f aca="false">IF(OR(E1047="",E1047="!!!"),"",IF(NOT(ISNA(VLOOKUP(E1047,E$1:E1046,1,FALSE()))),"OLD",IF(AND(E1047&lt;&gt;"",E1047&lt;&gt;"!!!"),"NEW","")))</f>
        <v/>
      </c>
      <c r="G1047" s="12" t="str">
        <f aca="false">IF(OR(E1047="",E1047="!!!"),"",IF(OR(J1047=0,AND(J1047=1,K1047=1),AND(J1047=1,I1047="SBJ"),AND(J1047=1,I1047=0)),"?IN_FOCUS",IF(J1047&lt;=2,"?ACTIVATED",IF(J1047&lt;&gt;"","?FAMILIAR",IF(F1047="NEW",IF(ISNA(VLOOKUP(E1047,#REF!,1,FALSE())),"?TYPE_IDENTIFIABLE","?REFERENTIAL"),"_")))))</f>
        <v/>
      </c>
      <c r="H1047" s="13" t="str">
        <f aca="false">IF(J1047&lt;&gt;1,"",IF(I1047="SBJ","CB","?"))</f>
        <v/>
      </c>
      <c r="I1047" s="14" t="str">
        <f aca="false">IF(OR(E1047="",E1047="!!!",F1047="NEW"),"",INDEX(B$2:B1046,-1+SUMPRODUCT(MAX(ROW(E$2:E1046)*(E1047=E$2:E1046)))))</f>
        <v/>
      </c>
      <c r="J1047" s="15" t="str">
        <f aca="true">IF(OR(E1047="",E1047="!!!",F1047="NEW"),"",COUNTBLANK(OFFSET(A$1,,,SUMPRODUCT(MAX(ROW(E$2:E1047)*(E1047=E$2:E1047)))))-COUNTBLANK(OFFSET(A$1,,,SUMPRODUCT(MAX(ROW(E$1:E1046)*(E1047=E$1:E1046))))))</f>
        <v/>
      </c>
      <c r="K1047" s="15" t="str">
        <f aca="false">IF(OR(E1047="",E1047="!!!",F1047="NEW"),"",INDEX(J$1:J1046,SUMPRODUCT(MAX(ROW(E$1:E1046)*(E1047=E$1:E1046)))))</f>
        <v/>
      </c>
      <c r="L1047" s="16"/>
    </row>
    <row r="1048" customFormat="false" ht="12.75" hidden="false" customHeight="false" outlineLevel="0" collapsed="false">
      <c r="A1048" s="9" t="s">
        <v>84</v>
      </c>
      <c r="E1048" s="10" t="str">
        <f aca="false">IF(D1048="?OLD","!!!","")</f>
        <v/>
      </c>
      <c r="F1048" s="11" t="str">
        <f aca="false">IF(OR(E1048="",E1048="!!!"),"",IF(NOT(ISNA(VLOOKUP(E1048,E$1:E1047,1,FALSE()))),"OLD",IF(AND(E1048&lt;&gt;"",E1048&lt;&gt;"!!!"),"NEW","")))</f>
        <v/>
      </c>
      <c r="G1048" s="12" t="str">
        <f aca="false">IF(OR(E1048="",E1048="!!!"),"",IF(OR(J1048=0,AND(J1048=1,K1048=1),AND(J1048=1,I1048="SBJ"),AND(J1048=1,I1048=0)),"?IN_FOCUS",IF(J1048&lt;=2,"?ACTIVATED",IF(J1048&lt;&gt;"","?FAMILIAR",IF(F1048="NEW",IF(ISNA(VLOOKUP(E1048,#REF!,1,FALSE())),"?TYPE_IDENTIFIABLE","?REFERENTIAL"),"_")))))</f>
        <v/>
      </c>
      <c r="H1048" s="13" t="str">
        <f aca="false">IF(J1048&lt;&gt;1,"",IF(I1048="SBJ","CB","?"))</f>
        <v/>
      </c>
      <c r="I1048" s="14" t="str">
        <f aca="false">IF(OR(E1048="",E1048="!!!",F1048="NEW"),"",INDEX(B$2:B1047,-1+SUMPRODUCT(MAX(ROW(E$2:E1047)*(E1048=E$2:E1047)))))</f>
        <v/>
      </c>
      <c r="J1048" s="15" t="str">
        <f aca="true">IF(OR(E1048="",E1048="!!!",F1048="NEW"),"",COUNTBLANK(OFFSET(A$1,,,SUMPRODUCT(MAX(ROW(E$2:E1048)*(E1048=E$2:E1048)))))-COUNTBLANK(OFFSET(A$1,,,SUMPRODUCT(MAX(ROW(E$1:E1047)*(E1048=E$1:E1047))))))</f>
        <v/>
      </c>
      <c r="K1048" s="15" t="str">
        <f aca="false">IF(OR(E1048="",E1048="!!!",F1048="NEW"),"",INDEX(J$1:J1047,SUMPRODUCT(MAX(ROW(E$1:E1047)*(E1048=E$1:E1047)))))</f>
        <v/>
      </c>
      <c r="L1048" s="16"/>
    </row>
    <row r="1049" customFormat="false" ht="12.75" hidden="false" customHeight="false" outlineLevel="0" collapsed="false">
      <c r="A1049" s="9" t="s">
        <v>365</v>
      </c>
      <c r="E1049" s="10" t="str">
        <f aca="false">IF(D1049="?OLD","!!!","")</f>
        <v/>
      </c>
      <c r="F1049" s="11" t="str">
        <f aca="false">IF(OR(E1049="",E1049="!!!"),"",IF(NOT(ISNA(VLOOKUP(E1049,E$1:E1048,1,FALSE()))),"OLD",IF(AND(E1049&lt;&gt;"",E1049&lt;&gt;"!!!"),"NEW","")))</f>
        <v/>
      </c>
      <c r="G1049" s="12" t="str">
        <f aca="false">IF(OR(E1049="",E1049="!!!"),"",IF(OR(J1049=0,AND(J1049=1,K1049=1),AND(J1049=1,I1049="SBJ"),AND(J1049=1,I1049=0)),"?IN_FOCUS",IF(J1049&lt;=2,"?ACTIVATED",IF(J1049&lt;&gt;"","?FAMILIAR",IF(F1049="NEW",IF(ISNA(VLOOKUP(E1049,#REF!,1,FALSE())),"?TYPE_IDENTIFIABLE","?REFERENTIAL"),"_")))))</f>
        <v/>
      </c>
      <c r="H1049" s="13" t="str">
        <f aca="false">IF(J1049&lt;&gt;1,"",IF(I1049="SBJ","CB","?"))</f>
        <v/>
      </c>
      <c r="I1049" s="14" t="str">
        <f aca="false">IF(OR(E1049="",E1049="!!!",F1049="NEW"),"",INDEX(B$2:B1048,-1+SUMPRODUCT(MAX(ROW(E$2:E1048)*(E1049=E$2:E1048)))))</f>
        <v/>
      </c>
      <c r="J1049" s="15" t="str">
        <f aca="true">IF(OR(E1049="",E1049="!!!",F1049="NEW"),"",COUNTBLANK(OFFSET(A$1,,,SUMPRODUCT(MAX(ROW(E$2:E1049)*(E1049=E$2:E1049)))))-COUNTBLANK(OFFSET(A$1,,,SUMPRODUCT(MAX(ROW(E$1:E1048)*(E1049=E$1:E1048))))))</f>
        <v/>
      </c>
      <c r="K1049" s="15" t="str">
        <f aca="false">IF(OR(E1049="",E1049="!!!",F1049="NEW"),"",INDEX(J$1:J1048,SUMPRODUCT(MAX(ROW(E$1:E1048)*(E1049=E$1:E1048)))))</f>
        <v/>
      </c>
      <c r="L1049" s="16"/>
    </row>
    <row r="1050" customFormat="false" ht="12.75" hidden="false" customHeight="false" outlineLevel="0" collapsed="false">
      <c r="A1050" s="9" t="s">
        <v>14</v>
      </c>
      <c r="E1050" s="10" t="str">
        <f aca="false">IF(D1050="?OLD","!!!","")</f>
        <v/>
      </c>
      <c r="F1050" s="11" t="str">
        <f aca="false">IF(OR(E1050="",E1050="!!!"),"",IF(NOT(ISNA(VLOOKUP(E1050,E$1:E1049,1,FALSE()))),"OLD",IF(AND(E1050&lt;&gt;"",E1050&lt;&gt;"!!!"),"NEW","")))</f>
        <v/>
      </c>
      <c r="G1050" s="12" t="str">
        <f aca="false">IF(OR(E1050="",E1050="!!!"),"",IF(OR(J1050=0,AND(J1050=1,K1050=1),AND(J1050=1,I1050="SBJ"),AND(J1050=1,I1050=0)),"?IN_FOCUS",IF(J1050&lt;=2,"?ACTIVATED",IF(J1050&lt;&gt;"","?FAMILIAR",IF(F1050="NEW",IF(ISNA(VLOOKUP(E1050,#REF!,1,FALSE())),"?TYPE_IDENTIFIABLE","?REFERENTIAL"),"_")))))</f>
        <v/>
      </c>
      <c r="H1050" s="13" t="str">
        <f aca="false">IF(J1050&lt;&gt;1,"",IF(I1050="SBJ","CB","?"))</f>
        <v/>
      </c>
      <c r="I1050" s="14" t="str">
        <f aca="false">IF(OR(E1050="",E1050="!!!",F1050="NEW"),"",INDEX(B$2:B1049,-1+SUMPRODUCT(MAX(ROW(E$2:E1049)*(E1050=E$2:E1049)))))</f>
        <v/>
      </c>
      <c r="J1050" s="15" t="str">
        <f aca="true">IF(OR(E1050="",E1050="!!!",F1050="NEW"),"",COUNTBLANK(OFFSET(A$1,,,SUMPRODUCT(MAX(ROW(E$2:E1050)*(E1050=E$2:E1050)))))-COUNTBLANK(OFFSET(A$1,,,SUMPRODUCT(MAX(ROW(E$1:E1049)*(E1050=E$1:E1049))))))</f>
        <v/>
      </c>
      <c r="K1050" s="15" t="str">
        <f aca="false">IF(OR(E1050="",E1050="!!!",F1050="NEW"),"",INDEX(J$1:J1049,SUMPRODUCT(MAX(ROW(E$1:E1049)*(E1050=E$1:E1049)))))</f>
        <v/>
      </c>
      <c r="L1050" s="16"/>
    </row>
    <row r="1051" customFormat="false" ht="12.75" hidden="false" customHeight="false" outlineLevel="0" collapsed="false">
      <c r="A1051" s="9" t="s">
        <v>458</v>
      </c>
      <c r="B1051" s="0" t="s">
        <v>90</v>
      </c>
      <c r="C1051" s="0" t="s">
        <v>18</v>
      </c>
      <c r="E1051" s="10" t="str">
        <f aca="false">IF(D1051="?OLD","!!!","")</f>
        <v/>
      </c>
      <c r="F1051" s="11" t="str">
        <f aca="false">IF(OR(E1051="",E1051="!!!"),"",IF(NOT(ISNA(VLOOKUP(E1051,E$1:E1050,1,FALSE()))),"OLD",IF(AND(E1051&lt;&gt;"",E1051&lt;&gt;"!!!"),"NEW","")))</f>
        <v/>
      </c>
      <c r="G1051" s="12" t="str">
        <f aca="false">IF(OR(E1051="",E1051="!!!"),"",IF(OR(J1051=0,AND(J1051=1,K1051=1),AND(J1051=1,I1051="SBJ"),AND(J1051=1,I1051=0)),"?IN_FOCUS",IF(J1051&lt;=2,"?ACTIVATED",IF(J1051&lt;&gt;"","?FAMILIAR",IF(F1051="NEW",IF(ISNA(VLOOKUP(E1051,#REF!,1,FALSE())),"?TYPE_IDENTIFIABLE","?REFERENTIAL"),"_")))))</f>
        <v/>
      </c>
      <c r="H1051" s="13" t="str">
        <f aca="false">IF(J1051&lt;&gt;1,"",IF(I1051="SBJ","CB","?"))</f>
        <v/>
      </c>
      <c r="I1051" s="14" t="str">
        <f aca="false">IF(OR(E1051="",E1051="!!!",F1051="NEW"),"",INDEX(B$2:B1050,-1+SUMPRODUCT(MAX(ROW(E$2:E1050)*(E1051=E$2:E1050)))))</f>
        <v/>
      </c>
      <c r="J1051" s="15" t="str">
        <f aca="true">IF(OR(E1051="",E1051="!!!",F1051="NEW"),"",COUNTBLANK(OFFSET(A$1,,,SUMPRODUCT(MAX(ROW(E$2:E1051)*(E1051=E$2:E1051)))))-COUNTBLANK(OFFSET(A$1,,,SUMPRODUCT(MAX(ROW(E$1:E1050)*(E1051=E$1:E1050))))))</f>
        <v/>
      </c>
      <c r="K1051" s="15" t="str">
        <f aca="false">IF(OR(E1051="",E1051="!!!",F1051="NEW"),"",INDEX(J$1:J1050,SUMPRODUCT(MAX(ROW(E$1:E1050)*(E1051=E$1:E1050)))))</f>
        <v/>
      </c>
      <c r="L1051" s="16"/>
    </row>
    <row r="1052" customFormat="false" ht="12.75" hidden="false" customHeight="false" outlineLevel="0" collapsed="false">
      <c r="A1052" s="9" t="s">
        <v>44</v>
      </c>
      <c r="E1052" s="10" t="str">
        <f aca="false">IF(D1052="?OLD","!!!","")</f>
        <v/>
      </c>
      <c r="F1052" s="11" t="str">
        <f aca="false">IF(OR(E1052="",E1052="!!!"),"",IF(NOT(ISNA(VLOOKUP(E1052,E$1:E1051,1,FALSE()))),"OLD",IF(AND(E1052&lt;&gt;"",E1052&lt;&gt;"!!!"),"NEW","")))</f>
        <v/>
      </c>
      <c r="G1052" s="12" t="str">
        <f aca="false">IF(OR(E1052="",E1052="!!!"),"",IF(OR(J1052=0,AND(J1052=1,K1052=1),AND(J1052=1,I1052="SBJ"),AND(J1052=1,I1052=0)),"?IN_FOCUS",IF(J1052&lt;=2,"?ACTIVATED",IF(J1052&lt;&gt;"","?FAMILIAR",IF(F1052="NEW",IF(ISNA(VLOOKUP(E1052,#REF!,1,FALSE())),"?TYPE_IDENTIFIABLE","?REFERENTIAL"),"_")))))</f>
        <v/>
      </c>
      <c r="H1052" s="13" t="str">
        <f aca="false">IF(J1052&lt;&gt;1,"",IF(I1052="SBJ","CB","?"))</f>
        <v/>
      </c>
      <c r="I1052" s="14" t="str">
        <f aca="false">IF(OR(E1052="",E1052="!!!",F1052="NEW"),"",INDEX(B$2:B1051,-1+SUMPRODUCT(MAX(ROW(E$2:E1051)*(E1052=E$2:E1051)))))</f>
        <v/>
      </c>
      <c r="J1052" s="15" t="str">
        <f aca="true">IF(OR(E1052="",E1052="!!!",F1052="NEW"),"",COUNTBLANK(OFFSET(A$1,,,SUMPRODUCT(MAX(ROW(E$2:E1052)*(E1052=E$2:E1052)))))-COUNTBLANK(OFFSET(A$1,,,SUMPRODUCT(MAX(ROW(E$1:E1051)*(E1052=E$1:E1051))))))</f>
        <v/>
      </c>
      <c r="K1052" s="15" t="str">
        <f aca="false">IF(OR(E1052="",E1052="!!!",F1052="NEW"),"",INDEX(J$1:J1051,SUMPRODUCT(MAX(ROW(E$1:E1051)*(E1052=E$1:E1051)))))</f>
        <v/>
      </c>
      <c r="L1052" s="16"/>
    </row>
    <row r="1053" customFormat="false" ht="12.75" hidden="false" customHeight="false" outlineLevel="0" collapsed="false">
      <c r="A1053" s="9" t="s">
        <v>124</v>
      </c>
      <c r="B1053" s="0" t="s">
        <v>30</v>
      </c>
      <c r="C1053" s="0" t="s">
        <v>21</v>
      </c>
      <c r="E1053" s="10" t="str">
        <f aca="false">IF(D1053="?OLD","!!!","")</f>
        <v/>
      </c>
      <c r="F1053" s="11" t="str">
        <f aca="false">IF(OR(E1053="",E1053="!!!"),"",IF(NOT(ISNA(VLOOKUP(E1053,E$1:E1052,1,FALSE()))),"OLD",IF(AND(E1053&lt;&gt;"",E1053&lt;&gt;"!!!"),"NEW","")))</f>
        <v/>
      </c>
      <c r="G1053" s="12" t="str">
        <f aca="false">IF(OR(E1053="",E1053="!!!"),"",IF(OR(J1053=0,AND(J1053=1,K1053=1),AND(J1053=1,I1053="SBJ"),AND(J1053=1,I1053=0)),"?IN_FOCUS",IF(J1053&lt;=2,"?ACTIVATED",IF(J1053&lt;&gt;"","?FAMILIAR",IF(F1053="NEW",IF(ISNA(VLOOKUP(E1053,#REF!,1,FALSE())),"?TYPE_IDENTIFIABLE","?REFERENTIAL"),"_")))))</f>
        <v/>
      </c>
      <c r="H1053" s="13" t="str">
        <f aca="false">IF(J1053&lt;&gt;1,"",IF(I1053="SBJ","CB","?"))</f>
        <v/>
      </c>
      <c r="I1053" s="14" t="str">
        <f aca="false">IF(OR(E1053="",E1053="!!!",F1053="NEW"),"",INDEX(B$2:B1052,-1+SUMPRODUCT(MAX(ROW(E$2:E1052)*(E1053=E$2:E1052)))))</f>
        <v/>
      </c>
      <c r="J1053" s="15" t="str">
        <f aca="true">IF(OR(E1053="",E1053="!!!",F1053="NEW"),"",COUNTBLANK(OFFSET(A$1,,,SUMPRODUCT(MAX(ROW(E$2:E1053)*(E1053=E$2:E1053)))))-COUNTBLANK(OFFSET(A$1,,,SUMPRODUCT(MAX(ROW(E$1:E1052)*(E1053=E$1:E1052))))))</f>
        <v/>
      </c>
      <c r="K1053" s="15" t="str">
        <f aca="false">IF(OR(E1053="",E1053="!!!",F1053="NEW"),"",INDEX(J$1:J1052,SUMPRODUCT(MAX(ROW(E$1:E1052)*(E1053=E$1:E1052)))))</f>
        <v/>
      </c>
      <c r="L1053" s="16"/>
    </row>
    <row r="1054" customFormat="false" ht="12.75" hidden="false" customHeight="false" outlineLevel="0" collapsed="false">
      <c r="A1054" s="9" t="s">
        <v>22</v>
      </c>
      <c r="E1054" s="10" t="str">
        <f aca="false">IF(D1054="?OLD","!!!","")</f>
        <v/>
      </c>
      <c r="F1054" s="11" t="str">
        <f aca="false">IF(OR(E1054="",E1054="!!!"),"",IF(NOT(ISNA(VLOOKUP(E1054,E$1:E1053,1,FALSE()))),"OLD",IF(AND(E1054&lt;&gt;"",E1054&lt;&gt;"!!!"),"NEW","")))</f>
        <v/>
      </c>
      <c r="G1054" s="12" t="str">
        <f aca="false">IF(OR(E1054="",E1054="!!!"),"",IF(OR(J1054=0,AND(J1054=1,K1054=1),AND(J1054=1,I1054="SBJ"),AND(J1054=1,I1054=0)),"?IN_FOCUS",IF(J1054&lt;=2,"?ACTIVATED",IF(J1054&lt;&gt;"","?FAMILIAR",IF(F1054="NEW",IF(ISNA(VLOOKUP(E1054,#REF!,1,FALSE())),"?TYPE_IDENTIFIABLE","?REFERENTIAL"),"_")))))</f>
        <v/>
      </c>
      <c r="H1054" s="13" t="str">
        <f aca="false">IF(J1054&lt;&gt;1,"",IF(I1054="SBJ","CB","?"))</f>
        <v/>
      </c>
      <c r="I1054" s="14" t="str">
        <f aca="false">IF(OR(E1054="",E1054="!!!",F1054="NEW"),"",INDEX(B$2:B1053,-1+SUMPRODUCT(MAX(ROW(E$2:E1053)*(E1054=E$2:E1053)))))</f>
        <v/>
      </c>
      <c r="J1054" s="15" t="str">
        <f aca="true">IF(OR(E1054="",E1054="!!!",F1054="NEW"),"",COUNTBLANK(OFFSET(A$1,,,SUMPRODUCT(MAX(ROW(E$2:E1054)*(E1054=E$2:E1054)))))-COUNTBLANK(OFFSET(A$1,,,SUMPRODUCT(MAX(ROW(E$1:E1053)*(E1054=E$1:E1053))))))</f>
        <v/>
      </c>
      <c r="K1054" s="15" t="str">
        <f aca="false">IF(OR(E1054="",E1054="!!!",F1054="NEW"),"",INDEX(J$1:J1053,SUMPRODUCT(MAX(ROW(E$1:E1053)*(E1054=E$1:E1053)))))</f>
        <v/>
      </c>
      <c r="L1054" s="16"/>
    </row>
    <row r="1055" customFormat="false" ht="12.75" hidden="false" customHeight="false" outlineLevel="0" collapsed="false">
      <c r="A1055" s="9" t="s">
        <v>316</v>
      </c>
      <c r="E1055" s="10" t="str">
        <f aca="false">IF(D1055="?OLD","!!!","")</f>
        <v/>
      </c>
      <c r="F1055" s="11" t="str">
        <f aca="false">IF(OR(E1055="",E1055="!!!"),"",IF(NOT(ISNA(VLOOKUP(E1055,E$1:E1054,1,FALSE()))),"OLD",IF(AND(E1055&lt;&gt;"",E1055&lt;&gt;"!!!"),"NEW","")))</f>
        <v/>
      </c>
      <c r="G1055" s="12" t="str">
        <f aca="false">IF(OR(E1055="",E1055="!!!"),"",IF(OR(J1055=0,AND(J1055=1,K1055=1),AND(J1055=1,I1055="SBJ"),AND(J1055=1,I1055=0)),"?IN_FOCUS",IF(J1055&lt;=2,"?ACTIVATED",IF(J1055&lt;&gt;"","?FAMILIAR",IF(F1055="NEW",IF(ISNA(VLOOKUP(E1055,#REF!,1,FALSE())),"?TYPE_IDENTIFIABLE","?REFERENTIAL"),"_")))))</f>
        <v/>
      </c>
      <c r="H1055" s="13" t="str">
        <f aca="false">IF(J1055&lt;&gt;1,"",IF(I1055="SBJ","CB","?"))</f>
        <v/>
      </c>
      <c r="I1055" s="14" t="str">
        <f aca="false">IF(OR(E1055="",E1055="!!!",F1055="NEW"),"",INDEX(B$2:B1054,-1+SUMPRODUCT(MAX(ROW(E$2:E1054)*(E1055=E$2:E1054)))))</f>
        <v/>
      </c>
      <c r="J1055" s="15" t="str">
        <f aca="true">IF(OR(E1055="",E1055="!!!",F1055="NEW"),"",COUNTBLANK(OFFSET(A$1,,,SUMPRODUCT(MAX(ROW(E$2:E1055)*(E1055=E$2:E1055)))))-COUNTBLANK(OFFSET(A$1,,,SUMPRODUCT(MAX(ROW(E$1:E1054)*(E1055=E$1:E1054))))))</f>
        <v/>
      </c>
      <c r="K1055" s="15" t="str">
        <f aca="false">IF(OR(E1055="",E1055="!!!",F1055="NEW"),"",INDEX(J$1:J1054,SUMPRODUCT(MAX(ROW(E$1:E1054)*(E1055=E$1:E1054)))))</f>
        <v/>
      </c>
      <c r="L1055" s="16"/>
    </row>
    <row r="1056" customFormat="false" ht="12.75" hidden="false" customHeight="false" outlineLevel="0" collapsed="false">
      <c r="A1056" s="9" t="s">
        <v>459</v>
      </c>
      <c r="E1056" s="10" t="str">
        <f aca="false">IF(D1056="?OLD","!!!","")</f>
        <v/>
      </c>
      <c r="F1056" s="11" t="str">
        <f aca="false">IF(OR(E1056="",E1056="!!!"),"",IF(NOT(ISNA(VLOOKUP(E1056,E$1:E1055,1,FALSE()))),"OLD",IF(AND(E1056&lt;&gt;"",E1056&lt;&gt;"!!!"),"NEW","")))</f>
        <v/>
      </c>
      <c r="G1056" s="12" t="str">
        <f aca="false">IF(OR(E1056="",E1056="!!!"),"",IF(OR(J1056=0,AND(J1056=1,K1056=1),AND(J1056=1,I1056="SBJ"),AND(J1056=1,I1056=0)),"?IN_FOCUS",IF(J1056&lt;=2,"?ACTIVATED",IF(J1056&lt;&gt;"","?FAMILIAR",IF(F1056="NEW",IF(ISNA(VLOOKUP(E1056,#REF!,1,FALSE())),"?TYPE_IDENTIFIABLE","?REFERENTIAL"),"_")))))</f>
        <v/>
      </c>
      <c r="H1056" s="13" t="str">
        <f aca="false">IF(J1056&lt;&gt;1,"",IF(I1056="SBJ","CB","?"))</f>
        <v/>
      </c>
      <c r="I1056" s="14" t="str">
        <f aca="false">IF(OR(E1056="",E1056="!!!",F1056="NEW"),"",INDEX(B$2:B1055,-1+SUMPRODUCT(MAX(ROW(E$2:E1055)*(E1056=E$2:E1055)))))</f>
        <v/>
      </c>
      <c r="J1056" s="15" t="str">
        <f aca="true">IF(OR(E1056="",E1056="!!!",F1056="NEW"),"",COUNTBLANK(OFFSET(A$1,,,SUMPRODUCT(MAX(ROW(E$2:E1056)*(E1056=E$2:E1056)))))-COUNTBLANK(OFFSET(A$1,,,SUMPRODUCT(MAX(ROW(E$1:E1055)*(E1056=E$1:E1055))))))</f>
        <v/>
      </c>
      <c r="K1056" s="15" t="str">
        <f aca="false">IF(OR(E1056="",E1056="!!!",F1056="NEW"),"",INDEX(J$1:J1055,SUMPRODUCT(MAX(ROW(E$1:E1055)*(E1056=E$1:E1055)))))</f>
        <v/>
      </c>
      <c r="L1056" s="16"/>
    </row>
    <row r="1057" customFormat="false" ht="12.75" hidden="false" customHeight="false" outlineLevel="0" collapsed="false">
      <c r="A1057" s="9" t="s">
        <v>460</v>
      </c>
      <c r="E1057" s="10" t="str">
        <f aca="false">IF(D1057="?OLD","!!!","")</f>
        <v/>
      </c>
      <c r="F1057" s="11" t="str">
        <f aca="false">IF(OR(E1057="",E1057="!!!"),"",IF(NOT(ISNA(VLOOKUP(E1057,E$1:E1056,1,FALSE()))),"OLD",IF(AND(E1057&lt;&gt;"",E1057&lt;&gt;"!!!"),"NEW","")))</f>
        <v/>
      </c>
      <c r="G1057" s="12" t="str">
        <f aca="false">IF(OR(E1057="",E1057="!!!"),"",IF(OR(J1057=0,AND(J1057=1,K1057=1),AND(J1057=1,I1057="SBJ"),AND(J1057=1,I1057=0)),"?IN_FOCUS",IF(J1057&lt;=2,"?ACTIVATED",IF(J1057&lt;&gt;"","?FAMILIAR",IF(F1057="NEW",IF(ISNA(VLOOKUP(E1057,#REF!,1,FALSE())),"?TYPE_IDENTIFIABLE","?REFERENTIAL"),"_")))))</f>
        <v/>
      </c>
      <c r="H1057" s="13" t="str">
        <f aca="false">IF(J1057&lt;&gt;1,"",IF(I1057="SBJ","CB","?"))</f>
        <v/>
      </c>
      <c r="I1057" s="14" t="str">
        <f aca="false">IF(OR(E1057="",E1057="!!!",F1057="NEW"),"",INDEX(B$2:B1056,-1+SUMPRODUCT(MAX(ROW(E$2:E1056)*(E1057=E$2:E1056)))))</f>
        <v/>
      </c>
      <c r="J1057" s="15" t="str">
        <f aca="true">IF(OR(E1057="",E1057="!!!",F1057="NEW"),"",COUNTBLANK(OFFSET(A$1,,,SUMPRODUCT(MAX(ROW(E$2:E1057)*(E1057=E$2:E1057)))))-COUNTBLANK(OFFSET(A$1,,,SUMPRODUCT(MAX(ROW(E$1:E1056)*(E1057=E$1:E1056))))))</f>
        <v/>
      </c>
      <c r="K1057" s="15" t="str">
        <f aca="false">IF(OR(E1057="",E1057="!!!",F1057="NEW"),"",INDEX(J$1:J1056,SUMPRODUCT(MAX(ROW(E$1:E1056)*(E1057=E$1:E1056)))))</f>
        <v/>
      </c>
      <c r="L1057" s="16"/>
    </row>
    <row r="1058" customFormat="false" ht="12.75" hidden="false" customHeight="false" outlineLevel="0" collapsed="false">
      <c r="A1058" s="9" t="s">
        <v>22</v>
      </c>
      <c r="E1058" s="10" t="str">
        <f aca="false">IF(D1058="?OLD","!!!","")</f>
        <v/>
      </c>
      <c r="F1058" s="11" t="str">
        <f aca="false">IF(OR(E1058="",E1058="!!!"),"",IF(NOT(ISNA(VLOOKUP(E1058,E$1:E1057,1,FALSE()))),"OLD",IF(AND(E1058&lt;&gt;"",E1058&lt;&gt;"!!!"),"NEW","")))</f>
        <v/>
      </c>
      <c r="G1058" s="12" t="str">
        <f aca="false">IF(OR(E1058="",E1058="!!!"),"",IF(OR(J1058=0,AND(J1058=1,K1058=1),AND(J1058=1,I1058="SBJ"),AND(J1058=1,I1058=0)),"?IN_FOCUS",IF(J1058&lt;=2,"?ACTIVATED",IF(J1058&lt;&gt;"","?FAMILIAR",IF(F1058="NEW",IF(ISNA(VLOOKUP(E1058,#REF!,1,FALSE())),"?TYPE_IDENTIFIABLE","?REFERENTIAL"),"_")))))</f>
        <v/>
      </c>
      <c r="H1058" s="13" t="str">
        <f aca="false">IF(J1058&lt;&gt;1,"",IF(I1058="SBJ","CB","?"))</f>
        <v/>
      </c>
      <c r="I1058" s="14" t="str">
        <f aca="false">IF(OR(E1058="",E1058="!!!",F1058="NEW"),"",INDEX(B$2:B1057,-1+SUMPRODUCT(MAX(ROW(E$2:E1057)*(E1058=E$2:E1057)))))</f>
        <v/>
      </c>
      <c r="J1058" s="15" t="str">
        <f aca="true">IF(OR(E1058="",E1058="!!!",F1058="NEW"),"",COUNTBLANK(OFFSET(A$1,,,SUMPRODUCT(MAX(ROW(E$2:E1058)*(E1058=E$2:E1058)))))-COUNTBLANK(OFFSET(A$1,,,SUMPRODUCT(MAX(ROW(E$1:E1057)*(E1058=E$1:E1057))))))</f>
        <v/>
      </c>
      <c r="K1058" s="15" t="str">
        <f aca="false">IF(OR(E1058="",E1058="!!!",F1058="NEW"),"",INDEX(J$1:J1057,SUMPRODUCT(MAX(ROW(E$1:E1057)*(E1058=E$1:E1057)))))</f>
        <v/>
      </c>
      <c r="L1058" s="16"/>
    </row>
    <row r="1059" customFormat="false" ht="12.75" hidden="false" customHeight="false" outlineLevel="0" collapsed="false">
      <c r="A1059" s="9" t="s">
        <v>461</v>
      </c>
      <c r="E1059" s="10" t="str">
        <f aca="false">IF(D1059="?OLD","!!!","")</f>
        <v/>
      </c>
      <c r="F1059" s="11" t="str">
        <f aca="false">IF(OR(E1059="",E1059="!!!"),"",IF(NOT(ISNA(VLOOKUP(E1059,E$1:E1058,1,FALSE()))),"OLD",IF(AND(E1059&lt;&gt;"",E1059&lt;&gt;"!!!"),"NEW","")))</f>
        <v/>
      </c>
      <c r="G1059" s="12" t="str">
        <f aca="false">IF(OR(E1059="",E1059="!!!"),"",IF(OR(J1059=0,AND(J1059=1,K1059=1),AND(J1059=1,I1059="SBJ"),AND(J1059=1,I1059=0)),"?IN_FOCUS",IF(J1059&lt;=2,"?ACTIVATED",IF(J1059&lt;&gt;"","?FAMILIAR",IF(F1059="NEW",IF(ISNA(VLOOKUP(E1059,#REF!,1,FALSE())),"?TYPE_IDENTIFIABLE","?REFERENTIAL"),"_")))))</f>
        <v/>
      </c>
      <c r="H1059" s="13" t="str">
        <f aca="false">IF(J1059&lt;&gt;1,"",IF(I1059="SBJ","CB","?"))</f>
        <v/>
      </c>
      <c r="I1059" s="14" t="str">
        <f aca="false">IF(OR(E1059="",E1059="!!!",F1059="NEW"),"",INDEX(B$2:B1058,-1+SUMPRODUCT(MAX(ROW(E$2:E1058)*(E1059=E$2:E1058)))))</f>
        <v/>
      </c>
      <c r="J1059" s="15" t="str">
        <f aca="true">IF(OR(E1059="",E1059="!!!",F1059="NEW"),"",COUNTBLANK(OFFSET(A$1,,,SUMPRODUCT(MAX(ROW(E$2:E1059)*(E1059=E$2:E1059)))))-COUNTBLANK(OFFSET(A$1,,,SUMPRODUCT(MAX(ROW(E$1:E1058)*(E1059=E$1:E1058))))))</f>
        <v/>
      </c>
      <c r="K1059" s="15" t="str">
        <f aca="false">IF(OR(E1059="",E1059="!!!",F1059="NEW"),"",INDEX(J$1:J1058,SUMPRODUCT(MAX(ROW(E$1:E1058)*(E1059=E$1:E1058)))))</f>
        <v/>
      </c>
      <c r="L1059" s="16"/>
    </row>
    <row r="1060" customFormat="false" ht="12.75" hidden="false" customHeight="false" outlineLevel="0" collapsed="false">
      <c r="A1060" s="9" t="s">
        <v>462</v>
      </c>
      <c r="B1060" s="0" t="s">
        <v>43</v>
      </c>
      <c r="E1060" s="10" t="str">
        <f aca="false">IF(D1060="?OLD","!!!","")</f>
        <v/>
      </c>
      <c r="F1060" s="11" t="str">
        <f aca="false">IF(OR(E1060="",E1060="!!!"),"",IF(NOT(ISNA(VLOOKUP(E1060,E$1:E1059,1,FALSE()))),"OLD",IF(AND(E1060&lt;&gt;"",E1060&lt;&gt;"!!!"),"NEW","")))</f>
        <v/>
      </c>
      <c r="G1060" s="12" t="str">
        <f aca="false">IF(OR(E1060="",E1060="!!!"),"",IF(OR(J1060=0,AND(J1060=1,K1060=1),AND(J1060=1,I1060="SBJ"),AND(J1060=1,I1060=0)),"?IN_FOCUS",IF(J1060&lt;=2,"?ACTIVATED",IF(J1060&lt;&gt;"","?FAMILIAR",IF(F1060="NEW",IF(ISNA(VLOOKUP(E1060,#REF!,1,FALSE())),"?TYPE_IDENTIFIABLE","?REFERENTIAL"),"_")))))</f>
        <v/>
      </c>
      <c r="H1060" s="13" t="str">
        <f aca="false">IF(J1060&lt;&gt;1,"",IF(I1060="SBJ","CB","?"))</f>
        <v/>
      </c>
      <c r="I1060" s="14" t="str">
        <f aca="false">IF(OR(E1060="",E1060="!!!",F1060="NEW"),"",INDEX(B$2:B1059,-1+SUMPRODUCT(MAX(ROW(E$2:E1059)*(E1060=E$2:E1059)))))</f>
        <v/>
      </c>
      <c r="J1060" s="15" t="str">
        <f aca="true">IF(OR(E1060="",E1060="!!!",F1060="NEW"),"",COUNTBLANK(OFFSET(A$1,,,SUMPRODUCT(MAX(ROW(E$2:E1060)*(E1060=E$2:E1060)))))-COUNTBLANK(OFFSET(A$1,,,SUMPRODUCT(MAX(ROW(E$1:E1059)*(E1060=E$1:E1059))))))</f>
        <v/>
      </c>
      <c r="K1060" s="15" t="str">
        <f aca="false">IF(OR(E1060="",E1060="!!!",F1060="NEW"),"",INDEX(J$1:J1059,SUMPRODUCT(MAX(ROW(E$1:E1059)*(E1060=E$1:E1059)))))</f>
        <v/>
      </c>
      <c r="L1060" s="16"/>
    </row>
    <row r="1061" customFormat="false" ht="12.75" hidden="false" customHeight="false" outlineLevel="0" collapsed="false">
      <c r="A1061" s="9" t="s">
        <v>278</v>
      </c>
      <c r="E1061" s="10" t="str">
        <f aca="false">IF(D1061="?OLD","!!!","")</f>
        <v/>
      </c>
      <c r="F1061" s="11" t="str">
        <f aca="false">IF(OR(E1061="",E1061="!!!"),"",IF(NOT(ISNA(VLOOKUP(E1061,E$1:E1060,1,FALSE()))),"OLD",IF(AND(E1061&lt;&gt;"",E1061&lt;&gt;"!!!"),"NEW","")))</f>
        <v/>
      </c>
      <c r="G1061" s="12" t="str">
        <f aca="false">IF(OR(E1061="",E1061="!!!"),"",IF(OR(J1061=0,AND(J1061=1,K1061=1),AND(J1061=1,I1061="SBJ"),AND(J1061=1,I1061=0)),"?IN_FOCUS",IF(J1061&lt;=2,"?ACTIVATED",IF(J1061&lt;&gt;"","?FAMILIAR",IF(F1061="NEW",IF(ISNA(VLOOKUP(E1061,#REF!,1,FALSE())),"?TYPE_IDENTIFIABLE","?REFERENTIAL"),"_")))))</f>
        <v/>
      </c>
      <c r="H1061" s="13" t="str">
        <f aca="false">IF(J1061&lt;&gt;1,"",IF(I1061="SBJ","CB","?"))</f>
        <v/>
      </c>
      <c r="I1061" s="14" t="str">
        <f aca="false">IF(OR(E1061="",E1061="!!!",F1061="NEW"),"",INDEX(B$2:B1060,-1+SUMPRODUCT(MAX(ROW(E$2:E1060)*(E1061=E$2:E1060)))))</f>
        <v/>
      </c>
      <c r="J1061" s="15" t="str">
        <f aca="true">IF(OR(E1061="",E1061="!!!",F1061="NEW"),"",COUNTBLANK(OFFSET(A$1,,,SUMPRODUCT(MAX(ROW(E$2:E1061)*(E1061=E$2:E1061)))))-COUNTBLANK(OFFSET(A$1,,,SUMPRODUCT(MAX(ROW(E$1:E1060)*(E1061=E$1:E1060))))))</f>
        <v/>
      </c>
      <c r="K1061" s="15" t="str">
        <f aca="false">IF(OR(E1061="",E1061="!!!",F1061="NEW"),"",INDEX(J$1:J1060,SUMPRODUCT(MAX(ROW(E$1:E1060)*(E1061=E$1:E1060)))))</f>
        <v/>
      </c>
      <c r="L1061" s="16"/>
    </row>
    <row r="1062" customFormat="false" ht="12.75" hidden="false" customHeight="false" outlineLevel="0" collapsed="false">
      <c r="E1062" s="10" t="str">
        <f aca="false">IF(D1062="?OLD","!!!","")</f>
        <v/>
      </c>
      <c r="F1062" s="11" t="str">
        <f aca="false">IF(OR(E1062="",E1062="!!!"),"",IF(NOT(ISNA(VLOOKUP(E1062,E$1:E1061,1,FALSE()))),"OLD",IF(AND(E1062&lt;&gt;"",E1062&lt;&gt;"!!!"),"NEW","")))</f>
        <v/>
      </c>
      <c r="G1062" s="12" t="str">
        <f aca="false">IF(OR(E1062="",E1062="!!!"),"",IF(OR(J1062=0,AND(J1062=1,K1062=1),AND(J1062=1,I1062="SBJ"),AND(J1062=1,I1062=0)),"?IN_FOCUS",IF(J1062&lt;=2,"?ACTIVATED",IF(J1062&lt;&gt;"","?FAMILIAR",IF(F1062="NEW",IF(ISNA(VLOOKUP(E1062,#REF!,1,FALSE())),"?TYPE_IDENTIFIABLE","?REFERENTIAL"),"_")))))</f>
        <v/>
      </c>
      <c r="H1062" s="13" t="str">
        <f aca="false">IF(J1062&lt;&gt;1,"",IF(I1062="SBJ","CB","?"))</f>
        <v/>
      </c>
      <c r="I1062" s="14" t="str">
        <f aca="false">IF(OR(E1062="",E1062="!!!",F1062="NEW"),"",INDEX(B$2:B1061,-1+SUMPRODUCT(MAX(ROW(E$2:E1061)*(E1062=E$2:E1061)))))</f>
        <v/>
      </c>
      <c r="J1062" s="15" t="str">
        <f aca="true">IF(OR(E1062="",E1062="!!!",F1062="NEW"),"",COUNTBLANK(OFFSET(A$1,,,SUMPRODUCT(MAX(ROW(E$2:E1062)*(E1062=E$2:E1062)))))-COUNTBLANK(OFFSET(A$1,,,SUMPRODUCT(MAX(ROW(E$1:E1061)*(E1062=E$1:E1061))))))</f>
        <v/>
      </c>
      <c r="K1062" s="15" t="str">
        <f aca="false">IF(OR(E1062="",E1062="!!!",F1062="NEW"),"",INDEX(J$1:J1061,SUMPRODUCT(MAX(ROW(E$1:E1061)*(E1062=E$1:E1061)))))</f>
        <v/>
      </c>
      <c r="L1062" s="16"/>
    </row>
    <row r="1063" customFormat="false" ht="12.75" hidden="false" customHeight="false" outlineLevel="0" collapsed="false">
      <c r="A1063" s="9" t="s">
        <v>463</v>
      </c>
      <c r="E1063" s="10" t="str">
        <f aca="false">IF(D1063="?OLD","!!!","")</f>
        <v/>
      </c>
      <c r="F1063" s="11" t="str">
        <f aca="false">IF(OR(E1063="",E1063="!!!"),"",IF(NOT(ISNA(VLOOKUP(E1063,E$1:E1062,1,FALSE()))),"OLD",IF(AND(E1063&lt;&gt;"",E1063&lt;&gt;"!!!"),"NEW","")))</f>
        <v/>
      </c>
      <c r="G1063" s="12" t="str">
        <f aca="false">IF(OR(E1063="",E1063="!!!"),"",IF(OR(J1063=0,AND(J1063=1,K1063=1),AND(J1063=1,I1063="SBJ"),AND(J1063=1,I1063=0)),"?IN_FOCUS",IF(J1063&lt;=2,"?ACTIVATED",IF(J1063&lt;&gt;"","?FAMILIAR",IF(F1063="NEW",IF(ISNA(VLOOKUP(E1063,#REF!,1,FALSE())),"?TYPE_IDENTIFIABLE","?REFERENTIAL"),"_")))))</f>
        <v/>
      </c>
      <c r="H1063" s="13" t="str">
        <f aca="false">IF(J1063&lt;&gt;1,"",IF(I1063="SBJ","CB","?"))</f>
        <v/>
      </c>
      <c r="I1063" s="14" t="str">
        <f aca="false">IF(OR(E1063="",E1063="!!!",F1063="NEW"),"",INDEX(B$2:B1062,-1+SUMPRODUCT(MAX(ROW(E$2:E1062)*(E1063=E$2:E1062)))))</f>
        <v/>
      </c>
      <c r="J1063" s="15" t="str">
        <f aca="true">IF(OR(E1063="",E1063="!!!",F1063="NEW"),"",COUNTBLANK(OFFSET(A$1,,,SUMPRODUCT(MAX(ROW(E$2:E1063)*(E1063=E$2:E1063)))))-COUNTBLANK(OFFSET(A$1,,,SUMPRODUCT(MAX(ROW(E$1:E1062)*(E1063=E$1:E1062))))))</f>
        <v/>
      </c>
      <c r="K1063" s="15" t="str">
        <f aca="false">IF(OR(E1063="",E1063="!!!",F1063="NEW"),"",INDEX(J$1:J1062,SUMPRODUCT(MAX(ROW(E$1:E1062)*(E1063=E$1:E1062)))))</f>
        <v/>
      </c>
      <c r="L1063" s="16"/>
    </row>
    <row r="1064" customFormat="false" ht="12.75" hidden="false" customHeight="false" outlineLevel="0" collapsed="false">
      <c r="A1064" s="9" t="s">
        <v>141</v>
      </c>
      <c r="B1064" s="0" t="s">
        <v>17</v>
      </c>
      <c r="C1064" s="0" t="s">
        <v>110</v>
      </c>
      <c r="E1064" s="10" t="str">
        <f aca="false">IF(D1064="?OLD","!!!","")</f>
        <v/>
      </c>
      <c r="F1064" s="11" t="str">
        <f aca="false">IF(OR(E1064="",E1064="!!!"),"",IF(NOT(ISNA(VLOOKUP(E1064,E$1:E1063,1,FALSE()))),"OLD",IF(AND(E1064&lt;&gt;"",E1064&lt;&gt;"!!!"),"NEW","")))</f>
        <v/>
      </c>
      <c r="G1064" s="12" t="str">
        <f aca="false">IF(OR(E1064="",E1064="!!!"),"",IF(OR(J1064=0,AND(J1064=1,K1064=1),AND(J1064=1,I1064="SBJ"),AND(J1064=1,I1064=0)),"?IN_FOCUS",IF(J1064&lt;=2,"?ACTIVATED",IF(J1064&lt;&gt;"","?FAMILIAR",IF(F1064="NEW",IF(ISNA(VLOOKUP(E1064,#REF!,1,FALSE())),"?TYPE_IDENTIFIABLE","?REFERENTIAL"),"_")))))</f>
        <v/>
      </c>
      <c r="H1064" s="13" t="str">
        <f aca="false">IF(J1064&lt;&gt;1,"",IF(I1064="SBJ","CB","?"))</f>
        <v/>
      </c>
      <c r="I1064" s="14" t="str">
        <f aca="false">IF(OR(E1064="",E1064="!!!",F1064="NEW"),"",INDEX(B$2:B1063,-1+SUMPRODUCT(MAX(ROW(E$2:E1063)*(E1064=E$2:E1063)))))</f>
        <v/>
      </c>
      <c r="J1064" s="15" t="str">
        <f aca="true">IF(OR(E1064="",E1064="!!!",F1064="NEW"),"",COUNTBLANK(OFFSET(A$1,,,SUMPRODUCT(MAX(ROW(E$2:E1064)*(E1064=E$2:E1064)))))-COUNTBLANK(OFFSET(A$1,,,SUMPRODUCT(MAX(ROW(E$1:E1063)*(E1064=E$1:E1063))))))</f>
        <v/>
      </c>
      <c r="K1064" s="15" t="str">
        <f aca="false">IF(OR(E1064="",E1064="!!!",F1064="NEW"),"",INDEX(J$1:J1063,SUMPRODUCT(MAX(ROW(E$1:E1063)*(E1064=E$1:E1063)))))</f>
        <v/>
      </c>
      <c r="L1064" s="16"/>
    </row>
    <row r="1065" customFormat="false" ht="12.75" hidden="false" customHeight="false" outlineLevel="0" collapsed="false">
      <c r="A1065" s="9" t="s">
        <v>103</v>
      </c>
      <c r="E1065" s="10" t="str">
        <f aca="false">IF(D1065="?OLD","!!!","")</f>
        <v/>
      </c>
      <c r="F1065" s="11" t="str">
        <f aca="false">IF(OR(E1065="",E1065="!!!"),"",IF(NOT(ISNA(VLOOKUP(E1065,E$1:E1064,1,FALSE()))),"OLD",IF(AND(E1065&lt;&gt;"",E1065&lt;&gt;"!!!"),"NEW","")))</f>
        <v/>
      </c>
      <c r="G1065" s="12" t="str">
        <f aca="false">IF(OR(E1065="",E1065="!!!"),"",IF(OR(J1065=0,AND(J1065=1,K1065=1),AND(J1065=1,I1065="SBJ"),AND(J1065=1,I1065=0)),"?IN_FOCUS",IF(J1065&lt;=2,"?ACTIVATED",IF(J1065&lt;&gt;"","?FAMILIAR",IF(F1065="NEW",IF(ISNA(VLOOKUP(E1065,#REF!,1,FALSE())),"?TYPE_IDENTIFIABLE","?REFERENTIAL"),"_")))))</f>
        <v/>
      </c>
      <c r="H1065" s="13" t="str">
        <f aca="false">IF(J1065&lt;&gt;1,"",IF(I1065="SBJ","CB","?"))</f>
        <v/>
      </c>
      <c r="I1065" s="14" t="str">
        <f aca="false">IF(OR(E1065="",E1065="!!!",F1065="NEW"),"",INDEX(B$2:B1064,-1+SUMPRODUCT(MAX(ROW(E$2:E1064)*(E1065=E$2:E1064)))))</f>
        <v/>
      </c>
      <c r="J1065" s="15" t="str">
        <f aca="true">IF(OR(E1065="",E1065="!!!",F1065="NEW"),"",COUNTBLANK(OFFSET(A$1,,,SUMPRODUCT(MAX(ROW(E$2:E1065)*(E1065=E$2:E1065)))))-COUNTBLANK(OFFSET(A$1,,,SUMPRODUCT(MAX(ROW(E$1:E1064)*(E1065=E$1:E1064))))))</f>
        <v/>
      </c>
      <c r="K1065" s="15" t="str">
        <f aca="false">IF(OR(E1065="",E1065="!!!",F1065="NEW"),"",INDEX(J$1:J1064,SUMPRODUCT(MAX(ROW(E$1:E1064)*(E1065=E$1:E1064)))))</f>
        <v/>
      </c>
      <c r="L1065" s="16"/>
    </row>
    <row r="1066" customFormat="false" ht="12.75" hidden="false" customHeight="false" outlineLevel="0" collapsed="false">
      <c r="A1066" s="9" t="s">
        <v>464</v>
      </c>
      <c r="E1066" s="10" t="str">
        <f aca="false">IF(D1066="?OLD","!!!","")</f>
        <v/>
      </c>
      <c r="F1066" s="11" t="str">
        <f aca="false">IF(OR(E1066="",E1066="!!!"),"",IF(NOT(ISNA(VLOOKUP(E1066,E$1:E1065,1,FALSE()))),"OLD",IF(AND(E1066&lt;&gt;"",E1066&lt;&gt;"!!!"),"NEW","")))</f>
        <v/>
      </c>
      <c r="G1066" s="12" t="str">
        <f aca="false">IF(OR(E1066="",E1066="!!!"),"",IF(OR(J1066=0,AND(J1066=1,K1066=1),AND(J1066=1,I1066="SBJ"),AND(J1066=1,I1066=0)),"?IN_FOCUS",IF(J1066&lt;=2,"?ACTIVATED",IF(J1066&lt;&gt;"","?FAMILIAR",IF(F1066="NEW",IF(ISNA(VLOOKUP(E1066,#REF!,1,FALSE())),"?TYPE_IDENTIFIABLE","?REFERENTIAL"),"_")))))</f>
        <v/>
      </c>
      <c r="H1066" s="13" t="str">
        <f aca="false">IF(J1066&lt;&gt;1,"",IF(I1066="SBJ","CB","?"))</f>
        <v/>
      </c>
      <c r="I1066" s="14" t="str">
        <f aca="false">IF(OR(E1066="",E1066="!!!",F1066="NEW"),"",INDEX(B$2:B1065,-1+SUMPRODUCT(MAX(ROW(E$2:E1065)*(E1066=E$2:E1065)))))</f>
        <v/>
      </c>
      <c r="J1066" s="15" t="str">
        <f aca="true">IF(OR(E1066="",E1066="!!!",F1066="NEW"),"",COUNTBLANK(OFFSET(A$1,,,SUMPRODUCT(MAX(ROW(E$2:E1066)*(E1066=E$2:E1066)))))-COUNTBLANK(OFFSET(A$1,,,SUMPRODUCT(MAX(ROW(E$1:E1065)*(E1066=E$1:E1065))))))</f>
        <v/>
      </c>
      <c r="K1066" s="15" t="str">
        <f aca="false">IF(OR(E1066="",E1066="!!!",F1066="NEW"),"",INDEX(J$1:J1065,SUMPRODUCT(MAX(ROW(E$1:E1065)*(E1066=E$1:E1065)))))</f>
        <v/>
      </c>
      <c r="L1066" s="16"/>
    </row>
    <row r="1067" customFormat="false" ht="12.75" hidden="false" customHeight="false" outlineLevel="0" collapsed="false">
      <c r="A1067" s="9" t="s">
        <v>426</v>
      </c>
      <c r="E1067" s="10" t="str">
        <f aca="false">IF(D1067="?OLD","!!!","")</f>
        <v/>
      </c>
      <c r="F1067" s="11" t="str">
        <f aca="false">IF(OR(E1067="",E1067="!!!"),"",IF(NOT(ISNA(VLOOKUP(E1067,E$1:E1066,1,FALSE()))),"OLD",IF(AND(E1067&lt;&gt;"",E1067&lt;&gt;"!!!"),"NEW","")))</f>
        <v/>
      </c>
      <c r="G1067" s="12" t="str">
        <f aca="false">IF(OR(E1067="",E1067="!!!"),"",IF(OR(J1067=0,AND(J1067=1,K1067=1),AND(J1067=1,I1067="SBJ"),AND(J1067=1,I1067=0)),"?IN_FOCUS",IF(J1067&lt;=2,"?ACTIVATED",IF(J1067&lt;&gt;"","?FAMILIAR",IF(F1067="NEW",IF(ISNA(VLOOKUP(E1067,#REF!,1,FALSE())),"?TYPE_IDENTIFIABLE","?REFERENTIAL"),"_")))))</f>
        <v/>
      </c>
      <c r="H1067" s="13" t="str">
        <f aca="false">IF(J1067&lt;&gt;1,"",IF(I1067="SBJ","CB","?"))</f>
        <v/>
      </c>
      <c r="I1067" s="14" t="str">
        <f aca="false">IF(OR(E1067="",E1067="!!!",F1067="NEW"),"",INDEX(B$2:B1066,-1+SUMPRODUCT(MAX(ROW(E$2:E1066)*(E1067=E$2:E1066)))))</f>
        <v/>
      </c>
      <c r="J1067" s="15" t="str">
        <f aca="true">IF(OR(E1067="",E1067="!!!",F1067="NEW"),"",COUNTBLANK(OFFSET(A$1,,,SUMPRODUCT(MAX(ROW(E$2:E1067)*(E1067=E$2:E1067)))))-COUNTBLANK(OFFSET(A$1,,,SUMPRODUCT(MAX(ROW(E$1:E1066)*(E1067=E$1:E1066))))))</f>
        <v/>
      </c>
      <c r="K1067" s="15" t="str">
        <f aca="false">IF(OR(E1067="",E1067="!!!",F1067="NEW"),"",INDEX(J$1:J1066,SUMPRODUCT(MAX(ROW(E$1:E1066)*(E1067=E$1:E1066)))))</f>
        <v/>
      </c>
      <c r="L1067" s="16"/>
    </row>
    <row r="1068" customFormat="false" ht="12.75" hidden="false" customHeight="false" outlineLevel="0" collapsed="false">
      <c r="A1068" s="9" t="s">
        <v>39</v>
      </c>
      <c r="E1068" s="10" t="str">
        <f aca="false">IF(D1068="?OLD","!!!","")</f>
        <v/>
      </c>
      <c r="F1068" s="11" t="str">
        <f aca="false">IF(OR(E1068="",E1068="!!!"),"",IF(NOT(ISNA(VLOOKUP(E1068,E$1:E1067,1,FALSE()))),"OLD",IF(AND(E1068&lt;&gt;"",E1068&lt;&gt;"!!!"),"NEW","")))</f>
        <v/>
      </c>
      <c r="G1068" s="12" t="str">
        <f aca="false">IF(OR(E1068="",E1068="!!!"),"",IF(OR(J1068=0,AND(J1068=1,K1068=1),AND(J1068=1,I1068="SBJ"),AND(J1068=1,I1068=0)),"?IN_FOCUS",IF(J1068&lt;=2,"?ACTIVATED",IF(J1068&lt;&gt;"","?FAMILIAR",IF(F1068="NEW",IF(ISNA(VLOOKUP(E1068,#REF!,1,FALSE())),"?TYPE_IDENTIFIABLE","?REFERENTIAL"),"_")))))</f>
        <v/>
      </c>
      <c r="H1068" s="13" t="str">
        <f aca="false">IF(J1068&lt;&gt;1,"",IF(I1068="SBJ","CB","?"))</f>
        <v/>
      </c>
      <c r="I1068" s="14" t="str">
        <f aca="false">IF(OR(E1068="",E1068="!!!",F1068="NEW"),"",INDEX(B$2:B1067,-1+SUMPRODUCT(MAX(ROW(E$2:E1067)*(E1068=E$2:E1067)))))</f>
        <v/>
      </c>
      <c r="J1068" s="15" t="str">
        <f aca="true">IF(OR(E1068="",E1068="!!!",F1068="NEW"),"",COUNTBLANK(OFFSET(A$1,,,SUMPRODUCT(MAX(ROW(E$2:E1068)*(E1068=E$2:E1068)))))-COUNTBLANK(OFFSET(A$1,,,SUMPRODUCT(MAX(ROW(E$1:E1067)*(E1068=E$1:E1067))))))</f>
        <v/>
      </c>
      <c r="K1068" s="15" t="str">
        <f aca="false">IF(OR(E1068="",E1068="!!!",F1068="NEW"),"",INDEX(J$1:J1067,SUMPRODUCT(MAX(ROW(E$1:E1067)*(E1068=E$1:E1067)))))</f>
        <v/>
      </c>
      <c r="L1068" s="16"/>
    </row>
    <row r="1069" customFormat="false" ht="12.75" hidden="false" customHeight="false" outlineLevel="0" collapsed="false">
      <c r="A1069" s="9" t="s">
        <v>140</v>
      </c>
      <c r="E1069" s="10" t="str">
        <f aca="false">IF(D1069="?OLD","!!!","")</f>
        <v/>
      </c>
      <c r="F1069" s="11" t="str">
        <f aca="false">IF(OR(E1069="",E1069="!!!"),"",IF(NOT(ISNA(VLOOKUP(E1069,E$1:E1068,1,FALSE()))),"OLD",IF(AND(E1069&lt;&gt;"",E1069&lt;&gt;"!!!"),"NEW","")))</f>
        <v/>
      </c>
      <c r="G1069" s="12" t="str">
        <f aca="false">IF(OR(E1069="",E1069="!!!"),"",IF(OR(J1069=0,AND(J1069=1,K1069=1),AND(J1069=1,I1069="SBJ"),AND(J1069=1,I1069=0)),"?IN_FOCUS",IF(J1069&lt;=2,"?ACTIVATED",IF(J1069&lt;&gt;"","?FAMILIAR",IF(F1069="NEW",IF(ISNA(VLOOKUP(E1069,#REF!,1,FALSE())),"?TYPE_IDENTIFIABLE","?REFERENTIAL"),"_")))))</f>
        <v/>
      </c>
      <c r="H1069" s="13" t="str">
        <f aca="false">IF(J1069&lt;&gt;1,"",IF(I1069="SBJ","CB","?"))</f>
        <v/>
      </c>
      <c r="I1069" s="14" t="str">
        <f aca="false">IF(OR(E1069="",E1069="!!!",F1069="NEW"),"",INDEX(B$2:B1068,-1+SUMPRODUCT(MAX(ROW(E$2:E1068)*(E1069=E$2:E1068)))))</f>
        <v/>
      </c>
      <c r="J1069" s="15" t="str">
        <f aca="true">IF(OR(E1069="",E1069="!!!",F1069="NEW"),"",COUNTBLANK(OFFSET(A$1,,,SUMPRODUCT(MAX(ROW(E$2:E1069)*(E1069=E$2:E1069)))))-COUNTBLANK(OFFSET(A$1,,,SUMPRODUCT(MAX(ROW(E$1:E1068)*(E1069=E$1:E1068))))))</f>
        <v/>
      </c>
      <c r="K1069" s="15" t="str">
        <f aca="false">IF(OR(E1069="",E1069="!!!",F1069="NEW"),"",INDEX(J$1:J1068,SUMPRODUCT(MAX(ROW(E$1:E1068)*(E1069=E$1:E1068)))))</f>
        <v/>
      </c>
      <c r="L1069" s="16"/>
    </row>
    <row r="1070" customFormat="false" ht="12.75" hidden="false" customHeight="false" outlineLevel="0" collapsed="false">
      <c r="A1070" s="9" t="s">
        <v>22</v>
      </c>
      <c r="E1070" s="10" t="str">
        <f aca="false">IF(D1070="?OLD","!!!","")</f>
        <v/>
      </c>
      <c r="F1070" s="11" t="str">
        <f aca="false">IF(OR(E1070="",E1070="!!!"),"",IF(NOT(ISNA(VLOOKUP(E1070,E$1:E1069,1,FALSE()))),"OLD",IF(AND(E1070&lt;&gt;"",E1070&lt;&gt;"!!!"),"NEW","")))</f>
        <v/>
      </c>
      <c r="G1070" s="12" t="str">
        <f aca="false">IF(OR(E1070="",E1070="!!!"),"",IF(OR(J1070=0,AND(J1070=1,K1070=1),AND(J1070=1,I1070="SBJ"),AND(J1070=1,I1070=0)),"?IN_FOCUS",IF(J1070&lt;=2,"?ACTIVATED",IF(J1070&lt;&gt;"","?FAMILIAR",IF(F1070="NEW",IF(ISNA(VLOOKUP(E1070,#REF!,1,FALSE())),"?TYPE_IDENTIFIABLE","?REFERENTIAL"),"_")))))</f>
        <v/>
      </c>
      <c r="H1070" s="13" t="str">
        <f aca="false">IF(J1070&lt;&gt;1,"",IF(I1070="SBJ","CB","?"))</f>
        <v/>
      </c>
      <c r="I1070" s="14" t="str">
        <f aca="false">IF(OR(E1070="",E1070="!!!",F1070="NEW"),"",INDEX(B$2:B1069,-1+SUMPRODUCT(MAX(ROW(E$2:E1069)*(E1070=E$2:E1069)))))</f>
        <v/>
      </c>
      <c r="J1070" s="15" t="str">
        <f aca="true">IF(OR(E1070="",E1070="!!!",F1070="NEW"),"",COUNTBLANK(OFFSET(A$1,,,SUMPRODUCT(MAX(ROW(E$2:E1070)*(E1070=E$2:E1070)))))-COUNTBLANK(OFFSET(A$1,,,SUMPRODUCT(MAX(ROW(E$1:E1069)*(E1070=E$1:E1069))))))</f>
        <v/>
      </c>
      <c r="K1070" s="15" t="str">
        <f aca="false">IF(OR(E1070="",E1070="!!!",F1070="NEW"),"",INDEX(J$1:J1069,SUMPRODUCT(MAX(ROW(E$1:E1069)*(E1070=E$1:E1069)))))</f>
        <v/>
      </c>
      <c r="L1070" s="16"/>
    </row>
    <row r="1071" customFormat="false" ht="12.75" hidden="false" customHeight="false" outlineLevel="0" collapsed="false">
      <c r="A1071" s="9" t="s">
        <v>258</v>
      </c>
      <c r="E1071" s="10" t="str">
        <f aca="false">IF(D1071="?OLD","!!!","")</f>
        <v/>
      </c>
      <c r="F1071" s="11" t="str">
        <f aca="false">IF(OR(E1071="",E1071="!!!"),"",IF(NOT(ISNA(VLOOKUP(E1071,E$1:E1070,1,FALSE()))),"OLD",IF(AND(E1071&lt;&gt;"",E1071&lt;&gt;"!!!"),"NEW","")))</f>
        <v/>
      </c>
      <c r="G1071" s="12" t="str">
        <f aca="false">IF(OR(E1071="",E1071="!!!"),"",IF(OR(J1071=0,AND(J1071=1,K1071=1),AND(J1071=1,I1071="SBJ"),AND(J1071=1,I1071=0)),"?IN_FOCUS",IF(J1071&lt;=2,"?ACTIVATED",IF(J1071&lt;&gt;"","?FAMILIAR",IF(F1071="NEW",IF(ISNA(VLOOKUP(E1071,#REF!,1,FALSE())),"?TYPE_IDENTIFIABLE","?REFERENTIAL"),"_")))))</f>
        <v/>
      </c>
      <c r="H1071" s="13" t="str">
        <f aca="false">IF(J1071&lt;&gt;1,"",IF(I1071="SBJ","CB","?"))</f>
        <v/>
      </c>
      <c r="I1071" s="14" t="str">
        <f aca="false">IF(OR(E1071="",E1071="!!!",F1071="NEW"),"",INDEX(B$2:B1070,-1+SUMPRODUCT(MAX(ROW(E$2:E1070)*(E1071=E$2:E1070)))))</f>
        <v/>
      </c>
      <c r="J1071" s="15" t="str">
        <f aca="true">IF(OR(E1071="",E1071="!!!",F1071="NEW"),"",COUNTBLANK(OFFSET(A$1,,,SUMPRODUCT(MAX(ROW(E$2:E1071)*(E1071=E$2:E1071)))))-COUNTBLANK(OFFSET(A$1,,,SUMPRODUCT(MAX(ROW(E$1:E1070)*(E1071=E$1:E1070))))))</f>
        <v/>
      </c>
      <c r="K1071" s="15" t="str">
        <f aca="false">IF(OR(E1071="",E1071="!!!",F1071="NEW"),"",INDEX(J$1:J1070,SUMPRODUCT(MAX(ROW(E$1:E1070)*(E1071=E$1:E1070)))))</f>
        <v/>
      </c>
      <c r="L1071" s="16"/>
    </row>
    <row r="1072" customFormat="false" ht="12.75" hidden="false" customHeight="false" outlineLevel="0" collapsed="false">
      <c r="A1072" s="9" t="s">
        <v>214</v>
      </c>
      <c r="B1072" s="0" t="s">
        <v>79</v>
      </c>
      <c r="E1072" s="10" t="str">
        <f aca="false">IF(D1072="?OLD","!!!","")</f>
        <v/>
      </c>
      <c r="F1072" s="11" t="str">
        <f aca="false">IF(OR(E1072="",E1072="!!!"),"",IF(NOT(ISNA(VLOOKUP(E1072,E$1:E1071,1,FALSE()))),"OLD",IF(AND(E1072&lt;&gt;"",E1072&lt;&gt;"!!!"),"NEW","")))</f>
        <v/>
      </c>
      <c r="G1072" s="12" t="str">
        <f aca="false">IF(OR(E1072="",E1072="!!!"),"",IF(OR(J1072=0,AND(J1072=1,K1072=1),AND(J1072=1,I1072="SBJ"),AND(J1072=1,I1072=0)),"?IN_FOCUS",IF(J1072&lt;=2,"?ACTIVATED",IF(J1072&lt;&gt;"","?FAMILIAR",IF(F1072="NEW",IF(ISNA(VLOOKUP(E1072,#REF!,1,FALSE())),"?TYPE_IDENTIFIABLE","?REFERENTIAL"),"_")))))</f>
        <v/>
      </c>
      <c r="H1072" s="13" t="str">
        <f aca="false">IF(J1072&lt;&gt;1,"",IF(I1072="SBJ","CB","?"))</f>
        <v/>
      </c>
      <c r="I1072" s="14" t="str">
        <f aca="false">IF(OR(E1072="",E1072="!!!",F1072="NEW"),"",INDEX(B$2:B1071,-1+SUMPRODUCT(MAX(ROW(E$2:E1071)*(E1072=E$2:E1071)))))</f>
        <v/>
      </c>
      <c r="J1072" s="15" t="str">
        <f aca="true">IF(OR(E1072="",E1072="!!!",F1072="NEW"),"",COUNTBLANK(OFFSET(A$1,,,SUMPRODUCT(MAX(ROW(E$2:E1072)*(E1072=E$2:E1072)))))-COUNTBLANK(OFFSET(A$1,,,SUMPRODUCT(MAX(ROW(E$1:E1071)*(E1072=E$1:E1071))))))</f>
        <v/>
      </c>
      <c r="K1072" s="15" t="str">
        <f aca="false">IF(OR(E1072="",E1072="!!!",F1072="NEW"),"",INDEX(J$1:J1071,SUMPRODUCT(MAX(ROW(E$1:E1071)*(E1072=E$1:E1071)))))</f>
        <v/>
      </c>
      <c r="L1072" s="16"/>
    </row>
    <row r="1073" customFormat="false" ht="12.75" hidden="false" customHeight="false" outlineLevel="0" collapsed="false">
      <c r="A1073" s="9" t="s">
        <v>258</v>
      </c>
      <c r="E1073" s="10" t="str">
        <f aca="false">IF(D1073="?OLD","!!!","")</f>
        <v/>
      </c>
      <c r="F1073" s="11" t="str">
        <f aca="false">IF(OR(E1073="",E1073="!!!"),"",IF(NOT(ISNA(VLOOKUP(E1073,E$1:E1072,1,FALSE()))),"OLD",IF(AND(E1073&lt;&gt;"",E1073&lt;&gt;"!!!"),"NEW","")))</f>
        <v/>
      </c>
      <c r="G1073" s="12" t="str">
        <f aca="false">IF(OR(E1073="",E1073="!!!"),"",IF(OR(J1073=0,AND(J1073=1,K1073=1),AND(J1073=1,I1073="SBJ"),AND(J1073=1,I1073=0)),"?IN_FOCUS",IF(J1073&lt;=2,"?ACTIVATED",IF(J1073&lt;&gt;"","?FAMILIAR",IF(F1073="NEW",IF(ISNA(VLOOKUP(E1073,#REF!,1,FALSE())),"?TYPE_IDENTIFIABLE","?REFERENTIAL"),"_")))))</f>
        <v/>
      </c>
      <c r="H1073" s="13" t="str">
        <f aca="false">IF(J1073&lt;&gt;1,"",IF(I1073="SBJ","CB","?"))</f>
        <v/>
      </c>
      <c r="I1073" s="14" t="str">
        <f aca="false">IF(OR(E1073="",E1073="!!!",F1073="NEW"),"",INDEX(B$2:B1072,-1+SUMPRODUCT(MAX(ROW(E$2:E1072)*(E1073=E$2:E1072)))))</f>
        <v/>
      </c>
      <c r="J1073" s="15" t="str">
        <f aca="true">IF(OR(E1073="",E1073="!!!",F1073="NEW"),"",COUNTBLANK(OFFSET(A$1,,,SUMPRODUCT(MAX(ROW(E$2:E1073)*(E1073=E$2:E1073)))))-COUNTBLANK(OFFSET(A$1,,,SUMPRODUCT(MAX(ROW(E$1:E1072)*(E1073=E$1:E1072))))))</f>
        <v/>
      </c>
      <c r="K1073" s="15" t="str">
        <f aca="false">IF(OR(E1073="",E1073="!!!",F1073="NEW"),"",INDEX(J$1:J1072,SUMPRODUCT(MAX(ROW(E$1:E1072)*(E1073=E$1:E1072)))))</f>
        <v/>
      </c>
      <c r="L1073" s="16"/>
    </row>
    <row r="1074" customFormat="false" ht="12.75" hidden="false" customHeight="false" outlineLevel="0" collapsed="false">
      <c r="A1074" s="9" t="s">
        <v>465</v>
      </c>
      <c r="E1074" s="10" t="str">
        <f aca="false">IF(D1074="?OLD","!!!","")</f>
        <v/>
      </c>
      <c r="F1074" s="11" t="str">
        <f aca="false">IF(OR(E1074="",E1074="!!!"),"",IF(NOT(ISNA(VLOOKUP(E1074,E$1:E1073,1,FALSE()))),"OLD",IF(AND(E1074&lt;&gt;"",E1074&lt;&gt;"!!!"),"NEW","")))</f>
        <v/>
      </c>
      <c r="G1074" s="12" t="str">
        <f aca="false">IF(OR(E1074="",E1074="!!!"),"",IF(OR(J1074=0,AND(J1074=1,K1074=1),AND(J1074=1,I1074="SBJ"),AND(J1074=1,I1074=0)),"?IN_FOCUS",IF(J1074&lt;=2,"?ACTIVATED",IF(J1074&lt;&gt;"","?FAMILIAR",IF(F1074="NEW",IF(ISNA(VLOOKUP(E1074,#REF!,1,FALSE())),"?TYPE_IDENTIFIABLE","?REFERENTIAL"),"_")))))</f>
        <v/>
      </c>
      <c r="H1074" s="13" t="str">
        <f aca="false">IF(J1074&lt;&gt;1,"",IF(I1074="SBJ","CB","?"))</f>
        <v/>
      </c>
      <c r="I1074" s="14" t="str">
        <f aca="false">IF(OR(E1074="",E1074="!!!",F1074="NEW"),"",INDEX(B$2:B1073,-1+SUMPRODUCT(MAX(ROW(E$2:E1073)*(E1074=E$2:E1073)))))</f>
        <v/>
      </c>
      <c r="J1074" s="15" t="str">
        <f aca="true">IF(OR(E1074="",E1074="!!!",F1074="NEW"),"",COUNTBLANK(OFFSET(A$1,,,SUMPRODUCT(MAX(ROW(E$2:E1074)*(E1074=E$2:E1074)))))-COUNTBLANK(OFFSET(A$1,,,SUMPRODUCT(MAX(ROW(E$1:E1073)*(E1074=E$1:E1073))))))</f>
        <v/>
      </c>
      <c r="K1074" s="15" t="str">
        <f aca="false">IF(OR(E1074="",E1074="!!!",F1074="NEW"),"",INDEX(J$1:J1073,SUMPRODUCT(MAX(ROW(E$1:E1073)*(E1074=E$1:E1073)))))</f>
        <v/>
      </c>
      <c r="L1074" s="16"/>
    </row>
    <row r="1075" customFormat="false" ht="12.75" hidden="false" customHeight="false" outlineLevel="0" collapsed="false">
      <c r="A1075" s="9" t="s">
        <v>150</v>
      </c>
      <c r="B1075" s="0" t="s">
        <v>192</v>
      </c>
      <c r="C1075" s="0" t="s">
        <v>58</v>
      </c>
      <c r="D1075" s="0" t="s">
        <v>27</v>
      </c>
      <c r="E1075" s="10" t="s">
        <v>452</v>
      </c>
      <c r="F1075" s="11" t="str">
        <f aca="false">IF(OR(E1075="",E1075="!!!"),"",IF(NOT(ISNA(VLOOKUP(E1075,E$1:E1074,1,FALSE()))),"OLD",IF(AND(E1075&lt;&gt;"",E1075&lt;&gt;"!!!"),"NEW","")))</f>
        <v>NEW</v>
      </c>
      <c r="G1075" s="12" t="s">
        <v>28</v>
      </c>
      <c r="H1075" s="13" t="str">
        <f aca="false">IF(J1075&lt;&gt;1,"",IF(I1075="SBJ","CB","?"))</f>
        <v/>
      </c>
      <c r="I1075" s="14" t="str">
        <f aca="false">IF(OR(E1075="",E1075="!!!",F1075="NEW"),"",INDEX(B$2:B1074,-1+SUMPRODUCT(MAX(ROW(E$2:E1074)*(E1075=E$2:E1074)))))</f>
        <v/>
      </c>
      <c r="J1075" s="15" t="str">
        <f aca="true">IF(OR(E1075="",E1075="!!!",F1075="NEW"),"",COUNTBLANK(OFFSET(A$1,,,SUMPRODUCT(MAX(ROW(E$2:E1075)*(E1075=E$2:E1075)))))-COUNTBLANK(OFFSET(A$1,,,SUMPRODUCT(MAX(ROW(E$1:E1074)*(E1075=E$1:E1074))))))</f>
        <v/>
      </c>
      <c r="K1075" s="15" t="str">
        <f aca="false">IF(OR(E1075="",E1075="!!!",F1075="NEW"),"",INDEX(J$1:J1074,SUMPRODUCT(MAX(ROW(E$1:E1074)*(E1075=E$1:E1074)))))</f>
        <v/>
      </c>
      <c r="L1075" s="16"/>
    </row>
    <row r="1076" customFormat="false" ht="12.75" hidden="false" customHeight="false" outlineLevel="0" collapsed="false">
      <c r="A1076" s="9" t="s">
        <v>22</v>
      </c>
      <c r="E1076" s="10" t="str">
        <f aca="false">IF(D1076="?OLD","!!!","")</f>
        <v/>
      </c>
      <c r="F1076" s="11" t="str">
        <f aca="false">IF(OR(E1076="",E1076="!!!"),"",IF(NOT(ISNA(VLOOKUP(E1076,E$1:E1075,1,FALSE()))),"OLD",IF(AND(E1076&lt;&gt;"",E1076&lt;&gt;"!!!"),"NEW","")))</f>
        <v/>
      </c>
      <c r="G1076" s="12" t="str">
        <f aca="false">IF(OR(E1076="",E1076="!!!"),"",IF(OR(J1076=0,AND(J1076=1,K1076=1),AND(J1076=1,I1076="SBJ"),AND(J1076=1,I1076=0)),"?IN_FOCUS",IF(J1076&lt;=2,"?ACTIVATED",IF(J1076&lt;&gt;"","?FAMILIAR",IF(F1076="NEW",IF(ISNA(VLOOKUP(E1076,#REF!,1,FALSE())),"?TYPE_IDENTIFIABLE","?REFERENTIAL"),"_")))))</f>
        <v/>
      </c>
      <c r="H1076" s="13" t="str">
        <f aca="false">IF(J1076&lt;&gt;1,"",IF(I1076="SBJ","CB","?"))</f>
        <v/>
      </c>
      <c r="I1076" s="14" t="str">
        <f aca="false">IF(OR(E1076="",E1076="!!!",F1076="NEW"),"",INDEX(B$2:B1075,-1+SUMPRODUCT(MAX(ROW(E$2:E1075)*(E1076=E$2:E1075)))))</f>
        <v/>
      </c>
      <c r="J1076" s="15" t="str">
        <f aca="true">IF(OR(E1076="",E1076="!!!",F1076="NEW"),"",COUNTBLANK(OFFSET(A$1,,,SUMPRODUCT(MAX(ROW(E$2:E1076)*(E1076=E$2:E1076)))))-COUNTBLANK(OFFSET(A$1,,,SUMPRODUCT(MAX(ROW(E$1:E1075)*(E1076=E$1:E1075))))))</f>
        <v/>
      </c>
      <c r="K1076" s="15" t="str">
        <f aca="false">IF(OR(E1076="",E1076="!!!",F1076="NEW"),"",INDEX(J$1:J1075,SUMPRODUCT(MAX(ROW(E$1:E1075)*(E1076=E$1:E1075)))))</f>
        <v/>
      </c>
      <c r="L1076" s="16"/>
    </row>
    <row r="1077" customFormat="false" ht="12.75" hidden="false" customHeight="false" outlineLevel="0" collapsed="false">
      <c r="A1077" s="9" t="s">
        <v>217</v>
      </c>
      <c r="E1077" s="10" t="str">
        <f aca="false">IF(D1077="?OLD","!!!","")</f>
        <v/>
      </c>
      <c r="F1077" s="11" t="str">
        <f aca="false">IF(OR(E1077="",E1077="!!!"),"",IF(NOT(ISNA(VLOOKUP(E1077,E$1:E1076,1,FALSE()))),"OLD",IF(AND(E1077&lt;&gt;"",E1077&lt;&gt;"!!!"),"NEW","")))</f>
        <v/>
      </c>
      <c r="G1077" s="12" t="str">
        <f aca="false">IF(OR(E1077="",E1077="!!!"),"",IF(OR(J1077=0,AND(J1077=1,K1077=1),AND(J1077=1,I1077="SBJ"),AND(J1077=1,I1077=0)),"?IN_FOCUS",IF(J1077&lt;=2,"?ACTIVATED",IF(J1077&lt;&gt;"","?FAMILIAR",IF(F1077="NEW",IF(ISNA(VLOOKUP(E1077,#REF!,1,FALSE())),"?TYPE_IDENTIFIABLE","?REFERENTIAL"),"_")))))</f>
        <v/>
      </c>
      <c r="H1077" s="13" t="str">
        <f aca="false">IF(J1077&lt;&gt;1,"",IF(I1077="SBJ","CB","?"))</f>
        <v/>
      </c>
      <c r="I1077" s="14" t="str">
        <f aca="false">IF(OR(E1077="",E1077="!!!",F1077="NEW"),"",INDEX(B$2:B1076,-1+SUMPRODUCT(MAX(ROW(E$2:E1076)*(E1077=E$2:E1076)))))</f>
        <v/>
      </c>
      <c r="J1077" s="15" t="str">
        <f aca="true">IF(OR(E1077="",E1077="!!!",F1077="NEW"),"",COUNTBLANK(OFFSET(A$1,,,SUMPRODUCT(MAX(ROW(E$2:E1077)*(E1077=E$2:E1077)))))-COUNTBLANK(OFFSET(A$1,,,SUMPRODUCT(MAX(ROW(E$1:E1076)*(E1077=E$1:E1076))))))</f>
        <v/>
      </c>
      <c r="K1077" s="15" t="str">
        <f aca="false">IF(OR(E1077="",E1077="!!!",F1077="NEW"),"",INDEX(J$1:J1076,SUMPRODUCT(MAX(ROW(E$1:E1076)*(E1077=E$1:E1076)))))</f>
        <v/>
      </c>
      <c r="L1077" s="16"/>
    </row>
    <row r="1078" customFormat="false" ht="12.75" hidden="false" customHeight="false" outlineLevel="0" collapsed="false">
      <c r="A1078" s="9" t="s">
        <v>466</v>
      </c>
      <c r="E1078" s="10" t="str">
        <f aca="false">IF(D1078="?OLD","!!!","")</f>
        <v/>
      </c>
      <c r="F1078" s="11" t="str">
        <f aca="false">IF(OR(E1078="",E1078="!!!"),"",IF(NOT(ISNA(VLOOKUP(E1078,E$1:E1077,1,FALSE()))),"OLD",IF(AND(E1078&lt;&gt;"",E1078&lt;&gt;"!!!"),"NEW","")))</f>
        <v/>
      </c>
      <c r="G1078" s="12" t="str">
        <f aca="false">IF(OR(E1078="",E1078="!!!"),"",IF(OR(J1078=0,AND(J1078=1,K1078=1),AND(J1078=1,I1078="SBJ"),AND(J1078=1,I1078=0)),"?IN_FOCUS",IF(J1078&lt;=2,"?ACTIVATED",IF(J1078&lt;&gt;"","?FAMILIAR",IF(F1078="NEW",IF(ISNA(VLOOKUP(E1078,#REF!,1,FALSE())),"?TYPE_IDENTIFIABLE","?REFERENTIAL"),"_")))))</f>
        <v/>
      </c>
      <c r="H1078" s="13" t="str">
        <f aca="false">IF(J1078&lt;&gt;1,"",IF(I1078="SBJ","CB","?"))</f>
        <v/>
      </c>
      <c r="I1078" s="14" t="str">
        <f aca="false">IF(OR(E1078="",E1078="!!!",F1078="NEW"),"",INDEX(B$2:B1077,-1+SUMPRODUCT(MAX(ROW(E$2:E1077)*(E1078=E$2:E1077)))))</f>
        <v/>
      </c>
      <c r="J1078" s="15" t="str">
        <f aca="true">IF(OR(E1078="",E1078="!!!",F1078="NEW"),"",COUNTBLANK(OFFSET(A$1,,,SUMPRODUCT(MAX(ROW(E$2:E1078)*(E1078=E$2:E1078)))))-COUNTBLANK(OFFSET(A$1,,,SUMPRODUCT(MAX(ROW(E$1:E1077)*(E1078=E$1:E1077))))))</f>
        <v/>
      </c>
      <c r="K1078" s="15" t="str">
        <f aca="false">IF(OR(E1078="",E1078="!!!",F1078="NEW"),"",INDEX(J$1:J1077,SUMPRODUCT(MAX(ROW(E$1:E1077)*(E1078=E$1:E1077)))))</f>
        <v/>
      </c>
      <c r="L1078" s="16"/>
    </row>
    <row r="1079" customFormat="false" ht="12.75" hidden="false" customHeight="false" outlineLevel="0" collapsed="false">
      <c r="A1079" s="9" t="s">
        <v>22</v>
      </c>
      <c r="E1079" s="10" t="str">
        <f aca="false">IF(D1079="?OLD","!!!","")</f>
        <v/>
      </c>
      <c r="F1079" s="11" t="str">
        <f aca="false">IF(OR(E1079="",E1079="!!!"),"",IF(NOT(ISNA(VLOOKUP(E1079,E$1:E1078,1,FALSE()))),"OLD",IF(AND(E1079&lt;&gt;"",E1079&lt;&gt;"!!!"),"NEW","")))</f>
        <v/>
      </c>
      <c r="G1079" s="12" t="str">
        <f aca="false">IF(OR(E1079="",E1079="!!!"),"",IF(OR(J1079=0,AND(J1079=1,K1079=1),AND(J1079=1,I1079="SBJ"),AND(J1079=1,I1079=0)),"?IN_FOCUS",IF(J1079&lt;=2,"?ACTIVATED",IF(J1079&lt;&gt;"","?FAMILIAR",IF(F1079="NEW",IF(ISNA(VLOOKUP(E1079,#REF!,1,FALSE())),"?TYPE_IDENTIFIABLE","?REFERENTIAL"),"_")))))</f>
        <v/>
      </c>
      <c r="H1079" s="13" t="str">
        <f aca="false">IF(J1079&lt;&gt;1,"",IF(I1079="SBJ","CB","?"))</f>
        <v/>
      </c>
      <c r="I1079" s="14" t="str">
        <f aca="false">IF(OR(E1079="",E1079="!!!",F1079="NEW"),"",INDEX(B$2:B1078,-1+SUMPRODUCT(MAX(ROW(E$2:E1078)*(E1079=E$2:E1078)))))</f>
        <v/>
      </c>
      <c r="J1079" s="15" t="str">
        <f aca="true">IF(OR(E1079="",E1079="!!!",F1079="NEW"),"",COUNTBLANK(OFFSET(A$1,,,SUMPRODUCT(MAX(ROW(E$2:E1079)*(E1079=E$2:E1079)))))-COUNTBLANK(OFFSET(A$1,,,SUMPRODUCT(MAX(ROW(E$1:E1078)*(E1079=E$1:E1078))))))</f>
        <v/>
      </c>
      <c r="K1079" s="15" t="str">
        <f aca="false">IF(OR(E1079="",E1079="!!!",F1079="NEW"),"",INDEX(J$1:J1078,SUMPRODUCT(MAX(ROW(E$1:E1078)*(E1079=E$1:E1078)))))</f>
        <v/>
      </c>
      <c r="L1079" s="16"/>
    </row>
    <row r="1080" customFormat="false" ht="12.75" hidden="false" customHeight="false" outlineLevel="0" collapsed="false">
      <c r="A1080" s="9" t="s">
        <v>39</v>
      </c>
      <c r="E1080" s="10" t="str">
        <f aca="false">IF(D1080="?OLD","!!!","")</f>
        <v/>
      </c>
      <c r="F1080" s="11" t="str">
        <f aca="false">IF(OR(E1080="",E1080="!!!"),"",IF(NOT(ISNA(VLOOKUP(E1080,E$1:E1079,1,FALSE()))),"OLD",IF(AND(E1080&lt;&gt;"",E1080&lt;&gt;"!!!"),"NEW","")))</f>
        <v/>
      </c>
      <c r="G1080" s="12" t="str">
        <f aca="false">IF(OR(E1080="",E1080="!!!"),"",IF(OR(J1080=0,AND(J1080=1,K1080=1),AND(J1080=1,I1080="SBJ"),AND(J1080=1,I1080=0)),"?IN_FOCUS",IF(J1080&lt;=2,"?ACTIVATED",IF(J1080&lt;&gt;"","?FAMILIAR",IF(F1080="NEW",IF(ISNA(VLOOKUP(E1080,#REF!,1,FALSE())),"?TYPE_IDENTIFIABLE","?REFERENTIAL"),"_")))))</f>
        <v/>
      </c>
      <c r="H1080" s="13" t="str">
        <f aca="false">IF(J1080&lt;&gt;1,"",IF(I1080="SBJ","CB","?"))</f>
        <v/>
      </c>
      <c r="I1080" s="14" t="str">
        <f aca="false">IF(OR(E1080="",E1080="!!!",F1080="NEW"),"",INDEX(B$2:B1079,-1+SUMPRODUCT(MAX(ROW(E$2:E1079)*(E1080=E$2:E1079)))))</f>
        <v/>
      </c>
      <c r="J1080" s="15" t="str">
        <f aca="true">IF(OR(E1080="",E1080="!!!",F1080="NEW"),"",COUNTBLANK(OFFSET(A$1,,,SUMPRODUCT(MAX(ROW(E$2:E1080)*(E1080=E$2:E1080)))))-COUNTBLANK(OFFSET(A$1,,,SUMPRODUCT(MAX(ROW(E$1:E1079)*(E1080=E$1:E1079))))))</f>
        <v/>
      </c>
      <c r="K1080" s="15" t="str">
        <f aca="false">IF(OR(E1080="",E1080="!!!",F1080="NEW"),"",INDEX(J$1:J1079,SUMPRODUCT(MAX(ROW(E$1:E1079)*(E1080=E$1:E1079)))))</f>
        <v/>
      </c>
      <c r="L1080" s="16"/>
    </row>
    <row r="1081" customFormat="false" ht="12.75" hidden="false" customHeight="false" outlineLevel="0" collapsed="false">
      <c r="A1081" s="9" t="s">
        <v>138</v>
      </c>
      <c r="E1081" s="10" t="str">
        <f aca="false">IF(D1081="?OLD","!!!","")</f>
        <v/>
      </c>
      <c r="F1081" s="11" t="str">
        <f aca="false">IF(OR(E1081="",E1081="!!!"),"",IF(NOT(ISNA(VLOOKUP(E1081,E$1:E1080,1,FALSE()))),"OLD",IF(AND(E1081&lt;&gt;"",E1081&lt;&gt;"!!!"),"NEW","")))</f>
        <v/>
      </c>
      <c r="G1081" s="12" t="str">
        <f aca="false">IF(OR(E1081="",E1081="!!!"),"",IF(OR(J1081=0,AND(J1081=1,K1081=1),AND(J1081=1,I1081="SBJ"),AND(J1081=1,I1081=0)),"?IN_FOCUS",IF(J1081&lt;=2,"?ACTIVATED",IF(J1081&lt;&gt;"","?FAMILIAR",IF(F1081="NEW",IF(ISNA(VLOOKUP(E1081,#REF!,1,FALSE())),"?TYPE_IDENTIFIABLE","?REFERENTIAL"),"_")))))</f>
        <v/>
      </c>
      <c r="H1081" s="13" t="str">
        <f aca="false">IF(J1081&lt;&gt;1,"",IF(I1081="SBJ","CB","?"))</f>
        <v/>
      </c>
      <c r="I1081" s="14" t="str">
        <f aca="false">IF(OR(E1081="",E1081="!!!",F1081="NEW"),"",INDEX(B$2:B1080,-1+SUMPRODUCT(MAX(ROW(E$2:E1080)*(E1081=E$2:E1080)))))</f>
        <v/>
      </c>
      <c r="J1081" s="15" t="str">
        <f aca="true">IF(OR(E1081="",E1081="!!!",F1081="NEW"),"",COUNTBLANK(OFFSET(A$1,,,SUMPRODUCT(MAX(ROW(E$2:E1081)*(E1081=E$2:E1081)))))-COUNTBLANK(OFFSET(A$1,,,SUMPRODUCT(MAX(ROW(E$1:E1080)*(E1081=E$1:E1080))))))</f>
        <v/>
      </c>
      <c r="K1081" s="15" t="str">
        <f aca="false">IF(OR(E1081="",E1081="!!!",F1081="NEW"),"",INDEX(J$1:J1080,SUMPRODUCT(MAX(ROW(E$1:E1080)*(E1081=E$1:E1080)))))</f>
        <v/>
      </c>
      <c r="L1081" s="16"/>
    </row>
    <row r="1082" customFormat="false" ht="12.75" hidden="false" customHeight="false" outlineLevel="0" collapsed="false">
      <c r="A1082" s="9" t="s">
        <v>84</v>
      </c>
      <c r="E1082" s="10" t="str">
        <f aca="false">IF(D1082="?OLD","!!!","")</f>
        <v/>
      </c>
      <c r="F1082" s="11" t="str">
        <f aca="false">IF(OR(E1082="",E1082="!!!"),"",IF(NOT(ISNA(VLOOKUP(E1082,E$1:E1081,1,FALSE()))),"OLD",IF(AND(E1082&lt;&gt;"",E1082&lt;&gt;"!!!"),"NEW","")))</f>
        <v/>
      </c>
      <c r="G1082" s="12" t="str">
        <f aca="false">IF(OR(E1082="",E1082="!!!"),"",IF(OR(J1082=0,AND(J1082=1,K1082=1),AND(J1082=1,I1082="SBJ"),AND(J1082=1,I1082=0)),"?IN_FOCUS",IF(J1082&lt;=2,"?ACTIVATED",IF(J1082&lt;&gt;"","?FAMILIAR",IF(F1082="NEW",IF(ISNA(VLOOKUP(E1082,#REF!,1,FALSE())),"?TYPE_IDENTIFIABLE","?REFERENTIAL"),"_")))))</f>
        <v/>
      </c>
      <c r="H1082" s="13" t="str">
        <f aca="false">IF(J1082&lt;&gt;1,"",IF(I1082="SBJ","CB","?"))</f>
        <v/>
      </c>
      <c r="I1082" s="14" t="str">
        <f aca="false">IF(OR(E1082="",E1082="!!!",F1082="NEW"),"",INDEX(B$2:B1081,-1+SUMPRODUCT(MAX(ROW(E$2:E1081)*(E1082=E$2:E1081)))))</f>
        <v/>
      </c>
      <c r="J1082" s="15" t="str">
        <f aca="true">IF(OR(E1082="",E1082="!!!",F1082="NEW"),"",COUNTBLANK(OFFSET(A$1,,,SUMPRODUCT(MAX(ROW(E$2:E1082)*(E1082=E$2:E1082)))))-COUNTBLANK(OFFSET(A$1,,,SUMPRODUCT(MAX(ROW(E$1:E1081)*(E1082=E$1:E1081))))))</f>
        <v/>
      </c>
      <c r="K1082" s="15" t="str">
        <f aca="false">IF(OR(E1082="",E1082="!!!",F1082="NEW"),"",INDEX(J$1:J1081,SUMPRODUCT(MAX(ROW(E$1:E1081)*(E1082=E$1:E1081)))))</f>
        <v/>
      </c>
      <c r="L1082" s="16"/>
    </row>
    <row r="1083" customFormat="false" ht="12.75" hidden="false" customHeight="false" outlineLevel="0" collapsed="false">
      <c r="A1083" s="9" t="s">
        <v>467</v>
      </c>
      <c r="B1083" s="0" t="s">
        <v>33</v>
      </c>
      <c r="C1083" s="0" t="s">
        <v>456</v>
      </c>
      <c r="D1083" s="0" t="s">
        <v>27</v>
      </c>
      <c r="E1083" s="10"/>
      <c r="F1083" s="11" t="s">
        <v>468</v>
      </c>
      <c r="G1083" s="12" t="str">
        <f aca="false">IF(OR(E1083="",E1083="!!!"),"",IF(OR(J1083=0,AND(J1083=1,K1083=1),AND(J1083=1,I1083="SBJ"),AND(J1083=1,I1083=0)),"?IN_FOCUS",IF(J1083&lt;=2,"?ACTIVATED",IF(J1083&lt;&gt;"","?FAMILIAR",IF(F1083="NEW",IF(ISNA(VLOOKUP(E1083,#REF!,1,FALSE())),"?TYPE_IDENTIFIABLE","?REFERENTIAL"),"_")))))</f>
        <v/>
      </c>
      <c r="H1083" s="13" t="str">
        <f aca="false">IF(J1083&lt;&gt;1,"",IF(I1083="SBJ","CB","?"))</f>
        <v/>
      </c>
      <c r="I1083" s="14" t="str">
        <f aca="false">IF(OR(E1083="",E1083="!!!",F1083="NEW"),"",INDEX(B$2:B1082,-1+SUMPRODUCT(MAX(ROW(E$2:E1082)*(E1083=E$2:E1082)))))</f>
        <v/>
      </c>
      <c r="J1083" s="15" t="str">
        <f aca="true">IF(OR(E1083="",E1083="!!!",F1083="NEW"),"",COUNTBLANK(OFFSET(A$1,,,SUMPRODUCT(MAX(ROW(E$2:E1083)*(E1083=E$2:E1083)))))-COUNTBLANK(OFFSET(A$1,,,SUMPRODUCT(MAX(ROW(E$1:E1082)*(E1083=E$1:E1082))))))</f>
        <v/>
      </c>
      <c r="K1083" s="15" t="str">
        <f aca="false">IF(OR(E1083="",E1083="!!!",F1083="NEW"),"",INDEX(J$1:J1082,SUMPRODUCT(MAX(ROW(E$1:E1082)*(E1083=E$1:E1082)))))</f>
        <v/>
      </c>
      <c r="L1083" s="16"/>
    </row>
    <row r="1084" customFormat="false" ht="12.75" hidden="false" customHeight="false" outlineLevel="0" collapsed="false">
      <c r="A1084" s="9" t="s">
        <v>68</v>
      </c>
      <c r="E1084" s="10" t="str">
        <f aca="false">IF(D1084="?OLD","!!!","")</f>
        <v/>
      </c>
      <c r="F1084" s="11" t="str">
        <f aca="false">IF(OR(E1084="",E1084="!!!"),"",IF(NOT(ISNA(VLOOKUP(E1084,E$1:E1083,1,FALSE()))),"OLD",IF(AND(E1084&lt;&gt;"",E1084&lt;&gt;"!!!"),"NEW","")))</f>
        <v/>
      </c>
      <c r="G1084" s="12" t="str">
        <f aca="false">IF(OR(E1084="",E1084="!!!"),"",IF(OR(J1084=0,AND(J1084=1,K1084=1),AND(J1084=1,I1084="SBJ"),AND(J1084=1,I1084=0)),"?IN_FOCUS",IF(J1084&lt;=2,"?ACTIVATED",IF(J1084&lt;&gt;"","?FAMILIAR",IF(F1084="NEW",IF(ISNA(VLOOKUP(E1084,#REF!,1,FALSE())),"?TYPE_IDENTIFIABLE","?REFERENTIAL"),"_")))))</f>
        <v/>
      </c>
      <c r="H1084" s="13" t="str">
        <f aca="false">IF(J1084&lt;&gt;1,"",IF(I1084="SBJ","CB","?"))</f>
        <v/>
      </c>
      <c r="I1084" s="14" t="str">
        <f aca="false">IF(OR(E1084="",E1084="!!!",F1084="NEW"),"",INDEX(B$2:B1083,-1+SUMPRODUCT(MAX(ROW(E$2:E1083)*(E1084=E$2:E1083)))))</f>
        <v/>
      </c>
      <c r="J1084" s="15" t="str">
        <f aca="true">IF(OR(E1084="",E1084="!!!",F1084="NEW"),"",COUNTBLANK(OFFSET(A$1,,,SUMPRODUCT(MAX(ROW(E$2:E1084)*(E1084=E$2:E1084)))))-COUNTBLANK(OFFSET(A$1,,,SUMPRODUCT(MAX(ROW(E$1:E1083)*(E1084=E$1:E1083))))))</f>
        <v/>
      </c>
      <c r="K1084" s="15" t="str">
        <f aca="false">IF(OR(E1084="",E1084="!!!",F1084="NEW"),"",INDEX(J$1:J1083,SUMPRODUCT(MAX(ROW(E$1:E1083)*(E1084=E$1:E1083)))))</f>
        <v/>
      </c>
      <c r="L1084" s="16"/>
    </row>
    <row r="1085" customFormat="false" ht="12.75" hidden="false" customHeight="false" outlineLevel="0" collapsed="false">
      <c r="E1085" s="10" t="str">
        <f aca="false">IF(D1085="?OLD","!!!","")</f>
        <v/>
      </c>
      <c r="F1085" s="11" t="str">
        <f aca="false">IF(OR(E1085="",E1085="!!!"),"",IF(NOT(ISNA(VLOOKUP(E1085,E$1:E1084,1,FALSE()))),"OLD",IF(AND(E1085&lt;&gt;"",E1085&lt;&gt;"!!!"),"NEW","")))</f>
        <v/>
      </c>
      <c r="G1085" s="12" t="str">
        <f aca="false">IF(OR(E1085="",E1085="!!!"),"",IF(OR(J1085=0,AND(J1085=1,K1085=1),AND(J1085=1,I1085="SBJ"),AND(J1085=1,I1085=0)),"?IN_FOCUS",IF(J1085&lt;=2,"?ACTIVATED",IF(J1085&lt;&gt;"","?FAMILIAR",IF(F1085="NEW",IF(ISNA(VLOOKUP(E1085,#REF!,1,FALSE())),"?TYPE_IDENTIFIABLE","?REFERENTIAL"),"_")))))</f>
        <v/>
      </c>
      <c r="H1085" s="13" t="str">
        <f aca="false">IF(J1085&lt;&gt;1,"",IF(I1085="SBJ","CB","?"))</f>
        <v/>
      </c>
      <c r="I1085" s="14" t="str">
        <f aca="false">IF(OR(E1085="",E1085="!!!",F1085="NEW"),"",INDEX(B$2:B1084,-1+SUMPRODUCT(MAX(ROW(E$2:E1084)*(E1085=E$2:E1084)))))</f>
        <v/>
      </c>
      <c r="J1085" s="15" t="str">
        <f aca="true">IF(OR(E1085="",E1085="!!!",F1085="NEW"),"",COUNTBLANK(OFFSET(A$1,,,SUMPRODUCT(MAX(ROW(E$2:E1085)*(E1085=E$2:E1085)))))-COUNTBLANK(OFFSET(A$1,,,SUMPRODUCT(MAX(ROW(E$1:E1084)*(E1085=E$1:E1084))))))</f>
        <v/>
      </c>
      <c r="K1085" s="15" t="str">
        <f aca="false">IF(OR(E1085="",E1085="!!!",F1085="NEW"),"",INDEX(J$1:J1084,SUMPRODUCT(MAX(ROW(E$1:E1084)*(E1085=E$1:E1084)))))</f>
        <v/>
      </c>
      <c r="L1085" s="16"/>
    </row>
    <row r="1086" customFormat="false" ht="12.75" hidden="false" customHeight="false" outlineLevel="0" collapsed="false">
      <c r="A1086" s="9" t="s">
        <v>469</v>
      </c>
      <c r="E1086" s="10" t="str">
        <f aca="false">IF(D1086="?OLD","!!!","")</f>
        <v/>
      </c>
      <c r="F1086" s="11" t="str">
        <f aca="false">IF(OR(E1086="",E1086="!!!"),"",IF(NOT(ISNA(VLOOKUP(E1086,E$1:E1085,1,FALSE()))),"OLD",IF(AND(E1086&lt;&gt;"",E1086&lt;&gt;"!!!"),"NEW","")))</f>
        <v/>
      </c>
      <c r="G1086" s="12" t="str">
        <f aca="false">IF(OR(E1086="",E1086="!!!"),"",IF(OR(J1086=0,AND(J1086=1,K1086=1),AND(J1086=1,I1086="SBJ"),AND(J1086=1,I1086=0)),"?IN_FOCUS",IF(J1086&lt;=2,"?ACTIVATED",IF(J1086&lt;&gt;"","?FAMILIAR",IF(F1086="NEW",IF(ISNA(VLOOKUP(E1086,#REF!,1,FALSE())),"?TYPE_IDENTIFIABLE","?REFERENTIAL"),"_")))))</f>
        <v/>
      </c>
      <c r="H1086" s="13" t="str">
        <f aca="false">IF(J1086&lt;&gt;1,"",IF(I1086="SBJ","CB","?"))</f>
        <v/>
      </c>
      <c r="I1086" s="14" t="str">
        <f aca="false">IF(OR(E1086="",E1086="!!!",F1086="NEW"),"",INDEX(B$2:B1085,-1+SUMPRODUCT(MAX(ROW(E$2:E1085)*(E1086=E$2:E1085)))))</f>
        <v/>
      </c>
      <c r="J1086" s="15" t="str">
        <f aca="true">IF(OR(E1086="",E1086="!!!",F1086="NEW"),"",COUNTBLANK(OFFSET(A$1,,,SUMPRODUCT(MAX(ROW(E$2:E1086)*(E1086=E$2:E1086)))))-COUNTBLANK(OFFSET(A$1,,,SUMPRODUCT(MAX(ROW(E$1:E1085)*(E1086=E$1:E1085))))))</f>
        <v/>
      </c>
      <c r="K1086" s="15" t="str">
        <f aca="false">IF(OR(E1086="",E1086="!!!",F1086="NEW"),"",INDEX(J$1:J1085,SUMPRODUCT(MAX(ROW(E$1:E1085)*(E1086=E$1:E1085)))))</f>
        <v/>
      </c>
      <c r="L1086" s="16"/>
    </row>
    <row r="1087" customFormat="false" ht="12.75" hidden="false" customHeight="false" outlineLevel="0" collapsed="false">
      <c r="A1087" s="9" t="s">
        <v>102</v>
      </c>
      <c r="E1087" s="10" t="str">
        <f aca="false">IF(D1087="?OLD","!!!","")</f>
        <v/>
      </c>
      <c r="F1087" s="11" t="str">
        <f aca="false">IF(OR(E1087="",E1087="!!!"),"",IF(NOT(ISNA(VLOOKUP(E1087,E$1:E1086,1,FALSE()))),"OLD",IF(AND(E1087&lt;&gt;"",E1087&lt;&gt;"!!!"),"NEW","")))</f>
        <v/>
      </c>
      <c r="G1087" s="12" t="str">
        <f aca="false">IF(OR(E1087="",E1087="!!!"),"",IF(OR(J1087=0,AND(J1087=1,K1087=1),AND(J1087=1,I1087="SBJ"),AND(J1087=1,I1087=0)),"?IN_FOCUS",IF(J1087&lt;=2,"?ACTIVATED",IF(J1087&lt;&gt;"","?FAMILIAR",IF(F1087="NEW",IF(ISNA(VLOOKUP(E1087,#REF!,1,FALSE())),"?TYPE_IDENTIFIABLE","?REFERENTIAL"),"_")))))</f>
        <v/>
      </c>
      <c r="H1087" s="13" t="str">
        <f aca="false">IF(J1087&lt;&gt;1,"",IF(I1087="SBJ","CB","?"))</f>
        <v/>
      </c>
      <c r="I1087" s="14" t="str">
        <f aca="false">IF(OR(E1087="",E1087="!!!",F1087="NEW"),"",INDEX(B$2:B1086,-1+SUMPRODUCT(MAX(ROW(E$2:E1086)*(E1087=E$2:E1086)))))</f>
        <v/>
      </c>
      <c r="J1087" s="15" t="str">
        <f aca="true">IF(OR(E1087="",E1087="!!!",F1087="NEW"),"",COUNTBLANK(OFFSET(A$1,,,SUMPRODUCT(MAX(ROW(E$2:E1087)*(E1087=E$2:E1087)))))-COUNTBLANK(OFFSET(A$1,,,SUMPRODUCT(MAX(ROW(E$1:E1086)*(E1087=E$1:E1086))))))</f>
        <v/>
      </c>
      <c r="K1087" s="15" t="str">
        <f aca="false">IF(OR(E1087="",E1087="!!!",F1087="NEW"),"",INDEX(J$1:J1086,SUMPRODUCT(MAX(ROW(E$1:E1086)*(E1087=E$1:E1086)))))</f>
        <v/>
      </c>
      <c r="L1087" s="16"/>
    </row>
    <row r="1088" customFormat="false" ht="12.75" hidden="false" customHeight="false" outlineLevel="0" collapsed="false">
      <c r="A1088" s="9" t="s">
        <v>117</v>
      </c>
      <c r="E1088" s="10" t="str">
        <f aca="false">IF(D1088="?OLD","!!!","")</f>
        <v/>
      </c>
      <c r="F1088" s="11" t="str">
        <f aca="false">IF(OR(E1088="",E1088="!!!"),"",IF(NOT(ISNA(VLOOKUP(E1088,E$1:E1087,1,FALSE()))),"OLD",IF(AND(E1088&lt;&gt;"",E1088&lt;&gt;"!!!"),"NEW","")))</f>
        <v/>
      </c>
      <c r="G1088" s="12" t="str">
        <f aca="false">IF(OR(E1088="",E1088="!!!"),"",IF(OR(J1088=0,AND(J1088=1,K1088=1),AND(J1088=1,I1088="SBJ"),AND(J1088=1,I1088=0)),"?IN_FOCUS",IF(J1088&lt;=2,"?ACTIVATED",IF(J1088&lt;&gt;"","?FAMILIAR",IF(F1088="NEW",IF(ISNA(VLOOKUP(E1088,#REF!,1,FALSE())),"?TYPE_IDENTIFIABLE","?REFERENTIAL"),"_")))))</f>
        <v/>
      </c>
      <c r="H1088" s="13" t="str">
        <f aca="false">IF(J1088&lt;&gt;1,"",IF(I1088="SBJ","CB","?"))</f>
        <v/>
      </c>
      <c r="I1088" s="14" t="str">
        <f aca="false">IF(OR(E1088="",E1088="!!!",F1088="NEW"),"",INDEX(B$2:B1087,-1+SUMPRODUCT(MAX(ROW(E$2:E1087)*(E1088=E$2:E1087)))))</f>
        <v/>
      </c>
      <c r="J1088" s="15" t="str">
        <f aca="true">IF(OR(E1088="",E1088="!!!",F1088="NEW"),"",COUNTBLANK(OFFSET(A$1,,,SUMPRODUCT(MAX(ROW(E$2:E1088)*(E1088=E$2:E1088)))))-COUNTBLANK(OFFSET(A$1,,,SUMPRODUCT(MAX(ROW(E$1:E1087)*(E1088=E$1:E1087))))))</f>
        <v/>
      </c>
      <c r="K1088" s="15" t="str">
        <f aca="false">IF(OR(E1088="",E1088="!!!",F1088="NEW"),"",INDEX(J$1:J1087,SUMPRODUCT(MAX(ROW(E$1:E1087)*(E1088=E$1:E1087)))))</f>
        <v/>
      </c>
      <c r="L1088" s="16"/>
    </row>
    <row r="1089" customFormat="false" ht="12.75" hidden="false" customHeight="false" outlineLevel="0" collapsed="false">
      <c r="A1089" s="9" t="s">
        <v>16</v>
      </c>
      <c r="B1089" s="0" t="s">
        <v>75</v>
      </c>
      <c r="C1089" s="0" t="s">
        <v>119</v>
      </c>
      <c r="D1089" s="0" t="s">
        <v>27</v>
      </c>
      <c r="E1089" s="10" t="s">
        <v>452</v>
      </c>
      <c r="F1089" s="11" t="str">
        <f aca="false">IF(OR(E1089="",E1089="!!!"),"",IF(NOT(ISNA(VLOOKUP(E1089,E$1:E1088,1,FALSE()))),"OLD",IF(AND(E1089&lt;&gt;"",E1089&lt;&gt;"!!!"),"NEW","")))</f>
        <v>OLD</v>
      </c>
      <c r="G1089" s="12" t="s">
        <v>49</v>
      </c>
      <c r="H1089" s="13" t="s">
        <v>7</v>
      </c>
      <c r="I1089" s="14" t="str">
        <f aca="false">IF(OR(E1089="",E1089="!!!",F1089="NEW"),"",INDEX(B$2:B1088,-1+SUMPRODUCT(MAX(ROW(E$2:E1088)*(E1089=E$2:E1088)))))</f>
        <v>OBJ_4</v>
      </c>
      <c r="J1089" s="15" t="n">
        <f aca="true">IF(OR(E1089="",E1089="!!!",F1089="NEW"),"",COUNTBLANK(OFFSET(A$1,,,SUMPRODUCT(MAX(ROW(E$2:E1089)*(E1089=E$2:E1089)))))-COUNTBLANK(OFFSET(A$1,,,SUMPRODUCT(MAX(ROW(E$1:E1088)*(E1089=E$1:E1088))))))</f>
        <v>1</v>
      </c>
      <c r="K1089" s="15" t="str">
        <f aca="false">IF(OR(E1089="",E1089="!!!",F1089="NEW"),"",INDEX(J$1:J1088,SUMPRODUCT(MAX(ROW(E$1:E1088)*(E1089=E$1:E1088)))))</f>
        <v/>
      </c>
      <c r="L1089" s="16"/>
    </row>
    <row r="1090" customFormat="false" ht="12.75" hidden="false" customHeight="false" outlineLevel="0" collapsed="false">
      <c r="A1090" s="9" t="s">
        <v>22</v>
      </c>
      <c r="E1090" s="10" t="str">
        <f aca="false">IF(D1090="?OLD","!!!","")</f>
        <v/>
      </c>
      <c r="F1090" s="11" t="str">
        <f aca="false">IF(OR(E1090="",E1090="!!!"),"",IF(NOT(ISNA(VLOOKUP(E1090,E$1:E1089,1,FALSE()))),"OLD",IF(AND(E1090&lt;&gt;"",E1090&lt;&gt;"!!!"),"NEW","")))</f>
        <v/>
      </c>
      <c r="G1090" s="12" t="str">
        <f aca="false">IF(OR(E1090="",E1090="!!!"),"",IF(OR(J1090=0,AND(J1090=1,K1090=1),AND(J1090=1,I1090="SBJ"),AND(J1090=1,I1090=0)),"?IN_FOCUS",IF(J1090&lt;=2,"?ACTIVATED",IF(J1090&lt;&gt;"","?FAMILIAR",IF(F1090="NEW",IF(ISNA(VLOOKUP(E1090,#REF!,1,FALSE())),"?TYPE_IDENTIFIABLE","?REFERENTIAL"),"_")))))</f>
        <v/>
      </c>
      <c r="H1090" s="13" t="str">
        <f aca="false">IF(J1090&lt;&gt;1,"",IF(I1090="SBJ","CB","?"))</f>
        <v/>
      </c>
      <c r="I1090" s="14" t="str">
        <f aca="false">IF(OR(E1090="",E1090="!!!",F1090="NEW"),"",INDEX(B$2:B1089,-1+SUMPRODUCT(MAX(ROW(E$2:E1089)*(E1090=E$2:E1089)))))</f>
        <v/>
      </c>
      <c r="J1090" s="15" t="str">
        <f aca="true">IF(OR(E1090="",E1090="!!!",F1090="NEW"),"",COUNTBLANK(OFFSET(A$1,,,SUMPRODUCT(MAX(ROW(E$2:E1090)*(E1090=E$2:E1090)))))-COUNTBLANK(OFFSET(A$1,,,SUMPRODUCT(MAX(ROW(E$1:E1089)*(E1090=E$1:E1089))))))</f>
        <v/>
      </c>
      <c r="K1090" s="15" t="str">
        <f aca="false">IF(OR(E1090="",E1090="!!!",F1090="NEW"),"",INDEX(J$1:J1089,SUMPRODUCT(MAX(ROW(E$1:E1089)*(E1090=E$1:E1089)))))</f>
        <v/>
      </c>
      <c r="L1090" s="16"/>
    </row>
    <row r="1091" customFormat="false" ht="12.75" hidden="false" customHeight="false" outlineLevel="0" collapsed="false">
      <c r="A1091" s="9" t="s">
        <v>470</v>
      </c>
      <c r="B1091" s="0" t="s">
        <v>17</v>
      </c>
      <c r="C1091" s="0" t="s">
        <v>26</v>
      </c>
      <c r="D1091" s="0" t="s">
        <v>27</v>
      </c>
      <c r="E1091" s="10" t="s">
        <v>470</v>
      </c>
      <c r="F1091" s="11" t="str">
        <f aca="false">IF(OR(E1091="",E1091="!!!"),"",IF(NOT(ISNA(VLOOKUP(E1091,E$1:E1090,1,FALSE()))),"OLD",IF(AND(E1091&lt;&gt;"",E1091&lt;&gt;"!!!"),"NEW","")))</f>
        <v>NEW</v>
      </c>
      <c r="G1091" s="12" t="s">
        <v>28</v>
      </c>
      <c r="H1091" s="13" t="str">
        <f aca="false">IF(J1091&lt;&gt;1,"",IF(I1091="SBJ","CB","?"))</f>
        <v/>
      </c>
      <c r="I1091" s="14" t="str">
        <f aca="false">IF(OR(E1091="",E1091="!!!",F1091="NEW"),"",INDEX(B$2:B1090,-1+SUMPRODUCT(MAX(ROW(E$2:E1090)*(E1091=E$2:E1090)))))</f>
        <v/>
      </c>
      <c r="J1091" s="15" t="str">
        <f aca="true">IF(OR(E1091="",E1091="!!!",F1091="NEW"),"",COUNTBLANK(OFFSET(A$1,,,SUMPRODUCT(MAX(ROW(E$2:E1091)*(E1091=E$2:E1091)))))-COUNTBLANK(OFFSET(A$1,,,SUMPRODUCT(MAX(ROW(E$1:E1090)*(E1091=E$1:E1090))))))</f>
        <v/>
      </c>
      <c r="K1091" s="15" t="str">
        <f aca="false">IF(OR(E1091="",E1091="!!!",F1091="NEW"),"",INDEX(J$1:J1090,SUMPRODUCT(MAX(ROW(E$1:E1090)*(E1091=E$1:E1090)))))</f>
        <v/>
      </c>
      <c r="L1091" s="16"/>
    </row>
    <row r="1092" customFormat="false" ht="12.75" hidden="false" customHeight="false" outlineLevel="0" collapsed="false">
      <c r="A1092" s="9" t="s">
        <v>44</v>
      </c>
      <c r="E1092" s="10" t="str">
        <f aca="false">IF(D1092="?OLD","!!!","")</f>
        <v/>
      </c>
      <c r="F1092" s="11" t="str">
        <f aca="false">IF(OR(E1092="",E1092="!!!"),"",IF(NOT(ISNA(VLOOKUP(E1092,E$1:E1091,1,FALSE()))),"OLD",IF(AND(E1092&lt;&gt;"",E1092&lt;&gt;"!!!"),"NEW","")))</f>
        <v/>
      </c>
      <c r="G1092" s="12" t="str">
        <f aca="false">IF(OR(E1092="",E1092="!!!"),"",IF(OR(J1092=0,AND(J1092=1,K1092=1),AND(J1092=1,I1092="SBJ"),AND(J1092=1,I1092=0)),"?IN_FOCUS",IF(J1092&lt;=2,"?ACTIVATED",IF(J1092&lt;&gt;"","?FAMILIAR",IF(F1092="NEW",IF(ISNA(VLOOKUP(E1092,#REF!,1,FALSE())),"?TYPE_IDENTIFIABLE","?REFERENTIAL"),"_")))))</f>
        <v/>
      </c>
      <c r="H1092" s="13" t="str">
        <f aca="false">IF(J1092&lt;&gt;1,"",IF(I1092="SBJ","CB","?"))</f>
        <v/>
      </c>
      <c r="I1092" s="14" t="str">
        <f aca="false">IF(OR(E1092="",E1092="!!!",F1092="NEW"),"",INDEX(B$2:B1091,-1+SUMPRODUCT(MAX(ROW(E$2:E1091)*(E1092=E$2:E1091)))))</f>
        <v/>
      </c>
      <c r="J1092" s="15" t="str">
        <f aca="true">IF(OR(E1092="",E1092="!!!",F1092="NEW"),"",COUNTBLANK(OFFSET(A$1,,,SUMPRODUCT(MAX(ROW(E$2:E1092)*(E1092=E$2:E1092)))))-COUNTBLANK(OFFSET(A$1,,,SUMPRODUCT(MAX(ROW(E$1:E1091)*(E1092=E$1:E1091))))))</f>
        <v/>
      </c>
      <c r="K1092" s="15" t="str">
        <f aca="false">IF(OR(E1092="",E1092="!!!",F1092="NEW"),"",INDEX(J$1:J1091,SUMPRODUCT(MAX(ROW(E$1:E1091)*(E1092=E$1:E1091)))))</f>
        <v/>
      </c>
      <c r="L1092" s="16"/>
    </row>
    <row r="1093" customFormat="false" ht="12.75" hidden="false" customHeight="false" outlineLevel="0" collapsed="false">
      <c r="A1093" s="9" t="s">
        <v>471</v>
      </c>
      <c r="B1093" s="0" t="s">
        <v>25</v>
      </c>
      <c r="C1093" s="0" t="s">
        <v>26</v>
      </c>
      <c r="D1093" s="0" t="s">
        <v>27</v>
      </c>
      <c r="E1093" s="10" t="s">
        <v>471</v>
      </c>
      <c r="F1093" s="11" t="str">
        <f aca="false">IF(OR(E1093="",E1093="!!!"),"",IF(NOT(ISNA(VLOOKUP(E1093,E$1:E1092,1,FALSE()))),"OLD",IF(AND(E1093&lt;&gt;"",E1093&lt;&gt;"!!!"),"NEW","")))</f>
        <v>NEW</v>
      </c>
      <c r="G1093" s="12" t="s">
        <v>28</v>
      </c>
      <c r="H1093" s="13" t="str">
        <f aca="false">IF(J1093&lt;&gt;1,"",IF(I1093="SBJ","CB","?"))</f>
        <v/>
      </c>
      <c r="I1093" s="14" t="str">
        <f aca="false">IF(OR(E1093="",E1093="!!!",F1093="NEW"),"",INDEX(B$2:B1092,-1+SUMPRODUCT(MAX(ROW(E$2:E1092)*(E1093=E$2:E1092)))))</f>
        <v/>
      </c>
      <c r="J1093" s="15" t="str">
        <f aca="true">IF(OR(E1093="",E1093="!!!",F1093="NEW"),"",COUNTBLANK(OFFSET(A$1,,,SUMPRODUCT(MAX(ROW(E$2:E1093)*(E1093=E$2:E1093)))))-COUNTBLANK(OFFSET(A$1,,,SUMPRODUCT(MAX(ROW(E$1:E1092)*(E1093=E$1:E1092))))))</f>
        <v/>
      </c>
      <c r="K1093" s="15" t="str">
        <f aca="false">IF(OR(E1093="",E1093="!!!",F1093="NEW"),"",INDEX(J$1:J1092,SUMPRODUCT(MAX(ROW(E$1:E1092)*(E1093=E$1:E1092)))))</f>
        <v/>
      </c>
      <c r="L1093" s="16"/>
    </row>
    <row r="1094" customFormat="false" ht="12.75" hidden="false" customHeight="false" outlineLevel="0" collapsed="false">
      <c r="A1094" s="9" t="s">
        <v>285</v>
      </c>
      <c r="E1094" s="10" t="str">
        <f aca="false">IF(D1094="?OLD","!!!","")</f>
        <v/>
      </c>
      <c r="F1094" s="11" t="str">
        <f aca="false">IF(OR(E1094="",E1094="!!!"),"",IF(NOT(ISNA(VLOOKUP(E1094,E$1:E1093,1,FALSE()))),"OLD",IF(AND(E1094&lt;&gt;"",E1094&lt;&gt;"!!!"),"NEW","")))</f>
        <v/>
      </c>
      <c r="G1094" s="12" t="str">
        <f aca="false">IF(OR(E1094="",E1094="!!!"),"",IF(OR(J1094=0,AND(J1094=1,K1094=1),AND(J1094=1,I1094="SBJ"),AND(J1094=1,I1094=0)),"?IN_FOCUS",IF(J1094&lt;=2,"?ACTIVATED",IF(J1094&lt;&gt;"","?FAMILIAR",IF(F1094="NEW",IF(ISNA(VLOOKUP(E1094,#REF!,1,FALSE())),"?TYPE_IDENTIFIABLE","?REFERENTIAL"),"_")))))</f>
        <v/>
      </c>
      <c r="H1094" s="13" t="str">
        <f aca="false">IF(J1094&lt;&gt;1,"",IF(I1094="SBJ","CB","?"))</f>
        <v/>
      </c>
      <c r="I1094" s="14" t="str">
        <f aca="false">IF(OR(E1094="",E1094="!!!",F1094="NEW"),"",INDEX(B$2:B1093,-1+SUMPRODUCT(MAX(ROW(E$2:E1093)*(E1094=E$2:E1093)))))</f>
        <v/>
      </c>
      <c r="J1094" s="15" t="str">
        <f aca="true">IF(OR(E1094="",E1094="!!!",F1094="NEW"),"",COUNTBLANK(OFFSET(A$1,,,SUMPRODUCT(MAX(ROW(E$2:E1094)*(E1094=E$2:E1094)))))-COUNTBLANK(OFFSET(A$1,,,SUMPRODUCT(MAX(ROW(E$1:E1093)*(E1094=E$1:E1093))))))</f>
        <v/>
      </c>
      <c r="K1094" s="15" t="str">
        <f aca="false">IF(OR(E1094="",E1094="!!!",F1094="NEW"),"",INDEX(J$1:J1093,SUMPRODUCT(MAX(ROW(E$1:E1093)*(E1094=E$1:E1093)))))</f>
        <v/>
      </c>
      <c r="L1094" s="16"/>
    </row>
    <row r="1095" customFormat="false" ht="12.75" hidden="false" customHeight="false" outlineLevel="0" collapsed="false">
      <c r="A1095" s="9" t="s">
        <v>151</v>
      </c>
      <c r="E1095" s="10" t="str">
        <f aca="false">IF(D1095="?OLD","!!!","")</f>
        <v/>
      </c>
      <c r="F1095" s="11" t="str">
        <f aca="false">IF(OR(E1095="",E1095="!!!"),"",IF(NOT(ISNA(VLOOKUP(E1095,E$1:E1094,1,FALSE()))),"OLD",IF(AND(E1095&lt;&gt;"",E1095&lt;&gt;"!!!"),"NEW","")))</f>
        <v/>
      </c>
      <c r="G1095" s="12" t="str">
        <f aca="false">IF(OR(E1095="",E1095="!!!"),"",IF(OR(J1095=0,AND(J1095=1,K1095=1),AND(J1095=1,I1095="SBJ"),AND(J1095=1,I1095=0)),"?IN_FOCUS",IF(J1095&lt;=2,"?ACTIVATED",IF(J1095&lt;&gt;"","?FAMILIAR",IF(F1095="NEW",IF(ISNA(VLOOKUP(E1095,#REF!,1,FALSE())),"?TYPE_IDENTIFIABLE","?REFERENTIAL"),"_")))))</f>
        <v/>
      </c>
      <c r="H1095" s="13" t="str">
        <f aca="false">IF(J1095&lt;&gt;1,"",IF(I1095="SBJ","CB","?"))</f>
        <v/>
      </c>
      <c r="I1095" s="14" t="str">
        <f aca="false">IF(OR(E1095="",E1095="!!!",F1095="NEW"),"",INDEX(B$2:B1094,-1+SUMPRODUCT(MAX(ROW(E$2:E1094)*(E1095=E$2:E1094)))))</f>
        <v/>
      </c>
      <c r="J1095" s="15" t="str">
        <f aca="true">IF(OR(E1095="",E1095="!!!",F1095="NEW"),"",COUNTBLANK(OFFSET(A$1,,,SUMPRODUCT(MAX(ROW(E$2:E1095)*(E1095=E$2:E1095)))))-COUNTBLANK(OFFSET(A$1,,,SUMPRODUCT(MAX(ROW(E$1:E1094)*(E1095=E$1:E1094))))))</f>
        <v/>
      </c>
      <c r="K1095" s="15" t="str">
        <f aca="false">IF(OR(E1095="",E1095="!!!",F1095="NEW"),"",INDEX(J$1:J1094,SUMPRODUCT(MAX(ROW(E$1:E1094)*(E1095=E$1:E1094)))))</f>
        <v/>
      </c>
      <c r="L1095" s="16"/>
    </row>
    <row r="1096" customFormat="false" ht="12.75" hidden="false" customHeight="false" outlineLevel="0" collapsed="false">
      <c r="A1096" s="9" t="s">
        <v>105</v>
      </c>
      <c r="E1096" s="10" t="str">
        <f aca="false">IF(D1096="?OLD","!!!","")</f>
        <v/>
      </c>
      <c r="F1096" s="11" t="str">
        <f aca="false">IF(OR(E1096="",E1096="!!!"),"",IF(NOT(ISNA(VLOOKUP(E1096,E$1:E1095,1,FALSE()))),"OLD",IF(AND(E1096&lt;&gt;"",E1096&lt;&gt;"!!!"),"NEW","")))</f>
        <v/>
      </c>
      <c r="G1096" s="12" t="str">
        <f aca="false">IF(OR(E1096="",E1096="!!!"),"",IF(OR(J1096=0,AND(J1096=1,K1096=1),AND(J1096=1,I1096="SBJ"),AND(J1096=1,I1096=0)),"?IN_FOCUS",IF(J1096&lt;=2,"?ACTIVATED",IF(J1096&lt;&gt;"","?FAMILIAR",IF(F1096="NEW",IF(ISNA(VLOOKUP(E1096,#REF!,1,FALSE())),"?TYPE_IDENTIFIABLE","?REFERENTIAL"),"_")))))</f>
        <v/>
      </c>
      <c r="H1096" s="13" t="str">
        <f aca="false">IF(J1096&lt;&gt;1,"",IF(I1096="SBJ","CB","?"))</f>
        <v/>
      </c>
      <c r="I1096" s="14" t="str">
        <f aca="false">IF(OR(E1096="",E1096="!!!",F1096="NEW"),"",INDEX(B$2:B1095,-1+SUMPRODUCT(MAX(ROW(E$2:E1095)*(E1096=E$2:E1095)))))</f>
        <v/>
      </c>
      <c r="J1096" s="15" t="str">
        <f aca="true">IF(OR(E1096="",E1096="!!!",F1096="NEW"),"",COUNTBLANK(OFFSET(A$1,,,SUMPRODUCT(MAX(ROW(E$2:E1096)*(E1096=E$2:E1096)))))-COUNTBLANK(OFFSET(A$1,,,SUMPRODUCT(MAX(ROW(E$1:E1095)*(E1096=E$1:E1095))))))</f>
        <v/>
      </c>
      <c r="K1096" s="15" t="str">
        <f aca="false">IF(OR(E1096="",E1096="!!!",F1096="NEW"),"",INDEX(J$1:J1095,SUMPRODUCT(MAX(ROW(E$1:E1095)*(E1096=E$1:E1095)))))</f>
        <v/>
      </c>
      <c r="L1096" s="16"/>
    </row>
    <row r="1097" customFormat="false" ht="12.75" hidden="false" customHeight="false" outlineLevel="0" collapsed="false">
      <c r="A1097" s="9" t="s">
        <v>45</v>
      </c>
      <c r="E1097" s="10" t="str">
        <f aca="false">IF(D1097="?OLD","!!!","")</f>
        <v/>
      </c>
      <c r="F1097" s="11" t="str">
        <f aca="false">IF(OR(E1097="",E1097="!!!"),"",IF(NOT(ISNA(VLOOKUP(E1097,E$1:E1096,1,FALSE()))),"OLD",IF(AND(E1097&lt;&gt;"",E1097&lt;&gt;"!!!"),"NEW","")))</f>
        <v/>
      </c>
      <c r="G1097" s="12" t="str">
        <f aca="false">IF(OR(E1097="",E1097="!!!"),"",IF(OR(J1097=0,AND(J1097=1,K1097=1),AND(J1097=1,I1097="SBJ"),AND(J1097=1,I1097=0)),"?IN_FOCUS",IF(J1097&lt;=2,"?ACTIVATED",IF(J1097&lt;&gt;"","?FAMILIAR",IF(F1097="NEW",IF(ISNA(VLOOKUP(E1097,#REF!,1,FALSE())),"?TYPE_IDENTIFIABLE","?REFERENTIAL"),"_")))))</f>
        <v/>
      </c>
      <c r="H1097" s="13" t="str">
        <f aca="false">IF(J1097&lt;&gt;1,"",IF(I1097="SBJ","CB","?"))</f>
        <v/>
      </c>
      <c r="I1097" s="14" t="str">
        <f aca="false">IF(OR(E1097="",E1097="!!!",F1097="NEW"),"",INDEX(B$2:B1096,-1+SUMPRODUCT(MAX(ROW(E$2:E1096)*(E1097=E$2:E1096)))))</f>
        <v/>
      </c>
      <c r="J1097" s="15" t="str">
        <f aca="true">IF(OR(E1097="",E1097="!!!",F1097="NEW"),"",COUNTBLANK(OFFSET(A$1,,,SUMPRODUCT(MAX(ROW(E$2:E1097)*(E1097=E$2:E1097)))))-COUNTBLANK(OFFSET(A$1,,,SUMPRODUCT(MAX(ROW(E$1:E1096)*(E1097=E$1:E1096))))))</f>
        <v/>
      </c>
      <c r="K1097" s="15" t="str">
        <f aca="false">IF(OR(E1097="",E1097="!!!",F1097="NEW"),"",INDEX(J$1:J1096,SUMPRODUCT(MAX(ROW(E$1:E1096)*(E1097=E$1:E1096)))))</f>
        <v/>
      </c>
      <c r="L1097" s="16"/>
    </row>
    <row r="1098" customFormat="false" ht="12.75" hidden="false" customHeight="false" outlineLevel="0" collapsed="false">
      <c r="A1098" s="9" t="s">
        <v>450</v>
      </c>
      <c r="B1098" s="0" t="s">
        <v>75</v>
      </c>
      <c r="C1098" s="0" t="s">
        <v>47</v>
      </c>
      <c r="D1098" s="0" t="s">
        <v>27</v>
      </c>
      <c r="E1098" s="10" t="s">
        <v>472</v>
      </c>
      <c r="F1098" s="11" t="str">
        <f aca="false">IF(OR(E1098="",E1098="!!!"),"",IF(NOT(ISNA(VLOOKUP(E1098,E$1:E1097,1,FALSE()))),"OLD",IF(AND(E1098&lt;&gt;"",E1098&lt;&gt;"!!!"),"NEW","")))</f>
        <v>NEW</v>
      </c>
      <c r="G1098" s="12" t="s">
        <v>28</v>
      </c>
      <c r="H1098" s="13" t="str">
        <f aca="false">IF(J1098&lt;&gt;1,"",IF(I1098="SBJ","CB","?"))</f>
        <v/>
      </c>
      <c r="I1098" s="14" t="str">
        <f aca="false">IF(OR(E1098="",E1098="!!!",F1098="NEW"),"",INDEX(B$2:B1097,-1+SUMPRODUCT(MAX(ROW(E$2:E1097)*(E1098=E$2:E1097)))))</f>
        <v/>
      </c>
      <c r="J1098" s="15" t="str">
        <f aca="true">IF(OR(E1098="",E1098="!!!",F1098="NEW"),"",COUNTBLANK(OFFSET(A$1,,,SUMPRODUCT(MAX(ROW(E$2:E1098)*(E1098=E$2:E1098)))))-COUNTBLANK(OFFSET(A$1,,,SUMPRODUCT(MAX(ROW(E$1:E1097)*(E1098=E$1:E1097))))))</f>
        <v/>
      </c>
      <c r="K1098" s="15" t="str">
        <f aca="false">IF(OR(E1098="",E1098="!!!",F1098="NEW"),"",INDEX(J$1:J1097,SUMPRODUCT(MAX(ROW(E$1:E1097)*(E1098=E$1:E1097)))))</f>
        <v/>
      </c>
      <c r="L1098" s="16"/>
    </row>
    <row r="1099" customFormat="false" ht="12.75" hidden="false" customHeight="false" outlineLevel="0" collapsed="false">
      <c r="A1099" s="9" t="s">
        <v>44</v>
      </c>
      <c r="E1099" s="10" t="str">
        <f aca="false">IF(D1099="?OLD","!!!","")</f>
        <v/>
      </c>
      <c r="F1099" s="11" t="str">
        <f aca="false">IF(OR(E1099="",E1099="!!!"),"",IF(NOT(ISNA(VLOOKUP(E1099,E$1:E1098,1,FALSE()))),"OLD",IF(AND(E1099&lt;&gt;"",E1099&lt;&gt;"!!!"),"NEW","")))</f>
        <v/>
      </c>
      <c r="G1099" s="12" t="str">
        <f aca="false">IF(OR(E1099="",E1099="!!!"),"",IF(OR(J1099=0,AND(J1099=1,K1099=1),AND(J1099=1,I1099="SBJ"),AND(J1099=1,I1099=0)),"?IN_FOCUS",IF(J1099&lt;=2,"?ACTIVATED",IF(J1099&lt;&gt;"","?FAMILIAR",IF(F1099="NEW",IF(ISNA(VLOOKUP(E1099,#REF!,1,FALSE())),"?TYPE_IDENTIFIABLE","?REFERENTIAL"),"_")))))</f>
        <v/>
      </c>
      <c r="H1099" s="13" t="str">
        <f aca="false">IF(J1099&lt;&gt;1,"",IF(I1099="SBJ","CB","?"))</f>
        <v/>
      </c>
      <c r="I1099" s="14" t="str">
        <f aca="false">IF(OR(E1099="",E1099="!!!",F1099="NEW"),"",INDEX(B$2:B1098,-1+SUMPRODUCT(MAX(ROW(E$2:E1098)*(E1099=E$2:E1098)))))</f>
        <v/>
      </c>
      <c r="J1099" s="15" t="str">
        <f aca="true">IF(OR(E1099="",E1099="!!!",F1099="NEW"),"",COUNTBLANK(OFFSET(A$1,,,SUMPRODUCT(MAX(ROW(E$2:E1099)*(E1099=E$2:E1099)))))-COUNTBLANK(OFFSET(A$1,,,SUMPRODUCT(MAX(ROW(E$1:E1098)*(E1099=E$1:E1098))))))</f>
        <v/>
      </c>
      <c r="K1099" s="15" t="str">
        <f aca="false">IF(OR(E1099="",E1099="!!!",F1099="NEW"),"",INDEX(J$1:J1098,SUMPRODUCT(MAX(ROW(E$1:E1098)*(E1099=E$1:E1098)))))</f>
        <v/>
      </c>
      <c r="L1099" s="16"/>
    </row>
    <row r="1100" customFormat="false" ht="12.75" hidden="false" customHeight="false" outlineLevel="0" collapsed="false">
      <c r="A1100" s="9" t="s">
        <v>45</v>
      </c>
      <c r="E1100" s="10" t="str">
        <f aca="false">IF(D1100="?OLD","!!!","")</f>
        <v/>
      </c>
      <c r="F1100" s="11" t="str">
        <f aca="false">IF(OR(E1100="",E1100="!!!"),"",IF(NOT(ISNA(VLOOKUP(E1100,E$1:E1099,1,FALSE()))),"OLD",IF(AND(E1100&lt;&gt;"",E1100&lt;&gt;"!!!"),"NEW","")))</f>
        <v/>
      </c>
      <c r="G1100" s="12" t="str">
        <f aca="false">IF(OR(E1100="",E1100="!!!"),"",IF(OR(J1100=0,AND(J1100=1,K1100=1),AND(J1100=1,I1100="SBJ"),AND(J1100=1,I1100=0)),"?IN_FOCUS",IF(J1100&lt;=2,"?ACTIVATED",IF(J1100&lt;&gt;"","?FAMILIAR",IF(F1100="NEW",IF(ISNA(VLOOKUP(E1100,#REF!,1,FALSE())),"?TYPE_IDENTIFIABLE","?REFERENTIAL"),"_")))))</f>
        <v/>
      </c>
      <c r="H1100" s="13" t="str">
        <f aca="false">IF(J1100&lt;&gt;1,"",IF(I1100="SBJ","CB","?"))</f>
        <v/>
      </c>
      <c r="I1100" s="14" t="str">
        <f aca="false">IF(OR(E1100="",E1100="!!!",F1100="NEW"),"",INDEX(B$2:B1099,-1+SUMPRODUCT(MAX(ROW(E$2:E1099)*(E1100=E$2:E1099)))))</f>
        <v/>
      </c>
      <c r="J1100" s="15" t="str">
        <f aca="true">IF(OR(E1100="",E1100="!!!",F1100="NEW"),"",COUNTBLANK(OFFSET(A$1,,,SUMPRODUCT(MAX(ROW(E$2:E1100)*(E1100=E$2:E1100)))))-COUNTBLANK(OFFSET(A$1,,,SUMPRODUCT(MAX(ROW(E$1:E1099)*(E1100=E$1:E1099))))))</f>
        <v/>
      </c>
      <c r="K1100" s="15" t="str">
        <f aca="false">IF(OR(E1100="",E1100="!!!",F1100="NEW"),"",INDEX(J$1:J1099,SUMPRODUCT(MAX(ROW(E$1:E1099)*(E1100=E$1:E1099)))))</f>
        <v/>
      </c>
      <c r="L1100" s="16"/>
    </row>
    <row r="1101" customFormat="false" ht="12.75" hidden="false" customHeight="false" outlineLevel="0" collapsed="false">
      <c r="A1101" s="9" t="s">
        <v>473</v>
      </c>
      <c r="B1101" s="0" t="s">
        <v>25</v>
      </c>
      <c r="C1101" s="0" t="s">
        <v>47</v>
      </c>
      <c r="D1101" s="0" t="s">
        <v>27</v>
      </c>
      <c r="E1101" s="10" t="s">
        <v>472</v>
      </c>
      <c r="F1101" s="11" t="str">
        <f aca="false">IF(OR(E1101="",E1101="!!!"),"",IF(NOT(ISNA(VLOOKUP(E1101,E$1:E1100,1,FALSE()))),"OLD",IF(AND(E1101&lt;&gt;"",E1101&lt;&gt;"!!!"),"NEW","")))</f>
        <v>OLD</v>
      </c>
      <c r="G1101" s="12" t="s">
        <v>51</v>
      </c>
      <c r="H1101" s="13" t="str">
        <f aca="false">IF(J1101&lt;&gt;1,"",IF(I1101="SBJ","CB","?"))</f>
        <v/>
      </c>
      <c r="I1101" s="14" t="str">
        <f aca="false">IF(OR(E1101="",E1101="!!!",F1101="NEW"),"",INDEX(B$2:B1100,-1+SUMPRODUCT(MAX(ROW(E$2:E1100)*(E1101=E$2:E1100)))))</f>
        <v>other</v>
      </c>
      <c r="J1101" s="15" t="n">
        <f aca="true">IF(OR(E1101="",E1101="!!!",F1101="NEW"),"",COUNTBLANK(OFFSET(A$1,,,SUMPRODUCT(MAX(ROW(E$2:E1101)*(E1101=E$2:E1101)))))-COUNTBLANK(OFFSET(A$1,,,SUMPRODUCT(MAX(ROW(E$1:E1100)*(E1101=E$1:E1100))))))</f>
        <v>0</v>
      </c>
      <c r="K1101" s="15" t="str">
        <f aca="false">IF(OR(E1101="",E1101="!!!",F1101="NEW"),"",INDEX(J$1:J1100,SUMPRODUCT(MAX(ROW(E$1:E1100)*(E1101=E$1:E1100)))))</f>
        <v/>
      </c>
      <c r="L1101" s="16"/>
    </row>
    <row r="1102" customFormat="false" ht="12.75" hidden="false" customHeight="false" outlineLevel="0" collapsed="false">
      <c r="A1102" s="9" t="s">
        <v>22</v>
      </c>
      <c r="E1102" s="10" t="str">
        <f aca="false">IF(D1102="?OLD","!!!","")</f>
        <v/>
      </c>
      <c r="F1102" s="11" t="str">
        <f aca="false">IF(OR(E1102="",E1102="!!!"),"",IF(NOT(ISNA(VLOOKUP(E1102,E$1:E1101,1,FALSE()))),"OLD",IF(AND(E1102&lt;&gt;"",E1102&lt;&gt;"!!!"),"NEW","")))</f>
        <v/>
      </c>
      <c r="G1102" s="12" t="str">
        <f aca="false">IF(OR(E1102="",E1102="!!!"),"",IF(OR(J1102=0,AND(J1102=1,K1102=1),AND(J1102=1,I1102="SBJ"),AND(J1102=1,I1102=0)),"?IN_FOCUS",IF(J1102&lt;=2,"?ACTIVATED",IF(J1102&lt;&gt;"","?FAMILIAR",IF(F1102="NEW",IF(ISNA(VLOOKUP(E1102,#REF!,1,FALSE())),"?TYPE_IDENTIFIABLE","?REFERENTIAL"),"_")))))</f>
        <v/>
      </c>
      <c r="H1102" s="13" t="str">
        <f aca="false">IF(J1102&lt;&gt;1,"",IF(I1102="SBJ","CB","?"))</f>
        <v/>
      </c>
      <c r="I1102" s="14" t="str">
        <f aca="false">IF(OR(E1102="",E1102="!!!",F1102="NEW"),"",INDEX(B$2:B1101,-1+SUMPRODUCT(MAX(ROW(E$2:E1101)*(E1102=E$2:E1101)))))</f>
        <v/>
      </c>
      <c r="J1102" s="15" t="str">
        <f aca="true">IF(OR(E1102="",E1102="!!!",F1102="NEW"),"",COUNTBLANK(OFFSET(A$1,,,SUMPRODUCT(MAX(ROW(E$2:E1102)*(E1102=E$2:E1102)))))-COUNTBLANK(OFFSET(A$1,,,SUMPRODUCT(MAX(ROW(E$1:E1101)*(E1102=E$1:E1101))))))</f>
        <v/>
      </c>
      <c r="K1102" s="15" t="str">
        <f aca="false">IF(OR(E1102="",E1102="!!!",F1102="NEW"),"",INDEX(J$1:J1101,SUMPRODUCT(MAX(ROW(E$1:E1101)*(E1102=E$1:E1101)))))</f>
        <v/>
      </c>
      <c r="L1102" s="16"/>
    </row>
    <row r="1103" customFormat="false" ht="12.75" hidden="false" customHeight="false" outlineLevel="0" collapsed="false">
      <c r="A1103" s="9" t="s">
        <v>39</v>
      </c>
      <c r="E1103" s="10" t="str">
        <f aca="false">IF(D1103="?OLD","!!!","")</f>
        <v/>
      </c>
      <c r="F1103" s="11" t="str">
        <f aca="false">IF(OR(E1103="",E1103="!!!"),"",IF(NOT(ISNA(VLOOKUP(E1103,E$1:E1102,1,FALSE()))),"OLD",IF(AND(E1103&lt;&gt;"",E1103&lt;&gt;"!!!"),"NEW","")))</f>
        <v/>
      </c>
      <c r="G1103" s="12" t="str">
        <f aca="false">IF(OR(E1103="",E1103="!!!"),"",IF(OR(J1103=0,AND(J1103=1,K1103=1),AND(J1103=1,I1103="SBJ"),AND(J1103=1,I1103=0)),"?IN_FOCUS",IF(J1103&lt;=2,"?ACTIVATED",IF(J1103&lt;&gt;"","?FAMILIAR",IF(F1103="NEW",IF(ISNA(VLOOKUP(E1103,#REF!,1,FALSE())),"?TYPE_IDENTIFIABLE","?REFERENTIAL"),"_")))))</f>
        <v/>
      </c>
      <c r="H1103" s="13" t="str">
        <f aca="false">IF(J1103&lt;&gt;1,"",IF(I1103="SBJ","CB","?"))</f>
        <v/>
      </c>
      <c r="I1103" s="14" t="str">
        <f aca="false">IF(OR(E1103="",E1103="!!!",F1103="NEW"),"",INDEX(B$2:B1102,-1+SUMPRODUCT(MAX(ROW(E$2:E1102)*(E1103=E$2:E1102)))))</f>
        <v/>
      </c>
      <c r="J1103" s="15" t="str">
        <f aca="true">IF(OR(E1103="",E1103="!!!",F1103="NEW"),"",COUNTBLANK(OFFSET(A$1,,,SUMPRODUCT(MAX(ROW(E$2:E1103)*(E1103=E$2:E1103)))))-COUNTBLANK(OFFSET(A$1,,,SUMPRODUCT(MAX(ROW(E$1:E1102)*(E1103=E$1:E1102))))))</f>
        <v/>
      </c>
      <c r="K1103" s="15" t="str">
        <f aca="false">IF(OR(E1103="",E1103="!!!",F1103="NEW"),"",INDEX(J$1:J1102,SUMPRODUCT(MAX(ROW(E$1:E1102)*(E1103=E$1:E1102)))))</f>
        <v/>
      </c>
      <c r="L1103" s="16"/>
    </row>
    <row r="1104" customFormat="false" ht="12.75" hidden="false" customHeight="false" outlineLevel="0" collapsed="false">
      <c r="A1104" s="9" t="s">
        <v>474</v>
      </c>
      <c r="E1104" s="10" t="str">
        <f aca="false">IF(D1104="?OLD","!!!","")</f>
        <v/>
      </c>
      <c r="F1104" s="11" t="str">
        <f aca="false">IF(OR(E1104="",E1104="!!!"),"",IF(NOT(ISNA(VLOOKUP(E1104,E$1:E1103,1,FALSE()))),"OLD",IF(AND(E1104&lt;&gt;"",E1104&lt;&gt;"!!!"),"NEW","")))</f>
        <v/>
      </c>
      <c r="G1104" s="12" t="str">
        <f aca="false">IF(OR(E1104="",E1104="!!!"),"",IF(OR(J1104=0,AND(J1104=1,K1104=1),AND(J1104=1,I1104="SBJ"),AND(J1104=1,I1104=0)),"?IN_FOCUS",IF(J1104&lt;=2,"?ACTIVATED",IF(J1104&lt;&gt;"","?FAMILIAR",IF(F1104="NEW",IF(ISNA(VLOOKUP(E1104,#REF!,1,FALSE())),"?TYPE_IDENTIFIABLE","?REFERENTIAL"),"_")))))</f>
        <v/>
      </c>
      <c r="H1104" s="13" t="str">
        <f aca="false">IF(J1104&lt;&gt;1,"",IF(I1104="SBJ","CB","?"))</f>
        <v/>
      </c>
      <c r="I1104" s="14" t="str">
        <f aca="false">IF(OR(E1104="",E1104="!!!",F1104="NEW"),"",INDEX(B$2:B1103,-1+SUMPRODUCT(MAX(ROW(E$2:E1103)*(E1104=E$2:E1103)))))</f>
        <v/>
      </c>
      <c r="J1104" s="15" t="str">
        <f aca="true">IF(OR(E1104="",E1104="!!!",F1104="NEW"),"",COUNTBLANK(OFFSET(A$1,,,SUMPRODUCT(MAX(ROW(E$2:E1104)*(E1104=E$2:E1104)))))-COUNTBLANK(OFFSET(A$1,,,SUMPRODUCT(MAX(ROW(E$1:E1103)*(E1104=E$1:E1103))))))</f>
        <v/>
      </c>
      <c r="K1104" s="15" t="str">
        <f aca="false">IF(OR(E1104="",E1104="!!!",F1104="NEW"),"",INDEX(J$1:J1103,SUMPRODUCT(MAX(ROW(E$1:E1103)*(E1104=E$1:E1103)))))</f>
        <v/>
      </c>
      <c r="L1104" s="16"/>
    </row>
    <row r="1105" customFormat="false" ht="12.75" hidden="false" customHeight="false" outlineLevel="0" collapsed="false">
      <c r="A1105" s="9" t="s">
        <v>475</v>
      </c>
      <c r="E1105" s="10" t="str">
        <f aca="false">IF(D1105="?OLD","!!!","")</f>
        <v/>
      </c>
      <c r="F1105" s="11" t="str">
        <f aca="false">IF(OR(E1105="",E1105="!!!"),"",IF(NOT(ISNA(VLOOKUP(E1105,E$1:E1104,1,FALSE()))),"OLD",IF(AND(E1105&lt;&gt;"",E1105&lt;&gt;"!!!"),"NEW","")))</f>
        <v/>
      </c>
      <c r="G1105" s="12" t="str">
        <f aca="false">IF(OR(E1105="",E1105="!!!"),"",IF(OR(J1105=0,AND(J1105=1,K1105=1),AND(J1105=1,I1105="SBJ"),AND(J1105=1,I1105=0)),"?IN_FOCUS",IF(J1105&lt;=2,"?ACTIVATED",IF(J1105&lt;&gt;"","?FAMILIAR",IF(F1105="NEW",IF(ISNA(VLOOKUP(E1105,#REF!,1,FALSE())),"?TYPE_IDENTIFIABLE","?REFERENTIAL"),"_")))))</f>
        <v/>
      </c>
      <c r="H1105" s="13" t="str">
        <f aca="false">IF(J1105&lt;&gt;1,"",IF(I1105="SBJ","CB","?"))</f>
        <v/>
      </c>
      <c r="I1105" s="14" t="str">
        <f aca="false">IF(OR(E1105="",E1105="!!!",F1105="NEW"),"",INDEX(B$2:B1104,-1+SUMPRODUCT(MAX(ROW(E$2:E1104)*(E1105=E$2:E1104)))))</f>
        <v/>
      </c>
      <c r="J1105" s="15" t="str">
        <f aca="true">IF(OR(E1105="",E1105="!!!",F1105="NEW"),"",COUNTBLANK(OFFSET(A$1,,,SUMPRODUCT(MAX(ROW(E$2:E1105)*(E1105=E$2:E1105)))))-COUNTBLANK(OFFSET(A$1,,,SUMPRODUCT(MAX(ROW(E$1:E1104)*(E1105=E$1:E1104))))))</f>
        <v/>
      </c>
      <c r="K1105" s="15" t="str">
        <f aca="false">IF(OR(E1105="",E1105="!!!",F1105="NEW"),"",INDEX(J$1:J1104,SUMPRODUCT(MAX(ROW(E$1:E1104)*(E1105=E$1:E1104)))))</f>
        <v/>
      </c>
      <c r="L1105" s="16"/>
    </row>
    <row r="1106" customFormat="false" ht="12.75" hidden="false" customHeight="false" outlineLevel="0" collapsed="false">
      <c r="A1106" s="9" t="s">
        <v>265</v>
      </c>
      <c r="E1106" s="10" t="str">
        <f aca="false">IF(D1106="?OLD","!!!","")</f>
        <v/>
      </c>
      <c r="F1106" s="11" t="str">
        <f aca="false">IF(OR(E1106="",E1106="!!!"),"",IF(NOT(ISNA(VLOOKUP(E1106,E$1:E1105,1,FALSE()))),"OLD",IF(AND(E1106&lt;&gt;"",E1106&lt;&gt;"!!!"),"NEW","")))</f>
        <v/>
      </c>
      <c r="G1106" s="12" t="str">
        <f aca="false">IF(OR(E1106="",E1106="!!!"),"",IF(OR(J1106=0,AND(J1106=1,K1106=1),AND(J1106=1,I1106="SBJ"),AND(J1106=1,I1106=0)),"?IN_FOCUS",IF(J1106&lt;=2,"?ACTIVATED",IF(J1106&lt;&gt;"","?FAMILIAR",IF(F1106="NEW",IF(ISNA(VLOOKUP(E1106,#REF!,1,FALSE())),"?TYPE_IDENTIFIABLE","?REFERENTIAL"),"_")))))</f>
        <v/>
      </c>
      <c r="H1106" s="13" t="str">
        <f aca="false">IF(J1106&lt;&gt;1,"",IF(I1106="SBJ","CB","?"))</f>
        <v/>
      </c>
      <c r="I1106" s="14" t="str">
        <f aca="false">IF(OR(E1106="",E1106="!!!",F1106="NEW"),"",INDEX(B$2:B1105,-1+SUMPRODUCT(MAX(ROW(E$2:E1105)*(E1106=E$2:E1105)))))</f>
        <v/>
      </c>
      <c r="J1106" s="15" t="str">
        <f aca="true">IF(OR(E1106="",E1106="!!!",F1106="NEW"),"",COUNTBLANK(OFFSET(A$1,,,SUMPRODUCT(MAX(ROW(E$2:E1106)*(E1106=E$2:E1106)))))-COUNTBLANK(OFFSET(A$1,,,SUMPRODUCT(MAX(ROW(E$1:E1105)*(E1106=E$1:E1105))))))</f>
        <v/>
      </c>
      <c r="K1106" s="15" t="str">
        <f aca="false">IF(OR(E1106="",E1106="!!!",F1106="NEW"),"",INDEX(J$1:J1105,SUMPRODUCT(MAX(ROW(E$1:E1105)*(E1106=E$1:E1105)))))</f>
        <v/>
      </c>
      <c r="L1106" s="16"/>
    </row>
    <row r="1107" customFormat="false" ht="12.75" hidden="false" customHeight="false" outlineLevel="0" collapsed="false">
      <c r="A1107" s="9" t="s">
        <v>220</v>
      </c>
      <c r="B1107" s="0" t="s">
        <v>43</v>
      </c>
      <c r="C1107" s="0" t="s">
        <v>160</v>
      </c>
      <c r="E1107" s="10" t="str">
        <f aca="false">IF(D1107="?OLD","!!!","")</f>
        <v/>
      </c>
      <c r="F1107" s="11" t="str">
        <f aca="false">IF(OR(E1107="",E1107="!!!"),"",IF(NOT(ISNA(VLOOKUP(E1107,E$1:E1106,1,FALSE()))),"OLD",IF(AND(E1107&lt;&gt;"",E1107&lt;&gt;"!!!"),"NEW","")))</f>
        <v/>
      </c>
      <c r="G1107" s="12" t="str">
        <f aca="false">IF(OR(E1107="",E1107="!!!"),"",IF(OR(J1107=0,AND(J1107=1,K1107=1),AND(J1107=1,I1107="SBJ"),AND(J1107=1,I1107=0)),"?IN_FOCUS",IF(J1107&lt;=2,"?ACTIVATED",IF(J1107&lt;&gt;"","?FAMILIAR",IF(F1107="NEW",IF(ISNA(VLOOKUP(E1107,#REF!,1,FALSE())),"?TYPE_IDENTIFIABLE","?REFERENTIAL"),"_")))))</f>
        <v/>
      </c>
      <c r="H1107" s="13" t="str">
        <f aca="false">IF(J1107&lt;&gt;1,"",IF(I1107="SBJ","CB","?"))</f>
        <v/>
      </c>
      <c r="I1107" s="14" t="str">
        <f aca="false">IF(OR(E1107="",E1107="!!!",F1107="NEW"),"",INDEX(B$2:B1106,-1+SUMPRODUCT(MAX(ROW(E$2:E1106)*(E1107=E$2:E1106)))))</f>
        <v/>
      </c>
      <c r="J1107" s="15" t="str">
        <f aca="true">IF(OR(E1107="",E1107="!!!",F1107="NEW"),"",COUNTBLANK(OFFSET(A$1,,,SUMPRODUCT(MAX(ROW(E$2:E1107)*(E1107=E$2:E1107)))))-COUNTBLANK(OFFSET(A$1,,,SUMPRODUCT(MAX(ROW(E$1:E1106)*(E1107=E$1:E1106))))))</f>
        <v/>
      </c>
      <c r="K1107" s="15" t="str">
        <f aca="false">IF(OR(E1107="",E1107="!!!",F1107="NEW"),"",INDEX(J$1:J1106,SUMPRODUCT(MAX(ROW(E$1:E1106)*(E1107=E$1:E1106)))))</f>
        <v/>
      </c>
      <c r="L1107" s="16"/>
    </row>
    <row r="1108" customFormat="false" ht="12.75" hidden="false" customHeight="false" outlineLevel="0" collapsed="false">
      <c r="A1108" s="9" t="s">
        <v>476</v>
      </c>
      <c r="E1108" s="10" t="str">
        <f aca="false">IF(D1108="?OLD","!!!","")</f>
        <v/>
      </c>
      <c r="F1108" s="11" t="str">
        <f aca="false">IF(OR(E1108="",E1108="!!!"),"",IF(NOT(ISNA(VLOOKUP(E1108,E$1:E1107,1,FALSE()))),"OLD",IF(AND(E1108&lt;&gt;"",E1108&lt;&gt;"!!!"),"NEW","")))</f>
        <v/>
      </c>
      <c r="G1108" s="12" t="str">
        <f aca="false">IF(OR(E1108="",E1108="!!!"),"",IF(OR(J1108=0,AND(J1108=1,K1108=1),AND(J1108=1,I1108="SBJ"),AND(J1108=1,I1108=0)),"?IN_FOCUS",IF(J1108&lt;=2,"?ACTIVATED",IF(J1108&lt;&gt;"","?FAMILIAR",IF(F1108="NEW",IF(ISNA(VLOOKUP(E1108,#REF!,1,FALSE())),"?TYPE_IDENTIFIABLE","?REFERENTIAL"),"_")))))</f>
        <v/>
      </c>
      <c r="H1108" s="13" t="str">
        <f aca="false">IF(J1108&lt;&gt;1,"",IF(I1108="SBJ","CB","?"))</f>
        <v/>
      </c>
      <c r="I1108" s="14" t="str">
        <f aca="false">IF(OR(E1108="",E1108="!!!",F1108="NEW"),"",INDEX(B$2:B1107,-1+SUMPRODUCT(MAX(ROW(E$2:E1107)*(E1108=E$2:E1107)))))</f>
        <v/>
      </c>
      <c r="J1108" s="15" t="str">
        <f aca="true">IF(OR(E1108="",E1108="!!!",F1108="NEW"),"",COUNTBLANK(OFFSET(A$1,,,SUMPRODUCT(MAX(ROW(E$2:E1108)*(E1108=E$2:E1108)))))-COUNTBLANK(OFFSET(A$1,,,SUMPRODUCT(MAX(ROW(E$1:E1107)*(E1108=E$1:E1107))))))</f>
        <v/>
      </c>
      <c r="K1108" s="15" t="str">
        <f aca="false">IF(OR(E1108="",E1108="!!!",F1108="NEW"),"",INDEX(J$1:J1107,SUMPRODUCT(MAX(ROW(E$1:E1107)*(E1108=E$1:E1107)))))</f>
        <v/>
      </c>
      <c r="L1108" s="16"/>
    </row>
    <row r="1109" customFormat="false" ht="12.75" hidden="false" customHeight="false" outlineLevel="0" collapsed="false">
      <c r="A1109" s="9" t="s">
        <v>150</v>
      </c>
      <c r="B1109" s="0" t="s">
        <v>33</v>
      </c>
      <c r="C1109" s="0" t="s">
        <v>58</v>
      </c>
      <c r="D1109" s="0" t="s">
        <v>27</v>
      </c>
      <c r="E1109" s="10" t="s">
        <v>470</v>
      </c>
      <c r="F1109" s="11" t="str">
        <f aca="false">IF(OR(E1109="",E1109="!!!"),"",IF(NOT(ISNA(VLOOKUP(E1109,E$1:E1108,1,FALSE()))),"OLD",IF(AND(E1109&lt;&gt;"",E1109&lt;&gt;"!!!"),"NEW","")))</f>
        <v>OLD</v>
      </c>
      <c r="G1109" s="12" t="s">
        <v>51</v>
      </c>
      <c r="H1109" s="13" t="str">
        <f aca="false">IF(J1109&lt;&gt;1,"",IF(I1109="SBJ","CB","?"))</f>
        <v/>
      </c>
      <c r="I1109" s="14" t="str">
        <f aca="false">IF(OR(E1109="",E1109="!!!",F1109="NEW"),"",INDEX(B$2:B1108,-1+SUMPRODUCT(MAX(ROW(E$2:E1108)*(E1109=E$2:E1108)))))</f>
        <v>SBJ</v>
      </c>
      <c r="J1109" s="15" t="n">
        <f aca="true">IF(OR(E1109="",E1109="!!!",F1109="NEW"),"",COUNTBLANK(OFFSET(A$1,,,SUMPRODUCT(MAX(ROW(E$2:E1109)*(E1109=E$2:E1109)))))-COUNTBLANK(OFFSET(A$1,,,SUMPRODUCT(MAX(ROW(E$1:E1108)*(E1109=E$1:E1108))))))</f>
        <v>0</v>
      </c>
      <c r="K1109" s="15" t="str">
        <f aca="false">IF(OR(E1109="",E1109="!!!",F1109="NEW"),"",INDEX(J$1:J1108,SUMPRODUCT(MAX(ROW(E$1:E1108)*(E1109=E$1:E1108)))))</f>
        <v/>
      </c>
      <c r="L1109" s="16"/>
    </row>
    <row r="1110" customFormat="false" ht="12.75" hidden="false" customHeight="false" outlineLevel="0" collapsed="false">
      <c r="A1110" s="9" t="s">
        <v>68</v>
      </c>
      <c r="E1110" s="10" t="str">
        <f aca="false">IF(D1110="?OLD","!!!","")</f>
        <v/>
      </c>
      <c r="F1110" s="11" t="str">
        <f aca="false">IF(OR(E1110="",E1110="!!!"),"",IF(NOT(ISNA(VLOOKUP(E1110,E$1:E1109,1,FALSE()))),"OLD",IF(AND(E1110&lt;&gt;"",E1110&lt;&gt;"!!!"),"NEW","")))</f>
        <v/>
      </c>
      <c r="G1110" s="12" t="str">
        <f aca="false">IF(OR(E1110="",E1110="!!!"),"",IF(OR(J1110=0,AND(J1110=1,K1110=1),AND(J1110=1,I1110="SBJ"),AND(J1110=1,I1110=0)),"?IN_FOCUS",IF(J1110&lt;=2,"?ACTIVATED",IF(J1110&lt;&gt;"","?FAMILIAR",IF(F1110="NEW",IF(ISNA(VLOOKUP(E1110,#REF!,1,FALSE())),"?TYPE_IDENTIFIABLE","?REFERENTIAL"),"_")))))</f>
        <v/>
      </c>
      <c r="H1110" s="13" t="str">
        <f aca="false">IF(J1110&lt;&gt;1,"",IF(I1110="SBJ","CB","?"))</f>
        <v/>
      </c>
      <c r="I1110" s="14" t="str">
        <f aca="false">IF(OR(E1110="",E1110="!!!",F1110="NEW"),"",INDEX(B$2:B1109,-1+SUMPRODUCT(MAX(ROW(E$2:E1109)*(E1110=E$2:E1109)))))</f>
        <v/>
      </c>
      <c r="J1110" s="15" t="str">
        <f aca="true">IF(OR(E1110="",E1110="!!!",F1110="NEW"),"",COUNTBLANK(OFFSET(A$1,,,SUMPRODUCT(MAX(ROW(E$2:E1110)*(E1110=E$2:E1110)))))-COUNTBLANK(OFFSET(A$1,,,SUMPRODUCT(MAX(ROW(E$1:E1109)*(E1110=E$1:E1109))))))</f>
        <v/>
      </c>
      <c r="K1110" s="15" t="str">
        <f aca="false">IF(OR(E1110="",E1110="!!!",F1110="NEW"),"",INDEX(J$1:J1109,SUMPRODUCT(MAX(ROW(E$1:E1109)*(E1110=E$1:E1109)))))</f>
        <v/>
      </c>
      <c r="L1110" s="16"/>
    </row>
    <row r="1111" customFormat="false" ht="12.75" hidden="false" customHeight="false" outlineLevel="0" collapsed="false">
      <c r="E1111" s="10" t="str">
        <f aca="false">IF(D1111="?OLD","!!!","")</f>
        <v/>
      </c>
      <c r="F1111" s="11" t="str">
        <f aca="false">IF(OR(E1111="",E1111="!!!"),"",IF(NOT(ISNA(VLOOKUP(E1111,E$1:E1110,1,FALSE()))),"OLD",IF(AND(E1111&lt;&gt;"",E1111&lt;&gt;"!!!"),"NEW","")))</f>
        <v/>
      </c>
      <c r="G1111" s="12" t="str">
        <f aca="false">IF(OR(E1111="",E1111="!!!"),"",IF(OR(J1111=0,AND(J1111=1,K1111=1),AND(J1111=1,I1111="SBJ"),AND(J1111=1,I1111=0)),"?IN_FOCUS",IF(J1111&lt;=2,"?ACTIVATED",IF(J1111&lt;&gt;"","?FAMILIAR",IF(F1111="NEW",IF(ISNA(VLOOKUP(E1111,#REF!,1,FALSE())),"?TYPE_IDENTIFIABLE","?REFERENTIAL"),"_")))))</f>
        <v/>
      </c>
      <c r="H1111" s="13" t="str">
        <f aca="false">IF(J1111&lt;&gt;1,"",IF(I1111="SBJ","CB","?"))</f>
        <v/>
      </c>
      <c r="I1111" s="14" t="str">
        <f aca="false">IF(OR(E1111="",E1111="!!!",F1111="NEW"),"",INDEX(B$2:B1110,-1+SUMPRODUCT(MAX(ROW(E$2:E1110)*(E1111=E$2:E1110)))))</f>
        <v/>
      </c>
      <c r="J1111" s="15" t="str">
        <f aca="true">IF(OR(E1111="",E1111="!!!",F1111="NEW"),"",COUNTBLANK(OFFSET(A$1,,,SUMPRODUCT(MAX(ROW(E$2:E1111)*(E1111=E$2:E1111)))))-COUNTBLANK(OFFSET(A$1,,,SUMPRODUCT(MAX(ROW(E$1:E1110)*(E1111=E$1:E1110))))))</f>
        <v/>
      </c>
      <c r="K1111" s="15" t="str">
        <f aca="false">IF(OR(E1111="",E1111="!!!",F1111="NEW"),"",INDEX(J$1:J1110,SUMPRODUCT(MAX(ROW(E$1:E1110)*(E1111=E$1:E1110)))))</f>
        <v/>
      </c>
      <c r="L1111" s="16"/>
    </row>
    <row r="1112" customFormat="false" ht="12.75" hidden="false" customHeight="false" outlineLevel="0" collapsed="false">
      <c r="A1112" s="9" t="s">
        <v>477</v>
      </c>
      <c r="E1112" s="10" t="str">
        <f aca="false">IF(D1112="?OLD","!!!","")</f>
        <v/>
      </c>
      <c r="F1112" s="11" t="str">
        <f aca="false">IF(OR(E1112="",E1112="!!!"),"",IF(NOT(ISNA(VLOOKUP(E1112,E$1:E1111,1,FALSE()))),"OLD",IF(AND(E1112&lt;&gt;"",E1112&lt;&gt;"!!!"),"NEW","")))</f>
        <v/>
      </c>
      <c r="G1112" s="12" t="str">
        <f aca="false">IF(OR(E1112="",E1112="!!!"),"",IF(OR(J1112=0,AND(J1112=1,K1112=1),AND(J1112=1,I1112="SBJ"),AND(J1112=1,I1112=0)),"?IN_FOCUS",IF(J1112&lt;=2,"?ACTIVATED",IF(J1112&lt;&gt;"","?FAMILIAR",IF(F1112="NEW",IF(ISNA(VLOOKUP(E1112,#REF!,1,FALSE())),"?TYPE_IDENTIFIABLE","?REFERENTIAL"),"_")))))</f>
        <v/>
      </c>
      <c r="H1112" s="13" t="str">
        <f aca="false">IF(J1112&lt;&gt;1,"",IF(I1112="SBJ","CB","?"))</f>
        <v/>
      </c>
      <c r="I1112" s="14" t="str">
        <f aca="false">IF(OR(E1112="",E1112="!!!",F1112="NEW"),"",INDEX(B$2:B1111,-1+SUMPRODUCT(MAX(ROW(E$2:E1111)*(E1112=E$2:E1111)))))</f>
        <v/>
      </c>
      <c r="J1112" s="15" t="str">
        <f aca="true">IF(OR(E1112="",E1112="!!!",F1112="NEW"),"",COUNTBLANK(OFFSET(A$1,,,SUMPRODUCT(MAX(ROW(E$2:E1112)*(E1112=E$2:E1112)))))-COUNTBLANK(OFFSET(A$1,,,SUMPRODUCT(MAX(ROW(E$1:E1111)*(E1112=E$1:E1111))))))</f>
        <v/>
      </c>
      <c r="K1112" s="15" t="str">
        <f aca="false">IF(OR(E1112="",E1112="!!!",F1112="NEW"),"",INDEX(J$1:J1111,SUMPRODUCT(MAX(ROW(E$1:E1111)*(E1112=E$1:E1111)))))</f>
        <v/>
      </c>
      <c r="L1112" s="16"/>
    </row>
    <row r="1113" customFormat="false" ht="12.75" hidden="false" customHeight="false" outlineLevel="0" collapsed="false">
      <c r="A1113" s="9" t="s">
        <v>444</v>
      </c>
      <c r="B1113" s="0" t="s">
        <v>17</v>
      </c>
      <c r="C1113" s="0" t="s">
        <v>58</v>
      </c>
      <c r="D1113" s="0" t="s">
        <v>27</v>
      </c>
      <c r="E1113" s="10" t="s">
        <v>470</v>
      </c>
      <c r="F1113" s="11" t="str">
        <f aca="false">IF(OR(E1113="",E1113="!!!"),"",IF(NOT(ISNA(VLOOKUP(E1113,E$1:E1112,1,FALSE()))),"OLD",IF(AND(E1113&lt;&gt;"",E1113&lt;&gt;"!!!"),"NEW","")))</f>
        <v>OLD</v>
      </c>
      <c r="G1113" s="12" t="s">
        <v>49</v>
      </c>
      <c r="H1113" s="13" t="s">
        <v>7</v>
      </c>
      <c r="I1113" s="14" t="str">
        <f aca="false">IF(OR(E1113="",E1113="!!!",F1113="NEW"),"",INDEX(B$2:B1112,-1+SUMPRODUCT(MAX(ROW(E$2:E1112)*(E1113=E$2:E1112)))))</f>
        <v>other_3</v>
      </c>
      <c r="J1113" s="15" t="n">
        <f aca="true">IF(OR(E1113="",E1113="!!!",F1113="NEW"),"",COUNTBLANK(OFFSET(A$1,,,SUMPRODUCT(MAX(ROW(E$2:E1113)*(E1113=E$2:E1113)))))-COUNTBLANK(OFFSET(A$1,,,SUMPRODUCT(MAX(ROW(E$1:E1112)*(E1113=E$1:E1112))))))</f>
        <v>1</v>
      </c>
      <c r="K1113" s="15" t="n">
        <f aca="false">IF(OR(E1113="",E1113="!!!",F1113="NEW"),"",INDEX(J$1:J1112,SUMPRODUCT(MAX(ROW(E$1:E1112)*(E1113=E$1:E1112)))))</f>
        <v>0</v>
      </c>
      <c r="L1113" s="16"/>
    </row>
    <row r="1114" customFormat="false" ht="12.75" hidden="false" customHeight="false" outlineLevel="0" collapsed="false">
      <c r="A1114" s="9" t="s">
        <v>53</v>
      </c>
      <c r="E1114" s="10" t="str">
        <f aca="false">IF(D1114="?OLD","!!!","")</f>
        <v/>
      </c>
      <c r="F1114" s="11" t="str">
        <f aca="false">IF(OR(E1114="",E1114="!!!"),"",IF(NOT(ISNA(VLOOKUP(E1114,E$1:E1113,1,FALSE()))),"OLD",IF(AND(E1114&lt;&gt;"",E1114&lt;&gt;"!!!"),"NEW","")))</f>
        <v/>
      </c>
      <c r="G1114" s="12" t="str">
        <f aca="false">IF(OR(E1114="",E1114="!!!"),"",IF(OR(J1114=0,AND(J1114=1,K1114=1),AND(J1114=1,I1114="SBJ"),AND(J1114=1,I1114=0)),"?IN_FOCUS",IF(J1114&lt;=2,"?ACTIVATED",IF(J1114&lt;&gt;"","?FAMILIAR",IF(F1114="NEW",IF(ISNA(VLOOKUP(E1114,#REF!,1,FALSE())),"?TYPE_IDENTIFIABLE","?REFERENTIAL"),"_")))))</f>
        <v/>
      </c>
      <c r="H1114" s="13" t="str">
        <f aca="false">IF(J1114&lt;&gt;1,"",IF(I1114="SBJ","CB","?"))</f>
        <v/>
      </c>
      <c r="I1114" s="14" t="str">
        <f aca="false">IF(OR(E1114="",E1114="!!!",F1114="NEW"),"",INDEX(B$2:B1113,-1+SUMPRODUCT(MAX(ROW(E$2:E1113)*(E1114=E$2:E1113)))))</f>
        <v/>
      </c>
      <c r="J1114" s="15" t="str">
        <f aca="true">IF(OR(E1114="",E1114="!!!",F1114="NEW"),"",COUNTBLANK(OFFSET(A$1,,,SUMPRODUCT(MAX(ROW(E$2:E1114)*(E1114=E$2:E1114)))))-COUNTBLANK(OFFSET(A$1,,,SUMPRODUCT(MAX(ROW(E$1:E1113)*(E1114=E$1:E1113))))))</f>
        <v/>
      </c>
      <c r="K1114" s="15" t="str">
        <f aca="false">IF(OR(E1114="",E1114="!!!",F1114="NEW"),"",INDEX(J$1:J1113,SUMPRODUCT(MAX(ROW(E$1:E1113)*(E1114=E$1:E1113)))))</f>
        <v/>
      </c>
      <c r="L1114" s="16"/>
    </row>
    <row r="1115" customFormat="false" ht="12.75" hidden="false" customHeight="false" outlineLevel="0" collapsed="false">
      <c r="A1115" s="9" t="s">
        <v>478</v>
      </c>
      <c r="E1115" s="10" t="str">
        <f aca="false">IF(D1115="?OLD","!!!","")</f>
        <v/>
      </c>
      <c r="F1115" s="11" t="str">
        <f aca="false">IF(OR(E1115="",E1115="!!!"),"",IF(NOT(ISNA(VLOOKUP(E1115,E$1:E1114,1,FALSE()))),"OLD",IF(AND(E1115&lt;&gt;"",E1115&lt;&gt;"!!!"),"NEW","")))</f>
        <v/>
      </c>
      <c r="G1115" s="12" t="str">
        <f aca="false">IF(OR(E1115="",E1115="!!!"),"",IF(OR(J1115=0,AND(J1115=1,K1115=1),AND(J1115=1,I1115="SBJ"),AND(J1115=1,I1115=0)),"?IN_FOCUS",IF(J1115&lt;=2,"?ACTIVATED",IF(J1115&lt;&gt;"","?FAMILIAR",IF(F1115="NEW",IF(ISNA(VLOOKUP(E1115,#REF!,1,FALSE())),"?TYPE_IDENTIFIABLE","?REFERENTIAL"),"_")))))</f>
        <v/>
      </c>
      <c r="H1115" s="13" t="str">
        <f aca="false">IF(J1115&lt;&gt;1,"",IF(I1115="SBJ","CB","?"))</f>
        <v/>
      </c>
      <c r="I1115" s="14" t="str">
        <f aca="false">IF(OR(E1115="",E1115="!!!",F1115="NEW"),"",INDEX(B$2:B1114,-1+SUMPRODUCT(MAX(ROW(E$2:E1114)*(E1115=E$2:E1114)))))</f>
        <v/>
      </c>
      <c r="J1115" s="15" t="str">
        <f aca="true">IF(OR(E1115="",E1115="!!!",F1115="NEW"),"",COUNTBLANK(OFFSET(A$1,,,SUMPRODUCT(MAX(ROW(E$2:E1115)*(E1115=E$2:E1115)))))-COUNTBLANK(OFFSET(A$1,,,SUMPRODUCT(MAX(ROW(E$1:E1114)*(E1115=E$1:E1114))))))</f>
        <v/>
      </c>
      <c r="K1115" s="15" t="str">
        <f aca="false">IF(OR(E1115="",E1115="!!!",F1115="NEW"),"",INDEX(J$1:J1114,SUMPRODUCT(MAX(ROW(E$1:E1114)*(E1115=E$1:E1114)))))</f>
        <v/>
      </c>
      <c r="L1115" s="16"/>
    </row>
    <row r="1116" customFormat="false" ht="12.75" hidden="false" customHeight="false" outlineLevel="0" collapsed="false">
      <c r="A1116" s="9" t="s">
        <v>22</v>
      </c>
      <c r="E1116" s="10" t="str">
        <f aca="false">IF(D1116="?OLD","!!!","")</f>
        <v/>
      </c>
      <c r="F1116" s="11" t="str">
        <f aca="false">IF(OR(E1116="",E1116="!!!"),"",IF(NOT(ISNA(VLOOKUP(E1116,E$1:E1115,1,FALSE()))),"OLD",IF(AND(E1116&lt;&gt;"",E1116&lt;&gt;"!!!"),"NEW","")))</f>
        <v/>
      </c>
      <c r="G1116" s="12" t="str">
        <f aca="false">IF(OR(E1116="",E1116="!!!"),"",IF(OR(J1116=0,AND(J1116=1,K1116=1),AND(J1116=1,I1116="SBJ"),AND(J1116=1,I1116=0)),"?IN_FOCUS",IF(J1116&lt;=2,"?ACTIVATED",IF(J1116&lt;&gt;"","?FAMILIAR",IF(F1116="NEW",IF(ISNA(VLOOKUP(E1116,#REF!,1,FALSE())),"?TYPE_IDENTIFIABLE","?REFERENTIAL"),"_")))))</f>
        <v/>
      </c>
      <c r="H1116" s="13" t="str">
        <f aca="false">IF(J1116&lt;&gt;1,"",IF(I1116="SBJ","CB","?"))</f>
        <v/>
      </c>
      <c r="I1116" s="14" t="str">
        <f aca="false">IF(OR(E1116="",E1116="!!!",F1116="NEW"),"",INDEX(B$2:B1115,-1+SUMPRODUCT(MAX(ROW(E$2:E1115)*(E1116=E$2:E1115)))))</f>
        <v/>
      </c>
      <c r="J1116" s="15" t="str">
        <f aca="true">IF(OR(E1116="",E1116="!!!",F1116="NEW"),"",COUNTBLANK(OFFSET(A$1,,,SUMPRODUCT(MAX(ROW(E$2:E1116)*(E1116=E$2:E1116)))))-COUNTBLANK(OFFSET(A$1,,,SUMPRODUCT(MAX(ROW(E$1:E1115)*(E1116=E$1:E1115))))))</f>
        <v/>
      </c>
      <c r="K1116" s="15" t="str">
        <f aca="false">IF(OR(E1116="",E1116="!!!",F1116="NEW"),"",INDEX(J$1:J1115,SUMPRODUCT(MAX(ROW(E$1:E1115)*(E1116=E$1:E1115)))))</f>
        <v/>
      </c>
      <c r="L1116" s="16"/>
    </row>
    <row r="1117" customFormat="false" ht="12.75" hidden="false" customHeight="false" outlineLevel="0" collapsed="false">
      <c r="A1117" s="9" t="s">
        <v>39</v>
      </c>
      <c r="E1117" s="10" t="str">
        <f aca="false">IF(D1117="?OLD","!!!","")</f>
        <v/>
      </c>
      <c r="F1117" s="11" t="str">
        <f aca="false">IF(OR(E1117="",E1117="!!!"),"",IF(NOT(ISNA(VLOOKUP(E1117,E$1:E1116,1,FALSE()))),"OLD",IF(AND(E1117&lt;&gt;"",E1117&lt;&gt;"!!!"),"NEW","")))</f>
        <v/>
      </c>
      <c r="G1117" s="12" t="str">
        <f aca="false">IF(OR(E1117="",E1117="!!!"),"",IF(OR(J1117=0,AND(J1117=1,K1117=1),AND(J1117=1,I1117="SBJ"),AND(J1117=1,I1117=0)),"?IN_FOCUS",IF(J1117&lt;=2,"?ACTIVATED",IF(J1117&lt;&gt;"","?FAMILIAR",IF(F1117="NEW",IF(ISNA(VLOOKUP(E1117,#REF!,1,FALSE())),"?TYPE_IDENTIFIABLE","?REFERENTIAL"),"_")))))</f>
        <v/>
      </c>
      <c r="H1117" s="13" t="str">
        <f aca="false">IF(J1117&lt;&gt;1,"",IF(I1117="SBJ","CB","?"))</f>
        <v/>
      </c>
      <c r="I1117" s="14" t="str">
        <f aca="false">IF(OR(E1117="",E1117="!!!",F1117="NEW"),"",INDEX(B$2:B1116,-1+SUMPRODUCT(MAX(ROW(E$2:E1116)*(E1117=E$2:E1116)))))</f>
        <v/>
      </c>
      <c r="J1117" s="15" t="str">
        <f aca="true">IF(OR(E1117="",E1117="!!!",F1117="NEW"),"",COUNTBLANK(OFFSET(A$1,,,SUMPRODUCT(MAX(ROW(E$2:E1117)*(E1117=E$2:E1117)))))-COUNTBLANK(OFFSET(A$1,,,SUMPRODUCT(MAX(ROW(E$1:E1116)*(E1117=E$1:E1116))))))</f>
        <v/>
      </c>
      <c r="K1117" s="15" t="str">
        <f aca="false">IF(OR(E1117="",E1117="!!!",F1117="NEW"),"",INDEX(J$1:J1116,SUMPRODUCT(MAX(ROW(E$1:E1116)*(E1117=E$1:E1116)))))</f>
        <v/>
      </c>
      <c r="L1117" s="16"/>
    </row>
    <row r="1118" customFormat="false" ht="12.75" hidden="false" customHeight="false" outlineLevel="0" collapsed="false">
      <c r="A1118" s="9" t="s">
        <v>140</v>
      </c>
      <c r="E1118" s="10" t="str">
        <f aca="false">IF(D1118="?OLD","!!!","")</f>
        <v/>
      </c>
      <c r="F1118" s="11" t="str">
        <f aca="false">IF(OR(E1118="",E1118="!!!"),"",IF(NOT(ISNA(VLOOKUP(E1118,E$1:E1117,1,FALSE()))),"OLD",IF(AND(E1118&lt;&gt;"",E1118&lt;&gt;"!!!"),"NEW","")))</f>
        <v/>
      </c>
      <c r="G1118" s="12" t="str">
        <f aca="false">IF(OR(E1118="",E1118="!!!"),"",IF(OR(J1118=0,AND(J1118=1,K1118=1),AND(J1118=1,I1118="SBJ"),AND(J1118=1,I1118=0)),"?IN_FOCUS",IF(J1118&lt;=2,"?ACTIVATED",IF(J1118&lt;&gt;"","?FAMILIAR",IF(F1118="NEW",IF(ISNA(VLOOKUP(E1118,#REF!,1,FALSE())),"?TYPE_IDENTIFIABLE","?REFERENTIAL"),"_")))))</f>
        <v/>
      </c>
      <c r="H1118" s="13" t="str">
        <f aca="false">IF(J1118&lt;&gt;1,"",IF(I1118="SBJ","CB","?"))</f>
        <v/>
      </c>
      <c r="I1118" s="14" t="str">
        <f aca="false">IF(OR(E1118="",E1118="!!!",F1118="NEW"),"",INDEX(B$2:B1117,-1+SUMPRODUCT(MAX(ROW(E$2:E1117)*(E1118=E$2:E1117)))))</f>
        <v/>
      </c>
      <c r="J1118" s="15" t="str">
        <f aca="true">IF(OR(E1118="",E1118="!!!",F1118="NEW"),"",COUNTBLANK(OFFSET(A$1,,,SUMPRODUCT(MAX(ROW(E$2:E1118)*(E1118=E$2:E1118)))))-COUNTBLANK(OFFSET(A$1,,,SUMPRODUCT(MAX(ROW(E$1:E1117)*(E1118=E$1:E1117))))))</f>
        <v/>
      </c>
      <c r="K1118" s="15" t="str">
        <f aca="false">IF(OR(E1118="",E1118="!!!",F1118="NEW"),"",INDEX(J$1:J1117,SUMPRODUCT(MAX(ROW(E$1:E1117)*(E1118=E$1:E1117)))))</f>
        <v/>
      </c>
      <c r="L1118" s="16"/>
    </row>
    <row r="1119" customFormat="false" ht="12.75" hidden="false" customHeight="false" outlineLevel="0" collapsed="false">
      <c r="A1119" s="9" t="s">
        <v>22</v>
      </c>
      <c r="E1119" s="10" t="str">
        <f aca="false">IF(D1119="?OLD","!!!","")</f>
        <v/>
      </c>
      <c r="F1119" s="11" t="str">
        <f aca="false">IF(OR(E1119="",E1119="!!!"),"",IF(NOT(ISNA(VLOOKUP(E1119,E$1:E1118,1,FALSE()))),"OLD",IF(AND(E1119&lt;&gt;"",E1119&lt;&gt;"!!!"),"NEW","")))</f>
        <v/>
      </c>
      <c r="G1119" s="12" t="str">
        <f aca="false">IF(OR(E1119="",E1119="!!!"),"",IF(OR(J1119=0,AND(J1119=1,K1119=1),AND(J1119=1,I1119="SBJ"),AND(J1119=1,I1119=0)),"?IN_FOCUS",IF(J1119&lt;=2,"?ACTIVATED",IF(J1119&lt;&gt;"","?FAMILIAR",IF(F1119="NEW",IF(ISNA(VLOOKUP(E1119,#REF!,1,FALSE())),"?TYPE_IDENTIFIABLE","?REFERENTIAL"),"_")))))</f>
        <v/>
      </c>
      <c r="H1119" s="13" t="str">
        <f aca="false">IF(J1119&lt;&gt;1,"",IF(I1119="SBJ","CB","?"))</f>
        <v/>
      </c>
      <c r="I1119" s="14" t="str">
        <f aca="false">IF(OR(E1119="",E1119="!!!",F1119="NEW"),"",INDEX(B$2:B1118,-1+SUMPRODUCT(MAX(ROW(E$2:E1118)*(E1119=E$2:E1118)))))</f>
        <v/>
      </c>
      <c r="J1119" s="15" t="str">
        <f aca="true">IF(OR(E1119="",E1119="!!!",F1119="NEW"),"",COUNTBLANK(OFFSET(A$1,,,SUMPRODUCT(MAX(ROW(E$2:E1119)*(E1119=E$2:E1119)))))-COUNTBLANK(OFFSET(A$1,,,SUMPRODUCT(MAX(ROW(E$1:E1118)*(E1119=E$1:E1118))))))</f>
        <v/>
      </c>
      <c r="K1119" s="15" t="str">
        <f aca="false">IF(OR(E1119="",E1119="!!!",F1119="NEW"),"",INDEX(J$1:J1118,SUMPRODUCT(MAX(ROW(E$1:E1118)*(E1119=E$1:E1118)))))</f>
        <v/>
      </c>
      <c r="L1119" s="16"/>
    </row>
    <row r="1120" customFormat="false" ht="12.75" hidden="false" customHeight="false" outlineLevel="0" collapsed="false">
      <c r="A1120" s="9" t="s">
        <v>258</v>
      </c>
      <c r="E1120" s="10" t="str">
        <f aca="false">IF(D1120="?OLD","!!!","")</f>
        <v/>
      </c>
      <c r="F1120" s="11" t="str">
        <f aca="false">IF(OR(E1120="",E1120="!!!"),"",IF(NOT(ISNA(VLOOKUP(E1120,E$1:E1119,1,FALSE()))),"OLD",IF(AND(E1120&lt;&gt;"",E1120&lt;&gt;"!!!"),"NEW","")))</f>
        <v/>
      </c>
      <c r="G1120" s="12" t="str">
        <f aca="false">IF(OR(E1120="",E1120="!!!"),"",IF(OR(J1120=0,AND(J1120=1,K1120=1),AND(J1120=1,I1120="SBJ"),AND(J1120=1,I1120=0)),"?IN_FOCUS",IF(J1120&lt;=2,"?ACTIVATED",IF(J1120&lt;&gt;"","?FAMILIAR",IF(F1120="NEW",IF(ISNA(VLOOKUP(E1120,#REF!,1,FALSE())),"?TYPE_IDENTIFIABLE","?REFERENTIAL"),"_")))))</f>
        <v/>
      </c>
      <c r="H1120" s="13" t="str">
        <f aca="false">IF(J1120&lt;&gt;1,"",IF(I1120="SBJ","CB","?"))</f>
        <v/>
      </c>
      <c r="I1120" s="14" t="str">
        <f aca="false">IF(OR(E1120="",E1120="!!!",F1120="NEW"),"",INDEX(B$2:B1119,-1+SUMPRODUCT(MAX(ROW(E$2:E1119)*(E1120=E$2:E1119)))))</f>
        <v/>
      </c>
      <c r="J1120" s="15" t="str">
        <f aca="true">IF(OR(E1120="",E1120="!!!",F1120="NEW"),"",COUNTBLANK(OFFSET(A$1,,,SUMPRODUCT(MAX(ROW(E$2:E1120)*(E1120=E$2:E1120)))))-COUNTBLANK(OFFSET(A$1,,,SUMPRODUCT(MAX(ROW(E$1:E1119)*(E1120=E$1:E1119))))))</f>
        <v/>
      </c>
      <c r="K1120" s="15" t="str">
        <f aca="false">IF(OR(E1120="",E1120="!!!",F1120="NEW"),"",INDEX(J$1:J1119,SUMPRODUCT(MAX(ROW(E$1:E1119)*(E1120=E$1:E1119)))))</f>
        <v/>
      </c>
      <c r="L1120" s="16"/>
    </row>
    <row r="1121" customFormat="false" ht="12.75" hidden="false" customHeight="false" outlineLevel="0" collapsed="false">
      <c r="A1121" s="9" t="s">
        <v>214</v>
      </c>
      <c r="E1121" s="10" t="str">
        <f aca="false">IF(D1121="?OLD","!!!","")</f>
        <v/>
      </c>
      <c r="F1121" s="11" t="str">
        <f aca="false">IF(OR(E1121="",E1121="!!!"),"",IF(NOT(ISNA(VLOOKUP(E1121,E$1:E1120,1,FALSE()))),"OLD",IF(AND(E1121&lt;&gt;"",E1121&lt;&gt;"!!!"),"NEW","")))</f>
        <v/>
      </c>
      <c r="G1121" s="12" t="str">
        <f aca="false">IF(OR(E1121="",E1121="!!!"),"",IF(OR(J1121=0,AND(J1121=1,K1121=1),AND(J1121=1,I1121="SBJ"),AND(J1121=1,I1121=0)),"?IN_FOCUS",IF(J1121&lt;=2,"?ACTIVATED",IF(J1121&lt;&gt;"","?FAMILIAR",IF(F1121="NEW",IF(ISNA(VLOOKUP(E1121,#REF!,1,FALSE())),"?TYPE_IDENTIFIABLE","?REFERENTIAL"),"_")))))</f>
        <v/>
      </c>
      <c r="H1121" s="13" t="str">
        <f aca="false">IF(J1121&lt;&gt;1,"",IF(I1121="SBJ","CB","?"))</f>
        <v/>
      </c>
      <c r="I1121" s="14" t="str">
        <f aca="false">IF(OR(E1121="",E1121="!!!",F1121="NEW"),"",INDEX(B$2:B1120,-1+SUMPRODUCT(MAX(ROW(E$2:E1120)*(E1121=E$2:E1120)))))</f>
        <v/>
      </c>
      <c r="J1121" s="15" t="str">
        <f aca="true">IF(OR(E1121="",E1121="!!!",F1121="NEW"),"",COUNTBLANK(OFFSET(A$1,,,SUMPRODUCT(MAX(ROW(E$2:E1121)*(E1121=E$2:E1121)))))-COUNTBLANK(OFFSET(A$1,,,SUMPRODUCT(MAX(ROW(E$1:E1120)*(E1121=E$1:E1120))))))</f>
        <v/>
      </c>
      <c r="K1121" s="15" t="str">
        <f aca="false">IF(OR(E1121="",E1121="!!!",F1121="NEW"),"",INDEX(J$1:J1120,SUMPRODUCT(MAX(ROW(E$1:E1120)*(E1121=E$1:E1120)))))</f>
        <v/>
      </c>
      <c r="L1121" s="16"/>
    </row>
    <row r="1122" customFormat="false" ht="12.75" hidden="false" customHeight="false" outlineLevel="0" collapsed="false">
      <c r="A1122" s="9" t="s">
        <v>258</v>
      </c>
      <c r="E1122" s="10" t="str">
        <f aca="false">IF(D1122="?OLD","!!!","")</f>
        <v/>
      </c>
      <c r="F1122" s="11" t="str">
        <f aca="false">IF(OR(E1122="",E1122="!!!"),"",IF(NOT(ISNA(VLOOKUP(E1122,E$1:E1121,1,FALSE()))),"OLD",IF(AND(E1122&lt;&gt;"",E1122&lt;&gt;"!!!"),"NEW","")))</f>
        <v/>
      </c>
      <c r="G1122" s="12" t="str">
        <f aca="false">IF(OR(E1122="",E1122="!!!"),"",IF(OR(J1122=0,AND(J1122=1,K1122=1),AND(J1122=1,I1122="SBJ"),AND(J1122=1,I1122=0)),"?IN_FOCUS",IF(J1122&lt;=2,"?ACTIVATED",IF(J1122&lt;&gt;"","?FAMILIAR",IF(F1122="NEW",IF(ISNA(VLOOKUP(E1122,#REF!,1,FALSE())),"?TYPE_IDENTIFIABLE","?REFERENTIAL"),"_")))))</f>
        <v/>
      </c>
      <c r="H1122" s="13" t="str">
        <f aca="false">IF(J1122&lt;&gt;1,"",IF(I1122="SBJ","CB","?"))</f>
        <v/>
      </c>
      <c r="I1122" s="14" t="str">
        <f aca="false">IF(OR(E1122="",E1122="!!!",F1122="NEW"),"",INDEX(B$2:B1121,-1+SUMPRODUCT(MAX(ROW(E$2:E1121)*(E1122=E$2:E1121)))))</f>
        <v/>
      </c>
      <c r="J1122" s="15" t="str">
        <f aca="true">IF(OR(E1122="",E1122="!!!",F1122="NEW"),"",COUNTBLANK(OFFSET(A$1,,,SUMPRODUCT(MAX(ROW(E$2:E1122)*(E1122=E$2:E1122)))))-COUNTBLANK(OFFSET(A$1,,,SUMPRODUCT(MAX(ROW(E$1:E1121)*(E1122=E$1:E1121))))))</f>
        <v/>
      </c>
      <c r="K1122" s="15" t="str">
        <f aca="false">IF(OR(E1122="",E1122="!!!",F1122="NEW"),"",INDEX(J$1:J1121,SUMPRODUCT(MAX(ROW(E$1:E1121)*(E1122=E$1:E1121)))))</f>
        <v/>
      </c>
      <c r="L1122" s="16"/>
    </row>
    <row r="1123" customFormat="false" ht="12.75" hidden="false" customHeight="false" outlineLevel="0" collapsed="false">
      <c r="A1123" s="9" t="s">
        <v>465</v>
      </c>
      <c r="E1123" s="10" t="str">
        <f aca="false">IF(D1123="?OLD","!!!","")</f>
        <v/>
      </c>
      <c r="F1123" s="11" t="str">
        <f aca="false">IF(OR(E1123="",E1123="!!!"),"",IF(NOT(ISNA(VLOOKUP(E1123,E$1:E1122,1,FALSE()))),"OLD",IF(AND(E1123&lt;&gt;"",E1123&lt;&gt;"!!!"),"NEW","")))</f>
        <v/>
      </c>
      <c r="G1123" s="12" t="str">
        <f aca="false">IF(OR(E1123="",E1123="!!!"),"",IF(OR(J1123=0,AND(J1123=1,K1123=1),AND(J1123=1,I1123="SBJ"),AND(J1123=1,I1123=0)),"?IN_FOCUS",IF(J1123&lt;=2,"?ACTIVATED",IF(J1123&lt;&gt;"","?FAMILIAR",IF(F1123="NEW",IF(ISNA(VLOOKUP(E1123,#REF!,1,FALSE())),"?TYPE_IDENTIFIABLE","?REFERENTIAL"),"_")))))</f>
        <v/>
      </c>
      <c r="H1123" s="13" t="str">
        <f aca="false">IF(J1123&lt;&gt;1,"",IF(I1123="SBJ","CB","?"))</f>
        <v/>
      </c>
      <c r="I1123" s="14" t="str">
        <f aca="false">IF(OR(E1123="",E1123="!!!",F1123="NEW"),"",INDEX(B$2:B1122,-1+SUMPRODUCT(MAX(ROW(E$2:E1122)*(E1123=E$2:E1122)))))</f>
        <v/>
      </c>
      <c r="J1123" s="15" t="str">
        <f aca="true">IF(OR(E1123="",E1123="!!!",F1123="NEW"),"",COUNTBLANK(OFFSET(A$1,,,SUMPRODUCT(MAX(ROW(E$2:E1123)*(E1123=E$2:E1123)))))-COUNTBLANK(OFFSET(A$1,,,SUMPRODUCT(MAX(ROW(E$1:E1122)*(E1123=E$1:E1122))))))</f>
        <v/>
      </c>
      <c r="K1123" s="15" t="str">
        <f aca="false">IF(OR(E1123="",E1123="!!!",F1123="NEW"),"",INDEX(J$1:J1122,SUMPRODUCT(MAX(ROW(E$1:E1122)*(E1123=E$1:E1122)))))</f>
        <v/>
      </c>
      <c r="L1123" s="16"/>
    </row>
    <row r="1124" customFormat="false" ht="12.75" hidden="false" customHeight="false" outlineLevel="0" collapsed="false">
      <c r="A1124" s="9" t="s">
        <v>150</v>
      </c>
      <c r="B1124" s="0" t="s">
        <v>185</v>
      </c>
      <c r="C1124" s="0" t="s">
        <v>58</v>
      </c>
      <c r="D1124" s="0" t="s">
        <v>27</v>
      </c>
      <c r="E1124" s="10" t="s">
        <v>470</v>
      </c>
      <c r="F1124" s="11" t="str">
        <f aca="false">IF(OR(E1124="",E1124="!!!"),"",IF(NOT(ISNA(VLOOKUP(E1124,E$1:E1123,1,FALSE()))),"OLD",IF(AND(E1124&lt;&gt;"",E1124&lt;&gt;"!!!"),"NEW","")))</f>
        <v>OLD</v>
      </c>
      <c r="G1124" s="12" t="s">
        <v>51</v>
      </c>
      <c r="H1124" s="13" t="str">
        <f aca="false">IF(J1124&lt;&gt;1,"",IF(I1124="SBJ","CB","?"))</f>
        <v/>
      </c>
      <c r="I1124" s="14" t="str">
        <f aca="false">IF(OR(E1124="",E1124="!!!",F1124="NEW"),"",INDEX(B$2:B1123,-1+SUMPRODUCT(MAX(ROW(E$2:E1123)*(E1124=E$2:E1123)))))</f>
        <v>SBJ</v>
      </c>
      <c r="J1124" s="15" t="n">
        <f aca="true">IF(OR(E1124="",E1124="!!!",F1124="NEW"),"",COUNTBLANK(OFFSET(A$1,,,SUMPRODUCT(MAX(ROW(E$2:E1124)*(E1124=E$2:E1124)))))-COUNTBLANK(OFFSET(A$1,,,SUMPRODUCT(MAX(ROW(E$1:E1123)*(E1124=E$1:E1123))))))</f>
        <v>0</v>
      </c>
      <c r="K1124" s="15" t="n">
        <f aca="false">IF(OR(E1124="",E1124="!!!",F1124="NEW"),"",INDEX(J$1:J1123,SUMPRODUCT(MAX(ROW(E$1:E1123)*(E1124=E$1:E1123)))))</f>
        <v>1</v>
      </c>
      <c r="L1124" s="16"/>
    </row>
    <row r="1125" customFormat="false" ht="12.75" hidden="false" customHeight="false" outlineLevel="0" collapsed="false">
      <c r="A1125" s="9" t="s">
        <v>22</v>
      </c>
      <c r="E1125" s="10" t="str">
        <f aca="false">IF(D1125="?OLD","!!!","")</f>
        <v/>
      </c>
      <c r="F1125" s="11" t="str">
        <f aca="false">IF(OR(E1125="",E1125="!!!"),"",IF(NOT(ISNA(VLOOKUP(E1125,E$1:E1124,1,FALSE()))),"OLD",IF(AND(E1125&lt;&gt;"",E1125&lt;&gt;"!!!"),"NEW","")))</f>
        <v/>
      </c>
      <c r="G1125" s="12" t="str">
        <f aca="false">IF(OR(E1125="",E1125="!!!"),"",IF(OR(J1125=0,AND(J1125=1,K1125=1),AND(J1125=1,I1125="SBJ"),AND(J1125=1,I1125=0)),"?IN_FOCUS",IF(J1125&lt;=2,"?ACTIVATED",IF(J1125&lt;&gt;"","?FAMILIAR",IF(F1125="NEW",IF(ISNA(VLOOKUP(E1125,#REF!,1,FALSE())),"?TYPE_IDENTIFIABLE","?REFERENTIAL"),"_")))))</f>
        <v/>
      </c>
      <c r="H1125" s="13" t="str">
        <f aca="false">IF(J1125&lt;&gt;1,"",IF(I1125="SBJ","CB","?"))</f>
        <v/>
      </c>
      <c r="I1125" s="14" t="str">
        <f aca="false">IF(OR(E1125="",E1125="!!!",F1125="NEW"),"",INDEX(B$2:B1124,-1+SUMPRODUCT(MAX(ROW(E$2:E1124)*(E1125=E$2:E1124)))))</f>
        <v/>
      </c>
      <c r="J1125" s="15" t="str">
        <f aca="true">IF(OR(E1125="",E1125="!!!",F1125="NEW"),"",COUNTBLANK(OFFSET(A$1,,,SUMPRODUCT(MAX(ROW(E$2:E1125)*(E1125=E$2:E1125)))))-COUNTBLANK(OFFSET(A$1,,,SUMPRODUCT(MAX(ROW(E$1:E1124)*(E1125=E$1:E1124))))))</f>
        <v/>
      </c>
      <c r="K1125" s="15" t="str">
        <f aca="false">IF(OR(E1125="",E1125="!!!",F1125="NEW"),"",INDEX(J$1:J1124,SUMPRODUCT(MAX(ROW(E$1:E1124)*(E1125=E$1:E1124)))))</f>
        <v/>
      </c>
      <c r="L1125" s="16"/>
    </row>
    <row r="1126" customFormat="false" ht="12.75" hidden="false" customHeight="false" outlineLevel="0" collapsed="false">
      <c r="A1126" s="9" t="s">
        <v>217</v>
      </c>
      <c r="E1126" s="10" t="str">
        <f aca="false">IF(D1126="?OLD","!!!","")</f>
        <v/>
      </c>
      <c r="F1126" s="11" t="str">
        <f aca="false">IF(OR(E1126="",E1126="!!!"),"",IF(NOT(ISNA(VLOOKUP(E1126,E$1:E1125,1,FALSE()))),"OLD",IF(AND(E1126&lt;&gt;"",E1126&lt;&gt;"!!!"),"NEW","")))</f>
        <v/>
      </c>
      <c r="G1126" s="12" t="str">
        <f aca="false">IF(OR(E1126="",E1126="!!!"),"",IF(OR(J1126=0,AND(J1126=1,K1126=1),AND(J1126=1,I1126="SBJ"),AND(J1126=1,I1126=0)),"?IN_FOCUS",IF(J1126&lt;=2,"?ACTIVATED",IF(J1126&lt;&gt;"","?FAMILIAR",IF(F1126="NEW",IF(ISNA(VLOOKUP(E1126,#REF!,1,FALSE())),"?TYPE_IDENTIFIABLE","?REFERENTIAL"),"_")))))</f>
        <v/>
      </c>
      <c r="H1126" s="13" t="str">
        <f aca="false">IF(J1126&lt;&gt;1,"",IF(I1126="SBJ","CB","?"))</f>
        <v/>
      </c>
      <c r="I1126" s="14" t="str">
        <f aca="false">IF(OR(E1126="",E1126="!!!",F1126="NEW"),"",INDEX(B$2:B1125,-1+SUMPRODUCT(MAX(ROW(E$2:E1125)*(E1126=E$2:E1125)))))</f>
        <v/>
      </c>
      <c r="J1126" s="15" t="str">
        <f aca="true">IF(OR(E1126="",E1126="!!!",F1126="NEW"),"",COUNTBLANK(OFFSET(A$1,,,SUMPRODUCT(MAX(ROW(E$2:E1126)*(E1126=E$2:E1126)))))-COUNTBLANK(OFFSET(A$1,,,SUMPRODUCT(MAX(ROW(E$1:E1125)*(E1126=E$1:E1125))))))</f>
        <v/>
      </c>
      <c r="K1126" s="15" t="str">
        <f aca="false">IF(OR(E1126="",E1126="!!!",F1126="NEW"),"",INDEX(J$1:J1125,SUMPRODUCT(MAX(ROW(E$1:E1125)*(E1126=E$1:E1125)))))</f>
        <v/>
      </c>
      <c r="L1126" s="16"/>
    </row>
    <row r="1127" customFormat="false" ht="12.75" hidden="false" customHeight="false" outlineLevel="0" collapsed="false">
      <c r="A1127" s="9" t="s">
        <v>479</v>
      </c>
      <c r="E1127" s="10" t="str">
        <f aca="false">IF(D1127="?OLD","!!!","")</f>
        <v/>
      </c>
      <c r="F1127" s="11" t="str">
        <f aca="false">IF(OR(E1127="",E1127="!!!"),"",IF(NOT(ISNA(VLOOKUP(E1127,E$1:E1126,1,FALSE()))),"OLD",IF(AND(E1127&lt;&gt;"",E1127&lt;&gt;"!!!"),"NEW","")))</f>
        <v/>
      </c>
      <c r="G1127" s="12" t="str">
        <f aca="false">IF(OR(E1127="",E1127="!!!"),"",IF(OR(J1127=0,AND(J1127=1,K1127=1),AND(J1127=1,I1127="SBJ"),AND(J1127=1,I1127=0)),"?IN_FOCUS",IF(J1127&lt;=2,"?ACTIVATED",IF(J1127&lt;&gt;"","?FAMILIAR",IF(F1127="NEW",IF(ISNA(VLOOKUP(E1127,#REF!,1,FALSE())),"?TYPE_IDENTIFIABLE","?REFERENTIAL"),"_")))))</f>
        <v/>
      </c>
      <c r="H1127" s="13" t="str">
        <f aca="false">IF(J1127&lt;&gt;1,"",IF(I1127="SBJ","CB","?"))</f>
        <v/>
      </c>
      <c r="I1127" s="14" t="str">
        <f aca="false">IF(OR(E1127="",E1127="!!!",F1127="NEW"),"",INDEX(B$2:B1126,-1+SUMPRODUCT(MAX(ROW(E$2:E1126)*(E1127=E$2:E1126)))))</f>
        <v/>
      </c>
      <c r="J1127" s="15" t="str">
        <f aca="true">IF(OR(E1127="",E1127="!!!",F1127="NEW"),"",COUNTBLANK(OFFSET(A$1,,,SUMPRODUCT(MAX(ROW(E$2:E1127)*(E1127=E$2:E1127)))))-COUNTBLANK(OFFSET(A$1,,,SUMPRODUCT(MAX(ROW(E$1:E1126)*(E1127=E$1:E1126))))))</f>
        <v/>
      </c>
      <c r="K1127" s="15" t="str">
        <f aca="false">IF(OR(E1127="",E1127="!!!",F1127="NEW"),"",INDEX(J$1:J1126,SUMPRODUCT(MAX(ROW(E$1:E1126)*(E1127=E$1:E1126)))))</f>
        <v/>
      </c>
      <c r="L1127" s="16"/>
    </row>
    <row r="1128" customFormat="false" ht="12.75" hidden="false" customHeight="false" outlineLevel="0" collapsed="false">
      <c r="A1128" s="9" t="s">
        <v>480</v>
      </c>
      <c r="E1128" s="10" t="str">
        <f aca="false">IF(D1128="?OLD","!!!","")</f>
        <v/>
      </c>
      <c r="F1128" s="11" t="str">
        <f aca="false">IF(OR(E1128="",E1128="!!!"),"",IF(NOT(ISNA(VLOOKUP(E1128,E$1:E1127,1,FALSE()))),"OLD",IF(AND(E1128&lt;&gt;"",E1128&lt;&gt;"!!!"),"NEW","")))</f>
        <v/>
      </c>
      <c r="G1128" s="12" t="str">
        <f aca="false">IF(OR(E1128="",E1128="!!!"),"",IF(OR(J1128=0,AND(J1128=1,K1128=1),AND(J1128=1,I1128="SBJ"),AND(J1128=1,I1128=0)),"?IN_FOCUS",IF(J1128&lt;=2,"?ACTIVATED",IF(J1128&lt;&gt;"","?FAMILIAR",IF(F1128="NEW",IF(ISNA(VLOOKUP(E1128,#REF!,1,FALSE())),"?TYPE_IDENTIFIABLE","?REFERENTIAL"),"_")))))</f>
        <v/>
      </c>
      <c r="H1128" s="13" t="str">
        <f aca="false">IF(J1128&lt;&gt;1,"",IF(I1128="SBJ","CB","?"))</f>
        <v/>
      </c>
      <c r="I1128" s="14" t="str">
        <f aca="false">IF(OR(E1128="",E1128="!!!",F1128="NEW"),"",INDEX(B$2:B1127,-1+SUMPRODUCT(MAX(ROW(E$2:E1127)*(E1128=E$2:E1127)))))</f>
        <v/>
      </c>
      <c r="J1128" s="15" t="str">
        <f aca="true">IF(OR(E1128="",E1128="!!!",F1128="NEW"),"",COUNTBLANK(OFFSET(A$1,,,SUMPRODUCT(MAX(ROW(E$2:E1128)*(E1128=E$2:E1128)))))-COUNTBLANK(OFFSET(A$1,,,SUMPRODUCT(MAX(ROW(E$1:E1127)*(E1128=E$1:E1127))))))</f>
        <v/>
      </c>
      <c r="K1128" s="15" t="str">
        <f aca="false">IF(OR(E1128="",E1128="!!!",F1128="NEW"),"",INDEX(J$1:J1127,SUMPRODUCT(MAX(ROW(E$1:E1127)*(E1128=E$1:E1127)))))</f>
        <v/>
      </c>
      <c r="L1128" s="16"/>
    </row>
    <row r="1129" customFormat="false" ht="12.75" hidden="false" customHeight="false" outlineLevel="0" collapsed="false">
      <c r="A1129" s="9" t="s">
        <v>68</v>
      </c>
      <c r="E1129" s="10" t="str">
        <f aca="false">IF(D1129="?OLD","!!!","")</f>
        <v/>
      </c>
      <c r="F1129" s="11" t="str">
        <f aca="false">IF(OR(E1129="",E1129="!!!"),"",IF(NOT(ISNA(VLOOKUP(E1129,E$1:E1128,1,FALSE()))),"OLD",IF(AND(E1129&lt;&gt;"",E1129&lt;&gt;"!!!"),"NEW","")))</f>
        <v/>
      </c>
      <c r="G1129" s="12" t="str">
        <f aca="false">IF(OR(E1129="",E1129="!!!"),"",IF(OR(J1129=0,AND(J1129=1,K1129=1),AND(J1129=1,I1129="SBJ"),AND(J1129=1,I1129=0)),"?IN_FOCUS",IF(J1129&lt;=2,"?ACTIVATED",IF(J1129&lt;&gt;"","?FAMILIAR",IF(F1129="NEW",IF(ISNA(VLOOKUP(E1129,#REF!,1,FALSE())),"?TYPE_IDENTIFIABLE","?REFERENTIAL"),"_")))))</f>
        <v/>
      </c>
      <c r="H1129" s="13" t="str">
        <f aca="false">IF(J1129&lt;&gt;1,"",IF(I1129="SBJ","CB","?"))</f>
        <v/>
      </c>
      <c r="I1129" s="14" t="str">
        <f aca="false">IF(OR(E1129="",E1129="!!!",F1129="NEW"),"",INDEX(B$2:B1128,-1+SUMPRODUCT(MAX(ROW(E$2:E1128)*(E1129=E$2:E1128)))))</f>
        <v/>
      </c>
      <c r="J1129" s="15" t="str">
        <f aca="true">IF(OR(E1129="",E1129="!!!",F1129="NEW"),"",COUNTBLANK(OFFSET(A$1,,,SUMPRODUCT(MAX(ROW(E$2:E1129)*(E1129=E$2:E1129)))))-COUNTBLANK(OFFSET(A$1,,,SUMPRODUCT(MAX(ROW(E$1:E1128)*(E1129=E$1:E1128))))))</f>
        <v/>
      </c>
      <c r="K1129" s="15" t="str">
        <f aca="false">IF(OR(E1129="",E1129="!!!",F1129="NEW"),"",INDEX(J$1:J1128,SUMPRODUCT(MAX(ROW(E$1:E1128)*(E1129=E$1:E1128)))))</f>
        <v/>
      </c>
      <c r="L1129" s="16"/>
    </row>
    <row r="1130" customFormat="false" ht="12.75" hidden="false" customHeight="false" outlineLevel="0" collapsed="false">
      <c r="E1130" s="10" t="str">
        <f aca="false">IF(D1130="?OLD","!!!","")</f>
        <v/>
      </c>
      <c r="F1130" s="11" t="str">
        <f aca="false">IF(OR(E1130="",E1130="!!!"),"",IF(NOT(ISNA(VLOOKUP(E1130,E$1:E1129,1,FALSE()))),"OLD",IF(AND(E1130&lt;&gt;"",E1130&lt;&gt;"!!!"),"NEW","")))</f>
        <v/>
      </c>
      <c r="G1130" s="12" t="str">
        <f aca="false">IF(OR(E1130="",E1130="!!!"),"",IF(OR(J1130=0,AND(J1130=1,K1130=1),AND(J1130=1,I1130="SBJ"),AND(J1130=1,I1130=0)),"?IN_FOCUS",IF(J1130&lt;=2,"?ACTIVATED",IF(J1130&lt;&gt;"","?FAMILIAR",IF(F1130="NEW",IF(ISNA(VLOOKUP(E1130,#REF!,1,FALSE())),"?TYPE_IDENTIFIABLE","?REFERENTIAL"),"_")))))</f>
        <v/>
      </c>
      <c r="H1130" s="13" t="str">
        <f aca="false">IF(J1130&lt;&gt;1,"",IF(I1130="SBJ","CB","?"))</f>
        <v/>
      </c>
      <c r="I1130" s="14" t="str">
        <f aca="false">IF(OR(E1130="",E1130="!!!",F1130="NEW"),"",INDEX(B$2:B1129,-1+SUMPRODUCT(MAX(ROW(E$2:E1129)*(E1130=E$2:E1129)))))</f>
        <v/>
      </c>
      <c r="J1130" s="15" t="str">
        <f aca="true">IF(OR(E1130="",E1130="!!!",F1130="NEW"),"",COUNTBLANK(OFFSET(A$1,,,SUMPRODUCT(MAX(ROW(E$2:E1130)*(E1130=E$2:E1130)))))-COUNTBLANK(OFFSET(A$1,,,SUMPRODUCT(MAX(ROW(E$1:E1129)*(E1130=E$1:E1129))))))</f>
        <v/>
      </c>
      <c r="K1130" s="15" t="str">
        <f aca="false">IF(OR(E1130="",E1130="!!!",F1130="NEW"),"",INDEX(J$1:J1129,SUMPRODUCT(MAX(ROW(E$1:E1129)*(E1130=E$1:E1129)))))</f>
        <v/>
      </c>
      <c r="L1130" s="16"/>
    </row>
    <row r="1131" customFormat="false" ht="12.75" hidden="false" customHeight="false" outlineLevel="0" collapsed="false">
      <c r="A1131" s="9" t="s">
        <v>481</v>
      </c>
      <c r="E1131" s="10" t="str">
        <f aca="false">IF(D1131="?OLD","!!!","")</f>
        <v/>
      </c>
      <c r="F1131" s="11" t="str">
        <f aca="false">IF(OR(E1131="",E1131="!!!"),"",IF(NOT(ISNA(VLOOKUP(E1131,E$1:E1130,1,FALSE()))),"OLD",IF(AND(E1131&lt;&gt;"",E1131&lt;&gt;"!!!"),"NEW","")))</f>
        <v/>
      </c>
      <c r="G1131" s="12" t="str">
        <f aca="false">IF(OR(E1131="",E1131="!!!"),"",IF(OR(J1131=0,AND(J1131=1,K1131=1),AND(J1131=1,I1131="SBJ"),AND(J1131=1,I1131=0)),"?IN_FOCUS",IF(J1131&lt;=2,"?ACTIVATED",IF(J1131&lt;&gt;"","?FAMILIAR",IF(F1131="NEW",IF(ISNA(VLOOKUP(E1131,#REF!,1,FALSE())),"?TYPE_IDENTIFIABLE","?REFERENTIAL"),"_")))))</f>
        <v/>
      </c>
      <c r="H1131" s="13" t="str">
        <f aca="false">IF(J1131&lt;&gt;1,"",IF(I1131="SBJ","CB","?"))</f>
        <v/>
      </c>
      <c r="I1131" s="14" t="str">
        <f aca="false">IF(OR(E1131="",E1131="!!!",F1131="NEW"),"",INDEX(B$2:B1130,-1+SUMPRODUCT(MAX(ROW(E$2:E1130)*(E1131=E$2:E1130)))))</f>
        <v/>
      </c>
      <c r="J1131" s="15" t="str">
        <f aca="true">IF(OR(E1131="",E1131="!!!",F1131="NEW"),"",COUNTBLANK(OFFSET(A$1,,,SUMPRODUCT(MAX(ROW(E$2:E1131)*(E1131=E$2:E1131)))))-COUNTBLANK(OFFSET(A$1,,,SUMPRODUCT(MAX(ROW(E$1:E1130)*(E1131=E$1:E1130))))))</f>
        <v/>
      </c>
      <c r="K1131" s="15" t="str">
        <f aca="false">IF(OR(E1131="",E1131="!!!",F1131="NEW"),"",INDEX(J$1:J1130,SUMPRODUCT(MAX(ROW(E$1:E1130)*(E1131=E$1:E1130)))))</f>
        <v/>
      </c>
      <c r="L1131" s="16"/>
    </row>
    <row r="1132" customFormat="false" ht="12.75" hidden="false" customHeight="false" outlineLevel="0" collapsed="false">
      <c r="A1132" s="9" t="s">
        <v>349</v>
      </c>
      <c r="E1132" s="10" t="str">
        <f aca="false">IF(D1132="?OLD","!!!","")</f>
        <v/>
      </c>
      <c r="F1132" s="11" t="str">
        <f aca="false">IF(OR(E1132="",E1132="!!!"),"",IF(NOT(ISNA(VLOOKUP(E1132,E$1:E1131,1,FALSE()))),"OLD",IF(AND(E1132&lt;&gt;"",E1132&lt;&gt;"!!!"),"NEW","")))</f>
        <v/>
      </c>
      <c r="G1132" s="12" t="str">
        <f aca="false">IF(OR(E1132="",E1132="!!!"),"",IF(OR(J1132=0,AND(J1132=1,K1132=1),AND(J1132=1,I1132="SBJ"),AND(J1132=1,I1132=0)),"?IN_FOCUS",IF(J1132&lt;=2,"?ACTIVATED",IF(J1132&lt;&gt;"","?FAMILIAR",IF(F1132="NEW",IF(ISNA(VLOOKUP(E1132,#REF!,1,FALSE())),"?TYPE_IDENTIFIABLE","?REFERENTIAL"),"_")))))</f>
        <v/>
      </c>
      <c r="H1132" s="13" t="str">
        <f aca="false">IF(J1132&lt;&gt;1,"",IF(I1132="SBJ","CB","?"))</f>
        <v/>
      </c>
      <c r="I1132" s="14" t="str">
        <f aca="false">IF(OR(E1132="",E1132="!!!",F1132="NEW"),"",INDEX(B$2:B1131,-1+SUMPRODUCT(MAX(ROW(E$2:E1131)*(E1132=E$2:E1131)))))</f>
        <v/>
      </c>
      <c r="J1132" s="15" t="str">
        <f aca="true">IF(OR(E1132="",E1132="!!!",F1132="NEW"),"",COUNTBLANK(OFFSET(A$1,,,SUMPRODUCT(MAX(ROW(E$2:E1132)*(E1132=E$2:E1132)))))-COUNTBLANK(OFFSET(A$1,,,SUMPRODUCT(MAX(ROW(E$1:E1131)*(E1132=E$1:E1131))))))</f>
        <v/>
      </c>
      <c r="K1132" s="15" t="str">
        <f aca="false">IF(OR(E1132="",E1132="!!!",F1132="NEW"),"",INDEX(J$1:J1131,SUMPRODUCT(MAX(ROW(E$1:E1131)*(E1132=E$1:E1131)))))</f>
        <v/>
      </c>
      <c r="L1132" s="16"/>
    </row>
    <row r="1133" customFormat="false" ht="12.75" hidden="false" customHeight="false" outlineLevel="0" collapsed="false">
      <c r="A1133" s="9" t="s">
        <v>482</v>
      </c>
      <c r="B1133" s="0" t="s">
        <v>17</v>
      </c>
      <c r="C1133" s="0" t="s">
        <v>58</v>
      </c>
      <c r="D1133" s="0" t="s">
        <v>27</v>
      </c>
      <c r="E1133" s="10" t="s">
        <v>436</v>
      </c>
      <c r="F1133" s="11" t="str">
        <f aca="false">IF(OR(E1133="",E1133="!!!"),"",IF(NOT(ISNA(VLOOKUP(E1133,E$1:E1132,1,FALSE()))),"OLD",IF(AND(E1133&lt;&gt;"",E1133&lt;&gt;"!!!"),"NEW","")))</f>
        <v>OLD</v>
      </c>
      <c r="G1133" s="12" t="s">
        <v>72</v>
      </c>
      <c r="H1133" s="13" t="str">
        <f aca="false">IF(J1133&lt;&gt;1,"",IF(I1133="SBJ","CB","?"))</f>
        <v/>
      </c>
      <c r="I1133" s="14" t="str">
        <f aca="false">IF(OR(E1133="",E1133="!!!",F1133="NEW"),"",INDEX(B$2:B1132,-1+SUMPRODUCT(MAX(ROW(E$2:E1132)*(E1133=E$2:E1132)))))</f>
        <v>SBJ</v>
      </c>
      <c r="J1133" s="15" t="n">
        <f aca="true">IF(OR(E1133="",E1133="!!!",F1133="NEW"),"",COUNTBLANK(OFFSET(A$1,,,SUMPRODUCT(MAX(ROW(E$2:E1133)*(E1133=E$2:E1133)))))-COUNTBLANK(OFFSET(A$1,,,SUMPRODUCT(MAX(ROW(E$1:E1132)*(E1133=E$1:E1132))))))</f>
        <v>5</v>
      </c>
      <c r="K1133" s="15" t="n">
        <f aca="false">IF(OR(E1133="",E1133="!!!",F1133="NEW"),"",INDEX(J$1:J1132,SUMPRODUCT(MAX(ROW(E$1:E1132)*(E1133=E$1:E1132)))))</f>
        <v>1</v>
      </c>
      <c r="L1133" s="16"/>
    </row>
    <row r="1134" customFormat="false" ht="12.75" hidden="false" customHeight="false" outlineLevel="0" collapsed="false">
      <c r="A1134" s="9" t="s">
        <v>483</v>
      </c>
      <c r="E1134" s="10" t="str">
        <f aca="false">IF(D1134="?OLD","!!!","")</f>
        <v/>
      </c>
      <c r="F1134" s="11" t="str">
        <f aca="false">IF(OR(E1134="",E1134="!!!"),"",IF(NOT(ISNA(VLOOKUP(E1134,E$1:E1133,1,FALSE()))),"OLD",IF(AND(E1134&lt;&gt;"",E1134&lt;&gt;"!!!"),"NEW","")))</f>
        <v/>
      </c>
      <c r="G1134" s="12" t="str">
        <f aca="false">IF(OR(E1134="",E1134="!!!"),"",IF(OR(J1134=0,AND(J1134=1,K1134=1),AND(J1134=1,I1134="SBJ"),AND(J1134=1,I1134=0)),"?IN_FOCUS",IF(J1134&lt;=2,"?ACTIVATED",IF(J1134&lt;&gt;"","?FAMILIAR",IF(F1134="NEW",IF(ISNA(VLOOKUP(E1134,#REF!,1,FALSE())),"?TYPE_IDENTIFIABLE","?REFERENTIAL"),"_")))))</f>
        <v/>
      </c>
      <c r="H1134" s="13" t="str">
        <f aca="false">IF(J1134&lt;&gt;1,"",IF(I1134="SBJ","CB","?"))</f>
        <v/>
      </c>
      <c r="I1134" s="14" t="str">
        <f aca="false">IF(OR(E1134="",E1134="!!!",F1134="NEW"),"",INDEX(B$2:B1133,-1+SUMPRODUCT(MAX(ROW(E$2:E1133)*(E1134=E$2:E1133)))))</f>
        <v/>
      </c>
      <c r="J1134" s="15" t="str">
        <f aca="true">IF(OR(E1134="",E1134="!!!",F1134="NEW"),"",COUNTBLANK(OFFSET(A$1,,,SUMPRODUCT(MAX(ROW(E$2:E1134)*(E1134=E$2:E1134)))))-COUNTBLANK(OFFSET(A$1,,,SUMPRODUCT(MAX(ROW(E$1:E1133)*(E1134=E$1:E1133))))))</f>
        <v/>
      </c>
      <c r="K1134" s="15" t="str">
        <f aca="false">IF(OR(E1134="",E1134="!!!",F1134="NEW"),"",INDEX(J$1:J1133,SUMPRODUCT(MAX(ROW(E$1:E1133)*(E1134=E$1:E1133)))))</f>
        <v/>
      </c>
      <c r="L1134" s="16"/>
    </row>
    <row r="1135" customFormat="false" ht="12.75" hidden="false" customHeight="false" outlineLevel="0" collapsed="false">
      <c r="A1135" s="9" t="s">
        <v>96</v>
      </c>
      <c r="B1135" s="0" t="s">
        <v>38</v>
      </c>
      <c r="C1135" s="0" t="s">
        <v>58</v>
      </c>
      <c r="D1135" s="0" t="s">
        <v>27</v>
      </c>
      <c r="E1135" s="10" t="s">
        <v>406</v>
      </c>
      <c r="F1135" s="11" t="str">
        <f aca="false">IF(OR(E1135="",E1135="!!!"),"",IF(NOT(ISNA(VLOOKUP(E1135,E$1:E1134,1,FALSE()))),"OLD",IF(AND(E1135&lt;&gt;"",E1135&lt;&gt;"!!!"),"NEW","")))</f>
        <v>OLD</v>
      </c>
      <c r="G1135" s="12" t="s">
        <v>72</v>
      </c>
      <c r="H1135" s="13" t="str">
        <f aca="false">IF(J1135&lt;&gt;1,"",IF(I1135="SBJ","CB","?"))</f>
        <v/>
      </c>
      <c r="I1135" s="14" t="str">
        <f aca="false">IF(OR(E1135="",E1135="!!!",F1135="NEW"),"",INDEX(B$2:B1134,-1+SUMPRODUCT(MAX(ROW(E$2:E1134)*(E1135=E$2:E1134)))))</f>
        <v>SBJ_4</v>
      </c>
      <c r="J1135" s="15" t="n">
        <f aca="true">IF(OR(E1135="",E1135="!!!",F1135="NEW"),"",COUNTBLANK(OFFSET(A$1,,,SUMPRODUCT(MAX(ROW(E$2:E1135)*(E1135=E$2:E1135)))))-COUNTBLANK(OFFSET(A$1,,,SUMPRODUCT(MAX(ROW(E$1:E1134)*(E1135=E$1:E1134))))))</f>
        <v>5</v>
      </c>
      <c r="K1135" s="15" t="n">
        <f aca="false">IF(OR(E1135="",E1135="!!!",F1135="NEW"),"",INDEX(J$1:J1134,SUMPRODUCT(MAX(ROW(E$1:E1134)*(E1135=E$1:E1134)))))</f>
        <v>0</v>
      </c>
      <c r="L1135" s="16"/>
    </row>
    <row r="1136" customFormat="false" ht="12.75" hidden="false" customHeight="false" outlineLevel="0" collapsed="false">
      <c r="A1136" s="9" t="s">
        <v>22</v>
      </c>
      <c r="E1136" s="10" t="str">
        <f aca="false">IF(D1136="?OLD","!!!","")</f>
        <v/>
      </c>
      <c r="F1136" s="11" t="str">
        <f aca="false">IF(OR(E1136="",E1136="!!!"),"",IF(NOT(ISNA(VLOOKUP(E1136,E$1:E1135,1,FALSE()))),"OLD",IF(AND(E1136&lt;&gt;"",E1136&lt;&gt;"!!!"),"NEW","")))</f>
        <v/>
      </c>
      <c r="G1136" s="12" t="str">
        <f aca="false">IF(OR(E1136="",E1136="!!!"),"",IF(OR(J1136=0,AND(J1136=1,K1136=1),AND(J1136=1,I1136="SBJ"),AND(J1136=1,I1136=0)),"?IN_FOCUS",IF(J1136&lt;=2,"?ACTIVATED",IF(J1136&lt;&gt;"","?FAMILIAR",IF(F1136="NEW",IF(ISNA(VLOOKUP(E1136,#REF!,1,FALSE())),"?TYPE_IDENTIFIABLE","?REFERENTIAL"),"_")))))</f>
        <v/>
      </c>
      <c r="H1136" s="13" t="str">
        <f aca="false">IF(J1136&lt;&gt;1,"",IF(I1136="SBJ","CB","?"))</f>
        <v/>
      </c>
      <c r="I1136" s="14" t="str">
        <f aca="false">IF(OR(E1136="",E1136="!!!",F1136="NEW"),"",INDEX(B$2:B1135,-1+SUMPRODUCT(MAX(ROW(E$2:E1135)*(E1136=E$2:E1135)))))</f>
        <v/>
      </c>
      <c r="J1136" s="15" t="str">
        <f aca="true">IF(OR(E1136="",E1136="!!!",F1136="NEW"),"",COUNTBLANK(OFFSET(A$1,,,SUMPRODUCT(MAX(ROW(E$2:E1136)*(E1136=E$2:E1136)))))-COUNTBLANK(OFFSET(A$1,,,SUMPRODUCT(MAX(ROW(E$1:E1135)*(E1136=E$1:E1135))))))</f>
        <v/>
      </c>
      <c r="K1136" s="15" t="str">
        <f aca="false">IF(OR(E1136="",E1136="!!!",F1136="NEW"),"",INDEX(J$1:J1135,SUMPRODUCT(MAX(ROW(E$1:E1135)*(E1136=E$1:E1135)))))</f>
        <v/>
      </c>
      <c r="L1136" s="16"/>
    </row>
    <row r="1137" customFormat="false" ht="12.75" hidden="false" customHeight="false" outlineLevel="0" collapsed="false">
      <c r="A1137" s="9" t="s">
        <v>484</v>
      </c>
      <c r="E1137" s="10" t="str">
        <f aca="false">IF(D1137="?OLD","!!!","")</f>
        <v/>
      </c>
      <c r="F1137" s="11" t="str">
        <f aca="false">IF(OR(E1137="",E1137="!!!"),"",IF(NOT(ISNA(VLOOKUP(E1137,E$1:E1136,1,FALSE()))),"OLD",IF(AND(E1137&lt;&gt;"",E1137&lt;&gt;"!!!"),"NEW","")))</f>
        <v/>
      </c>
      <c r="G1137" s="12" t="str">
        <f aca="false">IF(OR(E1137="",E1137="!!!"),"",IF(OR(J1137=0,AND(J1137=1,K1137=1),AND(J1137=1,I1137="SBJ"),AND(J1137=1,I1137=0)),"?IN_FOCUS",IF(J1137&lt;=2,"?ACTIVATED",IF(J1137&lt;&gt;"","?FAMILIAR",IF(F1137="NEW",IF(ISNA(VLOOKUP(E1137,#REF!,1,FALSE())),"?TYPE_IDENTIFIABLE","?REFERENTIAL"),"_")))))</f>
        <v/>
      </c>
      <c r="H1137" s="13" t="str">
        <f aca="false">IF(J1137&lt;&gt;1,"",IF(I1137="SBJ","CB","?"))</f>
        <v/>
      </c>
      <c r="I1137" s="14" t="str">
        <f aca="false">IF(OR(E1137="",E1137="!!!",F1137="NEW"),"",INDEX(B$2:B1136,-1+SUMPRODUCT(MAX(ROW(E$2:E1136)*(E1137=E$2:E1136)))))</f>
        <v/>
      </c>
      <c r="J1137" s="15" t="str">
        <f aca="true">IF(OR(E1137="",E1137="!!!",F1137="NEW"),"",COUNTBLANK(OFFSET(A$1,,,SUMPRODUCT(MAX(ROW(E$2:E1137)*(E1137=E$2:E1137)))))-COUNTBLANK(OFFSET(A$1,,,SUMPRODUCT(MAX(ROW(E$1:E1136)*(E1137=E$1:E1136))))))</f>
        <v/>
      </c>
      <c r="K1137" s="15" t="str">
        <f aca="false">IF(OR(E1137="",E1137="!!!",F1137="NEW"),"",INDEX(J$1:J1136,SUMPRODUCT(MAX(ROW(E$1:E1136)*(E1137=E$1:E1136)))))</f>
        <v/>
      </c>
      <c r="L1137" s="16"/>
    </row>
    <row r="1138" customFormat="false" ht="12.75" hidden="false" customHeight="false" outlineLevel="0" collapsed="false">
      <c r="A1138" s="9" t="s">
        <v>269</v>
      </c>
      <c r="E1138" s="10" t="str">
        <f aca="false">IF(D1138="?OLD","!!!","")</f>
        <v/>
      </c>
      <c r="F1138" s="11" t="str">
        <f aca="false">IF(OR(E1138="",E1138="!!!"),"",IF(NOT(ISNA(VLOOKUP(E1138,E$1:E1137,1,FALSE()))),"OLD",IF(AND(E1138&lt;&gt;"",E1138&lt;&gt;"!!!"),"NEW","")))</f>
        <v/>
      </c>
      <c r="G1138" s="12" t="str">
        <f aca="false">IF(OR(E1138="",E1138="!!!"),"",IF(OR(J1138=0,AND(J1138=1,K1138=1),AND(J1138=1,I1138="SBJ"),AND(J1138=1,I1138=0)),"?IN_FOCUS",IF(J1138&lt;=2,"?ACTIVATED",IF(J1138&lt;&gt;"","?FAMILIAR",IF(F1138="NEW",IF(ISNA(VLOOKUP(E1138,#REF!,1,FALSE())),"?TYPE_IDENTIFIABLE","?REFERENTIAL"),"_")))))</f>
        <v/>
      </c>
      <c r="H1138" s="13" t="str">
        <f aca="false">IF(J1138&lt;&gt;1,"",IF(I1138="SBJ","CB","?"))</f>
        <v/>
      </c>
      <c r="I1138" s="14" t="str">
        <f aca="false">IF(OR(E1138="",E1138="!!!",F1138="NEW"),"",INDEX(B$2:B1137,-1+SUMPRODUCT(MAX(ROW(E$2:E1137)*(E1138=E$2:E1137)))))</f>
        <v/>
      </c>
      <c r="J1138" s="15" t="str">
        <f aca="true">IF(OR(E1138="",E1138="!!!",F1138="NEW"),"",COUNTBLANK(OFFSET(A$1,,,SUMPRODUCT(MAX(ROW(E$2:E1138)*(E1138=E$2:E1138)))))-COUNTBLANK(OFFSET(A$1,,,SUMPRODUCT(MAX(ROW(E$1:E1137)*(E1138=E$1:E1137))))))</f>
        <v/>
      </c>
      <c r="K1138" s="15" t="str">
        <f aca="false">IF(OR(E1138="",E1138="!!!",F1138="NEW"),"",INDEX(J$1:J1137,SUMPRODUCT(MAX(ROW(E$1:E1137)*(E1138=E$1:E1137)))))</f>
        <v/>
      </c>
      <c r="L1138" s="16"/>
    </row>
    <row r="1139" customFormat="false" ht="12.75" hidden="false" customHeight="false" outlineLevel="0" collapsed="false">
      <c r="A1139" s="9" t="s">
        <v>129</v>
      </c>
      <c r="E1139" s="10" t="str">
        <f aca="false">IF(D1139="?OLD","!!!","")</f>
        <v/>
      </c>
      <c r="F1139" s="11" t="str">
        <f aca="false">IF(OR(E1139="",E1139="!!!"),"",IF(NOT(ISNA(VLOOKUP(E1139,E$1:E1138,1,FALSE()))),"OLD",IF(AND(E1139&lt;&gt;"",E1139&lt;&gt;"!!!"),"NEW","")))</f>
        <v/>
      </c>
      <c r="G1139" s="12" t="str">
        <f aca="false">IF(OR(E1139="",E1139="!!!"),"",IF(OR(J1139=0,AND(J1139=1,K1139=1),AND(J1139=1,I1139="SBJ"),AND(J1139=1,I1139=0)),"?IN_FOCUS",IF(J1139&lt;=2,"?ACTIVATED",IF(J1139&lt;&gt;"","?FAMILIAR",IF(F1139="NEW",IF(ISNA(VLOOKUP(E1139,#REF!,1,FALSE())),"?TYPE_IDENTIFIABLE","?REFERENTIAL"),"_")))))</f>
        <v/>
      </c>
      <c r="H1139" s="13" t="str">
        <f aca="false">IF(J1139&lt;&gt;1,"",IF(I1139="SBJ","CB","?"))</f>
        <v/>
      </c>
      <c r="I1139" s="14" t="str">
        <f aca="false">IF(OR(E1139="",E1139="!!!",F1139="NEW"),"",INDEX(B$2:B1138,-1+SUMPRODUCT(MAX(ROW(E$2:E1138)*(E1139=E$2:E1138)))))</f>
        <v/>
      </c>
      <c r="J1139" s="15" t="str">
        <f aca="true">IF(OR(E1139="",E1139="!!!",F1139="NEW"),"",COUNTBLANK(OFFSET(A$1,,,SUMPRODUCT(MAX(ROW(E$2:E1139)*(E1139=E$2:E1139)))))-COUNTBLANK(OFFSET(A$1,,,SUMPRODUCT(MAX(ROW(E$1:E1138)*(E1139=E$1:E1138))))))</f>
        <v/>
      </c>
      <c r="K1139" s="15" t="str">
        <f aca="false">IF(OR(E1139="",E1139="!!!",F1139="NEW"),"",INDEX(J$1:J1138,SUMPRODUCT(MAX(ROW(E$1:E1138)*(E1139=E$1:E1138)))))</f>
        <v/>
      </c>
      <c r="L1139" s="16"/>
    </row>
    <row r="1140" customFormat="false" ht="12.75" hidden="false" customHeight="false" outlineLevel="0" collapsed="false">
      <c r="A1140" s="9" t="s">
        <v>124</v>
      </c>
      <c r="B1140" s="0" t="s">
        <v>25</v>
      </c>
      <c r="C1140" s="0" t="s">
        <v>119</v>
      </c>
      <c r="D1140" s="0" t="s">
        <v>27</v>
      </c>
      <c r="E1140" s="10" t="s">
        <v>64</v>
      </c>
      <c r="F1140" s="11" t="str">
        <f aca="false">IF(OR(E1140="",E1140="!!!"),"",IF(NOT(ISNA(VLOOKUP(E1140,E$1:E1139,1,FALSE()))),"OLD",IF(AND(E1140&lt;&gt;"",E1140&lt;&gt;"!!!"),"NEW","")))</f>
        <v>OLD</v>
      </c>
      <c r="G1140" s="12" t="s">
        <v>72</v>
      </c>
      <c r="H1140" s="13" t="str">
        <f aca="false">IF(J1140&lt;&gt;1,"",IF(I1140="SBJ","CB","?"))</f>
        <v/>
      </c>
      <c r="I1140" s="14" t="str">
        <f aca="false">IF(OR(E1140="",E1140="!!!",F1140="NEW"),"",INDEX(B$2:B1139,-1+SUMPRODUCT(MAX(ROW(E$2:E1139)*(E1140=E$2:E1139)))))</f>
        <v>other_3</v>
      </c>
      <c r="J1140" s="15" t="n">
        <f aca="true">IF(OR(E1140="",E1140="!!!",F1140="NEW"),"",COUNTBLANK(OFFSET(A$1,,,SUMPRODUCT(MAX(ROW(E$2:E1140)*(E1140=E$2:E1140)))))-COUNTBLANK(OFFSET(A$1,,,SUMPRODUCT(MAX(ROW(E$1:E1139)*(E1140=E$1:E1139))))))</f>
        <v>5</v>
      </c>
      <c r="K1140" s="15" t="n">
        <f aca="false">IF(OR(E1140="",E1140="!!!",F1140="NEW"),"",INDEX(J$1:J1139,SUMPRODUCT(MAX(ROW(E$1:E1139)*(E1140=E$1:E1139)))))</f>
        <v>1</v>
      </c>
      <c r="L1140" s="16"/>
    </row>
    <row r="1141" customFormat="false" ht="12.75" hidden="false" customHeight="false" outlineLevel="0" collapsed="false">
      <c r="A1141" s="9" t="s">
        <v>22</v>
      </c>
      <c r="E1141" s="10" t="str">
        <f aca="false">IF(D1141="?OLD","!!!","")</f>
        <v/>
      </c>
      <c r="F1141" s="11" t="str">
        <f aca="false">IF(OR(E1141="",E1141="!!!"),"",IF(NOT(ISNA(VLOOKUP(E1141,E$1:E1140,1,FALSE()))),"OLD",IF(AND(E1141&lt;&gt;"",E1141&lt;&gt;"!!!"),"NEW","")))</f>
        <v/>
      </c>
      <c r="G1141" s="12" t="str">
        <f aca="false">IF(OR(E1141="",E1141="!!!"),"",IF(OR(J1141=0,AND(J1141=1,K1141=1),AND(J1141=1,I1141="SBJ"),AND(J1141=1,I1141=0)),"?IN_FOCUS",IF(J1141&lt;=2,"?ACTIVATED",IF(J1141&lt;&gt;"","?FAMILIAR",IF(F1141="NEW",IF(ISNA(VLOOKUP(E1141,#REF!,1,FALSE())),"?TYPE_IDENTIFIABLE","?REFERENTIAL"),"_")))))</f>
        <v/>
      </c>
      <c r="H1141" s="13" t="str">
        <f aca="false">IF(J1141&lt;&gt;1,"",IF(I1141="SBJ","CB","?"))</f>
        <v/>
      </c>
      <c r="I1141" s="14" t="str">
        <f aca="false">IF(OR(E1141="",E1141="!!!",F1141="NEW"),"",INDEX(B$2:B1140,-1+SUMPRODUCT(MAX(ROW(E$2:E1140)*(E1141=E$2:E1140)))))</f>
        <v/>
      </c>
      <c r="J1141" s="15" t="str">
        <f aca="true">IF(OR(E1141="",E1141="!!!",F1141="NEW"),"",COUNTBLANK(OFFSET(A$1,,,SUMPRODUCT(MAX(ROW(E$2:E1141)*(E1141=E$2:E1141)))))-COUNTBLANK(OFFSET(A$1,,,SUMPRODUCT(MAX(ROW(E$1:E1140)*(E1141=E$1:E1140))))))</f>
        <v/>
      </c>
      <c r="K1141" s="15" t="str">
        <f aca="false">IF(OR(E1141="",E1141="!!!",F1141="NEW"),"",INDEX(J$1:J1140,SUMPRODUCT(MAX(ROW(E$1:E1140)*(E1141=E$1:E1140)))))</f>
        <v/>
      </c>
      <c r="L1141" s="16"/>
    </row>
    <row r="1142" customFormat="false" ht="12.75" hidden="false" customHeight="false" outlineLevel="0" collapsed="false">
      <c r="A1142" s="9" t="s">
        <v>39</v>
      </c>
      <c r="E1142" s="10" t="str">
        <f aca="false">IF(D1142="?OLD","!!!","")</f>
        <v/>
      </c>
      <c r="F1142" s="11" t="str">
        <f aca="false">IF(OR(E1142="",E1142="!!!"),"",IF(NOT(ISNA(VLOOKUP(E1142,E$1:E1141,1,FALSE()))),"OLD",IF(AND(E1142&lt;&gt;"",E1142&lt;&gt;"!!!"),"NEW","")))</f>
        <v/>
      </c>
      <c r="G1142" s="12" t="str">
        <f aca="false">IF(OR(E1142="",E1142="!!!"),"",IF(OR(J1142=0,AND(J1142=1,K1142=1),AND(J1142=1,I1142="SBJ"),AND(J1142=1,I1142=0)),"?IN_FOCUS",IF(J1142&lt;=2,"?ACTIVATED",IF(J1142&lt;&gt;"","?FAMILIAR",IF(F1142="NEW",IF(ISNA(VLOOKUP(E1142,#REF!,1,FALSE())),"?TYPE_IDENTIFIABLE","?REFERENTIAL"),"_")))))</f>
        <v/>
      </c>
      <c r="H1142" s="13" t="str">
        <f aca="false">IF(J1142&lt;&gt;1,"",IF(I1142="SBJ","CB","?"))</f>
        <v/>
      </c>
      <c r="I1142" s="14" t="str">
        <f aca="false">IF(OR(E1142="",E1142="!!!",F1142="NEW"),"",INDEX(B$2:B1141,-1+SUMPRODUCT(MAX(ROW(E$2:E1141)*(E1142=E$2:E1141)))))</f>
        <v/>
      </c>
      <c r="J1142" s="15" t="str">
        <f aca="true">IF(OR(E1142="",E1142="!!!",F1142="NEW"),"",COUNTBLANK(OFFSET(A$1,,,SUMPRODUCT(MAX(ROW(E$2:E1142)*(E1142=E$2:E1142)))))-COUNTBLANK(OFFSET(A$1,,,SUMPRODUCT(MAX(ROW(E$1:E1141)*(E1142=E$1:E1141))))))</f>
        <v/>
      </c>
      <c r="K1142" s="15" t="str">
        <f aca="false">IF(OR(E1142="",E1142="!!!",F1142="NEW"),"",INDEX(J$1:J1141,SUMPRODUCT(MAX(ROW(E$1:E1141)*(E1142=E$1:E1141)))))</f>
        <v/>
      </c>
      <c r="L1142" s="16"/>
    </row>
    <row r="1143" customFormat="false" ht="12.75" hidden="false" customHeight="false" outlineLevel="0" collapsed="false">
      <c r="A1143" s="9" t="s">
        <v>485</v>
      </c>
      <c r="E1143" s="10" t="str">
        <f aca="false">IF(D1143="?OLD","!!!","")</f>
        <v/>
      </c>
      <c r="F1143" s="11" t="str">
        <f aca="false">IF(OR(E1143="",E1143="!!!"),"",IF(NOT(ISNA(VLOOKUP(E1143,E$1:E1142,1,FALSE()))),"OLD",IF(AND(E1143&lt;&gt;"",E1143&lt;&gt;"!!!"),"NEW","")))</f>
        <v/>
      </c>
      <c r="G1143" s="12" t="str">
        <f aca="false">IF(OR(E1143="",E1143="!!!"),"",IF(OR(J1143=0,AND(J1143=1,K1143=1),AND(J1143=1,I1143="SBJ"),AND(J1143=1,I1143=0)),"?IN_FOCUS",IF(J1143&lt;=2,"?ACTIVATED",IF(J1143&lt;&gt;"","?FAMILIAR",IF(F1143="NEW",IF(ISNA(VLOOKUP(E1143,#REF!,1,FALSE())),"?TYPE_IDENTIFIABLE","?REFERENTIAL"),"_")))))</f>
        <v/>
      </c>
      <c r="H1143" s="13" t="str">
        <f aca="false">IF(J1143&lt;&gt;1,"",IF(I1143="SBJ","CB","?"))</f>
        <v/>
      </c>
      <c r="I1143" s="14" t="str">
        <f aca="false">IF(OR(E1143="",E1143="!!!",F1143="NEW"),"",INDEX(B$2:B1142,-1+SUMPRODUCT(MAX(ROW(E$2:E1142)*(E1143=E$2:E1142)))))</f>
        <v/>
      </c>
      <c r="J1143" s="15" t="str">
        <f aca="true">IF(OR(E1143="",E1143="!!!",F1143="NEW"),"",COUNTBLANK(OFFSET(A$1,,,SUMPRODUCT(MAX(ROW(E$2:E1143)*(E1143=E$2:E1143)))))-COUNTBLANK(OFFSET(A$1,,,SUMPRODUCT(MAX(ROW(E$1:E1142)*(E1143=E$1:E1142))))))</f>
        <v/>
      </c>
      <c r="K1143" s="15" t="str">
        <f aca="false">IF(OR(E1143="",E1143="!!!",F1143="NEW"),"",INDEX(J$1:J1142,SUMPRODUCT(MAX(ROW(E$1:E1142)*(E1143=E$1:E1142)))))</f>
        <v/>
      </c>
      <c r="L1143" s="16"/>
    </row>
    <row r="1144" customFormat="false" ht="12.75" hidden="false" customHeight="false" outlineLevel="0" collapsed="false">
      <c r="A1144" s="9" t="s">
        <v>237</v>
      </c>
      <c r="B1144" s="0" t="s">
        <v>43</v>
      </c>
      <c r="C1144" s="0" t="s">
        <v>58</v>
      </c>
      <c r="D1144" s="0" t="s">
        <v>27</v>
      </c>
      <c r="E1144" s="10" t="s">
        <v>64</v>
      </c>
      <c r="F1144" s="11" t="str">
        <f aca="false">IF(OR(E1144="",E1144="!!!"),"",IF(NOT(ISNA(VLOOKUP(E1144,E$1:E1143,1,FALSE()))),"OLD",IF(AND(E1144&lt;&gt;"",E1144&lt;&gt;"!!!"),"NEW","")))</f>
        <v>OLD</v>
      </c>
      <c r="G1144" s="12" t="s">
        <v>51</v>
      </c>
      <c r="H1144" s="13" t="str">
        <f aca="false">IF(J1144&lt;&gt;1,"",IF(I1144="SBJ","CB","?"))</f>
        <v/>
      </c>
      <c r="I1144" s="14" t="str">
        <f aca="false">IF(OR(E1144="",E1144="!!!",F1144="NEW"),"",INDEX(B$2:B1143,-1+SUMPRODUCT(MAX(ROW(E$2:E1143)*(E1144=E$2:E1143)))))</f>
        <v>other_2</v>
      </c>
      <c r="J1144" s="15" t="n">
        <f aca="true">IF(OR(E1144="",E1144="!!!",F1144="NEW"),"",COUNTBLANK(OFFSET(A$1,,,SUMPRODUCT(MAX(ROW(E$2:E1144)*(E1144=E$2:E1144)))))-COUNTBLANK(OFFSET(A$1,,,SUMPRODUCT(MAX(ROW(E$1:E1143)*(E1144=E$1:E1143))))))</f>
        <v>0</v>
      </c>
      <c r="K1144" s="15" t="n">
        <f aca="false">IF(OR(E1144="",E1144="!!!",F1144="NEW"),"",INDEX(J$1:J1143,SUMPRODUCT(MAX(ROW(E$1:E1143)*(E1144=E$1:E1143)))))</f>
        <v>5</v>
      </c>
      <c r="L1144" s="16"/>
    </row>
    <row r="1145" customFormat="false" ht="12.75" hidden="false" customHeight="false" outlineLevel="0" collapsed="false">
      <c r="A1145" s="9" t="s">
        <v>486</v>
      </c>
      <c r="E1145" s="10" t="str">
        <f aca="false">IF(D1145="?OLD","!!!","")</f>
        <v/>
      </c>
      <c r="F1145" s="11" t="str">
        <f aca="false">IF(OR(E1145="",E1145="!!!"),"",IF(NOT(ISNA(VLOOKUP(E1145,E$1:E1144,1,FALSE()))),"OLD",IF(AND(E1145&lt;&gt;"",E1145&lt;&gt;"!!!"),"NEW","")))</f>
        <v/>
      </c>
      <c r="G1145" s="12" t="str">
        <f aca="false">IF(OR(E1145="",E1145="!!!"),"",IF(OR(J1145=0,AND(J1145=1,K1145=1),AND(J1145=1,I1145="SBJ"),AND(J1145=1,I1145=0)),"?IN_FOCUS",IF(J1145&lt;=2,"?ACTIVATED",IF(J1145&lt;&gt;"","?FAMILIAR",IF(F1145="NEW",IF(ISNA(VLOOKUP(E1145,#REF!,1,FALSE())),"?TYPE_IDENTIFIABLE","?REFERENTIAL"),"_")))))</f>
        <v/>
      </c>
      <c r="H1145" s="13" t="str">
        <f aca="false">IF(J1145&lt;&gt;1,"",IF(I1145="SBJ","CB","?"))</f>
        <v/>
      </c>
      <c r="I1145" s="14" t="str">
        <f aca="false">IF(OR(E1145="",E1145="!!!",F1145="NEW"),"",INDEX(B$2:B1144,-1+SUMPRODUCT(MAX(ROW(E$2:E1144)*(E1145=E$2:E1144)))))</f>
        <v/>
      </c>
      <c r="J1145" s="15" t="str">
        <f aca="true">IF(OR(E1145="",E1145="!!!",F1145="NEW"),"",COUNTBLANK(OFFSET(A$1,,,SUMPRODUCT(MAX(ROW(E$2:E1145)*(E1145=E$2:E1145)))))-COUNTBLANK(OFFSET(A$1,,,SUMPRODUCT(MAX(ROW(E$1:E1144)*(E1145=E$1:E1144))))))</f>
        <v/>
      </c>
      <c r="K1145" s="15" t="str">
        <f aca="false">IF(OR(E1145="",E1145="!!!",F1145="NEW"),"",INDEX(J$1:J1144,SUMPRODUCT(MAX(ROW(E$1:E1144)*(E1145=E$1:E1144)))))</f>
        <v/>
      </c>
      <c r="L1145" s="16"/>
    </row>
    <row r="1146" customFormat="false" ht="12.75" hidden="false" customHeight="false" outlineLevel="0" collapsed="false">
      <c r="A1146" s="9" t="s">
        <v>68</v>
      </c>
      <c r="E1146" s="10" t="str">
        <f aca="false">IF(D1146="?OLD","!!!","")</f>
        <v/>
      </c>
      <c r="F1146" s="11" t="str">
        <f aca="false">IF(OR(E1146="",E1146="!!!"),"",IF(NOT(ISNA(VLOOKUP(E1146,E$1:E1145,1,FALSE()))),"OLD",IF(AND(E1146&lt;&gt;"",E1146&lt;&gt;"!!!"),"NEW","")))</f>
        <v/>
      </c>
      <c r="G1146" s="12" t="str">
        <f aca="false">IF(OR(E1146="",E1146="!!!"),"",IF(OR(J1146=0,AND(J1146=1,K1146=1),AND(J1146=1,I1146="SBJ"),AND(J1146=1,I1146=0)),"?IN_FOCUS",IF(J1146&lt;=2,"?ACTIVATED",IF(J1146&lt;&gt;"","?FAMILIAR",IF(F1146="NEW",IF(ISNA(VLOOKUP(E1146,#REF!,1,FALSE())),"?TYPE_IDENTIFIABLE","?REFERENTIAL"),"_")))))</f>
        <v/>
      </c>
      <c r="H1146" s="13" t="str">
        <f aca="false">IF(J1146&lt;&gt;1,"",IF(I1146="SBJ","CB","?"))</f>
        <v/>
      </c>
      <c r="I1146" s="14" t="str">
        <f aca="false">IF(OR(E1146="",E1146="!!!",F1146="NEW"),"",INDEX(B$2:B1145,-1+SUMPRODUCT(MAX(ROW(E$2:E1145)*(E1146=E$2:E1145)))))</f>
        <v/>
      </c>
      <c r="J1146" s="15" t="str">
        <f aca="true">IF(OR(E1146="",E1146="!!!",F1146="NEW"),"",COUNTBLANK(OFFSET(A$1,,,SUMPRODUCT(MAX(ROW(E$2:E1146)*(E1146=E$2:E1146)))))-COUNTBLANK(OFFSET(A$1,,,SUMPRODUCT(MAX(ROW(E$1:E1145)*(E1146=E$1:E1145))))))</f>
        <v/>
      </c>
      <c r="K1146" s="15" t="str">
        <f aca="false">IF(OR(E1146="",E1146="!!!",F1146="NEW"),"",INDEX(J$1:J1145,SUMPRODUCT(MAX(ROW(E$1:E1145)*(E1146=E$1:E1145)))))</f>
        <v/>
      </c>
      <c r="L1146" s="16"/>
    </row>
    <row r="1147" customFormat="false" ht="12.75" hidden="false" customHeight="false" outlineLevel="0" collapsed="false">
      <c r="E1147" s="10" t="str">
        <f aca="false">IF(D1147="?OLD","!!!","")</f>
        <v/>
      </c>
      <c r="F1147" s="11" t="str">
        <f aca="false">IF(OR(E1147="",E1147="!!!"),"",IF(NOT(ISNA(VLOOKUP(E1147,E$1:E1146,1,FALSE()))),"OLD",IF(AND(E1147&lt;&gt;"",E1147&lt;&gt;"!!!"),"NEW","")))</f>
        <v/>
      </c>
      <c r="G1147" s="12" t="str">
        <f aca="false">IF(OR(E1147="",E1147="!!!"),"",IF(OR(J1147=0,AND(J1147=1,K1147=1),AND(J1147=1,I1147="SBJ"),AND(J1147=1,I1147=0)),"?IN_FOCUS",IF(J1147&lt;=2,"?ACTIVATED",IF(J1147&lt;&gt;"","?FAMILIAR",IF(F1147="NEW",IF(ISNA(VLOOKUP(E1147,#REF!,1,FALSE())),"?TYPE_IDENTIFIABLE","?REFERENTIAL"),"_")))))</f>
        <v/>
      </c>
      <c r="H1147" s="13" t="str">
        <f aca="false">IF(J1147&lt;&gt;1,"",IF(I1147="SBJ","CB","?"))</f>
        <v/>
      </c>
      <c r="I1147" s="14" t="str">
        <f aca="false">IF(OR(E1147="",E1147="!!!",F1147="NEW"),"",INDEX(B$2:B1146,-1+SUMPRODUCT(MAX(ROW(E$2:E1146)*(E1147=E$2:E1146)))))</f>
        <v/>
      </c>
      <c r="J1147" s="15" t="str">
        <f aca="true">IF(OR(E1147="",E1147="!!!",F1147="NEW"),"",COUNTBLANK(OFFSET(A$1,,,SUMPRODUCT(MAX(ROW(E$2:E1147)*(E1147=E$2:E1147)))))-COUNTBLANK(OFFSET(A$1,,,SUMPRODUCT(MAX(ROW(E$1:E1146)*(E1147=E$1:E1146))))))</f>
        <v/>
      </c>
      <c r="K1147" s="15" t="str">
        <f aca="false">IF(OR(E1147="",E1147="!!!",F1147="NEW"),"",INDEX(J$1:J1146,SUMPRODUCT(MAX(ROW(E$1:E1146)*(E1147=E$1:E1146)))))</f>
        <v/>
      </c>
      <c r="L1147" s="16"/>
    </row>
    <row r="1148" customFormat="false" ht="12.75" hidden="false" customHeight="false" outlineLevel="0" collapsed="false">
      <c r="A1148" s="9" t="s">
        <v>487</v>
      </c>
      <c r="E1148" s="10" t="str">
        <f aca="false">IF(D1148="?OLD","!!!","")</f>
        <v/>
      </c>
      <c r="F1148" s="11" t="str">
        <f aca="false">IF(OR(E1148="",E1148="!!!"),"",IF(NOT(ISNA(VLOOKUP(E1148,E$1:E1147,1,FALSE()))),"OLD",IF(AND(E1148&lt;&gt;"",E1148&lt;&gt;"!!!"),"NEW","")))</f>
        <v/>
      </c>
      <c r="G1148" s="12" t="str">
        <f aca="false">IF(OR(E1148="",E1148="!!!"),"",IF(OR(J1148=0,AND(J1148=1,K1148=1),AND(J1148=1,I1148="SBJ"),AND(J1148=1,I1148=0)),"?IN_FOCUS",IF(J1148&lt;=2,"?ACTIVATED",IF(J1148&lt;&gt;"","?FAMILIAR",IF(F1148="NEW",IF(ISNA(VLOOKUP(E1148,#REF!,1,FALSE())),"?TYPE_IDENTIFIABLE","?REFERENTIAL"),"_")))))</f>
        <v/>
      </c>
      <c r="H1148" s="13" t="str">
        <f aca="false">IF(J1148&lt;&gt;1,"",IF(I1148="SBJ","CB","?"))</f>
        <v/>
      </c>
      <c r="I1148" s="14" t="str">
        <f aca="false">IF(OR(E1148="",E1148="!!!",F1148="NEW"),"",INDEX(B$2:B1147,-1+SUMPRODUCT(MAX(ROW(E$2:E1147)*(E1148=E$2:E1147)))))</f>
        <v/>
      </c>
      <c r="J1148" s="15" t="str">
        <f aca="true">IF(OR(E1148="",E1148="!!!",F1148="NEW"),"",COUNTBLANK(OFFSET(A$1,,,SUMPRODUCT(MAX(ROW(E$2:E1148)*(E1148=E$2:E1148)))))-COUNTBLANK(OFFSET(A$1,,,SUMPRODUCT(MAX(ROW(E$1:E1147)*(E1148=E$1:E1147))))))</f>
        <v/>
      </c>
      <c r="K1148" s="15" t="str">
        <f aca="false">IF(OR(E1148="",E1148="!!!",F1148="NEW"),"",INDEX(J$1:J1147,SUMPRODUCT(MAX(ROW(E$1:E1147)*(E1148=E$1:E1147)))))</f>
        <v/>
      </c>
      <c r="L1148" s="16"/>
    </row>
    <row r="1149" customFormat="false" ht="12.75" hidden="false" customHeight="false" outlineLevel="0" collapsed="false">
      <c r="A1149" s="9" t="s">
        <v>449</v>
      </c>
      <c r="E1149" s="10" t="str">
        <f aca="false">IF(D1149="?OLD","!!!","")</f>
        <v/>
      </c>
      <c r="F1149" s="11" t="str">
        <f aca="false">IF(OR(E1149="",E1149="!!!"),"",IF(NOT(ISNA(VLOOKUP(E1149,E$1:E1148,1,FALSE()))),"OLD",IF(AND(E1149&lt;&gt;"",E1149&lt;&gt;"!!!"),"NEW","")))</f>
        <v/>
      </c>
      <c r="G1149" s="12" t="str">
        <f aca="false">IF(OR(E1149="",E1149="!!!"),"",IF(OR(J1149=0,AND(J1149=1,K1149=1),AND(J1149=1,I1149="SBJ"),AND(J1149=1,I1149=0)),"?IN_FOCUS",IF(J1149&lt;=2,"?ACTIVATED",IF(J1149&lt;&gt;"","?FAMILIAR",IF(F1149="NEW",IF(ISNA(VLOOKUP(E1149,#REF!,1,FALSE())),"?TYPE_IDENTIFIABLE","?REFERENTIAL"),"_")))))</f>
        <v/>
      </c>
      <c r="H1149" s="13" t="str">
        <f aca="false">IF(J1149&lt;&gt;1,"",IF(I1149="SBJ","CB","?"))</f>
        <v/>
      </c>
      <c r="I1149" s="14" t="str">
        <f aca="false">IF(OR(E1149="",E1149="!!!",F1149="NEW"),"",INDEX(B$2:B1148,-1+SUMPRODUCT(MAX(ROW(E$2:E1148)*(E1149=E$2:E1148)))))</f>
        <v/>
      </c>
      <c r="J1149" s="15" t="str">
        <f aca="true">IF(OR(E1149="",E1149="!!!",F1149="NEW"),"",COUNTBLANK(OFFSET(A$1,,,SUMPRODUCT(MAX(ROW(E$2:E1149)*(E1149=E$2:E1149)))))-COUNTBLANK(OFFSET(A$1,,,SUMPRODUCT(MAX(ROW(E$1:E1148)*(E1149=E$1:E1148))))))</f>
        <v/>
      </c>
      <c r="K1149" s="15" t="str">
        <f aca="false">IF(OR(E1149="",E1149="!!!",F1149="NEW"),"",INDEX(J$1:J1148,SUMPRODUCT(MAX(ROW(E$1:E1148)*(E1149=E$1:E1148)))))</f>
        <v/>
      </c>
      <c r="L1149" s="16"/>
    </row>
    <row r="1150" customFormat="false" ht="12.75" hidden="false" customHeight="false" outlineLevel="0" collapsed="false">
      <c r="A1150" s="9" t="s">
        <v>488</v>
      </c>
      <c r="E1150" s="10" t="str">
        <f aca="false">IF(D1150="?OLD","!!!","")</f>
        <v/>
      </c>
      <c r="F1150" s="11" t="str">
        <f aca="false">IF(OR(E1150="",E1150="!!!"),"",IF(NOT(ISNA(VLOOKUP(E1150,E$1:E1149,1,FALSE()))),"OLD",IF(AND(E1150&lt;&gt;"",E1150&lt;&gt;"!!!"),"NEW","")))</f>
        <v/>
      </c>
      <c r="G1150" s="12" t="str">
        <f aca="false">IF(OR(E1150="",E1150="!!!"),"",IF(OR(J1150=0,AND(J1150=1,K1150=1),AND(J1150=1,I1150="SBJ"),AND(J1150=1,I1150=0)),"?IN_FOCUS",IF(J1150&lt;=2,"?ACTIVATED",IF(J1150&lt;&gt;"","?FAMILIAR",IF(F1150="NEW",IF(ISNA(VLOOKUP(E1150,#REF!,1,FALSE())),"?TYPE_IDENTIFIABLE","?REFERENTIAL"),"_")))))</f>
        <v/>
      </c>
      <c r="H1150" s="13" t="str">
        <f aca="false">IF(J1150&lt;&gt;1,"",IF(I1150="SBJ","CB","?"))</f>
        <v/>
      </c>
      <c r="I1150" s="14" t="str">
        <f aca="false">IF(OR(E1150="",E1150="!!!",F1150="NEW"),"",INDEX(B$2:B1149,-1+SUMPRODUCT(MAX(ROW(E$2:E1149)*(E1150=E$2:E1149)))))</f>
        <v/>
      </c>
      <c r="J1150" s="15" t="str">
        <f aca="true">IF(OR(E1150="",E1150="!!!",F1150="NEW"),"",COUNTBLANK(OFFSET(A$1,,,SUMPRODUCT(MAX(ROW(E$2:E1150)*(E1150=E$2:E1150)))))-COUNTBLANK(OFFSET(A$1,,,SUMPRODUCT(MAX(ROW(E$1:E1149)*(E1150=E$1:E1149))))))</f>
        <v/>
      </c>
      <c r="K1150" s="15" t="str">
        <f aca="false">IF(OR(E1150="",E1150="!!!",F1150="NEW"),"",INDEX(J$1:J1149,SUMPRODUCT(MAX(ROW(E$1:E1149)*(E1150=E$1:E1149)))))</f>
        <v/>
      </c>
      <c r="L1150" s="16"/>
    </row>
    <row r="1151" customFormat="false" ht="12.75" hidden="false" customHeight="false" outlineLevel="0" collapsed="false">
      <c r="A1151" s="9" t="s">
        <v>117</v>
      </c>
      <c r="E1151" s="10" t="str">
        <f aca="false">IF(D1151="?OLD","!!!","")</f>
        <v/>
      </c>
      <c r="F1151" s="11" t="str">
        <f aca="false">IF(OR(E1151="",E1151="!!!"),"",IF(NOT(ISNA(VLOOKUP(E1151,E$1:E1150,1,FALSE()))),"OLD",IF(AND(E1151&lt;&gt;"",E1151&lt;&gt;"!!!"),"NEW","")))</f>
        <v/>
      </c>
      <c r="G1151" s="12" t="str">
        <f aca="false">IF(OR(E1151="",E1151="!!!"),"",IF(OR(J1151=0,AND(J1151=1,K1151=1),AND(J1151=1,I1151="SBJ"),AND(J1151=1,I1151=0)),"?IN_FOCUS",IF(J1151&lt;=2,"?ACTIVATED",IF(J1151&lt;&gt;"","?FAMILIAR",IF(F1151="NEW",IF(ISNA(VLOOKUP(E1151,#REF!,1,FALSE())),"?TYPE_IDENTIFIABLE","?REFERENTIAL"),"_")))))</f>
        <v/>
      </c>
      <c r="H1151" s="13" t="str">
        <f aca="false">IF(J1151&lt;&gt;1,"",IF(I1151="SBJ","CB","?"))</f>
        <v/>
      </c>
      <c r="I1151" s="14" t="str">
        <f aca="false">IF(OR(E1151="",E1151="!!!",F1151="NEW"),"",INDEX(B$2:B1150,-1+SUMPRODUCT(MAX(ROW(E$2:E1150)*(E1151=E$2:E1150)))))</f>
        <v/>
      </c>
      <c r="J1151" s="15" t="str">
        <f aca="true">IF(OR(E1151="",E1151="!!!",F1151="NEW"),"",COUNTBLANK(OFFSET(A$1,,,SUMPRODUCT(MAX(ROW(E$2:E1151)*(E1151=E$2:E1151)))))-COUNTBLANK(OFFSET(A$1,,,SUMPRODUCT(MAX(ROW(E$1:E1150)*(E1151=E$1:E1150))))))</f>
        <v/>
      </c>
      <c r="K1151" s="15" t="str">
        <f aca="false">IF(OR(E1151="",E1151="!!!",F1151="NEW"),"",INDEX(J$1:J1150,SUMPRODUCT(MAX(ROW(E$1:E1150)*(E1151=E$1:E1150)))))</f>
        <v/>
      </c>
      <c r="L1151" s="16"/>
    </row>
    <row r="1152" customFormat="false" ht="12.75" hidden="false" customHeight="false" outlineLevel="0" collapsed="false">
      <c r="A1152" s="9" t="s">
        <v>489</v>
      </c>
      <c r="B1152" s="0" t="s">
        <v>114</v>
      </c>
      <c r="C1152" s="0" t="s">
        <v>119</v>
      </c>
      <c r="D1152" s="0" t="s">
        <v>27</v>
      </c>
      <c r="E1152" s="10" t="s">
        <v>490</v>
      </c>
      <c r="F1152" s="11" t="str">
        <f aca="false">IF(OR(E1152="",E1152="!!!"),"",IF(NOT(ISNA(VLOOKUP(E1152,E$1:E1151,1,FALSE()))),"OLD",IF(AND(E1152&lt;&gt;"",E1152&lt;&gt;"!!!"),"NEW","")))</f>
        <v>NEW</v>
      </c>
      <c r="G1152" s="12" t="s">
        <v>72</v>
      </c>
      <c r="H1152" s="13" t="str">
        <f aca="false">IF(J1152&lt;&gt;1,"",IF(I1152="SBJ","CB","?"))</f>
        <v/>
      </c>
      <c r="I1152" s="14" t="str">
        <f aca="false">IF(OR(E1152="",E1152="!!!",F1152="NEW"),"",INDEX(B$2:B1151,-1+SUMPRODUCT(MAX(ROW(E$2:E1151)*(E1152=E$2:E1151)))))</f>
        <v/>
      </c>
      <c r="J1152" s="15" t="str">
        <f aca="true">IF(OR(E1152="",E1152="!!!",F1152="NEW"),"",COUNTBLANK(OFFSET(A$1,,,SUMPRODUCT(MAX(ROW(E$2:E1152)*(E1152=E$2:E1152)))))-COUNTBLANK(OFFSET(A$1,,,SUMPRODUCT(MAX(ROW(E$1:E1151)*(E1152=E$1:E1151))))))</f>
        <v/>
      </c>
      <c r="K1152" s="15" t="str">
        <f aca="false">IF(OR(E1152="",E1152="!!!",F1152="NEW"),"",INDEX(J$1:J1151,SUMPRODUCT(MAX(ROW(E$1:E1151)*(E1152=E$1:E1151)))))</f>
        <v/>
      </c>
      <c r="L1152" s="16"/>
    </row>
    <row r="1153" customFormat="false" ht="12.75" hidden="false" customHeight="false" outlineLevel="0" collapsed="false">
      <c r="A1153" s="9" t="s">
        <v>491</v>
      </c>
      <c r="E1153" s="10" t="str">
        <f aca="false">IF(D1153="?OLD","!!!","")</f>
        <v/>
      </c>
      <c r="F1153" s="11" t="str">
        <f aca="false">IF(OR(E1153="",E1153="!!!"),"",IF(NOT(ISNA(VLOOKUP(E1153,E$1:E1152,1,FALSE()))),"OLD",IF(AND(E1153&lt;&gt;"",E1153&lt;&gt;"!!!"),"NEW","")))</f>
        <v/>
      </c>
      <c r="G1153" s="12" t="str">
        <f aca="false">IF(OR(E1153="",E1153="!!!"),"",IF(OR(J1153=0,AND(J1153=1,K1153=1),AND(J1153=1,I1153="SBJ"),AND(J1153=1,I1153=0)),"?IN_FOCUS",IF(J1153&lt;=2,"?ACTIVATED",IF(J1153&lt;&gt;"","?FAMILIAR",IF(F1153="NEW",IF(ISNA(VLOOKUP(E1153,#REF!,1,FALSE())),"?TYPE_IDENTIFIABLE","?REFERENTIAL"),"_")))))</f>
        <v/>
      </c>
      <c r="H1153" s="13" t="str">
        <f aca="false">IF(J1153&lt;&gt;1,"",IF(I1153="SBJ","CB","?"))</f>
        <v/>
      </c>
      <c r="I1153" s="14" t="str">
        <f aca="false">IF(OR(E1153="",E1153="!!!",F1153="NEW"),"",INDEX(B$2:B1152,-1+SUMPRODUCT(MAX(ROW(E$2:E1152)*(E1153=E$2:E1152)))))</f>
        <v/>
      </c>
      <c r="J1153" s="15" t="str">
        <f aca="true">IF(OR(E1153="",E1153="!!!",F1153="NEW"),"",COUNTBLANK(OFFSET(A$1,,,SUMPRODUCT(MAX(ROW(E$2:E1153)*(E1153=E$2:E1153)))))-COUNTBLANK(OFFSET(A$1,,,SUMPRODUCT(MAX(ROW(E$1:E1152)*(E1153=E$1:E1152))))))</f>
        <v/>
      </c>
      <c r="K1153" s="15" t="str">
        <f aca="false">IF(OR(E1153="",E1153="!!!",F1153="NEW"),"",INDEX(J$1:J1152,SUMPRODUCT(MAX(ROW(E$1:E1152)*(E1153=E$1:E1152)))))</f>
        <v/>
      </c>
      <c r="L1153" s="16"/>
    </row>
    <row r="1154" customFormat="false" ht="12.75" hidden="false" customHeight="false" outlineLevel="0" collapsed="false">
      <c r="A1154" s="9" t="s">
        <v>117</v>
      </c>
      <c r="E1154" s="10" t="str">
        <f aca="false">IF(D1154="?OLD","!!!","")</f>
        <v/>
      </c>
      <c r="F1154" s="11" t="str">
        <f aca="false">IF(OR(E1154="",E1154="!!!"),"",IF(NOT(ISNA(VLOOKUP(E1154,E$1:E1153,1,FALSE()))),"OLD",IF(AND(E1154&lt;&gt;"",E1154&lt;&gt;"!!!"),"NEW","")))</f>
        <v/>
      </c>
      <c r="G1154" s="12" t="str">
        <f aca="false">IF(OR(E1154="",E1154="!!!"),"",IF(OR(J1154=0,AND(J1154=1,K1154=1),AND(J1154=1,I1154="SBJ"),AND(J1154=1,I1154=0)),"?IN_FOCUS",IF(J1154&lt;=2,"?ACTIVATED",IF(J1154&lt;&gt;"","?FAMILIAR",IF(F1154="NEW",IF(ISNA(VLOOKUP(E1154,#REF!,1,FALSE())),"?TYPE_IDENTIFIABLE","?REFERENTIAL"),"_")))))</f>
        <v/>
      </c>
      <c r="H1154" s="13" t="str">
        <f aca="false">IF(J1154&lt;&gt;1,"",IF(I1154="SBJ","CB","?"))</f>
        <v/>
      </c>
      <c r="I1154" s="14" t="str">
        <f aca="false">IF(OR(E1154="",E1154="!!!",F1154="NEW"),"",INDEX(B$2:B1153,-1+SUMPRODUCT(MAX(ROW(E$2:E1153)*(E1154=E$2:E1153)))))</f>
        <v/>
      </c>
      <c r="J1154" s="15" t="str">
        <f aca="true">IF(OR(E1154="",E1154="!!!",F1154="NEW"),"",COUNTBLANK(OFFSET(A$1,,,SUMPRODUCT(MAX(ROW(E$2:E1154)*(E1154=E$2:E1154)))))-COUNTBLANK(OFFSET(A$1,,,SUMPRODUCT(MAX(ROW(E$1:E1153)*(E1154=E$1:E1153))))))</f>
        <v/>
      </c>
      <c r="K1154" s="15" t="str">
        <f aca="false">IF(OR(E1154="",E1154="!!!",F1154="NEW"),"",INDEX(J$1:J1153,SUMPRODUCT(MAX(ROW(E$1:E1153)*(E1154=E$1:E1153)))))</f>
        <v/>
      </c>
      <c r="L1154" s="16"/>
    </row>
    <row r="1155" customFormat="false" ht="12.75" hidden="false" customHeight="false" outlineLevel="0" collapsed="false">
      <c r="A1155" s="9" t="s">
        <v>492</v>
      </c>
      <c r="B1155" s="0" t="s">
        <v>30</v>
      </c>
      <c r="C1155" s="0" t="s">
        <v>119</v>
      </c>
      <c r="D1155" s="0" t="s">
        <v>27</v>
      </c>
      <c r="E1155" s="10" t="s">
        <v>493</v>
      </c>
      <c r="F1155" s="11" t="str">
        <f aca="false">IF(OR(E1155="",E1155="!!!"),"",IF(NOT(ISNA(VLOOKUP(E1155,E$1:E1154,1,FALSE()))),"OLD",IF(AND(E1155&lt;&gt;"",E1155&lt;&gt;"!!!"),"NEW","")))</f>
        <v>NEW</v>
      </c>
      <c r="G1155" s="12" t="s">
        <v>28</v>
      </c>
      <c r="H1155" s="13" t="str">
        <f aca="false">IF(J1155&lt;&gt;1,"",IF(I1155="SBJ","CB","?"))</f>
        <v/>
      </c>
      <c r="I1155" s="14" t="str">
        <f aca="false">IF(OR(E1155="",E1155="!!!",F1155="NEW"),"",INDEX(B$2:B1154,-1+SUMPRODUCT(MAX(ROW(E$2:E1154)*(E1155=E$2:E1154)))))</f>
        <v/>
      </c>
      <c r="J1155" s="15" t="str">
        <f aca="true">IF(OR(E1155="",E1155="!!!",F1155="NEW"),"",COUNTBLANK(OFFSET(A$1,,,SUMPRODUCT(MAX(ROW(E$2:E1155)*(E1155=E$2:E1155)))))-COUNTBLANK(OFFSET(A$1,,,SUMPRODUCT(MAX(ROW(E$1:E1154)*(E1155=E$1:E1154))))))</f>
        <v/>
      </c>
      <c r="K1155" s="15" t="str">
        <f aca="false">IF(OR(E1155="",E1155="!!!",F1155="NEW"),"",INDEX(J$1:J1154,SUMPRODUCT(MAX(ROW(E$1:E1154)*(E1155=E$1:E1154)))))</f>
        <v/>
      </c>
      <c r="L1155" s="16"/>
    </row>
    <row r="1156" customFormat="false" ht="12.75" hidden="false" customHeight="false" outlineLevel="0" collapsed="false">
      <c r="A1156" s="9" t="s">
        <v>111</v>
      </c>
      <c r="E1156" s="10" t="str">
        <f aca="false">IF(D1156="?OLD","!!!","")</f>
        <v/>
      </c>
      <c r="F1156" s="11" t="str">
        <f aca="false">IF(OR(E1156="",E1156="!!!"),"",IF(NOT(ISNA(VLOOKUP(E1156,E$1:E1155,1,FALSE()))),"OLD",IF(AND(E1156&lt;&gt;"",E1156&lt;&gt;"!!!"),"NEW","")))</f>
        <v/>
      </c>
      <c r="G1156" s="12" t="str">
        <f aca="false">IF(OR(E1156="",E1156="!!!"),"",IF(OR(J1156=0,AND(J1156=1,K1156=1),AND(J1156=1,I1156="SBJ"),AND(J1156=1,I1156=0)),"?IN_FOCUS",IF(J1156&lt;=2,"?ACTIVATED",IF(J1156&lt;&gt;"","?FAMILIAR",IF(F1156="NEW",IF(ISNA(VLOOKUP(E1156,#REF!,1,FALSE())),"?TYPE_IDENTIFIABLE","?REFERENTIAL"),"_")))))</f>
        <v/>
      </c>
      <c r="H1156" s="13" t="str">
        <f aca="false">IF(J1156&lt;&gt;1,"",IF(I1156="SBJ","CB","?"))</f>
        <v/>
      </c>
      <c r="I1156" s="14" t="str">
        <f aca="false">IF(OR(E1156="",E1156="!!!",F1156="NEW"),"",INDEX(B$2:B1155,-1+SUMPRODUCT(MAX(ROW(E$2:E1155)*(E1156=E$2:E1155)))))</f>
        <v/>
      </c>
      <c r="J1156" s="15" t="str">
        <f aca="true">IF(OR(E1156="",E1156="!!!",F1156="NEW"),"",COUNTBLANK(OFFSET(A$1,,,SUMPRODUCT(MAX(ROW(E$2:E1156)*(E1156=E$2:E1156)))))-COUNTBLANK(OFFSET(A$1,,,SUMPRODUCT(MAX(ROW(E$1:E1155)*(E1156=E$1:E1155))))))</f>
        <v/>
      </c>
      <c r="K1156" s="15" t="str">
        <f aca="false">IF(OR(E1156="",E1156="!!!",F1156="NEW"),"",INDEX(J$1:J1155,SUMPRODUCT(MAX(ROW(E$1:E1155)*(E1156=E$1:E1155)))))</f>
        <v/>
      </c>
      <c r="L1156" s="16"/>
    </row>
    <row r="1157" customFormat="false" ht="12.75" hidden="false" customHeight="false" outlineLevel="0" collapsed="false">
      <c r="A1157" s="9" t="s">
        <v>44</v>
      </c>
      <c r="E1157" s="10" t="str">
        <f aca="false">IF(D1157="?OLD","!!!","")</f>
        <v/>
      </c>
      <c r="F1157" s="11" t="str">
        <f aca="false">IF(OR(E1157="",E1157="!!!"),"",IF(NOT(ISNA(VLOOKUP(E1157,E$1:E1156,1,FALSE()))),"OLD",IF(AND(E1157&lt;&gt;"",E1157&lt;&gt;"!!!"),"NEW","")))</f>
        <v/>
      </c>
      <c r="G1157" s="12" t="str">
        <f aca="false">IF(OR(E1157="",E1157="!!!"),"",IF(OR(J1157=0,AND(J1157=1,K1157=1),AND(J1157=1,I1157="SBJ"),AND(J1157=1,I1157=0)),"?IN_FOCUS",IF(J1157&lt;=2,"?ACTIVATED",IF(J1157&lt;&gt;"","?FAMILIAR",IF(F1157="NEW",IF(ISNA(VLOOKUP(E1157,#REF!,1,FALSE())),"?TYPE_IDENTIFIABLE","?REFERENTIAL"),"_")))))</f>
        <v/>
      </c>
      <c r="H1157" s="13" t="str">
        <f aca="false">IF(J1157&lt;&gt;1,"",IF(I1157="SBJ","CB","?"))</f>
        <v/>
      </c>
      <c r="I1157" s="14" t="str">
        <f aca="false">IF(OR(E1157="",E1157="!!!",F1157="NEW"),"",INDEX(B$2:B1156,-1+SUMPRODUCT(MAX(ROW(E$2:E1156)*(E1157=E$2:E1156)))))</f>
        <v/>
      </c>
      <c r="J1157" s="15" t="str">
        <f aca="true">IF(OR(E1157="",E1157="!!!",F1157="NEW"),"",COUNTBLANK(OFFSET(A$1,,,SUMPRODUCT(MAX(ROW(E$2:E1157)*(E1157=E$2:E1157)))))-COUNTBLANK(OFFSET(A$1,,,SUMPRODUCT(MAX(ROW(E$1:E1156)*(E1157=E$1:E1156))))))</f>
        <v/>
      </c>
      <c r="K1157" s="15" t="str">
        <f aca="false">IF(OR(E1157="",E1157="!!!",F1157="NEW"),"",INDEX(J$1:J1156,SUMPRODUCT(MAX(ROW(E$1:E1156)*(E1157=E$1:E1156)))))</f>
        <v/>
      </c>
      <c r="L1157" s="16"/>
    </row>
    <row r="1158" customFormat="false" ht="12.75" hidden="false" customHeight="false" outlineLevel="0" collapsed="false">
      <c r="A1158" s="9" t="s">
        <v>124</v>
      </c>
      <c r="B1158" s="0" t="s">
        <v>25</v>
      </c>
      <c r="C1158" s="0" t="s">
        <v>21</v>
      </c>
      <c r="E1158" s="10" t="str">
        <f aca="false">IF(D1158="?OLD","!!!","")</f>
        <v/>
      </c>
      <c r="F1158" s="11" t="str">
        <f aca="false">IF(OR(E1158="",E1158="!!!"),"",IF(NOT(ISNA(VLOOKUP(E1158,E$1:E1157,1,FALSE()))),"OLD",IF(AND(E1158&lt;&gt;"",E1158&lt;&gt;"!!!"),"NEW","")))</f>
        <v/>
      </c>
      <c r="G1158" s="12" t="str">
        <f aca="false">IF(OR(E1158="",E1158="!!!"),"",IF(OR(J1158=0,AND(J1158=1,K1158=1),AND(J1158=1,I1158="SBJ"),AND(J1158=1,I1158=0)),"?IN_FOCUS",IF(J1158&lt;=2,"?ACTIVATED",IF(J1158&lt;&gt;"","?FAMILIAR",IF(F1158="NEW",IF(ISNA(VLOOKUP(E1158,#REF!,1,FALSE())),"?TYPE_IDENTIFIABLE","?REFERENTIAL"),"_")))))</f>
        <v/>
      </c>
      <c r="H1158" s="13" t="str">
        <f aca="false">IF(J1158&lt;&gt;1,"",IF(I1158="SBJ","CB","?"))</f>
        <v/>
      </c>
      <c r="I1158" s="14" t="str">
        <f aca="false">IF(OR(E1158="",E1158="!!!",F1158="NEW"),"",INDEX(B$2:B1157,-1+SUMPRODUCT(MAX(ROW(E$2:E1157)*(E1158=E$2:E1157)))))</f>
        <v/>
      </c>
      <c r="J1158" s="15" t="str">
        <f aca="true">IF(OR(E1158="",E1158="!!!",F1158="NEW"),"",COUNTBLANK(OFFSET(A$1,,,SUMPRODUCT(MAX(ROW(E$2:E1158)*(E1158=E$2:E1158)))))-COUNTBLANK(OFFSET(A$1,,,SUMPRODUCT(MAX(ROW(E$1:E1157)*(E1158=E$1:E1157))))))</f>
        <v/>
      </c>
      <c r="K1158" s="15" t="str">
        <f aca="false">IF(OR(E1158="",E1158="!!!",F1158="NEW"),"",INDEX(J$1:J1157,SUMPRODUCT(MAX(ROW(E$1:E1157)*(E1158=E$1:E1157)))))</f>
        <v/>
      </c>
      <c r="L1158" s="16"/>
    </row>
    <row r="1159" customFormat="false" ht="12.75" hidden="false" customHeight="false" outlineLevel="0" collapsed="false">
      <c r="A1159" s="9" t="s">
        <v>22</v>
      </c>
      <c r="E1159" s="10" t="str">
        <f aca="false">IF(D1159="?OLD","!!!","")</f>
        <v/>
      </c>
      <c r="F1159" s="11" t="str">
        <f aca="false">IF(OR(E1159="",E1159="!!!"),"",IF(NOT(ISNA(VLOOKUP(E1159,E$1:E1158,1,FALSE()))),"OLD",IF(AND(E1159&lt;&gt;"",E1159&lt;&gt;"!!!"),"NEW","")))</f>
        <v/>
      </c>
      <c r="G1159" s="12" t="str">
        <f aca="false">IF(OR(E1159="",E1159="!!!"),"",IF(OR(J1159=0,AND(J1159=1,K1159=1),AND(J1159=1,I1159="SBJ"),AND(J1159=1,I1159=0)),"?IN_FOCUS",IF(J1159&lt;=2,"?ACTIVATED",IF(J1159&lt;&gt;"","?FAMILIAR",IF(F1159="NEW",IF(ISNA(VLOOKUP(E1159,#REF!,1,FALSE())),"?TYPE_IDENTIFIABLE","?REFERENTIAL"),"_")))))</f>
        <v/>
      </c>
      <c r="H1159" s="13" t="str">
        <f aca="false">IF(J1159&lt;&gt;1,"",IF(I1159="SBJ","CB","?"))</f>
        <v/>
      </c>
      <c r="I1159" s="14" t="str">
        <f aca="false">IF(OR(E1159="",E1159="!!!",F1159="NEW"),"",INDEX(B$2:B1158,-1+SUMPRODUCT(MAX(ROW(E$2:E1158)*(E1159=E$2:E1158)))))</f>
        <v/>
      </c>
      <c r="J1159" s="15" t="str">
        <f aca="true">IF(OR(E1159="",E1159="!!!",F1159="NEW"),"",COUNTBLANK(OFFSET(A$1,,,SUMPRODUCT(MAX(ROW(E$2:E1159)*(E1159=E$2:E1159)))))-COUNTBLANK(OFFSET(A$1,,,SUMPRODUCT(MAX(ROW(E$1:E1158)*(E1159=E$1:E1158))))))</f>
        <v/>
      </c>
      <c r="K1159" s="15" t="str">
        <f aca="false">IF(OR(E1159="",E1159="!!!",F1159="NEW"),"",INDEX(J$1:J1158,SUMPRODUCT(MAX(ROW(E$1:E1158)*(E1159=E$1:E1158)))))</f>
        <v/>
      </c>
      <c r="L1159" s="16"/>
    </row>
    <row r="1160" customFormat="false" ht="12.75" hidden="false" customHeight="false" outlineLevel="0" collapsed="false">
      <c r="A1160" s="9" t="s">
        <v>56</v>
      </c>
      <c r="B1160" s="0" t="s">
        <v>79</v>
      </c>
      <c r="C1160" s="0" t="s">
        <v>58</v>
      </c>
      <c r="D1160" s="0" t="s">
        <v>27</v>
      </c>
      <c r="E1160" s="10" t="s">
        <v>494</v>
      </c>
      <c r="F1160" s="11" t="str">
        <f aca="false">IF(OR(E1160="",E1160="!!!"),"",IF(NOT(ISNA(VLOOKUP(E1160,E$1:E1159,1,FALSE()))),"OLD",IF(AND(E1160&lt;&gt;"",E1160&lt;&gt;"!!!"),"NEW","")))</f>
        <v>NEW</v>
      </c>
      <c r="G1160" s="12" t="s">
        <v>28</v>
      </c>
      <c r="H1160" s="13" t="str">
        <f aca="false">IF(J1160&lt;&gt;1,"",IF(I1160="SBJ","CB","?"))</f>
        <v/>
      </c>
      <c r="I1160" s="14" t="str">
        <f aca="false">IF(OR(E1160="",E1160="!!!",F1160="NEW"),"",INDEX(B$2:B1159,-1+SUMPRODUCT(MAX(ROW(E$2:E1159)*(E1160=E$2:E1159)))))</f>
        <v/>
      </c>
      <c r="J1160" s="15" t="str">
        <f aca="true">IF(OR(E1160="",E1160="!!!",F1160="NEW"),"",COUNTBLANK(OFFSET(A$1,,,SUMPRODUCT(MAX(ROW(E$2:E1160)*(E1160=E$2:E1160)))))-COUNTBLANK(OFFSET(A$1,,,SUMPRODUCT(MAX(ROW(E$1:E1159)*(E1160=E$1:E1159))))))</f>
        <v/>
      </c>
      <c r="K1160" s="15" t="str">
        <f aca="false">IF(OR(E1160="",E1160="!!!",F1160="NEW"),"",INDEX(J$1:J1159,SUMPRODUCT(MAX(ROW(E$1:E1159)*(E1160=E$1:E1159)))))</f>
        <v/>
      </c>
      <c r="L1160" s="16"/>
    </row>
    <row r="1161" customFormat="false" ht="12.75" hidden="false" customHeight="false" outlineLevel="0" collapsed="false">
      <c r="A1161" s="9" t="s">
        <v>196</v>
      </c>
      <c r="E1161" s="10" t="str">
        <f aca="false">IF(D1161="?OLD","!!!","")</f>
        <v/>
      </c>
      <c r="F1161" s="11" t="str">
        <f aca="false">IF(OR(E1161="",E1161="!!!"),"",IF(NOT(ISNA(VLOOKUP(E1161,E$1:E1160,1,FALSE()))),"OLD",IF(AND(E1161&lt;&gt;"",E1161&lt;&gt;"!!!"),"NEW","")))</f>
        <v/>
      </c>
      <c r="G1161" s="12" t="str">
        <f aca="false">IF(OR(E1161="",E1161="!!!"),"",IF(OR(J1161=0,AND(J1161=1,K1161=1),AND(J1161=1,I1161="SBJ"),AND(J1161=1,I1161=0)),"?IN_FOCUS",IF(J1161&lt;=2,"?ACTIVATED",IF(J1161&lt;&gt;"","?FAMILIAR",IF(F1161="NEW",IF(ISNA(VLOOKUP(E1161,#REF!,1,FALSE())),"?TYPE_IDENTIFIABLE","?REFERENTIAL"),"_")))))</f>
        <v/>
      </c>
      <c r="H1161" s="13" t="str">
        <f aca="false">IF(J1161&lt;&gt;1,"",IF(I1161="SBJ","CB","?"))</f>
        <v/>
      </c>
      <c r="I1161" s="14" t="str">
        <f aca="false">IF(OR(E1161="",E1161="!!!",F1161="NEW"),"",INDEX(B$2:B1160,-1+SUMPRODUCT(MAX(ROW(E$2:E1160)*(E1161=E$2:E1160)))))</f>
        <v/>
      </c>
      <c r="J1161" s="15" t="str">
        <f aca="true">IF(OR(E1161="",E1161="!!!",F1161="NEW"),"",COUNTBLANK(OFFSET(A$1,,,SUMPRODUCT(MAX(ROW(E$2:E1161)*(E1161=E$2:E1161)))))-COUNTBLANK(OFFSET(A$1,,,SUMPRODUCT(MAX(ROW(E$1:E1160)*(E1161=E$1:E1160))))))</f>
        <v/>
      </c>
      <c r="K1161" s="15" t="str">
        <f aca="false">IF(OR(E1161="",E1161="!!!",F1161="NEW"),"",INDEX(J$1:J1160,SUMPRODUCT(MAX(ROW(E$1:E1160)*(E1161=E$1:E1160)))))</f>
        <v/>
      </c>
      <c r="L1161" s="16"/>
    </row>
    <row r="1162" customFormat="false" ht="12.75" hidden="false" customHeight="false" outlineLevel="0" collapsed="false">
      <c r="A1162" s="9" t="s">
        <v>415</v>
      </c>
      <c r="E1162" s="10" t="str">
        <f aca="false">IF(D1162="?OLD","!!!","")</f>
        <v/>
      </c>
      <c r="F1162" s="11" t="str">
        <f aca="false">IF(OR(E1162="",E1162="!!!"),"",IF(NOT(ISNA(VLOOKUP(E1162,E$1:E1161,1,FALSE()))),"OLD",IF(AND(E1162&lt;&gt;"",E1162&lt;&gt;"!!!"),"NEW","")))</f>
        <v/>
      </c>
      <c r="G1162" s="12" t="str">
        <f aca="false">IF(OR(E1162="",E1162="!!!"),"",IF(OR(J1162=0,AND(J1162=1,K1162=1),AND(J1162=1,I1162="SBJ"),AND(J1162=1,I1162=0)),"?IN_FOCUS",IF(J1162&lt;=2,"?ACTIVATED",IF(J1162&lt;&gt;"","?FAMILIAR",IF(F1162="NEW",IF(ISNA(VLOOKUP(E1162,#REF!,1,FALSE())),"?TYPE_IDENTIFIABLE","?REFERENTIAL"),"_")))))</f>
        <v/>
      </c>
      <c r="H1162" s="13" t="str">
        <f aca="false">IF(J1162&lt;&gt;1,"",IF(I1162="SBJ","CB","?"))</f>
        <v/>
      </c>
      <c r="I1162" s="14" t="str">
        <f aca="false">IF(OR(E1162="",E1162="!!!",F1162="NEW"),"",INDEX(B$2:B1161,-1+SUMPRODUCT(MAX(ROW(E$2:E1161)*(E1162=E$2:E1161)))))</f>
        <v/>
      </c>
      <c r="J1162" s="15" t="str">
        <f aca="true">IF(OR(E1162="",E1162="!!!",F1162="NEW"),"",COUNTBLANK(OFFSET(A$1,,,SUMPRODUCT(MAX(ROW(E$2:E1162)*(E1162=E$2:E1162)))))-COUNTBLANK(OFFSET(A$1,,,SUMPRODUCT(MAX(ROW(E$1:E1161)*(E1162=E$1:E1161))))))</f>
        <v/>
      </c>
      <c r="K1162" s="15" t="str">
        <f aca="false">IF(OR(E1162="",E1162="!!!",F1162="NEW"),"",INDEX(J$1:J1161,SUMPRODUCT(MAX(ROW(E$1:E1161)*(E1162=E$1:E1161)))))</f>
        <v/>
      </c>
      <c r="L1162" s="16"/>
    </row>
    <row r="1163" customFormat="false" ht="12.75" hidden="false" customHeight="false" outlineLevel="0" collapsed="false">
      <c r="A1163" s="9" t="s">
        <v>495</v>
      </c>
      <c r="E1163" s="10" t="str">
        <f aca="false">IF(D1163="?OLD","!!!","")</f>
        <v/>
      </c>
      <c r="F1163" s="11" t="str">
        <f aca="false">IF(OR(E1163="",E1163="!!!"),"",IF(NOT(ISNA(VLOOKUP(E1163,E$1:E1162,1,FALSE()))),"OLD",IF(AND(E1163&lt;&gt;"",E1163&lt;&gt;"!!!"),"NEW","")))</f>
        <v/>
      </c>
      <c r="G1163" s="12" t="str">
        <f aca="false">IF(OR(E1163="",E1163="!!!"),"",IF(OR(J1163=0,AND(J1163=1,K1163=1),AND(J1163=1,I1163="SBJ"),AND(J1163=1,I1163=0)),"?IN_FOCUS",IF(J1163&lt;=2,"?ACTIVATED",IF(J1163&lt;&gt;"","?FAMILIAR",IF(F1163="NEW",IF(ISNA(VLOOKUP(E1163,#REF!,1,FALSE())),"?TYPE_IDENTIFIABLE","?REFERENTIAL"),"_")))))</f>
        <v/>
      </c>
      <c r="H1163" s="13" t="str">
        <f aca="false">IF(J1163&lt;&gt;1,"",IF(I1163="SBJ","CB","?"))</f>
        <v/>
      </c>
      <c r="I1163" s="14" t="str">
        <f aca="false">IF(OR(E1163="",E1163="!!!",F1163="NEW"),"",INDEX(B$2:B1162,-1+SUMPRODUCT(MAX(ROW(E$2:E1162)*(E1163=E$2:E1162)))))</f>
        <v/>
      </c>
      <c r="J1163" s="15" t="str">
        <f aca="true">IF(OR(E1163="",E1163="!!!",F1163="NEW"),"",COUNTBLANK(OFFSET(A$1,,,SUMPRODUCT(MAX(ROW(E$2:E1163)*(E1163=E$2:E1163)))))-COUNTBLANK(OFFSET(A$1,,,SUMPRODUCT(MAX(ROW(E$1:E1162)*(E1163=E$1:E1162))))))</f>
        <v/>
      </c>
      <c r="K1163" s="15" t="str">
        <f aca="false">IF(OR(E1163="",E1163="!!!",F1163="NEW"),"",INDEX(J$1:J1162,SUMPRODUCT(MAX(ROW(E$1:E1162)*(E1163=E$1:E1162)))))</f>
        <v/>
      </c>
      <c r="L1163" s="16"/>
    </row>
    <row r="1164" customFormat="false" ht="12.75" hidden="false" customHeight="false" outlineLevel="0" collapsed="false">
      <c r="A1164" s="9" t="s">
        <v>68</v>
      </c>
      <c r="E1164" s="10" t="str">
        <f aca="false">IF(D1164="?OLD","!!!","")</f>
        <v/>
      </c>
      <c r="F1164" s="11" t="str">
        <f aca="false">IF(OR(E1164="",E1164="!!!"),"",IF(NOT(ISNA(VLOOKUP(E1164,E$1:E1163,1,FALSE()))),"OLD",IF(AND(E1164&lt;&gt;"",E1164&lt;&gt;"!!!"),"NEW","")))</f>
        <v/>
      </c>
      <c r="G1164" s="12" t="str">
        <f aca="false">IF(OR(E1164="",E1164="!!!"),"",IF(OR(J1164=0,AND(J1164=1,K1164=1),AND(J1164=1,I1164="SBJ"),AND(J1164=1,I1164=0)),"?IN_FOCUS",IF(J1164&lt;=2,"?ACTIVATED",IF(J1164&lt;&gt;"","?FAMILIAR",IF(F1164="NEW",IF(ISNA(VLOOKUP(E1164,#REF!,1,FALSE())),"?TYPE_IDENTIFIABLE","?REFERENTIAL"),"_")))))</f>
        <v/>
      </c>
      <c r="H1164" s="13" t="str">
        <f aca="false">IF(J1164&lt;&gt;1,"",IF(I1164="SBJ","CB","?"))</f>
        <v/>
      </c>
      <c r="I1164" s="14" t="str">
        <f aca="false">IF(OR(E1164="",E1164="!!!",F1164="NEW"),"",INDEX(B$2:B1163,-1+SUMPRODUCT(MAX(ROW(E$2:E1163)*(E1164=E$2:E1163)))))</f>
        <v/>
      </c>
      <c r="J1164" s="15" t="str">
        <f aca="true">IF(OR(E1164="",E1164="!!!",F1164="NEW"),"",COUNTBLANK(OFFSET(A$1,,,SUMPRODUCT(MAX(ROW(E$2:E1164)*(E1164=E$2:E1164)))))-COUNTBLANK(OFFSET(A$1,,,SUMPRODUCT(MAX(ROW(E$1:E1163)*(E1164=E$1:E1163))))))</f>
        <v/>
      </c>
      <c r="K1164" s="15" t="str">
        <f aca="false">IF(OR(E1164="",E1164="!!!",F1164="NEW"),"",INDEX(J$1:J1163,SUMPRODUCT(MAX(ROW(E$1:E1163)*(E1164=E$1:E1163)))))</f>
        <v/>
      </c>
      <c r="L1164" s="16"/>
    </row>
    <row r="1165" customFormat="false" ht="12.75" hidden="false" customHeight="false" outlineLevel="0" collapsed="false">
      <c r="E1165" s="10" t="str">
        <f aca="false">IF(D1165="?OLD","!!!","")</f>
        <v/>
      </c>
      <c r="F1165" s="11" t="str">
        <f aca="false">IF(OR(E1165="",E1165="!!!"),"",IF(NOT(ISNA(VLOOKUP(E1165,E$1:E1164,1,FALSE()))),"OLD",IF(AND(E1165&lt;&gt;"",E1165&lt;&gt;"!!!"),"NEW","")))</f>
        <v/>
      </c>
      <c r="G1165" s="12" t="str">
        <f aca="false">IF(OR(E1165="",E1165="!!!"),"",IF(OR(J1165=0,AND(J1165=1,K1165=1),AND(J1165=1,I1165="SBJ"),AND(J1165=1,I1165=0)),"?IN_FOCUS",IF(J1165&lt;=2,"?ACTIVATED",IF(J1165&lt;&gt;"","?FAMILIAR",IF(F1165="NEW",IF(ISNA(VLOOKUP(E1165,#REF!,1,FALSE())),"?TYPE_IDENTIFIABLE","?REFERENTIAL"),"_")))))</f>
        <v/>
      </c>
      <c r="H1165" s="13" t="str">
        <f aca="false">IF(J1165&lt;&gt;1,"",IF(I1165="SBJ","CB","?"))</f>
        <v/>
      </c>
      <c r="I1165" s="14" t="str">
        <f aca="false">IF(OR(E1165="",E1165="!!!",F1165="NEW"),"",INDEX(B$2:B1164,-1+SUMPRODUCT(MAX(ROW(E$2:E1164)*(E1165=E$2:E1164)))))</f>
        <v/>
      </c>
      <c r="J1165" s="15" t="str">
        <f aca="true">IF(OR(E1165="",E1165="!!!",F1165="NEW"),"",COUNTBLANK(OFFSET(A$1,,,SUMPRODUCT(MAX(ROW(E$2:E1165)*(E1165=E$2:E1165)))))-COUNTBLANK(OFFSET(A$1,,,SUMPRODUCT(MAX(ROW(E$1:E1164)*(E1165=E$1:E1164))))))</f>
        <v/>
      </c>
      <c r="K1165" s="15" t="str">
        <f aca="false">IF(OR(E1165="",E1165="!!!",F1165="NEW"),"",INDEX(J$1:J1164,SUMPRODUCT(MAX(ROW(E$1:E1164)*(E1165=E$1:E1164)))))</f>
        <v/>
      </c>
      <c r="L1165" s="16"/>
    </row>
    <row r="1166" customFormat="false" ht="12.75" hidden="false" customHeight="false" outlineLevel="0" collapsed="false">
      <c r="A1166" s="9" t="s">
        <v>69</v>
      </c>
      <c r="E1166" s="10" t="str">
        <f aca="false">IF(D1166="?OLD","!!!","")</f>
        <v/>
      </c>
      <c r="F1166" s="11" t="str">
        <f aca="false">IF(OR(E1166="",E1166="!!!"),"",IF(NOT(ISNA(VLOOKUP(E1166,E$1:E1165,1,FALSE()))),"OLD",IF(AND(E1166&lt;&gt;"",E1166&lt;&gt;"!!!"),"NEW","")))</f>
        <v/>
      </c>
      <c r="G1166" s="12" t="str">
        <f aca="false">IF(OR(E1166="",E1166="!!!"),"",IF(OR(J1166=0,AND(J1166=1,K1166=1),AND(J1166=1,I1166="SBJ"),AND(J1166=1,I1166=0)),"?IN_FOCUS",IF(J1166&lt;=2,"?ACTIVATED",IF(J1166&lt;&gt;"","?FAMILIAR",IF(F1166="NEW",IF(ISNA(VLOOKUP(E1166,#REF!,1,FALSE())),"?TYPE_IDENTIFIABLE","?REFERENTIAL"),"_")))))</f>
        <v/>
      </c>
      <c r="H1166" s="13" t="str">
        <f aca="false">IF(J1166&lt;&gt;1,"",IF(I1166="SBJ","CB","?"))</f>
        <v/>
      </c>
      <c r="I1166" s="14" t="str">
        <f aca="false">IF(OR(E1166="",E1166="!!!",F1166="NEW"),"",INDEX(B$2:B1165,-1+SUMPRODUCT(MAX(ROW(E$2:E1165)*(E1166=E$2:E1165)))))</f>
        <v/>
      </c>
      <c r="J1166" s="15" t="str">
        <f aca="true">IF(OR(E1166="",E1166="!!!",F1166="NEW"),"",COUNTBLANK(OFFSET(A$1,,,SUMPRODUCT(MAX(ROW(E$2:E1166)*(E1166=E$2:E1166)))))-COUNTBLANK(OFFSET(A$1,,,SUMPRODUCT(MAX(ROW(E$1:E1165)*(E1166=E$1:E1165))))))</f>
        <v/>
      </c>
      <c r="K1166" s="15" t="str">
        <f aca="false">IF(OR(E1166="",E1166="!!!",F1166="NEW"),"",INDEX(J$1:J1165,SUMPRODUCT(MAX(ROW(E$1:E1165)*(E1166=E$1:E1165)))))</f>
        <v/>
      </c>
      <c r="L1166" s="16"/>
    </row>
    <row r="1167" customFormat="false" ht="12.75" hidden="false" customHeight="false" outlineLevel="0" collapsed="false">
      <c r="A1167" s="9" t="s">
        <v>496</v>
      </c>
      <c r="E1167" s="10" t="str">
        <f aca="false">IF(D1167="?OLD","!!!","")</f>
        <v/>
      </c>
      <c r="F1167" s="11" t="str">
        <f aca="false">IF(OR(E1167="",E1167="!!!"),"",IF(NOT(ISNA(VLOOKUP(E1167,E$1:E1166,1,FALSE()))),"OLD",IF(AND(E1167&lt;&gt;"",E1167&lt;&gt;"!!!"),"NEW","")))</f>
        <v/>
      </c>
      <c r="G1167" s="12" t="str">
        <f aca="false">IF(OR(E1167="",E1167="!!!"),"",IF(OR(J1167=0,AND(J1167=1,K1167=1),AND(J1167=1,I1167="SBJ"),AND(J1167=1,I1167=0)),"?IN_FOCUS",IF(J1167&lt;=2,"?ACTIVATED",IF(J1167&lt;&gt;"","?FAMILIAR",IF(F1167="NEW",IF(ISNA(VLOOKUP(E1167,#REF!,1,FALSE())),"?TYPE_IDENTIFIABLE","?REFERENTIAL"),"_")))))</f>
        <v/>
      </c>
      <c r="H1167" s="13" t="str">
        <f aca="false">IF(J1167&lt;&gt;1,"",IF(I1167="SBJ","CB","?"))</f>
        <v/>
      </c>
      <c r="I1167" s="14" t="str">
        <f aca="false">IF(OR(E1167="",E1167="!!!",F1167="NEW"),"",INDEX(B$2:B1166,-1+SUMPRODUCT(MAX(ROW(E$2:E1166)*(E1167=E$2:E1166)))))</f>
        <v/>
      </c>
      <c r="J1167" s="15" t="str">
        <f aca="true">IF(OR(E1167="",E1167="!!!",F1167="NEW"),"",COUNTBLANK(OFFSET(A$1,,,SUMPRODUCT(MAX(ROW(E$2:E1167)*(E1167=E$2:E1167)))))-COUNTBLANK(OFFSET(A$1,,,SUMPRODUCT(MAX(ROW(E$1:E1166)*(E1167=E$1:E1166))))))</f>
        <v/>
      </c>
      <c r="K1167" s="15" t="str">
        <f aca="false">IF(OR(E1167="",E1167="!!!",F1167="NEW"),"",INDEX(J$1:J1166,SUMPRODUCT(MAX(ROW(E$1:E1166)*(E1167=E$1:E1166)))))</f>
        <v/>
      </c>
      <c r="L1167" s="16"/>
    </row>
    <row r="1168" customFormat="false" ht="12.75" hidden="false" customHeight="false" outlineLevel="0" collapsed="false">
      <c r="A1168" s="9" t="s">
        <v>13</v>
      </c>
      <c r="E1168" s="10" t="str">
        <f aca="false">IF(D1168="?OLD","!!!","")</f>
        <v/>
      </c>
      <c r="F1168" s="11" t="str">
        <f aca="false">IF(OR(E1168="",E1168="!!!"),"",IF(NOT(ISNA(VLOOKUP(E1168,E$1:E1167,1,FALSE()))),"OLD",IF(AND(E1168&lt;&gt;"",E1168&lt;&gt;"!!!"),"NEW","")))</f>
        <v/>
      </c>
      <c r="G1168" s="12" t="str">
        <f aca="false">IF(OR(E1168="",E1168="!!!"),"",IF(OR(J1168=0,AND(J1168=1,K1168=1),AND(J1168=1,I1168="SBJ"),AND(J1168=1,I1168=0)),"?IN_FOCUS",IF(J1168&lt;=2,"?ACTIVATED",IF(J1168&lt;&gt;"","?FAMILIAR",IF(F1168="NEW",IF(ISNA(VLOOKUP(E1168,#REF!,1,FALSE())),"?TYPE_IDENTIFIABLE","?REFERENTIAL"),"_")))))</f>
        <v/>
      </c>
      <c r="H1168" s="13" t="str">
        <f aca="false">IF(J1168&lt;&gt;1,"",IF(I1168="SBJ","CB","?"))</f>
        <v/>
      </c>
      <c r="I1168" s="14" t="str">
        <f aca="false">IF(OR(E1168="",E1168="!!!",F1168="NEW"),"",INDEX(B$2:B1167,-1+SUMPRODUCT(MAX(ROW(E$2:E1167)*(E1168=E$2:E1167)))))</f>
        <v/>
      </c>
      <c r="J1168" s="15" t="str">
        <f aca="true">IF(OR(E1168="",E1168="!!!",F1168="NEW"),"",COUNTBLANK(OFFSET(A$1,,,SUMPRODUCT(MAX(ROW(E$2:E1168)*(E1168=E$2:E1168)))))-COUNTBLANK(OFFSET(A$1,,,SUMPRODUCT(MAX(ROW(E$1:E1167)*(E1168=E$1:E1167))))))</f>
        <v/>
      </c>
      <c r="K1168" s="15" t="str">
        <f aca="false">IF(OR(E1168="",E1168="!!!",F1168="NEW"),"",INDEX(J$1:J1167,SUMPRODUCT(MAX(ROW(E$1:E1167)*(E1168=E$1:E1167)))))</f>
        <v/>
      </c>
      <c r="L1168" s="16"/>
    </row>
    <row r="1169" customFormat="false" ht="12.75" hidden="false" customHeight="false" outlineLevel="0" collapsed="false">
      <c r="A1169" s="9" t="s">
        <v>488</v>
      </c>
      <c r="E1169" s="10" t="str">
        <f aca="false">IF(D1169="?OLD","!!!","")</f>
        <v/>
      </c>
      <c r="F1169" s="11" t="str">
        <f aca="false">IF(OR(E1169="",E1169="!!!"),"",IF(NOT(ISNA(VLOOKUP(E1169,E$1:E1168,1,FALSE()))),"OLD",IF(AND(E1169&lt;&gt;"",E1169&lt;&gt;"!!!"),"NEW","")))</f>
        <v/>
      </c>
      <c r="G1169" s="12" t="str">
        <f aca="false">IF(OR(E1169="",E1169="!!!"),"",IF(OR(J1169=0,AND(J1169=1,K1169=1),AND(J1169=1,I1169="SBJ"),AND(J1169=1,I1169=0)),"?IN_FOCUS",IF(J1169&lt;=2,"?ACTIVATED",IF(J1169&lt;&gt;"","?FAMILIAR",IF(F1169="NEW",IF(ISNA(VLOOKUP(E1169,#REF!,1,FALSE())),"?TYPE_IDENTIFIABLE","?REFERENTIAL"),"_")))))</f>
        <v/>
      </c>
      <c r="H1169" s="13" t="str">
        <f aca="false">IF(J1169&lt;&gt;1,"",IF(I1169="SBJ","CB","?"))</f>
        <v/>
      </c>
      <c r="I1169" s="14" t="str">
        <f aca="false">IF(OR(E1169="",E1169="!!!",F1169="NEW"),"",INDEX(B$2:B1168,-1+SUMPRODUCT(MAX(ROW(E$2:E1168)*(E1169=E$2:E1168)))))</f>
        <v/>
      </c>
      <c r="J1169" s="15" t="str">
        <f aca="true">IF(OR(E1169="",E1169="!!!",F1169="NEW"),"",COUNTBLANK(OFFSET(A$1,,,SUMPRODUCT(MAX(ROW(E$2:E1169)*(E1169=E$2:E1169)))))-COUNTBLANK(OFFSET(A$1,,,SUMPRODUCT(MAX(ROW(E$1:E1168)*(E1169=E$1:E1168))))))</f>
        <v/>
      </c>
      <c r="K1169" s="15" t="str">
        <f aca="false">IF(OR(E1169="",E1169="!!!",F1169="NEW"),"",INDEX(J$1:J1168,SUMPRODUCT(MAX(ROW(E$1:E1168)*(E1169=E$1:E1168)))))</f>
        <v/>
      </c>
      <c r="L1169" s="16"/>
    </row>
    <row r="1170" customFormat="false" ht="12.75" hidden="false" customHeight="false" outlineLevel="0" collapsed="false">
      <c r="A1170" s="9" t="s">
        <v>56</v>
      </c>
      <c r="B1170" s="0" t="s">
        <v>79</v>
      </c>
      <c r="C1170" s="0" t="s">
        <v>58</v>
      </c>
      <c r="D1170" s="0" t="s">
        <v>27</v>
      </c>
      <c r="E1170" s="10" t="s">
        <v>494</v>
      </c>
      <c r="F1170" s="11" t="str">
        <f aca="false">IF(OR(E1170="",E1170="!!!"),"",IF(NOT(ISNA(VLOOKUP(E1170,E$1:E1169,1,FALSE()))),"OLD",IF(AND(E1170&lt;&gt;"",E1170&lt;&gt;"!!!"),"NEW","")))</f>
        <v>OLD</v>
      </c>
      <c r="G1170" s="12" t="s">
        <v>49</v>
      </c>
      <c r="H1170" s="13" t="s">
        <v>7</v>
      </c>
      <c r="I1170" s="14" t="str">
        <f aca="false">IF(OR(E1170="",E1170="!!!",F1170="NEW"),"",INDEX(B$2:B1169,-1+SUMPRODUCT(MAX(ROW(E$2:E1169)*(E1170=E$2:E1169)))))</f>
        <v>SBJ_2</v>
      </c>
      <c r="J1170" s="15" t="n">
        <f aca="true">IF(OR(E1170="",E1170="!!!",F1170="NEW"),"",COUNTBLANK(OFFSET(A$1,,,SUMPRODUCT(MAX(ROW(E$2:E1170)*(E1170=E$2:E1170)))))-COUNTBLANK(OFFSET(A$1,,,SUMPRODUCT(MAX(ROW(E$1:E1169)*(E1170=E$1:E1169))))))</f>
        <v>1</v>
      </c>
      <c r="K1170" s="15" t="str">
        <f aca="false">IF(OR(E1170="",E1170="!!!",F1170="NEW"),"",INDEX(J$1:J1169,SUMPRODUCT(MAX(ROW(E$1:E1169)*(E1170=E$1:E1169)))))</f>
        <v/>
      </c>
      <c r="L1170" s="16"/>
    </row>
    <row r="1171" customFormat="false" ht="12.75" hidden="false" customHeight="false" outlineLevel="0" collapsed="false">
      <c r="A1171" s="9" t="s">
        <v>111</v>
      </c>
      <c r="E1171" s="10" t="str">
        <f aca="false">IF(D1171="?OLD","!!!","")</f>
        <v/>
      </c>
      <c r="F1171" s="11" t="str">
        <f aca="false">IF(OR(E1171="",E1171="!!!"),"",IF(NOT(ISNA(VLOOKUP(E1171,E$1:E1170,1,FALSE()))),"OLD",IF(AND(E1171&lt;&gt;"",E1171&lt;&gt;"!!!"),"NEW","")))</f>
        <v/>
      </c>
      <c r="G1171" s="12" t="str">
        <f aca="false">IF(OR(E1171="",E1171="!!!"),"",IF(OR(J1171=0,AND(J1171=1,K1171=1),AND(J1171=1,I1171="SBJ"),AND(J1171=1,I1171=0)),"?IN_FOCUS",IF(J1171&lt;=2,"?ACTIVATED",IF(J1171&lt;&gt;"","?FAMILIAR",IF(F1171="NEW",IF(ISNA(VLOOKUP(E1171,#REF!,1,FALSE())),"?TYPE_IDENTIFIABLE","?REFERENTIAL"),"_")))))</f>
        <v/>
      </c>
      <c r="H1171" s="13" t="str">
        <f aca="false">IF(J1171&lt;&gt;1,"",IF(I1171="SBJ","CB","?"))</f>
        <v/>
      </c>
      <c r="I1171" s="14" t="str">
        <f aca="false">IF(OR(E1171="",E1171="!!!",F1171="NEW"),"",INDEX(B$2:B1170,-1+SUMPRODUCT(MAX(ROW(E$2:E1170)*(E1171=E$2:E1170)))))</f>
        <v/>
      </c>
      <c r="J1171" s="15" t="str">
        <f aca="true">IF(OR(E1171="",E1171="!!!",F1171="NEW"),"",COUNTBLANK(OFFSET(A$1,,,SUMPRODUCT(MAX(ROW(E$2:E1171)*(E1171=E$2:E1171)))))-COUNTBLANK(OFFSET(A$1,,,SUMPRODUCT(MAX(ROW(E$1:E1170)*(E1171=E$1:E1170))))))</f>
        <v/>
      </c>
      <c r="K1171" s="15" t="str">
        <f aca="false">IF(OR(E1171="",E1171="!!!",F1171="NEW"),"",INDEX(J$1:J1170,SUMPRODUCT(MAX(ROW(E$1:E1170)*(E1171=E$1:E1170)))))</f>
        <v/>
      </c>
      <c r="L1171" s="16"/>
    </row>
    <row r="1172" customFormat="false" ht="12.75" hidden="false" customHeight="false" outlineLevel="0" collapsed="false">
      <c r="A1172" s="9" t="s">
        <v>44</v>
      </c>
      <c r="E1172" s="10" t="str">
        <f aca="false">IF(D1172="?OLD","!!!","")</f>
        <v/>
      </c>
      <c r="F1172" s="11" t="str">
        <f aca="false">IF(OR(E1172="",E1172="!!!"),"",IF(NOT(ISNA(VLOOKUP(E1172,E$1:E1171,1,FALSE()))),"OLD",IF(AND(E1172&lt;&gt;"",E1172&lt;&gt;"!!!"),"NEW","")))</f>
        <v/>
      </c>
      <c r="G1172" s="12" t="str">
        <f aca="false">IF(OR(E1172="",E1172="!!!"),"",IF(OR(J1172=0,AND(J1172=1,K1172=1),AND(J1172=1,I1172="SBJ"),AND(J1172=1,I1172=0)),"?IN_FOCUS",IF(J1172&lt;=2,"?ACTIVATED",IF(J1172&lt;&gt;"","?FAMILIAR",IF(F1172="NEW",IF(ISNA(VLOOKUP(E1172,#REF!,1,FALSE())),"?TYPE_IDENTIFIABLE","?REFERENTIAL"),"_")))))</f>
        <v/>
      </c>
      <c r="H1172" s="13" t="str">
        <f aca="false">IF(J1172&lt;&gt;1,"",IF(I1172="SBJ","CB","?"))</f>
        <v/>
      </c>
      <c r="I1172" s="14" t="str">
        <f aca="false">IF(OR(E1172="",E1172="!!!",F1172="NEW"),"",INDEX(B$2:B1171,-1+SUMPRODUCT(MAX(ROW(E$2:E1171)*(E1172=E$2:E1171)))))</f>
        <v/>
      </c>
      <c r="J1172" s="15" t="str">
        <f aca="true">IF(OR(E1172="",E1172="!!!",F1172="NEW"),"",COUNTBLANK(OFFSET(A$1,,,SUMPRODUCT(MAX(ROW(E$2:E1172)*(E1172=E$2:E1172)))))-COUNTBLANK(OFFSET(A$1,,,SUMPRODUCT(MAX(ROW(E$1:E1171)*(E1172=E$1:E1171))))))</f>
        <v/>
      </c>
      <c r="K1172" s="15" t="str">
        <f aca="false">IF(OR(E1172="",E1172="!!!",F1172="NEW"),"",INDEX(J$1:J1171,SUMPRODUCT(MAX(ROW(E$1:E1171)*(E1172=E$1:E1171)))))</f>
        <v/>
      </c>
      <c r="L1172" s="16"/>
    </row>
    <row r="1173" customFormat="false" ht="12.75" hidden="false" customHeight="false" outlineLevel="0" collapsed="false">
      <c r="A1173" s="9" t="s">
        <v>126</v>
      </c>
      <c r="B1173" s="0" t="s">
        <v>75</v>
      </c>
      <c r="C1173" s="0" t="s">
        <v>26</v>
      </c>
      <c r="D1173" s="0" t="s">
        <v>27</v>
      </c>
      <c r="E1173" s="10" t="s">
        <v>126</v>
      </c>
      <c r="F1173" s="11" t="str">
        <f aca="false">IF(OR(E1173="",E1173="!!!"),"",IF(NOT(ISNA(VLOOKUP(E1173,E$1:E1172,1,FALSE()))),"OLD",IF(AND(E1173&lt;&gt;"",E1173&lt;&gt;"!!!"),"NEW","")))</f>
        <v>OLD</v>
      </c>
      <c r="G1173" s="12" t="s">
        <v>72</v>
      </c>
      <c r="H1173" s="13" t="str">
        <f aca="false">IF(J1173&lt;&gt;1,"",IF(I1173="SBJ","CB","?"))</f>
        <v/>
      </c>
      <c r="I1173" s="14" t="str">
        <f aca="false">IF(OR(E1173="",E1173="!!!",F1173="NEW"),"",INDEX(B$2:B1172,-1+SUMPRODUCT(MAX(ROW(E$2:E1172)*(E1173=E$2:E1172)))))</f>
        <v>OBJ_5</v>
      </c>
      <c r="J1173" s="15" t="n">
        <f aca="true">IF(OR(E1173="",E1173="!!!",F1173="NEW"),"",COUNTBLANK(OFFSET(A$1,,,SUMPRODUCT(MAX(ROW(E$2:E1173)*(E1173=E$2:E1173)))))-COUNTBLANK(OFFSET(A$1,,,SUMPRODUCT(MAX(ROW(E$1:E1172)*(E1173=E$1:E1172))))))</f>
        <v>10</v>
      </c>
      <c r="K1173" s="15" t="n">
        <f aca="false">IF(OR(E1173="",E1173="!!!",F1173="NEW"),"",INDEX(J$1:J1172,SUMPRODUCT(MAX(ROW(E$1:E1172)*(E1173=E$1:E1172)))))</f>
        <v>0</v>
      </c>
      <c r="L1173" s="16"/>
    </row>
    <row r="1174" customFormat="false" ht="12.75" hidden="false" customHeight="false" outlineLevel="0" collapsed="false">
      <c r="A1174" s="9" t="s">
        <v>22</v>
      </c>
      <c r="E1174" s="10" t="str">
        <f aca="false">IF(D1174="?OLD","!!!","")</f>
        <v/>
      </c>
      <c r="F1174" s="11" t="str">
        <f aca="false">IF(OR(E1174="",E1174="!!!"),"",IF(NOT(ISNA(VLOOKUP(E1174,E$1:E1173,1,FALSE()))),"OLD",IF(AND(E1174&lt;&gt;"",E1174&lt;&gt;"!!!"),"NEW","")))</f>
        <v/>
      </c>
      <c r="G1174" s="12" t="str">
        <f aca="false">IF(OR(E1174="",E1174="!!!"),"",IF(OR(J1174=0,AND(J1174=1,K1174=1),AND(J1174=1,I1174="SBJ"),AND(J1174=1,I1174=0)),"?IN_FOCUS",IF(J1174&lt;=2,"?ACTIVATED",IF(J1174&lt;&gt;"","?FAMILIAR",IF(F1174="NEW",IF(ISNA(VLOOKUP(E1174,#REF!,1,FALSE())),"?TYPE_IDENTIFIABLE","?REFERENTIAL"),"_")))))</f>
        <v/>
      </c>
      <c r="H1174" s="13" t="str">
        <f aca="false">IF(J1174&lt;&gt;1,"",IF(I1174="SBJ","CB","?"))</f>
        <v/>
      </c>
      <c r="I1174" s="14" t="str">
        <f aca="false">IF(OR(E1174="",E1174="!!!",F1174="NEW"),"",INDEX(B$2:B1173,-1+SUMPRODUCT(MAX(ROW(E$2:E1173)*(E1174=E$2:E1173)))))</f>
        <v/>
      </c>
      <c r="J1174" s="15" t="str">
        <f aca="true">IF(OR(E1174="",E1174="!!!",F1174="NEW"),"",COUNTBLANK(OFFSET(A$1,,,SUMPRODUCT(MAX(ROW(E$2:E1174)*(E1174=E$2:E1174)))))-COUNTBLANK(OFFSET(A$1,,,SUMPRODUCT(MAX(ROW(E$1:E1173)*(E1174=E$1:E1173))))))</f>
        <v/>
      </c>
      <c r="K1174" s="15" t="str">
        <f aca="false">IF(OR(E1174="",E1174="!!!",F1174="NEW"),"",INDEX(J$1:J1173,SUMPRODUCT(MAX(ROW(E$1:E1173)*(E1174=E$1:E1173)))))</f>
        <v/>
      </c>
      <c r="L1174" s="16"/>
    </row>
    <row r="1175" customFormat="false" ht="12.75" hidden="false" customHeight="false" outlineLevel="0" collapsed="false">
      <c r="A1175" s="9" t="s">
        <v>96</v>
      </c>
      <c r="B1175" s="0" t="s">
        <v>17</v>
      </c>
      <c r="C1175" s="0" t="s">
        <v>58</v>
      </c>
      <c r="D1175" s="0" t="s">
        <v>27</v>
      </c>
      <c r="E1175" s="10" t="s">
        <v>406</v>
      </c>
      <c r="F1175" s="11" t="str">
        <f aca="false">IF(OR(E1175="",E1175="!!!"),"",IF(NOT(ISNA(VLOOKUP(E1175,E$1:E1174,1,FALSE()))),"OLD",IF(AND(E1175&lt;&gt;"",E1175&lt;&gt;"!!!"),"NEW","")))</f>
        <v>OLD</v>
      </c>
      <c r="G1175" s="12" t="s">
        <v>49</v>
      </c>
      <c r="H1175" s="13" t="str">
        <f aca="false">IF(J1175&lt;&gt;1,"",IF(I1175="SBJ","CB","?"))</f>
        <v/>
      </c>
      <c r="I1175" s="14" t="str">
        <f aca="false">IF(OR(E1175="",E1175="!!!",F1175="NEW"),"",INDEX(B$2:B1174,-1+SUMPRODUCT(MAX(ROW(E$2:E1174)*(E1175=E$2:E1174)))))</f>
        <v>OBJ</v>
      </c>
      <c r="J1175" s="15" t="n">
        <f aca="true">IF(OR(E1175="",E1175="!!!",F1175="NEW"),"",COUNTBLANK(OFFSET(A$1,,,SUMPRODUCT(MAX(ROW(E$2:E1175)*(E1175=E$2:E1175)))))-COUNTBLANK(OFFSET(A$1,,,SUMPRODUCT(MAX(ROW(E$1:E1174)*(E1175=E$1:E1174))))))</f>
        <v>2</v>
      </c>
      <c r="K1175" s="15" t="n">
        <f aca="false">IF(OR(E1175="",E1175="!!!",F1175="NEW"),"",INDEX(J$1:J1174,SUMPRODUCT(MAX(ROW(E$1:E1174)*(E1175=E$1:E1174)))))</f>
        <v>5</v>
      </c>
      <c r="L1175" s="16"/>
    </row>
    <row r="1176" customFormat="false" ht="12.75" hidden="false" customHeight="false" outlineLevel="0" collapsed="false">
      <c r="A1176" s="9" t="s">
        <v>196</v>
      </c>
      <c r="E1176" s="10" t="str">
        <f aca="false">IF(D1176="?OLD","!!!","")</f>
        <v/>
      </c>
      <c r="F1176" s="11" t="str">
        <f aca="false">IF(OR(E1176="",E1176="!!!"),"",IF(NOT(ISNA(VLOOKUP(E1176,E$1:E1175,1,FALSE()))),"OLD",IF(AND(E1176&lt;&gt;"",E1176&lt;&gt;"!!!"),"NEW","")))</f>
        <v/>
      </c>
      <c r="G1176" s="12" t="str">
        <f aca="false">IF(OR(E1176="",E1176="!!!"),"",IF(OR(J1176=0,AND(J1176=1,K1176=1),AND(J1176=1,I1176="SBJ"),AND(J1176=1,I1176=0)),"?IN_FOCUS",IF(J1176&lt;=2,"?ACTIVATED",IF(J1176&lt;&gt;"","?FAMILIAR",IF(F1176="NEW",IF(ISNA(VLOOKUP(E1176,#REF!,1,FALSE())),"?TYPE_IDENTIFIABLE","?REFERENTIAL"),"_")))))</f>
        <v/>
      </c>
      <c r="H1176" s="13" t="str">
        <f aca="false">IF(J1176&lt;&gt;1,"",IF(I1176="SBJ","CB","?"))</f>
        <v/>
      </c>
      <c r="I1176" s="14" t="str">
        <f aca="false">IF(OR(E1176="",E1176="!!!",F1176="NEW"),"",INDEX(B$2:B1175,-1+SUMPRODUCT(MAX(ROW(E$2:E1175)*(E1176=E$2:E1175)))))</f>
        <v/>
      </c>
      <c r="J1176" s="15" t="str">
        <f aca="true">IF(OR(E1176="",E1176="!!!",F1176="NEW"),"",COUNTBLANK(OFFSET(A$1,,,SUMPRODUCT(MAX(ROW(E$2:E1176)*(E1176=E$2:E1176)))))-COUNTBLANK(OFFSET(A$1,,,SUMPRODUCT(MAX(ROW(E$1:E1175)*(E1176=E$1:E1175))))))</f>
        <v/>
      </c>
      <c r="K1176" s="15" t="str">
        <f aca="false">IF(OR(E1176="",E1176="!!!",F1176="NEW"),"",INDEX(J$1:J1175,SUMPRODUCT(MAX(ROW(E$1:E1175)*(E1176=E$1:E1175)))))</f>
        <v/>
      </c>
      <c r="L1176" s="16"/>
    </row>
    <row r="1177" customFormat="false" ht="12.75" hidden="false" customHeight="false" outlineLevel="0" collapsed="false">
      <c r="A1177" s="9" t="s">
        <v>162</v>
      </c>
      <c r="E1177" s="10" t="str">
        <f aca="false">IF(D1177="?OLD","!!!","")</f>
        <v/>
      </c>
      <c r="F1177" s="11" t="str">
        <f aca="false">IF(OR(E1177="",E1177="!!!"),"",IF(NOT(ISNA(VLOOKUP(E1177,E$1:E1176,1,FALSE()))),"OLD",IF(AND(E1177&lt;&gt;"",E1177&lt;&gt;"!!!"),"NEW","")))</f>
        <v/>
      </c>
      <c r="G1177" s="12" t="str">
        <f aca="false">IF(OR(E1177="",E1177="!!!"),"",IF(OR(J1177=0,AND(J1177=1,K1177=1),AND(J1177=1,I1177="SBJ"),AND(J1177=1,I1177=0)),"?IN_FOCUS",IF(J1177&lt;=2,"?ACTIVATED",IF(J1177&lt;&gt;"","?FAMILIAR",IF(F1177="NEW",IF(ISNA(VLOOKUP(E1177,#REF!,1,FALSE())),"?TYPE_IDENTIFIABLE","?REFERENTIAL"),"_")))))</f>
        <v/>
      </c>
      <c r="H1177" s="13" t="str">
        <f aca="false">IF(J1177&lt;&gt;1,"",IF(I1177="SBJ","CB","?"))</f>
        <v/>
      </c>
      <c r="I1177" s="14" t="str">
        <f aca="false">IF(OR(E1177="",E1177="!!!",F1177="NEW"),"",INDEX(B$2:B1176,-1+SUMPRODUCT(MAX(ROW(E$2:E1176)*(E1177=E$2:E1176)))))</f>
        <v/>
      </c>
      <c r="J1177" s="15" t="str">
        <f aca="true">IF(OR(E1177="",E1177="!!!",F1177="NEW"),"",COUNTBLANK(OFFSET(A$1,,,SUMPRODUCT(MAX(ROW(E$2:E1177)*(E1177=E$2:E1177)))))-COUNTBLANK(OFFSET(A$1,,,SUMPRODUCT(MAX(ROW(E$1:E1176)*(E1177=E$1:E1176))))))</f>
        <v/>
      </c>
      <c r="K1177" s="15" t="str">
        <f aca="false">IF(OR(E1177="",E1177="!!!",F1177="NEW"),"",INDEX(J$1:J1176,SUMPRODUCT(MAX(ROW(E$1:E1176)*(E1177=E$1:E1176)))))</f>
        <v/>
      </c>
      <c r="L1177" s="16"/>
    </row>
    <row r="1178" customFormat="false" ht="12.75" hidden="false" customHeight="false" outlineLevel="0" collapsed="false">
      <c r="A1178" s="9" t="s">
        <v>415</v>
      </c>
      <c r="E1178" s="10" t="str">
        <f aca="false">IF(D1178="?OLD","!!!","")</f>
        <v/>
      </c>
      <c r="F1178" s="11" t="str">
        <f aca="false">IF(OR(E1178="",E1178="!!!"),"",IF(NOT(ISNA(VLOOKUP(E1178,E$1:E1177,1,FALSE()))),"OLD",IF(AND(E1178&lt;&gt;"",E1178&lt;&gt;"!!!"),"NEW","")))</f>
        <v/>
      </c>
      <c r="G1178" s="12" t="str">
        <f aca="false">IF(OR(E1178="",E1178="!!!"),"",IF(OR(J1178=0,AND(J1178=1,K1178=1),AND(J1178=1,I1178="SBJ"),AND(J1178=1,I1178=0)),"?IN_FOCUS",IF(J1178&lt;=2,"?ACTIVATED",IF(J1178&lt;&gt;"","?FAMILIAR",IF(F1178="NEW",IF(ISNA(VLOOKUP(E1178,#REF!,1,FALSE())),"?TYPE_IDENTIFIABLE","?REFERENTIAL"),"_")))))</f>
        <v/>
      </c>
      <c r="H1178" s="13" t="str">
        <f aca="false">IF(J1178&lt;&gt;1,"",IF(I1178="SBJ","CB","?"))</f>
        <v/>
      </c>
      <c r="I1178" s="14" t="str">
        <f aca="false">IF(OR(E1178="",E1178="!!!",F1178="NEW"),"",INDEX(B$2:B1177,-1+SUMPRODUCT(MAX(ROW(E$2:E1177)*(E1178=E$2:E1177)))))</f>
        <v/>
      </c>
      <c r="J1178" s="15" t="str">
        <f aca="true">IF(OR(E1178="",E1178="!!!",F1178="NEW"),"",COUNTBLANK(OFFSET(A$1,,,SUMPRODUCT(MAX(ROW(E$2:E1178)*(E1178=E$2:E1178)))))-COUNTBLANK(OFFSET(A$1,,,SUMPRODUCT(MAX(ROW(E$1:E1177)*(E1178=E$1:E1177))))))</f>
        <v/>
      </c>
      <c r="K1178" s="15" t="str">
        <f aca="false">IF(OR(E1178="",E1178="!!!",F1178="NEW"),"",INDEX(J$1:J1177,SUMPRODUCT(MAX(ROW(E$1:E1177)*(E1178=E$1:E1177)))))</f>
        <v/>
      </c>
      <c r="L1178" s="16"/>
    </row>
    <row r="1179" customFormat="false" ht="12.75" hidden="false" customHeight="false" outlineLevel="0" collapsed="false">
      <c r="A1179" s="9" t="s">
        <v>497</v>
      </c>
      <c r="E1179" s="10" t="str">
        <f aca="false">IF(D1179="?OLD","!!!","")</f>
        <v/>
      </c>
      <c r="F1179" s="11" t="str">
        <f aca="false">IF(OR(E1179="",E1179="!!!"),"",IF(NOT(ISNA(VLOOKUP(E1179,E$1:E1178,1,FALSE()))),"OLD",IF(AND(E1179&lt;&gt;"",E1179&lt;&gt;"!!!"),"NEW","")))</f>
        <v/>
      </c>
      <c r="G1179" s="12" t="str">
        <f aca="false">IF(OR(E1179="",E1179="!!!"),"",IF(OR(J1179=0,AND(J1179=1,K1179=1),AND(J1179=1,I1179="SBJ"),AND(J1179=1,I1179=0)),"?IN_FOCUS",IF(J1179&lt;=2,"?ACTIVATED",IF(J1179&lt;&gt;"","?FAMILIAR",IF(F1179="NEW",IF(ISNA(VLOOKUP(E1179,#REF!,1,FALSE())),"?TYPE_IDENTIFIABLE","?REFERENTIAL"),"_")))))</f>
        <v/>
      </c>
      <c r="H1179" s="13" t="str">
        <f aca="false">IF(J1179&lt;&gt;1,"",IF(I1179="SBJ","CB","?"))</f>
        <v/>
      </c>
      <c r="I1179" s="14" t="str">
        <f aca="false">IF(OR(E1179="",E1179="!!!",F1179="NEW"),"",INDEX(B$2:B1178,-1+SUMPRODUCT(MAX(ROW(E$2:E1178)*(E1179=E$2:E1178)))))</f>
        <v/>
      </c>
      <c r="J1179" s="15" t="str">
        <f aca="true">IF(OR(E1179="",E1179="!!!",F1179="NEW"),"",COUNTBLANK(OFFSET(A$1,,,SUMPRODUCT(MAX(ROW(E$2:E1179)*(E1179=E$2:E1179)))))-COUNTBLANK(OFFSET(A$1,,,SUMPRODUCT(MAX(ROW(E$1:E1178)*(E1179=E$1:E1178))))))</f>
        <v/>
      </c>
      <c r="K1179" s="15" t="str">
        <f aca="false">IF(OR(E1179="",E1179="!!!",F1179="NEW"),"",INDEX(J$1:J1178,SUMPRODUCT(MAX(ROW(E$1:E1178)*(E1179=E$1:E1178)))))</f>
        <v/>
      </c>
      <c r="L1179" s="16"/>
    </row>
    <row r="1180" customFormat="false" ht="12.75" hidden="false" customHeight="false" outlineLevel="0" collapsed="false">
      <c r="A1180" s="9" t="s">
        <v>84</v>
      </c>
      <c r="E1180" s="10" t="str">
        <f aca="false">IF(D1180="?OLD","!!!","")</f>
        <v/>
      </c>
      <c r="F1180" s="11" t="str">
        <f aca="false">IF(OR(E1180="",E1180="!!!"),"",IF(NOT(ISNA(VLOOKUP(E1180,E$1:E1179,1,FALSE()))),"OLD",IF(AND(E1180&lt;&gt;"",E1180&lt;&gt;"!!!"),"NEW","")))</f>
        <v/>
      </c>
      <c r="G1180" s="12" t="str">
        <f aca="false">IF(OR(E1180="",E1180="!!!"),"",IF(OR(J1180=0,AND(J1180=1,K1180=1),AND(J1180=1,I1180="SBJ"),AND(J1180=1,I1180=0)),"?IN_FOCUS",IF(J1180&lt;=2,"?ACTIVATED",IF(J1180&lt;&gt;"","?FAMILIAR",IF(F1180="NEW",IF(ISNA(VLOOKUP(E1180,#REF!,1,FALSE())),"?TYPE_IDENTIFIABLE","?REFERENTIAL"),"_")))))</f>
        <v/>
      </c>
      <c r="H1180" s="13" t="str">
        <f aca="false">IF(J1180&lt;&gt;1,"",IF(I1180="SBJ","CB","?"))</f>
        <v/>
      </c>
      <c r="I1180" s="14" t="str">
        <f aca="false">IF(OR(E1180="",E1180="!!!",F1180="NEW"),"",INDEX(B$2:B1179,-1+SUMPRODUCT(MAX(ROW(E$2:E1179)*(E1180=E$2:E1179)))))</f>
        <v/>
      </c>
      <c r="J1180" s="15" t="str">
        <f aca="true">IF(OR(E1180="",E1180="!!!",F1180="NEW"),"",COUNTBLANK(OFFSET(A$1,,,SUMPRODUCT(MAX(ROW(E$2:E1180)*(E1180=E$2:E1180)))))-COUNTBLANK(OFFSET(A$1,,,SUMPRODUCT(MAX(ROW(E$1:E1179)*(E1180=E$1:E1179))))))</f>
        <v/>
      </c>
      <c r="K1180" s="15" t="str">
        <f aca="false">IF(OR(E1180="",E1180="!!!",F1180="NEW"),"",INDEX(J$1:J1179,SUMPRODUCT(MAX(ROW(E$1:E1179)*(E1180=E$1:E1179)))))</f>
        <v/>
      </c>
      <c r="L1180" s="16"/>
    </row>
    <row r="1181" customFormat="false" ht="12.75" hidden="false" customHeight="false" outlineLevel="0" collapsed="false">
      <c r="A1181" s="9" t="s">
        <v>498</v>
      </c>
      <c r="E1181" s="10" t="str">
        <f aca="false">IF(D1181="?OLD","!!!","")</f>
        <v/>
      </c>
      <c r="F1181" s="11" t="str">
        <f aca="false">IF(OR(E1181="",E1181="!!!"),"",IF(NOT(ISNA(VLOOKUP(E1181,E$1:E1180,1,FALSE()))),"OLD",IF(AND(E1181&lt;&gt;"",E1181&lt;&gt;"!!!"),"NEW","")))</f>
        <v/>
      </c>
      <c r="G1181" s="12" t="str">
        <f aca="false">IF(OR(E1181="",E1181="!!!"),"",IF(OR(J1181=0,AND(J1181=1,K1181=1),AND(J1181=1,I1181="SBJ"),AND(J1181=1,I1181=0)),"?IN_FOCUS",IF(J1181&lt;=2,"?ACTIVATED",IF(J1181&lt;&gt;"","?FAMILIAR",IF(F1181="NEW",IF(ISNA(VLOOKUP(E1181,#REF!,1,FALSE())),"?TYPE_IDENTIFIABLE","?REFERENTIAL"),"_")))))</f>
        <v/>
      </c>
      <c r="H1181" s="13" t="str">
        <f aca="false">IF(J1181&lt;&gt;1,"",IF(I1181="SBJ","CB","?"))</f>
        <v/>
      </c>
      <c r="I1181" s="14" t="str">
        <f aca="false">IF(OR(E1181="",E1181="!!!",F1181="NEW"),"",INDEX(B$2:B1180,-1+SUMPRODUCT(MAX(ROW(E$2:E1180)*(E1181=E$2:E1180)))))</f>
        <v/>
      </c>
      <c r="J1181" s="15" t="str">
        <f aca="true">IF(OR(E1181="",E1181="!!!",F1181="NEW"),"",COUNTBLANK(OFFSET(A$1,,,SUMPRODUCT(MAX(ROW(E$2:E1181)*(E1181=E$2:E1181)))))-COUNTBLANK(OFFSET(A$1,,,SUMPRODUCT(MAX(ROW(E$1:E1180)*(E1181=E$1:E1180))))))</f>
        <v/>
      </c>
      <c r="K1181" s="15" t="str">
        <f aca="false">IF(OR(E1181="",E1181="!!!",F1181="NEW"),"",INDEX(J$1:J1180,SUMPRODUCT(MAX(ROW(E$1:E1180)*(E1181=E$1:E1180)))))</f>
        <v/>
      </c>
      <c r="L1181" s="16"/>
    </row>
    <row r="1182" customFormat="false" ht="12.75" hidden="false" customHeight="false" outlineLevel="0" collapsed="false">
      <c r="A1182" s="9" t="s">
        <v>56</v>
      </c>
      <c r="B1182" s="0" t="s">
        <v>43</v>
      </c>
      <c r="C1182" s="0" t="s">
        <v>58</v>
      </c>
      <c r="D1182" s="0" t="s">
        <v>27</v>
      </c>
      <c r="E1182" s="10" t="s">
        <v>494</v>
      </c>
      <c r="F1182" s="11" t="str">
        <f aca="false">IF(OR(E1182="",E1182="!!!"),"",IF(NOT(ISNA(VLOOKUP(E1182,E$1:E1181,1,FALSE()))),"OLD",IF(AND(E1182&lt;&gt;"",E1182&lt;&gt;"!!!"),"NEW","")))</f>
        <v>OLD</v>
      </c>
      <c r="G1182" s="12" t="s">
        <v>51</v>
      </c>
      <c r="H1182" s="13" t="str">
        <f aca="false">IF(J1182&lt;&gt;1,"",IF(I1182="SBJ","CB","?"))</f>
        <v/>
      </c>
      <c r="I1182" s="14" t="str">
        <f aca="false">IF(OR(E1182="",E1182="!!!",F1182="NEW"),"",INDEX(B$2:B1181,-1+SUMPRODUCT(MAX(ROW(E$2:E1181)*(E1182=E$2:E1181)))))</f>
        <v>SBJ_2</v>
      </c>
      <c r="J1182" s="15" t="n">
        <f aca="true">IF(OR(E1182="",E1182="!!!",F1182="NEW"),"",COUNTBLANK(OFFSET(A$1,,,SUMPRODUCT(MAX(ROW(E$2:E1182)*(E1182=E$2:E1182)))))-COUNTBLANK(OFFSET(A$1,,,SUMPRODUCT(MAX(ROW(E$1:E1181)*(E1182=E$1:E1181))))))</f>
        <v>0</v>
      </c>
      <c r="K1182" s="15" t="n">
        <f aca="false">IF(OR(E1182="",E1182="!!!",F1182="NEW"),"",INDEX(J$1:J1181,SUMPRODUCT(MAX(ROW(E$1:E1181)*(E1182=E$1:E1181)))))</f>
        <v>1</v>
      </c>
      <c r="L1182" s="16"/>
    </row>
    <row r="1183" customFormat="false" ht="12.75" hidden="false" customHeight="false" outlineLevel="0" collapsed="false">
      <c r="A1183" s="9" t="s">
        <v>22</v>
      </c>
      <c r="E1183" s="10" t="str">
        <f aca="false">IF(D1183="?OLD","!!!","")</f>
        <v/>
      </c>
      <c r="F1183" s="11" t="str">
        <f aca="false">IF(OR(E1183="",E1183="!!!"),"",IF(NOT(ISNA(VLOOKUP(E1183,E$1:E1182,1,FALSE()))),"OLD",IF(AND(E1183&lt;&gt;"",E1183&lt;&gt;"!!!"),"NEW","")))</f>
        <v/>
      </c>
      <c r="G1183" s="12" t="str">
        <f aca="false">IF(OR(E1183="",E1183="!!!"),"",IF(OR(J1183=0,AND(J1183=1,K1183=1),AND(J1183=1,I1183="SBJ"),AND(J1183=1,I1183=0)),"?IN_FOCUS",IF(J1183&lt;=2,"?ACTIVATED",IF(J1183&lt;&gt;"","?FAMILIAR",IF(F1183="NEW",IF(ISNA(VLOOKUP(E1183,#REF!,1,FALSE())),"?TYPE_IDENTIFIABLE","?REFERENTIAL"),"_")))))</f>
        <v/>
      </c>
      <c r="H1183" s="13" t="str">
        <f aca="false">IF(J1183&lt;&gt;1,"",IF(I1183="SBJ","CB","?"))</f>
        <v/>
      </c>
      <c r="I1183" s="14" t="str">
        <f aca="false">IF(OR(E1183="",E1183="!!!",F1183="NEW"),"",INDEX(B$2:B1182,-1+SUMPRODUCT(MAX(ROW(E$2:E1182)*(E1183=E$2:E1182)))))</f>
        <v/>
      </c>
      <c r="J1183" s="15" t="str">
        <f aca="true">IF(OR(E1183="",E1183="!!!",F1183="NEW"),"",COUNTBLANK(OFFSET(A$1,,,SUMPRODUCT(MAX(ROW(E$2:E1183)*(E1183=E$2:E1183)))))-COUNTBLANK(OFFSET(A$1,,,SUMPRODUCT(MAX(ROW(E$1:E1182)*(E1183=E$1:E1182))))))</f>
        <v/>
      </c>
      <c r="K1183" s="15" t="str">
        <f aca="false">IF(OR(E1183="",E1183="!!!",F1183="NEW"),"",INDEX(J$1:J1182,SUMPRODUCT(MAX(ROW(E$1:E1182)*(E1183=E$1:E1182)))))</f>
        <v/>
      </c>
      <c r="L1183" s="16"/>
    </row>
    <row r="1184" customFormat="false" ht="12.75" hidden="false" customHeight="false" outlineLevel="0" collapsed="false">
      <c r="A1184" s="9" t="s">
        <v>39</v>
      </c>
      <c r="E1184" s="10" t="str">
        <f aca="false">IF(D1184="?OLD","!!!","")</f>
        <v/>
      </c>
      <c r="F1184" s="11" t="str">
        <f aca="false">IF(OR(E1184="",E1184="!!!"),"",IF(NOT(ISNA(VLOOKUP(E1184,E$1:E1183,1,FALSE()))),"OLD",IF(AND(E1184&lt;&gt;"",E1184&lt;&gt;"!!!"),"NEW","")))</f>
        <v/>
      </c>
      <c r="G1184" s="12" t="str">
        <f aca="false">IF(OR(E1184="",E1184="!!!"),"",IF(OR(J1184=0,AND(J1184=1,K1184=1),AND(J1184=1,I1184="SBJ"),AND(J1184=1,I1184=0)),"?IN_FOCUS",IF(J1184&lt;=2,"?ACTIVATED",IF(J1184&lt;&gt;"","?FAMILIAR",IF(F1184="NEW",IF(ISNA(VLOOKUP(E1184,#REF!,1,FALSE())),"?TYPE_IDENTIFIABLE","?REFERENTIAL"),"_")))))</f>
        <v/>
      </c>
      <c r="H1184" s="13" t="str">
        <f aca="false">IF(J1184&lt;&gt;1,"",IF(I1184="SBJ","CB","?"))</f>
        <v/>
      </c>
      <c r="I1184" s="14" t="str">
        <f aca="false">IF(OR(E1184="",E1184="!!!",F1184="NEW"),"",INDEX(B$2:B1183,-1+SUMPRODUCT(MAX(ROW(E$2:E1183)*(E1184=E$2:E1183)))))</f>
        <v/>
      </c>
      <c r="J1184" s="15" t="str">
        <f aca="true">IF(OR(E1184="",E1184="!!!",F1184="NEW"),"",COUNTBLANK(OFFSET(A$1,,,SUMPRODUCT(MAX(ROW(E$2:E1184)*(E1184=E$2:E1184)))))-COUNTBLANK(OFFSET(A$1,,,SUMPRODUCT(MAX(ROW(E$1:E1183)*(E1184=E$1:E1183))))))</f>
        <v/>
      </c>
      <c r="K1184" s="15" t="str">
        <f aca="false">IF(OR(E1184="",E1184="!!!",F1184="NEW"),"",INDEX(J$1:J1183,SUMPRODUCT(MAX(ROW(E$1:E1183)*(E1184=E$1:E1183)))))</f>
        <v/>
      </c>
      <c r="L1184" s="16"/>
    </row>
    <row r="1185" customFormat="false" ht="12.75" hidden="false" customHeight="false" outlineLevel="0" collapsed="false">
      <c r="A1185" s="9" t="s">
        <v>96</v>
      </c>
      <c r="B1185" s="0" t="s">
        <v>79</v>
      </c>
      <c r="C1185" s="0" t="s">
        <v>58</v>
      </c>
      <c r="D1185" s="0" t="s">
        <v>27</v>
      </c>
      <c r="E1185" s="10" t="s">
        <v>406</v>
      </c>
      <c r="F1185" s="11" t="str">
        <f aca="false">IF(OR(E1185="",E1185="!!!"),"",IF(NOT(ISNA(VLOOKUP(E1185,E$1:E1184,1,FALSE()))),"OLD",IF(AND(E1185&lt;&gt;"",E1185&lt;&gt;"!!!"),"NEW","")))</f>
        <v>OLD</v>
      </c>
      <c r="G1185" s="12" t="s">
        <v>51</v>
      </c>
      <c r="H1185" s="13" t="str">
        <f aca="false">IF(J1185&lt;&gt;1,"",IF(I1185="SBJ","CB","?"))</f>
        <v/>
      </c>
      <c r="I1185" s="14" t="str">
        <f aca="false">IF(OR(E1185="",E1185="!!!",F1185="NEW"),"",INDEX(B$2:B1184,-1+SUMPRODUCT(MAX(ROW(E$2:E1184)*(E1185=E$2:E1184)))))</f>
        <v>SBJ</v>
      </c>
      <c r="J1185" s="15" t="n">
        <f aca="true">IF(OR(E1185="",E1185="!!!",F1185="NEW"),"",COUNTBLANK(OFFSET(A$1,,,SUMPRODUCT(MAX(ROW(E$2:E1185)*(E1185=E$2:E1185)))))-COUNTBLANK(OFFSET(A$1,,,SUMPRODUCT(MAX(ROW(E$1:E1184)*(E1185=E$1:E1184))))))</f>
        <v>0</v>
      </c>
      <c r="K1185" s="15" t="n">
        <f aca="false">IF(OR(E1185="",E1185="!!!",F1185="NEW"),"",INDEX(J$1:J1184,SUMPRODUCT(MAX(ROW(E$1:E1184)*(E1185=E$1:E1184)))))</f>
        <v>2</v>
      </c>
      <c r="L1185" s="16"/>
    </row>
    <row r="1186" customFormat="false" ht="12.75" hidden="false" customHeight="false" outlineLevel="0" collapsed="false">
      <c r="A1186" s="9" t="s">
        <v>499</v>
      </c>
      <c r="E1186" s="10" t="str">
        <f aca="false">IF(D1186="?OLD","!!!","")</f>
        <v/>
      </c>
      <c r="F1186" s="11" t="str">
        <f aca="false">IF(OR(E1186="",E1186="!!!"),"",IF(NOT(ISNA(VLOOKUP(E1186,E$1:E1185,1,FALSE()))),"OLD",IF(AND(E1186&lt;&gt;"",E1186&lt;&gt;"!!!"),"NEW","")))</f>
        <v/>
      </c>
      <c r="G1186" s="12" t="str">
        <f aca="false">IF(OR(E1186="",E1186="!!!"),"",IF(OR(J1186=0,AND(J1186=1,K1186=1),AND(J1186=1,I1186="SBJ"),AND(J1186=1,I1186=0)),"?IN_FOCUS",IF(J1186&lt;=2,"?ACTIVATED",IF(J1186&lt;&gt;"","?FAMILIAR",IF(F1186="NEW",IF(ISNA(VLOOKUP(E1186,#REF!,1,FALSE())),"?TYPE_IDENTIFIABLE","?REFERENTIAL"),"_")))))</f>
        <v/>
      </c>
      <c r="H1186" s="13" t="str">
        <f aca="false">IF(J1186&lt;&gt;1,"",IF(I1186="SBJ","CB","?"))</f>
        <v/>
      </c>
      <c r="I1186" s="14" t="str">
        <f aca="false">IF(OR(E1186="",E1186="!!!",F1186="NEW"),"",INDEX(B$2:B1185,-1+SUMPRODUCT(MAX(ROW(E$2:E1185)*(E1186=E$2:E1185)))))</f>
        <v/>
      </c>
      <c r="J1186" s="15" t="str">
        <f aca="true">IF(OR(E1186="",E1186="!!!",F1186="NEW"),"",COUNTBLANK(OFFSET(A$1,,,SUMPRODUCT(MAX(ROW(E$2:E1186)*(E1186=E$2:E1186)))))-COUNTBLANK(OFFSET(A$1,,,SUMPRODUCT(MAX(ROW(E$1:E1185)*(E1186=E$1:E1185))))))</f>
        <v/>
      </c>
      <c r="K1186" s="15" t="str">
        <f aca="false">IF(OR(E1186="",E1186="!!!",F1186="NEW"),"",INDEX(J$1:J1185,SUMPRODUCT(MAX(ROW(E$1:E1185)*(E1186=E$1:E1185)))))</f>
        <v/>
      </c>
      <c r="L1186" s="16"/>
    </row>
    <row r="1187" customFormat="false" ht="12.75" hidden="false" customHeight="false" outlineLevel="0" collapsed="false">
      <c r="A1187" s="9" t="s">
        <v>415</v>
      </c>
      <c r="E1187" s="10" t="str">
        <f aca="false">IF(D1187="?OLD","!!!","")</f>
        <v/>
      </c>
      <c r="F1187" s="11" t="str">
        <f aca="false">IF(OR(E1187="",E1187="!!!"),"",IF(NOT(ISNA(VLOOKUP(E1187,E$1:E1186,1,FALSE()))),"OLD",IF(AND(E1187&lt;&gt;"",E1187&lt;&gt;"!!!"),"NEW","")))</f>
        <v/>
      </c>
      <c r="G1187" s="12" t="str">
        <f aca="false">IF(OR(E1187="",E1187="!!!"),"",IF(OR(J1187=0,AND(J1187=1,K1187=1),AND(J1187=1,I1187="SBJ"),AND(J1187=1,I1187=0)),"?IN_FOCUS",IF(J1187&lt;=2,"?ACTIVATED",IF(J1187&lt;&gt;"","?FAMILIAR",IF(F1187="NEW",IF(ISNA(VLOOKUP(E1187,#REF!,1,FALSE())),"?TYPE_IDENTIFIABLE","?REFERENTIAL"),"_")))))</f>
        <v/>
      </c>
      <c r="H1187" s="13" t="str">
        <f aca="false">IF(J1187&lt;&gt;1,"",IF(I1187="SBJ","CB","?"))</f>
        <v/>
      </c>
      <c r="I1187" s="14" t="str">
        <f aca="false">IF(OR(E1187="",E1187="!!!",F1187="NEW"),"",INDEX(B$2:B1186,-1+SUMPRODUCT(MAX(ROW(E$2:E1186)*(E1187=E$2:E1186)))))</f>
        <v/>
      </c>
      <c r="J1187" s="15" t="str">
        <f aca="true">IF(OR(E1187="",E1187="!!!",F1187="NEW"),"",COUNTBLANK(OFFSET(A$1,,,SUMPRODUCT(MAX(ROW(E$2:E1187)*(E1187=E$2:E1187)))))-COUNTBLANK(OFFSET(A$1,,,SUMPRODUCT(MAX(ROW(E$1:E1186)*(E1187=E$1:E1186))))))</f>
        <v/>
      </c>
      <c r="K1187" s="15" t="str">
        <f aca="false">IF(OR(E1187="",E1187="!!!",F1187="NEW"),"",INDEX(J$1:J1186,SUMPRODUCT(MAX(ROW(E$1:E1186)*(E1187=E$1:E1186)))))</f>
        <v/>
      </c>
      <c r="L1187" s="16"/>
    </row>
    <row r="1188" customFormat="false" ht="12.75" hidden="false" customHeight="false" outlineLevel="0" collapsed="false">
      <c r="A1188" s="9" t="s">
        <v>202</v>
      </c>
      <c r="E1188" s="10" t="str">
        <f aca="false">IF(D1188="?OLD","!!!","")</f>
        <v/>
      </c>
      <c r="F1188" s="11" t="str">
        <f aca="false">IF(OR(E1188="",E1188="!!!"),"",IF(NOT(ISNA(VLOOKUP(E1188,E$1:E1187,1,FALSE()))),"OLD",IF(AND(E1188&lt;&gt;"",E1188&lt;&gt;"!!!"),"NEW","")))</f>
        <v/>
      </c>
      <c r="G1188" s="12" t="str">
        <f aca="false">IF(OR(E1188="",E1188="!!!"),"",IF(OR(J1188=0,AND(J1188=1,K1188=1),AND(J1188=1,I1188="SBJ"),AND(J1188=1,I1188=0)),"?IN_FOCUS",IF(J1188&lt;=2,"?ACTIVATED",IF(J1188&lt;&gt;"","?FAMILIAR",IF(F1188="NEW",IF(ISNA(VLOOKUP(E1188,#REF!,1,FALSE())),"?TYPE_IDENTIFIABLE","?REFERENTIAL"),"_")))))</f>
        <v/>
      </c>
      <c r="H1188" s="13" t="str">
        <f aca="false">IF(J1188&lt;&gt;1,"",IF(I1188="SBJ","CB","?"))</f>
        <v/>
      </c>
      <c r="I1188" s="14" t="str">
        <f aca="false">IF(OR(E1188="",E1188="!!!",F1188="NEW"),"",INDEX(B$2:B1187,-1+SUMPRODUCT(MAX(ROW(E$2:E1187)*(E1188=E$2:E1187)))))</f>
        <v/>
      </c>
      <c r="J1188" s="15" t="str">
        <f aca="true">IF(OR(E1188="",E1188="!!!",F1188="NEW"),"",COUNTBLANK(OFFSET(A$1,,,SUMPRODUCT(MAX(ROW(E$2:E1188)*(E1188=E$2:E1188)))))-COUNTBLANK(OFFSET(A$1,,,SUMPRODUCT(MAX(ROW(E$1:E1187)*(E1188=E$1:E1187))))))</f>
        <v/>
      </c>
      <c r="K1188" s="15" t="str">
        <f aca="false">IF(OR(E1188="",E1188="!!!",F1188="NEW"),"",INDEX(J$1:J1187,SUMPRODUCT(MAX(ROW(E$1:E1187)*(E1188=E$1:E1187)))))</f>
        <v/>
      </c>
      <c r="L1188" s="16"/>
    </row>
    <row r="1189" customFormat="false" ht="12.75" hidden="false" customHeight="false" outlineLevel="0" collapsed="false">
      <c r="A1189" s="9" t="s">
        <v>250</v>
      </c>
      <c r="E1189" s="10" t="str">
        <f aca="false">IF(D1189="?OLD","!!!","")</f>
        <v/>
      </c>
      <c r="F1189" s="11" t="str">
        <f aca="false">IF(OR(E1189="",E1189="!!!"),"",IF(NOT(ISNA(VLOOKUP(E1189,E$1:E1188,1,FALSE()))),"OLD",IF(AND(E1189&lt;&gt;"",E1189&lt;&gt;"!!!"),"NEW","")))</f>
        <v/>
      </c>
      <c r="G1189" s="12" t="str">
        <f aca="false">IF(OR(E1189="",E1189="!!!"),"",IF(OR(J1189=0,AND(J1189=1,K1189=1),AND(J1189=1,I1189="SBJ"),AND(J1189=1,I1189=0)),"?IN_FOCUS",IF(J1189&lt;=2,"?ACTIVATED",IF(J1189&lt;&gt;"","?FAMILIAR",IF(F1189="NEW",IF(ISNA(VLOOKUP(E1189,#REF!,1,FALSE())),"?TYPE_IDENTIFIABLE","?REFERENTIAL"),"_")))))</f>
        <v/>
      </c>
      <c r="H1189" s="13" t="str">
        <f aca="false">IF(J1189&lt;&gt;1,"",IF(I1189="SBJ","CB","?"))</f>
        <v/>
      </c>
      <c r="I1189" s="14" t="str">
        <f aca="false">IF(OR(E1189="",E1189="!!!",F1189="NEW"),"",INDEX(B$2:B1188,-1+SUMPRODUCT(MAX(ROW(E$2:E1188)*(E1189=E$2:E1188)))))</f>
        <v/>
      </c>
      <c r="J1189" s="15" t="str">
        <f aca="true">IF(OR(E1189="",E1189="!!!",F1189="NEW"),"",COUNTBLANK(OFFSET(A$1,,,SUMPRODUCT(MAX(ROW(E$2:E1189)*(E1189=E$2:E1189)))))-COUNTBLANK(OFFSET(A$1,,,SUMPRODUCT(MAX(ROW(E$1:E1188)*(E1189=E$1:E1188))))))</f>
        <v/>
      </c>
      <c r="K1189" s="15" t="str">
        <f aca="false">IF(OR(E1189="",E1189="!!!",F1189="NEW"),"",INDEX(J$1:J1188,SUMPRODUCT(MAX(ROW(E$1:E1188)*(E1189=E$1:E1188)))))</f>
        <v/>
      </c>
      <c r="L1189" s="16"/>
    </row>
    <row r="1190" customFormat="false" ht="12.75" hidden="false" customHeight="false" outlineLevel="0" collapsed="false">
      <c r="A1190" s="9" t="s">
        <v>84</v>
      </c>
      <c r="E1190" s="10" t="str">
        <f aca="false">IF(D1190="?OLD","!!!","")</f>
        <v/>
      </c>
      <c r="F1190" s="11" t="str">
        <f aca="false">IF(OR(E1190="",E1190="!!!"),"",IF(NOT(ISNA(VLOOKUP(E1190,E$1:E1189,1,FALSE()))),"OLD",IF(AND(E1190&lt;&gt;"",E1190&lt;&gt;"!!!"),"NEW","")))</f>
        <v/>
      </c>
      <c r="G1190" s="12" t="str">
        <f aca="false">IF(OR(E1190="",E1190="!!!"),"",IF(OR(J1190=0,AND(J1190=1,K1190=1),AND(J1190=1,I1190="SBJ"),AND(J1190=1,I1190=0)),"?IN_FOCUS",IF(J1190&lt;=2,"?ACTIVATED",IF(J1190&lt;&gt;"","?FAMILIAR",IF(F1190="NEW",IF(ISNA(VLOOKUP(E1190,#REF!,1,FALSE())),"?TYPE_IDENTIFIABLE","?REFERENTIAL"),"_")))))</f>
        <v/>
      </c>
      <c r="H1190" s="13" t="str">
        <f aca="false">IF(J1190&lt;&gt;1,"",IF(I1190="SBJ","CB","?"))</f>
        <v/>
      </c>
      <c r="I1190" s="14" t="str">
        <f aca="false">IF(OR(E1190="",E1190="!!!",F1190="NEW"),"",INDEX(B$2:B1189,-1+SUMPRODUCT(MAX(ROW(E$2:E1189)*(E1190=E$2:E1189)))))</f>
        <v/>
      </c>
      <c r="J1190" s="15" t="str">
        <f aca="true">IF(OR(E1190="",E1190="!!!",F1190="NEW"),"",COUNTBLANK(OFFSET(A$1,,,SUMPRODUCT(MAX(ROW(E$2:E1190)*(E1190=E$2:E1190)))))-COUNTBLANK(OFFSET(A$1,,,SUMPRODUCT(MAX(ROW(E$1:E1189)*(E1190=E$1:E1189))))))</f>
        <v/>
      </c>
      <c r="K1190" s="15" t="str">
        <f aca="false">IF(OR(E1190="",E1190="!!!",F1190="NEW"),"",INDEX(J$1:J1189,SUMPRODUCT(MAX(ROW(E$1:E1189)*(E1190=E$1:E1189)))))</f>
        <v/>
      </c>
      <c r="L1190" s="16"/>
    </row>
    <row r="1191" customFormat="false" ht="12.75" hidden="false" customHeight="false" outlineLevel="0" collapsed="false">
      <c r="A1191" s="9" t="s">
        <v>415</v>
      </c>
      <c r="E1191" s="10" t="str">
        <f aca="false">IF(D1191="?OLD","!!!","")</f>
        <v/>
      </c>
      <c r="F1191" s="11" t="str">
        <f aca="false">IF(OR(E1191="",E1191="!!!"),"",IF(NOT(ISNA(VLOOKUP(E1191,E$1:E1190,1,FALSE()))),"OLD",IF(AND(E1191&lt;&gt;"",E1191&lt;&gt;"!!!"),"NEW","")))</f>
        <v/>
      </c>
      <c r="G1191" s="12" t="str">
        <f aca="false">IF(OR(E1191="",E1191="!!!"),"",IF(OR(J1191=0,AND(J1191=1,K1191=1),AND(J1191=1,I1191="SBJ"),AND(J1191=1,I1191=0)),"?IN_FOCUS",IF(J1191&lt;=2,"?ACTIVATED",IF(J1191&lt;&gt;"","?FAMILIAR",IF(F1191="NEW",IF(ISNA(VLOOKUP(E1191,#REF!,1,FALSE())),"?TYPE_IDENTIFIABLE","?REFERENTIAL"),"_")))))</f>
        <v/>
      </c>
      <c r="H1191" s="13" t="str">
        <f aca="false">IF(J1191&lt;&gt;1,"",IF(I1191="SBJ","CB","?"))</f>
        <v/>
      </c>
      <c r="I1191" s="14" t="str">
        <f aca="false">IF(OR(E1191="",E1191="!!!",F1191="NEW"),"",INDEX(B$2:B1190,-1+SUMPRODUCT(MAX(ROW(E$2:E1190)*(E1191=E$2:E1190)))))</f>
        <v/>
      </c>
      <c r="J1191" s="15" t="str">
        <f aca="true">IF(OR(E1191="",E1191="!!!",F1191="NEW"),"",COUNTBLANK(OFFSET(A$1,,,SUMPRODUCT(MAX(ROW(E$2:E1191)*(E1191=E$2:E1191)))))-COUNTBLANK(OFFSET(A$1,,,SUMPRODUCT(MAX(ROW(E$1:E1190)*(E1191=E$1:E1190))))))</f>
        <v/>
      </c>
      <c r="K1191" s="15" t="str">
        <f aca="false">IF(OR(E1191="",E1191="!!!",F1191="NEW"),"",INDEX(J$1:J1190,SUMPRODUCT(MAX(ROW(E$1:E1190)*(E1191=E$1:E1190)))))</f>
        <v/>
      </c>
      <c r="L1191" s="16"/>
    </row>
    <row r="1192" customFormat="false" ht="12.75" hidden="false" customHeight="false" outlineLevel="0" collapsed="false">
      <c r="A1192" s="9" t="s">
        <v>500</v>
      </c>
      <c r="E1192" s="10" t="str">
        <f aca="false">IF(D1192="?OLD","!!!","")</f>
        <v/>
      </c>
      <c r="F1192" s="11" t="str">
        <f aca="false">IF(OR(E1192="",E1192="!!!"),"",IF(NOT(ISNA(VLOOKUP(E1192,E$1:E1191,1,FALSE()))),"OLD",IF(AND(E1192&lt;&gt;"",E1192&lt;&gt;"!!!"),"NEW","")))</f>
        <v/>
      </c>
      <c r="G1192" s="12" t="str">
        <f aca="false">IF(OR(E1192="",E1192="!!!"),"",IF(OR(J1192=0,AND(J1192=1,K1192=1),AND(J1192=1,I1192="SBJ"),AND(J1192=1,I1192=0)),"?IN_FOCUS",IF(J1192&lt;=2,"?ACTIVATED",IF(J1192&lt;&gt;"","?FAMILIAR",IF(F1192="NEW",IF(ISNA(VLOOKUP(E1192,#REF!,1,FALSE())),"?TYPE_IDENTIFIABLE","?REFERENTIAL"),"_")))))</f>
        <v/>
      </c>
      <c r="H1192" s="13" t="str">
        <f aca="false">IF(J1192&lt;&gt;1,"",IF(I1192="SBJ","CB","?"))</f>
        <v/>
      </c>
      <c r="I1192" s="14" t="str">
        <f aca="false">IF(OR(E1192="",E1192="!!!",F1192="NEW"),"",INDEX(B$2:B1191,-1+SUMPRODUCT(MAX(ROW(E$2:E1191)*(E1192=E$2:E1191)))))</f>
        <v/>
      </c>
      <c r="J1192" s="15" t="str">
        <f aca="true">IF(OR(E1192="",E1192="!!!",F1192="NEW"),"",COUNTBLANK(OFFSET(A$1,,,SUMPRODUCT(MAX(ROW(E$2:E1192)*(E1192=E$2:E1192)))))-COUNTBLANK(OFFSET(A$1,,,SUMPRODUCT(MAX(ROW(E$1:E1191)*(E1192=E$1:E1191))))))</f>
        <v/>
      </c>
      <c r="K1192" s="15" t="str">
        <f aca="false">IF(OR(E1192="",E1192="!!!",F1192="NEW"),"",INDEX(J$1:J1191,SUMPRODUCT(MAX(ROW(E$1:E1191)*(E1192=E$1:E1191)))))</f>
        <v/>
      </c>
      <c r="L1192" s="16"/>
    </row>
    <row r="1193" customFormat="false" ht="12.75" hidden="false" customHeight="false" outlineLevel="0" collapsed="false">
      <c r="A1193" s="9" t="s">
        <v>501</v>
      </c>
      <c r="E1193" s="10" t="str">
        <f aca="false">IF(D1193="?OLD","!!!","")</f>
        <v/>
      </c>
      <c r="F1193" s="11" t="str">
        <f aca="false">IF(OR(E1193="",E1193="!!!"),"",IF(NOT(ISNA(VLOOKUP(E1193,E$1:E1192,1,FALSE()))),"OLD",IF(AND(E1193&lt;&gt;"",E1193&lt;&gt;"!!!"),"NEW","")))</f>
        <v/>
      </c>
      <c r="G1193" s="12" t="str">
        <f aca="false">IF(OR(E1193="",E1193="!!!"),"",IF(OR(J1193=0,AND(J1193=1,K1193=1),AND(J1193=1,I1193="SBJ"),AND(J1193=1,I1193=0)),"?IN_FOCUS",IF(J1193&lt;=2,"?ACTIVATED",IF(J1193&lt;&gt;"","?FAMILIAR",IF(F1193="NEW",IF(ISNA(VLOOKUP(E1193,#REF!,1,FALSE())),"?TYPE_IDENTIFIABLE","?REFERENTIAL"),"_")))))</f>
        <v/>
      </c>
      <c r="H1193" s="13" t="str">
        <f aca="false">IF(J1193&lt;&gt;1,"",IF(I1193="SBJ","CB","?"))</f>
        <v/>
      </c>
      <c r="I1193" s="14" t="str">
        <f aca="false">IF(OR(E1193="",E1193="!!!",F1193="NEW"),"",INDEX(B$2:B1192,-1+SUMPRODUCT(MAX(ROW(E$2:E1192)*(E1193=E$2:E1192)))))</f>
        <v/>
      </c>
      <c r="J1193" s="15" t="str">
        <f aca="true">IF(OR(E1193="",E1193="!!!",F1193="NEW"),"",COUNTBLANK(OFFSET(A$1,,,SUMPRODUCT(MAX(ROW(E$2:E1193)*(E1193=E$2:E1193)))))-COUNTBLANK(OFFSET(A$1,,,SUMPRODUCT(MAX(ROW(E$1:E1192)*(E1193=E$1:E1192))))))</f>
        <v/>
      </c>
      <c r="K1193" s="15" t="str">
        <f aca="false">IF(OR(E1193="",E1193="!!!",F1193="NEW"),"",INDEX(J$1:J1192,SUMPRODUCT(MAX(ROW(E$1:E1192)*(E1193=E$1:E1192)))))</f>
        <v/>
      </c>
      <c r="L1193" s="16"/>
    </row>
    <row r="1194" customFormat="false" ht="12.75" hidden="false" customHeight="false" outlineLevel="0" collapsed="false">
      <c r="A1194" s="9" t="s">
        <v>126</v>
      </c>
      <c r="B1194" s="0" t="s">
        <v>33</v>
      </c>
      <c r="C1194" s="0" t="s">
        <v>26</v>
      </c>
      <c r="D1194" s="0" t="s">
        <v>27</v>
      </c>
      <c r="E1194" s="10" t="s">
        <v>126</v>
      </c>
      <c r="F1194" s="11" t="str">
        <f aca="false">IF(OR(E1194="",E1194="!!!"),"",IF(NOT(ISNA(VLOOKUP(E1194,E$1:E1193,1,FALSE()))),"OLD",IF(AND(E1194&lt;&gt;"",E1194&lt;&gt;"!!!"),"NEW","")))</f>
        <v>OLD</v>
      </c>
      <c r="G1194" s="12" t="s">
        <v>51</v>
      </c>
      <c r="H1194" s="13" t="str">
        <f aca="false">IF(J1194&lt;&gt;1,"",IF(I1194="SBJ","CB","?"))</f>
        <v/>
      </c>
      <c r="I1194" s="14" t="str">
        <f aca="false">IF(OR(E1194="",E1194="!!!",F1194="NEW"),"",INDEX(B$2:B1193,-1+SUMPRODUCT(MAX(ROW(E$2:E1193)*(E1194=E$2:E1193)))))</f>
        <v>other</v>
      </c>
      <c r="J1194" s="15" t="n">
        <f aca="true">IF(OR(E1194="",E1194="!!!",F1194="NEW"),"",COUNTBLANK(OFFSET(A$1,,,SUMPRODUCT(MAX(ROW(E$2:E1194)*(E1194=E$2:E1194)))))-COUNTBLANK(OFFSET(A$1,,,SUMPRODUCT(MAX(ROW(E$1:E1193)*(E1194=E$1:E1193))))))</f>
        <v>0</v>
      </c>
      <c r="K1194" s="15" t="n">
        <f aca="false">IF(OR(E1194="",E1194="!!!",F1194="NEW"),"",INDEX(J$1:J1193,SUMPRODUCT(MAX(ROW(E$1:E1193)*(E1194=E$1:E1193)))))</f>
        <v>10</v>
      </c>
      <c r="L1194" s="16"/>
    </row>
    <row r="1195" customFormat="false" ht="12.75" hidden="false" customHeight="false" outlineLevel="0" collapsed="false">
      <c r="A1195" s="9" t="s">
        <v>347</v>
      </c>
      <c r="E1195" s="10" t="str">
        <f aca="false">IF(D1195="?OLD","!!!","")</f>
        <v/>
      </c>
      <c r="F1195" s="11" t="str">
        <f aca="false">IF(OR(E1195="",E1195="!!!"),"",IF(NOT(ISNA(VLOOKUP(E1195,E$1:E1194,1,FALSE()))),"OLD",IF(AND(E1195&lt;&gt;"",E1195&lt;&gt;"!!!"),"NEW","")))</f>
        <v/>
      </c>
      <c r="G1195" s="12" t="str">
        <f aca="false">IF(OR(E1195="",E1195="!!!"),"",IF(OR(J1195=0,AND(J1195=1,K1195=1),AND(J1195=1,I1195="SBJ"),AND(J1195=1,I1195=0)),"?IN_FOCUS",IF(J1195&lt;=2,"?ACTIVATED",IF(J1195&lt;&gt;"","?FAMILIAR",IF(F1195="NEW",IF(ISNA(VLOOKUP(E1195,#REF!,1,FALSE())),"?TYPE_IDENTIFIABLE","?REFERENTIAL"),"_")))))</f>
        <v/>
      </c>
      <c r="H1195" s="13" t="str">
        <f aca="false">IF(J1195&lt;&gt;1,"",IF(I1195="SBJ","CB","?"))</f>
        <v/>
      </c>
      <c r="I1195" s="14" t="str">
        <f aca="false">IF(OR(E1195="",E1195="!!!",F1195="NEW"),"",INDEX(B$2:B1194,-1+SUMPRODUCT(MAX(ROW(E$2:E1194)*(E1195=E$2:E1194)))))</f>
        <v/>
      </c>
      <c r="J1195" s="15" t="str">
        <f aca="true">IF(OR(E1195="",E1195="!!!",F1195="NEW"),"",COUNTBLANK(OFFSET(A$1,,,SUMPRODUCT(MAX(ROW(E$2:E1195)*(E1195=E$2:E1195)))))-COUNTBLANK(OFFSET(A$1,,,SUMPRODUCT(MAX(ROW(E$1:E1194)*(E1195=E$1:E1194))))))</f>
        <v/>
      </c>
      <c r="K1195" s="15" t="str">
        <f aca="false">IF(OR(E1195="",E1195="!!!",F1195="NEW"),"",INDEX(J$1:J1194,SUMPRODUCT(MAX(ROW(E$1:E1194)*(E1195=E$1:E1194)))))</f>
        <v/>
      </c>
      <c r="L1195" s="16"/>
    </row>
    <row r="1196" customFormat="false" ht="12.75" hidden="false" customHeight="false" outlineLevel="0" collapsed="false">
      <c r="A1196" s="9" t="s">
        <v>74</v>
      </c>
      <c r="E1196" s="10" t="str">
        <f aca="false">IF(D1196="?OLD","!!!","")</f>
        <v/>
      </c>
      <c r="F1196" s="11" t="str">
        <f aca="false">IF(OR(E1196="",E1196="!!!"),"",IF(NOT(ISNA(VLOOKUP(E1196,E$1:E1195,1,FALSE()))),"OLD",IF(AND(E1196&lt;&gt;"",E1196&lt;&gt;"!!!"),"NEW","")))</f>
        <v/>
      </c>
      <c r="G1196" s="12" t="str">
        <f aca="false">IF(OR(E1196="",E1196="!!!"),"",IF(OR(J1196=0,AND(J1196=1,K1196=1),AND(J1196=1,I1196="SBJ"),AND(J1196=1,I1196=0)),"?IN_FOCUS",IF(J1196&lt;=2,"?ACTIVATED",IF(J1196&lt;&gt;"","?FAMILIAR",IF(F1196="NEW",IF(ISNA(VLOOKUP(E1196,#REF!,1,FALSE())),"?TYPE_IDENTIFIABLE","?REFERENTIAL"),"_")))))</f>
        <v/>
      </c>
      <c r="H1196" s="13" t="str">
        <f aca="false">IF(J1196&lt;&gt;1,"",IF(I1196="SBJ","CB","?"))</f>
        <v/>
      </c>
      <c r="I1196" s="14" t="str">
        <f aca="false">IF(OR(E1196="",E1196="!!!",F1196="NEW"),"",INDEX(B$2:B1195,-1+SUMPRODUCT(MAX(ROW(E$2:E1195)*(E1196=E$2:E1195)))))</f>
        <v/>
      </c>
      <c r="J1196" s="15" t="str">
        <f aca="true">IF(OR(E1196="",E1196="!!!",F1196="NEW"),"",COUNTBLANK(OFFSET(A$1,,,SUMPRODUCT(MAX(ROW(E$2:E1196)*(E1196=E$2:E1196)))))-COUNTBLANK(OFFSET(A$1,,,SUMPRODUCT(MAX(ROW(E$1:E1195)*(E1196=E$1:E1195))))))</f>
        <v/>
      </c>
      <c r="K1196" s="15" t="str">
        <f aca="false">IF(OR(E1196="",E1196="!!!",F1196="NEW"),"",INDEX(J$1:J1195,SUMPRODUCT(MAX(ROW(E$1:E1195)*(E1196=E$1:E1195)))))</f>
        <v/>
      </c>
      <c r="L1196" s="16"/>
    </row>
    <row r="1197" customFormat="false" ht="12.75" hidden="false" customHeight="false" outlineLevel="0" collapsed="false">
      <c r="E1197" s="10" t="str">
        <f aca="false">IF(D1197="?OLD","!!!","")</f>
        <v/>
      </c>
      <c r="F1197" s="11" t="str">
        <f aca="false">IF(OR(E1197="",E1197="!!!"),"",IF(NOT(ISNA(VLOOKUP(E1197,E$1:E1196,1,FALSE()))),"OLD",IF(AND(E1197&lt;&gt;"",E1197&lt;&gt;"!!!"),"NEW","")))</f>
        <v/>
      </c>
      <c r="G1197" s="12" t="str">
        <f aca="false">IF(OR(E1197="",E1197="!!!"),"",IF(OR(J1197=0,AND(J1197=1,K1197=1),AND(J1197=1,I1197="SBJ"),AND(J1197=1,I1197=0)),"?IN_FOCUS",IF(J1197&lt;=2,"?ACTIVATED",IF(J1197&lt;&gt;"","?FAMILIAR",IF(F1197="NEW",IF(ISNA(VLOOKUP(E1197,#REF!,1,FALSE())),"?TYPE_IDENTIFIABLE","?REFERENTIAL"),"_")))))</f>
        <v/>
      </c>
      <c r="H1197" s="13" t="str">
        <f aca="false">IF(J1197&lt;&gt;1,"",IF(I1197="SBJ","CB","?"))</f>
        <v/>
      </c>
      <c r="I1197" s="14" t="str">
        <f aca="false">IF(OR(E1197="",E1197="!!!",F1197="NEW"),"",INDEX(B$2:B1196,-1+SUMPRODUCT(MAX(ROW(E$2:E1196)*(E1197=E$2:E1196)))))</f>
        <v/>
      </c>
      <c r="J1197" s="15" t="str">
        <f aca="true">IF(OR(E1197="",E1197="!!!",F1197="NEW"),"",COUNTBLANK(OFFSET(A$1,,,SUMPRODUCT(MAX(ROW(E$2:E1197)*(E1197=E$2:E1197)))))-COUNTBLANK(OFFSET(A$1,,,SUMPRODUCT(MAX(ROW(E$1:E1196)*(E1197=E$1:E1196))))))</f>
        <v/>
      </c>
      <c r="K1197" s="15" t="str">
        <f aca="false">IF(OR(E1197="",E1197="!!!",F1197="NEW"),"",INDEX(J$1:J1196,SUMPRODUCT(MAX(ROW(E$1:E1196)*(E1197=E$1:E1196)))))</f>
        <v/>
      </c>
      <c r="L1197" s="16"/>
    </row>
    <row r="1198" customFormat="false" ht="12.75" hidden="false" customHeight="false" outlineLevel="0" collapsed="false">
      <c r="A1198" s="9" t="s">
        <v>502</v>
      </c>
      <c r="E1198" s="10" t="str">
        <f aca="false">IF(D1198="?OLD","!!!","")</f>
        <v/>
      </c>
      <c r="F1198" s="11" t="str">
        <f aca="false">IF(OR(E1198="",E1198="!!!"),"",IF(NOT(ISNA(VLOOKUP(E1198,E$1:E1197,1,FALSE()))),"OLD",IF(AND(E1198&lt;&gt;"",E1198&lt;&gt;"!!!"),"NEW","")))</f>
        <v/>
      </c>
      <c r="G1198" s="12" t="str">
        <f aca="false">IF(OR(E1198="",E1198="!!!"),"",IF(OR(J1198=0,AND(J1198=1,K1198=1),AND(J1198=1,I1198="SBJ"),AND(J1198=1,I1198=0)),"?IN_FOCUS",IF(J1198&lt;=2,"?ACTIVATED",IF(J1198&lt;&gt;"","?FAMILIAR",IF(F1198="NEW",IF(ISNA(VLOOKUP(E1198,#REF!,1,FALSE())),"?TYPE_IDENTIFIABLE","?REFERENTIAL"),"_")))))</f>
        <v/>
      </c>
      <c r="H1198" s="13" t="str">
        <f aca="false">IF(J1198&lt;&gt;1,"",IF(I1198="SBJ","CB","?"))</f>
        <v/>
      </c>
      <c r="I1198" s="14" t="str">
        <f aca="false">IF(OR(E1198="",E1198="!!!",F1198="NEW"),"",INDEX(B$2:B1197,-1+SUMPRODUCT(MAX(ROW(E$2:E1197)*(E1198=E$2:E1197)))))</f>
        <v/>
      </c>
      <c r="J1198" s="15" t="str">
        <f aca="true">IF(OR(E1198="",E1198="!!!",F1198="NEW"),"",COUNTBLANK(OFFSET(A$1,,,SUMPRODUCT(MAX(ROW(E$2:E1198)*(E1198=E$2:E1198)))))-COUNTBLANK(OFFSET(A$1,,,SUMPRODUCT(MAX(ROW(E$1:E1197)*(E1198=E$1:E1197))))))</f>
        <v/>
      </c>
      <c r="K1198" s="15" t="str">
        <f aca="false">IF(OR(E1198="",E1198="!!!",F1198="NEW"),"",INDEX(J$1:J1197,SUMPRODUCT(MAX(ROW(E$1:E1197)*(E1198=E$1:E1197)))))</f>
        <v/>
      </c>
      <c r="L1198" s="16"/>
    </row>
    <row r="1199" customFormat="false" ht="12.75" hidden="false" customHeight="false" outlineLevel="0" collapsed="false">
      <c r="A1199" s="9" t="s">
        <v>223</v>
      </c>
      <c r="B1199" s="0" t="s">
        <v>17</v>
      </c>
      <c r="C1199" s="0" t="s">
        <v>58</v>
      </c>
      <c r="D1199" s="0" t="s">
        <v>27</v>
      </c>
      <c r="E1199" s="10" t="s">
        <v>406</v>
      </c>
      <c r="F1199" s="11" t="str">
        <f aca="false">IF(OR(E1199="",E1199="!!!"),"",IF(NOT(ISNA(VLOOKUP(E1199,E$1:E1198,1,FALSE()))),"OLD",IF(AND(E1199&lt;&gt;"",E1199&lt;&gt;"!!!"),"NEW","")))</f>
        <v>OLD</v>
      </c>
      <c r="G1199" s="12" t="s">
        <v>49</v>
      </c>
      <c r="H1199" s="13" t="s">
        <v>7</v>
      </c>
      <c r="I1199" s="14" t="str">
        <f aca="false">IF(OR(E1199="",E1199="!!!",F1199="NEW"),"",INDEX(B$2:B1198,-1+SUMPRODUCT(MAX(ROW(E$2:E1198)*(E1199=E$2:E1198)))))</f>
        <v>SBJ_2</v>
      </c>
      <c r="J1199" s="15" t="n">
        <f aca="true">IF(OR(E1199="",E1199="!!!",F1199="NEW"),"",COUNTBLANK(OFFSET(A$1,,,SUMPRODUCT(MAX(ROW(E$2:E1199)*(E1199=E$2:E1199)))))-COUNTBLANK(OFFSET(A$1,,,SUMPRODUCT(MAX(ROW(E$1:E1198)*(E1199=E$1:E1198))))))</f>
        <v>1</v>
      </c>
      <c r="K1199" s="15" t="n">
        <f aca="false">IF(OR(E1199="",E1199="!!!",F1199="NEW"),"",INDEX(J$1:J1198,SUMPRODUCT(MAX(ROW(E$1:E1198)*(E1199=E$1:E1198)))))</f>
        <v>0</v>
      </c>
      <c r="L1199" s="16"/>
    </row>
    <row r="1200" customFormat="false" ht="12.75" hidden="false" customHeight="false" outlineLevel="0" collapsed="false">
      <c r="A1200" s="9" t="s">
        <v>182</v>
      </c>
      <c r="E1200" s="10" t="str">
        <f aca="false">IF(D1200="?OLD","!!!","")</f>
        <v/>
      </c>
      <c r="F1200" s="11" t="str">
        <f aca="false">IF(OR(E1200="",E1200="!!!"),"",IF(NOT(ISNA(VLOOKUP(E1200,E$1:E1199,1,FALSE()))),"OLD",IF(AND(E1200&lt;&gt;"",E1200&lt;&gt;"!!!"),"NEW","")))</f>
        <v/>
      </c>
      <c r="G1200" s="12" t="str">
        <f aca="false">IF(OR(E1200="",E1200="!!!"),"",IF(OR(J1200=0,AND(J1200=1,K1200=1),AND(J1200=1,I1200="SBJ"),AND(J1200=1,I1200=0)),"?IN_FOCUS",IF(J1200&lt;=2,"?ACTIVATED",IF(J1200&lt;&gt;"","?FAMILIAR",IF(F1200="NEW",IF(ISNA(VLOOKUP(E1200,#REF!,1,FALSE())),"?TYPE_IDENTIFIABLE","?REFERENTIAL"),"_")))))</f>
        <v/>
      </c>
      <c r="H1200" s="13" t="str">
        <f aca="false">IF(J1200&lt;&gt;1,"",IF(I1200="SBJ","CB","?"))</f>
        <v/>
      </c>
      <c r="I1200" s="14" t="str">
        <f aca="false">IF(OR(E1200="",E1200="!!!",F1200="NEW"),"",INDEX(B$2:B1199,-1+SUMPRODUCT(MAX(ROW(E$2:E1199)*(E1200=E$2:E1199)))))</f>
        <v/>
      </c>
      <c r="J1200" s="15" t="str">
        <f aca="true">IF(OR(E1200="",E1200="!!!",F1200="NEW"),"",COUNTBLANK(OFFSET(A$1,,,SUMPRODUCT(MAX(ROW(E$2:E1200)*(E1200=E$2:E1200)))))-COUNTBLANK(OFFSET(A$1,,,SUMPRODUCT(MAX(ROW(E$1:E1199)*(E1200=E$1:E1199))))))</f>
        <v/>
      </c>
      <c r="K1200" s="15" t="str">
        <f aca="false">IF(OR(E1200="",E1200="!!!",F1200="NEW"),"",INDEX(J$1:J1199,SUMPRODUCT(MAX(ROW(E$1:E1199)*(E1200=E$1:E1199)))))</f>
        <v/>
      </c>
      <c r="L1200" s="16"/>
    </row>
    <row r="1201" customFormat="false" ht="12.75" hidden="false" customHeight="false" outlineLevel="0" collapsed="false">
      <c r="A1201" s="9" t="s">
        <v>23</v>
      </c>
      <c r="E1201" s="10" t="str">
        <f aca="false">IF(D1201="?OLD","!!!","")</f>
        <v/>
      </c>
      <c r="F1201" s="11" t="str">
        <f aca="false">IF(OR(E1201="",E1201="!!!"),"",IF(NOT(ISNA(VLOOKUP(E1201,E$1:E1200,1,FALSE()))),"OLD",IF(AND(E1201&lt;&gt;"",E1201&lt;&gt;"!!!"),"NEW","")))</f>
        <v/>
      </c>
      <c r="G1201" s="12" t="str">
        <f aca="false">IF(OR(E1201="",E1201="!!!"),"",IF(OR(J1201=0,AND(J1201=1,K1201=1),AND(J1201=1,I1201="SBJ"),AND(J1201=1,I1201=0)),"?IN_FOCUS",IF(J1201&lt;=2,"?ACTIVATED",IF(J1201&lt;&gt;"","?FAMILIAR",IF(F1201="NEW",IF(ISNA(VLOOKUP(E1201,#REF!,1,FALSE())),"?TYPE_IDENTIFIABLE","?REFERENTIAL"),"_")))))</f>
        <v/>
      </c>
      <c r="H1201" s="13" t="str">
        <f aca="false">IF(J1201&lt;&gt;1,"",IF(I1201="SBJ","CB","?"))</f>
        <v/>
      </c>
      <c r="I1201" s="14" t="str">
        <f aca="false">IF(OR(E1201="",E1201="!!!",F1201="NEW"),"",INDEX(B$2:B1200,-1+SUMPRODUCT(MAX(ROW(E$2:E1200)*(E1201=E$2:E1200)))))</f>
        <v/>
      </c>
      <c r="J1201" s="15" t="str">
        <f aca="true">IF(OR(E1201="",E1201="!!!",F1201="NEW"),"",COUNTBLANK(OFFSET(A$1,,,SUMPRODUCT(MAX(ROW(E$2:E1201)*(E1201=E$2:E1201)))))-COUNTBLANK(OFFSET(A$1,,,SUMPRODUCT(MAX(ROW(E$1:E1200)*(E1201=E$1:E1200))))))</f>
        <v/>
      </c>
      <c r="K1201" s="15" t="str">
        <f aca="false">IF(OR(E1201="",E1201="!!!",F1201="NEW"),"",INDEX(J$1:J1200,SUMPRODUCT(MAX(ROW(E$1:E1200)*(E1201=E$1:E1200)))))</f>
        <v/>
      </c>
      <c r="L1201" s="16"/>
    </row>
    <row r="1202" customFormat="false" ht="12.75" hidden="false" customHeight="false" outlineLevel="0" collapsed="false">
      <c r="A1202" s="9" t="s">
        <v>150</v>
      </c>
      <c r="B1202" s="0" t="s">
        <v>75</v>
      </c>
      <c r="C1202" s="0" t="s">
        <v>58</v>
      </c>
      <c r="D1202" s="0" t="s">
        <v>27</v>
      </c>
      <c r="E1202" s="10" t="s">
        <v>436</v>
      </c>
      <c r="F1202" s="11" t="str">
        <f aca="false">IF(OR(E1202="",E1202="!!!"),"",IF(NOT(ISNA(VLOOKUP(E1202,E$1:E1201,1,FALSE()))),"OLD",IF(AND(E1202&lt;&gt;"",E1202&lt;&gt;"!!!"),"NEW","")))</f>
        <v>OLD</v>
      </c>
      <c r="G1202" s="12" t="s">
        <v>72</v>
      </c>
      <c r="H1202" s="13" t="str">
        <f aca="false">IF(J1202&lt;&gt;1,"",IF(I1202="SBJ","CB","?"))</f>
        <v/>
      </c>
      <c r="I1202" s="14" t="str">
        <f aca="false">IF(OR(E1202="",E1202="!!!",F1202="NEW"),"",INDEX(B$2:B1201,-1+SUMPRODUCT(MAX(ROW(E$2:E1201)*(E1202=E$2:E1201)))))</f>
        <v>SBJ</v>
      </c>
      <c r="J1202" s="15" t="n">
        <f aca="true">IF(OR(E1202="",E1202="!!!",F1202="NEW"),"",COUNTBLANK(OFFSET(A$1,,,SUMPRODUCT(MAX(ROW(E$2:E1202)*(E1202=E$2:E1202)))))-COUNTBLANK(OFFSET(A$1,,,SUMPRODUCT(MAX(ROW(E$1:E1201)*(E1202=E$1:E1201))))))</f>
        <v>3</v>
      </c>
      <c r="K1202" s="15" t="n">
        <f aca="false">IF(OR(E1202="",E1202="!!!",F1202="NEW"),"",INDEX(J$1:J1201,SUMPRODUCT(MAX(ROW(E$1:E1201)*(E1202=E$1:E1201)))))</f>
        <v>5</v>
      </c>
      <c r="L1202" s="16"/>
    </row>
    <row r="1203" customFormat="false" ht="12.75" hidden="false" customHeight="false" outlineLevel="0" collapsed="false">
      <c r="A1203" s="9" t="s">
        <v>68</v>
      </c>
      <c r="E1203" s="10" t="str">
        <f aca="false">IF(D1203="?OLD","!!!","")</f>
        <v/>
      </c>
      <c r="F1203" s="11" t="str">
        <f aca="false">IF(OR(E1203="",E1203="!!!"),"",IF(NOT(ISNA(VLOOKUP(E1203,E$1:E1202,1,FALSE()))),"OLD",IF(AND(E1203&lt;&gt;"",E1203&lt;&gt;"!!!"),"NEW","")))</f>
        <v/>
      </c>
      <c r="G1203" s="12" t="str">
        <f aca="false">IF(OR(E1203="",E1203="!!!"),"",IF(OR(J1203=0,AND(J1203=1,K1203=1),AND(J1203=1,I1203="SBJ"),AND(J1203=1,I1203=0)),"?IN_FOCUS",IF(J1203&lt;=2,"?ACTIVATED",IF(J1203&lt;&gt;"","?FAMILIAR",IF(F1203="NEW",IF(ISNA(VLOOKUP(E1203,#REF!,1,FALSE())),"?TYPE_IDENTIFIABLE","?REFERENTIAL"),"_")))))</f>
        <v/>
      </c>
      <c r="H1203" s="13" t="str">
        <f aca="false">IF(J1203&lt;&gt;1,"",IF(I1203="SBJ","CB","?"))</f>
        <v/>
      </c>
      <c r="I1203" s="14" t="str">
        <f aca="false">IF(OR(E1203="",E1203="!!!",F1203="NEW"),"",INDEX(B$2:B1202,-1+SUMPRODUCT(MAX(ROW(E$2:E1202)*(E1203=E$2:E1202)))))</f>
        <v/>
      </c>
      <c r="J1203" s="15" t="str">
        <f aca="true">IF(OR(E1203="",E1203="!!!",F1203="NEW"),"",COUNTBLANK(OFFSET(A$1,,,SUMPRODUCT(MAX(ROW(E$2:E1203)*(E1203=E$2:E1203)))))-COUNTBLANK(OFFSET(A$1,,,SUMPRODUCT(MAX(ROW(E$1:E1202)*(E1203=E$1:E1202))))))</f>
        <v/>
      </c>
      <c r="K1203" s="15" t="str">
        <f aca="false">IF(OR(E1203="",E1203="!!!",F1203="NEW"),"",INDEX(J$1:J1202,SUMPRODUCT(MAX(ROW(E$1:E1202)*(E1203=E$1:E1202)))))</f>
        <v/>
      </c>
      <c r="L1203" s="16"/>
    </row>
    <row r="1204" customFormat="false" ht="12.75" hidden="false" customHeight="false" outlineLevel="0" collapsed="false">
      <c r="E1204" s="10" t="str">
        <f aca="false">IF(D1204="?OLD","!!!","")</f>
        <v/>
      </c>
      <c r="F1204" s="11" t="str">
        <f aca="false">IF(OR(E1204="",E1204="!!!"),"",IF(NOT(ISNA(VLOOKUP(E1204,E$1:E1203,1,FALSE()))),"OLD",IF(AND(E1204&lt;&gt;"",E1204&lt;&gt;"!!!"),"NEW","")))</f>
        <v/>
      </c>
      <c r="G1204" s="12" t="str">
        <f aca="false">IF(OR(E1204="",E1204="!!!"),"",IF(OR(J1204=0,AND(J1204=1,K1204=1),AND(J1204=1,I1204="SBJ"),AND(J1204=1,I1204=0)),"?IN_FOCUS",IF(J1204&lt;=2,"?ACTIVATED",IF(J1204&lt;&gt;"","?FAMILIAR",IF(F1204="NEW",IF(ISNA(VLOOKUP(E1204,#REF!,1,FALSE())),"?TYPE_IDENTIFIABLE","?REFERENTIAL"),"_")))))</f>
        <v/>
      </c>
      <c r="H1204" s="13" t="str">
        <f aca="false">IF(J1204&lt;&gt;1,"",IF(I1204="SBJ","CB","?"))</f>
        <v/>
      </c>
      <c r="I1204" s="14" t="str">
        <f aca="false">IF(OR(E1204="",E1204="!!!",F1204="NEW"),"",INDEX(B$2:B1203,-1+SUMPRODUCT(MAX(ROW(E$2:E1203)*(E1204=E$2:E1203)))))</f>
        <v/>
      </c>
      <c r="J1204" s="15" t="str">
        <f aca="true">IF(OR(E1204="",E1204="!!!",F1204="NEW"),"",COUNTBLANK(OFFSET(A$1,,,SUMPRODUCT(MAX(ROW(E$2:E1204)*(E1204=E$2:E1204)))))-COUNTBLANK(OFFSET(A$1,,,SUMPRODUCT(MAX(ROW(E$1:E1203)*(E1204=E$1:E1203))))))</f>
        <v/>
      </c>
      <c r="K1204" s="15" t="str">
        <f aca="false">IF(OR(E1204="",E1204="!!!",F1204="NEW"),"",INDEX(J$1:J1203,SUMPRODUCT(MAX(ROW(E$1:E1203)*(E1204=E$1:E1203)))))</f>
        <v/>
      </c>
      <c r="L1204" s="16"/>
    </row>
    <row r="1205" customFormat="false" ht="12.75" hidden="false" customHeight="false" outlineLevel="0" collapsed="false">
      <c r="A1205" s="9" t="s">
        <v>503</v>
      </c>
      <c r="E1205" s="10" t="str">
        <f aca="false">IF(D1205="?OLD","!!!","")</f>
        <v/>
      </c>
      <c r="F1205" s="11" t="str">
        <f aca="false">IF(OR(E1205="",E1205="!!!"),"",IF(NOT(ISNA(VLOOKUP(E1205,E$1:E1204,1,FALSE()))),"OLD",IF(AND(E1205&lt;&gt;"",E1205&lt;&gt;"!!!"),"NEW","")))</f>
        <v/>
      </c>
      <c r="G1205" s="12" t="str">
        <f aca="false">IF(OR(E1205="",E1205="!!!"),"",IF(OR(J1205=0,AND(J1205=1,K1205=1),AND(J1205=1,I1205="SBJ"),AND(J1205=1,I1205=0)),"?IN_FOCUS",IF(J1205&lt;=2,"?ACTIVATED",IF(J1205&lt;&gt;"","?FAMILIAR",IF(F1205="NEW",IF(ISNA(VLOOKUP(E1205,#REF!,1,FALSE())),"?TYPE_IDENTIFIABLE","?REFERENTIAL"),"_")))))</f>
        <v/>
      </c>
      <c r="H1205" s="13" t="str">
        <f aca="false">IF(J1205&lt;&gt;1,"",IF(I1205="SBJ","CB","?"))</f>
        <v/>
      </c>
      <c r="I1205" s="14" t="str">
        <f aca="false">IF(OR(E1205="",E1205="!!!",F1205="NEW"),"",INDEX(B$2:B1204,-1+SUMPRODUCT(MAX(ROW(E$2:E1204)*(E1205=E$2:E1204)))))</f>
        <v/>
      </c>
      <c r="J1205" s="15" t="str">
        <f aca="true">IF(OR(E1205="",E1205="!!!",F1205="NEW"),"",COUNTBLANK(OFFSET(A$1,,,SUMPRODUCT(MAX(ROW(E$2:E1205)*(E1205=E$2:E1205)))))-COUNTBLANK(OFFSET(A$1,,,SUMPRODUCT(MAX(ROW(E$1:E1204)*(E1205=E$1:E1204))))))</f>
        <v/>
      </c>
      <c r="K1205" s="15" t="str">
        <f aca="false">IF(OR(E1205="",E1205="!!!",F1205="NEW"),"",INDEX(J$1:J1204,SUMPRODUCT(MAX(ROW(E$1:E1204)*(E1205=E$1:E1204)))))</f>
        <v/>
      </c>
      <c r="L1205" s="16"/>
    </row>
    <row r="1206" customFormat="false" ht="12.75" hidden="false" customHeight="false" outlineLevel="0" collapsed="false">
      <c r="A1206" s="9" t="s">
        <v>504</v>
      </c>
      <c r="E1206" s="10" t="str">
        <f aca="false">IF(D1206="?OLD","!!!","")</f>
        <v/>
      </c>
      <c r="F1206" s="11" t="str">
        <f aca="false">IF(OR(E1206="",E1206="!!!"),"",IF(NOT(ISNA(VLOOKUP(E1206,E$1:E1205,1,FALSE()))),"OLD",IF(AND(E1206&lt;&gt;"",E1206&lt;&gt;"!!!"),"NEW","")))</f>
        <v/>
      </c>
      <c r="G1206" s="12" t="str">
        <f aca="false">IF(OR(E1206="",E1206="!!!"),"",IF(OR(J1206=0,AND(J1206=1,K1206=1),AND(J1206=1,I1206="SBJ"),AND(J1206=1,I1206=0)),"?IN_FOCUS",IF(J1206&lt;=2,"?ACTIVATED",IF(J1206&lt;&gt;"","?FAMILIAR",IF(F1206="NEW",IF(ISNA(VLOOKUP(E1206,#REF!,1,FALSE())),"?TYPE_IDENTIFIABLE","?REFERENTIAL"),"_")))))</f>
        <v/>
      </c>
      <c r="H1206" s="13" t="str">
        <f aca="false">IF(J1206&lt;&gt;1,"",IF(I1206="SBJ","CB","?"))</f>
        <v/>
      </c>
      <c r="I1206" s="14" t="str">
        <f aca="false">IF(OR(E1206="",E1206="!!!",F1206="NEW"),"",INDEX(B$2:B1205,-1+SUMPRODUCT(MAX(ROW(E$2:E1205)*(E1206=E$2:E1205)))))</f>
        <v/>
      </c>
      <c r="J1206" s="15" t="str">
        <f aca="true">IF(OR(E1206="",E1206="!!!",F1206="NEW"),"",COUNTBLANK(OFFSET(A$1,,,SUMPRODUCT(MAX(ROW(E$2:E1206)*(E1206=E$2:E1206)))))-COUNTBLANK(OFFSET(A$1,,,SUMPRODUCT(MAX(ROW(E$1:E1205)*(E1206=E$1:E1205))))))</f>
        <v/>
      </c>
      <c r="K1206" s="15" t="str">
        <f aca="false">IF(OR(E1206="",E1206="!!!",F1206="NEW"),"",INDEX(J$1:J1205,SUMPRODUCT(MAX(ROW(E$1:E1205)*(E1206=E$1:E1205)))))</f>
        <v/>
      </c>
      <c r="L1206" s="16"/>
    </row>
    <row r="1207" customFormat="false" ht="12.75" hidden="false" customHeight="false" outlineLevel="0" collapsed="false">
      <c r="A1207" s="9" t="s">
        <v>45</v>
      </c>
      <c r="E1207" s="10" t="str">
        <f aca="false">IF(D1207="?OLD","!!!","")</f>
        <v/>
      </c>
      <c r="F1207" s="11" t="str">
        <f aca="false">IF(OR(E1207="",E1207="!!!"),"",IF(NOT(ISNA(VLOOKUP(E1207,E$1:E1206,1,FALSE()))),"OLD",IF(AND(E1207&lt;&gt;"",E1207&lt;&gt;"!!!"),"NEW","")))</f>
        <v/>
      </c>
      <c r="G1207" s="12" t="str">
        <f aca="false">IF(OR(E1207="",E1207="!!!"),"",IF(OR(J1207=0,AND(J1207=1,K1207=1),AND(J1207=1,I1207="SBJ"),AND(J1207=1,I1207=0)),"?IN_FOCUS",IF(J1207&lt;=2,"?ACTIVATED",IF(J1207&lt;&gt;"","?FAMILIAR",IF(F1207="NEW",IF(ISNA(VLOOKUP(E1207,#REF!,1,FALSE())),"?TYPE_IDENTIFIABLE","?REFERENTIAL"),"_")))))</f>
        <v/>
      </c>
      <c r="H1207" s="13" t="str">
        <f aca="false">IF(J1207&lt;&gt;1,"",IF(I1207="SBJ","CB","?"))</f>
        <v/>
      </c>
      <c r="I1207" s="14" t="str">
        <f aca="false">IF(OR(E1207="",E1207="!!!",F1207="NEW"),"",INDEX(B$2:B1206,-1+SUMPRODUCT(MAX(ROW(E$2:E1206)*(E1207=E$2:E1206)))))</f>
        <v/>
      </c>
      <c r="J1207" s="15" t="str">
        <f aca="true">IF(OR(E1207="",E1207="!!!",F1207="NEW"),"",COUNTBLANK(OFFSET(A$1,,,SUMPRODUCT(MAX(ROW(E$2:E1207)*(E1207=E$2:E1207)))))-COUNTBLANK(OFFSET(A$1,,,SUMPRODUCT(MAX(ROW(E$1:E1206)*(E1207=E$1:E1206))))))</f>
        <v/>
      </c>
      <c r="K1207" s="15" t="str">
        <f aca="false">IF(OR(E1207="",E1207="!!!",F1207="NEW"),"",INDEX(J$1:J1206,SUMPRODUCT(MAX(ROW(E$1:E1206)*(E1207=E$1:E1206)))))</f>
        <v/>
      </c>
      <c r="L1207" s="16"/>
    </row>
    <row r="1208" customFormat="false" ht="12.75" hidden="false" customHeight="false" outlineLevel="0" collapsed="false">
      <c r="A1208" s="9" t="s">
        <v>63</v>
      </c>
      <c r="B1208" s="0" t="s">
        <v>43</v>
      </c>
      <c r="C1208" s="0" t="s">
        <v>47</v>
      </c>
      <c r="D1208" s="0" t="s">
        <v>27</v>
      </c>
      <c r="E1208" s="10" t="s">
        <v>64</v>
      </c>
      <c r="F1208" s="11" t="str">
        <f aca="false">IF(OR(E1208="",E1208="!!!"),"",IF(NOT(ISNA(VLOOKUP(E1208,E$1:E1207,1,FALSE()))),"OLD",IF(AND(E1208&lt;&gt;"",E1208&lt;&gt;"!!!"),"NEW","")))</f>
        <v>OLD</v>
      </c>
      <c r="G1208" s="12" t="s">
        <v>72</v>
      </c>
      <c r="H1208" s="13" t="str">
        <f aca="false">IF(J1208&lt;&gt;1,"",IF(I1208="SBJ","CB","?"))</f>
        <v/>
      </c>
      <c r="I1208" s="14" t="str">
        <f aca="false">IF(OR(E1208="",E1208="!!!",F1208="NEW"),"",INDEX(B$2:B1207,-1+SUMPRODUCT(MAX(ROW(E$2:E1207)*(E1208=E$2:E1207)))))</f>
        <v>OBJ_2</v>
      </c>
      <c r="J1208" s="15" t="n">
        <f aca="true">IF(OR(E1208="",E1208="!!!",F1208="NEW"),"",COUNTBLANK(OFFSET(A$1,,,SUMPRODUCT(MAX(ROW(E$2:E1208)*(E1208=E$2:E1208)))))-COUNTBLANK(OFFSET(A$1,,,SUMPRODUCT(MAX(ROW(E$1:E1207)*(E1208=E$1:E1207))))))</f>
        <v>4</v>
      </c>
      <c r="K1208" s="15" t="n">
        <f aca="false">IF(OR(E1208="",E1208="!!!",F1208="NEW"),"",INDEX(J$1:J1207,SUMPRODUCT(MAX(ROW(E$1:E1207)*(E1208=E$1:E1207)))))</f>
        <v>0</v>
      </c>
      <c r="L1208" s="16"/>
    </row>
    <row r="1209" customFormat="false" ht="12.75" hidden="false" customHeight="false" outlineLevel="0" collapsed="false">
      <c r="A1209" s="9" t="s">
        <v>22</v>
      </c>
      <c r="E1209" s="10" t="str">
        <f aca="false">IF(D1209="?OLD","!!!","")</f>
        <v/>
      </c>
      <c r="F1209" s="11" t="str">
        <f aca="false">IF(OR(E1209="",E1209="!!!"),"",IF(NOT(ISNA(VLOOKUP(E1209,E$1:E1208,1,FALSE()))),"OLD",IF(AND(E1209&lt;&gt;"",E1209&lt;&gt;"!!!"),"NEW","")))</f>
        <v/>
      </c>
      <c r="G1209" s="12" t="str">
        <f aca="false">IF(OR(E1209="",E1209="!!!"),"",IF(OR(J1209=0,AND(J1209=1,K1209=1),AND(J1209=1,I1209="SBJ"),AND(J1209=1,I1209=0)),"?IN_FOCUS",IF(J1209&lt;=2,"?ACTIVATED",IF(J1209&lt;&gt;"","?FAMILIAR",IF(F1209="NEW",IF(ISNA(VLOOKUP(E1209,#REF!,1,FALSE())),"?TYPE_IDENTIFIABLE","?REFERENTIAL"),"_")))))</f>
        <v/>
      </c>
      <c r="H1209" s="13" t="str">
        <f aca="false">IF(J1209&lt;&gt;1,"",IF(I1209="SBJ","CB","?"))</f>
        <v/>
      </c>
      <c r="I1209" s="14" t="str">
        <f aca="false">IF(OR(E1209="",E1209="!!!",F1209="NEW"),"",INDEX(B$2:B1208,-1+SUMPRODUCT(MAX(ROW(E$2:E1208)*(E1209=E$2:E1208)))))</f>
        <v/>
      </c>
      <c r="J1209" s="15" t="str">
        <f aca="true">IF(OR(E1209="",E1209="!!!",F1209="NEW"),"",COUNTBLANK(OFFSET(A$1,,,SUMPRODUCT(MAX(ROW(E$2:E1209)*(E1209=E$2:E1209)))))-COUNTBLANK(OFFSET(A$1,,,SUMPRODUCT(MAX(ROW(E$1:E1208)*(E1209=E$1:E1208))))))</f>
        <v/>
      </c>
      <c r="K1209" s="15" t="str">
        <f aca="false">IF(OR(E1209="",E1209="!!!",F1209="NEW"),"",INDEX(J$1:J1208,SUMPRODUCT(MAX(ROW(E$1:E1208)*(E1209=E$1:E1208)))))</f>
        <v/>
      </c>
      <c r="L1209" s="16"/>
    </row>
    <row r="1210" customFormat="false" ht="12.75" hidden="false" customHeight="false" outlineLevel="0" collapsed="false">
      <c r="A1210" s="9" t="s">
        <v>152</v>
      </c>
      <c r="B1210" s="0" t="s">
        <v>17</v>
      </c>
      <c r="C1210" s="0" t="s">
        <v>58</v>
      </c>
      <c r="D1210" s="0" t="s">
        <v>27</v>
      </c>
      <c r="E1210" s="10" t="s">
        <v>406</v>
      </c>
      <c r="F1210" s="11" t="str">
        <f aca="false">IF(OR(E1210="",E1210="!!!"),"",IF(NOT(ISNA(VLOOKUP(E1210,E$1:E1209,1,FALSE()))),"OLD",IF(AND(E1210&lt;&gt;"",E1210&lt;&gt;"!!!"),"NEW","")))</f>
        <v>OLD</v>
      </c>
      <c r="G1210" s="12" t="s">
        <v>51</v>
      </c>
      <c r="H1210" s="13" t="str">
        <f aca="false">IF(J1210&lt;&gt;1,"",IF(I1210="SBJ","CB","?"))</f>
        <v>CB</v>
      </c>
      <c r="I1210" s="14" t="str">
        <f aca="false">IF(OR(E1210="",E1210="!!!",F1210="NEW"),"",INDEX(B$2:B1209,-1+SUMPRODUCT(MAX(ROW(E$2:E1209)*(E1210=E$2:E1209)))))</f>
        <v>SBJ</v>
      </c>
      <c r="J1210" s="15" t="n">
        <f aca="true">IF(OR(E1210="",E1210="!!!",F1210="NEW"),"",COUNTBLANK(OFFSET(A$1,,,SUMPRODUCT(MAX(ROW(E$2:E1210)*(E1210=E$2:E1210)))))-COUNTBLANK(OFFSET(A$1,,,SUMPRODUCT(MAX(ROW(E$1:E1209)*(E1210=E$1:E1209))))))</f>
        <v>1</v>
      </c>
      <c r="K1210" s="15" t="n">
        <f aca="false">IF(OR(E1210="",E1210="!!!",F1210="NEW"),"",INDEX(J$1:J1209,SUMPRODUCT(MAX(ROW(E$1:E1209)*(E1210=E$1:E1209)))))</f>
        <v>1</v>
      </c>
      <c r="L1210" s="16"/>
    </row>
    <row r="1211" customFormat="false" ht="12.75" hidden="false" customHeight="false" outlineLevel="0" collapsed="false">
      <c r="A1211" s="9" t="s">
        <v>505</v>
      </c>
      <c r="E1211" s="10" t="str">
        <f aca="false">IF(D1211="?OLD","!!!","")</f>
        <v/>
      </c>
      <c r="F1211" s="11" t="str">
        <f aca="false">IF(OR(E1211="",E1211="!!!"),"",IF(NOT(ISNA(VLOOKUP(E1211,E$1:E1210,1,FALSE()))),"OLD",IF(AND(E1211&lt;&gt;"",E1211&lt;&gt;"!!!"),"NEW","")))</f>
        <v/>
      </c>
      <c r="G1211" s="12" t="str">
        <f aca="false">IF(OR(E1211="",E1211="!!!"),"",IF(OR(J1211=0,AND(J1211=1,K1211=1),AND(J1211=1,I1211="SBJ"),AND(J1211=1,I1211=0)),"?IN_FOCUS",IF(J1211&lt;=2,"?ACTIVATED",IF(J1211&lt;&gt;"","?FAMILIAR",IF(F1211="NEW",IF(ISNA(VLOOKUP(E1211,#REF!,1,FALSE())),"?TYPE_IDENTIFIABLE","?REFERENTIAL"),"_")))))</f>
        <v/>
      </c>
      <c r="H1211" s="13" t="str">
        <f aca="false">IF(J1211&lt;&gt;1,"",IF(I1211="SBJ","CB","?"))</f>
        <v/>
      </c>
      <c r="I1211" s="14" t="str">
        <f aca="false">IF(OR(E1211="",E1211="!!!",F1211="NEW"),"",INDEX(B$2:B1210,-1+SUMPRODUCT(MAX(ROW(E$2:E1210)*(E1211=E$2:E1210)))))</f>
        <v/>
      </c>
      <c r="J1211" s="15" t="str">
        <f aca="true">IF(OR(E1211="",E1211="!!!",F1211="NEW"),"",COUNTBLANK(OFFSET(A$1,,,SUMPRODUCT(MAX(ROW(E$2:E1211)*(E1211=E$2:E1211)))))-COUNTBLANK(OFFSET(A$1,,,SUMPRODUCT(MAX(ROW(E$1:E1210)*(E1211=E$1:E1210))))))</f>
        <v/>
      </c>
      <c r="K1211" s="15" t="str">
        <f aca="false">IF(OR(E1211="",E1211="!!!",F1211="NEW"),"",INDEX(J$1:J1210,SUMPRODUCT(MAX(ROW(E$1:E1210)*(E1211=E$1:E1210)))))</f>
        <v/>
      </c>
      <c r="L1211" s="16"/>
    </row>
    <row r="1212" customFormat="false" ht="12.75" hidden="false" customHeight="false" outlineLevel="0" collapsed="false">
      <c r="A1212" s="9" t="s">
        <v>237</v>
      </c>
      <c r="B1212" s="0" t="s">
        <v>38</v>
      </c>
      <c r="C1212" s="0" t="s">
        <v>58</v>
      </c>
      <c r="D1212" s="0" t="s">
        <v>27</v>
      </c>
      <c r="E1212" s="10" t="s">
        <v>64</v>
      </c>
      <c r="F1212" s="11" t="str">
        <f aca="false">IF(OR(E1212="",E1212="!!!"),"",IF(NOT(ISNA(VLOOKUP(E1212,E$1:E1211,1,FALSE()))),"OLD",IF(AND(E1212&lt;&gt;"",E1212&lt;&gt;"!!!"),"NEW","")))</f>
        <v>OLD</v>
      </c>
      <c r="G1212" s="12" t="s">
        <v>51</v>
      </c>
      <c r="H1212" s="13" t="str">
        <f aca="false">IF(J1212&lt;&gt;1,"",IF(I1212="SBJ","CB","?"))</f>
        <v/>
      </c>
      <c r="I1212" s="14" t="str">
        <f aca="false">IF(OR(E1212="",E1212="!!!",F1212="NEW"),"",INDEX(B$2:B1211,-1+SUMPRODUCT(MAX(ROW(E$2:E1211)*(E1212=E$2:E1211)))))</f>
        <v>OBJ_2</v>
      </c>
      <c r="J1212" s="15" t="n">
        <f aca="true">IF(OR(E1212="",E1212="!!!",F1212="NEW"),"",COUNTBLANK(OFFSET(A$1,,,SUMPRODUCT(MAX(ROW(E$2:E1212)*(E1212=E$2:E1212)))))-COUNTBLANK(OFFSET(A$1,,,SUMPRODUCT(MAX(ROW(E$1:E1211)*(E1212=E$1:E1211))))))</f>
        <v>0</v>
      </c>
      <c r="K1212" s="15" t="n">
        <f aca="false">IF(OR(E1212="",E1212="!!!",F1212="NEW"),"",INDEX(J$1:J1211,SUMPRODUCT(MAX(ROW(E$1:E1211)*(E1212=E$1:E1211)))))</f>
        <v>4</v>
      </c>
      <c r="L1212" s="16"/>
    </row>
    <row r="1213" customFormat="false" ht="12.75" hidden="false" customHeight="false" outlineLevel="0" collapsed="false">
      <c r="A1213" s="9" t="s">
        <v>39</v>
      </c>
      <c r="E1213" s="10" t="str">
        <f aca="false">IF(D1213="?OLD","!!!","")</f>
        <v/>
      </c>
      <c r="F1213" s="11" t="str">
        <f aca="false">IF(OR(E1213="",E1213="!!!"),"",IF(NOT(ISNA(VLOOKUP(E1213,E$1:E1212,1,FALSE()))),"OLD",IF(AND(E1213&lt;&gt;"",E1213&lt;&gt;"!!!"),"NEW","")))</f>
        <v/>
      </c>
      <c r="G1213" s="12" t="str">
        <f aca="false">IF(OR(E1213="",E1213="!!!"),"",IF(OR(J1213=0,AND(J1213=1,K1213=1),AND(J1213=1,I1213="SBJ"),AND(J1213=1,I1213=0)),"?IN_FOCUS",IF(J1213&lt;=2,"?ACTIVATED",IF(J1213&lt;&gt;"","?FAMILIAR",IF(F1213="NEW",IF(ISNA(VLOOKUP(E1213,#REF!,1,FALSE())),"?TYPE_IDENTIFIABLE","?REFERENTIAL"),"_")))))</f>
        <v/>
      </c>
      <c r="H1213" s="13" t="str">
        <f aca="false">IF(J1213&lt;&gt;1,"",IF(I1213="SBJ","CB","?"))</f>
        <v/>
      </c>
      <c r="I1213" s="14" t="str">
        <f aca="false">IF(OR(E1213="",E1213="!!!",F1213="NEW"),"",INDEX(B$2:B1212,-1+SUMPRODUCT(MAX(ROW(E$2:E1212)*(E1213=E$2:E1212)))))</f>
        <v/>
      </c>
      <c r="J1213" s="15" t="str">
        <f aca="true">IF(OR(E1213="",E1213="!!!",F1213="NEW"),"",COUNTBLANK(OFFSET(A$1,,,SUMPRODUCT(MAX(ROW(E$2:E1213)*(E1213=E$2:E1213)))))-COUNTBLANK(OFFSET(A$1,,,SUMPRODUCT(MAX(ROW(E$1:E1212)*(E1213=E$1:E1212))))))</f>
        <v/>
      </c>
      <c r="K1213" s="15" t="str">
        <f aca="false">IF(OR(E1213="",E1213="!!!",F1213="NEW"),"",INDEX(J$1:J1212,SUMPRODUCT(MAX(ROW(E$1:E1212)*(E1213=E$1:E1212)))))</f>
        <v/>
      </c>
      <c r="L1213" s="16"/>
    </row>
    <row r="1214" customFormat="false" ht="12.75" hidden="false" customHeight="false" outlineLevel="0" collapsed="false">
      <c r="A1214" s="9" t="s">
        <v>440</v>
      </c>
      <c r="E1214" s="10" t="str">
        <f aca="false">IF(D1214="?OLD","!!!","")</f>
        <v/>
      </c>
      <c r="F1214" s="11" t="str">
        <f aca="false">IF(OR(E1214="",E1214="!!!"),"",IF(NOT(ISNA(VLOOKUP(E1214,E$1:E1213,1,FALSE()))),"OLD",IF(AND(E1214&lt;&gt;"",E1214&lt;&gt;"!!!"),"NEW","")))</f>
        <v/>
      </c>
      <c r="G1214" s="12" t="str">
        <f aca="false">IF(OR(E1214="",E1214="!!!"),"",IF(OR(J1214=0,AND(J1214=1,K1214=1),AND(J1214=1,I1214="SBJ"),AND(J1214=1,I1214=0)),"?IN_FOCUS",IF(J1214&lt;=2,"?ACTIVATED",IF(J1214&lt;&gt;"","?FAMILIAR",IF(F1214="NEW",IF(ISNA(VLOOKUP(E1214,#REF!,1,FALSE())),"?TYPE_IDENTIFIABLE","?REFERENTIAL"),"_")))))</f>
        <v/>
      </c>
      <c r="H1214" s="13" t="str">
        <f aca="false">IF(J1214&lt;&gt;1,"",IF(I1214="SBJ","CB","?"))</f>
        <v/>
      </c>
      <c r="I1214" s="14" t="str">
        <f aca="false">IF(OR(E1214="",E1214="!!!",F1214="NEW"),"",INDEX(B$2:B1213,-1+SUMPRODUCT(MAX(ROW(E$2:E1213)*(E1214=E$2:E1213)))))</f>
        <v/>
      </c>
      <c r="J1214" s="15" t="str">
        <f aca="true">IF(OR(E1214="",E1214="!!!",F1214="NEW"),"",COUNTBLANK(OFFSET(A$1,,,SUMPRODUCT(MAX(ROW(E$2:E1214)*(E1214=E$2:E1214)))))-COUNTBLANK(OFFSET(A$1,,,SUMPRODUCT(MAX(ROW(E$1:E1213)*(E1214=E$1:E1213))))))</f>
        <v/>
      </c>
      <c r="K1214" s="15" t="str">
        <f aca="false">IF(OR(E1214="",E1214="!!!",F1214="NEW"),"",INDEX(J$1:J1213,SUMPRODUCT(MAX(ROW(E$1:E1213)*(E1214=E$1:E1213)))))</f>
        <v/>
      </c>
      <c r="L1214" s="16"/>
    </row>
    <row r="1215" customFormat="false" ht="12.75" hidden="false" customHeight="false" outlineLevel="0" collapsed="false">
      <c r="A1215" s="9" t="s">
        <v>237</v>
      </c>
      <c r="B1215" s="0" t="s">
        <v>43</v>
      </c>
      <c r="C1215" s="0" t="s">
        <v>58</v>
      </c>
      <c r="D1215" s="0" t="s">
        <v>27</v>
      </c>
      <c r="E1215" s="10" t="s">
        <v>64</v>
      </c>
      <c r="F1215" s="11" t="str">
        <f aca="false">IF(OR(E1215="",E1215="!!!"),"",IF(NOT(ISNA(VLOOKUP(E1215,E$1:E1214,1,FALSE()))),"OLD",IF(AND(E1215&lt;&gt;"",E1215&lt;&gt;"!!!"),"NEW","")))</f>
        <v>OLD</v>
      </c>
      <c r="G1215" s="12" t="s">
        <v>51</v>
      </c>
      <c r="H1215" s="13" t="str">
        <f aca="false">IF(J1215&lt;&gt;1,"",IF(I1215="SBJ","CB","?"))</f>
        <v/>
      </c>
      <c r="I1215" s="14" t="str">
        <f aca="false">IF(OR(E1215="",E1215="!!!",F1215="NEW"),"",INDEX(B$2:B1214,-1+SUMPRODUCT(MAX(ROW(E$2:E1214)*(E1215=E$2:E1214)))))</f>
        <v>OBJ</v>
      </c>
      <c r="J1215" s="15" t="n">
        <f aca="true">IF(OR(E1215="",E1215="!!!",F1215="NEW"),"",COUNTBLANK(OFFSET(A$1,,,SUMPRODUCT(MAX(ROW(E$2:E1215)*(E1215=E$2:E1215)))))-COUNTBLANK(OFFSET(A$1,,,SUMPRODUCT(MAX(ROW(E$1:E1214)*(E1215=E$1:E1214))))))</f>
        <v>0</v>
      </c>
      <c r="K1215" s="15" t="n">
        <f aca="false">IF(OR(E1215="",E1215="!!!",F1215="NEW"),"",INDEX(J$1:J1214,SUMPRODUCT(MAX(ROW(E$1:E1214)*(E1215=E$1:E1214)))))</f>
        <v>0</v>
      </c>
      <c r="L1215" s="16"/>
    </row>
    <row r="1216" customFormat="false" ht="12.75" hidden="false" customHeight="false" outlineLevel="0" collapsed="false">
      <c r="A1216" s="9" t="s">
        <v>162</v>
      </c>
      <c r="E1216" s="10" t="str">
        <f aca="false">IF(D1216="?OLD","!!!","")</f>
        <v/>
      </c>
      <c r="F1216" s="11" t="str">
        <f aca="false">IF(OR(E1216="",E1216="!!!"),"",IF(NOT(ISNA(VLOOKUP(E1216,E$1:E1215,1,FALSE()))),"OLD",IF(AND(E1216&lt;&gt;"",E1216&lt;&gt;"!!!"),"NEW","")))</f>
        <v/>
      </c>
      <c r="G1216" s="12" t="str">
        <f aca="false">IF(OR(E1216="",E1216="!!!"),"",IF(OR(J1216=0,AND(J1216=1,K1216=1),AND(J1216=1,I1216="SBJ"),AND(J1216=1,I1216=0)),"?IN_FOCUS",IF(J1216&lt;=2,"?ACTIVATED",IF(J1216&lt;&gt;"","?FAMILIAR",IF(F1216="NEW",IF(ISNA(VLOOKUP(E1216,#REF!,1,FALSE())),"?TYPE_IDENTIFIABLE","?REFERENTIAL"),"_")))))</f>
        <v/>
      </c>
      <c r="H1216" s="13" t="str">
        <f aca="false">IF(J1216&lt;&gt;1,"",IF(I1216="SBJ","CB","?"))</f>
        <v/>
      </c>
      <c r="I1216" s="14" t="str">
        <f aca="false">IF(OR(E1216="",E1216="!!!",F1216="NEW"),"",INDEX(B$2:B1215,-1+SUMPRODUCT(MAX(ROW(E$2:E1215)*(E1216=E$2:E1215)))))</f>
        <v/>
      </c>
      <c r="J1216" s="15" t="str">
        <f aca="true">IF(OR(E1216="",E1216="!!!",F1216="NEW"),"",COUNTBLANK(OFFSET(A$1,,,SUMPRODUCT(MAX(ROW(E$2:E1216)*(E1216=E$2:E1216)))))-COUNTBLANK(OFFSET(A$1,,,SUMPRODUCT(MAX(ROW(E$1:E1215)*(E1216=E$1:E1215))))))</f>
        <v/>
      </c>
      <c r="K1216" s="15" t="str">
        <f aca="false">IF(OR(E1216="",E1216="!!!",F1216="NEW"),"",INDEX(J$1:J1215,SUMPRODUCT(MAX(ROW(E$1:E1215)*(E1216=E$1:E1215)))))</f>
        <v/>
      </c>
      <c r="L1216" s="16"/>
    </row>
    <row r="1217" customFormat="false" ht="12.75" hidden="false" customHeight="false" outlineLevel="0" collapsed="false">
      <c r="A1217" s="9" t="s">
        <v>84</v>
      </c>
      <c r="E1217" s="10" t="str">
        <f aca="false">IF(D1217="?OLD","!!!","")</f>
        <v/>
      </c>
      <c r="F1217" s="11" t="str">
        <f aca="false">IF(OR(E1217="",E1217="!!!"),"",IF(NOT(ISNA(VLOOKUP(E1217,E$1:E1216,1,FALSE()))),"OLD",IF(AND(E1217&lt;&gt;"",E1217&lt;&gt;"!!!"),"NEW","")))</f>
        <v/>
      </c>
      <c r="G1217" s="12" t="str">
        <f aca="false">IF(OR(E1217="",E1217="!!!"),"",IF(OR(J1217=0,AND(J1217=1,K1217=1),AND(J1217=1,I1217="SBJ"),AND(J1217=1,I1217=0)),"?IN_FOCUS",IF(J1217&lt;=2,"?ACTIVATED",IF(J1217&lt;&gt;"","?FAMILIAR",IF(F1217="NEW",IF(ISNA(VLOOKUP(E1217,#REF!,1,FALSE())),"?TYPE_IDENTIFIABLE","?REFERENTIAL"),"_")))))</f>
        <v/>
      </c>
      <c r="H1217" s="13" t="str">
        <f aca="false">IF(J1217&lt;&gt;1,"",IF(I1217="SBJ","CB","?"))</f>
        <v/>
      </c>
      <c r="I1217" s="14" t="str">
        <f aca="false">IF(OR(E1217="",E1217="!!!",F1217="NEW"),"",INDEX(B$2:B1216,-1+SUMPRODUCT(MAX(ROW(E$2:E1216)*(E1217=E$2:E1216)))))</f>
        <v/>
      </c>
      <c r="J1217" s="15" t="str">
        <f aca="true">IF(OR(E1217="",E1217="!!!",F1217="NEW"),"",COUNTBLANK(OFFSET(A$1,,,SUMPRODUCT(MAX(ROW(E$2:E1217)*(E1217=E$2:E1217)))))-COUNTBLANK(OFFSET(A$1,,,SUMPRODUCT(MAX(ROW(E$1:E1216)*(E1217=E$1:E1216))))))</f>
        <v/>
      </c>
      <c r="K1217" s="15" t="str">
        <f aca="false">IF(OR(E1217="",E1217="!!!",F1217="NEW"),"",INDEX(J$1:J1216,SUMPRODUCT(MAX(ROW(E$1:E1216)*(E1217=E$1:E1216)))))</f>
        <v/>
      </c>
      <c r="L1217" s="16"/>
    </row>
    <row r="1218" customFormat="false" ht="12.75" hidden="false" customHeight="false" outlineLevel="0" collapsed="false">
      <c r="A1218" s="9" t="s">
        <v>306</v>
      </c>
      <c r="E1218" s="10" t="str">
        <f aca="false">IF(D1218="?OLD","!!!","")</f>
        <v/>
      </c>
      <c r="F1218" s="11" t="str">
        <f aca="false">IF(OR(E1218="",E1218="!!!"),"",IF(NOT(ISNA(VLOOKUP(E1218,E$1:E1217,1,FALSE()))),"OLD",IF(AND(E1218&lt;&gt;"",E1218&lt;&gt;"!!!"),"NEW","")))</f>
        <v/>
      </c>
      <c r="G1218" s="12" t="str">
        <f aca="false">IF(OR(E1218="",E1218="!!!"),"",IF(OR(J1218=0,AND(J1218=1,K1218=1),AND(J1218=1,I1218="SBJ"),AND(J1218=1,I1218=0)),"?IN_FOCUS",IF(J1218&lt;=2,"?ACTIVATED",IF(J1218&lt;&gt;"","?FAMILIAR",IF(F1218="NEW",IF(ISNA(VLOOKUP(E1218,#REF!,1,FALSE())),"?TYPE_IDENTIFIABLE","?REFERENTIAL"),"_")))))</f>
        <v/>
      </c>
      <c r="H1218" s="13" t="str">
        <f aca="false">IF(J1218&lt;&gt;1,"",IF(I1218="SBJ","CB","?"))</f>
        <v/>
      </c>
      <c r="I1218" s="14" t="str">
        <f aca="false">IF(OR(E1218="",E1218="!!!",F1218="NEW"),"",INDEX(B$2:B1217,-1+SUMPRODUCT(MAX(ROW(E$2:E1217)*(E1218=E$2:E1217)))))</f>
        <v/>
      </c>
      <c r="J1218" s="15" t="str">
        <f aca="true">IF(OR(E1218="",E1218="!!!",F1218="NEW"),"",COUNTBLANK(OFFSET(A$1,,,SUMPRODUCT(MAX(ROW(E$2:E1218)*(E1218=E$2:E1218)))))-COUNTBLANK(OFFSET(A$1,,,SUMPRODUCT(MAX(ROW(E$1:E1217)*(E1218=E$1:E1217))))))</f>
        <v/>
      </c>
      <c r="K1218" s="15" t="str">
        <f aca="false">IF(OR(E1218="",E1218="!!!",F1218="NEW"),"",INDEX(J$1:J1217,SUMPRODUCT(MAX(ROW(E$1:E1217)*(E1218=E$1:E1217)))))</f>
        <v/>
      </c>
      <c r="L1218" s="16"/>
    </row>
    <row r="1219" customFormat="false" ht="12.75" hidden="false" customHeight="false" outlineLevel="0" collapsed="false">
      <c r="A1219" s="9" t="s">
        <v>105</v>
      </c>
      <c r="E1219" s="10" t="str">
        <f aca="false">IF(D1219="?OLD","!!!","")</f>
        <v/>
      </c>
      <c r="F1219" s="11" t="str">
        <f aca="false">IF(OR(E1219="",E1219="!!!"),"",IF(NOT(ISNA(VLOOKUP(E1219,E$1:E1218,1,FALSE()))),"OLD",IF(AND(E1219&lt;&gt;"",E1219&lt;&gt;"!!!"),"NEW","")))</f>
        <v/>
      </c>
      <c r="G1219" s="12" t="str">
        <f aca="false">IF(OR(E1219="",E1219="!!!"),"",IF(OR(J1219=0,AND(J1219=1,K1219=1),AND(J1219=1,I1219="SBJ"),AND(J1219=1,I1219=0)),"?IN_FOCUS",IF(J1219&lt;=2,"?ACTIVATED",IF(J1219&lt;&gt;"","?FAMILIAR",IF(F1219="NEW",IF(ISNA(VLOOKUP(E1219,#REF!,1,FALSE())),"?TYPE_IDENTIFIABLE","?REFERENTIAL"),"_")))))</f>
        <v/>
      </c>
      <c r="H1219" s="13" t="str">
        <f aca="false">IF(J1219&lt;&gt;1,"",IF(I1219="SBJ","CB","?"))</f>
        <v/>
      </c>
      <c r="I1219" s="14" t="str">
        <f aca="false">IF(OR(E1219="",E1219="!!!",F1219="NEW"),"",INDEX(B$2:B1218,-1+SUMPRODUCT(MAX(ROW(E$2:E1218)*(E1219=E$2:E1218)))))</f>
        <v/>
      </c>
      <c r="J1219" s="15" t="str">
        <f aca="true">IF(OR(E1219="",E1219="!!!",F1219="NEW"),"",COUNTBLANK(OFFSET(A$1,,,SUMPRODUCT(MAX(ROW(E$2:E1219)*(E1219=E$2:E1219)))))-COUNTBLANK(OFFSET(A$1,,,SUMPRODUCT(MAX(ROW(E$1:E1218)*(E1219=E$1:E1218))))))</f>
        <v/>
      </c>
      <c r="K1219" s="15" t="str">
        <f aca="false">IF(OR(E1219="",E1219="!!!",F1219="NEW"),"",INDEX(J$1:J1218,SUMPRODUCT(MAX(ROW(E$1:E1218)*(E1219=E$1:E1218)))))</f>
        <v/>
      </c>
      <c r="L1219" s="16"/>
    </row>
    <row r="1220" customFormat="false" ht="12.75" hidden="false" customHeight="false" outlineLevel="0" collapsed="false">
      <c r="A1220" s="9" t="s">
        <v>45</v>
      </c>
      <c r="E1220" s="10" t="str">
        <f aca="false">IF(D1220="?OLD","!!!","")</f>
        <v/>
      </c>
      <c r="F1220" s="11" t="str">
        <f aca="false">IF(OR(E1220="",E1220="!!!"),"",IF(NOT(ISNA(VLOOKUP(E1220,E$1:E1219,1,FALSE()))),"OLD",IF(AND(E1220&lt;&gt;"",E1220&lt;&gt;"!!!"),"NEW","")))</f>
        <v/>
      </c>
      <c r="G1220" s="12" t="str">
        <f aca="false">IF(OR(E1220="",E1220="!!!"),"",IF(OR(J1220=0,AND(J1220=1,K1220=1),AND(J1220=1,I1220="SBJ"),AND(J1220=1,I1220=0)),"?IN_FOCUS",IF(J1220&lt;=2,"?ACTIVATED",IF(J1220&lt;&gt;"","?FAMILIAR",IF(F1220="NEW",IF(ISNA(VLOOKUP(E1220,#REF!,1,FALSE())),"?TYPE_IDENTIFIABLE","?REFERENTIAL"),"_")))))</f>
        <v/>
      </c>
      <c r="H1220" s="13" t="str">
        <f aca="false">IF(J1220&lt;&gt;1,"",IF(I1220="SBJ","CB","?"))</f>
        <v/>
      </c>
      <c r="I1220" s="14" t="str">
        <f aca="false">IF(OR(E1220="",E1220="!!!",F1220="NEW"),"",INDEX(B$2:B1219,-1+SUMPRODUCT(MAX(ROW(E$2:E1219)*(E1220=E$2:E1219)))))</f>
        <v/>
      </c>
      <c r="J1220" s="15" t="str">
        <f aca="true">IF(OR(E1220="",E1220="!!!",F1220="NEW"),"",COUNTBLANK(OFFSET(A$1,,,SUMPRODUCT(MAX(ROW(E$2:E1220)*(E1220=E$2:E1220)))))-COUNTBLANK(OFFSET(A$1,,,SUMPRODUCT(MAX(ROW(E$1:E1219)*(E1220=E$1:E1219))))))</f>
        <v/>
      </c>
      <c r="K1220" s="15" t="str">
        <f aca="false">IF(OR(E1220="",E1220="!!!",F1220="NEW"),"",INDEX(J$1:J1219,SUMPRODUCT(MAX(ROW(E$1:E1219)*(E1220=E$1:E1219)))))</f>
        <v/>
      </c>
      <c r="L1220" s="16"/>
    </row>
    <row r="1221" customFormat="false" ht="12.75" hidden="false" customHeight="false" outlineLevel="0" collapsed="false">
      <c r="A1221" s="9" t="s">
        <v>385</v>
      </c>
      <c r="B1221" s="0" t="s">
        <v>33</v>
      </c>
      <c r="C1221" s="0" t="s">
        <v>34</v>
      </c>
      <c r="D1221" s="0" t="s">
        <v>27</v>
      </c>
      <c r="E1221" s="10" t="s">
        <v>386</v>
      </c>
      <c r="F1221" s="11" t="str">
        <f aca="false">IF(OR(E1221="",E1221="!!!"),"",IF(NOT(ISNA(VLOOKUP(E1221,E$1:E1220,1,FALSE()))),"OLD",IF(AND(E1221&lt;&gt;"",E1221&lt;&gt;"!!!"),"NEW","")))</f>
        <v>OLD</v>
      </c>
      <c r="G1221" s="12" t="s">
        <v>72</v>
      </c>
      <c r="H1221" s="13" t="str">
        <f aca="false">IF(J1221&lt;&gt;1,"",IF(I1221="SBJ","CB","?"))</f>
        <v/>
      </c>
      <c r="I1221" s="14" t="str">
        <f aca="false">IF(OR(E1221="",E1221="!!!",F1221="NEW"),"",INDEX(B$2:B1220,-1+SUMPRODUCT(MAX(ROW(E$2:E1220)*(E1221=E$2:E1220)))))</f>
        <v>OBJ</v>
      </c>
      <c r="J1221" s="15" t="n">
        <f aca="true">IF(OR(E1221="",E1221="!!!",F1221="NEW"),"",COUNTBLANK(OFFSET(A$1,,,SUMPRODUCT(MAX(ROW(E$2:E1221)*(E1221=E$2:E1221)))))-COUNTBLANK(OFFSET(A$1,,,SUMPRODUCT(MAX(ROW(E$1:E1220)*(E1221=E$1:E1220))))))</f>
        <v>13</v>
      </c>
      <c r="K1221" s="15" t="n">
        <f aca="false">IF(OR(E1221="",E1221="!!!",F1221="NEW"),"",INDEX(J$1:J1220,SUMPRODUCT(MAX(ROW(E$1:E1220)*(E1221=E$1:E1220)))))</f>
        <v>1</v>
      </c>
      <c r="L1221" s="16"/>
    </row>
    <row r="1222" customFormat="false" ht="12.75" hidden="false" customHeight="false" outlineLevel="0" collapsed="false">
      <c r="A1222" s="9" t="s">
        <v>44</v>
      </c>
      <c r="E1222" s="10" t="str">
        <f aca="false">IF(D1222="?OLD","!!!","")</f>
        <v/>
      </c>
      <c r="F1222" s="11" t="str">
        <f aca="false">IF(OR(E1222="",E1222="!!!"),"",IF(NOT(ISNA(VLOOKUP(E1222,E$1:E1221,1,FALSE()))),"OLD",IF(AND(E1222&lt;&gt;"",E1222&lt;&gt;"!!!"),"NEW","")))</f>
        <v/>
      </c>
      <c r="G1222" s="12" t="str">
        <f aca="false">IF(OR(E1222="",E1222="!!!"),"",IF(OR(J1222=0,AND(J1222=1,K1222=1),AND(J1222=1,I1222="SBJ"),AND(J1222=1,I1222=0)),"?IN_FOCUS",IF(J1222&lt;=2,"?ACTIVATED",IF(J1222&lt;&gt;"","?FAMILIAR",IF(F1222="NEW",IF(ISNA(VLOOKUP(E1222,#REF!,1,FALSE())),"?TYPE_IDENTIFIABLE","?REFERENTIAL"),"_")))))</f>
        <v/>
      </c>
      <c r="H1222" s="13" t="str">
        <f aca="false">IF(J1222&lt;&gt;1,"",IF(I1222="SBJ","CB","?"))</f>
        <v/>
      </c>
      <c r="I1222" s="14" t="str">
        <f aca="false">IF(OR(E1222="",E1222="!!!",F1222="NEW"),"",INDEX(B$2:B1221,-1+SUMPRODUCT(MAX(ROW(E$2:E1221)*(E1222=E$2:E1221)))))</f>
        <v/>
      </c>
      <c r="J1222" s="15" t="str">
        <f aca="true">IF(OR(E1222="",E1222="!!!",F1222="NEW"),"",COUNTBLANK(OFFSET(A$1,,,SUMPRODUCT(MAX(ROW(E$2:E1222)*(E1222=E$2:E1222)))))-COUNTBLANK(OFFSET(A$1,,,SUMPRODUCT(MAX(ROW(E$1:E1221)*(E1222=E$1:E1221))))))</f>
        <v/>
      </c>
      <c r="K1222" s="15" t="str">
        <f aca="false">IF(OR(E1222="",E1222="!!!",F1222="NEW"),"",INDEX(J$1:J1221,SUMPRODUCT(MAX(ROW(E$1:E1221)*(E1222=E$1:E1221)))))</f>
        <v/>
      </c>
      <c r="L1222" s="16"/>
    </row>
    <row r="1223" customFormat="false" ht="12.75" hidden="false" customHeight="false" outlineLevel="0" collapsed="false">
      <c r="A1223" s="9" t="s">
        <v>386</v>
      </c>
      <c r="B1223" s="0" t="s">
        <v>30</v>
      </c>
      <c r="C1223" s="0" t="s">
        <v>26</v>
      </c>
      <c r="D1223" s="0" t="s">
        <v>27</v>
      </c>
      <c r="E1223" s="10" t="s">
        <v>386</v>
      </c>
      <c r="F1223" s="11" t="str">
        <f aca="false">IF(OR(E1223="",E1223="!!!"),"",IF(NOT(ISNA(VLOOKUP(E1223,E$1:E1222,1,FALSE()))),"OLD",IF(AND(E1223&lt;&gt;"",E1223&lt;&gt;"!!!"),"NEW","")))</f>
        <v>OLD</v>
      </c>
      <c r="G1223" s="12" t="s">
        <v>72</v>
      </c>
      <c r="H1223" s="13" t="str">
        <f aca="false">IF(J1223&lt;&gt;1,"",IF(I1223="SBJ","CB","?"))</f>
        <v/>
      </c>
      <c r="I1223" s="14" t="str">
        <f aca="false">IF(OR(E1223="",E1223="!!!",F1223="NEW"),"",INDEX(B$2:B1222,-1+SUMPRODUCT(MAX(ROW(E$2:E1222)*(E1223=E$2:E1222)))))</f>
        <v>other_3</v>
      </c>
      <c r="J1223" s="15" t="n">
        <f aca="true">IF(OR(E1223="",E1223="!!!",F1223="NEW"),"",COUNTBLANK(OFFSET(A$1,,,SUMPRODUCT(MAX(ROW(E$2:E1223)*(E1223=E$2:E1223)))))-COUNTBLANK(OFFSET(A$1,,,SUMPRODUCT(MAX(ROW(E$1:E1222)*(E1223=E$1:E1222))))))</f>
        <v>0</v>
      </c>
      <c r="K1223" s="15" t="n">
        <f aca="false">IF(OR(E1223="",E1223="!!!",F1223="NEW"),"",INDEX(J$1:J1222,SUMPRODUCT(MAX(ROW(E$1:E1222)*(E1223=E$1:E1222)))))</f>
        <v>13</v>
      </c>
      <c r="L1223" s="16"/>
    </row>
    <row r="1224" customFormat="false" ht="12.75" hidden="false" customHeight="false" outlineLevel="0" collapsed="false">
      <c r="A1224" s="9" t="s">
        <v>22</v>
      </c>
      <c r="E1224" s="10" t="str">
        <f aca="false">IF(D1224="?OLD","!!!","")</f>
        <v/>
      </c>
      <c r="F1224" s="11" t="str">
        <f aca="false">IF(OR(E1224="",E1224="!!!"),"",IF(NOT(ISNA(VLOOKUP(E1224,E$1:E1223,1,FALSE()))),"OLD",IF(AND(E1224&lt;&gt;"",E1224&lt;&gt;"!!!"),"NEW","")))</f>
        <v/>
      </c>
      <c r="G1224" s="12" t="str">
        <f aca="false">IF(OR(E1224="",E1224="!!!"),"",IF(OR(J1224=0,AND(J1224=1,K1224=1),AND(J1224=1,I1224="SBJ"),AND(J1224=1,I1224=0)),"?IN_FOCUS",IF(J1224&lt;=2,"?ACTIVATED",IF(J1224&lt;&gt;"","?FAMILIAR",IF(F1224="NEW",IF(ISNA(VLOOKUP(E1224,#REF!,1,FALSE())),"?TYPE_IDENTIFIABLE","?REFERENTIAL"),"_")))))</f>
        <v/>
      </c>
      <c r="H1224" s="13" t="str">
        <f aca="false">IF(J1224&lt;&gt;1,"",IF(I1224="SBJ","CB","?"))</f>
        <v/>
      </c>
      <c r="I1224" s="14" t="str">
        <f aca="false">IF(OR(E1224="",E1224="!!!",F1224="NEW"),"",INDEX(B$2:B1223,-1+SUMPRODUCT(MAX(ROW(E$2:E1223)*(E1224=E$2:E1223)))))</f>
        <v/>
      </c>
      <c r="J1224" s="15" t="str">
        <f aca="true">IF(OR(E1224="",E1224="!!!",F1224="NEW"),"",COUNTBLANK(OFFSET(A$1,,,SUMPRODUCT(MAX(ROW(E$2:E1224)*(E1224=E$2:E1224)))))-COUNTBLANK(OFFSET(A$1,,,SUMPRODUCT(MAX(ROW(E$1:E1223)*(E1224=E$1:E1223))))))</f>
        <v/>
      </c>
      <c r="K1224" s="15" t="str">
        <f aca="false">IF(OR(E1224="",E1224="!!!",F1224="NEW"),"",INDEX(J$1:J1223,SUMPRODUCT(MAX(ROW(E$1:E1223)*(E1224=E$1:E1223)))))</f>
        <v/>
      </c>
      <c r="L1224" s="16"/>
    </row>
    <row r="1225" customFormat="false" ht="12.75" hidden="false" customHeight="false" outlineLevel="0" collapsed="false">
      <c r="A1225" s="9" t="s">
        <v>39</v>
      </c>
      <c r="E1225" s="10" t="str">
        <f aca="false">IF(D1225="?OLD","!!!","")</f>
        <v/>
      </c>
      <c r="F1225" s="11" t="str">
        <f aca="false">IF(OR(E1225="",E1225="!!!"),"",IF(NOT(ISNA(VLOOKUP(E1225,E$1:E1224,1,FALSE()))),"OLD",IF(AND(E1225&lt;&gt;"",E1225&lt;&gt;"!!!"),"NEW","")))</f>
        <v/>
      </c>
      <c r="G1225" s="12" t="str">
        <f aca="false">IF(OR(E1225="",E1225="!!!"),"",IF(OR(J1225=0,AND(J1225=1,K1225=1),AND(J1225=1,I1225="SBJ"),AND(J1225=1,I1225=0)),"?IN_FOCUS",IF(J1225&lt;=2,"?ACTIVATED",IF(J1225&lt;&gt;"","?FAMILIAR",IF(F1225="NEW",IF(ISNA(VLOOKUP(E1225,#REF!,1,FALSE())),"?TYPE_IDENTIFIABLE","?REFERENTIAL"),"_")))))</f>
        <v/>
      </c>
      <c r="H1225" s="13" t="str">
        <f aca="false">IF(J1225&lt;&gt;1,"",IF(I1225="SBJ","CB","?"))</f>
        <v/>
      </c>
      <c r="I1225" s="14" t="str">
        <f aca="false">IF(OR(E1225="",E1225="!!!",F1225="NEW"),"",INDEX(B$2:B1224,-1+SUMPRODUCT(MAX(ROW(E$2:E1224)*(E1225=E$2:E1224)))))</f>
        <v/>
      </c>
      <c r="J1225" s="15" t="str">
        <f aca="true">IF(OR(E1225="",E1225="!!!",F1225="NEW"),"",COUNTBLANK(OFFSET(A$1,,,SUMPRODUCT(MAX(ROW(E$2:E1225)*(E1225=E$2:E1225)))))-COUNTBLANK(OFFSET(A$1,,,SUMPRODUCT(MAX(ROW(E$1:E1224)*(E1225=E$1:E1224))))))</f>
        <v/>
      </c>
      <c r="K1225" s="15" t="str">
        <f aca="false">IF(OR(E1225="",E1225="!!!",F1225="NEW"),"",INDEX(J$1:J1224,SUMPRODUCT(MAX(ROW(E$1:E1224)*(E1225=E$1:E1224)))))</f>
        <v/>
      </c>
      <c r="L1225" s="16"/>
    </row>
    <row r="1226" customFormat="false" ht="12.75" hidden="false" customHeight="false" outlineLevel="0" collapsed="false">
      <c r="A1226" s="9" t="s">
        <v>506</v>
      </c>
      <c r="E1226" s="10" t="str">
        <f aca="false">IF(D1226="?OLD","!!!","")</f>
        <v/>
      </c>
      <c r="F1226" s="11" t="str">
        <f aca="false">IF(OR(E1226="",E1226="!!!"),"",IF(NOT(ISNA(VLOOKUP(E1226,E$1:E1225,1,FALSE()))),"OLD",IF(AND(E1226&lt;&gt;"",E1226&lt;&gt;"!!!"),"NEW","")))</f>
        <v/>
      </c>
      <c r="G1226" s="12" t="str">
        <f aca="false">IF(OR(E1226="",E1226="!!!"),"",IF(OR(J1226=0,AND(J1226=1,K1226=1),AND(J1226=1,I1226="SBJ"),AND(J1226=1,I1226=0)),"?IN_FOCUS",IF(J1226&lt;=2,"?ACTIVATED",IF(J1226&lt;&gt;"","?FAMILIAR",IF(F1226="NEW",IF(ISNA(VLOOKUP(E1226,#REF!,1,FALSE())),"?TYPE_IDENTIFIABLE","?REFERENTIAL"),"_")))))</f>
        <v/>
      </c>
      <c r="H1226" s="13" t="str">
        <f aca="false">IF(J1226&lt;&gt;1,"",IF(I1226="SBJ","CB","?"))</f>
        <v/>
      </c>
      <c r="I1226" s="14" t="str">
        <f aca="false">IF(OR(E1226="",E1226="!!!",F1226="NEW"),"",INDEX(B$2:B1225,-1+SUMPRODUCT(MAX(ROW(E$2:E1225)*(E1226=E$2:E1225)))))</f>
        <v/>
      </c>
      <c r="J1226" s="15" t="str">
        <f aca="true">IF(OR(E1226="",E1226="!!!",F1226="NEW"),"",COUNTBLANK(OFFSET(A$1,,,SUMPRODUCT(MAX(ROW(E$2:E1226)*(E1226=E$2:E1226)))))-COUNTBLANK(OFFSET(A$1,,,SUMPRODUCT(MAX(ROW(E$1:E1225)*(E1226=E$1:E1225))))))</f>
        <v/>
      </c>
      <c r="K1226" s="15" t="str">
        <f aca="false">IF(OR(E1226="",E1226="!!!",F1226="NEW"),"",INDEX(J$1:J1225,SUMPRODUCT(MAX(ROW(E$1:E1225)*(E1226=E$1:E1225)))))</f>
        <v/>
      </c>
      <c r="L1226" s="16"/>
    </row>
    <row r="1227" customFormat="false" ht="12.75" hidden="false" customHeight="false" outlineLevel="0" collapsed="false">
      <c r="A1227" s="9" t="s">
        <v>237</v>
      </c>
      <c r="B1227" s="0" t="s">
        <v>43</v>
      </c>
      <c r="C1227" s="0" t="s">
        <v>58</v>
      </c>
      <c r="D1227" s="0" t="s">
        <v>27</v>
      </c>
      <c r="E1227" s="10" t="s">
        <v>64</v>
      </c>
      <c r="F1227" s="11" t="str">
        <f aca="false">IF(OR(E1227="",E1227="!!!"),"",IF(NOT(ISNA(VLOOKUP(E1227,E$1:E1226,1,FALSE()))),"OLD",IF(AND(E1227&lt;&gt;"",E1227&lt;&gt;"!!!"),"NEW","")))</f>
        <v>OLD</v>
      </c>
      <c r="G1227" s="12" t="s">
        <v>51</v>
      </c>
      <c r="H1227" s="13" t="str">
        <f aca="false">IF(J1227&lt;&gt;1,"",IF(I1227="SBJ","CB","?"))</f>
        <v/>
      </c>
      <c r="I1227" s="14" t="str">
        <f aca="false">IF(OR(E1227="",E1227="!!!",F1227="NEW"),"",INDEX(B$2:B1226,-1+SUMPRODUCT(MAX(ROW(E$2:E1226)*(E1227=E$2:E1226)))))</f>
        <v>OBJ_2</v>
      </c>
      <c r="J1227" s="15" t="n">
        <f aca="true">IF(OR(E1227="",E1227="!!!",F1227="NEW"),"",COUNTBLANK(OFFSET(A$1,,,SUMPRODUCT(MAX(ROW(E$2:E1227)*(E1227=E$2:E1227)))))-COUNTBLANK(OFFSET(A$1,,,SUMPRODUCT(MAX(ROW(E$1:E1226)*(E1227=E$1:E1226))))))</f>
        <v>0</v>
      </c>
      <c r="K1227" s="15" t="n">
        <f aca="false">IF(OR(E1227="",E1227="!!!",F1227="NEW"),"",INDEX(J$1:J1226,SUMPRODUCT(MAX(ROW(E$1:E1226)*(E1227=E$1:E1226)))))</f>
        <v>0</v>
      </c>
      <c r="L1227" s="16"/>
    </row>
    <row r="1228" customFormat="false" ht="12.75" hidden="false" customHeight="false" outlineLevel="0" collapsed="false">
      <c r="A1228" s="9" t="s">
        <v>507</v>
      </c>
      <c r="E1228" s="10" t="str">
        <f aca="false">IF(D1228="?OLD","!!!","")</f>
        <v/>
      </c>
      <c r="F1228" s="11" t="str">
        <f aca="false">IF(OR(E1228="",E1228="!!!"),"",IF(NOT(ISNA(VLOOKUP(E1228,E$1:E1227,1,FALSE()))),"OLD",IF(AND(E1228&lt;&gt;"",E1228&lt;&gt;"!!!"),"NEW","")))</f>
        <v/>
      </c>
      <c r="G1228" s="12" t="str">
        <f aca="false">IF(OR(E1228="",E1228="!!!"),"",IF(OR(J1228=0,AND(J1228=1,K1228=1),AND(J1228=1,I1228="SBJ"),AND(J1228=1,I1228=0)),"?IN_FOCUS",IF(J1228&lt;=2,"?ACTIVATED",IF(J1228&lt;&gt;"","?FAMILIAR",IF(F1228="NEW",IF(ISNA(VLOOKUP(E1228,#REF!,1,FALSE())),"?TYPE_IDENTIFIABLE","?REFERENTIAL"),"_")))))</f>
        <v/>
      </c>
      <c r="H1228" s="13" t="str">
        <f aca="false">IF(J1228&lt;&gt;1,"",IF(I1228="SBJ","CB","?"))</f>
        <v/>
      </c>
      <c r="I1228" s="14" t="str">
        <f aca="false">IF(OR(E1228="",E1228="!!!",F1228="NEW"),"",INDEX(B$2:B1227,-1+SUMPRODUCT(MAX(ROW(E$2:E1227)*(E1228=E$2:E1227)))))</f>
        <v/>
      </c>
      <c r="J1228" s="15" t="str">
        <f aca="true">IF(OR(E1228="",E1228="!!!",F1228="NEW"),"",COUNTBLANK(OFFSET(A$1,,,SUMPRODUCT(MAX(ROW(E$2:E1228)*(E1228=E$2:E1228)))))-COUNTBLANK(OFFSET(A$1,,,SUMPRODUCT(MAX(ROW(E$1:E1227)*(E1228=E$1:E1227))))))</f>
        <v/>
      </c>
      <c r="K1228" s="15" t="str">
        <f aca="false">IF(OR(E1228="",E1228="!!!",F1228="NEW"),"",INDEX(J$1:J1227,SUMPRODUCT(MAX(ROW(E$1:E1227)*(E1228=E$1:E1227)))))</f>
        <v/>
      </c>
      <c r="L1228" s="16"/>
    </row>
    <row r="1229" customFormat="false" ht="12.75" hidden="false" customHeight="false" outlineLevel="0" collapsed="false">
      <c r="A1229" s="9" t="s">
        <v>68</v>
      </c>
      <c r="E1229" s="10" t="str">
        <f aca="false">IF(D1229="?OLD","!!!","")</f>
        <v/>
      </c>
      <c r="F1229" s="11" t="str">
        <f aca="false">IF(OR(E1229="",E1229="!!!"),"",IF(NOT(ISNA(VLOOKUP(E1229,E$1:E1228,1,FALSE()))),"OLD",IF(AND(E1229&lt;&gt;"",E1229&lt;&gt;"!!!"),"NEW","")))</f>
        <v/>
      </c>
      <c r="G1229" s="12" t="str">
        <f aca="false">IF(OR(E1229="",E1229="!!!"),"",IF(OR(J1229=0,AND(J1229=1,K1229=1),AND(J1229=1,I1229="SBJ"),AND(J1229=1,I1229=0)),"?IN_FOCUS",IF(J1229&lt;=2,"?ACTIVATED",IF(J1229&lt;&gt;"","?FAMILIAR",IF(F1229="NEW",IF(ISNA(VLOOKUP(E1229,#REF!,1,FALSE())),"?TYPE_IDENTIFIABLE","?REFERENTIAL"),"_")))))</f>
        <v/>
      </c>
      <c r="H1229" s="13" t="str">
        <f aca="false">IF(J1229&lt;&gt;1,"",IF(I1229="SBJ","CB","?"))</f>
        <v/>
      </c>
      <c r="I1229" s="14" t="str">
        <f aca="false">IF(OR(E1229="",E1229="!!!",F1229="NEW"),"",INDEX(B$2:B1228,-1+SUMPRODUCT(MAX(ROW(E$2:E1228)*(E1229=E$2:E1228)))))</f>
        <v/>
      </c>
      <c r="J1229" s="15" t="str">
        <f aca="true">IF(OR(E1229="",E1229="!!!",F1229="NEW"),"",COUNTBLANK(OFFSET(A$1,,,SUMPRODUCT(MAX(ROW(E$2:E1229)*(E1229=E$2:E1229)))))-COUNTBLANK(OFFSET(A$1,,,SUMPRODUCT(MAX(ROW(E$1:E1228)*(E1229=E$1:E1228))))))</f>
        <v/>
      </c>
      <c r="K1229" s="15" t="str">
        <f aca="false">IF(OR(E1229="",E1229="!!!",F1229="NEW"),"",INDEX(J$1:J1228,SUMPRODUCT(MAX(ROW(E$1:E1228)*(E1229=E$1:E1228)))))</f>
        <v/>
      </c>
      <c r="L1229" s="16"/>
    </row>
    <row r="1230" customFormat="false" ht="12.75" hidden="false" customHeight="false" outlineLevel="0" collapsed="false">
      <c r="E1230" s="10" t="str">
        <f aca="false">IF(D1230="?OLD","!!!","")</f>
        <v/>
      </c>
      <c r="F1230" s="11" t="str">
        <f aca="false">IF(OR(E1230="",E1230="!!!"),"",IF(NOT(ISNA(VLOOKUP(E1230,E$1:E1229,1,FALSE()))),"OLD",IF(AND(E1230&lt;&gt;"",E1230&lt;&gt;"!!!"),"NEW","")))</f>
        <v/>
      </c>
      <c r="G1230" s="12" t="str">
        <f aca="false">IF(OR(E1230="",E1230="!!!"),"",IF(OR(J1230=0,AND(J1230=1,K1230=1),AND(J1230=1,I1230="SBJ"),AND(J1230=1,I1230=0)),"?IN_FOCUS",IF(J1230&lt;=2,"?ACTIVATED",IF(J1230&lt;&gt;"","?FAMILIAR",IF(F1230="NEW",IF(ISNA(VLOOKUP(E1230,#REF!,1,FALSE())),"?TYPE_IDENTIFIABLE","?REFERENTIAL"),"_")))))</f>
        <v/>
      </c>
      <c r="H1230" s="13" t="str">
        <f aca="false">IF(J1230&lt;&gt;1,"",IF(I1230="SBJ","CB","?"))</f>
        <v/>
      </c>
      <c r="I1230" s="14" t="str">
        <f aca="false">IF(OR(E1230="",E1230="!!!",F1230="NEW"),"",INDEX(B$2:B1229,-1+SUMPRODUCT(MAX(ROW(E$2:E1229)*(E1230=E$2:E1229)))))</f>
        <v/>
      </c>
      <c r="J1230" s="15" t="str">
        <f aca="true">IF(OR(E1230="",E1230="!!!",F1230="NEW"),"",COUNTBLANK(OFFSET(A$1,,,SUMPRODUCT(MAX(ROW(E$2:E1230)*(E1230=E$2:E1230)))))-COUNTBLANK(OFFSET(A$1,,,SUMPRODUCT(MAX(ROW(E$1:E1229)*(E1230=E$1:E1229))))))</f>
        <v/>
      </c>
      <c r="K1230" s="15" t="str">
        <f aca="false">IF(OR(E1230="",E1230="!!!",F1230="NEW"),"",INDEX(J$1:J1229,SUMPRODUCT(MAX(ROW(E$1:E1229)*(E1230=E$1:E1229)))))</f>
        <v/>
      </c>
      <c r="L1230" s="16"/>
    </row>
    <row r="1231" customFormat="false" ht="12.75" hidden="false" customHeight="false" outlineLevel="0" collapsed="false">
      <c r="A1231" s="9" t="s">
        <v>508</v>
      </c>
      <c r="E1231" s="10" t="str">
        <f aca="false">IF(D1231="?OLD","!!!","")</f>
        <v/>
      </c>
      <c r="F1231" s="11" t="str">
        <f aca="false">IF(OR(E1231="",E1231="!!!"),"",IF(NOT(ISNA(VLOOKUP(E1231,E$1:E1230,1,FALSE()))),"OLD",IF(AND(E1231&lt;&gt;"",E1231&lt;&gt;"!!!"),"NEW","")))</f>
        <v/>
      </c>
      <c r="G1231" s="12" t="str">
        <f aca="false">IF(OR(E1231="",E1231="!!!"),"",IF(OR(J1231=0,AND(J1231=1,K1231=1),AND(J1231=1,I1231="SBJ"),AND(J1231=1,I1231=0)),"?IN_FOCUS",IF(J1231&lt;=2,"?ACTIVATED",IF(J1231&lt;&gt;"","?FAMILIAR",IF(F1231="NEW",IF(ISNA(VLOOKUP(E1231,#REF!,1,FALSE())),"?TYPE_IDENTIFIABLE","?REFERENTIAL"),"_")))))</f>
        <v/>
      </c>
      <c r="H1231" s="13" t="str">
        <f aca="false">IF(J1231&lt;&gt;1,"",IF(I1231="SBJ","CB","?"))</f>
        <v/>
      </c>
      <c r="I1231" s="14" t="str">
        <f aca="false">IF(OR(E1231="",E1231="!!!",F1231="NEW"),"",INDEX(B$2:B1230,-1+SUMPRODUCT(MAX(ROW(E$2:E1230)*(E1231=E$2:E1230)))))</f>
        <v/>
      </c>
      <c r="J1231" s="15" t="str">
        <f aca="true">IF(OR(E1231="",E1231="!!!",F1231="NEW"),"",COUNTBLANK(OFFSET(A$1,,,SUMPRODUCT(MAX(ROW(E$2:E1231)*(E1231=E$2:E1231)))))-COUNTBLANK(OFFSET(A$1,,,SUMPRODUCT(MAX(ROW(E$1:E1230)*(E1231=E$1:E1230))))))</f>
        <v/>
      </c>
      <c r="K1231" s="15" t="str">
        <f aca="false">IF(OR(E1231="",E1231="!!!",F1231="NEW"),"",INDEX(J$1:J1230,SUMPRODUCT(MAX(ROW(E$1:E1230)*(E1231=E$1:E1230)))))</f>
        <v/>
      </c>
      <c r="L1231" s="16"/>
    </row>
    <row r="1232" customFormat="false" ht="12.75" hidden="false" customHeight="false" outlineLevel="0" collapsed="false">
      <c r="A1232" s="9" t="s">
        <v>223</v>
      </c>
      <c r="B1232" s="0" t="s">
        <v>17</v>
      </c>
      <c r="C1232" s="0" t="s">
        <v>58</v>
      </c>
      <c r="D1232" s="0" t="s">
        <v>27</v>
      </c>
      <c r="E1232" s="10" t="s">
        <v>64</v>
      </c>
      <c r="F1232" s="11" t="str">
        <f aca="false">IF(OR(E1232="",E1232="!!!"),"",IF(NOT(ISNA(VLOOKUP(E1232,E$1:E1231,1,FALSE()))),"OLD",IF(AND(E1232&lt;&gt;"",E1232&lt;&gt;"!!!"),"NEW","")))</f>
        <v>OLD</v>
      </c>
      <c r="G1232" s="12" t="s">
        <v>49</v>
      </c>
      <c r="H1232" s="13" t="s">
        <v>7</v>
      </c>
      <c r="I1232" s="14" t="str">
        <f aca="false">IF(OR(E1232="",E1232="!!!",F1232="NEW"),"",INDEX(B$2:B1231,-1+SUMPRODUCT(MAX(ROW(E$2:E1231)*(E1232=E$2:E1231)))))</f>
        <v>OBJ_2</v>
      </c>
      <c r="J1232" s="15" t="n">
        <f aca="true">IF(OR(E1232="",E1232="!!!",F1232="NEW"),"",COUNTBLANK(OFFSET(A$1,,,SUMPRODUCT(MAX(ROW(E$2:E1232)*(E1232=E$2:E1232)))))-COUNTBLANK(OFFSET(A$1,,,SUMPRODUCT(MAX(ROW(E$1:E1231)*(E1232=E$1:E1231))))))</f>
        <v>1</v>
      </c>
      <c r="K1232" s="15" t="n">
        <f aca="false">IF(OR(E1232="",E1232="!!!",F1232="NEW"),"",INDEX(J$1:J1231,SUMPRODUCT(MAX(ROW(E$1:E1231)*(E1232=E$1:E1231)))))</f>
        <v>0</v>
      </c>
      <c r="L1232" s="16"/>
    </row>
    <row r="1233" customFormat="false" ht="12.75" hidden="false" customHeight="false" outlineLevel="0" collapsed="false">
      <c r="A1233" s="9" t="s">
        <v>509</v>
      </c>
      <c r="E1233" s="10" t="str">
        <f aca="false">IF(D1233="?OLD","!!!","")</f>
        <v/>
      </c>
      <c r="F1233" s="11" t="str">
        <f aca="false">IF(OR(E1233="",E1233="!!!"),"",IF(NOT(ISNA(VLOOKUP(E1233,E$1:E1232,1,FALSE()))),"OLD",IF(AND(E1233&lt;&gt;"",E1233&lt;&gt;"!!!"),"NEW","")))</f>
        <v/>
      </c>
      <c r="G1233" s="12" t="str">
        <f aca="false">IF(OR(E1233="",E1233="!!!"),"",IF(OR(J1233=0,AND(J1233=1,K1233=1),AND(J1233=1,I1233="SBJ"),AND(J1233=1,I1233=0)),"?IN_FOCUS",IF(J1233&lt;=2,"?ACTIVATED",IF(J1233&lt;&gt;"","?FAMILIAR",IF(F1233="NEW",IF(ISNA(VLOOKUP(E1233,#REF!,1,FALSE())),"?TYPE_IDENTIFIABLE","?REFERENTIAL"),"_")))))</f>
        <v/>
      </c>
      <c r="H1233" s="13" t="str">
        <f aca="false">IF(J1233&lt;&gt;1,"",IF(I1233="SBJ","CB","?"))</f>
        <v/>
      </c>
      <c r="I1233" s="14" t="str">
        <f aca="false">IF(OR(E1233="",E1233="!!!",F1233="NEW"),"",INDEX(B$2:B1232,-1+SUMPRODUCT(MAX(ROW(E$2:E1232)*(E1233=E$2:E1232)))))</f>
        <v/>
      </c>
      <c r="J1233" s="15" t="str">
        <f aca="true">IF(OR(E1233="",E1233="!!!",F1233="NEW"),"",COUNTBLANK(OFFSET(A$1,,,SUMPRODUCT(MAX(ROW(E$2:E1233)*(E1233=E$2:E1233)))))-COUNTBLANK(OFFSET(A$1,,,SUMPRODUCT(MAX(ROW(E$1:E1232)*(E1233=E$1:E1232))))))</f>
        <v/>
      </c>
      <c r="K1233" s="15" t="str">
        <f aca="false">IF(OR(E1233="",E1233="!!!",F1233="NEW"),"",INDEX(J$1:J1232,SUMPRODUCT(MAX(ROW(E$1:E1232)*(E1233=E$1:E1232)))))</f>
        <v/>
      </c>
      <c r="L1233" s="16"/>
    </row>
    <row r="1234" customFormat="false" ht="12.75" hidden="false" customHeight="false" outlineLevel="0" collapsed="false">
      <c r="A1234" s="9" t="s">
        <v>510</v>
      </c>
      <c r="E1234" s="10" t="str">
        <f aca="false">IF(D1234="?OLD","!!!","")</f>
        <v/>
      </c>
      <c r="F1234" s="11" t="str">
        <f aca="false">IF(OR(E1234="",E1234="!!!"),"",IF(NOT(ISNA(VLOOKUP(E1234,E$1:E1233,1,FALSE()))),"OLD",IF(AND(E1234&lt;&gt;"",E1234&lt;&gt;"!!!"),"NEW","")))</f>
        <v/>
      </c>
      <c r="G1234" s="12" t="str">
        <f aca="false">IF(OR(E1234="",E1234="!!!"),"",IF(OR(J1234=0,AND(J1234=1,K1234=1),AND(J1234=1,I1234="SBJ"),AND(J1234=1,I1234=0)),"?IN_FOCUS",IF(J1234&lt;=2,"?ACTIVATED",IF(J1234&lt;&gt;"","?FAMILIAR",IF(F1234="NEW",IF(ISNA(VLOOKUP(E1234,#REF!,1,FALSE())),"?TYPE_IDENTIFIABLE","?REFERENTIAL"),"_")))))</f>
        <v/>
      </c>
      <c r="H1234" s="13" t="str">
        <f aca="false">IF(J1234&lt;&gt;1,"",IF(I1234="SBJ","CB","?"))</f>
        <v/>
      </c>
      <c r="I1234" s="14" t="str">
        <f aca="false">IF(OR(E1234="",E1234="!!!",F1234="NEW"),"",INDEX(B$2:B1233,-1+SUMPRODUCT(MAX(ROW(E$2:E1233)*(E1234=E$2:E1233)))))</f>
        <v/>
      </c>
      <c r="J1234" s="15" t="str">
        <f aca="true">IF(OR(E1234="",E1234="!!!",F1234="NEW"),"",COUNTBLANK(OFFSET(A$1,,,SUMPRODUCT(MAX(ROW(E$2:E1234)*(E1234=E$2:E1234)))))-COUNTBLANK(OFFSET(A$1,,,SUMPRODUCT(MAX(ROW(E$1:E1233)*(E1234=E$1:E1233))))))</f>
        <v/>
      </c>
      <c r="K1234" s="15" t="str">
        <f aca="false">IF(OR(E1234="",E1234="!!!",F1234="NEW"),"",INDEX(J$1:J1233,SUMPRODUCT(MAX(ROW(E$1:E1233)*(E1234=E$1:E1233)))))</f>
        <v/>
      </c>
      <c r="L1234" s="16"/>
    </row>
    <row r="1235" customFormat="false" ht="12.75" hidden="false" customHeight="false" outlineLevel="0" collapsed="false">
      <c r="A1235" s="9" t="s">
        <v>269</v>
      </c>
      <c r="E1235" s="10" t="str">
        <f aca="false">IF(D1235="?OLD","!!!","")</f>
        <v/>
      </c>
      <c r="F1235" s="11" t="str">
        <f aca="false">IF(OR(E1235="",E1235="!!!"),"",IF(NOT(ISNA(VLOOKUP(E1235,E$1:E1234,1,FALSE()))),"OLD",IF(AND(E1235&lt;&gt;"",E1235&lt;&gt;"!!!"),"NEW","")))</f>
        <v/>
      </c>
      <c r="G1235" s="12" t="str">
        <f aca="false">IF(OR(E1235="",E1235="!!!"),"",IF(OR(J1235=0,AND(J1235=1,K1235=1),AND(J1235=1,I1235="SBJ"),AND(J1235=1,I1235=0)),"?IN_FOCUS",IF(J1235&lt;=2,"?ACTIVATED",IF(J1235&lt;&gt;"","?FAMILIAR",IF(F1235="NEW",IF(ISNA(VLOOKUP(E1235,#REF!,1,FALSE())),"?TYPE_IDENTIFIABLE","?REFERENTIAL"),"_")))))</f>
        <v/>
      </c>
      <c r="H1235" s="13" t="str">
        <f aca="false">IF(J1235&lt;&gt;1,"",IF(I1235="SBJ","CB","?"))</f>
        <v/>
      </c>
      <c r="I1235" s="14" t="str">
        <f aca="false">IF(OR(E1235="",E1235="!!!",F1235="NEW"),"",INDEX(B$2:B1234,-1+SUMPRODUCT(MAX(ROW(E$2:E1234)*(E1235=E$2:E1234)))))</f>
        <v/>
      </c>
      <c r="J1235" s="15" t="str">
        <f aca="true">IF(OR(E1235="",E1235="!!!",F1235="NEW"),"",COUNTBLANK(OFFSET(A$1,,,SUMPRODUCT(MAX(ROW(E$2:E1235)*(E1235=E$2:E1235)))))-COUNTBLANK(OFFSET(A$1,,,SUMPRODUCT(MAX(ROW(E$1:E1234)*(E1235=E$1:E1234))))))</f>
        <v/>
      </c>
      <c r="K1235" s="15" t="str">
        <f aca="false">IF(OR(E1235="",E1235="!!!",F1235="NEW"),"",INDEX(J$1:J1234,SUMPRODUCT(MAX(ROW(E$1:E1234)*(E1235=E$1:E1234)))))</f>
        <v/>
      </c>
      <c r="L1235" s="16"/>
    </row>
    <row r="1236" customFormat="false" ht="12.75" hidden="false" customHeight="false" outlineLevel="0" collapsed="false">
      <c r="A1236" s="9" t="s">
        <v>45</v>
      </c>
      <c r="E1236" s="10" t="str">
        <f aca="false">IF(D1236="?OLD","!!!","")</f>
        <v/>
      </c>
      <c r="F1236" s="11" t="str">
        <f aca="false">IF(OR(E1236="",E1236="!!!"),"",IF(NOT(ISNA(VLOOKUP(E1236,E$1:E1235,1,FALSE()))),"OLD",IF(AND(E1236&lt;&gt;"",E1236&lt;&gt;"!!!"),"NEW","")))</f>
        <v/>
      </c>
      <c r="G1236" s="12" t="str">
        <f aca="false">IF(OR(E1236="",E1236="!!!"),"",IF(OR(J1236=0,AND(J1236=1,K1236=1),AND(J1236=1,I1236="SBJ"),AND(J1236=1,I1236=0)),"?IN_FOCUS",IF(J1236&lt;=2,"?ACTIVATED",IF(J1236&lt;&gt;"","?FAMILIAR",IF(F1236="NEW",IF(ISNA(VLOOKUP(E1236,#REF!,1,FALSE())),"?TYPE_IDENTIFIABLE","?REFERENTIAL"),"_")))))</f>
        <v/>
      </c>
      <c r="H1236" s="13" t="str">
        <f aca="false">IF(J1236&lt;&gt;1,"",IF(I1236="SBJ","CB","?"))</f>
        <v/>
      </c>
      <c r="I1236" s="14" t="str">
        <f aca="false">IF(OR(E1236="",E1236="!!!",F1236="NEW"),"",INDEX(B$2:B1235,-1+SUMPRODUCT(MAX(ROW(E$2:E1235)*(E1236=E$2:E1235)))))</f>
        <v/>
      </c>
      <c r="J1236" s="15" t="str">
        <f aca="true">IF(OR(E1236="",E1236="!!!",F1236="NEW"),"",COUNTBLANK(OFFSET(A$1,,,SUMPRODUCT(MAX(ROW(E$2:E1236)*(E1236=E$2:E1236)))))-COUNTBLANK(OFFSET(A$1,,,SUMPRODUCT(MAX(ROW(E$1:E1235)*(E1236=E$1:E1235))))))</f>
        <v/>
      </c>
      <c r="K1236" s="15" t="str">
        <f aca="false">IF(OR(E1236="",E1236="!!!",F1236="NEW"),"",INDEX(J$1:J1235,SUMPRODUCT(MAX(ROW(E$1:E1235)*(E1236=E$1:E1235)))))</f>
        <v/>
      </c>
      <c r="L1236" s="16"/>
    </row>
    <row r="1237" customFormat="false" ht="12.75" hidden="false" customHeight="false" outlineLevel="0" collapsed="false">
      <c r="A1237" s="9" t="s">
        <v>511</v>
      </c>
      <c r="B1237" s="0" t="s">
        <v>75</v>
      </c>
      <c r="C1237" s="0" t="s">
        <v>47</v>
      </c>
      <c r="D1237" s="0" t="s">
        <v>27</v>
      </c>
      <c r="E1237" s="10" t="s">
        <v>512</v>
      </c>
      <c r="F1237" s="11" t="str">
        <f aca="false">IF(OR(E1237="",E1237="!!!"),"",IF(NOT(ISNA(VLOOKUP(E1237,E$1:E1236,1,FALSE()))),"OLD",IF(AND(E1237&lt;&gt;"",E1237&lt;&gt;"!!!"),"NEW","")))</f>
        <v>NEW</v>
      </c>
      <c r="G1237" s="12" t="s">
        <v>72</v>
      </c>
      <c r="H1237" s="13" t="str">
        <f aca="false">IF(J1237&lt;&gt;1,"",IF(I1237="SBJ","CB","?"))</f>
        <v/>
      </c>
      <c r="I1237" s="14" t="str">
        <f aca="false">IF(OR(E1237="",E1237="!!!",F1237="NEW"),"",INDEX(B$2:B1236,-1+SUMPRODUCT(MAX(ROW(E$2:E1236)*(E1237=E$2:E1236)))))</f>
        <v/>
      </c>
      <c r="J1237" s="15" t="str">
        <f aca="true">IF(OR(E1237="",E1237="!!!",F1237="NEW"),"",COUNTBLANK(OFFSET(A$1,,,SUMPRODUCT(MAX(ROW(E$2:E1237)*(E1237=E$2:E1237)))))-COUNTBLANK(OFFSET(A$1,,,SUMPRODUCT(MAX(ROW(E$1:E1236)*(E1237=E$1:E1236))))))</f>
        <v/>
      </c>
      <c r="K1237" s="15" t="str">
        <f aca="false">IF(OR(E1237="",E1237="!!!",F1237="NEW"),"",INDEX(J$1:J1236,SUMPRODUCT(MAX(ROW(E$1:E1236)*(E1237=E$1:E1236)))))</f>
        <v/>
      </c>
      <c r="L1237" s="16"/>
    </row>
    <row r="1238" customFormat="false" ht="12.75" hidden="false" customHeight="false" outlineLevel="0" collapsed="false">
      <c r="A1238" s="9" t="s">
        <v>44</v>
      </c>
      <c r="E1238" s="10" t="str">
        <f aca="false">IF(#REF!="?OLD","!!!","")</f>
        <v/>
      </c>
      <c r="F1238" s="11" t="str">
        <f aca="false">IF(OR(E1238="",E1238="!!!"),"",IF(NOT(ISNA(VLOOKUP(E1238,E$1:E1237,1,FALSE()))),"OLD",IF(AND(E1238&lt;&gt;"",E1238&lt;&gt;"!!!"),"NEW","")))</f>
        <v/>
      </c>
      <c r="G1238" s="12" t="str">
        <f aca="false">IF(OR(E1238="",E1238="!!!"),"",IF(OR(J1238=0,AND(J1238=1,K1238=1),AND(J1238=1,I1238="SBJ"),AND(J1238=1,I1238=0)),"?IN_FOCUS",IF(J1238&lt;=2,"?ACTIVATED",IF(J1238&lt;&gt;"","?FAMILIAR",IF(F1238="NEW",IF(ISNA(VLOOKUP(E1238,#REF!,1,FALSE())),"?TYPE_IDENTIFIABLE","?REFERENTIAL"),"_")))))</f>
        <v/>
      </c>
      <c r="H1238" s="13" t="str">
        <f aca="false">IF(J1238&lt;&gt;1,"",IF(I1238="SBJ","CB","?"))</f>
        <v/>
      </c>
      <c r="I1238" s="14" t="str">
        <f aca="false">IF(OR(E1238="",E1238="!!!",F1238="NEW"),"",INDEX(B$2:B1237,-1+SUMPRODUCT(MAX(ROW(E$2:E1237)*(E1238=E$2:E1237)))))</f>
        <v/>
      </c>
      <c r="J1238" s="15" t="str">
        <f aca="true">IF(OR(E1238="",E1238="!!!",F1238="NEW"),"",COUNTBLANK(OFFSET(A$1,,,SUMPRODUCT(MAX(ROW(E$2:E1238)*(E1238=E$2:E1238)))))-COUNTBLANK(OFFSET(A$1,,,SUMPRODUCT(MAX(ROW(E$1:E1237)*(E1238=E$1:E1237))))))</f>
        <v/>
      </c>
      <c r="K1238" s="15" t="str">
        <f aca="false">IF(OR(E1238="",E1238="!!!",F1238="NEW"),"",INDEX(J$1:J1237,SUMPRODUCT(MAX(ROW(E$1:E1237)*(E1238=E$1:E1237)))))</f>
        <v/>
      </c>
      <c r="L1238" s="16"/>
    </row>
    <row r="1239" customFormat="false" ht="12.75" hidden="false" customHeight="false" outlineLevel="0" collapsed="false">
      <c r="A1239" s="9" t="s">
        <v>45</v>
      </c>
      <c r="E1239" s="10" t="str">
        <f aca="false">IF(#REF!="?OLD","!!!","")</f>
        <v/>
      </c>
      <c r="F1239" s="11" t="str">
        <f aca="false">IF(OR(E1239="",E1239="!!!"),"",IF(NOT(ISNA(VLOOKUP(E1239,E$1:E1238,1,FALSE()))),"OLD",IF(AND(E1239&lt;&gt;"",E1239&lt;&gt;"!!!"),"NEW","")))</f>
        <v/>
      </c>
      <c r="G1239" s="12" t="str">
        <f aca="false">IF(OR(E1239="",E1239="!!!"),"",IF(OR(J1239=0,AND(J1239=1,K1239=1),AND(J1239=1,I1239="SBJ"),AND(J1239=1,I1239=0)),"?IN_FOCUS",IF(J1239&lt;=2,"?ACTIVATED",IF(J1239&lt;&gt;"","?FAMILIAR",IF(F1239="NEW",IF(ISNA(VLOOKUP(E1239,#REF!,1,FALSE())),"?TYPE_IDENTIFIABLE","?REFERENTIAL"),"_")))))</f>
        <v/>
      </c>
      <c r="H1239" s="13" t="str">
        <f aca="false">IF(J1239&lt;&gt;1,"",IF(I1239="SBJ","CB","?"))</f>
        <v/>
      </c>
      <c r="I1239" s="14" t="str">
        <f aca="false">IF(OR(E1239="",E1239="!!!",F1239="NEW"),"",INDEX(B$2:B1238,-1+SUMPRODUCT(MAX(ROW(E$2:E1238)*(E1239=E$2:E1238)))))</f>
        <v/>
      </c>
      <c r="J1239" s="15" t="str">
        <f aca="true">IF(OR(E1239="",E1239="!!!",F1239="NEW"),"",COUNTBLANK(OFFSET(A$1,,,SUMPRODUCT(MAX(ROW(E$2:E1239)*(E1239=E$2:E1239)))))-COUNTBLANK(OFFSET(A$1,,,SUMPRODUCT(MAX(ROW(E$1:E1238)*(E1239=E$1:E1238))))))</f>
        <v/>
      </c>
      <c r="K1239" s="15" t="str">
        <f aca="false">IF(OR(E1239="",E1239="!!!",F1239="NEW"),"",INDEX(J$1:J1238,SUMPRODUCT(MAX(ROW(E$1:E1238)*(E1239=E$1:E1238)))))</f>
        <v/>
      </c>
      <c r="L1239" s="16"/>
    </row>
    <row r="1240" customFormat="false" ht="12.75" hidden="false" customHeight="false" outlineLevel="0" collapsed="false">
      <c r="A1240" s="9" t="s">
        <v>321</v>
      </c>
      <c r="B1240" s="0" t="s">
        <v>25</v>
      </c>
      <c r="C1240" s="0" t="s">
        <v>47</v>
      </c>
      <c r="D1240" s="0" t="s">
        <v>27</v>
      </c>
      <c r="E1240" s="10" t="s">
        <v>322</v>
      </c>
      <c r="F1240" s="11" t="str">
        <f aca="false">IF(OR(E1240="",E1240="!!!"),"",IF(NOT(ISNA(VLOOKUP(E1240,E$1:E1239,1,FALSE()))),"OLD",IF(AND(E1240&lt;&gt;"",E1240&lt;&gt;"!!!"),"NEW","")))</f>
        <v>OLD</v>
      </c>
      <c r="G1240" s="12" t="s">
        <v>72</v>
      </c>
      <c r="H1240" s="13" t="str">
        <f aca="false">IF(J1240&lt;&gt;1,"",IF(I1240="SBJ","CB","?"))</f>
        <v/>
      </c>
      <c r="I1240" s="14" t="str">
        <f aca="false">IF(OR(E1240="",E1240="!!!",F1240="NEW"),"",INDEX(B$2:B1239,-1+SUMPRODUCT(MAX(ROW(E$2:E1239)*(E1240=E$2:E1239)))))</f>
        <v>other</v>
      </c>
      <c r="J1240" s="15" t="n">
        <f aca="true">IF(OR(E1240="",E1240="!!!",F1240="NEW"),"",COUNTBLANK(OFFSET(A$1,,,SUMPRODUCT(MAX(ROW(E$2:E1240)*(E1240=E$2:E1240)))))-COUNTBLANK(OFFSET(A$1,,,SUMPRODUCT(MAX(ROW(E$1:E1239)*(E1240=E$1:E1239))))))</f>
        <v>11</v>
      </c>
      <c r="K1240" s="15" t="n">
        <f aca="false">IF(OR(E1240="",E1240="!!!",F1240="NEW"),"",INDEX(J$1:J1239,SUMPRODUCT(MAX(ROW(E$1:E1239)*(E1240=E$1:E1239)))))</f>
        <v>8</v>
      </c>
      <c r="L1240" s="16"/>
    </row>
    <row r="1241" customFormat="false" ht="12.75" hidden="false" customHeight="false" outlineLevel="0" collapsed="false">
      <c r="A1241" s="9" t="s">
        <v>22</v>
      </c>
      <c r="E1241" s="10" t="str">
        <f aca="false">IF(#REF!="?OLD","!!!","")</f>
        <v/>
      </c>
      <c r="F1241" s="11" t="str">
        <f aca="false">IF(OR(E1241="",E1241="!!!"),"",IF(NOT(ISNA(VLOOKUP(E1241,E$1:E1240,1,FALSE()))),"OLD",IF(AND(E1241&lt;&gt;"",E1241&lt;&gt;"!!!"),"NEW","")))</f>
        <v/>
      </c>
      <c r="G1241" s="12" t="str">
        <f aca="false">IF(OR(E1241="",E1241="!!!"),"",IF(OR(J1241=0,AND(J1241=1,K1241=1),AND(J1241=1,I1241="SBJ"),AND(J1241=1,I1241=0)),"?IN_FOCUS",IF(J1241&lt;=2,"?ACTIVATED",IF(J1241&lt;&gt;"","?FAMILIAR",IF(F1241="NEW",IF(ISNA(VLOOKUP(E1241,#REF!,1,FALSE())),"?TYPE_IDENTIFIABLE","?REFERENTIAL"),"_")))))</f>
        <v/>
      </c>
      <c r="H1241" s="13" t="str">
        <f aca="false">IF(J1241&lt;&gt;1,"",IF(I1241="SBJ","CB","?"))</f>
        <v/>
      </c>
      <c r="I1241" s="14" t="str">
        <f aca="false">IF(OR(E1241="",E1241="!!!",F1241="NEW"),"",INDEX(B$2:B1240,-1+SUMPRODUCT(MAX(ROW(E$2:E1240)*(E1241=E$2:E1240)))))</f>
        <v/>
      </c>
      <c r="J1241" s="15" t="str">
        <f aca="true">IF(OR(E1241="",E1241="!!!",F1241="NEW"),"",COUNTBLANK(OFFSET(A$1,,,SUMPRODUCT(MAX(ROW(E$2:E1241)*(E1241=E$2:E1241)))))-COUNTBLANK(OFFSET(A$1,,,SUMPRODUCT(MAX(ROW(E$1:E1240)*(E1241=E$1:E1240))))))</f>
        <v/>
      </c>
      <c r="K1241" s="15" t="str">
        <f aca="false">IF(OR(E1241="",E1241="!!!",F1241="NEW"),"",INDEX(J$1:J1240,SUMPRODUCT(MAX(ROW(E$1:E1240)*(E1241=E$1:E1240)))))</f>
        <v/>
      </c>
      <c r="L1241" s="16"/>
    </row>
    <row r="1242" customFormat="false" ht="12.75" hidden="false" customHeight="false" outlineLevel="0" collapsed="false">
      <c r="A1242" s="9" t="s">
        <v>513</v>
      </c>
      <c r="E1242" s="10" t="str">
        <f aca="false">IF(#REF!="?OLD","!!!","")</f>
        <v/>
      </c>
      <c r="F1242" s="11" t="str">
        <f aca="false">IF(OR(E1242="",E1242="!!!"),"",IF(NOT(ISNA(VLOOKUP(E1242,E$1:E1241,1,FALSE()))),"OLD",IF(AND(E1242&lt;&gt;"",E1242&lt;&gt;"!!!"),"NEW","")))</f>
        <v/>
      </c>
      <c r="G1242" s="12" t="str">
        <f aca="false">IF(OR(E1242="",E1242="!!!"),"",IF(OR(J1242=0,AND(J1242=1,K1242=1),AND(J1242=1,I1242="SBJ"),AND(J1242=1,I1242=0)),"?IN_FOCUS",IF(J1242&lt;=2,"?ACTIVATED",IF(J1242&lt;&gt;"","?FAMILIAR",IF(F1242="NEW",IF(ISNA(VLOOKUP(E1242,#REF!,1,FALSE())),"?TYPE_IDENTIFIABLE","?REFERENTIAL"),"_")))))</f>
        <v/>
      </c>
      <c r="H1242" s="13" t="str">
        <f aca="false">IF(J1242&lt;&gt;1,"",IF(I1242="SBJ","CB","?"))</f>
        <v/>
      </c>
      <c r="I1242" s="14" t="str">
        <f aca="false">IF(OR(E1242="",E1242="!!!",F1242="NEW"),"",INDEX(B$2:B1241,-1+SUMPRODUCT(MAX(ROW(E$2:E1241)*(E1242=E$2:E1241)))))</f>
        <v/>
      </c>
      <c r="J1242" s="15" t="str">
        <f aca="true">IF(OR(E1242="",E1242="!!!",F1242="NEW"),"",COUNTBLANK(OFFSET(A$1,,,SUMPRODUCT(MAX(ROW(E$2:E1242)*(E1242=E$2:E1242)))))-COUNTBLANK(OFFSET(A$1,,,SUMPRODUCT(MAX(ROW(E$1:E1241)*(E1242=E$1:E1241))))))</f>
        <v/>
      </c>
      <c r="K1242" s="15" t="str">
        <f aca="false">IF(OR(E1242="",E1242="!!!",F1242="NEW"),"",INDEX(J$1:J1241,SUMPRODUCT(MAX(ROW(E$1:E1241)*(E1242=E$1:E1241)))))</f>
        <v/>
      </c>
      <c r="L1242" s="16"/>
    </row>
    <row r="1243" customFormat="false" ht="12.75" hidden="false" customHeight="false" outlineLevel="0" collapsed="false">
      <c r="A1243" s="9" t="s">
        <v>113</v>
      </c>
      <c r="E1243" s="10" t="str">
        <f aca="false">IF(#REF!="?OLD","!!!","")</f>
        <v/>
      </c>
      <c r="F1243" s="11" t="str">
        <f aca="false">IF(OR(E1243="",E1243="!!!"),"",IF(NOT(ISNA(VLOOKUP(E1243,E$1:E1242,1,FALSE()))),"OLD",IF(AND(E1243&lt;&gt;"",E1243&lt;&gt;"!!!"),"NEW","")))</f>
        <v/>
      </c>
      <c r="G1243" s="12" t="str">
        <f aca="false">IF(OR(E1243="",E1243="!!!"),"",IF(OR(J1243=0,AND(J1243=1,K1243=1),AND(J1243=1,I1243="SBJ"),AND(J1243=1,I1243=0)),"?IN_FOCUS",IF(J1243&lt;=2,"?ACTIVATED",IF(J1243&lt;&gt;"","?FAMILIAR",IF(F1243="NEW",IF(ISNA(VLOOKUP(E1243,#REF!,1,FALSE())),"?TYPE_IDENTIFIABLE","?REFERENTIAL"),"_")))))</f>
        <v/>
      </c>
      <c r="H1243" s="13" t="str">
        <f aca="false">IF(J1243&lt;&gt;1,"",IF(I1243="SBJ","CB","?"))</f>
        <v/>
      </c>
      <c r="I1243" s="14" t="str">
        <f aca="false">IF(OR(E1243="",E1243="!!!",F1243="NEW"),"",INDEX(B$2:B1242,-1+SUMPRODUCT(MAX(ROW(E$2:E1242)*(E1243=E$2:E1242)))))</f>
        <v/>
      </c>
      <c r="J1243" s="15" t="str">
        <f aca="true">IF(OR(E1243="",E1243="!!!",F1243="NEW"),"",COUNTBLANK(OFFSET(A$1,,,SUMPRODUCT(MAX(ROW(E$2:E1243)*(E1243=E$2:E1243)))))-COUNTBLANK(OFFSET(A$1,,,SUMPRODUCT(MAX(ROW(E$1:E1242)*(E1243=E$1:E1242))))))</f>
        <v/>
      </c>
      <c r="K1243" s="15" t="str">
        <f aca="false">IF(OR(E1243="",E1243="!!!",F1243="NEW"),"",INDEX(J$1:J1242,SUMPRODUCT(MAX(ROW(E$1:E1242)*(E1243=E$1:E1242)))))</f>
        <v/>
      </c>
      <c r="L1243" s="16"/>
    </row>
    <row r="1244" customFormat="false" ht="12.75" hidden="false" customHeight="false" outlineLevel="0" collapsed="false">
      <c r="A1244" s="9" t="s">
        <v>152</v>
      </c>
      <c r="B1244" s="0" t="s">
        <v>114</v>
      </c>
      <c r="C1244" s="0" t="s">
        <v>58</v>
      </c>
      <c r="D1244" s="0" t="s">
        <v>27</v>
      </c>
      <c r="E1244" s="10" t="s">
        <v>64</v>
      </c>
      <c r="F1244" s="11" t="str">
        <f aca="false">IF(OR(E1244="",E1244="!!!"),"",IF(NOT(ISNA(VLOOKUP(E1244,E$1:E1243,1,FALSE()))),"OLD",IF(AND(E1244&lt;&gt;"",E1244&lt;&gt;"!!!"),"NEW","")))</f>
        <v>OLD</v>
      </c>
      <c r="G1244" s="12" t="s">
        <v>51</v>
      </c>
      <c r="H1244" s="13" t="str">
        <f aca="false">IF(J1244&lt;&gt;1,"",IF(I1244="SBJ","CB","?"))</f>
        <v/>
      </c>
      <c r="I1244" s="14" t="str">
        <f aca="false">IF(OR(E1244="",E1244="!!!",F1244="NEW"),"",INDEX(B$2:B1243,-1+SUMPRODUCT(MAX(ROW(E$2:E1243)*(E1244=E$2:E1243)))))</f>
        <v>SBJ</v>
      </c>
      <c r="J1244" s="15" t="n">
        <f aca="true">IF(OR(E1244="",E1244="!!!",F1244="NEW"),"",COUNTBLANK(OFFSET(A$1,,,SUMPRODUCT(MAX(ROW(E$2:E1244)*(E1244=E$2:E1244)))))-COUNTBLANK(OFFSET(A$1,,,SUMPRODUCT(MAX(ROW(E$1:E1243)*(E1244=E$1:E1243))))))</f>
        <v>0</v>
      </c>
      <c r="K1244" s="15" t="n">
        <f aca="false">IF(OR(E1244="",E1244="!!!",F1244="NEW"),"",INDEX(J$1:J1243,SUMPRODUCT(MAX(ROW(E$1:E1243)*(E1244=E$1:E1243)))))</f>
        <v>1</v>
      </c>
      <c r="L1244" s="16"/>
    </row>
    <row r="1245" customFormat="false" ht="12.75" hidden="false" customHeight="false" outlineLevel="0" collapsed="false">
      <c r="A1245" s="9" t="s">
        <v>217</v>
      </c>
      <c r="E1245" s="10" t="str">
        <f aca="false">IF(#REF!="?OLD","!!!","")</f>
        <v/>
      </c>
      <c r="F1245" s="11" t="str">
        <f aca="false">IF(OR(E1245="",E1245="!!!"),"",IF(NOT(ISNA(VLOOKUP(E1245,E$1:E1244,1,FALSE()))),"OLD",IF(AND(E1245&lt;&gt;"",E1245&lt;&gt;"!!!"),"NEW","")))</f>
        <v/>
      </c>
      <c r="G1245" s="12" t="str">
        <f aca="false">IF(OR(E1245="",E1245="!!!"),"",IF(OR(J1245=0,AND(J1245=1,K1245=1),AND(J1245=1,I1245="SBJ"),AND(J1245=1,I1245=0)),"?IN_FOCUS",IF(J1245&lt;=2,"?ACTIVATED",IF(J1245&lt;&gt;"","?FAMILIAR",IF(F1245="NEW",IF(ISNA(VLOOKUP(E1245,#REF!,1,FALSE())),"?TYPE_IDENTIFIABLE","?REFERENTIAL"),"_")))))</f>
        <v/>
      </c>
      <c r="H1245" s="13" t="str">
        <f aca="false">IF(J1245&lt;&gt;1,"",IF(I1245="SBJ","CB","?"))</f>
        <v/>
      </c>
      <c r="I1245" s="14" t="str">
        <f aca="false">IF(OR(E1245="",E1245="!!!",F1245="NEW"),"",INDEX(B$2:B1244,-1+SUMPRODUCT(MAX(ROW(E$2:E1244)*(E1245=E$2:E1244)))))</f>
        <v/>
      </c>
      <c r="J1245" s="15" t="str">
        <f aca="true">IF(OR(E1245="",E1245="!!!",F1245="NEW"),"",COUNTBLANK(OFFSET(A$1,,,SUMPRODUCT(MAX(ROW(E$2:E1245)*(E1245=E$2:E1245)))))-COUNTBLANK(OFFSET(A$1,,,SUMPRODUCT(MAX(ROW(E$1:E1244)*(E1245=E$1:E1244))))))</f>
        <v/>
      </c>
      <c r="K1245" s="15" t="str">
        <f aca="false">IF(OR(E1245="",E1245="!!!",F1245="NEW"),"",INDEX(J$1:J1244,SUMPRODUCT(MAX(ROW(E$1:E1244)*(E1245=E$1:E1244)))))</f>
        <v/>
      </c>
      <c r="L1245" s="16"/>
    </row>
    <row r="1246" customFormat="false" ht="12.75" hidden="false" customHeight="false" outlineLevel="0" collapsed="false">
      <c r="A1246" s="9" t="s">
        <v>514</v>
      </c>
      <c r="E1246" s="10" t="str">
        <f aca="false">IF(#REF!="?OLD","!!!","")</f>
        <v/>
      </c>
      <c r="F1246" s="11" t="str">
        <f aca="false">IF(OR(E1246="",E1246="!!!"),"",IF(NOT(ISNA(VLOOKUP(E1246,E$1:E1245,1,FALSE()))),"OLD",IF(AND(E1246&lt;&gt;"",E1246&lt;&gt;"!!!"),"NEW","")))</f>
        <v/>
      </c>
      <c r="G1246" s="12" t="str">
        <f aca="false">IF(OR(E1246="",E1246="!!!"),"",IF(OR(J1246=0,AND(J1246=1,K1246=1),AND(J1246=1,I1246="SBJ"),AND(J1246=1,I1246=0)),"?IN_FOCUS",IF(J1246&lt;=2,"?ACTIVATED",IF(J1246&lt;&gt;"","?FAMILIAR",IF(F1246="NEW",IF(ISNA(VLOOKUP(E1246,#REF!,1,FALSE())),"?TYPE_IDENTIFIABLE","?REFERENTIAL"),"_")))))</f>
        <v/>
      </c>
      <c r="H1246" s="13" t="str">
        <f aca="false">IF(J1246&lt;&gt;1,"",IF(I1246="SBJ","CB","?"))</f>
        <v/>
      </c>
      <c r="I1246" s="14" t="str">
        <f aca="false">IF(OR(E1246="",E1246="!!!",F1246="NEW"),"",INDEX(B$2:B1245,-1+SUMPRODUCT(MAX(ROW(E$2:E1245)*(E1246=E$2:E1245)))))</f>
        <v/>
      </c>
      <c r="J1246" s="15" t="str">
        <f aca="true">IF(OR(E1246="",E1246="!!!",F1246="NEW"),"",COUNTBLANK(OFFSET(A$1,,,SUMPRODUCT(MAX(ROW(E$2:E1246)*(E1246=E$2:E1246)))))-COUNTBLANK(OFFSET(A$1,,,SUMPRODUCT(MAX(ROW(E$1:E1245)*(E1246=E$1:E1245))))))</f>
        <v/>
      </c>
      <c r="K1246" s="15" t="str">
        <f aca="false">IF(OR(E1246="",E1246="!!!",F1246="NEW"),"",INDEX(J$1:J1245,SUMPRODUCT(MAX(ROW(E$1:E1245)*(E1246=E$1:E1245)))))</f>
        <v/>
      </c>
      <c r="L1246" s="16"/>
    </row>
    <row r="1247" customFormat="false" ht="12.75" hidden="false" customHeight="false" outlineLevel="0" collapsed="false">
      <c r="A1247" s="9" t="s">
        <v>515</v>
      </c>
      <c r="E1247" s="10" t="str">
        <f aca="false">IF(#REF!="?OLD","!!!","")</f>
        <v/>
      </c>
      <c r="F1247" s="11" t="str">
        <f aca="false">IF(OR(E1247="",E1247="!!!"),"",IF(NOT(ISNA(VLOOKUP(E1247,E$1:E1246,1,FALSE()))),"OLD",IF(AND(E1247&lt;&gt;"",E1247&lt;&gt;"!!!"),"NEW","")))</f>
        <v/>
      </c>
      <c r="G1247" s="12" t="str">
        <f aca="false">IF(OR(E1247="",E1247="!!!"),"",IF(OR(J1247=0,AND(J1247=1,K1247=1),AND(J1247=1,I1247="SBJ"),AND(J1247=1,I1247=0)),"?IN_FOCUS",IF(J1247&lt;=2,"?ACTIVATED",IF(J1247&lt;&gt;"","?FAMILIAR",IF(F1247="NEW",IF(ISNA(VLOOKUP(E1247,#REF!,1,FALSE())),"?TYPE_IDENTIFIABLE","?REFERENTIAL"),"_")))))</f>
        <v/>
      </c>
      <c r="H1247" s="13" t="str">
        <f aca="false">IF(J1247&lt;&gt;1,"",IF(I1247="SBJ","CB","?"))</f>
        <v/>
      </c>
      <c r="I1247" s="14" t="str">
        <f aca="false">IF(OR(E1247="",E1247="!!!",F1247="NEW"),"",INDEX(B$2:B1246,-1+SUMPRODUCT(MAX(ROW(E$2:E1246)*(E1247=E$2:E1246)))))</f>
        <v/>
      </c>
      <c r="J1247" s="15" t="str">
        <f aca="true">IF(OR(E1247="",E1247="!!!",F1247="NEW"),"",COUNTBLANK(OFFSET(A$1,,,SUMPRODUCT(MAX(ROW(E$2:E1247)*(E1247=E$2:E1247)))))-COUNTBLANK(OFFSET(A$1,,,SUMPRODUCT(MAX(ROW(E$1:E1246)*(E1247=E$1:E1246))))))</f>
        <v/>
      </c>
      <c r="K1247" s="15" t="str">
        <f aca="false">IF(OR(E1247="",E1247="!!!",F1247="NEW"),"",INDEX(J$1:J1246,SUMPRODUCT(MAX(ROW(E$1:E1246)*(E1247=E$1:E1246)))))</f>
        <v/>
      </c>
      <c r="L1247" s="16"/>
    </row>
    <row r="1248" customFormat="false" ht="12.75" hidden="false" customHeight="false" outlineLevel="0" collapsed="false">
      <c r="A1248" s="9" t="s">
        <v>84</v>
      </c>
      <c r="E1248" s="10" t="str">
        <f aca="false">IF(#REF!="?OLD","!!!","")</f>
        <v/>
      </c>
      <c r="F1248" s="11" t="str">
        <f aca="false">IF(OR(E1248="",E1248="!!!"),"",IF(NOT(ISNA(VLOOKUP(E1248,E$1:E1247,1,FALSE()))),"OLD",IF(AND(E1248&lt;&gt;"",E1248&lt;&gt;"!!!"),"NEW","")))</f>
        <v/>
      </c>
      <c r="G1248" s="12" t="str">
        <f aca="false">IF(OR(E1248="",E1248="!!!"),"",IF(OR(J1248=0,AND(J1248=1,K1248=1),AND(J1248=1,I1248="SBJ"),AND(J1248=1,I1248=0)),"?IN_FOCUS",IF(J1248&lt;=2,"?ACTIVATED",IF(J1248&lt;&gt;"","?FAMILIAR",IF(F1248="NEW",IF(ISNA(VLOOKUP(E1248,#REF!,1,FALSE())),"?TYPE_IDENTIFIABLE","?REFERENTIAL"),"_")))))</f>
        <v/>
      </c>
      <c r="H1248" s="13" t="str">
        <f aca="false">IF(J1248&lt;&gt;1,"",IF(I1248="SBJ","CB","?"))</f>
        <v/>
      </c>
      <c r="I1248" s="14" t="str">
        <f aca="false">IF(OR(E1248="",E1248="!!!",F1248="NEW"),"",INDEX(B$2:B1247,-1+SUMPRODUCT(MAX(ROW(E$2:E1247)*(E1248=E$2:E1247)))))</f>
        <v/>
      </c>
      <c r="J1248" s="15" t="str">
        <f aca="true">IF(OR(E1248="",E1248="!!!",F1248="NEW"),"",COUNTBLANK(OFFSET(A$1,,,SUMPRODUCT(MAX(ROW(E$2:E1248)*(E1248=E$2:E1248)))))-COUNTBLANK(OFFSET(A$1,,,SUMPRODUCT(MAX(ROW(E$1:E1247)*(E1248=E$1:E1247))))))</f>
        <v/>
      </c>
      <c r="K1248" s="15" t="str">
        <f aca="false">IF(OR(E1248="",E1248="!!!",F1248="NEW"),"",INDEX(J$1:J1247,SUMPRODUCT(MAX(ROW(E$1:E1247)*(E1248=E$1:E1247)))))</f>
        <v/>
      </c>
      <c r="L1248" s="16"/>
    </row>
    <row r="1249" customFormat="false" ht="12.75" hidden="false" customHeight="false" outlineLevel="0" collapsed="false">
      <c r="A1249" s="9" t="s">
        <v>516</v>
      </c>
      <c r="E1249" s="10" t="str">
        <f aca="false">IF(#REF!="?OLD","!!!","")</f>
        <v/>
      </c>
      <c r="F1249" s="11" t="str">
        <f aca="false">IF(OR(E1249="",E1249="!!!"),"",IF(NOT(ISNA(VLOOKUP(E1249,E$1:E1248,1,FALSE()))),"OLD",IF(AND(E1249&lt;&gt;"",E1249&lt;&gt;"!!!"),"NEW","")))</f>
        <v/>
      </c>
      <c r="G1249" s="12" t="str">
        <f aca="false">IF(OR(E1249="",E1249="!!!"),"",IF(OR(J1249=0,AND(J1249=1,K1249=1),AND(J1249=1,I1249="SBJ"),AND(J1249=1,I1249=0)),"?IN_FOCUS",IF(J1249&lt;=2,"?ACTIVATED",IF(J1249&lt;&gt;"","?FAMILIAR",IF(F1249="NEW",IF(ISNA(VLOOKUP(E1249,#REF!,1,FALSE())),"?TYPE_IDENTIFIABLE","?REFERENTIAL"),"_")))))</f>
        <v/>
      </c>
      <c r="H1249" s="13" t="str">
        <f aca="false">IF(J1249&lt;&gt;1,"",IF(I1249="SBJ","CB","?"))</f>
        <v/>
      </c>
      <c r="I1249" s="14" t="str">
        <f aca="false">IF(OR(E1249="",E1249="!!!",F1249="NEW"),"",INDEX(B$2:B1248,-1+SUMPRODUCT(MAX(ROW(E$2:E1248)*(E1249=E$2:E1248)))))</f>
        <v/>
      </c>
      <c r="J1249" s="15" t="str">
        <f aca="true">IF(OR(E1249="",E1249="!!!",F1249="NEW"),"",COUNTBLANK(OFFSET(A$1,,,SUMPRODUCT(MAX(ROW(E$2:E1249)*(E1249=E$2:E1249)))))-COUNTBLANK(OFFSET(A$1,,,SUMPRODUCT(MAX(ROW(E$1:E1248)*(E1249=E$1:E1248))))))</f>
        <v/>
      </c>
      <c r="K1249" s="15" t="str">
        <f aca="false">IF(OR(E1249="",E1249="!!!",F1249="NEW"),"",INDEX(J$1:J1248,SUMPRODUCT(MAX(ROW(E$1:E1248)*(E1249=E$1:E1248)))))</f>
        <v/>
      </c>
      <c r="L1249" s="16"/>
    </row>
    <row r="1250" customFormat="false" ht="12.75" hidden="false" customHeight="false" outlineLevel="0" collapsed="false">
      <c r="A1250" s="9" t="s">
        <v>517</v>
      </c>
      <c r="B1250" s="0" t="s">
        <v>185</v>
      </c>
      <c r="C1250" s="0" t="s">
        <v>21</v>
      </c>
      <c r="E1250" s="10" t="str">
        <f aca="false">IF(#REF!="?OLD","!!!","")</f>
        <v/>
      </c>
      <c r="F1250" s="11" t="str">
        <f aca="false">IF(OR(E1250="",E1250="!!!"),"",IF(NOT(ISNA(VLOOKUP(E1250,E$1:E1249,1,FALSE()))),"OLD",IF(AND(E1250&lt;&gt;"",E1250&lt;&gt;"!!!"),"NEW","")))</f>
        <v/>
      </c>
      <c r="G1250" s="12" t="str">
        <f aca="false">IF(OR(E1250="",E1250="!!!"),"",IF(OR(J1250=0,AND(J1250=1,K1250=1),AND(J1250=1,I1250="SBJ"),AND(J1250=1,I1250=0)),"?IN_FOCUS",IF(J1250&lt;=2,"?ACTIVATED",IF(J1250&lt;&gt;"","?FAMILIAR",IF(F1250="NEW",IF(ISNA(VLOOKUP(E1250,#REF!,1,FALSE())),"?TYPE_IDENTIFIABLE","?REFERENTIAL"),"_")))))</f>
        <v/>
      </c>
      <c r="H1250" s="13" t="str">
        <f aca="false">IF(J1250&lt;&gt;1,"",IF(I1250="SBJ","CB","?"))</f>
        <v/>
      </c>
      <c r="I1250" s="14" t="str">
        <f aca="false">IF(OR(E1250="",E1250="!!!",F1250="NEW"),"",INDEX(B$2:B1249,-1+SUMPRODUCT(MAX(ROW(E$2:E1249)*(E1250=E$2:E1249)))))</f>
        <v/>
      </c>
      <c r="J1250" s="15" t="str">
        <f aca="true">IF(OR(E1250="",E1250="!!!",F1250="NEW"),"",COUNTBLANK(OFFSET(A$1,,,SUMPRODUCT(MAX(ROW(E$2:E1250)*(E1250=E$2:E1250)))))-COUNTBLANK(OFFSET(A$1,,,SUMPRODUCT(MAX(ROW(E$1:E1249)*(E1250=E$1:E1249))))))</f>
        <v/>
      </c>
      <c r="K1250" s="15" t="str">
        <f aca="false">IF(OR(E1250="",E1250="!!!",F1250="NEW"),"",INDEX(J$1:J1249,SUMPRODUCT(MAX(ROW(E$1:E1249)*(E1250=E$1:E1249)))))</f>
        <v/>
      </c>
      <c r="L1250" s="16"/>
    </row>
    <row r="1251" customFormat="false" ht="12.75" hidden="false" customHeight="false" outlineLevel="0" collapsed="false">
      <c r="A1251" s="9" t="s">
        <v>174</v>
      </c>
      <c r="E1251" s="10" t="str">
        <f aca="false">IF(#REF!="?OLD","!!!","")</f>
        <v/>
      </c>
      <c r="F1251" s="11" t="str">
        <f aca="false">IF(OR(E1251="",E1251="!!!"),"",IF(NOT(ISNA(VLOOKUP(E1251,E$1:E1250,1,FALSE()))),"OLD",IF(AND(E1251&lt;&gt;"",E1251&lt;&gt;"!!!"),"NEW","")))</f>
        <v/>
      </c>
      <c r="G1251" s="12" t="str">
        <f aca="false">IF(OR(E1251="",E1251="!!!"),"",IF(OR(J1251=0,AND(J1251=1,K1251=1),AND(J1251=1,I1251="SBJ"),AND(J1251=1,I1251=0)),"?IN_FOCUS",IF(J1251&lt;=2,"?ACTIVATED",IF(J1251&lt;&gt;"","?FAMILIAR",IF(F1251="NEW",IF(ISNA(VLOOKUP(E1251,#REF!,1,FALSE())),"?TYPE_IDENTIFIABLE","?REFERENTIAL"),"_")))))</f>
        <v/>
      </c>
      <c r="H1251" s="13" t="str">
        <f aca="false">IF(J1251&lt;&gt;1,"",IF(I1251="SBJ","CB","?"))</f>
        <v/>
      </c>
      <c r="I1251" s="14" t="str">
        <f aca="false">IF(OR(E1251="",E1251="!!!",F1251="NEW"),"",INDEX(B$2:B1250,-1+SUMPRODUCT(MAX(ROW(E$2:E1250)*(E1251=E$2:E1250)))))</f>
        <v/>
      </c>
      <c r="J1251" s="15" t="str">
        <f aca="true">IF(OR(E1251="",E1251="!!!",F1251="NEW"),"",COUNTBLANK(OFFSET(A$1,,,SUMPRODUCT(MAX(ROW(E$2:E1251)*(E1251=E$2:E1251)))))-COUNTBLANK(OFFSET(A$1,,,SUMPRODUCT(MAX(ROW(E$1:E1250)*(E1251=E$1:E1250))))))</f>
        <v/>
      </c>
      <c r="K1251" s="15" t="str">
        <f aca="false">IF(OR(E1251="",E1251="!!!",F1251="NEW"),"",INDEX(J$1:J1250,SUMPRODUCT(MAX(ROW(E$1:E1250)*(E1251=E$1:E1250)))))</f>
        <v/>
      </c>
      <c r="L1251" s="16"/>
    </row>
    <row r="1252" customFormat="false" ht="12.75" hidden="false" customHeight="false" outlineLevel="0" collapsed="false">
      <c r="A1252" s="9" t="s">
        <v>386</v>
      </c>
      <c r="B1252" s="0" t="s">
        <v>518</v>
      </c>
      <c r="C1252" s="0" t="s">
        <v>26</v>
      </c>
      <c r="D1252" s="0" t="s">
        <v>27</v>
      </c>
      <c r="E1252" s="10" t="s">
        <v>386</v>
      </c>
      <c r="F1252" s="11" t="str">
        <f aca="false">IF(OR(E1252="",E1252="!!!"),"",IF(NOT(ISNA(VLOOKUP(E1252,E$1:E1251,1,FALSE()))),"OLD",IF(AND(E1252&lt;&gt;"",E1252&lt;&gt;"!!!"),"NEW","")))</f>
        <v>OLD</v>
      </c>
      <c r="G1252" s="12" t="s">
        <v>49</v>
      </c>
      <c r="H1252" s="13"/>
      <c r="I1252" s="14" t="str">
        <f aca="false">IF(OR(E1252="",E1252="!!!",F1252="NEW"),"",INDEX(B$2:B1251,-1+SUMPRODUCT(MAX(ROW(E$2:E1251)*(E1252=E$2:E1251)))))</f>
        <v>other_4</v>
      </c>
      <c r="J1252" s="15" t="n">
        <f aca="true">IF(OR(E1252="",E1252="!!!",F1252="NEW"),"",COUNTBLANK(OFFSET(A$1,,,SUMPRODUCT(MAX(ROW(E$2:E1252)*(E1252=E$2:E1252)))))-COUNTBLANK(OFFSET(A$1,,,SUMPRODUCT(MAX(ROW(E$1:E1251)*(E1252=E$1:E1251))))))</f>
        <v>1</v>
      </c>
      <c r="K1252" s="15" t="n">
        <f aca="false">IF(OR(E1252="",E1252="!!!",F1252="NEW"),"",INDEX(J$1:J1251,SUMPRODUCT(MAX(ROW(E$1:E1251)*(E1252=E$1:E1251)))))</f>
        <v>0</v>
      </c>
      <c r="L1252" s="16"/>
    </row>
    <row r="1253" customFormat="false" ht="12.75" hidden="false" customHeight="false" outlineLevel="0" collapsed="false">
      <c r="A1253" s="9" t="s">
        <v>65</v>
      </c>
      <c r="E1253" s="10" t="str">
        <f aca="false">IF(#REF!="?OLD","!!!","")</f>
        <v/>
      </c>
      <c r="F1253" s="11" t="str">
        <f aca="false">IF(OR(E1253="",E1253="!!!"),"",IF(NOT(ISNA(VLOOKUP(E1253,E$1:E1252,1,FALSE()))),"OLD",IF(AND(E1253&lt;&gt;"",E1253&lt;&gt;"!!!"),"NEW","")))</f>
        <v/>
      </c>
      <c r="G1253" s="12" t="str">
        <f aca="false">IF(OR(E1253="",E1253="!!!"),"",IF(OR(J1253=0,AND(J1253=1,K1253=1),AND(J1253=1,I1253="SBJ"),AND(J1253=1,I1253=0)),"?IN_FOCUS",IF(J1253&lt;=2,"?ACTIVATED",IF(J1253&lt;&gt;"","?FAMILIAR",IF(F1253="NEW",IF(ISNA(VLOOKUP(E1253,#REF!,1,FALSE())),"?TYPE_IDENTIFIABLE","?REFERENTIAL"),"_")))))</f>
        <v/>
      </c>
      <c r="H1253" s="13" t="str">
        <f aca="false">IF(J1253&lt;&gt;1,"",IF(I1253="SBJ","CB","?"))</f>
        <v/>
      </c>
      <c r="I1253" s="14" t="str">
        <f aca="false">IF(OR(E1253="",E1253="!!!",F1253="NEW"),"",INDEX(B$2:B1252,-1+SUMPRODUCT(MAX(ROW(E$2:E1252)*(E1253=E$2:E1252)))))</f>
        <v/>
      </c>
      <c r="J1253" s="15" t="str">
        <f aca="true">IF(OR(E1253="",E1253="!!!",F1253="NEW"),"",COUNTBLANK(OFFSET(A$1,,,SUMPRODUCT(MAX(ROW(E$2:E1253)*(E1253=E$2:E1253)))))-COUNTBLANK(OFFSET(A$1,,,SUMPRODUCT(MAX(ROW(E$1:E1252)*(E1253=E$1:E1252))))))</f>
        <v/>
      </c>
      <c r="K1253" s="15" t="str">
        <f aca="false">IF(OR(E1253="",E1253="!!!",F1253="NEW"),"",INDEX(J$1:J1252,SUMPRODUCT(MAX(ROW(E$1:E1252)*(E1253=E$1:E1252)))))</f>
        <v/>
      </c>
      <c r="L1253" s="16"/>
    </row>
    <row r="1254" customFormat="false" ht="12.75" hidden="false" customHeight="false" outlineLevel="0" collapsed="false">
      <c r="A1254" s="9" t="s">
        <v>385</v>
      </c>
      <c r="B1254" s="0" t="s">
        <v>50</v>
      </c>
      <c r="C1254" s="0" t="s">
        <v>34</v>
      </c>
      <c r="D1254" s="0" t="s">
        <v>27</v>
      </c>
      <c r="E1254" s="10" t="s">
        <v>386</v>
      </c>
      <c r="F1254" s="11" t="str">
        <f aca="false">IF(OR(E1254="",E1254="!!!"),"",IF(NOT(ISNA(VLOOKUP(E1254,E$1:E1253,1,FALSE()))),"OLD",IF(AND(E1254&lt;&gt;"",E1254&lt;&gt;"!!!"),"NEW","")))</f>
        <v>OLD</v>
      </c>
      <c r="G1254" s="12" t="s">
        <v>51</v>
      </c>
      <c r="H1254" s="13" t="str">
        <f aca="false">IF(J1254&lt;&gt;1,"",IF(I1254="SBJ","CB","?"))</f>
        <v/>
      </c>
      <c r="I1254" s="14" t="str">
        <f aca="false">IF(OR(E1254="",E1254="!!!",F1254="NEW"),"",INDEX(B$2:B1253,-1+SUMPRODUCT(MAX(ROW(E$2:E1253)*(E1254=E$2:E1253)))))</f>
        <v>other_7</v>
      </c>
      <c r="J1254" s="15" t="n">
        <f aca="true">IF(OR(E1254="",E1254="!!!",F1254="NEW"),"",COUNTBLANK(OFFSET(A$1,,,SUMPRODUCT(MAX(ROW(E$2:E1254)*(E1254=E$2:E1254)))))-COUNTBLANK(OFFSET(A$1,,,SUMPRODUCT(MAX(ROW(E$1:E1253)*(E1254=E$1:E1253))))))</f>
        <v>0</v>
      </c>
      <c r="K1254" s="15" t="n">
        <f aca="false">IF(OR(E1254="",E1254="!!!",F1254="NEW"),"",INDEX(J$1:J1253,SUMPRODUCT(MAX(ROW(E$1:E1253)*(E1254=E$1:E1253)))))</f>
        <v>1</v>
      </c>
      <c r="L1254" s="16"/>
    </row>
    <row r="1255" customFormat="false" ht="12.75" hidden="false" customHeight="false" outlineLevel="0" collapsed="false">
      <c r="A1255" s="9" t="s">
        <v>68</v>
      </c>
      <c r="E1255" s="10" t="str">
        <f aca="false">IF(#REF!="?OLD","!!!","")</f>
        <v/>
      </c>
      <c r="F1255" s="11" t="str">
        <f aca="false">IF(OR(E1255="",E1255="!!!"),"",IF(NOT(ISNA(VLOOKUP(E1255,E$1:E1254,1,FALSE()))),"OLD",IF(AND(E1255&lt;&gt;"",E1255&lt;&gt;"!!!"),"NEW","")))</f>
        <v/>
      </c>
      <c r="G1255" s="12" t="str">
        <f aca="false">IF(OR(E1255="",E1255="!!!"),"",IF(OR(J1255=0,AND(J1255=1,K1255=1),AND(J1255=1,I1255="SBJ"),AND(J1255=1,I1255=0)),"?IN_FOCUS",IF(J1255&lt;=2,"?ACTIVATED",IF(J1255&lt;&gt;"","?FAMILIAR",IF(F1255="NEW",IF(ISNA(VLOOKUP(E1255,#REF!,1,FALSE())),"?TYPE_IDENTIFIABLE","?REFERENTIAL"),"_")))))</f>
        <v/>
      </c>
      <c r="H1255" s="13" t="str">
        <f aca="false">IF(J1255&lt;&gt;1,"",IF(I1255="SBJ","CB","?"))</f>
        <v/>
      </c>
      <c r="I1255" s="14" t="str">
        <f aca="false">IF(OR(E1255="",E1255="!!!",F1255="NEW"),"",INDEX(B$2:B1254,-1+SUMPRODUCT(MAX(ROW(E$2:E1254)*(E1255=E$2:E1254)))))</f>
        <v/>
      </c>
      <c r="J1255" s="15" t="str">
        <f aca="true">IF(OR(E1255="",E1255="!!!",F1255="NEW"),"",COUNTBLANK(OFFSET(A$1,,,SUMPRODUCT(MAX(ROW(E$2:E1255)*(E1255=E$2:E1255)))))-COUNTBLANK(OFFSET(A$1,,,SUMPRODUCT(MAX(ROW(E$1:E1254)*(E1255=E$1:E1254))))))</f>
        <v/>
      </c>
      <c r="K1255" s="15" t="str">
        <f aca="false">IF(OR(E1255="",E1255="!!!",F1255="NEW"),"",INDEX(J$1:J1254,SUMPRODUCT(MAX(ROW(E$1:E1254)*(E1255=E$1:E1254)))))</f>
        <v/>
      </c>
      <c r="L1255" s="16"/>
    </row>
    <row r="1256" customFormat="false" ht="12.75" hidden="false" customHeight="false" outlineLevel="0" collapsed="false">
      <c r="E1256" s="10" t="str">
        <f aca="false">IF(#REF!="?OLD","!!!","")</f>
        <v/>
      </c>
      <c r="F1256" s="11" t="str">
        <f aca="false">IF(OR(E1256="",E1256="!!!"),"",IF(NOT(ISNA(VLOOKUP(E1256,E$1:E1255,1,FALSE()))),"OLD",IF(AND(E1256&lt;&gt;"",E1256&lt;&gt;"!!!"),"NEW","")))</f>
        <v/>
      </c>
      <c r="G1256" s="12" t="str">
        <f aca="false">IF(OR(E1256="",E1256="!!!"),"",IF(OR(J1256=0,AND(J1256=1,K1256=1),AND(J1256=1,I1256="SBJ"),AND(J1256=1,I1256=0)),"?IN_FOCUS",IF(J1256&lt;=2,"?ACTIVATED",IF(J1256&lt;&gt;"","?FAMILIAR",IF(F1256="NEW",IF(ISNA(VLOOKUP(E1256,#REF!,1,FALSE())),"?TYPE_IDENTIFIABLE","?REFERENTIAL"),"_")))))</f>
        <v/>
      </c>
      <c r="H1256" s="13" t="str">
        <f aca="false">IF(J1256&lt;&gt;1,"",IF(I1256="SBJ","CB","?"))</f>
        <v/>
      </c>
      <c r="I1256" s="14" t="str">
        <f aca="false">IF(OR(E1256="",E1256="!!!",F1256="NEW"),"",INDEX(B$2:B1255,-1+SUMPRODUCT(MAX(ROW(E$2:E1255)*(E1256=E$2:E1255)))))</f>
        <v/>
      </c>
      <c r="J1256" s="15" t="str">
        <f aca="true">IF(OR(E1256="",E1256="!!!",F1256="NEW"),"",COUNTBLANK(OFFSET(A$1,,,SUMPRODUCT(MAX(ROW(E$2:E1256)*(E1256=E$2:E1256)))))-COUNTBLANK(OFFSET(A$1,,,SUMPRODUCT(MAX(ROW(E$1:E1255)*(E1256=E$1:E1255))))))</f>
        <v/>
      </c>
      <c r="K1256" s="15" t="str">
        <f aca="false">IF(OR(E1256="",E1256="!!!",F1256="NEW"),"",INDEX(J$1:J1255,SUMPRODUCT(MAX(ROW(E$1:E1255)*(E1256=E$1:E1255)))))</f>
        <v/>
      </c>
      <c r="L1256" s="16"/>
    </row>
    <row r="1257" customFormat="false" ht="12.75" hidden="false" customHeight="false" outlineLevel="0" collapsed="false">
      <c r="A1257" s="9" t="s">
        <v>519</v>
      </c>
      <c r="E1257" s="10" t="str">
        <f aca="false">IF(#REF!="?OLD","!!!","")</f>
        <v/>
      </c>
      <c r="F1257" s="11" t="str">
        <f aca="false">IF(OR(E1257="",E1257="!!!"),"",IF(NOT(ISNA(VLOOKUP(E1257,E$1:E1256,1,FALSE()))),"OLD",IF(AND(E1257&lt;&gt;"",E1257&lt;&gt;"!!!"),"NEW","")))</f>
        <v/>
      </c>
      <c r="G1257" s="12" t="str">
        <f aca="false">IF(OR(E1257="",E1257="!!!"),"",IF(OR(J1257=0,AND(J1257=1,K1257=1),AND(J1257=1,I1257="SBJ"),AND(J1257=1,I1257=0)),"?IN_FOCUS",IF(J1257&lt;=2,"?ACTIVATED",IF(J1257&lt;&gt;"","?FAMILIAR",IF(F1257="NEW",IF(ISNA(VLOOKUP(E1257,#REF!,1,FALSE())),"?TYPE_IDENTIFIABLE","?REFERENTIAL"),"_")))))</f>
        <v/>
      </c>
      <c r="H1257" s="13" t="str">
        <f aca="false">IF(J1257&lt;&gt;1,"",IF(I1257="SBJ","CB","?"))</f>
        <v/>
      </c>
      <c r="I1257" s="14" t="str">
        <f aca="false">IF(OR(E1257="",E1257="!!!",F1257="NEW"),"",INDEX(B$2:B1256,-1+SUMPRODUCT(MAX(ROW(E$2:E1256)*(E1257=E$2:E1256)))))</f>
        <v/>
      </c>
      <c r="J1257" s="15" t="str">
        <f aca="true">IF(OR(E1257="",E1257="!!!",F1257="NEW"),"",COUNTBLANK(OFFSET(A$1,,,SUMPRODUCT(MAX(ROW(E$2:E1257)*(E1257=E$2:E1257)))))-COUNTBLANK(OFFSET(A$1,,,SUMPRODUCT(MAX(ROW(E$1:E1256)*(E1257=E$1:E1256))))))</f>
        <v/>
      </c>
      <c r="K1257" s="15" t="str">
        <f aca="false">IF(OR(E1257="",E1257="!!!",F1257="NEW"),"",INDEX(J$1:J1256,SUMPRODUCT(MAX(ROW(E$1:E1256)*(E1257=E$1:E1256)))))</f>
        <v/>
      </c>
      <c r="L1257" s="16"/>
    </row>
    <row r="1258" customFormat="false" ht="12.75" hidden="false" customHeight="false" outlineLevel="0" collapsed="false">
      <c r="A1258" s="9" t="s">
        <v>520</v>
      </c>
      <c r="E1258" s="10" t="str">
        <f aca="false">IF(#REF!="?OLD","!!!","")</f>
        <v/>
      </c>
      <c r="F1258" s="11" t="str">
        <f aca="false">IF(OR(E1258="",E1258="!!!"),"",IF(NOT(ISNA(VLOOKUP(E1258,E$1:E1257,1,FALSE()))),"OLD",IF(AND(E1258&lt;&gt;"",E1258&lt;&gt;"!!!"),"NEW","")))</f>
        <v/>
      </c>
      <c r="G1258" s="12" t="str">
        <f aca="false">IF(OR(E1258="",E1258="!!!"),"",IF(OR(J1258=0,AND(J1258=1,K1258=1),AND(J1258=1,I1258="SBJ"),AND(J1258=1,I1258=0)),"?IN_FOCUS",IF(J1258&lt;=2,"?ACTIVATED",IF(J1258&lt;&gt;"","?FAMILIAR",IF(F1258="NEW",IF(ISNA(VLOOKUP(E1258,#REF!,1,FALSE())),"?TYPE_IDENTIFIABLE","?REFERENTIAL"),"_")))))</f>
        <v/>
      </c>
      <c r="H1258" s="13" t="str">
        <f aca="false">IF(J1258&lt;&gt;1,"",IF(I1258="SBJ","CB","?"))</f>
        <v/>
      </c>
      <c r="I1258" s="14" t="str">
        <f aca="false">IF(OR(E1258="",E1258="!!!",F1258="NEW"),"",INDEX(B$2:B1257,-1+SUMPRODUCT(MAX(ROW(E$2:E1257)*(E1258=E$2:E1257)))))</f>
        <v/>
      </c>
      <c r="J1258" s="15" t="str">
        <f aca="true">IF(OR(E1258="",E1258="!!!",F1258="NEW"),"",COUNTBLANK(OFFSET(A$1,,,SUMPRODUCT(MAX(ROW(E$2:E1258)*(E1258=E$2:E1258)))))-COUNTBLANK(OFFSET(A$1,,,SUMPRODUCT(MAX(ROW(E$1:E1257)*(E1258=E$1:E1257))))))</f>
        <v/>
      </c>
      <c r="K1258" s="15" t="str">
        <f aca="false">IF(OR(E1258="",E1258="!!!",F1258="NEW"),"",INDEX(J$1:J1257,SUMPRODUCT(MAX(ROW(E$1:E1257)*(E1258=E$1:E1257)))))</f>
        <v/>
      </c>
      <c r="L1258" s="16"/>
    </row>
    <row r="1259" customFormat="false" ht="12.75" hidden="false" customHeight="false" outlineLevel="0" collapsed="false">
      <c r="A1259" s="9" t="s">
        <v>521</v>
      </c>
      <c r="B1259" s="0" t="s">
        <v>75</v>
      </c>
      <c r="C1259" s="0" t="s">
        <v>522</v>
      </c>
      <c r="E1259" s="10" t="str">
        <f aca="false">IF(#REF!="?OLD","!!!","")</f>
        <v/>
      </c>
      <c r="F1259" s="11" t="str">
        <f aca="false">IF(OR(E1259="",E1259="!!!"),"",IF(NOT(ISNA(VLOOKUP(E1259,E$1:E1258,1,FALSE()))),"OLD",IF(AND(E1259&lt;&gt;"",E1259&lt;&gt;"!!!"),"NEW","")))</f>
        <v/>
      </c>
      <c r="G1259" s="12" t="str">
        <f aca="false">IF(OR(E1259="",E1259="!!!"),"",IF(OR(J1259=0,AND(J1259=1,K1259=1),AND(J1259=1,I1259="SBJ"),AND(J1259=1,I1259=0)),"?IN_FOCUS",IF(J1259&lt;=2,"?ACTIVATED",IF(J1259&lt;&gt;"","?FAMILIAR",IF(F1259="NEW",IF(ISNA(VLOOKUP(E1259,#REF!,1,FALSE())),"?TYPE_IDENTIFIABLE","?REFERENTIAL"),"_")))))</f>
        <v/>
      </c>
      <c r="H1259" s="13" t="str">
        <f aca="false">IF(J1259&lt;&gt;1,"",IF(I1259="SBJ","CB","?"))</f>
        <v/>
      </c>
      <c r="I1259" s="14" t="str">
        <f aca="false">IF(OR(E1259="",E1259="!!!",F1259="NEW"),"",INDEX(B$2:B1258,-1+SUMPRODUCT(MAX(ROW(E$2:E1258)*(E1259=E$2:E1258)))))</f>
        <v/>
      </c>
      <c r="J1259" s="15" t="str">
        <f aca="true">IF(OR(E1259="",E1259="!!!",F1259="NEW"),"",COUNTBLANK(OFFSET(A$1,,,SUMPRODUCT(MAX(ROW(E$2:E1259)*(E1259=E$2:E1259)))))-COUNTBLANK(OFFSET(A$1,,,SUMPRODUCT(MAX(ROW(E$1:E1258)*(E1259=E$1:E1258))))))</f>
        <v/>
      </c>
      <c r="K1259" s="15" t="str">
        <f aca="false">IF(OR(E1259="",E1259="!!!",F1259="NEW"),"",INDEX(J$1:J1258,SUMPRODUCT(MAX(ROW(E$1:E1258)*(E1259=E$1:E1258)))))</f>
        <v/>
      </c>
      <c r="L1259" s="16"/>
    </row>
    <row r="1260" customFormat="false" ht="12.75" hidden="false" customHeight="false" outlineLevel="0" collapsed="false">
      <c r="A1260" s="9" t="s">
        <v>22</v>
      </c>
      <c r="E1260" s="10" t="str">
        <f aca="false">IF(#REF!="?OLD","!!!","")</f>
        <v/>
      </c>
      <c r="F1260" s="11" t="str">
        <f aca="false">IF(OR(E1260="",E1260="!!!"),"",IF(NOT(ISNA(VLOOKUP(E1260,E$1:E1259,1,FALSE()))),"OLD",IF(AND(E1260&lt;&gt;"",E1260&lt;&gt;"!!!"),"NEW","")))</f>
        <v/>
      </c>
      <c r="G1260" s="12" t="str">
        <f aca="false">IF(OR(E1260="",E1260="!!!"),"",IF(OR(J1260=0,AND(J1260=1,K1260=1),AND(J1260=1,I1260="SBJ"),AND(J1260=1,I1260=0)),"?IN_FOCUS",IF(J1260&lt;=2,"?ACTIVATED",IF(J1260&lt;&gt;"","?FAMILIAR",IF(F1260="NEW",IF(ISNA(VLOOKUP(E1260,#REF!,1,FALSE())),"?TYPE_IDENTIFIABLE","?REFERENTIAL"),"_")))))</f>
        <v/>
      </c>
      <c r="H1260" s="13" t="str">
        <f aca="false">IF(J1260&lt;&gt;1,"",IF(I1260="SBJ","CB","?"))</f>
        <v/>
      </c>
      <c r="I1260" s="14" t="str">
        <f aca="false">IF(OR(E1260="",E1260="!!!",F1260="NEW"),"",INDEX(B$2:B1259,-1+SUMPRODUCT(MAX(ROW(E$2:E1259)*(E1260=E$2:E1259)))))</f>
        <v/>
      </c>
      <c r="J1260" s="15" t="str">
        <f aca="true">IF(OR(E1260="",E1260="!!!",F1260="NEW"),"",COUNTBLANK(OFFSET(A$1,,,SUMPRODUCT(MAX(ROW(E$2:E1260)*(E1260=E$2:E1260)))))-COUNTBLANK(OFFSET(A$1,,,SUMPRODUCT(MAX(ROW(E$1:E1259)*(E1260=E$1:E1259))))))</f>
        <v/>
      </c>
      <c r="K1260" s="15" t="str">
        <f aca="false">IF(OR(E1260="",E1260="!!!",F1260="NEW"),"",INDEX(J$1:J1259,SUMPRODUCT(MAX(ROW(E$1:E1259)*(E1260=E$1:E1259)))))</f>
        <v/>
      </c>
      <c r="L1260" s="16"/>
    </row>
    <row r="1261" customFormat="false" ht="12.75" hidden="false" customHeight="false" outlineLevel="0" collapsed="false">
      <c r="A1261" s="9" t="s">
        <v>105</v>
      </c>
      <c r="E1261" s="10" t="str">
        <f aca="false">IF(#REF!="?OLD","!!!","")</f>
        <v/>
      </c>
      <c r="F1261" s="11" t="str">
        <f aca="false">IF(OR(E1261="",E1261="!!!"),"",IF(NOT(ISNA(VLOOKUP(E1261,E$1:E1260,1,FALSE()))),"OLD",IF(AND(E1261&lt;&gt;"",E1261&lt;&gt;"!!!"),"NEW","")))</f>
        <v/>
      </c>
      <c r="G1261" s="12" t="str">
        <f aca="false">IF(OR(E1261="",E1261="!!!"),"",IF(OR(J1261=0,AND(J1261=1,K1261=1),AND(J1261=1,I1261="SBJ"),AND(J1261=1,I1261=0)),"?IN_FOCUS",IF(J1261&lt;=2,"?ACTIVATED",IF(J1261&lt;&gt;"","?FAMILIAR",IF(F1261="NEW",IF(ISNA(VLOOKUP(E1261,#REF!,1,FALSE())),"?TYPE_IDENTIFIABLE","?REFERENTIAL"),"_")))))</f>
        <v/>
      </c>
      <c r="H1261" s="13" t="str">
        <f aca="false">IF(J1261&lt;&gt;1,"",IF(I1261="SBJ","CB","?"))</f>
        <v/>
      </c>
      <c r="I1261" s="14" t="str">
        <f aca="false">IF(OR(E1261="",E1261="!!!",F1261="NEW"),"",INDEX(B$2:B1260,-1+SUMPRODUCT(MAX(ROW(E$2:E1260)*(E1261=E$2:E1260)))))</f>
        <v/>
      </c>
      <c r="J1261" s="15" t="str">
        <f aca="true">IF(OR(E1261="",E1261="!!!",F1261="NEW"),"",COUNTBLANK(OFFSET(A$1,,,SUMPRODUCT(MAX(ROW(E$2:E1261)*(E1261=E$2:E1261)))))-COUNTBLANK(OFFSET(A$1,,,SUMPRODUCT(MAX(ROW(E$1:E1260)*(E1261=E$1:E1260))))))</f>
        <v/>
      </c>
      <c r="K1261" s="15" t="str">
        <f aca="false">IF(OR(E1261="",E1261="!!!",F1261="NEW"),"",INDEX(J$1:J1260,SUMPRODUCT(MAX(ROW(E$1:E1260)*(E1261=E$1:E1260)))))</f>
        <v/>
      </c>
      <c r="L1261" s="16"/>
    </row>
    <row r="1262" customFormat="false" ht="12.75" hidden="false" customHeight="false" outlineLevel="0" collapsed="false">
      <c r="A1262" s="9" t="s">
        <v>45</v>
      </c>
      <c r="E1262" s="10" t="str">
        <f aca="false">IF(#REF!="?OLD","!!!","")</f>
        <v/>
      </c>
      <c r="F1262" s="11" t="str">
        <f aca="false">IF(OR(E1262="",E1262="!!!"),"",IF(NOT(ISNA(VLOOKUP(E1262,E$1:E1261,1,FALSE()))),"OLD",IF(AND(E1262&lt;&gt;"",E1262&lt;&gt;"!!!"),"NEW","")))</f>
        <v/>
      </c>
      <c r="G1262" s="12" t="str">
        <f aca="false">IF(OR(E1262="",E1262="!!!"),"",IF(OR(J1262=0,AND(J1262=1,K1262=1),AND(J1262=1,I1262="SBJ"),AND(J1262=1,I1262=0)),"?IN_FOCUS",IF(J1262&lt;=2,"?ACTIVATED",IF(J1262&lt;&gt;"","?FAMILIAR",IF(F1262="NEW",IF(ISNA(VLOOKUP(E1262,#REF!,1,FALSE())),"?TYPE_IDENTIFIABLE","?REFERENTIAL"),"_")))))</f>
        <v/>
      </c>
      <c r="H1262" s="13" t="str">
        <f aca="false">IF(J1262&lt;&gt;1,"",IF(I1262="SBJ","CB","?"))</f>
        <v/>
      </c>
      <c r="I1262" s="14" t="str">
        <f aca="false">IF(OR(E1262="",E1262="!!!",F1262="NEW"),"",INDEX(B$2:B1261,-1+SUMPRODUCT(MAX(ROW(E$2:E1261)*(E1262=E$2:E1261)))))</f>
        <v/>
      </c>
      <c r="J1262" s="15" t="str">
        <f aca="true">IF(OR(E1262="",E1262="!!!",F1262="NEW"),"",COUNTBLANK(OFFSET(A$1,,,SUMPRODUCT(MAX(ROW(E$2:E1262)*(E1262=E$2:E1262)))))-COUNTBLANK(OFFSET(A$1,,,SUMPRODUCT(MAX(ROW(E$1:E1261)*(E1262=E$1:E1261))))))</f>
        <v/>
      </c>
      <c r="K1262" s="15" t="str">
        <f aca="false">IF(OR(E1262="",E1262="!!!",F1262="NEW"),"",INDEX(J$1:J1261,SUMPRODUCT(MAX(ROW(E$1:E1261)*(E1262=E$1:E1261)))))</f>
        <v/>
      </c>
      <c r="L1262" s="16"/>
    </row>
    <row r="1263" customFormat="false" ht="12.75" hidden="false" customHeight="false" outlineLevel="0" collapsed="false">
      <c r="A1263" s="9" t="s">
        <v>307</v>
      </c>
      <c r="B1263" s="0" t="s">
        <v>25</v>
      </c>
      <c r="C1263" s="0" t="s">
        <v>47</v>
      </c>
      <c r="D1263" s="0" t="s">
        <v>27</v>
      </c>
      <c r="E1263" s="10" t="s">
        <v>308</v>
      </c>
      <c r="F1263" s="11" t="str">
        <f aca="false">IF(OR(E1263="",E1263="!!!"),"",IF(NOT(ISNA(VLOOKUP(E1263,E$1:E1262,1,FALSE()))),"OLD",IF(AND(E1263&lt;&gt;"",E1263&lt;&gt;"!!!"),"NEW","")))</f>
        <v>OLD</v>
      </c>
      <c r="G1263" s="12" t="s">
        <v>72</v>
      </c>
      <c r="H1263" s="13" t="str">
        <f aca="false">IF(J1263&lt;&gt;1,"",IF(I1263="SBJ","CB","?"))</f>
        <v/>
      </c>
      <c r="I1263" s="14" t="str">
        <f aca="false">IF(OR(E1263="",E1263="!!!",F1263="NEW"),"",INDEX(B$2:B1262,-1+SUMPRODUCT(MAX(ROW(E$2:E1262)*(E1263=E$2:E1262)))))</f>
        <v>other</v>
      </c>
      <c r="J1263" s="15" t="n">
        <f aca="true">IF(OR(E1263="",E1263="!!!",F1263="NEW"),"",COUNTBLANK(OFFSET(A$1,,,SUMPRODUCT(MAX(ROW(E$2:E1263)*(E1263=E$2:E1263)))))-COUNTBLANK(OFFSET(A$1,,,SUMPRODUCT(MAX(ROW(E$1:E1262)*(E1263=E$1:E1262))))))</f>
        <v>22</v>
      </c>
      <c r="K1263" s="15" t="n">
        <f aca="false">IF(OR(E1263="",E1263="!!!",F1263="NEW"),"",INDEX(J$1:J1262,SUMPRODUCT(MAX(ROW(E$1:E1262)*(E1263=E$1:E1262)))))</f>
        <v>1</v>
      </c>
      <c r="L1263" s="16"/>
    </row>
    <row r="1264" customFormat="false" ht="12.75" hidden="false" customHeight="false" outlineLevel="0" collapsed="false">
      <c r="A1264" s="9" t="s">
        <v>39</v>
      </c>
      <c r="E1264" s="10" t="str">
        <f aca="false">IF(#REF!="?OLD","!!!","")</f>
        <v/>
      </c>
      <c r="F1264" s="11" t="str">
        <f aca="false">IF(OR(E1264="",E1264="!!!"),"",IF(NOT(ISNA(VLOOKUP(E1264,E$1:E1263,1,FALSE()))),"OLD",IF(AND(E1264&lt;&gt;"",E1264&lt;&gt;"!!!"),"NEW","")))</f>
        <v/>
      </c>
      <c r="G1264" s="12" t="str">
        <f aca="false">IF(OR(E1264="",E1264="!!!"),"",IF(OR(J1264=0,AND(J1264=1,K1264=1),AND(J1264=1,I1264="SBJ"),AND(J1264=1,I1264=0)),"?IN_FOCUS",IF(J1264&lt;=2,"?ACTIVATED",IF(J1264&lt;&gt;"","?FAMILIAR",IF(F1264="NEW",IF(ISNA(VLOOKUP(E1264,#REF!,1,FALSE())),"?TYPE_IDENTIFIABLE","?REFERENTIAL"),"_")))))</f>
        <v/>
      </c>
      <c r="H1264" s="13" t="str">
        <f aca="false">IF(J1264&lt;&gt;1,"",IF(I1264="SBJ","CB","?"))</f>
        <v/>
      </c>
      <c r="I1264" s="14" t="str">
        <f aca="false">IF(OR(E1264="",E1264="!!!",F1264="NEW"),"",INDEX(B$2:B1263,-1+SUMPRODUCT(MAX(ROW(E$2:E1263)*(E1264=E$2:E1263)))))</f>
        <v/>
      </c>
      <c r="J1264" s="15" t="str">
        <f aca="true">IF(OR(E1264="",E1264="!!!",F1264="NEW"),"",COUNTBLANK(OFFSET(A$1,,,SUMPRODUCT(MAX(ROW(E$2:E1264)*(E1264=E$2:E1264)))))-COUNTBLANK(OFFSET(A$1,,,SUMPRODUCT(MAX(ROW(E$1:E1263)*(E1264=E$1:E1263))))))</f>
        <v/>
      </c>
      <c r="K1264" s="15" t="str">
        <f aca="false">IF(OR(E1264="",E1264="!!!",F1264="NEW"),"",INDEX(J$1:J1263,SUMPRODUCT(MAX(ROW(E$1:E1263)*(E1264=E$1:E1263)))))</f>
        <v/>
      </c>
      <c r="L1264" s="16"/>
    </row>
    <row r="1265" customFormat="false" ht="12.75" hidden="false" customHeight="false" outlineLevel="0" collapsed="false">
      <c r="A1265" s="9" t="s">
        <v>62</v>
      </c>
      <c r="E1265" s="10" t="str">
        <f aca="false">IF(#REF!="?OLD","!!!","")</f>
        <v/>
      </c>
      <c r="F1265" s="11" t="str">
        <f aca="false">IF(OR(E1265="",E1265="!!!"),"",IF(NOT(ISNA(VLOOKUP(E1265,E$1:E1264,1,FALSE()))),"OLD",IF(AND(E1265&lt;&gt;"",E1265&lt;&gt;"!!!"),"NEW","")))</f>
        <v/>
      </c>
      <c r="G1265" s="12" t="str">
        <f aca="false">IF(OR(E1265="",E1265="!!!"),"",IF(OR(J1265=0,AND(J1265=1,K1265=1),AND(J1265=1,I1265="SBJ"),AND(J1265=1,I1265=0)),"?IN_FOCUS",IF(J1265&lt;=2,"?ACTIVATED",IF(J1265&lt;&gt;"","?FAMILIAR",IF(F1265="NEW",IF(ISNA(VLOOKUP(E1265,#REF!,1,FALSE())),"?TYPE_IDENTIFIABLE","?REFERENTIAL"),"_")))))</f>
        <v/>
      </c>
      <c r="H1265" s="13" t="str">
        <f aca="false">IF(J1265&lt;&gt;1,"",IF(I1265="SBJ","CB","?"))</f>
        <v/>
      </c>
      <c r="I1265" s="14" t="str">
        <f aca="false">IF(OR(E1265="",E1265="!!!",F1265="NEW"),"",INDEX(B$2:B1264,-1+SUMPRODUCT(MAX(ROW(E$2:E1264)*(E1265=E$2:E1264)))))</f>
        <v/>
      </c>
      <c r="J1265" s="15" t="str">
        <f aca="true">IF(OR(E1265="",E1265="!!!",F1265="NEW"),"",COUNTBLANK(OFFSET(A$1,,,SUMPRODUCT(MAX(ROW(E$2:E1265)*(E1265=E$2:E1265)))))-COUNTBLANK(OFFSET(A$1,,,SUMPRODUCT(MAX(ROW(E$1:E1264)*(E1265=E$1:E1264))))))</f>
        <v/>
      </c>
      <c r="K1265" s="15" t="str">
        <f aca="false">IF(OR(E1265="",E1265="!!!",F1265="NEW"),"",INDEX(J$1:J1264,SUMPRODUCT(MAX(ROW(E$1:E1264)*(E1265=E$1:E1264)))))</f>
        <v/>
      </c>
      <c r="L1265" s="16"/>
    </row>
    <row r="1266" customFormat="false" ht="12.75" hidden="false" customHeight="false" outlineLevel="0" collapsed="false">
      <c r="A1266" s="9" t="s">
        <v>523</v>
      </c>
      <c r="B1266" s="0" t="s">
        <v>25</v>
      </c>
      <c r="C1266" s="0" t="s">
        <v>21</v>
      </c>
      <c r="E1266" s="10" t="str">
        <f aca="false">IF(#REF!="?OLD","!!!","")</f>
        <v/>
      </c>
      <c r="F1266" s="11" t="str">
        <f aca="false">IF(OR(E1266="",E1266="!!!"),"",IF(NOT(ISNA(VLOOKUP(E1266,E$1:E1265,1,FALSE()))),"OLD",IF(AND(E1266&lt;&gt;"",E1266&lt;&gt;"!!!"),"NEW","")))</f>
        <v/>
      </c>
      <c r="G1266" s="12" t="str">
        <f aca="false">IF(OR(E1266="",E1266="!!!"),"",IF(OR(J1266=0,AND(J1266=1,K1266=1),AND(J1266=1,I1266="SBJ"),AND(J1266=1,I1266=0)),"?IN_FOCUS",IF(J1266&lt;=2,"?ACTIVATED",IF(J1266&lt;&gt;"","?FAMILIAR",IF(F1266="NEW",IF(ISNA(VLOOKUP(E1266,#REF!,1,FALSE())),"?TYPE_IDENTIFIABLE","?REFERENTIAL"),"_")))))</f>
        <v/>
      </c>
      <c r="H1266" s="13" t="str">
        <f aca="false">IF(J1266&lt;&gt;1,"",IF(I1266="SBJ","CB","?"))</f>
        <v/>
      </c>
      <c r="I1266" s="14" t="str">
        <f aca="false">IF(OR(E1266="",E1266="!!!",F1266="NEW"),"",INDEX(B$2:B1265,-1+SUMPRODUCT(MAX(ROW(E$2:E1265)*(E1266=E$2:E1265)))))</f>
        <v/>
      </c>
      <c r="J1266" s="15" t="str">
        <f aca="true">IF(OR(E1266="",E1266="!!!",F1266="NEW"),"",COUNTBLANK(OFFSET(A$1,,,SUMPRODUCT(MAX(ROW(E$2:E1266)*(E1266=E$2:E1266)))))-COUNTBLANK(OFFSET(A$1,,,SUMPRODUCT(MAX(ROW(E$1:E1265)*(E1266=E$1:E1265))))))</f>
        <v/>
      </c>
      <c r="K1266" s="15" t="str">
        <f aca="false">IF(OR(E1266="",E1266="!!!",F1266="NEW"),"",INDEX(J$1:J1265,SUMPRODUCT(MAX(ROW(E$1:E1265)*(E1266=E$1:E1265)))))</f>
        <v/>
      </c>
      <c r="L1266" s="16"/>
    </row>
    <row r="1267" customFormat="false" ht="12.75" hidden="false" customHeight="false" outlineLevel="0" collapsed="false">
      <c r="A1267" s="9" t="s">
        <v>22</v>
      </c>
      <c r="E1267" s="10" t="str">
        <f aca="false">IF(#REF!="?OLD","!!!","")</f>
        <v/>
      </c>
      <c r="F1267" s="11" t="str">
        <f aca="false">IF(OR(E1267="",E1267="!!!"),"",IF(NOT(ISNA(VLOOKUP(E1267,E$1:E1266,1,FALSE()))),"OLD",IF(AND(E1267&lt;&gt;"",E1267&lt;&gt;"!!!"),"NEW","")))</f>
        <v/>
      </c>
      <c r="G1267" s="12" t="str">
        <f aca="false">IF(OR(E1267="",E1267="!!!"),"",IF(OR(J1267=0,AND(J1267=1,K1267=1),AND(J1267=1,I1267="SBJ"),AND(J1267=1,I1267=0)),"?IN_FOCUS",IF(J1267&lt;=2,"?ACTIVATED",IF(J1267&lt;&gt;"","?FAMILIAR",IF(F1267="NEW",IF(ISNA(VLOOKUP(E1267,#REF!,1,FALSE())),"?TYPE_IDENTIFIABLE","?REFERENTIAL"),"_")))))</f>
        <v/>
      </c>
      <c r="H1267" s="13" t="str">
        <f aca="false">IF(J1267&lt;&gt;1,"",IF(I1267="SBJ","CB","?"))</f>
        <v/>
      </c>
      <c r="I1267" s="14" t="str">
        <f aca="false">IF(OR(E1267="",E1267="!!!",F1267="NEW"),"",INDEX(B$2:B1266,-1+SUMPRODUCT(MAX(ROW(E$2:E1266)*(E1267=E$2:E1266)))))</f>
        <v/>
      </c>
      <c r="J1267" s="15" t="str">
        <f aca="true">IF(OR(E1267="",E1267="!!!",F1267="NEW"),"",COUNTBLANK(OFFSET(A$1,,,SUMPRODUCT(MAX(ROW(E$2:E1267)*(E1267=E$2:E1267)))))-COUNTBLANK(OFFSET(A$1,,,SUMPRODUCT(MAX(ROW(E$1:E1266)*(E1267=E$1:E1266))))))</f>
        <v/>
      </c>
      <c r="K1267" s="15" t="str">
        <f aca="false">IF(OR(E1267="",E1267="!!!",F1267="NEW"),"",INDEX(J$1:J1266,SUMPRODUCT(MAX(ROW(E$1:E1266)*(E1267=E$1:E1266)))))</f>
        <v/>
      </c>
      <c r="L1267" s="16"/>
    </row>
    <row r="1268" customFormat="false" ht="12.75" hidden="false" customHeight="false" outlineLevel="0" collapsed="false">
      <c r="A1268" s="9" t="s">
        <v>152</v>
      </c>
      <c r="B1268" s="0" t="s">
        <v>17</v>
      </c>
      <c r="C1268" s="0" t="s">
        <v>58</v>
      </c>
      <c r="D1268" s="0" t="s">
        <v>27</v>
      </c>
      <c r="E1268" s="10" t="s">
        <v>64</v>
      </c>
      <c r="F1268" s="11" t="str">
        <f aca="false">IF(OR(E1268="",E1268="!!!"),"",IF(NOT(ISNA(VLOOKUP(E1268,E$1:E1267,1,FALSE()))),"OLD",IF(AND(E1268&lt;&gt;"",E1268&lt;&gt;"!!!"),"NEW","")))</f>
        <v>OLD</v>
      </c>
      <c r="G1268" s="12" t="s">
        <v>49</v>
      </c>
      <c r="H1268" s="13" t="s">
        <v>7</v>
      </c>
      <c r="I1268" s="14" t="str">
        <f aca="false">IF(OR(E1268="",E1268="!!!",F1268="NEW"),"",INDEX(B$2:B1267,-1+SUMPRODUCT(MAX(ROW(E$2:E1267)*(E1268=E$2:E1267)))))</f>
        <v>SBJ_3</v>
      </c>
      <c r="J1268" s="15" t="n">
        <f aca="true">IF(OR(E1268="",E1268="!!!",F1268="NEW"),"",COUNTBLANK(OFFSET(A$1,,,SUMPRODUCT(MAX(ROW(E$2:E1268)*(E1268=E$2:E1268)))))-COUNTBLANK(OFFSET(A$1,,,SUMPRODUCT(MAX(ROW(E$1:E1267)*(E1268=E$1:E1267))))))</f>
        <v>1</v>
      </c>
      <c r="K1268" s="15" t="n">
        <f aca="false">IF(OR(E1268="",E1268="!!!",F1268="NEW"),"",INDEX(J$1:J1267,SUMPRODUCT(MAX(ROW(E$1:E1267)*(E1268=E$1:E1267)))))</f>
        <v>0</v>
      </c>
      <c r="L1268" s="16"/>
    </row>
    <row r="1269" customFormat="false" ht="12.75" hidden="false" customHeight="false" outlineLevel="0" collapsed="false">
      <c r="A1269" s="9" t="s">
        <v>524</v>
      </c>
      <c r="E1269" s="10" t="str">
        <f aca="false">IF(#REF!="?OLD","!!!","")</f>
        <v/>
      </c>
      <c r="F1269" s="11" t="str">
        <f aca="false">IF(OR(E1269="",E1269="!!!"),"",IF(NOT(ISNA(VLOOKUP(E1269,E$1:E1268,1,FALSE()))),"OLD",IF(AND(E1269&lt;&gt;"",E1269&lt;&gt;"!!!"),"NEW","")))</f>
        <v/>
      </c>
      <c r="G1269" s="12" t="str">
        <f aca="false">IF(OR(E1269="",E1269="!!!"),"",IF(OR(J1269=0,AND(J1269=1,K1269=1),AND(J1269=1,I1269="SBJ"),AND(J1269=1,I1269=0)),"?IN_FOCUS",IF(J1269&lt;=2,"?ACTIVATED",IF(J1269&lt;&gt;"","?FAMILIAR",IF(F1269="NEW",IF(ISNA(VLOOKUP(E1269,#REF!,1,FALSE())),"?TYPE_IDENTIFIABLE","?REFERENTIAL"),"_")))))</f>
        <v/>
      </c>
      <c r="H1269" s="13" t="str">
        <f aca="false">IF(J1269&lt;&gt;1,"",IF(I1269="SBJ","CB","?"))</f>
        <v/>
      </c>
      <c r="I1269" s="14" t="str">
        <f aca="false">IF(OR(E1269="",E1269="!!!",F1269="NEW"),"",INDEX(B$2:B1268,-1+SUMPRODUCT(MAX(ROW(E$2:E1268)*(E1269=E$2:E1268)))))</f>
        <v/>
      </c>
      <c r="J1269" s="15" t="str">
        <f aca="true">IF(OR(E1269="",E1269="!!!",F1269="NEW"),"",COUNTBLANK(OFFSET(A$1,,,SUMPRODUCT(MAX(ROW(E$2:E1269)*(E1269=E$2:E1269)))))-COUNTBLANK(OFFSET(A$1,,,SUMPRODUCT(MAX(ROW(E$1:E1268)*(E1269=E$1:E1268))))))</f>
        <v/>
      </c>
      <c r="K1269" s="15" t="str">
        <f aca="false">IF(OR(E1269="",E1269="!!!",F1269="NEW"),"",INDEX(J$1:J1268,SUMPRODUCT(MAX(ROW(E$1:E1268)*(E1269=E$1:E1268)))))</f>
        <v/>
      </c>
      <c r="L1269" s="16"/>
    </row>
    <row r="1270" customFormat="false" ht="12.75" hidden="false" customHeight="false" outlineLevel="0" collapsed="false">
      <c r="A1270" s="9" t="s">
        <v>525</v>
      </c>
      <c r="E1270" s="10" t="str">
        <f aca="false">IF(#REF!="?OLD","!!!","")</f>
        <v/>
      </c>
      <c r="F1270" s="11" t="str">
        <f aca="false">IF(OR(E1270="",E1270="!!!"),"",IF(NOT(ISNA(VLOOKUP(E1270,E$1:E1269,1,FALSE()))),"OLD",IF(AND(E1270&lt;&gt;"",E1270&lt;&gt;"!!!"),"NEW","")))</f>
        <v/>
      </c>
      <c r="G1270" s="12" t="str">
        <f aca="false">IF(OR(E1270="",E1270="!!!"),"",IF(OR(J1270=0,AND(J1270=1,K1270=1),AND(J1270=1,I1270="SBJ"),AND(J1270=1,I1270=0)),"?IN_FOCUS",IF(J1270&lt;=2,"?ACTIVATED",IF(J1270&lt;&gt;"","?FAMILIAR",IF(F1270="NEW",IF(ISNA(VLOOKUP(E1270,#REF!,1,FALSE())),"?TYPE_IDENTIFIABLE","?REFERENTIAL"),"_")))))</f>
        <v/>
      </c>
      <c r="H1270" s="13" t="str">
        <f aca="false">IF(J1270&lt;&gt;1,"",IF(I1270="SBJ","CB","?"))</f>
        <v/>
      </c>
      <c r="I1270" s="14" t="str">
        <f aca="false">IF(OR(E1270="",E1270="!!!",F1270="NEW"),"",INDEX(B$2:B1269,-1+SUMPRODUCT(MAX(ROW(E$2:E1269)*(E1270=E$2:E1269)))))</f>
        <v/>
      </c>
      <c r="J1270" s="15" t="str">
        <f aca="true">IF(OR(E1270="",E1270="!!!",F1270="NEW"),"",COUNTBLANK(OFFSET(A$1,,,SUMPRODUCT(MAX(ROW(E$2:E1270)*(E1270=E$2:E1270)))))-COUNTBLANK(OFFSET(A$1,,,SUMPRODUCT(MAX(ROW(E$1:E1269)*(E1270=E$1:E1269))))))</f>
        <v/>
      </c>
      <c r="K1270" s="15" t="str">
        <f aca="false">IF(OR(E1270="",E1270="!!!",F1270="NEW"),"",INDEX(J$1:J1269,SUMPRODUCT(MAX(ROW(E$1:E1269)*(E1270=E$1:E1269)))))</f>
        <v/>
      </c>
      <c r="L1270" s="16"/>
    </row>
    <row r="1271" customFormat="false" ht="12.75" hidden="false" customHeight="false" outlineLevel="0" collapsed="false">
      <c r="A1271" s="9" t="s">
        <v>366</v>
      </c>
      <c r="B1271" s="0" t="s">
        <v>38</v>
      </c>
      <c r="C1271" s="0" t="s">
        <v>21</v>
      </c>
      <c r="E1271" s="10" t="str">
        <f aca="false">IF(#REF!="?OLD","!!!","")</f>
        <v/>
      </c>
      <c r="F1271" s="11" t="str">
        <f aca="false">IF(OR(E1271="",E1271="!!!"),"",IF(NOT(ISNA(VLOOKUP(E1271,E$1:E1270,1,FALSE()))),"OLD",IF(AND(E1271&lt;&gt;"",E1271&lt;&gt;"!!!"),"NEW","")))</f>
        <v/>
      </c>
      <c r="G1271" s="12" t="str">
        <f aca="false">IF(OR(E1271="",E1271="!!!"),"",IF(OR(J1271=0,AND(J1271=1,K1271=1),AND(J1271=1,I1271="SBJ"),AND(J1271=1,I1271=0)),"?IN_FOCUS",IF(J1271&lt;=2,"?ACTIVATED",IF(J1271&lt;&gt;"","?FAMILIAR",IF(F1271="NEW",IF(ISNA(VLOOKUP(E1271,#REF!,1,FALSE())),"?TYPE_IDENTIFIABLE","?REFERENTIAL"),"_")))))</f>
        <v/>
      </c>
      <c r="H1271" s="13" t="str">
        <f aca="false">IF(J1271&lt;&gt;1,"",IF(I1271="SBJ","CB","?"))</f>
        <v/>
      </c>
      <c r="I1271" s="14" t="str">
        <f aca="false">IF(OR(E1271="",E1271="!!!",F1271="NEW"),"",INDEX(B$2:B1270,-1+SUMPRODUCT(MAX(ROW(E$2:E1270)*(E1271=E$2:E1270)))))</f>
        <v/>
      </c>
      <c r="J1271" s="15" t="str">
        <f aca="true">IF(OR(E1271="",E1271="!!!",F1271="NEW"),"",COUNTBLANK(OFFSET(A$1,,,SUMPRODUCT(MAX(ROW(E$2:E1271)*(E1271=E$2:E1271)))))-COUNTBLANK(OFFSET(A$1,,,SUMPRODUCT(MAX(ROW(E$1:E1270)*(E1271=E$1:E1270))))))</f>
        <v/>
      </c>
      <c r="K1271" s="15" t="str">
        <f aca="false">IF(OR(E1271="",E1271="!!!",F1271="NEW"),"",INDEX(J$1:J1270,SUMPRODUCT(MAX(ROW(E$1:E1270)*(E1271=E$1:E1270)))))</f>
        <v/>
      </c>
      <c r="L1271" s="16"/>
    </row>
    <row r="1272" customFormat="false" ht="12.75" hidden="false" customHeight="false" outlineLevel="0" collapsed="false">
      <c r="A1272" s="9" t="s">
        <v>39</v>
      </c>
      <c r="E1272" s="10" t="str">
        <f aca="false">IF(#REF!="?OLD","!!!","")</f>
        <v/>
      </c>
      <c r="F1272" s="11" t="str">
        <f aca="false">IF(OR(E1272="",E1272="!!!"),"",IF(NOT(ISNA(VLOOKUP(E1272,E$1:E1271,1,FALSE()))),"OLD",IF(AND(E1272&lt;&gt;"",E1272&lt;&gt;"!!!"),"NEW","")))</f>
        <v/>
      </c>
      <c r="G1272" s="12" t="str">
        <f aca="false">IF(OR(E1272="",E1272="!!!"),"",IF(OR(J1272=0,AND(J1272=1,K1272=1),AND(J1272=1,I1272="SBJ"),AND(J1272=1,I1272=0)),"?IN_FOCUS",IF(J1272&lt;=2,"?ACTIVATED",IF(J1272&lt;&gt;"","?FAMILIAR",IF(F1272="NEW",IF(ISNA(VLOOKUP(E1272,#REF!,1,FALSE())),"?TYPE_IDENTIFIABLE","?REFERENTIAL"),"_")))))</f>
        <v/>
      </c>
      <c r="H1272" s="13" t="str">
        <f aca="false">IF(J1272&lt;&gt;1,"",IF(I1272="SBJ","CB","?"))</f>
        <v/>
      </c>
      <c r="I1272" s="14" t="str">
        <f aca="false">IF(OR(E1272="",E1272="!!!",F1272="NEW"),"",INDEX(B$2:B1271,-1+SUMPRODUCT(MAX(ROW(E$2:E1271)*(E1272=E$2:E1271)))))</f>
        <v/>
      </c>
      <c r="J1272" s="15" t="str">
        <f aca="true">IF(OR(E1272="",E1272="!!!",F1272="NEW"),"",COUNTBLANK(OFFSET(A$1,,,SUMPRODUCT(MAX(ROW(E$2:E1272)*(E1272=E$2:E1272)))))-COUNTBLANK(OFFSET(A$1,,,SUMPRODUCT(MAX(ROW(E$1:E1271)*(E1272=E$1:E1271))))))</f>
        <v/>
      </c>
      <c r="K1272" s="15" t="str">
        <f aca="false">IF(OR(E1272="",E1272="!!!",F1272="NEW"),"",INDEX(J$1:J1271,SUMPRODUCT(MAX(ROW(E$1:E1271)*(E1272=E$1:E1271)))))</f>
        <v/>
      </c>
      <c r="L1272" s="16"/>
    </row>
    <row r="1273" customFormat="false" ht="12.75" hidden="false" customHeight="false" outlineLevel="0" collapsed="false">
      <c r="A1273" s="9" t="s">
        <v>526</v>
      </c>
      <c r="E1273" s="10" t="str">
        <f aca="false">IF(#REF!="?OLD","!!!","")</f>
        <v/>
      </c>
      <c r="F1273" s="11" t="str">
        <f aca="false">IF(OR(E1273="",E1273="!!!"),"",IF(NOT(ISNA(VLOOKUP(E1273,E$1:E1272,1,FALSE()))),"OLD",IF(AND(E1273&lt;&gt;"",E1273&lt;&gt;"!!!"),"NEW","")))</f>
        <v/>
      </c>
      <c r="G1273" s="12" t="str">
        <f aca="false">IF(OR(E1273="",E1273="!!!"),"",IF(OR(J1273=0,AND(J1273=1,K1273=1),AND(J1273=1,I1273="SBJ"),AND(J1273=1,I1273=0)),"?IN_FOCUS",IF(J1273&lt;=2,"?ACTIVATED",IF(J1273&lt;&gt;"","?FAMILIAR",IF(F1273="NEW",IF(ISNA(VLOOKUP(E1273,#REF!,1,FALSE())),"?TYPE_IDENTIFIABLE","?REFERENTIAL"),"_")))))</f>
        <v/>
      </c>
      <c r="H1273" s="13" t="str">
        <f aca="false">IF(J1273&lt;&gt;1,"",IF(I1273="SBJ","CB","?"))</f>
        <v/>
      </c>
      <c r="I1273" s="14" t="str">
        <f aca="false">IF(OR(E1273="",E1273="!!!",F1273="NEW"),"",INDEX(B$2:B1272,-1+SUMPRODUCT(MAX(ROW(E$2:E1272)*(E1273=E$2:E1272)))))</f>
        <v/>
      </c>
      <c r="J1273" s="15" t="str">
        <f aca="true">IF(OR(E1273="",E1273="!!!",F1273="NEW"),"",COUNTBLANK(OFFSET(A$1,,,SUMPRODUCT(MAX(ROW(E$2:E1273)*(E1273=E$2:E1273)))))-COUNTBLANK(OFFSET(A$1,,,SUMPRODUCT(MAX(ROW(E$1:E1272)*(E1273=E$1:E1272))))))</f>
        <v/>
      </c>
      <c r="K1273" s="15" t="str">
        <f aca="false">IF(OR(E1273="",E1273="!!!",F1273="NEW"),"",INDEX(J$1:J1272,SUMPRODUCT(MAX(ROW(E$1:E1272)*(E1273=E$1:E1272)))))</f>
        <v/>
      </c>
      <c r="L1273" s="16"/>
    </row>
    <row r="1274" customFormat="false" ht="12.75" hidden="false" customHeight="false" outlineLevel="0" collapsed="false">
      <c r="A1274" s="9" t="s">
        <v>386</v>
      </c>
      <c r="B1274" s="0" t="s">
        <v>43</v>
      </c>
      <c r="C1274" s="0" t="s">
        <v>26</v>
      </c>
      <c r="D1274" s="0" t="s">
        <v>27</v>
      </c>
      <c r="E1274" s="10" t="s">
        <v>386</v>
      </c>
      <c r="F1274" s="11" t="str">
        <f aca="false">IF(OR(E1274="",E1274="!!!"),"",IF(NOT(ISNA(VLOOKUP(E1274,E$1:E1273,1,FALSE()))),"OLD",IF(AND(E1274&lt;&gt;"",E1274&lt;&gt;"!!!"),"NEW","")))</f>
        <v>OLD</v>
      </c>
      <c r="G1274" s="12" t="s">
        <v>51</v>
      </c>
      <c r="H1274" s="13"/>
      <c r="I1274" s="14" t="str">
        <f aca="false">IF(OR(E1274="",E1274="!!!",F1274="NEW"),"",INDEX(B$2:B1273,-1+SUMPRODUCT(MAX(ROW(E$2:E1273)*(E1274=E$2:E1273)))))</f>
        <v>other_6</v>
      </c>
      <c r="J1274" s="15" t="n">
        <f aca="true">IF(OR(E1274="",E1274="!!!",F1274="NEW"),"",COUNTBLANK(OFFSET(A$1,,,SUMPRODUCT(MAX(ROW(E$2:E1274)*(E1274=E$2:E1274)))))-COUNTBLANK(OFFSET(A$1,,,SUMPRODUCT(MAX(ROW(E$1:E1273)*(E1274=E$1:E1273))))))</f>
        <v>1</v>
      </c>
      <c r="K1274" s="15" t="n">
        <f aca="false">IF(OR(E1274="",E1274="!!!",F1274="NEW"),"",INDEX(J$1:J1273,SUMPRODUCT(MAX(ROW(E$1:E1273)*(E1274=E$1:E1273)))))</f>
        <v>0</v>
      </c>
      <c r="L1274" s="16"/>
    </row>
    <row r="1275" customFormat="false" ht="12.75" hidden="false" customHeight="false" outlineLevel="0" collapsed="false">
      <c r="A1275" s="9" t="s">
        <v>22</v>
      </c>
      <c r="E1275" s="10" t="str">
        <f aca="false">IF(#REF!="?OLD","!!!","")</f>
        <v/>
      </c>
      <c r="F1275" s="11" t="str">
        <f aca="false">IF(OR(E1275="",E1275="!!!"),"",IF(NOT(ISNA(VLOOKUP(E1275,E$1:E1274,1,FALSE()))),"OLD",IF(AND(E1275&lt;&gt;"",E1275&lt;&gt;"!!!"),"NEW","")))</f>
        <v/>
      </c>
      <c r="G1275" s="12" t="str">
        <f aca="false">IF(OR(E1275="",E1275="!!!"),"",IF(OR(J1275=0,AND(J1275=1,K1275=1),AND(J1275=1,I1275="SBJ"),AND(J1275=1,I1275=0)),"?IN_FOCUS",IF(J1275&lt;=2,"?ACTIVATED",IF(J1275&lt;&gt;"","?FAMILIAR",IF(F1275="NEW",IF(ISNA(VLOOKUP(E1275,#REF!,1,FALSE())),"?TYPE_IDENTIFIABLE","?REFERENTIAL"),"_")))))</f>
        <v/>
      </c>
      <c r="H1275" s="13" t="str">
        <f aca="false">IF(J1275&lt;&gt;1,"",IF(I1275="SBJ","CB","?"))</f>
        <v/>
      </c>
      <c r="I1275" s="14" t="str">
        <f aca="false">IF(OR(E1275="",E1275="!!!",F1275="NEW"),"",INDEX(B$2:B1274,-1+SUMPRODUCT(MAX(ROW(E$2:E1274)*(E1275=E$2:E1274)))))</f>
        <v/>
      </c>
      <c r="J1275" s="15" t="str">
        <f aca="true">IF(OR(E1275="",E1275="!!!",F1275="NEW"),"",COUNTBLANK(OFFSET(A$1,,,SUMPRODUCT(MAX(ROW(E$2:E1275)*(E1275=E$2:E1275)))))-COUNTBLANK(OFFSET(A$1,,,SUMPRODUCT(MAX(ROW(E$1:E1274)*(E1275=E$1:E1274))))))</f>
        <v/>
      </c>
      <c r="K1275" s="15" t="str">
        <f aca="false">IF(OR(E1275="",E1275="!!!",F1275="NEW"),"",INDEX(J$1:J1274,SUMPRODUCT(MAX(ROW(E$1:E1274)*(E1275=E$1:E1274)))))</f>
        <v/>
      </c>
      <c r="L1275" s="16"/>
    </row>
    <row r="1276" customFormat="false" ht="12.75" hidden="false" customHeight="false" outlineLevel="0" collapsed="false">
      <c r="A1276" s="9" t="s">
        <v>45</v>
      </c>
      <c r="E1276" s="10" t="str">
        <f aca="false">IF(#REF!="?OLD","!!!","")</f>
        <v/>
      </c>
      <c r="F1276" s="11" t="str">
        <f aca="false">IF(OR(E1276="",E1276="!!!"),"",IF(NOT(ISNA(VLOOKUP(E1276,E$1:E1275,1,FALSE()))),"OLD",IF(AND(E1276&lt;&gt;"",E1276&lt;&gt;"!!!"),"NEW","")))</f>
        <v/>
      </c>
      <c r="G1276" s="12" t="str">
        <f aca="false">IF(OR(E1276="",E1276="!!!"),"",IF(OR(J1276=0,AND(J1276=1,K1276=1),AND(J1276=1,I1276="SBJ"),AND(J1276=1,I1276=0)),"?IN_FOCUS",IF(J1276&lt;=2,"?ACTIVATED",IF(J1276&lt;&gt;"","?FAMILIAR",IF(F1276="NEW",IF(ISNA(VLOOKUP(E1276,#REF!,1,FALSE())),"?TYPE_IDENTIFIABLE","?REFERENTIAL"),"_")))))</f>
        <v/>
      </c>
      <c r="H1276" s="13" t="str">
        <f aca="false">IF(J1276&lt;&gt;1,"",IF(I1276="SBJ","CB","?"))</f>
        <v/>
      </c>
      <c r="I1276" s="14" t="str">
        <f aca="false">IF(OR(E1276="",E1276="!!!",F1276="NEW"),"",INDEX(B$2:B1275,-1+SUMPRODUCT(MAX(ROW(E$2:E1275)*(E1276=E$2:E1275)))))</f>
        <v/>
      </c>
      <c r="J1276" s="15" t="str">
        <f aca="true">IF(OR(E1276="",E1276="!!!",F1276="NEW"),"",COUNTBLANK(OFFSET(A$1,,,SUMPRODUCT(MAX(ROW(E$2:E1276)*(E1276=E$2:E1276)))))-COUNTBLANK(OFFSET(A$1,,,SUMPRODUCT(MAX(ROW(E$1:E1275)*(E1276=E$1:E1275))))))</f>
        <v/>
      </c>
      <c r="K1276" s="15" t="str">
        <f aca="false">IF(OR(E1276="",E1276="!!!",F1276="NEW"),"",INDEX(J$1:J1275,SUMPRODUCT(MAX(ROW(E$1:E1275)*(E1276=E$1:E1275)))))</f>
        <v/>
      </c>
      <c r="L1276" s="16"/>
    </row>
    <row r="1277" customFormat="false" ht="12.75" hidden="false" customHeight="false" outlineLevel="0" collapsed="false">
      <c r="A1277" s="9" t="s">
        <v>527</v>
      </c>
      <c r="B1277" s="0" t="s">
        <v>75</v>
      </c>
      <c r="C1277" s="0" t="s">
        <v>26</v>
      </c>
      <c r="D1277" s="0" t="s">
        <v>27</v>
      </c>
      <c r="E1277" s="10" t="s">
        <v>386</v>
      </c>
      <c r="F1277" s="11" t="str">
        <f aca="false">IF(OR(E1277="",E1277="!!!"),"",IF(NOT(ISNA(VLOOKUP(E1277,E$1:E1276,1,FALSE()))),"OLD",IF(AND(E1277&lt;&gt;"",E1277&lt;&gt;"!!!"),"NEW","")))</f>
        <v>OLD</v>
      </c>
      <c r="G1277" s="12" t="s">
        <v>51</v>
      </c>
      <c r="H1277" s="13" t="str">
        <f aca="false">IF(J1277&lt;&gt;1,"",IF(I1277="SBJ","CB","?"))</f>
        <v/>
      </c>
      <c r="I1277" s="14" t="str">
        <f aca="false">IF(OR(E1277="",E1277="!!!",F1277="NEW"),"",INDEX(B$2:B1276,-1+SUMPRODUCT(MAX(ROW(E$2:E1276)*(E1277=E$2:E1276)))))</f>
        <v>OBJ_2</v>
      </c>
      <c r="J1277" s="15" t="n">
        <f aca="true">IF(OR(E1277="",E1277="!!!",F1277="NEW"),"",COUNTBLANK(OFFSET(A$1,,,SUMPRODUCT(MAX(ROW(E$2:E1277)*(E1277=E$2:E1277)))))-COUNTBLANK(OFFSET(A$1,,,SUMPRODUCT(MAX(ROW(E$1:E1276)*(E1277=E$1:E1276))))))</f>
        <v>0</v>
      </c>
      <c r="K1277" s="15" t="n">
        <f aca="false">IF(OR(E1277="",E1277="!!!",F1277="NEW"),"",INDEX(J$1:J1276,SUMPRODUCT(MAX(ROW(E$1:E1276)*(E1277=E$1:E1276)))))</f>
        <v>1</v>
      </c>
      <c r="L1277" s="16"/>
    </row>
    <row r="1278" customFormat="false" ht="12.75" hidden="false" customHeight="false" outlineLevel="0" collapsed="false">
      <c r="A1278" s="9" t="s">
        <v>68</v>
      </c>
      <c r="E1278" s="10" t="str">
        <f aca="false">IF(#REF!="?OLD","!!!","")</f>
        <v/>
      </c>
      <c r="F1278" s="11" t="str">
        <f aca="false">IF(OR(E1278="",E1278="!!!"),"",IF(NOT(ISNA(VLOOKUP(E1278,E$1:E1277,1,FALSE()))),"OLD",IF(AND(E1278&lt;&gt;"",E1278&lt;&gt;"!!!"),"NEW","")))</f>
        <v/>
      </c>
      <c r="G1278" s="12" t="str">
        <f aca="false">IF(OR(E1278="",E1278="!!!"),"",IF(OR(J1278=0,AND(J1278=1,K1278=1),AND(J1278=1,I1278="SBJ"),AND(J1278=1,I1278=0)),"?IN_FOCUS",IF(J1278&lt;=2,"?ACTIVATED",IF(J1278&lt;&gt;"","?FAMILIAR",IF(F1278="NEW",IF(ISNA(VLOOKUP(E1278,#REF!,1,FALSE())),"?TYPE_IDENTIFIABLE","?REFERENTIAL"),"_")))))</f>
        <v/>
      </c>
      <c r="H1278" s="13" t="str">
        <f aca="false">IF(J1278&lt;&gt;1,"",IF(I1278="SBJ","CB","?"))</f>
        <v/>
      </c>
      <c r="I1278" s="14" t="str">
        <f aca="false">IF(OR(E1278="",E1278="!!!",F1278="NEW"),"",INDEX(B$2:B1277,-1+SUMPRODUCT(MAX(ROW(E$2:E1277)*(E1278=E$2:E1277)))))</f>
        <v/>
      </c>
      <c r="J1278" s="15" t="str">
        <f aca="true">IF(OR(E1278="",E1278="!!!",F1278="NEW"),"",COUNTBLANK(OFFSET(A$1,,,SUMPRODUCT(MAX(ROW(E$2:E1278)*(E1278=E$2:E1278)))))-COUNTBLANK(OFFSET(A$1,,,SUMPRODUCT(MAX(ROW(E$1:E1277)*(E1278=E$1:E1277))))))</f>
        <v/>
      </c>
      <c r="K1278" s="15" t="str">
        <f aca="false">IF(OR(E1278="",E1278="!!!",F1278="NEW"),"",INDEX(J$1:J1277,SUMPRODUCT(MAX(ROW(E$1:E1277)*(E1278=E$1:E1277)))))</f>
        <v/>
      </c>
      <c r="L1278" s="16"/>
    </row>
    <row r="1279" customFormat="false" ht="12.75" hidden="false" customHeight="false" outlineLevel="0" collapsed="false">
      <c r="E1279" s="10" t="str">
        <f aca="false">IF(#REF!="?OLD","!!!","")</f>
        <v/>
      </c>
      <c r="F1279" s="11" t="str">
        <f aca="false">IF(OR(E1279="",E1279="!!!"),"",IF(NOT(ISNA(VLOOKUP(E1279,E$1:E1278,1,FALSE()))),"OLD",IF(AND(E1279&lt;&gt;"",E1279&lt;&gt;"!!!"),"NEW","")))</f>
        <v/>
      </c>
      <c r="G1279" s="12" t="str">
        <f aca="false">IF(OR(E1279="",E1279="!!!"),"",IF(OR(J1279=0,AND(J1279=1,K1279=1),AND(J1279=1,I1279="SBJ"),AND(J1279=1,I1279=0)),"?IN_FOCUS",IF(J1279&lt;=2,"?ACTIVATED",IF(J1279&lt;&gt;"","?FAMILIAR",IF(F1279="NEW",IF(ISNA(VLOOKUP(E1279,#REF!,1,FALSE())),"?TYPE_IDENTIFIABLE","?REFERENTIAL"),"_")))))</f>
        <v/>
      </c>
      <c r="H1279" s="13" t="str">
        <f aca="false">IF(J1279&lt;&gt;1,"",IF(I1279="SBJ","CB","?"))</f>
        <v/>
      </c>
      <c r="I1279" s="14" t="str">
        <f aca="false">IF(OR(E1279="",E1279="!!!",F1279="NEW"),"",INDEX(B$2:B1278,-1+SUMPRODUCT(MAX(ROW(E$2:E1278)*(E1279=E$2:E1278)))))</f>
        <v/>
      </c>
      <c r="J1279" s="15" t="str">
        <f aca="true">IF(OR(E1279="",E1279="!!!",F1279="NEW"),"",COUNTBLANK(OFFSET(A$1,,,SUMPRODUCT(MAX(ROW(E$2:E1279)*(E1279=E$2:E1279)))))-COUNTBLANK(OFFSET(A$1,,,SUMPRODUCT(MAX(ROW(E$1:E1278)*(E1279=E$1:E1278))))))</f>
        <v/>
      </c>
      <c r="K1279" s="15" t="str">
        <f aca="false">IF(OR(E1279="",E1279="!!!",F1279="NEW"),"",INDEX(J$1:J1278,SUMPRODUCT(MAX(ROW(E$1:E1278)*(E1279=E$1:E1278)))))</f>
        <v/>
      </c>
      <c r="L1279" s="16"/>
    </row>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L1279"/>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2023-07-10T14:16:17Z</dcterms:created>
  <dc:creator>Kalbsmaster 5000</dc:creator>
  <dc:description/>
  <dc:language>en-US</dc:language>
  <cp:lastModifiedBy/>
  <dcterms:modified xsi:type="dcterms:W3CDTF">2025-11-14T18:16:12Z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file>