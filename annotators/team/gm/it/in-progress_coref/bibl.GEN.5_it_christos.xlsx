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<sst xmlns="http://schemas.openxmlformats.org/spreadsheetml/2006/main" count="1170" uniqueCount="326">
  <si>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</si>
  <si>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</si>
  <si>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</si>
  <si>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</si>
  <si>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</si>
  <si>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</si>
  <si>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</si>
  <si>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</si>
  <si>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</si>
  <si>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</si>
  <si>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</si>
  <si>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2</t>
  </si>
  <si>
    <t xml:space="preserve">_</t>
  </si>
  <si>
    <t xml:space="preserve">essere (essere libro)</t>
  </si>
  <si>
    <t xml:space="preserve">Questo è il libro della di la genealogia di Adamo .</t>
  </si>
  <si>
    <t xml:space="preserve">file://conllu/it/bibl.it_christos.GEN.5.conllu#s1_0</t>
  </si>
  <si>
    <t xml:space="preserve">8</t>
  </si>
  <si>
    <t xml:space="preserve">quando?</t>
  </si>
  <si>
    <t xml:space="preserve">fare</t>
  </si>
  <si>
    <t xml:space="preserve">Quando Dio creò l' uomo , lo fece a somiglianza di Dio</t>
  </si>
  <si>
    <t xml:space="preserve">file://conllu/it/bibl.it_christos.GEN.5.conllu#s2_0</t>
  </si>
  <si>
    <t xml:space="preserve">3</t>
  </si>
  <si>
    <t xml:space="preserve">5</t>
  </si>
  <si>
    <t xml:space="preserve">e?</t>
  </si>
  <si>
    <t xml:space="preserve">creare</t>
  </si>
  <si>
    <t xml:space="preserve">maschio e femmina li creò , li benedisse e li chiamò uomini quando furono creati</t>
  </si>
  <si>
    <t xml:space="preserve">file://conllu/it/bibl.it_christos.GEN.5.conllu#s3_0</t>
  </si>
  <si>
    <t xml:space="preserve">4</t>
  </si>
  <si>
    <t xml:space="preserve">avere</t>
  </si>
  <si>
    <t xml:space="preserve">Adamo aveva centotrenta anni quando generò a sua immagine , a sua somiglianza , un figlio e lo chiamò Set</t>
  </si>
  <si>
    <t xml:space="preserve">file://conllu/it/bibl.it_christos.GEN.5.conllu#s4_0</t>
  </si>
  <si>
    <t xml:space="preserve">7</t>
  </si>
  <si>
    <t xml:space="preserve">dopo?</t>
  </si>
  <si>
    <t xml:space="preserve">vivere</t>
  </si>
  <si>
    <t xml:space="preserve">Dopo aver generato Set , Adamo visse ancora ottocento anni e generò figli e figlie</t>
  </si>
  <si>
    <t xml:space="preserve">file://conllu/it/bibl.it_christos.GEN.5.conllu#s5_0</t>
  </si>
  <si>
    <t xml:space="preserve">6</t>
  </si>
  <si>
    <t xml:space="preserve">12</t>
  </si>
  <si>
    <t xml:space="preserve">poi?</t>
  </si>
  <si>
    <t xml:space="preserve">morire</t>
  </si>
  <si>
    <t xml:space="preserve">L' intera vita di Adamo fu di novecentotrenta anni ; poi morì</t>
  </si>
  <si>
    <t xml:space="preserve">file://conllu/it/bibl.it_christos.GEN.5.conllu#s6_0</t>
  </si>
  <si>
    <t xml:space="preserve">Set aveva centocinque anni quando generò Enos</t>
  </si>
  <si>
    <t xml:space="preserve">file://conllu/it/bibl.it_christos.GEN.5.conllu#s7_0</t>
  </si>
  <si>
    <t xml:space="preserve">dopo aver generato Enos , Set visse ancora ottocentosette anni e generò figli e figlie</t>
  </si>
  <si>
    <t xml:space="preserve">file://conllu/it/bibl.it_christos.GEN.5.conllu#s8_0</t>
  </si>
  <si>
    <t xml:space="preserve">9</t>
  </si>
  <si>
    <t xml:space="preserve">L' intera vita di Set fu di novecentododici anni ; poi morì</t>
  </si>
  <si>
    <t xml:space="preserve">file://conllu/it/bibl.it_christos.GEN.5.conllu#s9_0</t>
  </si>
  <si>
    <t xml:space="preserve">10</t>
  </si>
  <si>
    <t xml:space="preserve">Enos aveva novanta anni quando generò Kenan</t>
  </si>
  <si>
    <t xml:space="preserve">file://conllu/it/bibl.it_christos.GEN.5.conllu#s10_0</t>
  </si>
  <si>
    <t xml:space="preserve">11</t>
  </si>
  <si>
    <t xml:space="preserve">Enos , dopo aver generato Kenan , visse ancora ottocentoquindici anni e generò figli e figlie</t>
  </si>
  <si>
    <t xml:space="preserve">file://conllu/it/bibl.it_christos.GEN.5.conllu#s11_0</t>
  </si>
  <si>
    <t xml:space="preserve">L' intera vita di Enos fu di novecentocinque anni ; poi morì</t>
  </si>
  <si>
    <t xml:space="preserve">file://conllu/it/bibl.it_christos.GEN.5.conllu#s12_0</t>
  </si>
  <si>
    <t xml:space="preserve">13</t>
  </si>
  <si>
    <t xml:space="preserve">Kenan aveva settanta anni quando generò Maalaleèl</t>
  </si>
  <si>
    <t xml:space="preserve">file://conllu/it/bibl.it_christos.GEN.5.conllu#s13_0</t>
  </si>
  <si>
    <t xml:space="preserve">14</t>
  </si>
  <si>
    <t xml:space="preserve">Kenan dopo aver generato Maalale èl visse ancora ottocentoquaranta anni e generò figli e figlie</t>
  </si>
  <si>
    <t xml:space="preserve">file://conllu/it/bibl.it_christos.GEN.5.conllu#s14_0</t>
  </si>
  <si>
    <t xml:space="preserve">15</t>
  </si>
  <si>
    <t xml:space="preserve">L' intera vita di Kenan fu di novecentodieci anni ; poi morì</t>
  </si>
  <si>
    <t xml:space="preserve">file://conllu/it/bibl.it_christos.GEN.5.conllu#s15_0</t>
  </si>
  <si>
    <t xml:space="preserve">16</t>
  </si>
  <si>
    <t xml:space="preserve">Maalaleèl aveva sessantacinque anni quando generò Iared</t>
  </si>
  <si>
    <t xml:space="preserve">file://conllu/it/bibl.it_christos.GEN.5.conllu#s16_0</t>
  </si>
  <si>
    <t xml:space="preserve">17</t>
  </si>
  <si>
    <t xml:space="preserve">vire</t>
  </si>
  <si>
    <t xml:space="preserve">Maalaleèl dopo aver generato Iared , visse ancora ottocentotrenta anni e generò figli e figlie</t>
  </si>
  <si>
    <t xml:space="preserve">file://conllu/it/bibl.it_christos.GEN.5.conllu#s17_0</t>
  </si>
  <si>
    <t xml:space="preserve">18</t>
  </si>
  <si>
    <t xml:space="preserve">essere (essere anno)</t>
  </si>
  <si>
    <t xml:space="preserve">L' intera vita di Maalale èl fu di ottocentonovantacinque anni ;</t>
  </si>
  <si>
    <t xml:space="preserve">file://conllu/it/bibl.it_christos.GEN.5.conllu#s18_0</t>
  </si>
  <si>
    <t xml:space="preserve">19</t>
  </si>
  <si>
    <t xml:space="preserve">poi morì</t>
  </si>
  <si>
    <t xml:space="preserve">file://conllu/it/bibl.it_christos.GEN.5.conllu#s19_0</t>
  </si>
  <si>
    <t xml:space="preserve">20</t>
  </si>
  <si>
    <t xml:space="preserve">Iared aveva centosessantadue anni quando generò Enoch</t>
  </si>
  <si>
    <t xml:space="preserve">file://conllu/it/bibl.it_christos.GEN.5.conllu#s20_0</t>
  </si>
  <si>
    <t xml:space="preserve">21</t>
  </si>
  <si>
    <t xml:space="preserve">Iared , dopo aver generato Enoch , visse ancora ottocento anni e generò figli e figlie</t>
  </si>
  <si>
    <t xml:space="preserve">file://conllu/it/bibl.it_christos.GEN.5.conllu#s21_0</t>
  </si>
  <si>
    <t xml:space="preserve">22</t>
  </si>
  <si>
    <t xml:space="preserve">L' intera vita di Iared fu di novecentosessantadue anni ; poi morì</t>
  </si>
  <si>
    <t xml:space="preserve">file://conllu/it/bibl.it_christos.GEN.5.conllu#s22_0</t>
  </si>
  <si>
    <t xml:space="preserve">23</t>
  </si>
  <si>
    <t xml:space="preserve">Enoch aveva sessantacinque anni quando generò Matusalemme</t>
  </si>
  <si>
    <t xml:space="preserve">file://conllu/it/bibl.it_christos.GEN.5.conllu#s23_0</t>
  </si>
  <si>
    <t xml:space="preserve">24</t>
  </si>
  <si>
    <t xml:space="preserve">camminare</t>
  </si>
  <si>
    <t xml:space="preserve">Enoch camminò con Dio ; dopo aver generato Matusalemme , visse ancora per trecento anni e generò figli e figlie</t>
  </si>
  <si>
    <t xml:space="preserve">file://conllu/it/bibl.it_christos.GEN.5.conllu#s24_0</t>
  </si>
  <si>
    <t xml:space="preserve">25</t>
  </si>
  <si>
    <t xml:space="preserve">L' intera vita di Enoch fu di trecentosessantacique anni</t>
  </si>
  <si>
    <t xml:space="preserve">file://conllu/it/bibl.it_christos.GEN.5.conllu#s25_0</t>
  </si>
  <si>
    <t xml:space="preserve">26</t>
  </si>
  <si>
    <t xml:space="preserve">perché?</t>
  </si>
  <si>
    <t xml:space="preserve">cammino</t>
  </si>
  <si>
    <t xml:space="preserve">Poi Enoch cammino con Dio e non fu più perché Dio l' aveva preso</t>
  </si>
  <si>
    <t xml:space="preserve">file://conllu/it/bibl.it_christos.GEN.5.conllu#s26_0</t>
  </si>
  <si>
    <t xml:space="preserve">27</t>
  </si>
  <si>
    <t xml:space="preserve">Matusalemme aveva centottantasette anni quando generò Lamech</t>
  </si>
  <si>
    <t xml:space="preserve">file://conllu/it/bibl.it_christos.GEN.5.conllu#s27_0</t>
  </si>
  <si>
    <t xml:space="preserve">28</t>
  </si>
  <si>
    <t xml:space="preserve">Matusalemme , dopo aver generato Lamech , visse ancora settecentottantadue anni e generò figli e figlie</t>
  </si>
  <si>
    <t xml:space="preserve">file://conllu/it/bibl.it_christos.GEN.5.conllu#s28_0</t>
  </si>
  <si>
    <t xml:space="preserve">29</t>
  </si>
  <si>
    <t xml:space="preserve">L' intera vita di Matusalemme fu di novecentosessantanove anni ; poi morì</t>
  </si>
  <si>
    <t xml:space="preserve">file://conllu/it/bibl.it_christos.GEN.5.conllu#s29_0</t>
  </si>
  <si>
    <t xml:space="preserve">30</t>
  </si>
  <si>
    <t xml:space="preserve">Lamech aveva centottantadue anni quando generò un figli</t>
  </si>
  <si>
    <t xml:space="preserve">file://conllu/it/bibl.it_christos.GEN.5.conllu#s30_0</t>
  </si>
  <si>
    <t xml:space="preserve">31</t>
  </si>
  <si>
    <t xml:space="preserve">dire (dire chiamare)</t>
  </si>
  <si>
    <t xml:space="preserve">e lo chiamò Noè , dicendo :</t>
  </si>
  <si>
    <t xml:space="preserve">file://conllu/it/bibl.it_christos.GEN.5.conllu#s31_0</t>
  </si>
  <si>
    <t xml:space="preserve">32</t>
  </si>
  <si>
    <t xml:space="preserve">consolare</t>
  </si>
  <si>
    <t xml:space="preserve">« Costui ci consolerà del di il nostro lavoro e della di la fatica delle di le nostre mani , a causa del di il suolo che il Signore ha maledetto »</t>
  </si>
  <si>
    <t xml:space="preserve">file://conllu/it/bibl.it_christos.GEN.5.conllu#s32_0</t>
  </si>
  <si>
    <t xml:space="preserve">33</t>
  </si>
  <si>
    <t xml:space="preserve">Lamech , dopo aver generato Noè , visse ancora cinquecentonovantacinque anni e generò figli e figlie</t>
  </si>
  <si>
    <t xml:space="preserve">file://conllu/it/bibl.it_christos.GEN.5.conllu#s33_0</t>
  </si>
  <si>
    <t xml:space="preserve">34</t>
  </si>
  <si>
    <t xml:space="preserve">L' intera vita di Lamech fu di settecentosettantasette anni ; poi morì</t>
  </si>
  <si>
    <t xml:space="preserve">file://conllu/it/bibl.it_christos.GEN.5.conllu#s34_0</t>
  </si>
  <si>
    <t xml:space="preserve">35</t>
  </si>
  <si>
    <t xml:space="preserve">Noè aveva cinquecento anni quando generò Sem , Cam e Iafet</t>
  </si>
  <si>
    <t xml:space="preserve">file://conllu/it/bibl.it_christos.GEN.5.conllu#s35_0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</si>
  <si>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</si>
  <si>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</si>
  <si>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</si>
  <si>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</si>
  <si>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</si>
  <si>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</si>
  <si>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</si>
  <si>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</si>
  <si>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</si>
  <si>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</si>
  <si>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</si>
  <si>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Questo è il libro della genealogia di Adamo.</t>
  </si>
  <si>
    <t xml:space="preserve">Questo</t>
  </si>
  <si>
    <t xml:space="preserve">SBJ</t>
  </si>
  <si>
    <t xml:space="preserve">pron.pds</t>
  </si>
  <si>
    <t xml:space="preserve">?OLD</t>
  </si>
  <si>
    <t xml:space="preserve">!!!</t>
  </si>
  <si>
    <t xml:space="preserve">è</t>
  </si>
  <si>
    <t xml:space="preserve">il</t>
  </si>
  <si>
    <t xml:space="preserve">libro</t>
  </si>
  <si>
    <t xml:space="preserve">other</t>
  </si>
  <si>
    <t xml:space="preserve">def-np.poss</t>
  </si>
  <si>
    <t xml:space="preserve">di</t>
  </si>
  <si>
    <t xml:space="preserve">la</t>
  </si>
  <si>
    <t xml:space="preserve">genealogia</t>
  </si>
  <si>
    <t xml:space="preserve">Adamo</t>
  </si>
  <si>
    <t xml:space="preserve">other_2</t>
  </si>
  <si>
    <t xml:space="preserve">ne</t>
  </si>
  <si>
    <t xml:space="preserve">OLD</t>
  </si>
  <si>
    <t xml:space="preserve">FAMILIAR</t>
  </si>
  <si>
    <t xml:space="preserve">OBJ</t>
  </si>
  <si>
    <t xml:space="preserve">.</t>
  </si>
  <si>
    <t xml:space="preserve"># text = Quando Dio creò l'uomo, lo fece a somiglianza di Dio</t>
  </si>
  <si>
    <t xml:space="preserve">Quando</t>
  </si>
  <si>
    <t xml:space="preserve">Dio</t>
  </si>
  <si>
    <t xml:space="preserve">SBJ_2</t>
  </si>
  <si>
    <t xml:space="preserve">ACTIVATED</t>
  </si>
  <si>
    <t xml:space="preserve">other_3</t>
  </si>
  <si>
    <t xml:space="preserve">creò</t>
  </si>
  <si>
    <t xml:space="preserve">l'</t>
  </si>
  <si>
    <t xml:space="preserve">uomo</t>
  </si>
  <si>
    <t xml:space="preserve">OBJ_2</t>
  </si>
  <si>
    <t xml:space="preserve">def-np.the</t>
  </si>
  <si>
    <t xml:space="preserve">,</t>
  </si>
  <si>
    <t xml:space="preserve">lo</t>
  </si>
  <si>
    <t xml:space="preserve">pron.pper</t>
  </si>
  <si>
    <t xml:space="preserve">IN_FOCUS</t>
  </si>
  <si>
    <t xml:space="preserve">fece</t>
  </si>
  <si>
    <t xml:space="preserve">a</t>
  </si>
  <si>
    <t xml:space="preserve">somiglianza</t>
  </si>
  <si>
    <t xml:space="preserve">CC: bis hier von GM annotiert</t>
  </si>
  <si>
    <t xml:space="preserve"># text = maschio e femmina li creò, li benedisse e li chiamò uomini quando furono creati</t>
  </si>
  <si>
    <t xml:space="preserve">maschio</t>
  </si>
  <si>
    <t xml:space="preserve">indef-np.bare</t>
  </si>
  <si>
    <t xml:space="preserve">e</t>
  </si>
  <si>
    <t xml:space="preserve">femmina</t>
  </si>
  <si>
    <t xml:space="preserve">li</t>
  </si>
  <si>
    <t xml:space="preserve">benedisse</t>
  </si>
  <si>
    <t xml:space="preserve">chiamò</t>
  </si>
  <si>
    <t xml:space="preserve">uomini</t>
  </si>
  <si>
    <t xml:space="preserve">quando</t>
  </si>
  <si>
    <t xml:space="preserve">furono</t>
  </si>
  <si>
    <t xml:space="preserve">creati</t>
  </si>
  <si>
    <t xml:space="preserve"># text = Adamo aveva centotrenta anni quando generò a sua immagine, a sua somiglianza, un figlio e lo chiamò Set</t>
  </si>
  <si>
    <t xml:space="preserve">aveva</t>
  </si>
  <si>
    <t xml:space="preserve">centotrenta</t>
  </si>
  <si>
    <t xml:space="preserve">anni</t>
  </si>
  <si>
    <t xml:space="preserve">indef-np.quant</t>
  </si>
  <si>
    <t xml:space="preserve">generò</t>
  </si>
  <si>
    <t xml:space="preserve">sua</t>
  </si>
  <si>
    <t xml:space="preserve">pron.ppos</t>
  </si>
  <si>
    <t xml:space="preserve">immagine</t>
  </si>
  <si>
    <t xml:space="preserve">indef-np</t>
  </si>
  <si>
    <t xml:space="preserve">un</t>
  </si>
  <si>
    <t xml:space="preserve">figlio</t>
  </si>
  <si>
    <t xml:space="preserve">indef-np.a</t>
  </si>
  <si>
    <t xml:space="preserve">OBJ_4</t>
  </si>
  <si>
    <t xml:space="preserve">Set</t>
  </si>
  <si>
    <t xml:space="preserve">other_4</t>
  </si>
  <si>
    <t xml:space="preserve"># text = Dopo aver generato Set, Adamo visse ancora ottocento anni e generò figli e figlie</t>
  </si>
  <si>
    <t xml:space="preserve">Dopo</t>
  </si>
  <si>
    <t xml:space="preserve">aver</t>
  </si>
  <si>
    <t xml:space="preserve">generato</t>
  </si>
  <si>
    <t xml:space="preserve">visse</t>
  </si>
  <si>
    <t xml:space="preserve">ancora</t>
  </si>
  <si>
    <t xml:space="preserve">ottocento</t>
  </si>
  <si>
    <t xml:space="preserve">figli</t>
  </si>
  <si>
    <t xml:space="preserve">figlie</t>
  </si>
  <si>
    <t xml:space="preserve"># text = L'intera vita di Adamo fu di novecentotrenta anni; poi morì</t>
  </si>
  <si>
    <t xml:space="preserve">L'</t>
  </si>
  <si>
    <t xml:space="preserve">intera</t>
  </si>
  <si>
    <t xml:space="preserve">vita</t>
  </si>
  <si>
    <t xml:space="preserve">fu</t>
  </si>
  <si>
    <t xml:space="preserve">novecentotrenta</t>
  </si>
  <si>
    <t xml:space="preserve">;</t>
  </si>
  <si>
    <t xml:space="preserve">poi</t>
  </si>
  <si>
    <t xml:space="preserve">morì</t>
  </si>
  <si>
    <t xml:space="preserve"># text = Set aveva centocinque anni quando generò Enos</t>
  </si>
  <si>
    <t xml:space="preserve">centocinque</t>
  </si>
  <si>
    <t xml:space="preserve">Enos</t>
  </si>
  <si>
    <t xml:space="preserve"># text = dopo aver generato Enos, Set visse ancora ottocentosette anni e generò figli e figlie</t>
  </si>
  <si>
    <t xml:space="preserve">dopo</t>
  </si>
  <si>
    <t xml:space="preserve">ottocentosette</t>
  </si>
  <si>
    <t xml:space="preserve"># text = L'intera vita di Set fu di novecentododici anni; poi morì</t>
  </si>
  <si>
    <t xml:space="preserve">novecentododici</t>
  </si>
  <si>
    <t xml:space="preserve"># text = Enos aveva novanta anni quando generò Kenan</t>
  </si>
  <si>
    <t xml:space="preserve">novanta</t>
  </si>
  <si>
    <t xml:space="preserve">Kenan</t>
  </si>
  <si>
    <t xml:space="preserve"># text = Enos, dopo aver generato Kenan, visse ancora ottocentoquindici anni e generò figli e figlie</t>
  </si>
  <si>
    <t xml:space="preserve">ottocentoquindici</t>
  </si>
  <si>
    <t xml:space="preserve"># text = L'intera vita di Enos fu di novecentocinque anni; poi morì</t>
  </si>
  <si>
    <t xml:space="preserve">novecentocinque</t>
  </si>
  <si>
    <t xml:space="preserve"># text = Kenan aveva settanta anni quando generò Maalaleèl</t>
  </si>
  <si>
    <t xml:space="preserve">settanta</t>
  </si>
  <si>
    <t xml:space="preserve">Maalaleèl</t>
  </si>
  <si>
    <t xml:space="preserve"># text = Kenan dopo aver generato Maalaleèl visse ancora ottocentoquaranta anni e generò figli e figlie</t>
  </si>
  <si>
    <t xml:space="preserve">Maalale</t>
  </si>
  <si>
    <t xml:space="preserve">èl</t>
  </si>
  <si>
    <t xml:space="preserve">pron.pint</t>
  </si>
  <si>
    <t xml:space="preserve">ottocentoquaranta</t>
  </si>
  <si>
    <t xml:space="preserve"># text = L'intera vita di Kenan fu di novecentodieci anni; poi morì</t>
  </si>
  <si>
    <t xml:space="preserve">novecentodieci</t>
  </si>
  <si>
    <t xml:space="preserve"># text = Maalaleèl aveva sessantacinque anni quando generò Iared</t>
  </si>
  <si>
    <t xml:space="preserve">sessantacinque</t>
  </si>
  <si>
    <t xml:space="preserve">Iared</t>
  </si>
  <si>
    <t xml:space="preserve"># text = Maalaleèl dopo aver generato Iared, visse ancora ottocentotrenta anni e generò figli e figlie</t>
  </si>
  <si>
    <t xml:space="preserve">OBJ_3</t>
  </si>
  <si>
    <t xml:space="preserve">ottocentotrenta</t>
  </si>
  <si>
    <t xml:space="preserve"># text = L'intera vita di Maalaleèl fu di ottocentonovantacinque anni;</t>
  </si>
  <si>
    <t xml:space="preserve">ottocentonovantacinque</t>
  </si>
  <si>
    <t xml:space="preserve"># text = poi morì</t>
  </si>
  <si>
    <t xml:space="preserve"># text = Iared aveva centosessantadue anni quando generò Enoch</t>
  </si>
  <si>
    <t xml:space="preserve">centosessantadue</t>
  </si>
  <si>
    <t xml:space="preserve">Enoch</t>
  </si>
  <si>
    <t xml:space="preserve"># text = Iared, dopo aver generato Enoch, visse ancora ottocento anni e generò figli e figlie</t>
  </si>
  <si>
    <t xml:space="preserve"># text = L'intera vita di Iared fu di novecentosessantadue anni; poi morì</t>
  </si>
  <si>
    <t xml:space="preserve">novecentosessantadue</t>
  </si>
  <si>
    <t xml:space="preserve"># text = Enoch aveva sessantacinque anni quando generò Matusalemme</t>
  </si>
  <si>
    <t xml:space="preserve">Matusalemme</t>
  </si>
  <si>
    <t xml:space="preserve"># text = Enoch camminò con Dio; dopo aver generato Matusalemme, visse ancora per trecento anni e generò figli e figlie</t>
  </si>
  <si>
    <t xml:space="preserve">camminò</t>
  </si>
  <si>
    <t xml:space="preserve">con</t>
  </si>
  <si>
    <t xml:space="preserve">per</t>
  </si>
  <si>
    <t xml:space="preserve">trecento</t>
  </si>
  <si>
    <t xml:space="preserve"># text = L'intera vita di Enoch fu di trecentosessantacique anni</t>
  </si>
  <si>
    <t xml:space="preserve">trecentosessantacique</t>
  </si>
  <si>
    <t xml:space="preserve"># text = Poi Enoch cammino con Dio e non fu più perché Dio l'aveva preso</t>
  </si>
  <si>
    <t xml:space="preserve">Poi</t>
  </si>
  <si>
    <t xml:space="preserve">non</t>
  </si>
  <si>
    <t xml:space="preserve">più</t>
  </si>
  <si>
    <t xml:space="preserve">perché</t>
  </si>
  <si>
    <t xml:space="preserve">preso</t>
  </si>
  <si>
    <t xml:space="preserve"># text = Matusalemme aveva centottantasette anni quando generò Lamech</t>
  </si>
  <si>
    <t xml:space="preserve">centottantasette</t>
  </si>
  <si>
    <t xml:space="preserve">Lamech</t>
  </si>
  <si>
    <t xml:space="preserve"># text = Matusalemme, dopo aver generato Lamech, visse ancora settecentottantadue anni e generò figli e figlie</t>
  </si>
  <si>
    <t xml:space="preserve">settecentottantadue</t>
  </si>
  <si>
    <t xml:space="preserve"># text = L'intera vita di Matusalemme fu di novecentosessantanove anni; poi morì</t>
  </si>
  <si>
    <t xml:space="preserve">novecentosessantanove</t>
  </si>
  <si>
    <t xml:space="preserve"># text = Lamech aveva centottantadue anni quando generò un figli</t>
  </si>
  <si>
    <t xml:space="preserve">centottantadue</t>
  </si>
  <si>
    <t xml:space="preserve"># text = e lo chiamò Noè, dicendo:</t>
  </si>
  <si>
    <t xml:space="preserve">Noè</t>
  </si>
  <si>
    <t xml:space="preserve">dicendo</t>
  </si>
  <si>
    <t xml:space="preserve">:</t>
  </si>
  <si>
    <t xml:space="preserve"># text = «Costui ci consolerà del nostro lavoro e della fatica delle nostre mani, a causa del suolo che il Signore ha maledetto»</t>
  </si>
  <si>
    <t xml:space="preserve">«</t>
  </si>
  <si>
    <t xml:space="preserve">Costui</t>
  </si>
  <si>
    <t xml:space="preserve">ci</t>
  </si>
  <si>
    <t xml:space="preserve">consolerà</t>
  </si>
  <si>
    <t xml:space="preserve">nostro</t>
  </si>
  <si>
    <t xml:space="preserve">lavoro</t>
  </si>
  <si>
    <t xml:space="preserve">fatica</t>
  </si>
  <si>
    <t xml:space="preserve">le</t>
  </si>
  <si>
    <t xml:space="preserve">nostre</t>
  </si>
  <si>
    <t xml:space="preserve">mani</t>
  </si>
  <si>
    <t xml:space="preserve">causa</t>
  </si>
  <si>
    <t xml:space="preserve">suolo</t>
  </si>
  <si>
    <t xml:space="preserve">che</t>
  </si>
  <si>
    <t xml:space="preserve">Signore</t>
  </si>
  <si>
    <t xml:space="preserve">SBJ_4</t>
  </si>
  <si>
    <t xml:space="preserve">ha</t>
  </si>
  <si>
    <t xml:space="preserve">maledetto</t>
  </si>
  <si>
    <t xml:space="preserve">»</t>
  </si>
  <si>
    <t xml:space="preserve"># text = Lamech, dopo aver generato Noè, visse ancora cinquecentonovantacinque anni e generò figli e figlie</t>
  </si>
  <si>
    <t xml:space="preserve">cinquecentonovantacinque</t>
  </si>
  <si>
    <t xml:space="preserve"># text = L'intera vita di Lamech fu di settecentosettantasette anni; poi morì</t>
  </si>
  <si>
    <t xml:space="preserve">settecentosettantasette</t>
  </si>
  <si>
    <t xml:space="preserve"># text = Noè aveva cinquecento anni quando generò Sem, Cam e Iafet</t>
  </si>
  <si>
    <t xml:space="preserve">cinquecento</t>
  </si>
  <si>
    <t xml:space="preserve">Sem</t>
  </si>
  <si>
    <t xml:space="preserve">Cam</t>
  </si>
  <si>
    <t xml:space="preserve">Iafet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</si>
</sst>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6.87890625" defaultRowHeight="60" customHeight="true" zeroHeight="false" outlineLevelRow="0" outlineLevelCol="0"/>
  <cols>
    <col collapsed="false" customWidth="true" hidden="true" outlineLevel="0" max="3" min="2" style="0" width="9.14"/>
    <col collapsed="false" customWidth="true" hidden="false" outlineLevel="0" max="4" min="4" style="0" width="8.49"/>
    <col collapsed="false" customWidth="true" hidden="false" outlineLevel="0" max="5" min="5" style="0" width="63.99"/>
    <col collapsed="false" customWidth="true" hidden="true" outlineLevel="0" max="6" min="6" style="0" width="9.14"/>
    <col collapsed="false" customWidth="true" hidden="false" outlineLevel="0" max="7" min="7" style="0" width="8.49"/>
    <col collapsed="false" customWidth="true" hidden="false" outlineLevel="0" max="9" min="9" style="0" width="8.49"/>
    <col collapsed="false" customWidth="true" hidden="false" outlineLevel="0" max="10" min="10" style="0" width="32.28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customFormat="false" ht="60" hidden="false" customHeight="true" outlineLevel="0" collapsed="false">
      <c r="A3" s="6" t="s">
        <v>11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customFormat="false" ht="60" hidden="false" customHeight="true" outlineLevel="0" collapsed="false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12</v>
      </c>
      <c r="I4" s="11" t="s">
        <v>12</v>
      </c>
      <c r="J4" s="12"/>
    </row>
    <row r="5" customFormat="false" ht="60" hidden="false" customHeight="true" outlineLevel="0" collapsed="false">
      <c r="A5" s="6" t="s">
        <v>27</v>
      </c>
      <c r="B5" s="6" t="s">
        <v>11</v>
      </c>
      <c r="C5" s="6" t="s">
        <v>17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12</v>
      </c>
      <c r="I5" s="11" t="s">
        <v>12</v>
      </c>
      <c r="J5" s="12"/>
    </row>
    <row r="6" customFormat="false" ht="60" hidden="false" customHeight="true" outlineLevel="0" collapsed="false">
      <c r="A6" s="6" t="s">
        <v>22</v>
      </c>
      <c r="B6" s="6" t="s">
        <v>31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12</v>
      </c>
      <c r="I6" s="11" t="s">
        <v>12</v>
      </c>
      <c r="J6" s="12"/>
    </row>
    <row r="7" customFormat="false" ht="60" hidden="false" customHeight="true" outlineLevel="0" collapsed="false">
      <c r="A7" s="6" t="s">
        <v>36</v>
      </c>
      <c r="B7" s="6" t="s">
        <v>37</v>
      </c>
      <c r="C7" s="6" t="s">
        <v>38</v>
      </c>
      <c r="D7" s="7" t="s">
        <v>39</v>
      </c>
      <c r="E7" s="8" t="s">
        <v>40</v>
      </c>
      <c r="F7" s="6" t="s">
        <v>41</v>
      </c>
      <c r="G7" s="9" t="s">
        <v>41</v>
      </c>
      <c r="H7" s="10" t="s">
        <v>12</v>
      </c>
      <c r="I7" s="11" t="s">
        <v>12</v>
      </c>
      <c r="J7" s="12"/>
    </row>
    <row r="8" customFormat="false" ht="60" hidden="false" customHeight="true" outlineLevel="0" collapsed="false">
      <c r="A8" s="6" t="s">
        <v>31</v>
      </c>
      <c r="B8" s="6" t="s">
        <v>11</v>
      </c>
      <c r="C8" s="6" t="s">
        <v>17</v>
      </c>
      <c r="D8" s="7" t="s">
        <v>28</v>
      </c>
      <c r="E8" s="8" t="s">
        <v>42</v>
      </c>
      <c r="F8" s="6" t="s">
        <v>43</v>
      </c>
      <c r="G8" s="9" t="s">
        <v>43</v>
      </c>
      <c r="H8" s="10" t="s">
        <v>12</v>
      </c>
      <c r="I8" s="11" t="s">
        <v>12</v>
      </c>
      <c r="J8" s="12"/>
    </row>
    <row r="9" customFormat="false" ht="60" hidden="false" customHeight="true" outlineLevel="0" collapsed="false">
      <c r="A9" s="6" t="s">
        <v>16</v>
      </c>
      <c r="B9" s="6" t="s">
        <v>31</v>
      </c>
      <c r="C9" s="6" t="s">
        <v>32</v>
      </c>
      <c r="D9" s="7" t="s">
        <v>33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customFormat="false" ht="60" hidden="false" customHeight="true" outlineLevel="0" collapsed="false">
      <c r="A10" s="6" t="s">
        <v>46</v>
      </c>
      <c r="B10" s="6" t="s">
        <v>37</v>
      </c>
      <c r="C10" s="6" t="s">
        <v>38</v>
      </c>
      <c r="D10" s="7" t="s">
        <v>39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customFormat="false" ht="60" hidden="false" customHeight="true" outlineLevel="0" collapsed="false">
      <c r="A11" s="6" t="s">
        <v>49</v>
      </c>
      <c r="B11" s="6" t="s">
        <v>11</v>
      </c>
      <c r="C11" s="6" t="s">
        <v>17</v>
      </c>
      <c r="D11" s="7" t="s">
        <v>28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customFormat="false" ht="60" hidden="false" customHeight="true" outlineLevel="0" collapsed="false">
      <c r="A12" s="6" t="s">
        <v>52</v>
      </c>
      <c r="B12" s="6" t="s">
        <v>16</v>
      </c>
      <c r="C12" s="6" t="s">
        <v>32</v>
      </c>
      <c r="D12" s="7" t="s">
        <v>33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customFormat="false" ht="60" hidden="false" customHeight="true" outlineLevel="0" collapsed="false">
      <c r="A13" s="6" t="s">
        <v>37</v>
      </c>
      <c r="B13" s="6" t="s">
        <v>37</v>
      </c>
      <c r="C13" s="6" t="s">
        <v>38</v>
      </c>
      <c r="D13" s="7" t="s">
        <v>39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customFormat="false" ht="60" hidden="false" customHeight="true" outlineLevel="0" collapsed="false">
      <c r="A14" s="6" t="s">
        <v>57</v>
      </c>
      <c r="B14" s="6" t="s">
        <v>11</v>
      </c>
      <c r="C14" s="6" t="s">
        <v>17</v>
      </c>
      <c r="D14" s="7" t="s">
        <v>28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customFormat="false" ht="60" hidden="false" customHeight="true" outlineLevel="0" collapsed="false">
      <c r="A15" s="6" t="s">
        <v>60</v>
      </c>
      <c r="B15" s="6" t="s">
        <v>31</v>
      </c>
      <c r="C15" s="6" t="s">
        <v>32</v>
      </c>
      <c r="D15" s="7" t="s">
        <v>33</v>
      </c>
      <c r="E15" s="8" t="s">
        <v>61</v>
      </c>
      <c r="F15" s="6" t="s">
        <v>62</v>
      </c>
      <c r="G15" s="9" t="s">
        <v>62</v>
      </c>
      <c r="H15" s="10" t="s">
        <v>12</v>
      </c>
      <c r="I15" s="11" t="s">
        <v>12</v>
      </c>
      <c r="J15" s="12"/>
    </row>
    <row r="16" customFormat="false" ht="60" hidden="false" customHeight="true" outlineLevel="0" collapsed="false">
      <c r="A16" s="6" t="s">
        <v>63</v>
      </c>
      <c r="B16" s="6" t="s">
        <v>37</v>
      </c>
      <c r="C16" s="6" t="s">
        <v>38</v>
      </c>
      <c r="D16" s="7" t="s">
        <v>39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customFormat="false" ht="60" hidden="false" customHeight="true" outlineLevel="0" collapsed="false">
      <c r="A17" s="6" t="s">
        <v>66</v>
      </c>
      <c r="B17" s="6" t="s">
        <v>11</v>
      </c>
      <c r="C17" s="6" t="s">
        <v>17</v>
      </c>
      <c r="D17" s="7" t="s">
        <v>28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customFormat="false" ht="60" hidden="false" customHeight="true" outlineLevel="0" collapsed="false">
      <c r="A18" s="6" t="s">
        <v>69</v>
      </c>
      <c r="B18" s="6" t="s">
        <v>31</v>
      </c>
      <c r="C18" s="6" t="s">
        <v>23</v>
      </c>
      <c r="D18" s="7" t="s">
        <v>70</v>
      </c>
      <c r="E18" s="8" t="s">
        <v>71</v>
      </c>
      <c r="F18" s="6" t="s">
        <v>72</v>
      </c>
      <c r="G18" s="9" t="s">
        <v>72</v>
      </c>
      <c r="H18" s="10" t="s">
        <v>12</v>
      </c>
      <c r="I18" s="11" t="s">
        <v>12</v>
      </c>
      <c r="J18" s="12"/>
    </row>
    <row r="19" customFormat="false" ht="60" hidden="false" customHeight="true" outlineLevel="0" collapsed="false">
      <c r="A19" s="6" t="s">
        <v>73</v>
      </c>
      <c r="B19" s="6" t="s">
        <v>31</v>
      </c>
      <c r="C19" s="6" t="s">
        <v>12</v>
      </c>
      <c r="D19" s="7" t="s">
        <v>74</v>
      </c>
      <c r="E19" s="8" t="s">
        <v>75</v>
      </c>
      <c r="F19" s="6" t="s">
        <v>76</v>
      </c>
      <c r="G19" s="9" t="s">
        <v>76</v>
      </c>
      <c r="H19" s="10" t="s">
        <v>12</v>
      </c>
      <c r="I19" s="11" t="s">
        <v>12</v>
      </c>
      <c r="J19" s="12"/>
    </row>
    <row r="20" customFormat="false" ht="60" hidden="false" customHeight="true" outlineLevel="0" collapsed="false">
      <c r="A20" s="6" t="s">
        <v>77</v>
      </c>
      <c r="B20" s="6" t="s">
        <v>11</v>
      </c>
      <c r="C20" s="6" t="s">
        <v>38</v>
      </c>
      <c r="D20" s="7" t="s">
        <v>39</v>
      </c>
      <c r="E20" s="8" t="s">
        <v>78</v>
      </c>
      <c r="F20" s="6" t="s">
        <v>79</v>
      </c>
      <c r="G20" s="9" t="s">
        <v>79</v>
      </c>
      <c r="H20" s="10" t="s">
        <v>12</v>
      </c>
      <c r="I20" s="11" t="s">
        <v>12</v>
      </c>
      <c r="J20" s="12"/>
    </row>
    <row r="21" customFormat="false" ht="60" hidden="false" customHeight="true" outlineLevel="0" collapsed="false">
      <c r="A21" s="6" t="s">
        <v>80</v>
      </c>
      <c r="B21" s="6" t="s">
        <v>11</v>
      </c>
      <c r="C21" s="6" t="s">
        <v>17</v>
      </c>
      <c r="D21" s="7" t="s">
        <v>28</v>
      </c>
      <c r="E21" s="8" t="s">
        <v>81</v>
      </c>
      <c r="F21" s="6" t="s">
        <v>82</v>
      </c>
      <c r="G21" s="9" t="s">
        <v>82</v>
      </c>
      <c r="H21" s="10" t="s">
        <v>12</v>
      </c>
      <c r="I21" s="11" t="s">
        <v>12</v>
      </c>
      <c r="J21" s="12"/>
    </row>
    <row r="22" customFormat="false" ht="60" hidden="false" customHeight="true" outlineLevel="0" collapsed="false">
      <c r="A22" s="6" t="s">
        <v>83</v>
      </c>
      <c r="B22" s="6" t="s">
        <v>16</v>
      </c>
      <c r="C22" s="6" t="s">
        <v>32</v>
      </c>
      <c r="D22" s="7" t="s">
        <v>33</v>
      </c>
      <c r="E22" s="8" t="s">
        <v>84</v>
      </c>
      <c r="F22" s="6" t="s">
        <v>85</v>
      </c>
      <c r="G22" s="9" t="s">
        <v>85</v>
      </c>
      <c r="H22" s="10" t="s">
        <v>12</v>
      </c>
      <c r="I22" s="11" t="s">
        <v>12</v>
      </c>
      <c r="J22" s="12"/>
    </row>
    <row r="23" customFormat="false" ht="60" hidden="false" customHeight="true" outlineLevel="0" collapsed="false">
      <c r="A23" s="6" t="s">
        <v>86</v>
      </c>
      <c r="B23" s="6" t="s">
        <v>37</v>
      </c>
      <c r="C23" s="6" t="s">
        <v>38</v>
      </c>
      <c r="D23" s="7" t="s">
        <v>39</v>
      </c>
      <c r="E23" s="8" t="s">
        <v>87</v>
      </c>
      <c r="F23" s="6" t="s">
        <v>88</v>
      </c>
      <c r="G23" s="9" t="s">
        <v>88</v>
      </c>
      <c r="H23" s="10" t="s">
        <v>12</v>
      </c>
      <c r="I23" s="11" t="s">
        <v>12</v>
      </c>
      <c r="J23" s="12"/>
    </row>
    <row r="24" customFormat="false" ht="60" hidden="false" customHeight="true" outlineLevel="0" collapsed="false">
      <c r="A24" s="6" t="s">
        <v>89</v>
      </c>
      <c r="B24" s="6" t="s">
        <v>11</v>
      </c>
      <c r="C24" s="6" t="s">
        <v>17</v>
      </c>
      <c r="D24" s="7" t="s">
        <v>28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customFormat="false" ht="60" hidden="false" customHeight="true" outlineLevel="0" collapsed="false">
      <c r="A25" s="6" t="s">
        <v>92</v>
      </c>
      <c r="B25" s="6" t="s">
        <v>11</v>
      </c>
      <c r="C25" s="6" t="s">
        <v>32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customFormat="false" ht="60" hidden="false" customHeight="true" outlineLevel="0" collapsed="false">
      <c r="A26" s="6" t="s">
        <v>96</v>
      </c>
      <c r="B26" s="6" t="s">
        <v>36</v>
      </c>
      <c r="C26" s="6" t="s">
        <v>12</v>
      </c>
      <c r="D26" s="7" t="s">
        <v>74</v>
      </c>
      <c r="E26" s="8" t="s">
        <v>97</v>
      </c>
      <c r="F26" s="6" t="s">
        <v>98</v>
      </c>
      <c r="G26" s="9" t="s">
        <v>98</v>
      </c>
      <c r="H26" s="10" t="s">
        <v>12</v>
      </c>
      <c r="I26" s="11" t="s">
        <v>12</v>
      </c>
      <c r="J26" s="12"/>
    </row>
    <row r="27" customFormat="false" ht="60" hidden="false" customHeight="true" outlineLevel="0" collapsed="false">
      <c r="A27" s="6" t="s">
        <v>99</v>
      </c>
      <c r="B27" s="6" t="s">
        <v>21</v>
      </c>
      <c r="C27" s="6" t="s">
        <v>100</v>
      </c>
      <c r="D27" s="7" t="s">
        <v>101</v>
      </c>
      <c r="E27" s="8" t="s">
        <v>102</v>
      </c>
      <c r="F27" s="6" t="s">
        <v>103</v>
      </c>
      <c r="G27" s="9" t="s">
        <v>103</v>
      </c>
      <c r="H27" s="10" t="s">
        <v>12</v>
      </c>
      <c r="I27" s="11" t="s">
        <v>12</v>
      </c>
      <c r="J27" s="12"/>
    </row>
    <row r="28" customFormat="false" ht="60" hidden="false" customHeight="true" outlineLevel="0" collapsed="false">
      <c r="A28" s="6" t="s">
        <v>104</v>
      </c>
      <c r="B28" s="6" t="s">
        <v>11</v>
      </c>
      <c r="C28" s="6" t="s">
        <v>17</v>
      </c>
      <c r="D28" s="7" t="s">
        <v>28</v>
      </c>
      <c r="E28" s="8" t="s">
        <v>105</v>
      </c>
      <c r="F28" s="6" t="s">
        <v>106</v>
      </c>
      <c r="G28" s="9" t="s">
        <v>106</v>
      </c>
      <c r="H28" s="10" t="s">
        <v>12</v>
      </c>
      <c r="I28" s="11" t="s">
        <v>12</v>
      </c>
      <c r="J28" s="12"/>
    </row>
    <row r="29" customFormat="false" ht="60" hidden="false" customHeight="true" outlineLevel="0" collapsed="false">
      <c r="A29" s="6" t="s">
        <v>107</v>
      </c>
      <c r="B29" s="6" t="s">
        <v>16</v>
      </c>
      <c r="C29" s="6" t="s">
        <v>32</v>
      </c>
      <c r="D29" s="7" t="s">
        <v>33</v>
      </c>
      <c r="E29" s="8" t="s">
        <v>108</v>
      </c>
      <c r="F29" s="6" t="s">
        <v>109</v>
      </c>
      <c r="G29" s="9" t="s">
        <v>109</v>
      </c>
      <c r="H29" s="10" t="s">
        <v>12</v>
      </c>
      <c r="I29" s="11" t="s">
        <v>12</v>
      </c>
      <c r="J29" s="12"/>
    </row>
    <row r="30" customFormat="false" ht="60" hidden="false" customHeight="true" outlineLevel="0" collapsed="false">
      <c r="A30" s="6" t="s">
        <v>110</v>
      </c>
      <c r="B30" s="6" t="s">
        <v>37</v>
      </c>
      <c r="C30" s="6" t="s">
        <v>38</v>
      </c>
      <c r="D30" s="7" t="s">
        <v>39</v>
      </c>
      <c r="E30" s="8" t="s">
        <v>111</v>
      </c>
      <c r="F30" s="6" t="s">
        <v>112</v>
      </c>
      <c r="G30" s="9" t="s">
        <v>112</v>
      </c>
      <c r="H30" s="10" t="s">
        <v>12</v>
      </c>
      <c r="I30" s="11" t="s">
        <v>12</v>
      </c>
      <c r="J30" s="12"/>
    </row>
    <row r="31" customFormat="false" ht="60" hidden="false" customHeight="true" outlineLevel="0" collapsed="false">
      <c r="A31" s="6" t="s">
        <v>113</v>
      </c>
      <c r="B31" s="6" t="s">
        <v>11</v>
      </c>
      <c r="C31" s="6" t="s">
        <v>17</v>
      </c>
      <c r="D31" s="7" t="s">
        <v>28</v>
      </c>
      <c r="E31" s="8" t="s">
        <v>114</v>
      </c>
      <c r="F31" s="6" t="s">
        <v>115</v>
      </c>
      <c r="G31" s="9" t="s">
        <v>115</v>
      </c>
      <c r="H31" s="10" t="s">
        <v>12</v>
      </c>
      <c r="I31" s="11" t="s">
        <v>12</v>
      </c>
      <c r="J31" s="12"/>
    </row>
    <row r="32" customFormat="false" ht="60" hidden="false" customHeight="true" outlineLevel="0" collapsed="false">
      <c r="A32" s="6" t="s">
        <v>116</v>
      </c>
      <c r="B32" s="6" t="s">
        <v>36</v>
      </c>
      <c r="C32" s="6" t="s">
        <v>23</v>
      </c>
      <c r="D32" s="7" t="s">
        <v>117</v>
      </c>
      <c r="E32" s="8" t="s">
        <v>118</v>
      </c>
      <c r="F32" s="6" t="s">
        <v>119</v>
      </c>
      <c r="G32" s="9" t="s">
        <v>119</v>
      </c>
      <c r="H32" s="10" t="s">
        <v>12</v>
      </c>
      <c r="I32" s="11" t="s">
        <v>12</v>
      </c>
      <c r="J32" s="12"/>
    </row>
    <row r="33" customFormat="false" ht="60" hidden="false" customHeight="true" outlineLevel="0" collapsed="false">
      <c r="A33" s="6" t="s">
        <v>120</v>
      </c>
      <c r="B33" s="6" t="s">
        <v>27</v>
      </c>
      <c r="C33" s="6" t="s">
        <v>12</v>
      </c>
      <c r="D33" s="7" t="s">
        <v>121</v>
      </c>
      <c r="E33" s="8" t="s">
        <v>122</v>
      </c>
      <c r="F33" s="6" t="s">
        <v>123</v>
      </c>
      <c r="G33" s="9" t="s">
        <v>123</v>
      </c>
      <c r="H33" s="10" t="s">
        <v>12</v>
      </c>
      <c r="I33" s="11" t="s">
        <v>12</v>
      </c>
      <c r="J33" s="12"/>
    </row>
    <row r="34" customFormat="false" ht="60" hidden="false" customHeight="true" outlineLevel="0" collapsed="false">
      <c r="A34" s="6" t="s">
        <v>124</v>
      </c>
      <c r="B34" s="6" t="s">
        <v>16</v>
      </c>
      <c r="C34" s="6" t="s">
        <v>32</v>
      </c>
      <c r="D34" s="7" t="s">
        <v>33</v>
      </c>
      <c r="E34" s="8" t="s">
        <v>125</v>
      </c>
      <c r="F34" s="6" t="s">
        <v>126</v>
      </c>
      <c r="G34" s="9" t="s">
        <v>126</v>
      </c>
      <c r="H34" s="10" t="s">
        <v>12</v>
      </c>
      <c r="I34" s="11" t="s">
        <v>12</v>
      </c>
      <c r="J34" s="12"/>
    </row>
    <row r="35" customFormat="false" ht="60" hidden="false" customHeight="true" outlineLevel="0" collapsed="false">
      <c r="A35" s="6" t="s">
        <v>127</v>
      </c>
      <c r="B35" s="6" t="s">
        <v>37</v>
      </c>
      <c r="C35" s="6" t="s">
        <v>38</v>
      </c>
      <c r="D35" s="7" t="s">
        <v>39</v>
      </c>
      <c r="E35" s="8" t="s">
        <v>128</v>
      </c>
      <c r="F35" s="6" t="s">
        <v>129</v>
      </c>
      <c r="G35" s="9" t="s">
        <v>129</v>
      </c>
      <c r="H35" s="10" t="s">
        <v>12</v>
      </c>
      <c r="I35" s="11" t="s">
        <v>12</v>
      </c>
      <c r="J35" s="12"/>
    </row>
    <row r="36" customFormat="false" ht="60" hidden="false" customHeight="true" outlineLevel="0" collapsed="false">
      <c r="A36" s="6" t="s">
        <v>130</v>
      </c>
      <c r="B36" s="6" t="s">
        <v>11</v>
      </c>
      <c r="C36" s="6" t="s">
        <v>17</v>
      </c>
      <c r="D36" s="7" t="s">
        <v>28</v>
      </c>
      <c r="E36" s="8" t="s">
        <v>131</v>
      </c>
      <c r="F36" s="6" t="s">
        <v>132</v>
      </c>
      <c r="G36" s="9" t="s">
        <v>132</v>
      </c>
      <c r="H36" s="10" t="s">
        <v>12</v>
      </c>
      <c r="I36" s="11" t="s">
        <v>12</v>
      </c>
      <c r="J36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L26" activeCellId="0" sqref="L26"/>
    </sheetView>
  </sheetViews>
  <sheetFormatPr defaultColWidth="6.87890625" defaultRowHeight="15.8" customHeight="true" zeroHeight="false" outlineLevelRow="0" outlineLevelCol="0"/>
  <cols>
    <col collapsed="false" customWidth="true" hidden="false" outlineLevel="0" max="1" min="1" style="0" width="16.42"/>
    <col collapsed="false" customWidth="true" hidden="false" outlineLevel="0" max="3" min="3" style="0" width="12.46"/>
    <col collapsed="false" customWidth="true" hidden="false" outlineLevel="0" max="4" min="4" style="0" width="8.49"/>
    <col collapsed="false" customWidth="true" hidden="true" outlineLevel="0" max="11" min="9" style="0" width="9.14"/>
    <col collapsed="false" customWidth="true" hidden="false" outlineLevel="0" max="12" min="12" style="0" width="32.28"/>
    <col collapsed="false" customWidth="true" hidden="false" outlineLevel="0" max="16384" min="16375" style="0" width="9.14"/>
  </cols>
  <sheetData>
    <row r="1" customFormat="false" ht="15.8" hidden="false" customHeight="false" outlineLevel="0" collapsed="false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customFormat="false" ht="15.8" hidden="false" customHeight="false" outlineLevel="0" collapsed="false">
      <c r="A2" s="20" t="s">
        <v>144</v>
      </c>
    </row>
    <row r="3" customFormat="false" ht="15.8" hidden="false" customHeight="false" outlineLevel="0" collapsed="false">
      <c r="A3" s="20" t="s">
        <v>145</v>
      </c>
      <c r="B3" s="21" t="s">
        <v>146</v>
      </c>
      <c r="C3" s="21" t="s">
        <v>147</v>
      </c>
      <c r="D3" s="21" t="s">
        <v>148</v>
      </c>
      <c r="E3" s="22" t="s">
        <v>149</v>
      </c>
      <c r="F3" s="23"/>
      <c r="G3" s="24"/>
      <c r="H3" s="25"/>
      <c r="I3" s="26"/>
      <c r="J3" s="26"/>
      <c r="K3" s="26"/>
      <c r="L3" s="27"/>
    </row>
    <row r="4" customFormat="false" ht="15.8" hidden="false" customHeight="false" outlineLevel="0" collapsed="false">
      <c r="A4" s="20" t="s">
        <v>150</v>
      </c>
      <c r="E4" s="22"/>
      <c r="F4" s="23"/>
      <c r="G4" s="24"/>
      <c r="H4" s="25"/>
      <c r="I4" s="26"/>
      <c r="J4" s="26"/>
      <c r="K4" s="26"/>
      <c r="L4" s="27"/>
    </row>
    <row r="5" customFormat="false" ht="15.8" hidden="false" customHeight="false" outlineLevel="0" collapsed="false">
      <c r="A5" s="20" t="s">
        <v>151</v>
      </c>
      <c r="E5" s="22"/>
      <c r="F5" s="23"/>
      <c r="G5" s="24"/>
      <c r="H5" s="25"/>
      <c r="I5" s="26"/>
      <c r="J5" s="26"/>
      <c r="K5" s="26"/>
      <c r="L5" s="27"/>
    </row>
    <row r="6" customFormat="false" ht="15.8" hidden="false" customHeight="false" outlineLevel="0" collapsed="false">
      <c r="A6" s="20" t="s">
        <v>152</v>
      </c>
      <c r="B6" s="21" t="s">
        <v>153</v>
      </c>
      <c r="C6" s="21" t="s">
        <v>154</v>
      </c>
      <c r="D6" s="21" t="s">
        <v>148</v>
      </c>
      <c r="E6" s="22" t="s">
        <v>149</v>
      </c>
      <c r="F6" s="23"/>
      <c r="G6" s="24"/>
      <c r="H6" s="25"/>
      <c r="I6" s="26"/>
      <c r="J6" s="26"/>
      <c r="K6" s="26"/>
      <c r="L6" s="27"/>
    </row>
    <row r="7" customFormat="false" ht="15.8" hidden="false" customHeight="false" outlineLevel="0" collapsed="false">
      <c r="A7" s="20" t="s">
        <v>155</v>
      </c>
      <c r="E7" s="22"/>
      <c r="F7" s="23"/>
      <c r="G7" s="24"/>
      <c r="H7" s="25"/>
      <c r="I7" s="26"/>
      <c r="J7" s="26"/>
      <c r="K7" s="26"/>
      <c r="L7" s="27"/>
    </row>
    <row r="8" customFormat="false" ht="15.8" hidden="false" customHeight="false" outlineLevel="0" collapsed="false">
      <c r="A8" s="20" t="s">
        <v>156</v>
      </c>
      <c r="E8" s="22"/>
      <c r="F8" s="23"/>
      <c r="G8" s="24"/>
      <c r="H8" s="25"/>
      <c r="I8" s="26"/>
      <c r="J8" s="26"/>
      <c r="K8" s="26"/>
      <c r="L8" s="27"/>
    </row>
    <row r="9" customFormat="false" ht="15.8" hidden="false" customHeight="false" outlineLevel="0" collapsed="false">
      <c r="A9" s="20" t="s">
        <v>157</v>
      </c>
      <c r="B9" s="21" t="s">
        <v>153</v>
      </c>
      <c r="C9" s="21" t="s">
        <v>154</v>
      </c>
      <c r="D9" s="21" t="s">
        <v>148</v>
      </c>
      <c r="E9" s="22" t="s">
        <v>149</v>
      </c>
      <c r="F9" s="23"/>
      <c r="G9" s="24"/>
      <c r="H9" s="25"/>
      <c r="I9" s="26"/>
      <c r="J9" s="26"/>
      <c r="K9" s="26"/>
      <c r="L9" s="27"/>
    </row>
    <row r="10" customFormat="false" ht="15.8" hidden="false" customHeight="false" outlineLevel="0" collapsed="false">
      <c r="A10" s="20" t="s">
        <v>155</v>
      </c>
      <c r="E10" s="22"/>
      <c r="F10" s="23"/>
      <c r="G10" s="24"/>
      <c r="H10" s="25"/>
      <c r="I10" s="26"/>
      <c r="J10" s="26"/>
      <c r="K10" s="26"/>
      <c r="L10" s="27"/>
    </row>
    <row r="11" customFormat="false" ht="15.8" hidden="false" customHeight="false" outlineLevel="0" collapsed="false">
      <c r="A11" s="20" t="s">
        <v>158</v>
      </c>
      <c r="B11" s="21" t="s">
        <v>159</v>
      </c>
      <c r="C11" s="21" t="s">
        <v>160</v>
      </c>
      <c r="D11" s="21" t="s">
        <v>148</v>
      </c>
      <c r="E11" s="22" t="s">
        <v>158</v>
      </c>
      <c r="F11" s="23" t="s">
        <v>161</v>
      </c>
      <c r="G11" s="24" t="s">
        <v>162</v>
      </c>
      <c r="H11" s="25"/>
      <c r="I11" s="26" t="s">
        <v>163</v>
      </c>
      <c r="J11" s="26" t="n">
        <v>0</v>
      </c>
      <c r="K11" s="26" t="n">
        <v>0</v>
      </c>
      <c r="L11" s="27"/>
    </row>
    <row r="12" customFormat="false" ht="15.8" hidden="false" customHeight="false" outlineLevel="0" collapsed="false">
      <c r="A12" s="20" t="s">
        <v>164</v>
      </c>
      <c r="E12" s="22"/>
      <c r="F12" s="23"/>
      <c r="G12" s="24"/>
      <c r="H12" s="25"/>
      <c r="I12" s="26"/>
      <c r="J12" s="26"/>
      <c r="K12" s="26"/>
      <c r="L12" s="27"/>
    </row>
    <row r="13" customFormat="false" ht="15.8" hidden="false" customHeight="false" outlineLevel="0" collapsed="false">
      <c r="A13" s="20"/>
      <c r="E13" s="28"/>
      <c r="F13" s="28"/>
      <c r="G13" s="28"/>
      <c r="H13" s="28"/>
      <c r="I13" s="28"/>
      <c r="J13" s="28"/>
      <c r="K13" s="28"/>
      <c r="L13" s="28"/>
    </row>
    <row r="14" customFormat="false" ht="15.8" hidden="false" customHeight="false" outlineLevel="0" collapsed="false">
      <c r="A14" s="20" t="s">
        <v>165</v>
      </c>
      <c r="E14" s="28"/>
      <c r="F14" s="28"/>
      <c r="G14" s="28"/>
      <c r="H14" s="28"/>
      <c r="I14" s="28"/>
      <c r="J14" s="28"/>
      <c r="K14" s="28"/>
      <c r="L14" s="28"/>
    </row>
    <row r="15" customFormat="false" ht="15.8" hidden="false" customHeight="false" outlineLevel="0" collapsed="false">
      <c r="A15" s="20" t="s">
        <v>166</v>
      </c>
      <c r="E15" s="22"/>
      <c r="F15" s="23"/>
      <c r="G15" s="24"/>
      <c r="H15" s="25"/>
      <c r="I15" s="26"/>
      <c r="J15" s="26"/>
      <c r="K15" s="26"/>
      <c r="L15" s="27"/>
    </row>
    <row r="16" customFormat="false" ht="15.8" hidden="false" customHeight="false" outlineLevel="0" collapsed="false">
      <c r="A16" s="20" t="s">
        <v>167</v>
      </c>
      <c r="B16" s="21" t="s">
        <v>168</v>
      </c>
      <c r="C16" s="21" t="s">
        <v>160</v>
      </c>
      <c r="D16" s="21" t="s">
        <v>148</v>
      </c>
      <c r="E16" s="22" t="s">
        <v>167</v>
      </c>
      <c r="F16" s="23" t="s">
        <v>161</v>
      </c>
      <c r="G16" s="24" t="s">
        <v>169</v>
      </c>
      <c r="H16" s="25"/>
      <c r="I16" s="26" t="s">
        <v>170</v>
      </c>
      <c r="J16" s="26" t="n">
        <v>0</v>
      </c>
      <c r="K16" s="26" t="n">
        <v>0</v>
      </c>
      <c r="L16" s="27"/>
    </row>
    <row r="17" customFormat="false" ht="15.8" hidden="false" customHeight="false" outlineLevel="0" collapsed="false">
      <c r="A17" s="20" t="s">
        <v>171</v>
      </c>
      <c r="E17" s="22"/>
      <c r="F17" s="23"/>
      <c r="G17" s="24"/>
      <c r="H17" s="25"/>
      <c r="I17" s="26"/>
      <c r="J17" s="26"/>
      <c r="K17" s="26"/>
      <c r="L17" s="27"/>
    </row>
    <row r="18" customFormat="false" ht="15.8" hidden="false" customHeight="false" outlineLevel="0" collapsed="false">
      <c r="A18" s="20" t="s">
        <v>172</v>
      </c>
      <c r="E18" s="22"/>
      <c r="F18" s="23"/>
      <c r="G18" s="24"/>
      <c r="H18" s="25"/>
      <c r="I18" s="26"/>
      <c r="J18" s="26"/>
      <c r="K18" s="26"/>
      <c r="L18" s="27"/>
    </row>
    <row r="19" customFormat="false" ht="15.8" hidden="false" customHeight="false" outlineLevel="0" collapsed="false">
      <c r="A19" s="20" t="s">
        <v>173</v>
      </c>
      <c r="B19" s="21" t="s">
        <v>174</v>
      </c>
      <c r="C19" s="21" t="s">
        <v>175</v>
      </c>
      <c r="D19" s="21" t="s">
        <v>148</v>
      </c>
      <c r="E19" s="22" t="s">
        <v>173</v>
      </c>
      <c r="F19" s="23" t="s">
        <v>161</v>
      </c>
      <c r="G19" s="24" t="s">
        <v>162</v>
      </c>
      <c r="H19" s="25"/>
      <c r="I19" s="26" t="s">
        <v>163</v>
      </c>
      <c r="J19" s="26" t="n">
        <v>0</v>
      </c>
      <c r="K19" s="26" t="n">
        <v>0</v>
      </c>
      <c r="L19" s="27"/>
    </row>
    <row r="20" customFormat="false" ht="15.8" hidden="false" customHeight="false" outlineLevel="0" collapsed="false">
      <c r="A20" s="20" t="s">
        <v>176</v>
      </c>
      <c r="E20" s="22"/>
      <c r="F20" s="23"/>
      <c r="G20" s="24"/>
      <c r="H20" s="25"/>
      <c r="I20" s="26"/>
      <c r="J20" s="26"/>
      <c r="K20" s="26"/>
      <c r="L20" s="27"/>
    </row>
    <row r="21" customFormat="false" ht="15.8" hidden="false" customHeight="false" outlineLevel="0" collapsed="false">
      <c r="A21" s="20" t="s">
        <v>177</v>
      </c>
      <c r="B21" s="21" t="s">
        <v>163</v>
      </c>
      <c r="C21" s="21" t="s">
        <v>178</v>
      </c>
      <c r="D21" s="21" t="s">
        <v>148</v>
      </c>
      <c r="E21" s="22" t="s">
        <v>173</v>
      </c>
      <c r="F21" s="23" t="s">
        <v>161</v>
      </c>
      <c r="G21" s="24" t="s">
        <v>179</v>
      </c>
      <c r="H21" s="25"/>
      <c r="I21" s="26" t="s">
        <v>174</v>
      </c>
      <c r="J21" s="26" t="n">
        <v>0</v>
      </c>
      <c r="K21" s="26" t="n">
        <v>0</v>
      </c>
      <c r="L21" s="27"/>
    </row>
    <row r="22" customFormat="false" ht="15.8" hidden="false" customHeight="false" outlineLevel="0" collapsed="false">
      <c r="A22" s="20" t="s">
        <v>180</v>
      </c>
      <c r="E22" s="22"/>
      <c r="F22" s="23"/>
      <c r="G22" s="24"/>
      <c r="H22" s="25"/>
      <c r="I22" s="26"/>
      <c r="J22" s="26"/>
      <c r="K22" s="26"/>
      <c r="L22" s="27"/>
    </row>
    <row r="23" customFormat="false" ht="15.8" hidden="false" customHeight="false" outlineLevel="0" collapsed="false">
      <c r="A23" s="20" t="s">
        <v>181</v>
      </c>
      <c r="E23" s="22"/>
      <c r="F23" s="23"/>
      <c r="G23" s="24"/>
      <c r="H23" s="25"/>
      <c r="I23" s="26"/>
      <c r="J23" s="26"/>
      <c r="K23" s="26"/>
      <c r="L23" s="27"/>
    </row>
    <row r="24" customFormat="false" ht="15.8" hidden="false" customHeight="false" outlineLevel="0" collapsed="false">
      <c r="A24" s="20" t="s">
        <v>182</v>
      </c>
      <c r="B24" s="21" t="s">
        <v>153</v>
      </c>
      <c r="C24" s="21" t="s">
        <v>154</v>
      </c>
      <c r="D24" s="21" t="s">
        <v>148</v>
      </c>
      <c r="E24" s="22" t="s">
        <v>149</v>
      </c>
      <c r="F24" s="23"/>
      <c r="G24" s="24"/>
      <c r="H24" s="25"/>
      <c r="I24" s="26"/>
      <c r="J24" s="26"/>
      <c r="K24" s="26"/>
      <c r="L24" s="27"/>
    </row>
    <row r="25" customFormat="false" ht="15.8" hidden="false" customHeight="false" outlineLevel="0" collapsed="false">
      <c r="A25" s="20" t="s">
        <v>155</v>
      </c>
      <c r="E25" s="22"/>
      <c r="F25" s="23"/>
      <c r="G25" s="24"/>
      <c r="H25" s="25"/>
      <c r="I25" s="26"/>
      <c r="J25" s="26"/>
      <c r="K25" s="26"/>
      <c r="L25" s="27"/>
    </row>
    <row r="26" customFormat="false" ht="15.8" hidden="false" customHeight="false" outlineLevel="0" collapsed="false">
      <c r="A26" s="20" t="s">
        <v>167</v>
      </c>
      <c r="B26" s="21" t="s">
        <v>159</v>
      </c>
      <c r="C26" s="21" t="s">
        <v>160</v>
      </c>
      <c r="D26" s="21" t="s">
        <v>148</v>
      </c>
      <c r="E26" s="22" t="s">
        <v>167</v>
      </c>
      <c r="F26" s="23" t="s">
        <v>161</v>
      </c>
      <c r="G26" s="24" t="s">
        <v>179</v>
      </c>
      <c r="H26" s="25"/>
      <c r="I26" s="26" t="s">
        <v>168</v>
      </c>
      <c r="J26" s="26" t="n">
        <v>0</v>
      </c>
      <c r="K26" s="26" t="n">
        <v>0</v>
      </c>
      <c r="L26" s="27" t="s">
        <v>183</v>
      </c>
    </row>
    <row r="27" customFormat="false" ht="15.8" hidden="false" customHeight="false" outlineLevel="0" collapsed="false">
      <c r="A27" s="20"/>
    </row>
    <row r="28" customFormat="false" ht="15.8" hidden="false" customHeight="false" outlineLevel="0" collapsed="false">
      <c r="A28" s="20" t="s">
        <v>184</v>
      </c>
    </row>
    <row r="29" customFormat="false" ht="15.8" hidden="false" customHeight="false" outlineLevel="0" collapsed="false">
      <c r="A29" s="20" t="s">
        <v>185</v>
      </c>
      <c r="B29" s="21" t="s">
        <v>146</v>
      </c>
      <c r="C29" s="21" t="s">
        <v>186</v>
      </c>
      <c r="E29" s="29" t="str">
        <f aca="false">IF(D29="?OLD","!!!","")</f>
        <v/>
      </c>
      <c r="F29" s="30" t="str">
        <f aca="false">IF(OR(E29="",E29="!!!"),"",IF(NOT(ISNA(VLOOKUP(E29,E$1:E28,1,FALSE()))),"OLD",IF(AND(E29&lt;&gt;"",E29&lt;&gt;"!!!"),"NEW","")))</f>
        <v/>
      </c>
      <c r="G29" s="31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32" t="str">
        <f aca="false">IF(J29&lt;&gt;1,"",IF(I29="SBJ","CB","?"))</f>
        <v/>
      </c>
      <c r="I29" s="33" t="str">
        <f aca="false">IF(OR(E29="",E29="!!!",F29="NEW"),"",INDEX(B$2:B28,-1+SUMPRODUCT(MAX(ROW(E$2:E28)*(E29=E$2:E28)))))</f>
        <v/>
      </c>
      <c r="J29" s="33" t="str">
        <f aca="true">IF(OR(E29="",E29="!!!",F29="NEW"),"",COUNTBLANK(OFFSET(A$1,,,SUMPRODUCT(MAX(ROW(E$2:E29)*(E29=E$2:E29)))))-COUNTBLANK(OFFSET(A$1,,,SUMPRODUCT(MAX(ROW(E$1:E28)*(E2=E$1:E28))))))</f>
        <v/>
      </c>
      <c r="K29" s="33" t="str">
        <f aca="false">IF(OR(E29="",E29="!!!",F29="NEW"),"",INDEX(J$1:J28,SUMPRODUCT(MAX(ROW(E$1:E28)*(E29=E$1:E28)))))</f>
        <v/>
      </c>
      <c r="L29" s="34"/>
    </row>
    <row r="30" customFormat="false" ht="15.8" hidden="false" customHeight="false" outlineLevel="0" collapsed="false">
      <c r="A30" s="20" t="s">
        <v>187</v>
      </c>
      <c r="E30" s="29" t="str">
        <f aca="false">IF(D30="?OLD","!!!","")</f>
        <v/>
      </c>
      <c r="F30" s="30" t="str">
        <f aca="false">IF(OR(E30="",E30="!!!"),"",IF(NOT(ISNA(VLOOKUP(E30,E$1:E29,1,FALSE()))),"OLD",IF(AND(E30&lt;&gt;"",E30&lt;&gt;"!!!"),"NEW","")))</f>
        <v/>
      </c>
      <c r="G30" s="31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32" t="str">
        <f aca="false">IF(J30&lt;&gt;1,"",IF(I30="SBJ","CB","?"))</f>
        <v/>
      </c>
      <c r="I30" s="33" t="str">
        <f aca="false">IF(OR(E30="",E30="!!!",F30="NEW"),"",INDEX(B$2:B29,-1+SUMPRODUCT(MAX(ROW(E$2:E29)*(E30=E$2:E29)))))</f>
        <v/>
      </c>
      <c r="J30" s="33" t="str">
        <f aca="true">IF(OR(E30="",E30="!!!",F30="NEW"),"",COUNTBLANK(OFFSET(A$1,,,SUMPRODUCT(MAX(ROW(E$2:E30)*(E30=E$2:E30)))))-COUNTBLANK(OFFSET(A$1,,,SUMPRODUCT(MAX(ROW(E$1:E29)*(E2=E$1:E29))))))</f>
        <v/>
      </c>
      <c r="K30" s="33" t="str">
        <f aca="false">IF(OR(E30="",E30="!!!",F30="NEW"),"",INDEX(J$1:J29,SUMPRODUCT(MAX(ROW(E$1:E29)*(E30=E$1:E29)))))</f>
        <v/>
      </c>
      <c r="L30" s="34"/>
    </row>
    <row r="31" customFormat="false" ht="15.8" hidden="false" customHeight="false" outlineLevel="0" collapsed="false">
      <c r="A31" s="20" t="s">
        <v>188</v>
      </c>
      <c r="B31" s="21" t="s">
        <v>159</v>
      </c>
      <c r="C31" s="21" t="s">
        <v>186</v>
      </c>
      <c r="E31" s="29" t="str">
        <f aca="false">IF(D31="?OLD","!!!","")</f>
        <v/>
      </c>
      <c r="F31" s="30" t="str">
        <f aca="false">IF(OR(E31="",E31="!!!"),"",IF(NOT(ISNA(VLOOKUP(E31,E$1:E30,1,FALSE()))),"OLD",IF(AND(E31&lt;&gt;"",E31&lt;&gt;"!!!"),"NEW","")))</f>
        <v/>
      </c>
      <c r="G31" s="31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32" t="str">
        <f aca="false">IF(J31&lt;&gt;1,"",IF(I31="SBJ","CB","?"))</f>
        <v/>
      </c>
      <c r="I31" s="33" t="str">
        <f aca="false">IF(OR(E31="",E31="!!!",F31="NEW"),"",INDEX(B$2:B30,-1+SUMPRODUCT(MAX(ROW(E$2:E30)*(E31=E$2:E30)))))</f>
        <v/>
      </c>
      <c r="J31" s="33" t="str">
        <f aca="true">IF(OR(E31="",E31="!!!",F31="NEW"),"",COUNTBLANK(OFFSET(A$1,,,SUMPRODUCT(MAX(ROW(E$2:E31)*(E31=E$2:E31)))))-COUNTBLANK(OFFSET(A$1,,,SUMPRODUCT(MAX(ROW(E$1:E30)*(E2=E$1:E30))))))</f>
        <v/>
      </c>
      <c r="K31" s="33" t="str">
        <f aca="false">IF(OR(E31="",E31="!!!",F31="NEW"),"",INDEX(J$1:J30,SUMPRODUCT(MAX(ROW(E$1:E30)*(E31=E$1:E30)))))</f>
        <v/>
      </c>
      <c r="L31" s="34"/>
    </row>
    <row r="32" customFormat="false" ht="15.8" hidden="false" customHeight="false" outlineLevel="0" collapsed="false">
      <c r="A32" s="20" t="s">
        <v>189</v>
      </c>
      <c r="B32" s="21" t="s">
        <v>163</v>
      </c>
      <c r="C32" s="21" t="s">
        <v>178</v>
      </c>
      <c r="D32" s="21" t="s">
        <v>148</v>
      </c>
      <c r="E32" s="29" t="str">
        <f aca="false">IF(D32="?OLD","!!!","")</f>
        <v>!!!</v>
      </c>
      <c r="F32" s="30" t="str">
        <f aca="false">IF(OR(E32="",E32="!!!"),"",IF(NOT(ISNA(VLOOKUP(E32,E$1:E31,1,FALSE()))),"OLD",IF(AND(E32&lt;&gt;"",E32&lt;&gt;"!!!"),"NEW","")))</f>
        <v/>
      </c>
      <c r="G32" s="31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32" t="str">
        <f aca="false">IF(J32&lt;&gt;1,"",IF(I32="SBJ","CB","?"))</f>
        <v/>
      </c>
      <c r="I32" s="33" t="str">
        <f aca="false">IF(OR(E32="",E32="!!!",F32="NEW"),"",INDEX(B$2:B31,-1+SUMPRODUCT(MAX(ROW(E$2:E31)*(E32=E$2:E31)))))</f>
        <v/>
      </c>
      <c r="J32" s="33" t="str">
        <f aca="true">IF(OR(E32="",E32="!!!",F32="NEW"),"",COUNTBLANK(OFFSET(A$1,,,SUMPRODUCT(MAX(ROW(E$2:E32)*(E32=E$2:E32)))))-COUNTBLANK(OFFSET(A$1,,,SUMPRODUCT(MAX(ROW(E$1:E31)*(E2=E$1:E31))))))</f>
        <v/>
      </c>
      <c r="K32" s="33" t="str">
        <f aca="false">IF(OR(E32="",E32="!!!",F32="NEW"),"",INDEX(J$1:J31,SUMPRODUCT(MAX(ROW(E$1:E31)*(E32=E$1:E31)))))</f>
        <v/>
      </c>
      <c r="L32" s="34"/>
    </row>
    <row r="33" customFormat="false" ht="15.8" hidden="false" customHeight="false" outlineLevel="0" collapsed="false">
      <c r="A33" s="20" t="s">
        <v>171</v>
      </c>
      <c r="E33" s="29" t="str">
        <f aca="false">IF(D33="?OLD","!!!","")</f>
        <v/>
      </c>
      <c r="F33" s="30" t="str">
        <f aca="false">IF(OR(E33="",E33="!!!"),"",IF(NOT(ISNA(VLOOKUP(E33,E$1:E32,1,FALSE()))),"OLD",IF(AND(E33&lt;&gt;"",E33&lt;&gt;"!!!"),"NEW","")))</f>
        <v/>
      </c>
      <c r="G33" s="31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32" t="str">
        <f aca="false">IF(J33&lt;&gt;1,"",IF(I33="SBJ","CB","?"))</f>
        <v/>
      </c>
      <c r="I33" s="33" t="str">
        <f aca="false">IF(OR(E33="",E33="!!!",F33="NEW"),"",INDEX(B$2:B32,-1+SUMPRODUCT(MAX(ROW(E$2:E32)*(E33=E$2:E32)))))</f>
        <v/>
      </c>
      <c r="J33" s="33" t="str">
        <f aca="true">IF(OR(E33="",E33="!!!",F33="NEW"),"",COUNTBLANK(OFFSET(A$1,,,SUMPRODUCT(MAX(ROW(E$2:E33)*(E33=E$2:E33)))))-COUNTBLANK(OFFSET(A$1,,,SUMPRODUCT(MAX(ROW(E$1:E32)*(E2=E$1:E32))))))</f>
        <v/>
      </c>
      <c r="K33" s="33" t="str">
        <f aca="false">IF(OR(E33="",E33="!!!",F33="NEW"),"",INDEX(J$1:J32,SUMPRODUCT(MAX(ROW(E$1:E32)*(E33=E$1:E32)))))</f>
        <v/>
      </c>
      <c r="L33" s="34"/>
    </row>
    <row r="34" customFormat="false" ht="15.8" hidden="false" customHeight="false" outlineLevel="0" collapsed="false">
      <c r="A34" s="20" t="s">
        <v>176</v>
      </c>
      <c r="E34" s="29" t="str">
        <f aca="false">IF(D34="?OLD","!!!","")</f>
        <v/>
      </c>
      <c r="F34" s="30" t="str">
        <f aca="false">IF(OR(E34="",E34="!!!"),"",IF(NOT(ISNA(VLOOKUP(E34,E$1:E33,1,FALSE()))),"OLD",IF(AND(E34&lt;&gt;"",E34&lt;&gt;"!!!"),"NEW","")))</f>
        <v/>
      </c>
      <c r="G34" s="31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32" t="str">
        <f aca="false">IF(J34&lt;&gt;1,"",IF(I34="SBJ","CB","?"))</f>
        <v/>
      </c>
      <c r="I34" s="33" t="str">
        <f aca="false">IF(OR(E34="",E34="!!!",F34="NEW"),"",INDEX(B$2:B33,-1+SUMPRODUCT(MAX(ROW(E$2:E33)*(E34=E$2:E33)))))</f>
        <v/>
      </c>
      <c r="J34" s="33" t="str">
        <f aca="true">IF(OR(E34="",E34="!!!",F34="NEW"),"",COUNTBLANK(OFFSET(A$1,,,SUMPRODUCT(MAX(ROW(E$2:E34)*(E34=E$2:E34)))))-COUNTBLANK(OFFSET(A$1,,,SUMPRODUCT(MAX(ROW(E$1:E33)*(E2=E$1:E33))))))</f>
        <v/>
      </c>
      <c r="K34" s="33" t="str">
        <f aca="false">IF(OR(E34="",E34="!!!",F34="NEW"),"",INDEX(J$1:J33,SUMPRODUCT(MAX(ROW(E$1:E33)*(E34=E$1:E33)))))</f>
        <v/>
      </c>
      <c r="L34" s="34"/>
    </row>
    <row r="35" customFormat="false" ht="15.8" hidden="false" customHeight="false" outlineLevel="0" collapsed="false">
      <c r="A35" s="20" t="s">
        <v>189</v>
      </c>
      <c r="B35" s="21" t="s">
        <v>174</v>
      </c>
      <c r="C35" s="21" t="s">
        <v>178</v>
      </c>
      <c r="D35" s="21" t="s">
        <v>148</v>
      </c>
      <c r="E35" s="29" t="str">
        <f aca="false">IF(D35="?OLD","!!!","")</f>
        <v>!!!</v>
      </c>
      <c r="F35" s="30" t="str">
        <f aca="false">IF(OR(E35="",E35="!!!"),"",IF(NOT(ISNA(VLOOKUP(E35,E$1:E34,1,FALSE()))),"OLD",IF(AND(E35&lt;&gt;"",E35&lt;&gt;"!!!"),"NEW","")))</f>
        <v/>
      </c>
      <c r="G35" s="31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32" t="str">
        <f aca="false">IF(J35&lt;&gt;1,"",IF(I35="SBJ","CB","?"))</f>
        <v/>
      </c>
      <c r="I35" s="33" t="str">
        <f aca="false">IF(OR(E35="",E35="!!!",F35="NEW"),"",INDEX(B$2:B34,-1+SUMPRODUCT(MAX(ROW(E$2:E34)*(E35=E$2:E34)))))</f>
        <v/>
      </c>
      <c r="J35" s="33" t="str">
        <f aca="true">IF(OR(E35="",E35="!!!",F35="NEW"),"",COUNTBLANK(OFFSET(A$1,,,SUMPRODUCT(MAX(ROW(E$2:E35)*(E35=E$2:E35)))))-COUNTBLANK(OFFSET(A$1,,,SUMPRODUCT(MAX(ROW(E$1:E34)*(E2=E$1:E34))))))</f>
        <v/>
      </c>
      <c r="K35" s="33" t="str">
        <f aca="false">IF(OR(E35="",E35="!!!",F35="NEW"),"",INDEX(J$1:J34,SUMPRODUCT(MAX(ROW(E$1:E34)*(E35=E$1:E34)))))</f>
        <v/>
      </c>
      <c r="L35" s="34"/>
    </row>
    <row r="36" customFormat="false" ht="15.8" hidden="false" customHeight="false" outlineLevel="0" collapsed="false">
      <c r="A36" s="20" t="s">
        <v>190</v>
      </c>
      <c r="E36" s="29" t="str">
        <f aca="false">IF(D36="?OLD","!!!","")</f>
        <v/>
      </c>
      <c r="F36" s="30" t="str">
        <f aca="false">IF(OR(E36="",E36="!!!"),"",IF(NOT(ISNA(VLOOKUP(E36,E$1:E35,1,FALSE()))),"OLD",IF(AND(E36&lt;&gt;"",E36&lt;&gt;"!!!"),"NEW","")))</f>
        <v/>
      </c>
      <c r="G36" s="31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32" t="str">
        <f aca="false">IF(J36&lt;&gt;1,"",IF(I36="SBJ","CB","?"))</f>
        <v/>
      </c>
      <c r="I36" s="33" t="str">
        <f aca="false">IF(OR(E36="",E36="!!!",F36="NEW"),"",INDEX(B$2:B35,-1+SUMPRODUCT(MAX(ROW(E$2:E35)*(E36=E$2:E35)))))</f>
        <v/>
      </c>
      <c r="J36" s="33" t="str">
        <f aca="true">IF(OR(E36="",E36="!!!",F36="NEW"),"",COUNTBLANK(OFFSET(A$1,,,SUMPRODUCT(MAX(ROW(E$2:E36)*(E36=E$2:E36)))))-COUNTBLANK(OFFSET(A$1,,,SUMPRODUCT(MAX(ROW(E$1:E35)*(E2=E$1:E35))))))</f>
        <v/>
      </c>
      <c r="K36" s="33" t="str">
        <f aca="false">IF(OR(E36="",E36="!!!",F36="NEW"),"",INDEX(J$1:J35,SUMPRODUCT(MAX(ROW(E$1:E35)*(E36=E$1:E35)))))</f>
        <v/>
      </c>
      <c r="L36" s="34"/>
    </row>
    <row r="37" customFormat="false" ht="15.8" hidden="false" customHeight="false" outlineLevel="0" collapsed="false">
      <c r="A37" s="20" t="s">
        <v>187</v>
      </c>
      <c r="E37" s="29" t="str">
        <f aca="false">IF(D37="?OLD","!!!","")</f>
        <v/>
      </c>
      <c r="F37" s="30" t="str">
        <f aca="false">IF(OR(E37="",E37="!!!"),"",IF(NOT(ISNA(VLOOKUP(E37,E$1:E36,1,FALSE()))),"OLD",IF(AND(E37&lt;&gt;"",E37&lt;&gt;"!!!"),"NEW","")))</f>
        <v/>
      </c>
      <c r="G37" s="31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32" t="str">
        <f aca="false">IF(J37&lt;&gt;1,"",IF(I37="SBJ","CB","?"))</f>
        <v/>
      </c>
      <c r="I37" s="33" t="str">
        <f aca="false">IF(OR(E37="",E37="!!!",F37="NEW"),"",INDEX(B$2:B36,-1+SUMPRODUCT(MAX(ROW(E$2:E36)*(E37=E$2:E36)))))</f>
        <v/>
      </c>
      <c r="J37" s="33" t="str">
        <f aca="true">IF(OR(E37="",E37="!!!",F37="NEW"),"",COUNTBLANK(OFFSET(A$1,,,SUMPRODUCT(MAX(ROW(E$2:E37)*(E37=E$2:E37)))))-COUNTBLANK(OFFSET(A$1,,,SUMPRODUCT(MAX(ROW(E$1:E36)*(E2=E$1:E36))))))</f>
        <v/>
      </c>
      <c r="K37" s="33" t="str">
        <f aca="false">IF(OR(E37="",E37="!!!",F37="NEW"),"",INDEX(J$1:J36,SUMPRODUCT(MAX(ROW(E$1:E36)*(E37=E$1:E36)))))</f>
        <v/>
      </c>
      <c r="L37" s="34"/>
    </row>
    <row r="38" customFormat="false" ht="15.8" hidden="false" customHeight="false" outlineLevel="0" collapsed="false">
      <c r="A38" s="20" t="s">
        <v>189</v>
      </c>
      <c r="B38" s="21" t="s">
        <v>174</v>
      </c>
      <c r="C38" s="21" t="s">
        <v>178</v>
      </c>
      <c r="D38" s="21" t="s">
        <v>148</v>
      </c>
      <c r="E38" s="29" t="str">
        <f aca="false">IF(D38="?OLD","!!!","")</f>
        <v>!!!</v>
      </c>
      <c r="F38" s="30" t="str">
        <f aca="false">IF(OR(E38="",E38="!!!"),"",IF(NOT(ISNA(VLOOKUP(E38,E$1:E37,1,FALSE()))),"OLD",IF(AND(E38&lt;&gt;"",E38&lt;&gt;"!!!"),"NEW","")))</f>
        <v/>
      </c>
      <c r="G38" s="31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32" t="str">
        <f aca="false">IF(J38&lt;&gt;1,"",IF(I38="SBJ","CB","?"))</f>
        <v/>
      </c>
      <c r="I38" s="33" t="str">
        <f aca="false">IF(OR(E38="",E38="!!!",F38="NEW"),"",INDEX(B$2:B37,-1+SUMPRODUCT(MAX(ROW(E$2:E37)*(E38=E$2:E37)))))</f>
        <v/>
      </c>
      <c r="J38" s="33" t="str">
        <f aca="true">IF(OR(E38="",E38="!!!",F38="NEW"),"",COUNTBLANK(OFFSET(A$1,,,SUMPRODUCT(MAX(ROW(E$2:E38)*(E38=E$2:E38)))))-COUNTBLANK(OFFSET(A$1,,,SUMPRODUCT(MAX(ROW(E$1:E37)*(E2=E$1:E37))))))</f>
        <v/>
      </c>
      <c r="K38" s="33" t="str">
        <f aca="false">IF(OR(E38="",E38="!!!",F38="NEW"),"",INDEX(J$1:J37,SUMPRODUCT(MAX(ROW(E$1:E37)*(E38=E$1:E37)))))</f>
        <v/>
      </c>
      <c r="L38" s="34"/>
    </row>
    <row r="39" customFormat="false" ht="15.8" hidden="false" customHeight="false" outlineLevel="0" collapsed="false">
      <c r="A39" s="20" t="s">
        <v>191</v>
      </c>
      <c r="E39" s="29" t="str">
        <f aca="false">IF(D39="?OLD","!!!","")</f>
        <v/>
      </c>
      <c r="F39" s="30" t="str">
        <f aca="false">IF(OR(E39="",E39="!!!"),"",IF(NOT(ISNA(VLOOKUP(E39,E$1:E38,1,FALSE()))),"OLD",IF(AND(E39&lt;&gt;"",E39&lt;&gt;"!!!"),"NEW","")))</f>
        <v/>
      </c>
      <c r="G39" s="31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32" t="str">
        <f aca="false">IF(J39&lt;&gt;1,"",IF(I39="SBJ","CB","?"))</f>
        <v/>
      </c>
      <c r="I39" s="33" t="str">
        <f aca="false">IF(OR(E39="",E39="!!!",F39="NEW"),"",INDEX(B$2:B38,-1+SUMPRODUCT(MAX(ROW(E$2:E38)*(E39=E$2:E38)))))</f>
        <v/>
      </c>
      <c r="J39" s="33" t="str">
        <f aca="true">IF(OR(E39="",E39="!!!",F39="NEW"),"",COUNTBLANK(OFFSET(A$1,,,SUMPRODUCT(MAX(ROW(E$2:E39)*(E39=E$2:E39)))))-COUNTBLANK(OFFSET(A$1,,,SUMPRODUCT(MAX(ROW(E$1:E38)*(E2=E$1:E38))))))</f>
        <v/>
      </c>
      <c r="K39" s="33" t="str">
        <f aca="false">IF(OR(E39="",E39="!!!",F39="NEW"),"",INDEX(J$1:J38,SUMPRODUCT(MAX(ROW(E$1:E38)*(E39=E$1:E38)))))</f>
        <v/>
      </c>
      <c r="L39" s="34"/>
    </row>
    <row r="40" customFormat="false" ht="15.8" hidden="false" customHeight="false" outlineLevel="0" collapsed="false">
      <c r="A40" s="20" t="s">
        <v>192</v>
      </c>
      <c r="B40" s="21" t="s">
        <v>159</v>
      </c>
      <c r="C40" s="21" t="s">
        <v>186</v>
      </c>
      <c r="E40" s="29" t="str">
        <f aca="false">IF(D40="?OLD","!!!","")</f>
        <v/>
      </c>
      <c r="F40" s="30" t="str">
        <f aca="false">IF(OR(E40="",E40="!!!"),"",IF(NOT(ISNA(VLOOKUP(E40,E$1:E39,1,FALSE()))),"OLD",IF(AND(E40&lt;&gt;"",E40&lt;&gt;"!!!"),"NEW","")))</f>
        <v/>
      </c>
      <c r="G40" s="31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32" t="str">
        <f aca="false">IF(J40&lt;&gt;1,"",IF(I40="SBJ","CB","?"))</f>
        <v/>
      </c>
      <c r="I40" s="33" t="str">
        <f aca="false">IF(OR(E40="",E40="!!!",F40="NEW"),"",INDEX(B$2:B39,-1+SUMPRODUCT(MAX(ROW(E$2:E39)*(E40=E$2:E39)))))</f>
        <v/>
      </c>
      <c r="J40" s="33" t="str">
        <f aca="true">IF(OR(E40="",E40="!!!",F40="NEW"),"",COUNTBLANK(OFFSET(A$1,,,SUMPRODUCT(MAX(ROW(E$2:E40)*(E40=E$2:E40)))))-COUNTBLANK(OFFSET(A$1,,,SUMPRODUCT(MAX(ROW(E$1:E39)*(E2=E$1:E39))))))</f>
        <v/>
      </c>
      <c r="K40" s="33" t="str">
        <f aca="false">IF(OR(E40="",E40="!!!",F40="NEW"),"",INDEX(J$1:J39,SUMPRODUCT(MAX(ROW(E$1:E39)*(E40=E$1:E39)))))</f>
        <v/>
      </c>
      <c r="L40" s="34"/>
    </row>
    <row r="41" customFormat="false" ht="15.8" hidden="false" customHeight="false" outlineLevel="0" collapsed="false">
      <c r="A41" s="20" t="s">
        <v>193</v>
      </c>
      <c r="E41" s="29" t="str">
        <f aca="false">IF(D41="?OLD","!!!","")</f>
        <v/>
      </c>
      <c r="F41" s="30" t="str">
        <f aca="false">IF(OR(E41="",E41="!!!"),"",IF(NOT(ISNA(VLOOKUP(E41,E$1:E40,1,FALSE()))),"OLD",IF(AND(E41&lt;&gt;"",E41&lt;&gt;"!!!"),"NEW","")))</f>
        <v/>
      </c>
      <c r="G41" s="31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32" t="str">
        <f aca="false">IF(J41&lt;&gt;1,"",IF(I41="SBJ","CB","?"))</f>
        <v/>
      </c>
      <c r="I41" s="33" t="str">
        <f aca="false">IF(OR(E41="",E41="!!!",F41="NEW"),"",INDEX(B$2:B40,-1+SUMPRODUCT(MAX(ROW(E$2:E40)*(E41=E$2:E40)))))</f>
        <v/>
      </c>
      <c r="J41" s="33" t="str">
        <f aca="true">IF(OR(E41="",E41="!!!",F41="NEW"),"",COUNTBLANK(OFFSET(A$1,,,SUMPRODUCT(MAX(ROW(E$2:E41)*(E41=E$2:E41)))))-COUNTBLANK(OFFSET(A$1,,,SUMPRODUCT(MAX(ROW(E$1:E40)*(E2=E$1:E40))))))</f>
        <v/>
      </c>
      <c r="K41" s="33" t="str">
        <f aca="false">IF(OR(E41="",E41="!!!",F41="NEW"),"",INDEX(J$1:J40,SUMPRODUCT(MAX(ROW(E$1:E40)*(E41=E$1:E40)))))</f>
        <v/>
      </c>
      <c r="L41" s="34"/>
    </row>
    <row r="42" customFormat="false" ht="15.8" hidden="false" customHeight="false" outlineLevel="0" collapsed="false">
      <c r="A42" s="20" t="s">
        <v>194</v>
      </c>
      <c r="E42" s="29" t="str">
        <f aca="false">IF(D42="?OLD","!!!","")</f>
        <v/>
      </c>
      <c r="F42" s="30" t="str">
        <f aca="false">IF(OR(E42="",E42="!!!"),"",IF(NOT(ISNA(VLOOKUP(E42,E$1:E41,1,FALSE()))),"OLD",IF(AND(E42&lt;&gt;"",E42&lt;&gt;"!!!"),"NEW","")))</f>
        <v/>
      </c>
      <c r="G42" s="31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32" t="str">
        <f aca="false">IF(J42&lt;&gt;1,"",IF(I42="SBJ","CB","?"))</f>
        <v/>
      </c>
      <c r="I42" s="33" t="str">
        <f aca="false">IF(OR(E42="",E42="!!!",F42="NEW"),"",INDEX(B$2:B41,-1+SUMPRODUCT(MAX(ROW(E$2:E41)*(E42=E$2:E41)))))</f>
        <v/>
      </c>
      <c r="J42" s="33" t="str">
        <f aca="true">IF(OR(E42="",E42="!!!",F42="NEW"),"",COUNTBLANK(OFFSET(A$1,,,SUMPRODUCT(MAX(ROW(E$2:E42)*(E42=E$2:E42)))))-COUNTBLANK(OFFSET(A$1,,,SUMPRODUCT(MAX(ROW(E$1:E41)*(E2=E$1:E41))))))</f>
        <v/>
      </c>
      <c r="K42" s="33" t="str">
        <f aca="false">IF(OR(E42="",E42="!!!",F42="NEW"),"",INDEX(J$1:J41,SUMPRODUCT(MAX(ROW(E$1:E41)*(E42=E$1:E41)))))</f>
        <v/>
      </c>
      <c r="L42" s="34"/>
    </row>
    <row r="43" customFormat="false" ht="15.8" hidden="false" customHeight="false" outlineLevel="0" collapsed="false">
      <c r="A43" s="20" t="s">
        <v>195</v>
      </c>
      <c r="E43" s="29" t="str">
        <f aca="false">IF(D43="?OLD","!!!","")</f>
        <v/>
      </c>
      <c r="F43" s="30" t="str">
        <f aca="false">IF(OR(E43="",E43="!!!"),"",IF(NOT(ISNA(VLOOKUP(E43,E$1:E42,1,FALSE()))),"OLD",IF(AND(E43&lt;&gt;"",E43&lt;&gt;"!!!"),"NEW","")))</f>
        <v/>
      </c>
      <c r="G43" s="31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32" t="str">
        <f aca="false">IF(J43&lt;&gt;1,"",IF(I43="SBJ","CB","?"))</f>
        <v/>
      </c>
      <c r="I43" s="33" t="str">
        <f aca="false">IF(OR(E43="",E43="!!!",F43="NEW"),"",INDEX(B$2:B42,-1+SUMPRODUCT(MAX(ROW(E$2:E42)*(E43=E$2:E42)))))</f>
        <v/>
      </c>
      <c r="J43" s="33" t="str">
        <f aca="true">IF(OR(E43="",E43="!!!",F43="NEW"),"",COUNTBLANK(OFFSET(A$1,,,SUMPRODUCT(MAX(ROW(E$2:E43)*(E43=E$2:E43)))))-COUNTBLANK(OFFSET(A$1,,,SUMPRODUCT(MAX(ROW(E$1:E42)*(E2=E$1:E42))))))</f>
        <v/>
      </c>
      <c r="K43" s="33" t="str">
        <f aca="false">IF(OR(E43="",E43="!!!",F43="NEW"),"",INDEX(J$1:J42,SUMPRODUCT(MAX(ROW(E$1:E42)*(E43=E$1:E42)))))</f>
        <v/>
      </c>
      <c r="L43" s="34"/>
    </row>
    <row r="44" customFormat="false" ht="15.8" hidden="false" customHeight="false" outlineLevel="0" collapsed="false">
      <c r="A44" s="20"/>
    </row>
    <row r="45" customFormat="false" ht="15.8" hidden="false" customHeight="false" outlineLevel="0" collapsed="false">
      <c r="A45" s="20" t="s">
        <v>196</v>
      </c>
    </row>
    <row r="46" customFormat="false" ht="15.8" hidden="false" customHeight="false" outlineLevel="0" collapsed="false">
      <c r="A46" s="20" t="s">
        <v>158</v>
      </c>
      <c r="B46" s="21" t="s">
        <v>146</v>
      </c>
      <c r="C46" s="21" t="s">
        <v>186</v>
      </c>
      <c r="E46" s="29" t="str">
        <f aca="false">IF(D46="?OLD","!!!","")</f>
        <v/>
      </c>
      <c r="F46" s="30" t="str">
        <f aca="false">IF(OR(E46="",E46="!!!"),"",IF(NOT(ISNA(VLOOKUP(E46,E$1:E45,1,FALSE()))),"OLD",IF(AND(E46&lt;&gt;"",E46&lt;&gt;"!!!"),"NEW","")))</f>
        <v/>
      </c>
      <c r="G46" s="31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32" t="str">
        <f aca="false">IF(J46&lt;&gt;1,"",IF(I46="SBJ","CB","?"))</f>
        <v/>
      </c>
      <c r="I46" s="33" t="str">
        <f aca="false">IF(OR(E46="",E46="!!!",F46="NEW"),"",INDEX(B$2:B45,-1+SUMPRODUCT(MAX(ROW(E$2:E45)*(E46=E$2:E45)))))</f>
        <v/>
      </c>
      <c r="J46" s="33" t="str">
        <f aca="true">IF(OR(E46="",E46="!!!",F46="NEW"),"",COUNTBLANK(OFFSET(A$1,,,SUMPRODUCT(MAX(ROW(E$2:E46)*(E46=E$2:E46)))))-COUNTBLANK(OFFSET(A$1,,,SUMPRODUCT(MAX(ROW(E$1:E45)*(E2=E$1:E45))))))</f>
        <v/>
      </c>
      <c r="K46" s="33" t="str">
        <f aca="false">IF(OR(E46="",E46="!!!",F46="NEW"),"",INDEX(J$1:J45,SUMPRODUCT(MAX(ROW(E$1:E45)*(E46=E$1:E45)))))</f>
        <v/>
      </c>
      <c r="L46" s="34"/>
    </row>
    <row r="47" customFormat="false" ht="15.8" hidden="false" customHeight="false" outlineLevel="0" collapsed="false">
      <c r="A47" s="20" t="s">
        <v>197</v>
      </c>
      <c r="E47" s="29" t="str">
        <f aca="false">IF(D47="?OLD","!!!","")</f>
        <v/>
      </c>
      <c r="F47" s="30" t="str">
        <f aca="false">IF(OR(E47="",E47="!!!"),"",IF(NOT(ISNA(VLOOKUP(E47,E$1:E46,1,FALSE()))),"OLD",IF(AND(E47&lt;&gt;"",E47&lt;&gt;"!!!"),"NEW","")))</f>
        <v/>
      </c>
      <c r="G47" s="31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32" t="str">
        <f aca="false">IF(J47&lt;&gt;1,"",IF(I47="SBJ","CB","?"))</f>
        <v/>
      </c>
      <c r="I47" s="33" t="str">
        <f aca="false">IF(OR(E47="",E47="!!!",F47="NEW"),"",INDEX(B$2:B46,-1+SUMPRODUCT(MAX(ROW(E$2:E46)*(E47=E$2:E46)))))</f>
        <v/>
      </c>
      <c r="J47" s="33" t="str">
        <f aca="true">IF(OR(E47="",E47="!!!",F47="NEW"),"",COUNTBLANK(OFFSET(A$1,,,SUMPRODUCT(MAX(ROW(E$2:E47)*(E47=E$2:E47)))))-COUNTBLANK(OFFSET(A$1,,,SUMPRODUCT(MAX(ROW(E$1:E46)*(E2=E$1:E46))))))</f>
        <v/>
      </c>
      <c r="K47" s="33" t="str">
        <f aca="false">IF(OR(E47="",E47="!!!",F47="NEW"),"",INDEX(J$1:J46,SUMPRODUCT(MAX(ROW(E$1:E46)*(E47=E$1:E46)))))</f>
        <v/>
      </c>
      <c r="L47" s="34"/>
    </row>
    <row r="48" customFormat="false" ht="15.8" hidden="false" customHeight="false" outlineLevel="0" collapsed="false">
      <c r="A48" s="20" t="s">
        <v>198</v>
      </c>
      <c r="E48" s="29" t="str">
        <f aca="false">IF(D48="?OLD","!!!","")</f>
        <v/>
      </c>
      <c r="F48" s="30" t="str">
        <f aca="false">IF(OR(E48="",E48="!!!"),"",IF(NOT(ISNA(VLOOKUP(E48,E$1:E47,1,FALSE()))),"OLD",IF(AND(E48&lt;&gt;"",E48&lt;&gt;"!!!"),"NEW","")))</f>
        <v/>
      </c>
      <c r="G48" s="31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32" t="str">
        <f aca="false">IF(J48&lt;&gt;1,"",IF(I48="SBJ","CB","?"))</f>
        <v/>
      </c>
      <c r="I48" s="33" t="str">
        <f aca="false">IF(OR(E48="",E48="!!!",F48="NEW"),"",INDEX(B$2:B47,-1+SUMPRODUCT(MAX(ROW(E$2:E47)*(E48=E$2:E47)))))</f>
        <v/>
      </c>
      <c r="J48" s="33" t="str">
        <f aca="true">IF(OR(E48="",E48="!!!",F48="NEW"),"",COUNTBLANK(OFFSET(A$1,,,SUMPRODUCT(MAX(ROW(E$2:E48)*(E48=E$2:E48)))))-COUNTBLANK(OFFSET(A$1,,,SUMPRODUCT(MAX(ROW(E$1:E47)*(E2=E$1:E47))))))</f>
        <v/>
      </c>
      <c r="K48" s="33" t="str">
        <f aca="false">IF(OR(E48="",E48="!!!",F48="NEW"),"",INDEX(J$1:J47,SUMPRODUCT(MAX(ROW(E$1:E47)*(E48=E$1:E47)))))</f>
        <v/>
      </c>
      <c r="L48" s="34"/>
    </row>
    <row r="49" customFormat="false" ht="15.8" hidden="false" customHeight="false" outlineLevel="0" collapsed="false">
      <c r="A49" s="20" t="s">
        <v>199</v>
      </c>
      <c r="B49" s="21" t="s">
        <v>163</v>
      </c>
      <c r="C49" s="21" t="s">
        <v>200</v>
      </c>
      <c r="E49" s="29" t="str">
        <f aca="false">IF(D49="?OLD","!!!","")</f>
        <v/>
      </c>
      <c r="F49" s="30" t="str">
        <f aca="false">IF(OR(E49="",E49="!!!"),"",IF(NOT(ISNA(VLOOKUP(E49,E$1:E48,1,FALSE()))),"OLD",IF(AND(E49&lt;&gt;"",E49&lt;&gt;"!!!"),"NEW","")))</f>
        <v/>
      </c>
      <c r="G49" s="31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32" t="str">
        <f aca="false">IF(J49&lt;&gt;1,"",IF(I49="SBJ","CB","?"))</f>
        <v/>
      </c>
      <c r="I49" s="33" t="str">
        <f aca="false">IF(OR(E49="",E49="!!!",F49="NEW"),"",INDEX(B$2:B48,-1+SUMPRODUCT(MAX(ROW(E$2:E48)*(E49=E$2:E48)))))</f>
        <v/>
      </c>
      <c r="J49" s="33" t="str">
        <f aca="true">IF(OR(E49="",E49="!!!",F49="NEW"),"",COUNTBLANK(OFFSET(A$1,,,SUMPRODUCT(MAX(ROW(E$2:E49)*(E49=E$2:E49)))))-COUNTBLANK(OFFSET(A$1,,,SUMPRODUCT(MAX(ROW(E$1:E48)*(E2=E$1:E48))))))</f>
        <v/>
      </c>
      <c r="K49" s="33" t="str">
        <f aca="false">IF(OR(E49="",E49="!!!",F49="NEW"),"",INDEX(J$1:J48,SUMPRODUCT(MAX(ROW(E$1:E48)*(E49=E$1:E48)))))</f>
        <v/>
      </c>
      <c r="L49" s="34"/>
    </row>
    <row r="50" customFormat="false" ht="15.8" hidden="false" customHeight="false" outlineLevel="0" collapsed="false">
      <c r="A50" s="20" t="s">
        <v>193</v>
      </c>
      <c r="E50" s="29" t="str">
        <f aca="false">IF(D50="?OLD","!!!","")</f>
        <v/>
      </c>
      <c r="F50" s="30" t="str">
        <f aca="false">IF(OR(E50="",E50="!!!"),"",IF(NOT(ISNA(VLOOKUP(E50,E$1:E49,1,FALSE()))),"OLD",IF(AND(E50&lt;&gt;"",E50&lt;&gt;"!!!"),"NEW","")))</f>
        <v/>
      </c>
      <c r="G50" s="31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32" t="str">
        <f aca="false">IF(J50&lt;&gt;1,"",IF(I50="SBJ","CB","?"))</f>
        <v/>
      </c>
      <c r="I50" s="33" t="str">
        <f aca="false">IF(OR(E50="",E50="!!!",F50="NEW"),"",INDEX(B$2:B49,-1+SUMPRODUCT(MAX(ROW(E$2:E49)*(E50=E$2:E49)))))</f>
        <v/>
      </c>
      <c r="J50" s="33" t="str">
        <f aca="true">IF(OR(E50="",E50="!!!",F50="NEW"),"",COUNTBLANK(OFFSET(A$1,,,SUMPRODUCT(MAX(ROW(E$2:E50)*(E50=E$2:E50)))))-COUNTBLANK(OFFSET(A$1,,,SUMPRODUCT(MAX(ROW(E$1:E49)*(E2=E$1:E49))))))</f>
        <v/>
      </c>
      <c r="K50" s="33" t="str">
        <f aca="false">IF(OR(E50="",E50="!!!",F50="NEW"),"",INDEX(J$1:J49,SUMPRODUCT(MAX(ROW(E$1:E49)*(E50=E$1:E49)))))</f>
        <v/>
      </c>
      <c r="L50" s="34"/>
    </row>
    <row r="51" customFormat="false" ht="15.8" hidden="false" customHeight="false" outlineLevel="0" collapsed="false">
      <c r="A51" s="20" t="s">
        <v>201</v>
      </c>
      <c r="E51" s="29" t="str">
        <f aca="false">IF(D51="?OLD","!!!","")</f>
        <v/>
      </c>
      <c r="F51" s="30" t="str">
        <f aca="false">IF(OR(E51="",E51="!!!"),"",IF(NOT(ISNA(VLOOKUP(E51,E$1:E50,1,FALSE()))),"OLD",IF(AND(E51&lt;&gt;"",E51&lt;&gt;"!!!"),"NEW","")))</f>
        <v/>
      </c>
      <c r="G51" s="31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32" t="str">
        <f aca="false">IF(J51&lt;&gt;1,"",IF(I51="SBJ","CB","?"))</f>
        <v/>
      </c>
      <c r="I51" s="33" t="str">
        <f aca="false">IF(OR(E51="",E51="!!!",F51="NEW"),"",INDEX(B$2:B50,-1+SUMPRODUCT(MAX(ROW(E$2:E50)*(E51=E$2:E50)))))</f>
        <v/>
      </c>
      <c r="J51" s="33" t="str">
        <f aca="true">IF(OR(E51="",E51="!!!",F51="NEW"),"",COUNTBLANK(OFFSET(A$1,,,SUMPRODUCT(MAX(ROW(E$2:E51)*(E51=E$2:E51)))))-COUNTBLANK(OFFSET(A$1,,,SUMPRODUCT(MAX(ROW(E$1:E50)*(E2=E$1:E50))))))</f>
        <v/>
      </c>
      <c r="K51" s="33" t="str">
        <f aca="false">IF(OR(E51="",E51="!!!",F51="NEW"),"",INDEX(J$1:J50,SUMPRODUCT(MAX(ROW(E$1:E50)*(E51=E$1:E50)))))</f>
        <v/>
      </c>
      <c r="L51" s="34"/>
    </row>
    <row r="52" customFormat="false" ht="15.8" hidden="false" customHeight="false" outlineLevel="0" collapsed="false">
      <c r="A52" s="20" t="s">
        <v>181</v>
      </c>
      <c r="E52" s="29" t="str">
        <f aca="false">IF(D52="?OLD","!!!","")</f>
        <v/>
      </c>
      <c r="F52" s="30" t="str">
        <f aca="false">IF(OR(E52="",E52="!!!"),"",IF(NOT(ISNA(VLOOKUP(E52,E$1:E51,1,FALSE()))),"OLD",IF(AND(E52&lt;&gt;"",E52&lt;&gt;"!!!"),"NEW","")))</f>
        <v/>
      </c>
      <c r="G52" s="31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32" t="str">
        <f aca="false">IF(J52&lt;&gt;1,"",IF(I52="SBJ","CB","?"))</f>
        <v/>
      </c>
      <c r="I52" s="33" t="str">
        <f aca="false">IF(OR(E52="",E52="!!!",F52="NEW"),"",INDEX(B$2:B51,-1+SUMPRODUCT(MAX(ROW(E$2:E51)*(E52=E$2:E51)))))</f>
        <v/>
      </c>
      <c r="J52" s="33" t="str">
        <f aca="true">IF(OR(E52="",E52="!!!",F52="NEW"),"",COUNTBLANK(OFFSET(A$1,,,SUMPRODUCT(MAX(ROW(E$2:E52)*(E52=E$2:E52)))))-COUNTBLANK(OFFSET(A$1,,,SUMPRODUCT(MAX(ROW(E$1:E51)*(E2=E$1:E51))))))</f>
        <v/>
      </c>
      <c r="K52" s="33" t="str">
        <f aca="false">IF(OR(E52="",E52="!!!",F52="NEW"),"",INDEX(J$1:J51,SUMPRODUCT(MAX(ROW(E$1:E51)*(E52=E$1:E51)))))</f>
        <v/>
      </c>
      <c r="L52" s="34"/>
    </row>
    <row r="53" customFormat="false" ht="15.8" hidden="false" customHeight="false" outlineLevel="0" collapsed="false">
      <c r="A53" s="20" t="s">
        <v>202</v>
      </c>
      <c r="B53" s="21" t="s">
        <v>170</v>
      </c>
      <c r="C53" s="21" t="s">
        <v>203</v>
      </c>
      <c r="D53" s="21" t="s">
        <v>148</v>
      </c>
      <c r="E53" s="29" t="str">
        <f aca="false">IF(D53="?OLD","!!!","")</f>
        <v>!!!</v>
      </c>
      <c r="F53" s="30" t="str">
        <f aca="false">IF(OR(E53="",E53="!!!"),"",IF(NOT(ISNA(VLOOKUP(E53,E$1:E52,1,FALSE()))),"OLD",IF(AND(E53&lt;&gt;"",E53&lt;&gt;"!!!"),"NEW","")))</f>
        <v/>
      </c>
      <c r="G53" s="31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32" t="str">
        <f aca="false">IF(J53&lt;&gt;1,"",IF(I53="SBJ","CB","?"))</f>
        <v/>
      </c>
      <c r="I53" s="33" t="str">
        <f aca="false">IF(OR(E53="",E53="!!!",F53="NEW"),"",INDEX(B$2:B52,-1+SUMPRODUCT(MAX(ROW(E$2:E52)*(E53=E$2:E52)))))</f>
        <v/>
      </c>
      <c r="J53" s="33" t="str">
        <f aca="true">IF(OR(E53="",E53="!!!",F53="NEW"),"",COUNTBLANK(OFFSET(A$1,,,SUMPRODUCT(MAX(ROW(E$2:E53)*(E53=E$2:E53)))))-COUNTBLANK(OFFSET(A$1,,,SUMPRODUCT(MAX(ROW(E$1:E52)*(E2=E$1:E52))))))</f>
        <v/>
      </c>
      <c r="K53" s="33" t="str">
        <f aca="false">IF(OR(E53="",E53="!!!",F53="NEW"),"",INDEX(J$1:J52,SUMPRODUCT(MAX(ROW(E$1:E52)*(E53=E$1:E52)))))</f>
        <v/>
      </c>
      <c r="L53" s="34"/>
    </row>
    <row r="54" customFormat="false" ht="15.8" hidden="false" customHeight="false" outlineLevel="0" collapsed="false">
      <c r="A54" s="20" t="s">
        <v>204</v>
      </c>
      <c r="B54" s="21" t="s">
        <v>159</v>
      </c>
      <c r="C54" s="21" t="s">
        <v>205</v>
      </c>
      <c r="E54" s="29" t="str">
        <f aca="false">IF(D54="?OLD","!!!","")</f>
        <v/>
      </c>
      <c r="F54" s="30" t="str">
        <f aca="false">IF(OR(E54="",E54="!!!"),"",IF(NOT(ISNA(VLOOKUP(E54,E$1:E53,1,FALSE()))),"OLD",IF(AND(E54&lt;&gt;"",E54&lt;&gt;"!!!"),"NEW","")))</f>
        <v/>
      </c>
      <c r="G54" s="31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32" t="str">
        <f aca="false">IF(J54&lt;&gt;1,"",IF(I54="SBJ","CB","?"))</f>
        <v/>
      </c>
      <c r="I54" s="33" t="str">
        <f aca="false">IF(OR(E54="",E54="!!!",F54="NEW"),"",INDEX(B$2:B53,-1+SUMPRODUCT(MAX(ROW(E$2:E53)*(E54=E$2:E53)))))</f>
        <v/>
      </c>
      <c r="J54" s="33" t="str">
        <f aca="true">IF(OR(E54="",E54="!!!",F54="NEW"),"",COUNTBLANK(OFFSET(A$1,,,SUMPRODUCT(MAX(ROW(E$2:E54)*(E54=E$2:E54)))))-COUNTBLANK(OFFSET(A$1,,,SUMPRODUCT(MAX(ROW(E$1:E53)*(E2=E$1:E53))))))</f>
        <v/>
      </c>
      <c r="K54" s="33" t="str">
        <f aca="false">IF(OR(E54="",E54="!!!",F54="NEW"),"",INDEX(J$1:J53,SUMPRODUCT(MAX(ROW(E$1:E53)*(E54=E$1:E53)))))</f>
        <v/>
      </c>
      <c r="L54" s="34"/>
    </row>
    <row r="55" customFormat="false" ht="15.8" hidden="false" customHeight="false" outlineLevel="0" collapsed="false">
      <c r="A55" s="20" t="s">
        <v>176</v>
      </c>
      <c r="E55" s="29" t="str">
        <f aca="false">IF(D55="?OLD","!!!","")</f>
        <v/>
      </c>
      <c r="F55" s="30" t="str">
        <f aca="false">IF(OR(E55="",E55="!!!"),"",IF(NOT(ISNA(VLOOKUP(E55,E$1:E54,1,FALSE()))),"OLD",IF(AND(E55&lt;&gt;"",E55&lt;&gt;"!!!"),"NEW","")))</f>
        <v/>
      </c>
      <c r="G55" s="31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32" t="str">
        <f aca="false">IF(J55&lt;&gt;1,"",IF(I55="SBJ","CB","?"))</f>
        <v/>
      </c>
      <c r="I55" s="33" t="str">
        <f aca="false">IF(OR(E55="",E55="!!!",F55="NEW"),"",INDEX(B$2:B54,-1+SUMPRODUCT(MAX(ROW(E$2:E54)*(E55=E$2:E54)))))</f>
        <v/>
      </c>
      <c r="J55" s="33" t="str">
        <f aca="true">IF(OR(E55="",E55="!!!",F55="NEW"),"",COUNTBLANK(OFFSET(A$1,,,SUMPRODUCT(MAX(ROW(E$2:E55)*(E55=E$2:E55)))))-COUNTBLANK(OFFSET(A$1,,,SUMPRODUCT(MAX(ROW(E$1:E54)*(E2=E$1:E54))))))</f>
        <v/>
      </c>
      <c r="K55" s="33" t="str">
        <f aca="false">IF(OR(E55="",E55="!!!",F55="NEW"),"",INDEX(J$1:J54,SUMPRODUCT(MAX(ROW(E$1:E54)*(E55=E$1:E54)))))</f>
        <v/>
      </c>
      <c r="L55" s="34"/>
    </row>
    <row r="56" customFormat="false" ht="15.8" hidden="false" customHeight="false" outlineLevel="0" collapsed="false">
      <c r="A56" s="20" t="s">
        <v>181</v>
      </c>
      <c r="E56" s="29" t="str">
        <f aca="false">IF(D56="?OLD","!!!","")</f>
        <v/>
      </c>
      <c r="F56" s="30" t="str">
        <f aca="false">IF(OR(E56="",E56="!!!"),"",IF(NOT(ISNA(VLOOKUP(E56,E$1:E55,1,FALSE()))),"OLD",IF(AND(E56&lt;&gt;"",E56&lt;&gt;"!!!"),"NEW","")))</f>
        <v/>
      </c>
      <c r="G56" s="31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32" t="str">
        <f aca="false">IF(J56&lt;&gt;1,"",IF(I56="SBJ","CB","?"))</f>
        <v/>
      </c>
      <c r="I56" s="33" t="str">
        <f aca="false">IF(OR(E56="",E56="!!!",F56="NEW"),"",INDEX(B$2:B55,-1+SUMPRODUCT(MAX(ROW(E$2:E55)*(E56=E$2:E55)))))</f>
        <v/>
      </c>
      <c r="J56" s="33" t="str">
        <f aca="true">IF(OR(E56="",E56="!!!",F56="NEW"),"",COUNTBLANK(OFFSET(A$1,,,SUMPRODUCT(MAX(ROW(E$2:E56)*(E56=E$2:E56)))))-COUNTBLANK(OFFSET(A$1,,,SUMPRODUCT(MAX(ROW(E$1:E55)*(E2=E$1:E55))))))</f>
        <v/>
      </c>
      <c r="K56" s="33" t="str">
        <f aca="false">IF(OR(E56="",E56="!!!",F56="NEW"),"",INDEX(J$1:J55,SUMPRODUCT(MAX(ROW(E$1:E55)*(E56=E$1:E55)))))</f>
        <v/>
      </c>
      <c r="L56" s="34"/>
    </row>
    <row r="57" customFormat="false" ht="15.8" hidden="false" customHeight="false" outlineLevel="0" collapsed="false">
      <c r="A57" s="20" t="s">
        <v>202</v>
      </c>
      <c r="B57" s="21" t="s">
        <v>170</v>
      </c>
      <c r="C57" s="21" t="s">
        <v>203</v>
      </c>
      <c r="D57" s="21" t="s">
        <v>148</v>
      </c>
      <c r="E57" s="29" t="str">
        <f aca="false">IF(D57="?OLD","!!!","")</f>
        <v>!!!</v>
      </c>
      <c r="F57" s="30" t="str">
        <f aca="false">IF(OR(E57="",E57="!!!"),"",IF(NOT(ISNA(VLOOKUP(E57,E$1:E56,1,FALSE()))),"OLD",IF(AND(E57&lt;&gt;"",E57&lt;&gt;"!!!"),"NEW","")))</f>
        <v/>
      </c>
      <c r="G57" s="31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32" t="str">
        <f aca="false">IF(J57&lt;&gt;1,"",IF(I57="SBJ","CB","?"))</f>
        <v/>
      </c>
      <c r="I57" s="33" t="str">
        <f aca="false">IF(OR(E57="",E57="!!!",F57="NEW"),"",INDEX(B$2:B56,-1+SUMPRODUCT(MAX(ROW(E$2:E56)*(E57=E$2:E56)))))</f>
        <v/>
      </c>
      <c r="J57" s="33" t="str">
        <f aca="true">IF(OR(E57="",E57="!!!",F57="NEW"),"",COUNTBLANK(OFFSET(A$1,,,SUMPRODUCT(MAX(ROW(E$2:E57)*(E57=E$2:E57)))))-COUNTBLANK(OFFSET(A$1,,,SUMPRODUCT(MAX(ROW(E$1:E56)*(E2=E$1:E56))))))</f>
        <v/>
      </c>
      <c r="K57" s="33" t="str">
        <f aca="false">IF(OR(E57="",E57="!!!",F57="NEW"),"",INDEX(J$1:J56,SUMPRODUCT(MAX(ROW(E$1:E56)*(E57=E$1:E56)))))</f>
        <v/>
      </c>
      <c r="L57" s="34"/>
    </row>
    <row r="58" customFormat="false" ht="15.8" hidden="false" customHeight="false" outlineLevel="0" collapsed="false">
      <c r="A58" s="20" t="s">
        <v>182</v>
      </c>
      <c r="B58" s="21" t="s">
        <v>159</v>
      </c>
      <c r="C58" s="21" t="s">
        <v>205</v>
      </c>
      <c r="E58" s="29" t="str">
        <f aca="false">IF(D58="?OLD","!!!","")</f>
        <v/>
      </c>
      <c r="F58" s="30" t="str">
        <f aca="false">IF(OR(E58="",E58="!!!"),"",IF(NOT(ISNA(VLOOKUP(E58,E$1:E57,1,FALSE()))),"OLD",IF(AND(E58&lt;&gt;"",E58&lt;&gt;"!!!"),"NEW","")))</f>
        <v/>
      </c>
      <c r="G58" s="31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32" t="str">
        <f aca="false">IF(J58&lt;&gt;1,"",IF(I58="SBJ","CB","?"))</f>
        <v/>
      </c>
      <c r="I58" s="33" t="str">
        <f aca="false">IF(OR(E58="",E58="!!!",F58="NEW"),"",INDEX(B$2:B57,-1+SUMPRODUCT(MAX(ROW(E$2:E57)*(E58=E$2:E57)))))</f>
        <v/>
      </c>
      <c r="J58" s="33" t="str">
        <f aca="true">IF(OR(E58="",E58="!!!",F58="NEW"),"",COUNTBLANK(OFFSET(A$1,,,SUMPRODUCT(MAX(ROW(E$2:E58)*(E58=E$2:E58)))))-COUNTBLANK(OFFSET(A$1,,,SUMPRODUCT(MAX(ROW(E$1:E57)*(E2=E$1:E57))))))</f>
        <v/>
      </c>
      <c r="K58" s="33" t="str">
        <f aca="false">IF(OR(E58="",E58="!!!",F58="NEW"),"",INDEX(J$1:J57,SUMPRODUCT(MAX(ROW(E$1:E57)*(E58=E$1:E57)))))</f>
        <v/>
      </c>
      <c r="L58" s="34"/>
    </row>
    <row r="59" customFormat="false" ht="15.8" hidden="false" customHeight="false" outlineLevel="0" collapsed="false">
      <c r="A59" s="20" t="s">
        <v>176</v>
      </c>
      <c r="E59" s="29" t="str">
        <f aca="false">IF(D59="?OLD","!!!","")</f>
        <v/>
      </c>
      <c r="F59" s="30" t="str">
        <f aca="false">IF(OR(E59="",E59="!!!"),"",IF(NOT(ISNA(VLOOKUP(E59,E$1:E58,1,FALSE()))),"OLD",IF(AND(E59&lt;&gt;"",E59&lt;&gt;"!!!"),"NEW","")))</f>
        <v/>
      </c>
      <c r="G59" s="31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32" t="str">
        <f aca="false">IF(J59&lt;&gt;1,"",IF(I59="SBJ","CB","?"))</f>
        <v/>
      </c>
      <c r="I59" s="33" t="str">
        <f aca="false">IF(OR(E59="",E59="!!!",F59="NEW"),"",INDEX(B$2:B58,-1+SUMPRODUCT(MAX(ROW(E$2:E58)*(E59=E$2:E58)))))</f>
        <v/>
      </c>
      <c r="J59" s="33" t="str">
        <f aca="true">IF(OR(E59="",E59="!!!",F59="NEW"),"",COUNTBLANK(OFFSET(A$1,,,SUMPRODUCT(MAX(ROW(E$2:E59)*(E59=E$2:E59)))))-COUNTBLANK(OFFSET(A$1,,,SUMPRODUCT(MAX(ROW(E$1:E58)*(E2=E$1:E58))))))</f>
        <v/>
      </c>
      <c r="K59" s="33" t="str">
        <f aca="false">IF(OR(E59="",E59="!!!",F59="NEW"),"",INDEX(J$1:J58,SUMPRODUCT(MAX(ROW(E$1:E58)*(E59=E$1:E58)))))</f>
        <v/>
      </c>
      <c r="L59" s="34"/>
    </row>
    <row r="60" customFormat="false" ht="15.8" hidden="false" customHeight="false" outlineLevel="0" collapsed="false">
      <c r="A60" s="20" t="s">
        <v>206</v>
      </c>
      <c r="E60" s="29" t="str">
        <f aca="false">IF(D60="?OLD","!!!","")</f>
        <v/>
      </c>
      <c r="F60" s="30" t="str">
        <f aca="false">IF(OR(E60="",E60="!!!"),"",IF(NOT(ISNA(VLOOKUP(E60,E$1:E59,1,FALSE()))),"OLD",IF(AND(E60&lt;&gt;"",E60&lt;&gt;"!!!"),"NEW","")))</f>
        <v/>
      </c>
      <c r="G60" s="31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32" t="str">
        <f aca="false">IF(J60&lt;&gt;1,"",IF(I60="SBJ","CB","?"))</f>
        <v/>
      </c>
      <c r="I60" s="33" t="str">
        <f aca="false">IF(OR(E60="",E60="!!!",F60="NEW"),"",INDEX(B$2:B59,-1+SUMPRODUCT(MAX(ROW(E$2:E59)*(E60=E$2:E59)))))</f>
        <v/>
      </c>
      <c r="J60" s="33" t="str">
        <f aca="true">IF(OR(E60="",E60="!!!",F60="NEW"),"",COUNTBLANK(OFFSET(A$1,,,SUMPRODUCT(MAX(ROW(E$2:E60)*(E60=E$2:E60)))))-COUNTBLANK(OFFSET(A$1,,,SUMPRODUCT(MAX(ROW(E$1:E59)*(E2=E$1:E59))))))</f>
        <v/>
      </c>
      <c r="K60" s="33" t="str">
        <f aca="false">IF(OR(E60="",E60="!!!",F60="NEW"),"",INDEX(J$1:J59,SUMPRODUCT(MAX(ROW(E$1:E59)*(E60=E$1:E59)))))</f>
        <v/>
      </c>
      <c r="L60" s="34"/>
    </row>
    <row r="61" customFormat="false" ht="15.8" hidden="false" customHeight="false" outlineLevel="0" collapsed="false">
      <c r="A61" s="20" t="s">
        <v>207</v>
      </c>
      <c r="B61" s="21" t="s">
        <v>174</v>
      </c>
      <c r="C61" s="21" t="s">
        <v>208</v>
      </c>
      <c r="E61" s="29" t="str">
        <f aca="false">IF(D61="?OLD","!!!","")</f>
        <v/>
      </c>
      <c r="F61" s="30" t="str">
        <f aca="false">IF(OR(E61="",E61="!!!"),"",IF(NOT(ISNA(VLOOKUP(E61,E$1:E60,1,FALSE()))),"OLD",IF(AND(E61&lt;&gt;"",E61&lt;&gt;"!!!"),"NEW","")))</f>
        <v/>
      </c>
      <c r="G61" s="31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32" t="str">
        <f aca="false">IF(J61&lt;&gt;1,"",IF(I61="SBJ","CB","?"))</f>
        <v/>
      </c>
      <c r="I61" s="33" t="str">
        <f aca="false">IF(OR(E61="",E61="!!!",F61="NEW"),"",INDEX(B$2:B60,-1+SUMPRODUCT(MAX(ROW(E$2:E60)*(E61=E$2:E60)))))</f>
        <v/>
      </c>
      <c r="J61" s="33" t="str">
        <f aca="true">IF(OR(E61="",E61="!!!",F61="NEW"),"",COUNTBLANK(OFFSET(A$1,,,SUMPRODUCT(MAX(ROW(E$2:E61)*(E61=E$2:E61)))))-COUNTBLANK(OFFSET(A$1,,,SUMPRODUCT(MAX(ROW(E$1:E60)*(E2=E$1:E60))))))</f>
        <v/>
      </c>
      <c r="K61" s="33" t="str">
        <f aca="false">IF(OR(E61="",E61="!!!",F61="NEW"),"",INDEX(J$1:J60,SUMPRODUCT(MAX(ROW(E$1:E60)*(E61=E$1:E60)))))</f>
        <v/>
      </c>
      <c r="L61" s="34"/>
    </row>
    <row r="62" customFormat="false" ht="15.8" hidden="false" customHeight="false" outlineLevel="0" collapsed="false">
      <c r="A62" s="20" t="s">
        <v>187</v>
      </c>
      <c r="E62" s="29" t="str">
        <f aca="false">IF(D62="?OLD","!!!","")</f>
        <v/>
      </c>
      <c r="F62" s="30" t="str">
        <f aca="false">IF(OR(E62="",E62="!!!"),"",IF(NOT(ISNA(VLOOKUP(E62,E$1:E61,1,FALSE()))),"OLD",IF(AND(E62&lt;&gt;"",E62&lt;&gt;"!!!"),"NEW","")))</f>
        <v/>
      </c>
      <c r="G62" s="31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32" t="str">
        <f aca="false">IF(J62&lt;&gt;1,"",IF(I62="SBJ","CB","?"))</f>
        <v/>
      </c>
      <c r="I62" s="33" t="str">
        <f aca="false">IF(OR(E62="",E62="!!!",F62="NEW"),"",INDEX(B$2:B61,-1+SUMPRODUCT(MAX(ROW(E$2:E61)*(E62=E$2:E61)))))</f>
        <v/>
      </c>
      <c r="J62" s="33" t="str">
        <f aca="true">IF(OR(E62="",E62="!!!",F62="NEW"),"",COUNTBLANK(OFFSET(A$1,,,SUMPRODUCT(MAX(ROW(E$2:E62)*(E62=E$2:E62)))))-COUNTBLANK(OFFSET(A$1,,,SUMPRODUCT(MAX(ROW(E$1:E61)*(E2=E$1:E61))))))</f>
        <v/>
      </c>
      <c r="K62" s="33" t="str">
        <f aca="false">IF(OR(E62="",E62="!!!",F62="NEW"),"",INDEX(J$1:J61,SUMPRODUCT(MAX(ROW(E$1:E61)*(E62=E$1:E61)))))</f>
        <v/>
      </c>
      <c r="L62" s="34"/>
    </row>
    <row r="63" customFormat="false" ht="15.8" hidden="false" customHeight="false" outlineLevel="0" collapsed="false">
      <c r="A63" s="20" t="s">
        <v>177</v>
      </c>
      <c r="B63" s="21" t="s">
        <v>209</v>
      </c>
      <c r="C63" s="21" t="s">
        <v>178</v>
      </c>
      <c r="D63" s="21" t="s">
        <v>148</v>
      </c>
      <c r="E63" s="29" t="str">
        <f aca="false">IF(D63="?OLD","!!!","")</f>
        <v>!!!</v>
      </c>
      <c r="F63" s="30" t="str">
        <f aca="false">IF(OR(E63="",E63="!!!"),"",IF(NOT(ISNA(VLOOKUP(E63,E$1:E62,1,FALSE()))),"OLD",IF(AND(E63&lt;&gt;"",E63&lt;&gt;"!!!"),"NEW","")))</f>
        <v/>
      </c>
      <c r="G63" s="31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32" t="str">
        <f aca="false">IF(J63&lt;&gt;1,"",IF(I63="SBJ","CB","?"))</f>
        <v/>
      </c>
      <c r="I63" s="33" t="str">
        <f aca="false">IF(OR(E63="",E63="!!!",F63="NEW"),"",INDEX(B$2:B62,-1+SUMPRODUCT(MAX(ROW(E$2:E62)*(E63=E$2:E62)))))</f>
        <v/>
      </c>
      <c r="J63" s="33" t="str">
        <f aca="true">IF(OR(E63="",E63="!!!",F63="NEW"),"",COUNTBLANK(OFFSET(A$1,,,SUMPRODUCT(MAX(ROW(E$2:E63)*(E63=E$2:E63)))))-COUNTBLANK(OFFSET(A$1,,,SUMPRODUCT(MAX(ROW(E$1:E62)*(E2=E$1:E62))))))</f>
        <v/>
      </c>
      <c r="K63" s="33" t="str">
        <f aca="false">IF(OR(E63="",E63="!!!",F63="NEW"),"",INDEX(J$1:J62,SUMPRODUCT(MAX(ROW(E$1:E62)*(E63=E$1:E62)))))</f>
        <v/>
      </c>
      <c r="L63" s="34"/>
    </row>
    <row r="64" customFormat="false" ht="15.8" hidden="false" customHeight="false" outlineLevel="0" collapsed="false">
      <c r="A64" s="20" t="s">
        <v>191</v>
      </c>
      <c r="E64" s="29" t="str">
        <f aca="false">IF(D64="?OLD","!!!","")</f>
        <v/>
      </c>
      <c r="F64" s="30" t="str">
        <f aca="false">IF(OR(E64="",E64="!!!"),"",IF(NOT(ISNA(VLOOKUP(E64,E$1:E63,1,FALSE()))),"OLD",IF(AND(E64&lt;&gt;"",E64&lt;&gt;"!!!"),"NEW","")))</f>
        <v/>
      </c>
      <c r="G64" s="31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32" t="str">
        <f aca="false">IF(J64&lt;&gt;1,"",IF(I64="SBJ","CB","?"))</f>
        <v/>
      </c>
      <c r="I64" s="33" t="str">
        <f aca="false">IF(OR(E64="",E64="!!!",F64="NEW"),"",INDEX(B$2:B63,-1+SUMPRODUCT(MAX(ROW(E$2:E63)*(E64=E$2:E63)))))</f>
        <v/>
      </c>
      <c r="J64" s="33" t="str">
        <f aca="true">IF(OR(E64="",E64="!!!",F64="NEW"),"",COUNTBLANK(OFFSET(A$1,,,SUMPRODUCT(MAX(ROW(E$2:E64)*(E64=E$2:E64)))))-COUNTBLANK(OFFSET(A$1,,,SUMPRODUCT(MAX(ROW(E$1:E63)*(E2=E$1:E63))))))</f>
        <v/>
      </c>
      <c r="K64" s="33" t="str">
        <f aca="false">IF(OR(E64="",E64="!!!",F64="NEW"),"",INDEX(J$1:J63,SUMPRODUCT(MAX(ROW(E$1:E63)*(E64=E$1:E63)))))</f>
        <v/>
      </c>
      <c r="L64" s="34"/>
    </row>
    <row r="65" customFormat="false" ht="15.8" hidden="false" customHeight="false" outlineLevel="0" collapsed="false">
      <c r="A65" s="20" t="s">
        <v>210</v>
      </c>
      <c r="B65" s="21" t="s">
        <v>211</v>
      </c>
      <c r="C65" s="21" t="s">
        <v>160</v>
      </c>
      <c r="D65" s="21" t="s">
        <v>148</v>
      </c>
      <c r="E65" s="29" t="str">
        <f aca="false">IF(D65="?OLD","!!!","")</f>
        <v>!!!</v>
      </c>
      <c r="F65" s="30" t="str">
        <f aca="false">IF(OR(E65="",E65="!!!"),"",IF(NOT(ISNA(VLOOKUP(E65,E$1:E64,1,FALSE()))),"OLD",IF(AND(E65&lt;&gt;"",E65&lt;&gt;"!!!"),"NEW","")))</f>
        <v/>
      </c>
      <c r="G65" s="31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32" t="str">
        <f aca="false">IF(J65&lt;&gt;1,"",IF(I65="SBJ","CB","?"))</f>
        <v/>
      </c>
      <c r="I65" s="33" t="str">
        <f aca="false">IF(OR(E65="",E65="!!!",F65="NEW"),"",INDEX(B$2:B64,-1+SUMPRODUCT(MAX(ROW(E$2:E64)*(E65=E$2:E64)))))</f>
        <v/>
      </c>
      <c r="J65" s="33" t="str">
        <f aca="true">IF(OR(E65="",E65="!!!",F65="NEW"),"",COUNTBLANK(OFFSET(A$1,,,SUMPRODUCT(MAX(ROW(E$2:E65)*(E65=E$2:E65)))))-COUNTBLANK(OFFSET(A$1,,,SUMPRODUCT(MAX(ROW(E$1:E64)*(E2=E$1:E64))))))</f>
        <v/>
      </c>
      <c r="K65" s="33" t="str">
        <f aca="false">IF(OR(E65="",E65="!!!",F65="NEW"),"",INDEX(J$1:J64,SUMPRODUCT(MAX(ROW(E$1:E64)*(E65=E$1:E64)))))</f>
        <v/>
      </c>
      <c r="L65" s="34"/>
    </row>
    <row r="66" customFormat="false" ht="15.8" hidden="false" customHeight="false" outlineLevel="0" collapsed="false">
      <c r="A66" s="20"/>
    </row>
    <row r="67" customFormat="false" ht="15.8" hidden="false" customHeight="false" outlineLevel="0" collapsed="false">
      <c r="A67" s="20" t="s">
        <v>212</v>
      </c>
    </row>
    <row r="68" customFormat="false" ht="15.8" hidden="false" customHeight="false" outlineLevel="0" collapsed="false">
      <c r="A68" s="20" t="s">
        <v>213</v>
      </c>
      <c r="E68" s="29" t="str">
        <f aca="false">IF(D68="?OLD","!!!","")</f>
        <v/>
      </c>
      <c r="F68" s="30" t="str">
        <f aca="false">IF(OR(E68="",E68="!!!"),"",IF(NOT(ISNA(VLOOKUP(E68,E$1:E67,1,FALSE()))),"OLD",IF(AND(E68&lt;&gt;"",E68&lt;&gt;"!!!"),"NEW","")))</f>
        <v/>
      </c>
      <c r="G68" s="31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32" t="str">
        <f aca="false">IF(J68&lt;&gt;1,"",IF(I68="SBJ","CB","?"))</f>
        <v/>
      </c>
      <c r="I68" s="33" t="str">
        <f aca="false">IF(OR(E68="",E68="!!!",F68="NEW"),"",INDEX(B$2:B67,-1+SUMPRODUCT(MAX(ROW(E$2:E67)*(E68=E$2:E67)))))</f>
        <v/>
      </c>
      <c r="J68" s="33" t="str">
        <f aca="true">IF(OR(E68="",E68="!!!",F68="NEW"),"",COUNTBLANK(OFFSET(A$1,,,SUMPRODUCT(MAX(ROW(E$2:E68)*(E68=E$2:E68)))))-COUNTBLANK(OFFSET(A$1,,,SUMPRODUCT(MAX(ROW(E$1:E67)*(E2=E$1:E67))))))</f>
        <v/>
      </c>
      <c r="K68" s="33" t="str">
        <f aca="false">IF(OR(E68="",E68="!!!",F68="NEW"),"",INDEX(J$1:J67,SUMPRODUCT(MAX(ROW(E$1:E67)*(E68=E$1:E67)))))</f>
        <v/>
      </c>
      <c r="L68" s="34"/>
    </row>
    <row r="69" customFormat="false" ht="15.8" hidden="false" customHeight="false" outlineLevel="0" collapsed="false">
      <c r="A69" s="20" t="s">
        <v>214</v>
      </c>
      <c r="E69" s="29" t="str">
        <f aca="false">IF(D69="?OLD","!!!","")</f>
        <v/>
      </c>
      <c r="F69" s="30" t="str">
        <f aca="false">IF(OR(E69="",E69="!!!"),"",IF(NOT(ISNA(VLOOKUP(E69,E$1:E68,1,FALSE()))),"OLD",IF(AND(E69&lt;&gt;"",E69&lt;&gt;"!!!"),"NEW","")))</f>
        <v/>
      </c>
      <c r="G69" s="31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32" t="str">
        <f aca="false">IF(J69&lt;&gt;1,"",IF(I69="SBJ","CB","?"))</f>
        <v/>
      </c>
      <c r="I69" s="33" t="str">
        <f aca="false">IF(OR(E69="",E69="!!!",F69="NEW"),"",INDEX(B$2:B68,-1+SUMPRODUCT(MAX(ROW(E$2:E68)*(E69=E$2:E68)))))</f>
        <v/>
      </c>
      <c r="J69" s="33" t="str">
        <f aca="true">IF(OR(E69="",E69="!!!",F69="NEW"),"",COUNTBLANK(OFFSET(A$1,,,SUMPRODUCT(MAX(ROW(E$2:E69)*(E69=E$2:E69)))))-COUNTBLANK(OFFSET(A$1,,,SUMPRODUCT(MAX(ROW(E$1:E68)*(E2=E$1:E68))))))</f>
        <v/>
      </c>
      <c r="K69" s="33" t="str">
        <f aca="false">IF(OR(E69="",E69="!!!",F69="NEW"),"",INDEX(J$1:J68,SUMPRODUCT(MAX(ROW(E$1:E68)*(E69=E$1:E68)))))</f>
        <v/>
      </c>
      <c r="L69" s="34"/>
    </row>
    <row r="70" customFormat="false" ht="15.8" hidden="false" customHeight="false" outlineLevel="0" collapsed="false">
      <c r="A70" s="20" t="s">
        <v>215</v>
      </c>
      <c r="E70" s="29" t="str">
        <f aca="false">IF(D70="?OLD","!!!","")</f>
        <v/>
      </c>
      <c r="F70" s="30" t="str">
        <f aca="false">IF(OR(E70="",E70="!!!"),"",IF(NOT(ISNA(VLOOKUP(E70,E$1:E69,1,FALSE()))),"OLD",IF(AND(E70&lt;&gt;"",E70&lt;&gt;"!!!"),"NEW","")))</f>
        <v/>
      </c>
      <c r="G70" s="31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32" t="str">
        <f aca="false">IF(J70&lt;&gt;1,"",IF(I70="SBJ","CB","?"))</f>
        <v/>
      </c>
      <c r="I70" s="33" t="str">
        <f aca="false">IF(OR(E70="",E70="!!!",F70="NEW"),"",INDEX(B$2:B69,-1+SUMPRODUCT(MAX(ROW(E$2:E69)*(E70=E$2:E69)))))</f>
        <v/>
      </c>
      <c r="J70" s="33" t="str">
        <f aca="true">IF(OR(E70="",E70="!!!",F70="NEW"),"",COUNTBLANK(OFFSET(A$1,,,SUMPRODUCT(MAX(ROW(E$2:E70)*(E70=E$2:E70)))))-COUNTBLANK(OFFSET(A$1,,,SUMPRODUCT(MAX(ROW(E$1:E69)*(E2=E$1:E69))))))</f>
        <v/>
      </c>
      <c r="K70" s="33" t="str">
        <f aca="false">IF(OR(E70="",E70="!!!",F70="NEW"),"",INDEX(J$1:J69,SUMPRODUCT(MAX(ROW(E$1:E69)*(E70=E$1:E69)))))</f>
        <v/>
      </c>
      <c r="L70" s="34"/>
    </row>
    <row r="71" customFormat="false" ht="15.8" hidden="false" customHeight="false" outlineLevel="0" collapsed="false">
      <c r="A71" s="20" t="s">
        <v>210</v>
      </c>
      <c r="B71" s="21" t="s">
        <v>174</v>
      </c>
      <c r="C71" s="21" t="s">
        <v>160</v>
      </c>
      <c r="D71" s="21" t="s">
        <v>148</v>
      </c>
      <c r="E71" s="29" t="str">
        <f aca="false">IF(D71="?OLD","!!!","")</f>
        <v>!!!</v>
      </c>
      <c r="F71" s="30" t="str">
        <f aca="false">IF(OR(E71="",E71="!!!"),"",IF(NOT(ISNA(VLOOKUP(E71,E$1:E70,1,FALSE()))),"OLD",IF(AND(E71&lt;&gt;"",E71&lt;&gt;"!!!"),"NEW","")))</f>
        <v/>
      </c>
      <c r="G71" s="31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32" t="str">
        <f aca="false">IF(J71&lt;&gt;1,"",IF(I71="SBJ","CB","?"))</f>
        <v/>
      </c>
      <c r="I71" s="33" t="str">
        <f aca="false">IF(OR(E71="",E71="!!!",F71="NEW"),"",INDEX(B$2:B70,-1+SUMPRODUCT(MAX(ROW(E$2:E70)*(E71=E$2:E70)))))</f>
        <v/>
      </c>
      <c r="J71" s="33" t="str">
        <f aca="true">IF(OR(E71="",E71="!!!",F71="NEW"),"",COUNTBLANK(OFFSET(A$1,,,SUMPRODUCT(MAX(ROW(E$2:E71)*(E71=E$2:E71)))))-COUNTBLANK(OFFSET(A$1,,,SUMPRODUCT(MAX(ROW(E$1:E70)*(E2=E$1:E70))))))</f>
        <v/>
      </c>
      <c r="K71" s="33" t="str">
        <f aca="false">IF(OR(E71="",E71="!!!",F71="NEW"),"",INDEX(J$1:J70,SUMPRODUCT(MAX(ROW(E$1:E70)*(E71=E$1:E70)))))</f>
        <v/>
      </c>
      <c r="L71" s="34"/>
    </row>
    <row r="72" customFormat="false" ht="15.8" hidden="false" customHeight="false" outlineLevel="0" collapsed="false">
      <c r="A72" s="20" t="s">
        <v>176</v>
      </c>
      <c r="E72" s="29" t="str">
        <f aca="false">IF(D72="?OLD","!!!","")</f>
        <v/>
      </c>
      <c r="F72" s="30" t="str">
        <f aca="false">IF(OR(E72="",E72="!!!"),"",IF(NOT(ISNA(VLOOKUP(E72,E$1:E71,1,FALSE()))),"OLD",IF(AND(E72&lt;&gt;"",E72&lt;&gt;"!!!"),"NEW","")))</f>
        <v/>
      </c>
      <c r="G72" s="31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32" t="str">
        <f aca="false">IF(J72&lt;&gt;1,"",IF(I72="SBJ","CB","?"))</f>
        <v/>
      </c>
      <c r="I72" s="33" t="str">
        <f aca="false">IF(OR(E72="",E72="!!!",F72="NEW"),"",INDEX(B$2:B71,-1+SUMPRODUCT(MAX(ROW(E$2:E71)*(E72=E$2:E71)))))</f>
        <v/>
      </c>
      <c r="J72" s="33" t="str">
        <f aca="true">IF(OR(E72="",E72="!!!",F72="NEW"),"",COUNTBLANK(OFFSET(A$1,,,SUMPRODUCT(MAX(ROW(E$2:E72)*(E72=E$2:E72)))))-COUNTBLANK(OFFSET(A$1,,,SUMPRODUCT(MAX(ROW(E$1:E71)*(E2=E$1:E71))))))</f>
        <v/>
      </c>
      <c r="K72" s="33" t="str">
        <f aca="false">IF(OR(E72="",E72="!!!",F72="NEW"),"",INDEX(J$1:J71,SUMPRODUCT(MAX(ROW(E$1:E71)*(E72=E$1:E71)))))</f>
        <v/>
      </c>
      <c r="L72" s="34"/>
    </row>
    <row r="73" customFormat="false" ht="15.8" hidden="false" customHeight="false" outlineLevel="0" collapsed="false">
      <c r="A73" s="20" t="s">
        <v>158</v>
      </c>
      <c r="B73" s="21" t="s">
        <v>146</v>
      </c>
      <c r="C73" s="21" t="s">
        <v>160</v>
      </c>
      <c r="D73" s="21" t="s">
        <v>148</v>
      </c>
      <c r="E73" s="29" t="str">
        <f aca="false">IF(D73="?OLD","!!!","")</f>
        <v>!!!</v>
      </c>
      <c r="F73" s="30" t="str">
        <f aca="false">IF(OR(E73="",E73="!!!"),"",IF(NOT(ISNA(VLOOKUP(E73,E$1:E72,1,FALSE()))),"OLD",IF(AND(E73&lt;&gt;"",E73&lt;&gt;"!!!"),"NEW","")))</f>
        <v/>
      </c>
      <c r="G73" s="31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32" t="str">
        <f aca="false">IF(J73&lt;&gt;1,"",IF(I73="SBJ","CB","?"))</f>
        <v/>
      </c>
      <c r="I73" s="33" t="str">
        <f aca="false">IF(OR(E73="",E73="!!!",F73="NEW"),"",INDEX(B$2:B72,-1+SUMPRODUCT(MAX(ROW(E$2:E72)*(E73=E$2:E72)))))</f>
        <v/>
      </c>
      <c r="J73" s="33" t="str">
        <f aca="true">IF(OR(E73="",E73="!!!",F73="NEW"),"",COUNTBLANK(OFFSET(A$1,,,SUMPRODUCT(MAX(ROW(E$2:E73)*(E73=E$2:E73)))))-COUNTBLANK(OFFSET(A$1,,,SUMPRODUCT(MAX(ROW(E$1:E72)*(E2=E$1:E72))))))</f>
        <v/>
      </c>
      <c r="K73" s="33" t="str">
        <f aca="false">IF(OR(E73="",E73="!!!",F73="NEW"),"",INDEX(J$1:J72,SUMPRODUCT(MAX(ROW(E$1:E72)*(E73=E$1:E72)))))</f>
        <v/>
      </c>
      <c r="L73" s="34"/>
    </row>
    <row r="74" customFormat="false" ht="15.8" hidden="false" customHeight="false" outlineLevel="0" collapsed="false">
      <c r="A74" s="20" t="s">
        <v>216</v>
      </c>
      <c r="E74" s="29" t="str">
        <f aca="false">IF(D74="?OLD","!!!","")</f>
        <v/>
      </c>
      <c r="F74" s="30" t="str">
        <f aca="false">IF(OR(E74="",E74="!!!"),"",IF(NOT(ISNA(VLOOKUP(E74,E$1:E73,1,FALSE()))),"OLD",IF(AND(E74&lt;&gt;"",E74&lt;&gt;"!!!"),"NEW","")))</f>
        <v/>
      </c>
      <c r="G74" s="31" t="str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32" t="str">
        <f aca="false">IF(J74&lt;&gt;1,"",IF(I74="SBJ","CB","?"))</f>
        <v/>
      </c>
      <c r="I74" s="33" t="str">
        <f aca="false">IF(OR(E74="",E74="!!!",F74="NEW"),"",INDEX(B$2:B73,-1+SUMPRODUCT(MAX(ROW(E$2:E73)*(E74=E$2:E73)))))</f>
        <v/>
      </c>
      <c r="J74" s="33" t="str">
        <f aca="true">IF(OR(E74="",E74="!!!",F74="NEW"),"",COUNTBLANK(OFFSET(A$1,,,SUMPRODUCT(MAX(ROW(E$2:E74)*(E74=E$2:E74)))))-COUNTBLANK(OFFSET(A$1,,,SUMPRODUCT(MAX(ROW(E$1:E73)*(E2=E$1:E73))))))</f>
        <v/>
      </c>
      <c r="K74" s="33" t="str">
        <f aca="false">IF(OR(E74="",E74="!!!",F74="NEW"),"",INDEX(J$1:J73,SUMPRODUCT(MAX(ROW(E$1:E73)*(E74=E$1:E73)))))</f>
        <v/>
      </c>
      <c r="L74" s="34"/>
    </row>
    <row r="75" customFormat="false" ht="15.8" hidden="false" customHeight="false" outlineLevel="0" collapsed="false">
      <c r="A75" s="20" t="s">
        <v>217</v>
      </c>
      <c r="E75" s="29" t="str">
        <f aca="false">IF(D75="?OLD","!!!","")</f>
        <v/>
      </c>
      <c r="F75" s="30" t="str">
        <f aca="false">IF(OR(E75="",E75="!!!"),"",IF(NOT(ISNA(VLOOKUP(E75,E$1:E74,1,FALSE()))),"OLD",IF(AND(E75&lt;&gt;"",E75&lt;&gt;"!!!"),"NEW","")))</f>
        <v/>
      </c>
      <c r="G75" s="31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32" t="str">
        <f aca="false">IF(J75&lt;&gt;1,"",IF(I75="SBJ","CB","?"))</f>
        <v/>
      </c>
      <c r="I75" s="33" t="str">
        <f aca="false">IF(OR(E75="",E75="!!!",F75="NEW"),"",INDEX(B$2:B74,-1+SUMPRODUCT(MAX(ROW(E$2:E74)*(E75=E$2:E74)))))</f>
        <v/>
      </c>
      <c r="J75" s="33" t="str">
        <f aca="true">IF(OR(E75="",E75="!!!",F75="NEW"),"",COUNTBLANK(OFFSET(A$1,,,SUMPRODUCT(MAX(ROW(E$2:E75)*(E75=E$2:E75)))))-COUNTBLANK(OFFSET(A$1,,,SUMPRODUCT(MAX(ROW(E$1:E74)*(E2=E$1:E74))))))</f>
        <v/>
      </c>
      <c r="K75" s="33" t="str">
        <f aca="false">IF(OR(E75="",E75="!!!",F75="NEW"),"",INDEX(J$1:J74,SUMPRODUCT(MAX(ROW(E$1:E74)*(E75=E$1:E74)))))</f>
        <v/>
      </c>
      <c r="L75" s="34"/>
    </row>
    <row r="76" customFormat="false" ht="15.8" hidden="false" customHeight="false" outlineLevel="0" collapsed="false">
      <c r="A76" s="20" t="s">
        <v>218</v>
      </c>
      <c r="E76" s="29" t="str">
        <f aca="false">IF(D76="?OLD","!!!","")</f>
        <v/>
      </c>
      <c r="F76" s="30" t="str">
        <f aca="false">IF(OR(E76="",E76="!!!"),"",IF(NOT(ISNA(VLOOKUP(E76,E$1:E75,1,FALSE()))),"OLD",IF(AND(E76&lt;&gt;"",E76&lt;&gt;"!!!"),"NEW","")))</f>
        <v/>
      </c>
      <c r="G76" s="31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32" t="str">
        <f aca="false">IF(J76&lt;&gt;1,"",IF(I76="SBJ","CB","?"))</f>
        <v/>
      </c>
      <c r="I76" s="33" t="str">
        <f aca="false">IF(OR(E76="",E76="!!!",F76="NEW"),"",INDEX(B$2:B75,-1+SUMPRODUCT(MAX(ROW(E$2:E75)*(E76=E$2:E75)))))</f>
        <v/>
      </c>
      <c r="J76" s="33" t="str">
        <f aca="true">IF(OR(E76="",E76="!!!",F76="NEW"),"",COUNTBLANK(OFFSET(A$1,,,SUMPRODUCT(MAX(ROW(E$2:E76)*(E76=E$2:E76)))))-COUNTBLANK(OFFSET(A$1,,,SUMPRODUCT(MAX(ROW(E$1:E75)*(E2=E$1:E75))))))</f>
        <v/>
      </c>
      <c r="K76" s="33" t="str">
        <f aca="false">IF(OR(E76="",E76="!!!",F76="NEW"),"",INDEX(J$1:J75,SUMPRODUCT(MAX(ROW(E$1:E75)*(E76=E$1:E75)))))</f>
        <v/>
      </c>
      <c r="L76" s="34"/>
    </row>
    <row r="77" customFormat="false" ht="15.8" hidden="false" customHeight="false" outlineLevel="0" collapsed="false">
      <c r="A77" s="20" t="s">
        <v>199</v>
      </c>
      <c r="B77" s="21" t="s">
        <v>153</v>
      </c>
      <c r="C77" s="21" t="s">
        <v>200</v>
      </c>
      <c r="E77" s="29" t="str">
        <f aca="false">IF(D77="?OLD","!!!","")</f>
        <v/>
      </c>
      <c r="F77" s="30" t="str">
        <f aca="false">IF(OR(E77="",E77="!!!"),"",IF(NOT(ISNA(VLOOKUP(E77,E$1:E76,1,FALSE()))),"OLD",IF(AND(E77&lt;&gt;"",E77&lt;&gt;"!!!"),"NEW","")))</f>
        <v/>
      </c>
      <c r="G77" s="31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32" t="str">
        <f aca="false">IF(J77&lt;&gt;1,"",IF(I77="SBJ","CB","?"))</f>
        <v/>
      </c>
      <c r="I77" s="33" t="str">
        <f aca="false">IF(OR(E77="",E77="!!!",F77="NEW"),"",INDEX(B$2:B76,-1+SUMPRODUCT(MAX(ROW(E$2:E76)*(E77=E$2:E76)))))</f>
        <v/>
      </c>
      <c r="J77" s="33" t="str">
        <f aca="true">IF(OR(E77="",E77="!!!",F77="NEW"),"",COUNTBLANK(OFFSET(A$1,,,SUMPRODUCT(MAX(ROW(E$2:E77)*(E77=E$2:E77)))))-COUNTBLANK(OFFSET(A$1,,,SUMPRODUCT(MAX(ROW(E$1:E76)*(E2=E$1:E76))))))</f>
        <v/>
      </c>
      <c r="K77" s="33" t="str">
        <f aca="false">IF(OR(E77="",E77="!!!",F77="NEW"),"",INDEX(J$1:J76,SUMPRODUCT(MAX(ROW(E$1:E76)*(E77=E$1:E76)))))</f>
        <v/>
      </c>
      <c r="L77" s="34"/>
    </row>
    <row r="78" customFormat="false" ht="15.8" hidden="false" customHeight="false" outlineLevel="0" collapsed="false">
      <c r="A78" s="20" t="s">
        <v>187</v>
      </c>
      <c r="E78" s="29" t="str">
        <f aca="false">IF(D78="?OLD","!!!","")</f>
        <v/>
      </c>
      <c r="F78" s="30" t="str">
        <f aca="false">IF(OR(E78="",E78="!!!"),"",IF(NOT(ISNA(VLOOKUP(E78,E$1:E77,1,FALSE()))),"OLD",IF(AND(E78&lt;&gt;"",E78&lt;&gt;"!!!"),"NEW","")))</f>
        <v/>
      </c>
      <c r="G78" s="31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32" t="str">
        <f aca="false">IF(J78&lt;&gt;1,"",IF(I78="SBJ","CB","?"))</f>
        <v/>
      </c>
      <c r="I78" s="33" t="str">
        <f aca="false">IF(OR(E78="",E78="!!!",F78="NEW"),"",INDEX(B$2:B77,-1+SUMPRODUCT(MAX(ROW(E$2:E77)*(E78=E$2:E77)))))</f>
        <v/>
      </c>
      <c r="J78" s="33" t="str">
        <f aca="true">IF(OR(E78="",E78="!!!",F78="NEW"),"",COUNTBLANK(OFFSET(A$1,,,SUMPRODUCT(MAX(ROW(E$2:E78)*(E78=E$2:E78)))))-COUNTBLANK(OFFSET(A$1,,,SUMPRODUCT(MAX(ROW(E$1:E77)*(E2=E$1:E77))))))</f>
        <v/>
      </c>
      <c r="K78" s="33" t="str">
        <f aca="false">IF(OR(E78="",E78="!!!",F78="NEW"),"",INDEX(J$1:J77,SUMPRODUCT(MAX(ROW(E$1:E77)*(E78=E$1:E77)))))</f>
        <v/>
      </c>
      <c r="L78" s="34"/>
    </row>
    <row r="79" customFormat="false" ht="15.8" hidden="false" customHeight="false" outlineLevel="0" collapsed="false">
      <c r="A79" s="20" t="s">
        <v>201</v>
      </c>
      <c r="E79" s="29" t="str">
        <f aca="false">IF(D79="?OLD","!!!","")</f>
        <v/>
      </c>
      <c r="F79" s="30" t="str">
        <f aca="false">IF(OR(E79="",E79="!!!"),"",IF(NOT(ISNA(VLOOKUP(E79,E$1:E78,1,FALSE()))),"OLD",IF(AND(E79&lt;&gt;"",E79&lt;&gt;"!!!"),"NEW","")))</f>
        <v/>
      </c>
      <c r="G79" s="31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32" t="str">
        <f aca="false">IF(J79&lt;&gt;1,"",IF(I79="SBJ","CB","?"))</f>
        <v/>
      </c>
      <c r="I79" s="33" t="str">
        <f aca="false">IF(OR(E79="",E79="!!!",F79="NEW"),"",INDEX(B$2:B78,-1+SUMPRODUCT(MAX(ROW(E$2:E78)*(E79=E$2:E78)))))</f>
        <v/>
      </c>
      <c r="J79" s="33" t="str">
        <f aca="true">IF(OR(E79="",E79="!!!",F79="NEW"),"",COUNTBLANK(OFFSET(A$1,,,SUMPRODUCT(MAX(ROW(E$2:E79)*(E79=E$2:E79)))))-COUNTBLANK(OFFSET(A$1,,,SUMPRODUCT(MAX(ROW(E$1:E78)*(E2=E$1:E78))))))</f>
        <v/>
      </c>
      <c r="K79" s="33" t="str">
        <f aca="false">IF(OR(E79="",E79="!!!",F79="NEW"),"",INDEX(J$1:J78,SUMPRODUCT(MAX(ROW(E$1:E78)*(E79=E$1:E78)))))</f>
        <v/>
      </c>
      <c r="L79" s="34"/>
    </row>
    <row r="80" customFormat="false" ht="15.8" hidden="false" customHeight="false" outlineLevel="0" collapsed="false">
      <c r="A80" s="20" t="s">
        <v>219</v>
      </c>
      <c r="B80" s="21" t="s">
        <v>174</v>
      </c>
      <c r="C80" s="21" t="s">
        <v>186</v>
      </c>
      <c r="E80" s="29" t="str">
        <f aca="false">IF(D80="?OLD","!!!","")</f>
        <v/>
      </c>
      <c r="F80" s="30" t="str">
        <f aca="false">IF(OR(E80="",E80="!!!"),"",IF(NOT(ISNA(VLOOKUP(E80,E$1:E79,1,FALSE()))),"OLD",IF(AND(E80&lt;&gt;"",E80&lt;&gt;"!!!"),"NEW","")))</f>
        <v/>
      </c>
      <c r="G80" s="31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32" t="str">
        <f aca="false">IF(J80&lt;&gt;1,"",IF(I80="SBJ","CB","?"))</f>
        <v/>
      </c>
      <c r="I80" s="33" t="str">
        <f aca="false">IF(OR(E80="",E80="!!!",F80="NEW"),"",INDEX(B$2:B79,-1+SUMPRODUCT(MAX(ROW(E$2:E79)*(E80=E$2:E79)))))</f>
        <v/>
      </c>
      <c r="J80" s="33" t="str">
        <f aca="true">IF(OR(E80="",E80="!!!",F80="NEW"),"",COUNTBLANK(OFFSET(A$1,,,SUMPRODUCT(MAX(ROW(E$2:E80)*(E80=E$2:E80)))))-COUNTBLANK(OFFSET(A$1,,,SUMPRODUCT(MAX(ROW(E$1:E79)*(E2=E$1:E79))))))</f>
        <v/>
      </c>
      <c r="K80" s="33" t="str">
        <f aca="false">IF(OR(E80="",E80="!!!",F80="NEW"),"",INDEX(J$1:J79,SUMPRODUCT(MAX(ROW(E$1:E79)*(E80=E$1:E79)))))</f>
        <v/>
      </c>
      <c r="L80" s="34"/>
    </row>
    <row r="81" customFormat="false" ht="15.8" hidden="false" customHeight="false" outlineLevel="0" collapsed="false">
      <c r="A81" s="20" t="s">
        <v>187</v>
      </c>
      <c r="E81" s="29" t="str">
        <f aca="false">IF(D81="?OLD","!!!","")</f>
        <v/>
      </c>
      <c r="F81" s="30" t="str">
        <f aca="false">IF(OR(E81="",E81="!!!"),"",IF(NOT(ISNA(VLOOKUP(E81,E$1:E80,1,FALSE()))),"OLD",IF(AND(E81&lt;&gt;"",E81&lt;&gt;"!!!"),"NEW","")))</f>
        <v/>
      </c>
      <c r="G81" s="31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32" t="str">
        <f aca="false">IF(J81&lt;&gt;1,"",IF(I81="SBJ","CB","?"))</f>
        <v/>
      </c>
      <c r="I81" s="33" t="str">
        <f aca="false">IF(OR(E81="",E81="!!!",F81="NEW"),"",INDEX(B$2:B80,-1+SUMPRODUCT(MAX(ROW(E$2:E80)*(E81=E$2:E80)))))</f>
        <v/>
      </c>
      <c r="J81" s="33" t="str">
        <f aca="true">IF(OR(E81="",E81="!!!",F81="NEW"),"",COUNTBLANK(OFFSET(A$1,,,SUMPRODUCT(MAX(ROW(E$2:E81)*(E81=E$2:E81)))))-COUNTBLANK(OFFSET(A$1,,,SUMPRODUCT(MAX(ROW(E$1:E80)*(E2=E$1:E80))))))</f>
        <v/>
      </c>
      <c r="K81" s="33" t="str">
        <f aca="false">IF(OR(E81="",E81="!!!",F81="NEW"),"",INDEX(J$1:J80,SUMPRODUCT(MAX(ROW(E$1:E80)*(E81=E$1:E80)))))</f>
        <v/>
      </c>
      <c r="L81" s="34"/>
    </row>
    <row r="82" customFormat="false" ht="15.8" hidden="false" customHeight="false" outlineLevel="0" collapsed="false">
      <c r="A82" s="20" t="s">
        <v>220</v>
      </c>
      <c r="B82" s="21" t="s">
        <v>170</v>
      </c>
      <c r="C82" s="21" t="s">
        <v>186</v>
      </c>
      <c r="E82" s="29" t="str">
        <f aca="false">IF(D82="?OLD","!!!","")</f>
        <v/>
      </c>
      <c r="F82" s="30" t="str">
        <f aca="false">IF(OR(E82="",E82="!!!"),"",IF(NOT(ISNA(VLOOKUP(E82,E$1:E81,1,FALSE()))),"OLD",IF(AND(E82&lt;&gt;"",E82&lt;&gt;"!!!"),"NEW","")))</f>
        <v/>
      </c>
      <c r="G82" s="31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32" t="str">
        <f aca="false">IF(J82&lt;&gt;1,"",IF(I82="SBJ","CB","?"))</f>
        <v/>
      </c>
      <c r="I82" s="33" t="str">
        <f aca="false">IF(OR(E82="",E82="!!!",F82="NEW"),"",INDEX(B$2:B81,-1+SUMPRODUCT(MAX(ROW(E$2:E81)*(E82=E$2:E81)))))</f>
        <v/>
      </c>
      <c r="J82" s="33" t="str">
        <f aca="true">IF(OR(E82="",E82="!!!",F82="NEW"),"",COUNTBLANK(OFFSET(A$1,,,SUMPRODUCT(MAX(ROW(E$2:E82)*(E82=E$2:E82)))))-COUNTBLANK(OFFSET(A$1,,,SUMPRODUCT(MAX(ROW(E$1:E81)*(E2=E$1:E81))))))</f>
        <v/>
      </c>
      <c r="K82" s="33" t="str">
        <f aca="false">IF(OR(E82="",E82="!!!",F82="NEW"),"",INDEX(J$1:J81,SUMPRODUCT(MAX(ROW(E$1:E81)*(E82=E$1:E81)))))</f>
        <v/>
      </c>
      <c r="L82" s="34"/>
    </row>
    <row r="83" customFormat="false" ht="15.8" hidden="false" customHeight="false" outlineLevel="0" collapsed="false">
      <c r="A83" s="20"/>
    </row>
    <row r="84" customFormat="false" ht="15.8" hidden="false" customHeight="false" outlineLevel="0" collapsed="false">
      <c r="A84" s="20" t="s">
        <v>221</v>
      </c>
    </row>
    <row r="85" customFormat="false" ht="15.8" hidden="false" customHeight="false" outlineLevel="0" collapsed="false">
      <c r="A85" s="20" t="s">
        <v>222</v>
      </c>
      <c r="E85" s="29" t="str">
        <f aca="false">IF(D85="?OLD","!!!","")</f>
        <v/>
      </c>
      <c r="F85" s="30" t="str">
        <f aca="false">IF(OR(E85="",E85="!!!"),"",IF(NOT(ISNA(VLOOKUP(E85,E$1:E84,1,FALSE()))),"OLD",IF(AND(E85&lt;&gt;"",E85&lt;&gt;"!!!"),"NEW","")))</f>
        <v/>
      </c>
      <c r="G85" s="31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32" t="str">
        <f aca="false">IF(J85&lt;&gt;1,"",IF(I85="SBJ","CB","?"))</f>
        <v/>
      </c>
      <c r="I85" s="33" t="str">
        <f aca="false">IF(OR(E85="",E85="!!!",F85="NEW"),"",INDEX(B$2:B84,-1+SUMPRODUCT(MAX(ROW(E$2:E84)*(E85=E$2:E84)))))</f>
        <v/>
      </c>
      <c r="J85" s="33" t="str">
        <f aca="true">IF(OR(E85="",E85="!!!",F85="NEW"),"",COUNTBLANK(OFFSET(A$1,,,SUMPRODUCT(MAX(ROW(E$2:E85)*(E85=E$2:E85)))))-COUNTBLANK(OFFSET(A$1,,,SUMPRODUCT(MAX(ROW(E$1:E84)*(E2=E$1:E84))))))</f>
        <v/>
      </c>
      <c r="K85" s="33" t="str">
        <f aca="false">IF(OR(E85="",E85="!!!",F85="NEW"),"",INDEX(J$1:J84,SUMPRODUCT(MAX(ROW(E$1:E84)*(E85=E$1:E84)))))</f>
        <v/>
      </c>
      <c r="L85" s="34"/>
    </row>
    <row r="86" customFormat="false" ht="15.8" hidden="false" customHeight="false" outlineLevel="0" collapsed="false">
      <c r="A86" s="20" t="s">
        <v>223</v>
      </c>
      <c r="E86" s="29" t="str">
        <f aca="false">IF(D86="?OLD","!!!","")</f>
        <v/>
      </c>
      <c r="F86" s="30" t="str">
        <f aca="false">IF(OR(E86="",E86="!!!"),"",IF(NOT(ISNA(VLOOKUP(E86,E$1:E85,1,FALSE()))),"OLD",IF(AND(E86&lt;&gt;"",E86&lt;&gt;"!!!"),"NEW","")))</f>
        <v/>
      </c>
      <c r="G86" s="31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32" t="str">
        <f aca="false">IF(J86&lt;&gt;1,"",IF(I86="SBJ","CB","?"))</f>
        <v/>
      </c>
      <c r="I86" s="33" t="str">
        <f aca="false">IF(OR(E86="",E86="!!!",F86="NEW"),"",INDEX(B$2:B85,-1+SUMPRODUCT(MAX(ROW(E$2:E85)*(E86=E$2:E85)))))</f>
        <v/>
      </c>
      <c r="J86" s="33" t="str">
        <f aca="true">IF(OR(E86="",E86="!!!",F86="NEW"),"",COUNTBLANK(OFFSET(A$1,,,SUMPRODUCT(MAX(ROW(E$2:E86)*(E86=E$2:E86)))))-COUNTBLANK(OFFSET(A$1,,,SUMPRODUCT(MAX(ROW(E$1:E85)*(E2=E$1:E85))))))</f>
        <v/>
      </c>
      <c r="K86" s="33" t="str">
        <f aca="false">IF(OR(E86="",E86="!!!",F86="NEW"),"",INDEX(J$1:J85,SUMPRODUCT(MAX(ROW(E$1:E85)*(E86=E$1:E85)))))</f>
        <v/>
      </c>
      <c r="L86" s="34"/>
    </row>
    <row r="87" customFormat="false" ht="15.8" hidden="false" customHeight="false" outlineLevel="0" collapsed="false">
      <c r="A87" s="20" t="s">
        <v>224</v>
      </c>
      <c r="B87" s="21" t="s">
        <v>168</v>
      </c>
      <c r="C87" s="21" t="s">
        <v>154</v>
      </c>
      <c r="D87" s="21" t="s">
        <v>148</v>
      </c>
      <c r="E87" s="29" t="str">
        <f aca="false">IF(D87="?OLD","!!!","")</f>
        <v>!!!</v>
      </c>
      <c r="F87" s="30" t="str">
        <f aca="false">IF(OR(E87="",E87="!!!"),"",IF(NOT(ISNA(VLOOKUP(E87,E$1:E86,1,FALSE()))),"OLD",IF(AND(E87&lt;&gt;"",E87&lt;&gt;"!!!"),"NEW","")))</f>
        <v/>
      </c>
      <c r="G87" s="31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32" t="str">
        <f aca="false">IF(J87&lt;&gt;1,"",IF(I87="SBJ","CB","?"))</f>
        <v/>
      </c>
      <c r="I87" s="33" t="str">
        <f aca="false">IF(OR(E87="",E87="!!!",F87="NEW"),"",INDEX(B$2:B86,-1+SUMPRODUCT(MAX(ROW(E$2:E86)*(E87=E$2:E86)))))</f>
        <v/>
      </c>
      <c r="J87" s="33" t="str">
        <f aca="true">IF(OR(E87="",E87="!!!",F87="NEW"),"",COUNTBLANK(OFFSET(A$1,,,SUMPRODUCT(MAX(ROW(E$2:E87)*(E87=E$2:E87)))))-COUNTBLANK(OFFSET(A$1,,,SUMPRODUCT(MAX(ROW(E$1:E86)*(E2=E$1:E86))))))</f>
        <v/>
      </c>
      <c r="K87" s="33" t="str">
        <f aca="false">IF(OR(E87="",E87="!!!",F87="NEW"),"",INDEX(J$1:J86,SUMPRODUCT(MAX(ROW(E$1:E86)*(E87=E$1:E86)))))</f>
        <v/>
      </c>
      <c r="L87" s="34"/>
    </row>
    <row r="88" customFormat="false" ht="15.8" hidden="false" customHeight="false" outlineLevel="0" collapsed="false">
      <c r="A88" s="20" t="s">
        <v>155</v>
      </c>
      <c r="E88" s="29" t="str">
        <f aca="false">IF(D88="?OLD","!!!","")</f>
        <v/>
      </c>
      <c r="F88" s="30" t="str">
        <f aca="false">IF(OR(E88="",E88="!!!"),"",IF(NOT(ISNA(VLOOKUP(E88,E$1:E87,1,FALSE()))),"OLD",IF(AND(E88&lt;&gt;"",E88&lt;&gt;"!!!"),"NEW","")))</f>
        <v/>
      </c>
      <c r="G88" s="31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32" t="str">
        <f aca="false">IF(J88&lt;&gt;1,"",IF(I88="SBJ","CB","?"))</f>
        <v/>
      </c>
      <c r="I88" s="33" t="str">
        <f aca="false">IF(OR(E88="",E88="!!!",F88="NEW"),"",INDEX(B$2:B87,-1+SUMPRODUCT(MAX(ROW(E$2:E87)*(E88=E$2:E87)))))</f>
        <v/>
      </c>
      <c r="J88" s="33" t="str">
        <f aca="true">IF(OR(E88="",E88="!!!",F88="NEW"),"",COUNTBLANK(OFFSET(A$1,,,SUMPRODUCT(MAX(ROW(E$2:E88)*(E88=E$2:E88)))))-COUNTBLANK(OFFSET(A$1,,,SUMPRODUCT(MAX(ROW(E$1:E87)*(E2=E$1:E87))))))</f>
        <v/>
      </c>
      <c r="K88" s="33" t="str">
        <f aca="false">IF(OR(E88="",E88="!!!",F88="NEW"),"",INDEX(J$1:J87,SUMPRODUCT(MAX(ROW(E$1:E87)*(E88=E$1:E87)))))</f>
        <v/>
      </c>
      <c r="L88" s="34"/>
    </row>
    <row r="89" customFormat="false" ht="15.8" hidden="false" customHeight="false" outlineLevel="0" collapsed="false">
      <c r="A89" s="20" t="s">
        <v>158</v>
      </c>
      <c r="B89" s="21" t="s">
        <v>170</v>
      </c>
      <c r="C89" s="21" t="s">
        <v>160</v>
      </c>
      <c r="D89" s="21" t="s">
        <v>148</v>
      </c>
      <c r="E89" s="29" t="str">
        <f aca="false">IF(D89="?OLD","!!!","")</f>
        <v>!!!</v>
      </c>
      <c r="F89" s="30" t="str">
        <f aca="false">IF(OR(E89="",E89="!!!"),"",IF(NOT(ISNA(VLOOKUP(E89,E$1:E88,1,FALSE()))),"OLD",IF(AND(E89&lt;&gt;"",E89&lt;&gt;"!!!"),"NEW","")))</f>
        <v/>
      </c>
      <c r="G89" s="31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32" t="str">
        <f aca="false">IF(J89&lt;&gt;1,"",IF(I89="SBJ","CB","?"))</f>
        <v/>
      </c>
      <c r="I89" s="33" t="str">
        <f aca="false">IF(OR(E89="",E89="!!!",F89="NEW"),"",INDEX(B$2:B88,-1+SUMPRODUCT(MAX(ROW(E$2:E88)*(E89=E$2:E88)))))</f>
        <v/>
      </c>
      <c r="J89" s="33" t="str">
        <f aca="true">IF(OR(E89="",E89="!!!",F89="NEW"),"",COUNTBLANK(OFFSET(A$1,,,SUMPRODUCT(MAX(ROW(E$2:E89)*(E89=E$2:E89)))))-COUNTBLANK(OFFSET(A$1,,,SUMPRODUCT(MAX(ROW(E$1:E88)*(E2=E$1:E88))))))</f>
        <v/>
      </c>
      <c r="K89" s="33" t="str">
        <f aca="false">IF(OR(E89="",E89="!!!",F89="NEW"),"",INDEX(J$1:J88,SUMPRODUCT(MAX(ROW(E$1:E88)*(E89=E$1:E88)))))</f>
        <v/>
      </c>
      <c r="L89" s="34"/>
    </row>
    <row r="90" customFormat="false" ht="15.8" hidden="false" customHeight="false" outlineLevel="0" collapsed="false">
      <c r="A90" s="20" t="s">
        <v>225</v>
      </c>
      <c r="E90" s="29" t="str">
        <f aca="false">IF(D90="?OLD","!!!","")</f>
        <v/>
      </c>
      <c r="F90" s="30" t="str">
        <f aca="false">IF(OR(E90="",E90="!!!"),"",IF(NOT(ISNA(VLOOKUP(E90,E$1:E89,1,FALSE()))),"OLD",IF(AND(E90&lt;&gt;"",E90&lt;&gt;"!!!"),"NEW","")))</f>
        <v/>
      </c>
      <c r="G90" s="31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32" t="str">
        <f aca="false">IF(J90&lt;&gt;1,"",IF(I90="SBJ","CB","?"))</f>
        <v/>
      </c>
      <c r="I90" s="33" t="str">
        <f aca="false">IF(OR(E90="",E90="!!!",F90="NEW"),"",INDEX(B$2:B89,-1+SUMPRODUCT(MAX(ROW(E$2:E89)*(E90=E$2:E89)))))</f>
        <v/>
      </c>
      <c r="J90" s="33" t="str">
        <f aca="true">IF(OR(E90="",E90="!!!",F90="NEW"),"",COUNTBLANK(OFFSET(A$1,,,SUMPRODUCT(MAX(ROW(E$2:E90)*(E90=E$2:E90)))))-COUNTBLANK(OFFSET(A$1,,,SUMPRODUCT(MAX(ROW(E$1:E89)*(E2=E$1:E89))))))</f>
        <v/>
      </c>
      <c r="K90" s="33" t="str">
        <f aca="false">IF(OR(E90="",E90="!!!",F90="NEW"),"",INDEX(J$1:J89,SUMPRODUCT(MAX(ROW(E$1:E89)*(E90=E$1:E89)))))</f>
        <v/>
      </c>
      <c r="L90" s="34"/>
    </row>
    <row r="91" customFormat="false" ht="15.8" hidden="false" customHeight="false" outlineLevel="0" collapsed="false">
      <c r="A91" s="20" t="s">
        <v>155</v>
      </c>
      <c r="E91" s="29" t="str">
        <f aca="false">IF(D91="?OLD","!!!","")</f>
        <v/>
      </c>
      <c r="F91" s="30" t="str">
        <f aca="false">IF(OR(E91="",E91="!!!"),"",IF(NOT(ISNA(VLOOKUP(E91,E$1:E90,1,FALSE()))),"OLD",IF(AND(E91&lt;&gt;"",E91&lt;&gt;"!!!"),"NEW","")))</f>
        <v/>
      </c>
      <c r="G91" s="31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32" t="str">
        <f aca="false">IF(J91&lt;&gt;1,"",IF(I91="SBJ","CB","?"))</f>
        <v/>
      </c>
      <c r="I91" s="33" t="str">
        <f aca="false">IF(OR(E91="",E91="!!!",F91="NEW"),"",INDEX(B$2:B90,-1+SUMPRODUCT(MAX(ROW(E$2:E90)*(E91=E$2:E90)))))</f>
        <v/>
      </c>
      <c r="J91" s="33" t="str">
        <f aca="true">IF(OR(E91="",E91="!!!",F91="NEW"),"",COUNTBLANK(OFFSET(A$1,,,SUMPRODUCT(MAX(ROW(E$2:E91)*(E91=E$2:E91)))))-COUNTBLANK(OFFSET(A$1,,,SUMPRODUCT(MAX(ROW(E$1:E90)*(E2=E$1:E90))))))</f>
        <v/>
      </c>
      <c r="K91" s="33" t="str">
        <f aca="false">IF(OR(E91="",E91="!!!",F91="NEW"),"",INDEX(J$1:J90,SUMPRODUCT(MAX(ROW(E$1:E90)*(E91=E$1:E90)))))</f>
        <v/>
      </c>
      <c r="L91" s="34"/>
    </row>
    <row r="92" customFormat="false" ht="15.8" hidden="false" customHeight="false" outlineLevel="0" collapsed="false">
      <c r="A92" s="20" t="s">
        <v>226</v>
      </c>
      <c r="E92" s="29" t="str">
        <f aca="false">IF(D92="?OLD","!!!","")</f>
        <v/>
      </c>
      <c r="F92" s="30" t="str">
        <f aca="false">IF(OR(E92="",E92="!!!"),"",IF(NOT(ISNA(VLOOKUP(E92,E$1:E91,1,FALSE()))),"OLD",IF(AND(E92&lt;&gt;"",E92&lt;&gt;"!!!"),"NEW","")))</f>
        <v/>
      </c>
      <c r="G92" s="31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32" t="str">
        <f aca="false">IF(J92&lt;&gt;1,"",IF(I92="SBJ","CB","?"))</f>
        <v/>
      </c>
      <c r="I92" s="33" t="str">
        <f aca="false">IF(OR(E92="",E92="!!!",F92="NEW"),"",INDEX(B$2:B91,-1+SUMPRODUCT(MAX(ROW(E$2:E91)*(E92=E$2:E91)))))</f>
        <v/>
      </c>
      <c r="J92" s="33" t="str">
        <f aca="true">IF(OR(E92="",E92="!!!",F92="NEW"),"",COUNTBLANK(OFFSET(A$1,,,SUMPRODUCT(MAX(ROW(E$2:E92)*(E92=E$2:E92)))))-COUNTBLANK(OFFSET(A$1,,,SUMPRODUCT(MAX(ROW(E$1:E91)*(E2=E$1:E91))))))</f>
        <v/>
      </c>
      <c r="K92" s="33" t="str">
        <f aca="false">IF(OR(E92="",E92="!!!",F92="NEW"),"",INDEX(J$1:J91,SUMPRODUCT(MAX(ROW(E$1:E91)*(E92=E$1:E91)))))</f>
        <v/>
      </c>
      <c r="L92" s="34"/>
    </row>
    <row r="93" customFormat="false" ht="15.8" hidden="false" customHeight="false" outlineLevel="0" collapsed="false">
      <c r="A93" s="20" t="s">
        <v>199</v>
      </c>
      <c r="B93" s="21" t="s">
        <v>153</v>
      </c>
      <c r="C93" s="21" t="s">
        <v>200</v>
      </c>
      <c r="E93" s="29" t="str">
        <f aca="false">IF(D93="?OLD","!!!","")</f>
        <v/>
      </c>
      <c r="F93" s="30" t="str">
        <f aca="false">IF(OR(E93="",E93="!!!"),"",IF(NOT(ISNA(VLOOKUP(E93,E$1:E92,1,FALSE()))),"OLD",IF(AND(E93&lt;&gt;"",E93&lt;&gt;"!!!"),"NEW","")))</f>
        <v/>
      </c>
      <c r="G93" s="31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32" t="str">
        <f aca="false">IF(J93&lt;&gt;1,"",IF(I93="SBJ","CB","?"))</f>
        <v/>
      </c>
      <c r="I93" s="33" t="str">
        <f aca="false">IF(OR(E93="",E93="!!!",F93="NEW"),"",INDEX(B$2:B92,-1+SUMPRODUCT(MAX(ROW(E$2:E92)*(E93=E$2:E92)))))</f>
        <v/>
      </c>
      <c r="J93" s="33" t="str">
        <f aca="true">IF(OR(E93="",E93="!!!",F93="NEW"),"",COUNTBLANK(OFFSET(A$1,,,SUMPRODUCT(MAX(ROW(E$2:E93)*(E93=E$2:E93)))))-COUNTBLANK(OFFSET(A$1,,,SUMPRODUCT(MAX(ROW(E$1:E92)*(E2=E$1:E92))))))</f>
        <v/>
      </c>
      <c r="K93" s="33" t="str">
        <f aca="false">IF(OR(E93="",E93="!!!",F93="NEW"),"",INDEX(J$1:J92,SUMPRODUCT(MAX(ROW(E$1:E92)*(E93=E$1:E92)))))</f>
        <v/>
      </c>
      <c r="L93" s="34"/>
    </row>
    <row r="94" customFormat="false" ht="15.8" hidden="false" customHeight="false" outlineLevel="0" collapsed="false">
      <c r="A94" s="20" t="s">
        <v>227</v>
      </c>
      <c r="E94" s="29" t="str">
        <f aca="false">IF(D94="?OLD","!!!","")</f>
        <v/>
      </c>
      <c r="F94" s="30" t="str">
        <f aca="false">IF(OR(E94="",E94="!!!"),"",IF(NOT(ISNA(VLOOKUP(E94,E$1:E93,1,FALSE()))),"OLD",IF(AND(E94&lt;&gt;"",E94&lt;&gt;"!!!"),"NEW","")))</f>
        <v/>
      </c>
      <c r="G94" s="31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32" t="str">
        <f aca="false">IF(J94&lt;&gt;1,"",IF(I94="SBJ","CB","?"))</f>
        <v/>
      </c>
      <c r="I94" s="33" t="str">
        <f aca="false">IF(OR(E94="",E94="!!!",F94="NEW"),"",INDEX(B$2:B93,-1+SUMPRODUCT(MAX(ROW(E$2:E93)*(E94=E$2:E93)))))</f>
        <v/>
      </c>
      <c r="J94" s="33" t="str">
        <f aca="true">IF(OR(E94="",E94="!!!",F94="NEW"),"",COUNTBLANK(OFFSET(A$1,,,SUMPRODUCT(MAX(ROW(E$2:E94)*(E94=E$2:E94)))))-COUNTBLANK(OFFSET(A$1,,,SUMPRODUCT(MAX(ROW(E$1:E93)*(E2=E$1:E93))))))</f>
        <v/>
      </c>
      <c r="K94" s="33" t="str">
        <f aca="false">IF(OR(E94="",E94="!!!",F94="NEW"),"",INDEX(J$1:J93,SUMPRODUCT(MAX(ROW(E$1:E93)*(E94=E$1:E93)))))</f>
        <v/>
      </c>
      <c r="L94" s="34"/>
    </row>
    <row r="95" customFormat="false" ht="15.8" hidden="false" customHeight="false" outlineLevel="0" collapsed="false">
      <c r="A95" s="20" t="s">
        <v>228</v>
      </c>
      <c r="E95" s="29" t="str">
        <f aca="false">IF(D95="?OLD","!!!","")</f>
        <v/>
      </c>
      <c r="F95" s="30" t="str">
        <f aca="false">IF(OR(E95="",E95="!!!"),"",IF(NOT(ISNA(VLOOKUP(E95,E$1:E94,1,FALSE()))),"OLD",IF(AND(E95&lt;&gt;"",E95&lt;&gt;"!!!"),"NEW","")))</f>
        <v/>
      </c>
      <c r="G95" s="31" t="str">
        <f aca="false"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32" t="str">
        <f aca="false">IF(J95&lt;&gt;1,"",IF(I95="SBJ","CB","?"))</f>
        <v/>
      </c>
      <c r="I95" s="33" t="str">
        <f aca="false">IF(OR(E95="",E95="!!!",F95="NEW"),"",INDEX(B$2:B94,-1+SUMPRODUCT(MAX(ROW(E$2:E94)*(E95=E$2:E94)))))</f>
        <v/>
      </c>
      <c r="J95" s="33" t="str">
        <f aca="true">IF(OR(E95="",E95="!!!",F95="NEW"),"",COUNTBLANK(OFFSET(A$1,,,SUMPRODUCT(MAX(ROW(E$2:E95)*(E95=E$2:E95)))))-COUNTBLANK(OFFSET(A$1,,,SUMPRODUCT(MAX(ROW(E$1:E94)*(E2=E$1:E94))))))</f>
        <v/>
      </c>
      <c r="K95" s="33" t="str">
        <f aca="false">IF(OR(E95="",E95="!!!",F95="NEW"),"",INDEX(J$1:J94,SUMPRODUCT(MAX(ROW(E$1:E94)*(E95=E$1:E94)))))</f>
        <v/>
      </c>
      <c r="L95" s="34"/>
    </row>
    <row r="96" customFormat="false" ht="15.8" hidden="false" customHeight="false" outlineLevel="0" collapsed="false">
      <c r="A96" s="20" t="s">
        <v>229</v>
      </c>
      <c r="E96" s="29" t="str">
        <f aca="false">IF(D96="?OLD","!!!","")</f>
        <v/>
      </c>
      <c r="F96" s="30" t="str">
        <f aca="false">IF(OR(E96="",E96="!!!"),"",IF(NOT(ISNA(VLOOKUP(E96,E$1:E95,1,FALSE()))),"OLD",IF(AND(E96&lt;&gt;"",E96&lt;&gt;"!!!"),"NEW","")))</f>
        <v/>
      </c>
      <c r="G96" s="31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32" t="str">
        <f aca="false">IF(J96&lt;&gt;1,"",IF(I96="SBJ","CB","?"))</f>
        <v/>
      </c>
      <c r="I96" s="33" t="str">
        <f aca="false">IF(OR(E96="",E96="!!!",F96="NEW"),"",INDEX(B$2:B95,-1+SUMPRODUCT(MAX(ROW(E$2:E95)*(E96=E$2:E95)))))</f>
        <v/>
      </c>
      <c r="J96" s="33" t="str">
        <f aca="true">IF(OR(E96="",E96="!!!",F96="NEW"),"",COUNTBLANK(OFFSET(A$1,,,SUMPRODUCT(MAX(ROW(E$2:E96)*(E96=E$2:E96)))))-COUNTBLANK(OFFSET(A$1,,,SUMPRODUCT(MAX(ROW(E$1:E95)*(E2=E$1:E95))))))</f>
        <v/>
      </c>
      <c r="K96" s="33" t="str">
        <f aca="false">IF(OR(E96="",E96="!!!",F96="NEW"),"",INDEX(J$1:J95,SUMPRODUCT(MAX(ROW(E$1:E95)*(E96=E$1:E95)))))</f>
        <v/>
      </c>
      <c r="L96" s="34"/>
    </row>
    <row r="97" customFormat="false" ht="15.8" hidden="false" customHeight="false" outlineLevel="0" collapsed="false">
      <c r="A97" s="20"/>
    </row>
    <row r="98" customFormat="false" ht="15.8" hidden="false" customHeight="false" outlineLevel="0" collapsed="false">
      <c r="A98" s="20" t="s">
        <v>230</v>
      </c>
    </row>
    <row r="99" customFormat="false" ht="15.8" hidden="false" customHeight="false" outlineLevel="0" collapsed="false">
      <c r="A99" s="20" t="s">
        <v>210</v>
      </c>
      <c r="E99" s="29" t="str">
        <f aca="false">IF(D99="?OLD","!!!","")</f>
        <v/>
      </c>
      <c r="F99" s="30" t="str">
        <f aca="false">IF(OR(E99="",E99="!!!"),"",IF(NOT(ISNA(VLOOKUP(E99,E$1:E98,1,FALSE()))),"OLD",IF(AND(E99&lt;&gt;"",E99&lt;&gt;"!!!"),"NEW","")))</f>
        <v/>
      </c>
      <c r="G99" s="31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32" t="str">
        <f aca="false">IF(J99&lt;&gt;1,"",IF(I99="SBJ","CB","?"))</f>
        <v/>
      </c>
      <c r="I99" s="33" t="str">
        <f aca="false">IF(OR(E99="",E99="!!!",F99="NEW"),"",INDEX(B$2:B98,-1+SUMPRODUCT(MAX(ROW(E$2:E98)*(E99=E$2:E98)))))</f>
        <v/>
      </c>
      <c r="J99" s="33" t="str">
        <f aca="true">IF(OR(E99="",E99="!!!",F99="NEW"),"",COUNTBLANK(OFFSET(A$1,,,SUMPRODUCT(MAX(ROW(E$2:E99)*(E99=E$2:E99)))))-COUNTBLANK(OFFSET(A$1,,,SUMPRODUCT(MAX(ROW(E$1:E98)*(E2=E$1:E98))))))</f>
        <v/>
      </c>
      <c r="K99" s="33" t="str">
        <f aca="false">IF(OR(E99="",E99="!!!",F99="NEW"),"",INDEX(J$1:J98,SUMPRODUCT(MAX(ROW(E$1:E98)*(E99=E$1:E98)))))</f>
        <v/>
      </c>
      <c r="L99" s="34"/>
    </row>
    <row r="100" customFormat="false" ht="15.8" hidden="false" customHeight="false" outlineLevel="0" collapsed="false">
      <c r="A100" s="20" t="s">
        <v>197</v>
      </c>
      <c r="E100" s="29" t="str">
        <f aca="false">IF(D100="?OLD","!!!","")</f>
        <v/>
      </c>
      <c r="F100" s="30" t="str">
        <f aca="false">IF(OR(E100="",E100="!!!"),"",IF(NOT(ISNA(VLOOKUP(E100,E$1:E99,1,FALSE()))),"OLD",IF(AND(E100&lt;&gt;"",E100&lt;&gt;"!!!"),"NEW","")))</f>
        <v/>
      </c>
      <c r="G100" s="31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32" t="str">
        <f aca="false">IF(J100&lt;&gt;1,"",IF(I100="SBJ","CB","?"))</f>
        <v/>
      </c>
      <c r="I100" s="33" t="str">
        <f aca="false">IF(OR(E100="",E100="!!!",F100="NEW"),"",INDEX(B$2:B99,-1+SUMPRODUCT(MAX(ROW(E$2:E99)*(E100=E$2:E99)))))</f>
        <v/>
      </c>
      <c r="J100" s="33" t="str">
        <f aca="true">IF(OR(E100="",E100="!!!",F100="NEW"),"",COUNTBLANK(OFFSET(A$1,,,SUMPRODUCT(MAX(ROW(E$2:E100)*(E100=E$2:E100)))))-COUNTBLANK(OFFSET(A$1,,,SUMPRODUCT(MAX(ROW(E$1:E99)*(E2=E$1:E99))))))</f>
        <v/>
      </c>
      <c r="K100" s="33" t="str">
        <f aca="false">IF(OR(E100="",E100="!!!",F100="NEW"),"",INDEX(J$1:J99,SUMPRODUCT(MAX(ROW(E$1:E99)*(E100=E$1:E99)))))</f>
        <v/>
      </c>
      <c r="L100" s="34"/>
    </row>
    <row r="101" customFormat="false" ht="15.8" hidden="false" customHeight="false" outlineLevel="0" collapsed="false">
      <c r="A101" s="20" t="s">
        <v>231</v>
      </c>
      <c r="E101" s="29" t="str">
        <f aca="false">IF(D101="?OLD","!!!","")</f>
        <v/>
      </c>
      <c r="F101" s="30" t="str">
        <f aca="false">IF(OR(E101="",E101="!!!"),"",IF(NOT(ISNA(VLOOKUP(E101,E$1:E100,1,FALSE()))),"OLD",IF(AND(E101&lt;&gt;"",E101&lt;&gt;"!!!"),"NEW","")))</f>
        <v/>
      </c>
      <c r="G101" s="31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32" t="str">
        <f aca="false">IF(J101&lt;&gt;1,"",IF(I101="SBJ","CB","?"))</f>
        <v/>
      </c>
      <c r="I101" s="33" t="str">
        <f aca="false">IF(OR(E101="",E101="!!!",F101="NEW"),"",INDEX(B$2:B100,-1+SUMPRODUCT(MAX(ROW(E$2:E100)*(E101=E$2:E100)))))</f>
        <v/>
      </c>
      <c r="J101" s="33" t="str">
        <f aca="true">IF(OR(E101="",E101="!!!",F101="NEW"),"",COUNTBLANK(OFFSET(A$1,,,SUMPRODUCT(MAX(ROW(E$2:E101)*(E101=E$2:E101)))))-COUNTBLANK(OFFSET(A$1,,,SUMPRODUCT(MAX(ROW(E$1:E100)*(E2=E$1:E100))))))</f>
        <v/>
      </c>
      <c r="K101" s="33" t="str">
        <f aca="false">IF(OR(E101="",E101="!!!",F101="NEW"),"",INDEX(J$1:J100,SUMPRODUCT(MAX(ROW(E$1:E100)*(E101=E$1:E100)))))</f>
        <v/>
      </c>
      <c r="L101" s="34"/>
    </row>
    <row r="102" customFormat="false" ht="15.8" hidden="false" customHeight="false" outlineLevel="0" collapsed="false">
      <c r="A102" s="20" t="s">
        <v>199</v>
      </c>
      <c r="B102" s="21" t="s">
        <v>163</v>
      </c>
      <c r="C102" s="21" t="s">
        <v>205</v>
      </c>
      <c r="E102" s="29" t="str">
        <f aca="false">IF(D102="?OLD","!!!","")</f>
        <v/>
      </c>
      <c r="F102" s="30" t="str">
        <f aca="false">IF(OR(E102="",E102="!!!"),"",IF(NOT(ISNA(VLOOKUP(E102,E$1:E101,1,FALSE()))),"OLD",IF(AND(E102&lt;&gt;"",E102&lt;&gt;"!!!"),"NEW","")))</f>
        <v/>
      </c>
      <c r="G102" s="31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32" t="str">
        <f aca="false">IF(J102&lt;&gt;1,"",IF(I102="SBJ","CB","?"))</f>
        <v/>
      </c>
      <c r="I102" s="33" t="str">
        <f aca="false">IF(OR(E102="",E102="!!!",F102="NEW"),"",INDEX(B$2:B101,-1+SUMPRODUCT(MAX(ROW(E$2:E101)*(E102=E$2:E101)))))</f>
        <v/>
      </c>
      <c r="J102" s="33" t="str">
        <f aca="true">IF(OR(E102="",E102="!!!",F102="NEW"),"",COUNTBLANK(OFFSET(A$1,,,SUMPRODUCT(MAX(ROW(E$2:E102)*(E102=E$2:E102)))))-COUNTBLANK(OFFSET(A$1,,,SUMPRODUCT(MAX(ROW(E$1:E101)*(E2=E$1:E101))))))</f>
        <v/>
      </c>
      <c r="K102" s="33" t="str">
        <f aca="false">IF(OR(E102="",E102="!!!",F102="NEW"),"",INDEX(J$1:J101,SUMPRODUCT(MAX(ROW(E$1:E101)*(E102=E$1:E101)))))</f>
        <v/>
      </c>
      <c r="L102" s="34"/>
    </row>
    <row r="103" customFormat="false" ht="15.8" hidden="false" customHeight="false" outlineLevel="0" collapsed="false">
      <c r="A103" s="20" t="s">
        <v>193</v>
      </c>
      <c r="E103" s="29" t="str">
        <f aca="false">IF(D103="?OLD","!!!","")</f>
        <v/>
      </c>
      <c r="F103" s="30" t="str">
        <f aca="false">IF(OR(E103="",E103="!!!"),"",IF(NOT(ISNA(VLOOKUP(E103,E$1:E102,1,FALSE()))),"OLD",IF(AND(E103&lt;&gt;"",E103&lt;&gt;"!!!"),"NEW","")))</f>
        <v/>
      </c>
      <c r="G103" s="31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32" t="str">
        <f aca="false">IF(J103&lt;&gt;1,"",IF(I103="SBJ","CB","?"))</f>
        <v/>
      </c>
      <c r="I103" s="33" t="str">
        <f aca="false">IF(OR(E103="",E103="!!!",F103="NEW"),"",INDEX(B$2:B102,-1+SUMPRODUCT(MAX(ROW(E$2:E102)*(E103=E$2:E102)))))</f>
        <v/>
      </c>
      <c r="J103" s="33" t="str">
        <f aca="true">IF(OR(E103="",E103="!!!",F103="NEW"),"",COUNTBLANK(OFFSET(A$1,,,SUMPRODUCT(MAX(ROW(E$2:E103)*(E103=E$2:E103)))))-COUNTBLANK(OFFSET(A$1,,,SUMPRODUCT(MAX(ROW(E$1:E102)*(E2=E$1:E102))))))</f>
        <v/>
      </c>
      <c r="K103" s="33" t="str">
        <f aca="false">IF(OR(E103="",E103="!!!",F103="NEW"),"",INDEX(J$1:J102,SUMPRODUCT(MAX(ROW(E$1:E102)*(E103=E$1:E102)))))</f>
        <v/>
      </c>
      <c r="L103" s="34"/>
    </row>
    <row r="104" customFormat="false" ht="15.8" hidden="false" customHeight="false" outlineLevel="0" collapsed="false">
      <c r="A104" s="20" t="s">
        <v>201</v>
      </c>
      <c r="E104" s="29" t="str">
        <f aca="false">IF(D104="?OLD","!!!","")</f>
        <v/>
      </c>
      <c r="F104" s="30" t="str">
        <f aca="false">IF(OR(E104="",E104="!!!"),"",IF(NOT(ISNA(VLOOKUP(E104,E$1:E103,1,FALSE()))),"OLD",IF(AND(E104&lt;&gt;"",E104&lt;&gt;"!!!"),"NEW","")))</f>
        <v/>
      </c>
      <c r="G104" s="31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32" t="str">
        <f aca="false">IF(J104&lt;&gt;1,"",IF(I104="SBJ","CB","?"))</f>
        <v/>
      </c>
      <c r="I104" s="33" t="str">
        <f aca="false">IF(OR(E104="",E104="!!!",F104="NEW"),"",INDEX(B$2:B103,-1+SUMPRODUCT(MAX(ROW(E$2:E103)*(E104=E$2:E103)))))</f>
        <v/>
      </c>
      <c r="J104" s="33" t="str">
        <f aca="true">IF(OR(E104="",E104="!!!",F104="NEW"),"",COUNTBLANK(OFFSET(A$1,,,SUMPRODUCT(MAX(ROW(E$2:E104)*(E104=E$2:E104)))))-COUNTBLANK(OFFSET(A$1,,,SUMPRODUCT(MAX(ROW(E$1:E103)*(E2=E$1:E103))))))</f>
        <v/>
      </c>
      <c r="K104" s="33" t="str">
        <f aca="false">IF(OR(E104="",E104="!!!",F104="NEW"),"",INDEX(J$1:J103,SUMPRODUCT(MAX(ROW(E$1:E103)*(E104=E$1:E103)))))</f>
        <v/>
      </c>
      <c r="L104" s="34"/>
    </row>
    <row r="105" customFormat="false" ht="15.8" hidden="false" customHeight="false" outlineLevel="0" collapsed="false">
      <c r="A105" s="20" t="s">
        <v>232</v>
      </c>
      <c r="B105" s="21" t="s">
        <v>174</v>
      </c>
      <c r="C105" s="21" t="s">
        <v>160</v>
      </c>
      <c r="D105" s="21" t="s">
        <v>148</v>
      </c>
      <c r="E105" s="29" t="str">
        <f aca="false">IF(D105="?OLD","!!!","")</f>
        <v>!!!</v>
      </c>
      <c r="F105" s="30" t="str">
        <f aca="false">IF(OR(E105="",E105="!!!"),"",IF(NOT(ISNA(VLOOKUP(E105,E$1:E104,1,FALSE()))),"OLD",IF(AND(E105&lt;&gt;"",E105&lt;&gt;"!!!"),"NEW","")))</f>
        <v/>
      </c>
      <c r="G105" s="31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32" t="str">
        <f aca="false">IF(J105&lt;&gt;1,"",IF(I105="SBJ","CB","?"))</f>
        <v/>
      </c>
      <c r="I105" s="33" t="str">
        <f aca="false">IF(OR(E105="",E105="!!!",F105="NEW"),"",INDEX(B$2:B104,-1+SUMPRODUCT(MAX(ROW(E$2:E104)*(E105=E$2:E104)))))</f>
        <v/>
      </c>
      <c r="J105" s="33" t="str">
        <f aca="true">IF(OR(E105="",E105="!!!",F105="NEW"),"",COUNTBLANK(OFFSET(A$1,,,SUMPRODUCT(MAX(ROW(E$2:E105)*(E105=E$2:E105)))))-COUNTBLANK(OFFSET(A$1,,,SUMPRODUCT(MAX(ROW(E$1:E104)*(E2=E$1:E104))))))</f>
        <v/>
      </c>
      <c r="K105" s="33" t="str">
        <f aca="false">IF(OR(E105="",E105="!!!",F105="NEW"),"",INDEX(J$1:J104,SUMPRODUCT(MAX(ROW(E$1:E104)*(E105=E$1:E104)))))</f>
        <v/>
      </c>
      <c r="L105" s="34"/>
    </row>
    <row r="106" customFormat="false" ht="15.8" hidden="false" customHeight="false" outlineLevel="0" collapsed="false">
      <c r="A106" s="20"/>
    </row>
    <row r="107" customFormat="false" ht="15.8" hidden="false" customHeight="false" outlineLevel="0" collapsed="false">
      <c r="A107" s="20" t="s">
        <v>233</v>
      </c>
    </row>
    <row r="108" customFormat="false" ht="15.8" hidden="false" customHeight="false" outlineLevel="0" collapsed="false">
      <c r="A108" s="20" t="s">
        <v>234</v>
      </c>
      <c r="E108" s="29" t="str">
        <f aca="false">IF(D108="?OLD","!!!","")</f>
        <v/>
      </c>
      <c r="F108" s="30" t="str">
        <f aca="false">IF(OR(E108="",E108="!!!"),"",IF(NOT(ISNA(VLOOKUP(E108,E$1:E107,1,FALSE()))),"OLD",IF(AND(E108&lt;&gt;"",E108&lt;&gt;"!!!"),"NEW","")))</f>
        <v/>
      </c>
      <c r="G108" s="31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32" t="str">
        <f aca="false">IF(J108&lt;&gt;1,"",IF(I108="SBJ","CB","?"))</f>
        <v/>
      </c>
      <c r="I108" s="33" t="str">
        <f aca="false">IF(OR(E108="",E108="!!!",F108="NEW"),"",INDEX(B$2:B107,-1+SUMPRODUCT(MAX(ROW(E$2:E107)*(E108=E$2:E107)))))</f>
        <v/>
      </c>
      <c r="J108" s="33" t="str">
        <f aca="true">IF(OR(E108="",E108="!!!",F108="NEW"),"",COUNTBLANK(OFFSET(A$1,,,SUMPRODUCT(MAX(ROW(E$2:E108)*(E108=E$2:E108)))))-COUNTBLANK(OFFSET(A$1,,,SUMPRODUCT(MAX(ROW(E$1:E107)*(E2=E$1:E107))))))</f>
        <v/>
      </c>
      <c r="K108" s="33" t="str">
        <f aca="false">IF(OR(E108="",E108="!!!",F108="NEW"),"",INDEX(J$1:J107,SUMPRODUCT(MAX(ROW(E$1:E107)*(E108=E$1:E107)))))</f>
        <v/>
      </c>
      <c r="L108" s="34"/>
    </row>
    <row r="109" customFormat="false" ht="15.8" hidden="false" customHeight="false" outlineLevel="0" collapsed="false">
      <c r="A109" s="20" t="s">
        <v>214</v>
      </c>
      <c r="E109" s="29" t="str">
        <f aca="false">IF(D109="?OLD","!!!","")</f>
        <v/>
      </c>
      <c r="F109" s="30" t="str">
        <f aca="false">IF(OR(E109="",E109="!!!"),"",IF(NOT(ISNA(VLOOKUP(E109,E$1:E108,1,FALSE()))),"OLD",IF(AND(E109&lt;&gt;"",E109&lt;&gt;"!!!"),"NEW","")))</f>
        <v/>
      </c>
      <c r="G109" s="31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32" t="str">
        <f aca="false">IF(J109&lt;&gt;1,"",IF(I109="SBJ","CB","?"))</f>
        <v/>
      </c>
      <c r="I109" s="33" t="str">
        <f aca="false">IF(OR(E109="",E109="!!!",F109="NEW"),"",INDEX(B$2:B108,-1+SUMPRODUCT(MAX(ROW(E$2:E108)*(E109=E$2:E108)))))</f>
        <v/>
      </c>
      <c r="J109" s="33" t="str">
        <f aca="true">IF(OR(E109="",E109="!!!",F109="NEW"),"",COUNTBLANK(OFFSET(A$1,,,SUMPRODUCT(MAX(ROW(E$2:E109)*(E109=E$2:E109)))))-COUNTBLANK(OFFSET(A$1,,,SUMPRODUCT(MAX(ROW(E$1:E108)*(E2=E$1:E108))))))</f>
        <v/>
      </c>
      <c r="K109" s="33" t="str">
        <f aca="false">IF(OR(E109="",E109="!!!",F109="NEW"),"",INDEX(J$1:J108,SUMPRODUCT(MAX(ROW(E$1:E108)*(E109=E$1:E108)))))</f>
        <v/>
      </c>
      <c r="L109" s="34"/>
    </row>
    <row r="110" customFormat="false" ht="15.8" hidden="false" customHeight="false" outlineLevel="0" collapsed="false">
      <c r="A110" s="20" t="s">
        <v>215</v>
      </c>
      <c r="E110" s="29" t="str">
        <f aca="false">IF(D110="?OLD","!!!","")</f>
        <v/>
      </c>
      <c r="F110" s="30" t="str">
        <f aca="false">IF(OR(E110="",E110="!!!"),"",IF(NOT(ISNA(VLOOKUP(E110,E$1:E109,1,FALSE()))),"OLD",IF(AND(E110&lt;&gt;"",E110&lt;&gt;"!!!"),"NEW","")))</f>
        <v/>
      </c>
      <c r="G110" s="31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32" t="str">
        <f aca="false">IF(J110&lt;&gt;1,"",IF(I110="SBJ","CB","?"))</f>
        <v/>
      </c>
      <c r="I110" s="33" t="str">
        <f aca="false">IF(OR(E110="",E110="!!!",F110="NEW"),"",INDEX(B$2:B109,-1+SUMPRODUCT(MAX(ROW(E$2:E109)*(E110=E$2:E109)))))</f>
        <v/>
      </c>
      <c r="J110" s="33" t="str">
        <f aca="true">IF(OR(E110="",E110="!!!",F110="NEW"),"",COUNTBLANK(OFFSET(A$1,,,SUMPRODUCT(MAX(ROW(E$2:E110)*(E110=E$2:E110)))))-COUNTBLANK(OFFSET(A$1,,,SUMPRODUCT(MAX(ROW(E$1:E109)*(E2=E$1:E109))))))</f>
        <v/>
      </c>
      <c r="K110" s="33" t="str">
        <f aca="false">IF(OR(E110="",E110="!!!",F110="NEW"),"",INDEX(J$1:J109,SUMPRODUCT(MAX(ROW(E$1:E109)*(E110=E$1:E109)))))</f>
        <v/>
      </c>
      <c r="L110" s="34"/>
    </row>
    <row r="111" customFormat="false" ht="15.8" hidden="false" customHeight="false" outlineLevel="0" collapsed="false">
      <c r="A111" s="20" t="s">
        <v>232</v>
      </c>
      <c r="B111" s="21" t="s">
        <v>174</v>
      </c>
      <c r="C111" s="21" t="s">
        <v>160</v>
      </c>
      <c r="D111" s="21" t="s">
        <v>148</v>
      </c>
      <c r="E111" s="29" t="str">
        <f aca="false">IF(D111="?OLD","!!!","")</f>
        <v>!!!</v>
      </c>
      <c r="F111" s="30" t="str">
        <f aca="false">IF(OR(E111="",E111="!!!"),"",IF(NOT(ISNA(VLOOKUP(E111,E$1:E110,1,FALSE()))),"OLD",IF(AND(E111&lt;&gt;"",E111&lt;&gt;"!!!"),"NEW","")))</f>
        <v/>
      </c>
      <c r="G111" s="31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32" t="str">
        <f aca="false">IF(J111&lt;&gt;1,"",IF(I111="SBJ","CB","?"))</f>
        <v/>
      </c>
      <c r="I111" s="33" t="str">
        <f aca="false">IF(OR(E111="",E111="!!!",F111="NEW"),"",INDEX(B$2:B110,-1+SUMPRODUCT(MAX(ROW(E$2:E110)*(E111=E$2:E110)))))</f>
        <v/>
      </c>
      <c r="J111" s="33" t="str">
        <f aca="true">IF(OR(E111="",E111="!!!",F111="NEW"),"",COUNTBLANK(OFFSET(A$1,,,SUMPRODUCT(MAX(ROW(E$2:E111)*(E111=E$2:E111)))))-COUNTBLANK(OFFSET(A$1,,,SUMPRODUCT(MAX(ROW(E$1:E110)*(E2=E$1:E110))))))</f>
        <v/>
      </c>
      <c r="K111" s="33" t="str">
        <f aca="false">IF(OR(E111="",E111="!!!",F111="NEW"),"",INDEX(J$1:J110,SUMPRODUCT(MAX(ROW(E$1:E110)*(E111=E$1:E110)))))</f>
        <v/>
      </c>
      <c r="L111" s="34"/>
    </row>
    <row r="112" customFormat="false" ht="15.8" hidden="false" customHeight="false" outlineLevel="0" collapsed="false">
      <c r="A112" s="20" t="s">
        <v>176</v>
      </c>
      <c r="E112" s="29" t="str">
        <f aca="false">IF(D112="?OLD","!!!","")</f>
        <v/>
      </c>
      <c r="F112" s="30" t="str">
        <f aca="false">IF(OR(E112="",E112="!!!"),"",IF(NOT(ISNA(VLOOKUP(E112,E$1:E111,1,FALSE()))),"OLD",IF(AND(E112&lt;&gt;"",E112&lt;&gt;"!!!"),"NEW","")))</f>
        <v/>
      </c>
      <c r="G112" s="31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32" t="str">
        <f aca="false">IF(J112&lt;&gt;1,"",IF(I112="SBJ","CB","?"))</f>
        <v/>
      </c>
      <c r="I112" s="33" t="str">
        <f aca="false">IF(OR(E112="",E112="!!!",F112="NEW"),"",INDEX(B$2:B111,-1+SUMPRODUCT(MAX(ROW(E$2:E111)*(E112=E$2:E111)))))</f>
        <v/>
      </c>
      <c r="J112" s="33" t="str">
        <f aca="true">IF(OR(E112="",E112="!!!",F112="NEW"),"",COUNTBLANK(OFFSET(A$1,,,SUMPRODUCT(MAX(ROW(E$2:E112)*(E112=E$2:E112)))))-COUNTBLANK(OFFSET(A$1,,,SUMPRODUCT(MAX(ROW(E$1:E111)*(E2=E$1:E111))))))</f>
        <v/>
      </c>
      <c r="K112" s="33" t="str">
        <f aca="false">IF(OR(E112="",E112="!!!",F112="NEW"),"",INDEX(J$1:J111,SUMPRODUCT(MAX(ROW(E$1:E111)*(E112=E$1:E111)))))</f>
        <v/>
      </c>
      <c r="L112" s="34"/>
    </row>
    <row r="113" customFormat="false" ht="15.8" hidden="false" customHeight="false" outlineLevel="0" collapsed="false">
      <c r="A113" s="20" t="s">
        <v>210</v>
      </c>
      <c r="B113" s="21" t="s">
        <v>146</v>
      </c>
      <c r="C113" s="21" t="s">
        <v>160</v>
      </c>
      <c r="D113" s="21" t="s">
        <v>148</v>
      </c>
      <c r="E113" s="29" t="str">
        <f aca="false">IF(D113="?OLD","!!!","")</f>
        <v>!!!</v>
      </c>
      <c r="F113" s="30" t="str">
        <f aca="false">IF(OR(E113="",E113="!!!"),"",IF(NOT(ISNA(VLOOKUP(E113,E$1:E112,1,FALSE()))),"OLD",IF(AND(E113&lt;&gt;"",E113&lt;&gt;"!!!"),"NEW","")))</f>
        <v/>
      </c>
      <c r="G113" s="31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32" t="str">
        <f aca="false">IF(J113&lt;&gt;1,"",IF(I113="SBJ","CB","?"))</f>
        <v/>
      </c>
      <c r="I113" s="33" t="str">
        <f aca="false">IF(OR(E113="",E113="!!!",F113="NEW"),"",INDEX(B$2:B112,-1+SUMPRODUCT(MAX(ROW(E$2:E112)*(E113=E$2:E112)))))</f>
        <v/>
      </c>
      <c r="J113" s="33" t="str">
        <f aca="true">IF(OR(E113="",E113="!!!",F113="NEW"),"",COUNTBLANK(OFFSET(A$1,,,SUMPRODUCT(MAX(ROW(E$2:E113)*(E113=E$2:E113)))))-COUNTBLANK(OFFSET(A$1,,,SUMPRODUCT(MAX(ROW(E$1:E112)*(E2=E$1:E112))))))</f>
        <v/>
      </c>
      <c r="K113" s="33" t="str">
        <f aca="false">IF(OR(E113="",E113="!!!",F113="NEW"),"",INDEX(J$1:J112,SUMPRODUCT(MAX(ROW(E$1:E112)*(E113=E$1:E112)))))</f>
        <v/>
      </c>
      <c r="L113" s="34"/>
    </row>
    <row r="114" customFormat="false" ht="15.8" hidden="false" customHeight="false" outlineLevel="0" collapsed="false">
      <c r="A114" s="20" t="s">
        <v>216</v>
      </c>
      <c r="E114" s="29" t="str">
        <f aca="false">IF(D114="?OLD","!!!","")</f>
        <v/>
      </c>
      <c r="F114" s="30" t="str">
        <f aca="false">IF(OR(E114="",E114="!!!"),"",IF(NOT(ISNA(VLOOKUP(E114,E$1:E113,1,FALSE()))),"OLD",IF(AND(E114&lt;&gt;"",E114&lt;&gt;"!!!"),"NEW","")))</f>
        <v/>
      </c>
      <c r="G114" s="31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32" t="str">
        <f aca="false">IF(J114&lt;&gt;1,"",IF(I114="SBJ","CB","?"))</f>
        <v/>
      </c>
      <c r="I114" s="33" t="str">
        <f aca="false">IF(OR(E114="",E114="!!!",F114="NEW"),"",INDEX(B$2:B113,-1+SUMPRODUCT(MAX(ROW(E$2:E113)*(E114=E$2:E113)))))</f>
        <v/>
      </c>
      <c r="J114" s="33" t="str">
        <f aca="true">IF(OR(E114="",E114="!!!",F114="NEW"),"",COUNTBLANK(OFFSET(A$1,,,SUMPRODUCT(MAX(ROW(E$2:E114)*(E114=E$2:E114)))))-COUNTBLANK(OFFSET(A$1,,,SUMPRODUCT(MAX(ROW(E$1:E113)*(E2=E$1:E113))))))</f>
        <v/>
      </c>
      <c r="K114" s="33" t="str">
        <f aca="false">IF(OR(E114="",E114="!!!",F114="NEW"),"",INDEX(J$1:J113,SUMPRODUCT(MAX(ROW(E$1:E113)*(E114=E$1:E113)))))</f>
        <v/>
      </c>
      <c r="L114" s="34"/>
    </row>
    <row r="115" customFormat="false" ht="15.8" hidden="false" customHeight="false" outlineLevel="0" collapsed="false">
      <c r="A115" s="20" t="s">
        <v>217</v>
      </c>
      <c r="E115" s="29" t="str">
        <f aca="false">IF(D115="?OLD","!!!","")</f>
        <v/>
      </c>
      <c r="F115" s="30" t="str">
        <f aca="false">IF(OR(E115="",E115="!!!"),"",IF(NOT(ISNA(VLOOKUP(E115,E$1:E114,1,FALSE()))),"OLD",IF(AND(E115&lt;&gt;"",E115&lt;&gt;"!!!"),"NEW","")))</f>
        <v/>
      </c>
      <c r="G115" s="31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32" t="str">
        <f aca="false">IF(J115&lt;&gt;1,"",IF(I115="SBJ","CB","?"))</f>
        <v/>
      </c>
      <c r="I115" s="33" t="str">
        <f aca="false">IF(OR(E115="",E115="!!!",F115="NEW"),"",INDEX(B$2:B114,-1+SUMPRODUCT(MAX(ROW(E$2:E114)*(E115=E$2:E114)))))</f>
        <v/>
      </c>
      <c r="J115" s="33" t="str">
        <f aca="true">IF(OR(E115="",E115="!!!",F115="NEW"),"",COUNTBLANK(OFFSET(A$1,,,SUMPRODUCT(MAX(ROW(E$2:E115)*(E115=E$2:E115)))))-COUNTBLANK(OFFSET(A$1,,,SUMPRODUCT(MAX(ROW(E$1:E114)*(E2=E$1:E114))))))</f>
        <v/>
      </c>
      <c r="K115" s="33" t="str">
        <f aca="false">IF(OR(E115="",E115="!!!",F115="NEW"),"",INDEX(J$1:J114,SUMPRODUCT(MAX(ROW(E$1:E114)*(E115=E$1:E114)))))</f>
        <v/>
      </c>
      <c r="L115" s="34"/>
    </row>
    <row r="116" customFormat="false" ht="15.8" hidden="false" customHeight="false" outlineLevel="0" collapsed="false">
      <c r="A116" s="20" t="s">
        <v>235</v>
      </c>
      <c r="E116" s="29" t="str">
        <f aca="false">IF(D116="?OLD","!!!","")</f>
        <v/>
      </c>
      <c r="F116" s="30" t="str">
        <f aca="false">IF(OR(E116="",E116="!!!"),"",IF(NOT(ISNA(VLOOKUP(E116,E$1:E115,1,FALSE()))),"OLD",IF(AND(E116&lt;&gt;"",E116&lt;&gt;"!!!"),"NEW","")))</f>
        <v/>
      </c>
      <c r="G116" s="31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32" t="str">
        <f aca="false">IF(J116&lt;&gt;1,"",IF(I116="SBJ","CB","?"))</f>
        <v/>
      </c>
      <c r="I116" s="33" t="str">
        <f aca="false">IF(OR(E116="",E116="!!!",F116="NEW"),"",INDEX(B$2:B115,-1+SUMPRODUCT(MAX(ROW(E$2:E115)*(E116=E$2:E115)))))</f>
        <v/>
      </c>
      <c r="J116" s="33" t="str">
        <f aca="true">IF(OR(E116="",E116="!!!",F116="NEW"),"",COUNTBLANK(OFFSET(A$1,,,SUMPRODUCT(MAX(ROW(E$2:E116)*(E116=E$2:E116)))))-COUNTBLANK(OFFSET(A$1,,,SUMPRODUCT(MAX(ROW(E$1:E115)*(E2=E$1:E115))))))</f>
        <v/>
      </c>
      <c r="K116" s="33" t="str">
        <f aca="false">IF(OR(E116="",E116="!!!",F116="NEW"),"",INDEX(J$1:J115,SUMPRODUCT(MAX(ROW(E$1:E115)*(E116=E$1:E115)))))</f>
        <v/>
      </c>
      <c r="L116" s="34"/>
    </row>
    <row r="117" customFormat="false" ht="15.8" hidden="false" customHeight="false" outlineLevel="0" collapsed="false">
      <c r="A117" s="20" t="s">
        <v>199</v>
      </c>
      <c r="B117" s="21" t="s">
        <v>153</v>
      </c>
      <c r="C117" s="21" t="s">
        <v>200</v>
      </c>
      <c r="E117" s="29" t="str">
        <f aca="false">IF(D117="?OLD","!!!","")</f>
        <v/>
      </c>
      <c r="F117" s="30" t="str">
        <f aca="false">IF(OR(E117="",E117="!!!"),"",IF(NOT(ISNA(VLOOKUP(E117,E$1:E116,1,FALSE()))),"OLD",IF(AND(E117&lt;&gt;"",E117&lt;&gt;"!!!"),"NEW","")))</f>
        <v/>
      </c>
      <c r="G117" s="31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32" t="str">
        <f aca="false">IF(J117&lt;&gt;1,"",IF(I117="SBJ","CB","?"))</f>
        <v/>
      </c>
      <c r="I117" s="33" t="str">
        <f aca="false">IF(OR(E117="",E117="!!!",F117="NEW"),"",INDEX(B$2:B116,-1+SUMPRODUCT(MAX(ROW(E$2:E116)*(E117=E$2:E116)))))</f>
        <v/>
      </c>
      <c r="J117" s="33" t="str">
        <f aca="true">IF(OR(E117="",E117="!!!",F117="NEW"),"",COUNTBLANK(OFFSET(A$1,,,SUMPRODUCT(MAX(ROW(E$2:E117)*(E117=E$2:E117)))))-COUNTBLANK(OFFSET(A$1,,,SUMPRODUCT(MAX(ROW(E$1:E116)*(E2=E$1:E116))))))</f>
        <v/>
      </c>
      <c r="K117" s="33" t="str">
        <f aca="false">IF(OR(E117="",E117="!!!",F117="NEW"),"",INDEX(J$1:J116,SUMPRODUCT(MAX(ROW(E$1:E116)*(E117=E$1:E116)))))</f>
        <v/>
      </c>
      <c r="L117" s="34"/>
    </row>
    <row r="118" customFormat="false" ht="15.8" hidden="false" customHeight="false" outlineLevel="0" collapsed="false">
      <c r="A118" s="20" t="s">
        <v>187</v>
      </c>
      <c r="E118" s="29" t="str">
        <f aca="false">IF(D118="?OLD","!!!","")</f>
        <v/>
      </c>
      <c r="F118" s="30" t="str">
        <f aca="false">IF(OR(E118="",E118="!!!"),"",IF(NOT(ISNA(VLOOKUP(E118,E$1:E117,1,FALSE()))),"OLD",IF(AND(E118&lt;&gt;"",E118&lt;&gt;"!!!"),"NEW","")))</f>
        <v/>
      </c>
      <c r="G118" s="31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32" t="str">
        <f aca="false">IF(J118&lt;&gt;1,"",IF(I118="SBJ","CB","?"))</f>
        <v/>
      </c>
      <c r="I118" s="33" t="str">
        <f aca="false">IF(OR(E118="",E118="!!!",F118="NEW"),"",INDEX(B$2:B117,-1+SUMPRODUCT(MAX(ROW(E$2:E117)*(E118=E$2:E117)))))</f>
        <v/>
      </c>
      <c r="J118" s="33" t="str">
        <f aca="true">IF(OR(E118="",E118="!!!",F118="NEW"),"",COUNTBLANK(OFFSET(A$1,,,SUMPRODUCT(MAX(ROW(E$2:E118)*(E118=E$2:E118)))))-COUNTBLANK(OFFSET(A$1,,,SUMPRODUCT(MAX(ROW(E$1:E117)*(E2=E$1:E117))))))</f>
        <v/>
      </c>
      <c r="K118" s="33" t="str">
        <f aca="false">IF(OR(E118="",E118="!!!",F118="NEW"),"",INDEX(J$1:J117,SUMPRODUCT(MAX(ROW(E$1:E117)*(E118=E$1:E117)))))</f>
        <v/>
      </c>
      <c r="L118" s="34"/>
    </row>
    <row r="119" customFormat="false" ht="15.8" hidden="false" customHeight="false" outlineLevel="0" collapsed="false">
      <c r="A119" s="20" t="s">
        <v>201</v>
      </c>
      <c r="E119" s="29" t="str">
        <f aca="false">IF(D119="?OLD","!!!","")</f>
        <v/>
      </c>
      <c r="F119" s="30" t="str">
        <f aca="false">IF(OR(E119="",E119="!!!"),"",IF(NOT(ISNA(VLOOKUP(E119,E$1:E118,1,FALSE()))),"OLD",IF(AND(E119&lt;&gt;"",E119&lt;&gt;"!!!"),"NEW","")))</f>
        <v/>
      </c>
      <c r="G119" s="31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32" t="str">
        <f aca="false">IF(J119&lt;&gt;1,"",IF(I119="SBJ","CB","?"))</f>
        <v/>
      </c>
      <c r="I119" s="33" t="str">
        <f aca="false">IF(OR(E119="",E119="!!!",F119="NEW"),"",INDEX(B$2:B118,-1+SUMPRODUCT(MAX(ROW(E$2:E118)*(E119=E$2:E118)))))</f>
        <v/>
      </c>
      <c r="J119" s="33" t="str">
        <f aca="true">IF(OR(E119="",E119="!!!",F119="NEW"),"",COUNTBLANK(OFFSET(A$1,,,SUMPRODUCT(MAX(ROW(E$2:E119)*(E119=E$2:E119)))))-COUNTBLANK(OFFSET(A$1,,,SUMPRODUCT(MAX(ROW(E$1:E118)*(E2=E$1:E118))))))</f>
        <v/>
      </c>
      <c r="K119" s="33" t="str">
        <f aca="false">IF(OR(E119="",E119="!!!",F119="NEW"),"",INDEX(J$1:J118,SUMPRODUCT(MAX(ROW(E$1:E118)*(E119=E$1:E118)))))</f>
        <v/>
      </c>
      <c r="L119" s="34"/>
    </row>
    <row r="120" customFormat="false" ht="15.8" hidden="false" customHeight="false" outlineLevel="0" collapsed="false">
      <c r="A120" s="20" t="s">
        <v>219</v>
      </c>
      <c r="B120" s="21" t="s">
        <v>174</v>
      </c>
      <c r="C120" s="21" t="s">
        <v>186</v>
      </c>
      <c r="E120" s="29" t="str">
        <f aca="false">IF(D120="?OLD","!!!","")</f>
        <v/>
      </c>
      <c r="F120" s="30" t="str">
        <f aca="false">IF(OR(E120="",E120="!!!"),"",IF(NOT(ISNA(VLOOKUP(E120,E$1:E119,1,FALSE()))),"OLD",IF(AND(E120&lt;&gt;"",E120&lt;&gt;"!!!"),"NEW","")))</f>
        <v/>
      </c>
      <c r="G120" s="31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32" t="str">
        <f aca="false">IF(J120&lt;&gt;1,"",IF(I120="SBJ","CB","?"))</f>
        <v/>
      </c>
      <c r="I120" s="33" t="str">
        <f aca="false">IF(OR(E120="",E120="!!!",F120="NEW"),"",INDEX(B$2:B119,-1+SUMPRODUCT(MAX(ROW(E$2:E119)*(E120=E$2:E119)))))</f>
        <v/>
      </c>
      <c r="J120" s="33" t="str">
        <f aca="true">IF(OR(E120="",E120="!!!",F120="NEW"),"",COUNTBLANK(OFFSET(A$1,,,SUMPRODUCT(MAX(ROW(E$2:E120)*(E120=E$2:E120)))))-COUNTBLANK(OFFSET(A$1,,,SUMPRODUCT(MAX(ROW(E$1:E119)*(E2=E$1:E119))))))</f>
        <v/>
      </c>
      <c r="K120" s="33" t="str">
        <f aca="false">IF(OR(E120="",E120="!!!",F120="NEW"),"",INDEX(J$1:J119,SUMPRODUCT(MAX(ROW(E$1:E119)*(E120=E$1:E119)))))</f>
        <v/>
      </c>
      <c r="L120" s="34"/>
    </row>
    <row r="121" customFormat="false" ht="15.8" hidden="false" customHeight="false" outlineLevel="0" collapsed="false">
      <c r="A121" s="20" t="s">
        <v>187</v>
      </c>
      <c r="E121" s="29" t="str">
        <f aca="false">IF(D121="?OLD","!!!","")</f>
        <v/>
      </c>
      <c r="F121" s="30" t="str">
        <f aca="false">IF(OR(E121="",E121="!!!"),"",IF(NOT(ISNA(VLOOKUP(E121,E$1:E120,1,FALSE()))),"OLD",IF(AND(E121&lt;&gt;"",E121&lt;&gt;"!!!"),"NEW","")))</f>
        <v/>
      </c>
      <c r="G121" s="31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32" t="str">
        <f aca="false">IF(J121&lt;&gt;1,"",IF(I121="SBJ","CB","?"))</f>
        <v/>
      </c>
      <c r="I121" s="33" t="str">
        <f aca="false">IF(OR(E121="",E121="!!!",F121="NEW"),"",INDEX(B$2:B120,-1+SUMPRODUCT(MAX(ROW(E$2:E120)*(E121=E$2:E120)))))</f>
        <v/>
      </c>
      <c r="J121" s="33" t="str">
        <f aca="true">IF(OR(E121="",E121="!!!",F121="NEW"),"",COUNTBLANK(OFFSET(A$1,,,SUMPRODUCT(MAX(ROW(E$2:E121)*(E121=E$2:E121)))))-COUNTBLANK(OFFSET(A$1,,,SUMPRODUCT(MAX(ROW(E$1:E120)*(E2=E$1:E120))))))</f>
        <v/>
      </c>
      <c r="K121" s="33" t="str">
        <f aca="false">IF(OR(E121="",E121="!!!",F121="NEW"),"",INDEX(J$1:J120,SUMPRODUCT(MAX(ROW(E$1:E120)*(E121=E$1:E120)))))</f>
        <v/>
      </c>
      <c r="L121" s="34"/>
    </row>
    <row r="122" customFormat="false" ht="15.8" hidden="false" customHeight="false" outlineLevel="0" collapsed="false">
      <c r="A122" s="20" t="s">
        <v>220</v>
      </c>
      <c r="B122" s="21" t="s">
        <v>170</v>
      </c>
      <c r="C122" s="21" t="s">
        <v>186</v>
      </c>
      <c r="E122" s="29" t="str">
        <f aca="false">IF(D122="?OLD","!!!","")</f>
        <v/>
      </c>
      <c r="F122" s="30" t="str">
        <f aca="false">IF(OR(E122="",E122="!!!"),"",IF(NOT(ISNA(VLOOKUP(E122,E$1:E121,1,FALSE()))),"OLD",IF(AND(E122&lt;&gt;"",E122&lt;&gt;"!!!"),"NEW","")))</f>
        <v/>
      </c>
      <c r="G122" s="31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32" t="str">
        <f aca="false">IF(J122&lt;&gt;1,"",IF(I122="SBJ","CB","?"))</f>
        <v/>
      </c>
      <c r="I122" s="33" t="str">
        <f aca="false">IF(OR(E122="",E122="!!!",F122="NEW"),"",INDEX(B$2:B121,-1+SUMPRODUCT(MAX(ROW(E$2:E121)*(E122=E$2:E121)))))</f>
        <v/>
      </c>
      <c r="J122" s="33" t="str">
        <f aca="true">IF(OR(E122="",E122="!!!",F122="NEW"),"",COUNTBLANK(OFFSET(A$1,,,SUMPRODUCT(MAX(ROW(E$2:E122)*(E122=E$2:E122)))))-COUNTBLANK(OFFSET(A$1,,,SUMPRODUCT(MAX(ROW(E$1:E121)*(E2=E$1:E121))))))</f>
        <v/>
      </c>
      <c r="K122" s="33" t="str">
        <f aca="false">IF(OR(E122="",E122="!!!",F122="NEW"),"",INDEX(J$1:J121,SUMPRODUCT(MAX(ROW(E$1:E121)*(E122=E$1:E121)))))</f>
        <v/>
      </c>
      <c r="L122" s="34"/>
    </row>
    <row r="123" customFormat="false" ht="15.8" hidden="false" customHeight="false" outlineLevel="0" collapsed="false">
      <c r="A123" s="20"/>
    </row>
    <row r="124" customFormat="false" ht="15.8" hidden="false" customHeight="false" outlineLevel="0" collapsed="false">
      <c r="A124" s="20" t="s">
        <v>236</v>
      </c>
    </row>
    <row r="125" customFormat="false" ht="15.8" hidden="false" customHeight="false" outlineLevel="0" collapsed="false">
      <c r="A125" s="20" t="s">
        <v>222</v>
      </c>
      <c r="E125" s="29" t="str">
        <f aca="false">IF(D125="?OLD","!!!","")</f>
        <v/>
      </c>
      <c r="F125" s="30" t="str">
        <f aca="false">IF(OR(E125="",E125="!!!"),"",IF(NOT(ISNA(VLOOKUP(E125,E$1:E124,1,FALSE()))),"OLD",IF(AND(E125&lt;&gt;"",E125&lt;&gt;"!!!"),"NEW","")))</f>
        <v/>
      </c>
      <c r="G125" s="31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32" t="str">
        <f aca="false">IF(J125&lt;&gt;1,"",IF(I125="SBJ","CB","?"))</f>
        <v/>
      </c>
      <c r="I125" s="33" t="str">
        <f aca="false">IF(OR(E125="",E125="!!!",F125="NEW"),"",INDEX(B$2:B124,-1+SUMPRODUCT(MAX(ROW(E$2:E124)*(E125=E$2:E124)))))</f>
        <v/>
      </c>
      <c r="J125" s="33" t="str">
        <f aca="true">IF(OR(E125="",E125="!!!",F125="NEW"),"",COUNTBLANK(OFFSET(A$1,,,SUMPRODUCT(MAX(ROW(E$2:E125)*(E125=E$2:E125)))))-COUNTBLANK(OFFSET(A$1,,,SUMPRODUCT(MAX(ROW(E$1:E124)*(E2=E$1:E124))))))</f>
        <v/>
      </c>
      <c r="K125" s="33" t="str">
        <f aca="false">IF(OR(E125="",E125="!!!",F125="NEW"),"",INDEX(J$1:J124,SUMPRODUCT(MAX(ROW(E$1:E124)*(E125=E$1:E124)))))</f>
        <v/>
      </c>
      <c r="L125" s="34"/>
    </row>
    <row r="126" customFormat="false" ht="15.8" hidden="false" customHeight="false" outlineLevel="0" collapsed="false">
      <c r="A126" s="20" t="s">
        <v>223</v>
      </c>
      <c r="E126" s="29" t="str">
        <f aca="false">IF(D126="?OLD","!!!","")</f>
        <v/>
      </c>
      <c r="F126" s="30" t="str">
        <f aca="false">IF(OR(E126="",E126="!!!"),"",IF(NOT(ISNA(VLOOKUP(E126,E$1:E125,1,FALSE()))),"OLD",IF(AND(E126&lt;&gt;"",E126&lt;&gt;"!!!"),"NEW","")))</f>
        <v/>
      </c>
      <c r="G126" s="31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32" t="str">
        <f aca="false">IF(J126&lt;&gt;1,"",IF(I126="SBJ","CB","?"))</f>
        <v/>
      </c>
      <c r="I126" s="33" t="str">
        <f aca="false">IF(OR(E126="",E126="!!!",F126="NEW"),"",INDEX(B$2:B125,-1+SUMPRODUCT(MAX(ROW(E$2:E125)*(E126=E$2:E125)))))</f>
        <v/>
      </c>
      <c r="J126" s="33" t="str">
        <f aca="true">IF(OR(E126="",E126="!!!",F126="NEW"),"",COUNTBLANK(OFFSET(A$1,,,SUMPRODUCT(MAX(ROW(E$2:E126)*(E126=E$2:E126)))))-COUNTBLANK(OFFSET(A$1,,,SUMPRODUCT(MAX(ROW(E$1:E125)*(E2=E$1:E125))))))</f>
        <v/>
      </c>
      <c r="K126" s="33" t="str">
        <f aca="false">IF(OR(E126="",E126="!!!",F126="NEW"),"",INDEX(J$1:J125,SUMPRODUCT(MAX(ROW(E$1:E125)*(E126=E$1:E125)))))</f>
        <v/>
      </c>
      <c r="L126" s="34"/>
    </row>
    <row r="127" customFormat="false" ht="15.8" hidden="false" customHeight="false" outlineLevel="0" collapsed="false">
      <c r="A127" s="20" t="s">
        <v>224</v>
      </c>
      <c r="B127" s="21" t="s">
        <v>168</v>
      </c>
      <c r="C127" s="21" t="s">
        <v>154</v>
      </c>
      <c r="D127" s="21" t="s">
        <v>148</v>
      </c>
      <c r="E127" s="29" t="str">
        <f aca="false">IF(D127="?OLD","!!!","")</f>
        <v>!!!</v>
      </c>
      <c r="F127" s="30" t="str">
        <f aca="false">IF(OR(E127="",E127="!!!"),"",IF(NOT(ISNA(VLOOKUP(E127,E$1:E126,1,FALSE()))),"OLD",IF(AND(E127&lt;&gt;"",E127&lt;&gt;"!!!"),"NEW","")))</f>
        <v/>
      </c>
      <c r="G127" s="31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32" t="str">
        <f aca="false">IF(J127&lt;&gt;1,"",IF(I127="SBJ","CB","?"))</f>
        <v/>
      </c>
      <c r="I127" s="33" t="str">
        <f aca="false">IF(OR(E127="",E127="!!!",F127="NEW"),"",INDEX(B$2:B126,-1+SUMPRODUCT(MAX(ROW(E$2:E126)*(E127=E$2:E126)))))</f>
        <v/>
      </c>
      <c r="J127" s="33" t="str">
        <f aca="true">IF(OR(E127="",E127="!!!",F127="NEW"),"",COUNTBLANK(OFFSET(A$1,,,SUMPRODUCT(MAX(ROW(E$2:E127)*(E127=E$2:E127)))))-COUNTBLANK(OFFSET(A$1,,,SUMPRODUCT(MAX(ROW(E$1:E126)*(E2=E$1:E126))))))</f>
        <v/>
      </c>
      <c r="K127" s="33" t="str">
        <f aca="false">IF(OR(E127="",E127="!!!",F127="NEW"),"",INDEX(J$1:J126,SUMPRODUCT(MAX(ROW(E$1:E126)*(E127=E$1:E126)))))</f>
        <v/>
      </c>
      <c r="L127" s="34"/>
    </row>
    <row r="128" customFormat="false" ht="15.8" hidden="false" customHeight="false" outlineLevel="0" collapsed="false">
      <c r="A128" s="20" t="s">
        <v>155</v>
      </c>
      <c r="E128" s="29" t="str">
        <f aca="false">IF(D128="?OLD","!!!","")</f>
        <v/>
      </c>
      <c r="F128" s="30" t="str">
        <f aca="false">IF(OR(E128="",E128="!!!"),"",IF(NOT(ISNA(VLOOKUP(E128,E$1:E127,1,FALSE()))),"OLD",IF(AND(E128&lt;&gt;"",E128&lt;&gt;"!!!"),"NEW","")))</f>
        <v/>
      </c>
      <c r="G128" s="31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32" t="str">
        <f aca="false">IF(J128&lt;&gt;1,"",IF(I128="SBJ","CB","?"))</f>
        <v/>
      </c>
      <c r="I128" s="33" t="str">
        <f aca="false">IF(OR(E128="",E128="!!!",F128="NEW"),"",INDEX(B$2:B127,-1+SUMPRODUCT(MAX(ROW(E$2:E127)*(E128=E$2:E127)))))</f>
        <v/>
      </c>
      <c r="J128" s="33" t="str">
        <f aca="true">IF(OR(E128="",E128="!!!",F128="NEW"),"",COUNTBLANK(OFFSET(A$1,,,SUMPRODUCT(MAX(ROW(E$2:E128)*(E128=E$2:E128)))))-COUNTBLANK(OFFSET(A$1,,,SUMPRODUCT(MAX(ROW(E$1:E127)*(E2=E$1:E127))))))</f>
        <v/>
      </c>
      <c r="K128" s="33" t="str">
        <f aca="false">IF(OR(E128="",E128="!!!",F128="NEW"),"",INDEX(J$1:J127,SUMPRODUCT(MAX(ROW(E$1:E127)*(E128=E$1:E127)))))</f>
        <v/>
      </c>
      <c r="L128" s="34"/>
    </row>
    <row r="129" customFormat="false" ht="15.8" hidden="false" customHeight="false" outlineLevel="0" collapsed="false">
      <c r="A129" s="20" t="s">
        <v>210</v>
      </c>
      <c r="B129" s="21" t="s">
        <v>170</v>
      </c>
      <c r="C129" s="21" t="s">
        <v>160</v>
      </c>
      <c r="D129" s="21" t="s">
        <v>148</v>
      </c>
      <c r="E129" s="29" t="str">
        <f aca="false">IF(D129="?OLD","!!!","")</f>
        <v>!!!</v>
      </c>
      <c r="F129" s="30" t="str">
        <f aca="false">IF(OR(E129="",E129="!!!"),"",IF(NOT(ISNA(VLOOKUP(E129,E$1:E128,1,FALSE()))),"OLD",IF(AND(E129&lt;&gt;"",E129&lt;&gt;"!!!"),"NEW","")))</f>
        <v/>
      </c>
      <c r="G129" s="31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32" t="str">
        <f aca="false">IF(J129&lt;&gt;1,"",IF(I129="SBJ","CB","?"))</f>
        <v/>
      </c>
      <c r="I129" s="33" t="str">
        <f aca="false">IF(OR(E129="",E129="!!!",F129="NEW"),"",INDEX(B$2:B128,-1+SUMPRODUCT(MAX(ROW(E$2:E128)*(E129=E$2:E128)))))</f>
        <v/>
      </c>
      <c r="J129" s="33" t="str">
        <f aca="true">IF(OR(E129="",E129="!!!",F129="NEW"),"",COUNTBLANK(OFFSET(A$1,,,SUMPRODUCT(MAX(ROW(E$2:E129)*(E129=E$2:E129)))))-COUNTBLANK(OFFSET(A$1,,,SUMPRODUCT(MAX(ROW(E$1:E128)*(E2=E$1:E128))))))</f>
        <v/>
      </c>
      <c r="K129" s="33" t="str">
        <f aca="false">IF(OR(E129="",E129="!!!",F129="NEW"),"",INDEX(J$1:J128,SUMPRODUCT(MAX(ROW(E$1:E128)*(E129=E$1:E128)))))</f>
        <v/>
      </c>
      <c r="L129" s="34"/>
    </row>
    <row r="130" customFormat="false" ht="15.8" hidden="false" customHeight="false" outlineLevel="0" collapsed="false">
      <c r="A130" s="20" t="s">
        <v>225</v>
      </c>
      <c r="E130" s="29" t="str">
        <f aca="false">IF(D130="?OLD","!!!","")</f>
        <v/>
      </c>
      <c r="F130" s="30" t="str">
        <f aca="false">IF(OR(E130="",E130="!!!"),"",IF(NOT(ISNA(VLOOKUP(E130,E$1:E129,1,FALSE()))),"OLD",IF(AND(E130&lt;&gt;"",E130&lt;&gt;"!!!"),"NEW","")))</f>
        <v/>
      </c>
      <c r="G130" s="31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32" t="str">
        <f aca="false">IF(J130&lt;&gt;1,"",IF(I130="SBJ","CB","?"))</f>
        <v/>
      </c>
      <c r="I130" s="33" t="str">
        <f aca="false">IF(OR(E130="",E130="!!!",F130="NEW"),"",INDEX(B$2:B129,-1+SUMPRODUCT(MAX(ROW(E$2:E129)*(E130=E$2:E129)))))</f>
        <v/>
      </c>
      <c r="J130" s="33" t="str">
        <f aca="true">IF(OR(E130="",E130="!!!",F130="NEW"),"",COUNTBLANK(OFFSET(A$1,,,SUMPRODUCT(MAX(ROW(E$2:E130)*(E130=E$2:E130)))))-COUNTBLANK(OFFSET(A$1,,,SUMPRODUCT(MAX(ROW(E$1:E129)*(E2=E$1:E129))))))</f>
        <v/>
      </c>
      <c r="K130" s="33" t="str">
        <f aca="false">IF(OR(E130="",E130="!!!",F130="NEW"),"",INDEX(J$1:J129,SUMPRODUCT(MAX(ROW(E$1:E129)*(E130=E$1:E129)))))</f>
        <v/>
      </c>
      <c r="L130" s="34"/>
    </row>
    <row r="131" customFormat="false" ht="15.8" hidden="false" customHeight="false" outlineLevel="0" collapsed="false">
      <c r="A131" s="20" t="s">
        <v>155</v>
      </c>
      <c r="E131" s="29" t="str">
        <f aca="false">IF(D131="?OLD","!!!","")</f>
        <v/>
      </c>
      <c r="F131" s="30" t="str">
        <f aca="false">IF(OR(E131="",E131="!!!"),"",IF(NOT(ISNA(VLOOKUP(E131,E$1:E130,1,FALSE()))),"OLD",IF(AND(E131&lt;&gt;"",E131&lt;&gt;"!!!"),"NEW","")))</f>
        <v/>
      </c>
      <c r="G131" s="31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32" t="str">
        <f aca="false">IF(J131&lt;&gt;1,"",IF(I131="SBJ","CB","?"))</f>
        <v/>
      </c>
      <c r="I131" s="33" t="str">
        <f aca="false">IF(OR(E131="",E131="!!!",F131="NEW"),"",INDEX(B$2:B130,-1+SUMPRODUCT(MAX(ROW(E$2:E130)*(E131=E$2:E130)))))</f>
        <v/>
      </c>
      <c r="J131" s="33" t="str">
        <f aca="true">IF(OR(E131="",E131="!!!",F131="NEW"),"",COUNTBLANK(OFFSET(A$1,,,SUMPRODUCT(MAX(ROW(E$2:E131)*(E131=E$2:E131)))))-COUNTBLANK(OFFSET(A$1,,,SUMPRODUCT(MAX(ROW(E$1:E130)*(E2=E$1:E130))))))</f>
        <v/>
      </c>
      <c r="K131" s="33" t="str">
        <f aca="false">IF(OR(E131="",E131="!!!",F131="NEW"),"",INDEX(J$1:J130,SUMPRODUCT(MAX(ROW(E$1:E130)*(E131=E$1:E130)))))</f>
        <v/>
      </c>
      <c r="L131" s="34"/>
    </row>
    <row r="132" customFormat="false" ht="15.8" hidden="false" customHeight="false" outlineLevel="0" collapsed="false">
      <c r="A132" s="20" t="s">
        <v>237</v>
      </c>
      <c r="E132" s="29" t="str">
        <f aca="false">IF(D132="?OLD","!!!","")</f>
        <v/>
      </c>
      <c r="F132" s="30" t="str">
        <f aca="false">IF(OR(E132="",E132="!!!"),"",IF(NOT(ISNA(VLOOKUP(E132,E$1:E131,1,FALSE()))),"OLD",IF(AND(E132&lt;&gt;"",E132&lt;&gt;"!!!"),"NEW","")))</f>
        <v/>
      </c>
      <c r="G132" s="31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32" t="str">
        <f aca="false">IF(J132&lt;&gt;1,"",IF(I132="SBJ","CB","?"))</f>
        <v/>
      </c>
      <c r="I132" s="33" t="str">
        <f aca="false">IF(OR(E132="",E132="!!!",F132="NEW"),"",INDEX(B$2:B131,-1+SUMPRODUCT(MAX(ROW(E$2:E131)*(E132=E$2:E131)))))</f>
        <v/>
      </c>
      <c r="J132" s="33" t="str">
        <f aca="true">IF(OR(E132="",E132="!!!",F132="NEW"),"",COUNTBLANK(OFFSET(A$1,,,SUMPRODUCT(MAX(ROW(E$2:E132)*(E132=E$2:E132)))))-COUNTBLANK(OFFSET(A$1,,,SUMPRODUCT(MAX(ROW(E$1:E131)*(E2=E$1:E131))))))</f>
        <v/>
      </c>
      <c r="K132" s="33" t="str">
        <f aca="false">IF(OR(E132="",E132="!!!",F132="NEW"),"",INDEX(J$1:J131,SUMPRODUCT(MAX(ROW(E$1:E131)*(E132=E$1:E131)))))</f>
        <v/>
      </c>
      <c r="L132" s="34"/>
    </row>
    <row r="133" customFormat="false" ht="15.8" hidden="false" customHeight="false" outlineLevel="0" collapsed="false">
      <c r="A133" s="20" t="s">
        <v>199</v>
      </c>
      <c r="B133" s="21" t="s">
        <v>153</v>
      </c>
      <c r="C133" s="21" t="s">
        <v>200</v>
      </c>
      <c r="E133" s="29" t="str">
        <f aca="false">IF(D133="?OLD","!!!","")</f>
        <v/>
      </c>
      <c r="F133" s="30" t="str">
        <f aca="false">IF(OR(E133="",E133="!!!"),"",IF(NOT(ISNA(VLOOKUP(E133,E$1:E132,1,FALSE()))),"OLD",IF(AND(E133&lt;&gt;"",E133&lt;&gt;"!!!"),"NEW","")))</f>
        <v/>
      </c>
      <c r="G133" s="31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32" t="str">
        <f aca="false">IF(J133&lt;&gt;1,"",IF(I133="SBJ","CB","?"))</f>
        <v/>
      </c>
      <c r="I133" s="33" t="str">
        <f aca="false">IF(OR(E133="",E133="!!!",F133="NEW"),"",INDEX(B$2:B132,-1+SUMPRODUCT(MAX(ROW(E$2:E132)*(E133=E$2:E132)))))</f>
        <v/>
      </c>
      <c r="J133" s="33" t="str">
        <f aca="true">IF(OR(E133="",E133="!!!",F133="NEW"),"",COUNTBLANK(OFFSET(A$1,,,SUMPRODUCT(MAX(ROW(E$2:E133)*(E133=E$2:E133)))))-COUNTBLANK(OFFSET(A$1,,,SUMPRODUCT(MAX(ROW(E$1:E132)*(E2=E$1:E132))))))</f>
        <v/>
      </c>
      <c r="K133" s="33" t="str">
        <f aca="false">IF(OR(E133="",E133="!!!",F133="NEW"),"",INDEX(J$1:J132,SUMPRODUCT(MAX(ROW(E$1:E132)*(E133=E$1:E132)))))</f>
        <v/>
      </c>
      <c r="L133" s="34"/>
    </row>
    <row r="134" customFormat="false" ht="15.8" hidden="false" customHeight="false" outlineLevel="0" collapsed="false">
      <c r="A134" s="20" t="s">
        <v>227</v>
      </c>
      <c r="E134" s="29" t="str">
        <f aca="false">IF(D134="?OLD","!!!","")</f>
        <v/>
      </c>
      <c r="F134" s="30" t="str">
        <f aca="false">IF(OR(E134="",E134="!!!"),"",IF(NOT(ISNA(VLOOKUP(E134,E$1:E133,1,FALSE()))),"OLD",IF(AND(E134&lt;&gt;"",E134&lt;&gt;"!!!"),"NEW","")))</f>
        <v/>
      </c>
      <c r="G134" s="31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32" t="str">
        <f aca="false">IF(J134&lt;&gt;1,"",IF(I134="SBJ","CB","?"))</f>
        <v/>
      </c>
      <c r="I134" s="33" t="str">
        <f aca="false">IF(OR(E134="",E134="!!!",F134="NEW"),"",INDEX(B$2:B133,-1+SUMPRODUCT(MAX(ROW(E$2:E133)*(E134=E$2:E133)))))</f>
        <v/>
      </c>
      <c r="J134" s="33" t="str">
        <f aca="true">IF(OR(E134="",E134="!!!",F134="NEW"),"",COUNTBLANK(OFFSET(A$1,,,SUMPRODUCT(MAX(ROW(E$2:E134)*(E134=E$2:E134)))))-COUNTBLANK(OFFSET(A$1,,,SUMPRODUCT(MAX(ROW(E$1:E133)*(E2=E$1:E133))))))</f>
        <v/>
      </c>
      <c r="K134" s="33" t="str">
        <f aca="false">IF(OR(E134="",E134="!!!",F134="NEW"),"",INDEX(J$1:J133,SUMPRODUCT(MAX(ROW(E$1:E133)*(E134=E$1:E133)))))</f>
        <v/>
      </c>
      <c r="L134" s="34"/>
    </row>
    <row r="135" customFormat="false" ht="15.8" hidden="false" customHeight="false" outlineLevel="0" collapsed="false">
      <c r="A135" s="20" t="s">
        <v>228</v>
      </c>
      <c r="E135" s="29" t="str">
        <f aca="false">IF(D135="?OLD","!!!","")</f>
        <v/>
      </c>
      <c r="F135" s="30" t="str">
        <f aca="false">IF(OR(E135="",E135="!!!"),"",IF(NOT(ISNA(VLOOKUP(E135,E$1:E134,1,FALSE()))),"OLD",IF(AND(E135&lt;&gt;"",E135&lt;&gt;"!!!"),"NEW","")))</f>
        <v/>
      </c>
      <c r="G135" s="31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32" t="str">
        <f aca="false">IF(J135&lt;&gt;1,"",IF(I135="SBJ","CB","?"))</f>
        <v/>
      </c>
      <c r="I135" s="33" t="str">
        <f aca="false">IF(OR(E135="",E135="!!!",F135="NEW"),"",INDEX(B$2:B134,-1+SUMPRODUCT(MAX(ROW(E$2:E134)*(E135=E$2:E134)))))</f>
        <v/>
      </c>
      <c r="J135" s="33" t="str">
        <f aca="true">IF(OR(E135="",E135="!!!",F135="NEW"),"",COUNTBLANK(OFFSET(A$1,,,SUMPRODUCT(MAX(ROW(E$2:E135)*(E135=E$2:E135)))))-COUNTBLANK(OFFSET(A$1,,,SUMPRODUCT(MAX(ROW(E$1:E134)*(E2=E$1:E134))))))</f>
        <v/>
      </c>
      <c r="K135" s="33" t="str">
        <f aca="false">IF(OR(E135="",E135="!!!",F135="NEW"),"",INDEX(J$1:J134,SUMPRODUCT(MAX(ROW(E$1:E134)*(E135=E$1:E134)))))</f>
        <v/>
      </c>
      <c r="L135" s="34"/>
    </row>
    <row r="136" customFormat="false" ht="15.8" hidden="false" customHeight="false" outlineLevel="0" collapsed="false">
      <c r="A136" s="20" t="s">
        <v>229</v>
      </c>
      <c r="E136" s="29" t="str">
        <f aca="false">IF(D136="?OLD","!!!","")</f>
        <v/>
      </c>
      <c r="F136" s="30" t="str">
        <f aca="false">IF(OR(E136="",E136="!!!"),"",IF(NOT(ISNA(VLOOKUP(E136,E$1:E135,1,FALSE()))),"OLD",IF(AND(E136&lt;&gt;"",E136&lt;&gt;"!!!"),"NEW","")))</f>
        <v/>
      </c>
      <c r="G136" s="31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32" t="str">
        <f aca="false">IF(J136&lt;&gt;1,"",IF(I136="SBJ","CB","?"))</f>
        <v/>
      </c>
      <c r="I136" s="33" t="str">
        <f aca="false">IF(OR(E136="",E136="!!!",F136="NEW"),"",INDEX(B$2:B135,-1+SUMPRODUCT(MAX(ROW(E$2:E135)*(E136=E$2:E135)))))</f>
        <v/>
      </c>
      <c r="J136" s="33" t="str">
        <f aca="true">IF(OR(E136="",E136="!!!",F136="NEW"),"",COUNTBLANK(OFFSET(A$1,,,SUMPRODUCT(MAX(ROW(E$2:E136)*(E136=E$2:E136)))))-COUNTBLANK(OFFSET(A$1,,,SUMPRODUCT(MAX(ROW(E$1:E135)*(E2=E$1:E135))))))</f>
        <v/>
      </c>
      <c r="K136" s="33" t="str">
        <f aca="false">IF(OR(E136="",E136="!!!",F136="NEW"),"",INDEX(J$1:J135,SUMPRODUCT(MAX(ROW(E$1:E135)*(E136=E$1:E135)))))</f>
        <v/>
      </c>
      <c r="L136" s="34"/>
    </row>
    <row r="137" customFormat="false" ht="15.8" hidden="false" customHeight="false" outlineLevel="0" collapsed="false">
      <c r="A137" s="20"/>
    </row>
    <row r="138" customFormat="false" ht="15.8" hidden="false" customHeight="false" outlineLevel="0" collapsed="false">
      <c r="A138" s="20" t="s">
        <v>238</v>
      </c>
    </row>
    <row r="139" customFormat="false" ht="15.8" hidden="false" customHeight="false" outlineLevel="0" collapsed="false">
      <c r="A139" s="20" t="s">
        <v>232</v>
      </c>
      <c r="B139" s="21" t="s">
        <v>146</v>
      </c>
      <c r="C139" s="21" t="s">
        <v>160</v>
      </c>
      <c r="D139" s="21" t="s">
        <v>148</v>
      </c>
      <c r="E139" s="29" t="str">
        <f aca="false">IF(D139="?OLD","!!!","")</f>
        <v>!!!</v>
      </c>
      <c r="F139" s="30" t="str">
        <f aca="false">IF(OR(E139="",E139="!!!"),"",IF(NOT(ISNA(VLOOKUP(E139,E$1:E138,1,FALSE()))),"OLD",IF(AND(E139&lt;&gt;"",E139&lt;&gt;"!!!"),"NEW","")))</f>
        <v/>
      </c>
      <c r="G139" s="31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32" t="str">
        <f aca="false">IF(J139&lt;&gt;1,"",IF(I139="SBJ","CB","?"))</f>
        <v/>
      </c>
      <c r="I139" s="33" t="str">
        <f aca="false">IF(OR(E139="",E139="!!!",F139="NEW"),"",INDEX(B$2:B138,-1+SUMPRODUCT(MAX(ROW(E$2:E138)*(E139=E$2:E138)))))</f>
        <v/>
      </c>
      <c r="J139" s="33" t="str">
        <f aca="true">IF(OR(E139="",E139="!!!",F139="NEW"),"",COUNTBLANK(OFFSET(A$1,,,SUMPRODUCT(MAX(ROW(E$2:E139)*(E139=E$2:E139)))))-COUNTBLANK(OFFSET(A$1,,,SUMPRODUCT(MAX(ROW(E$1:E138)*(E2=E$1:E138))))))</f>
        <v/>
      </c>
      <c r="K139" s="33" t="str">
        <f aca="false">IF(OR(E139="",E139="!!!",F139="NEW"),"",INDEX(J$1:J138,SUMPRODUCT(MAX(ROW(E$1:E138)*(E139=E$1:E138)))))</f>
        <v/>
      </c>
      <c r="L139" s="34"/>
    </row>
    <row r="140" customFormat="false" ht="15.8" hidden="false" customHeight="false" outlineLevel="0" collapsed="false">
      <c r="A140" s="20" t="s">
        <v>197</v>
      </c>
      <c r="E140" s="29" t="str">
        <f aca="false">IF(D140="?OLD","!!!","")</f>
        <v/>
      </c>
      <c r="F140" s="30" t="str">
        <f aca="false">IF(OR(E140="",E140="!!!"),"",IF(NOT(ISNA(VLOOKUP(E140,E$1:E139,1,FALSE()))),"OLD",IF(AND(E140&lt;&gt;"",E140&lt;&gt;"!!!"),"NEW","")))</f>
        <v/>
      </c>
      <c r="G140" s="31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32" t="str">
        <f aca="false">IF(J140&lt;&gt;1,"",IF(I140="SBJ","CB","?"))</f>
        <v/>
      </c>
      <c r="I140" s="33" t="str">
        <f aca="false">IF(OR(E140="",E140="!!!",F140="NEW"),"",INDEX(B$2:B139,-1+SUMPRODUCT(MAX(ROW(E$2:E139)*(E140=E$2:E139)))))</f>
        <v/>
      </c>
      <c r="J140" s="33" t="str">
        <f aca="true">IF(OR(E140="",E140="!!!",F140="NEW"),"",COUNTBLANK(OFFSET(A$1,,,SUMPRODUCT(MAX(ROW(E$2:E140)*(E140=E$2:E140)))))-COUNTBLANK(OFFSET(A$1,,,SUMPRODUCT(MAX(ROW(E$1:E139)*(E2=E$1:E139))))))</f>
        <v/>
      </c>
      <c r="K140" s="33" t="str">
        <f aca="false">IF(OR(E140="",E140="!!!",F140="NEW"),"",INDEX(J$1:J139,SUMPRODUCT(MAX(ROW(E$1:E139)*(E140=E$1:E139)))))</f>
        <v/>
      </c>
      <c r="L140" s="34"/>
    </row>
    <row r="141" customFormat="false" ht="15.8" hidden="false" customHeight="false" outlineLevel="0" collapsed="false">
      <c r="A141" s="20" t="s">
        <v>239</v>
      </c>
      <c r="E141" s="29" t="str">
        <f aca="false">IF(D141="?OLD","!!!","")</f>
        <v/>
      </c>
      <c r="F141" s="30" t="str">
        <f aca="false">IF(OR(E141="",E141="!!!"),"",IF(NOT(ISNA(VLOOKUP(E141,E$1:E140,1,FALSE()))),"OLD",IF(AND(E141&lt;&gt;"",E141&lt;&gt;"!!!"),"NEW","")))</f>
        <v/>
      </c>
      <c r="G141" s="31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32" t="str">
        <f aca="false">IF(J141&lt;&gt;1,"",IF(I141="SBJ","CB","?"))</f>
        <v/>
      </c>
      <c r="I141" s="33" t="str">
        <f aca="false">IF(OR(E141="",E141="!!!",F141="NEW"),"",INDEX(B$2:B140,-1+SUMPRODUCT(MAX(ROW(E$2:E140)*(E141=E$2:E140)))))</f>
        <v/>
      </c>
      <c r="J141" s="33" t="str">
        <f aca="true">IF(OR(E141="",E141="!!!",F141="NEW"),"",COUNTBLANK(OFFSET(A$1,,,SUMPRODUCT(MAX(ROW(E$2:E141)*(E141=E$2:E141)))))-COUNTBLANK(OFFSET(A$1,,,SUMPRODUCT(MAX(ROW(E$1:E140)*(E2=E$1:E140))))))</f>
        <v/>
      </c>
      <c r="K141" s="33" t="str">
        <f aca="false">IF(OR(E141="",E141="!!!",F141="NEW"),"",INDEX(J$1:J140,SUMPRODUCT(MAX(ROW(E$1:E140)*(E141=E$1:E140)))))</f>
        <v/>
      </c>
      <c r="L141" s="34"/>
    </row>
    <row r="142" customFormat="false" ht="15.8" hidden="false" customHeight="false" outlineLevel="0" collapsed="false">
      <c r="A142" s="20" t="s">
        <v>199</v>
      </c>
      <c r="B142" s="21" t="s">
        <v>163</v>
      </c>
      <c r="C142" s="21" t="s">
        <v>200</v>
      </c>
      <c r="E142" s="29" t="str">
        <f aca="false">IF(D142="?OLD","!!!","")</f>
        <v/>
      </c>
      <c r="F142" s="30" t="str">
        <f aca="false">IF(OR(E142="",E142="!!!"),"",IF(NOT(ISNA(VLOOKUP(E142,E$1:E141,1,FALSE()))),"OLD",IF(AND(E142&lt;&gt;"",E142&lt;&gt;"!!!"),"NEW","")))</f>
        <v/>
      </c>
      <c r="G142" s="31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32" t="str">
        <f aca="false">IF(J142&lt;&gt;1,"",IF(I142="SBJ","CB","?"))</f>
        <v/>
      </c>
      <c r="I142" s="33" t="str">
        <f aca="false">IF(OR(E142="",E142="!!!",F142="NEW"),"",INDEX(B$2:B141,-1+SUMPRODUCT(MAX(ROW(E$2:E141)*(E142=E$2:E141)))))</f>
        <v/>
      </c>
      <c r="J142" s="33" t="str">
        <f aca="true">IF(OR(E142="",E142="!!!",F142="NEW"),"",COUNTBLANK(OFFSET(A$1,,,SUMPRODUCT(MAX(ROW(E$2:E142)*(E142=E$2:E142)))))-COUNTBLANK(OFFSET(A$1,,,SUMPRODUCT(MAX(ROW(E$1:E141)*(E2=E$1:E141))))))</f>
        <v/>
      </c>
      <c r="K142" s="33" t="str">
        <f aca="false">IF(OR(E142="",E142="!!!",F142="NEW"),"",INDEX(J$1:J141,SUMPRODUCT(MAX(ROW(E$1:E141)*(E142=E$1:E141)))))</f>
        <v/>
      </c>
      <c r="L142" s="34"/>
    </row>
    <row r="143" customFormat="false" ht="15.8" hidden="false" customHeight="false" outlineLevel="0" collapsed="false">
      <c r="A143" s="20" t="s">
        <v>193</v>
      </c>
      <c r="E143" s="29" t="str">
        <f aca="false">IF(D143="?OLD","!!!","")</f>
        <v/>
      </c>
      <c r="F143" s="30" t="str">
        <f aca="false">IF(OR(E143="",E143="!!!"),"",IF(NOT(ISNA(VLOOKUP(E143,E$1:E142,1,FALSE()))),"OLD",IF(AND(E143&lt;&gt;"",E143&lt;&gt;"!!!"),"NEW","")))</f>
        <v/>
      </c>
      <c r="G143" s="31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32" t="str">
        <f aca="false">IF(J143&lt;&gt;1,"",IF(I143="SBJ","CB","?"))</f>
        <v/>
      </c>
      <c r="I143" s="33" t="str">
        <f aca="false">IF(OR(E143="",E143="!!!",F143="NEW"),"",INDEX(B$2:B142,-1+SUMPRODUCT(MAX(ROW(E$2:E142)*(E143=E$2:E142)))))</f>
        <v/>
      </c>
      <c r="J143" s="33" t="str">
        <f aca="true">IF(OR(E143="",E143="!!!",F143="NEW"),"",COUNTBLANK(OFFSET(A$1,,,SUMPRODUCT(MAX(ROW(E$2:E143)*(E143=E$2:E143)))))-COUNTBLANK(OFFSET(A$1,,,SUMPRODUCT(MAX(ROW(E$1:E142)*(E2=E$1:E142))))))</f>
        <v/>
      </c>
      <c r="K143" s="33" t="str">
        <f aca="false">IF(OR(E143="",E143="!!!",F143="NEW"),"",INDEX(J$1:J142,SUMPRODUCT(MAX(ROW(E$1:E142)*(E143=E$1:E142)))))</f>
        <v/>
      </c>
      <c r="L143" s="34"/>
    </row>
    <row r="144" customFormat="false" ht="15.8" hidden="false" customHeight="false" outlineLevel="0" collapsed="false">
      <c r="A144" s="20" t="s">
        <v>201</v>
      </c>
      <c r="E144" s="29" t="str">
        <f aca="false">IF(D144="?OLD","!!!","")</f>
        <v/>
      </c>
      <c r="F144" s="30" t="str">
        <f aca="false">IF(OR(E144="",E144="!!!"),"",IF(NOT(ISNA(VLOOKUP(E144,E$1:E143,1,FALSE()))),"OLD",IF(AND(E144&lt;&gt;"",E144&lt;&gt;"!!!"),"NEW","")))</f>
        <v/>
      </c>
      <c r="G144" s="31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32" t="str">
        <f aca="false">IF(J144&lt;&gt;1,"",IF(I144="SBJ","CB","?"))</f>
        <v/>
      </c>
      <c r="I144" s="33" t="str">
        <f aca="false">IF(OR(E144="",E144="!!!",F144="NEW"),"",INDEX(B$2:B143,-1+SUMPRODUCT(MAX(ROW(E$2:E143)*(E144=E$2:E143)))))</f>
        <v/>
      </c>
      <c r="J144" s="33" t="str">
        <f aca="true">IF(OR(E144="",E144="!!!",F144="NEW"),"",COUNTBLANK(OFFSET(A$1,,,SUMPRODUCT(MAX(ROW(E$2:E144)*(E144=E$2:E144)))))-COUNTBLANK(OFFSET(A$1,,,SUMPRODUCT(MAX(ROW(E$1:E143)*(E2=E$1:E143))))))</f>
        <v/>
      </c>
      <c r="K144" s="33" t="str">
        <f aca="false">IF(OR(E144="",E144="!!!",F144="NEW"),"",INDEX(J$1:J143,SUMPRODUCT(MAX(ROW(E$1:E143)*(E144=E$1:E143)))))</f>
        <v/>
      </c>
      <c r="L144" s="34"/>
    </row>
    <row r="145" customFormat="false" ht="15.8" hidden="false" customHeight="false" outlineLevel="0" collapsed="false">
      <c r="A145" s="20" t="s">
        <v>240</v>
      </c>
      <c r="B145" s="21" t="s">
        <v>174</v>
      </c>
      <c r="C145" s="21" t="s">
        <v>160</v>
      </c>
      <c r="D145" s="21" t="s">
        <v>148</v>
      </c>
      <c r="E145" s="29" t="str">
        <f aca="false">IF(D145="?OLD","!!!","")</f>
        <v>!!!</v>
      </c>
      <c r="F145" s="30" t="str">
        <f aca="false">IF(OR(E145="",E145="!!!"),"",IF(NOT(ISNA(VLOOKUP(E145,E$1:E144,1,FALSE()))),"OLD",IF(AND(E145&lt;&gt;"",E145&lt;&gt;"!!!"),"NEW","")))</f>
        <v/>
      </c>
      <c r="G145" s="31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32" t="str">
        <f aca="false">IF(J145&lt;&gt;1,"",IF(I145="SBJ","CB","?"))</f>
        <v/>
      </c>
      <c r="I145" s="33" t="str">
        <f aca="false">IF(OR(E145="",E145="!!!",F145="NEW"),"",INDEX(B$2:B144,-1+SUMPRODUCT(MAX(ROW(E$2:E144)*(E145=E$2:E144)))))</f>
        <v/>
      </c>
      <c r="J145" s="33" t="str">
        <f aca="true">IF(OR(E145="",E145="!!!",F145="NEW"),"",COUNTBLANK(OFFSET(A$1,,,SUMPRODUCT(MAX(ROW(E$2:E145)*(E145=E$2:E145)))))-COUNTBLANK(OFFSET(A$1,,,SUMPRODUCT(MAX(ROW(E$1:E144)*(E2=E$1:E144))))))</f>
        <v/>
      </c>
      <c r="K145" s="33" t="str">
        <f aca="false">IF(OR(E145="",E145="!!!",F145="NEW"),"",INDEX(J$1:J144,SUMPRODUCT(MAX(ROW(E$1:E144)*(E145=E$1:E144)))))</f>
        <v/>
      </c>
      <c r="L145" s="34"/>
    </row>
    <row r="146" customFormat="false" ht="15.8" hidden="false" customHeight="false" outlineLevel="0" collapsed="false">
      <c r="A146" s="20"/>
    </row>
    <row r="147" customFormat="false" ht="15.8" hidden="false" customHeight="false" outlineLevel="0" collapsed="false">
      <c r="A147" s="20" t="s">
        <v>241</v>
      </c>
    </row>
    <row r="148" customFormat="false" ht="15.8" hidden="false" customHeight="false" outlineLevel="0" collapsed="false">
      <c r="A148" s="20" t="s">
        <v>232</v>
      </c>
      <c r="B148" s="21" t="s">
        <v>146</v>
      </c>
      <c r="C148" s="21" t="s">
        <v>160</v>
      </c>
      <c r="D148" s="21" t="s">
        <v>148</v>
      </c>
      <c r="E148" s="29" t="str">
        <f aca="false">IF(D148="?OLD","!!!","")</f>
        <v>!!!</v>
      </c>
      <c r="F148" s="30" t="str">
        <f aca="false">IF(OR(E148="",E148="!!!"),"",IF(NOT(ISNA(VLOOKUP(E148,E$1:E147,1,FALSE()))),"OLD",IF(AND(E148&lt;&gt;"",E148&lt;&gt;"!!!"),"NEW","")))</f>
        <v/>
      </c>
      <c r="G148" s="31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32" t="str">
        <f aca="false">IF(J148&lt;&gt;1,"",IF(I148="SBJ","CB","?"))</f>
        <v/>
      </c>
      <c r="I148" s="33" t="str">
        <f aca="false">IF(OR(E148="",E148="!!!",F148="NEW"),"",INDEX(B$2:B147,-1+SUMPRODUCT(MAX(ROW(E$2:E147)*(E148=E$2:E147)))))</f>
        <v/>
      </c>
      <c r="J148" s="33" t="str">
        <f aca="true">IF(OR(E148="",E148="!!!",F148="NEW"),"",COUNTBLANK(OFFSET(A$1,,,SUMPRODUCT(MAX(ROW(E$2:E148)*(E148=E$2:E148)))))-COUNTBLANK(OFFSET(A$1,,,SUMPRODUCT(MAX(ROW(E$1:E147)*(E2=E$1:E147))))))</f>
        <v/>
      </c>
      <c r="K148" s="33" t="str">
        <f aca="false">IF(OR(E148="",E148="!!!",F148="NEW"),"",INDEX(J$1:J147,SUMPRODUCT(MAX(ROW(E$1:E147)*(E148=E$1:E147)))))</f>
        <v/>
      </c>
      <c r="L148" s="34"/>
    </row>
    <row r="149" customFormat="false" ht="15.8" hidden="false" customHeight="false" outlineLevel="0" collapsed="false">
      <c r="A149" s="20" t="s">
        <v>176</v>
      </c>
      <c r="E149" s="29" t="str">
        <f aca="false">IF(D149="?OLD","!!!","")</f>
        <v/>
      </c>
      <c r="F149" s="30" t="str">
        <f aca="false">IF(OR(E149="",E149="!!!"),"",IF(NOT(ISNA(VLOOKUP(E149,E$1:E148,1,FALSE()))),"OLD",IF(AND(E149&lt;&gt;"",E149&lt;&gt;"!!!"),"NEW","")))</f>
        <v/>
      </c>
      <c r="G149" s="31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32" t="str">
        <f aca="false">IF(J149&lt;&gt;1,"",IF(I149="SBJ","CB","?"))</f>
        <v/>
      </c>
      <c r="I149" s="33" t="str">
        <f aca="false">IF(OR(E149="",E149="!!!",F149="NEW"),"",INDEX(B$2:B148,-1+SUMPRODUCT(MAX(ROW(E$2:E148)*(E149=E$2:E148)))))</f>
        <v/>
      </c>
      <c r="J149" s="33" t="str">
        <f aca="true">IF(OR(E149="",E149="!!!",F149="NEW"),"",COUNTBLANK(OFFSET(A$1,,,SUMPRODUCT(MAX(ROW(E$2:E149)*(E149=E$2:E149)))))-COUNTBLANK(OFFSET(A$1,,,SUMPRODUCT(MAX(ROW(E$1:E148)*(E2=E$1:E148))))))</f>
        <v/>
      </c>
      <c r="K149" s="33" t="str">
        <f aca="false">IF(OR(E149="",E149="!!!",F149="NEW"),"",INDEX(J$1:J148,SUMPRODUCT(MAX(ROW(E$1:E148)*(E149=E$1:E148)))))</f>
        <v/>
      </c>
      <c r="L149" s="34"/>
    </row>
    <row r="150" customFormat="false" ht="15.8" hidden="false" customHeight="false" outlineLevel="0" collapsed="false">
      <c r="A150" s="20" t="s">
        <v>234</v>
      </c>
      <c r="E150" s="29" t="str">
        <f aca="false">IF(D150="?OLD","!!!","")</f>
        <v/>
      </c>
      <c r="F150" s="30" t="str">
        <f aca="false">IF(OR(E150="",E150="!!!"),"",IF(NOT(ISNA(VLOOKUP(E150,E$1:E149,1,FALSE()))),"OLD",IF(AND(E150&lt;&gt;"",E150&lt;&gt;"!!!"),"NEW","")))</f>
        <v/>
      </c>
      <c r="G150" s="31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32" t="str">
        <f aca="false">IF(J150&lt;&gt;1,"",IF(I150="SBJ","CB","?"))</f>
        <v/>
      </c>
      <c r="I150" s="33" t="str">
        <f aca="false">IF(OR(E150="",E150="!!!",F150="NEW"),"",INDEX(B$2:B149,-1+SUMPRODUCT(MAX(ROW(E$2:E149)*(E150=E$2:E149)))))</f>
        <v/>
      </c>
      <c r="J150" s="33" t="str">
        <f aca="true">IF(OR(E150="",E150="!!!",F150="NEW"),"",COUNTBLANK(OFFSET(A$1,,,SUMPRODUCT(MAX(ROW(E$2:E150)*(E150=E$2:E150)))))-COUNTBLANK(OFFSET(A$1,,,SUMPRODUCT(MAX(ROW(E$1:E149)*(E2=E$1:E149))))))</f>
        <v/>
      </c>
      <c r="K150" s="33" t="str">
        <f aca="false">IF(OR(E150="",E150="!!!",F150="NEW"),"",INDEX(J$1:J149,SUMPRODUCT(MAX(ROW(E$1:E149)*(E150=E$1:E149)))))</f>
        <v/>
      </c>
      <c r="L150" s="34"/>
    </row>
    <row r="151" customFormat="false" ht="15.8" hidden="false" customHeight="false" outlineLevel="0" collapsed="false">
      <c r="A151" s="20" t="s">
        <v>214</v>
      </c>
      <c r="E151" s="29" t="str">
        <f aca="false">IF(D151="?OLD","!!!","")</f>
        <v/>
      </c>
      <c r="F151" s="30" t="str">
        <f aca="false">IF(OR(E151="",E151="!!!"),"",IF(NOT(ISNA(VLOOKUP(E151,E$1:E150,1,FALSE()))),"OLD",IF(AND(E151&lt;&gt;"",E151&lt;&gt;"!!!"),"NEW","")))</f>
        <v/>
      </c>
      <c r="G151" s="31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32" t="str">
        <f aca="false">IF(J151&lt;&gt;1,"",IF(I151="SBJ","CB","?"))</f>
        <v/>
      </c>
      <c r="I151" s="33" t="str">
        <f aca="false">IF(OR(E151="",E151="!!!",F151="NEW"),"",INDEX(B$2:B150,-1+SUMPRODUCT(MAX(ROW(E$2:E150)*(E151=E$2:E150)))))</f>
        <v/>
      </c>
      <c r="J151" s="33" t="str">
        <f aca="true">IF(OR(E151="",E151="!!!",F151="NEW"),"",COUNTBLANK(OFFSET(A$1,,,SUMPRODUCT(MAX(ROW(E$2:E151)*(E151=E$2:E151)))))-COUNTBLANK(OFFSET(A$1,,,SUMPRODUCT(MAX(ROW(E$1:E150)*(E2=E$1:E150))))))</f>
        <v/>
      </c>
      <c r="K151" s="33" t="str">
        <f aca="false">IF(OR(E151="",E151="!!!",F151="NEW"),"",INDEX(J$1:J150,SUMPRODUCT(MAX(ROW(E$1:E150)*(E151=E$1:E150)))))</f>
        <v/>
      </c>
      <c r="L151" s="34"/>
    </row>
    <row r="152" customFormat="false" ht="15.8" hidden="false" customHeight="false" outlineLevel="0" collapsed="false">
      <c r="A152" s="20" t="s">
        <v>215</v>
      </c>
      <c r="E152" s="29" t="str">
        <f aca="false">IF(D152="?OLD","!!!","")</f>
        <v/>
      </c>
      <c r="F152" s="30" t="str">
        <f aca="false">IF(OR(E152="",E152="!!!"),"",IF(NOT(ISNA(VLOOKUP(E152,E$1:E151,1,FALSE()))),"OLD",IF(AND(E152&lt;&gt;"",E152&lt;&gt;"!!!"),"NEW","")))</f>
        <v/>
      </c>
      <c r="G152" s="31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32" t="str">
        <f aca="false">IF(J152&lt;&gt;1,"",IF(I152="SBJ","CB","?"))</f>
        <v/>
      </c>
      <c r="I152" s="33" t="str">
        <f aca="false">IF(OR(E152="",E152="!!!",F152="NEW"),"",INDEX(B$2:B151,-1+SUMPRODUCT(MAX(ROW(E$2:E151)*(E152=E$2:E151)))))</f>
        <v/>
      </c>
      <c r="J152" s="33" t="str">
        <f aca="true">IF(OR(E152="",E152="!!!",F152="NEW"),"",COUNTBLANK(OFFSET(A$1,,,SUMPRODUCT(MAX(ROW(E$2:E152)*(E152=E$2:E152)))))-COUNTBLANK(OFFSET(A$1,,,SUMPRODUCT(MAX(ROW(E$1:E151)*(E2=E$1:E151))))))</f>
        <v/>
      </c>
      <c r="K152" s="33" t="str">
        <f aca="false">IF(OR(E152="",E152="!!!",F152="NEW"),"",INDEX(J$1:J151,SUMPRODUCT(MAX(ROW(E$1:E151)*(E152=E$1:E151)))))</f>
        <v/>
      </c>
      <c r="L152" s="34"/>
    </row>
    <row r="153" customFormat="false" ht="15.8" hidden="false" customHeight="false" outlineLevel="0" collapsed="false">
      <c r="A153" s="20" t="s">
        <v>240</v>
      </c>
      <c r="B153" s="21" t="s">
        <v>174</v>
      </c>
      <c r="C153" s="21" t="s">
        <v>160</v>
      </c>
      <c r="D153" s="21" t="s">
        <v>148</v>
      </c>
      <c r="E153" s="29" t="str">
        <f aca="false">IF(D153="?OLD","!!!","")</f>
        <v>!!!</v>
      </c>
      <c r="F153" s="30" t="str">
        <f aca="false">IF(OR(E153="",E153="!!!"),"",IF(NOT(ISNA(VLOOKUP(E153,E$1:E152,1,FALSE()))),"OLD",IF(AND(E153&lt;&gt;"",E153&lt;&gt;"!!!"),"NEW","")))</f>
        <v/>
      </c>
      <c r="G153" s="31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32" t="str">
        <f aca="false">IF(J153&lt;&gt;1,"",IF(I153="SBJ","CB","?"))</f>
        <v/>
      </c>
      <c r="I153" s="33" t="str">
        <f aca="false">IF(OR(E153="",E153="!!!",F153="NEW"),"",INDEX(B$2:B152,-1+SUMPRODUCT(MAX(ROW(E$2:E152)*(E153=E$2:E152)))))</f>
        <v/>
      </c>
      <c r="J153" s="33" t="str">
        <f aca="true">IF(OR(E153="",E153="!!!",F153="NEW"),"",COUNTBLANK(OFFSET(A$1,,,SUMPRODUCT(MAX(ROW(E$2:E153)*(E153=E$2:E153)))))-COUNTBLANK(OFFSET(A$1,,,SUMPRODUCT(MAX(ROW(E$1:E152)*(E2=E$1:E152))))))</f>
        <v/>
      </c>
      <c r="K153" s="33" t="str">
        <f aca="false">IF(OR(E153="",E153="!!!",F153="NEW"),"",INDEX(J$1:J152,SUMPRODUCT(MAX(ROW(E$1:E152)*(E153=E$1:E152)))))</f>
        <v/>
      </c>
      <c r="L153" s="34"/>
    </row>
    <row r="154" customFormat="false" ht="15.8" hidden="false" customHeight="false" outlineLevel="0" collapsed="false">
      <c r="A154" s="20" t="s">
        <v>176</v>
      </c>
      <c r="E154" s="29" t="str">
        <f aca="false">IF(D154="?OLD","!!!","")</f>
        <v/>
      </c>
      <c r="F154" s="30" t="str">
        <f aca="false">IF(OR(E154="",E154="!!!"),"",IF(NOT(ISNA(VLOOKUP(E154,E$1:E153,1,FALSE()))),"OLD",IF(AND(E154&lt;&gt;"",E154&lt;&gt;"!!!"),"NEW","")))</f>
        <v/>
      </c>
      <c r="G154" s="31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32" t="str">
        <f aca="false">IF(J154&lt;&gt;1,"",IF(I154="SBJ","CB","?"))</f>
        <v/>
      </c>
      <c r="I154" s="33" t="str">
        <f aca="false">IF(OR(E154="",E154="!!!",F154="NEW"),"",INDEX(B$2:B153,-1+SUMPRODUCT(MAX(ROW(E$2:E153)*(E154=E$2:E153)))))</f>
        <v/>
      </c>
      <c r="J154" s="33" t="str">
        <f aca="true">IF(OR(E154="",E154="!!!",F154="NEW"),"",COUNTBLANK(OFFSET(A$1,,,SUMPRODUCT(MAX(ROW(E$2:E154)*(E154=E$2:E154)))))-COUNTBLANK(OFFSET(A$1,,,SUMPRODUCT(MAX(ROW(E$1:E153)*(E2=E$1:E153))))))</f>
        <v/>
      </c>
      <c r="K154" s="33" t="str">
        <f aca="false">IF(OR(E154="",E154="!!!",F154="NEW"),"",INDEX(J$1:J153,SUMPRODUCT(MAX(ROW(E$1:E153)*(E154=E$1:E153)))))</f>
        <v/>
      </c>
      <c r="L154" s="34"/>
    </row>
    <row r="155" customFormat="false" ht="15.8" hidden="false" customHeight="false" outlineLevel="0" collapsed="false">
      <c r="A155" s="20" t="s">
        <v>216</v>
      </c>
      <c r="E155" s="29" t="str">
        <f aca="false">IF(D155="?OLD","!!!","")</f>
        <v/>
      </c>
      <c r="F155" s="30" t="str">
        <f aca="false">IF(OR(E155="",E155="!!!"),"",IF(NOT(ISNA(VLOOKUP(E155,E$1:E154,1,FALSE()))),"OLD",IF(AND(E155&lt;&gt;"",E155&lt;&gt;"!!!"),"NEW","")))</f>
        <v/>
      </c>
      <c r="G155" s="31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32" t="str">
        <f aca="false">IF(J155&lt;&gt;1,"",IF(I155="SBJ","CB","?"))</f>
        <v/>
      </c>
      <c r="I155" s="33" t="str">
        <f aca="false">IF(OR(E155="",E155="!!!",F155="NEW"),"",INDEX(B$2:B154,-1+SUMPRODUCT(MAX(ROW(E$2:E154)*(E155=E$2:E154)))))</f>
        <v/>
      </c>
      <c r="J155" s="33" t="str">
        <f aca="true">IF(OR(E155="",E155="!!!",F155="NEW"),"",COUNTBLANK(OFFSET(A$1,,,SUMPRODUCT(MAX(ROW(E$2:E155)*(E155=E$2:E155)))))-COUNTBLANK(OFFSET(A$1,,,SUMPRODUCT(MAX(ROW(E$1:E154)*(E2=E$1:E154))))))</f>
        <v/>
      </c>
      <c r="K155" s="33" t="str">
        <f aca="false">IF(OR(E155="",E155="!!!",F155="NEW"),"",INDEX(J$1:J154,SUMPRODUCT(MAX(ROW(E$1:E154)*(E155=E$1:E154)))))</f>
        <v/>
      </c>
      <c r="L155" s="34"/>
    </row>
    <row r="156" customFormat="false" ht="15.8" hidden="false" customHeight="false" outlineLevel="0" collapsed="false">
      <c r="A156" s="20" t="s">
        <v>217</v>
      </c>
      <c r="E156" s="29" t="str">
        <f aca="false">IF(D156="?OLD","!!!","")</f>
        <v/>
      </c>
      <c r="F156" s="30" t="str">
        <f aca="false">IF(OR(E156="",E156="!!!"),"",IF(NOT(ISNA(VLOOKUP(E156,E$1:E155,1,FALSE()))),"OLD",IF(AND(E156&lt;&gt;"",E156&lt;&gt;"!!!"),"NEW","")))</f>
        <v/>
      </c>
      <c r="G156" s="31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32" t="str">
        <f aca="false">IF(J156&lt;&gt;1,"",IF(I156="SBJ","CB","?"))</f>
        <v/>
      </c>
      <c r="I156" s="33" t="str">
        <f aca="false">IF(OR(E156="",E156="!!!",F156="NEW"),"",INDEX(B$2:B155,-1+SUMPRODUCT(MAX(ROW(E$2:E155)*(E156=E$2:E155)))))</f>
        <v/>
      </c>
      <c r="J156" s="33" t="str">
        <f aca="true">IF(OR(E156="",E156="!!!",F156="NEW"),"",COUNTBLANK(OFFSET(A$1,,,SUMPRODUCT(MAX(ROW(E$2:E156)*(E156=E$2:E156)))))-COUNTBLANK(OFFSET(A$1,,,SUMPRODUCT(MAX(ROW(E$1:E155)*(E2=E$1:E155))))))</f>
        <v/>
      </c>
      <c r="K156" s="33" t="str">
        <f aca="false">IF(OR(E156="",E156="!!!",F156="NEW"),"",INDEX(J$1:J155,SUMPRODUCT(MAX(ROW(E$1:E155)*(E156=E$1:E155)))))</f>
        <v/>
      </c>
      <c r="L156" s="34"/>
    </row>
    <row r="157" customFormat="false" ht="15.8" hidden="false" customHeight="false" outlineLevel="0" collapsed="false">
      <c r="A157" s="20" t="s">
        <v>242</v>
      </c>
      <c r="E157" s="29" t="str">
        <f aca="false">IF(D157="?OLD","!!!","")</f>
        <v/>
      </c>
      <c r="F157" s="30" t="str">
        <f aca="false">IF(OR(E157="",E157="!!!"),"",IF(NOT(ISNA(VLOOKUP(E157,E$1:E156,1,FALSE()))),"OLD",IF(AND(E157&lt;&gt;"",E157&lt;&gt;"!!!"),"NEW","")))</f>
        <v/>
      </c>
      <c r="G157" s="31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32" t="str">
        <f aca="false">IF(J157&lt;&gt;1,"",IF(I157="SBJ","CB","?"))</f>
        <v/>
      </c>
      <c r="I157" s="33" t="str">
        <f aca="false">IF(OR(E157="",E157="!!!",F157="NEW"),"",INDEX(B$2:B156,-1+SUMPRODUCT(MAX(ROW(E$2:E156)*(E157=E$2:E156)))))</f>
        <v/>
      </c>
      <c r="J157" s="33" t="str">
        <f aca="true">IF(OR(E157="",E157="!!!",F157="NEW"),"",COUNTBLANK(OFFSET(A$1,,,SUMPRODUCT(MAX(ROW(E$2:E157)*(E157=E$2:E157)))))-COUNTBLANK(OFFSET(A$1,,,SUMPRODUCT(MAX(ROW(E$1:E156)*(E2=E$1:E156))))))</f>
        <v/>
      </c>
      <c r="K157" s="33" t="str">
        <f aca="false">IF(OR(E157="",E157="!!!",F157="NEW"),"",INDEX(J$1:J156,SUMPRODUCT(MAX(ROW(E$1:E156)*(E157=E$1:E156)))))</f>
        <v/>
      </c>
      <c r="L157" s="34"/>
    </row>
    <row r="158" customFormat="false" ht="15.8" hidden="false" customHeight="false" outlineLevel="0" collapsed="false">
      <c r="A158" s="20" t="s">
        <v>199</v>
      </c>
      <c r="B158" s="21" t="s">
        <v>153</v>
      </c>
      <c r="C158" s="21" t="s">
        <v>200</v>
      </c>
      <c r="E158" s="29" t="str">
        <f aca="false">IF(D158="?OLD","!!!","")</f>
        <v/>
      </c>
      <c r="F158" s="30" t="str">
        <f aca="false">IF(OR(E158="",E158="!!!"),"",IF(NOT(ISNA(VLOOKUP(E158,E$1:E157,1,FALSE()))),"OLD",IF(AND(E158&lt;&gt;"",E158&lt;&gt;"!!!"),"NEW","")))</f>
        <v/>
      </c>
      <c r="G158" s="31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32" t="str">
        <f aca="false">IF(J158&lt;&gt;1,"",IF(I158="SBJ","CB","?"))</f>
        <v/>
      </c>
      <c r="I158" s="33" t="str">
        <f aca="false">IF(OR(E158="",E158="!!!",F158="NEW"),"",INDEX(B$2:B157,-1+SUMPRODUCT(MAX(ROW(E$2:E157)*(E158=E$2:E157)))))</f>
        <v/>
      </c>
      <c r="J158" s="33" t="str">
        <f aca="true">IF(OR(E158="",E158="!!!",F158="NEW"),"",COUNTBLANK(OFFSET(A$1,,,SUMPRODUCT(MAX(ROW(E$2:E158)*(E158=E$2:E158)))))-COUNTBLANK(OFFSET(A$1,,,SUMPRODUCT(MAX(ROW(E$1:E157)*(E2=E$1:E157))))))</f>
        <v/>
      </c>
      <c r="K158" s="33" t="str">
        <f aca="false">IF(OR(E158="",E158="!!!",F158="NEW"),"",INDEX(J$1:J157,SUMPRODUCT(MAX(ROW(E$1:E157)*(E158=E$1:E157)))))</f>
        <v/>
      </c>
      <c r="L158" s="34"/>
    </row>
    <row r="159" customFormat="false" ht="15.8" hidden="false" customHeight="false" outlineLevel="0" collapsed="false">
      <c r="A159" s="20" t="s">
        <v>187</v>
      </c>
      <c r="E159" s="29" t="str">
        <f aca="false">IF(D159="?OLD","!!!","")</f>
        <v/>
      </c>
      <c r="F159" s="30" t="str">
        <f aca="false">IF(OR(E159="",E159="!!!"),"",IF(NOT(ISNA(VLOOKUP(E159,E$1:E158,1,FALSE()))),"OLD",IF(AND(E159&lt;&gt;"",E159&lt;&gt;"!!!"),"NEW","")))</f>
        <v/>
      </c>
      <c r="G159" s="31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32" t="str">
        <f aca="false">IF(J159&lt;&gt;1,"",IF(I159="SBJ","CB","?"))</f>
        <v/>
      </c>
      <c r="I159" s="33" t="str">
        <f aca="false">IF(OR(E159="",E159="!!!",F159="NEW"),"",INDEX(B$2:B158,-1+SUMPRODUCT(MAX(ROW(E$2:E158)*(E159=E$2:E158)))))</f>
        <v/>
      </c>
      <c r="J159" s="33" t="str">
        <f aca="true">IF(OR(E159="",E159="!!!",F159="NEW"),"",COUNTBLANK(OFFSET(A$1,,,SUMPRODUCT(MAX(ROW(E$2:E159)*(E159=E$2:E159)))))-COUNTBLANK(OFFSET(A$1,,,SUMPRODUCT(MAX(ROW(E$1:E158)*(E2=E$1:E158))))))</f>
        <v/>
      </c>
      <c r="K159" s="33" t="str">
        <f aca="false">IF(OR(E159="",E159="!!!",F159="NEW"),"",INDEX(J$1:J158,SUMPRODUCT(MAX(ROW(E$1:E158)*(E159=E$1:E158)))))</f>
        <v/>
      </c>
      <c r="L159" s="34"/>
    </row>
    <row r="160" customFormat="false" ht="15.8" hidden="false" customHeight="false" outlineLevel="0" collapsed="false">
      <c r="A160" s="20" t="s">
        <v>201</v>
      </c>
      <c r="E160" s="29" t="str">
        <f aca="false">IF(D160="?OLD","!!!","")</f>
        <v/>
      </c>
      <c r="F160" s="30" t="str">
        <f aca="false">IF(OR(E160="",E160="!!!"),"",IF(NOT(ISNA(VLOOKUP(E160,E$1:E159,1,FALSE()))),"OLD",IF(AND(E160&lt;&gt;"",E160&lt;&gt;"!!!"),"NEW","")))</f>
        <v/>
      </c>
      <c r="G160" s="31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32" t="str">
        <f aca="false">IF(J160&lt;&gt;1,"",IF(I160="SBJ","CB","?"))</f>
        <v/>
      </c>
      <c r="I160" s="33" t="str">
        <f aca="false">IF(OR(E160="",E160="!!!",F160="NEW"),"",INDEX(B$2:B159,-1+SUMPRODUCT(MAX(ROW(E$2:E159)*(E160=E$2:E159)))))</f>
        <v/>
      </c>
      <c r="J160" s="33" t="str">
        <f aca="true">IF(OR(E160="",E160="!!!",F160="NEW"),"",COUNTBLANK(OFFSET(A$1,,,SUMPRODUCT(MAX(ROW(E$2:E160)*(E160=E$2:E160)))))-COUNTBLANK(OFFSET(A$1,,,SUMPRODUCT(MAX(ROW(E$1:E159)*(E2=E$1:E159))))))</f>
        <v/>
      </c>
      <c r="K160" s="33" t="str">
        <f aca="false">IF(OR(E160="",E160="!!!",F160="NEW"),"",INDEX(J$1:J159,SUMPRODUCT(MAX(ROW(E$1:E159)*(E160=E$1:E159)))))</f>
        <v/>
      </c>
      <c r="L160" s="34"/>
    </row>
    <row r="161" customFormat="false" ht="15.8" hidden="false" customHeight="false" outlineLevel="0" collapsed="false">
      <c r="A161" s="20" t="s">
        <v>219</v>
      </c>
      <c r="B161" s="21" t="s">
        <v>174</v>
      </c>
      <c r="C161" s="21" t="s">
        <v>186</v>
      </c>
      <c r="E161" s="29" t="str">
        <f aca="false">IF(D161="?OLD","!!!","")</f>
        <v/>
      </c>
      <c r="F161" s="30" t="str">
        <f aca="false">IF(OR(E161="",E161="!!!"),"",IF(NOT(ISNA(VLOOKUP(E161,E$1:E160,1,FALSE()))),"OLD",IF(AND(E161&lt;&gt;"",E161&lt;&gt;"!!!"),"NEW","")))</f>
        <v/>
      </c>
      <c r="G161" s="31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32" t="str">
        <f aca="false">IF(J161&lt;&gt;1,"",IF(I161="SBJ","CB","?"))</f>
        <v/>
      </c>
      <c r="I161" s="33" t="str">
        <f aca="false">IF(OR(E161="",E161="!!!",F161="NEW"),"",INDEX(B$2:B160,-1+SUMPRODUCT(MAX(ROW(E$2:E160)*(E161=E$2:E160)))))</f>
        <v/>
      </c>
      <c r="J161" s="33" t="str">
        <f aca="true">IF(OR(E161="",E161="!!!",F161="NEW"),"",COUNTBLANK(OFFSET(A$1,,,SUMPRODUCT(MAX(ROW(E$2:E161)*(E161=E$2:E161)))))-COUNTBLANK(OFFSET(A$1,,,SUMPRODUCT(MAX(ROW(E$1:E160)*(E2=E$1:E160))))))</f>
        <v/>
      </c>
      <c r="K161" s="33" t="str">
        <f aca="false">IF(OR(E161="",E161="!!!",F161="NEW"),"",INDEX(J$1:J160,SUMPRODUCT(MAX(ROW(E$1:E160)*(E161=E$1:E160)))))</f>
        <v/>
      </c>
      <c r="L161" s="34"/>
    </row>
    <row r="162" customFormat="false" ht="15.8" hidden="false" customHeight="false" outlineLevel="0" collapsed="false">
      <c r="A162" s="20" t="s">
        <v>187</v>
      </c>
      <c r="E162" s="29" t="str">
        <f aca="false">IF(D162="?OLD","!!!","")</f>
        <v/>
      </c>
      <c r="F162" s="30" t="str">
        <f aca="false">IF(OR(E162="",E162="!!!"),"",IF(NOT(ISNA(VLOOKUP(E162,E$1:E161,1,FALSE()))),"OLD",IF(AND(E162&lt;&gt;"",E162&lt;&gt;"!!!"),"NEW","")))</f>
        <v/>
      </c>
      <c r="G162" s="31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32" t="str">
        <f aca="false">IF(J162&lt;&gt;1,"",IF(I162="SBJ","CB","?"))</f>
        <v/>
      </c>
      <c r="I162" s="33" t="str">
        <f aca="false">IF(OR(E162="",E162="!!!",F162="NEW"),"",INDEX(B$2:B161,-1+SUMPRODUCT(MAX(ROW(E$2:E161)*(E162=E$2:E161)))))</f>
        <v/>
      </c>
      <c r="J162" s="33" t="str">
        <f aca="true">IF(OR(E162="",E162="!!!",F162="NEW"),"",COUNTBLANK(OFFSET(A$1,,,SUMPRODUCT(MAX(ROW(E$2:E162)*(E162=E$2:E162)))))-COUNTBLANK(OFFSET(A$1,,,SUMPRODUCT(MAX(ROW(E$1:E161)*(E2=E$1:E161))))))</f>
        <v/>
      </c>
      <c r="K162" s="33" t="str">
        <f aca="false">IF(OR(E162="",E162="!!!",F162="NEW"),"",INDEX(J$1:J161,SUMPRODUCT(MAX(ROW(E$1:E161)*(E162=E$1:E161)))))</f>
        <v/>
      </c>
      <c r="L162" s="34"/>
    </row>
    <row r="163" customFormat="false" ht="15.8" hidden="false" customHeight="false" outlineLevel="0" collapsed="false">
      <c r="A163" s="20" t="s">
        <v>220</v>
      </c>
      <c r="B163" s="21" t="s">
        <v>170</v>
      </c>
      <c r="C163" s="21" t="s">
        <v>186</v>
      </c>
      <c r="E163" s="29" t="str">
        <f aca="false">IF(D163="?OLD","!!!","")</f>
        <v/>
      </c>
      <c r="F163" s="30" t="str">
        <f aca="false">IF(OR(E163="",E163="!!!"),"",IF(NOT(ISNA(VLOOKUP(E163,E$1:E162,1,FALSE()))),"OLD",IF(AND(E163&lt;&gt;"",E163&lt;&gt;"!!!"),"NEW","")))</f>
        <v/>
      </c>
      <c r="G163" s="31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32" t="str">
        <f aca="false">IF(J163&lt;&gt;1,"",IF(I163="SBJ","CB","?"))</f>
        <v/>
      </c>
      <c r="I163" s="33" t="str">
        <f aca="false">IF(OR(E163="",E163="!!!",F163="NEW"),"",INDEX(B$2:B162,-1+SUMPRODUCT(MAX(ROW(E$2:E162)*(E163=E$2:E162)))))</f>
        <v/>
      </c>
      <c r="J163" s="33" t="str">
        <f aca="true">IF(OR(E163="",E163="!!!",F163="NEW"),"",COUNTBLANK(OFFSET(A$1,,,SUMPRODUCT(MAX(ROW(E$2:E163)*(E163=E$2:E163)))))-COUNTBLANK(OFFSET(A$1,,,SUMPRODUCT(MAX(ROW(E$1:E162)*(E2=E$1:E162))))))</f>
        <v/>
      </c>
      <c r="K163" s="33" t="str">
        <f aca="false">IF(OR(E163="",E163="!!!",F163="NEW"),"",INDEX(J$1:J162,SUMPRODUCT(MAX(ROW(E$1:E162)*(E163=E$1:E162)))))</f>
        <v/>
      </c>
      <c r="L163" s="34"/>
    </row>
    <row r="164" customFormat="false" ht="15.8" hidden="false" customHeight="false" outlineLevel="0" collapsed="false">
      <c r="A164" s="20"/>
    </row>
    <row r="165" customFormat="false" ht="15.8" hidden="false" customHeight="false" outlineLevel="0" collapsed="false">
      <c r="A165" s="20" t="s">
        <v>243</v>
      </c>
    </row>
    <row r="166" customFormat="false" ht="15.8" hidden="false" customHeight="false" outlineLevel="0" collapsed="false">
      <c r="A166" s="20" t="s">
        <v>222</v>
      </c>
      <c r="E166" s="29" t="str">
        <f aca="false">IF(D166="?OLD","!!!","")</f>
        <v/>
      </c>
      <c r="F166" s="30" t="str">
        <f aca="false">IF(OR(E166="",E166="!!!"),"",IF(NOT(ISNA(VLOOKUP(E166,E$1:E165,1,FALSE()))),"OLD",IF(AND(E166&lt;&gt;"",E166&lt;&gt;"!!!"),"NEW","")))</f>
        <v/>
      </c>
      <c r="G166" s="31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32" t="str">
        <f aca="false">IF(J166&lt;&gt;1,"",IF(I166="SBJ","CB","?"))</f>
        <v/>
      </c>
      <c r="I166" s="33" t="str">
        <f aca="false">IF(OR(E166="",E166="!!!",F166="NEW"),"",INDEX(B$2:B165,-1+SUMPRODUCT(MAX(ROW(E$2:E165)*(E166=E$2:E165)))))</f>
        <v/>
      </c>
      <c r="J166" s="33" t="str">
        <f aca="true">IF(OR(E166="",E166="!!!",F166="NEW"),"",COUNTBLANK(OFFSET(A$1,,,SUMPRODUCT(MAX(ROW(E$2:E166)*(E166=E$2:E166)))))-COUNTBLANK(OFFSET(A$1,,,SUMPRODUCT(MAX(ROW(E$1:E165)*(E2=E$1:E165))))))</f>
        <v/>
      </c>
      <c r="K166" s="33" t="str">
        <f aca="false">IF(OR(E166="",E166="!!!",F166="NEW"),"",INDEX(J$1:J165,SUMPRODUCT(MAX(ROW(E$1:E165)*(E166=E$1:E165)))))</f>
        <v/>
      </c>
      <c r="L166" s="34"/>
    </row>
    <row r="167" customFormat="false" ht="15.8" hidden="false" customHeight="false" outlineLevel="0" collapsed="false">
      <c r="A167" s="20" t="s">
        <v>223</v>
      </c>
      <c r="E167" s="29" t="str">
        <f aca="false">IF(D167="?OLD","!!!","")</f>
        <v/>
      </c>
      <c r="F167" s="30" t="str">
        <f aca="false">IF(OR(E167="",E167="!!!"),"",IF(NOT(ISNA(VLOOKUP(E167,E$1:E166,1,FALSE()))),"OLD",IF(AND(E167&lt;&gt;"",E167&lt;&gt;"!!!"),"NEW","")))</f>
        <v/>
      </c>
      <c r="G167" s="31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32" t="str">
        <f aca="false">IF(J167&lt;&gt;1,"",IF(I167="SBJ","CB","?"))</f>
        <v/>
      </c>
      <c r="I167" s="33" t="str">
        <f aca="false">IF(OR(E167="",E167="!!!",F167="NEW"),"",INDEX(B$2:B166,-1+SUMPRODUCT(MAX(ROW(E$2:E166)*(E167=E$2:E166)))))</f>
        <v/>
      </c>
      <c r="J167" s="33" t="str">
        <f aca="true">IF(OR(E167="",E167="!!!",F167="NEW"),"",COUNTBLANK(OFFSET(A$1,,,SUMPRODUCT(MAX(ROW(E$2:E167)*(E167=E$2:E167)))))-COUNTBLANK(OFFSET(A$1,,,SUMPRODUCT(MAX(ROW(E$1:E166)*(E2=E$1:E166))))))</f>
        <v/>
      </c>
      <c r="K167" s="33" t="str">
        <f aca="false">IF(OR(E167="",E167="!!!",F167="NEW"),"",INDEX(J$1:J166,SUMPRODUCT(MAX(ROW(E$1:E166)*(E167=E$1:E166)))))</f>
        <v/>
      </c>
      <c r="L167" s="34"/>
    </row>
    <row r="168" customFormat="false" ht="15.8" hidden="false" customHeight="false" outlineLevel="0" collapsed="false">
      <c r="A168" s="20" t="s">
        <v>224</v>
      </c>
      <c r="B168" s="21" t="s">
        <v>168</v>
      </c>
      <c r="C168" s="21" t="s">
        <v>154</v>
      </c>
      <c r="D168" s="21" t="s">
        <v>148</v>
      </c>
      <c r="E168" s="29" t="str">
        <f aca="false">IF(D168="?OLD","!!!","")</f>
        <v>!!!</v>
      </c>
      <c r="F168" s="30" t="str">
        <f aca="false">IF(OR(E168="",E168="!!!"),"",IF(NOT(ISNA(VLOOKUP(E168,E$1:E167,1,FALSE()))),"OLD",IF(AND(E168&lt;&gt;"",E168&lt;&gt;"!!!"),"NEW","")))</f>
        <v/>
      </c>
      <c r="G168" s="31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32" t="str">
        <f aca="false">IF(J168&lt;&gt;1,"",IF(I168="SBJ","CB","?"))</f>
        <v/>
      </c>
      <c r="I168" s="33" t="str">
        <f aca="false">IF(OR(E168="",E168="!!!",F168="NEW"),"",INDEX(B$2:B167,-1+SUMPRODUCT(MAX(ROW(E$2:E167)*(E168=E$2:E167)))))</f>
        <v/>
      </c>
      <c r="J168" s="33" t="str">
        <f aca="true">IF(OR(E168="",E168="!!!",F168="NEW"),"",COUNTBLANK(OFFSET(A$1,,,SUMPRODUCT(MAX(ROW(E$2:E168)*(E168=E$2:E168)))))-COUNTBLANK(OFFSET(A$1,,,SUMPRODUCT(MAX(ROW(E$1:E167)*(E2=E$1:E167))))))</f>
        <v/>
      </c>
      <c r="K168" s="33" t="str">
        <f aca="false">IF(OR(E168="",E168="!!!",F168="NEW"),"",INDEX(J$1:J167,SUMPRODUCT(MAX(ROW(E$1:E167)*(E168=E$1:E167)))))</f>
        <v/>
      </c>
      <c r="L168" s="34"/>
    </row>
    <row r="169" customFormat="false" ht="15.8" hidden="false" customHeight="false" outlineLevel="0" collapsed="false">
      <c r="A169" s="20" t="s">
        <v>155</v>
      </c>
      <c r="E169" s="29" t="str">
        <f aca="false">IF(D169="?OLD","!!!","")</f>
        <v/>
      </c>
      <c r="F169" s="30" t="str">
        <f aca="false">IF(OR(E169="",E169="!!!"),"",IF(NOT(ISNA(VLOOKUP(E169,E$1:E168,1,FALSE()))),"OLD",IF(AND(E169&lt;&gt;"",E169&lt;&gt;"!!!"),"NEW","")))</f>
        <v/>
      </c>
      <c r="G169" s="31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32" t="str">
        <f aca="false">IF(J169&lt;&gt;1,"",IF(I169="SBJ","CB","?"))</f>
        <v/>
      </c>
      <c r="I169" s="33" t="str">
        <f aca="false">IF(OR(E169="",E169="!!!",F169="NEW"),"",INDEX(B$2:B168,-1+SUMPRODUCT(MAX(ROW(E$2:E168)*(E169=E$2:E168)))))</f>
        <v/>
      </c>
      <c r="J169" s="33" t="str">
        <f aca="true">IF(OR(E169="",E169="!!!",F169="NEW"),"",COUNTBLANK(OFFSET(A$1,,,SUMPRODUCT(MAX(ROW(E$2:E169)*(E169=E$2:E169)))))-COUNTBLANK(OFFSET(A$1,,,SUMPRODUCT(MAX(ROW(E$1:E168)*(E2=E$1:E168))))))</f>
        <v/>
      </c>
      <c r="K169" s="33" t="str">
        <f aca="false">IF(OR(E169="",E169="!!!",F169="NEW"),"",INDEX(J$1:J168,SUMPRODUCT(MAX(ROW(E$1:E168)*(E169=E$1:E168)))))</f>
        <v/>
      </c>
      <c r="L169" s="34"/>
    </row>
    <row r="170" customFormat="false" ht="15.8" hidden="false" customHeight="false" outlineLevel="0" collapsed="false">
      <c r="A170" s="20" t="s">
        <v>232</v>
      </c>
      <c r="B170" s="21" t="s">
        <v>170</v>
      </c>
      <c r="C170" s="21" t="s">
        <v>160</v>
      </c>
      <c r="D170" s="21" t="s">
        <v>148</v>
      </c>
      <c r="E170" s="29" t="str">
        <f aca="false">IF(D170="?OLD","!!!","")</f>
        <v>!!!</v>
      </c>
      <c r="F170" s="30" t="str">
        <f aca="false">IF(OR(E170="",E170="!!!"),"",IF(NOT(ISNA(VLOOKUP(E170,E$1:E169,1,FALSE()))),"OLD",IF(AND(E170&lt;&gt;"",E170&lt;&gt;"!!!"),"NEW","")))</f>
        <v/>
      </c>
      <c r="G170" s="31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32" t="str">
        <f aca="false">IF(J170&lt;&gt;1,"",IF(I170="SBJ","CB","?"))</f>
        <v/>
      </c>
      <c r="I170" s="33" t="str">
        <f aca="false">IF(OR(E170="",E170="!!!",F170="NEW"),"",INDEX(B$2:B169,-1+SUMPRODUCT(MAX(ROW(E$2:E169)*(E170=E$2:E169)))))</f>
        <v/>
      </c>
      <c r="J170" s="33" t="str">
        <f aca="true">IF(OR(E170="",E170="!!!",F170="NEW"),"",COUNTBLANK(OFFSET(A$1,,,SUMPRODUCT(MAX(ROW(E$2:E170)*(E170=E$2:E170)))))-COUNTBLANK(OFFSET(A$1,,,SUMPRODUCT(MAX(ROW(E$1:E169)*(E2=E$1:E169))))))</f>
        <v/>
      </c>
      <c r="K170" s="33" t="str">
        <f aca="false">IF(OR(E170="",E170="!!!",F170="NEW"),"",INDEX(J$1:J169,SUMPRODUCT(MAX(ROW(E$1:E169)*(E170=E$1:E169)))))</f>
        <v/>
      </c>
      <c r="L170" s="34"/>
    </row>
    <row r="171" customFormat="false" ht="15.8" hidden="false" customHeight="false" outlineLevel="0" collapsed="false">
      <c r="A171" s="20" t="s">
        <v>225</v>
      </c>
      <c r="E171" s="29" t="str">
        <f aca="false">IF(D171="?OLD","!!!","")</f>
        <v/>
      </c>
      <c r="F171" s="30" t="str">
        <f aca="false">IF(OR(E171="",E171="!!!"),"",IF(NOT(ISNA(VLOOKUP(E171,E$1:E170,1,FALSE()))),"OLD",IF(AND(E171&lt;&gt;"",E171&lt;&gt;"!!!"),"NEW","")))</f>
        <v/>
      </c>
      <c r="G171" s="31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32" t="str">
        <f aca="false">IF(J171&lt;&gt;1,"",IF(I171="SBJ","CB","?"))</f>
        <v/>
      </c>
      <c r="I171" s="33" t="str">
        <f aca="false">IF(OR(E171="",E171="!!!",F171="NEW"),"",INDEX(B$2:B170,-1+SUMPRODUCT(MAX(ROW(E$2:E170)*(E171=E$2:E170)))))</f>
        <v/>
      </c>
      <c r="J171" s="33" t="str">
        <f aca="true">IF(OR(E171="",E171="!!!",F171="NEW"),"",COUNTBLANK(OFFSET(A$1,,,SUMPRODUCT(MAX(ROW(E$2:E171)*(E171=E$2:E171)))))-COUNTBLANK(OFFSET(A$1,,,SUMPRODUCT(MAX(ROW(E$1:E170)*(E2=E$1:E170))))))</f>
        <v/>
      </c>
      <c r="K171" s="33" t="str">
        <f aca="false">IF(OR(E171="",E171="!!!",F171="NEW"),"",INDEX(J$1:J170,SUMPRODUCT(MAX(ROW(E$1:E170)*(E171=E$1:E170)))))</f>
        <v/>
      </c>
      <c r="L171" s="34"/>
    </row>
    <row r="172" customFormat="false" ht="15.8" hidden="false" customHeight="false" outlineLevel="0" collapsed="false">
      <c r="A172" s="20" t="s">
        <v>155</v>
      </c>
      <c r="E172" s="29" t="str">
        <f aca="false">IF(D172="?OLD","!!!","")</f>
        <v/>
      </c>
      <c r="F172" s="30" t="str">
        <f aca="false">IF(OR(E172="",E172="!!!"),"",IF(NOT(ISNA(VLOOKUP(E172,E$1:E171,1,FALSE()))),"OLD",IF(AND(E172&lt;&gt;"",E172&lt;&gt;"!!!"),"NEW","")))</f>
        <v/>
      </c>
      <c r="G172" s="31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32" t="str">
        <f aca="false">IF(J172&lt;&gt;1,"",IF(I172="SBJ","CB","?"))</f>
        <v/>
      </c>
      <c r="I172" s="33" t="str">
        <f aca="false">IF(OR(E172="",E172="!!!",F172="NEW"),"",INDEX(B$2:B171,-1+SUMPRODUCT(MAX(ROW(E$2:E171)*(E172=E$2:E171)))))</f>
        <v/>
      </c>
      <c r="J172" s="33" t="str">
        <f aca="true">IF(OR(E172="",E172="!!!",F172="NEW"),"",COUNTBLANK(OFFSET(A$1,,,SUMPRODUCT(MAX(ROW(E$2:E172)*(E172=E$2:E172)))))-COUNTBLANK(OFFSET(A$1,,,SUMPRODUCT(MAX(ROW(E$1:E171)*(E2=E$1:E171))))))</f>
        <v/>
      </c>
      <c r="K172" s="33" t="str">
        <f aca="false">IF(OR(E172="",E172="!!!",F172="NEW"),"",INDEX(J$1:J171,SUMPRODUCT(MAX(ROW(E$1:E171)*(E172=E$1:E171)))))</f>
        <v/>
      </c>
      <c r="L172" s="34"/>
    </row>
    <row r="173" customFormat="false" ht="15.8" hidden="false" customHeight="false" outlineLevel="0" collapsed="false">
      <c r="A173" s="20" t="s">
        <v>244</v>
      </c>
      <c r="E173" s="29" t="str">
        <f aca="false">IF(D173="?OLD","!!!","")</f>
        <v/>
      </c>
      <c r="F173" s="30" t="str">
        <f aca="false">IF(OR(E173="",E173="!!!"),"",IF(NOT(ISNA(VLOOKUP(E173,E$1:E172,1,FALSE()))),"OLD",IF(AND(E173&lt;&gt;"",E173&lt;&gt;"!!!"),"NEW","")))</f>
        <v/>
      </c>
      <c r="G173" s="31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32" t="str">
        <f aca="false">IF(J173&lt;&gt;1,"",IF(I173="SBJ","CB","?"))</f>
        <v/>
      </c>
      <c r="I173" s="33" t="str">
        <f aca="false">IF(OR(E173="",E173="!!!",F173="NEW"),"",INDEX(B$2:B172,-1+SUMPRODUCT(MAX(ROW(E$2:E172)*(E173=E$2:E172)))))</f>
        <v/>
      </c>
      <c r="J173" s="33" t="str">
        <f aca="true">IF(OR(E173="",E173="!!!",F173="NEW"),"",COUNTBLANK(OFFSET(A$1,,,SUMPRODUCT(MAX(ROW(E$2:E173)*(E173=E$2:E173)))))-COUNTBLANK(OFFSET(A$1,,,SUMPRODUCT(MAX(ROW(E$1:E172)*(E2=E$1:E172))))))</f>
        <v/>
      </c>
      <c r="K173" s="33" t="str">
        <f aca="false">IF(OR(E173="",E173="!!!",F173="NEW"),"",INDEX(J$1:J172,SUMPRODUCT(MAX(ROW(E$1:E172)*(E173=E$1:E172)))))</f>
        <v/>
      </c>
      <c r="L173" s="34"/>
    </row>
    <row r="174" customFormat="false" ht="15.8" hidden="false" customHeight="false" outlineLevel="0" collapsed="false">
      <c r="A174" s="20" t="s">
        <v>199</v>
      </c>
      <c r="B174" s="21" t="s">
        <v>153</v>
      </c>
      <c r="C174" s="21" t="s">
        <v>200</v>
      </c>
      <c r="E174" s="29" t="str">
        <f aca="false">IF(D174="?OLD","!!!","")</f>
        <v/>
      </c>
      <c r="F174" s="30" t="str">
        <f aca="false">IF(OR(E174="",E174="!!!"),"",IF(NOT(ISNA(VLOOKUP(E174,E$1:E173,1,FALSE()))),"OLD",IF(AND(E174&lt;&gt;"",E174&lt;&gt;"!!!"),"NEW","")))</f>
        <v/>
      </c>
      <c r="G174" s="31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32" t="str">
        <f aca="false">IF(J174&lt;&gt;1,"",IF(I174="SBJ","CB","?"))</f>
        <v/>
      </c>
      <c r="I174" s="33" t="str">
        <f aca="false">IF(OR(E174="",E174="!!!",F174="NEW"),"",INDEX(B$2:B173,-1+SUMPRODUCT(MAX(ROW(E$2:E173)*(E174=E$2:E173)))))</f>
        <v/>
      </c>
      <c r="J174" s="33" t="str">
        <f aca="true">IF(OR(E174="",E174="!!!",F174="NEW"),"",COUNTBLANK(OFFSET(A$1,,,SUMPRODUCT(MAX(ROW(E$2:E174)*(E174=E$2:E174)))))-COUNTBLANK(OFFSET(A$1,,,SUMPRODUCT(MAX(ROW(E$1:E173)*(E2=E$1:E173))))))</f>
        <v/>
      </c>
      <c r="K174" s="33" t="str">
        <f aca="false">IF(OR(E174="",E174="!!!",F174="NEW"),"",INDEX(J$1:J173,SUMPRODUCT(MAX(ROW(E$1:E173)*(E174=E$1:E173)))))</f>
        <v/>
      </c>
      <c r="L174" s="34"/>
    </row>
    <row r="175" customFormat="false" ht="15.8" hidden="false" customHeight="false" outlineLevel="0" collapsed="false">
      <c r="A175" s="20" t="s">
        <v>227</v>
      </c>
      <c r="E175" s="29" t="str">
        <f aca="false">IF(D175="?OLD","!!!","")</f>
        <v/>
      </c>
      <c r="F175" s="30" t="str">
        <f aca="false">IF(OR(E175="",E175="!!!"),"",IF(NOT(ISNA(VLOOKUP(E175,E$1:E174,1,FALSE()))),"OLD",IF(AND(E175&lt;&gt;"",E175&lt;&gt;"!!!"),"NEW","")))</f>
        <v/>
      </c>
      <c r="G175" s="31" t="str">
        <f aca="false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32" t="str">
        <f aca="false">IF(J175&lt;&gt;1,"",IF(I175="SBJ","CB","?"))</f>
        <v/>
      </c>
      <c r="I175" s="33" t="str">
        <f aca="false">IF(OR(E175="",E175="!!!",F175="NEW"),"",INDEX(B$2:B174,-1+SUMPRODUCT(MAX(ROW(E$2:E174)*(E175=E$2:E174)))))</f>
        <v/>
      </c>
      <c r="J175" s="33" t="str">
        <f aca="true">IF(OR(E175="",E175="!!!",F175="NEW"),"",COUNTBLANK(OFFSET(A$1,,,SUMPRODUCT(MAX(ROW(E$2:E175)*(E175=E$2:E175)))))-COUNTBLANK(OFFSET(A$1,,,SUMPRODUCT(MAX(ROW(E$1:E174)*(E2=E$1:E174))))))</f>
        <v/>
      </c>
      <c r="K175" s="33" t="str">
        <f aca="false">IF(OR(E175="",E175="!!!",F175="NEW"),"",INDEX(J$1:J174,SUMPRODUCT(MAX(ROW(E$1:E174)*(E175=E$1:E174)))))</f>
        <v/>
      </c>
      <c r="L175" s="34"/>
    </row>
    <row r="176" customFormat="false" ht="15.8" hidden="false" customHeight="false" outlineLevel="0" collapsed="false">
      <c r="A176" s="20" t="s">
        <v>228</v>
      </c>
      <c r="E176" s="29" t="str">
        <f aca="false">IF(D176="?OLD","!!!","")</f>
        <v/>
      </c>
      <c r="F176" s="30" t="str">
        <f aca="false">IF(OR(E176="",E176="!!!"),"",IF(NOT(ISNA(VLOOKUP(E176,E$1:E175,1,FALSE()))),"OLD",IF(AND(E176&lt;&gt;"",E176&lt;&gt;"!!!"),"NEW","")))</f>
        <v/>
      </c>
      <c r="G176" s="31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32" t="str">
        <f aca="false">IF(J176&lt;&gt;1,"",IF(I176="SBJ","CB","?"))</f>
        <v/>
      </c>
      <c r="I176" s="33" t="str">
        <f aca="false">IF(OR(E176="",E176="!!!",F176="NEW"),"",INDEX(B$2:B175,-1+SUMPRODUCT(MAX(ROW(E$2:E175)*(E176=E$2:E175)))))</f>
        <v/>
      </c>
      <c r="J176" s="33" t="str">
        <f aca="true">IF(OR(E176="",E176="!!!",F176="NEW"),"",COUNTBLANK(OFFSET(A$1,,,SUMPRODUCT(MAX(ROW(E$2:E176)*(E176=E$2:E176)))))-COUNTBLANK(OFFSET(A$1,,,SUMPRODUCT(MAX(ROW(E$1:E175)*(E2=E$1:E175))))))</f>
        <v/>
      </c>
      <c r="K176" s="33" t="str">
        <f aca="false">IF(OR(E176="",E176="!!!",F176="NEW"),"",INDEX(J$1:J175,SUMPRODUCT(MAX(ROW(E$1:E175)*(E176=E$1:E175)))))</f>
        <v/>
      </c>
      <c r="L176" s="34"/>
    </row>
    <row r="177" customFormat="false" ht="15.8" hidden="false" customHeight="false" outlineLevel="0" collapsed="false">
      <c r="A177" s="20" t="s">
        <v>229</v>
      </c>
      <c r="E177" s="29" t="str">
        <f aca="false">IF(D177="?OLD","!!!","")</f>
        <v/>
      </c>
      <c r="F177" s="30" t="str">
        <f aca="false">IF(OR(E177="",E177="!!!"),"",IF(NOT(ISNA(VLOOKUP(E177,E$1:E176,1,FALSE()))),"OLD",IF(AND(E177&lt;&gt;"",E177&lt;&gt;"!!!"),"NEW","")))</f>
        <v/>
      </c>
      <c r="G177" s="31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32" t="str">
        <f aca="false">IF(J177&lt;&gt;1,"",IF(I177="SBJ","CB","?"))</f>
        <v/>
      </c>
      <c r="I177" s="33" t="str">
        <f aca="false">IF(OR(E177="",E177="!!!",F177="NEW"),"",INDEX(B$2:B176,-1+SUMPRODUCT(MAX(ROW(E$2:E176)*(E177=E$2:E176)))))</f>
        <v/>
      </c>
      <c r="J177" s="33" t="str">
        <f aca="true">IF(OR(E177="",E177="!!!",F177="NEW"),"",COUNTBLANK(OFFSET(A$1,,,SUMPRODUCT(MAX(ROW(E$2:E177)*(E177=E$2:E177)))))-COUNTBLANK(OFFSET(A$1,,,SUMPRODUCT(MAX(ROW(E$1:E176)*(E2=E$1:E176))))))</f>
        <v/>
      </c>
      <c r="K177" s="33" t="str">
        <f aca="false">IF(OR(E177="",E177="!!!",F177="NEW"),"",INDEX(J$1:J176,SUMPRODUCT(MAX(ROW(E$1:E176)*(E177=E$1:E176)))))</f>
        <v/>
      </c>
      <c r="L177" s="34"/>
    </row>
    <row r="178" customFormat="false" ht="15.8" hidden="false" customHeight="false" outlineLevel="0" collapsed="false">
      <c r="A178" s="20"/>
    </row>
    <row r="179" customFormat="false" ht="15.8" hidden="false" customHeight="false" outlineLevel="0" collapsed="false">
      <c r="A179" s="20" t="s">
        <v>245</v>
      </c>
    </row>
    <row r="180" customFormat="false" ht="15.8" hidden="false" customHeight="false" outlineLevel="0" collapsed="false">
      <c r="A180" s="20" t="s">
        <v>240</v>
      </c>
      <c r="B180" s="21" t="s">
        <v>146</v>
      </c>
      <c r="C180" s="21" t="s">
        <v>160</v>
      </c>
      <c r="D180" s="21" t="s">
        <v>148</v>
      </c>
      <c r="E180" s="29" t="str">
        <f aca="false">IF(D180="?OLD","!!!","")</f>
        <v>!!!</v>
      </c>
      <c r="F180" s="30" t="str">
        <f aca="false">IF(OR(E180="",E180="!!!"),"",IF(NOT(ISNA(VLOOKUP(E180,E$1:E179,1,FALSE()))),"OLD",IF(AND(E180&lt;&gt;"",E180&lt;&gt;"!!!"),"NEW","")))</f>
        <v/>
      </c>
      <c r="G180" s="31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32" t="str">
        <f aca="false">IF(J180&lt;&gt;1,"",IF(I180="SBJ","CB","?"))</f>
        <v/>
      </c>
      <c r="I180" s="33" t="str">
        <f aca="false">IF(OR(E180="",E180="!!!",F180="NEW"),"",INDEX(B$2:B179,-1+SUMPRODUCT(MAX(ROW(E$2:E179)*(E180=E$2:E179)))))</f>
        <v/>
      </c>
      <c r="J180" s="33" t="str">
        <f aca="true">IF(OR(E180="",E180="!!!",F180="NEW"),"",COUNTBLANK(OFFSET(A$1,,,SUMPRODUCT(MAX(ROW(E$2:E180)*(E180=E$2:E180)))))-COUNTBLANK(OFFSET(A$1,,,SUMPRODUCT(MAX(ROW(E$1:E179)*(E2=E$1:E179))))))</f>
        <v/>
      </c>
      <c r="K180" s="33" t="str">
        <f aca="false">IF(OR(E180="",E180="!!!",F180="NEW"),"",INDEX(J$1:J179,SUMPRODUCT(MAX(ROW(E$1:E179)*(E180=E$1:E179)))))</f>
        <v/>
      </c>
      <c r="L180" s="34"/>
    </row>
    <row r="181" customFormat="false" ht="15.8" hidden="false" customHeight="false" outlineLevel="0" collapsed="false">
      <c r="A181" s="20" t="s">
        <v>197</v>
      </c>
      <c r="E181" s="29" t="str">
        <f aca="false">IF(D181="?OLD","!!!","")</f>
        <v/>
      </c>
      <c r="F181" s="30" t="str">
        <f aca="false">IF(OR(E181="",E181="!!!"),"",IF(NOT(ISNA(VLOOKUP(E181,E$1:E180,1,FALSE()))),"OLD",IF(AND(E181&lt;&gt;"",E181&lt;&gt;"!!!"),"NEW","")))</f>
        <v/>
      </c>
      <c r="G181" s="31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32" t="str">
        <f aca="false">IF(J181&lt;&gt;1,"",IF(I181="SBJ","CB","?"))</f>
        <v/>
      </c>
      <c r="I181" s="33" t="str">
        <f aca="false">IF(OR(E181="",E181="!!!",F181="NEW"),"",INDEX(B$2:B180,-1+SUMPRODUCT(MAX(ROW(E$2:E180)*(E181=E$2:E180)))))</f>
        <v/>
      </c>
      <c r="J181" s="33" t="str">
        <f aca="true">IF(OR(E181="",E181="!!!",F181="NEW"),"",COUNTBLANK(OFFSET(A$1,,,SUMPRODUCT(MAX(ROW(E$2:E181)*(E181=E$2:E181)))))-COUNTBLANK(OFFSET(A$1,,,SUMPRODUCT(MAX(ROW(E$1:E180)*(E2=E$1:E180))))))</f>
        <v/>
      </c>
      <c r="K181" s="33" t="str">
        <f aca="false">IF(OR(E181="",E181="!!!",F181="NEW"),"",INDEX(J$1:J180,SUMPRODUCT(MAX(ROW(E$1:E180)*(E181=E$1:E180)))))</f>
        <v/>
      </c>
      <c r="L181" s="34"/>
    </row>
    <row r="182" customFormat="false" ht="15.8" hidden="false" customHeight="false" outlineLevel="0" collapsed="false">
      <c r="A182" s="20" t="s">
        <v>246</v>
      </c>
      <c r="E182" s="29" t="str">
        <f aca="false">IF(D182="?OLD","!!!","")</f>
        <v/>
      </c>
      <c r="F182" s="30" t="str">
        <f aca="false">IF(OR(E182="",E182="!!!"),"",IF(NOT(ISNA(VLOOKUP(E182,E$1:E181,1,FALSE()))),"OLD",IF(AND(E182&lt;&gt;"",E182&lt;&gt;"!!!"),"NEW","")))</f>
        <v/>
      </c>
      <c r="G182" s="31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32" t="str">
        <f aca="false">IF(J182&lt;&gt;1,"",IF(I182="SBJ","CB","?"))</f>
        <v/>
      </c>
      <c r="I182" s="33" t="str">
        <f aca="false">IF(OR(E182="",E182="!!!",F182="NEW"),"",INDEX(B$2:B181,-1+SUMPRODUCT(MAX(ROW(E$2:E181)*(E182=E$2:E181)))))</f>
        <v/>
      </c>
      <c r="J182" s="33" t="str">
        <f aca="true">IF(OR(E182="",E182="!!!",F182="NEW"),"",COUNTBLANK(OFFSET(A$1,,,SUMPRODUCT(MAX(ROW(E$2:E182)*(E182=E$2:E182)))))-COUNTBLANK(OFFSET(A$1,,,SUMPRODUCT(MAX(ROW(E$1:E181)*(E2=E$1:E181))))))</f>
        <v/>
      </c>
      <c r="K182" s="33" t="str">
        <f aca="false">IF(OR(E182="",E182="!!!",F182="NEW"),"",INDEX(J$1:J181,SUMPRODUCT(MAX(ROW(E$1:E181)*(E182=E$1:E181)))))</f>
        <v/>
      </c>
      <c r="L182" s="34"/>
    </row>
    <row r="183" customFormat="false" ht="15.8" hidden="false" customHeight="false" outlineLevel="0" collapsed="false">
      <c r="A183" s="20" t="s">
        <v>199</v>
      </c>
      <c r="B183" s="21" t="s">
        <v>163</v>
      </c>
      <c r="C183" s="21" t="s">
        <v>200</v>
      </c>
      <c r="E183" s="29" t="str">
        <f aca="false">IF(D183="?OLD","!!!","")</f>
        <v/>
      </c>
      <c r="F183" s="30" t="str">
        <f aca="false">IF(OR(E183="",E183="!!!"),"",IF(NOT(ISNA(VLOOKUP(E183,E$1:E182,1,FALSE()))),"OLD",IF(AND(E183&lt;&gt;"",E183&lt;&gt;"!!!"),"NEW","")))</f>
        <v/>
      </c>
      <c r="G183" s="31" t="str">
        <f aca="false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32" t="str">
        <f aca="false">IF(J183&lt;&gt;1,"",IF(I183="SBJ","CB","?"))</f>
        <v/>
      </c>
      <c r="I183" s="33" t="str">
        <f aca="false">IF(OR(E183="",E183="!!!",F183="NEW"),"",INDEX(B$2:B182,-1+SUMPRODUCT(MAX(ROW(E$2:E182)*(E183=E$2:E182)))))</f>
        <v/>
      </c>
      <c r="J183" s="33" t="str">
        <f aca="true">IF(OR(E183="",E183="!!!",F183="NEW"),"",COUNTBLANK(OFFSET(A$1,,,SUMPRODUCT(MAX(ROW(E$2:E183)*(E183=E$2:E183)))))-COUNTBLANK(OFFSET(A$1,,,SUMPRODUCT(MAX(ROW(E$1:E182)*(E2=E$1:E182))))))</f>
        <v/>
      </c>
      <c r="K183" s="33" t="str">
        <f aca="false">IF(OR(E183="",E183="!!!",F183="NEW"),"",INDEX(J$1:J182,SUMPRODUCT(MAX(ROW(E$1:E182)*(E183=E$1:E182)))))</f>
        <v/>
      </c>
      <c r="L183" s="34"/>
    </row>
    <row r="184" customFormat="false" ht="15.8" hidden="false" customHeight="false" outlineLevel="0" collapsed="false">
      <c r="A184" s="20" t="s">
        <v>193</v>
      </c>
      <c r="E184" s="29" t="str">
        <f aca="false">IF(D184="?OLD","!!!","")</f>
        <v/>
      </c>
      <c r="F184" s="30" t="str">
        <f aca="false">IF(OR(E184="",E184="!!!"),"",IF(NOT(ISNA(VLOOKUP(E184,E$1:E183,1,FALSE()))),"OLD",IF(AND(E184&lt;&gt;"",E184&lt;&gt;"!!!"),"NEW","")))</f>
        <v/>
      </c>
      <c r="G184" s="31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32" t="str">
        <f aca="false">IF(J184&lt;&gt;1,"",IF(I184="SBJ","CB","?"))</f>
        <v/>
      </c>
      <c r="I184" s="33" t="str">
        <f aca="false">IF(OR(E184="",E184="!!!",F184="NEW"),"",INDEX(B$2:B183,-1+SUMPRODUCT(MAX(ROW(E$2:E183)*(E184=E$2:E183)))))</f>
        <v/>
      </c>
      <c r="J184" s="33" t="str">
        <f aca="true">IF(OR(E184="",E184="!!!",F184="NEW"),"",COUNTBLANK(OFFSET(A$1,,,SUMPRODUCT(MAX(ROW(E$2:E184)*(E184=E$2:E184)))))-COUNTBLANK(OFFSET(A$1,,,SUMPRODUCT(MAX(ROW(E$1:E183)*(E2=E$1:E183))))))</f>
        <v/>
      </c>
      <c r="K184" s="33" t="str">
        <f aca="false">IF(OR(E184="",E184="!!!",F184="NEW"),"",INDEX(J$1:J183,SUMPRODUCT(MAX(ROW(E$1:E183)*(E184=E$1:E183)))))</f>
        <v/>
      </c>
      <c r="L184" s="34"/>
    </row>
    <row r="185" customFormat="false" ht="15.8" hidden="false" customHeight="false" outlineLevel="0" collapsed="false">
      <c r="A185" s="20" t="s">
        <v>201</v>
      </c>
      <c r="E185" s="29" t="str">
        <f aca="false">IF(D185="?OLD","!!!","")</f>
        <v/>
      </c>
      <c r="F185" s="30" t="str">
        <f aca="false">IF(OR(E185="",E185="!!!"),"",IF(NOT(ISNA(VLOOKUP(E185,E$1:E184,1,FALSE()))),"OLD",IF(AND(E185&lt;&gt;"",E185&lt;&gt;"!!!"),"NEW","")))</f>
        <v/>
      </c>
      <c r="G185" s="31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32" t="str">
        <f aca="false">IF(J185&lt;&gt;1,"",IF(I185="SBJ","CB","?"))</f>
        <v/>
      </c>
      <c r="I185" s="33" t="str">
        <f aca="false">IF(OR(E185="",E185="!!!",F185="NEW"),"",INDEX(B$2:B184,-1+SUMPRODUCT(MAX(ROW(E$2:E184)*(E185=E$2:E184)))))</f>
        <v/>
      </c>
      <c r="J185" s="33" t="str">
        <f aca="true">IF(OR(E185="",E185="!!!",F185="NEW"),"",COUNTBLANK(OFFSET(A$1,,,SUMPRODUCT(MAX(ROW(E$2:E185)*(E185=E$2:E185)))))-COUNTBLANK(OFFSET(A$1,,,SUMPRODUCT(MAX(ROW(E$1:E184)*(E2=E$1:E184))))))</f>
        <v/>
      </c>
      <c r="K185" s="33" t="str">
        <f aca="false">IF(OR(E185="",E185="!!!",F185="NEW"),"",INDEX(J$1:J184,SUMPRODUCT(MAX(ROW(E$1:E184)*(E185=E$1:E184)))))</f>
        <v/>
      </c>
      <c r="L185" s="34"/>
    </row>
    <row r="186" customFormat="false" ht="15.8" hidden="false" customHeight="false" outlineLevel="0" collapsed="false">
      <c r="A186" s="20" t="s">
        <v>247</v>
      </c>
      <c r="B186" s="21" t="s">
        <v>174</v>
      </c>
      <c r="C186" s="21" t="s">
        <v>160</v>
      </c>
      <c r="D186" s="21" t="s">
        <v>148</v>
      </c>
      <c r="E186" s="29" t="str">
        <f aca="false">IF(D186="?OLD","!!!","")</f>
        <v>!!!</v>
      </c>
      <c r="F186" s="30" t="str">
        <f aca="false">IF(OR(E186="",E186="!!!"),"",IF(NOT(ISNA(VLOOKUP(E186,E$1:E185,1,FALSE()))),"OLD",IF(AND(E186&lt;&gt;"",E186&lt;&gt;"!!!"),"NEW","")))</f>
        <v/>
      </c>
      <c r="G186" s="31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32" t="str">
        <f aca="false">IF(J186&lt;&gt;1,"",IF(I186="SBJ","CB","?"))</f>
        <v/>
      </c>
      <c r="I186" s="33" t="str">
        <f aca="false">IF(OR(E186="",E186="!!!",F186="NEW"),"",INDEX(B$2:B185,-1+SUMPRODUCT(MAX(ROW(E$2:E185)*(E186=E$2:E185)))))</f>
        <v/>
      </c>
      <c r="J186" s="33" t="str">
        <f aca="true">IF(OR(E186="",E186="!!!",F186="NEW"),"",COUNTBLANK(OFFSET(A$1,,,SUMPRODUCT(MAX(ROW(E$2:E186)*(E186=E$2:E186)))))-COUNTBLANK(OFFSET(A$1,,,SUMPRODUCT(MAX(ROW(E$1:E185)*(E2=E$1:E185))))))</f>
        <v/>
      </c>
      <c r="K186" s="33" t="str">
        <f aca="false">IF(OR(E186="",E186="!!!",F186="NEW"),"",INDEX(J$1:J185,SUMPRODUCT(MAX(ROW(E$1:E185)*(E186=E$1:E185)))))</f>
        <v/>
      </c>
      <c r="L186" s="34"/>
    </row>
    <row r="187" customFormat="false" ht="15.8" hidden="false" customHeight="false" outlineLevel="0" collapsed="false">
      <c r="A187" s="20"/>
    </row>
    <row r="188" customFormat="false" ht="15.8" hidden="false" customHeight="false" outlineLevel="0" collapsed="false">
      <c r="A188" s="20" t="s">
        <v>248</v>
      </c>
    </row>
    <row r="189" customFormat="false" ht="15.8" hidden="false" customHeight="false" outlineLevel="0" collapsed="false">
      <c r="A189" s="20" t="s">
        <v>240</v>
      </c>
      <c r="E189" s="29" t="str">
        <f aca="false">IF(D189="?OLD","!!!","")</f>
        <v/>
      </c>
      <c r="F189" s="30" t="str">
        <f aca="false">IF(OR(E189="",E189="!!!"),"",IF(NOT(ISNA(VLOOKUP(E189,E$1:E188,1,FALSE()))),"OLD",IF(AND(E189&lt;&gt;"",E189&lt;&gt;"!!!"),"NEW","")))</f>
        <v/>
      </c>
      <c r="G189" s="31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32" t="str">
        <f aca="false">IF(J189&lt;&gt;1,"",IF(I189="SBJ","CB","?"))</f>
        <v/>
      </c>
      <c r="I189" s="33" t="str">
        <f aca="false">IF(OR(E189="",E189="!!!",F189="NEW"),"",INDEX(B$2:B188,-1+SUMPRODUCT(MAX(ROW(E$2:E188)*(E189=E$2:E188)))))</f>
        <v/>
      </c>
      <c r="J189" s="33" t="str">
        <f aca="true">IF(OR(E189="",E189="!!!",F189="NEW"),"",COUNTBLANK(OFFSET(A$1,,,SUMPRODUCT(MAX(ROW(E$2:E189)*(E189=E$2:E189)))))-COUNTBLANK(OFFSET(A$1,,,SUMPRODUCT(MAX(ROW(E$1:E188)*(E2=E$1:E188))))))</f>
        <v/>
      </c>
      <c r="K189" s="33" t="str">
        <f aca="false">IF(OR(E189="",E189="!!!",F189="NEW"),"",INDEX(J$1:J188,SUMPRODUCT(MAX(ROW(E$1:E188)*(E189=E$1:E188)))))</f>
        <v/>
      </c>
      <c r="L189" s="34"/>
    </row>
    <row r="190" customFormat="false" ht="15.8" hidden="false" customHeight="false" outlineLevel="0" collapsed="false">
      <c r="A190" s="20" t="s">
        <v>234</v>
      </c>
      <c r="E190" s="29" t="str">
        <f aca="false">IF(D190="?OLD","!!!","")</f>
        <v/>
      </c>
      <c r="F190" s="30" t="str">
        <f aca="false">IF(OR(E190="",E190="!!!"),"",IF(NOT(ISNA(VLOOKUP(E190,E$1:E189,1,FALSE()))),"OLD",IF(AND(E190&lt;&gt;"",E190&lt;&gt;"!!!"),"NEW","")))</f>
        <v/>
      </c>
      <c r="G190" s="31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32" t="str">
        <f aca="false">IF(J190&lt;&gt;1,"",IF(I190="SBJ","CB","?"))</f>
        <v/>
      </c>
      <c r="I190" s="33" t="str">
        <f aca="false">IF(OR(E190="",E190="!!!",F190="NEW"),"",INDEX(B$2:B189,-1+SUMPRODUCT(MAX(ROW(E$2:E189)*(E190=E$2:E189)))))</f>
        <v/>
      </c>
      <c r="J190" s="33" t="str">
        <f aca="true">IF(OR(E190="",E190="!!!",F190="NEW"),"",COUNTBLANK(OFFSET(A$1,,,SUMPRODUCT(MAX(ROW(E$2:E190)*(E190=E$2:E190)))))-COUNTBLANK(OFFSET(A$1,,,SUMPRODUCT(MAX(ROW(E$1:E189)*(E2=E$1:E189))))))</f>
        <v/>
      </c>
      <c r="K190" s="33" t="str">
        <f aca="false">IF(OR(E190="",E190="!!!",F190="NEW"),"",INDEX(J$1:J189,SUMPRODUCT(MAX(ROW(E$1:E189)*(E190=E$1:E189)))))</f>
        <v/>
      </c>
      <c r="L190" s="34"/>
    </row>
    <row r="191" customFormat="false" ht="15.8" hidden="false" customHeight="false" outlineLevel="0" collapsed="false">
      <c r="A191" s="20" t="s">
        <v>214</v>
      </c>
      <c r="E191" s="29" t="str">
        <f aca="false">IF(D191="?OLD","!!!","")</f>
        <v/>
      </c>
      <c r="F191" s="30" t="str">
        <f aca="false">IF(OR(E191="",E191="!!!"),"",IF(NOT(ISNA(VLOOKUP(E191,E$1:E190,1,FALSE()))),"OLD",IF(AND(E191&lt;&gt;"",E191&lt;&gt;"!!!"),"NEW","")))</f>
        <v/>
      </c>
      <c r="G191" s="31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32" t="str">
        <f aca="false">IF(J191&lt;&gt;1,"",IF(I191="SBJ","CB","?"))</f>
        <v/>
      </c>
      <c r="I191" s="33" t="str">
        <f aca="false">IF(OR(E191="",E191="!!!",F191="NEW"),"",INDEX(B$2:B190,-1+SUMPRODUCT(MAX(ROW(E$2:E190)*(E191=E$2:E190)))))</f>
        <v/>
      </c>
      <c r="J191" s="33" t="str">
        <f aca="true">IF(OR(E191="",E191="!!!",F191="NEW"),"",COUNTBLANK(OFFSET(A$1,,,SUMPRODUCT(MAX(ROW(E$2:E191)*(E191=E$2:E191)))))-COUNTBLANK(OFFSET(A$1,,,SUMPRODUCT(MAX(ROW(E$1:E190)*(E2=E$1:E190))))))</f>
        <v/>
      </c>
      <c r="K191" s="33" t="str">
        <f aca="false">IF(OR(E191="",E191="!!!",F191="NEW"),"",INDEX(J$1:J190,SUMPRODUCT(MAX(ROW(E$1:E190)*(E191=E$1:E190)))))</f>
        <v/>
      </c>
      <c r="L191" s="34"/>
    </row>
    <row r="192" customFormat="false" ht="15.8" hidden="false" customHeight="false" outlineLevel="0" collapsed="false">
      <c r="A192" s="20" t="s">
        <v>215</v>
      </c>
      <c r="E192" s="29" t="str">
        <f aca="false">IF(D192="?OLD","!!!","")</f>
        <v/>
      </c>
      <c r="F192" s="30" t="str">
        <f aca="false">IF(OR(E192="",E192="!!!"),"",IF(NOT(ISNA(VLOOKUP(E192,E$1:E191,1,FALSE()))),"OLD",IF(AND(E192&lt;&gt;"",E192&lt;&gt;"!!!"),"NEW","")))</f>
        <v/>
      </c>
      <c r="G192" s="31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32" t="str">
        <f aca="false">IF(J192&lt;&gt;1,"",IF(I192="SBJ","CB","?"))</f>
        <v/>
      </c>
      <c r="I192" s="33" t="str">
        <f aca="false">IF(OR(E192="",E192="!!!",F192="NEW"),"",INDEX(B$2:B191,-1+SUMPRODUCT(MAX(ROW(E$2:E191)*(E192=E$2:E191)))))</f>
        <v/>
      </c>
      <c r="J192" s="33" t="str">
        <f aca="true">IF(OR(E192="",E192="!!!",F192="NEW"),"",COUNTBLANK(OFFSET(A$1,,,SUMPRODUCT(MAX(ROW(E$2:E192)*(E192=E$2:E192)))))-COUNTBLANK(OFFSET(A$1,,,SUMPRODUCT(MAX(ROW(E$1:E191)*(E2=E$1:E191))))))</f>
        <v/>
      </c>
      <c r="K192" s="33" t="str">
        <f aca="false">IF(OR(E192="",E192="!!!",F192="NEW"),"",INDEX(J$1:J191,SUMPRODUCT(MAX(ROW(E$1:E191)*(E192=E$1:E191)))))</f>
        <v/>
      </c>
      <c r="L192" s="34"/>
    </row>
    <row r="193" customFormat="false" ht="15.8" hidden="false" customHeight="false" outlineLevel="0" collapsed="false">
      <c r="A193" s="20" t="s">
        <v>249</v>
      </c>
      <c r="B193" s="21" t="s">
        <v>174</v>
      </c>
      <c r="C193" s="21" t="s">
        <v>160</v>
      </c>
      <c r="D193" s="21" t="s">
        <v>148</v>
      </c>
      <c r="E193" s="29" t="str">
        <f aca="false">IF(D193="?OLD","!!!","")</f>
        <v>!!!</v>
      </c>
      <c r="F193" s="30" t="str">
        <f aca="false">IF(OR(E193="",E193="!!!"),"",IF(NOT(ISNA(VLOOKUP(E193,E$1:E192,1,FALSE()))),"OLD",IF(AND(E193&lt;&gt;"",E193&lt;&gt;"!!!"),"NEW","")))</f>
        <v/>
      </c>
      <c r="G193" s="31" t="str">
        <f aca="false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32" t="str">
        <f aca="false">IF(J193&lt;&gt;1,"",IF(I193="SBJ","CB","?"))</f>
        <v/>
      </c>
      <c r="I193" s="33" t="str">
        <f aca="false">IF(OR(E193="",E193="!!!",F193="NEW"),"",INDEX(B$2:B192,-1+SUMPRODUCT(MAX(ROW(E$2:E192)*(E193=E$2:E192)))))</f>
        <v/>
      </c>
      <c r="J193" s="33" t="str">
        <f aca="true">IF(OR(E193="",E193="!!!",F193="NEW"),"",COUNTBLANK(OFFSET(A$1,,,SUMPRODUCT(MAX(ROW(E$2:E193)*(E193=E$2:E193)))))-COUNTBLANK(OFFSET(A$1,,,SUMPRODUCT(MAX(ROW(E$1:E192)*(E2=E$1:E192))))))</f>
        <v/>
      </c>
      <c r="K193" s="33" t="str">
        <f aca="false">IF(OR(E193="",E193="!!!",F193="NEW"),"",INDEX(J$1:J192,SUMPRODUCT(MAX(ROW(E$1:E192)*(E193=E$1:E192)))))</f>
        <v/>
      </c>
      <c r="L193" s="34"/>
    </row>
    <row r="194" customFormat="false" ht="15.8" hidden="false" customHeight="false" outlineLevel="0" collapsed="false">
      <c r="A194" s="20" t="s">
        <v>250</v>
      </c>
      <c r="B194" s="21" t="s">
        <v>146</v>
      </c>
      <c r="C194" s="21" t="s">
        <v>251</v>
      </c>
      <c r="E194" s="29" t="str">
        <f aca="false">IF(D194="?OLD","!!!","")</f>
        <v/>
      </c>
      <c r="F194" s="30" t="str">
        <f aca="false">IF(OR(E194="",E194="!!!"),"",IF(NOT(ISNA(VLOOKUP(E194,E$1:E193,1,FALSE()))),"OLD",IF(AND(E194&lt;&gt;"",E194&lt;&gt;"!!!"),"NEW","")))</f>
        <v/>
      </c>
      <c r="G194" s="31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32" t="str">
        <f aca="false">IF(J194&lt;&gt;1,"",IF(I194="SBJ","CB","?"))</f>
        <v/>
      </c>
      <c r="I194" s="33" t="str">
        <f aca="false">IF(OR(E194="",E194="!!!",F194="NEW"),"",INDEX(B$2:B193,-1+SUMPRODUCT(MAX(ROW(E$2:E193)*(E194=E$2:E193)))))</f>
        <v/>
      </c>
      <c r="J194" s="33" t="str">
        <f aca="true">IF(OR(E194="",E194="!!!",F194="NEW"),"",COUNTBLANK(OFFSET(A$1,,,SUMPRODUCT(MAX(ROW(E$2:E194)*(E194=E$2:E194)))))-COUNTBLANK(OFFSET(A$1,,,SUMPRODUCT(MAX(ROW(E$1:E193)*(E2=E$1:E193))))))</f>
        <v/>
      </c>
      <c r="K194" s="33" t="str">
        <f aca="false">IF(OR(E194="",E194="!!!",F194="NEW"),"",INDEX(J$1:J193,SUMPRODUCT(MAX(ROW(E$1:E193)*(E194=E$1:E193)))))</f>
        <v/>
      </c>
      <c r="L194" s="34"/>
    </row>
    <row r="195" customFormat="false" ht="15.8" hidden="false" customHeight="false" outlineLevel="0" collapsed="false">
      <c r="A195" s="20" t="s">
        <v>216</v>
      </c>
      <c r="E195" s="29" t="str">
        <f aca="false">IF(D195="?OLD","!!!","")</f>
        <v/>
      </c>
      <c r="F195" s="30" t="str">
        <f aca="false">IF(OR(E195="",E195="!!!"),"",IF(NOT(ISNA(VLOOKUP(E195,E$1:E194,1,FALSE()))),"OLD",IF(AND(E195&lt;&gt;"",E195&lt;&gt;"!!!"),"NEW","")))</f>
        <v/>
      </c>
      <c r="G195" s="31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32" t="str">
        <f aca="false">IF(J195&lt;&gt;1,"",IF(I195="SBJ","CB","?"))</f>
        <v/>
      </c>
      <c r="I195" s="33" t="str">
        <f aca="false">IF(OR(E195="",E195="!!!",F195="NEW"),"",INDEX(B$2:B194,-1+SUMPRODUCT(MAX(ROW(E$2:E194)*(E195=E$2:E194)))))</f>
        <v/>
      </c>
      <c r="J195" s="33" t="str">
        <f aca="true">IF(OR(E195="",E195="!!!",F195="NEW"),"",COUNTBLANK(OFFSET(A$1,,,SUMPRODUCT(MAX(ROW(E$2:E195)*(E195=E$2:E195)))))-COUNTBLANK(OFFSET(A$1,,,SUMPRODUCT(MAX(ROW(E$1:E194)*(E2=E$1:E194))))))</f>
        <v/>
      </c>
      <c r="K195" s="33" t="str">
        <f aca="false">IF(OR(E195="",E195="!!!",F195="NEW"),"",INDEX(J$1:J194,SUMPRODUCT(MAX(ROW(E$1:E194)*(E195=E$1:E194)))))</f>
        <v/>
      </c>
      <c r="L195" s="34"/>
    </row>
    <row r="196" customFormat="false" ht="15.8" hidden="false" customHeight="false" outlineLevel="0" collapsed="false">
      <c r="A196" s="20" t="s">
        <v>217</v>
      </c>
      <c r="E196" s="29" t="str">
        <f aca="false">IF(D196="?OLD","!!!","")</f>
        <v/>
      </c>
      <c r="F196" s="30" t="str">
        <f aca="false">IF(OR(E196="",E196="!!!"),"",IF(NOT(ISNA(VLOOKUP(E196,E$1:E195,1,FALSE()))),"OLD",IF(AND(E196&lt;&gt;"",E196&lt;&gt;"!!!"),"NEW","")))</f>
        <v/>
      </c>
      <c r="G196" s="31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32" t="str">
        <f aca="false">IF(J196&lt;&gt;1,"",IF(I196="SBJ","CB","?"))</f>
        <v/>
      </c>
      <c r="I196" s="33" t="str">
        <f aca="false">IF(OR(E196="",E196="!!!",F196="NEW"),"",INDEX(B$2:B195,-1+SUMPRODUCT(MAX(ROW(E$2:E195)*(E196=E$2:E195)))))</f>
        <v/>
      </c>
      <c r="J196" s="33" t="str">
        <f aca="true">IF(OR(E196="",E196="!!!",F196="NEW"),"",COUNTBLANK(OFFSET(A$1,,,SUMPRODUCT(MAX(ROW(E$2:E196)*(E196=E$2:E196)))))-COUNTBLANK(OFFSET(A$1,,,SUMPRODUCT(MAX(ROW(E$1:E195)*(E2=E$1:E195))))))</f>
        <v/>
      </c>
      <c r="K196" s="33" t="str">
        <f aca="false">IF(OR(E196="",E196="!!!",F196="NEW"),"",INDEX(J$1:J195,SUMPRODUCT(MAX(ROW(E$1:E195)*(E196=E$1:E195)))))</f>
        <v/>
      </c>
      <c r="L196" s="34"/>
    </row>
    <row r="197" customFormat="false" ht="15.8" hidden="false" customHeight="false" outlineLevel="0" collapsed="false">
      <c r="A197" s="20" t="s">
        <v>252</v>
      </c>
      <c r="E197" s="29" t="str">
        <f aca="false">IF(D197="?OLD","!!!","")</f>
        <v/>
      </c>
      <c r="F197" s="30" t="str">
        <f aca="false">IF(OR(E197="",E197="!!!"),"",IF(NOT(ISNA(VLOOKUP(E197,E$1:E196,1,FALSE()))),"OLD",IF(AND(E197&lt;&gt;"",E197&lt;&gt;"!!!"),"NEW","")))</f>
        <v/>
      </c>
      <c r="G197" s="31" t="str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32" t="str">
        <f aca="false">IF(J197&lt;&gt;1,"",IF(I197="SBJ","CB","?"))</f>
        <v/>
      </c>
      <c r="I197" s="33" t="str">
        <f aca="false">IF(OR(E197="",E197="!!!",F197="NEW"),"",INDEX(B$2:B196,-1+SUMPRODUCT(MAX(ROW(E$2:E196)*(E197=E$2:E196)))))</f>
        <v/>
      </c>
      <c r="J197" s="33" t="str">
        <f aca="true">IF(OR(E197="",E197="!!!",F197="NEW"),"",COUNTBLANK(OFFSET(A$1,,,SUMPRODUCT(MAX(ROW(E$2:E197)*(E197=E$2:E197)))))-COUNTBLANK(OFFSET(A$1,,,SUMPRODUCT(MAX(ROW(E$1:E196)*(E2=E$1:E196))))))</f>
        <v/>
      </c>
      <c r="K197" s="33" t="str">
        <f aca="false">IF(OR(E197="",E197="!!!",F197="NEW"),"",INDEX(J$1:J196,SUMPRODUCT(MAX(ROW(E$1:E196)*(E197=E$1:E196)))))</f>
        <v/>
      </c>
      <c r="L197" s="34"/>
    </row>
    <row r="198" customFormat="false" ht="15.8" hidden="false" customHeight="false" outlineLevel="0" collapsed="false">
      <c r="A198" s="20" t="s">
        <v>199</v>
      </c>
      <c r="B198" s="21" t="s">
        <v>163</v>
      </c>
      <c r="C198" s="21" t="s">
        <v>200</v>
      </c>
      <c r="E198" s="29" t="str">
        <f aca="false">IF(D198="?OLD","!!!","")</f>
        <v/>
      </c>
      <c r="F198" s="30" t="str">
        <f aca="false">IF(OR(E198="",E198="!!!"),"",IF(NOT(ISNA(VLOOKUP(E198,E$1:E197,1,FALSE()))),"OLD",IF(AND(E198&lt;&gt;"",E198&lt;&gt;"!!!"),"NEW","")))</f>
        <v/>
      </c>
      <c r="G198" s="31" t="str">
        <f aca="false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32" t="str">
        <f aca="false">IF(J198&lt;&gt;1,"",IF(I198="SBJ","CB","?"))</f>
        <v/>
      </c>
      <c r="I198" s="33" t="str">
        <f aca="false">IF(OR(E198="",E198="!!!",F198="NEW"),"",INDEX(B$2:B197,-1+SUMPRODUCT(MAX(ROW(E$2:E197)*(E198=E$2:E197)))))</f>
        <v/>
      </c>
      <c r="J198" s="33" t="str">
        <f aca="true">IF(OR(E198="",E198="!!!",F198="NEW"),"",COUNTBLANK(OFFSET(A$1,,,SUMPRODUCT(MAX(ROW(E$2:E198)*(E198=E$2:E198)))))-COUNTBLANK(OFFSET(A$1,,,SUMPRODUCT(MAX(ROW(E$1:E197)*(E2=E$1:E197))))))</f>
        <v/>
      </c>
      <c r="K198" s="33" t="str">
        <f aca="false">IF(OR(E198="",E198="!!!",F198="NEW"),"",INDEX(J$1:J197,SUMPRODUCT(MAX(ROW(E$1:E197)*(E198=E$1:E197)))))</f>
        <v/>
      </c>
      <c r="L198" s="34"/>
    </row>
    <row r="199" customFormat="false" ht="15.8" hidden="false" customHeight="false" outlineLevel="0" collapsed="false">
      <c r="A199" s="20" t="s">
        <v>187</v>
      </c>
      <c r="E199" s="29" t="str">
        <f aca="false">IF(D199="?OLD","!!!","")</f>
        <v/>
      </c>
      <c r="F199" s="30" t="str">
        <f aca="false">IF(OR(E199="",E199="!!!"),"",IF(NOT(ISNA(VLOOKUP(E199,E$1:E198,1,FALSE()))),"OLD",IF(AND(E199&lt;&gt;"",E199&lt;&gt;"!!!"),"NEW","")))</f>
        <v/>
      </c>
      <c r="G199" s="31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32" t="str">
        <f aca="false">IF(J199&lt;&gt;1,"",IF(I199="SBJ","CB","?"))</f>
        <v/>
      </c>
      <c r="I199" s="33" t="str">
        <f aca="false">IF(OR(E199="",E199="!!!",F199="NEW"),"",INDEX(B$2:B198,-1+SUMPRODUCT(MAX(ROW(E$2:E198)*(E199=E$2:E198)))))</f>
        <v/>
      </c>
      <c r="J199" s="33" t="str">
        <f aca="true">IF(OR(E199="",E199="!!!",F199="NEW"),"",COUNTBLANK(OFFSET(A$1,,,SUMPRODUCT(MAX(ROW(E$2:E199)*(E199=E$2:E199)))))-COUNTBLANK(OFFSET(A$1,,,SUMPRODUCT(MAX(ROW(E$1:E198)*(E2=E$1:E198))))))</f>
        <v/>
      </c>
      <c r="K199" s="33" t="str">
        <f aca="false">IF(OR(E199="",E199="!!!",F199="NEW"),"",INDEX(J$1:J198,SUMPRODUCT(MAX(ROW(E$1:E198)*(E199=E$1:E198)))))</f>
        <v/>
      </c>
      <c r="L199" s="34"/>
    </row>
    <row r="200" customFormat="false" ht="15.8" hidden="false" customHeight="false" outlineLevel="0" collapsed="false">
      <c r="A200" s="20" t="s">
        <v>201</v>
      </c>
      <c r="E200" s="29" t="str">
        <f aca="false">IF(D200="?OLD","!!!","")</f>
        <v/>
      </c>
      <c r="F200" s="30" t="str">
        <f aca="false">IF(OR(E200="",E200="!!!"),"",IF(NOT(ISNA(VLOOKUP(E200,E$1:E199,1,FALSE()))),"OLD",IF(AND(E200&lt;&gt;"",E200&lt;&gt;"!!!"),"NEW","")))</f>
        <v/>
      </c>
      <c r="G200" s="31" t="str">
        <f aca="false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32" t="str">
        <f aca="false">IF(J200&lt;&gt;1,"",IF(I200="SBJ","CB","?"))</f>
        <v/>
      </c>
      <c r="I200" s="33" t="str">
        <f aca="false">IF(OR(E200="",E200="!!!",F200="NEW"),"",INDEX(B$2:B199,-1+SUMPRODUCT(MAX(ROW(E$2:E199)*(E200=E$2:E199)))))</f>
        <v/>
      </c>
      <c r="J200" s="33" t="str">
        <f aca="true">IF(OR(E200="",E200="!!!",F200="NEW"),"",COUNTBLANK(OFFSET(A$1,,,SUMPRODUCT(MAX(ROW(E$2:E200)*(E200=E$2:E200)))))-COUNTBLANK(OFFSET(A$1,,,SUMPRODUCT(MAX(ROW(E$1:E199)*(E2=E$1:E199))))))</f>
        <v/>
      </c>
      <c r="K200" s="33" t="str">
        <f aca="false">IF(OR(E200="",E200="!!!",F200="NEW"),"",INDEX(J$1:J199,SUMPRODUCT(MAX(ROW(E$1:E199)*(E200=E$1:E199)))))</f>
        <v/>
      </c>
      <c r="L200" s="34"/>
    </row>
    <row r="201" customFormat="false" ht="15.8" hidden="false" customHeight="false" outlineLevel="0" collapsed="false">
      <c r="A201" s="20" t="s">
        <v>219</v>
      </c>
      <c r="B201" s="21" t="s">
        <v>174</v>
      </c>
      <c r="C201" s="21" t="s">
        <v>186</v>
      </c>
      <c r="E201" s="29" t="str">
        <f aca="false">IF(D201="?OLD","!!!","")</f>
        <v/>
      </c>
      <c r="F201" s="30" t="str">
        <f aca="false">IF(OR(E201="",E201="!!!"),"",IF(NOT(ISNA(VLOOKUP(E201,E$1:E200,1,FALSE()))),"OLD",IF(AND(E201&lt;&gt;"",E201&lt;&gt;"!!!"),"NEW","")))</f>
        <v/>
      </c>
      <c r="G201" s="31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32" t="str">
        <f aca="false">IF(J201&lt;&gt;1,"",IF(I201="SBJ","CB","?"))</f>
        <v/>
      </c>
      <c r="I201" s="33" t="str">
        <f aca="false">IF(OR(E201="",E201="!!!",F201="NEW"),"",INDEX(B$2:B200,-1+SUMPRODUCT(MAX(ROW(E$2:E200)*(E201=E$2:E200)))))</f>
        <v/>
      </c>
      <c r="J201" s="33" t="str">
        <f aca="true">IF(OR(E201="",E201="!!!",F201="NEW"),"",COUNTBLANK(OFFSET(A$1,,,SUMPRODUCT(MAX(ROW(E$2:E201)*(E201=E$2:E201)))))-COUNTBLANK(OFFSET(A$1,,,SUMPRODUCT(MAX(ROW(E$1:E200)*(E2=E$1:E200))))))</f>
        <v/>
      </c>
      <c r="K201" s="33" t="str">
        <f aca="false">IF(OR(E201="",E201="!!!",F201="NEW"),"",INDEX(J$1:J200,SUMPRODUCT(MAX(ROW(E$1:E200)*(E201=E$1:E200)))))</f>
        <v/>
      </c>
      <c r="L201" s="34"/>
    </row>
    <row r="202" customFormat="false" ht="15.8" hidden="false" customHeight="false" outlineLevel="0" collapsed="false">
      <c r="A202" s="20" t="s">
        <v>187</v>
      </c>
      <c r="E202" s="29" t="str">
        <f aca="false">IF(D202="?OLD","!!!","")</f>
        <v/>
      </c>
      <c r="F202" s="30" t="str">
        <f aca="false">IF(OR(E202="",E202="!!!"),"",IF(NOT(ISNA(VLOOKUP(E202,E$1:E201,1,FALSE()))),"OLD",IF(AND(E202&lt;&gt;"",E202&lt;&gt;"!!!"),"NEW","")))</f>
        <v/>
      </c>
      <c r="G202" s="31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32" t="str">
        <f aca="false">IF(J202&lt;&gt;1,"",IF(I202="SBJ","CB","?"))</f>
        <v/>
      </c>
      <c r="I202" s="33" t="str">
        <f aca="false">IF(OR(E202="",E202="!!!",F202="NEW"),"",INDEX(B$2:B201,-1+SUMPRODUCT(MAX(ROW(E$2:E201)*(E202=E$2:E201)))))</f>
        <v/>
      </c>
      <c r="J202" s="33" t="str">
        <f aca="true">IF(OR(E202="",E202="!!!",F202="NEW"),"",COUNTBLANK(OFFSET(A$1,,,SUMPRODUCT(MAX(ROW(E$2:E202)*(E202=E$2:E202)))))-COUNTBLANK(OFFSET(A$1,,,SUMPRODUCT(MAX(ROW(E$1:E201)*(E2=E$1:E201))))))</f>
        <v/>
      </c>
      <c r="K202" s="33" t="str">
        <f aca="false">IF(OR(E202="",E202="!!!",F202="NEW"),"",INDEX(J$1:J201,SUMPRODUCT(MAX(ROW(E$1:E201)*(E202=E$1:E201)))))</f>
        <v/>
      </c>
      <c r="L202" s="34"/>
    </row>
    <row r="203" customFormat="false" ht="15.8" hidden="false" customHeight="false" outlineLevel="0" collapsed="false">
      <c r="A203" s="20" t="s">
        <v>220</v>
      </c>
      <c r="B203" s="21" t="s">
        <v>170</v>
      </c>
      <c r="C203" s="21" t="s">
        <v>186</v>
      </c>
      <c r="E203" s="29" t="str">
        <f aca="false">IF(D203="?OLD","!!!","")</f>
        <v/>
      </c>
      <c r="F203" s="30" t="str">
        <f aca="false">IF(OR(E203="",E203="!!!"),"",IF(NOT(ISNA(VLOOKUP(E203,E$1:E202,1,FALSE()))),"OLD",IF(AND(E203&lt;&gt;"",E203&lt;&gt;"!!!"),"NEW","")))</f>
        <v/>
      </c>
      <c r="G203" s="31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32" t="str">
        <f aca="false">IF(J203&lt;&gt;1,"",IF(I203="SBJ","CB","?"))</f>
        <v/>
      </c>
      <c r="I203" s="33" t="str">
        <f aca="false">IF(OR(E203="",E203="!!!",F203="NEW"),"",INDEX(B$2:B202,-1+SUMPRODUCT(MAX(ROW(E$2:E202)*(E203=E$2:E202)))))</f>
        <v/>
      </c>
      <c r="J203" s="33" t="str">
        <f aca="true">IF(OR(E203="",E203="!!!",F203="NEW"),"",COUNTBLANK(OFFSET(A$1,,,SUMPRODUCT(MAX(ROW(E$2:E203)*(E203=E$2:E203)))))-COUNTBLANK(OFFSET(A$1,,,SUMPRODUCT(MAX(ROW(E$1:E202)*(E2=E$1:E202))))))</f>
        <v/>
      </c>
      <c r="K203" s="33" t="str">
        <f aca="false">IF(OR(E203="",E203="!!!",F203="NEW"),"",INDEX(J$1:J202,SUMPRODUCT(MAX(ROW(E$1:E202)*(E203=E$1:E202)))))</f>
        <v/>
      </c>
      <c r="L203" s="34"/>
    </row>
    <row r="204" customFormat="false" ht="15.8" hidden="false" customHeight="false" outlineLevel="0" collapsed="false">
      <c r="A204" s="20"/>
    </row>
    <row r="205" customFormat="false" ht="15.8" hidden="false" customHeight="false" outlineLevel="0" collapsed="false">
      <c r="A205" s="20" t="s">
        <v>253</v>
      </c>
    </row>
    <row r="206" customFormat="false" ht="15.8" hidden="false" customHeight="false" outlineLevel="0" collapsed="false">
      <c r="A206" s="20" t="s">
        <v>222</v>
      </c>
      <c r="E206" s="29" t="str">
        <f aca="false">IF(D206="?OLD","!!!","")</f>
        <v/>
      </c>
      <c r="F206" s="30" t="str">
        <f aca="false">IF(OR(E206="",E206="!!!"),"",IF(NOT(ISNA(VLOOKUP(E206,E$1:E205,1,FALSE()))),"OLD",IF(AND(E206&lt;&gt;"",E206&lt;&gt;"!!!"),"NEW","")))</f>
        <v/>
      </c>
      <c r="G206" s="31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32" t="str">
        <f aca="false">IF(J206&lt;&gt;1,"",IF(I206="SBJ","CB","?"))</f>
        <v/>
      </c>
      <c r="I206" s="33" t="str">
        <f aca="false">IF(OR(E206="",E206="!!!",F206="NEW"),"",INDEX(B$2:B205,-1+SUMPRODUCT(MAX(ROW(E$2:E205)*(E206=E$2:E205)))))</f>
        <v/>
      </c>
      <c r="J206" s="33" t="str">
        <f aca="true">IF(OR(E206="",E206="!!!",F206="NEW"),"",COUNTBLANK(OFFSET(A$1,,,SUMPRODUCT(MAX(ROW(E$2:E206)*(E206=E$2:E206)))))-COUNTBLANK(OFFSET(A$1,,,SUMPRODUCT(MAX(ROW(E$1:E205)*(E2=E$1:E205))))))</f>
        <v/>
      </c>
      <c r="K206" s="33" t="str">
        <f aca="false">IF(OR(E206="",E206="!!!",F206="NEW"),"",INDEX(J$1:J205,SUMPRODUCT(MAX(ROW(E$1:E205)*(E206=E$1:E205)))))</f>
        <v/>
      </c>
      <c r="L206" s="34"/>
    </row>
    <row r="207" customFormat="false" ht="15.8" hidden="false" customHeight="false" outlineLevel="0" collapsed="false">
      <c r="A207" s="20" t="s">
        <v>223</v>
      </c>
      <c r="E207" s="29" t="str">
        <f aca="false">IF(D207="?OLD","!!!","")</f>
        <v/>
      </c>
      <c r="F207" s="30" t="str">
        <f aca="false">IF(OR(E207="",E207="!!!"),"",IF(NOT(ISNA(VLOOKUP(E207,E$1:E206,1,FALSE()))),"OLD",IF(AND(E207&lt;&gt;"",E207&lt;&gt;"!!!"),"NEW","")))</f>
        <v/>
      </c>
      <c r="G207" s="31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32" t="str">
        <f aca="false">IF(J207&lt;&gt;1,"",IF(I207="SBJ","CB","?"))</f>
        <v/>
      </c>
      <c r="I207" s="33" t="str">
        <f aca="false">IF(OR(E207="",E207="!!!",F207="NEW"),"",INDEX(B$2:B206,-1+SUMPRODUCT(MAX(ROW(E$2:E206)*(E207=E$2:E206)))))</f>
        <v/>
      </c>
      <c r="J207" s="33" t="str">
        <f aca="true">IF(OR(E207="",E207="!!!",F207="NEW"),"",COUNTBLANK(OFFSET(A$1,,,SUMPRODUCT(MAX(ROW(E$2:E207)*(E207=E$2:E207)))))-COUNTBLANK(OFFSET(A$1,,,SUMPRODUCT(MAX(ROW(E$1:E206)*(E2=E$1:E206))))))</f>
        <v/>
      </c>
      <c r="K207" s="33" t="str">
        <f aca="false">IF(OR(E207="",E207="!!!",F207="NEW"),"",INDEX(J$1:J206,SUMPRODUCT(MAX(ROW(E$1:E206)*(E207=E$1:E206)))))</f>
        <v/>
      </c>
      <c r="L207" s="34"/>
    </row>
    <row r="208" customFormat="false" ht="15.8" hidden="false" customHeight="false" outlineLevel="0" collapsed="false">
      <c r="A208" s="20" t="s">
        <v>224</v>
      </c>
      <c r="B208" s="21" t="s">
        <v>168</v>
      </c>
      <c r="C208" s="21" t="s">
        <v>154</v>
      </c>
      <c r="D208" s="21" t="s">
        <v>148</v>
      </c>
      <c r="E208" s="29" t="str">
        <f aca="false">IF(D208="?OLD","!!!","")</f>
        <v>!!!</v>
      </c>
      <c r="F208" s="30" t="str">
        <f aca="false">IF(OR(E208="",E208="!!!"),"",IF(NOT(ISNA(VLOOKUP(E208,E$1:E207,1,FALSE()))),"OLD",IF(AND(E208&lt;&gt;"",E208&lt;&gt;"!!!"),"NEW","")))</f>
        <v/>
      </c>
      <c r="G208" s="31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32" t="str">
        <f aca="false">IF(J208&lt;&gt;1,"",IF(I208="SBJ","CB","?"))</f>
        <v/>
      </c>
      <c r="I208" s="33" t="str">
        <f aca="false">IF(OR(E208="",E208="!!!",F208="NEW"),"",INDEX(B$2:B207,-1+SUMPRODUCT(MAX(ROW(E$2:E207)*(E208=E$2:E207)))))</f>
        <v/>
      </c>
      <c r="J208" s="33" t="str">
        <f aca="true">IF(OR(E208="",E208="!!!",F208="NEW"),"",COUNTBLANK(OFFSET(A$1,,,SUMPRODUCT(MAX(ROW(E$2:E208)*(E208=E$2:E208)))))-COUNTBLANK(OFFSET(A$1,,,SUMPRODUCT(MAX(ROW(E$1:E207)*(E2=E$1:E207))))))</f>
        <v/>
      </c>
      <c r="K208" s="33" t="str">
        <f aca="false">IF(OR(E208="",E208="!!!",F208="NEW"),"",INDEX(J$1:J207,SUMPRODUCT(MAX(ROW(E$1:E207)*(E208=E$1:E207)))))</f>
        <v/>
      </c>
      <c r="L208" s="34"/>
    </row>
    <row r="209" customFormat="false" ht="15.8" hidden="false" customHeight="false" outlineLevel="0" collapsed="false">
      <c r="A209" s="20" t="s">
        <v>155</v>
      </c>
      <c r="E209" s="29" t="str">
        <f aca="false">IF(D209="?OLD","!!!","")</f>
        <v/>
      </c>
      <c r="F209" s="30" t="str">
        <f aca="false">IF(OR(E209="",E209="!!!"),"",IF(NOT(ISNA(VLOOKUP(E209,E$1:E208,1,FALSE()))),"OLD",IF(AND(E209&lt;&gt;"",E209&lt;&gt;"!!!"),"NEW","")))</f>
        <v/>
      </c>
      <c r="G209" s="31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32" t="str">
        <f aca="false">IF(J209&lt;&gt;1,"",IF(I209="SBJ","CB","?"))</f>
        <v/>
      </c>
      <c r="I209" s="33" t="str">
        <f aca="false">IF(OR(E209="",E209="!!!",F209="NEW"),"",INDEX(B$2:B208,-1+SUMPRODUCT(MAX(ROW(E$2:E208)*(E209=E$2:E208)))))</f>
        <v/>
      </c>
      <c r="J209" s="33" t="str">
        <f aca="true">IF(OR(E209="",E209="!!!",F209="NEW"),"",COUNTBLANK(OFFSET(A$1,,,SUMPRODUCT(MAX(ROW(E$2:E209)*(E209=E$2:E209)))))-COUNTBLANK(OFFSET(A$1,,,SUMPRODUCT(MAX(ROW(E$1:E208)*(E2=E$1:E208))))))</f>
        <v/>
      </c>
      <c r="K209" s="33" t="str">
        <f aca="false">IF(OR(E209="",E209="!!!",F209="NEW"),"",INDEX(J$1:J208,SUMPRODUCT(MAX(ROW(E$1:E208)*(E209=E$1:E208)))))</f>
        <v/>
      </c>
      <c r="L209" s="34"/>
    </row>
    <row r="210" customFormat="false" ht="15.8" hidden="false" customHeight="false" outlineLevel="0" collapsed="false">
      <c r="A210" s="20" t="s">
        <v>240</v>
      </c>
      <c r="B210" s="21" t="s">
        <v>170</v>
      </c>
      <c r="C210" s="21" t="s">
        <v>160</v>
      </c>
      <c r="D210" s="21" t="s">
        <v>148</v>
      </c>
      <c r="E210" s="29" t="str">
        <f aca="false">IF(D210="?OLD","!!!","")</f>
        <v>!!!</v>
      </c>
      <c r="F210" s="30" t="str">
        <f aca="false">IF(OR(E210="",E210="!!!"),"",IF(NOT(ISNA(VLOOKUP(E210,E$1:E209,1,FALSE()))),"OLD",IF(AND(E210&lt;&gt;"",E210&lt;&gt;"!!!"),"NEW","")))</f>
        <v/>
      </c>
      <c r="G210" s="31" t="str">
        <f aca="false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32" t="str">
        <f aca="false">IF(J210&lt;&gt;1,"",IF(I210="SBJ","CB","?"))</f>
        <v/>
      </c>
      <c r="I210" s="33" t="str">
        <f aca="false">IF(OR(E210="",E210="!!!",F210="NEW"),"",INDEX(B$2:B209,-1+SUMPRODUCT(MAX(ROW(E$2:E209)*(E210=E$2:E209)))))</f>
        <v/>
      </c>
      <c r="J210" s="33" t="str">
        <f aca="true">IF(OR(E210="",E210="!!!",F210="NEW"),"",COUNTBLANK(OFFSET(A$1,,,SUMPRODUCT(MAX(ROW(E$2:E210)*(E210=E$2:E210)))))-COUNTBLANK(OFFSET(A$1,,,SUMPRODUCT(MAX(ROW(E$1:E209)*(E2=E$1:E209))))))</f>
        <v/>
      </c>
      <c r="K210" s="33" t="str">
        <f aca="false">IF(OR(E210="",E210="!!!",F210="NEW"),"",INDEX(J$1:J209,SUMPRODUCT(MAX(ROW(E$1:E209)*(E210=E$1:E209)))))</f>
        <v/>
      </c>
      <c r="L210" s="34"/>
    </row>
    <row r="211" customFormat="false" ht="15.8" hidden="false" customHeight="false" outlineLevel="0" collapsed="false">
      <c r="A211" s="20" t="s">
        <v>225</v>
      </c>
      <c r="E211" s="29" t="str">
        <f aca="false">IF(D211="?OLD","!!!","")</f>
        <v/>
      </c>
      <c r="F211" s="30" t="str">
        <f aca="false">IF(OR(E211="",E211="!!!"),"",IF(NOT(ISNA(VLOOKUP(E211,E$1:E210,1,FALSE()))),"OLD",IF(AND(E211&lt;&gt;"",E211&lt;&gt;"!!!"),"NEW","")))</f>
        <v/>
      </c>
      <c r="G211" s="31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32" t="str">
        <f aca="false">IF(J211&lt;&gt;1,"",IF(I211="SBJ","CB","?"))</f>
        <v/>
      </c>
      <c r="I211" s="33" t="str">
        <f aca="false">IF(OR(E211="",E211="!!!",F211="NEW"),"",INDEX(B$2:B210,-1+SUMPRODUCT(MAX(ROW(E$2:E210)*(E211=E$2:E210)))))</f>
        <v/>
      </c>
      <c r="J211" s="33" t="str">
        <f aca="true">IF(OR(E211="",E211="!!!",F211="NEW"),"",COUNTBLANK(OFFSET(A$1,,,SUMPRODUCT(MAX(ROW(E$2:E211)*(E211=E$2:E211)))))-COUNTBLANK(OFFSET(A$1,,,SUMPRODUCT(MAX(ROW(E$1:E210)*(E2=E$1:E210))))))</f>
        <v/>
      </c>
      <c r="K211" s="33" t="str">
        <f aca="false">IF(OR(E211="",E211="!!!",F211="NEW"),"",INDEX(J$1:J210,SUMPRODUCT(MAX(ROW(E$1:E210)*(E211=E$1:E210)))))</f>
        <v/>
      </c>
      <c r="L211" s="34"/>
    </row>
    <row r="212" customFormat="false" ht="15.8" hidden="false" customHeight="false" outlineLevel="0" collapsed="false">
      <c r="A212" s="20" t="s">
        <v>155</v>
      </c>
      <c r="E212" s="29" t="str">
        <f aca="false">IF(D212="?OLD","!!!","")</f>
        <v/>
      </c>
      <c r="F212" s="30" t="str">
        <f aca="false">IF(OR(E212="",E212="!!!"),"",IF(NOT(ISNA(VLOOKUP(E212,E$1:E211,1,FALSE()))),"OLD",IF(AND(E212&lt;&gt;"",E212&lt;&gt;"!!!"),"NEW","")))</f>
        <v/>
      </c>
      <c r="G212" s="31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32" t="str">
        <f aca="false">IF(J212&lt;&gt;1,"",IF(I212="SBJ","CB","?"))</f>
        <v/>
      </c>
      <c r="I212" s="33" t="str">
        <f aca="false">IF(OR(E212="",E212="!!!",F212="NEW"),"",INDEX(B$2:B211,-1+SUMPRODUCT(MAX(ROW(E$2:E211)*(E212=E$2:E211)))))</f>
        <v/>
      </c>
      <c r="J212" s="33" t="str">
        <f aca="true">IF(OR(E212="",E212="!!!",F212="NEW"),"",COUNTBLANK(OFFSET(A$1,,,SUMPRODUCT(MAX(ROW(E$2:E212)*(E212=E$2:E212)))))-COUNTBLANK(OFFSET(A$1,,,SUMPRODUCT(MAX(ROW(E$1:E211)*(E2=E$1:E211))))))</f>
        <v/>
      </c>
      <c r="K212" s="33" t="str">
        <f aca="false">IF(OR(E212="",E212="!!!",F212="NEW"),"",INDEX(J$1:J211,SUMPRODUCT(MAX(ROW(E$1:E211)*(E212=E$1:E211)))))</f>
        <v/>
      </c>
      <c r="L212" s="34"/>
    </row>
    <row r="213" customFormat="false" ht="15.8" hidden="false" customHeight="false" outlineLevel="0" collapsed="false">
      <c r="A213" s="20" t="s">
        <v>254</v>
      </c>
      <c r="E213" s="29" t="str">
        <f aca="false">IF(D213="?OLD","!!!","")</f>
        <v/>
      </c>
      <c r="F213" s="30" t="str">
        <f aca="false">IF(OR(E213="",E213="!!!"),"",IF(NOT(ISNA(VLOOKUP(E213,E$1:E212,1,FALSE()))),"OLD",IF(AND(E213&lt;&gt;"",E213&lt;&gt;"!!!"),"NEW","")))</f>
        <v/>
      </c>
      <c r="G213" s="31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32" t="str">
        <f aca="false">IF(J213&lt;&gt;1,"",IF(I213="SBJ","CB","?"))</f>
        <v/>
      </c>
      <c r="I213" s="33" t="str">
        <f aca="false">IF(OR(E213="",E213="!!!",F213="NEW"),"",INDEX(B$2:B212,-1+SUMPRODUCT(MAX(ROW(E$2:E212)*(E213=E$2:E212)))))</f>
        <v/>
      </c>
      <c r="J213" s="33" t="str">
        <f aca="true">IF(OR(E213="",E213="!!!",F213="NEW"),"",COUNTBLANK(OFFSET(A$1,,,SUMPRODUCT(MAX(ROW(E$2:E213)*(E213=E$2:E213)))))-COUNTBLANK(OFFSET(A$1,,,SUMPRODUCT(MAX(ROW(E$1:E212)*(E2=E$1:E212))))))</f>
        <v/>
      </c>
      <c r="K213" s="33" t="str">
        <f aca="false">IF(OR(E213="",E213="!!!",F213="NEW"),"",INDEX(J$1:J212,SUMPRODUCT(MAX(ROW(E$1:E212)*(E213=E$1:E212)))))</f>
        <v/>
      </c>
      <c r="L213" s="34"/>
    </row>
    <row r="214" customFormat="false" ht="15.8" hidden="false" customHeight="false" outlineLevel="0" collapsed="false">
      <c r="A214" s="20" t="s">
        <v>199</v>
      </c>
      <c r="B214" s="21" t="s">
        <v>153</v>
      </c>
      <c r="C214" s="21" t="s">
        <v>200</v>
      </c>
      <c r="E214" s="29" t="str">
        <f aca="false">IF(D214="?OLD","!!!","")</f>
        <v/>
      </c>
      <c r="F214" s="30" t="str">
        <f aca="false">IF(OR(E214="",E214="!!!"),"",IF(NOT(ISNA(VLOOKUP(E214,E$1:E213,1,FALSE()))),"OLD",IF(AND(E214&lt;&gt;"",E214&lt;&gt;"!!!"),"NEW","")))</f>
        <v/>
      </c>
      <c r="G214" s="31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32" t="str">
        <f aca="false">IF(J214&lt;&gt;1,"",IF(I214="SBJ","CB","?"))</f>
        <v/>
      </c>
      <c r="I214" s="33" t="str">
        <f aca="false">IF(OR(E214="",E214="!!!",F214="NEW"),"",INDEX(B$2:B213,-1+SUMPRODUCT(MAX(ROW(E$2:E213)*(E214=E$2:E213)))))</f>
        <v/>
      </c>
      <c r="J214" s="33" t="str">
        <f aca="true">IF(OR(E214="",E214="!!!",F214="NEW"),"",COUNTBLANK(OFFSET(A$1,,,SUMPRODUCT(MAX(ROW(E$2:E214)*(E214=E$2:E214)))))-COUNTBLANK(OFFSET(A$1,,,SUMPRODUCT(MAX(ROW(E$1:E213)*(E2=E$1:E213))))))</f>
        <v/>
      </c>
      <c r="K214" s="33" t="str">
        <f aca="false">IF(OR(E214="",E214="!!!",F214="NEW"),"",INDEX(J$1:J213,SUMPRODUCT(MAX(ROW(E$1:E213)*(E214=E$1:E213)))))</f>
        <v/>
      </c>
      <c r="L214" s="34"/>
    </row>
    <row r="215" customFormat="false" ht="15.8" hidden="false" customHeight="false" outlineLevel="0" collapsed="false">
      <c r="A215" s="20" t="s">
        <v>227</v>
      </c>
      <c r="E215" s="29" t="str">
        <f aca="false">IF(D215="?OLD","!!!","")</f>
        <v/>
      </c>
      <c r="F215" s="30" t="str">
        <f aca="false">IF(OR(E215="",E215="!!!"),"",IF(NOT(ISNA(VLOOKUP(E215,E$1:E214,1,FALSE()))),"OLD",IF(AND(E215&lt;&gt;"",E215&lt;&gt;"!!!"),"NEW","")))</f>
        <v/>
      </c>
      <c r="G215" s="31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32" t="str">
        <f aca="false">IF(J215&lt;&gt;1,"",IF(I215="SBJ","CB","?"))</f>
        <v/>
      </c>
      <c r="I215" s="33" t="str">
        <f aca="false">IF(OR(E215="",E215="!!!",F215="NEW"),"",INDEX(B$2:B214,-1+SUMPRODUCT(MAX(ROW(E$2:E214)*(E215=E$2:E214)))))</f>
        <v/>
      </c>
      <c r="J215" s="33" t="str">
        <f aca="true">IF(OR(E215="",E215="!!!",F215="NEW"),"",COUNTBLANK(OFFSET(A$1,,,SUMPRODUCT(MAX(ROW(E$2:E215)*(E215=E$2:E215)))))-COUNTBLANK(OFFSET(A$1,,,SUMPRODUCT(MAX(ROW(E$1:E214)*(E2=E$1:E214))))))</f>
        <v/>
      </c>
      <c r="K215" s="33" t="str">
        <f aca="false">IF(OR(E215="",E215="!!!",F215="NEW"),"",INDEX(J$1:J214,SUMPRODUCT(MAX(ROW(E$1:E214)*(E215=E$1:E214)))))</f>
        <v/>
      </c>
      <c r="L215" s="34"/>
    </row>
    <row r="216" customFormat="false" ht="15.8" hidden="false" customHeight="false" outlineLevel="0" collapsed="false">
      <c r="A216" s="20" t="s">
        <v>228</v>
      </c>
      <c r="E216" s="29" t="str">
        <f aca="false">IF(D216="?OLD","!!!","")</f>
        <v/>
      </c>
      <c r="F216" s="30" t="str">
        <f aca="false">IF(OR(E216="",E216="!!!"),"",IF(NOT(ISNA(VLOOKUP(E216,E$1:E215,1,FALSE()))),"OLD",IF(AND(E216&lt;&gt;"",E216&lt;&gt;"!!!"),"NEW","")))</f>
        <v/>
      </c>
      <c r="G216" s="31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32" t="str">
        <f aca="false">IF(J216&lt;&gt;1,"",IF(I216="SBJ","CB","?"))</f>
        <v/>
      </c>
      <c r="I216" s="33" t="str">
        <f aca="false">IF(OR(E216="",E216="!!!",F216="NEW"),"",INDEX(B$2:B215,-1+SUMPRODUCT(MAX(ROW(E$2:E215)*(E216=E$2:E215)))))</f>
        <v/>
      </c>
      <c r="J216" s="33" t="str">
        <f aca="true">IF(OR(E216="",E216="!!!",F216="NEW"),"",COUNTBLANK(OFFSET(A$1,,,SUMPRODUCT(MAX(ROW(E$2:E216)*(E216=E$2:E216)))))-COUNTBLANK(OFFSET(A$1,,,SUMPRODUCT(MAX(ROW(E$1:E215)*(E2=E$1:E215))))))</f>
        <v/>
      </c>
      <c r="K216" s="33" t="str">
        <f aca="false">IF(OR(E216="",E216="!!!",F216="NEW"),"",INDEX(J$1:J215,SUMPRODUCT(MAX(ROW(E$1:E215)*(E216=E$1:E215)))))</f>
        <v/>
      </c>
      <c r="L216" s="34"/>
    </row>
    <row r="217" customFormat="false" ht="15.8" hidden="false" customHeight="false" outlineLevel="0" collapsed="false">
      <c r="A217" s="20" t="s">
        <v>229</v>
      </c>
      <c r="E217" s="29" t="str">
        <f aca="false">IF(D217="?OLD","!!!","")</f>
        <v/>
      </c>
      <c r="F217" s="30" t="str">
        <f aca="false">IF(OR(E217="",E217="!!!"),"",IF(NOT(ISNA(VLOOKUP(E217,E$1:E216,1,FALSE()))),"OLD",IF(AND(E217&lt;&gt;"",E217&lt;&gt;"!!!"),"NEW","")))</f>
        <v/>
      </c>
      <c r="G217" s="31" t="str">
        <f aca="false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32" t="str">
        <f aca="false">IF(J217&lt;&gt;1,"",IF(I217="SBJ","CB","?"))</f>
        <v/>
      </c>
      <c r="I217" s="33" t="str">
        <f aca="false">IF(OR(E217="",E217="!!!",F217="NEW"),"",INDEX(B$2:B216,-1+SUMPRODUCT(MAX(ROW(E$2:E216)*(E217=E$2:E216)))))</f>
        <v/>
      </c>
      <c r="J217" s="33" t="str">
        <f aca="true">IF(OR(E217="",E217="!!!",F217="NEW"),"",COUNTBLANK(OFFSET(A$1,,,SUMPRODUCT(MAX(ROW(E$2:E217)*(E217=E$2:E217)))))-COUNTBLANK(OFFSET(A$1,,,SUMPRODUCT(MAX(ROW(E$1:E216)*(E2=E$1:E216))))))</f>
        <v/>
      </c>
      <c r="K217" s="33" t="str">
        <f aca="false">IF(OR(E217="",E217="!!!",F217="NEW"),"",INDEX(J$1:J216,SUMPRODUCT(MAX(ROW(E$1:E216)*(E217=E$1:E216)))))</f>
        <v/>
      </c>
      <c r="L217" s="34"/>
    </row>
    <row r="218" customFormat="false" ht="15.8" hidden="false" customHeight="false" outlineLevel="0" collapsed="false">
      <c r="A218" s="20"/>
    </row>
    <row r="219" customFormat="false" ht="15.8" hidden="false" customHeight="false" outlineLevel="0" collapsed="false">
      <c r="A219" s="20" t="s">
        <v>255</v>
      </c>
    </row>
    <row r="220" customFormat="false" ht="15.8" hidden="false" customHeight="false" outlineLevel="0" collapsed="false">
      <c r="A220" s="20" t="s">
        <v>247</v>
      </c>
      <c r="B220" s="21" t="s">
        <v>146</v>
      </c>
      <c r="C220" s="21" t="s">
        <v>160</v>
      </c>
      <c r="D220" s="21" t="s">
        <v>148</v>
      </c>
      <c r="E220" s="29" t="str">
        <f aca="false">IF(D220="?OLD","!!!","")</f>
        <v>!!!</v>
      </c>
      <c r="F220" s="30" t="str">
        <f aca="false">IF(OR(E220="",E220="!!!"),"",IF(NOT(ISNA(VLOOKUP(E220,E$1:E219,1,FALSE()))),"OLD",IF(AND(E220&lt;&gt;"",E220&lt;&gt;"!!!"),"NEW","")))</f>
        <v/>
      </c>
      <c r="G220" s="31" t="str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32" t="str">
        <f aca="false">IF(J220&lt;&gt;1,"",IF(I220="SBJ","CB","?"))</f>
        <v/>
      </c>
      <c r="I220" s="33" t="str">
        <f aca="false">IF(OR(E220="",E220="!!!",F220="NEW"),"",INDEX(B$2:B219,-1+SUMPRODUCT(MAX(ROW(E$2:E219)*(E220=E$2:E219)))))</f>
        <v/>
      </c>
      <c r="J220" s="33" t="str">
        <f aca="true">IF(OR(E220="",E220="!!!",F220="NEW"),"",COUNTBLANK(OFFSET(A$1,,,SUMPRODUCT(MAX(ROW(E$2:E220)*(E220=E$2:E220)))))-COUNTBLANK(OFFSET(A$1,,,SUMPRODUCT(MAX(ROW(E$1:E219)*(E2=E$1:E219))))))</f>
        <v/>
      </c>
      <c r="K220" s="33" t="str">
        <f aca="false">IF(OR(E220="",E220="!!!",F220="NEW"),"",INDEX(J$1:J219,SUMPRODUCT(MAX(ROW(E$1:E219)*(E220=E$1:E219)))))</f>
        <v/>
      </c>
      <c r="L220" s="34"/>
    </row>
    <row r="221" customFormat="false" ht="15.8" hidden="false" customHeight="false" outlineLevel="0" collapsed="false">
      <c r="A221" s="20" t="s">
        <v>197</v>
      </c>
      <c r="E221" s="29" t="str">
        <f aca="false">IF(D221="?OLD","!!!","")</f>
        <v/>
      </c>
      <c r="F221" s="30" t="str">
        <f aca="false">IF(OR(E221="",E221="!!!"),"",IF(NOT(ISNA(VLOOKUP(E221,E$1:E220,1,FALSE()))),"OLD",IF(AND(E221&lt;&gt;"",E221&lt;&gt;"!!!"),"NEW","")))</f>
        <v/>
      </c>
      <c r="G221" s="31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32" t="str">
        <f aca="false">IF(J221&lt;&gt;1,"",IF(I221="SBJ","CB","?"))</f>
        <v/>
      </c>
      <c r="I221" s="33" t="str">
        <f aca="false">IF(OR(E221="",E221="!!!",F221="NEW"),"",INDEX(B$2:B220,-1+SUMPRODUCT(MAX(ROW(E$2:E220)*(E221=E$2:E220)))))</f>
        <v/>
      </c>
      <c r="J221" s="33" t="str">
        <f aca="true">IF(OR(E221="",E221="!!!",F221="NEW"),"",COUNTBLANK(OFFSET(A$1,,,SUMPRODUCT(MAX(ROW(E$2:E221)*(E221=E$2:E221)))))-COUNTBLANK(OFFSET(A$1,,,SUMPRODUCT(MAX(ROW(E$1:E220)*(E2=E$1:E220))))))</f>
        <v/>
      </c>
      <c r="K221" s="33" t="str">
        <f aca="false">IF(OR(E221="",E221="!!!",F221="NEW"),"",INDEX(J$1:J220,SUMPRODUCT(MAX(ROW(E$1:E220)*(E221=E$1:E220)))))</f>
        <v/>
      </c>
      <c r="L221" s="34"/>
    </row>
    <row r="222" customFormat="false" ht="15.8" hidden="false" customHeight="false" outlineLevel="0" collapsed="false">
      <c r="A222" s="20" t="s">
        <v>256</v>
      </c>
      <c r="E222" s="29" t="str">
        <f aca="false">IF(D222="?OLD","!!!","")</f>
        <v/>
      </c>
      <c r="F222" s="30" t="str">
        <f aca="false">IF(OR(E222="",E222="!!!"),"",IF(NOT(ISNA(VLOOKUP(E222,E$1:E221,1,FALSE()))),"OLD",IF(AND(E222&lt;&gt;"",E222&lt;&gt;"!!!"),"NEW","")))</f>
        <v/>
      </c>
      <c r="G222" s="31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32" t="str">
        <f aca="false">IF(J222&lt;&gt;1,"",IF(I222="SBJ","CB","?"))</f>
        <v/>
      </c>
      <c r="I222" s="33" t="str">
        <f aca="false">IF(OR(E222="",E222="!!!",F222="NEW"),"",INDEX(B$2:B221,-1+SUMPRODUCT(MAX(ROW(E$2:E221)*(E222=E$2:E221)))))</f>
        <v/>
      </c>
      <c r="J222" s="33" t="str">
        <f aca="true">IF(OR(E222="",E222="!!!",F222="NEW"),"",COUNTBLANK(OFFSET(A$1,,,SUMPRODUCT(MAX(ROW(E$2:E222)*(E222=E$2:E222)))))-COUNTBLANK(OFFSET(A$1,,,SUMPRODUCT(MAX(ROW(E$1:E221)*(E2=E$1:E221))))))</f>
        <v/>
      </c>
      <c r="K222" s="33" t="str">
        <f aca="false">IF(OR(E222="",E222="!!!",F222="NEW"),"",INDEX(J$1:J221,SUMPRODUCT(MAX(ROW(E$1:E221)*(E222=E$1:E221)))))</f>
        <v/>
      </c>
      <c r="L222" s="34"/>
    </row>
    <row r="223" customFormat="false" ht="15.8" hidden="false" customHeight="false" outlineLevel="0" collapsed="false">
      <c r="A223" s="20" t="s">
        <v>199</v>
      </c>
      <c r="B223" s="21" t="s">
        <v>163</v>
      </c>
      <c r="C223" s="21" t="s">
        <v>200</v>
      </c>
      <c r="E223" s="29" t="str">
        <f aca="false">IF(D223="?OLD","!!!","")</f>
        <v/>
      </c>
      <c r="F223" s="30" t="str">
        <f aca="false">IF(OR(E223="",E223="!!!"),"",IF(NOT(ISNA(VLOOKUP(E223,E$1:E222,1,FALSE()))),"OLD",IF(AND(E223&lt;&gt;"",E223&lt;&gt;"!!!"),"NEW","")))</f>
        <v/>
      </c>
      <c r="G223" s="31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32" t="str">
        <f aca="false">IF(J223&lt;&gt;1,"",IF(I223="SBJ","CB","?"))</f>
        <v/>
      </c>
      <c r="I223" s="33" t="str">
        <f aca="false">IF(OR(E223="",E223="!!!",F223="NEW"),"",INDEX(B$2:B222,-1+SUMPRODUCT(MAX(ROW(E$2:E222)*(E223=E$2:E222)))))</f>
        <v/>
      </c>
      <c r="J223" s="33" t="str">
        <f aca="true">IF(OR(E223="",E223="!!!",F223="NEW"),"",COUNTBLANK(OFFSET(A$1,,,SUMPRODUCT(MAX(ROW(E$2:E223)*(E223=E$2:E223)))))-COUNTBLANK(OFFSET(A$1,,,SUMPRODUCT(MAX(ROW(E$1:E222)*(E2=E$1:E222))))))</f>
        <v/>
      </c>
      <c r="K223" s="33" t="str">
        <f aca="false">IF(OR(E223="",E223="!!!",F223="NEW"),"",INDEX(J$1:J222,SUMPRODUCT(MAX(ROW(E$1:E222)*(E223=E$1:E222)))))</f>
        <v/>
      </c>
      <c r="L223" s="34"/>
    </row>
    <row r="224" customFormat="false" ht="15.8" hidden="false" customHeight="false" outlineLevel="0" collapsed="false">
      <c r="A224" s="20" t="s">
        <v>193</v>
      </c>
      <c r="E224" s="29" t="str">
        <f aca="false">IF(D224="?OLD","!!!","")</f>
        <v/>
      </c>
      <c r="F224" s="30" t="str">
        <f aca="false">IF(OR(E224="",E224="!!!"),"",IF(NOT(ISNA(VLOOKUP(E224,E$1:E223,1,FALSE()))),"OLD",IF(AND(E224&lt;&gt;"",E224&lt;&gt;"!!!"),"NEW","")))</f>
        <v/>
      </c>
      <c r="G224" s="31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32" t="str">
        <f aca="false">IF(J224&lt;&gt;1,"",IF(I224="SBJ","CB","?"))</f>
        <v/>
      </c>
      <c r="I224" s="33" t="str">
        <f aca="false">IF(OR(E224="",E224="!!!",F224="NEW"),"",INDEX(B$2:B223,-1+SUMPRODUCT(MAX(ROW(E$2:E223)*(E224=E$2:E223)))))</f>
        <v/>
      </c>
      <c r="J224" s="33" t="str">
        <f aca="true">IF(OR(E224="",E224="!!!",F224="NEW"),"",COUNTBLANK(OFFSET(A$1,,,SUMPRODUCT(MAX(ROW(E$2:E224)*(E224=E$2:E224)))))-COUNTBLANK(OFFSET(A$1,,,SUMPRODUCT(MAX(ROW(E$1:E223)*(E2=E$1:E223))))))</f>
        <v/>
      </c>
      <c r="K224" s="33" t="str">
        <f aca="false">IF(OR(E224="",E224="!!!",F224="NEW"),"",INDEX(J$1:J223,SUMPRODUCT(MAX(ROW(E$1:E223)*(E224=E$1:E223)))))</f>
        <v/>
      </c>
      <c r="L224" s="34"/>
    </row>
    <row r="225" customFormat="false" ht="15.8" hidden="false" customHeight="false" outlineLevel="0" collapsed="false">
      <c r="A225" s="20" t="s">
        <v>201</v>
      </c>
      <c r="E225" s="29" t="str">
        <f aca="false">IF(D225="?OLD","!!!","")</f>
        <v/>
      </c>
      <c r="F225" s="30" t="str">
        <f aca="false">IF(OR(E225="",E225="!!!"),"",IF(NOT(ISNA(VLOOKUP(E225,E$1:E224,1,FALSE()))),"OLD",IF(AND(E225&lt;&gt;"",E225&lt;&gt;"!!!"),"NEW","")))</f>
        <v/>
      </c>
      <c r="G225" s="31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32" t="str">
        <f aca="false">IF(J225&lt;&gt;1,"",IF(I225="SBJ","CB","?"))</f>
        <v/>
      </c>
      <c r="I225" s="33" t="str">
        <f aca="false">IF(OR(E225="",E225="!!!",F225="NEW"),"",INDEX(B$2:B224,-1+SUMPRODUCT(MAX(ROW(E$2:E224)*(E225=E$2:E224)))))</f>
        <v/>
      </c>
      <c r="J225" s="33" t="str">
        <f aca="true">IF(OR(E225="",E225="!!!",F225="NEW"),"",COUNTBLANK(OFFSET(A$1,,,SUMPRODUCT(MAX(ROW(E$2:E225)*(E225=E$2:E225)))))-COUNTBLANK(OFFSET(A$1,,,SUMPRODUCT(MAX(ROW(E$1:E224)*(E2=E$1:E224))))))</f>
        <v/>
      </c>
      <c r="K225" s="33" t="str">
        <f aca="false">IF(OR(E225="",E225="!!!",F225="NEW"),"",INDEX(J$1:J224,SUMPRODUCT(MAX(ROW(E$1:E224)*(E225=E$1:E224)))))</f>
        <v/>
      </c>
      <c r="L225" s="34"/>
    </row>
    <row r="226" customFormat="false" ht="15.8" hidden="false" customHeight="false" outlineLevel="0" collapsed="false">
      <c r="A226" s="20" t="s">
        <v>257</v>
      </c>
      <c r="B226" s="21" t="s">
        <v>174</v>
      </c>
      <c r="C226" s="21" t="s">
        <v>160</v>
      </c>
      <c r="D226" s="21" t="s">
        <v>148</v>
      </c>
      <c r="E226" s="29" t="str">
        <f aca="false">IF(D226="?OLD","!!!","")</f>
        <v>!!!</v>
      </c>
      <c r="F226" s="30" t="str">
        <f aca="false">IF(OR(E226="",E226="!!!"),"",IF(NOT(ISNA(VLOOKUP(E226,E$1:E225,1,FALSE()))),"OLD",IF(AND(E226&lt;&gt;"",E226&lt;&gt;"!!!"),"NEW","")))</f>
        <v/>
      </c>
      <c r="G226" s="31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32" t="str">
        <f aca="false">IF(J226&lt;&gt;1,"",IF(I226="SBJ","CB","?"))</f>
        <v/>
      </c>
      <c r="I226" s="33" t="str">
        <f aca="false">IF(OR(E226="",E226="!!!",F226="NEW"),"",INDEX(B$2:B225,-1+SUMPRODUCT(MAX(ROW(E$2:E225)*(E226=E$2:E225)))))</f>
        <v/>
      </c>
      <c r="J226" s="33" t="str">
        <f aca="true">IF(OR(E226="",E226="!!!",F226="NEW"),"",COUNTBLANK(OFFSET(A$1,,,SUMPRODUCT(MAX(ROW(E$2:E226)*(E226=E$2:E226)))))-COUNTBLANK(OFFSET(A$1,,,SUMPRODUCT(MAX(ROW(E$1:E225)*(E2=E$1:E225))))))</f>
        <v/>
      </c>
      <c r="K226" s="33" t="str">
        <f aca="false">IF(OR(E226="",E226="!!!",F226="NEW"),"",INDEX(J$1:J225,SUMPRODUCT(MAX(ROW(E$1:E225)*(E226=E$1:E225)))))</f>
        <v/>
      </c>
      <c r="L226" s="34"/>
    </row>
    <row r="227" customFormat="false" ht="15.8" hidden="false" customHeight="false" outlineLevel="0" collapsed="false">
      <c r="A227" s="20"/>
    </row>
    <row r="228" customFormat="false" ht="15.8" hidden="false" customHeight="false" outlineLevel="0" collapsed="false">
      <c r="A228" s="20" t="s">
        <v>258</v>
      </c>
    </row>
    <row r="229" customFormat="false" ht="15.8" hidden="false" customHeight="false" outlineLevel="0" collapsed="false">
      <c r="A229" s="20" t="s">
        <v>247</v>
      </c>
      <c r="B229" s="21" t="s">
        <v>146</v>
      </c>
      <c r="C229" s="21" t="s">
        <v>160</v>
      </c>
      <c r="D229" s="21" t="s">
        <v>148</v>
      </c>
      <c r="E229" s="29" t="str">
        <f aca="false">IF(D229="?OLD","!!!","")</f>
        <v>!!!</v>
      </c>
      <c r="F229" s="30" t="str">
        <f aca="false">IF(OR(E229="",E229="!!!"),"",IF(NOT(ISNA(VLOOKUP(E229,E$1:E228,1,FALSE()))),"OLD",IF(AND(E229&lt;&gt;"",E229&lt;&gt;"!!!"),"NEW","")))</f>
        <v/>
      </c>
      <c r="G229" s="31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32" t="str">
        <f aca="false">IF(J229&lt;&gt;1,"",IF(I229="SBJ","CB","?"))</f>
        <v/>
      </c>
      <c r="I229" s="33" t="str">
        <f aca="false">IF(OR(E229="",E229="!!!",F229="NEW"),"",INDEX(B$2:B228,-1+SUMPRODUCT(MAX(ROW(E$2:E228)*(E229=E$2:E228)))))</f>
        <v/>
      </c>
      <c r="J229" s="33" t="str">
        <f aca="true">IF(OR(E229="",E229="!!!",F229="NEW"),"",COUNTBLANK(OFFSET(A$1,,,SUMPRODUCT(MAX(ROW(E$2:E229)*(E229=E$2:E229)))))-COUNTBLANK(OFFSET(A$1,,,SUMPRODUCT(MAX(ROW(E$1:E228)*(E2=E$1:E228))))))</f>
        <v/>
      </c>
      <c r="K229" s="33" t="str">
        <f aca="false">IF(OR(E229="",E229="!!!",F229="NEW"),"",INDEX(J$1:J228,SUMPRODUCT(MAX(ROW(E$1:E228)*(E229=E$1:E228)))))</f>
        <v/>
      </c>
      <c r="L229" s="34"/>
    </row>
    <row r="230" customFormat="false" ht="15.8" hidden="false" customHeight="false" outlineLevel="0" collapsed="false">
      <c r="A230" s="20" t="s">
        <v>234</v>
      </c>
      <c r="E230" s="29" t="str">
        <f aca="false">IF(D230="?OLD","!!!","")</f>
        <v/>
      </c>
      <c r="F230" s="30" t="str">
        <f aca="false">IF(OR(E230="",E230="!!!"),"",IF(NOT(ISNA(VLOOKUP(E230,E$1:E229,1,FALSE()))),"OLD",IF(AND(E230&lt;&gt;"",E230&lt;&gt;"!!!"),"NEW","")))</f>
        <v/>
      </c>
      <c r="G230" s="31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32" t="str">
        <f aca="false">IF(J230&lt;&gt;1,"",IF(I230="SBJ","CB","?"))</f>
        <v/>
      </c>
      <c r="I230" s="33" t="str">
        <f aca="false">IF(OR(E230="",E230="!!!",F230="NEW"),"",INDEX(B$2:B229,-1+SUMPRODUCT(MAX(ROW(E$2:E229)*(E230=E$2:E229)))))</f>
        <v/>
      </c>
      <c r="J230" s="33" t="str">
        <f aca="true">IF(OR(E230="",E230="!!!",F230="NEW"),"",COUNTBLANK(OFFSET(A$1,,,SUMPRODUCT(MAX(ROW(E$2:E230)*(E230=E$2:E230)))))-COUNTBLANK(OFFSET(A$1,,,SUMPRODUCT(MAX(ROW(E$1:E229)*(E2=E$1:E229))))))</f>
        <v/>
      </c>
      <c r="K230" s="33" t="str">
        <f aca="false">IF(OR(E230="",E230="!!!",F230="NEW"),"",INDEX(J$1:J229,SUMPRODUCT(MAX(ROW(E$1:E229)*(E230=E$1:E229)))))</f>
        <v/>
      </c>
      <c r="L230" s="34"/>
    </row>
    <row r="231" customFormat="false" ht="15.8" hidden="false" customHeight="false" outlineLevel="0" collapsed="false">
      <c r="A231" s="20" t="s">
        <v>214</v>
      </c>
      <c r="E231" s="29" t="str">
        <f aca="false">IF(D231="?OLD","!!!","")</f>
        <v/>
      </c>
      <c r="F231" s="30" t="str">
        <f aca="false">IF(OR(E231="",E231="!!!"),"",IF(NOT(ISNA(VLOOKUP(E231,E$1:E230,1,FALSE()))),"OLD",IF(AND(E231&lt;&gt;"",E231&lt;&gt;"!!!"),"NEW","")))</f>
        <v/>
      </c>
      <c r="G231" s="31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32" t="str">
        <f aca="false">IF(J231&lt;&gt;1,"",IF(I231="SBJ","CB","?"))</f>
        <v/>
      </c>
      <c r="I231" s="33" t="str">
        <f aca="false">IF(OR(E231="",E231="!!!",F231="NEW"),"",INDEX(B$2:B230,-1+SUMPRODUCT(MAX(ROW(E$2:E230)*(E231=E$2:E230)))))</f>
        <v/>
      </c>
      <c r="J231" s="33" t="str">
        <f aca="true">IF(OR(E231="",E231="!!!",F231="NEW"),"",COUNTBLANK(OFFSET(A$1,,,SUMPRODUCT(MAX(ROW(E$2:E231)*(E231=E$2:E231)))))-COUNTBLANK(OFFSET(A$1,,,SUMPRODUCT(MAX(ROW(E$1:E230)*(E2=E$1:E230))))))</f>
        <v/>
      </c>
      <c r="K231" s="33" t="str">
        <f aca="false">IF(OR(E231="",E231="!!!",F231="NEW"),"",INDEX(J$1:J230,SUMPRODUCT(MAX(ROW(E$1:E230)*(E231=E$1:E230)))))</f>
        <v/>
      </c>
      <c r="L231" s="34"/>
    </row>
    <row r="232" customFormat="false" ht="15.8" hidden="false" customHeight="false" outlineLevel="0" collapsed="false">
      <c r="A232" s="20" t="s">
        <v>215</v>
      </c>
      <c r="E232" s="29" t="str">
        <f aca="false">IF(D232="?OLD","!!!","")</f>
        <v/>
      </c>
      <c r="F232" s="30" t="str">
        <f aca="false">IF(OR(E232="",E232="!!!"),"",IF(NOT(ISNA(VLOOKUP(E232,E$1:E231,1,FALSE()))),"OLD",IF(AND(E232&lt;&gt;"",E232&lt;&gt;"!!!"),"NEW","")))</f>
        <v/>
      </c>
      <c r="G232" s="31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32" t="str">
        <f aca="false">IF(J232&lt;&gt;1,"",IF(I232="SBJ","CB","?"))</f>
        <v/>
      </c>
      <c r="I232" s="33" t="str">
        <f aca="false">IF(OR(E232="",E232="!!!",F232="NEW"),"",INDEX(B$2:B231,-1+SUMPRODUCT(MAX(ROW(E$2:E231)*(E232=E$2:E231)))))</f>
        <v/>
      </c>
      <c r="J232" s="33" t="str">
        <f aca="true">IF(OR(E232="",E232="!!!",F232="NEW"),"",COUNTBLANK(OFFSET(A$1,,,SUMPRODUCT(MAX(ROW(E$2:E232)*(E232=E$2:E232)))))-COUNTBLANK(OFFSET(A$1,,,SUMPRODUCT(MAX(ROW(E$1:E231)*(E2=E$1:E231))))))</f>
        <v/>
      </c>
      <c r="K232" s="33" t="str">
        <f aca="false">IF(OR(E232="",E232="!!!",F232="NEW"),"",INDEX(J$1:J231,SUMPRODUCT(MAX(ROW(E$1:E231)*(E232=E$1:E231)))))</f>
        <v/>
      </c>
      <c r="L232" s="34"/>
    </row>
    <row r="233" customFormat="false" ht="15.8" hidden="false" customHeight="false" outlineLevel="0" collapsed="false">
      <c r="A233" s="20" t="s">
        <v>257</v>
      </c>
      <c r="B233" s="21" t="s">
        <v>259</v>
      </c>
      <c r="C233" s="21" t="s">
        <v>160</v>
      </c>
      <c r="D233" s="21" t="s">
        <v>148</v>
      </c>
      <c r="E233" s="29" t="str">
        <f aca="false">IF(D233="?OLD","!!!","")</f>
        <v>!!!</v>
      </c>
      <c r="F233" s="30" t="str">
        <f aca="false">IF(OR(E233="",E233="!!!"),"",IF(NOT(ISNA(VLOOKUP(E233,E$1:E232,1,FALSE()))),"OLD",IF(AND(E233&lt;&gt;"",E233&lt;&gt;"!!!"),"NEW","")))</f>
        <v/>
      </c>
      <c r="G233" s="31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32" t="str">
        <f aca="false">IF(J233&lt;&gt;1,"",IF(I233="SBJ","CB","?"))</f>
        <v/>
      </c>
      <c r="I233" s="33" t="str">
        <f aca="false">IF(OR(E233="",E233="!!!",F233="NEW"),"",INDEX(B$2:B232,-1+SUMPRODUCT(MAX(ROW(E$2:E232)*(E233=E$2:E232)))))</f>
        <v/>
      </c>
      <c r="J233" s="33" t="str">
        <f aca="true">IF(OR(E233="",E233="!!!",F233="NEW"),"",COUNTBLANK(OFFSET(A$1,,,SUMPRODUCT(MAX(ROW(E$2:E233)*(E233=E$2:E233)))))-COUNTBLANK(OFFSET(A$1,,,SUMPRODUCT(MAX(ROW(E$1:E232)*(E2=E$1:E232))))))</f>
        <v/>
      </c>
      <c r="K233" s="33" t="str">
        <f aca="false">IF(OR(E233="",E233="!!!",F233="NEW"),"",INDEX(J$1:J232,SUMPRODUCT(MAX(ROW(E$1:E232)*(E233=E$1:E232)))))</f>
        <v/>
      </c>
      <c r="L233" s="34"/>
    </row>
    <row r="234" customFormat="false" ht="15.8" hidden="false" customHeight="false" outlineLevel="0" collapsed="false">
      <c r="A234" s="20" t="s">
        <v>176</v>
      </c>
      <c r="E234" s="29" t="str">
        <f aca="false">IF(D234="?OLD","!!!","")</f>
        <v/>
      </c>
      <c r="F234" s="30" t="str">
        <f aca="false">IF(OR(E234="",E234="!!!"),"",IF(NOT(ISNA(VLOOKUP(E234,E$1:E233,1,FALSE()))),"OLD",IF(AND(E234&lt;&gt;"",E234&lt;&gt;"!!!"),"NEW","")))</f>
        <v/>
      </c>
      <c r="G234" s="31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32" t="str">
        <f aca="false">IF(J234&lt;&gt;1,"",IF(I234="SBJ","CB","?"))</f>
        <v/>
      </c>
      <c r="I234" s="33" t="str">
        <f aca="false">IF(OR(E234="",E234="!!!",F234="NEW"),"",INDEX(B$2:B233,-1+SUMPRODUCT(MAX(ROW(E$2:E233)*(E234=E$2:E233)))))</f>
        <v/>
      </c>
      <c r="J234" s="33" t="str">
        <f aca="true">IF(OR(E234="",E234="!!!",F234="NEW"),"",COUNTBLANK(OFFSET(A$1,,,SUMPRODUCT(MAX(ROW(E$2:E234)*(E234=E$2:E234)))))-COUNTBLANK(OFFSET(A$1,,,SUMPRODUCT(MAX(ROW(E$1:E233)*(E2=E$1:E233))))))</f>
        <v/>
      </c>
      <c r="K234" s="33" t="str">
        <f aca="false">IF(OR(E234="",E234="!!!",F234="NEW"),"",INDEX(J$1:J233,SUMPRODUCT(MAX(ROW(E$1:E233)*(E234=E$1:E233)))))</f>
        <v/>
      </c>
      <c r="L234" s="34"/>
    </row>
    <row r="235" customFormat="false" ht="15.8" hidden="false" customHeight="false" outlineLevel="0" collapsed="false">
      <c r="A235" s="20" t="s">
        <v>216</v>
      </c>
      <c r="E235" s="29" t="str">
        <f aca="false">IF(D235="?OLD","!!!","")</f>
        <v/>
      </c>
      <c r="F235" s="30" t="str">
        <f aca="false">IF(OR(E235="",E235="!!!"),"",IF(NOT(ISNA(VLOOKUP(E235,E$1:E234,1,FALSE()))),"OLD",IF(AND(E235&lt;&gt;"",E235&lt;&gt;"!!!"),"NEW","")))</f>
        <v/>
      </c>
      <c r="G235" s="31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32" t="str">
        <f aca="false">IF(J235&lt;&gt;1,"",IF(I235="SBJ","CB","?"))</f>
        <v/>
      </c>
      <c r="I235" s="33" t="str">
        <f aca="false">IF(OR(E235="",E235="!!!",F235="NEW"),"",INDEX(B$2:B234,-1+SUMPRODUCT(MAX(ROW(E$2:E234)*(E235=E$2:E234)))))</f>
        <v/>
      </c>
      <c r="J235" s="33" t="str">
        <f aca="true">IF(OR(E235="",E235="!!!",F235="NEW"),"",COUNTBLANK(OFFSET(A$1,,,SUMPRODUCT(MAX(ROW(E$2:E235)*(E235=E$2:E235)))))-COUNTBLANK(OFFSET(A$1,,,SUMPRODUCT(MAX(ROW(E$1:E234)*(E2=E$1:E234))))))</f>
        <v/>
      </c>
      <c r="K235" s="33" t="str">
        <f aca="false">IF(OR(E235="",E235="!!!",F235="NEW"),"",INDEX(J$1:J234,SUMPRODUCT(MAX(ROW(E$1:E234)*(E235=E$1:E234)))))</f>
        <v/>
      </c>
      <c r="L235" s="34"/>
    </row>
    <row r="236" customFormat="false" ht="15.8" hidden="false" customHeight="false" outlineLevel="0" collapsed="false">
      <c r="A236" s="20" t="s">
        <v>217</v>
      </c>
      <c r="E236" s="29" t="str">
        <f aca="false">IF(D236="?OLD","!!!","")</f>
        <v/>
      </c>
      <c r="F236" s="30" t="str">
        <f aca="false">IF(OR(E236="",E236="!!!"),"",IF(NOT(ISNA(VLOOKUP(E236,E$1:E235,1,FALSE()))),"OLD",IF(AND(E236&lt;&gt;"",E236&lt;&gt;"!!!"),"NEW","")))</f>
        <v/>
      </c>
      <c r="G236" s="31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32" t="str">
        <f aca="false">IF(J236&lt;&gt;1,"",IF(I236="SBJ","CB","?"))</f>
        <v/>
      </c>
      <c r="I236" s="33" t="str">
        <f aca="false">IF(OR(E236="",E236="!!!",F236="NEW"),"",INDEX(B$2:B235,-1+SUMPRODUCT(MAX(ROW(E$2:E235)*(E236=E$2:E235)))))</f>
        <v/>
      </c>
      <c r="J236" s="33" t="str">
        <f aca="true">IF(OR(E236="",E236="!!!",F236="NEW"),"",COUNTBLANK(OFFSET(A$1,,,SUMPRODUCT(MAX(ROW(E$2:E236)*(E236=E$2:E236)))))-COUNTBLANK(OFFSET(A$1,,,SUMPRODUCT(MAX(ROW(E$1:E235)*(E2=E$1:E235))))))</f>
        <v/>
      </c>
      <c r="K236" s="33" t="str">
        <f aca="false">IF(OR(E236="",E236="!!!",F236="NEW"),"",INDEX(J$1:J235,SUMPRODUCT(MAX(ROW(E$1:E235)*(E236=E$1:E235)))))</f>
        <v/>
      </c>
      <c r="L236" s="34"/>
    </row>
    <row r="237" customFormat="false" ht="15.8" hidden="false" customHeight="false" outlineLevel="0" collapsed="false">
      <c r="A237" s="20" t="s">
        <v>260</v>
      </c>
      <c r="E237" s="29" t="str">
        <f aca="false">IF(D237="?OLD","!!!","")</f>
        <v/>
      </c>
      <c r="F237" s="30" t="str">
        <f aca="false">IF(OR(E237="",E237="!!!"),"",IF(NOT(ISNA(VLOOKUP(E237,E$1:E236,1,FALSE()))),"OLD",IF(AND(E237&lt;&gt;"",E237&lt;&gt;"!!!"),"NEW","")))</f>
        <v/>
      </c>
      <c r="G237" s="31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32" t="str">
        <f aca="false">IF(J237&lt;&gt;1,"",IF(I237="SBJ","CB","?"))</f>
        <v/>
      </c>
      <c r="I237" s="33" t="str">
        <f aca="false">IF(OR(E237="",E237="!!!",F237="NEW"),"",INDEX(B$2:B236,-1+SUMPRODUCT(MAX(ROW(E$2:E236)*(E237=E$2:E236)))))</f>
        <v/>
      </c>
      <c r="J237" s="33" t="str">
        <f aca="true">IF(OR(E237="",E237="!!!",F237="NEW"),"",COUNTBLANK(OFFSET(A$1,,,SUMPRODUCT(MAX(ROW(E$2:E237)*(E237=E$2:E237)))))-COUNTBLANK(OFFSET(A$1,,,SUMPRODUCT(MAX(ROW(E$1:E236)*(E2=E$1:E236))))))</f>
        <v/>
      </c>
      <c r="K237" s="33" t="str">
        <f aca="false">IF(OR(E237="",E237="!!!",F237="NEW"),"",INDEX(J$1:J236,SUMPRODUCT(MAX(ROW(E$1:E236)*(E237=E$1:E236)))))</f>
        <v/>
      </c>
      <c r="L237" s="34"/>
    </row>
    <row r="238" customFormat="false" ht="15.8" hidden="false" customHeight="false" outlineLevel="0" collapsed="false">
      <c r="A238" s="20" t="s">
        <v>199</v>
      </c>
      <c r="B238" s="21" t="s">
        <v>153</v>
      </c>
      <c r="C238" s="21" t="s">
        <v>200</v>
      </c>
      <c r="E238" s="29" t="str">
        <f aca="false">IF(D238="?OLD","!!!","")</f>
        <v/>
      </c>
      <c r="F238" s="30" t="str">
        <f aca="false">IF(OR(E238="",E238="!!!"),"",IF(NOT(ISNA(VLOOKUP(E238,E$1:E237,1,FALSE()))),"OLD",IF(AND(E238&lt;&gt;"",E238&lt;&gt;"!!!"),"NEW","")))</f>
        <v/>
      </c>
      <c r="G238" s="31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32" t="str">
        <f aca="false">IF(J238&lt;&gt;1,"",IF(I238="SBJ","CB","?"))</f>
        <v/>
      </c>
      <c r="I238" s="33" t="str">
        <f aca="false">IF(OR(E238="",E238="!!!",F238="NEW"),"",INDEX(B$2:B237,-1+SUMPRODUCT(MAX(ROW(E$2:E237)*(E238=E$2:E237)))))</f>
        <v/>
      </c>
      <c r="J238" s="33" t="str">
        <f aca="true">IF(OR(E238="",E238="!!!",F238="NEW"),"",COUNTBLANK(OFFSET(A$1,,,SUMPRODUCT(MAX(ROW(E$2:E238)*(E238=E$2:E238)))))-COUNTBLANK(OFFSET(A$1,,,SUMPRODUCT(MAX(ROW(E$1:E237)*(E2=E$1:E237))))))</f>
        <v/>
      </c>
      <c r="K238" s="33" t="str">
        <f aca="false">IF(OR(E238="",E238="!!!",F238="NEW"),"",INDEX(J$1:J237,SUMPRODUCT(MAX(ROW(E$1:E237)*(E238=E$1:E237)))))</f>
        <v/>
      </c>
      <c r="L238" s="34"/>
    </row>
    <row r="239" customFormat="false" ht="15.8" hidden="false" customHeight="false" outlineLevel="0" collapsed="false">
      <c r="A239" s="20" t="s">
        <v>187</v>
      </c>
      <c r="E239" s="29" t="str">
        <f aca="false">IF(D239="?OLD","!!!","")</f>
        <v/>
      </c>
      <c r="F239" s="30" t="str">
        <f aca="false">IF(OR(E239="",E239="!!!"),"",IF(NOT(ISNA(VLOOKUP(E239,E$1:E238,1,FALSE()))),"OLD",IF(AND(E239&lt;&gt;"",E239&lt;&gt;"!!!"),"NEW","")))</f>
        <v/>
      </c>
      <c r="G239" s="31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32" t="str">
        <f aca="false">IF(J239&lt;&gt;1,"",IF(I239="SBJ","CB","?"))</f>
        <v/>
      </c>
      <c r="I239" s="33" t="str">
        <f aca="false">IF(OR(E239="",E239="!!!",F239="NEW"),"",INDEX(B$2:B238,-1+SUMPRODUCT(MAX(ROW(E$2:E238)*(E239=E$2:E238)))))</f>
        <v/>
      </c>
      <c r="J239" s="33" t="str">
        <f aca="true">IF(OR(E239="",E239="!!!",F239="NEW"),"",COUNTBLANK(OFFSET(A$1,,,SUMPRODUCT(MAX(ROW(E$2:E239)*(E239=E$2:E239)))))-COUNTBLANK(OFFSET(A$1,,,SUMPRODUCT(MAX(ROW(E$1:E238)*(E2=E$1:E238))))))</f>
        <v/>
      </c>
      <c r="K239" s="33" t="str">
        <f aca="false">IF(OR(E239="",E239="!!!",F239="NEW"),"",INDEX(J$1:J238,SUMPRODUCT(MAX(ROW(E$1:E238)*(E239=E$1:E238)))))</f>
        <v/>
      </c>
      <c r="L239" s="34"/>
    </row>
    <row r="240" customFormat="false" ht="15.8" hidden="false" customHeight="false" outlineLevel="0" collapsed="false">
      <c r="A240" s="20" t="s">
        <v>201</v>
      </c>
      <c r="E240" s="29" t="str">
        <f aca="false">IF(D240="?OLD","!!!","")</f>
        <v/>
      </c>
      <c r="F240" s="30" t="str">
        <f aca="false">IF(OR(E240="",E240="!!!"),"",IF(NOT(ISNA(VLOOKUP(E240,E$1:E239,1,FALSE()))),"OLD",IF(AND(E240&lt;&gt;"",E240&lt;&gt;"!!!"),"NEW","")))</f>
        <v/>
      </c>
      <c r="G240" s="31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32" t="str">
        <f aca="false">IF(J240&lt;&gt;1,"",IF(I240="SBJ","CB","?"))</f>
        <v/>
      </c>
      <c r="I240" s="33" t="str">
        <f aca="false">IF(OR(E240="",E240="!!!",F240="NEW"),"",INDEX(B$2:B239,-1+SUMPRODUCT(MAX(ROW(E$2:E239)*(E240=E$2:E239)))))</f>
        <v/>
      </c>
      <c r="J240" s="33" t="str">
        <f aca="true">IF(OR(E240="",E240="!!!",F240="NEW"),"",COUNTBLANK(OFFSET(A$1,,,SUMPRODUCT(MAX(ROW(E$2:E240)*(E240=E$2:E240)))))-COUNTBLANK(OFFSET(A$1,,,SUMPRODUCT(MAX(ROW(E$1:E239)*(E2=E$1:E239))))))</f>
        <v/>
      </c>
      <c r="K240" s="33" t="str">
        <f aca="false">IF(OR(E240="",E240="!!!",F240="NEW"),"",INDEX(J$1:J239,SUMPRODUCT(MAX(ROW(E$1:E239)*(E240=E$1:E239)))))</f>
        <v/>
      </c>
      <c r="L240" s="34"/>
    </row>
    <row r="241" customFormat="false" ht="15.8" hidden="false" customHeight="false" outlineLevel="0" collapsed="false">
      <c r="A241" s="20" t="s">
        <v>219</v>
      </c>
      <c r="B241" s="21" t="s">
        <v>174</v>
      </c>
      <c r="C241" s="21" t="s">
        <v>186</v>
      </c>
      <c r="E241" s="29" t="str">
        <f aca="false">IF(D241="?OLD","!!!","")</f>
        <v/>
      </c>
      <c r="F241" s="30" t="str">
        <f aca="false">IF(OR(E241="",E241="!!!"),"",IF(NOT(ISNA(VLOOKUP(E241,E$1:E240,1,FALSE()))),"OLD",IF(AND(E241&lt;&gt;"",E241&lt;&gt;"!!!"),"NEW","")))</f>
        <v/>
      </c>
      <c r="G241" s="31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32" t="str">
        <f aca="false">IF(J241&lt;&gt;1,"",IF(I241="SBJ","CB","?"))</f>
        <v/>
      </c>
      <c r="I241" s="33" t="str">
        <f aca="false">IF(OR(E241="",E241="!!!",F241="NEW"),"",INDEX(B$2:B240,-1+SUMPRODUCT(MAX(ROW(E$2:E240)*(E241=E$2:E240)))))</f>
        <v/>
      </c>
      <c r="J241" s="33" t="str">
        <f aca="true">IF(OR(E241="",E241="!!!",F241="NEW"),"",COUNTBLANK(OFFSET(A$1,,,SUMPRODUCT(MAX(ROW(E$2:E241)*(E241=E$2:E241)))))-COUNTBLANK(OFFSET(A$1,,,SUMPRODUCT(MAX(ROW(E$1:E240)*(E2=E$1:E240))))))</f>
        <v/>
      </c>
      <c r="K241" s="33" t="str">
        <f aca="false">IF(OR(E241="",E241="!!!",F241="NEW"),"",INDEX(J$1:J240,SUMPRODUCT(MAX(ROW(E$1:E240)*(E241=E$1:E240)))))</f>
        <v/>
      </c>
      <c r="L241" s="34"/>
    </row>
    <row r="242" customFormat="false" ht="15.8" hidden="false" customHeight="false" outlineLevel="0" collapsed="false">
      <c r="A242" s="20" t="s">
        <v>187</v>
      </c>
      <c r="E242" s="29" t="str">
        <f aca="false">IF(D242="?OLD","!!!","")</f>
        <v/>
      </c>
      <c r="F242" s="30" t="str">
        <f aca="false">IF(OR(E242="",E242="!!!"),"",IF(NOT(ISNA(VLOOKUP(E242,E$1:E241,1,FALSE()))),"OLD",IF(AND(E242&lt;&gt;"",E242&lt;&gt;"!!!"),"NEW","")))</f>
        <v/>
      </c>
      <c r="G242" s="31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32" t="str">
        <f aca="false">IF(J242&lt;&gt;1,"",IF(I242="SBJ","CB","?"))</f>
        <v/>
      </c>
      <c r="I242" s="33" t="str">
        <f aca="false">IF(OR(E242="",E242="!!!",F242="NEW"),"",INDEX(B$2:B241,-1+SUMPRODUCT(MAX(ROW(E$2:E241)*(E242=E$2:E241)))))</f>
        <v/>
      </c>
      <c r="J242" s="33" t="str">
        <f aca="true">IF(OR(E242="",E242="!!!",F242="NEW"),"",COUNTBLANK(OFFSET(A$1,,,SUMPRODUCT(MAX(ROW(E$2:E242)*(E242=E$2:E242)))))-COUNTBLANK(OFFSET(A$1,,,SUMPRODUCT(MAX(ROW(E$1:E241)*(E2=E$1:E241))))))</f>
        <v/>
      </c>
      <c r="K242" s="33" t="str">
        <f aca="false">IF(OR(E242="",E242="!!!",F242="NEW"),"",INDEX(J$1:J241,SUMPRODUCT(MAX(ROW(E$1:E241)*(E242=E$1:E241)))))</f>
        <v/>
      </c>
      <c r="L242" s="34"/>
    </row>
    <row r="243" customFormat="false" ht="15.8" hidden="false" customHeight="false" outlineLevel="0" collapsed="false">
      <c r="A243" s="20" t="s">
        <v>220</v>
      </c>
      <c r="B243" s="21" t="s">
        <v>170</v>
      </c>
      <c r="C243" s="21" t="s">
        <v>186</v>
      </c>
      <c r="E243" s="29" t="str">
        <f aca="false">IF(D243="?OLD","!!!","")</f>
        <v/>
      </c>
      <c r="F243" s="30" t="str">
        <f aca="false">IF(OR(E243="",E243="!!!"),"",IF(NOT(ISNA(VLOOKUP(E243,E$1:E242,1,FALSE()))),"OLD",IF(AND(E243&lt;&gt;"",E243&lt;&gt;"!!!"),"NEW","")))</f>
        <v/>
      </c>
      <c r="G243" s="31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32" t="str">
        <f aca="false">IF(J243&lt;&gt;1,"",IF(I243="SBJ","CB","?"))</f>
        <v/>
      </c>
      <c r="I243" s="33" t="str">
        <f aca="false">IF(OR(E243="",E243="!!!",F243="NEW"),"",INDEX(B$2:B242,-1+SUMPRODUCT(MAX(ROW(E$2:E242)*(E243=E$2:E242)))))</f>
        <v/>
      </c>
      <c r="J243" s="33" t="str">
        <f aca="true">IF(OR(E243="",E243="!!!",F243="NEW"),"",COUNTBLANK(OFFSET(A$1,,,SUMPRODUCT(MAX(ROW(E$2:E243)*(E243=E$2:E243)))))-COUNTBLANK(OFFSET(A$1,,,SUMPRODUCT(MAX(ROW(E$1:E242)*(E2=E$1:E242))))))</f>
        <v/>
      </c>
      <c r="K243" s="33" t="str">
        <f aca="false">IF(OR(E243="",E243="!!!",F243="NEW"),"",INDEX(J$1:J242,SUMPRODUCT(MAX(ROW(E$1:E242)*(E243=E$1:E242)))))</f>
        <v/>
      </c>
      <c r="L243" s="34"/>
    </row>
    <row r="244" customFormat="false" ht="15.8" hidden="false" customHeight="false" outlineLevel="0" collapsed="false">
      <c r="A244" s="20"/>
    </row>
    <row r="245" customFormat="false" ht="15.8" hidden="false" customHeight="false" outlineLevel="0" collapsed="false">
      <c r="A245" s="20" t="s">
        <v>261</v>
      </c>
    </row>
    <row r="246" customFormat="false" ht="15.8" hidden="false" customHeight="false" outlineLevel="0" collapsed="false">
      <c r="A246" s="20" t="s">
        <v>222</v>
      </c>
      <c r="E246" s="29" t="str">
        <f aca="false">IF(D246="?OLD","!!!","")</f>
        <v/>
      </c>
      <c r="F246" s="30" t="str">
        <f aca="false">IF(OR(E246="",E246="!!!"),"",IF(NOT(ISNA(VLOOKUP(E246,E$1:E245,1,FALSE()))),"OLD",IF(AND(E246&lt;&gt;"",E246&lt;&gt;"!!!"),"NEW","")))</f>
        <v/>
      </c>
      <c r="G246" s="31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32" t="str">
        <f aca="false">IF(J246&lt;&gt;1,"",IF(I246="SBJ","CB","?"))</f>
        <v/>
      </c>
      <c r="I246" s="33" t="str">
        <f aca="false">IF(OR(E246="",E246="!!!",F246="NEW"),"",INDEX(B$2:B245,-1+SUMPRODUCT(MAX(ROW(E$2:E245)*(E246=E$2:E245)))))</f>
        <v/>
      </c>
      <c r="J246" s="33" t="str">
        <f aca="true">IF(OR(E246="",E246="!!!",F246="NEW"),"",COUNTBLANK(OFFSET(A$1,,,SUMPRODUCT(MAX(ROW(E$2:E246)*(E246=E$2:E246)))))-COUNTBLANK(OFFSET(A$1,,,SUMPRODUCT(MAX(ROW(E$1:E245)*(E2=E$1:E245))))))</f>
        <v/>
      </c>
      <c r="K246" s="33" t="str">
        <f aca="false">IF(OR(E246="",E246="!!!",F246="NEW"),"",INDEX(J$1:J245,SUMPRODUCT(MAX(ROW(E$1:E245)*(E246=E$1:E245)))))</f>
        <v/>
      </c>
      <c r="L246" s="34"/>
    </row>
    <row r="247" customFormat="false" ht="15.8" hidden="false" customHeight="false" outlineLevel="0" collapsed="false">
      <c r="A247" s="20" t="s">
        <v>223</v>
      </c>
      <c r="E247" s="29" t="str">
        <f aca="false">IF(D247="?OLD","!!!","")</f>
        <v/>
      </c>
      <c r="F247" s="30" t="str">
        <f aca="false">IF(OR(E247="",E247="!!!"),"",IF(NOT(ISNA(VLOOKUP(E247,E$1:E246,1,FALSE()))),"OLD",IF(AND(E247&lt;&gt;"",E247&lt;&gt;"!!!"),"NEW","")))</f>
        <v/>
      </c>
      <c r="G247" s="31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32" t="str">
        <f aca="false">IF(J247&lt;&gt;1,"",IF(I247="SBJ","CB","?"))</f>
        <v/>
      </c>
      <c r="I247" s="33" t="str">
        <f aca="false">IF(OR(E247="",E247="!!!",F247="NEW"),"",INDEX(B$2:B246,-1+SUMPRODUCT(MAX(ROW(E$2:E246)*(E247=E$2:E246)))))</f>
        <v/>
      </c>
      <c r="J247" s="33" t="str">
        <f aca="true">IF(OR(E247="",E247="!!!",F247="NEW"),"",COUNTBLANK(OFFSET(A$1,,,SUMPRODUCT(MAX(ROW(E$2:E247)*(E247=E$2:E247)))))-COUNTBLANK(OFFSET(A$1,,,SUMPRODUCT(MAX(ROW(E$1:E246)*(E2=E$1:E246))))))</f>
        <v/>
      </c>
      <c r="K247" s="33" t="str">
        <f aca="false">IF(OR(E247="",E247="!!!",F247="NEW"),"",INDEX(J$1:J246,SUMPRODUCT(MAX(ROW(E$1:E246)*(E247=E$1:E246)))))</f>
        <v/>
      </c>
      <c r="L247" s="34"/>
    </row>
    <row r="248" customFormat="false" ht="15.8" hidden="false" customHeight="false" outlineLevel="0" collapsed="false">
      <c r="A248" s="20" t="s">
        <v>224</v>
      </c>
      <c r="B248" s="21" t="s">
        <v>146</v>
      </c>
      <c r="C248" s="21" t="s">
        <v>154</v>
      </c>
      <c r="D248" s="21" t="s">
        <v>148</v>
      </c>
      <c r="E248" s="29" t="str">
        <f aca="false">IF(D248="?OLD","!!!","")</f>
        <v>!!!</v>
      </c>
      <c r="F248" s="30" t="str">
        <f aca="false">IF(OR(E248="",E248="!!!"),"",IF(NOT(ISNA(VLOOKUP(E248,E$1:E247,1,FALSE()))),"OLD",IF(AND(E248&lt;&gt;"",E248&lt;&gt;"!!!"),"NEW","")))</f>
        <v/>
      </c>
      <c r="G248" s="31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32" t="str">
        <f aca="false">IF(J248&lt;&gt;1,"",IF(I248="SBJ","CB","?"))</f>
        <v/>
      </c>
      <c r="I248" s="33" t="str">
        <f aca="false">IF(OR(E248="",E248="!!!",F248="NEW"),"",INDEX(B$2:B247,-1+SUMPRODUCT(MAX(ROW(E$2:E247)*(E248=E$2:E247)))))</f>
        <v/>
      </c>
      <c r="J248" s="33" t="str">
        <f aca="true">IF(OR(E248="",E248="!!!",F248="NEW"),"",COUNTBLANK(OFFSET(A$1,,,SUMPRODUCT(MAX(ROW(E$2:E248)*(E248=E$2:E248)))))-COUNTBLANK(OFFSET(A$1,,,SUMPRODUCT(MAX(ROW(E$1:E247)*(E2=E$1:E247))))))</f>
        <v/>
      </c>
      <c r="K248" s="33" t="str">
        <f aca="false">IF(OR(E248="",E248="!!!",F248="NEW"),"",INDEX(J$1:J247,SUMPRODUCT(MAX(ROW(E$1:E247)*(E248=E$1:E247)))))</f>
        <v/>
      </c>
      <c r="L248" s="34"/>
    </row>
    <row r="249" customFormat="false" ht="15.8" hidden="false" customHeight="false" outlineLevel="0" collapsed="false">
      <c r="A249" s="20" t="s">
        <v>155</v>
      </c>
      <c r="E249" s="29" t="str">
        <f aca="false">IF(D249="?OLD","!!!","")</f>
        <v/>
      </c>
      <c r="F249" s="30" t="str">
        <f aca="false">IF(OR(E249="",E249="!!!"),"",IF(NOT(ISNA(VLOOKUP(E249,E$1:E248,1,FALSE()))),"OLD",IF(AND(E249&lt;&gt;"",E249&lt;&gt;"!!!"),"NEW","")))</f>
        <v/>
      </c>
      <c r="G249" s="31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32" t="str">
        <f aca="false">IF(J249&lt;&gt;1,"",IF(I249="SBJ","CB","?"))</f>
        <v/>
      </c>
      <c r="I249" s="33" t="str">
        <f aca="false">IF(OR(E249="",E249="!!!",F249="NEW"),"",INDEX(B$2:B248,-1+SUMPRODUCT(MAX(ROW(E$2:E248)*(E249=E$2:E248)))))</f>
        <v/>
      </c>
      <c r="J249" s="33" t="str">
        <f aca="true">IF(OR(E249="",E249="!!!",F249="NEW"),"",COUNTBLANK(OFFSET(A$1,,,SUMPRODUCT(MAX(ROW(E$2:E249)*(E249=E$2:E249)))))-COUNTBLANK(OFFSET(A$1,,,SUMPRODUCT(MAX(ROW(E$1:E248)*(E2=E$1:E248))))))</f>
        <v/>
      </c>
      <c r="K249" s="33" t="str">
        <f aca="false">IF(OR(E249="",E249="!!!",F249="NEW"),"",INDEX(J$1:J248,SUMPRODUCT(MAX(ROW(E$1:E248)*(E249=E$1:E248)))))</f>
        <v/>
      </c>
      <c r="L249" s="34"/>
    </row>
    <row r="250" customFormat="false" ht="15.8" hidden="false" customHeight="false" outlineLevel="0" collapsed="false">
      <c r="A250" s="20" t="s">
        <v>249</v>
      </c>
      <c r="B250" s="21" t="s">
        <v>159</v>
      </c>
      <c r="C250" s="21" t="s">
        <v>160</v>
      </c>
      <c r="D250" s="21" t="s">
        <v>148</v>
      </c>
      <c r="E250" s="29" t="str">
        <f aca="false">IF(D250="?OLD","!!!","")</f>
        <v>!!!</v>
      </c>
      <c r="F250" s="30" t="str">
        <f aca="false">IF(OR(E250="",E250="!!!"),"",IF(NOT(ISNA(VLOOKUP(E250,E$1:E249,1,FALSE()))),"OLD",IF(AND(E250&lt;&gt;"",E250&lt;&gt;"!!!"),"NEW","")))</f>
        <v/>
      </c>
      <c r="G250" s="31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32" t="str">
        <f aca="false">IF(J250&lt;&gt;1,"",IF(I250="SBJ","CB","?"))</f>
        <v/>
      </c>
      <c r="I250" s="33" t="str">
        <f aca="false">IF(OR(E250="",E250="!!!",F250="NEW"),"",INDEX(B$2:B249,-1+SUMPRODUCT(MAX(ROW(E$2:E249)*(E250=E$2:E249)))))</f>
        <v/>
      </c>
      <c r="J250" s="33" t="str">
        <f aca="true">IF(OR(E250="",E250="!!!",F250="NEW"),"",COUNTBLANK(OFFSET(A$1,,,SUMPRODUCT(MAX(ROW(E$2:E250)*(E250=E$2:E250)))))-COUNTBLANK(OFFSET(A$1,,,SUMPRODUCT(MAX(ROW(E$1:E249)*(E2=E$1:E249))))))</f>
        <v/>
      </c>
      <c r="K250" s="33" t="str">
        <f aca="false">IF(OR(E250="",E250="!!!",F250="NEW"),"",INDEX(J$1:J249,SUMPRODUCT(MAX(ROW(E$1:E249)*(E250=E$1:E249)))))</f>
        <v/>
      </c>
      <c r="L250" s="34"/>
    </row>
    <row r="251" customFormat="false" ht="15.8" hidden="false" customHeight="false" outlineLevel="0" collapsed="false">
      <c r="A251" s="20" t="s">
        <v>250</v>
      </c>
      <c r="B251" s="21" t="s">
        <v>170</v>
      </c>
      <c r="C251" s="21" t="s">
        <v>186</v>
      </c>
      <c r="E251" s="29" t="str">
        <f aca="false">IF(D251="?OLD","!!!","")</f>
        <v/>
      </c>
      <c r="F251" s="30" t="str">
        <f aca="false">IF(OR(E251="",E251="!!!"),"",IF(NOT(ISNA(VLOOKUP(E251,E$1:E250,1,FALSE()))),"OLD",IF(AND(E251&lt;&gt;"",E251&lt;&gt;"!!!"),"NEW","")))</f>
        <v/>
      </c>
      <c r="G251" s="31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32" t="str">
        <f aca="false">IF(J251&lt;&gt;1,"",IF(I251="SBJ","CB","?"))</f>
        <v/>
      </c>
      <c r="I251" s="33" t="str">
        <f aca="false">IF(OR(E251="",E251="!!!",F251="NEW"),"",INDEX(B$2:B250,-1+SUMPRODUCT(MAX(ROW(E$2:E250)*(E251=E$2:E250)))))</f>
        <v/>
      </c>
      <c r="J251" s="33" t="str">
        <f aca="true">IF(OR(E251="",E251="!!!",F251="NEW"),"",COUNTBLANK(OFFSET(A$1,,,SUMPRODUCT(MAX(ROW(E$2:E251)*(E251=E$2:E251)))))-COUNTBLANK(OFFSET(A$1,,,SUMPRODUCT(MAX(ROW(E$1:E250)*(E2=E$1:E250))))))</f>
        <v/>
      </c>
      <c r="K251" s="33" t="str">
        <f aca="false">IF(OR(E251="",E251="!!!",F251="NEW"),"",INDEX(J$1:J250,SUMPRODUCT(MAX(ROW(E$1:E250)*(E251=E$1:E250)))))</f>
        <v/>
      </c>
      <c r="L251" s="34"/>
    </row>
    <row r="252" customFormat="false" ht="15.8" hidden="false" customHeight="false" outlineLevel="0" collapsed="false">
      <c r="A252" s="20" t="s">
        <v>225</v>
      </c>
      <c r="E252" s="29" t="str">
        <f aca="false">IF(D252="?OLD","!!!","")</f>
        <v/>
      </c>
      <c r="F252" s="30" t="str">
        <f aca="false">IF(OR(E252="",E252="!!!"),"",IF(NOT(ISNA(VLOOKUP(E252,E$1:E251,1,FALSE()))),"OLD",IF(AND(E252&lt;&gt;"",E252&lt;&gt;"!!!"),"NEW","")))</f>
        <v/>
      </c>
      <c r="G252" s="31" t="str">
        <f aca="false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32" t="str">
        <f aca="false">IF(J252&lt;&gt;1,"",IF(I252="SBJ","CB","?"))</f>
        <v/>
      </c>
      <c r="I252" s="33" t="str">
        <f aca="false">IF(OR(E252="",E252="!!!",F252="NEW"),"",INDEX(B$2:B251,-1+SUMPRODUCT(MAX(ROW(E$2:E251)*(E252=E$2:E251)))))</f>
        <v/>
      </c>
      <c r="J252" s="33" t="str">
        <f aca="true">IF(OR(E252="",E252="!!!",F252="NEW"),"",COUNTBLANK(OFFSET(A$1,,,SUMPRODUCT(MAX(ROW(E$2:E252)*(E252=E$2:E252)))))-COUNTBLANK(OFFSET(A$1,,,SUMPRODUCT(MAX(ROW(E$1:E251)*(E2=E$1:E251))))))</f>
        <v/>
      </c>
      <c r="K252" s="33" t="str">
        <f aca="false">IF(OR(E252="",E252="!!!",F252="NEW"),"",INDEX(J$1:J251,SUMPRODUCT(MAX(ROW(E$1:E251)*(E252=E$1:E251)))))</f>
        <v/>
      </c>
      <c r="L252" s="34"/>
    </row>
    <row r="253" customFormat="false" ht="15.8" hidden="false" customHeight="false" outlineLevel="0" collapsed="false">
      <c r="A253" s="20" t="s">
        <v>155</v>
      </c>
      <c r="E253" s="29" t="str">
        <f aca="false">IF(D253="?OLD","!!!","")</f>
        <v/>
      </c>
      <c r="F253" s="30" t="str">
        <f aca="false">IF(OR(E253="",E253="!!!"),"",IF(NOT(ISNA(VLOOKUP(E253,E$1:E252,1,FALSE()))),"OLD",IF(AND(E253&lt;&gt;"",E253&lt;&gt;"!!!"),"NEW","")))</f>
        <v/>
      </c>
      <c r="G253" s="31" t="str">
        <f aca="false"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32" t="str">
        <f aca="false">IF(J253&lt;&gt;1,"",IF(I253="SBJ","CB","?"))</f>
        <v/>
      </c>
      <c r="I253" s="33" t="str">
        <f aca="false">IF(OR(E253="",E253="!!!",F253="NEW"),"",INDEX(B$2:B252,-1+SUMPRODUCT(MAX(ROW(E$2:E252)*(E253=E$2:E252)))))</f>
        <v/>
      </c>
      <c r="J253" s="33" t="str">
        <f aca="true">IF(OR(E253="",E253="!!!",F253="NEW"),"",COUNTBLANK(OFFSET(A$1,,,SUMPRODUCT(MAX(ROW(E$2:E253)*(E253=E$2:E253)))))-COUNTBLANK(OFFSET(A$1,,,SUMPRODUCT(MAX(ROW(E$1:E252)*(E2=E$1:E252))))))</f>
        <v/>
      </c>
      <c r="K253" s="33" t="str">
        <f aca="false">IF(OR(E253="",E253="!!!",F253="NEW"),"",INDEX(J$1:J252,SUMPRODUCT(MAX(ROW(E$1:E252)*(E253=E$1:E252)))))</f>
        <v/>
      </c>
      <c r="L253" s="34"/>
    </row>
    <row r="254" customFormat="false" ht="15.8" hidden="false" customHeight="false" outlineLevel="0" collapsed="false">
      <c r="A254" s="20" t="s">
        <v>262</v>
      </c>
      <c r="E254" s="29" t="str">
        <f aca="false">IF(D254="?OLD","!!!","")</f>
        <v/>
      </c>
      <c r="F254" s="30" t="str">
        <f aca="false">IF(OR(E254="",E254="!!!"),"",IF(NOT(ISNA(VLOOKUP(E254,E$1:E253,1,FALSE()))),"OLD",IF(AND(E254&lt;&gt;"",E254&lt;&gt;"!!!"),"NEW","")))</f>
        <v/>
      </c>
      <c r="G254" s="31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32" t="str">
        <f aca="false">IF(J254&lt;&gt;1,"",IF(I254="SBJ","CB","?"))</f>
        <v/>
      </c>
      <c r="I254" s="33" t="str">
        <f aca="false">IF(OR(E254="",E254="!!!",F254="NEW"),"",INDEX(B$2:B253,-1+SUMPRODUCT(MAX(ROW(E$2:E253)*(E254=E$2:E253)))))</f>
        <v/>
      </c>
      <c r="J254" s="33" t="str">
        <f aca="true">IF(OR(E254="",E254="!!!",F254="NEW"),"",COUNTBLANK(OFFSET(A$1,,,SUMPRODUCT(MAX(ROW(E$2:E254)*(E254=E$2:E254)))))-COUNTBLANK(OFFSET(A$1,,,SUMPRODUCT(MAX(ROW(E$1:E253)*(E2=E$1:E253))))))</f>
        <v/>
      </c>
      <c r="K254" s="33" t="str">
        <f aca="false">IF(OR(E254="",E254="!!!",F254="NEW"),"",INDEX(J$1:J253,SUMPRODUCT(MAX(ROW(E$1:E253)*(E254=E$1:E253)))))</f>
        <v/>
      </c>
      <c r="L254" s="34"/>
    </row>
    <row r="255" customFormat="false" ht="15.8" hidden="false" customHeight="false" outlineLevel="0" collapsed="false">
      <c r="A255" s="20" t="s">
        <v>199</v>
      </c>
      <c r="B255" s="21" t="s">
        <v>153</v>
      </c>
      <c r="C255" s="21" t="s">
        <v>200</v>
      </c>
      <c r="E255" s="29" t="str">
        <f aca="false">IF(D255="?OLD","!!!","")</f>
        <v/>
      </c>
      <c r="F255" s="30" t="str">
        <f aca="false">IF(OR(E255="",E255="!!!"),"",IF(NOT(ISNA(VLOOKUP(E255,E$1:E254,1,FALSE()))),"OLD",IF(AND(E255&lt;&gt;"",E255&lt;&gt;"!!!"),"NEW","")))</f>
        <v/>
      </c>
      <c r="G255" s="31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32" t="str">
        <f aca="false">IF(J255&lt;&gt;1,"",IF(I255="SBJ","CB","?"))</f>
        <v/>
      </c>
      <c r="I255" s="33" t="str">
        <f aca="false">IF(OR(E255="",E255="!!!",F255="NEW"),"",INDEX(B$2:B254,-1+SUMPRODUCT(MAX(ROW(E$2:E254)*(E255=E$2:E254)))))</f>
        <v/>
      </c>
      <c r="J255" s="33" t="str">
        <f aca="true">IF(OR(E255="",E255="!!!",F255="NEW"),"",COUNTBLANK(OFFSET(A$1,,,SUMPRODUCT(MAX(ROW(E$2:E255)*(E255=E$2:E255)))))-COUNTBLANK(OFFSET(A$1,,,SUMPRODUCT(MAX(ROW(E$1:E254)*(E2=E$1:E254))))))</f>
        <v/>
      </c>
      <c r="K255" s="33" t="str">
        <f aca="false">IF(OR(E255="",E255="!!!",F255="NEW"),"",INDEX(J$1:J254,SUMPRODUCT(MAX(ROW(E$1:E254)*(E255=E$1:E254)))))</f>
        <v/>
      </c>
      <c r="L255" s="34"/>
    </row>
    <row r="256" customFormat="false" ht="15.8" hidden="false" customHeight="false" outlineLevel="0" collapsed="false">
      <c r="A256" s="20" t="s">
        <v>227</v>
      </c>
      <c r="E256" s="29" t="str">
        <f aca="false">IF(D256="?OLD","!!!","")</f>
        <v/>
      </c>
      <c r="F256" s="30" t="str">
        <f aca="false">IF(OR(E256="",E256="!!!"),"",IF(NOT(ISNA(VLOOKUP(E256,E$1:E255,1,FALSE()))),"OLD",IF(AND(E256&lt;&gt;"",E256&lt;&gt;"!!!"),"NEW","")))</f>
        <v/>
      </c>
      <c r="G256" s="31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32" t="str">
        <f aca="false">IF(J256&lt;&gt;1,"",IF(I256="SBJ","CB","?"))</f>
        <v/>
      </c>
      <c r="I256" s="33" t="str">
        <f aca="false">IF(OR(E256="",E256="!!!",F256="NEW"),"",INDEX(B$2:B255,-1+SUMPRODUCT(MAX(ROW(E$2:E255)*(E256=E$2:E255)))))</f>
        <v/>
      </c>
      <c r="J256" s="33" t="str">
        <f aca="true">IF(OR(E256="",E256="!!!",F256="NEW"),"",COUNTBLANK(OFFSET(A$1,,,SUMPRODUCT(MAX(ROW(E$2:E256)*(E256=E$2:E256)))))-COUNTBLANK(OFFSET(A$1,,,SUMPRODUCT(MAX(ROW(E$1:E255)*(E2=E$1:E255))))))</f>
        <v/>
      </c>
      <c r="K256" s="33" t="str">
        <f aca="false">IF(OR(E256="",E256="!!!",F256="NEW"),"",INDEX(J$1:J255,SUMPRODUCT(MAX(ROW(E$1:E255)*(E256=E$1:E255)))))</f>
        <v/>
      </c>
      <c r="L256" s="34"/>
    </row>
    <row r="257" customFormat="false" ht="15.8" hidden="false" customHeight="false" outlineLevel="0" collapsed="false">
      <c r="A257" s="20"/>
    </row>
    <row r="258" customFormat="false" ht="15.8" hidden="false" customHeight="false" outlineLevel="0" collapsed="false">
      <c r="A258" s="20" t="s">
        <v>263</v>
      </c>
    </row>
    <row r="259" customFormat="false" ht="15.8" hidden="false" customHeight="false" outlineLevel="0" collapsed="false">
      <c r="A259" s="20" t="s">
        <v>228</v>
      </c>
      <c r="E259" s="29" t="str">
        <f aca="false">IF(D259="?OLD","!!!","")</f>
        <v/>
      </c>
      <c r="F259" s="30" t="str">
        <f aca="false">IF(OR(E259="",E259="!!!"),"",IF(NOT(ISNA(VLOOKUP(E259,E$1:E258,1,FALSE()))),"OLD",IF(AND(E259&lt;&gt;"",E259&lt;&gt;"!!!"),"NEW","")))</f>
        <v/>
      </c>
      <c r="G259" s="31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32" t="str">
        <f aca="false">IF(J259&lt;&gt;1,"",IF(I259="SBJ","CB","?"))</f>
        <v/>
      </c>
      <c r="I259" s="33" t="str">
        <f aca="false">IF(OR(E259="",E259="!!!",F259="NEW"),"",INDEX(B$2:B258,-1+SUMPRODUCT(MAX(ROW(E$2:E258)*(E259=E$2:E258)))))</f>
        <v/>
      </c>
      <c r="J259" s="33" t="str">
        <f aca="true">IF(OR(E259="",E259="!!!",F259="NEW"),"",COUNTBLANK(OFFSET(A$1,,,SUMPRODUCT(MAX(ROW(E$2:E259)*(E259=E$2:E259)))))-COUNTBLANK(OFFSET(A$1,,,SUMPRODUCT(MAX(ROW(E$1:E258)*(E2=E$1:E258))))))</f>
        <v/>
      </c>
      <c r="K259" s="33" t="str">
        <f aca="false">IF(OR(E259="",E259="!!!",F259="NEW"),"",INDEX(J$1:J258,SUMPRODUCT(MAX(ROW(E$1:E258)*(E259=E$1:E258)))))</f>
        <v/>
      </c>
      <c r="L259" s="34"/>
    </row>
    <row r="260" customFormat="false" ht="15.8" hidden="false" customHeight="false" outlineLevel="0" collapsed="false">
      <c r="A260" s="20" t="s">
        <v>229</v>
      </c>
      <c r="E260" s="29" t="str">
        <f aca="false">IF(D260="?OLD","!!!","")</f>
        <v/>
      </c>
      <c r="F260" s="30" t="str">
        <f aca="false">IF(OR(E260="",E260="!!!"),"",IF(NOT(ISNA(VLOOKUP(E260,E$1:E259,1,FALSE()))),"OLD",IF(AND(E260&lt;&gt;"",E260&lt;&gt;"!!!"),"NEW","")))</f>
        <v/>
      </c>
      <c r="G260" s="31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32" t="str">
        <f aca="false">IF(J260&lt;&gt;1,"",IF(I260="SBJ","CB","?"))</f>
        <v/>
      </c>
      <c r="I260" s="33" t="str">
        <f aca="false">IF(OR(E260="",E260="!!!",F260="NEW"),"",INDEX(B$2:B259,-1+SUMPRODUCT(MAX(ROW(E$2:E259)*(E260=E$2:E259)))))</f>
        <v/>
      </c>
      <c r="J260" s="33" t="str">
        <f aca="true">IF(OR(E260="",E260="!!!",F260="NEW"),"",COUNTBLANK(OFFSET(A$1,,,SUMPRODUCT(MAX(ROW(E$2:E260)*(E260=E$2:E260)))))-COUNTBLANK(OFFSET(A$1,,,SUMPRODUCT(MAX(ROW(E$1:E259)*(E2=E$1:E259))))))</f>
        <v/>
      </c>
      <c r="K260" s="33" t="str">
        <f aca="false">IF(OR(E260="",E260="!!!",F260="NEW"),"",INDEX(J$1:J259,SUMPRODUCT(MAX(ROW(E$1:E259)*(E260=E$1:E259)))))</f>
        <v/>
      </c>
      <c r="L260" s="34"/>
    </row>
    <row r="261" customFormat="false" ht="15.8" hidden="false" customHeight="false" outlineLevel="0" collapsed="false">
      <c r="A261" s="20"/>
    </row>
    <row r="262" customFormat="false" ht="15.8" hidden="false" customHeight="false" outlineLevel="0" collapsed="false">
      <c r="A262" s="20" t="s">
        <v>264</v>
      </c>
    </row>
    <row r="263" customFormat="false" ht="15.8" hidden="false" customHeight="false" outlineLevel="0" collapsed="false">
      <c r="A263" s="20" t="s">
        <v>257</v>
      </c>
      <c r="E263" s="29" t="str">
        <f aca="false">IF(D263="?OLD","!!!","")</f>
        <v/>
      </c>
      <c r="F263" s="30" t="str">
        <f aca="false">IF(OR(E263="",E263="!!!"),"",IF(NOT(ISNA(VLOOKUP(E263,E$1:E262,1,FALSE()))),"OLD",IF(AND(E263&lt;&gt;"",E263&lt;&gt;"!!!"),"NEW","")))</f>
        <v/>
      </c>
      <c r="G263" s="31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32" t="str">
        <f aca="false">IF(J263&lt;&gt;1,"",IF(I263="SBJ","CB","?"))</f>
        <v/>
      </c>
      <c r="I263" s="33" t="str">
        <f aca="false">IF(OR(E263="",E263="!!!",F263="NEW"),"",INDEX(B$2:B262,-1+SUMPRODUCT(MAX(ROW(E$2:E262)*(E263=E$2:E262)))))</f>
        <v/>
      </c>
      <c r="J263" s="33" t="str">
        <f aca="true">IF(OR(E263="",E263="!!!",F263="NEW"),"",COUNTBLANK(OFFSET(A$1,,,SUMPRODUCT(MAX(ROW(E$2:E263)*(E263=E$2:E263)))))-COUNTBLANK(OFFSET(A$1,,,SUMPRODUCT(MAX(ROW(E$1:E262)*(E2=E$1:E262))))))</f>
        <v/>
      </c>
      <c r="K263" s="33" t="str">
        <f aca="false">IF(OR(E263="",E263="!!!",F263="NEW"),"",INDEX(J$1:J262,SUMPRODUCT(MAX(ROW(E$1:E262)*(E263=E$1:E262)))))</f>
        <v/>
      </c>
      <c r="L263" s="34"/>
    </row>
    <row r="264" customFormat="false" ht="15.8" hidden="false" customHeight="false" outlineLevel="0" collapsed="false">
      <c r="A264" s="20" t="s">
        <v>197</v>
      </c>
      <c r="E264" s="29" t="str">
        <f aca="false">IF(D264="?OLD","!!!","")</f>
        <v/>
      </c>
      <c r="F264" s="30" t="str">
        <f aca="false">IF(OR(E264="",E264="!!!"),"",IF(NOT(ISNA(VLOOKUP(E264,E$1:E263,1,FALSE()))),"OLD",IF(AND(E264&lt;&gt;"",E264&lt;&gt;"!!!"),"NEW","")))</f>
        <v/>
      </c>
      <c r="G264" s="31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32" t="str">
        <f aca="false">IF(J264&lt;&gt;1,"",IF(I264="SBJ","CB","?"))</f>
        <v/>
      </c>
      <c r="I264" s="33" t="str">
        <f aca="false">IF(OR(E264="",E264="!!!",F264="NEW"),"",INDEX(B$2:B263,-1+SUMPRODUCT(MAX(ROW(E$2:E263)*(E264=E$2:E263)))))</f>
        <v/>
      </c>
      <c r="J264" s="33" t="str">
        <f aca="true">IF(OR(E264="",E264="!!!",F264="NEW"),"",COUNTBLANK(OFFSET(A$1,,,SUMPRODUCT(MAX(ROW(E$2:E264)*(E264=E$2:E264)))))-COUNTBLANK(OFFSET(A$1,,,SUMPRODUCT(MAX(ROW(E$1:E263)*(E2=E$1:E263))))))</f>
        <v/>
      </c>
      <c r="K264" s="33" t="str">
        <f aca="false">IF(OR(E264="",E264="!!!",F264="NEW"),"",INDEX(J$1:J263,SUMPRODUCT(MAX(ROW(E$1:E263)*(E264=E$1:E263)))))</f>
        <v/>
      </c>
      <c r="L264" s="34"/>
    </row>
    <row r="265" customFormat="false" ht="15.8" hidden="false" customHeight="false" outlineLevel="0" collapsed="false">
      <c r="A265" s="20" t="s">
        <v>265</v>
      </c>
      <c r="E265" s="29" t="str">
        <f aca="false">IF(D265="?OLD","!!!","")</f>
        <v/>
      </c>
      <c r="F265" s="30" t="str">
        <f aca="false">IF(OR(E265="",E265="!!!"),"",IF(NOT(ISNA(VLOOKUP(E265,E$1:E264,1,FALSE()))),"OLD",IF(AND(E265&lt;&gt;"",E265&lt;&gt;"!!!"),"NEW","")))</f>
        <v/>
      </c>
      <c r="G265" s="31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32" t="str">
        <f aca="false">IF(J265&lt;&gt;1,"",IF(I265="SBJ","CB","?"))</f>
        <v/>
      </c>
      <c r="I265" s="33" t="str">
        <f aca="false">IF(OR(E265="",E265="!!!",F265="NEW"),"",INDEX(B$2:B264,-1+SUMPRODUCT(MAX(ROW(E$2:E264)*(E265=E$2:E264)))))</f>
        <v/>
      </c>
      <c r="J265" s="33" t="str">
        <f aca="true">IF(OR(E265="",E265="!!!",F265="NEW"),"",COUNTBLANK(OFFSET(A$1,,,SUMPRODUCT(MAX(ROW(E$2:E265)*(E265=E$2:E265)))))-COUNTBLANK(OFFSET(A$1,,,SUMPRODUCT(MAX(ROW(E$1:E264)*(E2=E$1:E264))))))</f>
        <v/>
      </c>
      <c r="K265" s="33" t="str">
        <f aca="false">IF(OR(E265="",E265="!!!",F265="NEW"),"",INDEX(J$1:J264,SUMPRODUCT(MAX(ROW(E$1:E264)*(E265=E$1:E264)))))</f>
        <v/>
      </c>
      <c r="L265" s="34"/>
    </row>
    <row r="266" customFormat="false" ht="15.8" hidden="false" customHeight="false" outlineLevel="0" collapsed="false">
      <c r="A266" s="20" t="s">
        <v>199</v>
      </c>
      <c r="B266" s="21" t="s">
        <v>163</v>
      </c>
      <c r="C266" s="21" t="s">
        <v>200</v>
      </c>
      <c r="E266" s="29" t="str">
        <f aca="false">IF(D266="?OLD","!!!","")</f>
        <v/>
      </c>
      <c r="F266" s="30" t="str">
        <f aca="false">IF(OR(E266="",E266="!!!"),"",IF(NOT(ISNA(VLOOKUP(E266,E$1:E265,1,FALSE()))),"OLD",IF(AND(E266&lt;&gt;"",E266&lt;&gt;"!!!"),"NEW","")))</f>
        <v/>
      </c>
      <c r="G266" s="31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32" t="str">
        <f aca="false">IF(J266&lt;&gt;1,"",IF(I266="SBJ","CB","?"))</f>
        <v/>
      </c>
      <c r="I266" s="33" t="str">
        <f aca="false">IF(OR(E266="",E266="!!!",F266="NEW"),"",INDEX(B$2:B265,-1+SUMPRODUCT(MAX(ROW(E$2:E265)*(E266=E$2:E265)))))</f>
        <v/>
      </c>
      <c r="J266" s="33" t="str">
        <f aca="true">IF(OR(E266="",E266="!!!",F266="NEW"),"",COUNTBLANK(OFFSET(A$1,,,SUMPRODUCT(MAX(ROW(E$2:E266)*(E266=E$2:E266)))))-COUNTBLANK(OFFSET(A$1,,,SUMPRODUCT(MAX(ROW(E$1:E265)*(E2=E$1:E265))))))</f>
        <v/>
      </c>
      <c r="K266" s="33" t="str">
        <f aca="false">IF(OR(E266="",E266="!!!",F266="NEW"),"",INDEX(J$1:J265,SUMPRODUCT(MAX(ROW(E$1:E265)*(E266=E$1:E265)))))</f>
        <v/>
      </c>
      <c r="L266" s="34"/>
    </row>
    <row r="267" customFormat="false" ht="15.8" hidden="false" customHeight="false" outlineLevel="0" collapsed="false">
      <c r="A267" s="20" t="s">
        <v>193</v>
      </c>
      <c r="E267" s="29" t="str">
        <f aca="false">IF(D267="?OLD","!!!","")</f>
        <v/>
      </c>
      <c r="F267" s="30" t="str">
        <f aca="false">IF(OR(E267="",E267="!!!"),"",IF(NOT(ISNA(VLOOKUP(E267,E$1:E266,1,FALSE()))),"OLD",IF(AND(E267&lt;&gt;"",E267&lt;&gt;"!!!"),"NEW","")))</f>
        <v/>
      </c>
      <c r="G267" s="31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32" t="str">
        <f aca="false">IF(J267&lt;&gt;1,"",IF(I267="SBJ","CB","?"))</f>
        <v/>
      </c>
      <c r="I267" s="33" t="str">
        <f aca="false">IF(OR(E267="",E267="!!!",F267="NEW"),"",INDEX(B$2:B266,-1+SUMPRODUCT(MAX(ROW(E$2:E266)*(E267=E$2:E266)))))</f>
        <v/>
      </c>
      <c r="J267" s="33" t="str">
        <f aca="true">IF(OR(E267="",E267="!!!",F267="NEW"),"",COUNTBLANK(OFFSET(A$1,,,SUMPRODUCT(MAX(ROW(E$2:E267)*(E267=E$2:E267)))))-COUNTBLANK(OFFSET(A$1,,,SUMPRODUCT(MAX(ROW(E$1:E266)*(E2=E$1:E266))))))</f>
        <v/>
      </c>
      <c r="K267" s="33" t="str">
        <f aca="false">IF(OR(E267="",E267="!!!",F267="NEW"),"",INDEX(J$1:J266,SUMPRODUCT(MAX(ROW(E$1:E266)*(E267=E$1:E266)))))</f>
        <v/>
      </c>
      <c r="L267" s="34"/>
    </row>
    <row r="268" customFormat="false" ht="15.8" hidden="false" customHeight="false" outlineLevel="0" collapsed="false">
      <c r="A268" s="20" t="s">
        <v>201</v>
      </c>
      <c r="E268" s="29" t="str">
        <f aca="false">IF(D268="?OLD","!!!","")</f>
        <v/>
      </c>
      <c r="F268" s="30" t="str">
        <f aca="false">IF(OR(E268="",E268="!!!"),"",IF(NOT(ISNA(VLOOKUP(E268,E$1:E267,1,FALSE()))),"OLD",IF(AND(E268&lt;&gt;"",E268&lt;&gt;"!!!"),"NEW","")))</f>
        <v/>
      </c>
      <c r="G268" s="31" t="str">
        <f aca="false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32" t="str">
        <f aca="false">IF(J268&lt;&gt;1,"",IF(I268="SBJ","CB","?"))</f>
        <v/>
      </c>
      <c r="I268" s="33" t="str">
        <f aca="false">IF(OR(E268="",E268="!!!",F268="NEW"),"",INDEX(B$2:B267,-1+SUMPRODUCT(MAX(ROW(E$2:E267)*(E268=E$2:E267)))))</f>
        <v/>
      </c>
      <c r="J268" s="33" t="str">
        <f aca="true">IF(OR(E268="",E268="!!!",F268="NEW"),"",COUNTBLANK(OFFSET(A$1,,,SUMPRODUCT(MAX(ROW(E$2:E268)*(E268=E$2:E268)))))-COUNTBLANK(OFFSET(A$1,,,SUMPRODUCT(MAX(ROW(E$1:E267)*(E2=E$1:E267))))))</f>
        <v/>
      </c>
      <c r="K268" s="33" t="str">
        <f aca="false">IF(OR(E268="",E268="!!!",F268="NEW"),"",INDEX(J$1:J267,SUMPRODUCT(MAX(ROW(E$1:E267)*(E268=E$1:E267)))))</f>
        <v/>
      </c>
      <c r="L268" s="34"/>
    </row>
    <row r="269" customFormat="false" ht="15.8" hidden="false" customHeight="false" outlineLevel="0" collapsed="false">
      <c r="A269" s="20" t="s">
        <v>266</v>
      </c>
      <c r="B269" s="21" t="s">
        <v>174</v>
      </c>
      <c r="C269" s="21" t="s">
        <v>160</v>
      </c>
      <c r="D269" s="21" t="s">
        <v>148</v>
      </c>
      <c r="E269" s="29" t="str">
        <f aca="false">IF(D269="?OLD","!!!","")</f>
        <v>!!!</v>
      </c>
      <c r="F269" s="30" t="str">
        <f aca="false">IF(OR(E269="",E269="!!!"),"",IF(NOT(ISNA(VLOOKUP(E269,E$1:E268,1,FALSE()))),"OLD",IF(AND(E269&lt;&gt;"",E269&lt;&gt;"!!!"),"NEW","")))</f>
        <v/>
      </c>
      <c r="G269" s="31" t="str">
        <f aca="false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32" t="str">
        <f aca="false">IF(J269&lt;&gt;1,"",IF(I269="SBJ","CB","?"))</f>
        <v/>
      </c>
      <c r="I269" s="33" t="str">
        <f aca="false">IF(OR(E269="",E269="!!!",F269="NEW"),"",INDEX(B$2:B268,-1+SUMPRODUCT(MAX(ROW(E$2:E268)*(E269=E$2:E268)))))</f>
        <v/>
      </c>
      <c r="J269" s="33" t="str">
        <f aca="true">IF(OR(E269="",E269="!!!",F269="NEW"),"",COUNTBLANK(OFFSET(A$1,,,SUMPRODUCT(MAX(ROW(E$2:E269)*(E269=E$2:E269)))))-COUNTBLANK(OFFSET(A$1,,,SUMPRODUCT(MAX(ROW(E$1:E268)*(E2=E$1:E268))))))</f>
        <v/>
      </c>
      <c r="K269" s="33" t="str">
        <f aca="false">IF(OR(E269="",E269="!!!",F269="NEW"),"",INDEX(J$1:J268,SUMPRODUCT(MAX(ROW(E$1:E268)*(E269=E$1:E268)))))</f>
        <v/>
      </c>
      <c r="L269" s="34"/>
    </row>
    <row r="270" customFormat="false" ht="15.8" hidden="false" customHeight="false" outlineLevel="0" collapsed="false">
      <c r="A270" s="20"/>
    </row>
    <row r="271" customFormat="false" ht="15.8" hidden="false" customHeight="false" outlineLevel="0" collapsed="false">
      <c r="A271" s="20" t="s">
        <v>267</v>
      </c>
    </row>
    <row r="272" customFormat="false" ht="15.8" hidden="false" customHeight="false" outlineLevel="0" collapsed="false">
      <c r="A272" s="20" t="s">
        <v>257</v>
      </c>
      <c r="B272" s="21" t="s">
        <v>146</v>
      </c>
      <c r="C272" s="21" t="s">
        <v>160</v>
      </c>
      <c r="D272" s="21" t="s">
        <v>148</v>
      </c>
      <c r="E272" s="29" t="str">
        <f aca="false">IF(D272="?OLD","!!!","")</f>
        <v>!!!</v>
      </c>
      <c r="F272" s="30" t="str">
        <f aca="false">IF(OR(E272="",E272="!!!"),"",IF(NOT(ISNA(VLOOKUP(E272,E$1:E271,1,FALSE()))),"OLD",IF(AND(E272&lt;&gt;"",E272&lt;&gt;"!!!"),"NEW","")))</f>
        <v/>
      </c>
      <c r="G272" s="31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32" t="str">
        <f aca="false">IF(J272&lt;&gt;1,"",IF(I272="SBJ","CB","?"))</f>
        <v/>
      </c>
      <c r="I272" s="33" t="str">
        <f aca="false">IF(OR(E272="",E272="!!!",F272="NEW"),"",INDEX(B$2:B271,-1+SUMPRODUCT(MAX(ROW(E$2:E271)*(E272=E$2:E271)))))</f>
        <v/>
      </c>
      <c r="J272" s="33" t="str">
        <f aca="true">IF(OR(E272="",E272="!!!",F272="NEW"),"",COUNTBLANK(OFFSET(A$1,,,SUMPRODUCT(MAX(ROW(E$2:E272)*(E272=E$2:E272)))))-COUNTBLANK(OFFSET(A$1,,,SUMPRODUCT(MAX(ROW(E$1:E271)*(E2=E$1:E271))))))</f>
        <v/>
      </c>
      <c r="K272" s="33" t="str">
        <f aca="false">IF(OR(E272="",E272="!!!",F272="NEW"),"",INDEX(J$1:J271,SUMPRODUCT(MAX(ROW(E$1:E271)*(E272=E$1:E271)))))</f>
        <v/>
      </c>
      <c r="L272" s="34"/>
    </row>
    <row r="273" customFormat="false" ht="15.8" hidden="false" customHeight="false" outlineLevel="0" collapsed="false">
      <c r="A273" s="20" t="s">
        <v>176</v>
      </c>
      <c r="E273" s="29" t="str">
        <f aca="false">IF(D273="?OLD","!!!","")</f>
        <v/>
      </c>
      <c r="F273" s="30" t="str">
        <f aca="false">IF(OR(E273="",E273="!!!"),"",IF(NOT(ISNA(VLOOKUP(E273,E$1:E272,1,FALSE()))),"OLD",IF(AND(E273&lt;&gt;"",E273&lt;&gt;"!!!"),"NEW","")))</f>
        <v/>
      </c>
      <c r="G273" s="31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32" t="str">
        <f aca="false">IF(J273&lt;&gt;1,"",IF(I273="SBJ","CB","?"))</f>
        <v/>
      </c>
      <c r="I273" s="33" t="str">
        <f aca="false">IF(OR(E273="",E273="!!!",F273="NEW"),"",INDEX(B$2:B272,-1+SUMPRODUCT(MAX(ROW(E$2:E272)*(E273=E$2:E272)))))</f>
        <v/>
      </c>
      <c r="J273" s="33" t="str">
        <f aca="true">IF(OR(E273="",E273="!!!",F273="NEW"),"",COUNTBLANK(OFFSET(A$1,,,SUMPRODUCT(MAX(ROW(E$2:E273)*(E273=E$2:E273)))))-COUNTBLANK(OFFSET(A$1,,,SUMPRODUCT(MAX(ROW(E$1:E272)*(E2=E$1:E272))))))</f>
        <v/>
      </c>
      <c r="K273" s="33" t="str">
        <f aca="false">IF(OR(E273="",E273="!!!",F273="NEW"),"",INDEX(J$1:J272,SUMPRODUCT(MAX(ROW(E$1:E272)*(E273=E$1:E272)))))</f>
        <v/>
      </c>
      <c r="L273" s="34"/>
    </row>
    <row r="274" customFormat="false" ht="15.8" hidden="false" customHeight="false" outlineLevel="0" collapsed="false">
      <c r="A274" s="20" t="s">
        <v>234</v>
      </c>
      <c r="E274" s="29" t="str">
        <f aca="false">IF(D274="?OLD","!!!","")</f>
        <v/>
      </c>
      <c r="F274" s="30" t="str">
        <f aca="false">IF(OR(E274="",E274="!!!"),"",IF(NOT(ISNA(VLOOKUP(E274,E$1:E273,1,FALSE()))),"OLD",IF(AND(E274&lt;&gt;"",E274&lt;&gt;"!!!"),"NEW","")))</f>
        <v/>
      </c>
      <c r="G274" s="31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32" t="str">
        <f aca="false">IF(J274&lt;&gt;1,"",IF(I274="SBJ","CB","?"))</f>
        <v/>
      </c>
      <c r="I274" s="33" t="str">
        <f aca="false">IF(OR(E274="",E274="!!!",F274="NEW"),"",INDEX(B$2:B273,-1+SUMPRODUCT(MAX(ROW(E$2:E273)*(E274=E$2:E273)))))</f>
        <v/>
      </c>
      <c r="J274" s="33" t="str">
        <f aca="true">IF(OR(E274="",E274="!!!",F274="NEW"),"",COUNTBLANK(OFFSET(A$1,,,SUMPRODUCT(MAX(ROW(E$2:E274)*(E274=E$2:E274)))))-COUNTBLANK(OFFSET(A$1,,,SUMPRODUCT(MAX(ROW(E$1:E273)*(E2=E$1:E273))))))</f>
        <v/>
      </c>
      <c r="K274" s="33" t="str">
        <f aca="false">IF(OR(E274="",E274="!!!",F274="NEW"),"",INDEX(J$1:J273,SUMPRODUCT(MAX(ROW(E$1:E273)*(E274=E$1:E273)))))</f>
        <v/>
      </c>
      <c r="L274" s="34"/>
    </row>
    <row r="275" customFormat="false" ht="15.8" hidden="false" customHeight="false" outlineLevel="0" collapsed="false">
      <c r="A275" s="20" t="s">
        <v>214</v>
      </c>
      <c r="E275" s="29" t="str">
        <f aca="false">IF(D275="?OLD","!!!","")</f>
        <v/>
      </c>
      <c r="F275" s="30" t="str">
        <f aca="false">IF(OR(E275="",E275="!!!"),"",IF(NOT(ISNA(VLOOKUP(E275,E$1:E274,1,FALSE()))),"OLD",IF(AND(E275&lt;&gt;"",E275&lt;&gt;"!!!"),"NEW","")))</f>
        <v/>
      </c>
      <c r="G275" s="31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32" t="str">
        <f aca="false">IF(J275&lt;&gt;1,"",IF(I275="SBJ","CB","?"))</f>
        <v/>
      </c>
      <c r="I275" s="33" t="str">
        <f aca="false">IF(OR(E275="",E275="!!!",F275="NEW"),"",INDEX(B$2:B274,-1+SUMPRODUCT(MAX(ROW(E$2:E274)*(E275=E$2:E274)))))</f>
        <v/>
      </c>
      <c r="J275" s="33" t="str">
        <f aca="true">IF(OR(E275="",E275="!!!",F275="NEW"),"",COUNTBLANK(OFFSET(A$1,,,SUMPRODUCT(MAX(ROW(E$2:E275)*(E275=E$2:E275)))))-COUNTBLANK(OFFSET(A$1,,,SUMPRODUCT(MAX(ROW(E$1:E274)*(E2=E$1:E274))))))</f>
        <v/>
      </c>
      <c r="K275" s="33" t="str">
        <f aca="false">IF(OR(E275="",E275="!!!",F275="NEW"),"",INDEX(J$1:J274,SUMPRODUCT(MAX(ROW(E$1:E274)*(E275=E$1:E274)))))</f>
        <v/>
      </c>
      <c r="L275" s="34"/>
    </row>
    <row r="276" customFormat="false" ht="15.8" hidden="false" customHeight="false" outlineLevel="0" collapsed="false">
      <c r="A276" s="20" t="s">
        <v>215</v>
      </c>
      <c r="E276" s="29" t="str">
        <f aca="false">IF(D276="?OLD","!!!","")</f>
        <v/>
      </c>
      <c r="F276" s="30" t="str">
        <f aca="false">IF(OR(E276="",E276="!!!"),"",IF(NOT(ISNA(VLOOKUP(E276,E$1:E275,1,FALSE()))),"OLD",IF(AND(E276&lt;&gt;"",E276&lt;&gt;"!!!"),"NEW","")))</f>
        <v/>
      </c>
      <c r="G276" s="31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32" t="str">
        <f aca="false">IF(J276&lt;&gt;1,"",IF(I276="SBJ","CB","?"))</f>
        <v/>
      </c>
      <c r="I276" s="33" t="str">
        <f aca="false">IF(OR(E276="",E276="!!!",F276="NEW"),"",INDEX(B$2:B275,-1+SUMPRODUCT(MAX(ROW(E$2:E275)*(E276=E$2:E275)))))</f>
        <v/>
      </c>
      <c r="J276" s="33" t="str">
        <f aca="true">IF(OR(E276="",E276="!!!",F276="NEW"),"",COUNTBLANK(OFFSET(A$1,,,SUMPRODUCT(MAX(ROW(E$2:E276)*(E276=E$2:E276)))))-COUNTBLANK(OFFSET(A$1,,,SUMPRODUCT(MAX(ROW(E$1:E275)*(E2=E$1:E275))))))</f>
        <v/>
      </c>
      <c r="K276" s="33" t="str">
        <f aca="false">IF(OR(E276="",E276="!!!",F276="NEW"),"",INDEX(J$1:J275,SUMPRODUCT(MAX(ROW(E$1:E275)*(E276=E$1:E275)))))</f>
        <v/>
      </c>
      <c r="L276" s="34"/>
    </row>
    <row r="277" customFormat="false" ht="15.8" hidden="false" customHeight="false" outlineLevel="0" collapsed="false">
      <c r="A277" s="20" t="s">
        <v>266</v>
      </c>
      <c r="B277" s="21" t="s">
        <v>174</v>
      </c>
      <c r="C277" s="21" t="s">
        <v>160</v>
      </c>
      <c r="D277" s="21" t="s">
        <v>148</v>
      </c>
      <c r="E277" s="29" t="str">
        <f aca="false">IF(D277="?OLD","!!!","")</f>
        <v>!!!</v>
      </c>
      <c r="F277" s="30" t="str">
        <f aca="false">IF(OR(E277="",E277="!!!"),"",IF(NOT(ISNA(VLOOKUP(E277,E$1:E276,1,FALSE()))),"OLD",IF(AND(E277&lt;&gt;"",E277&lt;&gt;"!!!"),"NEW","")))</f>
        <v/>
      </c>
      <c r="G277" s="31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32" t="str">
        <f aca="false">IF(J277&lt;&gt;1,"",IF(I277="SBJ","CB","?"))</f>
        <v/>
      </c>
      <c r="I277" s="33" t="str">
        <f aca="false">IF(OR(E277="",E277="!!!",F277="NEW"),"",INDEX(B$2:B276,-1+SUMPRODUCT(MAX(ROW(E$2:E276)*(E277=E$2:E276)))))</f>
        <v/>
      </c>
      <c r="J277" s="33" t="str">
        <f aca="true">IF(OR(E277="",E277="!!!",F277="NEW"),"",COUNTBLANK(OFFSET(A$1,,,SUMPRODUCT(MAX(ROW(E$2:E277)*(E277=E$2:E277)))))-COUNTBLANK(OFFSET(A$1,,,SUMPRODUCT(MAX(ROW(E$1:E276)*(E2=E$1:E276))))))</f>
        <v/>
      </c>
      <c r="K277" s="33" t="str">
        <f aca="false">IF(OR(E277="",E277="!!!",F277="NEW"),"",INDEX(J$1:J276,SUMPRODUCT(MAX(ROW(E$1:E276)*(E277=E$1:E276)))))</f>
        <v/>
      </c>
      <c r="L277" s="34"/>
    </row>
    <row r="278" customFormat="false" ht="15.8" hidden="false" customHeight="false" outlineLevel="0" collapsed="false">
      <c r="A278" s="20" t="s">
        <v>176</v>
      </c>
      <c r="E278" s="29" t="str">
        <f aca="false">IF(D278="?OLD","!!!","")</f>
        <v/>
      </c>
      <c r="F278" s="30" t="str">
        <f aca="false">IF(OR(E278="",E278="!!!"),"",IF(NOT(ISNA(VLOOKUP(E278,E$1:E277,1,FALSE()))),"OLD",IF(AND(E278&lt;&gt;"",E278&lt;&gt;"!!!"),"NEW","")))</f>
        <v/>
      </c>
      <c r="G278" s="31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32" t="str">
        <f aca="false">IF(J278&lt;&gt;1,"",IF(I278="SBJ","CB","?"))</f>
        <v/>
      </c>
      <c r="I278" s="33" t="str">
        <f aca="false">IF(OR(E278="",E278="!!!",F278="NEW"),"",INDEX(B$2:B277,-1+SUMPRODUCT(MAX(ROW(E$2:E277)*(E278=E$2:E277)))))</f>
        <v/>
      </c>
      <c r="J278" s="33" t="str">
        <f aca="true">IF(OR(E278="",E278="!!!",F278="NEW"),"",COUNTBLANK(OFFSET(A$1,,,SUMPRODUCT(MAX(ROW(E$2:E278)*(E278=E$2:E278)))))-COUNTBLANK(OFFSET(A$1,,,SUMPRODUCT(MAX(ROW(E$1:E277)*(E2=E$1:E277))))))</f>
        <v/>
      </c>
      <c r="K278" s="33" t="str">
        <f aca="false">IF(OR(E278="",E278="!!!",F278="NEW"),"",INDEX(J$1:J277,SUMPRODUCT(MAX(ROW(E$1:E277)*(E278=E$1:E277)))))</f>
        <v/>
      </c>
      <c r="L278" s="34"/>
    </row>
    <row r="279" customFormat="false" ht="15.8" hidden="false" customHeight="false" outlineLevel="0" collapsed="false">
      <c r="A279" s="20" t="s">
        <v>216</v>
      </c>
      <c r="E279" s="29" t="str">
        <f aca="false">IF(D279="?OLD","!!!","")</f>
        <v/>
      </c>
      <c r="F279" s="30" t="str">
        <f aca="false">IF(OR(E279="",E279="!!!"),"",IF(NOT(ISNA(VLOOKUP(E279,E$1:E278,1,FALSE()))),"OLD",IF(AND(E279&lt;&gt;"",E279&lt;&gt;"!!!"),"NEW","")))</f>
        <v/>
      </c>
      <c r="G279" s="31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32" t="str">
        <f aca="false">IF(J279&lt;&gt;1,"",IF(I279="SBJ","CB","?"))</f>
        <v/>
      </c>
      <c r="I279" s="33" t="str">
        <f aca="false">IF(OR(E279="",E279="!!!",F279="NEW"),"",INDEX(B$2:B278,-1+SUMPRODUCT(MAX(ROW(E$2:E278)*(E279=E$2:E278)))))</f>
        <v/>
      </c>
      <c r="J279" s="33" t="str">
        <f aca="true">IF(OR(E279="",E279="!!!",F279="NEW"),"",COUNTBLANK(OFFSET(A$1,,,SUMPRODUCT(MAX(ROW(E$2:E279)*(E279=E$2:E279)))))-COUNTBLANK(OFFSET(A$1,,,SUMPRODUCT(MAX(ROW(E$1:E278)*(E2=E$1:E278))))))</f>
        <v/>
      </c>
      <c r="K279" s="33" t="str">
        <f aca="false">IF(OR(E279="",E279="!!!",F279="NEW"),"",INDEX(J$1:J278,SUMPRODUCT(MAX(ROW(E$1:E278)*(E279=E$1:E278)))))</f>
        <v/>
      </c>
      <c r="L279" s="34"/>
    </row>
    <row r="280" customFormat="false" ht="15.8" hidden="false" customHeight="false" outlineLevel="0" collapsed="false">
      <c r="A280" s="20" t="s">
        <v>217</v>
      </c>
      <c r="E280" s="29" t="str">
        <f aca="false">IF(D280="?OLD","!!!","")</f>
        <v/>
      </c>
      <c r="F280" s="30" t="str">
        <f aca="false">IF(OR(E280="",E280="!!!"),"",IF(NOT(ISNA(VLOOKUP(E280,E$1:E279,1,FALSE()))),"OLD",IF(AND(E280&lt;&gt;"",E280&lt;&gt;"!!!"),"NEW","")))</f>
        <v/>
      </c>
      <c r="G280" s="31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32" t="str">
        <f aca="false">IF(J280&lt;&gt;1,"",IF(I280="SBJ","CB","?"))</f>
        <v/>
      </c>
      <c r="I280" s="33" t="str">
        <f aca="false">IF(OR(E280="",E280="!!!",F280="NEW"),"",INDEX(B$2:B279,-1+SUMPRODUCT(MAX(ROW(E$2:E279)*(E280=E$2:E279)))))</f>
        <v/>
      </c>
      <c r="J280" s="33" t="str">
        <f aca="true">IF(OR(E280="",E280="!!!",F280="NEW"),"",COUNTBLANK(OFFSET(A$1,,,SUMPRODUCT(MAX(ROW(E$2:E280)*(E280=E$2:E280)))))-COUNTBLANK(OFFSET(A$1,,,SUMPRODUCT(MAX(ROW(E$1:E279)*(E2=E$1:E279))))))</f>
        <v/>
      </c>
      <c r="K280" s="33" t="str">
        <f aca="false">IF(OR(E280="",E280="!!!",F280="NEW"),"",INDEX(J$1:J279,SUMPRODUCT(MAX(ROW(E$1:E279)*(E280=E$1:E279)))))</f>
        <v/>
      </c>
      <c r="L280" s="34"/>
    </row>
    <row r="281" customFormat="false" ht="15.8" hidden="false" customHeight="false" outlineLevel="0" collapsed="false">
      <c r="A281" s="20" t="s">
        <v>218</v>
      </c>
      <c r="E281" s="29" t="str">
        <f aca="false">IF(D281="?OLD","!!!","")</f>
        <v/>
      </c>
      <c r="F281" s="30" t="str">
        <f aca="false">IF(OR(E281="",E281="!!!"),"",IF(NOT(ISNA(VLOOKUP(E281,E$1:E280,1,FALSE()))),"OLD",IF(AND(E281&lt;&gt;"",E281&lt;&gt;"!!!"),"NEW","")))</f>
        <v/>
      </c>
      <c r="G281" s="31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32" t="str">
        <f aca="false">IF(J281&lt;&gt;1,"",IF(I281="SBJ","CB","?"))</f>
        <v/>
      </c>
      <c r="I281" s="33" t="str">
        <f aca="false">IF(OR(E281="",E281="!!!",F281="NEW"),"",INDEX(B$2:B280,-1+SUMPRODUCT(MAX(ROW(E$2:E280)*(E281=E$2:E280)))))</f>
        <v/>
      </c>
      <c r="J281" s="33" t="str">
        <f aca="true">IF(OR(E281="",E281="!!!",F281="NEW"),"",COUNTBLANK(OFFSET(A$1,,,SUMPRODUCT(MAX(ROW(E$2:E281)*(E281=E$2:E281)))))-COUNTBLANK(OFFSET(A$1,,,SUMPRODUCT(MAX(ROW(E$1:E280)*(E2=E$1:E280))))))</f>
        <v/>
      </c>
      <c r="K281" s="33" t="str">
        <f aca="false">IF(OR(E281="",E281="!!!",F281="NEW"),"",INDEX(J$1:J280,SUMPRODUCT(MAX(ROW(E$1:E280)*(E281=E$1:E280)))))</f>
        <v/>
      </c>
      <c r="L281" s="34"/>
    </row>
    <row r="282" customFormat="false" ht="15.8" hidden="false" customHeight="false" outlineLevel="0" collapsed="false">
      <c r="A282" s="20" t="s">
        <v>199</v>
      </c>
      <c r="B282" s="21" t="s">
        <v>153</v>
      </c>
      <c r="C282" s="21" t="s">
        <v>200</v>
      </c>
      <c r="E282" s="29" t="str">
        <f aca="false">IF(D282="?OLD","!!!","")</f>
        <v/>
      </c>
      <c r="F282" s="30" t="str">
        <f aca="false">IF(OR(E282="",E282="!!!"),"",IF(NOT(ISNA(VLOOKUP(E282,E$1:E281,1,FALSE()))),"OLD",IF(AND(E282&lt;&gt;"",E282&lt;&gt;"!!!"),"NEW","")))</f>
        <v/>
      </c>
      <c r="G282" s="31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32" t="str">
        <f aca="false">IF(J282&lt;&gt;1,"",IF(I282="SBJ","CB","?"))</f>
        <v/>
      </c>
      <c r="I282" s="33" t="str">
        <f aca="false">IF(OR(E282="",E282="!!!",F282="NEW"),"",INDEX(B$2:B281,-1+SUMPRODUCT(MAX(ROW(E$2:E281)*(E282=E$2:E281)))))</f>
        <v/>
      </c>
      <c r="J282" s="33" t="str">
        <f aca="true">IF(OR(E282="",E282="!!!",F282="NEW"),"",COUNTBLANK(OFFSET(A$1,,,SUMPRODUCT(MAX(ROW(E$2:E282)*(E282=E$2:E282)))))-COUNTBLANK(OFFSET(A$1,,,SUMPRODUCT(MAX(ROW(E$1:E281)*(E2=E$1:E281))))))</f>
        <v/>
      </c>
      <c r="K282" s="33" t="str">
        <f aca="false">IF(OR(E282="",E282="!!!",F282="NEW"),"",INDEX(J$1:J281,SUMPRODUCT(MAX(ROW(E$1:E281)*(E282=E$1:E281)))))</f>
        <v/>
      </c>
      <c r="L282" s="34"/>
    </row>
    <row r="283" customFormat="false" ht="15.8" hidden="false" customHeight="false" outlineLevel="0" collapsed="false">
      <c r="A283" s="20" t="s">
        <v>187</v>
      </c>
      <c r="E283" s="29" t="str">
        <f aca="false">IF(D283="?OLD","!!!","")</f>
        <v/>
      </c>
      <c r="F283" s="30" t="str">
        <f aca="false">IF(OR(E283="",E283="!!!"),"",IF(NOT(ISNA(VLOOKUP(E283,E$1:E282,1,FALSE()))),"OLD",IF(AND(E283&lt;&gt;"",E283&lt;&gt;"!!!"),"NEW","")))</f>
        <v/>
      </c>
      <c r="G283" s="31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32" t="str">
        <f aca="false">IF(J283&lt;&gt;1,"",IF(I283="SBJ","CB","?"))</f>
        <v/>
      </c>
      <c r="I283" s="33" t="str">
        <f aca="false">IF(OR(E283="",E283="!!!",F283="NEW"),"",INDEX(B$2:B282,-1+SUMPRODUCT(MAX(ROW(E$2:E282)*(E283=E$2:E282)))))</f>
        <v/>
      </c>
      <c r="J283" s="33" t="str">
        <f aca="true">IF(OR(E283="",E283="!!!",F283="NEW"),"",COUNTBLANK(OFFSET(A$1,,,SUMPRODUCT(MAX(ROW(E$2:E283)*(E283=E$2:E283)))))-COUNTBLANK(OFFSET(A$1,,,SUMPRODUCT(MAX(ROW(E$1:E282)*(E2=E$1:E282))))))</f>
        <v/>
      </c>
      <c r="K283" s="33" t="str">
        <f aca="false">IF(OR(E283="",E283="!!!",F283="NEW"),"",INDEX(J$1:J282,SUMPRODUCT(MAX(ROW(E$1:E282)*(E283=E$1:E282)))))</f>
        <v/>
      </c>
      <c r="L283" s="34"/>
    </row>
    <row r="284" customFormat="false" ht="15.8" hidden="false" customHeight="false" outlineLevel="0" collapsed="false">
      <c r="A284" s="20" t="s">
        <v>201</v>
      </c>
      <c r="E284" s="29" t="str">
        <f aca="false">IF(D284="?OLD","!!!","")</f>
        <v/>
      </c>
      <c r="F284" s="30" t="str">
        <f aca="false">IF(OR(E284="",E284="!!!"),"",IF(NOT(ISNA(VLOOKUP(E284,E$1:E283,1,FALSE()))),"OLD",IF(AND(E284&lt;&gt;"",E284&lt;&gt;"!!!"),"NEW","")))</f>
        <v/>
      </c>
      <c r="G284" s="31" t="str">
        <f aca="false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32" t="str">
        <f aca="false">IF(J284&lt;&gt;1,"",IF(I284="SBJ","CB","?"))</f>
        <v/>
      </c>
      <c r="I284" s="33" t="str">
        <f aca="false">IF(OR(E284="",E284="!!!",F284="NEW"),"",INDEX(B$2:B283,-1+SUMPRODUCT(MAX(ROW(E$2:E283)*(E284=E$2:E283)))))</f>
        <v/>
      </c>
      <c r="J284" s="33" t="str">
        <f aca="true">IF(OR(E284="",E284="!!!",F284="NEW"),"",COUNTBLANK(OFFSET(A$1,,,SUMPRODUCT(MAX(ROW(E$2:E284)*(E284=E$2:E284)))))-COUNTBLANK(OFFSET(A$1,,,SUMPRODUCT(MAX(ROW(E$1:E283)*(E2=E$1:E283))))))</f>
        <v/>
      </c>
      <c r="K284" s="33" t="str">
        <f aca="false">IF(OR(E284="",E284="!!!",F284="NEW"),"",INDEX(J$1:J283,SUMPRODUCT(MAX(ROW(E$1:E283)*(E284=E$1:E283)))))</f>
        <v/>
      </c>
      <c r="L284" s="34"/>
    </row>
    <row r="285" customFormat="false" ht="15.8" hidden="false" customHeight="false" outlineLevel="0" collapsed="false">
      <c r="A285" s="20" t="s">
        <v>219</v>
      </c>
      <c r="B285" s="21" t="s">
        <v>174</v>
      </c>
      <c r="C285" s="21" t="s">
        <v>186</v>
      </c>
      <c r="E285" s="29" t="str">
        <f aca="false">IF(D285="?OLD","!!!","")</f>
        <v/>
      </c>
      <c r="F285" s="30" t="str">
        <f aca="false">IF(OR(E285="",E285="!!!"),"",IF(NOT(ISNA(VLOOKUP(E285,E$1:E284,1,FALSE()))),"OLD",IF(AND(E285&lt;&gt;"",E285&lt;&gt;"!!!"),"NEW","")))</f>
        <v/>
      </c>
      <c r="G285" s="31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32" t="str">
        <f aca="false">IF(J285&lt;&gt;1,"",IF(I285="SBJ","CB","?"))</f>
        <v/>
      </c>
      <c r="I285" s="33" t="str">
        <f aca="false">IF(OR(E285="",E285="!!!",F285="NEW"),"",INDEX(B$2:B284,-1+SUMPRODUCT(MAX(ROW(E$2:E284)*(E285=E$2:E284)))))</f>
        <v/>
      </c>
      <c r="J285" s="33" t="str">
        <f aca="true">IF(OR(E285="",E285="!!!",F285="NEW"),"",COUNTBLANK(OFFSET(A$1,,,SUMPRODUCT(MAX(ROW(E$2:E285)*(E285=E$2:E285)))))-COUNTBLANK(OFFSET(A$1,,,SUMPRODUCT(MAX(ROW(E$1:E284)*(E2=E$1:E284))))))</f>
        <v/>
      </c>
      <c r="K285" s="33" t="str">
        <f aca="false">IF(OR(E285="",E285="!!!",F285="NEW"),"",INDEX(J$1:J284,SUMPRODUCT(MAX(ROW(E$1:E284)*(E285=E$1:E284)))))</f>
        <v/>
      </c>
      <c r="L285" s="34"/>
    </row>
    <row r="286" customFormat="false" ht="15.8" hidden="false" customHeight="false" outlineLevel="0" collapsed="false">
      <c r="A286" s="20" t="s">
        <v>187</v>
      </c>
      <c r="E286" s="29" t="str">
        <f aca="false">IF(D286="?OLD","!!!","")</f>
        <v/>
      </c>
      <c r="F286" s="30" t="str">
        <f aca="false">IF(OR(E286="",E286="!!!"),"",IF(NOT(ISNA(VLOOKUP(E286,E$1:E285,1,FALSE()))),"OLD",IF(AND(E286&lt;&gt;"",E286&lt;&gt;"!!!"),"NEW","")))</f>
        <v/>
      </c>
      <c r="G286" s="31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32" t="str">
        <f aca="false">IF(J286&lt;&gt;1,"",IF(I286="SBJ","CB","?"))</f>
        <v/>
      </c>
      <c r="I286" s="33" t="str">
        <f aca="false">IF(OR(E286="",E286="!!!",F286="NEW"),"",INDEX(B$2:B285,-1+SUMPRODUCT(MAX(ROW(E$2:E285)*(E286=E$2:E285)))))</f>
        <v/>
      </c>
      <c r="J286" s="33" t="str">
        <f aca="true">IF(OR(E286="",E286="!!!",F286="NEW"),"",COUNTBLANK(OFFSET(A$1,,,SUMPRODUCT(MAX(ROW(E$2:E286)*(E286=E$2:E286)))))-COUNTBLANK(OFFSET(A$1,,,SUMPRODUCT(MAX(ROW(E$1:E285)*(E2=E$1:E285))))))</f>
        <v/>
      </c>
      <c r="K286" s="33" t="str">
        <f aca="false">IF(OR(E286="",E286="!!!",F286="NEW"),"",INDEX(J$1:J285,SUMPRODUCT(MAX(ROW(E$1:E285)*(E286=E$1:E285)))))</f>
        <v/>
      </c>
      <c r="L286" s="34"/>
    </row>
    <row r="287" customFormat="false" ht="15.8" hidden="false" customHeight="false" outlineLevel="0" collapsed="false">
      <c r="A287" s="20" t="s">
        <v>220</v>
      </c>
      <c r="B287" s="21" t="s">
        <v>170</v>
      </c>
      <c r="C287" s="21" t="s">
        <v>186</v>
      </c>
      <c r="E287" s="29" t="str">
        <f aca="false">IF(D287="?OLD","!!!","")</f>
        <v/>
      </c>
      <c r="F287" s="30" t="str">
        <f aca="false">IF(OR(E287="",E287="!!!"),"",IF(NOT(ISNA(VLOOKUP(E287,E$1:E286,1,FALSE()))),"OLD",IF(AND(E287&lt;&gt;"",E287&lt;&gt;"!!!"),"NEW","")))</f>
        <v/>
      </c>
      <c r="G287" s="31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32" t="str">
        <f aca="false">IF(J287&lt;&gt;1,"",IF(I287="SBJ","CB","?"))</f>
        <v/>
      </c>
      <c r="I287" s="33" t="str">
        <f aca="false">IF(OR(E287="",E287="!!!",F287="NEW"),"",INDEX(B$2:B286,-1+SUMPRODUCT(MAX(ROW(E$2:E286)*(E287=E$2:E286)))))</f>
        <v/>
      </c>
      <c r="J287" s="33" t="str">
        <f aca="true">IF(OR(E287="",E287="!!!",F287="NEW"),"",COUNTBLANK(OFFSET(A$1,,,SUMPRODUCT(MAX(ROW(E$2:E287)*(E287=E$2:E287)))))-COUNTBLANK(OFFSET(A$1,,,SUMPRODUCT(MAX(ROW(E$1:E286)*(E2=E$1:E286))))))</f>
        <v/>
      </c>
      <c r="K287" s="33" t="str">
        <f aca="false">IF(OR(E287="",E287="!!!",F287="NEW"),"",INDEX(J$1:J286,SUMPRODUCT(MAX(ROW(E$1:E286)*(E287=E$1:E286)))))</f>
        <v/>
      </c>
      <c r="L287" s="34"/>
    </row>
    <row r="288" customFormat="false" ht="15.8" hidden="false" customHeight="false" outlineLevel="0" collapsed="false">
      <c r="A288" s="20"/>
    </row>
    <row r="289" customFormat="false" ht="15.8" hidden="false" customHeight="false" outlineLevel="0" collapsed="false">
      <c r="A289" s="20" t="s">
        <v>268</v>
      </c>
    </row>
    <row r="290" customFormat="false" ht="15.8" hidden="false" customHeight="false" outlineLevel="0" collapsed="false">
      <c r="A290" s="20" t="s">
        <v>222</v>
      </c>
      <c r="E290" s="29" t="str">
        <f aca="false">IF(D290="?OLD","!!!","")</f>
        <v/>
      </c>
      <c r="F290" s="30" t="str">
        <f aca="false">IF(OR(E290="",E290="!!!"),"",IF(NOT(ISNA(VLOOKUP(E290,E$1:E289,1,FALSE()))),"OLD",IF(AND(E290&lt;&gt;"",E290&lt;&gt;"!!!"),"NEW","")))</f>
        <v/>
      </c>
      <c r="G290" s="31" t="str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32" t="str">
        <f aca="false">IF(J290&lt;&gt;1,"",IF(I290="SBJ","CB","?"))</f>
        <v/>
      </c>
      <c r="I290" s="33" t="str">
        <f aca="false">IF(OR(E290="",E290="!!!",F290="NEW"),"",INDEX(B$2:B289,-1+SUMPRODUCT(MAX(ROW(E$2:E289)*(E290=E$2:E289)))))</f>
        <v/>
      </c>
      <c r="J290" s="33" t="str">
        <f aca="true">IF(OR(E290="",E290="!!!",F290="NEW"),"",COUNTBLANK(OFFSET(A$1,,,SUMPRODUCT(MAX(ROW(E$2:E290)*(E290=E$2:E290)))))-COUNTBLANK(OFFSET(A$1,,,SUMPRODUCT(MAX(ROW(E$1:E289)*(E2=E$1:E289))))))</f>
        <v/>
      </c>
      <c r="K290" s="33" t="str">
        <f aca="false">IF(OR(E290="",E290="!!!",F290="NEW"),"",INDEX(J$1:J289,SUMPRODUCT(MAX(ROW(E$1:E289)*(E290=E$1:E289)))))</f>
        <v/>
      </c>
      <c r="L290" s="34"/>
    </row>
    <row r="291" customFormat="false" ht="15.8" hidden="false" customHeight="false" outlineLevel="0" collapsed="false">
      <c r="A291" s="20" t="s">
        <v>223</v>
      </c>
      <c r="E291" s="29" t="str">
        <f aca="false">IF(D291="?OLD","!!!","")</f>
        <v/>
      </c>
      <c r="F291" s="30" t="str">
        <f aca="false">IF(OR(E291="",E291="!!!"),"",IF(NOT(ISNA(VLOOKUP(E291,E$1:E290,1,FALSE()))),"OLD",IF(AND(E291&lt;&gt;"",E291&lt;&gt;"!!!"),"NEW","")))</f>
        <v/>
      </c>
      <c r="G291" s="31" t="str">
        <f aca="false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32" t="str">
        <f aca="false">IF(J291&lt;&gt;1,"",IF(I291="SBJ","CB","?"))</f>
        <v/>
      </c>
      <c r="I291" s="33" t="str">
        <f aca="false">IF(OR(E291="",E291="!!!",F291="NEW"),"",INDEX(B$2:B290,-1+SUMPRODUCT(MAX(ROW(E$2:E290)*(E291=E$2:E290)))))</f>
        <v/>
      </c>
      <c r="J291" s="33" t="str">
        <f aca="true">IF(OR(E291="",E291="!!!",F291="NEW"),"",COUNTBLANK(OFFSET(A$1,,,SUMPRODUCT(MAX(ROW(E$2:E291)*(E291=E$2:E291)))))-COUNTBLANK(OFFSET(A$1,,,SUMPRODUCT(MAX(ROW(E$1:E290)*(E2=E$1:E290))))))</f>
        <v/>
      </c>
      <c r="K291" s="33" t="str">
        <f aca="false">IF(OR(E291="",E291="!!!",F291="NEW"),"",INDEX(J$1:J290,SUMPRODUCT(MAX(ROW(E$1:E290)*(E291=E$1:E290)))))</f>
        <v/>
      </c>
      <c r="L291" s="34"/>
    </row>
    <row r="292" customFormat="false" ht="15.8" hidden="false" customHeight="false" outlineLevel="0" collapsed="false">
      <c r="A292" s="20" t="s">
        <v>224</v>
      </c>
      <c r="B292" s="21" t="s">
        <v>168</v>
      </c>
      <c r="C292" s="21" t="s">
        <v>154</v>
      </c>
      <c r="D292" s="21" t="s">
        <v>148</v>
      </c>
      <c r="E292" s="29" t="str">
        <f aca="false">IF(D292="?OLD","!!!","")</f>
        <v>!!!</v>
      </c>
      <c r="F292" s="30" t="str">
        <f aca="false">IF(OR(E292="",E292="!!!"),"",IF(NOT(ISNA(VLOOKUP(E292,E$1:E291,1,FALSE()))),"OLD",IF(AND(E292&lt;&gt;"",E292&lt;&gt;"!!!"),"NEW","")))</f>
        <v/>
      </c>
      <c r="G292" s="31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32" t="str">
        <f aca="false">IF(J292&lt;&gt;1,"",IF(I292="SBJ","CB","?"))</f>
        <v/>
      </c>
      <c r="I292" s="33" t="str">
        <f aca="false">IF(OR(E292="",E292="!!!",F292="NEW"),"",INDEX(B$2:B291,-1+SUMPRODUCT(MAX(ROW(E$2:E291)*(E292=E$2:E291)))))</f>
        <v/>
      </c>
      <c r="J292" s="33" t="str">
        <f aca="true">IF(OR(E292="",E292="!!!",F292="NEW"),"",COUNTBLANK(OFFSET(A$1,,,SUMPRODUCT(MAX(ROW(E$2:E292)*(E292=E$2:E292)))))-COUNTBLANK(OFFSET(A$1,,,SUMPRODUCT(MAX(ROW(E$1:E291)*(E2=E$1:E291))))))</f>
        <v/>
      </c>
      <c r="K292" s="33" t="str">
        <f aca="false">IF(OR(E292="",E292="!!!",F292="NEW"),"",INDEX(J$1:J291,SUMPRODUCT(MAX(ROW(E$1:E291)*(E292=E$1:E291)))))</f>
        <v/>
      </c>
      <c r="L292" s="34"/>
    </row>
    <row r="293" customFormat="false" ht="15.8" hidden="false" customHeight="false" outlineLevel="0" collapsed="false">
      <c r="A293" s="20" t="s">
        <v>155</v>
      </c>
      <c r="E293" s="29" t="str">
        <f aca="false">IF(D293="?OLD","!!!","")</f>
        <v/>
      </c>
      <c r="F293" s="30" t="str">
        <f aca="false">IF(OR(E293="",E293="!!!"),"",IF(NOT(ISNA(VLOOKUP(E293,E$1:E292,1,FALSE()))),"OLD",IF(AND(E293&lt;&gt;"",E293&lt;&gt;"!!!"),"NEW","")))</f>
        <v/>
      </c>
      <c r="G293" s="31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32" t="str">
        <f aca="false">IF(J293&lt;&gt;1,"",IF(I293="SBJ","CB","?"))</f>
        <v/>
      </c>
      <c r="I293" s="33" t="str">
        <f aca="false">IF(OR(E293="",E293="!!!",F293="NEW"),"",INDEX(B$2:B292,-1+SUMPRODUCT(MAX(ROW(E$2:E292)*(E293=E$2:E292)))))</f>
        <v/>
      </c>
      <c r="J293" s="33" t="str">
        <f aca="true">IF(OR(E293="",E293="!!!",F293="NEW"),"",COUNTBLANK(OFFSET(A$1,,,SUMPRODUCT(MAX(ROW(E$2:E293)*(E293=E$2:E293)))))-COUNTBLANK(OFFSET(A$1,,,SUMPRODUCT(MAX(ROW(E$1:E292)*(E2=E$1:E292))))))</f>
        <v/>
      </c>
      <c r="K293" s="33" t="str">
        <f aca="false">IF(OR(E293="",E293="!!!",F293="NEW"),"",INDEX(J$1:J292,SUMPRODUCT(MAX(ROW(E$1:E292)*(E293=E$1:E292)))))</f>
        <v/>
      </c>
      <c r="L293" s="34"/>
    </row>
    <row r="294" customFormat="false" ht="15.8" hidden="false" customHeight="false" outlineLevel="0" collapsed="false">
      <c r="A294" s="20" t="s">
        <v>257</v>
      </c>
      <c r="B294" s="21" t="s">
        <v>170</v>
      </c>
      <c r="C294" s="21" t="s">
        <v>160</v>
      </c>
      <c r="D294" s="21" t="s">
        <v>148</v>
      </c>
      <c r="E294" s="29" t="str">
        <f aca="false">IF(D294="?OLD","!!!","")</f>
        <v>!!!</v>
      </c>
      <c r="F294" s="30" t="str">
        <f aca="false">IF(OR(E294="",E294="!!!"),"",IF(NOT(ISNA(VLOOKUP(E294,E$1:E293,1,FALSE()))),"OLD",IF(AND(E294&lt;&gt;"",E294&lt;&gt;"!!!"),"NEW","")))</f>
        <v/>
      </c>
      <c r="G294" s="31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32" t="str">
        <f aca="false">IF(J294&lt;&gt;1,"",IF(I294="SBJ","CB","?"))</f>
        <v/>
      </c>
      <c r="I294" s="33" t="str">
        <f aca="false">IF(OR(E294="",E294="!!!",F294="NEW"),"",INDEX(B$2:B293,-1+SUMPRODUCT(MAX(ROW(E$2:E293)*(E294=E$2:E293)))))</f>
        <v/>
      </c>
      <c r="J294" s="33" t="str">
        <f aca="true">IF(OR(E294="",E294="!!!",F294="NEW"),"",COUNTBLANK(OFFSET(A$1,,,SUMPRODUCT(MAX(ROW(E$2:E294)*(E294=E$2:E294)))))-COUNTBLANK(OFFSET(A$1,,,SUMPRODUCT(MAX(ROW(E$1:E293)*(E2=E$1:E293))))))</f>
        <v/>
      </c>
      <c r="K294" s="33" t="str">
        <f aca="false">IF(OR(E294="",E294="!!!",F294="NEW"),"",INDEX(J$1:J293,SUMPRODUCT(MAX(ROW(E$1:E293)*(E294=E$1:E293)))))</f>
        <v/>
      </c>
      <c r="L294" s="34"/>
    </row>
    <row r="295" customFormat="false" ht="15.8" hidden="false" customHeight="false" outlineLevel="0" collapsed="false">
      <c r="A295" s="20" t="s">
        <v>225</v>
      </c>
      <c r="E295" s="29" t="str">
        <f aca="false">IF(D295="?OLD","!!!","")</f>
        <v/>
      </c>
      <c r="F295" s="30" t="str">
        <f aca="false">IF(OR(E295="",E295="!!!"),"",IF(NOT(ISNA(VLOOKUP(E295,E$1:E294,1,FALSE()))),"OLD",IF(AND(E295&lt;&gt;"",E295&lt;&gt;"!!!"),"NEW","")))</f>
        <v/>
      </c>
      <c r="G295" s="31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32" t="str">
        <f aca="false">IF(J295&lt;&gt;1,"",IF(I295="SBJ","CB","?"))</f>
        <v/>
      </c>
      <c r="I295" s="33" t="str">
        <f aca="false">IF(OR(E295="",E295="!!!",F295="NEW"),"",INDEX(B$2:B294,-1+SUMPRODUCT(MAX(ROW(E$2:E294)*(E295=E$2:E294)))))</f>
        <v/>
      </c>
      <c r="J295" s="33" t="str">
        <f aca="true">IF(OR(E295="",E295="!!!",F295="NEW"),"",COUNTBLANK(OFFSET(A$1,,,SUMPRODUCT(MAX(ROW(E$2:E295)*(E295=E$2:E295)))))-COUNTBLANK(OFFSET(A$1,,,SUMPRODUCT(MAX(ROW(E$1:E294)*(E2=E$1:E294))))))</f>
        <v/>
      </c>
      <c r="K295" s="33" t="str">
        <f aca="false">IF(OR(E295="",E295="!!!",F295="NEW"),"",INDEX(J$1:J294,SUMPRODUCT(MAX(ROW(E$1:E294)*(E295=E$1:E294)))))</f>
        <v/>
      </c>
      <c r="L295" s="34"/>
    </row>
    <row r="296" customFormat="false" ht="15.8" hidden="false" customHeight="false" outlineLevel="0" collapsed="false">
      <c r="A296" s="20" t="s">
        <v>155</v>
      </c>
      <c r="E296" s="29" t="str">
        <f aca="false">IF(D296="?OLD","!!!","")</f>
        <v/>
      </c>
      <c r="F296" s="30" t="str">
        <f aca="false">IF(OR(E296="",E296="!!!"),"",IF(NOT(ISNA(VLOOKUP(E296,E$1:E295,1,FALSE()))),"OLD",IF(AND(E296&lt;&gt;"",E296&lt;&gt;"!!!"),"NEW","")))</f>
        <v/>
      </c>
      <c r="G296" s="31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32" t="str">
        <f aca="false">IF(J296&lt;&gt;1,"",IF(I296="SBJ","CB","?"))</f>
        <v/>
      </c>
      <c r="I296" s="33" t="str">
        <f aca="false">IF(OR(E296="",E296="!!!",F296="NEW"),"",INDEX(B$2:B295,-1+SUMPRODUCT(MAX(ROW(E$2:E295)*(E296=E$2:E295)))))</f>
        <v/>
      </c>
      <c r="J296" s="33" t="str">
        <f aca="true">IF(OR(E296="",E296="!!!",F296="NEW"),"",COUNTBLANK(OFFSET(A$1,,,SUMPRODUCT(MAX(ROW(E$2:E296)*(E296=E$2:E296)))))-COUNTBLANK(OFFSET(A$1,,,SUMPRODUCT(MAX(ROW(E$1:E295)*(E2=E$1:E295))))))</f>
        <v/>
      </c>
      <c r="K296" s="33" t="str">
        <f aca="false">IF(OR(E296="",E296="!!!",F296="NEW"),"",INDEX(J$1:J295,SUMPRODUCT(MAX(ROW(E$1:E295)*(E296=E$1:E295)))))</f>
        <v/>
      </c>
      <c r="L296" s="34"/>
    </row>
    <row r="297" customFormat="false" ht="15.8" hidden="false" customHeight="false" outlineLevel="0" collapsed="false">
      <c r="A297" s="20" t="s">
        <v>269</v>
      </c>
      <c r="E297" s="29" t="str">
        <f aca="false">IF(D297="?OLD","!!!","")</f>
        <v/>
      </c>
      <c r="F297" s="30" t="str">
        <f aca="false">IF(OR(E297="",E297="!!!"),"",IF(NOT(ISNA(VLOOKUP(E297,E$1:E296,1,FALSE()))),"OLD",IF(AND(E297&lt;&gt;"",E297&lt;&gt;"!!!"),"NEW","")))</f>
        <v/>
      </c>
      <c r="G297" s="31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32" t="str">
        <f aca="false">IF(J297&lt;&gt;1,"",IF(I297="SBJ","CB","?"))</f>
        <v/>
      </c>
      <c r="I297" s="33" t="str">
        <f aca="false">IF(OR(E297="",E297="!!!",F297="NEW"),"",INDEX(B$2:B296,-1+SUMPRODUCT(MAX(ROW(E$2:E296)*(E297=E$2:E296)))))</f>
        <v/>
      </c>
      <c r="J297" s="33" t="str">
        <f aca="true">IF(OR(E297="",E297="!!!",F297="NEW"),"",COUNTBLANK(OFFSET(A$1,,,SUMPRODUCT(MAX(ROW(E$2:E297)*(E297=E$2:E297)))))-COUNTBLANK(OFFSET(A$1,,,SUMPRODUCT(MAX(ROW(E$1:E296)*(E2=E$1:E296))))))</f>
        <v/>
      </c>
      <c r="K297" s="33" t="str">
        <f aca="false">IF(OR(E297="",E297="!!!",F297="NEW"),"",INDEX(J$1:J296,SUMPRODUCT(MAX(ROW(E$1:E296)*(E297=E$1:E296)))))</f>
        <v/>
      </c>
      <c r="L297" s="34"/>
    </row>
    <row r="298" customFormat="false" ht="15.8" hidden="false" customHeight="false" outlineLevel="0" collapsed="false">
      <c r="A298" s="20" t="s">
        <v>199</v>
      </c>
      <c r="B298" s="21" t="s">
        <v>153</v>
      </c>
      <c r="C298" s="21" t="s">
        <v>200</v>
      </c>
      <c r="E298" s="29" t="str">
        <f aca="false">IF(D298="?OLD","!!!","")</f>
        <v/>
      </c>
      <c r="F298" s="30" t="str">
        <f aca="false">IF(OR(E298="",E298="!!!"),"",IF(NOT(ISNA(VLOOKUP(E298,E$1:E297,1,FALSE()))),"OLD",IF(AND(E298&lt;&gt;"",E298&lt;&gt;"!!!"),"NEW","")))</f>
        <v/>
      </c>
      <c r="G298" s="31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32" t="str">
        <f aca="false">IF(J298&lt;&gt;1,"",IF(I298="SBJ","CB","?"))</f>
        <v/>
      </c>
      <c r="I298" s="33" t="str">
        <f aca="false">IF(OR(E298="",E298="!!!",F298="NEW"),"",INDEX(B$2:B297,-1+SUMPRODUCT(MAX(ROW(E$2:E297)*(E298=E$2:E297)))))</f>
        <v/>
      </c>
      <c r="J298" s="33" t="str">
        <f aca="true">IF(OR(E298="",E298="!!!",F298="NEW"),"",COUNTBLANK(OFFSET(A$1,,,SUMPRODUCT(MAX(ROW(E$2:E298)*(E298=E$2:E298)))))-COUNTBLANK(OFFSET(A$1,,,SUMPRODUCT(MAX(ROW(E$1:E297)*(E2=E$1:E297))))))</f>
        <v/>
      </c>
      <c r="K298" s="33" t="str">
        <f aca="false">IF(OR(E298="",E298="!!!",F298="NEW"),"",INDEX(J$1:J297,SUMPRODUCT(MAX(ROW(E$1:E297)*(E298=E$1:E297)))))</f>
        <v/>
      </c>
      <c r="L298" s="34"/>
    </row>
    <row r="299" customFormat="false" ht="15.8" hidden="false" customHeight="false" outlineLevel="0" collapsed="false">
      <c r="A299" s="20" t="s">
        <v>227</v>
      </c>
      <c r="E299" s="29" t="str">
        <f aca="false">IF(D299="?OLD","!!!","")</f>
        <v/>
      </c>
      <c r="F299" s="30" t="str">
        <f aca="false">IF(OR(E299="",E299="!!!"),"",IF(NOT(ISNA(VLOOKUP(E299,E$1:E298,1,FALSE()))),"OLD",IF(AND(E299&lt;&gt;"",E299&lt;&gt;"!!!"),"NEW","")))</f>
        <v/>
      </c>
      <c r="G299" s="31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32" t="str">
        <f aca="false">IF(J299&lt;&gt;1,"",IF(I299="SBJ","CB","?"))</f>
        <v/>
      </c>
      <c r="I299" s="33" t="str">
        <f aca="false">IF(OR(E299="",E299="!!!",F299="NEW"),"",INDEX(B$2:B298,-1+SUMPRODUCT(MAX(ROW(E$2:E298)*(E299=E$2:E298)))))</f>
        <v/>
      </c>
      <c r="J299" s="33" t="str">
        <f aca="true">IF(OR(E299="",E299="!!!",F299="NEW"),"",COUNTBLANK(OFFSET(A$1,,,SUMPRODUCT(MAX(ROW(E$2:E299)*(E299=E$2:E299)))))-COUNTBLANK(OFFSET(A$1,,,SUMPRODUCT(MAX(ROW(E$1:E298)*(E2=E$1:E298))))))</f>
        <v/>
      </c>
      <c r="K299" s="33" t="str">
        <f aca="false">IF(OR(E299="",E299="!!!",F299="NEW"),"",INDEX(J$1:J298,SUMPRODUCT(MAX(ROW(E$1:E298)*(E299=E$1:E298)))))</f>
        <v/>
      </c>
      <c r="L299" s="34"/>
    </row>
    <row r="300" customFormat="false" ht="15.8" hidden="false" customHeight="false" outlineLevel="0" collapsed="false">
      <c r="A300" s="20" t="s">
        <v>228</v>
      </c>
      <c r="E300" s="29" t="str">
        <f aca="false">IF(D300="?OLD","!!!","")</f>
        <v/>
      </c>
      <c r="F300" s="30" t="str">
        <f aca="false">IF(OR(E300="",E300="!!!"),"",IF(NOT(ISNA(VLOOKUP(E300,E$1:E299,1,FALSE()))),"OLD",IF(AND(E300&lt;&gt;"",E300&lt;&gt;"!!!"),"NEW","")))</f>
        <v/>
      </c>
      <c r="G300" s="31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32" t="str">
        <f aca="false">IF(J300&lt;&gt;1,"",IF(I300="SBJ","CB","?"))</f>
        <v/>
      </c>
      <c r="I300" s="33" t="str">
        <f aca="false">IF(OR(E300="",E300="!!!",F300="NEW"),"",INDEX(B$2:B299,-1+SUMPRODUCT(MAX(ROW(E$2:E299)*(E300=E$2:E299)))))</f>
        <v/>
      </c>
      <c r="J300" s="33" t="str">
        <f aca="true">IF(OR(E300="",E300="!!!",F300="NEW"),"",COUNTBLANK(OFFSET(A$1,,,SUMPRODUCT(MAX(ROW(E$2:E300)*(E300=E$2:E300)))))-COUNTBLANK(OFFSET(A$1,,,SUMPRODUCT(MAX(ROW(E$1:E299)*(E2=E$1:E299))))))</f>
        <v/>
      </c>
      <c r="K300" s="33" t="str">
        <f aca="false">IF(OR(E300="",E300="!!!",F300="NEW"),"",INDEX(J$1:J299,SUMPRODUCT(MAX(ROW(E$1:E299)*(E300=E$1:E299)))))</f>
        <v/>
      </c>
      <c r="L300" s="34"/>
    </row>
    <row r="301" customFormat="false" ht="15.8" hidden="false" customHeight="false" outlineLevel="0" collapsed="false">
      <c r="A301" s="20" t="s">
        <v>229</v>
      </c>
      <c r="E301" s="29" t="str">
        <f aca="false">IF(D301="?OLD","!!!","")</f>
        <v/>
      </c>
      <c r="F301" s="30" t="str">
        <f aca="false">IF(OR(E301="",E301="!!!"),"",IF(NOT(ISNA(VLOOKUP(E301,E$1:E300,1,FALSE()))),"OLD",IF(AND(E301&lt;&gt;"",E301&lt;&gt;"!!!"),"NEW","")))</f>
        <v/>
      </c>
      <c r="G301" s="31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32" t="str">
        <f aca="false">IF(J301&lt;&gt;1,"",IF(I301="SBJ","CB","?"))</f>
        <v/>
      </c>
      <c r="I301" s="33" t="str">
        <f aca="false">IF(OR(E301="",E301="!!!",F301="NEW"),"",INDEX(B$2:B300,-1+SUMPRODUCT(MAX(ROW(E$2:E300)*(E301=E$2:E300)))))</f>
        <v/>
      </c>
      <c r="J301" s="33" t="str">
        <f aca="true">IF(OR(E301="",E301="!!!",F301="NEW"),"",COUNTBLANK(OFFSET(A$1,,,SUMPRODUCT(MAX(ROW(E$2:E301)*(E301=E$2:E301)))))-COUNTBLANK(OFFSET(A$1,,,SUMPRODUCT(MAX(ROW(E$1:E300)*(E2=E$1:E300))))))</f>
        <v/>
      </c>
      <c r="K301" s="33" t="str">
        <f aca="false">IF(OR(E301="",E301="!!!",F301="NEW"),"",INDEX(J$1:J300,SUMPRODUCT(MAX(ROW(E$1:E300)*(E301=E$1:E300)))))</f>
        <v/>
      </c>
      <c r="L301" s="34"/>
    </row>
    <row r="302" customFormat="false" ht="15.8" hidden="false" customHeight="false" outlineLevel="0" collapsed="false">
      <c r="A302" s="20"/>
    </row>
    <row r="303" customFormat="false" ht="15.8" hidden="false" customHeight="false" outlineLevel="0" collapsed="false">
      <c r="A303" s="20" t="s">
        <v>270</v>
      </c>
    </row>
    <row r="304" customFormat="false" ht="15.8" hidden="false" customHeight="false" outlineLevel="0" collapsed="false">
      <c r="A304" s="20" t="s">
        <v>266</v>
      </c>
      <c r="E304" s="29" t="str">
        <f aca="false">IF(D304="?OLD","!!!","")</f>
        <v/>
      </c>
      <c r="F304" s="30" t="str">
        <f aca="false">IF(OR(E304="",E304="!!!"),"",IF(NOT(ISNA(VLOOKUP(E304,E$1:E303,1,FALSE()))),"OLD",IF(AND(E304&lt;&gt;"",E304&lt;&gt;"!!!"),"NEW","")))</f>
        <v/>
      </c>
      <c r="G304" s="31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32" t="str">
        <f aca="false">IF(J304&lt;&gt;1,"",IF(I304="SBJ","CB","?"))</f>
        <v/>
      </c>
      <c r="I304" s="33" t="str">
        <f aca="false">IF(OR(E304="",E304="!!!",F304="NEW"),"",INDEX(B$2:B303,-1+SUMPRODUCT(MAX(ROW(E$2:E303)*(E304=E$2:E303)))))</f>
        <v/>
      </c>
      <c r="J304" s="33" t="str">
        <f aca="true">IF(OR(E304="",E304="!!!",F304="NEW"),"",COUNTBLANK(OFFSET(A$1,,,SUMPRODUCT(MAX(ROW(E$2:E304)*(E304=E$2:E304)))))-COUNTBLANK(OFFSET(A$1,,,SUMPRODUCT(MAX(ROW(E$1:E303)*(E2=E$1:E303))))))</f>
        <v/>
      </c>
      <c r="K304" s="33" t="str">
        <f aca="false">IF(OR(E304="",E304="!!!",F304="NEW"),"",INDEX(J$1:J303,SUMPRODUCT(MAX(ROW(E$1:E303)*(E304=E$1:E303)))))</f>
        <v/>
      </c>
      <c r="L304" s="34"/>
    </row>
    <row r="305" customFormat="false" ht="15.8" hidden="false" customHeight="false" outlineLevel="0" collapsed="false">
      <c r="A305" s="20" t="s">
        <v>197</v>
      </c>
      <c r="E305" s="29" t="str">
        <f aca="false">IF(D305="?OLD","!!!","")</f>
        <v/>
      </c>
      <c r="F305" s="30" t="str">
        <f aca="false">IF(OR(E305="",E305="!!!"),"",IF(NOT(ISNA(VLOOKUP(E305,E$1:E304,1,FALSE()))),"OLD",IF(AND(E305&lt;&gt;"",E305&lt;&gt;"!!!"),"NEW","")))</f>
        <v/>
      </c>
      <c r="G305" s="31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32" t="str">
        <f aca="false">IF(J305&lt;&gt;1,"",IF(I305="SBJ","CB","?"))</f>
        <v/>
      </c>
      <c r="I305" s="33" t="str">
        <f aca="false">IF(OR(E305="",E305="!!!",F305="NEW"),"",INDEX(B$2:B304,-1+SUMPRODUCT(MAX(ROW(E$2:E304)*(E305=E$2:E304)))))</f>
        <v/>
      </c>
      <c r="J305" s="33" t="str">
        <f aca="true">IF(OR(E305="",E305="!!!",F305="NEW"),"",COUNTBLANK(OFFSET(A$1,,,SUMPRODUCT(MAX(ROW(E$2:E305)*(E305=E$2:E305)))))-COUNTBLANK(OFFSET(A$1,,,SUMPRODUCT(MAX(ROW(E$1:E304)*(E2=E$1:E304))))))</f>
        <v/>
      </c>
      <c r="K305" s="33" t="str">
        <f aca="false">IF(OR(E305="",E305="!!!",F305="NEW"),"",INDEX(J$1:J304,SUMPRODUCT(MAX(ROW(E$1:E304)*(E305=E$1:E304)))))</f>
        <v/>
      </c>
      <c r="L305" s="34"/>
    </row>
    <row r="306" customFormat="false" ht="15.8" hidden="false" customHeight="false" outlineLevel="0" collapsed="false">
      <c r="A306" s="20" t="s">
        <v>256</v>
      </c>
      <c r="E306" s="29" t="str">
        <f aca="false">IF(D306="?OLD","!!!","")</f>
        <v/>
      </c>
      <c r="F306" s="30" t="str">
        <f aca="false">IF(OR(E306="",E306="!!!"),"",IF(NOT(ISNA(VLOOKUP(E306,E$1:E305,1,FALSE()))),"OLD",IF(AND(E306&lt;&gt;"",E306&lt;&gt;"!!!"),"NEW","")))</f>
        <v/>
      </c>
      <c r="G306" s="31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32" t="str">
        <f aca="false">IF(J306&lt;&gt;1,"",IF(I306="SBJ","CB","?"))</f>
        <v/>
      </c>
      <c r="I306" s="33" t="str">
        <f aca="false">IF(OR(E306="",E306="!!!",F306="NEW"),"",INDEX(B$2:B305,-1+SUMPRODUCT(MAX(ROW(E$2:E305)*(E306=E$2:E305)))))</f>
        <v/>
      </c>
      <c r="J306" s="33" t="str">
        <f aca="true">IF(OR(E306="",E306="!!!",F306="NEW"),"",COUNTBLANK(OFFSET(A$1,,,SUMPRODUCT(MAX(ROW(E$2:E306)*(E306=E$2:E306)))))-COUNTBLANK(OFFSET(A$1,,,SUMPRODUCT(MAX(ROW(E$1:E305)*(E2=E$1:E305))))))</f>
        <v/>
      </c>
      <c r="K306" s="33" t="str">
        <f aca="false">IF(OR(E306="",E306="!!!",F306="NEW"),"",INDEX(J$1:J305,SUMPRODUCT(MAX(ROW(E$1:E305)*(E306=E$1:E305)))))</f>
        <v/>
      </c>
      <c r="L306" s="34"/>
    </row>
    <row r="307" customFormat="false" ht="15.8" hidden="false" customHeight="false" outlineLevel="0" collapsed="false">
      <c r="A307" s="20" t="s">
        <v>199</v>
      </c>
      <c r="B307" s="21" t="s">
        <v>163</v>
      </c>
      <c r="C307" s="21" t="s">
        <v>200</v>
      </c>
      <c r="E307" s="29" t="str">
        <f aca="false">IF(D307="?OLD","!!!","")</f>
        <v/>
      </c>
      <c r="F307" s="30" t="str">
        <f aca="false">IF(OR(E307="",E307="!!!"),"",IF(NOT(ISNA(VLOOKUP(E307,E$1:E306,1,FALSE()))),"OLD",IF(AND(E307&lt;&gt;"",E307&lt;&gt;"!!!"),"NEW","")))</f>
        <v/>
      </c>
      <c r="G307" s="31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32" t="str">
        <f aca="false">IF(J307&lt;&gt;1,"",IF(I307="SBJ","CB","?"))</f>
        <v/>
      </c>
      <c r="I307" s="33" t="str">
        <f aca="false">IF(OR(E307="",E307="!!!",F307="NEW"),"",INDEX(B$2:B306,-1+SUMPRODUCT(MAX(ROW(E$2:E306)*(E307=E$2:E306)))))</f>
        <v/>
      </c>
      <c r="J307" s="33" t="str">
        <f aca="true">IF(OR(E307="",E307="!!!",F307="NEW"),"",COUNTBLANK(OFFSET(A$1,,,SUMPRODUCT(MAX(ROW(E$2:E307)*(E307=E$2:E307)))))-COUNTBLANK(OFFSET(A$1,,,SUMPRODUCT(MAX(ROW(E$1:E306)*(E2=E$1:E306))))))</f>
        <v/>
      </c>
      <c r="K307" s="33" t="str">
        <f aca="false">IF(OR(E307="",E307="!!!",F307="NEW"),"",INDEX(J$1:J306,SUMPRODUCT(MAX(ROW(E$1:E306)*(E307=E$1:E306)))))</f>
        <v/>
      </c>
      <c r="L307" s="34"/>
    </row>
    <row r="308" customFormat="false" ht="15.8" hidden="false" customHeight="false" outlineLevel="0" collapsed="false">
      <c r="A308" s="20" t="s">
        <v>193</v>
      </c>
      <c r="E308" s="29" t="str">
        <f aca="false">IF(D308="?OLD","!!!","")</f>
        <v/>
      </c>
      <c r="F308" s="30" t="str">
        <f aca="false">IF(OR(E308="",E308="!!!"),"",IF(NOT(ISNA(VLOOKUP(E308,E$1:E307,1,FALSE()))),"OLD",IF(AND(E308&lt;&gt;"",E308&lt;&gt;"!!!"),"NEW","")))</f>
        <v/>
      </c>
      <c r="G308" s="31" t="str">
        <f aca="false"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32" t="str">
        <f aca="false">IF(J308&lt;&gt;1,"",IF(I308="SBJ","CB","?"))</f>
        <v/>
      </c>
      <c r="I308" s="33" t="str">
        <f aca="false">IF(OR(E308="",E308="!!!",F308="NEW"),"",INDEX(B$2:B307,-1+SUMPRODUCT(MAX(ROW(E$2:E307)*(E308=E$2:E307)))))</f>
        <v/>
      </c>
      <c r="J308" s="33" t="str">
        <f aca="true">IF(OR(E308="",E308="!!!",F308="NEW"),"",COUNTBLANK(OFFSET(A$1,,,SUMPRODUCT(MAX(ROW(E$2:E308)*(E308=E$2:E308)))))-COUNTBLANK(OFFSET(A$1,,,SUMPRODUCT(MAX(ROW(E$1:E307)*(E2=E$1:E307))))))</f>
        <v/>
      </c>
      <c r="K308" s="33" t="str">
        <f aca="false">IF(OR(E308="",E308="!!!",F308="NEW"),"",INDEX(J$1:J307,SUMPRODUCT(MAX(ROW(E$1:E307)*(E308=E$1:E307)))))</f>
        <v/>
      </c>
      <c r="L308" s="34"/>
    </row>
    <row r="309" customFormat="false" ht="15.8" hidden="false" customHeight="false" outlineLevel="0" collapsed="false">
      <c r="A309" s="20" t="s">
        <v>201</v>
      </c>
      <c r="E309" s="29" t="str">
        <f aca="false">IF(D309="?OLD","!!!","")</f>
        <v/>
      </c>
      <c r="F309" s="30" t="str">
        <f aca="false">IF(OR(E309="",E309="!!!"),"",IF(NOT(ISNA(VLOOKUP(E309,E$1:E308,1,FALSE()))),"OLD",IF(AND(E309&lt;&gt;"",E309&lt;&gt;"!!!"),"NEW","")))</f>
        <v/>
      </c>
      <c r="G309" s="31" t="str">
        <f aca="false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32" t="str">
        <f aca="false">IF(J309&lt;&gt;1,"",IF(I309="SBJ","CB","?"))</f>
        <v/>
      </c>
      <c r="I309" s="33" t="str">
        <f aca="false">IF(OR(E309="",E309="!!!",F309="NEW"),"",INDEX(B$2:B308,-1+SUMPRODUCT(MAX(ROW(E$2:E308)*(E309=E$2:E308)))))</f>
        <v/>
      </c>
      <c r="J309" s="33" t="str">
        <f aca="true">IF(OR(E309="",E309="!!!",F309="NEW"),"",COUNTBLANK(OFFSET(A$1,,,SUMPRODUCT(MAX(ROW(E$2:E309)*(E309=E$2:E309)))))-COUNTBLANK(OFFSET(A$1,,,SUMPRODUCT(MAX(ROW(E$1:E308)*(E2=E$1:E308))))))</f>
        <v/>
      </c>
      <c r="K309" s="33" t="str">
        <f aca="false">IF(OR(E309="",E309="!!!",F309="NEW"),"",INDEX(J$1:J308,SUMPRODUCT(MAX(ROW(E$1:E308)*(E309=E$1:E308)))))</f>
        <v/>
      </c>
      <c r="L309" s="34"/>
    </row>
    <row r="310" customFormat="false" ht="15.8" hidden="false" customHeight="false" outlineLevel="0" collapsed="false">
      <c r="A310" s="20" t="s">
        <v>271</v>
      </c>
      <c r="B310" s="21" t="s">
        <v>174</v>
      </c>
      <c r="C310" s="21" t="s">
        <v>160</v>
      </c>
      <c r="D310" s="21" t="s">
        <v>148</v>
      </c>
      <c r="E310" s="29" t="str">
        <f aca="false">IF(D310="?OLD","!!!","")</f>
        <v>!!!</v>
      </c>
      <c r="F310" s="30" t="str">
        <f aca="false">IF(OR(E310="",E310="!!!"),"",IF(NOT(ISNA(VLOOKUP(E310,E$1:E309,1,FALSE()))),"OLD",IF(AND(E310&lt;&gt;"",E310&lt;&gt;"!!!"),"NEW","")))</f>
        <v/>
      </c>
      <c r="G310" s="31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32" t="str">
        <f aca="false">IF(J310&lt;&gt;1,"",IF(I310="SBJ","CB","?"))</f>
        <v/>
      </c>
      <c r="I310" s="33" t="str">
        <f aca="false">IF(OR(E310="",E310="!!!",F310="NEW"),"",INDEX(B$2:B309,-1+SUMPRODUCT(MAX(ROW(E$2:E309)*(E310=E$2:E309)))))</f>
        <v/>
      </c>
      <c r="J310" s="33" t="str">
        <f aca="true">IF(OR(E310="",E310="!!!",F310="NEW"),"",COUNTBLANK(OFFSET(A$1,,,SUMPRODUCT(MAX(ROW(E$2:E310)*(E310=E$2:E310)))))-COUNTBLANK(OFFSET(A$1,,,SUMPRODUCT(MAX(ROW(E$1:E309)*(E2=E$1:E309))))))</f>
        <v/>
      </c>
      <c r="K310" s="33" t="str">
        <f aca="false">IF(OR(E310="",E310="!!!",F310="NEW"),"",INDEX(J$1:J309,SUMPRODUCT(MAX(ROW(E$1:E309)*(E310=E$1:E309)))))</f>
        <v/>
      </c>
      <c r="L310" s="34"/>
    </row>
    <row r="311" customFormat="false" ht="15.8" hidden="false" customHeight="false" outlineLevel="0" collapsed="false">
      <c r="A311" s="20"/>
    </row>
    <row r="312" customFormat="false" ht="15.8" hidden="false" customHeight="false" outlineLevel="0" collapsed="false">
      <c r="A312" s="20" t="s">
        <v>272</v>
      </c>
    </row>
    <row r="313" customFormat="false" ht="15.8" hidden="false" customHeight="false" outlineLevel="0" collapsed="false">
      <c r="A313" s="20" t="s">
        <v>266</v>
      </c>
      <c r="B313" s="21" t="s">
        <v>146</v>
      </c>
      <c r="C313" s="21" t="s">
        <v>160</v>
      </c>
      <c r="D313" s="21" t="s">
        <v>148</v>
      </c>
      <c r="E313" s="29" t="str">
        <f aca="false">IF(D313="?OLD","!!!","")</f>
        <v>!!!</v>
      </c>
      <c r="F313" s="30" t="str">
        <f aca="false">IF(OR(E313="",E313="!!!"),"",IF(NOT(ISNA(VLOOKUP(E313,E$1:E312,1,FALSE()))),"OLD",IF(AND(E313&lt;&gt;"",E313&lt;&gt;"!!!"),"NEW","")))</f>
        <v/>
      </c>
      <c r="G313" s="31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32" t="str">
        <f aca="false">IF(J313&lt;&gt;1,"",IF(I313="SBJ","CB","?"))</f>
        <v/>
      </c>
      <c r="I313" s="33" t="str">
        <f aca="false">IF(OR(E313="",E313="!!!",F313="NEW"),"",INDEX(B$2:B312,-1+SUMPRODUCT(MAX(ROW(E$2:E312)*(E313=E$2:E312)))))</f>
        <v/>
      </c>
      <c r="J313" s="33" t="str">
        <f aca="true">IF(OR(E313="",E313="!!!",F313="NEW"),"",COUNTBLANK(OFFSET(A$1,,,SUMPRODUCT(MAX(ROW(E$2:E313)*(E313=E$2:E313)))))-COUNTBLANK(OFFSET(A$1,,,SUMPRODUCT(MAX(ROW(E$1:E312)*(E2=E$1:E312))))))</f>
        <v/>
      </c>
      <c r="K313" s="33" t="str">
        <f aca="false">IF(OR(E313="",E313="!!!",F313="NEW"),"",INDEX(J$1:J312,SUMPRODUCT(MAX(ROW(E$1:E312)*(E313=E$1:E312)))))</f>
        <v/>
      </c>
      <c r="L313" s="34"/>
    </row>
    <row r="314" customFormat="false" ht="15.8" hidden="false" customHeight="false" outlineLevel="0" collapsed="false">
      <c r="A314" s="20" t="s">
        <v>273</v>
      </c>
      <c r="E314" s="29" t="str">
        <f aca="false">IF(D314="?OLD","!!!","")</f>
        <v/>
      </c>
      <c r="F314" s="30" t="str">
        <f aca="false">IF(OR(E314="",E314="!!!"),"",IF(NOT(ISNA(VLOOKUP(E314,E$1:E313,1,FALSE()))),"OLD",IF(AND(E314&lt;&gt;"",E314&lt;&gt;"!!!"),"NEW","")))</f>
        <v/>
      </c>
      <c r="G314" s="31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32" t="str">
        <f aca="false">IF(J314&lt;&gt;1,"",IF(I314="SBJ","CB","?"))</f>
        <v/>
      </c>
      <c r="I314" s="33" t="str">
        <f aca="false">IF(OR(E314="",E314="!!!",F314="NEW"),"",INDEX(B$2:B313,-1+SUMPRODUCT(MAX(ROW(E$2:E313)*(E314=E$2:E313)))))</f>
        <v/>
      </c>
      <c r="J314" s="33" t="str">
        <f aca="true">IF(OR(E314="",E314="!!!",F314="NEW"),"",COUNTBLANK(OFFSET(A$1,,,SUMPRODUCT(MAX(ROW(E$2:E314)*(E314=E$2:E314)))))-COUNTBLANK(OFFSET(A$1,,,SUMPRODUCT(MAX(ROW(E$1:E313)*(E2=E$1:E313))))))</f>
        <v/>
      </c>
      <c r="K314" s="33" t="str">
        <f aca="false">IF(OR(E314="",E314="!!!",F314="NEW"),"",INDEX(J$1:J313,SUMPRODUCT(MAX(ROW(E$1:E313)*(E314=E$1:E313)))))</f>
        <v/>
      </c>
      <c r="L314" s="34"/>
    </row>
    <row r="315" customFormat="false" ht="15.8" hidden="false" customHeight="false" outlineLevel="0" collapsed="false">
      <c r="A315" s="20" t="s">
        <v>274</v>
      </c>
      <c r="E315" s="29" t="str">
        <f aca="false">IF(D315="?OLD","!!!","")</f>
        <v/>
      </c>
      <c r="F315" s="30" t="str">
        <f aca="false">IF(OR(E315="",E315="!!!"),"",IF(NOT(ISNA(VLOOKUP(E315,E$1:E314,1,FALSE()))),"OLD",IF(AND(E315&lt;&gt;"",E315&lt;&gt;"!!!"),"NEW","")))</f>
        <v/>
      </c>
      <c r="G315" s="31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32" t="str">
        <f aca="false">IF(J315&lt;&gt;1,"",IF(I315="SBJ","CB","?"))</f>
        <v/>
      </c>
      <c r="I315" s="33" t="str">
        <f aca="false">IF(OR(E315="",E315="!!!",F315="NEW"),"",INDEX(B$2:B314,-1+SUMPRODUCT(MAX(ROW(E$2:E314)*(E315=E$2:E314)))))</f>
        <v/>
      </c>
      <c r="J315" s="33" t="str">
        <f aca="true">IF(OR(E315="",E315="!!!",F315="NEW"),"",COUNTBLANK(OFFSET(A$1,,,SUMPRODUCT(MAX(ROW(E$2:E315)*(E315=E$2:E315)))))-COUNTBLANK(OFFSET(A$1,,,SUMPRODUCT(MAX(ROW(E$1:E314)*(E2=E$1:E314))))))</f>
        <v/>
      </c>
      <c r="K315" s="33" t="str">
        <f aca="false">IF(OR(E315="",E315="!!!",F315="NEW"),"",INDEX(J$1:J314,SUMPRODUCT(MAX(ROW(E$1:E314)*(E315=E$1:E314)))))</f>
        <v/>
      </c>
      <c r="L315" s="34"/>
    </row>
    <row r="316" customFormat="false" ht="15.8" hidden="false" customHeight="false" outlineLevel="0" collapsed="false">
      <c r="A316" s="20" t="s">
        <v>167</v>
      </c>
      <c r="B316" s="21" t="s">
        <v>153</v>
      </c>
      <c r="C316" s="21" t="s">
        <v>160</v>
      </c>
      <c r="D316" s="21" t="s">
        <v>148</v>
      </c>
      <c r="E316" s="29" t="str">
        <f aca="false">IF(D316="?OLD","!!!","")</f>
        <v>!!!</v>
      </c>
      <c r="F316" s="30" t="str">
        <f aca="false">IF(OR(E316="",E316="!!!"),"",IF(NOT(ISNA(VLOOKUP(E316,E$1:E315,1,FALSE()))),"OLD",IF(AND(E316&lt;&gt;"",E316&lt;&gt;"!!!"),"NEW","")))</f>
        <v/>
      </c>
      <c r="G316" s="31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32" t="str">
        <f aca="false">IF(J316&lt;&gt;1,"",IF(I316="SBJ","CB","?"))</f>
        <v/>
      </c>
      <c r="I316" s="33" t="str">
        <f aca="false">IF(OR(E316="",E316="!!!",F316="NEW"),"",INDEX(B$2:B315,-1+SUMPRODUCT(MAX(ROW(E$2:E315)*(E316=E$2:E315)))))</f>
        <v/>
      </c>
      <c r="J316" s="33" t="str">
        <f aca="true">IF(OR(E316="",E316="!!!",F316="NEW"),"",COUNTBLANK(OFFSET(A$1,,,SUMPRODUCT(MAX(ROW(E$2:E316)*(E316=E$2:E316)))))-COUNTBLANK(OFFSET(A$1,,,SUMPRODUCT(MAX(ROW(E$1:E315)*(E2=E$1:E315))))))</f>
        <v/>
      </c>
      <c r="K316" s="33" t="str">
        <f aca="false">IF(OR(E316="",E316="!!!",F316="NEW"),"",INDEX(J$1:J315,SUMPRODUCT(MAX(ROW(E$1:E315)*(E316=E$1:E315)))))</f>
        <v/>
      </c>
      <c r="L316" s="34"/>
    </row>
    <row r="317" customFormat="false" ht="15.8" hidden="false" customHeight="false" outlineLevel="0" collapsed="false">
      <c r="A317" s="20" t="s">
        <v>227</v>
      </c>
      <c r="E317" s="29" t="str">
        <f aca="false">IF(D317="?OLD","!!!","")</f>
        <v/>
      </c>
      <c r="F317" s="30" t="str">
        <f aca="false">IF(OR(E317="",E317="!!!"),"",IF(NOT(ISNA(VLOOKUP(E317,E$1:E316,1,FALSE()))),"OLD",IF(AND(E317&lt;&gt;"",E317&lt;&gt;"!!!"),"NEW","")))</f>
        <v/>
      </c>
      <c r="G317" s="31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32" t="str">
        <f aca="false">IF(J317&lt;&gt;1,"",IF(I317="SBJ","CB","?"))</f>
        <v/>
      </c>
      <c r="I317" s="33" t="str">
        <f aca="false">IF(OR(E317="",E317="!!!",F317="NEW"),"",INDEX(B$2:B316,-1+SUMPRODUCT(MAX(ROW(E$2:E316)*(E317=E$2:E316)))))</f>
        <v/>
      </c>
      <c r="J317" s="33" t="str">
        <f aca="true">IF(OR(E317="",E317="!!!",F317="NEW"),"",COUNTBLANK(OFFSET(A$1,,,SUMPRODUCT(MAX(ROW(E$2:E317)*(E317=E$2:E317)))))-COUNTBLANK(OFFSET(A$1,,,SUMPRODUCT(MAX(ROW(E$1:E316)*(E2=E$1:E316))))))</f>
        <v/>
      </c>
      <c r="K317" s="33" t="str">
        <f aca="false">IF(OR(E317="",E317="!!!",F317="NEW"),"",INDEX(J$1:J316,SUMPRODUCT(MAX(ROW(E$1:E316)*(E317=E$1:E316)))))</f>
        <v/>
      </c>
      <c r="L317" s="34"/>
    </row>
    <row r="318" customFormat="false" ht="15.8" hidden="false" customHeight="false" outlineLevel="0" collapsed="false">
      <c r="A318" s="20" t="s">
        <v>234</v>
      </c>
      <c r="E318" s="29" t="str">
        <f aca="false">IF(D318="?OLD","!!!","")</f>
        <v/>
      </c>
      <c r="F318" s="30" t="str">
        <f aca="false">IF(OR(E318="",E318="!!!"),"",IF(NOT(ISNA(VLOOKUP(E318,E$1:E317,1,FALSE()))),"OLD",IF(AND(E318&lt;&gt;"",E318&lt;&gt;"!!!"),"NEW","")))</f>
        <v/>
      </c>
      <c r="G318" s="31" t="str">
        <f aca="false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32" t="str">
        <f aca="false">IF(J318&lt;&gt;1,"",IF(I318="SBJ","CB","?"))</f>
        <v/>
      </c>
      <c r="I318" s="33" t="str">
        <f aca="false">IF(OR(E318="",E318="!!!",F318="NEW"),"",INDEX(B$2:B317,-1+SUMPRODUCT(MAX(ROW(E$2:E317)*(E318=E$2:E317)))))</f>
        <v/>
      </c>
      <c r="J318" s="33" t="str">
        <f aca="true">IF(OR(E318="",E318="!!!",F318="NEW"),"",COUNTBLANK(OFFSET(A$1,,,SUMPRODUCT(MAX(ROW(E$2:E318)*(E318=E$2:E318)))))-COUNTBLANK(OFFSET(A$1,,,SUMPRODUCT(MAX(ROW(E$1:E317)*(E2=E$1:E317))))))</f>
        <v/>
      </c>
      <c r="K318" s="33" t="str">
        <f aca="false">IF(OR(E318="",E318="!!!",F318="NEW"),"",INDEX(J$1:J317,SUMPRODUCT(MAX(ROW(E$1:E317)*(E318=E$1:E317)))))</f>
        <v/>
      </c>
      <c r="L318" s="34"/>
    </row>
    <row r="319" customFormat="false" ht="15.8" hidden="false" customHeight="false" outlineLevel="0" collapsed="false">
      <c r="A319" s="20" t="s">
        <v>214</v>
      </c>
      <c r="E319" s="29" t="str">
        <f aca="false">IF(D319="?OLD","!!!","")</f>
        <v/>
      </c>
      <c r="F319" s="30" t="str">
        <f aca="false">IF(OR(E319="",E319="!!!"),"",IF(NOT(ISNA(VLOOKUP(E319,E$1:E318,1,FALSE()))),"OLD",IF(AND(E319&lt;&gt;"",E319&lt;&gt;"!!!"),"NEW","")))</f>
        <v/>
      </c>
      <c r="G319" s="31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32" t="str">
        <f aca="false">IF(J319&lt;&gt;1,"",IF(I319="SBJ","CB","?"))</f>
        <v/>
      </c>
      <c r="I319" s="33" t="str">
        <f aca="false">IF(OR(E319="",E319="!!!",F319="NEW"),"",INDEX(B$2:B318,-1+SUMPRODUCT(MAX(ROW(E$2:E318)*(E319=E$2:E318)))))</f>
        <v/>
      </c>
      <c r="J319" s="33" t="str">
        <f aca="true">IF(OR(E319="",E319="!!!",F319="NEW"),"",COUNTBLANK(OFFSET(A$1,,,SUMPRODUCT(MAX(ROW(E$2:E319)*(E319=E$2:E319)))))-COUNTBLANK(OFFSET(A$1,,,SUMPRODUCT(MAX(ROW(E$1:E318)*(E2=E$1:E318))))))</f>
        <v/>
      </c>
      <c r="K319" s="33" t="str">
        <f aca="false">IF(OR(E319="",E319="!!!",F319="NEW"),"",INDEX(J$1:J318,SUMPRODUCT(MAX(ROW(E$1:E318)*(E319=E$1:E318)))))</f>
        <v/>
      </c>
      <c r="L319" s="34"/>
    </row>
    <row r="320" customFormat="false" ht="15.8" hidden="false" customHeight="false" outlineLevel="0" collapsed="false">
      <c r="A320" s="20" t="s">
        <v>215</v>
      </c>
      <c r="E320" s="29" t="str">
        <f aca="false">IF(D320="?OLD","!!!","")</f>
        <v/>
      </c>
      <c r="F320" s="30" t="str">
        <f aca="false">IF(OR(E320="",E320="!!!"),"",IF(NOT(ISNA(VLOOKUP(E320,E$1:E319,1,FALSE()))),"OLD",IF(AND(E320&lt;&gt;"",E320&lt;&gt;"!!!"),"NEW","")))</f>
        <v/>
      </c>
      <c r="G320" s="31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32" t="str">
        <f aca="false">IF(J320&lt;&gt;1,"",IF(I320="SBJ","CB","?"))</f>
        <v/>
      </c>
      <c r="I320" s="33" t="str">
        <f aca="false">IF(OR(E320="",E320="!!!",F320="NEW"),"",INDEX(B$2:B319,-1+SUMPRODUCT(MAX(ROW(E$2:E319)*(E320=E$2:E319)))))</f>
        <v/>
      </c>
      <c r="J320" s="33" t="str">
        <f aca="true">IF(OR(E320="",E320="!!!",F320="NEW"),"",COUNTBLANK(OFFSET(A$1,,,SUMPRODUCT(MAX(ROW(E$2:E320)*(E320=E$2:E320)))))-COUNTBLANK(OFFSET(A$1,,,SUMPRODUCT(MAX(ROW(E$1:E319)*(E2=E$1:E319))))))</f>
        <v/>
      </c>
      <c r="K320" s="33" t="str">
        <f aca="false">IF(OR(E320="",E320="!!!",F320="NEW"),"",INDEX(J$1:J319,SUMPRODUCT(MAX(ROW(E$1:E319)*(E320=E$1:E319)))))</f>
        <v/>
      </c>
      <c r="L320" s="34"/>
    </row>
    <row r="321" customFormat="false" ht="15.8" hidden="false" customHeight="false" outlineLevel="0" collapsed="false">
      <c r="A321" s="20" t="s">
        <v>271</v>
      </c>
      <c r="B321" s="21" t="s">
        <v>174</v>
      </c>
      <c r="C321" s="21" t="s">
        <v>160</v>
      </c>
      <c r="D321" s="21" t="s">
        <v>148</v>
      </c>
      <c r="E321" s="29" t="str">
        <f aca="false">IF(D321="?OLD","!!!","")</f>
        <v>!!!</v>
      </c>
      <c r="F321" s="30" t="str">
        <f aca="false">IF(OR(E321="",E321="!!!"),"",IF(NOT(ISNA(VLOOKUP(E321,E$1:E320,1,FALSE()))),"OLD",IF(AND(E321&lt;&gt;"",E321&lt;&gt;"!!!"),"NEW","")))</f>
        <v/>
      </c>
      <c r="G321" s="31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32" t="str">
        <f aca="false">IF(J321&lt;&gt;1,"",IF(I321="SBJ","CB","?"))</f>
        <v/>
      </c>
      <c r="I321" s="33" t="str">
        <f aca="false">IF(OR(E321="",E321="!!!",F321="NEW"),"",INDEX(B$2:B320,-1+SUMPRODUCT(MAX(ROW(E$2:E320)*(E321=E$2:E320)))))</f>
        <v/>
      </c>
      <c r="J321" s="33" t="str">
        <f aca="true">IF(OR(E321="",E321="!!!",F321="NEW"),"",COUNTBLANK(OFFSET(A$1,,,SUMPRODUCT(MAX(ROW(E$2:E321)*(E321=E$2:E321)))))-COUNTBLANK(OFFSET(A$1,,,SUMPRODUCT(MAX(ROW(E$1:E320)*(E2=E$1:E320))))))</f>
        <v/>
      </c>
      <c r="K321" s="33" t="str">
        <f aca="false">IF(OR(E321="",E321="!!!",F321="NEW"),"",INDEX(J$1:J320,SUMPRODUCT(MAX(ROW(E$1:E320)*(E321=E$1:E320)))))</f>
        <v/>
      </c>
      <c r="L321" s="34"/>
    </row>
    <row r="322" customFormat="false" ht="15.8" hidden="false" customHeight="false" outlineLevel="0" collapsed="false">
      <c r="A322" s="20" t="s">
        <v>176</v>
      </c>
      <c r="E322" s="29" t="str">
        <f aca="false">IF(D322="?OLD","!!!","")</f>
        <v/>
      </c>
      <c r="F322" s="30" t="str">
        <f aca="false">IF(OR(E322="",E322="!!!"),"",IF(NOT(ISNA(VLOOKUP(E322,E$1:E321,1,FALSE()))),"OLD",IF(AND(E322&lt;&gt;"",E322&lt;&gt;"!!!"),"NEW","")))</f>
        <v/>
      </c>
      <c r="G322" s="31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32" t="str">
        <f aca="false">IF(J322&lt;&gt;1,"",IF(I322="SBJ","CB","?"))</f>
        <v/>
      </c>
      <c r="I322" s="33" t="str">
        <f aca="false">IF(OR(E322="",E322="!!!",F322="NEW"),"",INDEX(B$2:B321,-1+SUMPRODUCT(MAX(ROW(E$2:E321)*(E322=E$2:E321)))))</f>
        <v/>
      </c>
      <c r="J322" s="33" t="str">
        <f aca="true">IF(OR(E322="",E322="!!!",F322="NEW"),"",COUNTBLANK(OFFSET(A$1,,,SUMPRODUCT(MAX(ROW(E$2:E322)*(E322=E$2:E322)))))-COUNTBLANK(OFFSET(A$1,,,SUMPRODUCT(MAX(ROW(E$1:E321)*(E2=E$1:E321))))))</f>
        <v/>
      </c>
      <c r="K322" s="33" t="str">
        <f aca="false">IF(OR(E322="",E322="!!!",F322="NEW"),"",INDEX(J$1:J321,SUMPRODUCT(MAX(ROW(E$1:E321)*(E322=E$1:E321)))))</f>
        <v/>
      </c>
      <c r="L322" s="34"/>
    </row>
    <row r="323" customFormat="false" ht="15.8" hidden="false" customHeight="false" outlineLevel="0" collapsed="false">
      <c r="A323" s="20" t="s">
        <v>216</v>
      </c>
      <c r="E323" s="29" t="str">
        <f aca="false">IF(D323="?OLD","!!!","")</f>
        <v/>
      </c>
      <c r="F323" s="30" t="str">
        <f aca="false">IF(OR(E323="",E323="!!!"),"",IF(NOT(ISNA(VLOOKUP(E323,E$1:E322,1,FALSE()))),"OLD",IF(AND(E323&lt;&gt;"",E323&lt;&gt;"!!!"),"NEW","")))</f>
        <v/>
      </c>
      <c r="G323" s="31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32" t="str">
        <f aca="false">IF(J323&lt;&gt;1,"",IF(I323="SBJ","CB","?"))</f>
        <v/>
      </c>
      <c r="I323" s="33" t="str">
        <f aca="false">IF(OR(E323="",E323="!!!",F323="NEW"),"",INDEX(B$2:B322,-1+SUMPRODUCT(MAX(ROW(E$2:E322)*(E323=E$2:E322)))))</f>
        <v/>
      </c>
      <c r="J323" s="33" t="str">
        <f aca="true">IF(OR(E323="",E323="!!!",F323="NEW"),"",COUNTBLANK(OFFSET(A$1,,,SUMPRODUCT(MAX(ROW(E$2:E323)*(E323=E$2:E323)))))-COUNTBLANK(OFFSET(A$1,,,SUMPRODUCT(MAX(ROW(E$1:E322)*(E2=E$1:E322))))))</f>
        <v/>
      </c>
      <c r="K323" s="33" t="str">
        <f aca="false">IF(OR(E323="",E323="!!!",F323="NEW"),"",INDEX(J$1:J322,SUMPRODUCT(MAX(ROW(E$1:E322)*(E323=E$1:E322)))))</f>
        <v/>
      </c>
      <c r="L323" s="34"/>
    </row>
    <row r="324" customFormat="false" ht="15.8" hidden="false" customHeight="false" outlineLevel="0" collapsed="false">
      <c r="A324" s="20" t="s">
        <v>217</v>
      </c>
      <c r="E324" s="29" t="str">
        <f aca="false">IF(D324="?OLD","!!!","")</f>
        <v/>
      </c>
      <c r="F324" s="30" t="str">
        <f aca="false">IF(OR(E324="",E324="!!!"),"",IF(NOT(ISNA(VLOOKUP(E324,E$1:E323,1,FALSE()))),"OLD",IF(AND(E324&lt;&gt;"",E324&lt;&gt;"!!!"),"NEW","")))</f>
        <v/>
      </c>
      <c r="G324" s="31" t="str">
        <f aca="false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32" t="str">
        <f aca="false">IF(J324&lt;&gt;1,"",IF(I324="SBJ","CB","?"))</f>
        <v/>
      </c>
      <c r="I324" s="33" t="str">
        <f aca="false">IF(OR(E324="",E324="!!!",F324="NEW"),"",INDEX(B$2:B323,-1+SUMPRODUCT(MAX(ROW(E$2:E323)*(E324=E$2:E323)))))</f>
        <v/>
      </c>
      <c r="J324" s="33" t="str">
        <f aca="true">IF(OR(E324="",E324="!!!",F324="NEW"),"",COUNTBLANK(OFFSET(A$1,,,SUMPRODUCT(MAX(ROW(E$2:E324)*(E324=E$2:E324)))))-COUNTBLANK(OFFSET(A$1,,,SUMPRODUCT(MAX(ROW(E$1:E323)*(E2=E$1:E323))))))</f>
        <v/>
      </c>
      <c r="K324" s="33" t="str">
        <f aca="false">IF(OR(E324="",E324="!!!",F324="NEW"),"",INDEX(J$1:J323,SUMPRODUCT(MAX(ROW(E$1:E323)*(E324=E$1:E323)))))</f>
        <v/>
      </c>
      <c r="L324" s="34"/>
    </row>
    <row r="325" customFormat="false" ht="15.8" hidden="false" customHeight="false" outlineLevel="0" collapsed="false">
      <c r="A325" s="20" t="s">
        <v>275</v>
      </c>
      <c r="E325" s="29" t="str">
        <f aca="false">IF(D325="?OLD","!!!","")</f>
        <v/>
      </c>
      <c r="F325" s="30" t="str">
        <f aca="false">IF(OR(E325="",E325="!!!"),"",IF(NOT(ISNA(VLOOKUP(E325,E$1:E324,1,FALSE()))),"OLD",IF(AND(E325&lt;&gt;"",E325&lt;&gt;"!!!"),"NEW","")))</f>
        <v/>
      </c>
      <c r="G325" s="31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32" t="str">
        <f aca="false">IF(J325&lt;&gt;1,"",IF(I325="SBJ","CB","?"))</f>
        <v/>
      </c>
      <c r="I325" s="33" t="str">
        <f aca="false">IF(OR(E325="",E325="!!!",F325="NEW"),"",INDEX(B$2:B324,-1+SUMPRODUCT(MAX(ROW(E$2:E324)*(E325=E$2:E324)))))</f>
        <v/>
      </c>
      <c r="J325" s="33" t="str">
        <f aca="true">IF(OR(E325="",E325="!!!",F325="NEW"),"",COUNTBLANK(OFFSET(A$1,,,SUMPRODUCT(MAX(ROW(E$2:E325)*(E325=E$2:E325)))))-COUNTBLANK(OFFSET(A$1,,,SUMPRODUCT(MAX(ROW(E$1:E324)*(E2=E$1:E324))))))</f>
        <v/>
      </c>
      <c r="K325" s="33" t="str">
        <f aca="false">IF(OR(E325="",E325="!!!",F325="NEW"),"",INDEX(J$1:J324,SUMPRODUCT(MAX(ROW(E$1:E324)*(E325=E$1:E324)))))</f>
        <v/>
      </c>
      <c r="L325" s="34"/>
    </row>
    <row r="326" customFormat="false" ht="15.8" hidden="false" customHeight="false" outlineLevel="0" collapsed="false">
      <c r="A326" s="20" t="s">
        <v>276</v>
      </c>
      <c r="E326" s="29" t="str">
        <f aca="false">IF(D326="?OLD","!!!","")</f>
        <v/>
      </c>
      <c r="F326" s="30" t="str">
        <f aca="false">IF(OR(E326="",E326="!!!"),"",IF(NOT(ISNA(VLOOKUP(E326,E$1:E325,1,FALSE()))),"OLD",IF(AND(E326&lt;&gt;"",E326&lt;&gt;"!!!"),"NEW","")))</f>
        <v/>
      </c>
      <c r="G326" s="31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32" t="str">
        <f aca="false">IF(J326&lt;&gt;1,"",IF(I326="SBJ","CB","?"))</f>
        <v/>
      </c>
      <c r="I326" s="33" t="str">
        <f aca="false">IF(OR(E326="",E326="!!!",F326="NEW"),"",INDEX(B$2:B325,-1+SUMPRODUCT(MAX(ROW(E$2:E325)*(E326=E$2:E325)))))</f>
        <v/>
      </c>
      <c r="J326" s="33" t="str">
        <f aca="true">IF(OR(E326="",E326="!!!",F326="NEW"),"",COUNTBLANK(OFFSET(A$1,,,SUMPRODUCT(MAX(ROW(E$2:E326)*(E326=E$2:E326)))))-COUNTBLANK(OFFSET(A$1,,,SUMPRODUCT(MAX(ROW(E$1:E325)*(E2=E$1:E325))))))</f>
        <v/>
      </c>
      <c r="K326" s="33" t="str">
        <f aca="false">IF(OR(E326="",E326="!!!",F326="NEW"),"",INDEX(J$1:J325,SUMPRODUCT(MAX(ROW(E$1:E325)*(E326=E$1:E325)))))</f>
        <v/>
      </c>
      <c r="L326" s="34"/>
    </row>
    <row r="327" customFormat="false" ht="15.8" hidden="false" customHeight="false" outlineLevel="0" collapsed="false">
      <c r="A327" s="20" t="s">
        <v>199</v>
      </c>
      <c r="B327" s="21" t="s">
        <v>159</v>
      </c>
      <c r="C327" s="21" t="s">
        <v>200</v>
      </c>
      <c r="E327" s="29" t="str">
        <f aca="false">IF(D327="?OLD","!!!","")</f>
        <v/>
      </c>
      <c r="F327" s="30" t="str">
        <f aca="false">IF(OR(E327="",E327="!!!"),"",IF(NOT(ISNA(VLOOKUP(E327,E$1:E326,1,FALSE()))),"OLD",IF(AND(E327&lt;&gt;"",E327&lt;&gt;"!!!"),"NEW","")))</f>
        <v/>
      </c>
      <c r="G327" s="31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32" t="str">
        <f aca="false">IF(J327&lt;&gt;1,"",IF(I327="SBJ","CB","?"))</f>
        <v/>
      </c>
      <c r="I327" s="33" t="str">
        <f aca="false">IF(OR(E327="",E327="!!!",F327="NEW"),"",INDEX(B$2:B326,-1+SUMPRODUCT(MAX(ROW(E$2:E326)*(E327=E$2:E326)))))</f>
        <v/>
      </c>
      <c r="J327" s="33" t="str">
        <f aca="true">IF(OR(E327="",E327="!!!",F327="NEW"),"",COUNTBLANK(OFFSET(A$1,,,SUMPRODUCT(MAX(ROW(E$2:E327)*(E327=E$2:E327)))))-COUNTBLANK(OFFSET(A$1,,,SUMPRODUCT(MAX(ROW(E$1:E326)*(E2=E$1:E326))))))</f>
        <v/>
      </c>
      <c r="K327" s="33" t="str">
        <f aca="false">IF(OR(E327="",E327="!!!",F327="NEW"),"",INDEX(J$1:J326,SUMPRODUCT(MAX(ROW(E$1:E326)*(E327=E$1:E326)))))</f>
        <v/>
      </c>
      <c r="L327" s="34"/>
    </row>
    <row r="328" customFormat="false" ht="15.8" hidden="false" customHeight="false" outlineLevel="0" collapsed="false">
      <c r="A328" s="20" t="s">
        <v>187</v>
      </c>
      <c r="E328" s="29" t="str">
        <f aca="false">IF(D328="?OLD","!!!","")</f>
        <v/>
      </c>
      <c r="F328" s="30" t="str">
        <f aca="false">IF(OR(E328="",E328="!!!"),"",IF(NOT(ISNA(VLOOKUP(E328,E$1:E327,1,FALSE()))),"OLD",IF(AND(E328&lt;&gt;"",E328&lt;&gt;"!!!"),"NEW","")))</f>
        <v/>
      </c>
      <c r="G328" s="31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32" t="str">
        <f aca="false">IF(J328&lt;&gt;1,"",IF(I328="SBJ","CB","?"))</f>
        <v/>
      </c>
      <c r="I328" s="33" t="str">
        <f aca="false">IF(OR(E328="",E328="!!!",F328="NEW"),"",INDEX(B$2:B327,-1+SUMPRODUCT(MAX(ROW(E$2:E327)*(E328=E$2:E327)))))</f>
        <v/>
      </c>
      <c r="J328" s="33" t="str">
        <f aca="true">IF(OR(E328="",E328="!!!",F328="NEW"),"",COUNTBLANK(OFFSET(A$1,,,SUMPRODUCT(MAX(ROW(E$2:E328)*(E328=E$2:E328)))))-COUNTBLANK(OFFSET(A$1,,,SUMPRODUCT(MAX(ROW(E$1:E327)*(E2=E$1:E327))))))</f>
        <v/>
      </c>
      <c r="K328" s="33" t="str">
        <f aca="false">IF(OR(E328="",E328="!!!",F328="NEW"),"",INDEX(J$1:J327,SUMPRODUCT(MAX(ROW(E$1:E327)*(E328=E$1:E327)))))</f>
        <v/>
      </c>
      <c r="L328" s="34"/>
    </row>
    <row r="329" customFormat="false" ht="15.8" hidden="false" customHeight="false" outlineLevel="0" collapsed="false">
      <c r="A329" s="20" t="s">
        <v>201</v>
      </c>
      <c r="E329" s="29" t="str">
        <f aca="false">IF(D329="?OLD","!!!","")</f>
        <v/>
      </c>
      <c r="F329" s="30" t="str">
        <f aca="false">IF(OR(E329="",E329="!!!"),"",IF(NOT(ISNA(VLOOKUP(E329,E$1:E328,1,FALSE()))),"OLD",IF(AND(E329&lt;&gt;"",E329&lt;&gt;"!!!"),"NEW","")))</f>
        <v/>
      </c>
      <c r="G329" s="31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32" t="str">
        <f aca="false">IF(J329&lt;&gt;1,"",IF(I329="SBJ","CB","?"))</f>
        <v/>
      </c>
      <c r="I329" s="33" t="str">
        <f aca="false">IF(OR(E329="",E329="!!!",F329="NEW"),"",INDEX(B$2:B328,-1+SUMPRODUCT(MAX(ROW(E$2:E328)*(E329=E$2:E328)))))</f>
        <v/>
      </c>
      <c r="J329" s="33" t="str">
        <f aca="true">IF(OR(E329="",E329="!!!",F329="NEW"),"",COUNTBLANK(OFFSET(A$1,,,SUMPRODUCT(MAX(ROW(E$2:E329)*(E329=E$2:E329)))))-COUNTBLANK(OFFSET(A$1,,,SUMPRODUCT(MAX(ROW(E$1:E328)*(E2=E$1:E328))))))</f>
        <v/>
      </c>
      <c r="K329" s="33" t="str">
        <f aca="false">IF(OR(E329="",E329="!!!",F329="NEW"),"",INDEX(J$1:J328,SUMPRODUCT(MAX(ROW(E$1:E328)*(E329=E$1:E328)))))</f>
        <v/>
      </c>
      <c r="L329" s="34"/>
    </row>
    <row r="330" customFormat="false" ht="15.8" hidden="false" customHeight="false" outlineLevel="0" collapsed="false">
      <c r="A330" s="20" t="s">
        <v>219</v>
      </c>
      <c r="B330" s="21" t="s">
        <v>174</v>
      </c>
      <c r="C330" s="21" t="s">
        <v>186</v>
      </c>
      <c r="E330" s="29" t="str">
        <f aca="false">IF(D330="?OLD","!!!","")</f>
        <v/>
      </c>
      <c r="F330" s="30" t="str">
        <f aca="false">IF(OR(E330="",E330="!!!"),"",IF(NOT(ISNA(VLOOKUP(E330,E$1:E329,1,FALSE()))),"OLD",IF(AND(E330&lt;&gt;"",E330&lt;&gt;"!!!"),"NEW","")))</f>
        <v/>
      </c>
      <c r="G330" s="31" t="str">
        <f aca="false"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32" t="str">
        <f aca="false">IF(J330&lt;&gt;1,"",IF(I330="SBJ","CB","?"))</f>
        <v/>
      </c>
      <c r="I330" s="33" t="str">
        <f aca="false">IF(OR(E330="",E330="!!!",F330="NEW"),"",INDEX(B$2:B329,-1+SUMPRODUCT(MAX(ROW(E$2:E329)*(E330=E$2:E329)))))</f>
        <v/>
      </c>
      <c r="J330" s="33" t="str">
        <f aca="true">IF(OR(E330="",E330="!!!",F330="NEW"),"",COUNTBLANK(OFFSET(A$1,,,SUMPRODUCT(MAX(ROW(E$2:E330)*(E330=E$2:E330)))))-COUNTBLANK(OFFSET(A$1,,,SUMPRODUCT(MAX(ROW(E$1:E329)*(E2=E$1:E329))))))</f>
        <v/>
      </c>
      <c r="K330" s="33" t="str">
        <f aca="false">IF(OR(E330="",E330="!!!",F330="NEW"),"",INDEX(J$1:J329,SUMPRODUCT(MAX(ROW(E$1:E329)*(E330=E$1:E329)))))</f>
        <v/>
      </c>
      <c r="L330" s="34"/>
    </row>
    <row r="331" customFormat="false" ht="15.8" hidden="false" customHeight="false" outlineLevel="0" collapsed="false">
      <c r="A331" s="20" t="s">
        <v>187</v>
      </c>
      <c r="E331" s="29" t="str">
        <f aca="false">IF(D331="?OLD","!!!","")</f>
        <v/>
      </c>
      <c r="F331" s="30" t="str">
        <f aca="false">IF(OR(E331="",E331="!!!"),"",IF(NOT(ISNA(VLOOKUP(E331,E$1:E330,1,FALSE()))),"OLD",IF(AND(E331&lt;&gt;"",E331&lt;&gt;"!!!"),"NEW","")))</f>
        <v/>
      </c>
      <c r="G331" s="31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32" t="str">
        <f aca="false">IF(J331&lt;&gt;1,"",IF(I331="SBJ","CB","?"))</f>
        <v/>
      </c>
      <c r="I331" s="33" t="str">
        <f aca="false">IF(OR(E331="",E331="!!!",F331="NEW"),"",INDEX(B$2:B330,-1+SUMPRODUCT(MAX(ROW(E$2:E330)*(E331=E$2:E330)))))</f>
        <v/>
      </c>
      <c r="J331" s="33" t="str">
        <f aca="true">IF(OR(E331="",E331="!!!",F331="NEW"),"",COUNTBLANK(OFFSET(A$1,,,SUMPRODUCT(MAX(ROW(E$2:E331)*(E331=E$2:E331)))))-COUNTBLANK(OFFSET(A$1,,,SUMPRODUCT(MAX(ROW(E$1:E330)*(E2=E$1:E330))))))</f>
        <v/>
      </c>
      <c r="K331" s="33" t="str">
        <f aca="false">IF(OR(E331="",E331="!!!",F331="NEW"),"",INDEX(J$1:J330,SUMPRODUCT(MAX(ROW(E$1:E330)*(E331=E$1:E330)))))</f>
        <v/>
      </c>
      <c r="L331" s="34"/>
    </row>
    <row r="332" customFormat="false" ht="15.8" hidden="false" customHeight="false" outlineLevel="0" collapsed="false">
      <c r="A332" s="20" t="s">
        <v>220</v>
      </c>
      <c r="B332" s="21" t="s">
        <v>170</v>
      </c>
      <c r="C332" s="21" t="s">
        <v>186</v>
      </c>
      <c r="E332" s="29" t="str">
        <f aca="false">IF(D332="?OLD","!!!","")</f>
        <v/>
      </c>
      <c r="F332" s="30" t="str">
        <f aca="false">IF(OR(E332="",E332="!!!"),"",IF(NOT(ISNA(VLOOKUP(E332,E$1:E331,1,FALSE()))),"OLD",IF(AND(E332&lt;&gt;"",E332&lt;&gt;"!!!"),"NEW","")))</f>
        <v/>
      </c>
      <c r="G332" s="31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32" t="str">
        <f aca="false">IF(J332&lt;&gt;1,"",IF(I332="SBJ","CB","?"))</f>
        <v/>
      </c>
      <c r="I332" s="33" t="str">
        <f aca="false">IF(OR(E332="",E332="!!!",F332="NEW"),"",INDEX(B$2:B331,-1+SUMPRODUCT(MAX(ROW(E$2:E331)*(E332=E$2:E331)))))</f>
        <v/>
      </c>
      <c r="J332" s="33" t="str">
        <f aca="true">IF(OR(E332="",E332="!!!",F332="NEW"),"",COUNTBLANK(OFFSET(A$1,,,SUMPRODUCT(MAX(ROW(E$2:E332)*(E332=E$2:E332)))))-COUNTBLANK(OFFSET(A$1,,,SUMPRODUCT(MAX(ROW(E$1:E331)*(E2=E$1:E331))))))</f>
        <v/>
      </c>
      <c r="K332" s="33" t="str">
        <f aca="false">IF(OR(E332="",E332="!!!",F332="NEW"),"",INDEX(J$1:J331,SUMPRODUCT(MAX(ROW(E$1:E331)*(E332=E$1:E331)))))</f>
        <v/>
      </c>
      <c r="L332" s="34"/>
    </row>
    <row r="333" customFormat="false" ht="15.8" hidden="false" customHeight="false" outlineLevel="0" collapsed="false">
      <c r="A333" s="20"/>
    </row>
    <row r="334" customFormat="false" ht="15.8" hidden="false" customHeight="false" outlineLevel="0" collapsed="false">
      <c r="A334" s="20" t="s">
        <v>277</v>
      </c>
    </row>
    <row r="335" customFormat="false" ht="15.8" hidden="false" customHeight="false" outlineLevel="0" collapsed="false">
      <c r="A335" s="20" t="s">
        <v>222</v>
      </c>
      <c r="E335" s="29" t="str">
        <f aca="false">IF(D335="?OLD","!!!","")</f>
        <v/>
      </c>
      <c r="F335" s="30" t="str">
        <f aca="false">IF(OR(E335="",E335="!!!"),"",IF(NOT(ISNA(VLOOKUP(E335,E$1:E334,1,FALSE()))),"OLD",IF(AND(E335&lt;&gt;"",E335&lt;&gt;"!!!"),"NEW","")))</f>
        <v/>
      </c>
      <c r="G335" s="31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32" t="str">
        <f aca="false">IF(J335&lt;&gt;1,"",IF(I335="SBJ","CB","?"))</f>
        <v/>
      </c>
      <c r="I335" s="33" t="str">
        <f aca="false">IF(OR(E335="",E335="!!!",F335="NEW"),"",INDEX(B$2:B334,-1+SUMPRODUCT(MAX(ROW(E$2:E334)*(E335=E$2:E334)))))</f>
        <v/>
      </c>
      <c r="J335" s="33" t="str">
        <f aca="true">IF(OR(E335="",E335="!!!",F335="NEW"),"",COUNTBLANK(OFFSET(A$1,,,SUMPRODUCT(MAX(ROW(E$2:E335)*(E335=E$2:E335)))))-COUNTBLANK(OFFSET(A$1,,,SUMPRODUCT(MAX(ROW(E$1:E334)*(E2=E$1:E334))))))</f>
        <v/>
      </c>
      <c r="K335" s="33" t="str">
        <f aca="false">IF(OR(E335="",E335="!!!",F335="NEW"),"",INDEX(J$1:J334,SUMPRODUCT(MAX(ROW(E$1:E334)*(E335=E$1:E334)))))</f>
        <v/>
      </c>
      <c r="L335" s="34"/>
    </row>
    <row r="336" customFormat="false" ht="15.8" hidden="false" customHeight="false" outlineLevel="0" collapsed="false">
      <c r="A336" s="20" t="s">
        <v>223</v>
      </c>
      <c r="E336" s="29" t="str">
        <f aca="false">IF(D336="?OLD","!!!","")</f>
        <v/>
      </c>
      <c r="F336" s="30" t="str">
        <f aca="false">IF(OR(E336="",E336="!!!"),"",IF(NOT(ISNA(VLOOKUP(E336,E$1:E335,1,FALSE()))),"OLD",IF(AND(E336&lt;&gt;"",E336&lt;&gt;"!!!"),"NEW","")))</f>
        <v/>
      </c>
      <c r="G336" s="31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32" t="str">
        <f aca="false">IF(J336&lt;&gt;1,"",IF(I336="SBJ","CB","?"))</f>
        <v/>
      </c>
      <c r="I336" s="33" t="str">
        <f aca="false">IF(OR(E336="",E336="!!!",F336="NEW"),"",INDEX(B$2:B335,-1+SUMPRODUCT(MAX(ROW(E$2:E335)*(E336=E$2:E335)))))</f>
        <v/>
      </c>
      <c r="J336" s="33" t="str">
        <f aca="true">IF(OR(E336="",E336="!!!",F336="NEW"),"",COUNTBLANK(OFFSET(A$1,,,SUMPRODUCT(MAX(ROW(E$2:E336)*(E336=E$2:E336)))))-COUNTBLANK(OFFSET(A$1,,,SUMPRODUCT(MAX(ROW(E$1:E335)*(E2=E$1:E335))))))</f>
        <v/>
      </c>
      <c r="K336" s="33" t="str">
        <f aca="false">IF(OR(E336="",E336="!!!",F336="NEW"),"",INDEX(J$1:J335,SUMPRODUCT(MAX(ROW(E$1:E335)*(E336=E$1:E335)))))</f>
        <v/>
      </c>
      <c r="L336" s="34"/>
    </row>
    <row r="337" customFormat="false" ht="15.8" hidden="false" customHeight="false" outlineLevel="0" collapsed="false">
      <c r="A337" s="20" t="s">
        <v>224</v>
      </c>
      <c r="B337" s="21" t="s">
        <v>146</v>
      </c>
      <c r="C337" s="21" t="s">
        <v>154</v>
      </c>
      <c r="D337" s="21" t="s">
        <v>148</v>
      </c>
      <c r="E337" s="29" t="str">
        <f aca="false">IF(D337="?OLD","!!!","")</f>
        <v>!!!</v>
      </c>
      <c r="F337" s="30" t="str">
        <f aca="false">IF(OR(E337="",E337="!!!"),"",IF(NOT(ISNA(VLOOKUP(E337,E$1:E336,1,FALSE()))),"OLD",IF(AND(E337&lt;&gt;"",E337&lt;&gt;"!!!"),"NEW","")))</f>
        <v/>
      </c>
      <c r="G337" s="31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32" t="str">
        <f aca="false">IF(J337&lt;&gt;1,"",IF(I337="SBJ","CB","?"))</f>
        <v/>
      </c>
      <c r="I337" s="33" t="str">
        <f aca="false">IF(OR(E337="",E337="!!!",F337="NEW"),"",INDEX(B$2:B336,-1+SUMPRODUCT(MAX(ROW(E$2:E336)*(E337=E$2:E336)))))</f>
        <v/>
      </c>
      <c r="J337" s="33" t="str">
        <f aca="true">IF(OR(E337="",E337="!!!",F337="NEW"),"",COUNTBLANK(OFFSET(A$1,,,SUMPRODUCT(MAX(ROW(E$2:E337)*(E337=E$2:E337)))))-COUNTBLANK(OFFSET(A$1,,,SUMPRODUCT(MAX(ROW(E$1:E336)*(E2=E$1:E336))))))</f>
        <v/>
      </c>
      <c r="K337" s="33" t="str">
        <f aca="false">IF(OR(E337="",E337="!!!",F337="NEW"),"",INDEX(J$1:J336,SUMPRODUCT(MAX(ROW(E$1:E336)*(E337=E$1:E336)))))</f>
        <v/>
      </c>
      <c r="L337" s="34"/>
    </row>
    <row r="338" customFormat="false" ht="15.8" hidden="false" customHeight="false" outlineLevel="0" collapsed="false">
      <c r="A338" s="20" t="s">
        <v>155</v>
      </c>
      <c r="E338" s="29" t="str">
        <f aca="false">IF(D338="?OLD","!!!","")</f>
        <v/>
      </c>
      <c r="F338" s="30" t="str">
        <f aca="false">IF(OR(E338="",E338="!!!"),"",IF(NOT(ISNA(VLOOKUP(E338,E$1:E337,1,FALSE()))),"OLD",IF(AND(E338&lt;&gt;"",E338&lt;&gt;"!!!"),"NEW","")))</f>
        <v/>
      </c>
      <c r="G338" s="31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32" t="str">
        <f aca="false">IF(J338&lt;&gt;1,"",IF(I338="SBJ","CB","?"))</f>
        <v/>
      </c>
      <c r="I338" s="33" t="str">
        <f aca="false">IF(OR(E338="",E338="!!!",F338="NEW"),"",INDEX(B$2:B337,-1+SUMPRODUCT(MAX(ROW(E$2:E337)*(E338=E$2:E337)))))</f>
        <v/>
      </c>
      <c r="J338" s="33" t="str">
        <f aca="true">IF(OR(E338="",E338="!!!",F338="NEW"),"",COUNTBLANK(OFFSET(A$1,,,SUMPRODUCT(MAX(ROW(E$2:E338)*(E338=E$2:E338)))))-COUNTBLANK(OFFSET(A$1,,,SUMPRODUCT(MAX(ROW(E$1:E337)*(E2=E$1:E337))))))</f>
        <v/>
      </c>
      <c r="K338" s="33" t="str">
        <f aca="false">IF(OR(E338="",E338="!!!",F338="NEW"),"",INDEX(J$1:J337,SUMPRODUCT(MAX(ROW(E$1:E337)*(E338=E$1:E337)))))</f>
        <v/>
      </c>
      <c r="L338" s="34"/>
    </row>
    <row r="339" customFormat="false" ht="15.8" hidden="false" customHeight="false" outlineLevel="0" collapsed="false">
      <c r="A339" s="20" t="s">
        <v>266</v>
      </c>
      <c r="B339" s="21" t="s">
        <v>159</v>
      </c>
      <c r="C339" s="21" t="s">
        <v>160</v>
      </c>
      <c r="D339" s="21" t="s">
        <v>148</v>
      </c>
      <c r="E339" s="29" t="str">
        <f aca="false">IF(D339="?OLD","!!!","")</f>
        <v>!!!</v>
      </c>
      <c r="F339" s="30" t="str">
        <f aca="false">IF(OR(E339="",E339="!!!"),"",IF(NOT(ISNA(VLOOKUP(E339,E$1:E338,1,FALSE()))),"OLD",IF(AND(E339&lt;&gt;"",E339&lt;&gt;"!!!"),"NEW","")))</f>
        <v/>
      </c>
      <c r="G339" s="31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32" t="str">
        <f aca="false">IF(J339&lt;&gt;1,"",IF(I339="SBJ","CB","?"))</f>
        <v/>
      </c>
      <c r="I339" s="33" t="str">
        <f aca="false">IF(OR(E339="",E339="!!!",F339="NEW"),"",INDEX(B$2:B338,-1+SUMPRODUCT(MAX(ROW(E$2:E338)*(E339=E$2:E338)))))</f>
        <v/>
      </c>
      <c r="J339" s="33" t="str">
        <f aca="true">IF(OR(E339="",E339="!!!",F339="NEW"),"",COUNTBLANK(OFFSET(A$1,,,SUMPRODUCT(MAX(ROW(E$2:E339)*(E339=E$2:E339)))))-COUNTBLANK(OFFSET(A$1,,,SUMPRODUCT(MAX(ROW(E$1:E338)*(E2=E$1:E338))))))</f>
        <v/>
      </c>
      <c r="K339" s="33" t="str">
        <f aca="false">IF(OR(E339="",E339="!!!",F339="NEW"),"",INDEX(J$1:J338,SUMPRODUCT(MAX(ROW(E$1:E338)*(E339=E$1:E338)))))</f>
        <v/>
      </c>
      <c r="L339" s="34"/>
    </row>
    <row r="340" customFormat="false" ht="15.8" hidden="false" customHeight="false" outlineLevel="0" collapsed="false">
      <c r="A340" s="20" t="s">
        <v>225</v>
      </c>
      <c r="E340" s="29" t="str">
        <f aca="false">IF(D340="?OLD","!!!","")</f>
        <v/>
      </c>
      <c r="F340" s="30" t="str">
        <f aca="false">IF(OR(E340="",E340="!!!"),"",IF(NOT(ISNA(VLOOKUP(E340,E$1:E339,1,FALSE()))),"OLD",IF(AND(E340&lt;&gt;"",E340&lt;&gt;"!!!"),"NEW","")))</f>
        <v/>
      </c>
      <c r="G340" s="31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32" t="str">
        <f aca="false">IF(J340&lt;&gt;1,"",IF(I340="SBJ","CB","?"))</f>
        <v/>
      </c>
      <c r="I340" s="33" t="str">
        <f aca="false">IF(OR(E340="",E340="!!!",F340="NEW"),"",INDEX(B$2:B339,-1+SUMPRODUCT(MAX(ROW(E$2:E339)*(E340=E$2:E339)))))</f>
        <v/>
      </c>
      <c r="J340" s="33" t="str">
        <f aca="true">IF(OR(E340="",E340="!!!",F340="NEW"),"",COUNTBLANK(OFFSET(A$1,,,SUMPRODUCT(MAX(ROW(E$2:E340)*(E340=E$2:E340)))))-COUNTBLANK(OFFSET(A$1,,,SUMPRODUCT(MAX(ROW(E$1:E339)*(E2=E$1:E339))))))</f>
        <v/>
      </c>
      <c r="K340" s="33" t="str">
        <f aca="false">IF(OR(E340="",E340="!!!",F340="NEW"),"",INDEX(J$1:J339,SUMPRODUCT(MAX(ROW(E$1:E339)*(E340=E$1:E339)))))</f>
        <v/>
      </c>
      <c r="L340" s="34"/>
    </row>
    <row r="341" customFormat="false" ht="15.8" hidden="false" customHeight="false" outlineLevel="0" collapsed="false">
      <c r="A341" s="20" t="s">
        <v>155</v>
      </c>
      <c r="E341" s="29" t="str">
        <f aca="false">IF(D341="?OLD","!!!","")</f>
        <v/>
      </c>
      <c r="F341" s="30" t="str">
        <f aca="false">IF(OR(E341="",E341="!!!"),"",IF(NOT(ISNA(VLOOKUP(E341,E$1:E340,1,FALSE()))),"OLD",IF(AND(E341&lt;&gt;"",E341&lt;&gt;"!!!"),"NEW","")))</f>
        <v/>
      </c>
      <c r="G341" s="31" t="str">
        <f aca="false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32" t="str">
        <f aca="false">IF(J341&lt;&gt;1,"",IF(I341="SBJ","CB","?"))</f>
        <v/>
      </c>
      <c r="I341" s="33" t="str">
        <f aca="false">IF(OR(E341="",E341="!!!",F341="NEW"),"",INDEX(B$2:B340,-1+SUMPRODUCT(MAX(ROW(E$2:E340)*(E341=E$2:E340)))))</f>
        <v/>
      </c>
      <c r="J341" s="33" t="str">
        <f aca="true">IF(OR(E341="",E341="!!!",F341="NEW"),"",COUNTBLANK(OFFSET(A$1,,,SUMPRODUCT(MAX(ROW(E$2:E341)*(E341=E$2:E341)))))-COUNTBLANK(OFFSET(A$1,,,SUMPRODUCT(MAX(ROW(E$1:E340)*(E2=E$1:E340))))))</f>
        <v/>
      </c>
      <c r="K341" s="33" t="str">
        <f aca="false">IF(OR(E341="",E341="!!!",F341="NEW"),"",INDEX(J$1:J340,SUMPRODUCT(MAX(ROW(E$1:E340)*(E341=E$1:E340)))))</f>
        <v/>
      </c>
      <c r="L341" s="34"/>
    </row>
    <row r="342" customFormat="false" ht="15.8" hidden="false" customHeight="false" outlineLevel="0" collapsed="false">
      <c r="A342" s="20" t="s">
        <v>278</v>
      </c>
      <c r="E342" s="29" t="str">
        <f aca="false">IF(D342="?OLD","!!!","")</f>
        <v/>
      </c>
      <c r="F342" s="30" t="str">
        <f aca="false">IF(OR(E342="",E342="!!!"),"",IF(NOT(ISNA(VLOOKUP(E342,E$1:E341,1,FALSE()))),"OLD",IF(AND(E342&lt;&gt;"",E342&lt;&gt;"!!!"),"NEW","")))</f>
        <v/>
      </c>
      <c r="G342" s="31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32" t="str">
        <f aca="false">IF(J342&lt;&gt;1,"",IF(I342="SBJ","CB","?"))</f>
        <v/>
      </c>
      <c r="I342" s="33" t="str">
        <f aca="false">IF(OR(E342="",E342="!!!",F342="NEW"),"",INDEX(B$2:B341,-1+SUMPRODUCT(MAX(ROW(E$2:E341)*(E342=E$2:E341)))))</f>
        <v/>
      </c>
      <c r="J342" s="33" t="str">
        <f aca="true">IF(OR(E342="",E342="!!!",F342="NEW"),"",COUNTBLANK(OFFSET(A$1,,,SUMPRODUCT(MAX(ROW(E$2:E342)*(E342=E$2:E342)))))-COUNTBLANK(OFFSET(A$1,,,SUMPRODUCT(MAX(ROW(E$1:E341)*(E2=E$1:E341))))))</f>
        <v/>
      </c>
      <c r="K342" s="33" t="str">
        <f aca="false">IF(OR(E342="",E342="!!!",F342="NEW"),"",INDEX(J$1:J341,SUMPRODUCT(MAX(ROW(E$1:E341)*(E342=E$1:E341)))))</f>
        <v/>
      </c>
      <c r="L342" s="34"/>
    </row>
    <row r="343" customFormat="false" ht="15.8" hidden="false" customHeight="false" outlineLevel="0" collapsed="false">
      <c r="A343" s="20" t="s">
        <v>199</v>
      </c>
      <c r="B343" s="21" t="s">
        <v>153</v>
      </c>
      <c r="C343" s="21" t="s">
        <v>200</v>
      </c>
      <c r="E343" s="29" t="str">
        <f aca="false">IF(D343="?OLD","!!!","")</f>
        <v/>
      </c>
      <c r="F343" s="30" t="str">
        <f aca="false">IF(OR(E343="",E343="!!!"),"",IF(NOT(ISNA(VLOOKUP(E343,E$1:E342,1,FALSE()))),"OLD",IF(AND(E343&lt;&gt;"",E343&lt;&gt;"!!!"),"NEW","")))</f>
        <v/>
      </c>
      <c r="G343" s="31" t="str">
        <f aca="false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32" t="str">
        <f aca="false">IF(J343&lt;&gt;1,"",IF(I343="SBJ","CB","?"))</f>
        <v/>
      </c>
      <c r="I343" s="33" t="str">
        <f aca="false">IF(OR(E343="",E343="!!!",F343="NEW"),"",INDEX(B$2:B342,-1+SUMPRODUCT(MAX(ROW(E$2:E342)*(E343=E$2:E342)))))</f>
        <v/>
      </c>
      <c r="J343" s="33" t="str">
        <f aca="true">IF(OR(E343="",E343="!!!",F343="NEW"),"",COUNTBLANK(OFFSET(A$1,,,SUMPRODUCT(MAX(ROW(E$2:E343)*(E343=E$2:E343)))))-COUNTBLANK(OFFSET(A$1,,,SUMPRODUCT(MAX(ROW(E$1:E342)*(E2=E$1:E342))))))</f>
        <v/>
      </c>
      <c r="K343" s="33" t="str">
        <f aca="false">IF(OR(E343="",E343="!!!",F343="NEW"),"",INDEX(J$1:J342,SUMPRODUCT(MAX(ROW(E$1:E342)*(E343=E$1:E342)))))</f>
        <v/>
      </c>
      <c r="L343" s="34"/>
    </row>
    <row r="344" customFormat="false" ht="15.8" hidden="false" customHeight="false" outlineLevel="0" collapsed="false">
      <c r="A344" s="20"/>
    </row>
    <row r="345" customFormat="false" ht="15.8" hidden="false" customHeight="false" outlineLevel="0" collapsed="false">
      <c r="A345" s="20" t="s">
        <v>279</v>
      </c>
    </row>
    <row r="346" customFormat="false" ht="15.8" hidden="false" customHeight="false" outlineLevel="0" collapsed="false">
      <c r="A346" s="20" t="s">
        <v>280</v>
      </c>
      <c r="E346" s="29" t="str">
        <f aca="false">IF(D346="?OLD","!!!","")</f>
        <v/>
      </c>
      <c r="F346" s="30" t="str">
        <f aca="false">IF(OR(E346="",E346="!!!"),"",IF(NOT(ISNA(VLOOKUP(E346,E$1:E345,1,FALSE()))),"OLD",IF(AND(E346&lt;&gt;"",E346&lt;&gt;"!!!"),"NEW","")))</f>
        <v/>
      </c>
      <c r="G346" s="31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32" t="str">
        <f aca="false">IF(J346&lt;&gt;1,"",IF(I346="SBJ","CB","?"))</f>
        <v/>
      </c>
      <c r="I346" s="33" t="str">
        <f aca="false">IF(OR(E346="",E346="!!!",F346="NEW"),"",INDEX(B$2:B345,-1+SUMPRODUCT(MAX(ROW(E$2:E345)*(E346=E$2:E345)))))</f>
        <v/>
      </c>
      <c r="J346" s="33" t="str">
        <f aca="true">IF(OR(E346="",E346="!!!",F346="NEW"),"",COUNTBLANK(OFFSET(A$1,,,SUMPRODUCT(MAX(ROW(E$2:E346)*(E346=E$2:E346)))))-COUNTBLANK(OFFSET(A$1,,,SUMPRODUCT(MAX(ROW(E$1:E345)*(E2=E$1:E345))))))</f>
        <v/>
      </c>
      <c r="K346" s="33" t="str">
        <f aca="false">IF(OR(E346="",E346="!!!",F346="NEW"),"",INDEX(J$1:J345,SUMPRODUCT(MAX(ROW(E$1:E345)*(E346=E$1:E345)))))</f>
        <v/>
      </c>
      <c r="L346" s="34"/>
    </row>
    <row r="347" customFormat="false" ht="15.8" hidden="false" customHeight="false" outlineLevel="0" collapsed="false">
      <c r="A347" s="20" t="s">
        <v>266</v>
      </c>
      <c r="B347" s="21" t="s">
        <v>146</v>
      </c>
      <c r="C347" s="21" t="s">
        <v>160</v>
      </c>
      <c r="D347" s="21" t="s">
        <v>148</v>
      </c>
      <c r="E347" s="29" t="str">
        <f aca="false">IF(D347="?OLD","!!!","")</f>
        <v>!!!</v>
      </c>
      <c r="F347" s="30" t="str">
        <f aca="false">IF(OR(E347="",E347="!!!"),"",IF(NOT(ISNA(VLOOKUP(E347,E$1:E346,1,FALSE()))),"OLD",IF(AND(E347&lt;&gt;"",E347&lt;&gt;"!!!"),"NEW","")))</f>
        <v/>
      </c>
      <c r="G347" s="31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32" t="str">
        <f aca="false">IF(J347&lt;&gt;1,"",IF(I347="SBJ","CB","?"))</f>
        <v/>
      </c>
      <c r="I347" s="33" t="str">
        <f aca="false">IF(OR(E347="",E347="!!!",F347="NEW"),"",INDEX(B$2:B346,-1+SUMPRODUCT(MAX(ROW(E$2:E346)*(E347=E$2:E346)))))</f>
        <v/>
      </c>
      <c r="J347" s="33" t="str">
        <f aca="true">IF(OR(E347="",E347="!!!",F347="NEW"),"",COUNTBLANK(OFFSET(A$1,,,SUMPRODUCT(MAX(ROW(E$2:E347)*(E347=E$2:E347)))))-COUNTBLANK(OFFSET(A$1,,,SUMPRODUCT(MAX(ROW(E$1:E346)*(E2=E$1:E346))))))</f>
        <v/>
      </c>
      <c r="K347" s="33" t="str">
        <f aca="false">IF(OR(E347="",E347="!!!",F347="NEW"),"",INDEX(J$1:J346,SUMPRODUCT(MAX(ROW(E$1:E346)*(E347=E$1:E346)))))</f>
        <v/>
      </c>
      <c r="L347" s="34"/>
    </row>
    <row r="348" customFormat="false" ht="15.8" hidden="false" customHeight="false" outlineLevel="0" collapsed="false">
      <c r="A348" s="20" t="s">
        <v>101</v>
      </c>
      <c r="E348" s="29" t="str">
        <f aca="false">IF(D348="?OLD","!!!","")</f>
        <v/>
      </c>
      <c r="F348" s="30" t="str">
        <f aca="false">IF(OR(E348="",E348="!!!"),"",IF(NOT(ISNA(VLOOKUP(E348,E$1:E347,1,FALSE()))),"OLD",IF(AND(E348&lt;&gt;"",E348&lt;&gt;"!!!"),"NEW","")))</f>
        <v/>
      </c>
      <c r="G348" s="31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32" t="str">
        <f aca="false">IF(J348&lt;&gt;1,"",IF(I348="SBJ","CB","?"))</f>
        <v/>
      </c>
      <c r="I348" s="33" t="str">
        <f aca="false">IF(OR(E348="",E348="!!!",F348="NEW"),"",INDEX(B$2:B347,-1+SUMPRODUCT(MAX(ROW(E$2:E347)*(E348=E$2:E347)))))</f>
        <v/>
      </c>
      <c r="J348" s="33" t="str">
        <f aca="true">IF(OR(E348="",E348="!!!",F348="NEW"),"",COUNTBLANK(OFFSET(A$1,,,SUMPRODUCT(MAX(ROW(E$2:E348)*(E348=E$2:E348)))))-COUNTBLANK(OFFSET(A$1,,,SUMPRODUCT(MAX(ROW(E$1:E347)*(E2=E$1:E347))))))</f>
        <v/>
      </c>
      <c r="K348" s="33" t="str">
        <f aca="false">IF(OR(E348="",E348="!!!",F348="NEW"),"",INDEX(J$1:J347,SUMPRODUCT(MAX(ROW(E$1:E347)*(E348=E$1:E347)))))</f>
        <v/>
      </c>
      <c r="L348" s="34"/>
    </row>
    <row r="349" customFormat="false" ht="15.8" hidden="false" customHeight="false" outlineLevel="0" collapsed="false">
      <c r="A349" s="20" t="s">
        <v>274</v>
      </c>
      <c r="E349" s="29" t="str">
        <f aca="false">IF(D349="?OLD","!!!","")</f>
        <v/>
      </c>
      <c r="F349" s="30" t="str">
        <f aca="false">IF(OR(E349="",E349="!!!"),"",IF(NOT(ISNA(VLOOKUP(E349,E$1:E348,1,FALSE()))),"OLD",IF(AND(E349&lt;&gt;"",E349&lt;&gt;"!!!"),"NEW","")))</f>
        <v/>
      </c>
      <c r="G349" s="31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32" t="str">
        <f aca="false">IF(J349&lt;&gt;1,"",IF(I349="SBJ","CB","?"))</f>
        <v/>
      </c>
      <c r="I349" s="33" t="str">
        <f aca="false">IF(OR(E349="",E349="!!!",F349="NEW"),"",INDEX(B$2:B348,-1+SUMPRODUCT(MAX(ROW(E$2:E348)*(E349=E$2:E348)))))</f>
        <v/>
      </c>
      <c r="J349" s="33" t="str">
        <f aca="true">IF(OR(E349="",E349="!!!",F349="NEW"),"",COUNTBLANK(OFFSET(A$1,,,SUMPRODUCT(MAX(ROW(E$2:E349)*(E349=E$2:E349)))))-COUNTBLANK(OFFSET(A$1,,,SUMPRODUCT(MAX(ROW(E$1:E348)*(E2=E$1:E348))))))</f>
        <v/>
      </c>
      <c r="K349" s="33" t="str">
        <f aca="false">IF(OR(E349="",E349="!!!",F349="NEW"),"",INDEX(J$1:J348,SUMPRODUCT(MAX(ROW(E$1:E348)*(E349=E$1:E348)))))</f>
        <v/>
      </c>
      <c r="L349" s="34"/>
    </row>
    <row r="350" customFormat="false" ht="15.8" hidden="false" customHeight="false" outlineLevel="0" collapsed="false">
      <c r="A350" s="20" t="s">
        <v>167</v>
      </c>
      <c r="B350" s="21" t="s">
        <v>153</v>
      </c>
      <c r="C350" s="21" t="s">
        <v>186</v>
      </c>
      <c r="E350" s="29" t="str">
        <f aca="false">IF(D350="?OLD","!!!","")</f>
        <v/>
      </c>
      <c r="F350" s="30" t="str">
        <f aca="false">IF(OR(E350="",E350="!!!"),"",IF(NOT(ISNA(VLOOKUP(E350,E$1:E349,1,FALSE()))),"OLD",IF(AND(E350&lt;&gt;"",E350&lt;&gt;"!!!"),"NEW","")))</f>
        <v/>
      </c>
      <c r="G350" s="31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32" t="str">
        <f aca="false">IF(J350&lt;&gt;1,"",IF(I350="SBJ","CB","?"))</f>
        <v/>
      </c>
      <c r="I350" s="33" t="str">
        <f aca="false">IF(OR(E350="",E350="!!!",F350="NEW"),"",INDEX(B$2:B349,-1+SUMPRODUCT(MAX(ROW(E$2:E349)*(E350=E$2:E349)))))</f>
        <v/>
      </c>
      <c r="J350" s="33" t="str">
        <f aca="true">IF(OR(E350="",E350="!!!",F350="NEW"),"",COUNTBLANK(OFFSET(A$1,,,SUMPRODUCT(MAX(ROW(E$2:E350)*(E350=E$2:E350)))))-COUNTBLANK(OFFSET(A$1,,,SUMPRODUCT(MAX(ROW(E$1:E349)*(E2=E$1:E349))))))</f>
        <v/>
      </c>
      <c r="K350" s="33" t="str">
        <f aca="false">IF(OR(E350="",E350="!!!",F350="NEW"),"",INDEX(J$1:J349,SUMPRODUCT(MAX(ROW(E$1:E349)*(E350=E$1:E349)))))</f>
        <v/>
      </c>
      <c r="L350" s="34"/>
    </row>
    <row r="351" customFormat="false" ht="15.8" hidden="false" customHeight="false" outlineLevel="0" collapsed="false">
      <c r="A351" s="20" t="s">
        <v>187</v>
      </c>
      <c r="E351" s="29" t="str">
        <f aca="false">IF(D351="?OLD","!!!","")</f>
        <v/>
      </c>
      <c r="F351" s="30" t="str">
        <f aca="false">IF(OR(E351="",E351="!!!"),"",IF(NOT(ISNA(VLOOKUP(E351,E$1:E350,1,FALSE()))),"OLD",IF(AND(E351&lt;&gt;"",E351&lt;&gt;"!!!"),"NEW","")))</f>
        <v/>
      </c>
      <c r="G351" s="31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32" t="str">
        <f aca="false">IF(J351&lt;&gt;1,"",IF(I351="SBJ","CB","?"))</f>
        <v/>
      </c>
      <c r="I351" s="33" t="str">
        <f aca="false">IF(OR(E351="",E351="!!!",F351="NEW"),"",INDEX(B$2:B350,-1+SUMPRODUCT(MAX(ROW(E$2:E350)*(E351=E$2:E350)))))</f>
        <v/>
      </c>
      <c r="J351" s="33" t="str">
        <f aca="true">IF(OR(E351="",E351="!!!",F351="NEW"),"",COUNTBLANK(OFFSET(A$1,,,SUMPRODUCT(MAX(ROW(E$2:E351)*(E351=E$2:E351)))))-COUNTBLANK(OFFSET(A$1,,,SUMPRODUCT(MAX(ROW(E$1:E350)*(E2=E$1:E350))))))</f>
        <v/>
      </c>
      <c r="K351" s="33" t="str">
        <f aca="false">IF(OR(E351="",E351="!!!",F351="NEW"),"",INDEX(J$1:J350,SUMPRODUCT(MAX(ROW(E$1:E350)*(E351=E$1:E350)))))</f>
        <v/>
      </c>
      <c r="L351" s="34"/>
    </row>
    <row r="352" customFormat="false" ht="15.8" hidden="false" customHeight="false" outlineLevel="0" collapsed="false">
      <c r="A352" s="20" t="s">
        <v>281</v>
      </c>
      <c r="E352" s="29" t="str">
        <f aca="false">IF(D352="?OLD","!!!","")</f>
        <v/>
      </c>
      <c r="F352" s="30" t="str">
        <f aca="false">IF(OR(E352="",E352="!!!"),"",IF(NOT(ISNA(VLOOKUP(E352,E$1:E351,1,FALSE()))),"OLD",IF(AND(E352&lt;&gt;"",E352&lt;&gt;"!!!"),"NEW","")))</f>
        <v/>
      </c>
      <c r="G352" s="31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32" t="str">
        <f aca="false">IF(J352&lt;&gt;1,"",IF(I352="SBJ","CB","?"))</f>
        <v/>
      </c>
      <c r="I352" s="33" t="str">
        <f aca="false">IF(OR(E352="",E352="!!!",F352="NEW"),"",INDEX(B$2:B351,-1+SUMPRODUCT(MAX(ROW(E$2:E351)*(E352=E$2:E351)))))</f>
        <v/>
      </c>
      <c r="J352" s="33" t="str">
        <f aca="true">IF(OR(E352="",E352="!!!",F352="NEW"),"",COUNTBLANK(OFFSET(A$1,,,SUMPRODUCT(MAX(ROW(E$2:E352)*(E352=E$2:E352)))))-COUNTBLANK(OFFSET(A$1,,,SUMPRODUCT(MAX(ROW(E$1:E351)*(E2=E$1:E351))))))</f>
        <v/>
      </c>
      <c r="K352" s="33" t="str">
        <f aca="false">IF(OR(E352="",E352="!!!",F352="NEW"),"",INDEX(J$1:J351,SUMPRODUCT(MAX(ROW(E$1:E351)*(E352=E$1:E351)))))</f>
        <v/>
      </c>
      <c r="L352" s="34"/>
    </row>
    <row r="353" customFormat="false" ht="15.8" hidden="false" customHeight="false" outlineLevel="0" collapsed="false">
      <c r="A353" s="20" t="s">
        <v>225</v>
      </c>
      <c r="E353" s="29" t="str">
        <f aca="false">IF(D353="?OLD","!!!","")</f>
        <v/>
      </c>
      <c r="F353" s="30" t="str">
        <f aca="false">IF(OR(E353="",E353="!!!"),"",IF(NOT(ISNA(VLOOKUP(E353,E$1:E352,1,FALSE()))),"OLD",IF(AND(E353&lt;&gt;"",E353&lt;&gt;"!!!"),"NEW","")))</f>
        <v/>
      </c>
      <c r="G353" s="31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32" t="str">
        <f aca="false">IF(J353&lt;&gt;1,"",IF(I353="SBJ","CB","?"))</f>
        <v/>
      </c>
      <c r="I353" s="33" t="str">
        <f aca="false">IF(OR(E353="",E353="!!!",F353="NEW"),"",INDEX(B$2:B352,-1+SUMPRODUCT(MAX(ROW(E$2:E352)*(E353=E$2:E352)))))</f>
        <v/>
      </c>
      <c r="J353" s="33" t="str">
        <f aca="true">IF(OR(E353="",E353="!!!",F353="NEW"),"",COUNTBLANK(OFFSET(A$1,,,SUMPRODUCT(MAX(ROW(E$2:E353)*(E353=E$2:E353)))))-COUNTBLANK(OFFSET(A$1,,,SUMPRODUCT(MAX(ROW(E$1:E352)*(E2=E$1:E352))))))</f>
        <v/>
      </c>
      <c r="K353" s="33" t="str">
        <f aca="false">IF(OR(E353="",E353="!!!",F353="NEW"),"",INDEX(J$1:J352,SUMPRODUCT(MAX(ROW(E$1:E352)*(E353=E$1:E352)))))</f>
        <v/>
      </c>
      <c r="L353" s="34"/>
    </row>
    <row r="354" customFormat="false" ht="15.8" hidden="false" customHeight="false" outlineLevel="0" collapsed="false">
      <c r="A354" s="20" t="s">
        <v>282</v>
      </c>
      <c r="E354" s="29" t="str">
        <f aca="false">IF(D354="?OLD","!!!","")</f>
        <v/>
      </c>
      <c r="F354" s="30" t="str">
        <f aca="false">IF(OR(E354="",E354="!!!"),"",IF(NOT(ISNA(VLOOKUP(E354,E$1:E353,1,FALSE()))),"OLD",IF(AND(E354&lt;&gt;"",E354&lt;&gt;"!!!"),"NEW","")))</f>
        <v/>
      </c>
      <c r="G354" s="31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32" t="str">
        <f aca="false">IF(J354&lt;&gt;1,"",IF(I354="SBJ","CB","?"))</f>
        <v/>
      </c>
      <c r="I354" s="33" t="str">
        <f aca="false">IF(OR(E354="",E354="!!!",F354="NEW"),"",INDEX(B$2:B353,-1+SUMPRODUCT(MAX(ROW(E$2:E353)*(E354=E$2:E353)))))</f>
        <v/>
      </c>
      <c r="J354" s="33" t="str">
        <f aca="true">IF(OR(E354="",E354="!!!",F354="NEW"),"",COUNTBLANK(OFFSET(A$1,,,SUMPRODUCT(MAX(ROW(E$2:E354)*(E354=E$2:E354)))))-COUNTBLANK(OFFSET(A$1,,,SUMPRODUCT(MAX(ROW(E$1:E353)*(E2=E$1:E353))))))</f>
        <v/>
      </c>
      <c r="K354" s="33" t="str">
        <f aca="false">IF(OR(E354="",E354="!!!",F354="NEW"),"",INDEX(J$1:J353,SUMPRODUCT(MAX(ROW(E$1:E353)*(E354=E$1:E353)))))</f>
        <v/>
      </c>
      <c r="L354" s="34"/>
    </row>
    <row r="355" customFormat="false" ht="15.8" hidden="false" customHeight="false" outlineLevel="0" collapsed="false">
      <c r="A355" s="20" t="s">
        <v>283</v>
      </c>
      <c r="E355" s="29" t="str">
        <f aca="false">IF(D355="?OLD","!!!","")</f>
        <v/>
      </c>
      <c r="F355" s="30" t="str">
        <f aca="false">IF(OR(E355="",E355="!!!"),"",IF(NOT(ISNA(VLOOKUP(E355,E$1:E354,1,FALSE()))),"OLD",IF(AND(E355&lt;&gt;"",E355&lt;&gt;"!!!"),"NEW","")))</f>
        <v/>
      </c>
      <c r="G355" s="31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32" t="str">
        <f aca="false">IF(J355&lt;&gt;1,"",IF(I355="SBJ","CB","?"))</f>
        <v/>
      </c>
      <c r="I355" s="33" t="str">
        <f aca="false">IF(OR(E355="",E355="!!!",F355="NEW"),"",INDEX(B$2:B354,-1+SUMPRODUCT(MAX(ROW(E$2:E354)*(E355=E$2:E354)))))</f>
        <v/>
      </c>
      <c r="J355" s="33" t="str">
        <f aca="true">IF(OR(E355="",E355="!!!",F355="NEW"),"",COUNTBLANK(OFFSET(A$1,,,SUMPRODUCT(MAX(ROW(E$2:E355)*(E355=E$2:E355)))))-COUNTBLANK(OFFSET(A$1,,,SUMPRODUCT(MAX(ROW(E$1:E354)*(E2=E$1:E354))))))</f>
        <v/>
      </c>
      <c r="K355" s="33" t="str">
        <f aca="false">IF(OR(E355="",E355="!!!",F355="NEW"),"",INDEX(J$1:J354,SUMPRODUCT(MAX(ROW(E$1:E354)*(E355=E$1:E354)))))</f>
        <v/>
      </c>
      <c r="L355" s="34"/>
    </row>
    <row r="356" customFormat="false" ht="15.8" hidden="false" customHeight="false" outlineLevel="0" collapsed="false">
      <c r="A356" s="20" t="s">
        <v>167</v>
      </c>
      <c r="B356" s="21" t="s">
        <v>168</v>
      </c>
      <c r="C356" s="21" t="s">
        <v>160</v>
      </c>
      <c r="D356" s="21" t="s">
        <v>148</v>
      </c>
      <c r="E356" s="29" t="str">
        <f aca="false">IF(D356="?OLD","!!!","")</f>
        <v>!!!</v>
      </c>
      <c r="F356" s="30" t="str">
        <f aca="false">IF(OR(E356="",E356="!!!"),"",IF(NOT(ISNA(VLOOKUP(E356,E$1:E355,1,FALSE()))),"OLD",IF(AND(E356&lt;&gt;"",E356&lt;&gt;"!!!"),"NEW","")))</f>
        <v/>
      </c>
      <c r="G356" s="31" t="str">
        <f aca="false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32" t="str">
        <f aca="false">IF(J356&lt;&gt;1,"",IF(I356="SBJ","CB","?"))</f>
        <v/>
      </c>
      <c r="I356" s="33" t="str">
        <f aca="false">IF(OR(E356="",E356="!!!",F356="NEW"),"",INDEX(B$2:B355,-1+SUMPRODUCT(MAX(ROW(E$2:E355)*(E356=E$2:E355)))))</f>
        <v/>
      </c>
      <c r="J356" s="33" t="str">
        <f aca="true">IF(OR(E356="",E356="!!!",F356="NEW"),"",COUNTBLANK(OFFSET(A$1,,,SUMPRODUCT(MAX(ROW(E$2:E356)*(E356=E$2:E356)))))-COUNTBLANK(OFFSET(A$1,,,SUMPRODUCT(MAX(ROW(E$1:E355)*(E2=E$1:E355))))))</f>
        <v/>
      </c>
      <c r="K356" s="33" t="str">
        <f aca="false">IF(OR(E356="",E356="!!!",F356="NEW"),"",INDEX(J$1:J355,SUMPRODUCT(MAX(ROW(E$1:E355)*(E356=E$1:E355)))))</f>
        <v/>
      </c>
      <c r="L356" s="34"/>
    </row>
    <row r="357" customFormat="false" ht="15.8" hidden="false" customHeight="false" outlineLevel="0" collapsed="false">
      <c r="A357" s="20" t="s">
        <v>172</v>
      </c>
      <c r="B357" s="21" t="s">
        <v>174</v>
      </c>
      <c r="C357" s="21" t="s">
        <v>178</v>
      </c>
      <c r="D357" s="21" t="s">
        <v>148</v>
      </c>
      <c r="E357" s="29" t="str">
        <f aca="false">IF(D357="?OLD","!!!","")</f>
        <v>!!!</v>
      </c>
      <c r="F357" s="30" t="str">
        <f aca="false">IF(OR(E357="",E357="!!!"),"",IF(NOT(ISNA(VLOOKUP(E357,E$1:E356,1,FALSE()))),"OLD",IF(AND(E357&lt;&gt;"",E357&lt;&gt;"!!!"),"NEW","")))</f>
        <v/>
      </c>
      <c r="G357" s="31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32" t="str">
        <f aca="false">IF(J357&lt;&gt;1,"",IF(I357="SBJ","CB","?"))</f>
        <v/>
      </c>
      <c r="I357" s="33" t="str">
        <f aca="false">IF(OR(E357="",E357="!!!",F357="NEW"),"",INDEX(B$2:B356,-1+SUMPRODUCT(MAX(ROW(E$2:E356)*(E357=E$2:E356)))))</f>
        <v/>
      </c>
      <c r="J357" s="33" t="str">
        <f aca="true">IF(OR(E357="",E357="!!!",F357="NEW"),"",COUNTBLANK(OFFSET(A$1,,,SUMPRODUCT(MAX(ROW(E$2:E357)*(E357=E$2:E357)))))-COUNTBLANK(OFFSET(A$1,,,SUMPRODUCT(MAX(ROW(E$1:E356)*(E2=E$1:E356))))))</f>
        <v/>
      </c>
      <c r="K357" s="33" t="str">
        <f aca="false">IF(OR(E357="",E357="!!!",F357="NEW"),"",INDEX(J$1:J356,SUMPRODUCT(MAX(ROW(E$1:E356)*(E357=E$1:E356)))))</f>
        <v/>
      </c>
      <c r="L357" s="34"/>
    </row>
    <row r="358" customFormat="false" ht="15.8" hidden="false" customHeight="false" outlineLevel="0" collapsed="false">
      <c r="A358" s="20" t="s">
        <v>197</v>
      </c>
      <c r="E358" s="29" t="str">
        <f aca="false">IF(D358="?OLD","!!!","")</f>
        <v/>
      </c>
      <c r="F358" s="30" t="str">
        <f aca="false">IF(OR(E358="",E358="!!!"),"",IF(NOT(ISNA(VLOOKUP(E358,E$1:E357,1,FALSE()))),"OLD",IF(AND(E358&lt;&gt;"",E358&lt;&gt;"!!!"),"NEW","")))</f>
        <v/>
      </c>
      <c r="G358" s="31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32" t="str">
        <f aca="false">IF(J358&lt;&gt;1,"",IF(I358="SBJ","CB","?"))</f>
        <v/>
      </c>
      <c r="I358" s="33" t="str">
        <f aca="false">IF(OR(E358="",E358="!!!",F358="NEW"),"",INDEX(B$2:B357,-1+SUMPRODUCT(MAX(ROW(E$2:E357)*(E358=E$2:E357)))))</f>
        <v/>
      </c>
      <c r="J358" s="33" t="str">
        <f aca="true">IF(OR(E358="",E358="!!!",F358="NEW"),"",COUNTBLANK(OFFSET(A$1,,,SUMPRODUCT(MAX(ROW(E$2:E358)*(E358=E$2:E358)))))-COUNTBLANK(OFFSET(A$1,,,SUMPRODUCT(MAX(ROW(E$1:E357)*(E2=E$1:E357))))))</f>
        <v/>
      </c>
      <c r="K358" s="33" t="str">
        <f aca="false">IF(OR(E358="",E358="!!!",F358="NEW"),"",INDEX(J$1:J357,SUMPRODUCT(MAX(ROW(E$1:E357)*(E358=E$1:E357)))))</f>
        <v/>
      </c>
      <c r="L358" s="34"/>
    </row>
    <row r="359" customFormat="false" ht="15.8" hidden="false" customHeight="false" outlineLevel="0" collapsed="false">
      <c r="A359" s="20" t="s">
        <v>284</v>
      </c>
      <c r="E359" s="29" t="str">
        <f aca="false">IF(D359="?OLD","!!!","")</f>
        <v/>
      </c>
      <c r="F359" s="30" t="str">
        <f aca="false">IF(OR(E359="",E359="!!!"),"",IF(NOT(ISNA(VLOOKUP(E359,E$1:E358,1,FALSE()))),"OLD",IF(AND(E359&lt;&gt;"",E359&lt;&gt;"!!!"),"NEW","")))</f>
        <v/>
      </c>
      <c r="G359" s="31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32" t="str">
        <f aca="false">IF(J359&lt;&gt;1,"",IF(I359="SBJ","CB","?"))</f>
        <v/>
      </c>
      <c r="I359" s="33" t="str">
        <f aca="false">IF(OR(E359="",E359="!!!",F359="NEW"),"",INDEX(B$2:B358,-1+SUMPRODUCT(MAX(ROW(E$2:E358)*(E359=E$2:E358)))))</f>
        <v/>
      </c>
      <c r="J359" s="33" t="str">
        <f aca="true">IF(OR(E359="",E359="!!!",F359="NEW"),"",COUNTBLANK(OFFSET(A$1,,,SUMPRODUCT(MAX(ROW(E$2:E359)*(E359=E$2:E359)))))-COUNTBLANK(OFFSET(A$1,,,SUMPRODUCT(MAX(ROW(E$1:E358)*(E2=E$1:E358))))))</f>
        <v/>
      </c>
      <c r="K359" s="33" t="str">
        <f aca="false">IF(OR(E359="",E359="!!!",F359="NEW"),"",INDEX(J$1:J358,SUMPRODUCT(MAX(ROW(E$1:E358)*(E359=E$1:E358)))))</f>
        <v/>
      </c>
      <c r="L359" s="34"/>
    </row>
    <row r="360" customFormat="false" ht="15.8" hidden="false" customHeight="false" outlineLevel="0" collapsed="false">
      <c r="A360" s="20"/>
    </row>
    <row r="361" customFormat="false" ht="15.8" hidden="false" customHeight="false" outlineLevel="0" collapsed="false">
      <c r="A361" s="20" t="s">
        <v>285</v>
      </c>
    </row>
    <row r="362" customFormat="false" ht="15.8" hidden="false" customHeight="false" outlineLevel="0" collapsed="false">
      <c r="A362" s="20" t="s">
        <v>271</v>
      </c>
      <c r="E362" s="29" t="str">
        <f aca="false">IF(D362="?OLD","!!!","")</f>
        <v/>
      </c>
      <c r="F362" s="30" t="str">
        <f aca="false">IF(OR(E362="",E362="!!!"),"",IF(NOT(ISNA(VLOOKUP(E362,E$1:E361,1,FALSE()))),"OLD",IF(AND(E362&lt;&gt;"",E362&lt;&gt;"!!!"),"NEW","")))</f>
        <v/>
      </c>
      <c r="G362" s="31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32" t="str">
        <f aca="false">IF(J362&lt;&gt;1,"",IF(I362="SBJ","CB","?"))</f>
        <v/>
      </c>
      <c r="I362" s="33" t="str">
        <f aca="false">IF(OR(E362="",E362="!!!",F362="NEW"),"",INDEX(B$2:B361,-1+SUMPRODUCT(MAX(ROW(E$2:E361)*(E362=E$2:E361)))))</f>
        <v/>
      </c>
      <c r="J362" s="33" t="str">
        <f aca="true">IF(OR(E362="",E362="!!!",F362="NEW"),"",COUNTBLANK(OFFSET(A$1,,,SUMPRODUCT(MAX(ROW(E$2:E362)*(E362=E$2:E362)))))-COUNTBLANK(OFFSET(A$1,,,SUMPRODUCT(MAX(ROW(E$1:E361)*(E2=E$1:E361))))))</f>
        <v/>
      </c>
      <c r="K362" s="33" t="str">
        <f aca="false">IF(OR(E362="",E362="!!!",F362="NEW"),"",INDEX(J$1:J361,SUMPRODUCT(MAX(ROW(E$1:E361)*(E362=E$1:E361)))))</f>
        <v/>
      </c>
      <c r="L362" s="34"/>
    </row>
    <row r="363" customFormat="false" ht="15.8" hidden="false" customHeight="false" outlineLevel="0" collapsed="false">
      <c r="A363" s="20" t="s">
        <v>197</v>
      </c>
      <c r="E363" s="29" t="str">
        <f aca="false">IF(D363="?OLD","!!!","")</f>
        <v/>
      </c>
      <c r="F363" s="30" t="str">
        <f aca="false">IF(OR(E363="",E363="!!!"),"",IF(NOT(ISNA(VLOOKUP(E363,E$1:E362,1,FALSE()))),"OLD",IF(AND(E363&lt;&gt;"",E363&lt;&gt;"!!!"),"NEW","")))</f>
        <v/>
      </c>
      <c r="G363" s="31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32" t="str">
        <f aca="false">IF(J363&lt;&gt;1,"",IF(I363="SBJ","CB","?"))</f>
        <v/>
      </c>
      <c r="I363" s="33" t="str">
        <f aca="false">IF(OR(E363="",E363="!!!",F363="NEW"),"",INDEX(B$2:B362,-1+SUMPRODUCT(MAX(ROW(E$2:E362)*(E363=E$2:E362)))))</f>
        <v/>
      </c>
      <c r="J363" s="33" t="str">
        <f aca="true">IF(OR(E363="",E363="!!!",F363="NEW"),"",COUNTBLANK(OFFSET(A$1,,,SUMPRODUCT(MAX(ROW(E$2:E363)*(E363=E$2:E363)))))-COUNTBLANK(OFFSET(A$1,,,SUMPRODUCT(MAX(ROW(E$1:E362)*(E2=E$1:E362))))))</f>
        <v/>
      </c>
      <c r="K363" s="33" t="str">
        <f aca="false">IF(OR(E363="",E363="!!!",F363="NEW"),"",INDEX(J$1:J362,SUMPRODUCT(MAX(ROW(E$1:E362)*(E363=E$1:E362)))))</f>
        <v/>
      </c>
      <c r="L363" s="34"/>
    </row>
    <row r="364" customFormat="false" ht="15.8" hidden="false" customHeight="false" outlineLevel="0" collapsed="false">
      <c r="A364" s="20" t="s">
        <v>286</v>
      </c>
      <c r="E364" s="29" t="str">
        <f aca="false">IF(D364="?OLD","!!!","")</f>
        <v/>
      </c>
      <c r="F364" s="30" t="str">
        <f aca="false">IF(OR(E364="",E364="!!!"),"",IF(NOT(ISNA(VLOOKUP(E364,E$1:E363,1,FALSE()))),"OLD",IF(AND(E364&lt;&gt;"",E364&lt;&gt;"!!!"),"NEW","")))</f>
        <v/>
      </c>
      <c r="G364" s="31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32" t="str">
        <f aca="false">IF(J364&lt;&gt;1,"",IF(I364="SBJ","CB","?"))</f>
        <v/>
      </c>
      <c r="I364" s="33" t="str">
        <f aca="false">IF(OR(E364="",E364="!!!",F364="NEW"),"",INDEX(B$2:B363,-1+SUMPRODUCT(MAX(ROW(E$2:E363)*(E364=E$2:E363)))))</f>
        <v/>
      </c>
      <c r="J364" s="33" t="str">
        <f aca="true">IF(OR(E364="",E364="!!!",F364="NEW"),"",COUNTBLANK(OFFSET(A$1,,,SUMPRODUCT(MAX(ROW(E$2:E364)*(E364=E$2:E364)))))-COUNTBLANK(OFFSET(A$1,,,SUMPRODUCT(MAX(ROW(E$1:E363)*(E2=E$1:E363))))))</f>
        <v/>
      </c>
      <c r="K364" s="33" t="str">
        <f aca="false">IF(OR(E364="",E364="!!!",F364="NEW"),"",INDEX(J$1:J363,SUMPRODUCT(MAX(ROW(E$1:E363)*(E364=E$1:E363)))))</f>
        <v/>
      </c>
      <c r="L364" s="34"/>
    </row>
    <row r="365" customFormat="false" ht="15.8" hidden="false" customHeight="false" outlineLevel="0" collapsed="false">
      <c r="A365" s="20" t="s">
        <v>199</v>
      </c>
      <c r="B365" s="21" t="s">
        <v>163</v>
      </c>
      <c r="C365" s="21" t="s">
        <v>200</v>
      </c>
      <c r="E365" s="29" t="str">
        <f aca="false">IF(D365="?OLD","!!!","")</f>
        <v/>
      </c>
      <c r="F365" s="30" t="str">
        <f aca="false">IF(OR(E365="",E365="!!!"),"",IF(NOT(ISNA(VLOOKUP(E365,E$1:E364,1,FALSE()))),"OLD",IF(AND(E365&lt;&gt;"",E365&lt;&gt;"!!!"),"NEW","")))</f>
        <v/>
      </c>
      <c r="G365" s="31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32" t="str">
        <f aca="false">IF(J365&lt;&gt;1,"",IF(I365="SBJ","CB","?"))</f>
        <v/>
      </c>
      <c r="I365" s="33" t="str">
        <f aca="false">IF(OR(E365="",E365="!!!",F365="NEW"),"",INDEX(B$2:B364,-1+SUMPRODUCT(MAX(ROW(E$2:E364)*(E365=E$2:E364)))))</f>
        <v/>
      </c>
      <c r="J365" s="33" t="str">
        <f aca="true">IF(OR(E365="",E365="!!!",F365="NEW"),"",COUNTBLANK(OFFSET(A$1,,,SUMPRODUCT(MAX(ROW(E$2:E365)*(E365=E$2:E365)))))-COUNTBLANK(OFFSET(A$1,,,SUMPRODUCT(MAX(ROW(E$1:E364)*(E2=E$1:E364))))))</f>
        <v/>
      </c>
      <c r="K365" s="33" t="str">
        <f aca="false">IF(OR(E365="",E365="!!!",F365="NEW"),"",INDEX(J$1:J364,SUMPRODUCT(MAX(ROW(E$1:E364)*(E365=E$1:E364)))))</f>
        <v/>
      </c>
      <c r="L365" s="34"/>
    </row>
    <row r="366" customFormat="false" ht="15.8" hidden="false" customHeight="false" outlineLevel="0" collapsed="false">
      <c r="A366" s="20" t="s">
        <v>193</v>
      </c>
      <c r="E366" s="29" t="str">
        <f aca="false">IF(D366="?OLD","!!!","")</f>
        <v/>
      </c>
      <c r="F366" s="30" t="str">
        <f aca="false">IF(OR(E366="",E366="!!!"),"",IF(NOT(ISNA(VLOOKUP(E366,E$1:E365,1,FALSE()))),"OLD",IF(AND(E366&lt;&gt;"",E366&lt;&gt;"!!!"),"NEW","")))</f>
        <v/>
      </c>
      <c r="G366" s="31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32" t="str">
        <f aca="false">IF(J366&lt;&gt;1,"",IF(I366="SBJ","CB","?"))</f>
        <v/>
      </c>
      <c r="I366" s="33" t="str">
        <f aca="false">IF(OR(E366="",E366="!!!",F366="NEW"),"",INDEX(B$2:B365,-1+SUMPRODUCT(MAX(ROW(E$2:E365)*(E366=E$2:E365)))))</f>
        <v/>
      </c>
      <c r="J366" s="33" t="str">
        <f aca="true">IF(OR(E366="",E366="!!!",F366="NEW"),"",COUNTBLANK(OFFSET(A$1,,,SUMPRODUCT(MAX(ROW(E$2:E366)*(E366=E$2:E366)))))-COUNTBLANK(OFFSET(A$1,,,SUMPRODUCT(MAX(ROW(E$1:E365)*(E2=E$1:E365))))))</f>
        <v/>
      </c>
      <c r="K366" s="33" t="str">
        <f aca="false">IF(OR(E366="",E366="!!!",F366="NEW"),"",INDEX(J$1:J365,SUMPRODUCT(MAX(ROW(E$1:E365)*(E366=E$1:E365)))))</f>
        <v/>
      </c>
      <c r="L366" s="34"/>
    </row>
    <row r="367" customFormat="false" ht="15.8" hidden="false" customHeight="false" outlineLevel="0" collapsed="false">
      <c r="A367" s="20" t="s">
        <v>201</v>
      </c>
      <c r="E367" s="29" t="str">
        <f aca="false">IF(D367="?OLD","!!!","")</f>
        <v/>
      </c>
      <c r="F367" s="30" t="str">
        <f aca="false">IF(OR(E367="",E367="!!!"),"",IF(NOT(ISNA(VLOOKUP(E367,E$1:E366,1,FALSE()))),"OLD",IF(AND(E367&lt;&gt;"",E367&lt;&gt;"!!!"),"NEW","")))</f>
        <v/>
      </c>
      <c r="G367" s="31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32" t="str">
        <f aca="false">IF(J367&lt;&gt;1,"",IF(I367="SBJ","CB","?"))</f>
        <v/>
      </c>
      <c r="I367" s="33" t="str">
        <f aca="false">IF(OR(E367="",E367="!!!",F367="NEW"),"",INDEX(B$2:B366,-1+SUMPRODUCT(MAX(ROW(E$2:E366)*(E367=E$2:E366)))))</f>
        <v/>
      </c>
      <c r="J367" s="33" t="str">
        <f aca="true">IF(OR(E367="",E367="!!!",F367="NEW"),"",COUNTBLANK(OFFSET(A$1,,,SUMPRODUCT(MAX(ROW(E$2:E367)*(E367=E$2:E367)))))-COUNTBLANK(OFFSET(A$1,,,SUMPRODUCT(MAX(ROW(E$1:E366)*(E2=E$1:E366))))))</f>
        <v/>
      </c>
      <c r="K367" s="33" t="str">
        <f aca="false">IF(OR(E367="",E367="!!!",F367="NEW"),"",INDEX(J$1:J366,SUMPRODUCT(MAX(ROW(E$1:E366)*(E367=E$1:E366)))))</f>
        <v/>
      </c>
      <c r="L367" s="34"/>
    </row>
    <row r="368" customFormat="false" ht="15.8" hidden="false" customHeight="false" outlineLevel="0" collapsed="false">
      <c r="A368" s="20" t="s">
        <v>287</v>
      </c>
      <c r="B368" s="21" t="s">
        <v>174</v>
      </c>
      <c r="C368" s="21" t="s">
        <v>160</v>
      </c>
      <c r="D368" s="21" t="s">
        <v>148</v>
      </c>
      <c r="E368" s="29" t="str">
        <f aca="false">IF(D368="?OLD","!!!","")</f>
        <v>!!!</v>
      </c>
      <c r="F368" s="30" t="str">
        <f aca="false">IF(OR(E368="",E368="!!!"),"",IF(NOT(ISNA(VLOOKUP(E368,E$1:E367,1,FALSE()))),"OLD",IF(AND(E368&lt;&gt;"",E368&lt;&gt;"!!!"),"NEW","")))</f>
        <v/>
      </c>
      <c r="G368" s="31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32" t="str">
        <f aca="false">IF(J368&lt;&gt;1,"",IF(I368="SBJ","CB","?"))</f>
        <v/>
      </c>
      <c r="I368" s="33" t="str">
        <f aca="false">IF(OR(E368="",E368="!!!",F368="NEW"),"",INDEX(B$2:B367,-1+SUMPRODUCT(MAX(ROW(E$2:E367)*(E368=E$2:E367)))))</f>
        <v/>
      </c>
      <c r="J368" s="33" t="str">
        <f aca="true">IF(OR(E368="",E368="!!!",F368="NEW"),"",COUNTBLANK(OFFSET(A$1,,,SUMPRODUCT(MAX(ROW(E$2:E368)*(E368=E$2:E368)))))-COUNTBLANK(OFFSET(A$1,,,SUMPRODUCT(MAX(ROW(E$1:E367)*(E2=E$1:E367))))))</f>
        <v/>
      </c>
      <c r="K368" s="33" t="str">
        <f aca="false">IF(OR(E368="",E368="!!!",F368="NEW"),"",INDEX(J$1:J367,SUMPRODUCT(MAX(ROW(E$1:E367)*(E368=E$1:E367)))))</f>
        <v/>
      </c>
      <c r="L368" s="34"/>
    </row>
    <row r="369" customFormat="false" ht="15.8" hidden="false" customHeight="false" outlineLevel="0" collapsed="false">
      <c r="A369" s="20"/>
    </row>
    <row r="370" customFormat="false" ht="15.8" hidden="false" customHeight="false" outlineLevel="0" collapsed="false">
      <c r="A370" s="20" t="s">
        <v>288</v>
      </c>
    </row>
    <row r="371" customFormat="false" ht="15.8" hidden="false" customHeight="false" outlineLevel="0" collapsed="false">
      <c r="A371" s="20" t="s">
        <v>271</v>
      </c>
      <c r="E371" s="29" t="str">
        <f aca="false">IF(D371="?OLD","!!!","")</f>
        <v/>
      </c>
      <c r="F371" s="30" t="str">
        <f aca="false">IF(OR(E371="",E371="!!!"),"",IF(NOT(ISNA(VLOOKUP(E371,E$1:E370,1,FALSE()))),"OLD",IF(AND(E371&lt;&gt;"",E371&lt;&gt;"!!!"),"NEW","")))</f>
        <v/>
      </c>
      <c r="G371" s="31" t="str">
        <f aca="false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32" t="str">
        <f aca="false">IF(J371&lt;&gt;1,"",IF(I371="SBJ","CB","?"))</f>
        <v/>
      </c>
      <c r="I371" s="33" t="str">
        <f aca="false">IF(OR(E371="",E371="!!!",F371="NEW"),"",INDEX(B$2:B370,-1+SUMPRODUCT(MAX(ROW(E$2:E370)*(E371=E$2:E370)))))</f>
        <v/>
      </c>
      <c r="J371" s="33" t="str">
        <f aca="true">IF(OR(E371="",E371="!!!",F371="NEW"),"",COUNTBLANK(OFFSET(A$1,,,SUMPRODUCT(MAX(ROW(E$2:E371)*(E371=E$2:E371)))))-COUNTBLANK(OFFSET(A$1,,,SUMPRODUCT(MAX(ROW(E$1:E370)*(E2=E$1:E370))))))</f>
        <v/>
      </c>
      <c r="K371" s="33" t="str">
        <f aca="false">IF(OR(E371="",E371="!!!",F371="NEW"),"",INDEX(J$1:J370,SUMPRODUCT(MAX(ROW(E$1:E370)*(E371=E$1:E370)))))</f>
        <v/>
      </c>
      <c r="L371" s="34"/>
    </row>
    <row r="372" customFormat="false" ht="15.8" hidden="false" customHeight="false" outlineLevel="0" collapsed="false">
      <c r="A372" s="20" t="s">
        <v>176</v>
      </c>
      <c r="E372" s="29" t="str">
        <f aca="false">IF(D372="?OLD","!!!","")</f>
        <v/>
      </c>
      <c r="F372" s="30" t="str">
        <f aca="false">IF(OR(E372="",E372="!!!"),"",IF(NOT(ISNA(VLOOKUP(E372,E$1:E371,1,FALSE()))),"OLD",IF(AND(E372&lt;&gt;"",E372&lt;&gt;"!!!"),"NEW","")))</f>
        <v/>
      </c>
      <c r="G372" s="31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32" t="str">
        <f aca="false">IF(J372&lt;&gt;1,"",IF(I372="SBJ","CB","?"))</f>
        <v/>
      </c>
      <c r="I372" s="33" t="str">
        <f aca="false">IF(OR(E372="",E372="!!!",F372="NEW"),"",INDEX(B$2:B371,-1+SUMPRODUCT(MAX(ROW(E$2:E371)*(E372=E$2:E371)))))</f>
        <v/>
      </c>
      <c r="J372" s="33" t="str">
        <f aca="true">IF(OR(E372="",E372="!!!",F372="NEW"),"",COUNTBLANK(OFFSET(A$1,,,SUMPRODUCT(MAX(ROW(E$2:E372)*(E372=E$2:E372)))))-COUNTBLANK(OFFSET(A$1,,,SUMPRODUCT(MAX(ROW(E$1:E371)*(E2=E$1:E371))))))</f>
        <v/>
      </c>
      <c r="K372" s="33" t="str">
        <f aca="false">IF(OR(E372="",E372="!!!",F372="NEW"),"",INDEX(J$1:J371,SUMPRODUCT(MAX(ROW(E$1:E371)*(E372=E$1:E371)))))</f>
        <v/>
      </c>
      <c r="L372" s="34"/>
    </row>
    <row r="373" customFormat="false" ht="15.8" hidden="false" customHeight="false" outlineLevel="0" collapsed="false">
      <c r="A373" s="20" t="s">
        <v>234</v>
      </c>
      <c r="E373" s="29" t="str">
        <f aca="false">IF(D373="?OLD","!!!","")</f>
        <v/>
      </c>
      <c r="F373" s="30" t="str">
        <f aca="false">IF(OR(E373="",E373="!!!"),"",IF(NOT(ISNA(VLOOKUP(E373,E$1:E372,1,FALSE()))),"OLD",IF(AND(E373&lt;&gt;"",E373&lt;&gt;"!!!"),"NEW","")))</f>
        <v/>
      </c>
      <c r="G373" s="31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32" t="str">
        <f aca="false">IF(J373&lt;&gt;1,"",IF(I373="SBJ","CB","?"))</f>
        <v/>
      </c>
      <c r="I373" s="33" t="str">
        <f aca="false">IF(OR(E373="",E373="!!!",F373="NEW"),"",INDEX(B$2:B372,-1+SUMPRODUCT(MAX(ROW(E$2:E372)*(E373=E$2:E372)))))</f>
        <v/>
      </c>
      <c r="J373" s="33" t="str">
        <f aca="true">IF(OR(E373="",E373="!!!",F373="NEW"),"",COUNTBLANK(OFFSET(A$1,,,SUMPRODUCT(MAX(ROW(E$2:E373)*(E373=E$2:E373)))))-COUNTBLANK(OFFSET(A$1,,,SUMPRODUCT(MAX(ROW(E$1:E372)*(E2=E$1:E372))))))</f>
        <v/>
      </c>
      <c r="K373" s="33" t="str">
        <f aca="false">IF(OR(E373="",E373="!!!",F373="NEW"),"",INDEX(J$1:J372,SUMPRODUCT(MAX(ROW(E$1:E372)*(E373=E$1:E372)))))</f>
        <v/>
      </c>
      <c r="L373" s="34"/>
    </row>
    <row r="374" customFormat="false" ht="15.8" hidden="false" customHeight="false" outlineLevel="0" collapsed="false">
      <c r="A374" s="20" t="s">
        <v>214</v>
      </c>
      <c r="E374" s="29" t="str">
        <f aca="false">IF(D374="?OLD","!!!","")</f>
        <v/>
      </c>
      <c r="F374" s="30" t="str">
        <f aca="false">IF(OR(E374="",E374="!!!"),"",IF(NOT(ISNA(VLOOKUP(E374,E$1:E373,1,FALSE()))),"OLD",IF(AND(E374&lt;&gt;"",E374&lt;&gt;"!!!"),"NEW","")))</f>
        <v/>
      </c>
      <c r="G374" s="31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32" t="str">
        <f aca="false">IF(J374&lt;&gt;1,"",IF(I374="SBJ","CB","?"))</f>
        <v/>
      </c>
      <c r="I374" s="33" t="str">
        <f aca="false">IF(OR(E374="",E374="!!!",F374="NEW"),"",INDEX(B$2:B373,-1+SUMPRODUCT(MAX(ROW(E$2:E373)*(E374=E$2:E373)))))</f>
        <v/>
      </c>
      <c r="J374" s="33" t="str">
        <f aca="true">IF(OR(E374="",E374="!!!",F374="NEW"),"",COUNTBLANK(OFFSET(A$1,,,SUMPRODUCT(MAX(ROW(E$2:E374)*(E374=E$2:E374)))))-COUNTBLANK(OFFSET(A$1,,,SUMPRODUCT(MAX(ROW(E$1:E373)*(E2=E$1:E373))))))</f>
        <v/>
      </c>
      <c r="K374" s="33" t="str">
        <f aca="false">IF(OR(E374="",E374="!!!",F374="NEW"),"",INDEX(J$1:J373,SUMPRODUCT(MAX(ROW(E$1:E373)*(E374=E$1:E373)))))</f>
        <v/>
      </c>
      <c r="L374" s="34"/>
    </row>
    <row r="375" customFormat="false" ht="15.8" hidden="false" customHeight="false" outlineLevel="0" collapsed="false">
      <c r="A375" s="20" t="s">
        <v>215</v>
      </c>
      <c r="E375" s="29" t="str">
        <f aca="false">IF(D375="?OLD","!!!","")</f>
        <v/>
      </c>
      <c r="F375" s="30" t="str">
        <f aca="false">IF(OR(E375="",E375="!!!"),"",IF(NOT(ISNA(VLOOKUP(E375,E$1:E374,1,FALSE()))),"OLD",IF(AND(E375&lt;&gt;"",E375&lt;&gt;"!!!"),"NEW","")))</f>
        <v/>
      </c>
      <c r="G375" s="31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32" t="str">
        <f aca="false">IF(J375&lt;&gt;1,"",IF(I375="SBJ","CB","?"))</f>
        <v/>
      </c>
      <c r="I375" s="33" t="str">
        <f aca="false">IF(OR(E375="",E375="!!!",F375="NEW"),"",INDEX(B$2:B374,-1+SUMPRODUCT(MAX(ROW(E$2:E374)*(E375=E$2:E374)))))</f>
        <v/>
      </c>
      <c r="J375" s="33" t="str">
        <f aca="true">IF(OR(E375="",E375="!!!",F375="NEW"),"",COUNTBLANK(OFFSET(A$1,,,SUMPRODUCT(MAX(ROW(E$2:E375)*(E375=E$2:E375)))))-COUNTBLANK(OFFSET(A$1,,,SUMPRODUCT(MAX(ROW(E$1:E374)*(E2=E$1:E374))))))</f>
        <v/>
      </c>
      <c r="K375" s="33" t="str">
        <f aca="false">IF(OR(E375="",E375="!!!",F375="NEW"),"",INDEX(J$1:J374,SUMPRODUCT(MAX(ROW(E$1:E374)*(E375=E$1:E374)))))</f>
        <v/>
      </c>
      <c r="L375" s="34"/>
    </row>
    <row r="376" customFormat="false" ht="15.8" hidden="false" customHeight="false" outlineLevel="0" collapsed="false">
      <c r="A376" s="20" t="s">
        <v>287</v>
      </c>
      <c r="B376" s="21" t="s">
        <v>174</v>
      </c>
      <c r="C376" s="21" t="s">
        <v>160</v>
      </c>
      <c r="D376" s="21" t="s">
        <v>148</v>
      </c>
      <c r="E376" s="29" t="str">
        <f aca="false">IF(D376="?OLD","!!!","")</f>
        <v>!!!</v>
      </c>
      <c r="F376" s="30" t="str">
        <f aca="false">IF(OR(E376="",E376="!!!"),"",IF(NOT(ISNA(VLOOKUP(E376,E$1:E375,1,FALSE()))),"OLD",IF(AND(E376&lt;&gt;"",E376&lt;&gt;"!!!"),"NEW","")))</f>
        <v/>
      </c>
      <c r="G376" s="31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32" t="str">
        <f aca="false">IF(J376&lt;&gt;1,"",IF(I376="SBJ","CB","?"))</f>
        <v/>
      </c>
      <c r="I376" s="33" t="str">
        <f aca="false">IF(OR(E376="",E376="!!!",F376="NEW"),"",INDEX(B$2:B375,-1+SUMPRODUCT(MAX(ROW(E$2:E375)*(E376=E$2:E375)))))</f>
        <v/>
      </c>
      <c r="J376" s="33" t="str">
        <f aca="true">IF(OR(E376="",E376="!!!",F376="NEW"),"",COUNTBLANK(OFFSET(A$1,,,SUMPRODUCT(MAX(ROW(E$2:E376)*(E376=E$2:E376)))))-COUNTBLANK(OFFSET(A$1,,,SUMPRODUCT(MAX(ROW(E$1:E375)*(E2=E$1:E375))))))</f>
        <v/>
      </c>
      <c r="K376" s="33" t="str">
        <f aca="false">IF(OR(E376="",E376="!!!",F376="NEW"),"",INDEX(J$1:J375,SUMPRODUCT(MAX(ROW(E$1:E375)*(E376=E$1:E375)))))</f>
        <v/>
      </c>
      <c r="L376" s="34"/>
    </row>
    <row r="377" customFormat="false" ht="15.8" hidden="false" customHeight="false" outlineLevel="0" collapsed="false">
      <c r="A377" s="20" t="s">
        <v>176</v>
      </c>
      <c r="E377" s="29" t="str">
        <f aca="false">IF(D377="?OLD","!!!","")</f>
        <v/>
      </c>
      <c r="F377" s="30" t="str">
        <f aca="false">IF(OR(E377="",E377="!!!"),"",IF(NOT(ISNA(VLOOKUP(E377,E$1:E376,1,FALSE()))),"OLD",IF(AND(E377&lt;&gt;"",E377&lt;&gt;"!!!"),"NEW","")))</f>
        <v/>
      </c>
      <c r="G377" s="31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32" t="str">
        <f aca="false">IF(J377&lt;&gt;1,"",IF(I377="SBJ","CB","?"))</f>
        <v/>
      </c>
      <c r="I377" s="33" t="str">
        <f aca="false">IF(OR(E377="",E377="!!!",F377="NEW"),"",INDEX(B$2:B376,-1+SUMPRODUCT(MAX(ROW(E$2:E376)*(E377=E$2:E376)))))</f>
        <v/>
      </c>
      <c r="J377" s="33" t="str">
        <f aca="true">IF(OR(E377="",E377="!!!",F377="NEW"),"",COUNTBLANK(OFFSET(A$1,,,SUMPRODUCT(MAX(ROW(E$2:E377)*(E377=E$2:E377)))))-COUNTBLANK(OFFSET(A$1,,,SUMPRODUCT(MAX(ROW(E$1:E376)*(E2=E$1:E376))))))</f>
        <v/>
      </c>
      <c r="K377" s="33" t="str">
        <f aca="false">IF(OR(E377="",E377="!!!",F377="NEW"),"",INDEX(J$1:J376,SUMPRODUCT(MAX(ROW(E$1:E376)*(E377=E$1:E376)))))</f>
        <v/>
      </c>
      <c r="L377" s="34"/>
    </row>
    <row r="378" customFormat="false" ht="15.8" hidden="false" customHeight="false" outlineLevel="0" collapsed="false">
      <c r="A378" s="20" t="s">
        <v>216</v>
      </c>
      <c r="E378" s="29" t="str">
        <f aca="false">IF(D378="?OLD","!!!","")</f>
        <v/>
      </c>
      <c r="F378" s="30" t="str">
        <f aca="false">IF(OR(E378="",E378="!!!"),"",IF(NOT(ISNA(VLOOKUP(E378,E$1:E377,1,FALSE()))),"OLD",IF(AND(E378&lt;&gt;"",E378&lt;&gt;"!!!"),"NEW","")))</f>
        <v/>
      </c>
      <c r="G378" s="31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32" t="str">
        <f aca="false">IF(J378&lt;&gt;1,"",IF(I378="SBJ","CB","?"))</f>
        <v/>
      </c>
      <c r="I378" s="33" t="str">
        <f aca="false">IF(OR(E378="",E378="!!!",F378="NEW"),"",INDEX(B$2:B377,-1+SUMPRODUCT(MAX(ROW(E$2:E377)*(E378=E$2:E377)))))</f>
        <v/>
      </c>
      <c r="J378" s="33" t="str">
        <f aca="true">IF(OR(E378="",E378="!!!",F378="NEW"),"",COUNTBLANK(OFFSET(A$1,,,SUMPRODUCT(MAX(ROW(E$2:E378)*(E378=E$2:E378)))))-COUNTBLANK(OFFSET(A$1,,,SUMPRODUCT(MAX(ROW(E$1:E377)*(E2=E$1:E377))))))</f>
        <v/>
      </c>
      <c r="K378" s="33" t="str">
        <f aca="false">IF(OR(E378="",E378="!!!",F378="NEW"),"",INDEX(J$1:J377,SUMPRODUCT(MAX(ROW(E$1:E377)*(E378=E$1:E377)))))</f>
        <v/>
      </c>
      <c r="L378" s="34"/>
    </row>
    <row r="379" customFormat="false" ht="15.8" hidden="false" customHeight="false" outlineLevel="0" collapsed="false">
      <c r="A379" s="20" t="s">
        <v>217</v>
      </c>
      <c r="E379" s="29" t="str">
        <f aca="false">IF(D379="?OLD","!!!","")</f>
        <v/>
      </c>
      <c r="F379" s="30" t="str">
        <f aca="false">IF(OR(E379="",E379="!!!"),"",IF(NOT(ISNA(VLOOKUP(E379,E$1:E378,1,FALSE()))),"OLD",IF(AND(E379&lt;&gt;"",E379&lt;&gt;"!!!"),"NEW","")))</f>
        <v/>
      </c>
      <c r="G379" s="31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32" t="str">
        <f aca="false">IF(J379&lt;&gt;1,"",IF(I379="SBJ","CB","?"))</f>
        <v/>
      </c>
      <c r="I379" s="33" t="str">
        <f aca="false">IF(OR(E379="",E379="!!!",F379="NEW"),"",INDEX(B$2:B378,-1+SUMPRODUCT(MAX(ROW(E$2:E378)*(E379=E$2:E378)))))</f>
        <v/>
      </c>
      <c r="J379" s="33" t="str">
        <f aca="true">IF(OR(E379="",E379="!!!",F379="NEW"),"",COUNTBLANK(OFFSET(A$1,,,SUMPRODUCT(MAX(ROW(E$2:E379)*(E379=E$2:E379)))))-COUNTBLANK(OFFSET(A$1,,,SUMPRODUCT(MAX(ROW(E$1:E378)*(E2=E$1:E378))))))</f>
        <v/>
      </c>
      <c r="K379" s="33" t="str">
        <f aca="false">IF(OR(E379="",E379="!!!",F379="NEW"),"",INDEX(J$1:J378,SUMPRODUCT(MAX(ROW(E$1:E378)*(E379=E$1:E378)))))</f>
        <v/>
      </c>
      <c r="L379" s="34"/>
    </row>
    <row r="380" customFormat="false" ht="15.8" hidden="false" customHeight="false" outlineLevel="0" collapsed="false">
      <c r="A380" s="20" t="s">
        <v>289</v>
      </c>
      <c r="E380" s="29" t="str">
        <f aca="false">IF(D380="?OLD","!!!","")</f>
        <v/>
      </c>
      <c r="F380" s="30" t="str">
        <f aca="false">IF(OR(E380="",E380="!!!"),"",IF(NOT(ISNA(VLOOKUP(E380,E$1:E379,1,FALSE()))),"OLD",IF(AND(E380&lt;&gt;"",E380&lt;&gt;"!!!"),"NEW","")))</f>
        <v/>
      </c>
      <c r="G380" s="31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32" t="str">
        <f aca="false">IF(J380&lt;&gt;1,"",IF(I380="SBJ","CB","?"))</f>
        <v/>
      </c>
      <c r="I380" s="33" t="str">
        <f aca="false">IF(OR(E380="",E380="!!!",F380="NEW"),"",INDEX(B$2:B379,-1+SUMPRODUCT(MAX(ROW(E$2:E379)*(E380=E$2:E379)))))</f>
        <v/>
      </c>
      <c r="J380" s="33" t="str">
        <f aca="true">IF(OR(E380="",E380="!!!",F380="NEW"),"",COUNTBLANK(OFFSET(A$1,,,SUMPRODUCT(MAX(ROW(E$2:E380)*(E380=E$2:E380)))))-COUNTBLANK(OFFSET(A$1,,,SUMPRODUCT(MAX(ROW(E$1:E379)*(E2=E$1:E379))))))</f>
        <v/>
      </c>
      <c r="K380" s="33" t="str">
        <f aca="false">IF(OR(E380="",E380="!!!",F380="NEW"),"",INDEX(J$1:J379,SUMPRODUCT(MAX(ROW(E$1:E379)*(E380=E$1:E379)))))</f>
        <v/>
      </c>
      <c r="L380" s="34"/>
    </row>
    <row r="381" customFormat="false" ht="15.8" hidden="false" customHeight="false" outlineLevel="0" collapsed="false">
      <c r="A381" s="20" t="s">
        <v>199</v>
      </c>
      <c r="B381" s="21" t="s">
        <v>153</v>
      </c>
      <c r="C381" s="21" t="s">
        <v>200</v>
      </c>
      <c r="E381" s="29" t="str">
        <f aca="false">IF(D381="?OLD","!!!","")</f>
        <v/>
      </c>
      <c r="F381" s="30" t="str">
        <f aca="false">IF(OR(E381="",E381="!!!"),"",IF(NOT(ISNA(VLOOKUP(E381,E$1:E380,1,FALSE()))),"OLD",IF(AND(E381&lt;&gt;"",E381&lt;&gt;"!!!"),"NEW","")))</f>
        <v/>
      </c>
      <c r="G381" s="31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32" t="str">
        <f aca="false">IF(J381&lt;&gt;1,"",IF(I381="SBJ","CB","?"))</f>
        <v/>
      </c>
      <c r="I381" s="33" t="str">
        <f aca="false">IF(OR(E381="",E381="!!!",F381="NEW"),"",INDEX(B$2:B380,-1+SUMPRODUCT(MAX(ROW(E$2:E380)*(E381=E$2:E380)))))</f>
        <v/>
      </c>
      <c r="J381" s="33" t="str">
        <f aca="true">IF(OR(E381="",E381="!!!",F381="NEW"),"",COUNTBLANK(OFFSET(A$1,,,SUMPRODUCT(MAX(ROW(E$2:E381)*(E381=E$2:E381)))))-COUNTBLANK(OFFSET(A$1,,,SUMPRODUCT(MAX(ROW(E$1:E380)*(E2=E$1:E380))))))</f>
        <v/>
      </c>
      <c r="K381" s="33" t="str">
        <f aca="false">IF(OR(E381="",E381="!!!",F381="NEW"),"",INDEX(J$1:J380,SUMPRODUCT(MAX(ROW(E$1:E380)*(E381=E$1:E380)))))</f>
        <v/>
      </c>
      <c r="L381" s="34"/>
    </row>
    <row r="382" customFormat="false" ht="15.8" hidden="false" customHeight="false" outlineLevel="0" collapsed="false">
      <c r="A382" s="20" t="s">
        <v>187</v>
      </c>
      <c r="E382" s="29" t="str">
        <f aca="false">IF(D382="?OLD","!!!","")</f>
        <v/>
      </c>
      <c r="F382" s="30" t="str">
        <f aca="false">IF(OR(E382="",E382="!!!"),"",IF(NOT(ISNA(VLOOKUP(E382,E$1:E381,1,FALSE()))),"OLD",IF(AND(E382&lt;&gt;"",E382&lt;&gt;"!!!"),"NEW","")))</f>
        <v/>
      </c>
      <c r="G382" s="31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32" t="str">
        <f aca="false">IF(J382&lt;&gt;1,"",IF(I382="SBJ","CB","?"))</f>
        <v/>
      </c>
      <c r="I382" s="33" t="str">
        <f aca="false">IF(OR(E382="",E382="!!!",F382="NEW"),"",INDEX(B$2:B381,-1+SUMPRODUCT(MAX(ROW(E$2:E381)*(E382=E$2:E381)))))</f>
        <v/>
      </c>
      <c r="J382" s="33" t="str">
        <f aca="true">IF(OR(E382="",E382="!!!",F382="NEW"),"",COUNTBLANK(OFFSET(A$1,,,SUMPRODUCT(MAX(ROW(E$2:E382)*(E382=E$2:E382)))))-COUNTBLANK(OFFSET(A$1,,,SUMPRODUCT(MAX(ROW(E$1:E381)*(E2=E$1:E381))))))</f>
        <v/>
      </c>
      <c r="K382" s="33" t="str">
        <f aca="false">IF(OR(E382="",E382="!!!",F382="NEW"),"",INDEX(J$1:J381,SUMPRODUCT(MAX(ROW(E$1:E381)*(E382=E$1:E381)))))</f>
        <v/>
      </c>
      <c r="L382" s="34"/>
    </row>
    <row r="383" customFormat="false" ht="15.8" hidden="false" customHeight="false" outlineLevel="0" collapsed="false">
      <c r="A383" s="20" t="s">
        <v>201</v>
      </c>
      <c r="E383" s="29" t="str">
        <f aca="false">IF(D383="?OLD","!!!","")</f>
        <v/>
      </c>
      <c r="F383" s="30" t="str">
        <f aca="false">IF(OR(E383="",E383="!!!"),"",IF(NOT(ISNA(VLOOKUP(E383,E$1:E382,1,FALSE()))),"OLD",IF(AND(E383&lt;&gt;"",E383&lt;&gt;"!!!"),"NEW","")))</f>
        <v/>
      </c>
      <c r="G383" s="31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32" t="str">
        <f aca="false">IF(J383&lt;&gt;1,"",IF(I383="SBJ","CB","?"))</f>
        <v/>
      </c>
      <c r="I383" s="33" t="str">
        <f aca="false">IF(OR(E383="",E383="!!!",F383="NEW"),"",INDEX(B$2:B382,-1+SUMPRODUCT(MAX(ROW(E$2:E382)*(E383=E$2:E382)))))</f>
        <v/>
      </c>
      <c r="J383" s="33" t="str">
        <f aca="true">IF(OR(E383="",E383="!!!",F383="NEW"),"",COUNTBLANK(OFFSET(A$1,,,SUMPRODUCT(MAX(ROW(E$2:E383)*(E383=E$2:E383)))))-COUNTBLANK(OFFSET(A$1,,,SUMPRODUCT(MAX(ROW(E$1:E382)*(E2=E$1:E382))))))</f>
        <v/>
      </c>
      <c r="K383" s="33" t="str">
        <f aca="false">IF(OR(E383="",E383="!!!",F383="NEW"),"",INDEX(J$1:J382,SUMPRODUCT(MAX(ROW(E$1:E382)*(E383=E$1:E382)))))</f>
        <v/>
      </c>
      <c r="L383" s="34"/>
    </row>
    <row r="384" customFormat="false" ht="15.8" hidden="false" customHeight="false" outlineLevel="0" collapsed="false">
      <c r="A384" s="20" t="s">
        <v>219</v>
      </c>
      <c r="B384" s="21" t="s">
        <v>174</v>
      </c>
      <c r="C384" s="21" t="s">
        <v>186</v>
      </c>
      <c r="E384" s="29" t="str">
        <f aca="false">IF(D384="?OLD","!!!","")</f>
        <v/>
      </c>
      <c r="F384" s="30" t="str">
        <f aca="false">IF(OR(E384="",E384="!!!"),"",IF(NOT(ISNA(VLOOKUP(E384,E$1:E383,1,FALSE()))),"OLD",IF(AND(E384&lt;&gt;"",E384&lt;&gt;"!!!"),"NEW","")))</f>
        <v/>
      </c>
      <c r="G384" s="31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32" t="str">
        <f aca="false">IF(J384&lt;&gt;1,"",IF(I384="SBJ","CB","?"))</f>
        <v/>
      </c>
      <c r="I384" s="33" t="str">
        <f aca="false">IF(OR(E384="",E384="!!!",F384="NEW"),"",INDEX(B$2:B383,-1+SUMPRODUCT(MAX(ROW(E$2:E383)*(E384=E$2:E383)))))</f>
        <v/>
      </c>
      <c r="J384" s="33" t="str">
        <f aca="true">IF(OR(E384="",E384="!!!",F384="NEW"),"",COUNTBLANK(OFFSET(A$1,,,SUMPRODUCT(MAX(ROW(E$2:E384)*(E384=E$2:E384)))))-COUNTBLANK(OFFSET(A$1,,,SUMPRODUCT(MAX(ROW(E$1:E383)*(E2=E$1:E383))))))</f>
        <v/>
      </c>
      <c r="K384" s="33" t="str">
        <f aca="false">IF(OR(E384="",E384="!!!",F384="NEW"),"",INDEX(J$1:J383,SUMPRODUCT(MAX(ROW(E$1:E383)*(E384=E$1:E383)))))</f>
        <v/>
      </c>
      <c r="L384" s="34"/>
    </row>
    <row r="385" customFormat="false" ht="15.8" hidden="false" customHeight="false" outlineLevel="0" collapsed="false">
      <c r="A385" s="20" t="s">
        <v>187</v>
      </c>
      <c r="E385" s="29" t="str">
        <f aca="false">IF(D385="?OLD","!!!","")</f>
        <v/>
      </c>
      <c r="F385" s="30" t="str">
        <f aca="false">IF(OR(E385="",E385="!!!"),"",IF(NOT(ISNA(VLOOKUP(E385,E$1:E384,1,FALSE()))),"OLD",IF(AND(E385&lt;&gt;"",E385&lt;&gt;"!!!"),"NEW","")))</f>
        <v/>
      </c>
      <c r="G385" s="31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32" t="str">
        <f aca="false">IF(J385&lt;&gt;1,"",IF(I385="SBJ","CB","?"))</f>
        <v/>
      </c>
      <c r="I385" s="33" t="str">
        <f aca="false">IF(OR(E385="",E385="!!!",F385="NEW"),"",INDEX(B$2:B384,-1+SUMPRODUCT(MAX(ROW(E$2:E384)*(E385=E$2:E384)))))</f>
        <v/>
      </c>
      <c r="J385" s="33" t="str">
        <f aca="true">IF(OR(E385="",E385="!!!",F385="NEW"),"",COUNTBLANK(OFFSET(A$1,,,SUMPRODUCT(MAX(ROW(E$2:E385)*(E385=E$2:E385)))))-COUNTBLANK(OFFSET(A$1,,,SUMPRODUCT(MAX(ROW(E$1:E384)*(E2=E$1:E384))))))</f>
        <v/>
      </c>
      <c r="K385" s="33" t="str">
        <f aca="false">IF(OR(E385="",E385="!!!",F385="NEW"),"",INDEX(J$1:J384,SUMPRODUCT(MAX(ROW(E$1:E384)*(E385=E$1:E384)))))</f>
        <v/>
      </c>
      <c r="L385" s="34"/>
    </row>
    <row r="386" customFormat="false" ht="15.8" hidden="false" customHeight="false" outlineLevel="0" collapsed="false">
      <c r="A386" s="20" t="s">
        <v>220</v>
      </c>
      <c r="B386" s="21" t="s">
        <v>170</v>
      </c>
      <c r="C386" s="21" t="s">
        <v>186</v>
      </c>
      <c r="E386" s="29" t="str">
        <f aca="false">IF(D386="?OLD","!!!","")</f>
        <v/>
      </c>
      <c r="F386" s="30" t="str">
        <f aca="false">IF(OR(E386="",E386="!!!"),"",IF(NOT(ISNA(VLOOKUP(E386,E$1:E385,1,FALSE()))),"OLD",IF(AND(E386&lt;&gt;"",E386&lt;&gt;"!!!"),"NEW","")))</f>
        <v/>
      </c>
      <c r="G386" s="31" t="str">
        <f aca="false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32" t="str">
        <f aca="false">IF(J386&lt;&gt;1,"",IF(I386="SBJ","CB","?"))</f>
        <v/>
      </c>
      <c r="I386" s="33" t="str">
        <f aca="false">IF(OR(E386="",E386="!!!",F386="NEW"),"",INDEX(B$2:B385,-1+SUMPRODUCT(MAX(ROW(E$2:E385)*(E386=E$2:E385)))))</f>
        <v/>
      </c>
      <c r="J386" s="33" t="str">
        <f aca="true">IF(OR(E386="",E386="!!!",F386="NEW"),"",COUNTBLANK(OFFSET(A$1,,,SUMPRODUCT(MAX(ROW(E$2:E386)*(E386=E$2:E386)))))-COUNTBLANK(OFFSET(A$1,,,SUMPRODUCT(MAX(ROW(E$1:E385)*(E2=E$1:E385))))))</f>
        <v/>
      </c>
      <c r="K386" s="33" t="str">
        <f aca="false">IF(OR(E386="",E386="!!!",F386="NEW"),"",INDEX(J$1:J385,SUMPRODUCT(MAX(ROW(E$1:E385)*(E386=E$1:E385)))))</f>
        <v/>
      </c>
      <c r="L386" s="34"/>
    </row>
    <row r="387" customFormat="false" ht="15.8" hidden="false" customHeight="false" outlineLevel="0" collapsed="false">
      <c r="A387" s="20"/>
    </row>
    <row r="388" customFormat="false" ht="15.8" hidden="false" customHeight="false" outlineLevel="0" collapsed="false">
      <c r="A388" s="20" t="s">
        <v>290</v>
      </c>
    </row>
    <row r="389" customFormat="false" ht="15.8" hidden="false" customHeight="false" outlineLevel="0" collapsed="false">
      <c r="A389" s="20" t="s">
        <v>222</v>
      </c>
      <c r="E389" s="29" t="str">
        <f aca="false">IF(D389="?OLD","!!!","")</f>
        <v/>
      </c>
      <c r="F389" s="30" t="str">
        <f aca="false">IF(OR(E389="",E389="!!!"),"",IF(NOT(ISNA(VLOOKUP(E389,E$1:E388,1,FALSE()))),"OLD",IF(AND(E389&lt;&gt;"",E389&lt;&gt;"!!!"),"NEW","")))</f>
        <v/>
      </c>
      <c r="G389" s="31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32" t="str">
        <f aca="false">IF(J389&lt;&gt;1,"",IF(I389="SBJ","CB","?"))</f>
        <v/>
      </c>
      <c r="I389" s="33" t="str">
        <f aca="false">IF(OR(E389="",E389="!!!",F389="NEW"),"",INDEX(B$2:B388,-1+SUMPRODUCT(MAX(ROW(E$2:E388)*(E389=E$2:E388)))))</f>
        <v/>
      </c>
      <c r="J389" s="33" t="str">
        <f aca="true">IF(OR(E389="",E389="!!!",F389="NEW"),"",COUNTBLANK(OFFSET(A$1,,,SUMPRODUCT(MAX(ROW(E$2:E389)*(E389=E$2:E389)))))-COUNTBLANK(OFFSET(A$1,,,SUMPRODUCT(MAX(ROW(E$1:E388)*(E2=E$1:E388))))))</f>
        <v/>
      </c>
      <c r="K389" s="33" t="str">
        <f aca="false">IF(OR(E389="",E389="!!!",F389="NEW"),"",INDEX(J$1:J388,SUMPRODUCT(MAX(ROW(E$1:E388)*(E389=E$1:E388)))))</f>
        <v/>
      </c>
      <c r="L389" s="34"/>
    </row>
    <row r="390" customFormat="false" ht="15.8" hidden="false" customHeight="false" outlineLevel="0" collapsed="false">
      <c r="A390" s="20" t="s">
        <v>223</v>
      </c>
      <c r="E390" s="29" t="str">
        <f aca="false">IF(D390="?OLD","!!!","")</f>
        <v/>
      </c>
      <c r="F390" s="30" t="str">
        <f aca="false">IF(OR(E390="",E390="!!!"),"",IF(NOT(ISNA(VLOOKUP(E390,E$1:E389,1,FALSE()))),"OLD",IF(AND(E390&lt;&gt;"",E390&lt;&gt;"!!!"),"NEW","")))</f>
        <v/>
      </c>
      <c r="G390" s="31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32" t="str">
        <f aca="false">IF(J390&lt;&gt;1,"",IF(I390="SBJ","CB","?"))</f>
        <v/>
      </c>
      <c r="I390" s="33" t="str">
        <f aca="false">IF(OR(E390="",E390="!!!",F390="NEW"),"",INDEX(B$2:B389,-1+SUMPRODUCT(MAX(ROW(E$2:E389)*(E390=E$2:E389)))))</f>
        <v/>
      </c>
      <c r="J390" s="33" t="str">
        <f aca="true">IF(OR(E390="",E390="!!!",F390="NEW"),"",COUNTBLANK(OFFSET(A$1,,,SUMPRODUCT(MAX(ROW(E$2:E390)*(E390=E$2:E390)))))-COUNTBLANK(OFFSET(A$1,,,SUMPRODUCT(MAX(ROW(E$1:E389)*(E2=E$1:E389))))))</f>
        <v/>
      </c>
      <c r="K390" s="33" t="str">
        <f aca="false">IF(OR(E390="",E390="!!!",F390="NEW"),"",INDEX(J$1:J389,SUMPRODUCT(MAX(ROW(E$1:E389)*(E390=E$1:E389)))))</f>
        <v/>
      </c>
      <c r="L390" s="34"/>
    </row>
    <row r="391" customFormat="false" ht="15.8" hidden="false" customHeight="false" outlineLevel="0" collapsed="false">
      <c r="A391" s="20" t="s">
        <v>224</v>
      </c>
      <c r="B391" s="21" t="s">
        <v>168</v>
      </c>
      <c r="C391" s="21" t="s">
        <v>154</v>
      </c>
      <c r="D391" s="21" t="s">
        <v>148</v>
      </c>
      <c r="E391" s="29" t="str">
        <f aca="false">IF(D391="?OLD","!!!","")</f>
        <v>!!!</v>
      </c>
      <c r="F391" s="30" t="str">
        <f aca="false">IF(OR(E391="",E391="!!!"),"",IF(NOT(ISNA(VLOOKUP(E391,E$1:E390,1,FALSE()))),"OLD",IF(AND(E391&lt;&gt;"",E391&lt;&gt;"!!!"),"NEW","")))</f>
        <v/>
      </c>
      <c r="G391" s="31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32" t="str">
        <f aca="false">IF(J391&lt;&gt;1,"",IF(I391="SBJ","CB","?"))</f>
        <v/>
      </c>
      <c r="I391" s="33" t="str">
        <f aca="false">IF(OR(E391="",E391="!!!",F391="NEW"),"",INDEX(B$2:B390,-1+SUMPRODUCT(MAX(ROW(E$2:E390)*(E391=E$2:E390)))))</f>
        <v/>
      </c>
      <c r="J391" s="33" t="str">
        <f aca="true">IF(OR(E391="",E391="!!!",F391="NEW"),"",COUNTBLANK(OFFSET(A$1,,,SUMPRODUCT(MAX(ROW(E$2:E391)*(E391=E$2:E391)))))-COUNTBLANK(OFFSET(A$1,,,SUMPRODUCT(MAX(ROW(E$1:E390)*(E2=E$1:E390))))))</f>
        <v/>
      </c>
      <c r="K391" s="33" t="str">
        <f aca="false">IF(OR(E391="",E391="!!!",F391="NEW"),"",INDEX(J$1:J390,SUMPRODUCT(MAX(ROW(E$1:E390)*(E391=E$1:E390)))))</f>
        <v/>
      </c>
      <c r="L391" s="34"/>
    </row>
    <row r="392" customFormat="false" ht="15.8" hidden="false" customHeight="false" outlineLevel="0" collapsed="false">
      <c r="A392" s="20" t="s">
        <v>155</v>
      </c>
      <c r="E392" s="29" t="str">
        <f aca="false">IF(D392="?OLD","!!!","")</f>
        <v/>
      </c>
      <c r="F392" s="30" t="str">
        <f aca="false">IF(OR(E392="",E392="!!!"),"",IF(NOT(ISNA(VLOOKUP(E392,E$1:E391,1,FALSE()))),"OLD",IF(AND(E392&lt;&gt;"",E392&lt;&gt;"!!!"),"NEW","")))</f>
        <v/>
      </c>
      <c r="G392" s="31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32" t="str">
        <f aca="false">IF(J392&lt;&gt;1,"",IF(I392="SBJ","CB","?"))</f>
        <v/>
      </c>
      <c r="I392" s="33" t="str">
        <f aca="false">IF(OR(E392="",E392="!!!",F392="NEW"),"",INDEX(B$2:B391,-1+SUMPRODUCT(MAX(ROW(E$2:E391)*(E392=E$2:E391)))))</f>
        <v/>
      </c>
      <c r="J392" s="33" t="str">
        <f aca="true">IF(OR(E392="",E392="!!!",F392="NEW"),"",COUNTBLANK(OFFSET(A$1,,,SUMPRODUCT(MAX(ROW(E$2:E392)*(E392=E$2:E392)))))-COUNTBLANK(OFFSET(A$1,,,SUMPRODUCT(MAX(ROW(E$1:E391)*(E2=E$1:E391))))))</f>
        <v/>
      </c>
      <c r="K392" s="33" t="str">
        <f aca="false">IF(OR(E392="",E392="!!!",F392="NEW"),"",INDEX(J$1:J391,SUMPRODUCT(MAX(ROW(E$1:E391)*(E392=E$1:E391)))))</f>
        <v/>
      </c>
      <c r="L392" s="34"/>
    </row>
    <row r="393" customFormat="false" ht="15.8" hidden="false" customHeight="false" outlineLevel="0" collapsed="false">
      <c r="A393" s="20" t="s">
        <v>271</v>
      </c>
      <c r="B393" s="21" t="s">
        <v>170</v>
      </c>
      <c r="C393" s="21" t="s">
        <v>160</v>
      </c>
      <c r="D393" s="21" t="s">
        <v>148</v>
      </c>
      <c r="E393" s="29" t="str">
        <f aca="false">IF(D393="?OLD","!!!","")</f>
        <v>!!!</v>
      </c>
      <c r="F393" s="30" t="str">
        <f aca="false">IF(OR(E393="",E393="!!!"),"",IF(NOT(ISNA(VLOOKUP(E393,E$1:E392,1,FALSE()))),"OLD",IF(AND(E393&lt;&gt;"",E393&lt;&gt;"!!!"),"NEW","")))</f>
        <v/>
      </c>
      <c r="G393" s="31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32" t="str">
        <f aca="false">IF(J393&lt;&gt;1,"",IF(I393="SBJ","CB","?"))</f>
        <v/>
      </c>
      <c r="I393" s="33" t="str">
        <f aca="false">IF(OR(E393="",E393="!!!",F393="NEW"),"",INDEX(B$2:B392,-1+SUMPRODUCT(MAX(ROW(E$2:E392)*(E393=E$2:E392)))))</f>
        <v/>
      </c>
      <c r="J393" s="33" t="str">
        <f aca="true">IF(OR(E393="",E393="!!!",F393="NEW"),"",COUNTBLANK(OFFSET(A$1,,,SUMPRODUCT(MAX(ROW(E$2:E393)*(E393=E$2:E393)))))-COUNTBLANK(OFFSET(A$1,,,SUMPRODUCT(MAX(ROW(E$1:E392)*(E2=E$1:E392))))))</f>
        <v/>
      </c>
      <c r="K393" s="33" t="str">
        <f aca="false">IF(OR(E393="",E393="!!!",F393="NEW"),"",INDEX(J$1:J392,SUMPRODUCT(MAX(ROW(E$1:E392)*(E393=E$1:E392)))))</f>
        <v/>
      </c>
      <c r="L393" s="34"/>
    </row>
    <row r="394" customFormat="false" ht="15.8" hidden="false" customHeight="false" outlineLevel="0" collapsed="false">
      <c r="A394" s="20" t="s">
        <v>225</v>
      </c>
      <c r="E394" s="29" t="str">
        <f aca="false">IF(D394="?OLD","!!!","")</f>
        <v/>
      </c>
      <c r="F394" s="30" t="str">
        <f aca="false">IF(OR(E394="",E394="!!!"),"",IF(NOT(ISNA(VLOOKUP(E394,E$1:E393,1,FALSE()))),"OLD",IF(AND(E394&lt;&gt;"",E394&lt;&gt;"!!!"),"NEW","")))</f>
        <v/>
      </c>
      <c r="G394" s="31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32" t="str">
        <f aca="false">IF(J394&lt;&gt;1,"",IF(I394="SBJ","CB","?"))</f>
        <v/>
      </c>
      <c r="I394" s="33" t="str">
        <f aca="false">IF(OR(E394="",E394="!!!",F394="NEW"),"",INDEX(B$2:B393,-1+SUMPRODUCT(MAX(ROW(E$2:E393)*(E394=E$2:E393)))))</f>
        <v/>
      </c>
      <c r="J394" s="33" t="str">
        <f aca="true">IF(OR(E394="",E394="!!!",F394="NEW"),"",COUNTBLANK(OFFSET(A$1,,,SUMPRODUCT(MAX(ROW(E$2:E394)*(E394=E$2:E394)))))-COUNTBLANK(OFFSET(A$1,,,SUMPRODUCT(MAX(ROW(E$1:E393)*(E2=E$1:E393))))))</f>
        <v/>
      </c>
      <c r="K394" s="33" t="str">
        <f aca="false">IF(OR(E394="",E394="!!!",F394="NEW"),"",INDEX(J$1:J393,SUMPRODUCT(MAX(ROW(E$1:E393)*(E394=E$1:E393)))))</f>
        <v/>
      </c>
      <c r="L394" s="34"/>
    </row>
    <row r="395" customFormat="false" ht="15.8" hidden="false" customHeight="false" outlineLevel="0" collapsed="false">
      <c r="A395" s="20" t="s">
        <v>155</v>
      </c>
      <c r="E395" s="29" t="str">
        <f aca="false">IF(D395="?OLD","!!!","")</f>
        <v/>
      </c>
      <c r="F395" s="30" t="str">
        <f aca="false">IF(OR(E395="",E395="!!!"),"",IF(NOT(ISNA(VLOOKUP(E395,E$1:E394,1,FALSE()))),"OLD",IF(AND(E395&lt;&gt;"",E395&lt;&gt;"!!!"),"NEW","")))</f>
        <v/>
      </c>
      <c r="G395" s="31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32" t="str">
        <f aca="false">IF(J395&lt;&gt;1,"",IF(I395="SBJ","CB","?"))</f>
        <v/>
      </c>
      <c r="I395" s="33" t="str">
        <f aca="false">IF(OR(E395="",E395="!!!",F395="NEW"),"",INDEX(B$2:B394,-1+SUMPRODUCT(MAX(ROW(E$2:E394)*(E395=E$2:E394)))))</f>
        <v/>
      </c>
      <c r="J395" s="33" t="str">
        <f aca="true">IF(OR(E395="",E395="!!!",F395="NEW"),"",COUNTBLANK(OFFSET(A$1,,,SUMPRODUCT(MAX(ROW(E$2:E395)*(E395=E$2:E395)))))-COUNTBLANK(OFFSET(A$1,,,SUMPRODUCT(MAX(ROW(E$1:E394)*(E2=E$1:E394))))))</f>
        <v/>
      </c>
      <c r="K395" s="33" t="str">
        <f aca="false">IF(OR(E395="",E395="!!!",F395="NEW"),"",INDEX(J$1:J394,SUMPRODUCT(MAX(ROW(E$1:E394)*(E395=E$1:E394)))))</f>
        <v/>
      </c>
      <c r="L395" s="34"/>
    </row>
    <row r="396" customFormat="false" ht="15.8" hidden="false" customHeight="false" outlineLevel="0" collapsed="false">
      <c r="A396" s="20" t="s">
        <v>291</v>
      </c>
      <c r="E396" s="29" t="str">
        <f aca="false">IF(D396="?OLD","!!!","")</f>
        <v/>
      </c>
      <c r="F396" s="30" t="str">
        <f aca="false">IF(OR(E396="",E396="!!!"),"",IF(NOT(ISNA(VLOOKUP(E396,E$1:E395,1,FALSE()))),"OLD",IF(AND(E396&lt;&gt;"",E396&lt;&gt;"!!!"),"NEW","")))</f>
        <v/>
      </c>
      <c r="G396" s="31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32" t="str">
        <f aca="false">IF(J396&lt;&gt;1,"",IF(I396="SBJ","CB","?"))</f>
        <v/>
      </c>
      <c r="I396" s="33" t="str">
        <f aca="false">IF(OR(E396="",E396="!!!",F396="NEW"),"",INDEX(B$2:B395,-1+SUMPRODUCT(MAX(ROW(E$2:E395)*(E396=E$2:E395)))))</f>
        <v/>
      </c>
      <c r="J396" s="33" t="str">
        <f aca="true">IF(OR(E396="",E396="!!!",F396="NEW"),"",COUNTBLANK(OFFSET(A$1,,,SUMPRODUCT(MAX(ROW(E$2:E396)*(E396=E$2:E396)))))-COUNTBLANK(OFFSET(A$1,,,SUMPRODUCT(MAX(ROW(E$1:E395)*(E2=E$1:E395))))))</f>
        <v/>
      </c>
      <c r="K396" s="33" t="str">
        <f aca="false">IF(OR(E396="",E396="!!!",F396="NEW"),"",INDEX(J$1:J395,SUMPRODUCT(MAX(ROW(E$1:E395)*(E396=E$1:E395)))))</f>
        <v/>
      </c>
      <c r="L396" s="34"/>
    </row>
    <row r="397" customFormat="false" ht="15.8" hidden="false" customHeight="false" outlineLevel="0" collapsed="false">
      <c r="A397" s="20" t="s">
        <v>199</v>
      </c>
      <c r="B397" s="21" t="s">
        <v>153</v>
      </c>
      <c r="C397" s="21" t="s">
        <v>200</v>
      </c>
      <c r="E397" s="29" t="str">
        <f aca="false">IF(D397="?OLD","!!!","")</f>
        <v/>
      </c>
      <c r="F397" s="30" t="str">
        <f aca="false">IF(OR(E397="",E397="!!!"),"",IF(NOT(ISNA(VLOOKUP(E397,E$1:E396,1,FALSE()))),"OLD",IF(AND(E397&lt;&gt;"",E397&lt;&gt;"!!!"),"NEW","")))</f>
        <v/>
      </c>
      <c r="G397" s="31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32" t="str">
        <f aca="false">IF(J397&lt;&gt;1,"",IF(I397="SBJ","CB","?"))</f>
        <v/>
      </c>
      <c r="I397" s="33" t="str">
        <f aca="false">IF(OR(E397="",E397="!!!",F397="NEW"),"",INDEX(B$2:B396,-1+SUMPRODUCT(MAX(ROW(E$2:E396)*(E397=E$2:E396)))))</f>
        <v/>
      </c>
      <c r="J397" s="33" t="str">
        <f aca="true">IF(OR(E397="",E397="!!!",F397="NEW"),"",COUNTBLANK(OFFSET(A$1,,,SUMPRODUCT(MAX(ROW(E$2:E397)*(E397=E$2:E397)))))-COUNTBLANK(OFFSET(A$1,,,SUMPRODUCT(MAX(ROW(E$1:E396)*(E2=E$1:E396))))))</f>
        <v/>
      </c>
      <c r="K397" s="33" t="str">
        <f aca="false">IF(OR(E397="",E397="!!!",F397="NEW"),"",INDEX(J$1:J396,SUMPRODUCT(MAX(ROW(E$1:E396)*(E397=E$1:E396)))))</f>
        <v/>
      </c>
      <c r="L397" s="34"/>
    </row>
    <row r="398" customFormat="false" ht="15.8" hidden="false" customHeight="false" outlineLevel="0" collapsed="false">
      <c r="A398" s="20" t="s">
        <v>227</v>
      </c>
      <c r="E398" s="29" t="str">
        <f aca="false">IF(D398="?OLD","!!!","")</f>
        <v/>
      </c>
      <c r="F398" s="30" t="str">
        <f aca="false">IF(OR(E398="",E398="!!!"),"",IF(NOT(ISNA(VLOOKUP(E398,E$1:E397,1,FALSE()))),"OLD",IF(AND(E398&lt;&gt;"",E398&lt;&gt;"!!!"),"NEW","")))</f>
        <v/>
      </c>
      <c r="G398" s="31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32" t="str">
        <f aca="false">IF(J398&lt;&gt;1,"",IF(I398="SBJ","CB","?"))</f>
        <v/>
      </c>
      <c r="I398" s="33" t="str">
        <f aca="false">IF(OR(E398="",E398="!!!",F398="NEW"),"",INDEX(B$2:B397,-1+SUMPRODUCT(MAX(ROW(E$2:E397)*(E398=E$2:E397)))))</f>
        <v/>
      </c>
      <c r="J398" s="33" t="str">
        <f aca="true">IF(OR(E398="",E398="!!!",F398="NEW"),"",COUNTBLANK(OFFSET(A$1,,,SUMPRODUCT(MAX(ROW(E$2:E398)*(E398=E$2:E398)))))-COUNTBLANK(OFFSET(A$1,,,SUMPRODUCT(MAX(ROW(E$1:E397)*(E2=E$1:E397))))))</f>
        <v/>
      </c>
      <c r="K398" s="33" t="str">
        <f aca="false">IF(OR(E398="",E398="!!!",F398="NEW"),"",INDEX(J$1:J397,SUMPRODUCT(MAX(ROW(E$1:E397)*(E398=E$1:E397)))))</f>
        <v/>
      </c>
      <c r="L398" s="34"/>
    </row>
    <row r="399" customFormat="false" ht="15.8" hidden="false" customHeight="false" outlineLevel="0" collapsed="false">
      <c r="A399" s="20" t="s">
        <v>228</v>
      </c>
      <c r="E399" s="29" t="str">
        <f aca="false">IF(D399="?OLD","!!!","")</f>
        <v/>
      </c>
      <c r="F399" s="30" t="str">
        <f aca="false">IF(OR(E399="",E399="!!!"),"",IF(NOT(ISNA(VLOOKUP(E399,E$1:E398,1,FALSE()))),"OLD",IF(AND(E399&lt;&gt;"",E399&lt;&gt;"!!!"),"NEW","")))</f>
        <v/>
      </c>
      <c r="G399" s="31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32" t="str">
        <f aca="false">IF(J399&lt;&gt;1,"",IF(I399="SBJ","CB","?"))</f>
        <v/>
      </c>
      <c r="I399" s="33" t="str">
        <f aca="false">IF(OR(E399="",E399="!!!",F399="NEW"),"",INDEX(B$2:B398,-1+SUMPRODUCT(MAX(ROW(E$2:E398)*(E399=E$2:E398)))))</f>
        <v/>
      </c>
      <c r="J399" s="33" t="str">
        <f aca="true">IF(OR(E399="",E399="!!!",F399="NEW"),"",COUNTBLANK(OFFSET(A$1,,,SUMPRODUCT(MAX(ROW(E$2:E399)*(E399=E$2:E399)))))-COUNTBLANK(OFFSET(A$1,,,SUMPRODUCT(MAX(ROW(E$1:E398)*(E2=E$1:E398))))))</f>
        <v/>
      </c>
      <c r="K399" s="33" t="str">
        <f aca="false">IF(OR(E399="",E399="!!!",F399="NEW"),"",INDEX(J$1:J398,SUMPRODUCT(MAX(ROW(E$1:E398)*(E399=E$1:E398)))))</f>
        <v/>
      </c>
      <c r="L399" s="34"/>
    </row>
    <row r="400" customFormat="false" ht="15.8" hidden="false" customHeight="false" outlineLevel="0" collapsed="false">
      <c r="A400" s="20" t="s">
        <v>229</v>
      </c>
      <c r="E400" s="29" t="str">
        <f aca="false">IF(D400="?OLD","!!!","")</f>
        <v/>
      </c>
      <c r="F400" s="30" t="str">
        <f aca="false">IF(OR(E400="",E400="!!!"),"",IF(NOT(ISNA(VLOOKUP(E400,E$1:E399,1,FALSE()))),"OLD",IF(AND(E400&lt;&gt;"",E400&lt;&gt;"!!!"),"NEW","")))</f>
        <v/>
      </c>
      <c r="G400" s="31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32" t="str">
        <f aca="false">IF(J400&lt;&gt;1,"",IF(I400="SBJ","CB","?"))</f>
        <v/>
      </c>
      <c r="I400" s="33" t="str">
        <f aca="false">IF(OR(E400="",E400="!!!",F400="NEW"),"",INDEX(B$2:B399,-1+SUMPRODUCT(MAX(ROW(E$2:E399)*(E400=E$2:E399)))))</f>
        <v/>
      </c>
      <c r="J400" s="33" t="str">
        <f aca="true">IF(OR(E400="",E400="!!!",F400="NEW"),"",COUNTBLANK(OFFSET(A$1,,,SUMPRODUCT(MAX(ROW(E$2:E400)*(E400=E$2:E400)))))-COUNTBLANK(OFFSET(A$1,,,SUMPRODUCT(MAX(ROW(E$1:E399)*(E2=E$1:E399))))))</f>
        <v/>
      </c>
      <c r="K400" s="33" t="str">
        <f aca="false">IF(OR(E400="",E400="!!!",F400="NEW"),"",INDEX(J$1:J399,SUMPRODUCT(MAX(ROW(E$1:E399)*(E400=E$1:E399)))))</f>
        <v/>
      </c>
      <c r="L400" s="34"/>
    </row>
    <row r="401" customFormat="false" ht="15.8" hidden="false" customHeight="false" outlineLevel="0" collapsed="false">
      <c r="A401" s="20"/>
    </row>
    <row r="402" customFormat="false" ht="15.8" hidden="false" customHeight="false" outlineLevel="0" collapsed="false">
      <c r="A402" s="20" t="s">
        <v>292</v>
      </c>
    </row>
    <row r="403" customFormat="false" ht="15.8" hidden="false" customHeight="false" outlineLevel="0" collapsed="false">
      <c r="A403" s="20" t="s">
        <v>287</v>
      </c>
      <c r="B403" s="21" t="s">
        <v>146</v>
      </c>
      <c r="C403" s="21" t="s">
        <v>160</v>
      </c>
      <c r="D403" s="21" t="s">
        <v>148</v>
      </c>
      <c r="E403" s="29" t="str">
        <f aca="false">IF(D403="?OLD","!!!","")</f>
        <v>!!!</v>
      </c>
      <c r="F403" s="30" t="str">
        <f aca="false">IF(OR(E403="",E403="!!!"),"",IF(NOT(ISNA(VLOOKUP(E403,E$1:E402,1,FALSE()))),"OLD",IF(AND(E403&lt;&gt;"",E403&lt;&gt;"!!!"),"NEW","")))</f>
        <v/>
      </c>
      <c r="G403" s="31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32" t="str">
        <f aca="false">IF(J403&lt;&gt;1,"",IF(I403="SBJ","CB","?"))</f>
        <v/>
      </c>
      <c r="I403" s="33" t="str">
        <f aca="false">IF(OR(E403="",E403="!!!",F403="NEW"),"",INDEX(B$2:B402,-1+SUMPRODUCT(MAX(ROW(E$2:E402)*(E403=E$2:E402)))))</f>
        <v/>
      </c>
      <c r="J403" s="33" t="str">
        <f aca="true">IF(OR(E403="",E403="!!!",F403="NEW"),"",COUNTBLANK(OFFSET(A$1,,,SUMPRODUCT(MAX(ROW(E$2:E403)*(E403=E$2:E403)))))-COUNTBLANK(OFFSET(A$1,,,SUMPRODUCT(MAX(ROW(E$1:E402)*(E2=E$1:E402))))))</f>
        <v/>
      </c>
      <c r="K403" s="33" t="str">
        <f aca="false">IF(OR(E403="",E403="!!!",F403="NEW"),"",INDEX(J$1:J402,SUMPRODUCT(MAX(ROW(E$1:E402)*(E403=E$1:E402)))))</f>
        <v/>
      </c>
      <c r="L403" s="34"/>
    </row>
    <row r="404" customFormat="false" ht="15.8" hidden="false" customHeight="false" outlineLevel="0" collapsed="false">
      <c r="A404" s="20" t="s">
        <v>197</v>
      </c>
      <c r="E404" s="29" t="str">
        <f aca="false">IF(D404="?OLD","!!!","")</f>
        <v/>
      </c>
      <c r="F404" s="30" t="str">
        <f aca="false">IF(OR(E404="",E404="!!!"),"",IF(NOT(ISNA(VLOOKUP(E404,E$1:E403,1,FALSE()))),"OLD",IF(AND(E404&lt;&gt;"",E404&lt;&gt;"!!!"),"NEW","")))</f>
        <v/>
      </c>
      <c r="G404" s="31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32" t="str">
        <f aca="false">IF(J404&lt;&gt;1,"",IF(I404="SBJ","CB","?"))</f>
        <v/>
      </c>
      <c r="I404" s="33" t="str">
        <f aca="false">IF(OR(E404="",E404="!!!",F404="NEW"),"",INDEX(B$2:B403,-1+SUMPRODUCT(MAX(ROW(E$2:E403)*(E404=E$2:E403)))))</f>
        <v/>
      </c>
      <c r="J404" s="33" t="str">
        <f aca="true">IF(OR(E404="",E404="!!!",F404="NEW"),"",COUNTBLANK(OFFSET(A$1,,,SUMPRODUCT(MAX(ROW(E$2:E404)*(E404=E$2:E404)))))-COUNTBLANK(OFFSET(A$1,,,SUMPRODUCT(MAX(ROW(E$1:E403)*(E2=E$1:E403))))))</f>
        <v/>
      </c>
      <c r="K404" s="33" t="str">
        <f aca="false">IF(OR(E404="",E404="!!!",F404="NEW"),"",INDEX(J$1:J403,SUMPRODUCT(MAX(ROW(E$1:E403)*(E404=E$1:E403)))))</f>
        <v/>
      </c>
      <c r="L404" s="34"/>
    </row>
    <row r="405" customFormat="false" ht="15.8" hidden="false" customHeight="false" outlineLevel="0" collapsed="false">
      <c r="A405" s="20" t="s">
        <v>293</v>
      </c>
      <c r="E405" s="29" t="str">
        <f aca="false">IF(D405="?OLD","!!!","")</f>
        <v/>
      </c>
      <c r="F405" s="30" t="str">
        <f aca="false">IF(OR(E405="",E405="!!!"),"",IF(NOT(ISNA(VLOOKUP(E405,E$1:E404,1,FALSE()))),"OLD",IF(AND(E405&lt;&gt;"",E405&lt;&gt;"!!!"),"NEW","")))</f>
        <v/>
      </c>
      <c r="G405" s="31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32" t="str">
        <f aca="false">IF(J405&lt;&gt;1,"",IF(I405="SBJ","CB","?"))</f>
        <v/>
      </c>
      <c r="I405" s="33" t="str">
        <f aca="false">IF(OR(E405="",E405="!!!",F405="NEW"),"",INDEX(B$2:B404,-1+SUMPRODUCT(MAX(ROW(E$2:E404)*(E405=E$2:E404)))))</f>
        <v/>
      </c>
      <c r="J405" s="33" t="str">
        <f aca="true">IF(OR(E405="",E405="!!!",F405="NEW"),"",COUNTBLANK(OFFSET(A$1,,,SUMPRODUCT(MAX(ROW(E$2:E405)*(E405=E$2:E405)))))-COUNTBLANK(OFFSET(A$1,,,SUMPRODUCT(MAX(ROW(E$1:E404)*(E2=E$1:E404))))))</f>
        <v/>
      </c>
      <c r="K405" s="33" t="str">
        <f aca="false">IF(OR(E405="",E405="!!!",F405="NEW"),"",INDEX(J$1:J404,SUMPRODUCT(MAX(ROW(E$1:E404)*(E405=E$1:E404)))))</f>
        <v/>
      </c>
      <c r="L405" s="34"/>
    </row>
    <row r="406" customFormat="false" ht="15.8" hidden="false" customHeight="false" outlineLevel="0" collapsed="false">
      <c r="A406" s="20" t="s">
        <v>199</v>
      </c>
      <c r="B406" s="21" t="s">
        <v>163</v>
      </c>
      <c r="C406" s="21" t="s">
        <v>200</v>
      </c>
      <c r="E406" s="29" t="str">
        <f aca="false">IF(D406="?OLD","!!!","")</f>
        <v/>
      </c>
      <c r="F406" s="30" t="str">
        <f aca="false">IF(OR(E406="",E406="!!!"),"",IF(NOT(ISNA(VLOOKUP(E406,E$1:E405,1,FALSE()))),"OLD",IF(AND(E406&lt;&gt;"",E406&lt;&gt;"!!!"),"NEW","")))</f>
        <v/>
      </c>
      <c r="G406" s="31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32" t="str">
        <f aca="false">IF(J406&lt;&gt;1,"",IF(I406="SBJ","CB","?"))</f>
        <v/>
      </c>
      <c r="I406" s="33" t="str">
        <f aca="false">IF(OR(E406="",E406="!!!",F406="NEW"),"",INDEX(B$2:B405,-1+SUMPRODUCT(MAX(ROW(E$2:E405)*(E406=E$2:E405)))))</f>
        <v/>
      </c>
      <c r="J406" s="33" t="str">
        <f aca="true">IF(OR(E406="",E406="!!!",F406="NEW"),"",COUNTBLANK(OFFSET(A$1,,,SUMPRODUCT(MAX(ROW(E$2:E406)*(E406=E$2:E406)))))-COUNTBLANK(OFFSET(A$1,,,SUMPRODUCT(MAX(ROW(E$1:E405)*(E2=E$1:E405))))))</f>
        <v/>
      </c>
      <c r="K406" s="33" t="str">
        <f aca="false">IF(OR(E406="",E406="!!!",F406="NEW"),"",INDEX(J$1:J405,SUMPRODUCT(MAX(ROW(E$1:E405)*(E406=E$1:E405)))))</f>
        <v/>
      </c>
      <c r="L406" s="34"/>
    </row>
    <row r="407" customFormat="false" ht="15.8" hidden="false" customHeight="false" outlineLevel="0" collapsed="false">
      <c r="A407" s="20" t="s">
        <v>193</v>
      </c>
      <c r="E407" s="29" t="str">
        <f aca="false">IF(D407="?OLD","!!!","")</f>
        <v/>
      </c>
      <c r="F407" s="30" t="str">
        <f aca="false">IF(OR(E407="",E407="!!!"),"",IF(NOT(ISNA(VLOOKUP(E407,E$1:E406,1,FALSE()))),"OLD",IF(AND(E407&lt;&gt;"",E407&lt;&gt;"!!!"),"NEW","")))</f>
        <v/>
      </c>
      <c r="G407" s="31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32" t="str">
        <f aca="false">IF(J407&lt;&gt;1,"",IF(I407="SBJ","CB","?"))</f>
        <v/>
      </c>
      <c r="I407" s="33" t="str">
        <f aca="false">IF(OR(E407="",E407="!!!",F407="NEW"),"",INDEX(B$2:B406,-1+SUMPRODUCT(MAX(ROW(E$2:E406)*(E407=E$2:E406)))))</f>
        <v/>
      </c>
      <c r="J407" s="33" t="str">
        <f aca="true">IF(OR(E407="",E407="!!!",F407="NEW"),"",COUNTBLANK(OFFSET(A$1,,,SUMPRODUCT(MAX(ROW(E$2:E407)*(E407=E$2:E407)))))-COUNTBLANK(OFFSET(A$1,,,SUMPRODUCT(MAX(ROW(E$1:E406)*(E2=E$1:E406))))))</f>
        <v/>
      </c>
      <c r="K407" s="33" t="str">
        <f aca="false">IF(OR(E407="",E407="!!!",F407="NEW"),"",INDEX(J$1:J406,SUMPRODUCT(MAX(ROW(E$1:E406)*(E407=E$1:E406)))))</f>
        <v/>
      </c>
      <c r="L407" s="34"/>
    </row>
    <row r="408" customFormat="false" ht="15.8" hidden="false" customHeight="false" outlineLevel="0" collapsed="false">
      <c r="A408" s="20" t="s">
        <v>201</v>
      </c>
      <c r="E408" s="29" t="str">
        <f aca="false">IF(D408="?OLD","!!!","")</f>
        <v/>
      </c>
      <c r="F408" s="30" t="str">
        <f aca="false">IF(OR(E408="",E408="!!!"),"",IF(NOT(ISNA(VLOOKUP(E408,E$1:E407,1,FALSE()))),"OLD",IF(AND(E408&lt;&gt;"",E408&lt;&gt;"!!!"),"NEW","")))</f>
        <v/>
      </c>
      <c r="G408" s="31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32" t="str">
        <f aca="false">IF(J408&lt;&gt;1,"",IF(I408="SBJ","CB","?"))</f>
        <v/>
      </c>
      <c r="I408" s="33" t="str">
        <f aca="false">IF(OR(E408="",E408="!!!",F408="NEW"),"",INDEX(B$2:B407,-1+SUMPRODUCT(MAX(ROW(E$2:E407)*(E408=E$2:E407)))))</f>
        <v/>
      </c>
      <c r="J408" s="33" t="str">
        <f aca="true">IF(OR(E408="",E408="!!!",F408="NEW"),"",COUNTBLANK(OFFSET(A$1,,,SUMPRODUCT(MAX(ROW(E$2:E408)*(E408=E$2:E408)))))-COUNTBLANK(OFFSET(A$1,,,SUMPRODUCT(MAX(ROW(E$1:E407)*(E2=E$1:E407))))))</f>
        <v/>
      </c>
      <c r="K408" s="33" t="str">
        <f aca="false">IF(OR(E408="",E408="!!!",F408="NEW"),"",INDEX(J$1:J407,SUMPRODUCT(MAX(ROW(E$1:E407)*(E408=E$1:E407)))))</f>
        <v/>
      </c>
      <c r="L408" s="34"/>
    </row>
    <row r="409" customFormat="false" ht="15.8" hidden="false" customHeight="false" outlineLevel="0" collapsed="false">
      <c r="A409" s="20" t="s">
        <v>206</v>
      </c>
      <c r="E409" s="29" t="str">
        <f aca="false">IF(D409="?OLD","!!!","")</f>
        <v/>
      </c>
      <c r="F409" s="30" t="str">
        <f aca="false">IF(OR(E409="",E409="!!!"),"",IF(NOT(ISNA(VLOOKUP(E409,E$1:E408,1,FALSE()))),"OLD",IF(AND(E409&lt;&gt;"",E409&lt;&gt;"!!!"),"NEW","")))</f>
        <v/>
      </c>
      <c r="G409" s="31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32" t="str">
        <f aca="false">IF(J409&lt;&gt;1,"",IF(I409="SBJ","CB","?"))</f>
        <v/>
      </c>
      <c r="I409" s="33" t="str">
        <f aca="false">IF(OR(E409="",E409="!!!",F409="NEW"),"",INDEX(B$2:B408,-1+SUMPRODUCT(MAX(ROW(E$2:E408)*(E409=E$2:E408)))))</f>
        <v/>
      </c>
      <c r="J409" s="33" t="str">
        <f aca="true">IF(OR(E409="",E409="!!!",F409="NEW"),"",COUNTBLANK(OFFSET(A$1,,,SUMPRODUCT(MAX(ROW(E$2:E409)*(E409=E$2:E409)))))-COUNTBLANK(OFFSET(A$1,,,SUMPRODUCT(MAX(ROW(E$1:E408)*(E2=E$1:E408))))))</f>
        <v/>
      </c>
      <c r="K409" s="33" t="str">
        <f aca="false">IF(OR(E409="",E409="!!!",F409="NEW"),"",INDEX(J$1:J408,SUMPRODUCT(MAX(ROW(E$1:E408)*(E409=E$1:E408)))))</f>
        <v/>
      </c>
      <c r="L409" s="34"/>
    </row>
    <row r="410" customFormat="false" ht="15.8" hidden="false" customHeight="false" outlineLevel="0" collapsed="false">
      <c r="A410" s="20" t="s">
        <v>219</v>
      </c>
      <c r="B410" s="21" t="s">
        <v>174</v>
      </c>
      <c r="C410" s="21" t="s">
        <v>208</v>
      </c>
      <c r="E410" s="29" t="str">
        <f aca="false">IF(D410="?OLD","!!!","")</f>
        <v/>
      </c>
      <c r="F410" s="30" t="str">
        <f aca="false">IF(OR(E410="",E410="!!!"),"",IF(NOT(ISNA(VLOOKUP(E410,E$1:E409,1,FALSE()))),"OLD",IF(AND(E410&lt;&gt;"",E410&lt;&gt;"!!!"),"NEW","")))</f>
        <v/>
      </c>
      <c r="G410" s="31" t="str">
        <f aca="false"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32" t="str">
        <f aca="false">IF(J410&lt;&gt;1,"",IF(I410="SBJ","CB","?"))</f>
        <v/>
      </c>
      <c r="I410" s="33" t="str">
        <f aca="false">IF(OR(E410="",E410="!!!",F410="NEW"),"",INDEX(B$2:B409,-1+SUMPRODUCT(MAX(ROW(E$2:E409)*(E410=E$2:E409)))))</f>
        <v/>
      </c>
      <c r="J410" s="33" t="str">
        <f aca="true">IF(OR(E410="",E410="!!!",F410="NEW"),"",COUNTBLANK(OFFSET(A$1,,,SUMPRODUCT(MAX(ROW(E$2:E410)*(E410=E$2:E410)))))-COUNTBLANK(OFFSET(A$1,,,SUMPRODUCT(MAX(ROW(E$1:E409)*(E2=E$1:E409))))))</f>
        <v/>
      </c>
      <c r="K410" s="33" t="str">
        <f aca="false">IF(OR(E410="",E410="!!!",F410="NEW"),"",INDEX(J$1:J409,SUMPRODUCT(MAX(ROW(E$1:E409)*(E410=E$1:E409)))))</f>
        <v/>
      </c>
      <c r="L410" s="34"/>
    </row>
    <row r="411" customFormat="false" ht="15.8" hidden="false" customHeight="false" outlineLevel="0" collapsed="false">
      <c r="A411" s="20"/>
    </row>
    <row r="412" customFormat="false" ht="15.8" hidden="false" customHeight="false" outlineLevel="0" collapsed="false">
      <c r="A412" s="20" t="s">
        <v>294</v>
      </c>
    </row>
    <row r="413" customFormat="false" ht="15.8" hidden="false" customHeight="false" outlineLevel="0" collapsed="false">
      <c r="A413" s="20" t="s">
        <v>187</v>
      </c>
      <c r="E413" s="29" t="str">
        <f aca="false">IF(D413="?OLD","!!!","")</f>
        <v/>
      </c>
      <c r="F413" s="30" t="str">
        <f aca="false">IF(OR(E413="",E413="!!!"),"",IF(NOT(ISNA(VLOOKUP(E413,E$1:E412,1,FALSE()))),"OLD",IF(AND(E413&lt;&gt;"",E413&lt;&gt;"!!!"),"NEW","")))</f>
        <v/>
      </c>
      <c r="G413" s="31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32" t="str">
        <f aca="false">IF(J413&lt;&gt;1,"",IF(I413="SBJ","CB","?"))</f>
        <v/>
      </c>
      <c r="I413" s="33" t="str">
        <f aca="false">IF(OR(E413="",E413="!!!",F413="NEW"),"",INDEX(B$2:B412,-1+SUMPRODUCT(MAX(ROW(E$2:E412)*(E413=E$2:E412)))))</f>
        <v/>
      </c>
      <c r="J413" s="33" t="str">
        <f aca="true">IF(OR(E413="",E413="!!!",F413="NEW"),"",COUNTBLANK(OFFSET(A$1,,,SUMPRODUCT(MAX(ROW(E$2:E413)*(E413=E$2:E413)))))-COUNTBLANK(OFFSET(A$1,,,SUMPRODUCT(MAX(ROW(E$1:E412)*(E2=E$1:E412))))))</f>
        <v/>
      </c>
      <c r="K413" s="33" t="str">
        <f aca="false">IF(OR(E413="",E413="!!!",F413="NEW"),"",INDEX(J$1:J412,SUMPRODUCT(MAX(ROW(E$1:E412)*(E413=E$1:E412)))))</f>
        <v/>
      </c>
      <c r="L413" s="34"/>
    </row>
    <row r="414" customFormat="false" ht="15.8" hidden="false" customHeight="false" outlineLevel="0" collapsed="false">
      <c r="A414" s="20" t="s">
        <v>177</v>
      </c>
      <c r="B414" s="21" t="s">
        <v>163</v>
      </c>
      <c r="C414" s="21" t="s">
        <v>178</v>
      </c>
      <c r="D414" s="21" t="s">
        <v>148</v>
      </c>
      <c r="E414" s="29" t="str">
        <f aca="false">IF(D414="?OLD","!!!","")</f>
        <v>!!!</v>
      </c>
      <c r="F414" s="30" t="str">
        <f aca="false">IF(OR(E414="",E414="!!!"),"",IF(NOT(ISNA(VLOOKUP(E414,E$1:E413,1,FALSE()))),"OLD",IF(AND(E414&lt;&gt;"",E414&lt;&gt;"!!!"),"NEW","")))</f>
        <v/>
      </c>
      <c r="G414" s="31" t="str">
        <f aca="false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32" t="str">
        <f aca="false">IF(J414&lt;&gt;1,"",IF(I414="SBJ","CB","?"))</f>
        <v/>
      </c>
      <c r="I414" s="33" t="str">
        <f aca="false">IF(OR(E414="",E414="!!!",F414="NEW"),"",INDEX(B$2:B413,-1+SUMPRODUCT(MAX(ROW(E$2:E413)*(E414=E$2:E413)))))</f>
        <v/>
      </c>
      <c r="J414" s="33" t="str">
        <f aca="true">IF(OR(E414="",E414="!!!",F414="NEW"),"",COUNTBLANK(OFFSET(A$1,,,SUMPRODUCT(MAX(ROW(E$2:E414)*(E414=E$2:E414)))))-COUNTBLANK(OFFSET(A$1,,,SUMPRODUCT(MAX(ROW(E$1:E413)*(E2=E$1:E413))))))</f>
        <v/>
      </c>
      <c r="K414" s="33" t="str">
        <f aca="false">IF(OR(E414="",E414="!!!",F414="NEW"),"",INDEX(J$1:J413,SUMPRODUCT(MAX(ROW(E$1:E413)*(E414=E$1:E413)))))</f>
        <v/>
      </c>
      <c r="L414" s="34"/>
    </row>
    <row r="415" customFormat="false" ht="15.8" hidden="false" customHeight="false" outlineLevel="0" collapsed="false">
      <c r="A415" s="20" t="s">
        <v>191</v>
      </c>
      <c r="E415" s="29" t="str">
        <f aca="false">IF(D415="?OLD","!!!","")</f>
        <v/>
      </c>
      <c r="F415" s="30" t="str">
        <f aca="false">IF(OR(E415="",E415="!!!"),"",IF(NOT(ISNA(VLOOKUP(E415,E$1:E414,1,FALSE()))),"OLD",IF(AND(E415&lt;&gt;"",E415&lt;&gt;"!!!"),"NEW","")))</f>
        <v/>
      </c>
      <c r="G415" s="31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32" t="str">
        <f aca="false">IF(J415&lt;&gt;1,"",IF(I415="SBJ","CB","?"))</f>
        <v/>
      </c>
      <c r="I415" s="33" t="str">
        <f aca="false">IF(OR(E415="",E415="!!!",F415="NEW"),"",INDEX(B$2:B414,-1+SUMPRODUCT(MAX(ROW(E$2:E414)*(E415=E$2:E414)))))</f>
        <v/>
      </c>
      <c r="J415" s="33" t="str">
        <f aca="true">IF(OR(E415="",E415="!!!",F415="NEW"),"",COUNTBLANK(OFFSET(A$1,,,SUMPRODUCT(MAX(ROW(E$2:E415)*(E415=E$2:E415)))))-COUNTBLANK(OFFSET(A$1,,,SUMPRODUCT(MAX(ROW(E$1:E414)*(E2=E$1:E414))))))</f>
        <v/>
      </c>
      <c r="K415" s="33" t="str">
        <f aca="false">IF(OR(E415="",E415="!!!",F415="NEW"),"",INDEX(J$1:J414,SUMPRODUCT(MAX(ROW(E$1:E414)*(E415=E$1:E414)))))</f>
        <v/>
      </c>
      <c r="L415" s="34"/>
    </row>
    <row r="416" customFormat="false" ht="15.8" hidden="false" customHeight="false" outlineLevel="0" collapsed="false">
      <c r="A416" s="20" t="s">
        <v>295</v>
      </c>
      <c r="B416" s="21" t="s">
        <v>146</v>
      </c>
      <c r="C416" s="21" t="s">
        <v>160</v>
      </c>
      <c r="D416" s="21" t="s">
        <v>148</v>
      </c>
      <c r="E416" s="29" t="str">
        <f aca="false">IF(D416="?OLD","!!!","")</f>
        <v>!!!</v>
      </c>
      <c r="F416" s="30" t="str">
        <f aca="false">IF(OR(E416="",E416="!!!"),"",IF(NOT(ISNA(VLOOKUP(E416,E$1:E415,1,FALSE()))),"OLD",IF(AND(E416&lt;&gt;"",E416&lt;&gt;"!!!"),"NEW","")))</f>
        <v/>
      </c>
      <c r="G416" s="31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32" t="str">
        <f aca="false">IF(J416&lt;&gt;1,"",IF(I416="SBJ","CB","?"))</f>
        <v/>
      </c>
      <c r="I416" s="33" t="str">
        <f aca="false">IF(OR(E416="",E416="!!!",F416="NEW"),"",INDEX(B$2:B415,-1+SUMPRODUCT(MAX(ROW(E$2:E415)*(E416=E$2:E415)))))</f>
        <v/>
      </c>
      <c r="J416" s="33" t="str">
        <f aca="true">IF(OR(E416="",E416="!!!",F416="NEW"),"",COUNTBLANK(OFFSET(A$1,,,SUMPRODUCT(MAX(ROW(E$2:E416)*(E416=E$2:E416)))))-COUNTBLANK(OFFSET(A$1,,,SUMPRODUCT(MAX(ROW(E$1:E415)*(E2=E$1:E415))))))</f>
        <v/>
      </c>
      <c r="K416" s="33" t="str">
        <f aca="false">IF(OR(E416="",E416="!!!",F416="NEW"),"",INDEX(J$1:J415,SUMPRODUCT(MAX(ROW(E$1:E415)*(E416=E$1:E415)))))</f>
        <v/>
      </c>
      <c r="L416" s="34"/>
    </row>
    <row r="417" customFormat="false" ht="15.8" hidden="false" customHeight="false" outlineLevel="0" collapsed="false">
      <c r="A417" s="20" t="s">
        <v>176</v>
      </c>
      <c r="E417" s="29" t="str">
        <f aca="false">IF(D417="?OLD","!!!","")</f>
        <v/>
      </c>
      <c r="F417" s="30" t="str">
        <f aca="false">IF(OR(E417="",E417="!!!"),"",IF(NOT(ISNA(VLOOKUP(E417,E$1:E416,1,FALSE()))),"OLD",IF(AND(E417&lt;&gt;"",E417&lt;&gt;"!!!"),"NEW","")))</f>
        <v/>
      </c>
      <c r="G417" s="31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32" t="str">
        <f aca="false">IF(J417&lt;&gt;1,"",IF(I417="SBJ","CB","?"))</f>
        <v/>
      </c>
      <c r="I417" s="33" t="str">
        <f aca="false">IF(OR(E417="",E417="!!!",F417="NEW"),"",INDEX(B$2:B416,-1+SUMPRODUCT(MAX(ROW(E$2:E416)*(E417=E$2:E416)))))</f>
        <v/>
      </c>
      <c r="J417" s="33" t="str">
        <f aca="true">IF(OR(E417="",E417="!!!",F417="NEW"),"",COUNTBLANK(OFFSET(A$1,,,SUMPRODUCT(MAX(ROW(E$2:E417)*(E417=E$2:E417)))))-COUNTBLANK(OFFSET(A$1,,,SUMPRODUCT(MAX(ROW(E$1:E416)*(E2=E$1:E416))))))</f>
        <v/>
      </c>
      <c r="K417" s="33" t="str">
        <f aca="false">IF(OR(E417="",E417="!!!",F417="NEW"),"",INDEX(J$1:J416,SUMPRODUCT(MAX(ROW(E$1:E416)*(E417=E$1:E416)))))</f>
        <v/>
      </c>
      <c r="L417" s="34"/>
    </row>
    <row r="418" customFormat="false" ht="15.8" hidden="false" customHeight="false" outlineLevel="0" collapsed="false">
      <c r="A418" s="20" t="s">
        <v>296</v>
      </c>
      <c r="E418" s="29" t="str">
        <f aca="false">IF(D418="?OLD","!!!","")</f>
        <v/>
      </c>
      <c r="F418" s="30" t="str">
        <f aca="false">IF(OR(E418="",E418="!!!"),"",IF(NOT(ISNA(VLOOKUP(E418,E$1:E417,1,FALSE()))),"OLD",IF(AND(E418&lt;&gt;"",E418&lt;&gt;"!!!"),"NEW","")))</f>
        <v/>
      </c>
      <c r="G418" s="31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32" t="str">
        <f aca="false">IF(J418&lt;&gt;1,"",IF(I418="SBJ","CB","?"))</f>
        <v/>
      </c>
      <c r="I418" s="33" t="str">
        <f aca="false">IF(OR(E418="",E418="!!!",F418="NEW"),"",INDEX(B$2:B417,-1+SUMPRODUCT(MAX(ROW(E$2:E417)*(E418=E$2:E417)))))</f>
        <v/>
      </c>
      <c r="J418" s="33" t="str">
        <f aca="true">IF(OR(E418="",E418="!!!",F418="NEW"),"",COUNTBLANK(OFFSET(A$1,,,SUMPRODUCT(MAX(ROW(E$2:E418)*(E418=E$2:E418)))))-COUNTBLANK(OFFSET(A$1,,,SUMPRODUCT(MAX(ROW(E$1:E417)*(E2=E$1:E417))))))</f>
        <v/>
      </c>
      <c r="K418" s="33" t="str">
        <f aca="false">IF(OR(E418="",E418="!!!",F418="NEW"),"",INDEX(J$1:J417,SUMPRODUCT(MAX(ROW(E$1:E417)*(E418=E$1:E417)))))</f>
        <v/>
      </c>
      <c r="L418" s="34"/>
    </row>
    <row r="419" customFormat="false" ht="15.8" hidden="false" customHeight="false" outlineLevel="0" collapsed="false">
      <c r="A419" s="20" t="s">
        <v>297</v>
      </c>
      <c r="E419" s="29" t="str">
        <f aca="false">IF(D419="?OLD","!!!","")</f>
        <v/>
      </c>
      <c r="F419" s="30" t="str">
        <f aca="false">IF(OR(E419="",E419="!!!"),"",IF(NOT(ISNA(VLOOKUP(E419,E$1:E418,1,FALSE()))),"OLD",IF(AND(E419&lt;&gt;"",E419&lt;&gt;"!!!"),"NEW","")))</f>
        <v/>
      </c>
      <c r="G419" s="31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32" t="str">
        <f aca="false">IF(J419&lt;&gt;1,"",IF(I419="SBJ","CB","?"))</f>
        <v/>
      </c>
      <c r="I419" s="33" t="str">
        <f aca="false">IF(OR(E419="",E419="!!!",F419="NEW"),"",INDEX(B$2:B418,-1+SUMPRODUCT(MAX(ROW(E$2:E418)*(E419=E$2:E418)))))</f>
        <v/>
      </c>
      <c r="J419" s="33" t="str">
        <f aca="true">IF(OR(E419="",E419="!!!",F419="NEW"),"",COUNTBLANK(OFFSET(A$1,,,SUMPRODUCT(MAX(ROW(E$2:E419)*(E419=E$2:E419)))))-COUNTBLANK(OFFSET(A$1,,,SUMPRODUCT(MAX(ROW(E$1:E418)*(E2=E$1:E418))))))</f>
        <v/>
      </c>
      <c r="K419" s="33" t="str">
        <f aca="false">IF(OR(E419="",E419="!!!",F419="NEW"),"",INDEX(J$1:J418,SUMPRODUCT(MAX(ROW(E$1:E418)*(E419=E$1:E418)))))</f>
        <v/>
      </c>
      <c r="L419" s="34"/>
    </row>
    <row r="420" customFormat="false" ht="15.8" hidden="false" customHeight="false" outlineLevel="0" collapsed="false">
      <c r="A420" s="20"/>
    </row>
    <row r="421" customFormat="false" ht="15.8" hidden="false" customHeight="false" outlineLevel="0" collapsed="false">
      <c r="A421" s="20" t="s">
        <v>298</v>
      </c>
    </row>
    <row r="422" customFormat="false" ht="15.8" hidden="false" customHeight="false" outlineLevel="0" collapsed="false">
      <c r="A422" s="20" t="s">
        <v>299</v>
      </c>
      <c r="E422" s="29" t="str">
        <f aca="false">IF(D422="?OLD","!!!","")</f>
        <v/>
      </c>
      <c r="F422" s="30" t="str">
        <f aca="false">IF(OR(E422="",E422="!!!"),"",IF(NOT(ISNA(VLOOKUP(E422,E$1:E421,1,FALSE()))),"OLD",IF(AND(E422&lt;&gt;"",E422&lt;&gt;"!!!"),"NEW","")))</f>
        <v/>
      </c>
      <c r="G422" s="31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32" t="str">
        <f aca="false">IF(J422&lt;&gt;1,"",IF(I422="SBJ","CB","?"))</f>
        <v/>
      </c>
      <c r="I422" s="33" t="str">
        <f aca="false">IF(OR(E422="",E422="!!!",F422="NEW"),"",INDEX(B$2:B421,-1+SUMPRODUCT(MAX(ROW(E$2:E421)*(E422=E$2:E421)))))</f>
        <v/>
      </c>
      <c r="J422" s="33" t="str">
        <f aca="true">IF(OR(E422="",E422="!!!",F422="NEW"),"",COUNTBLANK(OFFSET(A$1,,,SUMPRODUCT(MAX(ROW(E$2:E422)*(E422=E$2:E422)))))-COUNTBLANK(OFFSET(A$1,,,SUMPRODUCT(MAX(ROW(E$1:E421)*(E2=E$1:E421))))))</f>
        <v/>
      </c>
      <c r="K422" s="33" t="str">
        <f aca="false">IF(OR(E422="",E422="!!!",F422="NEW"),"",INDEX(J$1:J421,SUMPRODUCT(MAX(ROW(E$1:E421)*(E422=E$1:E421)))))</f>
        <v/>
      </c>
      <c r="L422" s="34"/>
    </row>
    <row r="423" customFormat="false" ht="15.8" hidden="false" customHeight="false" outlineLevel="0" collapsed="false">
      <c r="A423" s="20" t="s">
        <v>300</v>
      </c>
      <c r="B423" s="21" t="s">
        <v>146</v>
      </c>
      <c r="C423" s="21" t="s">
        <v>178</v>
      </c>
      <c r="D423" s="21" t="s">
        <v>148</v>
      </c>
      <c r="E423" s="29" t="str">
        <f aca="false">IF(D423="?OLD","!!!","")</f>
        <v>!!!</v>
      </c>
      <c r="F423" s="30" t="str">
        <f aca="false">IF(OR(E423="",E423="!!!"),"",IF(NOT(ISNA(VLOOKUP(E423,E$1:E422,1,FALSE()))),"OLD",IF(AND(E423&lt;&gt;"",E423&lt;&gt;"!!!"),"NEW","")))</f>
        <v/>
      </c>
      <c r="G423" s="31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32" t="str">
        <f aca="false">IF(J423&lt;&gt;1,"",IF(I423="SBJ","CB","?"))</f>
        <v/>
      </c>
      <c r="I423" s="33" t="str">
        <f aca="false">IF(OR(E423="",E423="!!!",F423="NEW"),"",INDEX(B$2:B422,-1+SUMPRODUCT(MAX(ROW(E$2:E422)*(E423=E$2:E422)))))</f>
        <v/>
      </c>
      <c r="J423" s="33" t="str">
        <f aca="true">IF(OR(E423="",E423="!!!",F423="NEW"),"",COUNTBLANK(OFFSET(A$1,,,SUMPRODUCT(MAX(ROW(E$2:E423)*(E423=E$2:E423)))))-COUNTBLANK(OFFSET(A$1,,,SUMPRODUCT(MAX(ROW(E$1:E422)*(E2=E$1:E422))))))</f>
        <v/>
      </c>
      <c r="K423" s="33" t="str">
        <f aca="false">IF(OR(E423="",E423="!!!",F423="NEW"),"",INDEX(J$1:J422,SUMPRODUCT(MAX(ROW(E$1:E422)*(E423=E$1:E422)))))</f>
        <v/>
      </c>
      <c r="L423" s="34"/>
    </row>
    <row r="424" customFormat="false" ht="15.8" hidden="false" customHeight="false" outlineLevel="0" collapsed="false">
      <c r="A424" s="20" t="s">
        <v>301</v>
      </c>
      <c r="E424" s="29" t="str">
        <f aca="false">IF(D424="?OLD","!!!","")</f>
        <v/>
      </c>
      <c r="F424" s="30" t="str">
        <f aca="false">IF(OR(E424="",E424="!!!"),"",IF(NOT(ISNA(VLOOKUP(E424,E$1:E423,1,FALSE()))),"OLD",IF(AND(E424&lt;&gt;"",E424&lt;&gt;"!!!"),"NEW","")))</f>
        <v/>
      </c>
      <c r="G424" s="31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32" t="str">
        <f aca="false">IF(J424&lt;&gt;1,"",IF(I424="SBJ","CB","?"))</f>
        <v/>
      </c>
      <c r="I424" s="33" t="str">
        <f aca="false">IF(OR(E424="",E424="!!!",F424="NEW"),"",INDEX(B$2:B423,-1+SUMPRODUCT(MAX(ROW(E$2:E423)*(E424=E$2:E423)))))</f>
        <v/>
      </c>
      <c r="J424" s="33" t="str">
        <f aca="true">IF(OR(E424="",E424="!!!",F424="NEW"),"",COUNTBLANK(OFFSET(A$1,,,SUMPRODUCT(MAX(ROW(E$2:E424)*(E424=E$2:E424)))))-COUNTBLANK(OFFSET(A$1,,,SUMPRODUCT(MAX(ROW(E$1:E423)*(E2=E$1:E423))))))</f>
        <v/>
      </c>
      <c r="K424" s="33" t="str">
        <f aca="false">IF(OR(E424="",E424="!!!",F424="NEW"),"",INDEX(J$1:J423,SUMPRODUCT(MAX(ROW(E$1:E423)*(E424=E$1:E423)))))</f>
        <v/>
      </c>
      <c r="L424" s="34"/>
    </row>
    <row r="425" customFormat="false" ht="15.8" hidden="false" customHeight="false" outlineLevel="0" collapsed="false">
      <c r="A425" s="20" t="s">
        <v>302</v>
      </c>
      <c r="E425" s="29" t="str">
        <f aca="false">IF(D425="?OLD","!!!","")</f>
        <v/>
      </c>
      <c r="F425" s="30" t="str">
        <f aca="false">IF(OR(E425="",E425="!!!"),"",IF(NOT(ISNA(VLOOKUP(E425,E$1:E424,1,FALSE()))),"OLD",IF(AND(E425&lt;&gt;"",E425&lt;&gt;"!!!"),"NEW","")))</f>
        <v/>
      </c>
      <c r="G425" s="31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32" t="str">
        <f aca="false">IF(J425&lt;&gt;1,"",IF(I425="SBJ","CB","?"))</f>
        <v/>
      </c>
      <c r="I425" s="33" t="str">
        <f aca="false">IF(OR(E425="",E425="!!!",F425="NEW"),"",INDEX(B$2:B424,-1+SUMPRODUCT(MAX(ROW(E$2:E424)*(E425=E$2:E424)))))</f>
        <v/>
      </c>
      <c r="J425" s="33" t="str">
        <f aca="true">IF(OR(E425="",E425="!!!",F425="NEW"),"",COUNTBLANK(OFFSET(A$1,,,SUMPRODUCT(MAX(ROW(E$2:E425)*(E425=E$2:E425)))))-COUNTBLANK(OFFSET(A$1,,,SUMPRODUCT(MAX(ROW(E$1:E424)*(E2=E$1:E424))))))</f>
        <v/>
      </c>
      <c r="K425" s="33" t="str">
        <f aca="false">IF(OR(E425="",E425="!!!",F425="NEW"),"",INDEX(J$1:J424,SUMPRODUCT(MAX(ROW(E$1:E424)*(E425=E$1:E424)))))</f>
        <v/>
      </c>
      <c r="L425" s="34"/>
    </row>
    <row r="426" customFormat="false" ht="15.8" hidden="false" customHeight="false" outlineLevel="0" collapsed="false">
      <c r="A426" s="20" t="s">
        <v>155</v>
      </c>
      <c r="E426" s="29" t="str">
        <f aca="false">IF(D426="?OLD","!!!","")</f>
        <v/>
      </c>
      <c r="F426" s="30" t="str">
        <f aca="false">IF(OR(E426="",E426="!!!"),"",IF(NOT(ISNA(VLOOKUP(E426,E$1:E425,1,FALSE()))),"OLD",IF(AND(E426&lt;&gt;"",E426&lt;&gt;"!!!"),"NEW","")))</f>
        <v/>
      </c>
      <c r="G426" s="31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32" t="str">
        <f aca="false">IF(J426&lt;&gt;1,"",IF(I426="SBJ","CB","?"))</f>
        <v/>
      </c>
      <c r="I426" s="33" t="str">
        <f aca="false">IF(OR(E426="",E426="!!!",F426="NEW"),"",INDEX(B$2:B425,-1+SUMPRODUCT(MAX(ROW(E$2:E425)*(E426=E$2:E425)))))</f>
        <v/>
      </c>
      <c r="J426" s="33" t="str">
        <f aca="true">IF(OR(E426="",E426="!!!",F426="NEW"),"",COUNTBLANK(OFFSET(A$1,,,SUMPRODUCT(MAX(ROW(E$2:E426)*(E426=E$2:E426)))))-COUNTBLANK(OFFSET(A$1,,,SUMPRODUCT(MAX(ROW(E$1:E425)*(E2=E$1:E425))))))</f>
        <v/>
      </c>
      <c r="K426" s="33" t="str">
        <f aca="false">IF(OR(E426="",E426="!!!",F426="NEW"),"",INDEX(J$1:J425,SUMPRODUCT(MAX(ROW(E$1:E425)*(E426=E$1:E425)))))</f>
        <v/>
      </c>
      <c r="L426" s="34"/>
    </row>
    <row r="427" customFormat="false" ht="15.8" hidden="false" customHeight="false" outlineLevel="0" collapsed="false">
      <c r="A427" s="20" t="s">
        <v>151</v>
      </c>
      <c r="E427" s="29" t="str">
        <f aca="false">IF(D427="?OLD","!!!","")</f>
        <v/>
      </c>
      <c r="F427" s="30" t="str">
        <f aca="false">IF(OR(E427="",E427="!!!"),"",IF(NOT(ISNA(VLOOKUP(E427,E$1:E426,1,FALSE()))),"OLD",IF(AND(E427&lt;&gt;"",E427&lt;&gt;"!!!"),"NEW","")))</f>
        <v/>
      </c>
      <c r="G427" s="31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32" t="str">
        <f aca="false">IF(J427&lt;&gt;1,"",IF(I427="SBJ","CB","?"))</f>
        <v/>
      </c>
      <c r="I427" s="33" t="str">
        <f aca="false">IF(OR(E427="",E427="!!!",F427="NEW"),"",INDEX(B$2:B426,-1+SUMPRODUCT(MAX(ROW(E$2:E426)*(E427=E$2:E426)))))</f>
        <v/>
      </c>
      <c r="J427" s="33" t="str">
        <f aca="true">IF(OR(E427="",E427="!!!",F427="NEW"),"",COUNTBLANK(OFFSET(A$1,,,SUMPRODUCT(MAX(ROW(E$2:E427)*(E427=E$2:E427)))))-COUNTBLANK(OFFSET(A$1,,,SUMPRODUCT(MAX(ROW(E$1:E426)*(E2=E$1:E426))))))</f>
        <v/>
      </c>
      <c r="K427" s="33" t="str">
        <f aca="false">IF(OR(E427="",E427="!!!",F427="NEW"),"",INDEX(J$1:J426,SUMPRODUCT(MAX(ROW(E$1:E426)*(E427=E$1:E426)))))</f>
        <v/>
      </c>
      <c r="L427" s="34"/>
    </row>
    <row r="428" customFormat="false" ht="15.8" hidden="false" customHeight="false" outlineLevel="0" collapsed="false">
      <c r="A428" s="20" t="s">
        <v>303</v>
      </c>
      <c r="B428" s="21" t="s">
        <v>159</v>
      </c>
      <c r="C428" s="21" t="s">
        <v>203</v>
      </c>
      <c r="D428" s="21" t="s">
        <v>148</v>
      </c>
      <c r="E428" s="29" t="str">
        <f aca="false">IF(D428="?OLD","!!!","")</f>
        <v>!!!</v>
      </c>
      <c r="F428" s="30" t="str">
        <f aca="false">IF(OR(E428="",E428="!!!"),"",IF(NOT(ISNA(VLOOKUP(E428,E$1:E427,1,FALSE()))),"OLD",IF(AND(E428&lt;&gt;"",E428&lt;&gt;"!!!"),"NEW","")))</f>
        <v/>
      </c>
      <c r="G428" s="31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32" t="str">
        <f aca="false">IF(J428&lt;&gt;1,"",IF(I428="SBJ","CB","?"))</f>
        <v/>
      </c>
      <c r="I428" s="33" t="str">
        <f aca="false">IF(OR(E428="",E428="!!!",F428="NEW"),"",INDEX(B$2:B427,-1+SUMPRODUCT(MAX(ROW(E$2:E427)*(E428=E$2:E427)))))</f>
        <v/>
      </c>
      <c r="J428" s="33" t="str">
        <f aca="true">IF(OR(E428="",E428="!!!",F428="NEW"),"",COUNTBLANK(OFFSET(A$1,,,SUMPRODUCT(MAX(ROW(E$2:E428)*(E428=E$2:E428)))))-COUNTBLANK(OFFSET(A$1,,,SUMPRODUCT(MAX(ROW(E$1:E427)*(E2=E$1:E427))))))</f>
        <v/>
      </c>
      <c r="K428" s="33" t="str">
        <f aca="false">IF(OR(E428="",E428="!!!",F428="NEW"),"",INDEX(J$1:J427,SUMPRODUCT(MAX(ROW(E$1:E427)*(E428=E$1:E427)))))</f>
        <v/>
      </c>
      <c r="L428" s="34"/>
    </row>
    <row r="429" customFormat="false" ht="15.8" hidden="false" customHeight="false" outlineLevel="0" collapsed="false">
      <c r="A429" s="20" t="s">
        <v>304</v>
      </c>
      <c r="B429" s="21" t="s">
        <v>153</v>
      </c>
      <c r="C429" s="21" t="s">
        <v>175</v>
      </c>
      <c r="D429" s="21" t="s">
        <v>148</v>
      </c>
      <c r="E429" s="29" t="str">
        <f aca="false">IF(D429="?OLD","!!!","")</f>
        <v>!!!</v>
      </c>
      <c r="F429" s="30" t="str">
        <f aca="false">IF(OR(E429="",E429="!!!"),"",IF(NOT(ISNA(VLOOKUP(E429,E$1:E428,1,FALSE()))),"OLD",IF(AND(E429&lt;&gt;"",E429&lt;&gt;"!!!"),"NEW","")))</f>
        <v/>
      </c>
      <c r="G429" s="31" t="str">
        <f aca="false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32" t="str">
        <f aca="false">IF(J429&lt;&gt;1,"",IF(I429="SBJ","CB","?"))</f>
        <v/>
      </c>
      <c r="I429" s="33" t="str">
        <f aca="false">IF(OR(E429="",E429="!!!",F429="NEW"),"",INDEX(B$2:B428,-1+SUMPRODUCT(MAX(ROW(E$2:E428)*(E429=E$2:E428)))))</f>
        <v/>
      </c>
      <c r="J429" s="33" t="str">
        <f aca="true">IF(OR(E429="",E429="!!!",F429="NEW"),"",COUNTBLANK(OFFSET(A$1,,,SUMPRODUCT(MAX(ROW(E$2:E429)*(E429=E$2:E429)))))-COUNTBLANK(OFFSET(A$1,,,SUMPRODUCT(MAX(ROW(E$1:E428)*(E2=E$1:E428))))))</f>
        <v/>
      </c>
      <c r="K429" s="33" t="str">
        <f aca="false">IF(OR(E429="",E429="!!!",F429="NEW"),"",INDEX(J$1:J428,SUMPRODUCT(MAX(ROW(E$1:E428)*(E429=E$1:E428)))))</f>
        <v/>
      </c>
      <c r="L429" s="34"/>
    </row>
    <row r="430" customFormat="false" ht="15.8" hidden="false" customHeight="false" outlineLevel="0" collapsed="false">
      <c r="A430" s="20" t="s">
        <v>187</v>
      </c>
      <c r="E430" s="29" t="str">
        <f aca="false">IF(D430="?OLD","!!!","")</f>
        <v/>
      </c>
      <c r="F430" s="30" t="str">
        <f aca="false">IF(OR(E430="",E430="!!!"),"",IF(NOT(ISNA(VLOOKUP(E430,E$1:E429,1,FALSE()))),"OLD",IF(AND(E430&lt;&gt;"",E430&lt;&gt;"!!!"),"NEW","")))</f>
        <v/>
      </c>
      <c r="G430" s="31" t="str">
        <f aca="false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32" t="str">
        <f aca="false">IF(J430&lt;&gt;1,"",IF(I430="SBJ","CB","?"))</f>
        <v/>
      </c>
      <c r="I430" s="33" t="str">
        <f aca="false">IF(OR(E430="",E430="!!!",F430="NEW"),"",INDEX(B$2:B429,-1+SUMPRODUCT(MAX(ROW(E$2:E429)*(E430=E$2:E429)))))</f>
        <v/>
      </c>
      <c r="J430" s="33" t="str">
        <f aca="true">IF(OR(E430="",E430="!!!",F430="NEW"),"",COUNTBLANK(OFFSET(A$1,,,SUMPRODUCT(MAX(ROW(E$2:E430)*(E430=E$2:E430)))))-COUNTBLANK(OFFSET(A$1,,,SUMPRODUCT(MAX(ROW(E$1:E429)*(E2=E$1:E429))))))</f>
        <v/>
      </c>
      <c r="K430" s="33" t="str">
        <f aca="false">IF(OR(E430="",E430="!!!",F430="NEW"),"",INDEX(J$1:J429,SUMPRODUCT(MAX(ROW(E$1:E429)*(E430=E$1:E429)))))</f>
        <v/>
      </c>
      <c r="L430" s="34"/>
    </row>
    <row r="431" customFormat="false" ht="15.8" hidden="false" customHeight="false" outlineLevel="0" collapsed="false">
      <c r="A431" s="20" t="s">
        <v>155</v>
      </c>
      <c r="E431" s="29" t="str">
        <f aca="false">IF(D431="?OLD","!!!","")</f>
        <v/>
      </c>
      <c r="F431" s="30" t="str">
        <f aca="false">IF(OR(E431="",E431="!!!"),"",IF(NOT(ISNA(VLOOKUP(E431,E$1:E430,1,FALSE()))),"OLD",IF(AND(E431&lt;&gt;"",E431&lt;&gt;"!!!"),"NEW","")))</f>
        <v/>
      </c>
      <c r="G431" s="31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32" t="str">
        <f aca="false">IF(J431&lt;&gt;1,"",IF(I431="SBJ","CB","?"))</f>
        <v/>
      </c>
      <c r="I431" s="33" t="str">
        <f aca="false">IF(OR(E431="",E431="!!!",F431="NEW"),"",INDEX(B$2:B430,-1+SUMPRODUCT(MAX(ROW(E$2:E430)*(E431=E$2:E430)))))</f>
        <v/>
      </c>
      <c r="J431" s="33" t="str">
        <f aca="true">IF(OR(E431="",E431="!!!",F431="NEW"),"",COUNTBLANK(OFFSET(A$1,,,SUMPRODUCT(MAX(ROW(E$2:E431)*(E431=E$2:E431)))))-COUNTBLANK(OFFSET(A$1,,,SUMPRODUCT(MAX(ROW(E$1:E430)*(E2=E$1:E430))))))</f>
        <v/>
      </c>
      <c r="K431" s="33" t="str">
        <f aca="false">IF(OR(E431="",E431="!!!",F431="NEW"),"",INDEX(J$1:J430,SUMPRODUCT(MAX(ROW(E$1:E430)*(E431=E$1:E430)))))</f>
        <v/>
      </c>
      <c r="L431" s="34"/>
    </row>
    <row r="432" customFormat="false" ht="15.8" hidden="false" customHeight="false" outlineLevel="0" collapsed="false">
      <c r="A432" s="20" t="s">
        <v>156</v>
      </c>
      <c r="E432" s="29" t="str">
        <f aca="false">IF(D432="?OLD","!!!","")</f>
        <v/>
      </c>
      <c r="F432" s="30" t="str">
        <f aca="false">IF(OR(E432="",E432="!!!"),"",IF(NOT(ISNA(VLOOKUP(E432,E$1:E431,1,FALSE()))),"OLD",IF(AND(E432&lt;&gt;"",E432&lt;&gt;"!!!"),"NEW","")))</f>
        <v/>
      </c>
      <c r="G432" s="31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32" t="str">
        <f aca="false">IF(J432&lt;&gt;1,"",IF(I432="SBJ","CB","?"))</f>
        <v/>
      </c>
      <c r="I432" s="33" t="str">
        <f aca="false">IF(OR(E432="",E432="!!!",F432="NEW"),"",INDEX(B$2:B431,-1+SUMPRODUCT(MAX(ROW(E$2:E431)*(E432=E$2:E431)))))</f>
        <v/>
      </c>
      <c r="J432" s="33" t="str">
        <f aca="true">IF(OR(E432="",E432="!!!",F432="NEW"),"",COUNTBLANK(OFFSET(A$1,,,SUMPRODUCT(MAX(ROW(E$2:E432)*(E432=E$2:E432)))))-COUNTBLANK(OFFSET(A$1,,,SUMPRODUCT(MAX(ROW(E$1:E431)*(E2=E$1:E431))))))</f>
        <v/>
      </c>
      <c r="K432" s="33" t="str">
        <f aca="false">IF(OR(E432="",E432="!!!",F432="NEW"),"",INDEX(J$1:J431,SUMPRODUCT(MAX(ROW(E$1:E431)*(E432=E$1:E431)))))</f>
        <v/>
      </c>
      <c r="L432" s="34"/>
    </row>
    <row r="433" customFormat="false" ht="15.8" hidden="false" customHeight="false" outlineLevel="0" collapsed="false">
      <c r="A433" s="20" t="s">
        <v>305</v>
      </c>
      <c r="B433" s="21" t="s">
        <v>159</v>
      </c>
      <c r="C433" s="21" t="s">
        <v>154</v>
      </c>
      <c r="D433" s="21" t="s">
        <v>148</v>
      </c>
      <c r="E433" s="29" t="str">
        <f aca="false">IF(D433="?OLD","!!!","")</f>
        <v>!!!</v>
      </c>
      <c r="F433" s="30" t="str">
        <f aca="false">IF(OR(E433="",E433="!!!"),"",IF(NOT(ISNA(VLOOKUP(E433,E$1:E432,1,FALSE()))),"OLD",IF(AND(E433&lt;&gt;"",E433&lt;&gt;"!!!"),"NEW","")))</f>
        <v/>
      </c>
      <c r="G433" s="31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32" t="str">
        <f aca="false">IF(J433&lt;&gt;1,"",IF(I433="SBJ","CB","?"))</f>
        <v/>
      </c>
      <c r="I433" s="33" t="str">
        <f aca="false">IF(OR(E433="",E433="!!!",F433="NEW"),"",INDEX(B$2:B432,-1+SUMPRODUCT(MAX(ROW(E$2:E432)*(E433=E$2:E432)))))</f>
        <v/>
      </c>
      <c r="J433" s="33" t="str">
        <f aca="true">IF(OR(E433="",E433="!!!",F433="NEW"),"",COUNTBLANK(OFFSET(A$1,,,SUMPRODUCT(MAX(ROW(E$2:E433)*(E433=E$2:E433)))))-COUNTBLANK(OFFSET(A$1,,,SUMPRODUCT(MAX(ROW(E$1:E432)*(E2=E$1:E432))))))</f>
        <v/>
      </c>
      <c r="K433" s="33" t="str">
        <f aca="false">IF(OR(E433="",E433="!!!",F433="NEW"),"",INDEX(J$1:J432,SUMPRODUCT(MAX(ROW(E$1:E432)*(E433=E$1:E432)))))</f>
        <v/>
      </c>
      <c r="L433" s="34"/>
    </row>
    <row r="434" customFormat="false" ht="15.8" hidden="false" customHeight="false" outlineLevel="0" collapsed="false">
      <c r="A434" s="20" t="s">
        <v>155</v>
      </c>
      <c r="E434" s="29" t="str">
        <f aca="false">IF(D434="?OLD","!!!","")</f>
        <v/>
      </c>
      <c r="F434" s="30" t="str">
        <f aca="false">IF(OR(E434="",E434="!!!"),"",IF(NOT(ISNA(VLOOKUP(E434,E$1:E433,1,FALSE()))),"OLD",IF(AND(E434&lt;&gt;"",E434&lt;&gt;"!!!"),"NEW","")))</f>
        <v/>
      </c>
      <c r="G434" s="31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32" t="str">
        <f aca="false">IF(J434&lt;&gt;1,"",IF(I434="SBJ","CB","?"))</f>
        <v/>
      </c>
      <c r="I434" s="33" t="str">
        <f aca="false">IF(OR(E434="",E434="!!!",F434="NEW"),"",INDEX(B$2:B433,-1+SUMPRODUCT(MAX(ROW(E$2:E433)*(E434=E$2:E433)))))</f>
        <v/>
      </c>
      <c r="J434" s="33" t="str">
        <f aca="true">IF(OR(E434="",E434="!!!",F434="NEW"),"",COUNTBLANK(OFFSET(A$1,,,SUMPRODUCT(MAX(ROW(E$2:E434)*(E434=E$2:E434)))))-COUNTBLANK(OFFSET(A$1,,,SUMPRODUCT(MAX(ROW(E$1:E433)*(E2=E$1:E433))))))</f>
        <v/>
      </c>
      <c r="K434" s="33" t="str">
        <f aca="false">IF(OR(E434="",E434="!!!",F434="NEW"),"",INDEX(J$1:J433,SUMPRODUCT(MAX(ROW(E$1:E433)*(E434=E$1:E433)))))</f>
        <v/>
      </c>
      <c r="L434" s="34"/>
    </row>
    <row r="435" customFormat="false" ht="15.8" hidden="false" customHeight="false" outlineLevel="0" collapsed="false">
      <c r="A435" s="20" t="s">
        <v>306</v>
      </c>
      <c r="E435" s="29" t="str">
        <f aca="false">IF(D435="?OLD","!!!","")</f>
        <v/>
      </c>
      <c r="F435" s="30" t="str">
        <f aca="false">IF(OR(E435="",E435="!!!"),"",IF(NOT(ISNA(VLOOKUP(E435,E$1:E434,1,FALSE()))),"OLD",IF(AND(E435&lt;&gt;"",E435&lt;&gt;"!!!"),"NEW","")))</f>
        <v/>
      </c>
      <c r="G435" s="31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32" t="str">
        <f aca="false">IF(J435&lt;&gt;1,"",IF(I435="SBJ","CB","?"))</f>
        <v/>
      </c>
      <c r="I435" s="33" t="str">
        <f aca="false">IF(OR(E435="",E435="!!!",F435="NEW"),"",INDEX(B$2:B434,-1+SUMPRODUCT(MAX(ROW(E$2:E434)*(E435=E$2:E434)))))</f>
        <v/>
      </c>
      <c r="J435" s="33" t="str">
        <f aca="true">IF(OR(E435="",E435="!!!",F435="NEW"),"",COUNTBLANK(OFFSET(A$1,,,SUMPRODUCT(MAX(ROW(E$2:E435)*(E435=E$2:E435)))))-COUNTBLANK(OFFSET(A$1,,,SUMPRODUCT(MAX(ROW(E$1:E434)*(E2=E$1:E434))))))</f>
        <v/>
      </c>
      <c r="K435" s="33" t="str">
        <f aca="false">IF(OR(E435="",E435="!!!",F435="NEW"),"",INDEX(J$1:J434,SUMPRODUCT(MAX(ROW(E$1:E434)*(E435=E$1:E434)))))</f>
        <v/>
      </c>
      <c r="L435" s="34"/>
    </row>
    <row r="436" customFormat="false" ht="15.8" hidden="false" customHeight="false" outlineLevel="0" collapsed="false">
      <c r="A436" s="20" t="s">
        <v>307</v>
      </c>
      <c r="B436" s="21" t="s">
        <v>211</v>
      </c>
      <c r="C436" s="21" t="s">
        <v>203</v>
      </c>
      <c r="D436" s="21" t="s">
        <v>148</v>
      </c>
      <c r="E436" s="29" t="str">
        <f aca="false">IF(D436="?OLD","!!!","")</f>
        <v>!!!</v>
      </c>
      <c r="F436" s="30" t="str">
        <f aca="false">IF(OR(E436="",E436="!!!"),"",IF(NOT(ISNA(VLOOKUP(E436,E$1:E435,1,FALSE()))),"OLD",IF(AND(E436&lt;&gt;"",E436&lt;&gt;"!!!"),"NEW","")))</f>
        <v/>
      </c>
      <c r="G436" s="31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32" t="str">
        <f aca="false">IF(J436&lt;&gt;1,"",IF(I436="SBJ","CB","?"))</f>
        <v/>
      </c>
      <c r="I436" s="33" t="str">
        <f aca="false">IF(OR(E436="",E436="!!!",F436="NEW"),"",INDEX(B$2:B435,-1+SUMPRODUCT(MAX(ROW(E$2:E435)*(E436=E$2:E435)))))</f>
        <v/>
      </c>
      <c r="J436" s="33" t="str">
        <f aca="true">IF(OR(E436="",E436="!!!",F436="NEW"),"",COUNTBLANK(OFFSET(A$1,,,SUMPRODUCT(MAX(ROW(E$2:E436)*(E436=E$2:E436)))))-COUNTBLANK(OFFSET(A$1,,,SUMPRODUCT(MAX(ROW(E$1:E435)*(E2=E$1:E435))))))</f>
        <v/>
      </c>
      <c r="K436" s="33" t="str">
        <f aca="false">IF(OR(E436="",E436="!!!",F436="NEW"),"",INDEX(J$1:J435,SUMPRODUCT(MAX(ROW(E$1:E435)*(E436=E$1:E435)))))</f>
        <v/>
      </c>
      <c r="L436" s="34"/>
    </row>
    <row r="437" customFormat="false" ht="15.8" hidden="false" customHeight="false" outlineLevel="0" collapsed="false">
      <c r="A437" s="20" t="s">
        <v>308</v>
      </c>
      <c r="B437" s="21" t="s">
        <v>170</v>
      </c>
      <c r="C437" s="21" t="s">
        <v>175</v>
      </c>
      <c r="D437" s="21" t="s">
        <v>148</v>
      </c>
      <c r="E437" s="29" t="str">
        <f aca="false">IF(D437="?OLD","!!!","")</f>
        <v>!!!</v>
      </c>
      <c r="F437" s="30" t="str">
        <f aca="false">IF(OR(E437="",E437="!!!"),"",IF(NOT(ISNA(VLOOKUP(E437,E$1:E436,1,FALSE()))),"OLD",IF(AND(E437&lt;&gt;"",E437&lt;&gt;"!!!"),"NEW","")))</f>
        <v/>
      </c>
      <c r="G437" s="31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32" t="str">
        <f aca="false">IF(J437&lt;&gt;1,"",IF(I437="SBJ","CB","?"))</f>
        <v/>
      </c>
      <c r="I437" s="33" t="str">
        <f aca="false">IF(OR(E437="",E437="!!!",F437="NEW"),"",INDEX(B$2:B436,-1+SUMPRODUCT(MAX(ROW(E$2:E436)*(E437=E$2:E436)))))</f>
        <v/>
      </c>
      <c r="J437" s="33" t="str">
        <f aca="true">IF(OR(E437="",E437="!!!",F437="NEW"),"",COUNTBLANK(OFFSET(A$1,,,SUMPRODUCT(MAX(ROW(E$2:E437)*(E437=E$2:E437)))))-COUNTBLANK(OFFSET(A$1,,,SUMPRODUCT(MAX(ROW(E$1:E436)*(E2=E$1:E436))))))</f>
        <v/>
      </c>
      <c r="K437" s="33" t="str">
        <f aca="false">IF(OR(E437="",E437="!!!",F437="NEW"),"",INDEX(J$1:J436,SUMPRODUCT(MAX(ROW(E$1:E436)*(E437=E$1:E436)))))</f>
        <v/>
      </c>
      <c r="L437" s="34"/>
    </row>
    <row r="438" customFormat="false" ht="15.8" hidden="false" customHeight="false" outlineLevel="0" collapsed="false">
      <c r="A438" s="20" t="s">
        <v>176</v>
      </c>
      <c r="E438" s="29" t="str">
        <f aca="false">IF(D438="?OLD","!!!","")</f>
        <v/>
      </c>
      <c r="F438" s="30" t="str">
        <f aca="false">IF(OR(E438="",E438="!!!"),"",IF(NOT(ISNA(VLOOKUP(E438,E$1:E437,1,FALSE()))),"OLD",IF(AND(E438&lt;&gt;"",E438&lt;&gt;"!!!"),"NEW","")))</f>
        <v/>
      </c>
      <c r="G438" s="31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32" t="str">
        <f aca="false">IF(J438&lt;&gt;1,"",IF(I438="SBJ","CB","?"))</f>
        <v/>
      </c>
      <c r="I438" s="33" t="str">
        <f aca="false">IF(OR(E438="",E438="!!!",F438="NEW"),"",INDEX(B$2:B437,-1+SUMPRODUCT(MAX(ROW(E$2:E437)*(E438=E$2:E437)))))</f>
        <v/>
      </c>
      <c r="J438" s="33" t="str">
        <f aca="true">IF(OR(E438="",E438="!!!",F438="NEW"),"",COUNTBLANK(OFFSET(A$1,,,SUMPRODUCT(MAX(ROW(E$2:E438)*(E438=E$2:E438)))))-COUNTBLANK(OFFSET(A$1,,,SUMPRODUCT(MAX(ROW(E$1:E437)*(E2=E$1:E437))))))</f>
        <v/>
      </c>
      <c r="K438" s="33" t="str">
        <f aca="false">IF(OR(E438="",E438="!!!",F438="NEW"),"",INDEX(J$1:J437,SUMPRODUCT(MAX(ROW(E$1:E437)*(E438=E$1:E437)))))</f>
        <v/>
      </c>
      <c r="L438" s="34"/>
    </row>
    <row r="439" customFormat="false" ht="15.8" hidden="false" customHeight="false" outlineLevel="0" collapsed="false">
      <c r="A439" s="20" t="s">
        <v>181</v>
      </c>
      <c r="E439" s="29" t="str">
        <f aca="false">IF(D439="?OLD","!!!","")</f>
        <v/>
      </c>
      <c r="F439" s="30" t="str">
        <f aca="false">IF(OR(E439="",E439="!!!"),"",IF(NOT(ISNA(VLOOKUP(E439,E$1:E438,1,FALSE()))),"OLD",IF(AND(E439&lt;&gt;"",E439&lt;&gt;"!!!"),"NEW","")))</f>
        <v/>
      </c>
      <c r="G439" s="31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32" t="str">
        <f aca="false">IF(J439&lt;&gt;1,"",IF(I439="SBJ","CB","?"))</f>
        <v/>
      </c>
      <c r="I439" s="33" t="str">
        <f aca="false">IF(OR(E439="",E439="!!!",F439="NEW"),"",INDEX(B$2:B438,-1+SUMPRODUCT(MAX(ROW(E$2:E438)*(E439=E$2:E438)))))</f>
        <v/>
      </c>
      <c r="J439" s="33" t="str">
        <f aca="true">IF(OR(E439="",E439="!!!",F439="NEW"),"",COUNTBLANK(OFFSET(A$1,,,SUMPRODUCT(MAX(ROW(E$2:E439)*(E439=E$2:E439)))))-COUNTBLANK(OFFSET(A$1,,,SUMPRODUCT(MAX(ROW(E$1:E438)*(E2=E$1:E438))))))</f>
        <v/>
      </c>
      <c r="K439" s="33" t="str">
        <f aca="false">IF(OR(E439="",E439="!!!",F439="NEW"),"",INDEX(J$1:J438,SUMPRODUCT(MAX(ROW(E$1:E438)*(E439=E$1:E438)))))</f>
        <v/>
      </c>
      <c r="L439" s="34"/>
    </row>
    <row r="440" customFormat="false" ht="15.8" hidden="false" customHeight="false" outlineLevel="0" collapsed="false">
      <c r="A440" s="20" t="s">
        <v>309</v>
      </c>
      <c r="B440" s="21" t="s">
        <v>153</v>
      </c>
      <c r="C440" s="21" t="s">
        <v>154</v>
      </c>
      <c r="D440" s="21" t="s">
        <v>148</v>
      </c>
      <c r="E440" s="29" t="str">
        <f aca="false">IF(D440="?OLD","!!!","")</f>
        <v>!!!</v>
      </c>
      <c r="F440" s="30" t="str">
        <f aca="false">IF(OR(E440="",E440="!!!"),"",IF(NOT(ISNA(VLOOKUP(E440,E$1:E439,1,FALSE()))),"OLD",IF(AND(E440&lt;&gt;"",E440&lt;&gt;"!!!"),"NEW","")))</f>
        <v/>
      </c>
      <c r="G440" s="31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32" t="str">
        <f aca="false">IF(J440&lt;&gt;1,"",IF(I440="SBJ","CB","?"))</f>
        <v/>
      </c>
      <c r="I440" s="33" t="str">
        <f aca="false">IF(OR(E440="",E440="!!!",F440="NEW"),"",INDEX(B$2:B439,-1+SUMPRODUCT(MAX(ROW(E$2:E439)*(E440=E$2:E439)))))</f>
        <v/>
      </c>
      <c r="J440" s="33" t="str">
        <f aca="true">IF(OR(E440="",E440="!!!",F440="NEW"),"",COUNTBLANK(OFFSET(A$1,,,SUMPRODUCT(MAX(ROW(E$2:E440)*(E440=E$2:E440)))))-COUNTBLANK(OFFSET(A$1,,,SUMPRODUCT(MAX(ROW(E$1:E439)*(E2=E$1:E439))))))</f>
        <v/>
      </c>
      <c r="K440" s="33" t="str">
        <f aca="false">IF(OR(E440="",E440="!!!",F440="NEW"),"",INDEX(J$1:J439,SUMPRODUCT(MAX(ROW(E$1:E439)*(E440=E$1:E439)))))</f>
        <v/>
      </c>
      <c r="L440" s="34"/>
    </row>
    <row r="441" customFormat="false" ht="15.8" hidden="false" customHeight="false" outlineLevel="0" collapsed="false">
      <c r="A441" s="20" t="s">
        <v>155</v>
      </c>
      <c r="E441" s="29" t="str">
        <f aca="false">IF(D441="?OLD","!!!","")</f>
        <v/>
      </c>
      <c r="F441" s="30" t="str">
        <f aca="false">IF(OR(E441="",E441="!!!"),"",IF(NOT(ISNA(VLOOKUP(E441,E$1:E440,1,FALSE()))),"OLD",IF(AND(E441&lt;&gt;"",E441&lt;&gt;"!!!"),"NEW","")))</f>
        <v/>
      </c>
      <c r="G441" s="31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32" t="str">
        <f aca="false">IF(J441&lt;&gt;1,"",IF(I441="SBJ","CB","?"))</f>
        <v/>
      </c>
      <c r="I441" s="33" t="str">
        <f aca="false">IF(OR(E441="",E441="!!!",F441="NEW"),"",INDEX(B$2:B440,-1+SUMPRODUCT(MAX(ROW(E$2:E440)*(E441=E$2:E440)))))</f>
        <v/>
      </c>
      <c r="J441" s="33" t="str">
        <f aca="true">IF(OR(E441="",E441="!!!",F441="NEW"),"",COUNTBLANK(OFFSET(A$1,,,SUMPRODUCT(MAX(ROW(E$2:E441)*(E441=E$2:E441)))))-COUNTBLANK(OFFSET(A$1,,,SUMPRODUCT(MAX(ROW(E$1:E440)*(E2=E$1:E440))))))</f>
        <v/>
      </c>
      <c r="K441" s="33" t="str">
        <f aca="false">IF(OR(E441="",E441="!!!",F441="NEW"),"",INDEX(J$1:J440,SUMPRODUCT(MAX(ROW(E$1:E440)*(E441=E$1:E440)))))</f>
        <v/>
      </c>
      <c r="L441" s="34"/>
    </row>
    <row r="442" customFormat="false" ht="15.8" hidden="false" customHeight="false" outlineLevel="0" collapsed="false">
      <c r="A442" s="20" t="s">
        <v>151</v>
      </c>
      <c r="E442" s="29" t="str">
        <f aca="false">IF(D442="?OLD","!!!","")</f>
        <v/>
      </c>
      <c r="F442" s="30" t="str">
        <f aca="false">IF(OR(E442="",E442="!!!"),"",IF(NOT(ISNA(VLOOKUP(E442,E$1:E441,1,FALSE()))),"OLD",IF(AND(E442&lt;&gt;"",E442&lt;&gt;"!!!"),"NEW","")))</f>
        <v/>
      </c>
      <c r="G442" s="31" t="str">
        <f aca="false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32" t="str">
        <f aca="false">IF(J442&lt;&gt;1,"",IF(I442="SBJ","CB","?"))</f>
        <v/>
      </c>
      <c r="I442" s="33" t="str">
        <f aca="false">IF(OR(E442="",E442="!!!",F442="NEW"),"",INDEX(B$2:B441,-1+SUMPRODUCT(MAX(ROW(E$2:E441)*(E442=E$2:E441)))))</f>
        <v/>
      </c>
      <c r="J442" s="33" t="str">
        <f aca="true">IF(OR(E442="",E442="!!!",F442="NEW"),"",COUNTBLANK(OFFSET(A$1,,,SUMPRODUCT(MAX(ROW(E$2:E442)*(E442=E$2:E442)))))-COUNTBLANK(OFFSET(A$1,,,SUMPRODUCT(MAX(ROW(E$1:E441)*(E2=E$1:E441))))))</f>
        <v/>
      </c>
      <c r="K442" s="33" t="str">
        <f aca="false">IF(OR(E442="",E442="!!!",F442="NEW"),"",INDEX(J$1:J441,SUMPRODUCT(MAX(ROW(E$1:E441)*(E442=E$1:E441)))))</f>
        <v/>
      </c>
      <c r="L442" s="34"/>
    </row>
    <row r="443" customFormat="false" ht="15.8" hidden="false" customHeight="false" outlineLevel="0" collapsed="false">
      <c r="A443" s="20" t="s">
        <v>310</v>
      </c>
      <c r="B443" s="21" t="s">
        <v>159</v>
      </c>
      <c r="C443" s="21" t="s">
        <v>175</v>
      </c>
      <c r="D443" s="21" t="s">
        <v>148</v>
      </c>
      <c r="E443" s="29" t="str">
        <f aca="false">IF(D443="?OLD","!!!","")</f>
        <v>!!!</v>
      </c>
      <c r="F443" s="30" t="str">
        <f aca="false">IF(OR(E443="",E443="!!!"),"",IF(NOT(ISNA(VLOOKUP(E443,E$1:E442,1,FALSE()))),"OLD",IF(AND(E443&lt;&gt;"",E443&lt;&gt;"!!!"),"NEW","")))</f>
        <v/>
      </c>
      <c r="G443" s="31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32" t="str">
        <f aca="false">IF(J443&lt;&gt;1,"",IF(I443="SBJ","CB","?"))</f>
        <v/>
      </c>
      <c r="I443" s="33" t="str">
        <f aca="false">IF(OR(E443="",E443="!!!",F443="NEW"),"",INDEX(B$2:B442,-1+SUMPRODUCT(MAX(ROW(E$2:E442)*(E443=E$2:E442)))))</f>
        <v/>
      </c>
      <c r="J443" s="33" t="str">
        <f aca="true">IF(OR(E443="",E443="!!!",F443="NEW"),"",COUNTBLANK(OFFSET(A$1,,,SUMPRODUCT(MAX(ROW(E$2:E443)*(E443=E$2:E443)))))-COUNTBLANK(OFFSET(A$1,,,SUMPRODUCT(MAX(ROW(E$1:E442)*(E2=E$1:E442))))))</f>
        <v/>
      </c>
      <c r="K443" s="33" t="str">
        <f aca="false">IF(OR(E443="",E443="!!!",F443="NEW"),"",INDEX(J$1:J442,SUMPRODUCT(MAX(ROW(E$1:E442)*(E443=E$1:E442)))))</f>
        <v/>
      </c>
      <c r="L443" s="34"/>
    </row>
    <row r="444" customFormat="false" ht="15.8" hidden="false" customHeight="false" outlineLevel="0" collapsed="false">
      <c r="A444" s="20" t="s">
        <v>311</v>
      </c>
      <c r="B444" s="21" t="s">
        <v>209</v>
      </c>
      <c r="E444" s="29" t="str">
        <f aca="false">IF(D444="?OLD","!!!","")</f>
        <v/>
      </c>
      <c r="F444" s="30" t="str">
        <f aca="false">IF(OR(E444="",E444="!!!"),"",IF(NOT(ISNA(VLOOKUP(E444,E$1:E443,1,FALSE()))),"OLD",IF(AND(E444&lt;&gt;"",E444&lt;&gt;"!!!"),"NEW","")))</f>
        <v/>
      </c>
      <c r="G444" s="31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32" t="str">
        <f aca="false">IF(J444&lt;&gt;1,"",IF(I444="SBJ","CB","?"))</f>
        <v/>
      </c>
      <c r="I444" s="33" t="str">
        <f aca="false">IF(OR(E444="",E444="!!!",F444="NEW"),"",INDEX(B$2:B443,-1+SUMPRODUCT(MAX(ROW(E$2:E443)*(E444=E$2:E443)))))</f>
        <v/>
      </c>
      <c r="J444" s="33" t="str">
        <f aca="true">IF(OR(E444="",E444="!!!",F444="NEW"),"",COUNTBLANK(OFFSET(A$1,,,SUMPRODUCT(MAX(ROW(E$2:E444)*(E444=E$2:E444)))))-COUNTBLANK(OFFSET(A$1,,,SUMPRODUCT(MAX(ROW(E$1:E443)*(E2=E$1:E443))))))</f>
        <v/>
      </c>
      <c r="K444" s="33" t="str">
        <f aca="false">IF(OR(E444="",E444="!!!",F444="NEW"),"",INDEX(J$1:J443,SUMPRODUCT(MAX(ROW(E$1:E443)*(E444=E$1:E443)))))</f>
        <v/>
      </c>
      <c r="L444" s="34"/>
    </row>
    <row r="445" customFormat="false" ht="15.8" hidden="false" customHeight="false" outlineLevel="0" collapsed="false">
      <c r="A445" s="20" t="s">
        <v>151</v>
      </c>
      <c r="E445" s="29" t="str">
        <f aca="false">IF(D445="?OLD","!!!","")</f>
        <v/>
      </c>
      <c r="F445" s="30" t="str">
        <f aca="false">IF(OR(E445="",E445="!!!"),"",IF(NOT(ISNA(VLOOKUP(E445,E$1:E444,1,FALSE()))),"OLD",IF(AND(E445&lt;&gt;"",E445&lt;&gt;"!!!"),"NEW","")))</f>
        <v/>
      </c>
      <c r="G445" s="31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32" t="str">
        <f aca="false">IF(J445&lt;&gt;1,"",IF(I445="SBJ","CB","?"))</f>
        <v/>
      </c>
      <c r="I445" s="33" t="str">
        <f aca="false">IF(OR(E445="",E445="!!!",F445="NEW"),"",INDEX(B$2:B444,-1+SUMPRODUCT(MAX(ROW(E$2:E444)*(E445=E$2:E444)))))</f>
        <v/>
      </c>
      <c r="J445" s="33" t="str">
        <f aca="true">IF(OR(E445="",E445="!!!",F445="NEW"),"",COUNTBLANK(OFFSET(A$1,,,SUMPRODUCT(MAX(ROW(E$2:E445)*(E445=E$2:E445)))))-COUNTBLANK(OFFSET(A$1,,,SUMPRODUCT(MAX(ROW(E$1:E444)*(E2=E$1:E444))))))</f>
        <v/>
      </c>
      <c r="K445" s="33" t="str">
        <f aca="false">IF(OR(E445="",E445="!!!",F445="NEW"),"",INDEX(J$1:J444,SUMPRODUCT(MAX(ROW(E$1:E444)*(E445=E$1:E444)))))</f>
        <v/>
      </c>
      <c r="L445" s="34"/>
    </row>
    <row r="446" customFormat="false" ht="15.8" hidden="false" customHeight="false" outlineLevel="0" collapsed="false">
      <c r="A446" s="20" t="s">
        <v>312</v>
      </c>
      <c r="B446" s="21" t="s">
        <v>313</v>
      </c>
      <c r="C446" s="21" t="s">
        <v>160</v>
      </c>
      <c r="D446" s="21" t="s">
        <v>148</v>
      </c>
      <c r="E446" s="29" t="str">
        <f aca="false">IF(D446="?OLD","!!!","")</f>
        <v>!!!</v>
      </c>
      <c r="F446" s="30" t="str">
        <f aca="false">IF(OR(E446="",E446="!!!"),"",IF(NOT(ISNA(VLOOKUP(E446,E$1:E445,1,FALSE()))),"OLD",IF(AND(E446&lt;&gt;"",E446&lt;&gt;"!!!"),"NEW","")))</f>
        <v/>
      </c>
      <c r="G446" s="31" t="str">
        <f aca="false"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32" t="str">
        <f aca="false">IF(J446&lt;&gt;1,"",IF(I446="SBJ","CB","?"))</f>
        <v/>
      </c>
      <c r="I446" s="33" t="str">
        <f aca="false">IF(OR(E446="",E446="!!!",F446="NEW"),"",INDEX(B$2:B445,-1+SUMPRODUCT(MAX(ROW(E$2:E445)*(E446=E$2:E445)))))</f>
        <v/>
      </c>
      <c r="J446" s="33" t="str">
        <f aca="true">IF(OR(E446="",E446="!!!",F446="NEW"),"",COUNTBLANK(OFFSET(A$1,,,SUMPRODUCT(MAX(ROW(E$2:E446)*(E446=E$2:E446)))))-COUNTBLANK(OFFSET(A$1,,,SUMPRODUCT(MAX(ROW(E$1:E445)*(E2=E$1:E445))))))</f>
        <v/>
      </c>
      <c r="K446" s="33" t="str">
        <f aca="false">IF(OR(E446="",E446="!!!",F446="NEW"),"",INDEX(J$1:J445,SUMPRODUCT(MAX(ROW(E$1:E445)*(E446=E$1:E445)))))</f>
        <v/>
      </c>
      <c r="L446" s="34"/>
    </row>
    <row r="447" customFormat="false" ht="15.8" hidden="false" customHeight="false" outlineLevel="0" collapsed="false">
      <c r="A447" s="20" t="s">
        <v>314</v>
      </c>
      <c r="E447" s="29" t="str">
        <f aca="false">IF(D447="?OLD","!!!","")</f>
        <v/>
      </c>
      <c r="F447" s="30" t="str">
        <f aca="false">IF(OR(E447="",E447="!!!"),"",IF(NOT(ISNA(VLOOKUP(E447,E$1:E446,1,FALSE()))),"OLD",IF(AND(E447&lt;&gt;"",E447&lt;&gt;"!!!"),"NEW","")))</f>
        <v/>
      </c>
      <c r="G447" s="31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32" t="str">
        <f aca="false">IF(J447&lt;&gt;1,"",IF(I447="SBJ","CB","?"))</f>
        <v/>
      </c>
      <c r="I447" s="33" t="str">
        <f aca="false">IF(OR(E447="",E447="!!!",F447="NEW"),"",INDEX(B$2:B446,-1+SUMPRODUCT(MAX(ROW(E$2:E446)*(E447=E$2:E446)))))</f>
        <v/>
      </c>
      <c r="J447" s="33" t="str">
        <f aca="true">IF(OR(E447="",E447="!!!",F447="NEW"),"",COUNTBLANK(OFFSET(A$1,,,SUMPRODUCT(MAX(ROW(E$2:E447)*(E447=E$2:E447)))))-COUNTBLANK(OFFSET(A$1,,,SUMPRODUCT(MAX(ROW(E$1:E446)*(E2=E$1:E446))))))</f>
        <v/>
      </c>
      <c r="K447" s="33" t="str">
        <f aca="false">IF(OR(E447="",E447="!!!",F447="NEW"),"",INDEX(J$1:J446,SUMPRODUCT(MAX(ROW(E$1:E446)*(E447=E$1:E446)))))</f>
        <v/>
      </c>
      <c r="L447" s="34"/>
    </row>
    <row r="448" customFormat="false" ht="15.8" hidden="false" customHeight="false" outlineLevel="0" collapsed="false">
      <c r="A448" s="20" t="s">
        <v>315</v>
      </c>
      <c r="E448" s="29" t="str">
        <f aca="false">IF(D448="?OLD","!!!","")</f>
        <v/>
      </c>
      <c r="F448" s="30" t="str">
        <f aca="false">IF(OR(E448="",E448="!!!"),"",IF(NOT(ISNA(VLOOKUP(E448,E$1:E447,1,FALSE()))),"OLD",IF(AND(E448&lt;&gt;"",E448&lt;&gt;"!!!"),"NEW","")))</f>
        <v/>
      </c>
      <c r="G448" s="31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32" t="str">
        <f aca="false">IF(J448&lt;&gt;1,"",IF(I448="SBJ","CB","?"))</f>
        <v/>
      </c>
      <c r="I448" s="33" t="str">
        <f aca="false">IF(OR(E448="",E448="!!!",F448="NEW"),"",INDEX(B$2:B447,-1+SUMPRODUCT(MAX(ROW(E$2:E447)*(E448=E$2:E447)))))</f>
        <v/>
      </c>
      <c r="J448" s="33" t="str">
        <f aca="true">IF(OR(E448="",E448="!!!",F448="NEW"),"",COUNTBLANK(OFFSET(A$1,,,SUMPRODUCT(MAX(ROW(E$2:E448)*(E448=E$2:E448)))))-COUNTBLANK(OFFSET(A$1,,,SUMPRODUCT(MAX(ROW(E$1:E447)*(E2=E$1:E447))))))</f>
        <v/>
      </c>
      <c r="K448" s="33" t="str">
        <f aca="false">IF(OR(E448="",E448="!!!",F448="NEW"),"",INDEX(J$1:J447,SUMPRODUCT(MAX(ROW(E$1:E447)*(E448=E$1:E447)))))</f>
        <v/>
      </c>
      <c r="L448" s="34"/>
    </row>
    <row r="449" customFormat="false" ht="15.8" hidden="false" customHeight="false" outlineLevel="0" collapsed="false">
      <c r="A449" s="20" t="s">
        <v>316</v>
      </c>
      <c r="E449" s="29" t="str">
        <f aca="false">IF(D449="?OLD","!!!","")</f>
        <v/>
      </c>
      <c r="F449" s="30" t="str">
        <f aca="false">IF(OR(E449="",E449="!!!"),"",IF(NOT(ISNA(VLOOKUP(E449,E$1:E448,1,FALSE()))),"OLD",IF(AND(E449&lt;&gt;"",E449&lt;&gt;"!!!"),"NEW","")))</f>
        <v/>
      </c>
      <c r="G449" s="31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32" t="str">
        <f aca="false">IF(J449&lt;&gt;1,"",IF(I449="SBJ","CB","?"))</f>
        <v/>
      </c>
      <c r="I449" s="33" t="str">
        <f aca="false">IF(OR(E449="",E449="!!!",F449="NEW"),"",INDEX(B$2:B448,-1+SUMPRODUCT(MAX(ROW(E$2:E448)*(E449=E$2:E448)))))</f>
        <v/>
      </c>
      <c r="J449" s="33" t="str">
        <f aca="true">IF(OR(E449="",E449="!!!",F449="NEW"),"",COUNTBLANK(OFFSET(A$1,,,SUMPRODUCT(MAX(ROW(E$2:E449)*(E449=E$2:E449)))))-COUNTBLANK(OFFSET(A$1,,,SUMPRODUCT(MAX(ROW(E$1:E448)*(E2=E$1:E448))))))</f>
        <v/>
      </c>
      <c r="K449" s="33" t="str">
        <f aca="false">IF(OR(E449="",E449="!!!",F449="NEW"),"",INDEX(J$1:J448,SUMPRODUCT(MAX(ROW(E$1:E448)*(E449=E$1:E448)))))</f>
        <v/>
      </c>
      <c r="L449" s="34"/>
    </row>
    <row r="450" customFormat="false" ht="15.8" hidden="false" customHeight="false" outlineLevel="0" collapsed="false">
      <c r="A450" s="20"/>
    </row>
    <row r="451" customFormat="false" ht="15.8" hidden="false" customHeight="false" outlineLevel="0" collapsed="false">
      <c r="A451" s="20" t="s">
        <v>317</v>
      </c>
    </row>
    <row r="452" customFormat="false" ht="15.8" hidden="false" customHeight="false" outlineLevel="0" collapsed="false">
      <c r="A452" s="20" t="s">
        <v>287</v>
      </c>
      <c r="E452" s="29" t="str">
        <f aca="false">IF(D452="?OLD","!!!","")</f>
        <v/>
      </c>
      <c r="F452" s="30" t="str">
        <f aca="false">IF(OR(E452="",E452="!!!"),"",IF(NOT(ISNA(VLOOKUP(E452,E$1:E451,1,FALSE()))),"OLD",IF(AND(E452&lt;&gt;"",E452&lt;&gt;"!!!"),"NEW","")))</f>
        <v/>
      </c>
      <c r="G452" s="31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32" t="str">
        <f aca="false">IF(J452&lt;&gt;1,"",IF(I452="SBJ","CB","?"))</f>
        <v/>
      </c>
      <c r="I452" s="33" t="str">
        <f aca="false">IF(OR(E452="",E452="!!!",F452="NEW"),"",INDEX(B$2:B451,-1+SUMPRODUCT(MAX(ROW(E$2:E451)*(E452=E$2:E451)))))</f>
        <v/>
      </c>
      <c r="J452" s="33" t="str">
        <f aca="true">IF(OR(E452="",E452="!!!",F452="NEW"),"",COUNTBLANK(OFFSET(A$1,,,SUMPRODUCT(MAX(ROW(E$2:E452)*(E452=E$2:E452)))))-COUNTBLANK(OFFSET(A$1,,,SUMPRODUCT(MAX(ROW(E$1:E451)*(E2=E$1:E451))))))</f>
        <v/>
      </c>
      <c r="K452" s="33" t="str">
        <f aca="false">IF(OR(E452="",E452="!!!",F452="NEW"),"",INDEX(J$1:J451,SUMPRODUCT(MAX(ROW(E$1:E451)*(E452=E$1:E451)))))</f>
        <v/>
      </c>
      <c r="L452" s="34"/>
    </row>
    <row r="453" customFormat="false" ht="15.8" hidden="false" customHeight="false" outlineLevel="0" collapsed="false">
      <c r="A453" s="20" t="s">
        <v>176</v>
      </c>
      <c r="E453" s="29" t="str">
        <f aca="false">IF(D453="?OLD","!!!","")</f>
        <v/>
      </c>
      <c r="F453" s="30" t="str">
        <f aca="false">IF(OR(E453="",E453="!!!"),"",IF(NOT(ISNA(VLOOKUP(E453,E$1:E452,1,FALSE()))),"OLD",IF(AND(E453&lt;&gt;"",E453&lt;&gt;"!!!"),"NEW","")))</f>
        <v/>
      </c>
      <c r="G453" s="31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32" t="str">
        <f aca="false">IF(J453&lt;&gt;1,"",IF(I453="SBJ","CB","?"))</f>
        <v/>
      </c>
      <c r="I453" s="33" t="str">
        <f aca="false">IF(OR(E453="",E453="!!!",F453="NEW"),"",INDEX(B$2:B452,-1+SUMPRODUCT(MAX(ROW(E$2:E452)*(E453=E$2:E452)))))</f>
        <v/>
      </c>
      <c r="J453" s="33" t="str">
        <f aca="true">IF(OR(E453="",E453="!!!",F453="NEW"),"",COUNTBLANK(OFFSET(A$1,,,SUMPRODUCT(MAX(ROW(E$2:E453)*(E453=E$2:E453)))))-COUNTBLANK(OFFSET(A$1,,,SUMPRODUCT(MAX(ROW(E$1:E452)*(E2=E$1:E452))))))</f>
        <v/>
      </c>
      <c r="K453" s="33" t="str">
        <f aca="false">IF(OR(E453="",E453="!!!",F453="NEW"),"",INDEX(J$1:J452,SUMPRODUCT(MAX(ROW(E$1:E452)*(E453=E$1:E452)))))</f>
        <v/>
      </c>
      <c r="L453" s="34"/>
    </row>
    <row r="454" customFormat="false" ht="15.8" hidden="false" customHeight="false" outlineLevel="0" collapsed="false">
      <c r="A454" s="20" t="s">
        <v>234</v>
      </c>
      <c r="E454" s="29" t="str">
        <f aca="false">IF(D454="?OLD","!!!","")</f>
        <v/>
      </c>
      <c r="F454" s="30" t="str">
        <f aca="false">IF(OR(E454="",E454="!!!"),"",IF(NOT(ISNA(VLOOKUP(E454,E$1:E453,1,FALSE()))),"OLD",IF(AND(E454&lt;&gt;"",E454&lt;&gt;"!!!"),"NEW","")))</f>
        <v/>
      </c>
      <c r="G454" s="31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32" t="str">
        <f aca="false">IF(J454&lt;&gt;1,"",IF(I454="SBJ","CB","?"))</f>
        <v/>
      </c>
      <c r="I454" s="33" t="str">
        <f aca="false">IF(OR(E454="",E454="!!!",F454="NEW"),"",INDEX(B$2:B453,-1+SUMPRODUCT(MAX(ROW(E$2:E453)*(E454=E$2:E453)))))</f>
        <v/>
      </c>
      <c r="J454" s="33" t="str">
        <f aca="true">IF(OR(E454="",E454="!!!",F454="NEW"),"",COUNTBLANK(OFFSET(A$1,,,SUMPRODUCT(MAX(ROW(E$2:E454)*(E454=E$2:E454)))))-COUNTBLANK(OFFSET(A$1,,,SUMPRODUCT(MAX(ROW(E$1:E453)*(E2=E$1:E453))))))</f>
        <v/>
      </c>
      <c r="K454" s="33" t="str">
        <f aca="false">IF(OR(E454="",E454="!!!",F454="NEW"),"",INDEX(J$1:J453,SUMPRODUCT(MAX(ROW(E$1:E453)*(E454=E$1:E453)))))</f>
        <v/>
      </c>
      <c r="L454" s="34"/>
    </row>
    <row r="455" customFormat="false" ht="15.8" hidden="false" customHeight="false" outlineLevel="0" collapsed="false">
      <c r="A455" s="20" t="s">
        <v>214</v>
      </c>
      <c r="E455" s="29" t="str">
        <f aca="false">IF(D455="?OLD","!!!","")</f>
        <v/>
      </c>
      <c r="F455" s="30" t="str">
        <f aca="false">IF(OR(E455="",E455="!!!"),"",IF(NOT(ISNA(VLOOKUP(E455,E$1:E454,1,FALSE()))),"OLD",IF(AND(E455&lt;&gt;"",E455&lt;&gt;"!!!"),"NEW","")))</f>
        <v/>
      </c>
      <c r="G455" s="31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32" t="str">
        <f aca="false">IF(J455&lt;&gt;1,"",IF(I455="SBJ","CB","?"))</f>
        <v/>
      </c>
      <c r="I455" s="33" t="str">
        <f aca="false">IF(OR(E455="",E455="!!!",F455="NEW"),"",INDEX(B$2:B454,-1+SUMPRODUCT(MAX(ROW(E$2:E454)*(E455=E$2:E454)))))</f>
        <v/>
      </c>
      <c r="J455" s="33" t="str">
        <f aca="true">IF(OR(E455="",E455="!!!",F455="NEW"),"",COUNTBLANK(OFFSET(A$1,,,SUMPRODUCT(MAX(ROW(E$2:E455)*(E455=E$2:E455)))))-COUNTBLANK(OFFSET(A$1,,,SUMPRODUCT(MAX(ROW(E$1:E454)*(E2=E$1:E454))))))</f>
        <v/>
      </c>
      <c r="K455" s="33" t="str">
        <f aca="false">IF(OR(E455="",E455="!!!",F455="NEW"),"",INDEX(J$1:J454,SUMPRODUCT(MAX(ROW(E$1:E454)*(E455=E$1:E454)))))</f>
        <v/>
      </c>
      <c r="L455" s="34"/>
    </row>
    <row r="456" customFormat="false" ht="15.8" hidden="false" customHeight="false" outlineLevel="0" collapsed="false">
      <c r="A456" s="20" t="s">
        <v>215</v>
      </c>
      <c r="E456" s="29" t="str">
        <f aca="false">IF(D456="?OLD","!!!","")</f>
        <v/>
      </c>
      <c r="F456" s="30" t="str">
        <f aca="false">IF(OR(E456="",E456="!!!"),"",IF(NOT(ISNA(VLOOKUP(E456,E$1:E455,1,FALSE()))),"OLD",IF(AND(E456&lt;&gt;"",E456&lt;&gt;"!!!"),"NEW","")))</f>
        <v/>
      </c>
      <c r="G456" s="31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32" t="str">
        <f aca="false">IF(J456&lt;&gt;1,"",IF(I456="SBJ","CB","?"))</f>
        <v/>
      </c>
      <c r="I456" s="33" t="str">
        <f aca="false">IF(OR(E456="",E456="!!!",F456="NEW"),"",INDEX(B$2:B455,-1+SUMPRODUCT(MAX(ROW(E$2:E455)*(E456=E$2:E455)))))</f>
        <v/>
      </c>
      <c r="J456" s="33" t="str">
        <f aca="true">IF(OR(E456="",E456="!!!",F456="NEW"),"",COUNTBLANK(OFFSET(A$1,,,SUMPRODUCT(MAX(ROW(E$2:E456)*(E456=E$2:E456)))))-COUNTBLANK(OFFSET(A$1,,,SUMPRODUCT(MAX(ROW(E$1:E455)*(E2=E$1:E455))))))</f>
        <v/>
      </c>
      <c r="K456" s="33" t="str">
        <f aca="false">IF(OR(E456="",E456="!!!",F456="NEW"),"",INDEX(J$1:J455,SUMPRODUCT(MAX(ROW(E$1:E455)*(E456=E$1:E455)))))</f>
        <v/>
      </c>
      <c r="L456" s="34"/>
    </row>
    <row r="457" customFormat="false" ht="15.8" hidden="false" customHeight="false" outlineLevel="0" collapsed="false">
      <c r="A457" s="20" t="s">
        <v>295</v>
      </c>
      <c r="B457" s="21" t="s">
        <v>174</v>
      </c>
      <c r="C457" s="21" t="s">
        <v>160</v>
      </c>
      <c r="D457" s="21" t="s">
        <v>148</v>
      </c>
      <c r="E457" s="29" t="str">
        <f aca="false">IF(D457="?OLD","!!!","")</f>
        <v>!!!</v>
      </c>
      <c r="F457" s="30" t="str">
        <f aca="false">IF(OR(E457="",E457="!!!"),"",IF(NOT(ISNA(VLOOKUP(E457,E$1:E456,1,FALSE()))),"OLD",IF(AND(E457&lt;&gt;"",E457&lt;&gt;"!!!"),"NEW","")))</f>
        <v/>
      </c>
      <c r="G457" s="31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32" t="str">
        <f aca="false">IF(J457&lt;&gt;1,"",IF(I457="SBJ","CB","?"))</f>
        <v/>
      </c>
      <c r="I457" s="33" t="str">
        <f aca="false">IF(OR(E457="",E457="!!!",F457="NEW"),"",INDEX(B$2:B456,-1+SUMPRODUCT(MAX(ROW(E$2:E456)*(E457=E$2:E456)))))</f>
        <v/>
      </c>
      <c r="J457" s="33" t="str">
        <f aca="true">IF(OR(E457="",E457="!!!",F457="NEW"),"",COUNTBLANK(OFFSET(A$1,,,SUMPRODUCT(MAX(ROW(E$2:E457)*(E457=E$2:E457)))))-COUNTBLANK(OFFSET(A$1,,,SUMPRODUCT(MAX(ROW(E$1:E456)*(E2=E$1:E456))))))</f>
        <v/>
      </c>
      <c r="K457" s="33" t="str">
        <f aca="false">IF(OR(E457="",E457="!!!",F457="NEW"),"",INDEX(J$1:J456,SUMPRODUCT(MAX(ROW(E$1:E456)*(E457=E$1:E456)))))</f>
        <v/>
      </c>
      <c r="L457" s="34"/>
    </row>
    <row r="458" customFormat="false" ht="15.8" hidden="false" customHeight="false" outlineLevel="0" collapsed="false">
      <c r="A458" s="20" t="s">
        <v>176</v>
      </c>
      <c r="E458" s="29" t="str">
        <f aca="false">IF(D458="?OLD","!!!","")</f>
        <v/>
      </c>
      <c r="F458" s="30" t="str">
        <f aca="false">IF(OR(E458="",E458="!!!"),"",IF(NOT(ISNA(VLOOKUP(E458,E$1:E457,1,FALSE()))),"OLD",IF(AND(E458&lt;&gt;"",E458&lt;&gt;"!!!"),"NEW","")))</f>
        <v/>
      </c>
      <c r="G458" s="31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32" t="str">
        <f aca="false">IF(J458&lt;&gt;1,"",IF(I458="SBJ","CB","?"))</f>
        <v/>
      </c>
      <c r="I458" s="33" t="str">
        <f aca="false">IF(OR(E458="",E458="!!!",F458="NEW"),"",INDEX(B$2:B457,-1+SUMPRODUCT(MAX(ROW(E$2:E457)*(E458=E$2:E457)))))</f>
        <v/>
      </c>
      <c r="J458" s="33" t="str">
        <f aca="true">IF(OR(E458="",E458="!!!",F458="NEW"),"",COUNTBLANK(OFFSET(A$1,,,SUMPRODUCT(MAX(ROW(E$2:E458)*(E458=E$2:E458)))))-COUNTBLANK(OFFSET(A$1,,,SUMPRODUCT(MAX(ROW(E$1:E457)*(E2=E$1:E457))))))</f>
        <v/>
      </c>
      <c r="K458" s="33" t="str">
        <f aca="false">IF(OR(E458="",E458="!!!",F458="NEW"),"",INDEX(J$1:J457,SUMPRODUCT(MAX(ROW(E$1:E457)*(E458=E$1:E457)))))</f>
        <v/>
      </c>
      <c r="L458" s="34"/>
    </row>
    <row r="459" customFormat="false" ht="15.8" hidden="false" customHeight="false" outlineLevel="0" collapsed="false">
      <c r="A459" s="20" t="s">
        <v>216</v>
      </c>
      <c r="E459" s="29" t="str">
        <f aca="false">IF(D459="?OLD","!!!","")</f>
        <v/>
      </c>
      <c r="F459" s="30" t="str">
        <f aca="false">IF(OR(E459="",E459="!!!"),"",IF(NOT(ISNA(VLOOKUP(E459,E$1:E458,1,FALSE()))),"OLD",IF(AND(E459&lt;&gt;"",E459&lt;&gt;"!!!"),"NEW","")))</f>
        <v/>
      </c>
      <c r="G459" s="31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32" t="str">
        <f aca="false">IF(J459&lt;&gt;1,"",IF(I459="SBJ","CB","?"))</f>
        <v/>
      </c>
      <c r="I459" s="33" t="str">
        <f aca="false">IF(OR(E459="",E459="!!!",F459="NEW"),"",INDEX(B$2:B458,-1+SUMPRODUCT(MAX(ROW(E$2:E458)*(E459=E$2:E458)))))</f>
        <v/>
      </c>
      <c r="J459" s="33" t="str">
        <f aca="true">IF(OR(E459="",E459="!!!",F459="NEW"),"",COUNTBLANK(OFFSET(A$1,,,SUMPRODUCT(MAX(ROW(E$2:E459)*(E459=E$2:E459)))))-COUNTBLANK(OFFSET(A$1,,,SUMPRODUCT(MAX(ROW(E$1:E458)*(E2=E$1:E458))))))</f>
        <v/>
      </c>
      <c r="K459" s="33" t="str">
        <f aca="false">IF(OR(E459="",E459="!!!",F459="NEW"),"",INDEX(J$1:J458,SUMPRODUCT(MAX(ROW(E$1:E458)*(E459=E$1:E458)))))</f>
        <v/>
      </c>
      <c r="L459" s="34"/>
    </row>
    <row r="460" customFormat="false" ht="15.8" hidden="false" customHeight="false" outlineLevel="0" collapsed="false">
      <c r="A460" s="20" t="s">
        <v>217</v>
      </c>
      <c r="E460" s="29" t="str">
        <f aca="false">IF(D460="?OLD","!!!","")</f>
        <v/>
      </c>
      <c r="F460" s="30" t="str">
        <f aca="false">IF(OR(E460="",E460="!!!"),"",IF(NOT(ISNA(VLOOKUP(E460,E$1:E459,1,FALSE()))),"OLD",IF(AND(E460&lt;&gt;"",E460&lt;&gt;"!!!"),"NEW","")))</f>
        <v/>
      </c>
      <c r="G460" s="31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32" t="str">
        <f aca="false">IF(J460&lt;&gt;1,"",IF(I460="SBJ","CB","?"))</f>
        <v/>
      </c>
      <c r="I460" s="33" t="str">
        <f aca="false">IF(OR(E460="",E460="!!!",F460="NEW"),"",INDEX(B$2:B459,-1+SUMPRODUCT(MAX(ROW(E$2:E459)*(E460=E$2:E459)))))</f>
        <v/>
      </c>
      <c r="J460" s="33" t="str">
        <f aca="true">IF(OR(E460="",E460="!!!",F460="NEW"),"",COUNTBLANK(OFFSET(A$1,,,SUMPRODUCT(MAX(ROW(E$2:E460)*(E460=E$2:E460)))))-COUNTBLANK(OFFSET(A$1,,,SUMPRODUCT(MAX(ROW(E$1:E459)*(E2=E$1:E459))))))</f>
        <v/>
      </c>
      <c r="K460" s="33" t="str">
        <f aca="false">IF(OR(E460="",E460="!!!",F460="NEW"),"",INDEX(J$1:J459,SUMPRODUCT(MAX(ROW(E$1:E459)*(E460=E$1:E459)))))</f>
        <v/>
      </c>
      <c r="L460" s="34"/>
    </row>
    <row r="461" customFormat="false" ht="15.8" hidden="false" customHeight="false" outlineLevel="0" collapsed="false">
      <c r="A461" s="20" t="s">
        <v>318</v>
      </c>
      <c r="E461" s="29" t="str">
        <f aca="false">IF(D461="?OLD","!!!","")</f>
        <v/>
      </c>
      <c r="F461" s="30" t="str">
        <f aca="false">IF(OR(E461="",E461="!!!"),"",IF(NOT(ISNA(VLOOKUP(E461,E$1:E460,1,FALSE()))),"OLD",IF(AND(E461&lt;&gt;"",E461&lt;&gt;"!!!"),"NEW","")))</f>
        <v/>
      </c>
      <c r="G461" s="31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32" t="str">
        <f aca="false">IF(J461&lt;&gt;1,"",IF(I461="SBJ","CB","?"))</f>
        <v/>
      </c>
      <c r="I461" s="33" t="str">
        <f aca="false">IF(OR(E461="",E461="!!!",F461="NEW"),"",INDEX(B$2:B460,-1+SUMPRODUCT(MAX(ROW(E$2:E460)*(E461=E$2:E460)))))</f>
        <v/>
      </c>
      <c r="J461" s="33" t="str">
        <f aca="true">IF(OR(E461="",E461="!!!",F461="NEW"),"",COUNTBLANK(OFFSET(A$1,,,SUMPRODUCT(MAX(ROW(E$2:E461)*(E461=E$2:E461)))))-COUNTBLANK(OFFSET(A$1,,,SUMPRODUCT(MAX(ROW(E$1:E460)*(E2=E$1:E460))))))</f>
        <v/>
      </c>
      <c r="K461" s="33" t="str">
        <f aca="false">IF(OR(E461="",E461="!!!",F461="NEW"),"",INDEX(J$1:J460,SUMPRODUCT(MAX(ROW(E$1:E460)*(E461=E$1:E460)))))</f>
        <v/>
      </c>
      <c r="L461" s="34"/>
    </row>
    <row r="462" customFormat="false" ht="15.8" hidden="false" customHeight="false" outlineLevel="0" collapsed="false">
      <c r="A462" s="20" t="s">
        <v>199</v>
      </c>
      <c r="B462" s="21" t="s">
        <v>153</v>
      </c>
      <c r="C462" s="21" t="s">
        <v>200</v>
      </c>
      <c r="E462" s="29" t="str">
        <f aca="false">IF(D462="?OLD","!!!","")</f>
        <v/>
      </c>
      <c r="F462" s="30" t="str">
        <f aca="false">IF(OR(E462="",E462="!!!"),"",IF(NOT(ISNA(VLOOKUP(E462,E$1:E461,1,FALSE()))),"OLD",IF(AND(E462&lt;&gt;"",E462&lt;&gt;"!!!"),"NEW","")))</f>
        <v/>
      </c>
      <c r="G462" s="31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32" t="str">
        <f aca="false">IF(J462&lt;&gt;1,"",IF(I462="SBJ","CB","?"))</f>
        <v/>
      </c>
      <c r="I462" s="33" t="str">
        <f aca="false">IF(OR(E462="",E462="!!!",F462="NEW"),"",INDEX(B$2:B461,-1+SUMPRODUCT(MAX(ROW(E$2:E461)*(E462=E$2:E461)))))</f>
        <v/>
      </c>
      <c r="J462" s="33" t="str">
        <f aca="true">IF(OR(E462="",E462="!!!",F462="NEW"),"",COUNTBLANK(OFFSET(A$1,,,SUMPRODUCT(MAX(ROW(E$2:E462)*(E462=E$2:E462)))))-COUNTBLANK(OFFSET(A$1,,,SUMPRODUCT(MAX(ROW(E$1:E461)*(E2=E$1:E461))))))</f>
        <v/>
      </c>
      <c r="K462" s="33" t="str">
        <f aca="false">IF(OR(E462="",E462="!!!",F462="NEW"),"",INDEX(J$1:J461,SUMPRODUCT(MAX(ROW(E$1:E461)*(E462=E$1:E461)))))</f>
        <v/>
      </c>
      <c r="L462" s="34"/>
    </row>
    <row r="463" customFormat="false" ht="15.8" hidden="false" customHeight="false" outlineLevel="0" collapsed="false">
      <c r="A463" s="20" t="s">
        <v>187</v>
      </c>
      <c r="E463" s="29" t="str">
        <f aca="false">IF(D463="?OLD","!!!","")</f>
        <v/>
      </c>
      <c r="F463" s="30" t="str">
        <f aca="false">IF(OR(E463="",E463="!!!"),"",IF(NOT(ISNA(VLOOKUP(E463,E$1:E462,1,FALSE()))),"OLD",IF(AND(E463&lt;&gt;"",E463&lt;&gt;"!!!"),"NEW","")))</f>
        <v/>
      </c>
      <c r="G463" s="31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32" t="str">
        <f aca="false">IF(J463&lt;&gt;1,"",IF(I463="SBJ","CB","?"))</f>
        <v/>
      </c>
      <c r="I463" s="33" t="str">
        <f aca="false">IF(OR(E463="",E463="!!!",F463="NEW"),"",INDEX(B$2:B462,-1+SUMPRODUCT(MAX(ROW(E$2:E462)*(E463=E$2:E462)))))</f>
        <v/>
      </c>
      <c r="J463" s="33" t="str">
        <f aca="true">IF(OR(E463="",E463="!!!",F463="NEW"),"",COUNTBLANK(OFFSET(A$1,,,SUMPRODUCT(MAX(ROW(E$2:E463)*(E463=E$2:E463)))))-COUNTBLANK(OFFSET(A$1,,,SUMPRODUCT(MAX(ROW(E$1:E462)*(E2=E$1:E462))))))</f>
        <v/>
      </c>
      <c r="K463" s="33" t="str">
        <f aca="false">IF(OR(E463="",E463="!!!",F463="NEW"),"",INDEX(J$1:J462,SUMPRODUCT(MAX(ROW(E$1:E462)*(E463=E$1:E462)))))</f>
        <v/>
      </c>
      <c r="L463" s="34"/>
    </row>
    <row r="464" customFormat="false" ht="15.8" hidden="false" customHeight="false" outlineLevel="0" collapsed="false">
      <c r="A464" s="20" t="s">
        <v>201</v>
      </c>
      <c r="E464" s="29" t="str">
        <f aca="false">IF(D464="?OLD","!!!","")</f>
        <v/>
      </c>
      <c r="F464" s="30" t="str">
        <f aca="false">IF(OR(E464="",E464="!!!"),"",IF(NOT(ISNA(VLOOKUP(E464,E$1:E463,1,FALSE()))),"OLD",IF(AND(E464&lt;&gt;"",E464&lt;&gt;"!!!"),"NEW","")))</f>
        <v/>
      </c>
      <c r="G464" s="31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32" t="str">
        <f aca="false">IF(J464&lt;&gt;1,"",IF(I464="SBJ","CB","?"))</f>
        <v/>
      </c>
      <c r="I464" s="33" t="str">
        <f aca="false">IF(OR(E464="",E464="!!!",F464="NEW"),"",INDEX(B$2:B463,-1+SUMPRODUCT(MAX(ROW(E$2:E463)*(E464=E$2:E463)))))</f>
        <v/>
      </c>
      <c r="J464" s="33" t="str">
        <f aca="true">IF(OR(E464="",E464="!!!",F464="NEW"),"",COUNTBLANK(OFFSET(A$1,,,SUMPRODUCT(MAX(ROW(E$2:E464)*(E464=E$2:E464)))))-COUNTBLANK(OFFSET(A$1,,,SUMPRODUCT(MAX(ROW(E$1:E463)*(E2=E$1:E463))))))</f>
        <v/>
      </c>
      <c r="K464" s="33" t="str">
        <f aca="false">IF(OR(E464="",E464="!!!",F464="NEW"),"",INDEX(J$1:J463,SUMPRODUCT(MAX(ROW(E$1:E463)*(E464=E$1:E463)))))</f>
        <v/>
      </c>
      <c r="L464" s="34"/>
    </row>
    <row r="465" customFormat="false" ht="15.8" hidden="false" customHeight="false" outlineLevel="0" collapsed="false">
      <c r="A465" s="20" t="s">
        <v>219</v>
      </c>
      <c r="B465" s="21" t="s">
        <v>174</v>
      </c>
      <c r="C465" s="21" t="s">
        <v>186</v>
      </c>
      <c r="E465" s="29" t="str">
        <f aca="false">IF(D465="?OLD","!!!","")</f>
        <v/>
      </c>
      <c r="F465" s="30" t="str">
        <f aca="false">IF(OR(E465="",E465="!!!"),"",IF(NOT(ISNA(VLOOKUP(E465,E$1:E464,1,FALSE()))),"OLD",IF(AND(E465&lt;&gt;"",E465&lt;&gt;"!!!"),"NEW","")))</f>
        <v/>
      </c>
      <c r="G465" s="31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32" t="str">
        <f aca="false">IF(J465&lt;&gt;1,"",IF(I465="SBJ","CB","?"))</f>
        <v/>
      </c>
      <c r="I465" s="33" t="str">
        <f aca="false">IF(OR(E465="",E465="!!!",F465="NEW"),"",INDEX(B$2:B464,-1+SUMPRODUCT(MAX(ROW(E$2:E464)*(E465=E$2:E464)))))</f>
        <v/>
      </c>
      <c r="J465" s="33" t="str">
        <f aca="true">IF(OR(E465="",E465="!!!",F465="NEW"),"",COUNTBLANK(OFFSET(A$1,,,SUMPRODUCT(MAX(ROW(E$2:E465)*(E465=E$2:E465)))))-COUNTBLANK(OFFSET(A$1,,,SUMPRODUCT(MAX(ROW(E$1:E464)*(E2=E$1:E464))))))</f>
        <v/>
      </c>
      <c r="K465" s="33" t="str">
        <f aca="false">IF(OR(E465="",E465="!!!",F465="NEW"),"",INDEX(J$1:J464,SUMPRODUCT(MAX(ROW(E$1:E464)*(E465=E$1:E464)))))</f>
        <v/>
      </c>
      <c r="L465" s="34"/>
    </row>
    <row r="466" customFormat="false" ht="15.8" hidden="false" customHeight="false" outlineLevel="0" collapsed="false">
      <c r="A466" s="20" t="s">
        <v>187</v>
      </c>
      <c r="E466" s="29" t="str">
        <f aca="false">IF(D466="?OLD","!!!","")</f>
        <v/>
      </c>
      <c r="F466" s="30" t="str">
        <f aca="false">IF(OR(E466="",E466="!!!"),"",IF(NOT(ISNA(VLOOKUP(E466,E$1:E465,1,FALSE()))),"OLD",IF(AND(E466&lt;&gt;"",E466&lt;&gt;"!!!"),"NEW","")))</f>
        <v/>
      </c>
      <c r="G466" s="31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32" t="str">
        <f aca="false">IF(J466&lt;&gt;1,"",IF(I466="SBJ","CB","?"))</f>
        <v/>
      </c>
      <c r="I466" s="33" t="str">
        <f aca="false">IF(OR(E466="",E466="!!!",F466="NEW"),"",INDEX(B$2:B465,-1+SUMPRODUCT(MAX(ROW(E$2:E465)*(E466=E$2:E465)))))</f>
        <v/>
      </c>
      <c r="J466" s="33" t="str">
        <f aca="true">IF(OR(E466="",E466="!!!",F466="NEW"),"",COUNTBLANK(OFFSET(A$1,,,SUMPRODUCT(MAX(ROW(E$2:E466)*(E466=E$2:E466)))))-COUNTBLANK(OFFSET(A$1,,,SUMPRODUCT(MAX(ROW(E$1:E465)*(E2=E$1:E465))))))</f>
        <v/>
      </c>
      <c r="K466" s="33" t="str">
        <f aca="false">IF(OR(E466="",E466="!!!",F466="NEW"),"",INDEX(J$1:J465,SUMPRODUCT(MAX(ROW(E$1:E465)*(E466=E$1:E465)))))</f>
        <v/>
      </c>
      <c r="L466" s="34"/>
    </row>
    <row r="467" customFormat="false" ht="15.8" hidden="false" customHeight="false" outlineLevel="0" collapsed="false">
      <c r="A467" s="20" t="s">
        <v>220</v>
      </c>
      <c r="B467" s="21" t="s">
        <v>170</v>
      </c>
      <c r="C467" s="21" t="s">
        <v>186</v>
      </c>
      <c r="E467" s="29" t="str">
        <f aca="false">IF(D467="?OLD","!!!","")</f>
        <v/>
      </c>
      <c r="F467" s="30" t="str">
        <f aca="false">IF(OR(E467="",E467="!!!"),"",IF(NOT(ISNA(VLOOKUP(E467,E$1:E466,1,FALSE()))),"OLD",IF(AND(E467&lt;&gt;"",E467&lt;&gt;"!!!"),"NEW","")))</f>
        <v/>
      </c>
      <c r="G467" s="31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32" t="str">
        <f aca="false">IF(J467&lt;&gt;1,"",IF(I467="SBJ","CB","?"))</f>
        <v/>
      </c>
      <c r="I467" s="33" t="str">
        <f aca="false">IF(OR(E467="",E467="!!!",F467="NEW"),"",INDEX(B$2:B466,-1+SUMPRODUCT(MAX(ROW(E$2:E466)*(E467=E$2:E466)))))</f>
        <v/>
      </c>
      <c r="J467" s="33" t="str">
        <f aca="true">IF(OR(E467="",E467="!!!",F467="NEW"),"",COUNTBLANK(OFFSET(A$1,,,SUMPRODUCT(MAX(ROW(E$2:E467)*(E467=E$2:E467)))))-COUNTBLANK(OFFSET(A$1,,,SUMPRODUCT(MAX(ROW(E$1:E466)*(E2=E$1:E466))))))</f>
        <v/>
      </c>
      <c r="K467" s="33" t="str">
        <f aca="false">IF(OR(E467="",E467="!!!",F467="NEW"),"",INDEX(J$1:J466,SUMPRODUCT(MAX(ROW(E$1:E466)*(E467=E$1:E466)))))</f>
        <v/>
      </c>
      <c r="L467" s="34"/>
    </row>
    <row r="468" customFormat="false" ht="15.8" hidden="false" customHeight="false" outlineLevel="0" collapsed="false">
      <c r="A468" s="20"/>
    </row>
    <row r="469" customFormat="false" ht="15.8" hidden="false" customHeight="false" outlineLevel="0" collapsed="false">
      <c r="A469" s="20" t="s">
        <v>319</v>
      </c>
    </row>
    <row r="470" customFormat="false" ht="15.8" hidden="false" customHeight="false" outlineLevel="0" collapsed="false">
      <c r="A470" s="20" t="s">
        <v>222</v>
      </c>
      <c r="E470" s="29" t="str">
        <f aca="false">IF(D470="?OLD","!!!","")</f>
        <v/>
      </c>
      <c r="F470" s="30" t="str">
        <f aca="false">IF(OR(E470="",E470="!!!"),"",IF(NOT(ISNA(VLOOKUP(E470,E$1:E469,1,FALSE()))),"OLD",IF(AND(E470&lt;&gt;"",E470&lt;&gt;"!!!"),"NEW","")))</f>
        <v/>
      </c>
      <c r="G470" s="31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32" t="str">
        <f aca="false">IF(J470&lt;&gt;1,"",IF(I470="SBJ","CB","?"))</f>
        <v/>
      </c>
      <c r="I470" s="33" t="str">
        <f aca="false">IF(OR(E470="",E470="!!!",F470="NEW"),"",INDEX(B$2:B469,-1+SUMPRODUCT(MAX(ROW(E$2:E469)*(E470=E$2:E469)))))</f>
        <v/>
      </c>
      <c r="J470" s="33" t="str">
        <f aca="true">IF(OR(E470="",E470="!!!",F470="NEW"),"",COUNTBLANK(OFFSET(A$1,,,SUMPRODUCT(MAX(ROW(E$2:E470)*(E470=E$2:E470)))))-COUNTBLANK(OFFSET(A$1,,,SUMPRODUCT(MAX(ROW(E$1:E469)*(E2=E$1:E469))))))</f>
        <v/>
      </c>
      <c r="K470" s="33" t="str">
        <f aca="false">IF(OR(E470="",E470="!!!",F470="NEW"),"",INDEX(J$1:J469,SUMPRODUCT(MAX(ROW(E$1:E469)*(E470=E$1:E469)))))</f>
        <v/>
      </c>
      <c r="L470" s="34"/>
    </row>
    <row r="471" customFormat="false" ht="15.8" hidden="false" customHeight="false" outlineLevel="0" collapsed="false">
      <c r="A471" s="20" t="s">
        <v>223</v>
      </c>
      <c r="E471" s="29" t="str">
        <f aca="false">IF(D471="?OLD","!!!","")</f>
        <v/>
      </c>
      <c r="F471" s="30" t="str">
        <f aca="false">IF(OR(E471="",E471="!!!"),"",IF(NOT(ISNA(VLOOKUP(E471,E$1:E470,1,FALSE()))),"OLD",IF(AND(E471&lt;&gt;"",E471&lt;&gt;"!!!"),"NEW","")))</f>
        <v/>
      </c>
      <c r="G471" s="31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32" t="str">
        <f aca="false">IF(J471&lt;&gt;1,"",IF(I471="SBJ","CB","?"))</f>
        <v/>
      </c>
      <c r="I471" s="33" t="str">
        <f aca="false">IF(OR(E471="",E471="!!!",F471="NEW"),"",INDEX(B$2:B470,-1+SUMPRODUCT(MAX(ROW(E$2:E470)*(E471=E$2:E470)))))</f>
        <v/>
      </c>
      <c r="J471" s="33" t="str">
        <f aca="true">IF(OR(E471="",E471="!!!",F471="NEW"),"",COUNTBLANK(OFFSET(A$1,,,SUMPRODUCT(MAX(ROW(E$2:E471)*(E471=E$2:E471)))))-COUNTBLANK(OFFSET(A$1,,,SUMPRODUCT(MAX(ROW(E$1:E470)*(E2=E$1:E470))))))</f>
        <v/>
      </c>
      <c r="K471" s="33" t="str">
        <f aca="false">IF(OR(E471="",E471="!!!",F471="NEW"),"",INDEX(J$1:J470,SUMPRODUCT(MAX(ROW(E$1:E470)*(E471=E$1:E470)))))</f>
        <v/>
      </c>
      <c r="L471" s="34"/>
    </row>
    <row r="472" customFormat="false" ht="15.8" hidden="false" customHeight="false" outlineLevel="0" collapsed="false">
      <c r="A472" s="20" t="s">
        <v>224</v>
      </c>
      <c r="B472" s="21" t="s">
        <v>168</v>
      </c>
      <c r="C472" s="21" t="s">
        <v>154</v>
      </c>
      <c r="D472" s="21" t="s">
        <v>148</v>
      </c>
      <c r="E472" s="29" t="str">
        <f aca="false">IF(D472="?OLD","!!!","")</f>
        <v>!!!</v>
      </c>
      <c r="F472" s="30" t="str">
        <f aca="false">IF(OR(E472="",E472="!!!"),"",IF(NOT(ISNA(VLOOKUP(E472,E$1:E471,1,FALSE()))),"OLD",IF(AND(E472&lt;&gt;"",E472&lt;&gt;"!!!"),"NEW","")))</f>
        <v/>
      </c>
      <c r="G472" s="31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32" t="str">
        <f aca="false">IF(J472&lt;&gt;1,"",IF(I472="SBJ","CB","?"))</f>
        <v/>
      </c>
      <c r="I472" s="33" t="str">
        <f aca="false">IF(OR(E472="",E472="!!!",F472="NEW"),"",INDEX(B$2:B471,-1+SUMPRODUCT(MAX(ROW(E$2:E471)*(E472=E$2:E471)))))</f>
        <v/>
      </c>
      <c r="J472" s="33" t="str">
        <f aca="true">IF(OR(E472="",E472="!!!",F472="NEW"),"",COUNTBLANK(OFFSET(A$1,,,SUMPRODUCT(MAX(ROW(E$2:E472)*(E472=E$2:E472)))))-COUNTBLANK(OFFSET(A$1,,,SUMPRODUCT(MAX(ROW(E$1:E471)*(E2=E$1:E471))))))</f>
        <v/>
      </c>
      <c r="K472" s="33" t="str">
        <f aca="false">IF(OR(E472="",E472="!!!",F472="NEW"),"",INDEX(J$1:J471,SUMPRODUCT(MAX(ROW(E$1:E471)*(E472=E$1:E471)))))</f>
        <v/>
      </c>
      <c r="L472" s="34"/>
    </row>
    <row r="473" customFormat="false" ht="15.8" hidden="false" customHeight="false" outlineLevel="0" collapsed="false">
      <c r="A473" s="20" t="s">
        <v>155</v>
      </c>
      <c r="E473" s="29" t="str">
        <f aca="false">IF(D473="?OLD","!!!","")</f>
        <v/>
      </c>
      <c r="F473" s="30" t="str">
        <f aca="false">IF(OR(E473="",E473="!!!"),"",IF(NOT(ISNA(VLOOKUP(E473,E$1:E472,1,FALSE()))),"OLD",IF(AND(E473&lt;&gt;"",E473&lt;&gt;"!!!"),"NEW","")))</f>
        <v/>
      </c>
      <c r="G473" s="31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32" t="str">
        <f aca="false">IF(J473&lt;&gt;1,"",IF(I473="SBJ","CB","?"))</f>
        <v/>
      </c>
      <c r="I473" s="33" t="str">
        <f aca="false">IF(OR(E473="",E473="!!!",F473="NEW"),"",INDEX(B$2:B472,-1+SUMPRODUCT(MAX(ROW(E$2:E472)*(E473=E$2:E472)))))</f>
        <v/>
      </c>
      <c r="J473" s="33" t="str">
        <f aca="true">IF(OR(E473="",E473="!!!",F473="NEW"),"",COUNTBLANK(OFFSET(A$1,,,SUMPRODUCT(MAX(ROW(E$2:E473)*(E473=E$2:E473)))))-COUNTBLANK(OFFSET(A$1,,,SUMPRODUCT(MAX(ROW(E$1:E472)*(E2=E$1:E472))))))</f>
        <v/>
      </c>
      <c r="K473" s="33" t="str">
        <f aca="false">IF(OR(E473="",E473="!!!",F473="NEW"),"",INDEX(J$1:J472,SUMPRODUCT(MAX(ROW(E$1:E472)*(E473=E$1:E472)))))</f>
        <v/>
      </c>
      <c r="L473" s="34"/>
    </row>
    <row r="474" customFormat="false" ht="15.8" hidden="false" customHeight="false" outlineLevel="0" collapsed="false">
      <c r="A474" s="20" t="s">
        <v>287</v>
      </c>
      <c r="B474" s="21" t="s">
        <v>170</v>
      </c>
      <c r="C474" s="21" t="s">
        <v>160</v>
      </c>
      <c r="D474" s="21" t="s">
        <v>148</v>
      </c>
      <c r="E474" s="29" t="str">
        <f aca="false">IF(D474="?OLD","!!!","")</f>
        <v>!!!</v>
      </c>
      <c r="F474" s="30" t="str">
        <f aca="false">IF(OR(E474="",E474="!!!"),"",IF(NOT(ISNA(VLOOKUP(E474,E$1:E473,1,FALSE()))),"OLD",IF(AND(E474&lt;&gt;"",E474&lt;&gt;"!!!"),"NEW","")))</f>
        <v/>
      </c>
      <c r="G474" s="31" t="str">
        <f aca="false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32" t="str">
        <f aca="false">IF(J474&lt;&gt;1,"",IF(I474="SBJ","CB","?"))</f>
        <v/>
      </c>
      <c r="I474" s="33" t="str">
        <f aca="false">IF(OR(E474="",E474="!!!",F474="NEW"),"",INDEX(B$2:B473,-1+SUMPRODUCT(MAX(ROW(E$2:E473)*(E474=E$2:E473)))))</f>
        <v/>
      </c>
      <c r="J474" s="33" t="str">
        <f aca="true">IF(OR(E474="",E474="!!!",F474="NEW"),"",COUNTBLANK(OFFSET(A$1,,,SUMPRODUCT(MAX(ROW(E$2:E474)*(E474=E$2:E474)))))-COUNTBLANK(OFFSET(A$1,,,SUMPRODUCT(MAX(ROW(E$1:E473)*(E2=E$1:E473))))))</f>
        <v/>
      </c>
      <c r="K474" s="33" t="str">
        <f aca="false">IF(OR(E474="",E474="!!!",F474="NEW"),"",INDEX(J$1:J473,SUMPRODUCT(MAX(ROW(E$1:E473)*(E474=E$1:E473)))))</f>
        <v/>
      </c>
      <c r="L474" s="34"/>
    </row>
    <row r="475" customFormat="false" ht="15.8" hidden="false" customHeight="false" outlineLevel="0" collapsed="false">
      <c r="A475" s="20" t="s">
        <v>225</v>
      </c>
      <c r="E475" s="29" t="str">
        <f aca="false">IF(D475="?OLD","!!!","")</f>
        <v/>
      </c>
      <c r="F475" s="30" t="str">
        <f aca="false">IF(OR(E475="",E475="!!!"),"",IF(NOT(ISNA(VLOOKUP(E475,E$1:E474,1,FALSE()))),"OLD",IF(AND(E475&lt;&gt;"",E475&lt;&gt;"!!!"),"NEW","")))</f>
        <v/>
      </c>
      <c r="G475" s="31" t="str">
        <f aca="false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32" t="str">
        <f aca="false">IF(J475&lt;&gt;1,"",IF(I475="SBJ","CB","?"))</f>
        <v/>
      </c>
      <c r="I475" s="33" t="str">
        <f aca="false">IF(OR(E475="",E475="!!!",F475="NEW"),"",INDEX(B$2:B474,-1+SUMPRODUCT(MAX(ROW(E$2:E474)*(E475=E$2:E474)))))</f>
        <v/>
      </c>
      <c r="J475" s="33" t="str">
        <f aca="true">IF(OR(E475="",E475="!!!",F475="NEW"),"",COUNTBLANK(OFFSET(A$1,,,SUMPRODUCT(MAX(ROW(E$2:E475)*(E475=E$2:E475)))))-COUNTBLANK(OFFSET(A$1,,,SUMPRODUCT(MAX(ROW(E$1:E474)*(E2=E$1:E474))))))</f>
        <v/>
      </c>
      <c r="K475" s="33" t="str">
        <f aca="false">IF(OR(E475="",E475="!!!",F475="NEW"),"",INDEX(J$1:J474,SUMPRODUCT(MAX(ROW(E$1:E474)*(E475=E$1:E474)))))</f>
        <v/>
      </c>
      <c r="L475" s="34"/>
    </row>
    <row r="476" customFormat="false" ht="15.8" hidden="false" customHeight="false" outlineLevel="0" collapsed="false">
      <c r="A476" s="20" t="s">
        <v>155</v>
      </c>
      <c r="E476" s="29" t="str">
        <f aca="false">IF(D476="?OLD","!!!","")</f>
        <v/>
      </c>
      <c r="F476" s="30" t="str">
        <f aca="false">IF(OR(E476="",E476="!!!"),"",IF(NOT(ISNA(VLOOKUP(E476,E$1:E475,1,FALSE()))),"OLD",IF(AND(E476&lt;&gt;"",E476&lt;&gt;"!!!"),"NEW","")))</f>
        <v/>
      </c>
      <c r="G476" s="31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32" t="str">
        <f aca="false">IF(J476&lt;&gt;1,"",IF(I476="SBJ","CB","?"))</f>
        <v/>
      </c>
      <c r="I476" s="33" t="str">
        <f aca="false">IF(OR(E476="",E476="!!!",F476="NEW"),"",INDEX(B$2:B475,-1+SUMPRODUCT(MAX(ROW(E$2:E475)*(E476=E$2:E475)))))</f>
        <v/>
      </c>
      <c r="J476" s="33" t="str">
        <f aca="true">IF(OR(E476="",E476="!!!",F476="NEW"),"",COUNTBLANK(OFFSET(A$1,,,SUMPRODUCT(MAX(ROW(E$2:E476)*(E476=E$2:E476)))))-COUNTBLANK(OFFSET(A$1,,,SUMPRODUCT(MAX(ROW(E$1:E475)*(E2=E$1:E475))))))</f>
        <v/>
      </c>
      <c r="K476" s="33" t="str">
        <f aca="false">IF(OR(E476="",E476="!!!",F476="NEW"),"",INDEX(J$1:J475,SUMPRODUCT(MAX(ROW(E$1:E475)*(E476=E$1:E475)))))</f>
        <v/>
      </c>
      <c r="L476" s="34"/>
    </row>
    <row r="477" customFormat="false" ht="15.8" hidden="false" customHeight="false" outlineLevel="0" collapsed="false">
      <c r="A477" s="20" t="s">
        <v>320</v>
      </c>
      <c r="E477" s="29" t="str">
        <f aca="false">IF(D477="?OLD","!!!","")</f>
        <v/>
      </c>
      <c r="F477" s="30" t="str">
        <f aca="false">IF(OR(E477="",E477="!!!"),"",IF(NOT(ISNA(VLOOKUP(E477,E$1:E476,1,FALSE()))),"OLD",IF(AND(E477&lt;&gt;"",E477&lt;&gt;"!!!"),"NEW","")))</f>
        <v/>
      </c>
      <c r="G477" s="31" t="str">
        <f aca="false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32" t="str">
        <f aca="false">IF(J477&lt;&gt;1,"",IF(I477="SBJ","CB","?"))</f>
        <v/>
      </c>
      <c r="I477" s="33" t="str">
        <f aca="false">IF(OR(E477="",E477="!!!",F477="NEW"),"",INDEX(B$2:B476,-1+SUMPRODUCT(MAX(ROW(E$2:E476)*(E477=E$2:E476)))))</f>
        <v/>
      </c>
      <c r="J477" s="33" t="str">
        <f aca="true">IF(OR(E477="",E477="!!!",F477="NEW"),"",COUNTBLANK(OFFSET(A$1,,,SUMPRODUCT(MAX(ROW(E$2:E477)*(E477=E$2:E477)))))-COUNTBLANK(OFFSET(A$1,,,SUMPRODUCT(MAX(ROW(E$1:E476)*(E2=E$1:E476))))))</f>
        <v/>
      </c>
      <c r="K477" s="33" t="str">
        <f aca="false">IF(OR(E477="",E477="!!!",F477="NEW"),"",INDEX(J$1:J476,SUMPRODUCT(MAX(ROW(E$1:E476)*(E477=E$1:E476)))))</f>
        <v/>
      </c>
      <c r="L477" s="34"/>
    </row>
    <row r="478" customFormat="false" ht="15.8" hidden="false" customHeight="false" outlineLevel="0" collapsed="false">
      <c r="A478" s="20" t="s">
        <v>199</v>
      </c>
      <c r="B478" s="21" t="s">
        <v>153</v>
      </c>
      <c r="C478" s="21" t="s">
        <v>200</v>
      </c>
      <c r="E478" s="29" t="str">
        <f aca="false">IF(D478="?OLD","!!!","")</f>
        <v/>
      </c>
      <c r="F478" s="30" t="str">
        <f aca="false">IF(OR(E478="",E478="!!!"),"",IF(NOT(ISNA(VLOOKUP(E478,E$1:E477,1,FALSE()))),"OLD",IF(AND(E478&lt;&gt;"",E478&lt;&gt;"!!!"),"NEW","")))</f>
        <v/>
      </c>
      <c r="G478" s="31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32" t="str">
        <f aca="false">IF(J478&lt;&gt;1,"",IF(I478="SBJ","CB","?"))</f>
        <v/>
      </c>
      <c r="I478" s="33" t="str">
        <f aca="false">IF(OR(E478="",E478="!!!",F478="NEW"),"",INDEX(B$2:B477,-1+SUMPRODUCT(MAX(ROW(E$2:E477)*(E478=E$2:E477)))))</f>
        <v/>
      </c>
      <c r="J478" s="33" t="str">
        <f aca="true">IF(OR(E478="",E478="!!!",F478="NEW"),"",COUNTBLANK(OFFSET(A$1,,,SUMPRODUCT(MAX(ROW(E$2:E478)*(E478=E$2:E478)))))-COUNTBLANK(OFFSET(A$1,,,SUMPRODUCT(MAX(ROW(E$1:E477)*(E2=E$1:E477))))))</f>
        <v/>
      </c>
      <c r="K478" s="33" t="str">
        <f aca="false">IF(OR(E478="",E478="!!!",F478="NEW"),"",INDEX(J$1:J477,SUMPRODUCT(MAX(ROW(E$1:E477)*(E478=E$1:E477)))))</f>
        <v/>
      </c>
      <c r="L478" s="34"/>
    </row>
    <row r="479" customFormat="false" ht="15.8" hidden="false" customHeight="false" outlineLevel="0" collapsed="false">
      <c r="A479" s="20" t="s">
        <v>227</v>
      </c>
      <c r="E479" s="29" t="str">
        <f aca="false">IF(D479="?OLD","!!!","")</f>
        <v/>
      </c>
      <c r="F479" s="30" t="str">
        <f aca="false">IF(OR(E479="",E479="!!!"),"",IF(NOT(ISNA(VLOOKUP(E479,E$1:E478,1,FALSE()))),"OLD",IF(AND(E479&lt;&gt;"",E479&lt;&gt;"!!!"),"NEW","")))</f>
        <v/>
      </c>
      <c r="G479" s="31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32" t="str">
        <f aca="false">IF(J479&lt;&gt;1,"",IF(I479="SBJ","CB","?"))</f>
        <v/>
      </c>
      <c r="I479" s="33" t="str">
        <f aca="false">IF(OR(E479="",E479="!!!",F479="NEW"),"",INDEX(B$2:B478,-1+SUMPRODUCT(MAX(ROW(E$2:E478)*(E479=E$2:E478)))))</f>
        <v/>
      </c>
      <c r="J479" s="33" t="str">
        <f aca="true">IF(OR(E479="",E479="!!!",F479="NEW"),"",COUNTBLANK(OFFSET(A$1,,,SUMPRODUCT(MAX(ROW(E$2:E479)*(E479=E$2:E479)))))-COUNTBLANK(OFFSET(A$1,,,SUMPRODUCT(MAX(ROW(E$1:E478)*(E2=E$1:E478))))))</f>
        <v/>
      </c>
      <c r="K479" s="33" t="str">
        <f aca="false">IF(OR(E479="",E479="!!!",F479="NEW"),"",INDEX(J$1:J478,SUMPRODUCT(MAX(ROW(E$1:E478)*(E479=E$1:E478)))))</f>
        <v/>
      </c>
      <c r="L479" s="34"/>
    </row>
    <row r="480" customFormat="false" ht="15.8" hidden="false" customHeight="false" outlineLevel="0" collapsed="false">
      <c r="A480" s="20" t="s">
        <v>228</v>
      </c>
      <c r="E480" s="29" t="str">
        <f aca="false">IF(D480="?OLD","!!!","")</f>
        <v/>
      </c>
      <c r="F480" s="30" t="str">
        <f aca="false">IF(OR(E480="",E480="!!!"),"",IF(NOT(ISNA(VLOOKUP(E480,E$1:E479,1,FALSE()))),"OLD",IF(AND(E480&lt;&gt;"",E480&lt;&gt;"!!!"),"NEW","")))</f>
        <v/>
      </c>
      <c r="G480" s="31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32" t="str">
        <f aca="false">IF(J480&lt;&gt;1,"",IF(I480="SBJ","CB","?"))</f>
        <v/>
      </c>
      <c r="I480" s="33" t="str">
        <f aca="false">IF(OR(E480="",E480="!!!",F480="NEW"),"",INDEX(B$2:B479,-1+SUMPRODUCT(MAX(ROW(E$2:E479)*(E480=E$2:E479)))))</f>
        <v/>
      </c>
      <c r="J480" s="33" t="str">
        <f aca="true">IF(OR(E480="",E480="!!!",F480="NEW"),"",COUNTBLANK(OFFSET(A$1,,,SUMPRODUCT(MAX(ROW(E$2:E480)*(E480=E$2:E480)))))-COUNTBLANK(OFFSET(A$1,,,SUMPRODUCT(MAX(ROW(E$1:E479)*(E2=E$1:E479))))))</f>
        <v/>
      </c>
      <c r="K480" s="33" t="str">
        <f aca="false">IF(OR(E480="",E480="!!!",F480="NEW"),"",INDEX(J$1:J479,SUMPRODUCT(MAX(ROW(E$1:E479)*(E480=E$1:E479)))))</f>
        <v/>
      </c>
      <c r="L480" s="34"/>
    </row>
    <row r="481" customFormat="false" ht="15.8" hidden="false" customHeight="false" outlineLevel="0" collapsed="false">
      <c r="A481" s="20" t="s">
        <v>229</v>
      </c>
      <c r="E481" s="29" t="str">
        <f aca="false">IF(D481="?OLD","!!!","")</f>
        <v/>
      </c>
      <c r="F481" s="30" t="str">
        <f aca="false">IF(OR(E481="",E481="!!!"),"",IF(NOT(ISNA(VLOOKUP(E481,E$1:E480,1,FALSE()))),"OLD",IF(AND(E481&lt;&gt;"",E481&lt;&gt;"!!!"),"NEW","")))</f>
        <v/>
      </c>
      <c r="G481" s="31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32" t="str">
        <f aca="false">IF(J481&lt;&gt;1,"",IF(I481="SBJ","CB","?"))</f>
        <v/>
      </c>
      <c r="I481" s="33" t="str">
        <f aca="false">IF(OR(E481="",E481="!!!",F481="NEW"),"",INDEX(B$2:B480,-1+SUMPRODUCT(MAX(ROW(E$2:E480)*(E481=E$2:E480)))))</f>
        <v/>
      </c>
      <c r="J481" s="33" t="str">
        <f aca="true">IF(OR(E481="",E481="!!!",F481="NEW"),"",COUNTBLANK(OFFSET(A$1,,,SUMPRODUCT(MAX(ROW(E$2:E481)*(E481=E$2:E481)))))-COUNTBLANK(OFFSET(A$1,,,SUMPRODUCT(MAX(ROW(E$1:E480)*(E2=E$1:E480))))))</f>
        <v/>
      </c>
      <c r="K481" s="33" t="str">
        <f aca="false">IF(OR(E481="",E481="!!!",F481="NEW"),"",INDEX(J$1:J480,SUMPRODUCT(MAX(ROW(E$1:E480)*(E481=E$1:E480)))))</f>
        <v/>
      </c>
      <c r="L481" s="34"/>
    </row>
    <row r="482" customFormat="false" ht="15.8" hidden="false" customHeight="false" outlineLevel="0" collapsed="false">
      <c r="A482" s="20"/>
    </row>
    <row r="483" customFormat="false" ht="15.8" hidden="false" customHeight="false" outlineLevel="0" collapsed="false">
      <c r="A483" s="20" t="s">
        <v>321</v>
      </c>
    </row>
    <row r="484" customFormat="false" ht="15.8" hidden="false" customHeight="false" outlineLevel="0" collapsed="false">
      <c r="A484" s="20" t="s">
        <v>295</v>
      </c>
      <c r="E484" s="29" t="str">
        <f aca="false">IF(D484="?OLD","!!!","")</f>
        <v/>
      </c>
      <c r="F484" s="30" t="str">
        <f aca="false">IF(OR(E484="",E484="!!!"),"",IF(NOT(ISNA(VLOOKUP(E484,E$1:E483,1,FALSE()))),"OLD",IF(AND(E484&lt;&gt;"",E484&lt;&gt;"!!!"),"NEW","")))</f>
        <v/>
      </c>
      <c r="G484" s="31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32" t="str">
        <f aca="false">IF(J484&lt;&gt;1,"",IF(I484="SBJ","CB","?"))</f>
        <v/>
      </c>
      <c r="I484" s="33" t="str">
        <f aca="false">IF(OR(E484="",E484="!!!",F484="NEW"),"",INDEX(B$2:B483,-1+SUMPRODUCT(MAX(ROW(E$2:E483)*(E484=E$2:E483)))))</f>
        <v/>
      </c>
      <c r="J484" s="33" t="str">
        <f aca="true">IF(OR(E484="",E484="!!!",F484="NEW"),"",COUNTBLANK(OFFSET(A$1,,,SUMPRODUCT(MAX(ROW(E$2:E484)*(E484=E$2:E484)))))-COUNTBLANK(OFFSET(A$1,,,SUMPRODUCT(MAX(ROW(E$1:E483)*(E2=E$1:E483))))))</f>
        <v/>
      </c>
      <c r="K484" s="33" t="str">
        <f aca="false">IF(OR(E484="",E484="!!!",F484="NEW"),"",INDEX(J$1:J483,SUMPRODUCT(MAX(ROW(E$1:E483)*(E484=E$1:E483)))))</f>
        <v/>
      </c>
      <c r="L484" s="34"/>
    </row>
    <row r="485" customFormat="false" ht="15.8" hidden="false" customHeight="false" outlineLevel="0" collapsed="false">
      <c r="A485" s="20" t="s">
        <v>197</v>
      </c>
      <c r="E485" s="29" t="str">
        <f aca="false">IF(D485="?OLD","!!!","")</f>
        <v/>
      </c>
      <c r="F485" s="30" t="str">
        <f aca="false">IF(OR(E485="",E485="!!!"),"",IF(NOT(ISNA(VLOOKUP(E485,E$1:E484,1,FALSE()))),"OLD",IF(AND(E485&lt;&gt;"",E485&lt;&gt;"!!!"),"NEW","")))</f>
        <v/>
      </c>
      <c r="G485" s="31" t="str">
        <f aca="false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32" t="str">
        <f aca="false">IF(J485&lt;&gt;1,"",IF(I485="SBJ","CB","?"))</f>
        <v/>
      </c>
      <c r="I485" s="33" t="str">
        <f aca="false">IF(OR(E485="",E485="!!!",F485="NEW"),"",INDEX(B$2:B484,-1+SUMPRODUCT(MAX(ROW(E$2:E484)*(E485=E$2:E484)))))</f>
        <v/>
      </c>
      <c r="J485" s="33" t="str">
        <f aca="true">IF(OR(E485="",E485="!!!",F485="NEW"),"",COUNTBLANK(OFFSET(A$1,,,SUMPRODUCT(MAX(ROW(E$2:E485)*(E485=E$2:E485)))))-COUNTBLANK(OFFSET(A$1,,,SUMPRODUCT(MAX(ROW(E$1:E484)*(E2=E$1:E484))))))</f>
        <v/>
      </c>
      <c r="K485" s="33" t="str">
        <f aca="false">IF(OR(E485="",E485="!!!",F485="NEW"),"",INDEX(J$1:J484,SUMPRODUCT(MAX(ROW(E$1:E484)*(E485=E$1:E484)))))</f>
        <v/>
      </c>
      <c r="L485" s="34"/>
    </row>
    <row r="486" customFormat="false" ht="15.8" hidden="false" customHeight="false" outlineLevel="0" collapsed="false">
      <c r="A486" s="20" t="s">
        <v>322</v>
      </c>
      <c r="E486" s="29" t="str">
        <f aca="false">IF(D486="?OLD","!!!","")</f>
        <v/>
      </c>
      <c r="F486" s="30" t="str">
        <f aca="false">IF(OR(E486="",E486="!!!"),"",IF(NOT(ISNA(VLOOKUP(E486,E$1:E485,1,FALSE()))),"OLD",IF(AND(E486&lt;&gt;"",E486&lt;&gt;"!!!"),"NEW","")))</f>
        <v/>
      </c>
      <c r="G486" s="31" t="str">
        <f aca="false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32" t="str">
        <f aca="false">IF(J486&lt;&gt;1,"",IF(I486="SBJ","CB","?"))</f>
        <v/>
      </c>
      <c r="I486" s="33" t="str">
        <f aca="false">IF(OR(E486="",E486="!!!",F486="NEW"),"",INDEX(B$2:B485,-1+SUMPRODUCT(MAX(ROW(E$2:E485)*(E486=E$2:E485)))))</f>
        <v/>
      </c>
      <c r="J486" s="33" t="str">
        <f aca="true">IF(OR(E486="",E486="!!!",F486="NEW"),"",COUNTBLANK(OFFSET(A$1,,,SUMPRODUCT(MAX(ROW(E$2:E486)*(E486=E$2:E486)))))-COUNTBLANK(OFFSET(A$1,,,SUMPRODUCT(MAX(ROW(E$1:E485)*(E2=E$1:E485))))))</f>
        <v/>
      </c>
      <c r="K486" s="33" t="str">
        <f aca="false">IF(OR(E486="",E486="!!!",F486="NEW"),"",INDEX(J$1:J485,SUMPRODUCT(MAX(ROW(E$1:E485)*(E486=E$1:E485)))))</f>
        <v/>
      </c>
      <c r="L486" s="34"/>
    </row>
    <row r="487" customFormat="false" ht="15.8" hidden="false" customHeight="false" outlineLevel="0" collapsed="false">
      <c r="A487" s="20" t="s">
        <v>199</v>
      </c>
      <c r="B487" s="21" t="s">
        <v>153</v>
      </c>
      <c r="C487" s="21" t="s">
        <v>200</v>
      </c>
      <c r="E487" s="29" t="str">
        <f aca="false">IF(D487="?OLD","!!!","")</f>
        <v/>
      </c>
      <c r="F487" s="30" t="str">
        <f aca="false">IF(OR(E487="",E487="!!!"),"",IF(NOT(ISNA(VLOOKUP(E487,E$1:E486,1,FALSE()))),"OLD",IF(AND(E487&lt;&gt;"",E487&lt;&gt;"!!!"),"NEW","")))</f>
        <v/>
      </c>
      <c r="G487" s="31" t="str">
        <f aca="false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32" t="str">
        <f aca="false">IF(J487&lt;&gt;1,"",IF(I487="SBJ","CB","?"))</f>
        <v/>
      </c>
      <c r="I487" s="33" t="str">
        <f aca="false">IF(OR(E487="",E487="!!!",F487="NEW"),"",INDEX(B$2:B486,-1+SUMPRODUCT(MAX(ROW(E$2:E486)*(E487=E$2:E486)))))</f>
        <v/>
      </c>
      <c r="J487" s="33" t="str">
        <f aca="true">IF(OR(E487="",E487="!!!",F487="NEW"),"",COUNTBLANK(OFFSET(A$1,,,SUMPRODUCT(MAX(ROW(E$2:E487)*(E487=E$2:E487)))))-COUNTBLANK(OFFSET(A$1,,,SUMPRODUCT(MAX(ROW(E$1:E486)*(E2=E$1:E486))))))</f>
        <v/>
      </c>
      <c r="K487" s="33" t="str">
        <f aca="false">IF(OR(E487="",E487="!!!",F487="NEW"),"",INDEX(J$1:J486,SUMPRODUCT(MAX(ROW(E$1:E486)*(E487=E$1:E486)))))</f>
        <v/>
      </c>
      <c r="L487" s="34"/>
    </row>
    <row r="488" customFormat="false" ht="15.8" hidden="false" customHeight="false" outlineLevel="0" collapsed="false">
      <c r="A488" s="20" t="s">
        <v>193</v>
      </c>
      <c r="E488" s="29" t="str">
        <f aca="false">IF(D488="?OLD","!!!","")</f>
        <v/>
      </c>
      <c r="F488" s="30" t="str">
        <f aca="false">IF(OR(E488="",E488="!!!"),"",IF(NOT(ISNA(VLOOKUP(E488,E$1:E487,1,FALSE()))),"OLD",IF(AND(E488&lt;&gt;"",E488&lt;&gt;"!!!"),"NEW","")))</f>
        <v/>
      </c>
      <c r="G488" s="31" t="str">
        <f aca="false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32" t="str">
        <f aca="false">IF(J488&lt;&gt;1,"",IF(I488="SBJ","CB","?"))</f>
        <v/>
      </c>
      <c r="I488" s="33" t="str">
        <f aca="false">IF(OR(E488="",E488="!!!",F488="NEW"),"",INDEX(B$2:B487,-1+SUMPRODUCT(MAX(ROW(E$2:E487)*(E488=E$2:E487)))))</f>
        <v/>
      </c>
      <c r="J488" s="33" t="str">
        <f aca="true">IF(OR(E488="",E488="!!!",F488="NEW"),"",COUNTBLANK(OFFSET(A$1,,,SUMPRODUCT(MAX(ROW(E$2:E488)*(E488=E$2:E488)))))-COUNTBLANK(OFFSET(A$1,,,SUMPRODUCT(MAX(ROW(E$1:E487)*(E2=E$1:E487))))))</f>
        <v/>
      </c>
      <c r="K488" s="33" t="str">
        <f aca="false">IF(OR(E488="",E488="!!!",F488="NEW"),"",INDEX(J$1:J487,SUMPRODUCT(MAX(ROW(E$1:E487)*(E488=E$1:E487)))))</f>
        <v/>
      </c>
      <c r="L488" s="34"/>
    </row>
    <row r="489" customFormat="false" ht="15.8" hidden="false" customHeight="false" outlineLevel="0" collapsed="false">
      <c r="A489" s="20" t="s">
        <v>201</v>
      </c>
      <c r="E489" s="29" t="str">
        <f aca="false">IF(D489="?OLD","!!!","")</f>
        <v/>
      </c>
      <c r="F489" s="30" t="str">
        <f aca="false">IF(OR(E489="",E489="!!!"),"",IF(NOT(ISNA(VLOOKUP(E489,E$1:E488,1,FALSE()))),"OLD",IF(AND(E489&lt;&gt;"",E489&lt;&gt;"!!!"),"NEW","")))</f>
        <v/>
      </c>
      <c r="G489" s="31" t="str">
        <f aca="false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32" t="str">
        <f aca="false">IF(J489&lt;&gt;1,"",IF(I489="SBJ","CB","?"))</f>
        <v/>
      </c>
      <c r="I489" s="33" t="str">
        <f aca="false">IF(OR(E489="",E489="!!!",F489="NEW"),"",INDEX(B$2:B488,-1+SUMPRODUCT(MAX(ROW(E$2:E488)*(E489=E$2:E488)))))</f>
        <v/>
      </c>
      <c r="J489" s="33" t="str">
        <f aca="true">IF(OR(E489="",E489="!!!",F489="NEW"),"",COUNTBLANK(OFFSET(A$1,,,SUMPRODUCT(MAX(ROW(E$2:E489)*(E489=E$2:E489)))))-COUNTBLANK(OFFSET(A$1,,,SUMPRODUCT(MAX(ROW(E$1:E488)*(E2=E$1:E488))))))</f>
        <v/>
      </c>
      <c r="K489" s="33" t="str">
        <f aca="false">IF(OR(E489="",E489="!!!",F489="NEW"),"",INDEX(J$1:J488,SUMPRODUCT(MAX(ROW(E$1:E488)*(E489=E$1:E488)))))</f>
        <v/>
      </c>
      <c r="L489" s="34"/>
    </row>
    <row r="490" customFormat="false" ht="15.8" hidden="false" customHeight="false" outlineLevel="0" collapsed="false">
      <c r="A490" s="20" t="s">
        <v>323</v>
      </c>
      <c r="B490" s="21" t="s">
        <v>174</v>
      </c>
      <c r="C490" s="21" t="s">
        <v>160</v>
      </c>
      <c r="D490" s="21" t="s">
        <v>148</v>
      </c>
      <c r="E490" s="29" t="str">
        <f aca="false">IF(D490="?OLD","!!!","")</f>
        <v>!!!</v>
      </c>
      <c r="F490" s="30" t="str">
        <f aca="false">IF(OR(E490="",E490="!!!"),"",IF(NOT(ISNA(VLOOKUP(E490,E$1:E489,1,FALSE()))),"OLD",IF(AND(E490&lt;&gt;"",E490&lt;&gt;"!!!"),"NEW","")))</f>
        <v/>
      </c>
      <c r="G490" s="31" t="str">
        <f aca="false"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32" t="str">
        <f aca="false">IF(J490&lt;&gt;1,"",IF(I490="SBJ","CB","?"))</f>
        <v/>
      </c>
      <c r="I490" s="33" t="str">
        <f aca="false">IF(OR(E490="",E490="!!!",F490="NEW"),"",INDEX(B$2:B489,-1+SUMPRODUCT(MAX(ROW(E$2:E489)*(E490=E$2:E489)))))</f>
        <v/>
      </c>
      <c r="J490" s="33" t="str">
        <f aca="true">IF(OR(E490="",E490="!!!",F490="NEW"),"",COUNTBLANK(OFFSET(A$1,,,SUMPRODUCT(MAX(ROW(E$2:E490)*(E490=E$2:E490)))))-COUNTBLANK(OFFSET(A$1,,,SUMPRODUCT(MAX(ROW(E$1:E489)*(E2=E$1:E489))))))</f>
        <v/>
      </c>
      <c r="K490" s="33" t="str">
        <f aca="false">IF(OR(E490="",E490="!!!",F490="NEW"),"",INDEX(J$1:J489,SUMPRODUCT(MAX(ROW(E$1:E489)*(E490=E$1:E489)))))</f>
        <v/>
      </c>
      <c r="L490" s="34"/>
    </row>
    <row r="491" customFormat="false" ht="15.8" hidden="false" customHeight="false" outlineLevel="0" collapsed="false">
      <c r="A491" s="20" t="s">
        <v>176</v>
      </c>
      <c r="E491" s="29" t="str">
        <f aca="false">IF(D491="?OLD","!!!","")</f>
        <v/>
      </c>
      <c r="F491" s="30" t="str">
        <f aca="false">IF(OR(E491="",E491="!!!"),"",IF(NOT(ISNA(VLOOKUP(E491,E$1:E490,1,FALSE()))),"OLD",IF(AND(E491&lt;&gt;"",E491&lt;&gt;"!!!"),"NEW","")))</f>
        <v/>
      </c>
      <c r="G491" s="31" t="str">
        <f aca="false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32" t="str">
        <f aca="false">IF(J491&lt;&gt;1,"",IF(I491="SBJ","CB","?"))</f>
        <v/>
      </c>
      <c r="I491" s="33" t="str">
        <f aca="false">IF(OR(E491="",E491="!!!",F491="NEW"),"",INDEX(B$2:B490,-1+SUMPRODUCT(MAX(ROW(E$2:E490)*(E491=E$2:E490)))))</f>
        <v/>
      </c>
      <c r="J491" s="33" t="str">
        <f aca="true">IF(OR(E491="",E491="!!!",F491="NEW"),"",COUNTBLANK(OFFSET(A$1,,,SUMPRODUCT(MAX(ROW(E$2:E491)*(E491=E$2:E491)))))-COUNTBLANK(OFFSET(A$1,,,SUMPRODUCT(MAX(ROW(E$1:E490)*(E2=E$1:E490))))))</f>
        <v/>
      </c>
      <c r="K491" s="33" t="str">
        <f aca="false">IF(OR(E491="",E491="!!!",F491="NEW"),"",INDEX(J$1:J490,SUMPRODUCT(MAX(ROW(E$1:E490)*(E491=E$1:E490)))))</f>
        <v/>
      </c>
      <c r="L491" s="34"/>
    </row>
    <row r="492" customFormat="false" ht="15.8" hidden="false" customHeight="false" outlineLevel="0" collapsed="false">
      <c r="A492" s="20" t="s">
        <v>324</v>
      </c>
      <c r="B492" s="21" t="s">
        <v>170</v>
      </c>
      <c r="C492" s="21" t="s">
        <v>160</v>
      </c>
      <c r="D492" s="21" t="s">
        <v>148</v>
      </c>
      <c r="E492" s="29" t="str">
        <f aca="false">IF(D492="?OLD","!!!","")</f>
        <v>!!!</v>
      </c>
      <c r="F492" s="30" t="str">
        <f aca="false">IF(OR(E492="",E492="!!!"),"",IF(NOT(ISNA(VLOOKUP(E492,E$1:E491,1,FALSE()))),"OLD",IF(AND(E492&lt;&gt;"",E492&lt;&gt;"!!!"),"NEW","")))</f>
        <v/>
      </c>
      <c r="G492" s="31" t="str">
        <f aca="false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32" t="str">
        <f aca="false">IF(J492&lt;&gt;1,"",IF(I492="SBJ","CB","?"))</f>
        <v/>
      </c>
      <c r="I492" s="33" t="str">
        <f aca="false">IF(OR(E492="",E492="!!!",F492="NEW"),"",INDEX(B$2:B491,-1+SUMPRODUCT(MAX(ROW(E$2:E491)*(E492=E$2:E491)))))</f>
        <v/>
      </c>
      <c r="J492" s="33" t="str">
        <f aca="true">IF(OR(E492="",E492="!!!",F492="NEW"),"",COUNTBLANK(OFFSET(A$1,,,SUMPRODUCT(MAX(ROW(E$2:E492)*(E492=E$2:E492)))))-COUNTBLANK(OFFSET(A$1,,,SUMPRODUCT(MAX(ROW(E$1:E491)*(E2=E$1:E491))))))</f>
        <v/>
      </c>
      <c r="K492" s="33" t="str">
        <f aca="false">IF(OR(E492="",E492="!!!",F492="NEW"),"",INDEX(J$1:J491,SUMPRODUCT(MAX(ROW(E$1:E491)*(E492=E$1:E491)))))</f>
        <v/>
      </c>
      <c r="L492" s="34"/>
    </row>
    <row r="493" customFormat="false" ht="15.8" hidden="false" customHeight="false" outlineLevel="0" collapsed="false">
      <c r="A493" s="20" t="s">
        <v>187</v>
      </c>
      <c r="E493" s="29" t="str">
        <f aca="false">IF(D493="?OLD","!!!","")</f>
        <v/>
      </c>
      <c r="F493" s="30" t="str">
        <f aca="false">IF(OR(E493="",E493="!!!"),"",IF(NOT(ISNA(VLOOKUP(E493,E$1:E492,1,FALSE()))),"OLD",IF(AND(E493&lt;&gt;"",E493&lt;&gt;"!!!"),"NEW","")))</f>
        <v/>
      </c>
      <c r="G493" s="31" t="str">
        <f aca="false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32" t="str">
        <f aca="false">IF(J493&lt;&gt;1,"",IF(I493="SBJ","CB","?"))</f>
        <v/>
      </c>
      <c r="I493" s="33" t="str">
        <f aca="false">IF(OR(E493="",E493="!!!",F493="NEW"),"",INDEX(B$2:B492,-1+SUMPRODUCT(MAX(ROW(E$2:E492)*(E493=E$2:E492)))))</f>
        <v/>
      </c>
      <c r="J493" s="33" t="str">
        <f aca="true">IF(OR(E493="",E493="!!!",F493="NEW"),"",COUNTBLANK(OFFSET(A$1,,,SUMPRODUCT(MAX(ROW(E$2:E493)*(E493=E$2:E493)))))-COUNTBLANK(OFFSET(A$1,,,SUMPRODUCT(MAX(ROW(E$1:E492)*(E2=E$1:E492))))))</f>
        <v/>
      </c>
      <c r="K493" s="33" t="str">
        <f aca="false">IF(OR(E493="",E493="!!!",F493="NEW"),"",INDEX(J$1:J492,SUMPRODUCT(MAX(ROW(E$1:E492)*(E493=E$1:E492)))))</f>
        <v/>
      </c>
      <c r="L493" s="34"/>
    </row>
    <row r="494" customFormat="false" ht="15.8" hidden="false" customHeight="false" outlineLevel="0" collapsed="false">
      <c r="A494" s="20" t="s">
        <v>325</v>
      </c>
      <c r="B494" s="21" t="s">
        <v>170</v>
      </c>
      <c r="C494" s="21" t="s">
        <v>160</v>
      </c>
      <c r="D494" s="21" t="s">
        <v>148</v>
      </c>
      <c r="E494" s="29" t="str">
        <f aca="false">IF(D494="?OLD","!!!","")</f>
        <v>!!!</v>
      </c>
      <c r="F494" s="30" t="str">
        <f aca="false">IF(OR(E494="",E494="!!!"),"",IF(NOT(ISNA(VLOOKUP(E494,E$1:E493,1,FALSE()))),"OLD",IF(AND(E494&lt;&gt;"",E494&lt;&gt;"!!!"),"NEW","")))</f>
        <v/>
      </c>
      <c r="G494" s="31" t="str">
        <f aca="false"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32" t="str">
        <f aca="false">IF(J494&lt;&gt;1,"",IF(I494="SBJ","CB","?"))</f>
        <v/>
      </c>
      <c r="I494" s="33" t="str">
        <f aca="false">IF(OR(E494="",E494="!!!",F494="NEW"),"",INDEX(B2:B$493,-1+SUMPRODUCT(MAX(ROW(E2:E$493)*(E494=E2:E$493)))))</f>
        <v/>
      </c>
      <c r="J494" s="33" t="str">
        <f aca="true">IF(OR(E494="",E494="!!!",F494="NEW"),"",COUNTBLANK(OFFSET(A$1,,,SUMPRODUCT(MAX(ROW(E$2:E494)*(E494=E$2:E494)))))-COUNTBLANK(OFFSET(A$1,,,SUMPRODUCT(MAX(ROW(E$1:E493)*(E2=E$1:E493))))))</f>
        <v/>
      </c>
      <c r="K494" s="33" t="str">
        <f aca="false">IF(OR(E494="",E494="!!!",F494="NEW"),"",INDEX(J$1:J493,SUMPRODUCT(MAX(ROW(E$1:E493)*(E494=E$1:E493)))))</f>
        <v/>
      </c>
      <c r="L494" s="34"/>
    </row>
    <row r="495" customFormat="false" ht="15.8" hidden="false" customHeight="false" outlineLevel="0" collapsed="false">
      <c r="A495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2025-11-25T13:42:35Z</dcterms:created>
  <dc:creator/>
  <dc:description/>
  <dc:language>en-US</dc:language>
  <cp:lastModifiedBy/>
  <dcterms:modified xsi:type="dcterms:W3CDTF">2026-01-15T17:47:28Z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