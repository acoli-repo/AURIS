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annotation!$A$1:$L$1069</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<sst xmlns="http://schemas.openxmlformats.org/spreadsheetml/2006/main" count="2310" uniqueCount="474">
  <si>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</si>
  <si>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</si>
  <si>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</si>
  <si>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</si>
  <si>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</si>
  <si>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</si>
  <si>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</si>
  <si>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</si>
  <si>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</si>
  <si>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</si>
  <si>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</si>
  <si>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</si>
  <si>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As they spoke to the people, the priests and the captain of the temple and the Sadducees came to them, being upset because they taught the people and proclaimed in Jesus the resurrection from the dead.</t>
  </si>
  <si>
    <t xml:space="preserve">As</t>
  </si>
  <si>
    <t xml:space="preserve">they</t>
  </si>
  <si>
    <t xml:space="preserve">SBJ_2</t>
  </si>
  <si>
    <t xml:space="preserve">pron.pper</t>
  </si>
  <si>
    <t xml:space="preserve">?OLD</t>
  </si>
  <si>
    <t xml:space="preserve">Peter_and_John</t>
  </si>
  <si>
    <t xml:space="preserve">FAMILIAR</t>
  </si>
  <si>
    <t xml:space="preserve">spoke</t>
  </si>
  <si>
    <t xml:space="preserve">to</t>
  </si>
  <si>
    <t xml:space="preserve">the</t>
  </si>
  <si>
    <t xml:space="preserve">people</t>
  </si>
  <si>
    <t xml:space="preserve">other_2</t>
  </si>
  <si>
    <t xml:space="preserve">def-np.the</t>
  </si>
  <si>
    <t xml:space="preserve">Men_of_Israel</t>
  </si>
  <si>
    <t xml:space="preserve">,</t>
  </si>
  <si>
    <t xml:space="preserve">priests</t>
  </si>
  <si>
    <t xml:space="preserve">SBJ</t>
  </si>
  <si>
    <t xml:space="preserve">Priests</t>
  </si>
  <si>
    <t xml:space="preserve">REFERENTIAL</t>
  </si>
  <si>
    <t xml:space="preserve">and</t>
  </si>
  <si>
    <t xml:space="preserve">captain</t>
  </si>
  <si>
    <t xml:space="preserve">Captain</t>
  </si>
  <si>
    <t xml:space="preserve">of</t>
  </si>
  <si>
    <t xml:space="preserve">temple</t>
  </si>
  <si>
    <t xml:space="preserve">other_3</t>
  </si>
  <si>
    <t xml:space="preserve">Temple</t>
  </si>
  <si>
    <t xml:space="preserve">Sadducees</t>
  </si>
  <si>
    <t xml:space="preserve">ne</t>
  </si>
  <si>
    <t xml:space="preserve">came</t>
  </si>
  <si>
    <t xml:space="preserve">them</t>
  </si>
  <si>
    <t xml:space="preserve">other</t>
  </si>
  <si>
    <t xml:space="preserve">IN_FOCUS</t>
  </si>
  <si>
    <t xml:space="preserve">being</t>
  </si>
  <si>
    <t xml:space="preserve">upset</t>
  </si>
  <si>
    <t xml:space="preserve">because</t>
  </si>
  <si>
    <t xml:space="preserve">Priests_Captain_of_Temple_Sadducees</t>
  </si>
  <si>
    <t xml:space="preserve">taught</t>
  </si>
  <si>
    <t xml:space="preserve">OBJ_2</t>
  </si>
  <si>
    <t xml:space="preserve">proclaimed</t>
  </si>
  <si>
    <t xml:space="preserve">in</t>
  </si>
  <si>
    <t xml:space="preserve">Jesus</t>
  </si>
  <si>
    <t xml:space="preserve">ACTIVATED/CB with preceding text</t>
  </si>
  <si>
    <t xml:space="preserve">resurrection</t>
  </si>
  <si>
    <t xml:space="preserve">OBJ_3</t>
  </si>
  <si>
    <t xml:space="preserve">Resurrection</t>
  </si>
  <si>
    <t xml:space="preserve">from</t>
  </si>
  <si>
    <t xml:space="preserve">dead</t>
  </si>
  <si>
    <t xml:space="preserve">.</t>
  </si>
  <si>
    <t xml:space="preserve"># text = They laid hands on them, and put them in custody until the next day, for it was now evening.</t>
  </si>
  <si>
    <t xml:space="preserve">They</t>
  </si>
  <si>
    <t xml:space="preserve">ACTIVATED</t>
  </si>
  <si>
    <t xml:space="preserve">laid</t>
  </si>
  <si>
    <t xml:space="preserve">hands</t>
  </si>
  <si>
    <t xml:space="preserve">OBJ</t>
  </si>
  <si>
    <t xml:space="preserve">indef-np.bare</t>
  </si>
  <si>
    <t xml:space="preserve">on</t>
  </si>
  <si>
    <t xml:space="preserve">put</t>
  </si>
  <si>
    <t xml:space="preserve">custody</t>
  </si>
  <si>
    <t xml:space="preserve">until</t>
  </si>
  <si>
    <t xml:space="preserve">next</t>
  </si>
  <si>
    <t xml:space="preserve">day</t>
  </si>
  <si>
    <t xml:space="preserve">Next_day</t>
  </si>
  <si>
    <t xml:space="preserve">for</t>
  </si>
  <si>
    <t xml:space="preserve">it</t>
  </si>
  <si>
    <t xml:space="preserve">EXPL</t>
  </si>
  <si>
    <t xml:space="preserve">was</t>
  </si>
  <si>
    <t xml:space="preserve">now</t>
  </si>
  <si>
    <t xml:space="preserve">evening</t>
  </si>
  <si>
    <t xml:space="preserve"># text = But many of those who heard the word believed, and the number of the men came to be about five thousand.</t>
  </si>
  <si>
    <t xml:space="preserve">But</t>
  </si>
  <si>
    <t xml:space="preserve">many</t>
  </si>
  <si>
    <t xml:space="preserve">those</t>
  </si>
  <si>
    <t xml:space="preserve">pron.pds</t>
  </si>
  <si>
    <t xml:space="preserve">who</t>
  </si>
  <si>
    <t xml:space="preserve">SBJ_3</t>
  </si>
  <si>
    <t xml:space="preserve">heard</t>
  </si>
  <si>
    <t xml:space="preserve">word</t>
  </si>
  <si>
    <t xml:space="preserve">SBJ_4</t>
  </si>
  <si>
    <t xml:space="preserve">Peter_and_John_word</t>
  </si>
  <si>
    <t xml:space="preserve">believed</t>
  </si>
  <si>
    <t xml:space="preserve">number</t>
  </si>
  <si>
    <t xml:space="preserve">men</t>
  </si>
  <si>
    <t xml:space="preserve">be</t>
  </si>
  <si>
    <t xml:space="preserve">about</t>
  </si>
  <si>
    <t xml:space="preserve">five</t>
  </si>
  <si>
    <t xml:space="preserve">thousand</t>
  </si>
  <si>
    <t xml:space="preserve"># text = It happened in the morning, that their rulers, elders, and scribes were gathered together in Jerusalem.</t>
  </si>
  <si>
    <t xml:space="preserve">It</t>
  </si>
  <si>
    <t xml:space="preserve">happened</t>
  </si>
  <si>
    <t xml:space="preserve">morning</t>
  </si>
  <si>
    <t xml:space="preserve">that</t>
  </si>
  <si>
    <t xml:space="preserve">their</t>
  </si>
  <si>
    <t xml:space="preserve">pron.ppos</t>
  </si>
  <si>
    <t xml:space="preserve">rulers</t>
  </si>
  <si>
    <t xml:space="preserve">def-np.poss</t>
  </si>
  <si>
    <t xml:space="preserve">Men_of_Israel_rulers</t>
  </si>
  <si>
    <t xml:space="preserve">elders</t>
  </si>
  <si>
    <t xml:space="preserve">scribes</t>
  </si>
  <si>
    <t xml:space="preserve">were</t>
  </si>
  <si>
    <t xml:space="preserve">gathered</t>
  </si>
  <si>
    <t xml:space="preserve">together</t>
  </si>
  <si>
    <t xml:space="preserve">Jerusalem</t>
  </si>
  <si>
    <t xml:space="preserve"># text = Annas the high priest was there, with Caiaphas, John, Alexander, and as many as were relatives of the high priest.</t>
  </si>
  <si>
    <t xml:space="preserve">Annas</t>
  </si>
  <si>
    <t xml:space="preserve">high</t>
  </si>
  <si>
    <t xml:space="preserve">priest</t>
  </si>
  <si>
    <t xml:space="preserve">High_priest</t>
  </si>
  <si>
    <t xml:space="preserve">there</t>
  </si>
  <si>
    <t xml:space="preserve">pron.padv</t>
  </si>
  <si>
    <t xml:space="preserve">with</t>
  </si>
  <si>
    <t xml:space="preserve">Caiaphas</t>
  </si>
  <si>
    <t xml:space="preserve">John</t>
  </si>
  <si>
    <t xml:space="preserve">Alexander</t>
  </si>
  <si>
    <t xml:space="preserve">as</t>
  </si>
  <si>
    <t xml:space="preserve">relatives</t>
  </si>
  <si>
    <t xml:space="preserve">other_4</t>
  </si>
  <si>
    <t xml:space="preserve">--</t>
  </si>
  <si>
    <t xml:space="preserve"># text = When they had stood them in the middle of them, they inquired, "By what power, or in what name, have you done this?"</t>
  </si>
  <si>
    <t xml:space="preserve">When</t>
  </si>
  <si>
    <t xml:space="preserve">Annas_Caiaphas_John_Alexander</t>
  </si>
  <si>
    <t xml:space="preserve">had</t>
  </si>
  <si>
    <t xml:space="preserve">stood</t>
  </si>
  <si>
    <t xml:space="preserve">middle</t>
  </si>
  <si>
    <t xml:space="preserve">Middle</t>
  </si>
  <si>
    <t xml:space="preserve">inquired</t>
  </si>
  <si>
    <t xml:space="preserve">&amp;quot;</t>
  </si>
  <si>
    <t xml:space="preserve">By</t>
  </si>
  <si>
    <t xml:space="preserve">what</t>
  </si>
  <si>
    <t xml:space="preserve">pron.pint</t>
  </si>
  <si>
    <t xml:space="preserve">power</t>
  </si>
  <si>
    <t xml:space="preserve">indef-np</t>
  </si>
  <si>
    <t xml:space="preserve">or</t>
  </si>
  <si>
    <t xml:space="preserve">name</t>
  </si>
  <si>
    <t xml:space="preserve">have</t>
  </si>
  <si>
    <t xml:space="preserve">you</t>
  </si>
  <si>
    <t xml:space="preserve">done</t>
  </si>
  <si>
    <t xml:space="preserve">this</t>
  </si>
  <si>
    <t xml:space="preserve">?</t>
  </si>
  <si>
    <t xml:space="preserve"># text = Then Peter, filled with the Holy Spirit, said to them, "You rulers of the people, and elders of Israel, if we are examined today concerning a good deed done to a crippled man, by what means this man has been healed, be it known to you all, and to all the people of Israel, that in the name of Jesus Christ of Nazareth, whom you crucified, whom God raised from the dead, in him does this man stand here before you whole.</t>
  </si>
  <si>
    <t xml:space="preserve">Then</t>
  </si>
  <si>
    <t xml:space="preserve">Peter</t>
  </si>
  <si>
    <t xml:space="preserve">filled</t>
  </si>
  <si>
    <t xml:space="preserve">Holy</t>
  </si>
  <si>
    <t xml:space="preserve">Spirit</t>
  </si>
  <si>
    <t xml:space="preserve">Holy_Spirit</t>
  </si>
  <si>
    <t xml:space="preserve">said</t>
  </si>
  <si>
    <t xml:space="preserve">You</t>
  </si>
  <si>
    <t xml:space="preserve">Israel</t>
  </si>
  <si>
    <t xml:space="preserve">if</t>
  </si>
  <si>
    <t xml:space="preserve">we</t>
  </si>
  <si>
    <t xml:space="preserve">SBJ_5</t>
  </si>
  <si>
    <t xml:space="preserve">are</t>
  </si>
  <si>
    <t xml:space="preserve">examined</t>
  </si>
  <si>
    <t xml:space="preserve">today</t>
  </si>
  <si>
    <t xml:space="preserve">other_6</t>
  </si>
  <si>
    <t xml:space="preserve">concerning</t>
  </si>
  <si>
    <t xml:space="preserve">a</t>
  </si>
  <si>
    <t xml:space="preserve">good</t>
  </si>
  <si>
    <t xml:space="preserve">deed</t>
  </si>
  <si>
    <t xml:space="preserve">OBJ_5</t>
  </si>
  <si>
    <t xml:space="preserve">indef-np.a</t>
  </si>
  <si>
    <t xml:space="preserve">crippled</t>
  </si>
  <si>
    <t xml:space="preserve">man</t>
  </si>
  <si>
    <t xml:space="preserve">other_7</t>
  </si>
  <si>
    <t xml:space="preserve">by</t>
  </si>
  <si>
    <t xml:space="preserve">means</t>
  </si>
  <si>
    <t xml:space="preserve">SBJ_8</t>
  </si>
  <si>
    <t xml:space="preserve">def-np.dem</t>
  </si>
  <si>
    <t xml:space="preserve">Certain_man</t>
  </si>
  <si>
    <t xml:space="preserve">has</t>
  </si>
  <si>
    <t xml:space="preserve">been</t>
  </si>
  <si>
    <t xml:space="preserve">healed</t>
  </si>
  <si>
    <t xml:space="preserve">SBJ_6</t>
  </si>
  <si>
    <t xml:space="preserve">known</t>
  </si>
  <si>
    <t xml:space="preserve">all</t>
  </si>
  <si>
    <t xml:space="preserve">Non - referring expression</t>
  </si>
  <si>
    <t xml:space="preserve">Christ</t>
  </si>
  <si>
    <t xml:space="preserve">Nazareth</t>
  </si>
  <si>
    <t xml:space="preserve">other_8</t>
  </si>
  <si>
    <t xml:space="preserve">whom</t>
  </si>
  <si>
    <t xml:space="preserve">OBJ_9</t>
  </si>
  <si>
    <t xml:space="preserve">SBJ_9</t>
  </si>
  <si>
    <t xml:space="preserve">crucified</t>
  </si>
  <si>
    <t xml:space="preserve">God</t>
  </si>
  <si>
    <t xml:space="preserve">raised</t>
  </si>
  <si>
    <t xml:space="preserve">him</t>
  </si>
  <si>
    <t xml:space="preserve">does</t>
  </si>
  <si>
    <t xml:space="preserve">stand</t>
  </si>
  <si>
    <t xml:space="preserve">Stand</t>
  </si>
  <si>
    <t xml:space="preserve">here</t>
  </si>
  <si>
    <t xml:space="preserve">before</t>
  </si>
  <si>
    <t xml:space="preserve">whole</t>
  </si>
  <si>
    <t xml:space="preserve"># text = He is 'the stone which was regarded as worthless by you, the builders, which has become the head of the corner.'</t>
  </si>
  <si>
    <t xml:space="preserve">He</t>
  </si>
  <si>
    <t xml:space="preserve">is</t>
  </si>
  <si>
    <t xml:space="preserve">'</t>
  </si>
  <si>
    <t xml:space="preserve">stone</t>
  </si>
  <si>
    <t xml:space="preserve">which</t>
  </si>
  <si>
    <t xml:space="preserve">regarded</t>
  </si>
  <si>
    <t xml:space="preserve">worthless</t>
  </si>
  <si>
    <t xml:space="preserve">builders</t>
  </si>
  <si>
    <t xml:space="preserve">become</t>
  </si>
  <si>
    <t xml:space="preserve">head</t>
  </si>
  <si>
    <t xml:space="preserve">IDIOM</t>
  </si>
  <si>
    <t xml:space="preserve">corner</t>
  </si>
  <si>
    <t xml:space="preserve"># text = There is salvation in none other, for neither is there any other name under heaven, that is given among men, by which we must be saved!"</t>
  </si>
  <si>
    <t xml:space="preserve">There</t>
  </si>
  <si>
    <t xml:space="preserve">salvation</t>
  </si>
  <si>
    <t xml:space="preserve">none</t>
  </si>
  <si>
    <t xml:space="preserve">neither</t>
  </si>
  <si>
    <t xml:space="preserve">any</t>
  </si>
  <si>
    <t xml:space="preserve">under</t>
  </si>
  <si>
    <t xml:space="preserve">heaven</t>
  </si>
  <si>
    <t xml:space="preserve">Salvation</t>
  </si>
  <si>
    <t xml:space="preserve">given</t>
  </si>
  <si>
    <t xml:space="preserve">among</t>
  </si>
  <si>
    <t xml:space="preserve">We</t>
  </si>
  <si>
    <t xml:space="preserve">must</t>
  </si>
  <si>
    <t xml:space="preserve">saved</t>
  </si>
  <si>
    <t xml:space="preserve">!</t>
  </si>
  <si>
    <t xml:space="preserve"># text = Now when they saw the boldness of Peter and John, and had perceived that they were unlearned and ignorant men, they marveled.</t>
  </si>
  <si>
    <t xml:space="preserve">Now</t>
  </si>
  <si>
    <t xml:space="preserve">when</t>
  </si>
  <si>
    <t xml:space="preserve">saw</t>
  </si>
  <si>
    <t xml:space="preserve">boldness</t>
  </si>
  <si>
    <t xml:space="preserve">Boldness</t>
  </si>
  <si>
    <t xml:space="preserve">perceived</t>
  </si>
  <si>
    <t xml:space="preserve">unlearned</t>
  </si>
  <si>
    <t xml:space="preserve">ignorant</t>
  </si>
  <si>
    <t xml:space="preserve">marveled</t>
  </si>
  <si>
    <t xml:space="preserve"># text = They recognized that they had been with Jesus.</t>
  </si>
  <si>
    <t xml:space="preserve">recognized</t>
  </si>
  <si>
    <t xml:space="preserve"># text = Seeing the man who was healed standing with them, they could say nothing against it.</t>
  </si>
  <si>
    <t xml:space="preserve">Seeing</t>
  </si>
  <si>
    <t xml:space="preserve">standing</t>
  </si>
  <si>
    <t xml:space="preserve">other_5</t>
  </si>
  <si>
    <t xml:space="preserve">could</t>
  </si>
  <si>
    <t xml:space="preserve">say</t>
  </si>
  <si>
    <t xml:space="preserve">nothing</t>
  </si>
  <si>
    <t xml:space="preserve">pron</t>
  </si>
  <si>
    <t xml:space="preserve">GEN</t>
  </si>
  <si>
    <t xml:space="preserve">against</t>
  </si>
  <si>
    <t xml:space="preserve"># text = But when they had commanded them to go aside out of the council, they conferred among themselves, saying, \"What shall we do to these men?</t>
  </si>
  <si>
    <t xml:space="preserve">commanded</t>
  </si>
  <si>
    <t xml:space="preserve">go</t>
  </si>
  <si>
    <t xml:space="preserve">aside</t>
  </si>
  <si>
    <t xml:space="preserve">out</t>
  </si>
  <si>
    <t xml:space="preserve">council</t>
  </si>
  <si>
    <t xml:space="preserve">Council</t>
  </si>
  <si>
    <t xml:space="preserve">conferred</t>
  </si>
  <si>
    <t xml:space="preserve">themselves</t>
  </si>
  <si>
    <t xml:space="preserve">saying</t>
  </si>
  <si>
    <t xml:space="preserve">What</t>
  </si>
  <si>
    <t xml:space="preserve">shall</t>
  </si>
  <si>
    <t xml:space="preserve">do</t>
  </si>
  <si>
    <t xml:space="preserve">these</t>
  </si>
  <si>
    <t xml:space="preserve"># text = Because indeed a notable miracle has been done through them, as can be plainly seen by all who dwell in Jerusalem, and we can't deny it.</t>
  </si>
  <si>
    <t xml:space="preserve">Because</t>
  </si>
  <si>
    <t xml:space="preserve">indeed</t>
  </si>
  <si>
    <t xml:space="preserve">notable</t>
  </si>
  <si>
    <t xml:space="preserve">miracle</t>
  </si>
  <si>
    <t xml:space="preserve">through</t>
  </si>
  <si>
    <t xml:space="preserve">can</t>
  </si>
  <si>
    <t xml:space="preserve">plainly</t>
  </si>
  <si>
    <t xml:space="preserve">seen</t>
  </si>
  <si>
    <t xml:space="preserve">dwell</t>
  </si>
  <si>
    <t xml:space="preserve">ca</t>
  </si>
  <si>
    <t xml:space="preserve">n't</t>
  </si>
  <si>
    <t xml:space="preserve">deny</t>
  </si>
  <si>
    <t xml:space="preserve">Notable_miracle</t>
  </si>
  <si>
    <t xml:space="preserve"># text = But so that this spreads no further among the people, let's threaten them, that from now on they don't speak to anyone in this name.\"</t>
  </si>
  <si>
    <t xml:space="preserve">so</t>
  </si>
  <si>
    <t xml:space="preserve">spreads</t>
  </si>
  <si>
    <t xml:space="preserve">no</t>
  </si>
  <si>
    <t xml:space="preserve">further</t>
  </si>
  <si>
    <t xml:space="preserve">People</t>
  </si>
  <si>
    <t xml:space="preserve">let</t>
  </si>
  <si>
    <t xml:space="preserve">'s</t>
  </si>
  <si>
    <t xml:space="preserve">threaten</t>
  </si>
  <si>
    <t xml:space="preserve">speak</t>
  </si>
  <si>
    <t xml:space="preserve">anyone</t>
  </si>
  <si>
    <t xml:space="preserve">pron.pind</t>
  </si>
  <si>
    <t xml:space="preserve"># text = They called them, and commanded them not to speak at all nor teach in the name of Jesus.</t>
  </si>
  <si>
    <t xml:space="preserve">called</t>
  </si>
  <si>
    <t xml:space="preserve">not</t>
  </si>
  <si>
    <t xml:space="preserve">at</t>
  </si>
  <si>
    <t xml:space="preserve">nor</t>
  </si>
  <si>
    <t xml:space="preserve">teach</t>
  </si>
  <si>
    <t xml:space="preserve"># text = But Peter and John answered them, \"Whether it is right in the sight of God to listen to you rather than to God, judge for yourselves, for we can't help telling the things which we saw and heard.\"</t>
  </si>
  <si>
    <t xml:space="preserve">answered</t>
  </si>
  <si>
    <t xml:space="preserve">Whether</t>
  </si>
  <si>
    <t xml:space="preserve">right</t>
  </si>
  <si>
    <t xml:space="preserve">sight</t>
  </si>
  <si>
    <t xml:space="preserve">Sight</t>
  </si>
  <si>
    <t xml:space="preserve">listen</t>
  </si>
  <si>
    <t xml:space="preserve">rather</t>
  </si>
  <si>
    <t xml:space="preserve">than</t>
  </si>
  <si>
    <t xml:space="preserve">judge</t>
  </si>
  <si>
    <t xml:space="preserve">yourselves</t>
  </si>
  <si>
    <t xml:space="preserve">help</t>
  </si>
  <si>
    <t xml:space="preserve">telling</t>
  </si>
  <si>
    <t xml:space="preserve">things</t>
  </si>
  <si>
    <t xml:space="preserve">OBJ_7</t>
  </si>
  <si>
    <t xml:space="preserve">SBJ_7</t>
  </si>
  <si>
    <t xml:space="preserve"># text = When they had further threatened them, they let them go, finding no way to punish them, because of the people; for everyone glorified God for that which was done.</t>
  </si>
  <si>
    <t xml:space="preserve">threatened</t>
  </si>
  <si>
    <t xml:space="preserve">finding</t>
  </si>
  <si>
    <t xml:space="preserve">way</t>
  </si>
  <si>
    <t xml:space="preserve">indef-np.quant</t>
  </si>
  <si>
    <t xml:space="preserve">punish</t>
  </si>
  <si>
    <t xml:space="preserve">;</t>
  </si>
  <si>
    <t xml:space="preserve">everyone</t>
  </si>
  <si>
    <t xml:space="preserve">glorified</t>
  </si>
  <si>
    <t xml:space="preserve"># text = For the man on whom this miracle of healing was performed was more than forty years old.</t>
  </si>
  <si>
    <t xml:space="preserve">For</t>
  </si>
  <si>
    <t xml:space="preserve">healing</t>
  </si>
  <si>
    <t xml:space="preserve">performed</t>
  </si>
  <si>
    <t xml:space="preserve">more</t>
  </si>
  <si>
    <t xml:space="preserve">forty</t>
  </si>
  <si>
    <t xml:space="preserve">years</t>
  </si>
  <si>
    <t xml:space="preserve">old</t>
  </si>
  <si>
    <t xml:space="preserve"># text = Being let go, they came to their own company, and reported all that the chief priests and the elders had said to them.</t>
  </si>
  <si>
    <t xml:space="preserve">Being</t>
  </si>
  <si>
    <t xml:space="preserve">own</t>
  </si>
  <si>
    <t xml:space="preserve">company</t>
  </si>
  <si>
    <t xml:space="preserve">Apostles</t>
  </si>
  <si>
    <t xml:space="preserve">reported</t>
  </si>
  <si>
    <t xml:space="preserve">chief</t>
  </si>
  <si>
    <t xml:space="preserve"># text = When they heard it, they lifted up their voice to God with one accord, and said, "O Lord, you are God, who made the heaven, the earth, the sea, and all that is in them; who by the mouth of your servant, David, said, 'Why do the nations rage, and the peoples plot a vain thing?</t>
  </si>
  <si>
    <t xml:space="preserve">Annas_Caiaphas_John_Alexander_words</t>
  </si>
  <si>
    <t xml:space="preserve">lifted</t>
  </si>
  <si>
    <t xml:space="preserve">up</t>
  </si>
  <si>
    <t xml:space="preserve">voice</t>
  </si>
  <si>
    <t xml:space="preserve">Apostles_voice</t>
  </si>
  <si>
    <t xml:space="preserve">one</t>
  </si>
  <si>
    <t xml:space="preserve">accord</t>
  </si>
  <si>
    <t xml:space="preserve">_</t>
  </si>
  <si>
    <t xml:space="preserve">Lord</t>
  </si>
  <si>
    <t xml:space="preserve">made</t>
  </si>
  <si>
    <t xml:space="preserve">Heaven</t>
  </si>
  <si>
    <t xml:space="preserve">earth</t>
  </si>
  <si>
    <t xml:space="preserve">Earth</t>
  </si>
  <si>
    <t xml:space="preserve">sea</t>
  </si>
  <si>
    <t xml:space="preserve">Sea</t>
  </si>
  <si>
    <t xml:space="preserve">mouth</t>
  </si>
  <si>
    <t xml:space="preserve">David_mouth</t>
  </si>
  <si>
    <t xml:space="preserve">your</t>
  </si>
  <si>
    <t xml:space="preserve">servant</t>
  </si>
  <si>
    <t xml:space="preserve">David</t>
  </si>
  <si>
    <t xml:space="preserve">Why</t>
  </si>
  <si>
    <t xml:space="preserve">nations</t>
  </si>
  <si>
    <t xml:space="preserve">rage</t>
  </si>
  <si>
    <t xml:space="preserve">OBJ_4</t>
  </si>
  <si>
    <t xml:space="preserve">Rage</t>
  </si>
  <si>
    <t xml:space="preserve">peoples</t>
  </si>
  <si>
    <t xml:space="preserve">plot</t>
  </si>
  <si>
    <t xml:space="preserve">vain</t>
  </si>
  <si>
    <t xml:space="preserve">thing</t>
  </si>
  <si>
    <t xml:space="preserve"># text = The kings of the earth take a stand, and the rulers take council together, against the Lord, and against his Christ.'</t>
  </si>
  <si>
    <t xml:space="preserve">The</t>
  </si>
  <si>
    <t xml:space="preserve">kings</t>
  </si>
  <si>
    <t xml:space="preserve">Kings</t>
  </si>
  <si>
    <t xml:space="preserve">take</t>
  </si>
  <si>
    <t xml:space="preserve">Rulers</t>
  </si>
  <si>
    <t xml:space="preserve">his</t>
  </si>
  <si>
    <t xml:space="preserve"># text = "For truly, in this city against your holy servant, Jesus, whom you anointed, both Herod and Pontius Pilate, with the Gentiles and the people of Israel, were gathered together to do whatever your hand and your council foreordained to happen.</t>
  </si>
  <si>
    <t xml:space="preserve">truly</t>
  </si>
  <si>
    <t xml:space="preserve">city</t>
  </si>
  <si>
    <t xml:space="preserve">holy</t>
  </si>
  <si>
    <t xml:space="preserve">anointed</t>
  </si>
  <si>
    <t xml:space="preserve">both</t>
  </si>
  <si>
    <t xml:space="preserve">Herod</t>
  </si>
  <si>
    <t xml:space="preserve">Pontius</t>
  </si>
  <si>
    <t xml:space="preserve">Pilate</t>
  </si>
  <si>
    <t xml:space="preserve">Gentiles</t>
  </si>
  <si>
    <t xml:space="preserve">People_of_Israel</t>
  </si>
  <si>
    <t xml:space="preserve">whatever</t>
  </si>
  <si>
    <t xml:space="preserve">hand</t>
  </si>
  <si>
    <t xml:space="preserve">God_hand</t>
  </si>
  <si>
    <t xml:space="preserve">God_council</t>
  </si>
  <si>
    <t xml:space="preserve">foreordained</t>
  </si>
  <si>
    <t xml:space="preserve">happen</t>
  </si>
  <si>
    <t xml:space="preserve"># text = Now, Lord, look at their threats, and grant to your servants to speak your word with all boldness, while you stretch out your hand to heal; and that signs and wonders may be done through the name of your holy Servant Jesus.\"</t>
  </si>
  <si>
    <t xml:space="preserve">look</t>
  </si>
  <si>
    <t xml:space="preserve">threats</t>
  </si>
  <si>
    <t xml:space="preserve">People_of_Israel_threats</t>
  </si>
  <si>
    <t xml:space="preserve">grant</t>
  </si>
  <si>
    <t xml:space="preserve">servants</t>
  </si>
  <si>
    <t xml:space="preserve">God_word</t>
  </si>
  <si>
    <t xml:space="preserve">while</t>
  </si>
  <si>
    <t xml:space="preserve">stretch</t>
  </si>
  <si>
    <t xml:space="preserve">heal</t>
  </si>
  <si>
    <t xml:space="preserve">signs</t>
  </si>
  <si>
    <t xml:space="preserve">wonders</t>
  </si>
  <si>
    <t xml:space="preserve">may</t>
  </si>
  <si>
    <t xml:space="preserve">Servant</t>
  </si>
  <si>
    <t xml:space="preserve"># text = When they had prayed, the place was shaken where they were gathered together.</t>
  </si>
  <si>
    <t xml:space="preserve">prayed</t>
  </si>
  <si>
    <t xml:space="preserve">place</t>
  </si>
  <si>
    <t xml:space="preserve">Place</t>
  </si>
  <si>
    <t xml:space="preserve">shaken</t>
  </si>
  <si>
    <t xml:space="preserve">where</t>
  </si>
  <si>
    <t xml:space="preserve"># text = They were all filled with the Holy Spirit, and they spoke the word of God with boldness.</t>
  </si>
  <si>
    <t xml:space="preserve"># text = The multitude of those who believed were of one heart and soul.</t>
  </si>
  <si>
    <t xml:space="preserve">multitude</t>
  </si>
  <si>
    <t xml:space="preserve">Devout_men</t>
  </si>
  <si>
    <t xml:space="preserve">heart</t>
  </si>
  <si>
    <t xml:space="preserve">soul</t>
  </si>
  <si>
    <t xml:space="preserve"># text = Not one of them claimed that anything of the things which he possessed was his own, but they had all things in common.</t>
  </si>
  <si>
    <t xml:space="preserve">Not</t>
  </si>
  <si>
    <t xml:space="preserve">claimed</t>
  </si>
  <si>
    <t xml:space="preserve">anything</t>
  </si>
  <si>
    <t xml:space="preserve">Apostles_things</t>
  </si>
  <si>
    <t xml:space="preserve">he</t>
  </si>
  <si>
    <t xml:space="preserve">possessed</t>
  </si>
  <si>
    <t xml:space="preserve">but</t>
  </si>
  <si>
    <t xml:space="preserve">common</t>
  </si>
  <si>
    <t xml:space="preserve"># text = With great power, the apostles gave their testimony of the resurrection of the Lord Jesus.</t>
  </si>
  <si>
    <t xml:space="preserve">With</t>
  </si>
  <si>
    <t xml:space="preserve">great</t>
  </si>
  <si>
    <t xml:space="preserve">apostles</t>
  </si>
  <si>
    <t xml:space="preserve">gave</t>
  </si>
  <si>
    <t xml:space="preserve">testimony</t>
  </si>
  <si>
    <t xml:space="preserve">Apostles_testimony</t>
  </si>
  <si>
    <t xml:space="preserve"># text = Great grace was on them all.</t>
  </si>
  <si>
    <t xml:space="preserve">Great</t>
  </si>
  <si>
    <t xml:space="preserve">grace</t>
  </si>
  <si>
    <t xml:space="preserve"># text = For neither was there among them any who lacked, for as many as were owners of lands or houses sold them, and brought the proceeds of the things that were sold, and laid them at the apostles' feet, and distribution was made to each, according as anyone had need.</t>
  </si>
  <si>
    <t xml:space="preserve">lacked</t>
  </si>
  <si>
    <t xml:space="preserve">owners</t>
  </si>
  <si>
    <t xml:space="preserve">lands</t>
  </si>
  <si>
    <t xml:space="preserve">houses</t>
  </si>
  <si>
    <t xml:space="preserve">sold</t>
  </si>
  <si>
    <t xml:space="preserve">Lands_or_houses</t>
  </si>
  <si>
    <t xml:space="preserve">brought</t>
  </si>
  <si>
    <t xml:space="preserve">proceeds</t>
  </si>
  <si>
    <t xml:space="preserve">Proceeds_of_Lands_or_houses</t>
  </si>
  <si>
    <t xml:space="preserve">feet</t>
  </si>
  <si>
    <t xml:space="preserve">Apostles_feet</t>
  </si>
  <si>
    <t xml:space="preserve">distribution</t>
  </si>
  <si>
    <t xml:space="preserve">each</t>
  </si>
  <si>
    <t xml:space="preserve">according</t>
  </si>
  <si>
    <t xml:space="preserve">need</t>
  </si>
  <si>
    <t xml:space="preserve"># text = Joses, who by the apostles was surnamed Barnabas (which is, being interpreted, Son of Encouragement), a Levite, a man of Cyprus by race, having a field, sold it, and brought the money and laid it at the apostles' feet.</t>
  </si>
  <si>
    <t xml:space="preserve">Joses</t>
  </si>
  <si>
    <t xml:space="preserve">surnamed</t>
  </si>
  <si>
    <t xml:space="preserve">Barnabas</t>
  </si>
  <si>
    <t xml:space="preserve">(</t>
  </si>
  <si>
    <t xml:space="preserve">interpreted</t>
  </si>
  <si>
    <t xml:space="preserve">Son</t>
  </si>
  <si>
    <t xml:space="preserve">Encouragement</t>
  </si>
  <si>
    <t xml:space="preserve">)</t>
  </si>
  <si>
    <t xml:space="preserve">Levite</t>
  </si>
  <si>
    <t xml:space="preserve">Cyprus</t>
  </si>
  <si>
    <t xml:space="preserve">race</t>
  </si>
  <si>
    <t xml:space="preserve">having</t>
  </si>
  <si>
    <t xml:space="preserve">field</t>
  </si>
  <si>
    <t xml:space="preserve">OBJ_6</t>
  </si>
  <si>
    <t xml:space="preserve">Land_of_Joses</t>
  </si>
  <si>
    <t xml:space="preserve">money</t>
  </si>
  <si>
    <t xml:space="preserve">Money</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</si>
</sst>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1041" activePane="bottomRight" state="frozen"/>
      <selection pane="topLeft" activeCell="A1" activeCellId="0" sqref="A1"/>
      <selection pane="topRight" activeCell="B1" activeCellId="0" sqref="B1"/>
      <selection pane="bottomLeft" activeCell="A1041" activeCellId="0" sqref="A1041"/>
      <selection pane="bottomRight" activeCell="F1064" activeCellId="0" sqref="F1064"/>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B4" s="0" t="s">
        <v>15</v>
      </c>
      <c r="C4" s="0" t="s">
        <v>16</v>
      </c>
      <c r="D4" s="0" t="s">
        <v>17</v>
      </c>
      <c r="E4" s="10" t="s">
        <v>18</v>
      </c>
      <c r="F4" s="11" t="str">
        <f aca="false">IF(OR(E4="",E4="!!!"),"",IF(NOT(ISNA(VLOOKUP(E4,E$1:E3,1,FALSE()))),"OLD",IF(AND(E4&lt;&gt;"",E4&lt;&gt;"!!!"),"NEW","")))</f>
        <v>NEW</v>
      </c>
      <c r="G4" s="12" t="s">
        <v>19</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20</v>
      </c>
      <c r="E5" s="10" t="str">
        <f aca="false">IF(#REF!="?OLD","!!!","")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21</v>
      </c>
      <c r="E6" s="10" t="str">
        <f aca="false">IF(#REF!="?OLD","!!!","")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22</v>
      </c>
      <c r="E7" s="10" t="str">
        <f aca="false">IF(#REF!="?OLD","!!!","")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23</v>
      </c>
      <c r="B8" s="0" t="s">
        <v>24</v>
      </c>
      <c r="C8" s="0" t="s">
        <v>25</v>
      </c>
      <c r="D8" s="0" t="s">
        <v>17</v>
      </c>
      <c r="E8" s="10" t="s">
        <v>26</v>
      </c>
      <c r="F8" s="11" t="str">
        <f aca="false">IF(OR(E8="",E8="!!!"),"",IF(NOT(ISNA(VLOOKUP(E8,E$1:E7,1,FALSE()))),"OLD",IF(AND(E8&lt;&gt;"",E8&lt;&gt;"!!!"),"NEW","")))</f>
        <v>NEW</v>
      </c>
      <c r="G8" s="12" t="s">
        <v>19</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27</v>
      </c>
      <c r="E9" s="10" t="str">
        <f aca="false">IF(#REF!="?OLD","!!!","")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22</v>
      </c>
      <c r="E10" s="10" t="str">
        <f aca="false">IF(#REF!="?OLD","!!!","")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28</v>
      </c>
      <c r="B11" s="0" t="s">
        <v>29</v>
      </c>
      <c r="C11" s="0" t="s">
        <v>25</v>
      </c>
      <c r="D11" s="0" t="s">
        <v>17</v>
      </c>
      <c r="E11" s="10" t="s">
        <v>30</v>
      </c>
      <c r="F11" s="11" t="str">
        <f aca="false">IF(OR(E11="",E11="!!!"),"",IF(NOT(ISNA(VLOOKUP(E11,E$1:E10,1,FALSE()))),"OLD",IF(AND(E11&lt;&gt;"",E11&lt;&gt;"!!!"),"NEW","")))</f>
        <v>NEW</v>
      </c>
      <c r="G11" s="12" t="s">
        <v>31</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32</v>
      </c>
      <c r="E12" s="10" t="str">
        <f aca="false">IF(#REF!="?OLD","!!!","")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22</v>
      </c>
      <c r="E13" s="10" t="str">
        <f aca="false">IF(#REF!="?OLD","!!!","")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33</v>
      </c>
      <c r="B14" s="0" t="s">
        <v>24</v>
      </c>
      <c r="C14" s="0" t="s">
        <v>25</v>
      </c>
      <c r="D14" s="0" t="s">
        <v>17</v>
      </c>
      <c r="E14" s="10" t="s">
        <v>34</v>
      </c>
      <c r="F14" s="11" t="str">
        <f aca="false">IF(OR(E14="",E14="!!!"),"",IF(NOT(ISNA(VLOOKUP(E14,E$1:E13,1,FALSE()))),"OLD",IF(AND(E14&lt;&gt;"",E14&lt;&gt;"!!!"),"NEW","")))</f>
        <v>NEW</v>
      </c>
      <c r="G14" s="12" t="s">
        <v>31</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35</v>
      </c>
      <c r="E15" s="10" t="str">
        <f aca="false">IF(#REF!="?OLD","!!!","")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22</v>
      </c>
      <c r="E16" s="10" t="str">
        <f aca="false">IF(#REF!="?OLD","!!!","")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36</v>
      </c>
      <c r="B17" s="0" t="s">
        <v>37</v>
      </c>
      <c r="C17" s="0" t="s">
        <v>25</v>
      </c>
      <c r="D17" s="0" t="s">
        <v>17</v>
      </c>
      <c r="E17" s="10" t="s">
        <v>38</v>
      </c>
      <c r="F17" s="11" t="str">
        <f aca="false">IF(OR(E17="",E17="!!!"),"",IF(NOT(ISNA(VLOOKUP(E17,E$1:E16,1,FALSE()))),"OLD",IF(AND(E17&lt;&gt;"",E17&lt;&gt;"!!!"),"NEW","")))</f>
        <v>NEW</v>
      </c>
      <c r="G17" s="12" t="s">
        <v>19</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32</v>
      </c>
      <c r="E18" s="10" t="str">
        <f aca="false">IF(#REF!="?OLD","!!!","")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22</v>
      </c>
      <c r="E19" s="10" t="str">
        <f aca="false">IF(#REF!="?OLD","!!!","")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39</v>
      </c>
      <c r="B20" s="0" t="s">
        <v>29</v>
      </c>
      <c r="C20" s="0" t="s">
        <v>40</v>
      </c>
      <c r="D20" s="0" t="s">
        <v>17</v>
      </c>
      <c r="E20" s="10" t="s">
        <v>39</v>
      </c>
      <c r="F20" s="11" t="str">
        <f aca="false">IF(OR(E20="",E20="!!!"),"",IF(NOT(ISNA(VLOOKUP(E20,E$1:E19,1,FALSE()))),"OLD",IF(AND(E20&lt;&gt;"",E20&lt;&gt;"!!!"),"NEW","")))</f>
        <v>NEW</v>
      </c>
      <c r="G20" s="12" t="s">
        <v>31</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41</v>
      </c>
      <c r="E21" s="10" t="str">
        <f aca="false">IF(#REF!="?OLD","!!!","")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21</v>
      </c>
      <c r="E22" s="10" t="str">
        <f aca="false">IF(#REF!="?OLD","!!!","")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42</v>
      </c>
      <c r="B23" s="0" t="s">
        <v>43</v>
      </c>
      <c r="C23" s="0" t="s">
        <v>16</v>
      </c>
      <c r="D23" s="0" t="s">
        <v>17</v>
      </c>
      <c r="E23" s="10" t="s">
        <v>18</v>
      </c>
      <c r="F23" s="11" t="str">
        <f aca="false">IF(OR(E23="",E23="!!!"),"",IF(NOT(ISNA(VLOOKUP(E23,E$1:E22,1,FALSE()))),"OLD",IF(AND(E23&lt;&gt;"",E23&lt;&gt;"!!!"),"NEW","")))</f>
        <v>OLD</v>
      </c>
      <c r="G23" s="12" t="s">
        <v>44</v>
      </c>
      <c r="H23" s="13" t="str">
        <f aca="false">IF(J23&lt;&gt;1,"",IF(I23="SBJ","CB","?"))</f>
        <v/>
      </c>
      <c r="I23" s="14" t="str">
        <f aca="false">IF(OR(E23="",E23="!!!",F23="NEW"),"",INDEX(B$2:B22,-1+SUMPRODUCT(MAX(ROW(E$2:E22)*(E23=E$2:E22)))))</f>
        <v>SBJ_2</v>
      </c>
      <c r="J23" s="15" t="n">
        <f aca="true">IF(OR(E23="",E23="!!!",F23="NEW"),"",COUNTBLANK(OFFSET(A$1,,,SUMPRODUCT(MAX(ROW(E$2:E23)*(E23=E$2:E23)))))-COUNTBLANK(OFFSET(A$1,,,SUMPRODUCT(MAX(ROW(E$1:E22)*(E23=E$1:E22))))))</f>
        <v>0</v>
      </c>
      <c r="K23" s="15" t="str">
        <f aca="false">IF(OR(E23="",E23="!!!",F23="NEW"),"",INDEX(J$1:J22,SUMPRODUCT(MAX(ROW(E$1:E22)*(E23=E$1:E22)))))</f>
        <v/>
      </c>
      <c r="L23" s="16"/>
    </row>
    <row r="24" customFormat="false" ht="12.75" hidden="false" customHeight="false" outlineLevel="0" collapsed="false">
      <c r="A24" s="9" t="s">
        <v>27</v>
      </c>
      <c r="E24" s="10" t="str">
        <f aca="false">IF(#REF!="?OLD","!!!","")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45</v>
      </c>
      <c r="E25" s="10" t="str">
        <f aca="false">IF(#REF!="?OLD","!!!","")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46</v>
      </c>
      <c r="E26" s="10" t="str">
        <f aca="false">IF(#REF!="?OLD","!!!","")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47</v>
      </c>
      <c r="E27" s="10" t="str">
        <f aca="false">IF(#REF!="?OLD","!!!","")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14</v>
      </c>
      <c r="B28" s="0" t="s">
        <v>15</v>
      </c>
      <c r="C28" s="0" t="s">
        <v>16</v>
      </c>
      <c r="D28" s="0" t="s">
        <v>17</v>
      </c>
      <c r="E28" s="10" t="s">
        <v>48</v>
      </c>
      <c r="F28" s="11" t="str">
        <f aca="false">IF(OR(E28="",E28="!!!"),"",IF(NOT(ISNA(VLOOKUP(E28,E$1:E27,1,FALSE()))),"OLD",IF(AND(E28&lt;&gt;"",E28&lt;&gt;"!!!"),"NEW","")))</f>
        <v>NEW</v>
      </c>
      <c r="G28" s="12" t="s">
        <v>31</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9" t="s">
        <v>49</v>
      </c>
      <c r="E29" s="10" t="str">
        <f aca="false">IF(#REF!="?OLD","!!!","")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22</v>
      </c>
      <c r="E30" s="10" t="str">
        <f aca="false">IF(#REF!="?OLD","!!!","")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23</v>
      </c>
      <c r="B31" s="0" t="s">
        <v>50</v>
      </c>
      <c r="C31" s="0" t="s">
        <v>25</v>
      </c>
      <c r="D31" s="0" t="s">
        <v>17</v>
      </c>
      <c r="E31" s="10" t="s">
        <v>26</v>
      </c>
      <c r="F31" s="11" t="str">
        <f aca="false">IF(OR(E31="",E31="!!!"),"",IF(NOT(ISNA(VLOOKUP(E31,E$1:E30,1,FALSE()))),"OLD",IF(AND(E31&lt;&gt;"",E31&lt;&gt;"!!!"),"NEW","")))</f>
        <v>OLD</v>
      </c>
      <c r="G31" s="12" t="s">
        <v>44</v>
      </c>
      <c r="H31" s="13" t="str">
        <f aca="false">IF(J31&lt;&gt;1,"",IF(I31="SBJ","CB","?"))</f>
        <v/>
      </c>
      <c r="I31" s="14" t="str">
        <f aca="false">IF(OR(E31="",E31="!!!",F31="NEW"),"",INDEX(B$2:B30,-1+SUMPRODUCT(MAX(ROW(E$2:E30)*(E31=E$2:E30)))))</f>
        <v>other_2</v>
      </c>
      <c r="J31" s="15" t="n">
        <f aca="true">IF(OR(E31="",E31="!!!",F31="NEW"),"",COUNTBLANK(OFFSET(A$1,,,SUMPRODUCT(MAX(ROW(E$2:E31)*(E31=E$2:E31)))))-COUNTBLANK(OFFSET(A$1,,,SUMPRODUCT(MAX(ROW(E$1:E30)*(E31=E$1:E30))))))</f>
        <v>0</v>
      </c>
      <c r="K31" s="15" t="str">
        <f aca="false">IF(OR(E31="",E31="!!!",F31="NEW"),"",INDEX(J$1:J30,SUMPRODUCT(MAX(ROW(E$1:E30)*(E31=E$1:E30)))))</f>
        <v/>
      </c>
      <c r="L31" s="16"/>
    </row>
    <row r="32" customFormat="false" ht="12.75" hidden="false" customHeight="false" outlineLevel="0" collapsed="false">
      <c r="A32" s="9" t="s">
        <v>32</v>
      </c>
      <c r="E32" s="10" t="str">
        <f aca="false">IF(#REF!="?OLD","!!!","")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51</v>
      </c>
      <c r="E33" s="10" t="str">
        <f aca="false">IF(#REF!="?OLD","!!!","")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52</v>
      </c>
      <c r="E34" s="10" t="str">
        <f aca="false">IF(#REF!="?OLD","!!!","")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53</v>
      </c>
      <c r="B35" s="0" t="s">
        <v>37</v>
      </c>
      <c r="C35" s="0" t="s">
        <v>40</v>
      </c>
      <c r="D35" s="0" t="s">
        <v>17</v>
      </c>
      <c r="E35" s="10" t="s">
        <v>53</v>
      </c>
      <c r="F35" s="11" t="str">
        <f aca="false">IF(OR(E35="",E35="!!!"),"",IF(NOT(ISNA(VLOOKUP(E35,E$1:E34,1,FALSE()))),"OLD",IF(AND(E35&lt;&gt;"",E35&lt;&gt;"!!!"),"NEW","")))</f>
        <v>NEW</v>
      </c>
      <c r="G35" s="12" t="s">
        <v>19</v>
      </c>
      <c r="H35" s="13"/>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t="s">
        <v>54</v>
      </c>
    </row>
    <row r="36" customFormat="false" ht="12.75" hidden="false" customHeight="false" outlineLevel="0" collapsed="false">
      <c r="A36" s="9" t="s">
        <v>22</v>
      </c>
      <c r="E36" s="10" t="str">
        <f aca="false">IF(#REF!="?OLD","!!!","")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55</v>
      </c>
      <c r="B37" s="0" t="s">
        <v>56</v>
      </c>
      <c r="C37" s="0" t="s">
        <v>25</v>
      </c>
      <c r="D37" s="0" t="s">
        <v>17</v>
      </c>
      <c r="E37" s="10" t="s">
        <v>57</v>
      </c>
      <c r="F37" s="11" t="str">
        <f aca="false">IF(OR(E37="",E37="!!!"),"",IF(NOT(ISNA(VLOOKUP(E37,E$1:E36,1,FALSE()))),"OLD",IF(AND(E37&lt;&gt;"",E37&lt;&gt;"!!!"),"NEW","")))</f>
        <v>NEW</v>
      </c>
      <c r="G37" s="12" t="s">
        <v>19</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58</v>
      </c>
      <c r="E38" s="10" t="str">
        <f aca="false">IF(#REF!="?OLD","!!!","")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22</v>
      </c>
      <c r="E39" s="10" t="str">
        <f aca="false">IF(#REF!="?OLD","!!!","")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59</v>
      </c>
      <c r="E40" s="10" t="str">
        <f aca="false">IF(#REF!="?OLD","!!!","")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60</v>
      </c>
      <c r="E41" s="10" t="str">
        <f aca="false">IF(#REF!="?OLD","!!!","")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E42" s="10" t="str">
        <f aca="false">IF(#REF!="?OLD","!!!","")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61</v>
      </c>
      <c r="E43" s="10" t="str">
        <f aca="false">IF(#REF!="?OLD","!!!","")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62</v>
      </c>
      <c r="B44" s="0" t="s">
        <v>29</v>
      </c>
      <c r="C44" s="0" t="s">
        <v>16</v>
      </c>
      <c r="D44" s="0" t="s">
        <v>17</v>
      </c>
      <c r="E44" s="10" t="s">
        <v>48</v>
      </c>
      <c r="F44" s="11" t="str">
        <f aca="false">IF(OR(E44="",E44="!!!"),"",IF(NOT(ISNA(VLOOKUP(E44,E$1:E43,1,FALSE()))),"OLD",IF(AND(E44&lt;&gt;"",E44&lt;&gt;"!!!"),"NEW","")))</f>
        <v>OLD</v>
      </c>
      <c r="G44" s="12" t="s">
        <v>63</v>
      </c>
      <c r="H44" s="13"/>
      <c r="I44" s="14" t="str">
        <f aca="false">IF(OR(E44="",E44="!!!",F44="NEW"),"",INDEX(B$2:B43,-1+SUMPRODUCT(MAX(ROW(E$2:E43)*(E44=E$2:E43)))))</f>
        <v>SBJ_2</v>
      </c>
      <c r="J44" s="15" t="n">
        <f aca="true">IF(OR(E44="",E44="!!!",F44="NEW"),"",COUNTBLANK(OFFSET(A$1,,,SUMPRODUCT(MAX(ROW(E$2:E44)*(E44=E$2:E44)))))-COUNTBLANK(OFFSET(A$1,,,SUMPRODUCT(MAX(ROW(E$1:E43)*(E44=E$1:E43))))))</f>
        <v>1</v>
      </c>
      <c r="K44" s="15" t="str">
        <f aca="false">IF(OR(E44="",E44="!!!",F44="NEW"),"",INDEX(J$1:J43,SUMPRODUCT(MAX(ROW(E$1:E43)*(E44=E$1:E43)))))</f>
        <v/>
      </c>
      <c r="L44" s="16"/>
    </row>
    <row r="45" customFormat="false" ht="12.75" hidden="false" customHeight="false" outlineLevel="0" collapsed="false">
      <c r="A45" s="9" t="s">
        <v>64</v>
      </c>
      <c r="E45" s="10" t="str">
        <f aca="false">IF(#REF!="?OLD","!!!","")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65</v>
      </c>
      <c r="B46" s="0" t="s">
        <v>66</v>
      </c>
      <c r="C46" s="0" t="s">
        <v>67</v>
      </c>
      <c r="E46" s="10" t="str">
        <f aca="false">IF(#REF!="?OLD","!!!","")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68</v>
      </c>
      <c r="E47" s="10" t="str">
        <f aca="false">IF(#REF!="?OLD","!!!","")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9" t="s">
        <v>42</v>
      </c>
      <c r="B48" s="0" t="s">
        <v>43</v>
      </c>
      <c r="C48" s="0" t="s">
        <v>16</v>
      </c>
      <c r="D48" s="0" t="s">
        <v>17</v>
      </c>
      <c r="E48" s="10" t="s">
        <v>18</v>
      </c>
      <c r="F48" s="11" t="str">
        <f aca="false">IF(OR(E48="",E48="!!!"),"",IF(NOT(ISNA(VLOOKUP(E48,E$1:E47,1,FALSE()))),"OLD",IF(AND(E48&lt;&gt;"",E48&lt;&gt;"!!!"),"NEW","")))</f>
        <v>OLD</v>
      </c>
      <c r="G48" s="12" t="s">
        <v>63</v>
      </c>
      <c r="H48" s="13" t="s">
        <v>7</v>
      </c>
      <c r="I48" s="14" t="str">
        <f aca="false">IF(OR(E48="",E48="!!!",F48="NEW"),"",INDEX(B$2:B47,-1+SUMPRODUCT(MAX(ROW(E$2:E47)*(E48=E$2:E47)))))</f>
        <v>other</v>
      </c>
      <c r="J48" s="15" t="n">
        <f aca="true">IF(OR(E48="",E48="!!!",F48="NEW"),"",COUNTBLANK(OFFSET(A$1,,,SUMPRODUCT(MAX(ROW(E$2:E48)*(E48=E$2:E48)))))-COUNTBLANK(OFFSET(A$1,,,SUMPRODUCT(MAX(ROW(E$1:E47)*(E48=E$1:E47))))))</f>
        <v>1</v>
      </c>
      <c r="K48" s="15" t="n">
        <f aca="false">IF(OR(E48="",E48="!!!",F48="NEW"),"",INDEX(J$1:J47,SUMPRODUCT(MAX(ROW(E$1:E47)*(E48=E$1:E47)))))</f>
        <v>0</v>
      </c>
      <c r="L48" s="16"/>
    </row>
    <row r="49" customFormat="false" ht="12.75" hidden="false" customHeight="false" outlineLevel="0" collapsed="false">
      <c r="A49" s="9" t="s">
        <v>27</v>
      </c>
      <c r="E49" s="10" t="str">
        <f aca="false">IF(#REF!="?OLD","!!!","")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32</v>
      </c>
      <c r="E50" s="10" t="str">
        <f aca="false">IF(#REF!="?OLD","!!!","")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69</v>
      </c>
      <c r="E51" s="10" t="str">
        <f aca="false">IF(#REF!="?OLD","!!!","")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42</v>
      </c>
      <c r="B52" s="0" t="s">
        <v>50</v>
      </c>
      <c r="C52" s="0" t="s">
        <v>16</v>
      </c>
      <c r="D52" s="0" t="s">
        <v>17</v>
      </c>
      <c r="E52" s="10" t="s">
        <v>18</v>
      </c>
      <c r="F52" s="11" t="str">
        <f aca="false">IF(OR(E52="",E52="!!!"),"",IF(NOT(ISNA(VLOOKUP(E52,E$1:E51,1,FALSE()))),"OLD",IF(AND(E52&lt;&gt;"",E52&lt;&gt;"!!!"),"NEW","")))</f>
        <v>OLD</v>
      </c>
      <c r="G52" s="12" t="s">
        <v>44</v>
      </c>
      <c r="H52" s="13" t="str">
        <f aca="false">IF(J52&lt;&gt;1,"",IF(I52="SBJ","CB","?"))</f>
        <v/>
      </c>
      <c r="I52" s="14" t="str">
        <f aca="false">IF(OR(E52="",E52="!!!",F52="NEW"),"",INDEX(B$2:B51,-1+SUMPRODUCT(MAX(ROW(E$2:E51)*(E52=E$2:E51)))))</f>
        <v>other</v>
      </c>
      <c r="J52" s="15" t="n">
        <f aca="true">IF(OR(E52="",E52="!!!",F52="NEW"),"",COUNTBLANK(OFFSET(A$1,,,SUMPRODUCT(MAX(ROW(E$2:E52)*(E52=E$2:E52)))))-COUNTBLANK(OFFSET(A$1,,,SUMPRODUCT(MAX(ROW(E$1:E51)*(E52=E$1:E51))))))</f>
        <v>0</v>
      </c>
      <c r="K52" s="15" t="n">
        <f aca="false">IF(OR(E52="",E52="!!!",F52="NEW"),"",INDEX(J$1:J51,SUMPRODUCT(MAX(ROW(E$1:E51)*(E52=E$1:E51)))))</f>
        <v>1</v>
      </c>
      <c r="L52" s="16"/>
    </row>
    <row r="53" customFormat="false" ht="12.75" hidden="false" customHeight="false" outlineLevel="0" collapsed="false">
      <c r="A53" s="9" t="s">
        <v>52</v>
      </c>
      <c r="E53" s="10" t="str">
        <f aca="false">IF(#REF!="?OLD","!!!","")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70</v>
      </c>
      <c r="B54" s="0" t="s">
        <v>24</v>
      </c>
      <c r="C54" s="0" t="s">
        <v>67</v>
      </c>
      <c r="E54" s="10" t="str">
        <f aca="false">IF(#REF!="?OLD","!!!","")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71</v>
      </c>
      <c r="E55" s="10" t="str">
        <f aca="false">IF(#REF!="?OLD","!!!","")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22</v>
      </c>
      <c r="E56" s="10" t="str">
        <f aca="false">IF(#REF!="?OLD","!!!","")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72</v>
      </c>
      <c r="E57" s="10" t="str">
        <f aca="false">IF(#REF!="?OLD","!!!","")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73</v>
      </c>
      <c r="B58" s="0" t="s">
        <v>24</v>
      </c>
      <c r="C58" s="0" t="s">
        <v>25</v>
      </c>
      <c r="D58" s="0" t="s">
        <v>17</v>
      </c>
      <c r="E58" s="10" t="s">
        <v>74</v>
      </c>
      <c r="F58" s="11" t="str">
        <f aca="false">IF(OR(E58="",E58="!!!"),"",IF(NOT(ISNA(VLOOKUP(E58,E$1:E57,1,FALSE()))),"OLD",IF(AND(E58&lt;&gt;"",E58&lt;&gt;"!!!"),"NEW","")))</f>
        <v>NEW</v>
      </c>
      <c r="G58" s="12" t="s">
        <v>31</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27</v>
      </c>
      <c r="E59" s="10" t="str">
        <f aca="false">IF(#REF!="?OLD","!!!","")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75</v>
      </c>
      <c r="E60" s="10" t="str">
        <f aca="false">IF(#REF!="?OLD","!!!","")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76</v>
      </c>
      <c r="B61" s="0" t="s">
        <v>15</v>
      </c>
      <c r="C61" s="0" t="s">
        <v>16</v>
      </c>
      <c r="D61" s="0" t="s">
        <v>17</v>
      </c>
      <c r="E61" s="10"/>
      <c r="F61" s="11" t="s">
        <v>77</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78</v>
      </c>
      <c r="E62" s="10" t="str">
        <f aca="false">IF(#REF!="?OLD","!!!","")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79</v>
      </c>
      <c r="E63" s="10" t="str">
        <f aca="false">IF(#REF!="?OLD","!!!","")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80</v>
      </c>
      <c r="B64" s="0" t="s">
        <v>43</v>
      </c>
      <c r="C64" s="0" t="s">
        <v>67</v>
      </c>
      <c r="E64" s="10" t="str">
        <f aca="false">IF(#REF!="?OLD","!!!","")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60</v>
      </c>
      <c r="E65" s="10" t="str">
        <f aca="false">IF(#REF!="?OLD","!!!","")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E66" s="10" t="str">
        <f aca="false">IF(#REF!="?OLD","!!!","")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81</v>
      </c>
      <c r="E67" s="10" t="str">
        <f aca="false">IF(#REF!="?OLD","!!!","")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82</v>
      </c>
      <c r="E68" s="10" t="str">
        <f aca="false">IF(#REF!="?OLD","!!!","")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83</v>
      </c>
      <c r="E69" s="10" t="str">
        <f aca="false">IF(#REF!="?OLD","!!!","")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35</v>
      </c>
      <c r="E70" s="10" t="str">
        <f aca="false">IF(#REF!="?OLD","!!!","")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84</v>
      </c>
      <c r="B71" s="0" t="s">
        <v>43</v>
      </c>
      <c r="C71" s="0" t="s">
        <v>85</v>
      </c>
      <c r="D71" s="0" t="s">
        <v>17</v>
      </c>
      <c r="E71" s="10" t="s">
        <v>26</v>
      </c>
      <c r="F71" s="11" t="str">
        <f aca="false">IF(OR(E71="",E71="!!!"),"",IF(NOT(ISNA(VLOOKUP(E71,E$1:E70,1,FALSE()))),"OLD",IF(AND(E71&lt;&gt;"",E71&lt;&gt;"!!!"),"NEW","")))</f>
        <v>OLD</v>
      </c>
      <c r="G71" s="12" t="s">
        <v>63</v>
      </c>
      <c r="H71" s="13" t="str">
        <f aca="false">IF(J71&lt;&gt;1,"",IF(I71="SBJ","CB","?"))</f>
        <v/>
      </c>
      <c r="I71" s="14" t="str">
        <f aca="false">IF(OR(E71="",E71="!!!",F71="NEW"),"",INDEX(B$2:B70,-1+SUMPRODUCT(MAX(ROW(E$2:E70)*(E71=E$2:E70)))))</f>
        <v>OBJ_2</v>
      </c>
      <c r="J71" s="15" t="n">
        <f aca="true">IF(OR(E71="",E71="!!!",F71="NEW"),"",COUNTBLANK(OFFSET(A$1,,,SUMPRODUCT(MAX(ROW(E$2:E71)*(E71=E$2:E71)))))-COUNTBLANK(OFFSET(A$1,,,SUMPRODUCT(MAX(ROW(E$1:E70)*(E71=E$1:E70))))))</f>
        <v>2</v>
      </c>
      <c r="K71" s="15" t="n">
        <f aca="false">IF(OR(E71="",E71="!!!",F71="NEW"),"",INDEX(J$1:J70,SUMPRODUCT(MAX(ROW(E$1:E70)*(E71=E$1:E70)))))</f>
        <v>0</v>
      </c>
      <c r="L71" s="16"/>
    </row>
    <row r="72" customFormat="false" ht="12.75" hidden="false" customHeight="false" outlineLevel="0" collapsed="false">
      <c r="A72" s="9" t="s">
        <v>86</v>
      </c>
      <c r="B72" s="0" t="s">
        <v>87</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88</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22</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89</v>
      </c>
      <c r="B75" s="0" t="s">
        <v>90</v>
      </c>
      <c r="C75" s="0" t="s">
        <v>25</v>
      </c>
      <c r="D75" s="0" t="s">
        <v>17</v>
      </c>
      <c r="E75" s="10" t="s">
        <v>91</v>
      </c>
      <c r="F75" s="11" t="str">
        <f aca="false">IF(OR(E75="",E75="!!!"),"",IF(NOT(ISNA(VLOOKUP(E75,E$1:E74,1,FALSE()))),"OLD",IF(AND(E75&lt;&gt;"",E75&lt;&gt;"!!!"),"NEW","")))</f>
        <v>NEW</v>
      </c>
      <c r="G75" s="12" t="s">
        <v>31</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92</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27</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32</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22</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93</v>
      </c>
      <c r="B80" s="0" t="s">
        <v>15</v>
      </c>
      <c r="C80" s="0" t="s">
        <v>25</v>
      </c>
      <c r="D80" s="0" t="s">
        <v>17</v>
      </c>
      <c r="E80" s="10" t="s">
        <v>26</v>
      </c>
      <c r="F80" s="11" t="str">
        <f aca="false">IF(OR(E80="",E80="!!!"),"",IF(NOT(ISNA(VLOOKUP(E80,E$1:E79,1,FALSE()))),"OLD",IF(AND(E80&lt;&gt;"",E80&lt;&gt;"!!!"),"NEW","")))</f>
        <v>OLD</v>
      </c>
      <c r="G80" s="12" t="s">
        <v>44</v>
      </c>
      <c r="H80" s="13" t="str">
        <f aca="false">IF(J80&lt;&gt;1,"",IF(I80="SBJ","CB","?"))</f>
        <v/>
      </c>
      <c r="I80" s="14" t="str">
        <f aca="false">IF(OR(E80="",E80="!!!",F80="NEW"),"",INDEX(B$2:B79,-1+SUMPRODUCT(MAX(ROW(E$2:E79)*(E80=E$2:E79)))))</f>
        <v>other</v>
      </c>
      <c r="J80" s="15" t="n">
        <f aca="true">IF(OR(E80="",E80="!!!",F80="NEW"),"",COUNTBLANK(OFFSET(A$1,,,SUMPRODUCT(MAX(ROW(E$2:E80)*(E80=E$2:E80)))))-COUNTBLANK(OFFSET(A$1,,,SUMPRODUCT(MAX(ROW(E$1:E79)*(E80=E$1:E79))))))</f>
        <v>0</v>
      </c>
      <c r="K80" s="15" t="n">
        <f aca="false">IF(OR(E80="",E80="!!!",F80="NEW"),"",INDEX(J$1:J79,SUMPRODUCT(MAX(ROW(E$1:E79)*(E80=E$1:E79)))))</f>
        <v>2</v>
      </c>
      <c r="L80" s="16"/>
    </row>
    <row r="81" customFormat="false" ht="12.75" hidden="false" customHeight="false" outlineLevel="0" collapsed="false">
      <c r="A81" s="9" t="s">
        <v>35</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22</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94</v>
      </c>
      <c r="B83" s="0" t="s">
        <v>37</v>
      </c>
      <c r="C83" s="0" t="s">
        <v>25</v>
      </c>
      <c r="D83" s="0" t="s">
        <v>17</v>
      </c>
      <c r="E83" s="10" t="s">
        <v>26</v>
      </c>
      <c r="F83" s="11" t="str">
        <f aca="false">IF(OR(E83="",E83="!!!"),"",IF(NOT(ISNA(VLOOKUP(E83,E$1:E82,1,FALSE()))),"OLD",IF(AND(E83&lt;&gt;"",E83&lt;&gt;"!!!"),"NEW","")))</f>
        <v>OLD</v>
      </c>
      <c r="G83" s="12" t="s">
        <v>44</v>
      </c>
      <c r="H83" s="13" t="str">
        <f aca="false">IF(J83&lt;&gt;1,"",IF(I83="SBJ","CB","?"))</f>
        <v/>
      </c>
      <c r="I83" s="14" t="str">
        <f aca="false">IF(OR(E83="",E83="!!!",F83="NEW"),"",INDEX(B$2:B82,-1+SUMPRODUCT(MAX(ROW(E$2:E82)*(E83=E$2:E82)))))</f>
        <v>SBJ_2</v>
      </c>
      <c r="J83" s="15" t="n">
        <f aca="true">IF(OR(E83="",E83="!!!",F83="NEW"),"",COUNTBLANK(OFFSET(A$1,,,SUMPRODUCT(MAX(ROW(E$2:E83)*(E83=E$2:E83)))))-COUNTBLANK(OFFSET(A$1,,,SUMPRODUCT(MAX(ROW(E$1:E82)*(E83=E$1:E82))))))</f>
        <v>0</v>
      </c>
      <c r="K83" s="15" t="n">
        <f aca="false">IF(OR(E83="",E83="!!!",F83="NEW"),"",INDEX(J$1:J82,SUMPRODUCT(MAX(ROW(E$1:E82)*(E83=E$1:E82)))))</f>
        <v>0</v>
      </c>
      <c r="L83" s="16"/>
    </row>
    <row r="84" customFormat="false" ht="12.75" hidden="false" customHeight="false" outlineLevel="0" collapsed="false">
      <c r="A84" s="9" t="s">
        <v>41</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21</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95</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96</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97</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98</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60</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99</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100</v>
      </c>
      <c r="B93" s="0" t="s">
        <v>29</v>
      </c>
      <c r="C93" s="0" t="s">
        <v>16</v>
      </c>
      <c r="D93" s="0" t="s">
        <v>17</v>
      </c>
      <c r="E93" s="10"/>
      <c r="F93" s="11" t="s">
        <v>77</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101</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9" t="s">
        <v>52</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22</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102</v>
      </c>
      <c r="B97" s="0" t="s">
        <v>43</v>
      </c>
      <c r="C97" s="0" t="s">
        <v>25</v>
      </c>
      <c r="D97" s="0" t="s">
        <v>17</v>
      </c>
      <c r="E97" s="10" t="s">
        <v>74</v>
      </c>
      <c r="F97" s="11" t="str">
        <f aca="false">IF(OR(E97="",E97="!!!"),"",IF(NOT(ISNA(VLOOKUP(E97,E$1:E96,1,FALSE()))),"OLD",IF(AND(E97&lt;&gt;"",E97&lt;&gt;"!!!"),"NEW","")))</f>
        <v>OLD</v>
      </c>
      <c r="G97" s="12" t="s">
        <v>63</v>
      </c>
      <c r="H97" s="13" t="str">
        <f aca="false">IF(J97&lt;&gt;1,"",IF(I97="SBJ","CB","?"))</f>
        <v/>
      </c>
      <c r="I97" s="14" t="str">
        <f aca="false">IF(OR(E97="",E97="!!!",F97="NEW"),"",INDEX(B$2:B96,-1+SUMPRODUCT(MAX(ROW(E$2:E96)*(E97=E$2:E96)))))</f>
        <v>other_2</v>
      </c>
      <c r="J97" s="15" t="n">
        <f aca="true">IF(OR(E97="",E97="!!!",F97="NEW"),"",COUNTBLANK(OFFSET(A$1,,,SUMPRODUCT(MAX(ROW(E$2:E97)*(E97=E$2:E97)))))-COUNTBLANK(OFFSET(A$1,,,SUMPRODUCT(MAX(ROW(E$1:E96)*(E97=E$1:E96))))))</f>
        <v>2</v>
      </c>
      <c r="K97" s="15" t="str">
        <f aca="false">IF(OR(E97="",E97="!!!",F97="NEW"),"",INDEX(J$1:J96,SUMPRODUCT(MAX(ROW(E$1:E96)*(E97=E$1:E96)))))</f>
        <v/>
      </c>
      <c r="L97" s="16"/>
    </row>
    <row r="98" customFormat="false" ht="12.75" hidden="false" customHeight="false" outlineLevel="0" collapsed="false">
      <c r="A98" s="9" t="s">
        <v>27</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103</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104</v>
      </c>
      <c r="B100" s="0" t="s">
        <v>37</v>
      </c>
      <c r="C100" s="0" t="s">
        <v>105</v>
      </c>
      <c r="D100" s="0" t="s">
        <v>17</v>
      </c>
      <c r="E100" s="10" t="s">
        <v>26</v>
      </c>
      <c r="F100" s="11" t="str">
        <f aca="false">IF(OR(E100="",E100="!!!"),"",IF(NOT(ISNA(VLOOKUP(E100,E$1:E99,1,FALSE()))),"OLD",IF(AND(E100&lt;&gt;"",E100&lt;&gt;"!!!"),"NEW","")))</f>
        <v>OLD</v>
      </c>
      <c r="G100" s="12" t="s">
        <v>63</v>
      </c>
      <c r="H100" s="13" t="s">
        <v>7</v>
      </c>
      <c r="I100" s="14" t="str">
        <f aca="false">IF(OR(E100="",E100="!!!",F100="NEW"),"",INDEX(B$2:B99,-1+SUMPRODUCT(MAX(ROW(E$2:E99)*(E100=E$2:E99)))))</f>
        <v>other_3</v>
      </c>
      <c r="J100" s="15" t="n">
        <f aca="true">IF(OR(E100="",E100="!!!",F100="NEW"),"",COUNTBLANK(OFFSET(A$1,,,SUMPRODUCT(MAX(ROW(E$2:E100)*(E100=E$2:E100)))))-COUNTBLANK(OFFSET(A$1,,,SUMPRODUCT(MAX(ROW(E$1:E99)*(E100=E$1:E99))))))</f>
        <v>1</v>
      </c>
      <c r="K100" s="15" t="n">
        <f aca="false">IF(OR(E100="",E100="!!!",F100="NEW"),"",INDEX(J$1:J99,SUMPRODUCT(MAX(ROW(E$1:E99)*(E100=E$1:E99)))))</f>
        <v>0</v>
      </c>
      <c r="L100" s="16"/>
    </row>
    <row r="101" customFormat="false" ht="12.75" hidden="false" customHeight="false" outlineLevel="0" collapsed="false">
      <c r="A101" s="9" t="s">
        <v>106</v>
      </c>
      <c r="B101" s="0" t="s">
        <v>15</v>
      </c>
      <c r="C101" s="0" t="s">
        <v>107</v>
      </c>
      <c r="D101" s="0" t="s">
        <v>17</v>
      </c>
      <c r="E101" s="10" t="s">
        <v>108</v>
      </c>
      <c r="F101" s="11" t="str">
        <f aca="false">IF(OR(E101="",E101="!!!"),"",IF(NOT(ISNA(VLOOKUP(E101,E$1:E100,1,FALSE()))),"OLD",IF(AND(E101&lt;&gt;"",E101&lt;&gt;"!!!"),"NEW","")))</f>
        <v>NEW</v>
      </c>
      <c r="G101" s="12" t="s">
        <v>31</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27</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109</v>
      </c>
      <c r="B103" s="0" t="s">
        <v>37</v>
      </c>
      <c r="C103" s="0" t="s">
        <v>67</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27</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32</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110</v>
      </c>
      <c r="B106" s="0" t="s">
        <v>15</v>
      </c>
      <c r="C106" s="0" t="s">
        <v>67</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111</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112</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113</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52</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114</v>
      </c>
      <c r="B111" s="0" t="s">
        <v>24</v>
      </c>
      <c r="C111" s="0" t="s">
        <v>40</v>
      </c>
      <c r="D111" s="0" t="s">
        <v>17</v>
      </c>
      <c r="E111" s="10" t="s">
        <v>114</v>
      </c>
      <c r="F111" s="11" t="str">
        <f aca="false">IF(OR(E111="",E111="!!!"),"",IF(NOT(ISNA(VLOOKUP(E111,E$1:E110,1,FALSE()))),"OLD",IF(AND(E111&lt;&gt;"",E111&lt;&gt;"!!!"),"NEW","")))</f>
        <v>NEW</v>
      </c>
      <c r="G111" s="12" t="s">
        <v>19</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60</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115</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116</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22</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117</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118</v>
      </c>
      <c r="B118" s="0" t="s">
        <v>29</v>
      </c>
      <c r="C118" s="0" t="s">
        <v>25</v>
      </c>
      <c r="D118" s="0" t="s">
        <v>17</v>
      </c>
      <c r="E118" s="10" t="s">
        <v>119</v>
      </c>
      <c r="F118" s="11" t="str">
        <f aca="false">IF(OR(E118="",E118="!!!"),"",IF(NOT(ISNA(VLOOKUP(E118,E$1:E117,1,FALSE()))),"OLD",IF(AND(E118&lt;&gt;"",E118&lt;&gt;"!!!"),"NEW","")))</f>
        <v>NEW</v>
      </c>
      <c r="G118" s="12" t="s">
        <v>31</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78</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9" t="s">
        <v>120</v>
      </c>
      <c r="B120" s="0" t="s">
        <v>43</v>
      </c>
      <c r="C120" s="0" t="s">
        <v>121</v>
      </c>
      <c r="D120" s="0" t="s">
        <v>17</v>
      </c>
      <c r="E120" s="10" t="s">
        <v>114</v>
      </c>
      <c r="F120" s="11" t="str">
        <f aca="false">IF(OR(E120="",E120="!!!"),"",IF(NOT(ISNA(VLOOKUP(E120,E$1:E119,1,FALSE()))),"OLD",IF(AND(E120&lt;&gt;"",E120&lt;&gt;"!!!"),"NEW","")))</f>
        <v>OLD</v>
      </c>
      <c r="G120" s="12" t="s">
        <v>63</v>
      </c>
      <c r="H120" s="13" t="s">
        <v>7</v>
      </c>
      <c r="I120" s="14" t="str">
        <f aca="false">IF(OR(E120="",E120="!!!",F120="NEW"),"",INDEX(B$2:B119,-1+SUMPRODUCT(MAX(ROW(E$2:E119)*(E120=E$2:E119)))))</f>
        <v>other_2</v>
      </c>
      <c r="J120" s="15" t="n">
        <f aca="true">IF(OR(E120="",E120="!!!",F120="NEW"),"",COUNTBLANK(OFFSET(A$1,,,SUMPRODUCT(MAX(ROW(E$2:E120)*(E120=E$2:E120)))))-COUNTBLANK(OFFSET(A$1,,,SUMPRODUCT(MAX(ROW(E$1:E119)*(E120=E$1:E119))))))</f>
        <v>1</v>
      </c>
      <c r="K120" s="15" t="str">
        <f aca="false">IF(OR(E120="",E120="!!!",F120="NEW"),"",INDEX(J$1:J119,SUMPRODUCT(MAX(ROW(E$1:E119)*(E120=E$1:E119)))))</f>
        <v/>
      </c>
      <c r="L120" s="16"/>
    </row>
    <row r="121" customFormat="false" ht="12.75" hidden="false" customHeight="false" outlineLevel="0" collapsed="false">
      <c r="A121" s="9" t="s">
        <v>27</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122</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123</v>
      </c>
      <c r="B123" s="0" t="s">
        <v>43</v>
      </c>
      <c r="C123" s="0" t="s">
        <v>40</v>
      </c>
      <c r="D123" s="0" t="s">
        <v>17</v>
      </c>
      <c r="E123" s="10" t="s">
        <v>123</v>
      </c>
      <c r="F123" s="11" t="str">
        <f aca="false">IF(OR(E123="",E123="!!!"),"",IF(NOT(ISNA(VLOOKUP(E123,E$1:E122,1,FALSE()))),"OLD",IF(AND(E123&lt;&gt;"",E123&lt;&gt;"!!!"),"NEW","")))</f>
        <v>NEW</v>
      </c>
      <c r="G123" s="12" t="s">
        <v>31</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27</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124</v>
      </c>
      <c r="B125" s="0" t="s">
        <v>24</v>
      </c>
      <c r="C125" s="0" t="s">
        <v>40</v>
      </c>
      <c r="D125" s="0" t="s">
        <v>17</v>
      </c>
      <c r="E125" s="10" t="s">
        <v>124</v>
      </c>
      <c r="F125" s="11" t="str">
        <f aca="false">IF(OR(E125="",E125="!!!"),"",IF(NOT(ISNA(VLOOKUP(E125,E$1:E124,1,FALSE()))),"OLD",IF(AND(E125&lt;&gt;"",E125&lt;&gt;"!!!"),"NEW","")))</f>
        <v>NEW</v>
      </c>
      <c r="G125" s="12" t="s">
        <v>19</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27</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125</v>
      </c>
      <c r="B127" s="0" t="s">
        <v>24</v>
      </c>
      <c r="C127" s="0" t="s">
        <v>40</v>
      </c>
      <c r="D127" s="0" t="s">
        <v>17</v>
      </c>
      <c r="E127" s="10" t="s">
        <v>125</v>
      </c>
      <c r="F127" s="11" t="str">
        <f aca="false">IF(OR(E127="",E127="!!!"),"",IF(NOT(ISNA(VLOOKUP(E127,E$1:E126,1,FALSE()))),"OLD",IF(AND(E127&lt;&gt;"",E127&lt;&gt;"!!!"),"NEW","")))</f>
        <v>NEW</v>
      </c>
      <c r="G127" s="12" t="s">
        <v>31</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27</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32</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126</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83</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126</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111</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127</v>
      </c>
      <c r="B134" s="0" t="s">
        <v>37</v>
      </c>
      <c r="C134" s="0" t="s">
        <v>67</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35</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22</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117</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118</v>
      </c>
      <c r="B138" s="0" t="s">
        <v>128</v>
      </c>
      <c r="C138" s="0" t="s">
        <v>25</v>
      </c>
      <c r="D138" s="0" t="s">
        <v>17</v>
      </c>
      <c r="E138" s="10" t="s">
        <v>119</v>
      </c>
      <c r="F138" s="11" t="str">
        <f aca="false">IF(OR(E138="",E138="!!!"),"",IF(NOT(ISNA(VLOOKUP(E138,E$1:E137,1,FALSE()))),"OLD",IF(AND(E138&lt;&gt;"",E138&lt;&gt;"!!!"),"NEW","")))</f>
        <v>OLD</v>
      </c>
      <c r="G138" s="12" t="s">
        <v>63</v>
      </c>
      <c r="H138" s="13" t="str">
        <f aca="false">IF(J138&lt;&gt;1,"",IF(I138="SBJ","CB","?"))</f>
        <v/>
      </c>
      <c r="I138" s="14" t="str">
        <f aca="false">IF(OR(E138="",E138="!!!",F138="NEW"),"",INDEX(B$2:B137,-1+SUMPRODUCT(MAX(ROW(E$2:E137)*(E138=E$2:E137)))))</f>
        <v>SBJ</v>
      </c>
      <c r="J138" s="15" t="n">
        <f aca="true">IF(OR(E138="",E138="!!!",F138="NEW"),"",COUNTBLANK(OFFSET(A$1,,,SUMPRODUCT(MAX(ROW(E$2:E138)*(E138=E$2:E138)))))-COUNTBLANK(OFFSET(A$1,,,SUMPRODUCT(MAX(ROW(E$1:E137)*(E138=E$1:E137))))))</f>
        <v>0</v>
      </c>
      <c r="K138" s="15" t="str">
        <f aca="false">IF(OR(E138="",E138="!!!",F138="NEW"),"",INDEX(J$1:J137,SUMPRODUCT(MAX(ROW(E$1:E137)*(E138=E$1:E137)))))</f>
        <v/>
      </c>
      <c r="L138" s="16"/>
    </row>
    <row r="139" customFormat="false" ht="12.75" hidden="false" customHeight="false" outlineLevel="0" collapsed="false">
      <c r="A139" s="9" t="s">
        <v>60</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129</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130</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131</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9" t="s">
        <v>14</v>
      </c>
      <c r="B144" s="0" t="s">
        <v>15</v>
      </c>
      <c r="C144" s="0" t="s">
        <v>16</v>
      </c>
      <c r="D144" s="0" t="s">
        <v>17</v>
      </c>
      <c r="E144" s="10" t="s">
        <v>132</v>
      </c>
      <c r="F144" s="11" t="str">
        <f aca="false">IF(OR(E144="",E144="!!!"),"",IF(NOT(ISNA(VLOOKUP(E144,E$1:E143,1,FALSE()))),"OLD",IF(AND(E144&lt;&gt;"",E144&lt;&gt;"!!!"),"NEW","")))</f>
        <v>NEW</v>
      </c>
      <c r="G144" s="12" t="s">
        <v>31</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133</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134</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42</v>
      </c>
      <c r="B147" s="0" t="s">
        <v>50</v>
      </c>
      <c r="C147" s="0" t="s">
        <v>16</v>
      </c>
      <c r="D147" s="0" t="s">
        <v>17</v>
      </c>
      <c r="E147" s="10" t="s">
        <v>18</v>
      </c>
      <c r="F147" s="11" t="str">
        <f aca="false">IF(OR(E147="",E147="!!!"),"",IF(NOT(ISNA(VLOOKUP(E147,E$1:E146,1,FALSE()))),"OLD",IF(AND(E147&lt;&gt;"",E147&lt;&gt;"!!!"),"NEW","")))</f>
        <v>OLD</v>
      </c>
      <c r="G147" s="12" t="s">
        <v>19</v>
      </c>
      <c r="H147" s="13" t="str">
        <f aca="false">IF(J147&lt;&gt;1,"",IF(I147="SBJ","CB","?"))</f>
        <v/>
      </c>
      <c r="I147" s="14" t="str">
        <f aca="false">IF(OR(E147="",E147="!!!",F147="NEW"),"",INDEX(B$2:B146,-1+SUMPRODUCT(MAX(ROW(E$2:E146)*(E147=E$2:E146)))))</f>
        <v>OBJ_2</v>
      </c>
      <c r="J147" s="15" t="n">
        <f aca="true">IF(OR(E147="",E147="!!!",F147="NEW"),"",COUNTBLANK(OFFSET(A$1,,,SUMPRODUCT(MAX(ROW(E$2:E147)*(E147=E$2:E147)))))-COUNTBLANK(OFFSET(A$1,,,SUMPRODUCT(MAX(ROW(E$1:E146)*(E147=E$1:E146))))))</f>
        <v>4</v>
      </c>
      <c r="K147" s="15" t="n">
        <f aca="false">IF(OR(E147="",E147="!!!",F147="NEW"),"",INDEX(J$1:J146,SUMPRODUCT(MAX(ROW(E$1:E146)*(E147=E$1:E146)))))</f>
        <v>0</v>
      </c>
      <c r="L147" s="16"/>
    </row>
    <row r="148" customFormat="false" ht="12.75" hidden="false" customHeight="false" outlineLevel="0" collapsed="false">
      <c r="A148" s="9" t="s">
        <v>52</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22</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135</v>
      </c>
      <c r="B150" s="0" t="s">
        <v>24</v>
      </c>
      <c r="C150" s="0" t="s">
        <v>107</v>
      </c>
      <c r="D150" s="0" t="s">
        <v>17</v>
      </c>
      <c r="E150" s="10" t="s">
        <v>136</v>
      </c>
      <c r="F150" s="11" t="str">
        <f aca="false">IF(OR(E150="",E150="!!!"),"",IF(NOT(ISNA(VLOOKUP(E150,E$1:E149,1,FALSE()))),"OLD",IF(AND(E150&lt;&gt;"",E150&lt;&gt;"!!!"),"NEW","")))</f>
        <v>NEW</v>
      </c>
      <c r="G150" s="12" t="s">
        <v>31</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35</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42</v>
      </c>
      <c r="B152" s="0" t="s">
        <v>37</v>
      </c>
      <c r="C152" s="0" t="s">
        <v>16</v>
      </c>
      <c r="D152" s="0" t="s">
        <v>17</v>
      </c>
      <c r="E152" s="10" t="s">
        <v>132</v>
      </c>
      <c r="F152" s="11" t="str">
        <f aca="false">IF(OR(E152="",E152="!!!"),"",IF(NOT(ISNA(VLOOKUP(E152,E$1:E151,1,FALSE()))),"OLD",IF(AND(E152&lt;&gt;"",E152&lt;&gt;"!!!"),"NEW","")))</f>
        <v>OLD</v>
      </c>
      <c r="G152" s="12" t="s">
        <v>44</v>
      </c>
      <c r="H152" s="13" t="str">
        <f aca="false">IF(J152&lt;&gt;1,"",IF(I152="SBJ","CB","?"))</f>
        <v/>
      </c>
      <c r="I152" s="14" t="str">
        <f aca="false">IF(OR(E152="",E152="!!!",F152="NEW"),"",INDEX(B$2:B151,-1+SUMPRODUCT(MAX(ROW(E$2:E151)*(E152=E$2:E151)))))</f>
        <v>SBJ_2</v>
      </c>
      <c r="J152" s="15" t="n">
        <f aca="true">IF(OR(E152="",E152="!!!",F152="NEW"),"",COUNTBLANK(OFFSET(A$1,,,SUMPRODUCT(MAX(ROW(E$2:E152)*(E152=E$2:E152)))))-COUNTBLANK(OFFSET(A$1,,,SUMPRODUCT(MAX(ROW(E$1:E151)*(E152=E$1:E151))))))</f>
        <v>0</v>
      </c>
      <c r="K152" s="15" t="str">
        <f aca="false">IF(OR(E152="",E152="!!!",F152="NEW"),"",INDEX(J$1:J151,SUMPRODUCT(MAX(ROW(E$1:E151)*(E152=E$1:E151)))))</f>
        <v/>
      </c>
      <c r="L152" s="16"/>
    </row>
    <row r="153" customFormat="false" ht="12.75" hidden="false" customHeight="false" outlineLevel="0" collapsed="false">
      <c r="A153" s="9" t="s">
        <v>27</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14</v>
      </c>
      <c r="B154" s="0" t="s">
        <v>29</v>
      </c>
      <c r="C154" s="0" t="s">
        <v>16</v>
      </c>
      <c r="D154" s="0" t="s">
        <v>17</v>
      </c>
      <c r="E154" s="10" t="s">
        <v>132</v>
      </c>
      <c r="F154" s="11" t="str">
        <f aca="false">IF(OR(E154="",E154="!!!"),"",IF(NOT(ISNA(VLOOKUP(E154,E$1:E153,1,FALSE()))),"OLD",IF(AND(E154&lt;&gt;"",E154&lt;&gt;"!!!"),"NEW","")))</f>
        <v>OLD</v>
      </c>
      <c r="G154" s="12" t="s">
        <v>44</v>
      </c>
      <c r="H154" s="13" t="str">
        <f aca="false">IF(J154&lt;&gt;1,"",IF(I154="SBJ","CB","?"))</f>
        <v/>
      </c>
      <c r="I154" s="14" t="str">
        <f aca="false">IF(OR(E154="",E154="!!!",F154="NEW"),"",INDEX(B$2:B153,-1+SUMPRODUCT(MAX(ROW(E$2:E153)*(E154=E$2:E153)))))</f>
        <v>other_3</v>
      </c>
      <c r="J154" s="15" t="n">
        <f aca="true">IF(OR(E154="",E154="!!!",F154="NEW"),"",COUNTBLANK(OFFSET(A$1,,,SUMPRODUCT(MAX(ROW(E$2:E154)*(E154=E$2:E154)))))-COUNTBLANK(OFFSET(A$1,,,SUMPRODUCT(MAX(ROW(E$1:E153)*(E154=E$1:E153))))))</f>
        <v>0</v>
      </c>
      <c r="K154" s="15" t="n">
        <f aca="false">IF(OR(E154="",E154="!!!",F154="NEW"),"",INDEX(J$1:J153,SUMPRODUCT(MAX(ROW(E$1:E153)*(E154=E$1:E153)))))</f>
        <v>0</v>
      </c>
      <c r="L154" s="16"/>
    </row>
    <row r="155" customFormat="false" ht="12.75" hidden="false" customHeight="false" outlineLevel="0" collapsed="false">
      <c r="A155" s="9" t="s">
        <v>137</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27</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138</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139</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140</v>
      </c>
      <c r="B159" s="0" t="s">
        <v>37</v>
      </c>
      <c r="C159" s="0" t="s">
        <v>141</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142</v>
      </c>
      <c r="B160" s="0" t="s">
        <v>50</v>
      </c>
      <c r="C160" s="0" t="s">
        <v>143</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27</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144</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52</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140</v>
      </c>
      <c r="B164" s="0" t="s">
        <v>37</v>
      </c>
      <c r="C164" s="0" t="s">
        <v>141</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145</v>
      </c>
      <c r="B165" s="0" t="s">
        <v>90</v>
      </c>
      <c r="C165" s="0" t="s">
        <v>67</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27</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146</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147</v>
      </c>
      <c r="B168" s="0" t="s">
        <v>15</v>
      </c>
      <c r="C168" s="0" t="s">
        <v>16</v>
      </c>
      <c r="D168" s="0" t="s">
        <v>17</v>
      </c>
      <c r="E168" s="10" t="s">
        <v>18</v>
      </c>
      <c r="F168" s="11" t="str">
        <f aca="false">IF(OR(E168="",E168="!!!"),"",IF(NOT(ISNA(VLOOKUP(E168,E$1:E167,1,FALSE()))),"OLD",IF(AND(E168&lt;&gt;"",E168&lt;&gt;"!!!"),"NEW","")))</f>
        <v>OLD</v>
      </c>
      <c r="G168" s="12" t="s">
        <v>19</v>
      </c>
      <c r="H168" s="13" t="str">
        <f aca="false">IF(J168&lt;&gt;1,"",IF(I168="SBJ","CB","?"))</f>
        <v/>
      </c>
      <c r="I168" s="14" t="str">
        <f aca="false">IF(OR(E168="",E168="!!!",F168="NEW"),"",INDEX(B$2:B167,-1+SUMPRODUCT(MAX(ROW(E$2:E167)*(E168=E$2:E167)))))</f>
        <v>OBJ_2</v>
      </c>
      <c r="J168" s="15" t="n">
        <f aca="true">IF(OR(E168="",E168="!!!",F168="NEW"),"",COUNTBLANK(OFFSET(A$1,,,SUMPRODUCT(MAX(ROW(E$2:E168)*(E168=E$2:E168)))))-COUNTBLANK(OFFSET(A$1,,,SUMPRODUCT(MAX(ROW(E$1:E167)*(E168=E$1:E167))))))</f>
        <v>0</v>
      </c>
      <c r="K168" s="15" t="n">
        <f aca="false">IF(OR(E168="",E168="!!!",F168="NEW"),"",INDEX(J$1:J167,SUMPRODUCT(MAX(ROW(E$1:E167)*(E168=E$1:E167)))))</f>
        <v>4</v>
      </c>
      <c r="L168" s="16"/>
    </row>
    <row r="169" customFormat="false" ht="12.75" hidden="false" customHeight="false" outlineLevel="0" collapsed="false">
      <c r="A169" s="9" t="s">
        <v>148</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149</v>
      </c>
      <c r="B170" s="0" t="s">
        <v>50</v>
      </c>
      <c r="C170" s="0" t="s">
        <v>85</v>
      </c>
      <c r="D170" s="0" t="s">
        <v>17</v>
      </c>
      <c r="E170" s="10"/>
      <c r="F170" s="11" t="s">
        <v>77</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150</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138</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129</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151</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152</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153</v>
      </c>
      <c r="B177" s="0" t="s">
        <v>15</v>
      </c>
      <c r="C177" s="0" t="s">
        <v>40</v>
      </c>
      <c r="D177" s="0" t="s">
        <v>17</v>
      </c>
      <c r="E177" s="10" t="s">
        <v>153</v>
      </c>
      <c r="F177" s="11" t="str">
        <f aca="false">IF(OR(E177="",E177="!!!"),"",IF(NOT(ISNA(VLOOKUP(E177,E$1:E176,1,FALSE()))),"OLD",IF(AND(E177&lt;&gt;"",E177&lt;&gt;"!!!"),"NEW","")))</f>
        <v>NEW</v>
      </c>
      <c r="G177" s="12" t="s">
        <v>19</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9" t="s">
        <v>27</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154</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122</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22</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155</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9" t="s">
        <v>156</v>
      </c>
      <c r="B183" s="0" t="s">
        <v>24</v>
      </c>
      <c r="C183" s="0" t="s">
        <v>40</v>
      </c>
      <c r="D183" s="0" t="s">
        <v>17</v>
      </c>
      <c r="E183" s="10" t="s">
        <v>157</v>
      </c>
      <c r="F183" s="11" t="str">
        <f aca="false">IF(OR(E183="",E183="!!!"),"",IF(NOT(ISNA(VLOOKUP(E183,E$1:E182,1,FALSE()))),"OLD",IF(AND(E183&lt;&gt;"",E183&lt;&gt;"!!!"),"NEW","")))</f>
        <v>NEW</v>
      </c>
      <c r="G183" s="12" t="s">
        <v>19</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27</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158</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21</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A187" s="9" t="s">
        <v>42</v>
      </c>
      <c r="B187" s="0" t="s">
        <v>43</v>
      </c>
      <c r="C187" s="0" t="s">
        <v>16</v>
      </c>
      <c r="D187" s="0" t="s">
        <v>17</v>
      </c>
      <c r="E187" s="10" t="s">
        <v>132</v>
      </c>
      <c r="F187" s="11" t="str">
        <f aca="false">IF(OR(E187="",E187="!!!"),"",IF(NOT(ISNA(VLOOKUP(E187,E$1:E186,1,FALSE()))),"OLD",IF(AND(E187&lt;&gt;"",E187&lt;&gt;"!!!"),"NEW","")))</f>
        <v>OLD</v>
      </c>
      <c r="G187" s="12" t="s">
        <v>44</v>
      </c>
      <c r="H187" s="13" t="str">
        <f aca="false">IF(J187&lt;&gt;1,"",IF(I187="SBJ","CB","?"))</f>
        <v>CB</v>
      </c>
      <c r="I187" s="14" t="str">
        <f aca="false">IF(OR(E187="",E187="!!!",F187="NEW"),"",INDEX(B$2:B186,-1+SUMPRODUCT(MAX(ROW(E$2:E186)*(E187=E$2:E186)))))</f>
        <v>SBJ</v>
      </c>
      <c r="J187" s="15" t="n">
        <f aca="true">IF(OR(E187="",E187="!!!",F187="NEW"),"",COUNTBLANK(OFFSET(A$1,,,SUMPRODUCT(MAX(ROW(E$2:E187)*(E187=E$2:E187)))))-COUNTBLANK(OFFSET(A$1,,,SUMPRODUCT(MAX(ROW(E$1:E186)*(E187=E$1:E186))))))</f>
        <v>1</v>
      </c>
      <c r="K187" s="15" t="n">
        <f aca="false">IF(OR(E187="",E187="!!!",F187="NEW"),"",INDEX(J$1:J186,SUMPRODUCT(MAX(ROW(E$1:E186)*(E187=E$1:E186)))))</f>
        <v>0</v>
      </c>
      <c r="L187" s="16"/>
    </row>
    <row r="188" customFormat="false" ht="12.75" hidden="false" customHeight="false" outlineLevel="0" collapsed="false">
      <c r="A188" s="9" t="s">
        <v>27</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138</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159</v>
      </c>
      <c r="B190" s="0" t="s">
        <v>29</v>
      </c>
      <c r="C190" s="0" t="s">
        <v>16</v>
      </c>
      <c r="D190" s="0" t="s">
        <v>17</v>
      </c>
      <c r="E190" s="10" t="s">
        <v>132</v>
      </c>
      <c r="F190" s="11" t="str">
        <f aca="false">IF(OR(E190="",E190="!!!"),"",IF(NOT(ISNA(VLOOKUP(E190,E$1:E189,1,FALSE()))),"OLD",IF(AND(E190&lt;&gt;"",E190&lt;&gt;"!!!"),"NEW","")))</f>
        <v>OLD</v>
      </c>
      <c r="G190" s="12" t="s">
        <v>44</v>
      </c>
      <c r="H190" s="13" t="str">
        <f aca="false">IF(J190&lt;&gt;1,"",IF(I190="SBJ","CB","?"))</f>
        <v/>
      </c>
      <c r="I190" s="14" t="str">
        <f aca="false">IF(OR(E190="",E190="!!!",F190="NEW"),"",INDEX(B$2:B189,-1+SUMPRODUCT(MAX(ROW(E$2:E189)*(E190=E$2:E189)))))</f>
        <v>other</v>
      </c>
      <c r="J190" s="15" t="n">
        <f aca="true">IF(OR(E190="",E190="!!!",F190="NEW"),"",COUNTBLANK(OFFSET(A$1,,,SUMPRODUCT(MAX(ROW(E$2:E190)*(E190=E$2:E190)))))-COUNTBLANK(OFFSET(A$1,,,SUMPRODUCT(MAX(ROW(E$1:E189)*(E190=E$1:E189))))))</f>
        <v>0</v>
      </c>
      <c r="K190" s="15" t="n">
        <f aca="false">IF(OR(E190="",E190="!!!",F190="NEW"),"",INDEX(J$1:J189,SUMPRODUCT(MAX(ROW(E$1:E189)*(E190=E$1:E189)))))</f>
        <v>1</v>
      </c>
      <c r="L190" s="16"/>
    </row>
    <row r="191" customFormat="false" ht="12.75" hidden="false" customHeight="false" outlineLevel="0" collapsed="false">
      <c r="A191" s="9" t="s">
        <v>106</v>
      </c>
      <c r="B191" s="0" t="s">
        <v>24</v>
      </c>
      <c r="C191" s="0" t="s">
        <v>67</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35</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22</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23</v>
      </c>
      <c r="B194" s="0" t="s">
        <v>37</v>
      </c>
      <c r="C194" s="0" t="s">
        <v>25</v>
      </c>
      <c r="D194" s="0" t="s">
        <v>17</v>
      </c>
      <c r="E194" s="10" t="s">
        <v>26</v>
      </c>
      <c r="F194" s="11" t="str">
        <f aca="false">IF(OR(E194="",E194="!!!"),"",IF(NOT(ISNA(VLOOKUP(E194,E$1:E193,1,FALSE()))),"OLD",IF(AND(E194&lt;&gt;"",E194&lt;&gt;"!!!"),"NEW","")))</f>
        <v>OLD</v>
      </c>
      <c r="G194" s="12" t="s">
        <v>19</v>
      </c>
      <c r="H194" s="13" t="str">
        <f aca="false">IF(J194&lt;&gt;1,"",IF(I194="SBJ","CB","?"))</f>
        <v/>
      </c>
      <c r="I194" s="14" t="str">
        <f aca="false">IF(OR(E194="",E194="!!!",F194="NEW"),"",INDEX(B$2:B193,-1+SUMPRODUCT(MAX(ROW(E$2:E193)*(E194=E$2:E193)))))</f>
        <v>other_3</v>
      </c>
      <c r="J194" s="15" t="n">
        <f aca="true">IF(OR(E194="",E194="!!!",F194="NEW"),"",COUNTBLANK(OFFSET(A$1,,,SUMPRODUCT(MAX(ROW(E$2:E194)*(E194=E$2:E194)))))-COUNTBLANK(OFFSET(A$1,,,SUMPRODUCT(MAX(ROW(E$1:E193)*(E194=E$1:E193))))))</f>
        <v>3</v>
      </c>
      <c r="K194" s="15" t="n">
        <f aca="false">IF(OR(E194="",E194="!!!",F194="NEW"),"",INDEX(J$1:J193,SUMPRODUCT(MAX(ROW(E$1:E193)*(E194=E$1:E193)))))</f>
        <v>1</v>
      </c>
      <c r="L194" s="16"/>
    </row>
    <row r="195" customFormat="false" ht="12.75" hidden="false" customHeight="false" outlineLevel="0" collapsed="false">
      <c r="A195" s="9" t="s">
        <v>27</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32</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109</v>
      </c>
      <c r="B197" s="0" t="s">
        <v>37</v>
      </c>
      <c r="C197" s="0" t="s">
        <v>107</v>
      </c>
      <c r="D197" s="0" t="s">
        <v>17</v>
      </c>
      <c r="E197" s="10" t="s">
        <v>132</v>
      </c>
      <c r="F197" s="11" t="str">
        <f aca="false">IF(OR(E197="",E197="!!!"),"",IF(NOT(ISNA(VLOOKUP(E197,E$1:E196,1,FALSE()))),"OLD",IF(AND(E197&lt;&gt;"",E197&lt;&gt;"!!!"),"NEW","")))</f>
        <v>OLD</v>
      </c>
      <c r="G197" s="12" t="s">
        <v>44</v>
      </c>
      <c r="H197" s="13" t="str">
        <f aca="false">IF(J197&lt;&gt;1,"",IF(I197="SBJ","CB","?"))</f>
        <v/>
      </c>
      <c r="I197" s="14" t="str">
        <f aca="false">IF(OR(E197="",E197="!!!",F197="NEW"),"",INDEX(B$2:B196,-1+SUMPRODUCT(MAX(ROW(E$2:E196)*(E197=E$2:E196)))))</f>
        <v>SBJ</v>
      </c>
      <c r="J197" s="15" t="n">
        <f aca="true">IF(OR(E197="",E197="!!!",F197="NEW"),"",COUNTBLANK(OFFSET(A$1,,,SUMPRODUCT(MAX(ROW(E$2:E197)*(E197=E$2:E197)))))-COUNTBLANK(OFFSET(A$1,,,SUMPRODUCT(MAX(ROW(E$1:E196)*(E197=E$1:E196))))))</f>
        <v>0</v>
      </c>
      <c r="K197" s="15" t="n">
        <f aca="false">IF(OR(E197="",E197="!!!",F197="NEW"),"",INDEX(J$1:J196,SUMPRODUCT(MAX(ROW(E$1:E196)*(E197=E$1:E196)))))</f>
        <v>0</v>
      </c>
      <c r="L197" s="16"/>
    </row>
    <row r="198" customFormat="false" ht="12.75" hidden="false" customHeight="false" outlineLevel="0" collapsed="false">
      <c r="A198" s="9" t="s">
        <v>35</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160</v>
      </c>
      <c r="B199" s="0" t="s">
        <v>128</v>
      </c>
      <c r="C199" s="0" t="s">
        <v>40</v>
      </c>
      <c r="D199" s="0" t="s">
        <v>17</v>
      </c>
      <c r="E199" s="10" t="s">
        <v>160</v>
      </c>
      <c r="F199" s="11" t="str">
        <f aca="false">IF(OR(E199="",E199="!!!"),"",IF(NOT(ISNA(VLOOKUP(E199,E$1:E198,1,FALSE()))),"OLD",IF(AND(E199&lt;&gt;"",E199&lt;&gt;"!!!"),"NEW","")))</f>
        <v>NEW</v>
      </c>
      <c r="G199" s="12" t="s">
        <v>19</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27</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161</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162</v>
      </c>
      <c r="B202" s="0" t="s">
        <v>163</v>
      </c>
      <c r="C202" s="0" t="s">
        <v>16</v>
      </c>
      <c r="D202" s="0" t="s">
        <v>17</v>
      </c>
      <c r="E202" s="10" t="s">
        <v>18</v>
      </c>
      <c r="F202" s="11" t="str">
        <f aca="false">IF(OR(E202="",E202="!!!"),"",IF(NOT(ISNA(VLOOKUP(E202,E$1:E201,1,FALSE()))),"OLD",IF(AND(E202&lt;&gt;"",E202&lt;&gt;"!!!"),"NEW","")))</f>
        <v>OLD</v>
      </c>
      <c r="G202" s="12" t="s">
        <v>63</v>
      </c>
      <c r="H202" s="13"/>
      <c r="I202" s="14" t="str">
        <f aca="false">IF(OR(E202="",E202="!!!",F202="NEW"),"",INDEX(B$2:B201,-1+SUMPRODUCT(MAX(ROW(E$2:E201)*(E202=E$2:E201)))))</f>
        <v>SBJ_2</v>
      </c>
      <c r="J202" s="15" t="n">
        <f aca="true">IF(OR(E202="",E202="!!!",F202="NEW"),"",COUNTBLANK(OFFSET(A$1,,,SUMPRODUCT(MAX(ROW(E$2:E202)*(E202=E$2:E202)))))-COUNTBLANK(OFFSET(A$1,,,SUMPRODUCT(MAX(ROW(E$1:E201)*(E202=E$1:E201))))))</f>
        <v>1</v>
      </c>
      <c r="K202" s="15" t="n">
        <f aca="false">IF(OR(E202="",E202="!!!",F202="NEW"),"",INDEX(J$1:J201,SUMPRODUCT(MAX(ROW(E$1:E201)*(E202=E$1:E201)))))</f>
        <v>0</v>
      </c>
      <c r="L202" s="16"/>
    </row>
    <row r="203" customFormat="false" ht="12.75" hidden="false" customHeight="false" outlineLevel="0" collapsed="false">
      <c r="A203" s="9" t="s">
        <v>164</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165</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166</v>
      </c>
      <c r="B205" s="0" t="s">
        <v>167</v>
      </c>
      <c r="C205" s="0" t="s">
        <v>67</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168</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169</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170</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171</v>
      </c>
      <c r="B209" s="0" t="s">
        <v>172</v>
      </c>
      <c r="C209" s="0" t="s">
        <v>173</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148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21</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169</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174</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175</v>
      </c>
      <c r="B214" s="0" t="s">
        <v>176</v>
      </c>
      <c r="C214" s="0" t="s">
        <v>173</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27</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177</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140</v>
      </c>
      <c r="B217" s="0" t="s">
        <v>128</v>
      </c>
      <c r="C217" s="0" t="s">
        <v>141</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178</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A219" s="9" t="s">
        <v>149</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175</v>
      </c>
      <c r="B220" s="0" t="s">
        <v>179</v>
      </c>
      <c r="C220" s="0" t="s">
        <v>180</v>
      </c>
      <c r="D220" s="0" t="s">
        <v>17</v>
      </c>
      <c r="E220" s="10" t="s">
        <v>181</v>
      </c>
      <c r="F220" s="11" t="str">
        <f aca="false">IF(OR(E220="",E220="!!!"),"",IF(NOT(ISNA(VLOOKUP(E220,E$1:E219,1,FALSE()))),"OLD",IF(AND(E220&lt;&gt;"",E220&lt;&gt;"!!!"),"NEW","")))</f>
        <v>NEW</v>
      </c>
      <c r="G220" s="12" t="s">
        <v>19</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182</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183</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184</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27</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95</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76</v>
      </c>
      <c r="B226" s="0" t="s">
        <v>185</v>
      </c>
      <c r="C226" s="0" t="s">
        <v>16</v>
      </c>
      <c r="D226" s="0" t="s">
        <v>17</v>
      </c>
      <c r="E226" s="10"/>
      <c r="F226" s="11" t="s">
        <v>77</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186</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21</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147</v>
      </c>
      <c r="B229" s="0" t="s">
        <v>167</v>
      </c>
      <c r="C229" s="0" t="s">
        <v>16</v>
      </c>
      <c r="D229" s="0" t="s">
        <v>17</v>
      </c>
      <c r="E229" s="10" t="s">
        <v>132</v>
      </c>
      <c r="F229" s="11" t="str">
        <f aca="false">IF(OR(E229="",E229="!!!"),"",IF(NOT(ISNA(VLOOKUP(E229,E$1:E228,1,FALSE()))),"OLD",IF(AND(E229&lt;&gt;"",E229&lt;&gt;"!!!"),"NEW","")))</f>
        <v>OLD</v>
      </c>
      <c r="G229" s="12" t="s">
        <v>44</v>
      </c>
      <c r="H229" s="13" t="str">
        <f aca="false">IF(J229&lt;&gt;1,"",IF(I229="SBJ","CB","?"))</f>
        <v/>
      </c>
      <c r="I229" s="14" t="str">
        <f aca="false">IF(OR(E229="",E229="!!!",F229="NEW"),"",INDEX(B$2:B228,-1+SUMPRODUCT(MAX(ROW(E$2:E228)*(E229=E$2:E228)))))</f>
        <v>other_3</v>
      </c>
      <c r="J229" s="15" t="n">
        <f aca="true">IF(OR(E229="",E229="!!!",F229="NEW"),"",COUNTBLANK(OFFSET(A$1,,,SUMPRODUCT(MAX(ROW(E$2:E229)*(E229=E$2:E229)))))-COUNTBLANK(OFFSET(A$1,,,SUMPRODUCT(MAX(ROW(E$1:E228)*(E229=E$1:E228))))))</f>
        <v>0</v>
      </c>
      <c r="K229" s="15" t="n">
        <f aca="false">IF(OR(E229="",E229="!!!",F229="NEW"),"",INDEX(J$1:J228,SUMPRODUCT(MAX(ROW(E$1:E228)*(E229=E$1:E228)))))</f>
        <v>0</v>
      </c>
      <c r="L229" s="16"/>
    </row>
    <row r="230" customFormat="false" ht="12.75" hidden="false" customHeight="false" outlineLevel="0" collapsed="false">
      <c r="A230" s="9" t="s">
        <v>187</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27</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32</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21</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187</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22</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23</v>
      </c>
      <c r="B236" s="0" t="s">
        <v>37</v>
      </c>
      <c r="C236" s="0" t="s">
        <v>107</v>
      </c>
      <c r="D236" s="0" t="s">
        <v>17</v>
      </c>
      <c r="E236" s="10" t="s">
        <v>26</v>
      </c>
      <c r="F236" s="11" t="str">
        <f aca="false">IF(OR(E236="",E236="!!!"),"",IF(NOT(ISNA(VLOOKUP(E236,E$1:E235,1,FALSE()))),"OLD",IF(AND(E236&lt;&gt;"",E236&lt;&gt;"!!!"),"NEW","")))</f>
        <v>OLD</v>
      </c>
      <c r="G236" s="12" t="s">
        <v>44</v>
      </c>
      <c r="H236" s="13" t="str">
        <f aca="false">IF(J236&lt;&gt;1,"",IF(I236="SBJ","CB","?"))</f>
        <v/>
      </c>
      <c r="I236" s="14" t="str">
        <f aca="false">IF(OR(E236="",E236="!!!",F236="NEW"),"",INDEX(B$2:B235,-1+SUMPRODUCT(MAX(ROW(E$2:E235)*(E236=E$2:E235)))))</f>
        <v>other_3</v>
      </c>
      <c r="J236" s="15" t="n">
        <f aca="true">IF(OR(E236="",E236="!!!",F236="NEW"),"",COUNTBLANK(OFFSET(A$1,,,SUMPRODUCT(MAX(ROW(E$2:E236)*(E236=E$2:E236)))))-COUNTBLANK(OFFSET(A$1,,,SUMPRODUCT(MAX(ROW(E$1:E235)*(E236=E$1:E235))))))</f>
        <v>0</v>
      </c>
      <c r="K236" s="15" t="n">
        <f aca="false">IF(OR(E236="",E236="!!!",F236="NEW"),"",INDEX(J$1:J235,SUMPRODUCT(MAX(ROW(E$1:E235)*(E236=E$1:E235)))))</f>
        <v>3</v>
      </c>
      <c r="L236" s="16"/>
    </row>
    <row r="237" customFormat="false" ht="12.75" hidden="false" customHeight="false" outlineLevel="0" collapsed="false">
      <c r="A237" s="9" t="s">
        <v>35</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A238" s="9" t="s">
        <v>160</v>
      </c>
      <c r="B238" s="0" t="s">
        <v>128</v>
      </c>
      <c r="C238" s="0" t="s">
        <v>40</v>
      </c>
      <c r="D238" s="0" t="s">
        <v>17</v>
      </c>
      <c r="E238" s="10" t="s">
        <v>160</v>
      </c>
      <c r="F238" s="11" t="str">
        <f aca="false">IF(OR(E238="",E238="!!!"),"",IF(NOT(ISNA(VLOOKUP(E238,E$1:E237,1,FALSE()))),"OLD",IF(AND(E238&lt;&gt;"",E238&lt;&gt;"!!!"),"NEW","")))</f>
        <v>OLD</v>
      </c>
      <c r="G238" s="12" t="s">
        <v>44</v>
      </c>
      <c r="H238" s="13" t="str">
        <f aca="false">IF(J238&lt;&gt;1,"",IF(I238="SBJ","CB","?"))</f>
        <v/>
      </c>
      <c r="I238" s="14" t="str">
        <f aca="false">IF(OR(E238="",E238="!!!",F238="NEW"),"",INDEX(B$2:B237,-1+SUMPRODUCT(MAX(ROW(E$2:E237)*(E238=E$2:E237)))))</f>
        <v>other_4</v>
      </c>
      <c r="J238" s="15" t="n">
        <f aca="true">IF(OR(E238="",E238="!!!",F238="NEW"),"",COUNTBLANK(OFFSET(A$1,,,SUMPRODUCT(MAX(ROW(E$2:E238)*(E238=E$2:E238)))))-COUNTBLANK(OFFSET(A$1,,,SUMPRODUCT(MAX(ROW(E$1:E237)*(E238=E$1:E237))))))</f>
        <v>0</v>
      </c>
      <c r="K238" s="15" t="str">
        <f aca="false">IF(OR(E238="",E238="!!!",F238="NEW"),"",INDEX(J$1:J237,SUMPRODUCT(MAX(ROW(E$1:E237)*(E238=E$1:E237)))))</f>
        <v/>
      </c>
      <c r="L238" s="16"/>
    </row>
    <row r="239" customFormat="false" ht="12.75" hidden="false" customHeight="false" outlineLevel="0" collapsed="false">
      <c r="A239" s="9" t="s">
        <v>27</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103</v>
      </c>
      <c r="B240" s="0" t="s">
        <v>163</v>
      </c>
      <c r="C240" s="0" t="s">
        <v>85</v>
      </c>
      <c r="D240" s="0" t="s">
        <v>17</v>
      </c>
      <c r="E240" s="10"/>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t="s">
        <v>188</v>
      </c>
    </row>
    <row r="241" customFormat="false" ht="12.75" hidden="false" customHeight="false" outlineLevel="0" collapsed="false">
      <c r="A241" s="9" t="s">
        <v>52</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22</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145</v>
      </c>
      <c r="B243" s="0" t="s">
        <v>167</v>
      </c>
      <c r="C243" s="0" t="s">
        <v>107</v>
      </c>
      <c r="D243" s="0" t="s">
        <v>17</v>
      </c>
      <c r="E243" s="10" t="s">
        <v>53</v>
      </c>
      <c r="F243" s="11" t="str">
        <f aca="false">IF(OR(E243="",E243="!!!"),"",IF(NOT(ISNA(VLOOKUP(E243,E$1:E242,1,FALSE()))),"OLD",IF(AND(E243&lt;&gt;"",E243&lt;&gt;"!!!"),"NEW","")))</f>
        <v>OLD</v>
      </c>
      <c r="G243" s="12" t="s">
        <v>19</v>
      </c>
      <c r="H243" s="13" t="str">
        <f aca="false">IF(J243&lt;&gt;1,"",IF(I243="SBJ","CB","?"))</f>
        <v/>
      </c>
      <c r="I243" s="14" t="str">
        <f aca="false">IF(OR(E243="",E243="!!!",F243="NEW"),"",INDEX(B$2:B242,-1+SUMPRODUCT(MAX(ROW(E$2:E242)*(E243=E$2:E242)))))</f>
        <v>other_3</v>
      </c>
      <c r="J243" s="15" t="n">
        <f aca="true">IF(OR(E243="",E243="!!!",F243="NEW"),"",COUNTBLANK(OFFSET(A$1,,,SUMPRODUCT(MAX(ROW(E$2:E243)*(E243=E$2:E243)))))-COUNTBLANK(OFFSET(A$1,,,SUMPRODUCT(MAX(ROW(E$1:E242)*(E243=E$1:E242))))))</f>
        <v>6</v>
      </c>
      <c r="K243" s="15" t="str">
        <f aca="false">IF(OR(E243="",E243="!!!",F243="NEW"),"",INDEX(J$1:J242,SUMPRODUCT(MAX(ROW(E$1:E242)*(E243=E$1:E242)))))</f>
        <v/>
      </c>
      <c r="L243" s="16"/>
    </row>
    <row r="244" customFormat="false" ht="12.75" hidden="false" customHeight="false" outlineLevel="0" collapsed="false">
      <c r="A244" s="9" t="s">
        <v>35</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53</v>
      </c>
      <c r="B245" s="0" t="s">
        <v>176</v>
      </c>
      <c r="C245" s="0" t="s">
        <v>40</v>
      </c>
      <c r="D245" s="0" t="s">
        <v>17</v>
      </c>
      <c r="E245" s="10" t="s">
        <v>53</v>
      </c>
      <c r="F245" s="11" t="str">
        <f aca="false">IF(OR(E245="",E245="!!!"),"",IF(NOT(ISNA(VLOOKUP(E245,E$1:E244,1,FALSE()))),"OLD",IF(AND(E245&lt;&gt;"",E245&lt;&gt;"!!!"),"NEW","")))</f>
        <v>OLD</v>
      </c>
      <c r="G245" s="12" t="s">
        <v>44</v>
      </c>
      <c r="H245" s="13" t="str">
        <f aca="false">IF(J245&lt;&gt;1,"",IF(I245="SBJ","CB","?"))</f>
        <v/>
      </c>
      <c r="I245" s="14" t="str">
        <f aca="false">IF(OR(E245="",E245="!!!",F245="NEW"),"",INDEX(B$2:B244,-1+SUMPRODUCT(MAX(ROW(E$2:E244)*(E245=E$2:E244)))))</f>
        <v>other_6</v>
      </c>
      <c r="J245" s="15" t="n">
        <f aca="true">IF(OR(E245="",E245="!!!",F245="NEW"),"",COUNTBLANK(OFFSET(A$1,,,SUMPRODUCT(MAX(ROW(E$2:E245)*(E245=E$2:E245)))))-COUNTBLANK(OFFSET(A$1,,,SUMPRODUCT(MAX(ROW(E$1:E244)*(E245=E$1:E244))))))</f>
        <v>0</v>
      </c>
      <c r="K245" s="15" t="n">
        <f aca="false">IF(OR(E245="",E245="!!!",F245="NEW"),"",INDEX(J$1:J244,SUMPRODUCT(MAX(ROW(E$1:E244)*(E245=E$1:E244)))))</f>
        <v>6</v>
      </c>
      <c r="L245" s="16"/>
    </row>
    <row r="246" customFormat="false" ht="12.75" hidden="false" customHeight="false" outlineLevel="0" collapsed="false">
      <c r="A246" s="9" t="s">
        <v>189</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35</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190</v>
      </c>
      <c r="B248" s="0" t="s">
        <v>191</v>
      </c>
      <c r="C248" s="0" t="s">
        <v>40</v>
      </c>
      <c r="D248" s="0" t="s">
        <v>17</v>
      </c>
      <c r="E248" s="10" t="s">
        <v>190</v>
      </c>
      <c r="F248" s="11" t="str">
        <f aca="false">IF(OR(E248="",E248="!!!"),"",IF(NOT(ISNA(VLOOKUP(E248,E$1:E247,1,FALSE()))),"OLD",IF(AND(E248&lt;&gt;"",E248&lt;&gt;"!!!"),"NEW","")))</f>
        <v>NEW</v>
      </c>
      <c r="G248" s="12" t="s">
        <v>31</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27</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192</v>
      </c>
      <c r="B250" s="0" t="s">
        <v>193</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147</v>
      </c>
      <c r="B251" s="0" t="s">
        <v>194</v>
      </c>
      <c r="C251" s="0" t="s">
        <v>16</v>
      </c>
      <c r="D251" s="0" t="s">
        <v>17</v>
      </c>
      <c r="E251" s="10" t="s">
        <v>26</v>
      </c>
      <c r="F251" s="11" t="str">
        <f aca="false">IF(OR(E251="",E251="!!!"),"",IF(NOT(ISNA(VLOOKUP(E251,E$1:E250,1,FALSE()))),"OLD",IF(AND(E251&lt;&gt;"",E251&lt;&gt;"!!!"),"NEW","")))</f>
        <v>OLD</v>
      </c>
      <c r="G251" s="12" t="s">
        <v>44</v>
      </c>
      <c r="H251" s="13" t="str">
        <f aca="false">IF(J251&lt;&gt;1,"",IF(I251="SBJ","CB","?"))</f>
        <v/>
      </c>
      <c r="I251" s="14" t="str">
        <f aca="false">IF(OR(E251="",E251="!!!",F251="NEW"),"",INDEX(B$2:B250,-1+SUMPRODUCT(MAX(ROW(E$2:E250)*(E251=E$2:E250)))))</f>
        <v>other_3</v>
      </c>
      <c r="J251" s="15" t="n">
        <f aca="true">IF(OR(E251="",E251="!!!",F251="NEW"),"",COUNTBLANK(OFFSET(A$1,,,SUMPRODUCT(MAX(ROW(E$2:E251)*(E251=E$2:E251)))))-COUNTBLANK(OFFSET(A$1,,,SUMPRODUCT(MAX(ROW(E$1:E250)*(E251=E$1:E250))))))</f>
        <v>0</v>
      </c>
      <c r="K251" s="15" t="n">
        <f aca="false">IF(OR(E251="",E251="!!!",F251="NEW"),"",INDEX(J$1:J250,SUMPRODUCT(MAX(ROW(E$1:E250)*(E251=E$1:E250)))))</f>
        <v>0</v>
      </c>
      <c r="L251" s="16"/>
    </row>
    <row r="252" customFormat="false" ht="12.75" hidden="false" customHeight="false" outlineLevel="0" collapsed="false">
      <c r="A252" s="9" t="s">
        <v>195</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27</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192</v>
      </c>
      <c r="B254" s="0" t="s">
        <v>193</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196</v>
      </c>
      <c r="B255" s="0" t="s">
        <v>194</v>
      </c>
      <c r="C255" s="0" t="s">
        <v>40</v>
      </c>
      <c r="D255" s="0" t="s">
        <v>17</v>
      </c>
      <c r="E255" s="10" t="s">
        <v>196</v>
      </c>
      <c r="F255" s="11" t="str">
        <f aca="false">IF(OR(E255="",E255="!!!"),"",IF(NOT(ISNA(VLOOKUP(E255,E$1:E254,1,FALSE()))),"OLD",IF(AND(E255&lt;&gt;"",E255&lt;&gt;"!!!"),"NEW","")))</f>
        <v>NEW</v>
      </c>
      <c r="G255" s="12" t="s">
        <v>19</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197</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58</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22</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59</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27</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52</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198</v>
      </c>
      <c r="B262" s="0" t="s">
        <v>167</v>
      </c>
      <c r="C262" s="0" t="s">
        <v>16</v>
      </c>
      <c r="D262" s="0" t="s">
        <v>17</v>
      </c>
      <c r="E262" s="10" t="s">
        <v>53</v>
      </c>
      <c r="F262" s="11" t="str">
        <f aca="false">IF(OR(E262="",E262="!!!"),"",IF(NOT(ISNA(VLOOKUP(E262,E$1:E261,1,FALSE()))),"OLD",IF(AND(E262&lt;&gt;"",E262&lt;&gt;"!!!"),"NEW","")))</f>
        <v>OLD</v>
      </c>
      <c r="G262" s="12" t="s">
        <v>44</v>
      </c>
      <c r="H262" s="13" t="str">
        <f aca="false">IF(J262&lt;&gt;1,"",IF(I262="SBJ","CB","?"))</f>
        <v/>
      </c>
      <c r="I262" s="14" t="str">
        <f aca="false">IF(OR(E262="",E262="!!!",F262="NEW"),"",INDEX(B$2:B261,-1+SUMPRODUCT(MAX(ROW(E$2:E261)*(E262=E$2:E261)))))</f>
        <v>other_7</v>
      </c>
      <c r="J262" s="15" t="n">
        <f aca="true">IF(OR(E262="",E262="!!!",F262="NEW"),"",COUNTBLANK(OFFSET(A$1,,,SUMPRODUCT(MAX(ROW(E$2:E262)*(E262=E$2:E262)))))-COUNTBLANK(OFFSET(A$1,,,SUMPRODUCT(MAX(ROW(E$1:E261)*(E262=E$1:E261))))))</f>
        <v>0</v>
      </c>
      <c r="K262" s="15" t="n">
        <f aca="false">IF(OR(E262="",E262="!!!",F262="NEW"),"",INDEX(J$1:J261,SUMPRODUCT(MAX(ROW(E$1:E261)*(E262=E$1:E261)))))</f>
        <v>0</v>
      </c>
      <c r="L262" s="16"/>
    </row>
    <row r="263" customFormat="false" ht="12.75" hidden="false" customHeight="false" outlineLevel="0" collapsed="false">
      <c r="A263" s="9" t="s">
        <v>199</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149</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175</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200</v>
      </c>
      <c r="B266" s="0" t="s">
        <v>172</v>
      </c>
      <c r="C266" s="0" t="s">
        <v>180</v>
      </c>
      <c r="D266" s="0" t="s">
        <v>17</v>
      </c>
      <c r="E266" s="10" t="s">
        <v>201</v>
      </c>
      <c r="F266" s="11" t="str">
        <f aca="false">IF(OR(E266="",E266="!!!"),"",IF(NOT(ISNA(VLOOKUP(E266,E$1:E265,1,FALSE()))),"OLD",IF(AND(E266&lt;&gt;"",E266&lt;&gt;"!!!"),"NEW","")))</f>
        <v>NEW</v>
      </c>
      <c r="G266" s="12" t="s">
        <v>31</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202</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203</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147</v>
      </c>
      <c r="B269" s="0" t="s">
        <v>185</v>
      </c>
      <c r="C269" s="0" t="s">
        <v>16</v>
      </c>
      <c r="D269" s="0" t="s">
        <v>17</v>
      </c>
      <c r="E269" s="10" t="s">
        <v>26</v>
      </c>
      <c r="F269" s="11" t="str">
        <f aca="false">IF(OR(E269="",E269="!!!"),"",IF(NOT(ISNA(VLOOKUP(E269,E$1:E268,1,FALSE()))),"OLD",IF(AND(E269&lt;&gt;"",E269&lt;&gt;"!!!"),"NEW","")))</f>
        <v>OLD</v>
      </c>
      <c r="G269" s="12" t="s">
        <v>44</v>
      </c>
      <c r="H269" s="13" t="str">
        <f aca="false">IF(J269&lt;&gt;1,"",IF(I269="SBJ","CB","?"))</f>
        <v/>
      </c>
      <c r="I269" s="14" t="str">
        <f aca="false">IF(OR(E269="",E269="!!!",F269="NEW"),"",INDEX(B$2:B268,-1+SUMPRODUCT(MAX(ROW(E$2:E268)*(E269=E$2:E268)))))</f>
        <v>SBJ_9</v>
      </c>
      <c r="J269" s="15" t="n">
        <f aca="true">IF(OR(E269="",E269="!!!",F269="NEW"),"",COUNTBLANK(OFFSET(A$1,,,SUMPRODUCT(MAX(ROW(E$2:E269)*(E269=E$2:E269)))))-COUNTBLANK(OFFSET(A$1,,,SUMPRODUCT(MAX(ROW(E$1:E268)*(E269=E$1:E268))))))</f>
        <v>0</v>
      </c>
      <c r="K269" s="15" t="n">
        <f aca="false">IF(OR(E269="",E269="!!!",F269="NEW"),"",INDEX(J$1:J268,SUMPRODUCT(MAX(ROW(E$1:E268)*(E269=E$1:E268)))))</f>
        <v>0</v>
      </c>
      <c r="L269" s="16"/>
    </row>
    <row r="270" customFormat="false" ht="12.75" hidden="false" customHeight="false" outlineLevel="0" collapsed="false">
      <c r="A270" s="9" t="s">
        <v>204</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60</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9" t="s">
        <v>205</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206</v>
      </c>
      <c r="B274" s="0" t="s">
        <v>29</v>
      </c>
      <c r="C274" s="0" t="s">
        <v>16</v>
      </c>
      <c r="D274" s="0" t="s">
        <v>17</v>
      </c>
      <c r="E274" s="10" t="s">
        <v>181</v>
      </c>
      <c r="F274" s="11" t="str">
        <f aca="false">IF(OR(E274="",E274="!!!"),"",IF(NOT(ISNA(VLOOKUP(E274,E$1:E273,1,FALSE()))),"OLD",IF(AND(E274&lt;&gt;"",E274&lt;&gt;"!!!"),"NEW","")))</f>
        <v>OLD</v>
      </c>
      <c r="G274" s="12" t="s">
        <v>63</v>
      </c>
      <c r="H274" s="13" t="s">
        <v>7</v>
      </c>
      <c r="I274" s="14" t="str">
        <f aca="false">IF(OR(E274="",E274="!!!",F274="NEW"),"",INDEX(B$2:B273,-1+SUMPRODUCT(MAX(ROW(E$2:E273)*(E274=E$2:E273)))))</f>
        <v>SBJ_8</v>
      </c>
      <c r="J274" s="15" t="n">
        <f aca="true">IF(OR(E274="",E274="!!!",F274="NEW"),"",COUNTBLANK(OFFSET(A$1,,,SUMPRODUCT(MAX(ROW(E$2:E274)*(E274=E$2:E274)))))-COUNTBLANK(OFFSET(A$1,,,SUMPRODUCT(MAX(ROW(E$1:E273)*(E274=E$1:E273))))))</f>
        <v>1</v>
      </c>
      <c r="K274" s="15" t="str">
        <f aca="false">IF(OR(E274="",E274="!!!",F274="NEW"),"",INDEX(J$1:J273,SUMPRODUCT(MAX(ROW(E$1:E273)*(E274=E$1:E273)))))</f>
        <v/>
      </c>
      <c r="L274" s="16"/>
    </row>
    <row r="275" customFormat="false" ht="12.75" hidden="false" customHeight="false" outlineLevel="0" collapsed="false">
      <c r="A275" s="9" t="s">
        <v>207</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208</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22</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209</v>
      </c>
      <c r="B278" s="0" t="s">
        <v>43</v>
      </c>
      <c r="C278" s="0" t="s">
        <v>25</v>
      </c>
      <c r="D278" s="0" t="s">
        <v>17</v>
      </c>
      <c r="E278" s="10" t="s">
        <v>181</v>
      </c>
      <c r="F278" s="11" t="str">
        <f aca="false">IF(OR(E278="",E278="!!!"),"",IF(NOT(ISNA(VLOOKUP(E278,E$1:E277,1,FALSE()))),"OLD",IF(AND(E278&lt;&gt;"",E278&lt;&gt;"!!!"),"NEW","")))</f>
        <v>OLD</v>
      </c>
      <c r="G278" s="12" t="s">
        <v>44</v>
      </c>
      <c r="H278" s="13" t="str">
        <f aca="false">IF(J278&lt;&gt;1,"",IF(I278="SBJ","CB","?"))</f>
        <v/>
      </c>
      <c r="I278" s="14" t="str">
        <f aca="false">IF(OR(E278="",E278="!!!",F278="NEW"),"",INDEX(B$2:B277,-1+SUMPRODUCT(MAX(ROW(E$2:E277)*(E278=E$2:E277)))))</f>
        <v>SBJ</v>
      </c>
      <c r="J278" s="15" t="n">
        <f aca="true">IF(OR(E278="",E278="!!!",F278="NEW"),"",COUNTBLANK(OFFSET(A$1,,,SUMPRODUCT(MAX(ROW(E$2:E278)*(E278=E$2:E278)))))-COUNTBLANK(OFFSET(A$1,,,SUMPRODUCT(MAX(ROW(E$1:E277)*(E278=E$1:E277))))))</f>
        <v>0</v>
      </c>
      <c r="K278" s="15" t="n">
        <f aca="false">IF(OR(E278="",E278="!!!",F278="NEW"),"",INDEX(J$1:J277,SUMPRODUCT(MAX(ROW(E$1:E277)*(E278=E$1:E277)))))</f>
        <v>1</v>
      </c>
      <c r="L278" s="16"/>
    </row>
    <row r="279" customFormat="false" ht="12.75" hidden="false" customHeight="false" outlineLevel="0" collapsed="false">
      <c r="A279" s="9" t="s">
        <v>210</v>
      </c>
      <c r="B279" s="0" t="s">
        <v>15</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9" t="s">
        <v>78</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211</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126</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9" t="s">
        <v>212</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75" hidden="false" customHeight="false" outlineLevel="0" collapsed="false">
      <c r="A284" s="9" t="s">
        <v>177</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147</v>
      </c>
      <c r="B285" s="0" t="s">
        <v>24</v>
      </c>
      <c r="C285" s="0" t="s">
        <v>16</v>
      </c>
      <c r="D285" s="0" t="s">
        <v>17</v>
      </c>
      <c r="E285" s="10" t="s">
        <v>26</v>
      </c>
      <c r="F285" s="11" t="str">
        <f aca="false">IF(OR(E285="",E285="!!!"),"",IF(NOT(ISNA(VLOOKUP(E285,E$1:E284,1,FALSE()))),"OLD",IF(AND(E285&lt;&gt;"",E285&lt;&gt;"!!!"),"NEW","")))</f>
        <v>OLD</v>
      </c>
      <c r="G285" s="12" t="s">
        <v>63</v>
      </c>
      <c r="H285" s="13"/>
      <c r="I285" s="14" t="str">
        <f aca="false">IF(OR(E285="",E285="!!!",F285="NEW"),"",INDEX(B$2:B284,-1+SUMPRODUCT(MAX(ROW(E$2:E284)*(E285=E$2:E284)))))</f>
        <v>SBJ_6</v>
      </c>
      <c r="J285" s="15" t="n">
        <f aca="true">IF(OR(E285="",E285="!!!",F285="NEW"),"",COUNTBLANK(OFFSET(A$1,,,SUMPRODUCT(MAX(ROW(E$2:E285)*(E285=E$2:E285)))))-COUNTBLANK(OFFSET(A$1,,,SUMPRODUCT(MAX(ROW(E$1:E284)*(E285=E$1:E284))))))</f>
        <v>1</v>
      </c>
      <c r="K285" s="15" t="n">
        <f aca="false">IF(OR(E285="",E285="!!!",F285="NEW"),"",INDEX(J$1:J284,SUMPRODUCT(MAX(ROW(E$1:E284)*(E285=E$1:E284)))))</f>
        <v>0</v>
      </c>
      <c r="L285" s="16"/>
    </row>
    <row r="286" customFormat="false" ht="12.75" hidden="false" customHeight="false" outlineLevel="0" collapsed="false">
      <c r="A286" s="9" t="s">
        <v>27</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22</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213</v>
      </c>
      <c r="B288" s="0" t="s">
        <v>43</v>
      </c>
      <c r="C288" s="0" t="s">
        <v>25</v>
      </c>
      <c r="D288" s="0" t="s">
        <v>17</v>
      </c>
      <c r="E288" s="10" t="s">
        <v>26</v>
      </c>
      <c r="F288" s="11" t="str">
        <f aca="false">IF(OR(E288="",E288="!!!"),"",IF(NOT(ISNA(VLOOKUP(E288,E$1:E287,1,FALSE()))),"OLD",IF(AND(E288&lt;&gt;"",E288&lt;&gt;"!!!"),"NEW","")))</f>
        <v>OLD</v>
      </c>
      <c r="G288" s="12" t="s">
        <v>44</v>
      </c>
      <c r="H288" s="13" t="str">
        <f aca="false">IF(J288&lt;&gt;1,"",IF(I288="SBJ","CB","?"))</f>
        <v/>
      </c>
      <c r="I288" s="14" t="str">
        <f aca="false">IF(OR(E288="",E288="!!!",F288="NEW"),"",INDEX(B$2:B287,-1+SUMPRODUCT(MAX(ROW(E$2:E287)*(E288=E$2:E287)))))</f>
        <v>other_2</v>
      </c>
      <c r="J288" s="15" t="n">
        <f aca="true">IF(OR(E288="",E288="!!!",F288="NEW"),"",COUNTBLANK(OFFSET(A$1,,,SUMPRODUCT(MAX(ROW(E$2:E288)*(E288=E$2:E288)))))-COUNTBLANK(OFFSET(A$1,,,SUMPRODUCT(MAX(ROW(E$1:E287)*(E288=E$1:E287))))))</f>
        <v>0</v>
      </c>
      <c r="K288" s="15" t="n">
        <f aca="false">IF(OR(E288="",E288="!!!",F288="NEW"),"",INDEX(J$1:J287,SUMPRODUCT(MAX(ROW(E$1:E287)*(E288=E$1:E287)))))</f>
        <v>1</v>
      </c>
      <c r="L288" s="16"/>
    </row>
    <row r="289" customFormat="false" ht="12.75" hidden="false" customHeight="false" outlineLevel="0" collapsed="false">
      <c r="A289" s="9" t="s">
        <v>27</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210</v>
      </c>
      <c r="B290" s="0" t="s">
        <v>87</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A291" s="9" t="s">
        <v>182</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214</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22</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215</v>
      </c>
      <c r="B294" s="0" t="s">
        <v>56</v>
      </c>
      <c r="C294" s="0" t="s">
        <v>25</v>
      </c>
      <c r="D294" s="0" t="s">
        <v>17</v>
      </c>
      <c r="E294" s="10"/>
      <c r="F294" s="11" t="s">
        <v>216</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35</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22</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217</v>
      </c>
      <c r="B297" s="0" t="s">
        <v>128</v>
      </c>
      <c r="C297" s="0" t="s">
        <v>25</v>
      </c>
      <c r="D297" s="0" t="s">
        <v>17</v>
      </c>
      <c r="E297" s="10"/>
      <c r="F297" s="11" t="s">
        <v>216</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60</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208</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129</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9" t="s">
        <v>218</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219</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207</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9" t="s">
        <v>220</v>
      </c>
      <c r="B305" s="0" t="s">
        <v>29</v>
      </c>
      <c r="C305" s="0" t="s">
        <v>143</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9" t="s">
        <v>52</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221</v>
      </c>
      <c r="B307" s="0" t="s">
        <v>24</v>
      </c>
      <c r="C307" s="0" t="s">
        <v>67</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43</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27</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75</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222</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9" t="s">
        <v>207</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75" hidden="false" customHeight="false" outlineLevel="0" collapsed="false">
      <c r="A313" s="9" t="s">
        <v>120</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223</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43</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145</v>
      </c>
      <c r="B316" s="0" t="s">
        <v>15</v>
      </c>
      <c r="C316" s="0" t="s">
        <v>173</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9" t="s">
        <v>224</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225</v>
      </c>
      <c r="B318" s="0" t="s">
        <v>37</v>
      </c>
      <c r="C318" s="0" t="s">
        <v>67</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9" t="s">
        <v>27</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103</v>
      </c>
      <c r="B320" s="0" t="s">
        <v>15</v>
      </c>
      <c r="C320" s="0" t="s">
        <v>85</v>
      </c>
      <c r="D320" s="0" t="s">
        <v>17</v>
      </c>
      <c r="E320" s="10" t="s">
        <v>226</v>
      </c>
      <c r="F320" s="11" t="str">
        <f aca="false">IF(OR(E320="",E320="!!!"),"",IF(NOT(ISNA(VLOOKUP(E320,E$1:E319,1,FALSE()))),"OLD",IF(AND(E320&lt;&gt;"",E320&lt;&gt;"!!!"),"NEW","")))</f>
        <v>NEW</v>
      </c>
      <c r="G320" s="12" t="s">
        <v>31</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207</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227</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9" t="s">
        <v>228</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94</v>
      </c>
      <c r="B324" s="0" t="s">
        <v>24</v>
      </c>
      <c r="C324" s="0" t="s">
        <v>67</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27</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177</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210</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162</v>
      </c>
      <c r="B328" s="0" t="s">
        <v>90</v>
      </c>
      <c r="C328" s="0" t="s">
        <v>16</v>
      </c>
      <c r="D328" s="0" t="s">
        <v>17</v>
      </c>
      <c r="E328" s="10" t="s">
        <v>229</v>
      </c>
      <c r="F328" s="11" t="str">
        <f aca="false">IF(OR(E328="",E328="!!!"),"",IF(NOT(ISNA(VLOOKUP(E328,E$1:E327,1,FALSE()))),"OLD",IF(AND(E328&lt;&gt;"",E328&lt;&gt;"!!!"),"NEW","")))</f>
        <v>NEW</v>
      </c>
      <c r="G328" s="12" t="s">
        <v>31</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230</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95</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231</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232</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138</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75" hidden="false" customHeight="false" outlineLevel="0" collapsed="false">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233</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234</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235</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14</v>
      </c>
      <c r="B338" s="0" t="s">
        <v>15</v>
      </c>
      <c r="C338" s="0" t="s">
        <v>16</v>
      </c>
      <c r="D338" s="0" t="s">
        <v>17</v>
      </c>
      <c r="E338" s="10" t="s">
        <v>132</v>
      </c>
      <c r="F338" s="11" t="str">
        <f aca="false">IF(OR(E338="",E338="!!!"),"",IF(NOT(ISNA(VLOOKUP(E338,E$1:E337,1,FALSE()))),"OLD",IF(AND(E338&lt;&gt;"",E338&lt;&gt;"!!!"),"NEW","")))</f>
        <v>OLD</v>
      </c>
      <c r="G338" s="12" t="s">
        <v>19</v>
      </c>
      <c r="H338" s="13" t="str">
        <f aca="false">IF(J338&lt;&gt;1,"",IF(I338="SBJ","CB","?"))</f>
        <v/>
      </c>
      <c r="I338" s="14" t="str">
        <f aca="false">IF(OR(E338="",E338="!!!",F338="NEW"),"",INDEX(B$2:B337,-1+SUMPRODUCT(MAX(ROW(E$2:E337)*(E338=E$2:E337)))))</f>
        <v>other_6</v>
      </c>
      <c r="J338" s="15" t="n">
        <f aca="true">IF(OR(E338="",E338="!!!",F338="NEW"),"",COUNTBLANK(OFFSET(A$1,,,SUMPRODUCT(MAX(ROW(E$2:E338)*(E338=E$2:E338)))))-COUNTBLANK(OFFSET(A$1,,,SUMPRODUCT(MAX(ROW(E$1:E337)*(E338=E$1:E337))))))</f>
        <v>3</v>
      </c>
      <c r="K338" s="15" t="n">
        <f aca="false">IF(OR(E338="",E338="!!!",F338="NEW"),"",INDEX(J$1:J337,SUMPRODUCT(MAX(ROW(E$1:E337)*(E338=E$1:E337)))))</f>
        <v>0</v>
      </c>
      <c r="L338" s="16"/>
    </row>
    <row r="339" customFormat="false" ht="12.75" hidden="false" customHeight="false" outlineLevel="0" collapsed="false">
      <c r="A339" s="9" t="s">
        <v>236</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22</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9" t="s">
        <v>237</v>
      </c>
      <c r="B341" s="0" t="s">
        <v>50</v>
      </c>
      <c r="C341" s="0" t="s">
        <v>107</v>
      </c>
      <c r="D341" s="0" t="s">
        <v>17</v>
      </c>
      <c r="E341" s="10" t="s">
        <v>238</v>
      </c>
      <c r="F341" s="11" t="str">
        <f aca="false">IF(OR(E341="",E341="!!!"),"",IF(NOT(ISNA(VLOOKUP(E341,E$1:E340,1,FALSE()))),"OLD",IF(AND(E341&lt;&gt;"",E341&lt;&gt;"!!!"),"NEW","")))</f>
        <v>NEW</v>
      </c>
      <c r="G341" s="12" t="s">
        <v>31</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35</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153</v>
      </c>
      <c r="B343" s="0" t="s">
        <v>37</v>
      </c>
      <c r="C343" s="0" t="s">
        <v>40</v>
      </c>
      <c r="D343" s="0" t="s">
        <v>17</v>
      </c>
      <c r="E343" s="10" t="s">
        <v>153</v>
      </c>
      <c r="F343" s="11" t="str">
        <f aca="false">IF(OR(E343="",E343="!!!"),"",IF(NOT(ISNA(VLOOKUP(E343,E$1:E342,1,FALSE()))),"OLD",IF(AND(E343&lt;&gt;"",E343&lt;&gt;"!!!"),"NEW","")))</f>
        <v>OLD</v>
      </c>
      <c r="G343" s="12" t="s">
        <v>19</v>
      </c>
      <c r="H343" s="13" t="str">
        <f aca="false">IF(J343&lt;&gt;1,"",IF(I343="SBJ","CB","?"))</f>
        <v/>
      </c>
      <c r="I343" s="14" t="str">
        <f aca="false">IF(OR(E343="",E343="!!!",F343="NEW"),"",INDEX(B$2:B342,-1+SUMPRODUCT(MAX(ROW(E$2:E342)*(E343=E$2:E342)))))</f>
        <v>SBJ_2</v>
      </c>
      <c r="J343" s="15" t="n">
        <f aca="true">IF(OR(E343="",E343="!!!",F343="NEW"),"",COUNTBLANK(OFFSET(A$1,,,SUMPRODUCT(MAX(ROW(E$2:E343)*(E343=E$2:E343)))))-COUNTBLANK(OFFSET(A$1,,,SUMPRODUCT(MAX(ROW(E$1:E342)*(E343=E$1:E342))))))</f>
        <v>3</v>
      </c>
      <c r="K343" s="15" t="str">
        <f aca="false">IF(OR(E343="",E343="!!!",F343="NEW"),"",INDEX(J$1:J342,SUMPRODUCT(MAX(ROW(E$1:E342)*(E343=E$1:E342)))))</f>
        <v/>
      </c>
      <c r="L343" s="16"/>
    </row>
    <row r="344" customFormat="false" ht="12.75" hidden="false" customHeight="false" outlineLevel="0" collapsed="false">
      <c r="A344" s="9" t="s">
        <v>32</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9" t="s">
        <v>124</v>
      </c>
      <c r="B345" s="0" t="s">
        <v>128</v>
      </c>
      <c r="C345" s="0" t="s">
        <v>40</v>
      </c>
      <c r="D345" s="0" t="s">
        <v>17</v>
      </c>
      <c r="E345" s="10" t="s">
        <v>124</v>
      </c>
      <c r="F345" s="11" t="str">
        <f aca="false">IF(OR(E345="",E345="!!!"),"",IF(NOT(ISNA(VLOOKUP(E345,E$1:E344,1,FALSE()))),"OLD",IF(AND(E345&lt;&gt;"",E345&lt;&gt;"!!!"),"NEW","")))</f>
        <v>OLD</v>
      </c>
      <c r="G345" s="12" t="s">
        <v>19</v>
      </c>
      <c r="H345" s="13" t="str">
        <f aca="false">IF(J345&lt;&gt;1,"",IF(I345="SBJ","CB","?"))</f>
        <v/>
      </c>
      <c r="I345" s="14" t="str">
        <f aca="false">IF(OR(E345="",E345="!!!",F345="NEW"),"",INDEX(B$2:B344,-1+SUMPRODUCT(MAX(ROW(E$2:E344)*(E345=E$2:E344)))))</f>
        <v>other_2</v>
      </c>
      <c r="J345" s="15" t="n">
        <f aca="true">IF(OR(E345="",E345="!!!",F345="NEW"),"",COUNTBLANK(OFFSET(A$1,,,SUMPRODUCT(MAX(ROW(E$2:E345)*(E345=E$2:E345)))))-COUNTBLANK(OFFSET(A$1,,,SUMPRODUCT(MAX(ROW(E$1:E344)*(E345=E$1:E344))))))</f>
        <v>5</v>
      </c>
      <c r="K345" s="15" t="str">
        <f aca="false">IF(OR(E345="",E345="!!!",F345="NEW"),"",INDEX(J$1:J344,SUMPRODUCT(MAX(ROW(E$1:E344)*(E345=E$1:E344)))))</f>
        <v/>
      </c>
      <c r="L345" s="16"/>
    </row>
    <row r="346" customFormat="false" ht="12.75" hidden="false" customHeight="false" outlineLevel="0" collapsed="false">
      <c r="A346" s="9" t="s">
        <v>27</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32</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133</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239</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103</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9" t="s">
        <v>14</v>
      </c>
      <c r="B351" s="0" t="s">
        <v>90</v>
      </c>
      <c r="C351" s="0" t="s">
        <v>16</v>
      </c>
      <c r="D351" s="0" t="s">
        <v>17</v>
      </c>
      <c r="E351" s="10" t="s">
        <v>18</v>
      </c>
      <c r="F351" s="11" t="str">
        <f aca="false">IF(OR(E351="",E351="!!!"),"",IF(NOT(ISNA(VLOOKUP(E351,E$1:E350,1,FALSE()))),"OLD",IF(AND(E351&lt;&gt;"",E351&lt;&gt;"!!!"),"NEW","")))</f>
        <v>OLD</v>
      </c>
      <c r="G351" s="12" t="s">
        <v>19</v>
      </c>
      <c r="H351" s="13" t="str">
        <f aca="false">IF(J351&lt;&gt;1,"",IF(I351="SBJ","CB","?"))</f>
        <v/>
      </c>
      <c r="I351" s="14" t="str">
        <f aca="false">IF(OR(E351="",E351="!!!",F351="NEW"),"",INDEX(B$2:B350,-1+SUMPRODUCT(MAX(ROW(E$2:E350)*(E351=E$2:E350)))))</f>
        <v>SBJ_5</v>
      </c>
      <c r="J351" s="15" t="n">
        <f aca="true">IF(OR(E351="",E351="!!!",F351="NEW"),"",COUNTBLANK(OFFSET(A$1,,,SUMPRODUCT(MAX(ROW(E$2:E351)*(E351=E$2:E351)))))-COUNTBLANK(OFFSET(A$1,,,SUMPRODUCT(MAX(ROW(E$1:E350)*(E351=E$1:E350))))))</f>
        <v>3</v>
      </c>
      <c r="K351" s="15" t="n">
        <f aca="false">IF(OR(E351="",E351="!!!",F351="NEW"),"",INDEX(J$1:J350,SUMPRODUCT(MAX(ROW(E$1:E350)*(E351=E$1:E350)))))</f>
        <v>1</v>
      </c>
      <c r="L351" s="16"/>
    </row>
    <row r="352" customFormat="false" ht="12.75" hidden="false" customHeight="false" outlineLevel="0" collapsed="false">
      <c r="A352" s="9" t="s">
        <v>111</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240</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32</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241</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94</v>
      </c>
      <c r="B356" s="0" t="s">
        <v>37</v>
      </c>
      <c r="C356" s="0" t="s">
        <v>67</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27</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14</v>
      </c>
      <c r="B358" s="0" t="s">
        <v>29</v>
      </c>
      <c r="C358" s="0" t="s">
        <v>16</v>
      </c>
      <c r="D358" s="0" t="s">
        <v>17</v>
      </c>
      <c r="E358" s="10" t="s">
        <v>132</v>
      </c>
      <c r="F358" s="11" t="str">
        <f aca="false">IF(OR(E358="",E358="!!!"),"",IF(NOT(ISNA(VLOOKUP(E358,E$1:E357,1,FALSE()))),"OLD",IF(AND(E358&lt;&gt;"",E358&lt;&gt;"!!!"),"NEW","")))</f>
        <v>OLD</v>
      </c>
      <c r="G358" s="12" t="s">
        <v>44</v>
      </c>
      <c r="H358" s="13" t="str">
        <f aca="false">IF(J358&lt;&gt;1,"",IF(I358="SBJ","CB","?"))</f>
        <v/>
      </c>
      <c r="I358" s="14" t="str">
        <f aca="false">IF(OR(E358="",E358="!!!",F358="NEW"),"",INDEX(B$2:B357,-1+SUMPRODUCT(MAX(ROW(E$2:E357)*(E358=E$2:E357)))))</f>
        <v>SBJ_2</v>
      </c>
      <c r="J358" s="15" t="n">
        <f aca="true">IF(OR(E358="",E358="!!!",F358="NEW"),"",COUNTBLANK(OFFSET(A$1,,,SUMPRODUCT(MAX(ROW(E$2:E358)*(E358=E$2:E358)))))-COUNTBLANK(OFFSET(A$1,,,SUMPRODUCT(MAX(ROW(E$1:E357)*(E358=E$1:E357))))))</f>
        <v>0</v>
      </c>
      <c r="K358" s="15" t="n">
        <f aca="false">IF(OR(E358="",E358="!!!",F358="NEW"),"",INDEX(J$1:J357,SUMPRODUCT(MAX(ROW(E$1:E357)*(E358=E$1:E357)))))</f>
        <v>3</v>
      </c>
      <c r="L358" s="16"/>
    </row>
    <row r="359" customFormat="false" ht="12.75" hidden="false" customHeight="false" outlineLevel="0" collapsed="false">
      <c r="A359" s="9" t="s">
        <v>242</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60</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243</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62</v>
      </c>
      <c r="B363" s="0" t="s">
        <v>29</v>
      </c>
      <c r="C363" s="0" t="s">
        <v>16</v>
      </c>
      <c r="D363" s="0" t="s">
        <v>17</v>
      </c>
      <c r="E363" s="10" t="s">
        <v>132</v>
      </c>
      <c r="F363" s="11" t="str">
        <f aca="false">IF(OR(E363="",E363="!!!"),"",IF(NOT(ISNA(VLOOKUP(E363,E$1:E362,1,FALSE()))),"OLD",IF(AND(E363&lt;&gt;"",E363&lt;&gt;"!!!"),"NEW","")))</f>
        <v>OLD</v>
      </c>
      <c r="G363" s="12" t="s">
        <v>44</v>
      </c>
      <c r="H363" s="13" t="str">
        <f aca="false">IF(J363&lt;&gt;1,"",IF(I363="SBJ","CB","?"))</f>
        <v>CB</v>
      </c>
      <c r="I363" s="14" t="str">
        <f aca="false">IF(OR(E363="",E363="!!!",F363="NEW"),"",INDEX(B$2:B362,-1+SUMPRODUCT(MAX(ROW(E$2:E362)*(E363=E$2:E362)))))</f>
        <v>SBJ</v>
      </c>
      <c r="J363" s="15" t="n">
        <f aca="true">IF(OR(E363="",E363="!!!",F363="NEW"),"",COUNTBLANK(OFFSET(A$1,,,SUMPRODUCT(MAX(ROW(E$2:E363)*(E363=E$2:E363)))))-COUNTBLANK(OFFSET(A$1,,,SUMPRODUCT(MAX(ROW(E$1:E362)*(E363=E$1:E362))))))</f>
        <v>1</v>
      </c>
      <c r="K363" s="15" t="n">
        <f aca="false">IF(OR(E363="",E363="!!!",F363="NEW"),"",INDEX(J$1:J362,SUMPRODUCT(MAX(ROW(E$1:E362)*(E363=E$1:E362)))))</f>
        <v>0</v>
      </c>
      <c r="L363" s="16"/>
    </row>
    <row r="364" customFormat="false" ht="12.75" hidden="false" customHeight="false" outlineLevel="0" collapsed="false">
      <c r="A364" s="9" t="s">
        <v>244</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103</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9" t="s">
        <v>14</v>
      </c>
      <c r="B366" s="0" t="s">
        <v>15</v>
      </c>
      <c r="C366" s="0" t="s">
        <v>16</v>
      </c>
      <c r="D366" s="0" t="s">
        <v>17</v>
      </c>
      <c r="E366" s="10" t="s">
        <v>18</v>
      </c>
      <c r="F366" s="11" t="str">
        <f aca="false">IF(OR(E366="",E366="!!!"),"",IF(NOT(ISNA(VLOOKUP(E366,E$1:E365,1,FALSE()))),"OLD",IF(AND(E366&lt;&gt;"",E366&lt;&gt;"!!!"),"NEW","")))</f>
        <v>OLD</v>
      </c>
      <c r="G366" s="12" t="s">
        <v>63</v>
      </c>
      <c r="H366" s="13"/>
      <c r="I366" s="14" t="str">
        <f aca="false">IF(OR(E366="",E366="!!!",F366="NEW"),"",INDEX(B$2:B365,-1+SUMPRODUCT(MAX(ROW(E$2:E365)*(E366=E$2:E365)))))</f>
        <v>SBJ_4</v>
      </c>
      <c r="J366" s="15" t="n">
        <f aca="true">IF(OR(E366="",E366="!!!",F366="NEW"),"",COUNTBLANK(OFFSET(A$1,,,SUMPRODUCT(MAX(ROW(E$2:E366)*(E366=E$2:E366)))))-COUNTBLANK(OFFSET(A$1,,,SUMPRODUCT(MAX(ROW(E$1:E365)*(E366=E$1:E365))))))</f>
        <v>1</v>
      </c>
      <c r="K366" s="15" t="n">
        <f aca="false">IF(OR(E366="",E366="!!!",F366="NEW"),"",INDEX(J$1:J365,SUMPRODUCT(MAX(ROW(E$1:E365)*(E366=E$1:E365)))))</f>
        <v>3</v>
      </c>
      <c r="L366" s="16"/>
    </row>
    <row r="367" customFormat="false" ht="12.75" hidden="false" customHeight="false" outlineLevel="0" collapsed="false">
      <c r="A367" s="9" t="s">
        <v>133</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183</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122</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53</v>
      </c>
      <c r="B370" s="0" t="s">
        <v>43</v>
      </c>
      <c r="C370" s="0" t="s">
        <v>40</v>
      </c>
      <c r="D370" s="0" t="s">
        <v>17</v>
      </c>
      <c r="E370" s="10" t="s">
        <v>53</v>
      </c>
      <c r="F370" s="11" t="str">
        <f aca="false">IF(OR(E370="",E370="!!!"),"",IF(NOT(ISNA(VLOOKUP(E370,E$1:E369,1,FALSE()))),"OLD",IF(AND(E370&lt;&gt;"",E370&lt;&gt;"!!!"),"NEW","")))</f>
        <v>OLD</v>
      </c>
      <c r="G370" s="12" t="s">
        <v>19</v>
      </c>
      <c r="H370" s="13" t="str">
        <f aca="false">IF(J370&lt;&gt;1,"",IF(I370="SBJ","CB","?"))</f>
        <v/>
      </c>
      <c r="I370" s="14" t="str">
        <f aca="false">IF(OR(E370="",E370="!!!",F370="NEW"),"",INDEX(B$2:B369,-1+SUMPRODUCT(MAX(ROW(E$2:E369)*(E370=E$2:E369)))))</f>
        <v>other_6</v>
      </c>
      <c r="J370" s="15" t="n">
        <f aca="true">IF(OR(E370="",E370="!!!",F370="NEW"),"",COUNTBLANK(OFFSET(A$1,,,SUMPRODUCT(MAX(ROW(E$2:E370)*(E370=E$2:E370)))))-COUNTBLANK(OFFSET(A$1,,,SUMPRODUCT(MAX(ROW(E$1:E369)*(E370=E$1:E369))))))</f>
        <v>4</v>
      </c>
      <c r="K370" s="15" t="n">
        <f aca="false">IF(OR(E370="",E370="!!!",F370="NEW"),"",INDEX(J$1:J369,SUMPRODUCT(MAX(ROW(E$1:E369)*(E370=E$1:E369)))))</f>
        <v>0</v>
      </c>
      <c r="L370" s="16"/>
    </row>
    <row r="371" customFormat="false" ht="12.75" hidden="false" customHeight="false" outlineLevel="0" collapsed="false">
      <c r="A371" s="9" t="s">
        <v>60</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245</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246</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9" t="s">
        <v>22</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175</v>
      </c>
      <c r="B376" s="0" t="s">
        <v>50</v>
      </c>
      <c r="C376" s="0" t="s">
        <v>25</v>
      </c>
      <c r="D376" s="0" t="s">
        <v>17</v>
      </c>
      <c r="E376" s="10" t="s">
        <v>181</v>
      </c>
      <c r="F376" s="11" t="str">
        <f aca="false">IF(OR(E376="",E376="!!!"),"",IF(NOT(ISNA(VLOOKUP(E376,E$1:E375,1,FALSE()))),"OLD",IF(AND(E376&lt;&gt;"",E376&lt;&gt;"!!!"),"NEW","")))</f>
        <v>OLD</v>
      </c>
      <c r="G376" s="12" t="s">
        <v>19</v>
      </c>
      <c r="H376" s="13" t="str">
        <f aca="false">IF(J376&lt;&gt;1,"",IF(I376="SBJ","CB","?"))</f>
        <v/>
      </c>
      <c r="I376" s="14" t="str">
        <f aca="false">IF(OR(E376="",E376="!!!",F376="NEW"),"",INDEX(B$2:B375,-1+SUMPRODUCT(MAX(ROW(E$2:E375)*(E376=E$2:E375)))))</f>
        <v>other</v>
      </c>
      <c r="J376" s="15" t="n">
        <f aca="true">IF(OR(E376="",E376="!!!",F376="NEW"),"",COUNTBLANK(OFFSET(A$1,,,SUMPRODUCT(MAX(ROW(E$2:E376)*(E376=E$2:E376)))))-COUNTBLANK(OFFSET(A$1,,,SUMPRODUCT(MAX(ROW(E$1:E375)*(E376=E$1:E375))))))</f>
        <v>4</v>
      </c>
      <c r="K376" s="15" t="n">
        <f aca="false">IF(OR(E376="",E376="!!!",F376="NEW"),"",INDEX(J$1:J375,SUMPRODUCT(MAX(ROW(E$1:E375)*(E376=E$1:E375)))))</f>
        <v>0</v>
      </c>
      <c r="L376" s="16"/>
    </row>
    <row r="377" customFormat="false" ht="12.75" hidden="false" customHeight="false" outlineLevel="0" collapsed="false">
      <c r="A377" s="9" t="s">
        <v>86</v>
      </c>
      <c r="B377" s="0" t="s">
        <v>90</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9" t="s">
        <v>78</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184</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247</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122</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42</v>
      </c>
      <c r="B382" s="0" t="s">
        <v>248</v>
      </c>
      <c r="C382" s="0" t="s">
        <v>16</v>
      </c>
      <c r="D382" s="0" t="s">
        <v>17</v>
      </c>
      <c r="E382" s="10" t="s">
        <v>18</v>
      </c>
      <c r="F382" s="11" t="str">
        <f aca="false">IF(OR(E382="",E382="!!!"),"",IF(NOT(ISNA(VLOOKUP(E382,E$1:E381,1,FALSE()))),"OLD",IF(AND(E382&lt;&gt;"",E382&lt;&gt;"!!!"),"NEW","")))</f>
        <v>OLD</v>
      </c>
      <c r="G382" s="12" t="s">
        <v>44</v>
      </c>
      <c r="H382" s="13"/>
      <c r="I382" s="14" t="str">
        <f aca="false">IF(OR(E382="",E382="!!!",F382="NEW"),"",INDEX(B$2:B381,-1+SUMPRODUCT(MAX(ROW(E$2:E381)*(E382=E$2:E381)))))</f>
        <v>SBJ_2</v>
      </c>
      <c r="J382" s="15" t="n">
        <f aca="true">IF(OR(E382="",E382="!!!",F382="NEW"),"",COUNTBLANK(OFFSET(A$1,,,SUMPRODUCT(MAX(ROW(E$2:E382)*(E382=E$2:E382)))))-COUNTBLANK(OFFSET(A$1,,,SUMPRODUCT(MAX(ROW(E$1:E381)*(E382=E$1:E381))))))</f>
        <v>1</v>
      </c>
      <c r="K382" s="15" t="n">
        <f aca="false">IF(OR(E382="",E382="!!!",F382="NEW"),"",INDEX(J$1:J381,SUMPRODUCT(MAX(ROW(E$1:E381)*(E382=E$1:E381)))))</f>
        <v>1</v>
      </c>
      <c r="L382" s="16"/>
    </row>
    <row r="383" customFormat="false" ht="12.75" hidden="false" customHeight="false" outlineLevel="0" collapsed="false">
      <c r="A383" s="9" t="s">
        <v>27</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14</v>
      </c>
      <c r="B384" s="0" t="s">
        <v>29</v>
      </c>
      <c r="C384" s="0" t="s">
        <v>16</v>
      </c>
      <c r="D384" s="0" t="s">
        <v>17</v>
      </c>
      <c r="E384" s="10" t="s">
        <v>132</v>
      </c>
      <c r="F384" s="11" t="str">
        <f aca="false">IF(OR(E384="",E384="!!!"),"",IF(NOT(ISNA(VLOOKUP(E384,E$1:E383,1,FALSE()))),"OLD",IF(AND(E384&lt;&gt;"",E384&lt;&gt;"!!!"),"NEW","")))</f>
        <v>OLD</v>
      </c>
      <c r="G384" s="12" t="s">
        <v>44</v>
      </c>
      <c r="H384" s="13" t="str">
        <f aca="false">IF(J384&lt;&gt;1,"",IF(I384="SBJ","CB","?"))</f>
        <v>CB</v>
      </c>
      <c r="I384" s="14" t="str">
        <f aca="false">IF(OR(E384="",E384="!!!",F384="NEW"),"",INDEX(B$2:B383,-1+SUMPRODUCT(MAX(ROW(E$2:E383)*(E384=E$2:E383)))))</f>
        <v>SBJ</v>
      </c>
      <c r="J384" s="15" t="n">
        <f aca="true">IF(OR(E384="",E384="!!!",F384="NEW"),"",COUNTBLANK(OFFSET(A$1,,,SUMPRODUCT(MAX(ROW(E$2:E384)*(E384=E$2:E384)))))-COUNTBLANK(OFFSET(A$1,,,SUMPRODUCT(MAX(ROW(E$1:E383)*(E384=E$1:E383))))))</f>
        <v>1</v>
      </c>
      <c r="K384" s="15" t="n">
        <f aca="false">IF(OR(E384="",E384="!!!",F384="NEW"),"",INDEX(J$1:J383,SUMPRODUCT(MAX(ROW(E$1:E383)*(E384=E$1:E383)))))</f>
        <v>1</v>
      </c>
      <c r="L384" s="16"/>
    </row>
    <row r="385" customFormat="false" ht="12.75" hidden="false" customHeight="false" outlineLevel="0" collapsed="false">
      <c r="A385" s="9" t="s">
        <v>249</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250</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251</v>
      </c>
      <c r="B387" s="0" t="s">
        <v>66</v>
      </c>
      <c r="C387" s="0" t="s">
        <v>252</v>
      </c>
      <c r="D387" s="0" t="s">
        <v>17</v>
      </c>
      <c r="E387" s="10"/>
      <c r="F387" s="11" t="s">
        <v>253</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254</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76</v>
      </c>
      <c r="B389" s="0" t="s">
        <v>24</v>
      </c>
      <c r="C389" s="0" t="s">
        <v>16</v>
      </c>
      <c r="D389" s="0" t="s">
        <v>17</v>
      </c>
      <c r="E389" s="10" t="s">
        <v>91</v>
      </c>
      <c r="F389" s="11" t="str">
        <f aca="false">IF(OR(E389="",E389="!!!"),"",IF(NOT(ISNA(VLOOKUP(E389,E$1:E388,1,FALSE()))),"OLD",IF(AND(E389&lt;&gt;"",E389&lt;&gt;"!!!"),"NEW","")))</f>
        <v>OLD</v>
      </c>
      <c r="G389" s="12" t="s">
        <v>19</v>
      </c>
      <c r="H389" s="13" t="str">
        <f aca="false">IF(J389&lt;&gt;1,"",IF(I389="SBJ","CB","?"))</f>
        <v/>
      </c>
      <c r="I389" s="14" t="str">
        <f aca="false">IF(OR(E389="",E389="!!!",F389="NEW"),"",INDEX(B$2:B388,-1+SUMPRODUCT(MAX(ROW(E$2:E388)*(E389=E$2:E388)))))</f>
        <v>SBJ_4</v>
      </c>
      <c r="J389" s="15" t="n">
        <f aca="true">IF(OR(E389="",E389="!!!",F389="NEW"),"",COUNTBLANK(OFFSET(A$1,,,SUMPRODUCT(MAX(ROW(E$2:E389)*(E389=E$2:E389)))))-COUNTBLANK(OFFSET(A$1,,,SUMPRODUCT(MAX(ROW(E$1:E388)*(E389=E$1:E388))))))</f>
        <v>9</v>
      </c>
      <c r="K389" s="15" t="str">
        <f aca="false">IF(OR(E389="",E389="!!!",F389="NEW"),"",INDEX(J$1:J388,SUMPRODUCT(MAX(ROW(E$1:E388)*(E389=E$1:E388)))))</f>
        <v/>
      </c>
      <c r="L389" s="16"/>
    </row>
    <row r="390" customFormat="false" ht="12.75" hidden="false" customHeight="false" outlineLevel="0" collapsed="false">
      <c r="A390" s="9" t="s">
        <v>60</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129</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255</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9" t="s">
        <v>82</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235</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14</v>
      </c>
      <c r="B396" s="0" t="s">
        <v>15</v>
      </c>
      <c r="C396" s="0" t="s">
        <v>16</v>
      </c>
      <c r="D396" s="0" t="s">
        <v>17</v>
      </c>
      <c r="E396" s="10" t="s">
        <v>132</v>
      </c>
      <c r="F396" s="11" t="str">
        <f aca="false">IF(OR(E396="",E396="!!!"),"",IF(NOT(ISNA(VLOOKUP(E396,E$1:E395,1,FALSE()))),"OLD",IF(AND(E396&lt;&gt;"",E396&lt;&gt;"!!!"),"NEW","")))</f>
        <v>OLD</v>
      </c>
      <c r="G396" s="12" t="s">
        <v>44</v>
      </c>
      <c r="H396" s="13" t="str">
        <f aca="false">IF(J396&lt;&gt;1,"",IF(I396="SBJ","CB","?"))</f>
        <v>CB</v>
      </c>
      <c r="I396" s="14" t="str">
        <f aca="false">IF(OR(E396="",E396="!!!",F396="NEW"),"",INDEX(B$2:B395,-1+SUMPRODUCT(MAX(ROW(E$2:E395)*(E396=E$2:E395)))))</f>
        <v>SBJ</v>
      </c>
      <c r="J396" s="15" t="n">
        <f aca="true">IF(OR(E396="",E396="!!!",F396="NEW"),"",COUNTBLANK(OFFSET(A$1,,,SUMPRODUCT(MAX(ROW(E$2:E396)*(E396=E$2:E396)))))-COUNTBLANK(OFFSET(A$1,,,SUMPRODUCT(MAX(ROW(E$1:E395)*(E396=E$1:E395))))))</f>
        <v>1</v>
      </c>
      <c r="K396" s="15" t="n">
        <f aca="false">IF(OR(E396="",E396="!!!",F396="NEW"),"",INDEX(J$1:J395,SUMPRODUCT(MAX(ROW(E$1:E395)*(E396=E$1:E395)))))</f>
        <v>1</v>
      </c>
      <c r="L396" s="16"/>
    </row>
    <row r="397" customFormat="false" ht="12.75" hidden="false" customHeight="false" outlineLevel="0" collapsed="false">
      <c r="A397" s="9" t="s">
        <v>133</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75" hidden="false" customHeight="false" outlineLevel="0" collapsed="false">
      <c r="A398" s="9" t="s">
        <v>256</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9" t="s">
        <v>42</v>
      </c>
      <c r="B399" s="0" t="s">
        <v>50</v>
      </c>
      <c r="C399" s="0" t="s">
        <v>16</v>
      </c>
      <c r="D399" s="0" t="s">
        <v>17</v>
      </c>
      <c r="E399" s="10" t="s">
        <v>18</v>
      </c>
      <c r="F399" s="11" t="str">
        <f aca="false">IF(OR(E399="",E399="!!!"),"",IF(NOT(ISNA(VLOOKUP(E399,E$1:E398,1,FALSE()))),"OLD",IF(AND(E399&lt;&gt;"",E399&lt;&gt;"!!!"),"NEW","")))</f>
        <v>OLD</v>
      </c>
      <c r="G399" s="12" t="s">
        <v>44</v>
      </c>
      <c r="H399" s="13"/>
      <c r="I399" s="14" t="str">
        <f aca="false">IF(OR(E399="",E399="!!!",F399="NEW"),"",INDEX(B$2:B398,-1+SUMPRODUCT(MAX(ROW(E$2:E398)*(E399=E$2:E398)))))</f>
        <v>other_5</v>
      </c>
      <c r="J399" s="15" t="n">
        <f aca="true">IF(OR(E399="",E399="!!!",F399="NEW"),"",COUNTBLANK(OFFSET(A$1,,,SUMPRODUCT(MAX(ROW(E$2:E399)*(E399=E$2:E399)))))-COUNTBLANK(OFFSET(A$1,,,SUMPRODUCT(MAX(ROW(E$1:E398)*(E399=E$1:E398))))))</f>
        <v>1</v>
      </c>
      <c r="K399" s="15" t="n">
        <f aca="false">IF(OR(E399="",E399="!!!",F399="NEW"),"",INDEX(J$1:J398,SUMPRODUCT(MAX(ROW(E$1:E398)*(E399=E$1:E398)))))</f>
        <v>1</v>
      </c>
      <c r="L399" s="16"/>
    </row>
    <row r="400" customFormat="false" ht="12.75" hidden="false" customHeight="false" outlineLevel="0" collapsed="false">
      <c r="A400" s="9" t="s">
        <v>21</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257</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258</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9" t="s">
        <v>259</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35</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22</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9" t="s">
        <v>260</v>
      </c>
      <c r="B406" s="0" t="s">
        <v>37</v>
      </c>
      <c r="C406" s="0" t="s">
        <v>25</v>
      </c>
      <c r="D406" s="0" t="s">
        <v>17</v>
      </c>
      <c r="E406" s="10" t="s">
        <v>261</v>
      </c>
      <c r="F406" s="11" t="str">
        <f aca="false">IF(OR(E406="",E406="!!!"),"",IF(NOT(ISNA(VLOOKUP(E406,E$1:E405,1,FALSE()))),"OLD",IF(AND(E406&lt;&gt;"",E406&lt;&gt;"!!!"),"NEW","")))</f>
        <v>NEW</v>
      </c>
      <c r="G406" s="12" t="s">
        <v>31</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27</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14</v>
      </c>
      <c r="B408" s="0" t="s">
        <v>29</v>
      </c>
      <c r="C408" s="0" t="s">
        <v>16</v>
      </c>
      <c r="D408" s="0" t="s">
        <v>17</v>
      </c>
      <c r="E408" s="10" t="s">
        <v>132</v>
      </c>
      <c r="F408" s="11" t="str">
        <f aca="false">IF(OR(E408="",E408="!!!"),"",IF(NOT(ISNA(VLOOKUP(E408,E$1:E407,1,FALSE()))),"OLD",IF(AND(E408&lt;&gt;"",E408&lt;&gt;"!!!"),"NEW","")))</f>
        <v>OLD</v>
      </c>
      <c r="G408" s="12" t="s">
        <v>44</v>
      </c>
      <c r="H408" s="13" t="str">
        <f aca="false">IF(J408&lt;&gt;1,"",IF(I408="SBJ","CB","?"))</f>
        <v/>
      </c>
      <c r="I408" s="14" t="str">
        <f aca="false">IF(OR(E408="",E408="!!!",F408="NEW"),"",INDEX(B$2:B407,-1+SUMPRODUCT(MAX(ROW(E$2:E407)*(E408=E$2:E407)))))</f>
        <v>SBJ_2</v>
      </c>
      <c r="J408" s="15" t="n">
        <f aca="true">IF(OR(E408="",E408="!!!",F408="NEW"),"",COUNTBLANK(OFFSET(A$1,,,SUMPRODUCT(MAX(ROW(E$2:E408)*(E408=E$2:E408)))))-COUNTBLANK(OFFSET(A$1,,,SUMPRODUCT(MAX(ROW(E$1:E407)*(E408=E$1:E407))))))</f>
        <v>0</v>
      </c>
      <c r="K408" s="15" t="n">
        <f aca="false">IF(OR(E408="",E408="!!!",F408="NEW"),"",INDEX(J$1:J407,SUMPRODUCT(MAX(ROW(E$1:E407)*(E408=E$1:E407)))))</f>
        <v>1</v>
      </c>
      <c r="L408" s="16"/>
    </row>
    <row r="409" customFormat="false" ht="12.75" hidden="false" customHeight="false" outlineLevel="0" collapsed="false">
      <c r="A409" s="9" t="s">
        <v>262</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228</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263</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27</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9" t="s">
        <v>264</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27</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138</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9" t="s">
        <v>265</v>
      </c>
      <c r="B416" s="0" t="s">
        <v>56</v>
      </c>
      <c r="C416" s="0" t="s">
        <v>141</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266</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162</v>
      </c>
      <c r="B418" s="0" t="s">
        <v>87</v>
      </c>
      <c r="C418" s="0" t="s">
        <v>16</v>
      </c>
      <c r="D418" s="0" t="s">
        <v>17</v>
      </c>
      <c r="E418" s="10" t="s">
        <v>132</v>
      </c>
      <c r="F418" s="11" t="str">
        <f aca="false">IF(OR(E418="",E418="!!!"),"",IF(NOT(ISNA(VLOOKUP(E418,E$1:E417,1,FALSE()))),"OLD",IF(AND(E418&lt;&gt;"",E418&lt;&gt;"!!!"),"NEW","")))</f>
        <v>OLD</v>
      </c>
      <c r="G418" s="12" t="s">
        <v>44</v>
      </c>
      <c r="H418" s="13" t="str">
        <f aca="false">IF(J418&lt;&gt;1,"",IF(I418="SBJ","CB","?"))</f>
        <v/>
      </c>
      <c r="I418" s="14" t="str">
        <f aca="false">IF(OR(E418="",E418="!!!",F418="NEW"),"",INDEX(B$2:B417,-1+SUMPRODUCT(MAX(ROW(E$2:E417)*(E418=E$2:E417)))))</f>
        <v>SBJ</v>
      </c>
      <c r="J418" s="15" t="n">
        <f aca="true">IF(OR(E418="",E418="!!!",F418="NEW"),"",COUNTBLANK(OFFSET(A$1,,,SUMPRODUCT(MAX(ROW(E$2:E418)*(E418=E$2:E418)))))-COUNTBLANK(OFFSET(A$1,,,SUMPRODUCT(MAX(ROW(E$1:E417)*(E418=E$1:E417))))))</f>
        <v>0</v>
      </c>
      <c r="K418" s="15" t="n">
        <f aca="false">IF(OR(E418="",E418="!!!",F418="NEW"),"",INDEX(J$1:J417,SUMPRODUCT(MAX(ROW(E$1:E417)*(E418=E$1:E417)))))</f>
        <v>0</v>
      </c>
      <c r="L418" s="16"/>
    </row>
    <row r="419" customFormat="false" ht="12.75" hidden="false" customHeight="false" outlineLevel="0" collapsed="false">
      <c r="A419" s="9" t="s">
        <v>267</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21</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9" t="s">
        <v>268</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9" t="s">
        <v>94</v>
      </c>
      <c r="B422" s="0" t="s">
        <v>37</v>
      </c>
      <c r="C422" s="0" t="s">
        <v>180</v>
      </c>
      <c r="D422" s="0" t="s">
        <v>17</v>
      </c>
      <c r="E422" s="10" t="s">
        <v>18</v>
      </c>
      <c r="F422" s="11" t="str">
        <f aca="false">IF(OR(E422="",E422="!!!"),"",IF(NOT(ISNA(VLOOKUP(E422,E$1:E421,1,FALSE()))),"OLD",IF(AND(E422&lt;&gt;"",E422&lt;&gt;"!!!"),"NEW","")))</f>
        <v>OLD</v>
      </c>
      <c r="G422" s="12" t="s">
        <v>19</v>
      </c>
      <c r="H422" s="13" t="str">
        <f aca="false">IF(J422&lt;&gt;1,"",IF(I422="SBJ","CB","?"))</f>
        <v/>
      </c>
      <c r="I422" s="14" t="str">
        <f aca="false">IF(OR(E422="",E422="!!!",F422="NEW"),"",INDEX(B$2:B421,-1+SUMPRODUCT(MAX(ROW(E$2:E421)*(E422=E$2:E421)))))</f>
        <v>OBJ_2</v>
      </c>
      <c r="J422" s="15" t="n">
        <f aca="true">IF(OR(E422="",E422="!!!",F422="NEW"),"",COUNTBLANK(OFFSET(A$1,,,SUMPRODUCT(MAX(ROW(E$2:E422)*(E422=E$2:E422)))))-COUNTBLANK(OFFSET(A$1,,,SUMPRODUCT(MAX(ROW(E$1:E421)*(E422=E$1:E421))))))</f>
        <v>0</v>
      </c>
      <c r="K422" s="15" t="n">
        <f aca="false">IF(OR(E422="",E422="!!!",F422="NEW"),"",INDEX(J$1:J421,SUMPRODUCT(MAX(ROW(E$1:E421)*(E422=E$1:E421)))))</f>
        <v>1</v>
      </c>
      <c r="L422" s="16"/>
    </row>
    <row r="423" customFormat="false" ht="12.75" hidden="false" customHeight="false" outlineLevel="0" collapsed="false">
      <c r="A423" s="9" t="s">
        <v>150</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9" t="s">
        <v>269</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270</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271</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169</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272</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273</v>
      </c>
      <c r="B430" s="0" t="s">
        <v>50</v>
      </c>
      <c r="C430" s="0" t="s">
        <v>173</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9" t="s">
        <v>182</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9" t="s">
        <v>183</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148</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274</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42</v>
      </c>
      <c r="B435" s="0" t="s">
        <v>43</v>
      </c>
      <c r="C435" s="0" t="s">
        <v>16</v>
      </c>
      <c r="D435" s="0" t="s">
        <v>17</v>
      </c>
      <c r="E435" s="10" t="s">
        <v>18</v>
      </c>
      <c r="F435" s="11" t="str">
        <f aca="false">IF(OR(E435="",E435="!!!"),"",IF(NOT(ISNA(VLOOKUP(E435,E$1:E434,1,FALSE()))),"OLD",IF(AND(E435&lt;&gt;"",E435&lt;&gt;"!!!"),"NEW","")))</f>
        <v>OLD</v>
      </c>
      <c r="G435" s="12" t="s">
        <v>63</v>
      </c>
      <c r="H435" s="13" t="s">
        <v>7</v>
      </c>
      <c r="I435" s="14" t="str">
        <f aca="false">IF(OR(E435="",E435="!!!",F435="NEW"),"",INDEX(B$2:B434,-1+SUMPRODUCT(MAX(ROW(E$2:E434)*(E435=E$2:E434)))))</f>
        <v>other_3</v>
      </c>
      <c r="J435" s="15" t="n">
        <f aca="true">IF(OR(E435="",E435="!!!",F435="NEW"),"",COUNTBLANK(OFFSET(A$1,,,SUMPRODUCT(MAX(ROW(E$2:E435)*(E435=E$2:E435)))))-COUNTBLANK(OFFSET(A$1,,,SUMPRODUCT(MAX(ROW(E$1:E434)*(E435=E$1:E434))))))</f>
        <v>1</v>
      </c>
      <c r="K435" s="15" t="n">
        <f aca="false">IF(OR(E435="",E435="!!!",F435="NEW"),"",INDEX(J$1:J434,SUMPRODUCT(MAX(ROW(E$1:E434)*(E435=E$1:E434)))))</f>
        <v>0</v>
      </c>
      <c r="L435" s="16"/>
    </row>
    <row r="436" customFormat="false" ht="12.75" hidden="false" customHeight="false" outlineLevel="0" collapsed="false">
      <c r="A436" s="9" t="s">
        <v>27</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126</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9" t="s">
        <v>275</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95</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276</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277</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9" t="s">
        <v>177</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187</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86</v>
      </c>
      <c r="B444" s="0" t="s">
        <v>90</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278</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52</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114</v>
      </c>
      <c r="B447" s="0" t="s">
        <v>128</v>
      </c>
      <c r="C447" s="0" t="s">
        <v>40</v>
      </c>
      <c r="D447" s="0" t="s">
        <v>17</v>
      </c>
      <c r="E447" s="10" t="s">
        <v>114</v>
      </c>
      <c r="F447" s="11" t="str">
        <f aca="false">IF(OR(E447="",E447="!!!"),"",IF(NOT(ISNA(VLOOKUP(E447,E$1:E446,1,FALSE()))),"OLD",IF(AND(E447&lt;&gt;"",E447&lt;&gt;"!!!"),"NEW","")))</f>
        <v>OLD</v>
      </c>
      <c r="G447" s="12" t="s">
        <v>19</v>
      </c>
      <c r="H447" s="13" t="str">
        <f aca="false">IF(J447&lt;&gt;1,"",IF(I447="SBJ","CB","?"))</f>
        <v/>
      </c>
      <c r="I447" s="14" t="str">
        <f aca="false">IF(OR(E447="",E447="!!!",F447="NEW"),"",INDEX(B$2:B446,-1+SUMPRODUCT(MAX(ROW(E$2:E446)*(E447=E$2:E446)))))</f>
        <v>other</v>
      </c>
      <c r="J447" s="15" t="n">
        <f aca="true">IF(OR(E447="",E447="!!!",F447="NEW"),"",COUNTBLANK(OFFSET(A$1,,,SUMPRODUCT(MAX(ROW(E$2:E447)*(E447=E$2:E447)))))-COUNTBLANK(OFFSET(A$1,,,SUMPRODUCT(MAX(ROW(E$1:E446)*(E447=E$1:E446))))))</f>
        <v>9</v>
      </c>
      <c r="K447" s="15" t="n">
        <f aca="false">IF(OR(E447="",E447="!!!",F447="NEW"),"",INDEX(J$1:J446,SUMPRODUCT(MAX(ROW(E$1:E446)*(E447=E$1:E446)))))</f>
        <v>1</v>
      </c>
      <c r="L447" s="16"/>
    </row>
    <row r="448" customFormat="false" ht="12.75" hidden="false" customHeight="false" outlineLevel="0" collapsed="false">
      <c r="A448" s="9" t="s">
        <v>27</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32</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162</v>
      </c>
      <c r="B450" s="0" t="s">
        <v>15</v>
      </c>
      <c r="C450" s="0" t="s">
        <v>16</v>
      </c>
      <c r="D450" s="0" t="s">
        <v>17</v>
      </c>
      <c r="E450" s="10" t="s">
        <v>132</v>
      </c>
      <c r="F450" s="11" t="str">
        <f aca="false">IF(OR(E450="",E450="!!!"),"",IF(NOT(ISNA(VLOOKUP(E450,E$1:E449,1,FALSE()))),"OLD",IF(AND(E450&lt;&gt;"",E450&lt;&gt;"!!!"),"NEW","")))</f>
        <v>OLD</v>
      </c>
      <c r="G450" s="12" t="s">
        <v>63</v>
      </c>
      <c r="H450" s="13"/>
      <c r="I450" s="14" t="str">
        <f aca="false">IF(OR(E450="",E450="!!!",F450="NEW"),"",INDEX(B$2:B449,-1+SUMPRODUCT(MAX(ROW(E$2:E449)*(E450=E$2:E449)))))</f>
        <v>SBJ_3</v>
      </c>
      <c r="J450" s="15" t="n">
        <f aca="true">IF(OR(E450="",E450="!!!",F450="NEW"),"",COUNTBLANK(OFFSET(A$1,,,SUMPRODUCT(MAX(ROW(E$2:E450)*(E450=E$2:E450)))))-COUNTBLANK(OFFSET(A$1,,,SUMPRODUCT(MAX(ROW(E$1:E449)*(E450=E$1:E449))))))</f>
        <v>1</v>
      </c>
      <c r="K450" s="15" t="n">
        <f aca="false">IF(OR(E450="",E450="!!!",F450="NEW"),"",INDEX(J$1:J449,SUMPRODUCT(MAX(ROW(E$1:E449)*(E450=E$1:E449)))))</f>
        <v>0</v>
      </c>
      <c r="L450" s="16"/>
    </row>
    <row r="451" customFormat="false" ht="12.75" hidden="false" customHeight="false" outlineLevel="0" collapsed="false">
      <c r="A451" s="9" t="s">
        <v>279</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9" t="s">
        <v>280</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A453" s="9" t="s">
        <v>281</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76</v>
      </c>
      <c r="B454" s="0" t="s">
        <v>50</v>
      </c>
      <c r="C454" s="0" t="s">
        <v>16</v>
      </c>
      <c r="D454" s="0" t="s">
        <v>17</v>
      </c>
      <c r="E454" s="10" t="s">
        <v>282</v>
      </c>
      <c r="F454" s="11" t="str">
        <f aca="false">IF(OR(E454="",E454="!!!"),"",IF(NOT(ISNA(VLOOKUP(E454,E$1:E453,1,FALSE()))),"OLD",IF(AND(E454&lt;&gt;"",E454&lt;&gt;"!!!"),"NEW","")))</f>
        <v>NEW</v>
      </c>
      <c r="G454" s="12" t="s">
        <v>31</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60</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129</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283</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9" t="s">
        <v>82</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284</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103</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A462" s="9" t="s">
        <v>149</v>
      </c>
      <c r="B462" s="0" t="s">
        <v>15</v>
      </c>
      <c r="C462" s="0" t="s">
        <v>85</v>
      </c>
      <c r="D462" s="0" t="s">
        <v>17</v>
      </c>
      <c r="E462" s="10" t="s">
        <v>91</v>
      </c>
      <c r="F462" s="11" t="str">
        <f aca="false">IF(OR(E462="",E462="!!!"),"",IF(NOT(ISNA(VLOOKUP(E462,E$1:E461,1,FALSE()))),"OLD",IF(AND(E462&lt;&gt;"",E462&lt;&gt;"!!!"),"NEW","")))</f>
        <v>OLD</v>
      </c>
      <c r="G462" s="12" t="s">
        <v>19</v>
      </c>
      <c r="H462" s="13" t="str">
        <f aca="false">IF(J462&lt;&gt;1,"",IF(I462="SBJ","CB","?"))</f>
        <v/>
      </c>
      <c r="I462" s="14" t="str">
        <f aca="false">IF(OR(E462="",E462="!!!",F462="NEW"),"",INDEX(B$2:B461,-1+SUMPRODUCT(MAX(ROW(E$2:E461)*(E462=E$2:E461)))))</f>
        <v>other_2</v>
      </c>
      <c r="J462" s="15" t="n">
        <f aca="true">IF(OR(E462="",E462="!!!",F462="NEW"),"",COUNTBLANK(OFFSET(A$1,,,SUMPRODUCT(MAX(ROW(E$2:E462)*(E462=E$2:E462)))))-COUNTBLANK(OFFSET(A$1,,,SUMPRODUCT(MAX(ROW(E$1:E461)*(E462=E$1:E461))))))</f>
        <v>3</v>
      </c>
      <c r="K462" s="15" t="n">
        <f aca="false">IF(OR(E462="",E462="!!!",F462="NEW"),"",INDEX(J$1:J461,SUMPRODUCT(MAX(ROW(E$1:E461)*(E462=E$1:E461)))))</f>
        <v>9</v>
      </c>
      <c r="L462" s="16"/>
    </row>
    <row r="463" customFormat="false" ht="12.75" hidden="false" customHeight="false" outlineLevel="0" collapsed="false">
      <c r="A463" s="9" t="s">
        <v>285</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9" t="s">
        <v>286</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287</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228</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22</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75" hidden="false" customHeight="false" outlineLevel="0" collapsed="false">
      <c r="A468" s="9" t="s">
        <v>23</v>
      </c>
      <c r="B468" s="0" t="s">
        <v>24</v>
      </c>
      <c r="C468" s="0" t="s">
        <v>25</v>
      </c>
      <c r="D468" s="0" t="s">
        <v>17</v>
      </c>
      <c r="E468" s="10" t="s">
        <v>288</v>
      </c>
      <c r="F468" s="11" t="str">
        <f aca="false">IF(OR(E468="",E468="!!!"),"",IF(NOT(ISNA(VLOOKUP(E468,E$1:E467,1,FALSE()))),"OLD",IF(AND(E468&lt;&gt;"",E468&lt;&gt;"!!!"),"NEW","")))</f>
        <v>NEW</v>
      </c>
      <c r="G468" s="12" t="s">
        <v>19</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27</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289</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290</v>
      </c>
      <c r="B471" s="0" t="s">
        <v>66</v>
      </c>
      <c r="C471" s="0" t="s">
        <v>16</v>
      </c>
      <c r="D471" s="0" t="s">
        <v>17</v>
      </c>
      <c r="E471" s="10"/>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9" t="s">
        <v>291</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42</v>
      </c>
      <c r="B473" s="0" t="s">
        <v>50</v>
      </c>
      <c r="C473" s="0" t="s">
        <v>16</v>
      </c>
      <c r="D473" s="0" t="s">
        <v>17</v>
      </c>
      <c r="E473" s="10" t="s">
        <v>18</v>
      </c>
      <c r="F473" s="11" t="str">
        <f aca="false">IF(OR(E473="",E473="!!!"),"",IF(NOT(ISNA(VLOOKUP(E473,E$1:E472,1,FALSE()))),"OLD",IF(AND(E473&lt;&gt;"",E473&lt;&gt;"!!!"),"NEW","")))</f>
        <v>OLD</v>
      </c>
      <c r="G473" s="12" t="s">
        <v>44</v>
      </c>
      <c r="H473" s="13" t="s">
        <v>7</v>
      </c>
      <c r="I473" s="14" t="str">
        <f aca="false">IF(OR(E473="",E473="!!!",F473="NEW"),"",INDEX(B$2:B472,-1+SUMPRODUCT(MAX(ROW(E$2:E472)*(E473=E$2:E472)))))</f>
        <v>other</v>
      </c>
      <c r="J473" s="15" t="n">
        <f aca="true">IF(OR(E473="",E473="!!!",F473="NEW"),"",COUNTBLANK(OFFSET(A$1,,,SUMPRODUCT(MAX(ROW(E$2:E473)*(E473=E$2:E473)))))-COUNTBLANK(OFFSET(A$1,,,SUMPRODUCT(MAX(ROW(E$1:E472)*(E473=E$1:E472))))))</f>
        <v>1</v>
      </c>
      <c r="K473" s="15" t="n">
        <f aca="false">IF(OR(E473="",E473="!!!",F473="NEW"),"",INDEX(J$1:J472,SUMPRODUCT(MAX(ROW(E$1:E472)*(E473=E$1:E472)))))</f>
        <v>1</v>
      </c>
      <c r="L473" s="16"/>
    </row>
    <row r="474" customFormat="false" ht="12.75" hidden="false" customHeight="false" outlineLevel="0" collapsed="false">
      <c r="A474" s="9" t="s">
        <v>27</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103</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58</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79</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68</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14</v>
      </c>
      <c r="B479" s="0" t="s">
        <v>15</v>
      </c>
      <c r="C479" s="0" t="s">
        <v>16</v>
      </c>
      <c r="D479" s="0" t="s">
        <v>17</v>
      </c>
      <c r="E479" s="10" t="s">
        <v>18</v>
      </c>
      <c r="F479" s="11" t="str">
        <f aca="false">IF(OR(E479="",E479="!!!"),"",IF(NOT(ISNA(VLOOKUP(E479,E$1:E478,1,FALSE()))),"OLD",IF(AND(E479&lt;&gt;"",E479&lt;&gt;"!!!"),"NEW","")))</f>
        <v>OLD</v>
      </c>
      <c r="G479" s="12" t="s">
        <v>44</v>
      </c>
      <c r="H479" s="13" t="str">
        <f aca="false">IF(J479&lt;&gt;1,"",IF(I479="SBJ","CB","?"))</f>
        <v/>
      </c>
      <c r="I479" s="14" t="str">
        <f aca="false">IF(OR(E479="",E479="!!!",F479="NEW"),"",INDEX(B$2:B478,-1+SUMPRODUCT(MAX(ROW(E$2:E478)*(E479=E$2:E478)))))</f>
        <v>OBJ_2</v>
      </c>
      <c r="J479" s="15" t="n">
        <f aca="true">IF(OR(E479="",E479="!!!",F479="NEW"),"",COUNTBLANK(OFFSET(A$1,,,SUMPRODUCT(MAX(ROW(E$2:E479)*(E479=E$2:E479)))))-COUNTBLANK(OFFSET(A$1,,,SUMPRODUCT(MAX(ROW(E$1:E478)*(E479=E$1:E478))))))</f>
        <v>0</v>
      </c>
      <c r="K479" s="15" t="n">
        <f aca="false">IF(OR(E479="",E479="!!!",F479="NEW"),"",INDEX(J$1:J478,SUMPRODUCT(MAX(ROW(E$1:E478)*(E479=E$1:E478)))))</f>
        <v>1</v>
      </c>
      <c r="L479" s="16"/>
    </row>
    <row r="480" customFormat="false" ht="12.75" hidden="false" customHeight="false" outlineLevel="0" collapsed="false">
      <c r="A480" s="9" t="s">
        <v>267</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280</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292</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21</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293</v>
      </c>
      <c r="B484" s="0" t="s">
        <v>24</v>
      </c>
      <c r="C484" s="0" t="s">
        <v>294</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52</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149</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9" t="s">
        <v>145</v>
      </c>
      <c r="B487" s="0" t="s">
        <v>24</v>
      </c>
      <c r="C487" s="0" t="s">
        <v>180</v>
      </c>
      <c r="D487" s="0" t="s">
        <v>17</v>
      </c>
      <c r="E487" s="10" t="s">
        <v>53</v>
      </c>
      <c r="F487" s="11" t="str">
        <f aca="false">IF(OR(E487="",E487="!!!"),"",IF(NOT(ISNA(VLOOKUP(E487,E$1:E486,1,FALSE()))),"OLD",IF(AND(E487&lt;&gt;"",E487&lt;&gt;"!!!"),"NEW","")))</f>
        <v>OLD</v>
      </c>
      <c r="G487" s="12" t="s">
        <v>19</v>
      </c>
      <c r="H487" s="13" t="str">
        <f aca="false">IF(J487&lt;&gt;1,"",IF(I487="SBJ","CB","?"))</f>
        <v/>
      </c>
      <c r="I487" s="14" t="str">
        <f aca="false">IF(OR(E487="",E487="!!!",F487="NEW"),"",INDEX(B$2:B486,-1+SUMPRODUCT(MAX(ROW(E$2:E486)*(E487=E$2:E486)))))</f>
        <v>other</v>
      </c>
      <c r="J487" s="15" t="n">
        <f aca="true">IF(OR(E487="",E487="!!!",F487="NEW"),"",COUNTBLANK(OFFSET(A$1,,,SUMPRODUCT(MAX(ROW(E$2:E487)*(E487=E$2:E487)))))-COUNTBLANK(OFFSET(A$1,,,SUMPRODUCT(MAX(ROW(E$1:E486)*(E487=E$1:E486))))))</f>
        <v>4</v>
      </c>
      <c r="K487" s="15" t="n">
        <f aca="false">IF(OR(E487="",E487="!!!",F487="NEW"),"",INDEX(J$1:J486,SUMPRODUCT(MAX(ROW(E$1:E486)*(E487=E$1:E486)))))</f>
        <v>4</v>
      </c>
      <c r="L487" s="16"/>
    </row>
    <row r="488" customFormat="false" ht="12.75" hidden="false" customHeight="false" outlineLevel="0" collapsed="false">
      <c r="A488" s="9" t="s">
        <v>60</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138</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295</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62</v>
      </c>
      <c r="B492" s="0" t="s">
        <v>29</v>
      </c>
      <c r="C492" s="0" t="s">
        <v>16</v>
      </c>
      <c r="D492" s="0" t="s">
        <v>17</v>
      </c>
      <c r="E492" s="10" t="s">
        <v>132</v>
      </c>
      <c r="F492" s="11" t="str">
        <f aca="false">IF(OR(E492="",E492="!!!"),"",IF(NOT(ISNA(VLOOKUP(E492,E$1:E491,1,FALSE()))),"OLD",IF(AND(E492&lt;&gt;"",E492&lt;&gt;"!!!"),"NEW","")))</f>
        <v>OLD</v>
      </c>
      <c r="G492" s="12" t="s">
        <v>63</v>
      </c>
      <c r="H492" s="13" t="str">
        <f aca="false">IF(J492&lt;&gt;1,"",IF(I492="SBJ","CB","?"))</f>
        <v/>
      </c>
      <c r="I492" s="14" t="str">
        <f aca="false">IF(OR(E492="",E492="!!!",F492="NEW"),"",INDEX(B$2:B491,-1+SUMPRODUCT(MAX(ROW(E$2:E491)*(E492=E$2:E491)))))</f>
        <v>SBJ_2</v>
      </c>
      <c r="J492" s="15" t="n">
        <f aca="true">IF(OR(E492="",E492="!!!",F492="NEW"),"",COUNTBLANK(OFFSET(A$1,,,SUMPRODUCT(MAX(ROW(E$2:E492)*(E492=E$2:E492)))))-COUNTBLANK(OFFSET(A$1,,,SUMPRODUCT(MAX(ROW(E$1:E491)*(E492=E$1:E491))))))</f>
        <v>2</v>
      </c>
      <c r="K492" s="15" t="n">
        <f aca="false">IF(OR(E492="",E492="!!!",F492="NEW"),"",INDEX(J$1:J491,SUMPRODUCT(MAX(ROW(E$1:E491)*(E492=E$1:E491)))))</f>
        <v>1</v>
      </c>
      <c r="L492" s="16"/>
    </row>
    <row r="493" customFormat="false" ht="12.75" hidden="false" customHeight="false" outlineLevel="0" collapsed="false">
      <c r="A493" s="9" t="s">
        <v>296</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42</v>
      </c>
      <c r="B494" s="0" t="s">
        <v>66</v>
      </c>
      <c r="C494" s="0" t="s">
        <v>16</v>
      </c>
      <c r="D494" s="0" t="s">
        <v>17</v>
      </c>
      <c r="E494" s="10" t="s">
        <v>18</v>
      </c>
      <c r="F494" s="11" t="str">
        <f aca="false">IF(OR(E494="",E494="!!!"),"",IF(NOT(ISNA(VLOOKUP(E494,E$1:E493,1,FALSE()))),"OLD",IF(AND(E494&lt;&gt;"",E494&lt;&gt;"!!!"),"NEW","")))</f>
        <v>OLD</v>
      </c>
      <c r="G494" s="12" t="s">
        <v>63</v>
      </c>
      <c r="H494" s="13"/>
      <c r="I494" s="14" t="str">
        <f aca="false">IF(OR(E494="",E494="!!!",F494="NEW"),"",INDEX(B$2:B493,-1+SUMPRODUCT(MAX(ROW(E$2:E493)*(E494=E$2:E493)))))</f>
        <v>SBJ_2</v>
      </c>
      <c r="J494" s="15" t="n">
        <f aca="true">IF(OR(E494="",E494="!!!",F494="NEW"),"",COUNTBLANK(OFFSET(A$1,,,SUMPRODUCT(MAX(ROW(E$2:E494)*(E494=E$2:E494)))))-COUNTBLANK(OFFSET(A$1,,,SUMPRODUCT(MAX(ROW(E$1:E493)*(E494=E$1:E493))))))</f>
        <v>1</v>
      </c>
      <c r="K494" s="15" t="n">
        <f aca="false">IF(OR(E494="",E494="!!!",F494="NEW"),"",INDEX(J$1:J493,SUMPRODUCT(MAX(ROW(E$1:E493)*(E494=E$1:E493)))))</f>
        <v>0</v>
      </c>
      <c r="L494" s="16"/>
    </row>
    <row r="495" customFormat="false" ht="12.75" hidden="false" customHeight="false" outlineLevel="0" collapsed="false">
      <c r="A495" s="9" t="s">
        <v>27</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32</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256</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42</v>
      </c>
      <c r="B498" s="0" t="s">
        <v>50</v>
      </c>
      <c r="C498" s="0" t="s">
        <v>16</v>
      </c>
      <c r="D498" s="0" t="s">
        <v>17</v>
      </c>
      <c r="E498" s="10" t="s">
        <v>18</v>
      </c>
      <c r="F498" s="11" t="str">
        <f aca="false">IF(OR(E498="",E498="!!!"),"",IF(NOT(ISNA(VLOOKUP(E498,E$1:E497,1,FALSE()))),"OLD",IF(AND(E498&lt;&gt;"",E498&lt;&gt;"!!!"),"NEW","")))</f>
        <v>OLD</v>
      </c>
      <c r="G498" s="12" t="s">
        <v>44</v>
      </c>
      <c r="H498" s="13" t="str">
        <f aca="false">IF(J498&lt;&gt;1,"",IF(I498="SBJ","CB","?"))</f>
        <v/>
      </c>
      <c r="I498" s="14" t="str">
        <f aca="false">IF(OR(E498="",E498="!!!",F498="NEW"),"",INDEX(B$2:B497,-1+SUMPRODUCT(MAX(ROW(E$2:E497)*(E498=E$2:E497)))))</f>
        <v>OBJ</v>
      </c>
      <c r="J498" s="15" t="n">
        <f aca="true">IF(OR(E498="",E498="!!!",F498="NEW"),"",COUNTBLANK(OFFSET(A$1,,,SUMPRODUCT(MAX(ROW(E$2:E498)*(E498=E$2:E498)))))-COUNTBLANK(OFFSET(A$1,,,SUMPRODUCT(MAX(ROW(E$1:E497)*(E498=E$1:E497))))))</f>
        <v>0</v>
      </c>
      <c r="K498" s="15" t="n">
        <f aca="false">IF(OR(E498="",E498="!!!",F498="NEW"),"",INDEX(J$1:J497,SUMPRODUCT(MAX(ROW(E$1:E497)*(E498=E$1:E497)))))</f>
        <v>1</v>
      </c>
      <c r="L498" s="16"/>
    </row>
    <row r="499" customFormat="false" ht="12.75" hidden="false" customHeight="false" outlineLevel="0" collapsed="false">
      <c r="A499" s="9" t="s">
        <v>297</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21</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292</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298</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187</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299</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300</v>
      </c>
      <c r="B505" s="0" t="s">
        <v>37</v>
      </c>
      <c r="C505" s="0" t="s">
        <v>173</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52</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22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145</v>
      </c>
      <c r="B508" s="0" t="s">
        <v>128</v>
      </c>
      <c r="C508" s="0" t="s">
        <v>107</v>
      </c>
      <c r="D508" s="0" t="s">
        <v>17</v>
      </c>
      <c r="E508" s="10" t="s">
        <v>53</v>
      </c>
      <c r="F508" s="11" t="str">
        <f aca="false">IF(OR(E508="",E508="!!!"),"",IF(NOT(ISNA(VLOOKUP(E508,E$1:E507,1,FALSE()))),"OLD",IF(AND(E508&lt;&gt;"",E508&lt;&gt;"!!!"),"NEW","")))</f>
        <v>OLD</v>
      </c>
      <c r="G508" s="12" t="s">
        <v>63</v>
      </c>
      <c r="H508" s="13" t="s">
        <v>7</v>
      </c>
      <c r="I508" s="14" t="str">
        <f aca="false">IF(OR(E508="",E508="!!!",F508="NEW"),"",INDEX(B$2:B507,-1+SUMPRODUCT(MAX(ROW(E$2:E507)*(E508=E$2:E507)))))</f>
        <v>other_2</v>
      </c>
      <c r="J508" s="15" t="n">
        <f aca="true">IF(OR(E508="",E508="!!!",F508="NEW"),"",COUNTBLANK(OFFSET(A$1,,,SUMPRODUCT(MAX(ROW(E$2:E508)*(E508=E$2:E508)))))-COUNTBLANK(OFFSET(A$1,,,SUMPRODUCT(MAX(ROW(E$1:E507)*(E508=E$1:E507))))))</f>
        <v>1</v>
      </c>
      <c r="K508" s="15" t="n">
        <f aca="false">IF(OR(E508="",E508="!!!",F508="NEW"),"",INDEX(J$1:J507,SUMPRODUCT(MAX(ROW(E$1:E507)*(E508=E$1:E507)))))</f>
        <v>4</v>
      </c>
      <c r="L508" s="16"/>
    </row>
    <row r="509" customFormat="false" ht="12.75" hidden="false" customHeight="false" outlineLevel="0" collapsed="false">
      <c r="A509" s="9" t="s">
        <v>35</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53</v>
      </c>
      <c r="B510" s="0" t="s">
        <v>248</v>
      </c>
      <c r="C510" s="0" t="s">
        <v>40</v>
      </c>
      <c r="D510" s="0" t="s">
        <v>17</v>
      </c>
      <c r="E510" s="10" t="s">
        <v>53</v>
      </c>
      <c r="F510" s="11" t="str">
        <f aca="false">IF(OR(E510="",E510="!!!"),"",IF(NOT(ISNA(VLOOKUP(E510,E$1:E509,1,FALSE()))),"OLD",IF(AND(E510&lt;&gt;"",E510&lt;&gt;"!!!"),"NEW","")))</f>
        <v>OLD</v>
      </c>
      <c r="G510" s="12" t="s">
        <v>63</v>
      </c>
      <c r="H510" s="13" t="str">
        <f aca="false">IF(J510&lt;&gt;1,"",IF(I510="SBJ","CB","?"))</f>
        <v/>
      </c>
      <c r="I510" s="14" t="str">
        <f aca="false">IF(OR(E510="",E510="!!!",F510="NEW"),"",INDEX(B$2:B509,-1+SUMPRODUCT(MAX(ROW(E$2:E509)*(E510=E$2:E509)))))</f>
        <v>other_4</v>
      </c>
      <c r="J510" s="15" t="n">
        <f aca="true">IF(OR(E510="",E510="!!!",F510="NEW"),"",COUNTBLANK(OFFSET(A$1,,,SUMPRODUCT(MAX(ROW(E$2:E510)*(E510=E$2:E510)))))-COUNTBLANK(OFFSET(A$1,,,SUMPRODUCT(MAX(ROW(E$1:E509)*(E510=E$1:E509))))))</f>
        <v>0</v>
      </c>
      <c r="K510" s="15" t="n">
        <f aca="false">IF(OR(E510="",E510="!!!",F510="NEW"),"",INDEX(J$1:J509,SUMPRODUCT(MAX(ROW(E$1:E509)*(E510=E$1:E509)))))</f>
        <v>1</v>
      </c>
      <c r="L510" s="16"/>
    </row>
    <row r="511" customFormat="false" ht="12.75" hidden="false" customHeight="false" outlineLevel="0" collapsed="false">
      <c r="A511" s="9" t="s">
        <v>60</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129</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9" t="s">
        <v>301</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82</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9" t="s">
        <v>153</v>
      </c>
      <c r="B516" s="0" t="s">
        <v>29</v>
      </c>
      <c r="C516" s="0" t="s">
        <v>40</v>
      </c>
      <c r="D516" s="0" t="s">
        <v>17</v>
      </c>
      <c r="E516" s="10" t="s">
        <v>153</v>
      </c>
      <c r="F516" s="11" t="str">
        <f aca="false">IF(OR(E516="",E516="!!!"),"",IF(NOT(ISNA(VLOOKUP(E516,E$1:E515,1,FALSE()))),"OLD",IF(AND(E516&lt;&gt;"",E516&lt;&gt;"!!!"),"NEW","")))</f>
        <v>OLD</v>
      </c>
      <c r="G516" s="12" t="s">
        <v>19</v>
      </c>
      <c r="H516" s="13" t="str">
        <f aca="false">IF(J516&lt;&gt;1,"",IF(I516="SBJ","CB","?"))</f>
        <v/>
      </c>
      <c r="I516" s="14" t="str">
        <f aca="false">IF(OR(E516="",E516="!!!",F516="NEW"),"",INDEX(B$2:B515,-1+SUMPRODUCT(MAX(ROW(E$2:E515)*(E516=E$2:E515)))))</f>
        <v>other_3</v>
      </c>
      <c r="J516" s="15" t="n">
        <f aca="true">IF(OR(E516="",E516="!!!",F516="NEW"),"",COUNTBLANK(OFFSET(A$1,,,SUMPRODUCT(MAX(ROW(E$2:E516)*(E516=E$2:E516)))))-COUNTBLANK(OFFSET(A$1,,,SUMPRODUCT(MAX(ROW(E$1:E515)*(E516=E$1:E515))))))</f>
        <v>7</v>
      </c>
      <c r="K516" s="15" t="n">
        <f aca="false">IF(OR(E516="",E516="!!!",F516="NEW"),"",INDEX(J$1:J515,SUMPRODUCT(MAX(ROW(E$1:E515)*(E516=E$1:E515)))))</f>
        <v>3</v>
      </c>
      <c r="L516" s="16"/>
    </row>
    <row r="517" customFormat="false" ht="12.75" hidden="false" customHeight="false" outlineLevel="0" collapsed="false">
      <c r="A517" s="9" t="s">
        <v>32</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124</v>
      </c>
      <c r="B518" s="0" t="s">
        <v>24</v>
      </c>
      <c r="C518" s="0" t="s">
        <v>40</v>
      </c>
      <c r="D518" s="0" t="s">
        <v>17</v>
      </c>
      <c r="E518" s="10" t="s">
        <v>124</v>
      </c>
      <c r="F518" s="11" t="str">
        <f aca="false">IF(OR(E518="",E518="!!!"),"",IF(NOT(ISNA(VLOOKUP(E518,E$1:E517,1,FALSE()))),"OLD",IF(AND(E518&lt;&gt;"",E518&lt;&gt;"!!!"),"NEW","")))</f>
        <v>OLD</v>
      </c>
      <c r="G518" s="12" t="s">
        <v>19</v>
      </c>
      <c r="H518" s="13" t="str">
        <f aca="false">IF(J518&lt;&gt;1,"",IF(I518="SBJ","CB","?"))</f>
        <v/>
      </c>
      <c r="I518" s="14" t="str">
        <f aca="false">IF(OR(E518="",E518="!!!",F518="NEW"),"",INDEX(B$2:B517,-1+SUMPRODUCT(MAX(ROW(E$2:E517)*(E518=E$2:E517)))))</f>
        <v>other_4</v>
      </c>
      <c r="J518" s="15" t="n">
        <f aca="true">IF(OR(E518="",E518="!!!",F518="NEW"),"",COUNTBLANK(OFFSET(A$1,,,SUMPRODUCT(MAX(ROW(E$2:E518)*(E518=E$2:E518)))))-COUNTBLANK(OFFSET(A$1,,,SUMPRODUCT(MAX(ROW(E$1:E517)*(E518=E$1:E517))))))</f>
        <v>7</v>
      </c>
      <c r="K518" s="15" t="n">
        <f aca="false">IF(OR(E518="",E518="!!!",F518="NEW"),"",INDEX(J$1:J517,SUMPRODUCT(MAX(ROW(E$1:E517)*(E518=E$1:E517)))))</f>
        <v>5</v>
      </c>
      <c r="L518" s="16"/>
    </row>
    <row r="519" customFormat="false" ht="12.75" hidden="false" customHeight="false" outlineLevel="0" collapsed="false">
      <c r="A519" s="9" t="s">
        <v>302</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42</v>
      </c>
      <c r="B520" s="0" t="s">
        <v>66</v>
      </c>
      <c r="C520" s="0" t="s">
        <v>16</v>
      </c>
      <c r="D520" s="0" t="s">
        <v>17</v>
      </c>
      <c r="E520" s="10" t="s">
        <v>132</v>
      </c>
      <c r="F520" s="11" t="str">
        <f aca="false">IF(OR(E520="",E520="!!!"),"",IF(NOT(ISNA(VLOOKUP(E520,E$1:E519,1,FALSE()))),"OLD",IF(AND(E520&lt;&gt;"",E520&lt;&gt;"!!!"),"NEW","")))</f>
        <v>OLD</v>
      </c>
      <c r="G520" s="12" t="s">
        <v>44</v>
      </c>
      <c r="H520" s="13" t="str">
        <f aca="false">IF(J520&lt;&gt;1,"",IF(I520="SBJ","CB","?"))</f>
        <v>CB</v>
      </c>
      <c r="I520" s="14" t="str">
        <f aca="false">IF(OR(E520="",E520="!!!",F520="NEW"),"",INDEX(B$2:B519,-1+SUMPRODUCT(MAX(ROW(E$2:E519)*(E520=E$2:E519)))))</f>
        <v>SBJ</v>
      </c>
      <c r="J520" s="15" t="n">
        <f aca="true">IF(OR(E520="",E520="!!!",F520="NEW"),"",COUNTBLANK(OFFSET(A$1,,,SUMPRODUCT(MAX(ROW(E$2:E520)*(E520=E$2:E520)))))-COUNTBLANK(OFFSET(A$1,,,SUMPRODUCT(MAX(ROW(E$1:E519)*(E520=E$1:E519))))))</f>
        <v>1</v>
      </c>
      <c r="K520" s="15" t="n">
        <f aca="false">IF(OR(E520="",E520="!!!",F520="NEW"),"",INDEX(J$1:J519,SUMPRODUCT(MAX(ROW(E$1:E519)*(E520=E$1:E519)))))</f>
        <v>2</v>
      </c>
      <c r="L520" s="16"/>
    </row>
    <row r="521" customFormat="false" ht="12.75" hidden="false" customHeight="false" outlineLevel="0" collapsed="false">
      <c r="A521" s="9" t="s">
        <v>27</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138</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303</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76</v>
      </c>
      <c r="B524" s="0" t="s">
        <v>15</v>
      </c>
      <c r="C524" s="0" t="s">
        <v>16</v>
      </c>
      <c r="D524" s="0" t="s">
        <v>17</v>
      </c>
      <c r="E524" s="10"/>
      <c r="F524" s="11" t="s">
        <v>77</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207</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304</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52</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22</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305</v>
      </c>
      <c r="B529" s="0" t="s">
        <v>24</v>
      </c>
      <c r="C529" s="0" t="s">
        <v>107</v>
      </c>
      <c r="D529" s="0" t="s">
        <v>17</v>
      </c>
      <c r="E529" s="10" t="s">
        <v>306</v>
      </c>
      <c r="F529" s="11" t="str">
        <f aca="false">IF(OR(E529="",E529="!!!"),"",IF(NOT(ISNA(VLOOKUP(E529,E$1:E528,1,FALSE()))),"OLD",IF(AND(E529&lt;&gt;"",E529&lt;&gt;"!!!"),"NEW","")))</f>
        <v>NEW</v>
      </c>
      <c r="G529" s="12" t="s">
        <v>31</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9" t="s">
        <v>35</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196</v>
      </c>
      <c r="B531" s="0" t="s">
        <v>37</v>
      </c>
      <c r="C531" s="0" t="s">
        <v>40</v>
      </c>
      <c r="D531" s="0" t="s">
        <v>17</v>
      </c>
      <c r="E531" s="10" t="s">
        <v>196</v>
      </c>
      <c r="F531" s="11" t="str">
        <f aca="false">IF(OR(E531="",E531="!!!"),"",IF(NOT(ISNA(VLOOKUP(E531,E$1:E530,1,FALSE()))),"OLD",IF(AND(E531&lt;&gt;"",E531&lt;&gt;"!!!"),"NEW","")))</f>
        <v>OLD</v>
      </c>
      <c r="G531" s="12" t="s">
        <v>19</v>
      </c>
      <c r="H531" s="13" t="str">
        <f aca="false">IF(J531&lt;&gt;1,"",IF(I531="SBJ","CB","?"))</f>
        <v/>
      </c>
      <c r="I531" s="14" t="str">
        <f aca="false">IF(OR(E531="",E531="!!!",F531="NEW"),"",INDEX(B$2:B530,-1+SUMPRODUCT(MAX(ROW(E$2:E530)*(E531=E$2:E530)))))</f>
        <v>SBJ_9</v>
      </c>
      <c r="J531" s="15" t="n">
        <f aca="true">IF(OR(E531="",E531="!!!",F531="NEW"),"",COUNTBLANK(OFFSET(A$1,,,SUMPRODUCT(MAX(ROW(E$2:E531)*(E531=E$2:E531)))))-COUNTBLANK(OFFSET(A$1,,,SUMPRODUCT(MAX(ROW(E$1:E530)*(E531=E$1:E530))))))</f>
        <v>10</v>
      </c>
      <c r="K531" s="15" t="str">
        <f aca="false">IF(OR(E531="",E531="!!!",F531="NEW"),"",INDEX(J$1:J530,SUMPRODUCT(MAX(ROW(E$1:E530)*(E531=E$1:E530)))))</f>
        <v/>
      </c>
      <c r="L531" s="16"/>
    </row>
    <row r="532" customFormat="false" ht="12.75" hidden="false" customHeight="false" outlineLevel="0" collapsed="false">
      <c r="A532" s="9" t="s">
        <v>21</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307</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21</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9" t="s">
        <v>147</v>
      </c>
      <c r="B535" s="0" t="s">
        <v>37</v>
      </c>
      <c r="C535" s="0" t="s">
        <v>16</v>
      </c>
      <c r="D535" s="0" t="s">
        <v>17</v>
      </c>
      <c r="E535" s="10" t="s">
        <v>132</v>
      </c>
      <c r="F535" s="11" t="str">
        <f aca="false">IF(OR(E535="",E535="!!!"),"",IF(NOT(ISNA(VLOOKUP(E535,E$1:E534,1,FALSE()))),"OLD",IF(AND(E535&lt;&gt;"",E535&lt;&gt;"!!!"),"NEW","")))</f>
        <v>OLD</v>
      </c>
      <c r="G535" s="12" t="s">
        <v>44</v>
      </c>
      <c r="H535" s="13" t="str">
        <f aca="false">IF(J535&lt;&gt;1,"",IF(I535="SBJ","CB","?"))</f>
        <v/>
      </c>
      <c r="I535" s="14" t="str">
        <f aca="false">IF(OR(E535="",E535="!!!",F535="NEW"),"",INDEX(B$2:B534,-1+SUMPRODUCT(MAX(ROW(E$2:E534)*(E535=E$2:E534)))))</f>
        <v>OBJ</v>
      </c>
      <c r="J535" s="15" t="n">
        <f aca="true">IF(OR(E535="",E535="!!!",F535="NEW"),"",COUNTBLANK(OFFSET(A$1,,,SUMPRODUCT(MAX(ROW(E$2:E535)*(E535=E$2:E535)))))-COUNTBLANK(OFFSET(A$1,,,SUMPRODUCT(MAX(ROW(E$1:E534)*(E535=E$1:E534))))))</f>
        <v>0</v>
      </c>
      <c r="K535" s="15" t="n">
        <f aca="false">IF(OR(E535="",E535="!!!",F535="NEW"),"",INDEX(J$1:J534,SUMPRODUCT(MAX(ROW(E$1:E534)*(E535=E$1:E534)))))</f>
        <v>1</v>
      </c>
      <c r="L535" s="16"/>
    </row>
    <row r="536" customFormat="false" ht="12.75" hidden="false" customHeight="false" outlineLevel="0" collapsed="false">
      <c r="A536" s="9" t="s">
        <v>308</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309</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21</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196</v>
      </c>
      <c r="B539" s="0" t="s">
        <v>37</v>
      </c>
      <c r="C539" s="0" t="s">
        <v>40</v>
      </c>
      <c r="D539" s="0" t="s">
        <v>17</v>
      </c>
      <c r="E539" s="10" t="s">
        <v>196</v>
      </c>
      <c r="F539" s="11" t="str">
        <f aca="false">IF(OR(E539="",E539="!!!"),"",IF(NOT(ISNA(VLOOKUP(E539,E$1:E538,1,FALSE()))),"OLD",IF(AND(E539&lt;&gt;"",E539&lt;&gt;"!!!"),"NEW","")))</f>
        <v>OLD</v>
      </c>
      <c r="G539" s="12" t="s">
        <v>44</v>
      </c>
      <c r="H539" s="13" t="str">
        <f aca="false">IF(J539&lt;&gt;1,"",IF(I539="SBJ","CB","?"))</f>
        <v/>
      </c>
      <c r="I539" s="14" t="str">
        <f aca="false">IF(OR(E539="",E539="!!!",F539="NEW"),"",INDEX(B$2:B538,-1+SUMPRODUCT(MAX(ROW(E$2:E538)*(E539=E$2:E538)))))</f>
        <v>other_3</v>
      </c>
      <c r="J539" s="15" t="n">
        <f aca="true">IF(OR(E539="",E539="!!!",F539="NEW"),"",COUNTBLANK(OFFSET(A$1,,,SUMPRODUCT(MAX(ROW(E$2:E539)*(E539=E$2:E539)))))-COUNTBLANK(OFFSET(A$1,,,SUMPRODUCT(MAX(ROW(E$1:E538)*(E539=E$1:E538))))))</f>
        <v>0</v>
      </c>
      <c r="K539" s="15" t="n">
        <f aca="false">IF(OR(E539="",E539="!!!",F539="NEW"),"",INDEX(J$1:J538,SUMPRODUCT(MAX(ROW(E$1:E538)*(E539=E$1:E538)))))</f>
        <v>10</v>
      </c>
      <c r="L539" s="16"/>
    </row>
    <row r="540" customFormat="false" ht="12.75" hidden="false" customHeight="false" outlineLevel="0" collapsed="false">
      <c r="A540" s="9" t="s">
        <v>27</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310</v>
      </c>
      <c r="B541" s="0" t="s">
        <v>24</v>
      </c>
      <c r="C541" s="0" t="s">
        <v>67</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9" t="s">
        <v>75</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311</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9" t="s">
        <v>27</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75</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162</v>
      </c>
      <c r="B546" s="0" t="s">
        <v>90</v>
      </c>
      <c r="C546" s="0" t="s">
        <v>16</v>
      </c>
      <c r="D546" s="0" t="s">
        <v>17</v>
      </c>
      <c r="E546" s="10" t="s">
        <v>18</v>
      </c>
      <c r="F546" s="11" t="str">
        <f aca="false">IF(OR(E546="",E546="!!!"),"",IF(NOT(ISNA(VLOOKUP(E546,E$1:E545,1,FALSE()))),"OLD",IF(AND(E546&lt;&gt;"",E546&lt;&gt;"!!!"),"NEW","")))</f>
        <v>OLD</v>
      </c>
      <c r="G546" s="12" t="s">
        <v>63</v>
      </c>
      <c r="H546" s="13"/>
      <c r="I546" s="14" t="str">
        <f aca="false">IF(OR(E546="",E546="!!!",F546="NEW"),"",INDEX(B$2:B545,-1+SUMPRODUCT(MAX(ROW(E$2:E545)*(E546=E$2:E545)))))</f>
        <v>OBJ_2</v>
      </c>
      <c r="J546" s="15" t="n">
        <f aca="true">IF(OR(E546="",E546="!!!",F546="NEW"),"",COUNTBLANK(OFFSET(A$1,,,SUMPRODUCT(MAX(ROW(E$2:E546)*(E546=E$2:E546)))))-COUNTBLANK(OFFSET(A$1,,,SUMPRODUCT(MAX(ROW(E$1:E545)*(E546=E$1:E545))))))</f>
        <v>1</v>
      </c>
      <c r="K546" s="15" t="n">
        <f aca="false">IF(OR(E546="",E546="!!!",F546="NEW"),"",INDEX(J$1:J545,SUMPRODUCT(MAX(ROW(E$1:E545)*(E546=E$1:E545)))))</f>
        <v>0</v>
      </c>
      <c r="L546" s="16"/>
    </row>
    <row r="547" customFormat="false" ht="12.75" hidden="false" customHeight="false" outlineLevel="0" collapsed="false">
      <c r="A547" s="9" t="s">
        <v>279</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280</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312</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313</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22</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314</v>
      </c>
      <c r="B552" s="0" t="s">
        <v>172</v>
      </c>
      <c r="C552" s="0" t="s">
        <v>25</v>
      </c>
      <c r="D552" s="0" t="s">
        <v>17</v>
      </c>
      <c r="E552" s="10" t="s">
        <v>91</v>
      </c>
      <c r="F552" s="11" t="str">
        <f aca="false">IF(OR(E552="",E552="!!!"),"",IF(NOT(ISNA(VLOOKUP(E552,E$1:E551,1,FALSE()))),"OLD",IF(AND(E552&lt;&gt;"",E552&lt;&gt;"!!!"),"NEW","")))</f>
        <v>OLD</v>
      </c>
      <c r="G552" s="12" t="s">
        <v>63</v>
      </c>
      <c r="H552" s="13" t="str">
        <f aca="false">IF(J552&lt;&gt;1,"",IF(I552="SBJ","CB","?"))</f>
        <v/>
      </c>
      <c r="I552" s="14" t="str">
        <f aca="false">IF(OR(E552="",E552="!!!",F552="NEW"),"",INDEX(B$2:B551,-1+SUMPRODUCT(MAX(ROW(E$2:E551)*(E552=E$2:E551)))))</f>
        <v>SBJ_2</v>
      </c>
      <c r="J552" s="15" t="n">
        <f aca="true">IF(OR(E552="",E552="!!!",F552="NEW"),"",COUNTBLANK(OFFSET(A$1,,,SUMPRODUCT(MAX(ROW(E$2:E552)*(E552=E$2:E552)))))-COUNTBLANK(OFFSET(A$1,,,SUMPRODUCT(MAX(ROW(E$1:E551)*(E552=E$1:E551))))))</f>
        <v>2</v>
      </c>
      <c r="K552" s="15" t="n">
        <f aca="false">IF(OR(E552="",E552="!!!",F552="NEW"),"",INDEX(J$1:J551,SUMPRODUCT(MAX(ROW(E$1:E551)*(E552=E$1:E551)))))</f>
        <v>3</v>
      </c>
      <c r="L552" s="16"/>
    </row>
    <row r="553" customFormat="false" ht="12.75" hidden="false" customHeight="false" outlineLevel="0" collapsed="false">
      <c r="A553" s="9" t="s">
        <v>210</v>
      </c>
      <c r="B553" s="0" t="s">
        <v>315</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162</v>
      </c>
      <c r="B554" s="0" t="s">
        <v>316</v>
      </c>
      <c r="C554" s="0" t="s">
        <v>16</v>
      </c>
      <c r="D554" s="0" t="s">
        <v>17</v>
      </c>
      <c r="E554" s="10" t="s">
        <v>18</v>
      </c>
      <c r="F554" s="11" t="str">
        <f aca="false">IF(OR(E554="",E554="!!!"),"",IF(NOT(ISNA(VLOOKUP(E554,E$1:E553,1,FALSE()))),"OLD",IF(AND(E554&lt;&gt;"",E554&lt;&gt;"!!!"),"NEW","")))</f>
        <v>OLD</v>
      </c>
      <c r="G554" s="12" t="s">
        <v>44</v>
      </c>
      <c r="H554" s="13" t="str">
        <f aca="false">IF(J554&lt;&gt;1,"",IF(I554="SBJ","CB","?"))</f>
        <v/>
      </c>
      <c r="I554" s="14" t="str">
        <f aca="false">IF(OR(E554="",E554="!!!",F554="NEW"),"",INDEX(B$2:B553,-1+SUMPRODUCT(MAX(ROW(E$2:E553)*(E554=E$2:E553)))))</f>
        <v>SBJ_4</v>
      </c>
      <c r="J554" s="15" t="n">
        <f aca="true">IF(OR(E554="",E554="!!!",F554="NEW"),"",COUNTBLANK(OFFSET(A$1,,,SUMPRODUCT(MAX(ROW(E$2:E554)*(E554=E$2:E554)))))-COUNTBLANK(OFFSET(A$1,,,SUMPRODUCT(MAX(ROW(E$1:E553)*(E554=E$1:E553))))))</f>
        <v>0</v>
      </c>
      <c r="K554" s="15" t="n">
        <f aca="false">IF(OR(E554="",E554="!!!",F554="NEW"),"",INDEX(J$1:J553,SUMPRODUCT(MAX(ROW(E$1:E553)*(E554=E$1:E553)))))</f>
        <v>1</v>
      </c>
      <c r="L554" s="16"/>
    </row>
    <row r="555" customFormat="false" ht="12.75" hidden="false" customHeight="false" outlineLevel="0" collapsed="false">
      <c r="A555" s="9" t="s">
        <v>236</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32</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88</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9" t="s">
        <v>60</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138</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317</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131</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14</v>
      </c>
      <c r="B563" s="0" t="s">
        <v>15</v>
      </c>
      <c r="C563" s="0" t="s">
        <v>16</v>
      </c>
      <c r="D563" s="0" t="s">
        <v>17</v>
      </c>
      <c r="E563" s="10" t="s">
        <v>132</v>
      </c>
      <c r="F563" s="11" t="str">
        <f aca="false">IF(OR(E563="",E563="!!!"),"",IF(NOT(ISNA(VLOOKUP(E563,E$1:E562,1,FALSE()))),"OLD",IF(AND(E563&lt;&gt;"",E563&lt;&gt;"!!!"),"NEW","")))</f>
        <v>OLD</v>
      </c>
      <c r="G563" s="12" t="s">
        <v>63</v>
      </c>
      <c r="H563" s="13"/>
      <c r="I563" s="14" t="str">
        <f aca="false">IF(OR(E563="",E563="!!!",F563="NEW"),"",INDEX(B$2:B562,-1+SUMPRODUCT(MAX(ROW(E$2:E562)*(E563=E$2:E562)))))</f>
        <v>other_3</v>
      </c>
      <c r="J563" s="15" t="n">
        <f aca="true">IF(OR(E563="",E563="!!!",F563="NEW"),"",COUNTBLANK(OFFSET(A$1,,,SUMPRODUCT(MAX(ROW(E$2:E563)*(E563=E$2:E563)))))-COUNTBLANK(OFFSET(A$1,,,SUMPRODUCT(MAX(ROW(E$1:E562)*(E563=E$1:E562))))))</f>
        <v>1</v>
      </c>
      <c r="K563" s="15" t="n">
        <f aca="false">IF(OR(E563="",E563="!!!",F563="NEW"),"",INDEX(J$1:J562,SUMPRODUCT(MAX(ROW(E$1:E562)*(E563=E$1:E562)))))</f>
        <v>0</v>
      </c>
      <c r="L563" s="16"/>
    </row>
    <row r="564" customFormat="false" ht="12.75" hidden="false" customHeight="false" outlineLevel="0" collapsed="false">
      <c r="A564" s="9" t="s">
        <v>133</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287</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318</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42</v>
      </c>
      <c r="B567" s="0" t="s">
        <v>50</v>
      </c>
      <c r="C567" s="0" t="s">
        <v>16</v>
      </c>
      <c r="D567" s="0" t="s">
        <v>17</v>
      </c>
      <c r="E567" s="10" t="s">
        <v>18</v>
      </c>
      <c r="F567" s="11" t="str">
        <f aca="false">IF(OR(E567="",E567="!!!"),"",IF(NOT(ISNA(VLOOKUP(E567,E$1:E566,1,FALSE()))),"OLD",IF(AND(E567&lt;&gt;"",E567&lt;&gt;"!!!"),"NEW","")))</f>
        <v>OLD</v>
      </c>
      <c r="G567" s="12" t="s">
        <v>63</v>
      </c>
      <c r="H567" s="13" t="s">
        <v>7</v>
      </c>
      <c r="I567" s="14" t="str">
        <f aca="false">IF(OR(E567="",E567="!!!",F567="NEW"),"",INDEX(B$2:B566,-1+SUMPRODUCT(MAX(ROW(E$2:E566)*(E567=E$2:E566)))))</f>
        <v>SBJ_7</v>
      </c>
      <c r="J567" s="15" t="n">
        <f aca="true">IF(OR(E567="",E567="!!!",F567="NEW"),"",COUNTBLANK(OFFSET(A$1,,,SUMPRODUCT(MAX(ROW(E$2:E567)*(E567=E$2:E567)))))-COUNTBLANK(OFFSET(A$1,,,SUMPRODUCT(MAX(ROW(E$1:E566)*(E567=E$1:E566))))))</f>
        <v>1</v>
      </c>
      <c r="K567" s="15" t="n">
        <f aca="false">IF(OR(E567="",E567="!!!",F567="NEW"),"",INDEX(J$1:J566,SUMPRODUCT(MAX(ROW(E$1:E566)*(E567=E$1:E566)))))</f>
        <v>0</v>
      </c>
      <c r="L567" s="16"/>
    </row>
    <row r="568" customFormat="false" ht="12.75" hidden="false" customHeight="false" outlineLevel="0" collapsed="false">
      <c r="A568" s="9" t="s">
        <v>27</v>
      </c>
      <c r="E568" s="10" t="str">
        <f aca="false">IF(D568="?OLD","!!!","")</f>
        <v/>
      </c>
      <c r="F568" s="11" t="str">
        <f aca="false">IF(OR(E568="",E568="!!!"),"",IF(NOT(ISNA(VLOOKUP(E568,E$1:E567,1,FALSE()))),"OLD",IF(AND(E568&lt;&gt;"",E568&lt;&gt;"!!!"),"NEW","")))</f>
        <v/>
      </c>
      <c r="G568" s="12" t="str">
        <f aca="false">IF(OR(E568="",E568="!!!"),"",IF(OR(J568=0,AND(J568=1,K568=1),AND(J568=1,I568="SBJ"),AND(J568=1,I568=0)),"?IN_FOCUS",IF(J568&lt;=2,"?ACTIVATED",IF(J568&lt;&gt;"","?FAMILIAR",IF(F568="NEW",IF(ISNA(VLOOKUP(E568,#REF!,1,FALSE())),"?TYPE_IDENTIFIABLE","?REFERENTIAL"),"_")))))</f>
        <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75" hidden="false" customHeight="false" outlineLevel="0" collapsed="false">
      <c r="A569" s="9" t="s">
        <v>14</v>
      </c>
      <c r="B569" s="0" t="s">
        <v>29</v>
      </c>
      <c r="C569" s="0" t="s">
        <v>16</v>
      </c>
      <c r="D569" s="0" t="s">
        <v>17</v>
      </c>
      <c r="E569" s="10" t="s">
        <v>132</v>
      </c>
      <c r="F569" s="11" t="str">
        <f aca="false">IF(OR(E569="",E569="!!!"),"",IF(NOT(ISNA(VLOOKUP(E569,E$1:E568,1,FALSE()))),"OLD",IF(AND(E569&lt;&gt;"",E569&lt;&gt;"!!!"),"NEW","")))</f>
        <v>OLD</v>
      </c>
      <c r="G569" s="12" t="s">
        <v>44</v>
      </c>
      <c r="H569" s="13" t="str">
        <f aca="false">IF(J569&lt;&gt;1,"",IF(I569="SBJ","CB","?"))</f>
        <v/>
      </c>
      <c r="I569" s="14" t="str">
        <f aca="false">IF(OR(E569="",E569="!!!",F569="NEW"),"",INDEX(B$2:B568,-1+SUMPRODUCT(MAX(ROW(E$2:E568)*(E569=E$2:E568)))))</f>
        <v>SBJ_2</v>
      </c>
      <c r="J569" s="15" t="n">
        <f aca="true">IF(OR(E569="",E569="!!!",F569="NEW"),"",COUNTBLANK(OFFSET(A$1,,,SUMPRODUCT(MAX(ROW(E$2:E569)*(E569=E$2:E569)))))-COUNTBLANK(OFFSET(A$1,,,SUMPRODUCT(MAX(ROW(E$1:E568)*(E569=E$1:E568))))))</f>
        <v>0</v>
      </c>
      <c r="K569" s="15" t="n">
        <f aca="false">IF(OR(E569="",E569="!!!",F569="NEW"),"",INDEX(J$1:J568,SUMPRODUCT(MAX(ROW(E$1:E568)*(E569=E$1:E568)))))</f>
        <v>1</v>
      </c>
      <c r="L569" s="16"/>
    </row>
    <row r="570" customFormat="false" ht="12.75" hidden="false" customHeight="false" outlineLevel="0" collapsed="false">
      <c r="A570" s="9" t="s">
        <v>289</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42</v>
      </c>
      <c r="B571" s="0" t="s">
        <v>66</v>
      </c>
      <c r="C571" s="0" t="s">
        <v>16</v>
      </c>
      <c r="D571" s="0" t="s">
        <v>17</v>
      </c>
      <c r="E571" s="10" t="s">
        <v>18</v>
      </c>
      <c r="F571" s="11" t="str">
        <f aca="false">IF(OR(E571="",E571="!!!"),"",IF(NOT(ISNA(VLOOKUP(E571,E$1:E570,1,FALSE()))),"OLD",IF(AND(E571&lt;&gt;"",E571&lt;&gt;"!!!"),"NEW","")))</f>
        <v>OLD</v>
      </c>
      <c r="G571" s="12" t="s">
        <v>44</v>
      </c>
      <c r="H571" s="13" t="str">
        <f aca="false">IF(J571&lt;&gt;1,"",IF(I571="SBJ","CB","?"))</f>
        <v/>
      </c>
      <c r="I571" s="14" t="str">
        <f aca="false">IF(OR(E571="",E571="!!!",F571="NEW"),"",INDEX(B$2:B570,-1+SUMPRODUCT(MAX(ROW(E$2:E570)*(E571=E$2:E570)))))</f>
        <v>OBJ_2</v>
      </c>
      <c r="J571" s="15" t="n">
        <f aca="true">IF(OR(E571="",E571="!!!",F571="NEW"),"",COUNTBLANK(OFFSET(A$1,,,SUMPRODUCT(MAX(ROW(E$2:E571)*(E571=E$2:E571)))))-COUNTBLANK(OFFSET(A$1,,,SUMPRODUCT(MAX(ROW(E$1:E570)*(E571=E$1:E570))))))</f>
        <v>0</v>
      </c>
      <c r="K571" s="15" t="n">
        <f aca="false">IF(OR(E571="",E571="!!!",F571="NEW"),"",INDEX(J$1:J570,SUMPRODUCT(MAX(ROW(E$1:E570)*(E571=E$1:E570)))))</f>
        <v>1</v>
      </c>
      <c r="L571" s="16"/>
    </row>
    <row r="572" customFormat="false" ht="12.75" hidden="false" customHeight="false" outlineLevel="0" collapsed="false">
      <c r="A572" s="9" t="s">
        <v>257</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27</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319</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286</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320</v>
      </c>
      <c r="B576" s="0" t="s">
        <v>56</v>
      </c>
      <c r="C576" s="0" t="s">
        <v>321</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75" hidden="false" customHeight="false" outlineLevel="0" collapsed="false">
      <c r="A577" s="9" t="s">
        <v>21</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322</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42</v>
      </c>
      <c r="B579" s="0" t="s">
        <v>172</v>
      </c>
      <c r="C579" s="0" t="s">
        <v>16</v>
      </c>
      <c r="D579" s="0" t="s">
        <v>17</v>
      </c>
      <c r="E579" s="10" t="s">
        <v>18</v>
      </c>
      <c r="F579" s="11" t="str">
        <f aca="false">IF(OR(E579="",E579="!!!"),"",IF(NOT(ISNA(VLOOKUP(E579,E$1:E578,1,FALSE()))),"OLD",IF(AND(E579&lt;&gt;"",E579&lt;&gt;"!!!"),"NEW","")))</f>
        <v>OLD</v>
      </c>
      <c r="G579" s="12" t="s">
        <v>44</v>
      </c>
      <c r="H579" s="13" t="str">
        <f aca="false">IF(J579&lt;&gt;1,"",IF(I579="SBJ","CB","?"))</f>
        <v/>
      </c>
      <c r="I579" s="14" t="str">
        <f aca="false">IF(OR(E579="",E579="!!!",F579="NEW"),"",INDEX(B$2:B578,-1+SUMPRODUCT(MAX(ROW(E$2:E578)*(E579=E$2:E578)))))</f>
        <v>OBJ</v>
      </c>
      <c r="J579" s="15" t="n">
        <f aca="true">IF(OR(E579="",E579="!!!",F579="NEW"),"",COUNTBLANK(OFFSET(A$1,,,SUMPRODUCT(MAX(ROW(E$2:E579)*(E579=E$2:E579)))))-COUNTBLANK(OFFSET(A$1,,,SUMPRODUCT(MAX(ROW(E$1:E578)*(E579=E$1:E578))))))</f>
        <v>0</v>
      </c>
      <c r="K579" s="15" t="n">
        <f aca="false">IF(OR(E579="",E579="!!!",F579="NEW"),"",INDEX(J$1:J578,SUMPRODUCT(MAX(ROW(E$1:E578)*(E579=E$1:E578)))))</f>
        <v>0</v>
      </c>
      <c r="L579" s="16"/>
    </row>
    <row r="580" customFormat="false" ht="12.75" hidden="false" customHeight="false" outlineLevel="0" collapsed="false">
      <c r="A580" s="9" t="s">
        <v>27</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9" t="s">
        <v>47</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75" hidden="false" customHeight="false" outlineLevel="0" collapsed="false">
      <c r="A582" s="9" t="s">
        <v>35</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22</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9" t="s">
        <v>23</v>
      </c>
      <c r="B584" s="0" t="s">
        <v>43</v>
      </c>
      <c r="C584" s="0" t="s">
        <v>25</v>
      </c>
      <c r="D584" s="0" t="s">
        <v>17</v>
      </c>
      <c r="E584" s="10" t="s">
        <v>26</v>
      </c>
      <c r="F584" s="11" t="str">
        <f aca="false">IF(OR(E584="",E584="!!!"),"",IF(NOT(ISNA(VLOOKUP(E584,E$1:E583,1,FALSE()))),"OLD",IF(AND(E584&lt;&gt;"",E584&lt;&gt;"!!!"),"NEW","")))</f>
        <v>OLD</v>
      </c>
      <c r="G584" s="12" t="s">
        <v>19</v>
      </c>
      <c r="H584" s="13" t="str">
        <f aca="false">IF(J584&lt;&gt;1,"",IF(I584="SBJ","CB","?"))</f>
        <v/>
      </c>
      <c r="I584" s="14" t="str">
        <f aca="false">IF(OR(E584="",E584="!!!",F584="NEW"),"",INDEX(B$2:B583,-1+SUMPRODUCT(MAX(ROW(E$2:E583)*(E584=E$2:E583)))))</f>
        <v>other</v>
      </c>
      <c r="J584" s="15" t="n">
        <f aca="true">IF(OR(E584="",E584="!!!",F584="NEW"),"",COUNTBLANK(OFFSET(A$1,,,SUMPRODUCT(MAX(ROW(E$2:E584)*(E584=E$2:E584)))))-COUNTBLANK(OFFSET(A$1,,,SUMPRODUCT(MAX(ROW(E$1:E583)*(E584=E$1:E583))))))</f>
        <v>10</v>
      </c>
      <c r="K584" s="15" t="n">
        <f aca="false">IF(OR(E584="",E584="!!!",F584="NEW"),"",INDEX(J$1:J583,SUMPRODUCT(MAX(ROW(E$1:E583)*(E584=E$1:E583)))))</f>
        <v>0</v>
      </c>
      <c r="L584" s="16"/>
    </row>
    <row r="585" customFormat="false" ht="12.75" hidden="false" customHeight="false" outlineLevel="0" collapsed="false">
      <c r="A585" s="9" t="s">
        <v>323</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75</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324</v>
      </c>
      <c r="B587" s="0" t="s">
        <v>43</v>
      </c>
      <c r="C587" s="0" t="s">
        <v>294</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325</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196</v>
      </c>
      <c r="B589" s="0" t="s">
        <v>37</v>
      </c>
      <c r="C589" s="0" t="s">
        <v>40</v>
      </c>
      <c r="D589" s="0" t="s">
        <v>17</v>
      </c>
      <c r="E589" s="10" t="s">
        <v>196</v>
      </c>
      <c r="F589" s="11" t="str">
        <f aca="false">IF(OR(E589="",E589="!!!"),"",IF(NOT(ISNA(VLOOKUP(E589,E$1:E588,1,FALSE()))),"OLD",IF(AND(E589&lt;&gt;"",E589&lt;&gt;"!!!"),"NEW","")))</f>
        <v>OLD</v>
      </c>
      <c r="G589" s="12" t="s">
        <v>63</v>
      </c>
      <c r="H589" s="13"/>
      <c r="I589" s="14" t="str">
        <f aca="false">IF(OR(E589="",E589="!!!",F589="NEW"),"",INDEX(B$2:B588,-1+SUMPRODUCT(MAX(ROW(E$2:E588)*(E589=E$2:E588)))))</f>
        <v>other_3</v>
      </c>
      <c r="J589" s="15" t="n">
        <f aca="true">IF(OR(E589="",E589="!!!",F589="NEW"),"",COUNTBLANK(OFFSET(A$1,,,SUMPRODUCT(MAX(ROW(E$2:E589)*(E589=E$2:E589)))))-COUNTBLANK(OFFSET(A$1,,,SUMPRODUCT(MAX(ROW(E$1:E588)*(E589=E$1:E588))))))</f>
        <v>1</v>
      </c>
      <c r="K589" s="15" t="n">
        <f aca="false">IF(OR(E589="",E589="!!!",F589="NEW"),"",INDEX(J$1:J588,SUMPRODUCT(MAX(ROW(E$1:E588)*(E589=E$1:E588)))))</f>
        <v>0</v>
      </c>
      <c r="L589" s="16"/>
    </row>
    <row r="590" customFormat="false" ht="12.75" hidden="false" customHeight="false" outlineLevel="0" collapsed="false">
      <c r="A590" s="9" t="s">
        <v>75</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103</v>
      </c>
      <c r="B591" s="0" t="s">
        <v>172</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210</v>
      </c>
      <c r="B592" s="0" t="s">
        <v>163</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78</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148</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60</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75" hidden="false" customHeight="false" outlineLevel="0" collapsed="false">
      <c r="A597" s="9" t="s">
        <v>326</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9" t="s">
        <v>327</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9" t="s">
        <v>22</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175</v>
      </c>
      <c r="B600" s="0" t="s">
        <v>29</v>
      </c>
      <c r="C600" s="0" t="s">
        <v>25</v>
      </c>
      <c r="D600" s="0" t="s">
        <v>17</v>
      </c>
      <c r="E600" s="10" t="s">
        <v>181</v>
      </c>
      <c r="F600" s="11" t="str">
        <f aca="false">IF(OR(E600="",E600="!!!"),"",IF(NOT(ISNA(VLOOKUP(E600,E$1:E599,1,FALSE()))),"OLD",IF(AND(E600&lt;&gt;"",E600&lt;&gt;"!!!"),"NEW","")))</f>
        <v>OLD</v>
      </c>
      <c r="G600" s="12" t="s">
        <v>19</v>
      </c>
      <c r="H600" s="13" t="str">
        <f aca="false">IF(J600&lt;&gt;1,"",IF(I600="SBJ","CB","?"))</f>
        <v/>
      </c>
      <c r="I600" s="14" t="str">
        <f aca="false">IF(OR(E600="",E600="!!!",F600="NEW"),"",INDEX(B$2:B599,-1+SUMPRODUCT(MAX(ROW(E$2:E599)*(E600=E$2:E599)))))</f>
        <v>OBJ_2</v>
      </c>
      <c r="J600" s="15" t="n">
        <f aca="true">IF(OR(E600="",E600="!!!",F600="NEW"),"",COUNTBLANK(OFFSET(A$1,,,SUMPRODUCT(MAX(ROW(E$2:E600)*(E600=E$2:E600)))))-COUNTBLANK(OFFSET(A$1,,,SUMPRODUCT(MAX(ROW(E$1:E599)*(E600=E$1:E599))))))</f>
        <v>7</v>
      </c>
      <c r="K600" s="15" t="n">
        <f aca="false">IF(OR(E600="",E600="!!!",F600="NEW"),"",INDEX(J$1:J599,SUMPRODUCT(MAX(ROW(E$1:E599)*(E600=E$1:E599)))))</f>
        <v>4</v>
      </c>
      <c r="L600" s="16"/>
    </row>
    <row r="601" customFormat="false" ht="12.75" hidden="false" customHeight="false" outlineLevel="0" collapsed="false">
      <c r="A601" s="9" t="s">
        <v>68</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192</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149</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273</v>
      </c>
      <c r="B604" s="0" t="s">
        <v>87</v>
      </c>
      <c r="C604" s="0" t="s">
        <v>180</v>
      </c>
      <c r="D604" s="0" t="s">
        <v>17</v>
      </c>
      <c r="E604" s="10" t="s">
        <v>282</v>
      </c>
      <c r="F604" s="11" t="str">
        <f aca="false">IF(OR(E604="",E604="!!!"),"",IF(NOT(ISNA(VLOOKUP(E604,E$1:E603,1,FALSE()))),"OLD",IF(AND(E604&lt;&gt;"",E604&lt;&gt;"!!!"),"NEW","")))</f>
        <v>OLD</v>
      </c>
      <c r="G604" s="12" t="s">
        <v>19</v>
      </c>
      <c r="H604" s="13" t="str">
        <f aca="false">IF(J604&lt;&gt;1,"",IF(I604="SBJ","CB","?"))</f>
        <v/>
      </c>
      <c r="I604" s="14" t="str">
        <f aca="false">IF(OR(E604="",E604="!!!",F604="NEW"),"",INDEX(B$2:B603,-1+SUMPRODUCT(MAX(ROW(E$2:E603)*(E604=E$2:E603)))))</f>
        <v>OBJ_2</v>
      </c>
      <c r="J604" s="15" t="n">
        <f aca="true">IF(OR(E604="",E604="!!!",F604="NEW"),"",COUNTBLANK(OFFSET(A$1,,,SUMPRODUCT(MAX(ROW(E$2:E604)*(E604=E$2:E604)))))-COUNTBLANK(OFFSET(A$1,,,SUMPRODUCT(MAX(ROW(E$1:E603)*(E604=E$1:E603))))))</f>
        <v>5</v>
      </c>
      <c r="K604" s="15" t="str">
        <f aca="false">IF(OR(E604="",E604="!!!",F604="NEW"),"",INDEX(J$1:J603,SUMPRODUCT(MAX(ROW(E$1:E603)*(E604=E$1:E603)))))</f>
        <v/>
      </c>
      <c r="L604" s="16"/>
    </row>
    <row r="605" customFormat="false" ht="12.75" hidden="false" customHeight="false" outlineLevel="0" collapsed="false">
      <c r="A605" s="9" t="s">
        <v>35</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328</v>
      </c>
      <c r="B606" s="0" t="s">
        <v>128</v>
      </c>
      <c r="C606" s="0" t="s">
        <v>67</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78</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329</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78</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330</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309</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331</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332</v>
      </c>
      <c r="B613" s="0" t="s">
        <v>43</v>
      </c>
      <c r="C613" s="0" t="s">
        <v>321</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9" t="s">
        <v>333</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60</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334</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335</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289</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9" t="s">
        <v>257</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9" t="s">
        <v>27</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14</v>
      </c>
      <c r="B622" s="0" t="s">
        <v>15</v>
      </c>
      <c r="C622" s="0" t="s">
        <v>16</v>
      </c>
      <c r="D622" s="0" t="s">
        <v>17</v>
      </c>
      <c r="E622" s="10" t="s">
        <v>18</v>
      </c>
      <c r="F622" s="11" t="str">
        <f aca="false">IF(OR(E622="",E622="!!!"),"",IF(NOT(ISNA(VLOOKUP(E622,E$1:E621,1,FALSE()))),"OLD",IF(AND(E622&lt;&gt;"",E622&lt;&gt;"!!!"),"NEW","")))</f>
        <v>OLD</v>
      </c>
      <c r="G622" s="12" t="s">
        <v>63</v>
      </c>
      <c r="H622" s="13" t="str">
        <f aca="false">IF(J622&lt;&gt;1,"",IF(I622="SBJ","CB","?"))</f>
        <v/>
      </c>
      <c r="I622" s="14" t="str">
        <f aca="false">IF(OR(E622="",E622="!!!",F622="NEW"),"",INDEX(B$2:B621,-1+SUMPRODUCT(MAX(ROW(E$2:E621)*(E622=E$2:E621)))))</f>
        <v>OBJ_5</v>
      </c>
      <c r="J622" s="15" t="n">
        <f aca="true">IF(OR(E622="",E622="!!!",F622="NEW"),"",COUNTBLANK(OFFSET(A$1,,,SUMPRODUCT(MAX(ROW(E$2:E622)*(E622=E$2:E622)))))-COUNTBLANK(OFFSET(A$1,,,SUMPRODUCT(MAX(ROW(E$1:E621)*(E622=E$1:E621))))))</f>
        <v>2</v>
      </c>
      <c r="K622" s="15" t="n">
        <f aca="false">IF(OR(E622="",E622="!!!",F622="NEW"),"",INDEX(J$1:J621,SUMPRODUCT(MAX(ROW(E$1:E621)*(E622=E$1:E621)))))</f>
        <v>0</v>
      </c>
      <c r="L622" s="16"/>
    </row>
    <row r="623" customFormat="false" ht="12.75" hidden="false" customHeight="false" outlineLevel="0" collapsed="false">
      <c r="A623" s="9" t="s">
        <v>41</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9" t="s">
        <v>21</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104</v>
      </c>
      <c r="B625" s="0" t="s">
        <v>37</v>
      </c>
      <c r="C625" s="0" t="s">
        <v>105</v>
      </c>
      <c r="D625" s="0" t="s">
        <v>17</v>
      </c>
      <c r="E625" s="10" t="s">
        <v>18</v>
      </c>
      <c r="F625" s="11" t="str">
        <f aca="false">IF(OR(E625="",E625="!!!"),"",IF(NOT(ISNA(VLOOKUP(E625,E$1:E624,1,FALSE()))),"OLD",IF(AND(E625&lt;&gt;"",E625&lt;&gt;"!!!"),"NEW","")))</f>
        <v>OLD</v>
      </c>
      <c r="G625" s="12" t="s">
        <v>44</v>
      </c>
      <c r="H625" s="13" t="str">
        <f aca="false">IF(J625&lt;&gt;1,"",IF(I625="SBJ","CB","?"))</f>
        <v/>
      </c>
      <c r="I625" s="14" t="str">
        <f aca="false">IF(OR(E625="",E625="!!!",F625="NEW"),"",INDEX(B$2:B624,-1+SUMPRODUCT(MAX(ROW(E$2:E624)*(E625=E$2:E624)))))</f>
        <v>SBJ_2</v>
      </c>
      <c r="J625" s="15" t="n">
        <f aca="true">IF(OR(E625="",E625="!!!",F625="NEW"),"",COUNTBLANK(OFFSET(A$1,,,SUMPRODUCT(MAX(ROW(E$2:E625)*(E625=E$2:E625)))))-COUNTBLANK(OFFSET(A$1,,,SUMPRODUCT(MAX(ROW(E$1:E624)*(E625=E$1:E624))))))</f>
        <v>0</v>
      </c>
      <c r="K625" s="15" t="n">
        <f aca="false">IF(OR(E625="",E625="!!!",F625="NEW"),"",INDEX(J$1:J624,SUMPRODUCT(MAX(ROW(E$1:E624)*(E625=E$1:E624)))))</f>
        <v>2</v>
      </c>
      <c r="L625" s="16"/>
    </row>
    <row r="626" customFormat="false" ht="12.75" hidden="false" customHeight="false" outlineLevel="0" collapsed="false">
      <c r="A626" s="9" t="s">
        <v>336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337</v>
      </c>
      <c r="B627" s="0" t="s">
        <v>24</v>
      </c>
      <c r="C627" s="0" t="s">
        <v>107</v>
      </c>
      <c r="D627" s="0" t="s">
        <v>17</v>
      </c>
      <c r="E627" s="10" t="s">
        <v>338</v>
      </c>
      <c r="F627" s="11" t="str">
        <f aca="false">IF(OR(E627="",E627="!!!"),"",IF(NOT(ISNA(VLOOKUP(E627,E$1:E626,1,FALSE()))),"OLD",IF(AND(E627&lt;&gt;"",E627&lt;&gt;"!!!"),"NEW","")))</f>
        <v>NEW</v>
      </c>
      <c r="G627" s="12" t="s">
        <v>19</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27</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32</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339</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187</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103</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9" t="s">
        <v>22</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340</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28</v>
      </c>
      <c r="B635" s="0" t="s">
        <v>24</v>
      </c>
      <c r="C635" s="0" t="s">
        <v>25</v>
      </c>
      <c r="D635" s="0" t="s">
        <v>17</v>
      </c>
      <c r="E635" s="10" t="s">
        <v>132</v>
      </c>
      <c r="F635" s="11" t="str">
        <f aca="false">IF(OR(E635="",E635="!!!"),"",IF(NOT(ISNA(VLOOKUP(E635,E$1:E634,1,FALSE()))),"OLD",IF(AND(E635&lt;&gt;"",E635&lt;&gt;"!!!"),"NEW","")))</f>
        <v>OLD</v>
      </c>
      <c r="G635" s="12" t="s">
        <v>63</v>
      </c>
      <c r="H635" s="13" t="str">
        <f aca="false">IF(J635&lt;&gt;1,"",IF(I635="SBJ","CB","?"))</f>
        <v/>
      </c>
      <c r="I635" s="14" t="str">
        <f aca="false">IF(OR(E635="",E635="!!!",F635="NEW"),"",INDEX(B$2:B634,-1+SUMPRODUCT(MAX(ROW(E$2:E634)*(E635=E$2:E634)))))</f>
        <v>SBJ</v>
      </c>
      <c r="J635" s="15" t="n">
        <f aca="true">IF(OR(E635="",E635="!!!",F635="NEW"),"",COUNTBLANK(OFFSET(A$1,,,SUMPRODUCT(MAX(ROW(E$2:E635)*(E635=E$2:E635)))))-COUNTBLANK(OFFSET(A$1,,,SUMPRODUCT(MAX(ROW(E$1:E634)*(E635=E$1:E634))))))</f>
        <v>2</v>
      </c>
      <c r="K635" s="15" t="n">
        <f aca="false">IF(OR(E635="",E635="!!!",F635="NEW"),"",INDEX(J$1:J634,SUMPRODUCT(MAX(ROW(E$1:E634)*(E635=E$1:E634)))))</f>
        <v>0</v>
      </c>
      <c r="L635" s="16"/>
    </row>
    <row r="636" customFormat="false" ht="12.75" hidden="false" customHeight="false" outlineLevel="0" collapsed="false">
      <c r="A636" s="9" t="s">
        <v>32</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22</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109</v>
      </c>
      <c r="B638" s="0" t="s">
        <v>90</v>
      </c>
      <c r="C638" s="0" t="s">
        <v>25</v>
      </c>
      <c r="D638" s="0" t="s">
        <v>17</v>
      </c>
      <c r="E638" s="10" t="s">
        <v>132</v>
      </c>
      <c r="F638" s="11" t="str">
        <f aca="false">IF(OR(E638="",E638="!!!"),"",IF(NOT(ISNA(VLOOKUP(E638,E$1:E637,1,FALSE()))),"OLD",IF(AND(E638&lt;&gt;"",E638&lt;&gt;"!!!"),"NEW","")))</f>
        <v>OLD</v>
      </c>
      <c r="G638" s="12" t="s">
        <v>44</v>
      </c>
      <c r="H638" s="13" t="str">
        <f aca="false">IF(J638&lt;&gt;1,"",IF(I638="SBJ","CB","?"))</f>
        <v/>
      </c>
      <c r="I638" s="14" t="str">
        <f aca="false">IF(OR(E638="",E638="!!!",F638="NEW"),"",INDEX(B$2:B637,-1+SUMPRODUCT(MAX(ROW(E$2:E637)*(E638=E$2:E637)))))</f>
        <v>other_2</v>
      </c>
      <c r="J638" s="15" t="n">
        <f aca="true">IF(OR(E638="",E638="!!!",F638="NEW"),"",COUNTBLANK(OFFSET(A$1,,,SUMPRODUCT(MAX(ROW(E$2:E638)*(E638=E$2:E638)))))-COUNTBLANK(OFFSET(A$1,,,SUMPRODUCT(MAX(ROW(E$1:E637)*(E638=E$1:E637))))))</f>
        <v>0</v>
      </c>
      <c r="K638" s="15" t="n">
        <f aca="false">IF(OR(E638="",E638="!!!",F638="NEW"),"",INDEX(J$1:J637,SUMPRODUCT(MAX(ROW(E$1:E637)*(E638=E$1:E637)))))</f>
        <v>2</v>
      </c>
      <c r="L638" s="16"/>
    </row>
    <row r="639" customFormat="false" ht="12.75" hidden="false" customHeight="false" outlineLevel="0" collapsed="false">
      <c r="A639" s="9" t="s">
        <v>133</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158</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21</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42</v>
      </c>
      <c r="B642" s="0" t="s">
        <v>128</v>
      </c>
      <c r="C642" s="0" t="s">
        <v>16</v>
      </c>
      <c r="D642" s="0" t="s">
        <v>17</v>
      </c>
      <c r="E642" s="10" t="s">
        <v>18</v>
      </c>
      <c r="F642" s="11" t="str">
        <f aca="false">IF(OR(E642="",E642="!!!"),"",IF(NOT(ISNA(VLOOKUP(E642,E$1:E641,1,FALSE()))),"OLD",IF(AND(E642&lt;&gt;"",E642&lt;&gt;"!!!"),"NEW","")))</f>
        <v>OLD</v>
      </c>
      <c r="G642" s="12" t="s">
        <v>44</v>
      </c>
      <c r="H642" s="13" t="str">
        <f aca="false">IF(J642&lt;&gt;1,"",IF(I642="SBJ","CB","?"))</f>
        <v/>
      </c>
      <c r="I642" s="14" t="str">
        <f aca="false">IF(OR(E642="",E642="!!!",F642="NEW"),"",INDEX(B$2:B641,-1+SUMPRODUCT(MAX(ROW(E$2:E641)*(E642=E$2:E641)))))</f>
        <v>other_3</v>
      </c>
      <c r="J642" s="15" t="n">
        <f aca="true">IF(OR(E642="",E642="!!!",F642="NEW"),"",COUNTBLANK(OFFSET(A$1,,,SUMPRODUCT(MAX(ROW(E$2:E642)*(E642=E$2:E642)))))-COUNTBLANK(OFFSET(A$1,,,SUMPRODUCT(MAX(ROW(E$1:E641)*(E642=E$1:E641))))))</f>
        <v>0</v>
      </c>
      <c r="K642" s="15" t="n">
        <f aca="false">IF(OR(E642="",E642="!!!",F642="NEW"),"",INDEX(J$1:J641,SUMPRODUCT(MAX(ROW(E$1:E641)*(E642=E$1:E641)))))</f>
        <v>0</v>
      </c>
      <c r="L642" s="16"/>
    </row>
    <row r="643" customFormat="false" ht="12.75" hidden="false" customHeight="false" outlineLevel="0" collapsed="false">
      <c r="A643" s="9" t="s">
        <v>60</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129</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9" t="s">
        <v>341</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131</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9" t="s">
        <v>14</v>
      </c>
      <c r="B648" s="0" t="s">
        <v>87</v>
      </c>
      <c r="C648" s="0" t="s">
        <v>16</v>
      </c>
      <c r="D648" s="0" t="s">
        <v>17</v>
      </c>
      <c r="E648" s="10" t="s">
        <v>338</v>
      </c>
      <c r="F648" s="11" t="str">
        <f aca="false">IF(OR(E648="",E648="!!!"),"",IF(NOT(ISNA(VLOOKUP(E648,E$1:E647,1,FALSE()))),"OLD",IF(AND(E648&lt;&gt;"",E648&lt;&gt;"!!!"),"NEW","")))</f>
        <v>OLD</v>
      </c>
      <c r="G648" s="12" t="s">
        <v>63</v>
      </c>
      <c r="H648" s="13" t="s">
        <v>7</v>
      </c>
      <c r="I648" s="14" t="str">
        <f aca="false">IF(OR(E648="",E648="!!!",F648="NEW"),"",INDEX(B$2:B647,-1+SUMPRODUCT(MAX(ROW(E$2:E647)*(E648=E$2:E647)))))</f>
        <v>other_2</v>
      </c>
      <c r="J648" s="15" t="n">
        <f aca="true">IF(OR(E648="",E648="!!!",F648="NEW"),"",COUNTBLANK(OFFSET(A$1,,,SUMPRODUCT(MAX(ROW(E$2:E648)*(E648=E$2:E648)))))-COUNTBLANK(OFFSET(A$1,,,SUMPRODUCT(MAX(ROW(E$1:E647)*(E648=E$1:E647))))))</f>
        <v>1</v>
      </c>
      <c r="K648" s="15" t="str">
        <f aca="false">IF(OR(E648="",E648="!!!",F648="NEW"),"",INDEX(J$1:J647,SUMPRODUCT(MAX(ROW(E$1:E647)*(E648=E$1:E647)))))</f>
        <v/>
      </c>
      <c r="L648" s="16"/>
    </row>
    <row r="649" customFormat="false" ht="12.75" hidden="false" customHeight="false" outlineLevel="0" collapsed="false">
      <c r="A649" s="9" t="s">
        <v>88</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76</v>
      </c>
      <c r="B650" s="0" t="s">
        <v>56</v>
      </c>
      <c r="C650" s="0" t="s">
        <v>16</v>
      </c>
      <c r="D650" s="0" t="s">
        <v>17</v>
      </c>
      <c r="E650" s="10" t="s">
        <v>342</v>
      </c>
      <c r="F650" s="11" t="str">
        <f aca="false">IF(OR(E650="",E650="!!!"),"",IF(NOT(ISNA(VLOOKUP(E650,E$1:E649,1,FALSE()))),"OLD",IF(AND(E650&lt;&gt;"",E650&lt;&gt;"!!!"),"NEW","")))</f>
        <v>NEW</v>
      </c>
      <c r="G650" s="12" t="s">
        <v>31</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9" t="s">
        <v>27</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A652" s="9" t="s">
        <v>14</v>
      </c>
      <c r="B652" s="0" t="s">
        <v>15</v>
      </c>
      <c r="C652" s="0" t="s">
        <v>16</v>
      </c>
      <c r="D652" s="0" t="s">
        <v>17</v>
      </c>
      <c r="E652" s="10" t="s">
        <v>338</v>
      </c>
      <c r="F652" s="11" t="str">
        <f aca="false">IF(OR(E652="",E652="!!!"),"",IF(NOT(ISNA(VLOOKUP(E652,E$1:E651,1,FALSE()))),"OLD",IF(AND(E652&lt;&gt;"",E652&lt;&gt;"!!!"),"NEW","")))</f>
        <v>OLD</v>
      </c>
      <c r="G652" s="12" t="s">
        <v>44</v>
      </c>
      <c r="H652" s="13" t="str">
        <f aca="false">IF(J652&lt;&gt;1,"",IF(I652="SBJ","CB","?"))</f>
        <v/>
      </c>
      <c r="I652" s="14" t="str">
        <f aca="false">IF(OR(E652="",E652="!!!",F652="NEW"),"",INDEX(B$2:B651,-1+SUMPRODUCT(MAX(ROW(E$2:E651)*(E652=E$2:E651)))))</f>
        <v>SBJ_3</v>
      </c>
      <c r="J652" s="15" t="n">
        <f aca="true">IF(OR(E652="",E652="!!!",F652="NEW"),"",COUNTBLANK(OFFSET(A$1,,,SUMPRODUCT(MAX(ROW(E$2:E652)*(E652=E$2:E652)))))-COUNTBLANK(OFFSET(A$1,,,SUMPRODUCT(MAX(ROW(E$1:E651)*(E652=E$1:E651))))))</f>
        <v>0</v>
      </c>
      <c r="K652" s="15" t="n">
        <f aca="false">IF(OR(E652="",E652="!!!",F652="NEW"),"",INDEX(J$1:J651,SUMPRODUCT(MAX(ROW(E$1:E651)*(E652=E$1:E651)))))</f>
        <v>1</v>
      </c>
      <c r="L652" s="16"/>
    </row>
    <row r="653" customFormat="false" ht="12.75" hidden="false" customHeight="false" outlineLevel="0" collapsed="false">
      <c r="A653" s="9" t="s">
        <v>343</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9" t="s">
        <v>344</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104</v>
      </c>
      <c r="B655" s="0" t="s">
        <v>37</v>
      </c>
      <c r="C655" s="0" t="s">
        <v>105</v>
      </c>
      <c r="D655" s="0" t="s">
        <v>17</v>
      </c>
      <c r="E655" s="10" t="s">
        <v>338</v>
      </c>
      <c r="F655" s="11" t="str">
        <f aca="false">IF(OR(E655="",E655="!!!"),"",IF(NOT(ISNA(VLOOKUP(E655,E$1:E654,1,FALSE()))),"OLD",IF(AND(E655&lt;&gt;"",E655&lt;&gt;"!!!"),"NEW","")))</f>
        <v>OLD</v>
      </c>
      <c r="G655" s="12" t="s">
        <v>44</v>
      </c>
      <c r="H655" s="13" t="str">
        <f aca="false">IF(J655&lt;&gt;1,"",IF(I655="SBJ","CB","?"))</f>
        <v/>
      </c>
      <c r="I655" s="14" t="str">
        <f aca="false">IF(OR(E655="",E655="!!!",F655="NEW"),"",INDEX(B$2:B654,-1+SUMPRODUCT(MAX(ROW(E$2:E654)*(E655=E$2:E654)))))</f>
        <v>SBJ_2</v>
      </c>
      <c r="J655" s="15" t="n">
        <f aca="true">IF(OR(E655="",E655="!!!",F655="NEW"),"",COUNTBLANK(OFFSET(A$1,,,SUMPRODUCT(MAX(ROW(E$2:E655)*(E655=E$2:E655)))))-COUNTBLANK(OFFSET(A$1,,,SUMPRODUCT(MAX(ROW(E$1:E654)*(E655=E$1:E654))))))</f>
        <v>0</v>
      </c>
      <c r="K655" s="15" t="n">
        <f aca="false">IF(OR(E655="",E655="!!!",F655="NEW"),"",INDEX(J$1:J654,SUMPRODUCT(MAX(ROW(E$1:E654)*(E655=E$1:E654)))))</f>
        <v>0</v>
      </c>
      <c r="L655" s="16"/>
    </row>
    <row r="656" customFormat="false" ht="12.75" hidden="false" customHeight="false" outlineLevel="0" collapsed="false">
      <c r="A656" s="9" t="s">
        <v>345</v>
      </c>
      <c r="B656" s="0" t="s">
        <v>50</v>
      </c>
      <c r="C656" s="0" t="s">
        <v>107</v>
      </c>
      <c r="D656" s="0" t="s">
        <v>17</v>
      </c>
      <c r="E656" s="10" t="s">
        <v>346</v>
      </c>
      <c r="F656" s="11" t="str">
        <f aca="false">IF(OR(E656="",E656="!!!"),"",IF(NOT(ISNA(VLOOKUP(E656,E$1:E655,1,FALSE()))),"OLD",IF(AND(E656&lt;&gt;"",E656&lt;&gt;"!!!"),"NEW","")))</f>
        <v>NEW</v>
      </c>
      <c r="G656" s="12" t="s">
        <v>31</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9" t="s">
        <v>21</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9" t="s">
        <v>196</v>
      </c>
      <c r="B658" s="0" t="s">
        <v>24</v>
      </c>
      <c r="C658" s="0" t="s">
        <v>40</v>
      </c>
      <c r="D658" s="0" t="s">
        <v>17</v>
      </c>
      <c r="E658" s="10" t="s">
        <v>196</v>
      </c>
      <c r="F658" s="11" t="str">
        <f aca="false">IF(OR(E658="",E658="!!!"),"",IF(NOT(ISNA(VLOOKUP(E658,E$1:E657,1,FALSE()))),"OLD",IF(AND(E658&lt;&gt;"",E658&lt;&gt;"!!!"),"NEW","")))</f>
        <v>OLD</v>
      </c>
      <c r="G658" s="12" t="s">
        <v>19</v>
      </c>
      <c r="H658" s="13" t="str">
        <f aca="false">IF(J658&lt;&gt;1,"",IF(I658="SBJ","CB","?"))</f>
        <v/>
      </c>
      <c r="I658" s="14" t="str">
        <f aca="false">IF(OR(E658="",E658="!!!",F658="NEW"),"",INDEX(B$2:B657,-1+SUMPRODUCT(MAX(ROW(E$2:E657)*(E658=E$2:E657)))))</f>
        <v>other_3</v>
      </c>
      <c r="J658" s="15" t="n">
        <f aca="true">IF(OR(E658="",E658="!!!",F658="NEW"),"",COUNTBLANK(OFFSET(A$1,,,SUMPRODUCT(MAX(ROW(E$2:E658)*(E658=E$2:E658)))))-COUNTBLANK(OFFSET(A$1,,,SUMPRODUCT(MAX(ROW(E$1:E657)*(E658=E$1:E657))))))</f>
        <v>3</v>
      </c>
      <c r="K658" s="15" t="n">
        <f aca="false">IF(OR(E658="",E658="!!!",F658="NEW"),"",INDEX(J$1:J657,SUMPRODUCT(MAX(ROW(E$1:E657)*(E658=E$1:E657)))))</f>
        <v>1</v>
      </c>
      <c r="L658" s="16"/>
    </row>
    <row r="659" customFormat="false" ht="12.75" hidden="false" customHeight="false" outlineLevel="0" collapsed="false">
      <c r="A659" s="9" t="s">
        <v>122</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347</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9" t="s">
        <v>348</v>
      </c>
      <c r="B661" s="0" t="s">
        <v>24</v>
      </c>
      <c r="C661" s="0" t="s">
        <v>321</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27</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32</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158</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27</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9" t="s">
        <v>138</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349</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350</v>
      </c>
      <c r="B668" s="0" t="s">
        <v>43</v>
      </c>
      <c r="C668" s="0" t="s">
        <v>40</v>
      </c>
      <c r="D668" s="0" t="s">
        <v>17</v>
      </c>
      <c r="E668" s="10" t="s">
        <v>196</v>
      </c>
      <c r="F668" s="11" t="str">
        <f aca="false">IF(OR(E668="",E668="!!!"),"",IF(NOT(ISNA(VLOOKUP(E668,E$1:E667,1,FALSE()))),"OLD",IF(AND(E668&lt;&gt;"",E668&lt;&gt;"!!!"),"NEW","")))</f>
        <v>OLD</v>
      </c>
      <c r="G668" s="12" t="s">
        <v>44</v>
      </c>
      <c r="H668" s="13" t="str">
        <f aca="false">IF(J668&lt;&gt;1,"",IF(I668="SBJ","CB","?"))</f>
        <v/>
      </c>
      <c r="I668" s="14" t="str">
        <f aca="false">IF(OR(E668="",E668="!!!",F668="NEW"),"",INDEX(B$2:B667,-1+SUMPRODUCT(MAX(ROW(E$2:E667)*(E668=E$2:E667)))))</f>
        <v>other_2</v>
      </c>
      <c r="J668" s="15" t="n">
        <f aca="true">IF(OR(E668="",E668="!!!",F668="NEW"),"",COUNTBLANK(OFFSET(A$1,,,SUMPRODUCT(MAX(ROW(E$2:E668)*(E668=E$2:E668)))))-COUNTBLANK(OFFSET(A$1,,,SUMPRODUCT(MAX(ROW(E$1:E667)*(E668=E$1:E667))))))</f>
        <v>0</v>
      </c>
      <c r="K668" s="15" t="n">
        <f aca="false">IF(OR(E668="",E668="!!!",F668="NEW"),"",INDEX(J$1:J667,SUMPRODUCT(MAX(ROW(E$1:E667)*(E668=E$1:E667)))))</f>
        <v>3</v>
      </c>
      <c r="L668" s="16"/>
    </row>
    <row r="669" customFormat="false" ht="12.75" hidden="false" customHeight="false" outlineLevel="0" collapsed="false">
      <c r="A669" s="9" t="s">
        <v>27</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147</v>
      </c>
      <c r="B670" s="0" t="s">
        <v>87</v>
      </c>
      <c r="C670" s="0" t="s">
        <v>16</v>
      </c>
      <c r="D670" s="0" t="s">
        <v>17</v>
      </c>
      <c r="E670" s="10" t="s">
        <v>196</v>
      </c>
      <c r="F670" s="11" t="str">
        <f aca="false">IF(OR(E670="",E670="!!!"),"",IF(NOT(ISNA(VLOOKUP(E670,E$1:E669,1,FALSE()))),"OLD",IF(AND(E670&lt;&gt;"",E670&lt;&gt;"!!!"),"NEW","")))</f>
        <v>OLD</v>
      </c>
      <c r="G670" s="12" t="s">
        <v>44</v>
      </c>
      <c r="H670" s="13" t="str">
        <f aca="false">IF(J670&lt;&gt;1,"",IF(I670="SBJ","CB","?"))</f>
        <v/>
      </c>
      <c r="I670" s="14" t="str">
        <f aca="false">IF(OR(E670="",E670="!!!",F670="NEW"),"",INDEX(B$2:B669,-1+SUMPRODUCT(MAX(ROW(E$2:E669)*(E670=E$2:E669)))))</f>
        <v>other</v>
      </c>
      <c r="J670" s="15" t="n">
        <f aca="true">IF(OR(E670="",E670="!!!",F670="NEW"),"",COUNTBLANK(OFFSET(A$1,,,SUMPRODUCT(MAX(ROW(E$2:E670)*(E670=E$2:E670)))))-COUNTBLANK(OFFSET(A$1,,,SUMPRODUCT(MAX(ROW(E$1:E669)*(E670=E$1:E669))))))</f>
        <v>0</v>
      </c>
      <c r="K670" s="15" t="n">
        <f aca="false">IF(OR(E670="",E670="!!!",F670="NEW"),"",INDEX(J$1:J669,SUMPRODUCT(MAX(ROW(E$1:E669)*(E670=E$1:E669)))))</f>
        <v>0</v>
      </c>
      <c r="L670" s="16"/>
    </row>
    <row r="671" customFormat="false" ht="12.75" hidden="false" customHeight="false" outlineLevel="0" collapsed="false">
      <c r="A671" s="9" t="s">
        <v>164</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196</v>
      </c>
      <c r="B672" s="0" t="s">
        <v>24</v>
      </c>
      <c r="C672" s="0" t="s">
        <v>40</v>
      </c>
      <c r="D672" s="0" t="s">
        <v>17</v>
      </c>
      <c r="E672" s="10" t="s">
        <v>196</v>
      </c>
      <c r="F672" s="11" t="str">
        <f aca="false">IF(OR(E672="",E672="!!!"),"",IF(NOT(ISNA(VLOOKUP(E672,E$1:E671,1,FALSE()))),"OLD",IF(AND(E672&lt;&gt;"",E672&lt;&gt;"!!!"),"NEW","")))</f>
        <v>OLD</v>
      </c>
      <c r="G672" s="12" t="s">
        <v>44</v>
      </c>
      <c r="H672" s="13" t="str">
        <f aca="false">IF(J672&lt;&gt;1,"",IF(I672="SBJ","CB","?"))</f>
        <v/>
      </c>
      <c r="I672" s="14" t="str">
        <f aca="false">IF(OR(E672="",E672="!!!",F672="NEW"),"",INDEX(B$2:B671,-1+SUMPRODUCT(MAX(ROW(E$2:E671)*(E672=E$2:E671)))))</f>
        <v>SBJ_3</v>
      </c>
      <c r="J672" s="15" t="n">
        <f aca="true">IF(OR(E672="",E672="!!!",F672="NEW"),"",COUNTBLANK(OFFSET(A$1,,,SUMPRODUCT(MAX(ROW(E$2:E672)*(E672=E$2:E672)))))-COUNTBLANK(OFFSET(A$1,,,SUMPRODUCT(MAX(ROW(E$1:E671)*(E672=E$1:E671))))))</f>
        <v>0</v>
      </c>
      <c r="K672" s="15" t="n">
        <f aca="false">IF(OR(E672="",E672="!!!",F672="NEW"),"",INDEX(J$1:J671,SUMPRODUCT(MAX(ROW(E$1:E671)*(E672=E$1:E671)))))</f>
        <v>0</v>
      </c>
      <c r="L672" s="16"/>
    </row>
    <row r="673" customFormat="false" ht="12.75" hidden="false" customHeight="false" outlineLevel="0" collapsed="false">
      <c r="A673" s="9" t="s">
        <v>27</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86</v>
      </c>
      <c r="B674" s="0" t="s">
        <v>87</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9" t="s">
        <v>351</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22</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9" t="s">
        <v>225</v>
      </c>
      <c r="B677" s="0" t="s">
        <v>56</v>
      </c>
      <c r="C677" s="0" t="s">
        <v>25</v>
      </c>
      <c r="D677" s="0" t="s">
        <v>17</v>
      </c>
      <c r="E677" s="10" t="s">
        <v>352</v>
      </c>
      <c r="F677" s="11" t="str">
        <f aca="false">IF(OR(E677="",E677="!!!"),"",IF(NOT(ISNA(VLOOKUP(E677,E$1:E676,1,FALSE()))),"OLD",IF(AND(E677&lt;&gt;"",E677&lt;&gt;"!!!"),"NEW","")))</f>
        <v>NEW</v>
      </c>
      <c r="G677" s="12" t="s">
        <v>31</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27</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22</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353</v>
      </c>
      <c r="B680" s="0" t="s">
        <v>24</v>
      </c>
      <c r="C680" s="0" t="s">
        <v>25</v>
      </c>
      <c r="D680" s="0" t="s">
        <v>17</v>
      </c>
      <c r="E680" s="10" t="s">
        <v>354</v>
      </c>
      <c r="F680" s="11" t="str">
        <f aca="false">IF(OR(E680="",E680="!!!"),"",IF(NOT(ISNA(VLOOKUP(E680,E$1:E679,1,FALSE()))),"OLD",IF(AND(E680&lt;&gt;"",E680&lt;&gt;"!!!"),"NEW","")))</f>
        <v>NEW</v>
      </c>
      <c r="G680" s="12" t="s">
        <v>19</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9" t="s">
        <v>27</v>
      </c>
      <c r="E681" s="10"/>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22</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355</v>
      </c>
      <c r="B683" s="0" t="s">
        <v>37</v>
      </c>
      <c r="C683" s="0" t="s">
        <v>25</v>
      </c>
      <c r="D683" s="0" t="s">
        <v>17</v>
      </c>
      <c r="E683" s="10" t="s">
        <v>356</v>
      </c>
      <c r="F683" s="11" t="str">
        <f aca="false">IF(OR(E683="",E683="!!!"),"",IF(NOT(ISNA(VLOOKUP(E683,E$1:E682,1,FALSE()))),"OLD",IF(AND(E683&lt;&gt;"",E683&lt;&gt;"!!!"),"NEW","")))</f>
        <v>NEW</v>
      </c>
      <c r="G683" s="12" t="s">
        <v>31</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9" t="s">
        <v>27</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32</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187</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103</v>
      </c>
      <c r="B687" s="0" t="s">
        <v>87</v>
      </c>
      <c r="C687" s="0" t="s">
        <v>85</v>
      </c>
      <c r="D687" s="0" t="s">
        <v>17</v>
      </c>
      <c r="E687" s="10"/>
      <c r="F687" s="11" t="s">
        <v>77</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9" t="s">
        <v>207</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52</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42</v>
      </c>
      <c r="B690" s="0" t="s">
        <v>24</v>
      </c>
      <c r="C690" s="0" t="s">
        <v>16</v>
      </c>
      <c r="D690" s="0" t="s">
        <v>17</v>
      </c>
      <c r="E690" s="10" t="s">
        <v>288</v>
      </c>
      <c r="F690" s="11" t="str">
        <f aca="false">IF(OR(E690="",E690="!!!"),"",IF(NOT(ISNA(VLOOKUP(E690,E$1:E689,1,FALSE()))),"OLD",IF(AND(E690&lt;&gt;"",E690&lt;&gt;"!!!"),"NEW","")))</f>
        <v>OLD</v>
      </c>
      <c r="G690" s="12" t="s">
        <v>19</v>
      </c>
      <c r="H690" s="13" t="str">
        <f aca="false">IF(J690&lt;&gt;1,"",IF(I690="SBJ","CB","?"))</f>
        <v/>
      </c>
      <c r="I690" s="14" t="str">
        <f aca="false">IF(OR(E690="",E690="!!!",F690="NEW"),"",INDEX(B$2:B689,-1+SUMPRODUCT(MAX(ROW(E$2:E689)*(E690=E$2:E689)))))</f>
        <v>other_2</v>
      </c>
      <c r="J690" s="15" t="n">
        <f aca="true">IF(OR(E690="",E690="!!!",F690="NEW"),"",COUNTBLANK(OFFSET(A$1,,,SUMPRODUCT(MAX(ROW(E$2:E690)*(E690=E$2:E690)))))-COUNTBLANK(OFFSET(A$1,,,SUMPRODUCT(MAX(ROW(E$1:E689)*(E690=E$1:E689))))))</f>
        <v>6</v>
      </c>
      <c r="K690" s="15" t="str">
        <f aca="false">IF(OR(E690="",E690="!!!",F690="NEW"),"",INDEX(J$1:J689,SUMPRODUCT(MAX(ROW(E$1:E689)*(E690=E$1:E689)))))</f>
        <v/>
      </c>
      <c r="L690" s="16"/>
    </row>
    <row r="691" customFormat="false" ht="12.75" hidden="false" customHeight="false" outlineLevel="0" collapsed="false">
      <c r="A691" s="9" t="s">
        <v>323</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86</v>
      </c>
      <c r="B692" s="0" t="s">
        <v>87</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177</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22</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357</v>
      </c>
      <c r="B695" s="0" t="s">
        <v>37</v>
      </c>
      <c r="C695" s="0" t="s">
        <v>107</v>
      </c>
      <c r="D695" s="0" t="s">
        <v>17</v>
      </c>
      <c r="E695" s="10" t="s">
        <v>358</v>
      </c>
      <c r="F695" s="11" t="str">
        <f aca="false">IF(OR(E695="",E695="!!!"),"",IF(NOT(ISNA(VLOOKUP(E695,E$1:E694,1,FALSE()))),"OLD",IF(AND(E695&lt;&gt;"",E695&lt;&gt;"!!!"),"NEW","")))</f>
        <v>NEW</v>
      </c>
      <c r="G695" s="12" t="s">
        <v>31</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35</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9" t="s">
        <v>359</v>
      </c>
      <c r="B697" s="0" t="s">
        <v>248</v>
      </c>
      <c r="C697" s="0" t="s">
        <v>105</v>
      </c>
      <c r="D697" s="0" t="s">
        <v>17</v>
      </c>
      <c r="E697" s="10" t="s">
        <v>196</v>
      </c>
      <c r="F697" s="11" t="str">
        <f aca="false">IF(OR(E697="",E697="!!!"),"",IF(NOT(ISNA(VLOOKUP(E697,E$1:E696,1,FALSE()))),"OLD",IF(AND(E697&lt;&gt;"",E697&lt;&gt;"!!!"),"NEW","")))</f>
        <v>OLD</v>
      </c>
      <c r="G697" s="12" t="s">
        <v>44</v>
      </c>
      <c r="H697" s="13" t="str">
        <f aca="false">IF(J697&lt;&gt;1,"",IF(I697="SBJ","CB","?"))</f>
        <v/>
      </c>
      <c r="I697" s="14" t="str">
        <f aca="false">IF(OR(E697="",E697="!!!",F697="NEW"),"",INDEX(B$2:B696,-1+SUMPRODUCT(MAX(ROW(E$2:E696)*(E697=E$2:E696)))))</f>
        <v>other_2</v>
      </c>
      <c r="J697" s="15" t="n">
        <f aca="true">IF(OR(E697="",E697="!!!",F697="NEW"),"",COUNTBLANK(OFFSET(A$1,,,SUMPRODUCT(MAX(ROW(E$2:E697)*(E697=E$2:E697)))))-COUNTBLANK(OFFSET(A$1,,,SUMPRODUCT(MAX(ROW(E$1:E696)*(E697=E$1:E696))))))</f>
        <v>0</v>
      </c>
      <c r="K697" s="15" t="n">
        <f aca="false">IF(OR(E697="",E697="!!!",F697="NEW"),"",INDEX(J$1:J696,SUMPRODUCT(MAX(ROW(E$1:E696)*(E697=E$1:E696)))))</f>
        <v>0</v>
      </c>
      <c r="L697" s="16"/>
    </row>
    <row r="698" customFormat="false" ht="12.75" hidden="false" customHeight="false" outlineLevel="0" collapsed="false">
      <c r="A698" s="9" t="s">
        <v>360</v>
      </c>
      <c r="B698" s="0" t="s">
        <v>128</v>
      </c>
      <c r="C698" s="0" t="s">
        <v>107</v>
      </c>
      <c r="D698" s="0" t="s">
        <v>17</v>
      </c>
      <c r="E698" s="10" t="s">
        <v>361</v>
      </c>
      <c r="F698" s="11" t="str">
        <f aca="false">IF(OR(E698="",E698="!!!"),"",IF(NOT(ISNA(VLOOKUP(E698,E$1:E697,1,FALSE()))),"OLD",IF(AND(E698&lt;&gt;"",E698&lt;&gt;"!!!"),"NEW","")))</f>
        <v>NEW</v>
      </c>
      <c r="G698" s="12" t="s">
        <v>19</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9" t="s">
        <v>27</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361</v>
      </c>
      <c r="B700" s="0" t="s">
        <v>248</v>
      </c>
      <c r="C700" s="0" t="s">
        <v>40</v>
      </c>
      <c r="D700" s="0" t="s">
        <v>17</v>
      </c>
      <c r="E700" s="10" t="s">
        <v>361</v>
      </c>
      <c r="F700" s="11" t="str">
        <f aca="false">IF(OR(E700="",E700="!!!"),"",IF(NOT(ISNA(VLOOKUP(E700,E$1:E699,1,FALSE()))),"OLD",IF(AND(E700&lt;&gt;"",E700&lt;&gt;"!!!"),"NEW","")))</f>
        <v>OLD</v>
      </c>
      <c r="G700" s="12" t="s">
        <v>44</v>
      </c>
      <c r="H700" s="13" t="str">
        <f aca="false">IF(J700&lt;&gt;1,"",IF(I700="SBJ","CB","?"))</f>
        <v/>
      </c>
      <c r="I700" s="14" t="str">
        <f aca="false">IF(OR(E700="",E700="!!!",F700="NEW"),"",INDEX(B$2:B699,-1+SUMPRODUCT(MAX(ROW(E$2:E699)*(E700=E$2:E699)))))</f>
        <v>other_4</v>
      </c>
      <c r="J700" s="15" t="n">
        <f aca="true">IF(OR(E700="",E700="!!!",F700="NEW"),"",COUNTBLANK(OFFSET(A$1,,,SUMPRODUCT(MAX(ROW(E$2:E700)*(E700=E$2:E700)))))-COUNTBLANK(OFFSET(A$1,,,SUMPRODUCT(MAX(ROW(E$1:E699)*(E700=E$1:E699))))))</f>
        <v>0</v>
      </c>
      <c r="K700" s="15" t="str">
        <f aca="false">IF(OR(E700="",E700="!!!",F700="NEW"),"",INDEX(J$1:J699,SUMPRODUCT(MAX(ROW(E$1:E699)*(E700=E$1:E699)))))</f>
        <v/>
      </c>
      <c r="L700" s="16"/>
    </row>
    <row r="701" customFormat="false" ht="12.75" hidden="false" customHeight="false" outlineLevel="0" collapsed="false">
      <c r="A701" s="9" t="s">
        <v>27</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158</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27</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208</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362</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267</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9" t="s">
        <v>22</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9" t="s">
        <v>363</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364</v>
      </c>
      <c r="B709" s="0" t="s">
        <v>365</v>
      </c>
      <c r="C709" s="0" t="s">
        <v>25</v>
      </c>
      <c r="D709" s="0" t="s">
        <v>17</v>
      </c>
      <c r="E709" s="10" t="s">
        <v>366</v>
      </c>
      <c r="F709" s="11" t="str">
        <f aca="false">IF(OR(E709="",E709="!!!"),"",IF(NOT(ISNA(VLOOKUP(E709,E$1:E708,1,FALSE()))),"OLD",IF(AND(E709&lt;&gt;"",E709&lt;&gt;"!!!"),"NEW","")))</f>
        <v>NEW</v>
      </c>
      <c r="G709" s="12" t="s">
        <v>31</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9" t="s">
        <v>27</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9" t="s">
        <v>32</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22</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367</v>
      </c>
      <c r="B713" s="0" t="s">
        <v>90</v>
      </c>
      <c r="C713" s="0" t="s">
        <v>25</v>
      </c>
      <c r="D713" s="0" t="s">
        <v>17</v>
      </c>
      <c r="E713" s="10" t="s">
        <v>288</v>
      </c>
      <c r="F713" s="11" t="str">
        <f aca="false">IF(OR(E713="",E713="!!!"),"",IF(NOT(ISNA(VLOOKUP(E713,E$1:E712,1,FALSE()))),"OLD",IF(AND(E713&lt;&gt;"",E713&lt;&gt;"!!!"),"NEW","")))</f>
        <v>OLD</v>
      </c>
      <c r="G713" s="12" t="s">
        <v>44</v>
      </c>
      <c r="H713" s="13" t="str">
        <f aca="false">IF(J713&lt;&gt;1,"",IF(I713="SBJ","CB","?"))</f>
        <v/>
      </c>
      <c r="I713" s="14" t="str">
        <f aca="false">IF(OR(E713="",E713="!!!",F713="NEW"),"",INDEX(B$2:B712,-1+SUMPRODUCT(MAX(ROW(E$2:E712)*(E713=E$2:E712)))))</f>
        <v>other_2</v>
      </c>
      <c r="J713" s="15" t="n">
        <f aca="true">IF(OR(E713="",E713="!!!",F713="NEW"),"",COUNTBLANK(OFFSET(A$1,,,SUMPRODUCT(MAX(ROW(E$2:E713)*(E713=E$2:E713)))))-COUNTBLANK(OFFSET(A$1,,,SUMPRODUCT(MAX(ROW(E$1:E712)*(E713=E$1:E712))))))</f>
        <v>0</v>
      </c>
      <c r="K713" s="15" t="n">
        <f aca="false">IF(OR(E713="",E713="!!!",F713="NEW"),"",INDEX(J$1:J712,SUMPRODUCT(MAX(ROW(E$1:E712)*(E713=E$1:E712)))))</f>
        <v>6</v>
      </c>
      <c r="L713" s="16"/>
    </row>
    <row r="714" customFormat="false" ht="12.75" hidden="false" customHeight="false" outlineLevel="0" collapsed="false">
      <c r="A714" s="9" t="s">
        <v>368</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169</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369</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370</v>
      </c>
      <c r="B717" s="0" t="s">
        <v>365</v>
      </c>
      <c r="C717" s="0" t="s">
        <v>173</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9" t="s">
        <v>150</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371</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9" t="s">
        <v>372</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373</v>
      </c>
      <c r="B722" s="0" t="s">
        <v>29</v>
      </c>
      <c r="C722" s="0" t="s">
        <v>25</v>
      </c>
      <c r="D722" s="0" t="s">
        <v>17</v>
      </c>
      <c r="E722" s="10" t="s">
        <v>374</v>
      </c>
      <c r="F722" s="11" t="str">
        <f aca="false">IF(OR(E722="",E722="!!!"),"",IF(NOT(ISNA(VLOOKUP(E722,E$1:E721,1,FALSE()))),"OLD",IF(AND(E722&lt;&gt;"",E722&lt;&gt;"!!!"),"NEW","")))</f>
        <v>NEW</v>
      </c>
      <c r="G722" s="12" t="s">
        <v>31</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35</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22</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9" t="s">
        <v>353</v>
      </c>
      <c r="B725" s="0" t="s">
        <v>24</v>
      </c>
      <c r="C725" s="0" t="s">
        <v>25</v>
      </c>
      <c r="D725" s="0" t="s">
        <v>17</v>
      </c>
      <c r="E725" s="10" t="s">
        <v>354</v>
      </c>
      <c r="F725" s="11" t="str">
        <f aca="false">IF(OR(E725="",E725="!!!"),"",IF(NOT(ISNA(VLOOKUP(E725,E$1:E724,1,FALSE()))),"OLD",IF(AND(E725&lt;&gt;"",E725&lt;&gt;"!!!"),"NEW","")))</f>
        <v>OLD</v>
      </c>
      <c r="G725" s="12" t="s">
        <v>63</v>
      </c>
      <c r="H725" s="13"/>
      <c r="I725" s="14" t="str">
        <f aca="false">IF(OR(E725="",E725="!!!",F725="NEW"),"",INDEX(B$2:B724,-1+SUMPRODUCT(MAX(ROW(E$2:E724)*(E725=E$2:E724)))))</f>
        <v>other_2</v>
      </c>
      <c r="J725" s="15" t="n">
        <f aca="true">IF(OR(E725="",E725="!!!",F725="NEW"),"",COUNTBLANK(OFFSET(A$1,,,SUMPRODUCT(MAX(ROW(E$2:E725)*(E725=E$2:E725)))))-COUNTBLANK(OFFSET(A$1,,,SUMPRODUCT(MAX(ROW(E$1:E724)*(E725=E$1:E724))))))</f>
        <v>1</v>
      </c>
      <c r="K725" s="15" t="str">
        <f aca="false">IF(OR(E725="",E725="!!!",F725="NEW"),"",INDEX(J$1:J724,SUMPRODUCT(MAX(ROW(E$1:E724)*(E725=E$1:E724)))))</f>
        <v/>
      </c>
      <c r="L725" s="16"/>
    </row>
    <row r="726" customFormat="false" ht="12.75" hidden="false" customHeight="false" outlineLevel="0" collapsed="false">
      <c r="A726" s="9" t="s">
        <v>375</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169</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200</v>
      </c>
      <c r="B728" s="0" t="s">
        <v>66</v>
      </c>
      <c r="C728" s="0" t="s">
        <v>173</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27</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9" t="s">
        <v>32</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22</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106</v>
      </c>
      <c r="B732" s="0" t="s">
        <v>15</v>
      </c>
      <c r="C732" s="0" t="s">
        <v>25</v>
      </c>
      <c r="D732" s="0" t="s">
        <v>17</v>
      </c>
      <c r="E732" s="10" t="s">
        <v>376</v>
      </c>
      <c r="F732" s="11" t="str">
        <f aca="false">IF(OR(E732="",E732="!!!"),"",IF(NOT(ISNA(VLOOKUP(E732,E$1:E731,1,FALSE()))),"OLD",IF(AND(E732&lt;&gt;"",E732&lt;&gt;"!!!"),"NEW","")))</f>
        <v>NEW</v>
      </c>
      <c r="G732" s="12" t="s">
        <v>31</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A733" s="9" t="s">
        <v>375</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260</v>
      </c>
      <c r="B734" s="0" t="s">
        <v>50</v>
      </c>
      <c r="C734" s="0" t="s">
        <v>67</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113</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9" t="s">
        <v>27</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254</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22</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350</v>
      </c>
      <c r="B739" s="0" t="s">
        <v>43</v>
      </c>
      <c r="C739" s="0" t="s">
        <v>40</v>
      </c>
      <c r="D739" s="0" t="s">
        <v>17</v>
      </c>
      <c r="E739" s="10" t="s">
        <v>196</v>
      </c>
      <c r="F739" s="11" t="str">
        <f aca="false">IF(OR(E739="",E739="!!!"),"",IF(NOT(ISNA(VLOOKUP(E739,E$1:E738,1,FALSE()))),"OLD",IF(AND(E739&lt;&gt;"",E739&lt;&gt;"!!!"),"NEW","")))</f>
        <v>OLD</v>
      </c>
      <c r="G739" s="12" t="s">
        <v>63</v>
      </c>
      <c r="H739" s="13" t="s">
        <v>7</v>
      </c>
      <c r="I739" s="14" t="str">
        <f aca="false">IF(OR(E739="",E739="!!!",F739="NEW"),"",INDEX(B$2:B738,-1+SUMPRODUCT(MAX(ROW(E$2:E738)*(E739=E$2:E738)))))</f>
        <v>other_5</v>
      </c>
      <c r="J739" s="15" t="n">
        <f aca="true">IF(OR(E739="",E739="!!!",F739="NEW"),"",COUNTBLANK(OFFSET(A$1,,,SUMPRODUCT(MAX(ROW(E$2:E739)*(E739=E$2:E739)))))-COUNTBLANK(OFFSET(A$1,,,SUMPRODUCT(MAX(ROW(E$1:E738)*(E739=E$1:E738))))))</f>
        <v>1</v>
      </c>
      <c r="K739" s="15" t="n">
        <f aca="false">IF(OR(E739="",E739="!!!",F739="NEW"),"",INDEX(J$1:J738,SUMPRODUCT(MAX(ROW(E$1:E738)*(E739=E$1:E738)))))</f>
        <v>0</v>
      </c>
      <c r="L739" s="16"/>
    </row>
    <row r="740" customFormat="false" ht="12.75" hidden="false" customHeight="false" outlineLevel="0" collapsed="false">
      <c r="A740" s="9" t="s">
        <v>27</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9" t="s">
        <v>32</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254</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377</v>
      </c>
      <c r="B743" s="0" t="s">
        <v>37</v>
      </c>
      <c r="C743" s="0" t="s">
        <v>105</v>
      </c>
      <c r="D743" s="0" t="s">
        <v>17</v>
      </c>
      <c r="E743" s="10" t="s">
        <v>196</v>
      </c>
      <c r="F743" s="11" t="str">
        <f aca="false">IF(OR(E743="",E743="!!!"),"",IF(NOT(ISNA(VLOOKUP(E743,E$1:E742,1,FALSE()))),"OLD",IF(AND(E743&lt;&gt;"",E743&lt;&gt;"!!!"),"NEW","")))</f>
        <v>OLD</v>
      </c>
      <c r="G743" s="12" t="s">
        <v>44</v>
      </c>
      <c r="H743" s="13" t="str">
        <f aca="false">IF(J743&lt;&gt;1,"",IF(I743="SBJ","CB","?"))</f>
        <v/>
      </c>
      <c r="I743" s="14" t="str">
        <f aca="false">IF(OR(E743="",E743="!!!",F743="NEW"),"",INDEX(B$2:B742,-1+SUMPRODUCT(MAX(ROW(E$2:E742)*(E743=E$2:E742)))))</f>
        <v>other</v>
      </c>
      <c r="J743" s="15" t="n">
        <f aca="true">IF(OR(E743="",E743="!!!",F743="NEW"),"",COUNTBLANK(OFFSET(A$1,,,SUMPRODUCT(MAX(ROW(E$2:E743)*(E743=E$2:E743)))))-COUNTBLANK(OFFSET(A$1,,,SUMPRODUCT(MAX(ROW(E$1:E742)*(E743=E$1:E742))))))</f>
        <v>0</v>
      </c>
      <c r="K743" s="15" t="n">
        <f aca="false">IF(OR(E743="",E743="!!!",F743="NEW"),"",INDEX(J$1:J742,SUMPRODUCT(MAX(ROW(E$1:E742)*(E743=E$1:E742)))))</f>
        <v>1</v>
      </c>
      <c r="L743" s="16"/>
    </row>
    <row r="744" customFormat="false" ht="12.75" hidden="false" customHeight="false" outlineLevel="0" collapsed="false">
      <c r="A744" s="9" t="s">
        <v>189</v>
      </c>
      <c r="B744" s="0" t="s">
        <v>24</v>
      </c>
      <c r="C744" s="0" t="s">
        <v>107</v>
      </c>
      <c r="D744" s="0" t="s">
        <v>17</v>
      </c>
      <c r="E744" s="10" t="s">
        <v>53</v>
      </c>
      <c r="F744" s="11" t="str">
        <f aca="false">IF(OR(E744="",E744="!!!"),"",IF(NOT(ISNA(VLOOKUP(E744,E$1:E743,1,FALSE()))),"OLD",IF(AND(E744&lt;&gt;"",E744&lt;&gt;"!!!"),"NEW","")))</f>
        <v>OLD</v>
      </c>
      <c r="G744" s="12" t="s">
        <v>19</v>
      </c>
      <c r="H744" s="13" t="str">
        <f aca="false">IF(J744&lt;&gt;1,"",IF(I744="SBJ","CB","?"))</f>
        <v/>
      </c>
      <c r="I744" s="14" t="str">
        <f aca="false">IF(OR(E744="",E744="!!!",F744="NEW"),"",INDEX(B$2:B743,-1+SUMPRODUCT(MAX(ROW(E$2:E743)*(E744=E$2:E743)))))</f>
        <v>other_5</v>
      </c>
      <c r="J744" s="15" t="n">
        <f aca="true">IF(OR(E744="",E744="!!!",F744="NEW"),"",COUNTBLANK(OFFSET(A$1,,,SUMPRODUCT(MAX(ROW(E$2:E744)*(E744=E$2:E744)))))-COUNTBLANK(OFFSET(A$1,,,SUMPRODUCT(MAX(ROW(E$1:E743)*(E744=E$1:E743))))))</f>
        <v>6</v>
      </c>
      <c r="K744" s="15" t="n">
        <f aca="false">IF(OR(E744="",E744="!!!",F744="NEW"),"",INDEX(J$1:J743,SUMPRODUCT(MAX(ROW(E$1:E743)*(E744=E$1:E743)))))</f>
        <v>0</v>
      </c>
      <c r="L744" s="16"/>
    </row>
    <row r="745" customFormat="false" ht="12.75" hidden="false" customHeight="false" outlineLevel="0" collapsed="false">
      <c r="A745" s="9" t="s">
        <v>60</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208</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129</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378</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138</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9" t="s">
        <v>327</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9" t="s">
        <v>379</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27</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52</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149</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380</v>
      </c>
      <c r="B756" s="0" t="s">
        <v>43</v>
      </c>
      <c r="C756" s="0" t="s">
        <v>180</v>
      </c>
      <c r="D756" s="0" t="s">
        <v>17</v>
      </c>
      <c r="E756" s="10" t="s">
        <v>114</v>
      </c>
      <c r="F756" s="11" t="str">
        <f aca="false">IF(OR(E756="",E756="!!!"),"",IF(NOT(ISNA(VLOOKUP(E756,E$1:E755,1,FALSE()))),"OLD",IF(AND(E756&lt;&gt;"",E756&lt;&gt;"!!!"),"NEW","")))</f>
        <v>OLD</v>
      </c>
      <c r="G756" s="12" t="s">
        <v>19</v>
      </c>
      <c r="H756" s="13" t="str">
        <f aca="false">IF(J756&lt;&gt;1,"",IF(I756="SBJ","CB","?"))</f>
        <v/>
      </c>
      <c r="I756" s="14" t="str">
        <f aca="false">IF(OR(E756="",E756="!!!",F756="NEW"),"",INDEX(B$2:B755,-1+SUMPRODUCT(MAX(ROW(E$2:E755)*(E756=E$2:E755)))))</f>
        <v>other_4</v>
      </c>
      <c r="J756" s="15" t="n">
        <f aca="true">IF(OR(E756="",E756="!!!",F756="NEW"),"",COUNTBLANK(OFFSET(A$1,,,SUMPRODUCT(MAX(ROW(E$2:E756)*(E756=E$2:E756)))))-COUNTBLANK(OFFSET(A$1,,,SUMPRODUCT(MAX(ROW(E$1:E755)*(E756=E$1:E755))))))</f>
        <v>9</v>
      </c>
      <c r="K756" s="15" t="n">
        <f aca="false">IF(OR(E756="",E756="!!!",F756="NEW"),"",INDEX(J$1:J755,SUMPRODUCT(MAX(ROW(E$1:E755)*(E756=E$1:E755)))))</f>
        <v>9</v>
      </c>
      <c r="L756" s="16"/>
    </row>
    <row r="757" customFormat="false" ht="12.75" hidden="false" customHeight="false" outlineLevel="0" collapsed="false">
      <c r="A757" s="9" t="s">
        <v>254</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9" t="s">
        <v>359</v>
      </c>
      <c r="B758" s="0" t="s">
        <v>37</v>
      </c>
      <c r="C758" s="0" t="s">
        <v>105</v>
      </c>
      <c r="D758" s="0" t="s">
        <v>17</v>
      </c>
      <c r="E758" s="10" t="s">
        <v>196</v>
      </c>
      <c r="F758" s="11" t="str">
        <f aca="false">IF(OR(E758="",E758="!!!"),"",IF(NOT(ISNA(VLOOKUP(E758,E$1:E757,1,FALSE()))),"OLD",IF(AND(E758&lt;&gt;"",E758&lt;&gt;"!!!"),"NEW","")))</f>
        <v>OLD</v>
      </c>
      <c r="G758" s="12" t="s">
        <v>63</v>
      </c>
      <c r="H758" s="13"/>
      <c r="I758" s="14" t="str">
        <f aca="false">IF(OR(E758="",E758="!!!",F758="NEW"),"",INDEX(B$2:B757,-1+SUMPRODUCT(MAX(ROW(E$2:E757)*(E758=E$2:E757)))))</f>
        <v>other_3</v>
      </c>
      <c r="J758" s="15" t="n">
        <f aca="true">IF(OR(E758="",E758="!!!",F758="NEW"),"",COUNTBLANK(OFFSET(A$1,,,SUMPRODUCT(MAX(ROW(E$2:E758)*(E758=E$2:E758)))))-COUNTBLANK(OFFSET(A$1,,,SUMPRODUCT(MAX(ROW(E$1:E757)*(E758=E$1:E757))))))</f>
        <v>1</v>
      </c>
      <c r="K758" s="15" t="n">
        <f aca="false">IF(OR(E758="",E758="!!!",F758="NEW"),"",INDEX(J$1:J757,SUMPRODUCT(MAX(ROW(E$1:E757)*(E758=E$1:E757)))))</f>
        <v>0</v>
      </c>
      <c r="L758" s="16"/>
    </row>
    <row r="759" customFormat="false" ht="12.75" hidden="false" customHeight="false" outlineLevel="0" collapsed="false">
      <c r="A759" s="9" t="s">
        <v>381</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360</v>
      </c>
      <c r="B760" s="0" t="s">
        <v>24</v>
      </c>
      <c r="C760" s="0" t="s">
        <v>107</v>
      </c>
      <c r="D760" s="0" t="s">
        <v>17</v>
      </c>
      <c r="E760" s="10" t="s">
        <v>53</v>
      </c>
      <c r="F760" s="11" t="str">
        <f aca="false">IF(OR(E760="",E760="!!!"),"",IF(NOT(ISNA(VLOOKUP(E760,E$1:E759,1,FALSE()))),"OLD",IF(AND(E760&lt;&gt;"",E760&lt;&gt;"!!!"),"NEW","")))</f>
        <v>OLD</v>
      </c>
      <c r="G760" s="12" t="s">
        <v>63</v>
      </c>
      <c r="H760" s="13" t="s">
        <v>7</v>
      </c>
      <c r="I760" s="14" t="str">
        <f aca="false">IF(OR(E760="",E760="!!!",F760="NEW"),"",INDEX(B$2:B759,-1+SUMPRODUCT(MAX(ROW(E$2:E759)*(E760=E$2:E759)))))</f>
        <v>other_2</v>
      </c>
      <c r="J760" s="15" t="n">
        <f aca="true">IF(OR(E760="",E760="!!!",F760="NEW"),"",COUNTBLANK(OFFSET(A$1,,,SUMPRODUCT(MAX(ROW(E$2:E760)*(E760=E$2:E760)))))-COUNTBLANK(OFFSET(A$1,,,SUMPRODUCT(MAX(ROW(E$1:E759)*(E760=E$1:E759))))))</f>
        <v>1</v>
      </c>
      <c r="K760" s="15" t="n">
        <f aca="false">IF(OR(E760="",E760="!!!",F760="NEW"),"",INDEX(J$1:J759,SUMPRODUCT(MAX(ROW(E$1:E759)*(E760=E$1:E759)))))</f>
        <v>6</v>
      </c>
      <c r="L760" s="16"/>
    </row>
    <row r="761" customFormat="false" ht="12.75" hidden="false" customHeight="false" outlineLevel="0" collapsed="false">
      <c r="A761" s="9" t="s">
        <v>27</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9" t="s">
        <v>53</v>
      </c>
      <c r="B762" s="0" t="s">
        <v>37</v>
      </c>
      <c r="C762" s="0" t="s">
        <v>40</v>
      </c>
      <c r="D762" s="0" t="s">
        <v>17</v>
      </c>
      <c r="E762" s="10" t="s">
        <v>53</v>
      </c>
      <c r="F762" s="11" t="str">
        <f aca="false">IF(OR(E762="",E762="!!!"),"",IF(NOT(ISNA(VLOOKUP(E762,E$1:E761,1,FALSE()))),"OLD",IF(AND(E762&lt;&gt;"",E762&lt;&gt;"!!!"),"NEW","")))</f>
        <v>OLD</v>
      </c>
      <c r="G762" s="12" t="s">
        <v>44</v>
      </c>
      <c r="H762" s="13" t="str">
        <f aca="false">IF(J762&lt;&gt;1,"",IF(I762="SBJ","CB","?"))</f>
        <v/>
      </c>
      <c r="I762" s="14" t="str">
        <f aca="false">IF(OR(E762="",E762="!!!",F762="NEW"),"",INDEX(B$2:B761,-1+SUMPRODUCT(MAX(ROW(E$2:E761)*(E762=E$2:E761)))))</f>
        <v>other_2</v>
      </c>
      <c r="J762" s="15" t="n">
        <f aca="true">IF(OR(E762="",E762="!!!",F762="NEW"),"",COUNTBLANK(OFFSET(A$1,,,SUMPRODUCT(MAX(ROW(E$2:E762)*(E762=E$2:E762)))))-COUNTBLANK(OFFSET(A$1,,,SUMPRODUCT(MAX(ROW(E$1:E761)*(E762=E$1:E761))))))</f>
        <v>0</v>
      </c>
      <c r="K762" s="15" t="n">
        <f aca="false">IF(OR(E762="",E762="!!!",F762="NEW"),"",INDEX(J$1:J761,SUMPRODUCT(MAX(ROW(E$1:E761)*(E762=E$1:E761)))))</f>
        <v>1</v>
      </c>
      <c r="L762" s="16"/>
    </row>
    <row r="763" customFormat="false" ht="12.75" hidden="false" customHeight="false" outlineLevel="0" collapsed="false">
      <c r="A763" s="9" t="s">
        <v>27</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192</v>
      </c>
      <c r="B764" s="0" t="s">
        <v>365</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147</v>
      </c>
      <c r="B765" s="0" t="s">
        <v>90</v>
      </c>
      <c r="C765" s="0" t="s">
        <v>16</v>
      </c>
      <c r="D765" s="0" t="s">
        <v>17</v>
      </c>
      <c r="E765" s="10" t="s">
        <v>196</v>
      </c>
      <c r="F765" s="11" t="str">
        <f aca="false">IF(OR(E765="",E765="!!!"),"",IF(NOT(ISNA(VLOOKUP(E765,E$1:E764,1,FALSE()))),"OLD",IF(AND(E765&lt;&gt;"",E765&lt;&gt;"!!!"),"NEW","")))</f>
        <v>OLD</v>
      </c>
      <c r="G765" s="12" t="s">
        <v>44</v>
      </c>
      <c r="H765" s="13" t="str">
        <f aca="false">IF(J765&lt;&gt;1,"",IF(I765="SBJ","CB","?"))</f>
        <v/>
      </c>
      <c r="I765" s="14" t="str">
        <f aca="false">IF(OR(E765="",E765="!!!",F765="NEW"),"",INDEX(B$2:B764,-1+SUMPRODUCT(MAX(ROW(E$2:E764)*(E765=E$2:E764)))))</f>
        <v>other_3</v>
      </c>
      <c r="J765" s="15" t="n">
        <f aca="true">IF(OR(E765="",E765="!!!",F765="NEW"),"",COUNTBLANK(OFFSET(A$1,,,SUMPRODUCT(MAX(ROW(E$2:E765)*(E765=E$2:E765)))))-COUNTBLANK(OFFSET(A$1,,,SUMPRODUCT(MAX(ROW(E$1:E764)*(E765=E$1:E764))))))</f>
        <v>0</v>
      </c>
      <c r="K765" s="15" t="n">
        <f aca="false">IF(OR(E765="",E765="!!!",F765="NEW"),"",INDEX(J$1:J764,SUMPRODUCT(MAX(ROW(E$1:E764)*(E765=E$1:E764)))))</f>
        <v>1</v>
      </c>
      <c r="L765" s="16"/>
    </row>
    <row r="766" customFormat="false" ht="12.75" hidden="false" customHeight="false" outlineLevel="0" collapsed="false">
      <c r="A766" s="9" t="s">
        <v>382</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27</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383</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384</v>
      </c>
      <c r="B769" s="0" t="s">
        <v>365</v>
      </c>
      <c r="C769" s="0" t="s">
        <v>40</v>
      </c>
      <c r="D769" s="0" t="s">
        <v>17</v>
      </c>
      <c r="E769" s="10" t="s">
        <v>384</v>
      </c>
      <c r="F769" s="11" t="str">
        <f aca="false">IF(OR(E769="",E769="!!!"),"",IF(NOT(ISNA(VLOOKUP(E769,E$1:E768,1,FALSE()))),"OLD",IF(AND(E769&lt;&gt;"",E769&lt;&gt;"!!!"),"NEW","")))</f>
        <v>NEW</v>
      </c>
      <c r="G769" s="12" t="s">
        <v>31</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9" t="s">
        <v>32</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385</v>
      </c>
      <c r="B771" s="0" t="s">
        <v>248</v>
      </c>
      <c r="C771" s="0" t="s">
        <v>40</v>
      </c>
      <c r="D771" s="0" t="s">
        <v>17</v>
      </c>
      <c r="E771" s="10" t="s">
        <v>386</v>
      </c>
      <c r="F771" s="11" t="str">
        <f aca="false">IF(OR(E771="",E771="!!!"),"",IF(NOT(ISNA(VLOOKUP(E771,E$1:E770,1,FALSE()))),"OLD",IF(AND(E771&lt;&gt;"",E771&lt;&gt;"!!!"),"NEW","")))</f>
        <v>NEW</v>
      </c>
      <c r="G771" s="12" t="s">
        <v>19</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386</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27</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9" t="s">
        <v>122</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22</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387</v>
      </c>
      <c r="B776" s="0" t="s">
        <v>248</v>
      </c>
      <c r="C776" s="0" t="s">
        <v>25</v>
      </c>
      <c r="D776" s="0" t="s">
        <v>17</v>
      </c>
      <c r="E776" s="10" t="s">
        <v>387</v>
      </c>
      <c r="F776" s="11" t="str">
        <f aca="false">IF(OR(E776="",E776="!!!"),"",IF(NOT(ISNA(VLOOKUP(E776,E$1:E775,1,FALSE()))),"OLD",IF(AND(E776&lt;&gt;"",E776&lt;&gt;"!!!"),"NEW","")))</f>
        <v>NEW</v>
      </c>
      <c r="G776" s="12" t="s">
        <v>31</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9" t="s">
        <v>32</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9" t="s">
        <v>22</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23</v>
      </c>
      <c r="B779" s="0" t="s">
        <v>248</v>
      </c>
      <c r="C779" s="0" t="s">
        <v>107</v>
      </c>
      <c r="D779" s="0" t="s">
        <v>17</v>
      </c>
      <c r="E779" s="10" t="s">
        <v>388</v>
      </c>
      <c r="F779" s="11" t="str">
        <f aca="false">IF(OR(E779="",E779="!!!"),"",IF(NOT(ISNA(VLOOKUP(E779,E$1:E778,1,FALSE()))),"OLD",IF(AND(E779&lt;&gt;"",E779&lt;&gt;"!!!"),"NEW","")))</f>
        <v>NEW</v>
      </c>
      <c r="G779" s="12" t="s">
        <v>31</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9" t="s">
        <v>35</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160</v>
      </c>
      <c r="B781" s="0" t="s">
        <v>167</v>
      </c>
      <c r="C781" s="0" t="s">
        <v>40</v>
      </c>
      <c r="D781" s="0" t="s">
        <v>17</v>
      </c>
      <c r="E781" s="10" t="s">
        <v>388</v>
      </c>
      <c r="F781" s="11" t="str">
        <f aca="false">IF(OR(E781="",E781="!!!"),"",IF(NOT(ISNA(VLOOKUP(E781,E$1:E780,1,FALSE()))),"OLD",IF(AND(E781&lt;&gt;"",E781&lt;&gt;"!!!"),"NEW","")))</f>
        <v>OLD</v>
      </c>
      <c r="G781" s="12" t="s">
        <v>44</v>
      </c>
      <c r="H781" s="13" t="str">
        <f aca="false">IF(J781&lt;&gt;1,"",IF(I781="SBJ","CB","?"))</f>
        <v/>
      </c>
      <c r="I781" s="14" t="str">
        <f aca="false">IF(OR(E781="",E781="!!!",F781="NEW"),"",INDEX(B$2:B780,-1+SUMPRODUCT(MAX(ROW(E$2:E780)*(E781=E$2:E780)))))</f>
        <v>other_5</v>
      </c>
      <c r="J781" s="15" t="n">
        <f aca="true">IF(OR(E781="",E781="!!!",F781="NEW"),"",COUNTBLANK(OFFSET(A$1,,,SUMPRODUCT(MAX(ROW(E$2:E781)*(E781=E$2:E781)))))-COUNTBLANK(OFFSET(A$1,,,SUMPRODUCT(MAX(ROW(E$1:E780)*(E781=E$1:E780))))))</f>
        <v>0</v>
      </c>
      <c r="K781" s="15" t="str">
        <f aca="false">IF(OR(E781="",E781="!!!",F781="NEW"),"",INDEX(J$1:J780,SUMPRODUCT(MAX(ROW(E$1:E780)*(E781=E$1:E780)))))</f>
        <v/>
      </c>
      <c r="L781" s="16"/>
    </row>
    <row r="782" customFormat="false" ht="12.75" hidden="false" customHeight="false" outlineLevel="0" collapsed="false">
      <c r="A782" s="9" t="s">
        <v>27</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111</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9" t="s">
        <v>112</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9" t="s">
        <v>113</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21</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9" t="s">
        <v>267</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389</v>
      </c>
      <c r="B788" s="0" t="s">
        <v>37</v>
      </c>
      <c r="C788" s="0" t="s">
        <v>141</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359</v>
      </c>
      <c r="B789" s="0" t="s">
        <v>37</v>
      </c>
      <c r="C789" s="0" t="s">
        <v>105</v>
      </c>
      <c r="D789" s="0" t="s">
        <v>17</v>
      </c>
      <c r="E789" s="10" t="s">
        <v>196</v>
      </c>
      <c r="F789" s="11" t="str">
        <f aca="false">IF(OR(E789="",E789="!!!"),"",IF(NOT(ISNA(VLOOKUP(E789,E$1:E788,1,FALSE()))),"OLD",IF(AND(E789&lt;&gt;"",E789&lt;&gt;"!!!"),"NEW","")))</f>
        <v>OLD</v>
      </c>
      <c r="G789" s="12" t="s">
        <v>44</v>
      </c>
      <c r="H789" s="13" t="str">
        <f aca="false">IF(J789&lt;&gt;1,"",IF(I789="SBJ","CB","?"))</f>
        <v/>
      </c>
      <c r="I789" s="14" t="str">
        <f aca="false">IF(OR(E789="",E789="!!!",F789="NEW"),"",INDEX(B$2:B788,-1+SUMPRODUCT(MAX(ROW(E$2:E788)*(E789=E$2:E788)))))</f>
        <v>SBJ_4</v>
      </c>
      <c r="J789" s="15" t="n">
        <f aca="true">IF(OR(E789="",E789="!!!",F789="NEW"),"",COUNTBLANK(OFFSET(A$1,,,SUMPRODUCT(MAX(ROW(E$2:E789)*(E789=E$2:E789)))))-COUNTBLANK(OFFSET(A$1,,,SUMPRODUCT(MAX(ROW(E$1:E788)*(E789=E$1:E788))))))</f>
        <v>0</v>
      </c>
      <c r="K789" s="15" t="n">
        <f aca="false">IF(OR(E789="",E789="!!!",F789="NEW"),"",INDEX(J$1:J788,SUMPRODUCT(MAX(ROW(E$1:E788)*(E789=E$1:E788)))))</f>
        <v>0</v>
      </c>
      <c r="L789" s="16"/>
    </row>
    <row r="790" customFormat="false" ht="12.75" hidden="false" customHeight="false" outlineLevel="0" collapsed="false">
      <c r="A790" s="9" t="s">
        <v>390</v>
      </c>
      <c r="B790" s="0" t="s">
        <v>50</v>
      </c>
      <c r="C790" s="0" t="s">
        <v>107</v>
      </c>
      <c r="D790" s="0" t="s">
        <v>17</v>
      </c>
      <c r="E790" s="10" t="s">
        <v>391</v>
      </c>
      <c r="F790" s="11" t="str">
        <f aca="false">IF(OR(E790="",E790="!!!"),"",IF(NOT(ISNA(VLOOKUP(E790,E$1:E789,1,FALSE()))),"OLD",IF(AND(E790&lt;&gt;"",E790&lt;&gt;"!!!"),"NEW","")))</f>
        <v>NEW</v>
      </c>
      <c r="G790" s="12" t="s">
        <v>19</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32</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359</v>
      </c>
      <c r="B792" s="0" t="s">
        <v>128</v>
      </c>
      <c r="C792" s="0" t="s">
        <v>105</v>
      </c>
      <c r="D792" s="0" t="s">
        <v>17</v>
      </c>
      <c r="E792" s="10" t="s">
        <v>196</v>
      </c>
      <c r="F792" s="11" t="str">
        <f aca="false">IF(OR(E792="",E792="!!!"),"",IF(NOT(ISNA(VLOOKUP(E792,E$1:E791,1,FALSE()))),"OLD",IF(AND(E792&lt;&gt;"",E792&lt;&gt;"!!!"),"NEW","")))</f>
        <v>OLD</v>
      </c>
      <c r="G792" s="12" t="s">
        <v>44</v>
      </c>
      <c r="H792" s="13" t="str">
        <f aca="false">IF(J792&lt;&gt;1,"",IF(I792="SBJ","CB","?"))</f>
        <v/>
      </c>
      <c r="I792" s="14" t="str">
        <f aca="false">IF(OR(E792="",E792="!!!",F792="NEW"),"",INDEX(B$2:B791,-1+SUMPRODUCT(MAX(ROW(E$2:E791)*(E792=E$2:E791)))))</f>
        <v>other_3</v>
      </c>
      <c r="J792" s="15" t="n">
        <f aca="true">IF(OR(E792="",E792="!!!",F792="NEW"),"",COUNTBLANK(OFFSET(A$1,,,SUMPRODUCT(MAX(ROW(E$2:E792)*(E792=E$2:E792)))))-COUNTBLANK(OFFSET(A$1,,,SUMPRODUCT(MAX(ROW(E$1:E791)*(E792=E$1:E791))))))</f>
        <v>0</v>
      </c>
      <c r="K792" s="15" t="n">
        <f aca="false">IF(OR(E792="",E792="!!!",F792="NEW"),"",INDEX(J$1:J791,SUMPRODUCT(MAX(ROW(E$1:E791)*(E792=E$1:E791)))))</f>
        <v>0</v>
      </c>
      <c r="L792" s="16"/>
    </row>
    <row r="793" customFormat="false" ht="12.75" hidden="false" customHeight="false" outlineLevel="0" collapsed="false">
      <c r="A793" s="9" t="s">
        <v>260</v>
      </c>
      <c r="B793" s="0" t="s">
        <v>37</v>
      </c>
      <c r="C793" s="0" t="s">
        <v>107</v>
      </c>
      <c r="D793" s="0" t="s">
        <v>17</v>
      </c>
      <c r="E793" s="10" t="s">
        <v>392</v>
      </c>
      <c r="F793" s="11" t="str">
        <f aca="false">IF(OR(E793="",E793="!!!"),"",IF(NOT(ISNA(VLOOKUP(E793,E$1:E792,1,FALSE()))),"OLD",IF(AND(E793&lt;&gt;"",E793&lt;&gt;"!!!"),"NEW","")))</f>
        <v>NEW</v>
      </c>
      <c r="G793" s="12" t="s">
        <v>31</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393</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21</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394</v>
      </c>
      <c r="E796" s="10" t="str">
        <f aca="false">IF(D796="?OLD","!!!","")</f>
        <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9" t="s">
        <v>60</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129</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395</v>
      </c>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9" t="s">
        <v>234</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27</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75" hidden="false" customHeight="false" outlineLevel="0" collapsed="false">
      <c r="A803" s="9" t="s">
        <v>350</v>
      </c>
      <c r="B803" s="0" t="s">
        <v>29</v>
      </c>
      <c r="C803" s="0" t="s">
        <v>40</v>
      </c>
      <c r="D803" s="0" t="s">
        <v>17</v>
      </c>
      <c r="E803" s="10" t="s">
        <v>196</v>
      </c>
      <c r="F803" s="11" t="str">
        <f aca="false">IF(OR(E803="",E803="!!!"),"",IF(NOT(ISNA(VLOOKUP(E803,E$1:E802,1,FALSE()))),"OLD",IF(AND(E803&lt;&gt;"",E803&lt;&gt;"!!!"),"NEW","")))</f>
        <v>OLD</v>
      </c>
      <c r="G803" s="12" t="s">
        <v>63</v>
      </c>
      <c r="H803" s="13" t="s">
        <v>7</v>
      </c>
      <c r="I803" s="14" t="str">
        <f aca="false">IF(OR(E803="",E803="!!!",F803="NEW"),"",INDEX(B$2:B802,-1+SUMPRODUCT(MAX(ROW(E$2:E802)*(E803=E$2:E802)))))</f>
        <v>other_4</v>
      </c>
      <c r="J803" s="15" t="n">
        <f aca="true">IF(OR(E803="",E803="!!!",F803="NEW"),"",COUNTBLANK(OFFSET(A$1,,,SUMPRODUCT(MAX(ROW(E$2:E803)*(E803=E$2:E803)))))-COUNTBLANK(OFFSET(A$1,,,SUMPRODUCT(MAX(ROW(E$1:E802)*(E803=E$1:E802))))))</f>
        <v>1</v>
      </c>
      <c r="K803" s="15" t="n">
        <f aca="false">IF(OR(E803="",E803="!!!",F803="NEW"),"",INDEX(J$1:J802,SUMPRODUCT(MAX(ROW(E$1:E802)*(E803=E$1:E802)))))</f>
        <v>0</v>
      </c>
      <c r="L803" s="16"/>
    </row>
    <row r="804" customFormat="false" ht="12.75" hidden="false" customHeight="false" outlineLevel="0" collapsed="false">
      <c r="A804" s="9" t="s">
        <v>27</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396</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298</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9" t="s">
        <v>104</v>
      </c>
      <c r="B807" s="0" t="s">
        <v>24</v>
      </c>
      <c r="C807" s="0" t="s">
        <v>105</v>
      </c>
      <c r="D807" s="0" t="s">
        <v>17</v>
      </c>
      <c r="E807" s="10" t="s">
        <v>388</v>
      </c>
      <c r="F807" s="11" t="str">
        <f aca="false">IF(OR(E807="",E807="!!!"),"",IF(NOT(ISNA(VLOOKUP(E807,E$1:E806,1,FALSE()))),"OLD",IF(AND(E807&lt;&gt;"",E807&lt;&gt;"!!!"),"NEW","")))</f>
        <v>OLD</v>
      </c>
      <c r="G807" s="12" t="s">
        <v>63</v>
      </c>
      <c r="H807" s="13"/>
      <c r="I807" s="14" t="str">
        <f aca="false">IF(OR(E807="",E807="!!!",F807="NEW"),"",INDEX(B$2:B806,-1+SUMPRODUCT(MAX(ROW(E$2:E806)*(E807=E$2:E806)))))</f>
        <v>other_6</v>
      </c>
      <c r="J807" s="15" t="n">
        <f aca="true">IF(OR(E807="",E807="!!!",F807="NEW"),"",COUNTBLANK(OFFSET(A$1,,,SUMPRODUCT(MAX(ROW(E$2:E807)*(E807=E$2:E807)))))-COUNTBLANK(OFFSET(A$1,,,SUMPRODUCT(MAX(ROW(E$1:E806)*(E807=E$1:E806))))))</f>
        <v>1</v>
      </c>
      <c r="K807" s="15" t="n">
        <f aca="false">IF(OR(E807="",E807="!!!",F807="NEW"),"",INDEX(J$1:J806,SUMPRODUCT(MAX(ROW(E$1:E806)*(E807=E$1:E806)))))</f>
        <v>0</v>
      </c>
      <c r="L807" s="16"/>
    </row>
    <row r="808" customFormat="false" ht="12.75" hidden="false" customHeight="false" outlineLevel="0" collapsed="false">
      <c r="A808" s="9" t="s">
        <v>397</v>
      </c>
      <c r="B808" s="0" t="s">
        <v>43</v>
      </c>
      <c r="C808" s="0" t="s">
        <v>107</v>
      </c>
      <c r="D808" s="0" t="s">
        <v>17</v>
      </c>
      <c r="E808" s="10" t="s">
        <v>398</v>
      </c>
      <c r="F808" s="11" t="str">
        <f aca="false">IF(OR(E808="",E808="!!!"),"",IF(NOT(ISNA(VLOOKUP(E808,E$1:E807,1,FALSE()))),"OLD",IF(AND(E808&lt;&gt;"",E808&lt;&gt;"!!!"),"NEW","")))</f>
        <v>NEW</v>
      </c>
      <c r="G808" s="12" t="s">
        <v>31</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9" t="s">
        <v>27</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9" t="s">
        <v>32</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75" hidden="false" customHeight="false" outlineLevel="0" collapsed="false">
      <c r="A811" s="9" t="s">
        <v>399</v>
      </c>
      <c r="B811" s="0" t="s">
        <v>24</v>
      </c>
      <c r="C811" s="0" t="s">
        <v>67</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9" t="s">
        <v>21</v>
      </c>
      <c r="E812" s="10" t="str">
        <f aca="false">IF(D812="?OLD","!!!","")</f>
        <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75" hidden="false" customHeight="false" outlineLevel="0" collapsed="false">
      <c r="A813" s="9" t="s">
        <v>359</v>
      </c>
      <c r="B813" s="0" t="s">
        <v>37</v>
      </c>
      <c r="C813" s="0" t="s">
        <v>105</v>
      </c>
      <c r="D813" s="0" t="s">
        <v>17</v>
      </c>
      <c r="E813" s="10" t="s">
        <v>196</v>
      </c>
      <c r="F813" s="11" t="str">
        <f aca="false">IF(OR(E813="",E813="!!!"),"",IF(NOT(ISNA(VLOOKUP(E813,E$1:E812,1,FALSE()))),"OLD",IF(AND(E813&lt;&gt;"",E813&lt;&gt;"!!!"),"NEW","")))</f>
        <v>OLD</v>
      </c>
      <c r="G813" s="12" t="s">
        <v>44</v>
      </c>
      <c r="H813" s="13" t="str">
        <f aca="false">IF(J813&lt;&gt;1,"",IF(I813="SBJ","CB","?"))</f>
        <v/>
      </c>
      <c r="I813" s="14" t="str">
        <f aca="false">IF(OR(E813="",E813="!!!",F813="NEW"),"",INDEX(B$2:B812,-1+SUMPRODUCT(MAX(ROW(E$2:E812)*(E813=E$2:E812)))))</f>
        <v>SBJ</v>
      </c>
      <c r="J813" s="15" t="n">
        <f aca="true">IF(OR(E813="",E813="!!!",F813="NEW"),"",COUNTBLANK(OFFSET(A$1,,,SUMPRODUCT(MAX(ROW(E$2:E813)*(E813=E$2:E813)))))-COUNTBLANK(OFFSET(A$1,,,SUMPRODUCT(MAX(ROW(E$1:E812)*(E813=E$1:E812))))))</f>
        <v>0</v>
      </c>
      <c r="K813" s="15" t="n">
        <f aca="false">IF(OR(E813="",E813="!!!",F813="NEW"),"",INDEX(J$1:J812,SUMPRODUCT(MAX(ROW(E$1:E812)*(E813=E$1:E812)))))</f>
        <v>1</v>
      </c>
      <c r="L813" s="16"/>
    </row>
    <row r="814" customFormat="false" ht="12.75" hidden="false" customHeight="false" outlineLevel="0" collapsed="false">
      <c r="A814" s="9" t="s">
        <v>400</v>
      </c>
      <c r="B814" s="0" t="s">
        <v>24</v>
      </c>
      <c r="C814" s="0" t="s">
        <v>107</v>
      </c>
      <c r="D814" s="0" t="s">
        <v>17</v>
      </c>
      <c r="E814" s="10" t="s">
        <v>338</v>
      </c>
      <c r="F814" s="11" t="str">
        <f aca="false">IF(OR(E814="",E814="!!!"),"",IF(NOT(ISNA(VLOOKUP(E814,E$1:E813,1,FALSE()))),"OLD",IF(AND(E814&lt;&gt;"",E814&lt;&gt;"!!!"),"NEW","")))</f>
        <v>OLD</v>
      </c>
      <c r="G814" s="12" t="s">
        <v>19</v>
      </c>
      <c r="H814" s="13" t="str">
        <f aca="false">IF(J814&lt;&gt;1,"",IF(I814="SBJ","CB","?"))</f>
        <v/>
      </c>
      <c r="I814" s="14" t="str">
        <f aca="false">IF(OR(E814="",E814="!!!",F814="NEW"),"",INDEX(B$2:B813,-1+SUMPRODUCT(MAX(ROW(E$2:E813)*(E814=E$2:E813)))))</f>
        <v>other_3</v>
      </c>
      <c r="J814" s="15" t="n">
        <f aca="true">IF(OR(E814="",E814="!!!",F814="NEW"),"",COUNTBLANK(OFFSET(A$1,,,SUMPRODUCT(MAX(ROW(E$2:E814)*(E814=E$2:E814)))))-COUNTBLANK(OFFSET(A$1,,,SUMPRODUCT(MAX(ROW(E$1:E813)*(E814=E$1:E813))))))</f>
        <v>3</v>
      </c>
      <c r="K814" s="15" t="n">
        <f aca="false">IF(OR(E814="",E814="!!!",F814="NEW"),"",INDEX(J$1:J813,SUMPRODUCT(MAX(ROW(E$1:E813)*(E814=E$1:E813)))))</f>
        <v>0</v>
      </c>
      <c r="L814" s="16"/>
    </row>
    <row r="815" customFormat="false" ht="12.75" hidden="false" customHeight="false" outlineLevel="0" collapsed="false">
      <c r="A815" s="9" t="s">
        <v>21</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9" t="s">
        <v>292</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9" t="s">
        <v>359</v>
      </c>
      <c r="B817" s="0" t="s">
        <v>37</v>
      </c>
      <c r="C817" s="0" t="s">
        <v>105</v>
      </c>
      <c r="D817" s="0" t="s">
        <v>17</v>
      </c>
      <c r="E817" s="10" t="s">
        <v>196</v>
      </c>
      <c r="F817" s="11" t="str">
        <f aca="false">IF(OR(E817="",E817="!!!"),"",IF(NOT(ISNA(VLOOKUP(E817,E$1:E816,1,FALSE()))),"OLD",IF(AND(E817&lt;&gt;"",E817&lt;&gt;"!!!"),"NEW","")))</f>
        <v>OLD</v>
      </c>
      <c r="G817" s="12" t="s">
        <v>44</v>
      </c>
      <c r="H817" s="13" t="str">
        <f aca="false">IF(J817&lt;&gt;1,"",IF(I817="SBJ","CB","?"))</f>
        <v/>
      </c>
      <c r="I817" s="14" t="str">
        <f aca="false">IF(OR(E817="",E817="!!!",F817="NEW"),"",INDEX(B$2:B816,-1+SUMPRODUCT(MAX(ROW(E$2:E816)*(E817=E$2:E816)))))</f>
        <v>other_3</v>
      </c>
      <c r="J817" s="15" t="n">
        <f aca="true">IF(OR(E817="",E817="!!!",F817="NEW"),"",COUNTBLANK(OFFSET(A$1,,,SUMPRODUCT(MAX(ROW(E$2:E817)*(E817=E$2:E817)))))-COUNTBLANK(OFFSET(A$1,,,SUMPRODUCT(MAX(ROW(E$1:E816)*(E817=E$1:E816))))))</f>
        <v>0</v>
      </c>
      <c r="K817" s="15" t="n">
        <f aca="false">IF(OR(E817="",E817="!!!",F817="NEW"),"",INDEX(J$1:J816,SUMPRODUCT(MAX(ROW(E$1:E816)*(E817=E$1:E816)))))</f>
        <v>0</v>
      </c>
      <c r="L817" s="16"/>
    </row>
    <row r="818" customFormat="false" ht="12.75" hidden="false" customHeight="false" outlineLevel="0" collapsed="false">
      <c r="A818" s="9" t="s">
        <v>89</v>
      </c>
      <c r="B818" s="0" t="s">
        <v>50</v>
      </c>
      <c r="C818" s="0" t="s">
        <v>107</v>
      </c>
      <c r="D818" s="0" t="s">
        <v>17</v>
      </c>
      <c r="E818" s="10" t="s">
        <v>401</v>
      </c>
      <c r="F818" s="11" t="str">
        <f aca="false">IF(OR(E818="",E818="!!!"),"",IF(NOT(ISNA(VLOOKUP(E818,E$1:E817,1,FALSE()))),"OLD",IF(AND(E818&lt;&gt;"",E818&lt;&gt;"!!!"),"NEW","")))</f>
        <v>NEW</v>
      </c>
      <c r="G818" s="12" t="s">
        <v>19</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9" t="s">
        <v>122</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A820" s="9" t="s">
        <v>187</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9" t="s">
        <v>237</v>
      </c>
      <c r="B821" s="0" t="s">
        <v>37</v>
      </c>
      <c r="C821" s="0" t="s">
        <v>173</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9" t="s">
        <v>27</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9" t="s">
        <v>402</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9" t="s">
        <v>147</v>
      </c>
      <c r="B824" s="0" t="s">
        <v>15</v>
      </c>
      <c r="C824" s="0" t="s">
        <v>16</v>
      </c>
      <c r="D824" s="0" t="s">
        <v>17</v>
      </c>
      <c r="E824" s="10" t="s">
        <v>196</v>
      </c>
      <c r="F824" s="11" t="str">
        <f aca="false">IF(OR(E824="",E824="!!!"),"",IF(NOT(ISNA(VLOOKUP(E824,E$1:E823,1,FALSE()))),"OLD",IF(AND(E824&lt;&gt;"",E824&lt;&gt;"!!!"),"NEW","")))</f>
        <v>OLD</v>
      </c>
      <c r="G824" s="12" t="s">
        <v>44</v>
      </c>
      <c r="H824" s="13" t="str">
        <f aca="false">IF(J824&lt;&gt;1,"",IF(I824="SBJ","CB","?"))</f>
        <v/>
      </c>
      <c r="I824" s="14" t="str">
        <f aca="false">IF(OR(E824="",E824="!!!",F824="NEW"),"",INDEX(B$2:B823,-1+SUMPRODUCT(MAX(ROW(E$2:E823)*(E824=E$2:E823)))))</f>
        <v>other_3</v>
      </c>
      <c r="J824" s="15" t="n">
        <f aca="true">IF(OR(E824="",E824="!!!",F824="NEW"),"",COUNTBLANK(OFFSET(A$1,,,SUMPRODUCT(MAX(ROW(E$2:E824)*(E824=E$2:E824)))))-COUNTBLANK(OFFSET(A$1,,,SUMPRODUCT(MAX(ROW(E$1:E823)*(E824=E$1:E823))))))</f>
        <v>0</v>
      </c>
      <c r="K824" s="15" t="n">
        <f aca="false">IF(OR(E824="",E824="!!!",F824="NEW"),"",INDEX(J$1:J823,SUMPRODUCT(MAX(ROW(E$1:E823)*(E824=E$1:E823)))))</f>
        <v>0</v>
      </c>
      <c r="L824" s="16"/>
    </row>
    <row r="825" customFormat="false" ht="12.75" hidden="false" customHeight="false" outlineLevel="0" collapsed="false">
      <c r="A825" s="9" t="s">
        <v>403</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9" t="s">
        <v>259</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9" t="s">
        <v>359</v>
      </c>
      <c r="B827" s="0" t="s">
        <v>37</v>
      </c>
      <c r="C827" s="0" t="s">
        <v>105</v>
      </c>
      <c r="D827" s="0" t="s">
        <v>17</v>
      </c>
      <c r="E827" s="10" t="s">
        <v>196</v>
      </c>
      <c r="F827" s="11" t="str">
        <f aca="false">IF(OR(E827="",E827="!!!"),"",IF(NOT(ISNA(VLOOKUP(E827,E$1:E826,1,FALSE()))),"OLD",IF(AND(E827&lt;&gt;"",E827&lt;&gt;"!!!"),"NEW","")))</f>
        <v>OLD</v>
      </c>
      <c r="G827" s="12" t="s">
        <v>44</v>
      </c>
      <c r="H827" s="13" t="str">
        <f aca="false">IF(J827&lt;&gt;1,"",IF(I827="SBJ","CB","?"))</f>
        <v/>
      </c>
      <c r="I827" s="14" t="str">
        <f aca="false">IF(OR(E827="",E827="!!!",F827="NEW"),"",INDEX(B$2:B826,-1+SUMPRODUCT(MAX(ROW(E$2:E826)*(E827=E$2:E826)))))</f>
        <v>SBJ_2</v>
      </c>
      <c r="J827" s="15" t="n">
        <f aca="true">IF(OR(E827="",E827="!!!",F827="NEW"),"",COUNTBLANK(OFFSET(A$1,,,SUMPRODUCT(MAX(ROW(E$2:E827)*(E827=E$2:E827)))))-COUNTBLANK(OFFSET(A$1,,,SUMPRODUCT(MAX(ROW(E$1:E826)*(E827=E$1:E826))))))</f>
        <v>0</v>
      </c>
      <c r="K827" s="15" t="n">
        <f aca="false">IF(OR(E827="",E827="!!!",F827="NEW"),"",INDEX(J$1:J826,SUMPRODUCT(MAX(ROW(E$1:E826)*(E827=E$1:E826)))))</f>
        <v>0</v>
      </c>
      <c r="L827" s="16"/>
    </row>
    <row r="828" customFormat="false" ht="12.75" hidden="false" customHeight="false" outlineLevel="0" collapsed="false">
      <c r="A828" s="9" t="s">
        <v>390</v>
      </c>
      <c r="B828" s="0" t="s">
        <v>24</v>
      </c>
      <c r="C828" s="0" t="s">
        <v>107</v>
      </c>
      <c r="D828" s="0" t="s">
        <v>17</v>
      </c>
      <c r="E828" s="10" t="s">
        <v>391</v>
      </c>
      <c r="F828" s="11" t="str">
        <f aca="false">IF(OR(E828="",E828="!!!"),"",IF(NOT(ISNA(VLOOKUP(E828,E$1:E827,1,FALSE()))),"OLD",IF(AND(E828&lt;&gt;"",E828&lt;&gt;"!!!"),"NEW","")))</f>
        <v>OLD</v>
      </c>
      <c r="G828" s="12" t="s">
        <v>63</v>
      </c>
      <c r="H828" s="13"/>
      <c r="I828" s="14" t="str">
        <f aca="false">IF(OR(E828="",E828="!!!",F828="NEW"),"",INDEX(B$2:B827,-1+SUMPRODUCT(MAX(ROW(E$2:E827)*(E828=E$2:E827)))))</f>
        <v>OBJ_2</v>
      </c>
      <c r="J828" s="15" t="n">
        <f aca="true">IF(OR(E828="",E828="!!!",F828="NEW"),"",COUNTBLANK(OFFSET(A$1,,,SUMPRODUCT(MAX(ROW(E$2:E828)*(E828=E$2:E828)))))-COUNTBLANK(OFFSET(A$1,,,SUMPRODUCT(MAX(ROW(E$1:E827)*(E828=E$1:E827))))))</f>
        <v>1</v>
      </c>
      <c r="K828" s="15" t="str">
        <f aca="false">IF(OR(E828="",E828="!!!",F828="NEW"),"",INDEX(J$1:J827,SUMPRODUCT(MAX(ROW(E$1:E827)*(E828=E$1:E827)))))</f>
        <v/>
      </c>
      <c r="L828" s="16"/>
    </row>
    <row r="829" customFormat="false" ht="12.75" hidden="false" customHeight="false" outlineLevel="0" collapsed="false">
      <c r="A829" s="9" t="s">
        <v>21</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9" t="s">
        <v>404</v>
      </c>
      <c r="E830" s="10" t="str">
        <f aca="false">IF(D830="?OLD","!!!","")</f>
        <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9" t="s">
        <v>323</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9" t="s">
        <v>32</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9" t="s">
        <v>103</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9" t="s">
        <v>405</v>
      </c>
      <c r="B834" s="0" t="s">
        <v>15</v>
      </c>
      <c r="C834" s="0" t="s">
        <v>67</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9" t="s">
        <v>32</v>
      </c>
      <c r="E835" s="10" t="str">
        <f aca="false">IF(D835="?OLD","!!!","")</f>
        <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9" t="s">
        <v>406</v>
      </c>
      <c r="B836" s="0" t="s">
        <v>37</v>
      </c>
      <c r="C836" s="0" t="s">
        <v>67</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A837" s="9" t="s">
        <v>407</v>
      </c>
      <c r="E837" s="10" t="str">
        <f aca="false">IF(D837="?OLD","!!!","")</f>
        <v/>
      </c>
      <c r="F837" s="11" t="str">
        <f aca="false">IF(OR(E837="",E837="!!!"),"",IF(NOT(ISNA(VLOOKUP(E837,E$1:E836,1,FALSE()))),"OLD",IF(AND(E837&lt;&gt;"",E837&lt;&gt;"!!!"),"NEW","")))</f>
        <v/>
      </c>
      <c r="G837" s="12" t="str">
        <f aca="false">IF(OR(E837="",E837="!!!"),"",IF(OR(J837=0,AND(J837=1,K837=1),AND(J837=1,I837="SBJ"),AND(J837=1,I837=0)),"?IN_FOCUS",IF(J837&lt;=2,"?ACTIVATED",IF(J837&lt;&gt;"","?FAMILIAR",IF(F837="NEW",IF(ISNA(VLOOKUP(E837,#REF!,1,FALSE())),"?TYPE_IDENTIFIABLE","?REFERENTIAL"),"_")))))</f>
        <v/>
      </c>
      <c r="H837" s="13" t="str">
        <f aca="false">IF(J837&lt;&gt;1,"",IF(I837="SBJ","CB","?"))</f>
        <v/>
      </c>
      <c r="I837" s="14" t="str">
        <f aca="false">IF(OR(E837="",E837="!!!",F837="NEW"),"",INDEX(B$2:B836,-1+SUMPRODUCT(MAX(ROW(E$2:E836)*(E837=E$2:E836)))))</f>
        <v/>
      </c>
      <c r="J837" s="15" t="str">
        <f aca="true">IF(OR(E837="",E837="!!!",F837="NEW"),"",COUNTBLANK(OFFSET(A$1,,,SUMPRODUCT(MAX(ROW(E$2:E837)*(E837=E$2:E837)))))-COUNTBLANK(OFFSET(A$1,,,SUMPRODUCT(MAX(ROW(E$1:E836)*(E837=E$1:E836))))))</f>
        <v/>
      </c>
      <c r="K837" s="15" t="str">
        <f aca="false">IF(OR(E837="",E837="!!!",F837="NEW"),"",INDEX(J$1:J836,SUMPRODUCT(MAX(ROW(E$1:E836)*(E837=E$1:E836)))))</f>
        <v/>
      </c>
      <c r="L837" s="16"/>
    </row>
    <row r="838" customFormat="false" ht="12.75" hidden="false" customHeight="false" outlineLevel="0" collapsed="false">
      <c r="A838" s="9" t="s">
        <v>95</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9" t="s">
        <v>148</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9" t="s">
        <v>274</v>
      </c>
      <c r="E840" s="10" t="str">
        <f aca="false">IF(D840="?OLD","!!!","")</f>
        <v/>
      </c>
      <c r="F840" s="11" t="str">
        <f aca="false">IF(OR(E840="",E840="!!!"),"",IF(NOT(ISNA(VLOOKUP(E840,E$1:E839,1,FALSE()))),"OLD",IF(AND(E840&lt;&gt;"",E840&lt;&gt;"!!!"),"NEW","")))</f>
        <v/>
      </c>
      <c r="G840" s="12" t="str">
        <f aca="false">IF(OR(E840="",E840="!!!"),"",IF(OR(J840=0,AND(J840=1,K840=1),AND(J840=1,I840="SBJ"),AND(J840=1,I840=0)),"?IN_FOCUS",IF(J840&lt;=2,"?ACTIVATED",IF(J840&lt;&gt;"","?FAMILIAR",IF(F840="NEW",IF(ISNA(VLOOKUP(E840,#REF!,1,FALSE())),"?TYPE_IDENTIFIABLE","?REFERENTIAL"),"_")))))</f>
        <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75" hidden="false" customHeight="false" outlineLevel="0" collapsed="false">
      <c r="A841" s="9" t="s">
        <v>22</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9" t="s">
        <v>145</v>
      </c>
      <c r="B842" s="0" t="s">
        <v>24</v>
      </c>
      <c r="C842" s="0" t="s">
        <v>107</v>
      </c>
      <c r="D842" s="0" t="s">
        <v>17</v>
      </c>
      <c r="E842" s="10" t="s">
        <v>53</v>
      </c>
      <c r="F842" s="11" t="str">
        <f aca="false">IF(OR(E842="",E842="!!!"),"",IF(NOT(ISNA(VLOOKUP(E842,E$1:E841,1,FALSE()))),"OLD",IF(AND(E842&lt;&gt;"",E842&lt;&gt;"!!!"),"NEW","")))</f>
        <v>OLD</v>
      </c>
      <c r="G842" s="12" t="s">
        <v>63</v>
      </c>
      <c r="H842" s="13"/>
      <c r="I842" s="14" t="str">
        <f aca="false">IF(OR(E842="",E842="!!!",F842="NEW"),"",INDEX(B$2:B841,-1+SUMPRODUCT(MAX(ROW(E$2:E841)*(E842=E$2:E841)))))</f>
        <v>other_3</v>
      </c>
      <c r="J842" s="15" t="n">
        <f aca="true">IF(OR(E842="",E842="!!!",F842="NEW"),"",COUNTBLANK(OFFSET(A$1,,,SUMPRODUCT(MAX(ROW(E$2:E842)*(E842=E$2:E842)))))-COUNTBLANK(OFFSET(A$1,,,SUMPRODUCT(MAX(ROW(E$1:E841)*(E842=E$1:E841))))))</f>
        <v>1</v>
      </c>
      <c r="K842" s="15" t="n">
        <f aca="false">IF(OR(E842="",E842="!!!",F842="NEW"),"",INDEX(J$1:J841,SUMPRODUCT(MAX(ROW(E$1:E841)*(E842=E$1:E841)))))</f>
        <v>0</v>
      </c>
      <c r="L842" s="16"/>
    </row>
    <row r="843" customFormat="false" ht="12.75" hidden="false" customHeight="false" outlineLevel="0" collapsed="false">
      <c r="A843" s="9" t="s">
        <v>35</v>
      </c>
      <c r="E843" s="10" t="str">
        <f aca="false">IF(D843="?OLD","!!!","")</f>
        <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9" t="s">
        <v>359</v>
      </c>
      <c r="B844" s="0" t="s">
        <v>128</v>
      </c>
      <c r="C844" s="0" t="s">
        <v>105</v>
      </c>
      <c r="D844" s="0" t="s">
        <v>17</v>
      </c>
      <c r="E844" s="10" t="s">
        <v>196</v>
      </c>
      <c r="F844" s="11" t="str">
        <f aca="false">IF(OR(E844="",E844="!!!"),"",IF(NOT(ISNA(VLOOKUP(E844,E$1:E843,1,FALSE()))),"OLD",IF(AND(E844&lt;&gt;"",E844&lt;&gt;"!!!"),"NEW","")))</f>
        <v>OLD</v>
      </c>
      <c r="G844" s="12" t="s">
        <v>44</v>
      </c>
      <c r="H844" s="13" t="str">
        <f aca="false">IF(J844&lt;&gt;1,"",IF(I844="SBJ","CB","?"))</f>
        <v/>
      </c>
      <c r="I844" s="14" t="str">
        <f aca="false">IF(OR(E844="",E844="!!!",F844="NEW"),"",INDEX(B$2:B843,-1+SUMPRODUCT(MAX(ROW(E$2:E843)*(E844=E$2:E843)))))</f>
        <v>other_3</v>
      </c>
      <c r="J844" s="15" t="n">
        <f aca="true">IF(OR(E844="",E844="!!!",F844="NEW"),"",COUNTBLANK(OFFSET(A$1,,,SUMPRODUCT(MAX(ROW(E$2:E844)*(E844=E$2:E844)))))-COUNTBLANK(OFFSET(A$1,,,SUMPRODUCT(MAX(ROW(E$1:E843)*(E844=E$1:E843))))))</f>
        <v>0</v>
      </c>
      <c r="K844" s="15" t="n">
        <f aca="false">IF(OR(E844="",E844="!!!",F844="NEW"),"",INDEX(J$1:J843,SUMPRODUCT(MAX(ROW(E$1:E843)*(E844=E$1:E843)))))</f>
        <v>0</v>
      </c>
      <c r="L844" s="16"/>
    </row>
    <row r="845" customFormat="false" ht="12.75" hidden="false" customHeight="false" outlineLevel="0" collapsed="false">
      <c r="A845" s="9" t="s">
        <v>381</v>
      </c>
      <c r="E845" s="10" t="str">
        <f aca="false">IF(D845="?OLD","!!!","")</f>
        <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9" t="s">
        <v>408</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9" t="s">
        <v>53</v>
      </c>
      <c r="B847" s="0" t="s">
        <v>37</v>
      </c>
      <c r="C847" s="0" t="s">
        <v>40</v>
      </c>
      <c r="D847" s="0" t="s">
        <v>17</v>
      </c>
      <c r="E847" s="10" t="s">
        <v>53</v>
      </c>
      <c r="F847" s="11" t="str">
        <f aca="false">IF(OR(E847="",E847="!!!"),"",IF(NOT(ISNA(VLOOKUP(E847,E$1:E846,1,FALSE()))),"OLD",IF(AND(E847&lt;&gt;"",E847&lt;&gt;"!!!"),"NEW","")))</f>
        <v>OLD</v>
      </c>
      <c r="G847" s="12" t="s">
        <v>63</v>
      </c>
      <c r="H847" s="13" t="str">
        <f aca="false">IF(J847&lt;&gt;1,"",IF(I847="SBJ","CB","?"))</f>
        <v/>
      </c>
      <c r="I847" s="14" t="str">
        <f aca="false">IF(OR(E847="",E847="!!!",F847="NEW"),"",INDEX(B$2:B846,-1+SUMPRODUCT(MAX(ROW(E$2:E846)*(E847=E$2:E846)))))</f>
        <v>other_2</v>
      </c>
      <c r="J847" s="15" t="n">
        <f aca="true">IF(OR(E847="",E847="!!!",F847="NEW"),"",COUNTBLANK(OFFSET(A$1,,,SUMPRODUCT(MAX(ROW(E$2:E847)*(E847=E$2:E847)))))-COUNTBLANK(OFFSET(A$1,,,SUMPRODUCT(MAX(ROW(E$1:E846)*(E847=E$1:E846))))))</f>
        <v>0</v>
      </c>
      <c r="K847" s="15" t="n">
        <f aca="false">IF(OR(E847="",E847="!!!",F847="NEW"),"",INDEX(J$1:J846,SUMPRODUCT(MAX(ROW(E$1:E846)*(E847=E$1:E846)))))</f>
        <v>1</v>
      </c>
      <c r="L847" s="16"/>
    </row>
    <row r="848" customFormat="false" ht="12.75" hidden="false" customHeight="false" outlineLevel="0" collapsed="false">
      <c r="A848" s="9" t="s">
        <v>60</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9" t="s">
        <v>138</v>
      </c>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9" t="s">
        <v>409</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A852" s="9" t="s">
        <v>131</v>
      </c>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75" hidden="false" customHeight="false" outlineLevel="0" collapsed="false">
      <c r="A853" s="9" t="s">
        <v>14</v>
      </c>
      <c r="B853" s="0" t="s">
        <v>15</v>
      </c>
      <c r="C853" s="0" t="s">
        <v>16</v>
      </c>
      <c r="D853" s="0" t="s">
        <v>17</v>
      </c>
      <c r="E853" s="10" t="s">
        <v>338</v>
      </c>
      <c r="F853" s="11" t="str">
        <f aca="false">IF(OR(E853="",E853="!!!"),"",IF(NOT(ISNA(VLOOKUP(E853,E$1:E852,1,FALSE()))),"OLD",IF(AND(E853&lt;&gt;"",E853&lt;&gt;"!!!"),"NEW","")))</f>
        <v>OLD</v>
      </c>
      <c r="G853" s="12" t="s">
        <v>63</v>
      </c>
      <c r="H853" s="13" t="s">
        <v>7</v>
      </c>
      <c r="I853" s="14" t="str">
        <f aca="false">IF(OR(E853="",E853="!!!",F853="NEW"),"",INDEX(B$2:B852,-1+SUMPRODUCT(MAX(ROW(E$2:E852)*(E853=E$2:E852)))))</f>
        <v>other_2</v>
      </c>
      <c r="J853" s="15" t="n">
        <f aca="true">IF(OR(E853="",E853="!!!",F853="NEW"),"",COUNTBLANK(OFFSET(A$1,,,SUMPRODUCT(MAX(ROW(E$2:E853)*(E853=E$2:E853)))))-COUNTBLANK(OFFSET(A$1,,,SUMPRODUCT(MAX(ROW(E$1:E852)*(E853=E$1:E852))))))</f>
        <v>1</v>
      </c>
      <c r="K853" s="15" t="n">
        <f aca="false">IF(OR(E853="",E853="!!!",F853="NEW"),"",INDEX(J$1:J852,SUMPRODUCT(MAX(ROW(E$1:E852)*(E853=E$1:E852)))))</f>
        <v>3</v>
      </c>
      <c r="L853" s="16"/>
    </row>
    <row r="854" customFormat="false" ht="12.75" hidden="false" customHeight="false" outlineLevel="0" collapsed="false">
      <c r="A854" s="9" t="s">
        <v>133</v>
      </c>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9" t="s">
        <v>410</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9" t="s">
        <v>27</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75" hidden="false" customHeight="false" outlineLevel="0" collapsed="false">
      <c r="A857" s="9" t="s">
        <v>22</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9" t="s">
        <v>411</v>
      </c>
      <c r="B858" s="0" t="s">
        <v>29</v>
      </c>
      <c r="C858" s="0" t="s">
        <v>25</v>
      </c>
      <c r="D858" s="0" t="s">
        <v>17</v>
      </c>
      <c r="E858" s="10" t="s">
        <v>412</v>
      </c>
      <c r="F858" s="11" t="str">
        <f aca="false">IF(OR(E858="",E858="!!!"),"",IF(NOT(ISNA(VLOOKUP(E858,E$1:E857,1,FALSE()))),"OLD",IF(AND(E858&lt;&gt;"",E858&lt;&gt;"!!!"),"NEW","")))</f>
        <v>NEW</v>
      </c>
      <c r="G858" s="12" t="s">
        <v>19</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9" t="s">
        <v>78</v>
      </c>
      <c r="E859" s="10" t="str">
        <f aca="false">IF(D859="?OLD","!!!","")</f>
        <v/>
      </c>
      <c r="F859" s="11" t="str">
        <f aca="false">IF(OR(E859="",E859="!!!"),"",IF(NOT(ISNA(VLOOKUP(E859,E$1:E858,1,FALSE()))),"OLD",IF(AND(E859&lt;&gt;"",E859&lt;&gt;"!!!"),"NEW","")))</f>
        <v/>
      </c>
      <c r="G859" s="12" t="str">
        <f aca="false">IF(OR(E859="",E859="!!!"),"",IF(OR(J859=0,AND(J859=1,K859=1),AND(J859=1,I859="SBJ"),AND(J859=1,I859=0)),"?IN_FOCUS",IF(J859&lt;=2,"?ACTIVATED",IF(J859&lt;&gt;"","?FAMILIAR",IF(F859="NEW",IF(ISNA(VLOOKUP(E859,#REF!,1,FALSE())),"?TYPE_IDENTIFIABLE","?REFERENTIAL"),"_")))))</f>
        <v/>
      </c>
      <c r="H859" s="13" t="str">
        <f aca="false">IF(J859&lt;&gt;1,"",IF(I859="SBJ","CB","?"))</f>
        <v/>
      </c>
      <c r="I859" s="14" t="str">
        <f aca="false">IF(OR(E859="",E859="!!!",F859="NEW"),"",INDEX(B$2:B858,-1+SUMPRODUCT(MAX(ROW(E$2:E858)*(E859=E$2:E858)))))</f>
        <v/>
      </c>
      <c r="J859" s="15" t="str">
        <f aca="true">IF(OR(E859="",E859="!!!",F859="NEW"),"",COUNTBLANK(OFFSET(A$1,,,SUMPRODUCT(MAX(ROW(E$2:E859)*(E859=E$2:E859)))))-COUNTBLANK(OFFSET(A$1,,,SUMPRODUCT(MAX(ROW(E$1:E858)*(E859=E$1:E858))))))</f>
        <v/>
      </c>
      <c r="K859" s="15" t="str">
        <f aca="false">IF(OR(E859="",E859="!!!",F859="NEW"),"",INDEX(J$1:J858,SUMPRODUCT(MAX(ROW(E$1:E858)*(E859=E$1:E858)))))</f>
        <v/>
      </c>
      <c r="L859" s="16"/>
    </row>
    <row r="860" customFormat="false" ht="12.75" hidden="false" customHeight="false" outlineLevel="0" collapsed="false">
      <c r="A860" s="9" t="s">
        <v>413</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9" t="s">
        <v>414</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9" t="s">
        <v>14</v>
      </c>
      <c r="B862" s="0" t="s">
        <v>15</v>
      </c>
      <c r="C862" s="0" t="s">
        <v>16</v>
      </c>
      <c r="D862" s="0" t="s">
        <v>17</v>
      </c>
      <c r="E862" s="10" t="s">
        <v>338</v>
      </c>
      <c r="F862" s="11" t="str">
        <f aca="false">IF(OR(E862="",E862="!!!"),"",IF(NOT(ISNA(VLOOKUP(E862,E$1:E861,1,FALSE()))),"OLD",IF(AND(E862&lt;&gt;"",E862&lt;&gt;"!!!"),"NEW","")))</f>
        <v>OLD</v>
      </c>
      <c r="G862" s="12" t="s">
        <v>44</v>
      </c>
      <c r="H862" s="13" t="str">
        <f aca="false">IF(J862&lt;&gt;1,"",IF(I862="SBJ","CB","?"))</f>
        <v/>
      </c>
      <c r="I862" s="14" t="str">
        <f aca="false">IF(OR(E862="",E862="!!!",F862="NEW"),"",INDEX(B$2:B861,-1+SUMPRODUCT(MAX(ROW(E$2:E861)*(E862=E$2:E861)))))</f>
        <v>SBJ_2</v>
      </c>
      <c r="J862" s="15" t="n">
        <f aca="true">IF(OR(E862="",E862="!!!",F862="NEW"),"",COUNTBLANK(OFFSET(A$1,,,SUMPRODUCT(MAX(ROW(E$2:E862)*(E862=E$2:E862)))))-COUNTBLANK(OFFSET(A$1,,,SUMPRODUCT(MAX(ROW(E$1:E861)*(E862=E$1:E861))))))</f>
        <v>0</v>
      </c>
      <c r="K862" s="15" t="n">
        <f aca="false">IF(OR(E862="",E862="!!!",F862="NEW"),"",INDEX(J$1:J861,SUMPRODUCT(MAX(ROW(E$1:E861)*(E862=E$1:E861)))))</f>
        <v>1</v>
      </c>
      <c r="L862" s="16"/>
    </row>
    <row r="863" customFormat="false" ht="12.75" hidden="false" customHeight="false" outlineLevel="0" collapsed="false">
      <c r="A863" s="9" t="s">
        <v>111</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A864" s="9" t="s">
        <v>112</v>
      </c>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9" t="s">
        <v>113</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9" t="s">
        <v>60</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E867" s="10" t="str">
        <f aca="false">IF(D867="?OLD","!!!","")</f>
        <v/>
      </c>
      <c r="F867" s="11" t="str">
        <f aca="false">IF(OR(E867="",E867="!!!"),"",IF(NOT(ISNA(VLOOKUP(E867,E$1:E866,1,FALSE()))),"OLD",IF(AND(E867&lt;&gt;"",E867&lt;&gt;"!!!"),"NEW","")))</f>
        <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75" hidden="false" customHeight="false" outlineLevel="0" collapsed="false">
      <c r="A868" s="9" t="s">
        <v>415</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9" t="s">
        <v>62</v>
      </c>
      <c r="B869" s="0" t="s">
        <v>29</v>
      </c>
      <c r="C869" s="0" t="s">
        <v>16</v>
      </c>
      <c r="D869" s="0" t="s">
        <v>17</v>
      </c>
      <c r="E869" s="10" t="s">
        <v>338</v>
      </c>
      <c r="F869" s="11" t="str">
        <f aca="false">IF(OR(E869="",E869="!!!"),"",IF(NOT(ISNA(VLOOKUP(E869,E$1:E868,1,FALSE()))),"OLD",IF(AND(E869&lt;&gt;"",E869&lt;&gt;"!!!"),"NEW","")))</f>
        <v>OLD</v>
      </c>
      <c r="G869" s="12" t="s">
        <v>63</v>
      </c>
      <c r="H869" s="13" t="s">
        <v>7</v>
      </c>
      <c r="I869" s="14" t="str">
        <f aca="false">IF(OR(E869="",E869="!!!",F869="NEW"),"",INDEX(B$2:B868,-1+SUMPRODUCT(MAX(ROW(E$2:E868)*(E869=E$2:E868)))))</f>
        <v>SBJ_2</v>
      </c>
      <c r="J869" s="15" t="n">
        <f aca="true">IF(OR(E869="",E869="!!!",F869="NEW"),"",COUNTBLANK(OFFSET(A$1,,,SUMPRODUCT(MAX(ROW(E$2:E869)*(E869=E$2:E869)))))-COUNTBLANK(OFFSET(A$1,,,SUMPRODUCT(MAX(ROW(E$1:E868)*(E869=E$1:E868))))))</f>
        <v>1</v>
      </c>
      <c r="K869" s="15" t="n">
        <f aca="false">IF(OR(E869="",E869="!!!",F869="NEW"),"",INDEX(J$1:J868,SUMPRODUCT(MAX(ROW(E$1:E868)*(E869=E$1:E868)))))</f>
        <v>0</v>
      </c>
      <c r="L869" s="16"/>
    </row>
    <row r="870" customFormat="false" ht="12.75" hidden="false" customHeight="false" outlineLevel="0" collapsed="false">
      <c r="A870" s="9" t="s">
        <v>111</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A871" s="9" t="s">
        <v>187</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9" t="s">
        <v>154</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75" hidden="false" customHeight="false" outlineLevel="0" collapsed="false">
      <c r="A873" s="9" t="s">
        <v>122</v>
      </c>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75" hidden="false" customHeight="false" outlineLevel="0" collapsed="false">
      <c r="A874" s="9" t="s">
        <v>22</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75" hidden="false" customHeight="false" outlineLevel="0" collapsed="false">
      <c r="A875" s="9" t="s">
        <v>155</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9" t="s">
        <v>156</v>
      </c>
      <c r="B876" s="0" t="s">
        <v>43</v>
      </c>
      <c r="C876" s="0" t="s">
        <v>25</v>
      </c>
      <c r="D876" s="0" t="s">
        <v>17</v>
      </c>
      <c r="E876" s="10" t="s">
        <v>157</v>
      </c>
      <c r="F876" s="11" t="str">
        <f aca="false">IF(OR(E876="",E876="!!!"),"",IF(NOT(ISNA(VLOOKUP(E876,E$1:E875,1,FALSE()))),"OLD",IF(AND(E876&lt;&gt;"",E876&lt;&gt;"!!!"),"NEW","")))</f>
        <v>OLD</v>
      </c>
      <c r="G876" s="12" t="s">
        <v>19</v>
      </c>
      <c r="H876" s="13" t="str">
        <f aca="false">IF(J876&lt;&gt;1,"",IF(I876="SBJ","CB","?"))</f>
        <v/>
      </c>
      <c r="I876" s="14" t="str">
        <f aca="false">IF(OR(E876="",E876="!!!",F876="NEW"),"",INDEX(B$2:B875,-1+SUMPRODUCT(MAX(ROW(E$2:E875)*(E876=E$2:E875)))))</f>
        <v>other_2</v>
      </c>
      <c r="J876" s="15" t="n">
        <f aca="true">IF(OR(E876="",E876="!!!",F876="NEW"),"",COUNTBLANK(OFFSET(A$1,,,SUMPRODUCT(MAX(ROW(E$2:E876)*(E876=E$2:E876)))))-COUNTBLANK(OFFSET(A$1,,,SUMPRODUCT(MAX(ROW(E$1:E875)*(E876=E$1:E875))))))</f>
        <v>19</v>
      </c>
      <c r="K876" s="15" t="str">
        <f aca="false">IF(OR(E876="",E876="!!!",F876="NEW"),"",INDEX(J$1:J875,SUMPRODUCT(MAX(ROW(E$1:E875)*(E876=E$1:E875)))))</f>
        <v/>
      </c>
      <c r="L876" s="16"/>
    </row>
    <row r="877" customFormat="false" ht="12.75" hidden="false" customHeight="false" outlineLevel="0" collapsed="false">
      <c r="A877" s="9" t="s">
        <v>27</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9" t="s">
        <v>32</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9" t="s">
        <v>14</v>
      </c>
      <c r="B879" s="0" t="s">
        <v>15</v>
      </c>
      <c r="C879" s="0" t="s">
        <v>16</v>
      </c>
      <c r="D879" s="0" t="s">
        <v>17</v>
      </c>
      <c r="E879" s="10" t="s">
        <v>338</v>
      </c>
      <c r="F879" s="11" t="str">
        <f aca="false">IF(OR(E879="",E879="!!!"),"",IF(NOT(ISNA(VLOOKUP(E879,E$1:E878,1,FALSE()))),"OLD",IF(AND(E879&lt;&gt;"",E879&lt;&gt;"!!!"),"NEW","")))</f>
        <v>OLD</v>
      </c>
      <c r="G879" s="12" t="s">
        <v>44</v>
      </c>
      <c r="H879" s="13" t="str">
        <f aca="false">IF(J879&lt;&gt;1,"",IF(I879="SBJ","CB","?"))</f>
        <v/>
      </c>
      <c r="I879" s="14" t="str">
        <f aca="false">IF(OR(E879="",E879="!!!",F879="NEW"),"",INDEX(B$2:B878,-1+SUMPRODUCT(MAX(ROW(E$2:E878)*(E879=E$2:E878)))))</f>
        <v>SBJ</v>
      </c>
      <c r="J879" s="15" t="n">
        <f aca="true">IF(OR(E879="",E879="!!!",F879="NEW"),"",COUNTBLANK(OFFSET(A$1,,,SUMPRODUCT(MAX(ROW(E$2:E879)*(E879=E$2:E879)))))-COUNTBLANK(OFFSET(A$1,,,SUMPRODUCT(MAX(ROW(E$1:E878)*(E879=E$1:E878))))))</f>
        <v>0</v>
      </c>
      <c r="K879" s="15" t="n">
        <f aca="false">IF(OR(E879="",E879="!!!",F879="NEW"),"",INDEX(J$1:J878,SUMPRODUCT(MAX(ROW(E$1:E878)*(E879=E$1:E878)))))</f>
        <v>1</v>
      </c>
      <c r="L879" s="16"/>
    </row>
    <row r="880" customFormat="false" ht="12.75" hidden="false" customHeight="false" outlineLevel="0" collapsed="false">
      <c r="A880" s="9" t="s">
        <v>20</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75" hidden="false" customHeight="false" outlineLevel="0" collapsed="false">
      <c r="A881" s="9" t="s">
        <v>22</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75" hidden="false" customHeight="false" outlineLevel="0" collapsed="false">
      <c r="A882" s="9" t="s">
        <v>89</v>
      </c>
      <c r="B882" s="0" t="s">
        <v>50</v>
      </c>
      <c r="C882" s="0" t="s">
        <v>107</v>
      </c>
      <c r="D882" s="0" t="s">
        <v>17</v>
      </c>
      <c r="E882" s="10" t="s">
        <v>401</v>
      </c>
      <c r="F882" s="11" t="str">
        <f aca="false">IF(OR(E882="",E882="!!!"),"",IF(NOT(ISNA(VLOOKUP(E882,E$1:E881,1,FALSE()))),"OLD",IF(AND(E882&lt;&gt;"",E882&lt;&gt;"!!!"),"NEW","")))</f>
        <v>OLD</v>
      </c>
      <c r="G882" s="12" t="s">
        <v>63</v>
      </c>
      <c r="H882" s="13" t="str">
        <f aca="false">IF(J882&lt;&gt;1,"",IF(I882="SBJ","CB","?"))</f>
        <v/>
      </c>
      <c r="I882" s="14" t="str">
        <f aca="false">IF(OR(E882="",E882="!!!",F882="NEW"),"",INDEX(B$2:B881,-1+SUMPRODUCT(MAX(ROW(E$2:E881)*(E882=E$2:E881)))))</f>
        <v>OBJ_2</v>
      </c>
      <c r="J882" s="15" t="n">
        <f aca="true">IF(OR(E882="",E882="!!!",F882="NEW"),"",COUNTBLANK(OFFSET(A$1,,,SUMPRODUCT(MAX(ROW(E$2:E882)*(E882=E$2:E882)))))-COUNTBLANK(OFFSET(A$1,,,SUMPRODUCT(MAX(ROW(E$1:E881)*(E882=E$1:E881))))))</f>
        <v>2</v>
      </c>
      <c r="K882" s="15" t="str">
        <f aca="false">IF(OR(E882="",E882="!!!",F882="NEW"),"",INDEX(J$1:J881,SUMPRODUCT(MAX(ROW(E$1:E881)*(E882=E$1:E881)))))</f>
        <v/>
      </c>
      <c r="L882" s="16"/>
    </row>
    <row r="883" customFormat="false" ht="12.75" hidden="false" customHeight="false" outlineLevel="0" collapsed="false">
      <c r="A883" s="9" t="s">
        <v>35</v>
      </c>
      <c r="E883" s="10" t="str">
        <f aca="false">IF(D883="?OLD","!!!","")</f>
        <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9" t="s">
        <v>196</v>
      </c>
      <c r="B884" s="0" t="s">
        <v>37</v>
      </c>
      <c r="C884" s="0" t="s">
        <v>40</v>
      </c>
      <c r="D884" s="0" t="s">
        <v>17</v>
      </c>
      <c r="E884" s="10" t="s">
        <v>196</v>
      </c>
      <c r="F884" s="11" t="str">
        <f aca="false">IF(OR(E884="",E884="!!!"),"",IF(NOT(ISNA(VLOOKUP(E884,E$1:E883,1,FALSE()))),"OLD",IF(AND(E884&lt;&gt;"",E884&lt;&gt;"!!!"),"NEW","")))</f>
        <v>OLD</v>
      </c>
      <c r="G884" s="12" t="s">
        <v>63</v>
      </c>
      <c r="H884" s="13" t="str">
        <f aca="false">IF(J884&lt;&gt;1,"",IF(I884="SBJ","CB","?"))</f>
        <v/>
      </c>
      <c r="I884" s="14" t="str">
        <f aca="false">IF(OR(E884="",E884="!!!",F884="NEW"),"",INDEX(B$2:B883,-1+SUMPRODUCT(MAX(ROW(E$2:E883)*(E884=E$2:E883)))))</f>
        <v>other_4</v>
      </c>
      <c r="J884" s="15" t="n">
        <f aca="true">IF(OR(E884="",E884="!!!",F884="NEW"),"",COUNTBLANK(OFFSET(A$1,,,SUMPRODUCT(MAX(ROW(E$2:E884)*(E884=E$2:E884)))))-COUNTBLANK(OFFSET(A$1,,,SUMPRODUCT(MAX(ROW(E$1:E883)*(E884=E$1:E883))))))</f>
        <v>2</v>
      </c>
      <c r="K884" s="15" t="n">
        <f aca="false">IF(OR(E884="",E884="!!!",F884="NEW"),"",INDEX(J$1:J883,SUMPRODUCT(MAX(ROW(E$1:E883)*(E884=E$1:E883)))))</f>
        <v>0</v>
      </c>
      <c r="L884" s="16"/>
    </row>
    <row r="885" customFormat="false" ht="12.75" hidden="false" customHeight="false" outlineLevel="0" collapsed="false">
      <c r="A885" s="9" t="s">
        <v>122</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9" t="s">
        <v>237</v>
      </c>
      <c r="B886" s="0" t="s">
        <v>24</v>
      </c>
      <c r="C886" s="0" t="s">
        <v>67</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A887" s="9" t="s">
        <v>60</v>
      </c>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75" hidden="false" customHeight="false" outlineLevel="0" collapsed="false">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A889" s="9" t="s">
        <v>416</v>
      </c>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75" hidden="false" customHeight="false" outlineLevel="0" collapsed="false">
      <c r="A890" s="9" t="s">
        <v>372</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9" t="s">
        <v>417</v>
      </c>
      <c r="B891" s="0" t="s">
        <v>43</v>
      </c>
      <c r="C891" s="0" t="s">
        <v>107</v>
      </c>
      <c r="D891" s="0" t="s">
        <v>17</v>
      </c>
      <c r="E891" s="10" t="s">
        <v>418</v>
      </c>
      <c r="F891" s="11" t="str">
        <f aca="false">IF(OR(E891="",E891="!!!"),"",IF(NOT(ISNA(VLOOKUP(E891,E$1:E890,1,FALSE()))),"OLD",IF(AND(E891&lt;&gt;"",E891&lt;&gt;"!!!"),"NEW","")))</f>
        <v>NEW</v>
      </c>
      <c r="G891" s="12" t="s">
        <v>19</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75" hidden="false" customHeight="false" outlineLevel="0" collapsed="false">
      <c r="A892" s="9" t="s">
        <v>35</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9" t="s">
        <v>84</v>
      </c>
      <c r="B893" s="0" t="s">
        <v>43</v>
      </c>
      <c r="C893" s="0" t="s">
        <v>85</v>
      </c>
      <c r="D893" s="0" t="s">
        <v>17</v>
      </c>
      <c r="E893" s="10" t="s">
        <v>338</v>
      </c>
      <c r="F893" s="11" t="str">
        <f aca="false">IF(OR(E893="",E893="!!!"),"",IF(NOT(ISNA(VLOOKUP(E893,E$1:E892,1,FALSE()))),"OLD",IF(AND(E893&lt;&gt;"",E893&lt;&gt;"!!!"),"NEW","")))</f>
        <v>OLD</v>
      </c>
      <c r="G893" s="12" t="s">
        <v>63</v>
      </c>
      <c r="H893" s="13" t="s">
        <v>7</v>
      </c>
      <c r="I893" s="14" t="str">
        <f aca="false">IF(OR(E893="",E893="!!!",F893="NEW"),"",INDEX(B$2:B892,-1+SUMPRODUCT(MAX(ROW(E$2:E892)*(E893=E$2:E892)))))</f>
        <v>SBJ_2</v>
      </c>
      <c r="J893" s="15" t="n">
        <f aca="true">IF(OR(E893="",E893="!!!",F893="NEW"),"",COUNTBLANK(OFFSET(A$1,,,SUMPRODUCT(MAX(ROW(E$2:E893)*(E893=E$2:E893)))))-COUNTBLANK(OFFSET(A$1,,,SUMPRODUCT(MAX(ROW(E$1:E892)*(E893=E$1:E892))))))</f>
        <v>1</v>
      </c>
      <c r="K893" s="15" t="n">
        <f aca="false">IF(OR(E893="",E893="!!!",F893="NEW"),"",INDEX(J$1:J892,SUMPRODUCT(MAX(ROW(E$1:E892)*(E893=E$1:E892)))))</f>
        <v>0</v>
      </c>
      <c r="L893" s="16"/>
    </row>
    <row r="894" customFormat="false" ht="12.75" hidden="false" customHeight="false" outlineLevel="0" collapsed="false">
      <c r="A894" s="9" t="s">
        <v>86</v>
      </c>
      <c r="B894" s="0" t="s">
        <v>87</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9" t="s">
        <v>92</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9" t="s">
        <v>111</v>
      </c>
      <c r="E896" s="10" t="str">
        <f aca="false">IF(D896="?OLD","!!!","")</f>
        <v/>
      </c>
      <c r="F896" s="11" t="str">
        <f aca="false">IF(OR(E896="",E896="!!!"),"",IF(NOT(ISNA(VLOOKUP(E896,E$1:E895,1,FALSE()))),"OLD",IF(AND(E896&lt;&gt;"",E896&lt;&gt;"!!!"),"NEW","")))</f>
        <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75" hidden="false" customHeight="false" outlineLevel="0" collapsed="false">
      <c r="A897" s="9" t="s">
        <v>35</v>
      </c>
      <c r="E897" s="10" t="str">
        <f aca="false">IF(D897="?OLD","!!!","")</f>
        <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9" t="s">
        <v>347</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9" t="s">
        <v>419</v>
      </c>
      <c r="B899" s="0" t="s">
        <v>37</v>
      </c>
      <c r="C899" s="0" t="s">
        <v>321</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9" t="s">
        <v>32</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9" t="s">
        <v>420</v>
      </c>
      <c r="B901" s="0" t="s">
        <v>128</v>
      </c>
      <c r="C901" s="0" t="s">
        <v>67</v>
      </c>
      <c r="E901" s="10" t="str">
        <f aca="false">IF(D901="?OLD","!!!","")</f>
        <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75" hidden="false" customHeight="false" outlineLevel="0" collapsed="false">
      <c r="A902" s="9" t="s">
        <v>60</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9" t="s">
        <v>421</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9" t="s">
        <v>422</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9" t="s">
        <v>347</v>
      </c>
      <c r="B906" s="0" t="s">
        <v>29</v>
      </c>
      <c r="C906" s="0" t="s">
        <v>107</v>
      </c>
      <c r="D906" s="0" t="s">
        <v>17</v>
      </c>
      <c r="E906" s="10" t="s">
        <v>338</v>
      </c>
      <c r="F906" s="11" t="str">
        <f aca="false">IF(OR(E906="",E906="!!!"),"",IF(NOT(ISNA(VLOOKUP(E906,E$1:E905,1,FALSE()))),"OLD",IF(AND(E906&lt;&gt;"",E906&lt;&gt;"!!!"),"NEW","")))</f>
        <v>OLD</v>
      </c>
      <c r="G906" s="12" t="s">
        <v>44</v>
      </c>
      <c r="H906" s="13" t="s">
        <v>7</v>
      </c>
      <c r="I906" s="14" t="str">
        <f aca="false">IF(OR(E906="",E906="!!!",F906="NEW"),"",INDEX(B$2:B905,-1+SUMPRODUCT(MAX(ROW(E$2:E905)*(E906=E$2:E905)))))</f>
        <v>other</v>
      </c>
      <c r="J906" s="15" t="n">
        <f aca="true">IF(OR(E906="",E906="!!!",F906="NEW"),"",COUNTBLANK(OFFSET(A$1,,,SUMPRODUCT(MAX(ROW(E$2:E906)*(E906=E$2:E906)))))-COUNTBLANK(OFFSET(A$1,,,SUMPRODUCT(MAX(ROW(E$1:E905)*(E906=E$1:E905))))))</f>
        <v>1</v>
      </c>
      <c r="K906" s="15" t="n">
        <f aca="false">IF(OR(E906="",E906="!!!",F906="NEW"),"",INDEX(J$1:J905,SUMPRODUCT(MAX(ROW(E$1:E905)*(E906=E$1:E905)))))</f>
        <v>1</v>
      </c>
      <c r="L906" s="16"/>
    </row>
    <row r="907" customFormat="false" ht="12.75" hidden="false" customHeight="false" outlineLevel="0" collapsed="false">
      <c r="A907" s="9" t="s">
        <v>35</v>
      </c>
      <c r="E907" s="10" t="str">
        <f aca="false">IF(D907="?OLD","!!!","")</f>
        <v/>
      </c>
      <c r="F907" s="11" t="str">
        <f aca="false">IF(OR(E907="",E907="!!!"),"",IF(NOT(ISNA(VLOOKUP(E907,E$1:E906,1,FALSE()))),"OLD",IF(AND(E907&lt;&gt;"",E907&lt;&gt;"!!!"),"NEW","")))</f>
        <v/>
      </c>
      <c r="G907" s="12" t="str">
        <f aca="false">IF(OR(E907="",E907="!!!"),"",IF(OR(J907=0,AND(J907=1,K907=1),AND(J907=1,I907="SBJ"),AND(J907=1,I907=0)),"?IN_FOCUS",IF(J907&lt;=2,"?ACTIVATED",IF(J907&lt;&gt;"","?FAMILIAR",IF(F907="NEW",IF(ISNA(VLOOKUP(E907,#REF!,1,FALSE())),"?TYPE_IDENTIFIABLE","?REFERENTIAL"),"_")))))</f>
        <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9" t="s">
        <v>42</v>
      </c>
      <c r="B908" s="0" t="s">
        <v>24</v>
      </c>
      <c r="C908" s="0" t="s">
        <v>16</v>
      </c>
      <c r="D908" s="0" t="s">
        <v>17</v>
      </c>
      <c r="E908" s="10" t="s">
        <v>338</v>
      </c>
      <c r="F908" s="11" t="str">
        <f aca="false">IF(OR(E908="",E908="!!!"),"",IF(NOT(ISNA(VLOOKUP(E908,E$1:E907,1,FALSE()))),"OLD",IF(AND(E908&lt;&gt;"",E908&lt;&gt;"!!!"),"NEW","")))</f>
        <v>OLD</v>
      </c>
      <c r="G908" s="12" t="s">
        <v>44</v>
      </c>
      <c r="H908" s="13" t="str">
        <f aca="false">IF(J908&lt;&gt;1,"",IF(I908="SBJ","CB","?"))</f>
        <v/>
      </c>
      <c r="I908" s="14" t="str">
        <f aca="false">IF(OR(E908="",E908="!!!",F908="NEW"),"",INDEX(B$2:B907,-1+SUMPRODUCT(MAX(ROW(E$2:E907)*(E908=E$2:E907)))))</f>
        <v>SBJ</v>
      </c>
      <c r="J908" s="15" t="n">
        <f aca="true">IF(OR(E908="",E908="!!!",F908="NEW"),"",COUNTBLANK(OFFSET(A$1,,,SUMPRODUCT(MAX(ROW(E$2:E908)*(E908=E$2:E908)))))-COUNTBLANK(OFFSET(A$1,,,SUMPRODUCT(MAX(ROW(E$1:E907)*(E908=E$1:E907))))))</f>
        <v>0</v>
      </c>
      <c r="K908" s="15" t="n">
        <f aca="false">IF(OR(E908="",E908="!!!",F908="NEW"),"",INDEX(J$1:J907,SUMPRODUCT(MAX(ROW(E$1:E907)*(E908=E$1:E907)))))</f>
        <v>1</v>
      </c>
      <c r="L908" s="16"/>
    </row>
    <row r="909" customFormat="false" ht="12.75" hidden="false" customHeight="false" outlineLevel="0" collapsed="false">
      <c r="A909" s="9" t="s">
        <v>423</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9" t="s">
        <v>103</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A911" s="9" t="s">
        <v>424</v>
      </c>
      <c r="B911" s="0" t="s">
        <v>15</v>
      </c>
      <c r="C911" s="0" t="s">
        <v>252</v>
      </c>
      <c r="D911" s="0" t="s">
        <v>17</v>
      </c>
      <c r="E911" s="10"/>
      <c r="F911" s="11" t="s">
        <v>253</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9" t="s">
        <v>35</v>
      </c>
      <c r="E912" s="10" t="str">
        <f aca="false">IF(D912="?OLD","!!!","")</f>
        <v/>
      </c>
      <c r="F912" s="11" t="str">
        <f aca="false">IF(OR(E912="",E912="!!!"),"",IF(NOT(ISNA(VLOOKUP(E912,E$1:E911,1,FALSE()))),"OLD",IF(AND(E912&lt;&gt;"",E912&lt;&gt;"!!!"),"NEW","")))</f>
        <v/>
      </c>
      <c r="G912" s="12" t="str">
        <f aca="false">IF(OR(E912="",E912="!!!"),"",IF(OR(J912=0,AND(J912=1,K912=1),AND(J912=1,I912="SBJ"),AND(J912=1,I912=0)),"?IN_FOCUS",IF(J912&lt;=2,"?ACTIVATED",IF(J912&lt;&gt;"","?FAMILIAR",IF(F912="NEW",IF(ISNA(VLOOKUP(E912,#REF!,1,FALSE())),"?TYPE_IDENTIFIABLE","?REFERENTIAL"),"_")))))</f>
        <v/>
      </c>
      <c r="H912" s="13" t="str">
        <f aca="false">IF(J912&lt;&gt;1,"",IF(I912="SBJ","CB","?"))</f>
        <v/>
      </c>
      <c r="I912" s="14" t="str">
        <f aca="false">IF(OR(E912="",E912="!!!",F912="NEW"),"",INDEX(B$2:B911,-1+SUMPRODUCT(MAX(ROW(E$2:E911)*(E912=E$2:E911)))))</f>
        <v/>
      </c>
      <c r="J912" s="15" t="str">
        <f aca="true">IF(OR(E912="",E912="!!!",F912="NEW"),"",COUNTBLANK(OFFSET(A$1,,,SUMPRODUCT(MAX(ROW(E$2:E912)*(E912=E$2:E912)))))-COUNTBLANK(OFFSET(A$1,,,SUMPRODUCT(MAX(ROW(E$1:E911)*(E912=E$1:E911))))))</f>
        <v/>
      </c>
      <c r="K912" s="15" t="str">
        <f aca="false">IF(OR(E912="",E912="!!!",F912="NEW"),"",INDEX(J$1:J911,SUMPRODUCT(MAX(ROW(E$1:E911)*(E912=E$1:E911)))))</f>
        <v/>
      </c>
      <c r="L912" s="16"/>
    </row>
    <row r="913" customFormat="false" ht="12.75" hidden="false" customHeight="false" outlineLevel="0" collapsed="false">
      <c r="A913" s="9" t="s">
        <v>22</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9" t="s">
        <v>314</v>
      </c>
      <c r="B914" s="0" t="s">
        <v>37</v>
      </c>
      <c r="C914" s="0" t="s">
        <v>25</v>
      </c>
      <c r="D914" s="0" t="s">
        <v>17</v>
      </c>
      <c r="E914" s="10" t="s">
        <v>425</v>
      </c>
      <c r="F914" s="11" t="str">
        <f aca="false">IF(OR(E914="",E914="!!!"),"",IF(NOT(ISNA(VLOOKUP(E914,E$1:E913,1,FALSE()))),"OLD",IF(AND(E914&lt;&gt;"",E914&lt;&gt;"!!!"),"NEW","")))</f>
        <v>NEW</v>
      </c>
      <c r="G914" s="12" t="s">
        <v>31</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75" hidden="false" customHeight="false" outlineLevel="0" collapsed="false">
      <c r="A915" s="9" t="s">
        <v>210</v>
      </c>
      <c r="B915" s="0" t="s">
        <v>172</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75" hidden="false" customHeight="false" outlineLevel="0" collapsed="false">
      <c r="A916" s="9" t="s">
        <v>426</v>
      </c>
      <c r="B916" s="0" t="s">
        <v>163</v>
      </c>
      <c r="C916" s="0" t="s">
        <v>16</v>
      </c>
      <c r="D916" s="0" t="s">
        <v>17</v>
      </c>
      <c r="E916" s="10" t="s">
        <v>338</v>
      </c>
      <c r="F916" s="11" t="str">
        <f aca="false">IF(OR(E916="",E916="!!!"),"",IF(NOT(ISNA(VLOOKUP(E916,E$1:E915,1,FALSE()))),"OLD",IF(AND(E916&lt;&gt;"",E916&lt;&gt;"!!!"),"NEW","")))</f>
        <v>OLD</v>
      </c>
      <c r="G916" s="12" t="s">
        <v>44</v>
      </c>
      <c r="H916" s="13" t="str">
        <f aca="false">IF(J916&lt;&gt;1,"",IF(I916="SBJ","CB","?"))</f>
        <v/>
      </c>
      <c r="I916" s="14" t="str">
        <f aca="false">IF(OR(E916="",E916="!!!",F916="NEW"),"",INDEX(B$2:B915,-1+SUMPRODUCT(MAX(ROW(E$2:E915)*(E916=E$2:E915)))))</f>
        <v>other_2</v>
      </c>
      <c r="J916" s="15" t="n">
        <f aca="true">IF(OR(E916="",E916="!!!",F916="NEW"),"",COUNTBLANK(OFFSET(A$1,,,SUMPRODUCT(MAX(ROW(E$2:E916)*(E916=E$2:E916)))))-COUNTBLANK(OFFSET(A$1,,,SUMPRODUCT(MAX(ROW(E$1:E915)*(E916=E$1:E915))))))</f>
        <v>0</v>
      </c>
      <c r="K916" s="15" t="n">
        <f aca="false">IF(OR(E916="",E916="!!!",F916="NEW"),"",INDEX(J$1:J915,SUMPRODUCT(MAX(ROW(E$1:E915)*(E916=E$1:E915)))))</f>
        <v>0</v>
      </c>
      <c r="L916" s="16"/>
    </row>
    <row r="917" customFormat="false" ht="12.75" hidden="false" customHeight="false" outlineLevel="0" collapsed="false">
      <c r="A917" s="9" t="s">
        <v>427</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9" t="s">
        <v>78</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75" hidden="false" customHeight="false" outlineLevel="0" collapsed="false">
      <c r="A919" s="9" t="s">
        <v>377</v>
      </c>
      <c r="B919" s="0" t="s">
        <v>24</v>
      </c>
      <c r="C919" s="0" t="s">
        <v>105</v>
      </c>
      <c r="D919" s="0" t="s">
        <v>17</v>
      </c>
      <c r="E919" s="10" t="s">
        <v>338</v>
      </c>
      <c r="F919" s="11" t="str">
        <f aca="false">IF(OR(E919="",E919="!!!"),"",IF(NOT(ISNA(VLOOKUP(E919,E$1:E918,1,FALSE()))),"OLD",IF(AND(E919&lt;&gt;"",E919&lt;&gt;"!!!"),"NEW","")))</f>
        <v>OLD</v>
      </c>
      <c r="G919" s="12" t="s">
        <v>44</v>
      </c>
      <c r="H919" s="13" t="str">
        <f aca="false">IF(J919&lt;&gt;1,"",IF(I919="SBJ","CB","?"))</f>
        <v/>
      </c>
      <c r="I919" s="14" t="str">
        <f aca="false">IF(OR(E919="",E919="!!!",F919="NEW"),"",INDEX(B$2:B918,-1+SUMPRODUCT(MAX(ROW(E$2:E918)*(E919=E$2:E918)))))</f>
        <v>SBJ_5</v>
      </c>
      <c r="J919" s="15" t="n">
        <f aca="true">IF(OR(E919="",E919="!!!",F919="NEW"),"",COUNTBLANK(OFFSET(A$1,,,SUMPRODUCT(MAX(ROW(E$2:E919)*(E919=E$2:E919)))))-COUNTBLANK(OFFSET(A$1,,,SUMPRODUCT(MAX(ROW(E$1:E918)*(E919=E$1:E918))))))</f>
        <v>0</v>
      </c>
      <c r="K919" s="15" t="n">
        <f aca="false">IF(OR(E919="",E919="!!!",F919="NEW"),"",INDEX(J$1:J918,SUMPRODUCT(MAX(ROW(E$1:E918)*(E919=E$1:E918)))))</f>
        <v>0</v>
      </c>
      <c r="L919" s="16"/>
    </row>
    <row r="920" customFormat="false" ht="12.75" hidden="false" customHeight="false" outlineLevel="0" collapsed="false">
      <c r="A920" s="9" t="s">
        <v>336</v>
      </c>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75" hidden="false" customHeight="false" outlineLevel="0" collapsed="false">
      <c r="A921" s="9" t="s">
        <v>27</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75" hidden="false" customHeight="false" outlineLevel="0" collapsed="false">
      <c r="A922" s="9" t="s">
        <v>428</v>
      </c>
      <c r="E922" s="10" t="str">
        <f aca="false">IF(D922="?OLD","!!!","")</f>
        <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75" hidden="false" customHeight="false" outlineLevel="0" collapsed="false">
      <c r="A923" s="9" t="s">
        <v>14</v>
      </c>
      <c r="B923" s="0" t="s">
        <v>15</v>
      </c>
      <c r="C923" s="0" t="s">
        <v>16</v>
      </c>
      <c r="D923" s="0" t="s">
        <v>17</v>
      </c>
      <c r="E923" s="10" t="s">
        <v>338</v>
      </c>
      <c r="F923" s="11" t="str">
        <f aca="false">IF(OR(E923="",E923="!!!"),"",IF(NOT(ISNA(VLOOKUP(E923,E$1:E922,1,FALSE()))),"OLD",IF(AND(E923&lt;&gt;"",E923&lt;&gt;"!!!"),"NEW","")))</f>
        <v>OLD</v>
      </c>
      <c r="G923" s="12" t="s">
        <v>44</v>
      </c>
      <c r="H923" s="13" t="str">
        <f aca="false">IF(J923&lt;&gt;1,"",IF(I923="SBJ","CB","?"))</f>
        <v/>
      </c>
      <c r="I923" s="14" t="str">
        <f aca="false">IF(OR(E923="",E923="!!!",F923="NEW"),"",INDEX(B$2:B922,-1+SUMPRODUCT(MAX(ROW(E$2:E922)*(E923=E$2:E922)))))</f>
        <v>other_2</v>
      </c>
      <c r="J923" s="15" t="n">
        <f aca="true">IF(OR(E923="",E923="!!!",F923="NEW"),"",COUNTBLANK(OFFSET(A$1,,,SUMPRODUCT(MAX(ROW(E$2:E923)*(E923=E$2:E923)))))-COUNTBLANK(OFFSET(A$1,,,SUMPRODUCT(MAX(ROW(E$1:E922)*(E923=E$1:E922))))))</f>
        <v>0</v>
      </c>
      <c r="K923" s="15" t="n">
        <f aca="false">IF(OR(E923="",E923="!!!",F923="NEW"),"",INDEX(J$1:J922,SUMPRODUCT(MAX(ROW(E$1:E922)*(E923=E$1:E922)))))</f>
        <v>0</v>
      </c>
      <c r="L923" s="16"/>
    </row>
    <row r="924" customFormat="false" ht="12.75" hidden="false" customHeight="false" outlineLevel="0" collapsed="false">
      <c r="A924" s="9" t="s">
        <v>133</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75" hidden="false" customHeight="false" outlineLevel="0" collapsed="false">
      <c r="A925" s="9" t="s">
        <v>187</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75" hidden="false" customHeight="false" outlineLevel="0" collapsed="false">
      <c r="A926" s="9" t="s">
        <v>314</v>
      </c>
      <c r="B926" s="0" t="s">
        <v>50</v>
      </c>
      <c r="C926" s="0" t="s">
        <v>173</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75" hidden="false" customHeight="false" outlineLevel="0" collapsed="false">
      <c r="A927" s="9" t="s">
        <v>52</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9" t="s">
        <v>429</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9" t="s">
        <v>60</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E930" s="10" t="str">
        <f aca="false">IF(D930="?OLD","!!!","")</f>
        <v/>
      </c>
      <c r="F930" s="11" t="str">
        <f aca="false">IF(OR(E930="",E930="!!!"),"",IF(NOT(ISNA(VLOOKUP(E930,E$1:E929,1,FALSE()))),"OLD",IF(AND(E930&lt;&gt;"",E930&lt;&gt;"!!!"),"NEW","")))</f>
        <v/>
      </c>
      <c r="G930" s="12" t="str">
        <f aca="false">IF(OR(E930="",E930="!!!"),"",IF(OR(J930=0,AND(J930=1,K930=1),AND(J930=1,I930="SBJ"),AND(J930=1,I930=0)),"?IN_FOCUS",IF(J930&lt;=2,"?ACTIVATED",IF(J930&lt;&gt;"","?FAMILIAR",IF(F930="NEW",IF(ISNA(VLOOKUP(E930,#REF!,1,FALSE())),"?TYPE_IDENTIFIABLE","?REFERENTIAL"),"_")))))</f>
        <v/>
      </c>
      <c r="H930" s="13" t="str">
        <f aca="false">IF(J930&lt;&gt;1,"",IF(I930="SBJ","CB","?"))</f>
        <v/>
      </c>
      <c r="I930" s="14" t="str">
        <f aca="false">IF(OR(E930="",E930="!!!",F930="NEW"),"",INDEX(B$2:B929,-1+SUMPRODUCT(MAX(ROW(E$2:E929)*(E930=E$2:E929)))))</f>
        <v/>
      </c>
      <c r="J930" s="15" t="str">
        <f aca="true">IF(OR(E930="",E930="!!!",F930="NEW"),"",COUNTBLANK(OFFSET(A$1,,,SUMPRODUCT(MAX(ROW(E$2:E930)*(E930=E$2:E930)))))-COUNTBLANK(OFFSET(A$1,,,SUMPRODUCT(MAX(ROW(E$1:E929)*(E930=E$1:E929))))))</f>
        <v/>
      </c>
      <c r="K930" s="15" t="str">
        <f aca="false">IF(OR(E930="",E930="!!!",F930="NEW"),"",INDEX(J$1:J929,SUMPRODUCT(MAX(ROW(E$1:E929)*(E930=E$1:E929)))))</f>
        <v/>
      </c>
      <c r="L930" s="16"/>
    </row>
    <row r="931" customFormat="false" ht="12.75" hidden="false" customHeight="false" outlineLevel="0" collapsed="false">
      <c r="A931" s="9" t="s">
        <v>430</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9" t="s">
        <v>431</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9" t="s">
        <v>432</v>
      </c>
      <c r="E933" s="10" t="str">
        <f aca="false">IF(D933="?OLD","!!!","")</f>
        <v/>
      </c>
      <c r="F933" s="11" t="str">
        <f aca="false">IF(OR(E933="",E933="!!!"),"",IF(NOT(ISNA(VLOOKUP(E933,E$1:E932,1,FALSE()))),"OLD",IF(AND(E933&lt;&gt;"",E933&lt;&gt;"!!!"),"NEW","")))</f>
        <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row>
    <row r="934" customFormat="false" ht="12.75" hidden="false" customHeight="false" outlineLevel="0" collapsed="false">
      <c r="A934" s="9" t="s">
        <v>142</v>
      </c>
      <c r="B934" s="0" t="s">
        <v>43</v>
      </c>
      <c r="C934" s="0" t="s">
        <v>67</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9" t="s">
        <v>27</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75" hidden="false" customHeight="false" outlineLevel="0" collapsed="false">
      <c r="A936" s="9" t="s">
        <v>22</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9" t="s">
        <v>433</v>
      </c>
      <c r="B937" s="0" t="s">
        <v>29</v>
      </c>
      <c r="C937" s="0" t="s">
        <v>25</v>
      </c>
      <c r="D937" s="0" t="s">
        <v>17</v>
      </c>
      <c r="E937" s="10" t="s">
        <v>338</v>
      </c>
      <c r="F937" s="11" t="str">
        <f aca="false">IF(OR(E937="",E937="!!!"),"",IF(NOT(ISNA(VLOOKUP(E937,E$1:E936,1,FALSE()))),"OLD",IF(AND(E937&lt;&gt;"",E937&lt;&gt;"!!!"),"NEW","")))</f>
        <v>OLD</v>
      </c>
      <c r="G937" s="12" t="s">
        <v>19</v>
      </c>
      <c r="H937" s="13" t="s">
        <v>7</v>
      </c>
      <c r="I937" s="14" t="str">
        <f aca="false">IF(OR(E937="",E937="!!!",F937="NEW"),"",INDEX(B$2:B936,-1+SUMPRODUCT(MAX(ROW(E$2:E936)*(E937=E$2:E936)))))</f>
        <v>SBJ_2</v>
      </c>
      <c r="J937" s="15" t="n">
        <f aca="true">IF(OR(E937="",E937="!!!",F937="NEW"),"",COUNTBLANK(OFFSET(A$1,,,SUMPRODUCT(MAX(ROW(E$2:E937)*(E937=E$2:E937)))))-COUNTBLANK(OFFSET(A$1,,,SUMPRODUCT(MAX(ROW(E$1:E936)*(E937=E$1:E936))))))</f>
        <v>1</v>
      </c>
      <c r="K937" s="15" t="n">
        <f aca="false">IF(OR(E937="",E937="!!!",F937="NEW"),"",INDEX(J$1:J936,SUMPRODUCT(MAX(ROW(E$1:E936)*(E937=E$1:E936)))))</f>
        <v>0</v>
      </c>
      <c r="L937" s="16"/>
    </row>
    <row r="938" customFormat="false" ht="12.75" hidden="false" customHeight="false" outlineLevel="0" collapsed="false">
      <c r="A938" s="9" t="s">
        <v>434</v>
      </c>
      <c r="E938" s="10" t="str">
        <f aca="false">IF(D938="?OLD","!!!","")</f>
        <v/>
      </c>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75" hidden="false" customHeight="false" outlineLevel="0" collapsed="false">
      <c r="A939" s="9" t="s">
        <v>104</v>
      </c>
      <c r="B939" s="0" t="s">
        <v>24</v>
      </c>
      <c r="C939" s="0" t="s">
        <v>105</v>
      </c>
      <c r="D939" s="0" t="s">
        <v>17</v>
      </c>
      <c r="E939" s="10" t="s">
        <v>338</v>
      </c>
      <c r="F939" s="11" t="str">
        <f aca="false">IF(OR(E939="",E939="!!!"),"",IF(NOT(ISNA(VLOOKUP(E939,E$1:E938,1,FALSE()))),"OLD",IF(AND(E939&lt;&gt;"",E939&lt;&gt;"!!!"),"NEW","")))</f>
        <v>OLD</v>
      </c>
      <c r="G939" s="12" t="s">
        <v>44</v>
      </c>
      <c r="H939" s="13" t="str">
        <f aca="false">IF(J939&lt;&gt;1,"",IF(I939="SBJ","CB","?"))</f>
        <v/>
      </c>
      <c r="I939" s="14" t="str">
        <f aca="false">IF(OR(E939="",E939="!!!",F939="NEW"),"",INDEX(B$2:B938,-1+SUMPRODUCT(MAX(ROW(E$2:E938)*(E939=E$2:E938)))))</f>
        <v>SBJ</v>
      </c>
      <c r="J939" s="15" t="n">
        <f aca="true">IF(OR(E939="",E939="!!!",F939="NEW"),"",COUNTBLANK(OFFSET(A$1,,,SUMPRODUCT(MAX(ROW(E$2:E939)*(E939=E$2:E939)))))-COUNTBLANK(OFFSET(A$1,,,SUMPRODUCT(MAX(ROW(E$1:E938)*(E939=E$1:E938))))))</f>
        <v>0</v>
      </c>
      <c r="K939" s="15" t="n">
        <f aca="false">IF(OR(E939="",E939="!!!",F939="NEW"),"",INDEX(J$1:J938,SUMPRODUCT(MAX(ROW(E$1:E938)*(E939=E$1:E938)))))</f>
        <v>1</v>
      </c>
      <c r="L939" s="16"/>
    </row>
    <row r="940" customFormat="false" ht="12.75" hidden="false" customHeight="false" outlineLevel="0" collapsed="false">
      <c r="A940" s="9" t="s">
        <v>435</v>
      </c>
      <c r="B940" s="0" t="s">
        <v>66</v>
      </c>
      <c r="C940" s="0" t="s">
        <v>107</v>
      </c>
      <c r="D940" s="0" t="s">
        <v>17</v>
      </c>
      <c r="E940" s="10" t="s">
        <v>436</v>
      </c>
      <c r="F940" s="11" t="str">
        <f aca="false">IF(OR(E940="",E940="!!!"),"",IF(NOT(ISNA(VLOOKUP(E940,E$1:E939,1,FALSE()))),"OLD",IF(AND(E940&lt;&gt;"",E940&lt;&gt;"!!!"),"NEW","")))</f>
        <v>NEW</v>
      </c>
      <c r="G940" s="12" t="s">
        <v>31</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75" hidden="false" customHeight="false" outlineLevel="0" collapsed="false">
      <c r="A941" s="9" t="s">
        <v>35</v>
      </c>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9" t="s">
        <v>22</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75" hidden="false" customHeight="false" outlineLevel="0" collapsed="false">
      <c r="A943" s="9" t="s">
        <v>55</v>
      </c>
      <c r="B943" s="0" t="s">
        <v>24</v>
      </c>
      <c r="C943" s="0" t="s">
        <v>107</v>
      </c>
      <c r="D943" s="0" t="s">
        <v>17</v>
      </c>
      <c r="E943" s="10" t="s">
        <v>57</v>
      </c>
      <c r="F943" s="11" t="str">
        <f aca="false">IF(OR(E943="",E943="!!!"),"",IF(NOT(ISNA(VLOOKUP(E943,E$1:E942,1,FALSE()))),"OLD",IF(AND(E943&lt;&gt;"",E943&lt;&gt;"!!!"),"NEW","")))</f>
        <v>OLD</v>
      </c>
      <c r="G943" s="12" t="s">
        <v>19</v>
      </c>
      <c r="H943" s="13" t="str">
        <f aca="false">IF(J943&lt;&gt;1,"",IF(I943="SBJ","CB","?"))</f>
        <v/>
      </c>
      <c r="I943" s="14" t="str">
        <f aca="false">IF(OR(E943="",E943="!!!",F943="NEW"),"",INDEX(B$2:B942,-1+SUMPRODUCT(MAX(ROW(E$2:E942)*(E943=E$2:E942)))))</f>
        <v>OBJ_3</v>
      </c>
      <c r="J943" s="15" t="n">
        <f aca="true">IF(OR(E943="",E943="!!!",F943="NEW"),"",COUNTBLANK(OFFSET(A$1,,,SUMPRODUCT(MAX(ROW(E$2:E943)*(E943=E$2:E943)))))-COUNTBLANK(OFFSET(A$1,,,SUMPRODUCT(MAX(ROW(E$1:E942)*(E943=E$1:E942))))))</f>
        <v>28</v>
      </c>
      <c r="K943" s="15" t="str">
        <f aca="false">IF(OR(E943="",E943="!!!",F943="NEW"),"",INDEX(J$1:J942,SUMPRODUCT(MAX(ROW(E$1:E942)*(E943=E$1:E942)))))</f>
        <v/>
      </c>
      <c r="L943" s="16"/>
    </row>
    <row r="944" customFormat="false" ht="12.75" hidden="false" customHeight="false" outlineLevel="0" collapsed="false">
      <c r="A944" s="9" t="s">
        <v>35</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9" t="s">
        <v>22</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A946" s="9" t="s">
        <v>350</v>
      </c>
      <c r="E946" s="10" t="str">
        <f aca="false">IF(D946="?OLD","!!!","")</f>
        <v/>
      </c>
      <c r="F946" s="11" t="str">
        <f aca="false">IF(OR(E946="",E946="!!!"),"",IF(NOT(ISNA(VLOOKUP(E946,E$1:E945,1,FALSE()))),"OLD",IF(AND(E946&lt;&gt;"",E946&lt;&gt;"!!!"),"NEW","")))</f>
        <v/>
      </c>
      <c r="G946" s="12" t="str">
        <f aca="false">IF(OR(E946="",E946="!!!"),"",IF(OR(J946=0,AND(J946=1,K946=1),AND(J946=1,I946="SBJ"),AND(J946=1,I946=0)),"?IN_FOCUS",IF(J946&lt;=2,"?ACTIVATED",IF(J946&lt;&gt;"","?FAMILIAR",IF(F946="NEW",IF(ISNA(VLOOKUP(E946,#REF!,1,FALSE())),"?TYPE_IDENTIFIABLE","?REFERENTIAL"),"_")))))</f>
        <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75" hidden="false" customHeight="false" outlineLevel="0" collapsed="false">
      <c r="A947" s="9" t="s">
        <v>53</v>
      </c>
      <c r="B947" s="0" t="s">
        <v>37</v>
      </c>
      <c r="C947" s="0" t="s">
        <v>40</v>
      </c>
      <c r="D947" s="0" t="s">
        <v>17</v>
      </c>
      <c r="E947" s="10" t="s">
        <v>53</v>
      </c>
      <c r="F947" s="11" t="str">
        <f aca="false">IF(OR(E947="",E947="!!!"),"",IF(NOT(ISNA(VLOOKUP(E947,E$1:E946,1,FALSE()))),"OLD",IF(AND(E947&lt;&gt;"",E947&lt;&gt;"!!!"),"NEW","")))</f>
        <v>OLD</v>
      </c>
      <c r="G947" s="12" t="s">
        <v>19</v>
      </c>
      <c r="H947" s="13" t="str">
        <f aca="false">IF(J947&lt;&gt;1,"",IF(I947="SBJ","CB","?"))</f>
        <v/>
      </c>
      <c r="I947" s="14" t="str">
        <f aca="false">IF(OR(E947="",E947="!!!",F947="NEW"),"",INDEX(B$2:B946,-1+SUMPRODUCT(MAX(ROW(E$2:E946)*(E947=E$2:E946)))))</f>
        <v>other_3</v>
      </c>
      <c r="J947" s="15" t="n">
        <f aca="true">IF(OR(E947="",E947="!!!",F947="NEW"),"",COUNTBLANK(OFFSET(A$1,,,SUMPRODUCT(MAX(ROW(E$2:E947)*(E947=E$2:E947)))))-COUNTBLANK(OFFSET(A$1,,,SUMPRODUCT(MAX(ROW(E$1:E946)*(E947=E$1:E946))))))</f>
        <v>5</v>
      </c>
      <c r="K947" s="15" t="n">
        <f aca="false">IF(OR(E947="",E947="!!!",F947="NEW"),"",INDEX(J$1:J946,SUMPRODUCT(MAX(ROW(E$1:E946)*(E947=E$1:E946)))))</f>
        <v>0</v>
      </c>
      <c r="L947" s="16"/>
    </row>
    <row r="948" customFormat="false" ht="12.75" hidden="false" customHeight="false" outlineLevel="0" collapsed="false">
      <c r="A948" s="9" t="s">
        <v>60</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75" hidden="false" customHeight="false" outlineLevel="0" collapsed="false">
      <c r="A950" s="9" t="s">
        <v>437</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75" hidden="false" customHeight="false" outlineLevel="0" collapsed="false">
      <c r="A951" s="9" t="s">
        <v>438</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75" hidden="false" customHeight="false" outlineLevel="0" collapsed="false">
      <c r="A952" s="9" t="s">
        <v>439</v>
      </c>
      <c r="B952" s="0" t="s">
        <v>29</v>
      </c>
      <c r="C952" s="0" t="s">
        <v>67</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9" t="s">
        <v>78</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75" hidden="false" customHeight="false" outlineLevel="0" collapsed="false">
      <c r="A954" s="9" t="s">
        <v>68</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9" t="s">
        <v>42</v>
      </c>
      <c r="B955" s="0" t="s">
        <v>43</v>
      </c>
      <c r="C955" s="0" t="s">
        <v>16</v>
      </c>
      <c r="D955" s="0" t="s">
        <v>17</v>
      </c>
      <c r="E955" s="10" t="s">
        <v>338</v>
      </c>
      <c r="F955" s="11" t="str">
        <f aca="false">IF(OR(E955="",E955="!!!"),"",IF(NOT(ISNA(VLOOKUP(E955,E$1:E954,1,FALSE()))),"OLD",IF(AND(E955&lt;&gt;"",E955&lt;&gt;"!!!"),"NEW","")))</f>
        <v>OLD</v>
      </c>
      <c r="G955" s="12" t="s">
        <v>63</v>
      </c>
      <c r="H955" s="13" t="s">
        <v>7</v>
      </c>
      <c r="I955" s="14" t="str">
        <f aca="false">IF(OR(E955="",E955="!!!",F955="NEW"),"",INDEX(B$2:B954,-1+SUMPRODUCT(MAX(ROW(E$2:E954)*(E955=E$2:E954)))))</f>
        <v>other_2</v>
      </c>
      <c r="J955" s="15" t="n">
        <f aca="true">IF(OR(E955="",E955="!!!",F955="NEW"),"",COUNTBLANK(OFFSET(A$1,,,SUMPRODUCT(MAX(ROW(E$2:E955)*(E955=E$2:E955)))))-COUNTBLANK(OFFSET(A$1,,,SUMPRODUCT(MAX(ROW(E$1:E954)*(E955=E$1:E954))))))</f>
        <v>1</v>
      </c>
      <c r="K955" s="15" t="n">
        <f aca="false">IF(OR(E955="",E955="!!!",F955="NEW"),"",INDEX(J$1:J954,SUMPRODUCT(MAX(ROW(E$1:E954)*(E955=E$1:E954)))))</f>
        <v>0</v>
      </c>
      <c r="L955" s="16"/>
    </row>
    <row r="956" customFormat="false" ht="12.75" hidden="false" customHeight="false" outlineLevel="0" collapsed="false">
      <c r="A956" s="9" t="s">
        <v>187</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9" t="s">
        <v>60</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A959" s="9" t="s">
        <v>440</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9" t="s">
        <v>327</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75" hidden="false" customHeight="false" outlineLevel="0" collapsed="false">
      <c r="A961" s="9" t="s">
        <v>222</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9" t="s">
        <v>78</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9" t="s">
        <v>120</v>
      </c>
      <c r="B963" s="0" t="s">
        <v>43</v>
      </c>
      <c r="C963" s="0" t="s">
        <v>121</v>
      </c>
      <c r="D963" s="0" t="s">
        <v>17</v>
      </c>
      <c r="E963" s="10"/>
      <c r="F963" s="11" t="s">
        <v>77</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75" hidden="false" customHeight="false" outlineLevel="0" collapsed="false">
      <c r="A964" s="9" t="s">
        <v>228</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A965" s="9" t="s">
        <v>42</v>
      </c>
      <c r="B965" s="0" t="s">
        <v>37</v>
      </c>
      <c r="C965" s="0" t="s">
        <v>16</v>
      </c>
      <c r="D965" s="0" t="s">
        <v>17</v>
      </c>
      <c r="E965" s="10" t="s">
        <v>338</v>
      </c>
      <c r="F965" s="11" t="str">
        <f aca="false">IF(OR(E965="",E965="!!!"),"",IF(NOT(ISNA(VLOOKUP(E965,E$1:E964,1,FALSE()))),"OLD",IF(AND(E965&lt;&gt;"",E965&lt;&gt;"!!!"),"NEW","")))</f>
        <v>OLD</v>
      </c>
      <c r="G965" s="12" t="s">
        <v>44</v>
      </c>
      <c r="H965" s="13" t="s">
        <v>7</v>
      </c>
      <c r="I965" s="14" t="str">
        <f aca="false">IF(OR(E965="",E965="!!!",F965="NEW"),"",INDEX(B$2:B964,-1+SUMPRODUCT(MAX(ROW(E$2:E964)*(E965=E$2:E964)))))</f>
        <v>other</v>
      </c>
      <c r="J965" s="15" t="n">
        <f aca="true">IF(OR(E965="",E965="!!!",F965="NEW"),"",COUNTBLANK(OFFSET(A$1,,,SUMPRODUCT(MAX(ROW(E$2:E965)*(E965=E$2:E965)))))-COUNTBLANK(OFFSET(A$1,,,SUMPRODUCT(MAX(ROW(E$1:E964)*(E965=E$1:E964))))))</f>
        <v>1</v>
      </c>
      <c r="K965" s="15" t="n">
        <f aca="false">IF(OR(E965="",E965="!!!",F965="NEW"),"",INDEX(J$1:J964,SUMPRODUCT(MAX(ROW(E$1:E964)*(E965=E$1:E964)))))</f>
        <v>1</v>
      </c>
      <c r="L965" s="16"/>
    </row>
    <row r="966" customFormat="false" ht="12.75" hidden="false" customHeight="false" outlineLevel="0" collapsed="false">
      <c r="A966" s="9" t="s">
        <v>223</v>
      </c>
      <c r="B966" s="0" t="s">
        <v>15</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75" hidden="false" customHeight="false" outlineLevel="0" collapsed="false">
      <c r="A967" s="9" t="s">
        <v>86</v>
      </c>
      <c r="B967" s="0" t="s">
        <v>90</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A968" s="9" t="s">
        <v>441</v>
      </c>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9" t="s">
        <v>27</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9" t="s">
        <v>75</v>
      </c>
      <c r="E970" s="10" t="str">
        <f aca="false">IF(D970="?OLD","!!!","")</f>
        <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75" hidden="false" customHeight="false" outlineLevel="0" collapsed="false">
      <c r="A971" s="9" t="s">
        <v>126</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9" t="s">
        <v>83</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75" hidden="false" customHeight="false" outlineLevel="0" collapsed="false">
      <c r="A973" s="9" t="s">
        <v>126</v>
      </c>
      <c r="E973" s="10" t="str">
        <f aca="false">IF(D973="?OLD","!!!","")</f>
        <v/>
      </c>
      <c r="F973" s="11" t="str">
        <f aca="false">IF(OR(E973="",E973="!!!"),"",IF(NOT(ISNA(VLOOKUP(E973,E$1:E972,1,FALSE()))),"OLD",IF(AND(E973&lt;&gt;"",E973&lt;&gt;"!!!"),"NEW","")))</f>
        <v/>
      </c>
      <c r="G973" s="12" t="str">
        <f aca="false">IF(OR(E973="",E973="!!!"),"",IF(OR(J973=0,AND(J973=1,K973=1),AND(J973=1,I973="SBJ"),AND(J973=1,I973=0)),"?IN_FOCUS",IF(J973&lt;=2,"?ACTIVATED",IF(J973&lt;&gt;"","?FAMILIAR",IF(F973="NEW",IF(ISNA(VLOOKUP(E973,#REF!,1,FALSE())),"?TYPE_IDENTIFIABLE","?REFERENTIAL"),"_")))))</f>
        <v/>
      </c>
      <c r="H973" s="13" t="str">
        <f aca="false">IF(J973&lt;&gt;1,"",IF(I973="SBJ","CB","?"))</f>
        <v/>
      </c>
      <c r="I973" s="14" t="str">
        <f aca="false">IF(OR(E973="",E973="!!!",F973="NEW"),"",INDEX(B$2:B972,-1+SUMPRODUCT(MAX(ROW(E$2:E972)*(E973=E$2:E972)))))</f>
        <v/>
      </c>
      <c r="J973" s="15" t="str">
        <f aca="true">IF(OR(E973="",E973="!!!",F973="NEW"),"",COUNTBLANK(OFFSET(A$1,,,SUMPRODUCT(MAX(ROW(E$2:E973)*(E973=E$2:E973)))))-COUNTBLANK(OFFSET(A$1,,,SUMPRODUCT(MAX(ROW(E$1:E972)*(E973=E$1:E972))))))</f>
        <v/>
      </c>
      <c r="K973" s="15" t="str">
        <f aca="false">IF(OR(E973="",E973="!!!",F973="NEW"),"",INDEX(J$1:J972,SUMPRODUCT(MAX(ROW(E$1:E972)*(E973=E$1:E972)))))</f>
        <v/>
      </c>
      <c r="L973" s="16"/>
    </row>
    <row r="974" customFormat="false" ht="12.75" hidden="false" customHeight="false" outlineLevel="0" collapsed="false">
      <c r="A974" s="9" t="s">
        <v>111</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9" t="s">
        <v>442</v>
      </c>
      <c r="B975" s="0" t="s">
        <v>163</v>
      </c>
      <c r="C975" s="0" t="s">
        <v>67</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A976" s="9" t="s">
        <v>35</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75" hidden="false" customHeight="false" outlineLevel="0" collapsed="false">
      <c r="A977" s="9" t="s">
        <v>443</v>
      </c>
      <c r="B977" s="0" t="s">
        <v>167</v>
      </c>
      <c r="C977" s="0" t="s">
        <v>67</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9" t="s">
        <v>144</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A979" s="9" t="s">
        <v>444</v>
      </c>
      <c r="B979" s="0" t="s">
        <v>176</v>
      </c>
      <c r="C979" s="0" t="s">
        <v>67</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9" t="s">
        <v>445</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A981" s="9" t="s">
        <v>42</v>
      </c>
      <c r="B981" s="0" t="s">
        <v>172</v>
      </c>
      <c r="C981" s="0" t="s">
        <v>16</v>
      </c>
      <c r="D981" s="0" t="s">
        <v>17</v>
      </c>
      <c r="E981" s="10" t="s">
        <v>446</v>
      </c>
      <c r="F981" s="11" t="str">
        <f aca="false">IF(OR(E981="",E981="!!!"),"",IF(NOT(ISNA(VLOOKUP(E981,E$1:E980,1,FALSE()))),"OLD",IF(AND(E981&lt;&gt;"",E981&lt;&gt;"!!!"),"NEW","")))</f>
        <v>NEW</v>
      </c>
      <c r="G981" s="12" t="s">
        <v>31</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75" hidden="false" customHeight="false" outlineLevel="0" collapsed="false">
      <c r="A982" s="9" t="s">
        <v>27</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75" hidden="false" customHeight="false" outlineLevel="0" collapsed="false">
      <c r="A983" s="9" t="s">
        <v>32</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75" hidden="false" customHeight="false" outlineLevel="0" collapsed="false">
      <c r="A984" s="9" t="s">
        <v>447</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75" hidden="false" customHeight="false" outlineLevel="0" collapsed="false">
      <c r="A985" s="9" t="s">
        <v>22</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75" hidden="false" customHeight="false" outlineLevel="0" collapsed="false">
      <c r="A986" s="9" t="s">
        <v>448</v>
      </c>
      <c r="B986" s="0" t="s">
        <v>172</v>
      </c>
      <c r="C986" s="0" t="s">
        <v>25</v>
      </c>
      <c r="D986" s="0" t="s">
        <v>17</v>
      </c>
      <c r="E986" s="10" t="s">
        <v>449</v>
      </c>
      <c r="F986" s="11" t="str">
        <f aca="false">IF(OR(E986="",E986="!!!"),"",IF(NOT(ISNA(VLOOKUP(E986,E$1:E985,1,FALSE()))),"OLD",IF(AND(E986&lt;&gt;"",E986&lt;&gt;"!!!"),"NEW","")))</f>
        <v>NEW</v>
      </c>
      <c r="G986" s="12" t="s">
        <v>31</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9" t="s">
        <v>35</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9" t="s">
        <v>22</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75" hidden="false" customHeight="false" outlineLevel="0" collapsed="false">
      <c r="A989" s="9" t="s">
        <v>314</v>
      </c>
      <c r="B989" s="0" t="s">
        <v>167</v>
      </c>
      <c r="C989" s="0" t="s">
        <v>25</v>
      </c>
      <c r="D989" s="0" t="s">
        <v>17</v>
      </c>
      <c r="E989" s="10" t="s">
        <v>446</v>
      </c>
      <c r="F989" s="11" t="str">
        <f aca="false">IF(OR(E989="",E989="!!!"),"",IF(NOT(ISNA(VLOOKUP(E989,E$1:E988,1,FALSE()))),"OLD",IF(AND(E989&lt;&gt;"",E989&lt;&gt;"!!!"),"NEW","")))</f>
        <v>OLD</v>
      </c>
      <c r="G989" s="12" t="s">
        <v>44</v>
      </c>
      <c r="H989" s="13" t="str">
        <f aca="false">IF(J989&lt;&gt;1,"",IF(I989="SBJ","CB","?"))</f>
        <v/>
      </c>
      <c r="I989" s="14" t="str">
        <f aca="false">IF(OR(E989="",E989="!!!",F989="NEW"),"",INDEX(B$2:B988,-1+SUMPRODUCT(MAX(ROW(E$2:E988)*(E989=E$2:E988)))))</f>
        <v>OBJ_5</v>
      </c>
      <c r="J989" s="15" t="n">
        <f aca="true">IF(OR(E989="",E989="!!!",F989="NEW"),"",COUNTBLANK(OFFSET(A$1,,,SUMPRODUCT(MAX(ROW(E$2:E989)*(E989=E$2:E989)))))-COUNTBLANK(OFFSET(A$1,,,SUMPRODUCT(MAX(ROW(E$1:E988)*(E989=E$1:E988))))))</f>
        <v>0</v>
      </c>
      <c r="K989" s="15" t="str">
        <f aca="false">IF(OR(E989="",E989="!!!",F989="NEW"),"",INDEX(J$1:J988,SUMPRODUCT(MAX(ROW(E$1:E988)*(E989=E$1:E988)))))</f>
        <v/>
      </c>
      <c r="L989" s="16"/>
    </row>
    <row r="990" customFormat="false" ht="12.75" hidden="false" customHeight="false" outlineLevel="0" collapsed="false">
      <c r="A990" s="9" t="s">
        <v>103</v>
      </c>
      <c r="B990" s="0" t="s">
        <v>179</v>
      </c>
      <c r="E990" s="10" t="str">
        <f aca="false">IF(D990="?OLD","!!!","")</f>
        <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75" hidden="false" customHeight="false" outlineLevel="0" collapsed="false">
      <c r="A991" s="9" t="s">
        <v>111</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9" t="s">
        <v>445</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9" t="s">
        <v>27</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9" t="s">
        <v>32</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9" t="s">
        <v>64</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75" hidden="false" customHeight="false" outlineLevel="0" collapsed="false">
      <c r="A996" s="9" t="s">
        <v>42</v>
      </c>
      <c r="B996" s="0" t="s">
        <v>172</v>
      </c>
      <c r="C996" s="0" t="s">
        <v>16</v>
      </c>
      <c r="D996" s="0" t="s">
        <v>17</v>
      </c>
      <c r="E996" s="10" t="s">
        <v>449</v>
      </c>
      <c r="F996" s="11" t="str">
        <f aca="false">IF(OR(E996="",E996="!!!"),"",IF(NOT(ISNA(VLOOKUP(E996,E$1:E995,1,FALSE()))),"OLD",IF(AND(E996&lt;&gt;"",E996&lt;&gt;"!!!"),"NEW","")))</f>
        <v>OLD</v>
      </c>
      <c r="G996" s="12" t="s">
        <v>44</v>
      </c>
      <c r="H996" s="13" t="str">
        <f aca="false">IF(J996&lt;&gt;1,"",IF(I996="SBJ","CB","?"))</f>
        <v/>
      </c>
      <c r="I996" s="14" t="str">
        <f aca="false">IF(OR(E996="",E996="!!!",F996="NEW"),"",INDEX(B$2:B995,-1+SUMPRODUCT(MAX(ROW(E$2:E995)*(E996=E$2:E995)))))</f>
        <v>OBJ_5</v>
      </c>
      <c r="J996" s="15" t="n">
        <f aca="true">IF(OR(E996="",E996="!!!",F996="NEW"),"",COUNTBLANK(OFFSET(A$1,,,SUMPRODUCT(MAX(ROW(E$2:E996)*(E996=E$2:E996)))))-COUNTBLANK(OFFSET(A$1,,,SUMPRODUCT(MAX(ROW(E$1:E995)*(E996=E$1:E995))))))</f>
        <v>0</v>
      </c>
      <c r="K996" s="15" t="str">
        <f aca="false">IF(OR(E996="",E996="!!!",F996="NEW"),"",INDEX(J$1:J995,SUMPRODUCT(MAX(ROW(E$1:E995)*(E996=E$1:E995)))))</f>
        <v/>
      </c>
      <c r="L996" s="16"/>
    </row>
    <row r="997" customFormat="false" ht="12.75" hidden="false" customHeight="false" outlineLevel="0" collapsed="false">
      <c r="A997" s="9" t="s">
        <v>298</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75" hidden="false" customHeight="false" outlineLevel="0" collapsed="false">
      <c r="A998" s="9" t="s">
        <v>22</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9" t="s">
        <v>433</v>
      </c>
      <c r="B999" s="0" t="s">
        <v>167</v>
      </c>
      <c r="C999" s="0" t="s">
        <v>25</v>
      </c>
      <c r="D999" s="0" t="s">
        <v>17</v>
      </c>
      <c r="E999" s="10" t="s">
        <v>338</v>
      </c>
      <c r="F999" s="11" t="str">
        <f aca="false">IF(OR(E999="",E999="!!!"),"",IF(NOT(ISNA(VLOOKUP(E999,E$1:E998,1,FALSE()))),"OLD",IF(AND(E999&lt;&gt;"",E999&lt;&gt;"!!!"),"NEW","")))</f>
        <v>OLD</v>
      </c>
      <c r="G999" s="12" t="s">
        <v>44</v>
      </c>
      <c r="H999" s="13" t="str">
        <f aca="false">IF(J999&lt;&gt;1,"",IF(I999="SBJ","CB","?"))</f>
        <v/>
      </c>
      <c r="I999" s="14" t="str">
        <f aca="false">IF(OR(E999="",E999="!!!",F999="NEW"),"",INDEX(B$2:B998,-1+SUMPRODUCT(MAX(ROW(E$2:E998)*(E999=E$2:E998)))))</f>
        <v>other_3</v>
      </c>
      <c r="J999" s="15" t="n">
        <f aca="true">IF(OR(E999="",E999="!!!",F999="NEW"),"",COUNTBLANK(OFFSET(A$1,,,SUMPRODUCT(MAX(ROW(E$2:E999)*(E999=E$2:E999)))))-COUNTBLANK(OFFSET(A$1,,,SUMPRODUCT(MAX(ROW(E$1:E998)*(E999=E$1:E998))))))</f>
        <v>0</v>
      </c>
      <c r="K999" s="15" t="n">
        <f aca="false">IF(OR(E999="",E999="!!!",F999="NEW"),"",INDEX(J$1:J998,SUMPRODUCT(MAX(ROW(E$1:E998)*(E999=E$1:E998)))))</f>
        <v>1</v>
      </c>
      <c r="L999" s="16"/>
    </row>
    <row r="1000" customFormat="false" ht="12.75" hidden="false" customHeight="false" outlineLevel="0" collapsed="false">
      <c r="A1000" s="9" t="s">
        <v>208</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9" t="s">
        <v>450</v>
      </c>
      <c r="B1001" s="0" t="s">
        <v>248</v>
      </c>
      <c r="C1001" s="0" t="s">
        <v>107</v>
      </c>
      <c r="D1001" s="0" t="s">
        <v>17</v>
      </c>
      <c r="E1001" s="10" t="s">
        <v>451</v>
      </c>
      <c r="F1001" s="11" t="str">
        <f aca="false">IF(OR(E1001="",E1001="!!!"),"",IF(NOT(ISNA(VLOOKUP(E1001,E$1:E1000,1,FALSE()))),"OLD",IF(AND(E1001&lt;&gt;"",E1001&lt;&gt;"!!!"),"NEW","")))</f>
        <v>NEW</v>
      </c>
      <c r="G1001" s="12" t="s">
        <v>31</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75" hidden="false" customHeight="false" outlineLevel="0" collapsed="false">
      <c r="A1002" s="9" t="s">
        <v>27</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75" hidden="false" customHeight="false" outlineLevel="0" collapsed="false">
      <c r="A1003" s="9" t="s">
        <v>32</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75" hidden="false" customHeight="false" outlineLevel="0" collapsed="false">
      <c r="A1004" s="9" t="s">
        <v>452</v>
      </c>
      <c r="B1004" s="0" t="s">
        <v>167</v>
      </c>
      <c r="C1004" s="0" t="s">
        <v>67</v>
      </c>
      <c r="E1004" s="10" t="str">
        <f aca="false">IF(D1004="?OLD","!!!","")</f>
        <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75" hidden="false" customHeight="false" outlineLevel="0" collapsed="false">
      <c r="A1005" s="9" t="s">
        <v>78</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75" hidden="false" customHeight="false" outlineLevel="0" collapsed="false">
      <c r="A1006" s="9" t="s">
        <v>351</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75" hidden="false" customHeight="false" outlineLevel="0" collapsed="false">
      <c r="A1007" s="9" t="s">
        <v>21</v>
      </c>
      <c r="E1007" s="10" t="str">
        <f aca="false">IF(D1007="?OLD","!!!","")</f>
        <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I1007" s="14" t="str">
        <f aca="false">IF(OR(E1007="",E1007="!!!",F1007="NEW"),"",INDEX(B$2:B1006,-1+SUMPRODUCT(MAX(ROW(E$2:E1006)*(E1007=E$2:E1006)))))</f>
        <v/>
      </c>
      <c r="J1007" s="15" t="str">
        <f aca="true">IF(OR(E1007="",E1007="!!!",F1007="NEW"),"",COUNTBLANK(OFFSET(A$1,,,SUMPRODUCT(MAX(ROW(E$2:E1007)*(E1007=E$2:E1007)))))-COUNTBLANK(OFFSET(A$1,,,SUMPRODUCT(MAX(ROW(E$1:E1006)*(E1007=E$1:E1006))))))</f>
        <v/>
      </c>
      <c r="K1007" s="15" t="str">
        <f aca="false">IF(OR(E1007="",E1007="!!!",F1007="NEW"),"",INDEX(J$1:J1006,SUMPRODUCT(MAX(ROW(E$1:E1006)*(E1007=E$1:E1006)))))</f>
        <v/>
      </c>
      <c r="L1007" s="16"/>
    </row>
    <row r="1008" customFormat="false" ht="12.75" hidden="false" customHeight="false" outlineLevel="0" collapsed="false">
      <c r="A1008" s="9" t="s">
        <v>453</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I1008" s="14" t="str">
        <f aca="false">IF(OR(E1008="",E1008="!!!",F1008="NEW"),"",INDEX(B$2:B1007,-1+SUMPRODUCT(MAX(ROW(E$2:E1007)*(E1008=E$2:E1007)))))</f>
        <v/>
      </c>
      <c r="J1008" s="15" t="str">
        <f aca="true">IF(OR(E1008="",E1008="!!!",F1008="NEW"),"",COUNTBLANK(OFFSET(A$1,,,SUMPRODUCT(MAX(ROW(E$2:E1008)*(E1008=E$2:E1008)))))-COUNTBLANK(OFFSET(A$1,,,SUMPRODUCT(MAX(ROW(E$1:E1007)*(E1008=E$1:E1007))))))</f>
        <v/>
      </c>
      <c r="K1008" s="15" t="str">
        <f aca="false">IF(OR(E1008="",E1008="!!!",F1008="NEW"),"",INDEX(J$1:J1007,SUMPRODUCT(MAX(ROW(E$1:E1007)*(E1008=E$1:E1007)))))</f>
        <v/>
      </c>
      <c r="L1008" s="16"/>
    </row>
    <row r="1009" customFormat="false" ht="12.75" hidden="false" customHeight="false" outlineLevel="0" collapsed="false">
      <c r="A1009" s="9" t="s">
        <v>27</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75" hidden="false" customHeight="false" outlineLevel="0" collapsed="false">
      <c r="A1010" s="9" t="s">
        <v>454</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75" hidden="false" customHeight="false" outlineLevel="0" collapsed="false">
      <c r="A1011" s="9" t="s">
        <v>126</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75" hidden="false" customHeight="false" outlineLevel="0" collapsed="false">
      <c r="A1012" s="9" t="s">
        <v>293</v>
      </c>
      <c r="B1012" s="0" t="s">
        <v>15</v>
      </c>
      <c r="C1012" s="0" t="s">
        <v>294</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75" hidden="false" customHeight="false" outlineLevel="0" collapsed="false">
      <c r="A1013" s="9" t="s">
        <v>133</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75" hidden="false" customHeight="false" outlineLevel="0" collapsed="false">
      <c r="A1014" s="9" t="s">
        <v>455</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75" hidden="false" customHeight="false" outlineLevel="0" collapsed="false">
      <c r="A1015" s="9" t="s">
        <v>60</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75" hidden="false" customHeight="false" outlineLevel="0" collapsed="false">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75" hidden="false" customHeight="false" outlineLevel="0" collapsed="false">
      <c r="A1017" s="9" t="s">
        <v>456</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75" hidden="false" customHeight="false" outlineLevel="0" collapsed="false">
      <c r="A1018" s="9" t="s">
        <v>457</v>
      </c>
      <c r="B1018" s="0" t="s">
        <v>43</v>
      </c>
      <c r="C1018" s="0" t="s">
        <v>40</v>
      </c>
      <c r="D1018" s="0" t="s">
        <v>17</v>
      </c>
      <c r="E1018" s="10" t="s">
        <v>457</v>
      </c>
      <c r="F1018" s="11" t="str">
        <f aca="false">IF(OR(E1018="",E1018="!!!"),"",IF(NOT(ISNA(VLOOKUP(E1018,E$1:E1017,1,FALSE()))),"OLD",IF(AND(E1018&lt;&gt;"",E1018&lt;&gt;"!!!"),"NEW","")))</f>
        <v>NEW</v>
      </c>
      <c r="G1018" s="12" t="s">
        <v>31</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75" hidden="false" customHeight="false" outlineLevel="0" collapsed="false">
      <c r="A1019" s="9" t="s">
        <v>27</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75" hidden="false" customHeight="false" outlineLevel="0" collapsed="false">
      <c r="A1020" s="9" t="s">
        <v>86</v>
      </c>
      <c r="B1020" s="0" t="s">
        <v>87</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I1020" s="14" t="str">
        <f aca="false">IF(OR(E1020="",E1020="!!!",F1020="NEW"),"",INDEX(B$2:B1019,-1+SUMPRODUCT(MAX(ROW(E$2:E1019)*(E1020=E$2:E1019)))))</f>
        <v/>
      </c>
      <c r="J1020" s="15" t="str">
        <f aca="true">IF(OR(E1020="",E1020="!!!",F1020="NEW"),"",COUNTBLANK(OFFSET(A$1,,,SUMPRODUCT(MAX(ROW(E$2:E1020)*(E1020=E$2:E1020)))))-COUNTBLANK(OFFSET(A$1,,,SUMPRODUCT(MAX(ROW(E$1:E1019)*(E1020=E$1:E1019))))))</f>
        <v/>
      </c>
      <c r="K1020" s="15" t="str">
        <f aca="false">IF(OR(E1020="",E1020="!!!",F1020="NEW"),"",INDEX(J$1:J1019,SUMPRODUCT(MAX(ROW(E$1:E1019)*(E1020=E$1:E1019)))))</f>
        <v/>
      </c>
      <c r="L1020" s="16"/>
    </row>
    <row r="1021" customFormat="false" ht="12.75" hidden="false" customHeight="false" outlineLevel="0" collapsed="false">
      <c r="A1021" s="9" t="s">
        <v>177</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75" hidden="false" customHeight="false" outlineLevel="0" collapsed="false">
      <c r="A1022" s="9" t="s">
        <v>22</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75" hidden="false" customHeight="false" outlineLevel="0" collapsed="false">
      <c r="A1023" s="9" t="s">
        <v>433</v>
      </c>
      <c r="B1023" s="0" t="s">
        <v>37</v>
      </c>
      <c r="C1023" s="0" t="s">
        <v>25</v>
      </c>
      <c r="D1023" s="0" t="s">
        <v>17</v>
      </c>
      <c r="E1023" s="10" t="s">
        <v>338</v>
      </c>
      <c r="F1023" s="11" t="str">
        <f aca="false">IF(OR(E1023="",E1023="!!!"),"",IF(NOT(ISNA(VLOOKUP(E1023,E$1:E1022,1,FALSE()))),"OLD",IF(AND(E1023&lt;&gt;"",E1023&lt;&gt;"!!!"),"NEW","")))</f>
        <v>OLD</v>
      </c>
      <c r="G1023" s="12" t="s">
        <v>63</v>
      </c>
      <c r="H1023" s="13" t="s">
        <v>7</v>
      </c>
      <c r="I1023" s="14" t="str">
        <f aca="false">IF(OR(E1023="",E1023="!!!",F1023="NEW"),"",INDEX(B$2:B1022,-1+SUMPRODUCT(MAX(ROW(E$2:E1022)*(E1023=E$2:E1022)))))</f>
        <v>other_6</v>
      </c>
      <c r="J1023" s="15" t="n">
        <f aca="true">IF(OR(E1023="",E1023="!!!",F1023="NEW"),"",COUNTBLANK(OFFSET(A$1,,,SUMPRODUCT(MAX(ROW(E$2:E1023)*(E1023=E$2:E1023)))))-COUNTBLANK(OFFSET(A$1,,,SUMPRODUCT(MAX(ROW(E$1:E1022)*(E1023=E$1:E1022))))))</f>
        <v>1</v>
      </c>
      <c r="K1023" s="15" t="n">
        <f aca="false">IF(OR(E1023="",E1023="!!!",F1023="NEW"),"",INDEX(J$1:J1022,SUMPRODUCT(MAX(ROW(E$1:E1022)*(E1023=E$1:E1022)))))</f>
        <v>0</v>
      </c>
      <c r="L1023" s="16"/>
    </row>
    <row r="1024" customFormat="false" ht="12.75" hidden="false" customHeight="false" outlineLevel="0" collapsed="false">
      <c r="A1024" s="9" t="s">
        <v>78</v>
      </c>
      <c r="E1024" s="10" t="str">
        <f aca="false">IF(#REF!="?OLD","!!!","")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75" hidden="false" customHeight="false" outlineLevel="0" collapsed="false">
      <c r="A1025" s="9" t="s">
        <v>458</v>
      </c>
      <c r="E1025" s="10" t="str">
        <f aca="false">IF(#REF!="?OLD","!!!","")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I1025" s="14" t="str">
        <f aca="false">IF(OR(E1025="",E1025="!!!",F1025="NEW"),"",INDEX(B$2:B1024,-1+SUMPRODUCT(MAX(ROW(E$2:E1024)*(E1025=E$2:E1024)))))</f>
        <v/>
      </c>
      <c r="J1025" s="15" t="str">
        <f aca="true">IF(OR(E1025="",E1025="!!!",F1025="NEW"),"",COUNTBLANK(OFFSET(A$1,,,SUMPRODUCT(MAX(ROW(E$2:E1025)*(E1025=E$2:E1025)))))-COUNTBLANK(OFFSET(A$1,,,SUMPRODUCT(MAX(ROW(E$1:E1024)*(E1025=E$1:E1024))))))</f>
        <v/>
      </c>
      <c r="K1025" s="15" t="str">
        <f aca="false">IF(OR(E1025="",E1025="!!!",F1025="NEW"),"",INDEX(J$1:J1024,SUMPRODUCT(MAX(ROW(E$1:E1024)*(E1025=E$1:E1024)))))</f>
        <v/>
      </c>
      <c r="L1025" s="16"/>
    </row>
    <row r="1026" customFormat="false" ht="12.75" hidden="false" customHeight="false" outlineLevel="0" collapsed="false">
      <c r="A1026" s="9" t="s">
        <v>459</v>
      </c>
      <c r="B1026" s="0" t="s">
        <v>43</v>
      </c>
      <c r="C1026" s="0" t="s">
        <v>40</v>
      </c>
      <c r="D1026" s="0" t="s">
        <v>17</v>
      </c>
      <c r="E1026" s="10" t="s">
        <v>457</v>
      </c>
      <c r="F1026" s="11" t="str">
        <f aca="false">IF(OR(E1026="",E1026="!!!"),"",IF(NOT(ISNA(VLOOKUP(E1026,E$1:E1025,1,FALSE()))),"OLD",IF(AND(E1026&lt;&gt;"",E1026&lt;&gt;"!!!"),"NEW","")))</f>
        <v>OLD</v>
      </c>
      <c r="G1026" s="12" t="s">
        <v>44</v>
      </c>
      <c r="H1026" s="13" t="str">
        <f aca="false">IF(J1026&lt;&gt;1,"",IF(I1026="SBJ","CB","?"))</f>
        <v/>
      </c>
      <c r="I1026" s="14" t="str">
        <f aca="false">IF(OR(E1026="",E1026="!!!",F1026="NEW"),"",INDEX(B$2:B1025,-1+SUMPRODUCT(MAX(ROW(E$2:E1025)*(E1026=E$2:E1025)))))</f>
        <v>other</v>
      </c>
      <c r="J1026" s="15" t="n">
        <f aca="true">IF(OR(E1026="",E1026="!!!",F1026="NEW"),"",COUNTBLANK(OFFSET(A$1,,,SUMPRODUCT(MAX(ROW(E$2:E1026)*(E1026=E$2:E1026)))))-COUNTBLANK(OFFSET(A$1,,,SUMPRODUCT(MAX(ROW(E$1:E1025)*(E1026=E$1:E1025))))))</f>
        <v>0</v>
      </c>
      <c r="K1026" s="15" t="str">
        <f aca="false">IF(OR(E1026="",E1026="!!!",F1026="NEW"),"",INDEX(J$1:J1025,SUMPRODUCT(MAX(ROW(E$1:E1025)*(E1026=E$1:E1025)))))</f>
        <v/>
      </c>
      <c r="L1026" s="16"/>
    </row>
    <row r="1027" customFormat="false" ht="12.75" hidden="false" customHeight="false" outlineLevel="0" collapsed="false">
      <c r="A1027" s="9" t="s">
        <v>460</v>
      </c>
      <c r="E1027" s="10" t="str">
        <f aca="false">IF(#REF!="?OLD","!!!","")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75" hidden="false" customHeight="false" outlineLevel="0" collapsed="false">
      <c r="A1028" s="9" t="s">
        <v>210</v>
      </c>
      <c r="B1028" s="0" t="s">
        <v>87</v>
      </c>
      <c r="C1028" s="0" t="s">
        <v>141</v>
      </c>
      <c r="E1028" s="10" t="str">
        <f aca="false">IF(#REF!="?OLD","!!!","")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I1028" s="14" t="str">
        <f aca="false">IF(OR(E1028="",E1028="!!!",F1028="NEW"),"",INDEX(B$2:B1027,-1+SUMPRODUCT(MAX(ROW(E$2:E1027)*(E1028=E$2:E1027)))))</f>
        <v/>
      </c>
      <c r="J1028" s="15" t="str">
        <f aca="true">IF(OR(E1028="",E1028="!!!",F1028="NEW"),"",COUNTBLANK(OFFSET(A$1,,,SUMPRODUCT(MAX(ROW(E$2:E1028)*(E1028=E$2:E1028)))))-COUNTBLANK(OFFSET(A$1,,,SUMPRODUCT(MAX(ROW(E$1:E1027)*(E1028=E$1:E1027))))))</f>
        <v/>
      </c>
      <c r="K1028" s="15" t="str">
        <f aca="false">IF(OR(E1028="",E1028="!!!",F1028="NEW"),"",INDEX(J$1:J1027,SUMPRODUCT(MAX(ROW(E$1:E1027)*(E1028=E$1:E1027)))))</f>
        <v/>
      </c>
      <c r="L1028" s="16"/>
    </row>
    <row r="1029" customFormat="false" ht="12.75" hidden="false" customHeight="false" outlineLevel="0" collapsed="false">
      <c r="A1029" s="9" t="s">
        <v>207</v>
      </c>
      <c r="E1029" s="10" t="str">
        <f aca="false">IF(#REF!="?OLD","!!!","")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75" hidden="false" customHeight="false" outlineLevel="0" collapsed="false">
      <c r="A1030" s="9" t="s">
        <v>27</v>
      </c>
      <c r="E1030" s="10" t="str">
        <f aca="false">IF(#REF!="?OLD","!!!","")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75" hidden="false" customHeight="false" outlineLevel="0" collapsed="false">
      <c r="A1031" s="9" t="s">
        <v>45</v>
      </c>
      <c r="E1031" s="10" t="str">
        <f aca="false">IF(#REF!="?OLD","!!!","")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75" hidden="false" customHeight="false" outlineLevel="0" collapsed="false">
      <c r="A1032" s="9" t="s">
        <v>461</v>
      </c>
      <c r="E1032" s="10" t="str">
        <f aca="false">IF(#REF!="?OLD","!!!","")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75" hidden="false" customHeight="false" outlineLevel="0" collapsed="false">
      <c r="A1033" s="9" t="s">
        <v>27</v>
      </c>
      <c r="E1033" s="10" t="str">
        <f aca="false">IF(#REF!="?OLD","!!!","")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75" hidden="false" customHeight="false" outlineLevel="0" collapsed="false">
      <c r="A1034" s="9" t="s">
        <v>462</v>
      </c>
      <c r="B1034" s="0" t="s">
        <v>37</v>
      </c>
      <c r="C1034" s="0" t="s">
        <v>40</v>
      </c>
      <c r="D1034" s="0" t="s">
        <v>17</v>
      </c>
      <c r="E1034" s="10" t="s">
        <v>457</v>
      </c>
      <c r="F1034" s="11" t="str">
        <f aca="false">IF(OR(E1034="",E1034="!!!"),"",IF(NOT(ISNA(VLOOKUP(E1034,E$1:E1033,1,FALSE()))),"OLD",IF(AND(E1034&lt;&gt;"",E1034&lt;&gt;"!!!"),"NEW","")))</f>
        <v>OLD</v>
      </c>
      <c r="G1034" s="12" t="s">
        <v>44</v>
      </c>
      <c r="H1034" s="13" t="str">
        <f aca="false">IF(J1034&lt;&gt;1,"",IF(I1034="SBJ","CB","?"))</f>
        <v/>
      </c>
      <c r="I1034" s="14" t="str">
        <f aca="false">IF(OR(E1034="",E1034="!!!",F1034="NEW"),"",INDEX(B$2:B1033,-1+SUMPRODUCT(MAX(ROW(E$2:E1033)*(E1034=E$2:E1033)))))</f>
        <v>other</v>
      </c>
      <c r="J1034" s="15" t="n">
        <f aca="true">IF(OR(E1034="",E1034="!!!",F1034="NEW"),"",COUNTBLANK(OFFSET(A$1,,,SUMPRODUCT(MAX(ROW(E$2:E1034)*(E1034=E$2:E1034)))))-COUNTBLANK(OFFSET(A$1,,,SUMPRODUCT(MAX(ROW(E$1:E1033)*(E1034=E$1:E1033))))))</f>
        <v>0</v>
      </c>
      <c r="K1034" s="15" t="n">
        <f aca="false">IF(OR(E1034="",E1034="!!!",F1034="NEW"),"",INDEX(J$1:J1033,SUMPRODUCT(MAX(ROW(E$1:E1033)*(E1034=E$1:E1033)))))</f>
        <v>0</v>
      </c>
      <c r="L1034" s="16"/>
    </row>
    <row r="1035" customFormat="false" ht="12.75" hidden="false" customHeight="false" outlineLevel="0" collapsed="false">
      <c r="A1035" s="9" t="s">
        <v>35</v>
      </c>
      <c r="E1035" s="10" t="str">
        <f aca="false">IF(#REF!="?OLD","!!!","")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75" hidden="false" customHeight="false" outlineLevel="0" collapsed="false">
      <c r="A1036" s="9" t="s">
        <v>463</v>
      </c>
      <c r="B1036" s="0" t="s">
        <v>128</v>
      </c>
      <c r="C1036" s="0" t="s">
        <v>40</v>
      </c>
      <c r="D1036" s="0" t="s">
        <v>17</v>
      </c>
      <c r="E1036" s="10" t="s">
        <v>457</v>
      </c>
      <c r="F1036" s="11" t="str">
        <f aca="false">IF(OR(E1036="",E1036="!!!"),"",IF(NOT(ISNA(VLOOKUP(E1036,E$1:E1035,1,FALSE()))),"OLD",IF(AND(E1036&lt;&gt;"",E1036&lt;&gt;"!!!"),"NEW","")))</f>
        <v>OLD</v>
      </c>
      <c r="G1036" s="12" t="s">
        <v>44</v>
      </c>
      <c r="H1036" s="13" t="str">
        <f aca="false">IF(J1036&lt;&gt;1,"",IF(I1036="SBJ","CB","?"))</f>
        <v/>
      </c>
      <c r="I1036" s="14" t="str">
        <f aca="false">IF(OR(E1036="",E1036="!!!",F1036="NEW"),"",INDEX(B$2:B1035,-1+SUMPRODUCT(MAX(ROW(E$2:E1035)*(E1036=E$2:E1035)))))</f>
        <v>other_3</v>
      </c>
      <c r="J1036" s="15" t="n">
        <f aca="true">IF(OR(E1036="",E1036="!!!",F1036="NEW"),"",COUNTBLANK(OFFSET(A$1,,,SUMPRODUCT(MAX(ROW(E$2:E1036)*(E1036=E$2:E1036)))))-COUNTBLANK(OFFSET(A$1,,,SUMPRODUCT(MAX(ROW(E$1:E1035)*(E1036=E$1:E1035))))))</f>
        <v>0</v>
      </c>
      <c r="K1036" s="15" t="n">
        <f aca="false">IF(OR(E1036="",E1036="!!!",F1036="NEW"),"",INDEX(J$1:J1035,SUMPRODUCT(MAX(ROW(E$1:E1035)*(E1036=E$1:E1035)))))</f>
        <v>0</v>
      </c>
      <c r="L1036" s="16"/>
    </row>
    <row r="1037" customFormat="false" ht="12.75" hidden="false" customHeight="false" outlineLevel="0" collapsed="false">
      <c r="A1037" s="9" t="s">
        <v>464</v>
      </c>
      <c r="E1037" s="10" t="str">
        <f aca="false">IF(#REF!="?OLD","!!!","")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75" hidden="false" customHeight="false" outlineLevel="0" collapsed="false">
      <c r="A1038" s="9" t="s">
        <v>27</v>
      </c>
      <c r="E1038" s="10" t="str">
        <f aca="false">IF(#REF!="?OLD","!!!","")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75" hidden="false" customHeight="false" outlineLevel="0" collapsed="false">
      <c r="A1039" s="9" t="s">
        <v>169</v>
      </c>
      <c r="E1039" s="10" t="str">
        <f aca="false">IF(#REF!="?OLD","!!!","")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12.75" hidden="false" customHeight="false" outlineLevel="0" collapsed="false">
      <c r="A1040" s="9" t="s">
        <v>465</v>
      </c>
      <c r="B1040" s="0" t="s">
        <v>37</v>
      </c>
      <c r="C1040" s="0" t="s">
        <v>40</v>
      </c>
      <c r="D1040" s="0" t="s">
        <v>17</v>
      </c>
      <c r="E1040" s="10" t="s">
        <v>465</v>
      </c>
      <c r="F1040" s="11" t="str">
        <f aca="false">IF(OR(E1040="",E1040="!!!"),"",IF(NOT(ISNA(VLOOKUP(E1040,E$1:E1039,1,FALSE()))),"OLD",IF(AND(E1040&lt;&gt;"",E1040&lt;&gt;"!!!"),"NEW","")))</f>
        <v>NEW</v>
      </c>
      <c r="G1040" s="12" t="s">
        <v>31</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75" hidden="false" customHeight="false" outlineLevel="0" collapsed="false">
      <c r="A1041" s="9" t="s">
        <v>27</v>
      </c>
      <c r="E1041" s="10" t="str">
        <f aca="false">IF(#REF!="?OLD","!!!","")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75" hidden="false" customHeight="false" outlineLevel="0" collapsed="false">
      <c r="A1042" s="9" t="s">
        <v>169</v>
      </c>
      <c r="E1042" s="10" t="str">
        <f aca="false">IF(#REF!="?OLD","!!!","")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75" hidden="false" customHeight="false" outlineLevel="0" collapsed="false">
      <c r="A1043" s="9" t="s">
        <v>175</v>
      </c>
      <c r="B1043" s="0" t="s">
        <v>90</v>
      </c>
      <c r="C1043" s="0" t="s">
        <v>107</v>
      </c>
      <c r="D1043" s="0" t="s">
        <v>17</v>
      </c>
      <c r="E1043" s="10" t="s">
        <v>457</v>
      </c>
      <c r="F1043" s="11" t="str">
        <f aca="false">IF(OR(E1043="",E1043="!!!"),"",IF(NOT(ISNA(VLOOKUP(E1043,E$1:E1042,1,FALSE()))),"OLD",IF(AND(E1043&lt;&gt;"",E1043&lt;&gt;"!!!"),"NEW","")))</f>
        <v>OLD</v>
      </c>
      <c r="G1043" s="12" t="s">
        <v>44</v>
      </c>
      <c r="H1043" s="13" t="str">
        <f aca="false">IF(J1043&lt;&gt;1,"",IF(I1043="SBJ","CB","?"))</f>
        <v/>
      </c>
      <c r="I1043" s="14" t="str">
        <f aca="false">IF(OR(E1043="",E1043="!!!",F1043="NEW"),"",INDEX(B$2:B1042,-1+SUMPRODUCT(MAX(ROW(E$2:E1042)*(E1043=E$2:E1042)))))</f>
        <v>other_4</v>
      </c>
      <c r="J1043" s="15" t="n">
        <f aca="true">IF(OR(E1043="",E1043="!!!",F1043="NEW"),"",COUNTBLANK(OFFSET(A$1,,,SUMPRODUCT(MAX(ROW(E$2:E1043)*(E1043=E$2:E1043)))))-COUNTBLANK(OFFSET(A$1,,,SUMPRODUCT(MAX(ROW(E$1:E1042)*(E1043=E$1:E1042))))))</f>
        <v>0</v>
      </c>
      <c r="K1043" s="15" t="n">
        <f aca="false">IF(OR(E1043="",E1043="!!!",F1043="NEW"),"",INDEX(J$1:J1042,SUMPRODUCT(MAX(ROW(E$1:E1042)*(E1043=E$1:E1042)))))</f>
        <v>0</v>
      </c>
      <c r="L1043" s="16"/>
    </row>
    <row r="1044" customFormat="false" ht="12.75" hidden="false" customHeight="false" outlineLevel="0" collapsed="false">
      <c r="A1044" s="9" t="s">
        <v>35</v>
      </c>
      <c r="E1044" s="10" t="str">
        <f aca="false">IF(#REF!="?OLD","!!!","")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75" hidden="false" customHeight="false" outlineLevel="0" collapsed="false">
      <c r="A1045" s="9" t="s">
        <v>466</v>
      </c>
      <c r="B1045" s="0" t="s">
        <v>248</v>
      </c>
      <c r="C1045" s="0" t="s">
        <v>40</v>
      </c>
      <c r="D1045" s="0" t="s">
        <v>17</v>
      </c>
      <c r="E1045" s="10" t="s">
        <v>466</v>
      </c>
      <c r="F1045" s="11" t="str">
        <f aca="false">IF(OR(E1045="",E1045="!!!"),"",IF(NOT(ISNA(VLOOKUP(E1045,E$1:E1044,1,FALSE()))),"OLD",IF(AND(E1045&lt;&gt;"",E1045&lt;&gt;"!!!"),"NEW","")))</f>
        <v>NEW</v>
      </c>
      <c r="G1045" s="12" t="s">
        <v>31</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75" hidden="false" customHeight="false" outlineLevel="0" collapsed="false">
      <c r="A1046" s="9" t="s">
        <v>177</v>
      </c>
      <c r="E1046" s="10" t="str">
        <f aca="false">IF(#REF!="?OLD","!!!","")</f>
        <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75" hidden="false" customHeight="false" outlineLevel="0" collapsed="false">
      <c r="A1047" s="9" t="s">
        <v>467</v>
      </c>
      <c r="B1047" s="0" t="s">
        <v>248</v>
      </c>
      <c r="C1047" s="0" t="s">
        <v>67</v>
      </c>
      <c r="E1047" s="10" t="str">
        <f aca="false">IF(#REF!="?OLD","!!!","")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75" hidden="false" customHeight="false" outlineLevel="0" collapsed="false">
      <c r="A1048" s="9" t="s">
        <v>27</v>
      </c>
      <c r="E1048" s="10" t="str">
        <f aca="false">IF(#REF!="?OLD","!!!","")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75" hidden="false" customHeight="false" outlineLevel="0" collapsed="false">
      <c r="A1049" s="9" t="s">
        <v>468</v>
      </c>
      <c r="E1049" s="10" t="str">
        <f aca="false">IF(#REF!="?OLD","!!!","")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75" hidden="false" customHeight="false" outlineLevel="0" collapsed="false">
      <c r="A1050" s="9" t="s">
        <v>169</v>
      </c>
      <c r="E1050" s="10" t="str">
        <f aca="false">IF(#REF!="?OLD","!!!","")</f>
        <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75" hidden="false" customHeight="false" outlineLevel="0" collapsed="false">
      <c r="A1051" s="9" t="s">
        <v>469</v>
      </c>
      <c r="B1051" s="0" t="s">
        <v>470</v>
      </c>
      <c r="C1051" s="0" t="s">
        <v>173</v>
      </c>
      <c r="E1051" s="10" t="str">
        <f aca="false">IF(#REF!="?OLD","!!!","")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75" hidden="false" customHeight="false" outlineLevel="0" collapsed="false">
      <c r="A1052" s="9" t="s">
        <v>27</v>
      </c>
      <c r="E1052" s="10" t="str">
        <f aca="false">IF(#REF!="?OLD","!!!","")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75" hidden="false" customHeight="false" outlineLevel="0" collapsed="false">
      <c r="A1053" s="9" t="s">
        <v>445</v>
      </c>
      <c r="E1053" s="10" t="str">
        <f aca="false">IF(#REF!="?OLD","!!!","")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I1053" s="14" t="str">
        <f aca="false">IF(OR(E1053="",E1053="!!!",F1053="NEW"),"",INDEX(B$2:B1052,-1+SUMPRODUCT(MAX(ROW(E$2:E1052)*(E1053=E$2:E1052)))))</f>
        <v/>
      </c>
      <c r="J1053" s="15" t="str">
        <f aca="true">IF(OR(E1053="",E1053="!!!",F1053="NEW"),"",COUNTBLANK(OFFSET(A$1,,,SUMPRODUCT(MAX(ROW(E$2:E1053)*(E1053=E$2:E1053)))))-COUNTBLANK(OFFSET(A$1,,,SUMPRODUCT(MAX(ROW(E$1:E1052)*(E1053=E$1:E1052))))))</f>
        <v/>
      </c>
      <c r="K1053" s="15" t="str">
        <f aca="false">IF(OR(E1053="",E1053="!!!",F1053="NEW"),"",INDEX(J$1:J1052,SUMPRODUCT(MAX(ROW(E$1:E1052)*(E1053=E$1:E1052)))))</f>
        <v/>
      </c>
      <c r="L1053" s="16"/>
    </row>
    <row r="1054" customFormat="false" ht="12.75" hidden="false" customHeight="false" outlineLevel="0" collapsed="false">
      <c r="A1054" s="9" t="s">
        <v>76</v>
      </c>
      <c r="B1054" s="0" t="s">
        <v>365</v>
      </c>
      <c r="C1054" s="0" t="s">
        <v>16</v>
      </c>
      <c r="D1054" s="0" t="s">
        <v>17</v>
      </c>
      <c r="E1054" s="10" t="s">
        <v>471</v>
      </c>
      <c r="F1054" s="11" t="str">
        <f aca="false">IF(OR(E1054="",E1054="!!!"),"",IF(NOT(ISNA(VLOOKUP(E1054,E$1:E1053,1,FALSE()))),"OLD",IF(AND(E1054&lt;&gt;"",E1054&lt;&gt;"!!!"),"NEW","")))</f>
        <v>NEW</v>
      </c>
      <c r="G1054" s="12" t="s">
        <v>31</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75" hidden="false" customHeight="false" outlineLevel="0" collapsed="false">
      <c r="A1055" s="9" t="s">
        <v>27</v>
      </c>
      <c r="E1055" s="10" t="str">
        <f aca="false">IF(#REF!="?OLD","!!!","")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75" hidden="false" customHeight="false" outlineLevel="0" collapsed="false">
      <c r="A1056" s="9" t="s">
        <v>32</v>
      </c>
      <c r="E1056" s="10" t="str">
        <f aca="false">IF(#REF!="?OLD","!!!","")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75" hidden="false" customHeight="false" outlineLevel="0" collapsed="false">
      <c r="A1057" s="9" t="s">
        <v>447</v>
      </c>
      <c r="E1057" s="10" t="str">
        <f aca="false">IF(#REF!="?OLD","!!!","")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75" hidden="false" customHeight="false" outlineLevel="0" collapsed="false">
      <c r="A1058" s="9" t="s">
        <v>22</v>
      </c>
      <c r="E1058" s="10" t="str">
        <f aca="false">IF(#REF!="?OLD","!!!","")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75" hidden="false" customHeight="false" outlineLevel="0" collapsed="false">
      <c r="A1059" s="9" t="s">
        <v>472</v>
      </c>
      <c r="B1059" s="0" t="s">
        <v>365</v>
      </c>
      <c r="C1059" s="0" t="s">
        <v>25</v>
      </c>
      <c r="D1059" s="0" t="s">
        <v>17</v>
      </c>
      <c r="E1059" s="10" t="s">
        <v>473</v>
      </c>
      <c r="F1059" s="11" t="str">
        <f aca="false">IF(OR(E1059="",E1059="!!!"),"",IF(NOT(ISNA(VLOOKUP(E1059,E$1:E1058,1,FALSE()))),"OLD",IF(AND(E1059&lt;&gt;"",E1059&lt;&gt;"!!!"),"NEW","")))</f>
        <v>NEW</v>
      </c>
      <c r="G1059" s="12" t="s">
        <v>31</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75" hidden="false" customHeight="false" outlineLevel="0" collapsed="false">
      <c r="A1060" s="9" t="s">
        <v>32</v>
      </c>
      <c r="E1060" s="10" t="str">
        <f aca="false">IF(#REF!="?OLD","!!!","")</f>
        <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75" hidden="false" customHeight="false" outlineLevel="0" collapsed="false">
      <c r="A1061" s="9" t="s">
        <v>64</v>
      </c>
      <c r="E1061" s="10" t="str">
        <f aca="false">IF(#REF!="?OLD","!!!","")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75" hidden="false" customHeight="false" outlineLevel="0" collapsed="false">
      <c r="A1062" s="9" t="s">
        <v>76</v>
      </c>
      <c r="B1062" s="0" t="s">
        <v>365</v>
      </c>
      <c r="C1062" s="0" t="s">
        <v>16</v>
      </c>
      <c r="D1062" s="0" t="s">
        <v>17</v>
      </c>
      <c r="E1062" s="10" t="s">
        <v>473</v>
      </c>
      <c r="F1062" s="11" t="str">
        <f aca="false">IF(OR(E1062="",E1062="!!!"),"",IF(NOT(ISNA(VLOOKUP(E1062,E$1:E1061,1,FALSE()))),"OLD",IF(AND(E1062&lt;&gt;"",E1062&lt;&gt;"!!!"),"NEW","")))</f>
        <v>OLD</v>
      </c>
      <c r="G1062" s="12" t="s">
        <v>44</v>
      </c>
      <c r="H1062" s="13" t="str">
        <f aca="false">IF(J1062&lt;&gt;1,"",IF(I1062="SBJ","CB","?"))</f>
        <v/>
      </c>
      <c r="I1062" s="14" t="str">
        <f aca="false">IF(OR(E1062="",E1062="!!!",F1062="NEW"),"",INDEX(B$2:B1061,-1+SUMPRODUCT(MAX(ROW(E$2:E1061)*(E1062=E$2:E1061)))))</f>
        <v>OBJ_4</v>
      </c>
      <c r="J1062" s="15" t="n">
        <f aca="true">IF(OR(E1062="",E1062="!!!",F1062="NEW"),"",COUNTBLANK(OFFSET(A$1,,,SUMPRODUCT(MAX(ROW(E$2:E1062)*(E1062=E$2:E1062)))))-COUNTBLANK(OFFSET(A$1,,,SUMPRODUCT(MAX(ROW(E$1:E1061)*(E1062=E$1:E1061))))))</f>
        <v>0</v>
      </c>
      <c r="K1062" s="15" t="str">
        <f aca="false">IF(OR(E1062="",E1062="!!!",F1062="NEW"),"",INDEX(J$1:J1061,SUMPRODUCT(MAX(ROW(E$1:E1061)*(E1062=E$1:E1061)))))</f>
        <v/>
      </c>
      <c r="L1062" s="16"/>
    </row>
    <row r="1063" customFormat="false" ht="12.75" hidden="false" customHeight="false" outlineLevel="0" collapsed="false">
      <c r="A1063" s="9" t="s">
        <v>298</v>
      </c>
      <c r="E1063" s="10" t="str">
        <f aca="false">IF(#REF!="?OLD","!!!","")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75" hidden="false" customHeight="false" outlineLevel="0" collapsed="false">
      <c r="A1064" s="9" t="s">
        <v>22</v>
      </c>
      <c r="E1064" s="10" t="str">
        <f aca="false">IF(#REF!="?OLD","!!!","")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75" hidden="false" customHeight="false" outlineLevel="0" collapsed="false">
      <c r="A1065" s="9" t="s">
        <v>433</v>
      </c>
      <c r="B1065" s="0" t="s">
        <v>248</v>
      </c>
      <c r="C1065" s="0" t="s">
        <v>25</v>
      </c>
      <c r="D1065" s="0" t="s">
        <v>17</v>
      </c>
      <c r="E1065" s="10" t="s">
        <v>338</v>
      </c>
      <c r="F1065" s="11" t="str">
        <f aca="false">IF(OR(E1065="",E1065="!!!"),"",IF(NOT(ISNA(VLOOKUP(E1065,E$1:E1064,1,FALSE()))),"OLD",IF(AND(E1065&lt;&gt;"",E1065&lt;&gt;"!!!"),"NEW","")))</f>
        <v>OLD</v>
      </c>
      <c r="G1065" s="12" t="s">
        <v>44</v>
      </c>
      <c r="H1065" s="13" t="str">
        <f aca="false">IF(J1065&lt;&gt;1,"",IF(I1065="SBJ","CB","?"))</f>
        <v/>
      </c>
      <c r="I1065" s="14" t="str">
        <f aca="false">IF(OR(E1065="",E1065="!!!",F1065="NEW"),"",INDEX(B$2:B1064,-1+SUMPRODUCT(MAX(ROW(E$2:E1064)*(E1065=E$2:E1064)))))</f>
        <v>other_3</v>
      </c>
      <c r="J1065" s="15" t="n">
        <f aca="true">IF(OR(E1065="",E1065="!!!",F1065="NEW"),"",COUNTBLANK(OFFSET(A$1,,,SUMPRODUCT(MAX(ROW(E$2:E1065)*(E1065=E$2:E1065)))))-COUNTBLANK(OFFSET(A$1,,,SUMPRODUCT(MAX(ROW(E$1:E1064)*(E1065=E$1:E1064))))))</f>
        <v>0</v>
      </c>
      <c r="K1065" s="15" t="n">
        <f aca="false">IF(OR(E1065="",E1065="!!!",F1065="NEW"),"",INDEX(J$1:J1064,SUMPRODUCT(MAX(ROW(E$1:E1064)*(E1065=E$1:E1064)))))</f>
        <v>1</v>
      </c>
      <c r="L1065" s="16"/>
    </row>
    <row r="1066" customFormat="false" ht="12.75" hidden="false" customHeight="false" outlineLevel="0" collapsed="false">
      <c r="A1066" s="9" t="s">
        <v>208</v>
      </c>
      <c r="E1066" s="10" t="str">
        <f aca="false">IF(#REF!="?OLD","!!!","")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75" hidden="false" customHeight="false" outlineLevel="0" collapsed="false">
      <c r="A1067" s="9" t="s">
        <v>450</v>
      </c>
      <c r="B1067" s="0" t="s">
        <v>128</v>
      </c>
      <c r="C1067" s="0" t="s">
        <v>107</v>
      </c>
      <c r="D1067" s="0" t="s">
        <v>17</v>
      </c>
      <c r="E1067" s="10" t="s">
        <v>451</v>
      </c>
      <c r="F1067" s="11" t="str">
        <f aca="false">IF(OR(E1067="",E1067="!!!"),"",IF(NOT(ISNA(VLOOKUP(E1067,E$1:E1066,1,FALSE()))),"OLD",IF(AND(E1067&lt;&gt;"",E1067&lt;&gt;"!!!"),"NEW","")))</f>
        <v>OLD</v>
      </c>
      <c r="G1067" s="12" t="s">
        <v>63</v>
      </c>
      <c r="H1067" s="13"/>
      <c r="I1067" s="14" t="str">
        <f aca="false">IF(OR(E1067="",E1067="!!!",F1067="NEW"),"",INDEX(B$2:B1066,-1+SUMPRODUCT(MAX(ROW(E$2:E1066)*(E1067=E$2:E1066)))))</f>
        <v>other_5</v>
      </c>
      <c r="J1067" s="15" t="n">
        <f aca="true">IF(OR(E1067="",E1067="!!!",F1067="NEW"),"",COUNTBLANK(OFFSET(A$1,,,SUMPRODUCT(MAX(ROW(E$2:E1067)*(E1067=E$2:E1067)))))-COUNTBLANK(OFFSET(A$1,,,SUMPRODUCT(MAX(ROW(E$1:E1066)*(E1067=E$1:E1066))))))</f>
        <v>1</v>
      </c>
      <c r="K1067" s="15" t="str">
        <f aca="false">IF(OR(E1067="",E1067="!!!",F1067="NEW"),"",INDEX(J$1:J1066,SUMPRODUCT(MAX(ROW(E$1:E1066)*(E1067=E$1:E1066)))))</f>
        <v/>
      </c>
      <c r="L1067" s="16"/>
    </row>
    <row r="1068" customFormat="false" ht="12.75" hidden="false" customHeight="false" outlineLevel="0" collapsed="false">
      <c r="A1068" s="9" t="s">
        <v>60</v>
      </c>
      <c r="E1068" s="10" t="str">
        <f aca="false">IF(#REF!="?OLD","!!!","")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75" hidden="false" customHeight="false" outlineLevel="0" collapsed="false">
      <c r="E1069" s="10" t="str">
        <f aca="false">IF(#REF!="?OLD","!!!","")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106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2025-11-14T18:13:59Z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