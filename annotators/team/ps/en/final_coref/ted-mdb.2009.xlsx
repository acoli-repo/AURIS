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annotation'!$A$1:$L$858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<sst xmlns="http://schemas.openxmlformats.org/spreadsheetml/2006/main" count="1886" uniqueCount="658">
  <si>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</si>
  <si>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</si>
  <si>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</si>
  <si>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</si>
  <si>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</si>
  <si>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</si>
  <si>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</si>
  <si>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</si>
  <si>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</si>
  <si>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</si>
  <si>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</si>
  <si>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2</t>
  </si>
  <si>
    <t xml:space="preserve">_</t>
  </si>
  <si>
    <t xml:space="preserve">talkid</t>
  </si>
  <si>
    <r>
      <rPr>
        <sz val="11"/>
        <color theme="1"/>
        <rFont val="Lohit Devanagari"/>
        <family val="2"/>
      </rPr>
      <t xml:space="preserve">﻿ </t>
    </r>
    <r>
      <rPr>
        <sz val="11"/>
        <color theme="1"/>
        <rFont val="Calibri"/>
        <family val="2"/>
        <charset val="1"/>
      </rPr>
      <t xml:space="preserve">talkid : 2009</t>
    </r>
  </si>
  <si>
    <t xml:space="preserve">file://conllu/en/ted-mdb.2009.conllu#s1_0</t>
  </si>
  <si>
    <t xml:space="preserve">Kitra</t>
  </si>
  <si>
    <t xml:space="preserve">Kitra Cahana :</t>
  </si>
  <si>
    <t xml:space="preserve">file://conllu/en/ted-mdb.2009.conllu#s2_0</t>
  </si>
  <si>
    <t xml:space="preserve">3</t>
  </si>
  <si>
    <t xml:space="preserve">glimpse</t>
  </si>
  <si>
    <t xml:space="preserve">A glimpse of life on the road</t>
  </si>
  <si>
    <t xml:space="preserve">file://conllu/en/ted-mdb.2009.conllu#s3_0</t>
  </si>
  <si>
    <t xml:space="preserve">4</t>
  </si>
  <si>
    <t xml:space="preserve">8</t>
  </si>
  <si>
    <t xml:space="preserve">as?</t>
  </si>
  <si>
    <t xml:space="preserve">imagine</t>
  </si>
  <si>
    <t xml:space="preserve">As a little girl , I always imagined I would one day run away .</t>
  </si>
  <si>
    <t xml:space="preserve">file://conllu/en/ted-mdb.2009.conllu#s4_0</t>
  </si>
  <si>
    <t xml:space="preserve">5</t>
  </si>
  <si>
    <t xml:space="preserve">9</t>
  </si>
  <si>
    <t xml:space="preserve">keep</t>
  </si>
  <si>
    <t xml:space="preserve">From the age of six on , I kept a packed bag with some clothes and cans of food tucked away in the back of a closet .</t>
  </si>
  <si>
    <t xml:space="preserve">file://conllu/en/ted-mdb.2009.conllu#s5_0</t>
  </si>
  <si>
    <t xml:space="preserve">6</t>
  </si>
  <si>
    <t xml:space="preserve">be</t>
  </si>
  <si>
    <t xml:space="preserve">There was a deep restlessness in me , a primal fear that I would fall prey to a life of routine and boredom .</t>
  </si>
  <si>
    <t xml:space="preserve">file://conllu/en/ted-mdb.2009.conllu#s6_0</t>
  </si>
  <si>
    <t xml:space="preserve">7</t>
  </si>
  <si>
    <t xml:space="preserve">11</t>
  </si>
  <si>
    <t xml:space="preserve">and?</t>
  </si>
  <si>
    <t xml:space="preserve">daydream</t>
  </si>
  <si>
    <t xml:space="preserve">And so , many of my early memories involved intricate daydreams where I would walk across borders , forage for berries , and meet all kinds of strange people living unconventional lives on the road .</t>
  </si>
  <si>
    <t xml:space="preserve">file://conllu/en/ted-mdb.2009.conllu#s7_0</t>
  </si>
  <si>
    <t xml:space="preserve">pass</t>
  </si>
  <si>
    <t xml:space="preserve">Years have passed , but many of the adventures I fantasized about as a child traveling and weaving my way between worlds other than my own — have become realities through my work as a documentary photographer .</t>
  </si>
  <si>
    <t xml:space="preserve">file://conllu/en/ted-mdb.2009.conllu#s8_0</t>
  </si>
  <si>
    <t xml:space="preserve">but?</t>
  </si>
  <si>
    <t xml:space="preserve">feel</t>
  </si>
  <si>
    <t xml:space="preserve">But no other experience has felt as true to my childhood dreams as living amongst and documenting the lives of fellow wanderers across the United States .</t>
  </si>
  <si>
    <t xml:space="preserve">file://conllu/en/ted-mdb.2009.conllu#s9_0</t>
  </si>
  <si>
    <t xml:space="preserve">10</t>
  </si>
  <si>
    <t xml:space="preserve">be (be dream)</t>
  </si>
  <si>
    <t xml:space="preserve">This is the nomadic dream , a different kind of American dream lived by young hobos , travelers , hitchhikers , vagrants and tramps .</t>
  </si>
  <si>
    <t xml:space="preserve">file://conllu/en/ted-mdb.2009.conllu#s10_0</t>
  </si>
  <si>
    <t xml:space="preserve">be (be creature)</t>
  </si>
  <si>
    <t xml:space="preserve">In most of our minds , the vagabond is a creature from the past .</t>
  </si>
  <si>
    <t xml:space="preserve">file://conllu/en/ted-mdb.2009.conllu#s11_0</t>
  </si>
  <si>
    <t xml:space="preserve">12</t>
  </si>
  <si>
    <t xml:space="preserve">conjure</t>
  </si>
  <si>
    <t xml:space="preserve">The word &amp;quot; hobo &amp;quot; conjures up an old black and white image of a weathered old man covered in coal , legs dangling out of a boxcar , but these photographs are in color , and they portray a community swirling across the country , fiercely alive and creatively free , seeing sides of America that no one else gets to see .</t>
  </si>
  <si>
    <t xml:space="preserve">file://conllu/en/ted-mdb.2009.conllu#s12_0</t>
  </si>
  <si>
    <t xml:space="preserve">13</t>
  </si>
  <si>
    <t xml:space="preserve">travel</t>
  </si>
  <si>
    <t xml:space="preserve">Like their predecessors , today 's nomads travel the steel and asphalt arteries of the United States .</t>
  </si>
  <si>
    <t xml:space="preserve">file://conllu/en/ted-mdb.2009.conllu#s13_0</t>
  </si>
  <si>
    <t xml:space="preserve">14</t>
  </si>
  <si>
    <t xml:space="preserve">hop</t>
  </si>
  <si>
    <t xml:space="preserve">By day , they hop freight trains , stick out their thumbs , and ride the highways with anyone from truckers to soccer moms .</t>
  </si>
  <si>
    <t xml:space="preserve">file://conllu/en/ted-mdb.2009.conllu#s14_0</t>
  </si>
  <si>
    <t xml:space="preserve">15</t>
  </si>
  <si>
    <t xml:space="preserve">sleep</t>
  </si>
  <si>
    <t xml:space="preserve">By night , they sleep beneath the stars , huddled together with their packs of dogs , cats and pet rats between their bodies .</t>
  </si>
  <si>
    <t xml:space="preserve">file://conllu/en/ted-mdb.2009.conllu#s15_0</t>
  </si>
  <si>
    <t xml:space="preserve">16</t>
  </si>
  <si>
    <t xml:space="preserve">take</t>
  </si>
  <si>
    <t xml:space="preserve">Some travelers take to the road by choice , renouncing materialism , traditional jobs and university degrees in exchange for a glimmer of adventure .</t>
  </si>
  <si>
    <t xml:space="preserve">file://conllu/en/ted-mdb.2009.conllu#s16_0</t>
  </si>
  <si>
    <t xml:space="preserve">17</t>
  </si>
  <si>
    <t xml:space="preserve">come</t>
  </si>
  <si>
    <t xml:space="preserve">Others come from the underbelly of society , never given a chance to mobilize upwards :</t>
  </si>
  <si>
    <t xml:space="preserve">file://conllu/en/ted-mdb.2009.conllu#s17_0</t>
  </si>
  <si>
    <t xml:space="preserve">18</t>
  </si>
  <si>
    <t xml:space="preserve">dropout</t>
  </si>
  <si>
    <t xml:space="preserve">foster care dropouts , teenage runaways escaping abuse and unforgiving homes .</t>
  </si>
  <si>
    <t xml:space="preserve">file://conllu/en/ted-mdb.2009.conllu#s18_0</t>
  </si>
  <si>
    <t xml:space="preserve">19</t>
  </si>
  <si>
    <t xml:space="preserve">see (see view)</t>
  </si>
  <si>
    <t xml:space="preserve">Where others see stories of privation and economic failure , travelers view their own existence through the prism of liberation and freedom .</t>
  </si>
  <si>
    <t xml:space="preserve">file://conllu/en/ted-mdb.2009.conllu#s19_0</t>
  </si>
  <si>
    <t xml:space="preserve">20</t>
  </si>
  <si>
    <t xml:space="preserve">rather?</t>
  </si>
  <si>
    <t xml:space="preserve">live</t>
  </si>
  <si>
    <t xml:space="preserve">They 'd rather live off of the excess of what they view as a wasteful consumer society than slave away at an unrealistic chance at the traditional American dream .</t>
  </si>
  <si>
    <t xml:space="preserve">file://conllu/en/ted-mdb.2009.conllu#s20_0</t>
  </si>
  <si>
    <t xml:space="preserve">21</t>
  </si>
  <si>
    <t xml:space="preserve">They take advantage of the fact that in the United States , up to 40 percent of all food ends up in the garbage by scavenging for perfectly good produce in dumpsters and trash cans .</t>
  </si>
  <si>
    <t xml:space="preserve">file://conllu/en/ted-mdb.2009.conllu#s21_0</t>
  </si>
  <si>
    <t xml:space="preserve">22</t>
  </si>
  <si>
    <t xml:space="preserve">sacrifice</t>
  </si>
  <si>
    <t xml:space="preserve">They sacrifice material comforts in exchange for the space and the time to explore a creative interior , to dream , to read , to work on music , art and writing .</t>
  </si>
  <si>
    <t xml:space="preserve">file://conllu/en/ted-mdb.2009.conllu#s22_0</t>
  </si>
  <si>
    <t xml:space="preserve">23</t>
  </si>
  <si>
    <t xml:space="preserve">But there are many aspects to this life that are far from idyllic .</t>
  </si>
  <si>
    <t xml:space="preserve">file://conllu/en/ted-mdb.2009.conllu#s23_0</t>
  </si>
  <si>
    <t xml:space="preserve">24</t>
  </si>
  <si>
    <t xml:space="preserve">lose</t>
  </si>
  <si>
    <t xml:space="preserve">No one loses their inner demons by taking to the road .</t>
  </si>
  <si>
    <t xml:space="preserve">file://conllu/en/ted-mdb.2009.conllu#s24_0</t>
  </si>
  <si>
    <t xml:space="preserve">25</t>
  </si>
  <si>
    <t xml:space="preserve">be (be real)</t>
  </si>
  <si>
    <t xml:space="preserve">Addiction is real , the elements are real , freight trains maim and kill , and anyone who has lived on the streets can attest to the exhaustive list of laws that criminalize homeless existence .</t>
  </si>
  <si>
    <t xml:space="preserve">file://conllu/en/ted-mdb.2009.conllu#s25_0</t>
  </si>
  <si>
    <t xml:space="preserve">26</t>
  </si>
  <si>
    <t xml:space="preserve">know</t>
  </si>
  <si>
    <t xml:space="preserve">Who here knows that in many cities across the United States it is now illegal to sit on the sidewalk , to wrap oneself in a blanket , to sleep in your own car , to offer food to a stranger ?</t>
  </si>
  <si>
    <t xml:space="preserve">file://conllu/en/ted-mdb.2009.conllu#s26_0</t>
  </si>
  <si>
    <t xml:space="preserve">27</t>
  </si>
  <si>
    <t xml:space="preserve">because?</t>
  </si>
  <si>
    <t xml:space="preserve">watch (watch know)</t>
  </si>
  <si>
    <t xml:space="preserve">I know about these laws because I 've watched as friends and other travelers were hauled off to jail or received citations for committing these so called crimes .</t>
  </si>
  <si>
    <t xml:space="preserve">file://conllu/en/ted-mdb.2009.conllu#s27_0</t>
  </si>
  <si>
    <t xml:space="preserve">28</t>
  </si>
  <si>
    <t xml:space="preserve">wonder</t>
  </si>
  <si>
    <t xml:space="preserve">Many of you might be wondering why anyone would choose a life like this , under the thumb of discriminatory laws , eating out of trash cans , sleeping under bridges , picking up seasonal jobs here and there .</t>
  </si>
  <si>
    <t xml:space="preserve">file://conllu/en/ted-mdb.2009.conllu#s28_0</t>
  </si>
  <si>
    <t xml:space="preserve">29</t>
  </si>
  <si>
    <t xml:space="preserve">be (be vari)</t>
  </si>
  <si>
    <t xml:space="preserve">The answer to such a question is as varied as the people that take to the road , but travelers often respond with a single word : freedom .</t>
  </si>
  <si>
    <t xml:space="preserve">file://conllu/en/ted-mdb.2009.conllu#s29_0</t>
  </si>
  <si>
    <t xml:space="preserve">30</t>
  </si>
  <si>
    <t xml:space="preserve">34</t>
  </si>
  <si>
    <t xml:space="preserve">until?</t>
  </si>
  <si>
    <t xml:space="preserve">be (be element)</t>
  </si>
  <si>
    <t xml:space="preserve">Until we live in a society where every human is assured dignity in their labor so that they can work to live well , not only work to survive , there will always be an element of those who seek the open road as a means of escape , of liberation and , of course , of rebellion .</t>
  </si>
  <si>
    <t xml:space="preserve">file://conllu/en/ted-mdb.2009.conllu#s30_0</t>
  </si>
  <si>
    <t xml:space="preserve">31</t>
  </si>
  <si>
    <t xml:space="preserve">thank</t>
  </si>
  <si>
    <t xml:space="preserve">Thank you .</t>
  </si>
  <si>
    <t xml:space="preserve">file://conllu/en/ted-mdb.2009.conllu#s31_0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</si>
  <si>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</si>
  <si>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</si>
  <si>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</si>
  <si>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</si>
  <si>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</si>
  <si>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</si>
  <si>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</si>
  <si>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</si>
  <si>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</si>
  <si>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</si>
  <si>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</si>
  <si>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r>
      <rPr>
        <sz val="11"/>
        <color theme="1"/>
        <rFont val="Calibri"/>
        <family val="2"/>
        <charset val="1"/>
      </rPr>
      <t xml:space="preserve"># text = </t>
    </r>
    <r>
      <rPr>
        <sz val="11"/>
        <color theme="1"/>
        <rFont val="Lohit Devanagari"/>
        <family val="2"/>
      </rPr>
      <t xml:space="preserve">﻿ </t>
    </r>
    <r>
      <rPr>
        <sz val="11"/>
        <color theme="1"/>
        <rFont val="Calibri"/>
        <family val="2"/>
        <charset val="1"/>
      </rPr>
      <t xml:space="preserve">talkid: 2009</t>
    </r>
  </si>
  <si>
    <t xml:space="preserve">﻿</t>
  </si>
  <si>
    <t xml:space="preserve">other</t>
  </si>
  <si>
    <t xml:space="preserve">indef-np.quant</t>
  </si>
  <si>
    <t xml:space="preserve">:</t>
  </si>
  <si>
    <t xml:space="preserve">2009</t>
  </si>
  <si>
    <t xml:space="preserve"># text = Kitra Cahana:</t>
  </si>
  <si>
    <t xml:space="preserve">ne</t>
  </si>
  <si>
    <t xml:space="preserve">?OLD</t>
  </si>
  <si>
    <t xml:space="preserve">REFERENTIAL</t>
  </si>
  <si>
    <t xml:space="preserve">Cahana</t>
  </si>
  <si>
    <t xml:space="preserve"># text = A glimpse of life on the road</t>
  </si>
  <si>
    <t xml:space="preserve">A</t>
  </si>
  <si>
    <t xml:space="preserve">indef-np.a</t>
  </si>
  <si>
    <t xml:space="preserve">of</t>
  </si>
  <si>
    <t xml:space="preserve">life</t>
  </si>
  <si>
    <t xml:space="preserve">indef-np.bare</t>
  </si>
  <si>
    <t xml:space="preserve">on</t>
  </si>
  <si>
    <t xml:space="preserve">the</t>
  </si>
  <si>
    <t xml:space="preserve">road</t>
  </si>
  <si>
    <t xml:space="preserve">def-np.the</t>
  </si>
  <si>
    <t xml:space="preserve">Road</t>
  </si>
  <si>
    <t xml:space="preserve"># text = As a little girl, I always imagined I would one day run away.</t>
  </si>
  <si>
    <t xml:space="preserve">As</t>
  </si>
  <si>
    <t xml:space="preserve">a</t>
  </si>
  <si>
    <t xml:space="preserve">little</t>
  </si>
  <si>
    <t xml:space="preserve">girl</t>
  </si>
  <si>
    <t xml:space="preserve">,</t>
  </si>
  <si>
    <t xml:space="preserve">I</t>
  </si>
  <si>
    <t xml:space="preserve">SBJ</t>
  </si>
  <si>
    <t xml:space="preserve">pron.pper</t>
  </si>
  <si>
    <t xml:space="preserve">ACTIVATED</t>
  </si>
  <si>
    <t xml:space="preserve">always</t>
  </si>
  <si>
    <t xml:space="preserve">imagined</t>
  </si>
  <si>
    <t xml:space="preserve">SBJ_2</t>
  </si>
  <si>
    <t xml:space="preserve">IN_FOCUS</t>
  </si>
  <si>
    <t xml:space="preserve">would</t>
  </si>
  <si>
    <t xml:space="preserve">one</t>
  </si>
  <si>
    <t xml:space="preserve">day</t>
  </si>
  <si>
    <t xml:space="preserve">other_2</t>
  </si>
  <si>
    <t xml:space="preserve">run</t>
  </si>
  <si>
    <t xml:space="preserve">away</t>
  </si>
  <si>
    <t xml:space="preserve">.</t>
  </si>
  <si>
    <t xml:space="preserve"># text = From the age of six on, I kept a packed bag with some clothes and cans of food tucked away in the back of a closet.</t>
  </si>
  <si>
    <t xml:space="preserve">From</t>
  </si>
  <si>
    <t xml:space="preserve">age</t>
  </si>
  <si>
    <t xml:space="preserve">def-np.quant</t>
  </si>
  <si>
    <t xml:space="preserve">Age</t>
  </si>
  <si>
    <t xml:space="preserve">six</t>
  </si>
  <si>
    <t xml:space="preserve">kept</t>
  </si>
  <si>
    <t xml:space="preserve">packed</t>
  </si>
  <si>
    <t xml:space="preserve">bag</t>
  </si>
  <si>
    <t xml:space="preserve">OBJ</t>
  </si>
  <si>
    <t xml:space="preserve">with</t>
  </si>
  <si>
    <t xml:space="preserve">some</t>
  </si>
  <si>
    <t xml:space="preserve">clothes</t>
  </si>
  <si>
    <t xml:space="preserve">and</t>
  </si>
  <si>
    <t xml:space="preserve">cans</t>
  </si>
  <si>
    <t xml:space="preserve">food</t>
  </si>
  <si>
    <t xml:space="preserve">other_3</t>
  </si>
  <si>
    <t xml:space="preserve">tucked</t>
  </si>
  <si>
    <t xml:space="preserve">in</t>
  </si>
  <si>
    <t xml:space="preserve">back</t>
  </si>
  <si>
    <t xml:space="preserve">Back</t>
  </si>
  <si>
    <t xml:space="preserve">closet</t>
  </si>
  <si>
    <t xml:space="preserve">other_4</t>
  </si>
  <si>
    <t xml:space="preserve"># text = There was a deep restlessness in me, a primal fear that I would fall prey to a life of routine and boredom.</t>
  </si>
  <si>
    <t xml:space="preserve">There</t>
  </si>
  <si>
    <t xml:space="preserve">was</t>
  </si>
  <si>
    <t xml:space="preserve">deep</t>
  </si>
  <si>
    <t xml:space="preserve">restlessness</t>
  </si>
  <si>
    <t xml:space="preserve">me</t>
  </si>
  <si>
    <t xml:space="preserve">primal</t>
  </si>
  <si>
    <t xml:space="preserve">fear</t>
  </si>
  <si>
    <t xml:space="preserve">that</t>
  </si>
  <si>
    <t xml:space="preserve">SBJ_4</t>
  </si>
  <si>
    <t xml:space="preserve">fall</t>
  </si>
  <si>
    <t xml:space="preserve">prey</t>
  </si>
  <si>
    <t xml:space="preserve">OBJ_4</t>
  </si>
  <si>
    <t xml:space="preserve">to</t>
  </si>
  <si>
    <t xml:space="preserve">routine</t>
  </si>
  <si>
    <t xml:space="preserve">other_5</t>
  </si>
  <si>
    <t xml:space="preserve">boredom</t>
  </si>
  <si>
    <t xml:space="preserve">other_6</t>
  </si>
  <si>
    <t xml:space="preserve"># text = And so, many of my early memories involved intricate daydreams where I would walk across borders, forage for berries, and meet all kinds of strange people living unconventional lives on the road.</t>
  </si>
  <si>
    <t xml:space="preserve">And</t>
  </si>
  <si>
    <t xml:space="preserve">so</t>
  </si>
  <si>
    <t xml:space="preserve">many</t>
  </si>
  <si>
    <t xml:space="preserve">my</t>
  </si>
  <si>
    <t xml:space="preserve">pron.ppos</t>
  </si>
  <si>
    <t xml:space="preserve">early</t>
  </si>
  <si>
    <t xml:space="preserve">memories</t>
  </si>
  <si>
    <t xml:space="preserve">def-np.poss</t>
  </si>
  <si>
    <t xml:space="preserve">Memories</t>
  </si>
  <si>
    <t xml:space="preserve">involved</t>
  </si>
  <si>
    <t xml:space="preserve">intricate</t>
  </si>
  <si>
    <t xml:space="preserve">daydreams</t>
  </si>
  <si>
    <t xml:space="preserve">where</t>
  </si>
  <si>
    <t xml:space="preserve">walk</t>
  </si>
  <si>
    <t xml:space="preserve">across</t>
  </si>
  <si>
    <t xml:space="preserve">borders</t>
  </si>
  <si>
    <t xml:space="preserve">forage</t>
  </si>
  <si>
    <t xml:space="preserve">for</t>
  </si>
  <si>
    <t xml:space="preserve">berries</t>
  </si>
  <si>
    <t xml:space="preserve">meet</t>
  </si>
  <si>
    <t xml:space="preserve">all</t>
  </si>
  <si>
    <t xml:space="preserve">kinds</t>
  </si>
  <si>
    <t xml:space="preserve">OBJ_2</t>
  </si>
  <si>
    <t xml:space="preserve">strange</t>
  </si>
  <si>
    <t xml:space="preserve">people</t>
  </si>
  <si>
    <t xml:space="preserve">living</t>
  </si>
  <si>
    <t xml:space="preserve">unconventional</t>
  </si>
  <si>
    <t xml:space="preserve">lives</t>
  </si>
  <si>
    <t xml:space="preserve">OBJ_3</t>
  </si>
  <si>
    <t xml:space="preserve">FAMILIAR</t>
  </si>
  <si>
    <t xml:space="preserve"># text = Years have passed, but many of the adventures I fantasized about as a child -- traveling and weaving my way between worlds other than my own — have become realities through my work as a documentary photographer.</t>
  </si>
  <si>
    <t xml:space="preserve">Years</t>
  </si>
  <si>
    <t xml:space="preserve">have</t>
  </si>
  <si>
    <t xml:space="preserve">passed</t>
  </si>
  <si>
    <t xml:space="preserve">but</t>
  </si>
  <si>
    <t xml:space="preserve">SBJ_3</t>
  </si>
  <si>
    <t xml:space="preserve">adventures</t>
  </si>
  <si>
    <t xml:space="preserve">Adventures</t>
  </si>
  <si>
    <t xml:space="preserve">SBJ_6</t>
  </si>
  <si>
    <t xml:space="preserve">fantasized</t>
  </si>
  <si>
    <t xml:space="preserve">about</t>
  </si>
  <si>
    <t xml:space="preserve">as</t>
  </si>
  <si>
    <t xml:space="preserve">child</t>
  </si>
  <si>
    <t xml:space="preserve">traveling</t>
  </si>
  <si>
    <t xml:space="preserve">weaving</t>
  </si>
  <si>
    <t xml:space="preserve">way</t>
  </si>
  <si>
    <t xml:space="preserve">Way</t>
  </si>
  <si>
    <t xml:space="preserve">between</t>
  </si>
  <si>
    <t xml:space="preserve">worlds</t>
  </si>
  <si>
    <t xml:space="preserve">than</t>
  </si>
  <si>
    <t xml:space="preserve">other_8</t>
  </si>
  <si>
    <t xml:space="preserve">own</t>
  </si>
  <si>
    <t xml:space="preserve">—</t>
  </si>
  <si>
    <t xml:space="preserve">become</t>
  </si>
  <si>
    <t xml:space="preserve">realities</t>
  </si>
  <si>
    <t xml:space="preserve">through</t>
  </si>
  <si>
    <t xml:space="preserve">work</t>
  </si>
  <si>
    <t xml:space="preserve">Work</t>
  </si>
  <si>
    <t xml:space="preserve">documentary</t>
  </si>
  <si>
    <t xml:space="preserve">photographer</t>
  </si>
  <si>
    <t xml:space="preserve"># text = But no other experience has felt as true to my childhood dreams as living amongst and documenting the lives of fellow wanderers across the United States.</t>
  </si>
  <si>
    <t xml:space="preserve">But</t>
  </si>
  <si>
    <t xml:space="preserve">no</t>
  </si>
  <si>
    <t xml:space="preserve">experience</t>
  </si>
  <si>
    <t xml:space="preserve">has</t>
  </si>
  <si>
    <t xml:space="preserve">felt</t>
  </si>
  <si>
    <t xml:space="preserve">true</t>
  </si>
  <si>
    <t xml:space="preserve">childhood</t>
  </si>
  <si>
    <t xml:space="preserve">dreams</t>
  </si>
  <si>
    <t xml:space="preserve">Childhood_Dreams</t>
  </si>
  <si>
    <t xml:space="preserve">amongst</t>
  </si>
  <si>
    <t xml:space="preserve">documenting</t>
  </si>
  <si>
    <t xml:space="preserve">Lives</t>
  </si>
  <si>
    <t xml:space="preserve">fellow</t>
  </si>
  <si>
    <t xml:space="preserve">wanderers</t>
  </si>
  <si>
    <t xml:space="preserve">United</t>
  </si>
  <si>
    <t xml:space="preserve">States</t>
  </si>
  <si>
    <t xml:space="preserve">United_States</t>
  </si>
  <si>
    <t xml:space="preserve"># text = This is the nomadic dream, a different kind of American dream lived by young hobos, travelers, hitchhikers, vagrants and tramps.</t>
  </si>
  <si>
    <t xml:space="preserve">This</t>
  </si>
  <si>
    <t xml:space="preserve">pron.pds</t>
  </si>
  <si>
    <t xml:space="preserve">Living_amongst_and_documenting_the_lives_of_fellow_wanderers</t>
  </si>
  <si>
    <t xml:space="preserve">is</t>
  </si>
  <si>
    <t xml:space="preserve">nomadic</t>
  </si>
  <si>
    <t xml:space="preserve">dream</t>
  </si>
  <si>
    <t xml:space="preserve">Nomadic_Dream</t>
  </si>
  <si>
    <t xml:space="preserve">different</t>
  </si>
  <si>
    <t xml:space="preserve">kind</t>
  </si>
  <si>
    <t xml:space="preserve">American</t>
  </si>
  <si>
    <t xml:space="preserve">lived</t>
  </si>
  <si>
    <t xml:space="preserve">by</t>
  </si>
  <si>
    <t xml:space="preserve">young</t>
  </si>
  <si>
    <t xml:space="preserve">hobos</t>
  </si>
  <si>
    <t xml:space="preserve">travelers</t>
  </si>
  <si>
    <t xml:space="preserve">hitchhikers</t>
  </si>
  <si>
    <t xml:space="preserve">vagrants</t>
  </si>
  <si>
    <t xml:space="preserve">tramps</t>
  </si>
  <si>
    <t xml:space="preserve"># text = In most of our minds, the vagabond is a creature from the past.</t>
  </si>
  <si>
    <t xml:space="preserve">In</t>
  </si>
  <si>
    <t xml:space="preserve">most</t>
  </si>
  <si>
    <t xml:space="preserve">Most</t>
  </si>
  <si>
    <t xml:space="preserve">our</t>
  </si>
  <si>
    <t xml:space="preserve">Our</t>
  </si>
  <si>
    <t xml:space="preserve">minds</t>
  </si>
  <si>
    <t xml:space="preserve">Minds</t>
  </si>
  <si>
    <t xml:space="preserve">vagabond</t>
  </si>
  <si>
    <t xml:space="preserve">Vagabond</t>
  </si>
  <si>
    <t xml:space="preserve">creature</t>
  </si>
  <si>
    <t xml:space="preserve">from</t>
  </si>
  <si>
    <t xml:space="preserve">past</t>
  </si>
  <si>
    <t xml:space="preserve">Past</t>
  </si>
  <si>
    <t xml:space="preserve">--</t>
  </si>
  <si>
    <t xml:space="preserve">#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</si>
  <si>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 xml:space="preserve">The</t>
  </si>
  <si>
    <t xml:space="preserve">word</t>
  </si>
  <si>
    <t xml:space="preserve">Word</t>
  </si>
  <si>
    <t xml:space="preserve">&amp;quot;</t>
  </si>
  <si>
    <t xml:space="preserve">hobo</t>
  </si>
  <si>
    <t xml:space="preserve">conjures</t>
  </si>
  <si>
    <t xml:space="preserve">up</t>
  </si>
  <si>
    <t xml:space="preserve">an</t>
  </si>
  <si>
    <t xml:space="preserve">old</t>
  </si>
  <si>
    <t xml:space="preserve">black</t>
  </si>
  <si>
    <t xml:space="preserve">white</t>
  </si>
  <si>
    <t xml:space="preserve">image</t>
  </si>
  <si>
    <t xml:space="preserve">weathered</t>
  </si>
  <si>
    <t xml:space="preserve">man</t>
  </si>
  <si>
    <t xml:space="preserve">covered</t>
  </si>
  <si>
    <t xml:space="preserve">coal</t>
  </si>
  <si>
    <t xml:space="preserve">legs</t>
  </si>
  <si>
    <t xml:space="preserve">dangling</t>
  </si>
  <si>
    <t xml:space="preserve">out</t>
  </si>
  <si>
    <t xml:space="preserve">boxcar</t>
  </si>
  <si>
    <t xml:space="preserve">these</t>
  </si>
  <si>
    <t xml:space="preserve">photographs</t>
  </si>
  <si>
    <t xml:space="preserve">def-np.dem</t>
  </si>
  <si>
    <t xml:space="preserve">Photographs</t>
  </si>
  <si>
    <t xml:space="preserve">are</t>
  </si>
  <si>
    <t xml:space="preserve">color</t>
  </si>
  <si>
    <t xml:space="preserve">they</t>
  </si>
  <si>
    <t xml:space="preserve">portray</t>
  </si>
  <si>
    <t xml:space="preserve">community</t>
  </si>
  <si>
    <t xml:space="preserve">swirling</t>
  </si>
  <si>
    <t xml:space="preserve">country</t>
  </si>
  <si>
    <t xml:space="preserve">Country</t>
  </si>
  <si>
    <t xml:space="preserve">fiercely</t>
  </si>
  <si>
    <t xml:space="preserve">alive</t>
  </si>
  <si>
    <t xml:space="preserve">creatively</t>
  </si>
  <si>
    <t xml:space="preserve">free</t>
  </si>
  <si>
    <t xml:space="preserve">seeing</t>
  </si>
  <si>
    <t xml:space="preserve">sides</t>
  </si>
  <si>
    <t xml:space="preserve">Sides</t>
  </si>
  <si>
    <t xml:space="preserve">America</t>
  </si>
  <si>
    <t xml:space="preserve">else</t>
  </si>
  <si>
    <t xml:space="preserve">gets</t>
  </si>
  <si>
    <t xml:space="preserve">see</t>
  </si>
  <si>
    <t xml:space="preserve"># text = Like their predecessors, today's nomads travel the steel and asphalt arteries of the United States.</t>
  </si>
  <si>
    <t xml:space="preserve">Like</t>
  </si>
  <si>
    <t xml:space="preserve">their</t>
  </si>
  <si>
    <t xml:space="preserve">Nomads</t>
  </si>
  <si>
    <t xml:space="preserve">predecessors</t>
  </si>
  <si>
    <t xml:space="preserve">Nomads_predecessors</t>
  </si>
  <si>
    <t xml:space="preserve">today</t>
  </si>
  <si>
    <t xml:space="preserve">'s</t>
  </si>
  <si>
    <t xml:space="preserve">nomads</t>
  </si>
  <si>
    <t xml:space="preserve">steel</t>
  </si>
  <si>
    <t xml:space="preserve">asphalt</t>
  </si>
  <si>
    <t xml:space="preserve">arteries</t>
  </si>
  <si>
    <t xml:space="preserve">Asphalt_arteries</t>
  </si>
  <si>
    <t xml:space="preserve"># text = By day, they hop freight trains, stick out their thumbs, and ride the highways with anyone from truckers to soccer moms.</t>
  </si>
  <si>
    <t xml:space="preserve">By</t>
  </si>
  <si>
    <t xml:space="preserve">freight</t>
  </si>
  <si>
    <t xml:space="preserve">trains</t>
  </si>
  <si>
    <t xml:space="preserve">stick</t>
  </si>
  <si>
    <t xml:space="preserve">thumbs</t>
  </si>
  <si>
    <t xml:space="preserve">Thumbs</t>
  </si>
  <si>
    <t xml:space="preserve">ride</t>
  </si>
  <si>
    <t xml:space="preserve">highways</t>
  </si>
  <si>
    <t xml:space="preserve">Highways</t>
  </si>
  <si>
    <t xml:space="preserve">anyone</t>
  </si>
  <si>
    <t xml:space="preserve">pron.pind</t>
  </si>
  <si>
    <t xml:space="preserve">truckers</t>
  </si>
  <si>
    <t xml:space="preserve">soccer</t>
  </si>
  <si>
    <t xml:space="preserve">moms</t>
  </si>
  <si>
    <t xml:space="preserve"># text = By night, they sleep beneath the stars, huddled together with their packs of dogs, cats and pet rats between their bodies.</t>
  </si>
  <si>
    <t xml:space="preserve">night</t>
  </si>
  <si>
    <t xml:space="preserve">beneath</t>
  </si>
  <si>
    <t xml:space="preserve">stars</t>
  </si>
  <si>
    <t xml:space="preserve">Stars</t>
  </si>
  <si>
    <t xml:space="preserve">huddled</t>
  </si>
  <si>
    <t xml:space="preserve">together</t>
  </si>
  <si>
    <t xml:space="preserve">packs</t>
  </si>
  <si>
    <t xml:space="preserve">Packs</t>
  </si>
  <si>
    <t xml:space="preserve">dogs</t>
  </si>
  <si>
    <t xml:space="preserve">cats</t>
  </si>
  <si>
    <t xml:space="preserve">pet</t>
  </si>
  <si>
    <t xml:space="preserve">rats</t>
  </si>
  <si>
    <t xml:space="preserve">bodies</t>
  </si>
  <si>
    <t xml:space="preserve">Bodies</t>
  </si>
  <si>
    <t xml:space="preserve"># text = Some travelers take to the road by choice, renouncing materialism, traditional jobs and university degrees in exchange for a glimmer of adventure.</t>
  </si>
  <si>
    <t xml:space="preserve">Some</t>
  </si>
  <si>
    <t xml:space="preserve">choice</t>
  </si>
  <si>
    <t xml:space="preserve">renouncing</t>
  </si>
  <si>
    <t xml:space="preserve">materialism</t>
  </si>
  <si>
    <t xml:space="preserve">traditional</t>
  </si>
  <si>
    <t xml:space="preserve">jobs</t>
  </si>
  <si>
    <t xml:space="preserve">university</t>
  </si>
  <si>
    <t xml:space="preserve">degrees</t>
  </si>
  <si>
    <t xml:space="preserve">exchange</t>
  </si>
  <si>
    <t xml:space="preserve">glimmer</t>
  </si>
  <si>
    <t xml:space="preserve">adventure</t>
  </si>
  <si>
    <t xml:space="preserve"># text = Others come from the underbelly of society, never given a chance to mobilize upwards:</t>
  </si>
  <si>
    <t xml:space="preserve">Others</t>
  </si>
  <si>
    <t xml:space="preserve">underbelly</t>
  </si>
  <si>
    <t xml:space="preserve">Underbelly</t>
  </si>
  <si>
    <t xml:space="preserve">society</t>
  </si>
  <si>
    <t xml:space="preserve">never</t>
  </si>
  <si>
    <t xml:space="preserve">given</t>
  </si>
  <si>
    <t xml:space="preserve">chance</t>
  </si>
  <si>
    <t xml:space="preserve">mobilize</t>
  </si>
  <si>
    <t xml:space="preserve">upwards</t>
  </si>
  <si>
    <t xml:space="preserve"># text = foster care dropouts, teenage runaways escaping abuse and unforgiving homes.</t>
  </si>
  <si>
    <t xml:space="preserve">foster</t>
  </si>
  <si>
    <t xml:space="preserve">care</t>
  </si>
  <si>
    <t xml:space="preserve">dropouts</t>
  </si>
  <si>
    <t xml:space="preserve">teenage</t>
  </si>
  <si>
    <t xml:space="preserve">runaways</t>
  </si>
  <si>
    <t xml:space="preserve">escaping</t>
  </si>
  <si>
    <t xml:space="preserve">abuse</t>
  </si>
  <si>
    <t xml:space="preserve">unforgiving</t>
  </si>
  <si>
    <t xml:space="preserve">homes</t>
  </si>
  <si>
    <t xml:space="preserve"># text = Where others see stories of privation and economic failure, travelers view their own existence through the prism of liberation and freedom.</t>
  </si>
  <si>
    <t xml:space="preserve">Where</t>
  </si>
  <si>
    <t xml:space="preserve">others</t>
  </si>
  <si>
    <t xml:space="preserve">stories</t>
  </si>
  <si>
    <t xml:space="preserve">privation</t>
  </si>
  <si>
    <t xml:space="preserve">economic</t>
  </si>
  <si>
    <t xml:space="preserve">failure</t>
  </si>
  <si>
    <t xml:space="preserve">view</t>
  </si>
  <si>
    <t xml:space="preserve">Travelers</t>
  </si>
  <si>
    <t xml:space="preserve">existence</t>
  </si>
  <si>
    <t xml:space="preserve">Travelers_existence</t>
  </si>
  <si>
    <t xml:space="preserve">prism</t>
  </si>
  <si>
    <t xml:space="preserve">Prism</t>
  </si>
  <si>
    <t xml:space="preserve">liberation</t>
  </si>
  <si>
    <t xml:space="preserve">freedom</t>
  </si>
  <si>
    <t xml:space="preserve"># text = They'd rather live off of the excess of what they view as a wasteful consumer society than slave away at an unrealistic chance at the traditional American dream.</t>
  </si>
  <si>
    <t xml:space="preserve">They</t>
  </si>
  <si>
    <t xml:space="preserve">'d</t>
  </si>
  <si>
    <t xml:space="preserve">rather</t>
  </si>
  <si>
    <t xml:space="preserve">off</t>
  </si>
  <si>
    <t xml:space="preserve">excess</t>
  </si>
  <si>
    <t xml:space="preserve">Excess</t>
  </si>
  <si>
    <t xml:space="preserve">what</t>
  </si>
  <si>
    <t xml:space="preserve">pron.pint</t>
  </si>
  <si>
    <t xml:space="preserve">wasteful</t>
  </si>
  <si>
    <t xml:space="preserve">consumer</t>
  </si>
  <si>
    <t xml:space="preserve">slave</t>
  </si>
  <si>
    <t xml:space="preserve">at</t>
  </si>
  <si>
    <t xml:space="preserve">unrealistic</t>
  </si>
  <si>
    <t xml:space="preserve">American_dream</t>
  </si>
  <si>
    <t xml:space="preserve"># text = They take advantage of the fact that in the United States, up to 40 percent of all food ends up in the garbage by scavenging for perfectly good produce in dumpsters and trash cans.</t>
  </si>
  <si>
    <t xml:space="preserve">advantage</t>
  </si>
  <si>
    <t xml:space="preserve">fact</t>
  </si>
  <si>
    <t xml:space="preserve">IDIOM</t>
  </si>
  <si>
    <t xml:space="preserve">CC: tbc</t>
  </si>
  <si>
    <t xml:space="preserve">40</t>
  </si>
  <si>
    <t xml:space="preserve">percent</t>
  </si>
  <si>
    <t xml:space="preserve">ends</t>
  </si>
  <si>
    <t xml:space="preserve">garbage</t>
  </si>
  <si>
    <t xml:space="preserve">Garbage</t>
  </si>
  <si>
    <t xml:space="preserve">scavenging</t>
  </si>
  <si>
    <t xml:space="preserve">perfectly</t>
  </si>
  <si>
    <t xml:space="preserve">good</t>
  </si>
  <si>
    <t xml:space="preserve">produce</t>
  </si>
  <si>
    <t xml:space="preserve">dumpsters</t>
  </si>
  <si>
    <t xml:space="preserve">trash</t>
  </si>
  <si>
    <t xml:space="preserve"># text = They sacrifice material comforts in exchange for the space and the time to explore a creative interior, to dream, to read, to work on music, art and writing.</t>
  </si>
  <si>
    <t xml:space="preserve">material</t>
  </si>
  <si>
    <t xml:space="preserve">comforts</t>
  </si>
  <si>
    <t xml:space="preserve">space</t>
  </si>
  <si>
    <t xml:space="preserve">Space</t>
  </si>
  <si>
    <t xml:space="preserve">time</t>
  </si>
  <si>
    <t xml:space="preserve">Time</t>
  </si>
  <si>
    <t xml:space="preserve">explore</t>
  </si>
  <si>
    <t xml:space="preserve">creative</t>
  </si>
  <si>
    <t xml:space="preserve">interior</t>
  </si>
  <si>
    <t xml:space="preserve">read</t>
  </si>
  <si>
    <t xml:space="preserve">music</t>
  </si>
  <si>
    <t xml:space="preserve">art</t>
  </si>
  <si>
    <t xml:space="preserve">writing</t>
  </si>
  <si>
    <t xml:space="preserve"># text = But there are many aspects to this life that are far from idyllic.</t>
  </si>
  <si>
    <t xml:space="preserve">there</t>
  </si>
  <si>
    <t xml:space="preserve">aspects</t>
  </si>
  <si>
    <t xml:space="preserve">this</t>
  </si>
  <si>
    <t xml:space="preserve">far</t>
  </si>
  <si>
    <t xml:space="preserve">idyllic</t>
  </si>
  <si>
    <t xml:space="preserve"># text = No one loses their inner demons by taking to the road.</t>
  </si>
  <si>
    <t xml:space="preserve">No</t>
  </si>
  <si>
    <t xml:space="preserve">loses</t>
  </si>
  <si>
    <t xml:space="preserve">inner</t>
  </si>
  <si>
    <t xml:space="preserve">demons</t>
  </si>
  <si>
    <t xml:space="preserve">Demons</t>
  </si>
  <si>
    <t xml:space="preserve">taking</t>
  </si>
  <si>
    <t xml:space="preserve"># text = Addiction is real, the elements are real, freight trains maim and kill, and anyone who has lived on the streets can attest to the exhaustive list of laws that criminalize homeless existence.</t>
  </si>
  <si>
    <t xml:space="preserve">Addiction</t>
  </si>
  <si>
    <t xml:space="preserve">real</t>
  </si>
  <si>
    <t xml:space="preserve">elements</t>
  </si>
  <si>
    <t xml:space="preserve">Elements</t>
  </si>
  <si>
    <t xml:space="preserve">maim</t>
  </si>
  <si>
    <t xml:space="preserve">kill</t>
  </si>
  <si>
    <t xml:space="preserve">who</t>
  </si>
  <si>
    <t xml:space="preserve">streets</t>
  </si>
  <si>
    <t xml:space="preserve">Streets</t>
  </si>
  <si>
    <t xml:space="preserve">can</t>
  </si>
  <si>
    <t xml:space="preserve">attest</t>
  </si>
  <si>
    <t xml:space="preserve">exhaustive</t>
  </si>
  <si>
    <t xml:space="preserve">list</t>
  </si>
  <si>
    <t xml:space="preserve">List</t>
  </si>
  <si>
    <t xml:space="preserve">laws</t>
  </si>
  <si>
    <t xml:space="preserve">SBJ_5</t>
  </si>
  <si>
    <t xml:space="preserve">criminalize</t>
  </si>
  <si>
    <t xml:space="preserve">homeless</t>
  </si>
  <si>
    <t xml:space="preserve">OBJ_5</t>
  </si>
  <si>
    <t xml:space="preserve"># text = Who here knows that in many cities across the United States it is now illegal to sit on the sidewalk, to wrap oneself in a blanket, to sleep in your own car, to offer food to a stranger?</t>
  </si>
  <si>
    <t xml:space="preserve">Who</t>
  </si>
  <si>
    <t xml:space="preserve">here</t>
  </si>
  <si>
    <t xml:space="preserve">knows</t>
  </si>
  <si>
    <t xml:space="preserve">BOUND</t>
  </si>
  <si>
    <t xml:space="preserve">cities</t>
  </si>
  <si>
    <t xml:space="preserve">it</t>
  </si>
  <si>
    <t xml:space="preserve">EXPL</t>
  </si>
  <si>
    <t xml:space="preserve">now</t>
  </si>
  <si>
    <t xml:space="preserve">illegal</t>
  </si>
  <si>
    <t xml:space="preserve">sit</t>
  </si>
  <si>
    <t xml:space="preserve">sidewalk</t>
  </si>
  <si>
    <t xml:space="preserve">Sidewalk</t>
  </si>
  <si>
    <t xml:space="preserve">wrap</t>
  </si>
  <si>
    <t xml:space="preserve">oneself</t>
  </si>
  <si>
    <t xml:space="preserve">blanket</t>
  </si>
  <si>
    <t xml:space="preserve">your</t>
  </si>
  <si>
    <t xml:space="preserve">Reader</t>
  </si>
  <si>
    <t xml:space="preserve">car</t>
  </si>
  <si>
    <t xml:space="preserve">Readers_car</t>
  </si>
  <si>
    <t xml:space="preserve">offer</t>
  </si>
  <si>
    <t xml:space="preserve">stranger</t>
  </si>
  <si>
    <t xml:space="preserve">?</t>
  </si>
  <si>
    <t xml:space="preserve"># text = I know about these laws because I've watched as friends and other travelers were hauled off to jail or received citations for committing these so-called crimes.</t>
  </si>
  <si>
    <t xml:space="preserve">Laws</t>
  </si>
  <si>
    <t xml:space="preserve">because</t>
  </si>
  <si>
    <t xml:space="preserve">'ve</t>
  </si>
  <si>
    <t xml:space="preserve">watched</t>
  </si>
  <si>
    <t xml:space="preserve">friends</t>
  </si>
  <si>
    <t xml:space="preserve">were</t>
  </si>
  <si>
    <t xml:space="preserve">hauled</t>
  </si>
  <si>
    <t xml:space="preserve">people_being_hauled_off</t>
  </si>
  <si>
    <t xml:space="preserve">CC: antecedent of event anaphor</t>
  </si>
  <si>
    <t xml:space="preserve">jail</t>
  </si>
  <si>
    <t xml:space="preserve">or</t>
  </si>
  <si>
    <t xml:space="preserve">received</t>
  </si>
  <si>
    <t xml:space="preserve">citations</t>
  </si>
  <si>
    <t xml:space="preserve">committing</t>
  </si>
  <si>
    <t xml:space="preserve">called</t>
  </si>
  <si>
    <t xml:space="preserve">crimes</t>
  </si>
  <si>
    <t xml:space="preserve"># text = Many of you might be wondering why anyone would choose a life like this, under the thumb of discriminatory laws, eating out of trash cans, sleeping under bridges, picking up seasonal jobs here and there.</t>
  </si>
  <si>
    <t xml:space="preserve">Many</t>
  </si>
  <si>
    <t xml:space="preserve">you</t>
  </si>
  <si>
    <t xml:space="preserve">might</t>
  </si>
  <si>
    <t xml:space="preserve">wondering</t>
  </si>
  <si>
    <t xml:space="preserve">why</t>
  </si>
  <si>
    <t xml:space="preserve">choose</t>
  </si>
  <si>
    <t xml:space="preserve">like</t>
  </si>
  <si>
    <t xml:space="preserve">CC: event anaphor, situation described in the preceding utteranbce</t>
  </si>
  <si>
    <t xml:space="preserve">under</t>
  </si>
  <si>
    <t xml:space="preserve">thumb</t>
  </si>
  <si>
    <t xml:space="preserve">Thumb</t>
  </si>
  <si>
    <t xml:space="preserve">discriminatory</t>
  </si>
  <si>
    <t xml:space="preserve">eating</t>
  </si>
  <si>
    <t xml:space="preserve">sleeping</t>
  </si>
  <si>
    <t xml:space="preserve">bridges</t>
  </si>
  <si>
    <t xml:space="preserve">picking</t>
  </si>
  <si>
    <t xml:space="preserve">seasonal</t>
  </si>
  <si>
    <t xml:space="preserve">pron.padv</t>
  </si>
  <si>
    <t xml:space="preserve">CC: parser error? adverb!</t>
  </si>
  <si>
    <t xml:space="preserve"># text = The answer to such a question is as varied as the people that take to the road, but travelers often respond with a single word: freedom.</t>
  </si>
  <si>
    <t xml:space="preserve">answer</t>
  </si>
  <si>
    <t xml:space="preserve">Answer</t>
  </si>
  <si>
    <t xml:space="preserve">such</t>
  </si>
  <si>
    <t xml:space="preserve">question</t>
  </si>
  <si>
    <t xml:space="preserve">varied</t>
  </si>
  <si>
    <t xml:space="preserve">People</t>
  </si>
  <si>
    <t xml:space="preserve">often</t>
  </si>
  <si>
    <t xml:space="preserve">respond</t>
  </si>
  <si>
    <t xml:space="preserve">single</t>
  </si>
  <si>
    <t xml:space="preserve">#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</si>
  <si>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 xml:space="preserve">Until</t>
  </si>
  <si>
    <t xml:space="preserve">we</t>
  </si>
  <si>
    <t xml:space="preserve">We</t>
  </si>
  <si>
    <t xml:space="preserve">every</t>
  </si>
  <si>
    <t xml:space="preserve">human</t>
  </si>
  <si>
    <t xml:space="preserve">indef-np</t>
  </si>
  <si>
    <t xml:space="preserve">assured</t>
  </si>
  <si>
    <t xml:space="preserve">dignity</t>
  </si>
  <si>
    <t xml:space="preserve">Human</t>
  </si>
  <si>
    <t xml:space="preserve">labor</t>
  </si>
  <si>
    <t xml:space="preserve">Human_labour</t>
  </si>
  <si>
    <t xml:space="preserve">well</t>
  </si>
  <si>
    <t xml:space="preserve">not</t>
  </si>
  <si>
    <t xml:space="preserve">only</t>
  </si>
  <si>
    <t xml:space="preserve">survive</t>
  </si>
  <si>
    <t xml:space="preserve">will</t>
  </si>
  <si>
    <t xml:space="preserve">element</t>
  </si>
  <si>
    <t xml:space="preserve">Element</t>
  </si>
  <si>
    <t xml:space="preserve">those</t>
  </si>
  <si>
    <t xml:space="preserve">seek</t>
  </si>
  <si>
    <t xml:space="preserve">open</t>
  </si>
  <si>
    <t xml:space="preserve">means</t>
  </si>
  <si>
    <t xml:space="preserve">escape</t>
  </si>
  <si>
    <t xml:space="preserve">course</t>
  </si>
  <si>
    <t xml:space="preserve">rebellion</t>
  </si>
  <si>
    <t xml:space="preserve"># text = Thank you.</t>
  </si>
  <si>
    <t xml:space="preserve">Thank</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</si>
</sst>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Lohit Devanagari"/>
      <family val="2"/>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v>
      </c>
      <c r="H2" s="10" t="s">
        <v>12</v>
      </c>
      <c r="I2" s="11" t="s">
        <v>12</v>
      </c>
      <c r="J2" s="12"/>
    </row>
    <row r="3" customFormat="false" ht="60" hidden="false" customHeight="true" outlineLevel="0" collapsed="false">
      <c r="A3" s="6" t="s">
        <v>11</v>
      </c>
      <c r="B3" s="6" t="s">
        <v>10</v>
      </c>
      <c r="C3" s="6" t="s">
        <v>12</v>
      </c>
      <c r="D3" s="7" t="s">
        <v>16</v>
      </c>
      <c r="E3" s="13" t="s">
        <v>17</v>
      </c>
      <c r="F3" s="6" t="s">
        <v>18</v>
      </c>
      <c r="G3" s="9" t="str">
        <f aca="false">IF(A3=1,"_",IF(C3="_","???",C3))</f>
        <v>???</v>
      </c>
      <c r="H3" s="10" t="s">
        <v>12</v>
      </c>
      <c r="I3" s="11" t="s">
        <v>12</v>
      </c>
      <c r="J3" s="12"/>
    </row>
    <row r="4" customFormat="false" ht="60" hidden="false" customHeight="true" outlineLevel="0" collapsed="false">
      <c r="A4" s="6" t="s">
        <v>19</v>
      </c>
      <c r="B4" s="6" t="s">
        <v>11</v>
      </c>
      <c r="C4" s="6" t="s">
        <v>12</v>
      </c>
      <c r="D4" s="7" t="s">
        <v>20</v>
      </c>
      <c r="E4" s="13" t="s">
        <v>21</v>
      </c>
      <c r="F4" s="6" t="s">
        <v>22</v>
      </c>
      <c r="G4" s="9" t="str">
        <f aca="false">IF(A4=1,"_",IF(C4="_","???",C4))</f>
        <v>???</v>
      </c>
      <c r="H4" s="10" t="s">
        <v>12</v>
      </c>
      <c r="I4" s="11" t="s">
        <v>12</v>
      </c>
      <c r="J4" s="12"/>
    </row>
    <row r="5" customFormat="false" ht="60" hidden="false" customHeight="true" outlineLevel="0" collapsed="false">
      <c r="A5" s="6" t="s">
        <v>23</v>
      </c>
      <c r="B5" s="6" t="s">
        <v>24</v>
      </c>
      <c r="C5" s="6" t="s">
        <v>25</v>
      </c>
      <c r="D5" s="7" t="s">
        <v>26</v>
      </c>
      <c r="E5" s="13" t="s">
        <v>27</v>
      </c>
      <c r="F5" s="6" t="s">
        <v>28</v>
      </c>
      <c r="G5" s="9" t="str">
        <f aca="false">IF(A5=1,"_",IF(C5="_","???",C5))</f>
        <v>as?</v>
      </c>
      <c r="H5" s="10" t="s">
        <v>12</v>
      </c>
      <c r="I5" s="11" t="s">
        <v>12</v>
      </c>
      <c r="J5" s="12"/>
    </row>
    <row r="6" customFormat="false" ht="60" hidden="false" customHeight="true" outlineLevel="0" collapsed="false">
      <c r="A6" s="6" t="s">
        <v>29</v>
      </c>
      <c r="B6" s="6" t="s">
        <v>30</v>
      </c>
      <c r="C6" s="6" t="s">
        <v>12</v>
      </c>
      <c r="D6" s="7" t="s">
        <v>31</v>
      </c>
      <c r="E6" s="13" t="s">
        <v>32</v>
      </c>
      <c r="F6" s="6" t="s">
        <v>33</v>
      </c>
      <c r="G6" s="9" t="str">
        <f aca="false">IF(A6=1,"_",IF(C6="_","???",C6))</f>
        <v>???</v>
      </c>
      <c r="H6" s="10" t="s">
        <v>12</v>
      </c>
      <c r="I6" s="11" t="s">
        <v>12</v>
      </c>
      <c r="J6" s="12"/>
    </row>
    <row r="7" customFormat="false" ht="60" hidden="false" customHeight="true" outlineLevel="0" collapsed="false">
      <c r="A7" s="6" t="s">
        <v>34</v>
      </c>
      <c r="B7" s="6" t="s">
        <v>11</v>
      </c>
      <c r="C7" s="6" t="s">
        <v>12</v>
      </c>
      <c r="D7" s="7" t="s">
        <v>35</v>
      </c>
      <c r="E7" s="13" t="s">
        <v>36</v>
      </c>
      <c r="F7" s="6" t="s">
        <v>37</v>
      </c>
      <c r="G7" s="9" t="str">
        <f aca="false">IF(A7=1,"_",IF(C7="_","???",C7))</f>
        <v>???</v>
      </c>
      <c r="H7" s="10" t="s">
        <v>12</v>
      </c>
      <c r="I7" s="11" t="s">
        <v>12</v>
      </c>
      <c r="J7" s="12"/>
    </row>
    <row r="8" customFormat="false" ht="60" hidden="false" customHeight="true" outlineLevel="0" collapsed="false">
      <c r="A8" s="6" t="s">
        <v>38</v>
      </c>
      <c r="B8" s="6" t="s">
        <v>39</v>
      </c>
      <c r="C8" s="6" t="s">
        <v>40</v>
      </c>
      <c r="D8" s="7" t="s">
        <v>41</v>
      </c>
      <c r="E8" s="13" t="s">
        <v>42</v>
      </c>
      <c r="F8" s="6" t="s">
        <v>43</v>
      </c>
      <c r="G8" s="9" t="str">
        <f aca="false">IF(A8=1,"_",IF(C8="_","???",C8))</f>
        <v>and?</v>
      </c>
      <c r="H8" s="10" t="s">
        <v>12</v>
      </c>
      <c r="I8" s="11" t="s">
        <v>12</v>
      </c>
      <c r="J8" s="12"/>
    </row>
    <row r="9" customFormat="false" ht="60" hidden="false" customHeight="true" outlineLevel="0" collapsed="false">
      <c r="A9" s="6" t="s">
        <v>24</v>
      </c>
      <c r="B9" s="6" t="s">
        <v>19</v>
      </c>
      <c r="C9" s="6" t="s">
        <v>12</v>
      </c>
      <c r="D9" s="7" t="s">
        <v>44</v>
      </c>
      <c r="E9" s="13" t="s">
        <v>45</v>
      </c>
      <c r="F9" s="6" t="s">
        <v>46</v>
      </c>
      <c r="G9" s="9" t="str">
        <f aca="false">IF(A9=1,"_",IF(C9="_","???",C9))</f>
        <v>???</v>
      </c>
      <c r="H9" s="10" t="s">
        <v>12</v>
      </c>
      <c r="I9" s="11" t="s">
        <v>12</v>
      </c>
      <c r="J9" s="12"/>
    </row>
    <row r="10" customFormat="false" ht="60" hidden="false" customHeight="true" outlineLevel="0" collapsed="false">
      <c r="A10" s="6" t="s">
        <v>30</v>
      </c>
      <c r="B10" s="6" t="s">
        <v>34</v>
      </c>
      <c r="C10" s="6" t="s">
        <v>47</v>
      </c>
      <c r="D10" s="7" t="s">
        <v>48</v>
      </c>
      <c r="E10" s="13" t="s">
        <v>49</v>
      </c>
      <c r="F10" s="6" t="s">
        <v>50</v>
      </c>
      <c r="G10" s="9" t="str">
        <f aca="false">IF(A10=1,"_",IF(C10="_","???",C10))</f>
        <v>but?</v>
      </c>
      <c r="H10" s="10" t="s">
        <v>12</v>
      </c>
      <c r="I10" s="11" t="s">
        <v>12</v>
      </c>
      <c r="J10" s="12"/>
    </row>
    <row r="11" customFormat="false" ht="60" hidden="false" customHeight="true" outlineLevel="0" collapsed="false">
      <c r="A11" s="6" t="s">
        <v>51</v>
      </c>
      <c r="B11" s="6" t="s">
        <v>11</v>
      </c>
      <c r="C11" s="6" t="s">
        <v>40</v>
      </c>
      <c r="D11" s="7" t="s">
        <v>52</v>
      </c>
      <c r="E11" s="13" t="s">
        <v>53</v>
      </c>
      <c r="F11" s="6" t="s">
        <v>54</v>
      </c>
      <c r="G11" s="9" t="str">
        <f aca="false">IF(A11=1,"_",IF(C11="_","???",C11))</f>
        <v>and?</v>
      </c>
      <c r="H11" s="10" t="s">
        <v>12</v>
      </c>
      <c r="I11" s="11" t="s">
        <v>12</v>
      </c>
      <c r="J11" s="12"/>
    </row>
    <row r="12" customFormat="false" ht="60" hidden="false" customHeight="true" outlineLevel="0" collapsed="false">
      <c r="A12" s="6" t="s">
        <v>39</v>
      </c>
      <c r="B12" s="6" t="s">
        <v>30</v>
      </c>
      <c r="C12" s="6" t="s">
        <v>12</v>
      </c>
      <c r="D12" s="7" t="s">
        <v>55</v>
      </c>
      <c r="E12" s="13" t="s">
        <v>56</v>
      </c>
      <c r="F12" s="6" t="s">
        <v>57</v>
      </c>
      <c r="G12" s="9" t="str">
        <f aca="false">IF(A12=1,"_",IF(C12="_","???",C12))</f>
        <v>???</v>
      </c>
      <c r="H12" s="10" t="s">
        <v>12</v>
      </c>
      <c r="I12" s="11" t="s">
        <v>12</v>
      </c>
      <c r="J12" s="12"/>
    </row>
    <row r="13" customFormat="false" ht="60" hidden="false" customHeight="true" outlineLevel="0" collapsed="false">
      <c r="A13" s="6" t="s">
        <v>58</v>
      </c>
      <c r="B13" s="6" t="s">
        <v>34</v>
      </c>
      <c r="C13" s="6" t="s">
        <v>47</v>
      </c>
      <c r="D13" s="7" t="s">
        <v>59</v>
      </c>
      <c r="E13" s="13" t="s">
        <v>60</v>
      </c>
      <c r="F13" s="6" t="s">
        <v>61</v>
      </c>
      <c r="G13" s="9" t="str">
        <f aca="false">IF(A13=1,"_",IF(C13="_","???",C13))</f>
        <v>but?</v>
      </c>
      <c r="H13" s="10" t="s">
        <v>12</v>
      </c>
      <c r="I13" s="11" t="s">
        <v>12</v>
      </c>
      <c r="J13" s="12"/>
    </row>
    <row r="14" customFormat="false" ht="60" hidden="false" customHeight="true" outlineLevel="0" collapsed="false">
      <c r="A14" s="6" t="s">
        <v>62</v>
      </c>
      <c r="B14" s="6" t="s">
        <v>24</v>
      </c>
      <c r="C14" s="6" t="s">
        <v>12</v>
      </c>
      <c r="D14" s="7" t="s">
        <v>63</v>
      </c>
      <c r="E14" s="13" t="s">
        <v>64</v>
      </c>
      <c r="F14" s="6" t="s">
        <v>65</v>
      </c>
      <c r="G14" s="9" t="str">
        <f aca="false">IF(A14=1,"_",IF(C14="_","???",C14))</f>
        <v>???</v>
      </c>
      <c r="H14" s="10" t="s">
        <v>12</v>
      </c>
      <c r="I14" s="11" t="s">
        <v>12</v>
      </c>
      <c r="J14" s="12"/>
    </row>
    <row r="15" customFormat="false" ht="60" hidden="false" customHeight="true" outlineLevel="0" collapsed="false">
      <c r="A15" s="6" t="s">
        <v>66</v>
      </c>
      <c r="B15" s="6" t="s">
        <v>29</v>
      </c>
      <c r="C15" s="6" t="s">
        <v>12</v>
      </c>
      <c r="D15" s="7" t="s">
        <v>67</v>
      </c>
      <c r="E15" s="13" t="s">
        <v>68</v>
      </c>
      <c r="F15" s="6" t="s">
        <v>69</v>
      </c>
      <c r="G15" s="9" t="str">
        <f aca="false">IF(A15=1,"_",IF(C15="_","???",C15))</f>
        <v>???</v>
      </c>
      <c r="H15" s="10" t="s">
        <v>12</v>
      </c>
      <c r="I15" s="11" t="s">
        <v>12</v>
      </c>
      <c r="J15" s="12"/>
    </row>
    <row r="16" customFormat="false" ht="60" hidden="false" customHeight="true" outlineLevel="0" collapsed="false">
      <c r="A16" s="6" t="s">
        <v>70</v>
      </c>
      <c r="B16" s="6" t="s">
        <v>29</v>
      </c>
      <c r="C16" s="6" t="s">
        <v>12</v>
      </c>
      <c r="D16" s="7" t="s">
        <v>71</v>
      </c>
      <c r="E16" s="13" t="s">
        <v>72</v>
      </c>
      <c r="F16" s="6" t="s">
        <v>73</v>
      </c>
      <c r="G16" s="9" t="str">
        <f aca="false">IF(A16=1,"_",IF(C16="_","???",C16))</f>
        <v>???</v>
      </c>
      <c r="H16" s="10" t="s">
        <v>12</v>
      </c>
      <c r="I16" s="11" t="s">
        <v>12</v>
      </c>
      <c r="J16" s="12"/>
    </row>
    <row r="17" customFormat="false" ht="60" hidden="false" customHeight="true" outlineLevel="0" collapsed="false">
      <c r="A17" s="6" t="s">
        <v>74</v>
      </c>
      <c r="B17" s="6" t="s">
        <v>19</v>
      </c>
      <c r="C17" s="6" t="s">
        <v>12</v>
      </c>
      <c r="D17" s="7" t="s">
        <v>75</v>
      </c>
      <c r="E17" s="13" t="s">
        <v>76</v>
      </c>
      <c r="F17" s="6" t="s">
        <v>77</v>
      </c>
      <c r="G17" s="9" t="str">
        <f aca="false">IF(A17=1,"_",IF(C17="_","???",C17))</f>
        <v>???</v>
      </c>
      <c r="H17" s="10" t="s">
        <v>12</v>
      </c>
      <c r="I17" s="11" t="s">
        <v>12</v>
      </c>
      <c r="J17" s="12"/>
    </row>
    <row r="18" customFormat="false" ht="60" hidden="false" customHeight="true" outlineLevel="0" collapsed="false">
      <c r="A18" s="6" t="s">
        <v>78</v>
      </c>
      <c r="B18" s="6" t="s">
        <v>11</v>
      </c>
      <c r="C18" s="6" t="s">
        <v>12</v>
      </c>
      <c r="D18" s="7" t="s">
        <v>79</v>
      </c>
      <c r="E18" s="13" t="s">
        <v>80</v>
      </c>
      <c r="F18" s="6" t="s">
        <v>81</v>
      </c>
      <c r="G18" s="9" t="str">
        <f aca="false">IF(A18=1,"_",IF(C18="_","???",C18))</f>
        <v>???</v>
      </c>
      <c r="H18" s="10" t="s">
        <v>12</v>
      </c>
      <c r="I18" s="11" t="s">
        <v>12</v>
      </c>
      <c r="J18" s="12"/>
    </row>
    <row r="19" customFormat="false" ht="60" hidden="false" customHeight="true" outlineLevel="0" collapsed="false">
      <c r="A19" s="6" t="s">
        <v>82</v>
      </c>
      <c r="B19" s="6" t="s">
        <v>19</v>
      </c>
      <c r="C19" s="6" t="s">
        <v>12</v>
      </c>
      <c r="D19" s="7" t="s">
        <v>83</v>
      </c>
      <c r="E19" s="13" t="s">
        <v>84</v>
      </c>
      <c r="F19" s="6" t="s">
        <v>85</v>
      </c>
      <c r="G19" s="9" t="str">
        <f aca="false">IF(A19=1,"_",IF(C19="_","???",C19))</f>
        <v>???</v>
      </c>
      <c r="H19" s="10" t="s">
        <v>12</v>
      </c>
      <c r="I19" s="11" t="s">
        <v>12</v>
      </c>
      <c r="J19" s="12"/>
    </row>
    <row r="20" customFormat="false" ht="60" hidden="false" customHeight="true" outlineLevel="0" collapsed="false">
      <c r="A20" s="6" t="s">
        <v>86</v>
      </c>
      <c r="B20" s="6" t="s">
        <v>19</v>
      </c>
      <c r="C20" s="6" t="s">
        <v>12</v>
      </c>
      <c r="D20" s="7" t="s">
        <v>87</v>
      </c>
      <c r="E20" s="13" t="s">
        <v>88</v>
      </c>
      <c r="F20" s="6" t="s">
        <v>89</v>
      </c>
      <c r="G20" s="9" t="str">
        <f aca="false">IF(A20=1,"_",IF(C20="_","???",C20))</f>
        <v>???</v>
      </c>
      <c r="H20" s="10" t="s">
        <v>12</v>
      </c>
      <c r="I20" s="11" t="s">
        <v>12</v>
      </c>
      <c r="J20" s="12"/>
    </row>
    <row r="21" customFormat="false" ht="60" hidden="false" customHeight="true" outlineLevel="0" collapsed="false">
      <c r="A21" s="6" t="s">
        <v>90</v>
      </c>
      <c r="B21" s="6" t="s">
        <v>23</v>
      </c>
      <c r="C21" s="6" t="s">
        <v>91</v>
      </c>
      <c r="D21" s="7" t="s">
        <v>92</v>
      </c>
      <c r="E21" s="13" t="s">
        <v>93</v>
      </c>
      <c r="F21" s="6" t="s">
        <v>94</v>
      </c>
      <c r="G21" s="9" t="str">
        <f aca="false">IF(A21=1,"_",IF(C21="_","???",C21))</f>
        <v>rather?</v>
      </c>
      <c r="H21" s="10" t="s">
        <v>12</v>
      </c>
      <c r="I21" s="11" t="s">
        <v>12</v>
      </c>
      <c r="J21" s="12"/>
    </row>
    <row r="22" customFormat="false" ht="60" hidden="false" customHeight="true" outlineLevel="0" collapsed="false">
      <c r="A22" s="6" t="s">
        <v>95</v>
      </c>
      <c r="B22" s="6" t="s">
        <v>11</v>
      </c>
      <c r="C22" s="6" t="s">
        <v>12</v>
      </c>
      <c r="D22" s="7" t="s">
        <v>75</v>
      </c>
      <c r="E22" s="13" t="s">
        <v>96</v>
      </c>
      <c r="F22" s="6" t="s">
        <v>97</v>
      </c>
      <c r="G22" s="9" t="str">
        <f aca="false">IF(A22=1,"_",IF(C22="_","???",C22))</f>
        <v>???</v>
      </c>
      <c r="H22" s="10" t="s">
        <v>12</v>
      </c>
      <c r="I22" s="11" t="s">
        <v>12</v>
      </c>
      <c r="J22" s="12"/>
    </row>
    <row r="23" customFormat="false" ht="60" hidden="false" customHeight="true" outlineLevel="0" collapsed="false">
      <c r="A23" s="6" t="s">
        <v>98</v>
      </c>
      <c r="B23" s="6" t="s">
        <v>11</v>
      </c>
      <c r="C23" s="6" t="s">
        <v>40</v>
      </c>
      <c r="D23" s="7" t="s">
        <v>99</v>
      </c>
      <c r="E23" s="13" t="s">
        <v>100</v>
      </c>
      <c r="F23" s="6" t="s">
        <v>101</v>
      </c>
      <c r="G23" s="9" t="str">
        <f aca="false">IF(A23=1,"_",IF(C23="_","???",C23))</f>
        <v>and?</v>
      </c>
      <c r="H23" s="10" t="s">
        <v>12</v>
      </c>
      <c r="I23" s="11" t="s">
        <v>12</v>
      </c>
      <c r="J23" s="12"/>
    </row>
    <row r="24" customFormat="false" ht="60" hidden="false" customHeight="true" outlineLevel="0" collapsed="false">
      <c r="A24" s="6" t="s">
        <v>102</v>
      </c>
      <c r="B24" s="6" t="s">
        <v>19</v>
      </c>
      <c r="C24" s="6" t="s">
        <v>47</v>
      </c>
      <c r="D24" s="7" t="s">
        <v>35</v>
      </c>
      <c r="E24" s="13" t="s">
        <v>103</v>
      </c>
      <c r="F24" s="6" t="s">
        <v>104</v>
      </c>
      <c r="G24" s="9" t="str">
        <f aca="false">IF(A24=1,"_",IF(C24="_","???",C24))</f>
        <v>but?</v>
      </c>
      <c r="H24" s="10" t="s">
        <v>12</v>
      </c>
      <c r="I24" s="11" t="s">
        <v>12</v>
      </c>
      <c r="J24" s="12"/>
    </row>
    <row r="25" customFormat="false" ht="60" hidden="false" customHeight="true" outlineLevel="0" collapsed="false">
      <c r="A25" s="6" t="s">
        <v>105</v>
      </c>
      <c r="B25" s="6" t="s">
        <v>19</v>
      </c>
      <c r="C25" s="6" t="s">
        <v>12</v>
      </c>
      <c r="D25" s="7" t="s">
        <v>106</v>
      </c>
      <c r="E25" s="13" t="s">
        <v>107</v>
      </c>
      <c r="F25" s="6" t="s">
        <v>108</v>
      </c>
      <c r="G25" s="9" t="str">
        <f aca="false">IF(A25=1,"_",IF(C25="_","???",C25))</f>
        <v>???</v>
      </c>
      <c r="H25" s="10" t="s">
        <v>12</v>
      </c>
      <c r="I25" s="11" t="s">
        <v>12</v>
      </c>
      <c r="J25" s="12"/>
    </row>
    <row r="26" customFormat="false" ht="60" hidden="false" customHeight="true" outlineLevel="0" collapsed="false">
      <c r="A26" s="6" t="s">
        <v>109</v>
      </c>
      <c r="B26" s="6" t="s">
        <v>11</v>
      </c>
      <c r="C26" s="6" t="s">
        <v>40</v>
      </c>
      <c r="D26" s="7" t="s">
        <v>110</v>
      </c>
      <c r="E26" s="13" t="s">
        <v>111</v>
      </c>
      <c r="F26" s="6" t="s">
        <v>112</v>
      </c>
      <c r="G26" s="9" t="str">
        <f aca="false">IF(A26=1,"_",IF(C26="_","???",C26))</f>
        <v>and?</v>
      </c>
      <c r="H26" s="10" t="s">
        <v>12</v>
      </c>
      <c r="I26" s="11" t="s">
        <v>12</v>
      </c>
      <c r="J26" s="12"/>
    </row>
    <row r="27" customFormat="false" ht="60" hidden="false" customHeight="true" outlineLevel="0" collapsed="false">
      <c r="A27" s="6" t="s">
        <v>113</v>
      </c>
      <c r="B27" s="6" t="s">
        <v>19</v>
      </c>
      <c r="C27" s="6" t="s">
        <v>12</v>
      </c>
      <c r="D27" s="7" t="s">
        <v>114</v>
      </c>
      <c r="E27" s="13" t="s">
        <v>115</v>
      </c>
      <c r="F27" s="6" t="s">
        <v>116</v>
      </c>
      <c r="G27" s="9" t="str">
        <f aca="false">IF(A27=1,"_",IF(C27="_","???",C27))</f>
        <v>???</v>
      </c>
      <c r="H27" s="10" t="s">
        <v>12</v>
      </c>
      <c r="I27" s="11" t="s">
        <v>12</v>
      </c>
      <c r="J27" s="12"/>
    </row>
    <row r="28" customFormat="false" ht="60" hidden="false" customHeight="true" outlineLevel="0" collapsed="false">
      <c r="A28" s="6" t="s">
        <v>117</v>
      </c>
      <c r="B28" s="6" t="s">
        <v>30</v>
      </c>
      <c r="C28" s="6" t="s">
        <v>118</v>
      </c>
      <c r="D28" s="7" t="s">
        <v>119</v>
      </c>
      <c r="E28" s="13" t="s">
        <v>120</v>
      </c>
      <c r="F28" s="6" t="s">
        <v>121</v>
      </c>
      <c r="G28" s="9" t="str">
        <f aca="false">IF(A28=1,"_",IF(C28="_","???",C28))</f>
        <v>because?</v>
      </c>
      <c r="H28" s="10" t="s">
        <v>12</v>
      </c>
      <c r="I28" s="11" t="s">
        <v>12</v>
      </c>
      <c r="J28" s="12"/>
    </row>
    <row r="29" customFormat="false" ht="60" hidden="false" customHeight="true" outlineLevel="0" collapsed="false">
      <c r="A29" s="6" t="s">
        <v>122</v>
      </c>
      <c r="B29" s="6" t="s">
        <v>34</v>
      </c>
      <c r="C29" s="6" t="s">
        <v>12</v>
      </c>
      <c r="D29" s="7" t="s">
        <v>123</v>
      </c>
      <c r="E29" s="13" t="s">
        <v>124</v>
      </c>
      <c r="F29" s="6" t="s">
        <v>125</v>
      </c>
      <c r="G29" s="9" t="str">
        <f aca="false">IF(A29=1,"_",IF(C29="_","???",C29))</f>
        <v>???</v>
      </c>
      <c r="H29" s="10" t="s">
        <v>12</v>
      </c>
      <c r="I29" s="11" t="s">
        <v>12</v>
      </c>
      <c r="J29" s="12"/>
    </row>
    <row r="30" customFormat="false" ht="60" hidden="false" customHeight="true" outlineLevel="0" collapsed="false">
      <c r="A30" s="6" t="s">
        <v>126</v>
      </c>
      <c r="B30" s="6" t="s">
        <v>38</v>
      </c>
      <c r="C30" s="6" t="s">
        <v>47</v>
      </c>
      <c r="D30" s="7" t="s">
        <v>127</v>
      </c>
      <c r="E30" s="13" t="s">
        <v>128</v>
      </c>
      <c r="F30" s="6" t="s">
        <v>129</v>
      </c>
      <c r="G30" s="9" t="str">
        <f aca="false">IF(A30=1,"_",IF(C30="_","???",C30))</f>
        <v>but?</v>
      </c>
      <c r="H30" s="10" t="s">
        <v>12</v>
      </c>
      <c r="I30" s="11" t="s">
        <v>12</v>
      </c>
      <c r="J30" s="12"/>
    </row>
    <row r="31" customFormat="false" ht="60" hidden="false" customHeight="true" outlineLevel="0" collapsed="false">
      <c r="A31" s="6" t="s">
        <v>130</v>
      </c>
      <c r="B31" s="6" t="s">
        <v>131</v>
      </c>
      <c r="C31" s="6" t="s">
        <v>132</v>
      </c>
      <c r="D31" s="7" t="s">
        <v>133</v>
      </c>
      <c r="E31" s="13" t="s">
        <v>134</v>
      </c>
      <c r="F31" s="6" t="s">
        <v>135</v>
      </c>
      <c r="G31" s="9" t="str">
        <f aca="false">IF(A31=1,"_",IF(C31="_","???",C31))</f>
        <v>until?</v>
      </c>
      <c r="H31" s="10" t="s">
        <v>12</v>
      </c>
      <c r="I31" s="11" t="s">
        <v>12</v>
      </c>
      <c r="J31" s="12"/>
    </row>
    <row r="32" customFormat="false" ht="60" hidden="false" customHeight="true" outlineLevel="0" collapsed="false">
      <c r="A32" s="6" t="s">
        <v>136</v>
      </c>
      <c r="B32" s="6" t="s">
        <v>10</v>
      </c>
      <c r="C32" s="6" t="s">
        <v>12</v>
      </c>
      <c r="D32" s="7" t="s">
        <v>137</v>
      </c>
      <c r="E32" s="13" t="s">
        <v>138</v>
      </c>
      <c r="F32" s="6" t="s">
        <v>139</v>
      </c>
      <c r="G32" s="9" t="str">
        <f aca="false">IF(A32=1,"_",IF(C32="_","???",C32))</f>
        <v>???</v>
      </c>
      <c r="H32" s="10" t="s">
        <v>12</v>
      </c>
      <c r="I32" s="11" t="s">
        <v>12</v>
      </c>
      <c r="J32"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1" activeCellId="0" sqref="G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2" style="0" width="11.53"/>
  </cols>
  <sheetData>
    <row r="1" customFormat="false" ht="15" hidden="false" customHeight="false" outlineLevel="0" collapsed="false">
      <c r="A1" s="14" t="s">
        <v>140</v>
      </c>
      <c r="B1" s="14" t="s">
        <v>141</v>
      </c>
      <c r="C1" s="14" t="s">
        <v>142</v>
      </c>
      <c r="D1" s="14" t="s">
        <v>143</v>
      </c>
      <c r="E1" s="15" t="s">
        <v>144</v>
      </c>
      <c r="F1" s="16" t="s">
        <v>145</v>
      </c>
      <c r="G1" s="17" t="s">
        <v>146</v>
      </c>
      <c r="H1" s="18" t="s">
        <v>147</v>
      </c>
      <c r="I1" s="19" t="s">
        <v>148</v>
      </c>
      <c r="J1" s="19" t="s">
        <v>149</v>
      </c>
      <c r="K1" s="19" t="s">
        <v>150</v>
      </c>
      <c r="L1" s="20" t="s">
        <v>9</v>
      </c>
    </row>
    <row r="2" customFormat="false" ht="16.4" hidden="false" customHeight="false" outlineLevel="0" collapsed="false">
      <c r="A2" s="21" t="s">
        <v>151</v>
      </c>
      <c r="G2" s="22" t="str">
        <f aca="false">IF(OR(E2="",E2="!!!"),"",IF(OR(J2=0,AND(J2=1,K2=1),AND(J2=1,I2="SBJ"),AND(J2=1,I2=0)),"?IN_FOCUS",IF(J2&lt;=2,"?ACTIVATED",IF(J2&lt;&gt;"","?FAMILIAR",IF(F2="NEW",IF(ISNA(VLOOKUP(E2,#REF!,1,FALSE())),"?TYPE_IDENTIFIABLE","?REFERENTIAL"),"_")))))</f>
        <v/>
      </c>
      <c r="H2" s="23" t="str">
        <f aca="false">IF(J2&lt;&gt;1,"",IF(I2="SBJ","CB","?"))</f>
        <v/>
      </c>
    </row>
    <row r="3" customFormat="false" ht="15" hidden="false" customHeight="false" outlineLevel="0" collapsed="false">
      <c r="A3" s="24" t="s">
        <v>152</v>
      </c>
      <c r="E3" s="25"/>
      <c r="F3" s="26"/>
      <c r="G3" s="22" t="str">
        <f aca="false">IF(OR(E3="",E3="!!!"),"",IF(OR(J3=0,AND(J3=1,K3=1),AND(J3=1,I3="SBJ"),AND(J3=1,I3=0)),"?IN_FOCUS",IF(J3&lt;=2,"?ACTIVATED",IF(J3&lt;&gt;"","?FAMILIAR",IF(F3="NEW",IF(ISNA(VLOOKUP(E3,#REF!,1,FALSE())),"?TYPE_IDENTIFIABLE","?REFERENTIAL"),"_")))))</f>
        <v/>
      </c>
      <c r="H3" s="23" t="str">
        <f aca="false">IF(J3&lt;&gt;1,"",IF(I3="SBJ","CB","?"))</f>
        <v/>
      </c>
      <c r="I3" s="27" t="str">
        <f aca="false">IF(OR(E3="",E3="!!!",F3="NEW"),"",INDEX(B2,-1+SUMPRODUCT(MAX(ROW(E2)*(E3=E2)))))</f>
        <v/>
      </c>
      <c r="J3" s="27" t="str">
        <f aca="true">IF(OR(E3="",E3="!!!",F3="NEW"),"",COUNTBLANK(OFFSET(A$1,,,SUMPRODUCT(MAX(ROW(E$2:E3)*(E3=E$2:E3)))))-COUNTBLANK(OFFSET(A$1,,,SUMPRODUCT(MAX(ROW(E$1:E2)*(E2=E$1:E2))))))</f>
        <v/>
      </c>
      <c r="K3" s="27" t="str">
        <f aca="false">IF(OR(E3="",E3="!!!",F3="NEW"),"",INDEX(J$1:J2,SUMPRODUCT(MAX(ROW(E$1:E2)*(E3=E$1:E2)))))</f>
        <v/>
      </c>
      <c r="L3" s="28"/>
    </row>
    <row r="4" customFormat="false" ht="15" hidden="false" customHeight="false" outlineLevel="0" collapsed="false">
      <c r="A4" s="21" t="s">
        <v>13</v>
      </c>
      <c r="B4" s="29" t="s">
        <v>153</v>
      </c>
      <c r="C4" s="29" t="s">
        <v>154</v>
      </c>
      <c r="E4" s="25"/>
      <c r="F4" s="26" t="str">
        <f aca="false">IF(OR(E4="",E4="!!!"),"",IF(NOT(ISNA(VLOOKUP(E4,E$1:E3,1,FALSE()))),"OLD",IF(AND(E4&lt;&gt;"",E4&lt;&gt;"!!!"),"NEW","")))</f>
        <v/>
      </c>
      <c r="G4" s="22" t="str">
        <f aca="false">IF(OR(E4="",E4="!!!"),"",IF(OR(J4=0,AND(J4=1,K4=1),AND(J4=1,I4="SBJ"),AND(J4=1,I4=0)),"?IN_FOCUS",IF(J4&lt;=2,"?ACTIVATED",IF(J4&lt;&gt;"","?FAMILIAR",IF(F4="NEW",IF(ISNA(VLOOKUP(E4,#REF!,1,FALSE())),"?TYPE_IDENTIFIABLE","?REFERENTIAL"),"_")))))</f>
        <v/>
      </c>
      <c r="H4" s="23" t="str">
        <f aca="false">IF(J4&lt;&gt;1,"",IF(I4="SBJ","CB","?"))</f>
        <v/>
      </c>
      <c r="I4" s="27" t="str">
        <f aca="false">IF(OR(E4="",E4="!!!",F4="NEW"),"",INDEX(B3:B$2,-1+SUMPRODUCT(MAX(ROW(E3:E$2)*(E4=E3:E$2)))))</f>
        <v/>
      </c>
      <c r="J4" s="27" t="str">
        <f aca="true">IF(OR(E4="",E4="!!!",F4="NEW"),"",COUNTBLANK(OFFSET(A$1,,,SUMPRODUCT(MAX(ROW(E$2:E4)*(E4=E$2:E4)))))-COUNTBLANK(OFFSET(A$1,,,SUMPRODUCT(MAX(ROW(E$1:E3)*(E2=E$1:E3))))))</f>
        <v/>
      </c>
      <c r="K4" s="27" t="str">
        <f aca="false">IF(OR(E4="",E4="!!!",F4="NEW"),"",INDEX(J$1:J3,SUMPRODUCT(MAX(ROW(E$1:E3)*(E4=E$1:E3)))))</f>
        <v/>
      </c>
      <c r="L4" s="28"/>
    </row>
    <row r="5" customFormat="false" ht="15" hidden="false" customHeight="false" outlineLevel="0" collapsed="false">
      <c r="A5" s="21" t="s">
        <v>155</v>
      </c>
      <c r="E5" s="25"/>
      <c r="F5" s="26" t="str">
        <f aca="false">IF(OR(E5="",E5="!!!"),"",IF(NOT(ISNA(VLOOKUP(E5,E$1:E4,1,FALSE()))),"OLD",IF(AND(E5&lt;&gt;"",E5&lt;&gt;"!!!"),"NEW","")))</f>
        <v/>
      </c>
      <c r="G5" s="22" t="str">
        <f aca="false">IF(OR(E5="",E5="!!!"),"",IF(OR(J5=0,AND(J5=1,K5=1),AND(J5=1,I5="SBJ"),AND(J5=1,I5=0)),"?IN_FOCUS",IF(J5&lt;=2,"?ACTIVATED",IF(J5&lt;&gt;"","?FAMILIAR",IF(F5="NEW",IF(ISNA(VLOOKUP(E5,#REF!,1,FALSE())),"?TYPE_IDENTIFIABLE","?REFERENTIAL"),"_")))))</f>
        <v/>
      </c>
      <c r="H5" s="23" t="str">
        <f aca="false">IF(J5&lt;&gt;1,"",IF(I5="SBJ","CB","?"))</f>
        <v/>
      </c>
      <c r="I5" s="27" t="str">
        <f aca="false">IF(OR(E5="",E5="!!!",F5="NEW"),"",INDEX(B4:B$2,-1+SUMPRODUCT(MAX(ROW(E4:E$2)*(E5=E4:E$2)))))</f>
        <v/>
      </c>
      <c r="J5" s="27" t="str">
        <f aca="true">IF(OR(E5="",E5="!!!",F5="NEW"),"",COUNTBLANK(OFFSET(A$1,,,SUMPRODUCT(MAX(ROW(E$2:E5)*(E5=E$2:E5)))))-COUNTBLANK(OFFSET(A$1,,,SUMPRODUCT(MAX(ROW(E$1:E4)*(E2=E$1:E4))))))</f>
        <v/>
      </c>
      <c r="K5" s="27" t="str">
        <f aca="false">IF(OR(E5="",E5="!!!",F5="NEW"),"",INDEX(J$1:J4,SUMPRODUCT(MAX(ROW(E$1:E4)*(E5=E$1:E4)))))</f>
        <v/>
      </c>
      <c r="L5" s="28"/>
    </row>
    <row r="6" customFormat="false" ht="15" hidden="false" customHeight="false" outlineLevel="0" collapsed="false">
      <c r="A6" s="21" t="s">
        <v>156</v>
      </c>
      <c r="E6" s="25"/>
      <c r="F6" s="26" t="str">
        <f aca="false">IF(OR(E6="",E6="!!!"),"",IF(NOT(ISNA(VLOOKUP(E6,E$1:E5,1,FALSE()))),"OLD",IF(AND(E6&lt;&gt;"",E6&lt;&gt;"!!!"),"NEW","")))</f>
        <v/>
      </c>
      <c r="G6" s="22" t="str">
        <f aca="false">IF(OR(E6="",E6="!!!"),"",IF(OR(J6=0,AND(J6=1,K6=1),AND(J6=1,I6="SBJ"),AND(J6=1,I6=0)),"?IN_FOCUS",IF(J6&lt;=2,"?ACTIVATED",IF(J6&lt;&gt;"","?FAMILIAR",IF(F6="NEW",IF(ISNA(VLOOKUP(E6,#REF!,1,FALSE())),"?TYPE_IDENTIFIABLE","?REFERENTIAL"),"_")))))</f>
        <v/>
      </c>
      <c r="H6" s="23" t="str">
        <f aca="false">IF(J6&lt;&gt;1,"",IF(I6="SBJ","CB","?"))</f>
        <v/>
      </c>
      <c r="I6" s="27" t="str">
        <f aca="false">IF(OR(E6="",E6="!!!",F6="NEW"),"",INDEX(B5:B$2,-1+SUMPRODUCT(MAX(ROW(E5:E$2)*(E6=E5:E$2)))))</f>
        <v/>
      </c>
      <c r="J6" s="27" t="str">
        <f aca="true">IF(OR(E6="",E6="!!!",F6="NEW"),"",COUNTBLANK(OFFSET(A$1,,,SUMPRODUCT(MAX(ROW(E$2:E6)*(E6=E$2:E6)))))-COUNTBLANK(OFFSET(A$1,,,SUMPRODUCT(MAX(ROW(E$1:E5)*(E2=E$1:E5))))))</f>
        <v/>
      </c>
      <c r="K6" s="27" t="str">
        <f aca="false">IF(OR(E6="",E6="!!!",F6="NEW"),"",INDEX(J$1:J5,SUMPRODUCT(MAX(ROW(E$1:E5)*(E6=E$1:E5)))))</f>
        <v/>
      </c>
      <c r="L6" s="28"/>
    </row>
    <row r="7" customFormat="false" ht="15" hidden="false" customHeight="false" outlineLevel="0" collapsed="false">
      <c r="A7" s="21"/>
      <c r="G7" s="22" t="str">
        <f aca="false">IF(OR(E7="",E7="!!!"),"",IF(OR(J7=0,AND(J7=1,K7=1),AND(J7=1,I7="SBJ"),AND(J7=1,I7=0)),"?IN_FOCUS",IF(J7&lt;=2,"?ACTIVATED",IF(J7&lt;&gt;"","?FAMILIAR",IF(F7="NEW",IF(ISNA(VLOOKUP(E7,#REF!,1,FALSE())),"?TYPE_IDENTIFIABLE","?REFERENTIAL"),"_")))))</f>
        <v/>
      </c>
      <c r="H7" s="23" t="str">
        <f aca="false">IF(J7&lt;&gt;1,"",IF(I7="SBJ","CB","?"))</f>
        <v/>
      </c>
    </row>
    <row r="8" customFormat="false" ht="15" hidden="false" customHeight="false" outlineLevel="0" collapsed="false">
      <c r="A8" s="21" t="s">
        <v>157</v>
      </c>
      <c r="G8" s="22" t="str">
        <f aca="false">IF(OR(E8="",E8="!!!"),"",IF(OR(J8=0,AND(J8=1,K8=1),AND(J8=1,I8="SBJ"),AND(J8=1,I8=0)),"?IN_FOCUS",IF(J8&lt;=2,"?ACTIVATED",IF(J8&lt;&gt;"","?FAMILIAR",IF(F8="NEW",IF(ISNA(VLOOKUP(E8,#REF!,1,FALSE())),"?TYPE_IDENTIFIABLE","?REFERENTIAL"),"_")))))</f>
        <v/>
      </c>
      <c r="H8" s="23" t="str">
        <f aca="false">IF(J8&lt;&gt;1,"",IF(I8="SBJ","CB","?"))</f>
        <v/>
      </c>
    </row>
    <row r="9" customFormat="false" ht="15" hidden="false" customHeight="false" outlineLevel="0" collapsed="false">
      <c r="A9" s="21" t="s">
        <v>16</v>
      </c>
      <c r="B9" s="29" t="s">
        <v>153</v>
      </c>
      <c r="C9" s="29" t="s">
        <v>158</v>
      </c>
      <c r="D9" s="29" t="s">
        <v>159</v>
      </c>
      <c r="E9" s="25" t="s">
        <v>16</v>
      </c>
      <c r="F9" s="30" t="str">
        <f aca="false">IF(OR(E9="",E9="!!!"),"",IF(NOT(ISNA(VLOOKUP(E9,E$1:E8,1,FALSE()))),"OLD",IF(AND(E9&lt;&gt;"",E9&lt;&gt;"!!!"),"NEW","")))</f>
        <v>NEW</v>
      </c>
      <c r="G9" s="22" t="s">
        <v>160</v>
      </c>
      <c r="H9" s="23" t="str">
        <f aca="false">IF(J9&lt;&gt;1,"",IF(I9="SBJ","CB","?"))</f>
        <v/>
      </c>
      <c r="I9" s="31" t="str">
        <f aca="false">IF(OR(E9="",E9="!!!",F9="NEW"),"",INDEX(B2:B$8,-1+SUMPRODUCT(MAX(ROW(E2:E$8)*(E9=E2:E$8)))))</f>
        <v/>
      </c>
      <c r="J9" s="31" t="str">
        <f aca="true">IF(OR(E9="",E9="!!!",F9="NEW"),"",COUNTBLANK(OFFSET(A$1,,,SUMPRODUCT(MAX(ROW(E$2:E9)*(E9=E$2:E9)))))-COUNTBLANK(OFFSET(A$1,,,SUMPRODUCT(MAX(ROW(E$1:E8)*(E2=E$1:E8))))))</f>
        <v/>
      </c>
      <c r="K9" s="31" t="str">
        <f aca="false">IF(OR(E9="",E9="!!!",F9="NEW"),"",INDEX(J$1:J8,SUMPRODUCT(MAX(ROW(E$1:E8)*(E9=E$1:E8)))))</f>
        <v/>
      </c>
      <c r="L9" s="28"/>
    </row>
    <row r="10" customFormat="false" ht="15" hidden="false" customHeight="false" outlineLevel="0" collapsed="false">
      <c r="A10" s="21" t="s">
        <v>161</v>
      </c>
      <c r="E10" s="25"/>
      <c r="F10" s="26" t="str">
        <f aca="false">IF(OR(E10="",E10="!!!"),"",IF(NOT(ISNA(VLOOKUP(E10,E$1:E9,1,FALSE()))),"OLD",IF(AND(E10&lt;&gt;"",E10&lt;&gt;"!!!"),"NEW","")))</f>
        <v/>
      </c>
      <c r="G10" s="22" t="str">
        <f aca="false">IF(OR(E10="",E10="!!!"),"",IF(OR(J10=0,AND(J10=1,K10=1),AND(J10=1,I10="SBJ"),AND(J10=1,I10=0)),"?IN_FOCUS",IF(J10&lt;=2,"?ACTIVATED",IF(J10&lt;&gt;"","?FAMILIAR",IF(F10="NEW",IF(ISNA(VLOOKUP(E10,#REF!,1,FALSE())),"?TYPE_IDENTIFIABLE","?REFERENTIAL"),"_")))))</f>
        <v/>
      </c>
      <c r="H10" s="23" t="str">
        <f aca="false">IF(J10&lt;&gt;1,"",IF(I10="SBJ","CB","?"))</f>
        <v/>
      </c>
      <c r="I10" s="27" t="str">
        <f aca="false">IF(OR(E10="",E10="!!!",F10="NEW"),"",INDEX(B3:B$8,-1+SUMPRODUCT(MAX(ROW(E3:E$8)*(E10=E3:E$8)))))</f>
        <v/>
      </c>
      <c r="J10" s="27" t="str">
        <f aca="true">IF(OR(E10="",E10="!!!",F10="NEW"),"",COUNTBLANK(OFFSET(A$1,,,SUMPRODUCT(MAX(ROW(E$2:E10)*(E10=E$2:E10)))))-COUNTBLANK(OFFSET(A$1,,,SUMPRODUCT(MAX(ROW(E$1:E9)*(E2=E$1:E9))))))</f>
        <v/>
      </c>
      <c r="K10" s="27" t="str">
        <f aca="false">IF(OR(E10="",E10="!!!",F10="NEW"),"",INDEX(J$1:J9,SUMPRODUCT(MAX(ROW(E$1:E9)*(E10=E$1:E9)))))</f>
        <v/>
      </c>
      <c r="L10" s="28"/>
    </row>
    <row r="11" customFormat="false" ht="15" hidden="false" customHeight="false" outlineLevel="0" collapsed="false">
      <c r="A11" s="21" t="s">
        <v>155</v>
      </c>
      <c r="E11" s="25"/>
      <c r="F11" s="26" t="str">
        <f aca="false">IF(OR(E11="",E11="!!!"),"",IF(NOT(ISNA(VLOOKUP(E11,E$1:E10,1,FALSE()))),"OLD",IF(AND(E11&lt;&gt;"",E11&lt;&gt;"!!!"),"NEW","")))</f>
        <v/>
      </c>
      <c r="G11" s="22" t="str">
        <f aca="false">IF(OR(E11="",E11="!!!"),"",IF(OR(J11=0,AND(J11=1,K11=1),AND(J11=1,I11="SBJ"),AND(J11=1,I11=0)),"?IN_FOCUS",IF(J11&lt;=2,"?ACTIVATED",IF(J11&lt;&gt;"","?FAMILIAR",IF(F11="NEW",IF(ISNA(VLOOKUP(E11,#REF!,1,FALSE())),"?TYPE_IDENTIFIABLE","?REFERENTIAL"),"_")))))</f>
        <v/>
      </c>
      <c r="H11" s="23" t="str">
        <f aca="false">IF(J11&lt;&gt;1,"",IF(I11="SBJ","CB","?"))</f>
        <v/>
      </c>
      <c r="I11" s="27" t="str">
        <f aca="false">IF(OR(E11="",E11="!!!",F11="NEW"),"",INDEX(B4:B$8,-1+SUMPRODUCT(MAX(ROW(E4:E$8)*(E11=E4:E$8)))))</f>
        <v/>
      </c>
      <c r="J11" s="27" t="str">
        <f aca="true">IF(OR(E11="",E11="!!!",F11="NEW"),"",COUNTBLANK(OFFSET(A$1,,,SUMPRODUCT(MAX(ROW(E$2:E11)*(E11=E$2:E11)))))-COUNTBLANK(OFFSET(A$1,,,SUMPRODUCT(MAX(ROW(E$1:E10)*(E2=E$1:E10))))))</f>
        <v/>
      </c>
      <c r="K11" s="27" t="str">
        <f aca="false">IF(OR(E11="",E11="!!!",F11="NEW"),"",INDEX(J$1:J10,SUMPRODUCT(MAX(ROW(E$1:E10)*(E11=E$1:E10)))))</f>
        <v/>
      </c>
      <c r="L11" s="28"/>
    </row>
    <row r="12" customFormat="false" ht="15" hidden="false" customHeight="false" outlineLevel="0" collapsed="false">
      <c r="A12" s="21"/>
      <c r="G12" s="22" t="str">
        <f aca="false">IF(OR(E12="",E12="!!!"),"",IF(OR(J12=0,AND(J12=1,K12=1),AND(J12=1,I12="SBJ"),AND(J12=1,I12=0)),"?IN_FOCUS",IF(J12&lt;=2,"?ACTIVATED",IF(J12&lt;&gt;"","?FAMILIAR",IF(F12="NEW",IF(ISNA(VLOOKUP(E12,#REF!,1,FALSE())),"?TYPE_IDENTIFIABLE","?REFERENTIAL"),"_")))))</f>
        <v/>
      </c>
      <c r="H12" s="23" t="str">
        <f aca="false">IF(J12&lt;&gt;1,"",IF(I12="SBJ","CB","?"))</f>
        <v/>
      </c>
    </row>
    <row r="13" customFormat="false" ht="15" hidden="false" customHeight="false" outlineLevel="0" collapsed="false">
      <c r="A13" s="21" t="s">
        <v>162</v>
      </c>
      <c r="G13" s="22" t="str">
        <f aca="false">IF(OR(E13="",E13="!!!"),"",IF(OR(J13=0,AND(J13=1,K13=1),AND(J13=1,I13="SBJ"),AND(J13=1,I13=0)),"?IN_FOCUS",IF(J13&lt;=2,"?ACTIVATED",IF(J13&lt;&gt;"","?FAMILIAR",IF(F13="NEW",IF(ISNA(VLOOKUP(E13,#REF!,1,FALSE())),"?TYPE_IDENTIFIABLE","?REFERENTIAL"),"_")))))</f>
        <v/>
      </c>
      <c r="H13" s="23" t="str">
        <f aca="false">IF(J13&lt;&gt;1,"",IF(I13="SBJ","CB","?"))</f>
        <v/>
      </c>
    </row>
    <row r="14" customFormat="false" ht="15" hidden="false" customHeight="false" outlineLevel="0" collapsed="false">
      <c r="A14" s="21" t="s">
        <v>163</v>
      </c>
      <c r="E14" s="25"/>
      <c r="F14" s="26" t="str">
        <f aca="false">IF(OR(E14="",E14="!!!"),"",IF(NOT(ISNA(VLOOKUP(E14,E$1:E13,1,FALSE()))),"OLD",IF(AND(E14&lt;&gt;"",E14&lt;&gt;"!!!"),"NEW","")))</f>
        <v/>
      </c>
      <c r="G14" s="22" t="str">
        <f aca="false">IF(OR(E14="",E14="!!!"),"",IF(OR(J14=0,AND(J14=1,K14=1),AND(J14=1,I14="SBJ"),AND(J14=1,I14=0)),"?IN_FOCUS",IF(J14&lt;=2,"?ACTIVATED",IF(J14&lt;&gt;"","?FAMILIAR",IF(F14="NEW",IF(ISNA(VLOOKUP(E14,#REF!,1,FALSE())),"?TYPE_IDENTIFIABLE","?REFERENTIAL"),"_")))))</f>
        <v/>
      </c>
      <c r="H14" s="23" t="str">
        <f aca="false">IF(J14&lt;&gt;1,"",IF(I14="SBJ","CB","?"))</f>
        <v/>
      </c>
      <c r="I14" s="27" t="str">
        <f aca="false">IF(OR(E14="",E14="!!!",F14="NEW"),"",INDEX(B2:B$13,-1+SUMPRODUCT(MAX(ROW(E2:E$13)*(E14=E2:E$13)))))</f>
        <v/>
      </c>
      <c r="J14" s="27" t="str">
        <f aca="true">IF(OR(E14="",E14="!!!",F14="NEW"),"",COUNTBLANK(OFFSET(A$1,,,SUMPRODUCT(MAX(ROW(E$2:E14)*(E14=E$2:E14)))))-COUNTBLANK(OFFSET(A$1,,,SUMPRODUCT(MAX(ROW(E$1:E13)*(E2=E$1:E13))))))</f>
        <v/>
      </c>
      <c r="K14" s="27" t="str">
        <f aca="false">IF(OR(E14="",E14="!!!",F14="NEW"),"",INDEX(J$1:J13,SUMPRODUCT(MAX(ROW(E$1:E13)*(E14=E$1:E13)))))</f>
        <v/>
      </c>
      <c r="L14" s="28"/>
    </row>
    <row r="15" customFormat="false" ht="15" hidden="false" customHeight="false" outlineLevel="0" collapsed="false">
      <c r="A15" s="21" t="s">
        <v>20</v>
      </c>
      <c r="B15" s="29" t="s">
        <v>153</v>
      </c>
      <c r="C15" s="29" t="s">
        <v>164</v>
      </c>
      <c r="E15" s="25"/>
      <c r="F15" s="26" t="str">
        <f aca="false">IF(OR(E15="",E15="!!!"),"",IF(NOT(ISNA(VLOOKUP(E15,E$1:E14,1,FALSE()))),"OLD",IF(AND(E15&lt;&gt;"",E15&lt;&gt;"!!!"),"NEW","")))</f>
        <v/>
      </c>
      <c r="G15" s="22" t="str">
        <f aca="false">IF(OR(E15="",E15="!!!"),"",IF(OR(J15=0,AND(J15=1,K15=1),AND(J15=1,I15="SBJ"),AND(J15=1,I15=0)),"?IN_FOCUS",IF(J15&lt;=2,"?ACTIVATED",IF(J15&lt;&gt;"","?FAMILIAR",IF(F15="NEW",IF(ISNA(VLOOKUP(E15,#REF!,1,FALSE())),"?TYPE_IDENTIFIABLE","?REFERENTIAL"),"_")))))</f>
        <v/>
      </c>
      <c r="H15" s="23" t="str">
        <f aca="false">IF(J15&lt;&gt;1,"",IF(I15="SBJ","CB","?"))</f>
        <v/>
      </c>
      <c r="I15" s="27" t="str">
        <f aca="false">IF(OR(E15="",E15="!!!",F15="NEW"),"",INDEX(B3:B$13,-1+SUMPRODUCT(MAX(ROW(E3:E$13)*(E15=E3:E$13)))))</f>
        <v/>
      </c>
      <c r="J15" s="27" t="str">
        <f aca="true">IF(OR(E15="",E15="!!!",F15="NEW"),"",COUNTBLANK(OFFSET(A$1,,,SUMPRODUCT(MAX(ROW(E$2:E15)*(E15=E$2:E15)))))-COUNTBLANK(OFFSET(A$1,,,SUMPRODUCT(MAX(ROW(E$1:E14)*(E2=E$1:E14))))))</f>
        <v/>
      </c>
      <c r="K15" s="27" t="str">
        <f aca="false">IF(OR(E15="",E15="!!!",F15="NEW"),"",INDEX(J$1:J14,SUMPRODUCT(MAX(ROW(E$1:E14)*(E15=E$1:E14)))))</f>
        <v/>
      </c>
      <c r="L15" s="28"/>
    </row>
    <row r="16" customFormat="false" ht="15" hidden="false" customHeight="false" outlineLevel="0" collapsed="false">
      <c r="A16" s="21" t="s">
        <v>165</v>
      </c>
      <c r="E16" s="25"/>
      <c r="F16" s="26" t="str">
        <f aca="false">IF(OR(E16="",E16="!!!"),"",IF(NOT(ISNA(VLOOKUP(E16,E$1:E15,1,FALSE()))),"OLD",IF(AND(E16&lt;&gt;"",E16&lt;&gt;"!!!"),"NEW","")))</f>
        <v/>
      </c>
      <c r="G16" s="22" t="str">
        <f aca="false">IF(OR(E16="",E16="!!!"),"",IF(OR(J16=0,AND(J16=1,K16=1),AND(J16=1,I16="SBJ"),AND(J16=1,I16=0)),"?IN_FOCUS",IF(J16&lt;=2,"?ACTIVATED",IF(J16&lt;&gt;"","?FAMILIAR",IF(F16="NEW",IF(ISNA(VLOOKUP(E16,#REF!,1,FALSE())),"?TYPE_IDENTIFIABLE","?REFERENTIAL"),"_")))))</f>
        <v/>
      </c>
      <c r="H16" s="23" t="str">
        <f aca="false">IF(J16&lt;&gt;1,"",IF(I16="SBJ","CB","?"))</f>
        <v/>
      </c>
      <c r="I16" s="27" t="str">
        <f aca="false">IF(OR(E16="",E16="!!!",F16="NEW"),"",INDEX(B4:B$13,-1+SUMPRODUCT(MAX(ROW(E4:E$13)*(E16=E4:E$13)))))</f>
        <v/>
      </c>
      <c r="J16" s="27" t="str">
        <f aca="true">IF(OR(E16="",E16="!!!",F16="NEW"),"",COUNTBLANK(OFFSET(A$1,,,SUMPRODUCT(MAX(ROW(E$2:E16)*(E16=E$2:E16)))))-COUNTBLANK(OFFSET(A$1,,,SUMPRODUCT(MAX(ROW(E$1:E15)*(E2=E$1:E15))))))</f>
        <v/>
      </c>
      <c r="K16" s="27" t="str">
        <f aca="false">IF(OR(E16="",E16="!!!",F16="NEW"),"",INDEX(J$1:J15,SUMPRODUCT(MAX(ROW(E$1:E15)*(E16=E$1:E15)))))</f>
        <v/>
      </c>
      <c r="L16" s="28"/>
    </row>
    <row r="17" customFormat="false" ht="15" hidden="false" customHeight="false" outlineLevel="0" collapsed="false">
      <c r="A17" s="21" t="s">
        <v>166</v>
      </c>
      <c r="B17" s="29" t="s">
        <v>153</v>
      </c>
      <c r="C17" s="29" t="s">
        <v>167</v>
      </c>
      <c r="E17" s="25"/>
      <c r="F17" s="26" t="str">
        <f aca="false">IF(OR(E17="",E17="!!!"),"",IF(NOT(ISNA(VLOOKUP(E17,E$1:E16,1,FALSE()))),"OLD",IF(AND(E17&lt;&gt;"",E17&lt;&gt;"!!!"),"NEW","")))</f>
        <v/>
      </c>
      <c r="G17" s="22" t="str">
        <f aca="false">IF(OR(E17="",E17="!!!"),"",IF(OR(J17=0,AND(J17=1,K17=1),AND(J17=1,I17="SBJ"),AND(J17=1,I17=0)),"?IN_FOCUS",IF(J17&lt;=2,"?ACTIVATED",IF(J17&lt;&gt;"","?FAMILIAR",IF(F17="NEW",IF(ISNA(VLOOKUP(E17,#REF!,1,FALSE())),"?TYPE_IDENTIFIABLE","?REFERENTIAL"),"_")))))</f>
        <v/>
      </c>
      <c r="H17" s="23" t="str">
        <f aca="false">IF(J17&lt;&gt;1,"",IF(I17="SBJ","CB","?"))</f>
        <v/>
      </c>
      <c r="I17" s="27" t="str">
        <f aca="false">IF(OR(E17="",E17="!!!",F17="NEW"),"",INDEX(B5:B$13,-1+SUMPRODUCT(MAX(ROW(E5:E$13)*(E17=E5:E$13)))))</f>
        <v/>
      </c>
      <c r="J17" s="27" t="str">
        <f aca="true">IF(OR(E17="",E17="!!!",F17="NEW"),"",COUNTBLANK(OFFSET(A$1,,,SUMPRODUCT(MAX(ROW(E$2:E17)*(E17=E$2:E17)))))-COUNTBLANK(OFFSET(A$1,,,SUMPRODUCT(MAX(ROW(E$1:E16)*(E2=E$1:E16))))))</f>
        <v/>
      </c>
      <c r="K17" s="27" t="str">
        <f aca="false">IF(OR(E17="",E17="!!!",F17="NEW"),"",INDEX(J$1:J16,SUMPRODUCT(MAX(ROW(E$1:E16)*(E17=E$1:E16)))))</f>
        <v/>
      </c>
      <c r="L17" s="28"/>
    </row>
    <row r="18" customFormat="false" ht="15" hidden="false" customHeight="false" outlineLevel="0" collapsed="false">
      <c r="A18" s="21" t="s">
        <v>168</v>
      </c>
      <c r="E18" s="25"/>
      <c r="F18" s="26" t="str">
        <f aca="false">IF(OR(E18="",E18="!!!"),"",IF(NOT(ISNA(VLOOKUP(E18,E$1:E17,1,FALSE()))),"OLD",IF(AND(E18&lt;&gt;"",E18&lt;&gt;"!!!"),"NEW","")))</f>
        <v/>
      </c>
      <c r="G18" s="22" t="str">
        <f aca="false">IF(OR(E18="",E18="!!!"),"",IF(OR(J18=0,AND(J18=1,K18=1),AND(J18=1,I18="SBJ"),AND(J18=1,I18=0)),"?IN_FOCUS",IF(J18&lt;=2,"?ACTIVATED",IF(J18&lt;&gt;"","?FAMILIAR",IF(F18="NEW",IF(ISNA(VLOOKUP(E18,#REF!,1,FALSE())),"?TYPE_IDENTIFIABLE","?REFERENTIAL"),"_")))))</f>
        <v/>
      </c>
      <c r="H18" s="23" t="str">
        <f aca="false">IF(J18&lt;&gt;1,"",IF(I18="SBJ","CB","?"))</f>
        <v/>
      </c>
      <c r="I18" s="27" t="str">
        <f aca="false">IF(OR(E18="",E18="!!!",F18="NEW"),"",INDEX(B6:B$13,-1+SUMPRODUCT(MAX(ROW(E6:E$13)*(E18=E6:E$13)))))</f>
        <v/>
      </c>
      <c r="J18" s="27" t="str">
        <f aca="true">IF(OR(E18="",E18="!!!",F18="NEW"),"",COUNTBLANK(OFFSET(A$1,,,SUMPRODUCT(MAX(ROW(E$2:E18)*(E18=E$2:E18)))))-COUNTBLANK(OFFSET(A$1,,,SUMPRODUCT(MAX(ROW(E$1:E17)*(E2=E$1:E17))))))</f>
        <v/>
      </c>
      <c r="K18" s="27" t="str">
        <f aca="false">IF(OR(E18="",E18="!!!",F18="NEW"),"",INDEX(J$1:J17,SUMPRODUCT(MAX(ROW(E$1:E17)*(E18=E$1:E17)))))</f>
        <v/>
      </c>
      <c r="L18" s="28"/>
    </row>
    <row r="19" customFormat="false" ht="15" hidden="false" customHeight="false" outlineLevel="0" collapsed="false">
      <c r="A19" s="21" t="s">
        <v>169</v>
      </c>
      <c r="E19" s="25"/>
      <c r="F19" s="26" t="str">
        <f aca="false">IF(OR(E19="",E19="!!!"),"",IF(NOT(ISNA(VLOOKUP(E19,E$1:E18,1,FALSE()))),"OLD",IF(AND(E19&lt;&gt;"",E19&lt;&gt;"!!!"),"NEW","")))</f>
        <v/>
      </c>
      <c r="G19" s="22" t="str">
        <f aca="false">IF(OR(E19="",E19="!!!"),"",IF(OR(J19=0,AND(J19=1,K19=1),AND(J19=1,I19="SBJ"),AND(J19=1,I19=0)),"?IN_FOCUS",IF(J19&lt;=2,"?ACTIVATED",IF(J19&lt;&gt;"","?FAMILIAR",IF(F19="NEW",IF(ISNA(VLOOKUP(E19,#REF!,1,FALSE())),"?TYPE_IDENTIFIABLE","?REFERENTIAL"),"_")))))</f>
        <v/>
      </c>
      <c r="H19" s="23" t="str">
        <f aca="false">IF(J19&lt;&gt;1,"",IF(I19="SBJ","CB","?"))</f>
        <v/>
      </c>
      <c r="I19" s="27" t="str">
        <f aca="false">IF(OR(E19="",E19="!!!",F19="NEW"),"",INDEX(B7:B$13,-1+SUMPRODUCT(MAX(ROW(E7:E$13)*(E19=E7:E$13)))))</f>
        <v/>
      </c>
      <c r="J19" s="27" t="str">
        <f aca="true">IF(OR(E19="",E19="!!!",F19="NEW"),"",COUNTBLANK(OFFSET(A$1,,,SUMPRODUCT(MAX(ROW(E$2:E19)*(E19=E$2:E19)))))-COUNTBLANK(OFFSET(A$1,,,SUMPRODUCT(MAX(ROW(E$1:E18)*(E2=E$1:E18))))))</f>
        <v/>
      </c>
      <c r="K19" s="27" t="str">
        <f aca="false">IF(OR(E19="",E19="!!!",F19="NEW"),"",INDEX(J$1:J18,SUMPRODUCT(MAX(ROW(E$1:E18)*(E19=E$1:E18)))))</f>
        <v/>
      </c>
      <c r="L19" s="28"/>
    </row>
    <row r="20" customFormat="false" ht="15" hidden="false" customHeight="false" outlineLevel="0" collapsed="false">
      <c r="A20" s="21" t="s">
        <v>170</v>
      </c>
      <c r="B20" s="29" t="s">
        <v>153</v>
      </c>
      <c r="C20" s="29" t="s">
        <v>171</v>
      </c>
      <c r="D20" s="29" t="s">
        <v>159</v>
      </c>
      <c r="E20" s="25" t="s">
        <v>172</v>
      </c>
      <c r="F20" s="30" t="str">
        <f aca="false">IF(OR(E20="",E20="!!!"),"",IF(NOT(ISNA(VLOOKUP(E20,E$1:E19,1,FALSE()))),"OLD",IF(AND(E20&lt;&gt;"",E20&lt;&gt;"!!!"),"NEW","")))</f>
        <v>NEW</v>
      </c>
      <c r="G20" s="22" t="s">
        <v>160</v>
      </c>
      <c r="H20" s="23" t="str">
        <f aca="false">IF(J20&lt;&gt;1,"",IF(I20="SBJ","CB","?"))</f>
        <v/>
      </c>
      <c r="I20" s="31" t="str">
        <f aca="false">IF(OR(E20="",E20="!!!",F20="NEW"),"",INDEX(B8:B$13,-1+SUMPRODUCT(MAX(ROW(E8:E$13)*(E20=E8:E$13)))))</f>
        <v/>
      </c>
      <c r="J20" s="31" t="str">
        <f aca="true">IF(OR(E20="",E20="!!!",F20="NEW"),"",COUNTBLANK(OFFSET(A$1,,,SUMPRODUCT(MAX(ROW(E$2:E20)*(E20=E$2:E20)))))-COUNTBLANK(OFFSET(A$1,,,SUMPRODUCT(MAX(ROW(E$1:E19)*(E2=E$1:E19))))))</f>
        <v/>
      </c>
      <c r="K20" s="31" t="str">
        <f aca="false">IF(OR(E20="",E20="!!!",F20="NEW"),"",INDEX(J$1:J19,SUMPRODUCT(MAX(ROW(E$1:E19)*(E20=E$1:E19)))))</f>
        <v/>
      </c>
      <c r="L20" s="28"/>
    </row>
    <row r="21" customFormat="false" ht="15" hidden="false" customHeight="false" outlineLevel="0" collapsed="false">
      <c r="A21" s="21"/>
      <c r="G21" s="22" t="str">
        <f aca="false">IF(OR(E21="",E21="!!!"),"",IF(OR(J21=0,AND(J21=1,K21=1),AND(J21=1,I21="SBJ"),AND(J21=1,I21=0)),"?IN_FOCUS",IF(J21&lt;=2,"?ACTIVATED",IF(J21&lt;&gt;"","?FAMILIAR",IF(F21="NEW",IF(ISNA(VLOOKUP(E21,#REF!,1,FALSE())),"?TYPE_IDENTIFIABLE","?REFERENTIAL"),"_")))))</f>
        <v/>
      </c>
      <c r="H21" s="23" t="str">
        <f aca="false">IF(J21&lt;&gt;1,"",IF(I21="SBJ","CB","?"))</f>
        <v/>
      </c>
    </row>
    <row r="22" customFormat="false" ht="15" hidden="false" customHeight="false" outlineLevel="0" collapsed="false">
      <c r="A22" s="21" t="s">
        <v>173</v>
      </c>
      <c r="G22" s="22" t="str">
        <f aca="false">IF(OR(E22="",E22="!!!"),"",IF(OR(J22=0,AND(J22=1,K22=1),AND(J22=1,I22="SBJ"),AND(J22=1,I22=0)),"?IN_FOCUS",IF(J22&lt;=2,"?ACTIVATED",IF(J22&lt;&gt;"","?FAMILIAR",IF(F22="NEW",IF(ISNA(VLOOKUP(E22,#REF!,1,FALSE())),"?TYPE_IDENTIFIABLE","?REFERENTIAL"),"_")))))</f>
        <v/>
      </c>
      <c r="H22" s="23" t="str">
        <f aca="false">IF(J22&lt;&gt;1,"",IF(I22="SBJ","CB","?"))</f>
        <v/>
      </c>
    </row>
    <row r="23" customFormat="false" ht="15" hidden="false" customHeight="false" outlineLevel="0" collapsed="false">
      <c r="A23" s="21" t="s">
        <v>174</v>
      </c>
      <c r="E23" s="25"/>
      <c r="F23" s="26" t="str">
        <f aca="false">IF(OR(E23="",E23="!!!"),"",IF(NOT(ISNA(VLOOKUP(E23,E$1:E22,1,FALSE()))),"OLD",IF(AND(E23&lt;&gt;"",E23&lt;&gt;"!!!"),"NEW","")))</f>
        <v/>
      </c>
      <c r="G23" s="22" t="str">
        <f aca="false">IF(OR(E23="",E23="!!!"),"",IF(OR(J23=0,AND(J23=1,K23=1),AND(J23=1,I23="SBJ"),AND(J23=1,I23=0)),"?IN_FOCUS",IF(J23&lt;=2,"?ACTIVATED",IF(J23&lt;&gt;"","?FAMILIAR",IF(F23="NEW",IF(ISNA(VLOOKUP(E23,#REF!,1,FALSE())),"?TYPE_IDENTIFIABLE","?REFERENTIAL"),"_")))))</f>
        <v/>
      </c>
      <c r="H23" s="23" t="str">
        <f aca="false">IF(J23&lt;&gt;1,"",IF(I23="SBJ","CB","?"))</f>
        <v/>
      </c>
      <c r="I23" s="27" t="str">
        <f aca="false">IF(OR(E23="",E23="!!!",F23="NEW"),"",INDEX(B2:B$22,-1+SUMPRODUCT(MAX(ROW(E2:E$22)*(E23=E2:E$22)))))</f>
        <v/>
      </c>
      <c r="J23" s="27" t="str">
        <f aca="true">IF(OR(E23="",E23="!!!",F23="NEW"),"",COUNTBLANK(OFFSET(A$1,,,SUMPRODUCT(MAX(ROW(E$2:E23)*(E23=E$2:E23)))))-COUNTBLANK(OFFSET(A$1,,,SUMPRODUCT(MAX(ROW(E$1:E22)*(E2=E$1:E22))))))</f>
        <v/>
      </c>
      <c r="K23" s="27" t="str">
        <f aca="false">IF(OR(E23="",E23="!!!",F23="NEW"),"",INDEX(J$1:J22,SUMPRODUCT(MAX(ROW(E$1:E22)*(E23=E$1:E22)))))</f>
        <v/>
      </c>
      <c r="L23" s="28"/>
    </row>
    <row r="24" customFormat="false" ht="15" hidden="false" customHeight="false" outlineLevel="0" collapsed="false">
      <c r="A24" s="21" t="s">
        <v>175</v>
      </c>
      <c r="E24" s="25"/>
      <c r="F24" s="26" t="str">
        <f aca="false">IF(OR(E24="",E24="!!!"),"",IF(NOT(ISNA(VLOOKUP(E24,E$1:E23,1,FALSE()))),"OLD",IF(AND(E24&lt;&gt;"",E24&lt;&gt;"!!!"),"NEW","")))</f>
        <v/>
      </c>
      <c r="G24" s="22" t="str">
        <f aca="false">IF(OR(E24="",E24="!!!"),"",IF(OR(J24=0,AND(J24=1,K24=1),AND(J24=1,I24="SBJ"),AND(J24=1,I24=0)),"?IN_FOCUS",IF(J24&lt;=2,"?ACTIVATED",IF(J24&lt;&gt;"","?FAMILIAR",IF(F24="NEW",IF(ISNA(VLOOKUP(E24,#REF!,1,FALSE())),"?TYPE_IDENTIFIABLE","?REFERENTIAL"),"_")))))</f>
        <v/>
      </c>
      <c r="H24" s="23" t="str">
        <f aca="false">IF(J24&lt;&gt;1,"",IF(I24="SBJ","CB","?"))</f>
        <v/>
      </c>
      <c r="I24" s="27" t="str">
        <f aca="false">IF(OR(E24="",E24="!!!",F24="NEW"),"",INDEX(B3:B$22,-1+SUMPRODUCT(MAX(ROW(E3:E$22)*(E24=E3:E$22)))))</f>
        <v/>
      </c>
      <c r="J24" s="27" t="str">
        <f aca="true">IF(OR(E24="",E24="!!!",F24="NEW"),"",COUNTBLANK(OFFSET(A$1,,,SUMPRODUCT(MAX(ROW(E$2:E24)*(E24=E$2:E24)))))-COUNTBLANK(OFFSET(A$1,,,SUMPRODUCT(MAX(ROW(E$1:E23)*(E2=E$1:E23))))))</f>
        <v/>
      </c>
      <c r="K24" s="27" t="str">
        <f aca="false">IF(OR(E24="",E24="!!!",F24="NEW"),"",INDEX(J$1:J23,SUMPRODUCT(MAX(ROW(E$1:E23)*(E24=E$1:E23)))))</f>
        <v/>
      </c>
      <c r="L24" s="28"/>
    </row>
    <row r="25" customFormat="false" ht="15" hidden="false" customHeight="false" outlineLevel="0" collapsed="false">
      <c r="A25" s="21" t="s">
        <v>176</v>
      </c>
      <c r="E25" s="25"/>
      <c r="F25" s="26" t="str">
        <f aca="false">IF(OR(E25="",E25="!!!"),"",IF(NOT(ISNA(VLOOKUP(E25,E$1:E24,1,FALSE()))),"OLD",IF(AND(E25&lt;&gt;"",E25&lt;&gt;"!!!"),"NEW","")))</f>
        <v/>
      </c>
      <c r="G25" s="22" t="str">
        <f aca="false">IF(OR(E25="",E25="!!!"),"",IF(OR(J25=0,AND(J25=1,K25=1),AND(J25=1,I25="SBJ"),AND(J25=1,I25=0)),"?IN_FOCUS",IF(J25&lt;=2,"?ACTIVATED",IF(J25&lt;&gt;"","?FAMILIAR",IF(F25="NEW",IF(ISNA(VLOOKUP(E25,#REF!,1,FALSE())),"?TYPE_IDENTIFIABLE","?REFERENTIAL"),"_")))))</f>
        <v/>
      </c>
      <c r="H25" s="23" t="str">
        <f aca="false">IF(J25&lt;&gt;1,"",IF(I25="SBJ","CB","?"))</f>
        <v/>
      </c>
      <c r="I25" s="27" t="str">
        <f aca="false">IF(OR(E25="",E25="!!!",F25="NEW"),"",INDEX(B4:B$22,-1+SUMPRODUCT(MAX(ROW(E4:E$22)*(E25=E4:E$22)))))</f>
        <v/>
      </c>
      <c r="J25" s="27" t="str">
        <f aca="true">IF(OR(E25="",E25="!!!",F25="NEW"),"",COUNTBLANK(OFFSET(A$1,,,SUMPRODUCT(MAX(ROW(E$2:E25)*(E25=E$2:E25)))))-COUNTBLANK(OFFSET(A$1,,,SUMPRODUCT(MAX(ROW(E$1:E24)*(E2=E$1:E24))))))</f>
        <v/>
      </c>
      <c r="K25" s="27" t="str">
        <f aca="false">IF(OR(E25="",E25="!!!",F25="NEW"),"",INDEX(J$1:J24,SUMPRODUCT(MAX(ROW(E$1:E24)*(E25=E$1:E24)))))</f>
        <v/>
      </c>
      <c r="L25" s="28"/>
    </row>
    <row r="26" customFormat="false" ht="15" hidden="false" customHeight="false" outlineLevel="0" collapsed="false">
      <c r="A26" s="21" t="s">
        <v>177</v>
      </c>
      <c r="B26" s="29" t="s">
        <v>153</v>
      </c>
      <c r="C26" s="29" t="s">
        <v>164</v>
      </c>
      <c r="E26" s="25"/>
      <c r="F26" s="26" t="str">
        <f aca="false">IF(OR(E26="",E26="!!!"),"",IF(NOT(ISNA(VLOOKUP(E26,E$1:E25,1,FALSE()))),"OLD",IF(AND(E26&lt;&gt;"",E26&lt;&gt;"!!!"),"NEW","")))</f>
        <v/>
      </c>
      <c r="G26" s="22" t="str">
        <f aca="false">IF(OR(E26="",E26="!!!"),"",IF(OR(J26=0,AND(J26=1,K26=1),AND(J26=1,I26="SBJ"),AND(J26=1,I26=0)),"?IN_FOCUS",IF(J26&lt;=2,"?ACTIVATED",IF(J26&lt;&gt;"","?FAMILIAR",IF(F26="NEW",IF(ISNA(VLOOKUP(E26,#REF!,1,FALSE())),"?TYPE_IDENTIFIABLE","?REFERENTIAL"),"_")))))</f>
        <v/>
      </c>
      <c r="H26" s="23" t="str">
        <f aca="false">IF(J26&lt;&gt;1,"",IF(I26="SBJ","CB","?"))</f>
        <v/>
      </c>
      <c r="I26" s="27" t="str">
        <f aca="false">IF(OR(E26="",E26="!!!",F26="NEW"),"",INDEX(B5:B$22,-1+SUMPRODUCT(MAX(ROW(E5:E$22)*(E26=E5:E$22)))))</f>
        <v/>
      </c>
      <c r="J26" s="27" t="str">
        <f aca="true">IF(OR(E26="",E26="!!!",F26="NEW"),"",COUNTBLANK(OFFSET(A$1,,,SUMPRODUCT(MAX(ROW(E$2:E26)*(E26=E$2:E26)))))-COUNTBLANK(OFFSET(A$1,,,SUMPRODUCT(MAX(ROW(E$1:E25)*(E2=E$1:E25))))))</f>
        <v/>
      </c>
      <c r="K26" s="27" t="str">
        <f aca="false">IF(OR(E26="",E26="!!!",F26="NEW"),"",INDEX(J$1:J25,SUMPRODUCT(MAX(ROW(E$1:E25)*(E26=E$1:E25)))))</f>
        <v/>
      </c>
      <c r="L26" s="28"/>
    </row>
    <row r="27" customFormat="false" ht="15" hidden="false" customHeight="false" outlineLevel="0" collapsed="false">
      <c r="A27" s="21" t="s">
        <v>178</v>
      </c>
      <c r="E27" s="25"/>
      <c r="F27" s="26" t="str">
        <f aca="false">IF(OR(E27="",E27="!!!"),"",IF(NOT(ISNA(VLOOKUP(E27,E$1:E26,1,FALSE()))),"OLD",IF(AND(E27&lt;&gt;"",E27&lt;&gt;"!!!"),"NEW","")))</f>
        <v/>
      </c>
      <c r="G27" s="22" t="str">
        <f aca="false">IF(OR(E27="",E27="!!!"),"",IF(OR(J27=0,AND(J27=1,K27=1),AND(J27=1,I27="SBJ"),AND(J27=1,I27=0)),"?IN_FOCUS",IF(J27&lt;=2,"?ACTIVATED",IF(J27&lt;&gt;"","?FAMILIAR",IF(F27="NEW",IF(ISNA(VLOOKUP(E27,#REF!,1,FALSE())),"?TYPE_IDENTIFIABLE","?REFERENTIAL"),"_")))))</f>
        <v/>
      </c>
      <c r="H27" s="23" t="str">
        <f aca="false">IF(J27&lt;&gt;1,"",IF(I27="SBJ","CB","?"))</f>
        <v/>
      </c>
      <c r="I27" s="27" t="str">
        <f aca="false">IF(OR(E27="",E27="!!!",F27="NEW"),"",INDEX(B6:B$22,-1+SUMPRODUCT(MAX(ROW(E6:E$22)*(E27=E6:E$22)))))</f>
        <v/>
      </c>
      <c r="J27" s="27" t="str">
        <f aca="true">IF(OR(E27="",E27="!!!",F27="NEW"),"",COUNTBLANK(OFFSET(A$1,,,SUMPRODUCT(MAX(ROW(E$2:E27)*(E27=E$2:E27)))))-COUNTBLANK(OFFSET(A$1,,,SUMPRODUCT(MAX(ROW(E$1:E26)*(E2=E$1:E26))))))</f>
        <v/>
      </c>
      <c r="K27" s="27" t="str">
        <f aca="false">IF(OR(E27="",E27="!!!",F27="NEW"),"",INDEX(J$1:J26,SUMPRODUCT(MAX(ROW(E$1:E26)*(E27=E$1:E26)))))</f>
        <v/>
      </c>
      <c r="L27" s="28"/>
    </row>
    <row r="28" customFormat="false" ht="15" hidden="false" customHeight="false" outlineLevel="0" collapsed="false">
      <c r="A28" s="21" t="s">
        <v>179</v>
      </c>
      <c r="B28" s="29" t="s">
        <v>180</v>
      </c>
      <c r="C28" s="29" t="s">
        <v>181</v>
      </c>
      <c r="D28" s="29" t="s">
        <v>159</v>
      </c>
      <c r="E28" s="25" t="s">
        <v>16</v>
      </c>
      <c r="F28" s="30" t="str">
        <f aca="false">IF(OR(E28="",E28="!!!"),"",IF(NOT(ISNA(VLOOKUP(E28,E$1:E27,1,FALSE()))),"OLD",IF(AND(E28&lt;&gt;"",E28&lt;&gt;"!!!"),"NEW","")))</f>
        <v>OLD</v>
      </c>
      <c r="G28" s="22" t="s">
        <v>182</v>
      </c>
      <c r="H28" s="23" t="str">
        <f aca="false">IF(J28&lt;&gt;1,"",IF(I28="SBJ","CB","?"))</f>
        <v/>
      </c>
      <c r="I28" s="31" t="n">
        <f aca="false">IF(OR(E28="",E28="!!!",F28="NEW"),"",INDEX(B7:B$22,-1+SUMPRODUCT(MAX(ROW(E7:E$22)*(E28=E7:E$22)))))</f>
        <v>0</v>
      </c>
      <c r="J28" s="27" t="n">
        <f aca="true">IF(OR(E28="",E28="!!!",F28="NEW"),"",COUNTBLANK(OFFSET(A$1,,,SUMPRODUCT(MAX(ROW(E$2:E28)*(E28=E$2:E28)))))-COUNTBLANK(OFFSET(A$1,,,SUMPRODUCT(MAX(ROW(E$1:E27)*(E2=E$1:E27))))))</f>
        <v>0</v>
      </c>
      <c r="K28" s="31" t="str">
        <f aca="false">IF(OR(E28="",E28="!!!",F28="NEW"),"",INDEX(J$1:J27,SUMPRODUCT(MAX(ROW(E$1:E27)*(E28=E$1:E27)))))</f>
        <v/>
      </c>
      <c r="L28" s="28"/>
    </row>
    <row r="29" customFormat="false" ht="15" hidden="false" customHeight="false" outlineLevel="0" collapsed="false">
      <c r="A29" s="21" t="s">
        <v>183</v>
      </c>
      <c r="E29" s="25"/>
      <c r="F29" s="26" t="str">
        <f aca="false">IF(OR(E29="",E29="!!!"),"",IF(NOT(ISNA(VLOOKUP(E29,E$1:E28,1,FALSE()))),"OLD",IF(AND(E29&lt;&gt;"",E29&lt;&gt;"!!!"),"NEW","")))</f>
        <v/>
      </c>
      <c r="G29" s="22" t="str">
        <f aca="false">IF(OR(E29="",E29="!!!"),"",IF(OR(J29=0,AND(J29=1,K29=1),AND(J29=1,I29="SBJ"),AND(J29=1,I29=0)),"?IN_FOCUS",IF(J29&lt;=2,"?ACTIVATED",IF(J29&lt;&gt;"","?FAMILIAR",IF(F29="NEW",IF(ISNA(VLOOKUP(E29,#REF!,1,FALSE())),"?TYPE_IDENTIFIABLE","?REFERENTIAL"),"_")))))</f>
        <v/>
      </c>
      <c r="H29" s="23" t="str">
        <f aca="false">IF(J29&lt;&gt;1,"",IF(I29="SBJ","CB","?"))</f>
        <v/>
      </c>
      <c r="I29" s="27" t="str">
        <f aca="false">IF(OR(E29="",E29="!!!",F29="NEW"),"",INDEX(B8:B$22,-1+SUMPRODUCT(MAX(ROW(E8:E$22)*(E29=E8:E$22)))))</f>
        <v/>
      </c>
      <c r="J29" s="27" t="str">
        <f aca="true">IF(OR(E29="",E29="!!!",F29="NEW"),"",COUNTBLANK(OFFSET(A$1,,,SUMPRODUCT(MAX(ROW(E$2:E29)*(E29=E$2:E29)))))-COUNTBLANK(OFFSET(A$1,,,SUMPRODUCT(MAX(ROW(E$1:E28)*(E2=E$1:E28))))))</f>
        <v/>
      </c>
      <c r="K29" s="27" t="str">
        <f aca="false">IF(OR(E29="",E29="!!!",F29="NEW"),"",INDEX(J$1:J28,SUMPRODUCT(MAX(ROW(E$1:E28)*(E29=E$1:E28)))))</f>
        <v/>
      </c>
      <c r="L29" s="28"/>
    </row>
    <row r="30" customFormat="false" ht="15" hidden="false" customHeight="false" outlineLevel="0" collapsed="false">
      <c r="A30" s="21" t="s">
        <v>184</v>
      </c>
      <c r="E30" s="25"/>
      <c r="F30" s="26" t="str">
        <f aca="false">IF(OR(E30="",E30="!!!"),"",IF(NOT(ISNA(VLOOKUP(E30,E$1:E29,1,FALSE()))),"OLD",IF(AND(E30&lt;&gt;"",E30&lt;&gt;"!!!"),"NEW","")))</f>
        <v/>
      </c>
      <c r="G30" s="22" t="str">
        <f aca="false">IF(OR(E30="",E30="!!!"),"",IF(OR(J30=0,AND(J30=1,K30=1),AND(J30=1,I30="SBJ"),AND(J30=1,I30=0)),"?IN_FOCUS",IF(J30&lt;=2,"?ACTIVATED",IF(J30&lt;&gt;"","?FAMILIAR",IF(F30="NEW",IF(ISNA(VLOOKUP(E30,#REF!,1,FALSE())),"?TYPE_IDENTIFIABLE","?REFERENTIAL"),"_")))))</f>
        <v/>
      </c>
      <c r="H30" s="23" t="str">
        <f aca="false">IF(J30&lt;&gt;1,"",IF(I30="SBJ","CB","?"))</f>
        <v/>
      </c>
      <c r="I30" s="27" t="str">
        <f aca="false">IF(OR(E30="",E30="!!!",F30="NEW"),"",INDEX(B9:B$22,-1+SUMPRODUCT(MAX(ROW(E9:E$22)*(E30=E9:E$22)))))</f>
        <v/>
      </c>
      <c r="J30" s="27" t="str">
        <f aca="true">IF(OR(E30="",E30="!!!",F30="NEW"),"",COUNTBLANK(OFFSET(A$1,,,SUMPRODUCT(MAX(ROW(E$2:E30)*(E30=E$2:E30)))))-COUNTBLANK(OFFSET(A$1,,,SUMPRODUCT(MAX(ROW(E$1:E29)*(E2=E$1:E29))))))</f>
        <v/>
      </c>
      <c r="K30" s="27" t="str">
        <f aca="false">IF(OR(E30="",E30="!!!",F30="NEW"),"",INDEX(J$1:J29,SUMPRODUCT(MAX(ROW(E$1:E29)*(E30=E$1:E29)))))</f>
        <v/>
      </c>
      <c r="L30" s="28"/>
    </row>
    <row r="31" customFormat="false" ht="15" hidden="false" customHeight="false" outlineLevel="0" collapsed="false">
      <c r="A31" s="21" t="s">
        <v>179</v>
      </c>
      <c r="B31" s="29" t="s">
        <v>185</v>
      </c>
      <c r="C31" s="29" t="s">
        <v>181</v>
      </c>
      <c r="D31" s="29" t="s">
        <v>159</v>
      </c>
      <c r="E31" s="25" t="s">
        <v>16</v>
      </c>
      <c r="F31" s="30" t="str">
        <f aca="false">IF(OR(E31="",E31="!!!"),"",IF(NOT(ISNA(VLOOKUP(E31,E$1:E30,1,FALSE()))),"OLD",IF(AND(E31&lt;&gt;"",E31&lt;&gt;"!!!"),"NEW","")))</f>
        <v>OLD</v>
      </c>
      <c r="G31" s="22" t="s">
        <v>186</v>
      </c>
      <c r="H31" s="23" t="str">
        <f aca="false">IF(J31&lt;&gt;1,"",IF(I31="SBJ","CB","?"))</f>
        <v/>
      </c>
      <c r="I31" s="31" t="e">
        <f aca="false">IF(OR(E31="",E31="!!!",F31="NEW"),"",INDEX(B10:B$22,-1+SUMPRODUCT(MAX(ROW(E10:E$22)*(E31=E10:E$22)))))</f>
        <v>#VALUE!</v>
      </c>
      <c r="J31" s="27" t="n">
        <f aca="true">IF(OR(E31="",E31="!!!",F31="NEW"),"",COUNTBLANK(OFFSET(A$1,,,SUMPRODUCT(MAX(ROW(E$2:E31)*(E31=E$2:E31)))))-COUNTBLANK(OFFSET(A$1,,,SUMPRODUCT(MAX(ROW(E$1:E30)*(E2=E$1:E30))))))</f>
        <v>0</v>
      </c>
      <c r="K31" s="27" t="n">
        <f aca="false">IF(OR(E31="",E31="!!!",F31="NEW"),"",INDEX(J$1:J30,SUMPRODUCT(MAX(ROW(E$1:E30)*(E31=E$1:E30)))))</f>
        <v>0</v>
      </c>
      <c r="L31" s="28"/>
    </row>
    <row r="32" customFormat="false" ht="15" hidden="false" customHeight="false" outlineLevel="0" collapsed="false">
      <c r="A32" s="21" t="s">
        <v>187</v>
      </c>
      <c r="E32" s="25"/>
      <c r="F32" s="26" t="str">
        <f aca="false">IF(OR(E32="",E32="!!!"),"",IF(NOT(ISNA(VLOOKUP(E32,E$1:E31,1,FALSE()))),"OLD",IF(AND(E32&lt;&gt;"",E32&lt;&gt;"!!!"),"NEW","")))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7" t="str">
        <f aca="false">IF(OR(E32="",E32="!!!",F32="NEW"),"",INDEX(B11:B$22,-1+SUMPRODUCT(MAX(ROW(E11:E$22)*(E32=E11:E$22)))))</f>
        <v/>
      </c>
      <c r="J32" s="27" t="str">
        <f aca="true">IF(OR(E32="",E32="!!!",F32="NEW"),"",COUNTBLANK(OFFSET(A$1,,,SUMPRODUCT(MAX(ROW(E$2:E32)*(E32=E$2:E32)))))-COUNTBLANK(OFFSET(A$1,,,SUMPRODUCT(MAX(ROW(E$1:E31)*(E2=E$1:E31))))))</f>
        <v/>
      </c>
      <c r="K32" s="27" t="str">
        <f aca="false">IF(OR(E32="",E32="!!!",F32="NEW"),"",INDEX(J$1:J31,SUMPRODUCT(MAX(ROW(E$1:E31)*(E32=E$1:E31)))))</f>
        <v/>
      </c>
      <c r="L32" s="28"/>
    </row>
    <row r="33" customFormat="false" ht="15" hidden="false" customHeight="false" outlineLevel="0" collapsed="false">
      <c r="A33" s="21" t="s">
        <v>188</v>
      </c>
      <c r="E33" s="25"/>
      <c r="F33" s="26" t="str">
        <f aca="false">IF(OR(E33="",E33="!!!"),"",IF(NOT(ISNA(VLOOKUP(E33,E$1:E32,1,FALSE()))),"OLD",IF(AND(E33&lt;&gt;"",E33&lt;&gt;"!!!"),"NEW","")))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7" t="str">
        <f aca="false">IF(OR(E33="",E33="!!!",F33="NEW"),"",INDEX(B12:B$22,-1+SUMPRODUCT(MAX(ROW(E12:E$22)*(E33=E12:E$22)))))</f>
        <v/>
      </c>
      <c r="J33" s="27" t="str">
        <f aca="true">IF(OR(E33="",E33="!!!",F33="NEW"),"",COUNTBLANK(OFFSET(A$1,,,SUMPRODUCT(MAX(ROW(E$2:E33)*(E33=E$2:E33)))))-COUNTBLANK(OFFSET(A$1,,,SUMPRODUCT(MAX(ROW(E$1:E32)*(E2=E$1:E32))))))</f>
        <v/>
      </c>
      <c r="K33" s="27" t="str">
        <f aca="false">IF(OR(E33="",E33="!!!",F33="NEW"),"",INDEX(J$1:J32,SUMPRODUCT(MAX(ROW(E$1:E32)*(E33=E$1:E32)))))</f>
        <v/>
      </c>
      <c r="L33" s="28"/>
    </row>
    <row r="34" customFormat="false" ht="15" hidden="false" customHeight="false" outlineLevel="0" collapsed="false">
      <c r="A34" s="21" t="s">
        <v>189</v>
      </c>
      <c r="B34" s="29" t="s">
        <v>190</v>
      </c>
      <c r="C34" s="29" t="s">
        <v>154</v>
      </c>
      <c r="E34" s="25"/>
      <c r="F34" s="26" t="str">
        <f aca="false">IF(OR(E34="",E34="!!!"),"",IF(NOT(ISNA(VLOOKUP(E34,E$1:E33,1,FALSE()))),"OLD",IF(AND(E34&lt;&gt;"",E34&lt;&gt;"!!!"),"NEW","")))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7" t="str">
        <f aca="false">IF(OR(E34="",E34="!!!",F34="NEW"),"",INDEX(B13:B$22,-1+SUMPRODUCT(MAX(ROW(E13:E$22)*(E34=E13:E$22)))))</f>
        <v/>
      </c>
      <c r="J34" s="27" t="str">
        <f aca="true">IF(OR(E34="",E34="!!!",F34="NEW"),"",COUNTBLANK(OFFSET(A$1,,,SUMPRODUCT(MAX(ROW(E$2:E34)*(E34=E$2:E34)))))-COUNTBLANK(OFFSET(A$1,,,SUMPRODUCT(MAX(ROW(E$1:E33)*(E2=E$1:E33))))))</f>
        <v/>
      </c>
      <c r="K34" s="27" t="str">
        <f aca="false">IF(OR(E34="",E34="!!!",F34="NEW"),"",INDEX(J$1:J33,SUMPRODUCT(MAX(ROW(E$1:E33)*(E34=E$1:E33)))))</f>
        <v/>
      </c>
      <c r="L34" s="28"/>
    </row>
    <row r="35" customFormat="false" ht="15" hidden="false" customHeight="false" outlineLevel="0" collapsed="false">
      <c r="A35" s="21" t="s">
        <v>191</v>
      </c>
      <c r="E35" s="25"/>
      <c r="F35" s="26" t="str">
        <f aca="false">IF(OR(E35="",E35="!!!"),"",IF(NOT(ISNA(VLOOKUP(E35,E$1:E34,1,FALSE()))),"OLD",IF(AND(E35&lt;&gt;"",E35&lt;&gt;"!!!"),"NEW","")))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7" t="str">
        <f aca="false">IF(OR(E35="",E35="!!!",F35="NEW"),"",INDEX(B14:B$22,-1+SUMPRODUCT(MAX(ROW(E14:E$22)*(E35=E14:E$22)))))</f>
        <v/>
      </c>
      <c r="J35" s="27" t="str">
        <f aca="true">IF(OR(E35="",E35="!!!",F35="NEW"),"",COUNTBLANK(OFFSET(A$1,,,SUMPRODUCT(MAX(ROW(E$2:E35)*(E35=E$2:E35)))))-COUNTBLANK(OFFSET(A$1,,,SUMPRODUCT(MAX(ROW(E$1:E34)*(E2=E$1:E34))))))</f>
        <v/>
      </c>
      <c r="K35" s="27" t="str">
        <f aca="false">IF(OR(E35="",E35="!!!",F35="NEW"),"",INDEX(J$1:J34,SUMPRODUCT(MAX(ROW(E$1:E34)*(E35=E$1:E34)))))</f>
        <v/>
      </c>
      <c r="L35" s="28"/>
    </row>
    <row r="36" customFormat="false" ht="15" hidden="false" customHeight="false" outlineLevel="0" collapsed="false">
      <c r="A36" s="21" t="s">
        <v>192</v>
      </c>
      <c r="E36" s="25"/>
      <c r="F36" s="26" t="str">
        <f aca="false">IF(OR(E36="",E36="!!!"),"",IF(NOT(ISNA(VLOOKUP(E36,E$1:E35,1,FALSE()))),"OLD",IF(AND(E36&lt;&gt;"",E36&lt;&gt;"!!!"),"NEW","")))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7" t="str">
        <f aca="false">IF(OR(E36="",E36="!!!",F36="NEW"),"",INDEX(B15:B$22,-1+SUMPRODUCT(MAX(ROW(E15:E$22)*(E36=E15:E$22)))))</f>
        <v/>
      </c>
      <c r="J36" s="27" t="str">
        <f aca="true">IF(OR(E36="",E36="!!!",F36="NEW"),"",COUNTBLANK(OFFSET(A$1,,,SUMPRODUCT(MAX(ROW(E$2:E36)*(E36=E$2:E36)))))-COUNTBLANK(OFFSET(A$1,,,SUMPRODUCT(MAX(ROW(E$1:E35)*(E2=E$1:E35))))))</f>
        <v/>
      </c>
      <c r="K36" s="27" t="str">
        <f aca="false">IF(OR(E36="",E36="!!!",F36="NEW"),"",INDEX(J$1:J35,SUMPRODUCT(MAX(ROW(E$1:E35)*(E36=E$1:E35)))))</f>
        <v/>
      </c>
      <c r="L36" s="28"/>
    </row>
    <row r="37" customFormat="false" ht="15" hidden="false" customHeight="false" outlineLevel="0" collapsed="false">
      <c r="A37" s="21" t="s">
        <v>193</v>
      </c>
      <c r="E37" s="25"/>
      <c r="F37" s="26" t="str">
        <f aca="false">IF(OR(E37="",E37="!!!"),"",IF(NOT(ISNA(VLOOKUP(E37,E$1:E36,1,FALSE()))),"OLD",IF(AND(E37&lt;&gt;"",E37&lt;&gt;"!!!"),"NEW","")))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7" t="str">
        <f aca="false">IF(OR(E37="",E37="!!!",F37="NEW"),"",INDEX(B16:B$22,-1+SUMPRODUCT(MAX(ROW(E16:E$22)*(E37=E16:E$22)))))</f>
        <v/>
      </c>
      <c r="J37" s="27" t="str">
        <f aca="true">IF(OR(E37="",E37="!!!",F37="NEW"),"",COUNTBLANK(OFFSET(A$1,,,SUMPRODUCT(MAX(ROW(E$2:E37)*(E37=E$2:E37)))))-COUNTBLANK(OFFSET(A$1,,,SUMPRODUCT(MAX(ROW(E$1:E36)*(E2=E$1:E36))))))</f>
        <v/>
      </c>
      <c r="K37" s="27" t="str">
        <f aca="false">IF(OR(E37="",E37="!!!",F37="NEW"),"",INDEX(J$1:J36,SUMPRODUCT(MAX(ROW(E$1:E36)*(E37=E$1:E36)))))</f>
        <v/>
      </c>
      <c r="L37" s="28"/>
    </row>
    <row r="38" customFormat="false" ht="15" hidden="false" customHeight="false" outlineLevel="0" collapsed="false">
      <c r="A38" s="21"/>
      <c r="G38" s="22" t="str">
        <f aca="false">IF(OR(E38="",E38="!!!"),"",IF(OR(J38=0,AND(J38=1,K38=1),AND(J38=1,I38="SBJ"),AND(J38=1,I38=0)),"?IN_FOCUS",IF(J38&lt;=2,"?ACTIVATED",IF(J38&lt;&gt;"","?FAMILIAR",IF(F38="NEW",IF(ISNA(VLOOKUP(E38,#REF!,1,FALSE())),"?TYPE_IDENTIFIABLE","?REFERENTIAL"),"_")))))</f>
        <v/>
      </c>
      <c r="H38" s="23" t="str">
        <f aca="false">IF(J38&lt;&gt;1,"",IF(I38="SBJ","CB","?"))</f>
        <v/>
      </c>
    </row>
    <row r="39" customFormat="false" ht="15" hidden="false" customHeight="false" outlineLevel="0" collapsed="false">
      <c r="A39" s="21" t="s">
        <v>194</v>
      </c>
      <c r="G39" s="22" t="str">
        <f aca="false">IF(OR(E39="",E39="!!!"),"",IF(OR(J39=0,AND(J39=1,K39=1),AND(J39=1,I39="SBJ"),AND(J39=1,I39=0)),"?IN_FOCUS",IF(J39&lt;=2,"?ACTIVATED",IF(J39&lt;&gt;"","?FAMILIAR",IF(F39="NEW",IF(ISNA(VLOOKUP(E39,#REF!,1,FALSE())),"?TYPE_IDENTIFIABLE","?REFERENTIAL"),"_")))))</f>
        <v/>
      </c>
      <c r="H39" s="23" t="str">
        <f aca="false">IF(J39&lt;&gt;1,"",IF(I39="SBJ","CB","?"))</f>
        <v/>
      </c>
    </row>
    <row r="40" customFormat="false" ht="15" hidden="false" customHeight="false" outlineLevel="0" collapsed="false">
      <c r="A40" s="21" t="s">
        <v>195</v>
      </c>
      <c r="E40" s="25"/>
      <c r="F40" s="26" t="str">
        <f aca="false">IF(OR(E40="",E40="!!!"),"",IF(NOT(ISNA(VLOOKUP(E40,E$1:E39,1,FALSE()))),"OLD",IF(AND(E40&lt;&gt;"",E40&lt;&gt;"!!!"),"NEW","")))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7" t="str">
        <f aca="false">IF(OR(E40="",E40="!!!",F40="NEW"),"",INDEX(B2:B$39,-1+SUMPRODUCT(MAX(ROW(E2:E$39)*(E40=E2:E$39)))))</f>
        <v/>
      </c>
      <c r="J40" s="27" t="str">
        <f aca="true">IF(OR(E40="",E40="!!!",F40="NEW"),"",COUNTBLANK(OFFSET(A$1,,,SUMPRODUCT(MAX(ROW(E$2:E40)*(E40=E$2:E40)))))-COUNTBLANK(OFFSET(A$1,,,SUMPRODUCT(MAX(ROW(E$1:E39)*(E2=E$1:E39))))))</f>
        <v/>
      </c>
      <c r="K40" s="27" t="str">
        <f aca="false">IF(OR(E40="",E40="!!!",F40="NEW"),"",INDEX(J$1:J39,SUMPRODUCT(MAX(ROW(E$1:E39)*(E40=E$1:E39)))))</f>
        <v/>
      </c>
      <c r="L40" s="28"/>
    </row>
    <row r="41" customFormat="false" ht="15" hidden="false" customHeight="false" outlineLevel="0" collapsed="false">
      <c r="A41" s="21" t="s">
        <v>169</v>
      </c>
      <c r="E41" s="25"/>
      <c r="F41" s="26" t="str">
        <f aca="false">IF(OR(E41="",E41="!!!"),"",IF(NOT(ISNA(VLOOKUP(E41,E$1:E40,1,FALSE()))),"OLD",IF(AND(E41&lt;&gt;"",E41&lt;&gt;"!!!"),"NEW","")))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7" t="str">
        <f aca="false">IF(OR(E41="",E41="!!!",F41="NEW"),"",INDEX(B3:B$39,-1+SUMPRODUCT(MAX(ROW(E3:E$39)*(E41=E3:E$39)))))</f>
        <v/>
      </c>
      <c r="J41" s="27" t="str">
        <f aca="true">IF(OR(E41="",E41="!!!",F41="NEW"),"",COUNTBLANK(OFFSET(A$1,,,SUMPRODUCT(MAX(ROW(E$2:E41)*(E41=E$2:E41)))))-COUNTBLANK(OFFSET(A$1,,,SUMPRODUCT(MAX(ROW(E$1:E40)*(E2=E$1:E40))))))</f>
        <v/>
      </c>
      <c r="K41" s="27" t="str">
        <f aca="false">IF(OR(E41="",E41="!!!",F41="NEW"),"",INDEX(J$1:J40,SUMPRODUCT(MAX(ROW(E$1:E40)*(E41=E$1:E40)))))</f>
        <v/>
      </c>
      <c r="L41" s="28"/>
    </row>
    <row r="42" customFormat="false" ht="15" hidden="false" customHeight="false" outlineLevel="0" collapsed="false">
      <c r="A42" s="21" t="s">
        <v>196</v>
      </c>
      <c r="B42" s="29" t="s">
        <v>153</v>
      </c>
      <c r="C42" s="29" t="s">
        <v>197</v>
      </c>
      <c r="D42" s="29" t="s">
        <v>159</v>
      </c>
      <c r="E42" s="25" t="s">
        <v>198</v>
      </c>
      <c r="F42" s="30" t="str">
        <f aca="false">IF(OR(E42="",E42="!!!"),"",IF(NOT(ISNA(VLOOKUP(E42,E$1:E41,1,FALSE()))),"OLD",IF(AND(E42&lt;&gt;"",E42&lt;&gt;"!!!"),"NEW","")))</f>
        <v>NEW</v>
      </c>
      <c r="G42" s="22" t="s">
        <v>160</v>
      </c>
      <c r="H42" s="23" t="str">
        <f aca="false">IF(J42&lt;&gt;1,"",IF(I42="SBJ","CB","?"))</f>
        <v/>
      </c>
      <c r="I42" s="31" t="str">
        <f aca="false">IF(OR(E42="",E42="!!!",F42="NEW"),"",INDEX(B4:B$39,-1+SUMPRODUCT(MAX(ROW(E4:E$39)*(E42=E4:E$39)))))</f>
        <v/>
      </c>
      <c r="J42" s="31" t="str">
        <f aca="true">IF(OR(E42="",E42="!!!",F42="NEW"),"",COUNTBLANK(OFFSET(A$1,,,SUMPRODUCT(MAX(ROW(E$2:E42)*(E42=E$2:E42)))))-COUNTBLANK(OFFSET(A$1,,,SUMPRODUCT(MAX(ROW(E$1:E41)*(E2=E$1:E41))))))</f>
        <v/>
      </c>
      <c r="K42" s="31" t="str">
        <f aca="false">IF(OR(E42="",E42="!!!",F42="NEW"),"",INDEX(J$1:J41,SUMPRODUCT(MAX(ROW(E$1:E41)*(E42=E$1:E41)))))</f>
        <v/>
      </c>
      <c r="L42" s="28"/>
    </row>
    <row r="43" customFormat="false" ht="15" hidden="false" customHeight="false" outlineLevel="0" collapsed="false">
      <c r="A43" s="21" t="s">
        <v>165</v>
      </c>
      <c r="E43" s="25"/>
      <c r="F43" s="26" t="str">
        <f aca="false">IF(OR(E43="",E43="!!!"),"",IF(NOT(ISNA(VLOOKUP(E43,E$1:E42,1,FALSE()))),"OLD",IF(AND(E43&lt;&gt;"",E43&lt;&gt;"!!!"),"NEW","")))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7" t="str">
        <f aca="false">IF(OR(E43="",E43="!!!",F43="NEW"),"",INDEX(B5:B$39,-1+SUMPRODUCT(MAX(ROW(E5:E$39)*(E43=E5:E$39)))))</f>
        <v/>
      </c>
      <c r="J43" s="27" t="str">
        <f aca="true">IF(OR(E43="",E43="!!!",F43="NEW"),"",COUNTBLANK(OFFSET(A$1,,,SUMPRODUCT(MAX(ROW(E$2:E43)*(E43=E$2:E43)))))-COUNTBLANK(OFFSET(A$1,,,SUMPRODUCT(MAX(ROW(E$1:E42)*(E2=E$1:E42))))))</f>
        <v/>
      </c>
      <c r="K43" s="27" t="str">
        <f aca="false">IF(OR(E43="",E43="!!!",F43="NEW"),"",INDEX(J$1:J42,SUMPRODUCT(MAX(ROW(E$1:E42)*(E43=E$1:E42)))))</f>
        <v/>
      </c>
      <c r="L43" s="28"/>
    </row>
    <row r="44" customFormat="false" ht="15" hidden="false" customHeight="false" outlineLevel="0" collapsed="false">
      <c r="A44" s="21" t="s">
        <v>199</v>
      </c>
      <c r="E44" s="25"/>
      <c r="F44" s="26" t="str">
        <f aca="false">IF(OR(E44="",E44="!!!"),"",IF(NOT(ISNA(VLOOKUP(E44,E$1:E43,1,FALSE()))),"OLD",IF(AND(E44&lt;&gt;"",E44&lt;&gt;"!!!"),"NEW","")))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7" t="str">
        <f aca="false">IF(OR(E44="",E44="!!!",F44="NEW"),"",INDEX(B6:B$39,-1+SUMPRODUCT(MAX(ROW(E6:E$39)*(E44=E6:E$39)))))</f>
        <v/>
      </c>
      <c r="J44" s="27" t="str">
        <f aca="true">IF(OR(E44="",E44="!!!",F44="NEW"),"",COUNTBLANK(OFFSET(A$1,,,SUMPRODUCT(MAX(ROW(E$2:E44)*(E44=E$2:E44)))))-COUNTBLANK(OFFSET(A$1,,,SUMPRODUCT(MAX(ROW(E$1:E43)*(E2=E$1:E43))))))</f>
        <v/>
      </c>
      <c r="K44" s="27" t="str">
        <f aca="false">IF(OR(E44="",E44="!!!",F44="NEW"),"",INDEX(J$1:J43,SUMPRODUCT(MAX(ROW(E$1:E43)*(E44=E$1:E43)))))</f>
        <v/>
      </c>
      <c r="L44" s="28"/>
    </row>
    <row r="45" customFormat="false" ht="15" hidden="false" customHeight="false" outlineLevel="0" collapsed="false">
      <c r="A45" s="21" t="s">
        <v>168</v>
      </c>
      <c r="E45" s="25"/>
      <c r="F45" s="26" t="str">
        <f aca="false">IF(OR(E45="",E45="!!!"),"",IF(NOT(ISNA(VLOOKUP(E45,E$1:E44,1,FALSE()))),"OLD",IF(AND(E45&lt;&gt;"",E45&lt;&gt;"!!!"),"NEW","")))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7" t="str">
        <f aca="false">IF(OR(E45="",E45="!!!",F45="NEW"),"",INDEX(B7:B$39,-1+SUMPRODUCT(MAX(ROW(E7:E$39)*(E45=E7:E$39)))))</f>
        <v/>
      </c>
      <c r="J45" s="27" t="str">
        <f aca="true">IF(OR(E45="",E45="!!!",F45="NEW"),"",COUNTBLANK(OFFSET(A$1,,,SUMPRODUCT(MAX(ROW(E$2:E45)*(E45=E$2:E45)))))-COUNTBLANK(OFFSET(A$1,,,SUMPRODUCT(MAX(ROW(E$1:E44)*(E2=E$1:E44))))))</f>
        <v/>
      </c>
      <c r="K45" s="27" t="str">
        <f aca="false">IF(OR(E45="",E45="!!!",F45="NEW"),"",INDEX(J$1:J44,SUMPRODUCT(MAX(ROW(E$1:E44)*(E45=E$1:E44)))))</f>
        <v/>
      </c>
      <c r="L45" s="28"/>
    </row>
    <row r="46" customFormat="false" ht="15" hidden="false" customHeight="false" outlineLevel="0" collapsed="false">
      <c r="A46" s="21" t="s">
        <v>178</v>
      </c>
      <c r="E46" s="25"/>
      <c r="F46" s="26" t="str">
        <f aca="false">IF(OR(E46="",E46="!!!"),"",IF(NOT(ISNA(VLOOKUP(E46,E$1:E45,1,FALSE()))),"OLD",IF(AND(E46&lt;&gt;"",E46&lt;&gt;"!!!"),"NEW","")))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7" t="str">
        <f aca="false">IF(OR(E46="",E46="!!!",F46="NEW"),"",INDEX(B8:B$39,-1+SUMPRODUCT(MAX(ROW(E8:E$39)*(E46=E8:E$39)))))</f>
        <v/>
      </c>
      <c r="J46" s="27" t="str">
        <f aca="true">IF(OR(E46="",E46="!!!",F46="NEW"),"",COUNTBLANK(OFFSET(A$1,,,SUMPRODUCT(MAX(ROW(E$2:E46)*(E46=E$2:E46)))))-COUNTBLANK(OFFSET(A$1,,,SUMPRODUCT(MAX(ROW(E$1:E45)*(E2=E$1:E45))))))</f>
        <v/>
      </c>
      <c r="K46" s="27" t="str">
        <f aca="false">IF(OR(E46="",E46="!!!",F46="NEW"),"",INDEX(J$1:J45,SUMPRODUCT(MAX(ROW(E$1:E45)*(E46=E$1:E45)))))</f>
        <v/>
      </c>
      <c r="L46" s="28"/>
    </row>
    <row r="47" customFormat="false" ht="15" hidden="false" customHeight="false" outlineLevel="0" collapsed="false">
      <c r="A47" s="21" t="s">
        <v>179</v>
      </c>
      <c r="B47" s="29" t="s">
        <v>180</v>
      </c>
      <c r="C47" s="29" t="s">
        <v>181</v>
      </c>
      <c r="D47" s="29" t="s">
        <v>159</v>
      </c>
      <c r="E47" s="25" t="s">
        <v>16</v>
      </c>
      <c r="F47" s="30" t="str">
        <f aca="false">IF(OR(E47="",E47="!!!"),"",IF(NOT(ISNA(VLOOKUP(E47,E$1:E46,1,FALSE()))),"OLD",IF(AND(E47&lt;&gt;"",E47&lt;&gt;"!!!"),"NEW","")))</f>
        <v>OLD</v>
      </c>
      <c r="G47" s="22" t="s">
        <v>182</v>
      </c>
      <c r="H47" s="23" t="s">
        <v>147</v>
      </c>
      <c r="I47" s="31" t="n">
        <f aca="false">IF(OR(E47="",E47="!!!",F47="NEW"),"",INDEX(B9:B$39,-1+SUMPRODUCT(MAX(ROW(E9:E$39)*(E47=E9:E$39)))))</f>
        <v>0</v>
      </c>
      <c r="J47" s="27" t="n">
        <f aca="true">IF(OR(E47="",E47="!!!",F47="NEW"),"",COUNTBLANK(OFFSET(A$1,,,SUMPRODUCT(MAX(ROW(E$2:E47)*(E47=E$2:E47)))))-COUNTBLANK(OFFSET(A$1,,,SUMPRODUCT(MAX(ROW(E$1:E46)*(E2=E$1:E46))))))</f>
        <v>0</v>
      </c>
      <c r="K47" s="27" t="n">
        <f aca="false">IF(OR(E47="",E47="!!!",F47="NEW"),"",INDEX(J$1:J46,SUMPRODUCT(MAX(ROW(E$1:E46)*(E47=E$1:E46)))))</f>
        <v>0</v>
      </c>
      <c r="L47" s="28"/>
    </row>
    <row r="48" customFormat="false" ht="15" hidden="false" customHeight="false" outlineLevel="0" collapsed="false">
      <c r="A48" s="21" t="s">
        <v>200</v>
      </c>
      <c r="E48" s="25"/>
      <c r="F48" s="26" t="str">
        <f aca="false">IF(OR(E48="",E48="!!!"),"",IF(NOT(ISNA(VLOOKUP(E48,E$1:E47,1,FALSE()))),"OLD",IF(AND(E48&lt;&gt;"",E48&lt;&gt;"!!!"),"NEW","")))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7" t="str">
        <f aca="false">IF(OR(E48="",E48="!!!",F48="NEW"),"",INDEX(B10:B$39,-1+SUMPRODUCT(MAX(ROW(E10:E$39)*(E48=E10:E$39)))))</f>
        <v/>
      </c>
      <c r="J48" s="27" t="str">
        <f aca="true">IF(OR(E48="",E48="!!!",F48="NEW"),"",COUNTBLANK(OFFSET(A$1,,,SUMPRODUCT(MAX(ROW(E$2:E48)*(E48=E$2:E48)))))-COUNTBLANK(OFFSET(A$1,,,SUMPRODUCT(MAX(ROW(E$1:E47)*(E2=E$1:E47))))))</f>
        <v/>
      </c>
      <c r="K48" s="27" t="str">
        <f aca="false">IF(OR(E48="",E48="!!!",F48="NEW"),"",INDEX(J$1:J47,SUMPRODUCT(MAX(ROW(E$1:E47)*(E48=E$1:E47)))))</f>
        <v/>
      </c>
      <c r="L48" s="28"/>
    </row>
    <row r="49" customFormat="false" ht="15" hidden="false" customHeight="false" outlineLevel="0" collapsed="false">
      <c r="A49" s="21" t="s">
        <v>175</v>
      </c>
      <c r="E49" s="25"/>
      <c r="F49" s="26" t="str">
        <f aca="false">IF(OR(E49="",E49="!!!"),"",IF(NOT(ISNA(VLOOKUP(E49,E$1:E48,1,FALSE()))),"OLD",IF(AND(E49&lt;&gt;"",E49&lt;&gt;"!!!"),"NEW","")))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7" t="str">
        <f aca="false">IF(OR(E49="",E49="!!!",F49="NEW"),"",INDEX(B11:B$39,-1+SUMPRODUCT(MAX(ROW(E11:E$39)*(E49=E11:E$39)))))</f>
        <v/>
      </c>
      <c r="J49" s="27" t="str">
        <f aca="true">IF(OR(E49="",E49="!!!",F49="NEW"),"",COUNTBLANK(OFFSET(A$1,,,SUMPRODUCT(MAX(ROW(E$2:E49)*(E49=E$2:E49)))))-COUNTBLANK(OFFSET(A$1,,,SUMPRODUCT(MAX(ROW(E$1:E48)*(E2=E$1:E48))))))</f>
        <v/>
      </c>
      <c r="K49" s="27" t="str">
        <f aca="false">IF(OR(E49="",E49="!!!",F49="NEW"),"",INDEX(J$1:J48,SUMPRODUCT(MAX(ROW(E$1:E48)*(E49=E$1:E48)))))</f>
        <v/>
      </c>
      <c r="L49" s="28"/>
    </row>
    <row r="50" customFormat="false" ht="15" hidden="false" customHeight="false" outlineLevel="0" collapsed="false">
      <c r="A50" s="21" t="s">
        <v>201</v>
      </c>
      <c r="E50" s="25"/>
      <c r="F50" s="26" t="str">
        <f aca="false">IF(OR(E50="",E50="!!!"),"",IF(NOT(ISNA(VLOOKUP(E50,E$1:E49,1,FALSE()))),"OLD",IF(AND(E50&lt;&gt;"",E50&lt;&gt;"!!!"),"NEW","")))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7" t="str">
        <f aca="false">IF(OR(E50="",E50="!!!",F50="NEW"),"",INDEX(B12:B$39,-1+SUMPRODUCT(MAX(ROW(E12:E$39)*(E50=E12:E$39)))))</f>
        <v/>
      </c>
      <c r="J50" s="27" t="str">
        <f aca="true">IF(OR(E50="",E50="!!!",F50="NEW"),"",COUNTBLANK(OFFSET(A$1,,,SUMPRODUCT(MAX(ROW(E$2:E50)*(E50=E$2:E50)))))-COUNTBLANK(OFFSET(A$1,,,SUMPRODUCT(MAX(ROW(E$1:E49)*(E2=E$1:E49))))))</f>
        <v/>
      </c>
      <c r="K50" s="27" t="str">
        <f aca="false">IF(OR(E50="",E50="!!!",F50="NEW"),"",INDEX(J$1:J49,SUMPRODUCT(MAX(ROW(E$1:E49)*(E50=E$1:E49)))))</f>
        <v/>
      </c>
      <c r="L50" s="28"/>
    </row>
    <row r="51" customFormat="false" ht="15" hidden="false" customHeight="false" outlineLevel="0" collapsed="false">
      <c r="A51" s="21" t="s">
        <v>202</v>
      </c>
      <c r="B51" s="29" t="s">
        <v>203</v>
      </c>
      <c r="C51" s="29" t="s">
        <v>164</v>
      </c>
      <c r="E51" s="25"/>
      <c r="F51" s="26" t="str">
        <f aca="false">IF(OR(E51="",E51="!!!"),"",IF(NOT(ISNA(VLOOKUP(E51,E$1:E50,1,FALSE()))),"OLD",IF(AND(E51&lt;&gt;"",E51&lt;&gt;"!!!"),"NEW","")))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7" t="str">
        <f aca="false">IF(OR(E51="",E51="!!!",F51="NEW"),"",INDEX(B13:B$39,-1+SUMPRODUCT(MAX(ROW(E13:E$39)*(E51=E13:E$39)))))</f>
        <v/>
      </c>
      <c r="J51" s="27" t="str">
        <f aca="true">IF(OR(E51="",E51="!!!",F51="NEW"),"",COUNTBLANK(OFFSET(A$1,,,SUMPRODUCT(MAX(ROW(E$2:E51)*(E51=E$2:E51)))))-COUNTBLANK(OFFSET(A$1,,,SUMPRODUCT(MAX(ROW(E$1:E50)*(E2=E$1:E50))))))</f>
        <v/>
      </c>
      <c r="K51" s="27" t="str">
        <f aca="false">IF(OR(E51="",E51="!!!",F51="NEW"),"",INDEX(J$1:J50,SUMPRODUCT(MAX(ROW(E$1:E50)*(E51=E$1:E50)))))</f>
        <v/>
      </c>
      <c r="L51" s="28"/>
    </row>
    <row r="52" customFormat="false" ht="15" hidden="false" customHeight="false" outlineLevel="0" collapsed="false">
      <c r="A52" s="21" t="s">
        <v>204</v>
      </c>
      <c r="E52" s="25"/>
      <c r="F52" s="26" t="str">
        <f aca="false">IF(OR(E52="",E52="!!!"),"",IF(NOT(ISNA(VLOOKUP(E52,E$1:E51,1,FALSE()))),"OLD",IF(AND(E52&lt;&gt;"",E52&lt;&gt;"!!!"),"NEW","")))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7" t="str">
        <f aca="false">IF(OR(E52="",E52="!!!",F52="NEW"),"",INDEX(B14:B$39,-1+SUMPRODUCT(MAX(ROW(E14:E$39)*(E52=E14:E$39)))))</f>
        <v/>
      </c>
      <c r="J52" s="27" t="str">
        <f aca="true">IF(OR(E52="",E52="!!!",F52="NEW"),"",COUNTBLANK(OFFSET(A$1,,,SUMPRODUCT(MAX(ROW(E$2:E52)*(E52=E$2:E52)))))-COUNTBLANK(OFFSET(A$1,,,SUMPRODUCT(MAX(ROW(E$1:E51)*(E2=E$1:E51))))))</f>
        <v/>
      </c>
      <c r="K52" s="27" t="str">
        <f aca="false">IF(OR(E52="",E52="!!!",F52="NEW"),"",INDEX(J$1:J51,SUMPRODUCT(MAX(ROW(E$1:E51)*(E52=E$1:E51)))))</f>
        <v/>
      </c>
      <c r="L52" s="28"/>
    </row>
    <row r="53" customFormat="false" ht="15" hidden="false" customHeight="false" outlineLevel="0" collapsed="false">
      <c r="A53" s="21" t="s">
        <v>205</v>
      </c>
      <c r="E53" s="25"/>
      <c r="F53" s="26" t="str">
        <f aca="false">IF(OR(E53="",E53="!!!"),"",IF(NOT(ISNA(VLOOKUP(E53,E$1:E52,1,FALSE()))),"OLD",IF(AND(E53&lt;&gt;"",E53&lt;&gt;"!!!"),"NEW","")))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7" t="str">
        <f aca="false">IF(OR(E53="",E53="!!!",F53="NEW"),"",INDEX(B15:B$39,-1+SUMPRODUCT(MAX(ROW(E15:E$39)*(E53=E15:E$39)))))</f>
        <v/>
      </c>
      <c r="J53" s="27" t="str">
        <f aca="true">IF(OR(E53="",E53="!!!",F53="NEW"),"",COUNTBLANK(OFFSET(A$1,,,SUMPRODUCT(MAX(ROW(E$2:E53)*(E53=E$2:E53)))))-COUNTBLANK(OFFSET(A$1,,,SUMPRODUCT(MAX(ROW(E$1:E52)*(E2=E$1:E52))))))</f>
        <v/>
      </c>
      <c r="K53" s="27" t="str">
        <f aca="false">IF(OR(E53="",E53="!!!",F53="NEW"),"",INDEX(J$1:J52,SUMPRODUCT(MAX(ROW(E$1:E52)*(E53=E$1:E52)))))</f>
        <v/>
      </c>
      <c r="L53" s="28"/>
    </row>
    <row r="54" customFormat="false" ht="15" hidden="false" customHeight="false" outlineLevel="0" collapsed="false">
      <c r="A54" s="21" t="s">
        <v>206</v>
      </c>
      <c r="B54" s="29" t="s">
        <v>153</v>
      </c>
      <c r="C54" s="29" t="s">
        <v>154</v>
      </c>
      <c r="E54" s="25"/>
      <c r="F54" s="26" t="str">
        <f aca="false">IF(OR(E54="",E54="!!!"),"",IF(NOT(ISNA(VLOOKUP(E54,E$1:E53,1,FALSE()))),"OLD",IF(AND(E54&lt;&gt;"",E54&lt;&gt;"!!!"),"NEW","")))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7" t="str">
        <f aca="false">IF(OR(E54="",E54="!!!",F54="NEW"),"",INDEX(B16:B$39,-1+SUMPRODUCT(MAX(ROW(E16:E$39)*(E54=E16:E$39)))))</f>
        <v/>
      </c>
      <c r="J54" s="27" t="str">
        <f aca="true">IF(OR(E54="",E54="!!!",F54="NEW"),"",COUNTBLANK(OFFSET(A$1,,,SUMPRODUCT(MAX(ROW(E$2:E54)*(E54=E$2:E54)))))-COUNTBLANK(OFFSET(A$1,,,SUMPRODUCT(MAX(ROW(E$1:E53)*(E2=E$1:E53))))))</f>
        <v/>
      </c>
      <c r="K54" s="27" t="str">
        <f aca="false">IF(OR(E54="",E54="!!!",F54="NEW"),"",INDEX(J$1:J53,SUMPRODUCT(MAX(ROW(E$1:E53)*(E54=E$1:E53)))))</f>
        <v/>
      </c>
      <c r="L54" s="28"/>
    </row>
    <row r="55" customFormat="false" ht="15" hidden="false" customHeight="false" outlineLevel="0" collapsed="false">
      <c r="A55" s="21" t="s">
        <v>207</v>
      </c>
      <c r="E55" s="25"/>
      <c r="F55" s="26" t="str">
        <f aca="false">IF(OR(E55="",E55="!!!"),"",IF(NOT(ISNA(VLOOKUP(E55,E$1:E54,1,FALSE()))),"OLD",IF(AND(E55&lt;&gt;"",E55&lt;&gt;"!!!"),"NEW","")))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7" t="str">
        <f aca="false">IF(OR(E55="",E55="!!!",F55="NEW"),"",INDEX(B17:B$39,-1+SUMPRODUCT(MAX(ROW(E17:E$39)*(E55=E17:E$39)))))</f>
        <v/>
      </c>
      <c r="J55" s="27" t="str">
        <f aca="true">IF(OR(E55="",E55="!!!",F55="NEW"),"",COUNTBLANK(OFFSET(A$1,,,SUMPRODUCT(MAX(ROW(E$2:E55)*(E55=E$2:E55)))))-COUNTBLANK(OFFSET(A$1,,,SUMPRODUCT(MAX(ROW(E$1:E54)*(E2=E$1:E54))))))</f>
        <v/>
      </c>
      <c r="K55" s="27" t="str">
        <f aca="false">IF(OR(E55="",E55="!!!",F55="NEW"),"",INDEX(J$1:J54,SUMPRODUCT(MAX(ROW(E$1:E54)*(E55=E$1:E54)))))</f>
        <v/>
      </c>
      <c r="L55" s="28"/>
    </row>
    <row r="56" customFormat="false" ht="15" hidden="false" customHeight="false" outlineLevel="0" collapsed="false">
      <c r="A56" s="21" t="s">
        <v>208</v>
      </c>
      <c r="B56" s="29" t="s">
        <v>190</v>
      </c>
      <c r="C56" s="29" t="s">
        <v>167</v>
      </c>
      <c r="E56" s="25"/>
      <c r="F56" s="26" t="str">
        <f aca="false">IF(OR(E56="",E56="!!!"),"",IF(NOT(ISNA(VLOOKUP(E56,E$1:E55,1,FALSE()))),"OLD",IF(AND(E56&lt;&gt;"",E56&lt;&gt;"!!!"),"NEW","")))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7" t="str">
        <f aca="false">IF(OR(E56="",E56="!!!",F56="NEW"),"",INDEX(B18:B$39,-1+SUMPRODUCT(MAX(ROW(E18:E$39)*(E56=E18:E$39)))))</f>
        <v/>
      </c>
      <c r="J56" s="27" t="str">
        <f aca="true">IF(OR(E56="",E56="!!!",F56="NEW"),"",COUNTBLANK(OFFSET(A$1,,,SUMPRODUCT(MAX(ROW(E$2:E56)*(E56=E$2:E56)))))-COUNTBLANK(OFFSET(A$1,,,SUMPRODUCT(MAX(ROW(E$1:E55)*(E2=E$1:E55))))))</f>
        <v/>
      </c>
      <c r="K56" s="27" t="str">
        <f aca="false">IF(OR(E56="",E56="!!!",F56="NEW"),"",INDEX(J$1:J55,SUMPRODUCT(MAX(ROW(E$1:E55)*(E56=E$1:E55)))))</f>
        <v/>
      </c>
      <c r="L56" s="28"/>
    </row>
    <row r="57" customFormat="false" ht="15" hidden="false" customHeight="false" outlineLevel="0" collapsed="false">
      <c r="A57" s="21" t="s">
        <v>165</v>
      </c>
      <c r="E57" s="25"/>
      <c r="F57" s="26" t="str">
        <f aca="false">IF(OR(E57="",E57="!!!"),"",IF(NOT(ISNA(VLOOKUP(E57,E$1:E56,1,FALSE()))),"OLD",IF(AND(E57&lt;&gt;"",E57&lt;&gt;"!!!"),"NEW","")))</f>
        <v/>
      </c>
      <c r="G57" s="22" t="str">
        <f aca="false">IF(OR(E57="",E57="!!!"),"",IF(OR(J57=0,AND(J57=1,K57=1),AND(J57=1,I57="SBJ"),AND(J57=1,I57=0)),"?IN_FOCUS",IF(J57&lt;=2,"?ACTIVATED",IF(J57&lt;&gt;"","?FAMILIAR",IF(F57="NEW",IF(ISNA(VLOOKUP(E57,#REF!,1,FALSE())),"?TYPE_IDENTIFIABLE","?REFERENTIAL"),"_")))))</f>
        <v/>
      </c>
      <c r="H57" s="23" t="str">
        <f aca="false">IF(J57&lt;&gt;1,"",IF(I57="SBJ","CB","?"))</f>
        <v/>
      </c>
      <c r="I57" s="27" t="str">
        <f aca="false">IF(OR(E57="",E57="!!!",F57="NEW"),"",INDEX(B19:B$39,-1+SUMPRODUCT(MAX(ROW(E19:E$39)*(E57=E19:E$39)))))</f>
        <v/>
      </c>
      <c r="J57" s="27" t="str">
        <f aca="true">IF(OR(E57="",E57="!!!",F57="NEW"),"",COUNTBLANK(OFFSET(A$1,,,SUMPRODUCT(MAX(ROW(E$2:E57)*(E57=E$2:E57)))))-COUNTBLANK(OFFSET(A$1,,,SUMPRODUCT(MAX(ROW(E$1:E56)*(E2=E$1:E56))))))</f>
        <v/>
      </c>
      <c r="K57" s="27" t="str">
        <f aca="false">IF(OR(E57="",E57="!!!",F57="NEW"),"",INDEX(J$1:J56,SUMPRODUCT(MAX(ROW(E$1:E56)*(E57=E$1:E56)))))</f>
        <v/>
      </c>
      <c r="L57" s="28"/>
    </row>
    <row r="58" customFormat="false" ht="15" hidden="false" customHeight="false" outlineLevel="0" collapsed="false">
      <c r="A58" s="21" t="s">
        <v>209</v>
      </c>
      <c r="B58" s="29" t="s">
        <v>210</v>
      </c>
      <c r="C58" s="29" t="s">
        <v>167</v>
      </c>
      <c r="E58" s="25"/>
      <c r="F58" s="26" t="str">
        <f aca="false">IF(OR(E58="",E58="!!!"),"",IF(NOT(ISNA(VLOOKUP(E58,E$1:E57,1,FALSE()))),"OLD",IF(AND(E58&lt;&gt;"",E58&lt;&gt;"!!!"),"NEW","")))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7" t="str">
        <f aca="false">IF(OR(E58="",E58="!!!",F58="NEW"),"",INDEX(B20:B$39,-1+SUMPRODUCT(MAX(ROW(E20:E$39)*(E58=E20:E$39)))))</f>
        <v/>
      </c>
      <c r="J58" s="27" t="str">
        <f aca="true">IF(OR(E58="",E58="!!!",F58="NEW"),"",COUNTBLANK(OFFSET(A$1,,,SUMPRODUCT(MAX(ROW(E$2:E58)*(E58=E$2:E58)))))-COUNTBLANK(OFFSET(A$1,,,SUMPRODUCT(MAX(ROW(E$1:E57)*(E2=E$1:E57))))))</f>
        <v/>
      </c>
      <c r="K58" s="27" t="str">
        <f aca="false">IF(OR(E58="",E58="!!!",F58="NEW"),"",INDEX(J$1:J57,SUMPRODUCT(MAX(ROW(E$1:E57)*(E58=E$1:E57)))))</f>
        <v/>
      </c>
      <c r="L58" s="28"/>
    </row>
    <row r="59" customFormat="false" ht="15" hidden="false" customHeight="false" outlineLevel="0" collapsed="false">
      <c r="A59" s="21" t="s">
        <v>211</v>
      </c>
      <c r="E59" s="25"/>
      <c r="F59" s="26" t="str">
        <f aca="false">IF(OR(E59="",E59="!!!"),"",IF(NOT(ISNA(VLOOKUP(E59,E$1:E58,1,FALSE()))),"OLD",IF(AND(E59&lt;&gt;"",E59&lt;&gt;"!!!"),"NEW","")))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7" t="str">
        <f aca="false">IF(OR(E59="",E59="!!!",F59="NEW"),"",INDEX(B21:B$39,-1+SUMPRODUCT(MAX(ROW(E21:E$39)*(E59=E21:E$39)))))</f>
        <v/>
      </c>
      <c r="J59" s="27" t="str">
        <f aca="true">IF(OR(E59="",E59="!!!",F59="NEW"),"",COUNTBLANK(OFFSET(A$1,,,SUMPRODUCT(MAX(ROW(E$2:E59)*(E59=E$2:E59)))))-COUNTBLANK(OFFSET(A$1,,,SUMPRODUCT(MAX(ROW(E$1:E58)*(E2=E$1:E58))))))</f>
        <v/>
      </c>
      <c r="K59" s="27" t="str">
        <f aca="false">IF(OR(E59="",E59="!!!",F59="NEW"),"",INDEX(J$1:J58,SUMPRODUCT(MAX(ROW(E$1:E58)*(E59=E$1:E58)))))</f>
        <v/>
      </c>
      <c r="L59" s="28"/>
    </row>
    <row r="60" customFormat="false" ht="15" hidden="false" customHeight="false" outlineLevel="0" collapsed="false">
      <c r="A60" s="21" t="s">
        <v>192</v>
      </c>
      <c r="E60" s="25"/>
      <c r="F60" s="26" t="str">
        <f aca="false">IF(OR(E60="",E60="!!!"),"",IF(NOT(ISNA(VLOOKUP(E60,E$1:E59,1,FALSE()))),"OLD",IF(AND(E60&lt;&gt;"",E60&lt;&gt;"!!!"),"NEW","")))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7" t="str">
        <f aca="false">IF(OR(E60="",E60="!!!",F60="NEW"),"",INDEX(B22:B$39,-1+SUMPRODUCT(MAX(ROW(E22:E$39)*(E60=E22:E$39)))))</f>
        <v/>
      </c>
      <c r="J60" s="27" t="str">
        <f aca="true">IF(OR(E60="",E60="!!!",F60="NEW"),"",COUNTBLANK(OFFSET(A$1,,,SUMPRODUCT(MAX(ROW(E$2:E60)*(E60=E$2:E60)))))-COUNTBLANK(OFFSET(A$1,,,SUMPRODUCT(MAX(ROW(E$1:E59)*(E2=E$1:E59))))))</f>
        <v/>
      </c>
      <c r="K60" s="27" t="str">
        <f aca="false">IF(OR(E60="",E60="!!!",F60="NEW"),"",INDEX(J$1:J59,SUMPRODUCT(MAX(ROW(E$1:E59)*(E60=E$1:E59)))))</f>
        <v/>
      </c>
      <c r="L60" s="28"/>
    </row>
    <row r="61" customFormat="false" ht="15" hidden="false" customHeight="false" outlineLevel="0" collapsed="false">
      <c r="A61" s="21" t="s">
        <v>212</v>
      </c>
      <c r="E61" s="25"/>
      <c r="F61" s="26" t="str">
        <f aca="false">IF(OR(E61="",E61="!!!"),"",IF(NOT(ISNA(VLOOKUP(E61,E$1:E60,1,FALSE()))),"OLD",IF(AND(E61&lt;&gt;"",E61&lt;&gt;"!!!"),"NEW","")))</f>
        <v/>
      </c>
      <c r="G61" s="22" t="str">
        <f aca="false">IF(OR(E61="",E61="!!!"),"",IF(OR(J61=0,AND(J61=1,K61=1),AND(J61=1,I61="SBJ"),AND(J61=1,I61=0)),"?IN_FOCUS",IF(J61&lt;=2,"?ACTIVATED",IF(J61&lt;&gt;"","?FAMILIAR",IF(F61="NEW",IF(ISNA(VLOOKUP(E61,#REF!,1,FALSE())),"?TYPE_IDENTIFIABLE","?REFERENTIAL"),"_")))))</f>
        <v/>
      </c>
      <c r="H61" s="23" t="str">
        <f aca="false">IF(J61&lt;&gt;1,"",IF(I61="SBJ","CB","?"))</f>
        <v/>
      </c>
      <c r="I61" s="27" t="str">
        <f aca="false">IF(OR(E61="",E61="!!!",F61="NEW"),"",INDEX(B23:B$39,-1+SUMPRODUCT(MAX(ROW(E23:E$39)*(E61=E23:E$39)))))</f>
        <v/>
      </c>
      <c r="J61" s="27" t="str">
        <f aca="true">IF(OR(E61="",E61="!!!",F61="NEW"),"",COUNTBLANK(OFFSET(A$1,,,SUMPRODUCT(MAX(ROW(E$2:E61)*(E61=E$2:E61)))))-COUNTBLANK(OFFSET(A$1,,,SUMPRODUCT(MAX(ROW(E$1:E60)*(E2=E$1:E60))))))</f>
        <v/>
      </c>
      <c r="K61" s="27" t="str">
        <f aca="false">IF(OR(E61="",E61="!!!",F61="NEW"),"",INDEX(J$1:J60,SUMPRODUCT(MAX(ROW(E$1:E60)*(E61=E$1:E60)))))</f>
        <v/>
      </c>
      <c r="L61" s="28"/>
    </row>
    <row r="62" customFormat="false" ht="15" hidden="false" customHeight="false" outlineLevel="0" collapsed="false">
      <c r="A62" s="21" t="s">
        <v>169</v>
      </c>
      <c r="E62" s="25"/>
      <c r="F62" s="26" t="str">
        <f aca="false">IF(OR(E62="",E62="!!!"),"",IF(NOT(ISNA(VLOOKUP(E62,E$1:E61,1,FALSE()))),"OLD",IF(AND(E62&lt;&gt;"",E62&lt;&gt;"!!!"),"NEW","")))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7" t="str">
        <f aca="false">IF(OR(E62="",E62="!!!",F62="NEW"),"",INDEX(B24:B$39,-1+SUMPRODUCT(MAX(ROW(E24:E$39)*(E62=E24:E$39)))))</f>
        <v/>
      </c>
      <c r="J62" s="27" t="str">
        <f aca="true">IF(OR(E62="",E62="!!!",F62="NEW"),"",COUNTBLANK(OFFSET(A$1,,,SUMPRODUCT(MAX(ROW(E$2:E62)*(E62=E$2:E62)))))-COUNTBLANK(OFFSET(A$1,,,SUMPRODUCT(MAX(ROW(E$1:E61)*(E2=E$1:E61))))))</f>
        <v/>
      </c>
      <c r="K62" s="27" t="str">
        <f aca="false">IF(OR(E62="",E62="!!!",F62="NEW"),"",INDEX(J$1:J61,SUMPRODUCT(MAX(ROW(E$1:E61)*(E62=E$1:E61)))))</f>
        <v/>
      </c>
      <c r="L62" s="28"/>
    </row>
    <row r="63" customFormat="false" ht="15" hidden="false" customHeight="false" outlineLevel="0" collapsed="false">
      <c r="A63" s="21" t="s">
        <v>213</v>
      </c>
      <c r="B63" s="29" t="s">
        <v>210</v>
      </c>
      <c r="C63" s="29" t="s">
        <v>171</v>
      </c>
      <c r="D63" s="29" t="s">
        <v>159</v>
      </c>
      <c r="E63" s="25" t="s">
        <v>214</v>
      </c>
      <c r="F63" s="30" t="str">
        <f aca="false">IF(OR(E63="",E63="!!!"),"",IF(NOT(ISNA(VLOOKUP(E63,E$1:E62,1,FALSE()))),"OLD",IF(AND(E63&lt;&gt;"",E63&lt;&gt;"!!!"),"NEW","")))</f>
        <v>NEW</v>
      </c>
      <c r="G63" s="22" t="s">
        <v>160</v>
      </c>
      <c r="H63" s="23" t="str">
        <f aca="false">IF(J63&lt;&gt;1,"",IF(I63="SBJ","CB","?"))</f>
        <v/>
      </c>
      <c r="I63" s="31" t="str">
        <f aca="false">IF(OR(E63="",E63="!!!",F63="NEW"),"",INDEX(B25:B$39,-1+SUMPRODUCT(MAX(ROW(E25:E$39)*(E63=E25:E$39)))))</f>
        <v/>
      </c>
      <c r="J63" s="31" t="str">
        <f aca="true">IF(OR(E63="",E63="!!!",F63="NEW"),"",COUNTBLANK(OFFSET(A$1,,,SUMPRODUCT(MAX(ROW(E$2:E63)*(E63=E$2:E63)))))-COUNTBLANK(OFFSET(A$1,,,SUMPRODUCT(MAX(ROW(E$1:E62)*(E2=E$1:E62))))))</f>
        <v/>
      </c>
      <c r="K63" s="31" t="str">
        <f aca="false">IF(OR(E63="",E63="!!!",F63="NEW"),"",INDEX(J$1:J62,SUMPRODUCT(MAX(ROW(E$1:E62)*(E63=E$1:E62)))))</f>
        <v/>
      </c>
      <c r="L63" s="28"/>
    </row>
    <row r="64" customFormat="false" ht="15" hidden="false" customHeight="false" outlineLevel="0" collapsed="false">
      <c r="A64" s="21" t="s">
        <v>165</v>
      </c>
      <c r="E64" s="25"/>
      <c r="F64" s="26" t="str">
        <f aca="false">IF(OR(E64="",E64="!!!"),"",IF(NOT(ISNA(VLOOKUP(E64,E$1:E63,1,FALSE()))),"OLD",IF(AND(E64&lt;&gt;"",E64&lt;&gt;"!!!"),"NEW","")))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7" t="str">
        <f aca="false">IF(OR(E64="",E64="!!!",F64="NEW"),"",INDEX(B26:B$39,-1+SUMPRODUCT(MAX(ROW(E26:E$39)*(E64=E26:E$39)))))</f>
        <v/>
      </c>
      <c r="J64" s="27" t="str">
        <f aca="true">IF(OR(E64="",E64="!!!",F64="NEW"),"",COUNTBLANK(OFFSET(A$1,,,SUMPRODUCT(MAX(ROW(E$2:E64)*(E64=E$2:E64)))))-COUNTBLANK(OFFSET(A$1,,,SUMPRODUCT(MAX(ROW(E$1:E63)*(E2=E$1:E63))))))</f>
        <v/>
      </c>
      <c r="K64" s="27" t="str">
        <f aca="false">IF(OR(E64="",E64="!!!",F64="NEW"),"",INDEX(J$1:J63,SUMPRODUCT(MAX(ROW(E$1:E63)*(E64=E$1:E63)))))</f>
        <v/>
      </c>
      <c r="L64" s="28"/>
    </row>
    <row r="65" customFormat="false" ht="15" hidden="false" customHeight="false" outlineLevel="0" collapsed="false">
      <c r="A65" s="21" t="s">
        <v>175</v>
      </c>
      <c r="E65" s="25"/>
      <c r="F65" s="26" t="str">
        <f aca="false">IF(OR(E65="",E65="!!!"),"",IF(NOT(ISNA(VLOOKUP(E65,E$1:E64,1,FALSE()))),"OLD",IF(AND(E65&lt;&gt;"",E65&lt;&gt;"!!!"),"NEW","")))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7" t="str">
        <f aca="false">IF(OR(E65="",E65="!!!",F65="NEW"),"",INDEX(B27:B$39,-1+SUMPRODUCT(MAX(ROW(E27:E$39)*(E65=E27:E$39)))))</f>
        <v/>
      </c>
      <c r="J65" s="27" t="str">
        <f aca="true">IF(OR(E65="",E65="!!!",F65="NEW"),"",COUNTBLANK(OFFSET(A$1,,,SUMPRODUCT(MAX(ROW(E$2:E65)*(E65=E$2:E65)))))-COUNTBLANK(OFFSET(A$1,,,SUMPRODUCT(MAX(ROW(E$1:E64)*(E2=E$1:E64))))))</f>
        <v/>
      </c>
      <c r="K65" s="27" t="str">
        <f aca="false">IF(OR(E65="",E65="!!!",F65="NEW"),"",INDEX(J$1:J64,SUMPRODUCT(MAX(ROW(E$1:E64)*(E65=E$1:E64)))))</f>
        <v/>
      </c>
      <c r="L65" s="28"/>
    </row>
    <row r="66" customFormat="false" ht="15" hidden="false" customHeight="false" outlineLevel="0" collapsed="false">
      <c r="A66" s="21" t="s">
        <v>215</v>
      </c>
      <c r="B66" s="29" t="s">
        <v>216</v>
      </c>
      <c r="C66" s="29" t="s">
        <v>164</v>
      </c>
      <c r="E66" s="25"/>
      <c r="F66" s="26" t="str">
        <f aca="false">IF(OR(E66="",E66="!!!"),"",IF(NOT(ISNA(VLOOKUP(E66,E$1:E65,1,FALSE()))),"OLD",IF(AND(E66&lt;&gt;"",E66&lt;&gt;"!!!"),"NEW","")))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7" t="str">
        <f aca="false">IF(OR(E66="",E66="!!!",F66="NEW"),"",INDEX(B28:B$39,-1+SUMPRODUCT(MAX(ROW(E28:E$39)*(E66=E28:E$39)))))</f>
        <v/>
      </c>
      <c r="J66" s="27" t="str">
        <f aca="true">IF(OR(E66="",E66="!!!",F66="NEW"),"",COUNTBLANK(OFFSET(A$1,,,SUMPRODUCT(MAX(ROW(E$2:E66)*(E66=E$2:E66)))))-COUNTBLANK(OFFSET(A$1,,,SUMPRODUCT(MAX(ROW(E$1:E65)*(E2=E$1:E65))))))</f>
        <v/>
      </c>
      <c r="K66" s="27" t="str">
        <f aca="false">IF(OR(E66="",E66="!!!",F66="NEW"),"",INDEX(J$1:J65,SUMPRODUCT(MAX(ROW(E$1:E65)*(E66=E$1:E65)))))</f>
        <v/>
      </c>
      <c r="L66" s="28"/>
    </row>
    <row r="67" customFormat="false" ht="15" hidden="false" customHeight="false" outlineLevel="0" collapsed="false">
      <c r="A67" s="21" t="s">
        <v>193</v>
      </c>
      <c r="E67" s="25"/>
      <c r="F67" s="26" t="str">
        <f aca="false">IF(OR(E67="",E67="!!!"),"",IF(NOT(ISNA(VLOOKUP(E67,E$1:E66,1,FALSE()))),"OLD",IF(AND(E67&lt;&gt;"",E67&lt;&gt;"!!!"),"NEW","")))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7" t="str">
        <f aca="false">IF(OR(E67="",E67="!!!",F67="NEW"),"",INDEX(B29:B$39,-1+SUMPRODUCT(MAX(ROW(E29:E$39)*(E67=E29:E$39)))))</f>
        <v/>
      </c>
      <c r="J67" s="27" t="str">
        <f aca="true">IF(OR(E67="",E67="!!!",F67="NEW"),"",COUNTBLANK(OFFSET(A$1,,,SUMPRODUCT(MAX(ROW(E$2:E67)*(E67=E$2:E67)))))-COUNTBLANK(OFFSET(A$1,,,SUMPRODUCT(MAX(ROW(E$1:E66)*(E2=E$1:E66))))))</f>
        <v/>
      </c>
      <c r="K67" s="27" t="str">
        <f aca="false">IF(OR(E67="",E67="!!!",F67="NEW"),"",INDEX(J$1:J66,SUMPRODUCT(MAX(ROW(E$1:E66)*(E67=E$1:E66)))))</f>
        <v/>
      </c>
      <c r="L67" s="28"/>
    </row>
    <row r="68" customFormat="false" ht="15" hidden="false" customHeight="false" outlineLevel="0" collapsed="false">
      <c r="A68" s="21"/>
      <c r="G68" s="22" t="str">
        <f aca="false">IF(OR(E68="",E68="!!!"),"",IF(OR(J68=0,AND(J68=1,K68=1),AND(J68=1,I68="SBJ"),AND(J68=1,I68=0)),"?IN_FOCUS",IF(J68&lt;=2,"?ACTIVATED",IF(J68&lt;&gt;"","?FAMILIAR",IF(F68="NEW",IF(ISNA(VLOOKUP(E68,#REF!,1,FALSE())),"?TYPE_IDENTIFIABLE","?REFERENTIAL"),"_")))))</f>
        <v/>
      </c>
      <c r="H68" s="23" t="str">
        <f aca="false">IF(J68&lt;&gt;1,"",IF(I68="SBJ","CB","?"))</f>
        <v/>
      </c>
    </row>
    <row r="69" customFormat="false" ht="15" hidden="false" customHeight="false" outlineLevel="0" collapsed="false">
      <c r="A69" s="21" t="s">
        <v>217</v>
      </c>
      <c r="G69" s="22" t="str">
        <f aca="false">IF(OR(E69="",E69="!!!"),"",IF(OR(J69=0,AND(J69=1,K69=1),AND(J69=1,I69="SBJ"),AND(J69=1,I69=0)),"?IN_FOCUS",IF(J69&lt;=2,"?ACTIVATED",IF(J69&lt;&gt;"","?FAMILIAR",IF(F69="NEW",IF(ISNA(VLOOKUP(E69,#REF!,1,FALSE())),"?TYPE_IDENTIFIABLE","?REFERENTIAL"),"_")))))</f>
        <v/>
      </c>
      <c r="H69" s="23" t="str">
        <f aca="false">IF(J69&lt;&gt;1,"",IF(I69="SBJ","CB","?"))</f>
        <v/>
      </c>
    </row>
    <row r="70" customFormat="false" ht="15" hidden="false" customHeight="false" outlineLevel="0" collapsed="false">
      <c r="A70" s="21" t="s">
        <v>218</v>
      </c>
      <c r="E70" s="25"/>
      <c r="F70" s="26" t="str">
        <f aca="false">IF(OR(E70="",E70="!!!"),"",IF(NOT(ISNA(VLOOKUP(E70,E$1:E69,1,FALSE()))),"OLD",IF(AND(E70&lt;&gt;"",E70&lt;&gt;"!!!"),"NEW","")))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7" t="str">
        <f aca="false">IF(OR(E70="",E70="!!!",F70="NEW"),"",INDEX(B2:B$69,-1+SUMPRODUCT(MAX(ROW(E2:E$69)*(E70=E2:E$69)))))</f>
        <v/>
      </c>
      <c r="J70" s="27" t="str">
        <f aca="true">IF(OR(E70="",E70="!!!",F70="NEW"),"",COUNTBLANK(OFFSET(A$1,,,SUMPRODUCT(MAX(ROW(E$2:E70)*(E70=E$2:E70)))))-COUNTBLANK(OFFSET(A$1,,,SUMPRODUCT(MAX(ROW(E$1:E69)*(E2=E$1:E69))))))</f>
        <v/>
      </c>
      <c r="K70" s="27" t="str">
        <f aca="false">IF(OR(E70="",E70="!!!",F70="NEW"),"",INDEX(J$1:J69,SUMPRODUCT(MAX(ROW(E$1:E69)*(E70=E$1:E69)))))</f>
        <v/>
      </c>
      <c r="L70" s="28"/>
    </row>
    <row r="71" customFormat="false" ht="15" hidden="false" customHeight="false" outlineLevel="0" collapsed="false">
      <c r="A71" s="21" t="s">
        <v>219</v>
      </c>
      <c r="E71" s="25"/>
      <c r="F71" s="26" t="str">
        <f aca="false">IF(OR(E71="",E71="!!!"),"",IF(NOT(ISNA(VLOOKUP(E71,E$1:E70,1,FALSE()))),"OLD",IF(AND(E71&lt;&gt;"",E71&lt;&gt;"!!!"),"NEW","")))</f>
        <v/>
      </c>
      <c r="G71" s="22" t="str">
        <f aca="false">IF(OR(E71="",E71="!!!"),"",IF(OR(J71=0,AND(J71=1,K71=1),AND(J71=1,I71="SBJ"),AND(J71=1,I71=0)),"?IN_FOCUS",IF(J71&lt;=2,"?ACTIVATED",IF(J71&lt;&gt;"","?FAMILIAR",IF(F71="NEW",IF(ISNA(VLOOKUP(E71,#REF!,1,FALSE())),"?TYPE_IDENTIFIABLE","?REFERENTIAL"),"_")))))</f>
        <v/>
      </c>
      <c r="H71" s="23" t="str">
        <f aca="false">IF(J71&lt;&gt;1,"",IF(I71="SBJ","CB","?"))</f>
        <v/>
      </c>
      <c r="I71" s="27" t="str">
        <f aca="false">IF(OR(E71="",E71="!!!",F71="NEW"),"",INDEX(B3:B$69,-1+SUMPRODUCT(MAX(ROW(E3:E$69)*(E71=E3:E$69)))))</f>
        <v/>
      </c>
      <c r="J71" s="27" t="str">
        <f aca="true">IF(OR(E71="",E71="!!!",F71="NEW"),"",COUNTBLANK(OFFSET(A$1,,,SUMPRODUCT(MAX(ROW(E$2:E71)*(E71=E$2:E71)))))-COUNTBLANK(OFFSET(A$1,,,SUMPRODUCT(MAX(ROW(E$1:E70)*(E2=E$1:E70))))))</f>
        <v/>
      </c>
      <c r="K71" s="27" t="str">
        <f aca="false">IF(OR(E71="",E71="!!!",F71="NEW"),"",INDEX(J$1:J70,SUMPRODUCT(MAX(ROW(E$1:E70)*(E71=E$1:E70)))))</f>
        <v/>
      </c>
      <c r="L71" s="28"/>
    </row>
    <row r="72" customFormat="false" ht="15" hidden="false" customHeight="false" outlineLevel="0" collapsed="false">
      <c r="A72" s="21" t="s">
        <v>175</v>
      </c>
      <c r="E72" s="25"/>
      <c r="F72" s="26" t="str">
        <f aca="false">IF(OR(E72="",E72="!!!"),"",IF(NOT(ISNA(VLOOKUP(E72,E$1:E71,1,FALSE()))),"OLD",IF(AND(E72&lt;&gt;"",E72&lt;&gt;"!!!"),"NEW","")))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7" t="str">
        <f aca="false">IF(OR(E72="",E72="!!!",F72="NEW"),"",INDEX(B4:B$69,-1+SUMPRODUCT(MAX(ROW(E4:E$69)*(E72=E4:E$69)))))</f>
        <v/>
      </c>
      <c r="J72" s="27" t="str">
        <f aca="true">IF(OR(E72="",E72="!!!",F72="NEW"),"",COUNTBLANK(OFFSET(A$1,,,SUMPRODUCT(MAX(ROW(E$2:E72)*(E72=E$2:E72)))))-COUNTBLANK(OFFSET(A$1,,,SUMPRODUCT(MAX(ROW(E$1:E71)*(E2=E$1:E71))))))</f>
        <v/>
      </c>
      <c r="K72" s="27" t="str">
        <f aca="false">IF(OR(E72="",E72="!!!",F72="NEW"),"",INDEX(J$1:J71,SUMPRODUCT(MAX(ROW(E$1:E71)*(E72=E$1:E71)))))</f>
        <v/>
      </c>
      <c r="L72" s="28"/>
    </row>
    <row r="73" customFormat="false" ht="15" hidden="false" customHeight="false" outlineLevel="0" collapsed="false">
      <c r="A73" s="21" t="s">
        <v>220</v>
      </c>
      <c r="E73" s="25"/>
      <c r="F73" s="26" t="str">
        <f aca="false">IF(OR(E73="",E73="!!!"),"",IF(NOT(ISNA(VLOOKUP(E73,E$1:E72,1,FALSE()))),"OLD",IF(AND(E73&lt;&gt;"",E73&lt;&gt;"!!!"),"NEW","")))</f>
        <v/>
      </c>
      <c r="G73" s="22" t="str">
        <f aca="false">IF(OR(E73="",E73="!!!"),"",IF(OR(J73=0,AND(J73=1,K73=1),AND(J73=1,I73="SBJ"),AND(J73=1,I73=0)),"?IN_FOCUS",IF(J73&lt;=2,"?ACTIVATED",IF(J73&lt;&gt;"","?FAMILIAR",IF(F73="NEW",IF(ISNA(VLOOKUP(E73,#REF!,1,FALSE())),"?TYPE_IDENTIFIABLE","?REFERENTIAL"),"_")))))</f>
        <v/>
      </c>
      <c r="H73" s="23" t="str">
        <f aca="false">IF(J73&lt;&gt;1,"",IF(I73="SBJ","CB","?"))</f>
        <v/>
      </c>
      <c r="I73" s="27" t="str">
        <f aca="false">IF(OR(E73="",E73="!!!",F73="NEW"),"",INDEX(B5:B$69,-1+SUMPRODUCT(MAX(ROW(E5:E$69)*(E73=E5:E$69)))))</f>
        <v/>
      </c>
      <c r="J73" s="27" t="str">
        <f aca="true">IF(OR(E73="",E73="!!!",F73="NEW"),"",COUNTBLANK(OFFSET(A$1,,,SUMPRODUCT(MAX(ROW(E$2:E73)*(E73=E$2:E73)))))-COUNTBLANK(OFFSET(A$1,,,SUMPRODUCT(MAX(ROW(E$1:E72)*(E2=E$1:E72))))))</f>
        <v/>
      </c>
      <c r="K73" s="27" t="str">
        <f aca="false">IF(OR(E73="",E73="!!!",F73="NEW"),"",INDEX(J$1:J72,SUMPRODUCT(MAX(ROW(E$1:E72)*(E73=E$1:E72)))))</f>
        <v/>
      </c>
      <c r="L73" s="28"/>
    </row>
    <row r="74" customFormat="false" ht="15" hidden="false" customHeight="false" outlineLevel="0" collapsed="false">
      <c r="A74" s="21" t="s">
        <v>221</v>
      </c>
      <c r="B74" s="29" t="s">
        <v>180</v>
      </c>
      <c r="C74" s="29" t="s">
        <v>164</v>
      </c>
      <c r="E74" s="25"/>
      <c r="F74" s="26" t="str">
        <f aca="false">IF(OR(E74="",E74="!!!"),"",IF(NOT(ISNA(VLOOKUP(E74,E$1:E73,1,FALSE()))),"OLD",IF(AND(E74&lt;&gt;"",E74&lt;&gt;"!!!"),"NEW","")))</f>
        <v/>
      </c>
      <c r="G74" s="22" t="str">
        <f aca="false">IF(OR(E74="",E74="!!!"),"",IF(OR(J74=0,AND(J74=1,K74=1),AND(J74=1,I74="SBJ"),AND(J74=1,I74=0)),"?IN_FOCUS",IF(J74&lt;=2,"?ACTIVATED",IF(J74&lt;&gt;"","?FAMILIAR",IF(F74="NEW",IF(ISNA(VLOOKUP(E74,#REF!,1,FALSE())),"?TYPE_IDENTIFIABLE","?REFERENTIAL"),"_")))))</f>
        <v/>
      </c>
      <c r="H74" s="23" t="str">
        <f aca="false">IF(J74&lt;&gt;1,"",IF(I74="SBJ","CB","?"))</f>
        <v/>
      </c>
      <c r="I74" s="27" t="str">
        <f aca="false">IF(OR(E74="",E74="!!!",F74="NEW"),"",INDEX(B6:B$69,-1+SUMPRODUCT(MAX(ROW(E6:E$69)*(E74=E6:E$69)))))</f>
        <v/>
      </c>
      <c r="J74" s="27" t="str">
        <f aca="true">IF(OR(E74="",E74="!!!",F74="NEW"),"",COUNTBLANK(OFFSET(A$1,,,SUMPRODUCT(MAX(ROW(E$2:E74)*(E74=E$2:E74)))))-COUNTBLANK(OFFSET(A$1,,,SUMPRODUCT(MAX(ROW(E$1:E73)*(E2=E$1:E73))))))</f>
        <v/>
      </c>
      <c r="K74" s="27" t="str">
        <f aca="false">IF(OR(E74="",E74="!!!",F74="NEW"),"",INDEX(J$1:J73,SUMPRODUCT(MAX(ROW(E$1:E73)*(E74=E$1:E73)))))</f>
        <v/>
      </c>
      <c r="L74" s="28"/>
    </row>
    <row r="75" customFormat="false" ht="15" hidden="false" customHeight="false" outlineLevel="0" collapsed="false">
      <c r="A75" s="21" t="s">
        <v>212</v>
      </c>
      <c r="E75" s="25"/>
      <c r="F75" s="26" t="str">
        <f aca="false">IF(OR(E75="",E75="!!!"),"",IF(NOT(ISNA(VLOOKUP(E75,E$1:E74,1,FALSE()))),"OLD",IF(AND(E75&lt;&gt;"",E75&lt;&gt;"!!!"),"NEW","")))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7" t="str">
        <f aca="false">IF(OR(E75="",E75="!!!",F75="NEW"),"",INDEX(B7:B$69,-1+SUMPRODUCT(MAX(ROW(E7:E$69)*(E75=E7:E$69)))))</f>
        <v/>
      </c>
      <c r="J75" s="27" t="str">
        <f aca="true">IF(OR(E75="",E75="!!!",F75="NEW"),"",COUNTBLANK(OFFSET(A$1,,,SUMPRODUCT(MAX(ROW(E$2:E75)*(E75=E$2:E75)))))-COUNTBLANK(OFFSET(A$1,,,SUMPRODUCT(MAX(ROW(E$1:E74)*(E2=E$1:E74))))))</f>
        <v/>
      </c>
      <c r="K75" s="27" t="str">
        <f aca="false">IF(OR(E75="",E75="!!!",F75="NEW"),"",INDEX(J$1:J74,SUMPRODUCT(MAX(ROW(E$1:E74)*(E75=E$1:E74)))))</f>
        <v/>
      </c>
      <c r="L75" s="28"/>
    </row>
    <row r="76" customFormat="false" ht="15" hidden="false" customHeight="false" outlineLevel="0" collapsed="false">
      <c r="A76" s="21" t="s">
        <v>222</v>
      </c>
      <c r="B76" s="29" t="s">
        <v>190</v>
      </c>
      <c r="C76" s="29" t="s">
        <v>181</v>
      </c>
      <c r="D76" s="29" t="s">
        <v>159</v>
      </c>
      <c r="E76" s="25" t="s">
        <v>16</v>
      </c>
      <c r="F76" s="30" t="str">
        <f aca="false">IF(OR(E76="",E76="!!!"),"",IF(NOT(ISNA(VLOOKUP(E76,E$1:E75,1,FALSE()))),"OLD",IF(AND(E76&lt;&gt;"",E76&lt;&gt;"!!!"),"NEW","")))</f>
        <v>OLD</v>
      </c>
      <c r="G76" s="22" t="s">
        <v>186</v>
      </c>
      <c r="H76" s="23" t="str">
        <f aca="false">IF(J76&lt;&gt;1,"",IF(I76="SBJ","CB","?"))</f>
        <v/>
      </c>
      <c r="I76" s="31" t="n">
        <f aca="false">IF(OR(E76="",E76="!!!",F76="NEW"),"",INDEX(B8:B$69,-1+SUMPRODUCT(MAX(ROW(E8:E$69)*(E76=E8:E$69)))))</f>
        <v>0</v>
      </c>
      <c r="J76" s="27" t="n">
        <f aca="true">IF(OR(E76="",E76="!!!",F76="NEW"),"",COUNTBLANK(OFFSET(A$1,,,SUMPRODUCT(MAX(ROW(E$2:E76)*(E76=E$2:E76)))))-COUNTBLANK(OFFSET(A$1,,,SUMPRODUCT(MAX(ROW(E$1:E75)*(E2=E$1:E75))))))</f>
        <v>0</v>
      </c>
      <c r="K76" s="27" t="n">
        <f aca="false">IF(OR(E76="",E76="!!!",F76="NEW"),"",INDEX(J$1:J75,SUMPRODUCT(MAX(ROW(E$1:E75)*(E76=E$1:E75)))))</f>
        <v>0</v>
      </c>
      <c r="L76" s="28"/>
    </row>
    <row r="77" customFormat="false" ht="15" hidden="false" customHeight="false" outlineLevel="0" collapsed="false">
      <c r="A77" s="21" t="s">
        <v>178</v>
      </c>
      <c r="E77" s="25"/>
      <c r="F77" s="26" t="str">
        <f aca="false">IF(OR(E77="",E77="!!!"),"",IF(NOT(ISNA(VLOOKUP(E77,E$1:E76,1,FALSE()))),"OLD",IF(AND(E77&lt;&gt;"",E77&lt;&gt;"!!!"),"NEW","")))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7" t="str">
        <f aca="false">IF(OR(E77="",E77="!!!",F77="NEW"),"",INDEX(B9:B$69,-1+SUMPRODUCT(MAX(ROW(E9:E$69)*(E77=E9:E$69)))))</f>
        <v/>
      </c>
      <c r="J77" s="27" t="str">
        <f aca="true">IF(OR(E77="",E77="!!!",F77="NEW"),"",COUNTBLANK(OFFSET(A$1,,,SUMPRODUCT(MAX(ROW(E$2:E77)*(E77=E$2:E77)))))-COUNTBLANK(OFFSET(A$1,,,SUMPRODUCT(MAX(ROW(E$1:E76)*(E2=E$1:E76))))))</f>
        <v/>
      </c>
      <c r="K77" s="27" t="str">
        <f aca="false">IF(OR(E77="",E77="!!!",F77="NEW"),"",INDEX(J$1:J76,SUMPRODUCT(MAX(ROW(E$1:E76)*(E77=E$1:E76)))))</f>
        <v/>
      </c>
      <c r="L77" s="28"/>
    </row>
    <row r="78" customFormat="false" ht="15" hidden="false" customHeight="false" outlineLevel="0" collapsed="false">
      <c r="A78" s="21" t="s">
        <v>175</v>
      </c>
      <c r="E78" s="25"/>
      <c r="F78" s="26" t="str">
        <f aca="false">IF(OR(E78="",E78="!!!"),"",IF(NOT(ISNA(VLOOKUP(E78,E$1:E77,1,FALSE()))),"OLD",IF(AND(E78&lt;&gt;"",E78&lt;&gt;"!!!"),"NEW","")))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7" t="str">
        <f aca="false">IF(OR(E78="",E78="!!!",F78="NEW"),"",INDEX(B10:B$69,-1+SUMPRODUCT(MAX(ROW(E10:E$69)*(E78=E10:E$69)))))</f>
        <v/>
      </c>
      <c r="J78" s="27" t="str">
        <f aca="true">IF(OR(E78="",E78="!!!",F78="NEW"),"",COUNTBLANK(OFFSET(A$1,,,SUMPRODUCT(MAX(ROW(E$2:E78)*(E78=E$2:E78)))))-COUNTBLANK(OFFSET(A$1,,,SUMPRODUCT(MAX(ROW(E$1:E77)*(E2=E$1:E77))))))</f>
        <v/>
      </c>
      <c r="K78" s="27" t="str">
        <f aca="false">IF(OR(E78="",E78="!!!",F78="NEW"),"",INDEX(J$1:J77,SUMPRODUCT(MAX(ROW(E$1:E77)*(E78=E$1:E77)))))</f>
        <v/>
      </c>
      <c r="L78" s="28"/>
    </row>
    <row r="79" customFormat="false" ht="15" hidden="false" customHeight="false" outlineLevel="0" collapsed="false">
      <c r="A79" s="21" t="s">
        <v>223</v>
      </c>
      <c r="E79" s="25"/>
      <c r="F79" s="26" t="str">
        <f aca="false">IF(OR(E79="",E79="!!!"),"",IF(NOT(ISNA(VLOOKUP(E79,E$1:E78,1,FALSE()))),"OLD",IF(AND(E79&lt;&gt;"",E79&lt;&gt;"!!!"),"NEW","")))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7" t="str">
        <f aca="false">IF(OR(E79="",E79="!!!",F79="NEW"),"",INDEX(B11:B$69,-1+SUMPRODUCT(MAX(ROW(E11:E$69)*(E79=E11:E$69)))))</f>
        <v/>
      </c>
      <c r="J79" s="27" t="str">
        <f aca="true">IF(OR(E79="",E79="!!!",F79="NEW"),"",COUNTBLANK(OFFSET(A$1,,,SUMPRODUCT(MAX(ROW(E$2:E79)*(E79=E$2:E79)))))-COUNTBLANK(OFFSET(A$1,,,SUMPRODUCT(MAX(ROW(E$1:E78)*(E2=E$1:E78))))))</f>
        <v/>
      </c>
      <c r="K79" s="27" t="str">
        <f aca="false">IF(OR(E79="",E79="!!!",F79="NEW"),"",INDEX(J$1:J78,SUMPRODUCT(MAX(ROW(E$1:E78)*(E79=E$1:E78)))))</f>
        <v/>
      </c>
      <c r="L79" s="28"/>
    </row>
    <row r="80" customFormat="false" ht="15" hidden="false" customHeight="false" outlineLevel="0" collapsed="false">
      <c r="A80" s="21" t="s">
        <v>224</v>
      </c>
      <c r="B80" s="29" t="s">
        <v>190</v>
      </c>
      <c r="C80" s="29" t="s">
        <v>164</v>
      </c>
      <c r="E80" s="25"/>
      <c r="F80" s="26" t="str">
        <f aca="false">IF(OR(E80="",E80="!!!"),"",IF(NOT(ISNA(VLOOKUP(E80,E$1:E79,1,FALSE()))),"OLD",IF(AND(E80&lt;&gt;"",E80&lt;&gt;"!!!"),"NEW","")))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7" t="str">
        <f aca="false">IF(OR(E80="",E80="!!!",F80="NEW"),"",INDEX(B12:B$69,-1+SUMPRODUCT(MAX(ROW(E12:E$69)*(E80=E12:E$69)))))</f>
        <v/>
      </c>
      <c r="J80" s="27" t="str">
        <f aca="true">IF(OR(E80="",E80="!!!",F80="NEW"),"",COUNTBLANK(OFFSET(A$1,,,SUMPRODUCT(MAX(ROW(E$2:E80)*(E80=E$2:E80)))))-COUNTBLANK(OFFSET(A$1,,,SUMPRODUCT(MAX(ROW(E$1:E79)*(E2=E$1:E79))))))</f>
        <v/>
      </c>
      <c r="K80" s="27" t="str">
        <f aca="false">IF(OR(E80="",E80="!!!",F80="NEW"),"",INDEX(J$1:J79,SUMPRODUCT(MAX(ROW(E$1:E79)*(E80=E$1:E79)))))</f>
        <v/>
      </c>
      <c r="L80" s="28"/>
    </row>
    <row r="81" customFormat="false" ht="15" hidden="false" customHeight="false" outlineLevel="0" collapsed="false">
      <c r="A81" s="21" t="s">
        <v>225</v>
      </c>
      <c r="E81" s="25"/>
      <c r="F81" s="26" t="str">
        <f aca="false">IF(OR(E81="",E81="!!!"),"",IF(NOT(ISNA(VLOOKUP(E81,E$1:E80,1,FALSE()))),"OLD",IF(AND(E81&lt;&gt;"",E81&lt;&gt;"!!!"),"NEW","")))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7" t="str">
        <f aca="false">IF(OR(E81="",E81="!!!",F81="NEW"),"",INDEX(B13:B$69,-1+SUMPRODUCT(MAX(ROW(E13:E$69)*(E81=E13:E$69)))))</f>
        <v/>
      </c>
      <c r="J81" s="27" t="str">
        <f aca="true">IF(OR(E81="",E81="!!!",F81="NEW"),"",COUNTBLANK(OFFSET(A$1,,,SUMPRODUCT(MAX(ROW(E$2:E81)*(E81=E$2:E81)))))-COUNTBLANK(OFFSET(A$1,,,SUMPRODUCT(MAX(ROW(E$1:E80)*(E2=E$1:E80))))))</f>
        <v/>
      </c>
      <c r="K81" s="27" t="str">
        <f aca="false">IF(OR(E81="",E81="!!!",F81="NEW"),"",INDEX(J$1:J80,SUMPRODUCT(MAX(ROW(E$1:E80)*(E81=E$1:E80)))))</f>
        <v/>
      </c>
      <c r="L81" s="28"/>
    </row>
    <row r="82" customFormat="false" ht="15" hidden="false" customHeight="false" outlineLevel="0" collapsed="false">
      <c r="A82" s="21" t="s">
        <v>179</v>
      </c>
      <c r="B82" s="29" t="s">
        <v>226</v>
      </c>
      <c r="C82" s="29" t="s">
        <v>181</v>
      </c>
      <c r="D82" s="29" t="s">
        <v>159</v>
      </c>
      <c r="E82" s="25" t="s">
        <v>16</v>
      </c>
      <c r="F82" s="30" t="str">
        <f aca="false">IF(OR(E82="",E82="!!!"),"",IF(NOT(ISNA(VLOOKUP(E82,E$1:E81,1,FALSE()))),"OLD",IF(AND(E82&lt;&gt;"",E82&lt;&gt;"!!!"),"NEW","")))</f>
        <v>OLD</v>
      </c>
      <c r="G82" s="22" t="s">
        <v>186</v>
      </c>
      <c r="H82" s="23" t="str">
        <f aca="false">IF(J82&lt;&gt;1,"",IF(I82="SBJ","CB","?"))</f>
        <v/>
      </c>
      <c r="I82" s="31" t="n">
        <f aca="false">IF(OR(E82="",E82="!!!",F82="NEW"),"",INDEX(B14:B$69,-1+SUMPRODUCT(MAX(ROW(E14:E$69)*(E82=E14:E$69)))))</f>
        <v>0</v>
      </c>
      <c r="J82" s="27" t="n">
        <f aca="true">IF(OR(E82="",E82="!!!",F82="NEW"),"",COUNTBLANK(OFFSET(A$1,,,SUMPRODUCT(MAX(ROW(E$2:E82)*(E82=E$2:E82)))))-COUNTBLANK(OFFSET(A$1,,,SUMPRODUCT(MAX(ROW(E$1:E81)*(E2=E$1:E81))))))</f>
        <v>0</v>
      </c>
      <c r="K82" s="27" t="n">
        <f aca="false">IF(OR(E82="",E82="!!!",F82="NEW"),"",INDEX(J$1:J81,SUMPRODUCT(MAX(ROW(E$1:E81)*(E82=E$1:E81)))))</f>
        <v>0</v>
      </c>
      <c r="L82" s="28"/>
    </row>
    <row r="83" customFormat="false" ht="15" hidden="false" customHeight="false" outlineLevel="0" collapsed="false">
      <c r="A83" s="21" t="s">
        <v>187</v>
      </c>
      <c r="E83" s="25"/>
      <c r="F83" s="26" t="str">
        <f aca="false">IF(OR(E83="",E83="!!!"),"",IF(NOT(ISNA(VLOOKUP(E83,E$1:E82,1,FALSE()))),"OLD",IF(AND(E83&lt;&gt;"",E83&lt;&gt;"!!!"),"NEW","")))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7" t="str">
        <f aca="false">IF(OR(E83="",E83="!!!",F83="NEW"),"",INDEX(B15:B$69,-1+SUMPRODUCT(MAX(ROW(E15:E$69)*(E83=E15:E$69)))))</f>
        <v/>
      </c>
      <c r="J83" s="27" t="str">
        <f aca="true">IF(OR(E83="",E83="!!!",F83="NEW"),"",COUNTBLANK(OFFSET(A$1,,,SUMPRODUCT(MAX(ROW(E$2:E83)*(E83=E$2:E83)))))-COUNTBLANK(OFFSET(A$1,,,SUMPRODUCT(MAX(ROW(E$1:E82)*(E2=E$1:E82))))))</f>
        <v/>
      </c>
      <c r="K83" s="27" t="str">
        <f aca="false">IF(OR(E83="",E83="!!!",F83="NEW"),"",INDEX(J$1:J82,SUMPRODUCT(MAX(ROW(E$1:E82)*(E83=E$1:E82)))))</f>
        <v/>
      </c>
      <c r="L83" s="28"/>
    </row>
    <row r="84" customFormat="false" ht="15" hidden="false" customHeight="false" outlineLevel="0" collapsed="false">
      <c r="A84" s="21" t="s">
        <v>227</v>
      </c>
      <c r="E84" s="25"/>
      <c r="F84" s="26" t="str">
        <f aca="false">IF(OR(E84="",E84="!!!"),"",IF(NOT(ISNA(VLOOKUP(E84,E$1:E83,1,FALSE()))),"OLD",IF(AND(E84&lt;&gt;"",E84&lt;&gt;"!!!"),"NEW","")))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7" t="str">
        <f aca="false">IF(OR(E84="",E84="!!!",F84="NEW"),"",INDEX(B16:B$69,-1+SUMPRODUCT(MAX(ROW(E16:E$69)*(E84=E16:E$69)))))</f>
        <v/>
      </c>
      <c r="J84" s="27" t="str">
        <f aca="true">IF(OR(E84="",E84="!!!",F84="NEW"),"",COUNTBLANK(OFFSET(A$1,,,SUMPRODUCT(MAX(ROW(E$2:E84)*(E84=E$2:E84)))))-COUNTBLANK(OFFSET(A$1,,,SUMPRODUCT(MAX(ROW(E$1:E83)*(E2=E$1:E83))))))</f>
        <v/>
      </c>
      <c r="K84" s="27" t="str">
        <f aca="false">IF(OR(E84="",E84="!!!",F84="NEW"),"",INDEX(J$1:J83,SUMPRODUCT(MAX(ROW(E$1:E83)*(E84=E$1:E83)))))</f>
        <v/>
      </c>
      <c r="L84" s="28"/>
    </row>
    <row r="85" customFormat="false" ht="15" hidden="false" customHeight="false" outlineLevel="0" collapsed="false">
      <c r="A85" s="21" t="s">
        <v>228</v>
      </c>
      <c r="B85" s="29" t="s">
        <v>229</v>
      </c>
      <c r="C85" s="29" t="s">
        <v>167</v>
      </c>
      <c r="E85" s="25"/>
      <c r="F85" s="26" t="str">
        <f aca="false">IF(OR(E85="",E85="!!!"),"",IF(NOT(ISNA(VLOOKUP(E85,E$1:E84,1,FALSE()))),"OLD",IF(AND(E85&lt;&gt;"",E85&lt;&gt;"!!!"),"NEW","")))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7" t="str">
        <f aca="false">IF(OR(E85="",E85="!!!",F85="NEW"),"",INDEX(B17:B$69,-1+SUMPRODUCT(MAX(ROW(E17:E$69)*(E85=E17:E$69)))))</f>
        <v/>
      </c>
      <c r="J85" s="27" t="str">
        <f aca="true">IF(OR(E85="",E85="!!!",F85="NEW"),"",COUNTBLANK(OFFSET(A$1,,,SUMPRODUCT(MAX(ROW(E$2:E85)*(E85=E$2:E85)))))-COUNTBLANK(OFFSET(A$1,,,SUMPRODUCT(MAX(ROW(E$1:E84)*(E2=E$1:E84))))))</f>
        <v/>
      </c>
      <c r="K85" s="27" t="str">
        <f aca="false">IF(OR(E85="",E85="!!!",F85="NEW"),"",INDEX(J$1:J84,SUMPRODUCT(MAX(ROW(E$1:E84)*(E85=E$1:E84)))))</f>
        <v/>
      </c>
      <c r="L85" s="28"/>
    </row>
    <row r="86" customFormat="false" ht="15" hidden="false" customHeight="false" outlineLevel="0" collapsed="false">
      <c r="A86" s="21" t="s">
        <v>230</v>
      </c>
      <c r="E86" s="25"/>
      <c r="F86" s="26" t="str">
        <f aca="false">IF(OR(E86="",E86="!!!"),"",IF(NOT(ISNA(VLOOKUP(E86,E$1:E85,1,FALSE()))),"OLD",IF(AND(E86&lt;&gt;"",E86&lt;&gt;"!!!"),"NEW","")))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7" t="str">
        <f aca="false">IF(OR(E86="",E86="!!!",F86="NEW"),"",INDEX(B18:B$69,-1+SUMPRODUCT(MAX(ROW(E18:E$69)*(E86=E18:E$69)))))</f>
        <v/>
      </c>
      <c r="J86" s="27" t="str">
        <f aca="true">IF(OR(E86="",E86="!!!",F86="NEW"),"",COUNTBLANK(OFFSET(A$1,,,SUMPRODUCT(MAX(ROW(E$2:E86)*(E86=E$2:E86)))))-COUNTBLANK(OFFSET(A$1,,,SUMPRODUCT(MAX(ROW(E$1:E85)*(E2=E$1:E85))))))</f>
        <v/>
      </c>
      <c r="K86" s="27" t="str">
        <f aca="false">IF(OR(E86="",E86="!!!",F86="NEW"),"",INDEX(J$1:J85,SUMPRODUCT(MAX(ROW(E$1:E85)*(E86=E$1:E85)))))</f>
        <v/>
      </c>
      <c r="L86" s="28"/>
    </row>
    <row r="87" customFormat="false" ht="15" hidden="false" customHeight="false" outlineLevel="0" collapsed="false">
      <c r="A87" s="21" t="s">
        <v>175</v>
      </c>
      <c r="E87" s="25"/>
      <c r="F87" s="26" t="str">
        <f aca="false">IF(OR(E87="",E87="!!!"),"",IF(NOT(ISNA(VLOOKUP(E87,E$1:E86,1,FALSE()))),"OLD",IF(AND(E87&lt;&gt;"",E87&lt;&gt;"!!!"),"NEW","")))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7" t="str">
        <f aca="false">IF(OR(E87="",E87="!!!",F87="NEW"),"",INDEX(B19:B$69,-1+SUMPRODUCT(MAX(ROW(E19:E$69)*(E87=E19:E$69)))))</f>
        <v/>
      </c>
      <c r="J87" s="27" t="str">
        <f aca="true">IF(OR(E87="",E87="!!!",F87="NEW"),"",COUNTBLANK(OFFSET(A$1,,,SUMPRODUCT(MAX(ROW(E$2:E87)*(E87=E$2:E87)))))-COUNTBLANK(OFFSET(A$1,,,SUMPRODUCT(MAX(ROW(E$1:E86)*(E2=E$1:E86))))))</f>
        <v/>
      </c>
      <c r="K87" s="27" t="str">
        <f aca="false">IF(OR(E87="",E87="!!!",F87="NEW"),"",INDEX(J$1:J86,SUMPRODUCT(MAX(ROW(E$1:E86)*(E87=E$1:E86)))))</f>
        <v/>
      </c>
      <c r="L87" s="28"/>
    </row>
    <row r="88" customFormat="false" ht="15" hidden="false" customHeight="false" outlineLevel="0" collapsed="false">
      <c r="A88" s="21" t="s">
        <v>166</v>
      </c>
      <c r="B88" s="29" t="s">
        <v>216</v>
      </c>
      <c r="C88" s="29" t="s">
        <v>164</v>
      </c>
      <c r="E88" s="25"/>
      <c r="F88" s="26" t="str">
        <f aca="false">IF(OR(E88="",E88="!!!"),"",IF(NOT(ISNA(VLOOKUP(E88,E$1:E87,1,FALSE()))),"OLD",IF(AND(E88&lt;&gt;"",E88&lt;&gt;"!!!"),"NEW","")))</f>
        <v/>
      </c>
      <c r="G88" s="22" t="str">
        <f aca="false">IF(OR(E88="",E88="!!!"),"",IF(OR(J88=0,AND(J88=1,K88=1),AND(J88=1,I88="SBJ"),AND(J88=1,I88=0)),"?IN_FOCUS",IF(J88&lt;=2,"?ACTIVATED",IF(J88&lt;&gt;"","?FAMILIAR",IF(F88="NEW",IF(ISNA(VLOOKUP(E88,#REF!,1,FALSE())),"?TYPE_IDENTIFIABLE","?REFERENTIAL"),"_")))))</f>
        <v/>
      </c>
      <c r="H88" s="23" t="str">
        <f aca="false">IF(J88&lt;&gt;1,"",IF(I88="SBJ","CB","?"))</f>
        <v/>
      </c>
      <c r="I88" s="27" t="str">
        <f aca="false">IF(OR(E88="",E88="!!!",F88="NEW"),"",INDEX(B20:B$69,-1+SUMPRODUCT(MAX(ROW(E20:E$69)*(E88=E20:E$69)))))</f>
        <v/>
      </c>
      <c r="J88" s="27" t="str">
        <f aca="true">IF(OR(E88="",E88="!!!",F88="NEW"),"",COUNTBLANK(OFFSET(A$1,,,SUMPRODUCT(MAX(ROW(E$2:E88)*(E88=E$2:E88)))))-COUNTBLANK(OFFSET(A$1,,,SUMPRODUCT(MAX(ROW(E$1:E87)*(E2=E$1:E87))))))</f>
        <v/>
      </c>
      <c r="K88" s="27" t="str">
        <f aca="false">IF(OR(E88="",E88="!!!",F88="NEW"),"",INDEX(J$1:J87,SUMPRODUCT(MAX(ROW(E$1:E87)*(E88=E$1:E87)))))</f>
        <v/>
      </c>
      <c r="L88" s="28"/>
    </row>
    <row r="89" customFormat="false" ht="15" hidden="false" customHeight="false" outlineLevel="0" collapsed="false">
      <c r="A89" s="21" t="s">
        <v>165</v>
      </c>
      <c r="E89" s="25"/>
      <c r="F89" s="26" t="str">
        <f aca="false">IF(OR(E89="",E89="!!!"),"",IF(NOT(ISNA(VLOOKUP(E89,E$1:E88,1,FALSE()))),"OLD",IF(AND(E89&lt;&gt;"",E89&lt;&gt;"!!!"),"NEW","")))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7" t="str">
        <f aca="false">IF(OR(E89="",E89="!!!",F89="NEW"),"",INDEX(B21:B$69,-1+SUMPRODUCT(MAX(ROW(E21:E$69)*(E89=E21:E$69)))))</f>
        <v/>
      </c>
      <c r="J89" s="27" t="str">
        <f aca="true">IF(OR(E89="",E89="!!!",F89="NEW"),"",COUNTBLANK(OFFSET(A$1,,,SUMPRODUCT(MAX(ROW(E$2:E89)*(E89=E$2:E89)))))-COUNTBLANK(OFFSET(A$1,,,SUMPRODUCT(MAX(ROW(E$1:E88)*(E2=E$1:E88))))))</f>
        <v/>
      </c>
      <c r="K89" s="27" t="str">
        <f aca="false">IF(OR(E89="",E89="!!!",F89="NEW"),"",INDEX(J$1:J88,SUMPRODUCT(MAX(ROW(E$1:E88)*(E89=E$1:E88)))))</f>
        <v/>
      </c>
      <c r="L89" s="28"/>
    </row>
    <row r="90" customFormat="false" ht="15" hidden="false" customHeight="false" outlineLevel="0" collapsed="false">
      <c r="A90" s="21" t="s">
        <v>231</v>
      </c>
      <c r="B90" s="29" t="s">
        <v>232</v>
      </c>
      <c r="C90" s="29" t="s">
        <v>167</v>
      </c>
      <c r="E90" s="25"/>
      <c r="F90" s="26" t="str">
        <f aca="false">IF(OR(E90="",E90="!!!"),"",IF(NOT(ISNA(VLOOKUP(E90,E$1:E89,1,FALSE()))),"OLD",IF(AND(E90&lt;&gt;"",E90&lt;&gt;"!!!"),"NEW","")))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7" t="str">
        <f aca="false">IF(OR(E90="",E90="!!!",F90="NEW"),"",INDEX(B22:B$69,-1+SUMPRODUCT(MAX(ROW(E22:E$69)*(E90=E22:E$69)))))</f>
        <v/>
      </c>
      <c r="J90" s="27" t="str">
        <f aca="true">IF(OR(E90="",E90="!!!",F90="NEW"),"",COUNTBLANK(OFFSET(A$1,,,SUMPRODUCT(MAX(ROW(E$2:E90)*(E90=E$2:E90)))))-COUNTBLANK(OFFSET(A$1,,,SUMPRODUCT(MAX(ROW(E$1:E89)*(E2=E$1:E89))))))</f>
        <v/>
      </c>
      <c r="K90" s="27" t="str">
        <f aca="false">IF(OR(E90="",E90="!!!",F90="NEW"),"",INDEX(J$1:J89,SUMPRODUCT(MAX(ROW(E$1:E89)*(E90=E$1:E89)))))</f>
        <v/>
      </c>
      <c r="L90" s="28"/>
    </row>
    <row r="91" customFormat="false" ht="15" hidden="false" customHeight="false" outlineLevel="0" collapsed="false">
      <c r="A91" s="21" t="s">
        <v>207</v>
      </c>
      <c r="E91" s="25"/>
      <c r="F91" s="26" t="str">
        <f aca="false">IF(OR(E91="",E91="!!!"),"",IF(NOT(ISNA(VLOOKUP(E91,E$1:E90,1,FALSE()))),"OLD",IF(AND(E91&lt;&gt;"",E91&lt;&gt;"!!!"),"NEW","")))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7" t="str">
        <f aca="false">IF(OR(E91="",E91="!!!",F91="NEW"),"",INDEX(B23:B$69,-1+SUMPRODUCT(MAX(ROW(E23:E$69)*(E91=E23:E$69)))))</f>
        <v/>
      </c>
      <c r="J91" s="27" t="str">
        <f aca="true">IF(OR(E91="",E91="!!!",F91="NEW"),"",COUNTBLANK(OFFSET(A$1,,,SUMPRODUCT(MAX(ROW(E$2:E91)*(E91=E$2:E91)))))-COUNTBLANK(OFFSET(A$1,,,SUMPRODUCT(MAX(ROW(E$1:E90)*(E2=E$1:E90))))))</f>
        <v/>
      </c>
      <c r="K91" s="27" t="str">
        <f aca="false">IF(OR(E91="",E91="!!!",F91="NEW"),"",INDEX(J$1:J90,SUMPRODUCT(MAX(ROW(E$1:E90)*(E91=E$1:E90)))))</f>
        <v/>
      </c>
      <c r="L91" s="28"/>
    </row>
    <row r="92" customFormat="false" ht="15" hidden="false" customHeight="false" outlineLevel="0" collapsed="false">
      <c r="A92" s="21" t="s">
        <v>233</v>
      </c>
      <c r="B92" s="29" t="s">
        <v>234</v>
      </c>
      <c r="C92" s="29" t="s">
        <v>167</v>
      </c>
      <c r="E92" s="25"/>
      <c r="F92" s="26" t="str">
        <f aca="false">IF(OR(E92="",E92="!!!"),"",IF(NOT(ISNA(VLOOKUP(E92,E$1:E91,1,FALSE()))),"OLD",IF(AND(E92&lt;&gt;"",E92&lt;&gt;"!!!"),"NEW","")))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7" t="str">
        <f aca="false">IF(OR(E92="",E92="!!!",F92="NEW"),"",INDEX(B24:B$69,-1+SUMPRODUCT(MAX(ROW(E24:E$69)*(E92=E24:E$69)))))</f>
        <v/>
      </c>
      <c r="J92" s="27" t="str">
        <f aca="true">IF(OR(E92="",E92="!!!",F92="NEW"),"",COUNTBLANK(OFFSET(A$1,,,SUMPRODUCT(MAX(ROW(E$2:E92)*(E92=E$2:E92)))))-COUNTBLANK(OFFSET(A$1,,,SUMPRODUCT(MAX(ROW(E$1:E91)*(E2=E$1:E91))))))</f>
        <v/>
      </c>
      <c r="K92" s="27" t="str">
        <f aca="false">IF(OR(E92="",E92="!!!",F92="NEW"),"",INDEX(J$1:J91,SUMPRODUCT(MAX(ROW(E$1:E91)*(E92=E$1:E91)))))</f>
        <v/>
      </c>
      <c r="L92" s="28"/>
    </row>
    <row r="93" customFormat="false" ht="15" hidden="false" customHeight="false" outlineLevel="0" collapsed="false">
      <c r="A93" s="21" t="s">
        <v>193</v>
      </c>
      <c r="E93" s="25"/>
      <c r="F93" s="26" t="str">
        <f aca="false">IF(OR(E93="",E93="!!!"),"",IF(NOT(ISNA(VLOOKUP(E93,E$1:E92,1,FALSE()))),"OLD",IF(AND(E93&lt;&gt;"",E93&lt;&gt;"!!!"),"NEW","")))</f>
        <v/>
      </c>
      <c r="G93" s="22" t="str">
        <f aca="false">IF(OR(E93="",E93="!!!"),"",IF(OR(J93=0,AND(J93=1,K93=1),AND(J93=1,I93="SBJ"),AND(J93=1,I93=0)),"?IN_FOCUS",IF(J93&lt;=2,"?ACTIVATED",IF(J93&lt;&gt;"","?FAMILIAR",IF(F93="NEW",IF(ISNA(VLOOKUP(E93,#REF!,1,FALSE())),"?TYPE_IDENTIFIABLE","?REFERENTIAL"),"_")))))</f>
        <v/>
      </c>
      <c r="H93" s="23" t="str">
        <f aca="false">IF(J93&lt;&gt;1,"",IF(I93="SBJ","CB","?"))</f>
        <v/>
      </c>
      <c r="I93" s="27" t="str">
        <f aca="false">IF(OR(E93="",E93="!!!",F93="NEW"),"",INDEX(B25:B$69,-1+SUMPRODUCT(MAX(ROW(E25:E$69)*(E93=E25:E$69)))))</f>
        <v/>
      </c>
      <c r="J93" s="27" t="str">
        <f aca="true">IF(OR(E93="",E93="!!!",F93="NEW"),"",COUNTBLANK(OFFSET(A$1,,,SUMPRODUCT(MAX(ROW(E$2:E93)*(E93=E$2:E93)))))-COUNTBLANK(OFFSET(A$1,,,SUMPRODUCT(MAX(ROW(E$1:E92)*(E2=E$1:E92))))))</f>
        <v/>
      </c>
      <c r="K93" s="27" t="str">
        <f aca="false">IF(OR(E93="",E93="!!!",F93="NEW"),"",INDEX(J$1:J92,SUMPRODUCT(MAX(ROW(E$1:E92)*(E93=E$1:E92)))))</f>
        <v/>
      </c>
      <c r="L93" s="28"/>
    </row>
    <row r="94" customFormat="false" ht="15" hidden="false" customHeight="false" outlineLevel="0" collapsed="false">
      <c r="A94" s="21"/>
      <c r="G94" s="22" t="str">
        <f aca="false">IF(OR(E94="",E94="!!!"),"",IF(OR(J94=0,AND(J94=1,K94=1),AND(J94=1,I94="SBJ"),AND(J94=1,I94=0)),"?IN_FOCUS",IF(J94&lt;=2,"?ACTIVATED",IF(J94&lt;&gt;"","?FAMILIAR",IF(F94="NEW",IF(ISNA(VLOOKUP(E94,#REF!,1,FALSE())),"?TYPE_IDENTIFIABLE","?REFERENTIAL"),"_")))))</f>
        <v/>
      </c>
      <c r="H94" s="23" t="str">
        <f aca="false">IF(J94&lt;&gt;1,"",IF(I94="SBJ","CB","?"))</f>
        <v/>
      </c>
    </row>
    <row r="95" customFormat="false" ht="15" hidden="false" customHeight="false" outlineLevel="0" collapsed="false">
      <c r="A95" s="21" t="s">
        <v>235</v>
      </c>
      <c r="G95" s="22" t="str">
        <f aca="false">IF(OR(E95="",E95="!!!"),"",IF(OR(J95=0,AND(J95=1,K95=1),AND(J95=1,I95="SBJ"),AND(J95=1,I95=0)),"?IN_FOCUS",IF(J95&lt;=2,"?ACTIVATED",IF(J95&lt;&gt;"","?FAMILIAR",IF(F95="NEW",IF(ISNA(VLOOKUP(E95,#REF!,1,FALSE())),"?TYPE_IDENTIFIABLE","?REFERENTIAL"),"_")))))</f>
        <v/>
      </c>
      <c r="H95" s="23" t="str">
        <f aca="false">IF(J95&lt;&gt;1,"",IF(I95="SBJ","CB","?"))</f>
        <v/>
      </c>
    </row>
    <row r="96" customFormat="false" ht="15" hidden="false" customHeight="false" outlineLevel="0" collapsed="false">
      <c r="A96" s="21" t="s">
        <v>236</v>
      </c>
      <c r="E96" s="25"/>
      <c r="F96" s="26" t="str">
        <f aca="false">IF(OR(E96="",E96="!!!"),"",IF(NOT(ISNA(VLOOKUP(E96,E$1:E95,1,FALSE()))),"OLD",IF(AND(E96&lt;&gt;"",E96&lt;&gt;"!!!"),"NEW","")))</f>
        <v/>
      </c>
      <c r="G96" s="22" t="str">
        <f aca="false">IF(OR(E96="",E96="!!!"),"",IF(OR(J96=0,AND(J96=1,K96=1),AND(J96=1,I96="SBJ"),AND(J96=1,I96=0)),"?IN_FOCUS",IF(J96&lt;=2,"?ACTIVATED",IF(J96&lt;&gt;"","?FAMILIAR",IF(F96="NEW",IF(ISNA(VLOOKUP(E96,#REF!,1,FALSE())),"?TYPE_IDENTIFIABLE","?REFERENTIAL"),"_")))))</f>
        <v/>
      </c>
      <c r="H96" s="23" t="str">
        <f aca="false">IF(J96&lt;&gt;1,"",IF(I96="SBJ","CB","?"))</f>
        <v/>
      </c>
      <c r="I96" s="27" t="str">
        <f aca="false">IF(OR(E96="",E96="!!!",F96="NEW"),"",INDEX(B2:B$95,-1+SUMPRODUCT(MAX(ROW(E2:E$95)*(E96=E2:E$95)))))</f>
        <v/>
      </c>
      <c r="J96" s="27" t="str">
        <f aca="true">IF(OR(E96="",E96="!!!",F96="NEW"),"",COUNTBLANK(OFFSET(A$1,,,SUMPRODUCT(MAX(ROW(E$2:E96)*(E96=E$2:E96)))))-COUNTBLANK(OFFSET(A$1,,,SUMPRODUCT(MAX(ROW(E$1:E95)*(E2=E$1:E95))))))</f>
        <v/>
      </c>
      <c r="K96" s="27" t="str">
        <f aca="false">IF(OR(E96="",E96="!!!",F96="NEW"),"",INDEX(J$1:J95,SUMPRODUCT(MAX(ROW(E$1:E95)*(E96=E$1:E95)))))</f>
        <v/>
      </c>
      <c r="L96" s="28"/>
    </row>
    <row r="97" customFormat="false" ht="15" hidden="false" customHeight="false" outlineLevel="0" collapsed="false">
      <c r="A97" s="21" t="s">
        <v>237</v>
      </c>
      <c r="E97" s="25"/>
      <c r="F97" s="26" t="str">
        <f aca="false">IF(OR(E97="",E97="!!!"),"",IF(NOT(ISNA(VLOOKUP(E97,E$1:E96,1,FALSE()))),"OLD",IF(AND(E97&lt;&gt;"",E97&lt;&gt;"!!!"),"NEW","")))</f>
        <v/>
      </c>
      <c r="G97" s="22" t="str">
        <f aca="false">IF(OR(E97="",E97="!!!"),"",IF(OR(J97=0,AND(J97=1,K97=1),AND(J97=1,I97="SBJ"),AND(J97=1,I97=0)),"?IN_FOCUS",IF(J97&lt;=2,"?ACTIVATED",IF(J97&lt;&gt;"","?FAMILIAR",IF(F97="NEW",IF(ISNA(VLOOKUP(E97,#REF!,1,FALSE())),"?TYPE_IDENTIFIABLE","?REFERENTIAL"),"_")))))</f>
        <v/>
      </c>
      <c r="H97" s="23" t="str">
        <f aca="false">IF(J97&lt;&gt;1,"",IF(I97="SBJ","CB","?"))</f>
        <v/>
      </c>
      <c r="I97" s="27" t="str">
        <f aca="false">IF(OR(E97="",E97="!!!",F97="NEW"),"",INDEX(B3:B$95,-1+SUMPRODUCT(MAX(ROW(E3:E$95)*(E97=E3:E$95)))))</f>
        <v/>
      </c>
      <c r="J97" s="27" t="str">
        <f aca="true">IF(OR(E97="",E97="!!!",F97="NEW"),"",COUNTBLANK(OFFSET(A$1,,,SUMPRODUCT(MAX(ROW(E$2:E97)*(E97=E$2:E97)))))-COUNTBLANK(OFFSET(A$1,,,SUMPRODUCT(MAX(ROW(E$1:E96)*(E2=E$1:E96))))))</f>
        <v/>
      </c>
      <c r="K97" s="27" t="str">
        <f aca="false">IF(OR(E97="",E97="!!!",F97="NEW"),"",INDEX(J$1:J96,SUMPRODUCT(MAX(ROW(E$1:E96)*(E97=E$1:E96)))))</f>
        <v/>
      </c>
      <c r="L97" s="28"/>
    </row>
    <row r="98" customFormat="false" ht="15" hidden="false" customHeight="false" outlineLevel="0" collapsed="false">
      <c r="A98" s="21" t="s">
        <v>178</v>
      </c>
      <c r="E98" s="25"/>
      <c r="F98" s="26" t="str">
        <f aca="false">IF(OR(E98="",E98="!!!"),"",IF(NOT(ISNA(VLOOKUP(E98,E$1:E97,1,FALSE()))),"OLD",IF(AND(E98&lt;&gt;"",E98&lt;&gt;"!!!"),"NEW","")))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7" t="str">
        <f aca="false">IF(OR(E98="",E98="!!!",F98="NEW"),"",INDEX(B4:B$95,-1+SUMPRODUCT(MAX(ROW(E4:E$95)*(E98=E4:E$95)))))</f>
        <v/>
      </c>
      <c r="J98" s="27" t="str">
        <f aca="true">IF(OR(E98="",E98="!!!",F98="NEW"),"",COUNTBLANK(OFFSET(A$1,,,SUMPRODUCT(MAX(ROW(E$2:E98)*(E98=E$2:E98)))))-COUNTBLANK(OFFSET(A$1,,,SUMPRODUCT(MAX(ROW(E$1:E97)*(E2=E$1:E97))))))</f>
        <v/>
      </c>
      <c r="K98" s="27" t="str">
        <f aca="false">IF(OR(E98="",E98="!!!",F98="NEW"),"",INDEX(J$1:J97,SUMPRODUCT(MAX(ROW(E$1:E97)*(E98=E$1:E97)))))</f>
        <v/>
      </c>
      <c r="L98" s="28"/>
    </row>
    <row r="99" customFormat="false" ht="15" hidden="false" customHeight="false" outlineLevel="0" collapsed="false">
      <c r="A99" s="21" t="s">
        <v>238</v>
      </c>
      <c r="E99" s="25"/>
      <c r="F99" s="26" t="str">
        <f aca="false">IF(OR(E99="",E99="!!!"),"",IF(NOT(ISNA(VLOOKUP(E99,E$1:E98,1,FALSE()))),"OLD",IF(AND(E99&lt;&gt;"",E99&lt;&gt;"!!!"),"NEW","")))</f>
        <v/>
      </c>
      <c r="G99" s="22" t="str">
        <f aca="false">IF(OR(E99="",E99="!!!"),"",IF(OR(J99=0,AND(J99=1,K99=1),AND(J99=1,I99="SBJ"),AND(J99=1,I99=0)),"?IN_FOCUS",IF(J99&lt;=2,"?ACTIVATED",IF(J99&lt;&gt;"","?FAMILIAR",IF(F99="NEW",IF(ISNA(VLOOKUP(E99,#REF!,1,FALSE())),"?TYPE_IDENTIFIABLE","?REFERENTIAL"),"_")))))</f>
        <v/>
      </c>
      <c r="H99" s="23" t="str">
        <f aca="false">IF(J99&lt;&gt;1,"",IF(I99="SBJ","CB","?"))</f>
        <v/>
      </c>
      <c r="I99" s="27" t="str">
        <f aca="false">IF(OR(E99="",E99="!!!",F99="NEW"),"",INDEX(B5:B$95,-1+SUMPRODUCT(MAX(ROW(E5:E$95)*(E99=E5:E$95)))))</f>
        <v/>
      </c>
      <c r="J99" s="27" t="str">
        <f aca="true">IF(OR(E99="",E99="!!!",F99="NEW"),"",COUNTBLANK(OFFSET(A$1,,,SUMPRODUCT(MAX(ROW(E$2:E99)*(E99=E$2:E99)))))-COUNTBLANK(OFFSET(A$1,,,SUMPRODUCT(MAX(ROW(E$1:E98)*(E2=E$1:E98))))))</f>
        <v/>
      </c>
      <c r="K99" s="27" t="str">
        <f aca="false">IF(OR(E99="",E99="!!!",F99="NEW"),"",INDEX(J$1:J98,SUMPRODUCT(MAX(ROW(E$1:E98)*(E99=E$1:E98)))))</f>
        <v/>
      </c>
      <c r="L99" s="28"/>
    </row>
    <row r="100" customFormat="false" ht="15" hidden="false" customHeight="false" outlineLevel="0" collapsed="false">
      <c r="A100" s="21" t="s">
        <v>165</v>
      </c>
      <c r="E100" s="25"/>
      <c r="F100" s="26" t="str">
        <f aca="false">IF(OR(E100="",E100="!!!"),"",IF(NOT(ISNA(VLOOKUP(E100,E$1:E99,1,FALSE()))),"OLD",IF(AND(E100&lt;&gt;"",E100&lt;&gt;"!!!"),"NEW","")))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7" t="str">
        <f aca="false">IF(OR(E100="",E100="!!!",F100="NEW"),"",INDEX(B6:B$95,-1+SUMPRODUCT(MAX(ROW(E6:E$95)*(E100=E6:E$95)))))</f>
        <v/>
      </c>
      <c r="J100" s="27" t="str">
        <f aca="true">IF(OR(E100="",E100="!!!",F100="NEW"),"",COUNTBLANK(OFFSET(A$1,,,SUMPRODUCT(MAX(ROW(E$2:E100)*(E100=E$2:E100)))))-COUNTBLANK(OFFSET(A$1,,,SUMPRODUCT(MAX(ROW(E$1:E99)*(E2=E$1:E99))))))</f>
        <v/>
      </c>
      <c r="K100" s="27" t="str">
        <f aca="false">IF(OR(E100="",E100="!!!",F100="NEW"),"",INDEX(J$1:J99,SUMPRODUCT(MAX(ROW(E$1:E99)*(E100=E$1:E99)))))</f>
        <v/>
      </c>
      <c r="L100" s="28"/>
    </row>
    <row r="101" customFormat="false" ht="15" hidden="false" customHeight="false" outlineLevel="0" collapsed="false">
      <c r="A101" s="21" t="s">
        <v>239</v>
      </c>
      <c r="B101" s="29" t="s">
        <v>210</v>
      </c>
      <c r="C101" s="29" t="s">
        <v>240</v>
      </c>
      <c r="D101" s="29" t="s">
        <v>159</v>
      </c>
      <c r="E101" s="25" t="s">
        <v>16</v>
      </c>
      <c r="F101" s="30" t="str">
        <f aca="false">IF(OR(E101="",E101="!!!"),"",IF(NOT(ISNA(VLOOKUP(E101,E$1:E100,1,FALSE()))),"OLD",IF(AND(E101&lt;&gt;"",E101&lt;&gt;"!!!"),"NEW","")))</f>
        <v>OLD</v>
      </c>
      <c r="G101" s="22" t="s">
        <v>182</v>
      </c>
      <c r="H101" s="23" t="s">
        <v>147</v>
      </c>
      <c r="I101" s="31" t="n">
        <f aca="false">IF(OR(E101="",E101="!!!",F101="NEW"),"",INDEX(B7:B$95,-1+SUMPRODUCT(MAX(ROW(E7:E$95)*(E101=E7:E$95)))))</f>
        <v>0</v>
      </c>
      <c r="J101" s="27" t="n">
        <f aca="true">IF(OR(E101="",E101="!!!",F101="NEW"),"",COUNTBLANK(OFFSET(A$1,,,SUMPRODUCT(MAX(ROW(E$2:E101)*(E101=E$2:E101)))))-COUNTBLANK(OFFSET(A$1,,,SUMPRODUCT(MAX(ROW(E$1:E100)*(E2=E$1:E100))))))</f>
        <v>0</v>
      </c>
      <c r="K101" s="27" t="n">
        <f aca="false">IF(OR(E101="",E101="!!!",F101="NEW"),"",INDEX(J$1:J100,SUMPRODUCT(MAX(ROW(E$1:E100)*(E101=E$1:E100)))))</f>
        <v>0</v>
      </c>
      <c r="L101" s="28"/>
    </row>
    <row r="102" customFormat="false" ht="15" hidden="false" customHeight="false" outlineLevel="0" collapsed="false">
      <c r="A102" s="21" t="s">
        <v>241</v>
      </c>
      <c r="E102" s="25"/>
      <c r="F102" s="26" t="str">
        <f aca="false">IF(OR(E102="",E102="!!!"),"",IF(NOT(ISNA(VLOOKUP(E102,E$1:E101,1,FALSE()))),"OLD",IF(AND(E102&lt;&gt;"",E102&lt;&gt;"!!!"),"NEW","")))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7" t="str">
        <f aca="false">IF(OR(E102="",E102="!!!",F102="NEW"),"",INDEX(B8:B$95,-1+SUMPRODUCT(MAX(ROW(E8:E$95)*(E102=E8:E$95)))))</f>
        <v/>
      </c>
      <c r="J102" s="27" t="str">
        <f aca="true">IF(OR(E102="",E102="!!!",F102="NEW"),"",COUNTBLANK(OFFSET(A$1,,,SUMPRODUCT(MAX(ROW(E$2:E102)*(E102=E$2:E102)))))-COUNTBLANK(OFFSET(A$1,,,SUMPRODUCT(MAX(ROW(E$1:E101)*(E2=E$1:E101))))))</f>
        <v/>
      </c>
      <c r="K102" s="27" t="str">
        <f aca="false">IF(OR(E102="",E102="!!!",F102="NEW"),"",INDEX(J$1:J101,SUMPRODUCT(MAX(ROW(E$1:E101)*(E102=E$1:E101)))))</f>
        <v/>
      </c>
      <c r="L102" s="28"/>
    </row>
    <row r="103" customFormat="false" ht="15" hidden="false" customHeight="false" outlineLevel="0" collapsed="false">
      <c r="A103" s="21" t="s">
        <v>242</v>
      </c>
      <c r="B103" s="29" t="s">
        <v>190</v>
      </c>
      <c r="C103" s="29" t="s">
        <v>243</v>
      </c>
      <c r="D103" s="29" t="s">
        <v>159</v>
      </c>
      <c r="E103" s="25" t="s">
        <v>244</v>
      </c>
      <c r="F103" s="30" t="str">
        <f aca="false">IF(OR(E103="",E103="!!!"),"",IF(NOT(ISNA(VLOOKUP(E103,E$1:E102,1,FALSE()))),"OLD",IF(AND(E103&lt;&gt;"",E103&lt;&gt;"!!!"),"NEW","")))</f>
        <v>NEW</v>
      </c>
      <c r="G103" s="22" t="s">
        <v>160</v>
      </c>
      <c r="H103" s="23"/>
      <c r="I103" s="31" t="str">
        <f aca="false">IF(OR(E103="",E103="!!!",F103="NEW"),"",INDEX(B9:B$95,-1+SUMPRODUCT(MAX(ROW(E9:E$95)*(E103=E9:E$95)))))</f>
        <v/>
      </c>
      <c r="J103" s="31" t="str">
        <f aca="true">IF(OR(E103="",E103="!!!",F103="NEW"),"",COUNTBLANK(OFFSET(A$1,,,SUMPRODUCT(MAX(ROW(E$2:E103)*(E103=E$2:E103)))))-COUNTBLANK(OFFSET(A$1,,,SUMPRODUCT(MAX(ROW(E$1:E102)*(E2=E$1:E102))))))</f>
        <v/>
      </c>
      <c r="K103" s="31" t="str">
        <f aca="false">IF(OR(E103="",E103="!!!",F103="NEW"),"",INDEX(J$1:J102,SUMPRODUCT(MAX(ROW(E$1:E102)*(E103=E$1:E102)))))</f>
        <v/>
      </c>
      <c r="L103" s="28"/>
    </row>
    <row r="104" customFormat="false" ht="15" hidden="false" customHeight="false" outlineLevel="0" collapsed="false">
      <c r="A104" s="21" t="s">
        <v>245</v>
      </c>
      <c r="E104" s="25"/>
      <c r="F104" s="26" t="str">
        <f aca="false">IF(OR(E104="",E104="!!!"),"",IF(NOT(ISNA(VLOOKUP(E104,E$1:E103,1,FALSE()))),"OLD",IF(AND(E104&lt;&gt;"",E104&lt;&gt;"!!!"),"NEW","")))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7" t="str">
        <f aca="false">IF(OR(E104="",E104="!!!",F104="NEW"),"",INDEX(B10:B$95,-1+SUMPRODUCT(MAX(ROW(E10:E$95)*(E104=E10:E$95)))))</f>
        <v/>
      </c>
      <c r="J104" s="27" t="str">
        <f aca="true">IF(OR(E104="",E104="!!!",F104="NEW"),"",COUNTBLANK(OFFSET(A$1,,,SUMPRODUCT(MAX(ROW(E$2:E104)*(E104=E$2:E104)))))-COUNTBLANK(OFFSET(A$1,,,SUMPRODUCT(MAX(ROW(E$1:E103)*(E2=E$1:E103))))))</f>
        <v/>
      </c>
      <c r="K104" s="27" t="str">
        <f aca="false">IF(OR(E104="",E104="!!!",F104="NEW"),"",INDEX(J$1:J103,SUMPRODUCT(MAX(ROW(E$1:E103)*(E104=E$1:E103)))))</f>
        <v/>
      </c>
      <c r="L104" s="28"/>
    </row>
    <row r="105" customFormat="false" ht="15" hidden="false" customHeight="false" outlineLevel="0" collapsed="false">
      <c r="A105" s="21" t="s">
        <v>246</v>
      </c>
      <c r="E105" s="25"/>
      <c r="F105" s="26" t="str">
        <f aca="false">IF(OR(E105="",E105="!!!"),"",IF(NOT(ISNA(VLOOKUP(E105,E$1:E104,1,FALSE()))),"OLD",IF(AND(E105&lt;&gt;"",E105&lt;&gt;"!!!"),"NEW","")))</f>
        <v/>
      </c>
      <c r="G105" s="22" t="str">
        <f aca="false">IF(OR(E105="",E105="!!!"),"",IF(OR(J105=0,AND(J105=1,K105=1),AND(J105=1,I105="SBJ"),AND(J105=1,I105=0)),"?IN_FOCUS",IF(J105&lt;=2,"?ACTIVATED",IF(J105&lt;&gt;"","?FAMILIAR",IF(F105="NEW",IF(ISNA(VLOOKUP(E105,#REF!,1,FALSE())),"?TYPE_IDENTIFIABLE","?REFERENTIAL"),"_")))))</f>
        <v/>
      </c>
      <c r="H105" s="23" t="str">
        <f aca="false">IF(J105&lt;&gt;1,"",IF(I105="SBJ","CB","?"))</f>
        <v/>
      </c>
      <c r="I105" s="27" t="str">
        <f aca="false">IF(OR(E105="",E105="!!!",F105="NEW"),"",INDEX(B11:B$95,-1+SUMPRODUCT(MAX(ROW(E11:E$95)*(E105=E11:E$95)))))</f>
        <v/>
      </c>
      <c r="J105" s="27" t="str">
        <f aca="true">IF(OR(E105="",E105="!!!",F105="NEW"),"",COUNTBLANK(OFFSET(A$1,,,SUMPRODUCT(MAX(ROW(E$2:E105)*(E105=E$2:E105)))))-COUNTBLANK(OFFSET(A$1,,,SUMPRODUCT(MAX(ROW(E$1:E104)*(E2=E$1:E104))))))</f>
        <v/>
      </c>
      <c r="K105" s="27" t="str">
        <f aca="false">IF(OR(E105="",E105="!!!",F105="NEW"),"",INDEX(J$1:J104,SUMPRODUCT(MAX(ROW(E$1:E104)*(E105=E$1:E104)))))</f>
        <v/>
      </c>
      <c r="L105" s="28"/>
    </row>
    <row r="106" customFormat="false" ht="15" hidden="false" customHeight="false" outlineLevel="0" collapsed="false">
      <c r="A106" s="21" t="s">
        <v>247</v>
      </c>
      <c r="B106" s="29" t="s">
        <v>153</v>
      </c>
      <c r="C106" s="29" t="s">
        <v>154</v>
      </c>
      <c r="E106" s="25"/>
      <c r="F106" s="26" t="str">
        <f aca="false">IF(OR(E106="",E106="!!!"),"",IF(NOT(ISNA(VLOOKUP(E106,E$1:E105,1,FALSE()))),"OLD",IF(AND(E106&lt;&gt;"",E106&lt;&gt;"!!!"),"NEW","")))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7" t="str">
        <f aca="false">IF(OR(E106="",E106="!!!",F106="NEW"),"",INDEX(B12:B$95,-1+SUMPRODUCT(MAX(ROW(E12:E$95)*(E106=E12:E$95)))))</f>
        <v/>
      </c>
      <c r="J106" s="27" t="str">
        <f aca="true">IF(OR(E106="",E106="!!!",F106="NEW"),"",COUNTBLANK(OFFSET(A$1,,,SUMPRODUCT(MAX(ROW(E$2:E106)*(E106=E$2:E106)))))-COUNTBLANK(OFFSET(A$1,,,SUMPRODUCT(MAX(ROW(E$1:E105)*(E2=E$1:E105))))))</f>
        <v/>
      </c>
      <c r="K106" s="27" t="str">
        <f aca="false">IF(OR(E106="",E106="!!!",F106="NEW"),"",INDEX(J$1:J105,SUMPRODUCT(MAX(ROW(E$1:E105)*(E106=E$1:E105)))))</f>
        <v/>
      </c>
      <c r="L106" s="28"/>
    </row>
    <row r="107" customFormat="false" ht="15" hidden="false" customHeight="false" outlineLevel="0" collapsed="false">
      <c r="A107" s="21" t="s">
        <v>248</v>
      </c>
      <c r="E107" s="25"/>
      <c r="F107" s="26" t="str">
        <f aca="false">IF(OR(E107="",E107="!!!"),"",IF(NOT(ISNA(VLOOKUP(E107,E$1:E106,1,FALSE()))),"OLD",IF(AND(E107&lt;&gt;"",E107&lt;&gt;"!!!"),"NEW","")))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7" t="str">
        <f aca="false">IF(OR(E107="",E107="!!!",F107="NEW"),"",INDEX(B13:B$95,-1+SUMPRODUCT(MAX(ROW(E13:E$95)*(E107=E13:E$95)))))</f>
        <v/>
      </c>
      <c r="J107" s="27" t="str">
        <f aca="true">IF(OR(E107="",E107="!!!",F107="NEW"),"",COUNTBLANK(OFFSET(A$1,,,SUMPRODUCT(MAX(ROW(E$2:E107)*(E107=E$2:E107)))))-COUNTBLANK(OFFSET(A$1,,,SUMPRODUCT(MAX(ROW(E$1:E106)*(E2=E$1:E106))))))</f>
        <v/>
      </c>
      <c r="K107" s="27" t="str">
        <f aca="false">IF(OR(E107="",E107="!!!",F107="NEW"),"",INDEX(J$1:J106,SUMPRODUCT(MAX(ROW(E$1:E106)*(E107=E$1:E106)))))</f>
        <v/>
      </c>
      <c r="L107" s="28"/>
    </row>
    <row r="108" customFormat="false" ht="15" hidden="false" customHeight="false" outlineLevel="0" collapsed="false">
      <c r="A108" s="21" t="s">
        <v>179</v>
      </c>
      <c r="B108" s="29" t="s">
        <v>185</v>
      </c>
      <c r="C108" s="29" t="s">
        <v>181</v>
      </c>
      <c r="D108" s="29" t="s">
        <v>159</v>
      </c>
      <c r="E108" s="25" t="s">
        <v>16</v>
      </c>
      <c r="F108" s="30" t="str">
        <f aca="false">IF(OR(E108="",E108="!!!"),"",IF(NOT(ISNA(VLOOKUP(E108,E$1:E107,1,FALSE()))),"OLD",IF(AND(E108&lt;&gt;"",E108&lt;&gt;"!!!"),"NEW","")))</f>
        <v>OLD</v>
      </c>
      <c r="G108" s="22" t="s">
        <v>186</v>
      </c>
      <c r="H108" s="23" t="str">
        <f aca="false">IF(J108&lt;&gt;1,"",IF(I108="SBJ","CB","?"))</f>
        <v/>
      </c>
      <c r="I108" s="31" t="n">
        <f aca="false">IF(OR(E108="",E108="!!!",F108="NEW"),"",INDEX(B14:B$95,-1+SUMPRODUCT(MAX(ROW(E14:E$95)*(E108=E14:E$95)))))</f>
        <v>0</v>
      </c>
      <c r="J108" s="27" t="n">
        <f aca="true">IF(OR(E108="",E108="!!!",F108="NEW"),"",COUNTBLANK(OFFSET(A$1,,,SUMPRODUCT(MAX(ROW(E$2:E108)*(E108=E$2:E108)))))-COUNTBLANK(OFFSET(A$1,,,SUMPRODUCT(MAX(ROW(E$1:E107)*(E2=E$1:E107))))))</f>
        <v>0</v>
      </c>
      <c r="K108" s="27" t="n">
        <f aca="false">IF(OR(E108="",E108="!!!",F108="NEW"),"",INDEX(J$1:J107,SUMPRODUCT(MAX(ROW(E$1:E107)*(E108=E$1:E107)))))</f>
        <v>0</v>
      </c>
      <c r="L108" s="28"/>
    </row>
    <row r="109" customFormat="false" ht="15" hidden="false" customHeight="false" outlineLevel="0" collapsed="false">
      <c r="A109" s="21" t="s">
        <v>187</v>
      </c>
      <c r="E109" s="25"/>
      <c r="F109" s="26" t="str">
        <f aca="false">IF(OR(E109="",E109="!!!"),"",IF(NOT(ISNA(VLOOKUP(E109,E$1:E108,1,FALSE()))),"OLD",IF(AND(E109&lt;&gt;"",E109&lt;&gt;"!!!"),"NEW","")))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7" t="str">
        <f aca="false">IF(OR(E109="",E109="!!!",F109="NEW"),"",INDEX(B15:B$95,-1+SUMPRODUCT(MAX(ROW(E15:E$95)*(E109=E15:E$95)))))</f>
        <v/>
      </c>
      <c r="J109" s="27" t="str">
        <f aca="true">IF(OR(E109="",E109="!!!",F109="NEW"),"",COUNTBLANK(OFFSET(A$1,,,SUMPRODUCT(MAX(ROW(E$2:E109)*(E109=E$2:E109)))))-COUNTBLANK(OFFSET(A$1,,,SUMPRODUCT(MAX(ROW(E$1:E108)*(E2=E$1:E108))))))</f>
        <v/>
      </c>
      <c r="K109" s="27" t="str">
        <f aca="false">IF(OR(E109="",E109="!!!",F109="NEW"),"",INDEX(J$1:J108,SUMPRODUCT(MAX(ROW(E$1:E108)*(E109=E$1:E108)))))</f>
        <v/>
      </c>
      <c r="L109" s="28"/>
    </row>
    <row r="110" customFormat="false" ht="15" hidden="false" customHeight="false" outlineLevel="0" collapsed="false">
      <c r="A110" s="21" t="s">
        <v>249</v>
      </c>
      <c r="E110" s="25"/>
      <c r="F110" s="26" t="str">
        <f aca="false">IF(OR(E110="",E110="!!!"),"",IF(NOT(ISNA(VLOOKUP(E110,E$1:E109,1,FALSE()))),"OLD",IF(AND(E110&lt;&gt;"",E110&lt;&gt;"!!!"),"NEW","")))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7" t="str">
        <f aca="false">IF(OR(E110="",E110="!!!",F110="NEW"),"",INDEX(B16:B$95,-1+SUMPRODUCT(MAX(ROW(E16:E$95)*(E110=E16:E$95)))))</f>
        <v/>
      </c>
      <c r="J110" s="27" t="str">
        <f aca="true">IF(OR(E110="",E110="!!!",F110="NEW"),"",COUNTBLANK(OFFSET(A$1,,,SUMPRODUCT(MAX(ROW(E$2:E110)*(E110=E$2:E110)))))-COUNTBLANK(OFFSET(A$1,,,SUMPRODUCT(MAX(ROW(E$1:E109)*(E2=E$1:E109))))))</f>
        <v/>
      </c>
      <c r="K110" s="27" t="str">
        <f aca="false">IF(OR(E110="",E110="!!!",F110="NEW"),"",INDEX(J$1:J109,SUMPRODUCT(MAX(ROW(E$1:E109)*(E110=E$1:E109)))))</f>
        <v/>
      </c>
      <c r="L110" s="28"/>
    </row>
    <row r="111" customFormat="false" ht="15" hidden="false" customHeight="false" outlineLevel="0" collapsed="false">
      <c r="A111" s="21" t="s">
        <v>250</v>
      </c>
      <c r="E111" s="25"/>
      <c r="F111" s="26" t="str">
        <f aca="false">IF(OR(E111="",E111="!!!"),"",IF(NOT(ISNA(VLOOKUP(E111,E$1:E110,1,FALSE()))),"OLD",IF(AND(E111&lt;&gt;"",E111&lt;&gt;"!!!"),"NEW","")))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7" t="str">
        <f aca="false">IF(OR(E111="",E111="!!!",F111="NEW"),"",INDEX(B17:B$95,-1+SUMPRODUCT(MAX(ROW(E17:E$95)*(E111=E17:E$95)))))</f>
        <v/>
      </c>
      <c r="J111" s="27" t="str">
        <f aca="true">IF(OR(E111="",E111="!!!",F111="NEW"),"",COUNTBLANK(OFFSET(A$1,,,SUMPRODUCT(MAX(ROW(E$2:E111)*(E111=E$2:E111)))))-COUNTBLANK(OFFSET(A$1,,,SUMPRODUCT(MAX(ROW(E$1:E110)*(E2=E$1:E110))))))</f>
        <v/>
      </c>
      <c r="K111" s="27" t="str">
        <f aca="false">IF(OR(E111="",E111="!!!",F111="NEW"),"",INDEX(J$1:J110,SUMPRODUCT(MAX(ROW(E$1:E110)*(E111=E$1:E110)))))</f>
        <v/>
      </c>
      <c r="L111" s="28"/>
    </row>
    <row r="112" customFormat="false" ht="15" hidden="false" customHeight="false" outlineLevel="0" collapsed="false">
      <c r="A112" s="21" t="s">
        <v>251</v>
      </c>
      <c r="B112" s="29" t="s">
        <v>190</v>
      </c>
      <c r="C112" s="29" t="s">
        <v>167</v>
      </c>
      <c r="E112" s="25"/>
      <c r="F112" s="26" t="str">
        <f aca="false">IF(OR(E112="",E112="!!!"),"",IF(NOT(ISNA(VLOOKUP(E112,E$1:E111,1,FALSE()))),"OLD",IF(AND(E112&lt;&gt;"",E112&lt;&gt;"!!!"),"NEW","")))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7" t="str">
        <f aca="false">IF(OR(E112="",E112="!!!",F112="NEW"),"",INDEX(B18:B$95,-1+SUMPRODUCT(MAX(ROW(E18:E$95)*(E112=E18:E$95)))))</f>
        <v/>
      </c>
      <c r="J112" s="27" t="str">
        <f aca="true">IF(OR(E112="",E112="!!!",F112="NEW"),"",COUNTBLANK(OFFSET(A$1,,,SUMPRODUCT(MAX(ROW(E$2:E112)*(E112=E$2:E112)))))-COUNTBLANK(OFFSET(A$1,,,SUMPRODUCT(MAX(ROW(E$1:E111)*(E2=E$1:E111))))))</f>
        <v/>
      </c>
      <c r="K112" s="27" t="str">
        <f aca="false">IF(OR(E112="",E112="!!!",F112="NEW"),"",INDEX(J$1:J111,SUMPRODUCT(MAX(ROW(E$1:E111)*(E112=E$1:E111)))))</f>
        <v/>
      </c>
      <c r="L112" s="28"/>
    </row>
    <row r="113" customFormat="false" ht="15" hidden="false" customHeight="false" outlineLevel="0" collapsed="false">
      <c r="A113" s="21" t="s">
        <v>178</v>
      </c>
      <c r="E113" s="25"/>
      <c r="F113" s="26" t="str">
        <f aca="false">IF(OR(E113="",E113="!!!"),"",IF(NOT(ISNA(VLOOKUP(E113,E$1:E112,1,FALSE()))),"OLD",IF(AND(E113&lt;&gt;"",E113&lt;&gt;"!!!"),"NEW","")))</f>
        <v/>
      </c>
      <c r="G113" s="22" t="str">
        <f aca="false">IF(OR(E113="",E113="!!!"),"",IF(OR(J113=0,AND(J113=1,K113=1),AND(J113=1,I113="SBJ"),AND(J113=1,I113=0)),"?IN_FOCUS",IF(J113&lt;=2,"?ACTIVATED",IF(J113&lt;&gt;"","?FAMILIAR",IF(F113="NEW",IF(ISNA(VLOOKUP(E113,#REF!,1,FALSE())),"?TYPE_IDENTIFIABLE","?REFERENTIAL"),"_")))))</f>
        <v/>
      </c>
      <c r="H113" s="23" t="str">
        <f aca="false">IF(J113&lt;&gt;1,"",IF(I113="SBJ","CB","?"))</f>
        <v/>
      </c>
      <c r="I113" s="27" t="str">
        <f aca="false">IF(OR(E113="",E113="!!!",F113="NEW"),"",INDEX(B19:B$95,-1+SUMPRODUCT(MAX(ROW(E19:E$95)*(E113=E19:E$95)))))</f>
        <v/>
      </c>
      <c r="J113" s="27" t="str">
        <f aca="true">IF(OR(E113="",E113="!!!",F113="NEW"),"",COUNTBLANK(OFFSET(A$1,,,SUMPRODUCT(MAX(ROW(E$2:E113)*(E113=E$2:E113)))))-COUNTBLANK(OFFSET(A$1,,,SUMPRODUCT(MAX(ROW(E$1:E112)*(E2=E$1:E112))))))</f>
        <v/>
      </c>
      <c r="K113" s="27" t="str">
        <f aca="false">IF(OR(E113="",E113="!!!",F113="NEW"),"",INDEX(J$1:J112,SUMPRODUCT(MAX(ROW(E$1:E112)*(E113=E$1:E112)))))</f>
        <v/>
      </c>
      <c r="L113" s="28"/>
    </row>
    <row r="114" customFormat="false" ht="15" hidden="false" customHeight="false" outlineLevel="0" collapsed="false">
      <c r="A114" s="21" t="s">
        <v>252</v>
      </c>
      <c r="B114" s="29" t="s">
        <v>153</v>
      </c>
      <c r="C114" s="29" t="s">
        <v>167</v>
      </c>
      <c r="E114" s="25"/>
      <c r="F114" s="26" t="str">
        <f aca="false">IF(OR(E114="",E114="!!!"),"",IF(NOT(ISNA(VLOOKUP(E114,E$1:E113,1,FALSE()))),"OLD",IF(AND(E114&lt;&gt;"",E114&lt;&gt;"!!!"),"NEW","")))</f>
        <v/>
      </c>
      <c r="G114" s="22" t="str">
        <f aca="false">IF(OR(E114="",E114="!!!"),"",IF(OR(J114=0,AND(J114=1,K114=1),AND(J114=1,I114="SBJ"),AND(J114=1,I114=0)),"?IN_FOCUS",IF(J114&lt;=2,"?ACTIVATED",IF(J114&lt;&gt;"","?FAMILIAR",IF(F114="NEW",IF(ISNA(VLOOKUP(E114,#REF!,1,FALSE())),"?TYPE_IDENTIFIABLE","?REFERENTIAL"),"_")))))</f>
        <v/>
      </c>
      <c r="H114" s="23" t="str">
        <f aca="false">IF(J114&lt;&gt;1,"",IF(I114="SBJ","CB","?"))</f>
        <v/>
      </c>
      <c r="I114" s="27" t="str">
        <f aca="false">IF(OR(E114="",E114="!!!",F114="NEW"),"",INDEX(B20:B$95,-1+SUMPRODUCT(MAX(ROW(E20:E$95)*(E114=E20:E$95)))))</f>
        <v/>
      </c>
      <c r="J114" s="27" t="str">
        <f aca="true">IF(OR(E114="",E114="!!!",F114="NEW"),"",COUNTBLANK(OFFSET(A$1,,,SUMPRODUCT(MAX(ROW(E$2:E114)*(E114=E$2:E114)))))-COUNTBLANK(OFFSET(A$1,,,SUMPRODUCT(MAX(ROW(E$1:E113)*(E2=E$1:E113))))))</f>
        <v/>
      </c>
      <c r="K114" s="27" t="str">
        <f aca="false">IF(OR(E114="",E114="!!!",F114="NEW"),"",INDEX(J$1:J113,SUMPRODUCT(MAX(ROW(E$1:E113)*(E114=E$1:E113)))))</f>
        <v/>
      </c>
      <c r="L114" s="28"/>
    </row>
    <row r="115" customFormat="false" ht="15" hidden="false" customHeight="false" outlineLevel="0" collapsed="false">
      <c r="A115" s="21" t="s">
        <v>253</v>
      </c>
      <c r="E115" s="25"/>
      <c r="F115" s="26" t="str">
        <f aca="false">IF(OR(E115="",E115="!!!"),"",IF(NOT(ISNA(VLOOKUP(E115,E$1:E114,1,FALSE()))),"OLD",IF(AND(E115&lt;&gt;"",E115&lt;&gt;"!!!"),"NEW","")))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7" t="str">
        <f aca="false">IF(OR(E115="",E115="!!!",F115="NEW"),"",INDEX(B21:B$95,-1+SUMPRODUCT(MAX(ROW(E21:E$95)*(E115=E21:E$95)))))</f>
        <v/>
      </c>
      <c r="J115" s="27" t="str">
        <f aca="true">IF(OR(E115="",E115="!!!",F115="NEW"),"",COUNTBLANK(OFFSET(A$1,,,SUMPRODUCT(MAX(ROW(E$2:E115)*(E115=E$2:E115)))))-COUNTBLANK(OFFSET(A$1,,,SUMPRODUCT(MAX(ROW(E$1:E114)*(E2=E$1:E114))))))</f>
        <v/>
      </c>
      <c r="K115" s="27" t="str">
        <f aca="false">IF(OR(E115="",E115="!!!",F115="NEW"),"",INDEX(J$1:J114,SUMPRODUCT(MAX(ROW(E$1:E114)*(E115=E$1:E114)))))</f>
        <v/>
      </c>
      <c r="L115" s="28"/>
    </row>
    <row r="116" customFormat="false" ht="15" hidden="false" customHeight="false" outlineLevel="0" collapsed="false">
      <c r="A116" s="21" t="s">
        <v>254</v>
      </c>
      <c r="B116" s="29" t="s">
        <v>190</v>
      </c>
      <c r="C116" s="29" t="s">
        <v>167</v>
      </c>
      <c r="E116" s="25"/>
      <c r="F116" s="26" t="str">
        <f aca="false">IF(OR(E116="",E116="!!!"),"",IF(NOT(ISNA(VLOOKUP(E116,E$1:E115,1,FALSE()))),"OLD",IF(AND(E116&lt;&gt;"",E116&lt;&gt;"!!!"),"NEW","")))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7" t="str">
        <f aca="false">IF(OR(E116="",E116="!!!",F116="NEW"),"",INDEX(B22:B$95,-1+SUMPRODUCT(MAX(ROW(E22:E$95)*(E116=E22:E$95)))))</f>
        <v/>
      </c>
      <c r="J116" s="27" t="str">
        <f aca="true">IF(OR(E116="",E116="!!!",F116="NEW"),"",COUNTBLANK(OFFSET(A$1,,,SUMPRODUCT(MAX(ROW(E$2:E116)*(E116=E$2:E116)))))-COUNTBLANK(OFFSET(A$1,,,SUMPRODUCT(MAX(ROW(E$1:E115)*(E2=E$1:E115))))))</f>
        <v/>
      </c>
      <c r="K116" s="27" t="str">
        <f aca="false">IF(OR(E116="",E116="!!!",F116="NEW"),"",INDEX(J$1:J115,SUMPRODUCT(MAX(ROW(E$1:E115)*(E116=E$1:E115)))))</f>
        <v/>
      </c>
      <c r="L116" s="28"/>
    </row>
    <row r="117" customFormat="false" ht="15" hidden="false" customHeight="false" outlineLevel="0" collapsed="false">
      <c r="A117" s="21" t="s">
        <v>178</v>
      </c>
      <c r="E117" s="25"/>
      <c r="F117" s="26" t="str">
        <f aca="false">IF(OR(E117="",E117="!!!"),"",IF(NOT(ISNA(VLOOKUP(E117,E$1:E116,1,FALSE()))),"OLD",IF(AND(E117&lt;&gt;"",E117&lt;&gt;"!!!"),"NEW","")))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7" t="str">
        <f aca="false">IF(OR(E117="",E117="!!!",F117="NEW"),"",INDEX(B23:B$95,-1+SUMPRODUCT(MAX(ROW(E23:E$95)*(E117=E23:E$95)))))</f>
        <v/>
      </c>
      <c r="J117" s="27" t="str">
        <f aca="true">IF(OR(E117="",E117="!!!",F117="NEW"),"",COUNTBLANK(OFFSET(A$1,,,SUMPRODUCT(MAX(ROW(E$2:E117)*(E117=E$2:E117)))))-COUNTBLANK(OFFSET(A$1,,,SUMPRODUCT(MAX(ROW(E$1:E116)*(E2=E$1:E116))))))</f>
        <v/>
      </c>
      <c r="K117" s="27" t="str">
        <f aca="false">IF(OR(E117="",E117="!!!",F117="NEW"),"",INDEX(J$1:J116,SUMPRODUCT(MAX(ROW(E$1:E116)*(E117=E$1:E116)))))</f>
        <v/>
      </c>
      <c r="L117" s="28"/>
    </row>
    <row r="118" customFormat="false" ht="15" hidden="false" customHeight="false" outlineLevel="0" collapsed="false">
      <c r="A118" s="21" t="s">
        <v>207</v>
      </c>
      <c r="E118" s="25"/>
      <c r="F118" s="26" t="str">
        <f aca="false">IF(OR(E118="",E118="!!!"),"",IF(NOT(ISNA(VLOOKUP(E118,E$1:E117,1,FALSE()))),"OLD",IF(AND(E118&lt;&gt;"",E118&lt;&gt;"!!!"),"NEW","")))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7" t="str">
        <f aca="false">IF(OR(E118="",E118="!!!",F118="NEW"),"",INDEX(B24:B$95,-1+SUMPRODUCT(MAX(ROW(E24:E$95)*(E118=E24:E$95)))))</f>
        <v/>
      </c>
      <c r="J118" s="27" t="str">
        <f aca="true">IF(OR(E118="",E118="!!!",F118="NEW"),"",COUNTBLANK(OFFSET(A$1,,,SUMPRODUCT(MAX(ROW(E$2:E118)*(E118=E$2:E118)))))-COUNTBLANK(OFFSET(A$1,,,SUMPRODUCT(MAX(ROW(E$1:E117)*(E2=E$1:E117))))))</f>
        <v/>
      </c>
      <c r="K118" s="27" t="str">
        <f aca="false">IF(OR(E118="",E118="!!!",F118="NEW"),"",INDEX(J$1:J117,SUMPRODUCT(MAX(ROW(E$1:E117)*(E118=E$1:E117)))))</f>
        <v/>
      </c>
      <c r="L118" s="28"/>
    </row>
    <row r="119" customFormat="false" ht="15" hidden="false" customHeight="false" outlineLevel="0" collapsed="false">
      <c r="A119" s="21" t="s">
        <v>255</v>
      </c>
      <c r="E119" s="25"/>
      <c r="F119" s="26" t="str">
        <f aca="false">IF(OR(E119="",E119="!!!"),"",IF(NOT(ISNA(VLOOKUP(E119,E$1:E118,1,FALSE()))),"OLD",IF(AND(E119&lt;&gt;"",E119&lt;&gt;"!!!"),"NEW","")))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7" t="str">
        <f aca="false">IF(OR(E119="",E119="!!!",F119="NEW"),"",INDEX(B25:B$95,-1+SUMPRODUCT(MAX(ROW(E25:E$95)*(E119=E25:E$95)))))</f>
        <v/>
      </c>
      <c r="J119" s="27" t="str">
        <f aca="true">IF(OR(E119="",E119="!!!",F119="NEW"),"",COUNTBLANK(OFFSET(A$1,,,SUMPRODUCT(MAX(ROW(E$2:E119)*(E119=E$2:E119)))))-COUNTBLANK(OFFSET(A$1,,,SUMPRODUCT(MAX(ROW(E$1:E118)*(E2=E$1:E118))))))</f>
        <v/>
      </c>
      <c r="K119" s="27" t="str">
        <f aca="false">IF(OR(E119="",E119="!!!",F119="NEW"),"",INDEX(J$1:J118,SUMPRODUCT(MAX(ROW(E$1:E118)*(E119=E$1:E118)))))</f>
        <v/>
      </c>
      <c r="L119" s="28"/>
    </row>
    <row r="120" customFormat="false" ht="15" hidden="false" customHeight="false" outlineLevel="0" collapsed="false">
      <c r="A120" s="21" t="s">
        <v>256</v>
      </c>
      <c r="E120" s="25"/>
      <c r="F120" s="26" t="str">
        <f aca="false">IF(OR(E120="",E120="!!!"),"",IF(NOT(ISNA(VLOOKUP(E120,E$1:E119,1,FALSE()))),"OLD",IF(AND(E120&lt;&gt;"",E120&lt;&gt;"!!!"),"NEW","")))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7" t="str">
        <f aca="false">IF(OR(E120="",E120="!!!",F120="NEW"),"",INDEX(B26:B$95,-1+SUMPRODUCT(MAX(ROW(E26:E$95)*(E120=E26:E$95)))))</f>
        <v/>
      </c>
      <c r="J120" s="27" t="str">
        <f aca="true">IF(OR(E120="",E120="!!!",F120="NEW"),"",COUNTBLANK(OFFSET(A$1,,,SUMPRODUCT(MAX(ROW(E$2:E120)*(E120=E$2:E120)))))-COUNTBLANK(OFFSET(A$1,,,SUMPRODUCT(MAX(ROW(E$1:E119)*(E2=E$1:E119))))))</f>
        <v/>
      </c>
      <c r="K120" s="27" t="str">
        <f aca="false">IF(OR(E120="",E120="!!!",F120="NEW"),"",INDEX(J$1:J119,SUMPRODUCT(MAX(ROW(E$1:E119)*(E120=E$1:E119)))))</f>
        <v/>
      </c>
      <c r="L120" s="28"/>
    </row>
    <row r="121" customFormat="false" ht="15" hidden="false" customHeight="false" outlineLevel="0" collapsed="false">
      <c r="A121" s="21" t="s">
        <v>257</v>
      </c>
      <c r="B121" s="29" t="s">
        <v>258</v>
      </c>
      <c r="C121" s="29" t="s">
        <v>164</v>
      </c>
      <c r="E121" s="25"/>
      <c r="F121" s="26" t="str">
        <f aca="false">IF(OR(E121="",E121="!!!"),"",IF(NOT(ISNA(VLOOKUP(E121,E$1:E120,1,FALSE()))),"OLD",IF(AND(E121&lt;&gt;"",E121&lt;&gt;"!!!"),"NEW","")))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7" t="str">
        <f aca="false">IF(OR(E121="",E121="!!!",F121="NEW"),"",INDEX(B27:B$95,-1+SUMPRODUCT(MAX(ROW(E27:E$95)*(E121=E27:E$95)))))</f>
        <v/>
      </c>
      <c r="J121" s="27" t="str">
        <f aca="true">IF(OR(E121="",E121="!!!",F121="NEW"),"",COUNTBLANK(OFFSET(A$1,,,SUMPRODUCT(MAX(ROW(E$2:E121)*(E121=E$2:E121)))))-COUNTBLANK(OFFSET(A$1,,,SUMPRODUCT(MAX(ROW(E$1:E120)*(E2=E$1:E120))))))</f>
        <v/>
      </c>
      <c r="K121" s="27" t="str">
        <f aca="false">IF(OR(E121="",E121="!!!",F121="NEW"),"",INDEX(J$1:J120,SUMPRODUCT(MAX(ROW(E$1:E120)*(E121=E$1:E120)))))</f>
        <v/>
      </c>
      <c r="L121" s="28"/>
    </row>
    <row r="122" customFormat="false" ht="15" hidden="false" customHeight="false" outlineLevel="0" collapsed="false">
      <c r="A122" s="21" t="s">
        <v>165</v>
      </c>
      <c r="E122" s="25"/>
      <c r="F122" s="26" t="str">
        <f aca="false">IF(OR(E122="",E122="!!!"),"",IF(NOT(ISNA(VLOOKUP(E122,E$1:E121,1,FALSE()))),"OLD",IF(AND(E122&lt;&gt;"",E122&lt;&gt;"!!!"),"NEW","")))</f>
        <v/>
      </c>
      <c r="G122" s="22" t="str">
        <f aca="false">IF(OR(E122="",E122="!!!"),"",IF(OR(J122=0,AND(J122=1,K122=1),AND(J122=1,I122="SBJ"),AND(J122=1,I122=0)),"?IN_FOCUS",IF(J122&lt;=2,"?ACTIVATED",IF(J122&lt;&gt;"","?FAMILIAR",IF(F122="NEW",IF(ISNA(VLOOKUP(E122,#REF!,1,FALSE())),"?TYPE_IDENTIFIABLE","?REFERENTIAL"),"_")))))</f>
        <v/>
      </c>
      <c r="H122" s="23" t="str">
        <f aca="false">IF(J122&lt;&gt;1,"",IF(I122="SBJ","CB","?"))</f>
        <v/>
      </c>
      <c r="I122" s="27" t="str">
        <f aca="false">IF(OR(E122="",E122="!!!",F122="NEW"),"",INDEX(B28:B$95,-1+SUMPRODUCT(MAX(ROW(E28:E$95)*(E122=E28:E$95)))))</f>
        <v/>
      </c>
      <c r="J122" s="27" t="str">
        <f aca="true">IF(OR(E122="",E122="!!!",F122="NEW"),"",COUNTBLANK(OFFSET(A$1,,,SUMPRODUCT(MAX(ROW(E$2:E122)*(E122=E$2:E122)))))-COUNTBLANK(OFFSET(A$1,,,SUMPRODUCT(MAX(ROW(E$1:E121)*(E2=E$1:E121))))))</f>
        <v/>
      </c>
      <c r="K122" s="27" t="str">
        <f aca="false">IF(OR(E122="",E122="!!!",F122="NEW"),"",INDEX(J$1:J121,SUMPRODUCT(MAX(ROW(E$1:E121)*(E122=E$1:E121)))))</f>
        <v/>
      </c>
      <c r="L122" s="28"/>
    </row>
    <row r="123" customFormat="false" ht="15" hidden="false" customHeight="false" outlineLevel="0" collapsed="false">
      <c r="A123" s="21" t="s">
        <v>259</v>
      </c>
      <c r="E123" s="25"/>
      <c r="F123" s="26" t="str">
        <f aca="false">IF(OR(E123="",E123="!!!"),"",IF(NOT(ISNA(VLOOKUP(E123,E$1:E122,1,FALSE()))),"OLD",IF(AND(E123&lt;&gt;"",E123&lt;&gt;"!!!"),"NEW","")))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7" t="str">
        <f aca="false">IF(OR(E123="",E123="!!!",F123="NEW"),"",INDEX(B29:B$95,-1+SUMPRODUCT(MAX(ROW(E29:E$95)*(E123=E29:E$95)))))</f>
        <v/>
      </c>
      <c r="J123" s="27" t="str">
        <f aca="true">IF(OR(E123="",E123="!!!",F123="NEW"),"",COUNTBLANK(OFFSET(A$1,,,SUMPRODUCT(MAX(ROW(E$2:E123)*(E123=E$2:E123)))))-COUNTBLANK(OFFSET(A$1,,,SUMPRODUCT(MAX(ROW(E$1:E122)*(E2=E$1:E122))))))</f>
        <v/>
      </c>
      <c r="K123" s="27" t="str">
        <f aca="false">IF(OR(E123="",E123="!!!",F123="NEW"),"",INDEX(J$1:J122,SUMPRODUCT(MAX(ROW(E$1:E122)*(E123=E$1:E122)))))</f>
        <v/>
      </c>
      <c r="L123" s="28"/>
    </row>
    <row r="124" customFormat="false" ht="15" hidden="false" customHeight="false" outlineLevel="0" collapsed="false">
      <c r="A124" s="21" t="s">
        <v>260</v>
      </c>
      <c r="B124" s="29" t="s">
        <v>210</v>
      </c>
      <c r="C124" s="29" t="s">
        <v>167</v>
      </c>
      <c r="E124" s="25"/>
      <c r="F124" s="26" t="str">
        <f aca="false">IF(OR(E124="",E124="!!!"),"",IF(NOT(ISNA(VLOOKUP(E124,E$1:E123,1,FALSE()))),"OLD",IF(AND(E124&lt;&gt;"",E124&lt;&gt;"!!!"),"NEW","")))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7" t="str">
        <f aca="false">IF(OR(E124="",E124="!!!",F124="NEW"),"",INDEX(B30:B$95,-1+SUMPRODUCT(MAX(ROW(E30:E$95)*(E124=E30:E$95)))))</f>
        <v/>
      </c>
      <c r="J124" s="27" t="str">
        <f aca="true">IF(OR(E124="",E124="!!!",F124="NEW"),"",COUNTBLANK(OFFSET(A$1,,,SUMPRODUCT(MAX(ROW(E$2:E124)*(E124=E$2:E124)))))-COUNTBLANK(OFFSET(A$1,,,SUMPRODUCT(MAX(ROW(E$1:E123)*(E2=E$1:E123))))))</f>
        <v/>
      </c>
      <c r="K124" s="27" t="str">
        <f aca="false">IF(OR(E124="",E124="!!!",F124="NEW"),"",INDEX(J$1:J123,SUMPRODUCT(MAX(ROW(E$1:E123)*(E124=E$1:E123)))))</f>
        <v/>
      </c>
      <c r="L124" s="28"/>
    </row>
    <row r="125" customFormat="false" ht="15" hidden="false" customHeight="false" outlineLevel="0" collapsed="false">
      <c r="A125" s="21" t="s">
        <v>261</v>
      </c>
      <c r="E125" s="25"/>
      <c r="F125" s="26" t="str">
        <f aca="false">IF(OR(E125="",E125="!!!"),"",IF(NOT(ISNA(VLOOKUP(E125,E$1:E124,1,FALSE()))),"OLD",IF(AND(E125&lt;&gt;"",E125&lt;&gt;"!!!"),"NEW","")))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7" t="str">
        <f aca="false">IF(OR(E125="",E125="!!!",F125="NEW"),"",INDEX(B31:B$95,-1+SUMPRODUCT(MAX(ROW(E31:E$95)*(E125=E31:E$95)))))</f>
        <v/>
      </c>
      <c r="J125" s="27" t="str">
        <f aca="true">IF(OR(E125="",E125="!!!",F125="NEW"),"",COUNTBLANK(OFFSET(A$1,,,SUMPRODUCT(MAX(ROW(E$2:E125)*(E125=E$2:E125)))))-COUNTBLANK(OFFSET(A$1,,,SUMPRODUCT(MAX(ROW(E$1:E124)*(E2=E$1:E124))))))</f>
        <v/>
      </c>
      <c r="K125" s="27" t="str">
        <f aca="false">IF(OR(E125="",E125="!!!",F125="NEW"),"",INDEX(J$1:J124,SUMPRODUCT(MAX(ROW(E$1:E124)*(E125=E$1:E124)))))</f>
        <v/>
      </c>
      <c r="L125" s="28"/>
    </row>
    <row r="126" customFormat="false" ht="15" hidden="false" customHeight="false" outlineLevel="0" collapsed="false">
      <c r="A126" s="21" t="s">
        <v>262</v>
      </c>
      <c r="E126" s="25"/>
      <c r="F126" s="26" t="str">
        <f aca="false">IF(OR(E126="",E126="!!!"),"",IF(NOT(ISNA(VLOOKUP(E126,E$1:E125,1,FALSE()))),"OLD",IF(AND(E126&lt;&gt;"",E126&lt;&gt;"!!!"),"NEW","")))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7" t="str">
        <f aca="false">IF(OR(E126="",E126="!!!",F126="NEW"),"",INDEX(B32:B$95,-1+SUMPRODUCT(MAX(ROW(E32:E$95)*(E126=E32:E$95)))))</f>
        <v/>
      </c>
      <c r="J126" s="27" t="str">
        <f aca="true">IF(OR(E126="",E126="!!!",F126="NEW"),"",COUNTBLANK(OFFSET(A$1,,,SUMPRODUCT(MAX(ROW(E$2:E126)*(E126=E$2:E126)))))-COUNTBLANK(OFFSET(A$1,,,SUMPRODUCT(MAX(ROW(E$1:E125)*(E2=E$1:E125))))))</f>
        <v/>
      </c>
      <c r="K126" s="27" t="str">
        <f aca="false">IF(OR(E126="",E126="!!!",F126="NEW"),"",INDEX(J$1:J125,SUMPRODUCT(MAX(ROW(E$1:E125)*(E126=E$1:E125)))))</f>
        <v/>
      </c>
      <c r="L126" s="28"/>
    </row>
    <row r="127" customFormat="false" ht="15" hidden="false" customHeight="false" outlineLevel="0" collapsed="false">
      <c r="A127" s="21" t="s">
        <v>263</v>
      </c>
      <c r="B127" s="29" t="s">
        <v>264</v>
      </c>
      <c r="C127" s="29" t="s">
        <v>167</v>
      </c>
      <c r="E127" s="25"/>
      <c r="F127" s="26" t="str">
        <f aca="false">IF(OR(E127="",E127="!!!"),"",IF(NOT(ISNA(VLOOKUP(E127,E$1:E126,1,FALSE()))),"OLD",IF(AND(E127&lt;&gt;"",E127&lt;&gt;"!!!"),"NEW","")))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7" t="str">
        <f aca="false">IF(OR(E127="",E127="!!!",F127="NEW"),"",INDEX(B33:B$95,-1+SUMPRODUCT(MAX(ROW(E33:E$95)*(E127=E33:E$95)))))</f>
        <v/>
      </c>
      <c r="J127" s="27" t="str">
        <f aca="true">IF(OR(E127="",E127="!!!",F127="NEW"),"",COUNTBLANK(OFFSET(A$1,,,SUMPRODUCT(MAX(ROW(E$2:E127)*(E127=E$2:E127)))))-COUNTBLANK(OFFSET(A$1,,,SUMPRODUCT(MAX(ROW(E$1:E126)*(E2=E$1:E126))))))</f>
        <v/>
      </c>
      <c r="K127" s="27" t="str">
        <f aca="false">IF(OR(E127="",E127="!!!",F127="NEW"),"",INDEX(J$1:J126,SUMPRODUCT(MAX(ROW(E$1:E126)*(E127=E$1:E126)))))</f>
        <v/>
      </c>
      <c r="L127" s="28"/>
    </row>
    <row r="128" customFormat="false" ht="15" hidden="false" customHeight="false" outlineLevel="0" collapsed="false">
      <c r="A128" s="21" t="s">
        <v>168</v>
      </c>
      <c r="E128" s="25"/>
      <c r="F128" s="26" t="str">
        <f aca="false">IF(OR(E128="",E128="!!!"),"",IF(NOT(ISNA(VLOOKUP(E128,E$1:E127,1,FALSE()))),"OLD",IF(AND(E128&lt;&gt;"",E128&lt;&gt;"!!!"),"NEW","")))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7" t="str">
        <f aca="false">IF(OR(E128="",E128="!!!",F128="NEW"),"",INDEX(B34:B$95,-1+SUMPRODUCT(MAX(ROW(E34:E$95)*(E128=E34:E$95)))))</f>
        <v/>
      </c>
      <c r="J128" s="27" t="str">
        <f aca="true">IF(OR(E128="",E128="!!!",F128="NEW"),"",COUNTBLANK(OFFSET(A$1,,,SUMPRODUCT(MAX(ROW(E$2:E128)*(E128=E$2:E128)))))-COUNTBLANK(OFFSET(A$1,,,SUMPRODUCT(MAX(ROW(E$1:E127)*(E2=E$1:E127))))))</f>
        <v/>
      </c>
      <c r="K128" s="27" t="str">
        <f aca="false">IF(OR(E128="",E128="!!!",F128="NEW"),"",INDEX(J$1:J127,SUMPRODUCT(MAX(ROW(E$1:E127)*(E128=E$1:E127)))))</f>
        <v/>
      </c>
      <c r="L128" s="28"/>
    </row>
    <row r="129" customFormat="false" ht="15" hidden="false" customHeight="false" outlineLevel="0" collapsed="false">
      <c r="A129" s="21" t="s">
        <v>169</v>
      </c>
      <c r="E129" s="25"/>
      <c r="F129" s="26" t="str">
        <f aca="false">IF(OR(E129="",E129="!!!"),"",IF(NOT(ISNA(VLOOKUP(E129,E$1:E128,1,FALSE()))),"OLD",IF(AND(E129&lt;&gt;"",E129&lt;&gt;"!!!"),"NEW","")))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7" t="str">
        <f aca="false">IF(OR(E129="",E129="!!!",F129="NEW"),"",INDEX(B35:B$95,-1+SUMPRODUCT(MAX(ROW(E35:E$95)*(E129=E35:E$95)))))</f>
        <v/>
      </c>
      <c r="J129" s="27" t="str">
        <f aca="true">IF(OR(E129="",E129="!!!",F129="NEW"),"",COUNTBLANK(OFFSET(A$1,,,SUMPRODUCT(MAX(ROW(E$2:E129)*(E129=E$2:E129)))))-COUNTBLANK(OFFSET(A$1,,,SUMPRODUCT(MAX(ROW(E$1:E128)*(E2=E$1:E128))))))</f>
        <v/>
      </c>
      <c r="K129" s="27" t="str">
        <f aca="false">IF(OR(E129="",E129="!!!",F129="NEW"),"",INDEX(J$1:J128,SUMPRODUCT(MAX(ROW(E$1:E128)*(E129=E$1:E128)))))</f>
        <v/>
      </c>
      <c r="L129" s="28"/>
    </row>
    <row r="130" customFormat="false" ht="15" hidden="false" customHeight="false" outlineLevel="0" collapsed="false">
      <c r="A130" s="21" t="s">
        <v>170</v>
      </c>
      <c r="B130" s="29" t="s">
        <v>210</v>
      </c>
      <c r="C130" s="29" t="s">
        <v>171</v>
      </c>
      <c r="D130" s="29" t="s">
        <v>159</v>
      </c>
      <c r="E130" s="25" t="s">
        <v>172</v>
      </c>
      <c r="F130" s="30" t="str">
        <f aca="false">IF(OR(E130="",E130="!!!"),"",IF(NOT(ISNA(VLOOKUP(E130,E$1:E129,1,FALSE()))),"OLD",IF(AND(E130&lt;&gt;"",E130&lt;&gt;"!!!"),"NEW","")))</f>
        <v>OLD</v>
      </c>
      <c r="G130" s="22" t="s">
        <v>265</v>
      </c>
      <c r="H130" s="23" t="str">
        <f aca="false">IF(J130&lt;&gt;1,"",IF(I130="SBJ","CB","?"))</f>
        <v/>
      </c>
      <c r="I130" s="31" t="e">
        <f aca="false">IF(OR(E130="",E130="!!!",F130="NEW"),"",INDEX(B36:B$95,-1+SUMPRODUCT(MAX(ROW(E36:E$95)*(E130=E36:E$95)))))</f>
        <v>#VALUE!</v>
      </c>
      <c r="J130" s="27" t="n">
        <f aca="true">IF(OR(E130="",E130="!!!",F130="NEW"),"",COUNTBLANK(OFFSET(A$1,,,SUMPRODUCT(MAX(ROW(E$2:E130)*(E130=E$2:E130)))))-COUNTBLANK(OFFSET(A$1,,,SUMPRODUCT(MAX(ROW(E$1:E129)*(E2=E$1:E129))))))</f>
        <v>0</v>
      </c>
      <c r="K130" s="31" t="str">
        <f aca="false">IF(OR(E130="",E130="!!!",F130="NEW"),"",INDEX(J$1:J129,SUMPRODUCT(MAX(ROW(E$1:E129)*(E130=E$1:E129)))))</f>
        <v/>
      </c>
      <c r="L130" s="28"/>
    </row>
    <row r="131" customFormat="false" ht="15" hidden="false" customHeight="false" outlineLevel="0" collapsed="false">
      <c r="A131" s="21" t="s">
        <v>193</v>
      </c>
      <c r="E131" s="25"/>
      <c r="F131" s="26" t="str">
        <f aca="false">IF(OR(E131="",E131="!!!"),"",IF(NOT(ISNA(VLOOKUP(E131,E$1:E130,1,FALSE()))),"OLD",IF(AND(E131&lt;&gt;"",E131&lt;&gt;"!!!"),"NEW","")))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7" t="str">
        <f aca="false">IF(OR(E131="",E131="!!!",F131="NEW"),"",INDEX(B37:B$95,-1+SUMPRODUCT(MAX(ROW(E37:E$95)*(E131=E37:E$95)))))</f>
        <v/>
      </c>
      <c r="J131" s="27" t="str">
        <f aca="true">IF(OR(E131="",E131="!!!",F131="NEW"),"",COUNTBLANK(OFFSET(A$1,,,SUMPRODUCT(MAX(ROW(E$2:E131)*(E131=E$2:E131)))))-COUNTBLANK(OFFSET(A$1,,,SUMPRODUCT(MAX(ROW(E$1:E130)*(E2=E$1:E130))))))</f>
        <v/>
      </c>
      <c r="K131" s="27" t="str">
        <f aca="false">IF(OR(E131="",E131="!!!",F131="NEW"),"",INDEX(J$1:J130,SUMPRODUCT(MAX(ROW(E$1:E130)*(E131=E$1:E130)))))</f>
        <v/>
      </c>
      <c r="L131" s="28"/>
    </row>
    <row r="132" customFormat="false" ht="15" hidden="false" customHeight="false" outlineLevel="0" collapsed="false">
      <c r="A132" s="21"/>
      <c r="G132" s="22" t="str">
        <f aca="false">IF(OR(E132="",E132="!!!"),"",IF(OR(J132=0,AND(J132=1,K132=1),AND(J132=1,I132="SBJ"),AND(J132=1,I132=0)),"?IN_FOCUS",IF(J132&lt;=2,"?ACTIVATED",IF(J132&lt;&gt;"","?FAMILIAR",IF(F132="NEW",IF(ISNA(VLOOKUP(E132,#REF!,1,FALSE())),"?TYPE_IDENTIFIABLE","?REFERENTIAL"),"_")))))</f>
        <v/>
      </c>
      <c r="H132" s="23" t="str">
        <f aca="false">IF(J132&lt;&gt;1,"",IF(I132="SBJ","CB","?"))</f>
        <v/>
      </c>
    </row>
    <row r="133" customFormat="false" ht="15" hidden="false" customHeight="false" outlineLevel="0" collapsed="false">
      <c r="A133" s="21" t="s">
        <v>266</v>
      </c>
      <c r="G133" s="22" t="str">
        <f aca="false">IF(OR(E133="",E133="!!!"),"",IF(OR(J133=0,AND(J133=1,K133=1),AND(J133=1,I133="SBJ"),AND(J133=1,I133=0)),"?IN_FOCUS",IF(J133&lt;=2,"?ACTIVATED",IF(J133&lt;&gt;"","?FAMILIAR",IF(F133="NEW",IF(ISNA(VLOOKUP(E133,#REF!,1,FALSE())),"?TYPE_IDENTIFIABLE","?REFERENTIAL"),"_")))))</f>
        <v/>
      </c>
      <c r="H133" s="23" t="str">
        <f aca="false">IF(J133&lt;&gt;1,"",IF(I133="SBJ","CB","?"))</f>
        <v/>
      </c>
    </row>
    <row r="134" customFormat="false" ht="15" hidden="false" customHeight="false" outlineLevel="0" collapsed="false">
      <c r="A134" s="21" t="s">
        <v>267</v>
      </c>
      <c r="B134" s="29" t="s">
        <v>180</v>
      </c>
      <c r="C134" s="29" t="s">
        <v>167</v>
      </c>
      <c r="E134" s="25"/>
      <c r="F134" s="26" t="str">
        <f aca="false">IF(OR(E134="",E134="!!!"),"",IF(NOT(ISNA(VLOOKUP(E134,E$1:E133,1,FALSE()))),"OLD",IF(AND(E134&lt;&gt;"",E134&lt;&gt;"!!!"),"NEW","")))</f>
        <v/>
      </c>
      <c r="G134" s="22" t="str">
        <f aca="false">IF(OR(E134="",E134="!!!"),"",IF(OR(J134=0,AND(J134=1,K134=1),AND(J134=1,I134="SBJ"),AND(J134=1,I134=0)),"?IN_FOCUS",IF(J134&lt;=2,"?ACTIVATED",IF(J134&lt;&gt;"","?FAMILIAR",IF(F134="NEW",IF(ISNA(VLOOKUP(E134,#REF!,1,FALSE())),"?TYPE_IDENTIFIABLE","?REFERENTIAL"),"_")))))</f>
        <v/>
      </c>
      <c r="H134" s="23" t="str">
        <f aca="false">IF(J134&lt;&gt;1,"",IF(I134="SBJ","CB","?"))</f>
        <v/>
      </c>
      <c r="I134" s="27" t="str">
        <f aca="false">IF(OR(E134="",E134="!!!",F134="NEW"),"",INDEX(B2:B$133,-1+SUMPRODUCT(MAX(ROW(E2:E$133)*(E134=E2:E$133)))))</f>
        <v/>
      </c>
      <c r="J134" s="27" t="str">
        <f aca="true">IF(OR(E134="",E134="!!!",F134="NEW"),"",COUNTBLANK(OFFSET(A$1,,,SUMPRODUCT(MAX(ROW(E$2:E134)*(E134=E$2:E134)))))-COUNTBLANK(OFFSET(A$1,,,SUMPRODUCT(MAX(ROW(E$1:E133)*(E2=E$1:E133))))))</f>
        <v/>
      </c>
      <c r="K134" s="27" t="str">
        <f aca="false">IF(OR(E134="",E134="!!!",F134="NEW"),"",INDEX(J$1:J133,SUMPRODUCT(MAX(ROW(E$1:E133)*(E134=E$1:E133)))))</f>
        <v/>
      </c>
      <c r="L134" s="28"/>
    </row>
    <row r="135" customFormat="false" ht="15" hidden="false" customHeight="false" outlineLevel="0" collapsed="false">
      <c r="A135" s="21" t="s">
        <v>268</v>
      </c>
      <c r="E135" s="25"/>
      <c r="F135" s="26" t="str">
        <f aca="false">IF(OR(E135="",E135="!!!"),"",IF(NOT(ISNA(VLOOKUP(E135,E$1:E134,1,FALSE()))),"OLD",IF(AND(E135&lt;&gt;"",E135&lt;&gt;"!!!"),"NEW","")))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7" t="str">
        <f aca="false">IF(OR(E135="",E135="!!!",F135="NEW"),"",INDEX(B3:B$133,-1+SUMPRODUCT(MAX(ROW(E3:E$133)*(E135=E3:E$133)))))</f>
        <v/>
      </c>
      <c r="J135" s="27" t="str">
        <f aca="true">IF(OR(E135="",E135="!!!",F135="NEW"),"",COUNTBLANK(OFFSET(A$1,,,SUMPRODUCT(MAX(ROW(E$2:E135)*(E135=E$2:E135)))))-COUNTBLANK(OFFSET(A$1,,,SUMPRODUCT(MAX(ROW(E$1:E134)*(E2=E$1:E134))))))</f>
        <v/>
      </c>
      <c r="K135" s="27" t="str">
        <f aca="false">IF(OR(E135="",E135="!!!",F135="NEW"),"",INDEX(J$1:J134,SUMPRODUCT(MAX(ROW(E$1:E134)*(E135=E$1:E134)))))</f>
        <v/>
      </c>
      <c r="L135" s="28"/>
    </row>
    <row r="136" customFormat="false" ht="15" hidden="false" customHeight="false" outlineLevel="0" collapsed="false">
      <c r="A136" s="21" t="s">
        <v>269</v>
      </c>
      <c r="E136" s="25"/>
      <c r="F136" s="26" t="str">
        <f aca="false">IF(OR(E136="",E136="!!!"),"",IF(NOT(ISNA(VLOOKUP(E136,E$1:E135,1,FALSE()))),"OLD",IF(AND(E136&lt;&gt;"",E136&lt;&gt;"!!!"),"NEW","")))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7" t="str">
        <f aca="false">IF(OR(E136="",E136="!!!",F136="NEW"),"",INDEX(B4:B$133,-1+SUMPRODUCT(MAX(ROW(E4:E$133)*(E136=E4:E$133)))))</f>
        <v/>
      </c>
      <c r="J136" s="27" t="str">
        <f aca="true">IF(OR(E136="",E136="!!!",F136="NEW"),"",COUNTBLANK(OFFSET(A$1,,,SUMPRODUCT(MAX(ROW(E$2:E136)*(E136=E$2:E136)))))-COUNTBLANK(OFFSET(A$1,,,SUMPRODUCT(MAX(ROW(E$1:E135)*(E2=E$1:E135))))))</f>
        <v/>
      </c>
      <c r="K136" s="27" t="str">
        <f aca="false">IF(OR(E136="",E136="!!!",F136="NEW"),"",INDEX(J$1:J135,SUMPRODUCT(MAX(ROW(E$1:E135)*(E136=E$1:E135)))))</f>
        <v/>
      </c>
      <c r="L136" s="28"/>
    </row>
    <row r="137" customFormat="false" ht="15" hidden="false" customHeight="false" outlineLevel="0" collapsed="false">
      <c r="A137" s="21" t="s">
        <v>178</v>
      </c>
      <c r="E137" s="25"/>
      <c r="F137" s="26" t="str">
        <f aca="false">IF(OR(E137="",E137="!!!"),"",IF(NOT(ISNA(VLOOKUP(E137,E$1:E136,1,FALSE()))),"OLD",IF(AND(E137&lt;&gt;"",E137&lt;&gt;"!!!"),"NEW","")))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7" t="str">
        <f aca="false">IF(OR(E137="",E137="!!!",F137="NEW"),"",INDEX(B5:B$133,-1+SUMPRODUCT(MAX(ROW(E5:E$133)*(E137=E5:E$133)))))</f>
        <v/>
      </c>
      <c r="J137" s="27" t="str">
        <f aca="true">IF(OR(E137="",E137="!!!",F137="NEW"),"",COUNTBLANK(OFFSET(A$1,,,SUMPRODUCT(MAX(ROW(E$2:E137)*(E137=E$2:E137)))))-COUNTBLANK(OFFSET(A$1,,,SUMPRODUCT(MAX(ROW(E$1:E136)*(E2=E$1:E136))))))</f>
        <v/>
      </c>
      <c r="K137" s="27" t="str">
        <f aca="false">IF(OR(E137="",E137="!!!",F137="NEW"),"",INDEX(J$1:J136,SUMPRODUCT(MAX(ROW(E$1:E136)*(E137=E$1:E136)))))</f>
        <v/>
      </c>
      <c r="L137" s="28"/>
    </row>
    <row r="138" customFormat="false" ht="15" hidden="false" customHeight="false" outlineLevel="0" collapsed="false">
      <c r="A138" s="21" t="s">
        <v>270</v>
      </c>
      <c r="E138" s="25"/>
      <c r="F138" s="26" t="str">
        <f aca="false">IF(OR(E138="",E138="!!!"),"",IF(NOT(ISNA(VLOOKUP(E138,E$1:E137,1,FALSE()))),"OLD",IF(AND(E138&lt;&gt;"",E138&lt;&gt;"!!!"),"NEW","")))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7" t="str">
        <f aca="false">IF(OR(E138="",E138="!!!",F138="NEW"),"",INDEX(B6:B$133,-1+SUMPRODUCT(MAX(ROW(E6:E$133)*(E138=E6:E$133)))))</f>
        <v/>
      </c>
      <c r="J138" s="27" t="str">
        <f aca="true">IF(OR(E138="",E138="!!!",F138="NEW"),"",COUNTBLANK(OFFSET(A$1,,,SUMPRODUCT(MAX(ROW(E$2:E138)*(E138=E$2:E138)))))-COUNTBLANK(OFFSET(A$1,,,SUMPRODUCT(MAX(ROW(E$1:E137)*(E2=E$1:E137))))))</f>
        <v/>
      </c>
      <c r="K138" s="27" t="str">
        <f aca="false">IF(OR(E138="",E138="!!!",F138="NEW"),"",INDEX(J$1:J137,SUMPRODUCT(MAX(ROW(E$1:E137)*(E138=E$1:E137)))))</f>
        <v/>
      </c>
      <c r="L138" s="28"/>
    </row>
    <row r="139" customFormat="false" ht="15" hidden="false" customHeight="false" outlineLevel="0" collapsed="false">
      <c r="A139" s="21" t="s">
        <v>238</v>
      </c>
      <c r="B139" s="29" t="s">
        <v>271</v>
      </c>
      <c r="E139" s="25"/>
      <c r="F139" s="26" t="str">
        <f aca="false">IF(OR(E139="",E139="!!!"),"",IF(NOT(ISNA(VLOOKUP(E139,E$1:E138,1,FALSE()))),"OLD",IF(AND(E139&lt;&gt;"",E139&lt;&gt;"!!!"),"NEW","")))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7" t="str">
        <f aca="false">IF(OR(E139="",E139="!!!",F139="NEW"),"",INDEX(B7:B$133,-1+SUMPRODUCT(MAX(ROW(E7:E$133)*(E139=E7:E$133)))))</f>
        <v/>
      </c>
      <c r="J139" s="27" t="str">
        <f aca="true">IF(OR(E139="",E139="!!!",F139="NEW"),"",COUNTBLANK(OFFSET(A$1,,,SUMPRODUCT(MAX(ROW(E$2:E139)*(E139=E$2:E139)))))-COUNTBLANK(OFFSET(A$1,,,SUMPRODUCT(MAX(ROW(E$1:E138)*(E2=E$1:E138))))))</f>
        <v/>
      </c>
      <c r="K139" s="27" t="str">
        <f aca="false">IF(OR(E139="",E139="!!!",F139="NEW"),"",INDEX(J$1:J138,SUMPRODUCT(MAX(ROW(E$1:E138)*(E139=E$1:E138)))))</f>
        <v/>
      </c>
      <c r="L139" s="28"/>
    </row>
    <row r="140" customFormat="false" ht="15" hidden="false" customHeight="false" outlineLevel="0" collapsed="false">
      <c r="A140" s="21" t="s">
        <v>165</v>
      </c>
      <c r="E140" s="25"/>
      <c r="F140" s="26" t="str">
        <f aca="false">IF(OR(E140="",E140="!!!"),"",IF(NOT(ISNA(VLOOKUP(E140,E$1:E139,1,FALSE()))),"OLD",IF(AND(E140&lt;&gt;"",E140&lt;&gt;"!!!"),"NEW","")))</f>
        <v/>
      </c>
      <c r="G140" s="22" t="str">
        <f aca="false">IF(OR(E140="",E140="!!!"),"",IF(OR(J140=0,AND(J140=1,K140=1),AND(J140=1,I140="SBJ"),AND(J140=1,I140=0)),"?IN_FOCUS",IF(J140&lt;=2,"?ACTIVATED",IF(J140&lt;&gt;"","?FAMILIAR",IF(F140="NEW",IF(ISNA(VLOOKUP(E140,#REF!,1,FALSE())),"?TYPE_IDENTIFIABLE","?REFERENTIAL"),"_")))))</f>
        <v/>
      </c>
      <c r="H140" s="23" t="str">
        <f aca="false">IF(J140&lt;&gt;1,"",IF(I140="SBJ","CB","?"))</f>
        <v/>
      </c>
      <c r="I140" s="27" t="str">
        <f aca="false">IF(OR(E140="",E140="!!!",F140="NEW"),"",INDEX(B8:B$133,-1+SUMPRODUCT(MAX(ROW(E8:E$133)*(E140=E8:E$133)))))</f>
        <v/>
      </c>
      <c r="J140" s="27" t="str">
        <f aca="true">IF(OR(E140="",E140="!!!",F140="NEW"),"",COUNTBLANK(OFFSET(A$1,,,SUMPRODUCT(MAX(ROW(E$2:E140)*(E140=E$2:E140)))))-COUNTBLANK(OFFSET(A$1,,,SUMPRODUCT(MAX(ROW(E$1:E139)*(E2=E$1:E139))))))</f>
        <v/>
      </c>
      <c r="K140" s="27" t="str">
        <f aca="false">IF(OR(E140="",E140="!!!",F140="NEW"),"",INDEX(J$1:J139,SUMPRODUCT(MAX(ROW(E$1:E139)*(E140=E$1:E139)))))</f>
        <v/>
      </c>
      <c r="L140" s="28"/>
    </row>
    <row r="141" customFormat="false" ht="15" hidden="false" customHeight="false" outlineLevel="0" collapsed="false">
      <c r="A141" s="21" t="s">
        <v>169</v>
      </c>
      <c r="E141" s="25"/>
      <c r="F141" s="26" t="str">
        <f aca="false">IF(OR(E141="",E141="!!!"),"",IF(NOT(ISNA(VLOOKUP(E141,E$1:E140,1,FALSE()))),"OLD",IF(AND(E141&lt;&gt;"",E141&lt;&gt;"!!!"),"NEW","")))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7" t="str">
        <f aca="false">IF(OR(E141="",E141="!!!",F141="NEW"),"",INDEX(B9:B$133,-1+SUMPRODUCT(MAX(ROW(E9:E$133)*(E141=E9:E$133)))))</f>
        <v/>
      </c>
      <c r="J141" s="27" t="str">
        <f aca="true">IF(OR(E141="",E141="!!!",F141="NEW"),"",COUNTBLANK(OFFSET(A$1,,,SUMPRODUCT(MAX(ROW(E$2:E141)*(E141=E$2:E141)))))-COUNTBLANK(OFFSET(A$1,,,SUMPRODUCT(MAX(ROW(E$1:E140)*(E2=E$1:E140))))))</f>
        <v/>
      </c>
      <c r="K141" s="27" t="str">
        <f aca="false">IF(OR(E141="",E141="!!!",F141="NEW"),"",INDEX(J$1:J140,SUMPRODUCT(MAX(ROW(E$1:E140)*(E141=E$1:E140)))))</f>
        <v/>
      </c>
      <c r="L141" s="28"/>
    </row>
    <row r="142" customFormat="false" ht="15" hidden="false" customHeight="false" outlineLevel="0" collapsed="false">
      <c r="A142" s="21" t="s">
        <v>272</v>
      </c>
      <c r="B142" s="29" t="s">
        <v>216</v>
      </c>
      <c r="C142" s="29" t="s">
        <v>171</v>
      </c>
      <c r="D142" s="29" t="s">
        <v>159</v>
      </c>
      <c r="E142" s="25" t="s">
        <v>273</v>
      </c>
      <c r="F142" s="30" t="str">
        <f aca="false">IF(OR(E142="",E142="!!!"),"",IF(NOT(ISNA(VLOOKUP(E142,E$1:E141,1,FALSE()))),"OLD",IF(AND(E142&lt;&gt;"",E142&lt;&gt;"!!!"),"NEW","")))</f>
        <v>NEW</v>
      </c>
      <c r="G142" s="22" t="s">
        <v>160</v>
      </c>
      <c r="H142" s="23" t="str">
        <f aca="false">IF(J142&lt;&gt;1,"",IF(I142="SBJ","CB","?"))</f>
        <v/>
      </c>
      <c r="I142" s="31" t="str">
        <f aca="false">IF(OR(E142="",E142="!!!",F142="NEW"),"",INDEX(B10:B$133,-1+SUMPRODUCT(MAX(ROW(E10:E$133)*(E142=E10:E$133)))))</f>
        <v/>
      </c>
      <c r="J142" s="31" t="str">
        <f aca="true">IF(OR(E142="",E142="!!!",F142="NEW"),"",COUNTBLANK(OFFSET(A$1,,,SUMPRODUCT(MAX(ROW(E$2:E142)*(E142=E$2:E142)))))-COUNTBLANK(OFFSET(A$1,,,SUMPRODUCT(MAX(ROW(E$1:E141)*(E2=E$1:E141))))))</f>
        <v/>
      </c>
      <c r="K142" s="31" t="str">
        <f aca="false">IF(OR(E142="",E142="!!!",F142="NEW"),"",INDEX(J$1:J141,SUMPRODUCT(MAX(ROW(E$1:E141)*(E142=E$1:E141)))))</f>
        <v/>
      </c>
      <c r="L142" s="28"/>
    </row>
    <row r="143" customFormat="false" ht="15" hidden="false" customHeight="false" outlineLevel="0" collapsed="false">
      <c r="A143" s="21" t="s">
        <v>179</v>
      </c>
      <c r="B143" s="29" t="s">
        <v>274</v>
      </c>
      <c r="C143" s="29" t="s">
        <v>181</v>
      </c>
      <c r="D143" s="29" t="s">
        <v>159</v>
      </c>
      <c r="E143" s="25" t="s">
        <v>16</v>
      </c>
      <c r="F143" s="30" t="str">
        <f aca="false">IF(OR(E143="",E143="!!!"),"",IF(NOT(ISNA(VLOOKUP(E143,E$1:E142,1,FALSE()))),"OLD",IF(AND(E143&lt;&gt;"",E143&lt;&gt;"!!!"),"NEW","")))</f>
        <v>OLD</v>
      </c>
      <c r="G143" s="22" t="s">
        <v>182</v>
      </c>
      <c r="H143" s="23" t="s">
        <v>147</v>
      </c>
      <c r="I143" s="31" t="n">
        <f aca="false">IF(OR(E143="",E143="!!!",F143="NEW"),"",INDEX(B11:B$133,-1+SUMPRODUCT(MAX(ROW(E11:E$133)*(E143=E11:E$133)))))</f>
        <v>0</v>
      </c>
      <c r="J143" s="27" t="n">
        <f aca="true">IF(OR(E143="",E143="!!!",F143="NEW"),"",COUNTBLANK(OFFSET(A$1,,,SUMPRODUCT(MAX(ROW(E$2:E143)*(E143=E$2:E143)))))-COUNTBLANK(OFFSET(A$1,,,SUMPRODUCT(MAX(ROW(E$1:E142)*(E2=E$1:E142))))))</f>
        <v>0</v>
      </c>
      <c r="K143" s="27" t="n">
        <f aca="false">IF(OR(E143="",E143="!!!",F143="NEW"),"",INDEX(J$1:J142,SUMPRODUCT(MAX(ROW(E$1:E142)*(E143=E$1:E142)))))</f>
        <v>0</v>
      </c>
      <c r="L143" s="28"/>
    </row>
    <row r="144" customFormat="false" ht="15" hidden="false" customHeight="false" outlineLevel="0" collapsed="false">
      <c r="A144" s="21" t="s">
        <v>275</v>
      </c>
      <c r="E144" s="25"/>
      <c r="F144" s="26" t="str">
        <f aca="false">IF(OR(E144="",E144="!!!"),"",IF(NOT(ISNA(VLOOKUP(E144,E$1:E143,1,FALSE()))),"OLD",IF(AND(E144&lt;&gt;"",E144&lt;&gt;"!!!"),"NEW","")))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7" t="str">
        <f aca="false">IF(OR(E144="",E144="!!!",F144="NEW"),"",INDEX(B12:B$133,-1+SUMPRODUCT(MAX(ROW(E12:E$133)*(E144=E12:E$133)))))</f>
        <v/>
      </c>
      <c r="J144" s="27" t="str">
        <f aca="true">IF(OR(E144="",E144="!!!",F144="NEW"),"",COUNTBLANK(OFFSET(A$1,,,SUMPRODUCT(MAX(ROW(E$2:E144)*(E144=E$2:E144)))))-COUNTBLANK(OFFSET(A$1,,,SUMPRODUCT(MAX(ROW(E$1:E143)*(E2=E$1:E143))))))</f>
        <v/>
      </c>
      <c r="K144" s="27" t="str">
        <f aca="false">IF(OR(E144="",E144="!!!",F144="NEW"),"",INDEX(J$1:J143,SUMPRODUCT(MAX(ROW(E$1:E143)*(E144=E$1:E143)))))</f>
        <v/>
      </c>
      <c r="L144" s="28"/>
    </row>
    <row r="145" customFormat="false" ht="15" hidden="false" customHeight="false" outlineLevel="0" collapsed="false">
      <c r="A145" s="21" t="s">
        <v>276</v>
      </c>
      <c r="E145" s="25"/>
      <c r="F145" s="26" t="str">
        <f aca="false">IF(OR(E145="",E145="!!!"),"",IF(NOT(ISNA(VLOOKUP(E145,E$1:E144,1,FALSE()))),"OLD",IF(AND(E145&lt;&gt;"",E145&lt;&gt;"!!!"),"NEW","")))</f>
        <v/>
      </c>
      <c r="G145" s="22" t="str">
        <f aca="false">IF(OR(E145="",E145="!!!"),"",IF(OR(J145=0,AND(J145=1,K145=1),AND(J145=1,I145="SBJ"),AND(J145=1,I145=0)),"?IN_FOCUS",IF(J145&lt;=2,"?ACTIVATED",IF(J145&lt;&gt;"","?FAMILIAR",IF(F145="NEW",IF(ISNA(VLOOKUP(E145,#REF!,1,FALSE())),"?TYPE_IDENTIFIABLE","?REFERENTIAL"),"_")))))</f>
        <v/>
      </c>
      <c r="H145" s="23" t="str">
        <f aca="false">IF(J145&lt;&gt;1,"",IF(I145="SBJ","CB","?"))</f>
        <v/>
      </c>
      <c r="I145" s="27" t="str">
        <f aca="false">IF(OR(E145="",E145="!!!",F145="NEW"),"",INDEX(B13:B$133,-1+SUMPRODUCT(MAX(ROW(E13:E$133)*(E145=E13:E$133)))))</f>
        <v/>
      </c>
      <c r="J145" s="27" t="str">
        <f aca="true">IF(OR(E145="",E145="!!!",F145="NEW"),"",COUNTBLANK(OFFSET(A$1,,,SUMPRODUCT(MAX(ROW(E$2:E145)*(E145=E$2:E145)))))-COUNTBLANK(OFFSET(A$1,,,SUMPRODUCT(MAX(ROW(E$1:E144)*(E2=E$1:E144))))))</f>
        <v/>
      </c>
      <c r="K145" s="27" t="str">
        <f aca="false">IF(OR(E145="",E145="!!!",F145="NEW"),"",INDEX(J$1:J144,SUMPRODUCT(MAX(ROW(E$1:E144)*(E145=E$1:E144)))))</f>
        <v/>
      </c>
      <c r="L145" s="28"/>
    </row>
    <row r="146" customFormat="false" ht="15" hidden="false" customHeight="false" outlineLevel="0" collapsed="false">
      <c r="A146" s="21" t="s">
        <v>277</v>
      </c>
      <c r="E146" s="25"/>
      <c r="F146" s="26" t="str">
        <f aca="false">IF(OR(E146="",E146="!!!"),"",IF(NOT(ISNA(VLOOKUP(E146,E$1:E145,1,FALSE()))),"OLD",IF(AND(E146&lt;&gt;"",E146&lt;&gt;"!!!"),"NEW","")))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7" t="str">
        <f aca="false">IF(OR(E146="",E146="!!!",F146="NEW"),"",INDEX(B14:B$133,-1+SUMPRODUCT(MAX(ROW(E14:E$133)*(E146=E14:E$133)))))</f>
        <v/>
      </c>
      <c r="J146" s="27" t="str">
        <f aca="true">IF(OR(E146="",E146="!!!",F146="NEW"),"",COUNTBLANK(OFFSET(A$1,,,SUMPRODUCT(MAX(ROW(E$2:E146)*(E146=E$2:E146)))))-COUNTBLANK(OFFSET(A$1,,,SUMPRODUCT(MAX(ROW(E$1:E145)*(E2=E$1:E145))))))</f>
        <v/>
      </c>
      <c r="K146" s="27" t="str">
        <f aca="false">IF(OR(E146="",E146="!!!",F146="NEW"),"",INDEX(J$1:J145,SUMPRODUCT(MAX(ROW(E$1:E145)*(E146=E$1:E145)))))</f>
        <v/>
      </c>
      <c r="L146" s="28"/>
    </row>
    <row r="147" customFormat="false" ht="15" hidden="false" customHeight="false" outlineLevel="0" collapsed="false">
      <c r="A147" s="21" t="s">
        <v>175</v>
      </c>
      <c r="E147" s="25"/>
      <c r="F147" s="26" t="str">
        <f aca="false">IF(OR(E147="",E147="!!!"),"",IF(NOT(ISNA(VLOOKUP(E147,E$1:E146,1,FALSE()))),"OLD",IF(AND(E147&lt;&gt;"",E147&lt;&gt;"!!!"),"NEW","")))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7" t="str">
        <f aca="false">IF(OR(E147="",E147="!!!",F147="NEW"),"",INDEX(B15:B$133,-1+SUMPRODUCT(MAX(ROW(E15:E$133)*(E147=E15:E$133)))))</f>
        <v/>
      </c>
      <c r="J147" s="27" t="str">
        <f aca="true">IF(OR(E147="",E147="!!!",F147="NEW"),"",COUNTBLANK(OFFSET(A$1,,,SUMPRODUCT(MAX(ROW(E$2:E147)*(E147=E$2:E147)))))-COUNTBLANK(OFFSET(A$1,,,SUMPRODUCT(MAX(ROW(E$1:E146)*(E2=E$1:E146))))))</f>
        <v/>
      </c>
      <c r="K147" s="27" t="str">
        <f aca="false">IF(OR(E147="",E147="!!!",F147="NEW"),"",INDEX(J$1:J146,SUMPRODUCT(MAX(ROW(E$1:E146)*(E147=E$1:E146)))))</f>
        <v/>
      </c>
      <c r="L147" s="28"/>
    </row>
    <row r="148" customFormat="false" ht="15" hidden="false" customHeight="false" outlineLevel="0" collapsed="false">
      <c r="A148" s="21" t="s">
        <v>278</v>
      </c>
      <c r="B148" s="29" t="s">
        <v>234</v>
      </c>
      <c r="C148" s="29" t="s">
        <v>164</v>
      </c>
      <c r="E148" s="25"/>
      <c r="F148" s="26" t="str">
        <f aca="false">IF(OR(E148="",E148="!!!"),"",IF(NOT(ISNA(VLOOKUP(E148,E$1:E147,1,FALSE()))),"OLD",IF(AND(E148&lt;&gt;"",E148&lt;&gt;"!!!"),"NEW","")))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7" t="str">
        <f aca="false">IF(OR(E148="",E148="!!!",F148="NEW"),"",INDEX(B16:B$133,-1+SUMPRODUCT(MAX(ROW(E16:E$133)*(E148=E16:E$133)))))</f>
        <v/>
      </c>
      <c r="J148" s="27" t="str">
        <f aca="true">IF(OR(E148="",E148="!!!",F148="NEW"),"",COUNTBLANK(OFFSET(A$1,,,SUMPRODUCT(MAX(ROW(E$2:E148)*(E148=E$2:E148)))))-COUNTBLANK(OFFSET(A$1,,,SUMPRODUCT(MAX(ROW(E$1:E147)*(E2=E$1:E147))))))</f>
        <v/>
      </c>
      <c r="K148" s="27" t="str">
        <f aca="false">IF(OR(E148="",E148="!!!",F148="NEW"),"",INDEX(J$1:J147,SUMPRODUCT(MAX(ROW(E$1:E147)*(E148=E$1:E147)))))</f>
        <v/>
      </c>
      <c r="L148" s="28"/>
    </row>
    <row r="149" customFormat="false" ht="15" hidden="false" customHeight="false" outlineLevel="0" collapsed="false">
      <c r="A149" s="21" t="s">
        <v>12</v>
      </c>
      <c r="E149" s="25"/>
      <c r="F149" s="26" t="str">
        <f aca="false">IF(OR(E149="",E149="!!!"),"",IF(NOT(ISNA(VLOOKUP(E149,E$1:E148,1,FALSE()))),"OLD",IF(AND(E149&lt;&gt;"",E149&lt;&gt;"!!!"),"NEW","")))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7" t="str">
        <f aca="false">IF(OR(E149="",E149="!!!",F149="NEW"),"",INDEX(B17:B$133,-1+SUMPRODUCT(MAX(ROW(E17:E$133)*(E149=E17:E$133)))))</f>
        <v/>
      </c>
      <c r="J149" s="27" t="str">
        <f aca="true">IF(OR(E149="",E149="!!!",F149="NEW"),"",COUNTBLANK(OFFSET(A$1,,,SUMPRODUCT(MAX(ROW(E$2:E149)*(E149=E$2:E149)))))-COUNTBLANK(OFFSET(A$1,,,SUMPRODUCT(MAX(ROW(E$1:E148)*(E2=E$1:E148))))))</f>
        <v/>
      </c>
      <c r="K149" s="27" t="str">
        <f aca="false">IF(OR(E149="",E149="!!!",F149="NEW"),"",INDEX(J$1:J148,SUMPRODUCT(MAX(ROW(E$1:E148)*(E149=E$1:E148)))))</f>
        <v/>
      </c>
      <c r="L149" s="28"/>
    </row>
    <row r="150" customFormat="false" ht="15" hidden="false" customHeight="false" outlineLevel="0" collapsed="false">
      <c r="A150" s="21" t="s">
        <v>279</v>
      </c>
      <c r="E150" s="25"/>
      <c r="F150" s="26" t="str">
        <f aca="false">IF(OR(E150="",E150="!!!"),"",IF(NOT(ISNA(VLOOKUP(E150,E$1:E149,1,FALSE()))),"OLD",IF(AND(E150&lt;&gt;"",E150&lt;&gt;"!!!"),"NEW","")))</f>
        <v/>
      </c>
      <c r="G150" s="22" t="str">
        <f aca="false">IF(OR(E150="",E150="!!!"),"",IF(OR(J150=0,AND(J150=1,K150=1),AND(J150=1,I150="SBJ"),AND(J150=1,I150=0)),"?IN_FOCUS",IF(J150&lt;=2,"?ACTIVATED",IF(J150&lt;&gt;"","?FAMILIAR",IF(F150="NEW",IF(ISNA(VLOOKUP(E150,#REF!,1,FALSE())),"?TYPE_IDENTIFIABLE","?REFERENTIAL"),"_")))))</f>
        <v/>
      </c>
      <c r="H150" s="23" t="str">
        <f aca="false">IF(J150&lt;&gt;1,"",IF(I150="SBJ","CB","?"))</f>
        <v/>
      </c>
      <c r="I150" s="27" t="str">
        <f aca="false">IF(OR(E150="",E150="!!!",F150="NEW"),"",INDEX(B18:B$133,-1+SUMPRODUCT(MAX(ROW(E18:E$133)*(E150=E18:E$133)))))</f>
        <v/>
      </c>
      <c r="J150" s="27" t="str">
        <f aca="true">IF(OR(E150="",E150="!!!",F150="NEW"),"",COUNTBLANK(OFFSET(A$1,,,SUMPRODUCT(MAX(ROW(E$2:E150)*(E150=E$2:E150)))))-COUNTBLANK(OFFSET(A$1,,,SUMPRODUCT(MAX(ROW(E$1:E149)*(E2=E$1:E149))))))</f>
        <v/>
      </c>
      <c r="K150" s="27" t="str">
        <f aca="false">IF(OR(E150="",E150="!!!",F150="NEW"),"",INDEX(J$1:J149,SUMPRODUCT(MAX(ROW(E$1:E149)*(E150=E$1:E149)))))</f>
        <v/>
      </c>
      <c r="L150" s="28"/>
    </row>
    <row r="151" customFormat="false" ht="15" hidden="false" customHeight="false" outlineLevel="0" collapsed="false">
      <c r="A151" s="21" t="s">
        <v>207</v>
      </c>
      <c r="E151" s="25"/>
      <c r="F151" s="26" t="str">
        <f aca="false">IF(OR(E151="",E151="!!!"),"",IF(NOT(ISNA(VLOOKUP(E151,E$1:E150,1,FALSE()))),"OLD",IF(AND(E151&lt;&gt;"",E151&lt;&gt;"!!!"),"NEW","")))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7" t="str">
        <f aca="false">IF(OR(E151="",E151="!!!",F151="NEW"),"",INDEX(B19:B$133,-1+SUMPRODUCT(MAX(ROW(E19:E$133)*(E151=E19:E$133)))))</f>
        <v/>
      </c>
      <c r="J151" s="27" t="str">
        <f aca="true">IF(OR(E151="",E151="!!!",F151="NEW"),"",COUNTBLANK(OFFSET(A$1,,,SUMPRODUCT(MAX(ROW(E$2:E151)*(E151=E$2:E151)))))-COUNTBLANK(OFFSET(A$1,,,SUMPRODUCT(MAX(ROW(E$1:E150)*(E2=E$1:E150))))))</f>
        <v/>
      </c>
      <c r="K151" s="27" t="str">
        <f aca="false">IF(OR(E151="",E151="!!!",F151="NEW"),"",INDEX(J$1:J150,SUMPRODUCT(MAX(ROW(E$1:E150)*(E151=E$1:E150)))))</f>
        <v/>
      </c>
      <c r="L151" s="28"/>
    </row>
    <row r="152" customFormat="false" ht="15" hidden="false" customHeight="false" outlineLevel="0" collapsed="false">
      <c r="A152" s="21" t="s">
        <v>280</v>
      </c>
      <c r="E152" s="25"/>
      <c r="F152" s="26" t="str">
        <f aca="false">IF(OR(E152="",E152="!!!"),"",IF(NOT(ISNA(VLOOKUP(E152,E$1:E151,1,FALSE()))),"OLD",IF(AND(E152&lt;&gt;"",E152&lt;&gt;"!!!"),"NEW","")))</f>
        <v/>
      </c>
      <c r="G152" s="22" t="str">
        <f aca="false">IF(OR(E152="",E152="!!!"),"",IF(OR(J152=0,AND(J152=1,K152=1),AND(J152=1,I152="SBJ"),AND(J152=1,I152=0)),"?IN_FOCUS",IF(J152&lt;=2,"?ACTIVATED",IF(J152&lt;&gt;"","?FAMILIAR",IF(F152="NEW",IF(ISNA(VLOOKUP(E152,#REF!,1,FALSE())),"?TYPE_IDENTIFIABLE","?REFERENTIAL"),"_")))))</f>
        <v/>
      </c>
      <c r="H152" s="23" t="str">
        <f aca="false">IF(J152&lt;&gt;1,"",IF(I152="SBJ","CB","?"))</f>
        <v/>
      </c>
      <c r="I152" s="27" t="str">
        <f aca="false">IF(OR(E152="",E152="!!!",F152="NEW"),"",INDEX(B20:B$133,-1+SUMPRODUCT(MAX(ROW(E20:E$133)*(E152=E20:E$133)))))</f>
        <v/>
      </c>
      <c r="J152" s="27" t="str">
        <f aca="true">IF(OR(E152="",E152="!!!",F152="NEW"),"",COUNTBLANK(OFFSET(A$1,,,SUMPRODUCT(MAX(ROW(E$2:E152)*(E152=E$2:E152)))))-COUNTBLANK(OFFSET(A$1,,,SUMPRODUCT(MAX(ROW(E$1:E151)*(E2=E$1:E151))))))</f>
        <v/>
      </c>
      <c r="K152" s="27" t="str">
        <f aca="false">IF(OR(E152="",E152="!!!",F152="NEW"),"",INDEX(J$1:J151,SUMPRODUCT(MAX(ROW(E$1:E151)*(E152=E$1:E151)))))</f>
        <v/>
      </c>
      <c r="L152" s="28"/>
    </row>
    <row r="153" customFormat="false" ht="15" hidden="false" customHeight="false" outlineLevel="0" collapsed="false">
      <c r="A153" s="21" t="s">
        <v>239</v>
      </c>
      <c r="B153" s="29" t="s">
        <v>232</v>
      </c>
      <c r="C153" s="29" t="s">
        <v>240</v>
      </c>
      <c r="D153" s="29" t="s">
        <v>159</v>
      </c>
      <c r="E153" s="25" t="s">
        <v>16</v>
      </c>
      <c r="F153" s="30" t="str">
        <f aca="false">IF(OR(E153="",E153="!!!"),"",IF(NOT(ISNA(VLOOKUP(E153,E$1:E152,1,FALSE()))),"OLD",IF(AND(E153&lt;&gt;"",E153&lt;&gt;"!!!"),"NEW","")))</f>
        <v>OLD</v>
      </c>
      <c r="G153" s="22" t="s">
        <v>186</v>
      </c>
      <c r="H153" s="23" t="str">
        <f aca="false">IF(J153&lt;&gt;1,"",IF(I153="SBJ","CB","?"))</f>
        <v/>
      </c>
      <c r="I153" s="31" t="str">
        <f aca="false">IF(OR(E153="",E153="!!!",F153="NEW"),"",INDEX(B21:B$133,-1+SUMPRODUCT(MAX(ROW(E21:E$133)*(E153=E21:E$133)))))</f>
        <v>OBJ_3</v>
      </c>
      <c r="J153" s="27" t="n">
        <f aca="true">IF(OR(E153="",E153="!!!",F153="NEW"),"",COUNTBLANK(OFFSET(A$1,,,SUMPRODUCT(MAX(ROW(E$2:E153)*(E153=E$2:E153)))))-COUNTBLANK(OFFSET(A$1,,,SUMPRODUCT(MAX(ROW(E$1:E152)*(E2=E$1:E152))))))</f>
        <v>0</v>
      </c>
      <c r="K153" s="27" t="n">
        <f aca="false">IF(OR(E153="",E153="!!!",F153="NEW"),"",INDEX(J$1:J152,SUMPRODUCT(MAX(ROW(E$1:E152)*(E153=E$1:E152)))))</f>
        <v>0</v>
      </c>
      <c r="L153" s="28"/>
    </row>
    <row r="154" customFormat="false" ht="15" hidden="false" customHeight="false" outlineLevel="0" collapsed="false">
      <c r="A154" s="21" t="s">
        <v>281</v>
      </c>
      <c r="B154" s="29" t="s">
        <v>229</v>
      </c>
      <c r="C154" s="29" t="s">
        <v>243</v>
      </c>
      <c r="D154" s="29" t="s">
        <v>159</v>
      </c>
      <c r="E154" s="25" t="s">
        <v>282</v>
      </c>
      <c r="F154" s="30" t="str">
        <f aca="false">IF(OR(E154="",E154="!!!"),"",IF(NOT(ISNA(VLOOKUP(E154,E$1:E153,1,FALSE()))),"OLD",IF(AND(E154&lt;&gt;"",E154&lt;&gt;"!!!"),"NEW","")))</f>
        <v>NEW</v>
      </c>
      <c r="G154" s="22" t="s">
        <v>160</v>
      </c>
      <c r="H154" s="23" t="str">
        <f aca="false">IF(J154&lt;&gt;1,"",IF(I154="SBJ","CB","?"))</f>
        <v/>
      </c>
      <c r="I154" s="31" t="str">
        <f aca="false">IF(OR(E154="",E154="!!!",F154="NEW"),"",INDEX(B22:B$133,-1+SUMPRODUCT(MAX(ROW(E22:E$133)*(E154=E22:E$133)))))</f>
        <v/>
      </c>
      <c r="J154" s="31" t="str">
        <f aca="true">IF(OR(E154="",E154="!!!",F154="NEW"),"",COUNTBLANK(OFFSET(A$1,,,SUMPRODUCT(MAX(ROW(E$2:E154)*(E154=E$2:E154)))))-COUNTBLANK(OFFSET(A$1,,,SUMPRODUCT(MAX(ROW(E$1:E153)*(E2=E$1:E153))))))</f>
        <v/>
      </c>
      <c r="K154" s="31" t="str">
        <f aca="false">IF(OR(E154="",E154="!!!",F154="NEW"),"",INDEX(J$1:J153,SUMPRODUCT(MAX(ROW(E$1:E153)*(E154=E$1:E153)))))</f>
        <v/>
      </c>
      <c r="L154" s="28"/>
    </row>
    <row r="155" customFormat="false" ht="15" hidden="false" customHeight="false" outlineLevel="0" collapsed="false">
      <c r="A155" s="21" t="s">
        <v>283</v>
      </c>
      <c r="E155" s="25"/>
      <c r="F155" s="26" t="str">
        <f aca="false">IF(OR(E155="",E155="!!!"),"",IF(NOT(ISNA(VLOOKUP(E155,E$1:E154,1,FALSE()))),"OLD",IF(AND(E155&lt;&gt;"",E155&lt;&gt;"!!!"),"NEW","")))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7" t="str">
        <f aca="false">IF(OR(E155="",E155="!!!",F155="NEW"),"",INDEX(B23:B$133,-1+SUMPRODUCT(MAX(ROW(E23:E$133)*(E155=E23:E$133)))))</f>
        <v/>
      </c>
      <c r="J155" s="27" t="str">
        <f aca="true">IF(OR(E155="",E155="!!!",F155="NEW"),"",COUNTBLANK(OFFSET(A$1,,,SUMPRODUCT(MAX(ROW(E$2:E155)*(E155=E$2:E155)))))-COUNTBLANK(OFFSET(A$1,,,SUMPRODUCT(MAX(ROW(E$1:E154)*(E2=E$1:E154))))))</f>
        <v/>
      </c>
      <c r="K155" s="27" t="str">
        <f aca="false">IF(OR(E155="",E155="!!!",F155="NEW"),"",INDEX(J$1:J154,SUMPRODUCT(MAX(ROW(E$1:E154)*(E155=E$1:E154)))))</f>
        <v/>
      </c>
      <c r="L155" s="28"/>
    </row>
    <row r="156" customFormat="false" ht="15" hidden="false" customHeight="false" outlineLevel="0" collapsed="false">
      <c r="A156" s="21" t="s">
        <v>284</v>
      </c>
      <c r="B156" s="29" t="s">
        <v>232</v>
      </c>
      <c r="C156" s="29" t="s">
        <v>167</v>
      </c>
      <c r="E156" s="25"/>
      <c r="F156" s="26" t="str">
        <f aca="false">IF(OR(E156="",E156="!!!"),"",IF(NOT(ISNA(VLOOKUP(E156,E$1:E155,1,FALSE()))),"OLD",IF(AND(E156&lt;&gt;"",E156&lt;&gt;"!!!"),"NEW","")))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7" t="str">
        <f aca="false">IF(OR(E156="",E156="!!!",F156="NEW"),"",INDEX(B24:B$133,-1+SUMPRODUCT(MAX(ROW(E24:E$133)*(E156=E24:E$133)))))</f>
        <v/>
      </c>
      <c r="J156" s="27" t="str">
        <f aca="true">IF(OR(E156="",E156="!!!",F156="NEW"),"",COUNTBLANK(OFFSET(A$1,,,SUMPRODUCT(MAX(ROW(E$2:E156)*(E156=E$2:E156)))))-COUNTBLANK(OFFSET(A$1,,,SUMPRODUCT(MAX(ROW(E$1:E155)*(E2=E$1:E155))))))</f>
        <v/>
      </c>
      <c r="K156" s="27" t="str">
        <f aca="false">IF(OR(E156="",E156="!!!",F156="NEW"),"",INDEX(J$1:J155,SUMPRODUCT(MAX(ROW(E$1:E155)*(E156=E$1:E155)))))</f>
        <v/>
      </c>
      <c r="L156" s="28"/>
    </row>
    <row r="157" customFormat="false" ht="15" hidden="false" customHeight="false" outlineLevel="0" collapsed="false">
      <c r="A157" s="21" t="s">
        <v>153</v>
      </c>
      <c r="E157" s="25"/>
      <c r="F157" s="26" t="str">
        <f aca="false">IF(OR(E157="",E157="!!!"),"",IF(NOT(ISNA(VLOOKUP(E157,E$1:E156,1,FALSE()))),"OLD",IF(AND(E157&lt;&gt;"",E157&lt;&gt;"!!!"),"NEW","")))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7" t="str">
        <f aca="false">IF(OR(E157="",E157="!!!",F157="NEW"),"",INDEX(B25:B$133,-1+SUMPRODUCT(MAX(ROW(E25:E$133)*(E157=E25:E$133)))))</f>
        <v/>
      </c>
      <c r="J157" s="27" t="str">
        <f aca="true">IF(OR(E157="",E157="!!!",F157="NEW"),"",COUNTBLANK(OFFSET(A$1,,,SUMPRODUCT(MAX(ROW(E$2:E157)*(E157=E$2:E157)))))-COUNTBLANK(OFFSET(A$1,,,SUMPRODUCT(MAX(ROW(E$1:E156)*(E2=E$1:E156))))))</f>
        <v/>
      </c>
      <c r="K157" s="27" t="str">
        <f aca="false">IF(OR(E157="",E157="!!!",F157="NEW"),"",INDEX(J$1:J156,SUMPRODUCT(MAX(ROW(E$1:E156)*(E157=E$1:E156)))))</f>
        <v/>
      </c>
      <c r="L157" s="28"/>
    </row>
    <row r="158" customFormat="false" ht="15" hidden="false" customHeight="false" outlineLevel="0" collapsed="false">
      <c r="A158" s="21" t="s">
        <v>285</v>
      </c>
      <c r="E158" s="25"/>
      <c r="F158" s="26" t="str">
        <f aca="false">IF(OR(E158="",E158="!!!"),"",IF(NOT(ISNA(VLOOKUP(E158,E$1:E157,1,FALSE()))),"OLD",IF(AND(E158&lt;&gt;"",E158&lt;&gt;"!!!"),"NEW","")))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7" t="str">
        <f aca="false">IF(OR(E158="",E158="!!!",F158="NEW"),"",INDEX(B26:B$133,-1+SUMPRODUCT(MAX(ROW(E26:E$133)*(E158=E26:E$133)))))</f>
        <v/>
      </c>
      <c r="J158" s="27" t="str">
        <f aca="true">IF(OR(E158="",E158="!!!",F158="NEW"),"",COUNTBLANK(OFFSET(A$1,,,SUMPRODUCT(MAX(ROW(E$2:E158)*(E158=E$2:E158)))))-COUNTBLANK(OFFSET(A$1,,,SUMPRODUCT(MAX(ROW(E$1:E157)*(E2=E$1:E157))))))</f>
        <v/>
      </c>
      <c r="K158" s="27" t="str">
        <f aca="false">IF(OR(E158="",E158="!!!",F158="NEW"),"",INDEX(J$1:J157,SUMPRODUCT(MAX(ROW(E$1:E157)*(E158=E$1:E157)))))</f>
        <v/>
      </c>
      <c r="L158" s="28"/>
    </row>
    <row r="159" customFormat="false" ht="15" hidden="false" customHeight="false" outlineLevel="0" collapsed="false">
      <c r="A159" s="21" t="s">
        <v>239</v>
      </c>
      <c r="B159" s="29" t="s">
        <v>286</v>
      </c>
      <c r="C159" s="29" t="s">
        <v>240</v>
      </c>
      <c r="D159" s="29" t="s">
        <v>159</v>
      </c>
      <c r="E159" s="25" t="s">
        <v>16</v>
      </c>
      <c r="F159" s="30" t="str">
        <f aca="false">IF(OR(E159="",E159="!!!"),"",IF(NOT(ISNA(VLOOKUP(E159,E$1:E158,1,FALSE()))),"OLD",IF(AND(E159&lt;&gt;"",E159&lt;&gt;"!!!"),"NEW","")))</f>
        <v>OLD</v>
      </c>
      <c r="G159" s="22" t="s">
        <v>186</v>
      </c>
      <c r="H159" s="23" t="str">
        <f aca="false">IF(J159&lt;&gt;1,"",IF(I159="SBJ","CB","?"))</f>
        <v/>
      </c>
      <c r="I159" s="31" t="n">
        <f aca="false">IF(OR(E159="",E159="!!!",F159="NEW"),"",INDEX(B27:B$133,-1+SUMPRODUCT(MAX(ROW(E27:E$133)*(E159=E27:E$133)))))</f>
        <v>0</v>
      </c>
      <c r="J159" s="27" t="n">
        <f aca="true">IF(OR(E159="",E159="!!!",F159="NEW"),"",COUNTBLANK(OFFSET(A$1,,,SUMPRODUCT(MAX(ROW(E$2:E159)*(E159=E$2:E159)))))-COUNTBLANK(OFFSET(A$1,,,SUMPRODUCT(MAX(ROW(E$1:E158)*(E2=E$1:E158))))))</f>
        <v>0</v>
      </c>
      <c r="K159" s="27" t="n">
        <f aca="false">IF(OR(E159="",E159="!!!",F159="NEW"),"",INDEX(J$1:J158,SUMPRODUCT(MAX(ROW(E$1:E158)*(E159=E$1:E158)))))</f>
        <v>0</v>
      </c>
      <c r="L159" s="28"/>
    </row>
    <row r="160" customFormat="false" ht="15" hidden="false" customHeight="false" outlineLevel="0" collapsed="false">
      <c r="A160" s="21" t="s">
        <v>287</v>
      </c>
      <c r="E160" s="25"/>
      <c r="F160" s="26" t="str">
        <f aca="false">IF(OR(E160="",E160="!!!"),"",IF(NOT(ISNA(VLOOKUP(E160,E$1:E159,1,FALSE()))),"OLD",IF(AND(E160&lt;&gt;"",E160&lt;&gt;"!!!"),"NEW","")))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7" t="str">
        <f aca="false">IF(OR(E160="",E160="!!!",F160="NEW"),"",INDEX(B28:B$133,-1+SUMPRODUCT(MAX(ROW(E28:E$133)*(E160=E28:E$133)))))</f>
        <v/>
      </c>
      <c r="J160" s="27" t="str">
        <f aca="true">IF(OR(E160="",E160="!!!",F160="NEW"),"",COUNTBLANK(OFFSET(A$1,,,SUMPRODUCT(MAX(ROW(E$2:E160)*(E160=E$2:E160)))))-COUNTBLANK(OFFSET(A$1,,,SUMPRODUCT(MAX(ROW(E$1:E159)*(E2=E$1:E159))))))</f>
        <v/>
      </c>
      <c r="K160" s="27" t="str">
        <f aca="false">IF(OR(E160="",E160="!!!",F160="NEW"),"",INDEX(J$1:J159,SUMPRODUCT(MAX(ROW(E$1:E159)*(E160=E$1:E159)))))</f>
        <v/>
      </c>
      <c r="L160" s="28"/>
    </row>
    <row r="161" customFormat="false" ht="15" hidden="false" customHeight="false" outlineLevel="0" collapsed="false">
      <c r="A161" s="21" t="s">
        <v>288</v>
      </c>
      <c r="E161" s="25"/>
      <c r="F161" s="26" t="str">
        <f aca="false">IF(OR(E161="",E161="!!!"),"",IF(NOT(ISNA(VLOOKUP(E161,E$1:E160,1,FALSE()))),"OLD",IF(AND(E161&lt;&gt;"",E161&lt;&gt;"!!!"),"NEW","")))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7" t="str">
        <f aca="false">IF(OR(E161="",E161="!!!",F161="NEW"),"",INDEX(B29:B$133,-1+SUMPRODUCT(MAX(ROW(E29:E$133)*(E161=E29:E$133)))))</f>
        <v/>
      </c>
      <c r="J161" s="27" t="str">
        <f aca="true">IF(OR(E161="",E161="!!!",F161="NEW"),"",COUNTBLANK(OFFSET(A$1,,,SUMPRODUCT(MAX(ROW(E$2:E161)*(E161=E$2:E161)))))-COUNTBLANK(OFFSET(A$1,,,SUMPRODUCT(MAX(ROW(E$1:E160)*(E2=E$1:E160))))))</f>
        <v/>
      </c>
      <c r="K161" s="27" t="str">
        <f aca="false">IF(OR(E161="",E161="!!!",F161="NEW"),"",INDEX(J$1:J160,SUMPRODUCT(MAX(ROW(E$1:E160)*(E161=E$1:E160)))))</f>
        <v/>
      </c>
      <c r="L161" s="28"/>
    </row>
    <row r="162" customFormat="false" ht="15" hidden="false" customHeight="false" outlineLevel="0" collapsed="false">
      <c r="A162" s="21" t="s">
        <v>268</v>
      </c>
      <c r="E162" s="25"/>
      <c r="F162" s="26" t="str">
        <f aca="false">IF(OR(E162="",E162="!!!"),"",IF(NOT(ISNA(VLOOKUP(E162,E$1:E161,1,FALSE()))),"OLD",IF(AND(E162&lt;&gt;"",E162&lt;&gt;"!!!"),"NEW","")))</f>
        <v/>
      </c>
      <c r="G162" s="22" t="str">
        <f aca="false">IF(OR(E162="",E162="!!!"),"",IF(OR(J162=0,AND(J162=1,K162=1),AND(J162=1,I162="SBJ"),AND(J162=1,I162=0)),"?IN_FOCUS",IF(J162&lt;=2,"?ACTIVATED",IF(J162&lt;&gt;"","?FAMILIAR",IF(F162="NEW",IF(ISNA(VLOOKUP(E162,#REF!,1,FALSE())),"?TYPE_IDENTIFIABLE","?REFERENTIAL"),"_")))))</f>
        <v/>
      </c>
      <c r="H162" s="23" t="str">
        <f aca="false">IF(J162&lt;&gt;1,"",IF(I162="SBJ","CB","?"))</f>
        <v/>
      </c>
      <c r="I162" s="27" t="str">
        <f aca="false">IF(OR(E162="",E162="!!!",F162="NEW"),"",INDEX(B30:B$133,-1+SUMPRODUCT(MAX(ROW(E30:E$133)*(E162=E30:E$133)))))</f>
        <v/>
      </c>
      <c r="J162" s="27" t="str">
        <f aca="true">IF(OR(E162="",E162="!!!",F162="NEW"),"",COUNTBLANK(OFFSET(A$1,,,SUMPRODUCT(MAX(ROW(E$2:E162)*(E162=E$2:E162)))))-COUNTBLANK(OFFSET(A$1,,,SUMPRODUCT(MAX(ROW(E$1:E161)*(E2=E$1:E161))))))</f>
        <v/>
      </c>
      <c r="K162" s="27" t="str">
        <f aca="false">IF(OR(E162="",E162="!!!",F162="NEW"),"",INDEX(J$1:J161,SUMPRODUCT(MAX(ROW(E$1:E161)*(E162=E$1:E161)))))</f>
        <v/>
      </c>
      <c r="L162" s="28"/>
    </row>
    <row r="163" customFormat="false" ht="15" hidden="false" customHeight="false" outlineLevel="0" collapsed="false">
      <c r="A163" s="21" t="s">
        <v>289</v>
      </c>
      <c r="E163" s="25"/>
      <c r="F163" s="26" t="str">
        <f aca="false">IF(OR(E163="",E163="!!!"),"",IF(NOT(ISNA(VLOOKUP(E163,E$1:E162,1,FALSE()))),"OLD",IF(AND(E163&lt;&gt;"",E163&lt;&gt;"!!!"),"NEW","")))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7" t="str">
        <f aca="false">IF(OR(E163="",E163="!!!",F163="NEW"),"",INDEX(B31:B$133,-1+SUMPRODUCT(MAX(ROW(E31:E$133)*(E163=E31:E$133)))))</f>
        <v/>
      </c>
      <c r="J163" s="27" t="str">
        <f aca="true">IF(OR(E163="",E163="!!!",F163="NEW"),"",COUNTBLANK(OFFSET(A$1,,,SUMPRODUCT(MAX(ROW(E$2:E163)*(E163=E$2:E163)))))-COUNTBLANK(OFFSET(A$1,,,SUMPRODUCT(MAX(ROW(E$1:E162)*(E2=E$1:E162))))))</f>
        <v/>
      </c>
      <c r="K163" s="27" t="str">
        <f aca="false">IF(OR(E163="",E163="!!!",F163="NEW"),"",INDEX(J$1:J162,SUMPRODUCT(MAX(ROW(E$1:E162)*(E163=E$1:E162)))))</f>
        <v/>
      </c>
      <c r="L163" s="28"/>
    </row>
    <row r="164" customFormat="false" ht="15" hidden="false" customHeight="false" outlineLevel="0" collapsed="false">
      <c r="A164" s="21" t="s">
        <v>290</v>
      </c>
      <c r="B164" s="29" t="s">
        <v>190</v>
      </c>
      <c r="C164" s="29" t="s">
        <v>167</v>
      </c>
      <c r="E164" s="25"/>
      <c r="F164" s="26" t="str">
        <f aca="false">IF(OR(E164="",E164="!!!"),"",IF(NOT(ISNA(VLOOKUP(E164,E$1:E163,1,FALSE()))),"OLD",IF(AND(E164&lt;&gt;"",E164&lt;&gt;"!!!"),"NEW","")))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7" t="str">
        <f aca="false">IF(OR(E164="",E164="!!!",F164="NEW"),"",INDEX(B32:B$133,-1+SUMPRODUCT(MAX(ROW(E32:E$133)*(E164=E32:E$133)))))</f>
        <v/>
      </c>
      <c r="J164" s="27" t="str">
        <f aca="true">IF(OR(E164="",E164="!!!",F164="NEW"),"",COUNTBLANK(OFFSET(A$1,,,SUMPRODUCT(MAX(ROW(E$2:E164)*(E164=E$2:E164)))))-COUNTBLANK(OFFSET(A$1,,,SUMPRODUCT(MAX(ROW(E$1:E163)*(E2=E$1:E163))))))</f>
        <v/>
      </c>
      <c r="K164" s="27" t="str">
        <f aca="false">IF(OR(E164="",E164="!!!",F164="NEW"),"",INDEX(J$1:J163,SUMPRODUCT(MAX(ROW(E$1:E163)*(E164=E$1:E163)))))</f>
        <v/>
      </c>
      <c r="L164" s="28"/>
    </row>
    <row r="165" customFormat="false" ht="15" hidden="false" customHeight="false" outlineLevel="0" collapsed="false">
      <c r="A165" s="21" t="s">
        <v>291</v>
      </c>
      <c r="E165" s="25"/>
      <c r="F165" s="26" t="str">
        <f aca="false">IF(OR(E165="",E165="!!!"),"",IF(NOT(ISNA(VLOOKUP(E165,E$1:E164,1,FALSE()))),"OLD",IF(AND(E165&lt;&gt;"",E165&lt;&gt;"!!!"),"NEW","")))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7" t="str">
        <f aca="false">IF(OR(E165="",E165="!!!",F165="NEW"),"",INDEX(B33:B$133,-1+SUMPRODUCT(MAX(ROW(E33:E$133)*(E165=E33:E$133)))))</f>
        <v/>
      </c>
      <c r="J165" s="27" t="str">
        <f aca="true">IF(OR(E165="",E165="!!!",F165="NEW"),"",COUNTBLANK(OFFSET(A$1,,,SUMPRODUCT(MAX(ROW(E$2:E165)*(E165=E$2:E165)))))-COUNTBLANK(OFFSET(A$1,,,SUMPRODUCT(MAX(ROW(E$1:E164)*(E2=E$1:E164))))))</f>
        <v/>
      </c>
      <c r="K165" s="27" t="str">
        <f aca="false">IF(OR(E165="",E165="!!!",F165="NEW"),"",INDEX(J$1:J164,SUMPRODUCT(MAX(ROW(E$1:E164)*(E165=E$1:E164)))))</f>
        <v/>
      </c>
      <c r="L165" s="28"/>
    </row>
    <row r="166" customFormat="false" ht="15" hidden="false" customHeight="false" outlineLevel="0" collapsed="false">
      <c r="A166" s="21" t="s">
        <v>239</v>
      </c>
      <c r="B166" s="29" t="s">
        <v>216</v>
      </c>
      <c r="C166" s="29" t="s">
        <v>240</v>
      </c>
      <c r="D166" s="29" t="s">
        <v>159</v>
      </c>
      <c r="E166" s="25" t="s">
        <v>16</v>
      </c>
      <c r="F166" s="30" t="str">
        <f aca="false">IF(OR(E166="",E166="!!!"),"",IF(NOT(ISNA(VLOOKUP(E166,E$1:E165,1,FALSE()))),"OLD",IF(AND(E166&lt;&gt;"",E166&lt;&gt;"!!!"),"NEW","")))</f>
        <v>OLD</v>
      </c>
      <c r="G166" s="22" t="s">
        <v>186</v>
      </c>
      <c r="H166" s="23" t="str">
        <f aca="false">IF(J166&lt;&gt;1,"",IF(I166="SBJ","CB","?"))</f>
        <v/>
      </c>
      <c r="I166" s="31" t="e">
        <f aca="false">IF(OR(E166="",E166="!!!",F166="NEW"),"",INDEX(B34:B$133,-1+SUMPRODUCT(MAX(ROW(E34:E$133)*(E166=E34:E$133)))))</f>
        <v>#REF!</v>
      </c>
      <c r="J166" s="27" t="n">
        <f aca="true">IF(OR(E166="",E166="!!!",F166="NEW"),"",COUNTBLANK(OFFSET(A$1,,,SUMPRODUCT(MAX(ROW(E$2:E166)*(E166=E$2:E166)))))-COUNTBLANK(OFFSET(A$1,,,SUMPRODUCT(MAX(ROW(E$1:E165)*(E2=E$1:E165))))))</f>
        <v>0</v>
      </c>
      <c r="K166" s="27" t="n">
        <f aca="false">IF(OR(E166="",E166="!!!",F166="NEW"),"",INDEX(J$1:J165,SUMPRODUCT(MAX(ROW(E$1:E165)*(E166=E$1:E165)))))</f>
        <v>0</v>
      </c>
      <c r="L166" s="28"/>
    </row>
    <row r="167" customFormat="false" ht="15" hidden="false" customHeight="false" outlineLevel="0" collapsed="false">
      <c r="A167" s="21" t="s">
        <v>292</v>
      </c>
      <c r="B167" s="29" t="s">
        <v>210</v>
      </c>
      <c r="C167" s="29" t="s">
        <v>243</v>
      </c>
      <c r="D167" s="29" t="s">
        <v>159</v>
      </c>
      <c r="E167" s="25" t="s">
        <v>293</v>
      </c>
      <c r="F167" s="30" t="str">
        <f aca="false">IF(OR(E167="",E167="!!!"),"",IF(NOT(ISNA(VLOOKUP(E167,E$1:E166,1,FALSE()))),"OLD",IF(AND(E167&lt;&gt;"",E167&lt;&gt;"!!!"),"NEW","")))</f>
        <v>NEW</v>
      </c>
      <c r="G167" s="22" t="s">
        <v>160</v>
      </c>
      <c r="H167" s="23" t="str">
        <f aca="false">IF(J167&lt;&gt;1,"",IF(I167="SBJ","CB","?"))</f>
        <v/>
      </c>
      <c r="I167" s="31" t="str">
        <f aca="false">IF(OR(E167="",E167="!!!",F167="NEW"),"",INDEX(B35:B$133,-1+SUMPRODUCT(MAX(ROW(E35:E$133)*(E167=E35:E$133)))))</f>
        <v/>
      </c>
      <c r="J167" s="31" t="str">
        <f aca="true">IF(OR(E167="",E167="!!!",F167="NEW"),"",COUNTBLANK(OFFSET(A$1,,,SUMPRODUCT(MAX(ROW(E$2:E167)*(E167=E$2:E167)))))-COUNTBLANK(OFFSET(A$1,,,SUMPRODUCT(MAX(ROW(E$1:E166)*(E2=E$1:E166))))))</f>
        <v/>
      </c>
      <c r="K167" s="31" t="str">
        <f aca="false">IF(OR(E167="",E167="!!!",F167="NEW"),"",INDEX(J$1:J166,SUMPRODUCT(MAX(ROW(E$1:E166)*(E167=E$1:E166)))))</f>
        <v/>
      </c>
      <c r="L167" s="28"/>
    </row>
    <row r="168" customFormat="false" ht="15" hidden="false" customHeight="false" outlineLevel="0" collapsed="false">
      <c r="A168" s="21" t="s">
        <v>277</v>
      </c>
      <c r="E168" s="25"/>
      <c r="F168" s="26" t="str">
        <f aca="false">IF(OR(E168="",E168="!!!"),"",IF(NOT(ISNA(VLOOKUP(E168,E$1:E167,1,FALSE()))),"OLD",IF(AND(E168&lt;&gt;"",E168&lt;&gt;"!!!"),"NEW","")))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7" t="str">
        <f aca="false">IF(OR(E168="",E168="!!!",F168="NEW"),"",INDEX(B36:B$133,-1+SUMPRODUCT(MAX(ROW(E36:E$133)*(E168=E36:E$133)))))</f>
        <v/>
      </c>
      <c r="J168" s="27" t="str">
        <f aca="true">IF(OR(E168="",E168="!!!",F168="NEW"),"",COUNTBLANK(OFFSET(A$1,,,SUMPRODUCT(MAX(ROW(E$2:E168)*(E168=E$2:E168)))))-COUNTBLANK(OFFSET(A$1,,,SUMPRODUCT(MAX(ROW(E$1:E167)*(E2=E$1:E167))))))</f>
        <v/>
      </c>
      <c r="K168" s="27" t="str">
        <f aca="false">IF(OR(E168="",E168="!!!",F168="NEW"),"",INDEX(J$1:J167,SUMPRODUCT(MAX(ROW(E$1:E167)*(E168=E$1:E167)))))</f>
        <v/>
      </c>
      <c r="L168" s="28"/>
    </row>
    <row r="169" customFormat="false" ht="15" hidden="false" customHeight="false" outlineLevel="0" collapsed="false">
      <c r="A169" s="21" t="s">
        <v>175</v>
      </c>
      <c r="E169" s="25"/>
      <c r="F169" s="26" t="str">
        <f aca="false">IF(OR(E169="",E169="!!!"),"",IF(NOT(ISNA(VLOOKUP(E169,E$1:E168,1,FALSE()))),"OLD",IF(AND(E169&lt;&gt;"",E169&lt;&gt;"!!!"),"NEW","")))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7" t="str">
        <f aca="false">IF(OR(E169="",E169="!!!",F169="NEW"),"",INDEX(B37:B$133,-1+SUMPRODUCT(MAX(ROW(E37:E$133)*(E169=E37:E$133)))))</f>
        <v/>
      </c>
      <c r="J169" s="27" t="str">
        <f aca="true">IF(OR(E169="",E169="!!!",F169="NEW"),"",COUNTBLANK(OFFSET(A$1,,,SUMPRODUCT(MAX(ROW(E$2:E169)*(E169=E$2:E169)))))-COUNTBLANK(OFFSET(A$1,,,SUMPRODUCT(MAX(ROW(E$1:E168)*(E2=E$1:E168))))))</f>
        <v/>
      </c>
      <c r="K169" s="27" t="str">
        <f aca="false">IF(OR(E169="",E169="!!!",F169="NEW"),"",INDEX(J$1:J168,SUMPRODUCT(MAX(ROW(E$1:E168)*(E169=E$1:E168)))))</f>
        <v/>
      </c>
      <c r="L169" s="28"/>
    </row>
    <row r="170" customFormat="false" ht="15" hidden="false" customHeight="false" outlineLevel="0" collapsed="false">
      <c r="A170" s="21" t="s">
        <v>294</v>
      </c>
      <c r="E170" s="25"/>
      <c r="F170" s="26" t="str">
        <f aca="false">IF(OR(E170="",E170="!!!"),"",IF(NOT(ISNA(VLOOKUP(E170,E$1:E169,1,FALSE()))),"OLD",IF(AND(E170&lt;&gt;"",E170&lt;&gt;"!!!"),"NEW","")))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7" t="str">
        <f aca="false">IF(OR(E170="",E170="!!!",F170="NEW"),"",INDEX(B38:B$133,-1+SUMPRODUCT(MAX(ROW(E38:E$133)*(E170=E38:E$133)))))</f>
        <v/>
      </c>
      <c r="J170" s="27" t="str">
        <f aca="true">IF(OR(E170="",E170="!!!",F170="NEW"),"",COUNTBLANK(OFFSET(A$1,,,SUMPRODUCT(MAX(ROW(E$2:E170)*(E170=E$2:E170)))))-COUNTBLANK(OFFSET(A$1,,,SUMPRODUCT(MAX(ROW(E$1:E169)*(E2=E$1:E169))))))</f>
        <v/>
      </c>
      <c r="K170" s="27" t="str">
        <f aca="false">IF(OR(E170="",E170="!!!",F170="NEW"),"",INDEX(J$1:J169,SUMPRODUCT(MAX(ROW(E$1:E169)*(E170=E$1:E169)))))</f>
        <v/>
      </c>
      <c r="L170" s="28"/>
    </row>
    <row r="171" customFormat="false" ht="15" hidden="false" customHeight="false" outlineLevel="0" collapsed="false">
      <c r="A171" s="21" t="s">
        <v>295</v>
      </c>
      <c r="B171" s="29" t="s">
        <v>210</v>
      </c>
      <c r="C171" s="29" t="s">
        <v>164</v>
      </c>
      <c r="E171" s="25"/>
      <c r="F171" s="26" t="str">
        <f aca="false">IF(OR(E171="",E171="!!!"),"",IF(NOT(ISNA(VLOOKUP(E171,E$1:E170,1,FALSE()))),"OLD",IF(AND(E171&lt;&gt;"",E171&lt;&gt;"!!!"),"NEW","")))</f>
        <v/>
      </c>
      <c r="G171" s="22" t="str">
        <f aca="false">IF(OR(E171="",E171="!!!"),"",IF(OR(J171=0,AND(J171=1,K171=1),AND(J171=1,I171="SBJ"),AND(J171=1,I171=0)),"?IN_FOCUS",IF(J171&lt;=2,"?ACTIVATED",IF(J171&lt;&gt;"","?FAMILIAR",IF(F171="NEW",IF(ISNA(VLOOKUP(E171,#REF!,1,FALSE())),"?TYPE_IDENTIFIABLE","?REFERENTIAL"),"_")))))</f>
        <v/>
      </c>
      <c r="H171" s="23" t="str">
        <f aca="false">IF(J171&lt;&gt;1,"",IF(I171="SBJ","CB","?"))</f>
        <v/>
      </c>
      <c r="I171" s="27" t="str">
        <f aca="false">IF(OR(E171="",E171="!!!",F171="NEW"),"",INDEX(B39:B$133,-1+SUMPRODUCT(MAX(ROW(E39:E$133)*(E171=E39:E$133)))))</f>
        <v/>
      </c>
      <c r="J171" s="27" t="str">
        <f aca="true">IF(OR(E171="",E171="!!!",F171="NEW"),"",COUNTBLANK(OFFSET(A$1,,,SUMPRODUCT(MAX(ROW(E$2:E171)*(E171=E$2:E171)))))-COUNTBLANK(OFFSET(A$1,,,SUMPRODUCT(MAX(ROW(E$1:E170)*(E2=E$1:E170))))))</f>
        <v/>
      </c>
      <c r="K171" s="27" t="str">
        <f aca="false">IF(OR(E171="",E171="!!!",F171="NEW"),"",INDEX(J$1:J170,SUMPRODUCT(MAX(ROW(E$1:E170)*(E171=E$1:E170)))))</f>
        <v/>
      </c>
      <c r="L171" s="28"/>
    </row>
    <row r="172" customFormat="false" ht="15" hidden="false" customHeight="false" outlineLevel="0" collapsed="false">
      <c r="A172" s="21" t="s">
        <v>193</v>
      </c>
      <c r="E172" s="25"/>
      <c r="F172" s="26" t="str">
        <f aca="false">IF(OR(E172="",E172="!!!"),"",IF(NOT(ISNA(VLOOKUP(E172,E$1:E171,1,FALSE()))),"OLD",IF(AND(E172&lt;&gt;"",E172&lt;&gt;"!!!"),"NEW","")))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7" t="str">
        <f aca="false">IF(OR(E172="",E172="!!!",F172="NEW"),"",INDEX(B40:B$133,-1+SUMPRODUCT(MAX(ROW(E40:E$133)*(E172=E40:E$133)))))</f>
        <v/>
      </c>
      <c r="J172" s="27" t="str">
        <f aca="true">IF(OR(E172="",E172="!!!",F172="NEW"),"",COUNTBLANK(OFFSET(A$1,,,SUMPRODUCT(MAX(ROW(E$2:E172)*(E172=E$2:E172)))))-COUNTBLANK(OFFSET(A$1,,,SUMPRODUCT(MAX(ROW(E$1:E171)*(E2=E$1:E171))))))</f>
        <v/>
      </c>
      <c r="K172" s="27" t="str">
        <f aca="false">IF(OR(E172="",E172="!!!",F172="NEW"),"",INDEX(J$1:J171,SUMPRODUCT(MAX(ROW(E$1:E171)*(E172=E$1:E171)))))</f>
        <v/>
      </c>
      <c r="L172" s="28"/>
    </row>
    <row r="173" customFormat="false" ht="15" hidden="false" customHeight="false" outlineLevel="0" collapsed="false">
      <c r="A173" s="21"/>
      <c r="G173" s="22" t="str">
        <f aca="false">IF(OR(E173="",E173="!!!"),"",IF(OR(J173=0,AND(J173=1,K173=1),AND(J173=1,I173="SBJ"),AND(J173=1,I173=0)),"?IN_FOCUS",IF(J173&lt;=2,"?ACTIVATED",IF(J173&lt;&gt;"","?FAMILIAR",IF(F173="NEW",IF(ISNA(VLOOKUP(E173,#REF!,1,FALSE())),"?TYPE_IDENTIFIABLE","?REFERENTIAL"),"_")))))</f>
        <v/>
      </c>
      <c r="H173" s="23" t="str">
        <f aca="false">IF(J173&lt;&gt;1,"",IF(I173="SBJ","CB","?"))</f>
        <v/>
      </c>
    </row>
    <row r="174" customFormat="false" ht="15" hidden="false" customHeight="false" outlineLevel="0" collapsed="false">
      <c r="A174" s="21" t="s">
        <v>296</v>
      </c>
      <c r="G174" s="22" t="str">
        <f aca="false">IF(OR(E174="",E174="!!!"),"",IF(OR(J174=0,AND(J174=1,K174=1),AND(J174=1,I174="SBJ"),AND(J174=1,I174=0)),"?IN_FOCUS",IF(J174&lt;=2,"?ACTIVATED",IF(J174&lt;&gt;"","?FAMILIAR",IF(F174="NEW",IF(ISNA(VLOOKUP(E174,#REF!,1,FALSE())),"?TYPE_IDENTIFIABLE","?REFERENTIAL"),"_")))))</f>
        <v/>
      </c>
      <c r="H174" s="23" t="str">
        <f aca="false">IF(J174&lt;&gt;1,"",IF(I174="SBJ","CB","?"))</f>
        <v/>
      </c>
    </row>
    <row r="175" customFormat="false" ht="15" hidden="false" customHeight="false" outlineLevel="0" collapsed="false">
      <c r="A175" s="21" t="s">
        <v>297</v>
      </c>
      <c r="E175" s="25"/>
      <c r="F175" s="26" t="str">
        <f aca="false">IF(OR(E175="",E175="!!!"),"",IF(NOT(ISNA(VLOOKUP(E175,E$1:E174,1,FALSE()))),"OLD",IF(AND(E175&lt;&gt;"",E175&lt;&gt;"!!!"),"NEW","")))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7" t="str">
        <f aca="false">IF(OR(E175="",E175="!!!",F175="NEW"),"",INDEX(B2:B$174,-1+SUMPRODUCT(MAX(ROW(E2:E$174)*(E175=E2:E$174)))))</f>
        <v/>
      </c>
      <c r="J175" s="27" t="str">
        <f aca="true">IF(OR(E175="",E175="!!!",F175="NEW"),"",COUNTBLANK(OFFSET(A$1,,,SUMPRODUCT(MAX(ROW(E$2:E175)*(E175=E$2:E175)))))-COUNTBLANK(OFFSET(A$1,,,SUMPRODUCT(MAX(ROW(E$1:E174)*(E2=E$1:E174))))))</f>
        <v/>
      </c>
      <c r="K175" s="27" t="str">
        <f aca="false">IF(OR(E175="",E175="!!!",F175="NEW"),"",INDEX(J$1:J174,SUMPRODUCT(MAX(ROW(E$1:E174)*(E175=E$1:E174)))))</f>
        <v/>
      </c>
      <c r="L175" s="28"/>
    </row>
    <row r="176" customFormat="false" ht="15" hidden="false" customHeight="false" outlineLevel="0" collapsed="false">
      <c r="A176" s="21" t="s">
        <v>298</v>
      </c>
      <c r="E176" s="25"/>
      <c r="F176" s="26" t="str">
        <f aca="false">IF(OR(E176="",E176="!!!"),"",IF(NOT(ISNA(VLOOKUP(E176,E$1:E175,1,FALSE()))),"OLD",IF(AND(E176&lt;&gt;"",E176&lt;&gt;"!!!"),"NEW","")))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7" t="str">
        <f aca="false">IF(OR(E176="",E176="!!!",F176="NEW"),"",INDEX(B3:B$174,-1+SUMPRODUCT(MAX(ROW(E3:E$174)*(E176=E3:E$174)))))</f>
        <v/>
      </c>
      <c r="J176" s="27" t="str">
        <f aca="true">IF(OR(E176="",E176="!!!",F176="NEW"),"",COUNTBLANK(OFFSET(A$1,,,SUMPRODUCT(MAX(ROW(E$2:E176)*(E176=E$2:E176)))))-COUNTBLANK(OFFSET(A$1,,,SUMPRODUCT(MAX(ROW(E$1:E175)*(E2=E$1:E175))))))</f>
        <v/>
      </c>
      <c r="K176" s="27" t="str">
        <f aca="false">IF(OR(E176="",E176="!!!",F176="NEW"),"",INDEX(J$1:J175,SUMPRODUCT(MAX(ROW(E$1:E175)*(E176=E$1:E175)))))</f>
        <v/>
      </c>
      <c r="L176" s="28"/>
    </row>
    <row r="177" customFormat="false" ht="15" hidden="false" customHeight="false" outlineLevel="0" collapsed="false">
      <c r="A177" s="21" t="s">
        <v>153</v>
      </c>
      <c r="E177" s="25"/>
      <c r="F177" s="26" t="str">
        <f aca="false">IF(OR(E177="",E177="!!!"),"",IF(NOT(ISNA(VLOOKUP(E177,E$1:E176,1,FALSE()))),"OLD",IF(AND(E177&lt;&gt;"",E177&lt;&gt;"!!!"),"NEW","")))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7" t="str">
        <f aca="false">IF(OR(E177="",E177="!!!",F177="NEW"),"",INDEX(B4:B$174,-1+SUMPRODUCT(MAX(ROW(E4:E$174)*(E177=E4:E$174)))))</f>
        <v/>
      </c>
      <c r="J177" s="27" t="str">
        <f aca="true">IF(OR(E177="",E177="!!!",F177="NEW"),"",COUNTBLANK(OFFSET(A$1,,,SUMPRODUCT(MAX(ROW(E$2:E177)*(E177=E$2:E177)))))-COUNTBLANK(OFFSET(A$1,,,SUMPRODUCT(MAX(ROW(E$1:E176)*(E2=E$1:E176))))))</f>
        <v/>
      </c>
      <c r="K177" s="27" t="str">
        <f aca="false">IF(OR(E177="",E177="!!!",F177="NEW"),"",INDEX(J$1:J176,SUMPRODUCT(MAX(ROW(E$1:E176)*(E177=E$1:E176)))))</f>
        <v/>
      </c>
      <c r="L177" s="28"/>
    </row>
    <row r="178" customFormat="false" ht="15" hidden="false" customHeight="false" outlineLevel="0" collapsed="false">
      <c r="A178" s="21" t="s">
        <v>299</v>
      </c>
      <c r="B178" s="29" t="s">
        <v>180</v>
      </c>
      <c r="C178" s="29" t="s">
        <v>154</v>
      </c>
      <c r="E178" s="25"/>
      <c r="F178" s="26" t="str">
        <f aca="false">IF(OR(E178="",E178="!!!"),"",IF(NOT(ISNA(VLOOKUP(E178,E$1:E177,1,FALSE()))),"OLD",IF(AND(E178&lt;&gt;"",E178&lt;&gt;"!!!"),"NEW","")))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7" t="str">
        <f aca="false">IF(OR(E178="",E178="!!!",F178="NEW"),"",INDEX(B5:B$174,-1+SUMPRODUCT(MAX(ROW(E5:E$174)*(E178=E5:E$174)))))</f>
        <v/>
      </c>
      <c r="J178" s="27" t="str">
        <f aca="true">IF(OR(E178="",E178="!!!",F178="NEW"),"",COUNTBLANK(OFFSET(A$1,,,SUMPRODUCT(MAX(ROW(E$2:E178)*(E178=E$2:E178)))))-COUNTBLANK(OFFSET(A$1,,,SUMPRODUCT(MAX(ROW(E$1:E177)*(E2=E$1:E177))))))</f>
        <v/>
      </c>
      <c r="K178" s="27" t="str">
        <f aca="false">IF(OR(E178="",E178="!!!",F178="NEW"),"",INDEX(J$1:J177,SUMPRODUCT(MAX(ROW(E$1:E177)*(E178=E$1:E177)))))</f>
        <v/>
      </c>
      <c r="L178" s="28"/>
    </row>
    <row r="179" customFormat="false" ht="15" hidden="false" customHeight="false" outlineLevel="0" collapsed="false">
      <c r="A179" s="21" t="s">
        <v>300</v>
      </c>
      <c r="E179" s="25"/>
      <c r="F179" s="26" t="str">
        <f aca="false">IF(OR(E179="",E179="!!!"),"",IF(NOT(ISNA(VLOOKUP(E179,E$1:E178,1,FALSE()))),"OLD",IF(AND(E179&lt;&gt;"",E179&lt;&gt;"!!!"),"NEW","")))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7" t="str">
        <f aca="false">IF(OR(E179="",E179="!!!",F179="NEW"),"",INDEX(B6:B$174,-1+SUMPRODUCT(MAX(ROW(E6:E$174)*(E179=E6:E$174)))))</f>
        <v/>
      </c>
      <c r="J179" s="27" t="str">
        <f aca="true">IF(OR(E179="",E179="!!!",F179="NEW"),"",COUNTBLANK(OFFSET(A$1,,,SUMPRODUCT(MAX(ROW(E$2:E179)*(E179=E$2:E179)))))-COUNTBLANK(OFFSET(A$1,,,SUMPRODUCT(MAX(ROW(E$1:E178)*(E2=E$1:E178))))))</f>
        <v/>
      </c>
      <c r="K179" s="27" t="str">
        <f aca="false">IF(OR(E179="",E179="!!!",F179="NEW"),"",INDEX(J$1:J178,SUMPRODUCT(MAX(ROW(E$1:E178)*(E179=E$1:E178)))))</f>
        <v/>
      </c>
      <c r="L179" s="28"/>
    </row>
    <row r="180" customFormat="false" ht="15" hidden="false" customHeight="false" outlineLevel="0" collapsed="false">
      <c r="A180" s="21" t="s">
        <v>301</v>
      </c>
      <c r="E180" s="25"/>
      <c r="F180" s="26" t="str">
        <f aca="false">IF(OR(E180="",E180="!!!"),"",IF(NOT(ISNA(VLOOKUP(E180,E$1:E179,1,FALSE()))),"OLD",IF(AND(E180&lt;&gt;"",E180&lt;&gt;"!!!"),"NEW","")))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7" t="str">
        <f aca="false">IF(OR(E180="",E180="!!!",F180="NEW"),"",INDEX(B7:B$174,-1+SUMPRODUCT(MAX(ROW(E7:E$174)*(E180=E7:E$174)))))</f>
        <v/>
      </c>
      <c r="J180" s="27" t="str">
        <f aca="true">IF(OR(E180="",E180="!!!",F180="NEW"),"",COUNTBLANK(OFFSET(A$1,,,SUMPRODUCT(MAX(ROW(E$2:E180)*(E180=E$2:E180)))))-COUNTBLANK(OFFSET(A$1,,,SUMPRODUCT(MAX(ROW(E$1:E179)*(E2=E$1:E179))))))</f>
        <v/>
      </c>
      <c r="K180" s="27" t="str">
        <f aca="false">IF(OR(E180="",E180="!!!",F180="NEW"),"",INDEX(J$1:J179,SUMPRODUCT(MAX(ROW(E$1:E179)*(E180=E$1:E179)))))</f>
        <v/>
      </c>
      <c r="L180" s="28"/>
    </row>
    <row r="181" customFormat="false" ht="15" hidden="false" customHeight="false" outlineLevel="0" collapsed="false">
      <c r="A181" s="21" t="s">
        <v>277</v>
      </c>
      <c r="E181" s="25"/>
      <c r="F181" s="26" t="str">
        <f aca="false">IF(OR(E181="",E181="!!!"),"",IF(NOT(ISNA(VLOOKUP(E181,E$1:E180,1,FALSE()))),"OLD",IF(AND(E181&lt;&gt;"",E181&lt;&gt;"!!!"),"NEW","")))</f>
        <v/>
      </c>
      <c r="G181" s="22" t="str">
        <f aca="false">IF(OR(E181="",E181="!!!"),"",IF(OR(J181=0,AND(J181=1,K181=1),AND(J181=1,I181="SBJ"),AND(J181=1,I181=0)),"?IN_FOCUS",IF(J181&lt;=2,"?ACTIVATED",IF(J181&lt;&gt;"","?FAMILIAR",IF(F181="NEW",IF(ISNA(VLOOKUP(E181,#REF!,1,FALSE())),"?TYPE_IDENTIFIABLE","?REFERENTIAL"),"_")))))</f>
        <v/>
      </c>
      <c r="H181" s="23" t="str">
        <f aca="false">IF(J181&lt;&gt;1,"",IF(I181="SBJ","CB","?"))</f>
        <v/>
      </c>
      <c r="I181" s="27" t="str">
        <f aca="false">IF(OR(E181="",E181="!!!",F181="NEW"),"",INDEX(B8:B$174,-1+SUMPRODUCT(MAX(ROW(E8:E$174)*(E181=E8:E$174)))))</f>
        <v/>
      </c>
      <c r="J181" s="27" t="str">
        <f aca="true">IF(OR(E181="",E181="!!!",F181="NEW"),"",COUNTBLANK(OFFSET(A$1,,,SUMPRODUCT(MAX(ROW(E$2:E181)*(E181=E$2:E181)))))-COUNTBLANK(OFFSET(A$1,,,SUMPRODUCT(MAX(ROW(E$1:E180)*(E2=E$1:E180))))))</f>
        <v/>
      </c>
      <c r="K181" s="27" t="str">
        <f aca="false">IF(OR(E181="",E181="!!!",F181="NEW"),"",INDEX(J$1:J180,SUMPRODUCT(MAX(ROW(E$1:E180)*(E181=E$1:E180)))))</f>
        <v/>
      </c>
      <c r="L181" s="28"/>
    </row>
    <row r="182" customFormat="false" ht="15" hidden="false" customHeight="false" outlineLevel="0" collapsed="false">
      <c r="A182" s="21" t="s">
        <v>302</v>
      </c>
      <c r="E182" s="25"/>
      <c r="F182" s="26" t="str">
        <f aca="false">IF(OR(E182="",E182="!!!"),"",IF(NOT(ISNA(VLOOKUP(E182,E$1:E181,1,FALSE()))),"OLD",IF(AND(E182&lt;&gt;"",E182&lt;&gt;"!!!"),"NEW","")))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7" t="str">
        <f aca="false">IF(OR(E182="",E182="!!!",F182="NEW"),"",INDEX(B9:B$174,-1+SUMPRODUCT(MAX(ROW(E9:E$174)*(E182=E9:E$174)))))</f>
        <v/>
      </c>
      <c r="J182" s="27" t="str">
        <f aca="true">IF(OR(E182="",E182="!!!",F182="NEW"),"",COUNTBLANK(OFFSET(A$1,,,SUMPRODUCT(MAX(ROW(E$2:E182)*(E182=E$2:E182)))))-COUNTBLANK(OFFSET(A$1,,,SUMPRODUCT(MAX(ROW(E$1:E181)*(E2=E$1:E181))))))</f>
        <v/>
      </c>
      <c r="K182" s="27" t="str">
        <f aca="false">IF(OR(E182="",E182="!!!",F182="NEW"),"",INDEX(J$1:J181,SUMPRODUCT(MAX(ROW(E$1:E181)*(E182=E$1:E181)))))</f>
        <v/>
      </c>
      <c r="L182" s="28"/>
    </row>
    <row r="183" customFormat="false" ht="15" hidden="false" customHeight="false" outlineLevel="0" collapsed="false">
      <c r="A183" s="21" t="s">
        <v>230</v>
      </c>
      <c r="E183" s="25"/>
      <c r="F183" s="26" t="str">
        <f aca="false">IF(OR(E183="",E183="!!!"),"",IF(NOT(ISNA(VLOOKUP(E183,E$1:E182,1,FALSE()))),"OLD",IF(AND(E183&lt;&gt;"",E183&lt;&gt;"!!!"),"NEW","")))</f>
        <v/>
      </c>
      <c r="G183" s="22" t="str">
        <f aca="false">IF(OR(E183="",E183="!!!"),"",IF(OR(J183=0,AND(J183=1,K183=1),AND(J183=1,I183="SBJ"),AND(J183=1,I183=0)),"?IN_FOCUS",IF(J183&lt;=2,"?ACTIVATED",IF(J183&lt;&gt;"","?FAMILIAR",IF(F183="NEW",IF(ISNA(VLOOKUP(E183,#REF!,1,FALSE())),"?TYPE_IDENTIFIABLE","?REFERENTIAL"),"_")))))</f>
        <v/>
      </c>
      <c r="H183" s="23" t="str">
        <f aca="false">IF(J183&lt;&gt;1,"",IF(I183="SBJ","CB","?"))</f>
        <v/>
      </c>
      <c r="I183" s="27" t="str">
        <f aca="false">IF(OR(E183="",E183="!!!",F183="NEW"),"",INDEX(B10:B$174,-1+SUMPRODUCT(MAX(ROW(E10:E$174)*(E183=E10:E$174)))))</f>
        <v/>
      </c>
      <c r="J183" s="27" t="str">
        <f aca="true">IF(OR(E183="",E183="!!!",F183="NEW"),"",COUNTBLANK(OFFSET(A$1,,,SUMPRODUCT(MAX(ROW(E$2:E183)*(E183=E$2:E183)))))-COUNTBLANK(OFFSET(A$1,,,SUMPRODUCT(MAX(ROW(E$1:E182)*(E2=E$1:E182))))))</f>
        <v/>
      </c>
      <c r="K183" s="27" t="str">
        <f aca="false">IF(OR(E183="",E183="!!!",F183="NEW"),"",INDEX(J$1:J182,SUMPRODUCT(MAX(ROW(E$1:E182)*(E183=E$1:E182)))))</f>
        <v/>
      </c>
      <c r="L183" s="28"/>
    </row>
    <row r="184" customFormat="false" ht="15" hidden="false" customHeight="false" outlineLevel="0" collapsed="false">
      <c r="A184" s="21" t="s">
        <v>239</v>
      </c>
      <c r="B184" s="29" t="s">
        <v>210</v>
      </c>
      <c r="C184" s="29" t="s">
        <v>240</v>
      </c>
      <c r="D184" s="29" t="s">
        <v>159</v>
      </c>
      <c r="E184" s="25" t="s">
        <v>16</v>
      </c>
      <c r="F184" s="30" t="str">
        <f aca="false">IF(OR(E184="",E184="!!!"),"",IF(NOT(ISNA(VLOOKUP(E184,E$1:E183,1,FALSE()))),"OLD",IF(AND(E184&lt;&gt;"",E184&lt;&gt;"!!!"),"NEW","")))</f>
        <v>OLD</v>
      </c>
      <c r="G184" s="22" t="s">
        <v>182</v>
      </c>
      <c r="H184" s="23" t="s">
        <v>147</v>
      </c>
      <c r="I184" s="31" t="e">
        <f aca="false">IF(OR(E184="",E184="!!!",F184="NEW"),"",INDEX(B11:B$174,-1+SUMPRODUCT(MAX(ROW(E11:E$174)*(E184=E11:E$174)))))</f>
        <v>#REF!</v>
      </c>
      <c r="J184" s="27" t="n">
        <f aca="true">IF(OR(E184="",E184="!!!",F184="NEW"),"",COUNTBLANK(OFFSET(A$1,,,SUMPRODUCT(MAX(ROW(E$2:E184)*(E184=E$2:E184)))))-COUNTBLANK(OFFSET(A$1,,,SUMPRODUCT(MAX(ROW(E$1:E183)*(E2=E$1:E183))))))</f>
        <v>0</v>
      </c>
      <c r="K184" s="27" t="n">
        <f aca="false">IF(OR(E184="",E184="!!!",F184="NEW"),"",INDEX(J$1:J183,SUMPRODUCT(MAX(ROW(E$1:E183)*(E184=E$1:E183)))))</f>
        <v>0</v>
      </c>
      <c r="L184" s="28"/>
    </row>
    <row r="185" customFormat="false" ht="15" hidden="false" customHeight="false" outlineLevel="0" collapsed="false">
      <c r="A185" s="21" t="s">
        <v>303</v>
      </c>
      <c r="E185" s="25"/>
      <c r="F185" s="26" t="str">
        <f aca="false">IF(OR(E185="",E185="!!!"),"",IF(NOT(ISNA(VLOOKUP(E185,E$1:E184,1,FALSE()))),"OLD",IF(AND(E185&lt;&gt;"",E185&lt;&gt;"!!!"),"NEW","")))</f>
        <v/>
      </c>
      <c r="G185" s="22" t="str">
        <f aca="false">IF(OR(E185="",E185="!!!"),"",IF(OR(J185=0,AND(J185=1,K185=1),AND(J185=1,I185="SBJ"),AND(J185=1,I185=0)),"?IN_FOCUS",IF(J185&lt;=2,"?ACTIVATED",IF(J185&lt;&gt;"","?FAMILIAR",IF(F185="NEW",IF(ISNA(VLOOKUP(E185,#REF!,1,FALSE())),"?TYPE_IDENTIFIABLE","?REFERENTIAL"),"_")))))</f>
        <v/>
      </c>
      <c r="H185" s="23" t="str">
        <f aca="false">IF(J185&lt;&gt;1,"",IF(I185="SBJ","CB","?"))</f>
        <v/>
      </c>
      <c r="I185" s="27" t="str">
        <f aca="false">IF(OR(E185="",E185="!!!",F185="NEW"),"",INDEX(B12:B$174,-1+SUMPRODUCT(MAX(ROW(E12:E$174)*(E185=E12:E$174)))))</f>
        <v/>
      </c>
      <c r="J185" s="27" t="str">
        <f aca="true">IF(OR(E185="",E185="!!!",F185="NEW"),"",COUNTBLANK(OFFSET(A$1,,,SUMPRODUCT(MAX(ROW(E$2:E185)*(E185=E$2:E185)))))-COUNTBLANK(OFFSET(A$1,,,SUMPRODUCT(MAX(ROW(E$1:E184)*(E2=E$1:E184))))))</f>
        <v/>
      </c>
      <c r="K185" s="27" t="str">
        <f aca="false">IF(OR(E185="",E185="!!!",F185="NEW"),"",INDEX(J$1:J184,SUMPRODUCT(MAX(ROW(E$1:E184)*(E185=E$1:E184)))))</f>
        <v/>
      </c>
      <c r="L185" s="28"/>
    </row>
    <row r="186" customFormat="false" ht="15" hidden="false" customHeight="false" outlineLevel="0" collapsed="false">
      <c r="A186" s="21" t="s">
        <v>304</v>
      </c>
      <c r="B186" s="29" t="s">
        <v>190</v>
      </c>
      <c r="C186" s="29" t="s">
        <v>243</v>
      </c>
      <c r="D186" s="29" t="s">
        <v>159</v>
      </c>
      <c r="E186" s="25" t="s">
        <v>305</v>
      </c>
      <c r="F186" s="30" t="str">
        <f aca="false">IF(OR(E186="",E186="!!!"),"",IF(NOT(ISNA(VLOOKUP(E186,E$1:E185,1,FALSE()))),"OLD",IF(AND(E186&lt;&gt;"",E186&lt;&gt;"!!!"),"NEW","")))</f>
        <v>NEW</v>
      </c>
      <c r="G186" s="22" t="s">
        <v>160</v>
      </c>
      <c r="H186" s="23" t="str">
        <f aca="false">IF(J186&lt;&gt;1,"",IF(I186="SBJ","CB","?"))</f>
        <v/>
      </c>
      <c r="I186" s="31" t="str">
        <f aca="false">IF(OR(E186="",E186="!!!",F186="NEW"),"",INDEX(B13:B$174,-1+SUMPRODUCT(MAX(ROW(E13:E$174)*(E186=E13:E$174)))))</f>
        <v/>
      </c>
      <c r="J186" s="31" t="str">
        <f aca="true">IF(OR(E186="",E186="!!!",F186="NEW"),"",COUNTBLANK(OFFSET(A$1,,,SUMPRODUCT(MAX(ROW(E$2:E186)*(E186=E$2:E186)))))-COUNTBLANK(OFFSET(A$1,,,SUMPRODUCT(MAX(ROW(E$1:E185)*(E2=E$1:E185))))))</f>
        <v/>
      </c>
      <c r="K186" s="31" t="str">
        <f aca="false">IF(OR(E186="",E186="!!!",F186="NEW"),"",INDEX(J$1:J185,SUMPRODUCT(MAX(ROW(E$1:E185)*(E186=E$1:E185)))))</f>
        <v/>
      </c>
      <c r="L186" s="28"/>
    </row>
    <row r="187" customFormat="false" ht="15" hidden="false" customHeight="false" outlineLevel="0" collapsed="false">
      <c r="A187" s="21" t="s">
        <v>277</v>
      </c>
      <c r="E187" s="25"/>
      <c r="F187" s="26" t="str">
        <f aca="false">IF(OR(E187="",E187="!!!"),"",IF(NOT(ISNA(VLOOKUP(E187,E$1:E186,1,FALSE()))),"OLD",IF(AND(E187&lt;&gt;"",E187&lt;&gt;"!!!"),"NEW","")))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7" t="str">
        <f aca="false">IF(OR(E187="",E187="!!!",F187="NEW"),"",INDEX(B14:B$174,-1+SUMPRODUCT(MAX(ROW(E14:E$174)*(E187=E14:E$174)))))</f>
        <v/>
      </c>
      <c r="J187" s="27" t="str">
        <f aca="true">IF(OR(E187="",E187="!!!",F187="NEW"),"",COUNTBLANK(OFFSET(A$1,,,SUMPRODUCT(MAX(ROW(E$2:E187)*(E187=E$2:E187)))))-COUNTBLANK(OFFSET(A$1,,,SUMPRODUCT(MAX(ROW(E$1:E186)*(E2=E$1:E186))))))</f>
        <v/>
      </c>
      <c r="K187" s="27" t="str">
        <f aca="false">IF(OR(E187="",E187="!!!",F187="NEW"),"",INDEX(J$1:J186,SUMPRODUCT(MAX(ROW(E$1:E186)*(E187=E$1:E186)))))</f>
        <v/>
      </c>
      <c r="L187" s="28"/>
    </row>
    <row r="188" customFormat="false" ht="15" hidden="false" customHeight="false" outlineLevel="0" collapsed="false">
      <c r="A188" s="21" t="s">
        <v>261</v>
      </c>
      <c r="E188" s="25"/>
      <c r="F188" s="26" t="str">
        <f aca="false">IF(OR(E188="",E188="!!!"),"",IF(NOT(ISNA(VLOOKUP(E188,E$1:E187,1,FALSE()))),"OLD",IF(AND(E188&lt;&gt;"",E188&lt;&gt;"!!!"),"NEW","")))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7" t="str">
        <f aca="false">IF(OR(E188="",E188="!!!",F188="NEW"),"",INDEX(B15:B$174,-1+SUMPRODUCT(MAX(ROW(E15:E$174)*(E188=E15:E$174)))))</f>
        <v/>
      </c>
      <c r="J188" s="27" t="str">
        <f aca="true">IF(OR(E188="",E188="!!!",F188="NEW"),"",COUNTBLANK(OFFSET(A$1,,,SUMPRODUCT(MAX(ROW(E$2:E188)*(E188=E$2:E188)))))-COUNTBLANK(OFFSET(A$1,,,SUMPRODUCT(MAX(ROW(E$1:E187)*(E2=E$1:E187))))))</f>
        <v/>
      </c>
      <c r="K188" s="27" t="str">
        <f aca="false">IF(OR(E188="",E188="!!!",F188="NEW"),"",INDEX(J$1:J187,SUMPRODUCT(MAX(ROW(E$1:E187)*(E188=E$1:E187)))))</f>
        <v/>
      </c>
      <c r="L188" s="28"/>
    </row>
    <row r="189" customFormat="false" ht="15" hidden="false" customHeight="false" outlineLevel="0" collapsed="false">
      <c r="A189" s="21" t="s">
        <v>306</v>
      </c>
      <c r="E189" s="25"/>
      <c r="F189" s="26" t="str">
        <f aca="false">IF(OR(E189="",E189="!!!"),"",IF(NOT(ISNA(VLOOKUP(E189,E$1:E188,1,FALSE()))),"OLD",IF(AND(E189&lt;&gt;"",E189&lt;&gt;"!!!"),"NEW","")))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7" t="str">
        <f aca="false">IF(OR(E189="",E189="!!!",F189="NEW"),"",INDEX(B16:B$174,-1+SUMPRODUCT(MAX(ROW(E16:E$174)*(E189=E16:E$174)))))</f>
        <v/>
      </c>
      <c r="J189" s="27" t="str">
        <f aca="true">IF(OR(E189="",E189="!!!",F189="NEW"),"",COUNTBLANK(OFFSET(A$1,,,SUMPRODUCT(MAX(ROW(E$2:E189)*(E189=E$2:E189)))))-COUNTBLANK(OFFSET(A$1,,,SUMPRODUCT(MAX(ROW(E$1:E188)*(E2=E$1:E188))))))</f>
        <v/>
      </c>
      <c r="K189" s="27" t="str">
        <f aca="false">IF(OR(E189="",E189="!!!",F189="NEW"),"",INDEX(J$1:J188,SUMPRODUCT(MAX(ROW(E$1:E188)*(E189=E$1:E188)))))</f>
        <v/>
      </c>
      <c r="L189" s="28"/>
    </row>
    <row r="190" customFormat="false" ht="15" hidden="false" customHeight="false" outlineLevel="0" collapsed="false">
      <c r="A190" s="21" t="s">
        <v>207</v>
      </c>
      <c r="E190" s="25"/>
      <c r="F190" s="26" t="str">
        <f aca="false">IF(OR(E190="",E190="!!!"),"",IF(NOT(ISNA(VLOOKUP(E190,E$1:E189,1,FALSE()))),"OLD",IF(AND(E190&lt;&gt;"",E190&lt;&gt;"!!!"),"NEW","")))</f>
        <v/>
      </c>
      <c r="G190" s="22" t="str">
        <f aca="false">IF(OR(E190="",E190="!!!"),"",IF(OR(J190=0,AND(J190=1,K190=1),AND(J190=1,I190="SBJ"),AND(J190=1,I190=0)),"?IN_FOCUS",IF(J190&lt;=2,"?ACTIVATED",IF(J190&lt;&gt;"","?FAMILIAR",IF(F190="NEW",IF(ISNA(VLOOKUP(E190,#REF!,1,FALSE())),"?TYPE_IDENTIFIABLE","?REFERENTIAL"),"_")))))</f>
        <v/>
      </c>
      <c r="H190" s="23" t="str">
        <f aca="false">IF(J190&lt;&gt;1,"",IF(I190="SBJ","CB","?"))</f>
        <v/>
      </c>
      <c r="I190" s="27" t="str">
        <f aca="false">IF(OR(E190="",E190="!!!",F190="NEW"),"",INDEX(B17:B$174,-1+SUMPRODUCT(MAX(ROW(E17:E$174)*(E190=E17:E$174)))))</f>
        <v/>
      </c>
      <c r="J190" s="27" t="str">
        <f aca="true">IF(OR(E190="",E190="!!!",F190="NEW"),"",COUNTBLANK(OFFSET(A$1,,,SUMPRODUCT(MAX(ROW(E$2:E190)*(E190=E$2:E190)))))-COUNTBLANK(OFFSET(A$1,,,SUMPRODUCT(MAX(ROW(E$1:E189)*(E2=E$1:E189))))))</f>
        <v/>
      </c>
      <c r="K190" s="27" t="str">
        <f aca="false">IF(OR(E190="",E190="!!!",F190="NEW"),"",INDEX(J$1:J189,SUMPRODUCT(MAX(ROW(E$1:E189)*(E190=E$1:E189)))))</f>
        <v/>
      </c>
      <c r="L190" s="28"/>
    </row>
    <row r="191" customFormat="false" ht="15" hidden="false" customHeight="false" outlineLevel="0" collapsed="false">
      <c r="A191" s="21" t="s">
        <v>307</v>
      </c>
      <c r="E191" s="25"/>
      <c r="F191" s="26" t="str">
        <f aca="false">IF(OR(E191="",E191="!!!"),"",IF(NOT(ISNA(VLOOKUP(E191,E$1:E190,1,FALSE()))),"OLD",IF(AND(E191&lt;&gt;"",E191&lt;&gt;"!!!"),"NEW","")))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7" t="str">
        <f aca="false">IF(OR(E191="",E191="!!!",F191="NEW"),"",INDEX(B18:B$174,-1+SUMPRODUCT(MAX(ROW(E18:E$174)*(E191=E18:E$174)))))</f>
        <v/>
      </c>
      <c r="J191" s="27" t="str">
        <f aca="true">IF(OR(E191="",E191="!!!",F191="NEW"),"",COUNTBLANK(OFFSET(A$1,,,SUMPRODUCT(MAX(ROW(E$2:E191)*(E191=E$2:E191)))))-COUNTBLANK(OFFSET(A$1,,,SUMPRODUCT(MAX(ROW(E$1:E190)*(E2=E$1:E190))))))</f>
        <v/>
      </c>
      <c r="K191" s="27" t="str">
        <f aca="false">IF(OR(E191="",E191="!!!",F191="NEW"),"",INDEX(J$1:J190,SUMPRODUCT(MAX(ROW(E$1:E190)*(E191=E$1:E190)))))</f>
        <v/>
      </c>
      <c r="L191" s="28"/>
    </row>
    <row r="192" customFormat="false" ht="15" hidden="false" customHeight="false" outlineLevel="0" collapsed="false">
      <c r="A192" s="21" t="s">
        <v>169</v>
      </c>
      <c r="E192" s="25"/>
      <c r="F192" s="26" t="str">
        <f aca="false">IF(OR(E192="",E192="!!!"),"",IF(NOT(ISNA(VLOOKUP(E192,E$1:E191,1,FALSE()))),"OLD",IF(AND(E192&lt;&gt;"",E192&lt;&gt;"!!!"),"NEW","")))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7" t="str">
        <f aca="false">IF(OR(E192="",E192="!!!",F192="NEW"),"",INDEX(B19:B$174,-1+SUMPRODUCT(MAX(ROW(E19:E$174)*(E192=E19:E$174)))))</f>
        <v/>
      </c>
      <c r="J192" s="27" t="str">
        <f aca="true">IF(OR(E192="",E192="!!!",F192="NEW"),"",COUNTBLANK(OFFSET(A$1,,,SUMPRODUCT(MAX(ROW(E$2:E192)*(E192=E$2:E192)))))-COUNTBLANK(OFFSET(A$1,,,SUMPRODUCT(MAX(ROW(E$1:E191)*(E2=E$1:E191))))))</f>
        <v/>
      </c>
      <c r="K192" s="27" t="str">
        <f aca="false">IF(OR(E192="",E192="!!!",F192="NEW"),"",INDEX(J$1:J191,SUMPRODUCT(MAX(ROW(E$1:E191)*(E192=E$1:E191)))))</f>
        <v/>
      </c>
      <c r="L192" s="28"/>
    </row>
    <row r="193" customFormat="false" ht="15" hidden="false" customHeight="false" outlineLevel="0" collapsed="false">
      <c r="A193" s="21" t="s">
        <v>263</v>
      </c>
      <c r="B193" s="29" t="s">
        <v>210</v>
      </c>
      <c r="C193" s="29" t="s">
        <v>171</v>
      </c>
      <c r="D193" s="29" t="s">
        <v>159</v>
      </c>
      <c r="E193" s="25" t="s">
        <v>308</v>
      </c>
      <c r="F193" s="30" t="str">
        <f aca="false">IF(OR(E193="",E193="!!!"),"",IF(NOT(ISNA(VLOOKUP(E193,E$1:E192,1,FALSE()))),"OLD",IF(AND(E193&lt;&gt;"",E193&lt;&gt;"!!!"),"NEW","")))</f>
        <v>NEW</v>
      </c>
      <c r="G193" s="22" t="s">
        <v>160</v>
      </c>
      <c r="H193" s="23" t="str">
        <f aca="false">IF(J193&lt;&gt;1,"",IF(I193="SBJ","CB","?"))</f>
        <v/>
      </c>
      <c r="I193" s="31" t="str">
        <f aca="false">IF(OR(E193="",E193="!!!",F193="NEW"),"",INDEX(B20:B$174,-1+SUMPRODUCT(MAX(ROW(E20:E$174)*(E193=E20:E$174)))))</f>
        <v/>
      </c>
      <c r="J193" s="31" t="str">
        <f aca="true">IF(OR(E193="",E193="!!!",F193="NEW"),"",COUNTBLANK(OFFSET(A$1,,,SUMPRODUCT(MAX(ROW(E$2:E193)*(E193=E$2:E193)))))-COUNTBLANK(OFFSET(A$1,,,SUMPRODUCT(MAX(ROW(E$1:E192)*(E2=E$1:E192))))))</f>
        <v/>
      </c>
      <c r="K193" s="31" t="str">
        <f aca="false">IF(OR(E193="",E193="!!!",F193="NEW"),"",INDEX(J$1:J192,SUMPRODUCT(MAX(ROW(E$1:E192)*(E193=E$1:E192)))))</f>
        <v/>
      </c>
      <c r="L193" s="28"/>
    </row>
    <row r="194" customFormat="false" ht="15" hidden="false" customHeight="false" outlineLevel="0" collapsed="false">
      <c r="A194" s="21" t="s">
        <v>165</v>
      </c>
      <c r="E194" s="25"/>
      <c r="F194" s="26" t="str">
        <f aca="false">IF(OR(E194="",E194="!!!"),"",IF(NOT(ISNA(VLOOKUP(E194,E$1:E193,1,FALSE()))),"OLD",IF(AND(E194&lt;&gt;"",E194&lt;&gt;"!!!"),"NEW","")))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7" t="str">
        <f aca="false">IF(OR(E194="",E194="!!!",F194="NEW"),"",INDEX(B21:B$174,-1+SUMPRODUCT(MAX(ROW(E21:E$174)*(E194=E21:E$174)))))</f>
        <v/>
      </c>
      <c r="J194" s="27" t="str">
        <f aca="true">IF(OR(E194="",E194="!!!",F194="NEW"),"",COUNTBLANK(OFFSET(A$1,,,SUMPRODUCT(MAX(ROW(E$2:E194)*(E194=E$2:E194)))))-COUNTBLANK(OFFSET(A$1,,,SUMPRODUCT(MAX(ROW(E$1:E193)*(E2=E$1:E193))))))</f>
        <v/>
      </c>
      <c r="K194" s="27" t="str">
        <f aca="false">IF(OR(E194="",E194="!!!",F194="NEW"),"",INDEX(J$1:J193,SUMPRODUCT(MAX(ROW(E$1:E193)*(E194=E$1:E193)))))</f>
        <v/>
      </c>
      <c r="L194" s="28"/>
    </row>
    <row r="195" customFormat="false" ht="15" hidden="false" customHeight="false" outlineLevel="0" collapsed="false">
      <c r="A195" s="21" t="s">
        <v>309</v>
      </c>
      <c r="E195" s="25"/>
      <c r="F195" s="26" t="str">
        <f aca="false">IF(OR(E195="",E195="!!!"),"",IF(NOT(ISNA(VLOOKUP(E195,E$1:E194,1,FALSE()))),"OLD",IF(AND(E195&lt;&gt;"",E195&lt;&gt;"!!!"),"NEW","")))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7" t="str">
        <f aca="false">IF(OR(E195="",E195="!!!",F195="NEW"),"",INDEX(B22:B$174,-1+SUMPRODUCT(MAX(ROW(E22:E$174)*(E195=E22:E$174)))))</f>
        <v/>
      </c>
      <c r="J195" s="27" t="str">
        <f aca="true">IF(OR(E195="",E195="!!!",F195="NEW"),"",COUNTBLANK(OFFSET(A$1,,,SUMPRODUCT(MAX(ROW(E$2:E195)*(E195=E$2:E195)))))-COUNTBLANK(OFFSET(A$1,,,SUMPRODUCT(MAX(ROW(E$1:E194)*(E2=E$1:E194))))))</f>
        <v/>
      </c>
      <c r="K195" s="27" t="str">
        <f aca="false">IF(OR(E195="",E195="!!!",F195="NEW"),"",INDEX(J$1:J194,SUMPRODUCT(MAX(ROW(E$1:E194)*(E195=E$1:E194)))))</f>
        <v/>
      </c>
      <c r="L195" s="28"/>
    </row>
    <row r="196" customFormat="false" ht="15" hidden="false" customHeight="false" outlineLevel="0" collapsed="false">
      <c r="A196" s="21" t="s">
        <v>310</v>
      </c>
      <c r="B196" s="29" t="s">
        <v>216</v>
      </c>
      <c r="C196" s="29" t="s">
        <v>167</v>
      </c>
      <c r="E196" s="25"/>
      <c r="F196" s="26" t="str">
        <f aca="false">IF(OR(E196="",E196="!!!"),"",IF(NOT(ISNA(VLOOKUP(E196,E$1:E195,1,FALSE()))),"OLD",IF(AND(E196&lt;&gt;"",E196&lt;&gt;"!!!"),"NEW","")))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7" t="str">
        <f aca="false">IF(OR(E196="",E196="!!!",F196="NEW"),"",INDEX(B23:B$174,-1+SUMPRODUCT(MAX(ROW(E23:E$174)*(E196=E23:E$174)))))</f>
        <v/>
      </c>
      <c r="J196" s="27" t="str">
        <f aca="true">IF(OR(E196="",E196="!!!",F196="NEW"),"",COUNTBLANK(OFFSET(A$1,,,SUMPRODUCT(MAX(ROW(E$2:E196)*(E196=E$2:E196)))))-COUNTBLANK(OFFSET(A$1,,,SUMPRODUCT(MAX(ROW(E$1:E195)*(E2=E$1:E195))))))</f>
        <v/>
      </c>
      <c r="K196" s="27" t="str">
        <f aca="false">IF(OR(E196="",E196="!!!",F196="NEW"),"",INDEX(J$1:J195,SUMPRODUCT(MAX(ROW(E$1:E195)*(E196=E$1:E195)))))</f>
        <v/>
      </c>
      <c r="L196" s="28"/>
    </row>
    <row r="197" customFormat="false" ht="15" hidden="false" customHeight="false" outlineLevel="0" collapsed="false">
      <c r="A197" s="21" t="s">
        <v>250</v>
      </c>
      <c r="E197" s="25"/>
      <c r="F197" s="26" t="str">
        <f aca="false">IF(OR(E197="",E197="!!!"),"",IF(NOT(ISNA(VLOOKUP(E197,E$1:E196,1,FALSE()))),"OLD",IF(AND(E197&lt;&gt;"",E197&lt;&gt;"!!!"),"NEW","")))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7" t="str">
        <f aca="false">IF(OR(E197="",E197="!!!",F197="NEW"),"",INDEX(B24:B$174,-1+SUMPRODUCT(MAX(ROW(E24:E$174)*(E197=E24:E$174)))))</f>
        <v/>
      </c>
      <c r="J197" s="27" t="str">
        <f aca="true">IF(OR(E197="",E197="!!!",F197="NEW"),"",COUNTBLANK(OFFSET(A$1,,,SUMPRODUCT(MAX(ROW(E$2:E197)*(E197=E$2:E197)))))-COUNTBLANK(OFFSET(A$1,,,SUMPRODUCT(MAX(ROW(E$1:E196)*(E2=E$1:E196))))))</f>
        <v/>
      </c>
      <c r="K197" s="27" t="str">
        <f aca="false">IF(OR(E197="",E197="!!!",F197="NEW"),"",INDEX(J$1:J196,SUMPRODUCT(MAX(ROW(E$1:E196)*(E197=E$1:E196)))))</f>
        <v/>
      </c>
      <c r="L197" s="28"/>
    </row>
    <row r="198" customFormat="false" ht="15" hidden="false" customHeight="false" outlineLevel="0" collapsed="false">
      <c r="A198" s="21" t="s">
        <v>169</v>
      </c>
      <c r="E198" s="25"/>
      <c r="F198" s="26" t="str">
        <f aca="false">IF(OR(E198="",E198="!!!"),"",IF(NOT(ISNA(VLOOKUP(E198,E$1:E197,1,FALSE()))),"OLD",IF(AND(E198&lt;&gt;"",E198&lt;&gt;"!!!"),"NEW","")))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7" t="str">
        <f aca="false">IF(OR(E198="",E198="!!!",F198="NEW"),"",INDEX(B25:B$174,-1+SUMPRODUCT(MAX(ROW(E25:E$174)*(E198=E25:E$174)))))</f>
        <v/>
      </c>
      <c r="J198" s="27" t="str">
        <f aca="true">IF(OR(E198="",E198="!!!",F198="NEW"),"",COUNTBLANK(OFFSET(A$1,,,SUMPRODUCT(MAX(ROW(E$2:E198)*(E198=E$2:E198)))))-COUNTBLANK(OFFSET(A$1,,,SUMPRODUCT(MAX(ROW(E$1:E197)*(E2=E$1:E197))))))</f>
        <v/>
      </c>
      <c r="K198" s="27" t="str">
        <f aca="false">IF(OR(E198="",E198="!!!",F198="NEW"),"",INDEX(J$1:J197,SUMPRODUCT(MAX(ROW(E$1:E197)*(E198=E$1:E197)))))</f>
        <v/>
      </c>
      <c r="L198" s="28"/>
    </row>
    <row r="199" customFormat="false" ht="15" hidden="false" customHeight="false" outlineLevel="0" collapsed="false">
      <c r="A199" s="21" t="s">
        <v>311</v>
      </c>
      <c r="E199" s="25"/>
      <c r="F199" s="26" t="str">
        <f aca="false">IF(OR(E199="",E199="!!!"),"",IF(NOT(ISNA(VLOOKUP(E199,E$1:E198,1,FALSE()))),"OLD",IF(AND(E199&lt;&gt;"",E199&lt;&gt;"!!!"),"NEW","")))</f>
        <v/>
      </c>
      <c r="G199" s="22" t="str">
        <f aca="false">IF(OR(E199="",E199="!!!"),"",IF(OR(J199=0,AND(J199=1,K199=1),AND(J199=1,I199="SBJ"),AND(J199=1,I199=0)),"?IN_FOCUS",IF(J199&lt;=2,"?ACTIVATED",IF(J199&lt;&gt;"","?FAMILIAR",IF(F199="NEW",IF(ISNA(VLOOKUP(E199,#REF!,1,FALSE())),"?TYPE_IDENTIFIABLE","?REFERENTIAL"),"_")))))</f>
        <v/>
      </c>
      <c r="H199" s="23" t="str">
        <f aca="false">IF(J199&lt;&gt;1,"",IF(I199="SBJ","CB","?"))</f>
        <v/>
      </c>
      <c r="I199" s="27" t="str">
        <f aca="false">IF(OR(E199="",E199="!!!",F199="NEW"),"",INDEX(B26:B$174,-1+SUMPRODUCT(MAX(ROW(E26:E$174)*(E199=E26:E$174)))))</f>
        <v/>
      </c>
      <c r="J199" s="27" t="str">
        <f aca="true">IF(OR(E199="",E199="!!!",F199="NEW"),"",COUNTBLANK(OFFSET(A$1,,,SUMPRODUCT(MAX(ROW(E$2:E199)*(E199=E$2:E199)))))-COUNTBLANK(OFFSET(A$1,,,SUMPRODUCT(MAX(ROW(E$1:E198)*(E2=E$1:E198))))))</f>
        <v/>
      </c>
      <c r="K199" s="27" t="str">
        <f aca="false">IF(OR(E199="",E199="!!!",F199="NEW"),"",INDEX(J$1:J198,SUMPRODUCT(MAX(ROW(E$1:E198)*(E199=E$1:E198)))))</f>
        <v/>
      </c>
      <c r="L199" s="28"/>
    </row>
    <row r="200" customFormat="false" ht="15" hidden="false" customHeight="false" outlineLevel="0" collapsed="false">
      <c r="A200" s="21" t="s">
        <v>312</v>
      </c>
      <c r="B200" s="29" t="s">
        <v>232</v>
      </c>
      <c r="C200" s="29" t="s">
        <v>158</v>
      </c>
      <c r="D200" s="29" t="s">
        <v>159</v>
      </c>
      <c r="E200" s="25" t="s">
        <v>313</v>
      </c>
      <c r="F200" s="30" t="str">
        <f aca="false">IF(OR(E200="",E200="!!!"),"",IF(NOT(ISNA(VLOOKUP(E200,E$1:E199,1,FALSE()))),"OLD",IF(AND(E200&lt;&gt;"",E200&lt;&gt;"!!!"),"NEW","")))</f>
        <v>NEW</v>
      </c>
      <c r="G200" s="22" t="s">
        <v>160</v>
      </c>
      <c r="H200" s="23" t="str">
        <f aca="false">IF(J200&lt;&gt;1,"",IF(I200="SBJ","CB","?"))</f>
        <v/>
      </c>
      <c r="I200" s="31" t="str">
        <f aca="false">IF(OR(E200="",E200="!!!",F200="NEW"),"",INDEX(B27:B$174,-1+SUMPRODUCT(MAX(ROW(E27:E$174)*(E200=E27:E$174)))))</f>
        <v/>
      </c>
      <c r="J200" s="31" t="str">
        <f aca="true">IF(OR(E200="",E200="!!!",F200="NEW"),"",COUNTBLANK(OFFSET(A$1,,,SUMPRODUCT(MAX(ROW(E$2:E200)*(E200=E$2:E200)))))-COUNTBLANK(OFFSET(A$1,,,SUMPRODUCT(MAX(ROW(E$1:E199)*(E2=E$1:E199))))))</f>
        <v/>
      </c>
      <c r="K200" s="31" t="str">
        <f aca="false">IF(OR(E200="",E200="!!!",F200="NEW"),"",INDEX(J$1:J199,SUMPRODUCT(MAX(ROW(E$1:E199)*(E200=E$1:E199)))))</f>
        <v/>
      </c>
      <c r="L200" s="28"/>
    </row>
    <row r="201" customFormat="false" ht="15" hidden="false" customHeight="false" outlineLevel="0" collapsed="false">
      <c r="A201" s="21" t="s">
        <v>193</v>
      </c>
      <c r="E201" s="25"/>
      <c r="F201" s="26" t="str">
        <f aca="false">IF(OR(E201="",E201="!!!"),"",IF(NOT(ISNA(VLOOKUP(E201,E$1:E200,1,FALSE()))),"OLD",IF(AND(E201&lt;&gt;"",E201&lt;&gt;"!!!"),"NEW","")))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7" t="str">
        <f aca="false">IF(OR(E201="",E201="!!!",F201="NEW"),"",INDEX(B28:B$174,-1+SUMPRODUCT(MAX(ROW(E28:E$174)*(E201=E28:E$174)))))</f>
        <v/>
      </c>
      <c r="J201" s="27" t="str">
        <f aca="true">IF(OR(E201="",E201="!!!",F201="NEW"),"",COUNTBLANK(OFFSET(A$1,,,SUMPRODUCT(MAX(ROW(E$2:E201)*(E201=E$2:E201)))))-COUNTBLANK(OFFSET(A$1,,,SUMPRODUCT(MAX(ROW(E$1:E200)*(E2=E$1:E200))))))</f>
        <v/>
      </c>
      <c r="K201" s="27" t="str">
        <f aca="false">IF(OR(E201="",E201="!!!",F201="NEW"),"",INDEX(J$1:J200,SUMPRODUCT(MAX(ROW(E$1:E200)*(E201=E$1:E200)))))</f>
        <v/>
      </c>
      <c r="L201" s="28"/>
    </row>
    <row r="202" customFormat="false" ht="15" hidden="false" customHeight="false" outlineLevel="0" collapsed="false">
      <c r="A202" s="21"/>
      <c r="G202" s="22" t="str">
        <f aca="false">IF(OR(E202="",E202="!!!"),"",IF(OR(J202=0,AND(J202=1,K202=1),AND(J202=1,I202="SBJ"),AND(J202=1,I202=0)),"?IN_FOCUS",IF(J202&lt;=2,"?ACTIVATED",IF(J202&lt;&gt;"","?FAMILIAR",IF(F202="NEW",IF(ISNA(VLOOKUP(E202,#REF!,1,FALSE())),"?TYPE_IDENTIFIABLE","?REFERENTIAL"),"_")))))</f>
        <v/>
      </c>
      <c r="H202" s="23" t="str">
        <f aca="false">IF(J202&lt;&gt;1,"",IF(I202="SBJ","CB","?"))</f>
        <v/>
      </c>
    </row>
    <row r="203" customFormat="false" ht="15" hidden="false" customHeight="false" outlineLevel="0" collapsed="false">
      <c r="A203" s="21" t="s">
        <v>314</v>
      </c>
      <c r="G203" s="22" t="str">
        <f aca="false">IF(OR(E203="",E203="!!!"),"",IF(OR(J203=0,AND(J203=1,K203=1),AND(J203=1,I203="SBJ"),AND(J203=1,I203=0)),"?IN_FOCUS",IF(J203&lt;=2,"?ACTIVATED",IF(J203&lt;&gt;"","?FAMILIAR",IF(F203="NEW",IF(ISNA(VLOOKUP(E203,#REF!,1,FALSE())),"?TYPE_IDENTIFIABLE","?REFERENTIAL"),"_")))))</f>
        <v/>
      </c>
      <c r="H203" s="23" t="str">
        <f aca="false">IF(J203&lt;&gt;1,"",IF(I203="SBJ","CB","?"))</f>
        <v/>
      </c>
    </row>
    <row r="204" customFormat="false" ht="15" hidden="false" customHeight="false" outlineLevel="0" collapsed="false">
      <c r="A204" s="21" t="s">
        <v>315</v>
      </c>
      <c r="B204" s="29" t="s">
        <v>180</v>
      </c>
      <c r="C204" s="29" t="s">
        <v>316</v>
      </c>
      <c r="D204" s="29" t="s">
        <v>159</v>
      </c>
      <c r="E204" s="25" t="s">
        <v>317</v>
      </c>
      <c r="F204" s="30" t="str">
        <f aca="false">IF(OR(E204="",E204="!!!"),"",IF(NOT(ISNA(VLOOKUP(E204,E$1:E203,1,FALSE()))),"OLD",IF(AND(E204&lt;&gt;"",E204&lt;&gt;"!!!"),"NEW","")))</f>
        <v>NEW</v>
      </c>
      <c r="G204" s="22" t="s">
        <v>160</v>
      </c>
      <c r="H204" s="23" t="str">
        <f aca="false">IF(J204&lt;&gt;1,"",IF(I204="SBJ","CB","?"))</f>
        <v/>
      </c>
      <c r="I204" s="31" t="str">
        <f aca="false">IF(OR(E204="",E204="!!!",F204="NEW"),"",INDEX(B2:B$203,-1+SUMPRODUCT(MAX(ROW(E2:E$203)*(E204=E2:E$203)))))</f>
        <v/>
      </c>
      <c r="J204" s="31" t="str">
        <f aca="true">IF(OR(E204="",E204="!!!",F204="NEW"),"",COUNTBLANK(OFFSET(A$1,,,SUMPRODUCT(MAX(ROW(E$2:E204)*(E204=E$2:E204)))))-COUNTBLANK(OFFSET(A$1,,,SUMPRODUCT(MAX(ROW(E$1:E203)*(E2=E$1:E203))))))</f>
        <v/>
      </c>
      <c r="K204" s="31" t="str">
        <f aca="false">IF(OR(E204="",E204="!!!",F204="NEW"),"",INDEX(J$1:J203,SUMPRODUCT(MAX(ROW(E$1:E203)*(E204=E$1:E203)))))</f>
        <v/>
      </c>
      <c r="L204" s="28"/>
    </row>
    <row r="205" customFormat="false" ht="15" hidden="false" customHeight="false" outlineLevel="0" collapsed="false">
      <c r="A205" s="21" t="s">
        <v>318</v>
      </c>
      <c r="E205" s="25"/>
      <c r="F205" s="26" t="str">
        <f aca="false">IF(OR(E205="",E205="!!!"),"",IF(NOT(ISNA(VLOOKUP(E205,E$1:E204,1,FALSE()))),"OLD",IF(AND(E205&lt;&gt;"",E205&lt;&gt;"!!!"),"NEW","")))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7" t="str">
        <f aca="false">IF(OR(E205="",E205="!!!",F205="NEW"),"",INDEX(B3:B$203,-1+SUMPRODUCT(MAX(ROW(E3:E$203)*(E205=E3:E$203)))))</f>
        <v/>
      </c>
      <c r="J205" s="27" t="str">
        <f aca="true">IF(OR(E205="",E205="!!!",F205="NEW"),"",COUNTBLANK(OFFSET(A$1,,,SUMPRODUCT(MAX(ROW(E$2:E205)*(E205=E$2:E205)))))-COUNTBLANK(OFFSET(A$1,,,SUMPRODUCT(MAX(ROW(E$1:E204)*(E2=E$1:E204))))))</f>
        <v/>
      </c>
      <c r="K205" s="27" t="str">
        <f aca="false">IF(OR(E205="",E205="!!!",F205="NEW"),"",INDEX(J$1:J204,SUMPRODUCT(MAX(ROW(E$1:E204)*(E205=E$1:E204)))))</f>
        <v/>
      </c>
      <c r="L205" s="28"/>
    </row>
    <row r="206" customFormat="false" ht="15" hidden="false" customHeight="false" outlineLevel="0" collapsed="false">
      <c r="A206" s="21" t="s">
        <v>169</v>
      </c>
      <c r="E206" s="25"/>
      <c r="F206" s="26" t="str">
        <f aca="false">IF(OR(E206="",E206="!!!"),"",IF(NOT(ISNA(VLOOKUP(E206,E$1:E205,1,FALSE()))),"OLD",IF(AND(E206&lt;&gt;"",E206&lt;&gt;"!!!"),"NEW","")))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7" t="str">
        <f aca="false">IF(OR(E206="",E206="!!!",F206="NEW"),"",INDEX(B4:B$203,-1+SUMPRODUCT(MAX(ROW(E4:E$203)*(E206=E4:E$203)))))</f>
        <v/>
      </c>
      <c r="J206" s="27" t="str">
        <f aca="true">IF(OR(E206="",E206="!!!",F206="NEW"),"",COUNTBLANK(OFFSET(A$1,,,SUMPRODUCT(MAX(ROW(E$2:E206)*(E206=E$2:E206)))))-COUNTBLANK(OFFSET(A$1,,,SUMPRODUCT(MAX(ROW(E$1:E205)*(E2=E$1:E205))))))</f>
        <v/>
      </c>
      <c r="K206" s="27" t="str">
        <f aca="false">IF(OR(E206="",E206="!!!",F206="NEW"),"",INDEX(J$1:J205,SUMPRODUCT(MAX(ROW(E$1:E205)*(E206=E$1:E205)))))</f>
        <v/>
      </c>
      <c r="L206" s="28"/>
    </row>
    <row r="207" customFormat="false" ht="15" hidden="false" customHeight="false" outlineLevel="0" collapsed="false">
      <c r="A207" s="21" t="s">
        <v>319</v>
      </c>
      <c r="E207" s="25"/>
      <c r="F207" s="26" t="str">
        <f aca="false">IF(OR(E207="",E207="!!!"),"",IF(NOT(ISNA(VLOOKUP(E207,E$1:E206,1,FALSE()))),"OLD",IF(AND(E207&lt;&gt;"",E207&lt;&gt;"!!!"),"NEW","")))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7" t="str">
        <f aca="false">IF(OR(E207="",E207="!!!",F207="NEW"),"",INDEX(B5:B$203,-1+SUMPRODUCT(MAX(ROW(E5:E$203)*(E207=E5:E$203)))))</f>
        <v/>
      </c>
      <c r="J207" s="27" t="str">
        <f aca="true">IF(OR(E207="",E207="!!!",F207="NEW"),"",COUNTBLANK(OFFSET(A$1,,,SUMPRODUCT(MAX(ROW(E$2:E207)*(E207=E$2:E207)))))-COUNTBLANK(OFFSET(A$1,,,SUMPRODUCT(MAX(ROW(E$1:E206)*(E2=E$1:E206))))))</f>
        <v/>
      </c>
      <c r="K207" s="27" t="str">
        <f aca="false">IF(OR(E207="",E207="!!!",F207="NEW"),"",INDEX(J$1:J206,SUMPRODUCT(MAX(ROW(E$1:E206)*(E207=E$1:E206)))))</f>
        <v/>
      </c>
      <c r="L207" s="28"/>
    </row>
    <row r="208" customFormat="false" ht="15" hidden="false" customHeight="false" outlineLevel="0" collapsed="false">
      <c r="A208" s="21" t="s">
        <v>320</v>
      </c>
      <c r="B208" s="29" t="s">
        <v>153</v>
      </c>
      <c r="C208" s="29" t="s">
        <v>171</v>
      </c>
      <c r="D208" s="29" t="s">
        <v>159</v>
      </c>
      <c r="E208" s="25" t="s">
        <v>321</v>
      </c>
      <c r="F208" s="30" t="str">
        <f aca="false">IF(OR(E208="",E208="!!!"),"",IF(NOT(ISNA(VLOOKUP(E208,E$1:E207,1,FALSE()))),"OLD",IF(AND(E208&lt;&gt;"",E208&lt;&gt;"!!!"),"NEW","")))</f>
        <v>NEW</v>
      </c>
      <c r="G208" s="22" t="s">
        <v>160</v>
      </c>
      <c r="H208" s="23" t="str">
        <f aca="false">IF(J208&lt;&gt;1,"",IF(I208="SBJ","CB","?"))</f>
        <v/>
      </c>
      <c r="I208" s="31" t="str">
        <f aca="false">IF(OR(E208="",E208="!!!",F208="NEW"),"",INDEX(B6:B$203,-1+SUMPRODUCT(MAX(ROW(E6:E$203)*(E208=E6:E$203)))))</f>
        <v/>
      </c>
      <c r="J208" s="31" t="str">
        <f aca="true">IF(OR(E208="",E208="!!!",F208="NEW"),"",COUNTBLANK(OFFSET(A$1,,,SUMPRODUCT(MAX(ROW(E$2:E208)*(E208=E$2:E208)))))-COUNTBLANK(OFFSET(A$1,,,SUMPRODUCT(MAX(ROW(E$1:E207)*(E2=E$1:E207))))))</f>
        <v/>
      </c>
      <c r="K208" s="31" t="str">
        <f aca="false">IF(OR(E208="",E208="!!!",F208="NEW"),"",INDEX(J$1:J207,SUMPRODUCT(MAX(ROW(E$1:E207)*(E208=E$1:E207)))))</f>
        <v/>
      </c>
      <c r="L208" s="28"/>
    </row>
    <row r="209" customFormat="false" ht="15" hidden="false" customHeight="false" outlineLevel="0" collapsed="false">
      <c r="A209" s="21" t="s">
        <v>178</v>
      </c>
      <c r="E209" s="25"/>
      <c r="F209" s="26" t="str">
        <f aca="false">IF(OR(E209="",E209="!!!"),"",IF(NOT(ISNA(VLOOKUP(E209,E$1:E208,1,FALSE()))),"OLD",IF(AND(E209&lt;&gt;"",E209&lt;&gt;"!!!"),"NEW","")))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7" t="str">
        <f aca="false">IF(OR(E209="",E209="!!!",F209="NEW"),"",INDEX(B7:B$203,-1+SUMPRODUCT(MAX(ROW(E7:E$203)*(E209=E7:E$203)))))</f>
        <v/>
      </c>
      <c r="J209" s="27" t="str">
        <f aca="true">IF(OR(E209="",E209="!!!",F209="NEW"),"",COUNTBLANK(OFFSET(A$1,,,SUMPRODUCT(MAX(ROW(E$2:E209)*(E209=E$2:E209)))))-COUNTBLANK(OFFSET(A$1,,,SUMPRODUCT(MAX(ROW(E$1:E208)*(E2=E$1:E208))))))</f>
        <v/>
      </c>
      <c r="K209" s="27" t="str">
        <f aca="false">IF(OR(E209="",E209="!!!",F209="NEW"),"",INDEX(J$1:J208,SUMPRODUCT(MAX(ROW(E$1:E208)*(E209=E$1:E208)))))</f>
        <v/>
      </c>
      <c r="L209" s="28"/>
    </row>
    <row r="210" customFormat="false" ht="15" hidden="false" customHeight="false" outlineLevel="0" collapsed="false">
      <c r="A210" s="21" t="s">
        <v>175</v>
      </c>
      <c r="E210" s="25"/>
      <c r="F210" s="26" t="str">
        <f aca="false">IF(OR(E210="",E210="!!!"),"",IF(NOT(ISNA(VLOOKUP(E210,E$1:E209,1,FALSE()))),"OLD",IF(AND(E210&lt;&gt;"",E210&lt;&gt;"!!!"),"NEW","")))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7" t="str">
        <f aca="false">IF(OR(E210="",E210="!!!",F210="NEW"),"",INDEX(B8:B$203,-1+SUMPRODUCT(MAX(ROW(E8:E$203)*(E210=E8:E$203)))))</f>
        <v/>
      </c>
      <c r="J210" s="27" t="str">
        <f aca="true">IF(OR(E210="",E210="!!!",F210="NEW"),"",COUNTBLANK(OFFSET(A$1,,,SUMPRODUCT(MAX(ROW(E$2:E210)*(E210=E$2:E210)))))-COUNTBLANK(OFFSET(A$1,,,SUMPRODUCT(MAX(ROW(E$1:E209)*(E2=E$1:E209))))))</f>
        <v/>
      </c>
      <c r="K210" s="27" t="str">
        <f aca="false">IF(OR(E210="",E210="!!!",F210="NEW"),"",INDEX(J$1:J209,SUMPRODUCT(MAX(ROW(E$1:E209)*(E210=E$1:E209)))))</f>
        <v/>
      </c>
      <c r="L210" s="28"/>
    </row>
    <row r="211" customFormat="false" ht="15" hidden="false" customHeight="false" outlineLevel="0" collapsed="false">
      <c r="A211" s="21" t="s">
        <v>322</v>
      </c>
      <c r="E211" s="25"/>
      <c r="F211" s="26" t="str">
        <f aca="false">IF(OR(E211="",E211="!!!"),"",IF(NOT(ISNA(VLOOKUP(E211,E$1:E210,1,FALSE()))),"OLD",IF(AND(E211&lt;&gt;"",E211&lt;&gt;"!!!"),"NEW","")))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7" t="str">
        <f aca="false">IF(OR(E211="",E211="!!!",F211="NEW"),"",INDEX(B9:B$203,-1+SUMPRODUCT(MAX(ROW(E9:E$203)*(E211=E9:E$203)))))</f>
        <v/>
      </c>
      <c r="J211" s="27" t="str">
        <f aca="true">IF(OR(E211="",E211="!!!",F211="NEW"),"",COUNTBLANK(OFFSET(A$1,,,SUMPRODUCT(MAX(ROW(E$2:E211)*(E211=E$2:E211)))))-COUNTBLANK(OFFSET(A$1,,,SUMPRODUCT(MAX(ROW(E$1:E210)*(E2=E$1:E210))))))</f>
        <v/>
      </c>
      <c r="K211" s="27" t="str">
        <f aca="false">IF(OR(E211="",E211="!!!",F211="NEW"),"",INDEX(J$1:J210,SUMPRODUCT(MAX(ROW(E$1:E210)*(E211=E$1:E210)))))</f>
        <v/>
      </c>
      <c r="L211" s="28"/>
    </row>
    <row r="212" customFormat="false" ht="15" hidden="false" customHeight="false" outlineLevel="0" collapsed="false">
      <c r="A212" s="21" t="s">
        <v>323</v>
      </c>
      <c r="B212" s="29" t="s">
        <v>153</v>
      </c>
      <c r="C212" s="29" t="s">
        <v>164</v>
      </c>
      <c r="E212" s="25"/>
      <c r="F212" s="26" t="str">
        <f aca="false">IF(OR(E212="",E212="!!!"),"",IF(NOT(ISNA(VLOOKUP(E212,E$1:E211,1,FALSE()))),"OLD",IF(AND(E212&lt;&gt;"",E212&lt;&gt;"!!!"),"NEW","")))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7" t="str">
        <f aca="false">IF(OR(E212="",E212="!!!",F212="NEW"),"",INDEX(B10:B$203,-1+SUMPRODUCT(MAX(ROW(E10:E$203)*(E212=E10:E$203)))))</f>
        <v/>
      </c>
      <c r="J212" s="27" t="str">
        <f aca="true">IF(OR(E212="",E212="!!!",F212="NEW"),"",COUNTBLANK(OFFSET(A$1,,,SUMPRODUCT(MAX(ROW(E$2:E212)*(E212=E$2:E212)))))-COUNTBLANK(OFFSET(A$1,,,SUMPRODUCT(MAX(ROW(E$1:E211)*(E2=E$1:E211))))))</f>
        <v/>
      </c>
      <c r="K212" s="27" t="str">
        <f aca="false">IF(OR(E212="",E212="!!!",F212="NEW"),"",INDEX(J$1:J211,SUMPRODUCT(MAX(ROW(E$1:E211)*(E212=E$1:E211)))))</f>
        <v/>
      </c>
      <c r="L212" s="28"/>
    </row>
    <row r="213" customFormat="false" ht="15" hidden="false" customHeight="false" outlineLevel="0" collapsed="false">
      <c r="A213" s="21" t="s">
        <v>165</v>
      </c>
      <c r="E213" s="25"/>
      <c r="F213" s="26" t="str">
        <f aca="false">IF(OR(E213="",E213="!!!"),"",IF(NOT(ISNA(VLOOKUP(E213,E$1:E212,1,FALSE()))),"OLD",IF(AND(E213&lt;&gt;"",E213&lt;&gt;"!!!"),"NEW","")))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7" t="str">
        <f aca="false">IF(OR(E213="",E213="!!!",F213="NEW"),"",INDEX(B11:B$203,-1+SUMPRODUCT(MAX(ROW(E11:E$203)*(E213=E11:E$203)))))</f>
        <v/>
      </c>
      <c r="J213" s="27" t="str">
        <f aca="true">IF(OR(E213="",E213="!!!",F213="NEW"),"",COUNTBLANK(OFFSET(A$1,,,SUMPRODUCT(MAX(ROW(E$2:E213)*(E213=E$2:E213)))))-COUNTBLANK(OFFSET(A$1,,,SUMPRODUCT(MAX(ROW(E$1:E212)*(E2=E$1:E212))))))</f>
        <v/>
      </c>
      <c r="K213" s="27" t="str">
        <f aca="false">IF(OR(E213="",E213="!!!",F213="NEW"),"",INDEX(J$1:J212,SUMPRODUCT(MAX(ROW(E$1:E212)*(E213=E$1:E212)))))</f>
        <v/>
      </c>
      <c r="L213" s="28"/>
    </row>
    <row r="214" customFormat="false" ht="15" hidden="false" customHeight="false" outlineLevel="0" collapsed="false">
      <c r="A214" s="21" t="s">
        <v>324</v>
      </c>
      <c r="E214" s="25"/>
      <c r="F214" s="26" t="str">
        <f aca="false">IF(OR(E214="",E214="!!!"),"",IF(NOT(ISNA(VLOOKUP(E214,E$1:E213,1,FALSE()))),"OLD",IF(AND(E214&lt;&gt;"",E214&lt;&gt;"!!!"),"NEW","")))</f>
        <v/>
      </c>
      <c r="G214" s="22" t="str">
        <f aca="false">IF(OR(E214="",E214="!!!"),"",IF(OR(J214=0,AND(J214=1,K214=1),AND(J214=1,I214="SBJ"),AND(J214=1,I214=0)),"?IN_FOCUS",IF(J214&lt;=2,"?ACTIVATED",IF(J214&lt;&gt;"","?FAMILIAR",IF(F214="NEW",IF(ISNA(VLOOKUP(E214,#REF!,1,FALSE())),"?TYPE_IDENTIFIABLE","?REFERENTIAL"),"_")))))</f>
        <v/>
      </c>
      <c r="H214" s="23" t="str">
        <f aca="false">IF(J214&lt;&gt;1,"",IF(I214="SBJ","CB","?"))</f>
        <v/>
      </c>
      <c r="I214" s="27" t="str">
        <f aca="false">IF(OR(E214="",E214="!!!",F214="NEW"),"",INDEX(B12:B$203,-1+SUMPRODUCT(MAX(ROW(E12:E$203)*(E214=E12:E$203)))))</f>
        <v/>
      </c>
      <c r="J214" s="27" t="str">
        <f aca="true">IF(OR(E214="",E214="!!!",F214="NEW"),"",COUNTBLANK(OFFSET(A$1,,,SUMPRODUCT(MAX(ROW(E$2:E214)*(E214=E$2:E214)))))-COUNTBLANK(OFFSET(A$1,,,SUMPRODUCT(MAX(ROW(E$1:E213)*(E2=E$1:E213))))))</f>
        <v/>
      </c>
      <c r="K214" s="27" t="str">
        <f aca="false">IF(OR(E214="",E214="!!!",F214="NEW"),"",INDEX(J$1:J213,SUMPRODUCT(MAX(ROW(E$1:E213)*(E214=E$1:E213)))))</f>
        <v/>
      </c>
      <c r="L214" s="28"/>
    </row>
    <row r="215" customFormat="false" ht="15" hidden="false" customHeight="false" outlineLevel="0" collapsed="false">
      <c r="A215" s="21" t="s">
        <v>320</v>
      </c>
      <c r="B215" s="29" t="s">
        <v>190</v>
      </c>
      <c r="C215" s="29" t="s">
        <v>167</v>
      </c>
      <c r="E215" s="25"/>
      <c r="F215" s="26" t="str">
        <f aca="false">IF(OR(E215="",E215="!!!"),"",IF(NOT(ISNA(VLOOKUP(E215,E$1:E214,1,FALSE()))),"OLD",IF(AND(E215&lt;&gt;"",E215&lt;&gt;"!!!"),"NEW","")))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7" t="str">
        <f aca="false">IF(OR(E215="",E215="!!!",F215="NEW"),"",INDEX(B13:B$203,-1+SUMPRODUCT(MAX(ROW(E13:E$203)*(E215=E13:E$203)))))</f>
        <v/>
      </c>
      <c r="J215" s="27" t="str">
        <f aca="true">IF(OR(E215="",E215="!!!",F215="NEW"),"",COUNTBLANK(OFFSET(A$1,,,SUMPRODUCT(MAX(ROW(E$2:E215)*(E215=E$2:E215)))))-COUNTBLANK(OFFSET(A$1,,,SUMPRODUCT(MAX(ROW(E$1:E214)*(E2=E$1:E214))))))</f>
        <v/>
      </c>
      <c r="K215" s="27" t="str">
        <f aca="false">IF(OR(E215="",E215="!!!",F215="NEW"),"",INDEX(J$1:J214,SUMPRODUCT(MAX(ROW(E$1:E214)*(E215=E$1:E214)))))</f>
        <v/>
      </c>
      <c r="L215" s="28"/>
    </row>
    <row r="216" customFormat="false" ht="15" hidden="false" customHeight="false" outlineLevel="0" collapsed="false">
      <c r="A216" s="21" t="s">
        <v>325</v>
      </c>
      <c r="E216" s="25"/>
      <c r="F216" s="26" t="str">
        <f aca="false">IF(OR(E216="",E216="!!!"),"",IF(NOT(ISNA(VLOOKUP(E216,E$1:E215,1,FALSE()))),"OLD",IF(AND(E216&lt;&gt;"",E216&lt;&gt;"!!!"),"NEW","")))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7" t="str">
        <f aca="false">IF(OR(E216="",E216="!!!",F216="NEW"),"",INDEX(B14:B$203,-1+SUMPRODUCT(MAX(ROW(E14:E$203)*(E216=E14:E$203)))))</f>
        <v/>
      </c>
      <c r="J216" s="27" t="str">
        <f aca="true">IF(OR(E216="",E216="!!!",F216="NEW"),"",COUNTBLANK(OFFSET(A$1,,,SUMPRODUCT(MAX(ROW(E$2:E216)*(E216=E$2:E216)))))-COUNTBLANK(OFFSET(A$1,,,SUMPRODUCT(MAX(ROW(E$1:E215)*(E2=E$1:E215))))))</f>
        <v/>
      </c>
      <c r="K216" s="27" t="str">
        <f aca="false">IF(OR(E216="",E216="!!!",F216="NEW"),"",INDEX(J$1:J215,SUMPRODUCT(MAX(ROW(E$1:E215)*(E216=E$1:E215)))))</f>
        <v/>
      </c>
      <c r="L216" s="28"/>
    </row>
    <row r="217" customFormat="false" ht="15" hidden="false" customHeight="false" outlineLevel="0" collapsed="false">
      <c r="A217" s="21" t="s">
        <v>326</v>
      </c>
      <c r="E217" s="25"/>
      <c r="F217" s="26" t="str">
        <f aca="false">IF(OR(E217="",E217="!!!"),"",IF(NOT(ISNA(VLOOKUP(E217,E$1:E216,1,FALSE()))),"OLD",IF(AND(E217&lt;&gt;"",E217&lt;&gt;"!!!"),"NEW","")))</f>
        <v/>
      </c>
      <c r="G217" s="22" t="str">
        <f aca="false">IF(OR(E217="",E217="!!!"),"",IF(OR(J217=0,AND(J217=1,K217=1),AND(J217=1,I217="SBJ"),AND(J217=1,I217=0)),"?IN_FOCUS",IF(J217&lt;=2,"?ACTIVATED",IF(J217&lt;&gt;"","?FAMILIAR",IF(F217="NEW",IF(ISNA(VLOOKUP(E217,#REF!,1,FALSE())),"?TYPE_IDENTIFIABLE","?REFERENTIAL"),"_")))))</f>
        <v/>
      </c>
      <c r="H217" s="23" t="str">
        <f aca="false">IF(J217&lt;&gt;1,"",IF(I217="SBJ","CB","?"))</f>
        <v/>
      </c>
      <c r="I217" s="27" t="str">
        <f aca="false">IF(OR(E217="",E217="!!!",F217="NEW"),"",INDEX(B15:B$203,-1+SUMPRODUCT(MAX(ROW(E15:E$203)*(E217=E15:E$203)))))</f>
        <v/>
      </c>
      <c r="J217" s="27" t="str">
        <f aca="true">IF(OR(E217="",E217="!!!",F217="NEW"),"",COUNTBLANK(OFFSET(A$1,,,SUMPRODUCT(MAX(ROW(E$2:E217)*(E217=E$2:E217)))))-COUNTBLANK(OFFSET(A$1,,,SUMPRODUCT(MAX(ROW(E$1:E216)*(E2=E$1:E216))))))</f>
        <v/>
      </c>
      <c r="K217" s="27" t="str">
        <f aca="false">IF(OR(E217="",E217="!!!",F217="NEW"),"",INDEX(J$1:J216,SUMPRODUCT(MAX(ROW(E$1:E216)*(E217=E$1:E216)))))</f>
        <v/>
      </c>
      <c r="L217" s="28"/>
    </row>
    <row r="218" customFormat="false" ht="15" hidden="false" customHeight="false" outlineLevel="0" collapsed="false">
      <c r="A218" s="21" t="s">
        <v>327</v>
      </c>
      <c r="E218" s="25"/>
      <c r="F218" s="26" t="str">
        <f aca="false">IF(OR(E218="",E218="!!!"),"",IF(NOT(ISNA(VLOOKUP(E218,E$1:E217,1,FALSE()))),"OLD",IF(AND(E218&lt;&gt;"",E218&lt;&gt;"!!!"),"NEW","")))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7" t="str">
        <f aca="false">IF(OR(E218="",E218="!!!",F218="NEW"),"",INDEX(B16:B$203,-1+SUMPRODUCT(MAX(ROW(E16:E$203)*(E218=E16:E$203)))))</f>
        <v/>
      </c>
      <c r="J218" s="27" t="str">
        <f aca="true">IF(OR(E218="",E218="!!!",F218="NEW"),"",COUNTBLANK(OFFSET(A$1,,,SUMPRODUCT(MAX(ROW(E$2:E218)*(E218=E$2:E218)))))-COUNTBLANK(OFFSET(A$1,,,SUMPRODUCT(MAX(ROW(E$1:E217)*(E2=E$1:E217))))))</f>
        <v/>
      </c>
      <c r="K218" s="27" t="str">
        <f aca="false">IF(OR(E218="",E218="!!!",F218="NEW"),"",INDEX(J$1:J217,SUMPRODUCT(MAX(ROW(E$1:E217)*(E218=E$1:E217)))))</f>
        <v/>
      </c>
      <c r="L218" s="28"/>
    </row>
    <row r="219" customFormat="false" ht="15" hidden="false" customHeight="false" outlineLevel="0" collapsed="false">
      <c r="A219" s="21" t="s">
        <v>328</v>
      </c>
      <c r="B219" s="29" t="s">
        <v>210</v>
      </c>
      <c r="C219" s="29" t="s">
        <v>167</v>
      </c>
      <c r="E219" s="25"/>
      <c r="F219" s="26" t="str">
        <f aca="false">IF(OR(E219="",E219="!!!"),"",IF(NOT(ISNA(VLOOKUP(E219,E$1:E218,1,FALSE()))),"OLD",IF(AND(E219&lt;&gt;"",E219&lt;&gt;"!!!"),"NEW","")))</f>
        <v/>
      </c>
      <c r="G219" s="22" t="str">
        <f aca="false">IF(OR(E219="",E219="!!!"),"",IF(OR(J219=0,AND(J219=1,K219=1),AND(J219=1,I219="SBJ"),AND(J219=1,I219=0)),"?IN_FOCUS",IF(J219&lt;=2,"?ACTIVATED",IF(J219&lt;&gt;"","?FAMILIAR",IF(F219="NEW",IF(ISNA(VLOOKUP(E219,#REF!,1,FALSE())),"?TYPE_IDENTIFIABLE","?REFERENTIAL"),"_")))))</f>
        <v/>
      </c>
      <c r="H219" s="23" t="str">
        <f aca="false">IF(J219&lt;&gt;1,"",IF(I219="SBJ","CB","?"))</f>
        <v/>
      </c>
      <c r="I219" s="27" t="str">
        <f aca="false">IF(OR(E219="",E219="!!!",F219="NEW"),"",INDEX(B17:B$203,-1+SUMPRODUCT(MAX(ROW(E17:E$203)*(E219=E17:E$203)))))</f>
        <v/>
      </c>
      <c r="J219" s="27" t="str">
        <f aca="true">IF(OR(E219="",E219="!!!",F219="NEW"),"",COUNTBLANK(OFFSET(A$1,,,SUMPRODUCT(MAX(ROW(E$2:E219)*(E219=E$2:E219)))))-COUNTBLANK(OFFSET(A$1,,,SUMPRODUCT(MAX(ROW(E$1:E218)*(E2=E$1:E218))))))</f>
        <v/>
      </c>
      <c r="K219" s="27" t="str">
        <f aca="false">IF(OR(E219="",E219="!!!",F219="NEW"),"",INDEX(J$1:J218,SUMPRODUCT(MAX(ROW(E$1:E218)*(E219=E$1:E218)))))</f>
        <v/>
      </c>
      <c r="L219" s="28"/>
    </row>
    <row r="220" customFormat="false" ht="15" hidden="false" customHeight="false" outlineLevel="0" collapsed="false">
      <c r="A220" s="21" t="s">
        <v>178</v>
      </c>
      <c r="E220" s="25"/>
      <c r="F220" s="26" t="str">
        <f aca="false">IF(OR(E220="",E220="!!!"),"",IF(NOT(ISNA(VLOOKUP(E220,E$1:E219,1,FALSE()))),"OLD",IF(AND(E220&lt;&gt;"",E220&lt;&gt;"!!!"),"NEW","")))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7" t="str">
        <f aca="false">IF(OR(E220="",E220="!!!",F220="NEW"),"",INDEX(B18:B$203,-1+SUMPRODUCT(MAX(ROW(E18:E$203)*(E220=E18:E$203)))))</f>
        <v/>
      </c>
      <c r="J220" s="27" t="str">
        <f aca="true">IF(OR(E220="",E220="!!!",F220="NEW"),"",COUNTBLANK(OFFSET(A$1,,,SUMPRODUCT(MAX(ROW(E$2:E220)*(E220=E$2:E220)))))-COUNTBLANK(OFFSET(A$1,,,SUMPRODUCT(MAX(ROW(E$1:E219)*(E2=E$1:E219))))))</f>
        <v/>
      </c>
      <c r="K220" s="27" t="str">
        <f aca="false">IF(OR(E220="",E220="!!!",F220="NEW"),"",INDEX(J$1:J219,SUMPRODUCT(MAX(ROW(E$1:E219)*(E220=E$1:E219)))))</f>
        <v/>
      </c>
      <c r="L220" s="28"/>
    </row>
    <row r="221" customFormat="false" ht="15" hidden="false" customHeight="false" outlineLevel="0" collapsed="false">
      <c r="A221" s="21" t="s">
        <v>329</v>
      </c>
      <c r="B221" s="29" t="s">
        <v>153</v>
      </c>
      <c r="C221" s="29" t="s">
        <v>167</v>
      </c>
      <c r="E221" s="25"/>
      <c r="F221" s="26" t="str">
        <f aca="false">IF(OR(E221="",E221="!!!"),"",IF(NOT(ISNA(VLOOKUP(E221,E$1:E220,1,FALSE()))),"OLD",IF(AND(E221&lt;&gt;"",E221&lt;&gt;"!!!"),"NEW","")))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7" t="str">
        <f aca="false">IF(OR(E221="",E221="!!!",F221="NEW"),"",INDEX(B19:B$203,-1+SUMPRODUCT(MAX(ROW(E19:E$203)*(E221=E19:E$203)))))</f>
        <v/>
      </c>
      <c r="J221" s="27" t="str">
        <f aca="true">IF(OR(E221="",E221="!!!",F221="NEW"),"",COUNTBLANK(OFFSET(A$1,,,SUMPRODUCT(MAX(ROW(E$2:E221)*(E221=E$2:E221)))))-COUNTBLANK(OFFSET(A$1,,,SUMPRODUCT(MAX(ROW(E$1:E220)*(E2=E$1:E220))))))</f>
        <v/>
      </c>
      <c r="K221" s="27" t="str">
        <f aca="false">IF(OR(E221="",E221="!!!",F221="NEW"),"",INDEX(J$1:J220,SUMPRODUCT(MAX(ROW(E$1:E220)*(E221=E$1:E220)))))</f>
        <v/>
      </c>
      <c r="L221" s="28"/>
    </row>
    <row r="222" customFormat="false" ht="15" hidden="false" customHeight="false" outlineLevel="0" collapsed="false">
      <c r="A222" s="21" t="s">
        <v>178</v>
      </c>
      <c r="E222" s="25"/>
      <c r="F222" s="26" t="str">
        <f aca="false">IF(OR(E222="",E222="!!!"),"",IF(NOT(ISNA(VLOOKUP(E222,E$1:E221,1,FALSE()))),"OLD",IF(AND(E222&lt;&gt;"",E222&lt;&gt;"!!!"),"NEW","")))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7" t="str">
        <f aca="false">IF(OR(E222="",E222="!!!",F222="NEW"),"",INDEX(B20:B$203,-1+SUMPRODUCT(MAX(ROW(E20:E$203)*(E222=E20:E$203)))))</f>
        <v/>
      </c>
      <c r="J222" s="27" t="str">
        <f aca="true">IF(OR(E222="",E222="!!!",F222="NEW"),"",COUNTBLANK(OFFSET(A$1,,,SUMPRODUCT(MAX(ROW(E$2:E222)*(E222=E$2:E222)))))-COUNTBLANK(OFFSET(A$1,,,SUMPRODUCT(MAX(ROW(E$1:E221)*(E2=E$1:E221))))))</f>
        <v/>
      </c>
      <c r="K222" s="27" t="str">
        <f aca="false">IF(OR(E222="",E222="!!!",F222="NEW"),"",INDEX(J$1:J221,SUMPRODUCT(MAX(ROW(E$1:E221)*(E222=E$1:E221)))))</f>
        <v/>
      </c>
      <c r="L222" s="28"/>
    </row>
    <row r="223" customFormat="false" ht="15" hidden="false" customHeight="false" outlineLevel="0" collapsed="false">
      <c r="A223" s="21" t="s">
        <v>330</v>
      </c>
      <c r="B223" s="29" t="s">
        <v>153</v>
      </c>
      <c r="C223" s="29" t="s">
        <v>167</v>
      </c>
      <c r="E223" s="25"/>
      <c r="F223" s="26" t="str">
        <f aca="false">IF(OR(E223="",E223="!!!"),"",IF(NOT(ISNA(VLOOKUP(E223,E$1:E222,1,FALSE()))),"OLD",IF(AND(E223&lt;&gt;"",E223&lt;&gt;"!!!"),"NEW","")))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7" t="str">
        <f aca="false">IF(OR(E223="",E223="!!!",F223="NEW"),"",INDEX(B21:B$203,-1+SUMPRODUCT(MAX(ROW(E21:E$203)*(E223=E21:E$203)))))</f>
        <v/>
      </c>
      <c r="J223" s="27" t="str">
        <f aca="true">IF(OR(E223="",E223="!!!",F223="NEW"),"",COUNTBLANK(OFFSET(A$1,,,SUMPRODUCT(MAX(ROW(E$2:E223)*(E223=E$2:E223)))))-COUNTBLANK(OFFSET(A$1,,,SUMPRODUCT(MAX(ROW(E$1:E222)*(E2=E$1:E222))))))</f>
        <v/>
      </c>
      <c r="K223" s="27" t="str">
        <f aca="false">IF(OR(E223="",E223="!!!",F223="NEW"),"",INDEX(J$1:J222,SUMPRODUCT(MAX(ROW(E$1:E222)*(E223=E$1:E222)))))</f>
        <v/>
      </c>
      <c r="L223" s="28"/>
    </row>
    <row r="224" customFormat="false" ht="15" hidden="false" customHeight="false" outlineLevel="0" collapsed="false">
      <c r="A224" s="21" t="s">
        <v>178</v>
      </c>
      <c r="E224" s="25"/>
      <c r="F224" s="26" t="str">
        <f aca="false">IF(OR(E224="",E224="!!!"),"",IF(NOT(ISNA(VLOOKUP(E224,E$1:E223,1,FALSE()))),"OLD",IF(AND(E224&lt;&gt;"",E224&lt;&gt;"!!!"),"NEW","")))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7" t="str">
        <f aca="false">IF(OR(E224="",E224="!!!",F224="NEW"),"",INDEX(B22:B$203,-1+SUMPRODUCT(MAX(ROW(E22:E$203)*(E224=E22:E$203)))))</f>
        <v/>
      </c>
      <c r="J224" s="27" t="str">
        <f aca="true">IF(OR(E224="",E224="!!!",F224="NEW"),"",COUNTBLANK(OFFSET(A$1,,,SUMPRODUCT(MAX(ROW(E$2:E224)*(E224=E$2:E224)))))-COUNTBLANK(OFFSET(A$1,,,SUMPRODUCT(MAX(ROW(E$1:E223)*(E2=E$1:E223))))))</f>
        <v/>
      </c>
      <c r="K224" s="27" t="str">
        <f aca="false">IF(OR(E224="",E224="!!!",F224="NEW"),"",INDEX(J$1:J223,SUMPRODUCT(MAX(ROW(E$1:E223)*(E224=E$1:E223)))))</f>
        <v/>
      </c>
      <c r="L224" s="28"/>
    </row>
    <row r="225" customFormat="false" ht="15" hidden="false" customHeight="false" outlineLevel="0" collapsed="false">
      <c r="A225" s="21" t="s">
        <v>331</v>
      </c>
      <c r="B225" s="29" t="s">
        <v>153</v>
      </c>
      <c r="C225" s="29" t="s">
        <v>167</v>
      </c>
      <c r="E225" s="25"/>
      <c r="F225" s="26" t="str">
        <f aca="false">IF(OR(E225="",E225="!!!"),"",IF(NOT(ISNA(VLOOKUP(E225,E$1:E224,1,FALSE()))),"OLD",IF(AND(E225&lt;&gt;"",E225&lt;&gt;"!!!"),"NEW","")))</f>
        <v/>
      </c>
      <c r="G225" s="22" t="str">
        <f aca="false">IF(OR(E225="",E225="!!!"),"",IF(OR(J225=0,AND(J225=1,K225=1),AND(J225=1,I225="SBJ"),AND(J225=1,I225=0)),"?IN_FOCUS",IF(J225&lt;=2,"?ACTIVATED",IF(J225&lt;&gt;"","?FAMILIAR",IF(F225="NEW",IF(ISNA(VLOOKUP(E225,#REF!,1,FALSE())),"?TYPE_IDENTIFIABLE","?REFERENTIAL"),"_")))))</f>
        <v/>
      </c>
      <c r="H225" s="23" t="str">
        <f aca="false">IF(J225&lt;&gt;1,"",IF(I225="SBJ","CB","?"))</f>
        <v/>
      </c>
      <c r="I225" s="27" t="str">
        <f aca="false">IF(OR(E225="",E225="!!!",F225="NEW"),"",INDEX(B23:B$203,-1+SUMPRODUCT(MAX(ROW(E23:E$203)*(E225=E23:E$203)))))</f>
        <v/>
      </c>
      <c r="J225" s="27" t="str">
        <f aca="true">IF(OR(E225="",E225="!!!",F225="NEW"),"",COUNTBLANK(OFFSET(A$1,,,SUMPRODUCT(MAX(ROW(E$2:E225)*(E225=E$2:E225)))))-COUNTBLANK(OFFSET(A$1,,,SUMPRODUCT(MAX(ROW(E$1:E224)*(E2=E$1:E224))))))</f>
        <v/>
      </c>
      <c r="K225" s="27" t="str">
        <f aca="false">IF(OR(E225="",E225="!!!",F225="NEW"),"",INDEX(J$1:J224,SUMPRODUCT(MAX(ROW(E$1:E224)*(E225=E$1:E224)))))</f>
        <v/>
      </c>
      <c r="L225" s="28"/>
    </row>
    <row r="226" customFormat="false" ht="15" hidden="false" customHeight="false" outlineLevel="0" collapsed="false">
      <c r="A226" s="21" t="s">
        <v>207</v>
      </c>
      <c r="E226" s="25"/>
      <c r="F226" s="26" t="str">
        <f aca="false">IF(OR(E226="",E226="!!!"),"",IF(NOT(ISNA(VLOOKUP(E226,E$1:E225,1,FALSE()))),"OLD",IF(AND(E226&lt;&gt;"",E226&lt;&gt;"!!!"),"NEW","")))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7" t="str">
        <f aca="false">IF(OR(E226="",E226="!!!",F226="NEW"),"",INDEX(B24:B$203,-1+SUMPRODUCT(MAX(ROW(E24:E$203)*(E226=E24:E$203)))))</f>
        <v/>
      </c>
      <c r="J226" s="27" t="str">
        <f aca="true">IF(OR(E226="",E226="!!!",F226="NEW"),"",COUNTBLANK(OFFSET(A$1,,,SUMPRODUCT(MAX(ROW(E$2:E226)*(E226=E$2:E226)))))-COUNTBLANK(OFFSET(A$1,,,SUMPRODUCT(MAX(ROW(E$1:E225)*(E2=E$1:E225))))))</f>
        <v/>
      </c>
      <c r="K226" s="27" t="str">
        <f aca="false">IF(OR(E226="",E226="!!!",F226="NEW"),"",INDEX(J$1:J225,SUMPRODUCT(MAX(ROW(E$1:E225)*(E226=E$1:E225)))))</f>
        <v/>
      </c>
      <c r="L226" s="28"/>
    </row>
    <row r="227" customFormat="false" ht="15" hidden="false" customHeight="false" outlineLevel="0" collapsed="false">
      <c r="A227" s="21" t="s">
        <v>332</v>
      </c>
      <c r="B227" s="29" t="s">
        <v>153</v>
      </c>
      <c r="C227" s="29" t="s">
        <v>167</v>
      </c>
      <c r="E227" s="25"/>
      <c r="F227" s="26" t="str">
        <f aca="false">IF(OR(E227="",E227="!!!"),"",IF(NOT(ISNA(VLOOKUP(E227,E$1:E226,1,FALSE()))),"OLD",IF(AND(E227&lt;&gt;"",E227&lt;&gt;"!!!"),"NEW","")))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7" t="str">
        <f aca="false">IF(OR(E227="",E227="!!!",F227="NEW"),"",INDEX(B25:B$203,-1+SUMPRODUCT(MAX(ROW(E25:E$203)*(E227=E25:E$203)))))</f>
        <v/>
      </c>
      <c r="J227" s="27" t="str">
        <f aca="true">IF(OR(E227="",E227="!!!",F227="NEW"),"",COUNTBLANK(OFFSET(A$1,,,SUMPRODUCT(MAX(ROW(E$2:E227)*(E227=E$2:E227)))))-COUNTBLANK(OFFSET(A$1,,,SUMPRODUCT(MAX(ROW(E$1:E226)*(E2=E$1:E226))))))</f>
        <v/>
      </c>
      <c r="K227" s="27" t="str">
        <f aca="false">IF(OR(E227="",E227="!!!",F227="NEW"),"",INDEX(J$1:J226,SUMPRODUCT(MAX(ROW(E$1:E226)*(E227=E$1:E226)))))</f>
        <v/>
      </c>
      <c r="L227" s="28"/>
    </row>
    <row r="228" customFormat="false" ht="15" hidden="false" customHeight="false" outlineLevel="0" collapsed="false">
      <c r="A228" s="21" t="s">
        <v>193</v>
      </c>
      <c r="E228" s="25"/>
      <c r="F228" s="26" t="str">
        <f aca="false">IF(OR(E228="",E228="!!!"),"",IF(NOT(ISNA(VLOOKUP(E228,E$1:E227,1,FALSE()))),"OLD",IF(AND(E228&lt;&gt;"",E228&lt;&gt;"!!!"),"NEW","")))</f>
        <v/>
      </c>
      <c r="G228" s="22" t="str">
        <f aca="false">IF(OR(E228="",E228="!!!"),"",IF(OR(J228=0,AND(J228=1,K228=1),AND(J228=1,I228="SBJ"),AND(J228=1,I228=0)),"?IN_FOCUS",IF(J228&lt;=2,"?ACTIVATED",IF(J228&lt;&gt;"","?FAMILIAR",IF(F228="NEW",IF(ISNA(VLOOKUP(E228,#REF!,1,FALSE())),"?TYPE_IDENTIFIABLE","?REFERENTIAL"),"_")))))</f>
        <v/>
      </c>
      <c r="H228" s="23" t="str">
        <f aca="false">IF(J228&lt;&gt;1,"",IF(I228="SBJ","CB","?"))</f>
        <v/>
      </c>
      <c r="I228" s="27" t="str">
        <f aca="false">IF(OR(E228="",E228="!!!",F228="NEW"),"",INDEX(B26:B$203,-1+SUMPRODUCT(MAX(ROW(E26:E$203)*(E228=E26:E$203)))))</f>
        <v/>
      </c>
      <c r="J228" s="27" t="str">
        <f aca="true">IF(OR(E228="",E228="!!!",F228="NEW"),"",COUNTBLANK(OFFSET(A$1,,,SUMPRODUCT(MAX(ROW(E$2:E228)*(E228=E$2:E228)))))-COUNTBLANK(OFFSET(A$1,,,SUMPRODUCT(MAX(ROW(E$1:E227)*(E2=E$1:E227))))))</f>
        <v/>
      </c>
      <c r="K228" s="27" t="str">
        <f aca="false">IF(OR(E228="",E228="!!!",F228="NEW"),"",INDEX(J$1:J227,SUMPRODUCT(MAX(ROW(E$1:E227)*(E228=E$1:E227)))))</f>
        <v/>
      </c>
      <c r="L228" s="28"/>
    </row>
    <row r="229" customFormat="false" ht="15" hidden="false" customHeight="false" outlineLevel="0" collapsed="false">
      <c r="A229" s="21"/>
      <c r="G229" s="22" t="str">
        <f aca="false">IF(OR(E229="",E229="!!!"),"",IF(OR(J229=0,AND(J229=1,K229=1),AND(J229=1,I229="SBJ"),AND(J229=1,I229=0)),"?IN_FOCUS",IF(J229&lt;=2,"?ACTIVATED",IF(J229&lt;&gt;"","?FAMILIAR",IF(F229="NEW",IF(ISNA(VLOOKUP(E229,#REF!,1,FALSE())),"?TYPE_IDENTIFIABLE","?REFERENTIAL"),"_")))))</f>
        <v/>
      </c>
      <c r="H229" s="23" t="str">
        <f aca="false">IF(J229&lt;&gt;1,"",IF(I229="SBJ","CB","?"))</f>
        <v/>
      </c>
    </row>
    <row r="230" customFormat="false" ht="15" hidden="false" customHeight="false" outlineLevel="0" collapsed="false">
      <c r="A230" s="21" t="s">
        <v>333</v>
      </c>
      <c r="G230" s="22" t="str">
        <f aca="false">IF(OR(E230="",E230="!!!"),"",IF(OR(J230=0,AND(J230=1,K230=1),AND(J230=1,I230="SBJ"),AND(J230=1,I230=0)),"?IN_FOCUS",IF(J230&lt;=2,"?ACTIVATED",IF(J230&lt;&gt;"","?FAMILIAR",IF(F230="NEW",IF(ISNA(VLOOKUP(E230,#REF!,1,FALSE())),"?TYPE_IDENTIFIABLE","?REFERENTIAL"),"_")))))</f>
        <v/>
      </c>
      <c r="H230" s="23" t="str">
        <f aca="false">IF(J230&lt;&gt;1,"",IF(I230="SBJ","CB","?"))</f>
        <v/>
      </c>
    </row>
    <row r="231" customFormat="false" ht="15" hidden="false" customHeight="false" outlineLevel="0" collapsed="false">
      <c r="A231" s="21" t="s">
        <v>334</v>
      </c>
      <c r="E231" s="25"/>
      <c r="F231" s="26" t="str">
        <f aca="false">IF(OR(E231="",E231="!!!"),"",IF(NOT(ISNA(VLOOKUP(E231,E$1:E230,1,FALSE()))),"OLD",IF(AND(E231&lt;&gt;"",E231&lt;&gt;"!!!"),"NEW","")))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7" t="str">
        <f aca="false">IF(OR(E231="",E231="!!!",F231="NEW"),"",INDEX(B2:B$230,-1+SUMPRODUCT(MAX(ROW(E2:E$230)*(E231=E2:E$230)))))</f>
        <v/>
      </c>
      <c r="J231" s="27" t="str">
        <f aca="true">IF(OR(E231="",E231="!!!",F231="NEW"),"",COUNTBLANK(OFFSET(A$1,,,SUMPRODUCT(MAX(ROW(E$2:E231)*(E231=E$2:E231)))))-COUNTBLANK(OFFSET(A$1,,,SUMPRODUCT(MAX(ROW(E$1:E230)*(E2=E$1:E230))))))</f>
        <v/>
      </c>
      <c r="K231" s="27" t="str">
        <f aca="false">IF(OR(E231="",E231="!!!",F231="NEW"),"",INDEX(J$1:J230,SUMPRODUCT(MAX(ROW(E$1:E230)*(E231=E$1:E230)))))</f>
        <v/>
      </c>
      <c r="L231" s="28"/>
    </row>
    <row r="232" customFormat="false" ht="15" hidden="false" customHeight="false" outlineLevel="0" collapsed="false">
      <c r="A232" s="21" t="s">
        <v>335</v>
      </c>
      <c r="B232" s="29" t="s">
        <v>153</v>
      </c>
      <c r="C232" s="29" t="s">
        <v>243</v>
      </c>
      <c r="D232" s="29" t="s">
        <v>159</v>
      </c>
      <c r="E232" s="25" t="s">
        <v>336</v>
      </c>
      <c r="F232" s="30" t="str">
        <f aca="false">IF(OR(E232="",E232="!!!"),"",IF(NOT(ISNA(VLOOKUP(E232,E$1:E231,1,FALSE()))),"OLD",IF(AND(E232&lt;&gt;"",E232&lt;&gt;"!!!"),"NEW","")))</f>
        <v>NEW</v>
      </c>
      <c r="G232" s="22" t="s">
        <v>160</v>
      </c>
      <c r="H232" s="23" t="str">
        <f aca="false">IF(J232&lt;&gt;1,"",IF(I232="SBJ","CB","?"))</f>
        <v/>
      </c>
      <c r="I232" s="31" t="str">
        <f aca="false">IF(OR(E232="",E232="!!!",F232="NEW"),"",INDEX(B3:B$230,-1+SUMPRODUCT(MAX(ROW(E3:E$230)*(E232=E3:E$230)))))</f>
        <v/>
      </c>
      <c r="J232" s="31" t="str">
        <f aca="true">IF(OR(E232="",E232="!!!",F232="NEW"),"",COUNTBLANK(OFFSET(A$1,,,SUMPRODUCT(MAX(ROW(E$2:E232)*(E232=E$2:E232)))))-COUNTBLANK(OFFSET(A$1,,,SUMPRODUCT(MAX(ROW(E$1:E231)*(E2=E$1:E231))))))</f>
        <v/>
      </c>
      <c r="K232" s="31" t="str">
        <f aca="false">IF(OR(E232="",E232="!!!",F232="NEW"),"",INDEX(J$1:J231,SUMPRODUCT(MAX(ROW(E$1:E231)*(E232=E$1:E231)))))</f>
        <v/>
      </c>
      <c r="L232" s="28"/>
    </row>
    <row r="233" customFormat="false" ht="15" hidden="false" customHeight="false" outlineLevel="0" collapsed="false">
      <c r="A233" s="21" t="s">
        <v>165</v>
      </c>
      <c r="E233" s="25"/>
      <c r="F233" s="26" t="str">
        <f aca="false">IF(OR(E233="",E233="!!!"),"",IF(NOT(ISNA(VLOOKUP(E233,E$1:E232,1,FALSE()))),"OLD",IF(AND(E233&lt;&gt;"",E233&lt;&gt;"!!!"),"NEW","")))</f>
        <v/>
      </c>
      <c r="G233" s="22" t="str">
        <f aca="false">IF(OR(E233="",E233="!!!"),"",IF(OR(J233=0,AND(J233=1,K233=1),AND(J233=1,I233="SBJ"),AND(J233=1,I233=0)),"?IN_FOCUS",IF(J233&lt;=2,"?ACTIVATED",IF(J233&lt;&gt;"","?FAMILIAR",IF(F233="NEW",IF(ISNA(VLOOKUP(E233,#REF!,1,FALSE())),"?TYPE_IDENTIFIABLE","?REFERENTIAL"),"_")))))</f>
        <v/>
      </c>
      <c r="H233" s="23" t="str">
        <f aca="false">IF(J233&lt;&gt;1,"",IF(I233="SBJ","CB","?"))</f>
        <v/>
      </c>
      <c r="I233" s="27" t="str">
        <f aca="false">IF(OR(E233="",E233="!!!",F233="NEW"),"",INDEX(B4:B$230,-1+SUMPRODUCT(MAX(ROW(E4:E$230)*(E233=E4:E$230)))))</f>
        <v/>
      </c>
      <c r="J233" s="27" t="str">
        <f aca="true">IF(OR(E233="",E233="!!!",F233="NEW"),"",COUNTBLANK(OFFSET(A$1,,,SUMPRODUCT(MAX(ROW(E$2:E233)*(E233=E$2:E233)))))-COUNTBLANK(OFFSET(A$1,,,SUMPRODUCT(MAX(ROW(E$1:E232)*(E2=E$1:E232))))))</f>
        <v/>
      </c>
      <c r="K233" s="27" t="str">
        <f aca="false">IF(OR(E233="",E233="!!!",F233="NEW"),"",INDEX(J$1:J232,SUMPRODUCT(MAX(ROW(E$1:E232)*(E233=E$1:E232)))))</f>
        <v/>
      </c>
      <c r="L233" s="28"/>
    </row>
    <row r="234" customFormat="false" ht="15" hidden="false" customHeight="false" outlineLevel="0" collapsed="false">
      <c r="A234" s="21" t="s">
        <v>337</v>
      </c>
      <c r="B234" s="29" t="s">
        <v>210</v>
      </c>
      <c r="C234" s="29" t="s">
        <v>240</v>
      </c>
      <c r="D234" s="29" t="s">
        <v>159</v>
      </c>
      <c r="E234" s="25" t="s">
        <v>338</v>
      </c>
      <c r="F234" s="30" t="str">
        <f aca="false">IF(OR(E234="",E234="!!!"),"",IF(NOT(ISNA(VLOOKUP(E234,E$1:E233,1,FALSE()))),"OLD",IF(AND(E234&lt;&gt;"",E234&lt;&gt;"!!!"),"NEW","")))</f>
        <v>NEW</v>
      </c>
      <c r="G234" s="22" t="s">
        <v>160</v>
      </c>
      <c r="H234" s="23" t="str">
        <f aca="false">IF(J234&lt;&gt;1,"",IF(I234="SBJ","CB","?"))</f>
        <v/>
      </c>
      <c r="I234" s="31" t="str">
        <f aca="false">IF(OR(E234="",E234="!!!",F234="NEW"),"",INDEX(B5:B$230,-1+SUMPRODUCT(MAX(ROW(E5:E$230)*(E234=E5:E$230)))))</f>
        <v/>
      </c>
      <c r="J234" s="31" t="str">
        <f aca="true">IF(OR(E234="",E234="!!!",F234="NEW"),"",COUNTBLANK(OFFSET(A$1,,,SUMPRODUCT(MAX(ROW(E$2:E234)*(E234=E$2:E234)))))-COUNTBLANK(OFFSET(A$1,,,SUMPRODUCT(MAX(ROW(E$1:E233)*(E2=E$1:E233))))))</f>
        <v/>
      </c>
      <c r="K234" s="31" t="str">
        <f aca="false">IF(OR(E234="",E234="!!!",F234="NEW"),"",INDEX(J$1:J233,SUMPRODUCT(MAX(ROW(E$1:E233)*(E234=E$1:E233)))))</f>
        <v/>
      </c>
      <c r="L234" s="28"/>
    </row>
    <row r="235" customFormat="false" ht="15" hidden="false" customHeight="false" outlineLevel="0" collapsed="false">
      <c r="A235" s="21" t="s">
        <v>339</v>
      </c>
      <c r="B235" s="29" t="s">
        <v>190</v>
      </c>
      <c r="C235" s="29" t="s">
        <v>243</v>
      </c>
      <c r="D235" s="29" t="s">
        <v>159</v>
      </c>
      <c r="E235" s="25" t="s">
        <v>340</v>
      </c>
      <c r="F235" s="30" t="str">
        <f aca="false">IF(OR(E235="",E235="!!!"),"",IF(NOT(ISNA(VLOOKUP(E235,E$1:E234,1,FALSE()))),"OLD",IF(AND(E235&lt;&gt;"",E235&lt;&gt;"!!!"),"NEW","")))</f>
        <v>NEW</v>
      </c>
      <c r="G235" s="22" t="s">
        <v>160</v>
      </c>
      <c r="H235" s="23" t="str">
        <f aca="false">IF(J235&lt;&gt;1,"",IF(I235="SBJ","CB","?"))</f>
        <v/>
      </c>
      <c r="I235" s="31" t="str">
        <f aca="false">IF(OR(E235="",E235="!!!",F235="NEW"),"",INDEX(B6:B$230,-1+SUMPRODUCT(MAX(ROW(E6:E$230)*(E235=E6:E$230)))))</f>
        <v/>
      </c>
      <c r="J235" s="31" t="str">
        <f aca="true">IF(OR(E235="",E235="!!!",F235="NEW"),"",COUNTBLANK(OFFSET(A$1,,,SUMPRODUCT(MAX(ROW(E$2:E235)*(E235=E$2:E235)))))-COUNTBLANK(OFFSET(A$1,,,SUMPRODUCT(MAX(ROW(E$1:E234)*(E2=E$1:E234))))))</f>
        <v/>
      </c>
      <c r="K235" s="31" t="str">
        <f aca="false">IF(OR(E235="",E235="!!!",F235="NEW"),"",INDEX(J$1:J234,SUMPRODUCT(MAX(ROW(E$1:E234)*(E235=E$1:E234)))))</f>
        <v/>
      </c>
      <c r="L235" s="28"/>
    </row>
    <row r="236" customFormat="false" ht="15" hidden="false" customHeight="false" outlineLevel="0" collapsed="false">
      <c r="A236" s="21" t="s">
        <v>178</v>
      </c>
      <c r="E236" s="25"/>
      <c r="F236" s="26" t="str">
        <f aca="false">IF(OR(E236="",E236="!!!"),"",IF(NOT(ISNA(VLOOKUP(E236,E$1:E235,1,FALSE()))),"OLD",IF(AND(E236&lt;&gt;"",E236&lt;&gt;"!!!"),"NEW","")))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7" t="str">
        <f aca="false">IF(OR(E236="",E236="!!!",F236="NEW"),"",INDEX(B7:B$230,-1+SUMPRODUCT(MAX(ROW(E7:E$230)*(E236=E7:E$230)))))</f>
        <v/>
      </c>
      <c r="J236" s="27" t="str">
        <f aca="true">IF(OR(E236="",E236="!!!",F236="NEW"),"",COUNTBLANK(OFFSET(A$1,,,SUMPRODUCT(MAX(ROW(E$2:E236)*(E236=E$2:E236)))))-COUNTBLANK(OFFSET(A$1,,,SUMPRODUCT(MAX(ROW(E$1:E235)*(E2=E$1:E235))))))</f>
        <v/>
      </c>
      <c r="K236" s="27" t="str">
        <f aca="false">IF(OR(E236="",E236="!!!",F236="NEW"),"",INDEX(J$1:J235,SUMPRODUCT(MAX(ROW(E$1:E235)*(E236=E$1:E235)))))</f>
        <v/>
      </c>
      <c r="L236" s="28"/>
    </row>
    <row r="237" customFormat="false" ht="15" hidden="false" customHeight="false" outlineLevel="0" collapsed="false">
      <c r="A237" s="21" t="s">
        <v>169</v>
      </c>
      <c r="E237" s="25"/>
      <c r="F237" s="26" t="str">
        <f aca="false">IF(OR(E237="",E237="!!!"),"",IF(NOT(ISNA(VLOOKUP(E237,E$1:E236,1,FALSE()))),"OLD",IF(AND(E237&lt;&gt;"",E237&lt;&gt;"!!!"),"NEW","")))</f>
        <v/>
      </c>
      <c r="G237" s="22" t="str">
        <f aca="false">IF(OR(E237="",E237="!!!"),"",IF(OR(J237=0,AND(J237=1,K237=1),AND(J237=1,I237="SBJ"),AND(J237=1,I237=0)),"?IN_FOCUS",IF(J237&lt;=2,"?ACTIVATED",IF(J237&lt;&gt;"","?FAMILIAR",IF(F237="NEW",IF(ISNA(VLOOKUP(E237,#REF!,1,FALSE())),"?TYPE_IDENTIFIABLE","?REFERENTIAL"),"_")))))</f>
        <v/>
      </c>
      <c r="H237" s="23" t="str">
        <f aca="false">IF(J237&lt;&gt;1,"",IF(I237="SBJ","CB","?"))</f>
        <v/>
      </c>
      <c r="I237" s="27" t="str">
        <f aca="false">IF(OR(E237="",E237="!!!",F237="NEW"),"",INDEX(B8:B$230,-1+SUMPRODUCT(MAX(ROW(E8:E$230)*(E237=E8:E$230)))))</f>
        <v/>
      </c>
      <c r="J237" s="27" t="str">
        <f aca="true">IF(OR(E237="",E237="!!!",F237="NEW"),"",COUNTBLANK(OFFSET(A$1,,,SUMPRODUCT(MAX(ROW(E$2:E237)*(E237=E$2:E237)))))-COUNTBLANK(OFFSET(A$1,,,SUMPRODUCT(MAX(ROW(E$1:E236)*(E2=E$1:E236))))))</f>
        <v/>
      </c>
      <c r="K237" s="27" t="str">
        <f aca="false">IF(OR(E237="",E237="!!!",F237="NEW"),"",INDEX(J$1:J236,SUMPRODUCT(MAX(ROW(E$1:E236)*(E237=E$1:E236)))))</f>
        <v/>
      </c>
      <c r="L237" s="28"/>
    </row>
    <row r="238" customFormat="false" ht="15" hidden="false" customHeight="false" outlineLevel="0" collapsed="false">
      <c r="A238" s="21" t="s">
        <v>341</v>
      </c>
      <c r="B238" s="29" t="s">
        <v>180</v>
      </c>
      <c r="C238" s="29" t="s">
        <v>171</v>
      </c>
      <c r="D238" s="29" t="s">
        <v>159</v>
      </c>
      <c r="E238" s="25" t="s">
        <v>342</v>
      </c>
      <c r="F238" s="30" t="str">
        <f aca="false">IF(OR(E238="",E238="!!!"),"",IF(NOT(ISNA(VLOOKUP(E238,E$1:E237,1,FALSE()))),"OLD",IF(AND(E238&lt;&gt;"",E238&lt;&gt;"!!!"),"NEW","")))</f>
        <v>NEW</v>
      </c>
      <c r="G238" s="22" t="s">
        <v>160</v>
      </c>
      <c r="H238" s="23" t="str">
        <f aca="false">IF(J238&lt;&gt;1,"",IF(I238="SBJ","CB","?"))</f>
        <v/>
      </c>
      <c r="I238" s="31" t="str">
        <f aca="false">IF(OR(E238="",E238="!!!",F238="NEW"),"",INDEX(B9:B$230,-1+SUMPRODUCT(MAX(ROW(E9:E$230)*(E238=E9:E$230)))))</f>
        <v/>
      </c>
      <c r="J238" s="31" t="str">
        <f aca="true">IF(OR(E238="",E238="!!!",F238="NEW"),"",COUNTBLANK(OFFSET(A$1,,,SUMPRODUCT(MAX(ROW(E$2:E238)*(E238=E$2:E238)))))-COUNTBLANK(OFFSET(A$1,,,SUMPRODUCT(MAX(ROW(E$1:E237)*(E2=E$1:E237))))))</f>
        <v/>
      </c>
      <c r="K238" s="31" t="str">
        <f aca="false">IF(OR(E238="",E238="!!!",F238="NEW"),"",INDEX(J$1:J237,SUMPRODUCT(MAX(ROW(E$1:E237)*(E238=E$1:E237)))))</f>
        <v/>
      </c>
      <c r="L238" s="28"/>
    </row>
    <row r="239" customFormat="false" ht="15" hidden="false" customHeight="false" outlineLevel="0" collapsed="false">
      <c r="A239" s="21" t="s">
        <v>318</v>
      </c>
      <c r="E239" s="25"/>
      <c r="F239" s="26" t="str">
        <f aca="false">IF(OR(E239="",E239="!!!"),"",IF(NOT(ISNA(VLOOKUP(E239,E$1:E238,1,FALSE()))),"OLD",IF(AND(E239&lt;&gt;"",E239&lt;&gt;"!!!"),"NEW","")))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7" t="str">
        <f aca="false">IF(OR(E239="",E239="!!!",F239="NEW"),"",INDEX(B10:B$230,-1+SUMPRODUCT(MAX(ROW(E10:E$230)*(E239=E10:E$230)))))</f>
        <v/>
      </c>
      <c r="J239" s="27" t="str">
        <f aca="true">IF(OR(E239="",E239="!!!",F239="NEW"),"",COUNTBLANK(OFFSET(A$1,,,SUMPRODUCT(MAX(ROW(E$2:E239)*(E239=E$2:E239)))))-COUNTBLANK(OFFSET(A$1,,,SUMPRODUCT(MAX(ROW(E$1:E238)*(E2=E$1:E238))))))</f>
        <v/>
      </c>
      <c r="K239" s="27" t="str">
        <f aca="false">IF(OR(E239="",E239="!!!",F239="NEW"),"",INDEX(J$1:J238,SUMPRODUCT(MAX(ROW(E$1:E238)*(E239=E$1:E238)))))</f>
        <v/>
      </c>
      <c r="L239" s="28"/>
    </row>
    <row r="240" customFormat="false" ht="15" hidden="false" customHeight="false" outlineLevel="0" collapsed="false">
      <c r="A240" s="21" t="s">
        <v>175</v>
      </c>
      <c r="E240" s="25"/>
      <c r="F240" s="26" t="str">
        <f aca="false">IF(OR(E240="",E240="!!!"),"",IF(NOT(ISNA(VLOOKUP(E240,E$1:E239,1,FALSE()))),"OLD",IF(AND(E240&lt;&gt;"",E240&lt;&gt;"!!!"),"NEW","")))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7" t="str">
        <f aca="false">IF(OR(E240="",E240="!!!",F240="NEW"),"",INDEX(B11:B$230,-1+SUMPRODUCT(MAX(ROW(E11:E$230)*(E240=E11:E$230)))))</f>
        <v/>
      </c>
      <c r="J240" s="27" t="str">
        <f aca="true">IF(OR(E240="",E240="!!!",F240="NEW"),"",COUNTBLANK(OFFSET(A$1,,,SUMPRODUCT(MAX(ROW(E$2:E240)*(E240=E$2:E240)))))-COUNTBLANK(OFFSET(A$1,,,SUMPRODUCT(MAX(ROW(E$1:E239)*(E2=E$1:E239))))))</f>
        <v/>
      </c>
      <c r="K240" s="27" t="str">
        <f aca="false">IF(OR(E240="",E240="!!!",F240="NEW"),"",INDEX(J$1:J239,SUMPRODUCT(MAX(ROW(E$1:E239)*(E240=E$1:E239)))))</f>
        <v/>
      </c>
      <c r="L240" s="28"/>
    </row>
    <row r="241" customFormat="false" ht="15" hidden="false" customHeight="false" outlineLevel="0" collapsed="false">
      <c r="A241" s="21" t="s">
        <v>343</v>
      </c>
      <c r="B241" s="29" t="s">
        <v>153</v>
      </c>
      <c r="C241" s="29" t="s">
        <v>164</v>
      </c>
      <c r="E241" s="25"/>
      <c r="F241" s="26" t="str">
        <f aca="false">IF(OR(E241="",E241="!!!"),"",IF(NOT(ISNA(VLOOKUP(E241,E$1:E240,1,FALSE()))),"OLD",IF(AND(E241&lt;&gt;"",E241&lt;&gt;"!!!"),"NEW","")))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7" t="str">
        <f aca="false">IF(OR(E241="",E241="!!!",F241="NEW"),"",INDEX(B12:B$230,-1+SUMPRODUCT(MAX(ROW(E12:E$230)*(E241=E12:E$230)))))</f>
        <v/>
      </c>
      <c r="J241" s="27" t="str">
        <f aca="true">IF(OR(E241="",E241="!!!",F241="NEW"),"",COUNTBLANK(OFFSET(A$1,,,SUMPRODUCT(MAX(ROW(E$2:E241)*(E241=E$2:E241)))))-COUNTBLANK(OFFSET(A$1,,,SUMPRODUCT(MAX(ROW(E$1:E240)*(E2=E$1:E240))))))</f>
        <v/>
      </c>
      <c r="K241" s="27" t="str">
        <f aca="false">IF(OR(E241="",E241="!!!",F241="NEW"),"",INDEX(J$1:J240,SUMPRODUCT(MAX(ROW(E$1:E240)*(E241=E$1:E240)))))</f>
        <v/>
      </c>
      <c r="L241" s="28"/>
    </row>
    <row r="242" customFormat="false" ht="15" hidden="false" customHeight="false" outlineLevel="0" collapsed="false">
      <c r="A242" s="21" t="s">
        <v>344</v>
      </c>
      <c r="E242" s="25"/>
      <c r="F242" s="26" t="str">
        <f aca="false">IF(OR(E242="",E242="!!!"),"",IF(NOT(ISNA(VLOOKUP(E242,E$1:E241,1,FALSE()))),"OLD",IF(AND(E242&lt;&gt;"",E242&lt;&gt;"!!!"),"NEW","")))</f>
        <v/>
      </c>
      <c r="G242" s="22" t="str">
        <f aca="false">IF(OR(E242="",E242="!!!"),"",IF(OR(J242=0,AND(J242=1,K242=1),AND(J242=1,I242="SBJ"),AND(J242=1,I242=0)),"?IN_FOCUS",IF(J242&lt;=2,"?ACTIVATED",IF(J242&lt;&gt;"","?FAMILIAR",IF(F242="NEW",IF(ISNA(VLOOKUP(E242,#REF!,1,FALSE())),"?TYPE_IDENTIFIABLE","?REFERENTIAL"),"_")))))</f>
        <v/>
      </c>
      <c r="H242" s="23" t="str">
        <f aca="false">IF(J242&lt;&gt;1,"",IF(I242="SBJ","CB","?"))</f>
        <v/>
      </c>
      <c r="I242" s="27" t="str">
        <f aca="false">IF(OR(E242="",E242="!!!",F242="NEW"),"",INDEX(B13:B$230,-1+SUMPRODUCT(MAX(ROW(E13:E$230)*(E242=E13:E$230)))))</f>
        <v/>
      </c>
      <c r="J242" s="27" t="str">
        <f aca="true">IF(OR(E242="",E242="!!!",F242="NEW"),"",COUNTBLANK(OFFSET(A$1,,,SUMPRODUCT(MAX(ROW(E$2:E242)*(E242=E$2:E242)))))-COUNTBLANK(OFFSET(A$1,,,SUMPRODUCT(MAX(ROW(E$1:E241)*(E2=E$1:E241))))))</f>
        <v/>
      </c>
      <c r="K242" s="27" t="str">
        <f aca="false">IF(OR(E242="",E242="!!!",F242="NEW"),"",INDEX(J$1:J241,SUMPRODUCT(MAX(ROW(E$1:E241)*(E242=E$1:E241)))))</f>
        <v/>
      </c>
      <c r="L242" s="28"/>
    </row>
    <row r="243" customFormat="false" ht="15" hidden="false" customHeight="false" outlineLevel="0" collapsed="false">
      <c r="A243" s="21" t="s">
        <v>169</v>
      </c>
      <c r="E243" s="25"/>
      <c r="F243" s="26" t="str">
        <f aca="false">IF(OR(E243="",E243="!!!"),"",IF(NOT(ISNA(VLOOKUP(E243,E$1:E242,1,FALSE()))),"OLD",IF(AND(E243&lt;&gt;"",E243&lt;&gt;"!!!"),"NEW","")))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7" t="str">
        <f aca="false">IF(OR(E243="",E243="!!!",F243="NEW"),"",INDEX(B14:B$230,-1+SUMPRODUCT(MAX(ROW(E14:E$230)*(E243=E14:E$230)))))</f>
        <v/>
      </c>
      <c r="J243" s="27" t="str">
        <f aca="true">IF(OR(E243="",E243="!!!",F243="NEW"),"",COUNTBLANK(OFFSET(A$1,,,SUMPRODUCT(MAX(ROW(E$2:E243)*(E243=E$2:E243)))))-COUNTBLANK(OFFSET(A$1,,,SUMPRODUCT(MAX(ROW(E$1:E242)*(E2=E$1:E242))))))</f>
        <v/>
      </c>
      <c r="K243" s="27" t="str">
        <f aca="false">IF(OR(E243="",E243="!!!",F243="NEW"),"",INDEX(J$1:J242,SUMPRODUCT(MAX(ROW(E$1:E242)*(E243=E$1:E242)))))</f>
        <v/>
      </c>
      <c r="L243" s="28"/>
    </row>
    <row r="244" customFormat="false" ht="15" hidden="false" customHeight="false" outlineLevel="0" collapsed="false">
      <c r="A244" s="21" t="s">
        <v>345</v>
      </c>
      <c r="B244" s="29" t="s">
        <v>153</v>
      </c>
      <c r="C244" s="29" t="s">
        <v>171</v>
      </c>
      <c r="D244" s="29" t="s">
        <v>159</v>
      </c>
      <c r="E244" s="25" t="s">
        <v>346</v>
      </c>
      <c r="F244" s="30" t="str">
        <f aca="false">IF(OR(E244="",E244="!!!"),"",IF(NOT(ISNA(VLOOKUP(E244,E$1:E243,1,FALSE()))),"OLD",IF(AND(E244&lt;&gt;"",E244&lt;&gt;"!!!"),"NEW","")))</f>
        <v>NEW</v>
      </c>
      <c r="G244" s="22" t="s">
        <v>160</v>
      </c>
      <c r="H244" s="23" t="str">
        <f aca="false">IF(J244&lt;&gt;1,"",IF(I244="SBJ","CB","?"))</f>
        <v/>
      </c>
      <c r="I244" s="31" t="str">
        <f aca="false">IF(OR(E244="",E244="!!!",F244="NEW"),"",INDEX(B15:B$230,-1+SUMPRODUCT(MAX(ROW(E15:E$230)*(E244=E15:E$230)))))</f>
        <v/>
      </c>
      <c r="J244" s="31" t="str">
        <f aca="true">IF(OR(E244="",E244="!!!",F244="NEW"),"",COUNTBLANK(OFFSET(A$1,,,SUMPRODUCT(MAX(ROW(E$2:E244)*(E244=E$2:E244)))))-COUNTBLANK(OFFSET(A$1,,,SUMPRODUCT(MAX(ROW(E$1:E243)*(E2=E$1:E243))))))</f>
        <v/>
      </c>
      <c r="K244" s="31" t="str">
        <f aca="false">IF(OR(E244="",E244="!!!",F244="NEW"),"",INDEX(J$1:J243,SUMPRODUCT(MAX(ROW(E$1:E243)*(E244=E$1:E243)))))</f>
        <v/>
      </c>
      <c r="L244" s="28"/>
    </row>
    <row r="245" customFormat="false" ht="15" hidden="false" customHeight="false" outlineLevel="0" collapsed="false">
      <c r="A245" s="21" t="s">
        <v>193</v>
      </c>
      <c r="E245" s="25"/>
      <c r="F245" s="26" t="str">
        <f aca="false">IF(OR(E245="",E245="!!!"),"",IF(NOT(ISNA(VLOOKUP(E245,E$1:E244,1,FALSE()))),"OLD",IF(AND(E245&lt;&gt;"",E245&lt;&gt;"!!!"),"NEW","")))</f>
        <v/>
      </c>
      <c r="G245" s="22" t="str">
        <f aca="false">IF(OR(E245="",E245="!!!"),"",IF(OR(J245=0,AND(J245=1,K245=1),AND(J245=1,I245="SBJ"),AND(J245=1,I245=0)),"?IN_FOCUS",IF(J245&lt;=2,"?ACTIVATED",IF(J245&lt;&gt;"","?FAMILIAR",IF(F245="NEW",IF(ISNA(VLOOKUP(E245,#REF!,1,FALSE())),"?TYPE_IDENTIFIABLE","?REFERENTIAL"),"_")))))</f>
        <v/>
      </c>
      <c r="H245" s="23" t="str">
        <f aca="false">IF(J245&lt;&gt;1,"",IF(I245="SBJ","CB","?"))</f>
        <v/>
      </c>
      <c r="I245" s="27" t="str">
        <f aca="false">IF(OR(E245="",E245="!!!",F245="NEW"),"",INDEX(B16:B$230,-1+SUMPRODUCT(MAX(ROW(E16:E$230)*(E245=E16:E$230)))))</f>
        <v/>
      </c>
      <c r="J245" s="27" t="str">
        <f aca="true">IF(OR(E245="",E245="!!!",F245="NEW"),"",COUNTBLANK(OFFSET(A$1,,,SUMPRODUCT(MAX(ROW(E$2:E245)*(E245=E$2:E245)))))-COUNTBLANK(OFFSET(A$1,,,SUMPRODUCT(MAX(ROW(E$1:E244)*(E2=E$1:E244))))))</f>
        <v/>
      </c>
      <c r="K245" s="27" t="str">
        <f aca="false">IF(OR(E245="",E245="!!!",F245="NEW"),"",INDEX(J$1:J244,SUMPRODUCT(MAX(ROW(E$1:E244)*(E245=E$1:E244)))))</f>
        <v/>
      </c>
      <c r="L245" s="28"/>
    </row>
    <row r="246" customFormat="false" ht="15" hidden="false" customHeight="false" outlineLevel="0" collapsed="false">
      <c r="A246" s="21"/>
      <c r="G246" s="22" t="str">
        <f aca="false">IF(OR(E246="",E246="!!!"),"",IF(OR(J246=0,AND(J246=1,K246=1),AND(J246=1,I246="SBJ"),AND(J246=1,I246=0)),"?IN_FOCUS",IF(J246&lt;=2,"?ACTIVATED",IF(J246&lt;&gt;"","?FAMILIAR",IF(F246="NEW",IF(ISNA(VLOOKUP(E246,#REF!,1,FALSE())),"?TYPE_IDENTIFIABLE","?REFERENTIAL"),"_")))))</f>
        <v/>
      </c>
      <c r="H246" s="23" t="str">
        <f aca="false">IF(J246&lt;&gt;1,"",IF(I246="SBJ","CB","?"))</f>
        <v/>
      </c>
    </row>
    <row r="247" customFormat="false" ht="15" hidden="false" customHeight="false" outlineLevel="0" collapsed="false">
      <c r="A247" s="21" t="s">
        <v>347</v>
      </c>
      <c r="E247" s="25"/>
      <c r="F247" s="26" t="str">
        <f aca="false">IF(OR(E247="",E247="!!!"),"",IF(NOT(ISNA(VLOOKUP(E247,E$1:E246,1,FALSE()))),"OLD",IF(AND(E247&lt;&gt;"",E247&lt;&gt;"!!!"),"NEW","")))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7" t="str">
        <f aca="false">IF(OR(E247="",E247="!!!",F247="NEW"),"",INDEX(B2:B$246,-1+SUMPRODUCT(MAX(ROW(E2:E$246)*(E247=E2:E$246)))))</f>
        <v/>
      </c>
      <c r="J247" s="27" t="str">
        <f aca="true">IF(OR(E247="",E247="!!!",F247="NEW"),"",COUNTBLANK(OFFSET(A$1,,,SUMPRODUCT(MAX(ROW(E$2:E247)*(E247=E$2:E247)))))-COUNTBLANK(OFFSET(A$1,,,SUMPRODUCT(MAX(ROW(E$1:E246)*(E2=E$1:E246))))))</f>
        <v/>
      </c>
      <c r="K247" s="27" t="str">
        <f aca="false">IF(OR(E247="",E247="!!!",F247="NEW"),"",INDEX(J$1:J246,SUMPRODUCT(MAX(ROW(E$1:E246)*(E247=E$1:E246)))))</f>
        <v/>
      </c>
      <c r="L247" s="28"/>
    </row>
    <row r="248" customFormat="false" ht="15" hidden="false" customHeight="false" outlineLevel="0" collapsed="false">
      <c r="A248" s="21" t="s">
        <v>348</v>
      </c>
      <c r="G248" s="22" t="str">
        <f aca="false">IF(OR(E248="",E248="!!!"),"",IF(OR(J248=0,AND(J248=1,K248=1),AND(J248=1,I248="SBJ"),AND(J248=1,I248=0)),"?IN_FOCUS",IF(J248&lt;=2,"?ACTIVATED",IF(J248&lt;&gt;"","?FAMILIAR",IF(F248="NEW",IF(ISNA(VLOOKUP(E248,#REF!,1,FALSE())),"?TYPE_IDENTIFIABLE","?REFERENTIAL"),"_")))))</f>
        <v/>
      </c>
      <c r="H248" s="23" t="str">
        <f aca="false">IF(J248&lt;&gt;1,"",IF(I248="SBJ","CB","?"))</f>
        <v/>
      </c>
    </row>
    <row r="249" customFormat="false" ht="15" hidden="false" customHeight="false" outlineLevel="0" collapsed="false">
      <c r="A249" s="21" t="s">
        <v>349</v>
      </c>
      <c r="E249" s="25"/>
      <c r="F249" s="26" t="str">
        <f aca="false">IF(OR(E249="",E249="!!!"),"",IF(NOT(ISNA(VLOOKUP(E249,E$1:E248,1,FALSE()))),"OLD",IF(AND(E249&lt;&gt;"",E249&lt;&gt;"!!!"),"NEW","")))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7" t="str">
        <f aca="false">IF(OR(E249="",E249="!!!",F249="NEW"),"",INDEX(B2:B$248,-1+SUMPRODUCT(MAX(ROW(E2:E$248)*(E249=E2:E$248)))))</f>
        <v/>
      </c>
      <c r="J249" s="27" t="str">
        <f aca="true">IF(OR(E249="",E249="!!!",F249="NEW"),"",COUNTBLANK(OFFSET(A$1,,,SUMPRODUCT(MAX(ROW(E$2:E249)*(E249=E$2:E249)))))-COUNTBLANK(OFFSET(A$1,,,SUMPRODUCT(MAX(ROW(E$1:E248)*(E2=E$1:E248))))))</f>
        <v/>
      </c>
      <c r="K249" s="27" t="str">
        <f aca="false">IF(OR(E249="",E249="!!!",F249="NEW"),"",INDEX(J$1:J248,SUMPRODUCT(MAX(ROW(E$1:E248)*(E249=E$1:E248)))))</f>
        <v/>
      </c>
      <c r="L249" s="28"/>
    </row>
    <row r="250" customFormat="false" ht="15" hidden="false" customHeight="false" outlineLevel="0" collapsed="false">
      <c r="A250" s="21" t="s">
        <v>350</v>
      </c>
      <c r="B250" s="29" t="s">
        <v>180</v>
      </c>
      <c r="C250" s="29" t="s">
        <v>171</v>
      </c>
      <c r="D250" s="29" t="s">
        <v>159</v>
      </c>
      <c r="E250" s="25" t="s">
        <v>351</v>
      </c>
      <c r="F250" s="30" t="str">
        <f aca="false">IF(OR(E250="",E250="!!!"),"",IF(NOT(ISNA(VLOOKUP(E250,E$1:E249,1,FALSE()))),"OLD",IF(AND(E250&lt;&gt;"",E250&lt;&gt;"!!!"),"NEW","")))</f>
        <v>NEW</v>
      </c>
      <c r="G250" s="22" t="s">
        <v>160</v>
      </c>
      <c r="H250" s="23" t="str">
        <f aca="false">IF(J250&lt;&gt;1,"",IF(I250="SBJ","CB","?"))</f>
        <v/>
      </c>
      <c r="I250" s="31" t="str">
        <f aca="false">IF(OR(E250="",E250="!!!",F250="NEW"),"",INDEX(B3:B$248,-1+SUMPRODUCT(MAX(ROW(E3:E$248)*(E250=E3:E$248)))))</f>
        <v/>
      </c>
      <c r="J250" s="31" t="str">
        <f aca="true">IF(OR(E250="",E250="!!!",F250="NEW"),"",COUNTBLANK(OFFSET(A$1,,,SUMPRODUCT(MAX(ROW(E$2:E250)*(E250=E$2:E250)))))-COUNTBLANK(OFFSET(A$1,,,SUMPRODUCT(MAX(ROW(E$1:E249)*(E2=E$1:E249))))))</f>
        <v/>
      </c>
      <c r="K250" s="31" t="str">
        <f aca="false">IF(OR(E250="",E250="!!!",F250="NEW"),"",INDEX(J$1:J249,SUMPRODUCT(MAX(ROW(E$1:E249)*(E250=E$1:E249)))))</f>
        <v/>
      </c>
      <c r="L250" s="28"/>
    </row>
    <row r="251" customFormat="false" ht="15" hidden="false" customHeight="false" outlineLevel="0" collapsed="false">
      <c r="A251" s="21" t="s">
        <v>352</v>
      </c>
      <c r="E251" s="25"/>
      <c r="F251" s="26" t="str">
        <f aca="false">IF(OR(E251="",E251="!!!"),"",IF(NOT(ISNA(VLOOKUP(E251,E$1:E250,1,FALSE()))),"OLD",IF(AND(E251&lt;&gt;"",E251&lt;&gt;"!!!"),"NEW","")))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7" t="str">
        <f aca="false">IF(OR(E251="",E251="!!!",F251="NEW"),"",INDEX(B4:B$248,-1+SUMPRODUCT(MAX(ROW(E4:E$248)*(E251=E4:E$248)))))</f>
        <v/>
      </c>
      <c r="J251" s="27" t="str">
        <f aca="true">IF(OR(E251="",E251="!!!",F251="NEW"),"",COUNTBLANK(OFFSET(A$1,,,SUMPRODUCT(MAX(ROW(E$2:E251)*(E251=E$2:E251)))))-COUNTBLANK(OFFSET(A$1,,,SUMPRODUCT(MAX(ROW(E$1:E250)*(E2=E$1:E250))))))</f>
        <v/>
      </c>
      <c r="K251" s="27" t="str">
        <f aca="false">IF(OR(E251="",E251="!!!",F251="NEW"),"",INDEX(J$1:J250,SUMPRODUCT(MAX(ROW(E$1:E250)*(E251=E$1:E250)))))</f>
        <v/>
      </c>
      <c r="L251" s="28"/>
    </row>
    <row r="252" customFormat="false" ht="15" hidden="false" customHeight="false" outlineLevel="0" collapsed="false">
      <c r="A252" s="21" t="s">
        <v>353</v>
      </c>
      <c r="B252" s="29" t="s">
        <v>190</v>
      </c>
      <c r="C252" s="29" t="s">
        <v>167</v>
      </c>
      <c r="E252" s="25"/>
      <c r="F252" s="26" t="str">
        <f aca="false">IF(OR(E252="",E252="!!!"),"",IF(NOT(ISNA(VLOOKUP(E252,E$1:E251,1,FALSE()))),"OLD",IF(AND(E252&lt;&gt;"",E252&lt;&gt;"!!!"),"NEW","")))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7" t="str">
        <f aca="false">IF(OR(E252="",E252="!!!",F252="NEW"),"",INDEX(B5:B$248,-1+SUMPRODUCT(MAX(ROW(E5:E$248)*(E252=E5:E$248)))))</f>
        <v/>
      </c>
      <c r="J252" s="27" t="str">
        <f aca="true">IF(OR(E252="",E252="!!!",F252="NEW"),"",COUNTBLANK(OFFSET(A$1,,,SUMPRODUCT(MAX(ROW(E$2:E252)*(E252=E$2:E252)))))-COUNTBLANK(OFFSET(A$1,,,SUMPRODUCT(MAX(ROW(E$1:E251)*(E2=E$1:E251))))))</f>
        <v/>
      </c>
      <c r="K252" s="27" t="str">
        <f aca="false">IF(OR(E252="",E252="!!!",F252="NEW"),"",INDEX(J$1:J251,SUMPRODUCT(MAX(ROW(E$1:E251)*(E252=E$1:E251)))))</f>
        <v/>
      </c>
      <c r="L252" s="28"/>
    </row>
    <row r="253" customFormat="false" ht="15" hidden="false" customHeight="false" outlineLevel="0" collapsed="false">
      <c r="A253" s="21" t="s">
        <v>352</v>
      </c>
      <c r="E253" s="25"/>
      <c r="F253" s="26" t="str">
        <f aca="false">IF(OR(E253="",E253="!!!"),"",IF(NOT(ISNA(VLOOKUP(E253,E$1:E252,1,FALSE()))),"OLD",IF(AND(E253&lt;&gt;"",E253&lt;&gt;"!!!"),"NEW","")))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7" t="str">
        <f aca="false">IF(OR(E253="",E253="!!!",F253="NEW"),"",INDEX(B6:B$248,-1+SUMPRODUCT(MAX(ROW(E6:E$248)*(E253=E6:E$248)))))</f>
        <v/>
      </c>
      <c r="J253" s="27" t="str">
        <f aca="true">IF(OR(E253="",E253="!!!",F253="NEW"),"",COUNTBLANK(OFFSET(A$1,,,SUMPRODUCT(MAX(ROW(E$2:E253)*(E253=E$2:E253)))))-COUNTBLANK(OFFSET(A$1,,,SUMPRODUCT(MAX(ROW(E$1:E252)*(E2=E$1:E252))))))</f>
        <v/>
      </c>
      <c r="K253" s="27" t="str">
        <f aca="false">IF(OR(E253="",E253="!!!",F253="NEW"),"",INDEX(J$1:J252,SUMPRODUCT(MAX(ROW(E$1:E252)*(E253=E$1:E252)))))</f>
        <v/>
      </c>
      <c r="L253" s="28"/>
    </row>
    <row r="254" customFormat="false" ht="15" hidden="false" customHeight="false" outlineLevel="0" collapsed="false">
      <c r="A254" s="21" t="s">
        <v>354</v>
      </c>
      <c r="E254" s="25"/>
      <c r="F254" s="26" t="str">
        <f aca="false">IF(OR(E254="",E254="!!!"),"",IF(NOT(ISNA(VLOOKUP(E254,E$1:E253,1,FALSE()))),"OLD",IF(AND(E254&lt;&gt;"",E254&lt;&gt;"!!!"),"NEW","")))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7" t="str">
        <f aca="false">IF(OR(E254="",E254="!!!",F254="NEW"),"",INDEX(B7:B$248,-1+SUMPRODUCT(MAX(ROW(E7:E$248)*(E254=E7:E$248)))))</f>
        <v/>
      </c>
      <c r="J254" s="27" t="str">
        <f aca="true">IF(OR(E254="",E254="!!!",F254="NEW"),"",COUNTBLANK(OFFSET(A$1,,,SUMPRODUCT(MAX(ROW(E$2:E254)*(E254=E$2:E254)))))-COUNTBLANK(OFFSET(A$1,,,SUMPRODUCT(MAX(ROW(E$1:E253)*(E2=E$1:E253))))))</f>
        <v/>
      </c>
      <c r="K254" s="27" t="str">
        <f aca="false">IF(OR(E254="",E254="!!!",F254="NEW"),"",INDEX(J$1:J253,SUMPRODUCT(MAX(ROW(E$1:E253)*(E254=E$1:E253)))))</f>
        <v/>
      </c>
      <c r="L254" s="28"/>
    </row>
    <row r="255" customFormat="false" ht="15" hidden="false" customHeight="false" outlineLevel="0" collapsed="false">
      <c r="A255" s="21" t="s">
        <v>355</v>
      </c>
      <c r="E255" s="25"/>
      <c r="F255" s="26" t="str">
        <f aca="false">IF(OR(E255="",E255="!!!"),"",IF(NOT(ISNA(VLOOKUP(E255,E$1:E254,1,FALSE()))),"OLD",IF(AND(E255&lt;&gt;"",E255&lt;&gt;"!!!"),"NEW","")))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7" t="str">
        <f aca="false">IF(OR(E255="",E255="!!!",F255="NEW"),"",INDEX(B8:B$248,-1+SUMPRODUCT(MAX(ROW(E8:E$248)*(E255=E8:E$248)))))</f>
        <v/>
      </c>
      <c r="J255" s="27" t="str">
        <f aca="true">IF(OR(E255="",E255="!!!",F255="NEW"),"",COUNTBLANK(OFFSET(A$1,,,SUMPRODUCT(MAX(ROW(E$2:E255)*(E255=E$2:E255)))))-COUNTBLANK(OFFSET(A$1,,,SUMPRODUCT(MAX(ROW(E$1:E254)*(E2=E$1:E254))))))</f>
        <v/>
      </c>
      <c r="K255" s="27" t="str">
        <f aca="false">IF(OR(E255="",E255="!!!",F255="NEW"),"",INDEX(J$1:J254,SUMPRODUCT(MAX(ROW(E$1:E254)*(E255=E$1:E254)))))</f>
        <v/>
      </c>
      <c r="L255" s="28"/>
    </row>
    <row r="256" customFormat="false" ht="15" hidden="false" customHeight="false" outlineLevel="0" collapsed="false">
      <c r="A256" s="21" t="s">
        <v>356</v>
      </c>
      <c r="E256" s="25"/>
      <c r="F256" s="26" t="str">
        <f aca="false">IF(OR(E256="",E256="!!!"),"",IF(NOT(ISNA(VLOOKUP(E256,E$1:E255,1,FALSE()))),"OLD",IF(AND(E256&lt;&gt;"",E256&lt;&gt;"!!!"),"NEW","")))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7" t="str">
        <f aca="false">IF(OR(E256="",E256="!!!",F256="NEW"),"",INDEX(B9:B$248,-1+SUMPRODUCT(MAX(ROW(E9:E$248)*(E256=E9:E$248)))))</f>
        <v/>
      </c>
      <c r="J256" s="27" t="str">
        <f aca="true">IF(OR(E256="",E256="!!!",F256="NEW"),"",COUNTBLANK(OFFSET(A$1,,,SUMPRODUCT(MAX(ROW(E$2:E256)*(E256=E$2:E256)))))-COUNTBLANK(OFFSET(A$1,,,SUMPRODUCT(MAX(ROW(E$1:E255)*(E2=E$1:E255))))))</f>
        <v/>
      </c>
      <c r="K256" s="27" t="str">
        <f aca="false">IF(OR(E256="",E256="!!!",F256="NEW"),"",INDEX(J$1:J255,SUMPRODUCT(MAX(ROW(E$1:E255)*(E256=E$1:E255)))))</f>
        <v/>
      </c>
      <c r="L256" s="28"/>
    </row>
    <row r="257" customFormat="false" ht="15" hidden="false" customHeight="false" outlineLevel="0" collapsed="false">
      <c r="A257" s="21" t="s">
        <v>357</v>
      </c>
      <c r="E257" s="25"/>
      <c r="F257" s="26" t="str">
        <f aca="false">IF(OR(E257="",E257="!!!"),"",IF(NOT(ISNA(VLOOKUP(E257,E$1:E256,1,FALSE()))),"OLD",IF(AND(E257&lt;&gt;"",E257&lt;&gt;"!!!"),"NEW","")))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7" t="str">
        <f aca="false">IF(OR(E257="",E257="!!!",F257="NEW"),"",INDEX(B10:B$248,-1+SUMPRODUCT(MAX(ROW(E10:E$248)*(E257=E10:E$248)))))</f>
        <v/>
      </c>
      <c r="J257" s="27" t="str">
        <f aca="true">IF(OR(E257="",E257="!!!",F257="NEW"),"",COUNTBLANK(OFFSET(A$1,,,SUMPRODUCT(MAX(ROW(E$2:E257)*(E257=E$2:E257)))))-COUNTBLANK(OFFSET(A$1,,,SUMPRODUCT(MAX(ROW(E$1:E256)*(E2=E$1:E256))))))</f>
        <v/>
      </c>
      <c r="K257" s="27" t="str">
        <f aca="false">IF(OR(E257="",E257="!!!",F257="NEW"),"",INDEX(J$1:J256,SUMPRODUCT(MAX(ROW(E$1:E256)*(E257=E$1:E256)))))</f>
        <v/>
      </c>
      <c r="L257" s="28"/>
    </row>
    <row r="258" customFormat="false" ht="15" hidden="false" customHeight="false" outlineLevel="0" collapsed="false">
      <c r="A258" s="21" t="s">
        <v>358</v>
      </c>
      <c r="E258" s="25"/>
      <c r="F258" s="26" t="str">
        <f aca="false">IF(OR(E258="",E258="!!!"),"",IF(NOT(ISNA(VLOOKUP(E258,E$1:E257,1,FALSE()))),"OLD",IF(AND(E258&lt;&gt;"",E258&lt;&gt;"!!!"),"NEW","")))</f>
        <v/>
      </c>
      <c r="G258" s="22" t="str">
        <f aca="false">IF(OR(E258="",E258="!!!"),"",IF(OR(J258=0,AND(J258=1,K258=1),AND(J258=1,I258="SBJ"),AND(J258=1,I258=0)),"?IN_FOCUS",IF(J258&lt;=2,"?ACTIVATED",IF(J258&lt;&gt;"","?FAMILIAR",IF(F258="NEW",IF(ISNA(VLOOKUP(E258,#REF!,1,FALSE())),"?TYPE_IDENTIFIABLE","?REFERENTIAL"),"_")))))</f>
        <v/>
      </c>
      <c r="H258" s="23" t="str">
        <f aca="false">IF(J258&lt;&gt;1,"",IF(I258="SBJ","CB","?"))</f>
        <v/>
      </c>
      <c r="I258" s="27" t="str">
        <f aca="false">IF(OR(E258="",E258="!!!",F258="NEW"),"",INDEX(B11:B$248,-1+SUMPRODUCT(MAX(ROW(E11:E$248)*(E258=E11:E$248)))))</f>
        <v/>
      </c>
      <c r="J258" s="27" t="str">
        <f aca="true">IF(OR(E258="",E258="!!!",F258="NEW"),"",COUNTBLANK(OFFSET(A$1,,,SUMPRODUCT(MAX(ROW(E$2:E258)*(E258=E$2:E258)))))-COUNTBLANK(OFFSET(A$1,,,SUMPRODUCT(MAX(ROW(E$1:E257)*(E2=E$1:E257))))))</f>
        <v/>
      </c>
      <c r="K258" s="27" t="str">
        <f aca="false">IF(OR(E258="",E258="!!!",F258="NEW"),"",INDEX(J$1:J257,SUMPRODUCT(MAX(ROW(E$1:E257)*(E258=E$1:E257)))))</f>
        <v/>
      </c>
      <c r="L258" s="28"/>
    </row>
    <row r="259" customFormat="false" ht="15" hidden="false" customHeight="false" outlineLevel="0" collapsed="false">
      <c r="A259" s="21" t="s">
        <v>207</v>
      </c>
      <c r="E259" s="25"/>
      <c r="F259" s="26" t="str">
        <f aca="false">IF(OR(E259="",E259="!!!"),"",IF(NOT(ISNA(VLOOKUP(E259,E$1:E258,1,FALSE()))),"OLD",IF(AND(E259&lt;&gt;"",E259&lt;&gt;"!!!"),"NEW","")))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7" t="str">
        <f aca="false">IF(OR(E259="",E259="!!!",F259="NEW"),"",INDEX(B12:B$248,-1+SUMPRODUCT(MAX(ROW(E12:E$248)*(E259=E12:E$248)))))</f>
        <v/>
      </c>
      <c r="J259" s="27" t="str">
        <f aca="true">IF(OR(E259="",E259="!!!",F259="NEW"),"",COUNTBLANK(OFFSET(A$1,,,SUMPRODUCT(MAX(ROW(E$2:E259)*(E259=E$2:E259)))))-COUNTBLANK(OFFSET(A$1,,,SUMPRODUCT(MAX(ROW(E$1:E258)*(E2=E$1:E258))))))</f>
        <v/>
      </c>
      <c r="K259" s="27" t="str">
        <f aca="false">IF(OR(E259="",E259="!!!",F259="NEW"),"",INDEX(J$1:J258,SUMPRODUCT(MAX(ROW(E$1:E258)*(E259=E$1:E258)))))</f>
        <v/>
      </c>
      <c r="L259" s="28"/>
    </row>
    <row r="260" customFormat="false" ht="15" hidden="false" customHeight="false" outlineLevel="0" collapsed="false">
      <c r="A260" s="21" t="s">
        <v>359</v>
      </c>
      <c r="E260" s="25"/>
      <c r="F260" s="26" t="str">
        <f aca="false">IF(OR(E260="",E260="!!!"),"",IF(NOT(ISNA(VLOOKUP(E260,E$1:E259,1,FALSE()))),"OLD",IF(AND(E260&lt;&gt;"",E260&lt;&gt;"!!!"),"NEW","")))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7" t="str">
        <f aca="false">IF(OR(E260="",E260="!!!",F260="NEW"),"",INDEX(B13:B$248,-1+SUMPRODUCT(MAX(ROW(E13:E$248)*(E260=E13:E$248)))))</f>
        <v/>
      </c>
      <c r="J260" s="27" t="str">
        <f aca="true">IF(OR(E260="",E260="!!!",F260="NEW"),"",COUNTBLANK(OFFSET(A$1,,,SUMPRODUCT(MAX(ROW(E$2:E260)*(E260=E$2:E260)))))-COUNTBLANK(OFFSET(A$1,,,SUMPRODUCT(MAX(ROW(E$1:E259)*(E2=E$1:E259))))))</f>
        <v/>
      </c>
      <c r="K260" s="27" t="str">
        <f aca="false">IF(OR(E260="",E260="!!!",F260="NEW"),"",INDEX(J$1:J259,SUMPRODUCT(MAX(ROW(E$1:E259)*(E260=E$1:E259)))))</f>
        <v/>
      </c>
      <c r="L260" s="28"/>
    </row>
    <row r="261" customFormat="false" ht="15" hidden="false" customHeight="false" outlineLevel="0" collapsed="false">
      <c r="A261" s="21" t="s">
        <v>360</v>
      </c>
      <c r="B261" s="29" t="s">
        <v>203</v>
      </c>
      <c r="C261" s="29" t="s">
        <v>164</v>
      </c>
      <c r="E261" s="25"/>
      <c r="F261" s="26" t="str">
        <f aca="false">IF(OR(E261="",E261="!!!"),"",IF(NOT(ISNA(VLOOKUP(E261,E$1:E260,1,FALSE()))),"OLD",IF(AND(E261&lt;&gt;"",E261&lt;&gt;"!!!"),"NEW","")))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7" t="str">
        <f aca="false">IF(OR(E261="",E261="!!!",F261="NEW"),"",INDEX(B14:B$248,-1+SUMPRODUCT(MAX(ROW(E14:E$248)*(E261=E14:E$248)))))</f>
        <v/>
      </c>
      <c r="J261" s="27" t="str">
        <f aca="true">IF(OR(E261="",E261="!!!",F261="NEW"),"",COUNTBLANK(OFFSET(A$1,,,SUMPRODUCT(MAX(ROW(E$2:E261)*(E261=E$2:E261)))))-COUNTBLANK(OFFSET(A$1,,,SUMPRODUCT(MAX(ROW(E$1:E260)*(E2=E$1:E260))))))</f>
        <v/>
      </c>
      <c r="K261" s="27" t="str">
        <f aca="false">IF(OR(E261="",E261="!!!",F261="NEW"),"",INDEX(J$1:J260,SUMPRODUCT(MAX(ROW(E$1:E260)*(E261=E$1:E260)))))</f>
        <v/>
      </c>
      <c r="L261" s="28"/>
    </row>
    <row r="262" customFormat="false" ht="15" hidden="false" customHeight="false" outlineLevel="0" collapsed="false">
      <c r="A262" s="21" t="s">
        <v>165</v>
      </c>
      <c r="E262" s="25"/>
      <c r="F262" s="26" t="str">
        <f aca="false">IF(OR(E262="",E262="!!!"),"",IF(NOT(ISNA(VLOOKUP(E262,E$1:E261,1,FALSE()))),"OLD",IF(AND(E262&lt;&gt;"",E262&lt;&gt;"!!!"),"NEW","")))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7" t="str">
        <f aca="false">IF(OR(E262="",E262="!!!",F262="NEW"),"",INDEX(B15:B$248,-1+SUMPRODUCT(MAX(ROW(E15:E$248)*(E262=E15:E$248)))))</f>
        <v/>
      </c>
      <c r="J262" s="27" t="str">
        <f aca="true">IF(OR(E262="",E262="!!!",F262="NEW"),"",COUNTBLANK(OFFSET(A$1,,,SUMPRODUCT(MAX(ROW(E$2:E262)*(E262=E$2:E262)))))-COUNTBLANK(OFFSET(A$1,,,SUMPRODUCT(MAX(ROW(E$1:E261)*(E2=E$1:E261))))))</f>
        <v/>
      </c>
      <c r="K262" s="27" t="str">
        <f aca="false">IF(OR(E262="",E262="!!!",F262="NEW"),"",INDEX(J$1:J261,SUMPRODUCT(MAX(ROW(E$1:E261)*(E262=E$1:E261)))))</f>
        <v/>
      </c>
      <c r="L262" s="28"/>
    </row>
    <row r="263" customFormat="false" ht="15" hidden="false" customHeight="false" outlineLevel="0" collapsed="false">
      <c r="A263" s="21" t="s">
        <v>175</v>
      </c>
      <c r="E263" s="25"/>
      <c r="F263" s="26" t="str">
        <f aca="false">IF(OR(E263="",E263="!!!"),"",IF(NOT(ISNA(VLOOKUP(E263,E$1:E262,1,FALSE()))),"OLD",IF(AND(E263&lt;&gt;"",E263&lt;&gt;"!!!"),"NEW","")))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7" t="str">
        <f aca="false">IF(OR(E263="",E263="!!!",F263="NEW"),"",INDEX(B16:B$248,-1+SUMPRODUCT(MAX(ROW(E16:E$248)*(E263=E16:E$248)))))</f>
        <v/>
      </c>
      <c r="J263" s="27" t="str">
        <f aca="true">IF(OR(E263="",E263="!!!",F263="NEW"),"",COUNTBLANK(OFFSET(A$1,,,SUMPRODUCT(MAX(ROW(E$2:E263)*(E263=E$2:E263)))))-COUNTBLANK(OFFSET(A$1,,,SUMPRODUCT(MAX(ROW(E$1:E262)*(E2=E$1:E262))))))</f>
        <v/>
      </c>
      <c r="K263" s="27" t="str">
        <f aca="false">IF(OR(E263="",E263="!!!",F263="NEW"),"",INDEX(J$1:J262,SUMPRODUCT(MAX(ROW(E$1:E262)*(E263=E$1:E262)))))</f>
        <v/>
      </c>
      <c r="L263" s="28"/>
    </row>
    <row r="264" customFormat="false" ht="15" hidden="false" customHeight="false" outlineLevel="0" collapsed="false">
      <c r="A264" s="21" t="s">
        <v>361</v>
      </c>
      <c r="E264" s="25"/>
      <c r="F264" s="26" t="str">
        <f aca="false">IF(OR(E264="",E264="!!!"),"",IF(NOT(ISNA(VLOOKUP(E264,E$1:E263,1,FALSE()))),"OLD",IF(AND(E264&lt;&gt;"",E264&lt;&gt;"!!!"),"NEW","")))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7" t="str">
        <f aca="false">IF(OR(E264="",E264="!!!",F264="NEW"),"",INDEX(B17:B$248,-1+SUMPRODUCT(MAX(ROW(E17:E$248)*(E264=E17:E$248)))))</f>
        <v/>
      </c>
      <c r="J264" s="27" t="str">
        <f aca="true">IF(OR(E264="",E264="!!!",F264="NEW"),"",COUNTBLANK(OFFSET(A$1,,,SUMPRODUCT(MAX(ROW(E$2:E264)*(E264=E$2:E264)))))-COUNTBLANK(OFFSET(A$1,,,SUMPRODUCT(MAX(ROW(E$1:E263)*(E2=E$1:E263))))))</f>
        <v/>
      </c>
      <c r="K264" s="27" t="str">
        <f aca="false">IF(OR(E264="",E264="!!!",F264="NEW"),"",INDEX(J$1:J263,SUMPRODUCT(MAX(ROW(E$1:E263)*(E264=E$1:E263)))))</f>
        <v/>
      </c>
      <c r="L264" s="28"/>
    </row>
    <row r="265" customFormat="false" ht="15" hidden="false" customHeight="false" outlineLevel="0" collapsed="false">
      <c r="A265" s="21" t="s">
        <v>357</v>
      </c>
      <c r="E265" s="25"/>
      <c r="F265" s="26" t="str">
        <f aca="false">IF(OR(E265="",E265="!!!"),"",IF(NOT(ISNA(VLOOKUP(E265,E$1:E264,1,FALSE()))),"OLD",IF(AND(E265&lt;&gt;"",E265&lt;&gt;"!!!"),"NEW","")))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7" t="str">
        <f aca="false">IF(OR(E265="",E265="!!!",F265="NEW"),"",INDEX(B18:B$248,-1+SUMPRODUCT(MAX(ROW(E18:E$248)*(E265=E18:E$248)))))</f>
        <v/>
      </c>
      <c r="J265" s="27" t="str">
        <f aca="true">IF(OR(E265="",E265="!!!",F265="NEW"),"",COUNTBLANK(OFFSET(A$1,,,SUMPRODUCT(MAX(ROW(E$2:E265)*(E265=E$2:E265)))))-COUNTBLANK(OFFSET(A$1,,,SUMPRODUCT(MAX(ROW(E$1:E264)*(E2=E$1:E264))))))</f>
        <v/>
      </c>
      <c r="K265" s="27" t="str">
        <f aca="false">IF(OR(E265="",E265="!!!",F265="NEW"),"",INDEX(J$1:J264,SUMPRODUCT(MAX(ROW(E$1:E264)*(E265=E$1:E264)))))</f>
        <v/>
      </c>
      <c r="L265" s="28"/>
    </row>
    <row r="266" customFormat="false" ht="15" hidden="false" customHeight="false" outlineLevel="0" collapsed="false">
      <c r="A266" s="21" t="s">
        <v>362</v>
      </c>
      <c r="B266" s="29" t="s">
        <v>190</v>
      </c>
      <c r="C266" s="29" t="s">
        <v>164</v>
      </c>
      <c r="E266" s="25"/>
      <c r="F266" s="26" t="str">
        <f aca="false">IF(OR(E266="",E266="!!!"),"",IF(NOT(ISNA(VLOOKUP(E266,E$1:E265,1,FALSE()))),"OLD",IF(AND(E266&lt;&gt;"",E266&lt;&gt;"!!!"),"NEW","")))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7" t="str">
        <f aca="false">IF(OR(E266="",E266="!!!",F266="NEW"),"",INDEX(B19:B$248,-1+SUMPRODUCT(MAX(ROW(E19:E$248)*(E266=E19:E$248)))))</f>
        <v/>
      </c>
      <c r="J266" s="27" t="str">
        <f aca="true">IF(OR(E266="",E266="!!!",F266="NEW"),"",COUNTBLANK(OFFSET(A$1,,,SUMPRODUCT(MAX(ROW(E$2:E266)*(E266=E$2:E266)))))-COUNTBLANK(OFFSET(A$1,,,SUMPRODUCT(MAX(ROW(E$1:E265)*(E2=E$1:E265))))))</f>
        <v/>
      </c>
      <c r="K266" s="27" t="str">
        <f aca="false">IF(OR(E266="",E266="!!!",F266="NEW"),"",INDEX(J$1:J265,SUMPRODUCT(MAX(ROW(E$1:E265)*(E266=E$1:E265)))))</f>
        <v/>
      </c>
      <c r="L266" s="28"/>
    </row>
    <row r="267" customFormat="false" ht="15" hidden="false" customHeight="false" outlineLevel="0" collapsed="false">
      <c r="A267" s="21" t="s">
        <v>363</v>
      </c>
      <c r="E267" s="25"/>
      <c r="F267" s="26" t="str">
        <f aca="false">IF(OR(E267="",E267="!!!"),"",IF(NOT(ISNA(VLOOKUP(E267,E$1:E266,1,FALSE()))),"OLD",IF(AND(E267&lt;&gt;"",E267&lt;&gt;"!!!"),"NEW","")))</f>
        <v/>
      </c>
      <c r="G267" s="22" t="str">
        <f aca="false">IF(OR(E267="",E267="!!!"),"",IF(OR(J267=0,AND(J267=1,K267=1),AND(J267=1,I267="SBJ"),AND(J267=1,I267=0)),"?IN_FOCUS",IF(J267&lt;=2,"?ACTIVATED",IF(J267&lt;&gt;"","?FAMILIAR",IF(F267="NEW",IF(ISNA(VLOOKUP(E267,#REF!,1,FALSE())),"?TYPE_IDENTIFIABLE","?REFERENTIAL"),"_")))))</f>
        <v/>
      </c>
      <c r="H267" s="23" t="str">
        <f aca="false">IF(J267&lt;&gt;1,"",IF(I267="SBJ","CB","?"))</f>
        <v/>
      </c>
      <c r="I267" s="27" t="str">
        <f aca="false">IF(OR(E267="",E267="!!!",F267="NEW"),"",INDEX(B20:B$248,-1+SUMPRODUCT(MAX(ROW(E20:E$248)*(E267=E20:E$248)))))</f>
        <v/>
      </c>
      <c r="J267" s="27" t="str">
        <f aca="true">IF(OR(E267="",E267="!!!",F267="NEW"),"",COUNTBLANK(OFFSET(A$1,,,SUMPRODUCT(MAX(ROW(E$2:E267)*(E267=E$2:E267)))))-COUNTBLANK(OFFSET(A$1,,,SUMPRODUCT(MAX(ROW(E$1:E266)*(E2=E$1:E266))))))</f>
        <v/>
      </c>
      <c r="K267" s="27" t="str">
        <f aca="false">IF(OR(E267="",E267="!!!",F267="NEW"),"",INDEX(J$1:J266,SUMPRODUCT(MAX(ROW(E$1:E266)*(E267=E$1:E266)))))</f>
        <v/>
      </c>
      <c r="L267" s="28"/>
    </row>
    <row r="268" customFormat="false" ht="15" hidden="false" customHeight="false" outlineLevel="0" collapsed="false">
      <c r="A268" s="21" t="s">
        <v>212</v>
      </c>
      <c r="E268" s="25"/>
      <c r="F268" s="26" t="str">
        <f aca="false">IF(OR(E268="",E268="!!!"),"",IF(NOT(ISNA(VLOOKUP(E268,E$1:E267,1,FALSE()))),"OLD",IF(AND(E268&lt;&gt;"",E268&lt;&gt;"!!!"),"NEW","")))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7" t="str">
        <f aca="false">IF(OR(E268="",E268="!!!",F268="NEW"),"",INDEX(B21:B$248,-1+SUMPRODUCT(MAX(ROW(E21:E$248)*(E268=E21:E$248)))))</f>
        <v/>
      </c>
      <c r="J268" s="27" t="str">
        <f aca="true">IF(OR(E268="",E268="!!!",F268="NEW"),"",COUNTBLANK(OFFSET(A$1,,,SUMPRODUCT(MAX(ROW(E$2:E268)*(E268=E$2:E268)))))-COUNTBLANK(OFFSET(A$1,,,SUMPRODUCT(MAX(ROW(E$1:E267)*(E2=E$1:E267))))))</f>
        <v/>
      </c>
      <c r="K268" s="27" t="str">
        <f aca="false">IF(OR(E268="",E268="!!!",F268="NEW"),"",INDEX(J$1:J267,SUMPRODUCT(MAX(ROW(E$1:E267)*(E268=E$1:E267)))))</f>
        <v/>
      </c>
      <c r="L268" s="28"/>
    </row>
    <row r="269" customFormat="false" ht="15" hidden="false" customHeight="false" outlineLevel="0" collapsed="false">
      <c r="A269" s="21" t="s">
        <v>364</v>
      </c>
      <c r="B269" s="29" t="s">
        <v>216</v>
      </c>
      <c r="C269" s="29" t="s">
        <v>167</v>
      </c>
      <c r="E269" s="25"/>
      <c r="F269" s="26" t="str">
        <f aca="false">IF(OR(E269="",E269="!!!"),"",IF(NOT(ISNA(VLOOKUP(E269,E$1:E268,1,FALSE()))),"OLD",IF(AND(E269&lt;&gt;"",E269&lt;&gt;"!!!"),"NEW","")))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7" t="str">
        <f aca="false">IF(OR(E269="",E269="!!!",F269="NEW"),"",INDEX(B22:B$248,-1+SUMPRODUCT(MAX(ROW(E22:E$248)*(E269=E22:E$248)))))</f>
        <v/>
      </c>
      <c r="J269" s="27" t="str">
        <f aca="true">IF(OR(E269="",E269="!!!",F269="NEW"),"",COUNTBLANK(OFFSET(A$1,,,SUMPRODUCT(MAX(ROW(E$2:E269)*(E269=E$2:E269)))))-COUNTBLANK(OFFSET(A$1,,,SUMPRODUCT(MAX(ROW(E$1:E268)*(E2=E$1:E268))))))</f>
        <v/>
      </c>
      <c r="K269" s="27" t="str">
        <f aca="false">IF(OR(E269="",E269="!!!",F269="NEW"),"",INDEX(J$1:J268,SUMPRODUCT(MAX(ROW(E$1:E268)*(E269=E$1:E268)))))</f>
        <v/>
      </c>
      <c r="L269" s="28"/>
    </row>
    <row r="270" customFormat="false" ht="15" hidden="false" customHeight="false" outlineLevel="0" collapsed="false">
      <c r="A270" s="21" t="s">
        <v>178</v>
      </c>
      <c r="E270" s="25"/>
      <c r="F270" s="26" t="str">
        <f aca="false">IF(OR(E270="",E270="!!!"),"",IF(NOT(ISNA(VLOOKUP(E270,E$1:E269,1,FALSE()))),"OLD",IF(AND(E270&lt;&gt;"",E270&lt;&gt;"!!!"),"NEW","")))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7" t="str">
        <f aca="false">IF(OR(E270="",E270="!!!",F270="NEW"),"",INDEX(B23:B$248,-1+SUMPRODUCT(MAX(ROW(E23:E$248)*(E270=E23:E$248)))))</f>
        <v/>
      </c>
      <c r="J270" s="27" t="str">
        <f aca="true">IF(OR(E270="",E270="!!!",F270="NEW"),"",COUNTBLANK(OFFSET(A$1,,,SUMPRODUCT(MAX(ROW(E$2:E270)*(E270=E$2:E270)))))-COUNTBLANK(OFFSET(A$1,,,SUMPRODUCT(MAX(ROW(E$1:E269)*(E2=E$1:E269))))))</f>
        <v/>
      </c>
      <c r="K270" s="27" t="str">
        <f aca="false">IF(OR(E270="",E270="!!!",F270="NEW"),"",INDEX(J$1:J269,SUMPRODUCT(MAX(ROW(E$1:E269)*(E270=E$1:E269)))))</f>
        <v/>
      </c>
      <c r="L270" s="28"/>
    </row>
    <row r="271" customFormat="false" ht="15" hidden="false" customHeight="false" outlineLevel="0" collapsed="false">
      <c r="A271" s="21" t="s">
        <v>365</v>
      </c>
      <c r="B271" s="29" t="s">
        <v>153</v>
      </c>
      <c r="C271" s="29" t="s">
        <v>167</v>
      </c>
      <c r="E271" s="25"/>
      <c r="F271" s="26" t="str">
        <f aca="false">IF(OR(E271="",E271="!!!"),"",IF(NOT(ISNA(VLOOKUP(E271,E$1:E270,1,FALSE()))),"OLD",IF(AND(E271&lt;&gt;"",E271&lt;&gt;"!!!"),"NEW","")))</f>
        <v/>
      </c>
      <c r="G271" s="22" t="str">
        <f aca="false">IF(OR(E271="",E271="!!!"),"",IF(OR(J271=0,AND(J271=1,K271=1),AND(J271=1,I271="SBJ"),AND(J271=1,I271=0)),"?IN_FOCUS",IF(J271&lt;=2,"?ACTIVATED",IF(J271&lt;&gt;"","?FAMILIAR",IF(F271="NEW",IF(ISNA(VLOOKUP(E271,#REF!,1,FALSE())),"?TYPE_IDENTIFIABLE","?REFERENTIAL"),"_")))))</f>
        <v/>
      </c>
      <c r="H271" s="23" t="str">
        <f aca="false">IF(J271&lt;&gt;1,"",IF(I271="SBJ","CB","?"))</f>
        <v/>
      </c>
      <c r="I271" s="27" t="str">
        <f aca="false">IF(OR(E271="",E271="!!!",F271="NEW"),"",INDEX(B24:B$248,-1+SUMPRODUCT(MAX(ROW(E24:E$248)*(E271=E24:E$248)))))</f>
        <v/>
      </c>
      <c r="J271" s="27" t="str">
        <f aca="true">IF(OR(E271="",E271="!!!",F271="NEW"),"",COUNTBLANK(OFFSET(A$1,,,SUMPRODUCT(MAX(ROW(E$2:E271)*(E271=E$2:E271)))))-COUNTBLANK(OFFSET(A$1,,,SUMPRODUCT(MAX(ROW(E$1:E270)*(E2=E$1:E270))))))</f>
        <v/>
      </c>
      <c r="K271" s="27" t="str">
        <f aca="false">IF(OR(E271="",E271="!!!",F271="NEW"),"",INDEX(J$1:J270,SUMPRODUCT(MAX(ROW(E$1:E270)*(E271=E$1:E270)))))</f>
        <v/>
      </c>
      <c r="L271" s="28"/>
    </row>
    <row r="272" customFormat="false" ht="15" hidden="false" customHeight="false" outlineLevel="0" collapsed="false">
      <c r="A272" s="21" t="s">
        <v>366</v>
      </c>
      <c r="E272" s="25"/>
      <c r="F272" s="26" t="str">
        <f aca="false">IF(OR(E272="",E272="!!!"),"",IF(NOT(ISNA(VLOOKUP(E272,E$1:E271,1,FALSE()))),"OLD",IF(AND(E272&lt;&gt;"",E272&lt;&gt;"!!!"),"NEW","")))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7" t="str">
        <f aca="false">IF(OR(E272="",E272="!!!",F272="NEW"),"",INDEX(B25:B$248,-1+SUMPRODUCT(MAX(ROW(E25:E$248)*(E272=E25:E$248)))))</f>
        <v/>
      </c>
      <c r="J272" s="27" t="str">
        <f aca="true">IF(OR(E272="",E272="!!!",F272="NEW"),"",COUNTBLANK(OFFSET(A$1,,,SUMPRODUCT(MAX(ROW(E$2:E272)*(E272=E$2:E272)))))-COUNTBLANK(OFFSET(A$1,,,SUMPRODUCT(MAX(ROW(E$1:E271)*(E2=E$1:E271))))))</f>
        <v/>
      </c>
      <c r="K272" s="27" t="str">
        <f aca="false">IF(OR(E272="",E272="!!!",F272="NEW"),"",INDEX(J$1:J271,SUMPRODUCT(MAX(ROW(E$1:E271)*(E272=E$1:E271)))))</f>
        <v/>
      </c>
      <c r="L272" s="28"/>
    </row>
    <row r="273" customFormat="false" ht="15" hidden="false" customHeight="false" outlineLevel="0" collapsed="false">
      <c r="A273" s="21" t="s">
        <v>367</v>
      </c>
      <c r="E273" s="25"/>
      <c r="F273" s="26" t="str">
        <f aca="false">IF(OR(E273="",E273="!!!"),"",IF(NOT(ISNA(VLOOKUP(E273,E$1:E272,1,FALSE()))),"OLD",IF(AND(E273&lt;&gt;"",E273&lt;&gt;"!!!"),"NEW","")))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7" t="str">
        <f aca="false">IF(OR(E273="",E273="!!!",F273="NEW"),"",INDEX(B26:B$248,-1+SUMPRODUCT(MAX(ROW(E26:E$248)*(E273=E26:E$248)))))</f>
        <v/>
      </c>
      <c r="J273" s="27" t="str">
        <f aca="true">IF(OR(E273="",E273="!!!",F273="NEW"),"",COUNTBLANK(OFFSET(A$1,,,SUMPRODUCT(MAX(ROW(E$2:E273)*(E273=E$2:E273)))))-COUNTBLANK(OFFSET(A$1,,,SUMPRODUCT(MAX(ROW(E$1:E272)*(E2=E$1:E272))))))</f>
        <v/>
      </c>
      <c r="K273" s="27" t="str">
        <f aca="false">IF(OR(E273="",E273="!!!",F273="NEW"),"",INDEX(J$1:J272,SUMPRODUCT(MAX(ROW(E$1:E272)*(E273=E$1:E272)))))</f>
        <v/>
      </c>
      <c r="L273" s="28"/>
    </row>
    <row r="274" customFormat="false" ht="15" hidden="false" customHeight="false" outlineLevel="0" collapsed="false">
      <c r="A274" s="21" t="s">
        <v>165</v>
      </c>
      <c r="E274" s="25"/>
      <c r="F274" s="26" t="str">
        <f aca="false">IF(OR(E274="",E274="!!!"),"",IF(NOT(ISNA(VLOOKUP(E274,E$1:E273,1,FALSE()))),"OLD",IF(AND(E274&lt;&gt;"",E274&lt;&gt;"!!!"),"NEW","")))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7" t="str">
        <f aca="false">IF(OR(E274="",E274="!!!",F274="NEW"),"",INDEX(B27:B$248,-1+SUMPRODUCT(MAX(ROW(E27:E$248)*(E274=E27:E$248)))))</f>
        <v/>
      </c>
      <c r="J274" s="27" t="str">
        <f aca="true">IF(OR(E274="",E274="!!!",F274="NEW"),"",COUNTBLANK(OFFSET(A$1,,,SUMPRODUCT(MAX(ROW(E$2:E274)*(E274=E$2:E274)))))-COUNTBLANK(OFFSET(A$1,,,SUMPRODUCT(MAX(ROW(E$1:E273)*(E2=E$1:E273))))))</f>
        <v/>
      </c>
      <c r="K274" s="27" t="str">
        <f aca="false">IF(OR(E274="",E274="!!!",F274="NEW"),"",INDEX(J$1:J273,SUMPRODUCT(MAX(ROW(E$1:E273)*(E274=E$1:E273)))))</f>
        <v/>
      </c>
      <c r="L274" s="28"/>
    </row>
    <row r="275" customFormat="false" ht="15" hidden="false" customHeight="false" outlineLevel="0" collapsed="false">
      <c r="A275" s="21" t="s">
        <v>175</v>
      </c>
      <c r="E275" s="25"/>
      <c r="F275" s="26" t="str">
        <f aca="false">IF(OR(E275="",E275="!!!"),"",IF(NOT(ISNA(VLOOKUP(E275,E$1:E274,1,FALSE()))),"OLD",IF(AND(E275&lt;&gt;"",E275&lt;&gt;"!!!"),"NEW","")))</f>
        <v/>
      </c>
      <c r="G275" s="22" t="str">
        <f aca="false">IF(OR(E275="",E275="!!!"),"",IF(OR(J275=0,AND(J275=1,K275=1),AND(J275=1,I275="SBJ"),AND(J275=1,I275=0)),"?IN_FOCUS",IF(J275&lt;=2,"?ACTIVATED",IF(J275&lt;&gt;"","?FAMILIAR",IF(F275="NEW",IF(ISNA(VLOOKUP(E275,#REF!,1,FALSE())),"?TYPE_IDENTIFIABLE","?REFERENTIAL"),"_")))))</f>
        <v/>
      </c>
      <c r="H275" s="23" t="str">
        <f aca="false">IF(J275&lt;&gt;1,"",IF(I275="SBJ","CB","?"))</f>
        <v/>
      </c>
      <c r="I275" s="27" t="str">
        <f aca="false">IF(OR(E275="",E275="!!!",F275="NEW"),"",INDEX(B28:B$248,-1+SUMPRODUCT(MAX(ROW(E28:E$248)*(E275=E28:E$248)))))</f>
        <v/>
      </c>
      <c r="J275" s="27" t="str">
        <f aca="true">IF(OR(E275="",E275="!!!",F275="NEW"),"",COUNTBLANK(OFFSET(A$1,,,SUMPRODUCT(MAX(ROW(E$2:E275)*(E275=E$2:E275)))))-COUNTBLANK(OFFSET(A$1,,,SUMPRODUCT(MAX(ROW(E$1:E274)*(E2=E$1:E274))))))</f>
        <v/>
      </c>
      <c r="K275" s="27" t="str">
        <f aca="false">IF(OR(E275="",E275="!!!",F275="NEW"),"",INDEX(J$1:J274,SUMPRODUCT(MAX(ROW(E$1:E274)*(E275=E$1:E274)))))</f>
        <v/>
      </c>
      <c r="L275" s="28"/>
    </row>
    <row r="276" customFormat="false" ht="15" hidden="false" customHeight="false" outlineLevel="0" collapsed="false">
      <c r="A276" s="21" t="s">
        <v>368</v>
      </c>
      <c r="B276" s="29" t="s">
        <v>210</v>
      </c>
      <c r="C276" s="29" t="s">
        <v>164</v>
      </c>
      <c r="E276" s="25"/>
      <c r="F276" s="26" t="str">
        <f aca="false">IF(OR(E276="",E276="!!!"),"",IF(NOT(ISNA(VLOOKUP(E276,E$1:E275,1,FALSE()))),"OLD",IF(AND(E276&lt;&gt;"",E276&lt;&gt;"!!!"),"NEW","")))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7" t="str">
        <f aca="false">IF(OR(E276="",E276="!!!",F276="NEW"),"",INDEX(B29:B$248,-1+SUMPRODUCT(MAX(ROW(E29:E$248)*(E276=E29:E$248)))))</f>
        <v/>
      </c>
      <c r="J276" s="27" t="str">
        <f aca="true">IF(OR(E276="",E276="!!!",F276="NEW"),"",COUNTBLANK(OFFSET(A$1,,,SUMPRODUCT(MAX(ROW(E$2:E276)*(E276=E$2:E276)))))-COUNTBLANK(OFFSET(A$1,,,SUMPRODUCT(MAX(ROW(E$1:E275)*(E2=E$1:E275))))))</f>
        <v/>
      </c>
      <c r="K276" s="27" t="str">
        <f aca="false">IF(OR(E276="",E276="!!!",F276="NEW"),"",INDEX(J$1:J275,SUMPRODUCT(MAX(ROW(E$1:E275)*(E276=E$1:E275)))))</f>
        <v/>
      </c>
      <c r="L276" s="28"/>
    </row>
    <row r="277" customFormat="false" ht="15" hidden="false" customHeight="false" outlineLevel="0" collapsed="false">
      <c r="A277" s="21" t="s">
        <v>178</v>
      </c>
      <c r="E277" s="25"/>
      <c r="F277" s="26" t="str">
        <f aca="false">IF(OR(E277="",E277="!!!"),"",IF(NOT(ISNA(VLOOKUP(E277,E$1:E276,1,FALSE()))),"OLD",IF(AND(E277&lt;&gt;"",E277&lt;&gt;"!!!"),"NEW","")))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7" t="str">
        <f aca="false">IF(OR(E277="",E277="!!!",F277="NEW"),"",INDEX(B30:B$248,-1+SUMPRODUCT(MAX(ROW(E30:E$248)*(E277=E30:E$248)))))</f>
        <v/>
      </c>
      <c r="J277" s="27" t="str">
        <f aca="true">IF(OR(E277="",E277="!!!",F277="NEW"),"",COUNTBLANK(OFFSET(A$1,,,SUMPRODUCT(MAX(ROW(E$2:E277)*(E277=E$2:E277)))))-COUNTBLANK(OFFSET(A$1,,,SUMPRODUCT(MAX(ROW(E$1:E276)*(E2=E$1:E276))))))</f>
        <v/>
      </c>
      <c r="K277" s="27" t="str">
        <f aca="false">IF(OR(E277="",E277="!!!",F277="NEW"),"",INDEX(J$1:J276,SUMPRODUCT(MAX(ROW(E$1:E276)*(E277=E$1:E276)))))</f>
        <v/>
      </c>
      <c r="L277" s="28"/>
    </row>
    <row r="278" customFormat="false" ht="15" hidden="false" customHeight="false" outlineLevel="0" collapsed="false">
      <c r="A278" s="21" t="s">
        <v>270</v>
      </c>
      <c r="E278" s="25"/>
      <c r="F278" s="26" t="str">
        <f aca="false">IF(OR(E278="",E278="!!!"),"",IF(NOT(ISNA(VLOOKUP(E278,E$1:E277,1,FALSE()))),"OLD",IF(AND(E278&lt;&gt;"",E278&lt;&gt;"!!!"),"NEW","")))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7" t="str">
        <f aca="false">IF(OR(E278="",E278="!!!",F278="NEW"),"",INDEX(B31:B$248,-1+SUMPRODUCT(MAX(ROW(E31:E$248)*(E278=E31:E$248)))))</f>
        <v/>
      </c>
      <c r="J278" s="27" t="str">
        <f aca="true">IF(OR(E278="",E278="!!!",F278="NEW"),"",COUNTBLANK(OFFSET(A$1,,,SUMPRODUCT(MAX(ROW(E$2:E278)*(E278=E$2:E278)))))-COUNTBLANK(OFFSET(A$1,,,SUMPRODUCT(MAX(ROW(E$1:E277)*(E2=E$1:E277))))))</f>
        <v/>
      </c>
      <c r="K278" s="27" t="str">
        <f aca="false">IF(OR(E278="",E278="!!!",F278="NEW"),"",INDEX(J$1:J277,SUMPRODUCT(MAX(ROW(E$1:E277)*(E278=E$1:E277)))))</f>
        <v/>
      </c>
      <c r="L278" s="28"/>
    </row>
    <row r="279" customFormat="false" ht="15" hidden="false" customHeight="false" outlineLevel="0" collapsed="false">
      <c r="A279" s="21" t="s">
        <v>369</v>
      </c>
      <c r="E279" s="25"/>
      <c r="F279" s="26" t="str">
        <f aca="false">IF(OR(E279="",E279="!!!"),"",IF(NOT(ISNA(VLOOKUP(E279,E$1:E278,1,FALSE()))),"OLD",IF(AND(E279&lt;&gt;"",E279&lt;&gt;"!!!"),"NEW","")))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7" t="str">
        <f aca="false">IF(OR(E279="",E279="!!!",F279="NEW"),"",INDEX(B32:B$248,-1+SUMPRODUCT(MAX(ROW(E32:E$248)*(E279=E32:E$248)))))</f>
        <v/>
      </c>
      <c r="J279" s="27" t="str">
        <f aca="true">IF(OR(E279="",E279="!!!",F279="NEW"),"",COUNTBLANK(OFFSET(A$1,,,SUMPRODUCT(MAX(ROW(E$2:E279)*(E279=E$2:E279)))))-COUNTBLANK(OFFSET(A$1,,,SUMPRODUCT(MAX(ROW(E$1:E278)*(E2=E$1:E278))))))</f>
        <v/>
      </c>
      <c r="K279" s="27" t="str">
        <f aca="false">IF(OR(E279="",E279="!!!",F279="NEW"),"",INDEX(J$1:J278,SUMPRODUCT(MAX(ROW(E$1:E278)*(E279=E$1:E278)))))</f>
        <v/>
      </c>
      <c r="L279" s="28"/>
    </row>
    <row r="280" customFormat="false" ht="15" hidden="false" customHeight="false" outlineLevel="0" collapsed="false">
      <c r="A280" s="21" t="s">
        <v>370</v>
      </c>
      <c r="B280" s="29" t="s">
        <v>185</v>
      </c>
      <c r="C280" s="29" t="s">
        <v>371</v>
      </c>
      <c r="D280" s="29" t="s">
        <v>159</v>
      </c>
      <c r="E280" s="25" t="s">
        <v>372</v>
      </c>
      <c r="F280" s="30" t="str">
        <f aca="false">IF(OR(E280="",E280="!!!"),"",IF(NOT(ISNA(VLOOKUP(E280,E$1:E279,1,FALSE()))),"OLD",IF(AND(E280&lt;&gt;"",E280&lt;&gt;"!!!"),"NEW","")))</f>
        <v>NEW</v>
      </c>
      <c r="G280" s="22" t="s">
        <v>160</v>
      </c>
      <c r="H280" s="23" t="str">
        <f aca="false">IF(J280&lt;&gt;1,"",IF(I280="SBJ","CB","?"))</f>
        <v/>
      </c>
      <c r="I280" s="31" t="str">
        <f aca="false">IF(OR(E280="",E280="!!!",F280="NEW"),"",INDEX(B33:B$248,-1+SUMPRODUCT(MAX(ROW(E33:E$248)*(E280=E33:E$248)))))</f>
        <v/>
      </c>
      <c r="J280" s="31" t="str">
        <f aca="true">IF(OR(E280="",E280="!!!",F280="NEW"),"",COUNTBLANK(OFFSET(A$1,,,SUMPRODUCT(MAX(ROW(E$2:E280)*(E280=E$2:E280)))))-COUNTBLANK(OFFSET(A$1,,,SUMPRODUCT(MAX(ROW(E$1:E279)*(E2=E$1:E279))))))</f>
        <v/>
      </c>
      <c r="K280" s="31" t="str">
        <f aca="false">IF(OR(E280="",E280="!!!",F280="NEW"),"",INDEX(J$1:J279,SUMPRODUCT(MAX(ROW(E$1:E279)*(E280=E$1:E279)))))</f>
        <v/>
      </c>
      <c r="L280" s="28"/>
    </row>
    <row r="281" customFormat="false" ht="15" hidden="false" customHeight="false" outlineLevel="0" collapsed="false">
      <c r="A281" s="21" t="s">
        <v>373</v>
      </c>
      <c r="E281" s="25"/>
      <c r="F281" s="26" t="str">
        <f aca="false">IF(OR(E281="",E281="!!!"),"",IF(NOT(ISNA(VLOOKUP(E281,E$1:E280,1,FALSE()))),"OLD",IF(AND(E281&lt;&gt;"",E281&lt;&gt;"!!!"),"NEW","")))</f>
        <v/>
      </c>
      <c r="G281" s="22" t="str">
        <f aca="false">IF(OR(E281="",E281="!!!"),"",IF(OR(J281=0,AND(J281=1,K281=1),AND(J281=1,I281="SBJ"),AND(J281=1,I281=0)),"?IN_FOCUS",IF(J281&lt;=2,"?ACTIVATED",IF(J281&lt;&gt;"","?FAMILIAR",IF(F281="NEW",IF(ISNA(VLOOKUP(E281,#REF!,1,FALSE())),"?TYPE_IDENTIFIABLE","?REFERENTIAL"),"_")))))</f>
        <v/>
      </c>
      <c r="H281" s="23" t="str">
        <f aca="false">IF(J281&lt;&gt;1,"",IF(I281="SBJ","CB","?"))</f>
        <v/>
      </c>
      <c r="I281" s="27" t="str">
        <f aca="false">IF(OR(E281="",E281="!!!",F281="NEW"),"",INDEX(B34:B$248,-1+SUMPRODUCT(MAX(ROW(E34:E$248)*(E281=E34:E$248)))))</f>
        <v/>
      </c>
      <c r="J281" s="27" t="str">
        <f aca="true">IF(OR(E281="",E281="!!!",F281="NEW"),"",COUNTBLANK(OFFSET(A$1,,,SUMPRODUCT(MAX(ROW(E$2:E281)*(E281=E$2:E281)))))-COUNTBLANK(OFFSET(A$1,,,SUMPRODUCT(MAX(ROW(E$1:E280)*(E2=E$1:E280))))))</f>
        <v/>
      </c>
      <c r="K281" s="27" t="str">
        <f aca="false">IF(OR(E281="",E281="!!!",F281="NEW"),"",INDEX(J$1:J280,SUMPRODUCT(MAX(ROW(E$1:E280)*(E281=E$1:E280)))))</f>
        <v/>
      </c>
      <c r="L281" s="28"/>
    </row>
    <row r="282" customFormat="false" ht="15" hidden="false" customHeight="false" outlineLevel="0" collapsed="false">
      <c r="A282" s="21" t="s">
        <v>212</v>
      </c>
      <c r="E282" s="25"/>
      <c r="F282" s="26" t="str">
        <f aca="false">IF(OR(E282="",E282="!!!"),"",IF(NOT(ISNA(VLOOKUP(E282,E$1:E281,1,FALSE()))),"OLD",IF(AND(E282&lt;&gt;"",E282&lt;&gt;"!!!"),"NEW","")))</f>
        <v/>
      </c>
      <c r="G282" s="22" t="str">
        <f aca="false">IF(OR(E282="",E282="!!!"),"",IF(OR(J282=0,AND(J282=1,K282=1),AND(J282=1,I282="SBJ"),AND(J282=1,I282=0)),"?IN_FOCUS",IF(J282&lt;=2,"?ACTIVATED",IF(J282&lt;&gt;"","?FAMILIAR",IF(F282="NEW",IF(ISNA(VLOOKUP(E282,#REF!,1,FALSE())),"?TYPE_IDENTIFIABLE","?REFERENTIAL"),"_")))))</f>
        <v/>
      </c>
      <c r="H282" s="23" t="str">
        <f aca="false">IF(J282&lt;&gt;1,"",IF(I282="SBJ","CB","?"))</f>
        <v/>
      </c>
      <c r="I282" s="27" t="str">
        <f aca="false">IF(OR(E282="",E282="!!!",F282="NEW"),"",INDEX(B35:B$248,-1+SUMPRODUCT(MAX(ROW(E35:E$248)*(E282=E35:E$248)))))</f>
        <v/>
      </c>
      <c r="J282" s="27" t="str">
        <f aca="true">IF(OR(E282="",E282="!!!",F282="NEW"),"",COUNTBLANK(OFFSET(A$1,,,SUMPRODUCT(MAX(ROW(E$2:E282)*(E282=E$2:E282)))))-COUNTBLANK(OFFSET(A$1,,,SUMPRODUCT(MAX(ROW(E$1:E281)*(E2=E$1:E281))))))</f>
        <v/>
      </c>
      <c r="K282" s="27" t="str">
        <f aca="false">IF(OR(E282="",E282="!!!",F282="NEW"),"",INDEX(J$1:J281,SUMPRODUCT(MAX(ROW(E$1:E281)*(E282=E$1:E281)))))</f>
        <v/>
      </c>
      <c r="L282" s="28"/>
    </row>
    <row r="283" customFormat="false" ht="15" hidden="false" customHeight="false" outlineLevel="0" collapsed="false">
      <c r="A283" s="21" t="s">
        <v>374</v>
      </c>
      <c r="B283" s="29" t="s">
        <v>153</v>
      </c>
      <c r="C283" s="29" t="s">
        <v>167</v>
      </c>
      <c r="E283" s="25"/>
      <c r="F283" s="26" t="str">
        <f aca="false">IF(OR(E283="",E283="!!!"),"",IF(NOT(ISNA(VLOOKUP(E283,E$1:E282,1,FALSE()))),"OLD",IF(AND(E283&lt;&gt;"",E283&lt;&gt;"!!!"),"NEW","")))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7" t="str">
        <f aca="false">IF(OR(E283="",E283="!!!",F283="NEW"),"",INDEX(B36:B$248,-1+SUMPRODUCT(MAX(ROW(E36:E$248)*(E283=E36:E$248)))))</f>
        <v/>
      </c>
      <c r="J283" s="27" t="str">
        <f aca="true">IF(OR(E283="",E283="!!!",F283="NEW"),"",COUNTBLANK(OFFSET(A$1,,,SUMPRODUCT(MAX(ROW(E$2:E283)*(E283=E$2:E283)))))-COUNTBLANK(OFFSET(A$1,,,SUMPRODUCT(MAX(ROW(E$1:E282)*(E2=E$1:E282))))))</f>
        <v/>
      </c>
      <c r="K283" s="27" t="str">
        <f aca="false">IF(OR(E283="",E283="!!!",F283="NEW"),"",INDEX(J$1:J282,SUMPRODUCT(MAX(ROW(E$1:E282)*(E283=E$1:E282)))))</f>
        <v/>
      </c>
      <c r="L283" s="28"/>
    </row>
    <row r="284" customFormat="false" ht="15" hidden="false" customHeight="false" outlineLevel="0" collapsed="false">
      <c r="A284" s="21" t="s">
        <v>178</v>
      </c>
      <c r="E284" s="25"/>
      <c r="F284" s="26" t="str">
        <f aca="false">IF(OR(E284="",E284="!!!"),"",IF(NOT(ISNA(VLOOKUP(E284,E$1:E283,1,FALSE()))),"OLD",IF(AND(E284&lt;&gt;"",E284&lt;&gt;"!!!"),"NEW","")))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7" t="str">
        <f aca="false">IF(OR(E284="",E284="!!!",F284="NEW"),"",INDEX(B37:B$248,-1+SUMPRODUCT(MAX(ROW(E37:E$248)*(E284=E37:E$248)))))</f>
        <v/>
      </c>
      <c r="J284" s="27" t="str">
        <f aca="true">IF(OR(E284="",E284="!!!",F284="NEW"),"",COUNTBLANK(OFFSET(A$1,,,SUMPRODUCT(MAX(ROW(E$2:E284)*(E284=E$2:E284)))))-COUNTBLANK(OFFSET(A$1,,,SUMPRODUCT(MAX(ROW(E$1:E283)*(E2=E$1:E283))))))</f>
        <v/>
      </c>
      <c r="K284" s="27" t="str">
        <f aca="false">IF(OR(E284="",E284="!!!",F284="NEW"),"",INDEX(J$1:J283,SUMPRODUCT(MAX(ROW(E$1:E283)*(E284=E$1:E283)))))</f>
        <v/>
      </c>
      <c r="L284" s="28"/>
    </row>
    <row r="285" customFormat="false" ht="15" hidden="false" customHeight="false" outlineLevel="0" collapsed="false">
      <c r="A285" s="21" t="s">
        <v>207</v>
      </c>
      <c r="E285" s="25"/>
      <c r="F285" s="26" t="str">
        <f aca="false">IF(OR(E285="",E285="!!!"),"",IF(NOT(ISNA(VLOOKUP(E285,E$1:E284,1,FALSE()))),"OLD",IF(AND(E285&lt;&gt;"",E285&lt;&gt;"!!!"),"NEW","")))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7" t="str">
        <f aca="false">IF(OR(E285="",E285="!!!",F285="NEW"),"",INDEX(B38:B$248,-1+SUMPRODUCT(MAX(ROW(E38:E$248)*(E285=E38:E$248)))))</f>
        <v/>
      </c>
      <c r="J285" s="27" t="str">
        <f aca="true">IF(OR(E285="",E285="!!!",F285="NEW"),"",COUNTBLANK(OFFSET(A$1,,,SUMPRODUCT(MAX(ROW(E$2:E285)*(E285=E$2:E285)))))-COUNTBLANK(OFFSET(A$1,,,SUMPRODUCT(MAX(ROW(E$1:E284)*(E2=E$1:E284))))))</f>
        <v/>
      </c>
      <c r="K285" s="27" t="str">
        <f aca="false">IF(OR(E285="",E285="!!!",F285="NEW"),"",INDEX(J$1:J284,SUMPRODUCT(MAX(ROW(E$1:E284)*(E285=E$1:E284)))))</f>
        <v/>
      </c>
      <c r="L285" s="28"/>
    </row>
    <row r="286" customFormat="false" ht="15" hidden="false" customHeight="false" outlineLevel="0" collapsed="false">
      <c r="A286" s="21" t="s">
        <v>375</v>
      </c>
      <c r="B286" s="29" t="s">
        <v>185</v>
      </c>
      <c r="C286" s="29" t="s">
        <v>181</v>
      </c>
      <c r="D286" s="29" t="s">
        <v>159</v>
      </c>
      <c r="E286" s="25" t="s">
        <v>372</v>
      </c>
      <c r="F286" s="30" t="str">
        <f aca="false">IF(OR(E286="",E286="!!!"),"",IF(NOT(ISNA(VLOOKUP(E286,E$1:E285,1,FALSE()))),"OLD",IF(AND(E286&lt;&gt;"",E286&lt;&gt;"!!!"),"NEW","")))</f>
        <v>OLD</v>
      </c>
      <c r="G286" s="22" t="s">
        <v>186</v>
      </c>
      <c r="H286" s="23" t="str">
        <f aca="false">IF(J286&lt;&gt;1,"",IF(I286="SBJ","CB","?"))</f>
        <v/>
      </c>
      <c r="I286" s="31" t="e">
        <f aca="false">IF(OR(E286="",E286="!!!",F286="NEW"),"",INDEX(B39:B$248,-1+SUMPRODUCT(MAX(ROW(E39:E$248)*(E286=E39:E$248)))))</f>
        <v>#VALUE!</v>
      </c>
      <c r="J286" s="27" t="n">
        <f aca="true">IF(OR(E286="",E286="!!!",F286="NEW"),"",COUNTBLANK(OFFSET(A$1,,,SUMPRODUCT(MAX(ROW(E$2:E286)*(E286=E$2:E286)))))-COUNTBLANK(OFFSET(A$1,,,SUMPRODUCT(MAX(ROW(E$1:E285)*(E2=E$1:E285))))))</f>
        <v>0</v>
      </c>
      <c r="K286" s="31" t="str">
        <f aca="false">IF(OR(E286="",E286="!!!",F286="NEW"),"",INDEX(J$1:J285,SUMPRODUCT(MAX(ROW(E$1:E285)*(E286=E$1:E285)))))</f>
        <v/>
      </c>
      <c r="L286" s="28"/>
    </row>
    <row r="287" customFormat="false" ht="15" hidden="false" customHeight="false" outlineLevel="0" collapsed="false">
      <c r="A287" s="21" t="s">
        <v>376</v>
      </c>
      <c r="E287" s="25"/>
      <c r="F287" s="26" t="str">
        <f aca="false">IF(OR(E287="",E287="!!!"),"",IF(NOT(ISNA(VLOOKUP(E287,E$1:E286,1,FALSE()))),"OLD",IF(AND(E287&lt;&gt;"",E287&lt;&gt;"!!!"),"NEW","")))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7" t="str">
        <f aca="false">IF(OR(E287="",E287="!!!",F287="NEW"),"",INDEX(B40:B$248,-1+SUMPRODUCT(MAX(ROW(E40:E$248)*(E287=E40:E$248)))))</f>
        <v/>
      </c>
      <c r="J287" s="27" t="str">
        <f aca="true">IF(OR(E287="",E287="!!!",F287="NEW"),"",COUNTBLANK(OFFSET(A$1,,,SUMPRODUCT(MAX(ROW(E$2:E287)*(E287=E$2:E287)))))-COUNTBLANK(OFFSET(A$1,,,SUMPRODUCT(MAX(ROW(E$1:E286)*(E2=E$1:E286))))))</f>
        <v/>
      </c>
      <c r="K287" s="27" t="str">
        <f aca="false">IF(OR(E287="",E287="!!!",F287="NEW"),"",INDEX(J$1:J286,SUMPRODUCT(MAX(ROW(E$1:E286)*(E287=E$1:E286)))))</f>
        <v/>
      </c>
      <c r="L287" s="28"/>
    </row>
    <row r="288" customFormat="false" ht="15" hidden="false" customHeight="false" outlineLevel="0" collapsed="false">
      <c r="A288" s="21" t="s">
        <v>175</v>
      </c>
      <c r="E288" s="25"/>
      <c r="F288" s="26" t="str">
        <f aca="false">IF(OR(E288="",E288="!!!"),"",IF(NOT(ISNA(VLOOKUP(E288,E$1:E287,1,FALSE()))),"OLD",IF(AND(E288&lt;&gt;"",E288&lt;&gt;"!!!"),"NEW","")))</f>
        <v/>
      </c>
      <c r="G288" s="22" t="str">
        <f aca="false">IF(OR(E288="",E288="!!!"),"",IF(OR(J288=0,AND(J288=1,K288=1),AND(J288=1,I288="SBJ"),AND(J288=1,I288=0)),"?IN_FOCUS",IF(J288&lt;=2,"?ACTIVATED",IF(J288&lt;&gt;"","?FAMILIAR",IF(F288="NEW",IF(ISNA(VLOOKUP(E288,#REF!,1,FALSE())),"?TYPE_IDENTIFIABLE","?REFERENTIAL"),"_")))))</f>
        <v/>
      </c>
      <c r="H288" s="23" t="str">
        <f aca="false">IF(J288&lt;&gt;1,"",IF(I288="SBJ","CB","?"))</f>
        <v/>
      </c>
      <c r="I288" s="27" t="str">
        <f aca="false">IF(OR(E288="",E288="!!!",F288="NEW"),"",INDEX(B41:B$248,-1+SUMPRODUCT(MAX(ROW(E41:E$248)*(E288=E41:E$248)))))</f>
        <v/>
      </c>
      <c r="J288" s="27" t="str">
        <f aca="true">IF(OR(E288="",E288="!!!",F288="NEW"),"",COUNTBLANK(OFFSET(A$1,,,SUMPRODUCT(MAX(ROW(E$2:E288)*(E288=E$2:E288)))))-COUNTBLANK(OFFSET(A$1,,,SUMPRODUCT(MAX(ROW(E$1:E287)*(E2=E$1:E287))))))</f>
        <v/>
      </c>
      <c r="K288" s="27" t="str">
        <f aca="false">IF(OR(E288="",E288="!!!",F288="NEW"),"",INDEX(J$1:J287,SUMPRODUCT(MAX(ROW(E$1:E287)*(E288=E$1:E287)))))</f>
        <v/>
      </c>
      <c r="L288" s="28"/>
    </row>
    <row r="289" customFormat="false" ht="15" hidden="false" customHeight="false" outlineLevel="0" collapsed="false">
      <c r="A289" s="21" t="s">
        <v>377</v>
      </c>
      <c r="B289" s="29" t="s">
        <v>258</v>
      </c>
      <c r="C289" s="29" t="s">
        <v>164</v>
      </c>
      <c r="E289" s="25"/>
      <c r="F289" s="26" t="str">
        <f aca="false">IF(OR(E289="",E289="!!!"),"",IF(NOT(ISNA(VLOOKUP(E289,E$1:E288,1,FALSE()))),"OLD",IF(AND(E289&lt;&gt;"",E289&lt;&gt;"!!!"),"NEW","")))</f>
        <v/>
      </c>
      <c r="G289" s="22" t="str">
        <f aca="false">IF(OR(E289="",E289="!!!"),"",IF(OR(J289=0,AND(J289=1,K289=1),AND(J289=1,I289="SBJ"),AND(J289=1,I289=0)),"?IN_FOCUS",IF(J289&lt;=2,"?ACTIVATED",IF(J289&lt;&gt;"","?FAMILIAR",IF(F289="NEW",IF(ISNA(VLOOKUP(E289,#REF!,1,FALSE())),"?TYPE_IDENTIFIABLE","?REFERENTIAL"),"_")))))</f>
        <v/>
      </c>
      <c r="H289" s="23" t="str">
        <f aca="false">IF(J289&lt;&gt;1,"",IF(I289="SBJ","CB","?"))</f>
        <v/>
      </c>
      <c r="I289" s="27" t="str">
        <f aca="false">IF(OR(E289="",E289="!!!",F289="NEW"),"",INDEX(B42:B$248,-1+SUMPRODUCT(MAX(ROW(E42:E$248)*(E289=E42:E$248)))))</f>
        <v/>
      </c>
      <c r="J289" s="27" t="str">
        <f aca="true">IF(OR(E289="",E289="!!!",F289="NEW"),"",COUNTBLANK(OFFSET(A$1,,,SUMPRODUCT(MAX(ROW(E$2:E289)*(E289=E$2:E289)))))-COUNTBLANK(OFFSET(A$1,,,SUMPRODUCT(MAX(ROW(E$1:E288)*(E2=E$1:E288))))))</f>
        <v/>
      </c>
      <c r="K289" s="27" t="str">
        <f aca="false">IF(OR(E289="",E289="!!!",F289="NEW"),"",INDEX(J$1:J288,SUMPRODUCT(MAX(ROW(E$1:E288)*(E289=E$1:E288)))))</f>
        <v/>
      </c>
      <c r="L289" s="28"/>
    </row>
    <row r="290" customFormat="false" ht="15" hidden="false" customHeight="false" outlineLevel="0" collapsed="false">
      <c r="A290" s="21" t="s">
        <v>378</v>
      </c>
      <c r="E290" s="25"/>
      <c r="F290" s="26" t="str">
        <f aca="false">IF(OR(E290="",E290="!!!"),"",IF(NOT(ISNA(VLOOKUP(E290,E$1:E289,1,FALSE()))),"OLD",IF(AND(E290&lt;&gt;"",E290&lt;&gt;"!!!"),"NEW","")))</f>
        <v/>
      </c>
      <c r="G290" s="22" t="str">
        <f aca="false">IF(OR(E290="",E290="!!!"),"",IF(OR(J290=0,AND(J290=1,K290=1),AND(J290=1,I290="SBJ"),AND(J290=1,I290=0)),"?IN_FOCUS",IF(J290&lt;=2,"?ACTIVATED",IF(J290&lt;&gt;"","?FAMILIAR",IF(F290="NEW",IF(ISNA(VLOOKUP(E290,#REF!,1,FALSE())),"?TYPE_IDENTIFIABLE","?REFERENTIAL"),"_")))))</f>
        <v/>
      </c>
      <c r="H290" s="23" t="str">
        <f aca="false">IF(J290&lt;&gt;1,"",IF(I290="SBJ","CB","?"))</f>
        <v/>
      </c>
      <c r="I290" s="27" t="str">
        <f aca="false">IF(OR(E290="",E290="!!!",F290="NEW"),"",INDEX(B43:B$248,-1+SUMPRODUCT(MAX(ROW(E43:E$248)*(E290=E43:E$248)))))</f>
        <v/>
      </c>
      <c r="J290" s="27" t="str">
        <f aca="true">IF(OR(E290="",E290="!!!",F290="NEW"),"",COUNTBLANK(OFFSET(A$1,,,SUMPRODUCT(MAX(ROW(E$2:E290)*(E290=E$2:E290)))))-COUNTBLANK(OFFSET(A$1,,,SUMPRODUCT(MAX(ROW(E$1:E289)*(E2=E$1:E289))))))</f>
        <v/>
      </c>
      <c r="K290" s="27" t="str">
        <f aca="false">IF(OR(E290="",E290="!!!",F290="NEW"),"",INDEX(J$1:J289,SUMPRODUCT(MAX(ROW(E$1:E289)*(E290=E$1:E289)))))</f>
        <v/>
      </c>
      <c r="L290" s="28"/>
    </row>
    <row r="291" customFormat="false" ht="15" hidden="false" customHeight="false" outlineLevel="0" collapsed="false">
      <c r="A291" s="21" t="s">
        <v>250</v>
      </c>
      <c r="E291" s="25"/>
      <c r="F291" s="26" t="str">
        <f aca="false">IF(OR(E291="",E291="!!!"),"",IF(NOT(ISNA(VLOOKUP(E291,E$1:E290,1,FALSE()))),"OLD",IF(AND(E291&lt;&gt;"",E291&lt;&gt;"!!!"),"NEW","")))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7" t="str">
        <f aca="false">IF(OR(E291="",E291="!!!",F291="NEW"),"",INDEX(B44:B$248,-1+SUMPRODUCT(MAX(ROW(E44:E$248)*(E291=E44:E$248)))))</f>
        <v/>
      </c>
      <c r="J291" s="27" t="str">
        <f aca="true">IF(OR(E291="",E291="!!!",F291="NEW"),"",COUNTBLANK(OFFSET(A$1,,,SUMPRODUCT(MAX(ROW(E$2:E291)*(E291=E$2:E291)))))-COUNTBLANK(OFFSET(A$1,,,SUMPRODUCT(MAX(ROW(E$1:E290)*(E2=E$1:E290))))))</f>
        <v/>
      </c>
      <c r="K291" s="27" t="str">
        <f aca="false">IF(OR(E291="",E291="!!!",F291="NEW"),"",INDEX(J$1:J290,SUMPRODUCT(MAX(ROW(E$1:E290)*(E291=E$1:E290)))))</f>
        <v/>
      </c>
      <c r="L291" s="28"/>
    </row>
    <row r="292" customFormat="false" ht="15" hidden="false" customHeight="false" outlineLevel="0" collapsed="false">
      <c r="A292" s="21" t="s">
        <v>169</v>
      </c>
      <c r="E292" s="25"/>
      <c r="F292" s="26" t="str">
        <f aca="false">IF(OR(E292="",E292="!!!"),"",IF(NOT(ISNA(VLOOKUP(E292,E$1:E291,1,FALSE()))),"OLD",IF(AND(E292&lt;&gt;"",E292&lt;&gt;"!!!"),"NEW","")))</f>
        <v/>
      </c>
      <c r="G292" s="22" t="str">
        <f aca="false">IF(OR(E292="",E292="!!!"),"",IF(OR(J292=0,AND(J292=1,K292=1),AND(J292=1,I292="SBJ"),AND(J292=1,I292=0)),"?IN_FOCUS",IF(J292&lt;=2,"?ACTIVATED",IF(J292&lt;&gt;"","?FAMILIAR",IF(F292="NEW",IF(ISNA(VLOOKUP(E292,#REF!,1,FALSE())),"?TYPE_IDENTIFIABLE","?REFERENTIAL"),"_")))))</f>
        <v/>
      </c>
      <c r="H292" s="23" t="str">
        <f aca="false">IF(J292&lt;&gt;1,"",IF(I292="SBJ","CB","?"))</f>
        <v/>
      </c>
      <c r="I292" s="27" t="str">
        <f aca="false">IF(OR(E292="",E292="!!!",F292="NEW"),"",INDEX(B45:B$248,-1+SUMPRODUCT(MAX(ROW(E45:E$248)*(E292=E45:E$248)))))</f>
        <v/>
      </c>
      <c r="J292" s="27" t="str">
        <f aca="true">IF(OR(E292="",E292="!!!",F292="NEW"),"",COUNTBLANK(OFFSET(A$1,,,SUMPRODUCT(MAX(ROW(E$2:E292)*(E292=E$2:E292)))))-COUNTBLANK(OFFSET(A$1,,,SUMPRODUCT(MAX(ROW(E$1:E291)*(E2=E$1:E291))))))</f>
        <v/>
      </c>
      <c r="K292" s="27" t="str">
        <f aca="false">IF(OR(E292="",E292="!!!",F292="NEW"),"",INDEX(J$1:J291,SUMPRODUCT(MAX(ROW(E$1:E291)*(E292=E$1:E291)))))</f>
        <v/>
      </c>
      <c r="L292" s="28"/>
    </row>
    <row r="293" customFormat="false" ht="15" hidden="false" customHeight="false" outlineLevel="0" collapsed="false">
      <c r="A293" s="21" t="s">
        <v>379</v>
      </c>
      <c r="B293" s="29" t="s">
        <v>216</v>
      </c>
      <c r="C293" s="29" t="s">
        <v>171</v>
      </c>
      <c r="D293" s="29" t="s">
        <v>159</v>
      </c>
      <c r="E293" s="25" t="s">
        <v>380</v>
      </c>
      <c r="F293" s="30" t="str">
        <f aca="false">IF(OR(E293="",E293="!!!"),"",IF(NOT(ISNA(VLOOKUP(E293,E$1:E292,1,FALSE()))),"OLD",IF(AND(E293&lt;&gt;"",E293&lt;&gt;"!!!"),"NEW","")))</f>
        <v>NEW</v>
      </c>
      <c r="G293" s="22" t="s">
        <v>160</v>
      </c>
      <c r="H293" s="23" t="str">
        <f aca="false">IF(J293&lt;&gt;1,"",IF(I293="SBJ","CB","?"))</f>
        <v/>
      </c>
      <c r="I293" s="31" t="str">
        <f aca="false">IF(OR(E293="",E293="!!!",F293="NEW"),"",INDEX(B46:B$248,-1+SUMPRODUCT(MAX(ROW(E46:E$248)*(E293=E46:E$248)))))</f>
        <v/>
      </c>
      <c r="J293" s="31" t="str">
        <f aca="true">IF(OR(E293="",E293="!!!",F293="NEW"),"",COUNTBLANK(OFFSET(A$1,,,SUMPRODUCT(MAX(ROW(E$2:E293)*(E293=E$2:E293)))))-COUNTBLANK(OFFSET(A$1,,,SUMPRODUCT(MAX(ROW(E$1:E292)*(E2=E$1:E292))))))</f>
        <v/>
      </c>
      <c r="K293" s="31" t="str">
        <f aca="false">IF(OR(E293="",E293="!!!",F293="NEW"),"",INDEX(J$1:J292,SUMPRODUCT(MAX(ROW(E$1:E292)*(E293=E$1:E292)))))</f>
        <v/>
      </c>
      <c r="L293" s="28"/>
    </row>
    <row r="294" customFormat="false" ht="15" hidden="false" customHeight="false" outlineLevel="0" collapsed="false">
      <c r="A294" s="21" t="s">
        <v>178</v>
      </c>
      <c r="E294" s="25"/>
      <c r="F294" s="26" t="str">
        <f aca="false">IF(OR(E294="",E294="!!!"),"",IF(NOT(ISNA(VLOOKUP(E294,E$1:E293,1,FALSE()))),"OLD",IF(AND(E294&lt;&gt;"",E294&lt;&gt;"!!!"),"NEW","")))</f>
        <v/>
      </c>
      <c r="G294" s="22" t="str">
        <f aca="false">IF(OR(E294="",E294="!!!"),"",IF(OR(J294=0,AND(J294=1,K294=1),AND(J294=1,I294="SBJ"),AND(J294=1,I294=0)),"?IN_FOCUS",IF(J294&lt;=2,"?ACTIVATED",IF(J294&lt;&gt;"","?FAMILIAR",IF(F294="NEW",IF(ISNA(VLOOKUP(E294,#REF!,1,FALSE())),"?TYPE_IDENTIFIABLE","?REFERENTIAL"),"_")))))</f>
        <v/>
      </c>
      <c r="H294" s="23" t="str">
        <f aca="false">IF(J294&lt;&gt;1,"",IF(I294="SBJ","CB","?"))</f>
        <v/>
      </c>
      <c r="I294" s="27" t="str">
        <f aca="false">IF(OR(E294="",E294="!!!",F294="NEW"),"",INDEX(B47:B$248,-1+SUMPRODUCT(MAX(ROW(E47:E$248)*(E294=E47:E$248)))))</f>
        <v/>
      </c>
      <c r="J294" s="27" t="str">
        <f aca="true">IF(OR(E294="",E294="!!!",F294="NEW"),"",COUNTBLANK(OFFSET(A$1,,,SUMPRODUCT(MAX(ROW(E$2:E294)*(E294=E$2:E294)))))-COUNTBLANK(OFFSET(A$1,,,SUMPRODUCT(MAX(ROW(E$1:E293)*(E2=E$1:E293))))))</f>
        <v/>
      </c>
      <c r="K294" s="27" t="str">
        <f aca="false">IF(OR(E294="",E294="!!!",F294="NEW"),"",INDEX(J$1:J293,SUMPRODUCT(MAX(ROW(E$1:E293)*(E294=E$1:E293)))))</f>
        <v/>
      </c>
      <c r="L294" s="28"/>
    </row>
    <row r="295" customFormat="false" ht="15" hidden="false" customHeight="false" outlineLevel="0" collapsed="false">
      <c r="A295" s="21" t="s">
        <v>381</v>
      </c>
      <c r="E295" s="25"/>
      <c r="F295" s="26" t="str">
        <f aca="false">IF(OR(E295="",E295="!!!"),"",IF(NOT(ISNA(VLOOKUP(E295,E$1:E294,1,FALSE()))),"OLD",IF(AND(E295&lt;&gt;"",E295&lt;&gt;"!!!"),"NEW","")))</f>
        <v/>
      </c>
      <c r="G295" s="22" t="str">
        <f aca="false">IF(OR(E295="",E295="!!!"),"",IF(OR(J295=0,AND(J295=1,K295=1),AND(J295=1,I295="SBJ"),AND(J295=1,I295=0)),"?IN_FOCUS",IF(J295&lt;=2,"?ACTIVATED",IF(J295&lt;&gt;"","?FAMILIAR",IF(F295="NEW",IF(ISNA(VLOOKUP(E295,#REF!,1,FALSE())),"?TYPE_IDENTIFIABLE","?REFERENTIAL"),"_")))))</f>
        <v/>
      </c>
      <c r="H295" s="23" t="str">
        <f aca="false">IF(J295&lt;&gt;1,"",IF(I295="SBJ","CB","?"))</f>
        <v/>
      </c>
      <c r="I295" s="27" t="str">
        <f aca="false">IF(OR(E295="",E295="!!!",F295="NEW"),"",INDEX(B48:B$248,-1+SUMPRODUCT(MAX(ROW(E48:E$248)*(E295=E48:E$248)))))</f>
        <v/>
      </c>
      <c r="J295" s="27" t="str">
        <f aca="true">IF(OR(E295="",E295="!!!",F295="NEW"),"",COUNTBLANK(OFFSET(A$1,,,SUMPRODUCT(MAX(ROW(E$2:E295)*(E295=E$2:E295)))))-COUNTBLANK(OFFSET(A$1,,,SUMPRODUCT(MAX(ROW(E$1:E294)*(E2=E$1:E294))))))</f>
        <v/>
      </c>
      <c r="K295" s="27" t="str">
        <f aca="false">IF(OR(E295="",E295="!!!",F295="NEW"),"",INDEX(J$1:J294,SUMPRODUCT(MAX(ROW(E$1:E294)*(E295=E$1:E294)))))</f>
        <v/>
      </c>
      <c r="L295" s="28"/>
    </row>
    <row r="296" customFormat="false" ht="15" hidden="false" customHeight="false" outlineLevel="0" collapsed="false">
      <c r="A296" s="21" t="s">
        <v>382</v>
      </c>
      <c r="E296" s="25"/>
      <c r="F296" s="26" t="str">
        <f aca="false">IF(OR(E296="",E296="!!!"),"",IF(NOT(ISNA(VLOOKUP(E296,E$1:E295,1,FALSE()))),"OLD",IF(AND(E296&lt;&gt;"",E296&lt;&gt;"!!!"),"NEW","")))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7" t="str">
        <f aca="false">IF(OR(E296="",E296="!!!",F296="NEW"),"",INDEX(B49:B$248,-1+SUMPRODUCT(MAX(ROW(E49:E$248)*(E296=E49:E$248)))))</f>
        <v/>
      </c>
      <c r="J296" s="27" t="str">
        <f aca="true">IF(OR(E296="",E296="!!!",F296="NEW"),"",COUNTBLANK(OFFSET(A$1,,,SUMPRODUCT(MAX(ROW(E$2:E296)*(E296=E$2:E296)))))-COUNTBLANK(OFFSET(A$1,,,SUMPRODUCT(MAX(ROW(E$1:E295)*(E2=E$1:E295))))))</f>
        <v/>
      </c>
      <c r="K296" s="27" t="str">
        <f aca="false">IF(OR(E296="",E296="!!!",F296="NEW"),"",INDEX(J$1:J295,SUMPRODUCT(MAX(ROW(E$1:E295)*(E296=E$1:E295)))))</f>
        <v/>
      </c>
      <c r="L296" s="28"/>
    </row>
    <row r="297" customFormat="false" ht="15" hidden="false" customHeight="false" outlineLevel="0" collapsed="false">
      <c r="A297" s="21" t="s">
        <v>207</v>
      </c>
      <c r="E297" s="25"/>
      <c r="F297" s="26" t="str">
        <f aca="false">IF(OR(E297="",E297="!!!"),"",IF(NOT(ISNA(VLOOKUP(E297,E$1:E296,1,FALSE()))),"OLD",IF(AND(E297&lt;&gt;"",E297&lt;&gt;"!!!"),"NEW","")))</f>
        <v/>
      </c>
      <c r="G297" s="22" t="str">
        <f aca="false">IF(OR(E297="",E297="!!!"),"",IF(OR(J297=0,AND(J297=1,K297=1),AND(J297=1,I297="SBJ"),AND(J297=1,I297=0)),"?IN_FOCUS",IF(J297&lt;=2,"?ACTIVATED",IF(J297&lt;&gt;"","?FAMILIAR",IF(F297="NEW",IF(ISNA(VLOOKUP(E297,#REF!,1,FALSE())),"?TYPE_IDENTIFIABLE","?REFERENTIAL"),"_")))))</f>
        <v/>
      </c>
      <c r="H297" s="23" t="str">
        <f aca="false">IF(J297&lt;&gt;1,"",IF(I297="SBJ","CB","?"))</f>
        <v/>
      </c>
      <c r="I297" s="27" t="str">
        <f aca="false">IF(OR(E297="",E297="!!!",F297="NEW"),"",INDEX(B50:B$248,-1+SUMPRODUCT(MAX(ROW(E50:E$248)*(E297=E50:E$248)))))</f>
        <v/>
      </c>
      <c r="J297" s="27" t="str">
        <f aca="true">IF(OR(E297="",E297="!!!",F297="NEW"),"",COUNTBLANK(OFFSET(A$1,,,SUMPRODUCT(MAX(ROW(E$2:E297)*(E297=E$2:E297)))))-COUNTBLANK(OFFSET(A$1,,,SUMPRODUCT(MAX(ROW(E$1:E296)*(E2=E$1:E296))))))</f>
        <v/>
      </c>
      <c r="K297" s="27" t="str">
        <f aca="false">IF(OR(E297="",E297="!!!",F297="NEW"),"",INDEX(J$1:J296,SUMPRODUCT(MAX(ROW(E$1:E296)*(E297=E$1:E296)))))</f>
        <v/>
      </c>
      <c r="L297" s="28"/>
    </row>
    <row r="298" customFormat="false" ht="15" hidden="false" customHeight="false" outlineLevel="0" collapsed="false">
      <c r="A298" s="21" t="s">
        <v>383</v>
      </c>
      <c r="E298" s="25"/>
      <c r="F298" s="26" t="str">
        <f aca="false">IF(OR(E298="",E298="!!!"),"",IF(NOT(ISNA(VLOOKUP(E298,E$1:E297,1,FALSE()))),"OLD",IF(AND(E298&lt;&gt;"",E298&lt;&gt;"!!!"),"NEW","")))</f>
        <v/>
      </c>
      <c r="G298" s="22" t="str">
        <f aca="false">IF(OR(E298="",E298="!!!"),"",IF(OR(J298=0,AND(J298=1,K298=1),AND(J298=1,I298="SBJ"),AND(J298=1,I298=0)),"?IN_FOCUS",IF(J298&lt;=2,"?ACTIVATED",IF(J298&lt;&gt;"","?FAMILIAR",IF(F298="NEW",IF(ISNA(VLOOKUP(E298,#REF!,1,FALSE())),"?TYPE_IDENTIFIABLE","?REFERENTIAL"),"_")))))</f>
        <v/>
      </c>
      <c r="H298" s="23" t="str">
        <f aca="false">IF(J298&lt;&gt;1,"",IF(I298="SBJ","CB","?"))</f>
        <v/>
      </c>
      <c r="I298" s="27" t="str">
        <f aca="false">IF(OR(E298="",E298="!!!",F298="NEW"),"",INDEX(B51:B$248,-1+SUMPRODUCT(MAX(ROW(E51:E$248)*(E298=E51:E$248)))))</f>
        <v/>
      </c>
      <c r="J298" s="27" t="str">
        <f aca="true">IF(OR(E298="",E298="!!!",F298="NEW"),"",COUNTBLANK(OFFSET(A$1,,,SUMPRODUCT(MAX(ROW(E$2:E298)*(E298=E$2:E298)))))-COUNTBLANK(OFFSET(A$1,,,SUMPRODUCT(MAX(ROW(E$1:E297)*(E2=E$1:E297))))))</f>
        <v/>
      </c>
      <c r="K298" s="27" t="str">
        <f aca="false">IF(OR(E298="",E298="!!!",F298="NEW"),"",INDEX(J$1:J297,SUMPRODUCT(MAX(ROW(E$1:E297)*(E298=E$1:E297)))))</f>
        <v/>
      </c>
      <c r="L298" s="28"/>
    </row>
    <row r="299" customFormat="false" ht="15" hidden="false" customHeight="false" outlineLevel="0" collapsed="false">
      <c r="A299" s="21" t="s">
        <v>384</v>
      </c>
      <c r="E299" s="25"/>
      <c r="F299" s="26" t="str">
        <f aca="false">IF(OR(E299="",E299="!!!"),"",IF(NOT(ISNA(VLOOKUP(E299,E$1:E298,1,FALSE()))),"OLD",IF(AND(E299&lt;&gt;"",E299&lt;&gt;"!!!"),"NEW","")))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7" t="str">
        <f aca="false">IF(OR(E299="",E299="!!!",F299="NEW"),"",INDEX(B52:B$248,-1+SUMPRODUCT(MAX(ROW(E52:E$248)*(E299=E52:E$248)))))</f>
        <v/>
      </c>
      <c r="J299" s="27" t="str">
        <f aca="true">IF(OR(E299="",E299="!!!",F299="NEW"),"",COUNTBLANK(OFFSET(A$1,,,SUMPRODUCT(MAX(ROW(E$2:E299)*(E299=E$2:E299)))))-COUNTBLANK(OFFSET(A$1,,,SUMPRODUCT(MAX(ROW(E$1:E298)*(E2=E$1:E298))))))</f>
        <v/>
      </c>
      <c r="K299" s="27" t="str">
        <f aca="false">IF(OR(E299="",E299="!!!",F299="NEW"),"",INDEX(J$1:J298,SUMPRODUCT(MAX(ROW(E$1:E298)*(E299=E$1:E298)))))</f>
        <v/>
      </c>
      <c r="L299" s="28"/>
    </row>
    <row r="300" customFormat="false" ht="15" hidden="false" customHeight="false" outlineLevel="0" collapsed="false">
      <c r="A300" s="21" t="s">
        <v>178</v>
      </c>
      <c r="E300" s="25"/>
      <c r="F300" s="26" t="str">
        <f aca="false">IF(OR(E300="",E300="!!!"),"",IF(NOT(ISNA(VLOOKUP(E300,E$1:E299,1,FALSE()))),"OLD",IF(AND(E300&lt;&gt;"",E300&lt;&gt;"!!!"),"NEW","")))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7" t="str">
        <f aca="false">IF(OR(E300="",E300="!!!",F300="NEW"),"",INDEX(B53:B$248,-1+SUMPRODUCT(MAX(ROW(E53:E$248)*(E300=E53:E$248)))))</f>
        <v/>
      </c>
      <c r="J300" s="27" t="str">
        <f aca="true">IF(OR(E300="",E300="!!!",F300="NEW"),"",COUNTBLANK(OFFSET(A$1,,,SUMPRODUCT(MAX(ROW(E$2:E300)*(E300=E$2:E300)))))-COUNTBLANK(OFFSET(A$1,,,SUMPRODUCT(MAX(ROW(E$1:E299)*(E2=E$1:E299))))))</f>
        <v/>
      </c>
      <c r="K300" s="27" t="str">
        <f aca="false">IF(OR(E300="",E300="!!!",F300="NEW"),"",INDEX(J$1:J299,SUMPRODUCT(MAX(ROW(E$1:E299)*(E300=E$1:E299)))))</f>
        <v/>
      </c>
      <c r="L300" s="28"/>
    </row>
    <row r="301" customFormat="false" ht="15" hidden="false" customHeight="false" outlineLevel="0" collapsed="false">
      <c r="A301" s="21" t="s">
        <v>385</v>
      </c>
      <c r="E301" s="25"/>
      <c r="F301" s="26" t="str">
        <f aca="false">IF(OR(E301="",E301="!!!"),"",IF(NOT(ISNA(VLOOKUP(E301,E$1:E300,1,FALSE()))),"OLD",IF(AND(E301&lt;&gt;"",E301&lt;&gt;"!!!"),"NEW","")))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7" t="str">
        <f aca="false">IF(OR(E301="",E301="!!!",F301="NEW"),"",INDEX(B54:B$248,-1+SUMPRODUCT(MAX(ROW(E54:E$248)*(E301=E54:E$248)))))</f>
        <v/>
      </c>
      <c r="J301" s="27" t="str">
        <f aca="true">IF(OR(E301="",E301="!!!",F301="NEW"),"",COUNTBLANK(OFFSET(A$1,,,SUMPRODUCT(MAX(ROW(E$2:E301)*(E301=E$2:E301)))))-COUNTBLANK(OFFSET(A$1,,,SUMPRODUCT(MAX(ROW(E$1:E300)*(E2=E$1:E300))))))</f>
        <v/>
      </c>
      <c r="K301" s="27" t="str">
        <f aca="false">IF(OR(E301="",E301="!!!",F301="NEW"),"",INDEX(J$1:J300,SUMPRODUCT(MAX(ROW(E$1:E300)*(E301=E$1:E300)))))</f>
        <v/>
      </c>
      <c r="L301" s="28"/>
    </row>
    <row r="302" customFormat="false" ht="15" hidden="false" customHeight="false" outlineLevel="0" collapsed="false">
      <c r="A302" s="21" t="s">
        <v>386</v>
      </c>
      <c r="B302" s="29" t="s">
        <v>258</v>
      </c>
      <c r="C302" s="29" t="s">
        <v>243</v>
      </c>
      <c r="D302" s="29" t="s">
        <v>159</v>
      </c>
      <c r="E302" s="25" t="s">
        <v>387</v>
      </c>
      <c r="F302" s="30" t="str">
        <f aca="false">IF(OR(E302="",E302="!!!"),"",IF(NOT(ISNA(VLOOKUP(E302,E$1:E301,1,FALSE()))),"OLD",IF(AND(E302&lt;&gt;"",E302&lt;&gt;"!!!"),"NEW","")))</f>
        <v>NEW</v>
      </c>
      <c r="G302" s="22" t="s">
        <v>160</v>
      </c>
      <c r="H302" s="23" t="str">
        <f aca="false">IF(J302&lt;&gt;1,"",IF(I302="SBJ","CB","?"))</f>
        <v/>
      </c>
      <c r="I302" s="31" t="str">
        <f aca="false">IF(OR(E302="",E302="!!!",F302="NEW"),"",INDEX(B55:B$248,-1+SUMPRODUCT(MAX(ROW(E55:E$248)*(E302=E55:E$248)))))</f>
        <v/>
      </c>
      <c r="J302" s="31" t="str">
        <f aca="true">IF(OR(E302="",E302="!!!",F302="NEW"),"",COUNTBLANK(OFFSET(A$1,,,SUMPRODUCT(MAX(ROW(E$2:E302)*(E302=E$2:E302)))))-COUNTBLANK(OFFSET(A$1,,,SUMPRODUCT(MAX(ROW(E$1:E301)*(E2=E$1:E301))))))</f>
        <v/>
      </c>
      <c r="K302" s="31" t="str">
        <f aca="false">IF(OR(E302="",E302="!!!",F302="NEW"),"",INDEX(J$1:J301,SUMPRODUCT(MAX(ROW(E$1:E301)*(E302=E$1:E301)))))</f>
        <v/>
      </c>
      <c r="L302" s="28"/>
    </row>
    <row r="303" customFormat="false" ht="15" hidden="false" customHeight="false" outlineLevel="0" collapsed="false">
      <c r="A303" s="21" t="s">
        <v>165</v>
      </c>
      <c r="E303" s="25"/>
      <c r="F303" s="26" t="str">
        <f aca="false">IF(OR(E303="",E303="!!!"),"",IF(NOT(ISNA(VLOOKUP(E303,E$1:E302,1,FALSE()))),"OLD",IF(AND(E303&lt;&gt;"",E303&lt;&gt;"!!!"),"NEW","")))</f>
        <v/>
      </c>
      <c r="G303" s="22" t="str">
        <f aca="false">IF(OR(E303="",E303="!!!"),"",IF(OR(J303=0,AND(J303=1,K303=1),AND(J303=1,I303="SBJ"),AND(J303=1,I303=0)),"?IN_FOCUS",IF(J303&lt;=2,"?ACTIVATED",IF(J303&lt;&gt;"","?FAMILIAR",IF(F303="NEW",IF(ISNA(VLOOKUP(E303,#REF!,1,FALSE())),"?TYPE_IDENTIFIABLE","?REFERENTIAL"),"_")))))</f>
        <v/>
      </c>
      <c r="H303" s="23" t="str">
        <f aca="false">IF(J303&lt;&gt;1,"",IF(I303="SBJ","CB","?"))</f>
        <v/>
      </c>
      <c r="I303" s="27" t="str">
        <f aca="false">IF(OR(E303="",E303="!!!",F303="NEW"),"",INDEX(B56:B$248,-1+SUMPRODUCT(MAX(ROW(E56:E$248)*(E303=E56:E$248)))))</f>
        <v/>
      </c>
      <c r="J303" s="27" t="str">
        <f aca="true">IF(OR(E303="",E303="!!!",F303="NEW"),"",COUNTBLANK(OFFSET(A$1,,,SUMPRODUCT(MAX(ROW(E$2:E303)*(E303=E$2:E303)))))-COUNTBLANK(OFFSET(A$1,,,SUMPRODUCT(MAX(ROW(E$1:E302)*(E2=E$1:E302))))))</f>
        <v/>
      </c>
      <c r="K303" s="27" t="str">
        <f aca="false">IF(OR(E303="",E303="!!!",F303="NEW"),"",INDEX(J$1:J302,SUMPRODUCT(MAX(ROW(E$1:E302)*(E303=E$1:E302)))))</f>
        <v/>
      </c>
      <c r="L303" s="28"/>
    </row>
    <row r="304" customFormat="false" ht="15" hidden="false" customHeight="false" outlineLevel="0" collapsed="false">
      <c r="A304" s="21" t="s">
        <v>388</v>
      </c>
      <c r="B304" s="29" t="s">
        <v>210</v>
      </c>
      <c r="C304" s="29" t="s">
        <v>158</v>
      </c>
      <c r="D304" s="29" t="s">
        <v>159</v>
      </c>
      <c r="E304" s="25" t="s">
        <v>313</v>
      </c>
      <c r="F304" s="30" t="str">
        <f aca="false">IF(OR(E304="",E304="!!!"),"",IF(NOT(ISNA(VLOOKUP(E304,E$1:E303,1,FALSE()))),"OLD",IF(AND(E304&lt;&gt;"",E304&lt;&gt;"!!!"),"NEW","")))</f>
        <v>OLD</v>
      </c>
      <c r="G304" s="22" t="s">
        <v>265</v>
      </c>
      <c r="H304" s="23" t="str">
        <f aca="false">IF(J304&lt;&gt;1,"",IF(I304="SBJ","CB","?"))</f>
        <v/>
      </c>
      <c r="I304" s="31" t="e">
        <f aca="false">IF(OR(E304="",E304="!!!",F304="NEW"),"",INDEX(B57:B$248,-1+SUMPRODUCT(MAX(ROW(E57:E$248)*(E304=E57:E$248)))))</f>
        <v>#REF!</v>
      </c>
      <c r="J304" s="27" t="n">
        <f aca="true">IF(OR(E304="",E304="!!!",F304="NEW"),"",COUNTBLANK(OFFSET(A$1,,,SUMPRODUCT(MAX(ROW(E$2:E304)*(E304=E$2:E304)))))-COUNTBLANK(OFFSET(A$1,,,SUMPRODUCT(MAX(ROW(E$1:E303)*(E2=E$1:E303))))))</f>
        <v>0</v>
      </c>
      <c r="K304" s="31" t="str">
        <f aca="false">IF(OR(E304="",E304="!!!",F304="NEW"),"",INDEX(J$1:J303,SUMPRODUCT(MAX(ROW(E$1:E303)*(E304=E$1:E303)))))</f>
        <v/>
      </c>
      <c r="L304" s="28"/>
    </row>
    <row r="305" customFormat="false" ht="15" hidden="false" customHeight="false" outlineLevel="0" collapsed="false">
      <c r="A305" s="21" t="s">
        <v>225</v>
      </c>
      <c r="E305" s="25"/>
      <c r="F305" s="26" t="str">
        <f aca="false">IF(OR(E305="",E305="!!!"),"",IF(NOT(ISNA(VLOOKUP(E305,E$1:E304,1,FALSE()))),"OLD",IF(AND(E305&lt;&gt;"",E305&lt;&gt;"!!!"),"NEW","")))</f>
        <v/>
      </c>
      <c r="G305" s="22" t="str">
        <f aca="false">IF(OR(E305="",E305="!!!"),"",IF(OR(J305=0,AND(J305=1,K305=1),AND(J305=1,I305="SBJ"),AND(J305=1,I305=0)),"?IN_FOCUS",IF(J305&lt;=2,"?ACTIVATED",IF(J305&lt;&gt;"","?FAMILIAR",IF(F305="NEW",IF(ISNA(VLOOKUP(E305,#REF!,1,FALSE())),"?TYPE_IDENTIFIABLE","?REFERENTIAL"),"_")))))</f>
        <v/>
      </c>
      <c r="H305" s="23" t="str">
        <f aca="false">IF(J305&lt;&gt;1,"",IF(I305="SBJ","CB","?"))</f>
        <v/>
      </c>
      <c r="I305" s="27" t="str">
        <f aca="false">IF(OR(E305="",E305="!!!",F305="NEW"),"",INDEX(B58:B$248,-1+SUMPRODUCT(MAX(ROW(E58:E$248)*(E305=E58:E$248)))))</f>
        <v/>
      </c>
      <c r="J305" s="27" t="str">
        <f aca="true">IF(OR(E305="",E305="!!!",F305="NEW"),"",COUNTBLANK(OFFSET(A$1,,,SUMPRODUCT(MAX(ROW(E$2:E305)*(E305=E$2:E305)))))-COUNTBLANK(OFFSET(A$1,,,SUMPRODUCT(MAX(ROW(E$1:E304)*(E2=E$1:E304))))))</f>
        <v/>
      </c>
      <c r="K305" s="27" t="str">
        <f aca="false">IF(OR(E305="",E305="!!!",F305="NEW"),"",INDEX(J$1:J304,SUMPRODUCT(MAX(ROW(E$1:E304)*(E305=E$1:E304)))))</f>
        <v/>
      </c>
      <c r="L305" s="28"/>
    </row>
    <row r="306" customFormat="false" ht="15" hidden="false" customHeight="false" outlineLevel="0" collapsed="false">
      <c r="A306" s="21" t="s">
        <v>298</v>
      </c>
      <c r="E306" s="25"/>
      <c r="F306" s="26" t="str">
        <f aca="false">IF(OR(E306="",E306="!!!"),"",IF(NOT(ISNA(VLOOKUP(E306,E$1:E305,1,FALSE()))),"OLD",IF(AND(E306&lt;&gt;"",E306&lt;&gt;"!!!"),"NEW","")))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7" t="str">
        <f aca="false">IF(OR(E306="",E306="!!!",F306="NEW"),"",INDEX(B59:B$248,-1+SUMPRODUCT(MAX(ROW(E59:E$248)*(E306=E59:E$248)))))</f>
        <v/>
      </c>
      <c r="J306" s="27" t="str">
        <f aca="true">IF(OR(E306="",E306="!!!",F306="NEW"),"",COUNTBLANK(OFFSET(A$1,,,SUMPRODUCT(MAX(ROW(E$2:E306)*(E306=E$2:E306)))))-COUNTBLANK(OFFSET(A$1,,,SUMPRODUCT(MAX(ROW(E$1:E305)*(E2=E$1:E305))))))</f>
        <v/>
      </c>
      <c r="K306" s="27" t="str">
        <f aca="false">IF(OR(E306="",E306="!!!",F306="NEW"),"",INDEX(J$1:J305,SUMPRODUCT(MAX(ROW(E$1:E305)*(E306=E$1:E305)))))</f>
        <v/>
      </c>
      <c r="L306" s="28"/>
    </row>
    <row r="307" customFormat="false" ht="15" hidden="false" customHeight="false" outlineLevel="0" collapsed="false">
      <c r="A307" s="21" t="s">
        <v>188</v>
      </c>
      <c r="B307" s="29" t="s">
        <v>271</v>
      </c>
      <c r="C307" s="29" t="s">
        <v>154</v>
      </c>
      <c r="E307" s="25"/>
      <c r="F307" s="26" t="str">
        <f aca="false">IF(OR(E307="",E307="!!!"),"",IF(NOT(ISNA(VLOOKUP(E307,E$1:E306,1,FALSE()))),"OLD",IF(AND(E307&lt;&gt;"",E307&lt;&gt;"!!!"),"NEW","")))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7" t="str">
        <f aca="false">IF(OR(E307="",E307="!!!",F307="NEW"),"",INDEX(B60:B$248,-1+SUMPRODUCT(MAX(ROW(E60:E$248)*(E307=E60:E$248)))))</f>
        <v/>
      </c>
      <c r="J307" s="27" t="str">
        <f aca="true">IF(OR(E307="",E307="!!!",F307="NEW"),"",COUNTBLANK(OFFSET(A$1,,,SUMPRODUCT(MAX(ROW(E$2:E307)*(E307=E$2:E307)))))-COUNTBLANK(OFFSET(A$1,,,SUMPRODUCT(MAX(ROW(E$1:E306)*(E2=E$1:E306))))))</f>
        <v/>
      </c>
      <c r="K307" s="27" t="str">
        <f aca="false">IF(OR(E307="",E307="!!!",F307="NEW"),"",INDEX(J$1:J306,SUMPRODUCT(MAX(ROW(E$1:E306)*(E307=E$1:E306)))))</f>
        <v/>
      </c>
      <c r="L307" s="28"/>
    </row>
    <row r="308" customFormat="false" ht="15" hidden="false" customHeight="false" outlineLevel="0" collapsed="false">
      <c r="A308" s="21" t="s">
        <v>389</v>
      </c>
      <c r="E308" s="25"/>
      <c r="F308" s="26" t="str">
        <f aca="false">IF(OR(E308="",E308="!!!"),"",IF(NOT(ISNA(VLOOKUP(E308,E$1:E307,1,FALSE()))),"OLD",IF(AND(E308&lt;&gt;"",E308&lt;&gt;"!!!"),"NEW","")))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7" t="str">
        <f aca="false">IF(OR(E308="",E308="!!!",F308="NEW"),"",INDEX(B61:B$248,-1+SUMPRODUCT(MAX(ROW(E61:E$248)*(E308=E61:E$248)))))</f>
        <v/>
      </c>
      <c r="J308" s="27" t="str">
        <f aca="true">IF(OR(E308="",E308="!!!",F308="NEW"),"",COUNTBLANK(OFFSET(A$1,,,SUMPRODUCT(MAX(ROW(E$2:E308)*(E308=E$2:E308)))))-COUNTBLANK(OFFSET(A$1,,,SUMPRODUCT(MAX(ROW(E$1:E307)*(E2=E$1:E307))))))</f>
        <v/>
      </c>
      <c r="K308" s="27" t="str">
        <f aca="false">IF(OR(E308="",E308="!!!",F308="NEW"),"",INDEX(J$1:J307,SUMPRODUCT(MAX(ROW(E$1:E307)*(E308=E$1:E307)))))</f>
        <v/>
      </c>
      <c r="L308" s="28"/>
    </row>
    <row r="309" customFormat="false" ht="15" hidden="false" customHeight="false" outlineLevel="0" collapsed="false">
      <c r="A309" s="21" t="s">
        <v>390</v>
      </c>
      <c r="E309" s="25"/>
      <c r="F309" s="26" t="str">
        <f aca="false">IF(OR(E309="",E309="!!!"),"",IF(NOT(ISNA(VLOOKUP(E309,E$1:E308,1,FALSE()))),"OLD",IF(AND(E309&lt;&gt;"",E309&lt;&gt;"!!!"),"NEW","")))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7" t="str">
        <f aca="false">IF(OR(E309="",E309="!!!",F309="NEW"),"",INDEX(B62:B$248,-1+SUMPRODUCT(MAX(ROW(E62:E$248)*(E309=E62:E$248)))))</f>
        <v/>
      </c>
      <c r="J309" s="27" t="str">
        <f aca="true">IF(OR(E309="",E309="!!!",F309="NEW"),"",COUNTBLANK(OFFSET(A$1,,,SUMPRODUCT(MAX(ROW(E$2:E309)*(E309=E$2:E309)))))-COUNTBLANK(OFFSET(A$1,,,SUMPRODUCT(MAX(ROW(E$1:E308)*(E2=E$1:E308))))))</f>
        <v/>
      </c>
      <c r="K309" s="27" t="str">
        <f aca="false">IF(OR(E309="",E309="!!!",F309="NEW"),"",INDEX(J$1:J308,SUMPRODUCT(MAX(ROW(E$1:E308)*(E309=E$1:E308)))))</f>
        <v/>
      </c>
      <c r="L309" s="28"/>
    </row>
    <row r="310" customFormat="false" ht="15" hidden="false" customHeight="false" outlineLevel="0" collapsed="false">
      <c r="A310" s="21" t="s">
        <v>230</v>
      </c>
      <c r="E310" s="25"/>
      <c r="F310" s="26" t="str">
        <f aca="false">IF(OR(E310="",E310="!!!"),"",IF(NOT(ISNA(VLOOKUP(E310,E$1:E309,1,FALSE()))),"OLD",IF(AND(E310&lt;&gt;"",E310&lt;&gt;"!!!"),"NEW","")))</f>
        <v/>
      </c>
      <c r="G310" s="22" t="str">
        <f aca="false">IF(OR(E310="",E310="!!!"),"",IF(OR(J310=0,AND(J310=1,K310=1),AND(J310=1,I310="SBJ"),AND(J310=1,I310=0)),"?IN_FOCUS",IF(J310&lt;=2,"?ACTIVATED",IF(J310&lt;&gt;"","?FAMILIAR",IF(F310="NEW",IF(ISNA(VLOOKUP(E310,#REF!,1,FALSE())),"?TYPE_IDENTIFIABLE","?REFERENTIAL"),"_")))))</f>
        <v/>
      </c>
      <c r="H310" s="23" t="str">
        <f aca="false">IF(J310&lt;&gt;1,"",IF(I310="SBJ","CB","?"))</f>
        <v/>
      </c>
      <c r="I310" s="27" t="str">
        <f aca="false">IF(OR(E310="",E310="!!!",F310="NEW"),"",INDEX(B63:B$248,-1+SUMPRODUCT(MAX(ROW(E63:E$248)*(E310=E63:E$248)))))</f>
        <v/>
      </c>
      <c r="J310" s="27" t="str">
        <f aca="true">IF(OR(E310="",E310="!!!",F310="NEW"),"",COUNTBLANK(OFFSET(A$1,,,SUMPRODUCT(MAX(ROW(E$2:E310)*(E310=E$2:E310)))))-COUNTBLANK(OFFSET(A$1,,,SUMPRODUCT(MAX(ROW(E$1:E309)*(E2=E$1:E309))))))</f>
        <v/>
      </c>
      <c r="K310" s="27" t="str">
        <f aca="false">IF(OR(E310="",E310="!!!",F310="NEW"),"",INDEX(J$1:J309,SUMPRODUCT(MAX(ROW(E$1:E309)*(E310=E$1:E309)))))</f>
        <v/>
      </c>
      <c r="L310" s="28"/>
    </row>
    <row r="311" customFormat="false" ht="15" hidden="false" customHeight="false" outlineLevel="0" collapsed="false">
      <c r="A311" s="21" t="s">
        <v>391</v>
      </c>
      <c r="E311" s="25"/>
      <c r="F311" s="26" t="str">
        <f aca="false">IF(OR(E311="",E311="!!!"),"",IF(NOT(ISNA(VLOOKUP(E311,E$1:E310,1,FALSE()))),"OLD",IF(AND(E311&lt;&gt;"",E311&lt;&gt;"!!!"),"NEW","")))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7" t="str">
        <f aca="false">IF(OR(E311="",E311="!!!",F311="NEW"),"",INDEX(B64:B$248,-1+SUMPRODUCT(MAX(ROW(E64:E$248)*(E311=E64:E$248)))))</f>
        <v/>
      </c>
      <c r="J311" s="27" t="str">
        <f aca="true">IF(OR(E311="",E311="!!!",F311="NEW"),"",COUNTBLANK(OFFSET(A$1,,,SUMPRODUCT(MAX(ROW(E$2:E311)*(E311=E$2:E311)))))-COUNTBLANK(OFFSET(A$1,,,SUMPRODUCT(MAX(ROW(E$1:E310)*(E2=E$1:E310))))))</f>
        <v/>
      </c>
      <c r="K311" s="27" t="str">
        <f aca="false">IF(OR(E311="",E311="!!!",F311="NEW"),"",INDEX(J$1:J310,SUMPRODUCT(MAX(ROW(E$1:E310)*(E311=E$1:E310)))))</f>
        <v/>
      </c>
      <c r="L311" s="28"/>
    </row>
    <row r="312" customFormat="false" ht="15" hidden="false" customHeight="false" outlineLevel="0" collapsed="false">
      <c r="A312" s="21" t="s">
        <v>193</v>
      </c>
      <c r="E312" s="25"/>
      <c r="F312" s="26" t="str">
        <f aca="false">IF(OR(E312="",E312="!!!"),"",IF(NOT(ISNA(VLOOKUP(E312,E$1:E311,1,FALSE()))),"OLD",IF(AND(E312&lt;&gt;"",E312&lt;&gt;"!!!"),"NEW","")))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7" t="str">
        <f aca="false">IF(OR(E312="",E312="!!!",F312="NEW"),"",INDEX(B65:B$248,-1+SUMPRODUCT(MAX(ROW(E65:E$248)*(E312=E65:E$248)))))</f>
        <v/>
      </c>
      <c r="J312" s="27" t="str">
        <f aca="true">IF(OR(E312="",E312="!!!",F312="NEW"),"",COUNTBLANK(OFFSET(A$1,,,SUMPRODUCT(MAX(ROW(E$2:E312)*(E312=E$2:E312)))))-COUNTBLANK(OFFSET(A$1,,,SUMPRODUCT(MAX(ROW(E$1:E311)*(E2=E$1:E311))))))</f>
        <v/>
      </c>
      <c r="K312" s="27" t="str">
        <f aca="false">IF(OR(E312="",E312="!!!",F312="NEW"),"",INDEX(J$1:J311,SUMPRODUCT(MAX(ROW(E$1:E311)*(E312=E$1:E311)))))</f>
        <v/>
      </c>
      <c r="L312" s="28"/>
    </row>
    <row r="313" customFormat="false" ht="15" hidden="false" customHeight="false" outlineLevel="0" collapsed="false">
      <c r="A313" s="21"/>
      <c r="G313" s="22" t="str">
        <f aca="false">IF(OR(E313="",E313="!!!"),"",IF(OR(J313=0,AND(J313=1,K313=1),AND(J313=1,I313="SBJ"),AND(J313=1,I313=0)),"?IN_FOCUS",IF(J313&lt;=2,"?ACTIVATED",IF(J313&lt;&gt;"","?FAMILIAR",IF(F313="NEW",IF(ISNA(VLOOKUP(E313,#REF!,1,FALSE())),"?TYPE_IDENTIFIABLE","?REFERENTIAL"),"_")))))</f>
        <v/>
      </c>
      <c r="H313" s="23" t="str">
        <f aca="false">IF(J313&lt;&gt;1,"",IF(I313="SBJ","CB","?"))</f>
        <v/>
      </c>
    </row>
    <row r="314" customFormat="false" ht="15" hidden="false" customHeight="false" outlineLevel="0" collapsed="false">
      <c r="A314" s="21" t="s">
        <v>392</v>
      </c>
      <c r="G314" s="22" t="str">
        <f aca="false">IF(OR(E314="",E314="!!!"),"",IF(OR(J314=0,AND(J314=1,K314=1),AND(J314=1,I314="SBJ"),AND(J314=1,I314=0)),"?IN_FOCUS",IF(J314&lt;=2,"?ACTIVATED",IF(J314&lt;&gt;"","?FAMILIAR",IF(F314="NEW",IF(ISNA(VLOOKUP(E314,#REF!,1,FALSE())),"?TYPE_IDENTIFIABLE","?REFERENTIAL"),"_")))))</f>
        <v/>
      </c>
      <c r="H314" s="23" t="str">
        <f aca="false">IF(J314&lt;&gt;1,"",IF(I314="SBJ","CB","?"))</f>
        <v/>
      </c>
    </row>
    <row r="315" customFormat="false" ht="15" hidden="false" customHeight="false" outlineLevel="0" collapsed="false">
      <c r="A315" s="21" t="s">
        <v>393</v>
      </c>
      <c r="E315" s="25"/>
      <c r="F315" s="26" t="str">
        <f aca="false">IF(OR(E315="",E315="!!!"),"",IF(NOT(ISNA(VLOOKUP(E315,E$1:E314,1,FALSE()))),"OLD",IF(AND(E315&lt;&gt;"",E315&lt;&gt;"!!!"),"NEW","")))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7" t="str">
        <f aca="false">IF(OR(E315="",E315="!!!",F315="NEW"),"",INDEX(B2:B$314,-1+SUMPRODUCT(MAX(ROW(E2:E$314)*(E315=E2:E$314)))))</f>
        <v/>
      </c>
      <c r="J315" s="27" t="str">
        <f aca="true">IF(OR(E315="",E315="!!!",F315="NEW"),"",COUNTBLANK(OFFSET(A$1,,,SUMPRODUCT(MAX(ROW(E$2:E315)*(E315=E$2:E315)))))-COUNTBLANK(OFFSET(A$1,,,SUMPRODUCT(MAX(ROW(E$1:E314)*(E2=E$1:E314))))))</f>
        <v/>
      </c>
      <c r="K315" s="27" t="str">
        <f aca="false">IF(OR(E315="",E315="!!!",F315="NEW"),"",INDEX(J$1:J314,SUMPRODUCT(MAX(ROW(E$1:E314)*(E315=E$1:E314)))))</f>
        <v/>
      </c>
      <c r="L315" s="28"/>
    </row>
    <row r="316" customFormat="false" ht="15" hidden="false" customHeight="false" outlineLevel="0" collapsed="false">
      <c r="A316" s="21" t="s">
        <v>394</v>
      </c>
      <c r="B316" s="29" t="s">
        <v>190</v>
      </c>
      <c r="C316" s="29" t="s">
        <v>240</v>
      </c>
      <c r="D316" s="29" t="s">
        <v>159</v>
      </c>
      <c r="E316" s="25" t="s">
        <v>395</v>
      </c>
      <c r="F316" s="30" t="str">
        <f aca="false">IF(OR(E316="",E316="!!!"),"",IF(NOT(ISNA(VLOOKUP(E316,E$1:E315,1,FALSE()))),"OLD",IF(AND(E316&lt;&gt;"",E316&lt;&gt;"!!!"),"NEW","")))</f>
        <v>NEW</v>
      </c>
      <c r="G316" s="22" t="s">
        <v>160</v>
      </c>
      <c r="H316" s="23" t="str">
        <f aca="false">IF(J316&lt;&gt;1,"",IF(I316="SBJ","CB","?"))</f>
        <v/>
      </c>
      <c r="I316" s="31" t="str">
        <f aca="false">IF(OR(E316="",E316="!!!",F316="NEW"),"",INDEX(B3:B$314,-1+SUMPRODUCT(MAX(ROW(E3:E$314)*(E316=E3:E$314)))))</f>
        <v/>
      </c>
      <c r="J316" s="31" t="str">
        <f aca="true">IF(OR(E316="",E316="!!!",F316="NEW"),"",COUNTBLANK(OFFSET(A$1,,,SUMPRODUCT(MAX(ROW(E$2:E316)*(E316=E$2:E316)))))-COUNTBLANK(OFFSET(A$1,,,SUMPRODUCT(MAX(ROW(E$1:E315)*(E2=E$1:E315))))))</f>
        <v/>
      </c>
      <c r="K316" s="31" t="str">
        <f aca="false">IF(OR(E316="",E316="!!!",F316="NEW"),"",INDEX(J$1:J315,SUMPRODUCT(MAX(ROW(E$1:E315)*(E316=E$1:E315)))))</f>
        <v/>
      </c>
      <c r="L316" s="28"/>
    </row>
    <row r="317" customFormat="false" ht="15" hidden="false" customHeight="false" outlineLevel="0" collapsed="false">
      <c r="A317" s="21" t="s">
        <v>396</v>
      </c>
      <c r="B317" s="29" t="s">
        <v>153</v>
      </c>
      <c r="C317" s="29" t="s">
        <v>243</v>
      </c>
      <c r="D317" s="29" t="s">
        <v>159</v>
      </c>
      <c r="E317" s="25" t="s">
        <v>397</v>
      </c>
      <c r="F317" s="30" t="str">
        <f aca="false">IF(OR(E317="",E317="!!!"),"",IF(NOT(ISNA(VLOOKUP(E317,E$1:E316,1,FALSE()))),"OLD",IF(AND(E317&lt;&gt;"",E317&lt;&gt;"!!!"),"NEW","")))</f>
        <v>NEW</v>
      </c>
      <c r="G317" s="22" t="s">
        <v>160</v>
      </c>
      <c r="H317" s="23" t="str">
        <f aca="false">IF(J317&lt;&gt;1,"",IF(I317="SBJ","CB","?"))</f>
        <v/>
      </c>
      <c r="I317" s="31" t="str">
        <f aca="false">IF(OR(E317="",E317="!!!",F317="NEW"),"",INDEX(B4:B$314,-1+SUMPRODUCT(MAX(ROW(E4:E$314)*(E317=E4:E$314)))))</f>
        <v/>
      </c>
      <c r="J317" s="31" t="str">
        <f aca="true">IF(OR(E317="",E317="!!!",F317="NEW"),"",COUNTBLANK(OFFSET(A$1,,,SUMPRODUCT(MAX(ROW(E$2:E317)*(E317=E$2:E317)))))-COUNTBLANK(OFFSET(A$1,,,SUMPRODUCT(MAX(ROW(E$1:E316)*(E2=E$1:E316))))))</f>
        <v/>
      </c>
      <c r="K317" s="31" t="str">
        <f aca="false">IF(OR(E317="",E317="!!!",F317="NEW"),"",INDEX(J$1:J316,SUMPRODUCT(MAX(ROW(E$1:E316)*(E317=E$1:E316)))))</f>
        <v/>
      </c>
      <c r="L317" s="28"/>
    </row>
    <row r="318" customFormat="false" ht="15" hidden="false" customHeight="false" outlineLevel="0" collapsed="false">
      <c r="A318" s="21" t="s">
        <v>178</v>
      </c>
      <c r="E318" s="25"/>
      <c r="F318" s="26" t="str">
        <f aca="false">IF(OR(E318="",E318="!!!"),"",IF(NOT(ISNA(VLOOKUP(E318,E$1:E317,1,FALSE()))),"OLD",IF(AND(E318&lt;&gt;"",E318&lt;&gt;"!!!"),"NEW","")))</f>
        <v/>
      </c>
      <c r="G318" s="22" t="str">
        <f aca="false">IF(OR(E318="",E318="!!!"),"",IF(OR(J318=0,AND(J318=1,K318=1),AND(J318=1,I318="SBJ"),AND(J318=1,I318=0)),"?IN_FOCUS",IF(J318&lt;=2,"?ACTIVATED",IF(J318&lt;&gt;"","?FAMILIAR",IF(F318="NEW",IF(ISNA(VLOOKUP(E318,#REF!,1,FALSE())),"?TYPE_IDENTIFIABLE","?REFERENTIAL"),"_")))))</f>
        <v/>
      </c>
      <c r="H318" s="23" t="str">
        <f aca="false">IF(J318&lt;&gt;1,"",IF(I318="SBJ","CB","?"))</f>
        <v/>
      </c>
      <c r="I318" s="27" t="str">
        <f aca="false">IF(OR(E318="",E318="!!!",F318="NEW"),"",INDEX(B5:B$314,-1+SUMPRODUCT(MAX(ROW(E5:E$314)*(E318=E5:E$314)))))</f>
        <v/>
      </c>
      <c r="J318" s="27" t="str">
        <f aca="true">IF(OR(E318="",E318="!!!",F318="NEW"),"",COUNTBLANK(OFFSET(A$1,,,SUMPRODUCT(MAX(ROW(E$2:E318)*(E318=E$2:E318)))))-COUNTBLANK(OFFSET(A$1,,,SUMPRODUCT(MAX(ROW(E$1:E317)*(E2=E$1:E317))))))</f>
        <v/>
      </c>
      <c r="K318" s="27" t="str">
        <f aca="false">IF(OR(E318="",E318="!!!",F318="NEW"),"",INDEX(J$1:J317,SUMPRODUCT(MAX(ROW(E$1:E317)*(E318=E$1:E317)))))</f>
        <v/>
      </c>
      <c r="L318" s="28"/>
    </row>
    <row r="319" customFormat="false" ht="15" hidden="false" customHeight="false" outlineLevel="0" collapsed="false">
      <c r="A319" s="21" t="s">
        <v>398</v>
      </c>
      <c r="B319" s="29" t="s">
        <v>190</v>
      </c>
      <c r="C319" s="29" t="s">
        <v>167</v>
      </c>
      <c r="E319" s="25"/>
      <c r="F319" s="26" t="str">
        <f aca="false">IF(OR(E319="",E319="!!!"),"",IF(NOT(ISNA(VLOOKUP(E319,E$1:E318,1,FALSE()))),"OLD",IF(AND(E319&lt;&gt;"",E319&lt;&gt;"!!!"),"NEW","")))</f>
        <v/>
      </c>
      <c r="G319" s="22" t="str">
        <f aca="false">IF(OR(E319="",E319="!!!"),"",IF(OR(J319=0,AND(J319=1,K319=1),AND(J319=1,I319="SBJ"),AND(J319=1,I319=0)),"?IN_FOCUS",IF(J319&lt;=2,"?ACTIVATED",IF(J319&lt;&gt;"","?FAMILIAR",IF(F319="NEW",IF(ISNA(VLOOKUP(E319,#REF!,1,FALSE())),"?TYPE_IDENTIFIABLE","?REFERENTIAL"),"_")))))</f>
        <v/>
      </c>
      <c r="H319" s="23" t="str">
        <f aca="false">IF(J319&lt;&gt;1,"",IF(I319="SBJ","CB","?"))</f>
        <v/>
      </c>
      <c r="I319" s="27" t="str">
        <f aca="false">IF(OR(E319="",E319="!!!",F319="NEW"),"",INDEX(B6:B$314,-1+SUMPRODUCT(MAX(ROW(E6:E$314)*(E319=E6:E$314)))))</f>
        <v/>
      </c>
      <c r="J319" s="27" t="str">
        <f aca="true">IF(OR(E319="",E319="!!!",F319="NEW"),"",COUNTBLANK(OFFSET(A$1,,,SUMPRODUCT(MAX(ROW(E$2:E319)*(E319=E$2:E319)))))-COUNTBLANK(OFFSET(A$1,,,SUMPRODUCT(MAX(ROW(E$1:E318)*(E2=E$1:E318))))))</f>
        <v/>
      </c>
      <c r="K319" s="27" t="str">
        <f aca="false">IF(OR(E319="",E319="!!!",F319="NEW"),"",INDEX(J$1:J318,SUMPRODUCT(MAX(ROW(E$1:E318)*(E319=E$1:E318)))))</f>
        <v/>
      </c>
      <c r="L319" s="28"/>
    </row>
    <row r="320" customFormat="false" ht="15" hidden="false" customHeight="false" outlineLevel="0" collapsed="false">
      <c r="A320" s="21" t="s">
        <v>399</v>
      </c>
      <c r="E320" s="25"/>
      <c r="F320" s="26" t="str">
        <f aca="false">IF(OR(E320="",E320="!!!"),"",IF(NOT(ISNA(VLOOKUP(E320,E$1:E319,1,FALSE()))),"OLD",IF(AND(E320&lt;&gt;"",E320&lt;&gt;"!!!"),"NEW","")))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7" t="str">
        <f aca="false">IF(OR(E320="",E320="!!!",F320="NEW"),"",INDEX(B7:B$314,-1+SUMPRODUCT(MAX(ROW(E7:E$314)*(E320=E7:E$314)))))</f>
        <v/>
      </c>
      <c r="J320" s="27" t="str">
        <f aca="true">IF(OR(E320="",E320="!!!",F320="NEW"),"",COUNTBLANK(OFFSET(A$1,,,SUMPRODUCT(MAX(ROW(E$2:E320)*(E320=E$2:E320)))))-COUNTBLANK(OFFSET(A$1,,,SUMPRODUCT(MAX(ROW(E$1:E319)*(E2=E$1:E319))))))</f>
        <v/>
      </c>
      <c r="K320" s="27" t="str">
        <f aca="false">IF(OR(E320="",E320="!!!",F320="NEW"),"",INDEX(J$1:J319,SUMPRODUCT(MAX(ROW(E$1:E319)*(E320=E$1:E319)))))</f>
        <v/>
      </c>
      <c r="L320" s="28"/>
    </row>
    <row r="321" customFormat="false" ht="15" hidden="false" customHeight="false" outlineLevel="0" collapsed="false">
      <c r="A321" s="21" t="s">
        <v>400</v>
      </c>
      <c r="B321" s="29" t="s">
        <v>180</v>
      </c>
      <c r="C321" s="29" t="s">
        <v>243</v>
      </c>
      <c r="D321" s="29" t="s">
        <v>159</v>
      </c>
      <c r="E321" s="25" t="s">
        <v>395</v>
      </c>
      <c r="F321" s="30" t="str">
        <f aca="false">IF(OR(E321="",E321="!!!"),"",IF(NOT(ISNA(VLOOKUP(E321,E$1:E320,1,FALSE()))),"OLD",IF(AND(E321&lt;&gt;"",E321&lt;&gt;"!!!"),"NEW","")))</f>
        <v>OLD</v>
      </c>
      <c r="G321" s="22" t="s">
        <v>186</v>
      </c>
      <c r="H321" s="23" t="str">
        <f aca="false">IF(J321&lt;&gt;1,"",IF(I321="SBJ","CB","?"))</f>
        <v/>
      </c>
      <c r="I321" s="31" t="e">
        <f aca="false">IF(OR(E321="",E321="!!!",F321="NEW"),"",INDEX(B8:B$314,-1+SUMPRODUCT(MAX(ROW(E8:E$314)*(E321=E8:E$314)))))</f>
        <v>#VALUE!</v>
      </c>
      <c r="J321" s="27" t="n">
        <f aca="true">IF(OR(E321="",E321="!!!",F321="NEW"),"",COUNTBLANK(OFFSET(A$1,,,SUMPRODUCT(MAX(ROW(E$2:E321)*(E321=E$2:E321)))))-COUNTBLANK(OFFSET(A$1,,,SUMPRODUCT(MAX(ROW(E$1:E320)*(E2=E$1:E320))))))</f>
        <v>0</v>
      </c>
      <c r="K321" s="31" t="str">
        <f aca="false">IF(OR(E321="",E321="!!!",F321="NEW"),"",INDEX(J$1:J320,SUMPRODUCT(MAX(ROW(E$1:E320)*(E321=E$1:E320)))))</f>
        <v/>
      </c>
      <c r="L321" s="28"/>
    </row>
    <row r="322" customFormat="false" ht="15" hidden="false" customHeight="false" outlineLevel="0" collapsed="false">
      <c r="A322" s="21" t="s">
        <v>63</v>
      </c>
      <c r="E322" s="25"/>
      <c r="F322" s="26" t="str">
        <f aca="false">IF(OR(E322="",E322="!!!"),"",IF(NOT(ISNA(VLOOKUP(E322,E$1:E321,1,FALSE()))),"OLD",IF(AND(E322&lt;&gt;"",E322&lt;&gt;"!!!"),"NEW","")))</f>
        <v/>
      </c>
      <c r="G322" s="22" t="str">
        <f aca="false">IF(OR(E322="",E322="!!!"),"",IF(OR(J322=0,AND(J322=1,K322=1),AND(J322=1,I322="SBJ"),AND(J322=1,I322=0)),"?IN_FOCUS",IF(J322&lt;=2,"?ACTIVATED",IF(J322&lt;&gt;"","?FAMILIAR",IF(F322="NEW",IF(ISNA(VLOOKUP(E322,#REF!,1,FALSE())),"?TYPE_IDENTIFIABLE","?REFERENTIAL"),"_")))))</f>
        <v/>
      </c>
      <c r="H322" s="23" t="str">
        <f aca="false">IF(J322&lt;&gt;1,"",IF(I322="SBJ","CB","?"))</f>
        <v/>
      </c>
      <c r="I322" s="27" t="str">
        <f aca="false">IF(OR(E322="",E322="!!!",F322="NEW"),"",INDEX(B9:B$314,-1+SUMPRODUCT(MAX(ROW(E9:E$314)*(E322=E9:E$314)))))</f>
        <v/>
      </c>
      <c r="J322" s="27" t="str">
        <f aca="true">IF(OR(E322="",E322="!!!",F322="NEW"),"",COUNTBLANK(OFFSET(A$1,,,SUMPRODUCT(MAX(ROW(E$2:E322)*(E322=E$2:E322)))))-COUNTBLANK(OFFSET(A$1,,,SUMPRODUCT(MAX(ROW(E$1:E321)*(E2=E$1:E321))))))</f>
        <v/>
      </c>
      <c r="K322" s="27" t="str">
        <f aca="false">IF(OR(E322="",E322="!!!",F322="NEW"),"",INDEX(J$1:J321,SUMPRODUCT(MAX(ROW(E$1:E321)*(E322=E$1:E321)))))</f>
        <v/>
      </c>
      <c r="L322" s="28"/>
    </row>
    <row r="323" customFormat="false" ht="15" hidden="false" customHeight="false" outlineLevel="0" collapsed="false">
      <c r="A323" s="21" t="s">
        <v>169</v>
      </c>
      <c r="E323" s="25"/>
      <c r="F323" s="26" t="str">
        <f aca="false">IF(OR(E323="",E323="!!!"),"",IF(NOT(ISNA(VLOOKUP(E323,E$1:E322,1,FALSE()))),"OLD",IF(AND(E323&lt;&gt;"",E323&lt;&gt;"!!!"),"NEW","")))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7" t="str">
        <f aca="false">IF(OR(E323="",E323="!!!",F323="NEW"),"",INDEX(B10:B$314,-1+SUMPRODUCT(MAX(ROW(E10:E$314)*(E323=E10:E$314)))))</f>
        <v/>
      </c>
      <c r="J323" s="27" t="str">
        <f aca="true">IF(OR(E323="",E323="!!!",F323="NEW"),"",COUNTBLANK(OFFSET(A$1,,,SUMPRODUCT(MAX(ROW(E$2:E323)*(E323=E$2:E323)))))-COUNTBLANK(OFFSET(A$1,,,SUMPRODUCT(MAX(ROW(E$1:E322)*(E2=E$1:E322))))))</f>
        <v/>
      </c>
      <c r="K323" s="27" t="str">
        <f aca="false">IF(OR(E323="",E323="!!!",F323="NEW"),"",INDEX(J$1:J322,SUMPRODUCT(MAX(ROW(E$1:E322)*(E323=E$1:E322)))))</f>
        <v/>
      </c>
      <c r="L323" s="28"/>
    </row>
    <row r="324" customFormat="false" ht="15" hidden="false" customHeight="false" outlineLevel="0" collapsed="false">
      <c r="A324" s="21" t="s">
        <v>401</v>
      </c>
      <c r="E324" s="25"/>
      <c r="F324" s="26" t="str">
        <f aca="false">IF(OR(E324="",E324="!!!"),"",IF(NOT(ISNA(VLOOKUP(E324,E$1:E323,1,FALSE()))),"OLD",IF(AND(E324&lt;&gt;"",E324&lt;&gt;"!!!"),"NEW","")))</f>
        <v/>
      </c>
      <c r="G324" s="22" t="str">
        <f aca="false">IF(OR(E324="",E324="!!!"),"",IF(OR(J324=0,AND(J324=1,K324=1),AND(J324=1,I324="SBJ"),AND(J324=1,I324=0)),"?IN_FOCUS",IF(J324&lt;=2,"?ACTIVATED",IF(J324&lt;&gt;"","?FAMILIAR",IF(F324="NEW",IF(ISNA(VLOOKUP(E324,#REF!,1,FALSE())),"?TYPE_IDENTIFIABLE","?REFERENTIAL"),"_")))))</f>
        <v/>
      </c>
      <c r="H324" s="23" t="str">
        <f aca="false">IF(J324&lt;&gt;1,"",IF(I324="SBJ","CB","?"))</f>
        <v/>
      </c>
      <c r="I324" s="27" t="str">
        <f aca="false">IF(OR(E324="",E324="!!!",F324="NEW"),"",INDEX(B11:B$314,-1+SUMPRODUCT(MAX(ROW(E11:E$314)*(E324=E11:E$314)))))</f>
        <v/>
      </c>
      <c r="J324" s="27" t="str">
        <f aca="true">IF(OR(E324="",E324="!!!",F324="NEW"),"",COUNTBLANK(OFFSET(A$1,,,SUMPRODUCT(MAX(ROW(E$2:E324)*(E324=E$2:E324)))))-COUNTBLANK(OFFSET(A$1,,,SUMPRODUCT(MAX(ROW(E$1:E323)*(E2=E$1:E323))))))</f>
        <v/>
      </c>
      <c r="K324" s="27" t="str">
        <f aca="false">IF(OR(E324="",E324="!!!",F324="NEW"),"",INDEX(J$1:J323,SUMPRODUCT(MAX(ROW(E$1:E323)*(E324=E$1:E323)))))</f>
        <v/>
      </c>
      <c r="L324" s="28"/>
    </row>
    <row r="325" customFormat="false" ht="15" hidden="false" customHeight="false" outlineLevel="0" collapsed="false">
      <c r="A325" s="21" t="s">
        <v>207</v>
      </c>
      <c r="E325" s="25"/>
      <c r="F325" s="26" t="str">
        <f aca="false">IF(OR(E325="",E325="!!!"),"",IF(NOT(ISNA(VLOOKUP(E325,E$1:E324,1,FALSE()))),"OLD",IF(AND(E325&lt;&gt;"",E325&lt;&gt;"!!!"),"NEW","")))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7" t="str">
        <f aca="false">IF(OR(E325="",E325="!!!",F325="NEW"),"",INDEX(B12:B$314,-1+SUMPRODUCT(MAX(ROW(E12:E$314)*(E325=E12:E$314)))))</f>
        <v/>
      </c>
      <c r="J325" s="27" t="str">
        <f aca="true">IF(OR(E325="",E325="!!!",F325="NEW"),"",COUNTBLANK(OFFSET(A$1,,,SUMPRODUCT(MAX(ROW(E$2:E325)*(E325=E$2:E325)))))-COUNTBLANK(OFFSET(A$1,,,SUMPRODUCT(MAX(ROW(E$1:E324)*(E2=E$1:E324))))))</f>
        <v/>
      </c>
      <c r="K325" s="27" t="str">
        <f aca="false">IF(OR(E325="",E325="!!!",F325="NEW"),"",INDEX(J$1:J324,SUMPRODUCT(MAX(ROW(E$1:E324)*(E325=E$1:E324)))))</f>
        <v/>
      </c>
      <c r="L325" s="28"/>
    </row>
    <row r="326" customFormat="false" ht="15" hidden="false" customHeight="false" outlineLevel="0" collapsed="false">
      <c r="A326" s="21" t="s">
        <v>402</v>
      </c>
      <c r="B326" s="29" t="s">
        <v>210</v>
      </c>
      <c r="C326" s="29" t="s">
        <v>167</v>
      </c>
      <c r="E326" s="25"/>
      <c r="F326" s="26" t="str">
        <f aca="false">IF(OR(E326="",E326="!!!"),"",IF(NOT(ISNA(VLOOKUP(E326,E$1:E325,1,FALSE()))),"OLD",IF(AND(E326&lt;&gt;"",E326&lt;&gt;"!!!"),"NEW","")))</f>
        <v/>
      </c>
      <c r="G326" s="22" t="str">
        <f aca="false">IF(OR(E326="",E326="!!!"),"",IF(OR(J326=0,AND(J326=1,K326=1),AND(J326=1,I326="SBJ"),AND(J326=1,I326=0)),"?IN_FOCUS",IF(J326&lt;=2,"?ACTIVATED",IF(J326&lt;&gt;"","?FAMILIAR",IF(F326="NEW",IF(ISNA(VLOOKUP(E326,#REF!,1,FALSE())),"?TYPE_IDENTIFIABLE","?REFERENTIAL"),"_")))))</f>
        <v/>
      </c>
      <c r="H326" s="23" t="str">
        <f aca="false">IF(J326&lt;&gt;1,"",IF(I326="SBJ","CB","?"))</f>
        <v/>
      </c>
      <c r="I326" s="27" t="str">
        <f aca="false">IF(OR(E326="",E326="!!!",F326="NEW"),"",INDEX(B13:B$314,-1+SUMPRODUCT(MAX(ROW(E13:E$314)*(E326=E13:E$314)))))</f>
        <v/>
      </c>
      <c r="J326" s="27" t="str">
        <f aca="true">IF(OR(E326="",E326="!!!",F326="NEW"),"",COUNTBLANK(OFFSET(A$1,,,SUMPRODUCT(MAX(ROW(E$2:E326)*(E326=E$2:E326)))))-COUNTBLANK(OFFSET(A$1,,,SUMPRODUCT(MAX(ROW(E$1:E325)*(E2=E$1:E325))))))</f>
        <v/>
      </c>
      <c r="K326" s="27" t="str">
        <f aca="false">IF(OR(E326="",E326="!!!",F326="NEW"),"",INDEX(J$1:J325,SUMPRODUCT(MAX(ROW(E$1:E325)*(E326=E$1:E325)))))</f>
        <v/>
      </c>
      <c r="L326" s="28"/>
    </row>
    <row r="327" customFormat="false" ht="15" hidden="false" customHeight="false" outlineLevel="0" collapsed="false">
      <c r="A327" s="21" t="s">
        <v>403</v>
      </c>
      <c r="B327" s="29" t="s">
        <v>203</v>
      </c>
      <c r="C327" s="29" t="s">
        <v>243</v>
      </c>
      <c r="D327" s="29" t="s">
        <v>159</v>
      </c>
      <c r="E327" s="25" t="s">
        <v>404</v>
      </c>
      <c r="F327" s="30" t="str">
        <f aca="false">IF(OR(E327="",E327="!!!"),"",IF(NOT(ISNA(VLOOKUP(E327,E$1:E326,1,FALSE()))),"OLD",IF(AND(E327&lt;&gt;"",E327&lt;&gt;"!!!"),"NEW","")))</f>
        <v>NEW</v>
      </c>
      <c r="G327" s="22" t="s">
        <v>160</v>
      </c>
      <c r="H327" s="23" t="str">
        <f aca="false">IF(J327&lt;&gt;1,"",IF(I327="SBJ","CB","?"))</f>
        <v/>
      </c>
      <c r="I327" s="31" t="str">
        <f aca="false">IF(OR(E327="",E327="!!!",F327="NEW"),"",INDEX(B14:B$314,-1+SUMPRODUCT(MAX(ROW(E14:E$314)*(E327=E14:E$314)))))</f>
        <v/>
      </c>
      <c r="J327" s="31" t="str">
        <f aca="true">IF(OR(E327="",E327="!!!",F327="NEW"),"",COUNTBLANK(OFFSET(A$1,,,SUMPRODUCT(MAX(ROW(E$2:E327)*(E327=E$2:E327)))))-COUNTBLANK(OFFSET(A$1,,,SUMPRODUCT(MAX(ROW(E$1:E326)*(E2=E$1:E326))))))</f>
        <v/>
      </c>
      <c r="K327" s="31" t="str">
        <f aca="false">IF(OR(E327="",E327="!!!",F327="NEW"),"",INDEX(J$1:J326,SUMPRODUCT(MAX(ROW(E$1:E326)*(E327=E$1:E326)))))</f>
        <v/>
      </c>
      <c r="L327" s="28"/>
    </row>
    <row r="328" customFormat="false" ht="15" hidden="false" customHeight="false" outlineLevel="0" collapsed="false">
      <c r="A328" s="21" t="s">
        <v>165</v>
      </c>
      <c r="E328" s="25"/>
      <c r="F328" s="26" t="str">
        <f aca="false">IF(OR(E328="",E328="!!!"),"",IF(NOT(ISNA(VLOOKUP(E328,E$1:E327,1,FALSE()))),"OLD",IF(AND(E328&lt;&gt;"",E328&lt;&gt;"!!!"),"NEW","")))</f>
        <v/>
      </c>
      <c r="G328" s="22" t="str">
        <f aca="false">IF(OR(E328="",E328="!!!"),"",IF(OR(J328=0,AND(J328=1,K328=1),AND(J328=1,I328="SBJ"),AND(J328=1,I328=0)),"?IN_FOCUS",IF(J328&lt;=2,"?ACTIVATED",IF(J328&lt;&gt;"","?FAMILIAR",IF(F328="NEW",IF(ISNA(VLOOKUP(E328,#REF!,1,FALSE())),"?TYPE_IDENTIFIABLE","?REFERENTIAL"),"_")))))</f>
        <v/>
      </c>
      <c r="H328" s="23" t="str">
        <f aca="false">IF(J328&lt;&gt;1,"",IF(I328="SBJ","CB","?"))</f>
        <v/>
      </c>
      <c r="I328" s="27" t="str">
        <f aca="false">IF(OR(E328="",E328="!!!",F328="NEW"),"",INDEX(B15:B$314,-1+SUMPRODUCT(MAX(ROW(E15:E$314)*(E328=E15:E$314)))))</f>
        <v/>
      </c>
      <c r="J328" s="27" t="str">
        <f aca="true">IF(OR(E328="",E328="!!!",F328="NEW"),"",COUNTBLANK(OFFSET(A$1,,,SUMPRODUCT(MAX(ROW(E$2:E328)*(E328=E$2:E328)))))-COUNTBLANK(OFFSET(A$1,,,SUMPRODUCT(MAX(ROW(E$1:E327)*(E2=E$1:E327))))))</f>
        <v/>
      </c>
      <c r="K328" s="27" t="str">
        <f aca="false">IF(OR(E328="",E328="!!!",F328="NEW"),"",INDEX(J$1:J327,SUMPRODUCT(MAX(ROW(E$1:E327)*(E328=E$1:E327)))))</f>
        <v/>
      </c>
      <c r="L328" s="28"/>
    </row>
    <row r="329" customFormat="false" ht="15" hidden="false" customHeight="false" outlineLevel="0" collapsed="false">
      <c r="A329" s="21" t="s">
        <v>169</v>
      </c>
      <c r="E329" s="25"/>
      <c r="F329" s="26" t="str">
        <f aca="false">IF(OR(E329="",E329="!!!"),"",IF(NOT(ISNA(VLOOKUP(E329,E$1:E328,1,FALSE()))),"OLD",IF(AND(E329&lt;&gt;"",E329&lt;&gt;"!!!"),"NEW","")))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7" t="str">
        <f aca="false">IF(OR(E329="",E329="!!!",F329="NEW"),"",INDEX(B16:B$314,-1+SUMPRODUCT(MAX(ROW(E16:E$314)*(E329=E16:E$314)))))</f>
        <v/>
      </c>
      <c r="J329" s="27" t="str">
        <f aca="true">IF(OR(E329="",E329="!!!",F329="NEW"),"",COUNTBLANK(OFFSET(A$1,,,SUMPRODUCT(MAX(ROW(E$2:E329)*(E329=E$2:E329)))))-COUNTBLANK(OFFSET(A$1,,,SUMPRODUCT(MAX(ROW(E$1:E328)*(E2=E$1:E328))))))</f>
        <v/>
      </c>
      <c r="K329" s="27" t="str">
        <f aca="false">IF(OR(E329="",E329="!!!",F329="NEW"),"",INDEX(J$1:J328,SUMPRODUCT(MAX(ROW(E$1:E328)*(E329=E$1:E328)))))</f>
        <v/>
      </c>
      <c r="L329" s="28"/>
    </row>
    <row r="330" customFormat="false" ht="15" hidden="false" customHeight="false" outlineLevel="0" collapsed="false">
      <c r="A330" s="21" t="s">
        <v>311</v>
      </c>
      <c r="E330" s="25"/>
      <c r="F330" s="26" t="str">
        <f aca="false">IF(OR(E330="",E330="!!!"),"",IF(NOT(ISNA(VLOOKUP(E330,E$1:E329,1,FALSE()))),"OLD",IF(AND(E330&lt;&gt;"",E330&lt;&gt;"!!!"),"NEW","")))</f>
        <v/>
      </c>
      <c r="G330" s="22" t="str">
        <f aca="false">IF(OR(E330="",E330="!!!"),"",IF(OR(J330=0,AND(J330=1,K330=1),AND(J330=1,I330="SBJ"),AND(J330=1,I330=0)),"?IN_FOCUS",IF(J330&lt;=2,"?ACTIVATED",IF(J330&lt;&gt;"","?FAMILIAR",IF(F330="NEW",IF(ISNA(VLOOKUP(E330,#REF!,1,FALSE())),"?TYPE_IDENTIFIABLE","?REFERENTIAL"),"_")))))</f>
        <v/>
      </c>
      <c r="H330" s="23" t="str">
        <f aca="false">IF(J330&lt;&gt;1,"",IF(I330="SBJ","CB","?"))</f>
        <v/>
      </c>
      <c r="I330" s="27" t="str">
        <f aca="false">IF(OR(E330="",E330="!!!",F330="NEW"),"",INDEX(B17:B$314,-1+SUMPRODUCT(MAX(ROW(E17:E$314)*(E330=E17:E$314)))))</f>
        <v/>
      </c>
      <c r="J330" s="27" t="str">
        <f aca="true">IF(OR(E330="",E330="!!!",F330="NEW"),"",COUNTBLANK(OFFSET(A$1,,,SUMPRODUCT(MAX(ROW(E$2:E330)*(E330=E$2:E330)))))-COUNTBLANK(OFFSET(A$1,,,SUMPRODUCT(MAX(ROW(E$1:E329)*(E2=E$1:E329))))))</f>
        <v/>
      </c>
      <c r="K330" s="27" t="str">
        <f aca="false">IF(OR(E330="",E330="!!!",F330="NEW"),"",INDEX(J$1:J329,SUMPRODUCT(MAX(ROW(E$1:E329)*(E330=E$1:E329)))))</f>
        <v/>
      </c>
      <c r="L330" s="28"/>
    </row>
    <row r="331" customFormat="false" ht="15" hidden="false" customHeight="false" outlineLevel="0" collapsed="false">
      <c r="A331" s="21" t="s">
        <v>312</v>
      </c>
      <c r="B331" s="29" t="s">
        <v>190</v>
      </c>
      <c r="C331" s="29" t="s">
        <v>158</v>
      </c>
      <c r="D331" s="29" t="s">
        <v>159</v>
      </c>
      <c r="E331" s="25" t="s">
        <v>313</v>
      </c>
      <c r="F331" s="30" t="str">
        <f aca="false">IF(OR(E331="",E331="!!!"),"",IF(NOT(ISNA(VLOOKUP(E331,E$1:E330,1,FALSE()))),"OLD",IF(AND(E331&lt;&gt;"",E331&lt;&gt;"!!!"),"NEW","")))</f>
        <v>OLD</v>
      </c>
      <c r="G331" s="22" t="s">
        <v>182</v>
      </c>
      <c r="H331" s="23" t="s">
        <v>147</v>
      </c>
      <c r="I331" s="31" t="e">
        <f aca="false">IF(OR(E331="",E331="!!!",F331="NEW"),"",INDEX(B18:B$314,-1+SUMPRODUCT(MAX(ROW(E18:E$314)*(E331=E18:E$314)))))</f>
        <v>#REF!</v>
      </c>
      <c r="J331" s="27" t="n">
        <f aca="true">IF(OR(E331="",E331="!!!",F331="NEW"),"",COUNTBLANK(OFFSET(A$1,,,SUMPRODUCT(MAX(ROW(E$2:E331)*(E331=E$2:E331)))))-COUNTBLANK(OFFSET(A$1,,,SUMPRODUCT(MAX(ROW(E$1:E330)*(E2=E$1:E330))))))</f>
        <v>0</v>
      </c>
      <c r="K331" s="27" t="n">
        <f aca="false">IF(OR(E331="",E331="!!!",F331="NEW"),"",INDEX(J$1:J330,SUMPRODUCT(MAX(ROW(E$1:E330)*(E331=E$1:E330)))))</f>
        <v>0</v>
      </c>
      <c r="L331" s="28"/>
    </row>
    <row r="332" customFormat="false" ht="15" hidden="false" customHeight="false" outlineLevel="0" collapsed="false">
      <c r="A332" s="21" t="s">
        <v>193</v>
      </c>
      <c r="E332" s="25"/>
      <c r="F332" s="26" t="str">
        <f aca="false">IF(OR(E332="",E332="!!!"),"",IF(NOT(ISNA(VLOOKUP(E332,E$1:E331,1,FALSE()))),"OLD",IF(AND(E332&lt;&gt;"",E332&lt;&gt;"!!!"),"NEW","")))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7" t="str">
        <f aca="false">IF(OR(E332="",E332="!!!",F332="NEW"),"",INDEX(B19:B$314,-1+SUMPRODUCT(MAX(ROW(E19:E$314)*(E332=E19:E$314)))))</f>
        <v/>
      </c>
      <c r="J332" s="27" t="str">
        <f aca="true">IF(OR(E332="",E332="!!!",F332="NEW"),"",COUNTBLANK(OFFSET(A$1,,,SUMPRODUCT(MAX(ROW(E$2:E332)*(E332=E$2:E332)))))-COUNTBLANK(OFFSET(A$1,,,SUMPRODUCT(MAX(ROW(E$1:E331)*(E2=E$1:E331))))))</f>
        <v/>
      </c>
      <c r="K332" s="27" t="str">
        <f aca="false">IF(OR(E332="",E332="!!!",F332="NEW"),"",INDEX(J$1:J331,SUMPRODUCT(MAX(ROW(E$1:E331)*(E332=E$1:E331)))))</f>
        <v/>
      </c>
      <c r="L332" s="28"/>
    </row>
    <row r="333" customFormat="false" ht="15" hidden="false" customHeight="false" outlineLevel="0" collapsed="false">
      <c r="A333" s="21"/>
      <c r="G333" s="22" t="str">
        <f aca="false">IF(OR(E333="",E333="!!!"),"",IF(OR(J333=0,AND(J333=1,K333=1),AND(J333=1,I333="SBJ"),AND(J333=1,I333=0)),"?IN_FOCUS",IF(J333&lt;=2,"?ACTIVATED",IF(J333&lt;&gt;"","?FAMILIAR",IF(F333="NEW",IF(ISNA(VLOOKUP(E333,#REF!,1,FALSE())),"?TYPE_IDENTIFIABLE","?REFERENTIAL"),"_")))))</f>
        <v/>
      </c>
      <c r="H333" s="23" t="str">
        <f aca="false">IF(J333&lt;&gt;1,"",IF(I333="SBJ","CB","?"))</f>
        <v/>
      </c>
    </row>
    <row r="334" customFormat="false" ht="15" hidden="false" customHeight="false" outlineLevel="0" collapsed="false">
      <c r="A334" s="21" t="s">
        <v>405</v>
      </c>
      <c r="G334" s="22" t="str">
        <f aca="false">IF(OR(E334="",E334="!!!"),"",IF(OR(J334=0,AND(J334=1,K334=1),AND(J334=1,I334="SBJ"),AND(J334=1,I334=0)),"?IN_FOCUS",IF(J334&lt;=2,"?ACTIVATED",IF(J334&lt;&gt;"","?FAMILIAR",IF(F334="NEW",IF(ISNA(VLOOKUP(E334,#REF!,1,FALSE())),"?TYPE_IDENTIFIABLE","?REFERENTIAL"),"_")))))</f>
        <v/>
      </c>
      <c r="H334" s="23" t="str">
        <f aca="false">IF(J334&lt;&gt;1,"",IF(I334="SBJ","CB","?"))</f>
        <v/>
      </c>
    </row>
    <row r="335" customFormat="false" ht="15" hidden="false" customHeight="false" outlineLevel="0" collapsed="false">
      <c r="A335" s="21" t="s">
        <v>406</v>
      </c>
      <c r="E335" s="25"/>
      <c r="F335" s="26" t="str">
        <f aca="false">IF(OR(E335="",E335="!!!"),"",IF(NOT(ISNA(VLOOKUP(E335,E$1:E334,1,FALSE()))),"OLD",IF(AND(E335&lt;&gt;"",E335&lt;&gt;"!!!"),"NEW","")))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7" t="str">
        <f aca="false">IF(OR(E335="",E335="!!!",F335="NEW"),"",INDEX(B2:B$334,-1+SUMPRODUCT(MAX(ROW(E2:E$334)*(E335=E2:E$334)))))</f>
        <v/>
      </c>
      <c r="J335" s="27" t="str">
        <f aca="true">IF(OR(E335="",E335="!!!",F335="NEW"),"",COUNTBLANK(OFFSET(A$1,,,SUMPRODUCT(MAX(ROW(E$2:E335)*(E335=E$2:E335)))))-COUNTBLANK(OFFSET(A$1,,,SUMPRODUCT(MAX(ROW(E$1:E334)*(E2=E$1:E334))))))</f>
        <v/>
      </c>
      <c r="K335" s="27" t="str">
        <f aca="false">IF(OR(E335="",E335="!!!",F335="NEW"),"",INDEX(J$1:J334,SUMPRODUCT(MAX(ROW(E$1:E334)*(E335=E$1:E334)))))</f>
        <v/>
      </c>
      <c r="L335" s="28"/>
    </row>
    <row r="336" customFormat="false" ht="15" hidden="false" customHeight="false" outlineLevel="0" collapsed="false">
      <c r="A336" s="21" t="s">
        <v>189</v>
      </c>
      <c r="B336" s="29" t="s">
        <v>153</v>
      </c>
      <c r="C336" s="29" t="s">
        <v>167</v>
      </c>
      <c r="E336" s="25"/>
      <c r="F336" s="26" t="str">
        <f aca="false">IF(OR(E336="",E336="!!!"),"",IF(NOT(ISNA(VLOOKUP(E336,E$1:E335,1,FALSE()))),"OLD",IF(AND(E336&lt;&gt;"",E336&lt;&gt;"!!!"),"NEW","")))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7" t="str">
        <f aca="false">IF(OR(E336="",E336="!!!",F336="NEW"),"",INDEX(B3:B$334,-1+SUMPRODUCT(MAX(ROW(E3:E$334)*(E336=E3:E$334)))))</f>
        <v/>
      </c>
      <c r="J336" s="27" t="str">
        <f aca="true">IF(OR(E336="",E336="!!!",F336="NEW"),"",COUNTBLANK(OFFSET(A$1,,,SUMPRODUCT(MAX(ROW(E$2:E336)*(E336=E$2:E336)))))-COUNTBLANK(OFFSET(A$1,,,SUMPRODUCT(MAX(ROW(E$1:E335)*(E2=E$1:E335))))))</f>
        <v/>
      </c>
      <c r="K336" s="27" t="str">
        <f aca="false">IF(OR(E336="",E336="!!!",F336="NEW"),"",INDEX(J$1:J335,SUMPRODUCT(MAX(ROW(E$1:E335)*(E336=E$1:E335)))))</f>
        <v/>
      </c>
      <c r="L336" s="28"/>
    </row>
    <row r="337" customFormat="false" ht="15" hidden="false" customHeight="false" outlineLevel="0" collapsed="false">
      <c r="A337" s="21" t="s">
        <v>178</v>
      </c>
      <c r="E337" s="25"/>
      <c r="F337" s="26" t="str">
        <f aca="false">IF(OR(E337="",E337="!!!"),"",IF(NOT(ISNA(VLOOKUP(E337,E$1:E336,1,FALSE()))),"OLD",IF(AND(E337&lt;&gt;"",E337&lt;&gt;"!!!"),"NEW","")))</f>
        <v/>
      </c>
      <c r="G337" s="22" t="str">
        <f aca="false">IF(OR(E337="",E337="!!!"),"",IF(OR(J337=0,AND(J337=1,K337=1),AND(J337=1,I337="SBJ"),AND(J337=1,I337=0)),"?IN_FOCUS",IF(J337&lt;=2,"?ACTIVATED",IF(J337&lt;&gt;"","?FAMILIAR",IF(F337="NEW",IF(ISNA(VLOOKUP(E337,#REF!,1,FALSE())),"?TYPE_IDENTIFIABLE","?REFERENTIAL"),"_")))))</f>
        <v/>
      </c>
      <c r="H337" s="23" t="str">
        <f aca="false">IF(J337&lt;&gt;1,"",IF(I337="SBJ","CB","?"))</f>
        <v/>
      </c>
      <c r="I337" s="27" t="str">
        <f aca="false">IF(OR(E337="",E337="!!!",F337="NEW"),"",INDEX(B4:B$334,-1+SUMPRODUCT(MAX(ROW(E4:E$334)*(E337=E4:E$334)))))</f>
        <v/>
      </c>
      <c r="J337" s="27" t="str">
        <f aca="true">IF(OR(E337="",E337="!!!",F337="NEW"),"",COUNTBLANK(OFFSET(A$1,,,SUMPRODUCT(MAX(ROW(E$2:E337)*(E337=E$2:E337)))))-COUNTBLANK(OFFSET(A$1,,,SUMPRODUCT(MAX(ROW(E$1:E336)*(E2=E$1:E336))))))</f>
        <v/>
      </c>
      <c r="K337" s="27" t="str">
        <f aca="false">IF(OR(E337="",E337="!!!",F337="NEW"),"",INDEX(J$1:J336,SUMPRODUCT(MAX(ROW(E$1:E336)*(E337=E$1:E336)))))</f>
        <v/>
      </c>
      <c r="L337" s="28"/>
    </row>
    <row r="338" customFormat="false" ht="15" hidden="false" customHeight="false" outlineLevel="0" collapsed="false">
      <c r="A338" s="21" t="s">
        <v>375</v>
      </c>
      <c r="B338" s="29" t="s">
        <v>180</v>
      </c>
      <c r="C338" s="29" t="s">
        <v>181</v>
      </c>
      <c r="D338" s="29" t="s">
        <v>159</v>
      </c>
      <c r="E338" s="25" t="s">
        <v>395</v>
      </c>
      <c r="F338" s="30" t="str">
        <f aca="false">IF(OR(E338="",E338="!!!"),"",IF(NOT(ISNA(VLOOKUP(E338,E$1:E337,1,FALSE()))),"OLD",IF(AND(E338&lt;&gt;"",E338&lt;&gt;"!!!"),"NEW","")))</f>
        <v>OLD</v>
      </c>
      <c r="G338" s="22" t="s">
        <v>160</v>
      </c>
      <c r="H338" s="23" t="str">
        <f aca="false">IF(J338&lt;&gt;1,"",IF(I338="SBJ","CB","?"))</f>
        <v/>
      </c>
      <c r="I338" s="31" t="n">
        <f aca="false">IF(OR(E338="",E338="!!!",F338="NEW"),"",INDEX(B5:B$334,-1+SUMPRODUCT(MAX(ROW(E5:E$334)*(E338=E5:E$334)))))</f>
        <v>0</v>
      </c>
      <c r="J338" s="31" t="n">
        <f aca="true">IF(OR(E338="",E338="!!!",F338="NEW"),"",COUNTBLANK(OFFSET(A$1,,,SUMPRODUCT(MAX(ROW(E$2:E338)*(E338=E$2:E338)))))-COUNTBLANK(OFFSET(A$1,,,SUMPRODUCT(MAX(ROW(E$1:E337)*(E2=E$1:E337))))))</f>
        <v>0</v>
      </c>
      <c r="K338" s="31" t="n">
        <f aca="false">IF(OR(E338="",E338="!!!",F338="NEW"),"",INDEX(J$1:J337,SUMPRODUCT(MAX(ROW(E$1:E337)*(E338=E$1:E337)))))</f>
        <v>0</v>
      </c>
      <c r="L338" s="28"/>
    </row>
    <row r="339" customFormat="false" ht="15" hidden="false" customHeight="false" outlineLevel="0" collapsed="false">
      <c r="A339" s="21" t="s">
        <v>67</v>
      </c>
      <c r="E339" s="25"/>
      <c r="F339" s="26" t="str">
        <f aca="false">IF(OR(E339="",E339="!!!"),"",IF(NOT(ISNA(VLOOKUP(E339,E$1:E338,1,FALSE()))),"OLD",IF(AND(E339&lt;&gt;"",E339&lt;&gt;"!!!"),"NEW","")))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7" t="str">
        <f aca="false">IF(OR(E339="",E339="!!!",F339="NEW"),"",INDEX(B6:B$334,-1+SUMPRODUCT(MAX(ROW(E6:E$334)*(E339=E6:E$334)))))</f>
        <v/>
      </c>
      <c r="J339" s="27" t="str">
        <f aca="true">IF(OR(E339="",E339="!!!",F339="NEW"),"",COUNTBLANK(OFFSET(A$1,,,SUMPRODUCT(MAX(ROW(E$2:E339)*(E339=E$2:E339)))))-COUNTBLANK(OFFSET(A$1,,,SUMPRODUCT(MAX(ROW(E$1:E338)*(E2=E$1:E338))))))</f>
        <v/>
      </c>
      <c r="K339" s="27" t="str">
        <f aca="false">IF(OR(E339="",E339="!!!",F339="NEW"),"",INDEX(J$1:J338,SUMPRODUCT(MAX(ROW(E$1:E338)*(E339=E$1:E338)))))</f>
        <v/>
      </c>
      <c r="L339" s="28"/>
    </row>
    <row r="340" customFormat="false" ht="15" hidden="false" customHeight="false" outlineLevel="0" collapsed="false">
      <c r="A340" s="21" t="s">
        <v>407</v>
      </c>
      <c r="E340" s="25"/>
      <c r="F340" s="26" t="str">
        <f aca="false">IF(OR(E340="",E340="!!!"),"",IF(NOT(ISNA(VLOOKUP(E340,E$1:E339,1,FALSE()))),"OLD",IF(AND(E340&lt;&gt;"",E340&lt;&gt;"!!!"),"NEW","")))</f>
        <v/>
      </c>
      <c r="G340" s="22" t="str">
        <f aca="false">IF(OR(E340="",E340="!!!"),"",IF(OR(J340=0,AND(J340=1,K340=1),AND(J340=1,I340="SBJ"),AND(J340=1,I340=0)),"?IN_FOCUS",IF(J340&lt;=2,"?ACTIVATED",IF(J340&lt;&gt;"","?FAMILIAR",IF(F340="NEW",IF(ISNA(VLOOKUP(E340,#REF!,1,FALSE())),"?TYPE_IDENTIFIABLE","?REFERENTIAL"),"_")))))</f>
        <v/>
      </c>
      <c r="H340" s="23" t="str">
        <f aca="false">IF(J340&lt;&gt;1,"",IF(I340="SBJ","CB","?"))</f>
        <v/>
      </c>
      <c r="I340" s="27" t="str">
        <f aca="false">IF(OR(E340="",E340="!!!",F340="NEW"),"",INDEX(B7:B$334,-1+SUMPRODUCT(MAX(ROW(E7:E$334)*(E340=E7:E$334)))))</f>
        <v/>
      </c>
      <c r="J340" s="27" t="str">
        <f aca="true">IF(OR(E340="",E340="!!!",F340="NEW"),"",COUNTBLANK(OFFSET(A$1,,,SUMPRODUCT(MAX(ROW(E$2:E340)*(E340=E$2:E340)))))-COUNTBLANK(OFFSET(A$1,,,SUMPRODUCT(MAX(ROW(E$1:E339)*(E2=E$1:E339))))))</f>
        <v/>
      </c>
      <c r="K340" s="27" t="str">
        <f aca="false">IF(OR(E340="",E340="!!!",F340="NEW"),"",INDEX(J$1:J339,SUMPRODUCT(MAX(ROW(E$1:E339)*(E340=E$1:E339)))))</f>
        <v/>
      </c>
      <c r="L340" s="28"/>
    </row>
    <row r="341" customFormat="false" ht="15" hidden="false" customHeight="false" outlineLevel="0" collapsed="false">
      <c r="A341" s="21" t="s">
        <v>408</v>
      </c>
      <c r="B341" s="29" t="s">
        <v>203</v>
      </c>
      <c r="C341" s="29" t="s">
        <v>167</v>
      </c>
      <c r="E341" s="25"/>
      <c r="F341" s="26" t="str">
        <f aca="false">IF(OR(E341="",E341="!!!"),"",IF(NOT(ISNA(VLOOKUP(E341,E$1:E340,1,FALSE()))),"OLD",IF(AND(E341&lt;&gt;"",E341&lt;&gt;"!!!"),"NEW","")))</f>
        <v/>
      </c>
      <c r="G341" s="22" t="str">
        <f aca="false">IF(OR(E341="",E341="!!!"),"",IF(OR(J341=0,AND(J341=1,K341=1),AND(J341=1,I341="SBJ"),AND(J341=1,I341=0)),"?IN_FOCUS",IF(J341&lt;=2,"?ACTIVATED",IF(J341&lt;&gt;"","?FAMILIAR",IF(F341="NEW",IF(ISNA(VLOOKUP(E341,#REF!,1,FALSE())),"?TYPE_IDENTIFIABLE","?REFERENTIAL"),"_")))))</f>
        <v/>
      </c>
      <c r="H341" s="23" t="str">
        <f aca="false">IF(J341&lt;&gt;1,"",IF(I341="SBJ","CB","?"))</f>
        <v/>
      </c>
      <c r="I341" s="27" t="str">
        <f aca="false">IF(OR(E341="",E341="!!!",F341="NEW"),"",INDEX(B8:B$334,-1+SUMPRODUCT(MAX(ROW(E8:E$334)*(E341=E8:E$334)))))</f>
        <v/>
      </c>
      <c r="J341" s="27" t="str">
        <f aca="true">IF(OR(E341="",E341="!!!",F341="NEW"),"",COUNTBLANK(OFFSET(A$1,,,SUMPRODUCT(MAX(ROW(E$2:E341)*(E341=E$2:E341)))))-COUNTBLANK(OFFSET(A$1,,,SUMPRODUCT(MAX(ROW(E$1:E340)*(E2=E$1:E340))))))</f>
        <v/>
      </c>
      <c r="K341" s="27" t="str">
        <f aca="false">IF(OR(E341="",E341="!!!",F341="NEW"),"",INDEX(J$1:J340,SUMPRODUCT(MAX(ROW(E$1:E340)*(E341=E$1:E340)))))</f>
        <v/>
      </c>
      <c r="L341" s="28"/>
    </row>
    <row r="342" customFormat="false" ht="15" hidden="false" customHeight="false" outlineLevel="0" collapsed="false">
      <c r="A342" s="21" t="s">
        <v>178</v>
      </c>
      <c r="E342" s="25"/>
      <c r="F342" s="26" t="str">
        <f aca="false">IF(OR(E342="",E342="!!!"),"",IF(NOT(ISNA(VLOOKUP(E342,E$1:E341,1,FALSE()))),"OLD",IF(AND(E342&lt;&gt;"",E342&lt;&gt;"!!!"),"NEW","")))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7" t="str">
        <f aca="false">IF(OR(E342="",E342="!!!",F342="NEW"),"",INDEX(B9:B$334,-1+SUMPRODUCT(MAX(ROW(E9:E$334)*(E342=E9:E$334)))))</f>
        <v/>
      </c>
      <c r="J342" s="27" t="str">
        <f aca="true">IF(OR(E342="",E342="!!!",F342="NEW"),"",COUNTBLANK(OFFSET(A$1,,,SUMPRODUCT(MAX(ROW(E$2:E342)*(E342=E$2:E342)))))-COUNTBLANK(OFFSET(A$1,,,SUMPRODUCT(MAX(ROW(E$1:E341)*(E2=E$1:E341))))))</f>
        <v/>
      </c>
      <c r="K342" s="27" t="str">
        <f aca="false">IF(OR(E342="",E342="!!!",F342="NEW"),"",INDEX(J$1:J341,SUMPRODUCT(MAX(ROW(E$1:E341)*(E342=E$1:E341)))))</f>
        <v/>
      </c>
      <c r="L342" s="28"/>
    </row>
    <row r="343" customFormat="false" ht="15" hidden="false" customHeight="false" outlineLevel="0" collapsed="false">
      <c r="A343" s="21" t="s">
        <v>409</v>
      </c>
      <c r="E343" s="25"/>
      <c r="F343" s="26" t="str">
        <f aca="false">IF(OR(E343="",E343="!!!"),"",IF(NOT(ISNA(VLOOKUP(E343,E$1:E342,1,FALSE()))),"OLD",IF(AND(E343&lt;&gt;"",E343&lt;&gt;"!!!"),"NEW","")))</f>
        <v/>
      </c>
      <c r="G343" s="22" t="str">
        <f aca="false">IF(OR(E343="",E343="!!!"),"",IF(OR(J343=0,AND(J343=1,K343=1),AND(J343=1,I343="SBJ"),AND(J343=1,I343=0)),"?IN_FOCUS",IF(J343&lt;=2,"?ACTIVATED",IF(J343&lt;&gt;"","?FAMILIAR",IF(F343="NEW",IF(ISNA(VLOOKUP(E343,#REF!,1,FALSE())),"?TYPE_IDENTIFIABLE","?REFERENTIAL"),"_")))))</f>
        <v/>
      </c>
      <c r="H343" s="23" t="str">
        <f aca="false">IF(J343&lt;&gt;1,"",IF(I343="SBJ","CB","?"))</f>
        <v/>
      </c>
      <c r="I343" s="27" t="str">
        <f aca="false">IF(OR(E343="",E343="!!!",F343="NEW"),"",INDEX(B10:B$334,-1+SUMPRODUCT(MAX(ROW(E10:E$334)*(E343=E10:E$334)))))</f>
        <v/>
      </c>
      <c r="J343" s="27" t="str">
        <f aca="true">IF(OR(E343="",E343="!!!",F343="NEW"),"",COUNTBLANK(OFFSET(A$1,,,SUMPRODUCT(MAX(ROW(E$2:E343)*(E343=E$2:E343)))))-COUNTBLANK(OFFSET(A$1,,,SUMPRODUCT(MAX(ROW(E$1:E342)*(E2=E$1:E342))))))</f>
        <v/>
      </c>
      <c r="K343" s="27" t="str">
        <f aca="false">IF(OR(E343="",E343="!!!",F343="NEW"),"",INDEX(J$1:J342,SUMPRODUCT(MAX(ROW(E$1:E342)*(E343=E$1:E342)))))</f>
        <v/>
      </c>
      <c r="L343" s="28"/>
    </row>
    <row r="344" customFormat="false" ht="15" hidden="false" customHeight="false" outlineLevel="0" collapsed="false">
      <c r="A344" s="21" t="s">
        <v>367</v>
      </c>
      <c r="E344" s="25"/>
      <c r="F344" s="26" t="str">
        <f aca="false">IF(OR(E344="",E344="!!!"),"",IF(NOT(ISNA(VLOOKUP(E344,E$1:E343,1,FALSE()))),"OLD",IF(AND(E344&lt;&gt;"",E344&lt;&gt;"!!!"),"NEW","")))</f>
        <v/>
      </c>
      <c r="G344" s="22" t="str">
        <f aca="false">IF(OR(E344="",E344="!!!"),"",IF(OR(J344=0,AND(J344=1,K344=1),AND(J344=1,I344="SBJ"),AND(J344=1,I344=0)),"?IN_FOCUS",IF(J344&lt;=2,"?ACTIVATED",IF(J344&lt;&gt;"","?FAMILIAR",IF(F344="NEW",IF(ISNA(VLOOKUP(E344,#REF!,1,FALSE())),"?TYPE_IDENTIFIABLE","?REFERENTIAL"),"_")))))</f>
        <v/>
      </c>
      <c r="H344" s="23" t="str">
        <f aca="false">IF(J344&lt;&gt;1,"",IF(I344="SBJ","CB","?"))</f>
        <v/>
      </c>
      <c r="I344" s="27" t="str">
        <f aca="false">IF(OR(E344="",E344="!!!",F344="NEW"),"",INDEX(B11:B$334,-1+SUMPRODUCT(MAX(ROW(E11:E$334)*(E344=E11:E$334)))))</f>
        <v/>
      </c>
      <c r="J344" s="27" t="str">
        <f aca="true">IF(OR(E344="",E344="!!!",F344="NEW"),"",COUNTBLANK(OFFSET(A$1,,,SUMPRODUCT(MAX(ROW(E$2:E344)*(E344=E$2:E344)))))-COUNTBLANK(OFFSET(A$1,,,SUMPRODUCT(MAX(ROW(E$1:E343)*(E2=E$1:E343))))))</f>
        <v/>
      </c>
      <c r="K344" s="27" t="str">
        <f aca="false">IF(OR(E344="",E344="!!!",F344="NEW"),"",INDEX(J$1:J343,SUMPRODUCT(MAX(ROW(E$1:E343)*(E344=E$1:E343)))))</f>
        <v/>
      </c>
      <c r="L344" s="28"/>
    </row>
    <row r="345" customFormat="false" ht="15" hidden="false" customHeight="false" outlineLevel="0" collapsed="false">
      <c r="A345" s="21" t="s">
        <v>394</v>
      </c>
      <c r="B345" s="29" t="s">
        <v>210</v>
      </c>
      <c r="C345" s="29" t="s">
        <v>240</v>
      </c>
      <c r="D345" s="29" t="s">
        <v>159</v>
      </c>
      <c r="E345" s="25" t="s">
        <v>395</v>
      </c>
      <c r="F345" s="30" t="str">
        <f aca="false">IF(OR(E345="",E345="!!!"),"",IF(NOT(ISNA(VLOOKUP(E345,E$1:E344,1,FALSE()))),"OLD",IF(AND(E345&lt;&gt;"",E345&lt;&gt;"!!!"),"NEW","")))</f>
        <v>OLD</v>
      </c>
      <c r="G345" s="22" t="s">
        <v>186</v>
      </c>
      <c r="H345" s="23" t="str">
        <f aca="false">IF(J345&lt;&gt;1,"",IF(I345="SBJ","CB","?"))</f>
        <v/>
      </c>
      <c r="I345" s="31" t="str">
        <f aca="false">IF(OR(E345="",E345="!!!",F345="NEW"),"",INDEX(B12:B$334,-1+SUMPRODUCT(MAX(ROW(E12:E$334)*(E345=E12:E$334)))))</f>
        <v>other_2</v>
      </c>
      <c r="J345" s="31" t="n">
        <f aca="true">IF(OR(E345="",E345="!!!",F345="NEW"),"",COUNTBLANK(OFFSET(A$1,,,SUMPRODUCT(MAX(ROW(E$2:E345)*(E345=E$2:E345)))))-COUNTBLANK(OFFSET(A$1,,,SUMPRODUCT(MAX(ROW(E$1:E344)*(E2=E$1:E344))))))</f>
        <v>0</v>
      </c>
      <c r="K345" s="31" t="n">
        <f aca="false">IF(OR(E345="",E345="!!!",F345="NEW"),"",INDEX(J$1:J344,SUMPRODUCT(MAX(ROW(E$1:E344)*(E345=E$1:E344)))))</f>
        <v>0</v>
      </c>
      <c r="L345" s="28"/>
    </row>
    <row r="346" customFormat="false" ht="15" hidden="false" customHeight="false" outlineLevel="0" collapsed="false">
      <c r="A346" s="21" t="s">
        <v>410</v>
      </c>
      <c r="B346" s="29" t="s">
        <v>258</v>
      </c>
      <c r="C346" s="29" t="s">
        <v>243</v>
      </c>
      <c r="D346" s="29" t="s">
        <v>159</v>
      </c>
      <c r="E346" s="25" t="s">
        <v>411</v>
      </c>
      <c r="F346" s="30" t="str">
        <f aca="false">IF(OR(E346="",E346="!!!"),"",IF(NOT(ISNA(VLOOKUP(E346,E$1:E345,1,FALSE()))),"OLD",IF(AND(E346&lt;&gt;"",E346&lt;&gt;"!!!"),"NEW","")))</f>
        <v>NEW</v>
      </c>
      <c r="G346" s="22" t="s">
        <v>160</v>
      </c>
      <c r="H346" s="23" t="str">
        <f aca="false">IF(J346&lt;&gt;1,"",IF(I346="SBJ","CB","?"))</f>
        <v/>
      </c>
      <c r="I346" s="31" t="str">
        <f aca="false">IF(OR(E346="",E346="!!!",F346="NEW"),"",INDEX(B13:B$334,-1+SUMPRODUCT(MAX(ROW(E13:E$334)*(E346=E13:E$334)))))</f>
        <v/>
      </c>
      <c r="J346" s="31" t="str">
        <f aca="true">IF(OR(E346="",E346="!!!",F346="NEW"),"",COUNTBLANK(OFFSET(A$1,,,SUMPRODUCT(MAX(ROW(E$2:E346)*(E346=E$2:E346)))))-COUNTBLANK(OFFSET(A$1,,,SUMPRODUCT(MAX(ROW(E$1:E345)*(E2=E$1:E345))))))</f>
        <v/>
      </c>
      <c r="K346" s="31" t="str">
        <f aca="false">IF(OR(E346="",E346="!!!",F346="NEW"),"",INDEX(J$1:J345,SUMPRODUCT(MAX(ROW(E$1:E345)*(E346=E$1:E345)))))</f>
        <v/>
      </c>
      <c r="L346" s="28"/>
    </row>
    <row r="347" customFormat="false" ht="15" hidden="false" customHeight="false" outlineLevel="0" collapsed="false">
      <c r="A347" s="21" t="s">
        <v>178</v>
      </c>
      <c r="E347" s="25"/>
      <c r="F347" s="26" t="str">
        <f aca="false">IF(OR(E347="",E347="!!!"),"",IF(NOT(ISNA(VLOOKUP(E347,E$1:E346,1,FALSE()))),"OLD",IF(AND(E347&lt;&gt;"",E347&lt;&gt;"!!!"),"NEW","")))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7" t="str">
        <f aca="false">IF(OR(E347="",E347="!!!",F347="NEW"),"",INDEX(B14:B$334,-1+SUMPRODUCT(MAX(ROW(E14:E$334)*(E347=E14:E$334)))))</f>
        <v/>
      </c>
      <c r="J347" s="27" t="str">
        <f aca="true">IF(OR(E347="",E347="!!!",F347="NEW"),"",COUNTBLANK(OFFSET(A$1,,,SUMPRODUCT(MAX(ROW(E$2:E347)*(E347=E$2:E347)))))-COUNTBLANK(OFFSET(A$1,,,SUMPRODUCT(MAX(ROW(E$1:E346)*(E2=E$1:E346))))))</f>
        <v/>
      </c>
      <c r="K347" s="27" t="str">
        <f aca="false">IF(OR(E347="",E347="!!!",F347="NEW"),"",INDEX(J$1:J346,SUMPRODUCT(MAX(ROW(E$1:E346)*(E347=E$1:E346)))))</f>
        <v/>
      </c>
      <c r="L347" s="28"/>
    </row>
    <row r="348" customFormat="false" ht="15" hidden="false" customHeight="false" outlineLevel="0" collapsed="false">
      <c r="A348" s="21" t="s">
        <v>207</v>
      </c>
      <c r="E348" s="25"/>
      <c r="F348" s="26" t="str">
        <f aca="false">IF(OR(E348="",E348="!!!"),"",IF(NOT(ISNA(VLOOKUP(E348,E$1:E347,1,FALSE()))),"OLD",IF(AND(E348&lt;&gt;"",E348&lt;&gt;"!!!"),"NEW","")))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7" t="str">
        <f aca="false">IF(OR(E348="",E348="!!!",F348="NEW"),"",INDEX(B15:B$334,-1+SUMPRODUCT(MAX(ROW(E15:E$334)*(E348=E15:E$334)))))</f>
        <v/>
      </c>
      <c r="J348" s="27" t="str">
        <f aca="true">IF(OR(E348="",E348="!!!",F348="NEW"),"",COUNTBLANK(OFFSET(A$1,,,SUMPRODUCT(MAX(ROW(E$2:E348)*(E348=E$2:E348)))))-COUNTBLANK(OFFSET(A$1,,,SUMPRODUCT(MAX(ROW(E$1:E347)*(E2=E$1:E347))))))</f>
        <v/>
      </c>
      <c r="K348" s="27" t="str">
        <f aca="false">IF(OR(E348="",E348="!!!",F348="NEW"),"",INDEX(J$1:J347,SUMPRODUCT(MAX(ROW(E$1:E347)*(E348=E$1:E347)))))</f>
        <v/>
      </c>
      <c r="L348" s="28"/>
    </row>
    <row r="349" customFormat="false" ht="15" hidden="false" customHeight="false" outlineLevel="0" collapsed="false">
      <c r="A349" s="21" t="s">
        <v>412</v>
      </c>
      <c r="E349" s="25"/>
      <c r="F349" s="26" t="str">
        <f aca="false">IF(OR(E349="",E349="!!!"),"",IF(NOT(ISNA(VLOOKUP(E349,E$1:E348,1,FALSE()))),"OLD",IF(AND(E349&lt;&gt;"",E349&lt;&gt;"!!!"),"NEW","")))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7" t="str">
        <f aca="false">IF(OR(E349="",E349="!!!",F349="NEW"),"",INDEX(B16:B$334,-1+SUMPRODUCT(MAX(ROW(E16:E$334)*(E349=E16:E$334)))))</f>
        <v/>
      </c>
      <c r="J349" s="27" t="str">
        <f aca="true">IF(OR(E349="",E349="!!!",F349="NEW"),"",COUNTBLANK(OFFSET(A$1,,,SUMPRODUCT(MAX(ROW(E$2:E349)*(E349=E$2:E349)))))-COUNTBLANK(OFFSET(A$1,,,SUMPRODUCT(MAX(ROW(E$1:E348)*(E2=E$1:E348))))))</f>
        <v/>
      </c>
      <c r="K349" s="27" t="str">
        <f aca="false">IF(OR(E349="",E349="!!!",F349="NEW"),"",INDEX(J$1:J348,SUMPRODUCT(MAX(ROW(E$1:E348)*(E349=E$1:E348)))))</f>
        <v/>
      </c>
      <c r="L349" s="28"/>
    </row>
    <row r="350" customFormat="false" ht="15" hidden="false" customHeight="false" outlineLevel="0" collapsed="false">
      <c r="A350" s="21" t="s">
        <v>169</v>
      </c>
      <c r="E350" s="25"/>
      <c r="F350" s="26" t="str">
        <f aca="false">IF(OR(E350="",E350="!!!"),"",IF(NOT(ISNA(VLOOKUP(E350,E$1:E349,1,FALSE()))),"OLD",IF(AND(E350&lt;&gt;"",E350&lt;&gt;"!!!"),"NEW","")))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7" t="str">
        <f aca="false">IF(OR(E350="",E350="!!!",F350="NEW"),"",INDEX(B17:B$334,-1+SUMPRODUCT(MAX(ROW(E17:E$334)*(E350=E17:E$334)))))</f>
        <v/>
      </c>
      <c r="J350" s="27" t="str">
        <f aca="true">IF(OR(E350="",E350="!!!",F350="NEW"),"",COUNTBLANK(OFFSET(A$1,,,SUMPRODUCT(MAX(ROW(E$2:E350)*(E350=E$2:E350)))))-COUNTBLANK(OFFSET(A$1,,,SUMPRODUCT(MAX(ROW(E$1:E349)*(E2=E$1:E349))))))</f>
        <v/>
      </c>
      <c r="K350" s="27" t="str">
        <f aca="false">IF(OR(E350="",E350="!!!",F350="NEW"),"",INDEX(J$1:J349,SUMPRODUCT(MAX(ROW(E$1:E349)*(E350=E$1:E349)))))</f>
        <v/>
      </c>
      <c r="L350" s="28"/>
    </row>
    <row r="351" customFormat="false" ht="15" hidden="false" customHeight="false" outlineLevel="0" collapsed="false">
      <c r="A351" s="21" t="s">
        <v>413</v>
      </c>
      <c r="B351" s="29" t="s">
        <v>264</v>
      </c>
      <c r="C351" s="29" t="s">
        <v>171</v>
      </c>
      <c r="D351" s="29" t="s">
        <v>159</v>
      </c>
      <c r="E351" s="25" t="s">
        <v>414</v>
      </c>
      <c r="F351" s="30" t="str">
        <f aca="false">IF(OR(E351="",E351="!!!"),"",IF(NOT(ISNA(VLOOKUP(E351,E$1:E350,1,FALSE()))),"OLD",IF(AND(E351&lt;&gt;"",E351&lt;&gt;"!!!"),"NEW","")))</f>
        <v>NEW</v>
      </c>
      <c r="G351" s="22" t="s">
        <v>160</v>
      </c>
      <c r="H351" s="23" t="str">
        <f aca="false">IF(J351&lt;&gt;1,"",IF(I351="SBJ","CB","?"))</f>
        <v/>
      </c>
      <c r="I351" s="31" t="str">
        <f aca="false">IF(OR(E351="",E351="!!!",F351="NEW"),"",INDEX(B18:B$334,-1+SUMPRODUCT(MAX(ROW(E18:E$334)*(E351=E18:E$334)))))</f>
        <v/>
      </c>
      <c r="J351" s="31" t="str">
        <f aca="true">IF(OR(E351="",E351="!!!",F351="NEW"),"",COUNTBLANK(OFFSET(A$1,,,SUMPRODUCT(MAX(ROW(E$2:E351)*(E351=E$2:E351)))))-COUNTBLANK(OFFSET(A$1,,,SUMPRODUCT(MAX(ROW(E$1:E350)*(E2=E$1:E350))))))</f>
        <v/>
      </c>
      <c r="K351" s="31" t="str">
        <f aca="false">IF(OR(E351="",E351="!!!",F351="NEW"),"",INDEX(J$1:J350,SUMPRODUCT(MAX(ROW(E$1:E350)*(E351=E$1:E350)))))</f>
        <v/>
      </c>
      <c r="L351" s="28"/>
    </row>
    <row r="352" customFormat="false" ht="15" hidden="false" customHeight="false" outlineLevel="0" collapsed="false">
      <c r="A352" s="21" t="s">
        <v>204</v>
      </c>
      <c r="E352" s="25"/>
      <c r="F352" s="26" t="str">
        <f aca="false">IF(OR(E352="",E352="!!!"),"",IF(NOT(ISNA(VLOOKUP(E352,E$1:E351,1,FALSE()))),"OLD",IF(AND(E352&lt;&gt;"",E352&lt;&gt;"!!!"),"NEW","")))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7" t="str">
        <f aca="false">IF(OR(E352="",E352="!!!",F352="NEW"),"",INDEX(B19:B$334,-1+SUMPRODUCT(MAX(ROW(E19:E$334)*(E352=E19:E$334)))))</f>
        <v/>
      </c>
      <c r="J352" s="27" t="str">
        <f aca="true">IF(OR(E352="",E352="!!!",F352="NEW"),"",COUNTBLANK(OFFSET(A$1,,,SUMPRODUCT(MAX(ROW(E$2:E352)*(E352=E$2:E352)))))-COUNTBLANK(OFFSET(A$1,,,SUMPRODUCT(MAX(ROW(E$1:E351)*(E2=E$1:E351))))))</f>
        <v/>
      </c>
      <c r="K352" s="27" t="str">
        <f aca="false">IF(OR(E352="",E352="!!!",F352="NEW"),"",INDEX(J$1:J351,SUMPRODUCT(MAX(ROW(E$1:E351)*(E352=E$1:E351)))))</f>
        <v/>
      </c>
      <c r="L352" s="28"/>
    </row>
    <row r="353" customFormat="false" ht="15" hidden="false" customHeight="false" outlineLevel="0" collapsed="false">
      <c r="A353" s="21" t="s">
        <v>415</v>
      </c>
      <c r="B353" s="29" t="s">
        <v>210</v>
      </c>
      <c r="C353" s="29" t="s">
        <v>416</v>
      </c>
      <c r="E353" s="25"/>
      <c r="F353" s="26" t="str">
        <f aca="false">IF(OR(E353="",E353="!!!"),"",IF(NOT(ISNA(VLOOKUP(E353,E$1:E352,1,FALSE()))),"OLD",IF(AND(E353&lt;&gt;"",E353&lt;&gt;"!!!"),"NEW","")))</f>
        <v/>
      </c>
      <c r="G353" s="22" t="str">
        <f aca="false">IF(OR(E353="",E353="!!!"),"",IF(OR(J353=0,AND(J353=1,K353=1),AND(J353=1,I353="SBJ"),AND(J353=1,I353=0)),"?IN_FOCUS",IF(J353&lt;=2,"?ACTIVATED",IF(J353&lt;&gt;"","?FAMILIAR",IF(F353="NEW",IF(ISNA(VLOOKUP(E353,#REF!,1,FALSE())),"?TYPE_IDENTIFIABLE","?REFERENTIAL"),"_")))))</f>
        <v/>
      </c>
      <c r="H353" s="23" t="str">
        <f aca="false">IF(J353&lt;&gt;1,"",IF(I353="SBJ","CB","?"))</f>
        <v/>
      </c>
      <c r="I353" s="27" t="str">
        <f aca="false">IF(OR(E353="",E353="!!!",F353="NEW"),"",INDEX(B20:B$334,-1+SUMPRODUCT(MAX(ROW(E20:E$334)*(E353=E20:E$334)))))</f>
        <v/>
      </c>
      <c r="J353" s="27" t="str">
        <f aca="true">IF(OR(E353="",E353="!!!",F353="NEW"),"",COUNTBLANK(OFFSET(A$1,,,SUMPRODUCT(MAX(ROW(E$2:E353)*(E353=E$2:E353)))))-COUNTBLANK(OFFSET(A$1,,,SUMPRODUCT(MAX(ROW(E$1:E352)*(E2=E$1:E352))))))</f>
        <v/>
      </c>
      <c r="K353" s="27" t="str">
        <f aca="false">IF(OR(E353="",E353="!!!",F353="NEW"),"",INDEX(J$1:J352,SUMPRODUCT(MAX(ROW(E$1:E352)*(E353=E$1:E352)))))</f>
        <v/>
      </c>
      <c r="L353" s="28"/>
    </row>
    <row r="354" customFormat="false" ht="15" hidden="false" customHeight="false" outlineLevel="0" collapsed="false">
      <c r="A354" s="21" t="s">
        <v>344</v>
      </c>
      <c r="E354" s="25"/>
      <c r="F354" s="26" t="str">
        <f aca="false">IF(OR(E354="",E354="!!!"),"",IF(NOT(ISNA(VLOOKUP(E354,E$1:E353,1,FALSE()))),"OLD",IF(AND(E354&lt;&gt;"",E354&lt;&gt;"!!!"),"NEW","")))</f>
        <v/>
      </c>
      <c r="G354" s="22" t="str">
        <f aca="false">IF(OR(E354="",E354="!!!"),"",IF(OR(J354=0,AND(J354=1,K354=1),AND(J354=1,I354="SBJ"),AND(J354=1,I354=0)),"?IN_FOCUS",IF(J354&lt;=2,"?ACTIVATED",IF(J354&lt;&gt;"","?FAMILIAR",IF(F354="NEW",IF(ISNA(VLOOKUP(E354,#REF!,1,FALSE())),"?TYPE_IDENTIFIABLE","?REFERENTIAL"),"_")))))</f>
        <v/>
      </c>
      <c r="H354" s="23" t="str">
        <f aca="false">IF(J354&lt;&gt;1,"",IF(I354="SBJ","CB","?"))</f>
        <v/>
      </c>
      <c r="I354" s="27" t="str">
        <f aca="false">IF(OR(E354="",E354="!!!",F354="NEW"),"",INDEX(B21:B$334,-1+SUMPRODUCT(MAX(ROW(E21:E$334)*(E354=E21:E$334)))))</f>
        <v/>
      </c>
      <c r="J354" s="27" t="str">
        <f aca="true">IF(OR(E354="",E354="!!!",F354="NEW"),"",COUNTBLANK(OFFSET(A$1,,,SUMPRODUCT(MAX(ROW(E$2:E354)*(E354=E$2:E354)))))-COUNTBLANK(OFFSET(A$1,,,SUMPRODUCT(MAX(ROW(E$1:E353)*(E2=E$1:E353))))))</f>
        <v/>
      </c>
      <c r="K354" s="27" t="str">
        <f aca="false">IF(OR(E354="",E354="!!!",F354="NEW"),"",INDEX(J$1:J353,SUMPRODUCT(MAX(ROW(E$1:E353)*(E354=E$1:E353)))))</f>
        <v/>
      </c>
      <c r="L354" s="28"/>
    </row>
    <row r="355" customFormat="false" ht="15" hidden="false" customHeight="false" outlineLevel="0" collapsed="false">
      <c r="A355" s="21" t="s">
        <v>417</v>
      </c>
      <c r="B355" s="29" t="s">
        <v>216</v>
      </c>
      <c r="C355" s="29" t="s">
        <v>167</v>
      </c>
      <c r="E355" s="25"/>
      <c r="F355" s="26" t="str">
        <f aca="false">IF(OR(E355="",E355="!!!"),"",IF(NOT(ISNA(VLOOKUP(E355,E$1:E354,1,FALSE()))),"OLD",IF(AND(E355&lt;&gt;"",E355&lt;&gt;"!!!"),"NEW","")))</f>
        <v/>
      </c>
      <c r="G355" s="22" t="str">
        <f aca="false">IF(OR(E355="",E355="!!!"),"",IF(OR(J355=0,AND(J355=1,K355=1),AND(J355=1,I355="SBJ"),AND(J355=1,I355=0)),"?IN_FOCUS",IF(J355&lt;=2,"?ACTIVATED",IF(J355&lt;&gt;"","?FAMILIAR",IF(F355="NEW",IF(ISNA(VLOOKUP(E355,#REF!,1,FALSE())),"?TYPE_IDENTIFIABLE","?REFERENTIAL"),"_")))))</f>
        <v/>
      </c>
      <c r="H355" s="23" t="str">
        <f aca="false">IF(J355&lt;&gt;1,"",IF(I355="SBJ","CB","?"))</f>
        <v/>
      </c>
      <c r="I355" s="27" t="str">
        <f aca="false">IF(OR(E355="",E355="!!!",F355="NEW"),"",INDEX(B22:B$334,-1+SUMPRODUCT(MAX(ROW(E22:E$334)*(E355=E22:E$334)))))</f>
        <v/>
      </c>
      <c r="J355" s="27" t="str">
        <f aca="true">IF(OR(E355="",E355="!!!",F355="NEW"),"",COUNTBLANK(OFFSET(A$1,,,SUMPRODUCT(MAX(ROW(E$2:E355)*(E355=E$2:E355)))))-COUNTBLANK(OFFSET(A$1,,,SUMPRODUCT(MAX(ROW(E$1:E354)*(E2=E$1:E354))))))</f>
        <v/>
      </c>
      <c r="K355" s="27" t="str">
        <f aca="false">IF(OR(E355="",E355="!!!",F355="NEW"),"",INDEX(J$1:J354,SUMPRODUCT(MAX(ROW(E$1:E354)*(E355=E$1:E354)))))</f>
        <v/>
      </c>
      <c r="L355" s="28"/>
    </row>
    <row r="356" customFormat="false" ht="15" hidden="false" customHeight="false" outlineLevel="0" collapsed="false">
      <c r="A356" s="21" t="s">
        <v>230</v>
      </c>
      <c r="E356" s="25"/>
      <c r="F356" s="26" t="str">
        <f aca="false">IF(OR(E356="",E356="!!!"),"",IF(NOT(ISNA(VLOOKUP(E356,E$1:E355,1,FALSE()))),"OLD",IF(AND(E356&lt;&gt;"",E356&lt;&gt;"!!!"),"NEW","")))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7" t="str">
        <f aca="false">IF(OR(E356="",E356="!!!",F356="NEW"),"",INDEX(B23:B$334,-1+SUMPRODUCT(MAX(ROW(E23:E$334)*(E356=E23:E$334)))))</f>
        <v/>
      </c>
      <c r="J356" s="27" t="str">
        <f aca="true">IF(OR(E356="",E356="!!!",F356="NEW"),"",COUNTBLANK(OFFSET(A$1,,,SUMPRODUCT(MAX(ROW(E$2:E356)*(E356=E$2:E356)))))-COUNTBLANK(OFFSET(A$1,,,SUMPRODUCT(MAX(ROW(E$1:E355)*(E2=E$1:E355))))))</f>
        <v/>
      </c>
      <c r="K356" s="27" t="str">
        <f aca="false">IF(OR(E356="",E356="!!!",F356="NEW"),"",INDEX(J$1:J355,SUMPRODUCT(MAX(ROW(E$1:E355)*(E356=E$1:E355)))))</f>
        <v/>
      </c>
      <c r="L356" s="28"/>
    </row>
    <row r="357" customFormat="false" ht="15" hidden="false" customHeight="false" outlineLevel="0" collapsed="false">
      <c r="A357" s="21" t="s">
        <v>418</v>
      </c>
      <c r="E357" s="25"/>
      <c r="F357" s="26" t="str">
        <f aca="false">IF(OR(E357="",E357="!!!"),"",IF(NOT(ISNA(VLOOKUP(E357,E$1:E356,1,FALSE()))),"OLD",IF(AND(E357&lt;&gt;"",E357&lt;&gt;"!!!"),"NEW","")))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7" t="str">
        <f aca="false">IF(OR(E357="",E357="!!!",F357="NEW"),"",INDEX(B24:B$334,-1+SUMPRODUCT(MAX(ROW(E24:E$334)*(E357=E24:E$334)))))</f>
        <v/>
      </c>
      <c r="J357" s="27" t="str">
        <f aca="true">IF(OR(E357="",E357="!!!",F357="NEW"),"",COUNTBLANK(OFFSET(A$1,,,SUMPRODUCT(MAX(ROW(E$2:E357)*(E357=E$2:E357)))))-COUNTBLANK(OFFSET(A$1,,,SUMPRODUCT(MAX(ROW(E$1:E356)*(E2=E$1:E356))))))</f>
        <v/>
      </c>
      <c r="K357" s="27" t="str">
        <f aca="false">IF(OR(E357="",E357="!!!",F357="NEW"),"",INDEX(J$1:J356,SUMPRODUCT(MAX(ROW(E$1:E356)*(E357=E$1:E356)))))</f>
        <v/>
      </c>
      <c r="L357" s="28"/>
    </row>
    <row r="358" customFormat="false" ht="15" hidden="false" customHeight="false" outlineLevel="0" collapsed="false">
      <c r="A358" s="21" t="s">
        <v>419</v>
      </c>
      <c r="B358" s="29" t="s">
        <v>216</v>
      </c>
      <c r="C358" s="29" t="s">
        <v>167</v>
      </c>
      <c r="E358" s="25"/>
      <c r="F358" s="26" t="str">
        <f aca="false">IF(OR(E358="",E358="!!!"),"",IF(NOT(ISNA(VLOOKUP(E358,E$1:E357,1,FALSE()))),"OLD",IF(AND(E358&lt;&gt;"",E358&lt;&gt;"!!!"),"NEW","")))</f>
        <v/>
      </c>
      <c r="G358" s="22" t="str">
        <f aca="false">IF(OR(E358="",E358="!!!"),"",IF(OR(J358=0,AND(J358=1,K358=1),AND(J358=1,I358="SBJ"),AND(J358=1,I358=0)),"?IN_FOCUS",IF(J358&lt;=2,"?ACTIVATED",IF(J358&lt;&gt;"","?FAMILIAR",IF(F358="NEW",IF(ISNA(VLOOKUP(E358,#REF!,1,FALSE())),"?TYPE_IDENTIFIABLE","?REFERENTIAL"),"_")))))</f>
        <v/>
      </c>
      <c r="H358" s="23" t="str">
        <f aca="false">IF(J358&lt;&gt;1,"",IF(I358="SBJ","CB","?"))</f>
        <v/>
      </c>
      <c r="I358" s="27" t="str">
        <f aca="false">IF(OR(E358="",E358="!!!",F358="NEW"),"",INDEX(B25:B$334,-1+SUMPRODUCT(MAX(ROW(E25:E$334)*(E358=E25:E$334)))))</f>
        <v/>
      </c>
      <c r="J358" s="27" t="str">
        <f aca="true">IF(OR(E358="",E358="!!!",F358="NEW"),"",COUNTBLANK(OFFSET(A$1,,,SUMPRODUCT(MAX(ROW(E$2:E358)*(E358=E$2:E358)))))-COUNTBLANK(OFFSET(A$1,,,SUMPRODUCT(MAX(ROW(E$1:E357)*(E2=E$1:E357))))))</f>
        <v/>
      </c>
      <c r="K358" s="27" t="str">
        <f aca="false">IF(OR(E358="",E358="!!!",F358="NEW"),"",INDEX(J$1:J357,SUMPRODUCT(MAX(ROW(E$1:E357)*(E358=E$1:E357)))))</f>
        <v/>
      </c>
      <c r="L358" s="28"/>
    </row>
    <row r="359" customFormat="false" ht="15" hidden="false" customHeight="false" outlineLevel="0" collapsed="false">
      <c r="A359" s="21" t="s">
        <v>193</v>
      </c>
      <c r="E359" s="25"/>
      <c r="F359" s="26" t="str">
        <f aca="false">IF(OR(E359="",E359="!!!"),"",IF(NOT(ISNA(VLOOKUP(E359,E$1:E358,1,FALSE()))),"OLD",IF(AND(E359&lt;&gt;"",E359&lt;&gt;"!!!"),"NEW","")))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7" t="str">
        <f aca="false">IF(OR(E359="",E359="!!!",F359="NEW"),"",INDEX(B26:B$334,-1+SUMPRODUCT(MAX(ROW(E26:E$334)*(E359=E26:E$334)))))</f>
        <v/>
      </c>
      <c r="J359" s="27" t="str">
        <f aca="true">IF(OR(E359="",E359="!!!",F359="NEW"),"",COUNTBLANK(OFFSET(A$1,,,SUMPRODUCT(MAX(ROW(E$2:E359)*(E359=E$2:E359)))))-COUNTBLANK(OFFSET(A$1,,,SUMPRODUCT(MAX(ROW(E$1:E358)*(E2=E$1:E358))))))</f>
        <v/>
      </c>
      <c r="K359" s="27" t="str">
        <f aca="false">IF(OR(E359="",E359="!!!",F359="NEW"),"",INDEX(J$1:J358,SUMPRODUCT(MAX(ROW(E$1:E358)*(E359=E$1:E358)))))</f>
        <v/>
      </c>
      <c r="L359" s="28"/>
    </row>
    <row r="360" customFormat="false" ht="15" hidden="false" customHeight="false" outlineLevel="0" collapsed="false">
      <c r="A360" s="21"/>
      <c r="G360" s="22" t="str">
        <f aca="false">IF(OR(E360="",E360="!!!"),"",IF(OR(J360=0,AND(J360=1,K360=1),AND(J360=1,I360="SBJ"),AND(J360=1,I360=0)),"?IN_FOCUS",IF(J360&lt;=2,"?ACTIVATED",IF(J360&lt;&gt;"","?FAMILIAR",IF(F360="NEW",IF(ISNA(VLOOKUP(E360,#REF!,1,FALSE())),"?TYPE_IDENTIFIABLE","?REFERENTIAL"),"_")))))</f>
        <v/>
      </c>
      <c r="H360" s="23" t="str">
        <f aca="false">IF(J360&lt;&gt;1,"",IF(I360="SBJ","CB","?"))</f>
        <v/>
      </c>
    </row>
    <row r="361" customFormat="false" ht="15" hidden="false" customHeight="false" outlineLevel="0" collapsed="false">
      <c r="A361" s="21" t="s">
        <v>420</v>
      </c>
      <c r="G361" s="22" t="str">
        <f aca="false">IF(OR(E361="",E361="!!!"),"",IF(OR(J361=0,AND(J361=1,K361=1),AND(J361=1,I361="SBJ"),AND(J361=1,I361=0)),"?IN_FOCUS",IF(J361&lt;=2,"?ACTIVATED",IF(J361&lt;&gt;"","?FAMILIAR",IF(F361="NEW",IF(ISNA(VLOOKUP(E361,#REF!,1,FALSE())),"?TYPE_IDENTIFIABLE","?REFERENTIAL"),"_")))))</f>
        <v/>
      </c>
      <c r="H361" s="23" t="str">
        <f aca="false">IF(J361&lt;&gt;1,"",IF(I361="SBJ","CB","?"))</f>
        <v/>
      </c>
    </row>
    <row r="362" customFormat="false" ht="15" hidden="false" customHeight="false" outlineLevel="0" collapsed="false">
      <c r="A362" s="21" t="s">
        <v>406</v>
      </c>
      <c r="E362" s="25"/>
      <c r="F362" s="26" t="str">
        <f aca="false">IF(OR(E362="",E362="!!!"),"",IF(NOT(ISNA(VLOOKUP(E362,E$1:E361,1,FALSE()))),"OLD",IF(AND(E362&lt;&gt;"",E362&lt;&gt;"!!!"),"NEW","")))</f>
        <v/>
      </c>
      <c r="G362" s="22" t="str">
        <f aca="false">IF(OR(E362="",E362="!!!"),"",IF(OR(J362=0,AND(J362=1,K362=1),AND(J362=1,I362="SBJ"),AND(J362=1,I362=0)),"?IN_FOCUS",IF(J362&lt;=2,"?ACTIVATED",IF(J362&lt;&gt;"","?FAMILIAR",IF(F362="NEW",IF(ISNA(VLOOKUP(E362,#REF!,1,FALSE())),"?TYPE_IDENTIFIABLE","?REFERENTIAL"),"_")))))</f>
        <v/>
      </c>
      <c r="H362" s="23" t="str">
        <f aca="false">IF(J362&lt;&gt;1,"",IF(I362="SBJ","CB","?"))</f>
        <v/>
      </c>
      <c r="I362" s="27" t="str">
        <f aca="false">IF(OR(E362="",E362="!!!",F362="NEW"),"",INDEX(B2:B$361,-1+SUMPRODUCT(MAX(ROW(E2:E$361)*(E362=E2:E$361)))))</f>
        <v/>
      </c>
      <c r="J362" s="27" t="str">
        <f aca="true">IF(OR(E362="",E362="!!!",F362="NEW"),"",COUNTBLANK(OFFSET(A$1,,,SUMPRODUCT(MAX(ROW(E$2:E362)*(E362=E$2:E362)))))-COUNTBLANK(OFFSET(A$1,,,SUMPRODUCT(MAX(ROW(E$1:E361)*(E2=E$1:E361))))))</f>
        <v/>
      </c>
      <c r="K362" s="27" t="str">
        <f aca="false">IF(OR(E362="",E362="!!!",F362="NEW"),"",INDEX(J$1:J361,SUMPRODUCT(MAX(ROW(E$1:E361)*(E362=E$1:E361)))))</f>
        <v/>
      </c>
      <c r="L362" s="28"/>
    </row>
    <row r="363" customFormat="false" ht="15" hidden="false" customHeight="false" outlineLevel="0" collapsed="false">
      <c r="A363" s="21" t="s">
        <v>421</v>
      </c>
      <c r="B363" s="29" t="s">
        <v>153</v>
      </c>
      <c r="C363" s="29" t="s">
        <v>167</v>
      </c>
      <c r="E363" s="25"/>
      <c r="F363" s="26" t="str">
        <f aca="false">IF(OR(E363="",E363="!!!"),"",IF(NOT(ISNA(VLOOKUP(E363,E$1:E362,1,FALSE()))),"OLD",IF(AND(E363&lt;&gt;"",E363&lt;&gt;"!!!"),"NEW","")))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7" t="str">
        <f aca="false">IF(OR(E363="",E363="!!!",F363="NEW"),"",INDEX(B3:B$361,-1+SUMPRODUCT(MAX(ROW(E3:E$361)*(E363=E3:E$361)))))</f>
        <v/>
      </c>
      <c r="J363" s="27" t="str">
        <f aca="true">IF(OR(E363="",E363="!!!",F363="NEW"),"",COUNTBLANK(OFFSET(A$1,,,SUMPRODUCT(MAX(ROW(E$2:E363)*(E363=E$2:E363)))))-COUNTBLANK(OFFSET(A$1,,,SUMPRODUCT(MAX(ROW(E$1:E362)*(E2=E$1:E362))))))</f>
        <v/>
      </c>
      <c r="K363" s="27" t="str">
        <f aca="false">IF(OR(E363="",E363="!!!",F363="NEW"),"",INDEX(J$1:J362,SUMPRODUCT(MAX(ROW(E$1:E362)*(E363=E$1:E362)))))</f>
        <v/>
      </c>
      <c r="L363" s="28"/>
    </row>
    <row r="364" customFormat="false" ht="15" hidden="false" customHeight="false" outlineLevel="0" collapsed="false">
      <c r="A364" s="21" t="s">
        <v>178</v>
      </c>
      <c r="E364" s="25"/>
      <c r="F364" s="26" t="str">
        <f aca="false">IF(OR(E364="",E364="!!!"),"",IF(NOT(ISNA(VLOOKUP(E364,E$1:E363,1,FALSE()))),"OLD",IF(AND(E364&lt;&gt;"",E364&lt;&gt;"!!!"),"NEW","")))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7" t="str">
        <f aca="false">IF(OR(E364="",E364="!!!",F364="NEW"),"",INDEX(B4:B$361,-1+SUMPRODUCT(MAX(ROW(E4:E$361)*(E364=E4:E$361)))))</f>
        <v/>
      </c>
      <c r="J364" s="27" t="str">
        <f aca="true">IF(OR(E364="",E364="!!!",F364="NEW"),"",COUNTBLANK(OFFSET(A$1,,,SUMPRODUCT(MAX(ROW(E$2:E364)*(E364=E$2:E364)))))-COUNTBLANK(OFFSET(A$1,,,SUMPRODUCT(MAX(ROW(E$1:E363)*(E2=E$1:E363))))))</f>
        <v/>
      </c>
      <c r="K364" s="27" t="str">
        <f aca="false">IF(OR(E364="",E364="!!!",F364="NEW"),"",INDEX(J$1:J363,SUMPRODUCT(MAX(ROW(E$1:E363)*(E364=E$1:E363)))))</f>
        <v/>
      </c>
      <c r="L364" s="28"/>
    </row>
    <row r="365" customFormat="false" ht="15" hidden="false" customHeight="false" outlineLevel="0" collapsed="false">
      <c r="A365" s="21" t="s">
        <v>375</v>
      </c>
      <c r="B365" s="29" t="s">
        <v>180</v>
      </c>
      <c r="C365" s="29" t="s">
        <v>181</v>
      </c>
      <c r="D365" s="29" t="s">
        <v>159</v>
      </c>
      <c r="E365" s="25" t="s">
        <v>395</v>
      </c>
      <c r="F365" s="30" t="str">
        <f aca="false">IF(OR(E365="",E365="!!!"),"",IF(NOT(ISNA(VLOOKUP(E365,E$1:E364,1,FALSE()))),"OLD",IF(AND(E365&lt;&gt;"",E365&lt;&gt;"!!!"),"NEW","")))</f>
        <v>OLD</v>
      </c>
      <c r="G365" s="22" t="s">
        <v>182</v>
      </c>
      <c r="H365" s="23" t="s">
        <v>147</v>
      </c>
      <c r="I365" s="31" t="n">
        <f aca="false">IF(OR(E365="",E365="!!!",F365="NEW"),"",INDEX(B5:B$361,-1+SUMPRODUCT(MAX(ROW(E5:E$361)*(E365=E5:E$361)))))</f>
        <v>0</v>
      </c>
      <c r="J365" s="31" t="n">
        <f aca="true">IF(OR(E365="",E365="!!!",F365="NEW"),"",COUNTBLANK(OFFSET(A$1,,,SUMPRODUCT(MAX(ROW(E$2:E365)*(E365=E$2:E365)))))-COUNTBLANK(OFFSET(A$1,,,SUMPRODUCT(MAX(ROW(E$1:E364)*(E2=E$1:E364))))))</f>
        <v>0</v>
      </c>
      <c r="K365" s="31" t="n">
        <f aca="false">IF(OR(E365="",E365="!!!",F365="NEW"),"",INDEX(J$1:J364,SUMPRODUCT(MAX(ROW(E$1:E364)*(E365=E$1:E364)))))</f>
        <v>0</v>
      </c>
      <c r="L365" s="28"/>
    </row>
    <row r="366" customFormat="false" ht="15" hidden="false" customHeight="false" outlineLevel="0" collapsed="false">
      <c r="A366" s="21" t="s">
        <v>71</v>
      </c>
      <c r="E366" s="25"/>
      <c r="F366" s="26" t="str">
        <f aca="false">IF(OR(E366="",E366="!!!"),"",IF(NOT(ISNA(VLOOKUP(E366,E$1:E365,1,FALSE()))),"OLD",IF(AND(E366&lt;&gt;"",E366&lt;&gt;"!!!"),"NEW","")))</f>
        <v/>
      </c>
      <c r="G366" s="22" t="str">
        <f aca="false">IF(OR(E366="",E366="!!!"),"",IF(OR(J366=0,AND(J366=1,K366=1),AND(J366=1,I366="SBJ"),AND(J366=1,I366=0)),"?IN_FOCUS",IF(J366&lt;=2,"?ACTIVATED",IF(J366&lt;&gt;"","?FAMILIAR",IF(F366="NEW",IF(ISNA(VLOOKUP(E366,#REF!,1,FALSE())),"?TYPE_IDENTIFIABLE","?REFERENTIAL"),"_")))))</f>
        <v/>
      </c>
      <c r="H366" s="23" t="str">
        <f aca="false">IF(J366&lt;&gt;1,"",IF(I366="SBJ","CB","?"))</f>
        <v/>
      </c>
      <c r="I366" s="27" t="str">
        <f aca="false">IF(OR(E366="",E366="!!!",F366="NEW"),"",INDEX(B6:B$361,-1+SUMPRODUCT(MAX(ROW(E6:E$361)*(E366=E6:E$361)))))</f>
        <v/>
      </c>
      <c r="J366" s="27" t="str">
        <f aca="true">IF(OR(E366="",E366="!!!",F366="NEW"),"",COUNTBLANK(OFFSET(A$1,,,SUMPRODUCT(MAX(ROW(E$2:E366)*(E366=E$2:E366)))))-COUNTBLANK(OFFSET(A$1,,,SUMPRODUCT(MAX(ROW(E$1:E365)*(E2=E$1:E365))))))</f>
        <v/>
      </c>
      <c r="K366" s="27" t="str">
        <f aca="false">IF(OR(E366="",E366="!!!",F366="NEW"),"",INDEX(J$1:J365,SUMPRODUCT(MAX(ROW(E$1:E365)*(E366=E$1:E365)))))</f>
        <v/>
      </c>
      <c r="L366" s="28"/>
    </row>
    <row r="367" customFormat="false" ht="15" hidden="false" customHeight="false" outlineLevel="0" collapsed="false">
      <c r="A367" s="21" t="s">
        <v>422</v>
      </c>
      <c r="E367" s="25"/>
      <c r="F367" s="26" t="str">
        <f aca="false">IF(OR(E367="",E367="!!!"),"",IF(NOT(ISNA(VLOOKUP(E367,E$1:E366,1,FALSE()))),"OLD",IF(AND(E367&lt;&gt;"",E367&lt;&gt;"!!!"),"NEW","")))</f>
        <v/>
      </c>
      <c r="G367" s="22" t="str">
        <f aca="false">IF(OR(E367="",E367="!!!"),"",IF(OR(J367=0,AND(J367=1,K367=1),AND(J367=1,I367="SBJ"),AND(J367=1,I367=0)),"?IN_FOCUS",IF(J367&lt;=2,"?ACTIVATED",IF(J367&lt;&gt;"","?FAMILIAR",IF(F367="NEW",IF(ISNA(VLOOKUP(E367,#REF!,1,FALSE())),"?TYPE_IDENTIFIABLE","?REFERENTIAL"),"_")))))</f>
        <v/>
      </c>
      <c r="H367" s="23" t="str">
        <f aca="false">IF(J367&lt;&gt;1,"",IF(I367="SBJ","CB","?"))</f>
        <v/>
      </c>
      <c r="I367" s="27" t="str">
        <f aca="false">IF(OR(E367="",E367="!!!",F367="NEW"),"",INDEX(B7:B$361,-1+SUMPRODUCT(MAX(ROW(E7:E$361)*(E367=E7:E$361)))))</f>
        <v/>
      </c>
      <c r="J367" s="27" t="str">
        <f aca="true">IF(OR(E367="",E367="!!!",F367="NEW"),"",COUNTBLANK(OFFSET(A$1,,,SUMPRODUCT(MAX(ROW(E$2:E367)*(E367=E$2:E367)))))-COUNTBLANK(OFFSET(A$1,,,SUMPRODUCT(MAX(ROW(E$1:E366)*(E2=E$1:E366))))))</f>
        <v/>
      </c>
      <c r="K367" s="27" t="str">
        <f aca="false">IF(OR(E367="",E367="!!!",F367="NEW"),"",INDEX(J$1:J366,SUMPRODUCT(MAX(ROW(E$1:E366)*(E367=E$1:E366)))))</f>
        <v/>
      </c>
      <c r="L367" s="28"/>
    </row>
    <row r="368" customFormat="false" ht="15" hidden="false" customHeight="false" outlineLevel="0" collapsed="false">
      <c r="A368" s="21" t="s">
        <v>169</v>
      </c>
      <c r="E368" s="25"/>
      <c r="F368" s="26" t="str">
        <f aca="false">IF(OR(E368="",E368="!!!"),"",IF(NOT(ISNA(VLOOKUP(E368,E$1:E367,1,FALSE()))),"OLD",IF(AND(E368&lt;&gt;"",E368&lt;&gt;"!!!"),"NEW","")))</f>
        <v/>
      </c>
      <c r="G368" s="22" t="str">
        <f aca="false">IF(OR(E368="",E368="!!!"),"",IF(OR(J368=0,AND(J368=1,K368=1),AND(J368=1,I368="SBJ"),AND(J368=1,I368=0)),"?IN_FOCUS",IF(J368&lt;=2,"?ACTIVATED",IF(J368&lt;&gt;"","?FAMILIAR",IF(F368="NEW",IF(ISNA(VLOOKUP(E368,#REF!,1,FALSE())),"?TYPE_IDENTIFIABLE","?REFERENTIAL"),"_")))))</f>
        <v/>
      </c>
      <c r="H368" s="23" t="str">
        <f aca="false">IF(J368&lt;&gt;1,"",IF(I368="SBJ","CB","?"))</f>
        <v/>
      </c>
      <c r="I368" s="27" t="str">
        <f aca="false">IF(OR(E368="",E368="!!!",F368="NEW"),"",INDEX(B8:B$361,-1+SUMPRODUCT(MAX(ROW(E8:E$361)*(E368=E8:E$361)))))</f>
        <v/>
      </c>
      <c r="J368" s="27" t="str">
        <f aca="true">IF(OR(E368="",E368="!!!",F368="NEW"),"",COUNTBLANK(OFFSET(A$1,,,SUMPRODUCT(MAX(ROW(E$2:E368)*(E368=E$2:E368)))))-COUNTBLANK(OFFSET(A$1,,,SUMPRODUCT(MAX(ROW(E$1:E367)*(E2=E$1:E367))))))</f>
        <v/>
      </c>
      <c r="K368" s="27" t="str">
        <f aca="false">IF(OR(E368="",E368="!!!",F368="NEW"),"",INDEX(J$1:J367,SUMPRODUCT(MAX(ROW(E$1:E367)*(E368=E$1:E367)))))</f>
        <v/>
      </c>
      <c r="L368" s="28"/>
    </row>
    <row r="369" customFormat="false" ht="15" hidden="false" customHeight="false" outlineLevel="0" collapsed="false">
      <c r="A369" s="21" t="s">
        <v>423</v>
      </c>
      <c r="B369" s="29" t="s">
        <v>153</v>
      </c>
      <c r="C369" s="29" t="s">
        <v>171</v>
      </c>
      <c r="D369" s="29" t="s">
        <v>159</v>
      </c>
      <c r="E369" s="25" t="s">
        <v>424</v>
      </c>
      <c r="F369" s="30" t="str">
        <f aca="false">IF(OR(E369="",E369="!!!"),"",IF(NOT(ISNA(VLOOKUP(E369,E$1:E368,1,FALSE()))),"OLD",IF(AND(E369&lt;&gt;"",E369&lt;&gt;"!!!"),"NEW","")))</f>
        <v>NEW</v>
      </c>
      <c r="G369" s="22" t="s">
        <v>160</v>
      </c>
      <c r="H369" s="23" t="str">
        <f aca="false">IF(J369&lt;&gt;1,"",IF(I369="SBJ","CB","?"))</f>
        <v/>
      </c>
      <c r="I369" s="31" t="str">
        <f aca="false">IF(OR(E369="",E369="!!!",F369="NEW"),"",INDEX(B9:B$361,-1+SUMPRODUCT(MAX(ROW(E9:E$361)*(E369=E9:E$361)))))</f>
        <v/>
      </c>
      <c r="J369" s="31" t="str">
        <f aca="true">IF(OR(E369="",E369="!!!",F369="NEW"),"",COUNTBLANK(OFFSET(A$1,,,SUMPRODUCT(MAX(ROW(E$2:E369)*(E369=E$2:E369)))))-COUNTBLANK(OFFSET(A$1,,,SUMPRODUCT(MAX(ROW(E$1:E368)*(E2=E$1:E368))))))</f>
        <v/>
      </c>
      <c r="K369" s="31" t="str">
        <f aca="false">IF(OR(E369="",E369="!!!",F369="NEW"),"",INDEX(J$1:J368,SUMPRODUCT(MAX(ROW(E$1:E368)*(E369=E$1:E368)))))</f>
        <v/>
      </c>
      <c r="L369" s="28"/>
    </row>
    <row r="370" customFormat="false" ht="15" hidden="false" customHeight="false" outlineLevel="0" collapsed="false">
      <c r="A370" s="21" t="s">
        <v>178</v>
      </c>
      <c r="E370" s="25"/>
      <c r="F370" s="26" t="str">
        <f aca="false">IF(OR(E370="",E370="!!!"),"",IF(NOT(ISNA(VLOOKUP(E370,E$1:E369,1,FALSE()))),"OLD",IF(AND(E370&lt;&gt;"",E370&lt;&gt;"!!!"),"NEW","")))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7" t="str">
        <f aca="false">IF(OR(E370="",E370="!!!",F370="NEW"),"",INDEX(B10:B$361,-1+SUMPRODUCT(MAX(ROW(E10:E$361)*(E370=E10:E$361)))))</f>
        <v/>
      </c>
      <c r="J370" s="27" t="str">
        <f aca="true">IF(OR(E370="",E370="!!!",F370="NEW"),"",COUNTBLANK(OFFSET(A$1,,,SUMPRODUCT(MAX(ROW(E$2:E370)*(E370=E$2:E370)))))-COUNTBLANK(OFFSET(A$1,,,SUMPRODUCT(MAX(ROW(E$1:E369)*(E2=E$1:E369))))))</f>
        <v/>
      </c>
      <c r="K370" s="27" t="str">
        <f aca="false">IF(OR(E370="",E370="!!!",F370="NEW"),"",INDEX(J$1:J369,SUMPRODUCT(MAX(ROW(E$1:E369)*(E370=E$1:E369)))))</f>
        <v/>
      </c>
      <c r="L370" s="28"/>
    </row>
    <row r="371" customFormat="false" ht="15" hidden="false" customHeight="false" outlineLevel="0" collapsed="false">
      <c r="A371" s="21" t="s">
        <v>425</v>
      </c>
      <c r="E371" s="25"/>
      <c r="F371" s="26" t="str">
        <f aca="false">IF(OR(E371="",E371="!!!"),"",IF(NOT(ISNA(VLOOKUP(E371,E$1:E370,1,FALSE()))),"OLD",IF(AND(E371&lt;&gt;"",E371&lt;&gt;"!!!"),"NEW","")))</f>
        <v/>
      </c>
      <c r="G371" s="22" t="str">
        <f aca="false">IF(OR(E371="",E371="!!!"),"",IF(OR(J371=0,AND(J371=1,K371=1),AND(J371=1,I371="SBJ"),AND(J371=1,I371=0)),"?IN_FOCUS",IF(J371&lt;=2,"?ACTIVATED",IF(J371&lt;&gt;"","?FAMILIAR",IF(F371="NEW",IF(ISNA(VLOOKUP(E371,#REF!,1,FALSE())),"?TYPE_IDENTIFIABLE","?REFERENTIAL"),"_")))))</f>
        <v/>
      </c>
      <c r="H371" s="23" t="str">
        <f aca="false">IF(J371&lt;&gt;1,"",IF(I371="SBJ","CB","?"))</f>
        <v/>
      </c>
      <c r="I371" s="27" t="str">
        <f aca="false">IF(OR(E371="",E371="!!!",F371="NEW"),"",INDEX(B11:B$361,-1+SUMPRODUCT(MAX(ROW(E11:E$361)*(E371=E11:E$361)))))</f>
        <v/>
      </c>
      <c r="J371" s="27" t="str">
        <f aca="true">IF(OR(E371="",E371="!!!",F371="NEW"),"",COUNTBLANK(OFFSET(A$1,,,SUMPRODUCT(MAX(ROW(E$2:E371)*(E371=E$2:E371)))))-COUNTBLANK(OFFSET(A$1,,,SUMPRODUCT(MAX(ROW(E$1:E370)*(E2=E$1:E370))))))</f>
        <v/>
      </c>
      <c r="K371" s="27" t="str">
        <f aca="false">IF(OR(E371="",E371="!!!",F371="NEW"),"",INDEX(J$1:J370,SUMPRODUCT(MAX(ROW(E$1:E370)*(E371=E$1:E370)))))</f>
        <v/>
      </c>
      <c r="L371" s="28"/>
    </row>
    <row r="372" customFormat="false" ht="15" hidden="false" customHeight="false" outlineLevel="0" collapsed="false">
      <c r="A372" s="21" t="s">
        <v>426</v>
      </c>
      <c r="E372" s="25"/>
      <c r="F372" s="26" t="str">
        <f aca="false">IF(OR(E372="",E372="!!!"),"",IF(NOT(ISNA(VLOOKUP(E372,E$1:E371,1,FALSE()))),"OLD",IF(AND(E372&lt;&gt;"",E372&lt;&gt;"!!!"),"NEW","")))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7" t="str">
        <f aca="false">IF(OR(E372="",E372="!!!",F372="NEW"),"",INDEX(B12:B$361,-1+SUMPRODUCT(MAX(ROW(E12:E$361)*(E372=E12:E$361)))))</f>
        <v/>
      </c>
      <c r="J372" s="27" t="str">
        <f aca="true">IF(OR(E372="",E372="!!!",F372="NEW"),"",COUNTBLANK(OFFSET(A$1,,,SUMPRODUCT(MAX(ROW(E$2:E372)*(E372=E$2:E372)))))-COUNTBLANK(OFFSET(A$1,,,SUMPRODUCT(MAX(ROW(E$1:E371)*(E2=E$1:E371))))))</f>
        <v/>
      </c>
      <c r="K372" s="27" t="str">
        <f aca="false">IF(OR(E372="",E372="!!!",F372="NEW"),"",INDEX(J$1:J371,SUMPRODUCT(MAX(ROW(E$1:E371)*(E372=E$1:E371)))))</f>
        <v/>
      </c>
      <c r="L372" s="28"/>
    </row>
    <row r="373" customFormat="false" ht="15" hidden="false" customHeight="false" outlineLevel="0" collapsed="false">
      <c r="A373" s="21" t="s">
        <v>204</v>
      </c>
      <c r="E373" s="25"/>
      <c r="F373" s="26" t="str">
        <f aca="false">IF(OR(E373="",E373="!!!"),"",IF(NOT(ISNA(VLOOKUP(E373,E$1:E372,1,FALSE()))),"OLD",IF(AND(E373&lt;&gt;"",E373&lt;&gt;"!!!"),"NEW","")))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7" t="str">
        <f aca="false">IF(OR(E373="",E373="!!!",F373="NEW"),"",INDEX(B13:B$361,-1+SUMPRODUCT(MAX(ROW(E13:E$361)*(E373=E13:E$361)))))</f>
        <v/>
      </c>
      <c r="J373" s="27" t="str">
        <f aca="true">IF(OR(E373="",E373="!!!",F373="NEW"),"",COUNTBLANK(OFFSET(A$1,,,SUMPRODUCT(MAX(ROW(E$2:E373)*(E373=E$2:E373)))))-COUNTBLANK(OFFSET(A$1,,,SUMPRODUCT(MAX(ROW(E$1:E372)*(E2=E$1:E372))))))</f>
        <v/>
      </c>
      <c r="K373" s="27" t="str">
        <f aca="false">IF(OR(E373="",E373="!!!",F373="NEW"),"",INDEX(J$1:J372,SUMPRODUCT(MAX(ROW(E$1:E372)*(E373=E$1:E372)))))</f>
        <v/>
      </c>
      <c r="L373" s="28"/>
    </row>
    <row r="374" customFormat="false" ht="15" hidden="false" customHeight="false" outlineLevel="0" collapsed="false">
      <c r="A374" s="21" t="s">
        <v>394</v>
      </c>
      <c r="B374" s="29" t="s">
        <v>210</v>
      </c>
      <c r="C374" s="29" t="s">
        <v>240</v>
      </c>
      <c r="D374" s="29" t="s">
        <v>159</v>
      </c>
      <c r="E374" s="25" t="s">
        <v>395</v>
      </c>
      <c r="F374" s="30" t="str">
        <f aca="false">IF(OR(E374="",E374="!!!"),"",IF(NOT(ISNA(VLOOKUP(E374,E$1:E373,1,FALSE()))),"OLD",IF(AND(E374&lt;&gt;"",E374&lt;&gt;"!!!"),"NEW","")))</f>
        <v>OLD</v>
      </c>
      <c r="G374" s="22" t="s">
        <v>186</v>
      </c>
      <c r="H374" s="23" t="str">
        <f aca="false">IF(J374&lt;&gt;1,"",IF(I374="SBJ","CB","?"))</f>
        <v/>
      </c>
      <c r="I374" s="31" t="n">
        <f aca="false">IF(OR(E374="",E374="!!!",F374="NEW"),"",INDEX(B14:B$361,-1+SUMPRODUCT(MAX(ROW(E14:E$361)*(E374=E14:E$361)))))</f>
        <v>0</v>
      </c>
      <c r="J374" s="31" t="n">
        <f aca="true">IF(OR(E374="",E374="!!!",F374="NEW"),"",COUNTBLANK(OFFSET(A$1,,,SUMPRODUCT(MAX(ROW(E$2:E374)*(E374=E$2:E374)))))-COUNTBLANK(OFFSET(A$1,,,SUMPRODUCT(MAX(ROW(E$1:E373)*(E2=E$1:E373))))))</f>
        <v>0</v>
      </c>
      <c r="K374" s="31" t="n">
        <f aca="false">IF(OR(E374="",E374="!!!",F374="NEW"),"",INDEX(J$1:J373,SUMPRODUCT(MAX(ROW(E$1:E373)*(E374=E$1:E373)))))</f>
        <v>0</v>
      </c>
      <c r="L374" s="28"/>
    </row>
    <row r="375" customFormat="false" ht="15" hidden="false" customHeight="false" outlineLevel="0" collapsed="false">
      <c r="A375" s="21" t="s">
        <v>427</v>
      </c>
      <c r="B375" s="29" t="s">
        <v>190</v>
      </c>
      <c r="C375" s="29" t="s">
        <v>243</v>
      </c>
      <c r="D375" s="29" t="s">
        <v>159</v>
      </c>
      <c r="E375" s="25" t="s">
        <v>428</v>
      </c>
      <c r="F375" s="30" t="str">
        <f aca="false">IF(OR(E375="",E375="!!!"),"",IF(NOT(ISNA(VLOOKUP(E375,E$1:E374,1,FALSE()))),"OLD",IF(AND(E375&lt;&gt;"",E375&lt;&gt;"!!!"),"NEW","")))</f>
        <v>NEW</v>
      </c>
      <c r="G375" s="22" t="s">
        <v>160</v>
      </c>
      <c r="H375" s="23" t="str">
        <f aca="false">IF(J375&lt;&gt;1,"",IF(I375="SBJ","CB","?"))</f>
        <v/>
      </c>
      <c r="I375" s="31" t="str">
        <f aca="false">IF(OR(E375="",E375="!!!",F375="NEW"),"",INDEX(B15:B$361,-1+SUMPRODUCT(MAX(ROW(E15:E$361)*(E375=E15:E$361)))))</f>
        <v/>
      </c>
      <c r="J375" s="31" t="str">
        <f aca="true">IF(OR(E375="",E375="!!!",F375="NEW"),"",COUNTBLANK(OFFSET(A$1,,,SUMPRODUCT(MAX(ROW(E$2:E375)*(E375=E$2:E375)))))-COUNTBLANK(OFFSET(A$1,,,SUMPRODUCT(MAX(ROW(E$1:E374)*(E2=E$1:E374))))))</f>
        <v/>
      </c>
      <c r="K375" s="31" t="str">
        <f aca="false">IF(OR(E375="",E375="!!!",F375="NEW"),"",INDEX(J$1:J374,SUMPRODUCT(MAX(ROW(E$1:E374)*(E375=E$1:E374)))))</f>
        <v/>
      </c>
      <c r="L375" s="28"/>
    </row>
    <row r="376" customFormat="false" ht="15" hidden="false" customHeight="false" outlineLevel="0" collapsed="false">
      <c r="A376" s="21" t="s">
        <v>165</v>
      </c>
      <c r="E376" s="25"/>
      <c r="F376" s="26" t="str">
        <f aca="false">IF(OR(E376="",E376="!!!"),"",IF(NOT(ISNA(VLOOKUP(E376,E$1:E375,1,FALSE()))),"OLD",IF(AND(E376&lt;&gt;"",E376&lt;&gt;"!!!"),"NEW","")))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7" t="str">
        <f aca="false">IF(OR(E376="",E376="!!!",F376="NEW"),"",INDEX(B16:B$361,-1+SUMPRODUCT(MAX(ROW(E16:E$361)*(E376=E16:E$361)))))</f>
        <v/>
      </c>
      <c r="J376" s="27" t="str">
        <f aca="true">IF(OR(E376="",E376="!!!",F376="NEW"),"",COUNTBLANK(OFFSET(A$1,,,SUMPRODUCT(MAX(ROW(E$2:E376)*(E376=E$2:E376)))))-COUNTBLANK(OFFSET(A$1,,,SUMPRODUCT(MAX(ROW(E$1:E375)*(E2=E$1:E375))))))</f>
        <v/>
      </c>
      <c r="K376" s="27" t="str">
        <f aca="false">IF(OR(E376="",E376="!!!",F376="NEW"),"",INDEX(J$1:J375,SUMPRODUCT(MAX(ROW(E$1:E375)*(E376=E$1:E375)))))</f>
        <v/>
      </c>
      <c r="L376" s="28"/>
    </row>
    <row r="377" customFormat="false" ht="15" hidden="false" customHeight="false" outlineLevel="0" collapsed="false">
      <c r="A377" s="21" t="s">
        <v>429</v>
      </c>
      <c r="B377" s="29" t="s">
        <v>210</v>
      </c>
      <c r="C377" s="29" t="s">
        <v>167</v>
      </c>
      <c r="E377" s="25"/>
      <c r="F377" s="26" t="str">
        <f aca="false">IF(OR(E377="",E377="!!!"),"",IF(NOT(ISNA(VLOOKUP(E377,E$1:E376,1,FALSE()))),"OLD",IF(AND(E377&lt;&gt;"",E377&lt;&gt;"!!!"),"NEW","")))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7" t="str">
        <f aca="false">IF(OR(E377="",E377="!!!",F377="NEW"),"",INDEX(B17:B$361,-1+SUMPRODUCT(MAX(ROW(E17:E$361)*(E377=E17:E$361)))))</f>
        <v/>
      </c>
      <c r="J377" s="27" t="str">
        <f aca="true">IF(OR(E377="",E377="!!!",F377="NEW"),"",COUNTBLANK(OFFSET(A$1,,,SUMPRODUCT(MAX(ROW(E$2:E377)*(E377=E$2:E377)))))-COUNTBLANK(OFFSET(A$1,,,SUMPRODUCT(MAX(ROW(E$1:E376)*(E2=E$1:E376))))))</f>
        <v/>
      </c>
      <c r="K377" s="27" t="str">
        <f aca="false">IF(OR(E377="",E377="!!!",F377="NEW"),"",INDEX(J$1:J376,SUMPRODUCT(MAX(ROW(E$1:E376)*(E377=E$1:E376)))))</f>
        <v/>
      </c>
      <c r="L377" s="28"/>
    </row>
    <row r="378" customFormat="false" ht="15" hidden="false" customHeight="false" outlineLevel="0" collapsed="false">
      <c r="A378" s="21" t="s">
        <v>178</v>
      </c>
      <c r="E378" s="25"/>
      <c r="F378" s="26" t="str">
        <f aca="false">IF(OR(E378="",E378="!!!"),"",IF(NOT(ISNA(VLOOKUP(E378,E$1:E377,1,FALSE()))),"OLD",IF(AND(E378&lt;&gt;"",E378&lt;&gt;"!!!"),"NEW","")))</f>
        <v/>
      </c>
      <c r="G378" s="22" t="str">
        <f aca="false">IF(OR(E378="",E378="!!!"),"",IF(OR(J378=0,AND(J378=1,K378=1),AND(J378=1,I378="SBJ"),AND(J378=1,I378=0)),"?IN_FOCUS",IF(J378&lt;=2,"?ACTIVATED",IF(J378&lt;&gt;"","?FAMILIAR",IF(F378="NEW",IF(ISNA(VLOOKUP(E378,#REF!,1,FALSE())),"?TYPE_IDENTIFIABLE","?REFERENTIAL"),"_")))))</f>
        <v/>
      </c>
      <c r="H378" s="23" t="str">
        <f aca="false">IF(J378&lt;&gt;1,"",IF(I378="SBJ","CB","?"))</f>
        <v/>
      </c>
      <c r="I378" s="27" t="str">
        <f aca="false">IF(OR(E378="",E378="!!!",F378="NEW"),"",INDEX(B18:B$361,-1+SUMPRODUCT(MAX(ROW(E18:E$361)*(E378=E18:E$361)))))</f>
        <v/>
      </c>
      <c r="J378" s="27" t="str">
        <f aca="true">IF(OR(E378="",E378="!!!",F378="NEW"),"",COUNTBLANK(OFFSET(A$1,,,SUMPRODUCT(MAX(ROW(E$2:E378)*(E378=E$2:E378)))))-COUNTBLANK(OFFSET(A$1,,,SUMPRODUCT(MAX(ROW(E$1:E377)*(E2=E$1:E377))))))</f>
        <v/>
      </c>
      <c r="K378" s="27" t="str">
        <f aca="false">IF(OR(E378="",E378="!!!",F378="NEW"),"",INDEX(J$1:J377,SUMPRODUCT(MAX(ROW(E$1:E377)*(E378=E$1:E377)))))</f>
        <v/>
      </c>
      <c r="L378" s="28"/>
    </row>
    <row r="379" customFormat="false" ht="15" hidden="false" customHeight="false" outlineLevel="0" collapsed="false">
      <c r="A379" s="21" t="s">
        <v>430</v>
      </c>
      <c r="B379" s="29" t="s">
        <v>210</v>
      </c>
      <c r="C379" s="29" t="s">
        <v>167</v>
      </c>
      <c r="E379" s="25"/>
      <c r="F379" s="26" t="str">
        <f aca="false">IF(OR(E379="",E379="!!!"),"",IF(NOT(ISNA(VLOOKUP(E379,E$1:E378,1,FALSE()))),"OLD",IF(AND(E379&lt;&gt;"",E379&lt;&gt;"!!!"),"NEW","")))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7" t="str">
        <f aca="false">IF(OR(E379="",E379="!!!",F379="NEW"),"",INDEX(B19:B$361,-1+SUMPRODUCT(MAX(ROW(E19:E$361)*(E379=E19:E$361)))))</f>
        <v/>
      </c>
      <c r="J379" s="27" t="str">
        <f aca="true">IF(OR(E379="",E379="!!!",F379="NEW"),"",COUNTBLANK(OFFSET(A$1,,,SUMPRODUCT(MAX(ROW(E$2:E379)*(E379=E$2:E379)))))-COUNTBLANK(OFFSET(A$1,,,SUMPRODUCT(MAX(ROW(E$1:E378)*(E2=E$1:E378))))))</f>
        <v/>
      </c>
      <c r="K379" s="27" t="str">
        <f aca="false">IF(OR(E379="",E379="!!!",F379="NEW"),"",INDEX(J$1:J378,SUMPRODUCT(MAX(ROW(E$1:E378)*(E379=E$1:E378)))))</f>
        <v/>
      </c>
      <c r="L379" s="28"/>
    </row>
    <row r="380" customFormat="false" ht="15" hidden="false" customHeight="false" outlineLevel="0" collapsed="false">
      <c r="A380" s="21" t="s">
        <v>207</v>
      </c>
      <c r="E380" s="25"/>
      <c r="F380" s="26" t="str">
        <f aca="false">IF(OR(E380="",E380="!!!"),"",IF(NOT(ISNA(VLOOKUP(E380,E$1:E379,1,FALSE()))),"OLD",IF(AND(E380&lt;&gt;"",E380&lt;&gt;"!!!"),"NEW","")))</f>
        <v/>
      </c>
      <c r="G380" s="22" t="str">
        <f aca="false">IF(OR(E380="",E380="!!!"),"",IF(OR(J380=0,AND(J380=1,K380=1),AND(J380=1,I380="SBJ"),AND(J380=1,I380=0)),"?IN_FOCUS",IF(J380&lt;=2,"?ACTIVATED",IF(J380&lt;&gt;"","?FAMILIAR",IF(F380="NEW",IF(ISNA(VLOOKUP(E380,#REF!,1,FALSE())),"?TYPE_IDENTIFIABLE","?REFERENTIAL"),"_")))))</f>
        <v/>
      </c>
      <c r="H380" s="23" t="str">
        <f aca="false">IF(J380&lt;&gt;1,"",IF(I380="SBJ","CB","?"))</f>
        <v/>
      </c>
      <c r="I380" s="27" t="str">
        <f aca="false">IF(OR(E380="",E380="!!!",F380="NEW"),"",INDEX(B20:B$361,-1+SUMPRODUCT(MAX(ROW(E20:E$361)*(E380=E20:E$361)))))</f>
        <v/>
      </c>
      <c r="J380" s="27" t="str">
        <f aca="true">IF(OR(E380="",E380="!!!",F380="NEW"),"",COUNTBLANK(OFFSET(A$1,,,SUMPRODUCT(MAX(ROW(E$2:E380)*(E380=E$2:E380)))))-COUNTBLANK(OFFSET(A$1,,,SUMPRODUCT(MAX(ROW(E$1:E379)*(E2=E$1:E379))))))</f>
        <v/>
      </c>
      <c r="K380" s="27" t="str">
        <f aca="false">IF(OR(E380="",E380="!!!",F380="NEW"),"",INDEX(J$1:J379,SUMPRODUCT(MAX(ROW(E$1:E379)*(E380=E$1:E379)))))</f>
        <v/>
      </c>
      <c r="L380" s="28"/>
    </row>
    <row r="381" customFormat="false" ht="15" hidden="false" customHeight="false" outlineLevel="0" collapsed="false">
      <c r="A381" s="21" t="s">
        <v>431</v>
      </c>
      <c r="E381" s="25"/>
      <c r="F381" s="26" t="str">
        <f aca="false">IF(OR(E381="",E381="!!!"),"",IF(NOT(ISNA(VLOOKUP(E381,E$1:E380,1,FALSE()))),"OLD",IF(AND(E381&lt;&gt;"",E381&lt;&gt;"!!!"),"NEW","")))</f>
        <v/>
      </c>
      <c r="G381" s="22" t="str">
        <f aca="false">IF(OR(E381="",E381="!!!"),"",IF(OR(J381=0,AND(J381=1,K381=1),AND(J381=1,I381="SBJ"),AND(J381=1,I381=0)),"?IN_FOCUS",IF(J381&lt;=2,"?ACTIVATED",IF(J381&lt;&gt;"","?FAMILIAR",IF(F381="NEW",IF(ISNA(VLOOKUP(E381,#REF!,1,FALSE())),"?TYPE_IDENTIFIABLE","?REFERENTIAL"),"_")))))</f>
        <v/>
      </c>
      <c r="H381" s="23" t="str">
        <f aca="false">IF(J381&lt;&gt;1,"",IF(I381="SBJ","CB","?"))</f>
        <v/>
      </c>
      <c r="I381" s="27" t="str">
        <f aca="false">IF(OR(E381="",E381="!!!",F381="NEW"),"",INDEX(B21:B$361,-1+SUMPRODUCT(MAX(ROW(E21:E$361)*(E381=E21:E$361)))))</f>
        <v/>
      </c>
      <c r="J381" s="27" t="str">
        <f aca="true">IF(OR(E381="",E381="!!!",F381="NEW"),"",COUNTBLANK(OFFSET(A$1,,,SUMPRODUCT(MAX(ROW(E$2:E381)*(E381=E$2:E381)))))-COUNTBLANK(OFFSET(A$1,,,SUMPRODUCT(MAX(ROW(E$1:E380)*(E2=E$1:E380))))))</f>
        <v/>
      </c>
      <c r="K381" s="27" t="str">
        <f aca="false">IF(OR(E381="",E381="!!!",F381="NEW"),"",INDEX(J$1:J380,SUMPRODUCT(MAX(ROW(E$1:E380)*(E381=E$1:E380)))))</f>
        <v/>
      </c>
      <c r="L381" s="28"/>
    </row>
    <row r="382" customFormat="false" ht="15" hidden="false" customHeight="false" outlineLevel="0" collapsed="false">
      <c r="A382" s="21" t="s">
        <v>432</v>
      </c>
      <c r="B382" s="29" t="s">
        <v>216</v>
      </c>
      <c r="C382" s="29" t="s">
        <v>167</v>
      </c>
      <c r="E382" s="25"/>
      <c r="F382" s="26" t="str">
        <f aca="false">IF(OR(E382="",E382="!!!"),"",IF(NOT(ISNA(VLOOKUP(E382,E$1:E381,1,FALSE()))),"OLD",IF(AND(E382&lt;&gt;"",E382&lt;&gt;"!!!"),"NEW","")))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7" t="str">
        <f aca="false">IF(OR(E382="",E382="!!!",F382="NEW"),"",INDEX(B22:B$361,-1+SUMPRODUCT(MAX(ROW(E22:E$361)*(E382=E22:E$361)))))</f>
        <v/>
      </c>
      <c r="J382" s="27" t="str">
        <f aca="true">IF(OR(E382="",E382="!!!",F382="NEW"),"",COUNTBLANK(OFFSET(A$1,,,SUMPRODUCT(MAX(ROW(E$2:E382)*(E382=E$2:E382)))))-COUNTBLANK(OFFSET(A$1,,,SUMPRODUCT(MAX(ROW(E$1:E381)*(E2=E$1:E381))))))</f>
        <v/>
      </c>
      <c r="K382" s="27" t="str">
        <f aca="false">IF(OR(E382="",E382="!!!",F382="NEW"),"",INDEX(J$1:J381,SUMPRODUCT(MAX(ROW(E$1:E381)*(E382=E$1:E381)))))</f>
        <v/>
      </c>
      <c r="L382" s="28"/>
    </row>
    <row r="383" customFormat="false" ht="15" hidden="false" customHeight="false" outlineLevel="0" collapsed="false">
      <c r="A383" s="21" t="s">
        <v>283</v>
      </c>
      <c r="E383" s="25"/>
      <c r="F383" s="26" t="str">
        <f aca="false">IF(OR(E383="",E383="!!!"),"",IF(NOT(ISNA(VLOOKUP(E383,E$1:E382,1,FALSE()))),"OLD",IF(AND(E383&lt;&gt;"",E383&lt;&gt;"!!!"),"NEW","")))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7" t="str">
        <f aca="false">IF(OR(E383="",E383="!!!",F383="NEW"),"",INDEX(B23:B$361,-1+SUMPRODUCT(MAX(ROW(E23:E$361)*(E383=E23:E$361)))))</f>
        <v/>
      </c>
      <c r="J383" s="27" t="str">
        <f aca="true">IF(OR(E383="",E383="!!!",F383="NEW"),"",COUNTBLANK(OFFSET(A$1,,,SUMPRODUCT(MAX(ROW(E$2:E383)*(E383=E$2:E383)))))-COUNTBLANK(OFFSET(A$1,,,SUMPRODUCT(MAX(ROW(E$1:E382)*(E2=E$1:E382))))))</f>
        <v/>
      </c>
      <c r="K383" s="27" t="str">
        <f aca="false">IF(OR(E383="",E383="!!!",F383="NEW"),"",INDEX(J$1:J382,SUMPRODUCT(MAX(ROW(E$1:E382)*(E383=E$1:E382)))))</f>
        <v/>
      </c>
      <c r="L383" s="28"/>
    </row>
    <row r="384" customFormat="false" ht="15" hidden="false" customHeight="false" outlineLevel="0" collapsed="false">
      <c r="A384" s="21" t="s">
        <v>394</v>
      </c>
      <c r="B384" s="29" t="s">
        <v>232</v>
      </c>
      <c r="C384" s="29" t="s">
        <v>240</v>
      </c>
      <c r="D384" s="29" t="s">
        <v>159</v>
      </c>
      <c r="E384" s="25" t="s">
        <v>395</v>
      </c>
      <c r="F384" s="30" t="str">
        <f aca="false">IF(OR(E384="",E384="!!!"),"",IF(NOT(ISNA(VLOOKUP(E384,E$1:E383,1,FALSE()))),"OLD",IF(AND(E384&lt;&gt;"",E384&lt;&gt;"!!!"),"NEW","")))</f>
        <v>OLD</v>
      </c>
      <c r="G384" s="22" t="s">
        <v>186</v>
      </c>
      <c r="H384" s="23" t="str">
        <f aca="false">IF(J384&lt;&gt;1,"",IF(I384="SBJ","CB","?"))</f>
        <v/>
      </c>
      <c r="I384" s="31" t="e">
        <f aca="false">IF(OR(E384="",E384="!!!",F384="NEW"),"",INDEX(B24:B$361,-1+SUMPRODUCT(MAX(ROW(E24:E$361)*(E384=E24:E$361)))))</f>
        <v>#REF!</v>
      </c>
      <c r="J384" s="31" t="n">
        <f aca="true">IF(OR(E384="",E384="!!!",F384="NEW"),"",COUNTBLANK(OFFSET(A$1,,,SUMPRODUCT(MAX(ROW(E$2:E384)*(E384=E$2:E384)))))-COUNTBLANK(OFFSET(A$1,,,SUMPRODUCT(MAX(ROW(E$1:E383)*(E2=E$1:E383))))))</f>
        <v>0</v>
      </c>
      <c r="K384" s="31" t="n">
        <f aca="false">IF(OR(E384="",E384="!!!",F384="NEW"),"",INDEX(J$1:J383,SUMPRODUCT(MAX(ROW(E$1:E383)*(E384=E$1:E383)))))</f>
        <v>0</v>
      </c>
      <c r="L384" s="28"/>
    </row>
    <row r="385" customFormat="false" ht="15" hidden="false" customHeight="false" outlineLevel="0" collapsed="false">
      <c r="A385" s="21" t="s">
        <v>433</v>
      </c>
      <c r="B385" s="29" t="s">
        <v>216</v>
      </c>
      <c r="C385" s="29" t="s">
        <v>243</v>
      </c>
      <c r="D385" s="29" t="s">
        <v>159</v>
      </c>
      <c r="E385" s="25" t="s">
        <v>434</v>
      </c>
      <c r="F385" s="30" t="str">
        <f aca="false">IF(OR(E385="",E385="!!!"),"",IF(NOT(ISNA(VLOOKUP(E385,E$1:E384,1,FALSE()))),"OLD",IF(AND(E385&lt;&gt;"",E385&lt;&gt;"!!!"),"NEW","")))</f>
        <v>NEW</v>
      </c>
      <c r="G385" s="22" t="s">
        <v>160</v>
      </c>
      <c r="H385" s="23" t="str">
        <f aca="false">IF(J385&lt;&gt;1,"",IF(I385="SBJ","CB","?"))</f>
        <v/>
      </c>
      <c r="I385" s="31" t="str">
        <f aca="false">IF(OR(E385="",E385="!!!",F385="NEW"),"",INDEX(B25:B$361,-1+SUMPRODUCT(MAX(ROW(E25:E$361)*(E385=E25:E$361)))))</f>
        <v/>
      </c>
      <c r="J385" s="31" t="str">
        <f aca="true">IF(OR(E385="",E385="!!!",F385="NEW"),"",COUNTBLANK(OFFSET(A$1,,,SUMPRODUCT(MAX(ROW(E$2:E385)*(E385=E$2:E385)))))-COUNTBLANK(OFFSET(A$1,,,SUMPRODUCT(MAX(ROW(E$1:E384)*(E2=E$1:E384))))))</f>
        <v/>
      </c>
      <c r="K385" s="31" t="str">
        <f aca="false">IF(OR(E385="",E385="!!!",F385="NEW"),"",INDEX(J$1:J384,SUMPRODUCT(MAX(ROW(E$1:E384)*(E385=E$1:E384)))))</f>
        <v/>
      </c>
      <c r="L385" s="28"/>
    </row>
    <row r="386" customFormat="false" ht="15" hidden="false" customHeight="false" outlineLevel="0" collapsed="false">
      <c r="A386" s="21" t="s">
        <v>193</v>
      </c>
      <c r="E386" s="25"/>
      <c r="F386" s="26" t="str">
        <f aca="false">IF(OR(E386="",E386="!!!"),"",IF(NOT(ISNA(VLOOKUP(E386,E$1:E385,1,FALSE()))),"OLD",IF(AND(E386&lt;&gt;"",E386&lt;&gt;"!!!"),"NEW","")))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7" t="str">
        <f aca="false">IF(OR(E386="",E386="!!!",F386="NEW"),"",INDEX(B26:B$361,-1+SUMPRODUCT(MAX(ROW(E26:E$361)*(E386=E26:E$361)))))</f>
        <v/>
      </c>
      <c r="J386" s="27" t="str">
        <f aca="true">IF(OR(E386="",E386="!!!",F386="NEW"),"",COUNTBLANK(OFFSET(A$1,,,SUMPRODUCT(MAX(ROW(E$2:E386)*(E386=E$2:E386)))))-COUNTBLANK(OFFSET(A$1,,,SUMPRODUCT(MAX(ROW(E$1:E385)*(E2=E$1:E385))))))</f>
        <v/>
      </c>
      <c r="K386" s="27" t="str">
        <f aca="false">IF(OR(E386="",E386="!!!",F386="NEW"),"",INDEX(J$1:J385,SUMPRODUCT(MAX(ROW(E$1:E385)*(E386=E$1:E385)))))</f>
        <v/>
      </c>
      <c r="L386" s="28"/>
    </row>
    <row r="387" customFormat="false" ht="15" hidden="false" customHeight="false" outlineLevel="0" collapsed="false">
      <c r="A387" s="21"/>
      <c r="G387" s="22" t="str">
        <f aca="false">IF(OR(E387="",E387="!!!"),"",IF(OR(J387=0,AND(J387=1,K387=1),AND(J387=1,I387="SBJ"),AND(J387=1,I387=0)),"?IN_FOCUS",IF(J387&lt;=2,"?ACTIVATED",IF(J387&lt;&gt;"","?FAMILIAR",IF(F387="NEW",IF(ISNA(VLOOKUP(E387,#REF!,1,FALSE())),"?TYPE_IDENTIFIABLE","?REFERENTIAL"),"_")))))</f>
        <v/>
      </c>
      <c r="H387" s="23" t="str">
        <f aca="false">IF(J387&lt;&gt;1,"",IF(I387="SBJ","CB","?"))</f>
        <v/>
      </c>
    </row>
    <row r="388" customFormat="false" ht="15" hidden="false" customHeight="false" outlineLevel="0" collapsed="false">
      <c r="A388" s="21" t="s">
        <v>435</v>
      </c>
      <c r="G388" s="22" t="str">
        <f aca="false">IF(OR(E388="",E388="!!!"),"",IF(OR(J388=0,AND(J388=1,K388=1),AND(J388=1,I388="SBJ"),AND(J388=1,I388=0)),"?IN_FOCUS",IF(J388&lt;=2,"?ACTIVATED",IF(J388&lt;&gt;"","?FAMILIAR",IF(F388="NEW",IF(ISNA(VLOOKUP(E388,#REF!,1,FALSE())),"?TYPE_IDENTIFIABLE","?REFERENTIAL"),"_")))))</f>
        <v/>
      </c>
      <c r="H388" s="23" t="str">
        <f aca="false">IF(J388&lt;&gt;1,"",IF(I388="SBJ","CB","?"))</f>
        <v/>
      </c>
    </row>
    <row r="389" customFormat="false" ht="15" hidden="false" customHeight="false" outlineLevel="0" collapsed="false">
      <c r="A389" s="21" t="s">
        <v>436</v>
      </c>
      <c r="E389" s="25"/>
      <c r="F389" s="26" t="str">
        <f aca="false">IF(OR(E389="",E389="!!!"),"",IF(NOT(ISNA(VLOOKUP(E389,E$1:E388,1,FALSE()))),"OLD",IF(AND(E389&lt;&gt;"",E389&lt;&gt;"!!!"),"NEW","")))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7" t="str">
        <f aca="false">IF(OR(E389="",E389="!!!",F389="NEW"),"",INDEX(B2:B$388,-1+SUMPRODUCT(MAX(ROW(E2:E$388)*(E389=E2:E$388)))))</f>
        <v/>
      </c>
      <c r="J389" s="27" t="str">
        <f aca="true">IF(OR(E389="",E389="!!!",F389="NEW"),"",COUNTBLANK(OFFSET(A$1,,,SUMPRODUCT(MAX(ROW(E$2:E389)*(E389=E$2:E389)))))-COUNTBLANK(OFFSET(A$1,,,SUMPRODUCT(MAX(ROW(E$1:E388)*(E2=E$1:E388))))))</f>
        <v/>
      </c>
      <c r="K389" s="27" t="str">
        <f aca="false">IF(OR(E389="",E389="!!!",F389="NEW"),"",INDEX(J$1:J388,SUMPRODUCT(MAX(ROW(E$1:E388)*(E389=E$1:E388)))))</f>
        <v/>
      </c>
      <c r="L389" s="28"/>
    </row>
    <row r="390" customFormat="false" ht="15" hidden="false" customHeight="false" outlineLevel="0" collapsed="false">
      <c r="A390" s="21" t="s">
        <v>329</v>
      </c>
      <c r="B390" s="29" t="s">
        <v>180</v>
      </c>
      <c r="C390" s="29" t="s">
        <v>154</v>
      </c>
      <c r="E390" s="25"/>
      <c r="F390" s="26" t="str">
        <f aca="false">IF(OR(E390="",E390="!!!"),"",IF(NOT(ISNA(VLOOKUP(E390,E$1:E389,1,FALSE()))),"OLD",IF(AND(E390&lt;&gt;"",E390&lt;&gt;"!!!"),"NEW","")))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7" t="str">
        <f aca="false">IF(OR(E390="",E390="!!!",F390="NEW"),"",INDEX(B3:B$388,-1+SUMPRODUCT(MAX(ROW(E3:E$388)*(E390=E3:E$388)))))</f>
        <v/>
      </c>
      <c r="J390" s="27" t="str">
        <f aca="true">IF(OR(E390="",E390="!!!",F390="NEW"),"",COUNTBLANK(OFFSET(A$1,,,SUMPRODUCT(MAX(ROW(E$2:E390)*(E390=E$2:E390)))))-COUNTBLANK(OFFSET(A$1,,,SUMPRODUCT(MAX(ROW(E$1:E389)*(E2=E$1:E389))))))</f>
        <v/>
      </c>
      <c r="K390" s="27" t="str">
        <f aca="false">IF(OR(E390="",E390="!!!",F390="NEW"),"",INDEX(J$1:J389,SUMPRODUCT(MAX(ROW(E$1:E389)*(E390=E$1:E389)))))</f>
        <v/>
      </c>
      <c r="L390" s="28"/>
    </row>
    <row r="391" customFormat="false" ht="15" hidden="false" customHeight="false" outlineLevel="0" collapsed="false">
      <c r="A391" s="21" t="s">
        <v>75</v>
      </c>
      <c r="E391" s="25"/>
      <c r="F391" s="26" t="str">
        <f aca="false">IF(OR(E391="",E391="!!!"),"",IF(NOT(ISNA(VLOOKUP(E391,E$1:E390,1,FALSE()))),"OLD",IF(AND(E391&lt;&gt;"",E391&lt;&gt;"!!!"),"NEW","")))</f>
        <v/>
      </c>
      <c r="G391" s="22" t="str">
        <f aca="false">IF(OR(E391="",E391="!!!"),"",IF(OR(J391=0,AND(J391=1,K391=1),AND(J391=1,I391="SBJ"),AND(J391=1,I391=0)),"?IN_FOCUS",IF(J391&lt;=2,"?ACTIVATED",IF(J391&lt;&gt;"","?FAMILIAR",IF(F391="NEW",IF(ISNA(VLOOKUP(E391,#REF!,1,FALSE())),"?TYPE_IDENTIFIABLE","?REFERENTIAL"),"_")))))</f>
        <v/>
      </c>
      <c r="H391" s="23" t="str">
        <f aca="false">IF(J391&lt;&gt;1,"",IF(I391="SBJ","CB","?"))</f>
        <v/>
      </c>
      <c r="I391" s="27" t="str">
        <f aca="false">IF(OR(E391="",E391="!!!",F391="NEW"),"",INDEX(B4:B$388,-1+SUMPRODUCT(MAX(ROW(E4:E$388)*(E391=E4:E$388)))))</f>
        <v/>
      </c>
      <c r="J391" s="27" t="str">
        <f aca="true">IF(OR(E391="",E391="!!!",F391="NEW"),"",COUNTBLANK(OFFSET(A$1,,,SUMPRODUCT(MAX(ROW(E$2:E391)*(E391=E$2:E391)))))-COUNTBLANK(OFFSET(A$1,,,SUMPRODUCT(MAX(ROW(E$1:E390)*(E2=E$1:E390))))))</f>
        <v/>
      </c>
      <c r="K391" s="27" t="str">
        <f aca="false">IF(OR(E391="",E391="!!!",F391="NEW"),"",INDEX(J$1:J390,SUMPRODUCT(MAX(ROW(E$1:E390)*(E391=E$1:E390)))))</f>
        <v/>
      </c>
      <c r="L391" s="28"/>
    </row>
    <row r="392" customFormat="false" ht="15" hidden="false" customHeight="false" outlineLevel="0" collapsed="false">
      <c r="A392" s="21" t="s">
        <v>230</v>
      </c>
      <c r="E392" s="25"/>
      <c r="F392" s="26" t="str">
        <f aca="false">IF(OR(E392="",E392="!!!"),"",IF(NOT(ISNA(VLOOKUP(E392,E$1:E391,1,FALSE()))),"OLD",IF(AND(E392&lt;&gt;"",E392&lt;&gt;"!!!"),"NEW","")))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7" t="str">
        <f aca="false">IF(OR(E392="",E392="!!!",F392="NEW"),"",INDEX(B5:B$388,-1+SUMPRODUCT(MAX(ROW(E5:E$388)*(E392=E5:E$388)))))</f>
        <v/>
      </c>
      <c r="J392" s="27" t="str">
        <f aca="true">IF(OR(E392="",E392="!!!",F392="NEW"),"",COUNTBLANK(OFFSET(A$1,,,SUMPRODUCT(MAX(ROW(E$2:E392)*(E392=E$2:E392)))))-COUNTBLANK(OFFSET(A$1,,,SUMPRODUCT(MAX(ROW(E$1:E391)*(E2=E$1:E391))))))</f>
        <v/>
      </c>
      <c r="K392" s="27" t="str">
        <f aca="false">IF(OR(E392="",E392="!!!",F392="NEW"),"",INDEX(J$1:J391,SUMPRODUCT(MAX(ROW(E$1:E391)*(E392=E$1:E391)))))</f>
        <v/>
      </c>
      <c r="L392" s="28"/>
    </row>
    <row r="393" customFormat="false" ht="15" hidden="false" customHeight="false" outlineLevel="0" collapsed="false">
      <c r="A393" s="21" t="s">
        <v>169</v>
      </c>
      <c r="E393" s="25"/>
      <c r="F393" s="26" t="str">
        <f aca="false">IF(OR(E393="",E393="!!!"),"",IF(NOT(ISNA(VLOOKUP(E393,E$1:E392,1,FALSE()))),"OLD",IF(AND(E393&lt;&gt;"",E393&lt;&gt;"!!!"),"NEW","")))</f>
        <v/>
      </c>
      <c r="G393" s="22" t="str">
        <f aca="false">IF(OR(E393="",E393="!!!"),"",IF(OR(J393=0,AND(J393=1,K393=1),AND(J393=1,I393="SBJ"),AND(J393=1,I393=0)),"?IN_FOCUS",IF(J393&lt;=2,"?ACTIVATED",IF(J393&lt;&gt;"","?FAMILIAR",IF(F393="NEW",IF(ISNA(VLOOKUP(E393,#REF!,1,FALSE())),"?TYPE_IDENTIFIABLE","?REFERENTIAL"),"_")))))</f>
        <v/>
      </c>
      <c r="H393" s="23" t="str">
        <f aca="false">IF(J393&lt;&gt;1,"",IF(I393="SBJ","CB","?"))</f>
        <v/>
      </c>
      <c r="I393" s="27" t="str">
        <f aca="false">IF(OR(E393="",E393="!!!",F393="NEW"),"",INDEX(B6:B$388,-1+SUMPRODUCT(MAX(ROW(E6:E$388)*(E393=E6:E$388)))))</f>
        <v/>
      </c>
      <c r="J393" s="27" t="str">
        <f aca="true">IF(OR(E393="",E393="!!!",F393="NEW"),"",COUNTBLANK(OFFSET(A$1,,,SUMPRODUCT(MAX(ROW(E$2:E393)*(E393=E$2:E393)))))-COUNTBLANK(OFFSET(A$1,,,SUMPRODUCT(MAX(ROW(E$1:E392)*(E2=E$1:E392))))))</f>
        <v/>
      </c>
      <c r="K393" s="27" t="str">
        <f aca="false">IF(OR(E393="",E393="!!!",F393="NEW"),"",INDEX(J$1:J392,SUMPRODUCT(MAX(ROW(E$1:E392)*(E393=E$1:E392)))))</f>
        <v/>
      </c>
      <c r="L393" s="28"/>
    </row>
    <row r="394" customFormat="false" ht="15" hidden="false" customHeight="false" outlineLevel="0" collapsed="false">
      <c r="A394" s="21" t="s">
        <v>170</v>
      </c>
      <c r="B394" s="29" t="s">
        <v>153</v>
      </c>
      <c r="C394" s="29" t="s">
        <v>171</v>
      </c>
      <c r="D394" s="29" t="s">
        <v>159</v>
      </c>
      <c r="E394" s="25" t="s">
        <v>172</v>
      </c>
      <c r="F394" s="30" t="str">
        <f aca="false">IF(OR(E394="",E394="!!!"),"",IF(NOT(ISNA(VLOOKUP(E394,E$1:E393,1,FALSE()))),"OLD",IF(AND(E394&lt;&gt;"",E394&lt;&gt;"!!!"),"NEW","")))</f>
        <v>OLD</v>
      </c>
      <c r="G394" s="22" t="s">
        <v>265</v>
      </c>
      <c r="H394" s="23" t="str">
        <f aca="false">IF(J394&lt;&gt;1,"",IF(I394="SBJ","CB","?"))</f>
        <v/>
      </c>
      <c r="I394" s="31" t="n">
        <f aca="false">IF(OR(E394="",E394="!!!",F394="NEW"),"",INDEX(B7:B$388,-1+SUMPRODUCT(MAX(ROW(E7:E$388)*(E394=E7:E$388)))))</f>
        <v>0</v>
      </c>
      <c r="J394" s="31" t="n">
        <f aca="true">IF(OR(E394="",E394="!!!",F394="NEW"),"",COUNTBLANK(OFFSET(A$1,,,SUMPRODUCT(MAX(ROW(E$2:E394)*(E394=E$2:E394)))))-COUNTBLANK(OFFSET(A$1,,,SUMPRODUCT(MAX(ROW(E$1:E393)*(E2=E$1:E393))))))</f>
        <v>0</v>
      </c>
      <c r="K394" s="31" t="n">
        <f aca="false">IF(OR(E394="",E394="!!!",F394="NEW"),"",INDEX(J$1:J393,SUMPRODUCT(MAX(ROW(E$1:E393)*(E394=E$1:E393)))))</f>
        <v>0</v>
      </c>
      <c r="L394" s="28"/>
    </row>
    <row r="395" customFormat="false" ht="15" hidden="false" customHeight="false" outlineLevel="0" collapsed="false">
      <c r="A395" s="21" t="s">
        <v>326</v>
      </c>
      <c r="E395" s="25"/>
      <c r="F395" s="26" t="str">
        <f aca="false">IF(OR(E395="",E395="!!!"),"",IF(NOT(ISNA(VLOOKUP(E395,E$1:E394,1,FALSE()))),"OLD",IF(AND(E395&lt;&gt;"",E395&lt;&gt;"!!!"),"NEW","")))</f>
        <v/>
      </c>
      <c r="G395" s="22" t="str">
        <f aca="false">IF(OR(E395="",E395="!!!"),"",IF(OR(J395=0,AND(J395=1,K395=1),AND(J395=1,I395="SBJ"),AND(J395=1,I395=0)),"?IN_FOCUS",IF(J395&lt;=2,"?ACTIVATED",IF(J395&lt;&gt;"","?FAMILIAR",IF(F395="NEW",IF(ISNA(VLOOKUP(E395,#REF!,1,FALSE())),"?TYPE_IDENTIFIABLE","?REFERENTIAL"),"_")))))</f>
        <v/>
      </c>
      <c r="H395" s="23" t="str">
        <f aca="false">IF(J395&lt;&gt;1,"",IF(I395="SBJ","CB","?"))</f>
        <v/>
      </c>
      <c r="I395" s="27" t="str">
        <f aca="false">IF(OR(E395="",E395="!!!",F395="NEW"),"",INDEX(B8:B$388,-1+SUMPRODUCT(MAX(ROW(E8:E$388)*(E395=E8:E$388)))))</f>
        <v/>
      </c>
      <c r="J395" s="27" t="str">
        <f aca="true">IF(OR(E395="",E395="!!!",F395="NEW"),"",COUNTBLANK(OFFSET(A$1,,,SUMPRODUCT(MAX(ROW(E$2:E395)*(E395=E$2:E395)))))-COUNTBLANK(OFFSET(A$1,,,SUMPRODUCT(MAX(ROW(E$1:E394)*(E2=E$1:E394))))))</f>
        <v/>
      </c>
      <c r="K395" s="27" t="str">
        <f aca="false">IF(OR(E395="",E395="!!!",F395="NEW"),"",INDEX(J$1:J394,SUMPRODUCT(MAX(ROW(E$1:E394)*(E395=E$1:E394)))))</f>
        <v/>
      </c>
      <c r="L395" s="28"/>
    </row>
    <row r="396" customFormat="false" ht="15" hidden="false" customHeight="false" outlineLevel="0" collapsed="false">
      <c r="A396" s="21" t="s">
        <v>437</v>
      </c>
      <c r="B396" s="29" t="s">
        <v>153</v>
      </c>
      <c r="C396" s="29" t="s">
        <v>167</v>
      </c>
      <c r="E396" s="25"/>
      <c r="F396" s="26" t="str">
        <f aca="false">IF(OR(E396="",E396="!!!"),"",IF(NOT(ISNA(VLOOKUP(E396,E$1:E395,1,FALSE()))),"OLD",IF(AND(E396&lt;&gt;"",E396&lt;&gt;"!!!"),"NEW","")))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7" t="str">
        <f aca="false">IF(OR(E396="",E396="!!!",F396="NEW"),"",INDEX(B9:B$388,-1+SUMPRODUCT(MAX(ROW(E9:E$388)*(E396=E9:E$388)))))</f>
        <v/>
      </c>
      <c r="J396" s="27" t="str">
        <f aca="true">IF(OR(E396="",E396="!!!",F396="NEW"),"",COUNTBLANK(OFFSET(A$1,,,SUMPRODUCT(MAX(ROW(E$2:E396)*(E396=E$2:E396)))))-COUNTBLANK(OFFSET(A$1,,,SUMPRODUCT(MAX(ROW(E$1:E395)*(E2=E$1:E395))))))</f>
        <v/>
      </c>
      <c r="K396" s="27" t="str">
        <f aca="false">IF(OR(E396="",E396="!!!",F396="NEW"),"",INDEX(J$1:J395,SUMPRODUCT(MAX(ROW(E$1:E395)*(E396=E$1:E395)))))</f>
        <v/>
      </c>
      <c r="L396" s="28"/>
    </row>
    <row r="397" customFormat="false" ht="15" hidden="false" customHeight="false" outlineLevel="0" collapsed="false">
      <c r="A397" s="21" t="s">
        <v>178</v>
      </c>
      <c r="E397" s="25"/>
      <c r="F397" s="26" t="str">
        <f aca="false">IF(OR(E397="",E397="!!!"),"",IF(NOT(ISNA(VLOOKUP(E397,E$1:E396,1,FALSE()))),"OLD",IF(AND(E397&lt;&gt;"",E397&lt;&gt;"!!!"),"NEW","")))</f>
        <v/>
      </c>
      <c r="G397" s="22" t="str">
        <f aca="false">IF(OR(E397="",E397="!!!"),"",IF(OR(J397=0,AND(J397=1,K397=1),AND(J397=1,I397="SBJ"),AND(J397=1,I397=0)),"?IN_FOCUS",IF(J397&lt;=2,"?ACTIVATED",IF(J397&lt;&gt;"","?FAMILIAR",IF(F397="NEW",IF(ISNA(VLOOKUP(E397,#REF!,1,FALSE())),"?TYPE_IDENTIFIABLE","?REFERENTIAL"),"_")))))</f>
        <v/>
      </c>
      <c r="H397" s="23" t="str">
        <f aca="false">IF(J397&lt;&gt;1,"",IF(I397="SBJ","CB","?"))</f>
        <v/>
      </c>
      <c r="I397" s="27" t="str">
        <f aca="false">IF(OR(E397="",E397="!!!",F397="NEW"),"",INDEX(B10:B$388,-1+SUMPRODUCT(MAX(ROW(E10:E$388)*(E397=E10:E$388)))))</f>
        <v/>
      </c>
      <c r="J397" s="27" t="str">
        <f aca="true">IF(OR(E397="",E397="!!!",F397="NEW"),"",COUNTBLANK(OFFSET(A$1,,,SUMPRODUCT(MAX(ROW(E$2:E397)*(E397=E$2:E397)))))-COUNTBLANK(OFFSET(A$1,,,SUMPRODUCT(MAX(ROW(E$1:E396)*(E2=E$1:E396))))))</f>
        <v/>
      </c>
      <c r="K397" s="27" t="str">
        <f aca="false">IF(OR(E397="",E397="!!!",F397="NEW"),"",INDEX(J$1:J396,SUMPRODUCT(MAX(ROW(E$1:E396)*(E397=E$1:E396)))))</f>
        <v/>
      </c>
      <c r="L397" s="28"/>
    </row>
    <row r="398" customFormat="false" ht="15" hidden="false" customHeight="false" outlineLevel="0" collapsed="false">
      <c r="A398" s="21" t="s">
        <v>438</v>
      </c>
      <c r="E398" s="25"/>
      <c r="F398" s="26" t="str">
        <f aca="false">IF(OR(E398="",E398="!!!"),"",IF(NOT(ISNA(VLOOKUP(E398,E$1:E397,1,FALSE()))),"OLD",IF(AND(E398&lt;&gt;"",E398&lt;&gt;"!!!"),"NEW","")))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7" t="str">
        <f aca="false">IF(OR(E398="",E398="!!!",F398="NEW"),"",INDEX(B11:B$388,-1+SUMPRODUCT(MAX(ROW(E11:E$388)*(E398=E11:E$388)))))</f>
        <v/>
      </c>
      <c r="J398" s="27" t="str">
        <f aca="true">IF(OR(E398="",E398="!!!",F398="NEW"),"",COUNTBLANK(OFFSET(A$1,,,SUMPRODUCT(MAX(ROW(E$2:E398)*(E398=E$2:E398)))))-COUNTBLANK(OFFSET(A$1,,,SUMPRODUCT(MAX(ROW(E$1:E397)*(E2=E$1:E397))))))</f>
        <v/>
      </c>
      <c r="K398" s="27" t="str">
        <f aca="false">IF(OR(E398="",E398="!!!",F398="NEW"),"",INDEX(J$1:J397,SUMPRODUCT(MAX(ROW(E$1:E397)*(E398=E$1:E397)))))</f>
        <v/>
      </c>
      <c r="L398" s="28"/>
    </row>
    <row r="399" customFormat="false" ht="15" hidden="false" customHeight="false" outlineLevel="0" collapsed="false">
      <c r="A399" s="21" t="s">
        <v>439</v>
      </c>
      <c r="B399" s="29" t="s">
        <v>258</v>
      </c>
      <c r="C399" s="29" t="s">
        <v>167</v>
      </c>
      <c r="E399" s="25"/>
      <c r="F399" s="26" t="str">
        <f aca="false">IF(OR(E399="",E399="!!!"),"",IF(NOT(ISNA(VLOOKUP(E399,E$1:E398,1,FALSE()))),"OLD",IF(AND(E399&lt;&gt;"",E399&lt;&gt;"!!!"),"NEW","")))</f>
        <v/>
      </c>
      <c r="G399" s="22" t="str">
        <f aca="false">IF(OR(E399="",E399="!!!"),"",IF(OR(J399=0,AND(J399=1,K399=1),AND(J399=1,I399="SBJ"),AND(J399=1,I399=0)),"?IN_FOCUS",IF(J399&lt;=2,"?ACTIVATED",IF(J399&lt;&gt;"","?FAMILIAR",IF(F399="NEW",IF(ISNA(VLOOKUP(E399,#REF!,1,FALSE())),"?TYPE_IDENTIFIABLE","?REFERENTIAL"),"_")))))</f>
        <v/>
      </c>
      <c r="H399" s="23" t="str">
        <f aca="false">IF(J399&lt;&gt;1,"",IF(I399="SBJ","CB","?"))</f>
        <v/>
      </c>
      <c r="I399" s="27" t="str">
        <f aca="false">IF(OR(E399="",E399="!!!",F399="NEW"),"",INDEX(B12:B$388,-1+SUMPRODUCT(MAX(ROW(E12:E$388)*(E399=E12:E$388)))))</f>
        <v/>
      </c>
      <c r="J399" s="27" t="str">
        <f aca="true">IF(OR(E399="",E399="!!!",F399="NEW"),"",COUNTBLANK(OFFSET(A$1,,,SUMPRODUCT(MAX(ROW(E$2:E399)*(E399=E$2:E399)))))-COUNTBLANK(OFFSET(A$1,,,SUMPRODUCT(MAX(ROW(E$1:E398)*(E2=E$1:E398))))))</f>
        <v/>
      </c>
      <c r="K399" s="27" t="str">
        <f aca="false">IF(OR(E399="",E399="!!!",F399="NEW"),"",INDEX(J$1:J398,SUMPRODUCT(MAX(ROW(E$1:E398)*(E399=E$1:E398)))))</f>
        <v/>
      </c>
      <c r="L399" s="28"/>
    </row>
    <row r="400" customFormat="false" ht="15" hidden="false" customHeight="false" outlineLevel="0" collapsed="false">
      <c r="A400" s="21" t="s">
        <v>178</v>
      </c>
      <c r="E400" s="25"/>
      <c r="F400" s="26" t="str">
        <f aca="false">IF(OR(E400="",E400="!!!"),"",IF(NOT(ISNA(VLOOKUP(E400,E$1:E399,1,FALSE()))),"OLD",IF(AND(E400&lt;&gt;"",E400&lt;&gt;"!!!"),"NEW","")))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7" t="str">
        <f aca="false">IF(OR(E400="",E400="!!!",F400="NEW"),"",INDEX(B13:B$388,-1+SUMPRODUCT(MAX(ROW(E13:E$388)*(E400=E13:E$388)))))</f>
        <v/>
      </c>
      <c r="J400" s="27" t="str">
        <f aca="true">IF(OR(E400="",E400="!!!",F400="NEW"),"",COUNTBLANK(OFFSET(A$1,,,SUMPRODUCT(MAX(ROW(E$2:E400)*(E400=E$2:E400)))))-COUNTBLANK(OFFSET(A$1,,,SUMPRODUCT(MAX(ROW(E$1:E399)*(E2=E$1:E399))))))</f>
        <v/>
      </c>
      <c r="K400" s="27" t="str">
        <f aca="false">IF(OR(E400="",E400="!!!",F400="NEW"),"",INDEX(J$1:J399,SUMPRODUCT(MAX(ROW(E$1:E399)*(E400=E$1:E399)))))</f>
        <v/>
      </c>
      <c r="L400" s="28"/>
    </row>
    <row r="401" customFormat="false" ht="15" hidden="false" customHeight="false" outlineLevel="0" collapsed="false">
      <c r="A401" s="21" t="s">
        <v>440</v>
      </c>
      <c r="E401" s="25"/>
      <c r="F401" s="26" t="str">
        <f aca="false">IF(OR(E401="",E401="!!!"),"",IF(NOT(ISNA(VLOOKUP(E401,E$1:E400,1,FALSE()))),"OLD",IF(AND(E401&lt;&gt;"",E401&lt;&gt;"!!!"),"NEW","")))</f>
        <v/>
      </c>
      <c r="G401" s="22" t="str">
        <f aca="false">IF(OR(E401="",E401="!!!"),"",IF(OR(J401=0,AND(J401=1,K401=1),AND(J401=1,I401="SBJ"),AND(J401=1,I401=0)),"?IN_FOCUS",IF(J401&lt;=2,"?ACTIVATED",IF(J401&lt;&gt;"","?FAMILIAR",IF(F401="NEW",IF(ISNA(VLOOKUP(E401,#REF!,1,FALSE())),"?TYPE_IDENTIFIABLE","?REFERENTIAL"),"_")))))</f>
        <v/>
      </c>
      <c r="H401" s="23" t="str">
        <f aca="false">IF(J401&lt;&gt;1,"",IF(I401="SBJ","CB","?"))</f>
        <v/>
      </c>
      <c r="I401" s="27" t="str">
        <f aca="false">IF(OR(E401="",E401="!!!",F401="NEW"),"",INDEX(B14:B$388,-1+SUMPRODUCT(MAX(ROW(E14:E$388)*(E401=E14:E$388)))))</f>
        <v/>
      </c>
      <c r="J401" s="27" t="str">
        <f aca="true">IF(OR(E401="",E401="!!!",F401="NEW"),"",COUNTBLANK(OFFSET(A$1,,,SUMPRODUCT(MAX(ROW(E$2:E401)*(E401=E$2:E401)))))-COUNTBLANK(OFFSET(A$1,,,SUMPRODUCT(MAX(ROW(E$1:E400)*(E2=E$1:E400))))))</f>
        <v/>
      </c>
      <c r="K401" s="27" t="str">
        <f aca="false">IF(OR(E401="",E401="!!!",F401="NEW"),"",INDEX(J$1:J400,SUMPRODUCT(MAX(ROW(E$1:E400)*(E401=E$1:E400)))))</f>
        <v/>
      </c>
      <c r="L401" s="28"/>
    </row>
    <row r="402" customFormat="false" ht="15" hidden="false" customHeight="false" outlineLevel="0" collapsed="false">
      <c r="A402" s="21" t="s">
        <v>441</v>
      </c>
      <c r="B402" s="29" t="s">
        <v>210</v>
      </c>
      <c r="C402" s="29" t="s">
        <v>167</v>
      </c>
      <c r="E402" s="25"/>
      <c r="F402" s="26" t="str">
        <f aca="false">IF(OR(E402="",E402="!!!"),"",IF(NOT(ISNA(VLOOKUP(E402,E$1:E401,1,FALSE()))),"OLD",IF(AND(E402&lt;&gt;"",E402&lt;&gt;"!!!"),"NEW","")))</f>
        <v/>
      </c>
      <c r="G402" s="22" t="str">
        <f aca="false">IF(OR(E402="",E402="!!!"),"",IF(OR(J402=0,AND(J402=1,K402=1),AND(J402=1,I402="SBJ"),AND(J402=1,I402=0)),"?IN_FOCUS",IF(J402&lt;=2,"?ACTIVATED",IF(J402&lt;&gt;"","?FAMILIAR",IF(F402="NEW",IF(ISNA(VLOOKUP(E402,#REF!,1,FALSE())),"?TYPE_IDENTIFIABLE","?REFERENTIAL"),"_")))))</f>
        <v/>
      </c>
      <c r="H402" s="23" t="str">
        <f aca="false">IF(J402&lt;&gt;1,"",IF(I402="SBJ","CB","?"))</f>
        <v/>
      </c>
      <c r="I402" s="27" t="str">
        <f aca="false">IF(OR(E402="",E402="!!!",F402="NEW"),"",INDEX(B15:B$388,-1+SUMPRODUCT(MAX(ROW(E15:E$388)*(E402=E15:E$388)))))</f>
        <v/>
      </c>
      <c r="J402" s="27" t="str">
        <f aca="true">IF(OR(E402="",E402="!!!",F402="NEW"),"",COUNTBLANK(OFFSET(A$1,,,SUMPRODUCT(MAX(ROW(E$2:E402)*(E402=E$2:E402)))))-COUNTBLANK(OFFSET(A$1,,,SUMPRODUCT(MAX(ROW(E$1:E401)*(E2=E$1:E401))))))</f>
        <v/>
      </c>
      <c r="K402" s="27" t="str">
        <f aca="false">IF(OR(E402="",E402="!!!",F402="NEW"),"",INDEX(J$1:J401,SUMPRODUCT(MAX(ROW(E$1:E401)*(E402=E$1:E401)))))</f>
        <v/>
      </c>
      <c r="L402" s="28"/>
    </row>
    <row r="403" customFormat="false" ht="15" hidden="false" customHeight="false" outlineLevel="0" collapsed="false">
      <c r="A403" s="21" t="s">
        <v>207</v>
      </c>
      <c r="E403" s="25"/>
      <c r="F403" s="26" t="str">
        <f aca="false">IF(OR(E403="",E403="!!!"),"",IF(NOT(ISNA(VLOOKUP(E403,E$1:E402,1,FALSE()))),"OLD",IF(AND(E403&lt;&gt;"",E403&lt;&gt;"!!!"),"NEW","")))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7" t="str">
        <f aca="false">IF(OR(E403="",E403="!!!",F403="NEW"),"",INDEX(B16:B$388,-1+SUMPRODUCT(MAX(ROW(E16:E$388)*(E403=E16:E$388)))))</f>
        <v/>
      </c>
      <c r="J403" s="27" t="str">
        <f aca="true">IF(OR(E403="",E403="!!!",F403="NEW"),"",COUNTBLANK(OFFSET(A$1,,,SUMPRODUCT(MAX(ROW(E$2:E403)*(E403=E$2:E403)))))-COUNTBLANK(OFFSET(A$1,,,SUMPRODUCT(MAX(ROW(E$1:E402)*(E2=E$1:E402))))))</f>
        <v/>
      </c>
      <c r="K403" s="27" t="str">
        <f aca="false">IF(OR(E403="",E403="!!!",F403="NEW"),"",INDEX(J$1:J402,SUMPRODUCT(MAX(ROW(E$1:E402)*(E403=E$1:E402)))))</f>
        <v/>
      </c>
      <c r="L403" s="28"/>
    </row>
    <row r="404" customFormat="false" ht="15" hidden="false" customHeight="false" outlineLevel="0" collapsed="false">
      <c r="A404" s="21" t="s">
        <v>442</v>
      </c>
      <c r="E404" s="25"/>
      <c r="F404" s="26" t="str">
        <f aca="false">IF(OR(E404="",E404="!!!"),"",IF(NOT(ISNA(VLOOKUP(E404,E$1:E403,1,FALSE()))),"OLD",IF(AND(E404&lt;&gt;"",E404&lt;&gt;"!!!"),"NEW","")))</f>
        <v/>
      </c>
      <c r="G404" s="22" t="str">
        <f aca="false">IF(OR(E404="",E404="!!!"),"",IF(OR(J404=0,AND(J404=1,K404=1),AND(J404=1,I404="SBJ"),AND(J404=1,I404=0)),"?IN_FOCUS",IF(J404&lt;=2,"?ACTIVATED",IF(J404&lt;&gt;"","?FAMILIAR",IF(F404="NEW",IF(ISNA(VLOOKUP(E404,#REF!,1,FALSE())),"?TYPE_IDENTIFIABLE","?REFERENTIAL"),"_")))))</f>
        <v/>
      </c>
      <c r="H404" s="23" t="str">
        <f aca="false">IF(J404&lt;&gt;1,"",IF(I404="SBJ","CB","?"))</f>
        <v/>
      </c>
      <c r="I404" s="27" t="str">
        <f aca="false">IF(OR(E404="",E404="!!!",F404="NEW"),"",INDEX(B17:B$388,-1+SUMPRODUCT(MAX(ROW(E17:E$388)*(E404=E17:E$388)))))</f>
        <v/>
      </c>
      <c r="J404" s="27" t="str">
        <f aca="true">IF(OR(E404="",E404="!!!",F404="NEW"),"",COUNTBLANK(OFFSET(A$1,,,SUMPRODUCT(MAX(ROW(E$2:E404)*(E404=E$2:E404)))))-COUNTBLANK(OFFSET(A$1,,,SUMPRODUCT(MAX(ROW(E$1:E403)*(E2=E$1:E403))))))</f>
        <v/>
      </c>
      <c r="K404" s="27" t="str">
        <f aca="false">IF(OR(E404="",E404="!!!",F404="NEW"),"",INDEX(J$1:J403,SUMPRODUCT(MAX(ROW(E$1:E403)*(E404=E$1:E403)))))</f>
        <v/>
      </c>
      <c r="L404" s="28"/>
    </row>
    <row r="405" customFormat="false" ht="15" hidden="false" customHeight="false" outlineLevel="0" collapsed="false">
      <c r="A405" s="21" t="s">
        <v>443</v>
      </c>
      <c r="B405" s="29" t="s">
        <v>210</v>
      </c>
      <c r="C405" s="29" t="s">
        <v>167</v>
      </c>
      <c r="E405" s="25"/>
      <c r="F405" s="26" t="str">
        <f aca="false">IF(OR(E405="",E405="!!!"),"",IF(NOT(ISNA(VLOOKUP(E405,E$1:E404,1,FALSE()))),"OLD",IF(AND(E405&lt;&gt;"",E405&lt;&gt;"!!!"),"NEW","")))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7" t="str">
        <f aca="false">IF(OR(E405="",E405="!!!",F405="NEW"),"",INDEX(B18:B$388,-1+SUMPRODUCT(MAX(ROW(E18:E$388)*(E405=E18:E$388)))))</f>
        <v/>
      </c>
      <c r="J405" s="27" t="str">
        <f aca="true">IF(OR(E405="",E405="!!!",F405="NEW"),"",COUNTBLANK(OFFSET(A$1,,,SUMPRODUCT(MAX(ROW(E$2:E405)*(E405=E$2:E405)))))-COUNTBLANK(OFFSET(A$1,,,SUMPRODUCT(MAX(ROW(E$1:E404)*(E2=E$1:E404))))))</f>
        <v/>
      </c>
      <c r="K405" s="27" t="str">
        <f aca="false">IF(OR(E405="",E405="!!!",F405="NEW"),"",INDEX(J$1:J404,SUMPRODUCT(MAX(ROW(E$1:E404)*(E405=E$1:E404)))))</f>
        <v/>
      </c>
      <c r="L405" s="28"/>
    </row>
    <row r="406" customFormat="false" ht="15" hidden="false" customHeight="false" outlineLevel="0" collapsed="false">
      <c r="A406" s="21" t="s">
        <v>212</v>
      </c>
      <c r="E406" s="25"/>
      <c r="F406" s="26" t="str">
        <f aca="false">IF(OR(E406="",E406="!!!"),"",IF(NOT(ISNA(VLOOKUP(E406,E$1:E405,1,FALSE()))),"OLD",IF(AND(E406&lt;&gt;"",E406&lt;&gt;"!!!"),"NEW","")))</f>
        <v/>
      </c>
      <c r="G406" s="22" t="str">
        <f aca="false">IF(OR(E406="",E406="!!!"),"",IF(OR(J406=0,AND(J406=1,K406=1),AND(J406=1,I406="SBJ"),AND(J406=1,I406=0)),"?IN_FOCUS",IF(J406&lt;=2,"?ACTIVATED",IF(J406&lt;&gt;"","?FAMILIAR",IF(F406="NEW",IF(ISNA(VLOOKUP(E406,#REF!,1,FALSE())),"?TYPE_IDENTIFIABLE","?REFERENTIAL"),"_")))))</f>
        <v/>
      </c>
      <c r="H406" s="23" t="str">
        <f aca="false">IF(J406&lt;&gt;1,"",IF(I406="SBJ","CB","?"))</f>
        <v/>
      </c>
      <c r="I406" s="27" t="str">
        <f aca="false">IF(OR(E406="",E406="!!!",F406="NEW"),"",INDEX(B19:B$388,-1+SUMPRODUCT(MAX(ROW(E19:E$388)*(E406=E19:E$388)))))</f>
        <v/>
      </c>
      <c r="J406" s="27" t="str">
        <f aca="true">IF(OR(E406="",E406="!!!",F406="NEW"),"",COUNTBLANK(OFFSET(A$1,,,SUMPRODUCT(MAX(ROW(E$2:E406)*(E406=E$2:E406)))))-COUNTBLANK(OFFSET(A$1,,,SUMPRODUCT(MAX(ROW(E$1:E405)*(E2=E$1:E405))))))</f>
        <v/>
      </c>
      <c r="K406" s="27" t="str">
        <f aca="false">IF(OR(E406="",E406="!!!",F406="NEW"),"",INDEX(J$1:J405,SUMPRODUCT(MAX(ROW(E$1:E405)*(E406=E$1:E405)))))</f>
        <v/>
      </c>
      <c r="L406" s="28"/>
    </row>
    <row r="407" customFormat="false" ht="15" hidden="false" customHeight="false" outlineLevel="0" collapsed="false">
      <c r="A407" s="21" t="s">
        <v>444</v>
      </c>
      <c r="B407" s="29" t="s">
        <v>210</v>
      </c>
      <c r="C407" s="29" t="s">
        <v>167</v>
      </c>
      <c r="E407" s="25"/>
      <c r="F407" s="26" t="str">
        <f aca="false">IF(OR(E407="",E407="!!!"),"",IF(NOT(ISNA(VLOOKUP(E407,E$1:E406,1,FALSE()))),"OLD",IF(AND(E407&lt;&gt;"",E407&lt;&gt;"!!!"),"NEW","")))</f>
        <v/>
      </c>
      <c r="G407" s="22" t="str">
        <f aca="false">IF(OR(E407="",E407="!!!"),"",IF(OR(J407=0,AND(J407=1,K407=1),AND(J407=1,I407="SBJ"),AND(J407=1,I407=0)),"?IN_FOCUS",IF(J407&lt;=2,"?ACTIVATED",IF(J407&lt;&gt;"","?FAMILIAR",IF(F407="NEW",IF(ISNA(VLOOKUP(E407,#REF!,1,FALSE())),"?TYPE_IDENTIFIABLE","?REFERENTIAL"),"_")))))</f>
        <v/>
      </c>
      <c r="H407" s="23" t="str">
        <f aca="false">IF(J407&lt;&gt;1,"",IF(I407="SBJ","CB","?"))</f>
        <v/>
      </c>
      <c r="I407" s="27" t="str">
        <f aca="false">IF(OR(E407="",E407="!!!",F407="NEW"),"",INDEX(B20:B$388,-1+SUMPRODUCT(MAX(ROW(E20:E$388)*(E407=E20:E$388)))))</f>
        <v/>
      </c>
      <c r="J407" s="27" t="str">
        <f aca="true">IF(OR(E407="",E407="!!!",F407="NEW"),"",COUNTBLANK(OFFSET(A$1,,,SUMPRODUCT(MAX(ROW(E$2:E407)*(E407=E$2:E407)))))-COUNTBLANK(OFFSET(A$1,,,SUMPRODUCT(MAX(ROW(E$1:E406)*(E2=E$1:E406))))))</f>
        <v/>
      </c>
      <c r="K407" s="27" t="str">
        <f aca="false">IF(OR(E407="",E407="!!!",F407="NEW"),"",INDEX(J$1:J406,SUMPRODUCT(MAX(ROW(E$1:E406)*(E407=E$1:E406)))))</f>
        <v/>
      </c>
      <c r="L407" s="28"/>
    </row>
    <row r="408" customFormat="false" ht="15" hidden="false" customHeight="false" outlineLevel="0" collapsed="false">
      <c r="A408" s="21" t="s">
        <v>253</v>
      </c>
      <c r="E408" s="25"/>
      <c r="F408" s="26" t="str">
        <f aca="false">IF(OR(E408="",E408="!!!"),"",IF(NOT(ISNA(VLOOKUP(E408,E$1:E407,1,FALSE()))),"OLD",IF(AND(E408&lt;&gt;"",E408&lt;&gt;"!!!"),"NEW","")))</f>
        <v/>
      </c>
      <c r="G408" s="22" t="str">
        <f aca="false">IF(OR(E408="",E408="!!!"),"",IF(OR(J408=0,AND(J408=1,K408=1),AND(J408=1,I408="SBJ"),AND(J408=1,I408=0)),"?IN_FOCUS",IF(J408&lt;=2,"?ACTIVATED",IF(J408&lt;&gt;"","?FAMILIAR",IF(F408="NEW",IF(ISNA(VLOOKUP(E408,#REF!,1,FALSE())),"?TYPE_IDENTIFIABLE","?REFERENTIAL"),"_")))))</f>
        <v/>
      </c>
      <c r="H408" s="23" t="str">
        <f aca="false">IF(J408&lt;&gt;1,"",IF(I408="SBJ","CB","?"))</f>
        <v/>
      </c>
      <c r="I408" s="27" t="str">
        <f aca="false">IF(OR(E408="",E408="!!!",F408="NEW"),"",INDEX(B21:B$388,-1+SUMPRODUCT(MAX(ROW(E21:E$388)*(E408=E21:E$388)))))</f>
        <v/>
      </c>
      <c r="J408" s="27" t="str">
        <f aca="true">IF(OR(E408="",E408="!!!",F408="NEW"),"",COUNTBLANK(OFFSET(A$1,,,SUMPRODUCT(MAX(ROW(E$2:E408)*(E408=E$2:E408)))))-COUNTBLANK(OFFSET(A$1,,,SUMPRODUCT(MAX(ROW(E$1:E407)*(E2=E$1:E407))))))</f>
        <v/>
      </c>
      <c r="K408" s="27" t="str">
        <f aca="false">IF(OR(E408="",E408="!!!",F408="NEW"),"",INDEX(J$1:J407,SUMPRODUCT(MAX(ROW(E$1:E407)*(E408=E$1:E407)))))</f>
        <v/>
      </c>
      <c r="L408" s="28"/>
    </row>
    <row r="409" customFormat="false" ht="15" hidden="false" customHeight="false" outlineLevel="0" collapsed="false">
      <c r="A409" s="21" t="s">
        <v>175</v>
      </c>
      <c r="E409" s="25"/>
      <c r="F409" s="26" t="str">
        <f aca="false">IF(OR(E409="",E409="!!!"),"",IF(NOT(ISNA(VLOOKUP(E409,E$1:E408,1,FALSE()))),"OLD",IF(AND(E409&lt;&gt;"",E409&lt;&gt;"!!!"),"NEW","")))</f>
        <v/>
      </c>
      <c r="G409" s="22" t="str">
        <f aca="false">IF(OR(E409="",E409="!!!"),"",IF(OR(J409=0,AND(J409=1,K409=1),AND(J409=1,I409="SBJ"),AND(J409=1,I409=0)),"?IN_FOCUS",IF(J409&lt;=2,"?ACTIVATED",IF(J409&lt;&gt;"","?FAMILIAR",IF(F409="NEW",IF(ISNA(VLOOKUP(E409,#REF!,1,FALSE())),"?TYPE_IDENTIFIABLE","?REFERENTIAL"),"_")))))</f>
        <v/>
      </c>
      <c r="H409" s="23" t="str">
        <f aca="false">IF(J409&lt;&gt;1,"",IF(I409="SBJ","CB","?"))</f>
        <v/>
      </c>
      <c r="I409" s="27" t="str">
        <f aca="false">IF(OR(E409="",E409="!!!",F409="NEW"),"",INDEX(B22:B$388,-1+SUMPRODUCT(MAX(ROW(E22:E$388)*(E409=E22:E$388)))))</f>
        <v/>
      </c>
      <c r="J409" s="27" t="str">
        <f aca="true">IF(OR(E409="",E409="!!!",F409="NEW"),"",COUNTBLANK(OFFSET(A$1,,,SUMPRODUCT(MAX(ROW(E$2:E409)*(E409=E$2:E409)))))-COUNTBLANK(OFFSET(A$1,,,SUMPRODUCT(MAX(ROW(E$1:E408)*(E2=E$1:E408))))))</f>
        <v/>
      </c>
      <c r="K409" s="27" t="str">
        <f aca="false">IF(OR(E409="",E409="!!!",F409="NEW"),"",INDEX(J$1:J408,SUMPRODUCT(MAX(ROW(E$1:E408)*(E409=E$1:E408)))))</f>
        <v/>
      </c>
      <c r="L409" s="28"/>
    </row>
    <row r="410" customFormat="false" ht="15" hidden="false" customHeight="false" outlineLevel="0" collapsed="false">
      <c r="A410" s="21" t="s">
        <v>445</v>
      </c>
      <c r="B410" s="29" t="s">
        <v>216</v>
      </c>
      <c r="C410" s="29" t="s">
        <v>164</v>
      </c>
      <c r="E410" s="25"/>
      <c r="F410" s="26" t="str">
        <f aca="false">IF(OR(E410="",E410="!!!"),"",IF(NOT(ISNA(VLOOKUP(E410,E$1:E409,1,FALSE()))),"OLD",IF(AND(E410&lt;&gt;"",E410&lt;&gt;"!!!"),"NEW","")))</f>
        <v/>
      </c>
      <c r="G410" s="22" t="str">
        <f aca="false">IF(OR(E410="",E410="!!!"),"",IF(OR(J410=0,AND(J410=1,K410=1),AND(J410=1,I410="SBJ"),AND(J410=1,I410=0)),"?IN_FOCUS",IF(J410&lt;=2,"?ACTIVATED",IF(J410&lt;&gt;"","?FAMILIAR",IF(F410="NEW",IF(ISNA(VLOOKUP(E410,#REF!,1,FALSE())),"?TYPE_IDENTIFIABLE","?REFERENTIAL"),"_")))))</f>
        <v/>
      </c>
      <c r="H410" s="23" t="str">
        <f aca="false">IF(J410&lt;&gt;1,"",IF(I410="SBJ","CB","?"))</f>
        <v/>
      </c>
      <c r="I410" s="27" t="str">
        <f aca="false">IF(OR(E410="",E410="!!!",F410="NEW"),"",INDEX(B23:B$388,-1+SUMPRODUCT(MAX(ROW(E23:E$388)*(E410=E23:E$388)))))</f>
        <v/>
      </c>
      <c r="J410" s="27" t="str">
        <f aca="true">IF(OR(E410="",E410="!!!",F410="NEW"),"",COUNTBLANK(OFFSET(A$1,,,SUMPRODUCT(MAX(ROW(E$2:E410)*(E410=E$2:E410)))))-COUNTBLANK(OFFSET(A$1,,,SUMPRODUCT(MAX(ROW(E$1:E409)*(E2=E$1:E409))))))</f>
        <v/>
      </c>
      <c r="K410" s="27" t="str">
        <f aca="false">IF(OR(E410="",E410="!!!",F410="NEW"),"",INDEX(J$1:J409,SUMPRODUCT(MAX(ROW(E$1:E409)*(E410=E$1:E409)))))</f>
        <v/>
      </c>
      <c r="L410" s="28"/>
    </row>
    <row r="411" customFormat="false" ht="15" hidden="false" customHeight="false" outlineLevel="0" collapsed="false">
      <c r="A411" s="21" t="s">
        <v>165</v>
      </c>
      <c r="E411" s="25"/>
      <c r="F411" s="26" t="str">
        <f aca="false">IF(OR(E411="",E411="!!!"),"",IF(NOT(ISNA(VLOOKUP(E411,E$1:E410,1,FALSE()))),"OLD",IF(AND(E411&lt;&gt;"",E411&lt;&gt;"!!!"),"NEW","")))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7" t="str">
        <f aca="false">IF(OR(E411="",E411="!!!",F411="NEW"),"",INDEX(B24:B$388,-1+SUMPRODUCT(MAX(ROW(E24:E$388)*(E411=E24:E$388)))))</f>
        <v/>
      </c>
      <c r="J411" s="27" t="str">
        <f aca="true">IF(OR(E411="",E411="!!!",F411="NEW"),"",COUNTBLANK(OFFSET(A$1,,,SUMPRODUCT(MAX(ROW(E$2:E411)*(E411=E$2:E411)))))-COUNTBLANK(OFFSET(A$1,,,SUMPRODUCT(MAX(ROW(E$1:E410)*(E2=E$1:E410))))))</f>
        <v/>
      </c>
      <c r="K411" s="27" t="str">
        <f aca="false">IF(OR(E411="",E411="!!!",F411="NEW"),"",INDEX(J$1:J410,SUMPRODUCT(MAX(ROW(E$1:E410)*(E411=E$1:E410)))))</f>
        <v/>
      </c>
      <c r="L411" s="28"/>
    </row>
    <row r="412" customFormat="false" ht="15" hidden="false" customHeight="false" outlineLevel="0" collapsed="false">
      <c r="A412" s="21" t="s">
        <v>446</v>
      </c>
      <c r="B412" s="29" t="s">
        <v>232</v>
      </c>
      <c r="C412" s="29" t="s">
        <v>167</v>
      </c>
      <c r="E412" s="25"/>
      <c r="F412" s="26" t="str">
        <f aca="false">IF(OR(E412="",E412="!!!"),"",IF(NOT(ISNA(VLOOKUP(E412,E$1:E411,1,FALSE()))),"OLD",IF(AND(E412&lt;&gt;"",E412&lt;&gt;"!!!"),"NEW","")))</f>
        <v/>
      </c>
      <c r="G412" s="22" t="str">
        <f aca="false">IF(OR(E412="",E412="!!!"),"",IF(OR(J412=0,AND(J412=1,K412=1),AND(J412=1,I412="SBJ"),AND(J412=1,I412=0)),"?IN_FOCUS",IF(J412&lt;=2,"?ACTIVATED",IF(J412&lt;&gt;"","?FAMILIAR",IF(F412="NEW",IF(ISNA(VLOOKUP(E412,#REF!,1,FALSE())),"?TYPE_IDENTIFIABLE","?REFERENTIAL"),"_")))))</f>
        <v/>
      </c>
      <c r="H412" s="23" t="str">
        <f aca="false">IF(J412&lt;&gt;1,"",IF(I412="SBJ","CB","?"))</f>
        <v/>
      </c>
      <c r="I412" s="27" t="str">
        <f aca="false">IF(OR(E412="",E412="!!!",F412="NEW"),"",INDEX(B25:B$388,-1+SUMPRODUCT(MAX(ROW(E25:E$388)*(E412=E25:E$388)))))</f>
        <v/>
      </c>
      <c r="J412" s="27" t="str">
        <f aca="true">IF(OR(E412="",E412="!!!",F412="NEW"),"",COUNTBLANK(OFFSET(A$1,,,SUMPRODUCT(MAX(ROW(E$2:E412)*(E412=E$2:E412)))))-COUNTBLANK(OFFSET(A$1,,,SUMPRODUCT(MAX(ROW(E$1:E411)*(E2=E$1:E411))))))</f>
        <v/>
      </c>
      <c r="K412" s="27" t="str">
        <f aca="false">IF(OR(E412="",E412="!!!",F412="NEW"),"",INDEX(J$1:J411,SUMPRODUCT(MAX(ROW(E$1:E411)*(E412=E$1:E411)))))</f>
        <v/>
      </c>
      <c r="L412" s="28"/>
    </row>
    <row r="413" customFormat="false" ht="15" hidden="false" customHeight="false" outlineLevel="0" collapsed="false">
      <c r="A413" s="21" t="s">
        <v>193</v>
      </c>
      <c r="E413" s="25"/>
      <c r="F413" s="26" t="str">
        <f aca="false">IF(OR(E413="",E413="!!!"),"",IF(NOT(ISNA(VLOOKUP(E413,E$1:E412,1,FALSE()))),"OLD",IF(AND(E413&lt;&gt;"",E413&lt;&gt;"!!!"),"NEW","")))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7" t="str">
        <f aca="false">IF(OR(E413="",E413="!!!",F413="NEW"),"",INDEX(B26:B$388,-1+SUMPRODUCT(MAX(ROW(E26:E$388)*(E413=E26:E$388)))))</f>
        <v/>
      </c>
      <c r="J413" s="27" t="str">
        <f aca="true">IF(OR(E413="",E413="!!!",F413="NEW"),"",COUNTBLANK(OFFSET(A$1,,,SUMPRODUCT(MAX(ROW(E$2:E413)*(E413=E$2:E413)))))-COUNTBLANK(OFFSET(A$1,,,SUMPRODUCT(MAX(ROW(E$1:E412)*(E2=E$1:E412))))))</f>
        <v/>
      </c>
      <c r="K413" s="27" t="str">
        <f aca="false">IF(OR(E413="",E413="!!!",F413="NEW"),"",INDEX(J$1:J412,SUMPRODUCT(MAX(ROW(E$1:E412)*(E413=E$1:E412)))))</f>
        <v/>
      </c>
      <c r="L413" s="28"/>
    </row>
    <row r="414" customFormat="false" ht="15" hidden="false" customHeight="false" outlineLevel="0" collapsed="false">
      <c r="A414" s="21"/>
      <c r="G414" s="22" t="str">
        <f aca="false">IF(OR(E414="",E414="!!!"),"",IF(OR(J414=0,AND(J414=1,K414=1),AND(J414=1,I414="SBJ"),AND(J414=1,I414=0)),"?IN_FOCUS",IF(J414&lt;=2,"?ACTIVATED",IF(J414&lt;&gt;"","?FAMILIAR",IF(F414="NEW",IF(ISNA(VLOOKUP(E414,#REF!,1,FALSE())),"?TYPE_IDENTIFIABLE","?REFERENTIAL"),"_")))))</f>
        <v/>
      </c>
      <c r="H414" s="23" t="str">
        <f aca="false">IF(J414&lt;&gt;1,"",IF(I414="SBJ","CB","?"))</f>
        <v/>
      </c>
    </row>
    <row r="415" customFormat="false" ht="15" hidden="false" customHeight="false" outlineLevel="0" collapsed="false">
      <c r="A415" s="21" t="s">
        <v>447</v>
      </c>
      <c r="G415" s="22" t="str">
        <f aca="false">IF(OR(E415="",E415="!!!"),"",IF(OR(J415=0,AND(J415=1,K415=1),AND(J415=1,I415="SBJ"),AND(J415=1,I415=0)),"?IN_FOCUS",IF(J415&lt;=2,"?ACTIVATED",IF(J415&lt;&gt;"","?FAMILIAR",IF(F415="NEW",IF(ISNA(VLOOKUP(E415,#REF!,1,FALSE())),"?TYPE_IDENTIFIABLE","?REFERENTIAL"),"_")))))</f>
        <v/>
      </c>
      <c r="H415" s="23" t="str">
        <f aca="false">IF(J415&lt;&gt;1,"",IF(I415="SBJ","CB","?"))</f>
        <v/>
      </c>
    </row>
    <row r="416" customFormat="false" ht="15" hidden="false" customHeight="false" outlineLevel="0" collapsed="false">
      <c r="A416" s="21" t="s">
        <v>448</v>
      </c>
      <c r="B416" s="29" t="s">
        <v>180</v>
      </c>
      <c r="C416" s="29" t="s">
        <v>167</v>
      </c>
      <c r="E416" s="25"/>
      <c r="F416" s="26" t="str">
        <f aca="false">IF(OR(E416="",E416="!!!"),"",IF(NOT(ISNA(VLOOKUP(E416,E$1:E415,1,FALSE()))),"OLD",IF(AND(E416&lt;&gt;"",E416&lt;&gt;"!!!"),"NEW","")))</f>
        <v/>
      </c>
      <c r="G416" s="22" t="str">
        <f aca="false">IF(OR(E416="",E416="!!!"),"",IF(OR(J416=0,AND(J416=1,K416=1),AND(J416=1,I416="SBJ"),AND(J416=1,I416=0)),"?IN_FOCUS",IF(J416&lt;=2,"?ACTIVATED",IF(J416&lt;&gt;"","?FAMILIAR",IF(F416="NEW",IF(ISNA(VLOOKUP(E416,#REF!,1,FALSE())),"?TYPE_IDENTIFIABLE","?REFERENTIAL"),"_")))))</f>
        <v/>
      </c>
      <c r="H416" s="23" t="str">
        <f aca="false">IF(J416&lt;&gt;1,"",IF(I416="SBJ","CB","?"))</f>
        <v/>
      </c>
      <c r="I416" s="27" t="str">
        <f aca="false">IF(OR(E416="",E416="!!!",F416="NEW"),"",INDEX(B2:B$415,-1+SUMPRODUCT(MAX(ROW(E2:E$415)*(E416=E2:E$415)))))</f>
        <v/>
      </c>
      <c r="J416" s="27" t="str">
        <f aca="true">IF(OR(E416="",E416="!!!",F416="NEW"),"",COUNTBLANK(OFFSET(A$1,,,SUMPRODUCT(MAX(ROW(E$2:E416)*(E416=E$2:E416)))))-COUNTBLANK(OFFSET(A$1,,,SUMPRODUCT(MAX(ROW(E$1:E415)*(E2=E$1:E415))))))</f>
        <v/>
      </c>
      <c r="K416" s="27" t="str">
        <f aca="false">IF(OR(E416="",E416="!!!",F416="NEW"),"",INDEX(J$1:J415,SUMPRODUCT(MAX(ROW(E$1:E415)*(E416=E$1:E415)))))</f>
        <v/>
      </c>
      <c r="L416" s="28"/>
    </row>
    <row r="417" customFormat="false" ht="15" hidden="false" customHeight="false" outlineLevel="0" collapsed="false">
      <c r="A417" s="21" t="s">
        <v>79</v>
      </c>
      <c r="E417" s="25"/>
      <c r="F417" s="26" t="str">
        <f aca="false">IF(OR(E417="",E417="!!!"),"",IF(NOT(ISNA(VLOOKUP(E417,E$1:E416,1,FALSE()))),"OLD",IF(AND(E417&lt;&gt;"",E417&lt;&gt;"!!!"),"NEW","")))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7" t="str">
        <f aca="false">IF(OR(E417="",E417="!!!",F417="NEW"),"",INDEX(B3:B$415,-1+SUMPRODUCT(MAX(ROW(E3:E$415)*(E417=E3:E$415)))))</f>
        <v/>
      </c>
      <c r="J417" s="27" t="str">
        <f aca="true">IF(OR(E417="",E417="!!!",F417="NEW"),"",COUNTBLANK(OFFSET(A$1,,,SUMPRODUCT(MAX(ROW(E$2:E417)*(E417=E$2:E417)))))-COUNTBLANK(OFFSET(A$1,,,SUMPRODUCT(MAX(ROW(E$1:E416)*(E2=E$1:E416))))))</f>
        <v/>
      </c>
      <c r="K417" s="27" t="str">
        <f aca="false">IF(OR(E417="",E417="!!!",F417="NEW"),"",INDEX(J$1:J416,SUMPRODUCT(MAX(ROW(E$1:E416)*(E417=E$1:E416)))))</f>
        <v/>
      </c>
      <c r="L417" s="28"/>
    </row>
    <row r="418" customFormat="false" ht="15" hidden="false" customHeight="false" outlineLevel="0" collapsed="false">
      <c r="A418" s="21" t="s">
        <v>344</v>
      </c>
      <c r="E418" s="25"/>
      <c r="F418" s="26" t="str">
        <f aca="false">IF(OR(E418="",E418="!!!"),"",IF(NOT(ISNA(VLOOKUP(E418,E$1:E417,1,FALSE()))),"OLD",IF(AND(E418&lt;&gt;"",E418&lt;&gt;"!!!"),"NEW","")))</f>
        <v/>
      </c>
      <c r="G418" s="22" t="str">
        <f aca="false">IF(OR(E418="",E418="!!!"),"",IF(OR(J418=0,AND(J418=1,K418=1),AND(J418=1,I418="SBJ"),AND(J418=1,I418=0)),"?IN_FOCUS",IF(J418&lt;=2,"?ACTIVATED",IF(J418&lt;&gt;"","?FAMILIAR",IF(F418="NEW",IF(ISNA(VLOOKUP(E418,#REF!,1,FALSE())),"?TYPE_IDENTIFIABLE","?REFERENTIAL"),"_")))))</f>
        <v/>
      </c>
      <c r="H418" s="23" t="str">
        <f aca="false">IF(J418&lt;&gt;1,"",IF(I418="SBJ","CB","?"))</f>
        <v/>
      </c>
      <c r="I418" s="27" t="str">
        <f aca="false">IF(OR(E418="",E418="!!!",F418="NEW"),"",INDEX(B4:B$415,-1+SUMPRODUCT(MAX(ROW(E4:E$415)*(E418=E4:E$415)))))</f>
        <v/>
      </c>
      <c r="J418" s="27" t="str">
        <f aca="true">IF(OR(E418="",E418="!!!",F418="NEW"),"",COUNTBLANK(OFFSET(A$1,,,SUMPRODUCT(MAX(ROW(E$2:E418)*(E418=E$2:E418)))))-COUNTBLANK(OFFSET(A$1,,,SUMPRODUCT(MAX(ROW(E$1:E417)*(E2=E$1:E417))))))</f>
        <v/>
      </c>
      <c r="K418" s="27" t="str">
        <f aca="false">IF(OR(E418="",E418="!!!",F418="NEW"),"",INDEX(J$1:J417,SUMPRODUCT(MAX(ROW(E$1:E417)*(E418=E$1:E417)))))</f>
        <v/>
      </c>
      <c r="L418" s="28"/>
    </row>
    <row r="419" customFormat="false" ht="15" hidden="false" customHeight="false" outlineLevel="0" collapsed="false">
      <c r="A419" s="21" t="s">
        <v>169</v>
      </c>
      <c r="E419" s="25"/>
      <c r="F419" s="26" t="str">
        <f aca="false">IF(OR(E419="",E419="!!!"),"",IF(NOT(ISNA(VLOOKUP(E419,E$1:E418,1,FALSE()))),"OLD",IF(AND(E419&lt;&gt;"",E419&lt;&gt;"!!!"),"NEW","")))</f>
        <v/>
      </c>
      <c r="G419" s="22" t="str">
        <f aca="false">IF(OR(E419="",E419="!!!"),"",IF(OR(J419=0,AND(J419=1,K419=1),AND(J419=1,I419="SBJ"),AND(J419=1,I419=0)),"?IN_FOCUS",IF(J419&lt;=2,"?ACTIVATED",IF(J419&lt;&gt;"","?FAMILIAR",IF(F419="NEW",IF(ISNA(VLOOKUP(E419,#REF!,1,FALSE())),"?TYPE_IDENTIFIABLE","?REFERENTIAL"),"_")))))</f>
        <v/>
      </c>
      <c r="H419" s="23" t="str">
        <f aca="false">IF(J419&lt;&gt;1,"",IF(I419="SBJ","CB","?"))</f>
        <v/>
      </c>
      <c r="I419" s="27" t="str">
        <f aca="false">IF(OR(E419="",E419="!!!",F419="NEW"),"",INDEX(B5:B$415,-1+SUMPRODUCT(MAX(ROW(E5:E$415)*(E419=E5:E$415)))))</f>
        <v/>
      </c>
      <c r="J419" s="27" t="str">
        <f aca="true">IF(OR(E419="",E419="!!!",F419="NEW"),"",COUNTBLANK(OFFSET(A$1,,,SUMPRODUCT(MAX(ROW(E$2:E419)*(E419=E$2:E419)))))-COUNTBLANK(OFFSET(A$1,,,SUMPRODUCT(MAX(ROW(E$1:E418)*(E2=E$1:E418))))))</f>
        <v/>
      </c>
      <c r="K419" s="27" t="str">
        <f aca="false">IF(OR(E419="",E419="!!!",F419="NEW"),"",INDEX(J$1:J418,SUMPRODUCT(MAX(ROW(E$1:E418)*(E419=E$1:E418)))))</f>
        <v/>
      </c>
      <c r="L419" s="28"/>
    </row>
    <row r="420" customFormat="false" ht="15" hidden="false" customHeight="false" outlineLevel="0" collapsed="false">
      <c r="A420" s="21" t="s">
        <v>449</v>
      </c>
      <c r="B420" s="29" t="s">
        <v>153</v>
      </c>
      <c r="C420" s="29" t="s">
        <v>171</v>
      </c>
      <c r="D420" s="29" t="s">
        <v>159</v>
      </c>
      <c r="E420" s="25" t="s">
        <v>450</v>
      </c>
      <c r="F420" s="30" t="str">
        <f aca="false">IF(OR(E420="",E420="!!!"),"",IF(NOT(ISNA(VLOOKUP(E420,E$1:E419,1,FALSE()))),"OLD",IF(AND(E420&lt;&gt;"",E420&lt;&gt;"!!!"),"NEW","")))</f>
        <v>NEW</v>
      </c>
      <c r="G420" s="22" t="s">
        <v>160</v>
      </c>
      <c r="H420" s="23" t="str">
        <f aca="false">IF(J420&lt;&gt;1,"",IF(I420="SBJ","CB","?"))</f>
        <v/>
      </c>
      <c r="I420" s="31" t="str">
        <f aca="false">IF(OR(E420="",E420="!!!",F420="NEW"),"",INDEX(B6:B$415,-1+SUMPRODUCT(MAX(ROW(E6:E$415)*(E420=E6:E$415)))))</f>
        <v/>
      </c>
      <c r="J420" s="31" t="str">
        <f aca="true">IF(OR(E420="",E420="!!!",F420="NEW"),"",COUNTBLANK(OFFSET(A$1,,,SUMPRODUCT(MAX(ROW(E$2:E420)*(E420=E$2:E420)))))-COUNTBLANK(OFFSET(A$1,,,SUMPRODUCT(MAX(ROW(E$1:E419)*(E2=E$1:E419))))))</f>
        <v/>
      </c>
      <c r="K420" s="31" t="str">
        <f aca="false">IF(OR(E420="",E420="!!!",F420="NEW"),"",INDEX(J$1:J419,SUMPRODUCT(MAX(ROW(E$1:E419)*(E420=E$1:E419)))))</f>
        <v/>
      </c>
      <c r="L420" s="28"/>
    </row>
    <row r="421" customFormat="false" ht="15" hidden="false" customHeight="false" outlineLevel="0" collapsed="false">
      <c r="A421" s="21" t="s">
        <v>165</v>
      </c>
      <c r="E421" s="25"/>
      <c r="F421" s="26" t="str">
        <f aca="false">IF(OR(E421="",E421="!!!"),"",IF(NOT(ISNA(VLOOKUP(E421,E$1:E420,1,FALSE()))),"OLD",IF(AND(E421&lt;&gt;"",E421&lt;&gt;"!!!"),"NEW","")))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7" t="str">
        <f aca="false">IF(OR(E421="",E421="!!!",F421="NEW"),"",INDEX(B7:B$415,-1+SUMPRODUCT(MAX(ROW(E7:E$415)*(E421=E7:E$415)))))</f>
        <v/>
      </c>
      <c r="J421" s="27" t="str">
        <f aca="true">IF(OR(E421="",E421="!!!",F421="NEW"),"",COUNTBLANK(OFFSET(A$1,,,SUMPRODUCT(MAX(ROW(E$2:E421)*(E421=E$2:E421)))))-COUNTBLANK(OFFSET(A$1,,,SUMPRODUCT(MAX(ROW(E$1:E420)*(E2=E$1:E420))))))</f>
        <v/>
      </c>
      <c r="K421" s="27" t="str">
        <f aca="false">IF(OR(E421="",E421="!!!",F421="NEW"),"",INDEX(J$1:J420,SUMPRODUCT(MAX(ROW(E$1:E420)*(E421=E$1:E420)))))</f>
        <v/>
      </c>
      <c r="L421" s="28"/>
    </row>
    <row r="422" customFormat="false" ht="15" hidden="false" customHeight="false" outlineLevel="0" collapsed="false">
      <c r="A422" s="21" t="s">
        <v>451</v>
      </c>
      <c r="B422" s="29" t="s">
        <v>190</v>
      </c>
      <c r="C422" s="29" t="s">
        <v>167</v>
      </c>
      <c r="E422" s="25"/>
      <c r="F422" s="26" t="str">
        <f aca="false">IF(OR(E422="",E422="!!!"),"",IF(NOT(ISNA(VLOOKUP(E422,E$1:E421,1,FALSE()))),"OLD",IF(AND(E422&lt;&gt;"",E422&lt;&gt;"!!!"),"NEW","")))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7" t="str">
        <f aca="false">IF(OR(E422="",E422="!!!",F422="NEW"),"",INDEX(B8:B$415,-1+SUMPRODUCT(MAX(ROW(E8:E$415)*(E422=E8:E$415)))))</f>
        <v/>
      </c>
      <c r="J422" s="27" t="str">
        <f aca="true">IF(OR(E422="",E422="!!!",F422="NEW"),"",COUNTBLANK(OFFSET(A$1,,,SUMPRODUCT(MAX(ROW(E$2:E422)*(E422=E$2:E422)))))-COUNTBLANK(OFFSET(A$1,,,SUMPRODUCT(MAX(ROW(E$1:E421)*(E2=E$1:E421))))))</f>
        <v/>
      </c>
      <c r="K422" s="27" t="str">
        <f aca="false">IF(OR(E422="",E422="!!!",F422="NEW"),"",INDEX(J$1:J421,SUMPRODUCT(MAX(ROW(E$1:E421)*(E422=E$1:E421)))))</f>
        <v/>
      </c>
      <c r="L422" s="28"/>
    </row>
    <row r="423" customFormat="false" ht="15" hidden="false" customHeight="false" outlineLevel="0" collapsed="false">
      <c r="A423" s="21" t="s">
        <v>178</v>
      </c>
      <c r="E423" s="25"/>
      <c r="F423" s="26" t="str">
        <f aca="false">IF(OR(E423="",E423="!!!"),"",IF(NOT(ISNA(VLOOKUP(E423,E$1:E422,1,FALSE()))),"OLD",IF(AND(E423&lt;&gt;"",E423&lt;&gt;"!!!"),"NEW","")))</f>
        <v/>
      </c>
      <c r="G423" s="22" t="str">
        <f aca="false">IF(OR(E423="",E423="!!!"),"",IF(OR(J423=0,AND(J423=1,K423=1),AND(J423=1,I423="SBJ"),AND(J423=1,I423=0)),"?IN_FOCUS",IF(J423&lt;=2,"?ACTIVATED",IF(J423&lt;&gt;"","?FAMILIAR",IF(F423="NEW",IF(ISNA(VLOOKUP(E423,#REF!,1,FALSE())),"?TYPE_IDENTIFIABLE","?REFERENTIAL"),"_")))))</f>
        <v/>
      </c>
      <c r="H423" s="23" t="str">
        <f aca="false">IF(J423&lt;&gt;1,"",IF(I423="SBJ","CB","?"))</f>
        <v/>
      </c>
      <c r="I423" s="27" t="str">
        <f aca="false">IF(OR(E423="",E423="!!!",F423="NEW"),"",INDEX(B9:B$415,-1+SUMPRODUCT(MAX(ROW(E9:E$415)*(E423=E9:E$415)))))</f>
        <v/>
      </c>
      <c r="J423" s="27" t="str">
        <f aca="true">IF(OR(E423="",E423="!!!",F423="NEW"),"",COUNTBLANK(OFFSET(A$1,,,SUMPRODUCT(MAX(ROW(E$2:E423)*(E423=E$2:E423)))))-COUNTBLANK(OFFSET(A$1,,,SUMPRODUCT(MAX(ROW(E$1:E422)*(E2=E$1:E422))))))</f>
        <v/>
      </c>
      <c r="K423" s="27" t="str">
        <f aca="false">IF(OR(E423="",E423="!!!",F423="NEW"),"",INDEX(J$1:J422,SUMPRODUCT(MAX(ROW(E$1:E422)*(E423=E$1:E422)))))</f>
        <v/>
      </c>
      <c r="L423" s="28"/>
    </row>
    <row r="424" customFormat="false" ht="15" hidden="false" customHeight="false" outlineLevel="0" collapsed="false">
      <c r="A424" s="21" t="s">
        <v>452</v>
      </c>
      <c r="E424" s="25"/>
      <c r="F424" s="26" t="str">
        <f aca="false">IF(OR(E424="",E424="!!!"),"",IF(NOT(ISNA(VLOOKUP(E424,E$1:E423,1,FALSE()))),"OLD",IF(AND(E424&lt;&gt;"",E424&lt;&gt;"!!!"),"NEW","")))</f>
        <v/>
      </c>
      <c r="G424" s="22" t="str">
        <f aca="false">IF(OR(E424="",E424="!!!"),"",IF(OR(J424=0,AND(J424=1,K424=1),AND(J424=1,I424="SBJ"),AND(J424=1,I424=0)),"?IN_FOCUS",IF(J424&lt;=2,"?ACTIVATED",IF(J424&lt;&gt;"","?FAMILIAR",IF(F424="NEW",IF(ISNA(VLOOKUP(E424,#REF!,1,FALSE())),"?TYPE_IDENTIFIABLE","?REFERENTIAL"),"_")))))</f>
        <v/>
      </c>
      <c r="H424" s="23" t="str">
        <f aca="false">IF(J424&lt;&gt;1,"",IF(I424="SBJ","CB","?"))</f>
        <v/>
      </c>
      <c r="I424" s="27" t="str">
        <f aca="false">IF(OR(E424="",E424="!!!",F424="NEW"),"",INDEX(B10:B$415,-1+SUMPRODUCT(MAX(ROW(E10:E$415)*(E424=E10:E$415)))))</f>
        <v/>
      </c>
      <c r="J424" s="27" t="str">
        <f aca="true">IF(OR(E424="",E424="!!!",F424="NEW"),"",COUNTBLANK(OFFSET(A$1,,,SUMPRODUCT(MAX(ROW(E$2:E424)*(E424=E$2:E424)))))-COUNTBLANK(OFFSET(A$1,,,SUMPRODUCT(MAX(ROW(E$1:E423)*(E2=E$1:E423))))))</f>
        <v/>
      </c>
      <c r="K424" s="27" t="str">
        <f aca="false">IF(OR(E424="",E424="!!!",F424="NEW"),"",INDEX(J$1:J423,SUMPRODUCT(MAX(ROW(E$1:E423)*(E424=E$1:E423)))))</f>
        <v/>
      </c>
      <c r="L424" s="28"/>
    </row>
    <row r="425" customFormat="false" ht="15" hidden="false" customHeight="false" outlineLevel="0" collapsed="false">
      <c r="A425" s="21" t="s">
        <v>453</v>
      </c>
      <c r="E425" s="25"/>
      <c r="F425" s="26" t="str">
        <f aca="false">IF(OR(E425="",E425="!!!"),"",IF(NOT(ISNA(VLOOKUP(E425,E$1:E424,1,FALSE()))),"OLD",IF(AND(E425&lt;&gt;"",E425&lt;&gt;"!!!"),"NEW","")))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7" t="str">
        <f aca="false">IF(OR(E425="",E425="!!!",F425="NEW"),"",INDEX(B11:B$415,-1+SUMPRODUCT(MAX(ROW(E11:E$415)*(E425=E11:E$415)))))</f>
        <v/>
      </c>
      <c r="J425" s="27" t="str">
        <f aca="true">IF(OR(E425="",E425="!!!",F425="NEW"),"",COUNTBLANK(OFFSET(A$1,,,SUMPRODUCT(MAX(ROW(E$2:E425)*(E425=E$2:E425)))))-COUNTBLANK(OFFSET(A$1,,,SUMPRODUCT(MAX(ROW(E$1:E424)*(E2=E$1:E424))))))</f>
        <v/>
      </c>
      <c r="K425" s="27" t="str">
        <f aca="false">IF(OR(E425="",E425="!!!",F425="NEW"),"",INDEX(J$1:J424,SUMPRODUCT(MAX(ROW(E$1:E424)*(E425=E$1:E424)))))</f>
        <v/>
      </c>
      <c r="L425" s="28"/>
    </row>
    <row r="426" customFormat="false" ht="15" hidden="false" customHeight="false" outlineLevel="0" collapsed="false">
      <c r="A426" s="21" t="s">
        <v>175</v>
      </c>
      <c r="E426" s="25"/>
      <c r="F426" s="26" t="str">
        <f aca="false">IF(OR(E426="",E426="!!!"),"",IF(NOT(ISNA(VLOOKUP(E426,E$1:E425,1,FALSE()))),"OLD",IF(AND(E426&lt;&gt;"",E426&lt;&gt;"!!!"),"NEW","")))</f>
        <v/>
      </c>
      <c r="G426" s="22" t="str">
        <f aca="false">IF(OR(E426="",E426="!!!"),"",IF(OR(J426=0,AND(J426=1,K426=1),AND(J426=1,I426="SBJ"),AND(J426=1,I426=0)),"?IN_FOCUS",IF(J426&lt;=2,"?ACTIVATED",IF(J426&lt;&gt;"","?FAMILIAR",IF(F426="NEW",IF(ISNA(VLOOKUP(E426,#REF!,1,FALSE())),"?TYPE_IDENTIFIABLE","?REFERENTIAL"),"_")))))</f>
        <v/>
      </c>
      <c r="H426" s="23" t="str">
        <f aca="false">IF(J426&lt;&gt;1,"",IF(I426="SBJ","CB","?"))</f>
        <v/>
      </c>
      <c r="I426" s="27" t="str">
        <f aca="false">IF(OR(E426="",E426="!!!",F426="NEW"),"",INDEX(B12:B$415,-1+SUMPRODUCT(MAX(ROW(E12:E$415)*(E426=E12:E$415)))))</f>
        <v/>
      </c>
      <c r="J426" s="27" t="str">
        <f aca="true">IF(OR(E426="",E426="!!!",F426="NEW"),"",COUNTBLANK(OFFSET(A$1,,,SUMPRODUCT(MAX(ROW(E$2:E426)*(E426=E$2:E426)))))-COUNTBLANK(OFFSET(A$1,,,SUMPRODUCT(MAX(ROW(E$1:E425)*(E2=E$1:E425))))))</f>
        <v/>
      </c>
      <c r="K426" s="27" t="str">
        <f aca="false">IF(OR(E426="",E426="!!!",F426="NEW"),"",INDEX(J$1:J425,SUMPRODUCT(MAX(ROW(E$1:E425)*(E426=E$1:E425)))))</f>
        <v/>
      </c>
      <c r="L426" s="28"/>
    </row>
    <row r="427" customFormat="false" ht="15" hidden="false" customHeight="false" outlineLevel="0" collapsed="false">
      <c r="A427" s="21" t="s">
        <v>454</v>
      </c>
      <c r="B427" s="29" t="s">
        <v>258</v>
      </c>
      <c r="C427" s="29" t="s">
        <v>164</v>
      </c>
      <c r="E427" s="25"/>
      <c r="F427" s="26" t="str">
        <f aca="false">IF(OR(E427="",E427="!!!"),"",IF(NOT(ISNA(VLOOKUP(E427,E$1:E426,1,FALSE()))),"OLD",IF(AND(E427&lt;&gt;"",E427&lt;&gt;"!!!"),"NEW","")))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7" t="str">
        <f aca="false">IF(OR(E427="",E427="!!!",F427="NEW"),"",INDEX(B13:B$415,-1+SUMPRODUCT(MAX(ROW(E13:E$415)*(E427=E13:E$415)))))</f>
        <v/>
      </c>
      <c r="J427" s="27" t="str">
        <f aca="true">IF(OR(E427="",E427="!!!",F427="NEW"),"",COUNTBLANK(OFFSET(A$1,,,SUMPRODUCT(MAX(ROW(E$2:E427)*(E427=E$2:E427)))))-COUNTBLANK(OFFSET(A$1,,,SUMPRODUCT(MAX(ROW(E$1:E426)*(E2=E$1:E426))))))</f>
        <v/>
      </c>
      <c r="K427" s="27" t="str">
        <f aca="false">IF(OR(E427="",E427="!!!",F427="NEW"),"",INDEX(J$1:J426,SUMPRODUCT(MAX(ROW(E$1:E426)*(E427=E$1:E426)))))</f>
        <v/>
      </c>
      <c r="L427" s="28"/>
    </row>
    <row r="428" customFormat="false" ht="15" hidden="false" customHeight="false" outlineLevel="0" collapsed="false">
      <c r="A428" s="21" t="s">
        <v>230</v>
      </c>
      <c r="E428" s="25"/>
      <c r="F428" s="26" t="str">
        <f aca="false">IF(OR(E428="",E428="!!!"),"",IF(NOT(ISNA(VLOOKUP(E428,E$1:E427,1,FALSE()))),"OLD",IF(AND(E428&lt;&gt;"",E428&lt;&gt;"!!!"),"NEW","")))</f>
        <v/>
      </c>
      <c r="G428" s="22" t="str">
        <f aca="false">IF(OR(E428="",E428="!!!"),"",IF(OR(J428=0,AND(J428=1,K428=1),AND(J428=1,I428="SBJ"),AND(J428=1,I428=0)),"?IN_FOCUS",IF(J428&lt;=2,"?ACTIVATED",IF(J428&lt;&gt;"","?FAMILIAR",IF(F428="NEW",IF(ISNA(VLOOKUP(E428,#REF!,1,FALSE())),"?TYPE_IDENTIFIABLE","?REFERENTIAL"),"_")))))</f>
        <v/>
      </c>
      <c r="H428" s="23" t="str">
        <f aca="false">IF(J428&lt;&gt;1,"",IF(I428="SBJ","CB","?"))</f>
        <v/>
      </c>
      <c r="I428" s="27" t="str">
        <f aca="false">IF(OR(E428="",E428="!!!",F428="NEW"),"",INDEX(B14:B$415,-1+SUMPRODUCT(MAX(ROW(E14:E$415)*(E428=E14:E$415)))))</f>
        <v/>
      </c>
      <c r="J428" s="27" t="str">
        <f aca="true">IF(OR(E428="",E428="!!!",F428="NEW"),"",COUNTBLANK(OFFSET(A$1,,,SUMPRODUCT(MAX(ROW(E$2:E428)*(E428=E$2:E428)))))-COUNTBLANK(OFFSET(A$1,,,SUMPRODUCT(MAX(ROW(E$1:E427)*(E2=E$1:E427))))))</f>
        <v/>
      </c>
      <c r="K428" s="27" t="str">
        <f aca="false">IF(OR(E428="",E428="!!!",F428="NEW"),"",INDEX(J$1:J427,SUMPRODUCT(MAX(ROW(E$1:E427)*(E428=E$1:E427)))))</f>
        <v/>
      </c>
      <c r="L428" s="28"/>
    </row>
    <row r="429" customFormat="false" ht="15" hidden="false" customHeight="false" outlineLevel="0" collapsed="false">
      <c r="A429" s="21" t="s">
        <v>455</v>
      </c>
      <c r="E429" s="25"/>
      <c r="F429" s="26" t="str">
        <f aca="false">IF(OR(E429="",E429="!!!"),"",IF(NOT(ISNA(VLOOKUP(E429,E$1:E428,1,FALSE()))),"OLD",IF(AND(E429&lt;&gt;"",E429&lt;&gt;"!!!"),"NEW","")))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7" t="str">
        <f aca="false">IF(OR(E429="",E429="!!!",F429="NEW"),"",INDEX(B15:B$415,-1+SUMPRODUCT(MAX(ROW(E15:E$415)*(E429=E15:E$415)))))</f>
        <v/>
      </c>
      <c r="J429" s="27" t="str">
        <f aca="true">IF(OR(E429="",E429="!!!",F429="NEW"),"",COUNTBLANK(OFFSET(A$1,,,SUMPRODUCT(MAX(ROW(E$2:E429)*(E429=E$2:E429)))))-COUNTBLANK(OFFSET(A$1,,,SUMPRODUCT(MAX(ROW(E$1:E428)*(E2=E$1:E428))))))</f>
        <v/>
      </c>
      <c r="K429" s="27" t="str">
        <f aca="false">IF(OR(E429="",E429="!!!",F429="NEW"),"",INDEX(J$1:J428,SUMPRODUCT(MAX(ROW(E$1:E428)*(E429=E$1:E428)))))</f>
        <v/>
      </c>
      <c r="L429" s="28"/>
    </row>
    <row r="430" customFormat="false" ht="15" hidden="false" customHeight="false" outlineLevel="0" collapsed="false">
      <c r="A430" s="21" t="s">
        <v>456</v>
      </c>
      <c r="B430" s="29" t="s">
        <v>229</v>
      </c>
      <c r="C430" s="29" t="s">
        <v>167</v>
      </c>
      <c r="E430" s="25"/>
      <c r="F430" s="26" t="str">
        <f aca="false">IF(OR(E430="",E430="!!!"),"",IF(NOT(ISNA(VLOOKUP(E430,E$1:E429,1,FALSE()))),"OLD",IF(AND(E430&lt;&gt;"",E430&lt;&gt;"!!!"),"NEW","")))</f>
        <v/>
      </c>
      <c r="G430" s="22" t="str">
        <f aca="false">IF(OR(E430="",E430="!!!"),"",IF(OR(J430=0,AND(J430=1,K430=1),AND(J430=1,I430="SBJ"),AND(J430=1,I430=0)),"?IN_FOCUS",IF(J430&lt;=2,"?ACTIVATED",IF(J430&lt;&gt;"","?FAMILIAR",IF(F430="NEW",IF(ISNA(VLOOKUP(E430,#REF!,1,FALSE())),"?TYPE_IDENTIFIABLE","?REFERENTIAL"),"_")))))</f>
        <v/>
      </c>
      <c r="H430" s="23" t="str">
        <f aca="false">IF(J430&lt;&gt;1,"",IF(I430="SBJ","CB","?"))</f>
        <v/>
      </c>
      <c r="I430" s="27" t="str">
        <f aca="false">IF(OR(E430="",E430="!!!",F430="NEW"),"",INDEX(B16:B$415,-1+SUMPRODUCT(MAX(ROW(E16:E$415)*(E430=E16:E$415)))))</f>
        <v/>
      </c>
      <c r="J430" s="27" t="str">
        <f aca="true">IF(OR(E430="",E430="!!!",F430="NEW"),"",COUNTBLANK(OFFSET(A$1,,,SUMPRODUCT(MAX(ROW(E$2:E430)*(E430=E$2:E430)))))-COUNTBLANK(OFFSET(A$1,,,SUMPRODUCT(MAX(ROW(E$1:E429)*(E2=E$1:E429))))))</f>
        <v/>
      </c>
      <c r="K430" s="27" t="str">
        <f aca="false">IF(OR(E430="",E430="!!!",F430="NEW"),"",INDEX(J$1:J429,SUMPRODUCT(MAX(ROW(E$1:E429)*(E430=E$1:E429)))))</f>
        <v/>
      </c>
      <c r="L430" s="28"/>
    </row>
    <row r="431" customFormat="false" ht="15" hidden="false" customHeight="false" outlineLevel="0" collapsed="false">
      <c r="A431" s="21" t="s">
        <v>155</v>
      </c>
      <c r="E431" s="25"/>
      <c r="F431" s="26" t="str">
        <f aca="false">IF(OR(E431="",E431="!!!"),"",IF(NOT(ISNA(VLOOKUP(E431,E$1:E430,1,FALSE()))),"OLD",IF(AND(E431&lt;&gt;"",E431&lt;&gt;"!!!"),"NEW","")))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7" t="str">
        <f aca="false">IF(OR(E431="",E431="!!!",F431="NEW"),"",INDEX(B17:B$415,-1+SUMPRODUCT(MAX(ROW(E17:E$415)*(E431=E17:E$415)))))</f>
        <v/>
      </c>
      <c r="J431" s="27" t="str">
        <f aca="true">IF(OR(E431="",E431="!!!",F431="NEW"),"",COUNTBLANK(OFFSET(A$1,,,SUMPRODUCT(MAX(ROW(E$2:E431)*(E431=E$2:E431)))))-COUNTBLANK(OFFSET(A$1,,,SUMPRODUCT(MAX(ROW(E$1:E430)*(E2=E$1:E430))))))</f>
        <v/>
      </c>
      <c r="K431" s="27" t="str">
        <f aca="false">IF(OR(E431="",E431="!!!",F431="NEW"),"",INDEX(J$1:J430,SUMPRODUCT(MAX(ROW(E$1:E430)*(E431=E$1:E430)))))</f>
        <v/>
      </c>
      <c r="L431" s="28"/>
    </row>
    <row r="432" customFormat="false" ht="15" hidden="false" customHeight="false" outlineLevel="0" collapsed="false">
      <c r="A432" s="21"/>
      <c r="G432" s="22" t="str">
        <f aca="false">IF(OR(E432="",E432="!!!"),"",IF(OR(J432=0,AND(J432=1,K432=1),AND(J432=1,I432="SBJ"),AND(J432=1,I432=0)),"?IN_FOCUS",IF(J432&lt;=2,"?ACTIVATED",IF(J432&lt;&gt;"","?FAMILIAR",IF(F432="NEW",IF(ISNA(VLOOKUP(E432,#REF!,1,FALSE())),"?TYPE_IDENTIFIABLE","?REFERENTIAL"),"_")))))</f>
        <v/>
      </c>
      <c r="H432" s="23" t="str">
        <f aca="false">IF(J432&lt;&gt;1,"",IF(I432="SBJ","CB","?"))</f>
        <v/>
      </c>
    </row>
    <row r="433" customFormat="false" ht="15" hidden="false" customHeight="false" outlineLevel="0" collapsed="false">
      <c r="A433" s="21" t="s">
        <v>457</v>
      </c>
      <c r="G433" s="22" t="str">
        <f aca="false">IF(OR(E433="",E433="!!!"),"",IF(OR(J433=0,AND(J433=1,K433=1),AND(J433=1,I433="SBJ"),AND(J433=1,I433=0)),"?IN_FOCUS",IF(J433&lt;=2,"?ACTIVATED",IF(J433&lt;&gt;"","?FAMILIAR",IF(F433="NEW",IF(ISNA(VLOOKUP(E433,#REF!,1,FALSE())),"?TYPE_IDENTIFIABLE","?REFERENTIAL"),"_")))))</f>
        <v/>
      </c>
      <c r="H433" s="23" t="str">
        <f aca="false">IF(J433&lt;&gt;1,"",IF(I433="SBJ","CB","?"))</f>
        <v/>
      </c>
    </row>
    <row r="434" customFormat="false" ht="15" hidden="false" customHeight="false" outlineLevel="0" collapsed="false">
      <c r="A434" s="21" t="s">
        <v>458</v>
      </c>
      <c r="E434" s="25"/>
      <c r="F434" s="26" t="str">
        <f aca="false">IF(OR(E434="",E434="!!!"),"",IF(NOT(ISNA(VLOOKUP(E434,E$1:E433,1,FALSE()))),"OLD",IF(AND(E434&lt;&gt;"",E434&lt;&gt;"!!!"),"NEW","")))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7" t="str">
        <f aca="false">IF(OR(E434="",E434="!!!",F434="NEW"),"",INDEX(B2:B$433,-1+SUMPRODUCT(MAX(ROW(E2:E$433)*(E434=E2:E$433)))))</f>
        <v/>
      </c>
      <c r="J434" s="27" t="str">
        <f aca="true">IF(OR(E434="",E434="!!!",F434="NEW"),"",COUNTBLANK(OFFSET(A$1,,,SUMPRODUCT(MAX(ROW(E$2:E434)*(E434=E$2:E434)))))-COUNTBLANK(OFFSET(A$1,,,SUMPRODUCT(MAX(ROW(E$1:E433)*(E2=E$1:E433))))))</f>
        <v/>
      </c>
      <c r="K434" s="27" t="str">
        <f aca="false">IF(OR(E434="",E434="!!!",F434="NEW"),"",INDEX(J$1:J433,SUMPRODUCT(MAX(ROW(E$1:E433)*(E434=E$1:E433)))))</f>
        <v/>
      </c>
      <c r="L434" s="28"/>
    </row>
    <row r="435" customFormat="false" ht="15" hidden="false" customHeight="false" outlineLevel="0" collapsed="false">
      <c r="A435" s="21" t="s">
        <v>459</v>
      </c>
      <c r="E435" s="25"/>
      <c r="F435" s="26" t="str">
        <f aca="false">IF(OR(E435="",E435="!!!"),"",IF(NOT(ISNA(VLOOKUP(E435,E$1:E434,1,FALSE()))),"OLD",IF(AND(E435&lt;&gt;"",E435&lt;&gt;"!!!"),"NEW","")))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7" t="str">
        <f aca="false">IF(OR(E435="",E435="!!!",F435="NEW"),"",INDEX(B3:B$433,-1+SUMPRODUCT(MAX(ROW(E3:E$433)*(E435=E3:E$433)))))</f>
        <v/>
      </c>
      <c r="J435" s="27" t="str">
        <f aca="true">IF(OR(E435="",E435="!!!",F435="NEW"),"",COUNTBLANK(OFFSET(A$1,,,SUMPRODUCT(MAX(ROW(E$2:E435)*(E435=E$2:E435)))))-COUNTBLANK(OFFSET(A$1,,,SUMPRODUCT(MAX(ROW(E$1:E434)*(E2=E$1:E434))))))</f>
        <v/>
      </c>
      <c r="K435" s="27" t="str">
        <f aca="false">IF(OR(E435="",E435="!!!",F435="NEW"),"",INDEX(J$1:J434,SUMPRODUCT(MAX(ROW(E$1:E434)*(E435=E$1:E434)))))</f>
        <v/>
      </c>
      <c r="L435" s="28"/>
    </row>
    <row r="436" customFormat="false" ht="15" hidden="false" customHeight="false" outlineLevel="0" collapsed="false">
      <c r="A436" s="21" t="s">
        <v>460</v>
      </c>
      <c r="B436" s="29" t="s">
        <v>153</v>
      </c>
      <c r="C436" s="29" t="s">
        <v>167</v>
      </c>
      <c r="E436" s="25"/>
      <c r="F436" s="26" t="str">
        <f aca="false">IF(OR(E436="",E436="!!!"),"",IF(NOT(ISNA(VLOOKUP(E436,E$1:E435,1,FALSE()))),"OLD",IF(AND(E436&lt;&gt;"",E436&lt;&gt;"!!!"),"NEW","")))</f>
        <v/>
      </c>
      <c r="G436" s="22" t="str">
        <f aca="false">IF(OR(E436="",E436="!!!"),"",IF(OR(J436=0,AND(J436=1,K436=1),AND(J436=1,I436="SBJ"),AND(J436=1,I436=0)),"?IN_FOCUS",IF(J436&lt;=2,"?ACTIVATED",IF(J436&lt;&gt;"","?FAMILIAR",IF(F436="NEW",IF(ISNA(VLOOKUP(E436,#REF!,1,FALSE())),"?TYPE_IDENTIFIABLE","?REFERENTIAL"),"_")))))</f>
        <v/>
      </c>
      <c r="H436" s="23" t="str">
        <f aca="false">IF(J436&lt;&gt;1,"",IF(I436="SBJ","CB","?"))</f>
        <v/>
      </c>
      <c r="I436" s="27" t="str">
        <f aca="false">IF(OR(E436="",E436="!!!",F436="NEW"),"",INDEX(B4:B$433,-1+SUMPRODUCT(MAX(ROW(E4:E$433)*(E436=E4:E$433)))))</f>
        <v/>
      </c>
      <c r="J436" s="27" t="str">
        <f aca="true">IF(OR(E436="",E436="!!!",F436="NEW"),"",COUNTBLANK(OFFSET(A$1,,,SUMPRODUCT(MAX(ROW(E$2:E436)*(E436=E$2:E436)))))-COUNTBLANK(OFFSET(A$1,,,SUMPRODUCT(MAX(ROW(E$1:E435)*(E2=E$1:E435))))))</f>
        <v/>
      </c>
      <c r="K436" s="27" t="str">
        <f aca="false">IF(OR(E436="",E436="!!!",F436="NEW"),"",INDEX(J$1:J435,SUMPRODUCT(MAX(ROW(E$1:E435)*(E436=E$1:E435)))))</f>
        <v/>
      </c>
      <c r="L436" s="28"/>
    </row>
    <row r="437" customFormat="false" ht="15" hidden="false" customHeight="false" outlineLevel="0" collapsed="false">
      <c r="A437" s="21" t="s">
        <v>178</v>
      </c>
      <c r="E437" s="25"/>
      <c r="F437" s="26" t="str">
        <f aca="false">IF(OR(E437="",E437="!!!"),"",IF(NOT(ISNA(VLOOKUP(E437,E$1:E436,1,FALSE()))),"OLD",IF(AND(E437&lt;&gt;"",E437&lt;&gt;"!!!"),"NEW","")))</f>
        <v/>
      </c>
      <c r="G437" s="22" t="str">
        <f aca="false">IF(OR(E437="",E437="!!!"),"",IF(OR(J437=0,AND(J437=1,K437=1),AND(J437=1,I437="SBJ"),AND(J437=1,I437=0)),"?IN_FOCUS",IF(J437&lt;=2,"?ACTIVATED",IF(J437&lt;&gt;"","?FAMILIAR",IF(F437="NEW",IF(ISNA(VLOOKUP(E437,#REF!,1,FALSE())),"?TYPE_IDENTIFIABLE","?REFERENTIAL"),"_")))))</f>
        <v/>
      </c>
      <c r="H437" s="23" t="str">
        <f aca="false">IF(J437&lt;&gt;1,"",IF(I437="SBJ","CB","?"))</f>
        <v/>
      </c>
      <c r="I437" s="27" t="str">
        <f aca="false">IF(OR(E437="",E437="!!!",F437="NEW"),"",INDEX(B5:B$433,-1+SUMPRODUCT(MAX(ROW(E5:E$433)*(E437=E5:E$433)))))</f>
        <v/>
      </c>
      <c r="J437" s="27" t="str">
        <f aca="true">IF(OR(E437="",E437="!!!",F437="NEW"),"",COUNTBLANK(OFFSET(A$1,,,SUMPRODUCT(MAX(ROW(E$2:E437)*(E437=E$2:E437)))))-COUNTBLANK(OFFSET(A$1,,,SUMPRODUCT(MAX(ROW(E$1:E436)*(E2=E$1:E436))))))</f>
        <v/>
      </c>
      <c r="K437" s="27" t="str">
        <f aca="false">IF(OR(E437="",E437="!!!",F437="NEW"),"",INDEX(J$1:J436,SUMPRODUCT(MAX(ROW(E$1:E436)*(E437=E$1:E436)))))</f>
        <v/>
      </c>
      <c r="L437" s="28"/>
    </row>
    <row r="438" customFormat="false" ht="15" hidden="false" customHeight="false" outlineLevel="0" collapsed="false">
      <c r="A438" s="21" t="s">
        <v>461</v>
      </c>
      <c r="E438" s="25"/>
      <c r="F438" s="26" t="str">
        <f aca="false">IF(OR(E438="",E438="!!!"),"",IF(NOT(ISNA(VLOOKUP(E438,E$1:E437,1,FALSE()))),"OLD",IF(AND(E438&lt;&gt;"",E438&lt;&gt;"!!!"),"NEW","")))</f>
        <v/>
      </c>
      <c r="G438" s="22" t="str">
        <f aca="false">IF(OR(E438="",E438="!!!"),"",IF(OR(J438=0,AND(J438=1,K438=1),AND(J438=1,I438="SBJ"),AND(J438=1,I438=0)),"?IN_FOCUS",IF(J438&lt;=2,"?ACTIVATED",IF(J438&lt;&gt;"","?FAMILIAR",IF(F438="NEW",IF(ISNA(VLOOKUP(E438,#REF!,1,FALSE())),"?TYPE_IDENTIFIABLE","?REFERENTIAL"),"_")))))</f>
        <v/>
      </c>
      <c r="H438" s="23" t="str">
        <f aca="false">IF(J438&lt;&gt;1,"",IF(I438="SBJ","CB","?"))</f>
        <v/>
      </c>
      <c r="I438" s="27" t="str">
        <f aca="false">IF(OR(E438="",E438="!!!",F438="NEW"),"",INDEX(B6:B$433,-1+SUMPRODUCT(MAX(ROW(E6:E$433)*(E438=E6:E$433)))))</f>
        <v/>
      </c>
      <c r="J438" s="27" t="str">
        <f aca="true">IF(OR(E438="",E438="!!!",F438="NEW"),"",COUNTBLANK(OFFSET(A$1,,,SUMPRODUCT(MAX(ROW(E$2:E438)*(E438=E$2:E438)))))-COUNTBLANK(OFFSET(A$1,,,SUMPRODUCT(MAX(ROW(E$1:E437)*(E2=E$1:E437))))))</f>
        <v/>
      </c>
      <c r="K438" s="27" t="str">
        <f aca="false">IF(OR(E438="",E438="!!!",F438="NEW"),"",INDEX(J$1:J437,SUMPRODUCT(MAX(ROW(E$1:E437)*(E438=E$1:E437)))))</f>
        <v/>
      </c>
      <c r="L438" s="28"/>
    </row>
    <row r="439" customFormat="false" ht="15" hidden="false" customHeight="false" outlineLevel="0" collapsed="false">
      <c r="A439" s="21" t="s">
        <v>462</v>
      </c>
      <c r="B439" s="29" t="s">
        <v>153</v>
      </c>
      <c r="C439" s="29" t="s">
        <v>167</v>
      </c>
      <c r="E439" s="25"/>
      <c r="F439" s="26" t="str">
        <f aca="false">IF(OR(E439="",E439="!!!"),"",IF(NOT(ISNA(VLOOKUP(E439,E$1:E438,1,FALSE()))),"OLD",IF(AND(E439&lt;&gt;"",E439&lt;&gt;"!!!"),"NEW","")))</f>
        <v/>
      </c>
      <c r="G439" s="22" t="str">
        <f aca="false">IF(OR(E439="",E439="!!!"),"",IF(OR(J439=0,AND(J439=1,K439=1),AND(J439=1,I439="SBJ"),AND(J439=1,I439=0)),"?IN_FOCUS",IF(J439&lt;=2,"?ACTIVATED",IF(J439&lt;&gt;"","?FAMILIAR",IF(F439="NEW",IF(ISNA(VLOOKUP(E439,#REF!,1,FALSE())),"?TYPE_IDENTIFIABLE","?REFERENTIAL"),"_")))))</f>
        <v/>
      </c>
      <c r="H439" s="23" t="str">
        <f aca="false">IF(J439&lt;&gt;1,"",IF(I439="SBJ","CB","?"))</f>
        <v/>
      </c>
      <c r="I439" s="27" t="str">
        <f aca="false">IF(OR(E439="",E439="!!!",F439="NEW"),"",INDEX(B7:B$433,-1+SUMPRODUCT(MAX(ROW(E7:E$433)*(E439=E7:E$433)))))</f>
        <v/>
      </c>
      <c r="J439" s="27" t="str">
        <f aca="true">IF(OR(E439="",E439="!!!",F439="NEW"),"",COUNTBLANK(OFFSET(A$1,,,SUMPRODUCT(MAX(ROW(E$2:E439)*(E439=E$2:E439)))))-COUNTBLANK(OFFSET(A$1,,,SUMPRODUCT(MAX(ROW(E$1:E438)*(E2=E$1:E438))))))</f>
        <v/>
      </c>
      <c r="K439" s="27" t="str">
        <f aca="false">IF(OR(E439="",E439="!!!",F439="NEW"),"",INDEX(J$1:J438,SUMPRODUCT(MAX(ROW(E$1:E438)*(E439=E$1:E438)))))</f>
        <v/>
      </c>
      <c r="L439" s="28"/>
    </row>
    <row r="440" customFormat="false" ht="15" hidden="false" customHeight="false" outlineLevel="0" collapsed="false">
      <c r="A440" s="21" t="s">
        <v>463</v>
      </c>
      <c r="E440" s="25"/>
      <c r="F440" s="26" t="str">
        <f aca="false">IF(OR(E440="",E440="!!!"),"",IF(NOT(ISNA(VLOOKUP(E440,E$1:E439,1,FALSE()))),"OLD",IF(AND(E440&lt;&gt;"",E440&lt;&gt;"!!!"),"NEW","")))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7" t="str">
        <f aca="false">IF(OR(E440="",E440="!!!",F440="NEW"),"",INDEX(B8:B$433,-1+SUMPRODUCT(MAX(ROW(E8:E$433)*(E440=E8:E$433)))))</f>
        <v/>
      </c>
      <c r="J440" s="27" t="str">
        <f aca="true">IF(OR(E440="",E440="!!!",F440="NEW"),"",COUNTBLANK(OFFSET(A$1,,,SUMPRODUCT(MAX(ROW(E$2:E440)*(E440=E$2:E440)))))-COUNTBLANK(OFFSET(A$1,,,SUMPRODUCT(MAX(ROW(E$1:E439)*(E2=E$1:E439))))))</f>
        <v/>
      </c>
      <c r="K440" s="27" t="str">
        <f aca="false">IF(OR(E440="",E440="!!!",F440="NEW"),"",INDEX(J$1:J439,SUMPRODUCT(MAX(ROW(E$1:E439)*(E440=E$1:E439)))))</f>
        <v/>
      </c>
      <c r="L440" s="28"/>
    </row>
    <row r="441" customFormat="false" ht="15" hidden="false" customHeight="false" outlineLevel="0" collapsed="false">
      <c r="A441" s="21" t="s">
        <v>464</v>
      </c>
      <c r="B441" s="29" t="s">
        <v>264</v>
      </c>
      <c r="C441" s="29" t="s">
        <v>167</v>
      </c>
      <c r="E441" s="25"/>
      <c r="F441" s="26" t="str">
        <f aca="false">IF(OR(E441="",E441="!!!"),"",IF(NOT(ISNA(VLOOKUP(E441,E$1:E440,1,FALSE()))),"OLD",IF(AND(E441&lt;&gt;"",E441&lt;&gt;"!!!"),"NEW","")))</f>
        <v/>
      </c>
      <c r="G441" s="22" t="str">
        <f aca="false">IF(OR(E441="",E441="!!!"),"",IF(OR(J441=0,AND(J441=1,K441=1),AND(J441=1,I441="SBJ"),AND(J441=1,I441=0)),"?IN_FOCUS",IF(J441&lt;=2,"?ACTIVATED",IF(J441&lt;&gt;"","?FAMILIAR",IF(F441="NEW",IF(ISNA(VLOOKUP(E441,#REF!,1,FALSE())),"?TYPE_IDENTIFIABLE","?REFERENTIAL"),"_")))))</f>
        <v/>
      </c>
      <c r="H441" s="23" t="str">
        <f aca="false">IF(J441&lt;&gt;1,"",IF(I441="SBJ","CB","?"))</f>
        <v/>
      </c>
      <c r="I441" s="27" t="str">
        <f aca="false">IF(OR(E441="",E441="!!!",F441="NEW"),"",INDEX(B9:B$433,-1+SUMPRODUCT(MAX(ROW(E9:E$433)*(E441=E9:E$433)))))</f>
        <v/>
      </c>
      <c r="J441" s="27" t="str">
        <f aca="true">IF(OR(E441="",E441="!!!",F441="NEW"),"",COUNTBLANK(OFFSET(A$1,,,SUMPRODUCT(MAX(ROW(E$2:E441)*(E441=E$2:E441)))))-COUNTBLANK(OFFSET(A$1,,,SUMPRODUCT(MAX(ROW(E$1:E440)*(E2=E$1:E440))))))</f>
        <v/>
      </c>
      <c r="K441" s="27" t="str">
        <f aca="false">IF(OR(E441="",E441="!!!",F441="NEW"),"",INDEX(J$1:J440,SUMPRODUCT(MAX(ROW(E$1:E440)*(E441=E$1:E440)))))</f>
        <v/>
      </c>
      <c r="L441" s="28"/>
    </row>
    <row r="442" customFormat="false" ht="15" hidden="false" customHeight="false" outlineLevel="0" collapsed="false">
      <c r="A442" s="21" t="s">
        <v>207</v>
      </c>
      <c r="E442" s="25"/>
      <c r="F442" s="26" t="str">
        <f aca="false">IF(OR(E442="",E442="!!!"),"",IF(NOT(ISNA(VLOOKUP(E442,E$1:E441,1,FALSE()))),"OLD",IF(AND(E442&lt;&gt;"",E442&lt;&gt;"!!!"),"NEW","")))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7" t="str">
        <f aca="false">IF(OR(E442="",E442="!!!",F442="NEW"),"",INDEX(B10:B$433,-1+SUMPRODUCT(MAX(ROW(E10:E$433)*(E442=E10:E$433)))))</f>
        <v/>
      </c>
      <c r="J442" s="27" t="str">
        <f aca="true">IF(OR(E442="",E442="!!!",F442="NEW"),"",COUNTBLANK(OFFSET(A$1,,,SUMPRODUCT(MAX(ROW(E$2:E442)*(E442=E$2:E442)))))-COUNTBLANK(OFFSET(A$1,,,SUMPRODUCT(MAX(ROW(E$1:E441)*(E2=E$1:E441))))))</f>
        <v/>
      </c>
      <c r="K442" s="27" t="str">
        <f aca="false">IF(OR(E442="",E442="!!!",F442="NEW"),"",INDEX(J$1:J441,SUMPRODUCT(MAX(ROW(E$1:E441)*(E442=E$1:E441)))))</f>
        <v/>
      </c>
      <c r="L442" s="28"/>
    </row>
    <row r="443" customFormat="false" ht="15" hidden="false" customHeight="false" outlineLevel="0" collapsed="false">
      <c r="A443" s="21" t="s">
        <v>465</v>
      </c>
      <c r="E443" s="25"/>
      <c r="F443" s="26" t="str">
        <f aca="false">IF(OR(E443="",E443="!!!"),"",IF(NOT(ISNA(VLOOKUP(E443,E$1:E442,1,FALSE()))),"OLD",IF(AND(E443&lt;&gt;"",E443&lt;&gt;"!!!"),"NEW","")))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7" t="str">
        <f aca="false">IF(OR(E443="",E443="!!!",F443="NEW"),"",INDEX(B11:B$433,-1+SUMPRODUCT(MAX(ROW(E11:E$433)*(E443=E11:E$433)))))</f>
        <v/>
      </c>
      <c r="J443" s="27" t="str">
        <f aca="true">IF(OR(E443="",E443="!!!",F443="NEW"),"",COUNTBLANK(OFFSET(A$1,,,SUMPRODUCT(MAX(ROW(E$2:E443)*(E443=E$2:E443)))))-COUNTBLANK(OFFSET(A$1,,,SUMPRODUCT(MAX(ROW(E$1:E442)*(E2=E$1:E442))))))</f>
        <v/>
      </c>
      <c r="K443" s="27" t="str">
        <f aca="false">IF(OR(E443="",E443="!!!",F443="NEW"),"",INDEX(J$1:J442,SUMPRODUCT(MAX(ROW(E$1:E442)*(E443=E$1:E442)))))</f>
        <v/>
      </c>
      <c r="L443" s="28"/>
    </row>
    <row r="444" customFormat="false" ht="15" hidden="false" customHeight="false" outlineLevel="0" collapsed="false">
      <c r="A444" s="21" t="s">
        <v>466</v>
      </c>
      <c r="B444" s="29" t="s">
        <v>216</v>
      </c>
      <c r="C444" s="29" t="s">
        <v>167</v>
      </c>
      <c r="E444" s="25"/>
      <c r="F444" s="26" t="str">
        <f aca="false">IF(OR(E444="",E444="!!!"),"",IF(NOT(ISNA(VLOOKUP(E444,E$1:E443,1,FALSE()))),"OLD",IF(AND(E444&lt;&gt;"",E444&lt;&gt;"!!!"),"NEW","")))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7" t="str">
        <f aca="false">IF(OR(E444="",E444="!!!",F444="NEW"),"",INDEX(B12:B$433,-1+SUMPRODUCT(MAX(ROW(E12:E$433)*(E444=E12:E$433)))))</f>
        <v/>
      </c>
      <c r="J444" s="27" t="str">
        <f aca="true">IF(OR(E444="",E444="!!!",F444="NEW"),"",COUNTBLANK(OFFSET(A$1,,,SUMPRODUCT(MAX(ROW(E$2:E444)*(E444=E$2:E444)))))-COUNTBLANK(OFFSET(A$1,,,SUMPRODUCT(MAX(ROW(E$1:E443)*(E2=E$1:E443))))))</f>
        <v/>
      </c>
      <c r="K444" s="27" t="str">
        <f aca="false">IF(OR(E444="",E444="!!!",F444="NEW"),"",INDEX(J$1:J443,SUMPRODUCT(MAX(ROW(E$1:E443)*(E444=E$1:E443)))))</f>
        <v/>
      </c>
      <c r="L444" s="28"/>
    </row>
    <row r="445" customFormat="false" ht="15" hidden="false" customHeight="false" outlineLevel="0" collapsed="false">
      <c r="A445" s="21" t="s">
        <v>193</v>
      </c>
      <c r="E445" s="25"/>
      <c r="F445" s="26" t="str">
        <f aca="false">IF(OR(E445="",E445="!!!"),"",IF(NOT(ISNA(VLOOKUP(E445,E$1:E444,1,FALSE()))),"OLD",IF(AND(E445&lt;&gt;"",E445&lt;&gt;"!!!"),"NEW","")))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7" t="str">
        <f aca="false">IF(OR(E445="",E445="!!!",F445="NEW"),"",INDEX(B13:B$433,-1+SUMPRODUCT(MAX(ROW(E13:E$433)*(E445=E13:E$433)))))</f>
        <v/>
      </c>
      <c r="J445" s="27" t="str">
        <f aca="true">IF(OR(E445="",E445="!!!",F445="NEW"),"",COUNTBLANK(OFFSET(A$1,,,SUMPRODUCT(MAX(ROW(E$2:E445)*(E445=E$2:E445)))))-COUNTBLANK(OFFSET(A$1,,,SUMPRODUCT(MAX(ROW(E$1:E444)*(E2=E$1:E444))))))</f>
        <v/>
      </c>
      <c r="K445" s="27" t="str">
        <f aca="false">IF(OR(E445="",E445="!!!",F445="NEW"),"",INDEX(J$1:J444,SUMPRODUCT(MAX(ROW(E$1:E444)*(E445=E$1:E444)))))</f>
        <v/>
      </c>
      <c r="L445" s="28"/>
    </row>
    <row r="446" customFormat="false" ht="15" hidden="false" customHeight="false" outlineLevel="0" collapsed="false">
      <c r="A446" s="21"/>
      <c r="G446" s="22" t="str">
        <f aca="false">IF(OR(E446="",E446="!!!"),"",IF(OR(J446=0,AND(J446=1,K446=1),AND(J446=1,I446="SBJ"),AND(J446=1,I446=0)),"?IN_FOCUS",IF(J446&lt;=2,"?ACTIVATED",IF(J446&lt;&gt;"","?FAMILIAR",IF(F446="NEW",IF(ISNA(VLOOKUP(E446,#REF!,1,FALSE())),"?TYPE_IDENTIFIABLE","?REFERENTIAL"),"_")))))</f>
        <v/>
      </c>
      <c r="H446" s="23" t="str">
        <f aca="false">IF(J446&lt;&gt;1,"",IF(I446="SBJ","CB","?"))</f>
        <v/>
      </c>
    </row>
    <row r="447" customFormat="false" ht="15" hidden="false" customHeight="false" outlineLevel="0" collapsed="false">
      <c r="A447" s="21" t="s">
        <v>467</v>
      </c>
      <c r="G447" s="22" t="str">
        <f aca="false">IF(OR(E447="",E447="!!!"),"",IF(OR(J447=0,AND(J447=1,K447=1),AND(J447=1,I447="SBJ"),AND(J447=1,I447=0)),"?IN_FOCUS",IF(J447&lt;=2,"?ACTIVATED",IF(J447&lt;&gt;"","?FAMILIAR",IF(F447="NEW",IF(ISNA(VLOOKUP(E447,#REF!,1,FALSE())),"?TYPE_IDENTIFIABLE","?REFERENTIAL"),"_")))))</f>
        <v/>
      </c>
      <c r="H447" s="23" t="str">
        <f aca="false">IF(J447&lt;&gt;1,"",IF(I447="SBJ","CB","?"))</f>
        <v/>
      </c>
    </row>
    <row r="448" customFormat="false" ht="15" hidden="false" customHeight="false" outlineLevel="0" collapsed="false">
      <c r="A448" s="21" t="s">
        <v>468</v>
      </c>
      <c r="E448" s="25"/>
      <c r="F448" s="26" t="str">
        <f aca="false">IF(OR(E448="",E448="!!!"),"",IF(NOT(ISNA(VLOOKUP(E448,E$1:E447,1,FALSE()))),"OLD",IF(AND(E448&lt;&gt;"",E448&lt;&gt;"!!!"),"NEW","")))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7" t="str">
        <f aca="false">IF(OR(E448="",E448="!!!",F448="NEW"),"",INDEX(B2:B$447,-1+SUMPRODUCT(MAX(ROW(E2:E$447)*(E448=E2:E$447)))))</f>
        <v/>
      </c>
      <c r="J448" s="27" t="str">
        <f aca="true">IF(OR(E448="",E448="!!!",F448="NEW"),"",COUNTBLANK(OFFSET(A$1,,,SUMPRODUCT(MAX(ROW(E$2:E448)*(E448=E$2:E448)))))-COUNTBLANK(OFFSET(A$1,,,SUMPRODUCT(MAX(ROW(E$1:E447)*(E2=E$1:E447))))))</f>
        <v/>
      </c>
      <c r="K448" s="27" t="str">
        <f aca="false">IF(OR(E448="",E448="!!!",F448="NEW"),"",INDEX(J$1:J447,SUMPRODUCT(MAX(ROW(E$1:E447)*(E448=E$1:E447)))))</f>
        <v/>
      </c>
      <c r="L448" s="28"/>
    </row>
    <row r="449" customFormat="false" ht="15" hidden="false" customHeight="false" outlineLevel="0" collapsed="false">
      <c r="A449" s="21" t="s">
        <v>469</v>
      </c>
      <c r="B449" s="29" t="s">
        <v>185</v>
      </c>
      <c r="C449" s="29" t="s">
        <v>167</v>
      </c>
      <c r="E449" s="25"/>
      <c r="F449" s="26" t="str">
        <f aca="false">IF(OR(E449="",E449="!!!"),"",IF(NOT(ISNA(VLOOKUP(E449,E$1:E448,1,FALSE()))),"OLD",IF(AND(E449&lt;&gt;"",E449&lt;&gt;"!!!"),"NEW","")))</f>
        <v/>
      </c>
      <c r="G449" s="22" t="str">
        <f aca="false">IF(OR(E449="",E449="!!!"),"",IF(OR(J449=0,AND(J449=1,K449=1),AND(J449=1,I449="SBJ"),AND(J449=1,I449=0)),"?IN_FOCUS",IF(J449&lt;=2,"?ACTIVATED",IF(J449&lt;&gt;"","?FAMILIAR",IF(F449="NEW",IF(ISNA(VLOOKUP(E449,#REF!,1,FALSE())),"?TYPE_IDENTIFIABLE","?REFERENTIAL"),"_")))))</f>
        <v/>
      </c>
      <c r="H449" s="23" t="str">
        <f aca="false">IF(J449&lt;&gt;1,"",IF(I449="SBJ","CB","?"))</f>
        <v/>
      </c>
      <c r="I449" s="27" t="str">
        <f aca="false">IF(OR(E449="",E449="!!!",F449="NEW"),"",INDEX(B3:B$447,-1+SUMPRODUCT(MAX(ROW(E3:E$447)*(E449=E3:E$447)))))</f>
        <v/>
      </c>
      <c r="J449" s="27" t="str">
        <f aca="true">IF(OR(E449="",E449="!!!",F449="NEW"),"",COUNTBLANK(OFFSET(A$1,,,SUMPRODUCT(MAX(ROW(E$2:E449)*(E449=E$2:E449)))))-COUNTBLANK(OFFSET(A$1,,,SUMPRODUCT(MAX(ROW(E$1:E448)*(E2=E$1:E448))))))</f>
        <v/>
      </c>
      <c r="K449" s="27" t="str">
        <f aca="false">IF(OR(E449="",E449="!!!",F449="NEW"),"",INDEX(J$1:J448,SUMPRODUCT(MAX(ROW(E$1:E448)*(E449=E$1:E448)))))</f>
        <v/>
      </c>
      <c r="L449" s="28"/>
    </row>
    <row r="450" customFormat="false" ht="15" hidden="false" customHeight="false" outlineLevel="0" collapsed="false">
      <c r="A450" s="21" t="s">
        <v>391</v>
      </c>
      <c r="E450" s="25"/>
      <c r="F450" s="26" t="str">
        <f aca="false">IF(OR(E450="",E450="!!!"),"",IF(NOT(ISNA(VLOOKUP(E450,E$1:E449,1,FALSE()))),"OLD",IF(AND(E450&lt;&gt;"",E450&lt;&gt;"!!!"),"NEW","")))</f>
        <v/>
      </c>
      <c r="G450" s="22" t="str">
        <f aca="false">IF(OR(E450="",E450="!!!"),"",IF(OR(J450=0,AND(J450=1,K450=1),AND(J450=1,I450="SBJ"),AND(J450=1,I450=0)),"?IN_FOCUS",IF(J450&lt;=2,"?ACTIVATED",IF(J450&lt;&gt;"","?FAMILIAR",IF(F450="NEW",IF(ISNA(VLOOKUP(E450,#REF!,1,FALSE())),"?TYPE_IDENTIFIABLE","?REFERENTIAL"),"_")))))</f>
        <v/>
      </c>
      <c r="H450" s="23" t="str">
        <f aca="false">IF(J450&lt;&gt;1,"",IF(I450="SBJ","CB","?"))</f>
        <v/>
      </c>
      <c r="I450" s="27" t="str">
        <f aca="false">IF(OR(E450="",E450="!!!",F450="NEW"),"",INDEX(B4:B$447,-1+SUMPRODUCT(MAX(ROW(E4:E$447)*(E450=E4:E$447)))))</f>
        <v/>
      </c>
      <c r="J450" s="27" t="str">
        <f aca="true">IF(OR(E450="",E450="!!!",F450="NEW"),"",COUNTBLANK(OFFSET(A$1,,,SUMPRODUCT(MAX(ROW(E$2:E450)*(E450=E$2:E450)))))-COUNTBLANK(OFFSET(A$1,,,SUMPRODUCT(MAX(ROW(E$1:E449)*(E2=E$1:E449))))))</f>
        <v/>
      </c>
      <c r="K450" s="27" t="str">
        <f aca="false">IF(OR(E450="",E450="!!!",F450="NEW"),"",INDEX(J$1:J449,SUMPRODUCT(MAX(ROW(E$1:E449)*(E450=E$1:E449)))))</f>
        <v/>
      </c>
      <c r="L450" s="28"/>
    </row>
    <row r="451" customFormat="false" ht="15" hidden="false" customHeight="false" outlineLevel="0" collapsed="false">
      <c r="A451" s="21" t="s">
        <v>470</v>
      </c>
      <c r="B451" s="29" t="s">
        <v>258</v>
      </c>
      <c r="C451" s="29" t="s">
        <v>167</v>
      </c>
      <c r="E451" s="25"/>
      <c r="F451" s="26" t="str">
        <f aca="false">IF(OR(E451="",E451="!!!"),"",IF(NOT(ISNA(VLOOKUP(E451,E$1:E450,1,FALSE()))),"OLD",IF(AND(E451&lt;&gt;"",E451&lt;&gt;"!!!"),"NEW","")))</f>
        <v/>
      </c>
      <c r="G451" s="22" t="str">
        <f aca="false">IF(OR(E451="",E451="!!!"),"",IF(OR(J451=0,AND(J451=1,K451=1),AND(J451=1,I451="SBJ"),AND(J451=1,I451=0)),"?IN_FOCUS",IF(J451&lt;=2,"?ACTIVATED",IF(J451&lt;&gt;"","?FAMILIAR",IF(F451="NEW",IF(ISNA(VLOOKUP(E451,#REF!,1,FALSE())),"?TYPE_IDENTIFIABLE","?REFERENTIAL"),"_")))))</f>
        <v/>
      </c>
      <c r="H451" s="23" t="str">
        <f aca="false">IF(J451&lt;&gt;1,"",IF(I451="SBJ","CB","?"))</f>
        <v/>
      </c>
      <c r="I451" s="27" t="str">
        <f aca="false">IF(OR(E451="",E451="!!!",F451="NEW"),"",INDEX(B5:B$447,-1+SUMPRODUCT(MAX(ROW(E5:E$447)*(E451=E5:E$447)))))</f>
        <v/>
      </c>
      <c r="J451" s="27" t="str">
        <f aca="true">IF(OR(E451="",E451="!!!",F451="NEW"),"",COUNTBLANK(OFFSET(A$1,,,SUMPRODUCT(MAX(ROW(E$2:E451)*(E451=E$2:E451)))))-COUNTBLANK(OFFSET(A$1,,,SUMPRODUCT(MAX(ROW(E$1:E450)*(E2=E$1:E450))))))</f>
        <v/>
      </c>
      <c r="K451" s="27" t="str">
        <f aca="false">IF(OR(E451="",E451="!!!",F451="NEW"),"",INDEX(J$1:J450,SUMPRODUCT(MAX(ROW(E$1:E450)*(E451=E$1:E450)))))</f>
        <v/>
      </c>
      <c r="L451" s="28"/>
    </row>
    <row r="452" customFormat="false" ht="15" hidden="false" customHeight="false" outlineLevel="0" collapsed="false">
      <c r="A452" s="21" t="s">
        <v>165</v>
      </c>
      <c r="E452" s="25"/>
      <c r="F452" s="26" t="str">
        <f aca="false">IF(OR(E452="",E452="!!!"),"",IF(NOT(ISNA(VLOOKUP(E452,E$1:E451,1,FALSE()))),"OLD",IF(AND(E452&lt;&gt;"",E452&lt;&gt;"!!!"),"NEW","")))</f>
        <v/>
      </c>
      <c r="G452" s="22" t="str">
        <f aca="false">IF(OR(E452="",E452="!!!"),"",IF(OR(J452=0,AND(J452=1,K452=1),AND(J452=1,I452="SBJ"),AND(J452=1,I452=0)),"?IN_FOCUS",IF(J452&lt;=2,"?ACTIVATED",IF(J452&lt;&gt;"","?FAMILIAR",IF(F452="NEW",IF(ISNA(VLOOKUP(E452,#REF!,1,FALSE())),"?TYPE_IDENTIFIABLE","?REFERENTIAL"),"_")))))</f>
        <v/>
      </c>
      <c r="H452" s="23" t="str">
        <f aca="false">IF(J452&lt;&gt;1,"",IF(I452="SBJ","CB","?"))</f>
        <v/>
      </c>
      <c r="I452" s="27" t="str">
        <f aca="false">IF(OR(E452="",E452="!!!",F452="NEW"),"",INDEX(B6:B$447,-1+SUMPRODUCT(MAX(ROW(E6:E$447)*(E452=E6:E$447)))))</f>
        <v/>
      </c>
      <c r="J452" s="27" t="str">
        <f aca="true">IF(OR(E452="",E452="!!!",F452="NEW"),"",COUNTBLANK(OFFSET(A$1,,,SUMPRODUCT(MAX(ROW(E$2:E452)*(E452=E$2:E452)))))-COUNTBLANK(OFFSET(A$1,,,SUMPRODUCT(MAX(ROW(E$1:E451)*(E2=E$1:E451))))))</f>
        <v/>
      </c>
      <c r="K452" s="27" t="str">
        <f aca="false">IF(OR(E452="",E452="!!!",F452="NEW"),"",INDEX(J$1:J451,SUMPRODUCT(MAX(ROW(E$1:E451)*(E452=E$1:E451)))))</f>
        <v/>
      </c>
      <c r="L452" s="28"/>
    </row>
    <row r="453" customFormat="false" ht="15" hidden="false" customHeight="false" outlineLevel="0" collapsed="false">
      <c r="A453" s="21" t="s">
        <v>471</v>
      </c>
      <c r="B453" s="29" t="s">
        <v>210</v>
      </c>
      <c r="C453" s="29" t="s">
        <v>167</v>
      </c>
      <c r="E453" s="25"/>
      <c r="F453" s="26" t="str">
        <f aca="false">IF(OR(E453="",E453="!!!"),"",IF(NOT(ISNA(VLOOKUP(E453,E$1:E452,1,FALSE()))),"OLD",IF(AND(E453&lt;&gt;"",E453&lt;&gt;"!!!"),"NEW","")))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7" t="str">
        <f aca="false">IF(OR(E453="",E453="!!!",F453="NEW"),"",INDEX(B7:B$447,-1+SUMPRODUCT(MAX(ROW(E7:E$447)*(E453=E7:E$447)))))</f>
        <v/>
      </c>
      <c r="J453" s="27" t="str">
        <f aca="true">IF(OR(E453="",E453="!!!",F453="NEW"),"",COUNTBLANK(OFFSET(A$1,,,SUMPRODUCT(MAX(ROW(E$2:E453)*(E453=E$2:E453)))))-COUNTBLANK(OFFSET(A$1,,,SUMPRODUCT(MAX(ROW(E$1:E452)*(E2=E$1:E452))))))</f>
        <v/>
      </c>
      <c r="K453" s="27" t="str">
        <f aca="false">IF(OR(E453="",E453="!!!",F453="NEW"),"",INDEX(J$1:J452,SUMPRODUCT(MAX(ROW(E$1:E452)*(E453=E$1:E452)))))</f>
        <v/>
      </c>
      <c r="L453" s="28"/>
    </row>
    <row r="454" customFormat="false" ht="15" hidden="false" customHeight="false" outlineLevel="0" collapsed="false">
      <c r="A454" s="21" t="s">
        <v>207</v>
      </c>
      <c r="E454" s="25"/>
      <c r="F454" s="26" t="str">
        <f aca="false">IF(OR(E454="",E454="!!!"),"",IF(NOT(ISNA(VLOOKUP(E454,E$1:E453,1,FALSE()))),"OLD",IF(AND(E454&lt;&gt;"",E454&lt;&gt;"!!!"),"NEW","")))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7" t="str">
        <f aca="false">IF(OR(E454="",E454="!!!",F454="NEW"),"",INDEX(B8:B$447,-1+SUMPRODUCT(MAX(ROW(E8:E$447)*(E454=E8:E$447)))))</f>
        <v/>
      </c>
      <c r="J454" s="27" t="str">
        <f aca="true">IF(OR(E454="",E454="!!!",F454="NEW"),"",COUNTBLANK(OFFSET(A$1,,,SUMPRODUCT(MAX(ROW(E$2:E454)*(E454=E$2:E454)))))-COUNTBLANK(OFFSET(A$1,,,SUMPRODUCT(MAX(ROW(E$1:E453)*(E2=E$1:E453))))))</f>
        <v/>
      </c>
      <c r="K454" s="27" t="str">
        <f aca="false">IF(OR(E454="",E454="!!!",F454="NEW"),"",INDEX(J$1:J453,SUMPRODUCT(MAX(ROW(E$1:E453)*(E454=E$1:E453)))))</f>
        <v/>
      </c>
      <c r="L454" s="28"/>
    </row>
    <row r="455" customFormat="false" ht="15" hidden="false" customHeight="false" outlineLevel="0" collapsed="false">
      <c r="A455" s="21" t="s">
        <v>472</v>
      </c>
      <c r="E455" s="25"/>
      <c r="F455" s="26" t="str">
        <f aca="false">IF(OR(E455="",E455="!!!"),"",IF(NOT(ISNA(VLOOKUP(E455,E$1:E454,1,FALSE()))),"OLD",IF(AND(E455&lt;&gt;"",E455&lt;&gt;"!!!"),"NEW","")))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7" t="str">
        <f aca="false">IF(OR(E455="",E455="!!!",F455="NEW"),"",INDEX(B9:B$447,-1+SUMPRODUCT(MAX(ROW(E9:E$447)*(E455=E9:E$447)))))</f>
        <v/>
      </c>
      <c r="J455" s="27" t="str">
        <f aca="true">IF(OR(E455="",E455="!!!",F455="NEW"),"",COUNTBLANK(OFFSET(A$1,,,SUMPRODUCT(MAX(ROW(E$2:E455)*(E455=E$2:E455)))))-COUNTBLANK(OFFSET(A$1,,,SUMPRODUCT(MAX(ROW(E$1:E454)*(E2=E$1:E454))))))</f>
        <v/>
      </c>
      <c r="K455" s="27" t="str">
        <f aca="false">IF(OR(E455="",E455="!!!",F455="NEW"),"",INDEX(J$1:J454,SUMPRODUCT(MAX(ROW(E$1:E454)*(E455=E$1:E454)))))</f>
        <v/>
      </c>
      <c r="L455" s="28"/>
    </row>
    <row r="456" customFormat="false" ht="15" hidden="false" customHeight="false" outlineLevel="0" collapsed="false">
      <c r="A456" s="21" t="s">
        <v>473</v>
      </c>
      <c r="B456" s="29" t="s">
        <v>216</v>
      </c>
      <c r="C456" s="29" t="s">
        <v>167</v>
      </c>
      <c r="E456" s="25"/>
      <c r="F456" s="26" t="str">
        <f aca="false">IF(OR(E456="",E456="!!!"),"",IF(NOT(ISNA(VLOOKUP(E456,E$1:E455,1,FALSE()))),"OLD",IF(AND(E456&lt;&gt;"",E456&lt;&gt;"!!!"),"NEW","")))</f>
        <v/>
      </c>
      <c r="G456" s="22" t="str">
        <f aca="false">IF(OR(E456="",E456="!!!"),"",IF(OR(J456=0,AND(J456=1,K456=1),AND(J456=1,I456="SBJ"),AND(J456=1,I456=0)),"?IN_FOCUS",IF(J456&lt;=2,"?ACTIVATED",IF(J456&lt;&gt;"","?FAMILIAR",IF(F456="NEW",IF(ISNA(VLOOKUP(E456,#REF!,1,FALSE())),"?TYPE_IDENTIFIABLE","?REFERENTIAL"),"_")))))</f>
        <v/>
      </c>
      <c r="H456" s="23" t="str">
        <f aca="false">IF(J456&lt;&gt;1,"",IF(I456="SBJ","CB","?"))</f>
        <v/>
      </c>
      <c r="I456" s="27" t="str">
        <f aca="false">IF(OR(E456="",E456="!!!",F456="NEW"),"",INDEX(B10:B$447,-1+SUMPRODUCT(MAX(ROW(E10:E$447)*(E456=E10:E$447)))))</f>
        <v/>
      </c>
      <c r="J456" s="27" t="str">
        <f aca="true">IF(OR(E456="",E456="!!!",F456="NEW"),"",COUNTBLANK(OFFSET(A$1,,,SUMPRODUCT(MAX(ROW(E$2:E456)*(E456=E$2:E456)))))-COUNTBLANK(OFFSET(A$1,,,SUMPRODUCT(MAX(ROW(E$1:E455)*(E2=E$1:E455))))))</f>
        <v/>
      </c>
      <c r="K456" s="27" t="str">
        <f aca="false">IF(OR(E456="",E456="!!!",F456="NEW"),"",INDEX(J$1:J455,SUMPRODUCT(MAX(ROW(E$1:E455)*(E456=E$1:E455)))))</f>
        <v/>
      </c>
      <c r="L456" s="28"/>
    </row>
    <row r="457" customFormat="false" ht="15" hidden="false" customHeight="false" outlineLevel="0" collapsed="false">
      <c r="A457" s="21" t="s">
        <v>178</v>
      </c>
      <c r="E457" s="25"/>
      <c r="F457" s="26" t="str">
        <f aca="false">IF(OR(E457="",E457="!!!"),"",IF(NOT(ISNA(VLOOKUP(E457,E$1:E456,1,FALSE()))),"OLD",IF(AND(E457&lt;&gt;"",E457&lt;&gt;"!!!"),"NEW","")))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7" t="str">
        <f aca="false">IF(OR(E457="",E457="!!!",F457="NEW"),"",INDEX(B11:B$447,-1+SUMPRODUCT(MAX(ROW(E11:E$447)*(E457=E11:E$447)))))</f>
        <v/>
      </c>
      <c r="J457" s="27" t="str">
        <f aca="true">IF(OR(E457="",E457="!!!",F457="NEW"),"",COUNTBLANK(OFFSET(A$1,,,SUMPRODUCT(MAX(ROW(E$2:E457)*(E457=E$2:E457)))))-COUNTBLANK(OFFSET(A$1,,,SUMPRODUCT(MAX(ROW(E$1:E456)*(E2=E$1:E456))))))</f>
        <v/>
      </c>
      <c r="K457" s="27" t="str">
        <f aca="false">IF(OR(E457="",E457="!!!",F457="NEW"),"",INDEX(J$1:J456,SUMPRODUCT(MAX(ROW(E$1:E456)*(E457=E$1:E456)))))</f>
        <v/>
      </c>
      <c r="L457" s="28"/>
    </row>
    <row r="458" customFormat="false" ht="15" hidden="false" customHeight="false" outlineLevel="0" collapsed="false">
      <c r="A458" s="21" t="s">
        <v>329</v>
      </c>
      <c r="B458" s="29" t="s">
        <v>180</v>
      </c>
      <c r="C458" s="29" t="s">
        <v>167</v>
      </c>
      <c r="E458" s="25"/>
      <c r="F458" s="26" t="str">
        <f aca="false">IF(OR(E458="",E458="!!!"),"",IF(NOT(ISNA(VLOOKUP(E458,E$1:E457,1,FALSE()))),"OLD",IF(AND(E458&lt;&gt;"",E458&lt;&gt;"!!!"),"NEW","")))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7" t="str">
        <f aca="false">IF(OR(E458="",E458="!!!",F458="NEW"),"",INDEX(B12:B$447,-1+SUMPRODUCT(MAX(ROW(E12:E$447)*(E458=E12:E$447)))))</f>
        <v/>
      </c>
      <c r="J458" s="27" t="str">
        <f aca="true">IF(OR(E458="",E458="!!!",F458="NEW"),"",COUNTBLANK(OFFSET(A$1,,,SUMPRODUCT(MAX(ROW(E$2:E458)*(E458=E$2:E458)))))-COUNTBLANK(OFFSET(A$1,,,SUMPRODUCT(MAX(ROW(E$1:E457)*(E2=E$1:E457))))))</f>
        <v/>
      </c>
      <c r="K458" s="27" t="str">
        <f aca="false">IF(OR(E458="",E458="!!!",F458="NEW"),"",INDEX(J$1:J457,SUMPRODUCT(MAX(ROW(E$1:E457)*(E458=E$1:E457)))))</f>
        <v/>
      </c>
      <c r="L458" s="28"/>
    </row>
    <row r="459" customFormat="false" ht="15" hidden="false" customHeight="false" outlineLevel="0" collapsed="false">
      <c r="A459" s="21" t="s">
        <v>474</v>
      </c>
      <c r="E459" s="25"/>
      <c r="F459" s="26" t="str">
        <f aca="false">IF(OR(E459="",E459="!!!"),"",IF(NOT(ISNA(VLOOKUP(E459,E$1:E458,1,FALSE()))),"OLD",IF(AND(E459&lt;&gt;"",E459&lt;&gt;"!!!"),"NEW","")))</f>
        <v/>
      </c>
      <c r="G459" s="22" t="str">
        <f aca="false">IF(OR(E459="",E459="!!!"),"",IF(OR(J459=0,AND(J459=1,K459=1),AND(J459=1,I459="SBJ"),AND(J459=1,I459=0)),"?IN_FOCUS",IF(J459&lt;=2,"?ACTIVATED",IF(J459&lt;&gt;"","?FAMILIAR",IF(F459="NEW",IF(ISNA(VLOOKUP(E459,#REF!,1,FALSE())),"?TYPE_IDENTIFIABLE","?REFERENTIAL"),"_")))))</f>
        <v/>
      </c>
      <c r="H459" s="23" t="str">
        <f aca="false">IF(J459&lt;&gt;1,"",IF(I459="SBJ","CB","?"))</f>
        <v/>
      </c>
      <c r="I459" s="27" t="str">
        <f aca="false">IF(OR(E459="",E459="!!!",F459="NEW"),"",INDEX(B13:B$447,-1+SUMPRODUCT(MAX(ROW(E13:E$447)*(E459=E13:E$447)))))</f>
        <v/>
      </c>
      <c r="J459" s="27" t="str">
        <f aca="true">IF(OR(E459="",E459="!!!",F459="NEW"),"",COUNTBLANK(OFFSET(A$1,,,SUMPRODUCT(MAX(ROW(E$2:E459)*(E459=E$2:E459)))))-COUNTBLANK(OFFSET(A$1,,,SUMPRODUCT(MAX(ROW(E$1:E458)*(E2=E$1:E458))))))</f>
        <v/>
      </c>
      <c r="K459" s="27" t="str">
        <f aca="false">IF(OR(E459="",E459="!!!",F459="NEW"),"",INDEX(J$1:J458,SUMPRODUCT(MAX(ROW(E$1:E458)*(E459=E$1:E458)))))</f>
        <v/>
      </c>
      <c r="L459" s="28"/>
    </row>
    <row r="460" customFormat="false" ht="15" hidden="false" customHeight="false" outlineLevel="0" collapsed="false">
      <c r="A460" s="21" t="s">
        <v>394</v>
      </c>
      <c r="B460" s="29" t="s">
        <v>190</v>
      </c>
      <c r="C460" s="29" t="s">
        <v>240</v>
      </c>
      <c r="D460" s="29" t="s">
        <v>159</v>
      </c>
      <c r="E460" s="25" t="s">
        <v>475</v>
      </c>
      <c r="F460" s="30" t="str">
        <f aca="false">IF(OR(E460="",E460="!!!"),"",IF(NOT(ISNA(VLOOKUP(E460,E$1:E459,1,FALSE()))),"OLD",IF(AND(E460&lt;&gt;"",E460&lt;&gt;"!!!"),"NEW","")))</f>
        <v>NEW</v>
      </c>
      <c r="G460" s="22" t="s">
        <v>160</v>
      </c>
      <c r="H460" s="23" t="str">
        <f aca="false">IF(J460&lt;&gt;1,"",IF(I460="SBJ","CB","?"))</f>
        <v/>
      </c>
      <c r="I460" s="31" t="str">
        <f aca="false">IF(OR(E460="",E460="!!!",F460="NEW"),"",INDEX(B14:B$447,-1+SUMPRODUCT(MAX(ROW(E14:E$447)*(E460=E14:E$447)))))</f>
        <v/>
      </c>
      <c r="J460" s="31" t="str">
        <f aca="true">IF(OR(E460="",E460="!!!",F460="NEW"),"",COUNTBLANK(OFFSET(A$1,,,SUMPRODUCT(MAX(ROW(E$2:E460)*(E460=E$2:E460)))))-COUNTBLANK(OFFSET(A$1,,,SUMPRODUCT(MAX(ROW(E$1:E459)*(E2=E$1:E459))))))</f>
        <v/>
      </c>
      <c r="K460" s="31" t="str">
        <f aca="false">IF(OR(E460="",E460="!!!",F460="NEW"),"",INDEX(J$1:J459,SUMPRODUCT(MAX(ROW(E$1:E459)*(E460=E$1:E459)))))</f>
        <v/>
      </c>
      <c r="L460" s="28"/>
    </row>
    <row r="461" customFormat="false" ht="15" hidden="false" customHeight="false" outlineLevel="0" collapsed="false">
      <c r="A461" s="21" t="s">
        <v>287</v>
      </c>
      <c r="E461" s="25"/>
      <c r="F461" s="26" t="str">
        <f aca="false">IF(OR(E461="",E461="!!!"),"",IF(NOT(ISNA(VLOOKUP(E461,E$1:E460,1,FALSE()))),"OLD",IF(AND(E461&lt;&gt;"",E461&lt;&gt;"!!!"),"NEW","")))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7" t="str">
        <f aca="false">IF(OR(E461="",E461="!!!",F461="NEW"),"",INDEX(B15:B$447,-1+SUMPRODUCT(MAX(ROW(E15:E$447)*(E461=E15:E$447)))))</f>
        <v/>
      </c>
      <c r="J461" s="27" t="str">
        <f aca="true">IF(OR(E461="",E461="!!!",F461="NEW"),"",COUNTBLANK(OFFSET(A$1,,,SUMPRODUCT(MAX(ROW(E$2:E461)*(E461=E$2:E461)))))-COUNTBLANK(OFFSET(A$1,,,SUMPRODUCT(MAX(ROW(E$1:E460)*(E2=E$1:E460))))))</f>
        <v/>
      </c>
      <c r="K461" s="27" t="str">
        <f aca="false">IF(OR(E461="",E461="!!!",F461="NEW"),"",INDEX(J$1:J460,SUMPRODUCT(MAX(ROW(E$1:E460)*(E461=E$1:E460)))))</f>
        <v/>
      </c>
      <c r="L461" s="28"/>
    </row>
    <row r="462" customFormat="false" ht="15" hidden="false" customHeight="false" outlineLevel="0" collapsed="false">
      <c r="A462" s="21" t="s">
        <v>476</v>
      </c>
      <c r="B462" s="29" t="s">
        <v>203</v>
      </c>
      <c r="C462" s="29" t="s">
        <v>243</v>
      </c>
      <c r="D462" s="29" t="s">
        <v>159</v>
      </c>
      <c r="E462" s="25" t="s">
        <v>477</v>
      </c>
      <c r="F462" s="30" t="str">
        <f aca="false">IF(OR(E462="",E462="!!!"),"",IF(NOT(ISNA(VLOOKUP(E462,E$1:E461,1,FALSE()))),"OLD",IF(AND(E462&lt;&gt;"",E462&lt;&gt;"!!!"),"NEW","")))</f>
        <v>NEW</v>
      </c>
      <c r="G462" s="22" t="s">
        <v>160</v>
      </c>
      <c r="H462" s="23" t="str">
        <f aca="false">IF(J462&lt;&gt;1,"",IF(I462="SBJ","CB","?"))</f>
        <v/>
      </c>
      <c r="I462" s="31" t="str">
        <f aca="false">IF(OR(E462="",E462="!!!",F462="NEW"),"",INDEX(B16:B$447,-1+SUMPRODUCT(MAX(ROW(E16:E$447)*(E462=E16:E$447)))))</f>
        <v/>
      </c>
      <c r="J462" s="31" t="str">
        <f aca="true">IF(OR(E462="",E462="!!!",F462="NEW"),"",COUNTBLANK(OFFSET(A$1,,,SUMPRODUCT(MAX(ROW(E$2:E462)*(E462=E$2:E462)))))-COUNTBLANK(OFFSET(A$1,,,SUMPRODUCT(MAX(ROW(E$1:E461)*(E2=E$1:E461))))))</f>
        <v/>
      </c>
      <c r="K462" s="31" t="str">
        <f aca="false">IF(OR(E462="",E462="!!!",F462="NEW"),"",INDEX(J$1:J461,SUMPRODUCT(MAX(ROW(E$1:E461)*(E462=E$1:E461)))))</f>
        <v/>
      </c>
      <c r="L462" s="28"/>
    </row>
    <row r="463" customFormat="false" ht="15" hidden="false" customHeight="false" outlineLevel="0" collapsed="false">
      <c r="A463" s="21" t="s">
        <v>291</v>
      </c>
      <c r="E463" s="25"/>
      <c r="F463" s="26" t="str">
        <f aca="false">IF(OR(E463="",E463="!!!"),"",IF(NOT(ISNA(VLOOKUP(E463,E$1:E462,1,FALSE()))),"OLD",IF(AND(E463&lt;&gt;"",E463&lt;&gt;"!!!"),"NEW","")))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7" t="str">
        <f aca="false">IF(OR(E463="",E463="!!!",F463="NEW"),"",INDEX(B17:B$447,-1+SUMPRODUCT(MAX(ROW(E17:E$447)*(E463=E17:E$447)))))</f>
        <v/>
      </c>
      <c r="J463" s="27" t="str">
        <f aca="true">IF(OR(E463="",E463="!!!",F463="NEW"),"",COUNTBLANK(OFFSET(A$1,,,SUMPRODUCT(MAX(ROW(E$2:E463)*(E463=E$2:E463)))))-COUNTBLANK(OFFSET(A$1,,,SUMPRODUCT(MAX(ROW(E$1:E462)*(E2=E$1:E462))))))</f>
        <v/>
      </c>
      <c r="K463" s="27" t="str">
        <f aca="false">IF(OR(E463="",E463="!!!",F463="NEW"),"",INDEX(J$1:J462,SUMPRODUCT(MAX(ROW(E$1:E462)*(E463=E$1:E462)))))</f>
        <v/>
      </c>
      <c r="L463" s="28"/>
    </row>
    <row r="464" customFormat="false" ht="15" hidden="false" customHeight="false" outlineLevel="0" collapsed="false">
      <c r="A464" s="21" t="s">
        <v>169</v>
      </c>
      <c r="E464" s="25"/>
      <c r="F464" s="26" t="str">
        <f aca="false">IF(OR(E464="",E464="!!!"),"",IF(NOT(ISNA(VLOOKUP(E464,E$1:E463,1,FALSE()))),"OLD",IF(AND(E464&lt;&gt;"",E464&lt;&gt;"!!!"),"NEW","")))</f>
        <v/>
      </c>
      <c r="G464" s="22" t="str">
        <f aca="false">IF(OR(E464="",E464="!!!"),"",IF(OR(J464=0,AND(J464=1,K464=1),AND(J464=1,I464="SBJ"),AND(J464=1,I464=0)),"?IN_FOCUS",IF(J464&lt;=2,"?ACTIVATED",IF(J464&lt;&gt;"","?FAMILIAR",IF(F464="NEW",IF(ISNA(VLOOKUP(E464,#REF!,1,FALSE())),"?TYPE_IDENTIFIABLE","?REFERENTIAL"),"_")))))</f>
        <v/>
      </c>
      <c r="H464" s="23" t="str">
        <f aca="false">IF(J464&lt;&gt;1,"",IF(I464="SBJ","CB","?"))</f>
        <v/>
      </c>
      <c r="I464" s="27" t="str">
        <f aca="false">IF(OR(E464="",E464="!!!",F464="NEW"),"",INDEX(B18:B$447,-1+SUMPRODUCT(MAX(ROW(E18:E$447)*(E464=E18:E$447)))))</f>
        <v/>
      </c>
      <c r="J464" s="27" t="str">
        <f aca="true">IF(OR(E464="",E464="!!!",F464="NEW"),"",COUNTBLANK(OFFSET(A$1,,,SUMPRODUCT(MAX(ROW(E$2:E464)*(E464=E$2:E464)))))-COUNTBLANK(OFFSET(A$1,,,SUMPRODUCT(MAX(ROW(E$1:E463)*(E2=E$1:E463))))))</f>
        <v/>
      </c>
      <c r="K464" s="27" t="str">
        <f aca="false">IF(OR(E464="",E464="!!!",F464="NEW"),"",INDEX(J$1:J463,SUMPRODUCT(MAX(ROW(E$1:E463)*(E464=E$1:E463)))))</f>
        <v/>
      </c>
      <c r="L464" s="28"/>
    </row>
    <row r="465" customFormat="false" ht="15" hidden="false" customHeight="false" outlineLevel="0" collapsed="false">
      <c r="A465" s="21" t="s">
        <v>478</v>
      </c>
      <c r="B465" s="29" t="s">
        <v>153</v>
      </c>
      <c r="C465" s="29" t="s">
        <v>171</v>
      </c>
      <c r="D465" s="29" t="s">
        <v>159</v>
      </c>
      <c r="E465" s="25" t="s">
        <v>479</v>
      </c>
      <c r="F465" s="30" t="str">
        <f aca="false">IF(OR(E465="",E465="!!!"),"",IF(NOT(ISNA(VLOOKUP(E465,E$1:E464,1,FALSE()))),"OLD",IF(AND(E465&lt;&gt;"",E465&lt;&gt;"!!!"),"NEW","")))</f>
        <v>NEW</v>
      </c>
      <c r="G465" s="22" t="s">
        <v>160</v>
      </c>
      <c r="H465" s="23" t="str">
        <f aca="false">IF(J465&lt;&gt;1,"",IF(I465="SBJ","CB","?"))</f>
        <v/>
      </c>
      <c r="I465" s="31" t="str">
        <f aca="false">IF(OR(E465="",E465="!!!",F465="NEW"),"",INDEX(B19:B$447,-1+SUMPRODUCT(MAX(ROW(E19:E$447)*(E465=E19:E$447)))))</f>
        <v/>
      </c>
      <c r="J465" s="31" t="str">
        <f aca="true">IF(OR(E465="",E465="!!!",F465="NEW"),"",COUNTBLANK(OFFSET(A$1,,,SUMPRODUCT(MAX(ROW(E$2:E465)*(E465=E$2:E465)))))-COUNTBLANK(OFFSET(A$1,,,SUMPRODUCT(MAX(ROW(E$1:E464)*(E2=E$1:E464))))))</f>
        <v/>
      </c>
      <c r="K465" s="31" t="str">
        <f aca="false">IF(OR(E465="",E465="!!!",F465="NEW"),"",INDEX(J$1:J464,SUMPRODUCT(MAX(ROW(E$1:E464)*(E465=E$1:E464)))))</f>
        <v/>
      </c>
      <c r="L465" s="28"/>
    </row>
    <row r="466" customFormat="false" ht="15" hidden="false" customHeight="false" outlineLevel="0" collapsed="false">
      <c r="A466" s="21" t="s">
        <v>165</v>
      </c>
      <c r="E466" s="25"/>
      <c r="F466" s="26" t="str">
        <f aca="false">IF(OR(E466="",E466="!!!"),"",IF(NOT(ISNA(VLOOKUP(E466,E$1:E465,1,FALSE()))),"OLD",IF(AND(E466&lt;&gt;"",E466&lt;&gt;"!!!"),"NEW","")))</f>
        <v/>
      </c>
      <c r="G466" s="22" t="str">
        <f aca="false">IF(OR(E466="",E466="!!!"),"",IF(OR(J466=0,AND(J466=1,K466=1),AND(J466=1,I466="SBJ"),AND(J466=1,I466=0)),"?IN_FOCUS",IF(J466&lt;=2,"?ACTIVATED",IF(J466&lt;&gt;"","?FAMILIAR",IF(F466="NEW",IF(ISNA(VLOOKUP(E466,#REF!,1,FALSE())),"?TYPE_IDENTIFIABLE","?REFERENTIAL"),"_")))))</f>
        <v/>
      </c>
      <c r="H466" s="23" t="str">
        <f aca="false">IF(J466&lt;&gt;1,"",IF(I466="SBJ","CB","?"))</f>
        <v/>
      </c>
      <c r="I466" s="27" t="str">
        <f aca="false">IF(OR(E466="",E466="!!!",F466="NEW"),"",INDEX(B20:B$447,-1+SUMPRODUCT(MAX(ROW(E20:E$447)*(E466=E20:E$447)))))</f>
        <v/>
      </c>
      <c r="J466" s="27" t="str">
        <f aca="true">IF(OR(E466="",E466="!!!",F466="NEW"),"",COUNTBLANK(OFFSET(A$1,,,SUMPRODUCT(MAX(ROW(E$2:E466)*(E466=E$2:E466)))))-COUNTBLANK(OFFSET(A$1,,,SUMPRODUCT(MAX(ROW(E$1:E465)*(E2=E$1:E465))))))</f>
        <v/>
      </c>
      <c r="K466" s="27" t="str">
        <f aca="false">IF(OR(E466="",E466="!!!",F466="NEW"),"",INDEX(J$1:J465,SUMPRODUCT(MAX(ROW(E$1:E465)*(E466=E$1:E465)))))</f>
        <v/>
      </c>
      <c r="L466" s="28"/>
    </row>
    <row r="467" customFormat="false" ht="15" hidden="false" customHeight="false" outlineLevel="0" collapsed="false">
      <c r="A467" s="21" t="s">
        <v>480</v>
      </c>
      <c r="B467" s="29" t="s">
        <v>190</v>
      </c>
      <c r="C467" s="29" t="s">
        <v>167</v>
      </c>
      <c r="E467" s="25"/>
      <c r="F467" s="26" t="str">
        <f aca="false">IF(OR(E467="",E467="!!!"),"",IF(NOT(ISNA(VLOOKUP(E467,E$1:E466,1,FALSE()))),"OLD",IF(AND(E467&lt;&gt;"",E467&lt;&gt;"!!!"),"NEW","")))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7" t="str">
        <f aca="false">IF(OR(E467="",E467="!!!",F467="NEW"),"",INDEX(B21:B$447,-1+SUMPRODUCT(MAX(ROW(E21:E$447)*(E467=E21:E$447)))))</f>
        <v/>
      </c>
      <c r="J467" s="27" t="str">
        <f aca="true">IF(OR(E467="",E467="!!!",F467="NEW"),"",COUNTBLANK(OFFSET(A$1,,,SUMPRODUCT(MAX(ROW(E$2:E467)*(E467=E$2:E467)))))-COUNTBLANK(OFFSET(A$1,,,SUMPRODUCT(MAX(ROW(E$1:E466)*(E2=E$1:E466))))))</f>
        <v/>
      </c>
      <c r="K467" s="27" t="str">
        <f aca="false">IF(OR(E467="",E467="!!!",F467="NEW"),"",INDEX(J$1:J466,SUMPRODUCT(MAX(ROW(E$1:E466)*(E467=E$1:E466)))))</f>
        <v/>
      </c>
      <c r="L467" s="28"/>
    </row>
    <row r="468" customFormat="false" ht="15" hidden="false" customHeight="false" outlineLevel="0" collapsed="false">
      <c r="A468" s="21" t="s">
        <v>207</v>
      </c>
      <c r="E468" s="25"/>
      <c r="F468" s="26" t="str">
        <f aca="false">IF(OR(E468="",E468="!!!"),"",IF(NOT(ISNA(VLOOKUP(E468,E$1:E467,1,FALSE()))),"OLD",IF(AND(E468&lt;&gt;"",E468&lt;&gt;"!!!"),"NEW","")))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7" t="str">
        <f aca="false">IF(OR(E468="",E468="!!!",F468="NEW"),"",INDEX(B22:B$447,-1+SUMPRODUCT(MAX(ROW(E22:E$447)*(E468=E22:E$447)))))</f>
        <v/>
      </c>
      <c r="J468" s="27" t="str">
        <f aca="true">IF(OR(E468="",E468="!!!",F468="NEW"),"",COUNTBLANK(OFFSET(A$1,,,SUMPRODUCT(MAX(ROW(E$2:E468)*(E468=E$2:E468)))))-COUNTBLANK(OFFSET(A$1,,,SUMPRODUCT(MAX(ROW(E$1:E467)*(E2=E$1:E467))))))</f>
        <v/>
      </c>
      <c r="K468" s="27" t="str">
        <f aca="false">IF(OR(E468="",E468="!!!",F468="NEW"),"",INDEX(J$1:J467,SUMPRODUCT(MAX(ROW(E$1:E467)*(E468=E$1:E467)))))</f>
        <v/>
      </c>
      <c r="L468" s="28"/>
    </row>
    <row r="469" customFormat="false" ht="15" hidden="false" customHeight="false" outlineLevel="0" collapsed="false">
      <c r="A469" s="21" t="s">
        <v>481</v>
      </c>
      <c r="B469" s="29" t="s">
        <v>210</v>
      </c>
      <c r="C469" s="29" t="s">
        <v>167</v>
      </c>
      <c r="E469" s="25"/>
      <c r="F469" s="26" t="str">
        <f aca="false">IF(OR(E469="",E469="!!!"),"",IF(NOT(ISNA(VLOOKUP(E469,E$1:E468,1,FALSE()))),"OLD",IF(AND(E469&lt;&gt;"",E469&lt;&gt;"!!!"),"NEW","")))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7" t="str">
        <f aca="false">IF(OR(E469="",E469="!!!",F469="NEW"),"",INDEX(B23:B$447,-1+SUMPRODUCT(MAX(ROW(E23:E$447)*(E469=E23:E$447)))))</f>
        <v/>
      </c>
      <c r="J469" s="27" t="str">
        <f aca="true">IF(OR(E469="",E469="!!!",F469="NEW"),"",COUNTBLANK(OFFSET(A$1,,,SUMPRODUCT(MAX(ROW(E$2:E469)*(E469=E$2:E469)))))-COUNTBLANK(OFFSET(A$1,,,SUMPRODUCT(MAX(ROW(E$1:E468)*(E2=E$1:E468))))))</f>
        <v/>
      </c>
      <c r="K469" s="27" t="str">
        <f aca="false">IF(OR(E469="",E469="!!!",F469="NEW"),"",INDEX(J$1:J468,SUMPRODUCT(MAX(ROW(E$1:E468)*(E469=E$1:E468)))))</f>
        <v/>
      </c>
      <c r="L469" s="28"/>
    </row>
    <row r="470" customFormat="false" ht="15" hidden="false" customHeight="false" outlineLevel="0" collapsed="false">
      <c r="A470" s="21" t="s">
        <v>193</v>
      </c>
      <c r="E470" s="25"/>
      <c r="F470" s="26" t="str">
        <f aca="false">IF(OR(E470="",E470="!!!"),"",IF(NOT(ISNA(VLOOKUP(E470,E$1:E469,1,FALSE()))),"OLD",IF(AND(E470&lt;&gt;"",E470&lt;&gt;"!!!"),"NEW","")))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7" t="str">
        <f aca="false">IF(OR(E470="",E470="!!!",F470="NEW"),"",INDEX(B24:B$447,-1+SUMPRODUCT(MAX(ROW(E24:E$447)*(E470=E24:E$447)))))</f>
        <v/>
      </c>
      <c r="J470" s="27" t="str">
        <f aca="true">IF(OR(E470="",E470="!!!",F470="NEW"),"",COUNTBLANK(OFFSET(A$1,,,SUMPRODUCT(MAX(ROW(E$2:E470)*(E470=E$2:E470)))))-COUNTBLANK(OFFSET(A$1,,,SUMPRODUCT(MAX(ROW(E$1:E469)*(E2=E$1:E469))))))</f>
        <v/>
      </c>
      <c r="K470" s="27" t="str">
        <f aca="false">IF(OR(E470="",E470="!!!",F470="NEW"),"",INDEX(J$1:J469,SUMPRODUCT(MAX(ROW(E$1:E469)*(E470=E$1:E469)))))</f>
        <v/>
      </c>
      <c r="L470" s="28"/>
    </row>
    <row r="471" customFormat="false" ht="15" hidden="false" customHeight="false" outlineLevel="0" collapsed="false">
      <c r="A471" s="21"/>
      <c r="G471" s="22" t="str">
        <f aca="false">IF(OR(E471="",E471="!!!"),"",IF(OR(J471=0,AND(J471=1,K471=1),AND(J471=1,I471="SBJ"),AND(J471=1,I471=0)),"?IN_FOCUS",IF(J471&lt;=2,"?ACTIVATED",IF(J471&lt;&gt;"","?FAMILIAR",IF(F471="NEW",IF(ISNA(VLOOKUP(E471,#REF!,1,FALSE())),"?TYPE_IDENTIFIABLE","?REFERENTIAL"),"_")))))</f>
        <v/>
      </c>
      <c r="H471" s="23" t="str">
        <f aca="false">IF(J471&lt;&gt;1,"",IF(I471="SBJ","CB","?"))</f>
        <v/>
      </c>
    </row>
    <row r="472" customFormat="false" ht="15" hidden="false" customHeight="false" outlineLevel="0" collapsed="false">
      <c r="A472" s="21" t="s">
        <v>482</v>
      </c>
      <c r="G472" s="22" t="str">
        <f aca="false">IF(OR(E472="",E472="!!!"),"",IF(OR(J472=0,AND(J472=1,K472=1),AND(J472=1,I472="SBJ"),AND(J472=1,I472=0)),"?IN_FOCUS",IF(J472&lt;=2,"?ACTIVATED",IF(J472&lt;&gt;"","?FAMILIAR",IF(F472="NEW",IF(ISNA(VLOOKUP(E472,#REF!,1,FALSE())),"?TYPE_IDENTIFIABLE","?REFERENTIAL"),"_")))))</f>
        <v/>
      </c>
      <c r="H472" s="23" t="str">
        <f aca="false">IF(J472&lt;&gt;1,"",IF(I472="SBJ","CB","?"))</f>
        <v/>
      </c>
    </row>
    <row r="473" customFormat="false" ht="15" hidden="false" customHeight="false" outlineLevel="0" collapsed="false">
      <c r="A473" s="21" t="s">
        <v>483</v>
      </c>
      <c r="B473" s="29" t="s">
        <v>180</v>
      </c>
      <c r="C473" s="29" t="s">
        <v>181</v>
      </c>
      <c r="D473" s="29" t="s">
        <v>159</v>
      </c>
      <c r="E473" s="25" t="s">
        <v>395</v>
      </c>
      <c r="F473" s="30" t="str">
        <f aca="false">IF(OR(E473="",E473="!!!"),"",IF(NOT(ISNA(VLOOKUP(E473,E$1:E472,1,FALSE()))),"OLD",IF(AND(E473&lt;&gt;"",E473&lt;&gt;"!!!"),"NEW","")))</f>
        <v>OLD</v>
      </c>
      <c r="G473" s="22" t="s">
        <v>265</v>
      </c>
      <c r="H473" s="23" t="str">
        <f aca="false">IF(J473&lt;&gt;1,"",IF(I473="SBJ","CB","?"))</f>
        <v/>
      </c>
      <c r="I473" s="31" t="str">
        <f aca="false">IF(OR(E473="",E473="!!!",F473="NEW"),"",INDEX(B2:B$472,-1+SUMPRODUCT(MAX(ROW(E2:E$472)*(E473=E2:E$472)))))</f>
        <v>other_5</v>
      </c>
      <c r="J473" s="31" t="n">
        <f aca="true">IF(OR(E473="",E473="!!!",F473="NEW"),"",COUNTBLANK(OFFSET(A$1,,,SUMPRODUCT(MAX(ROW(E$2:E473)*(E473=E$2:E473)))))-COUNTBLANK(OFFSET(A$1,,,SUMPRODUCT(MAX(ROW(E$1:E472)*(E2=E$1:E472))))))</f>
        <v>0</v>
      </c>
      <c r="K473" s="31" t="n">
        <f aca="false">IF(OR(E473="",E473="!!!",F473="NEW"),"",INDEX(J$1:J472,SUMPRODUCT(MAX(ROW(E$1:E472)*(E473=E$1:E472)))))</f>
        <v>0</v>
      </c>
      <c r="L473" s="28"/>
    </row>
    <row r="474" customFormat="false" ht="15" hidden="false" customHeight="false" outlineLevel="0" collapsed="false">
      <c r="A474" s="21" t="s">
        <v>484</v>
      </c>
      <c r="E474" s="25"/>
      <c r="F474" s="26" t="str">
        <f aca="false">IF(OR(E474="",E474="!!!"),"",IF(NOT(ISNA(VLOOKUP(E474,E$1:E473,1,FALSE()))),"OLD",IF(AND(E474&lt;&gt;"",E474&lt;&gt;"!!!"),"NEW","")))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7" t="str">
        <f aca="false">IF(OR(E474="",E474="!!!",F474="NEW"),"",INDEX(B3:B$472,-1+SUMPRODUCT(MAX(ROW(E3:E$472)*(E474=E3:E$472)))))</f>
        <v/>
      </c>
      <c r="J474" s="27" t="str">
        <f aca="true">IF(OR(E474="",E474="!!!",F474="NEW"),"",COUNTBLANK(OFFSET(A$1,,,SUMPRODUCT(MAX(ROW(E$2:E474)*(E474=E$2:E474)))))-COUNTBLANK(OFFSET(A$1,,,SUMPRODUCT(MAX(ROW(E$1:E473)*(E2=E$1:E473))))))</f>
        <v/>
      </c>
      <c r="K474" s="27" t="str">
        <f aca="false">IF(OR(E474="",E474="!!!",F474="NEW"),"",INDEX(J$1:J473,SUMPRODUCT(MAX(ROW(E$1:E473)*(E474=E$1:E473)))))</f>
        <v/>
      </c>
      <c r="L474" s="28"/>
    </row>
    <row r="475" customFormat="false" ht="15" hidden="false" customHeight="false" outlineLevel="0" collapsed="false">
      <c r="A475" s="21" t="s">
        <v>485</v>
      </c>
      <c r="E475" s="25"/>
      <c r="F475" s="26" t="str">
        <f aca="false">IF(OR(E475="",E475="!!!"),"",IF(NOT(ISNA(VLOOKUP(E475,E$1:E474,1,FALSE()))),"OLD",IF(AND(E475&lt;&gt;"",E475&lt;&gt;"!!!"),"NEW","")))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7" t="str">
        <f aca="false">IF(OR(E475="",E475="!!!",F475="NEW"),"",INDEX(B4:B$472,-1+SUMPRODUCT(MAX(ROW(E4:E$472)*(E475=E4:E$472)))))</f>
        <v/>
      </c>
      <c r="J475" s="27" t="str">
        <f aca="true">IF(OR(E475="",E475="!!!",F475="NEW"),"",COUNTBLANK(OFFSET(A$1,,,SUMPRODUCT(MAX(ROW(E$2:E475)*(E475=E$2:E475)))))-COUNTBLANK(OFFSET(A$1,,,SUMPRODUCT(MAX(ROW(E$1:E474)*(E2=E$1:E474))))))</f>
        <v/>
      </c>
      <c r="K475" s="27" t="str">
        <f aca="false">IF(OR(E475="",E475="!!!",F475="NEW"),"",INDEX(J$1:J474,SUMPRODUCT(MAX(ROW(E$1:E474)*(E475=E$1:E474)))))</f>
        <v/>
      </c>
      <c r="L475" s="28"/>
    </row>
    <row r="476" customFormat="false" ht="15" hidden="false" customHeight="false" outlineLevel="0" collapsed="false">
      <c r="A476" s="21" t="s">
        <v>92</v>
      </c>
      <c r="E476" s="25"/>
      <c r="F476" s="26" t="str">
        <f aca="false">IF(OR(E476="",E476="!!!"),"",IF(NOT(ISNA(VLOOKUP(E476,E$1:E475,1,FALSE()))),"OLD",IF(AND(E476&lt;&gt;"",E476&lt;&gt;"!!!"),"NEW","")))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7" t="str">
        <f aca="false">IF(OR(E476="",E476="!!!",F476="NEW"),"",INDEX(B5:B$472,-1+SUMPRODUCT(MAX(ROW(E5:E$472)*(E476=E5:E$472)))))</f>
        <v/>
      </c>
      <c r="J476" s="27" t="str">
        <f aca="true">IF(OR(E476="",E476="!!!",F476="NEW"),"",COUNTBLANK(OFFSET(A$1,,,SUMPRODUCT(MAX(ROW(E$2:E476)*(E476=E$2:E476)))))-COUNTBLANK(OFFSET(A$1,,,SUMPRODUCT(MAX(ROW(E$1:E475)*(E2=E$1:E475))))))</f>
        <v/>
      </c>
      <c r="K476" s="27" t="str">
        <f aca="false">IF(OR(E476="",E476="!!!",F476="NEW"),"",INDEX(J$1:J475,SUMPRODUCT(MAX(ROW(E$1:E475)*(E476=E$1:E475)))))</f>
        <v/>
      </c>
      <c r="L476" s="28"/>
    </row>
    <row r="477" customFormat="false" ht="15" hidden="false" customHeight="false" outlineLevel="0" collapsed="false">
      <c r="A477" s="21" t="s">
        <v>486</v>
      </c>
      <c r="E477" s="25"/>
      <c r="F477" s="26" t="str">
        <f aca="false">IF(OR(E477="",E477="!!!"),"",IF(NOT(ISNA(VLOOKUP(E477,E$1:E476,1,FALSE()))),"OLD",IF(AND(E477&lt;&gt;"",E477&lt;&gt;"!!!"),"NEW","")))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7" t="str">
        <f aca="false">IF(OR(E477="",E477="!!!",F477="NEW"),"",INDEX(B6:B$472,-1+SUMPRODUCT(MAX(ROW(E6:E$472)*(E477=E6:E$472)))))</f>
        <v/>
      </c>
      <c r="J477" s="27" t="str">
        <f aca="true">IF(OR(E477="",E477="!!!",F477="NEW"),"",COUNTBLANK(OFFSET(A$1,,,SUMPRODUCT(MAX(ROW(E$2:E477)*(E477=E$2:E477)))))-COUNTBLANK(OFFSET(A$1,,,SUMPRODUCT(MAX(ROW(E$1:E476)*(E2=E$1:E476))))))</f>
        <v/>
      </c>
      <c r="K477" s="27" t="str">
        <f aca="false">IF(OR(E477="",E477="!!!",F477="NEW"),"",INDEX(J$1:J476,SUMPRODUCT(MAX(ROW(E$1:E476)*(E477=E$1:E476)))))</f>
        <v/>
      </c>
      <c r="L477" s="28"/>
    </row>
    <row r="478" customFormat="false" ht="15" hidden="false" customHeight="false" outlineLevel="0" collapsed="false">
      <c r="A478" s="21" t="s">
        <v>165</v>
      </c>
      <c r="E478" s="25"/>
      <c r="F478" s="26" t="str">
        <f aca="false">IF(OR(E478="",E478="!!!"),"",IF(NOT(ISNA(VLOOKUP(E478,E$1:E477,1,FALSE()))),"OLD",IF(AND(E478&lt;&gt;"",E478&lt;&gt;"!!!"),"NEW","")))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7" t="str">
        <f aca="false">IF(OR(E478="",E478="!!!",F478="NEW"),"",INDEX(B7:B$472,-1+SUMPRODUCT(MAX(ROW(E7:E$472)*(E478=E7:E$472)))))</f>
        <v/>
      </c>
      <c r="J478" s="27" t="str">
        <f aca="true">IF(OR(E478="",E478="!!!",F478="NEW"),"",COUNTBLANK(OFFSET(A$1,,,SUMPRODUCT(MAX(ROW(E$2:E478)*(E478=E$2:E478)))))-COUNTBLANK(OFFSET(A$1,,,SUMPRODUCT(MAX(ROW(E$1:E477)*(E2=E$1:E477))))))</f>
        <v/>
      </c>
      <c r="K478" s="27" t="str">
        <f aca="false">IF(OR(E478="",E478="!!!",F478="NEW"),"",INDEX(J$1:J477,SUMPRODUCT(MAX(ROW(E$1:E477)*(E478=E$1:E477)))))</f>
        <v/>
      </c>
      <c r="L478" s="28"/>
    </row>
    <row r="479" customFormat="false" ht="15" hidden="false" customHeight="false" outlineLevel="0" collapsed="false">
      <c r="A479" s="21" t="s">
        <v>169</v>
      </c>
      <c r="E479" s="25"/>
      <c r="F479" s="26" t="str">
        <f aca="false">IF(OR(E479="",E479="!!!"),"",IF(NOT(ISNA(VLOOKUP(E479,E$1:E478,1,FALSE()))),"OLD",IF(AND(E479&lt;&gt;"",E479&lt;&gt;"!!!"),"NEW","")))</f>
        <v/>
      </c>
      <c r="G479" s="22" t="str">
        <f aca="false">IF(OR(E479="",E479="!!!"),"",IF(OR(J479=0,AND(J479=1,K479=1),AND(J479=1,I479="SBJ"),AND(J479=1,I479=0)),"?IN_FOCUS",IF(J479&lt;=2,"?ACTIVATED",IF(J479&lt;&gt;"","?FAMILIAR",IF(F479="NEW",IF(ISNA(VLOOKUP(E479,#REF!,1,FALSE())),"?TYPE_IDENTIFIABLE","?REFERENTIAL"),"_")))))</f>
        <v/>
      </c>
      <c r="H479" s="23" t="str">
        <f aca="false">IF(J479&lt;&gt;1,"",IF(I479="SBJ","CB","?"))</f>
        <v/>
      </c>
      <c r="I479" s="27" t="str">
        <f aca="false">IF(OR(E479="",E479="!!!",F479="NEW"),"",INDEX(B8:B$472,-1+SUMPRODUCT(MAX(ROW(E8:E$472)*(E479=E8:E$472)))))</f>
        <v/>
      </c>
      <c r="J479" s="27" t="str">
        <f aca="true">IF(OR(E479="",E479="!!!",F479="NEW"),"",COUNTBLANK(OFFSET(A$1,,,SUMPRODUCT(MAX(ROW(E$2:E479)*(E479=E$2:E479)))))-COUNTBLANK(OFFSET(A$1,,,SUMPRODUCT(MAX(ROW(E$1:E478)*(E2=E$1:E478))))))</f>
        <v/>
      </c>
      <c r="K479" s="27" t="str">
        <f aca="false">IF(OR(E479="",E479="!!!",F479="NEW"),"",INDEX(J$1:J478,SUMPRODUCT(MAX(ROW(E$1:E478)*(E479=E$1:E478)))))</f>
        <v/>
      </c>
      <c r="L479" s="28"/>
    </row>
    <row r="480" customFormat="false" ht="15" hidden="false" customHeight="false" outlineLevel="0" collapsed="false">
      <c r="A480" s="21" t="s">
        <v>487</v>
      </c>
      <c r="B480" s="29" t="s">
        <v>153</v>
      </c>
      <c r="C480" s="29" t="s">
        <v>171</v>
      </c>
      <c r="D480" s="29" t="s">
        <v>159</v>
      </c>
      <c r="E480" s="25" t="s">
        <v>488</v>
      </c>
      <c r="F480" s="30" t="str">
        <f aca="false">IF(OR(E480="",E480="!!!"),"",IF(NOT(ISNA(VLOOKUP(E480,E$1:E479,1,FALSE()))),"OLD",IF(AND(E480&lt;&gt;"",E480&lt;&gt;"!!!"),"NEW","")))</f>
        <v>NEW</v>
      </c>
      <c r="G480" s="22" t="s">
        <v>160</v>
      </c>
      <c r="H480" s="23" t="str">
        <f aca="false">IF(J480&lt;&gt;1,"",IF(I480="SBJ","CB","?"))</f>
        <v/>
      </c>
      <c r="I480" s="31" t="str">
        <f aca="false">IF(OR(E480="",E480="!!!",F480="NEW"),"",INDEX(B9:B$472,-1+SUMPRODUCT(MAX(ROW(E9:E$472)*(E480=E9:E$472)))))</f>
        <v/>
      </c>
      <c r="J480" s="31" t="str">
        <f aca="true">IF(OR(E480="",E480="!!!",F480="NEW"),"",COUNTBLANK(OFFSET(A$1,,,SUMPRODUCT(MAX(ROW(E$2:E480)*(E480=E$2:E480)))))-COUNTBLANK(OFFSET(A$1,,,SUMPRODUCT(MAX(ROW(E$1:E479)*(E2=E$1:E479))))))</f>
        <v/>
      </c>
      <c r="K480" s="31" t="str">
        <f aca="false">IF(OR(E480="",E480="!!!",F480="NEW"),"",INDEX(J$1:J479,SUMPRODUCT(MAX(ROW(E$1:E479)*(E480=E$1:E479)))))</f>
        <v/>
      </c>
      <c r="L480" s="28"/>
    </row>
    <row r="481" customFormat="false" ht="15" hidden="false" customHeight="false" outlineLevel="0" collapsed="false">
      <c r="A481" s="21" t="s">
        <v>165</v>
      </c>
      <c r="E481" s="25"/>
      <c r="F481" s="26" t="str">
        <f aca="false">IF(OR(E481="",E481="!!!"),"",IF(NOT(ISNA(VLOOKUP(E481,E$1:E480,1,FALSE()))),"OLD",IF(AND(E481&lt;&gt;"",E481&lt;&gt;"!!!"),"NEW","")))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7" t="str">
        <f aca="false">IF(OR(E481="",E481="!!!",F481="NEW"),"",INDEX(B10:B$472,-1+SUMPRODUCT(MAX(ROW(E10:E$472)*(E481=E10:E$472)))))</f>
        <v/>
      </c>
      <c r="J481" s="27" t="str">
        <f aca="true">IF(OR(E481="",E481="!!!",F481="NEW"),"",COUNTBLANK(OFFSET(A$1,,,SUMPRODUCT(MAX(ROW(E$2:E481)*(E481=E$2:E481)))))-COUNTBLANK(OFFSET(A$1,,,SUMPRODUCT(MAX(ROW(E$1:E480)*(E2=E$1:E480))))))</f>
        <v/>
      </c>
      <c r="K481" s="27" t="str">
        <f aca="false">IF(OR(E481="",E481="!!!",F481="NEW"),"",INDEX(J$1:J480,SUMPRODUCT(MAX(ROW(E$1:E480)*(E481=E$1:E480)))))</f>
        <v/>
      </c>
      <c r="L481" s="28"/>
    </row>
    <row r="482" customFormat="false" ht="15" hidden="false" customHeight="false" outlineLevel="0" collapsed="false">
      <c r="A482" s="21" t="s">
        <v>489</v>
      </c>
      <c r="B482" s="29" t="s">
        <v>190</v>
      </c>
      <c r="C482" s="29" t="s">
        <v>490</v>
      </c>
      <c r="E482" s="25"/>
      <c r="F482" s="26" t="str">
        <f aca="false">IF(OR(E482="",E482="!!!"),"",IF(NOT(ISNA(VLOOKUP(E482,E$1:E481,1,FALSE()))),"OLD",IF(AND(E482&lt;&gt;"",E482&lt;&gt;"!!!"),"NEW","")))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7" t="str">
        <f aca="false">IF(OR(E482="",E482="!!!",F482="NEW"),"",INDEX(B11:B$472,-1+SUMPRODUCT(MAX(ROW(E11:E$472)*(E482=E11:E$472)))))</f>
        <v/>
      </c>
      <c r="J482" s="27" t="str">
        <f aca="true">IF(OR(E482="",E482="!!!",F482="NEW"),"",COUNTBLANK(OFFSET(A$1,,,SUMPRODUCT(MAX(ROW(E$2:E482)*(E482=E$2:E482)))))-COUNTBLANK(OFFSET(A$1,,,SUMPRODUCT(MAX(ROW(E$1:E481)*(E2=E$1:E481))))))</f>
        <v/>
      </c>
      <c r="K482" s="27" t="str">
        <f aca="false">IF(OR(E482="",E482="!!!",F482="NEW"),"",INDEX(J$1:J481,SUMPRODUCT(MAX(ROW(E$1:E481)*(E482=E$1:E481)))))</f>
        <v/>
      </c>
      <c r="L482" s="28"/>
    </row>
    <row r="483" customFormat="false" ht="15" hidden="false" customHeight="false" outlineLevel="0" collapsed="false">
      <c r="A483" s="21" t="s">
        <v>375</v>
      </c>
      <c r="B483" s="29" t="s">
        <v>226</v>
      </c>
      <c r="C483" s="29" t="s">
        <v>181</v>
      </c>
      <c r="D483" s="29" t="s">
        <v>159</v>
      </c>
      <c r="E483" s="25" t="s">
        <v>395</v>
      </c>
      <c r="F483" s="30" t="str">
        <f aca="false">IF(OR(E483="",E483="!!!"),"",IF(NOT(ISNA(VLOOKUP(E483,E$1:E482,1,FALSE()))),"OLD",IF(AND(E483&lt;&gt;"",E483&lt;&gt;"!!!"),"NEW","")))</f>
        <v>OLD</v>
      </c>
      <c r="G483" s="22" t="s">
        <v>186</v>
      </c>
      <c r="H483" s="23" t="str">
        <f aca="false">IF(J483&lt;&gt;1,"",IF(I483="SBJ","CB","?"))</f>
        <v/>
      </c>
      <c r="I483" s="31" t="str">
        <f aca="false">IF(OR(E483="",E483="!!!",F483="NEW"),"",INDEX(B12:B$472,-1+SUMPRODUCT(MAX(ROW(E12:E$472)*(E483=E12:E$472)))))</f>
        <v>other</v>
      </c>
      <c r="J483" s="31" t="n">
        <f aca="true">IF(OR(E483="",E483="!!!",F483="NEW"),"",COUNTBLANK(OFFSET(A$1,,,SUMPRODUCT(MAX(ROW(E$2:E483)*(E483=E$2:E483)))))-COUNTBLANK(OFFSET(A$1,,,SUMPRODUCT(MAX(ROW(E$1:E482)*(E2=E$1:E482))))))</f>
        <v>0</v>
      </c>
      <c r="K483" s="31" t="n">
        <f aca="false">IF(OR(E483="",E483="!!!",F483="NEW"),"",INDEX(J$1:J482,SUMPRODUCT(MAX(ROW(E$1:E482)*(E483=E$1:E482)))))</f>
        <v>0</v>
      </c>
      <c r="L483" s="28"/>
    </row>
    <row r="484" customFormat="false" ht="15" hidden="false" customHeight="false" outlineLevel="0" collapsed="false">
      <c r="A484" s="21" t="s">
        <v>474</v>
      </c>
      <c r="E484" s="25"/>
      <c r="F484" s="26" t="str">
        <f aca="false">IF(OR(E484="",E484="!!!"),"",IF(NOT(ISNA(VLOOKUP(E484,E$1:E483,1,FALSE()))),"OLD",IF(AND(E484&lt;&gt;"",E484&lt;&gt;"!!!"),"NEW","")))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7" t="str">
        <f aca="false">IF(OR(E484="",E484="!!!",F484="NEW"),"",INDEX(B13:B$472,-1+SUMPRODUCT(MAX(ROW(E13:E$472)*(E484=E13:E$472)))))</f>
        <v/>
      </c>
      <c r="J484" s="27" t="str">
        <f aca="true">IF(OR(E484="",E484="!!!",F484="NEW"),"",COUNTBLANK(OFFSET(A$1,,,SUMPRODUCT(MAX(ROW(E$2:E484)*(E484=E$2:E484)))))-COUNTBLANK(OFFSET(A$1,,,SUMPRODUCT(MAX(ROW(E$1:E483)*(E2=E$1:E483))))))</f>
        <v/>
      </c>
      <c r="K484" s="27" t="str">
        <f aca="false">IF(OR(E484="",E484="!!!",F484="NEW"),"",INDEX(J$1:J483,SUMPRODUCT(MAX(ROW(E$1:E483)*(E484=E$1:E483)))))</f>
        <v/>
      </c>
      <c r="L484" s="28"/>
    </row>
    <row r="485" customFormat="false" ht="15" hidden="false" customHeight="false" outlineLevel="0" collapsed="false">
      <c r="A485" s="21" t="s">
        <v>277</v>
      </c>
      <c r="E485" s="25"/>
      <c r="F485" s="26" t="str">
        <f aca="false">IF(OR(E485="",E485="!!!"),"",IF(NOT(ISNA(VLOOKUP(E485,E$1:E484,1,FALSE()))),"OLD",IF(AND(E485&lt;&gt;"",E485&lt;&gt;"!!!"),"NEW","")))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7" t="str">
        <f aca="false">IF(OR(E485="",E485="!!!",F485="NEW"),"",INDEX(B14:B$472,-1+SUMPRODUCT(MAX(ROW(E14:E$472)*(E485=E14:E$472)))))</f>
        <v/>
      </c>
      <c r="J485" s="27" t="str">
        <f aca="true">IF(OR(E485="",E485="!!!",F485="NEW"),"",COUNTBLANK(OFFSET(A$1,,,SUMPRODUCT(MAX(ROW(E$2:E485)*(E485=E$2:E485)))))-COUNTBLANK(OFFSET(A$1,,,SUMPRODUCT(MAX(ROW(E$1:E484)*(E2=E$1:E484))))))</f>
        <v/>
      </c>
      <c r="K485" s="27" t="str">
        <f aca="false">IF(OR(E485="",E485="!!!",F485="NEW"),"",INDEX(J$1:J484,SUMPRODUCT(MAX(ROW(E$1:E484)*(E485=E$1:E484)))))</f>
        <v/>
      </c>
      <c r="L485" s="28"/>
    </row>
    <row r="486" customFormat="false" ht="15" hidden="false" customHeight="false" outlineLevel="0" collapsed="false">
      <c r="A486" s="21" t="s">
        <v>175</v>
      </c>
      <c r="E486" s="25"/>
      <c r="F486" s="26" t="str">
        <f aca="false">IF(OR(E486="",E486="!!!"),"",IF(NOT(ISNA(VLOOKUP(E486,E$1:E485,1,FALSE()))),"OLD",IF(AND(E486&lt;&gt;"",E486&lt;&gt;"!!!"),"NEW","")))</f>
        <v/>
      </c>
      <c r="G486" s="22" t="str">
        <f aca="false">IF(OR(E486="",E486="!!!"),"",IF(OR(J486=0,AND(J486=1,K486=1),AND(J486=1,I486="SBJ"),AND(J486=1,I486=0)),"?IN_FOCUS",IF(J486&lt;=2,"?ACTIVATED",IF(J486&lt;&gt;"","?FAMILIAR",IF(F486="NEW",IF(ISNA(VLOOKUP(E486,#REF!,1,FALSE())),"?TYPE_IDENTIFIABLE","?REFERENTIAL"),"_")))))</f>
        <v/>
      </c>
      <c r="H486" s="23" t="str">
        <f aca="false">IF(J486&lt;&gt;1,"",IF(I486="SBJ","CB","?"))</f>
        <v/>
      </c>
      <c r="I486" s="27" t="str">
        <f aca="false">IF(OR(E486="",E486="!!!",F486="NEW"),"",INDEX(B15:B$472,-1+SUMPRODUCT(MAX(ROW(E15:E$472)*(E486=E15:E$472)))))</f>
        <v/>
      </c>
      <c r="J486" s="27" t="str">
        <f aca="true">IF(OR(E486="",E486="!!!",F486="NEW"),"",COUNTBLANK(OFFSET(A$1,,,SUMPRODUCT(MAX(ROW(E$2:E486)*(E486=E$2:E486)))))-COUNTBLANK(OFFSET(A$1,,,SUMPRODUCT(MAX(ROW(E$1:E485)*(E2=E$1:E485))))))</f>
        <v/>
      </c>
      <c r="K486" s="27" t="str">
        <f aca="false">IF(OR(E486="",E486="!!!",F486="NEW"),"",INDEX(J$1:J485,SUMPRODUCT(MAX(ROW(E$1:E485)*(E486=E$1:E485)))))</f>
        <v/>
      </c>
      <c r="L486" s="28"/>
    </row>
    <row r="487" customFormat="false" ht="15" hidden="false" customHeight="false" outlineLevel="0" collapsed="false">
      <c r="A487" s="21" t="s">
        <v>491</v>
      </c>
      <c r="E487" s="25"/>
      <c r="F487" s="26" t="str">
        <f aca="false">IF(OR(E487="",E487="!!!"),"",IF(NOT(ISNA(VLOOKUP(E487,E$1:E486,1,FALSE()))),"OLD",IF(AND(E487&lt;&gt;"",E487&lt;&gt;"!!!"),"NEW","")))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7" t="str">
        <f aca="false">IF(OR(E487="",E487="!!!",F487="NEW"),"",INDEX(B16:B$472,-1+SUMPRODUCT(MAX(ROW(E16:E$472)*(E487=E16:E$472)))))</f>
        <v/>
      </c>
      <c r="J487" s="27" t="str">
        <f aca="true">IF(OR(E487="",E487="!!!",F487="NEW"),"",COUNTBLANK(OFFSET(A$1,,,SUMPRODUCT(MAX(ROW(E$2:E487)*(E487=E$2:E487)))))-COUNTBLANK(OFFSET(A$1,,,SUMPRODUCT(MAX(ROW(E$1:E486)*(E2=E$1:E486))))))</f>
        <v/>
      </c>
      <c r="K487" s="27" t="str">
        <f aca="false">IF(OR(E487="",E487="!!!",F487="NEW"),"",INDEX(J$1:J486,SUMPRODUCT(MAX(ROW(E$1:E486)*(E487=E$1:E486)))))</f>
        <v/>
      </c>
      <c r="L487" s="28"/>
    </row>
    <row r="488" customFormat="false" ht="15" hidden="false" customHeight="false" outlineLevel="0" collapsed="false">
      <c r="A488" s="21" t="s">
        <v>492</v>
      </c>
      <c r="E488" s="25"/>
      <c r="F488" s="26" t="str">
        <f aca="false">IF(OR(E488="",E488="!!!"),"",IF(NOT(ISNA(VLOOKUP(E488,E$1:E487,1,FALSE()))),"OLD",IF(AND(E488&lt;&gt;"",E488&lt;&gt;"!!!"),"NEW","")))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7" t="str">
        <f aca="false">IF(OR(E488="",E488="!!!",F488="NEW"),"",INDEX(B17:B$472,-1+SUMPRODUCT(MAX(ROW(E17:E$472)*(E488=E17:E$472)))))</f>
        <v/>
      </c>
      <c r="J488" s="27" t="str">
        <f aca="true">IF(OR(E488="",E488="!!!",F488="NEW"),"",COUNTBLANK(OFFSET(A$1,,,SUMPRODUCT(MAX(ROW(E$2:E488)*(E488=E$2:E488)))))-COUNTBLANK(OFFSET(A$1,,,SUMPRODUCT(MAX(ROW(E$1:E487)*(E2=E$1:E487))))))</f>
        <v/>
      </c>
      <c r="K488" s="27" t="str">
        <f aca="false">IF(OR(E488="",E488="!!!",F488="NEW"),"",INDEX(J$1:J487,SUMPRODUCT(MAX(ROW(E$1:E487)*(E488=E$1:E487)))))</f>
        <v/>
      </c>
      <c r="L488" s="28"/>
    </row>
    <row r="489" customFormat="false" ht="15" hidden="false" customHeight="false" outlineLevel="0" collapsed="false">
      <c r="A489" s="21" t="s">
        <v>451</v>
      </c>
      <c r="B489" s="29" t="s">
        <v>216</v>
      </c>
      <c r="C489" s="29" t="s">
        <v>164</v>
      </c>
      <c r="E489" s="25"/>
      <c r="F489" s="26" t="str">
        <f aca="false">IF(OR(E489="",E489="!!!"),"",IF(NOT(ISNA(VLOOKUP(E489,E$1:E488,1,FALSE()))),"OLD",IF(AND(E489&lt;&gt;"",E489&lt;&gt;"!!!"),"NEW","")))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7" t="str">
        <f aca="false">IF(OR(E489="",E489="!!!",F489="NEW"),"",INDEX(B18:B$472,-1+SUMPRODUCT(MAX(ROW(E18:E$472)*(E489=E18:E$472)))))</f>
        <v/>
      </c>
      <c r="J489" s="27" t="str">
        <f aca="true">IF(OR(E489="",E489="!!!",F489="NEW"),"",COUNTBLANK(OFFSET(A$1,,,SUMPRODUCT(MAX(ROW(E$2:E489)*(E489=E$2:E489)))))-COUNTBLANK(OFFSET(A$1,,,SUMPRODUCT(MAX(ROW(E$1:E488)*(E2=E$1:E488))))))</f>
        <v/>
      </c>
      <c r="K489" s="27" t="str">
        <f aca="false">IF(OR(E489="",E489="!!!",F489="NEW"),"",INDEX(J$1:J488,SUMPRODUCT(MAX(ROW(E$1:E488)*(E489=E$1:E488)))))</f>
        <v/>
      </c>
      <c r="L489" s="28"/>
    </row>
    <row r="490" customFormat="false" ht="15" hidden="false" customHeight="false" outlineLevel="0" collapsed="false">
      <c r="A490" s="21" t="s">
        <v>285</v>
      </c>
      <c r="E490" s="25"/>
      <c r="F490" s="26" t="str">
        <f aca="false">IF(OR(E490="",E490="!!!"),"",IF(NOT(ISNA(VLOOKUP(E490,E$1:E489,1,FALSE()))),"OLD",IF(AND(E490&lt;&gt;"",E490&lt;&gt;"!!!"),"NEW","")))</f>
        <v/>
      </c>
      <c r="G490" s="22" t="str">
        <f aca="false">IF(OR(E490="",E490="!!!"),"",IF(OR(J490=0,AND(J490=1,K490=1),AND(J490=1,I490="SBJ"),AND(J490=1,I490=0)),"?IN_FOCUS",IF(J490&lt;=2,"?ACTIVATED",IF(J490&lt;&gt;"","?FAMILIAR",IF(F490="NEW",IF(ISNA(VLOOKUP(E490,#REF!,1,FALSE())),"?TYPE_IDENTIFIABLE","?REFERENTIAL"),"_")))))</f>
        <v/>
      </c>
      <c r="H490" s="23" t="str">
        <f aca="false">IF(J490&lt;&gt;1,"",IF(I490="SBJ","CB","?"))</f>
        <v/>
      </c>
      <c r="I490" s="27" t="str">
        <f aca="false">IF(OR(E490="",E490="!!!",F490="NEW"),"",INDEX(B19:B$472,-1+SUMPRODUCT(MAX(ROW(E19:E$472)*(E490=E19:E$472)))))</f>
        <v/>
      </c>
      <c r="J490" s="27" t="str">
        <f aca="true">IF(OR(E490="",E490="!!!",F490="NEW"),"",COUNTBLANK(OFFSET(A$1,,,SUMPRODUCT(MAX(ROW(E$2:E490)*(E490=E$2:E490)))))-COUNTBLANK(OFFSET(A$1,,,SUMPRODUCT(MAX(ROW(E$1:E489)*(E2=E$1:E489))))))</f>
        <v/>
      </c>
      <c r="K490" s="27" t="str">
        <f aca="false">IF(OR(E490="",E490="!!!",F490="NEW"),"",INDEX(J$1:J489,SUMPRODUCT(MAX(ROW(E$1:E489)*(E490=E$1:E489)))))</f>
        <v/>
      </c>
      <c r="L490" s="28"/>
    </row>
    <row r="491" customFormat="false" ht="15" hidden="false" customHeight="false" outlineLevel="0" collapsed="false">
      <c r="A491" s="21" t="s">
        <v>493</v>
      </c>
      <c r="B491" s="29" t="s">
        <v>216</v>
      </c>
      <c r="C491" s="29" t="s">
        <v>167</v>
      </c>
      <c r="E491" s="25"/>
      <c r="F491" s="26" t="str">
        <f aca="false">IF(OR(E491="",E491="!!!"),"",IF(NOT(ISNA(VLOOKUP(E491,E$1:E490,1,FALSE()))),"OLD",IF(AND(E491&lt;&gt;"",E491&lt;&gt;"!!!"),"NEW","")))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7" t="str">
        <f aca="false">IF(OR(E491="",E491="!!!",F491="NEW"),"",INDEX(B20:B$472,-1+SUMPRODUCT(MAX(ROW(E20:E$472)*(E491=E20:E$472)))))</f>
        <v/>
      </c>
      <c r="J491" s="27" t="str">
        <f aca="true">IF(OR(E491="",E491="!!!",F491="NEW"),"",COUNTBLANK(OFFSET(A$1,,,SUMPRODUCT(MAX(ROW(E$2:E491)*(E491=E$2:E491)))))-COUNTBLANK(OFFSET(A$1,,,SUMPRODUCT(MAX(ROW(E$1:E490)*(E2=E$1:E490))))))</f>
        <v/>
      </c>
      <c r="K491" s="27" t="str">
        <f aca="false">IF(OR(E491="",E491="!!!",F491="NEW"),"",INDEX(J$1:J490,SUMPRODUCT(MAX(ROW(E$1:E490)*(E491=E$1:E490)))))</f>
        <v/>
      </c>
      <c r="L491" s="28"/>
    </row>
    <row r="492" customFormat="false" ht="15" hidden="false" customHeight="false" outlineLevel="0" collapsed="false">
      <c r="A492" s="21" t="s">
        <v>192</v>
      </c>
      <c r="E492" s="25"/>
      <c r="F492" s="26" t="str">
        <f aca="false">IF(OR(E492="",E492="!!!"),"",IF(NOT(ISNA(VLOOKUP(E492,E$1:E491,1,FALSE()))),"OLD",IF(AND(E492&lt;&gt;"",E492&lt;&gt;"!!!"),"NEW","")))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7" t="str">
        <f aca="false">IF(OR(E492="",E492="!!!",F492="NEW"),"",INDEX(B21:B$472,-1+SUMPRODUCT(MAX(ROW(E21:E$472)*(E492=E21:E$472)))))</f>
        <v/>
      </c>
      <c r="J492" s="27" t="str">
        <f aca="true">IF(OR(E492="",E492="!!!",F492="NEW"),"",COUNTBLANK(OFFSET(A$1,,,SUMPRODUCT(MAX(ROW(E$2:E492)*(E492=E$2:E492)))))-COUNTBLANK(OFFSET(A$1,,,SUMPRODUCT(MAX(ROW(E$1:E491)*(E2=E$1:E491))))))</f>
        <v/>
      </c>
      <c r="K492" s="27" t="str">
        <f aca="false">IF(OR(E492="",E492="!!!",F492="NEW"),"",INDEX(J$1:J491,SUMPRODUCT(MAX(ROW(E$1:E491)*(E492=E$1:E491)))))</f>
        <v/>
      </c>
      <c r="L492" s="28"/>
    </row>
    <row r="493" customFormat="false" ht="15" hidden="false" customHeight="false" outlineLevel="0" collapsed="false">
      <c r="A493" s="21" t="s">
        <v>494</v>
      </c>
      <c r="E493" s="25"/>
      <c r="F493" s="26" t="str">
        <f aca="false">IF(OR(E493="",E493="!!!"),"",IF(NOT(ISNA(VLOOKUP(E493,E$1:E492,1,FALSE()))),"OLD",IF(AND(E493&lt;&gt;"",E493&lt;&gt;"!!!"),"NEW","")))</f>
        <v/>
      </c>
      <c r="G493" s="22" t="str">
        <f aca="false">IF(OR(E493="",E493="!!!"),"",IF(OR(J493=0,AND(J493=1,K493=1),AND(J493=1,I493="SBJ"),AND(J493=1,I493=0)),"?IN_FOCUS",IF(J493&lt;=2,"?ACTIVATED",IF(J493&lt;&gt;"","?FAMILIAR",IF(F493="NEW",IF(ISNA(VLOOKUP(E493,#REF!,1,FALSE())),"?TYPE_IDENTIFIABLE","?REFERENTIAL"),"_")))))</f>
        <v/>
      </c>
      <c r="H493" s="23" t="str">
        <f aca="false">IF(J493&lt;&gt;1,"",IF(I493="SBJ","CB","?"))</f>
        <v/>
      </c>
      <c r="I493" s="27" t="str">
        <f aca="false">IF(OR(E493="",E493="!!!",F493="NEW"),"",INDEX(B22:B$472,-1+SUMPRODUCT(MAX(ROW(E22:E$472)*(E493=E22:E$472)))))</f>
        <v/>
      </c>
      <c r="J493" s="27" t="str">
        <f aca="true">IF(OR(E493="",E493="!!!",F493="NEW"),"",COUNTBLANK(OFFSET(A$1,,,SUMPRODUCT(MAX(ROW(E$2:E493)*(E493=E$2:E493)))))-COUNTBLANK(OFFSET(A$1,,,SUMPRODUCT(MAX(ROW(E$1:E492)*(E2=E$1:E492))))))</f>
        <v/>
      </c>
      <c r="K493" s="27" t="str">
        <f aca="false">IF(OR(E493="",E493="!!!",F493="NEW"),"",INDEX(J$1:J492,SUMPRODUCT(MAX(ROW(E$1:E492)*(E493=E$1:E492)))))</f>
        <v/>
      </c>
      <c r="L493" s="28"/>
    </row>
    <row r="494" customFormat="false" ht="15" hidden="false" customHeight="false" outlineLevel="0" collapsed="false">
      <c r="A494" s="21" t="s">
        <v>356</v>
      </c>
      <c r="E494" s="25"/>
      <c r="F494" s="26" t="str">
        <f aca="false">IF(OR(E494="",E494="!!!"),"",IF(NOT(ISNA(VLOOKUP(E494,E$1:E493,1,FALSE()))),"OLD",IF(AND(E494&lt;&gt;"",E494&lt;&gt;"!!!"),"NEW","")))</f>
        <v/>
      </c>
      <c r="G494" s="22" t="str">
        <f aca="false">IF(OR(E494="",E494="!!!"),"",IF(OR(J494=0,AND(J494=1,K494=1),AND(J494=1,I494="SBJ"),AND(J494=1,I494=0)),"?IN_FOCUS",IF(J494&lt;=2,"?ACTIVATED",IF(J494&lt;&gt;"","?FAMILIAR",IF(F494="NEW",IF(ISNA(VLOOKUP(E494,#REF!,1,FALSE())),"?TYPE_IDENTIFIABLE","?REFERENTIAL"),"_")))))</f>
        <v/>
      </c>
      <c r="H494" s="23" t="str">
        <f aca="false">IF(J494&lt;&gt;1,"",IF(I494="SBJ","CB","?"))</f>
        <v/>
      </c>
      <c r="I494" s="27" t="str">
        <f aca="false">IF(OR(E494="",E494="!!!",F494="NEW"),"",INDEX(B23:B$472,-1+SUMPRODUCT(MAX(ROW(E23:E$472)*(E494=E23:E$472)))))</f>
        <v/>
      </c>
      <c r="J494" s="27" t="str">
        <f aca="true">IF(OR(E494="",E494="!!!",F494="NEW"),"",COUNTBLANK(OFFSET(A$1,,,SUMPRODUCT(MAX(ROW(E$2:E494)*(E494=E$2:E494)))))-COUNTBLANK(OFFSET(A$1,,,SUMPRODUCT(MAX(ROW(E$1:E493)*(E2=E$1:E493))))))</f>
        <v/>
      </c>
      <c r="K494" s="27" t="str">
        <f aca="false">IF(OR(E494="",E494="!!!",F494="NEW"),"",INDEX(J$1:J493,SUMPRODUCT(MAX(ROW(E$1:E493)*(E494=E$1:E493)))))</f>
        <v/>
      </c>
      <c r="L494" s="28"/>
    </row>
    <row r="495" customFormat="false" ht="15" hidden="false" customHeight="false" outlineLevel="0" collapsed="false">
      <c r="A495" s="21" t="s">
        <v>495</v>
      </c>
      <c r="E495" s="25"/>
      <c r="F495" s="26" t="str">
        <f aca="false">IF(OR(E495="",E495="!!!"),"",IF(NOT(ISNA(VLOOKUP(E495,E$1:E494,1,FALSE()))),"OLD",IF(AND(E495&lt;&gt;"",E495&lt;&gt;"!!!"),"NEW","")))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7" t="str">
        <f aca="false">IF(OR(E495="",E495="!!!",F495="NEW"),"",INDEX(B24:B$472,-1+SUMPRODUCT(MAX(ROW(E24:E$472)*(E495=E24:E$472)))))</f>
        <v/>
      </c>
      <c r="J495" s="27" t="str">
        <f aca="true">IF(OR(E495="",E495="!!!",F495="NEW"),"",COUNTBLANK(OFFSET(A$1,,,SUMPRODUCT(MAX(ROW(E$2:E495)*(E495=E$2:E495)))))-COUNTBLANK(OFFSET(A$1,,,SUMPRODUCT(MAX(ROW(E$1:E494)*(E2=E$1:E494))))))</f>
        <v/>
      </c>
      <c r="K495" s="27" t="str">
        <f aca="false">IF(OR(E495="",E495="!!!",F495="NEW"),"",INDEX(J$1:J494,SUMPRODUCT(MAX(ROW(E$1:E494)*(E495=E$1:E494)))))</f>
        <v/>
      </c>
      <c r="L495" s="28"/>
    </row>
    <row r="496" customFormat="false" ht="15" hidden="false" customHeight="false" outlineLevel="0" collapsed="false">
      <c r="A496" s="21" t="s">
        <v>454</v>
      </c>
      <c r="B496" s="29" t="s">
        <v>216</v>
      </c>
      <c r="C496" s="29" t="s">
        <v>164</v>
      </c>
      <c r="E496" s="25"/>
      <c r="F496" s="26" t="str">
        <f aca="false">IF(OR(E496="",E496="!!!"),"",IF(NOT(ISNA(VLOOKUP(E496,E$1:E495,1,FALSE()))),"OLD",IF(AND(E496&lt;&gt;"",E496&lt;&gt;"!!!"),"NEW","")))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7" t="str">
        <f aca="false">IF(OR(E496="",E496="!!!",F496="NEW"),"",INDEX(B25:B$472,-1+SUMPRODUCT(MAX(ROW(E25:E$472)*(E496=E25:E$472)))))</f>
        <v/>
      </c>
      <c r="J496" s="27" t="str">
        <f aca="true">IF(OR(E496="",E496="!!!",F496="NEW"),"",COUNTBLANK(OFFSET(A$1,,,SUMPRODUCT(MAX(ROW(E$2:E496)*(E496=E$2:E496)))))-COUNTBLANK(OFFSET(A$1,,,SUMPRODUCT(MAX(ROW(E$1:E495)*(E2=E$1:E495))))))</f>
        <v/>
      </c>
      <c r="K496" s="27" t="str">
        <f aca="false">IF(OR(E496="",E496="!!!",F496="NEW"),"",INDEX(J$1:J495,SUMPRODUCT(MAX(ROW(E$1:E495)*(E496=E$1:E495)))))</f>
        <v/>
      </c>
      <c r="L496" s="28"/>
    </row>
    <row r="497" customFormat="false" ht="15" hidden="false" customHeight="false" outlineLevel="0" collapsed="false">
      <c r="A497" s="21" t="s">
        <v>494</v>
      </c>
      <c r="E497" s="25"/>
      <c r="F497" s="26" t="str">
        <f aca="false">IF(OR(E497="",E497="!!!"),"",IF(NOT(ISNA(VLOOKUP(E497,E$1:E496,1,FALSE()))),"OLD",IF(AND(E497&lt;&gt;"",E497&lt;&gt;"!!!"),"NEW","")))</f>
        <v/>
      </c>
      <c r="G497" s="22" t="str">
        <f aca="false">IF(OR(E497="",E497="!!!"),"",IF(OR(J497=0,AND(J497=1,K497=1),AND(J497=1,I497="SBJ"),AND(J497=1,I497=0)),"?IN_FOCUS",IF(J497&lt;=2,"?ACTIVATED",IF(J497&lt;&gt;"","?FAMILIAR",IF(F497="NEW",IF(ISNA(VLOOKUP(E497,#REF!,1,FALSE())),"?TYPE_IDENTIFIABLE","?REFERENTIAL"),"_")))))</f>
        <v/>
      </c>
      <c r="H497" s="23" t="str">
        <f aca="false">IF(J497&lt;&gt;1,"",IF(I497="SBJ","CB","?"))</f>
        <v/>
      </c>
      <c r="I497" s="27" t="str">
        <f aca="false">IF(OR(E497="",E497="!!!",F497="NEW"),"",INDEX(B26:B$472,-1+SUMPRODUCT(MAX(ROW(E26:E$472)*(E497=E26:E$472)))))</f>
        <v/>
      </c>
      <c r="J497" s="27" t="str">
        <f aca="true">IF(OR(E497="",E497="!!!",F497="NEW"),"",COUNTBLANK(OFFSET(A$1,,,SUMPRODUCT(MAX(ROW(E$2:E497)*(E497=E$2:E497)))))-COUNTBLANK(OFFSET(A$1,,,SUMPRODUCT(MAX(ROW(E$1:E496)*(E2=E$1:E496))))))</f>
        <v/>
      </c>
      <c r="K497" s="27" t="str">
        <f aca="false">IF(OR(E497="",E497="!!!",F497="NEW"),"",INDEX(J$1:J496,SUMPRODUCT(MAX(ROW(E$1:E496)*(E497=E$1:E496)))))</f>
        <v/>
      </c>
      <c r="L497" s="28"/>
    </row>
    <row r="498" customFormat="false" ht="15" hidden="false" customHeight="false" outlineLevel="0" collapsed="false">
      <c r="A498" s="21" t="s">
        <v>169</v>
      </c>
      <c r="E498" s="25"/>
      <c r="F498" s="26" t="str">
        <f aca="false">IF(OR(E498="",E498="!!!"),"",IF(NOT(ISNA(VLOOKUP(E498,E$1:E497,1,FALSE()))),"OLD",IF(AND(E498&lt;&gt;"",E498&lt;&gt;"!!!"),"NEW","")))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7" t="str">
        <f aca="false">IF(OR(E498="",E498="!!!",F498="NEW"),"",INDEX(B27:B$472,-1+SUMPRODUCT(MAX(ROW(E27:E$472)*(E498=E27:E$472)))))</f>
        <v/>
      </c>
      <c r="J498" s="27" t="str">
        <f aca="true">IF(OR(E498="",E498="!!!",F498="NEW"),"",COUNTBLANK(OFFSET(A$1,,,SUMPRODUCT(MAX(ROW(E$2:E498)*(E498=E$2:E498)))))-COUNTBLANK(OFFSET(A$1,,,SUMPRODUCT(MAX(ROW(E$1:E497)*(E2=E$1:E497))))))</f>
        <v/>
      </c>
      <c r="K498" s="27" t="str">
        <f aca="false">IF(OR(E498="",E498="!!!",F498="NEW"),"",INDEX(J$1:J497,SUMPRODUCT(MAX(ROW(E$1:E497)*(E498=E$1:E497)))))</f>
        <v/>
      </c>
      <c r="L498" s="28"/>
    </row>
    <row r="499" customFormat="false" ht="15" hidden="false" customHeight="false" outlineLevel="0" collapsed="false">
      <c r="A499" s="21" t="s">
        <v>440</v>
      </c>
      <c r="E499" s="25"/>
      <c r="F499" s="26" t="str">
        <f aca="false">IF(OR(E499="",E499="!!!"),"",IF(NOT(ISNA(VLOOKUP(E499,E$1:E498,1,FALSE()))),"OLD",IF(AND(E499&lt;&gt;"",E499&lt;&gt;"!!!"),"NEW","")))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7" t="str">
        <f aca="false">IF(OR(E499="",E499="!!!",F499="NEW"),"",INDEX(B28:B$472,-1+SUMPRODUCT(MAX(ROW(E28:E$472)*(E499=E28:E$472)))))</f>
        <v/>
      </c>
      <c r="J499" s="27" t="str">
        <f aca="true">IF(OR(E499="",E499="!!!",F499="NEW"),"",COUNTBLANK(OFFSET(A$1,,,SUMPRODUCT(MAX(ROW(E$2:E499)*(E499=E$2:E499)))))-COUNTBLANK(OFFSET(A$1,,,SUMPRODUCT(MAX(ROW(E$1:E498)*(E2=E$1:E498))))))</f>
        <v/>
      </c>
      <c r="K499" s="27" t="str">
        <f aca="false">IF(OR(E499="",E499="!!!",F499="NEW"),"",INDEX(J$1:J498,SUMPRODUCT(MAX(ROW(E$1:E498)*(E499=E$1:E498)))))</f>
        <v/>
      </c>
      <c r="L499" s="28"/>
    </row>
    <row r="500" customFormat="false" ht="15" hidden="false" customHeight="false" outlineLevel="0" collapsed="false">
      <c r="A500" s="21" t="s">
        <v>324</v>
      </c>
      <c r="E500" s="25"/>
      <c r="F500" s="26" t="str">
        <f aca="false">IF(OR(E500="",E500="!!!"),"",IF(NOT(ISNA(VLOOKUP(E500,E$1:E499,1,FALSE()))),"OLD",IF(AND(E500&lt;&gt;"",E500&lt;&gt;"!!!"),"NEW","")))</f>
        <v/>
      </c>
      <c r="G500" s="22" t="str">
        <f aca="false">IF(OR(E500="",E500="!!!"),"",IF(OR(J500=0,AND(J500=1,K500=1),AND(J500=1,I500="SBJ"),AND(J500=1,I500=0)),"?IN_FOCUS",IF(J500&lt;=2,"?ACTIVATED",IF(J500&lt;&gt;"","?FAMILIAR",IF(F500="NEW",IF(ISNA(VLOOKUP(E500,#REF!,1,FALSE())),"?TYPE_IDENTIFIABLE","?REFERENTIAL"),"_")))))</f>
        <v/>
      </c>
      <c r="H500" s="23" t="str">
        <f aca="false">IF(J500&lt;&gt;1,"",IF(I500="SBJ","CB","?"))</f>
        <v/>
      </c>
      <c r="I500" s="27" t="str">
        <f aca="false">IF(OR(E500="",E500="!!!",F500="NEW"),"",INDEX(B29:B$472,-1+SUMPRODUCT(MAX(ROW(E29:E$472)*(E500=E29:E$472)))))</f>
        <v/>
      </c>
      <c r="J500" s="27" t="str">
        <f aca="true">IF(OR(E500="",E500="!!!",F500="NEW"),"",COUNTBLANK(OFFSET(A$1,,,SUMPRODUCT(MAX(ROW(E$2:E500)*(E500=E$2:E500)))))-COUNTBLANK(OFFSET(A$1,,,SUMPRODUCT(MAX(ROW(E$1:E499)*(E2=E$1:E499))))))</f>
        <v/>
      </c>
      <c r="K500" s="27" t="str">
        <f aca="false">IF(OR(E500="",E500="!!!",F500="NEW"),"",INDEX(J$1:J499,SUMPRODUCT(MAX(ROW(E$1:E499)*(E500=E$1:E499)))))</f>
        <v/>
      </c>
      <c r="L500" s="28"/>
    </row>
    <row r="501" customFormat="false" ht="15" hidden="false" customHeight="false" outlineLevel="0" collapsed="false">
      <c r="A501" s="21" t="s">
        <v>320</v>
      </c>
      <c r="B501" s="29" t="s">
        <v>232</v>
      </c>
      <c r="C501" s="29" t="s">
        <v>171</v>
      </c>
      <c r="D501" s="29" t="s">
        <v>159</v>
      </c>
      <c r="E501" s="25" t="s">
        <v>496</v>
      </c>
      <c r="F501" s="30" t="str">
        <f aca="false">IF(OR(E501="",E501="!!!"),"",IF(NOT(ISNA(VLOOKUP(E501,E$1:E500,1,FALSE()))),"OLD",IF(AND(E501&lt;&gt;"",E501&lt;&gt;"!!!"),"NEW","")))</f>
        <v>NEW</v>
      </c>
      <c r="G501" s="22" t="s">
        <v>160</v>
      </c>
      <c r="H501" s="23" t="str">
        <f aca="false">IF(J501&lt;&gt;1,"",IF(I501="SBJ","CB","?"))</f>
        <v/>
      </c>
      <c r="I501" s="31" t="str">
        <f aca="false">IF(OR(E501="",E501="!!!",F501="NEW"),"",INDEX(B30:B$472,-1+SUMPRODUCT(MAX(ROW(E30:E$472)*(E501=E30:E$472)))))</f>
        <v/>
      </c>
      <c r="J501" s="31" t="str">
        <f aca="true">IF(OR(E501="",E501="!!!",F501="NEW"),"",COUNTBLANK(OFFSET(A$1,,,SUMPRODUCT(MAX(ROW(E$2:E501)*(E501=E$2:E501)))))-COUNTBLANK(OFFSET(A$1,,,SUMPRODUCT(MAX(ROW(E$1:E500)*(E2=E$1:E500))))))</f>
        <v/>
      </c>
      <c r="K501" s="31" t="str">
        <f aca="false">IF(OR(E501="",E501="!!!",F501="NEW"),"",INDEX(J$1:J500,SUMPRODUCT(MAX(ROW(E$1:E500)*(E501=E$1:E500)))))</f>
        <v/>
      </c>
      <c r="L501" s="28"/>
    </row>
    <row r="502" customFormat="false" ht="15" hidden="false" customHeight="false" outlineLevel="0" collapsed="false">
      <c r="A502" s="21" t="s">
        <v>193</v>
      </c>
      <c r="E502" s="25"/>
      <c r="F502" s="26" t="str">
        <f aca="false">IF(OR(E502="",E502="!!!"),"",IF(NOT(ISNA(VLOOKUP(E502,E$1:E501,1,FALSE()))),"OLD",IF(AND(E502&lt;&gt;"",E502&lt;&gt;"!!!"),"NEW","")))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7" t="str">
        <f aca="false">IF(OR(E502="",E502="!!!",F502="NEW"),"",INDEX(B31:B$472,-1+SUMPRODUCT(MAX(ROW(E31:E$472)*(E502=E31:E$472)))))</f>
        <v/>
      </c>
      <c r="J502" s="27" t="str">
        <f aca="true">IF(OR(E502="",E502="!!!",F502="NEW"),"",COUNTBLANK(OFFSET(A$1,,,SUMPRODUCT(MAX(ROW(E$2:E502)*(E502=E$2:E502)))))-COUNTBLANK(OFFSET(A$1,,,SUMPRODUCT(MAX(ROW(E$1:E501)*(E2=E$1:E501))))))</f>
        <v/>
      </c>
      <c r="K502" s="27" t="str">
        <f aca="false">IF(OR(E502="",E502="!!!",F502="NEW"),"",INDEX(J$1:J501,SUMPRODUCT(MAX(ROW(E$1:E501)*(E502=E$1:E501)))))</f>
        <v/>
      </c>
      <c r="L502" s="28"/>
    </row>
    <row r="503" customFormat="false" ht="15" hidden="false" customHeight="false" outlineLevel="0" collapsed="false">
      <c r="A503" s="21"/>
      <c r="G503" s="22" t="str">
        <f aca="false">IF(OR(E503="",E503="!!!"),"",IF(OR(J503=0,AND(J503=1,K503=1),AND(J503=1,I503="SBJ"),AND(J503=1,I503=0)),"?IN_FOCUS",IF(J503&lt;=2,"?ACTIVATED",IF(J503&lt;&gt;"","?FAMILIAR",IF(F503="NEW",IF(ISNA(VLOOKUP(E503,#REF!,1,FALSE())),"?TYPE_IDENTIFIABLE","?REFERENTIAL"),"_")))))</f>
        <v/>
      </c>
      <c r="H503" s="23" t="str">
        <f aca="false">IF(J503&lt;&gt;1,"",IF(I503="SBJ","CB","?"))</f>
        <v/>
      </c>
    </row>
    <row r="504" customFormat="false" ht="15" hidden="false" customHeight="false" outlineLevel="0" collapsed="false">
      <c r="A504" s="21" t="s">
        <v>497</v>
      </c>
      <c r="G504" s="22" t="str">
        <f aca="false">IF(OR(E504="",E504="!!!"),"",IF(OR(J504=0,AND(J504=1,K504=1),AND(J504=1,I504="SBJ"),AND(J504=1,I504=0)),"?IN_FOCUS",IF(J504&lt;=2,"?ACTIVATED",IF(J504&lt;&gt;"","?FAMILIAR",IF(F504="NEW",IF(ISNA(VLOOKUP(E504,#REF!,1,FALSE())),"?TYPE_IDENTIFIABLE","?REFERENTIAL"),"_")))))</f>
        <v/>
      </c>
      <c r="H504" s="23" t="str">
        <f aca="false">IF(J504&lt;&gt;1,"",IF(I504="SBJ","CB","?"))</f>
        <v/>
      </c>
    </row>
    <row r="505" customFormat="false" ht="15" hidden="false" customHeight="false" outlineLevel="0" collapsed="false">
      <c r="A505" s="21" t="s">
        <v>483</v>
      </c>
      <c r="B505" s="29" t="s">
        <v>180</v>
      </c>
      <c r="C505" s="29" t="s">
        <v>181</v>
      </c>
      <c r="D505" s="29" t="s">
        <v>159</v>
      </c>
      <c r="E505" s="25" t="s">
        <v>395</v>
      </c>
      <c r="F505" s="30" t="str">
        <f aca="false">IF(OR(E505="",E505="!!!"),"",IF(NOT(ISNA(VLOOKUP(E505,E$1:E504,1,FALSE()))),"OLD",IF(AND(E505&lt;&gt;"",E505&lt;&gt;"!!!"),"NEW","")))</f>
        <v>OLD</v>
      </c>
      <c r="G505" s="22" t="s">
        <v>182</v>
      </c>
      <c r="H505" s="23" t="s">
        <v>147</v>
      </c>
      <c r="I505" s="31" t="str">
        <f aca="false">IF(OR(E505="",E505="!!!",F505="NEW"),"",INDEX(B2:B$504,-1+SUMPRODUCT(MAX(ROW(E2:E$504)*(E505=E2:E$504)))))</f>
        <v>SBJ_4</v>
      </c>
      <c r="J505" s="31" t="n">
        <f aca="true">IF(OR(E505="",E505="!!!",F505="NEW"),"",COUNTBLANK(OFFSET(A$1,,,SUMPRODUCT(MAX(ROW(E$2:E505)*(E505=E$2:E505)))))-COUNTBLANK(OFFSET(A$1,,,SUMPRODUCT(MAX(ROW(E$1:E504)*(E2=E$1:E504))))))</f>
        <v>0</v>
      </c>
      <c r="K505" s="31" t="n">
        <f aca="false">IF(OR(E505="",E505="!!!",F505="NEW"),"",INDEX(J$1:J504,SUMPRODUCT(MAX(ROW(E$1:E504)*(E505=E$1:E504)))))</f>
        <v>0</v>
      </c>
      <c r="L505" s="28"/>
    </row>
    <row r="506" customFormat="false" ht="15" hidden="false" customHeight="false" outlineLevel="0" collapsed="false">
      <c r="A506" s="21" t="s">
        <v>75</v>
      </c>
      <c r="E506" s="25"/>
      <c r="F506" s="26" t="str">
        <f aca="false">IF(OR(E506="",E506="!!!"),"",IF(NOT(ISNA(VLOOKUP(E506,E$1:E505,1,FALSE()))),"OLD",IF(AND(E506&lt;&gt;"",E506&lt;&gt;"!!!"),"NEW","")))</f>
        <v/>
      </c>
      <c r="G506" s="22" t="str">
        <f aca="false">IF(OR(E506="",E506="!!!"),"",IF(OR(J506=0,AND(J506=1,K506=1),AND(J506=1,I506="SBJ"),AND(J506=1,I506=0)),"?IN_FOCUS",IF(J506&lt;=2,"?ACTIVATED",IF(J506&lt;&gt;"","?FAMILIAR",IF(F506="NEW",IF(ISNA(VLOOKUP(E506,#REF!,1,FALSE())),"?TYPE_IDENTIFIABLE","?REFERENTIAL"),"_")))))</f>
        <v/>
      </c>
      <c r="H506" s="23" t="str">
        <f aca="false">IF(J506&lt;&gt;1,"",IF(I506="SBJ","CB","?"))</f>
        <v/>
      </c>
      <c r="I506" s="27" t="str">
        <f aca="false">IF(OR(E506="",E506="!!!",F506="NEW"),"",INDEX(B3:B$504,-1+SUMPRODUCT(MAX(ROW(E3:E$504)*(E506=E3:E$504)))))</f>
        <v/>
      </c>
      <c r="J506" s="27" t="str">
        <f aca="true">IF(OR(E506="",E506="!!!",F506="NEW"),"",COUNTBLANK(OFFSET(A$1,,,SUMPRODUCT(MAX(ROW(E$2:E506)*(E506=E$2:E506)))))-COUNTBLANK(OFFSET(A$1,,,SUMPRODUCT(MAX(ROW(E$1:E505)*(E2=E$1:E505))))))</f>
        <v/>
      </c>
      <c r="K506" s="27" t="str">
        <f aca="false">IF(OR(E506="",E506="!!!",F506="NEW"),"",INDEX(J$1:J505,SUMPRODUCT(MAX(ROW(E$1:E505)*(E506=E$1:E505)))))</f>
        <v/>
      </c>
      <c r="L506" s="28"/>
    </row>
    <row r="507" customFormat="false" ht="15" hidden="false" customHeight="false" outlineLevel="0" collapsed="false">
      <c r="A507" s="21" t="s">
        <v>498</v>
      </c>
      <c r="B507" s="29" t="s">
        <v>203</v>
      </c>
      <c r="C507" s="29" t="s">
        <v>167</v>
      </c>
      <c r="E507" s="25"/>
      <c r="F507" s="26" t="str">
        <f aca="false">IF(OR(E507="",E507="!!!"),"",IF(NOT(ISNA(VLOOKUP(E507,E$1:E506,1,FALSE()))),"OLD",IF(AND(E507&lt;&gt;"",E507&lt;&gt;"!!!"),"NEW","")))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7" t="str">
        <f aca="false">IF(OR(E507="",E507="!!!",F507="NEW"),"",INDEX(B4:B$504,-1+SUMPRODUCT(MAX(ROW(E4:E$504)*(E507=E4:E$504)))))</f>
        <v/>
      </c>
      <c r="J507" s="27" t="str">
        <f aca="true">IF(OR(E507="",E507="!!!",F507="NEW"),"",COUNTBLANK(OFFSET(A$1,,,SUMPRODUCT(MAX(ROW(E$2:E507)*(E507=E$2:E507)))))-COUNTBLANK(OFFSET(A$1,,,SUMPRODUCT(MAX(ROW(E$1:E506)*(E2=E$1:E506))))))</f>
        <v/>
      </c>
      <c r="K507" s="27" t="str">
        <f aca="false">IF(OR(E507="",E507="!!!",F507="NEW"),"",INDEX(J$1:J506,SUMPRODUCT(MAX(ROW(E$1:E506)*(E507=E$1:E506)))))</f>
        <v/>
      </c>
      <c r="L507" s="28"/>
    </row>
    <row r="508" customFormat="false" ht="15" hidden="false" customHeight="false" outlineLevel="0" collapsed="false">
      <c r="A508" s="21" t="s">
        <v>165</v>
      </c>
      <c r="E508" s="25"/>
      <c r="F508" s="26" t="str">
        <f aca="false">IF(OR(E508="",E508="!!!"),"",IF(NOT(ISNA(VLOOKUP(E508,E$1:E507,1,FALSE()))),"OLD",IF(AND(E508&lt;&gt;"",E508&lt;&gt;"!!!"),"NEW","")))</f>
        <v/>
      </c>
      <c r="G508" s="22" t="str">
        <f aca="false">IF(OR(E508="",E508="!!!"),"",IF(OR(J508=0,AND(J508=1,K508=1),AND(J508=1,I508="SBJ"),AND(J508=1,I508=0)),"?IN_FOCUS",IF(J508&lt;=2,"?ACTIVATED",IF(J508&lt;&gt;"","?FAMILIAR",IF(F508="NEW",IF(ISNA(VLOOKUP(E508,#REF!,1,FALSE())),"?TYPE_IDENTIFIABLE","?REFERENTIAL"),"_")))))</f>
        <v/>
      </c>
      <c r="H508" s="23" t="str">
        <f aca="false">IF(J508&lt;&gt;1,"",IF(I508="SBJ","CB","?"))</f>
        <v/>
      </c>
      <c r="I508" s="27" t="str">
        <f aca="false">IF(OR(E508="",E508="!!!",F508="NEW"),"",INDEX(B5:B$504,-1+SUMPRODUCT(MAX(ROW(E5:E$504)*(E508=E5:E$504)))))</f>
        <v/>
      </c>
      <c r="J508" s="27" t="str">
        <f aca="true">IF(OR(E508="",E508="!!!",F508="NEW"),"",COUNTBLANK(OFFSET(A$1,,,SUMPRODUCT(MAX(ROW(E$2:E508)*(E508=E$2:E508)))))-COUNTBLANK(OFFSET(A$1,,,SUMPRODUCT(MAX(ROW(E$1:E507)*(E2=E$1:E507))))))</f>
        <v/>
      </c>
      <c r="K508" s="27" t="str">
        <f aca="false">IF(OR(E508="",E508="!!!",F508="NEW"),"",INDEX(J$1:J507,SUMPRODUCT(MAX(ROW(E$1:E507)*(E508=E$1:E507)))))</f>
        <v/>
      </c>
      <c r="L508" s="28"/>
    </row>
    <row r="509" customFormat="false" ht="15" hidden="false" customHeight="false" outlineLevel="0" collapsed="false">
      <c r="A509" s="21" t="s">
        <v>169</v>
      </c>
      <c r="E509" s="25"/>
      <c r="F509" s="26" t="str">
        <f aca="false">IF(OR(E509="",E509="!!!"),"",IF(NOT(ISNA(VLOOKUP(E509,E$1:E508,1,FALSE()))),"OLD",IF(AND(E509&lt;&gt;"",E509&lt;&gt;"!!!"),"NEW","")))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7" t="str">
        <f aca="false">IF(OR(E509="",E509="!!!",F509="NEW"),"",INDEX(B6:B$504,-1+SUMPRODUCT(MAX(ROW(E6:E$504)*(E509=E6:E$504)))))</f>
        <v/>
      </c>
      <c r="J509" s="27" t="str">
        <f aca="true">IF(OR(E509="",E509="!!!",F509="NEW"),"",COUNTBLANK(OFFSET(A$1,,,SUMPRODUCT(MAX(ROW(E$2:E509)*(E509=E$2:E509)))))-COUNTBLANK(OFFSET(A$1,,,SUMPRODUCT(MAX(ROW(E$1:E508)*(E2=E$1:E508))))))</f>
        <v/>
      </c>
      <c r="K509" s="27" t="str">
        <f aca="false">IF(OR(E509="",E509="!!!",F509="NEW"),"",INDEX(J$1:J508,SUMPRODUCT(MAX(ROW(E$1:E508)*(E509=E$1:E508)))))</f>
        <v/>
      </c>
      <c r="L509" s="28"/>
    </row>
    <row r="510" customFormat="false" ht="15" hidden="false" customHeight="false" outlineLevel="0" collapsed="false">
      <c r="A510" s="21" t="s">
        <v>499</v>
      </c>
      <c r="B510" s="29" t="s">
        <v>153</v>
      </c>
      <c r="C510" s="29" t="s">
        <v>171</v>
      </c>
      <c r="D510" s="29" t="s">
        <v>159</v>
      </c>
      <c r="E510" s="25"/>
      <c r="F510" s="26" t="s">
        <v>500</v>
      </c>
      <c r="G510" s="22" t="str">
        <f aca="false">IF(OR(E510="",E510="!!!"),"",IF(OR(J510=0,AND(J510=1,K510=1),AND(J510=1,I510="SBJ"),AND(J510=1,I510=0)),"?IN_FOCUS",IF(J510&lt;=2,"?ACTIVATED",IF(J510&lt;&gt;"","?FAMILIAR",IF(F510="NEW",IF(ISNA(VLOOKUP(E510,#REF!,1,FALSE())),"?TYPE_IDENTIFIABLE","?REFERENTIAL"),"_")))))</f>
        <v/>
      </c>
      <c r="H510" s="23" t="str">
        <f aca="false">IF(J510&lt;&gt;1,"",IF(I510="SBJ","CB","?"))</f>
        <v/>
      </c>
      <c r="I510" s="27" t="str">
        <f aca="false">IF(OR(E510="",E510="!!!",F510="NEW"),"",INDEX(B7:B$504,-1+SUMPRODUCT(MAX(ROW(E7:E$504)*(E510=E7:E$504)))))</f>
        <v/>
      </c>
      <c r="J510" s="27" t="str">
        <f aca="true">IF(OR(E510="",E510="!!!",F510="NEW"),"",COUNTBLANK(OFFSET(A$1,,,SUMPRODUCT(MAX(ROW(E$2:E510)*(E510=E$2:E510)))))-COUNTBLANK(OFFSET(A$1,,,SUMPRODUCT(MAX(ROW(E$1:E509)*(E2=E$1:E509))))))</f>
        <v/>
      </c>
      <c r="K510" s="27" t="str">
        <f aca="false">IF(OR(E510="",E510="!!!",F510="NEW"),"",INDEX(J$1:J509,SUMPRODUCT(MAX(ROW(E$1:E509)*(E510=E$1:E509)))))</f>
        <v/>
      </c>
      <c r="L510" s="28" t="s">
        <v>501</v>
      </c>
    </row>
    <row r="511" customFormat="false" ht="15" hidden="false" customHeight="false" outlineLevel="0" collapsed="false">
      <c r="A511" s="21" t="s">
        <v>225</v>
      </c>
      <c r="E511" s="25"/>
      <c r="F511" s="26" t="str">
        <f aca="false">IF(OR(E511="",E511="!!!"),"",IF(NOT(ISNA(VLOOKUP(E511,E$1:E510,1,FALSE()))),"OLD",IF(AND(E511&lt;&gt;"",E511&lt;&gt;"!!!"),"NEW","")))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7" t="str">
        <f aca="false">IF(OR(E511="",E511="!!!",F511="NEW"),"",INDEX(B8:B$504,-1+SUMPRODUCT(MAX(ROW(E8:E$504)*(E511=E8:E$504)))))</f>
        <v/>
      </c>
      <c r="J511" s="27" t="str">
        <f aca="true">IF(OR(E511="",E511="!!!",F511="NEW"),"",COUNTBLANK(OFFSET(A$1,,,SUMPRODUCT(MAX(ROW(E$2:E511)*(E511=E$2:E511)))))-COUNTBLANK(OFFSET(A$1,,,SUMPRODUCT(MAX(ROW(E$1:E510)*(E2=E$1:E510))))))</f>
        <v/>
      </c>
      <c r="K511" s="27" t="str">
        <f aca="false">IF(OR(E511="",E511="!!!",F511="NEW"),"",INDEX(J$1:J510,SUMPRODUCT(MAX(ROW(E$1:E510)*(E511=E$1:E510)))))</f>
        <v/>
      </c>
      <c r="L511" s="28"/>
    </row>
    <row r="512" customFormat="false" ht="15" hidden="false" customHeight="false" outlineLevel="0" collapsed="false">
      <c r="A512" s="21" t="s">
        <v>212</v>
      </c>
      <c r="E512" s="25"/>
      <c r="F512" s="26" t="str">
        <f aca="false">IF(OR(E512="",E512="!!!"),"",IF(NOT(ISNA(VLOOKUP(E512,E$1:E511,1,FALSE()))),"OLD",IF(AND(E512&lt;&gt;"",E512&lt;&gt;"!!!"),"NEW","")))</f>
        <v/>
      </c>
      <c r="G512" s="22" t="str">
        <f aca="false">IF(OR(E512="",E512="!!!"),"",IF(OR(J512=0,AND(J512=1,K512=1),AND(J512=1,I512="SBJ"),AND(J512=1,I512=0)),"?IN_FOCUS",IF(J512&lt;=2,"?ACTIVATED",IF(J512&lt;&gt;"","?FAMILIAR",IF(F512="NEW",IF(ISNA(VLOOKUP(E512,#REF!,1,FALSE())),"?TYPE_IDENTIFIABLE","?REFERENTIAL"),"_")))))</f>
        <v/>
      </c>
      <c r="H512" s="23" t="str">
        <f aca="false">IF(J512&lt;&gt;1,"",IF(I512="SBJ","CB","?"))</f>
        <v/>
      </c>
      <c r="I512" s="27" t="str">
        <f aca="false">IF(OR(E512="",E512="!!!",F512="NEW"),"",INDEX(B9:B$504,-1+SUMPRODUCT(MAX(ROW(E9:E$504)*(E512=E9:E$504)))))</f>
        <v/>
      </c>
      <c r="J512" s="27" t="str">
        <f aca="true">IF(OR(E512="",E512="!!!",F512="NEW"),"",COUNTBLANK(OFFSET(A$1,,,SUMPRODUCT(MAX(ROW(E$2:E512)*(E512=E$2:E512)))))-COUNTBLANK(OFFSET(A$1,,,SUMPRODUCT(MAX(ROW(E$1:E511)*(E2=E$1:E511))))))</f>
        <v/>
      </c>
      <c r="K512" s="27" t="str">
        <f aca="false">IF(OR(E512="",E512="!!!",F512="NEW"),"",INDEX(J$1:J511,SUMPRODUCT(MAX(ROW(E$1:E511)*(E512=E$1:E511)))))</f>
        <v/>
      </c>
      <c r="L512" s="28"/>
    </row>
    <row r="513" customFormat="false" ht="15" hidden="false" customHeight="false" outlineLevel="0" collapsed="false">
      <c r="A513" s="21" t="s">
        <v>169</v>
      </c>
      <c r="E513" s="25"/>
      <c r="F513" s="26" t="str">
        <f aca="false">IF(OR(E513="",E513="!!!"),"",IF(NOT(ISNA(VLOOKUP(E513,E$1:E512,1,FALSE()))),"OLD",IF(AND(E513&lt;&gt;"",E513&lt;&gt;"!!!"),"NEW","")))</f>
        <v/>
      </c>
      <c r="G513" s="22" t="str">
        <f aca="false">IF(OR(E513="",E513="!!!"),"",IF(OR(J513=0,AND(J513=1,K513=1),AND(J513=1,I513="SBJ"),AND(J513=1,I513=0)),"?IN_FOCUS",IF(J513&lt;=2,"?ACTIVATED",IF(J513&lt;&gt;"","?FAMILIAR",IF(F513="NEW",IF(ISNA(VLOOKUP(E513,#REF!,1,FALSE())),"?TYPE_IDENTIFIABLE","?REFERENTIAL"),"_")))))</f>
        <v/>
      </c>
      <c r="H513" s="23" t="str">
        <f aca="false">IF(J513&lt;&gt;1,"",IF(I513="SBJ","CB","?"))</f>
        <v/>
      </c>
      <c r="I513" s="27" t="str">
        <f aca="false">IF(OR(E513="",E513="!!!",F513="NEW"),"",INDEX(B10:B$504,-1+SUMPRODUCT(MAX(ROW(E10:E$504)*(E513=E10:E$504)))))</f>
        <v/>
      </c>
      <c r="J513" s="27" t="str">
        <f aca="true">IF(OR(E513="",E513="!!!",F513="NEW"),"",COUNTBLANK(OFFSET(A$1,,,SUMPRODUCT(MAX(ROW(E$2:E513)*(E513=E$2:E513)))))-COUNTBLANK(OFFSET(A$1,,,SUMPRODUCT(MAX(ROW(E$1:E512)*(E2=E$1:E512))))))</f>
        <v/>
      </c>
      <c r="K513" s="27" t="str">
        <f aca="false">IF(OR(E513="",E513="!!!",F513="NEW"),"",INDEX(J$1:J512,SUMPRODUCT(MAX(ROW(E$1:E512)*(E513=E$1:E512)))))</f>
        <v/>
      </c>
      <c r="L513" s="28"/>
    </row>
    <row r="514" customFormat="false" ht="15" hidden="false" customHeight="false" outlineLevel="0" collapsed="false">
      <c r="A514" s="21" t="s">
        <v>311</v>
      </c>
      <c r="E514" s="25"/>
      <c r="F514" s="26" t="str">
        <f aca="false">IF(OR(E514="",E514="!!!"),"",IF(NOT(ISNA(VLOOKUP(E514,E$1:E513,1,FALSE()))),"OLD",IF(AND(E514&lt;&gt;"",E514&lt;&gt;"!!!"),"NEW","")))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7" t="str">
        <f aca="false">IF(OR(E514="",E514="!!!",F514="NEW"),"",INDEX(B11:B$504,-1+SUMPRODUCT(MAX(ROW(E11:E$504)*(E514=E11:E$504)))))</f>
        <v/>
      </c>
      <c r="J514" s="27" t="str">
        <f aca="true">IF(OR(E514="",E514="!!!",F514="NEW"),"",COUNTBLANK(OFFSET(A$1,,,SUMPRODUCT(MAX(ROW(E$2:E514)*(E514=E$2:E514)))))-COUNTBLANK(OFFSET(A$1,,,SUMPRODUCT(MAX(ROW(E$1:E513)*(E2=E$1:E513))))))</f>
        <v/>
      </c>
      <c r="K514" s="27" t="str">
        <f aca="false">IF(OR(E514="",E514="!!!",F514="NEW"),"",INDEX(J$1:J513,SUMPRODUCT(MAX(ROW(E$1:E513)*(E514=E$1:E513)))))</f>
        <v/>
      </c>
      <c r="L514" s="28"/>
    </row>
    <row r="515" customFormat="false" ht="15" hidden="false" customHeight="false" outlineLevel="0" collapsed="false">
      <c r="A515" s="21" t="s">
        <v>312</v>
      </c>
      <c r="B515" s="29" t="s">
        <v>210</v>
      </c>
      <c r="C515" s="29" t="s">
        <v>158</v>
      </c>
      <c r="D515" s="29" t="s">
        <v>159</v>
      </c>
      <c r="E515" s="25" t="s">
        <v>313</v>
      </c>
      <c r="F515" s="30" t="str">
        <f aca="false">IF(OR(E515="",E515="!!!"),"",IF(NOT(ISNA(VLOOKUP(E515,E$1:E514,1,FALSE()))),"OLD",IF(AND(E515&lt;&gt;"",E515&lt;&gt;"!!!"),"NEW","")))</f>
        <v>OLD</v>
      </c>
      <c r="G515" s="22" t="s">
        <v>265</v>
      </c>
      <c r="H515" s="23" t="str">
        <f aca="false">IF(J515&lt;&gt;1,"",IF(I515="SBJ","CB","?"))</f>
        <v/>
      </c>
      <c r="I515" s="31" t="str">
        <f aca="false">IF(OR(E515="",E515="!!!",F515="NEW"),"",INDEX(B12:B$504,-1+SUMPRODUCT(MAX(ROW(E12:E$504)*(E515=E12:E$504)))))</f>
        <v>OBJ</v>
      </c>
      <c r="J515" s="31" t="n">
        <f aca="true">IF(OR(E515="",E515="!!!",F515="NEW"),"",COUNTBLANK(OFFSET(A$1,,,SUMPRODUCT(MAX(ROW(E$2:E515)*(E515=E$2:E515)))))-COUNTBLANK(OFFSET(A$1,,,SUMPRODUCT(MAX(ROW(E$1:E514)*(E2=E$1:E514))))))</f>
        <v>0</v>
      </c>
      <c r="K515" s="31" t="n">
        <f aca="false">IF(OR(E515="",E515="!!!",F515="NEW"),"",INDEX(J$1:J514,SUMPRODUCT(MAX(ROW(E$1:E514)*(E515=E$1:E514)))))</f>
        <v>0</v>
      </c>
      <c r="L515" s="28"/>
    </row>
    <row r="516" customFormat="false" ht="15" hidden="false" customHeight="false" outlineLevel="0" collapsed="false">
      <c r="A516" s="21" t="s">
        <v>178</v>
      </c>
      <c r="E516" s="25"/>
      <c r="F516" s="26" t="str">
        <f aca="false">IF(OR(E516="",E516="!!!"),"",IF(NOT(ISNA(VLOOKUP(E516,E$1:E515,1,FALSE()))),"OLD",IF(AND(E516&lt;&gt;"",E516&lt;&gt;"!!!"),"NEW","")))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7" t="str">
        <f aca="false">IF(OR(E516="",E516="!!!",F516="NEW"),"",INDEX(B13:B$504,-1+SUMPRODUCT(MAX(ROW(E13:E$504)*(E516=E13:E$504)))))</f>
        <v/>
      </c>
      <c r="J516" s="27" t="str">
        <f aca="true">IF(OR(E516="",E516="!!!",F516="NEW"),"",COUNTBLANK(OFFSET(A$1,,,SUMPRODUCT(MAX(ROW(E$2:E516)*(E516=E$2:E516)))))-COUNTBLANK(OFFSET(A$1,,,SUMPRODUCT(MAX(ROW(E$1:E515)*(E2=E$1:E515))))))</f>
        <v/>
      </c>
      <c r="K516" s="27" t="str">
        <f aca="false">IF(OR(E516="",E516="!!!",F516="NEW"),"",INDEX(J$1:J515,SUMPRODUCT(MAX(ROW(E$1:E515)*(E516=E$1:E515)))))</f>
        <v/>
      </c>
      <c r="L516" s="28"/>
    </row>
    <row r="517" customFormat="false" ht="15" hidden="false" customHeight="false" outlineLevel="0" collapsed="false">
      <c r="A517" s="21" t="s">
        <v>355</v>
      </c>
      <c r="E517" s="25"/>
      <c r="F517" s="26" t="str">
        <f aca="false">IF(OR(E517="",E517="!!!"),"",IF(NOT(ISNA(VLOOKUP(E517,E$1:E516,1,FALSE()))),"OLD",IF(AND(E517&lt;&gt;"",E517&lt;&gt;"!!!"),"NEW","")))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7" t="str">
        <f aca="false">IF(OR(E517="",E517="!!!",F517="NEW"),"",INDEX(B14:B$504,-1+SUMPRODUCT(MAX(ROW(E14:E$504)*(E517=E14:E$504)))))</f>
        <v/>
      </c>
      <c r="J517" s="27" t="str">
        <f aca="true">IF(OR(E517="",E517="!!!",F517="NEW"),"",COUNTBLANK(OFFSET(A$1,,,SUMPRODUCT(MAX(ROW(E$2:E517)*(E517=E$2:E517)))))-COUNTBLANK(OFFSET(A$1,,,SUMPRODUCT(MAX(ROW(E$1:E516)*(E2=E$1:E516))))))</f>
        <v/>
      </c>
      <c r="K517" s="27" t="str">
        <f aca="false">IF(OR(E517="",E517="!!!",F517="NEW"),"",INDEX(J$1:J516,SUMPRODUCT(MAX(ROW(E$1:E516)*(E517=E$1:E516)))))</f>
        <v/>
      </c>
      <c r="L517" s="28"/>
    </row>
    <row r="518" customFormat="false" ht="15" hidden="false" customHeight="false" outlineLevel="0" collapsed="false">
      <c r="A518" s="21" t="s">
        <v>230</v>
      </c>
      <c r="E518" s="25"/>
      <c r="F518" s="26" t="str">
        <f aca="false">IF(OR(E518="",E518="!!!"),"",IF(NOT(ISNA(VLOOKUP(E518,E$1:E517,1,FALSE()))),"OLD",IF(AND(E518&lt;&gt;"",E518&lt;&gt;"!!!"),"NEW","")))</f>
        <v/>
      </c>
      <c r="G518" s="22" t="str">
        <f aca="false">IF(OR(E518="",E518="!!!"),"",IF(OR(J518=0,AND(J518=1,K518=1),AND(J518=1,I518="SBJ"),AND(J518=1,I518=0)),"?IN_FOCUS",IF(J518&lt;=2,"?ACTIVATED",IF(J518&lt;&gt;"","?FAMILIAR",IF(F518="NEW",IF(ISNA(VLOOKUP(E518,#REF!,1,FALSE())),"?TYPE_IDENTIFIABLE","?REFERENTIAL"),"_")))))</f>
        <v/>
      </c>
      <c r="H518" s="23" t="str">
        <f aca="false">IF(J518&lt;&gt;1,"",IF(I518="SBJ","CB","?"))</f>
        <v/>
      </c>
      <c r="I518" s="27" t="str">
        <f aca="false">IF(OR(E518="",E518="!!!",F518="NEW"),"",INDEX(B15:B$504,-1+SUMPRODUCT(MAX(ROW(E15:E$504)*(E518=E15:E$504)))))</f>
        <v/>
      </c>
      <c r="J518" s="27" t="str">
        <f aca="true">IF(OR(E518="",E518="!!!",F518="NEW"),"",COUNTBLANK(OFFSET(A$1,,,SUMPRODUCT(MAX(ROW(E$2:E518)*(E518=E$2:E518)))))-COUNTBLANK(OFFSET(A$1,,,SUMPRODUCT(MAX(ROW(E$1:E517)*(E2=E$1:E517))))))</f>
        <v/>
      </c>
      <c r="K518" s="27" t="str">
        <f aca="false">IF(OR(E518="",E518="!!!",F518="NEW"),"",INDEX(J$1:J517,SUMPRODUCT(MAX(ROW(E$1:E517)*(E518=E$1:E517)))))</f>
        <v/>
      </c>
      <c r="L518" s="28"/>
    </row>
    <row r="519" customFormat="false" ht="15" hidden="false" customHeight="false" outlineLevel="0" collapsed="false">
      <c r="A519" s="21" t="s">
        <v>502</v>
      </c>
      <c r="E519" s="25"/>
      <c r="F519" s="26" t="str">
        <f aca="false">IF(OR(E519="",E519="!!!"),"",IF(NOT(ISNA(VLOOKUP(E519,E$1:E518,1,FALSE()))),"OLD",IF(AND(E519&lt;&gt;"",E519&lt;&gt;"!!!"),"NEW","")))</f>
        <v/>
      </c>
      <c r="G519" s="22" t="str">
        <f aca="false">IF(OR(E519="",E519="!!!"),"",IF(OR(J519=0,AND(J519=1,K519=1),AND(J519=1,I519="SBJ"),AND(J519=1,I519=0)),"?IN_FOCUS",IF(J519&lt;=2,"?ACTIVATED",IF(J519&lt;&gt;"","?FAMILIAR",IF(F519="NEW",IF(ISNA(VLOOKUP(E519,#REF!,1,FALSE())),"?TYPE_IDENTIFIABLE","?REFERENTIAL"),"_")))))</f>
        <v/>
      </c>
      <c r="H519" s="23" t="str">
        <f aca="false">IF(J519&lt;&gt;1,"",IF(I519="SBJ","CB","?"))</f>
        <v/>
      </c>
      <c r="I519" s="27" t="str">
        <f aca="false">IF(OR(E519="",E519="!!!",F519="NEW"),"",INDEX(B16:B$504,-1+SUMPRODUCT(MAX(ROW(E16:E$504)*(E519=E16:E$504)))))</f>
        <v/>
      </c>
      <c r="J519" s="27" t="str">
        <f aca="true">IF(OR(E519="",E519="!!!",F519="NEW"),"",COUNTBLANK(OFFSET(A$1,,,SUMPRODUCT(MAX(ROW(E$2:E519)*(E519=E$2:E519)))))-COUNTBLANK(OFFSET(A$1,,,SUMPRODUCT(MAX(ROW(E$1:E518)*(E2=E$1:E518))))))</f>
        <v/>
      </c>
      <c r="K519" s="27" t="str">
        <f aca="false">IF(OR(E519="",E519="!!!",F519="NEW"),"",INDEX(J$1:J518,SUMPRODUCT(MAX(ROW(E$1:E518)*(E519=E$1:E518)))))</f>
        <v/>
      </c>
      <c r="L519" s="28"/>
    </row>
    <row r="520" customFormat="false" ht="15" hidden="false" customHeight="false" outlineLevel="0" collapsed="false">
      <c r="A520" s="21" t="s">
        <v>503</v>
      </c>
      <c r="B520" s="29" t="s">
        <v>271</v>
      </c>
      <c r="C520" s="29" t="s">
        <v>154</v>
      </c>
      <c r="E520" s="25"/>
      <c r="F520" s="26" t="str">
        <f aca="false">IF(OR(E520="",E520="!!!"),"",IF(NOT(ISNA(VLOOKUP(E520,E$1:E519,1,FALSE()))),"OLD",IF(AND(E520&lt;&gt;"",E520&lt;&gt;"!!!"),"NEW","")))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7" t="str">
        <f aca="false">IF(OR(E520="",E520="!!!",F520="NEW"),"",INDEX(B17:B$504,-1+SUMPRODUCT(MAX(ROW(E17:E$504)*(E520=E17:E$504)))))</f>
        <v/>
      </c>
      <c r="J520" s="27" t="str">
        <f aca="true">IF(OR(E520="",E520="!!!",F520="NEW"),"",COUNTBLANK(OFFSET(A$1,,,SUMPRODUCT(MAX(ROW(E$2:E520)*(E520=E$2:E520)))))-COUNTBLANK(OFFSET(A$1,,,SUMPRODUCT(MAX(ROW(E$1:E519)*(E2=E$1:E519))))))</f>
        <v/>
      </c>
      <c r="K520" s="27" t="str">
        <f aca="false">IF(OR(E520="",E520="!!!",F520="NEW"),"",INDEX(J$1:J519,SUMPRODUCT(MAX(ROW(E$1:E519)*(E520=E$1:E519)))))</f>
        <v/>
      </c>
      <c r="L520" s="28"/>
    </row>
    <row r="521" customFormat="false" ht="15" hidden="false" customHeight="false" outlineLevel="0" collapsed="false">
      <c r="A521" s="21" t="s">
        <v>165</v>
      </c>
      <c r="E521" s="25"/>
      <c r="F521" s="26" t="str">
        <f aca="false">IF(OR(E521="",E521="!!!"),"",IF(NOT(ISNA(VLOOKUP(E521,E$1:E520,1,FALSE()))),"OLD",IF(AND(E521&lt;&gt;"",E521&lt;&gt;"!!!"),"NEW","")))</f>
        <v/>
      </c>
      <c r="G521" s="22" t="str">
        <f aca="false">IF(OR(E521="",E521="!!!"),"",IF(OR(J521=0,AND(J521=1,K521=1),AND(J521=1,I521="SBJ"),AND(J521=1,I521=0)),"?IN_FOCUS",IF(J521&lt;=2,"?ACTIVATED",IF(J521&lt;&gt;"","?FAMILIAR",IF(F521="NEW",IF(ISNA(VLOOKUP(E521,#REF!,1,FALSE())),"?TYPE_IDENTIFIABLE","?REFERENTIAL"),"_")))))</f>
        <v/>
      </c>
      <c r="H521" s="23" t="str">
        <f aca="false">IF(J521&lt;&gt;1,"",IF(I521="SBJ","CB","?"))</f>
        <v/>
      </c>
      <c r="I521" s="27" t="str">
        <f aca="false">IF(OR(E521="",E521="!!!",F521="NEW"),"",INDEX(B18:B$504,-1+SUMPRODUCT(MAX(ROW(E18:E$504)*(E521=E18:E$504)))))</f>
        <v/>
      </c>
      <c r="J521" s="27" t="str">
        <f aca="true">IF(OR(E521="",E521="!!!",F521="NEW"),"",COUNTBLANK(OFFSET(A$1,,,SUMPRODUCT(MAX(ROW(E$2:E521)*(E521=E$2:E521)))))-COUNTBLANK(OFFSET(A$1,,,SUMPRODUCT(MAX(ROW(E$1:E520)*(E2=E$1:E520))))))</f>
        <v/>
      </c>
      <c r="K521" s="27" t="str">
        <f aca="false">IF(OR(E521="",E521="!!!",F521="NEW"),"",INDEX(J$1:J520,SUMPRODUCT(MAX(ROW(E$1:E520)*(E521=E$1:E520)))))</f>
        <v/>
      </c>
      <c r="L521" s="28"/>
    </row>
    <row r="522" customFormat="false" ht="15" hidden="false" customHeight="false" outlineLevel="0" collapsed="false">
      <c r="A522" s="21" t="s">
        <v>256</v>
      </c>
      <c r="E522" s="25"/>
      <c r="F522" s="26" t="str">
        <f aca="false">IF(OR(E522="",E522="!!!"),"",IF(NOT(ISNA(VLOOKUP(E522,E$1:E521,1,FALSE()))),"OLD",IF(AND(E522&lt;&gt;"",E522&lt;&gt;"!!!"),"NEW","")))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7" t="str">
        <f aca="false">IF(OR(E522="",E522="!!!",F522="NEW"),"",INDEX(B19:B$504,-1+SUMPRODUCT(MAX(ROW(E19:E$504)*(E522=E19:E$504)))))</f>
        <v/>
      </c>
      <c r="J522" s="27" t="str">
        <f aca="true">IF(OR(E522="",E522="!!!",F522="NEW"),"",COUNTBLANK(OFFSET(A$1,,,SUMPRODUCT(MAX(ROW(E$2:E522)*(E522=E$2:E522)))))-COUNTBLANK(OFFSET(A$1,,,SUMPRODUCT(MAX(ROW(E$1:E521)*(E2=E$1:E521))))))</f>
        <v/>
      </c>
      <c r="K522" s="27" t="str">
        <f aca="false">IF(OR(E522="",E522="!!!",F522="NEW"),"",INDEX(J$1:J521,SUMPRODUCT(MAX(ROW(E$1:E521)*(E522=E$1:E521)))))</f>
        <v/>
      </c>
      <c r="L522" s="28"/>
    </row>
    <row r="523" customFormat="false" ht="15" hidden="false" customHeight="false" outlineLevel="0" collapsed="false">
      <c r="A523" s="21" t="s">
        <v>209</v>
      </c>
      <c r="B523" s="29" t="s">
        <v>216</v>
      </c>
      <c r="C523" s="29" t="s">
        <v>164</v>
      </c>
      <c r="E523" s="25"/>
      <c r="F523" s="26" t="str">
        <f aca="false">IF(OR(E523="",E523="!!!"),"",IF(NOT(ISNA(VLOOKUP(E523,E$1:E522,1,FALSE()))),"OLD",IF(AND(E523&lt;&gt;"",E523&lt;&gt;"!!!"),"NEW","")))</f>
        <v/>
      </c>
      <c r="G523" s="22" t="str">
        <f aca="false">IF(OR(E523="",E523="!!!"),"",IF(OR(J523=0,AND(J523=1,K523=1),AND(J523=1,I523="SBJ"),AND(J523=1,I523=0)),"?IN_FOCUS",IF(J523&lt;=2,"?ACTIVATED",IF(J523&lt;&gt;"","?FAMILIAR",IF(F523="NEW",IF(ISNA(VLOOKUP(E523,#REF!,1,FALSE())),"?TYPE_IDENTIFIABLE","?REFERENTIAL"),"_")))))</f>
        <v/>
      </c>
      <c r="H523" s="23" t="str">
        <f aca="false">IF(J523&lt;&gt;1,"",IF(I523="SBJ","CB","?"))</f>
        <v/>
      </c>
      <c r="I523" s="27" t="str">
        <f aca="false">IF(OR(E523="",E523="!!!",F523="NEW"),"",INDEX(B20:B$504,-1+SUMPRODUCT(MAX(ROW(E20:E$504)*(E523=E20:E$504)))))</f>
        <v/>
      </c>
      <c r="J523" s="27" t="str">
        <f aca="true">IF(OR(E523="",E523="!!!",F523="NEW"),"",COUNTBLANK(OFFSET(A$1,,,SUMPRODUCT(MAX(ROW(E$2:E523)*(E523=E$2:E523)))))-COUNTBLANK(OFFSET(A$1,,,SUMPRODUCT(MAX(ROW(E$1:E522)*(E2=E$1:E522))))))</f>
        <v/>
      </c>
      <c r="K523" s="27" t="str">
        <f aca="false">IF(OR(E523="",E523="!!!",F523="NEW"),"",INDEX(J$1:J522,SUMPRODUCT(MAX(ROW(E$1:E522)*(E523=E$1:E522)))))</f>
        <v/>
      </c>
      <c r="L523" s="28"/>
    </row>
    <row r="524" customFormat="false" ht="15" hidden="false" customHeight="false" outlineLevel="0" collapsed="false">
      <c r="A524" s="21" t="s">
        <v>504</v>
      </c>
      <c r="E524" s="25"/>
      <c r="F524" s="26" t="str">
        <f aca="false">IF(OR(E524="",E524="!!!"),"",IF(NOT(ISNA(VLOOKUP(E524,E$1:E523,1,FALSE()))),"OLD",IF(AND(E524&lt;&gt;"",E524&lt;&gt;"!!!"),"NEW","")))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7" t="str">
        <f aca="false">IF(OR(E524="",E524="!!!",F524="NEW"),"",INDEX(B21:B$504,-1+SUMPRODUCT(MAX(ROW(E21:E$504)*(E524=E21:E$504)))))</f>
        <v/>
      </c>
      <c r="J524" s="27" t="str">
        <f aca="true">IF(OR(E524="",E524="!!!",F524="NEW"),"",COUNTBLANK(OFFSET(A$1,,,SUMPRODUCT(MAX(ROW(E$2:E524)*(E524=E$2:E524)))))-COUNTBLANK(OFFSET(A$1,,,SUMPRODUCT(MAX(ROW(E$1:E523)*(E2=E$1:E523))))))</f>
        <v/>
      </c>
      <c r="K524" s="27" t="str">
        <f aca="false">IF(OR(E524="",E524="!!!",F524="NEW"),"",INDEX(J$1:J523,SUMPRODUCT(MAX(ROW(E$1:E523)*(E524=E$1:E523)))))</f>
        <v/>
      </c>
      <c r="L524" s="28"/>
    </row>
    <row r="525" customFormat="false" ht="15" hidden="false" customHeight="false" outlineLevel="0" collapsed="false">
      <c r="A525" s="21" t="s">
        <v>355</v>
      </c>
      <c r="E525" s="25"/>
      <c r="F525" s="26" t="str">
        <f aca="false">IF(OR(E525="",E525="!!!"),"",IF(NOT(ISNA(VLOOKUP(E525,E$1:E524,1,FALSE()))),"OLD",IF(AND(E525&lt;&gt;"",E525&lt;&gt;"!!!"),"NEW","")))</f>
        <v/>
      </c>
      <c r="G525" s="22" t="str">
        <f aca="false">IF(OR(E525="",E525="!!!"),"",IF(OR(J525=0,AND(J525=1,K525=1),AND(J525=1,I525="SBJ"),AND(J525=1,I525=0)),"?IN_FOCUS",IF(J525&lt;=2,"?ACTIVATED",IF(J525&lt;&gt;"","?FAMILIAR",IF(F525="NEW",IF(ISNA(VLOOKUP(E525,#REF!,1,FALSE())),"?TYPE_IDENTIFIABLE","?REFERENTIAL"),"_")))))</f>
        <v/>
      </c>
      <c r="H525" s="23" t="str">
        <f aca="false">IF(J525&lt;&gt;1,"",IF(I525="SBJ","CB","?"))</f>
        <v/>
      </c>
      <c r="I525" s="27" t="str">
        <f aca="false">IF(OR(E525="",E525="!!!",F525="NEW"),"",INDEX(B22:B$504,-1+SUMPRODUCT(MAX(ROW(E22:E$504)*(E525=E22:E$504)))))</f>
        <v/>
      </c>
      <c r="J525" s="27" t="str">
        <f aca="true">IF(OR(E525="",E525="!!!",F525="NEW"),"",COUNTBLANK(OFFSET(A$1,,,SUMPRODUCT(MAX(ROW(E$2:E525)*(E525=E$2:E525)))))-COUNTBLANK(OFFSET(A$1,,,SUMPRODUCT(MAX(ROW(E$1:E524)*(E2=E$1:E524))))))</f>
        <v/>
      </c>
      <c r="K525" s="27" t="str">
        <f aca="false">IF(OR(E525="",E525="!!!",F525="NEW"),"",INDEX(J$1:J524,SUMPRODUCT(MAX(ROW(E$1:E524)*(E525=E$1:E524)))))</f>
        <v/>
      </c>
      <c r="L525" s="28"/>
    </row>
    <row r="526" customFormat="false" ht="15" hidden="false" customHeight="false" outlineLevel="0" collapsed="false">
      <c r="A526" s="21" t="s">
        <v>212</v>
      </c>
      <c r="E526" s="25"/>
      <c r="F526" s="26" t="str">
        <f aca="false">IF(OR(E526="",E526="!!!"),"",IF(NOT(ISNA(VLOOKUP(E526,E$1:E525,1,FALSE()))),"OLD",IF(AND(E526&lt;&gt;"",E526&lt;&gt;"!!!"),"NEW","")))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7" t="str">
        <f aca="false">IF(OR(E526="",E526="!!!",F526="NEW"),"",INDEX(B23:B$504,-1+SUMPRODUCT(MAX(ROW(E23:E$504)*(E526=E23:E$504)))))</f>
        <v/>
      </c>
      <c r="J526" s="27" t="str">
        <f aca="true">IF(OR(E526="",E526="!!!",F526="NEW"),"",COUNTBLANK(OFFSET(A$1,,,SUMPRODUCT(MAX(ROW(E$2:E526)*(E526=E$2:E526)))))-COUNTBLANK(OFFSET(A$1,,,SUMPRODUCT(MAX(ROW(E$1:E525)*(E2=E$1:E525))))))</f>
        <v/>
      </c>
      <c r="K526" s="27" t="str">
        <f aca="false">IF(OR(E526="",E526="!!!",F526="NEW"),"",INDEX(J$1:J525,SUMPRODUCT(MAX(ROW(E$1:E525)*(E526=E$1:E525)))))</f>
        <v/>
      </c>
      <c r="L526" s="28"/>
    </row>
    <row r="527" customFormat="false" ht="15" hidden="false" customHeight="false" outlineLevel="0" collapsed="false">
      <c r="A527" s="21" t="s">
        <v>169</v>
      </c>
      <c r="E527" s="25"/>
      <c r="F527" s="26" t="str">
        <f aca="false">IF(OR(E527="",E527="!!!"),"",IF(NOT(ISNA(VLOOKUP(E527,E$1:E526,1,FALSE()))),"OLD",IF(AND(E527&lt;&gt;"",E527&lt;&gt;"!!!"),"NEW","")))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7" t="str">
        <f aca="false">IF(OR(E527="",E527="!!!",F527="NEW"),"",INDEX(B24:B$504,-1+SUMPRODUCT(MAX(ROW(E24:E$504)*(E527=E24:E$504)))))</f>
        <v/>
      </c>
      <c r="J527" s="27" t="str">
        <f aca="true">IF(OR(E527="",E527="!!!",F527="NEW"),"",COUNTBLANK(OFFSET(A$1,,,SUMPRODUCT(MAX(ROW(E$2:E527)*(E527=E$2:E527)))))-COUNTBLANK(OFFSET(A$1,,,SUMPRODUCT(MAX(ROW(E$1:E526)*(E2=E$1:E526))))))</f>
        <v/>
      </c>
      <c r="K527" s="27" t="str">
        <f aca="false">IF(OR(E527="",E527="!!!",F527="NEW"),"",INDEX(J$1:J526,SUMPRODUCT(MAX(ROW(E$1:E526)*(E527=E$1:E526)))))</f>
        <v/>
      </c>
      <c r="L527" s="28"/>
    </row>
    <row r="528" customFormat="false" ht="15" hidden="false" customHeight="false" outlineLevel="0" collapsed="false">
      <c r="A528" s="21" t="s">
        <v>505</v>
      </c>
      <c r="B528" s="29" t="s">
        <v>210</v>
      </c>
      <c r="C528" s="29" t="s">
        <v>171</v>
      </c>
      <c r="D528" s="29" t="s">
        <v>159</v>
      </c>
      <c r="E528" s="25" t="s">
        <v>506</v>
      </c>
      <c r="F528" s="30" t="str">
        <f aca="false">IF(OR(E528="",E528="!!!"),"",IF(NOT(ISNA(VLOOKUP(E528,E$1:E527,1,FALSE()))),"OLD",IF(AND(E528&lt;&gt;"",E528&lt;&gt;"!!!"),"NEW","")))</f>
        <v>NEW</v>
      </c>
      <c r="G528" s="22" t="s">
        <v>160</v>
      </c>
      <c r="H528" s="23" t="str">
        <f aca="false">IF(J528&lt;&gt;1,"",IF(I528="SBJ","CB","?"))</f>
        <v/>
      </c>
      <c r="I528" s="31" t="str">
        <f aca="false">IF(OR(E528="",E528="!!!",F528="NEW"),"",INDEX(B25:B$504,-1+SUMPRODUCT(MAX(ROW(E25:E$504)*(E528=E25:E$504)))))</f>
        <v/>
      </c>
      <c r="J528" s="31" t="str">
        <f aca="true">IF(OR(E528="",E528="!!!",F528="NEW"),"",COUNTBLANK(OFFSET(A$1,,,SUMPRODUCT(MAX(ROW(E$2:E528)*(E528=E$2:E528)))))-COUNTBLANK(OFFSET(A$1,,,SUMPRODUCT(MAX(ROW(E$1:E527)*(E2=E$1:E527))))))</f>
        <v/>
      </c>
      <c r="K528" s="31" t="str">
        <f aca="false">IF(OR(E528="",E528="!!!",F528="NEW"),"",INDEX(J$1:J527,SUMPRODUCT(MAX(ROW(E$1:E527)*(E528=E$1:E527)))))</f>
        <v/>
      </c>
      <c r="L528" s="28"/>
    </row>
    <row r="529" customFormat="false" ht="15" hidden="false" customHeight="false" outlineLevel="0" collapsed="false">
      <c r="A529" s="21" t="s">
        <v>326</v>
      </c>
      <c r="E529" s="25"/>
      <c r="F529" s="26" t="str">
        <f aca="false">IF(OR(E529="",E529="!!!"),"",IF(NOT(ISNA(VLOOKUP(E529,E$1:E528,1,FALSE()))),"OLD",IF(AND(E529&lt;&gt;"",E529&lt;&gt;"!!!"),"NEW","")))</f>
        <v/>
      </c>
      <c r="G529" s="22" t="str">
        <f aca="false">IF(OR(E529="",E529="!!!"),"",IF(OR(J529=0,AND(J529=1,K529=1),AND(J529=1,I529="SBJ"),AND(J529=1,I529=0)),"?IN_FOCUS",IF(J529&lt;=2,"?ACTIVATED",IF(J529&lt;&gt;"","?FAMILIAR",IF(F529="NEW",IF(ISNA(VLOOKUP(E529,#REF!,1,FALSE())),"?TYPE_IDENTIFIABLE","?REFERENTIAL"),"_")))))</f>
        <v/>
      </c>
      <c r="H529" s="23" t="str">
        <f aca="false">IF(J529&lt;&gt;1,"",IF(I529="SBJ","CB","?"))</f>
        <v/>
      </c>
      <c r="I529" s="27" t="str">
        <f aca="false">IF(OR(E529="",E529="!!!",F529="NEW"),"",INDEX(B26:B$504,-1+SUMPRODUCT(MAX(ROW(E26:E$504)*(E529=E26:E$504)))))</f>
        <v/>
      </c>
      <c r="J529" s="27" t="str">
        <f aca="true">IF(OR(E529="",E529="!!!",F529="NEW"),"",COUNTBLANK(OFFSET(A$1,,,SUMPRODUCT(MAX(ROW(E$2:E529)*(E529=E$2:E529)))))-COUNTBLANK(OFFSET(A$1,,,SUMPRODUCT(MAX(ROW(E$1:E528)*(E2=E$1:E528))))))</f>
        <v/>
      </c>
      <c r="K529" s="27" t="str">
        <f aca="false">IF(OR(E529="",E529="!!!",F529="NEW"),"",INDEX(J$1:J528,SUMPRODUCT(MAX(ROW(E$1:E528)*(E529=E$1:E528)))))</f>
        <v/>
      </c>
      <c r="L529" s="28"/>
    </row>
    <row r="530" customFormat="false" ht="15" hidden="false" customHeight="false" outlineLevel="0" collapsed="false">
      <c r="A530" s="21" t="s">
        <v>507</v>
      </c>
      <c r="E530" s="25"/>
      <c r="F530" s="26" t="str">
        <f aca="false">IF(OR(E530="",E530="!!!"),"",IF(NOT(ISNA(VLOOKUP(E530,E$1:E529,1,FALSE()))),"OLD",IF(AND(E530&lt;&gt;"",E530&lt;&gt;"!!!"),"NEW","")))</f>
        <v/>
      </c>
      <c r="G530" s="22" t="str">
        <f aca="false">IF(OR(E530="",E530="!!!"),"",IF(OR(J530=0,AND(J530=1,K530=1),AND(J530=1,I530="SBJ"),AND(J530=1,I530=0)),"?IN_FOCUS",IF(J530&lt;=2,"?ACTIVATED",IF(J530&lt;&gt;"","?FAMILIAR",IF(F530="NEW",IF(ISNA(VLOOKUP(E530,#REF!,1,FALSE())),"?TYPE_IDENTIFIABLE","?REFERENTIAL"),"_")))))</f>
        <v/>
      </c>
      <c r="H530" s="23" t="str">
        <f aca="false">IF(J530&lt;&gt;1,"",IF(I530="SBJ","CB","?"))</f>
        <v/>
      </c>
      <c r="I530" s="27" t="str">
        <f aca="false">IF(OR(E530="",E530="!!!",F530="NEW"),"",INDEX(B27:B$504,-1+SUMPRODUCT(MAX(ROW(E27:E$504)*(E530=E27:E$504)))))</f>
        <v/>
      </c>
      <c r="J530" s="27" t="str">
        <f aca="true">IF(OR(E530="",E530="!!!",F530="NEW"),"",COUNTBLANK(OFFSET(A$1,,,SUMPRODUCT(MAX(ROW(E$2:E530)*(E530=E$2:E530)))))-COUNTBLANK(OFFSET(A$1,,,SUMPRODUCT(MAX(ROW(E$1:E529)*(E2=E$1:E529))))))</f>
        <v/>
      </c>
      <c r="K530" s="27" t="str">
        <f aca="false">IF(OR(E530="",E530="!!!",F530="NEW"),"",INDEX(J$1:J529,SUMPRODUCT(MAX(ROW(E$1:E529)*(E530=E$1:E529)))))</f>
        <v/>
      </c>
      <c r="L530" s="28"/>
    </row>
    <row r="531" customFormat="false" ht="15" hidden="false" customHeight="false" outlineLevel="0" collapsed="false">
      <c r="A531" s="21" t="s">
        <v>253</v>
      </c>
      <c r="E531" s="25"/>
      <c r="F531" s="26" t="str">
        <f aca="false">IF(OR(E531="",E531="!!!"),"",IF(NOT(ISNA(VLOOKUP(E531,E$1:E530,1,FALSE()))),"OLD",IF(AND(E531&lt;&gt;"",E531&lt;&gt;"!!!"),"NEW","")))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7" t="str">
        <f aca="false">IF(OR(E531="",E531="!!!",F531="NEW"),"",INDEX(B28:B$504,-1+SUMPRODUCT(MAX(ROW(E28:E$504)*(E531=E28:E$504)))))</f>
        <v/>
      </c>
      <c r="J531" s="27" t="str">
        <f aca="true">IF(OR(E531="",E531="!!!",F531="NEW"),"",COUNTBLANK(OFFSET(A$1,,,SUMPRODUCT(MAX(ROW(E$2:E531)*(E531=E$2:E531)))))-COUNTBLANK(OFFSET(A$1,,,SUMPRODUCT(MAX(ROW(E$1:E530)*(E2=E$1:E530))))))</f>
        <v/>
      </c>
      <c r="K531" s="27" t="str">
        <f aca="false">IF(OR(E531="",E531="!!!",F531="NEW"),"",INDEX(J$1:J530,SUMPRODUCT(MAX(ROW(E$1:E530)*(E531=E$1:E530)))))</f>
        <v/>
      </c>
      <c r="L531" s="28"/>
    </row>
    <row r="532" customFormat="false" ht="15" hidden="false" customHeight="false" outlineLevel="0" collapsed="false">
      <c r="A532" s="21" t="s">
        <v>508</v>
      </c>
      <c r="E532" s="25"/>
      <c r="F532" s="26" t="str">
        <f aca="false">IF(OR(E532="",E532="!!!"),"",IF(NOT(ISNA(VLOOKUP(E532,E$1:E531,1,FALSE()))),"OLD",IF(AND(E532&lt;&gt;"",E532&lt;&gt;"!!!"),"NEW","")))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7" t="str">
        <f aca="false">IF(OR(E532="",E532="!!!",F532="NEW"),"",INDEX(B29:B$504,-1+SUMPRODUCT(MAX(ROW(E29:E$504)*(E532=E29:E$504)))))</f>
        <v/>
      </c>
      <c r="J532" s="27" t="str">
        <f aca="true">IF(OR(E532="",E532="!!!",F532="NEW"),"",COUNTBLANK(OFFSET(A$1,,,SUMPRODUCT(MAX(ROW(E$2:E532)*(E532=E$2:E532)))))-COUNTBLANK(OFFSET(A$1,,,SUMPRODUCT(MAX(ROW(E$1:E531)*(E2=E$1:E531))))))</f>
        <v/>
      </c>
      <c r="K532" s="27" t="str">
        <f aca="false">IF(OR(E532="",E532="!!!",F532="NEW"),"",INDEX(J$1:J531,SUMPRODUCT(MAX(ROW(E$1:E531)*(E532=E$1:E531)))))</f>
        <v/>
      </c>
      <c r="L532" s="28"/>
    </row>
    <row r="533" customFormat="false" ht="15" hidden="false" customHeight="false" outlineLevel="0" collapsed="false">
      <c r="A533" s="21" t="s">
        <v>509</v>
      </c>
      <c r="E533" s="25"/>
      <c r="F533" s="26" t="str">
        <f aca="false">IF(OR(E533="",E533="!!!"),"",IF(NOT(ISNA(VLOOKUP(E533,E$1:E532,1,FALSE()))),"OLD",IF(AND(E533&lt;&gt;"",E533&lt;&gt;"!!!"),"NEW","")))</f>
        <v/>
      </c>
      <c r="G533" s="22" t="str">
        <f aca="false">IF(OR(E533="",E533="!!!"),"",IF(OR(J533=0,AND(J533=1,K533=1),AND(J533=1,I533="SBJ"),AND(J533=1,I533=0)),"?IN_FOCUS",IF(J533&lt;=2,"?ACTIVATED",IF(J533&lt;&gt;"","?FAMILIAR",IF(F533="NEW",IF(ISNA(VLOOKUP(E533,#REF!,1,FALSE())),"?TYPE_IDENTIFIABLE","?REFERENTIAL"),"_")))))</f>
        <v/>
      </c>
      <c r="H533" s="23" t="str">
        <f aca="false">IF(J533&lt;&gt;1,"",IF(I533="SBJ","CB","?"))</f>
        <v/>
      </c>
      <c r="I533" s="27" t="str">
        <f aca="false">IF(OR(E533="",E533="!!!",F533="NEW"),"",INDEX(B30:B$504,-1+SUMPRODUCT(MAX(ROW(E30:E$504)*(E533=E30:E$504)))))</f>
        <v/>
      </c>
      <c r="J533" s="27" t="str">
        <f aca="true">IF(OR(E533="",E533="!!!",F533="NEW"),"",COUNTBLANK(OFFSET(A$1,,,SUMPRODUCT(MAX(ROW(E$2:E533)*(E533=E$2:E533)))))-COUNTBLANK(OFFSET(A$1,,,SUMPRODUCT(MAX(ROW(E$1:E532)*(E2=E$1:E532))))))</f>
        <v/>
      </c>
      <c r="K533" s="27" t="str">
        <f aca="false">IF(OR(E533="",E533="!!!",F533="NEW"),"",INDEX(J$1:J532,SUMPRODUCT(MAX(ROW(E$1:E532)*(E533=E$1:E532)))))</f>
        <v/>
      </c>
      <c r="L533" s="28"/>
    </row>
    <row r="534" customFormat="false" ht="15" hidden="false" customHeight="false" outlineLevel="0" collapsed="false">
      <c r="A534" s="21" t="s">
        <v>510</v>
      </c>
      <c r="B534" s="29" t="s">
        <v>216</v>
      </c>
      <c r="C534" s="29" t="s">
        <v>167</v>
      </c>
      <c r="E534" s="25"/>
      <c r="F534" s="26" t="str">
        <f aca="false">IF(OR(E534="",E534="!!!"),"",IF(NOT(ISNA(VLOOKUP(E534,E$1:E533,1,FALSE()))),"OLD",IF(AND(E534&lt;&gt;"",E534&lt;&gt;"!!!"),"NEW","")))</f>
        <v/>
      </c>
      <c r="G534" s="22" t="str">
        <f aca="false">IF(OR(E534="",E534="!!!"),"",IF(OR(J534=0,AND(J534=1,K534=1),AND(J534=1,I534="SBJ"),AND(J534=1,I534=0)),"?IN_FOCUS",IF(J534&lt;=2,"?ACTIVATED",IF(J534&lt;&gt;"","?FAMILIAR",IF(F534="NEW",IF(ISNA(VLOOKUP(E534,#REF!,1,FALSE())),"?TYPE_IDENTIFIABLE","?REFERENTIAL"),"_")))))</f>
        <v/>
      </c>
      <c r="H534" s="23" t="str">
        <f aca="false">IF(J534&lt;&gt;1,"",IF(I534="SBJ","CB","?"))</f>
        <v/>
      </c>
      <c r="I534" s="27" t="str">
        <f aca="false">IF(OR(E534="",E534="!!!",F534="NEW"),"",INDEX(B31:B$504,-1+SUMPRODUCT(MAX(ROW(E31:E$504)*(E534=E31:E$504)))))</f>
        <v/>
      </c>
      <c r="J534" s="27" t="str">
        <f aca="true">IF(OR(E534="",E534="!!!",F534="NEW"),"",COUNTBLANK(OFFSET(A$1,,,SUMPRODUCT(MAX(ROW(E$2:E534)*(E534=E$2:E534)))))-COUNTBLANK(OFFSET(A$1,,,SUMPRODUCT(MAX(ROW(E$1:E533)*(E2=E$1:E533))))))</f>
        <v/>
      </c>
      <c r="K534" s="27" t="str">
        <f aca="false">IF(OR(E534="",E534="!!!",F534="NEW"),"",INDEX(J$1:J533,SUMPRODUCT(MAX(ROW(E$1:E533)*(E534=E$1:E533)))))</f>
        <v/>
      </c>
      <c r="L534" s="28"/>
    </row>
    <row r="535" customFormat="false" ht="15" hidden="false" customHeight="false" outlineLevel="0" collapsed="false">
      <c r="A535" s="21" t="s">
        <v>212</v>
      </c>
      <c r="E535" s="25"/>
      <c r="F535" s="26" t="str">
        <f aca="false">IF(OR(E535="",E535="!!!"),"",IF(NOT(ISNA(VLOOKUP(E535,E$1:E534,1,FALSE()))),"OLD",IF(AND(E535&lt;&gt;"",E535&lt;&gt;"!!!"),"NEW","")))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7" t="str">
        <f aca="false">IF(OR(E535="",E535="!!!",F535="NEW"),"",INDEX(B32:B$504,-1+SUMPRODUCT(MAX(ROW(E32:E$504)*(E535=E32:E$504)))))</f>
        <v/>
      </c>
      <c r="J535" s="27" t="str">
        <f aca="true">IF(OR(E535="",E535="!!!",F535="NEW"),"",COUNTBLANK(OFFSET(A$1,,,SUMPRODUCT(MAX(ROW(E$2:E535)*(E535=E$2:E535)))))-COUNTBLANK(OFFSET(A$1,,,SUMPRODUCT(MAX(ROW(E$1:E534)*(E2=E$1:E534))))))</f>
        <v/>
      </c>
      <c r="K535" s="27" t="str">
        <f aca="false">IF(OR(E535="",E535="!!!",F535="NEW"),"",INDEX(J$1:J534,SUMPRODUCT(MAX(ROW(E$1:E534)*(E535=E$1:E534)))))</f>
        <v/>
      </c>
      <c r="L535" s="28"/>
    </row>
    <row r="536" customFormat="false" ht="15" hidden="false" customHeight="false" outlineLevel="0" collapsed="false">
      <c r="A536" s="21" t="s">
        <v>511</v>
      </c>
      <c r="B536" s="29" t="s">
        <v>232</v>
      </c>
      <c r="C536" s="29" t="s">
        <v>167</v>
      </c>
      <c r="E536" s="25"/>
      <c r="F536" s="26" t="str">
        <f aca="false">IF(OR(E536="",E536="!!!"),"",IF(NOT(ISNA(VLOOKUP(E536,E$1:E535,1,FALSE()))),"OLD",IF(AND(E536&lt;&gt;"",E536&lt;&gt;"!!!"),"NEW","")))</f>
        <v/>
      </c>
      <c r="G536" s="22" t="str">
        <f aca="false">IF(OR(E536="",E536="!!!"),"",IF(OR(J536=0,AND(J536=1,K536=1),AND(J536=1,I536="SBJ"),AND(J536=1,I536=0)),"?IN_FOCUS",IF(J536&lt;=2,"?ACTIVATED",IF(J536&lt;&gt;"","?FAMILIAR",IF(F536="NEW",IF(ISNA(VLOOKUP(E536,#REF!,1,FALSE())),"?TYPE_IDENTIFIABLE","?REFERENTIAL"),"_")))))</f>
        <v/>
      </c>
      <c r="H536" s="23" t="str">
        <f aca="false">IF(J536&lt;&gt;1,"",IF(I536="SBJ","CB","?"))</f>
        <v/>
      </c>
      <c r="I536" s="27" t="str">
        <f aca="false">IF(OR(E536="",E536="!!!",F536="NEW"),"",INDEX(B33:B$504,-1+SUMPRODUCT(MAX(ROW(E33:E$504)*(E536=E33:E$504)))))</f>
        <v/>
      </c>
      <c r="J536" s="27" t="str">
        <f aca="true">IF(OR(E536="",E536="!!!",F536="NEW"),"",COUNTBLANK(OFFSET(A$1,,,SUMPRODUCT(MAX(ROW(E$2:E536)*(E536=E$2:E536)))))-COUNTBLANK(OFFSET(A$1,,,SUMPRODUCT(MAX(ROW(E$1:E535)*(E2=E$1:E535))))))</f>
        <v/>
      </c>
      <c r="K536" s="27" t="str">
        <f aca="false">IF(OR(E536="",E536="!!!",F536="NEW"),"",INDEX(J$1:J535,SUMPRODUCT(MAX(ROW(E$1:E535)*(E536=E$1:E535)))))</f>
        <v/>
      </c>
      <c r="L536" s="28"/>
    </row>
    <row r="537" customFormat="false" ht="15" hidden="false" customHeight="false" outlineLevel="0" collapsed="false">
      <c r="A537" s="21" t="s">
        <v>207</v>
      </c>
      <c r="E537" s="25"/>
      <c r="F537" s="26" t="str">
        <f aca="false">IF(OR(E537="",E537="!!!"),"",IF(NOT(ISNA(VLOOKUP(E537,E$1:E536,1,FALSE()))),"OLD",IF(AND(E537&lt;&gt;"",E537&lt;&gt;"!!!"),"NEW","")))</f>
        <v/>
      </c>
      <c r="G537" s="22" t="str">
        <f aca="false">IF(OR(E537="",E537="!!!"),"",IF(OR(J537=0,AND(J537=1,K537=1),AND(J537=1,I537="SBJ"),AND(J537=1,I537=0)),"?IN_FOCUS",IF(J537&lt;=2,"?ACTIVATED",IF(J537&lt;&gt;"","?FAMILIAR",IF(F537="NEW",IF(ISNA(VLOOKUP(E537,#REF!,1,FALSE())),"?TYPE_IDENTIFIABLE","?REFERENTIAL"),"_")))))</f>
        <v/>
      </c>
      <c r="H537" s="23" t="str">
        <f aca="false">IF(J537&lt;&gt;1,"",IF(I537="SBJ","CB","?"))</f>
        <v/>
      </c>
      <c r="I537" s="27" t="str">
        <f aca="false">IF(OR(E537="",E537="!!!",F537="NEW"),"",INDEX(B34:B$504,-1+SUMPRODUCT(MAX(ROW(E34:E$504)*(E537=E34:E$504)))))</f>
        <v/>
      </c>
      <c r="J537" s="27" t="str">
        <f aca="true">IF(OR(E537="",E537="!!!",F537="NEW"),"",COUNTBLANK(OFFSET(A$1,,,SUMPRODUCT(MAX(ROW(E$2:E537)*(E537=E$2:E537)))))-COUNTBLANK(OFFSET(A$1,,,SUMPRODUCT(MAX(ROW(E$1:E536)*(E2=E$1:E536))))))</f>
        <v/>
      </c>
      <c r="K537" s="27" t="str">
        <f aca="false">IF(OR(E537="",E537="!!!",F537="NEW"),"",INDEX(J$1:J536,SUMPRODUCT(MAX(ROW(E$1:E536)*(E537=E$1:E536)))))</f>
        <v/>
      </c>
      <c r="L537" s="28"/>
    </row>
    <row r="538" customFormat="false" ht="15" hidden="false" customHeight="false" outlineLevel="0" collapsed="false">
      <c r="A538" s="21" t="s">
        <v>512</v>
      </c>
      <c r="E538" s="25"/>
      <c r="F538" s="26" t="str">
        <f aca="false">IF(OR(E538="",E538="!!!"),"",IF(NOT(ISNA(VLOOKUP(E538,E$1:E537,1,FALSE()))),"OLD",IF(AND(E538&lt;&gt;"",E538&lt;&gt;"!!!"),"NEW","")))</f>
        <v/>
      </c>
      <c r="G538" s="22" t="str">
        <f aca="false">IF(OR(E538="",E538="!!!"),"",IF(OR(J538=0,AND(J538=1,K538=1),AND(J538=1,I538="SBJ"),AND(J538=1,I538=0)),"?IN_FOCUS",IF(J538&lt;=2,"?ACTIVATED",IF(J538&lt;&gt;"","?FAMILIAR",IF(F538="NEW",IF(ISNA(VLOOKUP(E538,#REF!,1,FALSE())),"?TYPE_IDENTIFIABLE","?REFERENTIAL"),"_")))))</f>
        <v/>
      </c>
      <c r="H538" s="23" t="str">
        <f aca="false">IF(J538&lt;&gt;1,"",IF(I538="SBJ","CB","?"))</f>
        <v/>
      </c>
      <c r="I538" s="27" t="str">
        <f aca="false">IF(OR(E538="",E538="!!!",F538="NEW"),"",INDEX(B35:B$504,-1+SUMPRODUCT(MAX(ROW(E35:E$504)*(E538=E35:E$504)))))</f>
        <v/>
      </c>
      <c r="J538" s="27" t="str">
        <f aca="true">IF(OR(E538="",E538="!!!",F538="NEW"),"",COUNTBLANK(OFFSET(A$1,,,SUMPRODUCT(MAX(ROW(E$2:E538)*(E538=E$2:E538)))))-COUNTBLANK(OFFSET(A$1,,,SUMPRODUCT(MAX(ROW(E$1:E537)*(E2=E$1:E537))))))</f>
        <v/>
      </c>
      <c r="K538" s="27" t="str">
        <f aca="false">IF(OR(E538="",E538="!!!",F538="NEW"),"",INDEX(J$1:J537,SUMPRODUCT(MAX(ROW(E$1:E537)*(E538=E$1:E537)))))</f>
        <v/>
      </c>
      <c r="L538" s="28"/>
    </row>
    <row r="539" customFormat="false" ht="15" hidden="false" customHeight="false" outlineLevel="0" collapsed="false">
      <c r="A539" s="21" t="s">
        <v>208</v>
      </c>
      <c r="B539" s="29" t="s">
        <v>234</v>
      </c>
      <c r="C539" s="29" t="s">
        <v>167</v>
      </c>
      <c r="E539" s="25"/>
      <c r="F539" s="26" t="str">
        <f aca="false">IF(OR(E539="",E539="!!!"),"",IF(NOT(ISNA(VLOOKUP(E539,E$1:E538,1,FALSE()))),"OLD",IF(AND(E539&lt;&gt;"",E539&lt;&gt;"!!!"),"NEW","")))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7" t="str">
        <f aca="false">IF(OR(E539="",E539="!!!",F539="NEW"),"",INDEX(B36:B$504,-1+SUMPRODUCT(MAX(ROW(E36:E$504)*(E539=E36:E$504)))))</f>
        <v/>
      </c>
      <c r="J539" s="27" t="str">
        <f aca="true">IF(OR(E539="",E539="!!!",F539="NEW"),"",COUNTBLANK(OFFSET(A$1,,,SUMPRODUCT(MAX(ROW(E$2:E539)*(E539=E$2:E539)))))-COUNTBLANK(OFFSET(A$1,,,SUMPRODUCT(MAX(ROW(E$1:E538)*(E2=E$1:E538))))))</f>
        <v/>
      </c>
      <c r="K539" s="27" t="str">
        <f aca="false">IF(OR(E539="",E539="!!!",F539="NEW"),"",INDEX(J$1:J538,SUMPRODUCT(MAX(ROW(E$1:E538)*(E539=E$1:E538)))))</f>
        <v/>
      </c>
      <c r="L539" s="28"/>
    </row>
    <row r="540" customFormat="false" ht="15" hidden="false" customHeight="false" outlineLevel="0" collapsed="false">
      <c r="A540" s="21" t="s">
        <v>193</v>
      </c>
      <c r="E540" s="25"/>
      <c r="F540" s="26" t="str">
        <f aca="false">IF(OR(E540="",E540="!!!"),"",IF(NOT(ISNA(VLOOKUP(E540,E$1:E539,1,FALSE()))),"OLD",IF(AND(E540&lt;&gt;"",E540&lt;&gt;"!!!"),"NEW","")))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7" t="str">
        <f aca="false">IF(OR(E540="",E540="!!!",F540="NEW"),"",INDEX(B37:B$504,-1+SUMPRODUCT(MAX(ROW(E37:E$504)*(E540=E37:E$504)))))</f>
        <v/>
      </c>
      <c r="J540" s="27" t="str">
        <f aca="true">IF(OR(E540="",E540="!!!",F540="NEW"),"",COUNTBLANK(OFFSET(A$1,,,SUMPRODUCT(MAX(ROW(E$2:E540)*(E540=E$2:E540)))))-COUNTBLANK(OFFSET(A$1,,,SUMPRODUCT(MAX(ROW(E$1:E539)*(E2=E$1:E539))))))</f>
        <v/>
      </c>
      <c r="K540" s="27" t="str">
        <f aca="false">IF(OR(E540="",E540="!!!",F540="NEW"),"",INDEX(J$1:J539,SUMPRODUCT(MAX(ROW(E$1:E539)*(E540=E$1:E539)))))</f>
        <v/>
      </c>
      <c r="L540" s="28"/>
    </row>
    <row r="541" customFormat="false" ht="15" hidden="false" customHeight="false" outlineLevel="0" collapsed="false">
      <c r="A541" s="21"/>
      <c r="G541" s="22" t="str">
        <f aca="false">IF(OR(E541="",E541="!!!"),"",IF(OR(J541=0,AND(J541=1,K541=1),AND(J541=1,I541="SBJ"),AND(J541=1,I541=0)),"?IN_FOCUS",IF(J541&lt;=2,"?ACTIVATED",IF(J541&lt;&gt;"","?FAMILIAR",IF(F541="NEW",IF(ISNA(VLOOKUP(E541,#REF!,1,FALSE())),"?TYPE_IDENTIFIABLE","?REFERENTIAL"),"_")))))</f>
        <v/>
      </c>
      <c r="H541" s="23" t="str">
        <f aca="false">IF(J541&lt;&gt;1,"",IF(I541="SBJ","CB","?"))</f>
        <v/>
      </c>
    </row>
    <row r="542" customFormat="false" ht="15" hidden="false" customHeight="false" outlineLevel="0" collapsed="false">
      <c r="A542" s="21" t="s">
        <v>513</v>
      </c>
      <c r="G542" s="22" t="str">
        <f aca="false">IF(OR(E542="",E542="!!!"),"",IF(OR(J542=0,AND(J542=1,K542=1),AND(J542=1,I542="SBJ"),AND(J542=1,I542=0)),"?IN_FOCUS",IF(J542&lt;=2,"?ACTIVATED",IF(J542&lt;&gt;"","?FAMILIAR",IF(F542="NEW",IF(ISNA(VLOOKUP(E542,#REF!,1,FALSE())),"?TYPE_IDENTIFIABLE","?REFERENTIAL"),"_")))))</f>
        <v/>
      </c>
      <c r="H542" s="23" t="str">
        <f aca="false">IF(J542&lt;&gt;1,"",IF(I542="SBJ","CB","?"))</f>
        <v/>
      </c>
    </row>
    <row r="543" customFormat="false" ht="15" hidden="false" customHeight="false" outlineLevel="0" collapsed="false">
      <c r="A543" s="21" t="s">
        <v>483</v>
      </c>
      <c r="B543" s="29" t="s">
        <v>180</v>
      </c>
      <c r="C543" s="29" t="s">
        <v>181</v>
      </c>
      <c r="D543" s="29" t="s">
        <v>159</v>
      </c>
      <c r="E543" s="25" t="s">
        <v>395</v>
      </c>
      <c r="F543" s="30" t="str">
        <f aca="false">IF(OR(E543="",E543="!!!"),"",IF(NOT(ISNA(VLOOKUP(E543,E$1:E542,1,FALSE()))),"OLD",IF(AND(E543&lt;&gt;"",E543&lt;&gt;"!!!"),"NEW","")))</f>
        <v>OLD</v>
      </c>
      <c r="G543" s="22" t="s">
        <v>186</v>
      </c>
      <c r="H543" s="23" t="str">
        <f aca="false">IF(J543&lt;&gt;1,"",IF(I543="SBJ","CB","?"))</f>
        <v/>
      </c>
      <c r="I543" s="31" t="str">
        <f aca="false">IF(OR(E543="",E543="!!!",F543="NEW"),"",INDEX(B2:B$542,-1+SUMPRODUCT(MAX(ROW(E2:E$542)*(E543=E2:E$542)))))</f>
        <v>SBJ</v>
      </c>
      <c r="J543" s="31" t="n">
        <f aca="true">IF(OR(E543="",E543="!!!",F543="NEW"),"",COUNTBLANK(OFFSET(A$1,,,SUMPRODUCT(MAX(ROW(E$2:E543)*(E543=E$2:E543)))))-COUNTBLANK(OFFSET(A$1,,,SUMPRODUCT(MAX(ROW(E$1:E542)*(E2=E$1:E542))))))</f>
        <v>0</v>
      </c>
      <c r="K543" s="31" t="n">
        <f aca="false">IF(OR(E543="",E543="!!!",F543="NEW"),"",INDEX(J$1:J542,SUMPRODUCT(MAX(ROW(E$1:E542)*(E543=E$1:E542)))))</f>
        <v>0</v>
      </c>
      <c r="L543" s="28"/>
    </row>
    <row r="544" customFormat="false" ht="15" hidden="false" customHeight="false" outlineLevel="0" collapsed="false">
      <c r="A544" s="21" t="s">
        <v>99</v>
      </c>
      <c r="E544" s="25"/>
      <c r="F544" s="26" t="str">
        <f aca="false">IF(OR(E544="",E544="!!!"),"",IF(NOT(ISNA(VLOOKUP(E544,E$1:E543,1,FALSE()))),"OLD",IF(AND(E544&lt;&gt;"",E544&lt;&gt;"!!!"),"NEW","")))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7" t="str">
        <f aca="false">IF(OR(E544="",E544="!!!",F544="NEW"),"",INDEX(B3:B$542,-1+SUMPRODUCT(MAX(ROW(E3:E$542)*(E544=E3:E$542)))))</f>
        <v/>
      </c>
      <c r="J544" s="27" t="str">
        <f aca="true">IF(OR(E544="",E544="!!!",F544="NEW"),"",COUNTBLANK(OFFSET(A$1,,,SUMPRODUCT(MAX(ROW(E$2:E544)*(E544=E$2:E544)))))-COUNTBLANK(OFFSET(A$1,,,SUMPRODUCT(MAX(ROW(E$1:E543)*(E2=E$1:E543))))))</f>
        <v/>
      </c>
      <c r="K544" s="27" t="str">
        <f aca="false">IF(OR(E544="",E544="!!!",F544="NEW"),"",INDEX(J$1:J543,SUMPRODUCT(MAX(ROW(E$1:E543)*(E544=E$1:E543)))))</f>
        <v/>
      </c>
      <c r="L544" s="28"/>
    </row>
    <row r="545" customFormat="false" ht="15" hidden="false" customHeight="false" outlineLevel="0" collapsed="false">
      <c r="A545" s="21" t="s">
        <v>514</v>
      </c>
      <c r="E545" s="25"/>
      <c r="F545" s="26" t="str">
        <f aca="false">IF(OR(E545="",E545="!!!"),"",IF(NOT(ISNA(VLOOKUP(E545,E$1:E544,1,FALSE()))),"OLD",IF(AND(E545&lt;&gt;"",E545&lt;&gt;"!!!"),"NEW","")))</f>
        <v/>
      </c>
      <c r="G545" s="22" t="str">
        <f aca="false">IF(OR(E545="",E545="!!!"),"",IF(OR(J545=0,AND(J545=1,K545=1),AND(J545=1,I545="SBJ"),AND(J545=1,I545=0)),"?IN_FOCUS",IF(J545&lt;=2,"?ACTIVATED",IF(J545&lt;&gt;"","?FAMILIAR",IF(F545="NEW",IF(ISNA(VLOOKUP(E545,#REF!,1,FALSE())),"?TYPE_IDENTIFIABLE","?REFERENTIAL"),"_")))))</f>
        <v/>
      </c>
      <c r="H545" s="23" t="str">
        <f aca="false">IF(J545&lt;&gt;1,"",IF(I545="SBJ","CB","?"))</f>
        <v/>
      </c>
      <c r="I545" s="27" t="str">
        <f aca="false">IF(OR(E545="",E545="!!!",F545="NEW"),"",INDEX(B4:B$542,-1+SUMPRODUCT(MAX(ROW(E4:E$542)*(E545=E4:E$542)))))</f>
        <v/>
      </c>
      <c r="J545" s="27" t="str">
        <f aca="true">IF(OR(E545="",E545="!!!",F545="NEW"),"",COUNTBLANK(OFFSET(A$1,,,SUMPRODUCT(MAX(ROW(E$2:E545)*(E545=E$2:E545)))))-COUNTBLANK(OFFSET(A$1,,,SUMPRODUCT(MAX(ROW(E$1:E544)*(E2=E$1:E544))))))</f>
        <v/>
      </c>
      <c r="K545" s="27" t="str">
        <f aca="false">IF(OR(E545="",E545="!!!",F545="NEW"),"",INDEX(J$1:J544,SUMPRODUCT(MAX(ROW(E$1:E544)*(E545=E$1:E544)))))</f>
        <v/>
      </c>
      <c r="L545" s="28"/>
    </row>
    <row r="546" customFormat="false" ht="15" hidden="false" customHeight="false" outlineLevel="0" collapsed="false">
      <c r="A546" s="21" t="s">
        <v>515</v>
      </c>
      <c r="B546" s="29" t="s">
        <v>203</v>
      </c>
      <c r="C546" s="29" t="s">
        <v>167</v>
      </c>
      <c r="E546" s="25"/>
      <c r="F546" s="26" t="str">
        <f aca="false">IF(OR(E546="",E546="!!!"),"",IF(NOT(ISNA(VLOOKUP(E546,E$1:E545,1,FALSE()))),"OLD",IF(AND(E546&lt;&gt;"",E546&lt;&gt;"!!!"),"NEW","")))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7" t="str">
        <f aca="false">IF(OR(E546="",E546="!!!",F546="NEW"),"",INDEX(B5:B$542,-1+SUMPRODUCT(MAX(ROW(E5:E$542)*(E546=E5:E$542)))))</f>
        <v/>
      </c>
      <c r="J546" s="27" t="str">
        <f aca="true">IF(OR(E546="",E546="!!!",F546="NEW"),"",COUNTBLANK(OFFSET(A$1,,,SUMPRODUCT(MAX(ROW(E$2:E546)*(E546=E$2:E546)))))-COUNTBLANK(OFFSET(A$1,,,SUMPRODUCT(MAX(ROW(E$1:E545)*(E2=E$1:E545))))))</f>
        <v/>
      </c>
      <c r="K546" s="27" t="str">
        <f aca="false">IF(OR(E546="",E546="!!!",F546="NEW"),"",INDEX(J$1:J545,SUMPRODUCT(MAX(ROW(E$1:E545)*(E546=E$1:E545)))))</f>
        <v/>
      </c>
      <c r="L546" s="28"/>
    </row>
    <row r="547" customFormat="false" ht="15" hidden="false" customHeight="false" outlineLevel="0" collapsed="false">
      <c r="A547" s="21" t="s">
        <v>212</v>
      </c>
      <c r="E547" s="25"/>
      <c r="F547" s="26" t="str">
        <f aca="false">IF(OR(E547="",E547="!!!"),"",IF(NOT(ISNA(VLOOKUP(E547,E$1:E546,1,FALSE()))),"OLD",IF(AND(E547&lt;&gt;"",E547&lt;&gt;"!!!"),"NEW","")))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7" t="str">
        <f aca="false">IF(OR(E547="",E547="!!!",F547="NEW"),"",INDEX(B6:B$542,-1+SUMPRODUCT(MAX(ROW(E6:E$542)*(E547=E6:E$542)))))</f>
        <v/>
      </c>
      <c r="J547" s="27" t="str">
        <f aca="true">IF(OR(E547="",E547="!!!",F547="NEW"),"",COUNTBLANK(OFFSET(A$1,,,SUMPRODUCT(MAX(ROW(E$2:E547)*(E547=E$2:E547)))))-COUNTBLANK(OFFSET(A$1,,,SUMPRODUCT(MAX(ROW(E$1:E546)*(E2=E$1:E546))))))</f>
        <v/>
      </c>
      <c r="K547" s="27" t="str">
        <f aca="false">IF(OR(E547="",E547="!!!",F547="NEW"),"",INDEX(J$1:J546,SUMPRODUCT(MAX(ROW(E$1:E546)*(E547=E$1:E546)))))</f>
        <v/>
      </c>
      <c r="L547" s="28"/>
    </row>
    <row r="548" customFormat="false" ht="15" hidden="false" customHeight="false" outlineLevel="0" collapsed="false">
      <c r="A548" s="21" t="s">
        <v>444</v>
      </c>
      <c r="B548" s="29" t="s">
        <v>153</v>
      </c>
      <c r="C548" s="29" t="s">
        <v>167</v>
      </c>
      <c r="E548" s="25"/>
      <c r="F548" s="26" t="str">
        <f aca="false">IF(OR(E548="",E548="!!!"),"",IF(NOT(ISNA(VLOOKUP(E548,E$1:E547,1,FALSE()))),"OLD",IF(AND(E548&lt;&gt;"",E548&lt;&gt;"!!!"),"NEW","")))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7" t="str">
        <f aca="false">IF(OR(E548="",E548="!!!",F548="NEW"),"",INDEX(B7:B$542,-1+SUMPRODUCT(MAX(ROW(E7:E$542)*(E548=E7:E$542)))))</f>
        <v/>
      </c>
      <c r="J548" s="27" t="str">
        <f aca="true">IF(OR(E548="",E548="!!!",F548="NEW"),"",COUNTBLANK(OFFSET(A$1,,,SUMPRODUCT(MAX(ROW(E$2:E548)*(E548=E$2:E548)))))-COUNTBLANK(OFFSET(A$1,,,SUMPRODUCT(MAX(ROW(E$1:E547)*(E2=E$1:E547))))))</f>
        <v/>
      </c>
      <c r="K548" s="27" t="str">
        <f aca="false">IF(OR(E548="",E548="!!!",F548="NEW"),"",INDEX(J$1:J547,SUMPRODUCT(MAX(ROW(E$1:E547)*(E548=E$1:E547)))))</f>
        <v/>
      </c>
      <c r="L548" s="28"/>
    </row>
    <row r="549" customFormat="false" ht="15" hidden="false" customHeight="false" outlineLevel="0" collapsed="false">
      <c r="A549" s="21" t="s">
        <v>253</v>
      </c>
      <c r="E549" s="25"/>
      <c r="F549" s="26" t="str">
        <f aca="false">IF(OR(E549="",E549="!!!"),"",IF(NOT(ISNA(VLOOKUP(E549,E$1:E548,1,FALSE()))),"OLD",IF(AND(E549&lt;&gt;"",E549&lt;&gt;"!!!"),"NEW","")))</f>
        <v/>
      </c>
      <c r="G549" s="22" t="str">
        <f aca="false">IF(OR(E549="",E549="!!!"),"",IF(OR(J549=0,AND(J549=1,K549=1),AND(J549=1,I549="SBJ"),AND(J549=1,I549=0)),"?IN_FOCUS",IF(J549&lt;=2,"?ACTIVATED",IF(J549&lt;&gt;"","?FAMILIAR",IF(F549="NEW",IF(ISNA(VLOOKUP(E549,#REF!,1,FALSE())),"?TYPE_IDENTIFIABLE","?REFERENTIAL"),"_")))))</f>
        <v/>
      </c>
      <c r="H549" s="23" t="str">
        <f aca="false">IF(J549&lt;&gt;1,"",IF(I549="SBJ","CB","?"))</f>
        <v/>
      </c>
      <c r="I549" s="27" t="str">
        <f aca="false">IF(OR(E549="",E549="!!!",F549="NEW"),"",INDEX(B8:B$542,-1+SUMPRODUCT(MAX(ROW(E8:E$542)*(E549=E8:E$542)))))</f>
        <v/>
      </c>
      <c r="J549" s="27" t="str">
        <f aca="true">IF(OR(E549="",E549="!!!",F549="NEW"),"",COUNTBLANK(OFFSET(A$1,,,SUMPRODUCT(MAX(ROW(E$2:E549)*(E549=E$2:E549)))))-COUNTBLANK(OFFSET(A$1,,,SUMPRODUCT(MAX(ROW(E$1:E548)*(E2=E$1:E548))))))</f>
        <v/>
      </c>
      <c r="K549" s="27" t="str">
        <f aca="false">IF(OR(E549="",E549="!!!",F549="NEW"),"",INDEX(J$1:J548,SUMPRODUCT(MAX(ROW(E$1:E548)*(E549=E$1:E548)))))</f>
        <v/>
      </c>
      <c r="L549" s="28"/>
    </row>
    <row r="550" customFormat="false" ht="15" hidden="false" customHeight="false" outlineLevel="0" collapsed="false">
      <c r="A550" s="21" t="s">
        <v>169</v>
      </c>
      <c r="E550" s="25"/>
      <c r="F550" s="26" t="str">
        <f aca="false">IF(OR(E550="",E550="!!!"),"",IF(NOT(ISNA(VLOOKUP(E550,E$1:E549,1,FALSE()))),"OLD",IF(AND(E550&lt;&gt;"",E550&lt;&gt;"!!!"),"NEW","")))</f>
        <v/>
      </c>
      <c r="G550" s="22" t="str">
        <f aca="false">IF(OR(E550="",E550="!!!"),"",IF(OR(J550=0,AND(J550=1,K550=1),AND(J550=1,I550="SBJ"),AND(J550=1,I550=0)),"?IN_FOCUS",IF(J550&lt;=2,"?ACTIVATED",IF(J550&lt;&gt;"","?FAMILIAR",IF(F550="NEW",IF(ISNA(VLOOKUP(E550,#REF!,1,FALSE())),"?TYPE_IDENTIFIABLE","?REFERENTIAL"),"_")))))</f>
        <v/>
      </c>
      <c r="H550" s="23" t="str">
        <f aca="false">IF(J550&lt;&gt;1,"",IF(I550="SBJ","CB","?"))</f>
        <v/>
      </c>
      <c r="I550" s="27" t="str">
        <f aca="false">IF(OR(E550="",E550="!!!",F550="NEW"),"",INDEX(B9:B$542,-1+SUMPRODUCT(MAX(ROW(E9:E$542)*(E550=E9:E$542)))))</f>
        <v/>
      </c>
      <c r="J550" s="27" t="str">
        <f aca="true">IF(OR(E550="",E550="!!!",F550="NEW"),"",COUNTBLANK(OFFSET(A$1,,,SUMPRODUCT(MAX(ROW(E$2:E550)*(E550=E$2:E550)))))-COUNTBLANK(OFFSET(A$1,,,SUMPRODUCT(MAX(ROW(E$1:E549)*(E2=E$1:E549))))))</f>
        <v/>
      </c>
      <c r="K550" s="27" t="str">
        <f aca="false">IF(OR(E550="",E550="!!!",F550="NEW"),"",INDEX(J$1:J549,SUMPRODUCT(MAX(ROW(E$1:E549)*(E550=E$1:E549)))))</f>
        <v/>
      </c>
      <c r="L550" s="28"/>
    </row>
    <row r="551" customFormat="false" ht="15" hidden="false" customHeight="false" outlineLevel="0" collapsed="false">
      <c r="A551" s="21" t="s">
        <v>516</v>
      </c>
      <c r="B551" s="29" t="s">
        <v>190</v>
      </c>
      <c r="C551" s="29" t="s">
        <v>171</v>
      </c>
      <c r="D551" s="29" t="s">
        <v>159</v>
      </c>
      <c r="E551" s="25" t="s">
        <v>517</v>
      </c>
      <c r="F551" s="30" t="str">
        <f aca="false">IF(OR(E551="",E551="!!!"),"",IF(NOT(ISNA(VLOOKUP(E551,E$1:E550,1,FALSE()))),"OLD",IF(AND(E551&lt;&gt;"",E551&lt;&gt;"!!!"),"NEW","")))</f>
        <v>NEW</v>
      </c>
      <c r="G551" s="22" t="s">
        <v>160</v>
      </c>
      <c r="H551" s="23" t="str">
        <f aca="false">IF(J551&lt;&gt;1,"",IF(I551="SBJ","CB","?"))</f>
        <v/>
      </c>
      <c r="I551" s="31" t="str">
        <f aca="false">IF(OR(E551="",E551="!!!",F551="NEW"),"",INDEX(B10:B$542,-1+SUMPRODUCT(MAX(ROW(E10:E$542)*(E551=E10:E$542)))))</f>
        <v/>
      </c>
      <c r="J551" s="31" t="str">
        <f aca="true">IF(OR(E551="",E551="!!!",F551="NEW"),"",COUNTBLANK(OFFSET(A$1,,,SUMPRODUCT(MAX(ROW(E$2:E551)*(E551=E$2:E551)))))-COUNTBLANK(OFFSET(A$1,,,SUMPRODUCT(MAX(ROW(E$1:E550)*(E2=E$1:E550))))))</f>
        <v/>
      </c>
      <c r="K551" s="31" t="str">
        <f aca="false">IF(OR(E551="",E551="!!!",F551="NEW"),"",INDEX(J$1:J550,SUMPRODUCT(MAX(ROW(E$1:E550)*(E551=E$1:E550)))))</f>
        <v/>
      </c>
      <c r="L551" s="28"/>
    </row>
    <row r="552" customFormat="false" ht="15" hidden="false" customHeight="false" outlineLevel="0" collapsed="false">
      <c r="A552" s="21" t="s">
        <v>207</v>
      </c>
      <c r="E552" s="25"/>
      <c r="F552" s="26" t="str">
        <f aca="false">IF(OR(E552="",E552="!!!"),"",IF(NOT(ISNA(VLOOKUP(E552,E$1:E551,1,FALSE()))),"OLD",IF(AND(E552&lt;&gt;"",E552&lt;&gt;"!!!"),"NEW","")))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7" t="str">
        <f aca="false">IF(OR(E552="",E552="!!!",F552="NEW"),"",INDEX(B11:B$542,-1+SUMPRODUCT(MAX(ROW(E11:E$542)*(E552=E11:E$542)))))</f>
        <v/>
      </c>
      <c r="J552" s="27" t="str">
        <f aca="true">IF(OR(E552="",E552="!!!",F552="NEW"),"",COUNTBLANK(OFFSET(A$1,,,SUMPRODUCT(MAX(ROW(E$2:E552)*(E552=E$2:E552)))))-COUNTBLANK(OFFSET(A$1,,,SUMPRODUCT(MAX(ROW(E$1:E551)*(E2=E$1:E551))))))</f>
        <v/>
      </c>
      <c r="K552" s="27" t="str">
        <f aca="false">IF(OR(E552="",E552="!!!",F552="NEW"),"",INDEX(J$1:J551,SUMPRODUCT(MAX(ROW(E$1:E551)*(E552=E$1:E551)))))</f>
        <v/>
      </c>
      <c r="L552" s="28"/>
    </row>
    <row r="553" customFormat="false" ht="15" hidden="false" customHeight="false" outlineLevel="0" collapsed="false">
      <c r="A553" s="21" t="s">
        <v>169</v>
      </c>
      <c r="E553" s="25"/>
      <c r="F553" s="26" t="str">
        <f aca="false">IF(OR(E553="",E553="!!!"),"",IF(NOT(ISNA(VLOOKUP(E553,E$1:E552,1,FALSE()))),"OLD",IF(AND(E553&lt;&gt;"",E553&lt;&gt;"!!!"),"NEW","")))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7" t="str">
        <f aca="false">IF(OR(E553="",E553="!!!",F553="NEW"),"",INDEX(B12:B$542,-1+SUMPRODUCT(MAX(ROW(E12:E$542)*(E553=E12:E$542)))))</f>
        <v/>
      </c>
      <c r="J553" s="27" t="str">
        <f aca="true">IF(OR(E553="",E553="!!!",F553="NEW"),"",COUNTBLANK(OFFSET(A$1,,,SUMPRODUCT(MAX(ROW(E$2:E553)*(E553=E$2:E553)))))-COUNTBLANK(OFFSET(A$1,,,SUMPRODUCT(MAX(ROW(E$1:E552)*(E2=E$1:E552))))))</f>
        <v/>
      </c>
      <c r="K553" s="27" t="str">
        <f aca="false">IF(OR(E553="",E553="!!!",F553="NEW"),"",INDEX(J$1:J552,SUMPRODUCT(MAX(ROW(E$1:E552)*(E553=E$1:E552)))))</f>
        <v/>
      </c>
      <c r="L553" s="28"/>
    </row>
    <row r="554" customFormat="false" ht="15" hidden="false" customHeight="false" outlineLevel="0" collapsed="false">
      <c r="A554" s="21" t="s">
        <v>518</v>
      </c>
      <c r="B554" s="29" t="s">
        <v>185</v>
      </c>
      <c r="C554" s="29" t="s">
        <v>171</v>
      </c>
      <c r="D554" s="29" t="s">
        <v>159</v>
      </c>
      <c r="E554" s="25" t="s">
        <v>519</v>
      </c>
      <c r="F554" s="30" t="str">
        <f aca="false">IF(OR(E554="",E554="!!!"),"",IF(NOT(ISNA(VLOOKUP(E554,E$1:E553,1,FALSE()))),"OLD",IF(AND(E554&lt;&gt;"",E554&lt;&gt;"!!!"),"NEW","")))</f>
        <v>NEW</v>
      </c>
      <c r="G554" s="22" t="s">
        <v>160</v>
      </c>
      <c r="H554" s="23" t="str">
        <f aca="false">IF(J554&lt;&gt;1,"",IF(I554="SBJ","CB","?"))</f>
        <v/>
      </c>
      <c r="I554" s="31" t="str">
        <f aca="false">IF(OR(E554="",E554="!!!",F554="NEW"),"",INDEX(B13:B$542,-1+SUMPRODUCT(MAX(ROW(E13:E$542)*(E554=E13:E$542)))))</f>
        <v/>
      </c>
      <c r="J554" s="31" t="str">
        <f aca="true">IF(OR(E554="",E554="!!!",F554="NEW"),"",COUNTBLANK(OFFSET(A$1,,,SUMPRODUCT(MAX(ROW(E$2:E554)*(E554=E$2:E554)))))-COUNTBLANK(OFFSET(A$1,,,SUMPRODUCT(MAX(ROW(E$1:E553)*(E2=E$1:E553))))))</f>
        <v/>
      </c>
      <c r="K554" s="31" t="str">
        <f aca="false">IF(OR(E554="",E554="!!!",F554="NEW"),"",INDEX(J$1:J553,SUMPRODUCT(MAX(ROW(E$1:E553)*(E554=E$1:E553)))))</f>
        <v/>
      </c>
      <c r="L554" s="28"/>
    </row>
    <row r="555" customFormat="false" ht="15" hidden="false" customHeight="false" outlineLevel="0" collapsed="false">
      <c r="A555" s="21" t="s">
        <v>230</v>
      </c>
      <c r="E555" s="25"/>
      <c r="F555" s="26" t="str">
        <f aca="false">IF(OR(E555="",E555="!!!"),"",IF(NOT(ISNA(VLOOKUP(E555,E$1:E554,1,FALSE()))),"OLD",IF(AND(E555&lt;&gt;"",E555&lt;&gt;"!!!"),"NEW","")))</f>
        <v/>
      </c>
      <c r="G555" s="22" t="str">
        <f aca="false">IF(OR(E555="",E555="!!!"),"",IF(OR(J555=0,AND(J555=1,K555=1),AND(J555=1,I555="SBJ"),AND(J555=1,I555=0)),"?IN_FOCUS",IF(J555&lt;=2,"?ACTIVATED",IF(J555&lt;&gt;"","?FAMILIAR",IF(F555="NEW",IF(ISNA(VLOOKUP(E555,#REF!,1,FALSE())),"?TYPE_IDENTIFIABLE","?REFERENTIAL"),"_")))))</f>
        <v/>
      </c>
      <c r="H555" s="23" t="str">
        <f aca="false">IF(J555&lt;&gt;1,"",IF(I555="SBJ","CB","?"))</f>
        <v/>
      </c>
      <c r="I555" s="27" t="str">
        <f aca="false">IF(OR(E555="",E555="!!!",F555="NEW"),"",INDEX(B14:B$542,-1+SUMPRODUCT(MAX(ROW(E14:E$542)*(E555=E14:E$542)))))</f>
        <v/>
      </c>
      <c r="J555" s="27" t="str">
        <f aca="true">IF(OR(E555="",E555="!!!",F555="NEW"),"",COUNTBLANK(OFFSET(A$1,,,SUMPRODUCT(MAX(ROW(E$2:E555)*(E555=E$2:E555)))))-COUNTBLANK(OFFSET(A$1,,,SUMPRODUCT(MAX(ROW(E$1:E554)*(E2=E$1:E554))))))</f>
        <v/>
      </c>
      <c r="K555" s="27" t="str">
        <f aca="false">IF(OR(E555="",E555="!!!",F555="NEW"),"",INDEX(J$1:J554,SUMPRODUCT(MAX(ROW(E$1:E554)*(E555=E$1:E554)))))</f>
        <v/>
      </c>
      <c r="L555" s="28"/>
    </row>
    <row r="556" customFormat="false" ht="15" hidden="false" customHeight="false" outlineLevel="0" collapsed="false">
      <c r="A556" s="21" t="s">
        <v>520</v>
      </c>
      <c r="E556" s="25"/>
      <c r="F556" s="26" t="str">
        <f aca="false">IF(OR(E556="",E556="!!!"),"",IF(NOT(ISNA(VLOOKUP(E556,E$1:E555,1,FALSE()))),"OLD",IF(AND(E556&lt;&gt;"",E556&lt;&gt;"!!!"),"NEW","")))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7" t="str">
        <f aca="false">IF(OR(E556="",E556="!!!",F556="NEW"),"",INDEX(B15:B$542,-1+SUMPRODUCT(MAX(ROW(E15:E$542)*(E556=E15:E$542)))))</f>
        <v/>
      </c>
      <c r="J556" s="27" t="str">
        <f aca="true">IF(OR(E556="",E556="!!!",F556="NEW"),"",COUNTBLANK(OFFSET(A$1,,,SUMPRODUCT(MAX(ROW(E$2:E556)*(E556=E$2:E556)))))-COUNTBLANK(OFFSET(A$1,,,SUMPRODUCT(MAX(ROW(E$1:E555)*(E2=E$1:E555))))))</f>
        <v/>
      </c>
      <c r="K556" s="27" t="str">
        <f aca="false">IF(OR(E556="",E556="!!!",F556="NEW"),"",INDEX(J$1:J555,SUMPRODUCT(MAX(ROW(E$1:E555)*(E556=E$1:E555)))))</f>
        <v/>
      </c>
      <c r="L556" s="28"/>
    </row>
    <row r="557" customFormat="false" ht="15" hidden="false" customHeight="false" outlineLevel="0" collapsed="false">
      <c r="A557" s="21" t="s">
        <v>175</v>
      </c>
      <c r="E557" s="25"/>
      <c r="F557" s="26" t="str">
        <f aca="false">IF(OR(E557="",E557="!!!"),"",IF(NOT(ISNA(VLOOKUP(E557,E$1:E556,1,FALSE()))),"OLD",IF(AND(E557&lt;&gt;"",E557&lt;&gt;"!!!"),"NEW","")))</f>
        <v/>
      </c>
      <c r="G557" s="22" t="str">
        <f aca="false">IF(OR(E557="",E557="!!!"),"",IF(OR(J557=0,AND(J557=1,K557=1),AND(J557=1,I557="SBJ"),AND(J557=1,I557=0)),"?IN_FOCUS",IF(J557&lt;=2,"?ACTIVATED",IF(J557&lt;&gt;"","?FAMILIAR",IF(F557="NEW",IF(ISNA(VLOOKUP(E557,#REF!,1,FALSE())),"?TYPE_IDENTIFIABLE","?REFERENTIAL"),"_")))))</f>
        <v/>
      </c>
      <c r="H557" s="23" t="str">
        <f aca="false">IF(J557&lt;&gt;1,"",IF(I557="SBJ","CB","?"))</f>
        <v/>
      </c>
      <c r="I557" s="27" t="str">
        <f aca="false">IF(OR(E557="",E557="!!!",F557="NEW"),"",INDEX(B16:B$542,-1+SUMPRODUCT(MAX(ROW(E16:E$542)*(E557=E16:E$542)))))</f>
        <v/>
      </c>
      <c r="J557" s="27" t="str">
        <f aca="true">IF(OR(E557="",E557="!!!",F557="NEW"),"",COUNTBLANK(OFFSET(A$1,,,SUMPRODUCT(MAX(ROW(E$2:E557)*(E557=E$2:E557)))))-COUNTBLANK(OFFSET(A$1,,,SUMPRODUCT(MAX(ROW(E$1:E556)*(E2=E$1:E556))))))</f>
        <v/>
      </c>
      <c r="K557" s="27" t="str">
        <f aca="false">IF(OR(E557="",E557="!!!",F557="NEW"),"",INDEX(J$1:J556,SUMPRODUCT(MAX(ROW(E$1:E556)*(E557=E$1:E556)))))</f>
        <v/>
      </c>
      <c r="L557" s="28"/>
    </row>
    <row r="558" customFormat="false" ht="15" hidden="false" customHeight="false" outlineLevel="0" collapsed="false">
      <c r="A558" s="21" t="s">
        <v>521</v>
      </c>
      <c r="E558" s="25"/>
      <c r="F558" s="26" t="str">
        <f aca="false">IF(OR(E558="",E558="!!!"),"",IF(NOT(ISNA(VLOOKUP(E558,E$1:E557,1,FALSE()))),"OLD",IF(AND(E558&lt;&gt;"",E558&lt;&gt;"!!!"),"NEW","")))</f>
        <v/>
      </c>
      <c r="G558" s="22" t="str">
        <f aca="false">IF(OR(E558="",E558="!!!"),"",IF(OR(J558=0,AND(J558=1,K558=1),AND(J558=1,I558="SBJ"),AND(J558=1,I558=0)),"?IN_FOCUS",IF(J558&lt;=2,"?ACTIVATED",IF(J558&lt;&gt;"","?FAMILIAR",IF(F558="NEW",IF(ISNA(VLOOKUP(E558,#REF!,1,FALSE())),"?TYPE_IDENTIFIABLE","?REFERENTIAL"),"_")))))</f>
        <v/>
      </c>
      <c r="H558" s="23" t="str">
        <f aca="false">IF(J558&lt;&gt;1,"",IF(I558="SBJ","CB","?"))</f>
        <v/>
      </c>
      <c r="I558" s="27" t="str">
        <f aca="false">IF(OR(E558="",E558="!!!",F558="NEW"),"",INDEX(B17:B$542,-1+SUMPRODUCT(MAX(ROW(E17:E$542)*(E558=E17:E$542)))))</f>
        <v/>
      </c>
      <c r="J558" s="27" t="str">
        <f aca="true">IF(OR(E558="",E558="!!!",F558="NEW"),"",COUNTBLANK(OFFSET(A$1,,,SUMPRODUCT(MAX(ROW(E$2:E558)*(E558=E$2:E558)))))-COUNTBLANK(OFFSET(A$1,,,SUMPRODUCT(MAX(ROW(E$1:E557)*(E2=E$1:E557))))))</f>
        <v/>
      </c>
      <c r="K558" s="27" t="str">
        <f aca="false">IF(OR(E558="",E558="!!!",F558="NEW"),"",INDEX(J$1:J557,SUMPRODUCT(MAX(ROW(E$1:E557)*(E558=E$1:E557)))))</f>
        <v/>
      </c>
      <c r="L558" s="28"/>
    </row>
    <row r="559" customFormat="false" ht="15" hidden="false" customHeight="false" outlineLevel="0" collapsed="false">
      <c r="A559" s="21" t="s">
        <v>522</v>
      </c>
      <c r="B559" s="29" t="s">
        <v>229</v>
      </c>
      <c r="C559" s="29" t="s">
        <v>164</v>
      </c>
      <c r="E559" s="25"/>
      <c r="F559" s="26" t="str">
        <f aca="false">IF(OR(E559="",E559="!!!"),"",IF(NOT(ISNA(VLOOKUP(E559,E$1:E558,1,FALSE()))),"OLD",IF(AND(E559&lt;&gt;"",E559&lt;&gt;"!!!"),"NEW","")))</f>
        <v/>
      </c>
      <c r="G559" s="22" t="str">
        <f aca="false">IF(OR(E559="",E559="!!!"),"",IF(OR(J559=0,AND(J559=1,K559=1),AND(J559=1,I559="SBJ"),AND(J559=1,I559=0)),"?IN_FOCUS",IF(J559&lt;=2,"?ACTIVATED",IF(J559&lt;&gt;"","?FAMILIAR",IF(F559="NEW",IF(ISNA(VLOOKUP(E559,#REF!,1,FALSE())),"?TYPE_IDENTIFIABLE","?REFERENTIAL"),"_")))))</f>
        <v/>
      </c>
      <c r="H559" s="23" t="str">
        <f aca="false">IF(J559&lt;&gt;1,"",IF(I559="SBJ","CB","?"))</f>
        <v/>
      </c>
      <c r="I559" s="27" t="str">
        <f aca="false">IF(OR(E559="",E559="!!!",F559="NEW"),"",INDEX(B18:B$542,-1+SUMPRODUCT(MAX(ROW(E18:E$542)*(E559=E18:E$542)))))</f>
        <v/>
      </c>
      <c r="J559" s="27" t="str">
        <f aca="true">IF(OR(E559="",E559="!!!",F559="NEW"),"",COUNTBLANK(OFFSET(A$1,,,SUMPRODUCT(MAX(ROW(E$2:E559)*(E559=E$2:E559)))))-COUNTBLANK(OFFSET(A$1,,,SUMPRODUCT(MAX(ROW(E$1:E558)*(E2=E$1:E558))))))</f>
        <v/>
      </c>
      <c r="K559" s="27" t="str">
        <f aca="false">IF(OR(E559="",E559="!!!",F559="NEW"),"",INDEX(J$1:J558,SUMPRODUCT(MAX(ROW(E$1:E558)*(E559=E$1:E558)))))</f>
        <v/>
      </c>
      <c r="L559" s="28"/>
    </row>
    <row r="560" customFormat="false" ht="15" hidden="false" customHeight="false" outlineLevel="0" collapsed="false">
      <c r="A560" s="21" t="s">
        <v>178</v>
      </c>
      <c r="E560" s="25"/>
      <c r="F560" s="26" t="str">
        <f aca="false">IF(OR(E560="",E560="!!!"),"",IF(NOT(ISNA(VLOOKUP(E560,E$1:E559,1,FALSE()))),"OLD",IF(AND(E560&lt;&gt;"",E560&lt;&gt;"!!!"),"NEW","")))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7" t="str">
        <f aca="false">IF(OR(E560="",E560="!!!",F560="NEW"),"",INDEX(B19:B$542,-1+SUMPRODUCT(MAX(ROW(E19:E$542)*(E560=E19:E$542)))))</f>
        <v/>
      </c>
      <c r="J560" s="27" t="str">
        <f aca="true">IF(OR(E560="",E560="!!!",F560="NEW"),"",COUNTBLANK(OFFSET(A$1,,,SUMPRODUCT(MAX(ROW(E$2:E560)*(E560=E$2:E560)))))-COUNTBLANK(OFFSET(A$1,,,SUMPRODUCT(MAX(ROW(E$1:E559)*(E2=E$1:E559))))))</f>
        <v/>
      </c>
      <c r="K560" s="27" t="str">
        <f aca="false">IF(OR(E560="",E560="!!!",F560="NEW"),"",INDEX(J$1:J559,SUMPRODUCT(MAX(ROW(E$1:E559)*(E560=E$1:E559)))))</f>
        <v/>
      </c>
      <c r="L560" s="28"/>
    </row>
    <row r="561" customFormat="false" ht="15" hidden="false" customHeight="false" outlineLevel="0" collapsed="false">
      <c r="A561" s="21" t="s">
        <v>230</v>
      </c>
      <c r="E561" s="25"/>
      <c r="F561" s="26" t="str">
        <f aca="false">IF(OR(E561="",E561="!!!"),"",IF(NOT(ISNA(VLOOKUP(E561,E$1:E560,1,FALSE()))),"OLD",IF(AND(E561&lt;&gt;"",E561&lt;&gt;"!!!"),"NEW","")))</f>
        <v/>
      </c>
      <c r="G561" s="22" t="str">
        <f aca="false">IF(OR(E561="",E561="!!!"),"",IF(OR(J561=0,AND(J561=1,K561=1),AND(J561=1,I561="SBJ"),AND(J561=1,I561=0)),"?IN_FOCUS",IF(J561&lt;=2,"?ACTIVATED",IF(J561&lt;&gt;"","?FAMILIAR",IF(F561="NEW",IF(ISNA(VLOOKUP(E561,#REF!,1,FALSE())),"?TYPE_IDENTIFIABLE","?REFERENTIAL"),"_")))))</f>
        <v/>
      </c>
      <c r="H561" s="23" t="str">
        <f aca="false">IF(J561&lt;&gt;1,"",IF(I561="SBJ","CB","?"))</f>
        <v/>
      </c>
      <c r="I561" s="27" t="str">
        <f aca="false">IF(OR(E561="",E561="!!!",F561="NEW"),"",INDEX(B20:B$542,-1+SUMPRODUCT(MAX(ROW(E20:E$542)*(E561=E20:E$542)))))</f>
        <v/>
      </c>
      <c r="J561" s="27" t="str">
        <f aca="true">IF(OR(E561="",E561="!!!",F561="NEW"),"",COUNTBLANK(OFFSET(A$1,,,SUMPRODUCT(MAX(ROW(E$2:E561)*(E561=E$2:E561)))))-COUNTBLANK(OFFSET(A$1,,,SUMPRODUCT(MAX(ROW(E$1:E560)*(E2=E$1:E560))))))</f>
        <v/>
      </c>
      <c r="K561" s="27" t="str">
        <f aca="false">IF(OR(E561="",E561="!!!",F561="NEW"),"",INDEX(J$1:J560,SUMPRODUCT(MAX(ROW(E$1:E560)*(E561=E$1:E560)))))</f>
        <v/>
      </c>
      <c r="L561" s="28"/>
    </row>
    <row r="562" customFormat="false" ht="15" hidden="false" customHeight="false" outlineLevel="0" collapsed="false">
      <c r="A562" s="21" t="s">
        <v>320</v>
      </c>
      <c r="E562" s="25"/>
      <c r="F562" s="26" t="str">
        <f aca="false">IF(OR(E562="",E562="!!!"),"",IF(NOT(ISNA(VLOOKUP(E562,E$1:E561,1,FALSE()))),"OLD",IF(AND(E562&lt;&gt;"",E562&lt;&gt;"!!!"),"NEW","")))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7" t="str">
        <f aca="false">IF(OR(E562="",E562="!!!",F562="NEW"),"",INDEX(B21:B$542,-1+SUMPRODUCT(MAX(ROW(E21:E$542)*(E562=E21:E$542)))))</f>
        <v/>
      </c>
      <c r="J562" s="27" t="str">
        <f aca="true">IF(OR(E562="",E562="!!!",F562="NEW"),"",COUNTBLANK(OFFSET(A$1,,,SUMPRODUCT(MAX(ROW(E$2:E562)*(E562=E$2:E562)))))-COUNTBLANK(OFFSET(A$1,,,SUMPRODUCT(MAX(ROW(E$1:E561)*(E2=E$1:E561))))))</f>
        <v/>
      </c>
      <c r="K562" s="27" t="str">
        <f aca="false">IF(OR(E562="",E562="!!!",F562="NEW"),"",INDEX(J$1:J561,SUMPRODUCT(MAX(ROW(E$1:E561)*(E562=E$1:E561)))))</f>
        <v/>
      </c>
      <c r="L562" s="28"/>
    </row>
    <row r="563" customFormat="false" ht="15" hidden="false" customHeight="false" outlineLevel="0" collapsed="false">
      <c r="A563" s="21" t="s">
        <v>178</v>
      </c>
      <c r="E563" s="25"/>
      <c r="F563" s="26" t="str">
        <f aca="false">IF(OR(E563="",E563="!!!"),"",IF(NOT(ISNA(VLOOKUP(E563,E$1:E562,1,FALSE()))),"OLD",IF(AND(E563&lt;&gt;"",E563&lt;&gt;"!!!"),"NEW","")))</f>
        <v/>
      </c>
      <c r="G563" s="22" t="str">
        <f aca="false">IF(OR(E563="",E563="!!!"),"",IF(OR(J563=0,AND(J563=1,K563=1),AND(J563=1,I563="SBJ"),AND(J563=1,I563=0)),"?IN_FOCUS",IF(J563&lt;=2,"?ACTIVATED",IF(J563&lt;&gt;"","?FAMILIAR",IF(F563="NEW",IF(ISNA(VLOOKUP(E563,#REF!,1,FALSE())),"?TYPE_IDENTIFIABLE","?REFERENTIAL"),"_")))))</f>
        <v/>
      </c>
      <c r="H563" s="23" t="str">
        <f aca="false">IF(J563&lt;&gt;1,"",IF(I563="SBJ","CB","?"))</f>
        <v/>
      </c>
      <c r="I563" s="27" t="str">
        <f aca="false">IF(OR(E563="",E563="!!!",F563="NEW"),"",INDEX(B22:B$542,-1+SUMPRODUCT(MAX(ROW(E22:E$542)*(E563=E22:E$542)))))</f>
        <v/>
      </c>
      <c r="J563" s="27" t="str">
        <f aca="true">IF(OR(E563="",E563="!!!",F563="NEW"),"",COUNTBLANK(OFFSET(A$1,,,SUMPRODUCT(MAX(ROW(E$2:E563)*(E563=E$2:E563)))))-COUNTBLANK(OFFSET(A$1,,,SUMPRODUCT(MAX(ROW(E$1:E562)*(E2=E$1:E562))))))</f>
        <v/>
      </c>
      <c r="K563" s="27" t="str">
        <f aca="false">IF(OR(E563="",E563="!!!",F563="NEW"),"",INDEX(J$1:J562,SUMPRODUCT(MAX(ROW(E$1:E562)*(E563=E$1:E562)))))</f>
        <v/>
      </c>
      <c r="L563" s="28"/>
    </row>
    <row r="564" customFormat="false" ht="15" hidden="false" customHeight="false" outlineLevel="0" collapsed="false">
      <c r="A564" s="21" t="s">
        <v>230</v>
      </c>
      <c r="E564" s="25"/>
      <c r="F564" s="26" t="str">
        <f aca="false">IF(OR(E564="",E564="!!!"),"",IF(NOT(ISNA(VLOOKUP(E564,E$1:E563,1,FALSE()))),"OLD",IF(AND(E564&lt;&gt;"",E564&lt;&gt;"!!!"),"NEW","")))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7" t="str">
        <f aca="false">IF(OR(E564="",E564="!!!",F564="NEW"),"",INDEX(B23:B$542,-1+SUMPRODUCT(MAX(ROW(E23:E$542)*(E564=E23:E$542)))))</f>
        <v/>
      </c>
      <c r="J564" s="27" t="str">
        <f aca="true">IF(OR(E564="",E564="!!!",F564="NEW"),"",COUNTBLANK(OFFSET(A$1,,,SUMPRODUCT(MAX(ROW(E$2:E564)*(E564=E$2:E564)))))-COUNTBLANK(OFFSET(A$1,,,SUMPRODUCT(MAX(ROW(E$1:E563)*(E2=E$1:E563))))))</f>
        <v/>
      </c>
      <c r="K564" s="27" t="str">
        <f aca="false">IF(OR(E564="",E564="!!!",F564="NEW"),"",INDEX(J$1:J563,SUMPRODUCT(MAX(ROW(E$1:E563)*(E564=E$1:E563)))))</f>
        <v/>
      </c>
      <c r="L564" s="28"/>
    </row>
    <row r="565" customFormat="false" ht="15" hidden="false" customHeight="false" outlineLevel="0" collapsed="false">
      <c r="A565" s="21" t="s">
        <v>523</v>
      </c>
      <c r="E565" s="25"/>
      <c r="F565" s="26" t="str">
        <f aca="false">IF(OR(E565="",E565="!!!"),"",IF(NOT(ISNA(VLOOKUP(E565,E$1:E564,1,FALSE()))),"OLD",IF(AND(E565&lt;&gt;"",E565&lt;&gt;"!!!"),"NEW","")))</f>
        <v/>
      </c>
      <c r="G565" s="22" t="str">
        <f aca="false">IF(OR(E565="",E565="!!!"),"",IF(OR(J565=0,AND(J565=1,K565=1),AND(J565=1,I565="SBJ"),AND(J565=1,I565=0)),"?IN_FOCUS",IF(J565&lt;=2,"?ACTIVATED",IF(J565&lt;&gt;"","?FAMILIAR",IF(F565="NEW",IF(ISNA(VLOOKUP(E565,#REF!,1,FALSE())),"?TYPE_IDENTIFIABLE","?REFERENTIAL"),"_")))))</f>
        <v/>
      </c>
      <c r="H565" s="23" t="str">
        <f aca="false">IF(J565&lt;&gt;1,"",IF(I565="SBJ","CB","?"))</f>
        <v/>
      </c>
      <c r="I565" s="27" t="str">
        <f aca="false">IF(OR(E565="",E565="!!!",F565="NEW"),"",INDEX(B24:B$542,-1+SUMPRODUCT(MAX(ROW(E24:E$542)*(E565=E24:E$542)))))</f>
        <v/>
      </c>
      <c r="J565" s="27" t="str">
        <f aca="true">IF(OR(E565="",E565="!!!",F565="NEW"),"",COUNTBLANK(OFFSET(A$1,,,SUMPRODUCT(MAX(ROW(E$2:E565)*(E565=E$2:E565)))))-COUNTBLANK(OFFSET(A$1,,,SUMPRODUCT(MAX(ROW(E$1:E564)*(E2=E$1:E564))))))</f>
        <v/>
      </c>
      <c r="K565" s="27" t="str">
        <f aca="false">IF(OR(E565="",E565="!!!",F565="NEW"),"",INDEX(J$1:J564,SUMPRODUCT(MAX(ROW(E$1:E564)*(E565=E$1:E564)))))</f>
        <v/>
      </c>
      <c r="L565" s="28"/>
    </row>
    <row r="566" customFormat="false" ht="15" hidden="false" customHeight="false" outlineLevel="0" collapsed="false">
      <c r="A566" s="21" t="s">
        <v>178</v>
      </c>
      <c r="E566" s="25"/>
      <c r="F566" s="26" t="str">
        <f aca="false">IF(OR(E566="",E566="!!!"),"",IF(NOT(ISNA(VLOOKUP(E566,E$1:E565,1,FALSE()))),"OLD",IF(AND(E566&lt;&gt;"",E566&lt;&gt;"!!!"),"NEW","")))</f>
        <v/>
      </c>
      <c r="G566" s="22" t="str">
        <f aca="false">IF(OR(E566="",E566="!!!"),"",IF(OR(J566=0,AND(J566=1,K566=1),AND(J566=1,I566="SBJ"),AND(J566=1,I566=0)),"?IN_FOCUS",IF(J566&lt;=2,"?ACTIVATED",IF(J566&lt;&gt;"","?FAMILIAR",IF(F566="NEW",IF(ISNA(VLOOKUP(E566,#REF!,1,FALSE())),"?TYPE_IDENTIFIABLE","?REFERENTIAL"),"_")))))</f>
        <v/>
      </c>
      <c r="H566" s="23" t="str">
        <f aca="false">IF(J566&lt;&gt;1,"",IF(I566="SBJ","CB","?"))</f>
        <v/>
      </c>
      <c r="I566" s="27" t="str">
        <f aca="false">IF(OR(E566="",E566="!!!",F566="NEW"),"",INDEX(B25:B$542,-1+SUMPRODUCT(MAX(ROW(E25:E$542)*(E566=E25:E$542)))))</f>
        <v/>
      </c>
      <c r="J566" s="27" t="str">
        <f aca="true">IF(OR(E566="",E566="!!!",F566="NEW"),"",COUNTBLANK(OFFSET(A$1,,,SUMPRODUCT(MAX(ROW(E$2:E566)*(E566=E$2:E566)))))-COUNTBLANK(OFFSET(A$1,,,SUMPRODUCT(MAX(ROW(E$1:E565)*(E2=E$1:E565))))))</f>
        <v/>
      </c>
      <c r="K566" s="27" t="str">
        <f aca="false">IF(OR(E566="",E566="!!!",F566="NEW"),"",INDEX(J$1:J565,SUMPRODUCT(MAX(ROW(E$1:E565)*(E566=E$1:E565)))))</f>
        <v/>
      </c>
      <c r="L566" s="28"/>
    </row>
    <row r="567" customFormat="false" ht="15" hidden="false" customHeight="false" outlineLevel="0" collapsed="false">
      <c r="A567" s="21" t="s">
        <v>230</v>
      </c>
      <c r="E567" s="25"/>
      <c r="F567" s="26" t="str">
        <f aca="false">IF(OR(E567="",E567="!!!"),"",IF(NOT(ISNA(VLOOKUP(E567,E$1:E566,1,FALSE()))),"OLD",IF(AND(E567&lt;&gt;"",E567&lt;&gt;"!!!"),"NEW","")))</f>
        <v/>
      </c>
      <c r="G567" s="22" t="str">
        <f aca="false">IF(OR(E567="",E567="!!!"),"",IF(OR(J567=0,AND(J567=1,K567=1),AND(J567=1,I567="SBJ"),AND(J567=1,I567=0)),"?IN_FOCUS",IF(J567&lt;=2,"?ACTIVATED",IF(J567&lt;&gt;"","?FAMILIAR",IF(F567="NEW",IF(ISNA(VLOOKUP(E567,#REF!,1,FALSE())),"?TYPE_IDENTIFIABLE","?REFERENTIAL"),"_")))))</f>
        <v/>
      </c>
      <c r="H567" s="23" t="str">
        <f aca="false">IF(J567&lt;&gt;1,"",IF(I567="SBJ","CB","?"))</f>
        <v/>
      </c>
      <c r="I567" s="27" t="str">
        <f aca="false">IF(OR(E567="",E567="!!!",F567="NEW"),"",INDEX(B26:B$542,-1+SUMPRODUCT(MAX(ROW(E26:E$542)*(E567=E26:E$542)))))</f>
        <v/>
      </c>
      <c r="J567" s="27" t="str">
        <f aca="true">IF(OR(E567="",E567="!!!",F567="NEW"),"",COUNTBLANK(OFFSET(A$1,,,SUMPRODUCT(MAX(ROW(E$2:E567)*(E567=E$2:E567)))))-COUNTBLANK(OFFSET(A$1,,,SUMPRODUCT(MAX(ROW(E$1:E566)*(E2=E$1:E566))))))</f>
        <v/>
      </c>
      <c r="K567" s="27" t="str">
        <f aca="false">IF(OR(E567="",E567="!!!",F567="NEW"),"",INDEX(J$1:J566,SUMPRODUCT(MAX(ROW(E$1:E566)*(E567=E$1:E566)))))</f>
        <v/>
      </c>
      <c r="L567" s="28"/>
    </row>
    <row r="568" customFormat="false" ht="15" hidden="false" customHeight="false" outlineLevel="0" collapsed="false">
      <c r="A568" s="21" t="s">
        <v>292</v>
      </c>
      <c r="E568" s="25"/>
      <c r="F568" s="26" t="str">
        <f aca="false">IF(OR(E568="",E568="!!!"),"",IF(NOT(ISNA(VLOOKUP(E568,E$1:E567,1,FALSE()))),"OLD",IF(AND(E568&lt;&gt;"",E568&lt;&gt;"!!!"),"NEW","")))</f>
        <v/>
      </c>
      <c r="G568" s="22" t="str">
        <f aca="false">IF(OR(E568="",E568="!!!"),"",IF(OR(J568=0,AND(J568=1,K568=1),AND(J568=1,I568="SBJ"),AND(J568=1,I568=0)),"?IN_FOCUS",IF(J568&lt;=2,"?ACTIVATED",IF(J568&lt;&gt;"","?FAMILIAR",IF(F568="NEW",IF(ISNA(VLOOKUP(E568,#REF!,1,FALSE())),"?TYPE_IDENTIFIABLE","?REFERENTIAL"),"_")))))</f>
        <v/>
      </c>
      <c r="H568" s="23" t="str">
        <f aca="false">IF(J568&lt;&gt;1,"",IF(I568="SBJ","CB","?"))</f>
        <v/>
      </c>
      <c r="I568" s="27" t="str">
        <f aca="false">IF(OR(E568="",E568="!!!",F568="NEW"),"",INDEX(B27:B$542,-1+SUMPRODUCT(MAX(ROW(E27:E$542)*(E568=E27:E$542)))))</f>
        <v/>
      </c>
      <c r="J568" s="27" t="str">
        <f aca="true">IF(OR(E568="",E568="!!!",F568="NEW"),"",COUNTBLANK(OFFSET(A$1,,,SUMPRODUCT(MAX(ROW(E$2:E568)*(E568=E$2:E568)))))-COUNTBLANK(OFFSET(A$1,,,SUMPRODUCT(MAX(ROW(E$1:E567)*(E2=E$1:E567))))))</f>
        <v/>
      </c>
      <c r="K568" s="27" t="str">
        <f aca="false">IF(OR(E568="",E568="!!!",F568="NEW"),"",INDEX(J$1:J567,SUMPRODUCT(MAX(ROW(E$1:E567)*(E568=E$1:E567)))))</f>
        <v/>
      </c>
      <c r="L568" s="28"/>
    </row>
    <row r="569" customFormat="false" ht="15" hidden="false" customHeight="false" outlineLevel="0" collapsed="false">
      <c r="A569" s="21" t="s">
        <v>168</v>
      </c>
      <c r="E569" s="25"/>
      <c r="F569" s="26" t="str">
        <f aca="false">IF(OR(E569="",E569="!!!"),"",IF(NOT(ISNA(VLOOKUP(E569,E$1:E568,1,FALSE()))),"OLD",IF(AND(E569&lt;&gt;"",E569&lt;&gt;"!!!"),"NEW","")))</f>
        <v/>
      </c>
      <c r="G569" s="22" t="str">
        <f aca="false">IF(OR(E569="",E569="!!!"),"",IF(OR(J569=0,AND(J569=1,K569=1),AND(J569=1,I569="SBJ"),AND(J569=1,I569=0)),"?IN_FOCUS",IF(J569&lt;=2,"?ACTIVATED",IF(J569&lt;&gt;"","?FAMILIAR",IF(F569="NEW",IF(ISNA(VLOOKUP(E569,#REF!,1,FALSE())),"?TYPE_IDENTIFIABLE","?REFERENTIAL"),"_")))))</f>
        <v/>
      </c>
      <c r="H569" s="23" t="str">
        <f aca="false">IF(J569&lt;&gt;1,"",IF(I569="SBJ","CB","?"))</f>
        <v/>
      </c>
      <c r="I569" s="27" t="str">
        <f aca="false">IF(OR(E569="",E569="!!!",F569="NEW"),"",INDEX(B28:B$542,-1+SUMPRODUCT(MAX(ROW(E28:E$542)*(E569=E28:E$542)))))</f>
        <v/>
      </c>
      <c r="J569" s="27" t="str">
        <f aca="true">IF(OR(E569="",E569="!!!",F569="NEW"),"",COUNTBLANK(OFFSET(A$1,,,SUMPRODUCT(MAX(ROW(E$2:E569)*(E569=E$2:E569)))))-COUNTBLANK(OFFSET(A$1,,,SUMPRODUCT(MAX(ROW(E$1:E568)*(E2=E$1:E568))))))</f>
        <v/>
      </c>
      <c r="K569" s="27" t="str">
        <f aca="false">IF(OR(E569="",E569="!!!",F569="NEW"),"",INDEX(J$1:J568,SUMPRODUCT(MAX(ROW(E$1:E568)*(E569=E$1:E568)))))</f>
        <v/>
      </c>
      <c r="L569" s="28"/>
    </row>
    <row r="570" customFormat="false" ht="15" hidden="false" customHeight="false" outlineLevel="0" collapsed="false">
      <c r="A570" s="21" t="s">
        <v>524</v>
      </c>
      <c r="B570" s="29" t="s">
        <v>216</v>
      </c>
      <c r="C570" s="29" t="s">
        <v>167</v>
      </c>
      <c r="E570" s="25"/>
      <c r="F570" s="26" t="str">
        <f aca="false">IF(OR(E570="",E570="!!!"),"",IF(NOT(ISNA(VLOOKUP(E570,E$1:E569,1,FALSE()))),"OLD",IF(AND(E570&lt;&gt;"",E570&lt;&gt;"!!!"),"NEW","")))</f>
        <v/>
      </c>
      <c r="G570" s="22" t="str">
        <f aca="false">IF(OR(E570="",E570="!!!"),"",IF(OR(J570=0,AND(J570=1,K570=1),AND(J570=1,I570="SBJ"),AND(J570=1,I570=0)),"?IN_FOCUS",IF(J570&lt;=2,"?ACTIVATED",IF(J570&lt;&gt;"","?FAMILIAR",IF(F570="NEW",IF(ISNA(VLOOKUP(E570,#REF!,1,FALSE())),"?TYPE_IDENTIFIABLE","?REFERENTIAL"),"_")))))</f>
        <v/>
      </c>
      <c r="H570" s="23" t="str">
        <f aca="false">IF(J570&lt;&gt;1,"",IF(I570="SBJ","CB","?"))</f>
        <v/>
      </c>
      <c r="I570" s="27" t="str">
        <f aca="false">IF(OR(E570="",E570="!!!",F570="NEW"),"",INDEX(B29:B$542,-1+SUMPRODUCT(MAX(ROW(E29:E$542)*(E570=E29:E$542)))))</f>
        <v/>
      </c>
      <c r="J570" s="27" t="str">
        <f aca="true">IF(OR(E570="",E570="!!!",F570="NEW"),"",COUNTBLANK(OFFSET(A$1,,,SUMPRODUCT(MAX(ROW(E$2:E570)*(E570=E$2:E570)))))-COUNTBLANK(OFFSET(A$1,,,SUMPRODUCT(MAX(ROW(E$1:E569)*(E2=E$1:E569))))))</f>
        <v/>
      </c>
      <c r="K570" s="27" t="str">
        <f aca="false">IF(OR(E570="",E570="!!!",F570="NEW"),"",INDEX(J$1:J569,SUMPRODUCT(MAX(ROW(E$1:E569)*(E570=E$1:E569)))))</f>
        <v/>
      </c>
      <c r="L570" s="28"/>
    </row>
    <row r="571" customFormat="false" ht="15" hidden="false" customHeight="false" outlineLevel="0" collapsed="false">
      <c r="A571" s="21" t="s">
        <v>178</v>
      </c>
      <c r="E571" s="25"/>
      <c r="F571" s="26" t="str">
        <f aca="false">IF(OR(E571="",E571="!!!"),"",IF(NOT(ISNA(VLOOKUP(E571,E$1:E570,1,FALSE()))),"OLD",IF(AND(E571&lt;&gt;"",E571&lt;&gt;"!!!"),"NEW","")))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7" t="str">
        <f aca="false">IF(OR(E571="",E571="!!!",F571="NEW"),"",INDEX(B30:B$542,-1+SUMPRODUCT(MAX(ROW(E30:E$542)*(E571=E30:E$542)))))</f>
        <v/>
      </c>
      <c r="J571" s="27" t="str">
        <f aca="true">IF(OR(E571="",E571="!!!",F571="NEW"),"",COUNTBLANK(OFFSET(A$1,,,SUMPRODUCT(MAX(ROW(E$2:E571)*(E571=E$2:E571)))))-COUNTBLANK(OFFSET(A$1,,,SUMPRODUCT(MAX(ROW(E$1:E570)*(E2=E$1:E570))))))</f>
        <v/>
      </c>
      <c r="K571" s="27" t="str">
        <f aca="false">IF(OR(E571="",E571="!!!",F571="NEW"),"",INDEX(J$1:J570,SUMPRODUCT(MAX(ROW(E$1:E570)*(E571=E$1:E570)))))</f>
        <v/>
      </c>
      <c r="L571" s="28"/>
    </row>
    <row r="572" customFormat="false" ht="15" hidden="false" customHeight="false" outlineLevel="0" collapsed="false">
      <c r="A572" s="21" t="s">
        <v>525</v>
      </c>
      <c r="B572" s="29" t="s">
        <v>232</v>
      </c>
      <c r="C572" s="29" t="s">
        <v>167</v>
      </c>
      <c r="E572" s="25"/>
      <c r="F572" s="26" t="str">
        <f aca="false">IF(OR(E572="",E572="!!!"),"",IF(NOT(ISNA(VLOOKUP(E572,E$1:E571,1,FALSE()))),"OLD",IF(AND(E572&lt;&gt;"",E572&lt;&gt;"!!!"),"NEW","")))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7" t="str">
        <f aca="false">IF(OR(E572="",E572="!!!",F572="NEW"),"",INDEX(B31:B$542,-1+SUMPRODUCT(MAX(ROW(E31:E$542)*(E572=E31:E$542)))))</f>
        <v/>
      </c>
      <c r="J572" s="27" t="str">
        <f aca="true">IF(OR(E572="",E572="!!!",F572="NEW"),"",COUNTBLANK(OFFSET(A$1,,,SUMPRODUCT(MAX(ROW(E$2:E572)*(E572=E$2:E572)))))-COUNTBLANK(OFFSET(A$1,,,SUMPRODUCT(MAX(ROW(E$1:E571)*(E2=E$1:E571))))))</f>
        <v/>
      </c>
      <c r="K572" s="27" t="str">
        <f aca="false">IF(OR(E572="",E572="!!!",F572="NEW"),"",INDEX(J$1:J571,SUMPRODUCT(MAX(ROW(E$1:E571)*(E572=E$1:E571)))))</f>
        <v/>
      </c>
      <c r="L572" s="28"/>
    </row>
    <row r="573" customFormat="false" ht="15" hidden="false" customHeight="false" outlineLevel="0" collapsed="false">
      <c r="A573" s="21" t="s">
        <v>207</v>
      </c>
      <c r="E573" s="25"/>
      <c r="F573" s="26" t="str">
        <f aca="false">IF(OR(E573="",E573="!!!"),"",IF(NOT(ISNA(VLOOKUP(E573,E$1:E572,1,FALSE()))),"OLD",IF(AND(E573&lt;&gt;"",E573&lt;&gt;"!!!"),"NEW","")))</f>
        <v/>
      </c>
      <c r="G573" s="22" t="str">
        <f aca="false">IF(OR(E573="",E573="!!!"),"",IF(OR(J573=0,AND(J573=1,K573=1),AND(J573=1,I573="SBJ"),AND(J573=1,I573=0)),"?IN_FOCUS",IF(J573&lt;=2,"?ACTIVATED",IF(J573&lt;&gt;"","?FAMILIAR",IF(F573="NEW",IF(ISNA(VLOOKUP(E573,#REF!,1,FALSE())),"?TYPE_IDENTIFIABLE","?REFERENTIAL"),"_")))))</f>
        <v/>
      </c>
      <c r="H573" s="23" t="str">
        <f aca="false">IF(J573&lt;&gt;1,"",IF(I573="SBJ","CB","?"))</f>
        <v/>
      </c>
      <c r="I573" s="27" t="str">
        <f aca="false">IF(OR(E573="",E573="!!!",F573="NEW"),"",INDEX(B32:B$542,-1+SUMPRODUCT(MAX(ROW(E32:E$542)*(E573=E32:E$542)))))</f>
        <v/>
      </c>
      <c r="J573" s="27" t="str">
        <f aca="true">IF(OR(E573="",E573="!!!",F573="NEW"),"",COUNTBLANK(OFFSET(A$1,,,SUMPRODUCT(MAX(ROW(E$2:E573)*(E573=E$2:E573)))))-COUNTBLANK(OFFSET(A$1,,,SUMPRODUCT(MAX(ROW(E$1:E572)*(E2=E$1:E572))))))</f>
        <v/>
      </c>
      <c r="K573" s="27" t="str">
        <f aca="false">IF(OR(E573="",E573="!!!",F573="NEW"),"",INDEX(J$1:J572,SUMPRODUCT(MAX(ROW(E$1:E572)*(E573=E$1:E572)))))</f>
        <v/>
      </c>
      <c r="L573" s="28"/>
    </row>
    <row r="574" customFormat="false" ht="15" hidden="false" customHeight="false" outlineLevel="0" collapsed="false">
      <c r="A574" s="21" t="s">
        <v>526</v>
      </c>
      <c r="B574" s="29" t="s">
        <v>232</v>
      </c>
      <c r="C574" s="29" t="s">
        <v>167</v>
      </c>
      <c r="E574" s="25"/>
      <c r="F574" s="26" t="str">
        <f aca="false">IF(OR(E574="",E574="!!!"),"",IF(NOT(ISNA(VLOOKUP(E574,E$1:E573,1,FALSE()))),"OLD",IF(AND(E574&lt;&gt;"",E574&lt;&gt;"!!!"),"NEW","")))</f>
        <v/>
      </c>
      <c r="G574" s="22" t="str">
        <f aca="false">IF(OR(E574="",E574="!!!"),"",IF(OR(J574=0,AND(J574=1,K574=1),AND(J574=1,I574="SBJ"),AND(J574=1,I574=0)),"?IN_FOCUS",IF(J574&lt;=2,"?ACTIVATED",IF(J574&lt;&gt;"","?FAMILIAR",IF(F574="NEW",IF(ISNA(VLOOKUP(E574,#REF!,1,FALSE())),"?TYPE_IDENTIFIABLE","?REFERENTIAL"),"_")))))</f>
        <v/>
      </c>
      <c r="H574" s="23" t="str">
        <f aca="false">IF(J574&lt;&gt;1,"",IF(I574="SBJ","CB","?"))</f>
        <v/>
      </c>
      <c r="I574" s="27" t="str">
        <f aca="false">IF(OR(E574="",E574="!!!",F574="NEW"),"",INDEX(B33:B$542,-1+SUMPRODUCT(MAX(ROW(E33:E$542)*(E574=E33:E$542)))))</f>
        <v/>
      </c>
      <c r="J574" s="27" t="str">
        <f aca="true">IF(OR(E574="",E574="!!!",F574="NEW"),"",COUNTBLANK(OFFSET(A$1,,,SUMPRODUCT(MAX(ROW(E$2:E574)*(E574=E$2:E574)))))-COUNTBLANK(OFFSET(A$1,,,SUMPRODUCT(MAX(ROW(E$1:E573)*(E2=E$1:E573))))))</f>
        <v/>
      </c>
      <c r="K574" s="27" t="str">
        <f aca="false">IF(OR(E574="",E574="!!!",F574="NEW"),"",INDEX(J$1:J573,SUMPRODUCT(MAX(ROW(E$1:E573)*(E574=E$1:E573)))))</f>
        <v/>
      </c>
      <c r="L574" s="28"/>
    </row>
    <row r="575" customFormat="false" ht="15" hidden="false" customHeight="false" outlineLevel="0" collapsed="false">
      <c r="A575" s="21" t="s">
        <v>193</v>
      </c>
      <c r="E575" s="25"/>
      <c r="F575" s="26" t="str">
        <f aca="false">IF(OR(E575="",E575="!!!"),"",IF(NOT(ISNA(VLOOKUP(E575,E$1:E574,1,FALSE()))),"OLD",IF(AND(E575&lt;&gt;"",E575&lt;&gt;"!!!"),"NEW","")))</f>
        <v/>
      </c>
      <c r="G575" s="22" t="str">
        <f aca="false">IF(OR(E575="",E575="!!!"),"",IF(OR(J575=0,AND(J575=1,K575=1),AND(J575=1,I575="SBJ"),AND(J575=1,I575=0)),"?IN_FOCUS",IF(J575&lt;=2,"?ACTIVATED",IF(J575&lt;&gt;"","?FAMILIAR",IF(F575="NEW",IF(ISNA(VLOOKUP(E575,#REF!,1,FALSE())),"?TYPE_IDENTIFIABLE","?REFERENTIAL"),"_")))))</f>
        <v/>
      </c>
      <c r="H575" s="23" t="str">
        <f aca="false">IF(J575&lt;&gt;1,"",IF(I575="SBJ","CB","?"))</f>
        <v/>
      </c>
      <c r="I575" s="27" t="str">
        <f aca="false">IF(OR(E575="",E575="!!!",F575="NEW"),"",INDEX(B34:B$542,-1+SUMPRODUCT(MAX(ROW(E34:E$542)*(E575=E34:E$542)))))</f>
        <v/>
      </c>
      <c r="J575" s="27" t="str">
        <f aca="true">IF(OR(E575="",E575="!!!",F575="NEW"),"",COUNTBLANK(OFFSET(A$1,,,SUMPRODUCT(MAX(ROW(E$2:E575)*(E575=E$2:E575)))))-COUNTBLANK(OFFSET(A$1,,,SUMPRODUCT(MAX(ROW(E$1:E574)*(E2=E$1:E574))))))</f>
        <v/>
      </c>
      <c r="K575" s="27" t="str">
        <f aca="false">IF(OR(E575="",E575="!!!",F575="NEW"),"",INDEX(J$1:J574,SUMPRODUCT(MAX(ROW(E$1:E574)*(E575=E$1:E574)))))</f>
        <v/>
      </c>
      <c r="L575" s="28"/>
    </row>
    <row r="576" customFormat="false" ht="15" hidden="false" customHeight="false" outlineLevel="0" collapsed="false">
      <c r="A576" s="21"/>
      <c r="G576" s="22" t="str">
        <f aca="false">IF(OR(E576="",E576="!!!"),"",IF(OR(J576=0,AND(J576=1,K576=1),AND(J576=1,I576="SBJ"),AND(J576=1,I576=0)),"?IN_FOCUS",IF(J576&lt;=2,"?ACTIVATED",IF(J576&lt;&gt;"","?FAMILIAR",IF(F576="NEW",IF(ISNA(VLOOKUP(E576,#REF!,1,FALSE())),"?TYPE_IDENTIFIABLE","?REFERENTIAL"),"_")))))</f>
        <v/>
      </c>
      <c r="H576" s="23" t="str">
        <f aca="false">IF(J576&lt;&gt;1,"",IF(I576="SBJ","CB","?"))</f>
        <v/>
      </c>
    </row>
    <row r="577" customFormat="false" ht="15" hidden="false" customHeight="false" outlineLevel="0" collapsed="false">
      <c r="A577" s="21" t="s">
        <v>527</v>
      </c>
      <c r="G577" s="22" t="str">
        <f aca="false">IF(OR(E577="",E577="!!!"),"",IF(OR(J577=0,AND(J577=1,K577=1),AND(J577=1,I577="SBJ"),AND(J577=1,I577=0)),"?IN_FOCUS",IF(J577&lt;=2,"?ACTIVATED",IF(J577&lt;&gt;"","?FAMILIAR",IF(F577="NEW",IF(ISNA(VLOOKUP(E577,#REF!,1,FALSE())),"?TYPE_IDENTIFIABLE","?REFERENTIAL"),"_")))))</f>
        <v/>
      </c>
      <c r="H577" s="23" t="str">
        <f aca="false">IF(J577&lt;&gt;1,"",IF(I577="SBJ","CB","?"))</f>
        <v/>
      </c>
    </row>
    <row r="578" customFormat="false" ht="15" hidden="false" customHeight="false" outlineLevel="0" collapsed="false">
      <c r="A578" s="21" t="s">
        <v>297</v>
      </c>
      <c r="E578" s="25"/>
      <c r="F578" s="26" t="str">
        <f aca="false">IF(OR(E578="",E578="!!!"),"",IF(NOT(ISNA(VLOOKUP(E578,E$1:E577,1,FALSE()))),"OLD",IF(AND(E578&lt;&gt;"",E578&lt;&gt;"!!!"),"NEW","")))</f>
        <v/>
      </c>
      <c r="G578" s="22" t="str">
        <f aca="false">IF(OR(E578="",E578="!!!"),"",IF(OR(J578=0,AND(J578=1,K578=1),AND(J578=1,I578="SBJ"),AND(J578=1,I578=0)),"?IN_FOCUS",IF(J578&lt;=2,"?ACTIVATED",IF(J578&lt;&gt;"","?FAMILIAR",IF(F578="NEW",IF(ISNA(VLOOKUP(E578,#REF!,1,FALSE())),"?TYPE_IDENTIFIABLE","?REFERENTIAL"),"_")))))</f>
        <v/>
      </c>
      <c r="H578" s="23" t="str">
        <f aca="false">IF(J578&lt;&gt;1,"",IF(I578="SBJ","CB","?"))</f>
        <v/>
      </c>
      <c r="I578" s="27" t="str">
        <f aca="false">IF(OR(E578="",E578="!!!",F578="NEW"),"",INDEX(B2:B$577,-1+SUMPRODUCT(MAX(ROW(E2:E$577)*(E578=E2:E$577)))))</f>
        <v/>
      </c>
      <c r="J578" s="27" t="str">
        <f aca="true">IF(OR(E578="",E578="!!!",F578="NEW"),"",COUNTBLANK(OFFSET(A$1,,,SUMPRODUCT(MAX(ROW(E$2:E578)*(E578=E$2:E578)))))-COUNTBLANK(OFFSET(A$1,,,SUMPRODUCT(MAX(ROW(E$1:E577)*(E2=E$1:E577))))))</f>
        <v/>
      </c>
      <c r="K578" s="27" t="str">
        <f aca="false">IF(OR(E578="",E578="!!!",F578="NEW"),"",INDEX(J$1:J577,SUMPRODUCT(MAX(ROW(E$1:E577)*(E578=E$1:E577)))))</f>
        <v/>
      </c>
      <c r="L578" s="28"/>
    </row>
    <row r="579" customFormat="false" ht="15" hidden="false" customHeight="false" outlineLevel="0" collapsed="false">
      <c r="A579" s="21" t="s">
        <v>528</v>
      </c>
      <c r="E579" s="25"/>
      <c r="F579" s="26" t="str">
        <f aca="false">IF(OR(E579="",E579="!!!"),"",IF(NOT(ISNA(VLOOKUP(E579,E$1:E578,1,FALSE()))),"OLD",IF(AND(E579&lt;&gt;"",E579&lt;&gt;"!!!"),"NEW","")))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7" t="str">
        <f aca="false">IF(OR(E579="",E579="!!!",F579="NEW"),"",INDEX(B3:B$577,-1+SUMPRODUCT(MAX(ROW(E3:E$577)*(E579=E3:E$577)))))</f>
        <v/>
      </c>
      <c r="J579" s="27" t="str">
        <f aca="true">IF(OR(E579="",E579="!!!",F579="NEW"),"",COUNTBLANK(OFFSET(A$1,,,SUMPRODUCT(MAX(ROW(E$2:E579)*(E579=E$2:E579)))))-COUNTBLANK(OFFSET(A$1,,,SUMPRODUCT(MAX(ROW(E$1:E578)*(E2=E$1:E578))))))</f>
        <v/>
      </c>
      <c r="K579" s="27" t="str">
        <f aca="false">IF(OR(E579="",E579="!!!",F579="NEW"),"",INDEX(J$1:J578,SUMPRODUCT(MAX(ROW(E$1:E578)*(E579=E$1:E578)))))</f>
        <v/>
      </c>
      <c r="L579" s="28"/>
    </row>
    <row r="580" customFormat="false" ht="15" hidden="false" customHeight="false" outlineLevel="0" collapsed="false">
      <c r="A580" s="21" t="s">
        <v>373</v>
      </c>
      <c r="E580" s="25"/>
      <c r="F580" s="26" t="str">
        <f aca="false">IF(OR(E580="",E580="!!!"),"",IF(NOT(ISNA(VLOOKUP(E580,E$1:E579,1,FALSE()))),"OLD",IF(AND(E580&lt;&gt;"",E580&lt;&gt;"!!!"),"NEW","")))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7" t="str">
        <f aca="false">IF(OR(E580="",E580="!!!",F580="NEW"),"",INDEX(B4:B$577,-1+SUMPRODUCT(MAX(ROW(E4:E$577)*(E580=E4:E$577)))))</f>
        <v/>
      </c>
      <c r="J580" s="27" t="str">
        <f aca="true">IF(OR(E580="",E580="!!!",F580="NEW"),"",COUNTBLANK(OFFSET(A$1,,,SUMPRODUCT(MAX(ROW(E$2:E580)*(E580=E$2:E580)))))-COUNTBLANK(OFFSET(A$1,,,SUMPRODUCT(MAX(ROW(E$1:E579)*(E2=E$1:E579))))))</f>
        <v/>
      </c>
      <c r="K580" s="27" t="str">
        <f aca="false">IF(OR(E580="",E580="!!!",F580="NEW"),"",INDEX(J$1:J579,SUMPRODUCT(MAX(ROW(E$1:E579)*(E580=E$1:E579)))))</f>
        <v/>
      </c>
      <c r="L580" s="28"/>
    </row>
    <row r="581" customFormat="false" ht="15" hidden="false" customHeight="false" outlineLevel="0" collapsed="false">
      <c r="A581" s="21" t="s">
        <v>238</v>
      </c>
      <c r="E581" s="25"/>
      <c r="F581" s="26" t="str">
        <f aca="false">IF(OR(E581="",E581="!!!"),"",IF(NOT(ISNA(VLOOKUP(E581,E$1:E580,1,FALSE()))),"OLD",IF(AND(E581&lt;&gt;"",E581&lt;&gt;"!!!"),"NEW","")))</f>
        <v/>
      </c>
      <c r="G581" s="22" t="str">
        <f aca="false">IF(OR(E581="",E581="!!!"),"",IF(OR(J581=0,AND(J581=1,K581=1),AND(J581=1,I581="SBJ"),AND(J581=1,I581=0)),"?IN_FOCUS",IF(J581&lt;=2,"?ACTIVATED",IF(J581&lt;&gt;"","?FAMILIAR",IF(F581="NEW",IF(ISNA(VLOOKUP(E581,#REF!,1,FALSE())),"?TYPE_IDENTIFIABLE","?REFERENTIAL"),"_")))))</f>
        <v/>
      </c>
      <c r="H581" s="23" t="str">
        <f aca="false">IF(J581&lt;&gt;1,"",IF(I581="SBJ","CB","?"))</f>
        <v/>
      </c>
      <c r="I581" s="27" t="str">
        <f aca="false">IF(OR(E581="",E581="!!!",F581="NEW"),"",INDEX(B5:B$577,-1+SUMPRODUCT(MAX(ROW(E5:E$577)*(E581=E5:E$577)))))</f>
        <v/>
      </c>
      <c r="J581" s="27" t="str">
        <f aca="true">IF(OR(E581="",E581="!!!",F581="NEW"),"",COUNTBLANK(OFFSET(A$1,,,SUMPRODUCT(MAX(ROW(E$2:E581)*(E581=E$2:E581)))))-COUNTBLANK(OFFSET(A$1,,,SUMPRODUCT(MAX(ROW(E$1:E580)*(E2=E$1:E580))))))</f>
        <v/>
      </c>
      <c r="K581" s="27" t="str">
        <f aca="false">IF(OR(E581="",E581="!!!",F581="NEW"),"",INDEX(J$1:J580,SUMPRODUCT(MAX(ROW(E$1:E580)*(E581=E$1:E580)))))</f>
        <v/>
      </c>
      <c r="L581" s="28"/>
    </row>
    <row r="582" customFormat="false" ht="15" hidden="false" customHeight="false" outlineLevel="0" collapsed="false">
      <c r="A582" s="21" t="s">
        <v>529</v>
      </c>
      <c r="B582" s="29" t="s">
        <v>180</v>
      </c>
      <c r="C582" s="29" t="s">
        <v>154</v>
      </c>
      <c r="E582" s="25"/>
      <c r="F582" s="26" t="str">
        <f aca="false">IF(OR(E582="",E582="!!!"),"",IF(NOT(ISNA(VLOOKUP(E582,E$1:E581,1,FALSE()))),"OLD",IF(AND(E582&lt;&gt;"",E582&lt;&gt;"!!!"),"NEW","")))</f>
        <v/>
      </c>
      <c r="G582" s="22" t="str">
        <f aca="false">IF(OR(E582="",E582="!!!"),"",IF(OR(J582=0,AND(J582=1,K582=1),AND(J582=1,I582="SBJ"),AND(J582=1,I582=0)),"?IN_FOCUS",IF(J582&lt;=2,"?ACTIVATED",IF(J582&lt;&gt;"","?FAMILIAR",IF(F582="NEW",IF(ISNA(VLOOKUP(E582,#REF!,1,FALSE())),"?TYPE_IDENTIFIABLE","?REFERENTIAL"),"_")))))</f>
        <v/>
      </c>
      <c r="H582" s="23" t="str">
        <f aca="false">IF(J582&lt;&gt;1,"",IF(I582="SBJ","CB","?"))</f>
        <v/>
      </c>
      <c r="I582" s="27" t="str">
        <f aca="false">IF(OR(E582="",E582="!!!",F582="NEW"),"",INDEX(B6:B$577,-1+SUMPRODUCT(MAX(ROW(E6:E$577)*(E582=E6:E$577)))))</f>
        <v/>
      </c>
      <c r="J582" s="27" t="str">
        <f aca="true">IF(OR(E582="",E582="!!!",F582="NEW"),"",COUNTBLANK(OFFSET(A$1,,,SUMPRODUCT(MAX(ROW(E$2:E582)*(E582=E$2:E582)))))-COUNTBLANK(OFFSET(A$1,,,SUMPRODUCT(MAX(ROW(E$1:E581)*(E2=E$1:E581))))))</f>
        <v/>
      </c>
      <c r="K582" s="27" t="str">
        <f aca="false">IF(OR(E582="",E582="!!!",F582="NEW"),"",INDEX(J$1:J581,SUMPRODUCT(MAX(ROW(E$1:E581)*(E582=E$1:E581)))))</f>
        <v/>
      </c>
      <c r="L582" s="28"/>
    </row>
    <row r="583" customFormat="false" ht="15" hidden="false" customHeight="false" outlineLevel="0" collapsed="false">
      <c r="A583" s="21" t="s">
        <v>230</v>
      </c>
      <c r="E583" s="25"/>
      <c r="F583" s="26" t="str">
        <f aca="false">IF(OR(E583="",E583="!!!"),"",IF(NOT(ISNA(VLOOKUP(E583,E$1:E582,1,FALSE()))),"OLD",IF(AND(E583&lt;&gt;"",E583&lt;&gt;"!!!"),"NEW","")))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7" t="str">
        <f aca="false">IF(OR(E583="",E583="!!!",F583="NEW"),"",INDEX(B7:B$577,-1+SUMPRODUCT(MAX(ROW(E7:E$577)*(E583=E7:E$577)))))</f>
        <v/>
      </c>
      <c r="J583" s="27" t="str">
        <f aca="true">IF(OR(E583="",E583="!!!",F583="NEW"),"",COUNTBLANK(OFFSET(A$1,,,SUMPRODUCT(MAX(ROW(E$2:E583)*(E583=E$2:E583)))))-COUNTBLANK(OFFSET(A$1,,,SUMPRODUCT(MAX(ROW(E$1:E582)*(E2=E$1:E582))))))</f>
        <v/>
      </c>
      <c r="K583" s="27" t="str">
        <f aca="false">IF(OR(E583="",E583="!!!",F583="NEW"),"",INDEX(J$1:J582,SUMPRODUCT(MAX(ROW(E$1:E582)*(E583=E$1:E582)))))</f>
        <v/>
      </c>
      <c r="L583" s="28"/>
    </row>
    <row r="584" customFormat="false" ht="15" hidden="false" customHeight="false" outlineLevel="0" collapsed="false">
      <c r="A584" s="21" t="s">
        <v>530</v>
      </c>
      <c r="E584" s="25"/>
      <c r="F584" s="26" t="str">
        <f aca="false">IF(OR(E584="",E584="!!!"),"",IF(NOT(ISNA(VLOOKUP(E584,E$1:E583,1,FALSE()))),"OLD",IF(AND(E584&lt;&gt;"",E584&lt;&gt;"!!!"),"NEW","")))</f>
        <v/>
      </c>
      <c r="G584" s="22" t="str">
        <f aca="false">IF(OR(E584="",E584="!!!"),"",IF(OR(J584=0,AND(J584=1,K584=1),AND(J584=1,I584="SBJ"),AND(J584=1,I584=0)),"?IN_FOCUS",IF(J584&lt;=2,"?ACTIVATED",IF(J584&lt;&gt;"","?FAMILIAR",IF(F584="NEW",IF(ISNA(VLOOKUP(E584,#REF!,1,FALSE())),"?TYPE_IDENTIFIABLE","?REFERENTIAL"),"_")))))</f>
        <v/>
      </c>
      <c r="H584" s="23" t="str">
        <f aca="false">IF(J584&lt;&gt;1,"",IF(I584="SBJ","CB","?"))</f>
        <v/>
      </c>
      <c r="I584" s="27" t="str">
        <f aca="false">IF(OR(E584="",E584="!!!",F584="NEW"),"",INDEX(B8:B$577,-1+SUMPRODUCT(MAX(ROW(E8:E$577)*(E584=E8:E$577)))))</f>
        <v/>
      </c>
      <c r="J584" s="27" t="str">
        <f aca="true">IF(OR(E584="",E584="!!!",F584="NEW"),"",COUNTBLANK(OFFSET(A$1,,,SUMPRODUCT(MAX(ROW(E$2:E584)*(E584=E$2:E584)))))-COUNTBLANK(OFFSET(A$1,,,SUMPRODUCT(MAX(ROW(E$1:E583)*(E2=E$1:E583))))))</f>
        <v/>
      </c>
      <c r="K584" s="27" t="str">
        <f aca="false">IF(OR(E584="",E584="!!!",F584="NEW"),"",INDEX(J$1:J583,SUMPRODUCT(MAX(ROW(E$1:E583)*(E584=E$1:E583)))))</f>
        <v/>
      </c>
      <c r="L584" s="28"/>
    </row>
    <row r="585" customFormat="false" ht="15" hidden="false" customHeight="false" outlineLevel="0" collapsed="false">
      <c r="A585" s="21" t="s">
        <v>166</v>
      </c>
      <c r="B585" s="29" t="s">
        <v>190</v>
      </c>
      <c r="C585" s="29" t="s">
        <v>371</v>
      </c>
      <c r="D585" s="29" t="s">
        <v>159</v>
      </c>
      <c r="E585" s="25"/>
      <c r="F585" s="26" t="s">
        <v>500</v>
      </c>
      <c r="G585" s="22" t="str">
        <f aca="false">IF(OR(E585="",E585="!!!"),"",IF(OR(J585=0,AND(J585=1,K585=1),AND(J585=1,I585="SBJ"),AND(J585=1,I585=0)),"?IN_FOCUS",IF(J585&lt;=2,"?ACTIVATED",IF(J585&lt;&gt;"","?FAMILIAR",IF(F585="NEW",IF(ISNA(VLOOKUP(E585,#REF!,1,FALSE())),"?TYPE_IDENTIFIABLE","?REFERENTIAL"),"_")))))</f>
        <v/>
      </c>
      <c r="H585" s="23" t="str">
        <f aca="false">IF(J585&lt;&gt;1,"",IF(I585="SBJ","CB","?"))</f>
        <v/>
      </c>
      <c r="I585" s="27" t="str">
        <f aca="false">IF(OR(E585="",E585="!!!",F585="NEW"),"",INDEX(B9:B$577,-1+SUMPRODUCT(MAX(ROW(E9:E$577)*(E585=E9:E$577)))))</f>
        <v/>
      </c>
      <c r="J585" s="27" t="str">
        <f aca="true">IF(OR(E585="",E585="!!!",F585="NEW"),"",COUNTBLANK(OFFSET(A$1,,,SUMPRODUCT(MAX(ROW(E$2:E585)*(E585=E$2:E585)))))-COUNTBLANK(OFFSET(A$1,,,SUMPRODUCT(MAX(ROW(E$1:E584)*(E2=E$1:E584))))))</f>
        <v/>
      </c>
      <c r="K585" s="27" t="str">
        <f aca="false">IF(OR(E585="",E585="!!!",F585="NEW"),"",INDEX(J$1:J584,SUMPRODUCT(MAX(ROW(E$1:E584)*(E585=E$1:E584)))))</f>
        <v/>
      </c>
      <c r="L585" s="28" t="s">
        <v>501</v>
      </c>
    </row>
    <row r="586" customFormat="false" ht="15" hidden="false" customHeight="false" outlineLevel="0" collapsed="false">
      <c r="A586" s="21" t="s">
        <v>225</v>
      </c>
      <c r="B586" s="29" t="s">
        <v>271</v>
      </c>
      <c r="E586" s="25"/>
      <c r="F586" s="26" t="str">
        <f aca="false">IF(OR(E586="",E586="!!!"),"",IF(NOT(ISNA(VLOOKUP(E586,E$1:E585,1,FALSE()))),"OLD",IF(AND(E586&lt;&gt;"",E586&lt;&gt;"!!!"),"NEW","")))</f>
        <v/>
      </c>
      <c r="G586" s="22" t="str">
        <f aca="false">IF(OR(E586="",E586="!!!"),"",IF(OR(J586=0,AND(J586=1,K586=1),AND(J586=1,I586="SBJ"),AND(J586=1,I586=0)),"?IN_FOCUS",IF(J586&lt;=2,"?ACTIVATED",IF(J586&lt;&gt;"","?FAMILIAR",IF(F586="NEW",IF(ISNA(VLOOKUP(E586,#REF!,1,FALSE())),"?TYPE_IDENTIFIABLE","?REFERENTIAL"),"_")))))</f>
        <v/>
      </c>
      <c r="H586" s="23" t="str">
        <f aca="false">IF(J586&lt;&gt;1,"",IF(I586="SBJ","CB","?"))</f>
        <v/>
      </c>
      <c r="I586" s="27" t="str">
        <f aca="false">IF(OR(E586="",E586="!!!",F586="NEW"),"",INDEX(B10:B$577,-1+SUMPRODUCT(MAX(ROW(E10:E$577)*(E586=E10:E$577)))))</f>
        <v/>
      </c>
      <c r="J586" s="27" t="str">
        <f aca="true">IF(OR(E586="",E586="!!!",F586="NEW"),"",COUNTBLANK(OFFSET(A$1,,,SUMPRODUCT(MAX(ROW(E$2:E586)*(E586=E$2:E586)))))-COUNTBLANK(OFFSET(A$1,,,SUMPRODUCT(MAX(ROW(E$1:E585)*(E2=E$1:E585))))))</f>
        <v/>
      </c>
      <c r="K586" s="27" t="str">
        <f aca="false">IF(OR(E586="",E586="!!!",F586="NEW"),"",INDEX(J$1:J585,SUMPRODUCT(MAX(ROW(E$1:E585)*(E586=E$1:E585)))))</f>
        <v/>
      </c>
      <c r="L586" s="28"/>
    </row>
    <row r="587" customFormat="false" ht="15" hidden="false" customHeight="false" outlineLevel="0" collapsed="false">
      <c r="A587" s="21" t="s">
        <v>373</v>
      </c>
      <c r="E587" s="25"/>
      <c r="F587" s="26" t="str">
        <f aca="false">IF(OR(E587="",E587="!!!"),"",IF(NOT(ISNA(VLOOKUP(E587,E$1:E586,1,FALSE()))),"OLD",IF(AND(E587&lt;&gt;"",E587&lt;&gt;"!!!"),"NEW","")))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7" t="str">
        <f aca="false">IF(OR(E587="",E587="!!!",F587="NEW"),"",INDEX(B11:B$577,-1+SUMPRODUCT(MAX(ROW(E11:E$577)*(E587=E11:E$577)))))</f>
        <v/>
      </c>
      <c r="J587" s="27" t="str">
        <f aca="true">IF(OR(E587="",E587="!!!",F587="NEW"),"",COUNTBLANK(OFFSET(A$1,,,SUMPRODUCT(MAX(ROW(E$2:E587)*(E587=E$2:E587)))))-COUNTBLANK(OFFSET(A$1,,,SUMPRODUCT(MAX(ROW(E$1:E586)*(E2=E$1:E586))))))</f>
        <v/>
      </c>
      <c r="K587" s="27" t="str">
        <f aca="false">IF(OR(E587="",E587="!!!",F587="NEW"),"",INDEX(J$1:J586,SUMPRODUCT(MAX(ROW(E$1:E586)*(E587=E$1:E586)))))</f>
        <v/>
      </c>
      <c r="L587" s="28"/>
    </row>
    <row r="588" customFormat="false" ht="15" hidden="false" customHeight="false" outlineLevel="0" collapsed="false">
      <c r="A588" s="21" t="s">
        <v>531</v>
      </c>
      <c r="E588" s="25"/>
      <c r="F588" s="26" t="str">
        <f aca="false">IF(OR(E588="",E588="!!!"),"",IF(NOT(ISNA(VLOOKUP(E588,E$1:E587,1,FALSE()))),"OLD",IF(AND(E588&lt;&gt;"",E588&lt;&gt;"!!!"),"NEW","")))</f>
        <v/>
      </c>
      <c r="G588" s="22" t="str">
        <f aca="false">IF(OR(E588="",E588="!!!"),"",IF(OR(J588=0,AND(J588=1,K588=1),AND(J588=1,I588="SBJ"),AND(J588=1,I588=0)),"?IN_FOCUS",IF(J588&lt;=2,"?ACTIVATED",IF(J588&lt;&gt;"","?FAMILIAR",IF(F588="NEW",IF(ISNA(VLOOKUP(E588,#REF!,1,FALSE())),"?TYPE_IDENTIFIABLE","?REFERENTIAL"),"_")))))</f>
        <v/>
      </c>
      <c r="H588" s="23" t="str">
        <f aca="false">IF(J588&lt;&gt;1,"",IF(I588="SBJ","CB","?"))</f>
        <v/>
      </c>
      <c r="I588" s="27" t="str">
        <f aca="false">IF(OR(E588="",E588="!!!",F588="NEW"),"",INDEX(B12:B$577,-1+SUMPRODUCT(MAX(ROW(E12:E$577)*(E588=E12:E$577)))))</f>
        <v/>
      </c>
      <c r="J588" s="27" t="str">
        <f aca="true">IF(OR(E588="",E588="!!!",F588="NEW"),"",COUNTBLANK(OFFSET(A$1,,,SUMPRODUCT(MAX(ROW(E$2:E588)*(E588=E$2:E588)))))-COUNTBLANK(OFFSET(A$1,,,SUMPRODUCT(MAX(ROW(E$1:E587)*(E2=E$1:E587))))))</f>
        <v/>
      </c>
      <c r="K588" s="27" t="str">
        <f aca="false">IF(OR(E588="",E588="!!!",F588="NEW"),"",INDEX(J$1:J587,SUMPRODUCT(MAX(ROW(E$1:E587)*(E588=E$1:E587)))))</f>
        <v/>
      </c>
      <c r="L588" s="28"/>
    </row>
    <row r="589" customFormat="false" ht="15" hidden="false" customHeight="false" outlineLevel="0" collapsed="false">
      <c r="A589" s="21" t="s">
        <v>344</v>
      </c>
      <c r="E589" s="25"/>
      <c r="F589" s="26" t="str">
        <f aca="false">IF(OR(E589="",E589="!!!"),"",IF(NOT(ISNA(VLOOKUP(E589,E$1:E588,1,FALSE()))),"OLD",IF(AND(E589&lt;&gt;"",E589&lt;&gt;"!!!"),"NEW","")))</f>
        <v/>
      </c>
      <c r="G589" s="22" t="str">
        <f aca="false">IF(OR(E589="",E589="!!!"),"",IF(OR(J589=0,AND(J589=1,K589=1),AND(J589=1,I589="SBJ"),AND(J589=1,I589=0)),"?IN_FOCUS",IF(J589&lt;=2,"?ACTIVATED",IF(J589&lt;&gt;"","?FAMILIAR",IF(F589="NEW",IF(ISNA(VLOOKUP(E589,#REF!,1,FALSE())),"?TYPE_IDENTIFIABLE","?REFERENTIAL"),"_")))))</f>
        <v/>
      </c>
      <c r="H589" s="23" t="str">
        <f aca="false">IF(J589&lt;&gt;1,"",IF(I589="SBJ","CB","?"))</f>
        <v/>
      </c>
      <c r="I589" s="27" t="str">
        <f aca="false">IF(OR(E589="",E589="!!!",F589="NEW"),"",INDEX(B13:B$577,-1+SUMPRODUCT(MAX(ROW(E13:E$577)*(E589=E13:E$577)))))</f>
        <v/>
      </c>
      <c r="J589" s="27" t="str">
        <f aca="true">IF(OR(E589="",E589="!!!",F589="NEW"),"",COUNTBLANK(OFFSET(A$1,,,SUMPRODUCT(MAX(ROW(E$2:E589)*(E589=E$2:E589)))))-COUNTBLANK(OFFSET(A$1,,,SUMPRODUCT(MAX(ROW(E$1:E588)*(E2=E$1:E588))))))</f>
        <v/>
      </c>
      <c r="K589" s="27" t="str">
        <f aca="false">IF(OR(E589="",E589="!!!",F589="NEW"),"",INDEX(J$1:J588,SUMPRODUCT(MAX(ROW(E$1:E588)*(E589=E$1:E588)))))</f>
        <v/>
      </c>
      <c r="L589" s="28"/>
    </row>
    <row r="590" customFormat="false" ht="15" hidden="false" customHeight="false" outlineLevel="0" collapsed="false">
      <c r="A590" s="21" t="s">
        <v>532</v>
      </c>
      <c r="B590" s="29" t="s">
        <v>190</v>
      </c>
      <c r="C590" s="29" t="s">
        <v>167</v>
      </c>
      <c r="E590" s="25"/>
      <c r="F590" s="26" t="str">
        <f aca="false">IF(OR(E590="",E590="!!!"),"",IF(NOT(ISNA(VLOOKUP(E590,E$1:E589,1,FALSE()))),"OLD",IF(AND(E590&lt;&gt;"",E590&lt;&gt;"!!!"),"NEW","")))</f>
        <v/>
      </c>
      <c r="G590" s="22" t="str">
        <f aca="false">IF(OR(E590="",E590="!!!"),"",IF(OR(J590=0,AND(J590=1,K590=1),AND(J590=1,I590="SBJ"),AND(J590=1,I590=0)),"?IN_FOCUS",IF(J590&lt;=2,"?ACTIVATED",IF(J590&lt;&gt;"","?FAMILIAR",IF(F590="NEW",IF(ISNA(VLOOKUP(E590,#REF!,1,FALSE())),"?TYPE_IDENTIFIABLE","?REFERENTIAL"),"_")))))</f>
        <v/>
      </c>
      <c r="H590" s="23" t="str">
        <f aca="false">IF(J590&lt;&gt;1,"",IF(I590="SBJ","CB","?"))</f>
        <v/>
      </c>
      <c r="I590" s="27" t="str">
        <f aca="false">IF(OR(E590="",E590="!!!",F590="NEW"),"",INDEX(B14:B$577,-1+SUMPRODUCT(MAX(ROW(E14:E$577)*(E590=E14:E$577)))))</f>
        <v/>
      </c>
      <c r="J590" s="27" t="str">
        <f aca="true">IF(OR(E590="",E590="!!!",F590="NEW"),"",COUNTBLANK(OFFSET(A$1,,,SUMPRODUCT(MAX(ROW(E$2:E590)*(E590=E$2:E590)))))-COUNTBLANK(OFFSET(A$1,,,SUMPRODUCT(MAX(ROW(E$1:E589)*(E2=E$1:E589))))))</f>
        <v/>
      </c>
      <c r="K590" s="27" t="str">
        <f aca="false">IF(OR(E590="",E590="!!!",F590="NEW"),"",INDEX(J$1:J589,SUMPRODUCT(MAX(ROW(E$1:E589)*(E590=E$1:E589)))))</f>
        <v/>
      </c>
      <c r="L590" s="28"/>
    </row>
    <row r="591" customFormat="false" ht="15" hidden="false" customHeight="false" outlineLevel="0" collapsed="false">
      <c r="A591" s="21" t="s">
        <v>193</v>
      </c>
      <c r="E591" s="25"/>
      <c r="F591" s="26" t="str">
        <f aca="false">IF(OR(E591="",E591="!!!"),"",IF(NOT(ISNA(VLOOKUP(E591,E$1:E590,1,FALSE()))),"OLD",IF(AND(E591&lt;&gt;"",E591&lt;&gt;"!!!"),"NEW","")))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7" t="str">
        <f aca="false">IF(OR(E591="",E591="!!!",F591="NEW"),"",INDEX(B15:B$577,-1+SUMPRODUCT(MAX(ROW(E15:E$577)*(E591=E15:E$577)))))</f>
        <v/>
      </c>
      <c r="J591" s="27" t="str">
        <f aca="true">IF(OR(E591="",E591="!!!",F591="NEW"),"",COUNTBLANK(OFFSET(A$1,,,SUMPRODUCT(MAX(ROW(E$2:E591)*(E591=E$2:E591)))))-COUNTBLANK(OFFSET(A$1,,,SUMPRODUCT(MAX(ROW(E$1:E590)*(E2=E$1:E590))))))</f>
        <v/>
      </c>
      <c r="K591" s="27" t="str">
        <f aca="false">IF(OR(E591="",E591="!!!",F591="NEW"),"",INDEX(J$1:J590,SUMPRODUCT(MAX(ROW(E$1:E590)*(E591=E$1:E590)))))</f>
        <v/>
      </c>
      <c r="L591" s="28"/>
    </row>
    <row r="592" customFormat="false" ht="15" hidden="false" customHeight="false" outlineLevel="0" collapsed="false">
      <c r="A592" s="21"/>
      <c r="G592" s="22" t="str">
        <f aca="false">IF(OR(E592="",E592="!!!"),"",IF(OR(J592=0,AND(J592=1,K592=1),AND(J592=1,I592="SBJ"),AND(J592=1,I592=0)),"?IN_FOCUS",IF(J592&lt;=2,"?ACTIVATED",IF(J592&lt;&gt;"","?FAMILIAR",IF(F592="NEW",IF(ISNA(VLOOKUP(E592,#REF!,1,FALSE())),"?TYPE_IDENTIFIABLE","?REFERENTIAL"),"_")))))</f>
        <v/>
      </c>
      <c r="H592" s="23" t="str">
        <f aca="false">IF(J592&lt;&gt;1,"",IF(I592="SBJ","CB","?"))</f>
        <v/>
      </c>
    </row>
    <row r="593" customFormat="false" ht="15" hidden="false" customHeight="false" outlineLevel="0" collapsed="false">
      <c r="A593" s="21" t="s">
        <v>533</v>
      </c>
      <c r="G593" s="22" t="str">
        <f aca="false">IF(OR(E593="",E593="!!!"),"",IF(OR(J593=0,AND(J593=1,K593=1),AND(J593=1,I593="SBJ"),AND(J593=1,I593=0)),"?IN_FOCUS",IF(J593&lt;=2,"?ACTIVATED",IF(J593&lt;&gt;"","?FAMILIAR",IF(F593="NEW",IF(ISNA(VLOOKUP(E593,#REF!,1,FALSE())),"?TYPE_IDENTIFIABLE","?REFERENTIAL"),"_")))))</f>
        <v/>
      </c>
      <c r="H593" s="23" t="str">
        <f aca="false">IF(J593&lt;&gt;1,"",IF(I593="SBJ","CB","?"))</f>
        <v/>
      </c>
    </row>
    <row r="594" customFormat="false" ht="15" hidden="false" customHeight="false" outlineLevel="0" collapsed="false">
      <c r="A594" s="21" t="s">
        <v>534</v>
      </c>
      <c r="E594" s="25"/>
      <c r="F594" s="26" t="str">
        <f aca="false">IF(OR(E594="",E594="!!!"),"",IF(NOT(ISNA(VLOOKUP(E594,E$1:E593,1,FALSE()))),"OLD",IF(AND(E594&lt;&gt;"",E594&lt;&gt;"!!!"),"NEW","")))</f>
        <v/>
      </c>
      <c r="G594" s="22" t="str">
        <f aca="false">IF(OR(E594="",E594="!!!"),"",IF(OR(J594=0,AND(J594=1,K594=1),AND(J594=1,I594="SBJ"),AND(J594=1,I594=0)),"?IN_FOCUS",IF(J594&lt;=2,"?ACTIVATED",IF(J594&lt;&gt;"","?FAMILIAR",IF(F594="NEW",IF(ISNA(VLOOKUP(E594,#REF!,1,FALSE())),"?TYPE_IDENTIFIABLE","?REFERENTIAL"),"_")))))</f>
        <v/>
      </c>
      <c r="H594" s="23" t="str">
        <f aca="false">IF(J594&lt;&gt;1,"",IF(I594="SBJ","CB","?"))</f>
        <v/>
      </c>
      <c r="I594" s="27" t="str">
        <f aca="false">IF(OR(E594="",E594="!!!",F594="NEW"),"",INDEX(B2:B$593,-1+SUMPRODUCT(MAX(ROW(E2:E$593)*(E594=E2:E$593)))))</f>
        <v/>
      </c>
      <c r="J594" s="27" t="str">
        <f aca="true">IF(OR(E594="",E594="!!!",F594="NEW"),"",COUNTBLANK(OFFSET(A$1,,,SUMPRODUCT(MAX(ROW(E$2:E594)*(E594=E$2:E594)))))-COUNTBLANK(OFFSET(A$1,,,SUMPRODUCT(MAX(ROW(E$1:E593)*(E2=E$1:E593))))))</f>
        <v/>
      </c>
      <c r="K594" s="27" t="str">
        <f aca="false">IF(OR(E594="",E594="!!!",F594="NEW"),"",INDEX(J$1:J593,SUMPRODUCT(MAX(ROW(E$1:E593)*(E594=E$1:E593)))))</f>
        <v/>
      </c>
      <c r="L594" s="28"/>
    </row>
    <row r="595" customFormat="false" ht="15" hidden="false" customHeight="false" outlineLevel="0" collapsed="false">
      <c r="A595" s="21" t="s">
        <v>188</v>
      </c>
      <c r="B595" s="29" t="s">
        <v>180</v>
      </c>
      <c r="C595" s="29" t="s">
        <v>154</v>
      </c>
      <c r="E595" s="25"/>
      <c r="F595" s="26" t="str">
        <f aca="false">IF(OR(E595="",E595="!!!"),"",IF(NOT(ISNA(VLOOKUP(E595,E$1:E594,1,FALSE()))),"OLD",IF(AND(E595&lt;&gt;"",E595&lt;&gt;"!!!"),"NEW","")))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7" t="str">
        <f aca="false">IF(OR(E595="",E595="!!!",F595="NEW"),"",INDEX(B3:B$593,-1+SUMPRODUCT(MAX(ROW(E3:E$593)*(E595=E3:E$593)))))</f>
        <v/>
      </c>
      <c r="J595" s="27" t="str">
        <f aca="true">IF(OR(E595="",E595="!!!",F595="NEW"),"",COUNTBLANK(OFFSET(A$1,,,SUMPRODUCT(MAX(ROW(E$2:E595)*(E595=E$2:E595)))))-COUNTBLANK(OFFSET(A$1,,,SUMPRODUCT(MAX(ROW(E$1:E594)*(E2=E$1:E594))))))</f>
        <v/>
      </c>
      <c r="K595" s="27" t="str">
        <f aca="false">IF(OR(E595="",E595="!!!",F595="NEW"),"",INDEX(J$1:J594,SUMPRODUCT(MAX(ROW(E$1:E594)*(E595=E$1:E594)))))</f>
        <v/>
      </c>
      <c r="L595" s="28"/>
    </row>
    <row r="596" customFormat="false" ht="15" hidden="false" customHeight="false" outlineLevel="0" collapsed="false">
      <c r="A596" s="21" t="s">
        <v>535</v>
      </c>
      <c r="E596" s="25"/>
      <c r="F596" s="26" t="str">
        <f aca="false">IF(OR(E596="",E596="!!!"),"",IF(NOT(ISNA(VLOOKUP(E596,E$1:E595,1,FALSE()))),"OLD",IF(AND(E596&lt;&gt;"",E596&lt;&gt;"!!!"),"NEW","")))</f>
        <v/>
      </c>
      <c r="G596" s="22" t="str">
        <f aca="false">IF(OR(E596="",E596="!!!"),"",IF(OR(J596=0,AND(J596=1,K596=1),AND(J596=1,I596="SBJ"),AND(J596=1,I596=0)),"?IN_FOCUS",IF(J596&lt;=2,"?ACTIVATED",IF(J596&lt;&gt;"","?FAMILIAR",IF(F596="NEW",IF(ISNA(VLOOKUP(E596,#REF!,1,FALSE())),"?TYPE_IDENTIFIABLE","?REFERENTIAL"),"_")))))</f>
        <v/>
      </c>
      <c r="H596" s="23" t="str">
        <f aca="false">IF(J596&lt;&gt;1,"",IF(I596="SBJ","CB","?"))</f>
        <v/>
      </c>
      <c r="I596" s="27" t="str">
        <f aca="false">IF(OR(E596="",E596="!!!",F596="NEW"),"",INDEX(B4:B$593,-1+SUMPRODUCT(MAX(ROW(E4:E$593)*(E596=E4:E$593)))))</f>
        <v/>
      </c>
      <c r="J596" s="27" t="str">
        <f aca="true">IF(OR(E596="",E596="!!!",F596="NEW"),"",COUNTBLANK(OFFSET(A$1,,,SUMPRODUCT(MAX(ROW(E$2:E596)*(E596=E$2:E596)))))-COUNTBLANK(OFFSET(A$1,,,SUMPRODUCT(MAX(ROW(E$1:E595)*(E2=E$1:E595))))))</f>
        <v/>
      </c>
      <c r="K596" s="27" t="str">
        <f aca="false">IF(OR(E596="",E596="!!!",F596="NEW"),"",INDEX(J$1:J595,SUMPRODUCT(MAX(ROW(E$1:E595)*(E596=E$1:E595)))))</f>
        <v/>
      </c>
      <c r="L596" s="28"/>
    </row>
    <row r="597" customFormat="false" ht="15" hidden="false" customHeight="false" outlineLevel="0" collapsed="false">
      <c r="A597" s="21" t="s">
        <v>394</v>
      </c>
      <c r="B597" s="29" t="s">
        <v>190</v>
      </c>
      <c r="C597" s="29" t="s">
        <v>240</v>
      </c>
      <c r="D597" s="29" t="s">
        <v>159</v>
      </c>
      <c r="E597" s="25" t="s">
        <v>395</v>
      </c>
      <c r="F597" s="30" t="str">
        <f aca="false">IF(OR(E597="",E597="!!!"),"",IF(NOT(ISNA(VLOOKUP(E597,E$1:E596,1,FALSE()))),"OLD",IF(AND(E597&lt;&gt;"",E597&lt;&gt;"!!!"),"NEW","")))</f>
        <v>OLD</v>
      </c>
      <c r="G597" s="22" t="s">
        <v>182</v>
      </c>
      <c r="H597" s="23" t="str">
        <f aca="false">IF(J597&lt;&gt;1,"",IF(I597="SBJ","CB","?"))</f>
        <v/>
      </c>
      <c r="I597" s="31" t="str">
        <f aca="false">IF(OR(E597="",E597="!!!",F597="NEW"),"",INDEX(B5:B$593,-1+SUMPRODUCT(MAX(ROW(E5:E$593)*(E597=E5:E$593)))))</f>
        <v>OBJ</v>
      </c>
      <c r="J597" s="31" t="n">
        <f aca="true">IF(OR(E597="",E597="!!!",F597="NEW"),"",COUNTBLANK(OFFSET(A$1,,,SUMPRODUCT(MAX(ROW(E$2:E597)*(E597=E$2:E597)))))-COUNTBLANK(OFFSET(A$1,,,SUMPRODUCT(MAX(ROW(E$1:E596)*(E2=E$1:E596))))))</f>
        <v>0</v>
      </c>
      <c r="K597" s="31" t="n">
        <f aca="false">IF(OR(E597="",E597="!!!",F597="NEW"),"",INDEX(J$1:J596,SUMPRODUCT(MAX(ROW(E$1:E596)*(E597=E$1:E596)))))</f>
        <v>0</v>
      </c>
      <c r="L597" s="28"/>
    </row>
    <row r="598" customFormat="false" ht="15" hidden="false" customHeight="false" outlineLevel="0" collapsed="false">
      <c r="A598" s="21" t="s">
        <v>536</v>
      </c>
      <c r="E598" s="25"/>
      <c r="F598" s="26" t="str">
        <f aca="false">IF(OR(E598="",E598="!!!"),"",IF(NOT(ISNA(VLOOKUP(E598,E$1:E597,1,FALSE()))),"OLD",IF(AND(E598&lt;&gt;"",E598&lt;&gt;"!!!"),"NEW","")))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7" t="str">
        <f aca="false">IF(OR(E598="",E598="!!!",F598="NEW"),"",INDEX(B6:B$593,-1+SUMPRODUCT(MAX(ROW(E6:E$593)*(E598=E6:E$593)))))</f>
        <v/>
      </c>
      <c r="J598" s="27" t="str">
        <f aca="true">IF(OR(E598="",E598="!!!",F598="NEW"),"",COUNTBLANK(OFFSET(A$1,,,SUMPRODUCT(MAX(ROW(E$2:E598)*(E598=E$2:E598)))))-COUNTBLANK(OFFSET(A$1,,,SUMPRODUCT(MAX(ROW(E$1:E597)*(E2=E$1:E597))))))</f>
        <v/>
      </c>
      <c r="K598" s="27" t="str">
        <f aca="false">IF(OR(E598="",E598="!!!",F598="NEW"),"",INDEX(J$1:J597,SUMPRODUCT(MAX(ROW(E$1:E597)*(E598=E$1:E597)))))</f>
        <v/>
      </c>
      <c r="L598" s="28"/>
    </row>
    <row r="599" customFormat="false" ht="15" hidden="false" customHeight="false" outlineLevel="0" collapsed="false">
      <c r="A599" s="21" t="s">
        <v>537</v>
      </c>
      <c r="B599" s="29" t="s">
        <v>203</v>
      </c>
      <c r="C599" s="29" t="s">
        <v>243</v>
      </c>
      <c r="D599" s="29" t="s">
        <v>159</v>
      </c>
      <c r="E599" s="25" t="s">
        <v>538</v>
      </c>
      <c r="F599" s="30" t="str">
        <f aca="false">IF(OR(E599="",E599="!!!"),"",IF(NOT(ISNA(VLOOKUP(E599,E$1:E598,1,FALSE()))),"OLD",IF(AND(E599&lt;&gt;"",E599&lt;&gt;"!!!"),"NEW","")))</f>
        <v>NEW</v>
      </c>
      <c r="G599" s="22" t="s">
        <v>160</v>
      </c>
      <c r="H599" s="23" t="str">
        <f aca="false">IF(J599&lt;&gt;1,"",IF(I599="SBJ","CB","?"))</f>
        <v/>
      </c>
      <c r="I599" s="31" t="str">
        <f aca="false">IF(OR(E599="",E599="!!!",F599="NEW"),"",INDEX(B7:B$593,-1+SUMPRODUCT(MAX(ROW(E7:E$593)*(E599=E7:E$593)))))</f>
        <v/>
      </c>
      <c r="J599" s="31" t="str">
        <f aca="true">IF(OR(E599="",E599="!!!",F599="NEW"),"",COUNTBLANK(OFFSET(A$1,,,SUMPRODUCT(MAX(ROW(E$2:E599)*(E599=E$2:E599)))))-COUNTBLANK(OFFSET(A$1,,,SUMPRODUCT(MAX(ROW(E$1:E598)*(E2=E$1:E598))))))</f>
        <v/>
      </c>
      <c r="K599" s="31" t="str">
        <f aca="false">IF(OR(E599="",E599="!!!",F599="NEW"),"",INDEX(J$1:J598,SUMPRODUCT(MAX(ROW(E$1:E598)*(E599=E$1:E598)))))</f>
        <v/>
      </c>
      <c r="L599" s="28"/>
    </row>
    <row r="600" customFormat="false" ht="15" hidden="false" customHeight="false" outlineLevel="0" collapsed="false">
      <c r="A600" s="21" t="s">
        <v>326</v>
      </c>
      <c r="E600" s="25"/>
      <c r="F600" s="26" t="str">
        <f aca="false">IF(OR(E600="",E600="!!!"),"",IF(NOT(ISNA(VLOOKUP(E600,E$1:E599,1,FALSE()))),"OLD",IF(AND(E600&lt;&gt;"",E600&lt;&gt;"!!!"),"NEW","")))</f>
        <v/>
      </c>
      <c r="G600" s="22" t="str">
        <f aca="false">IF(OR(E600="",E600="!!!"),"",IF(OR(J600=0,AND(J600=1,K600=1),AND(J600=1,I600="SBJ"),AND(J600=1,I600=0)),"?IN_FOCUS",IF(J600&lt;=2,"?ACTIVATED",IF(J600&lt;&gt;"","?FAMILIAR",IF(F600="NEW",IF(ISNA(VLOOKUP(E600,#REF!,1,FALSE())),"?TYPE_IDENTIFIABLE","?REFERENTIAL"),"_")))))</f>
        <v/>
      </c>
      <c r="H600" s="23" t="str">
        <f aca="false">IF(J600&lt;&gt;1,"",IF(I600="SBJ","CB","?"))</f>
        <v/>
      </c>
      <c r="I600" s="27" t="str">
        <f aca="false">IF(OR(E600="",E600="!!!",F600="NEW"),"",INDEX(B8:B$593,-1+SUMPRODUCT(MAX(ROW(E8:E$593)*(E600=E8:E$593)))))</f>
        <v/>
      </c>
      <c r="J600" s="27" t="str">
        <f aca="true">IF(OR(E600="",E600="!!!",F600="NEW"),"",COUNTBLANK(OFFSET(A$1,,,SUMPRODUCT(MAX(ROW(E$2:E600)*(E600=E$2:E600)))))-COUNTBLANK(OFFSET(A$1,,,SUMPRODUCT(MAX(ROW(E$1:E599)*(E2=E$1:E599))))))</f>
        <v/>
      </c>
      <c r="K600" s="27" t="str">
        <f aca="false">IF(OR(E600="",E600="!!!",F600="NEW"),"",INDEX(J$1:J599,SUMPRODUCT(MAX(ROW(E$1:E599)*(E600=E$1:E599)))))</f>
        <v/>
      </c>
      <c r="L600" s="28"/>
    </row>
    <row r="601" customFormat="false" ht="15" hidden="false" customHeight="false" outlineLevel="0" collapsed="false">
      <c r="A601" s="21" t="s">
        <v>539</v>
      </c>
      <c r="E601" s="25"/>
      <c r="F601" s="26" t="str">
        <f aca="false">IF(OR(E601="",E601="!!!"),"",IF(NOT(ISNA(VLOOKUP(E601,E$1:E600,1,FALSE()))),"OLD",IF(AND(E601&lt;&gt;"",E601&lt;&gt;"!!!"),"NEW","")))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7" t="str">
        <f aca="false">IF(OR(E601="",E601="!!!",F601="NEW"),"",INDEX(B9:B$593,-1+SUMPRODUCT(MAX(ROW(E9:E$593)*(E601=E9:E$593)))))</f>
        <v/>
      </c>
      <c r="J601" s="27" t="str">
        <f aca="true">IF(OR(E601="",E601="!!!",F601="NEW"),"",COUNTBLANK(OFFSET(A$1,,,SUMPRODUCT(MAX(ROW(E$2:E601)*(E601=E$2:E601)))))-COUNTBLANK(OFFSET(A$1,,,SUMPRODUCT(MAX(ROW(E$1:E600)*(E2=E$1:E600))))))</f>
        <v/>
      </c>
      <c r="K601" s="27" t="str">
        <f aca="false">IF(OR(E601="",E601="!!!",F601="NEW"),"",INDEX(J$1:J600,SUMPRODUCT(MAX(ROW(E$1:E600)*(E601=E$1:E600)))))</f>
        <v/>
      </c>
      <c r="L601" s="28"/>
    </row>
    <row r="602" customFormat="false" ht="15" hidden="false" customHeight="false" outlineLevel="0" collapsed="false">
      <c r="A602" s="21" t="s">
        <v>230</v>
      </c>
      <c r="E602" s="25"/>
      <c r="F602" s="26" t="str">
        <f aca="false">IF(OR(E602="",E602="!!!"),"",IF(NOT(ISNA(VLOOKUP(E602,E$1:E601,1,FALSE()))),"OLD",IF(AND(E602&lt;&gt;"",E602&lt;&gt;"!!!"),"NEW","")))</f>
        <v/>
      </c>
      <c r="G602" s="22" t="str">
        <f aca="false">IF(OR(E602="",E602="!!!"),"",IF(OR(J602=0,AND(J602=1,K602=1),AND(J602=1,I602="SBJ"),AND(J602=1,I602=0)),"?IN_FOCUS",IF(J602&lt;=2,"?ACTIVATED",IF(J602&lt;&gt;"","?FAMILIAR",IF(F602="NEW",IF(ISNA(VLOOKUP(E602,#REF!,1,FALSE())),"?TYPE_IDENTIFIABLE","?REFERENTIAL"),"_")))))</f>
        <v/>
      </c>
      <c r="H602" s="23" t="str">
        <f aca="false">IF(J602&lt;&gt;1,"",IF(I602="SBJ","CB","?"))</f>
        <v/>
      </c>
      <c r="I602" s="27" t="str">
        <f aca="false">IF(OR(E602="",E602="!!!",F602="NEW"),"",INDEX(B10:B$593,-1+SUMPRODUCT(MAX(ROW(E10:E$593)*(E602=E10:E$593)))))</f>
        <v/>
      </c>
      <c r="J602" s="27" t="str">
        <f aca="true">IF(OR(E602="",E602="!!!",F602="NEW"),"",COUNTBLANK(OFFSET(A$1,,,SUMPRODUCT(MAX(ROW(E$2:E602)*(E602=E$2:E602)))))-COUNTBLANK(OFFSET(A$1,,,SUMPRODUCT(MAX(ROW(E$1:E601)*(E2=E$1:E601))))))</f>
        <v/>
      </c>
      <c r="K602" s="27" t="str">
        <f aca="false">IF(OR(E602="",E602="!!!",F602="NEW"),"",INDEX(J$1:J601,SUMPRODUCT(MAX(ROW(E$1:E601)*(E602=E$1:E601)))))</f>
        <v/>
      </c>
      <c r="L602" s="28"/>
    </row>
    <row r="603" customFormat="false" ht="15" hidden="false" customHeight="false" outlineLevel="0" collapsed="false">
      <c r="A603" s="21" t="s">
        <v>169</v>
      </c>
      <c r="E603" s="25"/>
      <c r="F603" s="26" t="str">
        <f aca="false">IF(OR(E603="",E603="!!!"),"",IF(NOT(ISNA(VLOOKUP(E603,E$1:E602,1,FALSE()))),"OLD",IF(AND(E603&lt;&gt;"",E603&lt;&gt;"!!!"),"NEW","")))</f>
        <v/>
      </c>
      <c r="G603" s="22" t="str">
        <f aca="false">IF(OR(E603="",E603="!!!"),"",IF(OR(J603=0,AND(J603=1,K603=1),AND(J603=1,I603="SBJ"),AND(J603=1,I603=0)),"?IN_FOCUS",IF(J603&lt;=2,"?ACTIVATED",IF(J603&lt;&gt;"","?FAMILIAR",IF(F603="NEW",IF(ISNA(VLOOKUP(E603,#REF!,1,FALSE())),"?TYPE_IDENTIFIABLE","?REFERENTIAL"),"_")))))</f>
        <v/>
      </c>
      <c r="H603" s="23" t="str">
        <f aca="false">IF(J603&lt;&gt;1,"",IF(I603="SBJ","CB","?"))</f>
        <v/>
      </c>
      <c r="I603" s="27" t="str">
        <f aca="false">IF(OR(E603="",E603="!!!",F603="NEW"),"",INDEX(B11:B$593,-1+SUMPRODUCT(MAX(ROW(E11:E$593)*(E603=E11:E$593)))))</f>
        <v/>
      </c>
      <c r="J603" s="27" t="str">
        <f aca="true">IF(OR(E603="",E603="!!!",F603="NEW"),"",COUNTBLANK(OFFSET(A$1,,,SUMPRODUCT(MAX(ROW(E$2:E603)*(E603=E$2:E603)))))-COUNTBLANK(OFFSET(A$1,,,SUMPRODUCT(MAX(ROW(E$1:E602)*(E2=E$1:E602))))))</f>
        <v/>
      </c>
      <c r="K603" s="27" t="str">
        <f aca="false">IF(OR(E603="",E603="!!!",F603="NEW"),"",INDEX(J$1:J602,SUMPRODUCT(MAX(ROW(E$1:E602)*(E603=E$1:E602)))))</f>
        <v/>
      </c>
      <c r="L603" s="28"/>
    </row>
    <row r="604" customFormat="false" ht="15" hidden="false" customHeight="false" outlineLevel="0" collapsed="false">
      <c r="A604" s="21" t="s">
        <v>170</v>
      </c>
      <c r="B604" s="29" t="s">
        <v>190</v>
      </c>
      <c r="C604" s="29" t="s">
        <v>171</v>
      </c>
      <c r="D604" s="29" t="s">
        <v>159</v>
      </c>
      <c r="E604" s="25" t="s">
        <v>172</v>
      </c>
      <c r="F604" s="30" t="str">
        <f aca="false">IF(OR(E604="",E604="!!!"),"",IF(NOT(ISNA(VLOOKUP(E604,E$1:E603,1,FALSE()))),"OLD",IF(AND(E604&lt;&gt;"",E604&lt;&gt;"!!!"),"NEW","")))</f>
        <v>OLD</v>
      </c>
      <c r="G604" s="22" t="s">
        <v>265</v>
      </c>
      <c r="H604" s="23" t="str">
        <f aca="false">IF(J604&lt;&gt;1,"",IF(I604="SBJ","CB","?"))</f>
        <v/>
      </c>
      <c r="I604" s="31" t="n">
        <f aca="false">IF(OR(E604="",E604="!!!",F604="NEW"),"",INDEX(B12:B$593,-1+SUMPRODUCT(MAX(ROW(E12:E$593)*(E604=E12:E$593)))))</f>
        <v>0</v>
      </c>
      <c r="J604" s="31" t="n">
        <f aca="true">IF(OR(E604="",E604="!!!",F604="NEW"),"",COUNTBLANK(OFFSET(A$1,,,SUMPRODUCT(MAX(ROW(E$2:E604)*(E604=E$2:E604)))))-COUNTBLANK(OFFSET(A$1,,,SUMPRODUCT(MAX(ROW(E$1:E603)*(E2=E$1:E603))))))</f>
        <v>0</v>
      </c>
      <c r="K604" s="31" t="n">
        <f aca="false">IF(OR(E604="",E604="!!!",F604="NEW"),"",INDEX(J$1:J603,SUMPRODUCT(MAX(ROW(E$1:E603)*(E604=E$1:E603)))))</f>
        <v>0</v>
      </c>
      <c r="L604" s="28"/>
    </row>
    <row r="605" customFormat="false" ht="15" hidden="false" customHeight="false" outlineLevel="0" collapsed="false">
      <c r="A605" s="21" t="s">
        <v>193</v>
      </c>
      <c r="E605" s="25"/>
      <c r="F605" s="26" t="str">
        <f aca="false">IF(OR(E605="",E605="!!!"),"",IF(NOT(ISNA(VLOOKUP(E605,E$1:E604,1,FALSE()))),"OLD",IF(AND(E605&lt;&gt;"",E605&lt;&gt;"!!!"),"NEW","")))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7" t="str">
        <f aca="false">IF(OR(E605="",E605="!!!",F605="NEW"),"",INDEX(B13:B$593,-1+SUMPRODUCT(MAX(ROW(E13:E$593)*(E605=E13:E$593)))))</f>
        <v/>
      </c>
      <c r="J605" s="27" t="str">
        <f aca="true">IF(OR(E605="",E605="!!!",F605="NEW"),"",COUNTBLANK(OFFSET(A$1,,,SUMPRODUCT(MAX(ROW(E$2:E605)*(E605=E$2:E605)))))-COUNTBLANK(OFFSET(A$1,,,SUMPRODUCT(MAX(ROW(E$1:E604)*(E2=E$1:E604))))))</f>
        <v/>
      </c>
      <c r="K605" s="27" t="str">
        <f aca="false">IF(OR(E605="",E605="!!!",F605="NEW"),"",INDEX(J$1:J604,SUMPRODUCT(MAX(ROW(E$1:E604)*(E605=E$1:E604)))))</f>
        <v/>
      </c>
      <c r="L605" s="28"/>
    </row>
    <row r="606" customFormat="false" ht="15" hidden="false" customHeight="false" outlineLevel="0" collapsed="false">
      <c r="A606" s="21"/>
      <c r="G606" s="22" t="str">
        <f aca="false">IF(OR(E606="",E606="!!!"),"",IF(OR(J606=0,AND(J606=1,K606=1),AND(J606=1,I606="SBJ"),AND(J606=1,I606=0)),"?IN_FOCUS",IF(J606&lt;=2,"?ACTIVATED",IF(J606&lt;&gt;"","?FAMILIAR",IF(F606="NEW",IF(ISNA(VLOOKUP(E606,#REF!,1,FALSE())),"?TYPE_IDENTIFIABLE","?REFERENTIAL"),"_")))))</f>
        <v/>
      </c>
      <c r="H606" s="23" t="str">
        <f aca="false">IF(J606&lt;&gt;1,"",IF(I606="SBJ","CB","?"))</f>
        <v/>
      </c>
    </row>
    <row r="607" customFormat="false" ht="15" hidden="false" customHeight="false" outlineLevel="0" collapsed="false">
      <c r="A607" s="21" t="s">
        <v>540</v>
      </c>
      <c r="G607" s="22" t="str">
        <f aca="false">IF(OR(E607="",E607="!!!"),"",IF(OR(J607=0,AND(J607=1,K607=1),AND(J607=1,I607="SBJ"),AND(J607=1,I607=0)),"?IN_FOCUS",IF(J607&lt;=2,"?ACTIVATED",IF(J607&lt;&gt;"","?FAMILIAR",IF(F607="NEW",IF(ISNA(VLOOKUP(E607,#REF!,1,FALSE())),"?TYPE_IDENTIFIABLE","?REFERENTIAL"),"_")))))</f>
        <v/>
      </c>
      <c r="H607" s="23" t="str">
        <f aca="false">IF(J607&lt;&gt;1,"",IF(I607="SBJ","CB","?"))</f>
        <v/>
      </c>
    </row>
    <row r="608" customFormat="false" ht="15" hidden="false" customHeight="false" outlineLevel="0" collapsed="false">
      <c r="A608" s="21" t="s">
        <v>541</v>
      </c>
      <c r="B608" s="29" t="s">
        <v>180</v>
      </c>
      <c r="C608" s="29" t="s">
        <v>167</v>
      </c>
      <c r="E608" s="25"/>
      <c r="F608" s="26" t="str">
        <f aca="false">IF(OR(E608="",E608="!!!"),"",IF(NOT(ISNA(VLOOKUP(E608,E$1:E607,1,FALSE()))),"OLD",IF(AND(E608&lt;&gt;"",E608&lt;&gt;"!!!"),"NEW","")))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7" t="str">
        <f aca="false">IF(OR(E608="",E608="!!!",F608="NEW"),"",INDEX(B2:B$607,-1+SUMPRODUCT(MAX(ROW(E2:E$607)*(E608=E2:E$607)))))</f>
        <v/>
      </c>
      <c r="J608" s="27" t="str">
        <f aca="true">IF(OR(E608="",E608="!!!",F608="NEW"),"",COUNTBLANK(OFFSET(A$1,,,SUMPRODUCT(MAX(ROW(E$2:E608)*(E608=E$2:E608)))))-COUNTBLANK(OFFSET(A$1,,,SUMPRODUCT(MAX(ROW(E$1:E607)*(E2=E$1:E607))))))</f>
        <v/>
      </c>
      <c r="K608" s="27" t="str">
        <f aca="false">IF(OR(E608="",E608="!!!",F608="NEW"),"",INDEX(J$1:J607,SUMPRODUCT(MAX(ROW(E$1:E607)*(E608=E$1:E607)))))</f>
        <v/>
      </c>
      <c r="L608" s="28"/>
    </row>
    <row r="609" customFormat="false" ht="15" hidden="false" customHeight="false" outlineLevel="0" collapsed="false">
      <c r="A609" s="21" t="s">
        <v>318</v>
      </c>
      <c r="E609" s="25"/>
      <c r="F609" s="26" t="str">
        <f aca="false">IF(OR(E609="",E609="!!!"),"",IF(NOT(ISNA(VLOOKUP(E609,E$1:E608,1,FALSE()))),"OLD",IF(AND(E609&lt;&gt;"",E609&lt;&gt;"!!!"),"NEW","")))</f>
        <v/>
      </c>
      <c r="G609" s="22" t="str">
        <f aca="false">IF(OR(E609="",E609="!!!"),"",IF(OR(J609=0,AND(J609=1,K609=1),AND(J609=1,I609="SBJ"),AND(J609=1,I609=0)),"?IN_FOCUS",IF(J609&lt;=2,"?ACTIVATED",IF(J609&lt;&gt;"","?FAMILIAR",IF(F609="NEW",IF(ISNA(VLOOKUP(E609,#REF!,1,FALSE())),"?TYPE_IDENTIFIABLE","?REFERENTIAL"),"_")))))</f>
        <v/>
      </c>
      <c r="H609" s="23" t="str">
        <f aca="false">IF(J609&lt;&gt;1,"",IF(I609="SBJ","CB","?"))</f>
        <v/>
      </c>
      <c r="I609" s="27" t="str">
        <f aca="false">IF(OR(E609="",E609="!!!",F609="NEW"),"",INDEX(B3:B$607,-1+SUMPRODUCT(MAX(ROW(E3:E$607)*(E609=E3:E$607)))))</f>
        <v/>
      </c>
      <c r="J609" s="27" t="str">
        <f aca="true">IF(OR(E609="",E609="!!!",F609="NEW"),"",COUNTBLANK(OFFSET(A$1,,,SUMPRODUCT(MAX(ROW(E$2:E609)*(E609=E$2:E609)))))-COUNTBLANK(OFFSET(A$1,,,SUMPRODUCT(MAX(ROW(E$1:E608)*(E2=E$1:E608))))))</f>
        <v/>
      </c>
      <c r="K609" s="27" t="str">
        <f aca="false">IF(OR(E609="",E609="!!!",F609="NEW"),"",INDEX(J$1:J608,SUMPRODUCT(MAX(ROW(E$1:E608)*(E609=E$1:E608)))))</f>
        <v/>
      </c>
      <c r="L609" s="28"/>
    </row>
    <row r="610" customFormat="false" ht="15" hidden="false" customHeight="false" outlineLevel="0" collapsed="false">
      <c r="A610" s="21" t="s">
        <v>542</v>
      </c>
      <c r="E610" s="25"/>
      <c r="F610" s="26" t="str">
        <f aca="false">IF(OR(E610="",E610="!!!"),"",IF(NOT(ISNA(VLOOKUP(E610,E$1:E609,1,FALSE()))),"OLD",IF(AND(E610&lt;&gt;"",E610&lt;&gt;"!!!"),"NEW","")))</f>
        <v/>
      </c>
      <c r="G610" s="22" t="str">
        <f aca="false">IF(OR(E610="",E610="!!!"),"",IF(OR(J610=0,AND(J610=1,K610=1),AND(J610=1,I610="SBJ"),AND(J610=1,I610=0)),"?IN_FOCUS",IF(J610&lt;=2,"?ACTIVATED",IF(J610&lt;&gt;"","?FAMILIAR",IF(F610="NEW",IF(ISNA(VLOOKUP(E610,#REF!,1,FALSE())),"?TYPE_IDENTIFIABLE","?REFERENTIAL"),"_")))))</f>
        <v/>
      </c>
      <c r="H610" s="23" t="str">
        <f aca="false">IF(J610&lt;&gt;1,"",IF(I610="SBJ","CB","?"))</f>
        <v/>
      </c>
      <c r="I610" s="27" t="str">
        <f aca="false">IF(OR(E610="",E610="!!!",F610="NEW"),"",INDEX(B4:B$607,-1+SUMPRODUCT(MAX(ROW(E4:E$607)*(E610=E4:E$607)))))</f>
        <v/>
      </c>
      <c r="J610" s="27" t="str">
        <f aca="true">IF(OR(E610="",E610="!!!",F610="NEW"),"",COUNTBLANK(OFFSET(A$1,,,SUMPRODUCT(MAX(ROW(E$2:E610)*(E610=E$2:E610)))))-COUNTBLANK(OFFSET(A$1,,,SUMPRODUCT(MAX(ROW(E$1:E609)*(E2=E$1:E609))))))</f>
        <v/>
      </c>
      <c r="K610" s="27" t="str">
        <f aca="false">IF(OR(E610="",E610="!!!",F610="NEW"),"",INDEX(J$1:J609,SUMPRODUCT(MAX(ROW(E$1:E609)*(E610=E$1:E609)))))</f>
        <v/>
      </c>
      <c r="L610" s="28"/>
    </row>
    <row r="611" customFormat="false" ht="15" hidden="false" customHeight="false" outlineLevel="0" collapsed="false">
      <c r="A611" s="21" t="s">
        <v>178</v>
      </c>
      <c r="E611" s="25"/>
      <c r="F611" s="26" t="str">
        <f aca="false">IF(OR(E611="",E611="!!!"),"",IF(NOT(ISNA(VLOOKUP(E611,E$1:E610,1,FALSE()))),"OLD",IF(AND(E611&lt;&gt;"",E611&lt;&gt;"!!!"),"NEW","")))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7" t="str">
        <f aca="false">IF(OR(E611="",E611="!!!",F611="NEW"),"",INDEX(B5:B$607,-1+SUMPRODUCT(MAX(ROW(E5:E$607)*(E611=E5:E$607)))))</f>
        <v/>
      </c>
      <c r="J611" s="27" t="str">
        <f aca="true">IF(OR(E611="",E611="!!!",F611="NEW"),"",COUNTBLANK(OFFSET(A$1,,,SUMPRODUCT(MAX(ROW(E$2:E611)*(E611=E$2:E611)))))-COUNTBLANK(OFFSET(A$1,,,SUMPRODUCT(MAX(ROW(E$1:E610)*(E2=E$1:E610))))))</f>
        <v/>
      </c>
      <c r="K611" s="27" t="str">
        <f aca="false">IF(OR(E611="",E611="!!!",F611="NEW"),"",INDEX(J$1:J610,SUMPRODUCT(MAX(ROW(E$1:E610)*(E611=E$1:E610)))))</f>
        <v/>
      </c>
      <c r="L611" s="28"/>
    </row>
    <row r="612" customFormat="false" ht="15" hidden="false" customHeight="false" outlineLevel="0" collapsed="false">
      <c r="A612" s="21" t="s">
        <v>169</v>
      </c>
      <c r="E612" s="25"/>
      <c r="F612" s="26" t="str">
        <f aca="false">IF(OR(E612="",E612="!!!"),"",IF(NOT(ISNA(VLOOKUP(E612,E$1:E611,1,FALSE()))),"OLD",IF(AND(E612&lt;&gt;"",E612&lt;&gt;"!!!"),"NEW","")))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7" t="str">
        <f aca="false">IF(OR(E612="",E612="!!!",F612="NEW"),"",INDEX(B6:B$607,-1+SUMPRODUCT(MAX(ROW(E6:E$607)*(E612=E6:E$607)))))</f>
        <v/>
      </c>
      <c r="J612" s="27" t="str">
        <f aca="true">IF(OR(E612="",E612="!!!",F612="NEW"),"",COUNTBLANK(OFFSET(A$1,,,SUMPRODUCT(MAX(ROW(E$2:E612)*(E612=E$2:E612)))))-COUNTBLANK(OFFSET(A$1,,,SUMPRODUCT(MAX(ROW(E$1:E611)*(E2=E$1:E611))))))</f>
        <v/>
      </c>
      <c r="K612" s="27" t="str">
        <f aca="false">IF(OR(E612="",E612="!!!",F612="NEW"),"",INDEX(J$1:J611,SUMPRODUCT(MAX(ROW(E$1:E611)*(E612=E$1:E611)))))</f>
        <v/>
      </c>
      <c r="L612" s="28"/>
    </row>
    <row r="613" customFormat="false" ht="15" hidden="false" customHeight="false" outlineLevel="0" collapsed="false">
      <c r="A613" s="21" t="s">
        <v>543</v>
      </c>
      <c r="B613" s="29" t="s">
        <v>185</v>
      </c>
      <c r="C613" s="29" t="s">
        <v>171</v>
      </c>
      <c r="D613" s="29" t="s">
        <v>159</v>
      </c>
      <c r="E613" s="25" t="s">
        <v>544</v>
      </c>
      <c r="F613" s="30" t="str">
        <f aca="false">IF(OR(E613="",E613="!!!"),"",IF(NOT(ISNA(VLOOKUP(E613,E$1:E612,1,FALSE()))),"OLD",IF(AND(E613&lt;&gt;"",E613&lt;&gt;"!!!"),"NEW","")))</f>
        <v>NEW</v>
      </c>
      <c r="G613" s="22" t="s">
        <v>160</v>
      </c>
      <c r="H613" s="23" t="str">
        <f aca="false">IF(J613&lt;&gt;1,"",IF(I613="SBJ","CB","?"))</f>
        <v/>
      </c>
      <c r="I613" s="31" t="str">
        <f aca="false">IF(OR(E613="",E613="!!!",F613="NEW"),"",INDEX(B7:B$607,-1+SUMPRODUCT(MAX(ROW(E7:E$607)*(E613=E7:E$607)))))</f>
        <v/>
      </c>
      <c r="J613" s="31" t="str">
        <f aca="true">IF(OR(E613="",E613="!!!",F613="NEW"),"",COUNTBLANK(OFFSET(A$1,,,SUMPRODUCT(MAX(ROW(E$2:E613)*(E613=E$2:E613)))))-COUNTBLANK(OFFSET(A$1,,,SUMPRODUCT(MAX(ROW(E$1:E612)*(E2=E$1:E612))))))</f>
        <v/>
      </c>
      <c r="K613" s="31" t="str">
        <f aca="false">IF(OR(E613="",E613="!!!",F613="NEW"),"",INDEX(J$1:J612,SUMPRODUCT(MAX(ROW(E$1:E612)*(E613=E$1:E612)))))</f>
        <v/>
      </c>
      <c r="L613" s="28"/>
    </row>
    <row r="614" customFormat="false" ht="15" hidden="false" customHeight="false" outlineLevel="0" collapsed="false">
      <c r="A614" s="21" t="s">
        <v>373</v>
      </c>
      <c r="E614" s="25"/>
      <c r="F614" s="26" t="str">
        <f aca="false">IF(OR(E614="",E614="!!!"),"",IF(NOT(ISNA(VLOOKUP(E614,E$1:E613,1,FALSE()))),"OLD",IF(AND(E614&lt;&gt;"",E614&lt;&gt;"!!!"),"NEW","")))</f>
        <v/>
      </c>
      <c r="G614" s="22" t="str">
        <f aca="false">IF(OR(E614="",E614="!!!"),"",IF(OR(J614=0,AND(J614=1,K614=1),AND(J614=1,I614="SBJ"),AND(J614=1,I614=0)),"?IN_FOCUS",IF(J614&lt;=2,"?ACTIVATED",IF(J614&lt;&gt;"","?FAMILIAR",IF(F614="NEW",IF(ISNA(VLOOKUP(E614,#REF!,1,FALSE())),"?TYPE_IDENTIFIABLE","?REFERENTIAL"),"_")))))</f>
        <v/>
      </c>
      <c r="H614" s="23" t="str">
        <f aca="false">IF(J614&lt;&gt;1,"",IF(I614="SBJ","CB","?"))</f>
        <v/>
      </c>
      <c r="I614" s="27" t="str">
        <f aca="false">IF(OR(E614="",E614="!!!",F614="NEW"),"",INDEX(B8:B$607,-1+SUMPRODUCT(MAX(ROW(E8:E$607)*(E614=E8:E$607)))))</f>
        <v/>
      </c>
      <c r="J614" s="27" t="str">
        <f aca="true">IF(OR(E614="",E614="!!!",F614="NEW"),"",COUNTBLANK(OFFSET(A$1,,,SUMPRODUCT(MAX(ROW(E$2:E614)*(E614=E$2:E614)))))-COUNTBLANK(OFFSET(A$1,,,SUMPRODUCT(MAX(ROW(E$1:E613)*(E2=E$1:E613))))))</f>
        <v/>
      </c>
      <c r="K614" s="27" t="str">
        <f aca="false">IF(OR(E614="",E614="!!!",F614="NEW"),"",INDEX(J$1:J613,SUMPRODUCT(MAX(ROW(E$1:E613)*(E614=E$1:E613)))))</f>
        <v/>
      </c>
      <c r="L614" s="28"/>
    </row>
    <row r="615" customFormat="false" ht="15" hidden="false" customHeight="false" outlineLevel="0" collapsed="false">
      <c r="A615" s="21" t="s">
        <v>542</v>
      </c>
      <c r="E615" s="25"/>
      <c r="F615" s="26" t="str">
        <f aca="false">IF(OR(E615="",E615="!!!"),"",IF(NOT(ISNA(VLOOKUP(E615,E$1:E614,1,FALSE()))),"OLD",IF(AND(E615&lt;&gt;"",E615&lt;&gt;"!!!"),"NEW","")))</f>
        <v/>
      </c>
      <c r="G615" s="22" t="str">
        <f aca="false">IF(OR(E615="",E615="!!!"),"",IF(OR(J615=0,AND(J615=1,K615=1),AND(J615=1,I615="SBJ"),AND(J615=1,I615=0)),"?IN_FOCUS",IF(J615&lt;=2,"?ACTIVATED",IF(J615&lt;&gt;"","?FAMILIAR",IF(F615="NEW",IF(ISNA(VLOOKUP(E615,#REF!,1,FALSE())),"?TYPE_IDENTIFIABLE","?REFERENTIAL"),"_")))))</f>
        <v/>
      </c>
      <c r="H615" s="23" t="str">
        <f aca="false">IF(J615&lt;&gt;1,"",IF(I615="SBJ","CB","?"))</f>
        <v/>
      </c>
      <c r="I615" s="27" t="str">
        <f aca="false">IF(OR(E615="",E615="!!!",F615="NEW"),"",INDEX(B9:B$607,-1+SUMPRODUCT(MAX(ROW(E9:E$607)*(E615=E9:E$607)))))</f>
        <v/>
      </c>
      <c r="J615" s="27" t="str">
        <f aca="true">IF(OR(E615="",E615="!!!",F615="NEW"),"",COUNTBLANK(OFFSET(A$1,,,SUMPRODUCT(MAX(ROW(E$2:E615)*(E615=E$2:E615)))))-COUNTBLANK(OFFSET(A$1,,,SUMPRODUCT(MAX(ROW(E$1:E614)*(E2=E$1:E614))))))</f>
        <v/>
      </c>
      <c r="K615" s="27" t="str">
        <f aca="false">IF(OR(E615="",E615="!!!",F615="NEW"),"",INDEX(J$1:J614,SUMPRODUCT(MAX(ROW(E$1:E614)*(E615=E$1:E614)))))</f>
        <v/>
      </c>
      <c r="L615" s="28"/>
    </row>
    <row r="616" customFormat="false" ht="15" hidden="false" customHeight="false" outlineLevel="0" collapsed="false">
      <c r="A616" s="21" t="s">
        <v>178</v>
      </c>
      <c r="E616" s="25"/>
      <c r="F616" s="26" t="str">
        <f aca="false">IF(OR(E616="",E616="!!!"),"",IF(NOT(ISNA(VLOOKUP(E616,E$1:E615,1,FALSE()))),"OLD",IF(AND(E616&lt;&gt;"",E616&lt;&gt;"!!!"),"NEW","")))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7" t="str">
        <f aca="false">IF(OR(E616="",E616="!!!",F616="NEW"),"",INDEX(B10:B$607,-1+SUMPRODUCT(MAX(ROW(E10:E$607)*(E616=E10:E$607)))))</f>
        <v/>
      </c>
      <c r="J616" s="27" t="str">
        <f aca="true">IF(OR(E616="",E616="!!!",F616="NEW"),"",COUNTBLANK(OFFSET(A$1,,,SUMPRODUCT(MAX(ROW(E$2:E616)*(E616=E$2:E616)))))-COUNTBLANK(OFFSET(A$1,,,SUMPRODUCT(MAX(ROW(E$1:E615)*(E2=E$1:E615))))))</f>
        <v/>
      </c>
      <c r="K616" s="27" t="str">
        <f aca="false">IF(OR(E616="",E616="!!!",F616="NEW"),"",INDEX(J$1:J615,SUMPRODUCT(MAX(ROW(E$1:E615)*(E616=E$1:E615)))))</f>
        <v/>
      </c>
      <c r="L616" s="28"/>
    </row>
    <row r="617" customFormat="false" ht="15" hidden="false" customHeight="false" outlineLevel="0" collapsed="false">
      <c r="A617" s="21" t="s">
        <v>407</v>
      </c>
      <c r="B617" s="29" t="s">
        <v>226</v>
      </c>
      <c r="C617" s="29" t="s">
        <v>167</v>
      </c>
      <c r="E617" s="25"/>
      <c r="F617" s="26" t="str">
        <f aca="false">IF(OR(E617="",E617="!!!"),"",IF(NOT(ISNA(VLOOKUP(E617,E$1:E616,1,FALSE()))),"OLD",IF(AND(E617&lt;&gt;"",E617&lt;&gt;"!!!"),"NEW","")))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7" t="str">
        <f aca="false">IF(OR(E617="",E617="!!!",F617="NEW"),"",INDEX(B11:B$607,-1+SUMPRODUCT(MAX(ROW(E11:E$607)*(E617=E11:E$607)))))</f>
        <v/>
      </c>
      <c r="J617" s="27" t="str">
        <f aca="true">IF(OR(E617="",E617="!!!",F617="NEW"),"",COUNTBLANK(OFFSET(A$1,,,SUMPRODUCT(MAX(ROW(E$2:E617)*(E617=E$2:E617)))))-COUNTBLANK(OFFSET(A$1,,,SUMPRODUCT(MAX(ROW(E$1:E616)*(E2=E$1:E616))))))</f>
        <v/>
      </c>
      <c r="K617" s="27" t="str">
        <f aca="false">IF(OR(E617="",E617="!!!",F617="NEW"),"",INDEX(J$1:J616,SUMPRODUCT(MAX(ROW(E$1:E616)*(E617=E$1:E616)))))</f>
        <v/>
      </c>
      <c r="L617" s="28"/>
    </row>
    <row r="618" customFormat="false" ht="15" hidden="false" customHeight="false" outlineLevel="0" collapsed="false">
      <c r="A618" s="21" t="s">
        <v>408</v>
      </c>
      <c r="E618" s="25"/>
      <c r="F618" s="26" t="str">
        <f aca="false">IF(OR(E618="",E618="!!!"),"",IF(NOT(ISNA(VLOOKUP(E618,E$1:E617,1,FALSE()))),"OLD",IF(AND(E618&lt;&gt;"",E618&lt;&gt;"!!!"),"NEW","")))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7" t="str">
        <f aca="false">IF(OR(E618="",E618="!!!",F618="NEW"),"",INDEX(B12:B$607,-1+SUMPRODUCT(MAX(ROW(E12:E$607)*(E618=E12:E$607)))))</f>
        <v/>
      </c>
      <c r="J618" s="27" t="str">
        <f aca="true">IF(OR(E618="",E618="!!!",F618="NEW"),"",COUNTBLANK(OFFSET(A$1,,,SUMPRODUCT(MAX(ROW(E$2:E618)*(E618=E$2:E618)))))-COUNTBLANK(OFFSET(A$1,,,SUMPRODUCT(MAX(ROW(E$1:E617)*(E2=E$1:E617))))))</f>
        <v/>
      </c>
      <c r="K618" s="27" t="str">
        <f aca="false">IF(OR(E618="",E618="!!!",F618="NEW"),"",INDEX(J$1:J617,SUMPRODUCT(MAX(ROW(E$1:E617)*(E618=E$1:E617)))))</f>
        <v/>
      </c>
      <c r="L618" s="28"/>
    </row>
    <row r="619" customFormat="false" ht="15" hidden="false" customHeight="false" outlineLevel="0" collapsed="false">
      <c r="A619" s="21" t="s">
        <v>545</v>
      </c>
      <c r="B619" s="29" t="s">
        <v>153</v>
      </c>
      <c r="C619" s="29" t="s">
        <v>167</v>
      </c>
      <c r="E619" s="25"/>
      <c r="F619" s="26" t="str">
        <f aca="false">IF(OR(E619="",E619="!!!"),"",IF(NOT(ISNA(VLOOKUP(E619,E$1:E618,1,FALSE()))),"OLD",IF(AND(E619&lt;&gt;"",E619&lt;&gt;"!!!"),"NEW","")))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7" t="str">
        <f aca="false">IF(OR(E619="",E619="!!!",F619="NEW"),"",INDEX(B13:B$607,-1+SUMPRODUCT(MAX(ROW(E13:E$607)*(E619=E13:E$607)))))</f>
        <v/>
      </c>
      <c r="J619" s="27" t="str">
        <f aca="true">IF(OR(E619="",E619="!!!",F619="NEW"),"",COUNTBLANK(OFFSET(A$1,,,SUMPRODUCT(MAX(ROW(E$2:E619)*(E619=E$2:E619)))))-COUNTBLANK(OFFSET(A$1,,,SUMPRODUCT(MAX(ROW(E$1:E618)*(E2=E$1:E618))))))</f>
        <v/>
      </c>
      <c r="K619" s="27" t="str">
        <f aca="false">IF(OR(E619="",E619="!!!",F619="NEW"),"",INDEX(J$1:J618,SUMPRODUCT(MAX(ROW(E$1:E618)*(E619=E$1:E618)))))</f>
        <v/>
      </c>
      <c r="L619" s="28"/>
    </row>
    <row r="620" customFormat="false" ht="15" hidden="false" customHeight="false" outlineLevel="0" collapsed="false">
      <c r="A620" s="21" t="s">
        <v>207</v>
      </c>
      <c r="E620" s="25"/>
      <c r="F620" s="26" t="str">
        <f aca="false">IF(OR(E620="",E620="!!!"),"",IF(NOT(ISNA(VLOOKUP(E620,E$1:E619,1,FALSE()))),"OLD",IF(AND(E620&lt;&gt;"",E620&lt;&gt;"!!!"),"NEW","")))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7" t="str">
        <f aca="false">IF(OR(E620="",E620="!!!",F620="NEW"),"",INDEX(B14:B$607,-1+SUMPRODUCT(MAX(ROW(E14:E$607)*(E620=E14:E$607)))))</f>
        <v/>
      </c>
      <c r="J620" s="27" t="str">
        <f aca="true">IF(OR(E620="",E620="!!!",F620="NEW"),"",COUNTBLANK(OFFSET(A$1,,,SUMPRODUCT(MAX(ROW(E$2:E620)*(E620=E$2:E620)))))-COUNTBLANK(OFFSET(A$1,,,SUMPRODUCT(MAX(ROW(E$1:E619)*(E2=E$1:E619))))))</f>
        <v/>
      </c>
      <c r="K620" s="27" t="str">
        <f aca="false">IF(OR(E620="",E620="!!!",F620="NEW"),"",INDEX(J$1:J619,SUMPRODUCT(MAX(ROW(E$1:E619)*(E620=E$1:E619)))))</f>
        <v/>
      </c>
      <c r="L620" s="28"/>
    </row>
    <row r="621" customFormat="false" ht="15" hidden="false" customHeight="false" outlineLevel="0" collapsed="false">
      <c r="A621" s="21" t="s">
        <v>546</v>
      </c>
      <c r="B621" s="29" t="s">
        <v>153</v>
      </c>
      <c r="C621" s="29" t="s">
        <v>167</v>
      </c>
      <c r="E621" s="25"/>
      <c r="F621" s="26" t="str">
        <f aca="false">IF(OR(E621="",E621="!!!"),"",IF(NOT(ISNA(VLOOKUP(E621,E$1:E620,1,FALSE()))),"OLD",IF(AND(E621&lt;&gt;"",E621&lt;&gt;"!!!"),"NEW","")))</f>
        <v/>
      </c>
      <c r="G621" s="22" t="str">
        <f aca="false">IF(OR(E621="",E621="!!!"),"",IF(OR(J621=0,AND(J621=1,K621=1),AND(J621=1,I621="SBJ"),AND(J621=1,I621=0)),"?IN_FOCUS",IF(J621&lt;=2,"?ACTIVATED",IF(J621&lt;&gt;"","?FAMILIAR",IF(F621="NEW",IF(ISNA(VLOOKUP(E621,#REF!,1,FALSE())),"?TYPE_IDENTIFIABLE","?REFERENTIAL"),"_")))))</f>
        <v/>
      </c>
      <c r="H621" s="23" t="str">
        <f aca="false">IF(J621&lt;&gt;1,"",IF(I621="SBJ","CB","?"))</f>
        <v/>
      </c>
      <c r="I621" s="27" t="str">
        <f aca="false">IF(OR(E621="",E621="!!!",F621="NEW"),"",INDEX(B15:B$607,-1+SUMPRODUCT(MAX(ROW(E15:E$607)*(E621=E15:E$607)))))</f>
        <v/>
      </c>
      <c r="J621" s="27" t="str">
        <f aca="true">IF(OR(E621="",E621="!!!",F621="NEW"),"",COUNTBLANK(OFFSET(A$1,,,SUMPRODUCT(MAX(ROW(E$2:E621)*(E621=E$2:E621)))))-COUNTBLANK(OFFSET(A$1,,,SUMPRODUCT(MAX(ROW(E$1:E620)*(E2=E$1:E620))))))</f>
        <v/>
      </c>
      <c r="K621" s="27" t="str">
        <f aca="false">IF(OR(E621="",E621="!!!",F621="NEW"),"",INDEX(J$1:J620,SUMPRODUCT(MAX(ROW(E$1:E620)*(E621=E$1:E620)))))</f>
        <v/>
      </c>
      <c r="L621" s="28"/>
    </row>
    <row r="622" customFormat="false" ht="15" hidden="false" customHeight="false" outlineLevel="0" collapsed="false">
      <c r="A622" s="21" t="s">
        <v>178</v>
      </c>
      <c r="E622" s="25"/>
      <c r="F622" s="26" t="str">
        <f aca="false">IF(OR(E622="",E622="!!!"),"",IF(NOT(ISNA(VLOOKUP(E622,E$1:E621,1,FALSE()))),"OLD",IF(AND(E622&lt;&gt;"",E622&lt;&gt;"!!!"),"NEW","")))</f>
        <v/>
      </c>
      <c r="G622" s="22" t="str">
        <f aca="false">IF(OR(E622="",E622="!!!"),"",IF(OR(J622=0,AND(J622=1,K622=1),AND(J622=1,I622="SBJ"),AND(J622=1,I622=0)),"?IN_FOCUS",IF(J622&lt;=2,"?ACTIVATED",IF(J622&lt;&gt;"","?FAMILIAR",IF(F622="NEW",IF(ISNA(VLOOKUP(E622,#REF!,1,FALSE())),"?TYPE_IDENTIFIABLE","?REFERENTIAL"),"_")))))</f>
        <v/>
      </c>
      <c r="H622" s="23" t="str">
        <f aca="false">IF(J622&lt;&gt;1,"",IF(I622="SBJ","CB","?"))</f>
        <v/>
      </c>
      <c r="I622" s="27" t="str">
        <f aca="false">IF(OR(E622="",E622="!!!",F622="NEW"),"",INDEX(B16:B$607,-1+SUMPRODUCT(MAX(ROW(E16:E$607)*(E622=E16:E$607)))))</f>
        <v/>
      </c>
      <c r="J622" s="27" t="str">
        <f aca="true">IF(OR(E622="",E622="!!!",F622="NEW"),"",COUNTBLANK(OFFSET(A$1,,,SUMPRODUCT(MAX(ROW(E$2:E622)*(E622=E$2:E622)))))-COUNTBLANK(OFFSET(A$1,,,SUMPRODUCT(MAX(ROW(E$1:E621)*(E2=E$1:E621))))))</f>
        <v/>
      </c>
      <c r="K622" s="27" t="str">
        <f aca="false">IF(OR(E622="",E622="!!!",F622="NEW"),"",INDEX(J$1:J621,SUMPRODUCT(MAX(ROW(E$1:E621)*(E622=E$1:E621)))))</f>
        <v/>
      </c>
      <c r="L622" s="28"/>
    </row>
    <row r="623" customFormat="false" ht="15" hidden="false" customHeight="false" outlineLevel="0" collapsed="false">
      <c r="A623" s="21" t="s">
        <v>207</v>
      </c>
      <c r="E623" s="25"/>
      <c r="F623" s="26" t="str">
        <f aca="false">IF(OR(E623="",E623="!!!"),"",IF(NOT(ISNA(VLOOKUP(E623,E$1:E622,1,FALSE()))),"OLD",IF(AND(E623&lt;&gt;"",E623&lt;&gt;"!!!"),"NEW","")))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7" t="str">
        <f aca="false">IF(OR(E623="",E623="!!!",F623="NEW"),"",INDEX(B17:B$607,-1+SUMPRODUCT(MAX(ROW(E17:E$607)*(E623=E17:E$607)))))</f>
        <v/>
      </c>
      <c r="J623" s="27" t="str">
        <f aca="true">IF(OR(E623="",E623="!!!",F623="NEW"),"",COUNTBLANK(OFFSET(A$1,,,SUMPRODUCT(MAX(ROW(E$2:E623)*(E623=E$2:E623)))))-COUNTBLANK(OFFSET(A$1,,,SUMPRODUCT(MAX(ROW(E$1:E622)*(E2=E$1:E622))))))</f>
        <v/>
      </c>
      <c r="K623" s="27" t="str">
        <f aca="false">IF(OR(E623="",E623="!!!",F623="NEW"),"",INDEX(J$1:J622,SUMPRODUCT(MAX(ROW(E$1:E622)*(E623=E$1:E622)))))</f>
        <v/>
      </c>
      <c r="L623" s="28"/>
    </row>
    <row r="624" customFormat="false" ht="15" hidden="false" customHeight="false" outlineLevel="0" collapsed="false">
      <c r="A624" s="21" t="s">
        <v>415</v>
      </c>
      <c r="B624" s="29" t="s">
        <v>185</v>
      </c>
      <c r="C624" s="29" t="s">
        <v>416</v>
      </c>
      <c r="E624" s="25"/>
      <c r="F624" s="26" t="str">
        <f aca="false">IF(OR(E624="",E624="!!!"),"",IF(NOT(ISNA(VLOOKUP(E624,E$1:E623,1,FALSE()))),"OLD",IF(AND(E624&lt;&gt;"",E624&lt;&gt;"!!!"),"NEW","")))</f>
        <v/>
      </c>
      <c r="G624" s="22" t="str">
        <f aca="false">IF(OR(E624="",E624="!!!"),"",IF(OR(J624=0,AND(J624=1,K624=1),AND(J624=1,I624="SBJ"),AND(J624=1,I624=0)),"?IN_FOCUS",IF(J624&lt;=2,"?ACTIVATED",IF(J624&lt;&gt;"","?FAMILIAR",IF(F624="NEW",IF(ISNA(VLOOKUP(E624,#REF!,1,FALSE())),"?TYPE_IDENTIFIABLE","?REFERENTIAL"),"_")))))</f>
        <v/>
      </c>
      <c r="H624" s="23" t="str">
        <f aca="false">IF(J624&lt;&gt;1,"",IF(I624="SBJ","CB","?"))</f>
        <v/>
      </c>
      <c r="I624" s="27" t="str">
        <f aca="false">IF(OR(E624="",E624="!!!",F624="NEW"),"",INDEX(B18:B$607,-1+SUMPRODUCT(MAX(ROW(E18:E$607)*(E624=E18:E$607)))))</f>
        <v/>
      </c>
      <c r="J624" s="27" t="str">
        <f aca="true">IF(OR(E624="",E624="!!!",F624="NEW"),"",COUNTBLANK(OFFSET(A$1,,,SUMPRODUCT(MAX(ROW(E$2:E624)*(E624=E$2:E624)))))-COUNTBLANK(OFFSET(A$1,,,SUMPRODUCT(MAX(ROW(E$1:E623)*(E2=E$1:E623))))))</f>
        <v/>
      </c>
      <c r="K624" s="27" t="str">
        <f aca="false">IF(OR(E624="",E624="!!!",F624="NEW"),"",INDEX(J$1:J623,SUMPRODUCT(MAX(ROW(E$1:E623)*(E624=E$1:E623)))))</f>
        <v/>
      </c>
      <c r="L624" s="28"/>
    </row>
    <row r="625" customFormat="false" ht="15" hidden="false" customHeight="false" outlineLevel="0" collapsed="false">
      <c r="A625" s="21" t="s">
        <v>547</v>
      </c>
      <c r="B625" s="29" t="s">
        <v>226</v>
      </c>
      <c r="E625" s="25"/>
      <c r="F625" s="26" t="str">
        <f aca="false">IF(OR(E625="",E625="!!!"),"",IF(NOT(ISNA(VLOOKUP(E625,E$1:E624,1,FALSE()))),"OLD",IF(AND(E625&lt;&gt;"",E625&lt;&gt;"!!!"),"NEW","")))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7" t="str">
        <f aca="false">IF(OR(E625="",E625="!!!",F625="NEW"),"",INDEX(B19:B$607,-1+SUMPRODUCT(MAX(ROW(E19:E$607)*(E625=E19:E$607)))))</f>
        <v/>
      </c>
      <c r="J625" s="27" t="str">
        <f aca="true">IF(OR(E625="",E625="!!!",F625="NEW"),"",COUNTBLANK(OFFSET(A$1,,,SUMPRODUCT(MAX(ROW(E$2:E625)*(E625=E$2:E625)))))-COUNTBLANK(OFFSET(A$1,,,SUMPRODUCT(MAX(ROW(E$1:E624)*(E2=E$1:E624))))))</f>
        <v/>
      </c>
      <c r="K625" s="27" t="str">
        <f aca="false">IF(OR(E625="",E625="!!!",F625="NEW"),"",INDEX(J$1:J624,SUMPRODUCT(MAX(ROW(E$1:E624)*(E625=E$1:E624)))))</f>
        <v/>
      </c>
      <c r="L625" s="28"/>
    </row>
    <row r="626" customFormat="false" ht="15" hidden="false" customHeight="false" outlineLevel="0" collapsed="false">
      <c r="A626" s="21" t="s">
        <v>300</v>
      </c>
      <c r="E626" s="25"/>
      <c r="F626" s="26" t="str">
        <f aca="false">IF(OR(E626="",E626="!!!"),"",IF(NOT(ISNA(VLOOKUP(E626,E$1:E625,1,FALSE()))),"OLD",IF(AND(E626&lt;&gt;"",E626&lt;&gt;"!!!"),"NEW","")))</f>
        <v/>
      </c>
      <c r="G626" s="22" t="str">
        <f aca="false">IF(OR(E626="",E626="!!!"),"",IF(OR(J626=0,AND(J626=1,K626=1),AND(J626=1,I626="SBJ"),AND(J626=1,I626=0)),"?IN_FOCUS",IF(J626&lt;=2,"?ACTIVATED",IF(J626&lt;&gt;"","?FAMILIAR",IF(F626="NEW",IF(ISNA(VLOOKUP(E626,#REF!,1,FALSE())),"?TYPE_IDENTIFIABLE","?REFERENTIAL"),"_")))))</f>
        <v/>
      </c>
      <c r="H626" s="23" t="str">
        <f aca="false">IF(J626&lt;&gt;1,"",IF(I626="SBJ","CB","?"))</f>
        <v/>
      </c>
      <c r="I626" s="27" t="str">
        <f aca="false">IF(OR(E626="",E626="!!!",F626="NEW"),"",INDEX(B20:B$607,-1+SUMPRODUCT(MAX(ROW(E20:E$607)*(E626=E20:E$607)))))</f>
        <v/>
      </c>
      <c r="J626" s="27" t="str">
        <f aca="true">IF(OR(E626="",E626="!!!",F626="NEW"),"",COUNTBLANK(OFFSET(A$1,,,SUMPRODUCT(MAX(ROW(E$2:E626)*(E626=E$2:E626)))))-COUNTBLANK(OFFSET(A$1,,,SUMPRODUCT(MAX(ROW(E$1:E625)*(E2=E$1:E625))))))</f>
        <v/>
      </c>
      <c r="K626" s="27" t="str">
        <f aca="false">IF(OR(E626="",E626="!!!",F626="NEW"),"",INDEX(J$1:J625,SUMPRODUCT(MAX(ROW(E$1:E625)*(E626=E$1:E625)))))</f>
        <v/>
      </c>
      <c r="L626" s="28"/>
    </row>
    <row r="627" customFormat="false" ht="15" hidden="false" customHeight="false" outlineLevel="0" collapsed="false">
      <c r="A627" s="21" t="s">
        <v>325</v>
      </c>
      <c r="E627" s="25"/>
      <c r="F627" s="26" t="str">
        <f aca="false">IF(OR(E627="",E627="!!!"),"",IF(NOT(ISNA(VLOOKUP(E627,E$1:E626,1,FALSE()))),"OLD",IF(AND(E627&lt;&gt;"",E627&lt;&gt;"!!!"),"NEW","")))</f>
        <v/>
      </c>
      <c r="G627" s="22" t="str">
        <f aca="false">IF(OR(E627="",E627="!!!"),"",IF(OR(J627=0,AND(J627=1,K627=1),AND(J627=1,I627="SBJ"),AND(J627=1,I627=0)),"?IN_FOCUS",IF(J627&lt;=2,"?ACTIVATED",IF(J627&lt;&gt;"","?FAMILIAR",IF(F627="NEW",IF(ISNA(VLOOKUP(E627,#REF!,1,FALSE())),"?TYPE_IDENTIFIABLE","?REFERENTIAL"),"_")))))</f>
        <v/>
      </c>
      <c r="H627" s="23" t="str">
        <f aca="false">IF(J627&lt;&gt;1,"",IF(I627="SBJ","CB","?"))</f>
        <v/>
      </c>
      <c r="I627" s="27" t="str">
        <f aca="false">IF(OR(E627="",E627="!!!",F627="NEW"),"",INDEX(B21:B$607,-1+SUMPRODUCT(MAX(ROW(E21:E$607)*(E627=E21:E$607)))))</f>
        <v/>
      </c>
      <c r="J627" s="27" t="str">
        <f aca="true">IF(OR(E627="",E627="!!!",F627="NEW"),"",COUNTBLANK(OFFSET(A$1,,,SUMPRODUCT(MAX(ROW(E$2:E627)*(E627=E$2:E627)))))-COUNTBLANK(OFFSET(A$1,,,SUMPRODUCT(MAX(ROW(E$1:E626)*(E2=E$1:E626))))))</f>
        <v/>
      </c>
      <c r="K627" s="27" t="str">
        <f aca="false">IF(OR(E627="",E627="!!!",F627="NEW"),"",INDEX(J$1:J626,SUMPRODUCT(MAX(ROW(E$1:E626)*(E627=E$1:E626)))))</f>
        <v/>
      </c>
      <c r="L627" s="28"/>
    </row>
    <row r="628" customFormat="false" ht="15" hidden="false" customHeight="false" outlineLevel="0" collapsed="false">
      <c r="A628" s="21" t="s">
        <v>168</v>
      </c>
      <c r="E628" s="25"/>
      <c r="F628" s="26" t="str">
        <f aca="false">IF(OR(E628="",E628="!!!"),"",IF(NOT(ISNA(VLOOKUP(E628,E$1:E627,1,FALSE()))),"OLD",IF(AND(E628&lt;&gt;"",E628&lt;&gt;"!!!"),"NEW","")))</f>
        <v/>
      </c>
      <c r="G628" s="22" t="str">
        <f aca="false">IF(OR(E628="",E628="!!!"),"",IF(OR(J628=0,AND(J628=1,K628=1),AND(J628=1,I628="SBJ"),AND(J628=1,I628=0)),"?IN_FOCUS",IF(J628&lt;=2,"?ACTIVATED",IF(J628&lt;&gt;"","?FAMILIAR",IF(F628="NEW",IF(ISNA(VLOOKUP(E628,#REF!,1,FALSE())),"?TYPE_IDENTIFIABLE","?REFERENTIAL"),"_")))))</f>
        <v/>
      </c>
      <c r="H628" s="23" t="str">
        <f aca="false">IF(J628&lt;&gt;1,"",IF(I628="SBJ","CB","?"))</f>
        <v/>
      </c>
      <c r="I628" s="27" t="str">
        <f aca="false">IF(OR(E628="",E628="!!!",F628="NEW"),"",INDEX(B22:B$607,-1+SUMPRODUCT(MAX(ROW(E22:E$607)*(E628=E22:E$607)))))</f>
        <v/>
      </c>
      <c r="J628" s="27" t="str">
        <f aca="true">IF(OR(E628="",E628="!!!",F628="NEW"),"",COUNTBLANK(OFFSET(A$1,,,SUMPRODUCT(MAX(ROW(E$2:E628)*(E628=E$2:E628)))))-COUNTBLANK(OFFSET(A$1,,,SUMPRODUCT(MAX(ROW(E$1:E627)*(E2=E$1:E627))))))</f>
        <v/>
      </c>
      <c r="K628" s="27" t="str">
        <f aca="false">IF(OR(E628="",E628="!!!",F628="NEW"),"",INDEX(J$1:J627,SUMPRODUCT(MAX(ROW(E$1:E627)*(E628=E$1:E627)))))</f>
        <v/>
      </c>
      <c r="L628" s="28"/>
    </row>
    <row r="629" customFormat="false" ht="15" hidden="false" customHeight="false" outlineLevel="0" collapsed="false">
      <c r="A629" s="21" t="s">
        <v>169</v>
      </c>
      <c r="E629" s="25"/>
      <c r="F629" s="26" t="str">
        <f aca="false">IF(OR(E629="",E629="!!!"),"",IF(NOT(ISNA(VLOOKUP(E629,E$1:E628,1,FALSE()))),"OLD",IF(AND(E629&lt;&gt;"",E629&lt;&gt;"!!!"),"NEW","")))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7" t="str">
        <f aca="false">IF(OR(E629="",E629="!!!",F629="NEW"),"",INDEX(B23:B$607,-1+SUMPRODUCT(MAX(ROW(E23:E$607)*(E629=E23:E$607)))))</f>
        <v/>
      </c>
      <c r="J629" s="27" t="str">
        <f aca="true">IF(OR(E629="",E629="!!!",F629="NEW"),"",COUNTBLANK(OFFSET(A$1,,,SUMPRODUCT(MAX(ROW(E$2:E629)*(E629=E$2:E629)))))-COUNTBLANK(OFFSET(A$1,,,SUMPRODUCT(MAX(ROW(E$1:E628)*(E2=E$1:E628))))))</f>
        <v/>
      </c>
      <c r="K629" s="27" t="str">
        <f aca="false">IF(OR(E629="",E629="!!!",F629="NEW"),"",INDEX(J$1:J628,SUMPRODUCT(MAX(ROW(E$1:E628)*(E629=E$1:E628)))))</f>
        <v/>
      </c>
      <c r="L629" s="28"/>
    </row>
    <row r="630" customFormat="false" ht="15" hidden="false" customHeight="false" outlineLevel="0" collapsed="false">
      <c r="A630" s="21" t="s">
        <v>548</v>
      </c>
      <c r="B630" s="29" t="s">
        <v>216</v>
      </c>
      <c r="C630" s="29" t="s">
        <v>171</v>
      </c>
      <c r="D630" s="29" t="s">
        <v>159</v>
      </c>
      <c r="E630" s="25" t="s">
        <v>549</v>
      </c>
      <c r="F630" s="30" t="str">
        <f aca="false">IF(OR(E630="",E630="!!!"),"",IF(NOT(ISNA(VLOOKUP(E630,E$1:E629,1,FALSE()))),"OLD",IF(AND(E630&lt;&gt;"",E630&lt;&gt;"!!!"),"NEW","")))</f>
        <v>NEW</v>
      </c>
      <c r="G630" s="22" t="s">
        <v>160</v>
      </c>
      <c r="H630" s="23" t="str">
        <f aca="false">IF(J630&lt;&gt;1,"",IF(I630="SBJ","CB","?"))</f>
        <v/>
      </c>
      <c r="I630" s="31" t="str">
        <f aca="false">IF(OR(E630="",E630="!!!",F630="NEW"),"",INDEX(B24:B$607,-1+SUMPRODUCT(MAX(ROW(E24:E$607)*(E630=E24:E$607)))))</f>
        <v/>
      </c>
      <c r="J630" s="31" t="str">
        <f aca="true">IF(OR(E630="",E630="!!!",F630="NEW"),"",COUNTBLANK(OFFSET(A$1,,,SUMPRODUCT(MAX(ROW(E$2:E630)*(E630=E$2:E630)))))-COUNTBLANK(OFFSET(A$1,,,SUMPRODUCT(MAX(ROW(E$1:E629)*(E2=E$1:E629))))))</f>
        <v/>
      </c>
      <c r="K630" s="31" t="str">
        <f aca="false">IF(OR(E630="",E630="!!!",F630="NEW"),"",INDEX(J$1:J629,SUMPRODUCT(MAX(ROW(E$1:E629)*(E630=E$1:E629)))))</f>
        <v/>
      </c>
      <c r="L630" s="28"/>
    </row>
    <row r="631" customFormat="false" ht="15" hidden="false" customHeight="false" outlineLevel="0" collapsed="false">
      <c r="A631" s="21" t="s">
        <v>550</v>
      </c>
      <c r="E631" s="25"/>
      <c r="F631" s="26" t="str">
        <f aca="false">IF(OR(E631="",E631="!!!"),"",IF(NOT(ISNA(VLOOKUP(E631,E$1:E630,1,FALSE()))),"OLD",IF(AND(E631&lt;&gt;"",E631&lt;&gt;"!!!"),"NEW","")))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7" t="str">
        <f aca="false">IF(OR(E631="",E631="!!!",F631="NEW"),"",INDEX(B25:B$607,-1+SUMPRODUCT(MAX(ROW(E25:E$607)*(E631=E25:E$607)))))</f>
        <v/>
      </c>
      <c r="J631" s="27" t="str">
        <f aca="true">IF(OR(E631="",E631="!!!",F631="NEW"),"",COUNTBLANK(OFFSET(A$1,,,SUMPRODUCT(MAX(ROW(E$2:E631)*(E631=E$2:E631)))))-COUNTBLANK(OFFSET(A$1,,,SUMPRODUCT(MAX(ROW(E$1:E630)*(E2=E$1:E630))))))</f>
        <v/>
      </c>
      <c r="K631" s="27" t="str">
        <f aca="false">IF(OR(E631="",E631="!!!",F631="NEW"),"",INDEX(J$1:J630,SUMPRODUCT(MAX(ROW(E$1:E630)*(E631=E$1:E630)))))</f>
        <v/>
      </c>
      <c r="L631" s="28"/>
    </row>
    <row r="632" customFormat="false" ht="15" hidden="false" customHeight="false" outlineLevel="0" collapsed="false">
      <c r="A632" s="21" t="s">
        <v>551</v>
      </c>
      <c r="E632" s="25"/>
      <c r="F632" s="26" t="str">
        <f aca="false">IF(OR(E632="",E632="!!!"),"",IF(NOT(ISNA(VLOOKUP(E632,E$1:E631,1,FALSE()))),"OLD",IF(AND(E632&lt;&gt;"",E632&lt;&gt;"!!!"),"NEW","")))</f>
        <v/>
      </c>
      <c r="G632" s="22" t="str">
        <f aca="false">IF(OR(E632="",E632="!!!"),"",IF(OR(J632=0,AND(J632=1,K632=1),AND(J632=1,I632="SBJ"),AND(J632=1,I632=0)),"?IN_FOCUS",IF(J632&lt;=2,"?ACTIVATED",IF(J632&lt;&gt;"","?FAMILIAR",IF(F632="NEW",IF(ISNA(VLOOKUP(E632,#REF!,1,FALSE())),"?TYPE_IDENTIFIABLE","?REFERENTIAL"),"_")))))</f>
        <v/>
      </c>
      <c r="H632" s="23" t="str">
        <f aca="false">IF(J632&lt;&gt;1,"",IF(I632="SBJ","CB","?"))</f>
        <v/>
      </c>
      <c r="I632" s="27" t="str">
        <f aca="false">IF(OR(E632="",E632="!!!",F632="NEW"),"",INDEX(B26:B$607,-1+SUMPRODUCT(MAX(ROW(E26:E$607)*(E632=E26:E$607)))))</f>
        <v/>
      </c>
      <c r="J632" s="27" t="str">
        <f aca="true">IF(OR(E632="",E632="!!!",F632="NEW"),"",COUNTBLANK(OFFSET(A$1,,,SUMPRODUCT(MAX(ROW(E$2:E632)*(E632=E$2:E632)))))-COUNTBLANK(OFFSET(A$1,,,SUMPRODUCT(MAX(ROW(E$1:E631)*(E2=E$1:E631))))))</f>
        <v/>
      </c>
      <c r="K632" s="27" t="str">
        <f aca="false">IF(OR(E632="",E632="!!!",F632="NEW"),"",INDEX(J$1:J631,SUMPRODUCT(MAX(ROW(E$1:E631)*(E632=E$1:E631)))))</f>
        <v/>
      </c>
      <c r="L632" s="28"/>
    </row>
    <row r="633" customFormat="false" ht="15" hidden="false" customHeight="false" outlineLevel="0" collapsed="false">
      <c r="A633" s="21" t="s">
        <v>230</v>
      </c>
      <c r="E633" s="25"/>
      <c r="F633" s="26" t="str">
        <f aca="false">IF(OR(E633="",E633="!!!"),"",IF(NOT(ISNA(VLOOKUP(E633,E$1:E632,1,FALSE()))),"OLD",IF(AND(E633&lt;&gt;"",E633&lt;&gt;"!!!"),"NEW","")))</f>
        <v/>
      </c>
      <c r="G633" s="22" t="str">
        <f aca="false">IF(OR(E633="",E633="!!!"),"",IF(OR(J633=0,AND(J633=1,K633=1),AND(J633=1,I633="SBJ"),AND(J633=1,I633=0)),"?IN_FOCUS",IF(J633&lt;=2,"?ACTIVATED",IF(J633&lt;&gt;"","?FAMILIAR",IF(F633="NEW",IF(ISNA(VLOOKUP(E633,#REF!,1,FALSE())),"?TYPE_IDENTIFIABLE","?REFERENTIAL"),"_")))))</f>
        <v/>
      </c>
      <c r="H633" s="23" t="str">
        <f aca="false">IF(J633&lt;&gt;1,"",IF(I633="SBJ","CB","?"))</f>
        <v/>
      </c>
      <c r="I633" s="27" t="str">
        <f aca="false">IF(OR(E633="",E633="!!!",F633="NEW"),"",INDEX(B27:B$607,-1+SUMPRODUCT(MAX(ROW(E27:E$607)*(E633=E27:E$607)))))</f>
        <v/>
      </c>
      <c r="J633" s="27" t="str">
        <f aca="true">IF(OR(E633="",E633="!!!",F633="NEW"),"",COUNTBLANK(OFFSET(A$1,,,SUMPRODUCT(MAX(ROW(E$2:E633)*(E633=E$2:E633)))))-COUNTBLANK(OFFSET(A$1,,,SUMPRODUCT(MAX(ROW(E$1:E632)*(E2=E$1:E632))))))</f>
        <v/>
      </c>
      <c r="K633" s="27" t="str">
        <f aca="false">IF(OR(E633="",E633="!!!",F633="NEW"),"",INDEX(J$1:J632,SUMPRODUCT(MAX(ROW(E$1:E632)*(E633=E$1:E632)))))</f>
        <v/>
      </c>
      <c r="L633" s="28"/>
    </row>
    <row r="634" customFormat="false" ht="15" hidden="false" customHeight="false" outlineLevel="0" collapsed="false">
      <c r="A634" s="21" t="s">
        <v>169</v>
      </c>
      <c r="E634" s="25"/>
      <c r="F634" s="26" t="str">
        <f aca="false">IF(OR(E634="",E634="!!!"),"",IF(NOT(ISNA(VLOOKUP(E634,E$1:E633,1,FALSE()))),"OLD",IF(AND(E634&lt;&gt;"",E634&lt;&gt;"!!!"),"NEW","")))</f>
        <v/>
      </c>
      <c r="G634" s="22" t="str">
        <f aca="false">IF(OR(E634="",E634="!!!"),"",IF(OR(J634=0,AND(J634=1,K634=1),AND(J634=1,I634="SBJ"),AND(J634=1,I634=0)),"?IN_FOCUS",IF(J634&lt;=2,"?ACTIVATED",IF(J634&lt;&gt;"","?FAMILIAR",IF(F634="NEW",IF(ISNA(VLOOKUP(E634,#REF!,1,FALSE())),"?TYPE_IDENTIFIABLE","?REFERENTIAL"),"_")))))</f>
        <v/>
      </c>
      <c r="H634" s="23" t="str">
        <f aca="false">IF(J634&lt;&gt;1,"",IF(I634="SBJ","CB","?"))</f>
        <v/>
      </c>
      <c r="I634" s="27" t="str">
        <f aca="false">IF(OR(E634="",E634="!!!",F634="NEW"),"",INDEX(B28:B$607,-1+SUMPRODUCT(MAX(ROW(E28:E$607)*(E634=E28:E$607)))))</f>
        <v/>
      </c>
      <c r="J634" s="27" t="str">
        <f aca="true">IF(OR(E634="",E634="!!!",F634="NEW"),"",COUNTBLANK(OFFSET(A$1,,,SUMPRODUCT(MAX(ROW(E$2:E634)*(E634=E$2:E634)))))-COUNTBLANK(OFFSET(A$1,,,SUMPRODUCT(MAX(ROW(E$1:E633)*(E2=E$1:E633))))))</f>
        <v/>
      </c>
      <c r="K634" s="27" t="str">
        <f aca="false">IF(OR(E634="",E634="!!!",F634="NEW"),"",INDEX(J$1:J633,SUMPRODUCT(MAX(ROW(E$1:E633)*(E634=E$1:E633)))))</f>
        <v/>
      </c>
      <c r="L634" s="28"/>
    </row>
    <row r="635" customFormat="false" ht="15" hidden="false" customHeight="false" outlineLevel="0" collapsed="false">
      <c r="A635" s="21" t="s">
        <v>552</v>
      </c>
      <c r="E635" s="25"/>
      <c r="F635" s="26" t="str">
        <f aca="false">IF(OR(E635="",E635="!!!"),"",IF(NOT(ISNA(VLOOKUP(E635,E$1:E634,1,FALSE()))),"OLD",IF(AND(E635&lt;&gt;"",E635&lt;&gt;"!!!"),"NEW","")))</f>
        <v/>
      </c>
      <c r="G635" s="22" t="str">
        <f aca="false">IF(OR(E635="",E635="!!!"),"",IF(OR(J635=0,AND(J635=1,K635=1),AND(J635=1,I635="SBJ"),AND(J635=1,I635=0)),"?IN_FOCUS",IF(J635&lt;=2,"?ACTIVATED",IF(J635&lt;&gt;"","?FAMILIAR",IF(F635="NEW",IF(ISNA(VLOOKUP(E635,#REF!,1,FALSE())),"?TYPE_IDENTIFIABLE","?REFERENTIAL"),"_")))))</f>
        <v/>
      </c>
      <c r="H635" s="23" t="str">
        <f aca="false">IF(J635&lt;&gt;1,"",IF(I635="SBJ","CB","?"))</f>
        <v/>
      </c>
      <c r="I635" s="27" t="str">
        <f aca="false">IF(OR(E635="",E635="!!!",F635="NEW"),"",INDEX(B29:B$607,-1+SUMPRODUCT(MAX(ROW(E29:E$607)*(E635=E29:E$607)))))</f>
        <v/>
      </c>
      <c r="J635" s="27" t="str">
        <f aca="true">IF(OR(E635="",E635="!!!",F635="NEW"),"",COUNTBLANK(OFFSET(A$1,,,SUMPRODUCT(MAX(ROW(E$2:E635)*(E635=E$2:E635)))))-COUNTBLANK(OFFSET(A$1,,,SUMPRODUCT(MAX(ROW(E$1:E634)*(E2=E$1:E634))))))</f>
        <v/>
      </c>
      <c r="K635" s="27" t="str">
        <f aca="false">IF(OR(E635="",E635="!!!",F635="NEW"),"",INDEX(J$1:J634,SUMPRODUCT(MAX(ROW(E$1:E634)*(E635=E$1:E634)))))</f>
        <v/>
      </c>
      <c r="L635" s="28"/>
    </row>
    <row r="636" customFormat="false" ht="15" hidden="false" customHeight="false" outlineLevel="0" collapsed="false">
      <c r="A636" s="21" t="s">
        <v>553</v>
      </c>
      <c r="B636" s="29" t="s">
        <v>190</v>
      </c>
      <c r="C636" s="29" t="s">
        <v>171</v>
      </c>
      <c r="D636" s="29" t="s">
        <v>159</v>
      </c>
      <c r="E636" s="25" t="s">
        <v>554</v>
      </c>
      <c r="F636" s="30" t="str">
        <f aca="false">IF(OR(E636="",E636="!!!"),"",IF(NOT(ISNA(VLOOKUP(E636,E$1:E635,1,FALSE()))),"OLD",IF(AND(E636&lt;&gt;"",E636&lt;&gt;"!!!"),"NEW","")))</f>
        <v>NEW</v>
      </c>
      <c r="G636" s="22" t="s">
        <v>160</v>
      </c>
      <c r="H636" s="23" t="str">
        <f aca="false">IF(J636&lt;&gt;1,"",IF(I636="SBJ","CB","?"))</f>
        <v/>
      </c>
      <c r="I636" s="31" t="str">
        <f aca="false">IF(OR(E636="",E636="!!!",F636="NEW"),"",INDEX(B30:B$607,-1+SUMPRODUCT(MAX(ROW(E30:E$607)*(E636=E30:E$607)))))</f>
        <v/>
      </c>
      <c r="J636" s="31" t="str">
        <f aca="true">IF(OR(E636="",E636="!!!",F636="NEW"),"",COUNTBLANK(OFFSET(A$1,,,SUMPRODUCT(MAX(ROW(E$2:E636)*(E636=E$2:E636)))))-COUNTBLANK(OFFSET(A$1,,,SUMPRODUCT(MAX(ROW(E$1:E635)*(E2=E$1:E635))))))</f>
        <v/>
      </c>
      <c r="K636" s="31" t="str">
        <f aca="false">IF(OR(E636="",E636="!!!",F636="NEW"),"",INDEX(J$1:J635,SUMPRODUCT(MAX(ROW(E$1:E635)*(E636=E$1:E635)))))</f>
        <v/>
      </c>
      <c r="L636" s="28"/>
    </row>
    <row r="637" customFormat="false" ht="15" hidden="false" customHeight="false" outlineLevel="0" collapsed="false">
      <c r="A637" s="21" t="s">
        <v>165</v>
      </c>
      <c r="E637" s="25"/>
      <c r="F637" s="26" t="str">
        <f aca="false">IF(OR(E637="",E637="!!!"),"",IF(NOT(ISNA(VLOOKUP(E637,E$1:E636,1,FALSE()))),"OLD",IF(AND(E637&lt;&gt;"",E637&lt;&gt;"!!!"),"NEW","")))</f>
        <v/>
      </c>
      <c r="G637" s="22" t="str">
        <f aca="false">IF(OR(E637="",E637="!!!"),"",IF(OR(J637=0,AND(J637=1,K637=1),AND(J637=1,I637="SBJ"),AND(J637=1,I637=0)),"?IN_FOCUS",IF(J637&lt;=2,"?ACTIVATED",IF(J637&lt;&gt;"","?FAMILIAR",IF(F637="NEW",IF(ISNA(VLOOKUP(E637,#REF!,1,FALSE())),"?TYPE_IDENTIFIABLE","?REFERENTIAL"),"_")))))</f>
        <v/>
      </c>
      <c r="H637" s="23" t="str">
        <f aca="false">IF(J637&lt;&gt;1,"",IF(I637="SBJ","CB","?"))</f>
        <v/>
      </c>
      <c r="I637" s="27" t="str">
        <f aca="false">IF(OR(E637="",E637="!!!",F637="NEW"),"",INDEX(B31:B$607,-1+SUMPRODUCT(MAX(ROW(E31:E$607)*(E637=E31:E$607)))))</f>
        <v/>
      </c>
      <c r="J637" s="27" t="str">
        <f aca="true">IF(OR(E637="",E637="!!!",F637="NEW"),"",COUNTBLANK(OFFSET(A$1,,,SUMPRODUCT(MAX(ROW(E$2:E637)*(E637=E$2:E637)))))-COUNTBLANK(OFFSET(A$1,,,SUMPRODUCT(MAX(ROW(E$1:E636)*(E2=E$1:E636))))))</f>
        <v/>
      </c>
      <c r="K637" s="27" t="str">
        <f aca="false">IF(OR(E637="",E637="!!!",F637="NEW"),"",INDEX(J$1:J636,SUMPRODUCT(MAX(ROW(E$1:E636)*(E637=E$1:E636)))))</f>
        <v/>
      </c>
      <c r="L637" s="28"/>
    </row>
    <row r="638" customFormat="false" ht="15" hidden="false" customHeight="false" outlineLevel="0" collapsed="false">
      <c r="A638" s="21" t="s">
        <v>555</v>
      </c>
      <c r="B638" s="29" t="s">
        <v>210</v>
      </c>
      <c r="C638" s="29" t="s">
        <v>167</v>
      </c>
      <c r="E638" s="25"/>
      <c r="F638" s="26" t="str">
        <f aca="false">IF(OR(E638="",E638="!!!"),"",IF(NOT(ISNA(VLOOKUP(E638,E$1:E637,1,FALSE()))),"OLD",IF(AND(E638&lt;&gt;"",E638&lt;&gt;"!!!"),"NEW","")))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7" t="str">
        <f aca="false">IF(OR(E638="",E638="!!!",F638="NEW"),"",INDEX(B32:B$607,-1+SUMPRODUCT(MAX(ROW(E32:E$607)*(E638=E32:E$607)))))</f>
        <v/>
      </c>
      <c r="J638" s="27" t="str">
        <f aca="true">IF(OR(E638="",E638="!!!",F638="NEW"),"",COUNTBLANK(OFFSET(A$1,,,SUMPRODUCT(MAX(ROW(E$2:E638)*(E638=E$2:E638)))))-COUNTBLANK(OFFSET(A$1,,,SUMPRODUCT(MAX(ROW(E$1:E637)*(E2=E$1:E637))))))</f>
        <v/>
      </c>
      <c r="K638" s="27" t="str">
        <f aca="false">IF(OR(E638="",E638="!!!",F638="NEW"),"",INDEX(J$1:J637,SUMPRODUCT(MAX(ROW(E$1:E637)*(E638=E$1:E637)))))</f>
        <v/>
      </c>
      <c r="L638" s="28"/>
    </row>
    <row r="639" customFormat="false" ht="15" hidden="false" customHeight="false" outlineLevel="0" collapsed="false">
      <c r="A639" s="21" t="s">
        <v>225</v>
      </c>
      <c r="B639" s="29" t="s">
        <v>556</v>
      </c>
      <c r="E639" s="25"/>
      <c r="F639" s="26" t="str">
        <f aca="false">IF(OR(E639="",E639="!!!"),"",IF(NOT(ISNA(VLOOKUP(E639,E$1:E638,1,FALSE()))),"OLD",IF(AND(E639&lt;&gt;"",E639&lt;&gt;"!!!"),"NEW","")))</f>
        <v/>
      </c>
      <c r="G639" s="22" t="str">
        <f aca="false">IF(OR(E639="",E639="!!!"),"",IF(OR(J639=0,AND(J639=1,K639=1),AND(J639=1,I639="SBJ"),AND(J639=1,I639=0)),"?IN_FOCUS",IF(J639&lt;=2,"?ACTIVATED",IF(J639&lt;&gt;"","?FAMILIAR",IF(F639="NEW",IF(ISNA(VLOOKUP(E639,#REF!,1,FALSE())),"?TYPE_IDENTIFIABLE","?REFERENTIAL"),"_")))))</f>
        <v/>
      </c>
      <c r="H639" s="23" t="str">
        <f aca="false">IF(J639&lt;&gt;1,"",IF(I639="SBJ","CB","?"))</f>
        <v/>
      </c>
      <c r="I639" s="27" t="str">
        <f aca="false">IF(OR(E639="",E639="!!!",F639="NEW"),"",INDEX(B33:B$607,-1+SUMPRODUCT(MAX(ROW(E33:E$607)*(E639=E33:E$607)))))</f>
        <v/>
      </c>
      <c r="J639" s="27" t="str">
        <f aca="true">IF(OR(E639="",E639="!!!",F639="NEW"),"",COUNTBLANK(OFFSET(A$1,,,SUMPRODUCT(MAX(ROW(E$2:E639)*(E639=E$2:E639)))))-COUNTBLANK(OFFSET(A$1,,,SUMPRODUCT(MAX(ROW(E$1:E638)*(E2=E$1:E638))))))</f>
        <v/>
      </c>
      <c r="K639" s="27" t="str">
        <f aca="false">IF(OR(E639="",E639="!!!",F639="NEW"),"",INDEX(J$1:J638,SUMPRODUCT(MAX(ROW(E$1:E638)*(E639=E$1:E638)))))</f>
        <v/>
      </c>
      <c r="L639" s="28"/>
    </row>
    <row r="640" customFormat="false" ht="15" hidden="false" customHeight="false" outlineLevel="0" collapsed="false">
      <c r="A640" s="21" t="s">
        <v>557</v>
      </c>
      <c r="E640" s="25"/>
      <c r="F640" s="26" t="str">
        <f aca="false">IF(OR(E640="",E640="!!!"),"",IF(NOT(ISNA(VLOOKUP(E640,E$1:E639,1,FALSE()))),"OLD",IF(AND(E640&lt;&gt;"",E640&lt;&gt;"!!!"),"NEW","")))</f>
        <v/>
      </c>
      <c r="G640" s="22" t="str">
        <f aca="false">IF(OR(E640="",E640="!!!"),"",IF(OR(J640=0,AND(J640=1,K640=1),AND(J640=1,I640="SBJ"),AND(J640=1,I640=0)),"?IN_FOCUS",IF(J640&lt;=2,"?ACTIVATED",IF(J640&lt;&gt;"","?FAMILIAR",IF(F640="NEW",IF(ISNA(VLOOKUP(E640,#REF!,1,FALSE())),"?TYPE_IDENTIFIABLE","?REFERENTIAL"),"_")))))</f>
        <v/>
      </c>
      <c r="H640" s="23" t="str">
        <f aca="false">IF(J640&lt;&gt;1,"",IF(I640="SBJ","CB","?"))</f>
        <v/>
      </c>
      <c r="I640" s="27" t="str">
        <f aca="false">IF(OR(E640="",E640="!!!",F640="NEW"),"",INDEX(B34:B$607,-1+SUMPRODUCT(MAX(ROW(E34:E$607)*(E640=E34:E$607)))))</f>
        <v/>
      </c>
      <c r="J640" s="27" t="str">
        <f aca="true">IF(OR(E640="",E640="!!!",F640="NEW"),"",COUNTBLANK(OFFSET(A$1,,,SUMPRODUCT(MAX(ROW(E$2:E640)*(E640=E$2:E640)))))-COUNTBLANK(OFFSET(A$1,,,SUMPRODUCT(MAX(ROW(E$1:E639)*(E2=E$1:E639))))))</f>
        <v/>
      </c>
      <c r="K640" s="27" t="str">
        <f aca="false">IF(OR(E640="",E640="!!!",F640="NEW"),"",INDEX(J$1:J639,SUMPRODUCT(MAX(ROW(E$1:E639)*(E640=E$1:E639)))))</f>
        <v/>
      </c>
      <c r="L640" s="28"/>
    </row>
    <row r="641" customFormat="false" ht="15" hidden="false" customHeight="false" outlineLevel="0" collapsed="false">
      <c r="A641" s="21" t="s">
        <v>558</v>
      </c>
      <c r="E641" s="25"/>
      <c r="F641" s="26" t="str">
        <f aca="false">IF(OR(E641="",E641="!!!"),"",IF(NOT(ISNA(VLOOKUP(E641,E$1:E640,1,FALSE()))),"OLD",IF(AND(E641&lt;&gt;"",E641&lt;&gt;"!!!"),"NEW","")))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7" t="str">
        <f aca="false">IF(OR(E641="",E641="!!!",F641="NEW"),"",INDEX(B35:B$607,-1+SUMPRODUCT(MAX(ROW(E35:E$607)*(E641=E35:E$607)))))</f>
        <v/>
      </c>
      <c r="J641" s="27" t="str">
        <f aca="true">IF(OR(E641="",E641="!!!",F641="NEW"),"",COUNTBLANK(OFFSET(A$1,,,SUMPRODUCT(MAX(ROW(E$2:E641)*(E641=E$2:E641)))))-COUNTBLANK(OFFSET(A$1,,,SUMPRODUCT(MAX(ROW(E$1:E640)*(E2=E$1:E640))))))</f>
        <v/>
      </c>
      <c r="K641" s="27" t="str">
        <f aca="false">IF(OR(E641="",E641="!!!",F641="NEW"),"",INDEX(J$1:J640,SUMPRODUCT(MAX(ROW(E$1:E640)*(E641=E$1:E640)))))</f>
        <v/>
      </c>
      <c r="L641" s="28"/>
    </row>
    <row r="642" customFormat="false" ht="15" hidden="false" customHeight="false" outlineLevel="0" collapsed="false">
      <c r="A642" s="21" t="s">
        <v>476</v>
      </c>
      <c r="B642" s="29" t="s">
        <v>559</v>
      </c>
      <c r="C642" s="29" t="s">
        <v>167</v>
      </c>
      <c r="E642" s="25"/>
      <c r="F642" s="26" t="str">
        <f aca="false">IF(OR(E642="",E642="!!!"),"",IF(NOT(ISNA(VLOOKUP(E642,E$1:E641,1,FALSE()))),"OLD",IF(AND(E642&lt;&gt;"",E642&lt;&gt;"!!!"),"NEW","")))</f>
        <v/>
      </c>
      <c r="G642" s="22" t="str">
        <f aca="false">IF(OR(E642="",E642="!!!"),"",IF(OR(J642=0,AND(J642=1,K642=1),AND(J642=1,I642="SBJ"),AND(J642=1,I642=0)),"?IN_FOCUS",IF(J642&lt;=2,"?ACTIVATED",IF(J642&lt;&gt;"","?FAMILIAR",IF(F642="NEW",IF(ISNA(VLOOKUP(E642,#REF!,1,FALSE())),"?TYPE_IDENTIFIABLE","?REFERENTIAL"),"_")))))</f>
        <v/>
      </c>
      <c r="H642" s="23" t="str">
        <f aca="false">IF(J642&lt;&gt;1,"",IF(I642="SBJ","CB","?"))</f>
        <v/>
      </c>
      <c r="I642" s="27" t="str">
        <f aca="false">IF(OR(E642="",E642="!!!",F642="NEW"),"",INDEX(B36:B$607,-1+SUMPRODUCT(MAX(ROW(E36:E$607)*(E642=E36:E$607)))))</f>
        <v/>
      </c>
      <c r="J642" s="27" t="str">
        <f aca="true">IF(OR(E642="",E642="!!!",F642="NEW"),"",COUNTBLANK(OFFSET(A$1,,,SUMPRODUCT(MAX(ROW(E$2:E642)*(E642=E$2:E642)))))-COUNTBLANK(OFFSET(A$1,,,SUMPRODUCT(MAX(ROW(E$1:E641)*(E2=E$1:E641))))))</f>
        <v/>
      </c>
      <c r="K642" s="27" t="str">
        <f aca="false">IF(OR(E642="",E642="!!!",F642="NEW"),"",INDEX(J$1:J641,SUMPRODUCT(MAX(ROW(E$1:E641)*(E642=E$1:E641)))))</f>
        <v/>
      </c>
      <c r="L642" s="28"/>
    </row>
    <row r="643" customFormat="false" ht="15" hidden="false" customHeight="false" outlineLevel="0" collapsed="false">
      <c r="A643" s="21" t="s">
        <v>193</v>
      </c>
      <c r="E643" s="25"/>
      <c r="F643" s="26" t="str">
        <f aca="false">IF(OR(E643="",E643="!!!"),"",IF(NOT(ISNA(VLOOKUP(E643,E$1:E642,1,FALSE()))),"OLD",IF(AND(E643&lt;&gt;"",E643&lt;&gt;"!!!"),"NEW","")))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7" t="str">
        <f aca="false">IF(OR(E643="",E643="!!!",F643="NEW"),"",INDEX(B37:B$607,-1+SUMPRODUCT(MAX(ROW(E37:E$607)*(E643=E37:E$607)))))</f>
        <v/>
      </c>
      <c r="J643" s="27" t="str">
        <f aca="true">IF(OR(E643="",E643="!!!",F643="NEW"),"",COUNTBLANK(OFFSET(A$1,,,SUMPRODUCT(MAX(ROW(E$2:E643)*(E643=E$2:E643)))))-COUNTBLANK(OFFSET(A$1,,,SUMPRODUCT(MAX(ROW(E$1:E642)*(E2=E$1:E642))))))</f>
        <v/>
      </c>
      <c r="K643" s="27" t="str">
        <f aca="false">IF(OR(E643="",E643="!!!",F643="NEW"),"",INDEX(J$1:J642,SUMPRODUCT(MAX(ROW(E$1:E642)*(E643=E$1:E642)))))</f>
        <v/>
      </c>
      <c r="L643" s="28"/>
    </row>
    <row r="644" customFormat="false" ht="15" hidden="false" customHeight="false" outlineLevel="0" collapsed="false">
      <c r="A644" s="21"/>
      <c r="G644" s="22" t="str">
        <f aca="false">IF(OR(E644="",E644="!!!"),"",IF(OR(J644=0,AND(J644=1,K644=1),AND(J644=1,I644="SBJ"),AND(J644=1,I644=0)),"?IN_FOCUS",IF(J644&lt;=2,"?ACTIVATED",IF(J644&lt;&gt;"","?FAMILIAR",IF(F644="NEW",IF(ISNA(VLOOKUP(E644,#REF!,1,FALSE())),"?TYPE_IDENTIFIABLE","?REFERENTIAL"),"_")))))</f>
        <v/>
      </c>
      <c r="H644" s="23" t="str">
        <f aca="false">IF(J644&lt;&gt;1,"",IF(I644="SBJ","CB","?"))</f>
        <v/>
      </c>
    </row>
    <row r="645" customFormat="false" ht="15" hidden="false" customHeight="false" outlineLevel="0" collapsed="false">
      <c r="A645" s="21" t="s">
        <v>560</v>
      </c>
      <c r="G645" s="22" t="str">
        <f aca="false">IF(OR(E645="",E645="!!!"),"",IF(OR(J645=0,AND(J645=1,K645=1),AND(J645=1,I645="SBJ"),AND(J645=1,I645=0)),"?IN_FOCUS",IF(J645&lt;=2,"?ACTIVATED",IF(J645&lt;&gt;"","?FAMILIAR",IF(F645="NEW",IF(ISNA(VLOOKUP(E645,#REF!,1,FALSE())),"?TYPE_IDENTIFIABLE","?REFERENTIAL"),"_")))))</f>
        <v/>
      </c>
      <c r="H645" s="23" t="str">
        <f aca="false">IF(J645&lt;&gt;1,"",IF(I645="SBJ","CB","?"))</f>
        <v/>
      </c>
    </row>
    <row r="646" customFormat="false" ht="15" hidden="false" customHeight="false" outlineLevel="0" collapsed="false">
      <c r="A646" s="21" t="s">
        <v>561</v>
      </c>
      <c r="B646" s="29" t="s">
        <v>180</v>
      </c>
      <c r="C646" s="29" t="s">
        <v>490</v>
      </c>
      <c r="E646" s="25"/>
      <c r="F646" s="26" t="str">
        <f aca="false">IF(OR(E646="",E646="!!!"),"",IF(NOT(ISNA(VLOOKUP(E646,E$1:E645,1,FALSE()))),"OLD",IF(AND(E646&lt;&gt;"",E646&lt;&gt;"!!!"),"NEW","")))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7" t="str">
        <f aca="false">IF(OR(E646="",E646="!!!",F646="NEW"),"",INDEX(B2:B$645,-1+SUMPRODUCT(MAX(ROW(E2:E$645)*(E646=E2:E$645)))))</f>
        <v/>
      </c>
      <c r="J646" s="27" t="str">
        <f aca="true">IF(OR(E646="",E646="!!!",F646="NEW"),"",COUNTBLANK(OFFSET(A$1,,,SUMPRODUCT(MAX(ROW(E$2:E646)*(E646=E$2:E646)))))-COUNTBLANK(OFFSET(A$1,,,SUMPRODUCT(MAX(ROW(E$1:E645)*(E2=E$1:E645))))))</f>
        <v/>
      </c>
      <c r="K646" s="27" t="str">
        <f aca="false">IF(OR(E646="",E646="!!!",F646="NEW"),"",INDEX(J$1:J645,SUMPRODUCT(MAX(ROW(E$1:E645)*(E646=E$1:E645)))))</f>
        <v/>
      </c>
      <c r="L646" s="28"/>
    </row>
    <row r="647" customFormat="false" ht="15" hidden="false" customHeight="false" outlineLevel="0" collapsed="false">
      <c r="A647" s="21" t="s">
        <v>562</v>
      </c>
      <c r="E647" s="25"/>
      <c r="F647" s="26" t="str">
        <f aca="false">IF(OR(E647="",E647="!!!"),"",IF(NOT(ISNA(VLOOKUP(E647,E$1:E646,1,FALSE()))),"OLD",IF(AND(E647&lt;&gt;"",E647&lt;&gt;"!!!"),"NEW","")))</f>
        <v/>
      </c>
      <c r="G647" s="22" t="str">
        <f aca="false">IF(OR(E647="",E647="!!!"),"",IF(OR(J647=0,AND(J647=1,K647=1),AND(J647=1,I647="SBJ"),AND(J647=1,I647=0)),"?IN_FOCUS",IF(J647&lt;=2,"?ACTIVATED",IF(J647&lt;&gt;"","?FAMILIAR",IF(F647="NEW",IF(ISNA(VLOOKUP(E647,#REF!,1,FALSE())),"?TYPE_IDENTIFIABLE","?REFERENTIAL"),"_")))))</f>
        <v/>
      </c>
      <c r="H647" s="23" t="str">
        <f aca="false">IF(J647&lt;&gt;1,"",IF(I647="SBJ","CB","?"))</f>
        <v/>
      </c>
      <c r="I647" s="27" t="str">
        <f aca="false">IF(OR(E647="",E647="!!!",F647="NEW"),"",INDEX(B3:B$645,-1+SUMPRODUCT(MAX(ROW(E3:E$645)*(E647=E3:E$645)))))</f>
        <v/>
      </c>
      <c r="J647" s="27" t="str">
        <f aca="true">IF(OR(E647="",E647="!!!",F647="NEW"),"",COUNTBLANK(OFFSET(A$1,,,SUMPRODUCT(MAX(ROW(E$2:E647)*(E647=E$2:E647)))))-COUNTBLANK(OFFSET(A$1,,,SUMPRODUCT(MAX(ROW(E$1:E646)*(E2=E$1:E646))))))</f>
        <v/>
      </c>
      <c r="K647" s="27" t="str">
        <f aca="false">IF(OR(E647="",E647="!!!",F647="NEW"),"",INDEX(J$1:J646,SUMPRODUCT(MAX(ROW(E$1:E646)*(E647=E$1:E646)))))</f>
        <v/>
      </c>
      <c r="L647" s="28"/>
    </row>
    <row r="648" customFormat="false" ht="15" hidden="false" customHeight="false" outlineLevel="0" collapsed="false">
      <c r="A648" s="21" t="s">
        <v>563</v>
      </c>
      <c r="E648" s="25"/>
      <c r="F648" s="26" t="str">
        <f aca="false">IF(OR(E648="",E648="!!!"),"",IF(NOT(ISNA(VLOOKUP(E648,E$1:E647,1,FALSE()))),"OLD",IF(AND(E648&lt;&gt;"",E648&lt;&gt;"!!!"),"NEW","")))</f>
        <v/>
      </c>
      <c r="G648" s="22" t="str">
        <f aca="false">IF(OR(E648="",E648="!!!"),"",IF(OR(J648=0,AND(J648=1,K648=1),AND(J648=1,I648="SBJ"),AND(J648=1,I648=0)),"?IN_FOCUS",IF(J648&lt;=2,"?ACTIVATED",IF(J648&lt;&gt;"","?FAMILIAR",IF(F648="NEW",IF(ISNA(VLOOKUP(E648,#REF!,1,FALSE())),"?TYPE_IDENTIFIABLE","?REFERENTIAL"),"_")))))</f>
        <v/>
      </c>
      <c r="H648" s="23" t="str">
        <f aca="false">IF(J648&lt;&gt;1,"",IF(I648="SBJ","CB","?"))</f>
        <v/>
      </c>
      <c r="I648" s="27" t="str">
        <f aca="false">IF(OR(E648="",E648="!!!",F648="NEW"),"",INDEX(B4:B$645,-1+SUMPRODUCT(MAX(ROW(E4:E$645)*(E648=E4:E$645)))))</f>
        <v/>
      </c>
      <c r="J648" s="27" t="str">
        <f aca="true">IF(OR(E648="",E648="!!!",F648="NEW"),"",COUNTBLANK(OFFSET(A$1,,,SUMPRODUCT(MAX(ROW(E$2:E648)*(E648=E$2:E648)))))-COUNTBLANK(OFFSET(A$1,,,SUMPRODUCT(MAX(ROW(E$1:E647)*(E2=E$1:E647))))))</f>
        <v/>
      </c>
      <c r="K648" s="27" t="str">
        <f aca="false">IF(OR(E648="",E648="!!!",F648="NEW"),"",INDEX(J$1:J647,SUMPRODUCT(MAX(ROW(E$1:E647)*(E648=E$1:E647)))))</f>
        <v/>
      </c>
      <c r="L648" s="28"/>
    </row>
    <row r="649" customFormat="false" ht="15" hidden="false" customHeight="false" outlineLevel="0" collapsed="false">
      <c r="A649" s="21" t="s">
        <v>225</v>
      </c>
      <c r="B649" s="29" t="s">
        <v>203</v>
      </c>
      <c r="C649" s="29" t="s">
        <v>316</v>
      </c>
      <c r="D649" s="29" t="s">
        <v>159</v>
      </c>
      <c r="E649" s="25"/>
      <c r="F649" s="26" t="s">
        <v>564</v>
      </c>
      <c r="G649" s="22" t="str">
        <f aca="false">IF(OR(E649="",E649="!!!"),"",IF(OR(J649=0,AND(J649=1,K649=1),AND(J649=1,I649="SBJ"),AND(J649=1,I649=0)),"?IN_FOCUS",IF(J649&lt;=2,"?ACTIVATED",IF(J649&lt;&gt;"","?FAMILIAR",IF(F649="NEW",IF(ISNA(VLOOKUP(E649,#REF!,1,FALSE())),"?TYPE_IDENTIFIABLE","?REFERENTIAL"),"_")))))</f>
        <v/>
      </c>
      <c r="H649" s="23" t="str">
        <f aca="false">IF(J649&lt;&gt;1,"",IF(I649="SBJ","CB","?"))</f>
        <v/>
      </c>
      <c r="I649" s="27" t="str">
        <f aca="false">IF(OR(E649="",E649="!!!",F649="NEW"),"",INDEX(B5:B$645,-1+SUMPRODUCT(MAX(ROW(E5:E$645)*(E649=E5:E$645)))))</f>
        <v/>
      </c>
      <c r="J649" s="27" t="str">
        <f aca="true">IF(OR(E649="",E649="!!!",F649="NEW"),"",COUNTBLANK(OFFSET(A$1,,,SUMPRODUCT(MAX(ROW(E$2:E649)*(E649=E$2:E649)))))-COUNTBLANK(OFFSET(A$1,,,SUMPRODUCT(MAX(ROW(E$1:E648)*(E2=E$1:E648))))))</f>
        <v/>
      </c>
      <c r="K649" s="27" t="str">
        <f aca="false">IF(OR(E649="",E649="!!!",F649="NEW"),"",INDEX(J$1:J648,SUMPRODUCT(MAX(ROW(E$1:E648)*(E649=E$1:E648)))))</f>
        <v/>
      </c>
      <c r="L649" s="28" t="s">
        <v>501</v>
      </c>
    </row>
    <row r="650" customFormat="false" ht="15" hidden="false" customHeight="false" outlineLevel="0" collapsed="false">
      <c r="A650" s="21" t="s">
        <v>212</v>
      </c>
      <c r="E650" s="25"/>
      <c r="F650" s="26" t="str">
        <f aca="false">IF(OR(E650="",E650="!!!"),"",IF(NOT(ISNA(VLOOKUP(E650,E$1:E649,1,FALSE()))),"OLD",IF(AND(E650&lt;&gt;"",E650&lt;&gt;"!!!"),"NEW","")))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7" t="str">
        <f aca="false">IF(OR(E650="",E650="!!!",F650="NEW"),"",INDEX(B6:B$645,-1+SUMPRODUCT(MAX(ROW(E6:E$645)*(E650=E6:E$645)))))</f>
        <v/>
      </c>
      <c r="J650" s="27" t="str">
        <f aca="true">IF(OR(E650="",E650="!!!",F650="NEW"),"",COUNTBLANK(OFFSET(A$1,,,SUMPRODUCT(MAX(ROW(E$2:E650)*(E650=E$2:E650)))))-COUNTBLANK(OFFSET(A$1,,,SUMPRODUCT(MAX(ROW(E$1:E649)*(E2=E$1:E649))))))</f>
        <v/>
      </c>
      <c r="K650" s="27" t="str">
        <f aca="false">IF(OR(E650="",E650="!!!",F650="NEW"),"",INDEX(J$1:J649,SUMPRODUCT(MAX(ROW(E$1:E649)*(E650=E$1:E649)))))</f>
        <v/>
      </c>
      <c r="L650" s="28"/>
    </row>
    <row r="651" customFormat="false" ht="15" hidden="false" customHeight="false" outlineLevel="0" collapsed="false">
      <c r="A651" s="21" t="s">
        <v>238</v>
      </c>
      <c r="E651" s="25"/>
      <c r="F651" s="26" t="str">
        <f aca="false">IF(OR(E651="",E651="!!!"),"",IF(NOT(ISNA(VLOOKUP(E651,E$1:E650,1,FALSE()))),"OLD",IF(AND(E651&lt;&gt;"",E651&lt;&gt;"!!!"),"NEW","")))</f>
        <v/>
      </c>
      <c r="G651" s="22" t="str">
        <f aca="false">IF(OR(E651="",E651="!!!"),"",IF(OR(J651=0,AND(J651=1,K651=1),AND(J651=1,I651="SBJ"),AND(J651=1,I651=0)),"?IN_FOCUS",IF(J651&lt;=2,"?ACTIVATED",IF(J651&lt;&gt;"","?FAMILIAR",IF(F651="NEW",IF(ISNA(VLOOKUP(E651,#REF!,1,FALSE())),"?TYPE_IDENTIFIABLE","?REFERENTIAL"),"_")))))</f>
        <v/>
      </c>
      <c r="H651" s="23" t="str">
        <f aca="false">IF(J651&lt;&gt;1,"",IF(I651="SBJ","CB","?"))</f>
        <v/>
      </c>
      <c r="I651" s="27" t="str">
        <f aca="false">IF(OR(E651="",E651="!!!",F651="NEW"),"",INDEX(B7:B$645,-1+SUMPRODUCT(MAX(ROW(E7:E$645)*(E651=E7:E$645)))))</f>
        <v/>
      </c>
      <c r="J651" s="27" t="str">
        <f aca="true">IF(OR(E651="",E651="!!!",F651="NEW"),"",COUNTBLANK(OFFSET(A$1,,,SUMPRODUCT(MAX(ROW(E$2:E651)*(E651=E$2:E651)))))-COUNTBLANK(OFFSET(A$1,,,SUMPRODUCT(MAX(ROW(E$1:E650)*(E2=E$1:E650))))))</f>
        <v/>
      </c>
      <c r="K651" s="27" t="str">
        <f aca="false">IF(OR(E651="",E651="!!!",F651="NEW"),"",INDEX(J$1:J650,SUMPRODUCT(MAX(ROW(E$1:E650)*(E651=E$1:E650)))))</f>
        <v/>
      </c>
      <c r="L651" s="28"/>
    </row>
    <row r="652" customFormat="false" ht="15" hidden="false" customHeight="false" outlineLevel="0" collapsed="false">
      <c r="A652" s="21" t="s">
        <v>565</v>
      </c>
      <c r="B652" s="29" t="s">
        <v>153</v>
      </c>
      <c r="C652" s="29" t="s">
        <v>154</v>
      </c>
      <c r="E652" s="25"/>
      <c r="F652" s="26" t="str">
        <f aca="false">IF(OR(E652="",E652="!!!"),"",IF(NOT(ISNA(VLOOKUP(E652,E$1:E651,1,FALSE()))),"OLD",IF(AND(E652&lt;&gt;"",E652&lt;&gt;"!!!"),"NEW","")))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7" t="str">
        <f aca="false">IF(OR(E652="",E652="!!!",F652="NEW"),"",INDEX(B8:B$645,-1+SUMPRODUCT(MAX(ROW(E8:E$645)*(E652=E8:E$645)))))</f>
        <v/>
      </c>
      <c r="J652" s="27" t="str">
        <f aca="true">IF(OR(E652="",E652="!!!",F652="NEW"),"",COUNTBLANK(OFFSET(A$1,,,SUMPRODUCT(MAX(ROW(E$2:E652)*(E652=E$2:E652)))))-COUNTBLANK(OFFSET(A$1,,,SUMPRODUCT(MAX(ROW(E$1:E651)*(E2=E$1:E651))))))</f>
        <v/>
      </c>
      <c r="K652" s="27" t="str">
        <f aca="false">IF(OR(E652="",E652="!!!",F652="NEW"),"",INDEX(J$1:J651,SUMPRODUCT(MAX(ROW(E$1:E651)*(E652=E$1:E651)))))</f>
        <v/>
      </c>
      <c r="L652" s="28"/>
    </row>
    <row r="653" customFormat="false" ht="15" hidden="false" customHeight="false" outlineLevel="0" collapsed="false">
      <c r="A653" s="21" t="s">
        <v>250</v>
      </c>
      <c r="E653" s="25"/>
      <c r="F653" s="26" t="str">
        <f aca="false">IF(OR(E653="",E653="!!!"),"",IF(NOT(ISNA(VLOOKUP(E653,E$1:E652,1,FALSE()))),"OLD",IF(AND(E653&lt;&gt;"",E653&lt;&gt;"!!!"),"NEW","")))</f>
        <v/>
      </c>
      <c r="G653" s="22" t="str">
        <f aca="false">IF(OR(E653="",E653="!!!"),"",IF(OR(J653=0,AND(J653=1,K653=1),AND(J653=1,I653="SBJ"),AND(J653=1,I653=0)),"?IN_FOCUS",IF(J653&lt;=2,"?ACTIVATED",IF(J653&lt;&gt;"","?FAMILIAR",IF(F653="NEW",IF(ISNA(VLOOKUP(E653,#REF!,1,FALSE())),"?TYPE_IDENTIFIABLE","?REFERENTIAL"),"_")))))</f>
        <v/>
      </c>
      <c r="H653" s="23" t="str">
        <f aca="false">IF(J653&lt;&gt;1,"",IF(I653="SBJ","CB","?"))</f>
        <v/>
      </c>
      <c r="I653" s="27" t="str">
        <f aca="false">IF(OR(E653="",E653="!!!",F653="NEW"),"",INDEX(B9:B$645,-1+SUMPRODUCT(MAX(ROW(E9:E$645)*(E653=E9:E$645)))))</f>
        <v/>
      </c>
      <c r="J653" s="27" t="str">
        <f aca="true">IF(OR(E653="",E653="!!!",F653="NEW"),"",COUNTBLANK(OFFSET(A$1,,,SUMPRODUCT(MAX(ROW(E$2:E653)*(E653=E$2:E653)))))-COUNTBLANK(OFFSET(A$1,,,SUMPRODUCT(MAX(ROW(E$1:E652)*(E2=E$1:E652))))))</f>
        <v/>
      </c>
      <c r="K653" s="27" t="str">
        <f aca="false">IF(OR(E653="",E653="!!!",F653="NEW"),"",INDEX(J$1:J652,SUMPRODUCT(MAX(ROW(E$1:E652)*(E653=E$1:E652)))))</f>
        <v/>
      </c>
      <c r="L653" s="28"/>
    </row>
    <row r="654" customFormat="false" ht="15" hidden="false" customHeight="false" outlineLevel="0" collapsed="false">
      <c r="A654" s="21" t="s">
        <v>169</v>
      </c>
      <c r="E654" s="25"/>
      <c r="F654" s="26" t="str">
        <f aca="false">IF(OR(E654="",E654="!!!"),"",IF(NOT(ISNA(VLOOKUP(E654,E$1:E653,1,FALSE()))),"OLD",IF(AND(E654&lt;&gt;"",E654&lt;&gt;"!!!"),"NEW","")))</f>
        <v/>
      </c>
      <c r="G654" s="22" t="str">
        <f aca="false">IF(OR(E654="",E654="!!!"),"",IF(OR(J654=0,AND(J654=1,K654=1),AND(J654=1,I654="SBJ"),AND(J654=1,I654=0)),"?IN_FOCUS",IF(J654&lt;=2,"?ACTIVATED",IF(J654&lt;&gt;"","?FAMILIAR",IF(F654="NEW",IF(ISNA(VLOOKUP(E654,#REF!,1,FALSE())),"?TYPE_IDENTIFIABLE","?REFERENTIAL"),"_")))))</f>
        <v/>
      </c>
      <c r="H654" s="23" t="str">
        <f aca="false">IF(J654&lt;&gt;1,"",IF(I654="SBJ","CB","?"))</f>
        <v/>
      </c>
      <c r="I654" s="27" t="str">
        <f aca="false">IF(OR(E654="",E654="!!!",F654="NEW"),"",INDEX(B10:B$645,-1+SUMPRODUCT(MAX(ROW(E10:E$645)*(E654=E10:E$645)))))</f>
        <v/>
      </c>
      <c r="J654" s="27" t="str">
        <f aca="true">IF(OR(E654="",E654="!!!",F654="NEW"),"",COUNTBLANK(OFFSET(A$1,,,SUMPRODUCT(MAX(ROW(E$2:E654)*(E654=E$2:E654)))))-COUNTBLANK(OFFSET(A$1,,,SUMPRODUCT(MAX(ROW(E$1:E653)*(E2=E$1:E653))))))</f>
        <v/>
      </c>
      <c r="K654" s="27" t="str">
        <f aca="false">IF(OR(E654="",E654="!!!",F654="NEW"),"",INDEX(J$1:J653,SUMPRODUCT(MAX(ROW(E$1:E653)*(E654=E$1:E653)))))</f>
        <v/>
      </c>
      <c r="L654" s="28"/>
    </row>
    <row r="655" customFormat="false" ht="15" hidden="false" customHeight="false" outlineLevel="0" collapsed="false">
      <c r="A655" s="21" t="s">
        <v>311</v>
      </c>
      <c r="E655" s="25"/>
      <c r="F655" s="26" t="str">
        <f aca="false">IF(OR(E655="",E655="!!!"),"",IF(NOT(ISNA(VLOOKUP(E655,E$1:E654,1,FALSE()))),"OLD",IF(AND(E655&lt;&gt;"",E655&lt;&gt;"!!!"),"NEW","")))</f>
        <v/>
      </c>
      <c r="G655" s="22" t="str">
        <f aca="false">IF(OR(E655="",E655="!!!"),"",IF(OR(J655=0,AND(J655=1,K655=1),AND(J655=1,I655="SBJ"),AND(J655=1,I655=0)),"?IN_FOCUS",IF(J655&lt;=2,"?ACTIVATED",IF(J655&lt;&gt;"","?FAMILIAR",IF(F655="NEW",IF(ISNA(VLOOKUP(E655,#REF!,1,FALSE())),"?TYPE_IDENTIFIABLE","?REFERENTIAL"),"_")))))</f>
        <v/>
      </c>
      <c r="H655" s="23" t="str">
        <f aca="false">IF(J655&lt;&gt;1,"",IF(I655="SBJ","CB","?"))</f>
        <v/>
      </c>
      <c r="I655" s="27" t="str">
        <f aca="false">IF(OR(E655="",E655="!!!",F655="NEW"),"",INDEX(B11:B$645,-1+SUMPRODUCT(MAX(ROW(E11:E$645)*(E655=E11:E$645)))))</f>
        <v/>
      </c>
      <c r="J655" s="27" t="str">
        <f aca="true">IF(OR(E655="",E655="!!!",F655="NEW"),"",COUNTBLANK(OFFSET(A$1,,,SUMPRODUCT(MAX(ROW(E$2:E655)*(E655=E$2:E655)))))-COUNTBLANK(OFFSET(A$1,,,SUMPRODUCT(MAX(ROW(E$1:E654)*(E2=E$1:E654))))))</f>
        <v/>
      </c>
      <c r="K655" s="27" t="str">
        <f aca="false">IF(OR(E655="",E655="!!!",F655="NEW"),"",INDEX(J$1:J654,SUMPRODUCT(MAX(ROW(E$1:E654)*(E655=E$1:E654)))))</f>
        <v/>
      </c>
      <c r="L655" s="28"/>
    </row>
    <row r="656" customFormat="false" ht="15" hidden="false" customHeight="false" outlineLevel="0" collapsed="false">
      <c r="A656" s="21" t="s">
        <v>312</v>
      </c>
      <c r="B656" s="29" t="s">
        <v>190</v>
      </c>
      <c r="C656" s="29" t="s">
        <v>158</v>
      </c>
      <c r="D656" s="29" t="s">
        <v>159</v>
      </c>
      <c r="E656" s="25" t="s">
        <v>313</v>
      </c>
      <c r="F656" s="30" t="str">
        <f aca="false">IF(OR(E656="",E656="!!!"),"",IF(NOT(ISNA(VLOOKUP(E656,E$1:E655,1,FALSE()))),"OLD",IF(AND(E656&lt;&gt;"",E656&lt;&gt;"!!!"),"NEW","")))</f>
        <v>OLD</v>
      </c>
      <c r="G656" s="22" t="s">
        <v>265</v>
      </c>
      <c r="H656" s="23" t="str">
        <f aca="false">IF(J656&lt;&gt;1,"",IF(I656="SBJ","CB","?"))</f>
        <v/>
      </c>
      <c r="I656" s="31" t="n">
        <f aca="false">IF(OR(E656="",E656="!!!",F656="NEW"),"",INDEX(B12:B$645,-1+SUMPRODUCT(MAX(ROW(E12:E$645)*(E656=E12:E$645)))))</f>
        <v>0</v>
      </c>
      <c r="J656" s="31" t="n">
        <f aca="true">IF(OR(E656="",E656="!!!",F656="NEW"),"",COUNTBLANK(OFFSET(A$1,,,SUMPRODUCT(MAX(ROW(E$2:E656)*(E656=E$2:E656)))))-COUNTBLANK(OFFSET(A$1,,,SUMPRODUCT(MAX(ROW(E$1:E655)*(E2=E$1:E655))))))</f>
        <v>0</v>
      </c>
      <c r="K656" s="31" t="n">
        <f aca="false">IF(OR(E656="",E656="!!!",F656="NEW"),"",INDEX(J$1:J655,SUMPRODUCT(MAX(ROW(E$1:E655)*(E656=E$1:E655)))))</f>
        <v>0</v>
      </c>
      <c r="L656" s="28"/>
    </row>
    <row r="657" customFormat="false" ht="15" hidden="false" customHeight="false" outlineLevel="0" collapsed="false">
      <c r="A657" s="21" t="s">
        <v>566</v>
      </c>
      <c r="B657" s="29" t="s">
        <v>271</v>
      </c>
      <c r="C657" s="29" t="s">
        <v>181</v>
      </c>
      <c r="D657" s="29" t="s">
        <v>159</v>
      </c>
      <c r="E657" s="25"/>
      <c r="F657" s="26" t="s">
        <v>567</v>
      </c>
      <c r="G657" s="22" t="str">
        <f aca="false">IF(OR(E657="",E657="!!!"),"",IF(OR(J657=0,AND(J657=1,K657=1),AND(J657=1,I657="SBJ"),AND(J657=1,I657=0)),"?IN_FOCUS",IF(J657&lt;=2,"?ACTIVATED",IF(J657&lt;&gt;"","?FAMILIAR",IF(F657="NEW",IF(ISNA(VLOOKUP(E657,#REF!,1,FALSE())),"?TYPE_IDENTIFIABLE","?REFERENTIAL"),"_")))))</f>
        <v/>
      </c>
      <c r="H657" s="23" t="str">
        <f aca="false">IF(J657&lt;&gt;1,"",IF(I657="SBJ","CB","?"))</f>
        <v/>
      </c>
      <c r="I657" s="27" t="str">
        <f aca="false">IF(OR(E657="",E657="!!!",F657="NEW"),"",INDEX(B13:B$645,-1+SUMPRODUCT(MAX(ROW(E13:E$645)*(E657=E13:E$645)))))</f>
        <v/>
      </c>
      <c r="J657" s="27" t="str">
        <f aca="true">IF(OR(E657="",E657="!!!",F657="NEW"),"",COUNTBLANK(OFFSET(A$1,,,SUMPRODUCT(MAX(ROW(E$2:E657)*(E657=E$2:E657)))))-COUNTBLANK(OFFSET(A$1,,,SUMPRODUCT(MAX(ROW(E$1:E656)*(E2=E$1:E656))))))</f>
        <v/>
      </c>
      <c r="K657" s="27" t="str">
        <f aca="false">IF(OR(E657="",E657="!!!",F657="NEW"),"",INDEX(J$1:J656,SUMPRODUCT(MAX(ROW(E$1:E656)*(E657=E$1:E656)))))</f>
        <v/>
      </c>
      <c r="L657" s="28" t="s">
        <v>501</v>
      </c>
    </row>
    <row r="658" customFormat="false" ht="15" hidden="false" customHeight="false" outlineLevel="0" collapsed="false">
      <c r="A658" s="21" t="s">
        <v>318</v>
      </c>
      <c r="E658" s="25"/>
      <c r="F658" s="26" t="str">
        <f aca="false">IF(OR(E658="",E658="!!!"),"",IF(NOT(ISNA(VLOOKUP(E658,E$1:E657,1,FALSE()))),"OLD",IF(AND(E658&lt;&gt;"",E658&lt;&gt;"!!!"),"NEW","")))</f>
        <v/>
      </c>
      <c r="G658" s="22" t="str">
        <f aca="false">IF(OR(E658="",E658="!!!"),"",IF(OR(J658=0,AND(J658=1,K658=1),AND(J658=1,I658="SBJ"),AND(J658=1,I658=0)),"?IN_FOCUS",IF(J658&lt;=2,"?ACTIVATED",IF(J658&lt;&gt;"","?FAMILIAR",IF(F658="NEW",IF(ISNA(VLOOKUP(E658,#REF!,1,FALSE())),"?TYPE_IDENTIFIABLE","?REFERENTIAL"),"_")))))</f>
        <v/>
      </c>
      <c r="H658" s="23" t="str">
        <f aca="false">IF(J658&lt;&gt;1,"",IF(I658="SBJ","CB","?"))</f>
        <v/>
      </c>
      <c r="I658" s="27" t="str">
        <f aca="false">IF(OR(E658="",E658="!!!",F658="NEW"),"",INDEX(B14:B$645,-1+SUMPRODUCT(MAX(ROW(E14:E$645)*(E658=E14:E$645)))))</f>
        <v/>
      </c>
      <c r="J658" s="27" t="str">
        <f aca="true">IF(OR(E658="",E658="!!!",F658="NEW"),"",COUNTBLANK(OFFSET(A$1,,,SUMPRODUCT(MAX(ROW(E$2:E658)*(E658=E$2:E658)))))-COUNTBLANK(OFFSET(A$1,,,SUMPRODUCT(MAX(ROW(E$1:E657)*(E2=E$1:E657))))))</f>
        <v/>
      </c>
      <c r="K658" s="27" t="str">
        <f aca="false">IF(OR(E658="",E658="!!!",F658="NEW"),"",INDEX(J$1:J657,SUMPRODUCT(MAX(ROW(E$1:E657)*(E658=E$1:E657)))))</f>
        <v/>
      </c>
      <c r="L658" s="28"/>
    </row>
    <row r="659" customFormat="false" ht="15" hidden="false" customHeight="false" outlineLevel="0" collapsed="false">
      <c r="A659" s="21" t="s">
        <v>568</v>
      </c>
      <c r="E659" s="25"/>
      <c r="F659" s="26" t="str">
        <f aca="false">IF(OR(E659="",E659="!!!"),"",IF(NOT(ISNA(VLOOKUP(E659,E$1:E658,1,FALSE()))),"OLD",IF(AND(E659&lt;&gt;"",E659&lt;&gt;"!!!"),"NEW","")))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7" t="str">
        <f aca="false">IF(OR(E659="",E659="!!!",F659="NEW"),"",INDEX(B15:B$645,-1+SUMPRODUCT(MAX(ROW(E15:E$645)*(E659=E15:E$645)))))</f>
        <v/>
      </c>
      <c r="J659" s="27" t="str">
        <f aca="true">IF(OR(E659="",E659="!!!",F659="NEW"),"",COUNTBLANK(OFFSET(A$1,,,SUMPRODUCT(MAX(ROW(E$2:E659)*(E659=E$2:E659)))))-COUNTBLANK(OFFSET(A$1,,,SUMPRODUCT(MAX(ROW(E$1:E658)*(E2=E$1:E658))))))</f>
        <v/>
      </c>
      <c r="K659" s="27" t="str">
        <f aca="false">IF(OR(E659="",E659="!!!",F659="NEW"),"",INDEX(J$1:J658,SUMPRODUCT(MAX(ROW(E$1:E658)*(E659=E$1:E658)))))</f>
        <v/>
      </c>
      <c r="L659" s="28"/>
    </row>
    <row r="660" customFormat="false" ht="15" hidden="false" customHeight="false" outlineLevel="0" collapsed="false">
      <c r="A660" s="21" t="s">
        <v>569</v>
      </c>
      <c r="E660" s="25"/>
      <c r="F660" s="26" t="str">
        <f aca="false">IF(OR(E660="",E660="!!!"),"",IF(NOT(ISNA(VLOOKUP(E660,E$1:E659,1,FALSE()))),"OLD",IF(AND(E660&lt;&gt;"",E660&lt;&gt;"!!!"),"NEW","")))</f>
        <v/>
      </c>
      <c r="G660" s="22" t="str">
        <f aca="false">IF(OR(E660="",E660="!!!"),"",IF(OR(J660=0,AND(J660=1,K660=1),AND(J660=1,I660="SBJ"),AND(J660=1,I660=0)),"?IN_FOCUS",IF(J660&lt;=2,"?ACTIVATED",IF(J660&lt;&gt;"","?FAMILIAR",IF(F660="NEW",IF(ISNA(VLOOKUP(E660,#REF!,1,FALSE())),"?TYPE_IDENTIFIABLE","?REFERENTIAL"),"_")))))</f>
        <v/>
      </c>
      <c r="H660" s="23" t="str">
        <f aca="false">IF(J660&lt;&gt;1,"",IF(I660="SBJ","CB","?"))</f>
        <v/>
      </c>
      <c r="I660" s="27" t="str">
        <f aca="false">IF(OR(E660="",E660="!!!",F660="NEW"),"",INDEX(B16:B$645,-1+SUMPRODUCT(MAX(ROW(E16:E$645)*(E660=E16:E$645)))))</f>
        <v/>
      </c>
      <c r="J660" s="27" t="str">
        <f aca="true">IF(OR(E660="",E660="!!!",F660="NEW"),"",COUNTBLANK(OFFSET(A$1,,,SUMPRODUCT(MAX(ROW(E$2:E660)*(E660=E$2:E660)))))-COUNTBLANK(OFFSET(A$1,,,SUMPRODUCT(MAX(ROW(E$1:E659)*(E2=E$1:E659))))))</f>
        <v/>
      </c>
      <c r="K660" s="27" t="str">
        <f aca="false">IF(OR(E660="",E660="!!!",F660="NEW"),"",INDEX(J$1:J659,SUMPRODUCT(MAX(ROW(E$1:E659)*(E660=E$1:E659)))))</f>
        <v/>
      </c>
      <c r="L660" s="28"/>
    </row>
    <row r="661" customFormat="false" ht="15" hidden="false" customHeight="false" outlineLevel="0" collapsed="false">
      <c r="A661" s="21" t="s">
        <v>230</v>
      </c>
      <c r="E661" s="25"/>
      <c r="F661" s="26" t="str">
        <f aca="false">IF(OR(E661="",E661="!!!"),"",IF(NOT(ISNA(VLOOKUP(E661,E$1:E660,1,FALSE()))),"OLD",IF(AND(E661&lt;&gt;"",E661&lt;&gt;"!!!"),"NEW","")))</f>
        <v/>
      </c>
      <c r="G661" s="22" t="str">
        <f aca="false">IF(OR(E661="",E661="!!!"),"",IF(OR(J661=0,AND(J661=1,K661=1),AND(J661=1,I661="SBJ"),AND(J661=1,I661=0)),"?IN_FOCUS",IF(J661&lt;=2,"?ACTIVATED",IF(J661&lt;&gt;"","?FAMILIAR",IF(F661="NEW",IF(ISNA(VLOOKUP(E661,#REF!,1,FALSE())),"?TYPE_IDENTIFIABLE","?REFERENTIAL"),"_")))))</f>
        <v/>
      </c>
      <c r="H661" s="23" t="str">
        <f aca="false">IF(J661&lt;&gt;1,"",IF(I661="SBJ","CB","?"))</f>
        <v/>
      </c>
      <c r="I661" s="27" t="str">
        <f aca="false">IF(OR(E661="",E661="!!!",F661="NEW"),"",INDEX(B17:B$645,-1+SUMPRODUCT(MAX(ROW(E17:E$645)*(E661=E17:E$645)))))</f>
        <v/>
      </c>
      <c r="J661" s="27" t="str">
        <f aca="true">IF(OR(E661="",E661="!!!",F661="NEW"),"",COUNTBLANK(OFFSET(A$1,,,SUMPRODUCT(MAX(ROW(E$2:E661)*(E661=E$2:E661)))))-COUNTBLANK(OFFSET(A$1,,,SUMPRODUCT(MAX(ROW(E$1:E660)*(E2=E$1:E660))))))</f>
        <v/>
      </c>
      <c r="K661" s="27" t="str">
        <f aca="false">IF(OR(E661="",E661="!!!",F661="NEW"),"",INDEX(J$1:J660,SUMPRODUCT(MAX(ROW(E$1:E660)*(E661=E$1:E660)))))</f>
        <v/>
      </c>
      <c r="L661" s="28"/>
    </row>
    <row r="662" customFormat="false" ht="15" hidden="false" customHeight="false" outlineLevel="0" collapsed="false">
      <c r="A662" s="21" t="s">
        <v>570</v>
      </c>
      <c r="E662" s="25"/>
      <c r="F662" s="26" t="str">
        <f aca="false">IF(OR(E662="",E662="!!!"),"",IF(NOT(ISNA(VLOOKUP(E662,E$1:E661,1,FALSE()))),"OLD",IF(AND(E662&lt;&gt;"",E662&lt;&gt;"!!!"),"NEW","")))</f>
        <v/>
      </c>
      <c r="G662" s="22" t="str">
        <f aca="false">IF(OR(E662="",E662="!!!"),"",IF(OR(J662=0,AND(J662=1,K662=1),AND(J662=1,I662="SBJ"),AND(J662=1,I662=0)),"?IN_FOCUS",IF(J662&lt;=2,"?ACTIVATED",IF(J662&lt;&gt;"","?FAMILIAR",IF(F662="NEW",IF(ISNA(VLOOKUP(E662,#REF!,1,FALSE())),"?TYPE_IDENTIFIABLE","?REFERENTIAL"),"_")))))</f>
        <v/>
      </c>
      <c r="H662" s="23" t="str">
        <f aca="false">IF(J662&lt;&gt;1,"",IF(I662="SBJ","CB","?"))</f>
        <v/>
      </c>
      <c r="I662" s="27" t="str">
        <f aca="false">IF(OR(E662="",E662="!!!",F662="NEW"),"",INDEX(B18:B$645,-1+SUMPRODUCT(MAX(ROW(E18:E$645)*(E662=E18:E$645)))))</f>
        <v/>
      </c>
      <c r="J662" s="27" t="str">
        <f aca="true">IF(OR(E662="",E662="!!!",F662="NEW"),"",COUNTBLANK(OFFSET(A$1,,,SUMPRODUCT(MAX(ROW(E$2:E662)*(E662=E$2:E662)))))-COUNTBLANK(OFFSET(A$1,,,SUMPRODUCT(MAX(ROW(E$1:E661)*(E2=E$1:E661))))))</f>
        <v/>
      </c>
      <c r="K662" s="27" t="str">
        <f aca="false">IF(OR(E662="",E662="!!!",F662="NEW"),"",INDEX(J$1:J661,SUMPRODUCT(MAX(ROW(E$1:E661)*(E662=E$1:E661)))))</f>
        <v/>
      </c>
      <c r="L662" s="28"/>
    </row>
    <row r="663" customFormat="false" ht="15" hidden="false" customHeight="false" outlineLevel="0" collapsed="false">
      <c r="A663" s="21" t="s">
        <v>168</v>
      </c>
      <c r="E663" s="25"/>
      <c r="F663" s="26" t="str">
        <f aca="false">IF(OR(E663="",E663="!!!"),"",IF(NOT(ISNA(VLOOKUP(E663,E$1:E662,1,FALSE()))),"OLD",IF(AND(E663&lt;&gt;"",E663&lt;&gt;"!!!"),"NEW","")))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7" t="str">
        <f aca="false">IF(OR(E663="",E663="!!!",F663="NEW"),"",INDEX(B19:B$645,-1+SUMPRODUCT(MAX(ROW(E19:E$645)*(E663=E19:E$645)))))</f>
        <v/>
      </c>
      <c r="J663" s="27" t="str">
        <f aca="true">IF(OR(E663="",E663="!!!",F663="NEW"),"",COUNTBLANK(OFFSET(A$1,,,SUMPRODUCT(MAX(ROW(E$2:E663)*(E663=E$2:E663)))))-COUNTBLANK(OFFSET(A$1,,,SUMPRODUCT(MAX(ROW(E$1:E662)*(E2=E$1:E662))))))</f>
        <v/>
      </c>
      <c r="K663" s="27" t="str">
        <f aca="false">IF(OR(E663="",E663="!!!",F663="NEW"),"",INDEX(J$1:J662,SUMPRODUCT(MAX(ROW(E$1:E662)*(E663=E$1:E662)))))</f>
        <v/>
      </c>
      <c r="L663" s="28"/>
    </row>
    <row r="664" customFormat="false" ht="15" hidden="false" customHeight="false" outlineLevel="0" collapsed="false">
      <c r="A664" s="21" t="s">
        <v>169</v>
      </c>
      <c r="E664" s="25"/>
      <c r="F664" s="26" t="str">
        <f aca="false">IF(OR(E664="",E664="!!!"),"",IF(NOT(ISNA(VLOOKUP(E664,E$1:E663,1,FALSE()))),"OLD",IF(AND(E664&lt;&gt;"",E664&lt;&gt;"!!!"),"NEW","")))</f>
        <v/>
      </c>
      <c r="G664" s="22" t="str">
        <f aca="false">IF(OR(E664="",E664="!!!"),"",IF(OR(J664=0,AND(J664=1,K664=1),AND(J664=1,I664="SBJ"),AND(J664=1,I664=0)),"?IN_FOCUS",IF(J664&lt;=2,"?ACTIVATED",IF(J664&lt;&gt;"","?FAMILIAR",IF(F664="NEW",IF(ISNA(VLOOKUP(E664,#REF!,1,FALSE())),"?TYPE_IDENTIFIABLE","?REFERENTIAL"),"_")))))</f>
        <v/>
      </c>
      <c r="H664" s="23" t="str">
        <f aca="false">IF(J664&lt;&gt;1,"",IF(I664="SBJ","CB","?"))</f>
        <v/>
      </c>
      <c r="I664" s="27" t="str">
        <f aca="false">IF(OR(E664="",E664="!!!",F664="NEW"),"",INDEX(B20:B$645,-1+SUMPRODUCT(MAX(ROW(E20:E$645)*(E664=E20:E$645)))))</f>
        <v/>
      </c>
      <c r="J664" s="27" t="str">
        <f aca="true">IF(OR(E664="",E664="!!!",F664="NEW"),"",COUNTBLANK(OFFSET(A$1,,,SUMPRODUCT(MAX(ROW(E$2:E664)*(E664=E$2:E664)))))-COUNTBLANK(OFFSET(A$1,,,SUMPRODUCT(MAX(ROW(E$1:E663)*(E2=E$1:E663))))))</f>
        <v/>
      </c>
      <c r="K664" s="27" t="str">
        <f aca="false">IF(OR(E664="",E664="!!!",F664="NEW"),"",INDEX(J$1:J663,SUMPRODUCT(MAX(ROW(E$1:E663)*(E664=E$1:E663)))))</f>
        <v/>
      </c>
      <c r="L664" s="28"/>
    </row>
    <row r="665" customFormat="false" ht="15" hidden="false" customHeight="false" outlineLevel="0" collapsed="false">
      <c r="A665" s="21" t="s">
        <v>571</v>
      </c>
      <c r="B665" s="29" t="s">
        <v>216</v>
      </c>
      <c r="C665" s="29" t="s">
        <v>171</v>
      </c>
      <c r="D665" s="29" t="s">
        <v>159</v>
      </c>
      <c r="E665" s="25" t="s">
        <v>572</v>
      </c>
      <c r="F665" s="30" t="str">
        <f aca="false">IF(OR(E665="",E665="!!!"),"",IF(NOT(ISNA(VLOOKUP(E665,E$1:E664,1,FALSE()))),"OLD",IF(AND(E665&lt;&gt;"",E665&lt;&gt;"!!!"),"NEW","")))</f>
        <v>NEW</v>
      </c>
      <c r="G665" s="22" t="s">
        <v>160</v>
      </c>
      <c r="H665" s="23" t="str">
        <f aca="false">IF(J665&lt;&gt;1,"",IF(I665="SBJ","CB","?"))</f>
        <v/>
      </c>
      <c r="I665" s="31" t="str">
        <f aca="false">IF(OR(E665="",E665="!!!",F665="NEW"),"",INDEX(B21:B$645,-1+SUMPRODUCT(MAX(ROW(E21:E$645)*(E665=E21:E$645)))))</f>
        <v/>
      </c>
      <c r="J665" s="31" t="str">
        <f aca="true">IF(OR(E665="",E665="!!!",F665="NEW"),"",COUNTBLANK(OFFSET(A$1,,,SUMPRODUCT(MAX(ROW(E$2:E665)*(E665=E$2:E665)))))-COUNTBLANK(OFFSET(A$1,,,SUMPRODUCT(MAX(ROW(E$1:E664)*(E2=E$1:E664))))))</f>
        <v/>
      </c>
      <c r="K665" s="31" t="str">
        <f aca="false">IF(OR(E665="",E665="!!!",F665="NEW"),"",INDEX(J$1:J664,SUMPRODUCT(MAX(ROW(E$1:E664)*(E665=E$1:E664)))))</f>
        <v/>
      </c>
      <c r="L665" s="28"/>
    </row>
    <row r="666" customFormat="false" ht="15" hidden="false" customHeight="false" outlineLevel="0" collapsed="false">
      <c r="A666" s="21" t="s">
        <v>178</v>
      </c>
      <c r="E666" s="25"/>
      <c r="F666" s="26" t="str">
        <f aca="false">IF(OR(E666="",E666="!!!"),"",IF(NOT(ISNA(VLOOKUP(E666,E$1:E665,1,FALSE()))),"OLD",IF(AND(E666&lt;&gt;"",E666&lt;&gt;"!!!"),"NEW","")))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7" t="str">
        <f aca="false">IF(OR(E666="",E666="!!!",F666="NEW"),"",INDEX(B22:B$645,-1+SUMPRODUCT(MAX(ROW(E22:E$645)*(E666=E22:E$645)))))</f>
        <v/>
      </c>
      <c r="J666" s="27" t="str">
        <f aca="true">IF(OR(E666="",E666="!!!",F666="NEW"),"",COUNTBLANK(OFFSET(A$1,,,SUMPRODUCT(MAX(ROW(E$2:E666)*(E666=E$2:E666)))))-COUNTBLANK(OFFSET(A$1,,,SUMPRODUCT(MAX(ROW(E$1:E665)*(E2=E$1:E665))))))</f>
        <v/>
      </c>
      <c r="K666" s="27" t="str">
        <f aca="false">IF(OR(E666="",E666="!!!",F666="NEW"),"",INDEX(J$1:J665,SUMPRODUCT(MAX(ROW(E$1:E665)*(E666=E$1:E665)))))</f>
        <v/>
      </c>
      <c r="L666" s="28"/>
    </row>
    <row r="667" customFormat="false" ht="15" hidden="false" customHeight="false" outlineLevel="0" collapsed="false">
      <c r="A667" s="21" t="s">
        <v>230</v>
      </c>
      <c r="E667" s="25"/>
      <c r="F667" s="26" t="str">
        <f aca="false">IF(OR(E667="",E667="!!!"),"",IF(NOT(ISNA(VLOOKUP(E667,E$1:E666,1,FALSE()))),"OLD",IF(AND(E667&lt;&gt;"",E667&lt;&gt;"!!!"),"NEW","")))</f>
        <v/>
      </c>
      <c r="G667" s="22" t="str">
        <f aca="false">IF(OR(E667="",E667="!!!"),"",IF(OR(J667=0,AND(J667=1,K667=1),AND(J667=1,I667="SBJ"),AND(J667=1,I667=0)),"?IN_FOCUS",IF(J667&lt;=2,"?ACTIVATED",IF(J667&lt;&gt;"","?FAMILIAR",IF(F667="NEW",IF(ISNA(VLOOKUP(E667,#REF!,1,FALSE())),"?TYPE_IDENTIFIABLE","?REFERENTIAL"),"_")))))</f>
        <v/>
      </c>
      <c r="H667" s="23" t="str">
        <f aca="false">IF(J667&lt;&gt;1,"",IF(I667="SBJ","CB","?"))</f>
        <v/>
      </c>
      <c r="I667" s="27" t="str">
        <f aca="false">IF(OR(E667="",E667="!!!",F667="NEW"),"",INDEX(B23:B$645,-1+SUMPRODUCT(MAX(ROW(E23:E$645)*(E667=E23:E$645)))))</f>
        <v/>
      </c>
      <c r="J667" s="27" t="str">
        <f aca="true">IF(OR(E667="",E667="!!!",F667="NEW"),"",COUNTBLANK(OFFSET(A$1,,,SUMPRODUCT(MAX(ROW(E$2:E667)*(E667=E$2:E667)))))-COUNTBLANK(OFFSET(A$1,,,SUMPRODUCT(MAX(ROW(E$1:E666)*(E2=E$1:E666))))))</f>
        <v/>
      </c>
      <c r="K667" s="27" t="str">
        <f aca="false">IF(OR(E667="",E667="!!!",F667="NEW"),"",INDEX(J$1:J666,SUMPRODUCT(MAX(ROW(E$1:E666)*(E667=E$1:E666)))))</f>
        <v/>
      </c>
      <c r="L667" s="28"/>
    </row>
    <row r="668" customFormat="false" ht="15" hidden="false" customHeight="false" outlineLevel="0" collapsed="false">
      <c r="A668" s="21" t="s">
        <v>573</v>
      </c>
      <c r="E668" s="25"/>
      <c r="F668" s="26" t="str">
        <f aca="false">IF(OR(E668="",E668="!!!"),"",IF(NOT(ISNA(VLOOKUP(E668,E$1:E667,1,FALSE()))),"OLD",IF(AND(E668&lt;&gt;"",E668&lt;&gt;"!!!"),"NEW","")))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7" t="str">
        <f aca="false">IF(OR(E668="",E668="!!!",F668="NEW"),"",INDEX(B24:B$645,-1+SUMPRODUCT(MAX(ROW(E24:E$645)*(E668=E24:E$645)))))</f>
        <v/>
      </c>
      <c r="J668" s="27" t="str">
        <f aca="true">IF(OR(E668="",E668="!!!",F668="NEW"),"",COUNTBLANK(OFFSET(A$1,,,SUMPRODUCT(MAX(ROW(E$2:E668)*(E668=E$2:E668)))))-COUNTBLANK(OFFSET(A$1,,,SUMPRODUCT(MAX(ROW(E$1:E667)*(E2=E$1:E667))))))</f>
        <v/>
      </c>
      <c r="K668" s="27" t="str">
        <f aca="false">IF(OR(E668="",E668="!!!",F668="NEW"),"",INDEX(J$1:J667,SUMPRODUCT(MAX(ROW(E$1:E667)*(E668=E$1:E667)))))</f>
        <v/>
      </c>
      <c r="L668" s="28"/>
    </row>
    <row r="669" customFormat="false" ht="15" hidden="false" customHeight="false" outlineLevel="0" collapsed="false">
      <c r="A669" s="21" t="s">
        <v>574</v>
      </c>
      <c r="B669" s="29" t="s">
        <v>559</v>
      </c>
      <c r="E669" s="25"/>
      <c r="F669" s="26" t="str">
        <f aca="false">IF(OR(E669="",E669="!!!"),"",IF(NOT(ISNA(VLOOKUP(E669,E$1:E668,1,FALSE()))),"OLD",IF(AND(E669&lt;&gt;"",E669&lt;&gt;"!!!"),"NEW","")))</f>
        <v/>
      </c>
      <c r="G669" s="22" t="str">
        <f aca="false">IF(OR(E669="",E669="!!!"),"",IF(OR(J669=0,AND(J669=1,K669=1),AND(J669=1,I669="SBJ"),AND(J669=1,I669=0)),"?IN_FOCUS",IF(J669&lt;=2,"?ACTIVATED",IF(J669&lt;&gt;"","?FAMILIAR",IF(F669="NEW",IF(ISNA(VLOOKUP(E669,#REF!,1,FALSE())),"?TYPE_IDENTIFIABLE","?REFERENTIAL"),"_")))))</f>
        <v/>
      </c>
      <c r="H669" s="23" t="str">
        <f aca="false">IF(J669&lt;&gt;1,"",IF(I669="SBJ","CB","?"))</f>
        <v/>
      </c>
      <c r="I669" s="27" t="str">
        <f aca="false">IF(OR(E669="",E669="!!!",F669="NEW"),"",INDEX(B25:B$645,-1+SUMPRODUCT(MAX(ROW(E25:E$645)*(E669=E25:E$645)))))</f>
        <v/>
      </c>
      <c r="J669" s="27" t="str">
        <f aca="true">IF(OR(E669="",E669="!!!",F669="NEW"),"",COUNTBLANK(OFFSET(A$1,,,SUMPRODUCT(MAX(ROW(E$2:E669)*(E669=E$2:E669)))))-COUNTBLANK(OFFSET(A$1,,,SUMPRODUCT(MAX(ROW(E$1:E668)*(E2=E$1:E668))))))</f>
        <v/>
      </c>
      <c r="K669" s="27" t="str">
        <f aca="false">IF(OR(E669="",E669="!!!",F669="NEW"),"",INDEX(J$1:J668,SUMPRODUCT(MAX(ROW(E$1:E668)*(E669=E$1:E668)))))</f>
        <v/>
      </c>
      <c r="L669" s="28"/>
    </row>
    <row r="670" customFormat="false" ht="15" hidden="false" customHeight="false" outlineLevel="0" collapsed="false">
      <c r="A670" s="21" t="s">
        <v>212</v>
      </c>
      <c r="E670" s="25"/>
      <c r="F670" s="26" t="str">
        <f aca="false">IF(OR(E670="",E670="!!!"),"",IF(NOT(ISNA(VLOOKUP(E670,E$1:E669,1,FALSE()))),"OLD",IF(AND(E670&lt;&gt;"",E670&lt;&gt;"!!!"),"NEW","")))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7" t="str">
        <f aca="false">IF(OR(E670="",E670="!!!",F670="NEW"),"",INDEX(B26:B$645,-1+SUMPRODUCT(MAX(ROW(E26:E$645)*(E670=E26:E$645)))))</f>
        <v/>
      </c>
      <c r="J670" s="27" t="str">
        <f aca="true">IF(OR(E670="",E670="!!!",F670="NEW"),"",COUNTBLANK(OFFSET(A$1,,,SUMPRODUCT(MAX(ROW(E$2:E670)*(E670=E$2:E670)))))-COUNTBLANK(OFFSET(A$1,,,SUMPRODUCT(MAX(ROW(E$1:E669)*(E2=E$1:E669))))))</f>
        <v/>
      </c>
      <c r="K670" s="27" t="str">
        <f aca="false">IF(OR(E670="",E670="!!!",F670="NEW"),"",INDEX(J$1:J669,SUMPRODUCT(MAX(ROW(E$1:E669)*(E670=E$1:E669)))))</f>
        <v/>
      </c>
      <c r="L670" s="28"/>
    </row>
    <row r="671" customFormat="false" ht="15" hidden="false" customHeight="false" outlineLevel="0" collapsed="false">
      <c r="A671" s="21" t="s">
        <v>175</v>
      </c>
      <c r="E671" s="25"/>
      <c r="F671" s="26" t="str">
        <f aca="false">IF(OR(E671="",E671="!!!"),"",IF(NOT(ISNA(VLOOKUP(E671,E$1:E670,1,FALSE()))),"OLD",IF(AND(E671&lt;&gt;"",E671&lt;&gt;"!!!"),"NEW","")))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7" t="str">
        <f aca="false">IF(OR(E671="",E671="!!!",F671="NEW"),"",INDEX(B27:B$645,-1+SUMPRODUCT(MAX(ROW(E27:E$645)*(E671=E27:E$645)))))</f>
        <v/>
      </c>
      <c r="J671" s="27" t="str">
        <f aca="true">IF(OR(E671="",E671="!!!",F671="NEW"),"",COUNTBLANK(OFFSET(A$1,,,SUMPRODUCT(MAX(ROW(E$2:E671)*(E671=E$2:E671)))))-COUNTBLANK(OFFSET(A$1,,,SUMPRODUCT(MAX(ROW(E$1:E670)*(E2=E$1:E670))))))</f>
        <v/>
      </c>
      <c r="K671" s="27" t="str">
        <f aca="false">IF(OR(E671="",E671="!!!",F671="NEW"),"",INDEX(J$1:J670,SUMPRODUCT(MAX(ROW(E$1:E670)*(E671=E$1:E670)))))</f>
        <v/>
      </c>
      <c r="L671" s="28"/>
    </row>
    <row r="672" customFormat="false" ht="15" hidden="false" customHeight="false" outlineLevel="0" collapsed="false">
      <c r="A672" s="21" t="s">
        <v>575</v>
      </c>
      <c r="B672" s="29" t="s">
        <v>232</v>
      </c>
      <c r="C672" s="29" t="s">
        <v>164</v>
      </c>
      <c r="E672" s="25"/>
      <c r="F672" s="26" t="str">
        <f aca="false">IF(OR(E672="",E672="!!!"),"",IF(NOT(ISNA(VLOOKUP(E672,E$1:E671,1,FALSE()))),"OLD",IF(AND(E672&lt;&gt;"",E672&lt;&gt;"!!!"),"NEW","")))</f>
        <v/>
      </c>
      <c r="G672" s="22" t="str">
        <f aca="false">IF(OR(E672="",E672="!!!"),"",IF(OR(J672=0,AND(J672=1,K672=1),AND(J672=1,I672="SBJ"),AND(J672=1,I672=0)),"?IN_FOCUS",IF(J672&lt;=2,"?ACTIVATED",IF(J672&lt;&gt;"","?FAMILIAR",IF(F672="NEW",IF(ISNA(VLOOKUP(E672,#REF!,1,FALSE())),"?TYPE_IDENTIFIABLE","?REFERENTIAL"),"_")))))</f>
        <v/>
      </c>
      <c r="H672" s="23" t="str">
        <f aca="false">IF(J672&lt;&gt;1,"",IF(I672="SBJ","CB","?"))</f>
        <v/>
      </c>
      <c r="I672" s="27" t="str">
        <f aca="false">IF(OR(E672="",E672="!!!",F672="NEW"),"",INDEX(B28:B$645,-1+SUMPRODUCT(MAX(ROW(E28:E$645)*(E672=E28:E$645)))))</f>
        <v/>
      </c>
      <c r="J672" s="27" t="str">
        <f aca="true">IF(OR(E672="",E672="!!!",F672="NEW"),"",COUNTBLANK(OFFSET(A$1,,,SUMPRODUCT(MAX(ROW(E$2:E672)*(E672=E$2:E672)))))-COUNTBLANK(OFFSET(A$1,,,SUMPRODUCT(MAX(ROW(E$1:E671)*(E2=E$1:E671))))))</f>
        <v/>
      </c>
      <c r="K672" s="27" t="str">
        <f aca="false">IF(OR(E672="",E672="!!!",F672="NEW"),"",INDEX(J$1:J671,SUMPRODUCT(MAX(ROW(E$1:E671)*(E672=E$1:E671)))))</f>
        <v/>
      </c>
      <c r="L672" s="28"/>
    </row>
    <row r="673" customFormat="false" ht="15" hidden="false" customHeight="false" outlineLevel="0" collapsed="false">
      <c r="A673" s="21" t="s">
        <v>178</v>
      </c>
      <c r="E673" s="25"/>
      <c r="F673" s="26" t="str">
        <f aca="false">IF(OR(E673="",E673="!!!"),"",IF(NOT(ISNA(VLOOKUP(E673,E$1:E672,1,FALSE()))),"OLD",IF(AND(E673&lt;&gt;"",E673&lt;&gt;"!!!"),"NEW","")))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7" t="str">
        <f aca="false">IF(OR(E673="",E673="!!!",F673="NEW"),"",INDEX(B29:B$645,-1+SUMPRODUCT(MAX(ROW(E29:E$645)*(E673=E29:E$645)))))</f>
        <v/>
      </c>
      <c r="J673" s="27" t="str">
        <f aca="true">IF(OR(E673="",E673="!!!",F673="NEW"),"",COUNTBLANK(OFFSET(A$1,,,SUMPRODUCT(MAX(ROW(E$2:E673)*(E673=E$2:E673)))))-COUNTBLANK(OFFSET(A$1,,,SUMPRODUCT(MAX(ROW(E$1:E672)*(E2=E$1:E672))))))</f>
        <v/>
      </c>
      <c r="K673" s="27" t="str">
        <f aca="false">IF(OR(E673="",E673="!!!",F673="NEW"),"",INDEX(J$1:J672,SUMPRODUCT(MAX(ROW(E$1:E672)*(E673=E$1:E672)))))</f>
        <v/>
      </c>
      <c r="L673" s="28"/>
    </row>
    <row r="674" customFormat="false" ht="15" hidden="false" customHeight="false" outlineLevel="0" collapsed="false">
      <c r="A674" s="21" t="s">
        <v>230</v>
      </c>
      <c r="E674" s="25"/>
      <c r="F674" s="26" t="str">
        <f aca="false">IF(OR(E674="",E674="!!!"),"",IF(NOT(ISNA(VLOOKUP(E674,E$1:E673,1,FALSE()))),"OLD",IF(AND(E674&lt;&gt;"",E674&lt;&gt;"!!!"),"NEW","")))</f>
        <v/>
      </c>
      <c r="G674" s="22" t="str">
        <f aca="false">IF(OR(E674="",E674="!!!"),"",IF(OR(J674=0,AND(J674=1,K674=1),AND(J674=1,I674="SBJ"),AND(J674=1,I674=0)),"?IN_FOCUS",IF(J674&lt;=2,"?ACTIVATED",IF(J674&lt;&gt;"","?FAMILIAR",IF(F674="NEW",IF(ISNA(VLOOKUP(E674,#REF!,1,FALSE())),"?TYPE_IDENTIFIABLE","?REFERENTIAL"),"_")))))</f>
        <v/>
      </c>
      <c r="H674" s="23" t="str">
        <f aca="false">IF(J674&lt;&gt;1,"",IF(I674="SBJ","CB","?"))</f>
        <v/>
      </c>
      <c r="I674" s="27" t="str">
        <f aca="false">IF(OR(E674="",E674="!!!",F674="NEW"),"",INDEX(B30:B$645,-1+SUMPRODUCT(MAX(ROW(E30:E$645)*(E674=E30:E$645)))))</f>
        <v/>
      </c>
      <c r="J674" s="27" t="str">
        <f aca="true">IF(OR(E674="",E674="!!!",F674="NEW"),"",COUNTBLANK(OFFSET(A$1,,,SUMPRODUCT(MAX(ROW(E$2:E674)*(E674=E$2:E674)))))-COUNTBLANK(OFFSET(A$1,,,SUMPRODUCT(MAX(ROW(E$1:E673)*(E2=E$1:E673))))))</f>
        <v/>
      </c>
      <c r="K674" s="27" t="str">
        <f aca="false">IF(OR(E674="",E674="!!!",F674="NEW"),"",INDEX(J$1:J673,SUMPRODUCT(MAX(ROW(E$1:E673)*(E674=E$1:E673)))))</f>
        <v/>
      </c>
      <c r="L674" s="28"/>
    </row>
    <row r="675" customFormat="false" ht="15" hidden="false" customHeight="false" outlineLevel="0" collapsed="false">
      <c r="A675" s="21" t="s">
        <v>71</v>
      </c>
      <c r="E675" s="25"/>
      <c r="F675" s="26" t="str">
        <f aca="false">IF(OR(E675="",E675="!!!"),"",IF(NOT(ISNA(VLOOKUP(E675,E$1:E674,1,FALSE()))),"OLD",IF(AND(E675&lt;&gt;"",E675&lt;&gt;"!!!"),"NEW","")))</f>
        <v/>
      </c>
      <c r="G675" s="22" t="str">
        <f aca="false">IF(OR(E675="",E675="!!!"),"",IF(OR(J675=0,AND(J675=1,K675=1),AND(J675=1,I675="SBJ"),AND(J675=1,I675=0)),"?IN_FOCUS",IF(J675&lt;=2,"?ACTIVATED",IF(J675&lt;&gt;"","?FAMILIAR",IF(F675="NEW",IF(ISNA(VLOOKUP(E675,#REF!,1,FALSE())),"?TYPE_IDENTIFIABLE","?REFERENTIAL"),"_")))))</f>
        <v/>
      </c>
      <c r="H675" s="23" t="str">
        <f aca="false">IF(J675&lt;&gt;1,"",IF(I675="SBJ","CB","?"))</f>
        <v/>
      </c>
      <c r="I675" s="27" t="str">
        <f aca="false">IF(OR(E675="",E675="!!!",F675="NEW"),"",INDEX(B31:B$645,-1+SUMPRODUCT(MAX(ROW(E31:E$645)*(E675=E31:E$645)))))</f>
        <v/>
      </c>
      <c r="J675" s="27" t="str">
        <f aca="true">IF(OR(E675="",E675="!!!",F675="NEW"),"",COUNTBLANK(OFFSET(A$1,,,SUMPRODUCT(MAX(ROW(E$2:E675)*(E675=E$2:E675)))))-COUNTBLANK(OFFSET(A$1,,,SUMPRODUCT(MAX(ROW(E$1:E674)*(E2=E$1:E674))))))</f>
        <v/>
      </c>
      <c r="K675" s="27" t="str">
        <f aca="false">IF(OR(E675="",E675="!!!",F675="NEW"),"",INDEX(J$1:J674,SUMPRODUCT(MAX(ROW(E$1:E674)*(E675=E$1:E674)))))</f>
        <v/>
      </c>
      <c r="L675" s="28"/>
    </row>
    <row r="676" customFormat="false" ht="15" hidden="false" customHeight="false" outlineLevel="0" collapsed="false">
      <c r="A676" s="21" t="s">
        <v>212</v>
      </c>
      <c r="E676" s="25"/>
      <c r="F676" s="26" t="str">
        <f aca="false">IF(OR(E676="",E676="!!!"),"",IF(NOT(ISNA(VLOOKUP(E676,E$1:E675,1,FALSE()))),"OLD",IF(AND(E676&lt;&gt;"",E676&lt;&gt;"!!!"),"NEW","")))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7" t="str">
        <f aca="false">IF(OR(E676="",E676="!!!",F676="NEW"),"",INDEX(B32:B$645,-1+SUMPRODUCT(MAX(ROW(E32:E$645)*(E676=E32:E$645)))))</f>
        <v/>
      </c>
      <c r="J676" s="27" t="str">
        <f aca="true">IF(OR(E676="",E676="!!!",F676="NEW"),"",COUNTBLANK(OFFSET(A$1,,,SUMPRODUCT(MAX(ROW(E$2:E676)*(E676=E$2:E676)))))-COUNTBLANK(OFFSET(A$1,,,SUMPRODUCT(MAX(ROW(E$1:E675)*(E2=E$1:E675))))))</f>
        <v/>
      </c>
      <c r="K676" s="27" t="str">
        <f aca="false">IF(OR(E676="",E676="!!!",F676="NEW"),"",INDEX(J$1:J675,SUMPRODUCT(MAX(ROW(E$1:E675)*(E676=E$1:E675)))))</f>
        <v/>
      </c>
      <c r="L676" s="28"/>
    </row>
    <row r="677" customFormat="false" ht="15" hidden="false" customHeight="false" outlineLevel="0" collapsed="false">
      <c r="A677" s="21" t="s">
        <v>576</v>
      </c>
      <c r="B677" s="29" t="s">
        <v>234</v>
      </c>
      <c r="C677" s="29" t="s">
        <v>240</v>
      </c>
      <c r="D677" s="29" t="s">
        <v>159</v>
      </c>
      <c r="E677" s="25" t="s">
        <v>577</v>
      </c>
      <c r="F677" s="30" t="str">
        <f aca="false">IF(OR(E677="",E677="!!!"),"",IF(NOT(ISNA(VLOOKUP(E677,E$1:E676,1,FALSE()))),"OLD",IF(AND(E677&lt;&gt;"",E677&lt;&gt;"!!!"),"NEW","")))</f>
        <v>NEW</v>
      </c>
      <c r="G677" s="22" t="s">
        <v>160</v>
      </c>
      <c r="H677" s="23" t="str">
        <f aca="false">IF(J677&lt;&gt;1,"",IF(I677="SBJ","CB","?"))</f>
        <v/>
      </c>
      <c r="I677" s="31" t="str">
        <f aca="false">IF(OR(E677="",E677="!!!",F677="NEW"),"",INDEX(B33:B$645,-1+SUMPRODUCT(MAX(ROW(E33:E$645)*(E677=E33:E$645)))))</f>
        <v/>
      </c>
      <c r="J677" s="27" t="str">
        <f aca="true">IF(OR(E677="",E677="!!!",F677="NEW"),"",COUNTBLANK(OFFSET(A$1,,,SUMPRODUCT(MAX(ROW(E$2:E677)*(E677=E$2:E677)))))-COUNTBLANK(OFFSET(A$1,,,SUMPRODUCT(MAX(ROW(E$1:E676)*(E2=E$1:E676))))))</f>
        <v/>
      </c>
      <c r="K677" s="31" t="str">
        <f aca="false">IF(OR(E677="",E677="!!!",F677="NEW"),"",INDEX(J$1:J676,SUMPRODUCT(MAX(ROW(E$1:E676)*(E677=E$1:E676)))))</f>
        <v/>
      </c>
      <c r="L677" s="28"/>
    </row>
    <row r="678" customFormat="false" ht="15" hidden="false" customHeight="false" outlineLevel="0" collapsed="false">
      <c r="A678" s="21" t="s">
        <v>287</v>
      </c>
      <c r="E678" s="25"/>
      <c r="F678" s="26" t="str">
        <f aca="false">IF(OR(E678="",E678="!!!"),"",IF(NOT(ISNA(VLOOKUP(E678,E$1:E677,1,FALSE()))),"OLD",IF(AND(E678&lt;&gt;"",E678&lt;&gt;"!!!"),"NEW","")))</f>
        <v/>
      </c>
      <c r="G678" s="22" t="str">
        <f aca="false">IF(OR(E678="",E678="!!!"),"",IF(OR(J678=0,AND(J678=1,K678=1),AND(J678=1,I678="SBJ"),AND(J678=1,I678=0)),"?IN_FOCUS",IF(J678&lt;=2,"?ACTIVATED",IF(J678&lt;&gt;"","?FAMILIAR",IF(F678="NEW",IF(ISNA(VLOOKUP(E678,#REF!,1,FALSE())),"?TYPE_IDENTIFIABLE","?REFERENTIAL"),"_")))))</f>
        <v/>
      </c>
      <c r="H678" s="23" t="str">
        <f aca="false">IF(J678&lt;&gt;1,"",IF(I678="SBJ","CB","?"))</f>
        <v/>
      </c>
      <c r="I678" s="27" t="str">
        <f aca="false">IF(OR(E678="",E678="!!!",F678="NEW"),"",INDEX(B34:B$645,-1+SUMPRODUCT(MAX(ROW(E34:E$645)*(E678=E34:E$645)))))</f>
        <v/>
      </c>
      <c r="J678" s="27" t="str">
        <f aca="true">IF(OR(E678="",E678="!!!",F678="NEW"),"",COUNTBLANK(OFFSET(A$1,,,SUMPRODUCT(MAX(ROW(E$2:E678)*(E678=E$2:E678)))))-COUNTBLANK(OFFSET(A$1,,,SUMPRODUCT(MAX(ROW(E$1:E677)*(E2=E$1:E677))))))</f>
        <v/>
      </c>
      <c r="K678" s="27" t="str">
        <f aca="false">IF(OR(E678="",E678="!!!",F678="NEW"),"",INDEX(J$1:J677,SUMPRODUCT(MAX(ROW(E$1:E677)*(E678=E$1:E677)))))</f>
        <v/>
      </c>
      <c r="L678" s="28"/>
    </row>
    <row r="679" customFormat="false" ht="15" hidden="false" customHeight="false" outlineLevel="0" collapsed="false">
      <c r="A679" s="21" t="s">
        <v>578</v>
      </c>
      <c r="B679" s="29" t="s">
        <v>232</v>
      </c>
      <c r="C679" s="29" t="s">
        <v>243</v>
      </c>
      <c r="D679" s="29" t="s">
        <v>159</v>
      </c>
      <c r="E679" s="25" t="s">
        <v>579</v>
      </c>
      <c r="F679" s="30" t="str">
        <f aca="false">IF(OR(E679="",E679="!!!"),"",IF(NOT(ISNA(VLOOKUP(E679,E$1:E678,1,FALSE()))),"OLD",IF(AND(E679&lt;&gt;"",E679&lt;&gt;"!!!"),"NEW","")))</f>
        <v>NEW</v>
      </c>
      <c r="G679" s="22" t="s">
        <v>160</v>
      </c>
      <c r="H679" s="23" t="str">
        <f aca="false">IF(J679&lt;&gt;1,"",IF(I679="SBJ","CB","?"))</f>
        <v/>
      </c>
      <c r="I679" s="31" t="str">
        <f aca="false">IF(OR(E679="",E679="!!!",F679="NEW"),"",INDEX(B35:B$645,-1+SUMPRODUCT(MAX(ROW(E35:E$645)*(E679=E35:E$645)))))</f>
        <v/>
      </c>
      <c r="J679" s="31" t="str">
        <f aca="true">IF(OR(E679="",E679="!!!",F679="NEW"),"",COUNTBLANK(OFFSET(A$1,,,SUMPRODUCT(MAX(ROW(E$2:E679)*(E679=E$2:E679)))))-COUNTBLANK(OFFSET(A$1,,,SUMPRODUCT(MAX(ROW(E$1:E678)*(E2=E$1:E678))))))</f>
        <v/>
      </c>
      <c r="K679" s="31" t="str">
        <f aca="false">IF(OR(E679="",E679="!!!",F679="NEW"),"",INDEX(J$1:J678,SUMPRODUCT(MAX(ROW(E$1:E678)*(E679=E$1:E678)))))</f>
        <v/>
      </c>
      <c r="L679" s="28"/>
    </row>
    <row r="680" customFormat="false" ht="15" hidden="false" customHeight="false" outlineLevel="0" collapsed="false">
      <c r="A680" s="21" t="s">
        <v>178</v>
      </c>
      <c r="E680" s="25"/>
      <c r="F680" s="26" t="str">
        <f aca="false">IF(OR(E680="",E680="!!!"),"",IF(NOT(ISNA(VLOOKUP(E680,E$1:E679,1,FALSE()))),"OLD",IF(AND(E680&lt;&gt;"",E680&lt;&gt;"!!!"),"NEW","")))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7" t="str">
        <f aca="false">IF(OR(E680="",E680="!!!",F680="NEW"),"",INDEX(B36:B$645,-1+SUMPRODUCT(MAX(ROW(E36:E$645)*(E680=E36:E$645)))))</f>
        <v/>
      </c>
      <c r="J680" s="27" t="str">
        <f aca="true">IF(OR(E680="",E680="!!!",F680="NEW"),"",COUNTBLANK(OFFSET(A$1,,,SUMPRODUCT(MAX(ROW(E$2:E680)*(E680=E$2:E680)))))-COUNTBLANK(OFFSET(A$1,,,SUMPRODUCT(MAX(ROW(E$1:E679)*(E2=E$1:E679))))))</f>
        <v/>
      </c>
      <c r="K680" s="27" t="str">
        <f aca="false">IF(OR(E680="",E680="!!!",F680="NEW"),"",INDEX(J$1:J679,SUMPRODUCT(MAX(ROW(E$1:E679)*(E680=E$1:E679)))))</f>
        <v/>
      </c>
      <c r="L680" s="28"/>
    </row>
    <row r="681" customFormat="false" ht="15" hidden="false" customHeight="false" outlineLevel="0" collapsed="false">
      <c r="A681" s="21" t="s">
        <v>230</v>
      </c>
      <c r="E681" s="25"/>
      <c r="F681" s="26" t="str">
        <f aca="false">IF(OR(E681="",E681="!!!"),"",IF(NOT(ISNA(VLOOKUP(E681,E$1:E680,1,FALSE()))),"OLD",IF(AND(E681&lt;&gt;"",E681&lt;&gt;"!!!"),"NEW","")))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7" t="str">
        <f aca="false">IF(OR(E681="",E681="!!!",F681="NEW"),"",INDEX(B37:B$645,-1+SUMPRODUCT(MAX(ROW(E37:E$645)*(E681=E37:E$645)))))</f>
        <v/>
      </c>
      <c r="J681" s="27" t="str">
        <f aca="true">IF(OR(E681="",E681="!!!",F681="NEW"),"",COUNTBLANK(OFFSET(A$1,,,SUMPRODUCT(MAX(ROW(E$2:E681)*(E681=E$2:E681)))))-COUNTBLANK(OFFSET(A$1,,,SUMPRODUCT(MAX(ROW(E$1:E680)*(E2=E$1:E680))))))</f>
        <v/>
      </c>
      <c r="K681" s="27" t="str">
        <f aca="false">IF(OR(E681="",E681="!!!",F681="NEW"),"",INDEX(J$1:J680,SUMPRODUCT(MAX(ROW(E$1:E680)*(E681=E$1:E680)))))</f>
        <v/>
      </c>
      <c r="L681" s="28"/>
    </row>
    <row r="682" customFormat="false" ht="15" hidden="false" customHeight="false" outlineLevel="0" collapsed="false">
      <c r="A682" s="21" t="s">
        <v>580</v>
      </c>
      <c r="E682" s="25"/>
      <c r="F682" s="26" t="str">
        <f aca="false">IF(OR(E682="",E682="!!!"),"",IF(NOT(ISNA(VLOOKUP(E682,E$1:E681,1,FALSE()))),"OLD",IF(AND(E682&lt;&gt;"",E682&lt;&gt;"!!!"),"NEW","")))</f>
        <v/>
      </c>
      <c r="G682" s="22" t="str">
        <f aca="false">IF(OR(E682="",E682="!!!"),"",IF(OR(J682=0,AND(J682=1,K682=1),AND(J682=1,I682="SBJ"),AND(J682=1,I682=0)),"?IN_FOCUS",IF(J682&lt;=2,"?ACTIVATED",IF(J682&lt;&gt;"","?FAMILIAR",IF(F682="NEW",IF(ISNA(VLOOKUP(E682,#REF!,1,FALSE())),"?TYPE_IDENTIFIABLE","?REFERENTIAL"),"_")))))</f>
        <v/>
      </c>
      <c r="H682" s="23" t="str">
        <f aca="false">IF(J682&lt;&gt;1,"",IF(I682="SBJ","CB","?"))</f>
        <v/>
      </c>
      <c r="I682" s="27" t="str">
        <f aca="false">IF(OR(E682="",E682="!!!",F682="NEW"),"",INDEX(B38:B$645,-1+SUMPRODUCT(MAX(ROW(E38:E$645)*(E682=E38:E$645)))))</f>
        <v/>
      </c>
      <c r="J682" s="27" t="str">
        <f aca="true">IF(OR(E682="",E682="!!!",F682="NEW"),"",COUNTBLANK(OFFSET(A$1,,,SUMPRODUCT(MAX(ROW(E$2:E682)*(E682=E$2:E682)))))-COUNTBLANK(OFFSET(A$1,,,SUMPRODUCT(MAX(ROW(E$1:E681)*(E2=E$1:E681))))))</f>
        <v/>
      </c>
      <c r="K682" s="27" t="str">
        <f aca="false">IF(OR(E682="",E682="!!!",F682="NEW"),"",INDEX(J$1:J681,SUMPRODUCT(MAX(ROW(E$1:E681)*(E682=E$1:E681)))))</f>
        <v/>
      </c>
      <c r="L682" s="28"/>
    </row>
    <row r="683" customFormat="false" ht="15" hidden="false" customHeight="false" outlineLevel="0" collapsed="false">
      <c r="A683" s="21" t="s">
        <v>209</v>
      </c>
      <c r="B683" s="29" t="s">
        <v>559</v>
      </c>
      <c r="C683" s="29" t="s">
        <v>167</v>
      </c>
      <c r="E683" s="25"/>
      <c r="F683" s="26" t="str">
        <f aca="false">IF(OR(E683="",E683="!!!"),"",IF(NOT(ISNA(VLOOKUP(E683,E$1:E682,1,FALSE()))),"OLD",IF(AND(E683&lt;&gt;"",E683&lt;&gt;"!!!"),"NEW","")))</f>
        <v/>
      </c>
      <c r="G683" s="22" t="str">
        <f aca="false">IF(OR(E683="",E683="!!!"),"",IF(OR(J683=0,AND(J683=1,K683=1),AND(J683=1,I683="SBJ"),AND(J683=1,I683=0)),"?IN_FOCUS",IF(J683&lt;=2,"?ACTIVATED",IF(J683&lt;&gt;"","?FAMILIAR",IF(F683="NEW",IF(ISNA(VLOOKUP(E683,#REF!,1,FALSE())),"?TYPE_IDENTIFIABLE","?REFERENTIAL"),"_")))))</f>
        <v/>
      </c>
      <c r="H683" s="23" t="str">
        <f aca="false">IF(J683&lt;&gt;1,"",IF(I683="SBJ","CB","?"))</f>
        <v/>
      </c>
      <c r="I683" s="27" t="str">
        <f aca="false">IF(OR(E683="",E683="!!!",F683="NEW"),"",INDEX(B39:B$645,-1+SUMPRODUCT(MAX(ROW(E39:E$645)*(E683=E39:E$645)))))</f>
        <v/>
      </c>
      <c r="J683" s="27" t="str">
        <f aca="true">IF(OR(E683="",E683="!!!",F683="NEW"),"",COUNTBLANK(OFFSET(A$1,,,SUMPRODUCT(MAX(ROW(E$2:E683)*(E683=E$2:E683)))))-COUNTBLANK(OFFSET(A$1,,,SUMPRODUCT(MAX(ROW(E$1:E682)*(E2=E$1:E682))))))</f>
        <v/>
      </c>
      <c r="K683" s="27" t="str">
        <f aca="false">IF(OR(E683="",E683="!!!",F683="NEW"),"",INDEX(J$1:J682,SUMPRODUCT(MAX(ROW(E$1:E682)*(E683=E$1:E682)))))</f>
        <v/>
      </c>
      <c r="L683" s="28"/>
    </row>
    <row r="684" customFormat="false" ht="15" hidden="false" customHeight="false" outlineLevel="0" collapsed="false">
      <c r="A684" s="21" t="s">
        <v>230</v>
      </c>
      <c r="E684" s="25"/>
      <c r="F684" s="26" t="str">
        <f aca="false">IF(OR(E684="",E684="!!!"),"",IF(NOT(ISNA(VLOOKUP(E684,E$1:E683,1,FALSE()))),"OLD",IF(AND(E684&lt;&gt;"",E684&lt;&gt;"!!!"),"NEW","")))</f>
        <v/>
      </c>
      <c r="G684" s="22" t="str">
        <f aca="false">IF(OR(E684="",E684="!!!"),"",IF(OR(J684=0,AND(J684=1,K684=1),AND(J684=1,I684="SBJ"),AND(J684=1,I684=0)),"?IN_FOCUS",IF(J684&lt;=2,"?ACTIVATED",IF(J684&lt;&gt;"","?FAMILIAR",IF(F684="NEW",IF(ISNA(VLOOKUP(E684,#REF!,1,FALSE())),"?TYPE_IDENTIFIABLE","?REFERENTIAL"),"_")))))</f>
        <v/>
      </c>
      <c r="H684" s="23" t="str">
        <f aca="false">IF(J684&lt;&gt;1,"",IF(I684="SBJ","CB","?"))</f>
        <v/>
      </c>
      <c r="I684" s="27" t="str">
        <f aca="false">IF(OR(E684="",E684="!!!",F684="NEW"),"",INDEX(B40:B$645,-1+SUMPRODUCT(MAX(ROW(E40:E$645)*(E684=E40:E$645)))))</f>
        <v/>
      </c>
      <c r="J684" s="27" t="str">
        <f aca="true">IF(OR(E684="",E684="!!!",F684="NEW"),"",COUNTBLANK(OFFSET(A$1,,,SUMPRODUCT(MAX(ROW(E$2:E684)*(E684=E$2:E684)))))-COUNTBLANK(OFFSET(A$1,,,SUMPRODUCT(MAX(ROW(E$1:E683)*(E2=E$1:E683))))))</f>
        <v/>
      </c>
      <c r="K684" s="27" t="str">
        <f aca="false">IF(OR(E684="",E684="!!!",F684="NEW"),"",INDEX(J$1:J683,SUMPRODUCT(MAX(ROW(E$1:E683)*(E684=E$1:E683)))))</f>
        <v/>
      </c>
      <c r="L684" s="28"/>
    </row>
    <row r="685" customFormat="false" ht="15" hidden="false" customHeight="false" outlineLevel="0" collapsed="false">
      <c r="A685" s="21" t="s">
        <v>175</v>
      </c>
      <c r="E685" s="25"/>
      <c r="F685" s="26" t="str">
        <f aca="false">IF(OR(E685="",E685="!!!"),"",IF(NOT(ISNA(VLOOKUP(E685,E$1:E684,1,FALSE()))),"OLD",IF(AND(E685&lt;&gt;"",E685&lt;&gt;"!!!"),"NEW","")))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7" t="str">
        <f aca="false">IF(OR(E685="",E685="!!!",F685="NEW"),"",INDEX(B41:B$645,-1+SUMPRODUCT(MAX(ROW(E41:E$645)*(E685=E41:E$645)))))</f>
        <v/>
      </c>
      <c r="J685" s="27" t="str">
        <f aca="true">IF(OR(E685="",E685="!!!",F685="NEW"),"",COUNTBLANK(OFFSET(A$1,,,SUMPRODUCT(MAX(ROW(E$2:E685)*(E685=E$2:E685)))))-COUNTBLANK(OFFSET(A$1,,,SUMPRODUCT(MAX(ROW(E$1:E684)*(E2=E$1:E684))))))</f>
        <v/>
      </c>
      <c r="K685" s="27" t="str">
        <f aca="false">IF(OR(E685="",E685="!!!",F685="NEW"),"",INDEX(J$1:J684,SUMPRODUCT(MAX(ROW(E$1:E684)*(E685=E$1:E684)))))</f>
        <v/>
      </c>
      <c r="L685" s="28"/>
    </row>
    <row r="686" customFormat="false" ht="15" hidden="false" customHeight="false" outlineLevel="0" collapsed="false">
      <c r="A686" s="21" t="s">
        <v>581</v>
      </c>
      <c r="B686" s="29" t="s">
        <v>232</v>
      </c>
      <c r="C686" s="29" t="s">
        <v>164</v>
      </c>
      <c r="E686" s="25"/>
      <c r="F686" s="26" t="str">
        <f aca="false">IF(OR(E686="",E686="!!!"),"",IF(NOT(ISNA(VLOOKUP(E686,E$1:E685,1,FALSE()))),"OLD",IF(AND(E686&lt;&gt;"",E686&lt;&gt;"!!!"),"NEW","")))</f>
        <v/>
      </c>
      <c r="G686" s="22" t="str">
        <f aca="false">IF(OR(E686="",E686="!!!"),"",IF(OR(J686=0,AND(J686=1,K686=1),AND(J686=1,I686="SBJ"),AND(J686=1,I686=0)),"?IN_FOCUS",IF(J686&lt;=2,"?ACTIVATED",IF(J686&lt;&gt;"","?FAMILIAR",IF(F686="NEW",IF(ISNA(VLOOKUP(E686,#REF!,1,FALSE())),"?TYPE_IDENTIFIABLE","?REFERENTIAL"),"_")))))</f>
        <v/>
      </c>
      <c r="H686" s="23" t="str">
        <f aca="false">IF(J686&lt;&gt;1,"",IF(I686="SBJ","CB","?"))</f>
        <v/>
      </c>
      <c r="I686" s="27" t="str">
        <f aca="false">IF(OR(E686="",E686="!!!",F686="NEW"),"",INDEX(B42:B$645,-1+SUMPRODUCT(MAX(ROW(E42:E$645)*(E686=E42:E$645)))))</f>
        <v/>
      </c>
      <c r="J686" s="27" t="str">
        <f aca="true">IF(OR(E686="",E686="!!!",F686="NEW"),"",COUNTBLANK(OFFSET(A$1,,,SUMPRODUCT(MAX(ROW(E$2:E686)*(E686=E$2:E686)))))-COUNTBLANK(OFFSET(A$1,,,SUMPRODUCT(MAX(ROW(E$1:E685)*(E2=E$1:E685))))))</f>
        <v/>
      </c>
      <c r="K686" s="27" t="str">
        <f aca="false">IF(OR(E686="",E686="!!!",F686="NEW"),"",INDEX(J$1:J685,SUMPRODUCT(MAX(ROW(E$1:E685)*(E686=E$1:E685)))))</f>
        <v/>
      </c>
      <c r="L686" s="28"/>
    </row>
    <row r="687" customFormat="false" ht="15" hidden="false" customHeight="false" outlineLevel="0" collapsed="false">
      <c r="A687" s="21" t="s">
        <v>582</v>
      </c>
      <c r="E687" s="25"/>
      <c r="F687" s="26" t="str">
        <f aca="false">IF(OR(E687="",E687="!!!"),"",IF(NOT(ISNA(VLOOKUP(E687,E$1:E686,1,FALSE()))),"OLD",IF(AND(E687&lt;&gt;"",E687&lt;&gt;"!!!"),"NEW","")))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7" t="str">
        <f aca="false">IF(OR(E687="",E687="!!!",F687="NEW"),"",INDEX(B43:B$645,-1+SUMPRODUCT(MAX(ROW(E43:E$645)*(E687=E43:E$645)))))</f>
        <v/>
      </c>
      <c r="J687" s="27" t="str">
        <f aca="true">IF(OR(E687="",E687="!!!",F687="NEW"),"",COUNTBLANK(OFFSET(A$1,,,SUMPRODUCT(MAX(ROW(E$2:E687)*(E687=E$2:E687)))))-COUNTBLANK(OFFSET(A$1,,,SUMPRODUCT(MAX(ROW(E$1:E686)*(E2=E$1:E686))))))</f>
        <v/>
      </c>
      <c r="K687" s="27" t="str">
        <f aca="false">IF(OR(E687="",E687="!!!",F687="NEW"),"",INDEX(J$1:J686,SUMPRODUCT(MAX(ROW(E$1:E686)*(E687=E$1:E686)))))</f>
        <v/>
      </c>
      <c r="L687" s="28"/>
    </row>
    <row r="688" customFormat="false" ht="15" hidden="false" customHeight="false" outlineLevel="0" collapsed="false">
      <c r="A688" s="21"/>
      <c r="G688" s="22" t="str">
        <f aca="false">IF(OR(E688="",E688="!!!"),"",IF(OR(J688=0,AND(J688=1,K688=1),AND(J688=1,I688="SBJ"),AND(J688=1,I688=0)),"?IN_FOCUS",IF(J688&lt;=2,"?ACTIVATED",IF(J688&lt;&gt;"","?FAMILIAR",IF(F688="NEW",IF(ISNA(VLOOKUP(E688,#REF!,1,FALSE())),"?TYPE_IDENTIFIABLE","?REFERENTIAL"),"_")))))</f>
        <v/>
      </c>
      <c r="H688" s="23" t="str">
        <f aca="false">IF(J688&lt;&gt;1,"",IF(I688="SBJ","CB","?"))</f>
        <v/>
      </c>
    </row>
    <row r="689" customFormat="false" ht="15" hidden="false" customHeight="false" outlineLevel="0" collapsed="false">
      <c r="A689" s="21" t="s">
        <v>583</v>
      </c>
      <c r="G689" s="22" t="str">
        <f aca="false">IF(OR(E689="",E689="!!!"),"",IF(OR(J689=0,AND(J689=1,K689=1),AND(J689=1,I689="SBJ"),AND(J689=1,I689=0)),"?IN_FOCUS",IF(J689&lt;=2,"?ACTIVATED",IF(J689&lt;&gt;"","?FAMILIAR",IF(F689="NEW",IF(ISNA(VLOOKUP(E689,#REF!,1,FALSE())),"?TYPE_IDENTIFIABLE","?REFERENTIAL"),"_")))))</f>
        <v/>
      </c>
      <c r="H689" s="23" t="str">
        <f aca="false">IF(J689&lt;&gt;1,"",IF(I689="SBJ","CB","?"))</f>
        <v/>
      </c>
    </row>
    <row r="690" customFormat="false" ht="15" hidden="false" customHeight="false" outlineLevel="0" collapsed="false">
      <c r="A690" s="21" t="s">
        <v>179</v>
      </c>
      <c r="B690" s="29" t="s">
        <v>180</v>
      </c>
      <c r="C690" s="29" t="s">
        <v>181</v>
      </c>
      <c r="D690" s="29" t="s">
        <v>159</v>
      </c>
      <c r="E690" s="25" t="s">
        <v>16</v>
      </c>
      <c r="F690" s="30" t="str">
        <f aca="false">IF(OR(E690="",E690="!!!"),"",IF(NOT(ISNA(VLOOKUP(E690,E$1:E689,1,FALSE()))),"OLD",IF(AND(E690&lt;&gt;"",E690&lt;&gt;"!!!"),"NEW","")))</f>
        <v>OLD</v>
      </c>
      <c r="G690" s="22" t="s">
        <v>265</v>
      </c>
      <c r="H690" s="23" t="str">
        <f aca="false">IF(J690&lt;&gt;1,"",IF(I690="SBJ","CB","?"))</f>
        <v/>
      </c>
      <c r="I690" s="31" t="str">
        <f aca="false">IF(OR(E690="",E690="!!!",F690="NEW"),"",INDEX(B2:B$689,-1+SUMPRODUCT(MAX(ROW(E2:E$689)*(E690=E2:E$689)))))</f>
        <v>other_3</v>
      </c>
      <c r="J690" s="31" t="n">
        <f aca="true">IF(OR(E690="",E690="!!!",F690="NEW"),"",COUNTBLANK(OFFSET(A$1,,,SUMPRODUCT(MAX(ROW(E$2:E690)*(E690=E$2:E690)))))-COUNTBLANK(OFFSET(A$1,,,SUMPRODUCT(MAX(ROW(E$1:E689)*(E2=E$1:E689))))))</f>
        <v>0</v>
      </c>
      <c r="K690" s="27" t="n">
        <f aca="false">IF(OR(E690="",E690="!!!",F690="NEW"),"",INDEX(J$1:J689,SUMPRODUCT(MAX(ROW(E$1:E689)*(E690=E$1:E689)))))</f>
        <v>0</v>
      </c>
      <c r="L690" s="28"/>
    </row>
    <row r="691" customFormat="false" ht="15" hidden="false" customHeight="false" outlineLevel="0" collapsed="false">
      <c r="A691" s="21" t="s">
        <v>114</v>
      </c>
      <c r="E691" s="25"/>
      <c r="F691" s="26" t="str">
        <f aca="false">IF(OR(E691="",E691="!!!"),"",IF(NOT(ISNA(VLOOKUP(E691,E$1:E690,1,FALSE()))),"OLD",IF(AND(E691&lt;&gt;"",E691&lt;&gt;"!!!"),"NEW","")))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7" t="str">
        <f aca="false">IF(OR(E691="",E691="!!!",F691="NEW"),"",INDEX(B3:B$689,-1+SUMPRODUCT(MAX(ROW(E3:E$689)*(E691=E3:E$689)))))</f>
        <v/>
      </c>
      <c r="J691" s="27" t="str">
        <f aca="true">IF(OR(E691="",E691="!!!",F691="NEW"),"",COUNTBLANK(OFFSET(A$1,,,SUMPRODUCT(MAX(ROW(E$2:E691)*(E691=E$2:E691)))))-COUNTBLANK(OFFSET(A$1,,,SUMPRODUCT(MAX(ROW(E$1:E690)*(E2=E$1:E690))))))</f>
        <v/>
      </c>
      <c r="K691" s="27" t="str">
        <f aca="false">IF(OR(E691="",E691="!!!",F691="NEW"),"",INDEX(J$1:J690,SUMPRODUCT(MAX(ROW(E$1:E690)*(E691=E$1:E690)))))</f>
        <v/>
      </c>
      <c r="L691" s="28"/>
    </row>
    <row r="692" customFormat="false" ht="15" hidden="false" customHeight="false" outlineLevel="0" collapsed="false">
      <c r="A692" s="21" t="s">
        <v>276</v>
      </c>
      <c r="E692" s="25"/>
      <c r="F692" s="26" t="str">
        <f aca="false">IF(OR(E692="",E692="!!!"),"",IF(NOT(ISNA(VLOOKUP(E692,E$1:E691,1,FALSE()))),"OLD",IF(AND(E692&lt;&gt;"",E692&lt;&gt;"!!!"),"NEW","")))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7" t="str">
        <f aca="false">IF(OR(E692="",E692="!!!",F692="NEW"),"",INDEX(B4:B$689,-1+SUMPRODUCT(MAX(ROW(E4:E$689)*(E692=E4:E$689)))))</f>
        <v/>
      </c>
      <c r="J692" s="27" t="str">
        <f aca="true">IF(OR(E692="",E692="!!!",F692="NEW"),"",COUNTBLANK(OFFSET(A$1,,,SUMPRODUCT(MAX(ROW(E$2:E692)*(E692=E$2:E692)))))-COUNTBLANK(OFFSET(A$1,,,SUMPRODUCT(MAX(ROW(E$1:E691)*(E2=E$1:E691))))))</f>
        <v/>
      </c>
      <c r="K692" s="27" t="str">
        <f aca="false">IF(OR(E692="",E692="!!!",F692="NEW"),"",INDEX(J$1:J691,SUMPRODUCT(MAX(ROW(E$1:E691)*(E692=E$1:E691)))))</f>
        <v/>
      </c>
      <c r="L692" s="28"/>
    </row>
    <row r="693" customFormat="false" ht="15" hidden="false" customHeight="false" outlineLevel="0" collapsed="false">
      <c r="A693" s="21" t="s">
        <v>369</v>
      </c>
      <c r="E693" s="25"/>
      <c r="F693" s="26" t="str">
        <f aca="false">IF(OR(E693="",E693="!!!"),"",IF(NOT(ISNA(VLOOKUP(E693,E$1:E692,1,FALSE()))),"OLD",IF(AND(E693&lt;&gt;"",E693&lt;&gt;"!!!"),"NEW","")))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7" t="str">
        <f aca="false">IF(OR(E693="",E693="!!!",F693="NEW"),"",INDEX(B5:B$689,-1+SUMPRODUCT(MAX(ROW(E5:E$689)*(E693=E5:E$689)))))</f>
        <v/>
      </c>
      <c r="J693" s="27" t="str">
        <f aca="true">IF(OR(E693="",E693="!!!",F693="NEW"),"",COUNTBLANK(OFFSET(A$1,,,SUMPRODUCT(MAX(ROW(E$2:E693)*(E693=E$2:E693)))))-COUNTBLANK(OFFSET(A$1,,,SUMPRODUCT(MAX(ROW(E$1:E692)*(E2=E$1:E692))))))</f>
        <v/>
      </c>
      <c r="K693" s="27" t="str">
        <f aca="false">IF(OR(E693="",E693="!!!",F693="NEW"),"",INDEX(J$1:J692,SUMPRODUCT(MAX(ROW(E$1:E692)*(E693=E$1:E692)))))</f>
        <v/>
      </c>
      <c r="L693" s="28"/>
    </row>
    <row r="694" customFormat="false" ht="15" hidden="false" customHeight="false" outlineLevel="0" collapsed="false">
      <c r="A694" s="21" t="s">
        <v>555</v>
      </c>
      <c r="B694" s="29" t="s">
        <v>153</v>
      </c>
      <c r="C694" s="29" t="s">
        <v>371</v>
      </c>
      <c r="D694" s="29" t="s">
        <v>159</v>
      </c>
      <c r="E694" s="25" t="s">
        <v>584</v>
      </c>
      <c r="F694" s="30" t="str">
        <f aca="false">IF(OR(E694="",E694="!!!"),"",IF(NOT(ISNA(VLOOKUP(E694,E$1:E693,1,FALSE()))),"OLD",IF(AND(E694&lt;&gt;"",E694&lt;&gt;"!!!"),"NEW","")))</f>
        <v>NEW</v>
      </c>
      <c r="G694" s="22" t="s">
        <v>160</v>
      </c>
      <c r="H694" s="23" t="str">
        <f aca="false">IF(J694&lt;&gt;1,"",IF(I694="SBJ","CB","?"))</f>
        <v/>
      </c>
      <c r="I694" s="31" t="str">
        <f aca="false">IF(OR(E694="",E694="!!!",F694="NEW"),"",INDEX(B6:B$689,-1+SUMPRODUCT(MAX(ROW(E6:E$689)*(E694=E6:E$689)))))</f>
        <v/>
      </c>
      <c r="J694" s="27" t="str">
        <f aca="true">IF(OR(E694="",E694="!!!",F694="NEW"),"",COUNTBLANK(OFFSET(A$1,,,SUMPRODUCT(MAX(ROW(E$2:E694)*(E694=E$2:E694)))))-COUNTBLANK(OFFSET(A$1,,,SUMPRODUCT(MAX(ROW(E$1:E693)*(E2=E$1:E693))))))</f>
        <v/>
      </c>
      <c r="K694" s="31" t="str">
        <f aca="false">IF(OR(E694="",E694="!!!",F694="NEW"),"",INDEX(J$1:J693,SUMPRODUCT(MAX(ROW(E$1:E693)*(E694=E$1:E693)))))</f>
        <v/>
      </c>
      <c r="L694" s="28"/>
    </row>
    <row r="695" customFormat="false" ht="15" hidden="false" customHeight="false" outlineLevel="0" collapsed="false">
      <c r="A695" s="21" t="s">
        <v>585</v>
      </c>
      <c r="E695" s="25"/>
      <c r="F695" s="26" t="str">
        <f aca="false">IF(OR(E695="",E695="!!!"),"",IF(NOT(ISNA(VLOOKUP(E695,E$1:E694,1,FALSE()))),"OLD",IF(AND(E695&lt;&gt;"",E695&lt;&gt;"!!!"),"NEW","")))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7" t="str">
        <f aca="false">IF(OR(E695="",E695="!!!",F695="NEW"),"",INDEX(B7:B$689,-1+SUMPRODUCT(MAX(ROW(E7:E$689)*(E695=E7:E$689)))))</f>
        <v/>
      </c>
      <c r="J695" s="27" t="str">
        <f aca="true">IF(OR(E695="",E695="!!!",F695="NEW"),"",COUNTBLANK(OFFSET(A$1,,,SUMPRODUCT(MAX(ROW(E$2:E695)*(E695=E$2:E695)))))-COUNTBLANK(OFFSET(A$1,,,SUMPRODUCT(MAX(ROW(E$1:E694)*(E2=E$1:E694))))))</f>
        <v/>
      </c>
      <c r="K695" s="27" t="str">
        <f aca="false">IF(OR(E695="",E695="!!!",F695="NEW"),"",INDEX(J$1:J694,SUMPRODUCT(MAX(ROW(E$1:E694)*(E695=E$1:E694)))))</f>
        <v/>
      </c>
      <c r="L695" s="28"/>
    </row>
    <row r="696" customFormat="false" ht="15" hidden="false" customHeight="false" outlineLevel="0" collapsed="false">
      <c r="A696" s="21" t="s">
        <v>179</v>
      </c>
      <c r="B696" s="29" t="s">
        <v>185</v>
      </c>
      <c r="C696" s="29" t="s">
        <v>181</v>
      </c>
      <c r="D696" s="29" t="s">
        <v>159</v>
      </c>
      <c r="E696" s="25" t="s">
        <v>16</v>
      </c>
      <c r="F696" s="30" t="str">
        <f aca="false">IF(OR(E696="",E696="!!!"),"",IF(NOT(ISNA(VLOOKUP(E696,E$1:E695,1,FALSE()))),"OLD",IF(AND(E696&lt;&gt;"",E696&lt;&gt;"!!!"),"NEW","")))</f>
        <v>OLD</v>
      </c>
      <c r="G696" s="22" t="s">
        <v>186</v>
      </c>
      <c r="H696" s="23" t="str">
        <f aca="false">IF(J696&lt;&gt;1,"",IF(I696="SBJ","CB","?"))</f>
        <v/>
      </c>
      <c r="I696" s="31" t="n">
        <f aca="false">IF(OR(E696="",E696="!!!",F696="NEW"),"",INDEX(B8:B$689,-1+SUMPRODUCT(MAX(ROW(E8:E$689)*(E696=E8:E$689)))))</f>
        <v>0</v>
      </c>
      <c r="J696" s="31" t="n">
        <f aca="true">IF(OR(E696="",E696="!!!",F696="NEW"),"",COUNTBLANK(OFFSET(A$1,,,SUMPRODUCT(MAX(ROW(E$2:E696)*(E696=E$2:E696)))))-COUNTBLANK(OFFSET(A$1,,,SUMPRODUCT(MAX(ROW(E$1:E695)*(E2=E$1:E695))))))</f>
        <v>0</v>
      </c>
      <c r="K696" s="31" t="n">
        <f aca="false">IF(OR(E696="",E696="!!!",F696="NEW"),"",INDEX(J$1:J695,SUMPRODUCT(MAX(ROW(E$1:E695)*(E696=E$1:E695)))))</f>
        <v>0</v>
      </c>
      <c r="L696" s="28"/>
    </row>
    <row r="697" customFormat="false" ht="15" hidden="false" customHeight="false" outlineLevel="0" collapsed="false">
      <c r="A697" s="21" t="s">
        <v>586</v>
      </c>
      <c r="E697" s="25"/>
      <c r="F697" s="26" t="str">
        <f aca="false">IF(OR(E697="",E697="!!!"),"",IF(NOT(ISNA(VLOOKUP(E697,E$1:E696,1,FALSE()))),"OLD",IF(AND(E697&lt;&gt;"",E697&lt;&gt;"!!!"),"NEW","")))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7" t="str">
        <f aca="false">IF(OR(E697="",E697="!!!",F697="NEW"),"",INDEX(B9:B$689,-1+SUMPRODUCT(MAX(ROW(E9:E$689)*(E697=E9:E$689)))))</f>
        <v/>
      </c>
      <c r="J697" s="27" t="str">
        <f aca="true">IF(OR(E697="",E697="!!!",F697="NEW"),"",COUNTBLANK(OFFSET(A$1,,,SUMPRODUCT(MAX(ROW(E$2:E697)*(E697=E$2:E697)))))-COUNTBLANK(OFFSET(A$1,,,SUMPRODUCT(MAX(ROW(E$1:E696)*(E2=E$1:E696))))))</f>
        <v/>
      </c>
      <c r="K697" s="27" t="str">
        <f aca="false">IF(OR(E697="",E697="!!!",F697="NEW"),"",INDEX(J$1:J696,SUMPRODUCT(MAX(ROW(E$1:E696)*(E697=E$1:E696)))))</f>
        <v/>
      </c>
      <c r="L697" s="28"/>
    </row>
    <row r="698" customFormat="false" ht="15" hidden="false" customHeight="false" outlineLevel="0" collapsed="false">
      <c r="A698" s="21" t="s">
        <v>587</v>
      </c>
      <c r="E698" s="25"/>
      <c r="F698" s="26" t="str">
        <f aca="false">IF(OR(E698="",E698="!!!"),"",IF(NOT(ISNA(VLOOKUP(E698,E$1:E697,1,FALSE()))),"OLD",IF(AND(E698&lt;&gt;"",E698&lt;&gt;"!!!"),"NEW","")))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7" t="str">
        <f aca="false">IF(OR(E698="",E698="!!!",F698="NEW"),"",INDEX(B10:B$689,-1+SUMPRODUCT(MAX(ROW(E10:E$689)*(E698=E10:E$689)))))</f>
        <v/>
      </c>
      <c r="J698" s="27" t="str">
        <f aca="true">IF(OR(E698="",E698="!!!",F698="NEW"),"",COUNTBLANK(OFFSET(A$1,,,SUMPRODUCT(MAX(ROW(E$2:E698)*(E698=E$2:E698)))))-COUNTBLANK(OFFSET(A$1,,,SUMPRODUCT(MAX(ROW(E$1:E697)*(E2=E$1:E697))))))</f>
        <v/>
      </c>
      <c r="K698" s="27" t="str">
        <f aca="false">IF(OR(E698="",E698="!!!",F698="NEW"),"",INDEX(J$1:J697,SUMPRODUCT(MAX(ROW(E$1:E697)*(E698=E$1:E697)))))</f>
        <v/>
      </c>
      <c r="L698" s="28"/>
    </row>
    <row r="699" customFormat="false" ht="15" hidden="false" customHeight="false" outlineLevel="0" collapsed="false">
      <c r="A699" s="21" t="s">
        <v>277</v>
      </c>
      <c r="E699" s="25"/>
      <c r="F699" s="26" t="str">
        <f aca="false">IF(OR(E699="",E699="!!!"),"",IF(NOT(ISNA(VLOOKUP(E699,E$1:E698,1,FALSE()))),"OLD",IF(AND(E699&lt;&gt;"",E699&lt;&gt;"!!!"),"NEW","")))</f>
        <v/>
      </c>
      <c r="G699" s="22" t="str">
        <f aca="false">IF(OR(E699="",E699="!!!"),"",IF(OR(J699=0,AND(J699=1,K699=1),AND(J699=1,I699="SBJ"),AND(J699=1,I699=0)),"?IN_FOCUS",IF(J699&lt;=2,"?ACTIVATED",IF(J699&lt;&gt;"","?FAMILIAR",IF(F699="NEW",IF(ISNA(VLOOKUP(E699,#REF!,1,FALSE())),"?TYPE_IDENTIFIABLE","?REFERENTIAL"),"_")))))</f>
        <v/>
      </c>
      <c r="H699" s="23" t="str">
        <f aca="false">IF(J699&lt;&gt;1,"",IF(I699="SBJ","CB","?"))</f>
        <v/>
      </c>
      <c r="I699" s="27" t="str">
        <f aca="false">IF(OR(E699="",E699="!!!",F699="NEW"),"",INDEX(B11:B$689,-1+SUMPRODUCT(MAX(ROW(E11:E$689)*(E699=E11:E$689)))))</f>
        <v/>
      </c>
      <c r="J699" s="27" t="str">
        <f aca="true">IF(OR(E699="",E699="!!!",F699="NEW"),"",COUNTBLANK(OFFSET(A$1,,,SUMPRODUCT(MAX(ROW(E$2:E699)*(E699=E$2:E699)))))-COUNTBLANK(OFFSET(A$1,,,SUMPRODUCT(MAX(ROW(E$1:E698)*(E2=E$1:E698))))))</f>
        <v/>
      </c>
      <c r="K699" s="27" t="str">
        <f aca="false">IF(OR(E699="",E699="!!!",F699="NEW"),"",INDEX(J$1:J698,SUMPRODUCT(MAX(ROW(E$1:E698)*(E699=E$1:E698)))))</f>
        <v/>
      </c>
      <c r="L699" s="28"/>
    </row>
    <row r="700" customFormat="false" ht="15" hidden="false" customHeight="false" outlineLevel="0" collapsed="false">
      <c r="A700" s="21" t="s">
        <v>588</v>
      </c>
      <c r="B700" s="29" t="s">
        <v>190</v>
      </c>
      <c r="C700" s="29" t="s">
        <v>167</v>
      </c>
      <c r="E700" s="25"/>
      <c r="F700" s="26" t="str">
        <f aca="false">IF(OR(E700="",E700="!!!"),"",IF(NOT(ISNA(VLOOKUP(E700,E$1:E699,1,FALSE()))),"OLD",IF(AND(E700&lt;&gt;"",E700&lt;&gt;"!!!"),"NEW","")))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7" t="str">
        <f aca="false">IF(OR(E700="",E700="!!!",F700="NEW"),"",INDEX(B12:B$689,-1+SUMPRODUCT(MAX(ROW(E12:E$689)*(E700=E12:E$689)))))</f>
        <v/>
      </c>
      <c r="J700" s="27" t="str">
        <f aca="true">IF(OR(E700="",E700="!!!",F700="NEW"),"",COUNTBLANK(OFFSET(A$1,,,SUMPRODUCT(MAX(ROW(E$2:E700)*(E700=E$2:E700)))))-COUNTBLANK(OFFSET(A$1,,,SUMPRODUCT(MAX(ROW(E$1:E699)*(E2=E$1:E699))))))</f>
        <v/>
      </c>
      <c r="K700" s="27" t="str">
        <f aca="false">IF(OR(E700="",E700="!!!",F700="NEW"),"",INDEX(J$1:J699,SUMPRODUCT(MAX(ROW(E$1:E699)*(E700=E$1:E699)))))</f>
        <v/>
      </c>
      <c r="L700" s="28"/>
    </row>
    <row r="701" customFormat="false" ht="15" hidden="false" customHeight="false" outlineLevel="0" collapsed="false">
      <c r="A701" s="21" t="s">
        <v>207</v>
      </c>
      <c r="E701" s="25"/>
      <c r="F701" s="26" t="str">
        <f aca="false">IF(OR(E701="",E701="!!!"),"",IF(NOT(ISNA(VLOOKUP(E701,E$1:E700,1,FALSE()))),"OLD",IF(AND(E701&lt;&gt;"",E701&lt;&gt;"!!!"),"NEW","")))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7" t="str">
        <f aca="false">IF(OR(E701="",E701="!!!",F701="NEW"),"",INDEX(B13:B$689,-1+SUMPRODUCT(MAX(ROW(E13:E$689)*(E701=E13:E$689)))))</f>
        <v/>
      </c>
      <c r="J701" s="27" t="str">
        <f aca="true">IF(OR(E701="",E701="!!!",F701="NEW"),"",COUNTBLANK(OFFSET(A$1,,,SUMPRODUCT(MAX(ROW(E$2:E701)*(E701=E$2:E701)))))-COUNTBLANK(OFFSET(A$1,,,SUMPRODUCT(MAX(ROW(E$1:E700)*(E2=E$1:E700))))))</f>
        <v/>
      </c>
      <c r="K701" s="27" t="str">
        <f aca="false">IF(OR(E701="",E701="!!!",F701="NEW"),"",INDEX(J$1:J700,SUMPRODUCT(MAX(ROW(E$1:E700)*(E701=E$1:E700)))))</f>
        <v/>
      </c>
      <c r="L701" s="28"/>
    </row>
    <row r="702" customFormat="false" ht="15" hidden="false" customHeight="false" outlineLevel="0" collapsed="false">
      <c r="A702" s="21" t="s">
        <v>153</v>
      </c>
      <c r="E702" s="25"/>
      <c r="F702" s="26" t="str">
        <f aca="false">IF(OR(E702="",E702="!!!"),"",IF(NOT(ISNA(VLOOKUP(E702,E$1:E701,1,FALSE()))),"OLD",IF(AND(E702&lt;&gt;"",E702&lt;&gt;"!!!"),"NEW","")))</f>
        <v/>
      </c>
      <c r="G702" s="22" t="str">
        <f aca="false">IF(OR(E702="",E702="!!!"),"",IF(OR(J702=0,AND(J702=1,K702=1),AND(J702=1,I702="SBJ"),AND(J702=1,I702=0)),"?IN_FOCUS",IF(J702&lt;=2,"?ACTIVATED",IF(J702&lt;&gt;"","?FAMILIAR",IF(F702="NEW",IF(ISNA(VLOOKUP(E702,#REF!,1,FALSE())),"?TYPE_IDENTIFIABLE","?REFERENTIAL"),"_")))))</f>
        <v/>
      </c>
      <c r="H702" s="23" t="str">
        <f aca="false">IF(J702&lt;&gt;1,"",IF(I702="SBJ","CB","?"))</f>
        <v/>
      </c>
      <c r="I702" s="27" t="str">
        <f aca="false">IF(OR(E702="",E702="!!!",F702="NEW"),"",INDEX(B14:B$689,-1+SUMPRODUCT(MAX(ROW(E14:E$689)*(E702=E14:E$689)))))</f>
        <v/>
      </c>
      <c r="J702" s="27" t="str">
        <f aca="true">IF(OR(E702="",E702="!!!",F702="NEW"),"",COUNTBLANK(OFFSET(A$1,,,SUMPRODUCT(MAX(ROW(E$2:E702)*(E702=E$2:E702)))))-COUNTBLANK(OFFSET(A$1,,,SUMPRODUCT(MAX(ROW(E$1:E701)*(E2=E$1:E701))))))</f>
        <v/>
      </c>
      <c r="K702" s="27" t="str">
        <f aca="false">IF(OR(E702="",E702="!!!",F702="NEW"),"",INDEX(J$1:J701,SUMPRODUCT(MAX(ROW(E$1:E701)*(E702=E$1:E701)))))</f>
        <v/>
      </c>
      <c r="L702" s="28"/>
    </row>
    <row r="703" customFormat="false" ht="15" hidden="false" customHeight="false" outlineLevel="0" collapsed="false">
      <c r="A703" s="21" t="s">
        <v>329</v>
      </c>
      <c r="B703" s="29" t="s">
        <v>210</v>
      </c>
      <c r="C703" s="29" t="s">
        <v>167</v>
      </c>
      <c r="E703" s="25"/>
      <c r="F703" s="26" t="str">
        <f aca="false">IF(OR(E703="",E703="!!!"),"",IF(NOT(ISNA(VLOOKUP(E703,E$1:E702,1,FALSE()))),"OLD",IF(AND(E703&lt;&gt;"",E703&lt;&gt;"!!!"),"NEW","")))</f>
        <v/>
      </c>
      <c r="G703" s="22" t="str">
        <f aca="false">IF(OR(E703="",E703="!!!"),"",IF(OR(J703=0,AND(J703=1,K703=1),AND(J703=1,I703="SBJ"),AND(J703=1,I703=0)),"?IN_FOCUS",IF(J703&lt;=2,"?ACTIVATED",IF(J703&lt;&gt;"","?FAMILIAR",IF(F703="NEW",IF(ISNA(VLOOKUP(E703,#REF!,1,FALSE())),"?TYPE_IDENTIFIABLE","?REFERENTIAL"),"_")))))</f>
        <v/>
      </c>
      <c r="H703" s="23" t="str">
        <f aca="false">IF(J703&lt;&gt;1,"",IF(I703="SBJ","CB","?"))</f>
        <v/>
      </c>
      <c r="I703" s="27" t="str">
        <f aca="false">IF(OR(E703="",E703="!!!",F703="NEW"),"",INDEX(B15:B$689,-1+SUMPRODUCT(MAX(ROW(E15:E$689)*(E703=E15:E$689)))))</f>
        <v/>
      </c>
      <c r="J703" s="27" t="str">
        <f aca="true">IF(OR(E703="",E703="!!!",F703="NEW"),"",COUNTBLANK(OFFSET(A$1,,,SUMPRODUCT(MAX(ROW(E$2:E703)*(E703=E$2:E703)))))-COUNTBLANK(OFFSET(A$1,,,SUMPRODUCT(MAX(ROW(E$1:E702)*(E2=E$1:E702))))))</f>
        <v/>
      </c>
      <c r="K703" s="27" t="str">
        <f aca="false">IF(OR(E703="",E703="!!!",F703="NEW"),"",INDEX(J$1:J702,SUMPRODUCT(MAX(ROW(E$1:E702)*(E703=E$1:E702)))))</f>
        <v/>
      </c>
      <c r="L703" s="28"/>
    </row>
    <row r="704" customFormat="false" ht="15" hidden="false" customHeight="false" outlineLevel="0" collapsed="false">
      <c r="A704" s="21" t="s">
        <v>589</v>
      </c>
      <c r="E704" s="25"/>
      <c r="F704" s="26" t="str">
        <f aca="false">IF(OR(E704="",E704="!!!"),"",IF(NOT(ISNA(VLOOKUP(E704,E$1:E703,1,FALSE()))),"OLD",IF(AND(E704&lt;&gt;"",E704&lt;&gt;"!!!"),"NEW","")))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7" t="str">
        <f aca="false">IF(OR(E704="",E704="!!!",F704="NEW"),"",INDEX(B16:B$689,-1+SUMPRODUCT(MAX(ROW(E16:E$689)*(E704=E16:E$689)))))</f>
        <v/>
      </c>
      <c r="J704" s="27" t="str">
        <f aca="true">IF(OR(E704="",E704="!!!",F704="NEW"),"",COUNTBLANK(OFFSET(A$1,,,SUMPRODUCT(MAX(ROW(E$2:E704)*(E704=E$2:E704)))))-COUNTBLANK(OFFSET(A$1,,,SUMPRODUCT(MAX(ROW(E$1:E703)*(E2=E$1:E703))))))</f>
        <v/>
      </c>
      <c r="K704" s="27" t="str">
        <f aca="false">IF(OR(E704="",E704="!!!",F704="NEW"),"",INDEX(J$1:J703,SUMPRODUCT(MAX(ROW(E$1:E703)*(E704=E$1:E703)))))</f>
        <v/>
      </c>
      <c r="L704" s="28"/>
    </row>
    <row r="705" customFormat="false" ht="15" hidden="false" customHeight="false" outlineLevel="0" collapsed="false">
      <c r="A705" s="21" t="s">
        <v>590</v>
      </c>
      <c r="E705" s="25" t="s">
        <v>591</v>
      </c>
      <c r="F705" s="26" t="str">
        <f aca="false">IF(OR(E705="",E705="!!!"),"",IF(NOT(ISNA(VLOOKUP(E705,E$1:E704,1,FALSE()))),"OLD",IF(AND(E705&lt;&gt;"",E705&lt;&gt;"!!!"),"NEW","")))</f>
        <v>NEW</v>
      </c>
      <c r="G705" s="22" t="s">
        <v>160</v>
      </c>
      <c r="H705" s="23" t="str">
        <f aca="false">IF(J705&lt;&gt;1,"",IF(I705="SBJ","CB","?"))</f>
        <v/>
      </c>
      <c r="I705" s="27" t="str">
        <f aca="false">IF(OR(E705="",E705="!!!",F705="NEW"),"",INDEX(B17:B$689,-1+SUMPRODUCT(MAX(ROW(E17:E$689)*(E705=E17:E$689)))))</f>
        <v/>
      </c>
      <c r="J705" s="27" t="str">
        <f aca="true">IF(OR(E705="",E705="!!!",F705="NEW"),"",COUNTBLANK(OFFSET(A$1,,,SUMPRODUCT(MAX(ROW(E$2:E705)*(E705=E$2:E705)))))-COUNTBLANK(OFFSET(A$1,,,SUMPRODUCT(MAX(ROW(E$1:E704)*(E2=E$1:E704))))))</f>
        <v/>
      </c>
      <c r="K705" s="27" t="str">
        <f aca="false">IF(OR(E705="",E705="!!!",F705="NEW"),"",INDEX(J$1:J704,SUMPRODUCT(MAX(ROW(E$1:E704)*(E705=E$1:E704)))))</f>
        <v/>
      </c>
      <c r="L705" s="28" t="s">
        <v>592</v>
      </c>
    </row>
    <row r="706" customFormat="false" ht="15" hidden="false" customHeight="false" outlineLevel="0" collapsed="false">
      <c r="A706" s="21" t="s">
        <v>486</v>
      </c>
      <c r="E706" s="25"/>
      <c r="F706" s="26" t="str">
        <f aca="false">IF(OR(E706="",E706="!!!"),"",IF(NOT(ISNA(VLOOKUP(E706,E$1:E705,1,FALSE()))),"OLD",IF(AND(E706&lt;&gt;"",E706&lt;&gt;"!!!"),"NEW","")))</f>
        <v/>
      </c>
      <c r="G706" s="22" t="str">
        <f aca="false">IF(OR(E706="",E706="!!!"),"",IF(OR(J706=0,AND(J706=1,K706=1),AND(J706=1,I706="SBJ"),AND(J706=1,I706=0)),"?IN_FOCUS",IF(J706&lt;=2,"?ACTIVATED",IF(J706&lt;&gt;"","?FAMILIAR",IF(F706="NEW",IF(ISNA(VLOOKUP(E706,#REF!,1,FALSE())),"?TYPE_IDENTIFIABLE","?REFERENTIAL"),"_")))))</f>
        <v/>
      </c>
      <c r="H706" s="23" t="str">
        <f aca="false">IF(J706&lt;&gt;1,"",IF(I706="SBJ","CB","?"))</f>
        <v/>
      </c>
      <c r="I706" s="27" t="str">
        <f aca="false">IF(OR(E706="",E706="!!!",F706="NEW"),"",INDEX(B18:B$689,-1+SUMPRODUCT(MAX(ROW(E18:E$689)*(E706=E18:E$689)))))</f>
        <v/>
      </c>
      <c r="J706" s="27" t="str">
        <f aca="true">IF(OR(E706="",E706="!!!",F706="NEW"),"",COUNTBLANK(OFFSET(A$1,,,SUMPRODUCT(MAX(ROW(E$2:E706)*(E706=E$2:E706)))))-COUNTBLANK(OFFSET(A$1,,,SUMPRODUCT(MAX(ROW(E$1:E705)*(E2=E$1:E705))))))</f>
        <v/>
      </c>
      <c r="K706" s="27" t="str">
        <f aca="false">IF(OR(E706="",E706="!!!",F706="NEW"),"",INDEX(J$1:J705,SUMPRODUCT(MAX(ROW(E$1:E705)*(E706=E$1:E705)))))</f>
        <v/>
      </c>
      <c r="L706" s="28"/>
    </row>
    <row r="707" customFormat="false" ht="15" hidden="false" customHeight="false" outlineLevel="0" collapsed="false">
      <c r="A707" s="21" t="s">
        <v>230</v>
      </c>
      <c r="E707" s="25"/>
      <c r="F707" s="26" t="str">
        <f aca="false">IF(OR(E707="",E707="!!!"),"",IF(NOT(ISNA(VLOOKUP(E707,E$1:E706,1,FALSE()))),"OLD",IF(AND(E707&lt;&gt;"",E707&lt;&gt;"!!!"),"NEW","")))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7" t="str">
        <f aca="false">IF(OR(E707="",E707="!!!",F707="NEW"),"",INDEX(B19:B$689,-1+SUMPRODUCT(MAX(ROW(E19:E$689)*(E707=E19:E$689)))))</f>
        <v/>
      </c>
      <c r="J707" s="27" t="str">
        <f aca="true">IF(OR(E707="",E707="!!!",F707="NEW"),"",COUNTBLANK(OFFSET(A$1,,,SUMPRODUCT(MAX(ROW(E$2:E707)*(E707=E$2:E707)))))-COUNTBLANK(OFFSET(A$1,,,SUMPRODUCT(MAX(ROW(E$1:E706)*(E2=E$1:E706))))))</f>
        <v/>
      </c>
      <c r="K707" s="27" t="str">
        <f aca="false">IF(OR(E707="",E707="!!!",F707="NEW"),"",INDEX(J$1:J706,SUMPRODUCT(MAX(ROW(E$1:E706)*(E707=E$1:E706)))))</f>
        <v/>
      </c>
      <c r="L707" s="28"/>
    </row>
    <row r="708" customFormat="false" ht="15" hidden="false" customHeight="false" outlineLevel="0" collapsed="false">
      <c r="A708" s="21" t="s">
        <v>593</v>
      </c>
      <c r="B708" s="29" t="s">
        <v>210</v>
      </c>
      <c r="C708" s="29" t="s">
        <v>167</v>
      </c>
      <c r="E708" s="25"/>
      <c r="F708" s="26" t="str">
        <f aca="false">IF(OR(E708="",E708="!!!"),"",IF(NOT(ISNA(VLOOKUP(E708,E$1:E707,1,FALSE()))),"OLD",IF(AND(E708&lt;&gt;"",E708&lt;&gt;"!!!"),"NEW","")))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7" t="str">
        <f aca="false">IF(OR(E708="",E708="!!!",F708="NEW"),"",INDEX(B20:B$689,-1+SUMPRODUCT(MAX(ROW(E20:E$689)*(E708=E20:E$689)))))</f>
        <v/>
      </c>
      <c r="J708" s="27" t="str">
        <f aca="true">IF(OR(E708="",E708="!!!",F708="NEW"),"",COUNTBLANK(OFFSET(A$1,,,SUMPRODUCT(MAX(ROW(E$2:E708)*(E708=E$2:E708)))))-COUNTBLANK(OFFSET(A$1,,,SUMPRODUCT(MAX(ROW(E$1:E707)*(E2=E$1:E707))))))</f>
        <v/>
      </c>
      <c r="K708" s="27" t="str">
        <f aca="false">IF(OR(E708="",E708="!!!",F708="NEW"),"",INDEX(J$1:J707,SUMPRODUCT(MAX(ROW(E$1:E707)*(E708=E$1:E707)))))</f>
        <v/>
      </c>
      <c r="L708" s="28"/>
    </row>
    <row r="709" customFormat="false" ht="15" hidden="false" customHeight="false" outlineLevel="0" collapsed="false">
      <c r="A709" s="21" t="s">
        <v>594</v>
      </c>
      <c r="E709" s="25"/>
      <c r="F709" s="26" t="str">
        <f aca="false">IF(OR(E709="",E709="!!!"),"",IF(NOT(ISNA(VLOOKUP(E709,E$1:E708,1,FALSE()))),"OLD",IF(AND(E709&lt;&gt;"",E709&lt;&gt;"!!!"),"NEW","")))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7" t="str">
        <f aca="false">IF(OR(E709="",E709="!!!",F709="NEW"),"",INDEX(B21:B$689,-1+SUMPRODUCT(MAX(ROW(E21:E$689)*(E709=E21:E$689)))))</f>
        <v/>
      </c>
      <c r="J709" s="27" t="str">
        <f aca="true">IF(OR(E709="",E709="!!!",F709="NEW"),"",COUNTBLANK(OFFSET(A$1,,,SUMPRODUCT(MAX(ROW(E$2:E709)*(E709=E$2:E709)))))-COUNTBLANK(OFFSET(A$1,,,SUMPRODUCT(MAX(ROW(E$1:E708)*(E2=E$1:E708))))))</f>
        <v/>
      </c>
      <c r="K709" s="27" t="str">
        <f aca="false">IF(OR(E709="",E709="!!!",F709="NEW"),"",INDEX(J$1:J708,SUMPRODUCT(MAX(ROW(E$1:E708)*(E709=E$1:E708)))))</f>
        <v/>
      </c>
      <c r="L709" s="28"/>
    </row>
    <row r="710" customFormat="false" ht="15" hidden="false" customHeight="false" outlineLevel="0" collapsed="false">
      <c r="A710" s="21" t="s">
        <v>595</v>
      </c>
      <c r="E710" s="25"/>
      <c r="F710" s="26" t="str">
        <f aca="false">IF(OR(E710="",E710="!!!"),"",IF(NOT(ISNA(VLOOKUP(E710,E$1:E709,1,FALSE()))),"OLD",IF(AND(E710&lt;&gt;"",E710&lt;&gt;"!!!"),"NEW","")))</f>
        <v/>
      </c>
      <c r="G710" s="22" t="str">
        <f aca="false">IF(OR(E710="",E710="!!!"),"",IF(OR(J710=0,AND(J710=1,K710=1),AND(J710=1,I710="SBJ"),AND(J710=1,I710=0)),"?IN_FOCUS",IF(J710&lt;=2,"?ACTIVATED",IF(J710&lt;&gt;"","?FAMILIAR",IF(F710="NEW",IF(ISNA(VLOOKUP(E710,#REF!,1,FALSE())),"?TYPE_IDENTIFIABLE","?REFERENTIAL"),"_")))))</f>
        <v/>
      </c>
      <c r="H710" s="23" t="str">
        <f aca="false">IF(J710&lt;&gt;1,"",IF(I710="SBJ","CB","?"))</f>
        <v/>
      </c>
      <c r="I710" s="27" t="str">
        <f aca="false">IF(OR(E710="",E710="!!!",F710="NEW"),"",INDEX(B22:B$689,-1+SUMPRODUCT(MAX(ROW(E22:E$689)*(E710=E22:E$689)))))</f>
        <v/>
      </c>
      <c r="J710" s="27" t="str">
        <f aca="true">IF(OR(E710="",E710="!!!",F710="NEW"),"",COUNTBLANK(OFFSET(A$1,,,SUMPRODUCT(MAX(ROW(E$2:E710)*(E710=E$2:E710)))))-COUNTBLANK(OFFSET(A$1,,,SUMPRODUCT(MAX(ROW(E$1:E709)*(E2=E$1:E709))))))</f>
        <v/>
      </c>
      <c r="K710" s="27" t="str">
        <f aca="false">IF(OR(E710="",E710="!!!",F710="NEW"),"",INDEX(J$1:J709,SUMPRODUCT(MAX(ROW(E$1:E709)*(E710=E$1:E709)))))</f>
        <v/>
      </c>
      <c r="L710" s="28"/>
    </row>
    <row r="711" customFormat="false" ht="15" hidden="false" customHeight="false" outlineLevel="0" collapsed="false">
      <c r="A711" s="21" t="s">
        <v>596</v>
      </c>
      <c r="B711" s="29" t="s">
        <v>264</v>
      </c>
      <c r="C711" s="29" t="s">
        <v>167</v>
      </c>
      <c r="E711" s="25"/>
      <c r="F711" s="26" t="str">
        <f aca="false">IF(OR(E711="",E711="!!!"),"",IF(NOT(ISNA(VLOOKUP(E711,E$1:E710,1,FALSE()))),"OLD",IF(AND(E711&lt;&gt;"",E711&lt;&gt;"!!!"),"NEW","")))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7" t="str">
        <f aca="false">IF(OR(E711="",E711="!!!",F711="NEW"),"",INDEX(B23:B$689,-1+SUMPRODUCT(MAX(ROW(E23:E$689)*(E711=E23:E$689)))))</f>
        <v/>
      </c>
      <c r="J711" s="27" t="str">
        <f aca="true">IF(OR(E711="",E711="!!!",F711="NEW"),"",COUNTBLANK(OFFSET(A$1,,,SUMPRODUCT(MAX(ROW(E$2:E711)*(E711=E$2:E711)))))-COUNTBLANK(OFFSET(A$1,,,SUMPRODUCT(MAX(ROW(E$1:E710)*(E2=E$1:E710))))))</f>
        <v/>
      </c>
      <c r="K711" s="27" t="str">
        <f aca="false">IF(OR(E711="",E711="!!!",F711="NEW"),"",INDEX(J$1:J710,SUMPRODUCT(MAX(ROW(E$1:E710)*(E711=E$1:E710)))))</f>
        <v/>
      </c>
      <c r="L711" s="28"/>
    </row>
    <row r="712" customFormat="false" ht="15" hidden="false" customHeight="false" outlineLevel="0" collapsed="false">
      <c r="A712" s="21" t="s">
        <v>253</v>
      </c>
      <c r="E712" s="25"/>
      <c r="F712" s="26" t="str">
        <f aca="false">IF(OR(E712="",E712="!!!"),"",IF(NOT(ISNA(VLOOKUP(E712,E$1:E711,1,FALSE()))),"OLD",IF(AND(E712&lt;&gt;"",E712&lt;&gt;"!!!"),"NEW","")))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7" t="str">
        <f aca="false">IF(OR(E712="",E712="!!!",F712="NEW"),"",INDEX(B24:B$689,-1+SUMPRODUCT(MAX(ROW(E24:E$689)*(E712=E24:E$689)))))</f>
        <v/>
      </c>
      <c r="J712" s="27" t="str">
        <f aca="true">IF(OR(E712="",E712="!!!",F712="NEW"),"",COUNTBLANK(OFFSET(A$1,,,SUMPRODUCT(MAX(ROW(E$2:E712)*(E712=E$2:E712)))))-COUNTBLANK(OFFSET(A$1,,,SUMPRODUCT(MAX(ROW(E$1:E711)*(E2=E$1:E711))))))</f>
        <v/>
      </c>
      <c r="K712" s="27" t="str">
        <f aca="false">IF(OR(E712="",E712="!!!",F712="NEW"),"",INDEX(J$1:J711,SUMPRODUCT(MAX(ROW(E$1:E711)*(E712=E$1:E711)))))</f>
        <v/>
      </c>
      <c r="L712" s="28"/>
    </row>
    <row r="713" customFormat="false" ht="15" hidden="false" customHeight="false" outlineLevel="0" collapsed="false">
      <c r="A713" s="21" t="s">
        <v>597</v>
      </c>
      <c r="E713" s="25"/>
      <c r="F713" s="26" t="str">
        <f aca="false">IF(OR(E713="",E713="!!!"),"",IF(NOT(ISNA(VLOOKUP(E713,E$1:E712,1,FALSE()))),"OLD",IF(AND(E713&lt;&gt;"",E713&lt;&gt;"!!!"),"NEW","")))</f>
        <v/>
      </c>
      <c r="G713" s="22" t="str">
        <f aca="false">IF(OR(E713="",E713="!!!"),"",IF(OR(J713=0,AND(J713=1,K713=1),AND(J713=1,I713="SBJ"),AND(J713=1,I713=0)),"?IN_FOCUS",IF(J713&lt;=2,"?ACTIVATED",IF(J713&lt;&gt;"","?FAMILIAR",IF(F713="NEW",IF(ISNA(VLOOKUP(E713,#REF!,1,FALSE())),"?TYPE_IDENTIFIABLE","?REFERENTIAL"),"_")))))</f>
        <v/>
      </c>
      <c r="H713" s="23" t="str">
        <f aca="false">IF(J713&lt;&gt;1,"",IF(I713="SBJ","CB","?"))</f>
        <v/>
      </c>
      <c r="I713" s="27" t="str">
        <f aca="false">IF(OR(E713="",E713="!!!",F713="NEW"),"",INDEX(B25:B$689,-1+SUMPRODUCT(MAX(ROW(E25:E$689)*(E713=E25:E$689)))))</f>
        <v/>
      </c>
      <c r="J713" s="27" t="str">
        <f aca="true">IF(OR(E713="",E713="!!!",F713="NEW"),"",COUNTBLANK(OFFSET(A$1,,,SUMPRODUCT(MAX(ROW(E$2:E713)*(E713=E$2:E713)))))-COUNTBLANK(OFFSET(A$1,,,SUMPRODUCT(MAX(ROW(E$1:E712)*(E2=E$1:E712))))))</f>
        <v/>
      </c>
      <c r="K713" s="27" t="str">
        <f aca="false">IF(OR(E713="",E713="!!!",F713="NEW"),"",INDEX(J$1:J712,SUMPRODUCT(MAX(ROW(E$1:E712)*(E713=E$1:E712)))))</f>
        <v/>
      </c>
      <c r="L713" s="28"/>
    </row>
    <row r="714" customFormat="false" ht="15" hidden="false" customHeight="false" outlineLevel="0" collapsed="false">
      <c r="A714" s="21" t="s">
        <v>369</v>
      </c>
      <c r="B714" s="29" t="s">
        <v>229</v>
      </c>
      <c r="E714" s="25"/>
      <c r="F714" s="26" t="str">
        <f aca="false">IF(OR(E714="",E714="!!!"),"",IF(NOT(ISNA(VLOOKUP(E714,E$1:E713,1,FALSE()))),"OLD",IF(AND(E714&lt;&gt;"",E714&lt;&gt;"!!!"),"NEW","")))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7" t="str">
        <f aca="false">IF(OR(E714="",E714="!!!",F714="NEW"),"",INDEX(B26:B$689,-1+SUMPRODUCT(MAX(ROW(E26:E$689)*(E714=E26:E$689)))))</f>
        <v/>
      </c>
      <c r="J714" s="27" t="str">
        <f aca="true">IF(OR(E714="",E714="!!!",F714="NEW"),"",COUNTBLANK(OFFSET(A$1,,,SUMPRODUCT(MAX(ROW(E$2:E714)*(E714=E$2:E714)))))-COUNTBLANK(OFFSET(A$1,,,SUMPRODUCT(MAX(ROW(E$1:E713)*(E2=E$1:E713))))))</f>
        <v/>
      </c>
      <c r="K714" s="27" t="str">
        <f aca="false">IF(OR(E714="",E714="!!!",F714="NEW"),"",INDEX(J$1:J713,SUMPRODUCT(MAX(ROW(E$1:E713)*(E714=E$1:E713)))))</f>
        <v/>
      </c>
      <c r="L714" s="28"/>
    </row>
    <row r="715" customFormat="false" ht="15" hidden="false" customHeight="false" outlineLevel="0" collapsed="false">
      <c r="A715" s="21" t="s">
        <v>237</v>
      </c>
      <c r="E715" s="25"/>
      <c r="F715" s="26" t="str">
        <f aca="false">IF(OR(E715="",E715="!!!"),"",IF(NOT(ISNA(VLOOKUP(E715,E$1:E714,1,FALSE()))),"OLD",IF(AND(E715&lt;&gt;"",E715&lt;&gt;"!!!"),"NEW","")))</f>
        <v/>
      </c>
      <c r="G715" s="22" t="str">
        <f aca="false">IF(OR(E715="",E715="!!!"),"",IF(OR(J715=0,AND(J715=1,K715=1),AND(J715=1,I715="SBJ"),AND(J715=1,I715=0)),"?IN_FOCUS",IF(J715&lt;=2,"?ACTIVATED",IF(J715&lt;&gt;"","?FAMILIAR",IF(F715="NEW",IF(ISNA(VLOOKUP(E715,#REF!,1,FALSE())),"?TYPE_IDENTIFIABLE","?REFERENTIAL"),"_")))))</f>
        <v/>
      </c>
      <c r="H715" s="23" t="str">
        <f aca="false">IF(J715&lt;&gt;1,"",IF(I715="SBJ","CB","?"))</f>
        <v/>
      </c>
      <c r="I715" s="27" t="str">
        <f aca="false">IF(OR(E715="",E715="!!!",F715="NEW"),"",INDEX(B27:B$689,-1+SUMPRODUCT(MAX(ROW(E27:E$689)*(E715=E27:E$689)))))</f>
        <v/>
      </c>
      <c r="J715" s="27" t="str">
        <f aca="true">IF(OR(E715="",E715="!!!",F715="NEW"),"",COUNTBLANK(OFFSET(A$1,,,SUMPRODUCT(MAX(ROW(E$2:E715)*(E715=E$2:E715)))))-COUNTBLANK(OFFSET(A$1,,,SUMPRODUCT(MAX(ROW(E$1:E714)*(E2=E$1:E714))))))</f>
        <v/>
      </c>
      <c r="K715" s="27" t="str">
        <f aca="false">IF(OR(E715="",E715="!!!",F715="NEW"),"",INDEX(J$1:J714,SUMPRODUCT(MAX(ROW(E$1:E714)*(E715=E$1:E714)))))</f>
        <v/>
      </c>
      <c r="L715" s="28"/>
    </row>
    <row r="716" customFormat="false" ht="15" hidden="false" customHeight="false" outlineLevel="0" collapsed="false">
      <c r="A716" s="21" t="s">
        <v>12</v>
      </c>
      <c r="E716" s="25"/>
      <c r="F716" s="26" t="str">
        <f aca="false">IF(OR(E716="",E716="!!!"),"",IF(NOT(ISNA(VLOOKUP(E716,E$1:E715,1,FALSE()))),"OLD",IF(AND(E716&lt;&gt;"",E716&lt;&gt;"!!!"),"NEW","")))</f>
        <v/>
      </c>
      <c r="G716" s="22" t="str">
        <f aca="false">IF(OR(E716="",E716="!!!"),"",IF(OR(J716=0,AND(J716=1,K716=1),AND(J716=1,I716="SBJ"),AND(J716=1,I716=0)),"?IN_FOCUS",IF(J716&lt;=2,"?ACTIVATED",IF(J716&lt;&gt;"","?FAMILIAR",IF(F716="NEW",IF(ISNA(VLOOKUP(E716,#REF!,1,FALSE())),"?TYPE_IDENTIFIABLE","?REFERENTIAL"),"_")))))</f>
        <v/>
      </c>
      <c r="H716" s="23" t="str">
        <f aca="false">IF(J716&lt;&gt;1,"",IF(I716="SBJ","CB","?"))</f>
        <v/>
      </c>
      <c r="I716" s="27" t="str">
        <f aca="false">IF(OR(E716="",E716="!!!",F716="NEW"),"",INDEX(B28:B$689,-1+SUMPRODUCT(MAX(ROW(E28:E$689)*(E716=E28:E$689)))))</f>
        <v/>
      </c>
      <c r="J716" s="27" t="str">
        <f aca="true">IF(OR(E716="",E716="!!!",F716="NEW"),"",COUNTBLANK(OFFSET(A$1,,,SUMPRODUCT(MAX(ROW(E$2:E716)*(E716=E$2:E716)))))-COUNTBLANK(OFFSET(A$1,,,SUMPRODUCT(MAX(ROW(E$1:E715)*(E2=E$1:E715))))))</f>
        <v/>
      </c>
      <c r="K716" s="27" t="str">
        <f aca="false">IF(OR(E716="",E716="!!!",F716="NEW"),"",INDEX(J$1:J715,SUMPRODUCT(MAX(ROW(E$1:E715)*(E716=E$1:E715)))))</f>
        <v/>
      </c>
      <c r="L716" s="28"/>
    </row>
    <row r="717" customFormat="false" ht="15" hidden="false" customHeight="false" outlineLevel="0" collapsed="false">
      <c r="A717" s="21" t="s">
        <v>598</v>
      </c>
      <c r="E717" s="25"/>
      <c r="F717" s="26" t="str">
        <f aca="false">IF(OR(E717="",E717="!!!"),"",IF(NOT(ISNA(VLOOKUP(E717,E$1:E716,1,FALSE()))),"OLD",IF(AND(E717&lt;&gt;"",E717&lt;&gt;"!!!"),"NEW","")))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7" t="str">
        <f aca="false">IF(OR(E717="",E717="!!!",F717="NEW"),"",INDEX(B29:B$689,-1+SUMPRODUCT(MAX(ROW(E29:E$689)*(E717=E29:E$689)))))</f>
        <v/>
      </c>
      <c r="J717" s="27" t="str">
        <f aca="true">IF(OR(E717="",E717="!!!",F717="NEW"),"",COUNTBLANK(OFFSET(A$1,,,SUMPRODUCT(MAX(ROW(E$2:E717)*(E717=E$2:E717)))))-COUNTBLANK(OFFSET(A$1,,,SUMPRODUCT(MAX(ROW(E$1:E716)*(E2=E$1:E716))))))</f>
        <v/>
      </c>
      <c r="K717" s="27" t="str">
        <f aca="false">IF(OR(E717="",E717="!!!",F717="NEW"),"",INDEX(J$1:J716,SUMPRODUCT(MAX(ROW(E$1:E716)*(E717=E$1:E716)))))</f>
        <v/>
      </c>
      <c r="L717" s="28"/>
    </row>
    <row r="718" customFormat="false" ht="15" hidden="false" customHeight="false" outlineLevel="0" collapsed="false">
      <c r="A718" s="21" t="s">
        <v>599</v>
      </c>
      <c r="B718" s="29" t="s">
        <v>258</v>
      </c>
      <c r="C718" s="29" t="s">
        <v>167</v>
      </c>
      <c r="E718" s="25"/>
      <c r="F718" s="26" t="str">
        <f aca="false">IF(OR(E718="",E718="!!!"),"",IF(NOT(ISNA(VLOOKUP(E718,E$1:E717,1,FALSE()))),"OLD",IF(AND(E718&lt;&gt;"",E718&lt;&gt;"!!!"),"NEW","")))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7" t="str">
        <f aca="false">IF(OR(E718="",E718="!!!",F718="NEW"),"",INDEX(B30:B$689,-1+SUMPRODUCT(MAX(ROW(E30:E$689)*(E718=E30:E$689)))))</f>
        <v/>
      </c>
      <c r="J718" s="27" t="str">
        <f aca="true">IF(OR(E718="",E718="!!!",F718="NEW"),"",COUNTBLANK(OFFSET(A$1,,,SUMPRODUCT(MAX(ROW(E$2:E718)*(E718=E$2:E718)))))-COUNTBLANK(OFFSET(A$1,,,SUMPRODUCT(MAX(ROW(E$1:E717)*(E2=E$1:E717))))))</f>
        <v/>
      </c>
      <c r="K718" s="27" t="str">
        <f aca="false">IF(OR(E718="",E718="!!!",F718="NEW"),"",INDEX(J$1:J717,SUMPRODUCT(MAX(ROW(E$1:E717)*(E718=E$1:E717)))))</f>
        <v/>
      </c>
      <c r="L718" s="28"/>
    </row>
    <row r="719" customFormat="false" ht="15" hidden="false" customHeight="false" outlineLevel="0" collapsed="false">
      <c r="A719" s="21" t="s">
        <v>193</v>
      </c>
      <c r="E719" s="25"/>
      <c r="F719" s="26" t="str">
        <f aca="false">IF(OR(E719="",E719="!!!"),"",IF(NOT(ISNA(VLOOKUP(E719,E$1:E718,1,FALSE()))),"OLD",IF(AND(E719&lt;&gt;"",E719&lt;&gt;"!!!"),"NEW","")))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7" t="str">
        <f aca="false">IF(OR(E719="",E719="!!!",F719="NEW"),"",INDEX(B31:B$689,-1+SUMPRODUCT(MAX(ROW(E31:E$689)*(E719=E31:E$689)))))</f>
        <v/>
      </c>
      <c r="J719" s="27" t="str">
        <f aca="true">IF(OR(E719="",E719="!!!",F719="NEW"),"",COUNTBLANK(OFFSET(A$1,,,SUMPRODUCT(MAX(ROW(E$2:E719)*(E719=E$2:E719)))))-COUNTBLANK(OFFSET(A$1,,,SUMPRODUCT(MAX(ROW(E$1:E718)*(E2=E$1:E718))))))</f>
        <v/>
      </c>
      <c r="K719" s="27" t="str">
        <f aca="false">IF(OR(E719="",E719="!!!",F719="NEW"),"",INDEX(J$1:J718,SUMPRODUCT(MAX(ROW(E$1:E718)*(E719=E$1:E718)))))</f>
        <v/>
      </c>
      <c r="L719" s="28"/>
    </row>
    <row r="720" customFormat="false" ht="15" hidden="false" customHeight="false" outlineLevel="0" collapsed="false">
      <c r="A720" s="21"/>
      <c r="G720" s="22" t="str">
        <f aca="false">IF(OR(E720="",E720="!!!"),"",IF(OR(J720=0,AND(J720=1,K720=1),AND(J720=1,I720="SBJ"),AND(J720=1,I720=0)),"?IN_FOCUS",IF(J720&lt;=2,"?ACTIVATED",IF(J720&lt;&gt;"","?FAMILIAR",IF(F720="NEW",IF(ISNA(VLOOKUP(E720,#REF!,1,FALSE())),"?TYPE_IDENTIFIABLE","?REFERENTIAL"),"_")))))</f>
        <v/>
      </c>
      <c r="H720" s="23" t="str">
        <f aca="false">IF(J720&lt;&gt;1,"",IF(I720="SBJ","CB","?"))</f>
        <v/>
      </c>
    </row>
    <row r="721" customFormat="false" ht="15" hidden="false" customHeight="false" outlineLevel="0" collapsed="false">
      <c r="A721" s="21" t="s">
        <v>600</v>
      </c>
      <c r="G721" s="22" t="str">
        <f aca="false">IF(OR(E721="",E721="!!!"),"",IF(OR(J721=0,AND(J721=1,K721=1),AND(J721=1,I721="SBJ"),AND(J721=1,I721=0)),"?IN_FOCUS",IF(J721&lt;=2,"?ACTIVATED",IF(J721&lt;&gt;"","?FAMILIAR",IF(F721="NEW",IF(ISNA(VLOOKUP(E721,#REF!,1,FALSE())),"?TYPE_IDENTIFIABLE","?REFERENTIAL"),"_")))))</f>
        <v/>
      </c>
      <c r="H721" s="23" t="str">
        <f aca="false">IF(J721&lt;&gt;1,"",IF(I721="SBJ","CB","?"))</f>
        <v/>
      </c>
    </row>
    <row r="722" customFormat="false" ht="15" hidden="false" customHeight="false" outlineLevel="0" collapsed="false">
      <c r="A722" s="21" t="s">
        <v>601</v>
      </c>
      <c r="B722" s="29" t="s">
        <v>180</v>
      </c>
      <c r="C722" s="29" t="s">
        <v>243</v>
      </c>
      <c r="D722" s="29" t="s">
        <v>159</v>
      </c>
      <c r="E722" s="25" t="s">
        <v>601</v>
      </c>
      <c r="F722" s="30" t="str">
        <f aca="false">IF(OR(E722="",E722="!!!"),"",IF(NOT(ISNA(VLOOKUP(E722,E$1:E721,1,FALSE()))),"OLD",IF(AND(E722&lt;&gt;"",E722&lt;&gt;"!!!"),"NEW","")))</f>
        <v>NEW</v>
      </c>
      <c r="G722" s="22" t="s">
        <v>160</v>
      </c>
      <c r="H722" s="23" t="str">
        <f aca="false">IF(J722&lt;&gt;1,"",IF(I722="SBJ","CB","?"))</f>
        <v/>
      </c>
      <c r="I722" s="31" t="str">
        <f aca="false">IF(OR(E722="",E722="!!!",F722="NEW"),"",INDEX(B2:B$721,-1+SUMPRODUCT(MAX(ROW(E2:E$721)*(E722=E2:E$721)))))</f>
        <v/>
      </c>
      <c r="J722" s="27" t="str">
        <f aca="true">IF(OR(E722="",E722="!!!",F722="NEW"),"",COUNTBLANK(OFFSET(A$1,,,SUMPRODUCT(MAX(ROW(E$2:E722)*(E722=E$2:E722)))))-COUNTBLANK(OFFSET(A$1,,,SUMPRODUCT(MAX(ROW(E$1:E721)*(E2=E$1:E721))))))</f>
        <v/>
      </c>
      <c r="K722" s="31" t="str">
        <f aca="false">IF(OR(E722="",E722="!!!",F722="NEW"),"",INDEX(J$1:J721,SUMPRODUCT(MAX(ROW(E$1:E721)*(E722=E$1:E721)))))</f>
        <v/>
      </c>
      <c r="L722" s="28"/>
    </row>
    <row r="723" customFormat="false" ht="15" hidden="false" customHeight="false" outlineLevel="0" collapsed="false">
      <c r="A723" s="21" t="s">
        <v>165</v>
      </c>
      <c r="E723" s="25"/>
      <c r="F723" s="26" t="str">
        <f aca="false">IF(OR(E723="",E723="!!!"),"",IF(NOT(ISNA(VLOOKUP(E723,E$1:E722,1,FALSE()))),"OLD",IF(AND(E723&lt;&gt;"",E723&lt;&gt;"!!!"),"NEW","")))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7" t="str">
        <f aca="false">IF(OR(E723="",E723="!!!",F723="NEW"),"",INDEX(B3:B$721,-1+SUMPRODUCT(MAX(ROW(E3:E$721)*(E723=E3:E$721)))))</f>
        <v/>
      </c>
      <c r="J723" s="27" t="str">
        <f aca="true">IF(OR(E723="",E723="!!!",F723="NEW"),"",COUNTBLANK(OFFSET(A$1,,,SUMPRODUCT(MAX(ROW(E$2:E723)*(E723=E$2:E723)))))-COUNTBLANK(OFFSET(A$1,,,SUMPRODUCT(MAX(ROW(E$1:E722)*(E2=E$1:E722))))))</f>
        <v/>
      </c>
      <c r="K723" s="27" t="str">
        <f aca="false">IF(OR(E723="",E723="!!!",F723="NEW"),"",INDEX(J$1:J722,SUMPRODUCT(MAX(ROW(E$1:E722)*(E723=E$1:E722)))))</f>
        <v/>
      </c>
      <c r="L723" s="28"/>
    </row>
    <row r="724" customFormat="false" ht="15" hidden="false" customHeight="false" outlineLevel="0" collapsed="false">
      <c r="A724" s="21" t="s">
        <v>602</v>
      </c>
      <c r="B724" s="29" t="s">
        <v>190</v>
      </c>
      <c r="C724" s="29" t="s">
        <v>181</v>
      </c>
      <c r="D724" s="29" t="s">
        <v>159</v>
      </c>
      <c r="E724" s="25" t="s">
        <v>577</v>
      </c>
      <c r="F724" s="30" t="str">
        <f aca="false">IF(OR(E724="",E724="!!!"),"",IF(NOT(ISNA(VLOOKUP(E724,E$1:E723,1,FALSE()))),"OLD",IF(AND(E724&lt;&gt;"",E724&lt;&gt;"!!!"),"NEW","")))</f>
        <v>OLD</v>
      </c>
      <c r="G724" s="22" t="s">
        <v>160</v>
      </c>
      <c r="H724" s="23" t="str">
        <f aca="false">IF(J724&lt;&gt;1,"",IF(I724="SBJ","CB","?"))</f>
        <v/>
      </c>
      <c r="I724" s="31" t="str">
        <f aca="false">IF(OR(E724="",E724="!!!",F724="NEW"),"",INDEX(B4:B$721,-1+SUMPRODUCT(MAX(ROW(E4:E$721)*(E724=E4:E$721)))))</f>
        <v>other_5</v>
      </c>
      <c r="J724" s="31" t="n">
        <f aca="true">IF(OR(E724="",E724="!!!",F724="NEW"),"",COUNTBLANK(OFFSET(A$1,,,SUMPRODUCT(MAX(ROW(E$2:E724)*(E724=E$2:E724)))))-COUNTBLANK(OFFSET(A$1,,,SUMPRODUCT(MAX(ROW(E$1:E723)*(E2=E$1:E723))))))</f>
        <v>0</v>
      </c>
      <c r="K724" s="31" t="str">
        <f aca="false">IF(OR(E724="",E724="!!!",F724="NEW"),"",INDEX(J$1:J723,SUMPRODUCT(MAX(ROW(E$1:E723)*(E724=E$1:E723)))))</f>
        <v/>
      </c>
      <c r="L724" s="28"/>
    </row>
    <row r="725" customFormat="false" ht="15" hidden="false" customHeight="false" outlineLevel="0" collapsed="false">
      <c r="A725" s="21" t="s">
        <v>603</v>
      </c>
      <c r="E725" s="25"/>
      <c r="F725" s="26" t="str">
        <f aca="false">IF(OR(E725="",E725="!!!"),"",IF(NOT(ISNA(VLOOKUP(E725,E$1:E724,1,FALSE()))),"OLD",IF(AND(E725&lt;&gt;"",E725&lt;&gt;"!!!"),"NEW","")))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7" t="str">
        <f aca="false">IF(OR(E725="",E725="!!!",F725="NEW"),"",INDEX(B5:B$721,-1+SUMPRODUCT(MAX(ROW(E5:E$721)*(E725=E5:E$721)))))</f>
        <v/>
      </c>
      <c r="J725" s="27" t="str">
        <f aca="true">IF(OR(E725="",E725="!!!",F725="NEW"),"",COUNTBLANK(OFFSET(A$1,,,SUMPRODUCT(MAX(ROW(E$2:E725)*(E725=E$2:E725)))))-COUNTBLANK(OFFSET(A$1,,,SUMPRODUCT(MAX(ROW(E$1:E724)*(E2=E$1:E724))))))</f>
        <v/>
      </c>
      <c r="K725" s="27" t="str">
        <f aca="false">IF(OR(E725="",E725="!!!",F725="NEW"),"",INDEX(J$1:J724,SUMPRODUCT(MAX(ROW(E$1:E724)*(E725=E$1:E724)))))</f>
        <v/>
      </c>
      <c r="L725" s="28"/>
    </row>
    <row r="726" customFormat="false" ht="15" hidden="false" customHeight="false" outlineLevel="0" collapsed="false">
      <c r="A726" s="21" t="s">
        <v>35</v>
      </c>
      <c r="E726" s="25"/>
      <c r="F726" s="26" t="str">
        <f aca="false">IF(OR(E726="",E726="!!!"),"",IF(NOT(ISNA(VLOOKUP(E726,E$1:E725,1,FALSE()))),"OLD",IF(AND(E726&lt;&gt;"",E726&lt;&gt;"!!!"),"NEW","")))</f>
        <v/>
      </c>
      <c r="G726" s="22" t="str">
        <f aca="false">IF(OR(E726="",E726="!!!"),"",IF(OR(J726=0,AND(J726=1,K726=1),AND(J726=1,I726="SBJ"),AND(J726=1,I726=0)),"?IN_FOCUS",IF(J726&lt;=2,"?ACTIVATED",IF(J726&lt;&gt;"","?FAMILIAR",IF(F726="NEW",IF(ISNA(VLOOKUP(E726,#REF!,1,FALSE())),"?TYPE_IDENTIFIABLE","?REFERENTIAL"),"_")))))</f>
        <v/>
      </c>
      <c r="H726" s="23" t="str">
        <f aca="false">IF(J726&lt;&gt;1,"",IF(I726="SBJ","CB","?"))</f>
        <v/>
      </c>
      <c r="I726" s="27" t="str">
        <f aca="false">IF(OR(E726="",E726="!!!",F726="NEW"),"",INDEX(B6:B$721,-1+SUMPRODUCT(MAX(ROW(E6:E$721)*(E726=E6:E$721)))))</f>
        <v/>
      </c>
      <c r="J726" s="27" t="str">
        <f aca="true">IF(OR(E726="",E726="!!!",F726="NEW"),"",COUNTBLANK(OFFSET(A$1,,,SUMPRODUCT(MAX(ROW(E$2:E726)*(E726=E$2:E726)))))-COUNTBLANK(OFFSET(A$1,,,SUMPRODUCT(MAX(ROW(E$1:E725)*(E2=E$1:E725))))))</f>
        <v/>
      </c>
      <c r="K726" s="27" t="str">
        <f aca="false">IF(OR(E726="",E726="!!!",F726="NEW"),"",INDEX(J$1:J725,SUMPRODUCT(MAX(ROW(E$1:E725)*(E726=E$1:E725)))))</f>
        <v/>
      </c>
      <c r="L726" s="28"/>
    </row>
    <row r="727" customFormat="false" ht="15" hidden="false" customHeight="false" outlineLevel="0" collapsed="false">
      <c r="A727" s="21" t="s">
        <v>604</v>
      </c>
      <c r="E727" s="25"/>
      <c r="F727" s="26" t="str">
        <f aca="false">IF(OR(E727="",E727="!!!"),"",IF(NOT(ISNA(VLOOKUP(E727,E$1:E726,1,FALSE()))),"OLD",IF(AND(E727&lt;&gt;"",E727&lt;&gt;"!!!"),"NEW","")))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7" t="str">
        <f aca="false">IF(OR(E727="",E727="!!!",F727="NEW"),"",INDEX(B7:B$721,-1+SUMPRODUCT(MAX(ROW(E7:E$721)*(E727=E7:E$721)))))</f>
        <v/>
      </c>
      <c r="J727" s="27" t="str">
        <f aca="true">IF(OR(E727="",E727="!!!",F727="NEW"),"",COUNTBLANK(OFFSET(A$1,,,SUMPRODUCT(MAX(ROW(E$2:E727)*(E727=E$2:E727)))))-COUNTBLANK(OFFSET(A$1,,,SUMPRODUCT(MAX(ROW(E$1:E726)*(E2=E$1:E726))))))</f>
        <v/>
      </c>
      <c r="K727" s="27" t="str">
        <f aca="false">IF(OR(E727="",E727="!!!",F727="NEW"),"",INDEX(J$1:J726,SUMPRODUCT(MAX(ROW(E$1:E726)*(E727=E$1:E726)))))</f>
        <v/>
      </c>
      <c r="L727" s="28"/>
    </row>
    <row r="728" customFormat="false" ht="15" hidden="false" customHeight="false" outlineLevel="0" collapsed="false">
      <c r="A728" s="21" t="s">
        <v>605</v>
      </c>
      <c r="E728" s="25"/>
      <c r="F728" s="26" t="str">
        <f aca="false">IF(OR(E728="",E728="!!!"),"",IF(NOT(ISNA(VLOOKUP(E728,E$1:E727,1,FALSE()))),"OLD",IF(AND(E728&lt;&gt;"",E728&lt;&gt;"!!!"),"NEW","")))</f>
        <v/>
      </c>
      <c r="G728" s="22" t="str">
        <f aca="false">IF(OR(E728="",E728="!!!"),"",IF(OR(J728=0,AND(J728=1,K728=1),AND(J728=1,I728="SBJ"),AND(J728=1,I728=0)),"?IN_FOCUS",IF(J728&lt;=2,"?ACTIVATED",IF(J728&lt;&gt;"","?FAMILIAR",IF(F728="NEW",IF(ISNA(VLOOKUP(E728,#REF!,1,FALSE())),"?TYPE_IDENTIFIABLE","?REFERENTIAL"),"_")))))</f>
        <v/>
      </c>
      <c r="H728" s="23" t="str">
        <f aca="false">IF(J728&lt;&gt;1,"",IF(I728="SBJ","CB","?"))</f>
        <v/>
      </c>
      <c r="I728" s="27" t="str">
        <f aca="false">IF(OR(E728="",E728="!!!",F728="NEW"),"",INDEX(B8:B$721,-1+SUMPRODUCT(MAX(ROW(E8:E$721)*(E728=E8:E$721)))))</f>
        <v/>
      </c>
      <c r="J728" s="27" t="str">
        <f aca="true">IF(OR(E728="",E728="!!!",F728="NEW"),"",COUNTBLANK(OFFSET(A$1,,,SUMPRODUCT(MAX(ROW(E$2:E728)*(E728=E$2:E728)))))-COUNTBLANK(OFFSET(A$1,,,SUMPRODUCT(MAX(ROW(E$1:E727)*(E2=E$1:E727))))))</f>
        <v/>
      </c>
      <c r="K728" s="27" t="str">
        <f aca="false">IF(OR(E728="",E728="!!!",F728="NEW"),"",INDEX(J$1:J727,SUMPRODUCT(MAX(ROW(E$1:E727)*(E728=E$1:E727)))))</f>
        <v/>
      </c>
      <c r="L728" s="28"/>
    </row>
    <row r="729" customFormat="false" ht="15" hidden="false" customHeight="false" outlineLevel="0" collapsed="false">
      <c r="A729" s="21" t="s">
        <v>415</v>
      </c>
      <c r="B729" s="29" t="s">
        <v>185</v>
      </c>
      <c r="C729" s="29" t="s">
        <v>416</v>
      </c>
      <c r="E729" s="25"/>
      <c r="F729" s="26" t="str">
        <f aca="false">IF(OR(E729="",E729="!!!"),"",IF(NOT(ISNA(VLOOKUP(E729,E$1:E728,1,FALSE()))),"OLD",IF(AND(E729&lt;&gt;"",E729&lt;&gt;"!!!"),"NEW","")))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7" t="str">
        <f aca="false">IF(OR(E729="",E729="!!!",F729="NEW"),"",INDEX(B9:B$721,-1+SUMPRODUCT(MAX(ROW(E9:E$721)*(E729=E9:E$721)))))</f>
        <v/>
      </c>
      <c r="J729" s="27" t="str">
        <f aca="true">IF(OR(E729="",E729="!!!",F729="NEW"),"",COUNTBLANK(OFFSET(A$1,,,SUMPRODUCT(MAX(ROW(E$2:E729)*(E729=E$2:E729)))))-COUNTBLANK(OFFSET(A$1,,,SUMPRODUCT(MAX(ROW(E$1:E728)*(E2=E$1:E728))))))</f>
        <v/>
      </c>
      <c r="K729" s="27" t="str">
        <f aca="false">IF(OR(E729="",E729="!!!",F729="NEW"),"",INDEX(J$1:J728,SUMPRODUCT(MAX(ROW(E$1:E728)*(E729=E$1:E728)))))</f>
        <v/>
      </c>
      <c r="L729" s="28"/>
    </row>
    <row r="730" customFormat="false" ht="15" hidden="false" customHeight="false" outlineLevel="0" collapsed="false">
      <c r="A730" s="21" t="s">
        <v>187</v>
      </c>
      <c r="E730" s="25"/>
      <c r="F730" s="26" t="str">
        <f aca="false">IF(OR(E730="",E730="!!!"),"",IF(NOT(ISNA(VLOOKUP(E730,E$1:E729,1,FALSE()))),"OLD",IF(AND(E730&lt;&gt;"",E730&lt;&gt;"!!!"),"NEW","")))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7" t="str">
        <f aca="false">IF(OR(E730="",E730="!!!",F730="NEW"),"",INDEX(B10:B$721,-1+SUMPRODUCT(MAX(ROW(E10:E$721)*(E730=E10:E$721)))))</f>
        <v/>
      </c>
      <c r="J730" s="27" t="str">
        <f aca="true">IF(OR(E730="",E730="!!!",F730="NEW"),"",COUNTBLANK(OFFSET(A$1,,,SUMPRODUCT(MAX(ROW(E$2:E730)*(E730=E$2:E730)))))-COUNTBLANK(OFFSET(A$1,,,SUMPRODUCT(MAX(ROW(E$1:E729)*(E2=E$1:E729))))))</f>
        <v/>
      </c>
      <c r="K730" s="27" t="str">
        <f aca="false">IF(OR(E730="",E730="!!!",F730="NEW"),"",INDEX(J$1:J729,SUMPRODUCT(MAX(ROW(E$1:E729)*(E730=E$1:E729)))))</f>
        <v/>
      </c>
      <c r="L730" s="28"/>
    </row>
    <row r="731" customFormat="false" ht="15" hidden="false" customHeight="false" outlineLevel="0" collapsed="false">
      <c r="A731" s="21" t="s">
        <v>606</v>
      </c>
      <c r="E731" s="25"/>
      <c r="F731" s="26" t="str">
        <f aca="false">IF(OR(E731="",E731="!!!"),"",IF(NOT(ISNA(VLOOKUP(E731,E$1:E730,1,FALSE()))),"OLD",IF(AND(E731&lt;&gt;"",E731&lt;&gt;"!!!"),"NEW","")))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7" t="str">
        <f aca="false">IF(OR(E731="",E731="!!!",F731="NEW"),"",INDEX(B11:B$721,-1+SUMPRODUCT(MAX(ROW(E11:E$721)*(E731=E11:E$721)))))</f>
        <v/>
      </c>
      <c r="J731" s="27" t="str">
        <f aca="true">IF(OR(E731="",E731="!!!",F731="NEW"),"",COUNTBLANK(OFFSET(A$1,,,SUMPRODUCT(MAX(ROW(E$2:E731)*(E731=E$2:E731)))))-COUNTBLANK(OFFSET(A$1,,,SUMPRODUCT(MAX(ROW(E$1:E730)*(E2=E$1:E730))))))</f>
        <v/>
      </c>
      <c r="K731" s="27" t="str">
        <f aca="false">IF(OR(E731="",E731="!!!",F731="NEW"),"",INDEX(J$1:J730,SUMPRODUCT(MAX(ROW(E$1:E730)*(E731=E$1:E730)))))</f>
        <v/>
      </c>
      <c r="L731" s="28"/>
    </row>
    <row r="732" customFormat="false" ht="15" hidden="false" customHeight="false" outlineLevel="0" collapsed="false">
      <c r="A732" s="21" t="s">
        <v>175</v>
      </c>
      <c r="E732" s="25"/>
      <c r="F732" s="26" t="str">
        <f aca="false">IF(OR(E732="",E732="!!!"),"",IF(NOT(ISNA(VLOOKUP(E732,E$1:E731,1,FALSE()))),"OLD",IF(AND(E732&lt;&gt;"",E732&lt;&gt;"!!!"),"NEW","")))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7" t="str">
        <f aca="false">IF(OR(E732="",E732="!!!",F732="NEW"),"",INDEX(B12:B$721,-1+SUMPRODUCT(MAX(ROW(E12:E$721)*(E732=E12:E$721)))))</f>
        <v/>
      </c>
      <c r="J732" s="27" t="str">
        <f aca="true">IF(OR(E732="",E732="!!!",F732="NEW"),"",COUNTBLANK(OFFSET(A$1,,,SUMPRODUCT(MAX(ROW(E$2:E732)*(E732=E$2:E732)))))-COUNTBLANK(OFFSET(A$1,,,SUMPRODUCT(MAX(ROW(E$1:E731)*(E2=E$1:E731))))))</f>
        <v/>
      </c>
      <c r="K732" s="27" t="str">
        <f aca="false">IF(OR(E732="",E732="!!!",F732="NEW"),"",INDEX(J$1:J731,SUMPRODUCT(MAX(ROW(E$1:E731)*(E732=E$1:E731)))))</f>
        <v/>
      </c>
      <c r="L732" s="28"/>
    </row>
    <row r="733" customFormat="false" ht="15" hidden="false" customHeight="false" outlineLevel="0" collapsed="false">
      <c r="A733" s="21" t="s">
        <v>166</v>
      </c>
      <c r="B733" s="29" t="s">
        <v>258</v>
      </c>
      <c r="C733" s="29" t="s">
        <v>164</v>
      </c>
      <c r="E733" s="25"/>
      <c r="F733" s="26" t="str">
        <f aca="false">IF(OR(E733="",E733="!!!"),"",IF(NOT(ISNA(VLOOKUP(E733,E$1:E732,1,FALSE()))),"OLD",IF(AND(E733&lt;&gt;"",E733&lt;&gt;"!!!"),"NEW","")))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7" t="str">
        <f aca="false">IF(OR(E733="",E733="!!!",F733="NEW"),"",INDEX(B13:B$721,-1+SUMPRODUCT(MAX(ROW(E13:E$721)*(E733=E13:E$721)))))</f>
        <v/>
      </c>
      <c r="J733" s="27" t="str">
        <f aca="true">IF(OR(E733="",E733="!!!",F733="NEW"),"",COUNTBLANK(OFFSET(A$1,,,SUMPRODUCT(MAX(ROW(E$2:E733)*(E733=E$2:E733)))))-COUNTBLANK(OFFSET(A$1,,,SUMPRODUCT(MAX(ROW(E$1:E732)*(E2=E$1:E732))))))</f>
        <v/>
      </c>
      <c r="K733" s="27" t="str">
        <f aca="false">IF(OR(E733="",E733="!!!",F733="NEW"),"",INDEX(J$1:J732,SUMPRODUCT(MAX(ROW(E$1:E732)*(E733=E$1:E732)))))</f>
        <v/>
      </c>
      <c r="L733" s="28"/>
    </row>
    <row r="734" customFormat="false" ht="15" hidden="false" customHeight="false" outlineLevel="0" collapsed="false">
      <c r="A734" s="21" t="s">
        <v>607</v>
      </c>
      <c r="E734" s="25"/>
      <c r="F734" s="26" t="str">
        <f aca="false">IF(OR(E734="",E734="!!!"),"",IF(NOT(ISNA(VLOOKUP(E734,E$1:E733,1,FALSE()))),"OLD",IF(AND(E734&lt;&gt;"",E734&lt;&gt;"!!!"),"NEW","")))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7" t="str">
        <f aca="false">IF(OR(E734="",E734="!!!",F734="NEW"),"",INDEX(B14:B$721,-1+SUMPRODUCT(MAX(ROW(E14:E$721)*(E734=E14:E$721)))))</f>
        <v/>
      </c>
      <c r="J734" s="27" t="str">
        <f aca="true">IF(OR(E734="",E734="!!!",F734="NEW"),"",COUNTBLANK(OFFSET(A$1,,,SUMPRODUCT(MAX(ROW(E$2:E734)*(E734=E$2:E734)))))-COUNTBLANK(OFFSET(A$1,,,SUMPRODUCT(MAX(ROW(E$1:E733)*(E2=E$1:E733))))))</f>
        <v/>
      </c>
      <c r="K734" s="27" t="str">
        <f aca="false">IF(OR(E734="",E734="!!!",F734="NEW"),"",INDEX(J$1:J733,SUMPRODUCT(MAX(ROW(E$1:E733)*(E734=E$1:E733)))))</f>
        <v/>
      </c>
      <c r="L734" s="28"/>
    </row>
    <row r="735" customFormat="false" ht="79.85" hidden="false" customHeight="false" outlineLevel="0" collapsed="false">
      <c r="A735" s="21" t="s">
        <v>530</v>
      </c>
      <c r="B735" s="29" t="s">
        <v>210</v>
      </c>
      <c r="C735" s="29" t="s">
        <v>316</v>
      </c>
      <c r="D735" s="29" t="s">
        <v>159</v>
      </c>
      <c r="E735" s="25" t="s">
        <v>591</v>
      </c>
      <c r="F735" s="26" t="str">
        <f aca="false">IF(OR(E735="",E735="!!!"),"",IF(NOT(ISNA(VLOOKUP(E735,E$1:E734,1,FALSE()))),"OLD",IF(AND(E735&lt;&gt;"",E735&lt;&gt;"!!!"),"NEW","")))</f>
        <v>OLD</v>
      </c>
      <c r="G735" s="22" t="s">
        <v>186</v>
      </c>
      <c r="H735" s="23" t="str">
        <f aca="false">IF(J735&lt;&gt;1,"",IF(I735="SBJ","CB","?"))</f>
        <v/>
      </c>
      <c r="I735" s="31" t="str">
        <f aca="false">IF(OR(E735="",E735="!!!",F735="NEW"),"",INDEX(B15:B$721,-1+SUMPRODUCT(MAX(ROW(E15:E$721)*(E735=E15:E$721)))))</f>
        <v>OBJ_2</v>
      </c>
      <c r="J735" s="31" t="n">
        <f aca="true">IF(OR(E735="",E735="!!!",F735="NEW"),"",COUNTBLANK(OFFSET(A$1,,,SUMPRODUCT(MAX(ROW(E$2:E735)*(E735=E$2:E735)))))-COUNTBLANK(OFFSET(A$1,,,SUMPRODUCT(MAX(ROW(E$1:E734)*(E2=E$1:E734))))))</f>
        <v>0</v>
      </c>
      <c r="K735" s="31" t="str">
        <f aca="false">IF(OR(E735="",E735="!!!",F735="NEW"),"",INDEX(J$1:J734,SUMPRODUCT(MAX(ROW(E$1:E734)*(E735=E$1:E734)))))</f>
        <v/>
      </c>
      <c r="L735" s="28" t="s">
        <v>608</v>
      </c>
    </row>
    <row r="736" customFormat="false" ht="15" hidden="false" customHeight="false" outlineLevel="0" collapsed="false">
      <c r="A736" s="21" t="s">
        <v>178</v>
      </c>
      <c r="E736" s="25"/>
      <c r="F736" s="26" t="str">
        <f aca="false">IF(OR(E736="",E736="!!!"),"",IF(NOT(ISNA(VLOOKUP(E736,E$1:E735,1,FALSE()))),"OLD",IF(AND(E736&lt;&gt;"",E736&lt;&gt;"!!!"),"NEW","")))</f>
        <v/>
      </c>
      <c r="G736" s="22" t="str">
        <f aca="false">IF(OR(E736="",E736="!!!"),"",IF(OR(J736=0,AND(J736=1,K736=1),AND(J736=1,I736="SBJ"),AND(J736=1,I736=0)),"?IN_FOCUS",IF(J736&lt;=2,"?ACTIVATED",IF(J736&lt;&gt;"","?FAMILIAR",IF(F736="NEW",IF(ISNA(VLOOKUP(E736,#REF!,1,FALSE())),"?TYPE_IDENTIFIABLE","?REFERENTIAL"),"_")))))</f>
        <v/>
      </c>
      <c r="H736" s="23" t="str">
        <f aca="false">IF(J736&lt;&gt;1,"",IF(I736="SBJ","CB","?"))</f>
        <v/>
      </c>
      <c r="I736" s="27" t="str">
        <f aca="false">IF(OR(E736="",E736="!!!",F736="NEW"),"",INDEX(B16:B$721,-1+SUMPRODUCT(MAX(ROW(E16:E$721)*(E736=E16:E$721)))))</f>
        <v/>
      </c>
      <c r="J736" s="27" t="str">
        <f aca="true">IF(OR(E736="",E736="!!!",F736="NEW"),"",COUNTBLANK(OFFSET(A$1,,,SUMPRODUCT(MAX(ROW(E$2:E736)*(E736=E$2:E736)))))-COUNTBLANK(OFFSET(A$1,,,SUMPRODUCT(MAX(ROW(E$1:E735)*(E2=E$1:E735))))))</f>
        <v/>
      </c>
      <c r="K736" s="27" t="str">
        <f aca="false">IF(OR(E736="",E736="!!!",F736="NEW"),"",INDEX(J$1:J735,SUMPRODUCT(MAX(ROW(E$1:E735)*(E736=E$1:E735)))))</f>
        <v/>
      </c>
      <c r="L736" s="28"/>
    </row>
    <row r="737" customFormat="false" ht="15" hidden="false" customHeight="false" outlineLevel="0" collapsed="false">
      <c r="A737" s="21" t="s">
        <v>609</v>
      </c>
      <c r="E737" s="25"/>
      <c r="F737" s="26" t="str">
        <f aca="false">IF(OR(E737="",E737="!!!"),"",IF(NOT(ISNA(VLOOKUP(E737,E$1:E736,1,FALSE()))),"OLD",IF(AND(E737&lt;&gt;"",E737&lt;&gt;"!!!"),"NEW","")))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7" t="str">
        <f aca="false">IF(OR(E737="",E737="!!!",F737="NEW"),"",INDEX(B17:B$721,-1+SUMPRODUCT(MAX(ROW(E17:E$721)*(E737=E17:E$721)))))</f>
        <v/>
      </c>
      <c r="J737" s="27" t="str">
        <f aca="true">IF(OR(E737="",E737="!!!",F737="NEW"),"",COUNTBLANK(OFFSET(A$1,,,SUMPRODUCT(MAX(ROW(E$2:E737)*(E737=E$2:E737)))))-COUNTBLANK(OFFSET(A$1,,,SUMPRODUCT(MAX(ROW(E$1:E736)*(E2=E$1:E736))))))</f>
        <v/>
      </c>
      <c r="K737" s="27" t="str">
        <f aca="false">IF(OR(E737="",E737="!!!",F737="NEW"),"",INDEX(J$1:J736,SUMPRODUCT(MAX(ROW(E$1:E736)*(E737=E$1:E736)))))</f>
        <v/>
      </c>
      <c r="L737" s="28"/>
    </row>
    <row r="738" customFormat="false" ht="15" hidden="false" customHeight="false" outlineLevel="0" collapsed="false">
      <c r="A738" s="21" t="s">
        <v>169</v>
      </c>
      <c r="E738" s="25"/>
      <c r="F738" s="26" t="str">
        <f aca="false">IF(OR(E738="",E738="!!!"),"",IF(NOT(ISNA(VLOOKUP(E738,E$1:E737,1,FALSE()))),"OLD",IF(AND(E738&lt;&gt;"",E738&lt;&gt;"!!!"),"NEW","")))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7" t="str">
        <f aca="false">IF(OR(E738="",E738="!!!",F738="NEW"),"",INDEX(B18:B$721,-1+SUMPRODUCT(MAX(ROW(E18:E$721)*(E738=E18:E$721)))))</f>
        <v/>
      </c>
      <c r="J738" s="27" t="str">
        <f aca="true">IF(OR(E738="",E738="!!!",F738="NEW"),"",COUNTBLANK(OFFSET(A$1,,,SUMPRODUCT(MAX(ROW(E$2:E738)*(E738=E$2:E738)))))-COUNTBLANK(OFFSET(A$1,,,SUMPRODUCT(MAX(ROW(E$1:E737)*(E2=E$1:E737))))))</f>
        <v/>
      </c>
      <c r="K738" s="27" t="str">
        <f aca="false">IF(OR(E738="",E738="!!!",F738="NEW"),"",INDEX(J$1:J737,SUMPRODUCT(MAX(ROW(E$1:E737)*(E738=E$1:E737)))))</f>
        <v/>
      </c>
      <c r="L738" s="28"/>
    </row>
    <row r="739" customFormat="false" ht="15" hidden="false" customHeight="false" outlineLevel="0" collapsed="false">
      <c r="A739" s="21" t="s">
        <v>610</v>
      </c>
      <c r="B739" s="29" t="s">
        <v>190</v>
      </c>
      <c r="C739" s="29" t="s">
        <v>171</v>
      </c>
      <c r="D739" s="29" t="s">
        <v>159</v>
      </c>
      <c r="E739" s="25" t="s">
        <v>611</v>
      </c>
      <c r="F739" s="30" t="str">
        <f aca="false">IF(OR(E739="",E739="!!!"),"",IF(NOT(ISNA(VLOOKUP(E739,E$1:E738,1,FALSE()))),"OLD",IF(AND(E739&lt;&gt;"",E739&lt;&gt;"!!!"),"NEW","")))</f>
        <v>NEW</v>
      </c>
      <c r="G739" s="22" t="s">
        <v>160</v>
      </c>
      <c r="H739" s="23" t="str">
        <f aca="false">IF(J739&lt;&gt;1,"",IF(I739="SBJ","CB","?"))</f>
        <v/>
      </c>
      <c r="I739" s="31" t="str">
        <f aca="false">IF(OR(E739="",E739="!!!",F739="NEW"),"",INDEX(B19:B$721,-1+SUMPRODUCT(MAX(ROW(E19:E$721)*(E739=E19:E$721)))))</f>
        <v/>
      </c>
      <c r="J739" s="31" t="str">
        <f aca="true">IF(OR(E739="",E739="!!!",F739="NEW"),"",COUNTBLANK(OFFSET(A$1,,,SUMPRODUCT(MAX(ROW(E$2:E739)*(E739=E$2:E739)))))-COUNTBLANK(OFFSET(A$1,,,SUMPRODUCT(MAX(ROW(E$1:E738)*(E2=E$1:E738))))))</f>
        <v/>
      </c>
      <c r="K739" s="31" t="str">
        <f aca="false">IF(OR(E739="",E739="!!!",F739="NEW"),"",INDEX(J$1:J738,SUMPRODUCT(MAX(ROW(E$1:E738)*(E739=E$1:E738)))))</f>
        <v/>
      </c>
      <c r="L739" s="28"/>
    </row>
    <row r="740" customFormat="false" ht="15" hidden="false" customHeight="false" outlineLevel="0" collapsed="false">
      <c r="A740" s="21" t="s">
        <v>165</v>
      </c>
      <c r="E740" s="25"/>
      <c r="F740" s="26" t="str">
        <f aca="false">IF(OR(E740="",E740="!!!"),"",IF(NOT(ISNA(VLOOKUP(E740,E$1:E739,1,FALSE()))),"OLD",IF(AND(E740&lt;&gt;"",E740&lt;&gt;"!!!"),"NEW","")))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7" t="str">
        <f aca="false">IF(OR(E740="",E740="!!!",F740="NEW"),"",INDEX(B20:B$721,-1+SUMPRODUCT(MAX(ROW(E20:E$721)*(E740=E20:E$721)))))</f>
        <v/>
      </c>
      <c r="J740" s="27" t="str">
        <f aca="true">IF(OR(E740="",E740="!!!",F740="NEW"),"",COUNTBLANK(OFFSET(A$1,,,SUMPRODUCT(MAX(ROW(E$2:E740)*(E740=E$2:E740)))))-COUNTBLANK(OFFSET(A$1,,,SUMPRODUCT(MAX(ROW(E$1:E739)*(E2=E$1:E739))))))</f>
        <v/>
      </c>
      <c r="K740" s="27" t="str">
        <f aca="false">IF(OR(E740="",E740="!!!",F740="NEW"),"",INDEX(J$1:J739,SUMPRODUCT(MAX(ROW(E$1:E739)*(E740=E$1:E739)))))</f>
        <v/>
      </c>
      <c r="L740" s="28"/>
    </row>
    <row r="741" customFormat="false" ht="15" hidden="false" customHeight="false" outlineLevel="0" collapsed="false">
      <c r="A741" s="21" t="s">
        <v>612</v>
      </c>
      <c r="E741" s="25"/>
      <c r="F741" s="26" t="str">
        <f aca="false">IF(OR(E741="",E741="!!!"),"",IF(NOT(ISNA(VLOOKUP(E741,E$1:E740,1,FALSE()))),"OLD",IF(AND(E741&lt;&gt;"",E741&lt;&gt;"!!!"),"NEW","")))</f>
        <v/>
      </c>
      <c r="G741" s="22" t="str">
        <f aca="false">IF(OR(E741="",E741="!!!"),"",IF(OR(J741=0,AND(J741=1,K741=1),AND(J741=1,I741="SBJ"),AND(J741=1,I741=0)),"?IN_FOCUS",IF(J741&lt;=2,"?ACTIVATED",IF(J741&lt;&gt;"","?FAMILIAR",IF(F741="NEW",IF(ISNA(VLOOKUP(E741,#REF!,1,FALSE())),"?TYPE_IDENTIFIABLE","?REFERENTIAL"),"_")))))</f>
        <v/>
      </c>
      <c r="H741" s="23" t="str">
        <f aca="false">IF(J741&lt;&gt;1,"",IF(I741="SBJ","CB","?"))</f>
        <v/>
      </c>
      <c r="I741" s="27" t="str">
        <f aca="false">IF(OR(E741="",E741="!!!",F741="NEW"),"",INDEX(B21:B$721,-1+SUMPRODUCT(MAX(ROW(E21:E$721)*(E741=E21:E$721)))))</f>
        <v/>
      </c>
      <c r="J741" s="27" t="str">
        <f aca="true">IF(OR(E741="",E741="!!!",F741="NEW"),"",COUNTBLANK(OFFSET(A$1,,,SUMPRODUCT(MAX(ROW(E$2:E741)*(E741=E$2:E741)))))-COUNTBLANK(OFFSET(A$1,,,SUMPRODUCT(MAX(ROW(E$1:E740)*(E2=E$1:E740))))))</f>
        <v/>
      </c>
      <c r="K741" s="27" t="str">
        <f aca="false">IF(OR(E741="",E741="!!!",F741="NEW"),"",INDEX(J$1:J740,SUMPRODUCT(MAX(ROW(E$1:E740)*(E741=E$1:E740)))))</f>
        <v/>
      </c>
      <c r="L741" s="28"/>
    </row>
    <row r="742" customFormat="false" ht="15" hidden="false" customHeight="false" outlineLevel="0" collapsed="false">
      <c r="A742" s="21" t="s">
        <v>555</v>
      </c>
      <c r="B742" s="29" t="s">
        <v>210</v>
      </c>
      <c r="C742" s="29" t="s">
        <v>167</v>
      </c>
      <c r="E742" s="25"/>
      <c r="F742" s="26" t="str">
        <f aca="false">IF(OR(E742="",E742="!!!"),"",IF(NOT(ISNA(VLOOKUP(E742,E$1:E741,1,FALSE()))),"OLD",IF(AND(E742&lt;&gt;"",E742&lt;&gt;"!!!"),"NEW","")))</f>
        <v/>
      </c>
      <c r="G742" s="22" t="str">
        <f aca="false">IF(OR(E742="",E742="!!!"),"",IF(OR(J742=0,AND(J742=1,K742=1),AND(J742=1,I742="SBJ"),AND(J742=1,I742=0)),"?IN_FOCUS",IF(J742&lt;=2,"?ACTIVATED",IF(J742&lt;&gt;"","?FAMILIAR",IF(F742="NEW",IF(ISNA(VLOOKUP(E742,#REF!,1,FALSE())),"?TYPE_IDENTIFIABLE","?REFERENTIAL"),"_")))))</f>
        <v/>
      </c>
      <c r="H742" s="23" t="str">
        <f aca="false">IF(J742&lt;&gt;1,"",IF(I742="SBJ","CB","?"))</f>
        <v/>
      </c>
      <c r="I742" s="27" t="str">
        <f aca="false">IF(OR(E742="",E742="!!!",F742="NEW"),"",INDEX(B22:B$721,-1+SUMPRODUCT(MAX(ROW(E22:E$721)*(E742=E22:E$721)))))</f>
        <v/>
      </c>
      <c r="J742" s="27" t="str">
        <f aca="true">IF(OR(E742="",E742="!!!",F742="NEW"),"",COUNTBLANK(OFFSET(A$1,,,SUMPRODUCT(MAX(ROW(E$2:E742)*(E742=E$2:E742)))))-COUNTBLANK(OFFSET(A$1,,,SUMPRODUCT(MAX(ROW(E$1:E741)*(E2=E$1:E741))))))</f>
        <v/>
      </c>
      <c r="K742" s="27" t="str">
        <f aca="false">IF(OR(E742="",E742="!!!",F742="NEW"),"",INDEX(J$1:J741,SUMPRODUCT(MAX(ROW(E$1:E741)*(E742=E$1:E741)))))</f>
        <v/>
      </c>
      <c r="L742" s="28"/>
    </row>
    <row r="743" customFormat="false" ht="15" hidden="false" customHeight="false" outlineLevel="0" collapsed="false">
      <c r="A743" s="21" t="s">
        <v>178</v>
      </c>
      <c r="E743" s="25"/>
      <c r="F743" s="26" t="str">
        <f aca="false">IF(OR(E743="",E743="!!!"),"",IF(NOT(ISNA(VLOOKUP(E743,E$1:E742,1,FALSE()))),"OLD",IF(AND(E743&lt;&gt;"",E743&lt;&gt;"!!!"),"NEW","")))</f>
        <v/>
      </c>
      <c r="G743" s="22" t="str">
        <f aca="false">IF(OR(E743="",E743="!!!"),"",IF(OR(J743=0,AND(J743=1,K743=1),AND(J743=1,I743="SBJ"),AND(J743=1,I743=0)),"?IN_FOCUS",IF(J743&lt;=2,"?ACTIVATED",IF(J743&lt;&gt;"","?FAMILIAR",IF(F743="NEW",IF(ISNA(VLOOKUP(E743,#REF!,1,FALSE())),"?TYPE_IDENTIFIABLE","?REFERENTIAL"),"_")))))</f>
        <v/>
      </c>
      <c r="H743" s="23" t="str">
        <f aca="false">IF(J743&lt;&gt;1,"",IF(I743="SBJ","CB","?"))</f>
        <v/>
      </c>
      <c r="I743" s="27" t="str">
        <f aca="false">IF(OR(E743="",E743="!!!",F743="NEW"),"",INDEX(B23:B$721,-1+SUMPRODUCT(MAX(ROW(E23:E$721)*(E743=E23:E$721)))))</f>
        <v/>
      </c>
      <c r="J743" s="27" t="str">
        <f aca="true">IF(OR(E743="",E743="!!!",F743="NEW"),"",COUNTBLANK(OFFSET(A$1,,,SUMPRODUCT(MAX(ROW(E$2:E743)*(E743=E$2:E743)))))-COUNTBLANK(OFFSET(A$1,,,SUMPRODUCT(MAX(ROW(E$1:E742)*(E2=E$1:E742))))))</f>
        <v/>
      </c>
      <c r="K743" s="27" t="str">
        <f aca="false">IF(OR(E743="",E743="!!!",F743="NEW"),"",INDEX(J$1:J742,SUMPRODUCT(MAX(ROW(E$1:E742)*(E743=E$1:E742)))))</f>
        <v/>
      </c>
      <c r="L743" s="28"/>
    </row>
    <row r="744" customFormat="false" ht="15" hidden="false" customHeight="false" outlineLevel="0" collapsed="false">
      <c r="A744" s="21" t="s">
        <v>613</v>
      </c>
      <c r="E744" s="25"/>
      <c r="F744" s="26" t="str">
        <f aca="false">IF(OR(E744="",E744="!!!"),"",IF(NOT(ISNA(VLOOKUP(E744,E$1:E743,1,FALSE()))),"OLD",IF(AND(E744&lt;&gt;"",E744&lt;&gt;"!!!"),"NEW","")))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7" t="str">
        <f aca="false">IF(OR(E744="",E744="!!!",F744="NEW"),"",INDEX(B24:B$721,-1+SUMPRODUCT(MAX(ROW(E24:E$721)*(E744=E24:E$721)))))</f>
        <v/>
      </c>
      <c r="J744" s="27" t="str">
        <f aca="true">IF(OR(E744="",E744="!!!",F744="NEW"),"",COUNTBLANK(OFFSET(A$1,,,SUMPRODUCT(MAX(ROW(E$2:E744)*(E744=E$2:E744)))))-COUNTBLANK(OFFSET(A$1,,,SUMPRODUCT(MAX(ROW(E$1:E743)*(E2=E$1:E743))))))</f>
        <v/>
      </c>
      <c r="K744" s="27" t="str">
        <f aca="false">IF(OR(E744="",E744="!!!",F744="NEW"),"",INDEX(J$1:J743,SUMPRODUCT(MAX(ROW(E$1:E743)*(E744=E$1:E743)))))</f>
        <v/>
      </c>
      <c r="L744" s="28"/>
    </row>
    <row r="745" customFormat="false" ht="15" hidden="false" customHeight="false" outlineLevel="0" collapsed="false">
      <c r="A745" s="21" t="s">
        <v>367</v>
      </c>
      <c r="E745" s="25"/>
      <c r="F745" s="26" t="str">
        <f aca="false">IF(OR(E745="",E745="!!!"),"",IF(NOT(ISNA(VLOOKUP(E745,E$1:E744,1,FALSE()))),"OLD",IF(AND(E745&lt;&gt;"",E745&lt;&gt;"!!!"),"NEW","")))</f>
        <v/>
      </c>
      <c r="G745" s="22" t="str">
        <f aca="false">IF(OR(E745="",E745="!!!"),"",IF(OR(J745=0,AND(J745=1,K745=1),AND(J745=1,I745="SBJ"),AND(J745=1,I745=0)),"?IN_FOCUS",IF(J745&lt;=2,"?ACTIVATED",IF(J745&lt;&gt;"","?FAMILIAR",IF(F745="NEW",IF(ISNA(VLOOKUP(E745,#REF!,1,FALSE())),"?TYPE_IDENTIFIABLE","?REFERENTIAL"),"_")))))</f>
        <v/>
      </c>
      <c r="H745" s="23" t="str">
        <f aca="false">IF(J745&lt;&gt;1,"",IF(I745="SBJ","CB","?"))</f>
        <v/>
      </c>
      <c r="I745" s="27" t="str">
        <f aca="false">IF(OR(E745="",E745="!!!",F745="NEW"),"",INDEX(B25:B$721,-1+SUMPRODUCT(MAX(ROW(E25:E$721)*(E745=E25:E$721)))))</f>
        <v/>
      </c>
      <c r="J745" s="27" t="str">
        <f aca="true">IF(OR(E745="",E745="!!!",F745="NEW"),"",COUNTBLANK(OFFSET(A$1,,,SUMPRODUCT(MAX(ROW(E$2:E745)*(E745=E$2:E745)))))-COUNTBLANK(OFFSET(A$1,,,SUMPRODUCT(MAX(ROW(E$1:E744)*(E2=E$1:E744))))))</f>
        <v/>
      </c>
      <c r="K745" s="27" t="str">
        <f aca="false">IF(OR(E745="",E745="!!!",F745="NEW"),"",INDEX(J$1:J744,SUMPRODUCT(MAX(ROW(E$1:E744)*(E745=E$1:E744)))))</f>
        <v/>
      </c>
      <c r="L745" s="28"/>
    </row>
    <row r="746" customFormat="false" ht="15" hidden="false" customHeight="false" outlineLevel="0" collapsed="false">
      <c r="A746" s="21" t="s">
        <v>165</v>
      </c>
      <c r="E746" s="25"/>
      <c r="F746" s="26" t="str">
        <f aca="false">IF(OR(E746="",E746="!!!"),"",IF(NOT(ISNA(VLOOKUP(E746,E$1:E745,1,FALSE()))),"OLD",IF(AND(E746&lt;&gt;"",E746&lt;&gt;"!!!"),"NEW","")))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7" t="str">
        <f aca="false">IF(OR(E746="",E746="!!!",F746="NEW"),"",INDEX(B26:B$721,-1+SUMPRODUCT(MAX(ROW(E26:E$721)*(E746=E26:E$721)))))</f>
        <v/>
      </c>
      <c r="J746" s="27" t="str">
        <f aca="true">IF(OR(E746="",E746="!!!",F746="NEW"),"",COUNTBLANK(OFFSET(A$1,,,SUMPRODUCT(MAX(ROW(E$2:E746)*(E746=E$2:E746)))))-COUNTBLANK(OFFSET(A$1,,,SUMPRODUCT(MAX(ROW(E$1:E745)*(E2=E$1:E745))))))</f>
        <v/>
      </c>
      <c r="K746" s="27" t="str">
        <f aca="false">IF(OR(E746="",E746="!!!",F746="NEW"),"",INDEX(J$1:J745,SUMPRODUCT(MAX(ROW(E$1:E745)*(E746=E$1:E745)))))</f>
        <v/>
      </c>
      <c r="L746" s="28"/>
    </row>
    <row r="747" customFormat="false" ht="15" hidden="false" customHeight="false" outlineLevel="0" collapsed="false">
      <c r="A747" s="21" t="s">
        <v>512</v>
      </c>
      <c r="E747" s="25"/>
      <c r="F747" s="26" t="str">
        <f aca="false">IF(OR(E747="",E747="!!!"),"",IF(NOT(ISNA(VLOOKUP(E747,E$1:E746,1,FALSE()))),"OLD",IF(AND(E747&lt;&gt;"",E747&lt;&gt;"!!!"),"NEW","")))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7" t="str">
        <f aca="false">IF(OR(E747="",E747="!!!",F747="NEW"),"",INDEX(B27:B$721,-1+SUMPRODUCT(MAX(ROW(E27:E$721)*(E747=E27:E$721)))))</f>
        <v/>
      </c>
      <c r="J747" s="27" t="str">
        <f aca="true">IF(OR(E747="",E747="!!!",F747="NEW"),"",COUNTBLANK(OFFSET(A$1,,,SUMPRODUCT(MAX(ROW(E$2:E747)*(E747=E$2:E747)))))-COUNTBLANK(OFFSET(A$1,,,SUMPRODUCT(MAX(ROW(E$1:E746)*(E2=E$1:E746))))))</f>
        <v/>
      </c>
      <c r="K747" s="27" t="str">
        <f aca="false">IF(OR(E747="",E747="!!!",F747="NEW"),"",INDEX(J$1:J746,SUMPRODUCT(MAX(ROW(E$1:E746)*(E747=E$1:E746)))))</f>
        <v/>
      </c>
      <c r="L747" s="28"/>
    </row>
    <row r="748" customFormat="false" ht="15" hidden="false" customHeight="false" outlineLevel="0" collapsed="false">
      <c r="A748" s="21" t="s">
        <v>208</v>
      </c>
      <c r="B748" s="29" t="s">
        <v>210</v>
      </c>
      <c r="C748" s="29" t="s">
        <v>167</v>
      </c>
      <c r="E748" s="25"/>
      <c r="F748" s="26" t="str">
        <f aca="false">IF(OR(E748="",E748="!!!"),"",IF(NOT(ISNA(VLOOKUP(E748,E$1:E747,1,FALSE()))),"OLD",IF(AND(E748&lt;&gt;"",E748&lt;&gt;"!!!"),"NEW","")))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7" t="str">
        <f aca="false">IF(OR(E748="",E748="!!!",F748="NEW"),"",INDEX(B28:B$721,-1+SUMPRODUCT(MAX(ROW(E28:E$721)*(E748=E28:E$721)))))</f>
        <v/>
      </c>
      <c r="J748" s="27" t="str">
        <f aca="true">IF(OR(E748="",E748="!!!",F748="NEW"),"",COUNTBLANK(OFFSET(A$1,,,SUMPRODUCT(MAX(ROW(E$2:E748)*(E748=E$2:E748)))))-COUNTBLANK(OFFSET(A$1,,,SUMPRODUCT(MAX(ROW(E$1:E747)*(E2=E$1:E747))))))</f>
        <v/>
      </c>
      <c r="K748" s="27" t="str">
        <f aca="false">IF(OR(E748="",E748="!!!",F748="NEW"),"",INDEX(J$1:J747,SUMPRODUCT(MAX(ROW(E$1:E747)*(E748=E$1:E747)))))</f>
        <v/>
      </c>
      <c r="L748" s="28"/>
    </row>
    <row r="749" customFormat="false" ht="15" hidden="false" customHeight="false" outlineLevel="0" collapsed="false">
      <c r="A749" s="21" t="s">
        <v>178</v>
      </c>
      <c r="E749" s="25"/>
      <c r="F749" s="26" t="str">
        <f aca="false">IF(OR(E749="",E749="!!!"),"",IF(NOT(ISNA(VLOOKUP(E749,E$1:E748,1,FALSE()))),"OLD",IF(AND(E749&lt;&gt;"",E749&lt;&gt;"!!!"),"NEW","")))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7" t="str">
        <f aca="false">IF(OR(E749="",E749="!!!",F749="NEW"),"",INDEX(B29:B$721,-1+SUMPRODUCT(MAX(ROW(E29:E$721)*(E749=E29:E$721)))))</f>
        <v/>
      </c>
      <c r="J749" s="27" t="str">
        <f aca="true">IF(OR(E749="",E749="!!!",F749="NEW"),"",COUNTBLANK(OFFSET(A$1,,,SUMPRODUCT(MAX(ROW(E$2:E749)*(E749=E$2:E749)))))-COUNTBLANK(OFFSET(A$1,,,SUMPRODUCT(MAX(ROW(E$1:E748)*(E2=E$1:E748))))))</f>
        <v/>
      </c>
      <c r="K749" s="27" t="str">
        <f aca="false">IF(OR(E749="",E749="!!!",F749="NEW"),"",INDEX(J$1:J748,SUMPRODUCT(MAX(ROW(E$1:E748)*(E749=E$1:E748)))))</f>
        <v/>
      </c>
      <c r="L749" s="28"/>
    </row>
    <row r="750" customFormat="false" ht="15" hidden="false" customHeight="false" outlineLevel="0" collapsed="false">
      <c r="A750" s="21" t="s">
        <v>614</v>
      </c>
      <c r="B750" s="29" t="s">
        <v>190</v>
      </c>
      <c r="C750" s="29" t="s">
        <v>167</v>
      </c>
      <c r="E750" s="25"/>
      <c r="F750" s="26" t="str">
        <f aca="false">IF(OR(E750="",E750="!!!"),"",IF(NOT(ISNA(VLOOKUP(E750,E$1:E749,1,FALSE()))),"OLD",IF(AND(E750&lt;&gt;"",E750&lt;&gt;"!!!"),"NEW","")))</f>
        <v/>
      </c>
      <c r="G750" s="22" t="str">
        <f aca="false">IF(OR(E750="",E750="!!!"),"",IF(OR(J750=0,AND(J750=1,K750=1),AND(J750=1,I750="SBJ"),AND(J750=1,I750=0)),"?IN_FOCUS",IF(J750&lt;=2,"?ACTIVATED",IF(J750&lt;&gt;"","?FAMILIAR",IF(F750="NEW",IF(ISNA(VLOOKUP(E750,#REF!,1,FALSE())),"?TYPE_IDENTIFIABLE","?REFERENTIAL"),"_")))))</f>
        <v/>
      </c>
      <c r="H750" s="23" t="str">
        <f aca="false">IF(J750&lt;&gt;1,"",IF(I750="SBJ","CB","?"))</f>
        <v/>
      </c>
      <c r="I750" s="27" t="str">
        <f aca="false">IF(OR(E750="",E750="!!!",F750="NEW"),"",INDEX(B30:B$721,-1+SUMPRODUCT(MAX(ROW(E30:E$721)*(E750=E30:E$721)))))</f>
        <v/>
      </c>
      <c r="J750" s="27" t="str">
        <f aca="true">IF(OR(E750="",E750="!!!",F750="NEW"),"",COUNTBLANK(OFFSET(A$1,,,SUMPRODUCT(MAX(ROW(E$2:E750)*(E750=E$2:E750)))))-COUNTBLANK(OFFSET(A$1,,,SUMPRODUCT(MAX(ROW(E$1:E749)*(E2=E$1:E749))))))</f>
        <v/>
      </c>
      <c r="K750" s="27" t="str">
        <f aca="false">IF(OR(E750="",E750="!!!",F750="NEW"),"",INDEX(J$1:J749,SUMPRODUCT(MAX(ROW(E$1:E749)*(E750=E$1:E749)))))</f>
        <v/>
      </c>
      <c r="L750" s="28"/>
    </row>
    <row r="751" customFormat="false" ht="15" hidden="false" customHeight="false" outlineLevel="0" collapsed="false">
      <c r="A751" s="21" t="s">
        <v>609</v>
      </c>
      <c r="E751" s="25"/>
      <c r="F751" s="26" t="str">
        <f aca="false">IF(OR(E751="",E751="!!!"),"",IF(NOT(ISNA(VLOOKUP(E751,E$1:E750,1,FALSE()))),"OLD",IF(AND(E751&lt;&gt;"",E751&lt;&gt;"!!!"),"NEW","")))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7" t="str">
        <f aca="false">IF(OR(E751="",E751="!!!",F751="NEW"),"",INDEX(B31:B$721,-1+SUMPRODUCT(MAX(ROW(E31:E$721)*(E751=E31:E$721)))))</f>
        <v/>
      </c>
      <c r="J751" s="27" t="str">
        <f aca="true">IF(OR(E751="",E751="!!!",F751="NEW"),"",COUNTBLANK(OFFSET(A$1,,,SUMPRODUCT(MAX(ROW(E$2:E751)*(E751=E$2:E751)))))-COUNTBLANK(OFFSET(A$1,,,SUMPRODUCT(MAX(ROW(E$1:E750)*(E2=E$1:E750))))))</f>
        <v/>
      </c>
      <c r="K751" s="27" t="str">
        <f aca="false">IF(OR(E751="",E751="!!!",F751="NEW"),"",INDEX(J$1:J750,SUMPRODUCT(MAX(ROW(E$1:E750)*(E751=E$1:E750)))))</f>
        <v/>
      </c>
      <c r="L751" s="28"/>
    </row>
    <row r="752" customFormat="false" ht="15" hidden="false" customHeight="false" outlineLevel="0" collapsed="false">
      <c r="A752" s="21" t="s">
        <v>615</v>
      </c>
      <c r="B752" s="29" t="s">
        <v>210</v>
      </c>
      <c r="C752" s="29" t="s">
        <v>167</v>
      </c>
      <c r="E752" s="25"/>
      <c r="F752" s="26" t="str">
        <f aca="false">IF(OR(E752="",E752="!!!"),"",IF(NOT(ISNA(VLOOKUP(E752,E$1:E751,1,FALSE()))),"OLD",IF(AND(E752&lt;&gt;"",E752&lt;&gt;"!!!"),"NEW","")))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7" t="str">
        <f aca="false">IF(OR(E752="",E752="!!!",F752="NEW"),"",INDEX(B32:B$721,-1+SUMPRODUCT(MAX(ROW(E32:E$721)*(E752=E32:E$721)))))</f>
        <v/>
      </c>
      <c r="J752" s="27" t="str">
        <f aca="true">IF(OR(E752="",E752="!!!",F752="NEW"),"",COUNTBLANK(OFFSET(A$1,,,SUMPRODUCT(MAX(ROW(E$2:E752)*(E752=E$2:E752)))))-COUNTBLANK(OFFSET(A$1,,,SUMPRODUCT(MAX(ROW(E$1:E751)*(E2=E$1:E751))))))</f>
        <v/>
      </c>
      <c r="K752" s="27" t="str">
        <f aca="false">IF(OR(E752="",E752="!!!",F752="NEW"),"",INDEX(J$1:J751,SUMPRODUCT(MAX(ROW(E$1:E751)*(E752=E$1:E751)))))</f>
        <v/>
      </c>
      <c r="L752" s="28"/>
    </row>
    <row r="753" customFormat="false" ht="15" hidden="false" customHeight="false" outlineLevel="0" collapsed="false">
      <c r="A753" s="21" t="s">
        <v>178</v>
      </c>
      <c r="E753" s="25"/>
      <c r="F753" s="26" t="str">
        <f aca="false">IF(OR(E753="",E753="!!!"),"",IF(NOT(ISNA(VLOOKUP(E753,E$1:E752,1,FALSE()))),"OLD",IF(AND(E753&lt;&gt;"",E753&lt;&gt;"!!!"),"NEW","")))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7" t="str">
        <f aca="false">IF(OR(E753="",E753="!!!",F753="NEW"),"",INDEX(B33:B$721,-1+SUMPRODUCT(MAX(ROW(E33:E$721)*(E753=E33:E$721)))))</f>
        <v/>
      </c>
      <c r="J753" s="27" t="str">
        <f aca="true">IF(OR(E753="",E753="!!!",F753="NEW"),"",COUNTBLANK(OFFSET(A$1,,,SUMPRODUCT(MAX(ROW(E$2:E753)*(E753=E$2:E753)))))-COUNTBLANK(OFFSET(A$1,,,SUMPRODUCT(MAX(ROW(E$1:E752)*(E2=E$1:E752))))))</f>
        <v/>
      </c>
      <c r="K753" s="27" t="str">
        <f aca="false">IF(OR(E753="",E753="!!!",F753="NEW"),"",INDEX(J$1:J752,SUMPRODUCT(MAX(ROW(E$1:E752)*(E753=E$1:E752)))))</f>
        <v/>
      </c>
      <c r="L753" s="28"/>
    </row>
    <row r="754" customFormat="false" ht="15" hidden="false" customHeight="false" outlineLevel="0" collapsed="false">
      <c r="A754" s="21" t="s">
        <v>616</v>
      </c>
      <c r="E754" s="25"/>
      <c r="F754" s="26" t="str">
        <f aca="false">IF(OR(E754="",E754="!!!"),"",IF(NOT(ISNA(VLOOKUP(E754,E$1:E753,1,FALSE()))),"OLD",IF(AND(E754&lt;&gt;"",E754&lt;&gt;"!!!"),"NEW","")))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7" t="str">
        <f aca="false">IF(OR(E754="",E754="!!!",F754="NEW"),"",INDEX(B34:B$721,-1+SUMPRODUCT(MAX(ROW(E34:E$721)*(E754=E34:E$721)))))</f>
        <v/>
      </c>
      <c r="J754" s="27" t="str">
        <f aca="true">IF(OR(E754="",E754="!!!",F754="NEW"),"",COUNTBLANK(OFFSET(A$1,,,SUMPRODUCT(MAX(ROW(E$2:E754)*(E754=E$2:E754)))))-COUNTBLANK(OFFSET(A$1,,,SUMPRODUCT(MAX(ROW(E$1:E753)*(E2=E$1:E753))))))</f>
        <v/>
      </c>
      <c r="K754" s="27" t="str">
        <f aca="false">IF(OR(E754="",E754="!!!",F754="NEW"),"",INDEX(J$1:J753,SUMPRODUCT(MAX(ROW(E$1:E753)*(E754=E$1:E753)))))</f>
        <v/>
      </c>
      <c r="L754" s="28"/>
    </row>
    <row r="755" customFormat="false" ht="15" hidden="false" customHeight="false" outlineLevel="0" collapsed="false">
      <c r="A755" s="21" t="s">
        <v>355</v>
      </c>
      <c r="E755" s="25"/>
      <c r="F755" s="26" t="str">
        <f aca="false">IF(OR(E755="",E755="!!!"),"",IF(NOT(ISNA(VLOOKUP(E755,E$1:E754,1,FALSE()))),"OLD",IF(AND(E755&lt;&gt;"",E755&lt;&gt;"!!!"),"NEW","")))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7" t="str">
        <f aca="false">IF(OR(E755="",E755="!!!",F755="NEW"),"",INDEX(B35:B$721,-1+SUMPRODUCT(MAX(ROW(E35:E$721)*(E755=E35:E$721)))))</f>
        <v/>
      </c>
      <c r="J755" s="27" t="str">
        <f aca="true">IF(OR(E755="",E755="!!!",F755="NEW"),"",COUNTBLANK(OFFSET(A$1,,,SUMPRODUCT(MAX(ROW(E$2:E755)*(E755=E$2:E755)))))-COUNTBLANK(OFFSET(A$1,,,SUMPRODUCT(MAX(ROW(E$1:E754)*(E2=E$1:E754))))))</f>
        <v/>
      </c>
      <c r="K755" s="27" t="str">
        <f aca="false">IF(OR(E755="",E755="!!!",F755="NEW"),"",INDEX(J$1:J754,SUMPRODUCT(MAX(ROW(E$1:E754)*(E755=E$1:E754)))))</f>
        <v/>
      </c>
      <c r="L755" s="28"/>
    </row>
    <row r="756" customFormat="false" ht="15" hidden="false" customHeight="false" outlineLevel="0" collapsed="false">
      <c r="A756" s="21" t="s">
        <v>617</v>
      </c>
      <c r="E756" s="25"/>
      <c r="F756" s="26" t="str">
        <f aca="false">IF(OR(E756="",E756="!!!"),"",IF(NOT(ISNA(VLOOKUP(E756,E$1:E755,1,FALSE()))),"OLD",IF(AND(E756&lt;&gt;"",E756&lt;&gt;"!!!"),"NEW","")))</f>
        <v/>
      </c>
      <c r="G756" s="22" t="str">
        <f aca="false">IF(OR(E756="",E756="!!!"),"",IF(OR(J756=0,AND(J756=1,K756=1),AND(J756=1,I756="SBJ"),AND(J756=1,I756=0)),"?IN_FOCUS",IF(J756&lt;=2,"?ACTIVATED",IF(J756&lt;&gt;"","?FAMILIAR",IF(F756="NEW",IF(ISNA(VLOOKUP(E756,#REF!,1,FALSE())),"?TYPE_IDENTIFIABLE","?REFERENTIAL"),"_")))))</f>
        <v/>
      </c>
      <c r="H756" s="23" t="str">
        <f aca="false">IF(J756&lt;&gt;1,"",IF(I756="SBJ","CB","?"))</f>
        <v/>
      </c>
      <c r="I756" s="27" t="str">
        <f aca="false">IF(OR(E756="",E756="!!!",F756="NEW"),"",INDEX(B36:B$721,-1+SUMPRODUCT(MAX(ROW(E36:E$721)*(E756=E36:E$721)))))</f>
        <v/>
      </c>
      <c r="J756" s="27" t="str">
        <f aca="true">IF(OR(E756="",E756="!!!",F756="NEW"),"",COUNTBLANK(OFFSET(A$1,,,SUMPRODUCT(MAX(ROW(E$2:E756)*(E756=E$2:E756)))))-COUNTBLANK(OFFSET(A$1,,,SUMPRODUCT(MAX(ROW(E$1:E755)*(E2=E$1:E755))))))</f>
        <v/>
      </c>
      <c r="K756" s="27" t="str">
        <f aca="false">IF(OR(E756="",E756="!!!",F756="NEW"),"",INDEX(J$1:J755,SUMPRODUCT(MAX(ROW(E$1:E755)*(E756=E$1:E755)))))</f>
        <v/>
      </c>
      <c r="L756" s="28"/>
    </row>
    <row r="757" customFormat="false" ht="15" hidden="false" customHeight="false" outlineLevel="0" collapsed="false">
      <c r="A757" s="21" t="s">
        <v>441</v>
      </c>
      <c r="B757" s="29" t="s">
        <v>264</v>
      </c>
      <c r="C757" s="29" t="s">
        <v>167</v>
      </c>
      <c r="E757" s="25"/>
      <c r="F757" s="26" t="str">
        <f aca="false">IF(OR(E757="",E757="!!!"),"",IF(NOT(ISNA(VLOOKUP(E757,E$1:E756,1,FALSE()))),"OLD",IF(AND(E757&lt;&gt;"",E757&lt;&gt;"!!!"),"NEW","")))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7" t="str">
        <f aca="false">IF(OR(E757="",E757="!!!",F757="NEW"),"",INDEX(B37:B$721,-1+SUMPRODUCT(MAX(ROW(E37:E$721)*(E757=E37:E$721)))))</f>
        <v/>
      </c>
      <c r="J757" s="27" t="str">
        <f aca="true">IF(OR(E757="",E757="!!!",F757="NEW"),"",COUNTBLANK(OFFSET(A$1,,,SUMPRODUCT(MAX(ROW(E$2:E757)*(E757=E$2:E757)))))-COUNTBLANK(OFFSET(A$1,,,SUMPRODUCT(MAX(ROW(E$1:E756)*(E2=E$1:E756))))))</f>
        <v/>
      </c>
      <c r="K757" s="27" t="str">
        <f aca="false">IF(OR(E757="",E757="!!!",F757="NEW"),"",INDEX(J$1:J756,SUMPRODUCT(MAX(ROW(E$1:E756)*(E757=E$1:E756)))))</f>
        <v/>
      </c>
      <c r="L757" s="28"/>
    </row>
    <row r="758" customFormat="false" ht="15" hidden="false" customHeight="false" outlineLevel="0" collapsed="false">
      <c r="A758" s="21" t="s">
        <v>562</v>
      </c>
      <c r="E758" s="25"/>
      <c r="F758" s="26" t="str">
        <f aca="false">IF(OR(E758="",E758="!!!"),"",IF(NOT(ISNA(VLOOKUP(E758,E$1:E757,1,FALSE()))),"OLD",IF(AND(E758&lt;&gt;"",E758&lt;&gt;"!!!"),"NEW","")))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7" t="str">
        <f aca="false">IF(OR(E758="",E758="!!!",F758="NEW"),"",INDEX(B38:B$721,-1+SUMPRODUCT(MAX(ROW(E38:E$721)*(E758=E38:E$721)))))</f>
        <v/>
      </c>
      <c r="J758" s="27" t="str">
        <f aca="true">IF(OR(E758="",E758="!!!",F758="NEW"),"",COUNTBLANK(OFFSET(A$1,,,SUMPRODUCT(MAX(ROW(E$2:E758)*(E758=E$2:E758)))))-COUNTBLANK(OFFSET(A$1,,,SUMPRODUCT(MAX(ROW(E$1:E757)*(E2=E$1:E757))))))</f>
        <v/>
      </c>
      <c r="K758" s="27" t="str">
        <f aca="false">IF(OR(E758="",E758="!!!",F758="NEW"),"",INDEX(J$1:J757,SUMPRODUCT(MAX(ROW(E$1:E757)*(E758=E$1:E757)))))</f>
        <v/>
      </c>
      <c r="L758" s="28"/>
    </row>
    <row r="759" customFormat="false" ht="15" hidden="false" customHeight="false" outlineLevel="0" collapsed="false">
      <c r="A759" s="21" t="s">
        <v>207</v>
      </c>
      <c r="E759" s="25"/>
      <c r="F759" s="26" t="str">
        <f aca="false">IF(OR(E759="",E759="!!!"),"",IF(NOT(ISNA(VLOOKUP(E759,E$1:E758,1,FALSE()))),"OLD",IF(AND(E759&lt;&gt;"",E759&lt;&gt;"!!!"),"NEW","")))</f>
        <v/>
      </c>
      <c r="G759" s="22" t="str">
        <f aca="false">IF(OR(E759="",E759="!!!"),"",IF(OR(J759=0,AND(J759=1,K759=1),AND(J759=1,I759="SBJ"),AND(J759=1,I759=0)),"?IN_FOCUS",IF(J759&lt;=2,"?ACTIVATED",IF(J759&lt;&gt;"","?FAMILIAR",IF(F759="NEW",IF(ISNA(VLOOKUP(E759,#REF!,1,FALSE())),"?TYPE_IDENTIFIABLE","?REFERENTIAL"),"_")))))</f>
        <v/>
      </c>
      <c r="H759" s="23" t="str">
        <f aca="false">IF(J759&lt;&gt;1,"",IF(I759="SBJ","CB","?"))</f>
        <v/>
      </c>
      <c r="I759" s="27" t="str">
        <f aca="false">IF(OR(E759="",E759="!!!",F759="NEW"),"",INDEX(B39:B$721,-1+SUMPRODUCT(MAX(ROW(E39:E$721)*(E759=E39:E$721)))))</f>
        <v/>
      </c>
      <c r="J759" s="27" t="str">
        <f aca="true">IF(OR(E759="",E759="!!!",F759="NEW"),"",COUNTBLANK(OFFSET(A$1,,,SUMPRODUCT(MAX(ROW(E$2:E759)*(E759=E$2:E759)))))-COUNTBLANK(OFFSET(A$1,,,SUMPRODUCT(MAX(ROW(E$1:E758)*(E2=E$1:E758))))))</f>
        <v/>
      </c>
      <c r="K759" s="27" t="str">
        <f aca="false">IF(OR(E759="",E759="!!!",F759="NEW"),"",INDEX(J$1:J758,SUMPRODUCT(MAX(ROW(E$1:E758)*(E759=E$1:E758)))))</f>
        <v/>
      </c>
      <c r="L759" s="28"/>
    </row>
    <row r="760" customFormat="false" ht="15" hidden="false" customHeight="false" outlineLevel="0" collapsed="false">
      <c r="A760" s="21" t="s">
        <v>528</v>
      </c>
      <c r="B760" s="29" t="s">
        <v>190</v>
      </c>
      <c r="C760" s="29" t="s">
        <v>618</v>
      </c>
      <c r="D760" s="29" t="s">
        <v>159</v>
      </c>
      <c r="E760" s="25"/>
      <c r="F760" s="26" t="str">
        <f aca="false">IF(OR(E760="",E760="!!!"),"",IF(NOT(ISNA(VLOOKUP(E760,E$1:E759,1,FALSE()))),"OLD",IF(AND(E760&lt;&gt;"",E760&lt;&gt;"!!!"),"NEW","")))</f>
        <v/>
      </c>
      <c r="G760" s="22" t="str">
        <f aca="false">IF(OR(E760="",E760="!!!"),"",IF(OR(J760=0,AND(J760=1,K760=1),AND(J760=1,I760="SBJ"),AND(J760=1,I760=0)),"?IN_FOCUS",IF(J760&lt;=2,"?ACTIVATED",IF(J760&lt;&gt;"","?FAMILIAR",IF(F760="NEW",IF(ISNA(VLOOKUP(E760,#REF!,1,FALSE())),"?TYPE_IDENTIFIABLE","?REFERENTIAL"),"_")))))</f>
        <v/>
      </c>
      <c r="H760" s="23" t="str">
        <f aca="false">IF(J760&lt;&gt;1,"",IF(I760="SBJ","CB","?"))</f>
        <v/>
      </c>
      <c r="I760" s="27" t="str">
        <f aca="false">IF(OR(E760="",E760="!!!",F760="NEW"),"",INDEX(B40:B$721,-1+SUMPRODUCT(MAX(ROW(E40:E$721)*(E760=E40:E$721)))))</f>
        <v/>
      </c>
      <c r="J760" s="27" t="str">
        <f aca="true">IF(OR(E760="",E760="!!!",F760="NEW"),"",COUNTBLANK(OFFSET(A$1,,,SUMPRODUCT(MAX(ROW(E$2:E760)*(E760=E$2:E760)))))-COUNTBLANK(OFFSET(A$1,,,SUMPRODUCT(MAX(ROW(E$1:E759)*(E2=E$1:E759))))))</f>
        <v/>
      </c>
      <c r="K760" s="27" t="str">
        <f aca="false">IF(OR(E760="",E760="!!!",F760="NEW"),"",INDEX(J$1:J759,SUMPRODUCT(MAX(ROW(E$1:E759)*(E760=E$1:E759)))))</f>
        <v/>
      </c>
      <c r="L760" s="28" t="s">
        <v>619</v>
      </c>
    </row>
    <row r="761" customFormat="false" ht="15" hidden="false" customHeight="false" outlineLevel="0" collapsed="false">
      <c r="A761" s="21" t="s">
        <v>193</v>
      </c>
      <c r="E761" s="25"/>
      <c r="F761" s="26" t="str">
        <f aca="false">IF(OR(E761="",E761="!!!"),"",IF(NOT(ISNA(VLOOKUP(E761,E$1:E760,1,FALSE()))),"OLD",IF(AND(E761&lt;&gt;"",E761&lt;&gt;"!!!"),"NEW","")))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7" t="str">
        <f aca="false">IF(OR(E761="",E761="!!!",F761="NEW"),"",INDEX(B41:B$721,-1+SUMPRODUCT(MAX(ROW(E41:E$721)*(E761=E41:E$721)))))</f>
        <v/>
      </c>
      <c r="J761" s="27" t="str">
        <f aca="true">IF(OR(E761="",E761="!!!",F761="NEW"),"",COUNTBLANK(OFFSET(A$1,,,SUMPRODUCT(MAX(ROW(E$2:E761)*(E761=E$2:E761)))))-COUNTBLANK(OFFSET(A$1,,,SUMPRODUCT(MAX(ROW(E$1:E760)*(E2=E$1:E760))))))</f>
        <v/>
      </c>
      <c r="K761" s="27" t="str">
        <f aca="false">IF(OR(E761="",E761="!!!",F761="NEW"),"",INDEX(J$1:J760,SUMPRODUCT(MAX(ROW(E$1:E760)*(E761=E$1:E760)))))</f>
        <v/>
      </c>
      <c r="L761" s="28"/>
    </row>
    <row r="762" customFormat="false" ht="15" hidden="false" customHeight="false" outlineLevel="0" collapsed="false">
      <c r="A762" s="21"/>
      <c r="G762" s="22" t="str">
        <f aca="false">IF(OR(E762="",E762="!!!"),"",IF(OR(J762=0,AND(J762=1,K762=1),AND(J762=1,I762="SBJ"),AND(J762=1,I762=0)),"?IN_FOCUS",IF(J762&lt;=2,"?ACTIVATED",IF(J762&lt;&gt;"","?FAMILIAR",IF(F762="NEW",IF(ISNA(VLOOKUP(E762,#REF!,1,FALSE())),"?TYPE_IDENTIFIABLE","?REFERENTIAL"),"_")))))</f>
        <v/>
      </c>
      <c r="H762" s="23" t="str">
        <f aca="false">IF(J762&lt;&gt;1,"",IF(I762="SBJ","CB","?"))</f>
        <v/>
      </c>
    </row>
    <row r="763" customFormat="false" ht="15" hidden="false" customHeight="false" outlineLevel="0" collapsed="false">
      <c r="A763" s="21" t="s">
        <v>620</v>
      </c>
      <c r="G763" s="22" t="str">
        <f aca="false">IF(OR(E763="",E763="!!!"),"",IF(OR(J763=0,AND(J763=1,K763=1),AND(J763=1,I763="SBJ"),AND(J763=1,I763=0)),"?IN_FOCUS",IF(J763&lt;=2,"?ACTIVATED",IF(J763&lt;&gt;"","?FAMILIAR",IF(F763="NEW",IF(ISNA(VLOOKUP(E763,#REF!,1,FALSE())),"?TYPE_IDENTIFIABLE","?REFERENTIAL"),"_")))))</f>
        <v/>
      </c>
      <c r="H763" s="23" t="str">
        <f aca="false">IF(J763&lt;&gt;1,"",IF(I763="SBJ","CB","?"))</f>
        <v/>
      </c>
    </row>
    <row r="764" customFormat="false" ht="15" hidden="false" customHeight="false" outlineLevel="0" collapsed="false">
      <c r="A764" s="21" t="s">
        <v>349</v>
      </c>
      <c r="E764" s="25"/>
      <c r="F764" s="26" t="str">
        <f aca="false">IF(OR(E764="",E764="!!!"),"",IF(NOT(ISNA(VLOOKUP(E764,E$1:E763,1,FALSE()))),"OLD",IF(AND(E764&lt;&gt;"",E764&lt;&gt;"!!!"),"NEW","")))</f>
        <v/>
      </c>
      <c r="G764" s="22" t="str">
        <f aca="false">IF(OR(E764="",E764="!!!"),"",IF(OR(J764=0,AND(J764=1,K764=1),AND(J764=1,I764="SBJ"),AND(J764=1,I764=0)),"?IN_FOCUS",IF(J764&lt;=2,"?ACTIVATED",IF(J764&lt;&gt;"","?FAMILIAR",IF(F764="NEW",IF(ISNA(VLOOKUP(E764,#REF!,1,FALSE())),"?TYPE_IDENTIFIABLE","?REFERENTIAL"),"_")))))</f>
        <v/>
      </c>
      <c r="H764" s="23" t="str">
        <f aca="false">IF(J764&lt;&gt;1,"",IF(I764="SBJ","CB","?"))</f>
        <v/>
      </c>
      <c r="I764" s="27" t="str">
        <f aca="false">IF(OR(E764="",E764="!!!",F764="NEW"),"",INDEX(B2:B$763,-1+SUMPRODUCT(MAX(ROW(E2:E$763)*(E764=E2:E$763)))))</f>
        <v/>
      </c>
      <c r="J764" s="27" t="str">
        <f aca="true">IF(OR(E764="",E764="!!!",F764="NEW"),"",COUNTBLANK(OFFSET(A$1,,,SUMPRODUCT(MAX(ROW(E$2:E764)*(E764=E$2:E764)))))-COUNTBLANK(OFFSET(A$1,,,SUMPRODUCT(MAX(ROW(E$1:E763)*(E2=E$1:E763))))))</f>
        <v/>
      </c>
      <c r="K764" s="27" t="str">
        <f aca="false">IF(OR(E764="",E764="!!!",F764="NEW"),"",INDEX(J$1:J763,SUMPRODUCT(MAX(ROW(E$1:E763)*(E764=E$1:E763)))))</f>
        <v/>
      </c>
      <c r="L764" s="28"/>
    </row>
    <row r="765" customFormat="false" ht="15" hidden="false" customHeight="false" outlineLevel="0" collapsed="false">
      <c r="A765" s="21" t="s">
        <v>621</v>
      </c>
      <c r="B765" s="29" t="s">
        <v>180</v>
      </c>
      <c r="C765" s="29" t="s">
        <v>171</v>
      </c>
      <c r="D765" s="29" t="s">
        <v>159</v>
      </c>
      <c r="E765" s="25" t="s">
        <v>622</v>
      </c>
      <c r="F765" s="30" t="str">
        <f aca="false">IF(OR(E765="",E765="!!!"),"",IF(NOT(ISNA(VLOOKUP(E765,E$1:E764,1,FALSE()))),"OLD",IF(AND(E765&lt;&gt;"",E765&lt;&gt;"!!!"),"NEW","")))</f>
        <v>NEW</v>
      </c>
      <c r="G765" s="22" t="s">
        <v>160</v>
      </c>
      <c r="H765" s="23" t="str">
        <f aca="false">IF(J765&lt;&gt;1,"",IF(I765="SBJ","CB","?"))</f>
        <v/>
      </c>
      <c r="I765" s="31" t="str">
        <f aca="false">IF(OR(E765="",E765="!!!",F765="NEW"),"",INDEX(B3:B$763,-1+SUMPRODUCT(MAX(ROW(E3:E$763)*(E765=E3:E$763)))))</f>
        <v/>
      </c>
      <c r="J765" s="31" t="str">
        <f aca="true">IF(OR(E765="",E765="!!!",F765="NEW"),"",COUNTBLANK(OFFSET(A$1,,,SUMPRODUCT(MAX(ROW(E$2:E765)*(E765=E$2:E765)))))-COUNTBLANK(OFFSET(A$1,,,SUMPRODUCT(MAX(ROW(E$1:E764)*(E2=E$1:E764))))))</f>
        <v/>
      </c>
      <c r="K765" s="31" t="str">
        <f aca="false">IF(OR(E765="",E765="!!!",F765="NEW"),"",INDEX(J$1:J764,SUMPRODUCT(MAX(ROW(E$1:E764)*(E765=E$1:E764)))))</f>
        <v/>
      </c>
      <c r="L765" s="28"/>
    </row>
    <row r="766" customFormat="false" ht="15" hidden="false" customHeight="false" outlineLevel="0" collapsed="false">
      <c r="A766" s="21" t="s">
        <v>230</v>
      </c>
      <c r="E766" s="25"/>
      <c r="F766" s="26" t="str">
        <f aca="false">IF(OR(E766="",E766="!!!"),"",IF(NOT(ISNA(VLOOKUP(E766,E$1:E765,1,FALSE()))),"OLD",IF(AND(E766&lt;&gt;"",E766&lt;&gt;"!!!"),"NEW","")))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7" t="str">
        <f aca="false">IF(OR(E766="",E766="!!!",F766="NEW"),"",INDEX(B4:B$763,-1+SUMPRODUCT(MAX(ROW(E4:E$763)*(E766=E4:E$763)))))</f>
        <v/>
      </c>
      <c r="J766" s="27" t="str">
        <f aca="true">IF(OR(E766="",E766="!!!",F766="NEW"),"",COUNTBLANK(OFFSET(A$1,,,SUMPRODUCT(MAX(ROW(E$2:E766)*(E766=E$2:E766)))))-COUNTBLANK(OFFSET(A$1,,,SUMPRODUCT(MAX(ROW(E$1:E765)*(E2=E$1:E765))))))</f>
        <v/>
      </c>
      <c r="K766" s="27" t="str">
        <f aca="false">IF(OR(E766="",E766="!!!",F766="NEW"),"",INDEX(J$1:J765,SUMPRODUCT(MAX(ROW(E$1:E765)*(E766=E$1:E765)))))</f>
        <v/>
      </c>
      <c r="L766" s="28"/>
    </row>
    <row r="767" customFormat="false" ht="15" hidden="false" customHeight="false" outlineLevel="0" collapsed="false">
      <c r="A767" s="21" t="s">
        <v>623</v>
      </c>
      <c r="E767" s="25"/>
      <c r="F767" s="26" t="str">
        <f aca="false">IF(OR(E767="",E767="!!!"),"",IF(NOT(ISNA(VLOOKUP(E767,E$1:E766,1,FALSE()))),"OLD",IF(AND(E767&lt;&gt;"",E767&lt;&gt;"!!!"),"NEW","")))</f>
        <v/>
      </c>
      <c r="G767" s="22" t="str">
        <f aca="false">IF(OR(E767="",E767="!!!"),"",IF(OR(J767=0,AND(J767=1,K767=1),AND(J767=1,I767="SBJ"),AND(J767=1,I767=0)),"?IN_FOCUS",IF(J767&lt;=2,"?ACTIVATED",IF(J767&lt;&gt;"","?FAMILIAR",IF(F767="NEW",IF(ISNA(VLOOKUP(E767,#REF!,1,FALSE())),"?TYPE_IDENTIFIABLE","?REFERENTIAL"),"_")))))</f>
        <v/>
      </c>
      <c r="H767" s="23" t="str">
        <f aca="false">IF(J767&lt;&gt;1,"",IF(I767="SBJ","CB","?"))</f>
        <v/>
      </c>
      <c r="I767" s="27" t="str">
        <f aca="false">IF(OR(E767="",E767="!!!",F767="NEW"),"",INDEX(B5:B$763,-1+SUMPRODUCT(MAX(ROW(E5:E$763)*(E767=E5:E$763)))))</f>
        <v/>
      </c>
      <c r="J767" s="27" t="str">
        <f aca="true">IF(OR(E767="",E767="!!!",F767="NEW"),"",COUNTBLANK(OFFSET(A$1,,,SUMPRODUCT(MAX(ROW(E$2:E767)*(E767=E$2:E767)))))-COUNTBLANK(OFFSET(A$1,,,SUMPRODUCT(MAX(ROW(E$1:E766)*(E2=E$1:E766))))))</f>
        <v/>
      </c>
      <c r="K767" s="27" t="str">
        <f aca="false">IF(OR(E767="",E767="!!!",F767="NEW"),"",INDEX(J$1:J766,SUMPRODUCT(MAX(ROW(E$1:E766)*(E767=E$1:E766)))))</f>
        <v/>
      </c>
      <c r="L767" s="28"/>
    </row>
    <row r="768" customFormat="false" ht="15" hidden="false" customHeight="false" outlineLevel="0" collapsed="false">
      <c r="A768" s="21" t="s">
        <v>175</v>
      </c>
      <c r="E768" s="25"/>
      <c r="F768" s="26" t="str">
        <f aca="false">IF(OR(E768="",E768="!!!"),"",IF(NOT(ISNA(VLOOKUP(E768,E$1:E767,1,FALSE()))),"OLD",IF(AND(E768&lt;&gt;"",E768&lt;&gt;"!!!"),"NEW","")))</f>
        <v/>
      </c>
      <c r="G768" s="22" t="str">
        <f aca="false">IF(OR(E768="",E768="!!!"),"",IF(OR(J768=0,AND(J768=1,K768=1),AND(J768=1,I768="SBJ"),AND(J768=1,I768=0)),"?IN_FOCUS",IF(J768&lt;=2,"?ACTIVATED",IF(J768&lt;&gt;"","?FAMILIAR",IF(F768="NEW",IF(ISNA(VLOOKUP(E768,#REF!,1,FALSE())),"?TYPE_IDENTIFIABLE","?REFERENTIAL"),"_")))))</f>
        <v/>
      </c>
      <c r="H768" s="23" t="str">
        <f aca="false">IF(J768&lt;&gt;1,"",IF(I768="SBJ","CB","?"))</f>
        <v/>
      </c>
      <c r="I768" s="27" t="str">
        <f aca="false">IF(OR(E768="",E768="!!!",F768="NEW"),"",INDEX(B6:B$763,-1+SUMPRODUCT(MAX(ROW(E6:E$763)*(E768=E6:E$763)))))</f>
        <v/>
      </c>
      <c r="J768" s="27" t="str">
        <f aca="true">IF(OR(E768="",E768="!!!",F768="NEW"),"",COUNTBLANK(OFFSET(A$1,,,SUMPRODUCT(MAX(ROW(E$2:E768)*(E768=E$2:E768)))))-COUNTBLANK(OFFSET(A$1,,,SUMPRODUCT(MAX(ROW(E$1:E767)*(E2=E$1:E767))))))</f>
        <v/>
      </c>
      <c r="K768" s="27" t="str">
        <f aca="false">IF(OR(E768="",E768="!!!",F768="NEW"),"",INDEX(J$1:J767,SUMPRODUCT(MAX(ROW(E$1:E767)*(E768=E$1:E767)))))</f>
        <v/>
      </c>
      <c r="L768" s="28"/>
    </row>
    <row r="769" customFormat="false" ht="15" hidden="false" customHeight="false" outlineLevel="0" collapsed="false">
      <c r="A769" s="21" t="s">
        <v>624</v>
      </c>
      <c r="B769" s="29" t="s">
        <v>190</v>
      </c>
      <c r="C769" s="29" t="s">
        <v>316</v>
      </c>
      <c r="E769" s="25"/>
      <c r="F769" s="26" t="str">
        <f aca="false">IF(OR(E769="",E769="!!!"),"",IF(NOT(ISNA(VLOOKUP(E769,E$1:E768,1,FALSE()))),"OLD",IF(AND(E769&lt;&gt;"",E769&lt;&gt;"!!!"),"NEW","")))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7" t="str">
        <f aca="false">IF(OR(E769="",E769="!!!",F769="NEW"),"",INDEX(B7:B$763,-1+SUMPRODUCT(MAX(ROW(E7:E$763)*(E769=E7:E$763)))))</f>
        <v/>
      </c>
      <c r="J769" s="27" t="str">
        <f aca="true">IF(OR(E769="",E769="!!!",F769="NEW"),"",COUNTBLANK(OFFSET(A$1,,,SUMPRODUCT(MAX(ROW(E$2:E769)*(E769=E$2:E769)))))-COUNTBLANK(OFFSET(A$1,,,SUMPRODUCT(MAX(ROW(E$1:E768)*(E2=E$1:E768))))))</f>
        <v/>
      </c>
      <c r="K769" s="27" t="str">
        <f aca="false">IF(OR(E769="",E769="!!!",F769="NEW"),"",INDEX(J$1:J768,SUMPRODUCT(MAX(ROW(E$1:E768)*(E769=E$1:E768)))))</f>
        <v/>
      </c>
      <c r="L769" s="28"/>
    </row>
    <row r="770" customFormat="false" ht="15" hidden="false" customHeight="false" outlineLevel="0" collapsed="false">
      <c r="A770" s="21" t="s">
        <v>318</v>
      </c>
      <c r="E770" s="25"/>
      <c r="F770" s="26" t="str">
        <f aca="false">IF(OR(E770="",E770="!!!"),"",IF(NOT(ISNA(VLOOKUP(E770,E$1:E769,1,FALSE()))),"OLD",IF(AND(E770&lt;&gt;"",E770&lt;&gt;"!!!"),"NEW","")))</f>
        <v/>
      </c>
      <c r="G770" s="22" t="str">
        <f aca="false">IF(OR(E770="",E770="!!!"),"",IF(OR(J770=0,AND(J770=1,K770=1),AND(J770=1,I770="SBJ"),AND(J770=1,I770=0)),"?IN_FOCUS",IF(J770&lt;=2,"?ACTIVATED",IF(J770&lt;&gt;"","?FAMILIAR",IF(F770="NEW",IF(ISNA(VLOOKUP(E770,#REF!,1,FALSE())),"?TYPE_IDENTIFIABLE","?REFERENTIAL"),"_")))))</f>
        <v/>
      </c>
      <c r="H770" s="23" t="str">
        <f aca="false">IF(J770&lt;&gt;1,"",IF(I770="SBJ","CB","?"))</f>
        <v/>
      </c>
      <c r="I770" s="27" t="str">
        <f aca="false">IF(OR(E770="",E770="!!!",F770="NEW"),"",INDEX(B8:B$763,-1+SUMPRODUCT(MAX(ROW(E8:E$763)*(E770=E8:E$763)))))</f>
        <v/>
      </c>
      <c r="J770" s="27" t="str">
        <f aca="true">IF(OR(E770="",E770="!!!",F770="NEW"),"",COUNTBLANK(OFFSET(A$1,,,SUMPRODUCT(MAX(ROW(E$2:E770)*(E770=E$2:E770)))))-COUNTBLANK(OFFSET(A$1,,,SUMPRODUCT(MAX(ROW(E$1:E769)*(E2=E$1:E769))))))</f>
        <v/>
      </c>
      <c r="K770" s="27" t="str">
        <f aca="false">IF(OR(E770="",E770="!!!",F770="NEW"),"",INDEX(J$1:J769,SUMPRODUCT(MAX(ROW(E$1:E769)*(E770=E$1:E769)))))</f>
        <v/>
      </c>
      <c r="L770" s="28"/>
    </row>
    <row r="771" customFormat="false" ht="15" hidden="false" customHeight="false" outlineLevel="0" collapsed="false">
      <c r="A771" s="21" t="s">
        <v>277</v>
      </c>
      <c r="E771" s="25"/>
      <c r="F771" s="26" t="str">
        <f aca="false">IF(OR(E771="",E771="!!!"),"",IF(NOT(ISNA(VLOOKUP(E771,E$1:E770,1,FALSE()))),"OLD",IF(AND(E771&lt;&gt;"",E771&lt;&gt;"!!!"),"NEW","")))</f>
        <v/>
      </c>
      <c r="G771" s="22" t="str">
        <f aca="false">IF(OR(E771="",E771="!!!"),"",IF(OR(J771=0,AND(J771=1,K771=1),AND(J771=1,I771="SBJ"),AND(J771=1,I771=0)),"?IN_FOCUS",IF(J771&lt;=2,"?ACTIVATED",IF(J771&lt;&gt;"","?FAMILIAR",IF(F771="NEW",IF(ISNA(VLOOKUP(E771,#REF!,1,FALSE())),"?TYPE_IDENTIFIABLE","?REFERENTIAL"),"_")))))</f>
        <v/>
      </c>
      <c r="H771" s="23" t="str">
        <f aca="false">IF(J771&lt;&gt;1,"",IF(I771="SBJ","CB","?"))</f>
        <v/>
      </c>
      <c r="I771" s="27" t="str">
        <f aca="false">IF(OR(E771="",E771="!!!",F771="NEW"),"",INDEX(B9:B$763,-1+SUMPRODUCT(MAX(ROW(E9:E$763)*(E771=E9:E$763)))))</f>
        <v/>
      </c>
      <c r="J771" s="27" t="str">
        <f aca="true">IF(OR(E771="",E771="!!!",F771="NEW"),"",COUNTBLANK(OFFSET(A$1,,,SUMPRODUCT(MAX(ROW(E$2:E771)*(E771=E$2:E771)))))-COUNTBLANK(OFFSET(A$1,,,SUMPRODUCT(MAX(ROW(E$1:E770)*(E2=E$1:E770))))))</f>
        <v/>
      </c>
      <c r="K771" s="27" t="str">
        <f aca="false">IF(OR(E771="",E771="!!!",F771="NEW"),"",INDEX(J$1:J770,SUMPRODUCT(MAX(ROW(E$1:E770)*(E771=E$1:E770)))))</f>
        <v/>
      </c>
      <c r="L771" s="28"/>
    </row>
    <row r="772" customFormat="false" ht="15" hidden="false" customHeight="false" outlineLevel="0" collapsed="false">
      <c r="A772" s="21" t="s">
        <v>625</v>
      </c>
      <c r="E772" s="25"/>
      <c r="F772" s="26" t="str">
        <f aca="false">IF(OR(E772="",E772="!!!"),"",IF(NOT(ISNA(VLOOKUP(E772,E$1:E771,1,FALSE()))),"OLD",IF(AND(E772&lt;&gt;"",E772&lt;&gt;"!!!"),"NEW","")))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7" t="str">
        <f aca="false">IF(OR(E772="",E772="!!!",F772="NEW"),"",INDEX(B10:B$763,-1+SUMPRODUCT(MAX(ROW(E10:E$763)*(E772=E10:E$763)))))</f>
        <v/>
      </c>
      <c r="J772" s="27" t="str">
        <f aca="true">IF(OR(E772="",E772="!!!",F772="NEW"),"",COUNTBLANK(OFFSET(A$1,,,SUMPRODUCT(MAX(ROW(E$2:E772)*(E772=E$2:E772)))))-COUNTBLANK(OFFSET(A$1,,,SUMPRODUCT(MAX(ROW(E$1:E771)*(E2=E$1:E771))))))</f>
        <v/>
      </c>
      <c r="K772" s="27" t="str">
        <f aca="false">IF(OR(E772="",E772="!!!",F772="NEW"),"",INDEX(J$1:J771,SUMPRODUCT(MAX(ROW(E$1:E771)*(E772=E$1:E771)))))</f>
        <v/>
      </c>
      <c r="L772" s="28"/>
    </row>
    <row r="773" customFormat="false" ht="15" hidden="false" customHeight="false" outlineLevel="0" collapsed="false">
      <c r="A773" s="21" t="s">
        <v>277</v>
      </c>
      <c r="E773" s="25"/>
      <c r="F773" s="26" t="str">
        <f aca="false">IF(OR(E773="",E773="!!!"),"",IF(NOT(ISNA(VLOOKUP(E773,E$1:E772,1,FALSE()))),"OLD",IF(AND(E773&lt;&gt;"",E773&lt;&gt;"!!!"),"NEW","")))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7" t="str">
        <f aca="false">IF(OR(E773="",E773="!!!",F773="NEW"),"",INDEX(B11:B$763,-1+SUMPRODUCT(MAX(ROW(E11:E$763)*(E773=E11:E$763)))))</f>
        <v/>
      </c>
      <c r="J773" s="27" t="str">
        <f aca="true">IF(OR(E773="",E773="!!!",F773="NEW"),"",COUNTBLANK(OFFSET(A$1,,,SUMPRODUCT(MAX(ROW(E$2:E773)*(E773=E$2:E773)))))-COUNTBLANK(OFFSET(A$1,,,SUMPRODUCT(MAX(ROW(E$1:E772)*(E2=E$1:E772))))))</f>
        <v/>
      </c>
      <c r="K773" s="27" t="str">
        <f aca="false">IF(OR(E773="",E773="!!!",F773="NEW"),"",INDEX(J$1:J772,SUMPRODUCT(MAX(ROW(E$1:E772)*(E773=E$1:E772)))))</f>
        <v/>
      </c>
      <c r="L773" s="28"/>
    </row>
    <row r="774" customFormat="false" ht="15" hidden="false" customHeight="false" outlineLevel="0" collapsed="false">
      <c r="A774" s="21" t="s">
        <v>169</v>
      </c>
      <c r="E774" s="25"/>
      <c r="F774" s="26" t="str">
        <f aca="false">IF(OR(E774="",E774="!!!"),"",IF(NOT(ISNA(VLOOKUP(E774,E$1:E773,1,FALSE()))),"OLD",IF(AND(E774&lt;&gt;"",E774&lt;&gt;"!!!"),"NEW","")))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7" t="str">
        <f aca="false">IF(OR(E774="",E774="!!!",F774="NEW"),"",INDEX(B12:B$763,-1+SUMPRODUCT(MAX(ROW(E12:E$763)*(E774=E12:E$763)))))</f>
        <v/>
      </c>
      <c r="J774" s="27" t="str">
        <f aca="true">IF(OR(E774="",E774="!!!",F774="NEW"),"",COUNTBLANK(OFFSET(A$1,,,SUMPRODUCT(MAX(ROW(E$2:E774)*(E774=E$2:E774)))))-COUNTBLANK(OFFSET(A$1,,,SUMPRODUCT(MAX(ROW(E$1:E773)*(E2=E$1:E773))))))</f>
        <v/>
      </c>
      <c r="K774" s="27" t="str">
        <f aca="false">IF(OR(E774="",E774="!!!",F774="NEW"),"",INDEX(J$1:J773,SUMPRODUCT(MAX(ROW(E$1:E773)*(E774=E$1:E773)))))</f>
        <v/>
      </c>
      <c r="L774" s="28"/>
    </row>
    <row r="775" customFormat="false" ht="15" hidden="false" customHeight="false" outlineLevel="0" collapsed="false">
      <c r="A775" s="21" t="s">
        <v>260</v>
      </c>
      <c r="B775" s="29" t="s">
        <v>153</v>
      </c>
      <c r="C775" s="29" t="s">
        <v>171</v>
      </c>
      <c r="D775" s="29" t="s">
        <v>159</v>
      </c>
      <c r="E775" s="25" t="s">
        <v>626</v>
      </c>
      <c r="F775" s="30" t="str">
        <f aca="false">IF(OR(E775="",E775="!!!"),"",IF(NOT(ISNA(VLOOKUP(E775,E$1:E774,1,FALSE()))),"OLD",IF(AND(E775&lt;&gt;"",E775&lt;&gt;"!!!"),"NEW","")))</f>
        <v>NEW</v>
      </c>
      <c r="G775" s="22" t="s">
        <v>160</v>
      </c>
      <c r="H775" s="23" t="str">
        <f aca="false">IF(J775&lt;&gt;1,"",IF(I775="SBJ","CB","?"))</f>
        <v/>
      </c>
      <c r="I775" s="31" t="str">
        <f aca="false">IF(OR(E775="",E775="!!!",F775="NEW"),"",INDEX(B13:B$763,-1+SUMPRODUCT(MAX(ROW(E13:E$763)*(E775=E13:E$763)))))</f>
        <v/>
      </c>
      <c r="J775" s="31" t="str">
        <f aca="true">IF(OR(E775="",E775="!!!",F775="NEW"),"",COUNTBLANK(OFFSET(A$1,,,SUMPRODUCT(MAX(ROW(E$2:E775)*(E775=E$2:E775)))))-COUNTBLANK(OFFSET(A$1,,,SUMPRODUCT(MAX(ROW(E$1:E774)*(E2=E$1:E774))))))</f>
        <v/>
      </c>
      <c r="K775" s="31" t="str">
        <f aca="false">IF(OR(E775="",E775="!!!",F775="NEW"),"",INDEX(J$1:J774,SUMPRODUCT(MAX(ROW(E$1:E774)*(E775=E$1:E774)))))</f>
        <v/>
      </c>
      <c r="L775" s="28"/>
    </row>
    <row r="776" customFormat="false" ht="15" hidden="false" customHeight="false" outlineLevel="0" collapsed="false">
      <c r="A776" s="21" t="s">
        <v>225</v>
      </c>
      <c r="B776" s="29" t="s">
        <v>271</v>
      </c>
      <c r="E776" s="25"/>
      <c r="F776" s="26" t="str">
        <f aca="false">IF(OR(E776="",E776="!!!"),"",IF(NOT(ISNA(VLOOKUP(E776,E$1:E775,1,FALSE()))),"OLD",IF(AND(E776&lt;&gt;"",E776&lt;&gt;"!!!"),"NEW","")))</f>
        <v/>
      </c>
      <c r="G776" s="22" t="str">
        <f aca="false">IF(OR(E776="",E776="!!!"),"",IF(OR(J776=0,AND(J776=1,K776=1),AND(J776=1,I776="SBJ"),AND(J776=1,I776=0)),"?IN_FOCUS",IF(J776&lt;=2,"?ACTIVATED",IF(J776&lt;&gt;"","?FAMILIAR",IF(F776="NEW",IF(ISNA(VLOOKUP(E776,#REF!,1,FALSE())),"?TYPE_IDENTIFIABLE","?REFERENTIAL"),"_")))))</f>
        <v/>
      </c>
      <c r="H776" s="23" t="str">
        <f aca="false">IF(J776&lt;&gt;1,"",IF(I776="SBJ","CB","?"))</f>
        <v/>
      </c>
      <c r="I776" s="27" t="str">
        <f aca="false">IF(OR(E776="",E776="!!!",F776="NEW"),"",INDEX(B14:B$763,-1+SUMPRODUCT(MAX(ROW(E14:E$763)*(E776=E14:E$763)))))</f>
        <v/>
      </c>
      <c r="J776" s="27" t="str">
        <f aca="true">IF(OR(E776="",E776="!!!",F776="NEW"),"",COUNTBLANK(OFFSET(A$1,,,SUMPRODUCT(MAX(ROW(E$2:E776)*(E776=E$2:E776)))))-COUNTBLANK(OFFSET(A$1,,,SUMPRODUCT(MAX(ROW(E$1:E775)*(E2=E$1:E775))))))</f>
        <v/>
      </c>
      <c r="K776" s="27" t="str">
        <f aca="false">IF(OR(E776="",E776="!!!",F776="NEW"),"",INDEX(J$1:J775,SUMPRODUCT(MAX(ROW(E$1:E775)*(E776=E$1:E775)))))</f>
        <v/>
      </c>
      <c r="L776" s="28"/>
    </row>
    <row r="777" customFormat="false" ht="15" hidden="false" customHeight="false" outlineLevel="0" collapsed="false">
      <c r="A777" s="21" t="s">
        <v>75</v>
      </c>
      <c r="E777" s="25"/>
      <c r="F777" s="26" t="str">
        <f aca="false">IF(OR(E777="",E777="!!!"),"",IF(NOT(ISNA(VLOOKUP(E777,E$1:E776,1,FALSE()))),"OLD",IF(AND(E777&lt;&gt;"",E777&lt;&gt;"!!!"),"NEW","")))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7" t="str">
        <f aca="false">IF(OR(E777="",E777="!!!",F777="NEW"),"",INDEX(B15:B$763,-1+SUMPRODUCT(MAX(ROW(E15:E$763)*(E777=E15:E$763)))))</f>
        <v/>
      </c>
      <c r="J777" s="27" t="str">
        <f aca="true">IF(OR(E777="",E777="!!!",F777="NEW"),"",COUNTBLANK(OFFSET(A$1,,,SUMPRODUCT(MAX(ROW(E$2:E777)*(E777=E$2:E777)))))-COUNTBLANK(OFFSET(A$1,,,SUMPRODUCT(MAX(ROW(E$1:E776)*(E2=E$1:E776))))))</f>
        <v/>
      </c>
      <c r="K777" s="27" t="str">
        <f aca="false">IF(OR(E777="",E777="!!!",F777="NEW"),"",INDEX(J$1:J776,SUMPRODUCT(MAX(ROW(E$1:E776)*(E777=E$1:E776)))))</f>
        <v/>
      </c>
      <c r="L777" s="28"/>
    </row>
    <row r="778" customFormat="false" ht="15" hidden="false" customHeight="false" outlineLevel="0" collapsed="false">
      <c r="A778" s="21" t="s">
        <v>230</v>
      </c>
      <c r="E778" s="25"/>
      <c r="F778" s="26" t="str">
        <f aca="false">IF(OR(E778="",E778="!!!"),"",IF(NOT(ISNA(VLOOKUP(E778,E$1:E777,1,FALSE()))),"OLD",IF(AND(E778&lt;&gt;"",E778&lt;&gt;"!!!"),"NEW","")))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7" t="str">
        <f aca="false">IF(OR(E778="",E778="!!!",F778="NEW"),"",INDEX(B16:B$763,-1+SUMPRODUCT(MAX(ROW(E16:E$763)*(E778=E16:E$763)))))</f>
        <v/>
      </c>
      <c r="J778" s="27" t="str">
        <f aca="true">IF(OR(E778="",E778="!!!",F778="NEW"),"",COUNTBLANK(OFFSET(A$1,,,SUMPRODUCT(MAX(ROW(E$2:E778)*(E778=E$2:E778)))))-COUNTBLANK(OFFSET(A$1,,,SUMPRODUCT(MAX(ROW(E$1:E777)*(E2=E$1:E777))))))</f>
        <v/>
      </c>
      <c r="K778" s="27" t="str">
        <f aca="false">IF(OR(E778="",E778="!!!",F778="NEW"),"",INDEX(J$1:J777,SUMPRODUCT(MAX(ROW(E$1:E777)*(E778=E$1:E777)))))</f>
        <v/>
      </c>
      <c r="L778" s="28"/>
    </row>
    <row r="779" customFormat="false" ht="15" hidden="false" customHeight="false" outlineLevel="0" collapsed="false">
      <c r="A779" s="21" t="s">
        <v>169</v>
      </c>
      <c r="E779" s="25"/>
      <c r="F779" s="26" t="str">
        <f aca="false">IF(OR(E779="",E779="!!!"),"",IF(NOT(ISNA(VLOOKUP(E779,E$1:E778,1,FALSE()))),"OLD",IF(AND(E779&lt;&gt;"",E779&lt;&gt;"!!!"),"NEW","")))</f>
        <v/>
      </c>
      <c r="G779" s="22" t="str">
        <f aca="false">IF(OR(E779="",E779="!!!"),"",IF(OR(J779=0,AND(J779=1,K779=1),AND(J779=1,I779="SBJ"),AND(J779=1,I779=0)),"?IN_FOCUS",IF(J779&lt;=2,"?ACTIVATED",IF(J779&lt;&gt;"","?FAMILIAR",IF(F779="NEW",IF(ISNA(VLOOKUP(E779,#REF!,1,FALSE())),"?TYPE_IDENTIFIABLE","?REFERENTIAL"),"_")))))</f>
        <v/>
      </c>
      <c r="H779" s="23" t="str">
        <f aca="false">IF(J779&lt;&gt;1,"",IF(I779="SBJ","CB","?"))</f>
        <v/>
      </c>
      <c r="I779" s="27" t="str">
        <f aca="false">IF(OR(E779="",E779="!!!",F779="NEW"),"",INDEX(B17:B$763,-1+SUMPRODUCT(MAX(ROW(E17:E$763)*(E779=E17:E$763)))))</f>
        <v/>
      </c>
      <c r="J779" s="27" t="str">
        <f aca="true">IF(OR(E779="",E779="!!!",F779="NEW"),"",COUNTBLANK(OFFSET(A$1,,,SUMPRODUCT(MAX(ROW(E$2:E779)*(E779=E$2:E779)))))-COUNTBLANK(OFFSET(A$1,,,SUMPRODUCT(MAX(ROW(E$1:E778)*(E2=E$1:E778))))))</f>
        <v/>
      </c>
      <c r="K779" s="27" t="str">
        <f aca="false">IF(OR(E779="",E779="!!!",F779="NEW"),"",INDEX(J$1:J778,SUMPRODUCT(MAX(ROW(E$1:E778)*(E779=E$1:E778)))))</f>
        <v/>
      </c>
      <c r="L779" s="28"/>
    </row>
    <row r="780" customFormat="false" ht="15" hidden="false" customHeight="false" outlineLevel="0" collapsed="false">
      <c r="A780" s="21" t="s">
        <v>170</v>
      </c>
      <c r="B780" s="29" t="s">
        <v>210</v>
      </c>
      <c r="C780" s="29" t="s">
        <v>171</v>
      </c>
      <c r="D780" s="29" t="s">
        <v>159</v>
      </c>
      <c r="E780" s="25" t="s">
        <v>172</v>
      </c>
      <c r="F780" s="30" t="str">
        <f aca="false">IF(OR(E780="",E780="!!!"),"",IF(NOT(ISNA(VLOOKUP(E780,E$1:E779,1,FALSE()))),"OLD",IF(AND(E780&lt;&gt;"",E780&lt;&gt;"!!!"),"NEW","")))</f>
        <v>OLD</v>
      </c>
      <c r="G780" s="22" t="s">
        <v>265</v>
      </c>
      <c r="H780" s="23" t="str">
        <f aca="false">IF(J780&lt;&gt;1,"",IF(I780="SBJ","CB","?"))</f>
        <v/>
      </c>
      <c r="I780" s="31" t="n">
        <f aca="false">IF(OR(E780="",E780="!!!",F780="NEW"),"",INDEX(B18:B$763,-1+SUMPRODUCT(MAX(ROW(E18:E$763)*(E780=E18:E$763)))))</f>
        <v>0</v>
      </c>
      <c r="J780" s="31" t="n">
        <f aca="true">IF(OR(E780="",E780="!!!",F780="NEW"),"",COUNTBLANK(OFFSET(A$1,,,SUMPRODUCT(MAX(ROW(E$2:E780)*(E780=E$2:E780)))))-COUNTBLANK(OFFSET(A$1,,,SUMPRODUCT(MAX(ROW(E$1:E779)*(E2=E$1:E779))))))</f>
        <v>0</v>
      </c>
      <c r="K780" s="31" t="n">
        <f aca="false">IF(OR(E780="",E780="!!!",F780="NEW"),"",INDEX(J$1:J779,SUMPRODUCT(MAX(ROW(E$1:E779)*(E780=E$1:E779)))))</f>
        <v>0</v>
      </c>
      <c r="L780" s="28"/>
    </row>
    <row r="781" customFormat="false" ht="15" hidden="false" customHeight="false" outlineLevel="0" collapsed="false">
      <c r="A781" s="21" t="s">
        <v>178</v>
      </c>
      <c r="E781" s="25"/>
      <c r="F781" s="26" t="str">
        <f aca="false">IF(OR(E781="",E781="!!!"),"",IF(NOT(ISNA(VLOOKUP(E781,E$1:E780,1,FALSE()))),"OLD",IF(AND(E781&lt;&gt;"",E781&lt;&gt;"!!!"),"NEW","")))</f>
        <v/>
      </c>
      <c r="G781" s="22" t="str">
        <f aca="false">IF(OR(E781="",E781="!!!"),"",IF(OR(J781=0,AND(J781=1,K781=1),AND(J781=1,I781="SBJ"),AND(J781=1,I781=0)),"?IN_FOCUS",IF(J781&lt;=2,"?ACTIVATED",IF(J781&lt;&gt;"","?FAMILIAR",IF(F781="NEW",IF(ISNA(VLOOKUP(E781,#REF!,1,FALSE())),"?TYPE_IDENTIFIABLE","?REFERENTIAL"),"_")))))</f>
        <v/>
      </c>
      <c r="H781" s="23" t="str">
        <f aca="false">IF(J781&lt;&gt;1,"",IF(I781="SBJ","CB","?"))</f>
        <v/>
      </c>
      <c r="I781" s="27" t="str">
        <f aca="false">IF(OR(E781="",E781="!!!",F781="NEW"),"",INDEX(B19:B$763,-1+SUMPRODUCT(MAX(ROW(E19:E$763)*(E781=E19:E$763)))))</f>
        <v/>
      </c>
      <c r="J781" s="27" t="str">
        <f aca="true">IF(OR(E781="",E781="!!!",F781="NEW"),"",COUNTBLANK(OFFSET(A$1,,,SUMPRODUCT(MAX(ROW(E$2:E781)*(E781=E$2:E781)))))-COUNTBLANK(OFFSET(A$1,,,SUMPRODUCT(MAX(ROW(E$1:E780)*(E2=E$1:E780))))))</f>
        <v/>
      </c>
      <c r="K781" s="27" t="str">
        <f aca="false">IF(OR(E781="",E781="!!!",F781="NEW"),"",INDEX(J$1:J780,SUMPRODUCT(MAX(ROW(E$1:E780)*(E781=E$1:E780)))))</f>
        <v/>
      </c>
      <c r="L781" s="28"/>
    </row>
    <row r="782" customFormat="false" ht="15" hidden="false" customHeight="false" outlineLevel="0" collapsed="false">
      <c r="A782" s="21" t="s">
        <v>270</v>
      </c>
      <c r="E782" s="25"/>
      <c r="F782" s="26" t="str">
        <f aca="false">IF(OR(E782="",E782="!!!"),"",IF(NOT(ISNA(VLOOKUP(E782,E$1:E781,1,FALSE()))),"OLD",IF(AND(E782&lt;&gt;"",E782&lt;&gt;"!!!"),"NEW","")))</f>
        <v/>
      </c>
      <c r="G782" s="22" t="str">
        <f aca="false">IF(OR(E782="",E782="!!!"),"",IF(OR(J782=0,AND(J782=1,K782=1),AND(J782=1,I782="SBJ"),AND(J782=1,I782=0)),"?IN_FOCUS",IF(J782&lt;=2,"?ACTIVATED",IF(J782&lt;&gt;"","?FAMILIAR",IF(F782="NEW",IF(ISNA(VLOOKUP(E782,#REF!,1,FALSE())),"?TYPE_IDENTIFIABLE","?REFERENTIAL"),"_")))))</f>
        <v/>
      </c>
      <c r="H782" s="23" t="str">
        <f aca="false">IF(J782&lt;&gt;1,"",IF(I782="SBJ","CB","?"))</f>
        <v/>
      </c>
      <c r="I782" s="27" t="str">
        <f aca="false">IF(OR(E782="",E782="!!!",F782="NEW"),"",INDEX(B20:B$763,-1+SUMPRODUCT(MAX(ROW(E20:E$763)*(E782=E20:E$763)))))</f>
        <v/>
      </c>
      <c r="J782" s="27" t="str">
        <f aca="true">IF(OR(E782="",E782="!!!",F782="NEW"),"",COUNTBLANK(OFFSET(A$1,,,SUMPRODUCT(MAX(ROW(E$2:E782)*(E782=E$2:E782)))))-COUNTBLANK(OFFSET(A$1,,,SUMPRODUCT(MAX(ROW(E$1:E781)*(E2=E$1:E781))))))</f>
        <v/>
      </c>
      <c r="K782" s="27" t="str">
        <f aca="false">IF(OR(E782="",E782="!!!",F782="NEW"),"",INDEX(J$1:J781,SUMPRODUCT(MAX(ROW(E$1:E781)*(E782=E$1:E781)))))</f>
        <v/>
      </c>
      <c r="L782" s="28"/>
    </row>
    <row r="783" customFormat="false" ht="15" hidden="false" customHeight="false" outlineLevel="0" collapsed="false">
      <c r="A783" s="21" t="s">
        <v>329</v>
      </c>
      <c r="B783" s="29" t="s">
        <v>185</v>
      </c>
      <c r="C783" s="29" t="s">
        <v>167</v>
      </c>
      <c r="E783" s="25"/>
      <c r="F783" s="26" t="str">
        <f aca="false">IF(OR(E783="",E783="!!!"),"",IF(NOT(ISNA(VLOOKUP(E783,E$1:E782,1,FALSE()))),"OLD",IF(AND(E783&lt;&gt;"",E783&lt;&gt;"!!!"),"NEW","")))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7" t="str">
        <f aca="false">IF(OR(E783="",E783="!!!",F783="NEW"),"",INDEX(B21:B$763,-1+SUMPRODUCT(MAX(ROW(E21:E$763)*(E783=E21:E$763)))))</f>
        <v/>
      </c>
      <c r="J783" s="27" t="str">
        <f aca="true">IF(OR(E783="",E783="!!!",F783="NEW"),"",COUNTBLANK(OFFSET(A$1,,,SUMPRODUCT(MAX(ROW(E$2:E783)*(E783=E$2:E783)))))-COUNTBLANK(OFFSET(A$1,,,SUMPRODUCT(MAX(ROW(E$1:E782)*(E2=E$1:E782))))))</f>
        <v/>
      </c>
      <c r="K783" s="27" t="str">
        <f aca="false">IF(OR(E783="",E783="!!!",F783="NEW"),"",INDEX(J$1:J782,SUMPRODUCT(MAX(ROW(E$1:E782)*(E783=E$1:E782)))))</f>
        <v/>
      </c>
      <c r="L783" s="28"/>
    </row>
    <row r="784" customFormat="false" ht="15" hidden="false" customHeight="false" outlineLevel="0" collapsed="false">
      <c r="A784" s="21" t="s">
        <v>627</v>
      </c>
      <c r="E784" s="25"/>
      <c r="F784" s="26" t="str">
        <f aca="false">IF(OR(E784="",E784="!!!"),"",IF(NOT(ISNA(VLOOKUP(E784,E$1:E783,1,FALSE()))),"OLD",IF(AND(E784&lt;&gt;"",E784&lt;&gt;"!!!"),"NEW","")))</f>
        <v/>
      </c>
      <c r="G784" s="22" t="str">
        <f aca="false">IF(OR(E784="",E784="!!!"),"",IF(OR(J784=0,AND(J784=1,K784=1),AND(J784=1,I784="SBJ"),AND(J784=1,I784=0)),"?IN_FOCUS",IF(J784&lt;=2,"?ACTIVATED",IF(J784&lt;&gt;"","?FAMILIAR",IF(F784="NEW",IF(ISNA(VLOOKUP(E784,#REF!,1,FALSE())),"?TYPE_IDENTIFIABLE","?REFERENTIAL"),"_")))))</f>
        <v/>
      </c>
      <c r="H784" s="23" t="str">
        <f aca="false">IF(J784&lt;&gt;1,"",IF(I784="SBJ","CB","?"))</f>
        <v/>
      </c>
      <c r="I784" s="27" t="str">
        <f aca="false">IF(OR(E784="",E784="!!!",F784="NEW"),"",INDEX(B22:B$763,-1+SUMPRODUCT(MAX(ROW(E22:E$763)*(E784=E22:E$763)))))</f>
        <v/>
      </c>
      <c r="J784" s="27" t="str">
        <f aca="true">IF(OR(E784="",E784="!!!",F784="NEW"),"",COUNTBLANK(OFFSET(A$1,,,SUMPRODUCT(MAX(ROW(E$2:E784)*(E784=E$2:E784)))))-COUNTBLANK(OFFSET(A$1,,,SUMPRODUCT(MAX(ROW(E$1:E783)*(E2=E$1:E783))))))</f>
        <v/>
      </c>
      <c r="K784" s="27" t="str">
        <f aca="false">IF(OR(E784="",E784="!!!",F784="NEW"),"",INDEX(J$1:J783,SUMPRODUCT(MAX(ROW(E$1:E783)*(E784=E$1:E783)))))</f>
        <v/>
      </c>
      <c r="L784" s="28"/>
    </row>
    <row r="785" customFormat="false" ht="15" hidden="false" customHeight="false" outlineLevel="0" collapsed="false">
      <c r="A785" s="21" t="s">
        <v>628</v>
      </c>
      <c r="E785" s="25"/>
      <c r="F785" s="26" t="str">
        <f aca="false">IF(OR(E785="",E785="!!!"),"",IF(NOT(ISNA(VLOOKUP(E785,E$1:E784,1,FALSE()))),"OLD",IF(AND(E785&lt;&gt;"",E785&lt;&gt;"!!!"),"NEW","")))</f>
        <v/>
      </c>
      <c r="G785" s="22" t="str">
        <f aca="false">IF(OR(E785="",E785="!!!"),"",IF(OR(J785=0,AND(J785=1,K785=1),AND(J785=1,I785="SBJ"),AND(J785=1,I785=0)),"?IN_FOCUS",IF(J785&lt;=2,"?ACTIVATED",IF(J785&lt;&gt;"","?FAMILIAR",IF(F785="NEW",IF(ISNA(VLOOKUP(E785,#REF!,1,FALSE())),"?TYPE_IDENTIFIABLE","?REFERENTIAL"),"_")))))</f>
        <v/>
      </c>
      <c r="H785" s="23" t="str">
        <f aca="false">IF(J785&lt;&gt;1,"",IF(I785="SBJ","CB","?"))</f>
        <v/>
      </c>
      <c r="I785" s="27" t="str">
        <f aca="false">IF(OR(E785="",E785="!!!",F785="NEW"),"",INDEX(B23:B$763,-1+SUMPRODUCT(MAX(ROW(E23:E$763)*(E785=E23:E$763)))))</f>
        <v/>
      </c>
      <c r="J785" s="27" t="str">
        <f aca="true">IF(OR(E785="",E785="!!!",F785="NEW"),"",COUNTBLANK(OFFSET(A$1,,,SUMPRODUCT(MAX(ROW(E$2:E785)*(E785=E$2:E785)))))-COUNTBLANK(OFFSET(A$1,,,SUMPRODUCT(MAX(ROW(E$1:E784)*(E2=E$1:E784))))))</f>
        <v/>
      </c>
      <c r="K785" s="27" t="str">
        <f aca="false">IF(OR(E785="",E785="!!!",F785="NEW"),"",INDEX(J$1:J784,SUMPRODUCT(MAX(ROW(E$1:E784)*(E785=E$1:E784)))))</f>
        <v/>
      </c>
      <c r="L785" s="28"/>
    </row>
    <row r="786" customFormat="false" ht="15" hidden="false" customHeight="false" outlineLevel="0" collapsed="false">
      <c r="A786" s="21" t="s">
        <v>204</v>
      </c>
      <c r="E786" s="25"/>
      <c r="F786" s="26" t="str">
        <f aca="false">IF(OR(E786="",E786="!!!"),"",IF(NOT(ISNA(VLOOKUP(E786,E$1:E785,1,FALSE()))),"OLD",IF(AND(E786&lt;&gt;"",E786&lt;&gt;"!!!"),"NEW","")))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7" t="str">
        <f aca="false">IF(OR(E786="",E786="!!!",F786="NEW"),"",INDEX(B24:B$763,-1+SUMPRODUCT(MAX(ROW(E24:E$763)*(E786=E24:E$763)))))</f>
        <v/>
      </c>
      <c r="J786" s="27" t="str">
        <f aca="true">IF(OR(E786="",E786="!!!",F786="NEW"),"",COUNTBLANK(OFFSET(A$1,,,SUMPRODUCT(MAX(ROW(E$2:E786)*(E786=E$2:E786)))))-COUNTBLANK(OFFSET(A$1,,,SUMPRODUCT(MAX(ROW(E$1:E785)*(E2=E$1:E785))))))</f>
        <v/>
      </c>
      <c r="K786" s="27" t="str">
        <f aca="false">IF(OR(E786="",E786="!!!",F786="NEW"),"",INDEX(J$1:J785,SUMPRODUCT(MAX(ROW(E$1:E785)*(E786=E$1:E785)))))</f>
        <v/>
      </c>
      <c r="L786" s="28"/>
    </row>
    <row r="787" customFormat="false" ht="15" hidden="false" customHeight="false" outlineLevel="0" collapsed="false">
      <c r="A787" s="21" t="s">
        <v>175</v>
      </c>
      <c r="E787" s="25"/>
      <c r="F787" s="26" t="str">
        <f aca="false">IF(OR(E787="",E787="!!!"),"",IF(NOT(ISNA(VLOOKUP(E787,E$1:E786,1,FALSE()))),"OLD",IF(AND(E787&lt;&gt;"",E787&lt;&gt;"!!!"),"NEW","")))</f>
        <v/>
      </c>
      <c r="G787" s="22" t="str">
        <f aca="false">IF(OR(E787="",E787="!!!"),"",IF(OR(J787=0,AND(J787=1,K787=1),AND(J787=1,I787="SBJ"),AND(J787=1,I787=0)),"?IN_FOCUS",IF(J787&lt;=2,"?ACTIVATED",IF(J787&lt;&gt;"","?FAMILIAR",IF(F787="NEW",IF(ISNA(VLOOKUP(E787,#REF!,1,FALSE())),"?TYPE_IDENTIFIABLE","?REFERENTIAL"),"_")))))</f>
        <v/>
      </c>
      <c r="H787" s="23" t="str">
        <f aca="false">IF(J787&lt;&gt;1,"",IF(I787="SBJ","CB","?"))</f>
        <v/>
      </c>
      <c r="I787" s="27" t="str">
        <f aca="false">IF(OR(E787="",E787="!!!",F787="NEW"),"",INDEX(B25:B$763,-1+SUMPRODUCT(MAX(ROW(E25:E$763)*(E787=E25:E$763)))))</f>
        <v/>
      </c>
      <c r="J787" s="27" t="str">
        <f aca="true">IF(OR(E787="",E787="!!!",F787="NEW"),"",COUNTBLANK(OFFSET(A$1,,,SUMPRODUCT(MAX(ROW(E$2:E787)*(E787=E$2:E787)))))-COUNTBLANK(OFFSET(A$1,,,SUMPRODUCT(MAX(ROW(E$1:E786)*(E2=E$1:E786))))))</f>
        <v/>
      </c>
      <c r="K787" s="27" t="str">
        <f aca="false">IF(OR(E787="",E787="!!!",F787="NEW"),"",INDEX(J$1:J786,SUMPRODUCT(MAX(ROW(E$1:E786)*(E787=E$1:E786)))))</f>
        <v/>
      </c>
      <c r="L787" s="28"/>
    </row>
    <row r="788" customFormat="false" ht="15" hidden="false" customHeight="false" outlineLevel="0" collapsed="false">
      <c r="A788" s="21" t="s">
        <v>629</v>
      </c>
      <c r="E788" s="25"/>
      <c r="F788" s="26" t="str">
        <f aca="false">IF(OR(E788="",E788="!!!"),"",IF(NOT(ISNA(VLOOKUP(E788,E$1:E787,1,FALSE()))),"OLD",IF(AND(E788&lt;&gt;"",E788&lt;&gt;"!!!"),"NEW","")))</f>
        <v/>
      </c>
      <c r="G788" s="22" t="str">
        <f aca="false">IF(OR(E788="",E788="!!!"),"",IF(OR(J788=0,AND(J788=1,K788=1),AND(J788=1,I788="SBJ"),AND(J788=1,I788=0)),"?IN_FOCUS",IF(J788&lt;=2,"?ACTIVATED",IF(J788&lt;&gt;"","?FAMILIAR",IF(F788="NEW",IF(ISNA(VLOOKUP(E788,#REF!,1,FALSE())),"?TYPE_IDENTIFIABLE","?REFERENTIAL"),"_")))))</f>
        <v/>
      </c>
      <c r="H788" s="23" t="str">
        <f aca="false">IF(J788&lt;&gt;1,"",IF(I788="SBJ","CB","?"))</f>
        <v/>
      </c>
      <c r="I788" s="27" t="str">
        <f aca="false">IF(OR(E788="",E788="!!!",F788="NEW"),"",INDEX(B26:B$763,-1+SUMPRODUCT(MAX(ROW(E26:E$763)*(E788=E26:E$763)))))</f>
        <v/>
      </c>
      <c r="J788" s="27" t="str">
        <f aca="true">IF(OR(E788="",E788="!!!",F788="NEW"),"",COUNTBLANK(OFFSET(A$1,,,SUMPRODUCT(MAX(ROW(E$2:E788)*(E788=E$2:E788)))))-COUNTBLANK(OFFSET(A$1,,,SUMPRODUCT(MAX(ROW(E$1:E787)*(E2=E$1:E787))))))</f>
        <v/>
      </c>
      <c r="K788" s="27" t="str">
        <f aca="false">IF(OR(E788="",E788="!!!",F788="NEW"),"",INDEX(J$1:J787,SUMPRODUCT(MAX(ROW(E$1:E787)*(E788=E$1:E787)))))</f>
        <v/>
      </c>
      <c r="L788" s="28"/>
    </row>
    <row r="789" customFormat="false" ht="15" hidden="false" customHeight="false" outlineLevel="0" collapsed="false">
      <c r="A789" s="21" t="s">
        <v>350</v>
      </c>
      <c r="B789" s="29" t="s">
        <v>190</v>
      </c>
      <c r="C789" s="29" t="s">
        <v>164</v>
      </c>
      <c r="E789" s="25"/>
      <c r="F789" s="26" t="str">
        <f aca="false">IF(OR(E789="",E789="!!!"),"",IF(NOT(ISNA(VLOOKUP(E789,E$1:E788,1,FALSE()))),"OLD",IF(AND(E789&lt;&gt;"",E789&lt;&gt;"!!!"),"NEW","")))</f>
        <v/>
      </c>
      <c r="G789" s="22" t="str">
        <f aca="false">IF(OR(E789="",E789="!!!"),"",IF(OR(J789=0,AND(J789=1,K789=1),AND(J789=1,I789="SBJ"),AND(J789=1,I789=0)),"?IN_FOCUS",IF(J789&lt;=2,"?ACTIVATED",IF(J789&lt;&gt;"","?FAMILIAR",IF(F789="NEW",IF(ISNA(VLOOKUP(E789,#REF!,1,FALSE())),"?TYPE_IDENTIFIABLE","?REFERENTIAL"),"_")))))</f>
        <v/>
      </c>
      <c r="H789" s="23" t="str">
        <f aca="false">IF(J789&lt;&gt;1,"",IF(I789="SBJ","CB","?"))</f>
        <v/>
      </c>
      <c r="I789" s="27" t="str">
        <f aca="false">IF(OR(E789="",E789="!!!",F789="NEW"),"",INDEX(B27:B$763,-1+SUMPRODUCT(MAX(ROW(E27:E$763)*(E789=E27:E$763)))))</f>
        <v/>
      </c>
      <c r="J789" s="27" t="str">
        <f aca="true">IF(OR(E789="",E789="!!!",F789="NEW"),"",COUNTBLANK(OFFSET(A$1,,,SUMPRODUCT(MAX(ROW(E$2:E789)*(E789=E$2:E789)))))-COUNTBLANK(OFFSET(A$1,,,SUMPRODUCT(MAX(ROW(E$1:E788)*(E2=E$1:E788))))))</f>
        <v/>
      </c>
      <c r="K789" s="27" t="str">
        <f aca="false">IF(OR(E789="",E789="!!!",F789="NEW"),"",INDEX(J$1:J788,SUMPRODUCT(MAX(ROW(E$1:E788)*(E789=E$1:E788)))))</f>
        <v/>
      </c>
      <c r="L789" s="28"/>
    </row>
    <row r="790" customFormat="false" ht="15" hidden="false" customHeight="false" outlineLevel="0" collapsed="false">
      <c r="A790" s="21" t="s">
        <v>155</v>
      </c>
      <c r="E790" s="25"/>
      <c r="F790" s="26" t="str">
        <f aca="false">IF(OR(E790="",E790="!!!"),"",IF(NOT(ISNA(VLOOKUP(E790,E$1:E789,1,FALSE()))),"OLD",IF(AND(E790&lt;&gt;"",E790&lt;&gt;"!!!"),"NEW","")))</f>
        <v/>
      </c>
      <c r="G790" s="22" t="str">
        <f aca="false">IF(OR(E790="",E790="!!!"),"",IF(OR(J790=0,AND(J790=1,K790=1),AND(J790=1,I790="SBJ"),AND(J790=1,I790=0)),"?IN_FOCUS",IF(J790&lt;=2,"?ACTIVATED",IF(J790&lt;&gt;"","?FAMILIAR",IF(F790="NEW",IF(ISNA(VLOOKUP(E790,#REF!,1,FALSE())),"?TYPE_IDENTIFIABLE","?REFERENTIAL"),"_")))))</f>
        <v/>
      </c>
      <c r="H790" s="23" t="str">
        <f aca="false">IF(J790&lt;&gt;1,"",IF(I790="SBJ","CB","?"))</f>
        <v/>
      </c>
      <c r="I790" s="27" t="str">
        <f aca="false">IF(OR(E790="",E790="!!!",F790="NEW"),"",INDEX(B28:B$763,-1+SUMPRODUCT(MAX(ROW(E28:E$763)*(E790=E28:E$763)))))</f>
        <v/>
      </c>
      <c r="J790" s="27" t="str">
        <f aca="true">IF(OR(E790="",E790="!!!",F790="NEW"),"",COUNTBLANK(OFFSET(A$1,,,SUMPRODUCT(MAX(ROW(E$2:E790)*(E790=E$2:E790)))))-COUNTBLANK(OFFSET(A$1,,,SUMPRODUCT(MAX(ROW(E$1:E789)*(E2=E$1:E789))))))</f>
        <v/>
      </c>
      <c r="K790" s="27" t="str">
        <f aca="false">IF(OR(E790="",E790="!!!",F790="NEW"),"",INDEX(J$1:J789,SUMPRODUCT(MAX(ROW(E$1:E789)*(E790=E$1:E789)))))</f>
        <v/>
      </c>
      <c r="L790" s="28"/>
    </row>
    <row r="791" customFormat="false" ht="15" hidden="false" customHeight="false" outlineLevel="0" collapsed="false">
      <c r="A791" s="21" t="s">
        <v>481</v>
      </c>
      <c r="B791" s="29" t="s">
        <v>210</v>
      </c>
      <c r="C791" s="29" t="s">
        <v>167</v>
      </c>
      <c r="E791" s="25"/>
      <c r="F791" s="26" t="str">
        <f aca="false">IF(OR(E791="",E791="!!!"),"",IF(NOT(ISNA(VLOOKUP(E791,E$1:E790,1,FALSE()))),"OLD",IF(AND(E791&lt;&gt;"",E791&lt;&gt;"!!!"),"NEW","")))</f>
        <v/>
      </c>
      <c r="G791" s="22" t="str">
        <f aca="false">IF(OR(E791="",E791="!!!"),"",IF(OR(J791=0,AND(J791=1,K791=1),AND(J791=1,I791="SBJ"),AND(J791=1,I791=0)),"?IN_FOCUS",IF(J791&lt;=2,"?ACTIVATED",IF(J791&lt;&gt;"","?FAMILIAR",IF(F791="NEW",IF(ISNA(VLOOKUP(E791,#REF!,1,FALSE())),"?TYPE_IDENTIFIABLE","?REFERENTIAL"),"_")))))</f>
        <v/>
      </c>
      <c r="H791" s="23" t="str">
        <f aca="false">IF(J791&lt;&gt;1,"",IF(I791="SBJ","CB","?"))</f>
        <v/>
      </c>
      <c r="I791" s="27" t="str">
        <f aca="false">IF(OR(E791="",E791="!!!",F791="NEW"),"",INDEX(B29:B$763,-1+SUMPRODUCT(MAX(ROW(E29:E$763)*(E791=E29:E$763)))))</f>
        <v/>
      </c>
      <c r="J791" s="27" t="str">
        <f aca="true">IF(OR(E791="",E791="!!!",F791="NEW"),"",COUNTBLANK(OFFSET(A$1,,,SUMPRODUCT(MAX(ROW(E$2:E791)*(E791=E$2:E791)))))-COUNTBLANK(OFFSET(A$1,,,SUMPRODUCT(MAX(ROW(E$1:E790)*(E2=E$1:E790))))))</f>
        <v/>
      </c>
      <c r="K791" s="27" t="str">
        <f aca="false">IF(OR(E791="",E791="!!!",F791="NEW"),"",INDEX(J$1:J790,SUMPRODUCT(MAX(ROW(E$1:E790)*(E791=E$1:E790)))))</f>
        <v/>
      </c>
      <c r="L791" s="28"/>
    </row>
    <row r="792" customFormat="false" ht="15" hidden="false" customHeight="false" outlineLevel="0" collapsed="false">
      <c r="A792" s="21" t="s">
        <v>193</v>
      </c>
      <c r="E792" s="25"/>
      <c r="F792" s="26" t="str">
        <f aca="false">IF(OR(E792="",E792="!!!"),"",IF(NOT(ISNA(VLOOKUP(E792,E$1:E791,1,FALSE()))),"OLD",IF(AND(E792&lt;&gt;"",E792&lt;&gt;"!!!"),"NEW","")))</f>
        <v/>
      </c>
      <c r="G792" s="22" t="str">
        <f aca="false">IF(OR(E792="",E792="!!!"),"",IF(OR(J792=0,AND(J792=1,K792=1),AND(J792=1,I792="SBJ"),AND(J792=1,I792=0)),"?IN_FOCUS",IF(J792&lt;=2,"?ACTIVATED",IF(J792&lt;&gt;"","?FAMILIAR",IF(F792="NEW",IF(ISNA(VLOOKUP(E792,#REF!,1,FALSE())),"?TYPE_IDENTIFIABLE","?REFERENTIAL"),"_")))))</f>
        <v/>
      </c>
      <c r="H792" s="23" t="str">
        <f aca="false">IF(J792&lt;&gt;1,"",IF(I792="SBJ","CB","?"))</f>
        <v/>
      </c>
      <c r="I792" s="27" t="str">
        <f aca="false">IF(OR(E792="",E792="!!!",F792="NEW"),"",INDEX(B30:B$763,-1+SUMPRODUCT(MAX(ROW(E30:E$763)*(E792=E30:E$763)))))</f>
        <v/>
      </c>
      <c r="J792" s="27" t="str">
        <f aca="true">IF(OR(E792="",E792="!!!",F792="NEW"),"",COUNTBLANK(OFFSET(A$1,,,SUMPRODUCT(MAX(ROW(E$2:E792)*(E792=E$2:E792)))))-COUNTBLANK(OFFSET(A$1,,,SUMPRODUCT(MAX(ROW(E$1:E791)*(E2=E$1:E791))))))</f>
        <v/>
      </c>
      <c r="K792" s="27" t="str">
        <f aca="false">IF(OR(E792="",E792="!!!",F792="NEW"),"",INDEX(J$1:J791,SUMPRODUCT(MAX(ROW(E$1:E791)*(E792=E$1:E791)))))</f>
        <v/>
      </c>
      <c r="L792" s="28"/>
    </row>
    <row r="793" customFormat="false" ht="15" hidden="false" customHeight="false" outlineLevel="0" collapsed="false">
      <c r="A793" s="21"/>
      <c r="G793" s="22" t="str">
        <f aca="false">IF(OR(E793="",E793="!!!"),"",IF(OR(J793=0,AND(J793=1,K793=1),AND(J793=1,I793="SBJ"),AND(J793=1,I793=0)),"?IN_FOCUS",IF(J793&lt;=2,"?ACTIVATED",IF(J793&lt;&gt;"","?FAMILIAR",IF(F793="NEW",IF(ISNA(VLOOKUP(E793,#REF!,1,FALSE())),"?TYPE_IDENTIFIABLE","?REFERENTIAL"),"_")))))</f>
        <v/>
      </c>
      <c r="H793" s="23" t="str">
        <f aca="false">IF(J793&lt;&gt;1,"",IF(I793="SBJ","CB","?"))</f>
        <v/>
      </c>
    </row>
    <row r="794" customFormat="false" ht="15" hidden="false" customHeight="false" outlineLevel="0" collapsed="false">
      <c r="A794" s="21" t="s">
        <v>630</v>
      </c>
      <c r="G794" s="22" t="str">
        <f aca="false">IF(OR(E794="",E794="!!!"),"",IF(OR(J794=0,AND(J794=1,K794=1),AND(J794=1,I794="SBJ"),AND(J794=1,I794=0)),"?IN_FOCUS",IF(J794&lt;=2,"?ACTIVATED",IF(J794&lt;&gt;"","?FAMILIAR",IF(F794="NEW",IF(ISNA(VLOOKUP(E794,#REF!,1,FALSE())),"?TYPE_IDENTIFIABLE","?REFERENTIAL"),"_")))))</f>
        <v/>
      </c>
      <c r="H794" s="23" t="str">
        <f aca="false">IF(J794&lt;&gt;1,"",IF(I794="SBJ","CB","?"))</f>
        <v/>
      </c>
    </row>
    <row r="795" customFormat="false" ht="15" hidden="false" customHeight="false" outlineLevel="0" collapsed="false">
      <c r="A795" s="21" t="s">
        <v>631</v>
      </c>
      <c r="E795" s="25"/>
      <c r="F795" s="26" t="str">
        <f aca="false">IF(OR(E795="",E795="!!!"),"",IF(NOT(ISNA(VLOOKUP(E795,E$1:E794,1,FALSE()))),"OLD",IF(AND(E795&lt;&gt;"",E795&lt;&gt;"!!!"),"NEW","")))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7" t="str">
        <f aca="false">IF(OR(E795="",E795="!!!",F795="NEW"),"",INDEX(B2:B$794,-1+SUMPRODUCT(MAX(ROW(E2:E$794)*(E795=E2:E$794)))))</f>
        <v/>
      </c>
      <c r="J795" s="27" t="str">
        <f aca="true">IF(OR(E795="",E795="!!!",F795="NEW"),"",COUNTBLANK(OFFSET(A$1,,,SUMPRODUCT(MAX(ROW(E$2:E795)*(E795=E$2:E795)))))-COUNTBLANK(OFFSET(A$1,,,SUMPRODUCT(MAX(ROW(E$1:E794)*(E2=E$1:E794))))))</f>
        <v/>
      </c>
      <c r="K795" s="27" t="str">
        <f aca="false">IF(OR(E795="",E795="!!!",F795="NEW"),"",INDEX(J$1:J794,SUMPRODUCT(MAX(ROW(E$1:E794)*(E795=E$1:E794)))))</f>
        <v/>
      </c>
      <c r="L795" s="28"/>
    </row>
    <row r="796" customFormat="false" ht="15" hidden="false" customHeight="false" outlineLevel="0" collapsed="false">
      <c r="A796" s="21" t="s">
        <v>632</v>
      </c>
      <c r="B796" s="29" t="s">
        <v>185</v>
      </c>
      <c r="C796" s="29" t="s">
        <v>181</v>
      </c>
      <c r="D796" s="29" t="s">
        <v>159</v>
      </c>
      <c r="E796" s="25" t="s">
        <v>633</v>
      </c>
      <c r="F796" s="30" t="str">
        <f aca="false">IF(OR(E796="",E796="!!!"),"",IF(NOT(ISNA(VLOOKUP(E796,E$1:E795,1,FALSE()))),"OLD",IF(AND(E796&lt;&gt;"",E796&lt;&gt;"!!!"),"NEW","")))</f>
        <v>NEW</v>
      </c>
      <c r="G796" s="22" t="s">
        <v>160</v>
      </c>
      <c r="H796" s="23" t="str">
        <f aca="false">IF(J796&lt;&gt;1,"",IF(I796="SBJ","CB","?"))</f>
        <v/>
      </c>
      <c r="I796" s="31" t="str">
        <f aca="false">IF(OR(E796="",E796="!!!",F796="NEW"),"",INDEX(B3:B$794,-1+SUMPRODUCT(MAX(ROW(E3:E$794)*(E796=E3:E$794)))))</f>
        <v/>
      </c>
      <c r="J796" s="31" t="str">
        <f aca="true">IF(OR(E796="",E796="!!!",F796="NEW"),"",COUNTBLANK(OFFSET(A$1,,,SUMPRODUCT(MAX(ROW(E$2:E796)*(E796=E$2:E796)))))-COUNTBLANK(OFFSET(A$1,,,SUMPRODUCT(MAX(ROW(E$1:E795)*(E2=E$1:E795))))))</f>
        <v/>
      </c>
      <c r="K796" s="31" t="str">
        <f aca="false">IF(OR(E796="",E796="!!!",F796="NEW"),"",INDEX(J$1:J795,SUMPRODUCT(MAX(ROW(E$1:E795)*(E796=E$1:E795)))))</f>
        <v/>
      </c>
      <c r="L796" s="28"/>
    </row>
    <row r="797" customFormat="false" ht="15" hidden="false" customHeight="false" outlineLevel="0" collapsed="false">
      <c r="A797" s="21" t="s">
        <v>92</v>
      </c>
      <c r="E797" s="25"/>
      <c r="F797" s="26" t="str">
        <f aca="false">IF(OR(E797="",E797="!!!"),"",IF(NOT(ISNA(VLOOKUP(E797,E$1:E796,1,FALSE()))),"OLD",IF(AND(E797&lt;&gt;"",E797&lt;&gt;"!!!"),"NEW","")))</f>
        <v/>
      </c>
      <c r="G797" s="22" t="str">
        <f aca="false">IF(OR(E797="",E797="!!!"),"",IF(OR(J797=0,AND(J797=1,K797=1),AND(J797=1,I797="SBJ"),AND(J797=1,I797=0)),"?IN_FOCUS",IF(J797&lt;=2,"?ACTIVATED",IF(J797&lt;&gt;"","?FAMILIAR",IF(F797="NEW",IF(ISNA(VLOOKUP(E797,#REF!,1,FALSE())),"?TYPE_IDENTIFIABLE","?REFERENTIAL"),"_")))))</f>
        <v/>
      </c>
      <c r="H797" s="23" t="str">
        <f aca="false">IF(J797&lt;&gt;1,"",IF(I797="SBJ","CB","?"))</f>
        <v/>
      </c>
      <c r="I797" s="27" t="str">
        <f aca="false">IF(OR(E797="",E797="!!!",F797="NEW"),"",INDEX(B4:B$794,-1+SUMPRODUCT(MAX(ROW(E4:E$794)*(E797=E4:E$794)))))</f>
        <v/>
      </c>
      <c r="J797" s="27" t="str">
        <f aca="true">IF(OR(E797="",E797="!!!",F797="NEW"),"",COUNTBLANK(OFFSET(A$1,,,SUMPRODUCT(MAX(ROW(E$2:E797)*(E797=E$2:E797)))))-COUNTBLANK(OFFSET(A$1,,,SUMPRODUCT(MAX(ROW(E$1:E796)*(E2=E$1:E796))))))</f>
        <v/>
      </c>
      <c r="K797" s="27" t="str">
        <f aca="false">IF(OR(E797="",E797="!!!",F797="NEW"),"",INDEX(J$1:J796,SUMPRODUCT(MAX(ROW(E$1:E796)*(E797=E$1:E796)))))</f>
        <v/>
      </c>
      <c r="L797" s="28"/>
    </row>
    <row r="798" customFormat="false" ht="15" hidden="false" customHeight="false" outlineLevel="0" collapsed="false">
      <c r="A798" s="21" t="s">
        <v>212</v>
      </c>
      <c r="E798" s="25"/>
      <c r="F798" s="26" t="str">
        <f aca="false">IF(OR(E798="",E798="!!!"),"",IF(NOT(ISNA(VLOOKUP(E798,E$1:E797,1,FALSE()))),"OLD",IF(AND(E798&lt;&gt;"",E798&lt;&gt;"!!!"),"NEW","")))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7" t="str">
        <f aca="false">IF(OR(E798="",E798="!!!",F798="NEW"),"",INDEX(B5:B$794,-1+SUMPRODUCT(MAX(ROW(E5:E$794)*(E798=E5:E$794)))))</f>
        <v/>
      </c>
      <c r="J798" s="27" t="str">
        <f aca="true">IF(OR(E798="",E798="!!!",F798="NEW"),"",COUNTBLANK(OFFSET(A$1,,,SUMPRODUCT(MAX(ROW(E$2:E798)*(E798=E$2:E798)))))-COUNTBLANK(OFFSET(A$1,,,SUMPRODUCT(MAX(ROW(E$1:E797)*(E2=E$1:E797))))))</f>
        <v/>
      </c>
      <c r="K798" s="27" t="str">
        <f aca="false">IF(OR(E798="",E798="!!!",F798="NEW"),"",INDEX(J$1:J797,SUMPRODUCT(MAX(ROW(E$1:E797)*(E798=E$1:E797)))))</f>
        <v/>
      </c>
      <c r="L798" s="28"/>
    </row>
    <row r="799" customFormat="false" ht="15" hidden="false" customHeight="false" outlineLevel="0" collapsed="false">
      <c r="A799" s="21" t="s">
        <v>175</v>
      </c>
      <c r="E799" s="25"/>
      <c r="F799" s="26" t="str">
        <f aca="false">IF(OR(E799="",E799="!!!"),"",IF(NOT(ISNA(VLOOKUP(E799,E$1:E798,1,FALSE()))),"OLD",IF(AND(E799&lt;&gt;"",E799&lt;&gt;"!!!"),"NEW","")))</f>
        <v/>
      </c>
      <c r="G799" s="22" t="str">
        <f aca="false">IF(OR(E799="",E799="!!!"),"",IF(OR(J799=0,AND(J799=1,K799=1),AND(J799=1,I799="SBJ"),AND(J799=1,I799=0)),"?IN_FOCUS",IF(J799&lt;=2,"?ACTIVATED",IF(J799&lt;&gt;"","?FAMILIAR",IF(F799="NEW",IF(ISNA(VLOOKUP(E799,#REF!,1,FALSE())),"?TYPE_IDENTIFIABLE","?REFERENTIAL"),"_")))))</f>
        <v/>
      </c>
      <c r="H799" s="23" t="str">
        <f aca="false">IF(J799&lt;&gt;1,"",IF(I799="SBJ","CB","?"))</f>
        <v/>
      </c>
      <c r="I799" s="27" t="str">
        <f aca="false">IF(OR(E799="",E799="!!!",F799="NEW"),"",INDEX(B6:B$794,-1+SUMPRODUCT(MAX(ROW(E6:E$794)*(E799=E6:E$794)))))</f>
        <v/>
      </c>
      <c r="J799" s="27" t="str">
        <f aca="true">IF(OR(E799="",E799="!!!",F799="NEW"),"",COUNTBLANK(OFFSET(A$1,,,SUMPRODUCT(MAX(ROW(E$2:E799)*(E799=E$2:E799)))))-COUNTBLANK(OFFSET(A$1,,,SUMPRODUCT(MAX(ROW(E$1:E798)*(E2=E$1:E798))))))</f>
        <v/>
      </c>
      <c r="K799" s="27" t="str">
        <f aca="false">IF(OR(E799="",E799="!!!",F799="NEW"),"",INDEX(J$1:J798,SUMPRODUCT(MAX(ROW(E$1:E798)*(E799=E$1:E798)))))</f>
        <v/>
      </c>
      <c r="L799" s="28"/>
    </row>
    <row r="800" customFormat="false" ht="15" hidden="false" customHeight="false" outlineLevel="0" collapsed="false">
      <c r="A800" s="21" t="s">
        <v>451</v>
      </c>
      <c r="B800" s="29" t="s">
        <v>190</v>
      </c>
      <c r="C800" s="29" t="s">
        <v>164</v>
      </c>
      <c r="E800" s="25"/>
      <c r="F800" s="26" t="str">
        <f aca="false">IF(OR(E800="",E800="!!!"),"",IF(NOT(ISNA(VLOOKUP(E800,E$1:E799,1,FALSE()))),"OLD",IF(AND(E800&lt;&gt;"",E800&lt;&gt;"!!!"),"NEW","")))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7" t="str">
        <f aca="false">IF(OR(E800="",E800="!!!",F800="NEW"),"",INDEX(B7:B$794,-1+SUMPRODUCT(MAX(ROW(E7:E$794)*(E800=E7:E$794)))))</f>
        <v/>
      </c>
      <c r="J800" s="27" t="str">
        <f aca="true">IF(OR(E800="",E800="!!!",F800="NEW"),"",COUNTBLANK(OFFSET(A$1,,,SUMPRODUCT(MAX(ROW(E$2:E800)*(E800=E$2:E800)))))-COUNTBLANK(OFFSET(A$1,,,SUMPRODUCT(MAX(ROW(E$1:E799)*(E2=E$1:E799))))))</f>
        <v/>
      </c>
      <c r="K800" s="27" t="str">
        <f aca="false">IF(OR(E800="",E800="!!!",F800="NEW"),"",INDEX(J$1:J799,SUMPRODUCT(MAX(ROW(E$1:E799)*(E800=E$1:E799)))))</f>
        <v/>
      </c>
      <c r="L800" s="28"/>
    </row>
    <row r="801" customFormat="false" ht="15" hidden="false" customHeight="false" outlineLevel="0" collapsed="false">
      <c r="A801" s="21" t="s">
        <v>248</v>
      </c>
      <c r="E801" s="25"/>
      <c r="F801" s="26" t="str">
        <f aca="false">IF(OR(E801="",E801="!!!"),"",IF(NOT(ISNA(VLOOKUP(E801,E$1:E800,1,FALSE()))),"OLD",IF(AND(E801&lt;&gt;"",E801&lt;&gt;"!!!"),"NEW","")))</f>
        <v/>
      </c>
      <c r="G801" s="22" t="str">
        <f aca="false">IF(OR(E801="",E801="!!!"),"",IF(OR(J801=0,AND(J801=1,K801=1),AND(J801=1,I801="SBJ"),AND(J801=1,I801=0)),"?IN_FOCUS",IF(J801&lt;=2,"?ACTIVATED",IF(J801&lt;&gt;"","?FAMILIAR",IF(F801="NEW",IF(ISNA(VLOOKUP(E801,#REF!,1,FALSE())),"?TYPE_IDENTIFIABLE","?REFERENTIAL"),"_")))))</f>
        <v/>
      </c>
      <c r="H801" s="23" t="str">
        <f aca="false">IF(J801&lt;&gt;1,"",IF(I801="SBJ","CB","?"))</f>
        <v/>
      </c>
      <c r="I801" s="27" t="str">
        <f aca="false">IF(OR(E801="",E801="!!!",F801="NEW"),"",INDEX(B8:B$794,-1+SUMPRODUCT(MAX(ROW(E8:E$794)*(E801=E8:E$794)))))</f>
        <v/>
      </c>
      <c r="J801" s="27" t="str">
        <f aca="true">IF(OR(E801="",E801="!!!",F801="NEW"),"",COUNTBLANK(OFFSET(A$1,,,SUMPRODUCT(MAX(ROW(E$2:E801)*(E801=E$2:E801)))))-COUNTBLANK(OFFSET(A$1,,,SUMPRODUCT(MAX(ROW(E$1:E800)*(E2=E$1:E800))))))</f>
        <v/>
      </c>
      <c r="K801" s="27" t="str">
        <f aca="false">IF(OR(E801="",E801="!!!",F801="NEW"),"",INDEX(J$1:J800,SUMPRODUCT(MAX(ROW(E$1:E800)*(E801=E$1:E800)))))</f>
        <v/>
      </c>
      <c r="L801" s="28"/>
    </row>
    <row r="802" customFormat="false" ht="15" hidden="false" customHeight="false" outlineLevel="0" collapsed="false">
      <c r="A802" s="21" t="s">
        <v>634</v>
      </c>
      <c r="E802" s="25"/>
      <c r="F802" s="26" t="str">
        <f aca="false">IF(OR(E802="",E802="!!!"),"",IF(NOT(ISNA(VLOOKUP(E802,E$1:E801,1,FALSE()))),"OLD",IF(AND(E802&lt;&gt;"",E802&lt;&gt;"!!!"),"NEW","")))</f>
        <v/>
      </c>
      <c r="G802" s="22" t="str">
        <f aca="false">IF(OR(E802="",E802="!!!"),"",IF(OR(J802=0,AND(J802=1,K802=1),AND(J802=1,I802="SBJ"),AND(J802=1,I802=0)),"?IN_FOCUS",IF(J802&lt;=2,"?ACTIVATED",IF(J802&lt;&gt;"","?FAMILIAR",IF(F802="NEW",IF(ISNA(VLOOKUP(E802,#REF!,1,FALSE())),"?TYPE_IDENTIFIABLE","?REFERENTIAL"),"_")))))</f>
        <v/>
      </c>
      <c r="H802" s="23" t="str">
        <f aca="false">IF(J802&lt;&gt;1,"",IF(I802="SBJ","CB","?"))</f>
        <v/>
      </c>
      <c r="I802" s="27" t="str">
        <f aca="false">IF(OR(E802="",E802="!!!",F802="NEW"),"",INDEX(B9:B$794,-1+SUMPRODUCT(MAX(ROW(E9:E$794)*(E802=E9:E$794)))))</f>
        <v/>
      </c>
      <c r="J802" s="27" t="str">
        <f aca="true">IF(OR(E802="",E802="!!!",F802="NEW"),"",COUNTBLANK(OFFSET(A$1,,,SUMPRODUCT(MAX(ROW(E$2:E802)*(E802=E$2:E802)))))-COUNTBLANK(OFFSET(A$1,,,SUMPRODUCT(MAX(ROW(E$1:E801)*(E2=E$1:E801))))))</f>
        <v/>
      </c>
      <c r="K802" s="27" t="str">
        <f aca="false">IF(OR(E802="",E802="!!!",F802="NEW"),"",INDEX(J$1:J801,SUMPRODUCT(MAX(ROW(E$1:E801)*(E802=E$1:E801)))))</f>
        <v/>
      </c>
      <c r="L802" s="28"/>
    </row>
    <row r="803" customFormat="false" ht="15" hidden="false" customHeight="false" outlineLevel="0" collapsed="false">
      <c r="A803" s="21" t="s">
        <v>635</v>
      </c>
      <c r="B803" s="29" t="s">
        <v>226</v>
      </c>
      <c r="C803" s="29" t="s">
        <v>636</v>
      </c>
      <c r="E803" s="25"/>
      <c r="F803" s="26" t="str">
        <f aca="false">IF(OR(E803="",E803="!!!"),"",IF(NOT(ISNA(VLOOKUP(E803,E$1:E802,1,FALSE()))),"OLD",IF(AND(E803&lt;&gt;"",E803&lt;&gt;"!!!"),"NEW","")))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7" t="str">
        <f aca="false">IF(OR(E803="",E803="!!!",F803="NEW"),"",INDEX(B10:B$794,-1+SUMPRODUCT(MAX(ROW(E10:E$794)*(E803=E10:E$794)))))</f>
        <v/>
      </c>
      <c r="J803" s="27" t="str">
        <f aca="true">IF(OR(E803="",E803="!!!",F803="NEW"),"",COUNTBLANK(OFFSET(A$1,,,SUMPRODUCT(MAX(ROW(E$2:E803)*(E803=E$2:E803)))))-COUNTBLANK(OFFSET(A$1,,,SUMPRODUCT(MAX(ROW(E$1:E802)*(E2=E$1:E802))))))</f>
        <v/>
      </c>
      <c r="K803" s="27" t="str">
        <f aca="false">IF(OR(E803="",E803="!!!",F803="NEW"),"",INDEX(J$1:J802,SUMPRODUCT(MAX(ROW(E$1:E802)*(E803=E$1:E802)))))</f>
        <v/>
      </c>
      <c r="L803" s="28"/>
    </row>
    <row r="804" customFormat="false" ht="15" hidden="false" customHeight="false" outlineLevel="0" collapsed="false">
      <c r="A804" s="21" t="s">
        <v>318</v>
      </c>
      <c r="E804" s="25"/>
      <c r="F804" s="26" t="str">
        <f aca="false">IF(OR(E804="",E804="!!!"),"",IF(NOT(ISNA(VLOOKUP(E804,E$1:E803,1,FALSE()))),"OLD",IF(AND(E804&lt;&gt;"",E804&lt;&gt;"!!!"),"NEW","")))</f>
        <v/>
      </c>
      <c r="G804" s="22" t="str">
        <f aca="false">IF(OR(E804="",E804="!!!"),"",IF(OR(J804=0,AND(J804=1,K804=1),AND(J804=1,I804="SBJ"),AND(J804=1,I804=0)),"?IN_FOCUS",IF(J804&lt;=2,"?ACTIVATED",IF(J804&lt;&gt;"","?FAMILIAR",IF(F804="NEW",IF(ISNA(VLOOKUP(E804,#REF!,1,FALSE())),"?TYPE_IDENTIFIABLE","?REFERENTIAL"),"_")))))</f>
        <v/>
      </c>
      <c r="H804" s="23" t="str">
        <f aca="false">IF(J804&lt;&gt;1,"",IF(I804="SBJ","CB","?"))</f>
        <v/>
      </c>
      <c r="I804" s="27" t="str">
        <f aca="false">IF(OR(E804="",E804="!!!",F804="NEW"),"",INDEX(B11:B$794,-1+SUMPRODUCT(MAX(ROW(E11:E$794)*(E804=E11:E$794)))))</f>
        <v/>
      </c>
      <c r="J804" s="27" t="str">
        <f aca="true">IF(OR(E804="",E804="!!!",F804="NEW"),"",COUNTBLANK(OFFSET(A$1,,,SUMPRODUCT(MAX(ROW(E$2:E804)*(E804=E$2:E804)))))-COUNTBLANK(OFFSET(A$1,,,SUMPRODUCT(MAX(ROW(E$1:E803)*(E2=E$1:E803))))))</f>
        <v/>
      </c>
      <c r="K804" s="27" t="str">
        <f aca="false">IF(OR(E804="",E804="!!!",F804="NEW"),"",INDEX(J$1:J803,SUMPRODUCT(MAX(ROW(E$1:E803)*(E804=E$1:E803)))))</f>
        <v/>
      </c>
      <c r="L804" s="28"/>
    </row>
    <row r="805" customFormat="false" ht="15" hidden="false" customHeight="false" outlineLevel="0" collapsed="false">
      <c r="A805" s="21" t="s">
        <v>637</v>
      </c>
      <c r="E805" s="25"/>
      <c r="F805" s="26" t="str">
        <f aca="false">IF(OR(E805="",E805="!!!"),"",IF(NOT(ISNA(VLOOKUP(E805,E$1:E804,1,FALSE()))),"OLD",IF(AND(E805&lt;&gt;"",E805&lt;&gt;"!!!"),"NEW","")))</f>
        <v/>
      </c>
      <c r="G805" s="22" t="str">
        <f aca="false">IF(OR(E805="",E805="!!!"),"",IF(OR(J805=0,AND(J805=1,K805=1),AND(J805=1,I805="SBJ"),AND(J805=1,I805=0)),"?IN_FOCUS",IF(J805&lt;=2,"?ACTIVATED",IF(J805&lt;&gt;"","?FAMILIAR",IF(F805="NEW",IF(ISNA(VLOOKUP(E805,#REF!,1,FALSE())),"?TYPE_IDENTIFIABLE","?REFERENTIAL"),"_")))))</f>
        <v/>
      </c>
      <c r="H805" s="23" t="str">
        <f aca="false">IF(J805&lt;&gt;1,"",IF(I805="SBJ","CB","?"))</f>
        <v/>
      </c>
      <c r="I805" s="27" t="str">
        <f aca="false">IF(OR(E805="",E805="!!!",F805="NEW"),"",INDEX(B12:B$794,-1+SUMPRODUCT(MAX(ROW(E12:E$794)*(E805=E12:E$794)))))</f>
        <v/>
      </c>
      <c r="J805" s="27" t="str">
        <f aca="true">IF(OR(E805="",E805="!!!",F805="NEW"),"",COUNTBLANK(OFFSET(A$1,,,SUMPRODUCT(MAX(ROW(E$2:E805)*(E805=E$2:E805)))))-COUNTBLANK(OFFSET(A$1,,,SUMPRODUCT(MAX(ROW(E$1:E804)*(E2=E$1:E804))))))</f>
        <v/>
      </c>
      <c r="K805" s="27" t="str">
        <f aca="false">IF(OR(E805="",E805="!!!",F805="NEW"),"",INDEX(J$1:J804,SUMPRODUCT(MAX(ROW(E$1:E804)*(E805=E$1:E804)))))</f>
        <v/>
      </c>
      <c r="L805" s="28"/>
    </row>
    <row r="806" customFormat="false" ht="15" hidden="false" customHeight="false" outlineLevel="0" collapsed="false">
      <c r="A806" s="21" t="s">
        <v>638</v>
      </c>
      <c r="B806" s="29" t="s">
        <v>229</v>
      </c>
      <c r="C806" s="29" t="s">
        <v>167</v>
      </c>
      <c r="E806" s="25"/>
      <c r="F806" s="26" t="str">
        <f aca="false">IF(OR(E806="",E806="!!!"),"",IF(NOT(ISNA(VLOOKUP(E806,E$1:E805,1,FALSE()))),"OLD",IF(AND(E806&lt;&gt;"",E806&lt;&gt;"!!!"),"NEW","")))</f>
        <v/>
      </c>
      <c r="G806" s="22" t="str">
        <f aca="false">IF(OR(E806="",E806="!!!"),"",IF(OR(J806=0,AND(J806=1,K806=1),AND(J806=1,I806="SBJ"),AND(J806=1,I806=0)),"?IN_FOCUS",IF(J806&lt;=2,"?ACTIVATED",IF(J806&lt;&gt;"","?FAMILIAR",IF(F806="NEW",IF(ISNA(VLOOKUP(E806,#REF!,1,FALSE())),"?TYPE_IDENTIFIABLE","?REFERENTIAL"),"_")))))</f>
        <v/>
      </c>
      <c r="H806" s="23" t="str">
        <f aca="false">IF(J806&lt;&gt;1,"",IF(I806="SBJ","CB","?"))</f>
        <v/>
      </c>
      <c r="I806" s="27" t="str">
        <f aca="false">IF(OR(E806="",E806="!!!",F806="NEW"),"",INDEX(B13:B$794,-1+SUMPRODUCT(MAX(ROW(E13:E$794)*(E806=E13:E$794)))))</f>
        <v/>
      </c>
      <c r="J806" s="27" t="str">
        <f aca="true">IF(OR(E806="",E806="!!!",F806="NEW"),"",COUNTBLANK(OFFSET(A$1,,,SUMPRODUCT(MAX(ROW(E$2:E806)*(E806=E$2:E806)))))-COUNTBLANK(OFFSET(A$1,,,SUMPRODUCT(MAX(ROW(E$1:E805)*(E2=E$1:E805))))))</f>
        <v/>
      </c>
      <c r="K806" s="27" t="str">
        <f aca="false">IF(OR(E806="",E806="!!!",F806="NEW"),"",INDEX(J$1:J805,SUMPRODUCT(MAX(ROW(E$1:E805)*(E806=E$1:E805)))))</f>
        <v/>
      </c>
      <c r="L806" s="28"/>
    </row>
    <row r="807" customFormat="false" ht="15" hidden="false" customHeight="false" outlineLevel="0" collapsed="false">
      <c r="A807" s="21" t="s">
        <v>212</v>
      </c>
      <c r="E807" s="25"/>
      <c r="F807" s="26" t="str">
        <f aca="false">IF(OR(E807="",E807="!!!"),"",IF(NOT(ISNA(VLOOKUP(E807,E$1:E806,1,FALSE()))),"OLD",IF(AND(E807&lt;&gt;"",E807&lt;&gt;"!!!"),"NEW","")))</f>
        <v/>
      </c>
      <c r="G807" s="22" t="str">
        <f aca="false">IF(OR(E807="",E807="!!!"),"",IF(OR(J807=0,AND(J807=1,K807=1),AND(J807=1,I807="SBJ"),AND(J807=1,I807=0)),"?IN_FOCUS",IF(J807&lt;=2,"?ACTIVATED",IF(J807&lt;&gt;"","?FAMILIAR",IF(F807="NEW",IF(ISNA(VLOOKUP(E807,#REF!,1,FALSE())),"?TYPE_IDENTIFIABLE","?REFERENTIAL"),"_")))))</f>
        <v/>
      </c>
      <c r="H807" s="23" t="str">
        <f aca="false">IF(J807&lt;&gt;1,"",IF(I807="SBJ","CB","?"))</f>
        <v/>
      </c>
      <c r="I807" s="27" t="str">
        <f aca="false">IF(OR(E807="",E807="!!!",F807="NEW"),"",INDEX(B14:B$794,-1+SUMPRODUCT(MAX(ROW(E14:E$794)*(E807=E14:E$794)))))</f>
        <v/>
      </c>
      <c r="J807" s="27" t="str">
        <f aca="true">IF(OR(E807="",E807="!!!",F807="NEW"),"",COUNTBLANK(OFFSET(A$1,,,SUMPRODUCT(MAX(ROW(E$2:E807)*(E807=E$2:E807)))))-COUNTBLANK(OFFSET(A$1,,,SUMPRODUCT(MAX(ROW(E$1:E806)*(E2=E$1:E806))))))</f>
        <v/>
      </c>
      <c r="K807" s="27" t="str">
        <f aca="false">IF(OR(E807="",E807="!!!",F807="NEW"),"",INDEX(J$1:J806,SUMPRODUCT(MAX(ROW(E$1:E806)*(E807=E$1:E806)))))</f>
        <v/>
      </c>
      <c r="L807" s="28"/>
    </row>
    <row r="808" customFormat="false" ht="15" hidden="false" customHeight="false" outlineLevel="0" collapsed="false">
      <c r="A808" s="21" t="s">
        <v>394</v>
      </c>
      <c r="B808" s="29" t="s">
        <v>232</v>
      </c>
      <c r="C808" s="29" t="s">
        <v>240</v>
      </c>
      <c r="D808" s="29" t="s">
        <v>159</v>
      </c>
      <c r="E808" s="25" t="s">
        <v>639</v>
      </c>
      <c r="F808" s="30" t="str">
        <f aca="false">IF(OR(E808="",E808="!!!"),"",IF(NOT(ISNA(VLOOKUP(E808,E$1:E807,1,FALSE()))),"OLD",IF(AND(E808&lt;&gt;"",E808&lt;&gt;"!!!"),"NEW","")))</f>
        <v>NEW</v>
      </c>
      <c r="G808" s="22" t="s">
        <v>160</v>
      </c>
      <c r="H808" s="23" t="str">
        <f aca="false">IF(J808&lt;&gt;1,"",IF(I808="SBJ","CB","?"))</f>
        <v/>
      </c>
      <c r="I808" s="31" t="str">
        <f aca="false">IF(OR(E808="",E808="!!!",F808="NEW"),"",INDEX(B15:B$794,-1+SUMPRODUCT(MAX(ROW(E15:E$794)*(E808=E15:E$794)))))</f>
        <v/>
      </c>
      <c r="J808" s="31" t="str">
        <f aca="true">IF(OR(E808="",E808="!!!",F808="NEW"),"",COUNTBLANK(OFFSET(A$1,,,SUMPRODUCT(MAX(ROW(E$2:E808)*(E808=E$2:E808)))))-COUNTBLANK(OFFSET(A$1,,,SUMPRODUCT(MAX(ROW(E$1:E807)*(E2=E$1:E807))))))</f>
        <v/>
      </c>
      <c r="K808" s="31" t="str">
        <f aca="false">IF(OR(E808="",E808="!!!",F808="NEW"),"",INDEX(J$1:J807,SUMPRODUCT(MAX(ROW(E$1:E807)*(E808=E$1:E807)))))</f>
        <v/>
      </c>
      <c r="L808" s="28"/>
    </row>
    <row r="809" customFormat="false" ht="15" hidden="false" customHeight="false" outlineLevel="0" collapsed="false">
      <c r="A809" s="21" t="s">
        <v>640</v>
      </c>
      <c r="B809" s="29" t="s">
        <v>216</v>
      </c>
      <c r="C809" s="29" t="s">
        <v>243</v>
      </c>
      <c r="D809" s="29" t="s">
        <v>159</v>
      </c>
      <c r="E809" s="25" t="s">
        <v>641</v>
      </c>
      <c r="F809" s="30" t="str">
        <f aca="false">IF(OR(E809="",E809="!!!"),"",IF(NOT(ISNA(VLOOKUP(E809,E$1:E808,1,FALSE()))),"OLD",IF(AND(E809&lt;&gt;"",E809&lt;&gt;"!!!"),"NEW","")))</f>
        <v>NEW</v>
      </c>
      <c r="G809" s="22" t="s">
        <v>160</v>
      </c>
      <c r="H809" s="23" t="str">
        <f aca="false">IF(J809&lt;&gt;1,"",IF(I809="SBJ","CB","?"))</f>
        <v/>
      </c>
      <c r="I809" s="31" t="str">
        <f aca="false">IF(OR(E809="",E809="!!!",F809="NEW"),"",INDEX(B16:B$794,-1+SUMPRODUCT(MAX(ROW(E16:E$794)*(E809=E16:E$794)))))</f>
        <v/>
      </c>
      <c r="J809" s="31" t="str">
        <f aca="true">IF(OR(E809="",E809="!!!",F809="NEW"),"",COUNTBLANK(OFFSET(A$1,,,SUMPRODUCT(MAX(ROW(E$2:E809)*(E809=E$2:E809)))))-COUNTBLANK(OFFSET(A$1,,,SUMPRODUCT(MAX(ROW(E$1:E808)*(E2=E$1:E808))))))</f>
        <v/>
      </c>
      <c r="K809" s="31" t="str">
        <f aca="false">IF(OR(E809="",E809="!!!",F809="NEW"),"",INDEX(J$1:J808,SUMPRODUCT(MAX(ROW(E$1:E808)*(E809=E$1:E808)))))</f>
        <v/>
      </c>
      <c r="L809" s="28"/>
    </row>
    <row r="810" customFormat="false" ht="15" hidden="false" customHeight="false" outlineLevel="0" collapsed="false">
      <c r="A810" s="21" t="s">
        <v>237</v>
      </c>
      <c r="E810" s="25"/>
      <c r="F810" s="26" t="str">
        <f aca="false">IF(OR(E810="",E810="!!!"),"",IF(NOT(ISNA(VLOOKUP(E810,E$1:E809,1,FALSE()))),"OLD",IF(AND(E810&lt;&gt;"",E810&lt;&gt;"!!!"),"NEW","")))</f>
        <v/>
      </c>
      <c r="G810" s="22" t="str">
        <f aca="false">IF(OR(E810="",E810="!!!"),"",IF(OR(J810=0,AND(J810=1,K810=1),AND(J810=1,I810="SBJ"),AND(J810=1,I810=0)),"?IN_FOCUS",IF(J810&lt;=2,"?ACTIVATED",IF(J810&lt;&gt;"","?FAMILIAR",IF(F810="NEW",IF(ISNA(VLOOKUP(E810,#REF!,1,FALSE())),"?TYPE_IDENTIFIABLE","?REFERENTIAL"),"_")))))</f>
        <v/>
      </c>
      <c r="H810" s="23" t="str">
        <f aca="false">IF(J810&lt;&gt;1,"",IF(I810="SBJ","CB","?"))</f>
        <v/>
      </c>
      <c r="I810" s="27" t="str">
        <f aca="false">IF(OR(E810="",E810="!!!",F810="NEW"),"",INDEX(B17:B$794,-1+SUMPRODUCT(MAX(ROW(E17:E$794)*(E810=E17:E$794)))))</f>
        <v/>
      </c>
      <c r="J810" s="27" t="str">
        <f aca="true">IF(OR(E810="",E810="!!!",F810="NEW"),"",COUNTBLANK(OFFSET(A$1,,,SUMPRODUCT(MAX(ROW(E$2:E810)*(E810=E$2:E810)))))-COUNTBLANK(OFFSET(A$1,,,SUMPRODUCT(MAX(ROW(E$1:E809)*(E2=E$1:E809))))))</f>
        <v/>
      </c>
      <c r="K810" s="27" t="str">
        <f aca="false">IF(OR(E810="",E810="!!!",F810="NEW"),"",INDEX(J$1:J809,SUMPRODUCT(MAX(ROW(E$1:E809)*(E810=E$1:E809)))))</f>
        <v/>
      </c>
      <c r="L810" s="28"/>
    </row>
    <row r="811" customFormat="false" ht="15" hidden="false" customHeight="false" outlineLevel="0" collapsed="false">
      <c r="A811" s="21" t="s">
        <v>225</v>
      </c>
      <c r="E811" s="25"/>
      <c r="F811" s="26" t="str">
        <f aca="false">IF(OR(E811="",E811="!!!"),"",IF(NOT(ISNA(VLOOKUP(E811,E$1:E810,1,FALSE()))),"OLD",IF(AND(E811&lt;&gt;"",E811&lt;&gt;"!!!"),"NEW","")))</f>
        <v/>
      </c>
      <c r="G811" s="22" t="str">
        <f aca="false">IF(OR(E811="",E811="!!!"),"",IF(OR(J811=0,AND(J811=1,K811=1),AND(J811=1,I811="SBJ"),AND(J811=1,I811=0)),"?IN_FOCUS",IF(J811&lt;=2,"?ACTIVATED",IF(J811&lt;&gt;"","?FAMILIAR",IF(F811="NEW",IF(ISNA(VLOOKUP(E811,#REF!,1,FALSE())),"?TYPE_IDENTIFIABLE","?REFERENTIAL"),"_")))))</f>
        <v/>
      </c>
      <c r="H811" s="23" t="str">
        <f aca="false">IF(J811&lt;&gt;1,"",IF(I811="SBJ","CB","?"))</f>
        <v/>
      </c>
      <c r="I811" s="27" t="str">
        <f aca="false">IF(OR(E811="",E811="!!!",F811="NEW"),"",INDEX(B18:B$794,-1+SUMPRODUCT(MAX(ROW(E18:E$794)*(E811=E18:E$794)))))</f>
        <v/>
      </c>
      <c r="J811" s="27" t="str">
        <f aca="true">IF(OR(E811="",E811="!!!",F811="NEW"),"",COUNTBLANK(OFFSET(A$1,,,SUMPRODUCT(MAX(ROW(E$2:E811)*(E811=E$2:E811)))))-COUNTBLANK(OFFSET(A$1,,,SUMPRODUCT(MAX(ROW(E$1:E810)*(E2=E$1:E810))))))</f>
        <v/>
      </c>
      <c r="K811" s="27" t="str">
        <f aca="false">IF(OR(E811="",E811="!!!",F811="NEW"),"",INDEX(J$1:J810,SUMPRODUCT(MAX(ROW(E$1:E810)*(E811=E$1:E810)))))</f>
        <v/>
      </c>
      <c r="L811" s="28"/>
    </row>
    <row r="812" customFormat="false" ht="15" hidden="false" customHeight="false" outlineLevel="0" collapsed="false">
      <c r="A812" s="21" t="s">
        <v>375</v>
      </c>
      <c r="B812" s="29" t="s">
        <v>556</v>
      </c>
      <c r="C812" s="29" t="s">
        <v>181</v>
      </c>
      <c r="D812" s="29" t="s">
        <v>159</v>
      </c>
      <c r="E812" s="25" t="s">
        <v>639</v>
      </c>
      <c r="F812" s="30" t="str">
        <f aca="false">IF(OR(E812="",E812="!!!"),"",IF(NOT(ISNA(VLOOKUP(E812,E$1:E811,1,FALSE()))),"OLD",IF(AND(E812&lt;&gt;"",E812&lt;&gt;"!!!"),"NEW","")))</f>
        <v>OLD</v>
      </c>
      <c r="G812" s="22" t="s">
        <v>186</v>
      </c>
      <c r="H812" s="23" t="str">
        <f aca="false">IF(J812&lt;&gt;1,"",IF(I812="SBJ","CB","?"))</f>
        <v/>
      </c>
      <c r="I812" s="31" t="e">
        <f aca="false">IF(OR(E812="",E812="!!!",F812="NEW"),"",INDEX(B19:B$794,-1+SUMPRODUCT(MAX(ROW(E19:E$794)*(E812=E19:E$794)))))</f>
        <v>#VALUE!</v>
      </c>
      <c r="J812" s="31" t="n">
        <f aca="true">IF(OR(E812="",E812="!!!",F812="NEW"),"",COUNTBLANK(OFFSET(A$1,,,SUMPRODUCT(MAX(ROW(E$2:E812)*(E812=E$2:E812)))))-COUNTBLANK(OFFSET(A$1,,,SUMPRODUCT(MAX(ROW(E$1:E811)*(E2=E$1:E811))))))</f>
        <v>0</v>
      </c>
      <c r="K812" s="31" t="str">
        <f aca="false">IF(OR(E812="",E812="!!!",F812="NEW"),"",INDEX(J$1:J811,SUMPRODUCT(MAX(ROW(E$1:E811)*(E812=E$1:E811)))))</f>
        <v/>
      </c>
      <c r="L812" s="28"/>
    </row>
    <row r="813" customFormat="false" ht="15" hidden="false" customHeight="false" outlineLevel="0" collapsed="false">
      <c r="A813" s="21" t="s">
        <v>550</v>
      </c>
      <c r="E813" s="25"/>
      <c r="F813" s="26" t="str">
        <f aca="false">IF(OR(E813="",E813="!!!"),"",IF(NOT(ISNA(VLOOKUP(E813,E$1:E812,1,FALSE()))),"OLD",IF(AND(E813&lt;&gt;"",E813&lt;&gt;"!!!"),"NEW","")))</f>
        <v/>
      </c>
      <c r="G813" s="22" t="str">
        <f aca="false">IF(OR(E813="",E813="!!!"),"",IF(OR(J813=0,AND(J813=1,K813=1),AND(J813=1,I813="SBJ"),AND(J813=1,I813=0)),"?IN_FOCUS",IF(J813&lt;=2,"?ACTIVATED",IF(J813&lt;&gt;"","?FAMILIAR",IF(F813="NEW",IF(ISNA(VLOOKUP(E813,#REF!,1,FALSE())),"?TYPE_IDENTIFIABLE","?REFERENTIAL"),"_")))))</f>
        <v/>
      </c>
      <c r="H813" s="23" t="str">
        <f aca="false">IF(J813&lt;&gt;1,"",IF(I813="SBJ","CB","?"))</f>
        <v/>
      </c>
      <c r="I813" s="27" t="str">
        <f aca="false">IF(OR(E813="",E813="!!!",F813="NEW"),"",INDEX(B20:B$794,-1+SUMPRODUCT(MAX(ROW(E20:E$794)*(E813=E20:E$794)))))</f>
        <v/>
      </c>
      <c r="J813" s="27" t="str">
        <f aca="true">IF(OR(E813="",E813="!!!",F813="NEW"),"",COUNTBLANK(OFFSET(A$1,,,SUMPRODUCT(MAX(ROW(E$2:E813)*(E813=E$2:E813)))))-COUNTBLANK(OFFSET(A$1,,,SUMPRODUCT(MAX(ROW(E$1:E812)*(E2=E$1:E812))))))</f>
        <v/>
      </c>
      <c r="K813" s="27" t="str">
        <f aca="false">IF(OR(E813="",E813="!!!",F813="NEW"),"",INDEX(J$1:J812,SUMPRODUCT(MAX(ROW(E$1:E812)*(E813=E$1:E812)))))</f>
        <v/>
      </c>
      <c r="L813" s="28"/>
    </row>
    <row r="814" customFormat="false" ht="15" hidden="false" customHeight="false" outlineLevel="0" collapsed="false">
      <c r="A814" s="21" t="s">
        <v>292</v>
      </c>
      <c r="E814" s="25"/>
      <c r="F814" s="26" t="str">
        <f aca="false">IF(OR(E814="",E814="!!!"),"",IF(NOT(ISNA(VLOOKUP(E814,E$1:E813,1,FALSE()))),"OLD",IF(AND(E814&lt;&gt;"",E814&lt;&gt;"!!!"),"NEW","")))</f>
        <v/>
      </c>
      <c r="G814" s="22" t="str">
        <f aca="false">IF(OR(E814="",E814="!!!"),"",IF(OR(J814=0,AND(J814=1,K814=1),AND(J814=1,I814="SBJ"),AND(J814=1,I814=0)),"?IN_FOCUS",IF(J814&lt;=2,"?ACTIVATED",IF(J814&lt;&gt;"","?FAMILIAR",IF(F814="NEW",IF(ISNA(VLOOKUP(E814,#REF!,1,FALSE())),"?TYPE_IDENTIFIABLE","?REFERENTIAL"),"_")))))</f>
        <v/>
      </c>
      <c r="H814" s="23" t="str">
        <f aca="false">IF(J814&lt;&gt;1,"",IF(I814="SBJ","CB","?"))</f>
        <v/>
      </c>
      <c r="I814" s="27" t="str">
        <f aca="false">IF(OR(E814="",E814="!!!",F814="NEW"),"",INDEX(B21:B$794,-1+SUMPRODUCT(MAX(ROW(E21:E$794)*(E814=E21:E$794)))))</f>
        <v/>
      </c>
      <c r="J814" s="27" t="str">
        <f aca="true">IF(OR(E814="",E814="!!!",F814="NEW"),"",COUNTBLANK(OFFSET(A$1,,,SUMPRODUCT(MAX(ROW(E$2:E814)*(E814=E$2:E814)))))-COUNTBLANK(OFFSET(A$1,,,SUMPRODUCT(MAX(ROW(E$1:E813)*(E2=E$1:E813))))))</f>
        <v/>
      </c>
      <c r="K814" s="27" t="str">
        <f aca="false">IF(OR(E814="",E814="!!!",F814="NEW"),"",INDEX(J$1:J813,SUMPRODUCT(MAX(ROW(E$1:E813)*(E814=E$1:E813)))))</f>
        <v/>
      </c>
      <c r="L814" s="28"/>
    </row>
    <row r="815" customFormat="false" ht="15" hidden="false" customHeight="false" outlineLevel="0" collapsed="false">
      <c r="A815" s="21" t="s">
        <v>230</v>
      </c>
      <c r="E815" s="25"/>
      <c r="F815" s="26" t="str">
        <f aca="false">IF(OR(E815="",E815="!!!"),"",IF(NOT(ISNA(VLOOKUP(E815,E$1:E814,1,FALSE()))),"OLD",IF(AND(E815&lt;&gt;"",E815&lt;&gt;"!!!"),"NEW","")))</f>
        <v/>
      </c>
      <c r="G815" s="22" t="str">
        <f aca="false">IF(OR(E815="",E815="!!!"),"",IF(OR(J815=0,AND(J815=1,K815=1),AND(J815=1,I815="SBJ"),AND(J815=1,I815=0)),"?IN_FOCUS",IF(J815&lt;=2,"?ACTIVATED",IF(J815&lt;&gt;"","?FAMILIAR",IF(F815="NEW",IF(ISNA(VLOOKUP(E815,#REF!,1,FALSE())),"?TYPE_IDENTIFIABLE","?REFERENTIAL"),"_")))))</f>
        <v/>
      </c>
      <c r="H815" s="23" t="str">
        <f aca="false">IF(J815&lt;&gt;1,"",IF(I815="SBJ","CB","?"))</f>
        <v/>
      </c>
      <c r="I815" s="27" t="str">
        <f aca="false">IF(OR(E815="",E815="!!!",F815="NEW"),"",INDEX(B22:B$794,-1+SUMPRODUCT(MAX(ROW(E22:E$794)*(E815=E22:E$794)))))</f>
        <v/>
      </c>
      <c r="J815" s="27" t="str">
        <f aca="true">IF(OR(E815="",E815="!!!",F815="NEW"),"",COUNTBLANK(OFFSET(A$1,,,SUMPRODUCT(MAX(ROW(E$2:E815)*(E815=E$2:E815)))))-COUNTBLANK(OFFSET(A$1,,,SUMPRODUCT(MAX(ROW(E$1:E814)*(E2=E$1:E814))))))</f>
        <v/>
      </c>
      <c r="K815" s="27" t="str">
        <f aca="false">IF(OR(E815="",E815="!!!",F815="NEW"),"",INDEX(J$1:J814,SUMPRODUCT(MAX(ROW(E$1:E814)*(E815=E$1:E814)))))</f>
        <v/>
      </c>
      <c r="L815" s="28"/>
    </row>
    <row r="816" customFormat="false" ht="15" hidden="false" customHeight="false" outlineLevel="0" collapsed="false">
      <c r="A816" s="21" t="s">
        <v>92</v>
      </c>
      <c r="E816" s="25"/>
      <c r="F816" s="26" t="str">
        <f aca="false">IF(OR(E816="",E816="!!!"),"",IF(NOT(ISNA(VLOOKUP(E816,E$1:E815,1,FALSE()))),"OLD",IF(AND(E816&lt;&gt;"",E816&lt;&gt;"!!!"),"NEW","")))</f>
        <v/>
      </c>
      <c r="G816" s="22" t="str">
        <f aca="false">IF(OR(E816="",E816="!!!"),"",IF(OR(J816=0,AND(J816=1,K816=1),AND(J816=1,I816="SBJ"),AND(J816=1,I816=0)),"?IN_FOCUS",IF(J816&lt;=2,"?ACTIVATED",IF(J816&lt;&gt;"","?FAMILIAR",IF(F816="NEW",IF(ISNA(VLOOKUP(E816,#REF!,1,FALSE())),"?TYPE_IDENTIFIABLE","?REFERENTIAL"),"_")))))</f>
        <v/>
      </c>
      <c r="H816" s="23" t="str">
        <f aca="false">IF(J816&lt;&gt;1,"",IF(I816="SBJ","CB","?"))</f>
        <v/>
      </c>
      <c r="I816" s="27" t="str">
        <f aca="false">IF(OR(E816="",E816="!!!",F816="NEW"),"",INDEX(B23:B$794,-1+SUMPRODUCT(MAX(ROW(E23:E$794)*(E816=E23:E$794)))))</f>
        <v/>
      </c>
      <c r="J816" s="27" t="str">
        <f aca="true">IF(OR(E816="",E816="!!!",F816="NEW"),"",COUNTBLANK(OFFSET(A$1,,,SUMPRODUCT(MAX(ROW(E$2:E816)*(E816=E$2:E816)))))-COUNTBLANK(OFFSET(A$1,,,SUMPRODUCT(MAX(ROW(E$1:E815)*(E2=E$1:E815))))))</f>
        <v/>
      </c>
      <c r="K816" s="27" t="str">
        <f aca="false">IF(OR(E816="",E816="!!!",F816="NEW"),"",INDEX(J$1:J815,SUMPRODUCT(MAX(ROW(E$1:E815)*(E816=E$1:E815)))))</f>
        <v/>
      </c>
      <c r="L816" s="28"/>
    </row>
    <row r="817" customFormat="false" ht="15" hidden="false" customHeight="false" outlineLevel="0" collapsed="false">
      <c r="A817" s="21" t="s">
        <v>642</v>
      </c>
      <c r="E817" s="25"/>
      <c r="F817" s="26" t="str">
        <f aca="false">IF(OR(E817="",E817="!!!"),"",IF(NOT(ISNA(VLOOKUP(E817,E$1:E816,1,FALSE()))),"OLD",IF(AND(E817&lt;&gt;"",E817&lt;&gt;"!!!"),"NEW","")))</f>
        <v/>
      </c>
      <c r="G817" s="22" t="str">
        <f aca="false">IF(OR(E817="",E817="!!!"),"",IF(OR(J817=0,AND(J817=1,K817=1),AND(J817=1,I817="SBJ"),AND(J817=1,I817=0)),"?IN_FOCUS",IF(J817&lt;=2,"?ACTIVATED",IF(J817&lt;&gt;"","?FAMILIAR",IF(F817="NEW",IF(ISNA(VLOOKUP(E817,#REF!,1,FALSE())),"?TYPE_IDENTIFIABLE","?REFERENTIAL"),"_")))))</f>
        <v/>
      </c>
      <c r="H817" s="23" t="str">
        <f aca="false">IF(J817&lt;&gt;1,"",IF(I817="SBJ","CB","?"))</f>
        <v/>
      </c>
      <c r="I817" s="27" t="str">
        <f aca="false">IF(OR(E817="",E817="!!!",F817="NEW"),"",INDEX(B24:B$794,-1+SUMPRODUCT(MAX(ROW(E24:E$794)*(E817=E24:E$794)))))</f>
        <v/>
      </c>
      <c r="J817" s="27" t="str">
        <f aca="true">IF(OR(E817="",E817="!!!",F817="NEW"),"",COUNTBLANK(OFFSET(A$1,,,SUMPRODUCT(MAX(ROW(E$2:E817)*(E817=E$2:E817)))))-COUNTBLANK(OFFSET(A$1,,,SUMPRODUCT(MAX(ROW(E$1:E816)*(E2=E$1:E816))))))</f>
        <v/>
      </c>
      <c r="K817" s="27" t="str">
        <f aca="false">IF(OR(E817="",E817="!!!",F817="NEW"),"",INDEX(J$1:J816,SUMPRODUCT(MAX(ROW(E$1:E816)*(E817=E$1:E816)))))</f>
        <v/>
      </c>
      <c r="L817" s="28"/>
    </row>
    <row r="818" customFormat="false" ht="15" hidden="false" customHeight="false" outlineLevel="0" collapsed="false">
      <c r="A818" s="21" t="s">
        <v>178</v>
      </c>
      <c r="E818" s="25"/>
      <c r="F818" s="26" t="str">
        <f aca="false">IF(OR(E818="",E818="!!!"),"",IF(NOT(ISNA(VLOOKUP(E818,E$1:E817,1,FALSE()))),"OLD",IF(AND(E818&lt;&gt;"",E818&lt;&gt;"!!!"),"NEW","")))</f>
        <v/>
      </c>
      <c r="G818" s="22" t="str">
        <f aca="false">IF(OR(E818="",E818="!!!"),"",IF(OR(J818=0,AND(J818=1,K818=1),AND(J818=1,I818="SBJ"),AND(J818=1,I818=0)),"?IN_FOCUS",IF(J818&lt;=2,"?ACTIVATED",IF(J818&lt;&gt;"","?FAMILIAR",IF(F818="NEW",IF(ISNA(VLOOKUP(E818,#REF!,1,FALSE())),"?TYPE_IDENTIFIABLE","?REFERENTIAL"),"_")))))</f>
        <v/>
      </c>
      <c r="H818" s="23" t="str">
        <f aca="false">IF(J818&lt;&gt;1,"",IF(I818="SBJ","CB","?"))</f>
        <v/>
      </c>
      <c r="I818" s="27" t="str">
        <f aca="false">IF(OR(E818="",E818="!!!",F818="NEW"),"",INDEX(B25:B$794,-1+SUMPRODUCT(MAX(ROW(E25:E$794)*(E818=E25:E$794)))))</f>
        <v/>
      </c>
      <c r="J818" s="27" t="str">
        <f aca="true">IF(OR(E818="",E818="!!!",F818="NEW"),"",COUNTBLANK(OFFSET(A$1,,,SUMPRODUCT(MAX(ROW(E$2:E818)*(E818=E$2:E818)))))-COUNTBLANK(OFFSET(A$1,,,SUMPRODUCT(MAX(ROW(E$1:E817)*(E2=E$1:E817))))))</f>
        <v/>
      </c>
      <c r="K818" s="27" t="str">
        <f aca="false">IF(OR(E818="",E818="!!!",F818="NEW"),"",INDEX(J$1:J817,SUMPRODUCT(MAX(ROW(E$1:E817)*(E818=E$1:E817)))))</f>
        <v/>
      </c>
      <c r="L818" s="28"/>
    </row>
    <row r="819" customFormat="false" ht="15" hidden="false" customHeight="false" outlineLevel="0" collapsed="false">
      <c r="A819" s="21" t="s">
        <v>643</v>
      </c>
      <c r="E819" s="25"/>
      <c r="F819" s="26" t="str">
        <f aca="false">IF(OR(E819="",E819="!!!"),"",IF(NOT(ISNA(VLOOKUP(E819,E$1:E818,1,FALSE()))),"OLD",IF(AND(E819&lt;&gt;"",E819&lt;&gt;"!!!"),"NEW","")))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7" t="str">
        <f aca="false">IF(OR(E819="",E819="!!!",F819="NEW"),"",INDEX(B26:B$794,-1+SUMPRODUCT(MAX(ROW(E26:E$794)*(E819=E26:E$794)))))</f>
        <v/>
      </c>
      <c r="J819" s="27" t="str">
        <f aca="true">IF(OR(E819="",E819="!!!",F819="NEW"),"",COUNTBLANK(OFFSET(A$1,,,SUMPRODUCT(MAX(ROW(E$2:E819)*(E819=E$2:E819)))))-COUNTBLANK(OFFSET(A$1,,,SUMPRODUCT(MAX(ROW(E$1:E818)*(E2=E$1:E818))))))</f>
        <v/>
      </c>
      <c r="K819" s="27" t="str">
        <f aca="false">IF(OR(E819="",E819="!!!",F819="NEW"),"",INDEX(J$1:J818,SUMPRODUCT(MAX(ROW(E$1:E818)*(E819=E$1:E818)))))</f>
        <v/>
      </c>
      <c r="L819" s="28"/>
    </row>
    <row r="820" customFormat="false" ht="15" hidden="false" customHeight="false" outlineLevel="0" collapsed="false">
      <c r="A820" s="21" t="s">
        <v>644</v>
      </c>
      <c r="E820" s="25"/>
      <c r="F820" s="26" t="str">
        <f aca="false">IF(OR(E820="",E820="!!!"),"",IF(NOT(ISNA(VLOOKUP(E820,E$1:E819,1,FALSE()))),"OLD",IF(AND(E820&lt;&gt;"",E820&lt;&gt;"!!!"),"NEW","")))</f>
        <v/>
      </c>
      <c r="G820" s="22" t="str">
        <f aca="false">IF(OR(E820="",E820="!!!"),"",IF(OR(J820=0,AND(J820=1,K820=1),AND(J820=1,I820="SBJ"),AND(J820=1,I820=0)),"?IN_FOCUS",IF(J820&lt;=2,"?ACTIVATED",IF(J820&lt;&gt;"","?FAMILIAR",IF(F820="NEW",IF(ISNA(VLOOKUP(E820,#REF!,1,FALSE())),"?TYPE_IDENTIFIABLE","?REFERENTIAL"),"_")))))</f>
        <v/>
      </c>
      <c r="H820" s="23" t="str">
        <f aca="false">IF(J820&lt;&gt;1,"",IF(I820="SBJ","CB","?"))</f>
        <v/>
      </c>
      <c r="I820" s="27" t="str">
        <f aca="false">IF(OR(E820="",E820="!!!",F820="NEW"),"",INDEX(B27:B$794,-1+SUMPRODUCT(MAX(ROW(E27:E$794)*(E820=E27:E$794)))))</f>
        <v/>
      </c>
      <c r="J820" s="27" t="str">
        <f aca="true">IF(OR(E820="",E820="!!!",F820="NEW"),"",COUNTBLANK(OFFSET(A$1,,,SUMPRODUCT(MAX(ROW(E$2:E820)*(E820=E$2:E820)))))-COUNTBLANK(OFFSET(A$1,,,SUMPRODUCT(MAX(ROW(E$1:E819)*(E2=E$1:E819))))))</f>
        <v/>
      </c>
      <c r="K820" s="27" t="str">
        <f aca="false">IF(OR(E820="",E820="!!!",F820="NEW"),"",INDEX(J$1:J819,SUMPRODUCT(MAX(ROW(E$1:E819)*(E820=E$1:E819)))))</f>
        <v/>
      </c>
      <c r="L820" s="28"/>
    </row>
    <row r="821" customFormat="false" ht="15" hidden="false" customHeight="false" outlineLevel="0" collapsed="false">
      <c r="A821" s="21" t="s">
        <v>292</v>
      </c>
      <c r="E821" s="25"/>
      <c r="F821" s="26" t="str">
        <f aca="false">IF(OR(E821="",E821="!!!"),"",IF(NOT(ISNA(VLOOKUP(E821,E$1:E820,1,FALSE()))),"OLD",IF(AND(E821&lt;&gt;"",E821&lt;&gt;"!!!"),"NEW","")))</f>
        <v/>
      </c>
      <c r="G821" s="22" t="str">
        <f aca="false">IF(OR(E821="",E821="!!!"),"",IF(OR(J821=0,AND(J821=1,K821=1),AND(J821=1,I821="SBJ"),AND(J821=1,I821=0)),"?IN_FOCUS",IF(J821&lt;=2,"?ACTIVATED",IF(J821&lt;&gt;"","?FAMILIAR",IF(F821="NEW",IF(ISNA(VLOOKUP(E821,#REF!,1,FALSE())),"?TYPE_IDENTIFIABLE","?REFERENTIAL"),"_")))))</f>
        <v/>
      </c>
      <c r="H821" s="23" t="str">
        <f aca="false">IF(J821&lt;&gt;1,"",IF(I821="SBJ","CB","?"))</f>
        <v/>
      </c>
      <c r="I821" s="27" t="str">
        <f aca="false">IF(OR(E821="",E821="!!!",F821="NEW"),"",INDEX(B28:B$794,-1+SUMPRODUCT(MAX(ROW(E28:E$794)*(E821=E28:E$794)))))</f>
        <v/>
      </c>
      <c r="J821" s="27" t="str">
        <f aca="true">IF(OR(E821="",E821="!!!",F821="NEW"),"",COUNTBLANK(OFFSET(A$1,,,SUMPRODUCT(MAX(ROW(E$2:E821)*(E821=E$2:E821)))))-COUNTBLANK(OFFSET(A$1,,,SUMPRODUCT(MAX(ROW(E$1:E820)*(E2=E$1:E820))))))</f>
        <v/>
      </c>
      <c r="K821" s="27" t="str">
        <f aca="false">IF(OR(E821="",E821="!!!",F821="NEW"),"",INDEX(J$1:J820,SUMPRODUCT(MAX(ROW(E$1:E820)*(E821=E$1:E820)))))</f>
        <v/>
      </c>
      <c r="L821" s="28"/>
    </row>
    <row r="822" customFormat="false" ht="15" hidden="false" customHeight="false" outlineLevel="0" collapsed="false">
      <c r="A822" s="21" t="s">
        <v>230</v>
      </c>
      <c r="E822" s="25"/>
      <c r="F822" s="26" t="str">
        <f aca="false">IF(OR(E822="",E822="!!!"),"",IF(NOT(ISNA(VLOOKUP(E822,E$1:E821,1,FALSE()))),"OLD",IF(AND(E822&lt;&gt;"",E822&lt;&gt;"!!!"),"NEW","")))</f>
        <v/>
      </c>
      <c r="G822" s="22" t="str">
        <f aca="false">IF(OR(E822="",E822="!!!"),"",IF(OR(J822=0,AND(J822=1,K822=1),AND(J822=1,I822="SBJ"),AND(J822=1,I822=0)),"?IN_FOCUS",IF(J822&lt;=2,"?ACTIVATED",IF(J822&lt;&gt;"","?FAMILIAR",IF(F822="NEW",IF(ISNA(VLOOKUP(E822,#REF!,1,FALSE())),"?TYPE_IDENTIFIABLE","?REFERENTIAL"),"_")))))</f>
        <v/>
      </c>
      <c r="H822" s="23" t="str">
        <f aca="false">IF(J822&lt;&gt;1,"",IF(I822="SBJ","CB","?"))</f>
        <v/>
      </c>
      <c r="I822" s="27" t="str">
        <f aca="false">IF(OR(E822="",E822="!!!",F822="NEW"),"",INDEX(B29:B$794,-1+SUMPRODUCT(MAX(ROW(E29:E$794)*(E822=E29:E$794)))))</f>
        <v/>
      </c>
      <c r="J822" s="27" t="str">
        <f aca="true">IF(OR(E822="",E822="!!!",F822="NEW"),"",COUNTBLANK(OFFSET(A$1,,,SUMPRODUCT(MAX(ROW(E$2:E822)*(E822=E$2:E822)))))-COUNTBLANK(OFFSET(A$1,,,SUMPRODUCT(MAX(ROW(E$1:E821)*(E2=E$1:E821))))))</f>
        <v/>
      </c>
      <c r="K822" s="27" t="str">
        <f aca="false">IF(OR(E822="",E822="!!!",F822="NEW"),"",INDEX(J$1:J821,SUMPRODUCT(MAX(ROW(E$1:E821)*(E822=E$1:E821)))))</f>
        <v/>
      </c>
      <c r="L822" s="28"/>
    </row>
    <row r="823" customFormat="false" ht="15" hidden="false" customHeight="false" outlineLevel="0" collapsed="false">
      <c r="A823" s="21" t="s">
        <v>645</v>
      </c>
      <c r="E823" s="25"/>
      <c r="F823" s="26" t="str">
        <f aca="false">IF(OR(E823="",E823="!!!"),"",IF(NOT(ISNA(VLOOKUP(E823,E$1:E822,1,FALSE()))),"OLD",IF(AND(E823&lt;&gt;"",E823&lt;&gt;"!!!"),"NEW","")))</f>
        <v/>
      </c>
      <c r="G823" s="22" t="str">
        <f aca="false">IF(OR(E823="",E823="!!!"),"",IF(OR(J823=0,AND(J823=1,K823=1),AND(J823=1,I823="SBJ"),AND(J823=1,I823=0)),"?IN_FOCUS",IF(J823&lt;=2,"?ACTIVATED",IF(J823&lt;&gt;"","?FAMILIAR",IF(F823="NEW",IF(ISNA(VLOOKUP(E823,#REF!,1,FALSE())),"?TYPE_IDENTIFIABLE","?REFERENTIAL"),"_")))))</f>
        <v/>
      </c>
      <c r="H823" s="23" t="str">
        <f aca="false">IF(J823&lt;&gt;1,"",IF(I823="SBJ","CB","?"))</f>
        <v/>
      </c>
      <c r="I823" s="27" t="str">
        <f aca="false">IF(OR(E823="",E823="!!!",F823="NEW"),"",INDEX(B30:B$794,-1+SUMPRODUCT(MAX(ROW(E30:E$794)*(E823=E30:E$794)))))</f>
        <v/>
      </c>
      <c r="J823" s="27" t="str">
        <f aca="true">IF(OR(E823="",E823="!!!",F823="NEW"),"",COUNTBLANK(OFFSET(A$1,,,SUMPRODUCT(MAX(ROW(E$2:E823)*(E823=E$2:E823)))))-COUNTBLANK(OFFSET(A$1,,,SUMPRODUCT(MAX(ROW(E$1:E822)*(E2=E$1:E822))))))</f>
        <v/>
      </c>
      <c r="K823" s="27" t="str">
        <f aca="false">IF(OR(E823="",E823="!!!",F823="NEW"),"",INDEX(J$1:J822,SUMPRODUCT(MAX(ROW(E$1:E822)*(E823=E$1:E822)))))</f>
        <v/>
      </c>
      <c r="L823" s="28"/>
    </row>
    <row r="824" customFormat="false" ht="15" hidden="false" customHeight="false" outlineLevel="0" collapsed="false">
      <c r="A824" s="21" t="s">
        <v>178</v>
      </c>
      <c r="E824" s="25"/>
      <c r="F824" s="26" t="str">
        <f aca="false">IF(OR(E824="",E824="!!!"),"",IF(NOT(ISNA(VLOOKUP(E824,E$1:E823,1,FALSE()))),"OLD",IF(AND(E824&lt;&gt;"",E824&lt;&gt;"!!!"),"NEW","")))</f>
        <v/>
      </c>
      <c r="G824" s="22" t="str">
        <f aca="false">IF(OR(E824="",E824="!!!"),"",IF(OR(J824=0,AND(J824=1,K824=1),AND(J824=1,I824="SBJ"),AND(J824=1,I824=0)),"?IN_FOCUS",IF(J824&lt;=2,"?ACTIVATED",IF(J824&lt;&gt;"","?FAMILIAR",IF(F824="NEW",IF(ISNA(VLOOKUP(E824,#REF!,1,FALSE())),"?TYPE_IDENTIFIABLE","?REFERENTIAL"),"_")))))</f>
        <v/>
      </c>
      <c r="H824" s="23" t="str">
        <f aca="false">IF(J824&lt;&gt;1,"",IF(I824="SBJ","CB","?"))</f>
        <v/>
      </c>
      <c r="I824" s="27" t="str">
        <f aca="false">IF(OR(E824="",E824="!!!",F824="NEW"),"",INDEX(B31:B$794,-1+SUMPRODUCT(MAX(ROW(E31:E$794)*(E824=E31:E$794)))))</f>
        <v/>
      </c>
      <c r="J824" s="27" t="str">
        <f aca="true">IF(OR(E824="",E824="!!!",F824="NEW"),"",COUNTBLANK(OFFSET(A$1,,,SUMPRODUCT(MAX(ROW(E$2:E824)*(E824=E$2:E824)))))-COUNTBLANK(OFFSET(A$1,,,SUMPRODUCT(MAX(ROW(E$1:E823)*(E2=E$1:E823))))))</f>
        <v/>
      </c>
      <c r="K824" s="27" t="str">
        <f aca="false">IF(OR(E824="",E824="!!!",F824="NEW"),"",INDEX(J$1:J823,SUMPRODUCT(MAX(ROW(E$1:E823)*(E824=E$1:E823)))))</f>
        <v/>
      </c>
      <c r="L824" s="28"/>
    </row>
    <row r="825" customFormat="false" ht="15" hidden="false" customHeight="false" outlineLevel="0" collapsed="false">
      <c r="A825" s="21" t="s">
        <v>528</v>
      </c>
      <c r="E825" s="25"/>
      <c r="F825" s="26" t="str">
        <f aca="false">IF(OR(E825="",E825="!!!"),"",IF(NOT(ISNA(VLOOKUP(E825,E$1:E824,1,FALSE()))),"OLD",IF(AND(E825&lt;&gt;"",E825&lt;&gt;"!!!"),"NEW","")))</f>
        <v/>
      </c>
      <c r="G825" s="22" t="str">
        <f aca="false">IF(OR(E825="",E825="!!!"),"",IF(OR(J825=0,AND(J825=1,K825=1),AND(J825=1,I825="SBJ"),AND(J825=1,I825=0)),"?IN_FOCUS",IF(J825&lt;=2,"?ACTIVATED",IF(J825&lt;&gt;"","?FAMILIAR",IF(F825="NEW",IF(ISNA(VLOOKUP(E825,#REF!,1,FALSE())),"?TYPE_IDENTIFIABLE","?REFERENTIAL"),"_")))))</f>
        <v/>
      </c>
      <c r="H825" s="23" t="str">
        <f aca="false">IF(J825&lt;&gt;1,"",IF(I825="SBJ","CB","?"))</f>
        <v/>
      </c>
      <c r="I825" s="27" t="str">
        <f aca="false">IF(OR(E825="",E825="!!!",F825="NEW"),"",INDEX(B32:B$794,-1+SUMPRODUCT(MAX(ROW(E32:E$794)*(E825=E32:E$794)))))</f>
        <v/>
      </c>
      <c r="J825" s="27" t="str">
        <f aca="true">IF(OR(E825="",E825="!!!",F825="NEW"),"",COUNTBLANK(OFFSET(A$1,,,SUMPRODUCT(MAX(ROW(E$2:E825)*(E825=E$2:E825)))))-COUNTBLANK(OFFSET(A$1,,,SUMPRODUCT(MAX(ROW(E$1:E824)*(E2=E$1:E824))))))</f>
        <v/>
      </c>
      <c r="K825" s="27" t="str">
        <f aca="false">IF(OR(E825="",E825="!!!",F825="NEW"),"",INDEX(J$1:J824,SUMPRODUCT(MAX(ROW(E$1:E824)*(E825=E$1:E824)))))</f>
        <v/>
      </c>
      <c r="L825" s="28"/>
    </row>
    <row r="826" customFormat="false" ht="15" hidden="false" customHeight="false" outlineLevel="0" collapsed="false">
      <c r="A826" s="21" t="s">
        <v>646</v>
      </c>
      <c r="E826" s="25"/>
      <c r="F826" s="26" t="str">
        <f aca="false">IF(OR(E826="",E826="!!!"),"",IF(NOT(ISNA(VLOOKUP(E826,E$1:E825,1,FALSE()))),"OLD",IF(AND(E826&lt;&gt;"",E826&lt;&gt;"!!!"),"NEW","")))</f>
        <v/>
      </c>
      <c r="G826" s="22" t="str">
        <f aca="false">IF(OR(E826="",E826="!!!"),"",IF(OR(J826=0,AND(J826=1,K826=1),AND(J826=1,I826="SBJ"),AND(J826=1,I826=0)),"?IN_FOCUS",IF(J826&lt;=2,"?ACTIVATED",IF(J826&lt;&gt;"","?FAMILIAR",IF(F826="NEW",IF(ISNA(VLOOKUP(E826,#REF!,1,FALSE())),"?TYPE_IDENTIFIABLE","?REFERENTIAL"),"_")))))</f>
        <v/>
      </c>
      <c r="H826" s="23" t="str">
        <f aca="false">IF(J826&lt;&gt;1,"",IF(I826="SBJ","CB","?"))</f>
        <v/>
      </c>
      <c r="I826" s="27" t="str">
        <f aca="false">IF(OR(E826="",E826="!!!",F826="NEW"),"",INDEX(B33:B$794,-1+SUMPRODUCT(MAX(ROW(E33:E$794)*(E826=E33:E$794)))))</f>
        <v/>
      </c>
      <c r="J826" s="27" t="str">
        <f aca="true">IF(OR(E826="",E826="!!!",F826="NEW"),"",COUNTBLANK(OFFSET(A$1,,,SUMPRODUCT(MAX(ROW(E$2:E826)*(E826=E$2:E826)))))-COUNTBLANK(OFFSET(A$1,,,SUMPRODUCT(MAX(ROW(E$1:E825)*(E2=E$1:E825))))))</f>
        <v/>
      </c>
      <c r="K826" s="27" t="str">
        <f aca="false">IF(OR(E826="",E826="!!!",F826="NEW"),"",INDEX(J$1:J825,SUMPRODUCT(MAX(ROW(E$1:E825)*(E826=E$1:E825)))))</f>
        <v/>
      </c>
      <c r="L826" s="28"/>
    </row>
    <row r="827" customFormat="false" ht="15" hidden="false" customHeight="false" outlineLevel="0" collapsed="false">
      <c r="A827" s="21" t="s">
        <v>183</v>
      </c>
      <c r="E827" s="25"/>
      <c r="F827" s="26" t="str">
        <f aca="false">IF(OR(E827="",E827="!!!"),"",IF(NOT(ISNA(VLOOKUP(E827,E$1:E826,1,FALSE()))),"OLD",IF(AND(E827&lt;&gt;"",E827&lt;&gt;"!!!"),"NEW","")))</f>
        <v/>
      </c>
      <c r="G827" s="22" t="str">
        <f aca="false">IF(OR(E827="",E827="!!!"),"",IF(OR(J827=0,AND(J827=1,K827=1),AND(J827=1,I827="SBJ"),AND(J827=1,I827=0)),"?IN_FOCUS",IF(J827&lt;=2,"?ACTIVATED",IF(J827&lt;&gt;"","?FAMILIAR",IF(F827="NEW",IF(ISNA(VLOOKUP(E827,#REF!,1,FALSE())),"?TYPE_IDENTIFIABLE","?REFERENTIAL"),"_")))))</f>
        <v/>
      </c>
      <c r="H827" s="23" t="str">
        <f aca="false">IF(J827&lt;&gt;1,"",IF(I827="SBJ","CB","?"))</f>
        <v/>
      </c>
      <c r="I827" s="27" t="str">
        <f aca="false">IF(OR(E827="",E827="!!!",F827="NEW"),"",INDEX(B34:B$794,-1+SUMPRODUCT(MAX(ROW(E34:E$794)*(E827=E34:E$794)))))</f>
        <v/>
      </c>
      <c r="J827" s="27" t="str">
        <f aca="true">IF(OR(E827="",E827="!!!",F827="NEW"),"",COUNTBLANK(OFFSET(A$1,,,SUMPRODUCT(MAX(ROW(E$2:E827)*(E827=E$2:E827)))))-COUNTBLANK(OFFSET(A$1,,,SUMPRODUCT(MAX(ROW(E$1:E826)*(E2=E$1:E826))))))</f>
        <v/>
      </c>
      <c r="K827" s="27" t="str">
        <f aca="false">IF(OR(E827="",E827="!!!",F827="NEW"),"",INDEX(J$1:J826,SUMPRODUCT(MAX(ROW(E$1:E826)*(E827=E$1:E826)))))</f>
        <v/>
      </c>
      <c r="L827" s="28"/>
    </row>
    <row r="828" customFormat="false" ht="15" hidden="false" customHeight="false" outlineLevel="0" collapsed="false">
      <c r="A828" s="21" t="s">
        <v>35</v>
      </c>
      <c r="E828" s="25"/>
      <c r="F828" s="26" t="str">
        <f aca="false">IF(OR(E828="",E828="!!!"),"",IF(NOT(ISNA(VLOOKUP(E828,E$1:E827,1,FALSE()))),"OLD",IF(AND(E828&lt;&gt;"",E828&lt;&gt;"!!!"),"NEW","")))</f>
        <v/>
      </c>
      <c r="G828" s="22" t="str">
        <f aca="false">IF(OR(E828="",E828="!!!"),"",IF(OR(J828=0,AND(J828=1,K828=1),AND(J828=1,I828="SBJ"),AND(J828=1,I828=0)),"?IN_FOCUS",IF(J828&lt;=2,"?ACTIVATED",IF(J828&lt;&gt;"","?FAMILIAR",IF(F828="NEW",IF(ISNA(VLOOKUP(E828,#REF!,1,FALSE())),"?TYPE_IDENTIFIABLE","?REFERENTIAL"),"_")))))</f>
        <v/>
      </c>
      <c r="H828" s="23" t="str">
        <f aca="false">IF(J828&lt;&gt;1,"",IF(I828="SBJ","CB","?"))</f>
        <v/>
      </c>
      <c r="I828" s="27" t="str">
        <f aca="false">IF(OR(E828="",E828="!!!",F828="NEW"),"",INDEX(B35:B$794,-1+SUMPRODUCT(MAX(ROW(E35:E$794)*(E828=E35:E$794)))))</f>
        <v/>
      </c>
      <c r="J828" s="27" t="str">
        <f aca="true">IF(OR(E828="",E828="!!!",F828="NEW"),"",COUNTBLANK(OFFSET(A$1,,,SUMPRODUCT(MAX(ROW(E$2:E828)*(E828=E$2:E828)))))-COUNTBLANK(OFFSET(A$1,,,SUMPRODUCT(MAX(ROW(E$1:E827)*(E2=E$1:E827))))))</f>
        <v/>
      </c>
      <c r="K828" s="27" t="str">
        <f aca="false">IF(OR(E828="",E828="!!!",F828="NEW"),"",INDEX(J$1:J827,SUMPRODUCT(MAX(ROW(E$1:E827)*(E828=E$1:E827)))))</f>
        <v/>
      </c>
      <c r="L828" s="28"/>
    </row>
    <row r="829" customFormat="false" ht="15" hidden="false" customHeight="false" outlineLevel="0" collapsed="false">
      <c r="A829" s="21" t="s">
        <v>356</v>
      </c>
      <c r="E829" s="25"/>
      <c r="F829" s="26" t="str">
        <f aca="false">IF(OR(E829="",E829="!!!"),"",IF(NOT(ISNA(VLOOKUP(E829,E$1:E828,1,FALSE()))),"OLD",IF(AND(E829&lt;&gt;"",E829&lt;&gt;"!!!"),"NEW","")))</f>
        <v/>
      </c>
      <c r="G829" s="22" t="str">
        <f aca="false">IF(OR(E829="",E829="!!!"),"",IF(OR(J829=0,AND(J829=1,K829=1),AND(J829=1,I829="SBJ"),AND(J829=1,I829=0)),"?IN_FOCUS",IF(J829&lt;=2,"?ACTIVATED",IF(J829&lt;&gt;"","?FAMILIAR",IF(F829="NEW",IF(ISNA(VLOOKUP(E829,#REF!,1,FALSE())),"?TYPE_IDENTIFIABLE","?REFERENTIAL"),"_")))))</f>
        <v/>
      </c>
      <c r="H829" s="23" t="str">
        <f aca="false">IF(J829&lt;&gt;1,"",IF(I829="SBJ","CB","?"))</f>
        <v/>
      </c>
      <c r="I829" s="27" t="str">
        <f aca="false">IF(OR(E829="",E829="!!!",F829="NEW"),"",INDEX(B36:B$794,-1+SUMPRODUCT(MAX(ROW(E36:E$794)*(E829=E36:E$794)))))</f>
        <v/>
      </c>
      <c r="J829" s="27" t="str">
        <f aca="true">IF(OR(E829="",E829="!!!",F829="NEW"),"",COUNTBLANK(OFFSET(A$1,,,SUMPRODUCT(MAX(ROW(E$2:E829)*(E829=E$2:E829)))))-COUNTBLANK(OFFSET(A$1,,,SUMPRODUCT(MAX(ROW(E$1:E828)*(E2=E$1:E828))))))</f>
        <v/>
      </c>
      <c r="K829" s="27" t="str">
        <f aca="false">IF(OR(E829="",E829="!!!",F829="NEW"),"",INDEX(J$1:J828,SUMPRODUCT(MAX(ROW(E$1:E828)*(E829=E$1:E828)))))</f>
        <v/>
      </c>
      <c r="L829" s="28"/>
    </row>
    <row r="830" customFormat="false" ht="15" hidden="false" customHeight="false" outlineLevel="0" collapsed="false">
      <c r="A830" s="21" t="s">
        <v>647</v>
      </c>
      <c r="B830" s="29" t="s">
        <v>153</v>
      </c>
      <c r="C830" s="29" t="s">
        <v>243</v>
      </c>
      <c r="D830" s="29" t="s">
        <v>159</v>
      </c>
      <c r="E830" s="25" t="s">
        <v>648</v>
      </c>
      <c r="F830" s="30" t="str">
        <f aca="false">IF(OR(E830="",E830="!!!"),"",IF(NOT(ISNA(VLOOKUP(E830,E$1:E829,1,FALSE()))),"OLD",IF(AND(E830&lt;&gt;"",E830&lt;&gt;"!!!"),"NEW","")))</f>
        <v>NEW</v>
      </c>
      <c r="G830" s="22" t="s">
        <v>160</v>
      </c>
      <c r="H830" s="23" t="str">
        <f aca="false">IF(J830&lt;&gt;1,"",IF(I830="SBJ","CB","?"))</f>
        <v/>
      </c>
      <c r="I830" s="31" t="str">
        <f aca="false">IF(OR(E830="",E830="!!!",F830="NEW"),"",INDEX(B37:B$794,-1+SUMPRODUCT(MAX(ROW(E37:E$794)*(E830=E37:E$794)))))</f>
        <v/>
      </c>
      <c r="J830" s="31" t="str">
        <f aca="true">IF(OR(E830="",E830="!!!",F830="NEW"),"",COUNTBLANK(OFFSET(A$1,,,SUMPRODUCT(MAX(ROW(E$2:E830)*(E830=E$2:E830)))))-COUNTBLANK(OFFSET(A$1,,,SUMPRODUCT(MAX(ROW(E$1:E829)*(E2=E$1:E829))))))</f>
        <v/>
      </c>
      <c r="K830" s="31" t="str">
        <f aca="false">IF(OR(E830="",E830="!!!",F830="NEW"),"",INDEX(J$1:J829,SUMPRODUCT(MAX(ROW(E$1:E829)*(E830=E$1:E829)))))</f>
        <v/>
      </c>
      <c r="L830" s="28"/>
    </row>
    <row r="831" customFormat="false" ht="15" hidden="false" customHeight="false" outlineLevel="0" collapsed="false">
      <c r="A831" s="21" t="s">
        <v>165</v>
      </c>
      <c r="E831" s="25"/>
      <c r="F831" s="26" t="str">
        <f aca="false">IF(OR(E831="",E831="!!!"),"",IF(NOT(ISNA(VLOOKUP(E831,E$1:E830,1,FALSE()))),"OLD",IF(AND(E831&lt;&gt;"",E831&lt;&gt;"!!!"),"NEW","")))</f>
        <v/>
      </c>
      <c r="G831" s="22" t="str">
        <f aca="false">IF(OR(E831="",E831="!!!"),"",IF(OR(J831=0,AND(J831=1,K831=1),AND(J831=1,I831="SBJ"),AND(J831=1,I831=0)),"?IN_FOCUS",IF(J831&lt;=2,"?ACTIVATED",IF(J831&lt;&gt;"","?FAMILIAR",IF(F831="NEW",IF(ISNA(VLOOKUP(E831,#REF!,1,FALSE())),"?TYPE_IDENTIFIABLE","?REFERENTIAL"),"_")))))</f>
        <v/>
      </c>
      <c r="H831" s="23" t="str">
        <f aca="false">IF(J831&lt;&gt;1,"",IF(I831="SBJ","CB","?"))</f>
        <v/>
      </c>
      <c r="I831" s="27" t="str">
        <f aca="false">IF(OR(E831="",E831="!!!",F831="NEW"),"",INDEX(B38:B$794,-1+SUMPRODUCT(MAX(ROW(E38:E$794)*(E831=E38:E$794)))))</f>
        <v/>
      </c>
      <c r="J831" s="27" t="str">
        <f aca="true">IF(OR(E831="",E831="!!!",F831="NEW"),"",COUNTBLANK(OFFSET(A$1,,,SUMPRODUCT(MAX(ROW(E$2:E831)*(E831=E$2:E831)))))-COUNTBLANK(OFFSET(A$1,,,SUMPRODUCT(MAX(ROW(E$1:E830)*(E2=E$1:E830))))))</f>
        <v/>
      </c>
      <c r="K831" s="27" t="str">
        <f aca="false">IF(OR(E831="",E831="!!!",F831="NEW"),"",INDEX(J$1:J830,SUMPRODUCT(MAX(ROW(E$1:E830)*(E831=E$1:E830)))))</f>
        <v/>
      </c>
      <c r="L831" s="28"/>
    </row>
    <row r="832" customFormat="false" ht="15" hidden="false" customHeight="false" outlineLevel="0" collapsed="false">
      <c r="A832" s="21" t="s">
        <v>649</v>
      </c>
      <c r="B832" s="29" t="s">
        <v>153</v>
      </c>
      <c r="C832" s="29" t="s">
        <v>316</v>
      </c>
      <c r="D832" s="29" t="s">
        <v>159</v>
      </c>
      <c r="E832" s="25" t="s">
        <v>639</v>
      </c>
      <c r="F832" s="30" t="str">
        <f aca="false">IF(OR(E832="",E832="!!!"),"",IF(NOT(ISNA(VLOOKUP(E832,E$1:E831,1,FALSE()))),"OLD",IF(AND(E832&lt;&gt;"",E832&lt;&gt;"!!!"),"NEW","")))</f>
        <v>OLD</v>
      </c>
      <c r="G832" s="22" t="s">
        <v>186</v>
      </c>
      <c r="H832" s="23" t="str">
        <f aca="false">IF(J832&lt;&gt;1,"",IF(I832="SBJ","CB","?"))</f>
        <v/>
      </c>
      <c r="I832" s="31" t="e">
        <f aca="false">IF(OR(E832="",E832="!!!",F832="NEW"),"",INDEX(B39:B$794,-1+SUMPRODUCT(MAX(ROW(E39:E$794)*(E832=E39:E$794)))))</f>
        <v>#VALUE!</v>
      </c>
      <c r="J832" s="31" t="n">
        <f aca="true">IF(OR(E832="",E832="!!!",F832="NEW"),"",COUNTBLANK(OFFSET(A$1,,,SUMPRODUCT(MAX(ROW(E$2:E832)*(E832=E$2:E832)))))-COUNTBLANK(OFFSET(A$1,,,SUMPRODUCT(MAX(ROW(E$1:E831)*(E2=E$1:E831))))))</f>
        <v>0</v>
      </c>
      <c r="K832" s="31" t="n">
        <f aca="false">IF(OR(E832="",E832="!!!",F832="NEW"),"",INDEX(J$1:J831,SUMPRODUCT(MAX(ROW(E$1:E831)*(E832=E$1:E831)))))</f>
        <v>0</v>
      </c>
      <c r="L832" s="28"/>
    </row>
    <row r="833" customFormat="false" ht="15" hidden="false" customHeight="false" outlineLevel="0" collapsed="false">
      <c r="A833" s="21" t="s">
        <v>547</v>
      </c>
      <c r="B833" s="29" t="s">
        <v>271</v>
      </c>
      <c r="E833" s="25"/>
      <c r="F833" s="26" t="str">
        <f aca="false">IF(OR(E833="",E833="!!!"),"",IF(NOT(ISNA(VLOOKUP(E833,E$1:E832,1,FALSE()))),"OLD",IF(AND(E833&lt;&gt;"",E833&lt;&gt;"!!!"),"NEW","")))</f>
        <v/>
      </c>
      <c r="G833" s="22" t="str">
        <f aca="false">IF(OR(E833="",E833="!!!"),"",IF(OR(J833=0,AND(J833=1,K833=1),AND(J833=1,I833="SBJ"),AND(J833=1,I833=0)),"?IN_FOCUS",IF(J833&lt;=2,"?ACTIVATED",IF(J833&lt;&gt;"","?FAMILIAR",IF(F833="NEW",IF(ISNA(VLOOKUP(E833,#REF!,1,FALSE())),"?TYPE_IDENTIFIABLE","?REFERENTIAL"),"_")))))</f>
        <v/>
      </c>
      <c r="H833" s="23" t="str">
        <f aca="false">IF(J833&lt;&gt;1,"",IF(I833="SBJ","CB","?"))</f>
        <v/>
      </c>
      <c r="I833" s="27" t="str">
        <f aca="false">IF(OR(E833="",E833="!!!",F833="NEW"),"",INDEX(B40:B$794,-1+SUMPRODUCT(MAX(ROW(E40:E$794)*(E833=E40:E$794)))))</f>
        <v/>
      </c>
      <c r="J833" s="27" t="str">
        <f aca="true">IF(OR(E833="",E833="!!!",F833="NEW"),"",COUNTBLANK(OFFSET(A$1,,,SUMPRODUCT(MAX(ROW(E$2:E833)*(E833=E$2:E833)))))-COUNTBLANK(OFFSET(A$1,,,SUMPRODUCT(MAX(ROW(E$1:E832)*(E2=E$1:E832))))))</f>
        <v/>
      </c>
      <c r="K833" s="27" t="str">
        <f aca="false">IF(OR(E833="",E833="!!!",F833="NEW"),"",INDEX(J$1:J832,SUMPRODUCT(MAX(ROW(E$1:E832)*(E833=E$1:E832)))))</f>
        <v/>
      </c>
      <c r="L833" s="28"/>
    </row>
    <row r="834" customFormat="false" ht="15" hidden="false" customHeight="false" outlineLevel="0" collapsed="false">
      <c r="A834" s="21" t="s">
        <v>650</v>
      </c>
      <c r="E834" s="25"/>
      <c r="F834" s="26" t="str">
        <f aca="false">IF(OR(E834="",E834="!!!"),"",IF(NOT(ISNA(VLOOKUP(E834,E$1:E833,1,FALSE()))),"OLD",IF(AND(E834&lt;&gt;"",E834&lt;&gt;"!!!"),"NEW","")))</f>
        <v/>
      </c>
      <c r="G834" s="22" t="str">
        <f aca="false">IF(OR(E834="",E834="!!!"),"",IF(OR(J834=0,AND(J834=1,K834=1),AND(J834=1,I834="SBJ"),AND(J834=1,I834=0)),"?IN_FOCUS",IF(J834&lt;=2,"?ACTIVATED",IF(J834&lt;&gt;"","?FAMILIAR",IF(F834="NEW",IF(ISNA(VLOOKUP(E834,#REF!,1,FALSE())),"?TYPE_IDENTIFIABLE","?REFERENTIAL"),"_")))))</f>
        <v/>
      </c>
      <c r="H834" s="23" t="str">
        <f aca="false">IF(J834&lt;&gt;1,"",IF(I834="SBJ","CB","?"))</f>
        <v/>
      </c>
      <c r="I834" s="27" t="str">
        <f aca="false">IF(OR(E834="",E834="!!!",F834="NEW"),"",INDEX(B41:B$794,-1+SUMPRODUCT(MAX(ROW(E41:E$794)*(E834=E41:E$794)))))</f>
        <v/>
      </c>
      <c r="J834" s="27" t="str">
        <f aca="true">IF(OR(E834="",E834="!!!",F834="NEW"),"",COUNTBLANK(OFFSET(A$1,,,SUMPRODUCT(MAX(ROW(E$2:E834)*(E834=E$2:E834)))))-COUNTBLANK(OFFSET(A$1,,,SUMPRODUCT(MAX(ROW(E$1:E833)*(E2=E$1:E833))))))</f>
        <v/>
      </c>
      <c r="K834" s="27" t="str">
        <f aca="false">IF(OR(E834="",E834="!!!",F834="NEW"),"",INDEX(J$1:J833,SUMPRODUCT(MAX(ROW(E$1:E833)*(E834=E$1:E833)))))</f>
        <v/>
      </c>
      <c r="L834" s="28"/>
    </row>
    <row r="835" customFormat="false" ht="15" hidden="false" customHeight="false" outlineLevel="0" collapsed="false">
      <c r="A835" s="21" t="s">
        <v>169</v>
      </c>
      <c r="E835" s="25"/>
      <c r="F835" s="26" t="str">
        <f aca="false">IF(OR(E835="",E835="!!!"),"",IF(NOT(ISNA(VLOOKUP(E835,E$1:E834,1,FALSE()))),"OLD",IF(AND(E835&lt;&gt;"",E835&lt;&gt;"!!!"),"NEW","")))</f>
        <v/>
      </c>
      <c r="G835" s="22" t="str">
        <f aca="false">IF(OR(E835="",E835="!!!"),"",IF(OR(J835=0,AND(J835=1,K835=1),AND(J835=1,I835="SBJ"),AND(J835=1,I835=0)),"?IN_FOCUS",IF(J835&lt;=2,"?ACTIVATED",IF(J835&lt;&gt;"","?FAMILIAR",IF(F835="NEW",IF(ISNA(VLOOKUP(E835,#REF!,1,FALSE())),"?TYPE_IDENTIFIABLE","?REFERENTIAL"),"_")))))</f>
        <v/>
      </c>
      <c r="H835" s="23" t="str">
        <f aca="false">IF(J835&lt;&gt;1,"",IF(I835="SBJ","CB","?"))</f>
        <v/>
      </c>
      <c r="I835" s="27" t="str">
        <f aca="false">IF(OR(E835="",E835="!!!",F835="NEW"),"",INDEX(B42:B$794,-1+SUMPRODUCT(MAX(ROW(E42:E$794)*(E835=E42:E$794)))))</f>
        <v/>
      </c>
      <c r="J835" s="27" t="str">
        <f aca="true">IF(OR(E835="",E835="!!!",F835="NEW"),"",COUNTBLANK(OFFSET(A$1,,,SUMPRODUCT(MAX(ROW(E$2:E835)*(E835=E$2:E835)))))-COUNTBLANK(OFFSET(A$1,,,SUMPRODUCT(MAX(ROW(E$1:E834)*(E2=E$1:E834))))))</f>
        <v/>
      </c>
      <c r="K835" s="27" t="str">
        <f aca="false">IF(OR(E835="",E835="!!!",F835="NEW"),"",INDEX(J$1:J834,SUMPRODUCT(MAX(ROW(E$1:E834)*(E835=E$1:E834)))))</f>
        <v/>
      </c>
      <c r="L835" s="28"/>
    </row>
    <row r="836" customFormat="false" ht="15" hidden="false" customHeight="false" outlineLevel="0" collapsed="false">
      <c r="A836" s="21" t="s">
        <v>651</v>
      </c>
      <c r="E836" s="25"/>
      <c r="F836" s="26" t="str">
        <f aca="false">IF(OR(E836="",E836="!!!"),"",IF(NOT(ISNA(VLOOKUP(E836,E$1:E835,1,FALSE()))),"OLD",IF(AND(E836&lt;&gt;"",E836&lt;&gt;"!!!"),"NEW","")))</f>
        <v/>
      </c>
      <c r="G836" s="22" t="str">
        <f aca="false">IF(OR(E836="",E836="!!!"),"",IF(OR(J836=0,AND(J836=1,K836=1),AND(J836=1,I836="SBJ"),AND(J836=1,I836=0)),"?IN_FOCUS",IF(J836&lt;=2,"?ACTIVATED",IF(J836&lt;&gt;"","?FAMILIAR",IF(F836="NEW",IF(ISNA(VLOOKUP(E836,#REF!,1,FALSE())),"?TYPE_IDENTIFIABLE","?REFERENTIAL"),"_")))))</f>
        <v/>
      </c>
      <c r="H836" s="23" t="str">
        <f aca="false">IF(J836&lt;&gt;1,"",IF(I836="SBJ","CB","?"))</f>
        <v/>
      </c>
      <c r="I836" s="27" t="str">
        <f aca="false">IF(OR(E836="",E836="!!!",F836="NEW"),"",INDEX(B43:B$794,-1+SUMPRODUCT(MAX(ROW(E43:E$794)*(E836=E43:E$794)))))</f>
        <v/>
      </c>
      <c r="J836" s="27" t="str">
        <f aca="true">IF(OR(E836="",E836="!!!",F836="NEW"),"",COUNTBLANK(OFFSET(A$1,,,SUMPRODUCT(MAX(ROW(E$2:E836)*(E836=E$2:E836)))))-COUNTBLANK(OFFSET(A$1,,,SUMPRODUCT(MAX(ROW(E$1:E835)*(E2=E$1:E835))))))</f>
        <v/>
      </c>
      <c r="K836" s="27" t="str">
        <f aca="false">IF(OR(E836="",E836="!!!",F836="NEW"),"",INDEX(J$1:J835,SUMPRODUCT(MAX(ROW(E$1:E835)*(E836=E$1:E835)))))</f>
        <v/>
      </c>
      <c r="L836" s="28"/>
    </row>
    <row r="837" customFormat="false" ht="15" hidden="false" customHeight="false" outlineLevel="0" collapsed="false">
      <c r="A837" s="21" t="s">
        <v>170</v>
      </c>
      <c r="B837" s="29" t="s">
        <v>264</v>
      </c>
      <c r="C837" s="29" t="s">
        <v>171</v>
      </c>
      <c r="D837" s="29" t="s">
        <v>159</v>
      </c>
      <c r="E837" s="25" t="s">
        <v>172</v>
      </c>
      <c r="F837" s="30" t="str">
        <f aca="false">IF(OR(E837="",E837="!!!"),"",IF(NOT(ISNA(VLOOKUP(E837,E$1:E836,1,FALSE()))),"OLD",IF(AND(E837&lt;&gt;"",E837&lt;&gt;"!!!"),"NEW","")))</f>
        <v>OLD</v>
      </c>
      <c r="G837" s="22" t="s">
        <v>182</v>
      </c>
      <c r="H837" s="23" t="s">
        <v>147</v>
      </c>
      <c r="I837" s="31" t="e">
        <f aca="false">IF(OR(E837="",E837="!!!",F837="NEW"),"",INDEX(B44:B$794,-1+SUMPRODUCT(MAX(ROW(E44:E$794)*(E837=E44:E$794)))))</f>
        <v>#REF!</v>
      </c>
      <c r="J837" s="31" t="n">
        <f aca="true">IF(OR(E837="",E837="!!!",F837="NEW"),"",COUNTBLANK(OFFSET(A$1,,,SUMPRODUCT(MAX(ROW(E$2:E837)*(E837=E$2:E837)))))-COUNTBLANK(OFFSET(A$1,,,SUMPRODUCT(MAX(ROW(E$1:E836)*(E2=E$1:E836))))))</f>
        <v>0</v>
      </c>
      <c r="K837" s="31" t="n">
        <f aca="false">IF(OR(E837="",E837="!!!",F837="NEW"),"",INDEX(J$1:J836,SUMPRODUCT(MAX(ROW(E$1:E836)*(E837=E$1:E836)))))</f>
        <v>0</v>
      </c>
      <c r="L837" s="28"/>
    </row>
    <row r="838" customFormat="false" ht="15" hidden="false" customHeight="false" outlineLevel="0" collapsed="false">
      <c r="A838" s="21" t="s">
        <v>277</v>
      </c>
      <c r="E838" s="25"/>
      <c r="F838" s="26" t="str">
        <f aca="false">IF(OR(E838="",E838="!!!"),"",IF(NOT(ISNA(VLOOKUP(E838,E$1:E837,1,FALSE()))),"OLD",IF(AND(E838&lt;&gt;"",E838&lt;&gt;"!!!"),"NEW","")))</f>
        <v/>
      </c>
      <c r="G838" s="22" t="str">
        <f aca="false">IF(OR(E838="",E838="!!!"),"",IF(OR(J838=0,AND(J838=1,K838=1),AND(J838=1,I838="SBJ"),AND(J838=1,I838=0)),"?IN_FOCUS",IF(J838&lt;=2,"?ACTIVATED",IF(J838&lt;&gt;"","?FAMILIAR",IF(F838="NEW",IF(ISNA(VLOOKUP(E838,#REF!,1,FALSE())),"?TYPE_IDENTIFIABLE","?REFERENTIAL"),"_")))))</f>
        <v/>
      </c>
      <c r="H838" s="23" t="str">
        <f aca="false">IF(J838&lt;&gt;1,"",IF(I838="SBJ","CB","?"))</f>
        <v/>
      </c>
      <c r="I838" s="27" t="str">
        <f aca="false">IF(OR(E838="",E838="!!!",F838="NEW"),"",INDEX(B45:B$794,-1+SUMPRODUCT(MAX(ROW(E45:E$794)*(E838=E45:E$794)))))</f>
        <v/>
      </c>
      <c r="J838" s="27" t="str">
        <f aca="true">IF(OR(E838="",E838="!!!",F838="NEW"),"",COUNTBLANK(OFFSET(A$1,,,SUMPRODUCT(MAX(ROW(E$2:E838)*(E838=E$2:E838)))))-COUNTBLANK(OFFSET(A$1,,,SUMPRODUCT(MAX(ROW(E$1:E837)*(E2=E$1:E837))))))</f>
        <v/>
      </c>
      <c r="K838" s="27" t="str">
        <f aca="false">IF(OR(E838="",E838="!!!",F838="NEW"),"",INDEX(J$1:J837,SUMPRODUCT(MAX(ROW(E$1:E837)*(E838=E$1:E837)))))</f>
        <v/>
      </c>
      <c r="L838" s="28"/>
    </row>
    <row r="839" customFormat="false" ht="15" hidden="false" customHeight="false" outlineLevel="0" collapsed="false">
      <c r="A839" s="21" t="s">
        <v>175</v>
      </c>
      <c r="E839" s="25"/>
      <c r="F839" s="26" t="str">
        <f aca="false">IF(OR(E839="",E839="!!!"),"",IF(NOT(ISNA(VLOOKUP(E839,E$1:E838,1,FALSE()))),"OLD",IF(AND(E839&lt;&gt;"",E839&lt;&gt;"!!!"),"NEW","")))</f>
        <v/>
      </c>
      <c r="G839" s="22" t="str">
        <f aca="false">IF(OR(E839="",E839="!!!"),"",IF(OR(J839=0,AND(J839=1,K839=1),AND(J839=1,I839="SBJ"),AND(J839=1,I839=0)),"?IN_FOCUS",IF(J839&lt;=2,"?ACTIVATED",IF(J839&lt;&gt;"","?FAMILIAR",IF(F839="NEW",IF(ISNA(VLOOKUP(E839,#REF!,1,FALSE())),"?TYPE_IDENTIFIABLE","?REFERENTIAL"),"_")))))</f>
        <v/>
      </c>
      <c r="H839" s="23" t="str">
        <f aca="false">IF(J839&lt;&gt;1,"",IF(I839="SBJ","CB","?"))</f>
        <v/>
      </c>
      <c r="I839" s="27" t="str">
        <f aca="false">IF(OR(E839="",E839="!!!",F839="NEW"),"",INDEX(B46:B$794,-1+SUMPRODUCT(MAX(ROW(E46:E$794)*(E839=E46:E$794)))))</f>
        <v/>
      </c>
      <c r="J839" s="27" t="str">
        <f aca="true">IF(OR(E839="",E839="!!!",F839="NEW"),"",COUNTBLANK(OFFSET(A$1,,,SUMPRODUCT(MAX(ROW(E$2:E839)*(E839=E$2:E839)))))-COUNTBLANK(OFFSET(A$1,,,SUMPRODUCT(MAX(ROW(E$1:E838)*(E2=E$1:E838))))))</f>
        <v/>
      </c>
      <c r="K839" s="27" t="str">
        <f aca="false">IF(OR(E839="",E839="!!!",F839="NEW"),"",INDEX(J$1:J838,SUMPRODUCT(MAX(ROW(E$1:E838)*(E839=E$1:E838)))))</f>
        <v/>
      </c>
      <c r="L839" s="28"/>
    </row>
    <row r="840" customFormat="false" ht="15" hidden="false" customHeight="false" outlineLevel="0" collapsed="false">
      <c r="A840" s="21" t="s">
        <v>652</v>
      </c>
      <c r="B840" s="29" t="s">
        <v>210</v>
      </c>
      <c r="C840" s="29" t="s">
        <v>164</v>
      </c>
      <c r="E840" s="25"/>
      <c r="F840" s="26" t="str">
        <f aca="false">IF(OR(E840="",E840="!!!"),"",IF(NOT(ISNA(VLOOKUP(E840,E$1:E839,1,FALSE()))),"OLD",IF(AND(E840&lt;&gt;"",E840&lt;&gt;"!!!"),"NEW","")))</f>
        <v/>
      </c>
      <c r="G840" s="22" t="str">
        <f aca="false">IF(OR(E840="",E840="!!!"),"",IF(OR(J840=0,AND(J840=1,K840=1),AND(J840=1,I840="SBJ"),AND(J840=1,I840=0)),"?IN_FOCUS",IF(J840&lt;=2,"?ACTIVATED",IF(J840&lt;&gt;"","?FAMILIAR",IF(F840="NEW",IF(ISNA(VLOOKUP(E840,#REF!,1,FALSE())),"?TYPE_IDENTIFIABLE","?REFERENTIAL"),"_")))))</f>
        <v/>
      </c>
      <c r="H840" s="23" t="str">
        <f aca="false">IF(J840&lt;&gt;1,"",IF(I840="SBJ","CB","?"))</f>
        <v/>
      </c>
      <c r="I840" s="27" t="str">
        <f aca="false">IF(OR(E840="",E840="!!!",F840="NEW"),"",INDEX(B47:B$794,-1+SUMPRODUCT(MAX(ROW(E47:E$794)*(E840=E47:E$794)))))</f>
        <v/>
      </c>
      <c r="J840" s="27" t="str">
        <f aca="true">IF(OR(E840="",E840="!!!",F840="NEW"),"",COUNTBLANK(OFFSET(A$1,,,SUMPRODUCT(MAX(ROW(E$2:E840)*(E840=E$2:E840)))))-COUNTBLANK(OFFSET(A$1,,,SUMPRODUCT(MAX(ROW(E$1:E839)*(E2=E$1:E839))))))</f>
        <v/>
      </c>
      <c r="K840" s="27" t="str">
        <f aca="false">IF(OR(E840="",E840="!!!",F840="NEW"),"",INDEX(J$1:J839,SUMPRODUCT(MAX(ROW(E$1:E839)*(E840=E$1:E839)))))</f>
        <v/>
      </c>
      <c r="L840" s="28"/>
    </row>
    <row r="841" customFormat="false" ht="15" hidden="false" customHeight="false" outlineLevel="0" collapsed="false">
      <c r="A841" s="21" t="s">
        <v>165</v>
      </c>
      <c r="E841" s="25"/>
      <c r="F841" s="26" t="str">
        <f aca="false">IF(OR(E841="",E841="!!!"),"",IF(NOT(ISNA(VLOOKUP(E841,E$1:E840,1,FALSE()))),"OLD",IF(AND(E841&lt;&gt;"",E841&lt;&gt;"!!!"),"NEW","")))</f>
        <v/>
      </c>
      <c r="G841" s="22" t="str">
        <f aca="false">IF(OR(E841="",E841="!!!"),"",IF(OR(J841=0,AND(J841=1,K841=1),AND(J841=1,I841="SBJ"),AND(J841=1,I841=0)),"?IN_FOCUS",IF(J841&lt;=2,"?ACTIVATED",IF(J841&lt;&gt;"","?FAMILIAR",IF(F841="NEW",IF(ISNA(VLOOKUP(E841,#REF!,1,FALSE())),"?TYPE_IDENTIFIABLE","?REFERENTIAL"),"_")))))</f>
        <v/>
      </c>
      <c r="H841" s="23" t="str">
        <f aca="false">IF(J841&lt;&gt;1,"",IF(I841="SBJ","CB","?"))</f>
        <v/>
      </c>
      <c r="I841" s="27" t="str">
        <f aca="false">IF(OR(E841="",E841="!!!",F841="NEW"),"",INDEX(B48:B$794,-1+SUMPRODUCT(MAX(ROW(E48:E$794)*(E841=E48:E$794)))))</f>
        <v/>
      </c>
      <c r="J841" s="27" t="str">
        <f aca="true">IF(OR(E841="",E841="!!!",F841="NEW"),"",COUNTBLANK(OFFSET(A$1,,,SUMPRODUCT(MAX(ROW(E$2:E841)*(E841=E$2:E841)))))-COUNTBLANK(OFFSET(A$1,,,SUMPRODUCT(MAX(ROW(E$1:E840)*(E2=E$1:E840))))))</f>
        <v/>
      </c>
      <c r="K841" s="27" t="str">
        <f aca="false">IF(OR(E841="",E841="!!!",F841="NEW"),"",INDEX(J$1:J840,SUMPRODUCT(MAX(ROW(E$1:E840)*(E841=E$1:E840)))))</f>
        <v/>
      </c>
      <c r="L841" s="28"/>
    </row>
    <row r="842" customFormat="false" ht="15" hidden="false" customHeight="false" outlineLevel="0" collapsed="false">
      <c r="A842" s="21" t="s">
        <v>653</v>
      </c>
      <c r="B842" s="29" t="s">
        <v>216</v>
      </c>
      <c r="C842" s="29" t="s">
        <v>167</v>
      </c>
      <c r="E842" s="25"/>
      <c r="F842" s="26" t="str">
        <f aca="false">IF(OR(E842="",E842="!!!"),"",IF(NOT(ISNA(VLOOKUP(E842,E$1:E841,1,FALSE()))),"OLD",IF(AND(E842&lt;&gt;"",E842&lt;&gt;"!!!"),"NEW","")))</f>
        <v/>
      </c>
      <c r="G842" s="22" t="str">
        <f aca="false">IF(OR(E842="",E842="!!!"),"",IF(OR(J842=0,AND(J842=1,K842=1),AND(J842=1,I842="SBJ"),AND(J842=1,I842=0)),"?IN_FOCUS",IF(J842&lt;=2,"?ACTIVATED",IF(J842&lt;&gt;"","?FAMILIAR",IF(F842="NEW",IF(ISNA(VLOOKUP(E842,#REF!,1,FALSE())),"?TYPE_IDENTIFIABLE","?REFERENTIAL"),"_")))))</f>
        <v/>
      </c>
      <c r="H842" s="23" t="str">
        <f aca="false">IF(J842&lt;&gt;1,"",IF(I842="SBJ","CB","?"))</f>
        <v/>
      </c>
      <c r="I842" s="27" t="str">
        <f aca="false">IF(OR(E842="",E842="!!!",F842="NEW"),"",INDEX(B49:B$794,-1+SUMPRODUCT(MAX(ROW(E49:E$794)*(E842=E49:E$794)))))</f>
        <v/>
      </c>
      <c r="J842" s="27" t="str">
        <f aca="true">IF(OR(E842="",E842="!!!",F842="NEW"),"",COUNTBLANK(OFFSET(A$1,,,SUMPRODUCT(MAX(ROW(E$2:E842)*(E842=E$2:E842)))))-COUNTBLANK(OFFSET(A$1,,,SUMPRODUCT(MAX(ROW(E$1:E841)*(E2=E$1:E841))))))</f>
        <v/>
      </c>
      <c r="K842" s="27" t="str">
        <f aca="false">IF(OR(E842="",E842="!!!",F842="NEW"),"",INDEX(J$1:J841,SUMPRODUCT(MAX(ROW(E$1:E841)*(E842=E$1:E841)))))</f>
        <v/>
      </c>
      <c r="L842" s="28"/>
    </row>
    <row r="843" customFormat="false" ht="15" hidden="false" customHeight="false" outlineLevel="0" collapsed="false">
      <c r="A843" s="21" t="s">
        <v>178</v>
      </c>
      <c r="E843" s="25"/>
      <c r="F843" s="26" t="str">
        <f aca="false">IF(OR(E843="",E843="!!!"),"",IF(NOT(ISNA(VLOOKUP(E843,E$1:E842,1,FALSE()))),"OLD",IF(AND(E843&lt;&gt;"",E843&lt;&gt;"!!!"),"NEW","")))</f>
        <v/>
      </c>
      <c r="G843" s="22" t="str">
        <f aca="false">IF(OR(E843="",E843="!!!"),"",IF(OR(J843=0,AND(J843=1,K843=1),AND(J843=1,I843="SBJ"),AND(J843=1,I843=0)),"?IN_FOCUS",IF(J843&lt;=2,"?ACTIVATED",IF(J843&lt;&gt;"","?FAMILIAR",IF(F843="NEW",IF(ISNA(VLOOKUP(E843,#REF!,1,FALSE())),"?TYPE_IDENTIFIABLE","?REFERENTIAL"),"_")))))</f>
        <v/>
      </c>
      <c r="H843" s="23" t="str">
        <f aca="false">IF(J843&lt;&gt;1,"",IF(I843="SBJ","CB","?"))</f>
        <v/>
      </c>
      <c r="I843" s="27" t="str">
        <f aca="false">IF(OR(E843="",E843="!!!",F843="NEW"),"",INDEX(B50:B$794,-1+SUMPRODUCT(MAX(ROW(E50:E$794)*(E843=E50:E$794)))))</f>
        <v/>
      </c>
      <c r="J843" s="27" t="str">
        <f aca="true">IF(OR(E843="",E843="!!!",F843="NEW"),"",COUNTBLANK(OFFSET(A$1,,,SUMPRODUCT(MAX(ROW(E$2:E843)*(E843=E$2:E843)))))-COUNTBLANK(OFFSET(A$1,,,SUMPRODUCT(MAX(ROW(E$1:E842)*(E2=E$1:E842))))))</f>
        <v/>
      </c>
      <c r="K843" s="27" t="str">
        <f aca="false">IF(OR(E843="",E843="!!!",F843="NEW"),"",INDEX(J$1:J842,SUMPRODUCT(MAX(ROW(E$1:E842)*(E843=E$1:E842)))))</f>
        <v/>
      </c>
      <c r="L843" s="28"/>
    </row>
    <row r="844" customFormat="false" ht="15" hidden="false" customHeight="false" outlineLevel="0" collapsed="false">
      <c r="A844" s="21" t="s">
        <v>165</v>
      </c>
      <c r="E844" s="25"/>
      <c r="F844" s="26" t="str">
        <f aca="false">IF(OR(E844="",E844="!!!"),"",IF(NOT(ISNA(VLOOKUP(E844,E$1:E843,1,FALSE()))),"OLD",IF(AND(E844&lt;&gt;"",E844&lt;&gt;"!!!"),"NEW","")))</f>
        <v/>
      </c>
      <c r="G844" s="22" t="str">
        <f aca="false">IF(OR(E844="",E844="!!!"),"",IF(OR(J844=0,AND(J844=1,K844=1),AND(J844=1,I844="SBJ"),AND(J844=1,I844=0)),"?IN_FOCUS",IF(J844&lt;=2,"?ACTIVATED",IF(J844&lt;&gt;"","?FAMILIAR",IF(F844="NEW",IF(ISNA(VLOOKUP(E844,#REF!,1,FALSE())),"?TYPE_IDENTIFIABLE","?REFERENTIAL"),"_")))))</f>
        <v/>
      </c>
      <c r="H844" s="23" t="str">
        <f aca="false">IF(J844&lt;&gt;1,"",IF(I844="SBJ","CB","?"))</f>
        <v/>
      </c>
      <c r="I844" s="27" t="str">
        <f aca="false">IF(OR(E844="",E844="!!!",F844="NEW"),"",INDEX(B51:B$794,-1+SUMPRODUCT(MAX(ROW(E51:E$794)*(E844=E51:E$794)))))</f>
        <v/>
      </c>
      <c r="J844" s="27" t="str">
        <f aca="true">IF(OR(E844="",E844="!!!",F844="NEW"),"",COUNTBLANK(OFFSET(A$1,,,SUMPRODUCT(MAX(ROW(E$2:E844)*(E844=E$2:E844)))))-COUNTBLANK(OFFSET(A$1,,,SUMPRODUCT(MAX(ROW(E$1:E843)*(E2=E$1:E843))))))</f>
        <v/>
      </c>
      <c r="K844" s="27" t="str">
        <f aca="false">IF(OR(E844="",E844="!!!",F844="NEW"),"",INDEX(J$1:J843,SUMPRODUCT(MAX(ROW(E$1:E843)*(E844=E$1:E843)))))</f>
        <v/>
      </c>
      <c r="L844" s="28"/>
    </row>
    <row r="845" customFormat="false" ht="15" hidden="false" customHeight="false" outlineLevel="0" collapsed="false">
      <c r="A845" s="21" t="s">
        <v>480</v>
      </c>
      <c r="B845" s="29" t="s">
        <v>153</v>
      </c>
      <c r="C845" s="29" t="s">
        <v>167</v>
      </c>
      <c r="E845" s="25"/>
      <c r="F845" s="26" t="str">
        <f aca="false">IF(OR(E845="",E845="!!!"),"",IF(NOT(ISNA(VLOOKUP(E845,E$1:E844,1,FALSE()))),"OLD",IF(AND(E845&lt;&gt;"",E845&lt;&gt;"!!!"),"NEW","")))</f>
        <v/>
      </c>
      <c r="G845" s="22" t="str">
        <f aca="false">IF(OR(E845="",E845="!!!"),"",IF(OR(J845=0,AND(J845=1,K845=1),AND(J845=1,I845="SBJ"),AND(J845=1,I845=0)),"?IN_FOCUS",IF(J845&lt;=2,"?ACTIVATED",IF(J845&lt;&gt;"","?FAMILIAR",IF(F845="NEW",IF(ISNA(VLOOKUP(E845,#REF!,1,FALSE())),"?TYPE_IDENTIFIABLE","?REFERENTIAL"),"_")))))</f>
        <v/>
      </c>
      <c r="H845" s="23" t="str">
        <f aca="false">IF(J845&lt;&gt;1,"",IF(I845="SBJ","CB","?"))</f>
        <v/>
      </c>
      <c r="I845" s="27" t="str">
        <f aca="false">IF(OR(E845="",E845="!!!",F845="NEW"),"",INDEX(B52:B$794,-1+SUMPRODUCT(MAX(ROW(E52:E$794)*(E845=E52:E$794)))))</f>
        <v/>
      </c>
      <c r="J845" s="27" t="str">
        <f aca="true">IF(OR(E845="",E845="!!!",F845="NEW"),"",COUNTBLANK(OFFSET(A$1,,,SUMPRODUCT(MAX(ROW(E$2:E845)*(E845=E$2:E845)))))-COUNTBLANK(OFFSET(A$1,,,SUMPRODUCT(MAX(ROW(E$1:E844)*(E2=E$1:E844))))))</f>
        <v/>
      </c>
      <c r="K845" s="27" t="str">
        <f aca="false">IF(OR(E845="",E845="!!!",F845="NEW"),"",INDEX(J$1:J844,SUMPRODUCT(MAX(ROW(E$1:E844)*(E845=E$1:E844)))))</f>
        <v/>
      </c>
      <c r="L845" s="28"/>
    </row>
    <row r="846" customFormat="false" ht="15" hidden="false" customHeight="false" outlineLevel="0" collapsed="false">
      <c r="A846" s="21" t="s">
        <v>207</v>
      </c>
      <c r="E846" s="25"/>
      <c r="F846" s="26" t="str">
        <f aca="false">IF(OR(E846="",E846="!!!"),"",IF(NOT(ISNA(VLOOKUP(E846,E$1:E845,1,FALSE()))),"OLD",IF(AND(E846&lt;&gt;"",E846&lt;&gt;"!!!"),"NEW","")))</f>
        <v/>
      </c>
      <c r="G846" s="22" t="str">
        <f aca="false">IF(OR(E846="",E846="!!!"),"",IF(OR(J846=0,AND(J846=1,K846=1),AND(J846=1,I846="SBJ"),AND(J846=1,I846=0)),"?IN_FOCUS",IF(J846&lt;=2,"?ACTIVATED",IF(J846&lt;&gt;"","?FAMILIAR",IF(F846="NEW",IF(ISNA(VLOOKUP(E846,#REF!,1,FALSE())),"?TYPE_IDENTIFIABLE","?REFERENTIAL"),"_")))))</f>
        <v/>
      </c>
      <c r="H846" s="23" t="str">
        <f aca="false">IF(J846&lt;&gt;1,"",IF(I846="SBJ","CB","?"))</f>
        <v/>
      </c>
      <c r="I846" s="27" t="str">
        <f aca="false">IF(OR(E846="",E846="!!!",F846="NEW"),"",INDEX(B53:B$794,-1+SUMPRODUCT(MAX(ROW(E53:E$794)*(E846=E53:E$794)))))</f>
        <v/>
      </c>
      <c r="J846" s="27" t="str">
        <f aca="true">IF(OR(E846="",E846="!!!",F846="NEW"),"",COUNTBLANK(OFFSET(A$1,,,SUMPRODUCT(MAX(ROW(E$2:E846)*(E846=E$2:E846)))))-COUNTBLANK(OFFSET(A$1,,,SUMPRODUCT(MAX(ROW(E$1:E845)*(E2=E$1:E845))))))</f>
        <v/>
      </c>
      <c r="K846" s="27" t="str">
        <f aca="false">IF(OR(E846="",E846="!!!",F846="NEW"),"",INDEX(J$1:J845,SUMPRODUCT(MAX(ROW(E$1:E845)*(E846=E$1:E845)))))</f>
        <v/>
      </c>
      <c r="L846" s="28"/>
    </row>
    <row r="847" customFormat="false" ht="15" hidden="false" customHeight="false" outlineLevel="0" collapsed="false">
      <c r="A847" s="21" t="s">
        <v>178</v>
      </c>
      <c r="E847" s="25"/>
      <c r="F847" s="26" t="str">
        <f aca="false">IF(OR(E847="",E847="!!!"),"",IF(NOT(ISNA(VLOOKUP(E847,E$1:E846,1,FALSE()))),"OLD",IF(AND(E847&lt;&gt;"",E847&lt;&gt;"!!!"),"NEW","")))</f>
        <v/>
      </c>
      <c r="G847" s="22" t="str">
        <f aca="false">IF(OR(E847="",E847="!!!"),"",IF(OR(J847=0,AND(J847=1,K847=1),AND(J847=1,I847="SBJ"),AND(J847=1,I847=0)),"?IN_FOCUS",IF(J847&lt;=2,"?ACTIVATED",IF(J847&lt;&gt;"","?FAMILIAR",IF(F847="NEW",IF(ISNA(VLOOKUP(E847,#REF!,1,FALSE())),"?TYPE_IDENTIFIABLE","?REFERENTIAL"),"_")))))</f>
        <v/>
      </c>
      <c r="H847" s="23" t="str">
        <f aca="false">IF(J847&lt;&gt;1,"",IF(I847="SBJ","CB","?"))</f>
        <v/>
      </c>
      <c r="I847" s="27" t="str">
        <f aca="false">IF(OR(E847="",E847="!!!",F847="NEW"),"",INDEX(B54:B$794,-1+SUMPRODUCT(MAX(ROW(E54:E$794)*(E847=E54:E$794)))))</f>
        <v/>
      </c>
      <c r="J847" s="27" t="str">
        <f aca="true">IF(OR(E847="",E847="!!!",F847="NEW"),"",COUNTBLANK(OFFSET(A$1,,,SUMPRODUCT(MAX(ROW(E$2:E847)*(E847=E$2:E847)))))-COUNTBLANK(OFFSET(A$1,,,SUMPRODUCT(MAX(ROW(E$1:E846)*(E2=E$1:E846))))))</f>
        <v/>
      </c>
      <c r="K847" s="27" t="str">
        <f aca="false">IF(OR(E847="",E847="!!!",F847="NEW"),"",INDEX(J$1:J846,SUMPRODUCT(MAX(ROW(E$1:E846)*(E847=E$1:E846)))))</f>
        <v/>
      </c>
      <c r="L847" s="28"/>
    </row>
    <row r="848" customFormat="false" ht="15" hidden="false" customHeight="false" outlineLevel="0" collapsed="false">
      <c r="A848" s="21" t="s">
        <v>165</v>
      </c>
      <c r="E848" s="25"/>
      <c r="F848" s="26" t="str">
        <f aca="false">IF(OR(E848="",E848="!!!"),"",IF(NOT(ISNA(VLOOKUP(E848,E$1:E847,1,FALSE()))),"OLD",IF(AND(E848&lt;&gt;"",E848&lt;&gt;"!!!"),"NEW","")))</f>
        <v/>
      </c>
      <c r="G848" s="22" t="str">
        <f aca="false">IF(OR(E848="",E848="!!!"),"",IF(OR(J848=0,AND(J848=1,K848=1),AND(J848=1,I848="SBJ"),AND(J848=1,I848=0)),"?IN_FOCUS",IF(J848&lt;=2,"?ACTIVATED",IF(J848&lt;&gt;"","?FAMILIAR",IF(F848="NEW",IF(ISNA(VLOOKUP(E848,#REF!,1,FALSE())),"?TYPE_IDENTIFIABLE","?REFERENTIAL"),"_")))))</f>
        <v/>
      </c>
      <c r="H848" s="23" t="str">
        <f aca="false">IF(J848&lt;&gt;1,"",IF(I848="SBJ","CB","?"))</f>
        <v/>
      </c>
      <c r="I848" s="27" t="str">
        <f aca="false">IF(OR(E848="",E848="!!!",F848="NEW"),"",INDEX(B55:B$794,-1+SUMPRODUCT(MAX(ROW(E55:E$794)*(E848=E55:E$794)))))</f>
        <v/>
      </c>
      <c r="J848" s="27" t="str">
        <f aca="true">IF(OR(E848="",E848="!!!",F848="NEW"),"",COUNTBLANK(OFFSET(A$1,,,SUMPRODUCT(MAX(ROW(E$2:E848)*(E848=E$2:E848)))))-COUNTBLANK(OFFSET(A$1,,,SUMPRODUCT(MAX(ROW(E$1:E847)*(E2=E$1:E847))))))</f>
        <v/>
      </c>
      <c r="K848" s="27" t="str">
        <f aca="false">IF(OR(E848="",E848="!!!",F848="NEW"),"",INDEX(J$1:J847,SUMPRODUCT(MAX(ROW(E$1:E847)*(E848=E$1:E847)))))</f>
        <v/>
      </c>
      <c r="L848" s="28"/>
    </row>
    <row r="849" customFormat="false" ht="15" hidden="false" customHeight="false" outlineLevel="0" collapsed="false">
      <c r="A849" s="21" t="s">
        <v>654</v>
      </c>
      <c r="E849" s="25"/>
      <c r="F849" s="26" t="str">
        <f aca="false">IF(OR(E849="",E849="!!!"),"",IF(NOT(ISNA(VLOOKUP(E849,E$1:E848,1,FALSE()))),"OLD",IF(AND(E849&lt;&gt;"",E849&lt;&gt;"!!!"),"NEW","")))</f>
        <v/>
      </c>
      <c r="G849" s="22" t="str">
        <f aca="false">IF(OR(E849="",E849="!!!"),"",IF(OR(J849=0,AND(J849=1,K849=1),AND(J849=1,I849="SBJ"),AND(J849=1,I849=0)),"?IN_FOCUS",IF(J849&lt;=2,"?ACTIVATED",IF(J849&lt;&gt;"","?FAMILIAR",IF(F849="NEW",IF(ISNA(VLOOKUP(E849,#REF!,1,FALSE())),"?TYPE_IDENTIFIABLE","?REFERENTIAL"),"_")))))</f>
        <v/>
      </c>
      <c r="H849" s="23" t="str">
        <f aca="false">IF(J849&lt;&gt;1,"",IF(I849="SBJ","CB","?"))</f>
        <v/>
      </c>
      <c r="I849" s="27" t="str">
        <f aca="false">IF(OR(E849="",E849="!!!",F849="NEW"),"",INDEX(B56:B$794,-1+SUMPRODUCT(MAX(ROW(E56:E$794)*(E849=E56:E$794)))))</f>
        <v/>
      </c>
      <c r="J849" s="27" t="str">
        <f aca="true">IF(OR(E849="",E849="!!!",F849="NEW"),"",COUNTBLANK(OFFSET(A$1,,,SUMPRODUCT(MAX(ROW(E$2:E849)*(E849=E$2:E849)))))-COUNTBLANK(OFFSET(A$1,,,SUMPRODUCT(MAX(ROW(E$1:E848)*(E2=E$1:E848))))))</f>
        <v/>
      </c>
      <c r="K849" s="27" t="str">
        <f aca="false">IF(OR(E849="",E849="!!!",F849="NEW"),"",INDEX(J$1:J848,SUMPRODUCT(MAX(ROW(E$1:E848)*(E849=E$1:E848)))))</f>
        <v/>
      </c>
      <c r="L849" s="28"/>
    </row>
    <row r="850" customFormat="false" ht="15" hidden="false" customHeight="false" outlineLevel="0" collapsed="false">
      <c r="A850" s="21" t="s">
        <v>178</v>
      </c>
      <c r="E850" s="25"/>
      <c r="F850" s="26" t="str">
        <f aca="false">IF(OR(E850="",E850="!!!"),"",IF(NOT(ISNA(VLOOKUP(E850,E$1:E849,1,FALSE()))),"OLD",IF(AND(E850&lt;&gt;"",E850&lt;&gt;"!!!"),"NEW","")))</f>
        <v/>
      </c>
      <c r="G850" s="22" t="str">
        <f aca="false">IF(OR(E850="",E850="!!!"),"",IF(OR(J850=0,AND(J850=1,K850=1),AND(J850=1,I850="SBJ"),AND(J850=1,I850=0)),"?IN_FOCUS",IF(J850&lt;=2,"?ACTIVATED",IF(J850&lt;&gt;"","?FAMILIAR",IF(F850="NEW",IF(ISNA(VLOOKUP(E850,#REF!,1,FALSE())),"?TYPE_IDENTIFIABLE","?REFERENTIAL"),"_")))))</f>
        <v/>
      </c>
      <c r="H850" s="23" t="str">
        <f aca="false">IF(J850&lt;&gt;1,"",IF(I850="SBJ","CB","?"))</f>
        <v/>
      </c>
      <c r="I850" s="27" t="str">
        <f aca="false">IF(OR(E850="",E850="!!!",F850="NEW"),"",INDEX(B57:B$794,-1+SUMPRODUCT(MAX(ROW(E57:E$794)*(E850=E57:E$794)))))</f>
        <v/>
      </c>
      <c r="J850" s="27" t="str">
        <f aca="true">IF(OR(E850="",E850="!!!",F850="NEW"),"",COUNTBLANK(OFFSET(A$1,,,SUMPRODUCT(MAX(ROW(E$2:E850)*(E850=E$2:E850)))))-COUNTBLANK(OFFSET(A$1,,,SUMPRODUCT(MAX(ROW(E$1:E849)*(E2=E$1:E849))))))</f>
        <v/>
      </c>
      <c r="K850" s="27" t="str">
        <f aca="false">IF(OR(E850="",E850="!!!",F850="NEW"),"",INDEX(J$1:J849,SUMPRODUCT(MAX(ROW(E$1:E849)*(E850=E$1:E849)))))</f>
        <v/>
      </c>
      <c r="L850" s="28"/>
    </row>
    <row r="851" customFormat="false" ht="15" hidden="false" customHeight="false" outlineLevel="0" collapsed="false">
      <c r="A851" s="21" t="s">
        <v>165</v>
      </c>
      <c r="E851" s="25"/>
      <c r="F851" s="26" t="str">
        <f aca="false">IF(OR(E851="",E851="!!!"),"",IF(NOT(ISNA(VLOOKUP(E851,E$1:E850,1,FALSE()))),"OLD",IF(AND(E851&lt;&gt;"",E851&lt;&gt;"!!!"),"NEW","")))</f>
        <v/>
      </c>
      <c r="G851" s="22" t="str">
        <f aca="false">IF(OR(E851="",E851="!!!"),"",IF(OR(J851=0,AND(J851=1,K851=1),AND(J851=1,I851="SBJ"),AND(J851=1,I851=0)),"?IN_FOCUS",IF(J851&lt;=2,"?ACTIVATED",IF(J851&lt;&gt;"","?FAMILIAR",IF(F851="NEW",IF(ISNA(VLOOKUP(E851,#REF!,1,FALSE())),"?TYPE_IDENTIFIABLE","?REFERENTIAL"),"_")))))</f>
        <v/>
      </c>
      <c r="H851" s="23" t="str">
        <f aca="false">IF(J851&lt;&gt;1,"",IF(I851="SBJ","CB","?"))</f>
        <v/>
      </c>
      <c r="I851" s="27" t="str">
        <f aca="false">IF(OR(E851="",E851="!!!",F851="NEW"),"",INDEX(B58:B$794,-1+SUMPRODUCT(MAX(ROW(E58:E$794)*(E851=E58:E$794)))))</f>
        <v/>
      </c>
      <c r="J851" s="27" t="str">
        <f aca="true">IF(OR(E851="",E851="!!!",F851="NEW"),"",COUNTBLANK(OFFSET(A$1,,,SUMPRODUCT(MAX(ROW(E$2:E851)*(E851=E$2:E851)))))-COUNTBLANK(OFFSET(A$1,,,SUMPRODUCT(MAX(ROW(E$1:E850)*(E2=E$1:E850))))))</f>
        <v/>
      </c>
      <c r="K851" s="27" t="str">
        <f aca="false">IF(OR(E851="",E851="!!!",F851="NEW"),"",INDEX(J$1:J850,SUMPRODUCT(MAX(ROW(E$1:E850)*(E851=E$1:E850)))))</f>
        <v/>
      </c>
      <c r="L851" s="28"/>
    </row>
    <row r="852" customFormat="false" ht="15" hidden="false" customHeight="false" outlineLevel="0" collapsed="false">
      <c r="A852" s="21" t="s">
        <v>655</v>
      </c>
      <c r="B852" s="29" t="s">
        <v>153</v>
      </c>
      <c r="C852" s="29" t="s">
        <v>167</v>
      </c>
      <c r="E852" s="25"/>
      <c r="F852" s="26" t="str">
        <f aca="false">IF(OR(E852="",E852="!!!"),"",IF(NOT(ISNA(VLOOKUP(E852,E$1:E851,1,FALSE()))),"OLD",IF(AND(E852&lt;&gt;"",E852&lt;&gt;"!!!"),"NEW","")))</f>
        <v/>
      </c>
      <c r="G852" s="22" t="str">
        <f aca="false">IF(OR(E852="",E852="!!!"),"",IF(OR(J852=0,AND(J852=1,K852=1),AND(J852=1,I852="SBJ"),AND(J852=1,I852=0)),"?IN_FOCUS",IF(J852&lt;=2,"?ACTIVATED",IF(J852&lt;&gt;"","?FAMILIAR",IF(F852="NEW",IF(ISNA(VLOOKUP(E852,#REF!,1,FALSE())),"?TYPE_IDENTIFIABLE","?REFERENTIAL"),"_")))))</f>
        <v/>
      </c>
      <c r="H852" s="23" t="str">
        <f aca="false">IF(J852&lt;&gt;1,"",IF(I852="SBJ","CB","?"))</f>
        <v/>
      </c>
      <c r="I852" s="27" t="str">
        <f aca="false">IF(OR(E852="",E852="!!!",F852="NEW"),"",INDEX(B59:B$794,-1+SUMPRODUCT(MAX(ROW(E59:E$794)*(E852=E59:E$794)))))</f>
        <v/>
      </c>
      <c r="J852" s="27" t="str">
        <f aca="true">IF(OR(E852="",E852="!!!",F852="NEW"),"",COUNTBLANK(OFFSET(A$1,,,SUMPRODUCT(MAX(ROW(E$2:E852)*(E852=E$2:E852)))))-COUNTBLANK(OFFSET(A$1,,,SUMPRODUCT(MAX(ROW(E$1:E851)*(E2=E$1:E851))))))</f>
        <v/>
      </c>
      <c r="K852" s="27" t="str">
        <f aca="false">IF(OR(E852="",E852="!!!",F852="NEW"),"",INDEX(J$1:J851,SUMPRODUCT(MAX(ROW(E$1:E851)*(E852=E$1:E851)))))</f>
        <v/>
      </c>
      <c r="L852" s="28"/>
    </row>
    <row r="853" customFormat="false" ht="15" hidden="false" customHeight="false" outlineLevel="0" collapsed="false">
      <c r="A853" s="21" t="s">
        <v>193</v>
      </c>
      <c r="E853" s="25"/>
      <c r="F853" s="26" t="str">
        <f aca="false">IF(OR(E853="",E853="!!!"),"",IF(NOT(ISNA(VLOOKUP(E853,E$1:E852,1,FALSE()))),"OLD",IF(AND(E853&lt;&gt;"",E853&lt;&gt;"!!!"),"NEW","")))</f>
        <v/>
      </c>
      <c r="G853" s="22" t="str">
        <f aca="false">IF(OR(E853="",E853="!!!"),"",IF(OR(J853=0,AND(J853=1,K853=1),AND(J853=1,I853="SBJ"),AND(J853=1,I853=0)),"?IN_FOCUS",IF(J853&lt;=2,"?ACTIVATED",IF(J853&lt;&gt;"","?FAMILIAR",IF(F853="NEW",IF(ISNA(VLOOKUP(E853,#REF!,1,FALSE())),"?TYPE_IDENTIFIABLE","?REFERENTIAL"),"_")))))</f>
        <v/>
      </c>
      <c r="H853" s="23" t="str">
        <f aca="false">IF(J853&lt;&gt;1,"",IF(I853="SBJ","CB","?"))</f>
        <v/>
      </c>
      <c r="I853" s="27" t="str">
        <f aca="false">IF(OR(E853="",E853="!!!",F853="NEW"),"",INDEX(B60:B$794,-1+SUMPRODUCT(MAX(ROW(E60:E$794)*(E853=E60:E$794)))))</f>
        <v/>
      </c>
      <c r="J853" s="27" t="str">
        <f aca="true">IF(OR(E853="",E853="!!!",F853="NEW"),"",COUNTBLANK(OFFSET(A$1,,,SUMPRODUCT(MAX(ROW(E$2:E853)*(E853=E$2:E853)))))-COUNTBLANK(OFFSET(A$1,,,SUMPRODUCT(MAX(ROW(E$1:E852)*(E2=E$1:E852))))))</f>
        <v/>
      </c>
      <c r="K853" s="27" t="str">
        <f aca="false">IF(OR(E853="",E853="!!!",F853="NEW"),"",INDEX(J$1:J852,SUMPRODUCT(MAX(ROW(E$1:E852)*(E853=E$1:E852)))))</f>
        <v/>
      </c>
      <c r="L853" s="28"/>
    </row>
    <row r="854" customFormat="false" ht="15" hidden="false" customHeight="false" outlineLevel="0" collapsed="false">
      <c r="A854" s="21"/>
      <c r="G854" s="22" t="str">
        <f aca="false">IF(OR(E854="",E854="!!!"),"",IF(OR(J854=0,AND(J854=1,K854=1),AND(J854=1,I854="SBJ"),AND(J854=1,I854=0)),"?IN_FOCUS",IF(J854&lt;=2,"?ACTIVATED",IF(J854&lt;&gt;"","?FAMILIAR",IF(F854="NEW",IF(ISNA(VLOOKUP(E854,#REF!,1,FALSE())),"?TYPE_IDENTIFIABLE","?REFERENTIAL"),"_")))))</f>
        <v/>
      </c>
      <c r="H854" s="23" t="str">
        <f aca="false">IF(J854&lt;&gt;1,"",IF(I854="SBJ","CB","?"))</f>
        <v/>
      </c>
    </row>
    <row r="855" customFormat="false" ht="15" hidden="false" customHeight="false" outlineLevel="0" collapsed="false">
      <c r="A855" s="21" t="s">
        <v>656</v>
      </c>
      <c r="G855" s="22" t="str">
        <f aca="false">IF(OR(E855="",E855="!!!"),"",IF(OR(J855=0,AND(J855=1,K855=1),AND(J855=1,I855="SBJ"),AND(J855=1,I855=0)),"?IN_FOCUS",IF(J855&lt;=2,"?ACTIVATED",IF(J855&lt;&gt;"","?FAMILIAR",IF(F855="NEW",IF(ISNA(VLOOKUP(E855,#REF!,1,FALSE())),"?TYPE_IDENTIFIABLE","?REFERENTIAL"),"_")))))</f>
        <v/>
      </c>
      <c r="H855" s="23" t="str">
        <f aca="false">IF(J855&lt;&gt;1,"",IF(I855="SBJ","CB","?"))</f>
        <v/>
      </c>
    </row>
    <row r="856" customFormat="false" ht="15" hidden="false" customHeight="false" outlineLevel="0" collapsed="false">
      <c r="A856" s="21" t="s">
        <v>657</v>
      </c>
      <c r="E856" s="25"/>
      <c r="F856" s="26" t="str">
        <f aca="false">IF(OR(E856="",E856="!!!"),"",IF(NOT(ISNA(VLOOKUP(E856,E$1:E855,1,FALSE()))),"OLD",IF(AND(E856&lt;&gt;"",E856&lt;&gt;"!!!"),"NEW","")))</f>
        <v/>
      </c>
      <c r="G856" s="22" t="str">
        <f aca="false">IF(OR(E856="",E856="!!!"),"",IF(OR(J856=0,AND(J856=1,K856=1),AND(J856=1,I856="SBJ"),AND(J856=1,I856=0)),"?IN_FOCUS",IF(J856&lt;=2,"?ACTIVATED",IF(J856&lt;&gt;"","?FAMILIAR",IF(F856="NEW",IF(ISNA(VLOOKUP(E856,#REF!,1,FALSE())),"?TYPE_IDENTIFIABLE","?REFERENTIAL"),"_")))))</f>
        <v/>
      </c>
      <c r="H856" s="23" t="str">
        <f aca="false">IF(J856&lt;&gt;1,"",IF(I856="SBJ","CB","?"))</f>
        <v/>
      </c>
      <c r="I856" s="27" t="str">
        <f aca="false">IF(OR(E856="",E856="!!!",F856="NEW"),"",INDEX(B2:B$855,-1+SUMPRODUCT(MAX(ROW(E2:E$855)*(E856=E2:E$855)))))</f>
        <v/>
      </c>
      <c r="J856" s="27" t="str">
        <f aca="true">IF(OR(E856="",E856="!!!",F856="NEW"),"",COUNTBLANK(OFFSET(A$1,,,SUMPRODUCT(MAX(ROW(E$2:E856)*(E856=E$2:E856)))))-COUNTBLANK(OFFSET(A$1,,,SUMPRODUCT(MAX(ROW(E$1:E855)*(E2=E$1:E855))))))</f>
        <v/>
      </c>
      <c r="K856" s="27" t="str">
        <f aca="false">IF(OR(E856="",E856="!!!",F856="NEW"),"",INDEX(J$1:J855,SUMPRODUCT(MAX(ROW(E$1:E855)*(E856=E$1:E855)))))</f>
        <v/>
      </c>
      <c r="L856" s="28"/>
    </row>
    <row r="857" customFormat="false" ht="15" hidden="false" customHeight="false" outlineLevel="0" collapsed="false">
      <c r="A857" s="21" t="s">
        <v>602</v>
      </c>
      <c r="B857" s="29" t="s">
        <v>203</v>
      </c>
      <c r="C857" s="29" t="s">
        <v>181</v>
      </c>
      <c r="D857" s="29" t="s">
        <v>159</v>
      </c>
      <c r="E857" s="25" t="s">
        <v>577</v>
      </c>
      <c r="F857" s="30" t="str">
        <f aca="false">IF(OR(E857="",E857="!!!"),"",IF(NOT(ISNA(VLOOKUP(E857,E$1:E856,1,FALSE()))),"OLD",IF(AND(E857&lt;&gt;"",E857&lt;&gt;"!!!"),"NEW","")))</f>
        <v>OLD</v>
      </c>
      <c r="G857" s="22" t="s">
        <v>265</v>
      </c>
      <c r="H857" s="23" t="str">
        <f aca="false">IF(J857&lt;&gt;1,"",IF(I857="SBJ","CB","?"))</f>
        <v/>
      </c>
      <c r="I857" s="31" t="n">
        <f aca="false">IF(OR(E857="",E857="!!!",F857="NEW"),"",INDEX(B3:B$855,-1+SUMPRODUCT(MAX(ROW(E3:E$855)*(E857=E3:E$855)))))</f>
        <v>0</v>
      </c>
      <c r="J857" s="31" t="n">
        <f aca="true">IF(OR(E857="",E857="!!!",F857="NEW"),"",COUNTBLANK(OFFSET(A$1,,,SUMPRODUCT(MAX(ROW(E$2:E857)*(E857=E$2:E857)))))-COUNTBLANK(OFFSET(A$1,,,SUMPRODUCT(MAX(ROW(E$1:E856)*(E2=E$1:E856))))))</f>
        <v>0</v>
      </c>
      <c r="K857" s="31" t="n">
        <f aca="false">IF(OR(E857="",E857="!!!",F857="NEW"),"",INDEX(J$1:J856,SUMPRODUCT(MAX(ROW(E$1:E856)*(E857=E$1:E856)))))</f>
        <v>0</v>
      </c>
      <c r="L857" s="28"/>
    </row>
    <row r="858" customFormat="false" ht="15" hidden="false" customHeight="false" outlineLevel="0" collapsed="false">
      <c r="A858" s="21" t="s">
        <v>193</v>
      </c>
      <c r="E858" s="25"/>
      <c r="F858" s="26" t="str">
        <f aca="false">IF(OR(E858="",E858="!!!"),"",IF(NOT(ISNA(VLOOKUP(E858,E$1:E857,1,FALSE()))),"OLD",IF(AND(E858&lt;&gt;"",E858&lt;&gt;"!!!"),"NEW","")))</f>
        <v/>
      </c>
      <c r="G858" s="22" t="str">
        <f aca="false">IF(OR(E858="",E858="!!!"),"",IF(OR(J858=0,AND(J858=1,K858=1),AND(J858=1,I858="SBJ"),AND(J858=1,I858=0)),"?IN_FOCUS",IF(J858&lt;=2,"?ACTIVATED",IF(J858&lt;&gt;"","?FAMILIAR",IF(F858="NEW",IF(ISNA(VLOOKUP(E858,#REF!,1,FALSE())),"?TYPE_IDENTIFIABLE","?REFERENTIAL"),"_")))))</f>
        <v/>
      </c>
      <c r="H858" s="23" t="str">
        <f aca="false">IF(J858&lt;&gt;1,"",IF(I858="SBJ","CB","?"))</f>
        <v/>
      </c>
      <c r="I858" s="27" t="str">
        <f aca="false">IF(OR(E858="",E858="!!!",F858="NEW"),"",INDEX(B4:B$855,-1+SUMPRODUCT(MAX(ROW(E4:E$855)*(E858=E4:E$855)))))</f>
        <v/>
      </c>
      <c r="J858" s="27" t="str">
        <f aca="true">IF(OR(E858="",E858="!!!",F858="NEW"),"",COUNTBLANK(OFFSET(A$1,,,SUMPRODUCT(MAX(ROW(E$2:E858)*(E858=E$2:E858)))))-COUNTBLANK(OFFSET(A$1,,,SUMPRODUCT(MAX(ROW(E$1:E857)*(E2=E$1:E857))))))</f>
        <v/>
      </c>
      <c r="K858" s="27" t="str">
        <f aca="false">IF(OR(E858="",E858="!!!",F858="NEW"),"",INDEX(J$1:J857,SUMPRODUCT(MAX(ROW(E$1:E857)*(E858=E$1:E857)))))</f>
        <v/>
      </c>
      <c r="L858" s="28"/>
    </row>
    <row r="859" customFormat="false" ht="15" hidden="false" customHeight="false" outlineLevel="0" collapsed="false">
      <c r="A859" s="21"/>
    </row>
  </sheetData>
  <autoFilter ref="A1:L85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2025-07-10T18:07:11Z</dcterms:created>
  <dc:creator/>
  <dc:description/>
  <dc:language>en-US</dc:language>
  <cp:lastModifiedBy/>
  <dcterms:modified xsi:type="dcterms:W3CDTF">2026-01-14T16:41:13Z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