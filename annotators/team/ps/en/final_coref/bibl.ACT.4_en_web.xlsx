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entence-level annotation" sheetId="1" state="visible" r:id="rId3"/>
    <sheet name="word-level annotation" sheetId="2" state="visible" r:id="rId4"/>
  </sheets>
  <definedNames>
    <definedName function="false" hidden="true" localSheetId="1" name="_xlnm._FilterDatabase" vbProcedure="false">'word-level annotation'!$A$1:$L$1090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<sst xmlns="http://schemas.openxmlformats.org/spreadsheetml/2006/main" count="2922" uniqueCount="646">
  <si>
    <t xml:space="preserve">ID</t>
  </si>
  <si>
    <t xml:space="preserve">PRED_ID</t>
  </si>
  <si>
    <t xml:space="preserve">MARKER_AUTO</t>
  </si>
  <si>
    <t xml:space="preserve">PREDICATE</t>
  </si>
  <si>
    <t xml:space="preserve">TEXT</t>
  </si>
  <si>
    <t xml:space="preserve">SENTENCE</t>
  </si>
  <si>
    <t xml:space="preserve">MARKER</t>
  </si>
  <si>
    <t xml:space="preserve">TARGET</t>
  </si>
  <si>
    <t xml:space="preserve">RELATION</t>
  </si>
  <si>
    <t xml:space="preserve">COMMENT</t>
  </si>
  <si>
    <t xml:space="preserve">1</t>
  </si>
  <si>
    <t xml:space="preserve">3</t>
  </si>
  <si>
    <t xml:space="preserve">and?</t>
  </si>
  <si>
    <t xml:space="preserve">speak</t>
  </si>
  <si>
    <t xml:space="preserve">As they spoke to the people , the priests and the captain of the temple and the Sadducees came to them ,</t>
  </si>
  <si>
    <t xml:space="preserve">file://conllu/en/bibl.en_web.ACT.4.conllu#s1_0</t>
  </si>
  <si>
    <t xml:space="preserve">-</t>
  </si>
  <si>
    <t xml:space="preserve">_</t>
  </si>
  <si>
    <t xml:space="preserve">2</t>
  </si>
  <si>
    <t xml:space="preserve">because?</t>
  </si>
  <si>
    <t xml:space="preserve">be (be upset)</t>
  </si>
  <si>
    <t xml:space="preserve">being upset because they taught the people and proclaimed in Jesus the resurrection from the dead .</t>
  </si>
  <si>
    <t xml:space="preserve">file://conllu/en/bibl.en_web.ACT.4.conllu#s2_0</t>
  </si>
  <si>
    <t xml:space="preserve">for?</t>
  </si>
  <si>
    <t xml:space="preserve">lay</t>
  </si>
  <si>
    <t xml:space="preserve">They laid hands on them , and put them in custody until the next day , for it was now evening .</t>
  </si>
  <si>
    <t xml:space="preserve">file://conllu/en/bibl.en_web.ACT.4.conllu#s3_0</t>
  </si>
  <si>
    <t xml:space="preserve">4</t>
  </si>
  <si>
    <t xml:space="preserve">but?</t>
  </si>
  <si>
    <t xml:space="preserve">many</t>
  </si>
  <si>
    <t xml:space="preserve">But many of those who heard the word believed , and the number of the men came to be about five thousand .</t>
  </si>
  <si>
    <t xml:space="preserve">file://conllu/en/bibl.en_web.ACT.4.conllu#s4_0</t>
  </si>
  <si>
    <t xml:space="preserve">5</t>
  </si>
  <si>
    <t xml:space="preserve">happen</t>
  </si>
  <si>
    <t xml:space="preserve">It happened in the morning , that their rulers , elders , and scribes were gathered together in Jerusalem .</t>
  </si>
  <si>
    <t xml:space="preserve">file://conllu/en/bibl.en_web.ACT.4.conllu#s5_0</t>
  </si>
  <si>
    <t xml:space="preserve">6</t>
  </si>
  <si>
    <t xml:space="preserve">be (be there)</t>
  </si>
  <si>
    <t xml:space="preserve">Annas the high priest was there , with Caiaphas , John , Alexander , and as many as were relatives of the high priest .</t>
  </si>
  <si>
    <t xml:space="preserve">file://conllu/en/bibl.en_web.ACT.4.conllu#s6_0</t>
  </si>
  <si>
    <t xml:space="preserve">7</t>
  </si>
  <si>
    <t xml:space="preserve">13</t>
  </si>
  <si>
    <t xml:space="preserve">when?</t>
  </si>
  <si>
    <t xml:space="preserve">inquire</t>
  </si>
  <si>
    <t xml:space="preserve">When they had stood them in the middle of them , they inquired , &amp;quot; By what power , or in what name , have you done this ? &amp;quot;</t>
  </si>
  <si>
    <t xml:space="preserve">file://conllu/en/bibl.en_web.ACT.4.conllu#s7_0</t>
  </si>
  <si>
    <t xml:space="preserve">8</t>
  </si>
  <si>
    <t xml:space="preserve">10</t>
  </si>
  <si>
    <t xml:space="preserve">then?</t>
  </si>
  <si>
    <t xml:space="preserve">say</t>
  </si>
  <si>
    <t xml:space="preserve">Then Peter , filled with the Holy Spirit , said to them , &amp;quot; You rulers of the people , and elders of Israel ,</t>
  </si>
  <si>
    <t xml:space="preserve">file://conllu/en/bibl.en_web.ACT.4.conllu#s8_0</t>
  </si>
  <si>
    <t xml:space="preserve">9</t>
  </si>
  <si>
    <t xml:space="preserve">23</t>
  </si>
  <si>
    <t xml:space="preserve">if?</t>
  </si>
  <si>
    <t xml:space="preserve">heale</t>
  </si>
  <si>
    <t xml:space="preserve">if we are examined today concerning a good deed done to a crippled man , by what means this man has been healed ,</t>
  </si>
  <si>
    <t xml:space="preserve">file://conllu/en/bibl.en_web.ACT.4.conllu#s9_0</t>
  </si>
  <si>
    <t xml:space="preserve">39</t>
  </si>
  <si>
    <t xml:space="preserve">before?</t>
  </si>
  <si>
    <t xml:space="preserve">do</t>
  </si>
  <si>
    <t xml:space="preserve">be it known to you all , and to all the people of Israel , that in the name of Jesus Christ of Nazareth , whom you crucified , whom God raised from the dead , in him does this man stand here before you whole .</t>
  </si>
  <si>
    <t xml:space="preserve">file://conllu/en/bibl.en_web.ACT.4.conllu#s10_0</t>
  </si>
  <si>
    <t xml:space="preserve">11</t>
  </si>
  <si>
    <t xml:space="preserve">be (be stone)</t>
  </si>
  <si>
    <t xml:space="preserve">He is ' the stone which was regarded as worthless by you , the builders , which has become the head of the corner . '</t>
  </si>
  <si>
    <t xml:space="preserve">file://conllu/en/bibl.en_web.ACT.4.conllu#s11_0</t>
  </si>
  <si>
    <t xml:space="preserve">12</t>
  </si>
  <si>
    <t xml:space="preserve">be</t>
  </si>
  <si>
    <t xml:space="preserve">There is salvation in none other , for neither is there any other name under heaven , that is given among men , by which we must be saved ! &amp;quot;</t>
  </si>
  <si>
    <t xml:space="preserve">file://conllu/en/bibl.en_web.ACT.4.conllu#s12_0</t>
  </si>
  <si>
    <t xml:space="preserve">24</t>
  </si>
  <si>
    <t xml:space="preserve">marvel</t>
  </si>
  <si>
    <t xml:space="preserve">Now when they saw the boldness of Peter and John , and had perceived that they were unlearned and ignorant men , they marveled .</t>
  </si>
  <si>
    <t xml:space="preserve">file://conllu/en/bibl.en_web.ACT.4.conllu#s13_0</t>
  </si>
  <si>
    <t xml:space="preserve">14</t>
  </si>
  <si>
    <t xml:space="preserve">recognize</t>
  </si>
  <si>
    <t xml:space="preserve">They recognized that they had been with Jesus .</t>
  </si>
  <si>
    <t xml:space="preserve">file://conllu/en/bibl.en_web.ACT.4.conllu#s14_0</t>
  </si>
  <si>
    <t xml:space="preserve">15</t>
  </si>
  <si>
    <t xml:space="preserve">see (see say)</t>
  </si>
  <si>
    <t xml:space="preserve">Seeing the man who was healed standing with them , they could say nothing against it .</t>
  </si>
  <si>
    <t xml:space="preserve">file://conllu/en/bibl.en_web.ACT.4.conllu#s15_0</t>
  </si>
  <si>
    <t xml:space="preserve">16</t>
  </si>
  <si>
    <t xml:space="preserve">confer</t>
  </si>
  <si>
    <t xml:space="preserve">But when they had commanded them to go aside out of the council , they conferred among themselves ,</t>
  </si>
  <si>
    <t xml:space="preserve">file://conllu/en/bibl.en_web.ACT.4.conllu#s16_0</t>
  </si>
  <si>
    <t xml:space="preserve">17</t>
  </si>
  <si>
    <t xml:space="preserve">saying , &amp;quot; What shall we do to these men ?</t>
  </si>
  <si>
    <t xml:space="preserve">file://conllu/en/bibl.en_web.ACT.4.conllu#s17_0</t>
  </si>
  <si>
    <t xml:space="preserve">18</t>
  </si>
  <si>
    <t xml:space="preserve">Because indeed a notable miracle has been done through them , as can be plainly seen by all who dwell in Jerusalem , and we ca n't deny it .</t>
  </si>
  <si>
    <t xml:space="preserve">file://conllu/en/bibl.en_web.ACT.4.conllu#s18_0</t>
  </si>
  <si>
    <t xml:space="preserve">19</t>
  </si>
  <si>
    <t xml:space="preserve">further?</t>
  </si>
  <si>
    <t xml:space="preserve">let</t>
  </si>
  <si>
    <t xml:space="preserve">But so that this spreads no further among the people , let 's threaten them , that from now on they do n't speak to anyone in this name . &amp;quot;</t>
  </si>
  <si>
    <t xml:space="preserve">file://conllu/en/bibl.en_web.ACT.4.conllu#s19_0</t>
  </si>
  <si>
    <t xml:space="preserve">20</t>
  </si>
  <si>
    <t xml:space="preserve">call</t>
  </si>
  <si>
    <t xml:space="preserve">They called them , and commanded them not to speak at all nor teach in the name of Jesus .</t>
  </si>
  <si>
    <t xml:space="preserve">file://conllu/en/bibl.en_web.ACT.4.conllu#s20_0</t>
  </si>
  <si>
    <t xml:space="preserve">21</t>
  </si>
  <si>
    <t xml:space="preserve">answer</t>
  </si>
  <si>
    <t xml:space="preserve">But Peter and John answered them , &amp;quot; Whether it is right in the sight of God to listen to you rather than to God , judge for yourselves ,</t>
  </si>
  <si>
    <t xml:space="preserve">file://conllu/en/bibl.en_web.ACT.4.conllu#s21_0</t>
  </si>
  <si>
    <t xml:space="preserve">22</t>
  </si>
  <si>
    <t xml:space="preserve">tell (tell help)</t>
  </si>
  <si>
    <t xml:space="preserve">for we ca n't help telling the things which we saw and heard . &amp;quot;</t>
  </si>
  <si>
    <t xml:space="preserve">file://conllu/en/bibl.en_web.ACT.4.conllu#s22_0</t>
  </si>
  <si>
    <t xml:space="preserve">When they had further threatened them , they let them go , finding no way to punish them , because of the people ; for everyone glorified God for that which was done .</t>
  </si>
  <si>
    <t xml:space="preserve">file://conllu/en/bibl.en_web.ACT.4.conllu#s23_0</t>
  </si>
  <si>
    <t xml:space="preserve">be (be old)</t>
  </si>
  <si>
    <t xml:space="preserve">For the man on whom this miracle of healing was performed was more than forty years old .</t>
  </si>
  <si>
    <t xml:space="preserve">file://conllu/en/bibl.en_web.ACT.4.conllu#s24_0</t>
  </si>
  <si>
    <t xml:space="preserve">25</t>
  </si>
  <si>
    <t xml:space="preserve">Being let go , they came to their own company , and reported all that the chief priests and the elders had said to them .</t>
  </si>
  <si>
    <t xml:space="preserve">file://conllu/en/bibl.en_web.ACT.4.conllu#s25_0</t>
  </si>
  <si>
    <t xml:space="preserve">26</t>
  </si>
  <si>
    <t xml:space="preserve">When they heard it , they lifted up their voice to God with one accord , and said , &amp;quot; Lord , you are God , who made the heaven , the earth , the sea , and all that is in them ;</t>
  </si>
  <si>
    <t xml:space="preserve">file://conllu/en/bibl.en_web.ACT.4.conllu#s26_0</t>
  </si>
  <si>
    <t xml:space="preserve">27</t>
  </si>
  <si>
    <t xml:space="preserve">who by the mouth of your servant , David , said , ' Why do the nations rage , and the peoples plot a vain thing ?</t>
  </si>
  <si>
    <t xml:space="preserve">file://conllu/en/bibl.en_web.ACT.4.conllu#s27_0</t>
  </si>
  <si>
    <t xml:space="preserve">28</t>
  </si>
  <si>
    <t xml:space="preserve">take</t>
  </si>
  <si>
    <t xml:space="preserve">The kings of the earth take a stand , and the rulers take council together , against the Lord , and against his Christ . '</t>
  </si>
  <si>
    <t xml:space="preserve">file://conllu/en/bibl.en_web.ACT.4.conllu#s28_0</t>
  </si>
  <si>
    <t xml:space="preserve">29</t>
  </si>
  <si>
    <t xml:space="preserve">35</t>
  </si>
  <si>
    <t xml:space="preserve">gather</t>
  </si>
  <si>
    <t xml:space="preserve">&amp;quot; For truly , in this city against your holy servant , Jesus , whom you anointed , both Herod and Pontius Pilate , with the Gentiles and the people of Israel , were gathered together</t>
  </si>
  <si>
    <t xml:space="preserve">file://conllu/en/bibl.en_web.ACT.4.conllu#s29_0</t>
  </si>
  <si>
    <t xml:space="preserve">30</t>
  </si>
  <si>
    <t xml:space="preserve">to do whatever your hand and your council foreordained to happen .</t>
  </si>
  <si>
    <t xml:space="preserve">file://conllu/en/bibl.en_web.ACT.4.conllu#s30_0</t>
  </si>
  <si>
    <t xml:space="preserve">31</t>
  </si>
  <si>
    <t xml:space="preserve">look</t>
  </si>
  <si>
    <t xml:space="preserve">Now , Lord , look at their threats , and grant to your servants to speak your word with all boldness ,</t>
  </si>
  <si>
    <t xml:space="preserve">file://conllu/en/bibl.en_web.ACT.4.conllu#s31_0</t>
  </si>
  <si>
    <t xml:space="preserve">32</t>
  </si>
  <si>
    <t xml:space="preserve">while?</t>
  </si>
  <si>
    <t xml:space="preserve">stretch</t>
  </si>
  <si>
    <t xml:space="preserve">while you stretch out your hand to heal ; and that signs and wonders may be done through the name of your holy Servant Jesus . &amp;quot;</t>
  </si>
  <si>
    <t xml:space="preserve">file://conllu/en/bibl.en_web.ACT.4.conllu#s32_0</t>
  </si>
  <si>
    <t xml:space="preserve">33</t>
  </si>
  <si>
    <t xml:space="preserve">shake</t>
  </si>
  <si>
    <t xml:space="preserve">When they had prayed , the place was shaken where they were gathered together .</t>
  </si>
  <si>
    <t xml:space="preserve">file://conllu/en/bibl.en_web.ACT.4.conllu#s33_0</t>
  </si>
  <si>
    <t xml:space="preserve">34</t>
  </si>
  <si>
    <t xml:space="preserve">fill</t>
  </si>
  <si>
    <t xml:space="preserve">They were all filled with the Holy Spirit , and they spoke the word of God with boldness .</t>
  </si>
  <si>
    <t xml:space="preserve">file://conllu/en/bibl.en_web.ACT.4.conllu#s34_0</t>
  </si>
  <si>
    <t xml:space="preserve">multitude</t>
  </si>
  <si>
    <t xml:space="preserve">The multitude of those who believed were of one heart and soul .</t>
  </si>
  <si>
    <t xml:space="preserve">file://conllu/en/bibl.en_web.ACT.4.conllu#s35_0</t>
  </si>
  <si>
    <t xml:space="preserve">36</t>
  </si>
  <si>
    <t xml:space="preserve">claim</t>
  </si>
  <si>
    <t xml:space="preserve">Not one of them claimed that anything of the things which he possessed was his own , but they had all things in common .</t>
  </si>
  <si>
    <t xml:space="preserve">file://conllu/en/bibl.en_web.ACT.4.conllu#s36_0</t>
  </si>
  <si>
    <t xml:space="preserve">37</t>
  </si>
  <si>
    <t xml:space="preserve">give</t>
  </si>
  <si>
    <t xml:space="preserve">With great power , the apostles gave their testimony of the resurrection of the Lord Jesus .</t>
  </si>
  <si>
    <t xml:space="preserve">file://conllu/en/bibl.en_web.ACT.4.conllu#s37_0</t>
  </si>
  <si>
    <t xml:space="preserve">38</t>
  </si>
  <si>
    <t xml:space="preserve">be (be they)</t>
  </si>
  <si>
    <t xml:space="preserve">Great grace was on them all .</t>
  </si>
  <si>
    <t xml:space="preserve">file://conllu/en/bibl.en_web.ACT.4.conllu#s38_0</t>
  </si>
  <si>
    <t xml:space="preserve">For neither was there among them any who lacked , for as many as were owners of lands or houses sold them , and brought the proceeds of the things that were sold ,</t>
  </si>
  <si>
    <t xml:space="preserve">file://conllu/en/bibl.en_web.ACT.4.conllu#s39_0</t>
  </si>
  <si>
    <t xml:space="preserve">40</t>
  </si>
  <si>
    <t xml:space="preserve">make</t>
  </si>
  <si>
    <t xml:space="preserve">and laid them at the apostles ' feet , and distribution was made to each , according as anyone had need .</t>
  </si>
  <si>
    <t xml:space="preserve">file://conllu/en/bibl.en_web.ACT.4.conllu#s40_0</t>
  </si>
  <si>
    <t xml:space="preserve">41</t>
  </si>
  <si>
    <t xml:space="preserve">Jose</t>
  </si>
  <si>
    <t xml:space="preserve">Joses , who by the apostles was surnamed Barnabas ( which is , being interpreted , Son of Encouragement ) , a Levite , a man of Cyprus by race ,</t>
  </si>
  <si>
    <t xml:space="preserve">file://conllu/en/bibl.en_web.ACT.4.conllu#s41_0</t>
  </si>
  <si>
    <t xml:space="preserve">42</t>
  </si>
  <si>
    <t xml:space="preserve">have</t>
  </si>
  <si>
    <t xml:space="preserve">having a field , sold it , and brought the money and laid it at the apostles ' feet .</t>
  </si>
  <si>
    <t xml:space="preserve">file://conllu/en/bibl.en_web.ACT.4.conllu#s42_0</t>
  </si>
  <si>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</si>
  <si>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</si>
  <si>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</si>
  <si>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</si>
  <si>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</si>
  <si>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</si>
  <si>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</si>
  <si>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</si>
  <si>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</si>
  <si>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</si>
  <si>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</si>
  <si>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 text = As they spoke to the people, the priests and the captain of the temple and the Sadducees came to them,</t>
  </si>
  <si>
    <t xml:space="preserve">As</t>
  </si>
  <si>
    <t xml:space="preserve">they</t>
  </si>
  <si>
    <t xml:space="preserve">SBJ</t>
  </si>
  <si>
    <t xml:space="preserve">pron.pper</t>
  </si>
  <si>
    <t xml:space="preserve">?OLD</t>
  </si>
  <si>
    <t xml:space="preserve">Peter_and_John</t>
  </si>
  <si>
    <t xml:space="preserve">NEW</t>
  </si>
  <si>
    <t xml:space="preserve">FAMILIAR</t>
  </si>
  <si>
    <t xml:space="preserve">spoke</t>
  </si>
  <si>
    <t xml:space="preserve">to</t>
  </si>
  <si>
    <t xml:space="preserve">the</t>
  </si>
  <si>
    <t xml:space="preserve">people</t>
  </si>
  <si>
    <t xml:space="preserve">other</t>
  </si>
  <si>
    <t xml:space="preserve">def-np.the</t>
  </si>
  <si>
    <t xml:space="preserve">Men_of_Israel</t>
  </si>
  <si>
    <t xml:space="preserve">,</t>
  </si>
  <si>
    <t xml:space="preserve">priests</t>
  </si>
  <si>
    <t xml:space="preserve">Priests</t>
  </si>
  <si>
    <t xml:space="preserve">REFERENTIAL</t>
  </si>
  <si>
    <t xml:space="preserve">and</t>
  </si>
  <si>
    <t xml:space="preserve">captain</t>
  </si>
  <si>
    <t xml:space="preserve">other_2</t>
  </si>
  <si>
    <t xml:space="preserve">Captain</t>
  </si>
  <si>
    <t xml:space="preserve">of</t>
  </si>
  <si>
    <t xml:space="preserve">temple</t>
  </si>
  <si>
    <t xml:space="preserve">other_3</t>
  </si>
  <si>
    <t xml:space="preserve">Temple</t>
  </si>
  <si>
    <t xml:space="preserve">Sadducees</t>
  </si>
  <si>
    <t xml:space="preserve">SBJ_2</t>
  </si>
  <si>
    <t xml:space="preserve">ne</t>
  </si>
  <si>
    <t xml:space="preserve">came</t>
  </si>
  <si>
    <t xml:space="preserve">them</t>
  </si>
  <si>
    <t xml:space="preserve">OLD</t>
  </si>
  <si>
    <t xml:space="preserve">IN_FOCUS</t>
  </si>
  <si>
    <t xml:space="preserve"># text = being upset because they taught the people and proclaimed in Jesus the resurrection from the dead.</t>
  </si>
  <si>
    <t xml:space="preserve">being</t>
  </si>
  <si>
    <t xml:space="preserve">upset</t>
  </si>
  <si>
    <t xml:space="preserve">because</t>
  </si>
  <si>
    <t xml:space="preserve">Priests_Captain_of_Temple_Sadducees</t>
  </si>
  <si>
    <t xml:space="preserve">taught</t>
  </si>
  <si>
    <t xml:space="preserve">OBJ_2</t>
  </si>
  <si>
    <t xml:space="preserve">proclaimed</t>
  </si>
  <si>
    <t xml:space="preserve">in</t>
  </si>
  <si>
    <t xml:space="preserve">Jesus</t>
  </si>
  <si>
    <t xml:space="preserve">ACTIVATED/CB with preceding text</t>
  </si>
  <si>
    <t xml:space="preserve">resurrection</t>
  </si>
  <si>
    <t xml:space="preserve">OBJ_3</t>
  </si>
  <si>
    <t xml:space="preserve">Resurrection</t>
  </si>
  <si>
    <t xml:space="preserve">from</t>
  </si>
  <si>
    <t xml:space="preserve">dead</t>
  </si>
  <si>
    <t xml:space="preserve">.</t>
  </si>
  <si>
    <t xml:space="preserve"># text = They laid hands on them, and put them in custody until the next day, for it was now evening.</t>
  </si>
  <si>
    <t xml:space="preserve">They</t>
  </si>
  <si>
    <t xml:space="preserve">ACTIVATED</t>
  </si>
  <si>
    <t xml:space="preserve">laid</t>
  </si>
  <si>
    <t xml:space="preserve">hands</t>
  </si>
  <si>
    <t xml:space="preserve">OBJ</t>
  </si>
  <si>
    <t xml:space="preserve">indef-np.bare</t>
  </si>
  <si>
    <t xml:space="preserve">on</t>
  </si>
  <si>
    <t xml:space="preserve">put</t>
  </si>
  <si>
    <t xml:space="preserve">custody</t>
  </si>
  <si>
    <t xml:space="preserve">until</t>
  </si>
  <si>
    <t xml:space="preserve">next</t>
  </si>
  <si>
    <t xml:space="preserve">day</t>
  </si>
  <si>
    <t xml:space="preserve">Next_day</t>
  </si>
  <si>
    <t xml:space="preserve">for</t>
  </si>
  <si>
    <t xml:space="preserve">it</t>
  </si>
  <si>
    <t xml:space="preserve">EXPL</t>
  </si>
  <si>
    <t xml:space="preserve">was</t>
  </si>
  <si>
    <t xml:space="preserve">now</t>
  </si>
  <si>
    <t xml:space="preserve">evening</t>
  </si>
  <si>
    <t xml:space="preserve"># text = But many of those who heard the word believed, and the number of the men came to be about five thousand.</t>
  </si>
  <si>
    <t xml:space="preserve">But</t>
  </si>
  <si>
    <t xml:space="preserve">those</t>
  </si>
  <si>
    <t xml:space="preserve">pron.pds</t>
  </si>
  <si>
    <t xml:space="preserve">who</t>
  </si>
  <si>
    <t xml:space="preserve">SBJ_3</t>
  </si>
  <si>
    <t xml:space="preserve">heard</t>
  </si>
  <si>
    <t xml:space="preserve">word</t>
  </si>
  <si>
    <t xml:space="preserve">SBJ_4</t>
  </si>
  <si>
    <t xml:space="preserve">Peter_and_John_word</t>
  </si>
  <si>
    <t xml:space="preserve">believed</t>
  </si>
  <si>
    <t xml:space="preserve">number</t>
  </si>
  <si>
    <t xml:space="preserve">men</t>
  </si>
  <si>
    <t xml:space="preserve">about</t>
  </si>
  <si>
    <t xml:space="preserve">five</t>
  </si>
  <si>
    <t xml:space="preserve">thousand</t>
  </si>
  <si>
    <t xml:space="preserve"># text = It happened in the morning, that their rulers, elders, and scribes were gathered together in Jerusalem.</t>
  </si>
  <si>
    <t xml:space="preserve">It</t>
  </si>
  <si>
    <t xml:space="preserve">happened</t>
  </si>
  <si>
    <t xml:space="preserve">morning</t>
  </si>
  <si>
    <t xml:space="preserve">that</t>
  </si>
  <si>
    <t xml:space="preserve">their</t>
  </si>
  <si>
    <t xml:space="preserve">pron.ppos</t>
  </si>
  <si>
    <t xml:space="preserve">rulers</t>
  </si>
  <si>
    <t xml:space="preserve">def-np.poss</t>
  </si>
  <si>
    <t xml:space="preserve">Men_of_Israel_rulers</t>
  </si>
  <si>
    <t xml:space="preserve">elders</t>
  </si>
  <si>
    <t xml:space="preserve">scribes</t>
  </si>
  <si>
    <t xml:space="preserve">were</t>
  </si>
  <si>
    <t xml:space="preserve">gathered</t>
  </si>
  <si>
    <t xml:space="preserve">together</t>
  </si>
  <si>
    <t xml:space="preserve">Jerusalem</t>
  </si>
  <si>
    <t xml:space="preserve"># text = Annas the high priest was there, with Caiaphas, John, Alexander, and as many as were relatives of the high priest.</t>
  </si>
  <si>
    <t xml:space="preserve">Annas</t>
  </si>
  <si>
    <t xml:space="preserve">high</t>
  </si>
  <si>
    <t xml:space="preserve">priest</t>
  </si>
  <si>
    <t xml:space="preserve">High_priest</t>
  </si>
  <si>
    <t xml:space="preserve">there</t>
  </si>
  <si>
    <t xml:space="preserve">pron.padv</t>
  </si>
  <si>
    <t xml:space="preserve">with</t>
  </si>
  <si>
    <t xml:space="preserve">Caiaphas</t>
  </si>
  <si>
    <t xml:space="preserve">John</t>
  </si>
  <si>
    <t xml:space="preserve">Alexander</t>
  </si>
  <si>
    <t xml:space="preserve">as</t>
  </si>
  <si>
    <t xml:space="preserve">relatives</t>
  </si>
  <si>
    <t xml:space="preserve">other_4</t>
  </si>
  <si>
    <t xml:space="preserve">--</t>
  </si>
  <si>
    <t xml:space="preserve"># text = When they had stood them in the middle of them, they inquired, "By what power, or in what name, have you done this?"</t>
  </si>
  <si>
    <t xml:space="preserve">When</t>
  </si>
  <si>
    <t xml:space="preserve">Annas_Caiaphas_John_Alexander</t>
  </si>
  <si>
    <t xml:space="preserve">had</t>
  </si>
  <si>
    <t xml:space="preserve">stood</t>
  </si>
  <si>
    <t xml:space="preserve">middle</t>
  </si>
  <si>
    <t xml:space="preserve">Middle</t>
  </si>
  <si>
    <t xml:space="preserve">inquired</t>
  </si>
  <si>
    <t xml:space="preserve">&amp;quot;</t>
  </si>
  <si>
    <t xml:space="preserve">By</t>
  </si>
  <si>
    <t xml:space="preserve">what</t>
  </si>
  <si>
    <t xml:space="preserve">pron.pint</t>
  </si>
  <si>
    <t xml:space="preserve">power</t>
  </si>
  <si>
    <t xml:space="preserve">indef-np</t>
  </si>
  <si>
    <t xml:space="preserve">or</t>
  </si>
  <si>
    <t xml:space="preserve">name</t>
  </si>
  <si>
    <t xml:space="preserve">you</t>
  </si>
  <si>
    <t xml:space="preserve">done</t>
  </si>
  <si>
    <t xml:space="preserve">this</t>
  </si>
  <si>
    <t xml:space="preserve">?</t>
  </si>
  <si>
    <t xml:space="preserve"># text = Then Peter, filled with the Holy Spirit, said to them, "You rulers of the people, and elders of Israel,</t>
  </si>
  <si>
    <t xml:space="preserve">Then</t>
  </si>
  <si>
    <t xml:space="preserve">Peter</t>
  </si>
  <si>
    <t xml:space="preserve">filled</t>
  </si>
  <si>
    <t xml:space="preserve">Holy</t>
  </si>
  <si>
    <t xml:space="preserve">Spirit</t>
  </si>
  <si>
    <t xml:space="preserve">Holy_Spirit</t>
  </si>
  <si>
    <t xml:space="preserve">said</t>
  </si>
  <si>
    <t xml:space="preserve">You</t>
  </si>
  <si>
    <t xml:space="preserve">Israel</t>
  </si>
  <si>
    <t xml:space="preserve"># text = if we are examined today concerning a good deed done to a crippled man, by what means this man has been healed,</t>
  </si>
  <si>
    <t xml:space="preserve">if</t>
  </si>
  <si>
    <t xml:space="preserve">we</t>
  </si>
  <si>
    <t xml:space="preserve">are</t>
  </si>
  <si>
    <t xml:space="preserve">examined</t>
  </si>
  <si>
    <t xml:space="preserve">today</t>
  </si>
  <si>
    <t xml:space="preserve">concerning</t>
  </si>
  <si>
    <t xml:space="preserve">a</t>
  </si>
  <si>
    <t xml:space="preserve">good</t>
  </si>
  <si>
    <t xml:space="preserve">deed</t>
  </si>
  <si>
    <t xml:space="preserve">indef-np.a</t>
  </si>
  <si>
    <t xml:space="preserve">crippled</t>
  </si>
  <si>
    <t xml:space="preserve">man</t>
  </si>
  <si>
    <t xml:space="preserve">by</t>
  </si>
  <si>
    <t xml:space="preserve">means</t>
  </si>
  <si>
    <t xml:space="preserve">def-np.dem</t>
  </si>
  <si>
    <t xml:space="preserve">Certain_man</t>
  </si>
  <si>
    <t xml:space="preserve">has</t>
  </si>
  <si>
    <t xml:space="preserve">been</t>
  </si>
  <si>
    <t xml:space="preserve">healed</t>
  </si>
  <si>
    <t xml:space="preserve"># text = be it known to you all, and to all the people of Israel, that in the name of Jesus Christ of Nazareth, whom you crucified, whom God raised from the dead, in him does this man stand here before you whole.</t>
  </si>
  <si>
    <t xml:space="preserve">known</t>
  </si>
  <si>
    <t xml:space="preserve">all</t>
  </si>
  <si>
    <t xml:space="preserve">other_5</t>
  </si>
  <si>
    <t xml:space="preserve">Non - referring expression</t>
  </si>
  <si>
    <t xml:space="preserve">Christ</t>
  </si>
  <si>
    <t xml:space="preserve">Nazareth</t>
  </si>
  <si>
    <t xml:space="preserve">whom</t>
  </si>
  <si>
    <t xml:space="preserve">crucified</t>
  </si>
  <si>
    <t xml:space="preserve">OBJ_4</t>
  </si>
  <si>
    <t xml:space="preserve">God</t>
  </si>
  <si>
    <t xml:space="preserve">raised</t>
  </si>
  <si>
    <t xml:space="preserve">him</t>
  </si>
  <si>
    <t xml:space="preserve">does</t>
  </si>
  <si>
    <t xml:space="preserve">stand</t>
  </si>
  <si>
    <t xml:space="preserve">Stand</t>
  </si>
  <si>
    <t xml:space="preserve">here</t>
  </si>
  <si>
    <t xml:space="preserve">before</t>
  </si>
  <si>
    <t xml:space="preserve">whole</t>
  </si>
  <si>
    <t xml:space="preserve"># text = He is 'the stone which was regarded as worthless by you, the builders, which has become the head of the corner.'</t>
  </si>
  <si>
    <t xml:space="preserve">He</t>
  </si>
  <si>
    <t xml:space="preserve">is</t>
  </si>
  <si>
    <t xml:space="preserve">'</t>
  </si>
  <si>
    <t xml:space="preserve">stone</t>
  </si>
  <si>
    <t xml:space="preserve">which</t>
  </si>
  <si>
    <t xml:space="preserve">regarded</t>
  </si>
  <si>
    <t xml:space="preserve">worthless</t>
  </si>
  <si>
    <t xml:space="preserve">builders</t>
  </si>
  <si>
    <t xml:space="preserve">become</t>
  </si>
  <si>
    <t xml:space="preserve">head</t>
  </si>
  <si>
    <t xml:space="preserve">IDIOM</t>
  </si>
  <si>
    <t xml:space="preserve">corner</t>
  </si>
  <si>
    <t xml:space="preserve"># text = There is salvation in none other, for neither is there any other name under heaven, that is given among men, by which we must be saved!"</t>
  </si>
  <si>
    <t xml:space="preserve">There</t>
  </si>
  <si>
    <t xml:space="preserve">salvation</t>
  </si>
  <si>
    <t xml:space="preserve">none</t>
  </si>
  <si>
    <t xml:space="preserve">neither</t>
  </si>
  <si>
    <t xml:space="preserve">any</t>
  </si>
  <si>
    <t xml:space="preserve">under</t>
  </si>
  <si>
    <t xml:space="preserve">heaven</t>
  </si>
  <si>
    <t xml:space="preserve">Salvation</t>
  </si>
  <si>
    <t xml:space="preserve">given</t>
  </si>
  <si>
    <t xml:space="preserve">among</t>
  </si>
  <si>
    <t xml:space="preserve">We</t>
  </si>
  <si>
    <t xml:space="preserve">must</t>
  </si>
  <si>
    <t xml:space="preserve">saved</t>
  </si>
  <si>
    <t xml:space="preserve">!</t>
  </si>
  <si>
    <t xml:space="preserve"># text = Now when they saw the boldness of Peter and John, and had perceived that they were unlearned and ignorant men, they marveled.</t>
  </si>
  <si>
    <t xml:space="preserve">Now</t>
  </si>
  <si>
    <t xml:space="preserve">when</t>
  </si>
  <si>
    <t xml:space="preserve">saw</t>
  </si>
  <si>
    <t xml:space="preserve">boldness</t>
  </si>
  <si>
    <t xml:space="preserve">Boldness</t>
  </si>
  <si>
    <t xml:space="preserve">perceived</t>
  </si>
  <si>
    <t xml:space="preserve">unlearned</t>
  </si>
  <si>
    <t xml:space="preserve">ignorant</t>
  </si>
  <si>
    <t xml:space="preserve">marveled</t>
  </si>
  <si>
    <t xml:space="preserve"># text = They recognized that they had been with Jesus.</t>
  </si>
  <si>
    <t xml:space="preserve">recognized</t>
  </si>
  <si>
    <t xml:space="preserve"># text = Seeing the man who was healed standing with them, they could say nothing against it.</t>
  </si>
  <si>
    <t xml:space="preserve">Seeing</t>
  </si>
  <si>
    <t xml:space="preserve">standing</t>
  </si>
  <si>
    <t xml:space="preserve">could</t>
  </si>
  <si>
    <t xml:space="preserve">nothing</t>
  </si>
  <si>
    <t xml:space="preserve">pron</t>
  </si>
  <si>
    <t xml:space="preserve">GEN</t>
  </si>
  <si>
    <t xml:space="preserve">against</t>
  </si>
  <si>
    <t xml:space="preserve"># text = But when they had commanded them to go aside out of the council, they conferred among themselves,</t>
  </si>
  <si>
    <t xml:space="preserve">commanded</t>
  </si>
  <si>
    <t xml:space="preserve">go</t>
  </si>
  <si>
    <t xml:space="preserve">aside</t>
  </si>
  <si>
    <t xml:space="preserve">out</t>
  </si>
  <si>
    <t xml:space="preserve">council</t>
  </si>
  <si>
    <t xml:space="preserve">Council</t>
  </si>
  <si>
    <t xml:space="preserve">conferred</t>
  </si>
  <si>
    <t xml:space="preserve">themselves</t>
  </si>
  <si>
    <t xml:space="preserve"># text = saying, "What shall we do to these men?</t>
  </si>
  <si>
    <t xml:space="preserve">saying</t>
  </si>
  <si>
    <t xml:space="preserve">What</t>
  </si>
  <si>
    <t xml:space="preserve">shall</t>
  </si>
  <si>
    <t xml:space="preserve">these</t>
  </si>
  <si>
    <t xml:space="preserve"># text = Because indeed a notable miracle has been done through them, as can be plainly seen by all who dwell in Jerusalem, and we can't deny it.</t>
  </si>
  <si>
    <t xml:space="preserve">Because</t>
  </si>
  <si>
    <t xml:space="preserve">indeed</t>
  </si>
  <si>
    <t xml:space="preserve">notable</t>
  </si>
  <si>
    <t xml:space="preserve">miracle</t>
  </si>
  <si>
    <t xml:space="preserve">through</t>
  </si>
  <si>
    <t xml:space="preserve">can</t>
  </si>
  <si>
    <t xml:space="preserve">plainly</t>
  </si>
  <si>
    <t xml:space="preserve">seen</t>
  </si>
  <si>
    <t xml:space="preserve">dwell</t>
  </si>
  <si>
    <t xml:space="preserve">ca</t>
  </si>
  <si>
    <t xml:space="preserve">n't</t>
  </si>
  <si>
    <t xml:space="preserve">deny</t>
  </si>
  <si>
    <t xml:space="preserve">Notable_miracle</t>
  </si>
  <si>
    <t xml:space="preserve"># text = But so that this spreads no further among the people, let's threaten them, that from now on they don't speak to anyone in this name.\"</t>
  </si>
  <si>
    <t xml:space="preserve">so</t>
  </si>
  <si>
    <t xml:space="preserve">spreads</t>
  </si>
  <si>
    <t xml:space="preserve">no</t>
  </si>
  <si>
    <t xml:space="preserve">further</t>
  </si>
  <si>
    <t xml:space="preserve">People</t>
  </si>
  <si>
    <t xml:space="preserve">'s</t>
  </si>
  <si>
    <t xml:space="preserve">threaten</t>
  </si>
  <si>
    <t xml:space="preserve">anyone</t>
  </si>
  <si>
    <t xml:space="preserve">pron.pind</t>
  </si>
  <si>
    <t xml:space="preserve"># text = They called them, and commanded them not to speak at all nor teach in the name of Jesus.</t>
  </si>
  <si>
    <t xml:space="preserve">called</t>
  </si>
  <si>
    <t xml:space="preserve">not</t>
  </si>
  <si>
    <t xml:space="preserve">at</t>
  </si>
  <si>
    <t xml:space="preserve">nor</t>
  </si>
  <si>
    <t xml:space="preserve">teach</t>
  </si>
  <si>
    <t xml:space="preserve"># text = But Peter and John answered them, "Whether it is right in the sight of God to listen to you rather than to God, judge for yourselves,</t>
  </si>
  <si>
    <t xml:space="preserve">answered</t>
  </si>
  <si>
    <t xml:space="preserve">Whether</t>
  </si>
  <si>
    <t xml:space="preserve">right</t>
  </si>
  <si>
    <t xml:space="preserve">sight</t>
  </si>
  <si>
    <t xml:space="preserve">Sight</t>
  </si>
  <si>
    <t xml:space="preserve">listen</t>
  </si>
  <si>
    <t xml:space="preserve">rather</t>
  </si>
  <si>
    <t xml:space="preserve">than</t>
  </si>
  <si>
    <t xml:space="preserve">judge</t>
  </si>
  <si>
    <t xml:space="preserve">yourselves</t>
  </si>
  <si>
    <t xml:space="preserve"># text = for we can't help telling the things which we saw and heard."</t>
  </si>
  <si>
    <t xml:space="preserve">help</t>
  </si>
  <si>
    <t xml:space="preserve">telling</t>
  </si>
  <si>
    <t xml:space="preserve">things</t>
  </si>
  <si>
    <t xml:space="preserve"># text = When they had further threatened them, they let them go, finding no way to punish them, because of the people; for everyone glorified God for that which was done.</t>
  </si>
  <si>
    <t xml:space="preserve">threatened</t>
  </si>
  <si>
    <t xml:space="preserve">finding</t>
  </si>
  <si>
    <t xml:space="preserve">way</t>
  </si>
  <si>
    <t xml:space="preserve">indef-np.quant</t>
  </si>
  <si>
    <t xml:space="preserve">punish</t>
  </si>
  <si>
    <t xml:space="preserve">OBJ_5</t>
  </si>
  <si>
    <t xml:space="preserve">;</t>
  </si>
  <si>
    <t xml:space="preserve">everyone</t>
  </si>
  <si>
    <t xml:space="preserve">glorified</t>
  </si>
  <si>
    <t xml:space="preserve">SBJ_5</t>
  </si>
  <si>
    <t xml:space="preserve"># text = For the man on whom this miracle of healing was performed was more than forty years old.</t>
  </si>
  <si>
    <t xml:space="preserve">For</t>
  </si>
  <si>
    <t xml:space="preserve">healing</t>
  </si>
  <si>
    <t xml:space="preserve">performed</t>
  </si>
  <si>
    <t xml:space="preserve">more</t>
  </si>
  <si>
    <t xml:space="preserve">forty</t>
  </si>
  <si>
    <t xml:space="preserve">years</t>
  </si>
  <si>
    <t xml:space="preserve">old</t>
  </si>
  <si>
    <t xml:space="preserve"># text = Being let go, they came to their own company, and reported all that the chief priests and the elders had said to them.</t>
  </si>
  <si>
    <t xml:space="preserve">Being</t>
  </si>
  <si>
    <t xml:space="preserve">own</t>
  </si>
  <si>
    <t xml:space="preserve">company</t>
  </si>
  <si>
    <t xml:space="preserve">Apostles</t>
  </si>
  <si>
    <t xml:space="preserve">reported</t>
  </si>
  <si>
    <t xml:space="preserve">chief</t>
  </si>
  <si>
    <t xml:space="preserve"># text = When they heard it, they lifted up their voice to God with one accord, and said, "O Lord, you are God, who made the heaven, the earth, the sea, and all that is in them;</t>
  </si>
  <si>
    <t xml:space="preserve">Annas_Caiaphas_John_Alexander_words</t>
  </si>
  <si>
    <t xml:space="preserve">lifted</t>
  </si>
  <si>
    <t xml:space="preserve">up</t>
  </si>
  <si>
    <t xml:space="preserve">voice</t>
  </si>
  <si>
    <t xml:space="preserve">Apostles_voice</t>
  </si>
  <si>
    <t xml:space="preserve">one</t>
  </si>
  <si>
    <t xml:space="preserve">accord</t>
  </si>
  <si>
    <t xml:space="preserve">Lord</t>
  </si>
  <si>
    <t xml:space="preserve">made</t>
  </si>
  <si>
    <t xml:space="preserve">Heaven</t>
  </si>
  <si>
    <t xml:space="preserve">earth</t>
  </si>
  <si>
    <t xml:space="preserve">Earth</t>
  </si>
  <si>
    <t xml:space="preserve">sea</t>
  </si>
  <si>
    <t xml:space="preserve">Sea</t>
  </si>
  <si>
    <t xml:space="preserve"># text = who by the mouth of your servant, David, said, 'Why do the nations rage, and the peoples plot a vain thing?</t>
  </si>
  <si>
    <t xml:space="preserve">mouth</t>
  </si>
  <si>
    <t xml:space="preserve">David_mouth</t>
  </si>
  <si>
    <t xml:space="preserve">your</t>
  </si>
  <si>
    <t xml:space="preserve">servant</t>
  </si>
  <si>
    <t xml:space="preserve">David</t>
  </si>
  <si>
    <t xml:space="preserve">Why</t>
  </si>
  <si>
    <t xml:space="preserve">nations</t>
  </si>
  <si>
    <t xml:space="preserve">rage</t>
  </si>
  <si>
    <t xml:space="preserve">Rage</t>
  </si>
  <si>
    <t xml:space="preserve">peoples</t>
  </si>
  <si>
    <t xml:space="preserve">plot</t>
  </si>
  <si>
    <t xml:space="preserve">vain</t>
  </si>
  <si>
    <t xml:space="preserve">thing</t>
  </si>
  <si>
    <t xml:space="preserve"># text = The kings of the earth take a stand, and the rulers take council together, against the Lord, and against his Christ.'</t>
  </si>
  <si>
    <t xml:space="preserve">The</t>
  </si>
  <si>
    <t xml:space="preserve">kings</t>
  </si>
  <si>
    <t xml:space="preserve">Kings</t>
  </si>
  <si>
    <t xml:space="preserve">Rulers</t>
  </si>
  <si>
    <t xml:space="preserve">his</t>
  </si>
  <si>
    <t xml:space="preserve"># text = \"For truly, in this city against your holy servant, Jesus, whom you anointed, both Herod and Pontius Pilate, with the Gentiles and the people of Israel, were gathered together</t>
  </si>
  <si>
    <t xml:space="preserve">truly</t>
  </si>
  <si>
    <t xml:space="preserve">city</t>
  </si>
  <si>
    <t xml:space="preserve">holy</t>
  </si>
  <si>
    <t xml:space="preserve">anointed</t>
  </si>
  <si>
    <t xml:space="preserve">both</t>
  </si>
  <si>
    <t xml:space="preserve">Herod</t>
  </si>
  <si>
    <t xml:space="preserve">Pontius</t>
  </si>
  <si>
    <t xml:space="preserve">Pilate</t>
  </si>
  <si>
    <t xml:space="preserve">Gentiles</t>
  </si>
  <si>
    <t xml:space="preserve">People_of_Israel</t>
  </si>
  <si>
    <t xml:space="preserve">other_6</t>
  </si>
  <si>
    <t xml:space="preserve"># text = to do whatever your hand and your council foreordained to happen.</t>
  </si>
  <si>
    <t xml:space="preserve">whatever</t>
  </si>
  <si>
    <t xml:space="preserve">hand</t>
  </si>
  <si>
    <t xml:space="preserve">God_hand</t>
  </si>
  <si>
    <t xml:space="preserve">God_council</t>
  </si>
  <si>
    <t xml:space="preserve">foreordained</t>
  </si>
  <si>
    <t xml:space="preserve"># text = Now, Lord, look at their threats, and grant to your servants to speak your word with all boldness,</t>
  </si>
  <si>
    <t xml:space="preserve">threats</t>
  </si>
  <si>
    <t xml:space="preserve">People_of_Israel_threats</t>
  </si>
  <si>
    <t xml:space="preserve">grant</t>
  </si>
  <si>
    <t xml:space="preserve">servants</t>
  </si>
  <si>
    <t xml:space="preserve">God_word</t>
  </si>
  <si>
    <t xml:space="preserve"># text = while you stretch out your hand to heal; and that signs and wonders may be done through the name of your holy Servant Jesus."</t>
  </si>
  <si>
    <t xml:space="preserve">while</t>
  </si>
  <si>
    <t xml:space="preserve">heal</t>
  </si>
  <si>
    <t xml:space="preserve">signs</t>
  </si>
  <si>
    <t xml:space="preserve">wonders</t>
  </si>
  <si>
    <t xml:space="preserve">may</t>
  </si>
  <si>
    <t xml:space="preserve">Servant</t>
  </si>
  <si>
    <t xml:space="preserve"># text = When they had prayed, the place was shaken where they were gathered together.</t>
  </si>
  <si>
    <t xml:space="preserve">prayed</t>
  </si>
  <si>
    <t xml:space="preserve">place</t>
  </si>
  <si>
    <t xml:space="preserve">Place</t>
  </si>
  <si>
    <t xml:space="preserve">shaken</t>
  </si>
  <si>
    <t xml:space="preserve">where</t>
  </si>
  <si>
    <t xml:space="preserve"># text = They were all filled with the Holy Spirit, and they spoke the word of God with boldness.</t>
  </si>
  <si>
    <t xml:space="preserve"># text = The multitude of those who believed were of one heart and soul.</t>
  </si>
  <si>
    <t xml:space="preserve">Devout_men</t>
  </si>
  <si>
    <t xml:space="preserve">heart</t>
  </si>
  <si>
    <t xml:space="preserve">soul</t>
  </si>
  <si>
    <t xml:space="preserve"># text = Not one of them claimed that anything of the things which he possessed was his own, but they had all things in common.</t>
  </si>
  <si>
    <t xml:space="preserve">Not</t>
  </si>
  <si>
    <t xml:space="preserve">claimed</t>
  </si>
  <si>
    <t xml:space="preserve">anything</t>
  </si>
  <si>
    <t xml:space="preserve">Apostles_things</t>
  </si>
  <si>
    <t xml:space="preserve">he</t>
  </si>
  <si>
    <t xml:space="preserve">possessed</t>
  </si>
  <si>
    <t xml:space="preserve">but</t>
  </si>
  <si>
    <t xml:space="preserve">common</t>
  </si>
  <si>
    <t xml:space="preserve"># text = With great power, the apostles gave their testimony of the resurrection of the Lord Jesus.</t>
  </si>
  <si>
    <t xml:space="preserve">With</t>
  </si>
  <si>
    <t xml:space="preserve">great</t>
  </si>
  <si>
    <t xml:space="preserve">apostles</t>
  </si>
  <si>
    <t xml:space="preserve">gave</t>
  </si>
  <si>
    <t xml:space="preserve">testimony</t>
  </si>
  <si>
    <t xml:space="preserve">Apostles_testimony</t>
  </si>
  <si>
    <t xml:space="preserve"># text = Great grace was on them all.</t>
  </si>
  <si>
    <t xml:space="preserve">Great</t>
  </si>
  <si>
    <t xml:space="preserve">grace</t>
  </si>
  <si>
    <t xml:space="preserve"># text = For neither was there among them any who lacked, for as many as were owners of lands or houses sold them, and brought the proceeds of the things that were sold,</t>
  </si>
  <si>
    <t xml:space="preserve">lacked</t>
  </si>
  <si>
    <t xml:space="preserve">owners</t>
  </si>
  <si>
    <t xml:space="preserve">lands</t>
  </si>
  <si>
    <t xml:space="preserve">houses</t>
  </si>
  <si>
    <t xml:space="preserve">sold</t>
  </si>
  <si>
    <t xml:space="preserve">Lands_or_houses</t>
  </si>
  <si>
    <t xml:space="preserve">brought</t>
  </si>
  <si>
    <t xml:space="preserve">proceeds</t>
  </si>
  <si>
    <t xml:space="preserve">Proceeds_of_Lands_or_houses</t>
  </si>
  <si>
    <t xml:space="preserve">SBJ_7</t>
  </si>
  <si>
    <t xml:space="preserve"># text = and laid them at the apostles' feet, and distribution was made to each, according as anyone had need.</t>
  </si>
  <si>
    <t xml:space="preserve">feet</t>
  </si>
  <si>
    <t xml:space="preserve">Apostles_feet</t>
  </si>
  <si>
    <t xml:space="preserve">distribution</t>
  </si>
  <si>
    <t xml:space="preserve">each</t>
  </si>
  <si>
    <t xml:space="preserve">according</t>
  </si>
  <si>
    <t xml:space="preserve">need</t>
  </si>
  <si>
    <t xml:space="preserve"># text = Joses, who by the apostles was surnamed Barnabas (which is, being interpreted, Son of Encouragement), a Levite, a man of Cyprus by race,</t>
  </si>
  <si>
    <t xml:space="preserve">Joses</t>
  </si>
  <si>
    <t xml:space="preserve">surnamed</t>
  </si>
  <si>
    <t xml:space="preserve">Barnabas</t>
  </si>
  <si>
    <t xml:space="preserve">(</t>
  </si>
  <si>
    <t xml:space="preserve">interpreted</t>
  </si>
  <si>
    <t xml:space="preserve">Son</t>
  </si>
  <si>
    <t xml:space="preserve">Encouragement</t>
  </si>
  <si>
    <t xml:space="preserve">)</t>
  </si>
  <si>
    <t xml:space="preserve">Levite</t>
  </si>
  <si>
    <t xml:space="preserve">Cyprus</t>
  </si>
  <si>
    <t xml:space="preserve">race</t>
  </si>
  <si>
    <t xml:space="preserve"># text = having a field, sold it, and brought the money and laid it at the apostles' feet.</t>
  </si>
  <si>
    <t xml:space="preserve">having</t>
  </si>
  <si>
    <t xml:space="preserve">field</t>
  </si>
  <si>
    <t xml:space="preserve">Land_of_Joses</t>
  </si>
  <si>
    <t xml:space="preserve">money</t>
  </si>
  <si>
    <t xml:space="preserve">Money</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</si>
</sst>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10">
    <fill>
      <patternFill patternType="none"/>
    </fill>
    <fill>
      <patternFill patternType="gray125"/>
    </fill>
    <fill>
      <patternFill patternType="solid">
        <fgColor rgb="FFF7D1D5"/>
        <bgColor rgb="FFDEDCE6"/>
      </patternFill>
    </fill>
    <fill>
      <patternFill patternType="solid">
        <fgColor rgb="FFFFF5CE"/>
        <bgColor rgb="FFEEEEEE"/>
      </patternFill>
    </fill>
    <fill>
      <patternFill patternType="solid">
        <fgColor rgb="FFDEDCE6"/>
        <bgColor rgb="FFDEE6EF"/>
      </patternFill>
    </fill>
    <fill>
      <patternFill patternType="solid">
        <fgColor rgb="FFB4C7DC"/>
        <bgColor rgb="FF99CCFF"/>
      </patternFill>
    </fill>
    <fill>
      <patternFill patternType="solid">
        <fgColor rgb="FFDDE8CB"/>
        <bgColor rgb="FFDEE6EF"/>
      </patternFill>
    </fill>
    <fill>
      <patternFill patternType="solid">
        <fgColor rgb="FFDEE6EF"/>
        <bgColor rgb="FFDEDCE6"/>
      </patternFill>
    </fill>
    <fill>
      <patternFill patternType="solid">
        <fgColor rgb="FFE0C2CD"/>
        <bgColor rgb="FFF7D1D5"/>
      </patternFill>
    </fill>
    <fill>
      <patternFill patternType="solid">
        <fgColor rgb="FFEEEEEE"/>
        <bgColor rgb="FFDEE6EF"/>
      </patternFill>
    </fill>
  </fills>
  <borders count="2">
    <border diagonalUp="false" diagonalDown="false">
      <left/>
      <right/>
      <top/>
      <bottom/>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4" fontId="4" fillId="4"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fals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2" borderId="0" xfId="0" applyFont="true" applyBorder="false" applyAlignment="true" applyProtection="true">
      <alignment horizontal="center" vertical="top" textRotation="0" wrapText="true" indent="0" shrinkToFit="false"/>
      <protection locked="false" hidden="false"/>
    </xf>
    <xf numFmtId="164" fontId="0" fillId="3" borderId="0" xfId="0" applyFont="true" applyBorder="false" applyAlignment="true" applyProtection="true">
      <alignment horizontal="center" vertical="top" textRotation="0" wrapText="false" indent="0" shrinkToFit="false"/>
      <protection locked="false" hidden="false"/>
    </xf>
    <xf numFmtId="164" fontId="0" fillId="4" borderId="0" xfId="0" applyFont="true" applyBorder="false" applyAlignment="true" applyProtection="true">
      <alignment horizontal="center" vertical="top" textRotation="0" wrapText="true" indent="0" shrinkToFit="false"/>
      <protection locked="false" hidden="false"/>
    </xf>
    <xf numFmtId="164" fontId="0" fillId="5" borderId="0" xfId="0" applyFont="false" applyBorder="false" applyAlignment="true" applyProtection="true">
      <alignment horizontal="left" vertical="top" textRotation="0" wrapText="true" indent="0" shrinkToFit="false"/>
      <protection locked="fals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false" indent="0" shrinkToFit="false"/>
      <protection locked="true" hidden="false"/>
    </xf>
    <xf numFmtId="164" fontId="4" fillId="6" borderId="0" xfId="0" applyFont="true" applyBorder="false" applyAlignment="true" applyProtection="false">
      <alignment horizontal="center" vertical="bottom" textRotation="0" wrapText="false" indent="0" shrinkToFit="false"/>
      <protection locked="true" hidden="false"/>
    </xf>
    <xf numFmtId="164" fontId="4" fillId="7" borderId="0" xfId="0" applyFont="true" applyBorder="false" applyAlignment="true" applyProtection="false">
      <alignment horizontal="center" vertical="bottom" textRotation="0" wrapText="false" indent="0" shrinkToFit="false"/>
      <protection locked="true" hidden="false"/>
    </xf>
    <xf numFmtId="164" fontId="4" fillId="8" borderId="0" xfId="0" applyFont="true" applyBorder="false" applyAlignment="true" applyProtection="false">
      <alignment horizontal="center" vertical="bottom" textRotation="0" wrapText="false" indent="0" shrinkToFit="false"/>
      <protection locked="true" hidden="false"/>
    </xf>
    <xf numFmtId="164" fontId="4" fillId="9" borderId="0" xfId="0" applyFont="true" applyBorder="false" applyAlignment="true" applyProtection="false">
      <alignment horizontal="center" vertical="bottom" textRotation="0" wrapText="false" indent="0" shrinkToFit="false"/>
      <protection locked="true" hidden="false"/>
    </xf>
    <xf numFmtId="164" fontId="4"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true" applyProtection="true">
      <alignment horizontal="general" vertical="bottom" textRotation="0" wrapText="false" indent="0" shrinkToFit="false"/>
      <protection locked="true" hidden="false"/>
    </xf>
    <xf numFmtId="164" fontId="0" fillId="6" borderId="0" xfId="0" applyFont="false" applyBorder="false" applyAlignment="true" applyProtection="true">
      <alignment horizontal="center"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0" fillId="8" borderId="0" xfId="0" applyFont="false" applyBorder="false" applyAlignment="true" applyProtection="true">
      <alignment horizontal="center" vertical="bottom" textRotation="0" wrapText="false" indent="0" shrinkToFit="false"/>
      <protection locked="true" hidden="false"/>
    </xf>
    <xf numFmtId="164" fontId="0" fillId="9" borderId="1" xfId="0" applyFont="false" applyBorder="true" applyAlignment="true" applyProtection="true">
      <alignment horizontal="center" vertical="bottom" textRotation="0" wrapText="false" indent="0" shrinkToFit="false"/>
      <protection locked="true" hidden="false"/>
    </xf>
    <xf numFmtId="164" fontId="0" fillId="9" borderId="0" xfId="0" applyFont="false" applyBorder="false" applyAlignment="true" applyProtection="true">
      <alignment horizontal="center" vertical="bottom" textRotation="0" wrapText="false" indent="0" shrinkToFit="false"/>
      <protection locked="true" hidden="false"/>
    </xf>
    <xf numFmtId="164" fontId="0" fillId="5" borderId="1" xfId="0" applyFont="false" applyBorder="true" applyAlignment="true" applyProtection="true">
      <alignment horizontal="general" vertical="bottom" textRotation="0" wrapText="true" indent="0" shrinkToFit="true"/>
      <protection locked="true" hidden="false"/>
    </xf>
    <xf numFmtId="164" fontId="0" fillId="0" borderId="0" xfId="0" applyFont="true" applyBorder="false" applyAlignment="true" applyProtection="true">
      <alignment horizontal="center"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bgColor rgb="FF000000"/>
        </patternFill>
      </fill>
    </dxf>
    <dxf>
      <fill>
        <patternFill patternType="solid">
          <fgColor rgb="FF000000"/>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E0C2CD"/>
      <rgbColor rgb="FFCC99FF"/>
      <rgbColor rgb="FFF7D1D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39" activePane="bottomRight" state="frozen"/>
      <selection pane="topLeft" activeCell="A1" activeCellId="0" sqref="A1"/>
      <selection pane="topRight" activeCell="F1" activeCellId="0" sqref="F1"/>
      <selection pane="bottomLeft" activeCell="A39" activeCellId="0" sqref="A39"/>
      <selection pane="bottomRight" activeCell="G2" activeCellId="0" sqref="G2"/>
    </sheetView>
  </sheetViews>
  <sheetFormatPr defaultColWidth="8.6796875" defaultRowHeight="60" zeroHeight="false" outlineLevelRow="0" outlineLevelCol="0"/>
  <cols>
    <col collapsed="false" customWidth="true" hidden="true" outlineLevel="0" max="3" min="2" style="0" width="11.53"/>
    <col collapsed="false" customWidth="true" hidden="false" outlineLevel="0" max="4" min="4" style="0" width="10.71"/>
    <col collapsed="false" customWidth="true" hidden="false" outlineLevel="0" max="5" min="5" style="0" width="80.71"/>
    <col collapsed="false" customWidth="true" hidden="true" outlineLevel="0" max="6" min="6" style="0" width="11.53"/>
    <col collapsed="false" customWidth="true" hidden="false" outlineLevel="0" max="7" min="7" style="0" width="10.71"/>
    <col collapsed="false" customWidth="true" hidden="false" outlineLevel="0" max="9" min="9" style="0" width="10.71"/>
    <col collapsed="false" customWidth="true" hidden="false" outlineLevel="0" max="10" min="10" style="0" width="40.71"/>
  </cols>
  <sheetData>
    <row r="1" customFormat="false" ht="60" hidden="false" customHeight="true" outlineLevel="0" collapsed="false">
      <c r="A1" s="1" t="s">
        <v>0</v>
      </c>
      <c r="B1" s="1" t="s">
        <v>1</v>
      </c>
      <c r="C1" s="1" t="s">
        <v>2</v>
      </c>
      <c r="D1" s="1" t="s">
        <v>3</v>
      </c>
      <c r="E1" s="1" t="s">
        <v>4</v>
      </c>
      <c r="F1" s="1" t="s">
        <v>5</v>
      </c>
      <c r="G1" s="2" t="s">
        <v>6</v>
      </c>
      <c r="H1" s="3" t="s">
        <v>7</v>
      </c>
      <c r="I1" s="4" t="s">
        <v>8</v>
      </c>
      <c r="J1" s="5" t="s">
        <v>9</v>
      </c>
    </row>
    <row r="2" customFormat="false" ht="60" hidden="false" customHeight="true" outlineLevel="0" collapsed="false">
      <c r="A2" s="6" t="s">
        <v>10</v>
      </c>
      <c r="B2" s="6" t="s">
        <v>11</v>
      </c>
      <c r="C2" s="6" t="s">
        <v>12</v>
      </c>
      <c r="D2" s="7" t="s">
        <v>13</v>
      </c>
      <c r="E2" s="8" t="s">
        <v>14</v>
      </c>
      <c r="F2" s="6" t="s">
        <v>15</v>
      </c>
      <c r="G2" s="9" t="s">
        <v>16</v>
      </c>
      <c r="H2" s="10" t="s">
        <v>17</v>
      </c>
      <c r="I2" s="11" t="s">
        <v>17</v>
      </c>
      <c r="J2" s="12"/>
    </row>
    <row r="3" customFormat="false" ht="60" hidden="false" customHeight="true" outlineLevel="0" collapsed="false">
      <c r="A3" s="6" t="s">
        <v>18</v>
      </c>
      <c r="B3" s="6" t="s">
        <v>10</v>
      </c>
      <c r="C3" s="6" t="s">
        <v>19</v>
      </c>
      <c r="D3" s="7" t="s">
        <v>20</v>
      </c>
      <c r="E3" s="8" t="s">
        <v>21</v>
      </c>
      <c r="F3" s="6" t="s">
        <v>22</v>
      </c>
      <c r="G3" s="9" t="s">
        <v>16</v>
      </c>
      <c r="H3" s="10" t="s">
        <v>17</v>
      </c>
      <c r="I3" s="11" t="s">
        <v>17</v>
      </c>
      <c r="J3" s="12"/>
    </row>
    <row r="4" customFormat="false" ht="60" hidden="false" customHeight="true" outlineLevel="0" collapsed="false">
      <c r="A4" s="6" t="s">
        <v>11</v>
      </c>
      <c r="B4" s="6" t="s">
        <v>18</v>
      </c>
      <c r="C4" s="6" t="s">
        <v>23</v>
      </c>
      <c r="D4" s="7" t="s">
        <v>24</v>
      </c>
      <c r="E4" s="8" t="s">
        <v>25</v>
      </c>
      <c r="F4" s="6" t="s">
        <v>26</v>
      </c>
      <c r="G4" s="9" t="s">
        <v>16</v>
      </c>
      <c r="H4" s="10" t="s">
        <v>17</v>
      </c>
      <c r="I4" s="11" t="s">
        <v>17</v>
      </c>
      <c r="J4" s="12"/>
    </row>
    <row r="5" customFormat="false" ht="60" hidden="false" customHeight="true" outlineLevel="0" collapsed="false">
      <c r="A5" s="6" t="s">
        <v>27</v>
      </c>
      <c r="B5" s="6" t="s">
        <v>18</v>
      </c>
      <c r="C5" s="6" t="s">
        <v>28</v>
      </c>
      <c r="D5" s="7" t="s">
        <v>29</v>
      </c>
      <c r="E5" s="8" t="s">
        <v>30</v>
      </c>
      <c r="F5" s="6" t="s">
        <v>31</v>
      </c>
      <c r="G5" s="9" t="s">
        <v>16</v>
      </c>
      <c r="H5" s="10" t="s">
        <v>17</v>
      </c>
      <c r="I5" s="11" t="s">
        <v>17</v>
      </c>
      <c r="J5" s="12"/>
    </row>
    <row r="6" customFormat="false" ht="60" hidden="false" customHeight="true" outlineLevel="0" collapsed="false">
      <c r="A6" s="6" t="s">
        <v>32</v>
      </c>
      <c r="B6" s="6" t="s">
        <v>18</v>
      </c>
      <c r="C6" s="6" t="s">
        <v>12</v>
      </c>
      <c r="D6" s="7" t="s">
        <v>33</v>
      </c>
      <c r="E6" s="8" t="s">
        <v>34</v>
      </c>
      <c r="F6" s="6" t="s">
        <v>35</v>
      </c>
      <c r="G6" s="9" t="s">
        <v>16</v>
      </c>
      <c r="H6" s="10" t="s">
        <v>17</v>
      </c>
      <c r="I6" s="11" t="s">
        <v>17</v>
      </c>
      <c r="J6" s="12"/>
    </row>
    <row r="7" customFormat="false" ht="60" hidden="false" customHeight="true" outlineLevel="0" collapsed="false">
      <c r="A7" s="6" t="s">
        <v>36</v>
      </c>
      <c r="B7" s="6" t="s">
        <v>32</v>
      </c>
      <c r="C7" s="6" t="s">
        <v>17</v>
      </c>
      <c r="D7" s="7" t="s">
        <v>37</v>
      </c>
      <c r="E7" s="8" t="s">
        <v>38</v>
      </c>
      <c r="F7" s="6" t="s">
        <v>39</v>
      </c>
      <c r="G7" s="9" t="s">
        <v>16</v>
      </c>
      <c r="H7" s="10" t="s">
        <v>17</v>
      </c>
      <c r="I7" s="11" t="s">
        <v>17</v>
      </c>
      <c r="J7" s="12"/>
    </row>
    <row r="8" customFormat="false" ht="60" hidden="false" customHeight="true" outlineLevel="0" collapsed="false">
      <c r="A8" s="6" t="s">
        <v>40</v>
      </c>
      <c r="B8" s="6" t="s">
        <v>41</v>
      </c>
      <c r="C8" s="6" t="s">
        <v>42</v>
      </c>
      <c r="D8" s="7" t="s">
        <v>43</v>
      </c>
      <c r="E8" s="8" t="s">
        <v>44</v>
      </c>
      <c r="F8" s="6" t="s">
        <v>45</v>
      </c>
      <c r="G8" s="9" t="s">
        <v>16</v>
      </c>
      <c r="H8" s="10" t="s">
        <v>17</v>
      </c>
      <c r="I8" s="11" t="s">
        <v>17</v>
      </c>
      <c r="J8" s="12"/>
    </row>
    <row r="9" customFormat="false" ht="60" hidden="false" customHeight="true" outlineLevel="0" collapsed="false">
      <c r="A9" s="6" t="s">
        <v>46</v>
      </c>
      <c r="B9" s="6" t="s">
        <v>47</v>
      </c>
      <c r="C9" s="6" t="s">
        <v>48</v>
      </c>
      <c r="D9" s="7" t="s">
        <v>49</v>
      </c>
      <c r="E9" s="8" t="s">
        <v>50</v>
      </c>
      <c r="F9" s="6" t="s">
        <v>51</v>
      </c>
      <c r="G9" s="9" t="s">
        <v>16</v>
      </c>
      <c r="H9" s="10" t="s">
        <v>17</v>
      </c>
      <c r="I9" s="11" t="s">
        <v>17</v>
      </c>
      <c r="J9" s="12"/>
    </row>
    <row r="10" customFormat="false" ht="60" hidden="false" customHeight="true" outlineLevel="0" collapsed="false">
      <c r="A10" s="6" t="s">
        <v>52</v>
      </c>
      <c r="B10" s="6" t="s">
        <v>53</v>
      </c>
      <c r="C10" s="6" t="s">
        <v>54</v>
      </c>
      <c r="D10" s="7" t="s">
        <v>55</v>
      </c>
      <c r="E10" s="8" t="s">
        <v>56</v>
      </c>
      <c r="F10" s="6" t="s">
        <v>57</v>
      </c>
      <c r="G10" s="9" t="s">
        <v>16</v>
      </c>
      <c r="H10" s="10" t="s">
        <v>17</v>
      </c>
      <c r="I10" s="11" t="s">
        <v>17</v>
      </c>
      <c r="J10" s="12"/>
    </row>
    <row r="11" customFormat="false" ht="60" hidden="false" customHeight="true" outlineLevel="0" collapsed="false">
      <c r="A11" s="6" t="s">
        <v>47</v>
      </c>
      <c r="B11" s="6" t="s">
        <v>58</v>
      </c>
      <c r="C11" s="6" t="s">
        <v>59</v>
      </c>
      <c r="D11" s="7" t="s">
        <v>60</v>
      </c>
      <c r="E11" s="8" t="s">
        <v>61</v>
      </c>
      <c r="F11" s="6" t="s">
        <v>62</v>
      </c>
      <c r="G11" s="9" t="s">
        <v>16</v>
      </c>
      <c r="H11" s="10" t="s">
        <v>17</v>
      </c>
      <c r="I11" s="11" t="s">
        <v>17</v>
      </c>
      <c r="J11" s="12"/>
    </row>
    <row r="12" customFormat="false" ht="60" hidden="false" customHeight="true" outlineLevel="0" collapsed="false">
      <c r="A12" s="6" t="s">
        <v>63</v>
      </c>
      <c r="B12" s="6" t="s">
        <v>18</v>
      </c>
      <c r="C12" s="6" t="s">
        <v>17</v>
      </c>
      <c r="D12" s="7" t="s">
        <v>64</v>
      </c>
      <c r="E12" s="8" t="s">
        <v>65</v>
      </c>
      <c r="F12" s="6" t="s">
        <v>66</v>
      </c>
      <c r="G12" s="9" t="s">
        <v>16</v>
      </c>
      <c r="H12" s="10" t="s">
        <v>17</v>
      </c>
      <c r="I12" s="11" t="s">
        <v>17</v>
      </c>
      <c r="J12" s="12"/>
    </row>
    <row r="13" customFormat="false" ht="60" hidden="false" customHeight="true" outlineLevel="0" collapsed="false">
      <c r="A13" s="6" t="s">
        <v>67</v>
      </c>
      <c r="B13" s="6" t="s">
        <v>18</v>
      </c>
      <c r="C13" s="6" t="s">
        <v>17</v>
      </c>
      <c r="D13" s="7" t="s">
        <v>68</v>
      </c>
      <c r="E13" s="8" t="s">
        <v>69</v>
      </c>
      <c r="F13" s="6" t="s">
        <v>70</v>
      </c>
      <c r="G13" s="9" t="s">
        <v>16</v>
      </c>
      <c r="H13" s="10" t="s">
        <v>17</v>
      </c>
      <c r="I13" s="11" t="s">
        <v>17</v>
      </c>
      <c r="J13" s="12"/>
    </row>
    <row r="14" customFormat="false" ht="60" hidden="false" customHeight="true" outlineLevel="0" collapsed="false">
      <c r="A14" s="6" t="s">
        <v>41</v>
      </c>
      <c r="B14" s="6" t="s">
        <v>71</v>
      </c>
      <c r="C14" s="6" t="s">
        <v>42</v>
      </c>
      <c r="D14" s="7" t="s">
        <v>72</v>
      </c>
      <c r="E14" s="8" t="s">
        <v>73</v>
      </c>
      <c r="F14" s="6" t="s">
        <v>74</v>
      </c>
      <c r="G14" s="9" t="s">
        <v>16</v>
      </c>
      <c r="H14" s="10" t="s">
        <v>17</v>
      </c>
      <c r="I14" s="11" t="s">
        <v>17</v>
      </c>
      <c r="J14" s="12"/>
    </row>
    <row r="15" customFormat="false" ht="60" hidden="false" customHeight="true" outlineLevel="0" collapsed="false">
      <c r="A15" s="6" t="s">
        <v>75</v>
      </c>
      <c r="B15" s="6" t="s">
        <v>18</v>
      </c>
      <c r="C15" s="6" t="s">
        <v>17</v>
      </c>
      <c r="D15" s="7" t="s">
        <v>76</v>
      </c>
      <c r="E15" s="8" t="s">
        <v>77</v>
      </c>
      <c r="F15" s="6" t="s">
        <v>78</v>
      </c>
      <c r="G15" s="9" t="s">
        <v>16</v>
      </c>
      <c r="H15" s="10" t="s">
        <v>17</v>
      </c>
      <c r="I15" s="11" t="s">
        <v>17</v>
      </c>
      <c r="J15" s="12"/>
    </row>
    <row r="16" customFormat="false" ht="60" hidden="false" customHeight="true" outlineLevel="0" collapsed="false">
      <c r="A16" s="6" t="s">
        <v>79</v>
      </c>
      <c r="B16" s="6" t="s">
        <v>10</v>
      </c>
      <c r="C16" s="6" t="s">
        <v>17</v>
      </c>
      <c r="D16" s="7" t="s">
        <v>80</v>
      </c>
      <c r="E16" s="8" t="s">
        <v>81</v>
      </c>
      <c r="F16" s="6" t="s">
        <v>82</v>
      </c>
      <c r="G16" s="9" t="s">
        <v>16</v>
      </c>
      <c r="H16" s="10" t="s">
        <v>17</v>
      </c>
      <c r="I16" s="11" t="s">
        <v>17</v>
      </c>
      <c r="J16" s="12"/>
    </row>
    <row r="17" customFormat="false" ht="60" hidden="false" customHeight="true" outlineLevel="0" collapsed="false">
      <c r="A17" s="6" t="s">
        <v>83</v>
      </c>
      <c r="B17" s="6" t="s">
        <v>83</v>
      </c>
      <c r="C17" s="6" t="s">
        <v>42</v>
      </c>
      <c r="D17" s="7" t="s">
        <v>84</v>
      </c>
      <c r="E17" s="8" t="s">
        <v>85</v>
      </c>
      <c r="F17" s="6" t="s">
        <v>86</v>
      </c>
      <c r="G17" s="9" t="s">
        <v>16</v>
      </c>
      <c r="H17" s="10" t="s">
        <v>17</v>
      </c>
      <c r="I17" s="11" t="s">
        <v>17</v>
      </c>
      <c r="J17" s="12"/>
    </row>
    <row r="18" customFormat="false" ht="60" hidden="false" customHeight="true" outlineLevel="0" collapsed="false">
      <c r="A18" s="6" t="s">
        <v>87</v>
      </c>
      <c r="B18" s="6" t="s">
        <v>10</v>
      </c>
      <c r="C18" s="6" t="s">
        <v>17</v>
      </c>
      <c r="D18" s="7" t="s">
        <v>49</v>
      </c>
      <c r="E18" s="8" t="s">
        <v>88</v>
      </c>
      <c r="F18" s="6" t="s">
        <v>89</v>
      </c>
      <c r="G18" s="9" t="s">
        <v>16</v>
      </c>
      <c r="H18" s="10" t="s">
        <v>17</v>
      </c>
      <c r="I18" s="11" t="s">
        <v>17</v>
      </c>
      <c r="J18" s="12"/>
    </row>
    <row r="19" customFormat="false" ht="60" hidden="false" customHeight="true" outlineLevel="0" collapsed="false">
      <c r="A19" s="6" t="s">
        <v>90</v>
      </c>
      <c r="B19" s="6" t="s">
        <v>46</v>
      </c>
      <c r="C19" s="6" t="s">
        <v>19</v>
      </c>
      <c r="D19" s="7" t="s">
        <v>60</v>
      </c>
      <c r="E19" s="8" t="s">
        <v>91</v>
      </c>
      <c r="F19" s="6" t="s">
        <v>92</v>
      </c>
      <c r="G19" s="9" t="s">
        <v>16</v>
      </c>
      <c r="H19" s="10" t="s">
        <v>17</v>
      </c>
      <c r="I19" s="11" t="s">
        <v>17</v>
      </c>
      <c r="J19" s="12"/>
    </row>
    <row r="20" customFormat="false" ht="60" hidden="false" customHeight="true" outlineLevel="0" collapsed="false">
      <c r="A20" s="6" t="s">
        <v>93</v>
      </c>
      <c r="B20" s="6" t="s">
        <v>67</v>
      </c>
      <c r="C20" s="6" t="s">
        <v>94</v>
      </c>
      <c r="D20" s="7" t="s">
        <v>95</v>
      </c>
      <c r="E20" s="8" t="s">
        <v>96</v>
      </c>
      <c r="F20" s="6" t="s">
        <v>97</v>
      </c>
      <c r="G20" s="9" t="s">
        <v>16</v>
      </c>
      <c r="H20" s="10" t="s">
        <v>17</v>
      </c>
      <c r="I20" s="11" t="s">
        <v>17</v>
      </c>
      <c r="J20" s="12"/>
    </row>
    <row r="21" customFormat="false" ht="60" hidden="false" customHeight="true" outlineLevel="0" collapsed="false">
      <c r="A21" s="6" t="s">
        <v>98</v>
      </c>
      <c r="B21" s="6" t="s">
        <v>18</v>
      </c>
      <c r="C21" s="6" t="s">
        <v>12</v>
      </c>
      <c r="D21" s="7" t="s">
        <v>99</v>
      </c>
      <c r="E21" s="8" t="s">
        <v>100</v>
      </c>
      <c r="F21" s="6" t="s">
        <v>101</v>
      </c>
      <c r="G21" s="9" t="s">
        <v>16</v>
      </c>
      <c r="H21" s="10" t="s">
        <v>17</v>
      </c>
      <c r="I21" s="11" t="s">
        <v>17</v>
      </c>
      <c r="J21" s="12"/>
    </row>
    <row r="22" customFormat="false" ht="60" hidden="false" customHeight="true" outlineLevel="0" collapsed="false">
      <c r="A22" s="6" t="s">
        <v>102</v>
      </c>
      <c r="B22" s="6" t="s">
        <v>32</v>
      </c>
      <c r="C22" s="6" t="s">
        <v>28</v>
      </c>
      <c r="D22" s="7" t="s">
        <v>103</v>
      </c>
      <c r="E22" s="8" t="s">
        <v>104</v>
      </c>
      <c r="F22" s="6" t="s">
        <v>105</v>
      </c>
      <c r="G22" s="9" t="s">
        <v>16</v>
      </c>
      <c r="H22" s="10" t="s">
        <v>17</v>
      </c>
      <c r="I22" s="11" t="s">
        <v>17</v>
      </c>
      <c r="J22" s="12"/>
    </row>
    <row r="23" customFormat="false" ht="60" hidden="false" customHeight="true" outlineLevel="0" collapsed="false">
      <c r="A23" s="6" t="s">
        <v>106</v>
      </c>
      <c r="B23" s="6" t="s">
        <v>36</v>
      </c>
      <c r="C23" s="6" t="s">
        <v>23</v>
      </c>
      <c r="D23" s="7" t="s">
        <v>107</v>
      </c>
      <c r="E23" s="8" t="s">
        <v>108</v>
      </c>
      <c r="F23" s="6" t="s">
        <v>109</v>
      </c>
      <c r="G23" s="9" t="s">
        <v>16</v>
      </c>
      <c r="H23" s="10" t="s">
        <v>17</v>
      </c>
      <c r="I23" s="11" t="s">
        <v>17</v>
      </c>
      <c r="J23" s="12"/>
    </row>
    <row r="24" customFormat="false" ht="60" hidden="false" customHeight="true" outlineLevel="0" collapsed="false">
      <c r="A24" s="6" t="s">
        <v>53</v>
      </c>
      <c r="B24" s="6" t="s">
        <v>52</v>
      </c>
      <c r="C24" s="6" t="s">
        <v>94</v>
      </c>
      <c r="D24" s="7" t="s">
        <v>95</v>
      </c>
      <c r="E24" s="8" t="s">
        <v>110</v>
      </c>
      <c r="F24" s="6" t="s">
        <v>111</v>
      </c>
      <c r="G24" s="9" t="s">
        <v>16</v>
      </c>
      <c r="H24" s="10" t="s">
        <v>17</v>
      </c>
      <c r="I24" s="11" t="s">
        <v>17</v>
      </c>
      <c r="J24" s="12"/>
    </row>
    <row r="25" customFormat="false" ht="60" hidden="false" customHeight="true" outlineLevel="0" collapsed="false">
      <c r="A25" s="6" t="s">
        <v>71</v>
      </c>
      <c r="B25" s="6" t="s">
        <v>67</v>
      </c>
      <c r="C25" s="6" t="s">
        <v>23</v>
      </c>
      <c r="D25" s="7" t="s">
        <v>112</v>
      </c>
      <c r="E25" s="8" t="s">
        <v>113</v>
      </c>
      <c r="F25" s="6" t="s">
        <v>114</v>
      </c>
      <c r="G25" s="9" t="s">
        <v>16</v>
      </c>
      <c r="H25" s="10" t="s">
        <v>17</v>
      </c>
      <c r="I25" s="11" t="s">
        <v>17</v>
      </c>
      <c r="J25" s="12"/>
    </row>
    <row r="26" customFormat="false" ht="60" hidden="false" customHeight="true" outlineLevel="0" collapsed="false">
      <c r="A26" s="6" t="s">
        <v>115</v>
      </c>
      <c r="B26" s="6" t="s">
        <v>18</v>
      </c>
      <c r="C26" s="6" t="s">
        <v>12</v>
      </c>
      <c r="D26" s="7" t="s">
        <v>95</v>
      </c>
      <c r="E26" s="8" t="s">
        <v>116</v>
      </c>
      <c r="F26" s="6" t="s">
        <v>117</v>
      </c>
      <c r="G26" s="9" t="s">
        <v>16</v>
      </c>
      <c r="H26" s="10" t="s">
        <v>17</v>
      </c>
      <c r="I26" s="11" t="s">
        <v>17</v>
      </c>
      <c r="J26" s="12"/>
    </row>
    <row r="27" customFormat="false" ht="60" hidden="false" customHeight="true" outlineLevel="0" collapsed="false">
      <c r="A27" s="6" t="s">
        <v>118</v>
      </c>
      <c r="B27" s="6" t="s">
        <v>90</v>
      </c>
      <c r="C27" s="6" t="s">
        <v>12</v>
      </c>
      <c r="D27" s="7" t="s">
        <v>49</v>
      </c>
      <c r="E27" s="8" t="s">
        <v>119</v>
      </c>
      <c r="F27" s="6" t="s">
        <v>120</v>
      </c>
      <c r="G27" s="9" t="s">
        <v>16</v>
      </c>
      <c r="H27" s="10" t="s">
        <v>17</v>
      </c>
      <c r="I27" s="11" t="s">
        <v>17</v>
      </c>
      <c r="J27" s="12"/>
    </row>
    <row r="28" customFormat="false" ht="60" hidden="false" customHeight="true" outlineLevel="0" collapsed="false">
      <c r="A28" s="6" t="s">
        <v>121</v>
      </c>
      <c r="B28" s="6" t="s">
        <v>63</v>
      </c>
      <c r="C28" s="6" t="s">
        <v>17</v>
      </c>
      <c r="D28" s="7" t="s">
        <v>49</v>
      </c>
      <c r="E28" s="8" t="s">
        <v>122</v>
      </c>
      <c r="F28" s="6" t="s">
        <v>123</v>
      </c>
      <c r="G28" s="9" t="s">
        <v>16</v>
      </c>
      <c r="H28" s="10" t="s">
        <v>17</v>
      </c>
      <c r="I28" s="11" t="s">
        <v>17</v>
      </c>
      <c r="J28" s="12"/>
    </row>
    <row r="29" customFormat="false" ht="60" hidden="false" customHeight="true" outlineLevel="0" collapsed="false">
      <c r="A29" s="6" t="s">
        <v>124</v>
      </c>
      <c r="B29" s="6" t="s">
        <v>36</v>
      </c>
      <c r="C29" s="6" t="s">
        <v>12</v>
      </c>
      <c r="D29" s="7" t="s">
        <v>125</v>
      </c>
      <c r="E29" s="8" t="s">
        <v>126</v>
      </c>
      <c r="F29" s="6" t="s">
        <v>127</v>
      </c>
      <c r="G29" s="9" t="s">
        <v>16</v>
      </c>
      <c r="H29" s="10" t="s">
        <v>17</v>
      </c>
      <c r="I29" s="11" t="s">
        <v>17</v>
      </c>
      <c r="J29" s="12"/>
    </row>
    <row r="30" customFormat="false" ht="60" hidden="false" customHeight="true" outlineLevel="0" collapsed="false">
      <c r="A30" s="6" t="s">
        <v>128</v>
      </c>
      <c r="B30" s="6" t="s">
        <v>129</v>
      </c>
      <c r="C30" s="6" t="s">
        <v>23</v>
      </c>
      <c r="D30" s="7" t="s">
        <v>130</v>
      </c>
      <c r="E30" s="8" t="s">
        <v>131</v>
      </c>
      <c r="F30" s="6" t="s">
        <v>132</v>
      </c>
      <c r="G30" s="9" t="s">
        <v>16</v>
      </c>
      <c r="H30" s="10" t="s">
        <v>17</v>
      </c>
      <c r="I30" s="11" t="s">
        <v>17</v>
      </c>
      <c r="J30" s="12"/>
    </row>
    <row r="31" customFormat="false" ht="60" hidden="false" customHeight="true" outlineLevel="0" collapsed="false">
      <c r="A31" s="6" t="s">
        <v>133</v>
      </c>
      <c r="B31" s="6" t="s">
        <v>18</v>
      </c>
      <c r="C31" s="6" t="s">
        <v>17</v>
      </c>
      <c r="D31" s="7" t="s">
        <v>60</v>
      </c>
      <c r="E31" s="8" t="s">
        <v>134</v>
      </c>
      <c r="F31" s="6" t="s">
        <v>135</v>
      </c>
      <c r="G31" s="9" t="s">
        <v>16</v>
      </c>
      <c r="H31" s="10" t="s">
        <v>17</v>
      </c>
      <c r="I31" s="11" t="s">
        <v>17</v>
      </c>
      <c r="J31" s="12"/>
    </row>
    <row r="32" customFormat="false" ht="60" hidden="false" customHeight="true" outlineLevel="0" collapsed="false">
      <c r="A32" s="6" t="s">
        <v>136</v>
      </c>
      <c r="B32" s="6" t="s">
        <v>32</v>
      </c>
      <c r="C32" s="6" t="s">
        <v>17</v>
      </c>
      <c r="D32" s="7" t="s">
        <v>137</v>
      </c>
      <c r="E32" s="8" t="s">
        <v>138</v>
      </c>
      <c r="F32" s="6" t="s">
        <v>139</v>
      </c>
      <c r="G32" s="9" t="s">
        <v>16</v>
      </c>
      <c r="H32" s="10" t="s">
        <v>17</v>
      </c>
      <c r="I32" s="11" t="s">
        <v>17</v>
      </c>
      <c r="J32" s="12"/>
    </row>
    <row r="33" customFormat="false" ht="60" hidden="false" customHeight="true" outlineLevel="0" collapsed="false">
      <c r="A33" s="6" t="s">
        <v>140</v>
      </c>
      <c r="B33" s="6" t="s">
        <v>11</v>
      </c>
      <c r="C33" s="6" t="s">
        <v>141</v>
      </c>
      <c r="D33" s="7" t="s">
        <v>142</v>
      </c>
      <c r="E33" s="8" t="s">
        <v>143</v>
      </c>
      <c r="F33" s="6" t="s">
        <v>144</v>
      </c>
      <c r="G33" s="9" t="s">
        <v>16</v>
      </c>
      <c r="H33" s="10" t="s">
        <v>17</v>
      </c>
      <c r="I33" s="11" t="s">
        <v>17</v>
      </c>
      <c r="J33" s="12"/>
    </row>
    <row r="34" customFormat="false" ht="60" hidden="false" customHeight="true" outlineLevel="0" collapsed="false">
      <c r="A34" s="6" t="s">
        <v>145</v>
      </c>
      <c r="B34" s="6" t="s">
        <v>52</v>
      </c>
      <c r="C34" s="6" t="s">
        <v>42</v>
      </c>
      <c r="D34" s="7" t="s">
        <v>146</v>
      </c>
      <c r="E34" s="8" t="s">
        <v>147</v>
      </c>
      <c r="F34" s="6" t="s">
        <v>148</v>
      </c>
      <c r="G34" s="9" t="s">
        <v>16</v>
      </c>
      <c r="H34" s="10" t="s">
        <v>17</v>
      </c>
      <c r="I34" s="11" t="s">
        <v>17</v>
      </c>
      <c r="J34" s="12"/>
    </row>
    <row r="35" customFormat="false" ht="60" hidden="false" customHeight="true" outlineLevel="0" collapsed="false">
      <c r="A35" s="6" t="s">
        <v>149</v>
      </c>
      <c r="B35" s="6" t="s">
        <v>27</v>
      </c>
      <c r="C35" s="6" t="s">
        <v>12</v>
      </c>
      <c r="D35" s="7" t="s">
        <v>150</v>
      </c>
      <c r="E35" s="8" t="s">
        <v>151</v>
      </c>
      <c r="F35" s="6" t="s">
        <v>152</v>
      </c>
      <c r="G35" s="9" t="s">
        <v>16</v>
      </c>
      <c r="H35" s="10" t="s">
        <v>17</v>
      </c>
      <c r="I35" s="11" t="s">
        <v>17</v>
      </c>
      <c r="J35" s="12"/>
    </row>
    <row r="36" customFormat="false" ht="60" hidden="false" customHeight="true" outlineLevel="0" collapsed="false">
      <c r="A36" s="6" t="s">
        <v>129</v>
      </c>
      <c r="B36" s="6" t="s">
        <v>18</v>
      </c>
      <c r="C36" s="6" t="s">
        <v>17</v>
      </c>
      <c r="D36" s="7" t="s">
        <v>153</v>
      </c>
      <c r="E36" s="8" t="s">
        <v>154</v>
      </c>
      <c r="F36" s="6" t="s">
        <v>155</v>
      </c>
      <c r="G36" s="9" t="s">
        <v>16</v>
      </c>
      <c r="H36" s="10" t="s">
        <v>17</v>
      </c>
      <c r="I36" s="11" t="s">
        <v>17</v>
      </c>
      <c r="J36" s="12"/>
    </row>
    <row r="37" customFormat="false" ht="60" hidden="false" customHeight="true" outlineLevel="0" collapsed="false">
      <c r="A37" s="6" t="s">
        <v>156</v>
      </c>
      <c r="B37" s="6" t="s">
        <v>32</v>
      </c>
      <c r="C37" s="6" t="s">
        <v>28</v>
      </c>
      <c r="D37" s="7" t="s">
        <v>157</v>
      </c>
      <c r="E37" s="8" t="s">
        <v>158</v>
      </c>
      <c r="F37" s="6" t="s">
        <v>159</v>
      </c>
      <c r="G37" s="9" t="s">
        <v>16</v>
      </c>
      <c r="H37" s="10" t="s">
        <v>17</v>
      </c>
      <c r="I37" s="11" t="s">
        <v>17</v>
      </c>
      <c r="J37" s="12"/>
    </row>
    <row r="38" customFormat="false" ht="60" hidden="false" customHeight="true" outlineLevel="0" collapsed="false">
      <c r="A38" s="6" t="s">
        <v>160</v>
      </c>
      <c r="B38" s="6" t="s">
        <v>40</v>
      </c>
      <c r="C38" s="6" t="s">
        <v>17</v>
      </c>
      <c r="D38" s="7" t="s">
        <v>161</v>
      </c>
      <c r="E38" s="8" t="s">
        <v>162</v>
      </c>
      <c r="F38" s="6" t="s">
        <v>163</v>
      </c>
      <c r="G38" s="9" t="s">
        <v>16</v>
      </c>
      <c r="H38" s="10" t="s">
        <v>17</v>
      </c>
      <c r="I38" s="11" t="s">
        <v>17</v>
      </c>
      <c r="J38" s="12"/>
    </row>
    <row r="39" customFormat="false" ht="60" hidden="false" customHeight="true" outlineLevel="0" collapsed="false">
      <c r="A39" s="6" t="s">
        <v>164</v>
      </c>
      <c r="B39" s="6" t="s">
        <v>11</v>
      </c>
      <c r="C39" s="6" t="s">
        <v>17</v>
      </c>
      <c r="D39" s="7" t="s">
        <v>165</v>
      </c>
      <c r="E39" s="8" t="s">
        <v>166</v>
      </c>
      <c r="F39" s="6" t="s">
        <v>167</v>
      </c>
      <c r="G39" s="9" t="s">
        <v>16</v>
      </c>
      <c r="H39" s="10" t="s">
        <v>17</v>
      </c>
      <c r="I39" s="11" t="s">
        <v>17</v>
      </c>
      <c r="J39" s="12"/>
    </row>
    <row r="40" customFormat="false" ht="60" hidden="false" customHeight="true" outlineLevel="0" collapsed="false">
      <c r="A40" s="6" t="s">
        <v>58</v>
      </c>
      <c r="B40" s="6" t="s">
        <v>11</v>
      </c>
      <c r="C40" s="6" t="s">
        <v>23</v>
      </c>
      <c r="D40" s="7" t="s">
        <v>37</v>
      </c>
      <c r="E40" s="8" t="s">
        <v>168</v>
      </c>
      <c r="F40" s="6" t="s">
        <v>169</v>
      </c>
      <c r="G40" s="9" t="s">
        <v>16</v>
      </c>
      <c r="H40" s="10" t="s">
        <v>17</v>
      </c>
      <c r="I40" s="11" t="s">
        <v>17</v>
      </c>
      <c r="J40" s="12"/>
    </row>
    <row r="41" customFormat="false" ht="60" hidden="false" customHeight="true" outlineLevel="0" collapsed="false">
      <c r="A41" s="6" t="s">
        <v>170</v>
      </c>
      <c r="B41" s="6" t="s">
        <v>41</v>
      </c>
      <c r="C41" s="6" t="s">
        <v>17</v>
      </c>
      <c r="D41" s="7" t="s">
        <v>171</v>
      </c>
      <c r="E41" s="8" t="s">
        <v>172</v>
      </c>
      <c r="F41" s="6" t="s">
        <v>173</v>
      </c>
      <c r="G41" s="9" t="s">
        <v>16</v>
      </c>
      <c r="H41" s="10" t="s">
        <v>17</v>
      </c>
      <c r="I41" s="11" t="s">
        <v>17</v>
      </c>
      <c r="J41" s="12"/>
    </row>
    <row r="42" customFormat="false" ht="60" hidden="false" customHeight="true" outlineLevel="0" collapsed="false">
      <c r="A42" s="6" t="s">
        <v>174</v>
      </c>
      <c r="B42" s="6" t="s">
        <v>10</v>
      </c>
      <c r="C42" s="6" t="s">
        <v>17</v>
      </c>
      <c r="D42" s="7" t="s">
        <v>175</v>
      </c>
      <c r="E42" s="8" t="s">
        <v>176</v>
      </c>
      <c r="F42" s="6" t="s">
        <v>177</v>
      </c>
      <c r="G42" s="9" t="s">
        <v>16</v>
      </c>
      <c r="H42" s="10" t="s">
        <v>17</v>
      </c>
      <c r="I42" s="11" t="s">
        <v>17</v>
      </c>
      <c r="J42" s="12"/>
    </row>
    <row r="43" customFormat="false" ht="60" hidden="false" customHeight="true" outlineLevel="0" collapsed="false">
      <c r="A43" s="6" t="s">
        <v>178</v>
      </c>
      <c r="B43" s="6" t="s">
        <v>10</v>
      </c>
      <c r="C43" s="6" t="s">
        <v>12</v>
      </c>
      <c r="D43" s="7" t="s">
        <v>179</v>
      </c>
      <c r="E43" s="8" t="s">
        <v>180</v>
      </c>
      <c r="F43" s="6" t="s">
        <v>181</v>
      </c>
      <c r="G43" s="9" t="s">
        <v>16</v>
      </c>
      <c r="H43" s="10" t="s">
        <v>17</v>
      </c>
      <c r="I43" s="11" t="s">
        <v>17</v>
      </c>
      <c r="J43" s="12"/>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9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71"/>
    <col collapsed="false" customWidth="true" hidden="false" outlineLevel="0" max="3" min="3" style="0" width="15.71"/>
    <col collapsed="false" customWidth="true" hidden="false" outlineLevel="0" max="4" min="4" style="0" width="10.71"/>
    <col collapsed="false" customWidth="true" hidden="true" outlineLevel="0" max="11" min="9" style="0" width="11.53"/>
    <col collapsed="false" customWidth="true" hidden="false" outlineLevel="0" max="12" min="12" style="0" width="40.71"/>
    <col collapsed="false" customWidth="true" hidden="false" outlineLevel="0" max="16384" min="16372" style="0" width="11.53"/>
  </cols>
  <sheetData>
    <row r="1" customFormat="false" ht="15" hidden="false" customHeight="false" outlineLevel="0" collapsed="false">
      <c r="A1" s="13" t="s">
        <v>182</v>
      </c>
      <c r="B1" s="13" t="s">
        <v>183</v>
      </c>
      <c r="C1" s="13" t="s">
        <v>184</v>
      </c>
      <c r="D1" s="13" t="s">
        <v>185</v>
      </c>
      <c r="E1" s="14" t="s">
        <v>186</v>
      </c>
      <c r="F1" s="15" t="s">
        <v>187</v>
      </c>
      <c r="G1" s="16" t="s">
        <v>188</v>
      </c>
      <c r="H1" s="17" t="s">
        <v>189</v>
      </c>
      <c r="I1" s="18" t="s">
        <v>190</v>
      </c>
      <c r="J1" s="18" t="s">
        <v>191</v>
      </c>
      <c r="K1" s="18" t="s">
        <v>192</v>
      </c>
      <c r="L1" s="19" t="s">
        <v>9</v>
      </c>
    </row>
    <row r="2" customFormat="false" ht="15" hidden="false" customHeight="false" outlineLevel="0" collapsed="false">
      <c r="A2" s="20" t="s">
        <v>193</v>
      </c>
      <c r="E2" s="21"/>
      <c r="F2" s="22"/>
      <c r="G2" s="23"/>
      <c r="H2" s="24"/>
      <c r="I2" s="25" t="str">
        <f aca="false">IF(OR(E2="",E2="!!!",F2="NEW"),"",INDEX(#REF!,-1+SUMPRODUCT(MAX(ROW(#REF!)*(E2=#REF!)))))</f>
        <v/>
      </c>
      <c r="J2" s="26" t="str">
        <f aca="true">IF(OR(E2="",E2="!!!",F2="NEW"),"",COUNTBLANK(OFFSET(A$1,,,SUMPRODUCT(MAX(ROW(E$2)*(E2=E$2)))))-COUNTBLANK(OFFSET(A$1,,,SUMPRODUCT(MAX(ROW(E$1)*(E2=E$1))))))</f>
        <v/>
      </c>
      <c r="K2" s="26" t="str">
        <f aca="false">IF(OR(E2="",E2="!!!",F2="NEW"),"",INDEX(J$1,SUMPRODUCT(MAX(ROW(E$1)*(E2=E$1)))))</f>
        <v/>
      </c>
      <c r="L2" s="27"/>
    </row>
    <row r="3" customFormat="false" ht="15" hidden="false" customHeight="false" outlineLevel="0" collapsed="false">
      <c r="A3" s="20" t="s">
        <v>194</v>
      </c>
      <c r="E3" s="21"/>
      <c r="F3" s="22"/>
      <c r="G3" s="23"/>
      <c r="H3" s="24"/>
      <c r="I3" s="25" t="str">
        <f aca="false">IF(OR(E3="",E3="!!!",F3="NEW"),"",INDEX(B$2,-1+SUMPRODUCT(MAX(ROW(E$2)*(E3=E$2)))))</f>
        <v/>
      </c>
      <c r="J3" s="26" t="str">
        <f aca="true">IF(OR(E3="",E3="!!!",F3="NEW"),"",COUNTBLANK(OFFSET(A$1,,,SUMPRODUCT(MAX(ROW(E$2:E3)*(E3=E$2:E3)))))-COUNTBLANK(OFFSET(A$1,,,SUMPRODUCT(MAX(ROW(E$1:E2)*(E3=E$1:E2))))))</f>
        <v/>
      </c>
      <c r="K3" s="26" t="str">
        <f aca="false">IF(OR(E3="",E3="!!!",F3="NEW"),"",INDEX(J$1:J2,SUMPRODUCT(MAX(ROW(E$1:E2)*(E3=E$1:E2)))))</f>
        <v/>
      </c>
      <c r="L3" s="27"/>
    </row>
    <row r="4" customFormat="false" ht="15" hidden="false" customHeight="false" outlineLevel="0" collapsed="false">
      <c r="A4" s="20" t="s">
        <v>195</v>
      </c>
      <c r="B4" s="28" t="s">
        <v>196</v>
      </c>
      <c r="C4" s="28" t="s">
        <v>197</v>
      </c>
      <c r="D4" s="28" t="s">
        <v>198</v>
      </c>
      <c r="E4" s="21" t="s">
        <v>199</v>
      </c>
      <c r="F4" s="22" t="s">
        <v>200</v>
      </c>
      <c r="G4" s="23" t="s">
        <v>201</v>
      </c>
      <c r="H4" s="24"/>
      <c r="I4" s="25" t="str">
        <f aca="false">IF(OR(E4="",E4="!!!",F4="NEW"),"",INDEX(B$2:B3,-1+SUMPRODUCT(MAX(ROW(E$2:E3)*(E4=E$2:E3)))))</f>
        <v/>
      </c>
      <c r="J4" s="26" t="str">
        <f aca="true">IF(OR(E4="",E4="!!!",F4="NEW"),"",COUNTBLANK(OFFSET(A$1,,,SUMPRODUCT(MAX(ROW(E$2:E4)*(E4=E$2:E4)))))-COUNTBLANK(OFFSET(A$1,,,SUMPRODUCT(MAX(ROW(E$1:E3)*(E4=E$1:E3))))))</f>
        <v/>
      </c>
      <c r="K4" s="26" t="str">
        <f aca="false">IF(OR(E4="",E4="!!!",F4="NEW"),"",INDEX(J$1:J3,SUMPRODUCT(MAX(ROW(E$1:E3)*(E4=E$1:E3)))))</f>
        <v/>
      </c>
      <c r="L4" s="27"/>
    </row>
    <row r="5" customFormat="false" ht="15" hidden="false" customHeight="false" outlineLevel="0" collapsed="false">
      <c r="A5" s="20" t="s">
        <v>202</v>
      </c>
      <c r="E5" s="21"/>
      <c r="F5" s="22"/>
      <c r="G5" s="23"/>
      <c r="H5" s="24"/>
      <c r="I5" s="25" t="str">
        <f aca="false">IF(OR(E5="",E5="!!!",F5="NEW"),"",INDEX(B$2:B4,-1+SUMPRODUCT(MAX(ROW(E$2:E4)*(E5=E$2:E4)))))</f>
        <v/>
      </c>
      <c r="J5" s="26" t="str">
        <f aca="true">IF(OR(E5="",E5="!!!",F5="NEW"),"",COUNTBLANK(OFFSET(A$1,,,SUMPRODUCT(MAX(ROW(E$2:E5)*(E5=E$2:E5)))))-COUNTBLANK(OFFSET(A$1,,,SUMPRODUCT(MAX(ROW(E$1:E4)*(E5=E$1:E4))))))</f>
        <v/>
      </c>
      <c r="K5" s="26" t="str">
        <f aca="false">IF(OR(E5="",E5="!!!",F5="NEW"),"",INDEX(J$1:J4,SUMPRODUCT(MAX(ROW(E$1:E4)*(E5=E$1:E4)))))</f>
        <v/>
      </c>
      <c r="L5" s="27"/>
    </row>
    <row r="6" customFormat="false" ht="15" hidden="false" customHeight="false" outlineLevel="0" collapsed="false">
      <c r="A6" s="20" t="s">
        <v>203</v>
      </c>
      <c r="E6" s="21"/>
      <c r="F6" s="22"/>
      <c r="G6" s="23"/>
      <c r="H6" s="24"/>
      <c r="I6" s="25" t="str">
        <f aca="false">IF(OR(E6="",E6="!!!",F6="NEW"),"",INDEX(B$2:B5,-1+SUMPRODUCT(MAX(ROW(E$2:E5)*(E6=E$2:E5)))))</f>
        <v/>
      </c>
      <c r="J6" s="26" t="str">
        <f aca="true">IF(OR(E6="",E6="!!!",F6="NEW"),"",COUNTBLANK(OFFSET(A$1,,,SUMPRODUCT(MAX(ROW(E$2:E6)*(E6=E$2:E6)))))-COUNTBLANK(OFFSET(A$1,,,SUMPRODUCT(MAX(ROW(E$1:E5)*(E6=E$1:E5))))))</f>
        <v/>
      </c>
      <c r="K6" s="26" t="str">
        <f aca="false">IF(OR(E6="",E6="!!!",F6="NEW"),"",INDEX(J$1:J5,SUMPRODUCT(MAX(ROW(E$1:E5)*(E6=E$1:E5)))))</f>
        <v/>
      </c>
      <c r="L6" s="27"/>
    </row>
    <row r="7" customFormat="false" ht="15" hidden="false" customHeight="false" outlineLevel="0" collapsed="false">
      <c r="A7" s="20" t="s">
        <v>204</v>
      </c>
      <c r="E7" s="21"/>
      <c r="F7" s="22"/>
      <c r="G7" s="23"/>
      <c r="H7" s="24"/>
      <c r="I7" s="25" t="str">
        <f aca="false">IF(OR(E7="",E7="!!!",F7="NEW"),"",INDEX(B$2:B6,-1+SUMPRODUCT(MAX(ROW(E$2:E6)*(E7=E$2:E6)))))</f>
        <v/>
      </c>
      <c r="J7" s="26" t="str">
        <f aca="true">IF(OR(E7="",E7="!!!",F7="NEW"),"",COUNTBLANK(OFFSET(A$1,,,SUMPRODUCT(MAX(ROW(E$2:E7)*(E7=E$2:E7)))))-COUNTBLANK(OFFSET(A$1,,,SUMPRODUCT(MAX(ROW(E$1:E6)*(E7=E$1:E6))))))</f>
        <v/>
      </c>
      <c r="K7" s="26" t="str">
        <f aca="false">IF(OR(E7="",E7="!!!",F7="NEW"),"",INDEX(J$1:J6,SUMPRODUCT(MAX(ROW(E$1:E6)*(E7=E$1:E6)))))</f>
        <v/>
      </c>
      <c r="L7" s="27"/>
    </row>
    <row r="8" customFormat="false" ht="15" hidden="false" customHeight="false" outlineLevel="0" collapsed="false">
      <c r="A8" s="20" t="s">
        <v>205</v>
      </c>
      <c r="B8" s="28" t="s">
        <v>206</v>
      </c>
      <c r="C8" s="28" t="s">
        <v>207</v>
      </c>
      <c r="D8" s="28" t="s">
        <v>198</v>
      </c>
      <c r="E8" s="21" t="s">
        <v>208</v>
      </c>
      <c r="F8" s="22" t="s">
        <v>200</v>
      </c>
      <c r="G8" s="23" t="s">
        <v>201</v>
      </c>
      <c r="H8" s="24"/>
      <c r="I8" s="25" t="str">
        <f aca="false">IF(OR(E8="",E8="!!!",F8="NEW"),"",INDEX(B$2:B7,-1+SUMPRODUCT(MAX(ROW(E$2:E7)*(E8=E$2:E7)))))</f>
        <v/>
      </c>
      <c r="J8" s="26" t="str">
        <f aca="true">IF(OR(E8="",E8="!!!",F8="NEW"),"",COUNTBLANK(OFFSET(A$1,,,SUMPRODUCT(MAX(ROW(E$2:E8)*(E8=E$2:E8)))))-COUNTBLANK(OFFSET(A$1,,,SUMPRODUCT(MAX(ROW(E$1:E7)*(E8=E$1:E7))))))</f>
        <v/>
      </c>
      <c r="K8" s="26" t="str">
        <f aca="false">IF(OR(E8="",E8="!!!",F8="NEW"),"",INDEX(J$1:J7,SUMPRODUCT(MAX(ROW(E$1:E7)*(E8=E$1:E7)))))</f>
        <v/>
      </c>
      <c r="L8" s="27"/>
    </row>
    <row r="9" customFormat="false" ht="15" hidden="false" customHeight="false" outlineLevel="0" collapsed="false">
      <c r="A9" s="20" t="s">
        <v>209</v>
      </c>
      <c r="E9" s="21"/>
      <c r="F9" s="22"/>
      <c r="G9" s="23"/>
      <c r="H9" s="24"/>
      <c r="I9" s="25" t="str">
        <f aca="false">IF(OR(E9="",E9="!!!",F9="NEW"),"",INDEX(B$2:B8,-1+SUMPRODUCT(MAX(ROW(E$2:E8)*(E9=E$2:E8)))))</f>
        <v/>
      </c>
      <c r="J9" s="26" t="str">
        <f aca="true">IF(OR(E9="",E9="!!!",F9="NEW"),"",COUNTBLANK(OFFSET(A$1,,,SUMPRODUCT(MAX(ROW(E$2:E9)*(E9=E$2:E9)))))-COUNTBLANK(OFFSET(A$1,,,SUMPRODUCT(MAX(ROW(E$1:E8)*(E9=E$1:E8))))))</f>
        <v/>
      </c>
      <c r="K9" s="26" t="str">
        <f aca="false">IF(OR(E9="",E9="!!!",F9="NEW"),"",INDEX(J$1:J8,SUMPRODUCT(MAX(ROW(E$1:E8)*(E9=E$1:E8)))))</f>
        <v/>
      </c>
      <c r="L9" s="27"/>
    </row>
    <row r="10" customFormat="false" ht="15" hidden="false" customHeight="false" outlineLevel="0" collapsed="false">
      <c r="A10" s="20" t="s">
        <v>204</v>
      </c>
      <c r="E10" s="21"/>
      <c r="F10" s="22"/>
      <c r="G10" s="23"/>
      <c r="H10" s="24"/>
      <c r="I10" s="25" t="str">
        <f aca="false">IF(OR(E10="",E10="!!!",F10="NEW"),"",INDEX(B$2:B9,-1+SUMPRODUCT(MAX(ROW(E$2:E9)*(E10=E$2:E9)))))</f>
        <v/>
      </c>
      <c r="J10" s="26" t="str">
        <f aca="true">IF(OR(E10="",E10="!!!",F10="NEW"),"",COUNTBLANK(OFFSET(A$1,,,SUMPRODUCT(MAX(ROW(E$2:E10)*(E10=E$2:E10)))))-COUNTBLANK(OFFSET(A$1,,,SUMPRODUCT(MAX(ROW(E$1:E9)*(E10=E$1:E9))))))</f>
        <v/>
      </c>
      <c r="K10" s="26" t="str">
        <f aca="false">IF(OR(E10="",E10="!!!",F10="NEW"),"",INDEX(J$1:J9,SUMPRODUCT(MAX(ROW(E$1:E9)*(E10=E$1:E9)))))</f>
        <v/>
      </c>
      <c r="L10" s="27"/>
    </row>
    <row r="11" customFormat="false" ht="15" hidden="false" customHeight="false" outlineLevel="0" collapsed="false">
      <c r="A11" s="20" t="s">
        <v>210</v>
      </c>
      <c r="B11" s="28" t="s">
        <v>206</v>
      </c>
      <c r="C11" s="28" t="s">
        <v>207</v>
      </c>
      <c r="D11" s="28" t="s">
        <v>198</v>
      </c>
      <c r="E11" s="21" t="s">
        <v>211</v>
      </c>
      <c r="F11" s="22" t="s">
        <v>200</v>
      </c>
      <c r="G11" s="23" t="s">
        <v>212</v>
      </c>
      <c r="H11" s="24"/>
      <c r="I11" s="25" t="str">
        <f aca="false">IF(OR(E11="",E11="!!!",F11="NEW"),"",INDEX(B$2:B10,-1+SUMPRODUCT(MAX(ROW(E$2:E10)*(E11=E$2:E10)))))</f>
        <v/>
      </c>
      <c r="J11" s="26" t="str">
        <f aca="true">IF(OR(E11="",E11="!!!",F11="NEW"),"",COUNTBLANK(OFFSET(A$1,,,SUMPRODUCT(MAX(ROW(E$2:E11)*(E11=E$2:E11)))))-COUNTBLANK(OFFSET(A$1,,,SUMPRODUCT(MAX(ROW(E$1:E10)*(E11=E$1:E10))))))</f>
        <v/>
      </c>
      <c r="K11" s="26" t="str">
        <f aca="false">IF(OR(E11="",E11="!!!",F11="NEW"),"",INDEX(J$1:J10,SUMPRODUCT(MAX(ROW(E$1:E10)*(E11=E$1:E10)))))</f>
        <v/>
      </c>
      <c r="L11" s="27"/>
    </row>
    <row r="12" customFormat="false" ht="15" hidden="false" customHeight="false" outlineLevel="0" collapsed="false">
      <c r="A12" s="20" t="s">
        <v>213</v>
      </c>
      <c r="E12" s="21"/>
      <c r="F12" s="22"/>
      <c r="G12" s="23"/>
      <c r="H12" s="24"/>
      <c r="I12" s="25" t="str">
        <f aca="false">IF(OR(E12="",E12="!!!",F12="NEW"),"",INDEX(B$2:B11,-1+SUMPRODUCT(MAX(ROW(E$2:E11)*(E12=E$2:E11)))))</f>
        <v/>
      </c>
      <c r="J12" s="26" t="str">
        <f aca="true">IF(OR(E12="",E12="!!!",F12="NEW"),"",COUNTBLANK(OFFSET(A$1,,,SUMPRODUCT(MAX(ROW(E$2:E12)*(E12=E$2:E12)))))-COUNTBLANK(OFFSET(A$1,,,SUMPRODUCT(MAX(ROW(E$1:E11)*(E12=E$1:E11))))))</f>
        <v/>
      </c>
      <c r="K12" s="26" t="str">
        <f aca="false">IF(OR(E12="",E12="!!!",F12="NEW"),"",INDEX(J$1:J11,SUMPRODUCT(MAX(ROW(E$1:E11)*(E12=E$1:E11)))))</f>
        <v/>
      </c>
      <c r="L12" s="27"/>
    </row>
    <row r="13" customFormat="false" ht="15" hidden="false" customHeight="false" outlineLevel="0" collapsed="false">
      <c r="A13" s="20" t="s">
        <v>204</v>
      </c>
      <c r="E13" s="21"/>
      <c r="F13" s="22"/>
      <c r="G13" s="23"/>
      <c r="H13" s="24"/>
      <c r="I13" s="25" t="str">
        <f aca="false">IF(OR(E13="",E13="!!!",F13="NEW"),"",INDEX(B$2:B12,-1+SUMPRODUCT(MAX(ROW(E$2:E12)*(E13=E$2:E12)))))</f>
        <v/>
      </c>
      <c r="J13" s="26" t="str">
        <f aca="true">IF(OR(E13="",E13="!!!",F13="NEW"),"",COUNTBLANK(OFFSET(A$1,,,SUMPRODUCT(MAX(ROW(E$2:E13)*(E13=E$2:E13)))))-COUNTBLANK(OFFSET(A$1,,,SUMPRODUCT(MAX(ROW(E$1:E12)*(E13=E$1:E12))))))</f>
        <v/>
      </c>
      <c r="K13" s="26" t="str">
        <f aca="false">IF(OR(E13="",E13="!!!",F13="NEW"),"",INDEX(J$1:J12,SUMPRODUCT(MAX(ROW(E$1:E12)*(E13=E$1:E12)))))</f>
        <v/>
      </c>
      <c r="L13" s="27"/>
    </row>
    <row r="14" customFormat="false" ht="15" hidden="false" customHeight="false" outlineLevel="0" collapsed="false">
      <c r="A14" s="20" t="s">
        <v>214</v>
      </c>
      <c r="B14" s="28" t="s">
        <v>215</v>
      </c>
      <c r="C14" s="28" t="s">
        <v>207</v>
      </c>
      <c r="D14" s="28" t="s">
        <v>198</v>
      </c>
      <c r="E14" s="21" t="s">
        <v>216</v>
      </c>
      <c r="F14" s="22" t="s">
        <v>200</v>
      </c>
      <c r="G14" s="23" t="s">
        <v>212</v>
      </c>
      <c r="H14" s="24"/>
      <c r="I14" s="25" t="str">
        <f aca="false">IF(OR(E14="",E14="!!!",F14="NEW"),"",INDEX(B$2:B13,-1+SUMPRODUCT(MAX(ROW(E$2:E13)*(E14=E$2:E13)))))</f>
        <v/>
      </c>
      <c r="J14" s="26" t="str">
        <f aca="true">IF(OR(E14="",E14="!!!",F14="NEW"),"",COUNTBLANK(OFFSET(A$1,,,SUMPRODUCT(MAX(ROW(E$2:E14)*(E14=E$2:E14)))))-COUNTBLANK(OFFSET(A$1,,,SUMPRODUCT(MAX(ROW(E$1:E13)*(E14=E$1:E13))))))</f>
        <v/>
      </c>
      <c r="K14" s="26" t="str">
        <f aca="false">IF(OR(E14="",E14="!!!",F14="NEW"),"",INDEX(J$1:J13,SUMPRODUCT(MAX(ROW(E$1:E13)*(E14=E$1:E13)))))</f>
        <v/>
      </c>
      <c r="L14" s="27"/>
    </row>
    <row r="15" customFormat="false" ht="15" hidden="false" customHeight="false" outlineLevel="0" collapsed="false">
      <c r="A15" s="20" t="s">
        <v>217</v>
      </c>
      <c r="E15" s="21"/>
      <c r="F15" s="22"/>
      <c r="G15" s="23"/>
      <c r="H15" s="24"/>
      <c r="I15" s="25" t="str">
        <f aca="false">IF(OR(E15="",E15="!!!",F15="NEW"),"",INDEX(B$2:B14,-1+SUMPRODUCT(MAX(ROW(E$2:E14)*(E15=E$2:E14)))))</f>
        <v/>
      </c>
      <c r="J15" s="26" t="str">
        <f aca="true">IF(OR(E15="",E15="!!!",F15="NEW"),"",COUNTBLANK(OFFSET(A$1,,,SUMPRODUCT(MAX(ROW(E$2:E15)*(E15=E$2:E15)))))-COUNTBLANK(OFFSET(A$1,,,SUMPRODUCT(MAX(ROW(E$1:E14)*(E15=E$1:E14))))))</f>
        <v/>
      </c>
      <c r="K15" s="26" t="str">
        <f aca="false">IF(OR(E15="",E15="!!!",F15="NEW"),"",INDEX(J$1:J14,SUMPRODUCT(MAX(ROW(E$1:E14)*(E15=E$1:E14)))))</f>
        <v/>
      </c>
      <c r="L15" s="27"/>
    </row>
    <row r="16" customFormat="false" ht="15" hidden="false" customHeight="false" outlineLevel="0" collapsed="false">
      <c r="A16" s="20" t="s">
        <v>204</v>
      </c>
      <c r="E16" s="21"/>
      <c r="F16" s="22"/>
      <c r="G16" s="23"/>
      <c r="H16" s="24"/>
      <c r="I16" s="25" t="str">
        <f aca="false">IF(OR(E16="",E16="!!!",F16="NEW"),"",INDEX(B$2:B15,-1+SUMPRODUCT(MAX(ROW(E$2:E15)*(E16=E$2:E15)))))</f>
        <v/>
      </c>
      <c r="J16" s="26" t="str">
        <f aca="true">IF(OR(E16="",E16="!!!",F16="NEW"),"",COUNTBLANK(OFFSET(A$1,,,SUMPRODUCT(MAX(ROW(E$2:E16)*(E16=E$2:E16)))))-COUNTBLANK(OFFSET(A$1,,,SUMPRODUCT(MAX(ROW(E$1:E15)*(E16=E$1:E15))))))</f>
        <v/>
      </c>
      <c r="K16" s="26" t="str">
        <f aca="false">IF(OR(E16="",E16="!!!",F16="NEW"),"",INDEX(J$1:J15,SUMPRODUCT(MAX(ROW(E$1:E15)*(E16=E$1:E15)))))</f>
        <v/>
      </c>
      <c r="L16" s="27"/>
    </row>
    <row r="17" customFormat="false" ht="15" hidden="false" customHeight="false" outlineLevel="0" collapsed="false">
      <c r="A17" s="20" t="s">
        <v>218</v>
      </c>
      <c r="B17" s="28" t="s">
        <v>219</v>
      </c>
      <c r="C17" s="28" t="s">
        <v>207</v>
      </c>
      <c r="D17" s="28" t="s">
        <v>198</v>
      </c>
      <c r="E17" s="21" t="s">
        <v>220</v>
      </c>
      <c r="F17" s="22" t="s">
        <v>200</v>
      </c>
      <c r="G17" s="23" t="s">
        <v>201</v>
      </c>
      <c r="H17" s="24"/>
      <c r="I17" s="25" t="str">
        <f aca="false">IF(OR(E17="",E17="!!!",F17="NEW"),"",INDEX(B$2:B16,-1+SUMPRODUCT(MAX(ROW(E$2:E16)*(E17=E$2:E16)))))</f>
        <v/>
      </c>
      <c r="J17" s="26" t="str">
        <f aca="true">IF(OR(E17="",E17="!!!",F17="NEW"),"",COUNTBLANK(OFFSET(A$1,,,SUMPRODUCT(MAX(ROW(E$2:E17)*(E17=E$2:E17)))))-COUNTBLANK(OFFSET(A$1,,,SUMPRODUCT(MAX(ROW(E$1:E16)*(E17=E$1:E16))))))</f>
        <v/>
      </c>
      <c r="K17" s="26" t="str">
        <f aca="false">IF(OR(E17="",E17="!!!",F17="NEW"),"",INDEX(J$1:J16,SUMPRODUCT(MAX(ROW(E$1:E16)*(E17=E$1:E16)))))</f>
        <v/>
      </c>
      <c r="L17" s="27"/>
    </row>
    <row r="18" customFormat="false" ht="15" hidden="false" customHeight="false" outlineLevel="0" collapsed="false">
      <c r="A18" s="20" t="s">
        <v>213</v>
      </c>
      <c r="E18" s="21"/>
      <c r="F18" s="22"/>
      <c r="G18" s="23"/>
      <c r="H18" s="24"/>
      <c r="I18" s="25" t="str">
        <f aca="false">IF(OR(E18="",E18="!!!",F18="NEW"),"",INDEX(B$2:B17,-1+SUMPRODUCT(MAX(ROW(E$2:E17)*(E18=E$2:E17)))))</f>
        <v/>
      </c>
      <c r="J18" s="26" t="str">
        <f aca="true">IF(OR(E18="",E18="!!!",F18="NEW"),"",COUNTBLANK(OFFSET(A$1,,,SUMPRODUCT(MAX(ROW(E$2:E18)*(E18=E$2:E18)))))-COUNTBLANK(OFFSET(A$1,,,SUMPRODUCT(MAX(ROW(E$1:E17)*(E18=E$1:E17))))))</f>
        <v/>
      </c>
      <c r="K18" s="26" t="str">
        <f aca="false">IF(OR(E18="",E18="!!!",F18="NEW"),"",INDEX(J$1:J17,SUMPRODUCT(MAX(ROW(E$1:E17)*(E18=E$1:E17)))))</f>
        <v/>
      </c>
      <c r="L18" s="27"/>
    </row>
    <row r="19" customFormat="false" ht="15" hidden="false" customHeight="false" outlineLevel="0" collapsed="false">
      <c r="A19" s="20" t="s">
        <v>204</v>
      </c>
      <c r="E19" s="21"/>
      <c r="F19" s="22"/>
      <c r="G19" s="23"/>
      <c r="H19" s="24"/>
      <c r="I19" s="25" t="str">
        <f aca="false">IF(OR(E19="",E19="!!!",F19="NEW"),"",INDEX(B$2:B18,-1+SUMPRODUCT(MAX(ROW(E$2:E18)*(E19=E$2:E18)))))</f>
        <v/>
      </c>
      <c r="J19" s="26" t="str">
        <f aca="true">IF(OR(E19="",E19="!!!",F19="NEW"),"",COUNTBLANK(OFFSET(A$1,,,SUMPRODUCT(MAX(ROW(E$2:E19)*(E19=E$2:E19)))))-COUNTBLANK(OFFSET(A$1,,,SUMPRODUCT(MAX(ROW(E$1:E18)*(E19=E$1:E18))))))</f>
        <v/>
      </c>
      <c r="K19" s="26" t="str">
        <f aca="false">IF(OR(E19="",E19="!!!",F19="NEW"),"",INDEX(J$1:J18,SUMPRODUCT(MAX(ROW(E$1:E18)*(E19=E$1:E18)))))</f>
        <v/>
      </c>
      <c r="L19" s="27"/>
    </row>
    <row r="20" customFormat="false" ht="15" hidden="false" customHeight="false" outlineLevel="0" collapsed="false">
      <c r="A20" s="20" t="s">
        <v>221</v>
      </c>
      <c r="B20" s="28" t="s">
        <v>222</v>
      </c>
      <c r="C20" s="28" t="s">
        <v>223</v>
      </c>
      <c r="D20" s="28" t="s">
        <v>198</v>
      </c>
      <c r="E20" s="21" t="s">
        <v>221</v>
      </c>
      <c r="F20" s="22" t="s">
        <v>200</v>
      </c>
      <c r="G20" s="23" t="s">
        <v>212</v>
      </c>
      <c r="H20" s="24"/>
      <c r="I20" s="25" t="str">
        <f aca="false">IF(OR(E20="",E20="!!!",F20="NEW"),"",INDEX(B$2:B19,-1+SUMPRODUCT(MAX(ROW(E$2:E19)*(E20=E$2:E19)))))</f>
        <v/>
      </c>
      <c r="J20" s="26" t="str">
        <f aca="true">IF(OR(E20="",E20="!!!",F20="NEW"),"",COUNTBLANK(OFFSET(A$1,,,SUMPRODUCT(MAX(ROW(E$2:E20)*(E20=E$2:E20)))))-COUNTBLANK(OFFSET(A$1,,,SUMPRODUCT(MAX(ROW(E$1:E19)*(E20=E$1:E19))))))</f>
        <v/>
      </c>
      <c r="K20" s="26" t="str">
        <f aca="false">IF(OR(E20="",E20="!!!",F20="NEW"),"",INDEX(J$1:J19,SUMPRODUCT(MAX(ROW(E$1:E19)*(E20=E$1:E19)))))</f>
        <v/>
      </c>
      <c r="L20" s="27"/>
    </row>
    <row r="21" customFormat="false" ht="15" hidden="false" customHeight="false" outlineLevel="0" collapsed="false">
      <c r="A21" s="20" t="s">
        <v>224</v>
      </c>
      <c r="E21" s="21"/>
      <c r="F21" s="22"/>
      <c r="G21" s="23"/>
      <c r="H21" s="24"/>
      <c r="I21" s="25" t="str">
        <f aca="false">IF(OR(E21="",E21="!!!",F21="NEW"),"",INDEX(B$2:B20,-1+SUMPRODUCT(MAX(ROW(E$2:E20)*(E21=E$2:E20)))))</f>
        <v/>
      </c>
      <c r="J21" s="26" t="str">
        <f aca="true">IF(OR(E21="",E21="!!!",F21="NEW"),"",COUNTBLANK(OFFSET(A$1,,,SUMPRODUCT(MAX(ROW(E$2:E21)*(E21=E$2:E21)))))-COUNTBLANK(OFFSET(A$1,,,SUMPRODUCT(MAX(ROW(E$1:E20)*(E21=E$1:E20))))))</f>
        <v/>
      </c>
      <c r="K21" s="26" t="str">
        <f aca="false">IF(OR(E21="",E21="!!!",F21="NEW"),"",INDEX(J$1:J20,SUMPRODUCT(MAX(ROW(E$1:E20)*(E21=E$1:E20)))))</f>
        <v/>
      </c>
      <c r="L21" s="27"/>
    </row>
    <row r="22" customFormat="false" ht="15" hidden="false" customHeight="false" outlineLevel="0" collapsed="false">
      <c r="A22" s="20" t="s">
        <v>203</v>
      </c>
      <c r="E22" s="21"/>
      <c r="F22" s="22"/>
      <c r="G22" s="23"/>
      <c r="H22" s="24"/>
      <c r="I22" s="25" t="str">
        <f aca="false">IF(OR(E22="",E22="!!!",F22="NEW"),"",INDEX(B$2:B21,-1+SUMPRODUCT(MAX(ROW(E$2:E21)*(E22=E$2:E21)))))</f>
        <v/>
      </c>
      <c r="J22" s="26" t="str">
        <f aca="true">IF(OR(E22="",E22="!!!",F22="NEW"),"",COUNTBLANK(OFFSET(A$1,,,SUMPRODUCT(MAX(ROW(E$2:E22)*(E22=E$2:E22)))))-COUNTBLANK(OFFSET(A$1,,,SUMPRODUCT(MAX(ROW(E$1:E21)*(E22=E$1:E21))))))</f>
        <v/>
      </c>
      <c r="K22" s="26" t="str">
        <f aca="false">IF(OR(E22="",E22="!!!",F22="NEW"),"",INDEX(J$1:J21,SUMPRODUCT(MAX(ROW(E$1:E21)*(E22=E$1:E21)))))</f>
        <v/>
      </c>
      <c r="L22" s="27"/>
    </row>
    <row r="23" customFormat="false" ht="15" hidden="false" customHeight="false" outlineLevel="0" collapsed="false">
      <c r="A23" s="20" t="s">
        <v>225</v>
      </c>
      <c r="B23" s="28" t="s">
        <v>215</v>
      </c>
      <c r="C23" s="28" t="s">
        <v>197</v>
      </c>
      <c r="D23" s="28" t="s">
        <v>198</v>
      </c>
      <c r="E23" s="21" t="s">
        <v>199</v>
      </c>
      <c r="F23" s="22" t="s">
        <v>226</v>
      </c>
      <c r="G23" s="23" t="s">
        <v>227</v>
      </c>
      <c r="H23" s="24"/>
      <c r="I23" s="25" t="str">
        <f aca="false">IF(OR(E23="",E23="!!!",F23="NEW"),"",INDEX(B$2:B22,-1+SUMPRODUCT(MAX(ROW(E$2:E22)*(E23=E$2:E22)))))</f>
        <v>SBJ</v>
      </c>
      <c r="J23" s="26" t="n">
        <f aca="true">IF(OR(E23="",E23="!!!",F23="NEW"),"",COUNTBLANK(OFFSET(A$1,,,SUMPRODUCT(MAX(ROW(E$2:E23)*(E23=E$2:E23)))))-COUNTBLANK(OFFSET(A$1,,,SUMPRODUCT(MAX(ROW(E$1:E22)*(E23=E$1:E22))))))</f>
        <v>0</v>
      </c>
      <c r="K23" s="26" t="str">
        <f aca="false">IF(OR(E23="",E23="!!!",F23="NEW"),"",INDEX(J$1:J22,SUMPRODUCT(MAX(ROW(E$1:E22)*(E23=E$1:E22)))))</f>
        <v/>
      </c>
      <c r="L23" s="27"/>
    </row>
    <row r="24" customFormat="false" ht="15" hidden="false" customHeight="false" outlineLevel="0" collapsed="false">
      <c r="A24" s="20" t="s">
        <v>209</v>
      </c>
      <c r="E24" s="21"/>
      <c r="F24" s="22"/>
      <c r="G24" s="23"/>
      <c r="H24" s="24"/>
      <c r="I24" s="25" t="str">
        <f aca="false">IF(OR(E24="",E24="!!!",F24="NEW"),"",INDEX(B$2:B23,-1+SUMPRODUCT(MAX(ROW(E$2:E23)*(E24=E$2:E23)))))</f>
        <v/>
      </c>
      <c r="J24" s="26" t="str">
        <f aca="true">IF(OR(E24="",E24="!!!",F24="NEW"),"",COUNTBLANK(OFFSET(A$1,,,SUMPRODUCT(MAX(ROW(E$2:E24)*(E24=E$2:E24)))))-COUNTBLANK(OFFSET(A$1,,,SUMPRODUCT(MAX(ROW(E$1:E23)*(E24=E$1:E23))))))</f>
        <v/>
      </c>
      <c r="K24" s="26" t="str">
        <f aca="false">IF(OR(E24="",E24="!!!",F24="NEW"),"",INDEX(J$1:J23,SUMPRODUCT(MAX(ROW(E$1:E23)*(E24=E$1:E23)))))</f>
        <v/>
      </c>
      <c r="L24" s="27"/>
    </row>
    <row r="25" customFormat="false" ht="15" hidden="false" customHeight="false" outlineLevel="0" collapsed="false">
      <c r="A25" s="20"/>
    </row>
    <row r="26" customFormat="false" ht="15" hidden="false" customHeight="false" outlineLevel="0" collapsed="false">
      <c r="A26" s="20" t="s">
        <v>228</v>
      </c>
    </row>
    <row r="27" customFormat="false" ht="15" hidden="false" customHeight="false" outlineLevel="0" collapsed="false">
      <c r="A27" s="20" t="s">
        <v>229</v>
      </c>
      <c r="E27" s="21"/>
      <c r="F27" s="22"/>
      <c r="G27" s="23"/>
      <c r="H27" s="24"/>
      <c r="I27" s="25" t="str">
        <f aca="false">IF(OR(E27="",E27="!!!",F27="NEW"),"",INDEX(B$2:B24,-1+SUMPRODUCT(MAX(ROW(E$2:E24)*(E27=E$2:E24)))))</f>
        <v/>
      </c>
      <c r="J27" s="26" t="str">
        <f aca="true">IF(OR(E27="",E27="!!!",F27="NEW"),"",COUNTBLANK(OFFSET(A$1,,,SUMPRODUCT(MAX(ROW(E$2:E25)*(E27=E$2:E25)))))-COUNTBLANK(OFFSET(A$1,,,SUMPRODUCT(MAX(ROW(E$1:E24)*(E27=E$1:E24))))))</f>
        <v/>
      </c>
      <c r="K27" s="26" t="str">
        <f aca="false">IF(OR(E27="",E27="!!!",F27="NEW"),"",INDEX(J$1:J24,SUMPRODUCT(MAX(ROW(E$1:E24)*(E27=E$1:E24)))))</f>
        <v/>
      </c>
      <c r="L27" s="27"/>
    </row>
    <row r="28" customFormat="false" ht="15" hidden="false" customHeight="false" outlineLevel="0" collapsed="false">
      <c r="A28" s="20" t="s">
        <v>230</v>
      </c>
      <c r="E28" s="21"/>
      <c r="F28" s="22"/>
      <c r="G28" s="23"/>
      <c r="H28" s="24"/>
      <c r="I28" s="25" t="str">
        <f aca="false">IF(OR(E28="",E28="!!!",F28="NEW"),"",INDEX(B$2:B25,-1+SUMPRODUCT(MAX(ROW(E$2:E25)*(E28=E$2:E25)))))</f>
        <v/>
      </c>
      <c r="J28" s="26" t="str">
        <f aca="true">IF(OR(E28="",E28="!!!",F28="NEW"),"",COUNTBLANK(OFFSET(A$1,,,SUMPRODUCT(MAX(ROW(E$2:E26)*(E28=E$2:E26)))))-COUNTBLANK(OFFSET(A$1,,,SUMPRODUCT(MAX(ROW(E$1:E25)*(E28=E$1:E25))))))</f>
        <v/>
      </c>
      <c r="K28" s="26" t="str">
        <f aca="false">IF(OR(E28="",E28="!!!",F28="NEW"),"",INDEX(J$1:J25,SUMPRODUCT(MAX(ROW(E$1:E25)*(E28=E$1:E25)))))</f>
        <v/>
      </c>
      <c r="L28" s="27"/>
    </row>
    <row r="29" customFormat="false" ht="15" hidden="false" customHeight="false" outlineLevel="0" collapsed="false">
      <c r="A29" s="20" t="s">
        <v>231</v>
      </c>
      <c r="E29" s="21"/>
      <c r="F29" s="22"/>
      <c r="G29" s="23"/>
      <c r="H29" s="24"/>
      <c r="I29" s="25" t="str">
        <f aca="false">IF(OR(E29="",E29="!!!",F29="NEW"),"",INDEX(B$2:B26,-1+SUMPRODUCT(MAX(ROW(E$2:E26)*(E29=E$2:E26)))))</f>
        <v/>
      </c>
      <c r="J29" s="26" t="str">
        <f aca="true">IF(OR(E29="",E29="!!!",F29="NEW"),"",COUNTBLANK(OFFSET(A$1,,,SUMPRODUCT(MAX(ROW(E$2:E27)*(E29=E$2:E27)))))-COUNTBLANK(OFFSET(A$1,,,SUMPRODUCT(MAX(ROW(E$1:E26)*(E29=E$1:E26))))))</f>
        <v/>
      </c>
      <c r="K29" s="26" t="str">
        <f aca="false">IF(OR(E29="",E29="!!!",F29="NEW"),"",INDEX(J$1:J26,SUMPRODUCT(MAX(ROW(E$1:E26)*(E29=E$1:E26)))))</f>
        <v/>
      </c>
      <c r="L29" s="27"/>
    </row>
    <row r="30" customFormat="false" ht="15" hidden="false" customHeight="false" outlineLevel="0" collapsed="false">
      <c r="A30" s="20" t="s">
        <v>195</v>
      </c>
      <c r="B30" s="28" t="s">
        <v>222</v>
      </c>
      <c r="C30" s="28" t="s">
        <v>197</v>
      </c>
      <c r="D30" s="28" t="s">
        <v>198</v>
      </c>
      <c r="E30" s="21" t="s">
        <v>232</v>
      </c>
      <c r="F30" s="22" t="s">
        <v>200</v>
      </c>
      <c r="G30" s="23" t="s">
        <v>212</v>
      </c>
      <c r="H30" s="24"/>
      <c r="I30" s="25" t="str">
        <f aca="false">IF(OR(E30="",E30="!!!",F30="NEW"),"",INDEX(B$2:B27,-1+SUMPRODUCT(MAX(ROW(E$2:E27)*(E30=E$2:E27)))))</f>
        <v/>
      </c>
      <c r="J30" s="26" t="str">
        <f aca="true">IF(OR(E30="",E30="!!!",F30="NEW"),"",COUNTBLANK(OFFSET(A$1,,,SUMPRODUCT(MAX(ROW(E$2:E28)*(E30=E$2:E28)))))-COUNTBLANK(OFFSET(A$1,,,SUMPRODUCT(MAX(ROW(E$1:E27)*(E30=E$1:E27))))))</f>
        <v/>
      </c>
      <c r="K30" s="26" t="str">
        <f aca="false">IF(OR(E30="",E30="!!!",F30="NEW"),"",INDEX(J$1:J27,SUMPRODUCT(MAX(ROW(E$1:E27)*(E30=E$1:E27)))))</f>
        <v/>
      </c>
      <c r="L30" s="27"/>
    </row>
    <row r="31" customFormat="false" ht="15" hidden="false" customHeight="false" outlineLevel="0" collapsed="false">
      <c r="A31" s="20" t="s">
        <v>233</v>
      </c>
      <c r="E31" s="21"/>
      <c r="F31" s="22"/>
      <c r="G31" s="23"/>
      <c r="H31" s="24"/>
      <c r="I31" s="25" t="str">
        <f aca="false">IF(OR(E31="",E31="!!!",F31="NEW"),"",INDEX(B$2:B28,-1+SUMPRODUCT(MAX(ROW(E$2:E28)*(E31=E$2:E28)))))</f>
        <v/>
      </c>
      <c r="J31" s="26" t="str">
        <f aca="true">IF(OR(E31="",E31="!!!",F31="NEW"),"",COUNTBLANK(OFFSET(A$1,,,SUMPRODUCT(MAX(ROW(E$2:E29)*(E31=E$2:E29)))))-COUNTBLANK(OFFSET(A$1,,,SUMPRODUCT(MAX(ROW(E$1:E28)*(E31=E$1:E28))))))</f>
        <v/>
      </c>
      <c r="K31" s="26" t="str">
        <f aca="false">IF(OR(E31="",E31="!!!",F31="NEW"),"",INDEX(J$1:J28,SUMPRODUCT(MAX(ROW(E$1:E28)*(E31=E$1:E28)))))</f>
        <v/>
      </c>
      <c r="L31" s="27"/>
    </row>
    <row r="32" customFormat="false" ht="15" hidden="false" customHeight="false" outlineLevel="0" collapsed="false">
      <c r="A32" s="20" t="s">
        <v>204</v>
      </c>
      <c r="E32" s="21"/>
      <c r="F32" s="22"/>
      <c r="G32" s="23"/>
      <c r="H32" s="24"/>
      <c r="I32" s="25" t="str">
        <f aca="false">IF(OR(E32="",E32="!!!",F32="NEW"),"",INDEX(B$2:B29,-1+SUMPRODUCT(MAX(ROW(E$2:E29)*(E32=E$2:E29)))))</f>
        <v/>
      </c>
      <c r="J32" s="26" t="str">
        <f aca="true">IF(OR(E32="",E32="!!!",F32="NEW"),"",COUNTBLANK(OFFSET(A$1,,,SUMPRODUCT(MAX(ROW(E$2:E30)*(E32=E$2:E30)))))-COUNTBLANK(OFFSET(A$1,,,SUMPRODUCT(MAX(ROW(E$1:E29)*(E32=E$1:E29))))))</f>
        <v/>
      </c>
      <c r="K32" s="26" t="str">
        <f aca="false">IF(OR(E32="",E32="!!!",F32="NEW"),"",INDEX(J$1:J29,SUMPRODUCT(MAX(ROW(E$1:E29)*(E32=E$1:E29)))))</f>
        <v/>
      </c>
      <c r="L32" s="27"/>
    </row>
    <row r="33" customFormat="false" ht="15" hidden="false" customHeight="false" outlineLevel="0" collapsed="false">
      <c r="A33" s="20" t="s">
        <v>205</v>
      </c>
      <c r="B33" s="28" t="s">
        <v>234</v>
      </c>
      <c r="C33" s="28" t="s">
        <v>207</v>
      </c>
      <c r="D33" s="28" t="s">
        <v>198</v>
      </c>
      <c r="E33" s="21" t="s">
        <v>208</v>
      </c>
      <c r="F33" s="22" t="s">
        <v>226</v>
      </c>
      <c r="G33" s="23" t="s">
        <v>227</v>
      </c>
      <c r="H33" s="24"/>
      <c r="I33" s="25" t="str">
        <f aca="false">IF(OR(E33="",E33="!!!",F33="NEW"),"",INDEX(B$2:B30,-1+SUMPRODUCT(MAX(ROW(E$2:E30)*(E33=E$2:E30)))))</f>
        <v>other</v>
      </c>
      <c r="J33" s="26" t="n">
        <f aca="true">IF(OR(E33="",E33="!!!",F33="NEW"),"",COUNTBLANK(OFFSET(A$1,,,SUMPRODUCT(MAX(ROW(E$2:E31)*(E33=E$2:E31)))))-COUNTBLANK(OFFSET(A$1,,,SUMPRODUCT(MAX(ROW(E$1:E30)*(E33=E$1:E30))))))</f>
        <v>0</v>
      </c>
      <c r="K33" s="26" t="str">
        <f aca="false">IF(OR(E33="",E33="!!!",F33="NEW"),"",INDEX(J$1:J30,SUMPRODUCT(MAX(ROW(E$1:E30)*(E33=E$1:E30)))))</f>
        <v/>
      </c>
      <c r="L33" s="27"/>
    </row>
    <row r="34" customFormat="false" ht="15" hidden="false" customHeight="false" outlineLevel="0" collapsed="false">
      <c r="A34" s="20" t="s">
        <v>213</v>
      </c>
      <c r="E34" s="21"/>
      <c r="F34" s="22"/>
      <c r="G34" s="23"/>
      <c r="H34" s="24"/>
      <c r="I34" s="25" t="str">
        <f aca="false">IF(OR(E34="",E34="!!!",F34="NEW"),"",INDEX(B$2:B31,-1+SUMPRODUCT(MAX(ROW(E$2:E31)*(E34=E$2:E31)))))</f>
        <v/>
      </c>
      <c r="J34" s="26" t="str">
        <f aca="true">IF(OR(E34="",E34="!!!",F34="NEW"),"",COUNTBLANK(OFFSET(A$1,,,SUMPRODUCT(MAX(ROW(E$2:E32)*(E34=E$2:E32)))))-COUNTBLANK(OFFSET(A$1,,,SUMPRODUCT(MAX(ROW(E$1:E31)*(E34=E$1:E31))))))</f>
        <v/>
      </c>
      <c r="K34" s="26" t="str">
        <f aca="false">IF(OR(E34="",E34="!!!",F34="NEW"),"",INDEX(J$1:J31,SUMPRODUCT(MAX(ROW(E$1:E31)*(E34=E$1:E31)))))</f>
        <v/>
      </c>
      <c r="L34" s="27"/>
    </row>
    <row r="35" customFormat="false" ht="15" hidden="false" customHeight="false" outlineLevel="0" collapsed="false">
      <c r="A35" s="20" t="s">
        <v>235</v>
      </c>
      <c r="E35" s="21"/>
      <c r="F35" s="22"/>
      <c r="G35" s="23"/>
      <c r="H35" s="24"/>
      <c r="I35" s="25" t="str">
        <f aca="false">IF(OR(E35="",E35="!!!",F35="NEW"),"",INDEX(B$2:B32,-1+SUMPRODUCT(MAX(ROW(E$2:E32)*(E35=E$2:E32)))))</f>
        <v/>
      </c>
      <c r="J35" s="26" t="str">
        <f aca="true">IF(OR(E35="",E35="!!!",F35="NEW"),"",COUNTBLANK(OFFSET(A$1,,,SUMPRODUCT(MAX(ROW(E$2:E33)*(E35=E$2:E33)))))-COUNTBLANK(OFFSET(A$1,,,SUMPRODUCT(MAX(ROW(E$1:E32)*(E35=E$1:E32))))))</f>
        <v/>
      </c>
      <c r="K35" s="26" t="str">
        <f aca="false">IF(OR(E35="",E35="!!!",F35="NEW"),"",INDEX(J$1:J32,SUMPRODUCT(MAX(ROW(E$1:E32)*(E35=E$1:E32)))))</f>
        <v/>
      </c>
      <c r="L35" s="27"/>
    </row>
    <row r="36" customFormat="false" ht="15" hidden="false" customHeight="false" outlineLevel="0" collapsed="false">
      <c r="A36" s="20" t="s">
        <v>236</v>
      </c>
      <c r="E36" s="21"/>
      <c r="F36" s="22"/>
      <c r="G36" s="23"/>
      <c r="H36" s="24"/>
      <c r="I36" s="25" t="str">
        <f aca="false">IF(OR(E36="",E36="!!!",F36="NEW"),"",INDEX(B$2:B33,-1+SUMPRODUCT(MAX(ROW(E$2:E33)*(E36=E$2:E33)))))</f>
        <v/>
      </c>
      <c r="J36" s="26" t="str">
        <f aca="true">IF(OR(E36="",E36="!!!",F36="NEW"),"",COUNTBLANK(OFFSET(A$1,,,SUMPRODUCT(MAX(ROW(E$2:E34)*(E36=E$2:E34)))))-COUNTBLANK(OFFSET(A$1,,,SUMPRODUCT(MAX(ROW(E$1:E33)*(E36=E$1:E33))))))</f>
        <v/>
      </c>
      <c r="K36" s="26" t="str">
        <f aca="false">IF(OR(E36="",E36="!!!",F36="NEW"),"",INDEX(J$1:J33,SUMPRODUCT(MAX(ROW(E$1:E33)*(E36=E$1:E33)))))</f>
        <v/>
      </c>
      <c r="L36" s="27"/>
    </row>
    <row r="37" customFormat="false" ht="15" hidden="false" customHeight="false" outlineLevel="0" collapsed="false">
      <c r="A37" s="20" t="s">
        <v>237</v>
      </c>
      <c r="B37" s="28" t="s">
        <v>219</v>
      </c>
      <c r="C37" s="28" t="s">
        <v>223</v>
      </c>
      <c r="D37" s="28" t="s">
        <v>198</v>
      </c>
      <c r="E37" s="21" t="s">
        <v>237</v>
      </c>
      <c r="F37" s="22" t="s">
        <v>200</v>
      </c>
      <c r="G37" s="23" t="s">
        <v>201</v>
      </c>
      <c r="H37" s="24"/>
      <c r="I37" s="25" t="str">
        <f aca="false">IF(OR(E37="",E37="!!!",F37="NEW"),"",INDEX(B$2:B34,-1+SUMPRODUCT(MAX(ROW(E$2:E34)*(E37=E$2:E34)))))</f>
        <v/>
      </c>
      <c r="J37" s="26" t="str">
        <f aca="true">IF(OR(E37="",E37="!!!",F37="NEW"),"",COUNTBLANK(OFFSET(A$1,,,SUMPRODUCT(MAX(ROW(E$2:E35)*(E37=E$2:E35)))))-COUNTBLANK(OFFSET(A$1,,,SUMPRODUCT(MAX(ROW(E$1:E34)*(E37=E$1:E34))))))</f>
        <v/>
      </c>
      <c r="K37" s="26" t="str">
        <f aca="false">IF(OR(E37="",E37="!!!",F37="NEW"),"",INDEX(J$1:J34,SUMPRODUCT(MAX(ROW(E$1:E34)*(E37=E$1:E34)))))</f>
        <v/>
      </c>
      <c r="L37" s="27" t="s">
        <v>238</v>
      </c>
    </row>
    <row r="38" customFormat="false" ht="15" hidden="false" customHeight="false" outlineLevel="0" collapsed="false">
      <c r="A38" s="20" t="s">
        <v>204</v>
      </c>
      <c r="E38" s="21"/>
      <c r="F38" s="22"/>
      <c r="G38" s="23"/>
      <c r="H38" s="24"/>
      <c r="I38" s="25" t="str">
        <f aca="false">IF(OR(E38="",E38="!!!",F38="NEW"),"",INDEX(B$2:B35,-1+SUMPRODUCT(MAX(ROW(E$2:E35)*(E38=E$2:E35)))))</f>
        <v/>
      </c>
      <c r="J38" s="26" t="str">
        <f aca="true">IF(OR(E38="",E38="!!!",F38="NEW"),"",COUNTBLANK(OFFSET(A$1,,,SUMPRODUCT(MAX(ROW(E$2:E36)*(E38=E$2:E36)))))-COUNTBLANK(OFFSET(A$1,,,SUMPRODUCT(MAX(ROW(E$1:E35)*(E38=E$1:E35))))))</f>
        <v/>
      </c>
      <c r="K38" s="26" t="str">
        <f aca="false">IF(OR(E38="",E38="!!!",F38="NEW"),"",INDEX(J$1:J35,SUMPRODUCT(MAX(ROW(E$1:E35)*(E38=E$1:E35)))))</f>
        <v/>
      </c>
      <c r="L38" s="27"/>
    </row>
    <row r="39" customFormat="false" ht="15" hidden="false" customHeight="false" outlineLevel="0" collapsed="false">
      <c r="A39" s="20" t="s">
        <v>239</v>
      </c>
      <c r="B39" s="28" t="s">
        <v>240</v>
      </c>
      <c r="C39" s="28" t="s">
        <v>207</v>
      </c>
      <c r="D39" s="28" t="s">
        <v>198</v>
      </c>
      <c r="E39" s="21" t="s">
        <v>241</v>
      </c>
      <c r="F39" s="22" t="s">
        <v>200</v>
      </c>
      <c r="G39" s="23" t="s">
        <v>201</v>
      </c>
      <c r="H39" s="24"/>
      <c r="I39" s="25" t="str">
        <f aca="false">IF(OR(E39="",E39="!!!",F39="NEW"),"",INDEX(B$2:B36,-1+SUMPRODUCT(MAX(ROW(E$2:E36)*(E39=E$2:E36)))))</f>
        <v/>
      </c>
      <c r="J39" s="26" t="str">
        <f aca="true">IF(OR(E39="",E39="!!!",F39="NEW"),"",COUNTBLANK(OFFSET(A$1,,,SUMPRODUCT(MAX(ROW(E$2:E37)*(E39=E$2:E37)))))-COUNTBLANK(OFFSET(A$1,,,SUMPRODUCT(MAX(ROW(E$1:E36)*(E39=E$1:E36))))))</f>
        <v/>
      </c>
      <c r="K39" s="26" t="str">
        <f aca="false">IF(OR(E39="",E39="!!!",F39="NEW"),"",INDEX(J$1:J36,SUMPRODUCT(MAX(ROW(E$1:E36)*(E39=E$1:E36)))))</f>
        <v/>
      </c>
      <c r="L39" s="27"/>
    </row>
    <row r="40" customFormat="false" ht="15" hidden="false" customHeight="false" outlineLevel="0" collapsed="false">
      <c r="A40" s="20" t="s">
        <v>242</v>
      </c>
      <c r="E40" s="21"/>
      <c r="F40" s="22"/>
      <c r="G40" s="23"/>
      <c r="H40" s="24"/>
      <c r="I40" s="25" t="str">
        <f aca="false">IF(OR(E40="",E40="!!!",F40="NEW"),"",INDEX(B$2:B37,-1+SUMPRODUCT(MAX(ROW(E$2:E37)*(E40=E$2:E37)))))</f>
        <v/>
      </c>
      <c r="J40" s="26" t="str">
        <f aca="true">IF(OR(E40="",E40="!!!",F40="NEW"),"",COUNTBLANK(OFFSET(A$1,,,SUMPRODUCT(MAX(ROW(E$2:E38)*(E40=E$2:E38)))))-COUNTBLANK(OFFSET(A$1,,,SUMPRODUCT(MAX(ROW(E$1:E37)*(E40=E$1:E37))))))</f>
        <v/>
      </c>
      <c r="K40" s="26" t="str">
        <f aca="false">IF(OR(E40="",E40="!!!",F40="NEW"),"",INDEX(J$1:J37,SUMPRODUCT(MAX(ROW(E$1:E37)*(E40=E$1:E37)))))</f>
        <v/>
      </c>
      <c r="L40" s="27"/>
    </row>
    <row r="41" customFormat="false" ht="15" hidden="false" customHeight="false" outlineLevel="0" collapsed="false">
      <c r="A41" s="20" t="s">
        <v>204</v>
      </c>
      <c r="E41" s="21"/>
      <c r="F41" s="22"/>
      <c r="G41" s="23"/>
      <c r="H41" s="24"/>
      <c r="I41" s="25" t="str">
        <f aca="false">IF(OR(E41="",E41="!!!",F41="NEW"),"",INDEX(B$2:B38,-1+SUMPRODUCT(MAX(ROW(E$2:E38)*(E41=E$2:E38)))))</f>
        <v/>
      </c>
      <c r="J41" s="26" t="str">
        <f aca="true">IF(OR(E41="",E41="!!!",F41="NEW"),"",COUNTBLANK(OFFSET(A$1,,,SUMPRODUCT(MAX(ROW(E$2:E39)*(E41=E$2:E39)))))-COUNTBLANK(OFFSET(A$1,,,SUMPRODUCT(MAX(ROW(E$1:E38)*(E41=E$1:E38))))))</f>
        <v/>
      </c>
      <c r="K41" s="26" t="str">
        <f aca="false">IF(OR(E41="",E41="!!!",F41="NEW"),"",INDEX(J$1:J38,SUMPRODUCT(MAX(ROW(E$1:E38)*(E41=E$1:E38)))))</f>
        <v/>
      </c>
      <c r="L41" s="27"/>
    </row>
    <row r="42" customFormat="false" ht="15" hidden="false" customHeight="false" outlineLevel="0" collapsed="false">
      <c r="A42" s="20" t="s">
        <v>243</v>
      </c>
      <c r="E42" s="21"/>
      <c r="F42" s="22"/>
      <c r="G42" s="23"/>
      <c r="H42" s="24"/>
      <c r="I42" s="25" t="str">
        <f aca="false">IF(OR(E42="",E42="!!!",F42="NEW"),"",INDEX(B$2:B39,-1+SUMPRODUCT(MAX(ROW(E$2:E39)*(E42=E$2:E39)))))</f>
        <v/>
      </c>
      <c r="J42" s="26" t="str">
        <f aca="true">IF(OR(E42="",E42="!!!",F42="NEW"),"",COUNTBLANK(OFFSET(A$1,,,SUMPRODUCT(MAX(ROW(E$2:E40)*(E42=E$2:E40)))))-COUNTBLANK(OFFSET(A$1,,,SUMPRODUCT(MAX(ROW(E$1:E39)*(E42=E$1:E39))))))</f>
        <v/>
      </c>
      <c r="K42" s="26" t="str">
        <f aca="false">IF(OR(E42="",E42="!!!",F42="NEW"),"",INDEX(J$1:J39,SUMPRODUCT(MAX(ROW(E$1:E39)*(E42=E$1:E39)))))</f>
        <v/>
      </c>
      <c r="L42" s="27"/>
    </row>
    <row r="43" customFormat="false" ht="15" hidden="false" customHeight="false" outlineLevel="0" collapsed="false">
      <c r="A43" s="20" t="s">
        <v>244</v>
      </c>
      <c r="E43" s="21"/>
      <c r="F43" s="22"/>
      <c r="G43" s="23"/>
      <c r="H43" s="24"/>
      <c r="I43" s="25" t="str">
        <f aca="false">IF(OR(E43="",E43="!!!",F43="NEW"),"",INDEX(B$2:B40,-1+SUMPRODUCT(MAX(ROW(E$2:E40)*(E43=E$2:E40)))))</f>
        <v/>
      </c>
      <c r="J43" s="26" t="str">
        <f aca="true">IF(OR(E43="",E43="!!!",F43="NEW"),"",COUNTBLANK(OFFSET(A$1,,,SUMPRODUCT(MAX(ROW(E$2:E41)*(E43=E$2:E41)))))-COUNTBLANK(OFFSET(A$1,,,SUMPRODUCT(MAX(ROW(E$1:E40)*(E43=E$1:E40))))))</f>
        <v/>
      </c>
      <c r="K43" s="26" t="str">
        <f aca="false">IF(OR(E43="",E43="!!!",F43="NEW"),"",INDEX(J$1:J40,SUMPRODUCT(MAX(ROW(E$1:E40)*(E43=E$1:E40)))))</f>
        <v/>
      </c>
      <c r="L43" s="27"/>
    </row>
    <row r="44" customFormat="false" ht="15" hidden="false" customHeight="false" outlineLevel="0" collapsed="false">
      <c r="A44" s="20"/>
      <c r="E44" s="21"/>
      <c r="F44" s="22"/>
      <c r="G44" s="23"/>
      <c r="H44" s="24"/>
      <c r="I44" s="25" t="str">
        <f aca="false">IF(OR(E44="",E44="!!!",F44="NEW"),"",INDEX(B$2:B41,-1+SUMPRODUCT(MAX(ROW(E$2:E41)*(E44=E$2:E41)))))</f>
        <v/>
      </c>
      <c r="J44" s="26" t="str">
        <f aca="true">IF(OR(E44="",E44="!!!",F44="NEW"),"",COUNTBLANK(OFFSET(A$1,,,SUMPRODUCT(MAX(ROW(E$2:E42)*(E44=E$2:E42)))))-COUNTBLANK(OFFSET(A$1,,,SUMPRODUCT(MAX(ROW(E$1:E41)*(E44=E$1:E41))))))</f>
        <v/>
      </c>
      <c r="K44" s="26" t="str">
        <f aca="false">IF(OR(E44="",E44="!!!",F44="NEW"),"",INDEX(J$1:J41,SUMPRODUCT(MAX(ROW(E$1:E41)*(E44=E$1:E41)))))</f>
        <v/>
      </c>
      <c r="L44" s="27"/>
    </row>
    <row r="45" customFormat="false" ht="15" hidden="false" customHeight="false" outlineLevel="0" collapsed="false">
      <c r="A45" s="20" t="s">
        <v>245</v>
      </c>
      <c r="E45" s="21"/>
      <c r="F45" s="22"/>
      <c r="G45" s="23"/>
      <c r="H45" s="24"/>
      <c r="I45" s="25" t="str">
        <f aca="false">IF(OR(E45="",E45="!!!",F45="NEW"),"",INDEX(B$2:B42,-1+SUMPRODUCT(MAX(ROW(E$2:E42)*(E45=E$2:E42)))))</f>
        <v/>
      </c>
      <c r="J45" s="26" t="str">
        <f aca="true">IF(OR(E45="",E45="!!!",F45="NEW"),"",COUNTBLANK(OFFSET(A$1,,,SUMPRODUCT(MAX(ROW(E$2:E43)*(E45=E$2:E43)))))-COUNTBLANK(OFFSET(A$1,,,SUMPRODUCT(MAX(ROW(E$1:E42)*(E45=E$1:E42))))))</f>
        <v/>
      </c>
      <c r="K45" s="26" t="str">
        <f aca="false">IF(OR(E45="",E45="!!!",F45="NEW"),"",INDEX(J$1:J42,SUMPRODUCT(MAX(ROW(E$1:E42)*(E45=E$1:E42)))))</f>
        <v/>
      </c>
      <c r="L45" s="27"/>
    </row>
    <row r="46" customFormat="false" ht="15" hidden="false" customHeight="false" outlineLevel="0" collapsed="false">
      <c r="A46" s="20" t="s">
        <v>246</v>
      </c>
      <c r="B46" s="28" t="s">
        <v>196</v>
      </c>
      <c r="C46" s="28" t="s">
        <v>197</v>
      </c>
      <c r="D46" s="28" t="s">
        <v>198</v>
      </c>
      <c r="E46" s="21" t="s">
        <v>232</v>
      </c>
      <c r="F46" s="22" t="s">
        <v>226</v>
      </c>
      <c r="G46" s="23" t="s">
        <v>247</v>
      </c>
      <c r="H46" s="24"/>
      <c r="I46" s="25" t="str">
        <f aca="false">IF(OR(E46="",E46="!!!",F46="NEW"),"",INDEX(B$2:B43,-1+SUMPRODUCT(MAX(ROW(E$2:E43)*(E46=E$2:E43)))))</f>
        <v>SBJ_2</v>
      </c>
      <c r="J46" s="26" t="n">
        <f aca="true">IF(OR(E46="",E46="!!!",F46="NEW"),"",COUNTBLANK(OFFSET(A$1,,,SUMPRODUCT(MAX(ROW(E$2:E44)*(E46=E$2:E44)))))-COUNTBLANK(OFFSET(A$1,,,SUMPRODUCT(MAX(ROW(E$1:E43)*(E46=E$1:E43))))))</f>
        <v>0</v>
      </c>
      <c r="K46" s="26" t="str">
        <f aca="false">IF(OR(E46="",E46="!!!",F46="NEW"),"",INDEX(J$1:J43,SUMPRODUCT(MAX(ROW(E$1:E43)*(E46=E$1:E43)))))</f>
        <v/>
      </c>
      <c r="L46" s="27"/>
    </row>
    <row r="47" customFormat="false" ht="15" hidden="false" customHeight="false" outlineLevel="0" collapsed="false">
      <c r="A47" s="20" t="s">
        <v>248</v>
      </c>
      <c r="E47" s="21"/>
      <c r="F47" s="22"/>
      <c r="G47" s="23"/>
      <c r="H47" s="24"/>
      <c r="I47" s="25" t="str">
        <f aca="false">IF(OR(E47="",E47="!!!",F47="NEW"),"",INDEX(B$2:B44,-1+SUMPRODUCT(MAX(ROW(E$2:E44)*(E47=E$2:E44)))))</f>
        <v/>
      </c>
      <c r="J47" s="26" t="str">
        <f aca="true">IF(OR(E47="",E47="!!!",F47="NEW"),"",COUNTBLANK(OFFSET(A$1,,,SUMPRODUCT(MAX(ROW(E$2:E45)*(E47=E$2:E45)))))-COUNTBLANK(OFFSET(A$1,,,SUMPRODUCT(MAX(ROW(E$1:E44)*(E47=E$1:E44))))))</f>
        <v/>
      </c>
      <c r="K47" s="26" t="str">
        <f aca="false">IF(OR(E47="",E47="!!!",F47="NEW"),"",INDEX(J$1:J44,SUMPRODUCT(MAX(ROW(E$1:E44)*(E47=E$1:E44)))))</f>
        <v/>
      </c>
      <c r="L47" s="27"/>
    </row>
    <row r="48" customFormat="false" ht="15" hidden="false" customHeight="false" outlineLevel="0" collapsed="false">
      <c r="A48" s="20" t="s">
        <v>249</v>
      </c>
      <c r="B48" s="28" t="s">
        <v>250</v>
      </c>
      <c r="C48" s="28" t="s">
        <v>251</v>
      </c>
      <c r="E48" s="21"/>
      <c r="F48" s="22"/>
      <c r="G48" s="23"/>
      <c r="H48" s="24"/>
      <c r="I48" s="25" t="str">
        <f aca="false">IF(OR(E48="",E48="!!!",F48="NEW"),"",INDEX(B$2:B45,-1+SUMPRODUCT(MAX(ROW(E$2:E45)*(E48=E$2:E45)))))</f>
        <v/>
      </c>
      <c r="J48" s="26" t="str">
        <f aca="true">IF(OR(E48="",E48="!!!",F48="NEW"),"",COUNTBLANK(OFFSET(A$1,,,SUMPRODUCT(MAX(ROW(E$2:E46)*(E48=E$2:E46)))))-COUNTBLANK(OFFSET(A$1,,,SUMPRODUCT(MAX(ROW(E$1:E45)*(E48=E$1:E45))))))</f>
        <v/>
      </c>
      <c r="K48" s="26" t="str">
        <f aca="false">IF(OR(E48="",E48="!!!",F48="NEW"),"",INDEX(J$1:J45,SUMPRODUCT(MAX(ROW(E$1:E45)*(E48=E$1:E45)))))</f>
        <v/>
      </c>
      <c r="L48" s="27"/>
    </row>
    <row r="49" customFormat="false" ht="15" hidden="false" customHeight="false" outlineLevel="0" collapsed="false">
      <c r="A49" s="20" t="s">
        <v>252</v>
      </c>
      <c r="E49" s="21"/>
      <c r="F49" s="22"/>
      <c r="G49" s="23"/>
      <c r="H49" s="24"/>
      <c r="I49" s="25" t="str">
        <f aca="false">IF(OR(E49="",E49="!!!",F49="NEW"),"",INDEX(B$2:B46,-1+SUMPRODUCT(MAX(ROW(E$2:E46)*(E49=E$2:E46)))))</f>
        <v/>
      </c>
      <c r="J49" s="26" t="str">
        <f aca="true">IF(OR(E49="",E49="!!!",F49="NEW"),"",COUNTBLANK(OFFSET(A$1,,,SUMPRODUCT(MAX(ROW(E$2:E47)*(E49=E$2:E47)))))-COUNTBLANK(OFFSET(A$1,,,SUMPRODUCT(MAX(ROW(E$1:E46)*(E49=E$1:E46))))))</f>
        <v/>
      </c>
      <c r="K49" s="26" t="str">
        <f aca="false">IF(OR(E49="",E49="!!!",F49="NEW"),"",INDEX(J$1:J46,SUMPRODUCT(MAX(ROW(E$1:E46)*(E49=E$1:E46)))))</f>
        <v/>
      </c>
      <c r="L49" s="27"/>
    </row>
    <row r="50" customFormat="false" ht="15" hidden="false" customHeight="false" outlineLevel="0" collapsed="false">
      <c r="A50" s="20" t="s">
        <v>225</v>
      </c>
      <c r="B50" s="28" t="s">
        <v>206</v>
      </c>
      <c r="C50" s="28" t="s">
        <v>197</v>
      </c>
      <c r="D50" s="28" t="s">
        <v>198</v>
      </c>
      <c r="E50" s="21" t="s">
        <v>199</v>
      </c>
      <c r="F50" s="22" t="s">
        <v>226</v>
      </c>
      <c r="G50" s="23" t="s">
        <v>247</v>
      </c>
      <c r="H50" s="24" t="s">
        <v>189</v>
      </c>
      <c r="I50" s="25" t="str">
        <f aca="false">IF(OR(E50="",E50="!!!",F50="NEW"),"",INDEX(B$2:B47,-1+SUMPRODUCT(MAX(ROW(E$2:E47)*(E50=E$2:E47)))))</f>
        <v>other_2</v>
      </c>
      <c r="J50" s="26" t="n">
        <f aca="true">IF(OR(E50="",E50="!!!",F50="NEW"),"",COUNTBLANK(OFFSET(A$1,,,SUMPRODUCT(MAX(ROW(E$2:E48)*(E50=E$2:E48)))))-COUNTBLANK(OFFSET(A$1,,,SUMPRODUCT(MAX(ROW(E$1:E47)*(E50=E$1:E47))))))</f>
        <v>0</v>
      </c>
      <c r="K50" s="26" t="n">
        <f aca="false">IF(OR(E50="",E50="!!!",F50="NEW"),"",INDEX(J$1:J47,SUMPRODUCT(MAX(ROW(E$1:E47)*(E50=E$1:E47)))))</f>
        <v>0</v>
      </c>
      <c r="L50" s="27"/>
    </row>
    <row r="51" customFormat="false" ht="15" hidden="false" customHeight="false" outlineLevel="0" collapsed="false">
      <c r="A51" s="20" t="s">
        <v>209</v>
      </c>
      <c r="E51" s="21"/>
      <c r="F51" s="22"/>
      <c r="G51" s="23"/>
      <c r="H51" s="24"/>
      <c r="I51" s="25" t="str">
        <f aca="false">IF(OR(E51="",E51="!!!",F51="NEW"),"",INDEX(B$2:B48,-1+SUMPRODUCT(MAX(ROW(E$2:E48)*(E51=E$2:E48)))))</f>
        <v/>
      </c>
      <c r="J51" s="26" t="str">
        <f aca="true">IF(OR(E51="",E51="!!!",F51="NEW"),"",COUNTBLANK(OFFSET(A$1,,,SUMPRODUCT(MAX(ROW(E$2:E49)*(E51=E$2:E49)))))-COUNTBLANK(OFFSET(A$1,,,SUMPRODUCT(MAX(ROW(E$1:E48)*(E51=E$1:E48))))))</f>
        <v/>
      </c>
      <c r="K51" s="26" t="str">
        <f aca="false">IF(OR(E51="",E51="!!!",F51="NEW"),"",INDEX(J$1:J48,SUMPRODUCT(MAX(ROW(E$1:E48)*(E51=E$1:E48)))))</f>
        <v/>
      </c>
      <c r="L51" s="27"/>
    </row>
    <row r="52" customFormat="false" ht="15" hidden="false" customHeight="false" outlineLevel="0" collapsed="false">
      <c r="A52" s="20" t="s">
        <v>213</v>
      </c>
      <c r="E52" s="21"/>
      <c r="F52" s="22"/>
      <c r="G52" s="23"/>
      <c r="H52" s="24"/>
      <c r="I52" s="25" t="str">
        <f aca="false">IF(OR(E52="",E52="!!!",F52="NEW"),"",INDEX(B$2:B49,-1+SUMPRODUCT(MAX(ROW(E$2:E49)*(E52=E$2:E49)))))</f>
        <v/>
      </c>
      <c r="J52" s="26" t="str">
        <f aca="true">IF(OR(E52="",E52="!!!",F52="NEW"),"",COUNTBLANK(OFFSET(A$1,,,SUMPRODUCT(MAX(ROW(E$2:E50)*(E52=E$2:E50)))))-COUNTBLANK(OFFSET(A$1,,,SUMPRODUCT(MAX(ROW(E$1:E49)*(E52=E$1:E49))))))</f>
        <v/>
      </c>
      <c r="K52" s="26" t="str">
        <f aca="false">IF(OR(E52="",E52="!!!",F52="NEW"),"",INDEX(J$1:J49,SUMPRODUCT(MAX(ROW(E$1:E49)*(E52=E$1:E49)))))</f>
        <v/>
      </c>
      <c r="L52" s="27"/>
    </row>
    <row r="53" customFormat="false" ht="15" hidden="false" customHeight="false" outlineLevel="0" collapsed="false">
      <c r="A53" s="20" t="s">
        <v>253</v>
      </c>
      <c r="E53" s="21"/>
      <c r="F53" s="22"/>
      <c r="G53" s="23"/>
      <c r="H53" s="24"/>
      <c r="I53" s="25" t="str">
        <f aca="false">IF(OR(E53="",E53="!!!",F53="NEW"),"",INDEX(B$2:B50,-1+SUMPRODUCT(MAX(ROW(E$2:E50)*(E53=E$2:E50)))))</f>
        <v/>
      </c>
      <c r="J53" s="26" t="str">
        <f aca="true">IF(OR(E53="",E53="!!!",F53="NEW"),"",COUNTBLANK(OFFSET(A$1,,,SUMPRODUCT(MAX(ROW(E$2:E51)*(E53=E$2:E51)))))-COUNTBLANK(OFFSET(A$1,,,SUMPRODUCT(MAX(ROW(E$1:E50)*(E53=E$1:E50))))))</f>
        <v/>
      </c>
      <c r="K53" s="26" t="str">
        <f aca="false">IF(OR(E53="",E53="!!!",F53="NEW"),"",INDEX(J$1:J50,SUMPRODUCT(MAX(ROW(E$1:E50)*(E53=E$1:E50)))))</f>
        <v/>
      </c>
      <c r="L53" s="27"/>
    </row>
    <row r="54" customFormat="false" ht="15" hidden="false" customHeight="false" outlineLevel="0" collapsed="false">
      <c r="A54" s="20" t="s">
        <v>225</v>
      </c>
      <c r="B54" s="28" t="s">
        <v>234</v>
      </c>
      <c r="C54" s="28" t="s">
        <v>197</v>
      </c>
      <c r="D54" s="28" t="s">
        <v>198</v>
      </c>
      <c r="E54" s="21" t="s">
        <v>199</v>
      </c>
      <c r="F54" s="22" t="s">
        <v>226</v>
      </c>
      <c r="G54" s="23" t="s">
        <v>227</v>
      </c>
      <c r="H54" s="24"/>
      <c r="I54" s="25" t="str">
        <f aca="false">IF(OR(E54="",E54="!!!",F54="NEW"),"",INDEX(B$2:B51,-1+SUMPRODUCT(MAX(ROW(E$2:E51)*(E54=E$2:E51)))))</f>
        <v>other</v>
      </c>
      <c r="J54" s="26" t="n">
        <f aca="true">IF(OR(E54="",E54="!!!",F54="NEW"),"",COUNTBLANK(OFFSET(A$1,,,SUMPRODUCT(MAX(ROW(E$2:E52)*(E54=E$2:E52)))))-COUNTBLANK(OFFSET(A$1,,,SUMPRODUCT(MAX(ROW(E$1:E51)*(E54=E$1:E51))))))</f>
        <v>0</v>
      </c>
      <c r="K54" s="26" t="n">
        <f aca="false">IF(OR(E54="",E54="!!!",F54="NEW"),"",INDEX(J$1:J51,SUMPRODUCT(MAX(ROW(E$1:E51)*(E54=E$1:E51)))))</f>
        <v>0</v>
      </c>
      <c r="L54" s="27"/>
    </row>
    <row r="55" customFormat="false" ht="15" hidden="false" customHeight="false" outlineLevel="0" collapsed="false">
      <c r="A55" s="20" t="s">
        <v>236</v>
      </c>
      <c r="E55" s="21"/>
      <c r="F55" s="22"/>
      <c r="G55" s="23"/>
      <c r="H55" s="24"/>
      <c r="I55" s="25" t="str">
        <f aca="false">IF(OR(E55="",E55="!!!",F55="NEW"),"",INDEX(B$2:B52,-1+SUMPRODUCT(MAX(ROW(E$2:E52)*(E55=E$2:E52)))))</f>
        <v/>
      </c>
      <c r="J55" s="26" t="str">
        <f aca="true">IF(OR(E55="",E55="!!!",F55="NEW"),"",COUNTBLANK(OFFSET(A$1,,,SUMPRODUCT(MAX(ROW(E$2:E53)*(E55=E$2:E53)))))-COUNTBLANK(OFFSET(A$1,,,SUMPRODUCT(MAX(ROW(E$1:E52)*(E55=E$1:E52))))))</f>
        <v/>
      </c>
      <c r="K55" s="26" t="str">
        <f aca="false">IF(OR(E55="",E55="!!!",F55="NEW"),"",INDEX(J$1:J52,SUMPRODUCT(MAX(ROW(E$1:E52)*(E55=E$1:E52)))))</f>
        <v/>
      </c>
      <c r="L55" s="27"/>
    </row>
    <row r="56" customFormat="false" ht="15" hidden="false" customHeight="false" outlineLevel="0" collapsed="false">
      <c r="A56" s="20" t="s">
        <v>254</v>
      </c>
      <c r="B56" s="28" t="s">
        <v>215</v>
      </c>
      <c r="C56" s="28" t="s">
        <v>251</v>
      </c>
      <c r="E56" s="21"/>
      <c r="F56" s="22"/>
      <c r="G56" s="23"/>
      <c r="H56" s="24"/>
      <c r="I56" s="25" t="str">
        <f aca="false">IF(OR(E56="",E56="!!!",F56="NEW"),"",INDEX(B$2:B53,-1+SUMPRODUCT(MAX(ROW(E$2:E53)*(E56=E$2:E53)))))</f>
        <v/>
      </c>
      <c r="J56" s="26" t="str">
        <f aca="true">IF(OR(E56="",E56="!!!",F56="NEW"),"",COUNTBLANK(OFFSET(A$1,,,SUMPRODUCT(MAX(ROW(E$2:E54)*(E56=E$2:E54)))))-COUNTBLANK(OFFSET(A$1,,,SUMPRODUCT(MAX(ROW(E$1:E53)*(E56=E$1:E53))))))</f>
        <v/>
      </c>
      <c r="K56" s="26" t="str">
        <f aca="false">IF(OR(E56="",E56="!!!",F56="NEW"),"",INDEX(J$1:J53,SUMPRODUCT(MAX(ROW(E$1:E53)*(E56=E$1:E53)))))</f>
        <v/>
      </c>
      <c r="L56" s="27"/>
    </row>
    <row r="57" customFormat="false" ht="15" hidden="false" customHeight="false" outlineLevel="0" collapsed="false">
      <c r="A57" s="20" t="s">
        <v>255</v>
      </c>
      <c r="E57" s="21"/>
      <c r="F57" s="22"/>
      <c r="G57" s="23"/>
      <c r="H57" s="24"/>
      <c r="I57" s="25" t="str">
        <f aca="false">IF(OR(E57="",E57="!!!",F57="NEW"),"",INDEX(B$2:B54,-1+SUMPRODUCT(MAX(ROW(E$2:E54)*(E57=E$2:E54)))))</f>
        <v/>
      </c>
      <c r="J57" s="26" t="str">
        <f aca="true">IF(OR(E57="",E57="!!!",F57="NEW"),"",COUNTBLANK(OFFSET(A$1,,,SUMPRODUCT(MAX(ROW(E$2:E55)*(E57=E$2:E55)))))-COUNTBLANK(OFFSET(A$1,,,SUMPRODUCT(MAX(ROW(E$1:E54)*(E57=E$1:E54))))))</f>
        <v/>
      </c>
      <c r="K57" s="26" t="str">
        <f aca="false">IF(OR(E57="",E57="!!!",F57="NEW"),"",INDEX(J$1:J54,SUMPRODUCT(MAX(ROW(E$1:E54)*(E57=E$1:E54)))))</f>
        <v/>
      </c>
      <c r="L57" s="27"/>
    </row>
    <row r="58" customFormat="false" ht="15" hidden="false" customHeight="false" outlineLevel="0" collapsed="false">
      <c r="A58" s="20" t="s">
        <v>204</v>
      </c>
      <c r="E58" s="21"/>
      <c r="F58" s="22"/>
      <c r="G58" s="23"/>
      <c r="H58" s="24"/>
      <c r="I58" s="25" t="str">
        <f aca="false">IF(OR(E58="",E58="!!!",F58="NEW"),"",INDEX(B$2:B55,-1+SUMPRODUCT(MAX(ROW(E$2:E55)*(E58=E$2:E55)))))</f>
        <v/>
      </c>
      <c r="J58" s="26" t="str">
        <f aca="true">IF(OR(E58="",E58="!!!",F58="NEW"),"",COUNTBLANK(OFFSET(A$1,,,SUMPRODUCT(MAX(ROW(E$2:E56)*(E58=E$2:E56)))))-COUNTBLANK(OFFSET(A$1,,,SUMPRODUCT(MAX(ROW(E$1:E55)*(E58=E$1:E55))))))</f>
        <v/>
      </c>
      <c r="K58" s="26" t="str">
        <f aca="false">IF(OR(E58="",E58="!!!",F58="NEW"),"",INDEX(J$1:J55,SUMPRODUCT(MAX(ROW(E$1:E55)*(E58=E$1:E55)))))</f>
        <v/>
      </c>
      <c r="L58" s="27"/>
    </row>
    <row r="59" customFormat="false" ht="15" hidden="false" customHeight="false" outlineLevel="0" collapsed="false">
      <c r="A59" s="20" t="s">
        <v>256</v>
      </c>
      <c r="E59" s="21"/>
      <c r="F59" s="22"/>
      <c r="G59" s="23"/>
      <c r="H59" s="24"/>
      <c r="I59" s="25" t="str">
        <f aca="false">IF(OR(E59="",E59="!!!",F59="NEW"),"",INDEX(B$2:B56,-1+SUMPRODUCT(MAX(ROW(E$2:E56)*(E59=E$2:E56)))))</f>
        <v/>
      </c>
      <c r="J59" s="26" t="str">
        <f aca="true">IF(OR(E59="",E59="!!!",F59="NEW"),"",COUNTBLANK(OFFSET(A$1,,,SUMPRODUCT(MAX(ROW(E$2:E57)*(E59=E$2:E57)))))-COUNTBLANK(OFFSET(A$1,,,SUMPRODUCT(MAX(ROW(E$1:E56)*(E59=E$1:E56))))))</f>
        <v/>
      </c>
      <c r="K59" s="26" t="str">
        <f aca="false">IF(OR(E59="",E59="!!!",F59="NEW"),"",INDEX(J$1:J56,SUMPRODUCT(MAX(ROW(E$1:E56)*(E59=E$1:E56)))))</f>
        <v/>
      </c>
      <c r="L59" s="27"/>
    </row>
    <row r="60" customFormat="false" ht="15" hidden="false" customHeight="false" outlineLevel="0" collapsed="false">
      <c r="A60" s="20" t="s">
        <v>257</v>
      </c>
      <c r="B60" s="28" t="s">
        <v>215</v>
      </c>
      <c r="C60" s="28" t="s">
        <v>207</v>
      </c>
      <c r="D60" s="28" t="s">
        <v>198</v>
      </c>
      <c r="E60" s="21" t="s">
        <v>258</v>
      </c>
      <c r="F60" s="22" t="s">
        <v>200</v>
      </c>
      <c r="G60" s="23" t="s">
        <v>212</v>
      </c>
      <c r="H60" s="24"/>
      <c r="I60" s="25" t="str">
        <f aca="false">IF(OR(E60="",E60="!!!",F60="NEW"),"",INDEX(B$2:B57,-1+SUMPRODUCT(MAX(ROW(E$2:E57)*(E60=E$2:E57)))))</f>
        <v/>
      </c>
      <c r="J60" s="26" t="str">
        <f aca="true">IF(OR(E60="",E60="!!!",F60="NEW"),"",COUNTBLANK(OFFSET(A$1,,,SUMPRODUCT(MAX(ROW(E$2:E58)*(E60=E$2:E58)))))-COUNTBLANK(OFFSET(A$1,,,SUMPRODUCT(MAX(ROW(E$1:E57)*(E60=E$1:E57))))))</f>
        <v/>
      </c>
      <c r="K60" s="26" t="str">
        <f aca="false">IF(OR(E60="",E60="!!!",F60="NEW"),"",INDEX(J$1:J57,SUMPRODUCT(MAX(ROW(E$1:E57)*(E60=E$1:E57)))))</f>
        <v/>
      </c>
      <c r="L60" s="27"/>
    </row>
    <row r="61" customFormat="false" ht="15" hidden="false" customHeight="false" outlineLevel="0" collapsed="false">
      <c r="A61" s="20" t="s">
        <v>209</v>
      </c>
      <c r="E61" s="21"/>
      <c r="F61" s="22"/>
      <c r="G61" s="23"/>
      <c r="H61" s="24"/>
      <c r="I61" s="25" t="str">
        <f aca="false">IF(OR(E61="",E61="!!!",F61="NEW"),"",INDEX(B$2:B58,-1+SUMPRODUCT(MAX(ROW(E$2:E58)*(E61=E$2:E58)))))</f>
        <v/>
      </c>
      <c r="J61" s="26" t="str">
        <f aca="true">IF(OR(E61="",E61="!!!",F61="NEW"),"",COUNTBLANK(OFFSET(A$1,,,SUMPRODUCT(MAX(ROW(E$2:E59)*(E61=E$2:E59)))))-COUNTBLANK(OFFSET(A$1,,,SUMPRODUCT(MAX(ROW(E$1:E58)*(E61=E$1:E58))))))</f>
        <v/>
      </c>
      <c r="K61" s="26" t="str">
        <f aca="false">IF(OR(E61="",E61="!!!",F61="NEW"),"",INDEX(J$1:J58,SUMPRODUCT(MAX(ROW(E$1:E58)*(E61=E$1:E58)))))</f>
        <v/>
      </c>
      <c r="L61" s="27"/>
    </row>
    <row r="62" customFormat="false" ht="15" hidden="false" customHeight="false" outlineLevel="0" collapsed="false">
      <c r="A62" s="20" t="s">
        <v>259</v>
      </c>
      <c r="E62" s="21"/>
      <c r="F62" s="22"/>
      <c r="G62" s="23"/>
      <c r="H62" s="24"/>
      <c r="I62" s="25" t="str">
        <f aca="false">IF(OR(E62="",E62="!!!",F62="NEW"),"",INDEX(B$2:B59,-1+SUMPRODUCT(MAX(ROW(E$2:E59)*(E62=E$2:E59)))))</f>
        <v/>
      </c>
      <c r="J62" s="26" t="str">
        <f aca="true">IF(OR(E62="",E62="!!!",F62="NEW"),"",COUNTBLANK(OFFSET(A$1,,,SUMPRODUCT(MAX(ROW(E$2:E60)*(E62=E$2:E60)))))-COUNTBLANK(OFFSET(A$1,,,SUMPRODUCT(MAX(ROW(E$1:E59)*(E62=E$1:E59))))))</f>
        <v/>
      </c>
      <c r="K62" s="26" t="str">
        <f aca="false">IF(OR(E62="",E62="!!!",F62="NEW"),"",INDEX(J$1:J59,SUMPRODUCT(MAX(ROW(E$1:E59)*(E62=E$1:E59)))))</f>
        <v/>
      </c>
      <c r="L62" s="27"/>
    </row>
    <row r="63" customFormat="false" ht="15" hidden="false" customHeight="false" outlineLevel="0" collapsed="false">
      <c r="A63" s="20" t="s">
        <v>260</v>
      </c>
      <c r="B63" s="28" t="s">
        <v>222</v>
      </c>
      <c r="C63" s="28" t="s">
        <v>197</v>
      </c>
      <c r="D63" s="28" t="s">
        <v>198</v>
      </c>
      <c r="E63" s="21"/>
      <c r="F63" s="22" t="s">
        <v>261</v>
      </c>
      <c r="G63" s="23"/>
      <c r="H63" s="24"/>
      <c r="I63" s="25" t="str">
        <f aca="false">IF(OR(E63="",E63="!!!",F63="NEW"),"",INDEX(B$2:B60,-1+SUMPRODUCT(MAX(ROW(E$2:E60)*(E63=E$2:E60)))))</f>
        <v/>
      </c>
      <c r="J63" s="26" t="str">
        <f aca="true">IF(OR(E63="",E63="!!!",F63="NEW"),"",COUNTBLANK(OFFSET(A$1,,,SUMPRODUCT(MAX(ROW(E$2:E61)*(E63=E$2:E61)))))-COUNTBLANK(OFFSET(A$1,,,SUMPRODUCT(MAX(ROW(E$1:E60)*(E63=E$1:E60))))))</f>
        <v/>
      </c>
      <c r="K63" s="26" t="str">
        <f aca="false">IF(OR(E63="",E63="!!!",F63="NEW"),"",INDEX(J$1:J60,SUMPRODUCT(MAX(ROW(E$1:E60)*(E63=E$1:E60)))))</f>
        <v/>
      </c>
      <c r="L63" s="27"/>
    </row>
    <row r="64" customFormat="false" ht="15" hidden="false" customHeight="false" outlineLevel="0" collapsed="false">
      <c r="A64" s="20" t="s">
        <v>262</v>
      </c>
      <c r="E64" s="21"/>
      <c r="F64" s="22"/>
      <c r="G64" s="23"/>
      <c r="H64" s="24"/>
      <c r="I64" s="25" t="str">
        <f aca="false">IF(OR(E64="",E64="!!!",F64="NEW"),"",INDEX(B$2:B61,-1+SUMPRODUCT(MAX(ROW(E$2:E61)*(E64=E$2:E61)))))</f>
        <v/>
      </c>
      <c r="J64" s="26" t="str">
        <f aca="true">IF(OR(E64="",E64="!!!",F64="NEW"),"",COUNTBLANK(OFFSET(A$1,,,SUMPRODUCT(MAX(ROW(E$2:E62)*(E64=E$2:E62)))))-COUNTBLANK(OFFSET(A$1,,,SUMPRODUCT(MAX(ROW(E$1:E61)*(E64=E$1:E61))))))</f>
        <v/>
      </c>
      <c r="K64" s="26" t="str">
        <f aca="false">IF(OR(E64="",E64="!!!",F64="NEW"),"",INDEX(J$1:J61,SUMPRODUCT(MAX(ROW(E$1:E61)*(E64=E$1:E61)))))</f>
        <v/>
      </c>
      <c r="L64" s="27"/>
    </row>
    <row r="65" customFormat="false" ht="15" hidden="false" customHeight="false" outlineLevel="0" collapsed="false">
      <c r="A65" s="20" t="s">
        <v>263</v>
      </c>
      <c r="E65" s="21"/>
      <c r="F65" s="22"/>
      <c r="G65" s="23"/>
      <c r="H65" s="24"/>
      <c r="I65" s="25" t="str">
        <f aca="false">IF(OR(E65="",E65="!!!",F65="NEW"),"",INDEX(B$2:B62,-1+SUMPRODUCT(MAX(ROW(E$2:E62)*(E65=E$2:E62)))))</f>
        <v/>
      </c>
      <c r="J65" s="26" t="str">
        <f aca="true">IF(OR(E65="",E65="!!!",F65="NEW"),"",COUNTBLANK(OFFSET(A$1,,,SUMPRODUCT(MAX(ROW(E$2:E63)*(E65=E$2:E63)))))-COUNTBLANK(OFFSET(A$1,,,SUMPRODUCT(MAX(ROW(E$1:E62)*(E65=E$1:E62))))))</f>
        <v/>
      </c>
      <c r="K65" s="26" t="str">
        <f aca="false">IF(OR(E65="",E65="!!!",F65="NEW"),"",INDEX(J$1:J62,SUMPRODUCT(MAX(ROW(E$1:E62)*(E65=E$1:E62)))))</f>
        <v/>
      </c>
      <c r="L65" s="27"/>
    </row>
    <row r="66" customFormat="false" ht="15" hidden="false" customHeight="false" outlineLevel="0" collapsed="false">
      <c r="A66" s="20" t="s">
        <v>264</v>
      </c>
      <c r="B66" s="28" t="s">
        <v>206</v>
      </c>
      <c r="C66" s="28" t="s">
        <v>251</v>
      </c>
      <c r="E66" s="21"/>
      <c r="F66" s="22"/>
      <c r="G66" s="23"/>
      <c r="H66" s="24"/>
      <c r="I66" s="25" t="str">
        <f aca="false">IF(OR(E66="",E66="!!!",F66="NEW"),"",INDEX(B$2:B63,-1+SUMPRODUCT(MAX(ROW(E$2:E63)*(E66=E$2:E63)))))</f>
        <v/>
      </c>
      <c r="J66" s="26" t="str">
        <f aca="true">IF(OR(E66="",E66="!!!",F66="NEW"),"",COUNTBLANK(OFFSET(A$1,,,SUMPRODUCT(MAX(ROW(E$2:E64)*(E66=E$2:E64)))))-COUNTBLANK(OFFSET(A$1,,,SUMPRODUCT(MAX(ROW(E$1:E63)*(E66=E$1:E63))))))</f>
        <v/>
      </c>
      <c r="K66" s="26" t="str">
        <f aca="false">IF(OR(E66="",E66="!!!",F66="NEW"),"",INDEX(J$1:J63,SUMPRODUCT(MAX(ROW(E$1:E63)*(E66=E$1:E63)))))</f>
        <v/>
      </c>
      <c r="L66" s="27"/>
    </row>
    <row r="67" customFormat="false" ht="15" hidden="false" customHeight="false" outlineLevel="0" collapsed="false">
      <c r="A67" s="20" t="s">
        <v>244</v>
      </c>
      <c r="E67" s="21"/>
      <c r="F67" s="22"/>
      <c r="G67" s="23"/>
      <c r="H67" s="24"/>
      <c r="I67" s="25" t="str">
        <f aca="false">IF(OR(E67="",E67="!!!",F67="NEW"),"",INDEX(B$2:B64,-1+SUMPRODUCT(MAX(ROW(E$2:E64)*(E67=E$2:E64)))))</f>
        <v/>
      </c>
      <c r="J67" s="26" t="str">
        <f aca="true">IF(OR(E67="",E67="!!!",F67="NEW"),"",COUNTBLANK(OFFSET(A$1,,,SUMPRODUCT(MAX(ROW(E$2:E65)*(E67=E$2:E65)))))-COUNTBLANK(OFFSET(A$1,,,SUMPRODUCT(MAX(ROW(E$1:E64)*(E67=E$1:E64))))))</f>
        <v/>
      </c>
      <c r="K67" s="26" t="str">
        <f aca="false">IF(OR(E67="",E67="!!!",F67="NEW"),"",INDEX(J$1:J64,SUMPRODUCT(MAX(ROW(E$1:E64)*(E67=E$1:E64)))))</f>
        <v/>
      </c>
      <c r="L67" s="27"/>
    </row>
    <row r="68" customFormat="false" ht="15" hidden="false" customHeight="false" outlineLevel="0" collapsed="false">
      <c r="A68" s="20"/>
      <c r="E68" s="21"/>
      <c r="F68" s="22"/>
      <c r="G68" s="23"/>
      <c r="H68" s="24"/>
      <c r="I68" s="25" t="str">
        <f aca="false">IF(OR(E68="",E68="!!!",F68="NEW"),"",INDEX(B$2:B65,-1+SUMPRODUCT(MAX(ROW(E$2:E65)*(E68=E$2:E65)))))</f>
        <v/>
      </c>
      <c r="J68" s="26" t="str">
        <f aca="true">IF(OR(E68="",E68="!!!",F68="NEW"),"",COUNTBLANK(OFFSET(A$1,,,SUMPRODUCT(MAX(ROW(E$2:E66)*(E68=E$2:E66)))))-COUNTBLANK(OFFSET(A$1,,,SUMPRODUCT(MAX(ROW(E$1:E65)*(E68=E$1:E65))))))</f>
        <v/>
      </c>
      <c r="K68" s="26" t="str">
        <f aca="false">IF(OR(E68="",E68="!!!",F68="NEW"),"",INDEX(J$1:J65,SUMPRODUCT(MAX(ROW(E$1:E65)*(E68=E$1:E65)))))</f>
        <v/>
      </c>
      <c r="L68" s="27"/>
    </row>
    <row r="69" customFormat="false" ht="15" hidden="false" customHeight="false" outlineLevel="0" collapsed="false">
      <c r="A69" s="20" t="s">
        <v>265</v>
      </c>
      <c r="E69" s="21"/>
      <c r="F69" s="22"/>
      <c r="G69" s="23"/>
      <c r="H69" s="24"/>
      <c r="I69" s="25" t="str">
        <f aca="false">IF(OR(E69="",E69="!!!",F69="NEW"),"",INDEX(B$2:B66,-1+SUMPRODUCT(MAX(ROW(E$2:E66)*(E69=E$2:E66)))))</f>
        <v/>
      </c>
      <c r="J69" s="26" t="str">
        <f aca="true">IF(OR(E69="",E69="!!!",F69="NEW"),"",COUNTBLANK(OFFSET(A$1,,,SUMPRODUCT(MAX(ROW(E$2:E67)*(E69=E$2:E67)))))-COUNTBLANK(OFFSET(A$1,,,SUMPRODUCT(MAX(ROW(E$1:E66)*(E69=E$1:E66))))))</f>
        <v/>
      </c>
      <c r="K69" s="26" t="str">
        <f aca="false">IF(OR(E69="",E69="!!!",F69="NEW"),"",INDEX(J$1:J66,SUMPRODUCT(MAX(ROW(E$1:E66)*(E69=E$1:E66)))))</f>
        <v/>
      </c>
      <c r="L69" s="27"/>
    </row>
    <row r="70" customFormat="false" ht="15" hidden="false" customHeight="false" outlineLevel="0" collapsed="false">
      <c r="A70" s="20" t="s">
        <v>266</v>
      </c>
      <c r="E70" s="21"/>
      <c r="F70" s="22"/>
      <c r="G70" s="23"/>
      <c r="H70" s="24"/>
      <c r="I70" s="25" t="str">
        <f aca="false">IF(OR(E70="",E70="!!!",F70="NEW"),"",INDEX(B$2:B67,-1+SUMPRODUCT(MAX(ROW(E$2:E67)*(E70=E$2:E67)))))</f>
        <v/>
      </c>
      <c r="J70" s="26" t="str">
        <f aca="true">IF(OR(E70="",E70="!!!",F70="NEW"),"",COUNTBLANK(OFFSET(A$1,,,SUMPRODUCT(MAX(ROW(E$2:E68)*(E70=E$2:E68)))))-COUNTBLANK(OFFSET(A$1,,,SUMPRODUCT(MAX(ROW(E$1:E67)*(E70=E$1:E67))))))</f>
        <v/>
      </c>
      <c r="K70" s="26" t="str">
        <f aca="false">IF(OR(E70="",E70="!!!",F70="NEW"),"",INDEX(J$1:J67,SUMPRODUCT(MAX(ROW(E$1:E67)*(E70=E$1:E67)))))</f>
        <v/>
      </c>
      <c r="L70" s="27"/>
    </row>
    <row r="71" customFormat="false" ht="15" hidden="false" customHeight="false" outlineLevel="0" collapsed="false">
      <c r="A71" s="20" t="s">
        <v>29</v>
      </c>
      <c r="E71" s="21"/>
      <c r="F71" s="22"/>
      <c r="G71" s="23"/>
      <c r="H71" s="24"/>
      <c r="I71" s="25" t="str">
        <f aca="false">IF(OR(E71="",E71="!!!",F71="NEW"),"",INDEX(B$2:B68,-1+SUMPRODUCT(MAX(ROW(E$2:E68)*(E71=E$2:E68)))))</f>
        <v/>
      </c>
      <c r="J71" s="26" t="str">
        <f aca="true">IF(OR(E71="",E71="!!!",F71="NEW"),"",COUNTBLANK(OFFSET(A$1,,,SUMPRODUCT(MAX(ROW(E$2:E69)*(E71=E$2:E69)))))-COUNTBLANK(OFFSET(A$1,,,SUMPRODUCT(MAX(ROW(E$1:E68)*(E71=E$1:E68))))))</f>
        <v/>
      </c>
      <c r="K71" s="26" t="str">
        <f aca="false">IF(OR(E71="",E71="!!!",F71="NEW"),"",INDEX(J$1:J68,SUMPRODUCT(MAX(ROW(E$1:E68)*(E71=E$1:E68)))))</f>
        <v/>
      </c>
      <c r="L71" s="27"/>
    </row>
    <row r="72" customFormat="false" ht="15" hidden="false" customHeight="false" outlineLevel="0" collapsed="false">
      <c r="A72" s="20" t="s">
        <v>217</v>
      </c>
      <c r="E72" s="21"/>
      <c r="F72" s="22"/>
      <c r="G72" s="23"/>
      <c r="H72" s="24"/>
      <c r="I72" s="25" t="str">
        <f aca="false">IF(OR(E72="",E72="!!!",F72="NEW"),"",INDEX(B$2:B69,-1+SUMPRODUCT(MAX(ROW(E$2:E69)*(E72=E$2:E69)))))</f>
        <v/>
      </c>
      <c r="J72" s="26" t="str">
        <f aca="true">IF(OR(E72="",E72="!!!",F72="NEW"),"",COUNTBLANK(OFFSET(A$1,,,SUMPRODUCT(MAX(ROW(E$2:E70)*(E72=E$2:E70)))))-COUNTBLANK(OFFSET(A$1,,,SUMPRODUCT(MAX(ROW(E$1:E69)*(E72=E$1:E69))))))</f>
        <v/>
      </c>
      <c r="K72" s="26" t="str">
        <f aca="false">IF(OR(E72="",E72="!!!",F72="NEW"),"",INDEX(J$1:J69,SUMPRODUCT(MAX(ROW(E$1:E69)*(E72=E$1:E69)))))</f>
        <v/>
      </c>
      <c r="L72" s="27"/>
    </row>
    <row r="73" customFormat="false" ht="15" hidden="false" customHeight="false" outlineLevel="0" collapsed="false">
      <c r="A73" s="20" t="s">
        <v>267</v>
      </c>
      <c r="B73" s="28" t="s">
        <v>206</v>
      </c>
      <c r="C73" s="28" t="s">
        <v>268</v>
      </c>
      <c r="D73" s="28" t="s">
        <v>198</v>
      </c>
      <c r="E73" s="21" t="s">
        <v>208</v>
      </c>
      <c r="F73" s="22" t="s">
        <v>226</v>
      </c>
      <c r="G73" s="23" t="s">
        <v>247</v>
      </c>
      <c r="H73" s="24"/>
      <c r="I73" s="25" t="str">
        <f aca="false">IF(OR(E73="",E73="!!!",F73="NEW"),"",INDEX(B$2:B70,-1+SUMPRODUCT(MAX(ROW(E$2:E70)*(E73=E$2:E70)))))</f>
        <v>OBJ_2</v>
      </c>
      <c r="J73" s="26" t="n">
        <f aca="true">IF(OR(E73="",E73="!!!",F73="NEW"),"",COUNTBLANK(OFFSET(A$1,,,SUMPRODUCT(MAX(ROW(E$2:E71)*(E73=E$2:E71)))))-COUNTBLANK(OFFSET(A$1,,,SUMPRODUCT(MAX(ROW(E$1:E70)*(E73=E$1:E70))))))</f>
        <v>0</v>
      </c>
      <c r="K73" s="26" t="n">
        <f aca="false">IF(OR(E73="",E73="!!!",F73="NEW"),"",INDEX(J$1:J70,SUMPRODUCT(MAX(ROW(E$1:E70)*(E73=E$1:E70)))))</f>
        <v>0</v>
      </c>
      <c r="L73" s="27"/>
    </row>
    <row r="74" customFormat="false" ht="15" hidden="false" customHeight="false" outlineLevel="0" collapsed="false">
      <c r="A74" s="20" t="s">
        <v>269</v>
      </c>
      <c r="B74" s="28" t="s">
        <v>270</v>
      </c>
      <c r="E74" s="21"/>
      <c r="F74" s="22"/>
      <c r="G74" s="23"/>
      <c r="H74" s="24"/>
      <c r="I74" s="25" t="str">
        <f aca="false">IF(OR(E74="",E74="!!!",F74="NEW"),"",INDEX(B$2:B71,-1+SUMPRODUCT(MAX(ROW(E$2:E71)*(E74=E$2:E71)))))</f>
        <v/>
      </c>
      <c r="J74" s="26" t="str">
        <f aca="true">IF(OR(E74="",E74="!!!",F74="NEW"),"",COUNTBLANK(OFFSET(A$1,,,SUMPRODUCT(MAX(ROW(E$2:E72)*(E74=E$2:E72)))))-COUNTBLANK(OFFSET(A$1,,,SUMPRODUCT(MAX(ROW(E$1:E71)*(E74=E$1:E71))))))</f>
        <v/>
      </c>
      <c r="K74" s="26" t="str">
        <f aca="false">IF(OR(E74="",E74="!!!",F74="NEW"),"",INDEX(J$1:J71,SUMPRODUCT(MAX(ROW(E$1:E71)*(E74=E$1:E71)))))</f>
        <v/>
      </c>
      <c r="L74" s="27"/>
    </row>
    <row r="75" customFormat="false" ht="15" hidden="false" customHeight="false" outlineLevel="0" collapsed="false">
      <c r="A75" s="20" t="s">
        <v>271</v>
      </c>
      <c r="E75" s="21"/>
      <c r="F75" s="22"/>
      <c r="G75" s="23"/>
      <c r="H75" s="24"/>
      <c r="I75" s="25" t="str">
        <f aca="false">IF(OR(E75="",E75="!!!",F75="NEW"),"",INDEX(B$2:B72,-1+SUMPRODUCT(MAX(ROW(E$2:E72)*(E75=E$2:E72)))))</f>
        <v/>
      </c>
      <c r="J75" s="26" t="str">
        <f aca="true">IF(OR(E75="",E75="!!!",F75="NEW"),"",COUNTBLANK(OFFSET(A$1,,,SUMPRODUCT(MAX(ROW(E$2:E73)*(E75=E$2:E73)))))-COUNTBLANK(OFFSET(A$1,,,SUMPRODUCT(MAX(ROW(E$1:E72)*(E75=E$1:E72))))))</f>
        <v/>
      </c>
      <c r="K75" s="26" t="str">
        <f aca="false">IF(OR(E75="",E75="!!!",F75="NEW"),"",INDEX(J$1:J72,SUMPRODUCT(MAX(ROW(E$1:E72)*(E75=E$1:E72)))))</f>
        <v/>
      </c>
      <c r="L75" s="27"/>
    </row>
    <row r="76" customFormat="false" ht="15" hidden="false" customHeight="false" outlineLevel="0" collapsed="false">
      <c r="A76" s="20" t="s">
        <v>204</v>
      </c>
      <c r="E76" s="21"/>
      <c r="F76" s="22"/>
      <c r="G76" s="23"/>
      <c r="H76" s="24"/>
      <c r="I76" s="25" t="str">
        <f aca="false">IF(OR(E76="",E76="!!!",F76="NEW"),"",INDEX(B$2:B73,-1+SUMPRODUCT(MAX(ROW(E$2:E73)*(E76=E$2:E73)))))</f>
        <v/>
      </c>
      <c r="J76" s="26" t="str">
        <f aca="true">IF(OR(E76="",E76="!!!",F76="NEW"),"",COUNTBLANK(OFFSET(A$1,,,SUMPRODUCT(MAX(ROW(E$2:E74)*(E76=E$2:E74)))))-COUNTBLANK(OFFSET(A$1,,,SUMPRODUCT(MAX(ROW(E$1:E73)*(E76=E$1:E73))))))</f>
        <v/>
      </c>
      <c r="K76" s="26" t="str">
        <f aca="false">IF(OR(E76="",E76="!!!",F76="NEW"),"",INDEX(J$1:J73,SUMPRODUCT(MAX(ROW(E$1:E73)*(E76=E$1:E73)))))</f>
        <v/>
      </c>
      <c r="L76" s="27"/>
    </row>
    <row r="77" customFormat="false" ht="15" hidden="false" customHeight="false" outlineLevel="0" collapsed="false">
      <c r="A77" s="20" t="s">
        <v>272</v>
      </c>
      <c r="B77" s="28" t="s">
        <v>273</v>
      </c>
      <c r="C77" s="28" t="s">
        <v>207</v>
      </c>
      <c r="D77" s="28" t="s">
        <v>198</v>
      </c>
      <c r="E77" s="21" t="s">
        <v>274</v>
      </c>
      <c r="F77" s="22" t="s">
        <v>200</v>
      </c>
      <c r="G77" s="23" t="s">
        <v>212</v>
      </c>
      <c r="H77" s="24"/>
      <c r="I77" s="25" t="str">
        <f aca="false">IF(OR(E77="",E77="!!!",F77="NEW"),"",INDEX(B$2:B74,-1+SUMPRODUCT(MAX(ROW(E$2:E74)*(E77=E$2:E74)))))</f>
        <v/>
      </c>
      <c r="J77" s="26" t="str">
        <f aca="true">IF(OR(E77="",E77="!!!",F77="NEW"),"",COUNTBLANK(OFFSET(A$1,,,SUMPRODUCT(MAX(ROW(E$2:E75)*(E77=E$2:E75)))))-COUNTBLANK(OFFSET(A$1,,,SUMPRODUCT(MAX(ROW(E$1:E74)*(E77=E$1:E74))))))</f>
        <v/>
      </c>
      <c r="K77" s="26" t="str">
        <f aca="false">IF(OR(E77="",E77="!!!",F77="NEW"),"",INDEX(J$1:J74,SUMPRODUCT(MAX(ROW(E$1:E74)*(E77=E$1:E74)))))</f>
        <v/>
      </c>
      <c r="L77" s="27"/>
    </row>
    <row r="78" customFormat="false" ht="15" hidden="false" customHeight="false" outlineLevel="0" collapsed="false">
      <c r="A78" s="20" t="s">
        <v>275</v>
      </c>
      <c r="E78" s="21"/>
      <c r="F78" s="22"/>
      <c r="G78" s="23"/>
      <c r="H78" s="24"/>
      <c r="I78" s="25" t="str">
        <f aca="false">IF(OR(E78="",E78="!!!",F78="NEW"),"",INDEX(B$2:B75,-1+SUMPRODUCT(MAX(ROW(E$2:E75)*(E78=E$2:E75)))))</f>
        <v/>
      </c>
      <c r="J78" s="26" t="str">
        <f aca="true">IF(OR(E78="",E78="!!!",F78="NEW"),"",COUNTBLANK(OFFSET(A$1,,,SUMPRODUCT(MAX(ROW(E$2:E76)*(E78=E$2:E76)))))-COUNTBLANK(OFFSET(A$1,,,SUMPRODUCT(MAX(ROW(E$1:E75)*(E78=E$1:E75))))))</f>
        <v/>
      </c>
      <c r="K78" s="26" t="str">
        <f aca="false">IF(OR(E78="",E78="!!!",F78="NEW"),"",INDEX(J$1:J75,SUMPRODUCT(MAX(ROW(E$1:E75)*(E78=E$1:E75)))))</f>
        <v/>
      </c>
      <c r="L78" s="27"/>
    </row>
    <row r="79" customFormat="false" ht="15" hidden="false" customHeight="false" outlineLevel="0" collapsed="false">
      <c r="A79" s="20" t="s">
        <v>209</v>
      </c>
      <c r="E79" s="21"/>
      <c r="F79" s="22"/>
      <c r="G79" s="23"/>
      <c r="H79" s="24"/>
      <c r="I79" s="25" t="str">
        <f aca="false">IF(OR(E79="",E79="!!!",F79="NEW"),"",INDEX(B$2:B76,-1+SUMPRODUCT(MAX(ROW(E$2:E76)*(E79=E$2:E76)))))</f>
        <v/>
      </c>
      <c r="J79" s="26" t="str">
        <f aca="true">IF(OR(E79="",E79="!!!",F79="NEW"),"",COUNTBLANK(OFFSET(A$1,,,SUMPRODUCT(MAX(ROW(E$2:E77)*(E79=E$2:E77)))))-COUNTBLANK(OFFSET(A$1,,,SUMPRODUCT(MAX(ROW(E$1:E76)*(E79=E$1:E76))))))</f>
        <v/>
      </c>
      <c r="K79" s="26" t="str">
        <f aca="false">IF(OR(E79="",E79="!!!",F79="NEW"),"",INDEX(J$1:J76,SUMPRODUCT(MAX(ROW(E$1:E76)*(E79=E$1:E76)))))</f>
        <v/>
      </c>
      <c r="L79" s="27"/>
    </row>
    <row r="80" customFormat="false" ht="15" hidden="false" customHeight="false" outlineLevel="0" collapsed="false">
      <c r="A80" s="20" t="s">
        <v>213</v>
      </c>
      <c r="E80" s="21"/>
      <c r="F80" s="22"/>
      <c r="G80" s="23"/>
      <c r="H80" s="24"/>
      <c r="I80" s="25" t="str">
        <f aca="false">IF(OR(E80="",E80="!!!",F80="NEW"),"",INDEX(B$2:B77,-1+SUMPRODUCT(MAX(ROW(E$2:E77)*(E80=E$2:E77)))))</f>
        <v/>
      </c>
      <c r="J80" s="26" t="str">
        <f aca="true">IF(OR(E80="",E80="!!!",F80="NEW"),"",COUNTBLANK(OFFSET(A$1,,,SUMPRODUCT(MAX(ROW(E$2:E78)*(E80=E$2:E78)))))-COUNTBLANK(OFFSET(A$1,,,SUMPRODUCT(MAX(ROW(E$1:E77)*(E80=E$1:E77))))))</f>
        <v/>
      </c>
      <c r="K80" s="26" t="str">
        <f aca="false">IF(OR(E80="",E80="!!!",F80="NEW"),"",INDEX(J$1:J77,SUMPRODUCT(MAX(ROW(E$1:E77)*(E80=E$1:E77)))))</f>
        <v/>
      </c>
      <c r="L80" s="27"/>
    </row>
    <row r="81" customFormat="false" ht="15" hidden="false" customHeight="false" outlineLevel="0" collapsed="false">
      <c r="A81" s="20" t="s">
        <v>204</v>
      </c>
      <c r="E81" s="21"/>
      <c r="F81" s="22"/>
      <c r="G81" s="23"/>
      <c r="H81" s="24"/>
      <c r="I81" s="25" t="str">
        <f aca="false">IF(OR(E81="",E81="!!!",F81="NEW"),"",INDEX(B$2:B78,-1+SUMPRODUCT(MAX(ROW(E$2:E78)*(E81=E$2:E78)))))</f>
        <v/>
      </c>
      <c r="J81" s="26" t="str">
        <f aca="true">IF(OR(E81="",E81="!!!",F81="NEW"),"",COUNTBLANK(OFFSET(A$1,,,SUMPRODUCT(MAX(ROW(E$2:E79)*(E81=E$2:E79)))))-COUNTBLANK(OFFSET(A$1,,,SUMPRODUCT(MAX(ROW(E$1:E78)*(E81=E$1:E78))))))</f>
        <v/>
      </c>
      <c r="K81" s="26" t="str">
        <f aca="false">IF(OR(E81="",E81="!!!",F81="NEW"),"",INDEX(J$1:J78,SUMPRODUCT(MAX(ROW(E$1:E78)*(E81=E$1:E78)))))</f>
        <v/>
      </c>
      <c r="L81" s="27"/>
    </row>
    <row r="82" customFormat="false" ht="15" hidden="false" customHeight="false" outlineLevel="0" collapsed="false">
      <c r="A82" s="20" t="s">
        <v>276</v>
      </c>
      <c r="B82" s="28" t="s">
        <v>222</v>
      </c>
      <c r="C82" s="28" t="s">
        <v>207</v>
      </c>
      <c r="D82" s="28" t="s">
        <v>198</v>
      </c>
      <c r="E82" s="21" t="s">
        <v>208</v>
      </c>
      <c r="F82" s="22" t="s">
        <v>226</v>
      </c>
      <c r="G82" s="23" t="s">
        <v>227</v>
      </c>
      <c r="H82" s="24"/>
      <c r="I82" s="25" t="str">
        <f aca="false">IF(OR(E82="",E82="!!!",F82="NEW"),"",INDEX(B$2:B79,-1+SUMPRODUCT(MAX(ROW(E$2:E79)*(E82=E$2:E79)))))</f>
        <v>other</v>
      </c>
      <c r="J82" s="26" t="n">
        <f aca="true">IF(OR(E82="",E82="!!!",F82="NEW"),"",COUNTBLANK(OFFSET(A$1,,,SUMPRODUCT(MAX(ROW(E$2:E80)*(E82=E$2:E80)))))-COUNTBLANK(OFFSET(A$1,,,SUMPRODUCT(MAX(ROW(E$1:E79)*(E82=E$1:E79))))))</f>
        <v>0</v>
      </c>
      <c r="K82" s="26" t="n">
        <f aca="false">IF(OR(E82="",E82="!!!",F82="NEW"),"",INDEX(J$1:J79,SUMPRODUCT(MAX(ROW(E$1:E79)*(E82=E$1:E79)))))</f>
        <v>0</v>
      </c>
      <c r="L82" s="27"/>
    </row>
    <row r="83" customFormat="false" ht="15" hidden="false" customHeight="false" outlineLevel="0" collapsed="false">
      <c r="A83" s="20" t="s">
        <v>217</v>
      </c>
      <c r="E83" s="21"/>
      <c r="F83" s="22"/>
      <c r="G83" s="23"/>
      <c r="H83" s="24"/>
      <c r="I83" s="25" t="str">
        <f aca="false">IF(OR(E83="",E83="!!!",F83="NEW"),"",INDEX(B$2:B80,-1+SUMPRODUCT(MAX(ROW(E$2:E80)*(E83=E$2:E80)))))</f>
        <v/>
      </c>
      <c r="J83" s="26" t="str">
        <f aca="true">IF(OR(E83="",E83="!!!",F83="NEW"),"",COUNTBLANK(OFFSET(A$1,,,SUMPRODUCT(MAX(ROW(E$2:E81)*(E83=E$2:E81)))))-COUNTBLANK(OFFSET(A$1,,,SUMPRODUCT(MAX(ROW(E$1:E80)*(E83=E$1:E80))))))</f>
        <v/>
      </c>
      <c r="K83" s="26" t="str">
        <f aca="false">IF(OR(E83="",E83="!!!",F83="NEW"),"",INDEX(J$1:J80,SUMPRODUCT(MAX(ROW(E$1:E80)*(E83=E$1:E80)))))</f>
        <v/>
      </c>
      <c r="L83" s="27"/>
    </row>
    <row r="84" customFormat="false" ht="15" hidden="false" customHeight="false" outlineLevel="0" collapsed="false">
      <c r="A84" s="20" t="s">
        <v>204</v>
      </c>
      <c r="E84" s="21"/>
      <c r="F84" s="22"/>
      <c r="G84" s="23"/>
      <c r="H84" s="24"/>
      <c r="I84" s="25" t="str">
        <f aca="false">IF(OR(E84="",E84="!!!",F84="NEW"),"",INDEX(B$2:B81,-1+SUMPRODUCT(MAX(ROW(E$2:E81)*(E84=E$2:E81)))))</f>
        <v/>
      </c>
      <c r="J84" s="26" t="str">
        <f aca="true">IF(OR(E84="",E84="!!!",F84="NEW"),"",COUNTBLANK(OFFSET(A$1,,,SUMPRODUCT(MAX(ROW(E$2:E82)*(E84=E$2:E82)))))-COUNTBLANK(OFFSET(A$1,,,SUMPRODUCT(MAX(ROW(E$1:E81)*(E84=E$1:E81))))))</f>
        <v/>
      </c>
      <c r="K84" s="26" t="str">
        <f aca="false">IF(OR(E84="",E84="!!!",F84="NEW"),"",INDEX(J$1:J81,SUMPRODUCT(MAX(ROW(E$1:E81)*(E84=E$1:E81)))))</f>
        <v/>
      </c>
      <c r="L84" s="27"/>
    </row>
    <row r="85" customFormat="false" ht="15" hidden="false" customHeight="false" outlineLevel="0" collapsed="false">
      <c r="A85" s="20" t="s">
        <v>277</v>
      </c>
      <c r="B85" s="28" t="s">
        <v>219</v>
      </c>
      <c r="C85" s="28" t="s">
        <v>207</v>
      </c>
      <c r="D85" s="28" t="s">
        <v>198</v>
      </c>
      <c r="E85" s="21" t="s">
        <v>208</v>
      </c>
      <c r="F85" s="22" t="s">
        <v>226</v>
      </c>
      <c r="G85" s="23" t="s">
        <v>227</v>
      </c>
      <c r="H85" s="24"/>
      <c r="I85" s="25" t="str">
        <f aca="false">IF(OR(E85="",E85="!!!",F85="NEW"),"",INDEX(B$2:B82,-1+SUMPRODUCT(MAX(ROW(E$2:E82)*(E85=E$2:E82)))))</f>
        <v>SBJ_2</v>
      </c>
      <c r="J85" s="26" t="n">
        <f aca="true">IF(OR(E85="",E85="!!!",F85="NEW"),"",COUNTBLANK(OFFSET(A$1,,,SUMPRODUCT(MAX(ROW(E$2:E83)*(E85=E$2:E83)))))-COUNTBLANK(OFFSET(A$1,,,SUMPRODUCT(MAX(ROW(E$1:E82)*(E85=E$1:E82))))))</f>
        <v>0</v>
      </c>
      <c r="K85" s="26" t="n">
        <f aca="false">IF(OR(E85="",E85="!!!",F85="NEW"),"",INDEX(J$1:J82,SUMPRODUCT(MAX(ROW(E$1:E82)*(E85=E$1:E82)))))</f>
        <v>0</v>
      </c>
      <c r="L85" s="27"/>
    </row>
    <row r="86" customFormat="false" ht="15" hidden="false" customHeight="false" outlineLevel="0" collapsed="false">
      <c r="A86" s="20" t="s">
        <v>224</v>
      </c>
      <c r="E86" s="21"/>
      <c r="F86" s="22"/>
      <c r="G86" s="23"/>
      <c r="H86" s="24"/>
      <c r="I86" s="25" t="str">
        <f aca="false">IF(OR(E86="",E86="!!!",F86="NEW"),"",INDEX(B$2:B83,-1+SUMPRODUCT(MAX(ROW(E$2:E83)*(E86=E$2:E83)))))</f>
        <v/>
      </c>
      <c r="J86" s="26" t="str">
        <f aca="true">IF(OR(E86="",E86="!!!",F86="NEW"),"",COUNTBLANK(OFFSET(A$1,,,SUMPRODUCT(MAX(ROW(E$2:E84)*(E86=E$2:E84)))))-COUNTBLANK(OFFSET(A$1,,,SUMPRODUCT(MAX(ROW(E$1:E83)*(E86=E$1:E83))))))</f>
        <v/>
      </c>
      <c r="K86" s="26" t="str">
        <f aca="false">IF(OR(E86="",E86="!!!",F86="NEW"),"",INDEX(J$1:J83,SUMPRODUCT(MAX(ROW(E$1:E83)*(E86=E$1:E83)))))</f>
        <v/>
      </c>
      <c r="L86" s="27"/>
    </row>
    <row r="87" customFormat="false" ht="15" hidden="false" customHeight="false" outlineLevel="0" collapsed="false">
      <c r="A87" s="20" t="s">
        <v>203</v>
      </c>
      <c r="E87" s="21"/>
      <c r="F87" s="22"/>
      <c r="G87" s="23"/>
      <c r="H87" s="24"/>
      <c r="I87" s="25" t="str">
        <f aca="false">IF(OR(E87="",E87="!!!",F87="NEW"),"",INDEX(B$2:B84,-1+SUMPRODUCT(MAX(ROW(E$2:E84)*(E87=E$2:E84)))))</f>
        <v/>
      </c>
      <c r="J87" s="26" t="str">
        <f aca="true">IF(OR(E87="",E87="!!!",F87="NEW"),"",COUNTBLANK(OFFSET(A$1,,,SUMPRODUCT(MAX(ROW(E$2:E85)*(E87=E$2:E85)))))-COUNTBLANK(OFFSET(A$1,,,SUMPRODUCT(MAX(ROW(E$1:E84)*(E87=E$1:E84))))))</f>
        <v/>
      </c>
      <c r="K87" s="26" t="str">
        <f aca="false">IF(OR(E87="",E87="!!!",F87="NEW"),"",INDEX(J$1:J84,SUMPRODUCT(MAX(ROW(E$1:E84)*(E87=E$1:E84)))))</f>
        <v/>
      </c>
      <c r="L87" s="27"/>
    </row>
    <row r="88" customFormat="false" ht="15" hidden="false" customHeight="false" outlineLevel="0" collapsed="false">
      <c r="A88" s="20" t="s">
        <v>68</v>
      </c>
      <c r="E88" s="21"/>
      <c r="F88" s="22"/>
      <c r="G88" s="23"/>
      <c r="H88" s="24"/>
      <c r="I88" s="25" t="str">
        <f aca="false">IF(OR(E88="",E88="!!!",F88="NEW"),"",INDEX(B$2:B85,-1+SUMPRODUCT(MAX(ROW(E$2:E85)*(E88=E$2:E85)))))</f>
        <v/>
      </c>
      <c r="J88" s="26" t="str">
        <f aca="true">IF(OR(E88="",E88="!!!",F88="NEW"),"",COUNTBLANK(OFFSET(A$1,,,SUMPRODUCT(MAX(ROW(E$2:E86)*(E88=E$2:E86)))))-COUNTBLANK(OFFSET(A$1,,,SUMPRODUCT(MAX(ROW(E$1:E85)*(E88=E$1:E85))))))</f>
        <v/>
      </c>
      <c r="K88" s="26" t="str">
        <f aca="false">IF(OR(E88="",E88="!!!",F88="NEW"),"",INDEX(J$1:J85,SUMPRODUCT(MAX(ROW(E$1:E85)*(E88=E$1:E85)))))</f>
        <v/>
      </c>
      <c r="L88" s="27"/>
    </row>
    <row r="89" customFormat="false" ht="15" hidden="false" customHeight="false" outlineLevel="0" collapsed="false">
      <c r="A89" s="20" t="s">
        <v>278</v>
      </c>
      <c r="E89" s="21"/>
      <c r="F89" s="22"/>
      <c r="G89" s="23"/>
      <c r="H89" s="24"/>
      <c r="I89" s="25" t="str">
        <f aca="false">IF(OR(E89="",E89="!!!",F89="NEW"),"",INDEX(B$2:B86,-1+SUMPRODUCT(MAX(ROW(E$2:E86)*(E89=E$2:E86)))))</f>
        <v/>
      </c>
      <c r="J89" s="26" t="str">
        <f aca="true">IF(OR(E89="",E89="!!!",F89="NEW"),"",COUNTBLANK(OFFSET(A$1,,,SUMPRODUCT(MAX(ROW(E$2:E87)*(E89=E$2:E87)))))-COUNTBLANK(OFFSET(A$1,,,SUMPRODUCT(MAX(ROW(E$1:E86)*(E89=E$1:E86))))))</f>
        <v/>
      </c>
      <c r="K89" s="26" t="str">
        <f aca="false">IF(OR(E89="",E89="!!!",F89="NEW"),"",INDEX(J$1:J86,SUMPRODUCT(MAX(ROW(E$1:E86)*(E89=E$1:E86)))))</f>
        <v/>
      </c>
      <c r="L89" s="27"/>
    </row>
    <row r="90" customFormat="false" ht="15" hidden="false" customHeight="false" outlineLevel="0" collapsed="false">
      <c r="A90" s="20" t="s">
        <v>279</v>
      </c>
      <c r="E90" s="21"/>
      <c r="F90" s="22"/>
      <c r="G90" s="23"/>
      <c r="H90" s="24"/>
      <c r="I90" s="25" t="str">
        <f aca="false">IF(OR(E90="",E90="!!!",F90="NEW"),"",INDEX(B$2:B87,-1+SUMPRODUCT(MAX(ROW(E$2:E87)*(E90=E$2:E87)))))</f>
        <v/>
      </c>
      <c r="J90" s="26" t="str">
        <f aca="true">IF(OR(E90="",E90="!!!",F90="NEW"),"",COUNTBLANK(OFFSET(A$1,,,SUMPRODUCT(MAX(ROW(E$2:E88)*(E90=E$2:E88)))))-COUNTBLANK(OFFSET(A$1,,,SUMPRODUCT(MAX(ROW(E$1:E87)*(E90=E$1:E87))))))</f>
        <v/>
      </c>
      <c r="K90" s="26" t="str">
        <f aca="false">IF(OR(E90="",E90="!!!",F90="NEW"),"",INDEX(J$1:J87,SUMPRODUCT(MAX(ROW(E$1:E87)*(E90=E$1:E87)))))</f>
        <v/>
      </c>
      <c r="L90" s="27"/>
    </row>
    <row r="91" customFormat="false" ht="15" hidden="false" customHeight="false" outlineLevel="0" collapsed="false">
      <c r="A91" s="20" t="s">
        <v>280</v>
      </c>
      <c r="E91" s="21"/>
      <c r="F91" s="22"/>
      <c r="G91" s="23"/>
      <c r="H91" s="24"/>
      <c r="I91" s="25" t="str">
        <f aca="false">IF(OR(E91="",E91="!!!",F91="NEW"),"",INDEX(B$2:B88,-1+SUMPRODUCT(MAX(ROW(E$2:E88)*(E91=E$2:E88)))))</f>
        <v/>
      </c>
      <c r="J91" s="26" t="str">
        <f aca="true">IF(OR(E91="",E91="!!!",F91="NEW"),"",COUNTBLANK(OFFSET(A$1,,,SUMPRODUCT(MAX(ROW(E$2:E89)*(E91=E$2:E89)))))-COUNTBLANK(OFFSET(A$1,,,SUMPRODUCT(MAX(ROW(E$1:E88)*(E91=E$1:E88))))))</f>
        <v/>
      </c>
      <c r="K91" s="26" t="str">
        <f aca="false">IF(OR(E91="",E91="!!!",F91="NEW"),"",INDEX(J$1:J88,SUMPRODUCT(MAX(ROW(E$1:E88)*(E91=E$1:E88)))))</f>
        <v/>
      </c>
      <c r="L91" s="27"/>
    </row>
    <row r="92" customFormat="false" ht="15" hidden="false" customHeight="false" outlineLevel="0" collapsed="false">
      <c r="A92" s="20" t="s">
        <v>244</v>
      </c>
      <c r="E92" s="21"/>
      <c r="F92" s="22"/>
      <c r="G92" s="23"/>
      <c r="H92" s="24"/>
      <c r="I92" s="25" t="str">
        <f aca="false">IF(OR(E92="",E92="!!!",F92="NEW"),"",INDEX(B$2:B89,-1+SUMPRODUCT(MAX(ROW(E$2:E89)*(E92=E$2:E89)))))</f>
        <v/>
      </c>
      <c r="J92" s="26" t="str">
        <f aca="true">IF(OR(E92="",E92="!!!",F92="NEW"),"",COUNTBLANK(OFFSET(A$1,,,SUMPRODUCT(MAX(ROW(E$2:E90)*(E92=E$2:E90)))))-COUNTBLANK(OFFSET(A$1,,,SUMPRODUCT(MAX(ROW(E$1:E89)*(E92=E$1:E89))))))</f>
        <v/>
      </c>
      <c r="K92" s="26" t="str">
        <f aca="false">IF(OR(E92="",E92="!!!",F92="NEW"),"",INDEX(J$1:J89,SUMPRODUCT(MAX(ROW(E$1:E89)*(E92=E$1:E89)))))</f>
        <v/>
      </c>
      <c r="L92" s="27"/>
    </row>
    <row r="93" customFormat="false" ht="15" hidden="false" customHeight="false" outlineLevel="0" collapsed="false">
      <c r="A93" s="20"/>
      <c r="E93" s="21"/>
      <c r="F93" s="22"/>
      <c r="G93" s="23"/>
      <c r="H93" s="24"/>
      <c r="I93" s="25" t="str">
        <f aca="false">IF(OR(E93="",E93="!!!",F93="NEW"),"",INDEX(B$2:B90,-1+SUMPRODUCT(MAX(ROW(E$2:E90)*(E93=E$2:E90)))))</f>
        <v/>
      </c>
      <c r="J93" s="26" t="str">
        <f aca="true">IF(OR(E93="",E93="!!!",F93="NEW"),"",COUNTBLANK(OFFSET(A$1,,,SUMPRODUCT(MAX(ROW(E$2:E91)*(E93=E$2:E91)))))-COUNTBLANK(OFFSET(A$1,,,SUMPRODUCT(MAX(ROW(E$1:E90)*(E93=E$1:E90))))))</f>
        <v/>
      </c>
      <c r="K93" s="26" t="str">
        <f aca="false">IF(OR(E93="",E93="!!!",F93="NEW"),"",INDEX(J$1:J90,SUMPRODUCT(MAX(ROW(E$1:E90)*(E93=E$1:E90)))))</f>
        <v/>
      </c>
      <c r="L93" s="27"/>
    </row>
    <row r="94" customFormat="false" ht="15" hidden="false" customHeight="false" outlineLevel="0" collapsed="false">
      <c r="A94" s="20" t="s">
        <v>281</v>
      </c>
      <c r="E94" s="21"/>
      <c r="F94" s="22"/>
      <c r="G94" s="23"/>
      <c r="H94" s="24"/>
      <c r="I94" s="25" t="str">
        <f aca="false">IF(OR(E94="",E94="!!!",F94="NEW"),"",INDEX(B$2:B91,-1+SUMPRODUCT(MAX(ROW(E$2:E91)*(E94=E$2:E91)))))</f>
        <v/>
      </c>
      <c r="J94" s="26" t="str">
        <f aca="true">IF(OR(E94="",E94="!!!",F94="NEW"),"",COUNTBLANK(OFFSET(A$1,,,SUMPRODUCT(MAX(ROW(E$2:E92)*(E94=E$2:E92)))))-COUNTBLANK(OFFSET(A$1,,,SUMPRODUCT(MAX(ROW(E$1:E91)*(E94=E$1:E91))))))</f>
        <v/>
      </c>
      <c r="K94" s="26" t="str">
        <f aca="false">IF(OR(E94="",E94="!!!",F94="NEW"),"",INDEX(J$1:J91,SUMPRODUCT(MAX(ROW(E$1:E91)*(E94=E$1:E91)))))</f>
        <v/>
      </c>
      <c r="L94" s="27"/>
    </row>
    <row r="95" customFormat="false" ht="15" hidden="false" customHeight="false" outlineLevel="0" collapsed="false">
      <c r="A95" s="20" t="s">
        <v>282</v>
      </c>
      <c r="B95" s="28" t="s">
        <v>196</v>
      </c>
      <c r="C95" s="28" t="s">
        <v>197</v>
      </c>
      <c r="D95" s="28" t="s">
        <v>198</v>
      </c>
      <c r="E95" s="21"/>
      <c r="F95" s="22" t="s">
        <v>261</v>
      </c>
      <c r="G95" s="23"/>
      <c r="H95" s="24"/>
      <c r="I95" s="25" t="str">
        <f aca="false">IF(OR(E95="",E95="!!!",F95="NEW"),"",INDEX(B$2:B92,-1+SUMPRODUCT(MAX(ROW(E$2:E92)*(E95=E$2:E92)))))</f>
        <v/>
      </c>
      <c r="J95" s="26" t="str">
        <f aca="true">IF(OR(E95="",E95="!!!",F95="NEW"),"",COUNTBLANK(OFFSET(A$1,,,SUMPRODUCT(MAX(ROW(E$2:E93)*(E95=E$2:E93)))))-COUNTBLANK(OFFSET(A$1,,,SUMPRODUCT(MAX(ROW(E$1:E92)*(E95=E$1:E92))))))</f>
        <v/>
      </c>
      <c r="K95" s="26" t="str">
        <f aca="false">IF(OR(E95="",E95="!!!",F95="NEW"),"",INDEX(J$1:J92,SUMPRODUCT(MAX(ROW(E$1:E92)*(E95=E$1:E92)))))</f>
        <v/>
      </c>
      <c r="L95" s="27"/>
    </row>
    <row r="96" customFormat="false" ht="15" hidden="false" customHeight="false" outlineLevel="0" collapsed="false">
      <c r="A96" s="20" t="s">
        <v>283</v>
      </c>
      <c r="E96" s="21"/>
      <c r="F96" s="22"/>
      <c r="G96" s="23"/>
      <c r="H96" s="24"/>
      <c r="I96" s="25" t="str">
        <f aca="false">IF(OR(E96="",E96="!!!",F96="NEW"),"",INDEX(B$2:B93,-1+SUMPRODUCT(MAX(ROW(E$2:E93)*(E96=E$2:E93)))))</f>
        <v/>
      </c>
      <c r="J96" s="26" t="str">
        <f aca="true">IF(OR(E96="",E96="!!!",F96="NEW"),"",COUNTBLANK(OFFSET(A$1,,,SUMPRODUCT(MAX(ROW(E$2:E94)*(E96=E$2:E94)))))-COUNTBLANK(OFFSET(A$1,,,SUMPRODUCT(MAX(ROW(E$1:E93)*(E96=E$1:E93))))))</f>
        <v/>
      </c>
      <c r="K96" s="26" t="str">
        <f aca="false">IF(OR(E96="",E96="!!!",F96="NEW"),"",INDEX(J$1:J93,SUMPRODUCT(MAX(ROW(E$1:E93)*(E96=E$1:E93)))))</f>
        <v/>
      </c>
      <c r="L96" s="27"/>
    </row>
    <row r="97" customFormat="false" ht="15" hidden="false" customHeight="false" outlineLevel="0" collapsed="false">
      <c r="A97" s="20" t="s">
        <v>236</v>
      </c>
      <c r="E97" s="21"/>
      <c r="F97" s="22"/>
      <c r="G97" s="23"/>
      <c r="H97" s="24"/>
      <c r="I97" s="25" t="str">
        <f aca="false">IF(OR(E97="",E97="!!!",F97="NEW"),"",INDEX(B$2:B94,-1+SUMPRODUCT(MAX(ROW(E$2:E94)*(E97=E$2:E94)))))</f>
        <v/>
      </c>
      <c r="J97" s="26" t="str">
        <f aca="true">IF(OR(E97="",E97="!!!",F97="NEW"),"",COUNTBLANK(OFFSET(A$1,,,SUMPRODUCT(MAX(ROW(E$2:E95)*(E97=E$2:E95)))))-COUNTBLANK(OFFSET(A$1,,,SUMPRODUCT(MAX(ROW(E$1:E94)*(E97=E$1:E94))))))</f>
        <v/>
      </c>
      <c r="K97" s="26" t="str">
        <f aca="false">IF(OR(E97="",E97="!!!",F97="NEW"),"",INDEX(J$1:J94,SUMPRODUCT(MAX(ROW(E$1:E94)*(E97=E$1:E94)))))</f>
        <v/>
      </c>
      <c r="L97" s="27"/>
    </row>
    <row r="98" customFormat="false" ht="15" hidden="false" customHeight="false" outlineLevel="0" collapsed="false">
      <c r="A98" s="20" t="s">
        <v>204</v>
      </c>
      <c r="E98" s="21"/>
      <c r="F98" s="22"/>
      <c r="G98" s="23"/>
      <c r="H98" s="24"/>
      <c r="I98" s="25" t="str">
        <f aca="false">IF(OR(E98="",E98="!!!",F98="NEW"),"",INDEX(B$2:B95,-1+SUMPRODUCT(MAX(ROW(E$2:E95)*(E98=E$2:E95)))))</f>
        <v/>
      </c>
      <c r="J98" s="26" t="str">
        <f aca="true">IF(OR(E98="",E98="!!!",F98="NEW"),"",COUNTBLANK(OFFSET(A$1,,,SUMPRODUCT(MAX(ROW(E$2:E96)*(E98=E$2:E96)))))-COUNTBLANK(OFFSET(A$1,,,SUMPRODUCT(MAX(ROW(E$1:E95)*(E98=E$1:E95))))))</f>
        <v/>
      </c>
      <c r="K98" s="26" t="str">
        <f aca="false">IF(OR(E98="",E98="!!!",F98="NEW"),"",INDEX(J$1:J95,SUMPRODUCT(MAX(ROW(E$1:E95)*(E98=E$1:E95)))))</f>
        <v/>
      </c>
      <c r="L98" s="27"/>
    </row>
    <row r="99" customFormat="false" ht="15" hidden="false" customHeight="false" outlineLevel="0" collapsed="false">
      <c r="A99" s="20" t="s">
        <v>284</v>
      </c>
      <c r="B99" s="28" t="s">
        <v>206</v>
      </c>
      <c r="C99" s="28" t="s">
        <v>207</v>
      </c>
      <c r="D99" s="28" t="s">
        <v>198</v>
      </c>
      <c r="E99" s="21" t="s">
        <v>258</v>
      </c>
      <c r="F99" s="22" t="s">
        <v>226</v>
      </c>
      <c r="G99" s="23" t="s">
        <v>247</v>
      </c>
      <c r="H99" s="24"/>
      <c r="I99" s="25" t="str">
        <f aca="false">IF(OR(E99="",E99="!!!",F99="NEW"),"",INDEX(B$2:B96,-1+SUMPRODUCT(MAX(ROW(E$2:E96)*(E99=E$2:E96)))))</f>
        <v>other_2</v>
      </c>
      <c r="J99" s="26" t="n">
        <f aca="true">IF(OR(E99="",E99="!!!",F99="NEW"),"",COUNTBLANK(OFFSET(A$1,,,SUMPRODUCT(MAX(ROW(E$2:E97)*(E99=E$2:E97)))))-COUNTBLANK(OFFSET(A$1,,,SUMPRODUCT(MAX(ROW(E$1:E96)*(E99=E$1:E96))))))</f>
        <v>0</v>
      </c>
      <c r="K99" s="26" t="str">
        <f aca="false">IF(OR(E99="",E99="!!!",F99="NEW"),"",INDEX(J$1:J96,SUMPRODUCT(MAX(ROW(E$1:E96)*(E99=E$1:E96)))))</f>
        <v/>
      </c>
      <c r="L99" s="27"/>
    </row>
    <row r="100" customFormat="false" ht="15" hidden="false" customHeight="false" outlineLevel="0" collapsed="false">
      <c r="A100" s="20" t="s">
        <v>209</v>
      </c>
      <c r="E100" s="21"/>
      <c r="F100" s="22"/>
      <c r="G100" s="23"/>
      <c r="H100" s="24"/>
      <c r="I100" s="25" t="str">
        <f aca="false">IF(OR(E100="",E100="!!!",F100="NEW"),"",INDEX(B$2:B97,-1+SUMPRODUCT(MAX(ROW(E$2:E97)*(E100=E$2:E97)))))</f>
        <v/>
      </c>
      <c r="J100" s="26" t="str">
        <f aca="true">IF(OR(E100="",E100="!!!",F100="NEW"),"",COUNTBLANK(OFFSET(A$1,,,SUMPRODUCT(MAX(ROW(E$2:E98)*(E100=E$2:E98)))))-COUNTBLANK(OFFSET(A$1,,,SUMPRODUCT(MAX(ROW(E$1:E97)*(E100=E$1:E97))))))</f>
        <v/>
      </c>
      <c r="K100" s="26" t="str">
        <f aca="false">IF(OR(E100="",E100="!!!",F100="NEW"),"",INDEX(J$1:J97,SUMPRODUCT(MAX(ROW(E$1:E97)*(E100=E$1:E97)))))</f>
        <v/>
      </c>
      <c r="L100" s="27"/>
    </row>
    <row r="101" customFormat="false" ht="15" hidden="false" customHeight="false" outlineLevel="0" collapsed="false">
      <c r="A101" s="20" t="s">
        <v>285</v>
      </c>
      <c r="E101" s="21"/>
      <c r="F101" s="22"/>
      <c r="G101" s="23"/>
      <c r="H101" s="24"/>
      <c r="I101" s="25" t="str">
        <f aca="false">IF(OR(E101="",E101="!!!",F101="NEW"),"",INDEX(B$2:B98,-1+SUMPRODUCT(MAX(ROW(E$2:E98)*(E101=E$2:E98)))))</f>
        <v/>
      </c>
      <c r="J101" s="26" t="str">
        <f aca="true">IF(OR(E101="",E101="!!!",F101="NEW"),"",COUNTBLANK(OFFSET(A$1,,,SUMPRODUCT(MAX(ROW(E$2:E99)*(E101=E$2:E99)))))-COUNTBLANK(OFFSET(A$1,,,SUMPRODUCT(MAX(ROW(E$1:E98)*(E101=E$1:E98))))))</f>
        <v/>
      </c>
      <c r="K101" s="26" t="str">
        <f aca="false">IF(OR(E101="",E101="!!!",F101="NEW"),"",INDEX(J$1:J98,SUMPRODUCT(MAX(ROW(E$1:E98)*(E101=E$1:E98)))))</f>
        <v/>
      </c>
      <c r="L101" s="27"/>
    </row>
    <row r="102" customFormat="false" ht="15" hidden="false" customHeight="false" outlineLevel="0" collapsed="false">
      <c r="A102" s="20" t="s">
        <v>286</v>
      </c>
      <c r="B102" s="28" t="s">
        <v>219</v>
      </c>
      <c r="C102" s="28" t="s">
        <v>287</v>
      </c>
      <c r="D102" s="28" t="s">
        <v>198</v>
      </c>
      <c r="E102" s="21" t="s">
        <v>208</v>
      </c>
      <c r="F102" s="22" t="s">
        <v>226</v>
      </c>
      <c r="G102" s="23" t="s">
        <v>247</v>
      </c>
      <c r="H102" s="24" t="s">
        <v>189</v>
      </c>
      <c r="I102" s="25" t="str">
        <f aca="false">IF(OR(E102="",E102="!!!",F102="NEW"),"",INDEX(B$2:B99,-1+SUMPRODUCT(MAX(ROW(E$2:E99)*(E102=E$2:E99)))))</f>
        <v>other_3</v>
      </c>
      <c r="J102" s="26" t="n">
        <f aca="true">IF(OR(E102="",E102="!!!",F102="NEW"),"",COUNTBLANK(OFFSET(A$1,,,SUMPRODUCT(MAX(ROW(E$2:E100)*(E102=E$2:E100)))))-COUNTBLANK(OFFSET(A$1,,,SUMPRODUCT(MAX(ROW(E$1:E99)*(E102=E$1:E99))))))</f>
        <v>0</v>
      </c>
      <c r="K102" s="26" t="n">
        <f aca="false">IF(OR(E102="",E102="!!!",F102="NEW"),"",INDEX(J$1:J99,SUMPRODUCT(MAX(ROW(E$1:E99)*(E102=E$1:E99)))))</f>
        <v>0</v>
      </c>
      <c r="L102" s="27"/>
    </row>
    <row r="103" customFormat="false" ht="15" hidden="false" customHeight="false" outlineLevel="0" collapsed="false">
      <c r="A103" s="20" t="s">
        <v>288</v>
      </c>
      <c r="B103" s="28" t="s">
        <v>222</v>
      </c>
      <c r="C103" s="28" t="s">
        <v>289</v>
      </c>
      <c r="D103" s="28" t="s">
        <v>198</v>
      </c>
      <c r="E103" s="21" t="s">
        <v>290</v>
      </c>
      <c r="F103" s="22" t="s">
        <v>200</v>
      </c>
      <c r="G103" s="23" t="s">
        <v>212</v>
      </c>
      <c r="H103" s="24"/>
      <c r="I103" s="25" t="str">
        <f aca="false">IF(OR(E103="",E103="!!!",F103="NEW"),"",INDEX(B$2:B100,-1+SUMPRODUCT(MAX(ROW(E$2:E100)*(E103=E$2:E100)))))</f>
        <v/>
      </c>
      <c r="J103" s="26" t="str">
        <f aca="true">IF(OR(E103="",E103="!!!",F103="NEW"),"",COUNTBLANK(OFFSET(A$1,,,SUMPRODUCT(MAX(ROW(E$2:E101)*(E103=E$2:E101)))))-COUNTBLANK(OFFSET(A$1,,,SUMPRODUCT(MAX(ROW(E$1:E100)*(E103=E$1:E100))))))</f>
        <v/>
      </c>
      <c r="K103" s="26" t="str">
        <f aca="false">IF(OR(E103="",E103="!!!",F103="NEW"),"",INDEX(J$1:J100,SUMPRODUCT(MAX(ROW(E$1:E100)*(E103=E$1:E100)))))</f>
        <v/>
      </c>
      <c r="L103" s="27"/>
    </row>
    <row r="104" customFormat="false" ht="15" hidden="false" customHeight="false" outlineLevel="0" collapsed="false">
      <c r="A104" s="20" t="s">
        <v>209</v>
      </c>
      <c r="E104" s="21"/>
      <c r="F104" s="22"/>
      <c r="G104" s="23"/>
      <c r="H104" s="24"/>
      <c r="I104" s="25" t="str">
        <f aca="false">IF(OR(E104="",E104="!!!",F104="NEW"),"",INDEX(B$2:B101,-1+SUMPRODUCT(MAX(ROW(E$2:E101)*(E104=E$2:E101)))))</f>
        <v/>
      </c>
      <c r="J104" s="26" t="str">
        <f aca="true">IF(OR(E104="",E104="!!!",F104="NEW"),"",COUNTBLANK(OFFSET(A$1,,,SUMPRODUCT(MAX(ROW(E$2:E102)*(E104=E$2:E102)))))-COUNTBLANK(OFFSET(A$1,,,SUMPRODUCT(MAX(ROW(E$1:E101)*(E104=E$1:E101))))))</f>
        <v/>
      </c>
      <c r="K104" s="26" t="str">
        <f aca="false">IF(OR(E104="",E104="!!!",F104="NEW"),"",INDEX(J$1:J101,SUMPRODUCT(MAX(ROW(E$1:E101)*(E104=E$1:E101)))))</f>
        <v/>
      </c>
      <c r="L104" s="27"/>
    </row>
    <row r="105" customFormat="false" ht="15" hidden="false" customHeight="false" outlineLevel="0" collapsed="false">
      <c r="A105" s="20" t="s">
        <v>291</v>
      </c>
      <c r="B105" s="28" t="s">
        <v>219</v>
      </c>
      <c r="C105" s="28" t="s">
        <v>251</v>
      </c>
      <c r="E105" s="21"/>
      <c r="F105" s="22"/>
      <c r="G105" s="23"/>
      <c r="H105" s="24"/>
      <c r="I105" s="25" t="str">
        <f aca="false">IF(OR(E105="",E105="!!!",F105="NEW"),"",INDEX(B$2:B102,-1+SUMPRODUCT(MAX(ROW(E$2:E102)*(E105=E$2:E102)))))</f>
        <v/>
      </c>
      <c r="J105" s="26" t="str">
        <f aca="true">IF(OR(E105="",E105="!!!",F105="NEW"),"",COUNTBLANK(OFFSET(A$1,,,SUMPRODUCT(MAX(ROW(E$2:E103)*(E105=E$2:E103)))))-COUNTBLANK(OFFSET(A$1,,,SUMPRODUCT(MAX(ROW(E$1:E102)*(E105=E$1:E102))))))</f>
        <v/>
      </c>
      <c r="K105" s="26" t="str">
        <f aca="false">IF(OR(E105="",E105="!!!",F105="NEW"),"",INDEX(J$1:J102,SUMPRODUCT(MAX(ROW(E$1:E102)*(E105=E$1:E102)))))</f>
        <v/>
      </c>
      <c r="L105" s="27"/>
    </row>
    <row r="106" customFormat="false" ht="15" hidden="false" customHeight="false" outlineLevel="0" collapsed="false">
      <c r="A106" s="20" t="s">
        <v>209</v>
      </c>
      <c r="E106" s="21"/>
      <c r="F106" s="22"/>
      <c r="G106" s="23"/>
      <c r="H106" s="24"/>
      <c r="I106" s="25" t="str">
        <f aca="false">IF(OR(E106="",E106="!!!",F106="NEW"),"",INDEX(B$2:B103,-1+SUMPRODUCT(MAX(ROW(E$2:E103)*(E106=E$2:E103)))))</f>
        <v/>
      </c>
      <c r="J106" s="26" t="str">
        <f aca="true">IF(OR(E106="",E106="!!!",F106="NEW"),"",COUNTBLANK(OFFSET(A$1,,,SUMPRODUCT(MAX(ROW(E$2:E104)*(E106=E$2:E104)))))-COUNTBLANK(OFFSET(A$1,,,SUMPRODUCT(MAX(ROW(E$1:E103)*(E106=E$1:E103))))))</f>
        <v/>
      </c>
      <c r="K106" s="26" t="str">
        <f aca="false">IF(OR(E106="",E106="!!!",F106="NEW"),"",INDEX(J$1:J103,SUMPRODUCT(MAX(ROW(E$1:E103)*(E106=E$1:E103)))))</f>
        <v/>
      </c>
      <c r="L106" s="27"/>
    </row>
    <row r="107" customFormat="false" ht="15" hidden="false" customHeight="false" outlineLevel="0" collapsed="false">
      <c r="A107" s="20" t="s">
        <v>213</v>
      </c>
      <c r="E107" s="21"/>
      <c r="F107" s="22"/>
      <c r="G107" s="23"/>
      <c r="H107" s="24"/>
      <c r="I107" s="25" t="str">
        <f aca="false">IF(OR(E107="",E107="!!!",F107="NEW"),"",INDEX(B$2:B104,-1+SUMPRODUCT(MAX(ROW(E$2:E104)*(E107=E$2:E104)))))</f>
        <v/>
      </c>
      <c r="J107" s="26" t="str">
        <f aca="true">IF(OR(E107="",E107="!!!",F107="NEW"),"",COUNTBLANK(OFFSET(A$1,,,SUMPRODUCT(MAX(ROW(E$2:E105)*(E107=E$2:E105)))))-COUNTBLANK(OFFSET(A$1,,,SUMPRODUCT(MAX(ROW(E$1:E104)*(E107=E$1:E104))))))</f>
        <v/>
      </c>
      <c r="K107" s="26" t="str">
        <f aca="false">IF(OR(E107="",E107="!!!",F107="NEW"),"",INDEX(J$1:J104,SUMPRODUCT(MAX(ROW(E$1:E104)*(E107=E$1:E104)))))</f>
        <v/>
      </c>
      <c r="L107" s="27"/>
    </row>
    <row r="108" customFormat="false" ht="15" hidden="false" customHeight="false" outlineLevel="0" collapsed="false">
      <c r="A108" s="20" t="s">
        <v>292</v>
      </c>
      <c r="B108" s="28" t="s">
        <v>222</v>
      </c>
      <c r="C108" s="28" t="s">
        <v>251</v>
      </c>
      <c r="E108" s="21"/>
      <c r="F108" s="22"/>
      <c r="G108" s="23"/>
      <c r="H108" s="24"/>
      <c r="I108" s="25" t="str">
        <f aca="false">IF(OR(E108="",E108="!!!",F108="NEW"),"",INDEX(B$2:B105,-1+SUMPRODUCT(MAX(ROW(E$2:E105)*(E108=E$2:E105)))))</f>
        <v/>
      </c>
      <c r="J108" s="26" t="str">
        <f aca="true">IF(OR(E108="",E108="!!!",F108="NEW"),"",COUNTBLANK(OFFSET(A$1,,,SUMPRODUCT(MAX(ROW(E$2:E106)*(E108=E$2:E106)))))-COUNTBLANK(OFFSET(A$1,,,SUMPRODUCT(MAX(ROW(E$1:E105)*(E108=E$1:E105))))))</f>
        <v/>
      </c>
      <c r="K108" s="26" t="str">
        <f aca="false">IF(OR(E108="",E108="!!!",F108="NEW"),"",INDEX(J$1:J105,SUMPRODUCT(MAX(ROW(E$1:E105)*(E108=E$1:E105)))))</f>
        <v/>
      </c>
      <c r="L108" s="27"/>
    </row>
    <row r="109" customFormat="false" ht="15" hidden="false" customHeight="false" outlineLevel="0" collapsed="false">
      <c r="A109" s="20" t="s">
        <v>293</v>
      </c>
      <c r="E109" s="21"/>
      <c r="F109" s="22"/>
      <c r="G109" s="23"/>
      <c r="H109" s="24"/>
      <c r="I109" s="25" t="str">
        <f aca="false">IF(OR(E109="",E109="!!!",F109="NEW"),"",INDEX(B$2:B106,-1+SUMPRODUCT(MAX(ROW(E$2:E106)*(E109=E$2:E106)))))</f>
        <v/>
      </c>
      <c r="J109" s="26" t="str">
        <f aca="true">IF(OR(E109="",E109="!!!",F109="NEW"),"",COUNTBLANK(OFFSET(A$1,,,SUMPRODUCT(MAX(ROW(E$2:E107)*(E109=E$2:E107)))))-COUNTBLANK(OFFSET(A$1,,,SUMPRODUCT(MAX(ROW(E$1:E106)*(E109=E$1:E106))))))</f>
        <v/>
      </c>
      <c r="K109" s="26" t="str">
        <f aca="false">IF(OR(E109="",E109="!!!",F109="NEW"),"",INDEX(J$1:J106,SUMPRODUCT(MAX(ROW(E$1:E106)*(E109=E$1:E106)))))</f>
        <v/>
      </c>
      <c r="L109" s="27"/>
    </row>
    <row r="110" customFormat="false" ht="15" hidden="false" customHeight="false" outlineLevel="0" collapsed="false">
      <c r="A110" s="20" t="s">
        <v>294</v>
      </c>
      <c r="E110" s="21"/>
      <c r="F110" s="22"/>
      <c r="G110" s="23"/>
      <c r="H110" s="24"/>
      <c r="I110" s="25" t="str">
        <f aca="false">IF(OR(E110="",E110="!!!",F110="NEW"),"",INDEX(B$2:B107,-1+SUMPRODUCT(MAX(ROW(E$2:E107)*(E110=E$2:E107)))))</f>
        <v/>
      </c>
      <c r="J110" s="26" t="str">
        <f aca="true">IF(OR(E110="",E110="!!!",F110="NEW"),"",COUNTBLANK(OFFSET(A$1,,,SUMPRODUCT(MAX(ROW(E$2:E108)*(E110=E$2:E108)))))-COUNTBLANK(OFFSET(A$1,,,SUMPRODUCT(MAX(ROW(E$1:E107)*(E110=E$1:E107))))))</f>
        <v/>
      </c>
      <c r="K110" s="26" t="str">
        <f aca="false">IF(OR(E110="",E110="!!!",F110="NEW"),"",INDEX(J$1:J107,SUMPRODUCT(MAX(ROW(E$1:E107)*(E110=E$1:E107)))))</f>
        <v/>
      </c>
      <c r="L110" s="27"/>
    </row>
    <row r="111" customFormat="false" ht="15" hidden="false" customHeight="false" outlineLevel="0" collapsed="false">
      <c r="A111" s="20" t="s">
        <v>295</v>
      </c>
      <c r="E111" s="21"/>
      <c r="F111" s="22"/>
      <c r="G111" s="23"/>
      <c r="H111" s="24"/>
      <c r="I111" s="25" t="str">
        <f aca="false">IF(OR(E111="",E111="!!!",F111="NEW"),"",INDEX(B$2:B108,-1+SUMPRODUCT(MAX(ROW(E$2:E108)*(E111=E$2:E108)))))</f>
        <v/>
      </c>
      <c r="J111" s="26" t="str">
        <f aca="true">IF(OR(E111="",E111="!!!",F111="NEW"),"",COUNTBLANK(OFFSET(A$1,,,SUMPRODUCT(MAX(ROW(E$2:E109)*(E111=E$2:E109)))))-COUNTBLANK(OFFSET(A$1,,,SUMPRODUCT(MAX(ROW(E$1:E108)*(E111=E$1:E108))))))</f>
        <v/>
      </c>
      <c r="K111" s="26" t="str">
        <f aca="false">IF(OR(E111="",E111="!!!",F111="NEW"),"",INDEX(J$1:J108,SUMPRODUCT(MAX(ROW(E$1:E108)*(E111=E$1:E108)))))</f>
        <v/>
      </c>
      <c r="L111" s="27"/>
    </row>
    <row r="112" customFormat="false" ht="15" hidden="false" customHeight="false" outlineLevel="0" collapsed="false">
      <c r="A112" s="20" t="s">
        <v>236</v>
      </c>
      <c r="E112" s="21"/>
      <c r="F112" s="22"/>
      <c r="G112" s="23"/>
      <c r="H112" s="24"/>
      <c r="I112" s="25" t="str">
        <f aca="false">IF(OR(E112="",E112="!!!",F112="NEW"),"",INDEX(B$2:B109,-1+SUMPRODUCT(MAX(ROW(E$2:E109)*(E112=E$2:E109)))))</f>
        <v/>
      </c>
      <c r="J112" s="26" t="str">
        <f aca="true">IF(OR(E112="",E112="!!!",F112="NEW"),"",COUNTBLANK(OFFSET(A$1,,,SUMPRODUCT(MAX(ROW(E$2:E110)*(E112=E$2:E110)))))-COUNTBLANK(OFFSET(A$1,,,SUMPRODUCT(MAX(ROW(E$1:E109)*(E112=E$1:E109))))))</f>
        <v/>
      </c>
      <c r="K112" s="26" t="str">
        <f aca="false">IF(OR(E112="",E112="!!!",F112="NEW"),"",INDEX(J$1:J109,SUMPRODUCT(MAX(ROW(E$1:E109)*(E112=E$1:E109)))))</f>
        <v/>
      </c>
      <c r="L112" s="27"/>
    </row>
    <row r="113" customFormat="false" ht="15" hidden="false" customHeight="false" outlineLevel="0" collapsed="false">
      <c r="A113" s="20" t="s">
        <v>296</v>
      </c>
      <c r="B113" s="28" t="s">
        <v>215</v>
      </c>
      <c r="C113" s="28" t="s">
        <v>223</v>
      </c>
      <c r="D113" s="28" t="s">
        <v>198</v>
      </c>
      <c r="E113" s="21" t="s">
        <v>296</v>
      </c>
      <c r="F113" s="22" t="s">
        <v>200</v>
      </c>
      <c r="G113" s="23" t="s">
        <v>201</v>
      </c>
      <c r="H113" s="24"/>
      <c r="I113" s="25" t="str">
        <f aca="false">IF(OR(E113="",E113="!!!",F113="NEW"),"",INDEX(B$2:B110,-1+SUMPRODUCT(MAX(ROW(E$2:E110)*(E113=E$2:E110)))))</f>
        <v/>
      </c>
      <c r="J113" s="26" t="str">
        <f aca="true">IF(OR(E113="",E113="!!!",F113="NEW"),"",COUNTBLANK(OFFSET(A$1,,,SUMPRODUCT(MAX(ROW(E$2:E111)*(E113=E$2:E111)))))-COUNTBLANK(OFFSET(A$1,,,SUMPRODUCT(MAX(ROW(E$1:E110)*(E113=E$1:E110))))))</f>
        <v/>
      </c>
      <c r="K113" s="26" t="str">
        <f aca="false">IF(OR(E113="",E113="!!!",F113="NEW"),"",INDEX(J$1:J110,SUMPRODUCT(MAX(ROW(E$1:E110)*(E113=E$1:E110)))))</f>
        <v/>
      </c>
      <c r="L113" s="27"/>
    </row>
    <row r="114" customFormat="false" ht="15" hidden="false" customHeight="false" outlineLevel="0" collapsed="false">
      <c r="A114" s="20" t="s">
        <v>244</v>
      </c>
      <c r="E114" s="21"/>
      <c r="F114" s="22"/>
      <c r="G114" s="23"/>
      <c r="H114" s="24"/>
      <c r="I114" s="25" t="str">
        <f aca="false">IF(OR(E114="",E114="!!!",F114="NEW"),"",INDEX(B$2:B111,-1+SUMPRODUCT(MAX(ROW(E$2:E111)*(E114=E$2:E111)))))</f>
        <v/>
      </c>
      <c r="J114" s="26" t="str">
        <f aca="true">IF(OR(E114="",E114="!!!",F114="NEW"),"",COUNTBLANK(OFFSET(A$1,,,SUMPRODUCT(MAX(ROW(E$2:E112)*(E114=E$2:E112)))))-COUNTBLANK(OFFSET(A$1,,,SUMPRODUCT(MAX(ROW(E$1:E111)*(E114=E$1:E111))))))</f>
        <v/>
      </c>
      <c r="K114" s="26" t="str">
        <f aca="false">IF(OR(E114="",E114="!!!",F114="NEW"),"",INDEX(J$1:J111,SUMPRODUCT(MAX(ROW(E$1:E111)*(E114=E$1:E111)))))</f>
        <v/>
      </c>
      <c r="L114" s="27"/>
    </row>
    <row r="115" customFormat="false" ht="15" hidden="false" customHeight="false" outlineLevel="0" collapsed="false">
      <c r="A115" s="20"/>
      <c r="E115" s="21"/>
      <c r="F115" s="22"/>
      <c r="G115" s="23"/>
      <c r="H115" s="24"/>
      <c r="I115" s="25" t="str">
        <f aca="false">IF(OR(E115="",E115="!!!",F115="NEW"),"",INDEX(B$2:B112,-1+SUMPRODUCT(MAX(ROW(E$2:E112)*(E115=E$2:E112)))))</f>
        <v/>
      </c>
      <c r="J115" s="26" t="str">
        <f aca="true">IF(OR(E115="",E115="!!!",F115="NEW"),"",COUNTBLANK(OFFSET(A$1,,,SUMPRODUCT(MAX(ROW(E$2:E113)*(E115=E$2:E113)))))-COUNTBLANK(OFFSET(A$1,,,SUMPRODUCT(MAX(ROW(E$1:E112)*(E115=E$1:E112))))))</f>
        <v/>
      </c>
      <c r="K115" s="26" t="str">
        <f aca="false">IF(OR(E115="",E115="!!!",F115="NEW"),"",INDEX(J$1:J112,SUMPRODUCT(MAX(ROW(E$1:E112)*(E115=E$1:E112)))))</f>
        <v/>
      </c>
      <c r="L115" s="27"/>
    </row>
    <row r="116" customFormat="false" ht="15" hidden="false" customHeight="false" outlineLevel="0" collapsed="false">
      <c r="A116" s="20" t="s">
        <v>297</v>
      </c>
      <c r="E116" s="21"/>
      <c r="F116" s="22"/>
      <c r="G116" s="23"/>
      <c r="H116" s="24"/>
      <c r="I116" s="25" t="str">
        <f aca="false">IF(OR(E116="",E116="!!!",F116="NEW"),"",INDEX(B$2:B113,-1+SUMPRODUCT(MAX(ROW(E$2:E113)*(E116=E$2:E113)))))</f>
        <v/>
      </c>
      <c r="J116" s="26" t="str">
        <f aca="true">IF(OR(E116="",E116="!!!",F116="NEW"),"",COUNTBLANK(OFFSET(A$1,,,SUMPRODUCT(MAX(ROW(E$2:E114)*(E116=E$2:E114)))))-COUNTBLANK(OFFSET(A$1,,,SUMPRODUCT(MAX(ROW(E$1:E113)*(E116=E$1:E113))))))</f>
        <v/>
      </c>
      <c r="K116" s="26" t="str">
        <f aca="false">IF(OR(E116="",E116="!!!",F116="NEW"),"",INDEX(J$1:J113,SUMPRODUCT(MAX(ROW(E$1:E113)*(E116=E$1:E113)))))</f>
        <v/>
      </c>
      <c r="L116" s="27"/>
    </row>
    <row r="117" customFormat="false" ht="15" hidden="false" customHeight="false" outlineLevel="0" collapsed="false">
      <c r="A117" s="20" t="s">
        <v>298</v>
      </c>
      <c r="E117" s="21"/>
      <c r="F117" s="22"/>
      <c r="G117" s="23"/>
      <c r="H117" s="24"/>
      <c r="I117" s="25" t="str">
        <f aca="false">IF(OR(E117="",E117="!!!",F117="NEW"),"",INDEX(B$2:B114,-1+SUMPRODUCT(MAX(ROW(E$2:E114)*(E117=E$2:E114)))))</f>
        <v/>
      </c>
      <c r="J117" s="26" t="str">
        <f aca="true">IF(OR(E117="",E117="!!!",F117="NEW"),"",COUNTBLANK(OFFSET(A$1,,,SUMPRODUCT(MAX(ROW(E$2:E115)*(E117=E$2:E115)))))-COUNTBLANK(OFFSET(A$1,,,SUMPRODUCT(MAX(ROW(E$1:E114)*(E117=E$1:E114))))))</f>
        <v/>
      </c>
      <c r="K117" s="26" t="str">
        <f aca="false">IF(OR(E117="",E117="!!!",F117="NEW"),"",INDEX(J$1:J114,SUMPRODUCT(MAX(ROW(E$1:E114)*(E117=E$1:E114)))))</f>
        <v/>
      </c>
      <c r="L117" s="27"/>
    </row>
    <row r="118" customFormat="false" ht="15" hidden="false" customHeight="false" outlineLevel="0" collapsed="false">
      <c r="A118" s="20" t="s">
        <v>204</v>
      </c>
      <c r="E118" s="21"/>
      <c r="F118" s="22"/>
      <c r="G118" s="23"/>
      <c r="H118" s="24"/>
      <c r="I118" s="25" t="str">
        <f aca="false">IF(OR(E118="",E118="!!!",F118="NEW"),"",INDEX(B$2:B115,-1+SUMPRODUCT(MAX(ROW(E$2:E115)*(E118=E$2:E115)))))</f>
        <v/>
      </c>
      <c r="J118" s="26" t="str">
        <f aca="true">IF(OR(E118="",E118="!!!",F118="NEW"),"",COUNTBLANK(OFFSET(A$1,,,SUMPRODUCT(MAX(ROW(E$2:E116)*(E118=E$2:E116)))))-COUNTBLANK(OFFSET(A$1,,,SUMPRODUCT(MAX(ROW(E$1:E115)*(E118=E$1:E115))))))</f>
        <v/>
      </c>
      <c r="K118" s="26" t="str">
        <f aca="false">IF(OR(E118="",E118="!!!",F118="NEW"),"",INDEX(J$1:J115,SUMPRODUCT(MAX(ROW(E$1:E115)*(E118=E$1:E115)))))</f>
        <v/>
      </c>
      <c r="L118" s="27"/>
    </row>
    <row r="119" customFormat="false" ht="15" hidden="false" customHeight="false" outlineLevel="0" collapsed="false">
      <c r="A119" s="20" t="s">
        <v>299</v>
      </c>
      <c r="E119" s="21"/>
      <c r="F119" s="22"/>
      <c r="G119" s="23"/>
      <c r="H119" s="24"/>
      <c r="I119" s="25" t="str">
        <f aca="false">IF(OR(E119="",E119="!!!",F119="NEW"),"",INDEX(B$2:B116,-1+SUMPRODUCT(MAX(ROW(E$2:E116)*(E119=E$2:E116)))))</f>
        <v/>
      </c>
      <c r="J119" s="26" t="str">
        <f aca="true">IF(OR(E119="",E119="!!!",F119="NEW"),"",COUNTBLANK(OFFSET(A$1,,,SUMPRODUCT(MAX(ROW(E$2:E117)*(E119=E$2:E117)))))-COUNTBLANK(OFFSET(A$1,,,SUMPRODUCT(MAX(ROW(E$1:E116)*(E119=E$1:E116))))))</f>
        <v/>
      </c>
      <c r="K119" s="26" t="str">
        <f aca="false">IF(OR(E119="",E119="!!!",F119="NEW"),"",INDEX(J$1:J116,SUMPRODUCT(MAX(ROW(E$1:E116)*(E119=E$1:E116)))))</f>
        <v/>
      </c>
      <c r="L119" s="27"/>
    </row>
    <row r="120" customFormat="false" ht="15" hidden="false" customHeight="false" outlineLevel="0" collapsed="false">
      <c r="A120" s="20" t="s">
        <v>300</v>
      </c>
      <c r="B120" s="28" t="s">
        <v>196</v>
      </c>
      <c r="C120" s="28" t="s">
        <v>207</v>
      </c>
      <c r="D120" s="28" t="s">
        <v>198</v>
      </c>
      <c r="E120" s="21" t="s">
        <v>301</v>
      </c>
      <c r="F120" s="22" t="s">
        <v>200</v>
      </c>
      <c r="G120" s="23" t="s">
        <v>212</v>
      </c>
      <c r="H120" s="24"/>
      <c r="I120" s="25" t="str">
        <f aca="false">IF(OR(E120="",E120="!!!",F120="NEW"),"",INDEX(B$2:B117,-1+SUMPRODUCT(MAX(ROW(E$2:E117)*(E120=E$2:E117)))))</f>
        <v/>
      </c>
      <c r="J120" s="26" t="str">
        <f aca="true">IF(OR(E120="",E120="!!!",F120="NEW"),"",COUNTBLANK(OFFSET(A$1,,,SUMPRODUCT(MAX(ROW(E$2:E118)*(E120=E$2:E118)))))-COUNTBLANK(OFFSET(A$1,,,SUMPRODUCT(MAX(ROW(E$1:E117)*(E120=E$1:E117))))))</f>
        <v/>
      </c>
      <c r="K120" s="26" t="str">
        <f aca="false">IF(OR(E120="",E120="!!!",F120="NEW"),"",INDEX(J$1:J117,SUMPRODUCT(MAX(ROW(E$1:E117)*(E120=E$1:E117)))))</f>
        <v/>
      </c>
      <c r="L120" s="27"/>
    </row>
    <row r="121" customFormat="false" ht="15" hidden="false" customHeight="false" outlineLevel="0" collapsed="false">
      <c r="A121" s="20" t="s">
        <v>262</v>
      </c>
      <c r="E121" s="21"/>
      <c r="F121" s="22"/>
      <c r="G121" s="23"/>
      <c r="H121" s="24"/>
      <c r="I121" s="25" t="str">
        <f aca="false">IF(OR(E121="",E121="!!!",F121="NEW"),"",INDEX(B$2:B118,-1+SUMPRODUCT(MAX(ROW(E$2:E118)*(E121=E$2:E118)))))</f>
        <v/>
      </c>
      <c r="J121" s="26" t="str">
        <f aca="true">IF(OR(E121="",E121="!!!",F121="NEW"),"",COUNTBLANK(OFFSET(A$1,,,SUMPRODUCT(MAX(ROW(E$2:E119)*(E121=E$2:E119)))))-COUNTBLANK(OFFSET(A$1,,,SUMPRODUCT(MAX(ROW(E$1:E118)*(E121=E$1:E118))))))</f>
        <v/>
      </c>
      <c r="K121" s="26" t="str">
        <f aca="false">IF(OR(E121="",E121="!!!",F121="NEW"),"",INDEX(J$1:J118,SUMPRODUCT(MAX(ROW(E$1:E118)*(E121=E$1:E118)))))</f>
        <v/>
      </c>
      <c r="L121" s="27"/>
    </row>
    <row r="122" customFormat="false" ht="15" hidden="false" customHeight="false" outlineLevel="0" collapsed="false">
      <c r="A122" s="20" t="s">
        <v>302</v>
      </c>
      <c r="B122" s="28" t="s">
        <v>206</v>
      </c>
      <c r="C122" s="28" t="s">
        <v>303</v>
      </c>
      <c r="D122" s="28" t="s">
        <v>198</v>
      </c>
      <c r="E122" s="21" t="s">
        <v>296</v>
      </c>
      <c r="F122" s="22" t="s">
        <v>226</v>
      </c>
      <c r="G122" s="23" t="s">
        <v>247</v>
      </c>
      <c r="H122" s="24" t="s">
        <v>189</v>
      </c>
      <c r="I122" s="25" t="str">
        <f aca="false">IF(OR(E122="",E122="!!!",F122="NEW"),"",INDEX(B$2:B119,-1+SUMPRODUCT(MAX(ROW(E$2:E119)*(E122=E$2:E119)))))</f>
        <v>other_2</v>
      </c>
      <c r="J122" s="26" t="n">
        <f aca="true">IF(OR(E122="",E122="!!!",F122="NEW"),"",COUNTBLANK(OFFSET(A$1,,,SUMPRODUCT(MAX(ROW(E$2:E120)*(E122=E$2:E120)))))-COUNTBLANK(OFFSET(A$1,,,SUMPRODUCT(MAX(ROW(E$1:E119)*(E122=E$1:E119))))))</f>
        <v>0</v>
      </c>
      <c r="K122" s="26" t="str">
        <f aca="false">IF(OR(E122="",E122="!!!",F122="NEW"),"",INDEX(J$1:J119,SUMPRODUCT(MAX(ROW(E$1:E119)*(E122=E$1:E119)))))</f>
        <v/>
      </c>
      <c r="L122" s="27"/>
    </row>
    <row r="123" customFormat="false" ht="15" hidden="false" customHeight="false" outlineLevel="0" collapsed="false">
      <c r="A123" s="20" t="s">
        <v>209</v>
      </c>
      <c r="E123" s="21"/>
      <c r="F123" s="22"/>
      <c r="G123" s="23"/>
      <c r="H123" s="24"/>
      <c r="I123" s="25" t="str">
        <f aca="false">IF(OR(E123="",E123="!!!",F123="NEW"),"",INDEX(B$2:B120,-1+SUMPRODUCT(MAX(ROW(E$2:E120)*(E123=E$2:E120)))))</f>
        <v/>
      </c>
      <c r="J123" s="26" t="str">
        <f aca="true">IF(OR(E123="",E123="!!!",F123="NEW"),"",COUNTBLANK(OFFSET(A$1,,,SUMPRODUCT(MAX(ROW(E$2:E121)*(E123=E$2:E121)))))-COUNTBLANK(OFFSET(A$1,,,SUMPRODUCT(MAX(ROW(E$1:E120)*(E123=E$1:E120))))))</f>
        <v/>
      </c>
      <c r="K123" s="26" t="str">
        <f aca="false">IF(OR(E123="",E123="!!!",F123="NEW"),"",INDEX(J$1:J120,SUMPRODUCT(MAX(ROW(E$1:E120)*(E123=E$1:E120)))))</f>
        <v/>
      </c>
      <c r="L123" s="27"/>
    </row>
    <row r="124" customFormat="false" ht="15" hidden="false" customHeight="false" outlineLevel="0" collapsed="false">
      <c r="A124" s="20" t="s">
        <v>304</v>
      </c>
      <c r="E124" s="21"/>
      <c r="F124" s="22"/>
      <c r="G124" s="23"/>
      <c r="H124" s="24"/>
      <c r="I124" s="25" t="str">
        <f aca="false">IF(OR(E124="",E124="!!!",F124="NEW"),"",INDEX(B$2:B121,-1+SUMPRODUCT(MAX(ROW(E$2:E121)*(E124=E$2:E121)))))</f>
        <v/>
      </c>
      <c r="J124" s="26" t="str">
        <f aca="true">IF(OR(E124="",E124="!!!",F124="NEW"),"",COUNTBLANK(OFFSET(A$1,,,SUMPRODUCT(MAX(ROW(E$2:E122)*(E124=E$2:E122)))))-COUNTBLANK(OFFSET(A$1,,,SUMPRODUCT(MAX(ROW(E$1:E121)*(E124=E$1:E121))))))</f>
        <v/>
      </c>
      <c r="K124" s="26" t="str">
        <f aca="false">IF(OR(E124="",E124="!!!",F124="NEW"),"",INDEX(J$1:J121,SUMPRODUCT(MAX(ROW(E$1:E121)*(E124=E$1:E121)))))</f>
        <v/>
      </c>
      <c r="L124" s="27"/>
    </row>
    <row r="125" customFormat="false" ht="15" hidden="false" customHeight="false" outlineLevel="0" collapsed="false">
      <c r="A125" s="20" t="s">
        <v>305</v>
      </c>
      <c r="B125" s="28" t="s">
        <v>206</v>
      </c>
      <c r="C125" s="28" t="s">
        <v>223</v>
      </c>
      <c r="D125" s="28" t="s">
        <v>198</v>
      </c>
      <c r="E125" s="21" t="s">
        <v>305</v>
      </c>
      <c r="F125" s="22" t="s">
        <v>200</v>
      </c>
      <c r="G125" s="23" t="s">
        <v>212</v>
      </c>
      <c r="H125" s="24"/>
      <c r="I125" s="25" t="str">
        <f aca="false">IF(OR(E125="",E125="!!!",F125="NEW"),"",INDEX(B$2:B122,-1+SUMPRODUCT(MAX(ROW(E$2:E122)*(E125=E$2:E122)))))</f>
        <v/>
      </c>
      <c r="J125" s="26" t="str">
        <f aca="true">IF(OR(E125="",E125="!!!",F125="NEW"),"",COUNTBLANK(OFFSET(A$1,,,SUMPRODUCT(MAX(ROW(E$2:E123)*(E125=E$2:E123)))))-COUNTBLANK(OFFSET(A$1,,,SUMPRODUCT(MAX(ROW(E$1:E122)*(E125=E$1:E122))))))</f>
        <v/>
      </c>
      <c r="K125" s="26" t="str">
        <f aca="false">IF(OR(E125="",E125="!!!",F125="NEW"),"",INDEX(J$1:J122,SUMPRODUCT(MAX(ROW(E$1:E122)*(E125=E$1:E122)))))</f>
        <v/>
      </c>
      <c r="L125" s="27"/>
    </row>
    <row r="126" customFormat="false" ht="15" hidden="false" customHeight="false" outlineLevel="0" collapsed="false">
      <c r="A126" s="20" t="s">
        <v>209</v>
      </c>
      <c r="E126" s="21"/>
      <c r="F126" s="22"/>
      <c r="G126" s="23"/>
      <c r="H126" s="24"/>
      <c r="I126" s="25" t="str">
        <f aca="false">IF(OR(E126="",E126="!!!",F126="NEW"),"",INDEX(B$2:B123,-1+SUMPRODUCT(MAX(ROW(E$2:E123)*(E126=E$2:E123)))))</f>
        <v/>
      </c>
      <c r="J126" s="26" t="str">
        <f aca="true">IF(OR(E126="",E126="!!!",F126="NEW"),"",COUNTBLANK(OFFSET(A$1,,,SUMPRODUCT(MAX(ROW(E$2:E124)*(E126=E$2:E124)))))-COUNTBLANK(OFFSET(A$1,,,SUMPRODUCT(MAX(ROW(E$1:E123)*(E126=E$1:E123))))))</f>
        <v/>
      </c>
      <c r="K126" s="26" t="str">
        <f aca="false">IF(OR(E126="",E126="!!!",F126="NEW"),"",INDEX(J$1:J123,SUMPRODUCT(MAX(ROW(E$1:E123)*(E126=E$1:E123)))))</f>
        <v/>
      </c>
      <c r="L126" s="27"/>
    </row>
    <row r="127" customFormat="false" ht="15" hidden="false" customHeight="false" outlineLevel="0" collapsed="false">
      <c r="A127" s="20" t="s">
        <v>306</v>
      </c>
      <c r="B127" s="28" t="s">
        <v>215</v>
      </c>
      <c r="C127" s="28" t="s">
        <v>223</v>
      </c>
      <c r="D127" s="28" t="s">
        <v>198</v>
      </c>
      <c r="E127" s="21" t="s">
        <v>306</v>
      </c>
      <c r="F127" s="22" t="s">
        <v>200</v>
      </c>
      <c r="G127" s="23" t="s">
        <v>201</v>
      </c>
      <c r="H127" s="24"/>
      <c r="I127" s="25" t="str">
        <f aca="false">IF(OR(E127="",E127="!!!",F127="NEW"),"",INDEX(B$2:B124,-1+SUMPRODUCT(MAX(ROW(E$2:E124)*(E127=E$2:E124)))))</f>
        <v/>
      </c>
      <c r="J127" s="26" t="str">
        <f aca="true">IF(OR(E127="",E127="!!!",F127="NEW"),"",COUNTBLANK(OFFSET(A$1,,,SUMPRODUCT(MAX(ROW(E$2:E125)*(E127=E$2:E125)))))-COUNTBLANK(OFFSET(A$1,,,SUMPRODUCT(MAX(ROW(E$1:E124)*(E127=E$1:E124))))))</f>
        <v/>
      </c>
      <c r="K127" s="26" t="str">
        <f aca="false">IF(OR(E127="",E127="!!!",F127="NEW"),"",INDEX(J$1:J124,SUMPRODUCT(MAX(ROW(E$1:E124)*(E127=E$1:E124)))))</f>
        <v/>
      </c>
      <c r="L127" s="27"/>
    </row>
    <row r="128" customFormat="false" ht="15" hidden="false" customHeight="false" outlineLevel="0" collapsed="false">
      <c r="A128" s="20" t="s">
        <v>209</v>
      </c>
      <c r="E128" s="21"/>
      <c r="F128" s="22"/>
      <c r="G128" s="23"/>
      <c r="H128" s="24"/>
      <c r="I128" s="25" t="str">
        <f aca="false">IF(OR(E128="",E128="!!!",F128="NEW"),"",INDEX(B$2:B125,-1+SUMPRODUCT(MAX(ROW(E$2:E125)*(E128=E$2:E125)))))</f>
        <v/>
      </c>
      <c r="J128" s="26" t="str">
        <f aca="true">IF(OR(E128="",E128="!!!",F128="NEW"),"",COUNTBLANK(OFFSET(A$1,,,SUMPRODUCT(MAX(ROW(E$2:E126)*(E128=E$2:E126)))))-COUNTBLANK(OFFSET(A$1,,,SUMPRODUCT(MAX(ROW(E$1:E125)*(E128=E$1:E125))))))</f>
        <v/>
      </c>
      <c r="K128" s="26" t="str">
        <f aca="false">IF(OR(E128="",E128="!!!",F128="NEW"),"",INDEX(J$1:J125,SUMPRODUCT(MAX(ROW(E$1:E125)*(E128=E$1:E125)))))</f>
        <v/>
      </c>
      <c r="L128" s="27"/>
    </row>
    <row r="129" customFormat="false" ht="15" hidden="false" customHeight="false" outlineLevel="0" collapsed="false">
      <c r="A129" s="20" t="s">
        <v>307</v>
      </c>
      <c r="B129" s="28" t="s">
        <v>215</v>
      </c>
      <c r="C129" s="28" t="s">
        <v>223</v>
      </c>
      <c r="D129" s="28" t="s">
        <v>198</v>
      </c>
      <c r="E129" s="21" t="s">
        <v>307</v>
      </c>
      <c r="F129" s="22" t="s">
        <v>200</v>
      </c>
      <c r="G129" s="23" t="s">
        <v>212</v>
      </c>
      <c r="H129" s="24"/>
      <c r="I129" s="25" t="str">
        <f aca="false">IF(OR(E129="",E129="!!!",F129="NEW"),"",INDEX(B$2:B126,-1+SUMPRODUCT(MAX(ROW(E$2:E126)*(E129=E$2:E126)))))</f>
        <v/>
      </c>
      <c r="J129" s="26" t="str">
        <f aca="true">IF(OR(E129="",E129="!!!",F129="NEW"),"",COUNTBLANK(OFFSET(A$1,,,SUMPRODUCT(MAX(ROW(E$2:E127)*(E129=E$2:E127)))))-COUNTBLANK(OFFSET(A$1,,,SUMPRODUCT(MAX(ROW(E$1:E126)*(E129=E$1:E126))))))</f>
        <v/>
      </c>
      <c r="K129" s="26" t="str">
        <f aca="false">IF(OR(E129="",E129="!!!",F129="NEW"),"",INDEX(J$1:J126,SUMPRODUCT(MAX(ROW(E$1:E126)*(E129=E$1:E126)))))</f>
        <v/>
      </c>
      <c r="L129" s="27"/>
    </row>
    <row r="130" customFormat="false" ht="15" hidden="false" customHeight="false" outlineLevel="0" collapsed="false">
      <c r="A130" s="20" t="s">
        <v>209</v>
      </c>
      <c r="E130" s="21"/>
      <c r="F130" s="22"/>
      <c r="G130" s="23"/>
      <c r="H130" s="24"/>
      <c r="I130" s="25" t="str">
        <f aca="false">IF(OR(E130="",E130="!!!",F130="NEW"),"",INDEX(B$2:B127,-1+SUMPRODUCT(MAX(ROW(E$2:E127)*(E130=E$2:E127)))))</f>
        <v/>
      </c>
      <c r="J130" s="26" t="str">
        <f aca="true">IF(OR(E130="",E130="!!!",F130="NEW"),"",COUNTBLANK(OFFSET(A$1,,,SUMPRODUCT(MAX(ROW(E$2:E128)*(E130=E$2:E128)))))-COUNTBLANK(OFFSET(A$1,,,SUMPRODUCT(MAX(ROW(E$1:E127)*(E130=E$1:E127))))))</f>
        <v/>
      </c>
      <c r="K130" s="26" t="str">
        <f aca="false">IF(OR(E130="",E130="!!!",F130="NEW"),"",INDEX(J$1:J127,SUMPRODUCT(MAX(ROW(E$1:E127)*(E130=E$1:E127)))))</f>
        <v/>
      </c>
      <c r="L130" s="27"/>
    </row>
    <row r="131" customFormat="false" ht="15" hidden="false" customHeight="false" outlineLevel="0" collapsed="false">
      <c r="A131" s="20" t="s">
        <v>213</v>
      </c>
      <c r="E131" s="21"/>
      <c r="F131" s="22"/>
      <c r="G131" s="23"/>
      <c r="H131" s="24"/>
      <c r="I131" s="25" t="str">
        <f aca="false">IF(OR(E131="",E131="!!!",F131="NEW"),"",INDEX(B$2:B128,-1+SUMPRODUCT(MAX(ROW(E$2:E128)*(E131=E$2:E128)))))</f>
        <v/>
      </c>
      <c r="J131" s="26" t="str">
        <f aca="true">IF(OR(E131="",E131="!!!",F131="NEW"),"",COUNTBLANK(OFFSET(A$1,,,SUMPRODUCT(MAX(ROW(E$2:E129)*(E131=E$2:E129)))))-COUNTBLANK(OFFSET(A$1,,,SUMPRODUCT(MAX(ROW(E$1:E128)*(E131=E$1:E128))))))</f>
        <v/>
      </c>
      <c r="K131" s="26" t="str">
        <f aca="false">IF(OR(E131="",E131="!!!",F131="NEW"),"",INDEX(J$1:J128,SUMPRODUCT(MAX(ROW(E$1:E128)*(E131=E$1:E128)))))</f>
        <v/>
      </c>
      <c r="L131" s="27"/>
    </row>
    <row r="132" customFormat="false" ht="15" hidden="false" customHeight="false" outlineLevel="0" collapsed="false">
      <c r="A132" s="20" t="s">
        <v>308</v>
      </c>
      <c r="E132" s="21"/>
      <c r="F132" s="22"/>
      <c r="G132" s="23"/>
      <c r="H132" s="24"/>
      <c r="I132" s="25" t="str">
        <f aca="false">IF(OR(E132="",E132="!!!",F132="NEW"),"",INDEX(B$2:B129,-1+SUMPRODUCT(MAX(ROW(E$2:E129)*(E132=E$2:E129)))))</f>
        <v/>
      </c>
      <c r="J132" s="26" t="str">
        <f aca="true">IF(OR(E132="",E132="!!!",F132="NEW"),"",COUNTBLANK(OFFSET(A$1,,,SUMPRODUCT(MAX(ROW(E$2:E130)*(E132=E$2:E130)))))-COUNTBLANK(OFFSET(A$1,,,SUMPRODUCT(MAX(ROW(E$1:E129)*(E132=E$1:E129))))))</f>
        <v/>
      </c>
      <c r="K132" s="26" t="str">
        <f aca="false">IF(OR(E132="",E132="!!!",F132="NEW"),"",INDEX(J$1:J129,SUMPRODUCT(MAX(ROW(E$1:E129)*(E132=E$1:E129)))))</f>
        <v/>
      </c>
      <c r="L132" s="27"/>
    </row>
    <row r="133" customFormat="false" ht="15" hidden="false" customHeight="false" outlineLevel="0" collapsed="false">
      <c r="A133" s="20" t="s">
        <v>29</v>
      </c>
      <c r="E133" s="21"/>
      <c r="F133" s="22"/>
      <c r="G133" s="23"/>
      <c r="H133" s="24"/>
      <c r="I133" s="25" t="str">
        <f aca="false">IF(OR(E133="",E133="!!!",F133="NEW"),"",INDEX(B$2:B130,-1+SUMPRODUCT(MAX(ROW(E$2:E130)*(E133=E$2:E130)))))</f>
        <v/>
      </c>
      <c r="J133" s="26" t="str">
        <f aca="true">IF(OR(E133="",E133="!!!",F133="NEW"),"",COUNTBLANK(OFFSET(A$1,,,SUMPRODUCT(MAX(ROW(E$2:E131)*(E133=E$2:E131)))))-COUNTBLANK(OFFSET(A$1,,,SUMPRODUCT(MAX(ROW(E$1:E130)*(E133=E$1:E130))))))</f>
        <v/>
      </c>
      <c r="K133" s="26" t="str">
        <f aca="false">IF(OR(E133="",E133="!!!",F133="NEW"),"",INDEX(J$1:J130,SUMPRODUCT(MAX(ROW(E$1:E130)*(E133=E$1:E130)))))</f>
        <v/>
      </c>
      <c r="L133" s="27"/>
    </row>
    <row r="134" customFormat="false" ht="15" hidden="false" customHeight="false" outlineLevel="0" collapsed="false">
      <c r="A134" s="20" t="s">
        <v>308</v>
      </c>
      <c r="E134" s="21"/>
      <c r="F134" s="22"/>
      <c r="G134" s="23"/>
      <c r="H134" s="24"/>
      <c r="I134" s="25" t="str">
        <f aca="false">IF(OR(E134="",E134="!!!",F134="NEW"),"",INDEX(B$2:B131,-1+SUMPRODUCT(MAX(ROW(E$2:E131)*(E134=E$2:E131)))))</f>
        <v/>
      </c>
      <c r="J134" s="26" t="str">
        <f aca="true">IF(OR(E134="",E134="!!!",F134="NEW"),"",COUNTBLANK(OFFSET(A$1,,,SUMPRODUCT(MAX(ROW(E$2:E132)*(E134=E$2:E132)))))-COUNTBLANK(OFFSET(A$1,,,SUMPRODUCT(MAX(ROW(E$1:E131)*(E134=E$1:E131))))))</f>
        <v/>
      </c>
      <c r="K134" s="26" t="str">
        <f aca="false">IF(OR(E134="",E134="!!!",F134="NEW"),"",INDEX(J$1:J131,SUMPRODUCT(MAX(ROW(E$1:E131)*(E134=E$1:E131)))))</f>
        <v/>
      </c>
      <c r="L134" s="27"/>
    </row>
    <row r="135" customFormat="false" ht="15" hidden="false" customHeight="false" outlineLevel="0" collapsed="false">
      <c r="A135" s="20" t="s">
        <v>293</v>
      </c>
      <c r="E135" s="21"/>
      <c r="F135" s="22"/>
      <c r="G135" s="23"/>
      <c r="H135" s="24"/>
      <c r="I135" s="25" t="str">
        <f aca="false">IF(OR(E135="",E135="!!!",F135="NEW"),"",INDEX(B$2:B132,-1+SUMPRODUCT(MAX(ROW(E$2:E132)*(E135=E$2:E132)))))</f>
        <v/>
      </c>
      <c r="J135" s="26" t="str">
        <f aca="true">IF(OR(E135="",E135="!!!",F135="NEW"),"",COUNTBLANK(OFFSET(A$1,,,SUMPRODUCT(MAX(ROW(E$2:E133)*(E135=E$2:E133)))))-COUNTBLANK(OFFSET(A$1,,,SUMPRODUCT(MAX(ROW(E$1:E132)*(E135=E$1:E132))))))</f>
        <v/>
      </c>
      <c r="K135" s="26" t="str">
        <f aca="false">IF(OR(E135="",E135="!!!",F135="NEW"),"",INDEX(J$1:J132,SUMPRODUCT(MAX(ROW(E$1:E132)*(E135=E$1:E132)))))</f>
        <v/>
      </c>
      <c r="L135" s="27"/>
    </row>
    <row r="136" customFormat="false" ht="15" hidden="false" customHeight="false" outlineLevel="0" collapsed="false">
      <c r="A136" s="20" t="s">
        <v>309</v>
      </c>
      <c r="B136" s="28" t="s">
        <v>219</v>
      </c>
      <c r="C136" s="28" t="s">
        <v>251</v>
      </c>
      <c r="E136" s="21"/>
      <c r="F136" s="22"/>
      <c r="G136" s="23"/>
      <c r="H136" s="24"/>
      <c r="I136" s="25" t="str">
        <f aca="false">IF(OR(E136="",E136="!!!",F136="NEW"),"",INDEX(B$2:B133,-1+SUMPRODUCT(MAX(ROW(E$2:E133)*(E136=E$2:E133)))))</f>
        <v/>
      </c>
      <c r="J136" s="26" t="str">
        <f aca="true">IF(OR(E136="",E136="!!!",F136="NEW"),"",COUNTBLANK(OFFSET(A$1,,,SUMPRODUCT(MAX(ROW(E$2:E134)*(E136=E$2:E134)))))-COUNTBLANK(OFFSET(A$1,,,SUMPRODUCT(MAX(ROW(E$1:E133)*(E136=E$1:E133))))))</f>
        <v/>
      </c>
      <c r="K136" s="26" t="str">
        <f aca="false">IF(OR(E136="",E136="!!!",F136="NEW"),"",INDEX(J$1:J133,SUMPRODUCT(MAX(ROW(E$1:E133)*(E136=E$1:E133)))))</f>
        <v/>
      </c>
      <c r="L136" s="27"/>
    </row>
    <row r="137" customFormat="false" ht="15" hidden="false" customHeight="false" outlineLevel="0" collapsed="false">
      <c r="A137" s="20" t="s">
        <v>217</v>
      </c>
      <c r="E137" s="21"/>
      <c r="F137" s="22"/>
      <c r="G137" s="23"/>
      <c r="H137" s="24"/>
      <c r="I137" s="25" t="str">
        <f aca="false">IF(OR(E137="",E137="!!!",F137="NEW"),"",INDEX(B$2:B134,-1+SUMPRODUCT(MAX(ROW(E$2:E134)*(E137=E$2:E134)))))</f>
        <v/>
      </c>
      <c r="J137" s="26" t="str">
        <f aca="true">IF(OR(E137="",E137="!!!",F137="NEW"),"",COUNTBLANK(OFFSET(A$1,,,SUMPRODUCT(MAX(ROW(E$2:E135)*(E137=E$2:E135)))))-COUNTBLANK(OFFSET(A$1,,,SUMPRODUCT(MAX(ROW(E$1:E134)*(E137=E$1:E134))))))</f>
        <v/>
      </c>
      <c r="K137" s="26" t="str">
        <f aca="false">IF(OR(E137="",E137="!!!",F137="NEW"),"",INDEX(J$1:J134,SUMPRODUCT(MAX(ROW(E$1:E134)*(E137=E$1:E134)))))</f>
        <v/>
      </c>
      <c r="L137" s="27"/>
    </row>
    <row r="138" customFormat="false" ht="15" hidden="false" customHeight="false" outlineLevel="0" collapsed="false">
      <c r="A138" s="20" t="s">
        <v>204</v>
      </c>
      <c r="E138" s="21"/>
      <c r="F138" s="22"/>
      <c r="G138" s="23"/>
      <c r="H138" s="24"/>
      <c r="I138" s="25" t="str">
        <f aca="false">IF(OR(E138="",E138="!!!",F138="NEW"),"",INDEX(B$2:B135,-1+SUMPRODUCT(MAX(ROW(E$2:E135)*(E138=E$2:E135)))))</f>
        <v/>
      </c>
      <c r="J138" s="26" t="str">
        <f aca="true">IF(OR(E138="",E138="!!!",F138="NEW"),"",COUNTBLANK(OFFSET(A$1,,,SUMPRODUCT(MAX(ROW(E$2:E136)*(E138=E$2:E136)))))-COUNTBLANK(OFFSET(A$1,,,SUMPRODUCT(MAX(ROW(E$1:E135)*(E138=E$1:E135))))))</f>
        <v/>
      </c>
      <c r="K138" s="26" t="str">
        <f aca="false">IF(OR(E138="",E138="!!!",F138="NEW"),"",INDEX(J$1:J135,SUMPRODUCT(MAX(ROW(E$1:E135)*(E138=E$1:E135)))))</f>
        <v/>
      </c>
      <c r="L138" s="27"/>
    </row>
    <row r="139" customFormat="false" ht="15" hidden="false" customHeight="false" outlineLevel="0" collapsed="false">
      <c r="A139" s="20" t="s">
        <v>299</v>
      </c>
      <c r="E139" s="21"/>
      <c r="F139" s="22"/>
      <c r="G139" s="23"/>
      <c r="H139" s="24"/>
      <c r="I139" s="25" t="str">
        <f aca="false">IF(OR(E139="",E139="!!!",F139="NEW"),"",INDEX(B$2:B136,-1+SUMPRODUCT(MAX(ROW(E$2:E136)*(E139=E$2:E136)))))</f>
        <v/>
      </c>
      <c r="J139" s="26" t="str">
        <f aca="true">IF(OR(E139="",E139="!!!",F139="NEW"),"",COUNTBLANK(OFFSET(A$1,,,SUMPRODUCT(MAX(ROW(E$2:E137)*(E139=E$2:E137)))))-COUNTBLANK(OFFSET(A$1,,,SUMPRODUCT(MAX(ROW(E$1:E136)*(E139=E$1:E136))))))</f>
        <v/>
      </c>
      <c r="K139" s="26" t="str">
        <f aca="false">IF(OR(E139="",E139="!!!",F139="NEW"),"",INDEX(J$1:J136,SUMPRODUCT(MAX(ROW(E$1:E136)*(E139=E$1:E136)))))</f>
        <v/>
      </c>
      <c r="L139" s="27"/>
    </row>
    <row r="140" customFormat="false" ht="15" hidden="false" customHeight="false" outlineLevel="0" collapsed="false">
      <c r="A140" s="20" t="s">
        <v>300</v>
      </c>
      <c r="B140" s="28" t="s">
        <v>310</v>
      </c>
      <c r="C140" s="28" t="s">
        <v>207</v>
      </c>
      <c r="D140" s="28" t="s">
        <v>198</v>
      </c>
      <c r="E140" s="21" t="s">
        <v>301</v>
      </c>
      <c r="F140" s="22" t="s">
        <v>226</v>
      </c>
      <c r="G140" s="23" t="s">
        <v>247</v>
      </c>
      <c r="H140" s="24"/>
      <c r="I140" s="25" t="str">
        <f aca="false">IF(OR(E140="",E140="!!!",F140="NEW"),"",INDEX(B$2:B137,-1+SUMPRODUCT(MAX(ROW(E$2:E137)*(E140=E$2:E137)))))</f>
        <v>SBJ</v>
      </c>
      <c r="J140" s="26" t="n">
        <f aca="true">IF(OR(E140="",E140="!!!",F140="NEW"),"",COUNTBLANK(OFFSET(A$1,,,SUMPRODUCT(MAX(ROW(E$2:E138)*(E140=E$2:E138)))))-COUNTBLANK(OFFSET(A$1,,,SUMPRODUCT(MAX(ROW(E$1:E137)*(E140=E$1:E137))))))</f>
        <v>0</v>
      </c>
      <c r="K140" s="26" t="str">
        <f aca="false">IF(OR(E140="",E140="!!!",F140="NEW"),"",INDEX(J$1:J137,SUMPRODUCT(MAX(ROW(E$1:E137)*(E140=E$1:E137)))))</f>
        <v/>
      </c>
      <c r="L140" s="27"/>
    </row>
    <row r="141" customFormat="false" ht="15" hidden="false" customHeight="false" outlineLevel="0" collapsed="false">
      <c r="A141" s="20" t="s">
        <v>244</v>
      </c>
      <c r="E141" s="21"/>
      <c r="F141" s="22"/>
      <c r="G141" s="23"/>
      <c r="H141" s="24"/>
      <c r="I141" s="25" t="str">
        <f aca="false">IF(OR(E141="",E141="!!!",F141="NEW"),"",INDEX(B$2:B138,-1+SUMPRODUCT(MAX(ROW(E$2:E138)*(E141=E$2:E138)))))</f>
        <v/>
      </c>
      <c r="J141" s="26" t="str">
        <f aca="true">IF(OR(E141="",E141="!!!",F141="NEW"),"",COUNTBLANK(OFFSET(A$1,,,SUMPRODUCT(MAX(ROW(E$2:E139)*(E141=E$2:E139)))))-COUNTBLANK(OFFSET(A$1,,,SUMPRODUCT(MAX(ROW(E$1:E138)*(E141=E$1:E138))))))</f>
        <v/>
      </c>
      <c r="K141" s="26" t="str">
        <f aca="false">IF(OR(E141="",E141="!!!",F141="NEW"),"",INDEX(J$1:J138,SUMPRODUCT(MAX(ROW(E$1:E138)*(E141=E$1:E138)))))</f>
        <v/>
      </c>
      <c r="L141" s="27"/>
    </row>
    <row r="142" customFormat="false" ht="15" hidden="false" customHeight="false" outlineLevel="0" collapsed="false">
      <c r="A142" s="20"/>
      <c r="E142" s="21"/>
      <c r="F142" s="22"/>
      <c r="G142" s="23"/>
      <c r="H142" s="24"/>
      <c r="I142" s="25" t="str">
        <f aca="false">IF(OR(E142="",E142="!!!",F142="NEW"),"",INDEX(B$2:B139,-1+SUMPRODUCT(MAX(ROW(E$2:E139)*(E142=E$2:E139)))))</f>
        <v/>
      </c>
      <c r="J142" s="26" t="str">
        <f aca="true">IF(OR(E142="",E142="!!!",F142="NEW"),"",COUNTBLANK(OFFSET(A$1,,,SUMPRODUCT(MAX(ROW(E$2:E140)*(E142=E$2:E140)))))-COUNTBLANK(OFFSET(A$1,,,SUMPRODUCT(MAX(ROW(E$1:E139)*(E142=E$1:E139))))))</f>
        <v/>
      </c>
      <c r="K142" s="26" t="str">
        <f aca="false">IF(OR(E142="",E142="!!!",F142="NEW"),"",INDEX(J$1:J139,SUMPRODUCT(MAX(ROW(E$1:E139)*(E142=E$1:E139)))))</f>
        <v/>
      </c>
      <c r="L142" s="27"/>
    </row>
    <row r="143" customFormat="false" ht="15" hidden="false" customHeight="false" outlineLevel="0" collapsed="false">
      <c r="A143" s="20" t="s">
        <v>311</v>
      </c>
      <c r="E143" s="21"/>
      <c r="F143" s="22"/>
      <c r="G143" s="23"/>
      <c r="H143" s="24"/>
      <c r="I143" s="25" t="str">
        <f aca="false">IF(OR(E143="",E143="!!!",F143="NEW"),"",INDEX(B$2:B140,-1+SUMPRODUCT(MAX(ROW(E$2:E140)*(E143=E$2:E140)))))</f>
        <v/>
      </c>
      <c r="J143" s="26" t="str">
        <f aca="true">IF(OR(E143="",E143="!!!",F143="NEW"),"",COUNTBLANK(OFFSET(A$1,,,SUMPRODUCT(MAX(ROW(E$2:E141)*(E143=E$2:E141)))))-COUNTBLANK(OFFSET(A$1,,,SUMPRODUCT(MAX(ROW(E$1:E140)*(E143=E$1:E140))))))</f>
        <v/>
      </c>
      <c r="K143" s="26" t="str">
        <f aca="false">IF(OR(E143="",E143="!!!",F143="NEW"),"",INDEX(J$1:J140,SUMPRODUCT(MAX(ROW(E$1:E140)*(E143=E$1:E140)))))</f>
        <v/>
      </c>
      <c r="L143" s="27"/>
    </row>
    <row r="144" customFormat="false" ht="15" hidden="false" customHeight="false" outlineLevel="0" collapsed="false">
      <c r="A144" s="20" t="s">
        <v>312</v>
      </c>
      <c r="E144" s="21"/>
      <c r="F144" s="22"/>
      <c r="G144" s="23"/>
      <c r="H144" s="24"/>
      <c r="I144" s="25" t="str">
        <f aca="false">IF(OR(E144="",E144="!!!",F144="NEW"),"",INDEX(B$2:B141,-1+SUMPRODUCT(MAX(ROW(E$2:E141)*(E144=E$2:E141)))))</f>
        <v/>
      </c>
      <c r="J144" s="26" t="str">
        <f aca="true">IF(OR(E144="",E144="!!!",F144="NEW"),"",COUNTBLANK(OFFSET(A$1,,,SUMPRODUCT(MAX(ROW(E$2:E142)*(E144=E$2:E142)))))-COUNTBLANK(OFFSET(A$1,,,SUMPRODUCT(MAX(ROW(E$1:E141)*(E144=E$1:E141))))))</f>
        <v/>
      </c>
      <c r="K144" s="26" t="str">
        <f aca="false">IF(OR(E144="",E144="!!!",F144="NEW"),"",INDEX(J$1:J141,SUMPRODUCT(MAX(ROW(E$1:E141)*(E144=E$1:E141)))))</f>
        <v/>
      </c>
      <c r="L144" s="27"/>
    </row>
    <row r="145" customFormat="false" ht="15" hidden="false" customHeight="false" outlineLevel="0" collapsed="false">
      <c r="A145" s="20" t="s">
        <v>313</v>
      </c>
      <c r="E145" s="21"/>
      <c r="F145" s="22"/>
      <c r="G145" s="23"/>
      <c r="H145" s="24"/>
      <c r="I145" s="25" t="str">
        <f aca="false">IF(OR(E145="",E145="!!!",F145="NEW"),"",INDEX(B$2:B142,-1+SUMPRODUCT(MAX(ROW(E$2:E142)*(E145=E$2:E142)))))</f>
        <v/>
      </c>
      <c r="J145" s="26" t="str">
        <f aca="true">IF(OR(E145="",E145="!!!",F145="NEW"),"",COUNTBLANK(OFFSET(A$1,,,SUMPRODUCT(MAX(ROW(E$2:E143)*(E145=E$2:E143)))))-COUNTBLANK(OFFSET(A$1,,,SUMPRODUCT(MAX(ROW(E$1:E142)*(E145=E$1:E142))))))</f>
        <v/>
      </c>
      <c r="K145" s="26" t="str">
        <f aca="false">IF(OR(E145="",E145="!!!",F145="NEW"),"",INDEX(J$1:J142,SUMPRODUCT(MAX(ROW(E$1:E142)*(E145=E$1:E142)))))</f>
        <v/>
      </c>
      <c r="L145" s="27"/>
    </row>
    <row r="146" customFormat="false" ht="15" hidden="false" customHeight="false" outlineLevel="0" collapsed="false">
      <c r="A146" s="20" t="s">
        <v>195</v>
      </c>
      <c r="B146" s="28" t="s">
        <v>222</v>
      </c>
      <c r="C146" s="28" t="s">
        <v>197</v>
      </c>
      <c r="D146" s="28" t="s">
        <v>198</v>
      </c>
      <c r="E146" s="21" t="s">
        <v>314</v>
      </c>
      <c r="F146" s="22" t="s">
        <v>200</v>
      </c>
      <c r="G146" s="23" t="s">
        <v>212</v>
      </c>
      <c r="H146" s="24"/>
      <c r="I146" s="25" t="str">
        <f aca="false">IF(OR(E146="",E146="!!!",F146="NEW"),"",INDEX(B$2:B143,-1+SUMPRODUCT(MAX(ROW(E$2:E143)*(E146=E$2:E143)))))</f>
        <v/>
      </c>
      <c r="J146" s="26" t="str">
        <f aca="true">IF(OR(E146="",E146="!!!",F146="NEW"),"",COUNTBLANK(OFFSET(A$1,,,SUMPRODUCT(MAX(ROW(E$2:E144)*(E146=E$2:E144)))))-COUNTBLANK(OFFSET(A$1,,,SUMPRODUCT(MAX(ROW(E$1:E143)*(E146=E$1:E143))))))</f>
        <v/>
      </c>
      <c r="K146" s="26" t="str">
        <f aca="false">IF(OR(E146="",E146="!!!",F146="NEW"),"",INDEX(J$1:J143,SUMPRODUCT(MAX(ROW(E$1:E143)*(E146=E$1:E143)))))</f>
        <v/>
      </c>
      <c r="L146" s="27"/>
    </row>
    <row r="147" customFormat="false" ht="15" hidden="false" customHeight="false" outlineLevel="0" collapsed="false">
      <c r="A147" s="20" t="s">
        <v>315</v>
      </c>
      <c r="E147" s="21"/>
      <c r="F147" s="22"/>
      <c r="G147" s="23"/>
      <c r="H147" s="24"/>
      <c r="I147" s="25" t="str">
        <f aca="false">IF(OR(E147="",E147="!!!",F147="NEW"),"",INDEX(B$2:B144,-1+SUMPRODUCT(MAX(ROW(E$2:E144)*(E147=E$2:E144)))))</f>
        <v/>
      </c>
      <c r="J147" s="26" t="str">
        <f aca="true">IF(OR(E147="",E147="!!!",F147="NEW"),"",COUNTBLANK(OFFSET(A$1,,,SUMPRODUCT(MAX(ROW(E$2:E145)*(E147=E$2:E145)))))-COUNTBLANK(OFFSET(A$1,,,SUMPRODUCT(MAX(ROW(E$1:E144)*(E147=E$1:E144))))))</f>
        <v/>
      </c>
      <c r="K147" s="26" t="str">
        <f aca="false">IF(OR(E147="",E147="!!!",F147="NEW"),"",INDEX(J$1:J144,SUMPRODUCT(MAX(ROW(E$1:E144)*(E147=E$1:E144)))))</f>
        <v/>
      </c>
      <c r="L147" s="27"/>
    </row>
    <row r="148" customFormat="false" ht="15" hidden="false" customHeight="false" outlineLevel="0" collapsed="false">
      <c r="A148" s="20" t="s">
        <v>316</v>
      </c>
      <c r="E148" s="21"/>
      <c r="F148" s="22"/>
      <c r="G148" s="23"/>
      <c r="H148" s="24"/>
      <c r="I148" s="25" t="str">
        <f aca="false">IF(OR(E148="",E148="!!!",F148="NEW"),"",INDEX(B$2:B145,-1+SUMPRODUCT(MAX(ROW(E$2:E145)*(E148=E$2:E145)))))</f>
        <v/>
      </c>
      <c r="J148" s="26" t="str">
        <f aca="true">IF(OR(E148="",E148="!!!",F148="NEW"),"",COUNTBLANK(OFFSET(A$1,,,SUMPRODUCT(MAX(ROW(E$2:E146)*(E148=E$2:E146)))))-COUNTBLANK(OFFSET(A$1,,,SUMPRODUCT(MAX(ROW(E$1:E145)*(E148=E$1:E145))))))</f>
        <v/>
      </c>
      <c r="K148" s="26" t="str">
        <f aca="false">IF(OR(E148="",E148="!!!",F148="NEW"),"",INDEX(J$1:J145,SUMPRODUCT(MAX(ROW(E$1:E145)*(E148=E$1:E145)))))</f>
        <v/>
      </c>
      <c r="L148" s="27"/>
    </row>
    <row r="149" customFormat="false" ht="15" hidden="false" customHeight="false" outlineLevel="0" collapsed="false">
      <c r="A149" s="20" t="s">
        <v>225</v>
      </c>
      <c r="B149" s="28" t="s">
        <v>234</v>
      </c>
      <c r="C149" s="28" t="s">
        <v>197</v>
      </c>
      <c r="D149" s="28" t="s">
        <v>198</v>
      </c>
      <c r="E149" s="21" t="s">
        <v>199</v>
      </c>
      <c r="F149" s="22" t="s">
        <v>226</v>
      </c>
      <c r="G149" s="23" t="s">
        <v>201</v>
      </c>
      <c r="H149" s="24"/>
      <c r="I149" s="25" t="str">
        <f aca="false">IF(OR(E149="",E149="!!!",F149="NEW"),"",INDEX(B$2:B146,-1+SUMPRODUCT(MAX(ROW(E$2:E146)*(E149=E$2:E146)))))</f>
        <v>OBJ_2</v>
      </c>
      <c r="J149" s="26" t="n">
        <f aca="true">IF(OR(E149="",E149="!!!",F149="NEW"),"",COUNTBLANK(OFFSET(A$1,,,SUMPRODUCT(MAX(ROW(E$2:E147)*(E149=E$2:E147)))))-COUNTBLANK(OFFSET(A$1,,,SUMPRODUCT(MAX(ROW(E$1:E146)*(E149=E$1:E146))))))</f>
        <v>0</v>
      </c>
      <c r="K149" s="26" t="n">
        <f aca="false">IF(OR(E149="",E149="!!!",F149="NEW"),"",INDEX(J$1:J146,SUMPRODUCT(MAX(ROW(E$1:E146)*(E149=E$1:E146)))))</f>
        <v>0</v>
      </c>
      <c r="L149" s="27"/>
    </row>
    <row r="150" customFormat="false" ht="15" hidden="false" customHeight="false" outlineLevel="0" collapsed="false">
      <c r="A150" s="20" t="s">
        <v>236</v>
      </c>
      <c r="E150" s="21"/>
      <c r="F150" s="22"/>
      <c r="G150" s="23"/>
      <c r="H150" s="24"/>
      <c r="I150" s="25" t="str">
        <f aca="false">IF(OR(E150="",E150="!!!",F150="NEW"),"",INDEX(B$2:B147,-1+SUMPRODUCT(MAX(ROW(E$2:E147)*(E150=E$2:E147)))))</f>
        <v/>
      </c>
      <c r="J150" s="26" t="str">
        <f aca="true">IF(OR(E150="",E150="!!!",F150="NEW"),"",COUNTBLANK(OFFSET(A$1,,,SUMPRODUCT(MAX(ROW(E$2:E148)*(E150=E$2:E148)))))-COUNTBLANK(OFFSET(A$1,,,SUMPRODUCT(MAX(ROW(E$1:E147)*(E150=E$1:E147))))))</f>
        <v/>
      </c>
      <c r="K150" s="26" t="str">
        <f aca="false">IF(OR(E150="",E150="!!!",F150="NEW"),"",INDEX(J$1:J147,SUMPRODUCT(MAX(ROW(E$1:E147)*(E150=E$1:E147)))))</f>
        <v/>
      </c>
      <c r="L150" s="27"/>
    </row>
    <row r="151" customFormat="false" ht="15" hidden="false" customHeight="false" outlineLevel="0" collapsed="false">
      <c r="A151" s="20" t="s">
        <v>204</v>
      </c>
      <c r="E151" s="21"/>
      <c r="F151" s="22"/>
      <c r="G151" s="23"/>
      <c r="H151" s="24"/>
      <c r="I151" s="25" t="str">
        <f aca="false">IF(OR(E151="",E151="!!!",F151="NEW"),"",INDEX(B$2:B148,-1+SUMPRODUCT(MAX(ROW(E$2:E148)*(E151=E$2:E148)))))</f>
        <v/>
      </c>
      <c r="J151" s="26" t="str">
        <f aca="true">IF(OR(E151="",E151="!!!",F151="NEW"),"",COUNTBLANK(OFFSET(A$1,,,SUMPRODUCT(MAX(ROW(E$2:E149)*(E151=E$2:E149)))))-COUNTBLANK(OFFSET(A$1,,,SUMPRODUCT(MAX(ROW(E$1:E148)*(E151=E$1:E148))))))</f>
        <v/>
      </c>
      <c r="K151" s="26" t="str">
        <f aca="false">IF(OR(E151="",E151="!!!",F151="NEW"),"",INDEX(J$1:J148,SUMPRODUCT(MAX(ROW(E$1:E148)*(E151=E$1:E148)))))</f>
        <v/>
      </c>
      <c r="L151" s="27"/>
    </row>
    <row r="152" customFormat="false" ht="15" hidden="false" customHeight="false" outlineLevel="0" collapsed="false">
      <c r="A152" s="20" t="s">
        <v>317</v>
      </c>
      <c r="B152" s="28" t="s">
        <v>215</v>
      </c>
      <c r="C152" s="28" t="s">
        <v>289</v>
      </c>
      <c r="D152" s="28" t="s">
        <v>198</v>
      </c>
      <c r="E152" s="21" t="s">
        <v>318</v>
      </c>
      <c r="F152" s="22" t="s">
        <v>200</v>
      </c>
      <c r="G152" s="23" t="s">
        <v>212</v>
      </c>
      <c r="H152" s="24"/>
      <c r="I152" s="25" t="str">
        <f aca="false">IF(OR(E152="",E152="!!!",F152="NEW"),"",INDEX(B$2:B149,-1+SUMPRODUCT(MAX(ROW(E$2:E149)*(E152=E$2:E149)))))</f>
        <v/>
      </c>
      <c r="J152" s="26" t="str">
        <f aca="true">IF(OR(E152="",E152="!!!",F152="NEW"),"",COUNTBLANK(OFFSET(A$1,,,SUMPRODUCT(MAX(ROW(E$2:E150)*(E152=E$2:E150)))))-COUNTBLANK(OFFSET(A$1,,,SUMPRODUCT(MAX(ROW(E$1:E149)*(E152=E$1:E149))))))</f>
        <v/>
      </c>
      <c r="K152" s="26" t="str">
        <f aca="false">IF(OR(E152="",E152="!!!",F152="NEW"),"",INDEX(J$1:J149,SUMPRODUCT(MAX(ROW(E$1:E149)*(E152=E$1:E149)))))</f>
        <v/>
      </c>
      <c r="L152" s="27"/>
    </row>
    <row r="153" customFormat="false" ht="15" hidden="false" customHeight="false" outlineLevel="0" collapsed="false">
      <c r="A153" s="20" t="s">
        <v>217</v>
      </c>
      <c r="E153" s="21"/>
      <c r="F153" s="22"/>
      <c r="G153" s="23"/>
      <c r="H153" s="24"/>
      <c r="I153" s="25" t="str">
        <f aca="false">IF(OR(E153="",E153="!!!",F153="NEW"),"",INDEX(B$2:B150,-1+SUMPRODUCT(MAX(ROW(E$2:E150)*(E153=E$2:E150)))))</f>
        <v/>
      </c>
      <c r="J153" s="26" t="str">
        <f aca="true">IF(OR(E153="",E153="!!!",F153="NEW"),"",COUNTBLANK(OFFSET(A$1,,,SUMPRODUCT(MAX(ROW(E$2:E151)*(E153=E$2:E151)))))-COUNTBLANK(OFFSET(A$1,,,SUMPRODUCT(MAX(ROW(E$1:E150)*(E153=E$1:E150))))))</f>
        <v/>
      </c>
      <c r="K153" s="26" t="str">
        <f aca="false">IF(OR(E153="",E153="!!!",F153="NEW"),"",INDEX(J$1:J150,SUMPRODUCT(MAX(ROW(E$1:E150)*(E153=E$1:E150)))))</f>
        <v/>
      </c>
      <c r="L153" s="27"/>
    </row>
    <row r="154" customFormat="false" ht="15" hidden="false" customHeight="false" outlineLevel="0" collapsed="false">
      <c r="A154" s="20" t="s">
        <v>225</v>
      </c>
      <c r="B154" s="28" t="s">
        <v>219</v>
      </c>
      <c r="C154" s="28" t="s">
        <v>197</v>
      </c>
      <c r="D154" s="28" t="s">
        <v>198</v>
      </c>
      <c r="E154" s="21" t="s">
        <v>314</v>
      </c>
      <c r="F154" s="22" t="s">
        <v>226</v>
      </c>
      <c r="G154" s="23" t="s">
        <v>227</v>
      </c>
      <c r="H154" s="24"/>
      <c r="I154" s="25" t="str">
        <f aca="false">IF(OR(E154="",E154="!!!",F154="NEW"),"",INDEX(B$2:B151,-1+SUMPRODUCT(MAX(ROW(E$2:E151)*(E154=E$2:E151)))))</f>
        <v>SBJ_2</v>
      </c>
      <c r="J154" s="26" t="n">
        <f aca="true">IF(OR(E154="",E154="!!!",F154="NEW"),"",COUNTBLANK(OFFSET(A$1,,,SUMPRODUCT(MAX(ROW(E$2:E152)*(E154=E$2:E152)))))-COUNTBLANK(OFFSET(A$1,,,SUMPRODUCT(MAX(ROW(E$1:E151)*(E154=E$1:E151))))))</f>
        <v>0</v>
      </c>
      <c r="K154" s="26" t="str">
        <f aca="false">IF(OR(E154="",E154="!!!",F154="NEW"),"",INDEX(J$1:J151,SUMPRODUCT(MAX(ROW(E$1:E151)*(E154=E$1:E151)))))</f>
        <v/>
      </c>
      <c r="L154" s="27"/>
    </row>
    <row r="155" customFormat="false" ht="15" hidden="false" customHeight="false" outlineLevel="0" collapsed="false">
      <c r="A155" s="20" t="s">
        <v>209</v>
      </c>
      <c r="E155" s="21"/>
      <c r="F155" s="22"/>
      <c r="G155" s="23"/>
      <c r="H155" s="24"/>
      <c r="I155" s="25" t="str">
        <f aca="false">IF(OR(E155="",E155="!!!",F155="NEW"),"",INDEX(B$2:B152,-1+SUMPRODUCT(MAX(ROW(E$2:E152)*(E155=E$2:E152)))))</f>
        <v/>
      </c>
      <c r="J155" s="26" t="str">
        <f aca="true">IF(OR(E155="",E155="!!!",F155="NEW"),"",COUNTBLANK(OFFSET(A$1,,,SUMPRODUCT(MAX(ROW(E$2:E153)*(E155=E$2:E153)))))-COUNTBLANK(OFFSET(A$1,,,SUMPRODUCT(MAX(ROW(E$1:E152)*(E155=E$1:E152))))))</f>
        <v/>
      </c>
      <c r="K155" s="26" t="str">
        <f aca="false">IF(OR(E155="",E155="!!!",F155="NEW"),"",INDEX(J$1:J152,SUMPRODUCT(MAX(ROW(E$1:E152)*(E155=E$1:E152)))))</f>
        <v/>
      </c>
      <c r="L155" s="27"/>
    </row>
    <row r="156" customFormat="false" ht="15" hidden="false" customHeight="false" outlineLevel="0" collapsed="false">
      <c r="A156" s="20" t="s">
        <v>195</v>
      </c>
      <c r="B156" s="28" t="s">
        <v>196</v>
      </c>
      <c r="C156" s="28" t="s">
        <v>197</v>
      </c>
      <c r="D156" s="28" t="s">
        <v>198</v>
      </c>
      <c r="E156" s="21" t="s">
        <v>314</v>
      </c>
      <c r="F156" s="22" t="s">
        <v>226</v>
      </c>
      <c r="G156" s="23" t="s">
        <v>227</v>
      </c>
      <c r="H156" s="24"/>
      <c r="I156" s="25" t="str">
        <f aca="false">IF(OR(E156="",E156="!!!",F156="NEW"),"",INDEX(B$2:B153,-1+SUMPRODUCT(MAX(ROW(E$2:E153)*(E156=E$2:E153)))))</f>
        <v>SBJ_2</v>
      </c>
      <c r="J156" s="26" t="n">
        <f aca="true">IF(OR(E156="",E156="!!!",F156="NEW"),"",COUNTBLANK(OFFSET(A$1,,,SUMPRODUCT(MAX(ROW(E$2:E154)*(E156=E$2:E154)))))-COUNTBLANK(OFFSET(A$1,,,SUMPRODUCT(MAX(ROW(E$1:E153)*(E156=E$1:E153))))))</f>
        <v>0</v>
      </c>
      <c r="K156" s="26" t="str">
        <f aca="false">IF(OR(E156="",E156="!!!",F156="NEW"),"",INDEX(J$1:J153,SUMPRODUCT(MAX(ROW(E$1:E153)*(E156=E$1:E153)))))</f>
        <v/>
      </c>
      <c r="L156" s="27"/>
    </row>
    <row r="157" customFormat="false" ht="15" hidden="false" customHeight="false" outlineLevel="0" collapsed="false">
      <c r="A157" s="20" t="s">
        <v>319</v>
      </c>
      <c r="E157" s="21"/>
      <c r="F157" s="22"/>
      <c r="G157" s="23"/>
      <c r="H157" s="24"/>
      <c r="I157" s="25" t="str">
        <f aca="false">IF(OR(E157="",E157="!!!",F157="NEW"),"",INDEX(B$2:B154,-1+SUMPRODUCT(MAX(ROW(E$2:E154)*(E157=E$2:E154)))))</f>
        <v/>
      </c>
      <c r="J157" s="26" t="str">
        <f aca="true">IF(OR(E157="",E157="!!!",F157="NEW"),"",COUNTBLANK(OFFSET(A$1,,,SUMPRODUCT(MAX(ROW(E$2:E155)*(E157=E$2:E155)))))-COUNTBLANK(OFFSET(A$1,,,SUMPRODUCT(MAX(ROW(E$1:E154)*(E157=E$1:E154))))))</f>
        <v/>
      </c>
      <c r="K157" s="26" t="str">
        <f aca="false">IF(OR(E157="",E157="!!!",F157="NEW"),"",INDEX(J$1:J154,SUMPRODUCT(MAX(ROW(E$1:E154)*(E157=E$1:E154)))))</f>
        <v/>
      </c>
      <c r="L157" s="27"/>
    </row>
    <row r="158" customFormat="false" ht="15" hidden="false" customHeight="false" outlineLevel="0" collapsed="false">
      <c r="A158" s="20" t="s">
        <v>209</v>
      </c>
      <c r="E158" s="21"/>
      <c r="F158" s="22"/>
      <c r="G158" s="23"/>
      <c r="H158" s="24"/>
      <c r="I158" s="25" t="str">
        <f aca="false">IF(OR(E158="",E158="!!!",F158="NEW"),"",INDEX(B$2:B155,-1+SUMPRODUCT(MAX(ROW(E$2:E155)*(E158=E$2:E155)))))</f>
        <v/>
      </c>
      <c r="J158" s="26" t="str">
        <f aca="true">IF(OR(E158="",E158="!!!",F158="NEW"),"",COUNTBLANK(OFFSET(A$1,,,SUMPRODUCT(MAX(ROW(E$2:E156)*(E158=E$2:E156)))))-COUNTBLANK(OFFSET(A$1,,,SUMPRODUCT(MAX(ROW(E$1:E155)*(E158=E$1:E155))))))</f>
        <v/>
      </c>
      <c r="K158" s="26" t="str">
        <f aca="false">IF(OR(E158="",E158="!!!",F158="NEW"),"",INDEX(J$1:J155,SUMPRODUCT(MAX(ROW(E$1:E155)*(E158=E$1:E155)))))</f>
        <v/>
      </c>
      <c r="L158" s="27"/>
    </row>
    <row r="159" customFormat="false" ht="15" hidden="false" customHeight="false" outlineLevel="0" collapsed="false">
      <c r="A159" s="20" t="s">
        <v>320</v>
      </c>
      <c r="E159" s="21"/>
      <c r="F159" s="22"/>
      <c r="G159" s="23"/>
      <c r="H159" s="24"/>
      <c r="I159" s="25" t="str">
        <f aca="false">IF(OR(E159="",E159="!!!",F159="NEW"),"",INDEX(B$2:B156,-1+SUMPRODUCT(MAX(ROW(E$2:E156)*(E159=E$2:E156)))))</f>
        <v/>
      </c>
      <c r="J159" s="26" t="str">
        <f aca="true">IF(OR(E159="",E159="!!!",F159="NEW"),"",COUNTBLANK(OFFSET(A$1,,,SUMPRODUCT(MAX(ROW(E$2:E157)*(E159=E$2:E157)))))-COUNTBLANK(OFFSET(A$1,,,SUMPRODUCT(MAX(ROW(E$1:E156)*(E159=E$1:E156))))))</f>
        <v/>
      </c>
      <c r="K159" s="26" t="str">
        <f aca="false">IF(OR(E159="",E159="!!!",F159="NEW"),"",INDEX(J$1:J156,SUMPRODUCT(MAX(ROW(E$1:E156)*(E159=E$1:E156)))))</f>
        <v/>
      </c>
      <c r="L159" s="27"/>
    </row>
    <row r="160" customFormat="false" ht="15" hidden="false" customHeight="false" outlineLevel="0" collapsed="false">
      <c r="A160" s="20" t="s">
        <v>321</v>
      </c>
      <c r="E160" s="21"/>
      <c r="F160" s="22"/>
      <c r="G160" s="23"/>
      <c r="H160" s="24"/>
      <c r="I160" s="25" t="str">
        <f aca="false">IF(OR(E160="",E160="!!!",F160="NEW"),"",INDEX(B$2:B157,-1+SUMPRODUCT(MAX(ROW(E$2:E157)*(E160=E$2:E157)))))</f>
        <v/>
      </c>
      <c r="J160" s="26" t="str">
        <f aca="true">IF(OR(E160="",E160="!!!",F160="NEW"),"",COUNTBLANK(OFFSET(A$1,,,SUMPRODUCT(MAX(ROW(E$2:E158)*(E160=E$2:E158)))))-COUNTBLANK(OFFSET(A$1,,,SUMPRODUCT(MAX(ROW(E$1:E157)*(E160=E$1:E157))))))</f>
        <v/>
      </c>
      <c r="K160" s="26" t="str">
        <f aca="false">IF(OR(E160="",E160="!!!",F160="NEW"),"",INDEX(J$1:J157,SUMPRODUCT(MAX(ROW(E$1:E157)*(E160=E$1:E157)))))</f>
        <v/>
      </c>
      <c r="L160" s="27"/>
    </row>
    <row r="161" customFormat="false" ht="15" hidden="false" customHeight="false" outlineLevel="0" collapsed="false">
      <c r="A161" s="20" t="s">
        <v>322</v>
      </c>
      <c r="B161" s="28" t="s">
        <v>219</v>
      </c>
      <c r="C161" s="28" t="s">
        <v>323</v>
      </c>
      <c r="E161" s="21"/>
      <c r="F161" s="22"/>
      <c r="G161" s="23"/>
      <c r="H161" s="24"/>
      <c r="I161" s="25" t="str">
        <f aca="false">IF(OR(E161="",E161="!!!",F161="NEW"),"",INDEX(B$2:B158,-1+SUMPRODUCT(MAX(ROW(E$2:E158)*(E161=E$2:E158)))))</f>
        <v/>
      </c>
      <c r="J161" s="26" t="str">
        <f aca="true">IF(OR(E161="",E161="!!!",F161="NEW"),"",COUNTBLANK(OFFSET(A$1,,,SUMPRODUCT(MAX(ROW(E$2:E159)*(E161=E$2:E159)))))-COUNTBLANK(OFFSET(A$1,,,SUMPRODUCT(MAX(ROW(E$1:E158)*(E161=E$1:E158))))))</f>
        <v/>
      </c>
      <c r="K161" s="26" t="str">
        <f aca="false">IF(OR(E161="",E161="!!!",F161="NEW"),"",INDEX(J$1:J158,SUMPRODUCT(MAX(ROW(E$1:E158)*(E161=E$1:E158)))))</f>
        <v/>
      </c>
      <c r="L161" s="27"/>
    </row>
    <row r="162" customFormat="false" ht="15" hidden="false" customHeight="false" outlineLevel="0" collapsed="false">
      <c r="A162" s="20" t="s">
        <v>324</v>
      </c>
      <c r="B162" s="28" t="s">
        <v>234</v>
      </c>
      <c r="C162" s="28" t="s">
        <v>325</v>
      </c>
      <c r="E162" s="21"/>
      <c r="F162" s="22"/>
      <c r="G162" s="23"/>
      <c r="H162" s="24"/>
      <c r="I162" s="25" t="str">
        <f aca="false">IF(OR(E162="",E162="!!!",F162="NEW"),"",INDEX(B$2:B159,-1+SUMPRODUCT(MAX(ROW(E$2:E159)*(E162=E$2:E159)))))</f>
        <v/>
      </c>
      <c r="J162" s="26" t="str">
        <f aca="true">IF(OR(E162="",E162="!!!",F162="NEW"),"",COUNTBLANK(OFFSET(A$1,,,SUMPRODUCT(MAX(ROW(E$2:E160)*(E162=E$2:E160)))))-COUNTBLANK(OFFSET(A$1,,,SUMPRODUCT(MAX(ROW(E$1:E159)*(E162=E$1:E159))))))</f>
        <v/>
      </c>
      <c r="K162" s="26" t="str">
        <f aca="false">IF(OR(E162="",E162="!!!",F162="NEW"),"",INDEX(J$1:J159,SUMPRODUCT(MAX(ROW(E$1:E159)*(E162=E$1:E159)))))</f>
        <v/>
      </c>
      <c r="L162" s="27"/>
    </row>
    <row r="163" customFormat="false" ht="15" hidden="false" customHeight="false" outlineLevel="0" collapsed="false">
      <c r="A163" s="20" t="s">
        <v>209</v>
      </c>
      <c r="E163" s="21"/>
      <c r="F163" s="22"/>
      <c r="G163" s="23"/>
      <c r="H163" s="24"/>
      <c r="I163" s="25" t="str">
        <f aca="false">IF(OR(E163="",E163="!!!",F163="NEW"),"",INDEX(B$2:B160,-1+SUMPRODUCT(MAX(ROW(E$2:E160)*(E163=E$2:E160)))))</f>
        <v/>
      </c>
      <c r="J163" s="26" t="str">
        <f aca="true">IF(OR(E163="",E163="!!!",F163="NEW"),"",COUNTBLANK(OFFSET(A$1,,,SUMPRODUCT(MAX(ROW(E$2:E161)*(E163=E$2:E161)))))-COUNTBLANK(OFFSET(A$1,,,SUMPRODUCT(MAX(ROW(E$1:E160)*(E163=E$1:E160))))))</f>
        <v/>
      </c>
      <c r="K163" s="26" t="str">
        <f aca="false">IF(OR(E163="",E163="!!!",F163="NEW"),"",INDEX(J$1:J160,SUMPRODUCT(MAX(ROW(E$1:E160)*(E163=E$1:E160)))))</f>
        <v/>
      </c>
      <c r="L163" s="27"/>
    </row>
    <row r="164" customFormat="false" ht="15" hidden="false" customHeight="false" outlineLevel="0" collapsed="false">
      <c r="A164" s="20" t="s">
        <v>326</v>
      </c>
      <c r="E164" s="21"/>
      <c r="F164" s="22"/>
      <c r="G164" s="23"/>
      <c r="H164" s="24"/>
      <c r="I164" s="25" t="str">
        <f aca="false">IF(OR(E164="",E164="!!!",F164="NEW"),"",INDEX(B$2:B161,-1+SUMPRODUCT(MAX(ROW(E$2:E161)*(E164=E$2:E161)))))</f>
        <v/>
      </c>
      <c r="J164" s="26" t="str">
        <f aca="true">IF(OR(E164="",E164="!!!",F164="NEW"),"",COUNTBLANK(OFFSET(A$1,,,SUMPRODUCT(MAX(ROW(E$2:E162)*(E164=E$2:E162)))))-COUNTBLANK(OFFSET(A$1,,,SUMPRODUCT(MAX(ROW(E$1:E161)*(E164=E$1:E161))))))</f>
        <v/>
      </c>
      <c r="K164" s="26" t="str">
        <f aca="false">IF(OR(E164="",E164="!!!",F164="NEW"),"",INDEX(J$1:J161,SUMPRODUCT(MAX(ROW(E$1:E161)*(E164=E$1:E161)))))</f>
        <v/>
      </c>
      <c r="L164" s="27"/>
    </row>
    <row r="165" customFormat="false" ht="15" hidden="false" customHeight="false" outlineLevel="0" collapsed="false">
      <c r="A165" s="20" t="s">
        <v>236</v>
      </c>
      <c r="E165" s="21"/>
      <c r="F165" s="22"/>
      <c r="G165" s="23"/>
      <c r="H165" s="24"/>
      <c r="I165" s="25" t="str">
        <f aca="false">IF(OR(E165="",E165="!!!",F165="NEW"),"",INDEX(B$2:B162,-1+SUMPRODUCT(MAX(ROW(E$2:E162)*(E165=E$2:E162)))))</f>
        <v/>
      </c>
      <c r="J165" s="26" t="str">
        <f aca="true">IF(OR(E165="",E165="!!!",F165="NEW"),"",COUNTBLANK(OFFSET(A$1,,,SUMPRODUCT(MAX(ROW(E$2:E163)*(E165=E$2:E163)))))-COUNTBLANK(OFFSET(A$1,,,SUMPRODUCT(MAX(ROW(E$1:E162)*(E165=E$1:E162))))))</f>
        <v/>
      </c>
      <c r="K165" s="26" t="str">
        <f aca="false">IF(OR(E165="",E165="!!!",F165="NEW"),"",INDEX(J$1:J162,SUMPRODUCT(MAX(ROW(E$1:E162)*(E165=E$1:E162)))))</f>
        <v/>
      </c>
      <c r="L165" s="27"/>
    </row>
    <row r="166" customFormat="false" ht="15" hidden="false" customHeight="false" outlineLevel="0" collapsed="false">
      <c r="A166" s="20" t="s">
        <v>322</v>
      </c>
      <c r="B166" s="28" t="s">
        <v>219</v>
      </c>
      <c r="C166" s="28" t="s">
        <v>323</v>
      </c>
      <c r="E166" s="21"/>
      <c r="F166" s="22"/>
      <c r="G166" s="23"/>
      <c r="H166" s="24"/>
      <c r="I166" s="25" t="str">
        <f aca="false">IF(OR(E166="",E166="!!!",F166="NEW"),"",INDEX(B$2:B163,-1+SUMPRODUCT(MAX(ROW(E$2:E163)*(E166=E$2:E163)))))</f>
        <v/>
      </c>
      <c r="J166" s="26" t="str">
        <f aca="true">IF(OR(E166="",E166="!!!",F166="NEW"),"",COUNTBLANK(OFFSET(A$1,,,SUMPRODUCT(MAX(ROW(E$2:E164)*(E166=E$2:E164)))))-COUNTBLANK(OFFSET(A$1,,,SUMPRODUCT(MAX(ROW(E$1:E163)*(E166=E$1:E163))))))</f>
        <v/>
      </c>
      <c r="K166" s="26" t="str">
        <f aca="false">IF(OR(E166="",E166="!!!",F166="NEW"),"",INDEX(J$1:J163,SUMPRODUCT(MAX(ROW(E$1:E163)*(E166=E$1:E163)))))</f>
        <v/>
      </c>
      <c r="L166" s="27"/>
    </row>
    <row r="167" customFormat="false" ht="15" hidden="false" customHeight="false" outlineLevel="0" collapsed="false">
      <c r="A167" s="20" t="s">
        <v>327</v>
      </c>
      <c r="B167" s="28" t="s">
        <v>273</v>
      </c>
      <c r="C167" s="28" t="s">
        <v>251</v>
      </c>
      <c r="E167" s="21"/>
      <c r="F167" s="22"/>
      <c r="G167" s="23"/>
      <c r="H167" s="24"/>
      <c r="I167" s="25" t="str">
        <f aca="false">IF(OR(E167="",E167="!!!",F167="NEW"),"",INDEX(B$2:B164,-1+SUMPRODUCT(MAX(ROW(E$2:E164)*(E167=E$2:E164)))))</f>
        <v/>
      </c>
      <c r="J167" s="26" t="str">
        <f aca="true">IF(OR(E167="",E167="!!!",F167="NEW"),"",COUNTBLANK(OFFSET(A$1,,,SUMPRODUCT(MAX(ROW(E$2:E165)*(E167=E$2:E165)))))-COUNTBLANK(OFFSET(A$1,,,SUMPRODUCT(MAX(ROW(E$1:E164)*(E167=E$1:E164))))))</f>
        <v/>
      </c>
      <c r="K167" s="26" t="str">
        <f aca="false">IF(OR(E167="",E167="!!!",F167="NEW"),"",INDEX(J$1:J164,SUMPRODUCT(MAX(ROW(E$1:E164)*(E167=E$1:E164)))))</f>
        <v/>
      </c>
      <c r="L167" s="27"/>
    </row>
    <row r="168" customFormat="false" ht="15" hidden="false" customHeight="false" outlineLevel="0" collapsed="false">
      <c r="A168" s="20" t="s">
        <v>209</v>
      </c>
      <c r="E168" s="21"/>
      <c r="F168" s="22"/>
      <c r="G168" s="23"/>
      <c r="H168" s="24"/>
      <c r="I168" s="25" t="str">
        <f aca="false">IF(OR(E168="",E168="!!!",F168="NEW"),"",INDEX(B$2:B165,-1+SUMPRODUCT(MAX(ROW(E$2:E165)*(E168=E$2:E165)))))</f>
        <v/>
      </c>
      <c r="J168" s="26" t="str">
        <f aca="true">IF(OR(E168="",E168="!!!",F168="NEW"),"",COUNTBLANK(OFFSET(A$1,,,SUMPRODUCT(MAX(ROW(E$2:E166)*(E168=E$2:E166)))))-COUNTBLANK(OFFSET(A$1,,,SUMPRODUCT(MAX(ROW(E$1:E165)*(E168=E$1:E165))))))</f>
        <v/>
      </c>
      <c r="K168" s="26" t="str">
        <f aca="false">IF(OR(E168="",E168="!!!",F168="NEW"),"",INDEX(J$1:J165,SUMPRODUCT(MAX(ROW(E$1:E165)*(E168=E$1:E165)))))</f>
        <v/>
      </c>
      <c r="L168" s="27"/>
    </row>
    <row r="169" customFormat="false" ht="15" hidden="false" customHeight="false" outlineLevel="0" collapsed="false">
      <c r="A169" s="20" t="s">
        <v>179</v>
      </c>
      <c r="E169" s="21"/>
      <c r="F169" s="22"/>
      <c r="G169" s="23"/>
      <c r="H169" s="24"/>
      <c r="I169" s="25" t="str">
        <f aca="false">IF(OR(E169="",E169="!!!",F169="NEW"),"",INDEX(B$2:B166,-1+SUMPRODUCT(MAX(ROW(E$2:E166)*(E169=E$2:E166)))))</f>
        <v/>
      </c>
      <c r="J169" s="26" t="str">
        <f aca="true">IF(OR(E169="",E169="!!!",F169="NEW"),"",COUNTBLANK(OFFSET(A$1,,,SUMPRODUCT(MAX(ROW(E$2:E167)*(E169=E$2:E167)))))-COUNTBLANK(OFFSET(A$1,,,SUMPRODUCT(MAX(ROW(E$1:E166)*(E169=E$1:E166))))))</f>
        <v/>
      </c>
      <c r="K169" s="26" t="str">
        <f aca="false">IF(OR(E169="",E169="!!!",F169="NEW"),"",INDEX(J$1:J166,SUMPRODUCT(MAX(ROW(E$1:E166)*(E169=E$1:E166)))))</f>
        <v/>
      </c>
      <c r="L169" s="27"/>
    </row>
    <row r="170" customFormat="false" ht="15" hidden="false" customHeight="false" outlineLevel="0" collapsed="false">
      <c r="A170" s="20" t="s">
        <v>328</v>
      </c>
      <c r="B170" s="28" t="s">
        <v>222</v>
      </c>
      <c r="C170" s="28" t="s">
        <v>197</v>
      </c>
      <c r="D170" s="28" t="s">
        <v>198</v>
      </c>
      <c r="E170" s="21" t="s">
        <v>199</v>
      </c>
      <c r="F170" s="22" t="s">
        <v>226</v>
      </c>
      <c r="G170" s="23" t="s">
        <v>201</v>
      </c>
      <c r="H170" s="24"/>
      <c r="I170" s="25" t="str">
        <f aca="false">IF(OR(E170="",E170="!!!",F170="NEW"),"",INDEX(B$2:B167,-1+SUMPRODUCT(MAX(ROW(E$2:E167)*(E170=E$2:E167)))))</f>
        <v>OBJ_2</v>
      </c>
      <c r="J170" s="26" t="n">
        <f aca="true">IF(OR(E170="",E170="!!!",F170="NEW"),"",COUNTBLANK(OFFSET(A$1,,,SUMPRODUCT(MAX(ROW(E$2:E168)*(E170=E$2:E168)))))-COUNTBLANK(OFFSET(A$1,,,SUMPRODUCT(MAX(ROW(E$1:E167)*(E170=E$1:E167))))))</f>
        <v>0</v>
      </c>
      <c r="K170" s="26" t="n">
        <f aca="false">IF(OR(E170="",E170="!!!",F170="NEW"),"",INDEX(J$1:J167,SUMPRODUCT(MAX(ROW(E$1:E167)*(E170=E$1:E167)))))</f>
        <v>0</v>
      </c>
      <c r="L170" s="27"/>
    </row>
    <row r="171" customFormat="false" ht="15" hidden="false" customHeight="false" outlineLevel="0" collapsed="false">
      <c r="A171" s="20" t="s">
        <v>329</v>
      </c>
      <c r="E171" s="21"/>
      <c r="F171" s="22"/>
      <c r="G171" s="23"/>
      <c r="H171" s="24"/>
      <c r="I171" s="25" t="str">
        <f aca="false">IF(OR(E171="",E171="!!!",F171="NEW"),"",INDEX(B$2:B168,-1+SUMPRODUCT(MAX(ROW(E$2:E168)*(E171=E$2:E168)))))</f>
        <v/>
      </c>
      <c r="J171" s="26" t="str">
        <f aca="true">IF(OR(E171="",E171="!!!",F171="NEW"),"",COUNTBLANK(OFFSET(A$1,,,SUMPRODUCT(MAX(ROW(E$2:E169)*(E171=E$2:E169)))))-COUNTBLANK(OFFSET(A$1,,,SUMPRODUCT(MAX(ROW(E$1:E168)*(E171=E$1:E168))))))</f>
        <v/>
      </c>
      <c r="K171" s="26" t="str">
        <f aca="false">IF(OR(E171="",E171="!!!",F171="NEW"),"",INDEX(J$1:J168,SUMPRODUCT(MAX(ROW(E$1:E168)*(E171=E$1:E168)))))</f>
        <v/>
      </c>
      <c r="L171" s="27"/>
    </row>
    <row r="172" customFormat="false" ht="15" hidden="false" customHeight="false" outlineLevel="0" collapsed="false">
      <c r="A172" s="20" t="s">
        <v>330</v>
      </c>
      <c r="B172" s="28" t="s">
        <v>234</v>
      </c>
      <c r="C172" s="28" t="s">
        <v>268</v>
      </c>
      <c r="D172" s="28" t="s">
        <v>198</v>
      </c>
      <c r="E172" s="21"/>
      <c r="F172" s="22" t="s">
        <v>261</v>
      </c>
      <c r="G172" s="23"/>
      <c r="H172" s="24"/>
      <c r="I172" s="25" t="str">
        <f aca="false">IF(OR(E172="",E172="!!!",F172="NEW"),"",INDEX(B$2:B169,-1+SUMPRODUCT(MAX(ROW(E$2:E169)*(E172=E$2:E169)))))</f>
        <v/>
      </c>
      <c r="J172" s="26" t="str">
        <f aca="true">IF(OR(E172="",E172="!!!",F172="NEW"),"",COUNTBLANK(OFFSET(A$1,,,SUMPRODUCT(MAX(ROW(E$2:E170)*(E172=E$2:E170)))))-COUNTBLANK(OFFSET(A$1,,,SUMPRODUCT(MAX(ROW(E$1:E169)*(E172=E$1:E169))))))</f>
        <v/>
      </c>
      <c r="K172" s="26" t="str">
        <f aca="false">IF(OR(E172="",E172="!!!",F172="NEW"),"",INDEX(J$1:J169,SUMPRODUCT(MAX(ROW(E$1:E169)*(E172=E$1:E169)))))</f>
        <v/>
      </c>
      <c r="L172" s="27"/>
    </row>
    <row r="173" customFormat="false" ht="15" hidden="false" customHeight="false" outlineLevel="0" collapsed="false">
      <c r="A173" s="20" t="s">
        <v>331</v>
      </c>
      <c r="E173" s="21"/>
      <c r="F173" s="22"/>
      <c r="G173" s="23"/>
      <c r="H173" s="24"/>
      <c r="I173" s="25" t="str">
        <f aca="false">IF(OR(E173="",E173="!!!",F173="NEW"),"",INDEX(B$2:B170,-1+SUMPRODUCT(MAX(ROW(E$2:E170)*(E173=E$2:E170)))))</f>
        <v/>
      </c>
      <c r="J173" s="26" t="str">
        <f aca="true">IF(OR(E173="",E173="!!!",F173="NEW"),"",COUNTBLANK(OFFSET(A$1,,,SUMPRODUCT(MAX(ROW(E$2:E171)*(E173=E$2:E171)))))-COUNTBLANK(OFFSET(A$1,,,SUMPRODUCT(MAX(ROW(E$1:E170)*(E173=E$1:E170))))))</f>
        <v/>
      </c>
      <c r="K173" s="26" t="str">
        <f aca="false">IF(OR(E173="",E173="!!!",F173="NEW"),"",INDEX(J$1:J170,SUMPRODUCT(MAX(ROW(E$1:E170)*(E173=E$1:E170)))))</f>
        <v/>
      </c>
      <c r="L173" s="27"/>
    </row>
    <row r="174" customFormat="false" ht="15" hidden="false" customHeight="false" outlineLevel="0" collapsed="false">
      <c r="A174" s="20" t="s">
        <v>320</v>
      </c>
      <c r="E174" s="21"/>
      <c r="F174" s="22"/>
      <c r="G174" s="23"/>
      <c r="H174" s="24"/>
      <c r="I174" s="25" t="str">
        <f aca="false">IF(OR(E174="",E174="!!!",F174="NEW"),"",INDEX(B$2:B171,-1+SUMPRODUCT(MAX(ROW(E$2:E171)*(E174=E$2:E171)))))</f>
        <v/>
      </c>
      <c r="J174" s="26" t="str">
        <f aca="true">IF(OR(E174="",E174="!!!",F174="NEW"),"",COUNTBLANK(OFFSET(A$1,,,SUMPRODUCT(MAX(ROW(E$2:E172)*(E174=E$2:E172)))))-COUNTBLANK(OFFSET(A$1,,,SUMPRODUCT(MAX(ROW(E$1:E171)*(E174=E$1:E171))))))</f>
        <v/>
      </c>
      <c r="K174" s="26" t="str">
        <f aca="false">IF(OR(E174="",E174="!!!",F174="NEW"),"",INDEX(J$1:J171,SUMPRODUCT(MAX(ROW(E$1:E171)*(E174=E$1:E171)))))</f>
        <v/>
      </c>
      <c r="L174" s="27"/>
    </row>
    <row r="175" customFormat="false" ht="15" hidden="false" customHeight="false" outlineLevel="0" collapsed="false">
      <c r="A175" s="20"/>
      <c r="E175" s="21"/>
      <c r="F175" s="22"/>
      <c r="G175" s="23"/>
      <c r="H175" s="24"/>
      <c r="I175" s="25" t="str">
        <f aca="false">IF(OR(E175="",E175="!!!",F175="NEW"),"",INDEX(B$2:B172,-1+SUMPRODUCT(MAX(ROW(E$2:E172)*(E175=E$2:E172)))))</f>
        <v/>
      </c>
      <c r="J175" s="26" t="str">
        <f aca="true">IF(OR(E175="",E175="!!!",F175="NEW"),"",COUNTBLANK(OFFSET(A$1,,,SUMPRODUCT(MAX(ROW(E$2:E173)*(E175=E$2:E173)))))-COUNTBLANK(OFFSET(A$1,,,SUMPRODUCT(MAX(ROW(E$1:E172)*(E175=E$1:E172))))))</f>
        <v/>
      </c>
      <c r="K175" s="26" t="str">
        <f aca="false">IF(OR(E175="",E175="!!!",F175="NEW"),"",INDEX(J$1:J172,SUMPRODUCT(MAX(ROW(E$1:E172)*(E175=E$1:E172)))))</f>
        <v/>
      </c>
      <c r="L175" s="27"/>
    </row>
    <row r="176" customFormat="false" ht="15" hidden="false" customHeight="false" outlineLevel="0" collapsed="false">
      <c r="A176" s="20" t="s">
        <v>311</v>
      </c>
      <c r="E176" s="21"/>
      <c r="F176" s="22"/>
      <c r="G176" s="23"/>
      <c r="H176" s="24"/>
      <c r="I176" s="25" t="str">
        <f aca="false">IF(OR(E176="",E176="!!!",F176="NEW"),"",INDEX(B$2:B173,-1+SUMPRODUCT(MAX(ROW(E$2:E173)*(E176=E$2:E173)))))</f>
        <v/>
      </c>
      <c r="J176" s="26" t="str">
        <f aca="true">IF(OR(E176="",E176="!!!",F176="NEW"),"",COUNTBLANK(OFFSET(A$1,,,SUMPRODUCT(MAX(ROW(E$2:E174)*(E176=E$2:E174)))))-COUNTBLANK(OFFSET(A$1,,,SUMPRODUCT(MAX(ROW(E$1:E173)*(E176=E$1:E173))))))</f>
        <v/>
      </c>
      <c r="K176" s="26" t="str">
        <f aca="false">IF(OR(E176="",E176="!!!",F176="NEW"),"",INDEX(J$1:J173,SUMPRODUCT(MAX(ROW(E$1:E173)*(E176=E$1:E173)))))</f>
        <v/>
      </c>
      <c r="L176" s="27"/>
    </row>
    <row r="177" customFormat="false" ht="15" hidden="false" customHeight="false" outlineLevel="0" collapsed="false">
      <c r="A177" s="20" t="s">
        <v>332</v>
      </c>
      <c r="E177" s="21"/>
      <c r="F177" s="22"/>
      <c r="G177" s="23"/>
      <c r="H177" s="24"/>
      <c r="I177" s="25" t="str">
        <f aca="false">IF(OR(E177="",E177="!!!",F177="NEW"),"",INDEX(B$2:B174,-1+SUMPRODUCT(MAX(ROW(E$2:E174)*(E177=E$2:E174)))))</f>
        <v/>
      </c>
      <c r="J177" s="26" t="str">
        <f aca="true">IF(OR(E177="",E177="!!!",F177="NEW"),"",COUNTBLANK(OFFSET(A$1,,,SUMPRODUCT(MAX(ROW(E$2:E175)*(E177=E$2:E175)))))-COUNTBLANK(OFFSET(A$1,,,SUMPRODUCT(MAX(ROW(E$1:E174)*(E177=E$1:E174))))))</f>
        <v/>
      </c>
      <c r="K177" s="26" t="str">
        <f aca="false">IF(OR(E177="",E177="!!!",F177="NEW"),"",INDEX(J$1:J174,SUMPRODUCT(MAX(ROW(E$1:E174)*(E177=E$1:E174)))))</f>
        <v/>
      </c>
      <c r="L177" s="27"/>
    </row>
    <row r="178" customFormat="false" ht="15" hidden="false" customHeight="false" outlineLevel="0" collapsed="false">
      <c r="A178" s="20" t="s">
        <v>333</v>
      </c>
      <c r="E178" s="21"/>
      <c r="F178" s="22"/>
      <c r="G178" s="23"/>
      <c r="H178" s="24"/>
      <c r="I178" s="25" t="str">
        <f aca="false">IF(OR(E178="",E178="!!!",F178="NEW"),"",INDEX(B$2:B175,-1+SUMPRODUCT(MAX(ROW(E$2:E175)*(E178=E$2:E175)))))</f>
        <v/>
      </c>
      <c r="J178" s="26" t="str">
        <f aca="true">IF(OR(E178="",E178="!!!",F178="NEW"),"",COUNTBLANK(OFFSET(A$1,,,SUMPRODUCT(MAX(ROW(E$2:E176)*(E178=E$2:E176)))))-COUNTBLANK(OFFSET(A$1,,,SUMPRODUCT(MAX(ROW(E$1:E175)*(E178=E$1:E175))))))</f>
        <v/>
      </c>
      <c r="K178" s="26" t="str">
        <f aca="false">IF(OR(E178="",E178="!!!",F178="NEW"),"",INDEX(J$1:J175,SUMPRODUCT(MAX(ROW(E$1:E175)*(E178=E$1:E175)))))</f>
        <v/>
      </c>
      <c r="L178" s="27"/>
    </row>
    <row r="179" customFormat="false" ht="15" hidden="false" customHeight="false" outlineLevel="0" collapsed="false">
      <c r="A179" s="20" t="s">
        <v>334</v>
      </c>
      <c r="B179" s="28" t="s">
        <v>222</v>
      </c>
      <c r="C179" s="28" t="s">
        <v>223</v>
      </c>
      <c r="D179" s="28" t="s">
        <v>198</v>
      </c>
      <c r="E179" s="21" t="s">
        <v>334</v>
      </c>
      <c r="F179" s="22" t="s">
        <v>200</v>
      </c>
      <c r="G179" s="23" t="s">
        <v>201</v>
      </c>
      <c r="H179" s="24"/>
      <c r="I179" s="25" t="str">
        <f aca="false">IF(OR(E179="",E179="!!!",F179="NEW"),"",INDEX(B$2:B176,-1+SUMPRODUCT(MAX(ROW(E$2:E176)*(E179=E$2:E176)))))</f>
        <v/>
      </c>
      <c r="J179" s="26" t="str">
        <f aca="true">IF(OR(E179="",E179="!!!",F179="NEW"),"",COUNTBLANK(OFFSET(A$1,,,SUMPRODUCT(MAX(ROW(E$2:E177)*(E179=E$2:E177)))))-COUNTBLANK(OFFSET(A$1,,,SUMPRODUCT(MAX(ROW(E$1:E176)*(E179=E$1:E176))))))</f>
        <v/>
      </c>
      <c r="K179" s="26" t="str">
        <f aca="false">IF(OR(E179="",E179="!!!",F179="NEW"),"",INDEX(J$1:J176,SUMPRODUCT(MAX(ROW(E$1:E176)*(E179=E$1:E176)))))</f>
        <v/>
      </c>
      <c r="L179" s="27"/>
    </row>
    <row r="180" customFormat="false" ht="15" hidden="false" customHeight="false" outlineLevel="0" collapsed="false">
      <c r="A180" s="20" t="s">
        <v>209</v>
      </c>
      <c r="E180" s="21"/>
      <c r="F180" s="22"/>
      <c r="G180" s="23"/>
      <c r="H180" s="24"/>
      <c r="I180" s="25" t="str">
        <f aca="false">IF(OR(E180="",E180="!!!",F180="NEW"),"",INDEX(B$2:B177,-1+SUMPRODUCT(MAX(ROW(E$2:E177)*(E180=E$2:E177)))))</f>
        <v/>
      </c>
      <c r="J180" s="26" t="str">
        <f aca="true">IF(OR(E180="",E180="!!!",F180="NEW"),"",COUNTBLANK(OFFSET(A$1,,,SUMPRODUCT(MAX(ROW(E$2:E178)*(E180=E$2:E178)))))-COUNTBLANK(OFFSET(A$1,,,SUMPRODUCT(MAX(ROW(E$1:E177)*(E180=E$1:E177))))))</f>
        <v/>
      </c>
      <c r="K180" s="26" t="str">
        <f aca="false">IF(OR(E180="",E180="!!!",F180="NEW"),"",INDEX(J$1:J177,SUMPRODUCT(MAX(ROW(E$1:E177)*(E180=E$1:E177)))))</f>
        <v/>
      </c>
      <c r="L180" s="27"/>
    </row>
    <row r="181" customFormat="false" ht="15" hidden="false" customHeight="false" outlineLevel="0" collapsed="false">
      <c r="A181" s="20" t="s">
        <v>335</v>
      </c>
      <c r="E181" s="21"/>
      <c r="F181" s="22"/>
      <c r="G181" s="23"/>
      <c r="H181" s="24"/>
      <c r="I181" s="25" t="str">
        <f aca="false">IF(OR(E181="",E181="!!!",F181="NEW"),"",INDEX(B$2:B178,-1+SUMPRODUCT(MAX(ROW(E$2:E178)*(E181=E$2:E178)))))</f>
        <v/>
      </c>
      <c r="J181" s="26" t="str">
        <f aca="true">IF(OR(E181="",E181="!!!",F181="NEW"),"",COUNTBLANK(OFFSET(A$1,,,SUMPRODUCT(MAX(ROW(E$2:E179)*(E181=E$2:E179)))))-COUNTBLANK(OFFSET(A$1,,,SUMPRODUCT(MAX(ROW(E$1:E178)*(E181=E$1:E178))))))</f>
        <v/>
      </c>
      <c r="K181" s="26" t="str">
        <f aca="false">IF(OR(E181="",E181="!!!",F181="NEW"),"",INDEX(J$1:J178,SUMPRODUCT(MAX(ROW(E$1:E178)*(E181=E$1:E178)))))</f>
        <v/>
      </c>
      <c r="L181" s="27"/>
    </row>
    <row r="182" customFormat="false" ht="15" hidden="false" customHeight="false" outlineLevel="0" collapsed="false">
      <c r="A182" s="20" t="s">
        <v>304</v>
      </c>
      <c r="E182" s="21"/>
      <c r="F182" s="22"/>
      <c r="G182" s="23"/>
      <c r="H182" s="24"/>
      <c r="I182" s="25" t="str">
        <f aca="false">IF(OR(E182="",E182="!!!",F182="NEW"),"",INDEX(B$2:B179,-1+SUMPRODUCT(MAX(ROW(E$2:E179)*(E182=E$2:E179)))))</f>
        <v/>
      </c>
      <c r="J182" s="26" t="str">
        <f aca="true">IF(OR(E182="",E182="!!!",F182="NEW"),"",COUNTBLANK(OFFSET(A$1,,,SUMPRODUCT(MAX(ROW(E$2:E180)*(E182=E$2:E180)))))-COUNTBLANK(OFFSET(A$1,,,SUMPRODUCT(MAX(ROW(E$1:E179)*(E182=E$1:E179))))))</f>
        <v/>
      </c>
      <c r="K182" s="26" t="str">
        <f aca="false">IF(OR(E182="",E182="!!!",F182="NEW"),"",INDEX(J$1:J179,SUMPRODUCT(MAX(ROW(E$1:E179)*(E182=E$1:E179)))))</f>
        <v/>
      </c>
      <c r="L182" s="27"/>
    </row>
    <row r="183" customFormat="false" ht="15" hidden="false" customHeight="false" outlineLevel="0" collapsed="false">
      <c r="A183" s="20" t="s">
        <v>204</v>
      </c>
      <c r="E183" s="21"/>
      <c r="F183" s="22"/>
      <c r="G183" s="23"/>
      <c r="H183" s="24"/>
      <c r="I183" s="25" t="str">
        <f aca="false">IF(OR(E183="",E183="!!!",F183="NEW"),"",INDEX(B$2:B180,-1+SUMPRODUCT(MAX(ROW(E$2:E180)*(E183=E$2:E180)))))</f>
        <v/>
      </c>
      <c r="J183" s="26" t="str">
        <f aca="true">IF(OR(E183="",E183="!!!",F183="NEW"),"",COUNTBLANK(OFFSET(A$1,,,SUMPRODUCT(MAX(ROW(E$2:E181)*(E183=E$2:E181)))))-COUNTBLANK(OFFSET(A$1,,,SUMPRODUCT(MAX(ROW(E$1:E180)*(E183=E$1:E180))))))</f>
        <v/>
      </c>
      <c r="K183" s="26" t="str">
        <f aca="false">IF(OR(E183="",E183="!!!",F183="NEW"),"",INDEX(J$1:J180,SUMPRODUCT(MAX(ROW(E$1:E180)*(E183=E$1:E180)))))</f>
        <v/>
      </c>
      <c r="L183" s="27"/>
    </row>
    <row r="184" customFormat="false" ht="15" hidden="false" customHeight="false" outlineLevel="0" collapsed="false">
      <c r="A184" s="20" t="s">
        <v>336</v>
      </c>
      <c r="E184" s="21"/>
      <c r="F184" s="22"/>
      <c r="G184" s="23"/>
      <c r="H184" s="24"/>
      <c r="I184" s="25" t="str">
        <f aca="false">IF(OR(E184="",E184="!!!",F184="NEW"),"",INDEX(B$2:B181,-1+SUMPRODUCT(MAX(ROW(E$2:E181)*(E184=E$2:E181)))))</f>
        <v/>
      </c>
      <c r="J184" s="26" t="str">
        <f aca="true">IF(OR(E184="",E184="!!!",F184="NEW"),"",COUNTBLANK(OFFSET(A$1,,,SUMPRODUCT(MAX(ROW(E$2:E182)*(E184=E$2:E182)))))-COUNTBLANK(OFFSET(A$1,,,SUMPRODUCT(MAX(ROW(E$1:E181)*(E184=E$1:E181))))))</f>
        <v/>
      </c>
      <c r="K184" s="26" t="str">
        <f aca="false">IF(OR(E184="",E184="!!!",F184="NEW"),"",INDEX(J$1:J181,SUMPRODUCT(MAX(ROW(E$1:E181)*(E184=E$1:E181)))))</f>
        <v/>
      </c>
      <c r="L184" s="27"/>
    </row>
    <row r="185" customFormat="false" ht="15" hidden="false" customHeight="false" outlineLevel="0" collapsed="false">
      <c r="A185" s="20" t="s">
        <v>337</v>
      </c>
      <c r="B185" s="28" t="s">
        <v>215</v>
      </c>
      <c r="C185" s="28" t="s">
        <v>223</v>
      </c>
      <c r="D185" s="28" t="s">
        <v>198</v>
      </c>
      <c r="E185" s="21" t="s">
        <v>338</v>
      </c>
      <c r="F185" s="22" t="s">
        <v>200</v>
      </c>
      <c r="G185" s="23" t="s">
        <v>201</v>
      </c>
      <c r="H185" s="24"/>
      <c r="I185" s="25" t="str">
        <f aca="false">IF(OR(E185="",E185="!!!",F185="NEW"),"",INDEX(B$2:B182,-1+SUMPRODUCT(MAX(ROW(E$2:E182)*(E185=E$2:E182)))))</f>
        <v/>
      </c>
      <c r="J185" s="26" t="str">
        <f aca="true">IF(OR(E185="",E185="!!!",F185="NEW"),"",COUNTBLANK(OFFSET(A$1,,,SUMPRODUCT(MAX(ROW(E$2:E183)*(E185=E$2:E183)))))-COUNTBLANK(OFFSET(A$1,,,SUMPRODUCT(MAX(ROW(E$1:E182)*(E185=E$1:E182))))))</f>
        <v/>
      </c>
      <c r="K185" s="26" t="str">
        <f aca="false">IF(OR(E185="",E185="!!!",F185="NEW"),"",INDEX(J$1:J182,SUMPRODUCT(MAX(ROW(E$1:E182)*(E185=E$1:E182)))))</f>
        <v/>
      </c>
      <c r="L185" s="27"/>
    </row>
    <row r="186" customFormat="false" ht="15" hidden="false" customHeight="false" outlineLevel="0" collapsed="false">
      <c r="A186" s="20" t="s">
        <v>209</v>
      </c>
      <c r="E186" s="21"/>
      <c r="F186" s="22"/>
      <c r="G186" s="23"/>
      <c r="H186" s="24"/>
      <c r="I186" s="25" t="str">
        <f aca="false">IF(OR(E186="",E186="!!!",F186="NEW"),"",INDEX(B$2:B183,-1+SUMPRODUCT(MAX(ROW(E$2:E183)*(E186=E$2:E183)))))</f>
        <v/>
      </c>
      <c r="J186" s="26" t="str">
        <f aca="true">IF(OR(E186="",E186="!!!",F186="NEW"),"",COUNTBLANK(OFFSET(A$1,,,SUMPRODUCT(MAX(ROW(E$2:E184)*(E186=E$2:E184)))))-COUNTBLANK(OFFSET(A$1,,,SUMPRODUCT(MAX(ROW(E$1:E183)*(E186=E$1:E183))))))</f>
        <v/>
      </c>
      <c r="K186" s="26" t="str">
        <f aca="false">IF(OR(E186="",E186="!!!",F186="NEW"),"",INDEX(J$1:J183,SUMPRODUCT(MAX(ROW(E$1:E183)*(E186=E$1:E183)))))</f>
        <v/>
      </c>
      <c r="L186" s="27"/>
    </row>
    <row r="187" customFormat="false" ht="15" hidden="false" customHeight="false" outlineLevel="0" collapsed="false">
      <c r="A187" s="20" t="s">
        <v>339</v>
      </c>
      <c r="E187" s="21"/>
      <c r="F187" s="22"/>
      <c r="G187" s="23"/>
      <c r="H187" s="24"/>
      <c r="I187" s="25" t="str">
        <f aca="false">IF(OR(E187="",E187="!!!",F187="NEW"),"",INDEX(B$2:B184,-1+SUMPRODUCT(MAX(ROW(E$2:E184)*(E187=E$2:E184)))))</f>
        <v/>
      </c>
      <c r="J187" s="26" t="str">
        <f aca="true">IF(OR(E187="",E187="!!!",F187="NEW"),"",COUNTBLANK(OFFSET(A$1,,,SUMPRODUCT(MAX(ROW(E$2:E185)*(E187=E$2:E185)))))-COUNTBLANK(OFFSET(A$1,,,SUMPRODUCT(MAX(ROW(E$1:E184)*(E187=E$1:E184))))))</f>
        <v/>
      </c>
      <c r="K187" s="26" t="str">
        <f aca="false">IF(OR(E187="",E187="!!!",F187="NEW"),"",INDEX(J$1:J184,SUMPRODUCT(MAX(ROW(E$1:E184)*(E187=E$1:E184)))))</f>
        <v/>
      </c>
      <c r="L187" s="27"/>
    </row>
    <row r="188" customFormat="false" ht="15" hidden="false" customHeight="false" outlineLevel="0" collapsed="false">
      <c r="A188" s="20" t="s">
        <v>203</v>
      </c>
      <c r="E188" s="21"/>
      <c r="F188" s="22"/>
      <c r="G188" s="23"/>
      <c r="H188" s="24"/>
      <c r="I188" s="25" t="str">
        <f aca="false">IF(OR(E188="",E188="!!!",F188="NEW"),"",INDEX(B$2:B185,-1+SUMPRODUCT(MAX(ROW(E$2:E185)*(E188=E$2:E185)))))</f>
        <v/>
      </c>
      <c r="J188" s="26" t="str">
        <f aca="true">IF(OR(E188="",E188="!!!",F188="NEW"),"",COUNTBLANK(OFFSET(A$1,,,SUMPRODUCT(MAX(ROW(E$2:E186)*(E188=E$2:E186)))))-COUNTBLANK(OFFSET(A$1,,,SUMPRODUCT(MAX(ROW(E$1:E185)*(E188=E$1:E185))))))</f>
        <v/>
      </c>
      <c r="K188" s="26" t="str">
        <f aca="false">IF(OR(E188="",E188="!!!",F188="NEW"),"",INDEX(J$1:J185,SUMPRODUCT(MAX(ROW(E$1:E185)*(E188=E$1:E185)))))</f>
        <v/>
      </c>
      <c r="L188" s="27"/>
    </row>
    <row r="189" customFormat="false" ht="15" hidden="false" customHeight="false" outlineLevel="0" collapsed="false">
      <c r="A189" s="20" t="s">
        <v>225</v>
      </c>
      <c r="B189" s="28" t="s">
        <v>206</v>
      </c>
      <c r="C189" s="28" t="s">
        <v>197</v>
      </c>
      <c r="D189" s="28" t="s">
        <v>198</v>
      </c>
      <c r="E189" s="21" t="s">
        <v>314</v>
      </c>
      <c r="F189" s="22" t="s">
        <v>226</v>
      </c>
      <c r="G189" s="23" t="s">
        <v>227</v>
      </c>
      <c r="H189" s="24"/>
      <c r="I189" s="25" t="str">
        <f aca="false">IF(OR(E189="",E189="!!!",F189="NEW"),"",INDEX(B$2:B186,-1+SUMPRODUCT(MAX(ROW(E$2:E186)*(E189=E$2:E186)))))</f>
        <v>SBJ</v>
      </c>
      <c r="J189" s="26" t="n">
        <f aca="true">IF(OR(E189="",E189="!!!",F189="NEW"),"",COUNTBLANK(OFFSET(A$1,,,SUMPRODUCT(MAX(ROW(E$2:E187)*(E189=E$2:E187)))))-COUNTBLANK(OFFSET(A$1,,,SUMPRODUCT(MAX(ROW(E$1:E186)*(E189=E$1:E186))))))</f>
        <v>0</v>
      </c>
      <c r="K189" s="26" t="n">
        <f aca="false">IF(OR(E189="",E189="!!!",F189="NEW"),"",INDEX(J$1:J186,SUMPRODUCT(MAX(ROW(E$1:E186)*(E189=E$1:E186)))))</f>
        <v>0</v>
      </c>
      <c r="L189" s="27"/>
    </row>
    <row r="190" customFormat="false" ht="15" hidden="false" customHeight="false" outlineLevel="0" collapsed="false">
      <c r="A190" s="20" t="s">
        <v>209</v>
      </c>
      <c r="E190" s="21"/>
      <c r="F190" s="22"/>
      <c r="G190" s="23"/>
      <c r="H190" s="24"/>
      <c r="I190" s="25" t="str">
        <f aca="false">IF(OR(E190="",E190="!!!",F190="NEW"),"",INDEX(B$2:B187,-1+SUMPRODUCT(MAX(ROW(E$2:E187)*(E190=E$2:E187)))))</f>
        <v/>
      </c>
      <c r="J190" s="26" t="str">
        <f aca="true">IF(OR(E190="",E190="!!!",F190="NEW"),"",COUNTBLANK(OFFSET(A$1,,,SUMPRODUCT(MAX(ROW(E$2:E188)*(E190=E$2:E188)))))-COUNTBLANK(OFFSET(A$1,,,SUMPRODUCT(MAX(ROW(E$1:E187)*(E190=E$1:E187))))))</f>
        <v/>
      </c>
      <c r="K190" s="26" t="str">
        <f aca="false">IF(OR(E190="",E190="!!!",F190="NEW"),"",INDEX(J$1:J187,SUMPRODUCT(MAX(ROW(E$1:E187)*(E190=E$1:E187)))))</f>
        <v/>
      </c>
      <c r="L190" s="27"/>
    </row>
    <row r="191" customFormat="false" ht="15" hidden="false" customHeight="false" outlineLevel="0" collapsed="false">
      <c r="A191" s="20" t="s">
        <v>320</v>
      </c>
      <c r="E191" s="21"/>
      <c r="F191" s="22"/>
      <c r="G191" s="23"/>
      <c r="H191" s="24"/>
      <c r="I191" s="25" t="str">
        <f aca="false">IF(OR(E191="",E191="!!!",F191="NEW"),"",INDEX(B$2:B188,-1+SUMPRODUCT(MAX(ROW(E$2:E188)*(E191=E$2:E188)))))</f>
        <v/>
      </c>
      <c r="J191" s="26" t="str">
        <f aca="true">IF(OR(E191="",E191="!!!",F191="NEW"),"",COUNTBLANK(OFFSET(A$1,,,SUMPRODUCT(MAX(ROW(E$2:E189)*(E191=E$2:E189)))))-COUNTBLANK(OFFSET(A$1,,,SUMPRODUCT(MAX(ROW(E$1:E188)*(E191=E$1:E188))))))</f>
        <v/>
      </c>
      <c r="K191" s="26" t="str">
        <f aca="false">IF(OR(E191="",E191="!!!",F191="NEW"),"",INDEX(J$1:J188,SUMPRODUCT(MAX(ROW(E$1:E188)*(E191=E$1:E188)))))</f>
        <v/>
      </c>
      <c r="L191" s="27"/>
    </row>
    <row r="192" customFormat="false" ht="15" hidden="false" customHeight="false" outlineLevel="0" collapsed="false">
      <c r="A192" s="20" t="s">
        <v>340</v>
      </c>
      <c r="B192" s="28" t="s">
        <v>196</v>
      </c>
      <c r="C192" s="28" t="s">
        <v>197</v>
      </c>
      <c r="D192" s="28" t="s">
        <v>198</v>
      </c>
      <c r="E192" s="21" t="s">
        <v>314</v>
      </c>
      <c r="F192" s="22" t="s">
        <v>226</v>
      </c>
      <c r="G192" s="23" t="s">
        <v>227</v>
      </c>
      <c r="H192" s="24"/>
      <c r="I192" s="25" t="str">
        <f aca="false">IF(OR(E192="",E192="!!!",F192="NEW"),"",INDEX(B$2:B189,-1+SUMPRODUCT(MAX(ROW(E$2:E189)*(E192=E$2:E189)))))</f>
        <v>other</v>
      </c>
      <c r="J192" s="26" t="n">
        <f aca="true">IF(OR(E192="",E192="!!!",F192="NEW"),"",COUNTBLANK(OFFSET(A$1,,,SUMPRODUCT(MAX(ROW(E$2:E190)*(E192=E$2:E190)))))-COUNTBLANK(OFFSET(A$1,,,SUMPRODUCT(MAX(ROW(E$1:E189)*(E192=E$1:E189))))))</f>
        <v>0</v>
      </c>
      <c r="K192" s="26" t="n">
        <f aca="false">IF(OR(E192="",E192="!!!",F192="NEW"),"",INDEX(J$1:J189,SUMPRODUCT(MAX(ROW(E$1:E189)*(E192=E$1:E189)))))</f>
        <v>0</v>
      </c>
      <c r="L192" s="27"/>
    </row>
    <row r="193" customFormat="false" ht="15" hidden="false" customHeight="false" outlineLevel="0" collapsed="false">
      <c r="A193" s="20" t="s">
        <v>288</v>
      </c>
      <c r="B193" s="28" t="s">
        <v>215</v>
      </c>
      <c r="C193" s="28" t="s">
        <v>251</v>
      </c>
      <c r="E193" s="21"/>
      <c r="F193" s="22"/>
      <c r="G193" s="23"/>
      <c r="H193" s="24"/>
      <c r="I193" s="25" t="str">
        <f aca="false">IF(OR(E193="",E193="!!!",F193="NEW"),"",INDEX(B$2:B190,-1+SUMPRODUCT(MAX(ROW(E$2:E190)*(E193=E$2:E190)))))</f>
        <v/>
      </c>
      <c r="J193" s="26" t="str">
        <f aca="true">IF(OR(E193="",E193="!!!",F193="NEW"),"",COUNTBLANK(OFFSET(A$1,,,SUMPRODUCT(MAX(ROW(E$2:E191)*(E193=E$2:E191)))))-COUNTBLANK(OFFSET(A$1,,,SUMPRODUCT(MAX(ROW(E$1:E190)*(E193=E$1:E190))))))</f>
        <v/>
      </c>
      <c r="K193" s="26" t="str">
        <f aca="false">IF(OR(E193="",E193="!!!",F193="NEW"),"",INDEX(J$1:J190,SUMPRODUCT(MAX(ROW(E$1:E190)*(E193=E$1:E190)))))</f>
        <v/>
      </c>
      <c r="L193" s="27"/>
    </row>
    <row r="194" customFormat="false" ht="15" hidden="false" customHeight="false" outlineLevel="0" collapsed="false">
      <c r="A194" s="20" t="s">
        <v>217</v>
      </c>
      <c r="E194" s="21"/>
      <c r="F194" s="22"/>
      <c r="G194" s="23"/>
      <c r="H194" s="24"/>
      <c r="I194" s="25" t="str">
        <f aca="false">IF(OR(E194="",E194="!!!",F194="NEW"),"",INDEX(B$2:B191,-1+SUMPRODUCT(MAX(ROW(E$2:E191)*(E194=E$2:E191)))))</f>
        <v/>
      </c>
      <c r="J194" s="26" t="str">
        <f aca="true">IF(OR(E194="",E194="!!!",F194="NEW"),"",COUNTBLANK(OFFSET(A$1,,,SUMPRODUCT(MAX(ROW(E$2:E192)*(E194=E$2:E192)))))-COUNTBLANK(OFFSET(A$1,,,SUMPRODUCT(MAX(ROW(E$1:E191)*(E194=E$1:E191))))))</f>
        <v/>
      </c>
      <c r="K194" s="26" t="str">
        <f aca="false">IF(OR(E194="",E194="!!!",F194="NEW"),"",INDEX(J$1:J191,SUMPRODUCT(MAX(ROW(E$1:E191)*(E194=E$1:E191)))))</f>
        <v/>
      </c>
      <c r="L194" s="27"/>
    </row>
    <row r="195" customFormat="false" ht="15" hidden="false" customHeight="false" outlineLevel="0" collapsed="false">
      <c r="A195" s="20" t="s">
        <v>204</v>
      </c>
      <c r="E195" s="21"/>
      <c r="F195" s="22"/>
      <c r="G195" s="23"/>
      <c r="H195" s="24"/>
      <c r="I195" s="25" t="str">
        <f aca="false">IF(OR(E195="",E195="!!!",F195="NEW"),"",INDEX(B$2:B192,-1+SUMPRODUCT(MAX(ROW(E$2:E192)*(E195=E$2:E192)))))</f>
        <v/>
      </c>
      <c r="J195" s="26" t="str">
        <f aca="true">IF(OR(E195="",E195="!!!",F195="NEW"),"",COUNTBLANK(OFFSET(A$1,,,SUMPRODUCT(MAX(ROW(E$2:E193)*(E195=E$2:E193)))))-COUNTBLANK(OFFSET(A$1,,,SUMPRODUCT(MAX(ROW(E$1:E192)*(E195=E$1:E192))))))</f>
        <v/>
      </c>
      <c r="K195" s="26" t="str">
        <f aca="false">IF(OR(E195="",E195="!!!",F195="NEW"),"",INDEX(J$1:J192,SUMPRODUCT(MAX(ROW(E$1:E192)*(E195=E$1:E192)))))</f>
        <v/>
      </c>
      <c r="L195" s="27"/>
    </row>
    <row r="196" customFormat="false" ht="15" hidden="false" customHeight="false" outlineLevel="0" collapsed="false">
      <c r="A196" s="20" t="s">
        <v>205</v>
      </c>
      <c r="B196" s="28" t="s">
        <v>219</v>
      </c>
      <c r="C196" s="28" t="s">
        <v>207</v>
      </c>
      <c r="D196" s="28" t="s">
        <v>198</v>
      </c>
      <c r="E196" s="21" t="s">
        <v>208</v>
      </c>
      <c r="F196" s="22" t="s">
        <v>226</v>
      </c>
      <c r="G196" s="23" t="s">
        <v>201</v>
      </c>
      <c r="H196" s="24"/>
      <c r="I196" s="25" t="str">
        <f aca="false">IF(OR(E196="",E196="!!!",F196="NEW"),"",INDEX(B$2:B193,-1+SUMPRODUCT(MAX(ROW(E$2:E193)*(E196=E$2:E193)))))</f>
        <v>other_3</v>
      </c>
      <c r="J196" s="26" t="n">
        <f aca="true">IF(OR(E196="",E196="!!!",F196="NEW"),"",COUNTBLANK(OFFSET(A$1,,,SUMPRODUCT(MAX(ROW(E$2:E194)*(E196=E$2:E194)))))-COUNTBLANK(OFFSET(A$1,,,SUMPRODUCT(MAX(ROW(E$1:E193)*(E196=E$1:E193))))))</f>
        <v>0</v>
      </c>
      <c r="K196" s="26" t="n">
        <f aca="false">IF(OR(E196="",E196="!!!",F196="NEW"),"",INDEX(J$1:J193,SUMPRODUCT(MAX(ROW(E$1:E193)*(E196=E$1:E193)))))</f>
        <v>0</v>
      </c>
      <c r="L196" s="27"/>
    </row>
    <row r="197" customFormat="false" ht="15" hidden="false" customHeight="false" outlineLevel="0" collapsed="false">
      <c r="A197" s="20" t="s">
        <v>209</v>
      </c>
      <c r="E197" s="21"/>
      <c r="F197" s="22"/>
      <c r="G197" s="23"/>
      <c r="H197" s="24"/>
      <c r="I197" s="25" t="str">
        <f aca="false">IF(OR(E197="",E197="!!!",F197="NEW"),"",INDEX(B$2:B194,-1+SUMPRODUCT(MAX(ROW(E$2:E194)*(E197=E$2:E194)))))</f>
        <v/>
      </c>
      <c r="J197" s="26" t="str">
        <f aca="true">IF(OR(E197="",E197="!!!",F197="NEW"),"",COUNTBLANK(OFFSET(A$1,,,SUMPRODUCT(MAX(ROW(E$2:E195)*(E197=E$2:E195)))))-COUNTBLANK(OFFSET(A$1,,,SUMPRODUCT(MAX(ROW(E$1:E194)*(E197=E$1:E194))))))</f>
        <v/>
      </c>
      <c r="K197" s="26" t="str">
        <f aca="false">IF(OR(E197="",E197="!!!",F197="NEW"),"",INDEX(J$1:J194,SUMPRODUCT(MAX(ROW(E$1:E194)*(E197=E$1:E194)))))</f>
        <v/>
      </c>
      <c r="L197" s="27"/>
    </row>
    <row r="198" customFormat="false" ht="15" hidden="false" customHeight="false" outlineLevel="0" collapsed="false">
      <c r="A198" s="20" t="s">
        <v>213</v>
      </c>
      <c r="E198" s="21"/>
      <c r="F198" s="22"/>
      <c r="G198" s="23"/>
      <c r="H198" s="24"/>
      <c r="I198" s="25" t="str">
        <f aca="false">IF(OR(E198="",E198="!!!",F198="NEW"),"",INDEX(B$2:B195,-1+SUMPRODUCT(MAX(ROW(E$2:E195)*(E198=E$2:E195)))))</f>
        <v/>
      </c>
      <c r="J198" s="26" t="str">
        <f aca="true">IF(OR(E198="",E198="!!!",F198="NEW"),"",COUNTBLANK(OFFSET(A$1,,,SUMPRODUCT(MAX(ROW(E$2:E196)*(E198=E$2:E196)))))-COUNTBLANK(OFFSET(A$1,,,SUMPRODUCT(MAX(ROW(E$1:E195)*(E198=E$1:E195))))))</f>
        <v/>
      </c>
      <c r="K198" s="26" t="str">
        <f aca="false">IF(OR(E198="",E198="!!!",F198="NEW"),"",INDEX(J$1:J195,SUMPRODUCT(MAX(ROW(E$1:E195)*(E198=E$1:E195)))))</f>
        <v/>
      </c>
      <c r="L198" s="27"/>
    </row>
    <row r="199" customFormat="false" ht="15" hidden="false" customHeight="false" outlineLevel="0" collapsed="false">
      <c r="A199" s="20" t="s">
        <v>291</v>
      </c>
      <c r="B199" s="28" t="s">
        <v>219</v>
      </c>
      <c r="C199" s="28" t="s">
        <v>289</v>
      </c>
      <c r="D199" s="28" t="s">
        <v>198</v>
      </c>
      <c r="E199" s="21" t="s">
        <v>314</v>
      </c>
      <c r="F199" s="22" t="s">
        <v>226</v>
      </c>
      <c r="G199" s="23" t="s">
        <v>227</v>
      </c>
      <c r="H199" s="24"/>
      <c r="I199" s="25" t="str">
        <f aca="false">IF(OR(E199="",E199="!!!",F199="NEW"),"",INDEX(B$2:B196,-1+SUMPRODUCT(MAX(ROW(E$2:E196)*(E199=E$2:E196)))))</f>
        <v>SBJ</v>
      </c>
      <c r="J199" s="26" t="n">
        <f aca="true">IF(OR(E199="",E199="!!!",F199="NEW"),"",COUNTBLANK(OFFSET(A$1,,,SUMPRODUCT(MAX(ROW(E$2:E197)*(E199=E$2:E197)))))-COUNTBLANK(OFFSET(A$1,,,SUMPRODUCT(MAX(ROW(E$1:E196)*(E199=E$1:E196))))))</f>
        <v>0</v>
      </c>
      <c r="K199" s="26" t="n">
        <f aca="false">IF(OR(E199="",E199="!!!",F199="NEW"),"",INDEX(J$1:J196,SUMPRODUCT(MAX(ROW(E$1:E196)*(E199=E$1:E196)))))</f>
        <v>0</v>
      </c>
      <c r="L199" s="27"/>
    </row>
    <row r="200" customFormat="false" ht="15" hidden="false" customHeight="false" outlineLevel="0" collapsed="false">
      <c r="A200" s="20" t="s">
        <v>217</v>
      </c>
      <c r="E200" s="21"/>
      <c r="F200" s="22"/>
      <c r="G200" s="23"/>
      <c r="H200" s="24"/>
      <c r="I200" s="25" t="str">
        <f aca="false">IF(OR(E200="",E200="!!!",F200="NEW"),"",INDEX(B$2:B197,-1+SUMPRODUCT(MAX(ROW(E$2:E197)*(E200=E$2:E197)))))</f>
        <v/>
      </c>
      <c r="J200" s="26" t="str">
        <f aca="true">IF(OR(E200="",E200="!!!",F200="NEW"),"",COUNTBLANK(OFFSET(A$1,,,SUMPRODUCT(MAX(ROW(E$2:E198)*(E200=E$2:E198)))))-COUNTBLANK(OFFSET(A$1,,,SUMPRODUCT(MAX(ROW(E$1:E197)*(E200=E$1:E197))))))</f>
        <v/>
      </c>
      <c r="K200" s="26" t="str">
        <f aca="false">IF(OR(E200="",E200="!!!",F200="NEW"),"",INDEX(J$1:J197,SUMPRODUCT(MAX(ROW(E$1:E197)*(E200=E$1:E197)))))</f>
        <v/>
      </c>
      <c r="L200" s="27"/>
    </row>
    <row r="201" customFormat="false" ht="15" hidden="false" customHeight="false" outlineLevel="0" collapsed="false">
      <c r="A201" s="20" t="s">
        <v>341</v>
      </c>
      <c r="B201" s="28" t="s">
        <v>310</v>
      </c>
      <c r="C201" s="28" t="s">
        <v>223</v>
      </c>
      <c r="D201" s="28" t="s">
        <v>198</v>
      </c>
      <c r="E201" s="21" t="s">
        <v>341</v>
      </c>
      <c r="F201" s="22" t="s">
        <v>200</v>
      </c>
      <c r="G201" s="23" t="s">
        <v>201</v>
      </c>
      <c r="H201" s="24"/>
      <c r="I201" s="25" t="str">
        <f aca="false">IF(OR(E201="",E201="!!!",F201="NEW"),"",INDEX(B$2:B198,-1+SUMPRODUCT(MAX(ROW(E$2:E198)*(E201=E$2:E198)))))</f>
        <v/>
      </c>
      <c r="J201" s="26" t="str">
        <f aca="true">IF(OR(E201="",E201="!!!",F201="NEW"),"",COUNTBLANK(OFFSET(A$1,,,SUMPRODUCT(MAX(ROW(E$2:E199)*(E201=E$2:E199)))))-COUNTBLANK(OFFSET(A$1,,,SUMPRODUCT(MAX(ROW(E$1:E198)*(E201=E$1:E198))))))</f>
        <v/>
      </c>
      <c r="K201" s="26" t="str">
        <f aca="false">IF(OR(E201="",E201="!!!",F201="NEW"),"",INDEX(J$1:J198,SUMPRODUCT(MAX(ROW(E$1:E198)*(E201=E$1:E198)))))</f>
        <v/>
      </c>
      <c r="L201" s="27"/>
    </row>
    <row r="202" customFormat="false" ht="15" hidden="false" customHeight="false" outlineLevel="0" collapsed="false">
      <c r="A202" s="20" t="s">
        <v>209</v>
      </c>
      <c r="E202" s="21"/>
      <c r="F202" s="22"/>
      <c r="G202" s="23"/>
      <c r="H202" s="24"/>
      <c r="I202" s="25" t="str">
        <f aca="false">IF(OR(E202="",E202="!!!",F202="NEW"),"",INDEX(B$2:B199,-1+SUMPRODUCT(MAX(ROW(E$2:E199)*(E202=E$2:E199)))))</f>
        <v/>
      </c>
      <c r="J202" s="26" t="str">
        <f aca="true">IF(OR(E202="",E202="!!!",F202="NEW"),"",COUNTBLANK(OFFSET(A$1,,,SUMPRODUCT(MAX(ROW(E$2:E200)*(E202=E$2:E200)))))-COUNTBLANK(OFFSET(A$1,,,SUMPRODUCT(MAX(ROW(E$1:E199)*(E202=E$1:E199))))))</f>
        <v/>
      </c>
      <c r="K202" s="26" t="str">
        <f aca="false">IF(OR(E202="",E202="!!!",F202="NEW"),"",INDEX(J$1:J199,SUMPRODUCT(MAX(ROW(E$1:E199)*(E202=E$1:E199)))))</f>
        <v/>
      </c>
      <c r="L202" s="27"/>
    </row>
    <row r="203" customFormat="false" ht="15" hidden="false" customHeight="false" outlineLevel="0" collapsed="false">
      <c r="A203" s="20"/>
    </row>
    <row r="204" customFormat="false" ht="15" hidden="false" customHeight="false" outlineLevel="0" collapsed="false">
      <c r="A204" s="20" t="s">
        <v>342</v>
      </c>
    </row>
    <row r="205" customFormat="false" ht="15" hidden="false" customHeight="false" outlineLevel="0" collapsed="false">
      <c r="A205" s="20" t="s">
        <v>343</v>
      </c>
      <c r="E205" s="21"/>
      <c r="F205" s="22"/>
      <c r="G205" s="23"/>
      <c r="H205" s="24"/>
      <c r="I205" s="25" t="str">
        <f aca="false">IF(OR(E205="",E205="!!!",F205="NEW"),"",INDEX(B$2:B200,-1+SUMPRODUCT(MAX(ROW(E$2:E200)*(E205=E$2:E200)))))</f>
        <v/>
      </c>
      <c r="J205" s="26" t="str">
        <f aca="true">IF(OR(E205="",E205="!!!",F205="NEW"),"",COUNTBLANK(OFFSET(A$1,,,SUMPRODUCT(MAX(ROW(E$2:E201)*(E205=E$2:E201)))))-COUNTBLANK(OFFSET(A$1,,,SUMPRODUCT(MAX(ROW(E$1:E200)*(E205=E$1:E200))))))</f>
        <v/>
      </c>
      <c r="K205" s="26" t="str">
        <f aca="false">IF(OR(E205="",E205="!!!",F205="NEW"),"",INDEX(J$1:J200,SUMPRODUCT(MAX(ROW(E$1:E200)*(E205=E$1:E200)))))</f>
        <v/>
      </c>
      <c r="L205" s="27"/>
    </row>
    <row r="206" customFormat="false" ht="15" hidden="false" customHeight="false" outlineLevel="0" collapsed="false">
      <c r="A206" s="20" t="s">
        <v>344</v>
      </c>
      <c r="B206" s="28" t="s">
        <v>222</v>
      </c>
      <c r="C206" s="28" t="s">
        <v>197</v>
      </c>
      <c r="D206" s="28" t="s">
        <v>198</v>
      </c>
      <c r="E206" s="21" t="s">
        <v>199</v>
      </c>
      <c r="F206" s="22" t="s">
        <v>226</v>
      </c>
      <c r="G206" s="23" t="s">
        <v>247</v>
      </c>
      <c r="H206" s="24"/>
      <c r="I206" s="25" t="str">
        <f aca="false">IF(OR(E206="",E206="!!!",F206="NEW"),"",INDEX(B$2:B201,-1+SUMPRODUCT(MAX(ROW(E$2:E201)*(E206=E$2:E201)))))</f>
        <v>SBJ_2</v>
      </c>
      <c r="J206" s="26" t="n">
        <f aca="true">IF(OR(E206="",E206="!!!",F206="NEW"),"",COUNTBLANK(OFFSET(A$1,,,SUMPRODUCT(MAX(ROW(E$2:E202)*(E206=E$2:E202)))))-COUNTBLANK(OFFSET(A$1,,,SUMPRODUCT(MAX(ROW(E$1:E201)*(E206=E$1:E201))))))</f>
        <v>0</v>
      </c>
      <c r="K206" s="26" t="n">
        <f aca="false">IF(OR(E206="",E206="!!!",F206="NEW"),"",INDEX(J$1:J201,SUMPRODUCT(MAX(ROW(E$1:E201)*(E206=E$1:E201)))))</f>
        <v>0</v>
      </c>
      <c r="L206" s="27"/>
    </row>
    <row r="207" customFormat="false" ht="15" hidden="false" customHeight="false" outlineLevel="0" collapsed="false">
      <c r="A207" s="20" t="s">
        <v>345</v>
      </c>
      <c r="E207" s="21"/>
      <c r="F207" s="22"/>
      <c r="G207" s="23"/>
      <c r="H207" s="24"/>
      <c r="I207" s="25" t="str">
        <f aca="false">IF(OR(E207="",E207="!!!",F207="NEW"),"",INDEX(B$2:B202,-1+SUMPRODUCT(MAX(ROW(E$2:E202)*(E207=E$2:E202)))))</f>
        <v/>
      </c>
      <c r="J207" s="26" t="str">
        <f aca="true">IF(OR(E207="",E207="!!!",F207="NEW"),"",COUNTBLANK(OFFSET(A$1,,,SUMPRODUCT(MAX(ROW(E$2:E203)*(E207=E$2:E203)))))-COUNTBLANK(OFFSET(A$1,,,SUMPRODUCT(MAX(ROW(E$1:E202)*(E207=E$1:E202))))))</f>
        <v/>
      </c>
      <c r="K207" s="26" t="str">
        <f aca="false">IF(OR(E207="",E207="!!!",F207="NEW"),"",INDEX(J$1:J202,SUMPRODUCT(MAX(ROW(E$1:E202)*(E207=E$1:E202)))))</f>
        <v/>
      </c>
      <c r="L207" s="27"/>
    </row>
    <row r="208" customFormat="false" ht="15" hidden="false" customHeight="false" outlineLevel="0" collapsed="false">
      <c r="A208" s="20" t="s">
        <v>346</v>
      </c>
      <c r="E208" s="21"/>
      <c r="F208" s="22"/>
      <c r="G208" s="23"/>
      <c r="H208" s="24"/>
      <c r="I208" s="25" t="str">
        <f aca="false">IF(OR(E208="",E208="!!!",F208="NEW"),"",INDEX(B$2:B203,-1+SUMPRODUCT(MAX(ROW(E$2:E203)*(E208=E$2:E203)))))</f>
        <v/>
      </c>
      <c r="J208" s="26" t="str">
        <f aca="true">IF(OR(E208="",E208="!!!",F208="NEW"),"",COUNTBLANK(OFFSET(A$1,,,SUMPRODUCT(MAX(ROW(E$2:E204)*(E208=E$2:E204)))))-COUNTBLANK(OFFSET(A$1,,,SUMPRODUCT(MAX(ROW(E$1:E203)*(E208=E$1:E203))))))</f>
        <v/>
      </c>
      <c r="K208" s="26" t="str">
        <f aca="false">IF(OR(E208="",E208="!!!",F208="NEW"),"",INDEX(J$1:J203,SUMPRODUCT(MAX(ROW(E$1:E203)*(E208=E$1:E203)))))</f>
        <v/>
      </c>
      <c r="L208" s="27"/>
    </row>
    <row r="209" customFormat="false" ht="15" hidden="false" customHeight="false" outlineLevel="0" collapsed="false">
      <c r="A209" s="20" t="s">
        <v>347</v>
      </c>
      <c r="B209" s="28" t="s">
        <v>215</v>
      </c>
      <c r="C209" s="28" t="s">
        <v>251</v>
      </c>
      <c r="E209" s="21"/>
      <c r="F209" s="22"/>
      <c r="G209" s="23"/>
      <c r="H209" s="24"/>
      <c r="I209" s="25" t="str">
        <f aca="false">IF(OR(E209="",E209="!!!",F209="NEW"),"",INDEX(B$2:B204,-1+SUMPRODUCT(MAX(ROW(E$2:E204)*(E209=E$2:E204)))))</f>
        <v/>
      </c>
      <c r="J209" s="26" t="str">
        <f aca="true">IF(OR(E209="",E209="!!!",F209="NEW"),"",COUNTBLANK(OFFSET(A$1,,,SUMPRODUCT(MAX(ROW(E$2:E205)*(E209=E$2:E205)))))-COUNTBLANK(OFFSET(A$1,,,SUMPRODUCT(MAX(ROW(E$1:E204)*(E209=E$1:E204))))))</f>
        <v/>
      </c>
      <c r="K209" s="26" t="str">
        <f aca="false">IF(OR(E209="",E209="!!!",F209="NEW"),"",INDEX(J$1:J204,SUMPRODUCT(MAX(ROW(E$1:E204)*(E209=E$1:E204)))))</f>
        <v/>
      </c>
      <c r="L209" s="27"/>
    </row>
    <row r="210" customFormat="false" ht="15" hidden="false" customHeight="false" outlineLevel="0" collapsed="false">
      <c r="A210" s="20" t="s">
        <v>348</v>
      </c>
      <c r="E210" s="21"/>
      <c r="F210" s="22"/>
      <c r="G210" s="23"/>
      <c r="H210" s="24"/>
      <c r="I210" s="25" t="str">
        <f aca="false">IF(OR(E210="",E210="!!!",F210="NEW"),"",INDEX(B$2:B205,-1+SUMPRODUCT(MAX(ROW(E$2:E205)*(E210=E$2:E205)))))</f>
        <v/>
      </c>
      <c r="J210" s="26" t="str">
        <f aca="true">IF(OR(E210="",E210="!!!",F210="NEW"),"",COUNTBLANK(OFFSET(A$1,,,SUMPRODUCT(MAX(ROW(E$2:E206)*(E210=E$2:E206)))))-COUNTBLANK(OFFSET(A$1,,,SUMPRODUCT(MAX(ROW(E$1:E205)*(E210=E$1:E205))))))</f>
        <v/>
      </c>
      <c r="K210" s="26" t="str">
        <f aca="false">IF(OR(E210="",E210="!!!",F210="NEW"),"",INDEX(J$1:J205,SUMPRODUCT(MAX(ROW(E$1:E205)*(E210=E$1:E205)))))</f>
        <v/>
      </c>
      <c r="L210" s="27"/>
    </row>
    <row r="211" customFormat="false" ht="15" hidden="false" customHeight="false" outlineLevel="0" collapsed="false">
      <c r="A211" s="20" t="s">
        <v>349</v>
      </c>
      <c r="E211" s="21"/>
      <c r="F211" s="22"/>
      <c r="G211" s="23"/>
      <c r="H211" s="24"/>
      <c r="I211" s="25" t="str">
        <f aca="false">IF(OR(E211="",E211="!!!",F211="NEW"),"",INDEX(B$2:B206,-1+SUMPRODUCT(MAX(ROW(E$2:E206)*(E211=E$2:E206)))))</f>
        <v/>
      </c>
      <c r="J211" s="26" t="str">
        <f aca="true">IF(OR(E211="",E211="!!!",F211="NEW"),"",COUNTBLANK(OFFSET(A$1,,,SUMPRODUCT(MAX(ROW(E$2:E207)*(E211=E$2:E207)))))-COUNTBLANK(OFFSET(A$1,,,SUMPRODUCT(MAX(ROW(E$1:E206)*(E211=E$1:E206))))))</f>
        <v/>
      </c>
      <c r="K211" s="26" t="str">
        <f aca="false">IF(OR(E211="",E211="!!!",F211="NEW"),"",INDEX(J$1:J206,SUMPRODUCT(MAX(ROW(E$1:E206)*(E211=E$1:E206)))))</f>
        <v/>
      </c>
      <c r="L211" s="27"/>
    </row>
    <row r="212" customFormat="false" ht="15" hidden="false" customHeight="false" outlineLevel="0" collapsed="false">
      <c r="A212" s="20" t="s">
        <v>350</v>
      </c>
      <c r="E212" s="21"/>
      <c r="F212" s="22"/>
      <c r="G212" s="23"/>
      <c r="H212" s="24"/>
      <c r="I212" s="25" t="str">
        <f aca="false">IF(OR(E212="",E212="!!!",F212="NEW"),"",INDEX(B$2:B207,-1+SUMPRODUCT(MAX(ROW(E$2:E207)*(E212=E$2:E207)))))</f>
        <v/>
      </c>
      <c r="J212" s="26" t="str">
        <f aca="true">IF(OR(E212="",E212="!!!",F212="NEW"),"",COUNTBLANK(OFFSET(A$1,,,SUMPRODUCT(MAX(ROW(E$2:E208)*(E212=E$2:E208)))))-COUNTBLANK(OFFSET(A$1,,,SUMPRODUCT(MAX(ROW(E$1:E207)*(E212=E$1:E207))))))</f>
        <v/>
      </c>
      <c r="K212" s="26" t="str">
        <f aca="false">IF(OR(E212="",E212="!!!",F212="NEW"),"",INDEX(J$1:J207,SUMPRODUCT(MAX(ROW(E$1:E207)*(E212=E$1:E207)))))</f>
        <v/>
      </c>
      <c r="L212" s="27"/>
    </row>
    <row r="213" customFormat="false" ht="15" hidden="false" customHeight="false" outlineLevel="0" collapsed="false">
      <c r="A213" s="20" t="s">
        <v>351</v>
      </c>
      <c r="B213" s="28" t="s">
        <v>215</v>
      </c>
      <c r="C213" s="28" t="s">
        <v>352</v>
      </c>
      <c r="E213" s="21"/>
      <c r="F213" s="22"/>
      <c r="G213" s="23"/>
      <c r="H213" s="24"/>
      <c r="I213" s="25" t="str">
        <f aca="false">IF(OR(E213="",E213="!!!",F213="NEW"),"",INDEX(B$2:B208,-1+SUMPRODUCT(MAX(ROW(E$2:E208)*(E213=E$2:E208)))))</f>
        <v/>
      </c>
      <c r="J213" s="26" t="str">
        <f aca="true">IF(OR(E213="",E213="!!!",F213="NEW"),"",COUNTBLANK(OFFSET(A$1,,,SUMPRODUCT(MAX(ROW(E$2:E209)*(E213=E$2:E209)))))-COUNTBLANK(OFFSET(A$1,,,SUMPRODUCT(MAX(ROW(E$1:E208)*(E213=E$1:E208))))))</f>
        <v/>
      </c>
      <c r="K213" s="26" t="str">
        <f aca="false">IF(OR(E213="",E213="!!!",F213="NEW"),"",INDEX(J$1:J208,SUMPRODUCT(MAX(ROW(E$1:E208)*(E213=E$1:E208)))))</f>
        <v/>
      </c>
      <c r="L213" s="27"/>
    </row>
    <row r="214" customFormat="false" ht="15" hidden="false" customHeight="false" outlineLevel="0" collapsed="false">
      <c r="A214" s="20" t="s">
        <v>329</v>
      </c>
      <c r="E214" s="21"/>
      <c r="F214" s="22"/>
      <c r="G214" s="23"/>
      <c r="H214" s="24"/>
      <c r="I214" s="25" t="str">
        <f aca="false">IF(OR(E214="",E214="!!!",F214="NEW"),"",INDEX(B$2:B209,-1+SUMPRODUCT(MAX(ROW(E$2:E209)*(E214=E$2:E209)))))</f>
        <v/>
      </c>
      <c r="J214" s="26" t="str">
        <f aca="true">IF(OR(E214="",E214="!!!",F214="NEW"),"",COUNTBLANK(OFFSET(A$1,,,SUMPRODUCT(MAX(ROW(E$2:E210)*(E214=E$2:E210)))))-COUNTBLANK(OFFSET(A$1,,,SUMPRODUCT(MAX(ROW(E$1:E209)*(E214=E$1:E209))))))</f>
        <v/>
      </c>
      <c r="K214" s="26" t="str">
        <f aca="false">IF(OR(E214="",E214="!!!",F214="NEW"),"",INDEX(J$1:J209,SUMPRODUCT(MAX(ROW(E$1:E209)*(E214=E$1:E209)))))</f>
        <v/>
      </c>
      <c r="L214" s="27"/>
    </row>
    <row r="215" customFormat="false" ht="15" hidden="false" customHeight="false" outlineLevel="0" collapsed="false">
      <c r="A215" s="20" t="s">
        <v>203</v>
      </c>
      <c r="E215" s="21"/>
      <c r="F215" s="22"/>
      <c r="G215" s="23"/>
      <c r="H215" s="24"/>
      <c r="I215" s="25" t="str">
        <f aca="false">IF(OR(E215="",E215="!!!",F215="NEW"),"",INDEX(B$2:B210,-1+SUMPRODUCT(MAX(ROW(E$2:E210)*(E215=E$2:E210)))))</f>
        <v/>
      </c>
      <c r="J215" s="26" t="str">
        <f aca="true">IF(OR(E215="",E215="!!!",F215="NEW"),"",COUNTBLANK(OFFSET(A$1,,,SUMPRODUCT(MAX(ROW(E$2:E211)*(E215=E$2:E211)))))-COUNTBLANK(OFFSET(A$1,,,SUMPRODUCT(MAX(ROW(E$1:E210)*(E215=E$1:E210))))))</f>
        <v/>
      </c>
      <c r="K215" s="26" t="str">
        <f aca="false">IF(OR(E215="",E215="!!!",F215="NEW"),"",INDEX(J$1:J210,SUMPRODUCT(MAX(ROW(E$1:E210)*(E215=E$1:E210)))))</f>
        <v/>
      </c>
      <c r="L215" s="27"/>
    </row>
    <row r="216" customFormat="false" ht="15" hidden="false" customHeight="false" outlineLevel="0" collapsed="false">
      <c r="A216" s="20" t="s">
        <v>349</v>
      </c>
      <c r="E216" s="21"/>
      <c r="F216" s="22"/>
      <c r="G216" s="23"/>
      <c r="H216" s="24"/>
      <c r="I216" s="25" t="str">
        <f aca="false">IF(OR(E216="",E216="!!!",F216="NEW"),"",INDEX(B$2:B211,-1+SUMPRODUCT(MAX(ROW(E$2:E211)*(E216=E$2:E211)))))</f>
        <v/>
      </c>
      <c r="J216" s="26" t="str">
        <f aca="true">IF(OR(E216="",E216="!!!",F216="NEW"),"",COUNTBLANK(OFFSET(A$1,,,SUMPRODUCT(MAX(ROW(E$2:E212)*(E216=E$2:E212)))))-COUNTBLANK(OFFSET(A$1,,,SUMPRODUCT(MAX(ROW(E$1:E211)*(E216=E$1:E211))))))</f>
        <v/>
      </c>
      <c r="K216" s="26" t="str">
        <f aca="false">IF(OR(E216="",E216="!!!",F216="NEW"),"",INDEX(J$1:J211,SUMPRODUCT(MAX(ROW(E$1:E211)*(E216=E$1:E211)))))</f>
        <v/>
      </c>
      <c r="L216" s="27"/>
    </row>
    <row r="217" customFormat="false" ht="15" hidden="false" customHeight="false" outlineLevel="0" collapsed="false">
      <c r="A217" s="20" t="s">
        <v>353</v>
      </c>
      <c r="E217" s="21"/>
      <c r="F217" s="22"/>
      <c r="G217" s="23"/>
      <c r="H217" s="24"/>
      <c r="I217" s="25" t="str">
        <f aca="false">IF(OR(E217="",E217="!!!",F217="NEW"),"",INDEX(B$2:B212,-1+SUMPRODUCT(MAX(ROW(E$2:E212)*(E217=E$2:E212)))))</f>
        <v/>
      </c>
      <c r="J217" s="26" t="str">
        <f aca="true">IF(OR(E217="",E217="!!!",F217="NEW"),"",COUNTBLANK(OFFSET(A$1,,,SUMPRODUCT(MAX(ROW(E$2:E213)*(E217=E$2:E213)))))-COUNTBLANK(OFFSET(A$1,,,SUMPRODUCT(MAX(ROW(E$1:E212)*(E217=E$1:E212))))))</f>
        <v/>
      </c>
      <c r="K217" s="26" t="str">
        <f aca="false">IF(OR(E217="",E217="!!!",F217="NEW"),"",INDEX(J$1:J212,SUMPRODUCT(MAX(ROW(E$1:E212)*(E217=E$1:E212)))))</f>
        <v/>
      </c>
      <c r="L217" s="27"/>
    </row>
    <row r="218" customFormat="false" ht="15" hidden="false" customHeight="false" outlineLevel="0" collapsed="false">
      <c r="A218" s="20" t="s">
        <v>354</v>
      </c>
      <c r="B218" s="28" t="s">
        <v>310</v>
      </c>
      <c r="C218" s="28" t="s">
        <v>352</v>
      </c>
      <c r="E218" s="21"/>
      <c r="F218" s="22"/>
      <c r="G218" s="23"/>
      <c r="H218" s="24"/>
      <c r="I218" s="25" t="str">
        <f aca="false">IF(OR(E218="",E218="!!!",F218="NEW"),"",INDEX(B$2:B213,-1+SUMPRODUCT(MAX(ROW(E$2:E213)*(E218=E$2:E213)))))</f>
        <v/>
      </c>
      <c r="J218" s="26" t="str">
        <f aca="true">IF(OR(E218="",E218="!!!",F218="NEW"),"",COUNTBLANK(OFFSET(A$1,,,SUMPRODUCT(MAX(ROW(E$2:E214)*(E218=E$2:E214)))))-COUNTBLANK(OFFSET(A$1,,,SUMPRODUCT(MAX(ROW(E$1:E213)*(E218=E$1:E213))))))</f>
        <v/>
      </c>
      <c r="K218" s="26" t="str">
        <f aca="false">IF(OR(E218="",E218="!!!",F218="NEW"),"",INDEX(J$1:J213,SUMPRODUCT(MAX(ROW(E$1:E213)*(E218=E$1:E213)))))</f>
        <v/>
      </c>
      <c r="L218" s="27"/>
    </row>
    <row r="219" customFormat="false" ht="15" hidden="false" customHeight="false" outlineLevel="0" collapsed="false">
      <c r="A219" s="20" t="s">
        <v>209</v>
      </c>
      <c r="E219" s="21"/>
      <c r="F219" s="22"/>
      <c r="G219" s="23"/>
      <c r="H219" s="24"/>
      <c r="I219" s="25" t="str">
        <f aca="false">IF(OR(E219="",E219="!!!",F219="NEW"),"",INDEX(B$2:B214,-1+SUMPRODUCT(MAX(ROW(E$2:E214)*(E219=E$2:E214)))))</f>
        <v/>
      </c>
      <c r="J219" s="26" t="str">
        <f aca="true">IF(OR(E219="",E219="!!!",F219="NEW"),"",COUNTBLANK(OFFSET(A$1,,,SUMPRODUCT(MAX(ROW(E$2:E215)*(E219=E$2:E215)))))-COUNTBLANK(OFFSET(A$1,,,SUMPRODUCT(MAX(ROW(E$1:E214)*(E219=E$1:E214))))))</f>
        <v/>
      </c>
      <c r="K219" s="26" t="str">
        <f aca="false">IF(OR(E219="",E219="!!!",F219="NEW"),"",INDEX(J$1:J214,SUMPRODUCT(MAX(ROW(E$1:E214)*(E219=E$1:E214)))))</f>
        <v/>
      </c>
      <c r="L219" s="27"/>
    </row>
    <row r="220" customFormat="false" ht="15" hidden="false" customHeight="false" outlineLevel="0" collapsed="false">
      <c r="A220" s="20" t="s">
        <v>355</v>
      </c>
      <c r="E220" s="21"/>
      <c r="F220" s="22"/>
      <c r="G220" s="23"/>
      <c r="H220" s="24"/>
      <c r="I220" s="25" t="str">
        <f aca="false">IF(OR(E220="",E220="!!!",F220="NEW"),"",INDEX(B$2:B215,-1+SUMPRODUCT(MAX(ROW(E$2:E215)*(E220=E$2:E215)))))</f>
        <v/>
      </c>
      <c r="J220" s="26" t="str">
        <f aca="true">IF(OR(E220="",E220="!!!",F220="NEW"),"",COUNTBLANK(OFFSET(A$1,,,SUMPRODUCT(MAX(ROW(E$2:E216)*(E220=E$2:E216)))))-COUNTBLANK(OFFSET(A$1,,,SUMPRODUCT(MAX(ROW(E$1:E215)*(E220=E$1:E215))))))</f>
        <v/>
      </c>
      <c r="K220" s="26" t="str">
        <f aca="false">IF(OR(E220="",E220="!!!",F220="NEW"),"",INDEX(J$1:J215,SUMPRODUCT(MAX(ROW(E$1:E215)*(E220=E$1:E215)))))</f>
        <v/>
      </c>
      <c r="L220" s="27"/>
    </row>
    <row r="221" customFormat="false" ht="15" hidden="false" customHeight="false" outlineLevel="0" collapsed="false">
      <c r="A221" s="20" t="s">
        <v>322</v>
      </c>
      <c r="B221" s="28" t="s">
        <v>196</v>
      </c>
      <c r="C221" s="28" t="s">
        <v>323</v>
      </c>
      <c r="E221" s="21"/>
      <c r="F221" s="22"/>
      <c r="G221" s="23"/>
      <c r="H221" s="24"/>
      <c r="I221" s="25" t="str">
        <f aca="false">IF(OR(E221="",E221="!!!",F221="NEW"),"",INDEX(B$2:B216,-1+SUMPRODUCT(MAX(ROW(E$2:E216)*(E221=E$2:E216)))))</f>
        <v/>
      </c>
      <c r="J221" s="26" t="str">
        <f aca="true">IF(OR(E221="",E221="!!!",F221="NEW"),"",COUNTBLANK(OFFSET(A$1,,,SUMPRODUCT(MAX(ROW(E$2:E217)*(E221=E$2:E217)))))-COUNTBLANK(OFFSET(A$1,,,SUMPRODUCT(MAX(ROW(E$1:E216)*(E221=E$1:E216))))))</f>
        <v/>
      </c>
      <c r="K221" s="26" t="str">
        <f aca="false">IF(OR(E221="",E221="!!!",F221="NEW"),"",INDEX(J$1:J216,SUMPRODUCT(MAX(ROW(E$1:E216)*(E221=E$1:E216)))))</f>
        <v/>
      </c>
      <c r="L221" s="27"/>
    </row>
    <row r="222" customFormat="false" ht="15" hidden="false" customHeight="false" outlineLevel="0" collapsed="false">
      <c r="A222" s="20" t="s">
        <v>356</v>
      </c>
      <c r="E222" s="21"/>
      <c r="F222" s="22"/>
      <c r="G222" s="23"/>
      <c r="H222" s="24"/>
      <c r="I222" s="25" t="str">
        <f aca="false">IF(OR(E222="",E222="!!!",F222="NEW"),"",INDEX(B$2:B217,-1+SUMPRODUCT(MAX(ROW(E$2:E217)*(E222=E$2:E217)))))</f>
        <v/>
      </c>
      <c r="J222" s="26" t="str">
        <f aca="true">IF(OR(E222="",E222="!!!",F222="NEW"),"",COUNTBLANK(OFFSET(A$1,,,SUMPRODUCT(MAX(ROW(E$2:E218)*(E222=E$2:E218)))))-COUNTBLANK(OFFSET(A$1,,,SUMPRODUCT(MAX(ROW(E$1:E217)*(E222=E$1:E217))))))</f>
        <v/>
      </c>
      <c r="K222" s="26" t="str">
        <f aca="false">IF(OR(E222="",E222="!!!",F222="NEW"),"",INDEX(J$1:J217,SUMPRODUCT(MAX(ROW(E$1:E217)*(E222=E$1:E217)))))</f>
        <v/>
      </c>
      <c r="L222" s="27"/>
    </row>
    <row r="223" customFormat="false" ht="15" hidden="false" customHeight="false" outlineLevel="0" collapsed="false">
      <c r="A223" s="20" t="s">
        <v>330</v>
      </c>
      <c r="E223" s="21"/>
      <c r="F223" s="22"/>
      <c r="G223" s="23"/>
      <c r="H223" s="24"/>
      <c r="I223" s="25" t="str">
        <f aca="false">IF(OR(E223="",E223="!!!",F223="NEW"),"",INDEX(B$2:B218,-1+SUMPRODUCT(MAX(ROW(E$2:E218)*(E223=E$2:E218)))))</f>
        <v/>
      </c>
      <c r="J223" s="26" t="str">
        <f aca="true">IF(OR(E223="",E223="!!!",F223="NEW"),"",COUNTBLANK(OFFSET(A$1,,,SUMPRODUCT(MAX(ROW(E$2:E219)*(E223=E$2:E219)))))-COUNTBLANK(OFFSET(A$1,,,SUMPRODUCT(MAX(ROW(E$1:E218)*(E223=E$1:E218))))))</f>
        <v/>
      </c>
      <c r="K223" s="26" t="str">
        <f aca="false">IF(OR(E223="",E223="!!!",F223="NEW"),"",INDEX(J$1:J218,SUMPRODUCT(MAX(ROW(E$1:E218)*(E223=E$1:E218)))))</f>
        <v/>
      </c>
      <c r="L223" s="27"/>
    </row>
    <row r="224" customFormat="false" ht="15" hidden="false" customHeight="false" outlineLevel="0" collapsed="false">
      <c r="A224" s="20" t="s">
        <v>354</v>
      </c>
      <c r="B224" s="28" t="s">
        <v>240</v>
      </c>
      <c r="C224" s="28" t="s">
        <v>357</v>
      </c>
      <c r="D224" s="28" t="s">
        <v>198</v>
      </c>
      <c r="E224" s="21" t="s">
        <v>358</v>
      </c>
      <c r="F224" s="22" t="s">
        <v>200</v>
      </c>
      <c r="G224" s="23" t="s">
        <v>201</v>
      </c>
      <c r="H224" s="24"/>
      <c r="I224" s="25" t="str">
        <f aca="false">IF(OR(E224="",E224="!!!",F224="NEW"),"",INDEX(B$2:B219,-1+SUMPRODUCT(MAX(ROW(E$2:E219)*(E224=E$2:E219)))))</f>
        <v/>
      </c>
      <c r="J224" s="26" t="str">
        <f aca="true">IF(OR(E224="",E224="!!!",F224="NEW"),"",COUNTBLANK(OFFSET(A$1,,,SUMPRODUCT(MAX(ROW(E$2:E220)*(E224=E$2:E220)))))-COUNTBLANK(OFFSET(A$1,,,SUMPRODUCT(MAX(ROW(E$1:E219)*(E224=E$1:E219))))))</f>
        <v/>
      </c>
      <c r="K224" s="26" t="str">
        <f aca="false">IF(OR(E224="",E224="!!!",F224="NEW"),"",INDEX(J$1:J219,SUMPRODUCT(MAX(ROW(E$1:E219)*(E224=E$1:E219)))))</f>
        <v/>
      </c>
      <c r="L224" s="27"/>
    </row>
    <row r="225" customFormat="false" ht="15" hidden="false" customHeight="false" outlineLevel="0" collapsed="false">
      <c r="A225" s="20" t="s">
        <v>359</v>
      </c>
      <c r="E225" s="21"/>
      <c r="F225" s="22"/>
      <c r="G225" s="23"/>
      <c r="H225" s="24"/>
      <c r="I225" s="25" t="str">
        <f aca="false">IF(OR(E225="",E225="!!!",F225="NEW"),"",INDEX(B$2:B220,-1+SUMPRODUCT(MAX(ROW(E$2:E220)*(E225=E$2:E220)))))</f>
        <v/>
      </c>
      <c r="J225" s="26" t="str">
        <f aca="true">IF(OR(E225="",E225="!!!",F225="NEW"),"",COUNTBLANK(OFFSET(A$1,,,SUMPRODUCT(MAX(ROW(E$2:E221)*(E225=E$2:E221)))))-COUNTBLANK(OFFSET(A$1,,,SUMPRODUCT(MAX(ROW(E$1:E220)*(E225=E$1:E220))))))</f>
        <v/>
      </c>
      <c r="K225" s="26" t="str">
        <f aca="false">IF(OR(E225="",E225="!!!",F225="NEW"),"",INDEX(J$1:J220,SUMPRODUCT(MAX(ROW(E$1:E220)*(E225=E$1:E220)))))</f>
        <v/>
      </c>
      <c r="L225" s="27"/>
    </row>
    <row r="226" customFormat="false" ht="15" hidden="false" customHeight="false" outlineLevel="0" collapsed="false">
      <c r="A226" s="20" t="s">
        <v>360</v>
      </c>
      <c r="E226" s="21"/>
      <c r="F226" s="22"/>
      <c r="G226" s="23"/>
      <c r="H226" s="24"/>
      <c r="I226" s="25" t="str">
        <f aca="false">IF(OR(E226="",E226="!!!",F226="NEW"),"",INDEX(B$2:B221,-1+SUMPRODUCT(MAX(ROW(E$2:E221)*(E226=E$2:E221)))))</f>
        <v/>
      </c>
      <c r="J226" s="26" t="str">
        <f aca="true">IF(OR(E226="",E226="!!!",F226="NEW"),"",COUNTBLANK(OFFSET(A$1,,,SUMPRODUCT(MAX(ROW(E$2:E222)*(E226=E$2:E222)))))-COUNTBLANK(OFFSET(A$1,,,SUMPRODUCT(MAX(ROW(E$1:E221)*(E226=E$1:E221))))))</f>
        <v/>
      </c>
      <c r="K226" s="26" t="str">
        <f aca="false">IF(OR(E226="",E226="!!!",F226="NEW"),"",INDEX(J$1:J221,SUMPRODUCT(MAX(ROW(E$1:E221)*(E226=E$1:E221)))))</f>
        <v/>
      </c>
      <c r="L226" s="27"/>
    </row>
    <row r="227" customFormat="false" ht="15" hidden="false" customHeight="false" outlineLevel="0" collapsed="false">
      <c r="A227" s="20" t="s">
        <v>361</v>
      </c>
      <c r="E227" s="21"/>
      <c r="F227" s="22"/>
      <c r="G227" s="23"/>
      <c r="H227" s="24"/>
      <c r="I227" s="25" t="str">
        <f aca="false">IF(OR(E227="",E227="!!!",F227="NEW"),"",INDEX(B$2:B222,-1+SUMPRODUCT(MAX(ROW(E$2:E222)*(E227=E$2:E222)))))</f>
        <v/>
      </c>
      <c r="J227" s="26" t="str">
        <f aca="true">IF(OR(E227="",E227="!!!",F227="NEW"),"",COUNTBLANK(OFFSET(A$1,,,SUMPRODUCT(MAX(ROW(E$2:E223)*(E227=E$2:E223)))))-COUNTBLANK(OFFSET(A$1,,,SUMPRODUCT(MAX(ROW(E$1:E222)*(E227=E$1:E222))))))</f>
        <v/>
      </c>
      <c r="K227" s="26" t="str">
        <f aca="false">IF(OR(E227="",E227="!!!",F227="NEW"),"",INDEX(J$1:J222,SUMPRODUCT(MAX(ROW(E$1:E222)*(E227=E$1:E222)))))</f>
        <v/>
      </c>
      <c r="L227" s="27"/>
    </row>
    <row r="228" customFormat="false" ht="15" hidden="false" customHeight="false" outlineLevel="0" collapsed="false">
      <c r="A228" s="20" t="s">
        <v>209</v>
      </c>
      <c r="E228" s="21"/>
      <c r="F228" s="22"/>
      <c r="G228" s="23"/>
      <c r="H228" s="24"/>
      <c r="I228" s="25" t="str">
        <f aca="false">IF(OR(E228="",E228="!!!",F228="NEW"),"",INDEX(B$2:B223,-1+SUMPRODUCT(MAX(ROW(E$2:E223)*(E228=E$2:E223)))))</f>
        <v/>
      </c>
      <c r="J228" s="26" t="str">
        <f aca="true">IF(OR(E228="",E228="!!!",F228="NEW"),"",COUNTBLANK(OFFSET(A$1,,,SUMPRODUCT(MAX(ROW(E$2:E224)*(E228=E$2:E224)))))-COUNTBLANK(OFFSET(A$1,,,SUMPRODUCT(MAX(ROW(E$1:E223)*(E228=E$1:E223))))))</f>
        <v/>
      </c>
      <c r="K228" s="26" t="str">
        <f aca="false">IF(OR(E228="",E228="!!!",F228="NEW"),"",INDEX(J$1:J223,SUMPRODUCT(MAX(ROW(E$1:E223)*(E228=E$1:E223)))))</f>
        <v/>
      </c>
      <c r="L228" s="27"/>
    </row>
    <row r="229" customFormat="false" ht="15" hidden="false" customHeight="false" outlineLevel="0" collapsed="false">
      <c r="A229" s="20"/>
    </row>
    <row r="230" customFormat="false" ht="15" hidden="false" customHeight="false" outlineLevel="0" collapsed="false">
      <c r="A230" s="20" t="s">
        <v>362</v>
      </c>
    </row>
    <row r="231" customFormat="false" ht="15" hidden="false" customHeight="false" outlineLevel="0" collapsed="false">
      <c r="A231" s="20" t="s">
        <v>68</v>
      </c>
      <c r="E231" s="21"/>
      <c r="F231" s="22"/>
      <c r="G231" s="23"/>
      <c r="H231" s="24"/>
      <c r="I231" s="25" t="str">
        <f aca="false">IF(OR(E231="",E231="!!!",F231="NEW"),"",INDEX(B$2:B224,-1+SUMPRODUCT(MAX(ROW(E$2:E224)*(E231=E$2:E224)))))</f>
        <v/>
      </c>
      <c r="J231" s="26" t="str">
        <f aca="true">IF(OR(E231="",E231="!!!",F231="NEW"),"",COUNTBLANK(OFFSET(A$1,,,SUMPRODUCT(MAX(ROW(E$2:E225)*(E231=E$2:E225)))))-COUNTBLANK(OFFSET(A$1,,,SUMPRODUCT(MAX(ROW(E$1:E224)*(E231=E$1:E224))))))</f>
        <v/>
      </c>
      <c r="K231" s="26" t="str">
        <f aca="false">IF(OR(E231="",E231="!!!",F231="NEW"),"",INDEX(J$1:J224,SUMPRODUCT(MAX(ROW(E$1:E224)*(E231=E$1:E224)))))</f>
        <v/>
      </c>
      <c r="L231" s="27"/>
    </row>
    <row r="232" customFormat="false" ht="15" hidden="false" customHeight="false" outlineLevel="0" collapsed="false">
      <c r="A232" s="20" t="s">
        <v>260</v>
      </c>
      <c r="B232" s="28" t="s">
        <v>273</v>
      </c>
      <c r="C232" s="28" t="s">
        <v>197</v>
      </c>
      <c r="D232" s="28" t="s">
        <v>198</v>
      </c>
      <c r="E232" s="21"/>
      <c r="F232" s="22" t="s">
        <v>261</v>
      </c>
      <c r="G232" s="23"/>
      <c r="H232" s="24"/>
      <c r="I232" s="25" t="str">
        <f aca="false">IF(OR(E232="",E232="!!!",F232="NEW"),"",INDEX(B$2:B225,-1+SUMPRODUCT(MAX(ROW(E$2:E225)*(E232=E$2:E225)))))</f>
        <v/>
      </c>
      <c r="J232" s="26" t="str">
        <f aca="true">IF(OR(E232="",E232="!!!",F232="NEW"),"",COUNTBLANK(OFFSET(A$1,,,SUMPRODUCT(MAX(ROW(E$2:E226)*(E232=E$2:E226)))))-COUNTBLANK(OFFSET(A$1,,,SUMPRODUCT(MAX(ROW(E$1:E225)*(E232=E$1:E225))))))</f>
        <v/>
      </c>
      <c r="K232" s="26" t="str">
        <f aca="false">IF(OR(E232="",E232="!!!",F232="NEW"),"",INDEX(J$1:J225,SUMPRODUCT(MAX(ROW(E$1:E225)*(E232=E$1:E225)))))</f>
        <v/>
      </c>
      <c r="L232" s="27"/>
    </row>
    <row r="233" customFormat="false" ht="15" hidden="false" customHeight="false" outlineLevel="0" collapsed="false">
      <c r="A233" s="20" t="s">
        <v>363</v>
      </c>
      <c r="E233" s="21"/>
      <c r="F233" s="22"/>
      <c r="G233" s="23"/>
      <c r="H233" s="24"/>
      <c r="I233" s="25" t="str">
        <f aca="false">IF(OR(E233="",E233="!!!",F233="NEW"),"",INDEX(B$2:B226,-1+SUMPRODUCT(MAX(ROW(E$2:E226)*(E233=E$2:E226)))))</f>
        <v/>
      </c>
      <c r="J233" s="26" t="str">
        <f aca="true">IF(OR(E233="",E233="!!!",F233="NEW"),"",COUNTBLANK(OFFSET(A$1,,,SUMPRODUCT(MAX(ROW(E$2:E227)*(E233=E$2:E227)))))-COUNTBLANK(OFFSET(A$1,,,SUMPRODUCT(MAX(ROW(E$1:E226)*(E233=E$1:E226))))))</f>
        <v/>
      </c>
      <c r="K233" s="26" t="str">
        <f aca="false">IF(OR(E233="",E233="!!!",F233="NEW"),"",INDEX(J$1:J226,SUMPRODUCT(MAX(ROW(E$1:E226)*(E233=E$1:E226)))))</f>
        <v/>
      </c>
      <c r="L233" s="27"/>
    </row>
    <row r="234" customFormat="false" ht="15" hidden="false" customHeight="false" outlineLevel="0" collapsed="false">
      <c r="A234" s="20" t="s">
        <v>203</v>
      </c>
      <c r="E234" s="21"/>
      <c r="F234" s="22"/>
      <c r="G234" s="23"/>
      <c r="H234" s="24"/>
      <c r="I234" s="25" t="str">
        <f aca="false">IF(OR(E234="",E234="!!!",F234="NEW"),"",INDEX(B$2:B227,-1+SUMPRODUCT(MAX(ROW(E$2:E227)*(E234=E$2:E227)))))</f>
        <v/>
      </c>
      <c r="J234" s="26" t="str">
        <f aca="true">IF(OR(E234="",E234="!!!",F234="NEW"),"",COUNTBLANK(OFFSET(A$1,,,SUMPRODUCT(MAX(ROW(E$2:E228)*(E234=E$2:E228)))))-COUNTBLANK(OFFSET(A$1,,,SUMPRODUCT(MAX(ROW(E$1:E227)*(E234=E$1:E227))))))</f>
        <v/>
      </c>
      <c r="K234" s="26" t="str">
        <f aca="false">IF(OR(E234="",E234="!!!",F234="NEW"),"",INDEX(J$1:J227,SUMPRODUCT(MAX(ROW(E$1:E227)*(E234=E$1:E227)))))</f>
        <v/>
      </c>
      <c r="L234" s="27"/>
    </row>
    <row r="235" customFormat="false" ht="15" hidden="false" customHeight="false" outlineLevel="0" collapsed="false">
      <c r="A235" s="20" t="s">
        <v>328</v>
      </c>
      <c r="B235" s="28" t="s">
        <v>310</v>
      </c>
      <c r="C235" s="28" t="s">
        <v>197</v>
      </c>
      <c r="D235" s="28" t="s">
        <v>198</v>
      </c>
      <c r="E235" s="21" t="s">
        <v>314</v>
      </c>
      <c r="F235" s="22" t="s">
        <v>226</v>
      </c>
      <c r="G235" s="23" t="s">
        <v>227</v>
      </c>
      <c r="H235" s="24"/>
      <c r="I235" s="25" t="str">
        <f aca="false">IF(OR(E235="",E235="!!!",F235="NEW"),"",INDEX(B$2:B228,-1+SUMPRODUCT(MAX(ROW(E$2:E228)*(E235=E$2:E228)))))</f>
        <v>other_3</v>
      </c>
      <c r="J235" s="26" t="n">
        <f aca="true">IF(OR(E235="",E235="!!!",F235="NEW"),"",COUNTBLANK(OFFSET(A$1,,,SUMPRODUCT(MAX(ROW(E$2:E229)*(E235=E$2:E229)))))-COUNTBLANK(OFFSET(A$1,,,SUMPRODUCT(MAX(ROW(E$1:E228)*(E235=E$1:E228))))))</f>
        <v>0</v>
      </c>
      <c r="K235" s="26" t="n">
        <f aca="false">IF(OR(E235="",E235="!!!",F235="NEW"),"",INDEX(J$1:J228,SUMPRODUCT(MAX(ROW(E$1:E228)*(E235=E$1:E228)))))</f>
        <v>0</v>
      </c>
      <c r="L235" s="27"/>
    </row>
    <row r="236" customFormat="false" ht="15" hidden="false" customHeight="false" outlineLevel="0" collapsed="false">
      <c r="A236" s="20" t="s">
        <v>364</v>
      </c>
      <c r="E236" s="21"/>
      <c r="F236" s="22"/>
      <c r="G236" s="23"/>
      <c r="H236" s="24"/>
      <c r="I236" s="25" t="str">
        <f aca="false">IF(OR(E236="",E236="!!!",F236="NEW"),"",INDEX(B$2:B229,-1+SUMPRODUCT(MAX(ROW(E$2:E229)*(E236=E$2:E229)))))</f>
        <v/>
      </c>
      <c r="J236" s="26" t="str">
        <f aca="true">IF(OR(E236="",E236="!!!",F236="NEW"),"",COUNTBLANK(OFFSET(A$1,,,SUMPRODUCT(MAX(ROW(E$2:E230)*(E236=E$2:E230)))))-COUNTBLANK(OFFSET(A$1,,,SUMPRODUCT(MAX(ROW(E$1:E229)*(E236=E$1:E229))))))</f>
        <v/>
      </c>
      <c r="K236" s="26" t="str">
        <f aca="false">IF(OR(E236="",E236="!!!",F236="NEW"),"",INDEX(J$1:J229,SUMPRODUCT(MAX(ROW(E$1:E229)*(E236=E$1:E229)))))</f>
        <v/>
      </c>
      <c r="L236" s="27"/>
    </row>
    <row r="237" customFormat="false" ht="15" hidden="false" customHeight="false" outlineLevel="0" collapsed="false">
      <c r="A237" s="20" t="s">
        <v>209</v>
      </c>
      <c r="E237" s="21"/>
      <c r="F237" s="22"/>
      <c r="G237" s="23"/>
      <c r="H237" s="24"/>
      <c r="I237" s="25" t="str">
        <f aca="false">IF(OR(E237="",E237="!!!",F237="NEW"),"",INDEX(B$2:B230,-1+SUMPRODUCT(MAX(ROW(E$2:E230)*(E237=E$2:E230)))))</f>
        <v/>
      </c>
      <c r="J237" s="26" t="str">
        <f aca="true">IF(OR(E237="",E237="!!!",F237="NEW"),"",COUNTBLANK(OFFSET(A$1,,,SUMPRODUCT(MAX(ROW(E$2:E231)*(E237=E$2:E231)))))-COUNTBLANK(OFFSET(A$1,,,SUMPRODUCT(MAX(ROW(E$1:E230)*(E237=E$1:E230))))))</f>
        <v/>
      </c>
      <c r="K237" s="26" t="str">
        <f aca="false">IF(OR(E237="",E237="!!!",F237="NEW"),"",INDEX(J$1:J230,SUMPRODUCT(MAX(ROW(E$1:E230)*(E237=E$1:E230)))))</f>
        <v/>
      </c>
      <c r="L237" s="27"/>
    </row>
    <row r="238" customFormat="false" ht="15" hidden="false" customHeight="false" outlineLevel="0" collapsed="false">
      <c r="A238" s="20" t="s">
        <v>213</v>
      </c>
      <c r="E238" s="21"/>
      <c r="F238" s="22"/>
      <c r="G238" s="23"/>
      <c r="H238" s="24"/>
      <c r="I238" s="25" t="str">
        <f aca="false">IF(OR(E238="",E238="!!!",F238="NEW"),"",INDEX(B$2:B231,-1+SUMPRODUCT(MAX(ROW(E$2:E231)*(E238=E$2:E231)))))</f>
        <v/>
      </c>
      <c r="J238" s="26" t="str">
        <f aca="true">IF(OR(E238="",E238="!!!",F238="NEW"),"",COUNTBLANK(OFFSET(A$1,,,SUMPRODUCT(MAX(ROW(E$2:E232)*(E238=E$2:E232)))))-COUNTBLANK(OFFSET(A$1,,,SUMPRODUCT(MAX(ROW(E$1:E231)*(E238=E$1:E231))))))</f>
        <v/>
      </c>
      <c r="K238" s="26" t="str">
        <f aca="false">IF(OR(E238="",E238="!!!",F238="NEW"),"",INDEX(J$1:J231,SUMPRODUCT(MAX(ROW(E$1:E231)*(E238=E$1:E231)))))</f>
        <v/>
      </c>
      <c r="L238" s="27"/>
    </row>
    <row r="239" customFormat="false" ht="15" hidden="false" customHeight="false" outlineLevel="0" collapsed="false">
      <c r="A239" s="20" t="s">
        <v>203</v>
      </c>
      <c r="E239" s="21"/>
      <c r="F239" s="22"/>
      <c r="G239" s="23"/>
      <c r="H239" s="24"/>
      <c r="I239" s="25" t="str">
        <f aca="false">IF(OR(E239="",E239="!!!",F239="NEW"),"",INDEX(B$2:B232,-1+SUMPRODUCT(MAX(ROW(E$2:E232)*(E239=E$2:E232)))))</f>
        <v/>
      </c>
      <c r="J239" s="26" t="str">
        <f aca="true">IF(OR(E239="",E239="!!!",F239="NEW"),"",COUNTBLANK(OFFSET(A$1,,,SUMPRODUCT(MAX(ROW(E$2:E233)*(E239=E$2:E233)))))-COUNTBLANK(OFFSET(A$1,,,SUMPRODUCT(MAX(ROW(E$1:E232)*(E239=E$1:E232))))))</f>
        <v/>
      </c>
      <c r="K239" s="26" t="str">
        <f aca="false">IF(OR(E239="",E239="!!!",F239="NEW"),"",INDEX(J$1:J232,SUMPRODUCT(MAX(ROW(E$1:E232)*(E239=E$1:E232)))))</f>
        <v/>
      </c>
      <c r="L239" s="27"/>
    </row>
    <row r="240" customFormat="false" ht="15" hidden="false" customHeight="false" outlineLevel="0" collapsed="false">
      <c r="A240" s="20" t="s">
        <v>364</v>
      </c>
      <c r="E240" s="21"/>
      <c r="F240" s="22"/>
      <c r="G240" s="23"/>
      <c r="H240" s="24"/>
      <c r="I240" s="25" t="str">
        <f aca="false">IF(OR(E240="",E240="!!!",F240="NEW"),"",INDEX(B$2:B233,-1+SUMPRODUCT(MAX(ROW(E$2:E233)*(E240=E$2:E233)))))</f>
        <v/>
      </c>
      <c r="J240" s="26" t="str">
        <f aca="true">IF(OR(E240="",E240="!!!",F240="NEW"),"",COUNTBLANK(OFFSET(A$1,,,SUMPRODUCT(MAX(ROW(E$2:E234)*(E240=E$2:E234)))))-COUNTBLANK(OFFSET(A$1,,,SUMPRODUCT(MAX(ROW(E$1:E233)*(E240=E$1:E233))))))</f>
        <v/>
      </c>
      <c r="K240" s="26" t="str">
        <f aca="false">IF(OR(E240="",E240="!!!",F240="NEW"),"",INDEX(J$1:J233,SUMPRODUCT(MAX(ROW(E$1:E233)*(E240=E$1:E233)))))</f>
        <v/>
      </c>
      <c r="L240" s="27"/>
    </row>
    <row r="241" customFormat="false" ht="15" hidden="false" customHeight="false" outlineLevel="0" collapsed="false">
      <c r="A241" s="20" t="s">
        <v>204</v>
      </c>
      <c r="E241" s="21"/>
      <c r="F241" s="22"/>
      <c r="G241" s="23"/>
      <c r="H241" s="24"/>
      <c r="I241" s="25" t="str">
        <f aca="false">IF(OR(E241="",E241="!!!",F241="NEW"),"",INDEX(B$2:B234,-1+SUMPRODUCT(MAX(ROW(E$2:E234)*(E241=E$2:E234)))))</f>
        <v/>
      </c>
      <c r="J241" s="26" t="str">
        <f aca="true">IF(OR(E241="",E241="!!!",F241="NEW"),"",COUNTBLANK(OFFSET(A$1,,,SUMPRODUCT(MAX(ROW(E$2:E235)*(E241=E$2:E235)))))-COUNTBLANK(OFFSET(A$1,,,SUMPRODUCT(MAX(ROW(E$1:E234)*(E241=E$1:E234))))))</f>
        <v/>
      </c>
      <c r="K241" s="26" t="str">
        <f aca="false">IF(OR(E241="",E241="!!!",F241="NEW"),"",INDEX(J$1:J234,SUMPRODUCT(MAX(ROW(E$1:E234)*(E241=E$1:E234)))))</f>
        <v/>
      </c>
      <c r="L241" s="27"/>
    </row>
    <row r="242" customFormat="false" ht="15" hidden="false" customHeight="false" outlineLevel="0" collapsed="false">
      <c r="A242" s="20" t="s">
        <v>205</v>
      </c>
      <c r="B242" s="28" t="s">
        <v>310</v>
      </c>
      <c r="C242" s="28" t="s">
        <v>289</v>
      </c>
      <c r="D242" s="28" t="s">
        <v>198</v>
      </c>
      <c r="E242" s="21" t="s">
        <v>208</v>
      </c>
      <c r="F242" s="22" t="s">
        <v>226</v>
      </c>
      <c r="G242" s="23" t="s">
        <v>227</v>
      </c>
      <c r="H242" s="24"/>
      <c r="I242" s="25" t="str">
        <f aca="false">IF(OR(E242="",E242="!!!",F242="NEW"),"",INDEX(B$2:B235,-1+SUMPRODUCT(MAX(ROW(E$2:E235)*(E242=E$2:E235)))))</f>
        <v>other_3</v>
      </c>
      <c r="J242" s="26" t="n">
        <f aca="true">IF(OR(E242="",E242="!!!",F242="NEW"),"",COUNTBLANK(OFFSET(A$1,,,SUMPRODUCT(MAX(ROW(E$2:E236)*(E242=E$2:E236)))))-COUNTBLANK(OFFSET(A$1,,,SUMPRODUCT(MAX(ROW(E$1:E235)*(E242=E$1:E235))))))</f>
        <v>0</v>
      </c>
      <c r="K242" s="26" t="n">
        <f aca="false">IF(OR(E242="",E242="!!!",F242="NEW"),"",INDEX(J$1:J235,SUMPRODUCT(MAX(ROW(E$1:E235)*(E242=E$1:E235)))))</f>
        <v>0</v>
      </c>
      <c r="L242" s="27"/>
    </row>
    <row r="243" customFormat="false" ht="15" hidden="false" customHeight="false" outlineLevel="0" collapsed="false">
      <c r="A243" s="20" t="s">
        <v>217</v>
      </c>
      <c r="E243" s="21"/>
      <c r="F243" s="22"/>
      <c r="G243" s="23"/>
      <c r="H243" s="24"/>
      <c r="I243" s="25" t="str">
        <f aca="false">IF(OR(E243="",E243="!!!",F243="NEW"),"",INDEX(B$2:B236,-1+SUMPRODUCT(MAX(ROW(E$2:E236)*(E243=E$2:E236)))))</f>
        <v/>
      </c>
      <c r="J243" s="26" t="str">
        <f aca="true">IF(OR(E243="",E243="!!!",F243="NEW"),"",COUNTBLANK(OFFSET(A$1,,,SUMPRODUCT(MAX(ROW(E$2:E237)*(E243=E$2:E237)))))-COUNTBLANK(OFFSET(A$1,,,SUMPRODUCT(MAX(ROW(E$1:E236)*(E243=E$1:E236))))))</f>
        <v/>
      </c>
      <c r="K243" s="26" t="str">
        <f aca="false">IF(OR(E243="",E243="!!!",F243="NEW"),"",INDEX(J$1:J236,SUMPRODUCT(MAX(ROW(E$1:E236)*(E243=E$1:E236)))))</f>
        <v/>
      </c>
      <c r="L243" s="27"/>
    </row>
    <row r="244" customFormat="false" ht="15" hidden="false" customHeight="false" outlineLevel="0" collapsed="false">
      <c r="A244" s="20" t="s">
        <v>341</v>
      </c>
      <c r="B244" s="28" t="s">
        <v>365</v>
      </c>
      <c r="C244" s="28" t="s">
        <v>223</v>
      </c>
      <c r="D244" s="28" t="s">
        <v>198</v>
      </c>
      <c r="E244" s="21" t="s">
        <v>341</v>
      </c>
      <c r="F244" s="22" t="s">
        <v>226</v>
      </c>
      <c r="G244" s="23" t="s">
        <v>227</v>
      </c>
      <c r="H244" s="24"/>
      <c r="I244" s="25" t="str">
        <f aca="false">IF(OR(E244="",E244="!!!",F244="NEW"),"",INDEX(B$2:B237,-1+SUMPRODUCT(MAX(ROW(E$2:E237)*(E244=E$2:E237)))))</f>
        <v>other_4</v>
      </c>
      <c r="J244" s="26" t="n">
        <f aca="true">IF(OR(E244="",E244="!!!",F244="NEW"),"",COUNTBLANK(OFFSET(A$1,,,SUMPRODUCT(MAX(ROW(E$2:E238)*(E244=E$2:E238)))))-COUNTBLANK(OFFSET(A$1,,,SUMPRODUCT(MAX(ROW(E$1:E237)*(E244=E$1:E237))))))</f>
        <v>0</v>
      </c>
      <c r="K244" s="26" t="str">
        <f aca="false">IF(OR(E244="",E244="!!!",F244="NEW"),"",INDEX(J$1:J237,SUMPRODUCT(MAX(ROW(E$1:E237)*(E244=E$1:E237)))))</f>
        <v/>
      </c>
      <c r="L244" s="27"/>
    </row>
    <row r="245" customFormat="false" ht="15" hidden="false" customHeight="false" outlineLevel="0" collapsed="false">
      <c r="A245" s="20" t="s">
        <v>209</v>
      </c>
      <c r="E245" s="21"/>
      <c r="F245" s="22"/>
      <c r="G245" s="23"/>
      <c r="H245" s="24"/>
      <c r="I245" s="25" t="str">
        <f aca="false">IF(OR(E245="",E245="!!!",F245="NEW"),"",INDEX(B$2:B238,-1+SUMPRODUCT(MAX(ROW(E$2:E238)*(E245=E$2:E238)))))</f>
        <v/>
      </c>
      <c r="J245" s="26" t="str">
        <f aca="true">IF(OR(E245="",E245="!!!",F245="NEW"),"",COUNTBLANK(OFFSET(A$1,,,SUMPRODUCT(MAX(ROW(E$2:E239)*(E245=E$2:E239)))))-COUNTBLANK(OFFSET(A$1,,,SUMPRODUCT(MAX(ROW(E$1:E238)*(E245=E$1:E238))))))</f>
        <v/>
      </c>
      <c r="K245" s="26" t="str">
        <f aca="false">IF(OR(E245="",E245="!!!",F245="NEW"),"",INDEX(J$1:J238,SUMPRODUCT(MAX(ROW(E$1:E238)*(E245=E$1:E238)))))</f>
        <v/>
      </c>
      <c r="L245" s="27"/>
    </row>
    <row r="246" customFormat="false" ht="15" hidden="false" customHeight="false" outlineLevel="0" collapsed="false">
      <c r="A246" s="20" t="s">
        <v>285</v>
      </c>
      <c r="B246" s="28" t="s">
        <v>222</v>
      </c>
      <c r="C246" s="28" t="s">
        <v>268</v>
      </c>
      <c r="D246" s="28" t="s">
        <v>198</v>
      </c>
      <c r="E246" s="21"/>
      <c r="F246" s="22"/>
      <c r="G246" s="23"/>
      <c r="H246" s="24"/>
      <c r="I246" s="25" t="str">
        <f aca="false">IF(OR(E246="",E246="!!!",F246="NEW"),"",INDEX(B$2:B239,-1+SUMPRODUCT(MAX(ROW(E$2:E239)*(E246=E$2:E239)))))</f>
        <v/>
      </c>
      <c r="J246" s="26" t="str">
        <f aca="true">IF(OR(E246="",E246="!!!",F246="NEW"),"",COUNTBLANK(OFFSET(A$1,,,SUMPRODUCT(MAX(ROW(E$2:E240)*(E246=E$2:E240)))))-COUNTBLANK(OFFSET(A$1,,,SUMPRODUCT(MAX(ROW(E$1:E239)*(E246=E$1:E239))))))</f>
        <v/>
      </c>
      <c r="K246" s="26" t="str">
        <f aca="false">IF(OR(E246="",E246="!!!",F246="NEW"),"",INDEX(J$1:J239,SUMPRODUCT(MAX(ROW(E$1:E239)*(E246=E$1:E239)))))</f>
        <v/>
      </c>
      <c r="L246" s="27" t="s">
        <v>366</v>
      </c>
    </row>
    <row r="247" customFormat="false" ht="15" hidden="false" customHeight="false" outlineLevel="0" collapsed="false">
      <c r="A247" s="20" t="s">
        <v>236</v>
      </c>
      <c r="E247" s="21"/>
      <c r="F247" s="22"/>
      <c r="G247" s="23"/>
      <c r="H247" s="24"/>
      <c r="I247" s="25" t="str">
        <f aca="false">IF(OR(E247="",E247="!!!",F247="NEW"),"",INDEX(B$2:B240,-1+SUMPRODUCT(MAX(ROW(E$2:E240)*(E247=E$2:E240)))))</f>
        <v/>
      </c>
      <c r="J247" s="26" t="str">
        <f aca="true">IF(OR(E247="",E247="!!!",F247="NEW"),"",COUNTBLANK(OFFSET(A$1,,,SUMPRODUCT(MAX(ROW(E$2:E241)*(E247=E$2:E241)))))-COUNTBLANK(OFFSET(A$1,,,SUMPRODUCT(MAX(ROW(E$1:E240)*(E247=E$1:E240))))))</f>
        <v/>
      </c>
      <c r="K247" s="26" t="str">
        <f aca="false">IF(OR(E247="",E247="!!!",F247="NEW"),"",INDEX(J$1:J240,SUMPRODUCT(MAX(ROW(E$1:E240)*(E247=E$1:E240)))))</f>
        <v/>
      </c>
      <c r="L247" s="27"/>
    </row>
    <row r="248" customFormat="false" ht="15" hidden="false" customHeight="false" outlineLevel="0" collapsed="false">
      <c r="A248" s="20" t="s">
        <v>204</v>
      </c>
      <c r="E248" s="21"/>
      <c r="F248" s="22"/>
      <c r="G248" s="23"/>
      <c r="H248" s="24"/>
      <c r="I248" s="25" t="str">
        <f aca="false">IF(OR(E248="",E248="!!!",F248="NEW"),"",INDEX(B$2:B241,-1+SUMPRODUCT(MAX(ROW(E$2:E241)*(E248=E$2:E241)))))</f>
        <v/>
      </c>
      <c r="J248" s="26" t="str">
        <f aca="true">IF(OR(E248="",E248="!!!",F248="NEW"),"",COUNTBLANK(OFFSET(A$1,,,SUMPRODUCT(MAX(ROW(E$2:E242)*(E248=E$2:E242)))))-COUNTBLANK(OFFSET(A$1,,,SUMPRODUCT(MAX(ROW(E$1:E241)*(E248=E$1:E241))))))</f>
        <v/>
      </c>
      <c r="K248" s="26" t="str">
        <f aca="false">IF(OR(E248="",E248="!!!",F248="NEW"),"",INDEX(J$1:J241,SUMPRODUCT(MAX(ROW(E$1:E241)*(E248=E$1:E241)))))</f>
        <v/>
      </c>
      <c r="L248" s="27"/>
    </row>
    <row r="249" customFormat="false" ht="15" hidden="false" customHeight="false" outlineLevel="0" collapsed="false">
      <c r="A249" s="20" t="s">
        <v>327</v>
      </c>
      <c r="B249" s="28" t="s">
        <v>196</v>
      </c>
      <c r="C249" s="28" t="s">
        <v>289</v>
      </c>
      <c r="D249" s="28" t="s">
        <v>198</v>
      </c>
      <c r="E249" s="21" t="s">
        <v>237</v>
      </c>
      <c r="F249" s="22" t="s">
        <v>226</v>
      </c>
      <c r="G249" s="23" t="s">
        <v>201</v>
      </c>
      <c r="H249" s="24"/>
      <c r="I249" s="25" t="str">
        <f aca="false">IF(OR(E249="",E249="!!!",F249="NEW"),"",INDEX(B$2:B242,-1+SUMPRODUCT(MAX(ROW(E$2:E242)*(E249=E$2:E242)))))</f>
        <v>other_3</v>
      </c>
      <c r="J249" s="26" t="n">
        <f aca="true">IF(OR(E249="",E249="!!!",F249="NEW"),"",COUNTBLANK(OFFSET(A$1,,,SUMPRODUCT(MAX(ROW(E$2:E243)*(E249=E$2:E243)))))-COUNTBLANK(OFFSET(A$1,,,SUMPRODUCT(MAX(ROW(E$1:E242)*(E249=E$1:E242))))))</f>
        <v>0</v>
      </c>
      <c r="K249" s="26" t="str">
        <f aca="false">IF(OR(E249="",E249="!!!",F249="NEW"),"",INDEX(J$1:J242,SUMPRODUCT(MAX(ROW(E$1:E242)*(E249=E$1:E242)))))</f>
        <v/>
      </c>
      <c r="L249" s="27"/>
    </row>
    <row r="250" customFormat="false" ht="15" hidden="false" customHeight="false" outlineLevel="0" collapsed="false">
      <c r="A250" s="20" t="s">
        <v>217</v>
      </c>
      <c r="E250" s="21"/>
      <c r="F250" s="22"/>
      <c r="G250" s="23"/>
      <c r="H250" s="24"/>
      <c r="I250" s="25" t="str">
        <f aca="false">IF(OR(E250="",E250="!!!",F250="NEW"),"",INDEX(B$2:B243,-1+SUMPRODUCT(MAX(ROW(E$2:E243)*(E250=E$2:E243)))))</f>
        <v/>
      </c>
      <c r="J250" s="26" t="str">
        <f aca="true">IF(OR(E250="",E250="!!!",F250="NEW"),"",COUNTBLANK(OFFSET(A$1,,,SUMPRODUCT(MAX(ROW(E$2:E244)*(E250=E$2:E244)))))-COUNTBLANK(OFFSET(A$1,,,SUMPRODUCT(MAX(ROW(E$1:E243)*(E250=E$1:E243))))))</f>
        <v/>
      </c>
      <c r="K250" s="26" t="str">
        <f aca="false">IF(OR(E250="",E250="!!!",F250="NEW"),"",INDEX(J$1:J243,SUMPRODUCT(MAX(ROW(E$1:E243)*(E250=E$1:E243)))))</f>
        <v/>
      </c>
      <c r="L250" s="27"/>
    </row>
    <row r="251" customFormat="false" ht="15" hidden="false" customHeight="false" outlineLevel="0" collapsed="false">
      <c r="A251" s="20" t="s">
        <v>237</v>
      </c>
      <c r="B251" s="28" t="s">
        <v>215</v>
      </c>
      <c r="C251" s="28" t="s">
        <v>223</v>
      </c>
      <c r="D251" s="28" t="s">
        <v>198</v>
      </c>
      <c r="E251" s="21" t="s">
        <v>237</v>
      </c>
      <c r="F251" s="22" t="s">
        <v>226</v>
      </c>
      <c r="G251" s="23" t="s">
        <v>227</v>
      </c>
      <c r="H251" s="24"/>
      <c r="I251" s="25" t="str">
        <f aca="false">IF(OR(E251="",E251="!!!",F251="NEW"),"",INDEX(B$2:B244,-1+SUMPRODUCT(MAX(ROW(E$2:E244)*(E251=E$2:E244)))))</f>
        <v>other_3</v>
      </c>
      <c r="J251" s="26" t="n">
        <f aca="true">IF(OR(E251="",E251="!!!",F251="NEW"),"",COUNTBLANK(OFFSET(A$1,,,SUMPRODUCT(MAX(ROW(E$2:E245)*(E251=E$2:E245)))))-COUNTBLANK(OFFSET(A$1,,,SUMPRODUCT(MAX(ROW(E$1:E244)*(E251=E$1:E244))))))</f>
        <v>0</v>
      </c>
      <c r="K251" s="26" t="str">
        <f aca="false">IF(OR(E251="",E251="!!!",F251="NEW"),"",INDEX(J$1:J244,SUMPRODUCT(MAX(ROW(E$1:E244)*(E251=E$1:E244)))))</f>
        <v/>
      </c>
      <c r="L251" s="27"/>
    </row>
    <row r="252" customFormat="false" ht="15" hidden="false" customHeight="false" outlineLevel="0" collapsed="false">
      <c r="A252" s="20" t="s">
        <v>367</v>
      </c>
      <c r="E252" s="21"/>
      <c r="F252" s="22"/>
      <c r="G252" s="23"/>
      <c r="H252" s="24"/>
      <c r="I252" s="25" t="str">
        <f aca="false">IF(OR(E252="",E252="!!!",F252="NEW"),"",INDEX(B$2:B245,-1+SUMPRODUCT(MAX(ROW(E$2:E245)*(E252=E$2:E245)))))</f>
        <v/>
      </c>
      <c r="J252" s="26" t="str">
        <f aca="true">IF(OR(E252="",E252="!!!",F252="NEW"),"",COUNTBLANK(OFFSET(A$1,,,SUMPRODUCT(MAX(ROW(E$2:E246)*(E252=E$2:E246)))))-COUNTBLANK(OFFSET(A$1,,,SUMPRODUCT(MAX(ROW(E$1:E245)*(E252=E$1:E245))))))</f>
        <v/>
      </c>
      <c r="K252" s="26" t="str">
        <f aca="false">IF(OR(E252="",E252="!!!",F252="NEW"),"",INDEX(J$1:J245,SUMPRODUCT(MAX(ROW(E$1:E245)*(E252=E$1:E245)))))</f>
        <v/>
      </c>
      <c r="L252" s="27"/>
    </row>
    <row r="253" customFormat="false" ht="15" hidden="false" customHeight="false" outlineLevel="0" collapsed="false">
      <c r="A253" s="20" t="s">
        <v>217</v>
      </c>
      <c r="E253" s="21"/>
      <c r="F253" s="22"/>
      <c r="G253" s="23"/>
      <c r="H253" s="24"/>
      <c r="I253" s="25" t="str">
        <f aca="false">IF(OR(E253="",E253="!!!",F253="NEW"),"",INDEX(B$2:B246,-1+SUMPRODUCT(MAX(ROW(E$2:E246)*(E253=E$2:E246)))))</f>
        <v/>
      </c>
      <c r="J253" s="26" t="str">
        <f aca="true">IF(OR(E253="",E253="!!!",F253="NEW"),"",COUNTBLANK(OFFSET(A$1,,,SUMPRODUCT(MAX(ROW(E$2:E247)*(E253=E$2:E247)))))-COUNTBLANK(OFFSET(A$1,,,SUMPRODUCT(MAX(ROW(E$1:E246)*(E253=E$1:E246))))))</f>
        <v/>
      </c>
      <c r="K253" s="26" t="str">
        <f aca="false">IF(OR(E253="",E253="!!!",F253="NEW"),"",INDEX(J$1:J246,SUMPRODUCT(MAX(ROW(E$1:E246)*(E253=E$1:E246)))))</f>
        <v/>
      </c>
      <c r="L253" s="27"/>
    </row>
    <row r="254" customFormat="false" ht="15" hidden="false" customHeight="false" outlineLevel="0" collapsed="false">
      <c r="A254" s="20" t="s">
        <v>368</v>
      </c>
      <c r="B254" s="28" t="s">
        <v>219</v>
      </c>
      <c r="C254" s="28" t="s">
        <v>223</v>
      </c>
      <c r="D254" s="28" t="s">
        <v>198</v>
      </c>
      <c r="E254" s="21" t="s">
        <v>368</v>
      </c>
      <c r="F254" s="22" t="s">
        <v>200</v>
      </c>
      <c r="G254" s="23" t="s">
        <v>212</v>
      </c>
      <c r="H254" s="24"/>
      <c r="I254" s="25" t="str">
        <f aca="false">IF(OR(E254="",E254="!!!",F254="NEW"),"",INDEX(B$2:B247,-1+SUMPRODUCT(MAX(ROW(E$2:E247)*(E254=E$2:E247)))))</f>
        <v/>
      </c>
      <c r="J254" s="26" t="str">
        <f aca="true">IF(OR(E254="",E254="!!!",F254="NEW"),"",COUNTBLANK(OFFSET(A$1,,,SUMPRODUCT(MAX(ROW(E$2:E248)*(E254=E$2:E248)))))-COUNTBLANK(OFFSET(A$1,,,SUMPRODUCT(MAX(ROW(E$1:E247)*(E254=E$1:E247))))))</f>
        <v/>
      </c>
      <c r="K254" s="26" t="str">
        <f aca="false">IF(OR(E254="",E254="!!!",F254="NEW"),"",INDEX(J$1:J247,SUMPRODUCT(MAX(ROW(E$1:E247)*(E254=E$1:E247)))))</f>
        <v/>
      </c>
      <c r="L254" s="27"/>
    </row>
    <row r="255" customFormat="false" ht="15" hidden="false" customHeight="false" outlineLevel="0" collapsed="false">
      <c r="A255" s="20" t="s">
        <v>209</v>
      </c>
      <c r="E255" s="21"/>
      <c r="F255" s="22"/>
      <c r="G255" s="23"/>
      <c r="H255" s="24"/>
      <c r="I255" s="25" t="str">
        <f aca="false">IF(OR(E255="",E255="!!!",F255="NEW"),"",INDEX(B$2:B248,-1+SUMPRODUCT(MAX(ROW(E$2:E248)*(E255=E$2:E248)))))</f>
        <v/>
      </c>
      <c r="J255" s="26" t="str">
        <f aca="true">IF(OR(E255="",E255="!!!",F255="NEW"),"",COUNTBLANK(OFFSET(A$1,,,SUMPRODUCT(MAX(ROW(E$2:E249)*(E255=E$2:E249)))))-COUNTBLANK(OFFSET(A$1,,,SUMPRODUCT(MAX(ROW(E$1:E248)*(E255=E$1:E248))))))</f>
        <v/>
      </c>
      <c r="K255" s="26" t="str">
        <f aca="false">IF(OR(E255="",E255="!!!",F255="NEW"),"",INDEX(J$1:J248,SUMPRODUCT(MAX(ROW(E$1:E248)*(E255=E$1:E248)))))</f>
        <v/>
      </c>
      <c r="L255" s="27"/>
    </row>
    <row r="256" customFormat="false" ht="15" hidden="false" customHeight="false" outlineLevel="0" collapsed="false">
      <c r="A256" s="20" t="s">
        <v>369</v>
      </c>
      <c r="B256" s="28" t="s">
        <v>240</v>
      </c>
      <c r="E256" s="21"/>
      <c r="F256" s="22"/>
      <c r="G256" s="23"/>
      <c r="H256" s="24"/>
      <c r="I256" s="25" t="str">
        <f aca="false">IF(OR(E256="",E256="!!!",F256="NEW"),"",INDEX(B$2:B249,-1+SUMPRODUCT(MAX(ROW(E$2:E249)*(E256=E$2:E249)))))</f>
        <v/>
      </c>
      <c r="J256" s="26" t="str">
        <f aca="true">IF(OR(E256="",E256="!!!",F256="NEW"),"",COUNTBLANK(OFFSET(A$1,,,SUMPRODUCT(MAX(ROW(E$2:E250)*(E256=E$2:E250)))))-COUNTBLANK(OFFSET(A$1,,,SUMPRODUCT(MAX(ROW(E$1:E249)*(E256=E$1:E249))))))</f>
        <v/>
      </c>
      <c r="K256" s="26" t="str">
        <f aca="false">IF(OR(E256="",E256="!!!",F256="NEW"),"",INDEX(J$1:J249,SUMPRODUCT(MAX(ROW(E$1:E249)*(E256=E$1:E249)))))</f>
        <v/>
      </c>
      <c r="L256" s="27"/>
    </row>
    <row r="257" customFormat="false" ht="15" hidden="false" customHeight="false" outlineLevel="0" collapsed="false">
      <c r="A257" s="20" t="s">
        <v>328</v>
      </c>
      <c r="B257" s="28" t="s">
        <v>270</v>
      </c>
      <c r="C257" s="28" t="s">
        <v>197</v>
      </c>
      <c r="D257" s="28" t="s">
        <v>198</v>
      </c>
      <c r="E257" s="21" t="s">
        <v>208</v>
      </c>
      <c r="F257" s="22" t="s">
        <v>226</v>
      </c>
      <c r="G257" s="23" t="s">
        <v>227</v>
      </c>
      <c r="H257" s="24"/>
      <c r="I257" s="25" t="str">
        <f aca="false">IF(OR(E257="",E257="!!!",F257="NEW"),"",INDEX(B$2:B250,-1+SUMPRODUCT(MAX(ROW(E$2:E250)*(E257=E$2:E250)))))</f>
        <v>other_4</v>
      </c>
      <c r="J257" s="26" t="n">
        <f aca="true">IF(OR(E257="",E257="!!!",F257="NEW"),"",COUNTBLANK(OFFSET(A$1,,,SUMPRODUCT(MAX(ROW(E$2:E251)*(E257=E$2:E251)))))-COUNTBLANK(OFFSET(A$1,,,SUMPRODUCT(MAX(ROW(E$1:E250)*(E257=E$1:E250))))))</f>
        <v>0</v>
      </c>
      <c r="K257" s="26" t="n">
        <f aca="false">IF(OR(E257="",E257="!!!",F257="NEW"),"",INDEX(J$1:J250,SUMPRODUCT(MAX(ROW(E$1:E250)*(E257=E$1:E250)))))</f>
        <v>0</v>
      </c>
      <c r="L257" s="27"/>
    </row>
    <row r="258" customFormat="false" ht="15" hidden="false" customHeight="false" outlineLevel="0" collapsed="false">
      <c r="A258" s="20" t="s">
        <v>370</v>
      </c>
      <c r="E258" s="21"/>
      <c r="F258" s="22"/>
      <c r="G258" s="23"/>
      <c r="H258" s="24"/>
      <c r="I258" s="25" t="str">
        <f aca="false">IF(OR(E258="",E258="!!!",F258="NEW"),"",INDEX(B$2:B251,-1+SUMPRODUCT(MAX(ROW(E$2:E251)*(E258=E$2:E251)))))</f>
        <v/>
      </c>
      <c r="J258" s="26" t="str">
        <f aca="true">IF(OR(E258="",E258="!!!",F258="NEW"),"",COUNTBLANK(OFFSET(A$1,,,SUMPRODUCT(MAX(ROW(E$2:E252)*(E258=E$2:E252)))))-COUNTBLANK(OFFSET(A$1,,,SUMPRODUCT(MAX(ROW(E$1:E251)*(E258=E$1:E251))))))</f>
        <v/>
      </c>
      <c r="K258" s="26" t="str">
        <f aca="false">IF(OR(E258="",E258="!!!",F258="NEW"),"",INDEX(J$1:J251,SUMPRODUCT(MAX(ROW(E$1:E251)*(E258=E$1:E251)))))</f>
        <v/>
      </c>
      <c r="L258" s="27"/>
    </row>
    <row r="259" customFormat="false" ht="15" hidden="false" customHeight="false" outlineLevel="0" collapsed="false">
      <c r="A259" s="20" t="s">
        <v>209</v>
      </c>
      <c r="E259" s="21"/>
      <c r="F259" s="22"/>
      <c r="G259" s="23"/>
      <c r="H259" s="24"/>
      <c r="I259" s="25" t="str">
        <f aca="false">IF(OR(E259="",E259="!!!",F259="NEW"),"",INDEX(B$2:B252,-1+SUMPRODUCT(MAX(ROW(E$2:E252)*(E259=E$2:E252)))))</f>
        <v/>
      </c>
      <c r="J259" s="26" t="str">
        <f aca="true">IF(OR(E259="",E259="!!!",F259="NEW"),"",COUNTBLANK(OFFSET(A$1,,,SUMPRODUCT(MAX(ROW(E$2:E253)*(E259=E$2:E253)))))-COUNTBLANK(OFFSET(A$1,,,SUMPRODUCT(MAX(ROW(E$1:E252)*(E259=E$1:E252))))))</f>
        <v/>
      </c>
      <c r="K259" s="26" t="str">
        <f aca="false">IF(OR(E259="",E259="!!!",F259="NEW"),"",INDEX(J$1:J252,SUMPRODUCT(MAX(ROW(E$1:E252)*(E259=E$1:E252)))))</f>
        <v/>
      </c>
      <c r="L259" s="27"/>
    </row>
    <row r="260" customFormat="false" ht="15" hidden="false" customHeight="false" outlineLevel="0" collapsed="false">
      <c r="A260" s="20" t="s">
        <v>369</v>
      </c>
      <c r="B260" s="28" t="s">
        <v>371</v>
      </c>
      <c r="E260" s="21"/>
      <c r="F260" s="22"/>
      <c r="G260" s="23"/>
      <c r="H260" s="24"/>
      <c r="I260" s="25" t="str">
        <f aca="false">IF(OR(E260="",E260="!!!",F260="NEW"),"",INDEX(B$2:B253,-1+SUMPRODUCT(MAX(ROW(E$2:E253)*(E260=E$2:E253)))))</f>
        <v/>
      </c>
      <c r="J260" s="26" t="str">
        <f aca="true">IF(OR(E260="",E260="!!!",F260="NEW"),"",COUNTBLANK(OFFSET(A$1,,,SUMPRODUCT(MAX(ROW(E$2:E254)*(E260=E$2:E254)))))-COUNTBLANK(OFFSET(A$1,,,SUMPRODUCT(MAX(ROW(E$1:E253)*(E260=E$1:E253))))))</f>
        <v/>
      </c>
      <c r="K260" s="26" t="str">
        <f aca="false">IF(OR(E260="",E260="!!!",F260="NEW"),"",INDEX(J$1:J253,SUMPRODUCT(MAX(ROW(E$1:E253)*(E260=E$1:E253)))))</f>
        <v/>
      </c>
      <c r="L260" s="27"/>
    </row>
    <row r="261" customFormat="false" ht="15" hidden="false" customHeight="false" outlineLevel="0" collapsed="false">
      <c r="A261" s="20" t="s">
        <v>372</v>
      </c>
      <c r="B261" s="28" t="s">
        <v>273</v>
      </c>
      <c r="C261" s="28" t="s">
        <v>223</v>
      </c>
      <c r="D261" s="28" t="s">
        <v>198</v>
      </c>
      <c r="E261" s="21" t="s">
        <v>372</v>
      </c>
      <c r="F261" s="22" t="s">
        <v>200</v>
      </c>
      <c r="G261" s="23" t="s">
        <v>201</v>
      </c>
      <c r="H261" s="24"/>
      <c r="I261" s="25" t="str">
        <f aca="false">IF(OR(E261="",E261="!!!",F261="NEW"),"",INDEX(B$2:B254,-1+SUMPRODUCT(MAX(ROW(E$2:E254)*(E261=E$2:E254)))))</f>
        <v/>
      </c>
      <c r="J261" s="26" t="str">
        <f aca="true">IF(OR(E261="",E261="!!!",F261="NEW"),"",COUNTBLANK(OFFSET(A$1,,,SUMPRODUCT(MAX(ROW(E$2:E255)*(E261=E$2:E255)))))-COUNTBLANK(OFFSET(A$1,,,SUMPRODUCT(MAX(ROW(E$1:E254)*(E261=E$1:E254))))))</f>
        <v/>
      </c>
      <c r="K261" s="26" t="str">
        <f aca="false">IF(OR(E261="",E261="!!!",F261="NEW"),"",INDEX(J$1:J254,SUMPRODUCT(MAX(ROW(E$1:E254)*(E261=E$1:E254)))))</f>
        <v/>
      </c>
      <c r="L261" s="27"/>
    </row>
    <row r="262" customFormat="false" ht="15" hidden="false" customHeight="false" outlineLevel="0" collapsed="false">
      <c r="A262" s="20" t="s">
        <v>373</v>
      </c>
      <c r="E262" s="21"/>
      <c r="F262" s="22"/>
      <c r="G262" s="23"/>
      <c r="H262" s="24"/>
      <c r="I262" s="25" t="str">
        <f aca="false">IF(OR(E262="",E262="!!!",F262="NEW"),"",INDEX(B$2:B255,-1+SUMPRODUCT(MAX(ROW(E$2:E255)*(E262=E$2:E255)))))</f>
        <v/>
      </c>
      <c r="J262" s="26" t="str">
        <f aca="true">IF(OR(E262="",E262="!!!",F262="NEW"),"",COUNTBLANK(OFFSET(A$1,,,SUMPRODUCT(MAX(ROW(E$2:E256)*(E262=E$2:E256)))))-COUNTBLANK(OFFSET(A$1,,,SUMPRODUCT(MAX(ROW(E$1:E255)*(E262=E$1:E255))))))</f>
        <v/>
      </c>
      <c r="K262" s="26" t="str">
        <f aca="false">IF(OR(E262="",E262="!!!",F262="NEW"),"",INDEX(J$1:J255,SUMPRODUCT(MAX(ROW(E$1:E255)*(E262=E$1:E255)))))</f>
        <v/>
      </c>
      <c r="L262" s="27"/>
    </row>
    <row r="263" customFormat="false" ht="15" hidden="false" customHeight="false" outlineLevel="0" collapsed="false">
      <c r="A263" s="20" t="s">
        <v>242</v>
      </c>
      <c r="E263" s="21"/>
      <c r="F263" s="22"/>
      <c r="G263" s="23"/>
      <c r="H263" s="24"/>
      <c r="I263" s="25" t="str">
        <f aca="false">IF(OR(E263="",E263="!!!",F263="NEW"),"",INDEX(B$2:B256,-1+SUMPRODUCT(MAX(ROW(E$2:E256)*(E263=E$2:E256)))))</f>
        <v/>
      </c>
      <c r="J263" s="26" t="str">
        <f aca="true">IF(OR(E263="",E263="!!!",F263="NEW"),"",COUNTBLANK(OFFSET(A$1,,,SUMPRODUCT(MAX(ROW(E$2:E257)*(E263=E$2:E257)))))-COUNTBLANK(OFFSET(A$1,,,SUMPRODUCT(MAX(ROW(E$1:E256)*(E263=E$1:E256))))))</f>
        <v/>
      </c>
      <c r="K263" s="26" t="str">
        <f aca="false">IF(OR(E263="",E263="!!!",F263="NEW"),"",INDEX(J$1:J256,SUMPRODUCT(MAX(ROW(E$1:E256)*(E263=E$1:E256)))))</f>
        <v/>
      </c>
      <c r="L263" s="27"/>
    </row>
    <row r="264" customFormat="false" ht="15" hidden="false" customHeight="false" outlineLevel="0" collapsed="false">
      <c r="A264" s="20" t="s">
        <v>204</v>
      </c>
      <c r="E264" s="21"/>
      <c r="F264" s="22"/>
      <c r="G264" s="23"/>
      <c r="H264" s="24"/>
      <c r="I264" s="25" t="str">
        <f aca="false">IF(OR(E264="",E264="!!!",F264="NEW"),"",INDEX(B$2:B257,-1+SUMPRODUCT(MAX(ROW(E$2:E257)*(E264=E$2:E257)))))</f>
        <v/>
      </c>
      <c r="J264" s="26" t="str">
        <f aca="true">IF(OR(E264="",E264="!!!",F264="NEW"),"",COUNTBLANK(OFFSET(A$1,,,SUMPRODUCT(MAX(ROW(E$2:E258)*(E264=E$2:E258)))))-COUNTBLANK(OFFSET(A$1,,,SUMPRODUCT(MAX(ROW(E$1:E257)*(E264=E$1:E257))))))</f>
        <v/>
      </c>
      <c r="K264" s="26" t="str">
        <f aca="false">IF(OR(E264="",E264="!!!",F264="NEW"),"",INDEX(J$1:J257,SUMPRODUCT(MAX(ROW(E$1:E257)*(E264=E$1:E257)))))</f>
        <v/>
      </c>
      <c r="L264" s="27"/>
    </row>
    <row r="265" customFormat="false" ht="15" hidden="false" customHeight="false" outlineLevel="0" collapsed="false">
      <c r="A265" s="20" t="s">
        <v>243</v>
      </c>
      <c r="E265" s="21"/>
      <c r="F265" s="22"/>
      <c r="G265" s="23"/>
      <c r="H265" s="24"/>
      <c r="I265" s="25" t="str">
        <f aca="false">IF(OR(E265="",E265="!!!",F265="NEW"),"",INDEX(B$2:B258,-1+SUMPRODUCT(MAX(ROW(E$2:E258)*(E265=E$2:E258)))))</f>
        <v/>
      </c>
      <c r="J265" s="26" t="str">
        <f aca="true">IF(OR(E265="",E265="!!!",F265="NEW"),"",COUNTBLANK(OFFSET(A$1,,,SUMPRODUCT(MAX(ROW(E$2:E259)*(E265=E$2:E259)))))-COUNTBLANK(OFFSET(A$1,,,SUMPRODUCT(MAX(ROW(E$1:E258)*(E265=E$1:E258))))))</f>
        <v/>
      </c>
      <c r="K265" s="26" t="str">
        <f aca="false">IF(OR(E265="",E265="!!!",F265="NEW"),"",INDEX(J$1:J258,SUMPRODUCT(MAX(ROW(E$1:E258)*(E265=E$1:E258)))))</f>
        <v/>
      </c>
      <c r="L265" s="27"/>
    </row>
    <row r="266" customFormat="false" ht="15" hidden="false" customHeight="false" outlineLevel="0" collapsed="false">
      <c r="A266" s="20" t="s">
        <v>209</v>
      </c>
      <c r="E266" s="21"/>
      <c r="F266" s="22"/>
      <c r="G266" s="23"/>
      <c r="H266" s="24"/>
      <c r="I266" s="25" t="str">
        <f aca="false">IF(OR(E266="",E266="!!!",F266="NEW"),"",INDEX(B$2:B259,-1+SUMPRODUCT(MAX(ROW(E$2:E259)*(E266=E$2:E259)))))</f>
        <v/>
      </c>
      <c r="J266" s="26" t="str">
        <f aca="true">IF(OR(E266="",E266="!!!",F266="NEW"),"",COUNTBLANK(OFFSET(A$1,,,SUMPRODUCT(MAX(ROW(E$2:E260)*(E266=E$2:E260)))))-COUNTBLANK(OFFSET(A$1,,,SUMPRODUCT(MAX(ROW(E$1:E259)*(E266=E$1:E259))))))</f>
        <v/>
      </c>
      <c r="K266" s="26" t="str">
        <f aca="false">IF(OR(E266="",E266="!!!",F266="NEW"),"",INDEX(J$1:J259,SUMPRODUCT(MAX(ROW(E$1:E259)*(E266=E$1:E259)))))</f>
        <v/>
      </c>
      <c r="L266" s="27"/>
    </row>
    <row r="267" customFormat="false" ht="15" hidden="false" customHeight="false" outlineLevel="0" collapsed="false">
      <c r="A267" s="20" t="s">
        <v>236</v>
      </c>
      <c r="E267" s="21"/>
      <c r="F267" s="22"/>
      <c r="G267" s="23"/>
      <c r="H267" s="24"/>
      <c r="I267" s="25" t="str">
        <f aca="false">IF(OR(E267="",E267="!!!",F267="NEW"),"",INDEX(B$2:B260,-1+SUMPRODUCT(MAX(ROW(E$2:E260)*(E267=E$2:E260)))))</f>
        <v/>
      </c>
      <c r="J267" s="26" t="str">
        <f aca="true">IF(OR(E267="",E267="!!!",F267="NEW"),"",COUNTBLANK(OFFSET(A$1,,,SUMPRODUCT(MAX(ROW(E$2:E261)*(E267=E$2:E261)))))-COUNTBLANK(OFFSET(A$1,,,SUMPRODUCT(MAX(ROW(E$1:E260)*(E267=E$1:E260))))))</f>
        <v/>
      </c>
      <c r="K267" s="26" t="str">
        <f aca="false">IF(OR(E267="",E267="!!!",F267="NEW"),"",INDEX(J$1:J260,SUMPRODUCT(MAX(ROW(E$1:E260)*(E267=E$1:E260)))))</f>
        <v/>
      </c>
      <c r="L267" s="27"/>
    </row>
    <row r="268" customFormat="false" ht="15" hidden="false" customHeight="false" outlineLevel="0" collapsed="false">
      <c r="A268" s="20" t="s">
        <v>374</v>
      </c>
      <c r="B268" s="28" t="s">
        <v>310</v>
      </c>
      <c r="C268" s="28" t="s">
        <v>197</v>
      </c>
      <c r="D268" s="28" t="s">
        <v>198</v>
      </c>
      <c r="E268" s="21" t="s">
        <v>237</v>
      </c>
      <c r="F268" s="22" t="s">
        <v>226</v>
      </c>
      <c r="G268" s="23" t="s">
        <v>227</v>
      </c>
      <c r="H268" s="24"/>
      <c r="I268" s="25" t="str">
        <f aca="false">IF(OR(E268="",E268="!!!",F268="NEW"),"",INDEX(B$2:B261,-1+SUMPRODUCT(MAX(ROW(E$2:E261)*(E268=E$2:E261)))))</f>
        <v>other_2</v>
      </c>
      <c r="J268" s="26" t="n">
        <f aca="true">IF(OR(E268="",E268="!!!",F268="NEW"),"",COUNTBLANK(OFFSET(A$1,,,SUMPRODUCT(MAX(ROW(E$2:E262)*(E268=E$2:E262)))))-COUNTBLANK(OFFSET(A$1,,,SUMPRODUCT(MAX(ROW(E$1:E261)*(E268=E$1:E261))))))</f>
        <v>0</v>
      </c>
      <c r="K268" s="26" t="n">
        <f aca="false">IF(OR(E268="",E268="!!!",F268="NEW"),"",INDEX(J$1:J261,SUMPRODUCT(MAX(ROW(E$1:E261)*(E268=E$1:E261)))))</f>
        <v>0</v>
      </c>
      <c r="L268" s="27"/>
    </row>
    <row r="269" customFormat="false" ht="15" hidden="false" customHeight="false" outlineLevel="0" collapsed="false">
      <c r="A269" s="20" t="s">
        <v>375</v>
      </c>
      <c r="E269" s="21"/>
      <c r="F269" s="22"/>
      <c r="G269" s="23"/>
      <c r="H269" s="24"/>
      <c r="I269" s="25" t="str">
        <f aca="false">IF(OR(E269="",E269="!!!",F269="NEW"),"",INDEX(B$2:B262,-1+SUMPRODUCT(MAX(ROW(E$2:E262)*(E269=E$2:E262)))))</f>
        <v/>
      </c>
      <c r="J269" s="26" t="str">
        <f aca="true">IF(OR(E269="",E269="!!!",F269="NEW"),"",COUNTBLANK(OFFSET(A$1,,,SUMPRODUCT(MAX(ROW(E$2:E263)*(E269=E$2:E263)))))-COUNTBLANK(OFFSET(A$1,,,SUMPRODUCT(MAX(ROW(E$1:E262)*(E269=E$1:E262))))))</f>
        <v/>
      </c>
      <c r="K269" s="26" t="str">
        <f aca="false">IF(OR(E269="",E269="!!!",F269="NEW"),"",INDEX(J$1:J262,SUMPRODUCT(MAX(ROW(E$1:E262)*(E269=E$1:E262)))))</f>
        <v/>
      </c>
      <c r="L269" s="27"/>
    </row>
    <row r="270" customFormat="false" ht="15" hidden="false" customHeight="false" outlineLevel="0" collapsed="false">
      <c r="A270" s="20" t="s">
        <v>330</v>
      </c>
      <c r="E270" s="21"/>
      <c r="F270" s="22"/>
      <c r="G270" s="23"/>
      <c r="H270" s="24"/>
      <c r="I270" s="25" t="str">
        <f aca="false">IF(OR(E270="",E270="!!!",F270="NEW"),"",INDEX(B$2:B263,-1+SUMPRODUCT(MAX(ROW(E$2:E263)*(E270=E$2:E263)))))</f>
        <v/>
      </c>
      <c r="J270" s="26" t="str">
        <f aca="true">IF(OR(E270="",E270="!!!",F270="NEW"),"",COUNTBLANK(OFFSET(A$1,,,SUMPRODUCT(MAX(ROW(E$2:E264)*(E270=E$2:E264)))))-COUNTBLANK(OFFSET(A$1,,,SUMPRODUCT(MAX(ROW(E$1:E263)*(E270=E$1:E263))))))</f>
        <v/>
      </c>
      <c r="K270" s="26" t="str">
        <f aca="false">IF(OR(E270="",E270="!!!",F270="NEW"),"",INDEX(J$1:J263,SUMPRODUCT(MAX(ROW(E$1:E263)*(E270=E$1:E263)))))</f>
        <v/>
      </c>
      <c r="L270" s="27"/>
    </row>
    <row r="271" customFormat="false" ht="15" hidden="false" customHeight="false" outlineLevel="0" collapsed="false">
      <c r="A271" s="20" t="s">
        <v>354</v>
      </c>
      <c r="E271" s="21"/>
      <c r="F271" s="22"/>
      <c r="G271" s="23"/>
      <c r="H271" s="24"/>
      <c r="I271" s="25" t="str">
        <f aca="false">IF(OR(E271="",E271="!!!",F271="NEW"),"",INDEX(B$2:B264,-1+SUMPRODUCT(MAX(ROW(E$2:E264)*(E271=E$2:E264)))))</f>
        <v/>
      </c>
      <c r="J271" s="26" t="str">
        <f aca="true">IF(OR(E271="",E271="!!!",F271="NEW"),"",COUNTBLANK(OFFSET(A$1,,,SUMPRODUCT(MAX(ROW(E$2:E265)*(E271=E$2:E265)))))-COUNTBLANK(OFFSET(A$1,,,SUMPRODUCT(MAX(ROW(E$1:E264)*(E271=E$1:E264))))))</f>
        <v/>
      </c>
      <c r="K271" s="26" t="str">
        <f aca="false">IF(OR(E271="",E271="!!!",F271="NEW"),"",INDEX(J$1:J264,SUMPRODUCT(MAX(ROW(E$1:E264)*(E271=E$1:E264)))))</f>
        <v/>
      </c>
      <c r="L271" s="27"/>
    </row>
    <row r="272" customFormat="false" ht="15" hidden="false" customHeight="false" outlineLevel="0" collapsed="false">
      <c r="A272" s="20" t="s">
        <v>376</v>
      </c>
      <c r="B272" s="28" t="s">
        <v>250</v>
      </c>
      <c r="C272" s="28" t="s">
        <v>357</v>
      </c>
      <c r="D272" s="28" t="s">
        <v>198</v>
      </c>
      <c r="E272" s="21" t="s">
        <v>377</v>
      </c>
      <c r="F272" s="22" t="s">
        <v>200</v>
      </c>
      <c r="G272" s="23" t="s">
        <v>212</v>
      </c>
      <c r="H272" s="24"/>
      <c r="I272" s="25" t="str">
        <f aca="false">IF(OR(E272="",E272="!!!",F272="NEW"),"",INDEX(B$2:B265,-1+SUMPRODUCT(MAX(ROW(E$2:E265)*(E272=E$2:E265)))))</f>
        <v/>
      </c>
      <c r="J272" s="26" t="str">
        <f aca="true">IF(OR(E272="",E272="!!!",F272="NEW"),"",COUNTBLANK(OFFSET(A$1,,,SUMPRODUCT(MAX(ROW(E$2:E266)*(E272=E$2:E266)))))-COUNTBLANK(OFFSET(A$1,,,SUMPRODUCT(MAX(ROW(E$1:E265)*(E272=E$1:E265))))))</f>
        <v/>
      </c>
      <c r="K272" s="26" t="str">
        <f aca="false">IF(OR(E272="",E272="!!!",F272="NEW"),"",INDEX(J$1:J265,SUMPRODUCT(MAX(ROW(E$1:E265)*(E272=E$1:E265)))))</f>
        <v/>
      </c>
      <c r="L272" s="27"/>
    </row>
    <row r="273" customFormat="false" ht="15" hidden="false" customHeight="false" outlineLevel="0" collapsed="false">
      <c r="A273" s="20" t="s">
        <v>378</v>
      </c>
      <c r="E273" s="21"/>
      <c r="F273" s="22"/>
      <c r="G273" s="23"/>
      <c r="H273" s="24"/>
      <c r="I273" s="25" t="str">
        <f aca="false">IF(OR(E273="",E273="!!!",F273="NEW"),"",INDEX(B$2:B266,-1+SUMPRODUCT(MAX(ROW(E$2:E266)*(E273=E$2:E266)))))</f>
        <v/>
      </c>
      <c r="J273" s="26" t="str">
        <f aca="true">IF(OR(E273="",E273="!!!",F273="NEW"),"",COUNTBLANK(OFFSET(A$1,,,SUMPRODUCT(MAX(ROW(E$2:E267)*(E273=E$2:E267)))))-COUNTBLANK(OFFSET(A$1,,,SUMPRODUCT(MAX(ROW(E$1:E266)*(E273=E$1:E266))))))</f>
        <v/>
      </c>
      <c r="K273" s="26" t="str">
        <f aca="false">IF(OR(E273="",E273="!!!",F273="NEW"),"",INDEX(J$1:J266,SUMPRODUCT(MAX(ROW(E$1:E266)*(E273=E$1:E266)))))</f>
        <v/>
      </c>
      <c r="L273" s="27"/>
    </row>
    <row r="274" customFormat="false" ht="15" hidden="false" customHeight="false" outlineLevel="0" collapsed="false">
      <c r="A274" s="20" t="s">
        <v>379</v>
      </c>
      <c r="E274" s="21"/>
      <c r="F274" s="22"/>
      <c r="G274" s="23"/>
      <c r="H274" s="24"/>
      <c r="I274" s="25" t="str">
        <f aca="false">IF(OR(E274="",E274="!!!",F274="NEW"),"",INDEX(B$2:B267,-1+SUMPRODUCT(MAX(ROW(E$2:E267)*(E274=E$2:E267)))))</f>
        <v/>
      </c>
      <c r="J274" s="26" t="str">
        <f aca="true">IF(OR(E274="",E274="!!!",F274="NEW"),"",COUNTBLANK(OFFSET(A$1,,,SUMPRODUCT(MAX(ROW(E$2:E268)*(E274=E$2:E268)))))-COUNTBLANK(OFFSET(A$1,,,SUMPRODUCT(MAX(ROW(E$1:E267)*(E274=E$1:E267))))))</f>
        <v/>
      </c>
      <c r="K274" s="26" t="str">
        <f aca="false">IF(OR(E274="",E274="!!!",F274="NEW"),"",INDEX(J$1:J267,SUMPRODUCT(MAX(ROW(E$1:E267)*(E274=E$1:E267)))))</f>
        <v/>
      </c>
      <c r="L274" s="27"/>
    </row>
    <row r="275" customFormat="false" ht="15" hidden="false" customHeight="false" outlineLevel="0" collapsed="false">
      <c r="A275" s="20" t="s">
        <v>328</v>
      </c>
      <c r="B275" s="28" t="s">
        <v>222</v>
      </c>
      <c r="C275" s="28" t="s">
        <v>197</v>
      </c>
      <c r="D275" s="28" t="s">
        <v>198</v>
      </c>
      <c r="E275" s="21" t="s">
        <v>208</v>
      </c>
      <c r="F275" s="22" t="s">
        <v>226</v>
      </c>
      <c r="G275" s="23" t="s">
        <v>227</v>
      </c>
      <c r="H275" s="24"/>
      <c r="I275" s="25" t="str">
        <f aca="false">IF(OR(E275="",E275="!!!",F275="NEW"),"",INDEX(B$2:B268,-1+SUMPRODUCT(MAX(ROW(E$2:E268)*(E275=E$2:E268)))))</f>
        <v>SBJ_3</v>
      </c>
      <c r="J275" s="26" t="n">
        <f aca="true">IF(OR(E275="",E275="!!!",F275="NEW"),"",COUNTBLANK(OFFSET(A$1,,,SUMPRODUCT(MAX(ROW(E$2:E269)*(E275=E$2:E269)))))-COUNTBLANK(OFFSET(A$1,,,SUMPRODUCT(MAX(ROW(E$1:E268)*(E275=E$1:E268))))))</f>
        <v>0</v>
      </c>
      <c r="K275" s="26" t="n">
        <f aca="false">IF(OR(E275="",E275="!!!",F275="NEW"),"",INDEX(J$1:J268,SUMPRODUCT(MAX(ROW(E$1:E268)*(E275=E$1:E268)))))</f>
        <v>0</v>
      </c>
      <c r="L275" s="27"/>
    </row>
    <row r="276" customFormat="false" ht="15" hidden="false" customHeight="false" outlineLevel="0" collapsed="false">
      <c r="A276" s="20" t="s">
        <v>380</v>
      </c>
      <c r="E276" s="21"/>
      <c r="F276" s="22"/>
      <c r="G276" s="23"/>
      <c r="H276" s="24"/>
      <c r="I276" s="25" t="str">
        <f aca="false">IF(OR(E276="",E276="!!!",F276="NEW"),"",INDEX(B$2:B269,-1+SUMPRODUCT(MAX(ROW(E$2:E269)*(E276=E$2:E269)))))</f>
        <v/>
      </c>
      <c r="J276" s="26" t="str">
        <f aca="true">IF(OR(E276="",E276="!!!",F276="NEW"),"",COUNTBLANK(OFFSET(A$1,,,SUMPRODUCT(MAX(ROW(E$2:E270)*(E276=E$2:E270)))))-COUNTBLANK(OFFSET(A$1,,,SUMPRODUCT(MAX(ROW(E$1:E269)*(E276=E$1:E269))))))</f>
        <v/>
      </c>
      <c r="K276" s="26" t="str">
        <f aca="false">IF(OR(E276="",E276="!!!",F276="NEW"),"",INDEX(J$1:J269,SUMPRODUCT(MAX(ROW(E$1:E269)*(E276=E$1:E269)))))</f>
        <v/>
      </c>
      <c r="L276" s="27"/>
    </row>
    <row r="277" customFormat="false" ht="15" hidden="false" customHeight="false" outlineLevel="0" collapsed="false">
      <c r="A277" s="20" t="s">
        <v>244</v>
      </c>
      <c r="E277" s="21"/>
      <c r="F277" s="22"/>
      <c r="G277" s="23"/>
      <c r="H277" s="24"/>
      <c r="I277" s="25" t="str">
        <f aca="false">IF(OR(E277="",E277="!!!",F277="NEW"),"",INDEX(B$2:B270,-1+SUMPRODUCT(MAX(ROW(E$2:E270)*(E277=E$2:E270)))))</f>
        <v/>
      </c>
      <c r="J277" s="26" t="str">
        <f aca="true">IF(OR(E277="",E277="!!!",F277="NEW"),"",COUNTBLANK(OFFSET(A$1,,,SUMPRODUCT(MAX(ROW(E$2:E271)*(E277=E$2:E271)))))-COUNTBLANK(OFFSET(A$1,,,SUMPRODUCT(MAX(ROW(E$1:E270)*(E277=E$1:E270))))))</f>
        <v/>
      </c>
      <c r="K277" s="26" t="str">
        <f aca="false">IF(OR(E277="",E277="!!!",F277="NEW"),"",INDEX(J$1:J270,SUMPRODUCT(MAX(ROW(E$1:E270)*(E277=E$1:E270)))))</f>
        <v/>
      </c>
      <c r="L277" s="27"/>
    </row>
    <row r="278" customFormat="false" ht="15" hidden="false" customHeight="false" outlineLevel="0" collapsed="false">
      <c r="A278" s="20"/>
      <c r="E278" s="21"/>
      <c r="F278" s="22"/>
      <c r="G278" s="23"/>
      <c r="H278" s="24"/>
      <c r="I278" s="25" t="str">
        <f aca="false">IF(OR(E278="",E278="!!!",F278="NEW"),"",INDEX(B$2:B271,-1+SUMPRODUCT(MAX(ROW(E$2:E271)*(E278=E$2:E271)))))</f>
        <v/>
      </c>
      <c r="J278" s="26" t="str">
        <f aca="true">IF(OR(E278="",E278="!!!",F278="NEW"),"",COUNTBLANK(OFFSET(A$1,,,SUMPRODUCT(MAX(ROW(E$2:E272)*(E278=E$2:E272)))))-COUNTBLANK(OFFSET(A$1,,,SUMPRODUCT(MAX(ROW(E$1:E271)*(E278=E$1:E271))))))</f>
        <v/>
      </c>
      <c r="K278" s="26" t="str">
        <f aca="false">IF(OR(E278="",E278="!!!",F278="NEW"),"",INDEX(J$1:J271,SUMPRODUCT(MAX(ROW(E$1:E271)*(E278=E$1:E271)))))</f>
        <v/>
      </c>
      <c r="L278" s="27"/>
    </row>
    <row r="279" customFormat="false" ht="15" hidden="false" customHeight="false" outlineLevel="0" collapsed="false">
      <c r="A279" s="20" t="s">
        <v>381</v>
      </c>
      <c r="E279" s="21"/>
      <c r="F279" s="22"/>
      <c r="G279" s="23"/>
      <c r="H279" s="24"/>
      <c r="I279" s="25" t="str">
        <f aca="false">IF(OR(E279="",E279="!!!",F279="NEW"),"",INDEX(B$2:B272,-1+SUMPRODUCT(MAX(ROW(E$2:E272)*(E279=E$2:E272)))))</f>
        <v/>
      </c>
      <c r="J279" s="26" t="str">
        <f aca="true">IF(OR(E279="",E279="!!!",F279="NEW"),"",COUNTBLANK(OFFSET(A$1,,,SUMPRODUCT(MAX(ROW(E$2:E273)*(E279=E$2:E273)))))-COUNTBLANK(OFFSET(A$1,,,SUMPRODUCT(MAX(ROW(E$1:E272)*(E279=E$1:E272))))))</f>
        <v/>
      </c>
      <c r="K279" s="26" t="str">
        <f aca="false">IF(OR(E279="",E279="!!!",F279="NEW"),"",INDEX(J$1:J272,SUMPRODUCT(MAX(ROW(E$1:E272)*(E279=E$1:E272)))))</f>
        <v/>
      </c>
      <c r="L279" s="27"/>
    </row>
    <row r="280" customFormat="false" ht="15" hidden="false" customHeight="false" outlineLevel="0" collapsed="false">
      <c r="A280" s="20" t="s">
        <v>382</v>
      </c>
      <c r="B280" s="28" t="s">
        <v>196</v>
      </c>
      <c r="C280" s="28" t="s">
        <v>197</v>
      </c>
      <c r="D280" s="28" t="s">
        <v>198</v>
      </c>
      <c r="E280" s="21" t="s">
        <v>358</v>
      </c>
      <c r="F280" s="22" t="s">
        <v>226</v>
      </c>
      <c r="G280" s="23" t="s">
        <v>247</v>
      </c>
      <c r="H280" s="24" t="s">
        <v>189</v>
      </c>
      <c r="I280" s="25" t="str">
        <f aca="false">IF(OR(E280="",E280="!!!",F280="NEW"),"",INDEX(B$2:B273,-1+SUMPRODUCT(MAX(ROW(E$2:E273)*(E280=E$2:E273)))))</f>
        <v>OBJ_3</v>
      </c>
      <c r="J280" s="26" t="n">
        <f aca="true">IF(OR(E280="",E280="!!!",F280="NEW"),"",COUNTBLANK(OFFSET(A$1,,,SUMPRODUCT(MAX(ROW(E$2:E274)*(E280=E$2:E274)))))-COUNTBLANK(OFFSET(A$1,,,SUMPRODUCT(MAX(ROW(E$1:E273)*(E280=E$1:E273))))))</f>
        <v>0</v>
      </c>
      <c r="K280" s="26" t="str">
        <f aca="false">IF(OR(E280="",E280="!!!",F280="NEW"),"",INDEX(J$1:J273,SUMPRODUCT(MAX(ROW(E$1:E273)*(E280=E$1:E273)))))</f>
        <v/>
      </c>
      <c r="L280" s="27"/>
    </row>
    <row r="281" customFormat="false" ht="15" hidden="false" customHeight="false" outlineLevel="0" collapsed="false">
      <c r="A281" s="20" t="s">
        <v>383</v>
      </c>
      <c r="E281" s="21"/>
      <c r="F281" s="22"/>
      <c r="G281" s="23"/>
      <c r="H281" s="24"/>
      <c r="I281" s="25" t="str">
        <f aca="false">IF(OR(E281="",E281="!!!",F281="NEW"),"",INDEX(B$2:B274,-1+SUMPRODUCT(MAX(ROW(E$2:E274)*(E281=E$2:E274)))))</f>
        <v/>
      </c>
      <c r="J281" s="26" t="str">
        <f aca="true">IF(OR(E281="",E281="!!!",F281="NEW"),"",COUNTBLANK(OFFSET(A$1,,,SUMPRODUCT(MAX(ROW(E$2:E275)*(E281=E$2:E275)))))-COUNTBLANK(OFFSET(A$1,,,SUMPRODUCT(MAX(ROW(E$1:E274)*(E281=E$1:E274))))))</f>
        <v/>
      </c>
      <c r="K281" s="26" t="str">
        <f aca="false">IF(OR(E281="",E281="!!!",F281="NEW"),"",INDEX(J$1:J274,SUMPRODUCT(MAX(ROW(E$1:E274)*(E281=E$1:E274)))))</f>
        <v/>
      </c>
      <c r="L281" s="27"/>
    </row>
    <row r="282" customFormat="false" ht="15" hidden="false" customHeight="false" outlineLevel="0" collapsed="false">
      <c r="A282" s="20" t="s">
        <v>384</v>
      </c>
      <c r="E282" s="21"/>
      <c r="F282" s="22"/>
      <c r="G282" s="23"/>
      <c r="H282" s="24"/>
      <c r="I282" s="25" t="str">
        <f aca="false">IF(OR(E282="",E282="!!!",F282="NEW"),"",INDEX(B$2:B275,-1+SUMPRODUCT(MAX(ROW(E$2:E275)*(E282=E$2:E275)))))</f>
        <v/>
      </c>
      <c r="J282" s="26" t="str">
        <f aca="true">IF(OR(E282="",E282="!!!",F282="NEW"),"",COUNTBLANK(OFFSET(A$1,,,SUMPRODUCT(MAX(ROW(E$2:E276)*(E282=E$2:E276)))))-COUNTBLANK(OFFSET(A$1,,,SUMPRODUCT(MAX(ROW(E$1:E275)*(E282=E$1:E275))))))</f>
        <v/>
      </c>
      <c r="K282" s="26" t="str">
        <f aca="false">IF(OR(E282="",E282="!!!",F282="NEW"),"",INDEX(J$1:J275,SUMPRODUCT(MAX(ROW(E$1:E275)*(E282=E$1:E275)))))</f>
        <v/>
      </c>
      <c r="L282" s="27"/>
    </row>
    <row r="283" customFormat="false" ht="15" hidden="false" customHeight="false" outlineLevel="0" collapsed="false">
      <c r="A283" s="20" t="s">
        <v>204</v>
      </c>
      <c r="E283" s="21"/>
      <c r="F283" s="22"/>
      <c r="G283" s="23"/>
      <c r="H283" s="24"/>
      <c r="I283" s="25" t="str">
        <f aca="false">IF(OR(E283="",E283="!!!",F283="NEW"),"",INDEX(B$2:B276,-1+SUMPRODUCT(MAX(ROW(E$2:E276)*(E283=E$2:E276)))))</f>
        <v/>
      </c>
      <c r="J283" s="26" t="str">
        <f aca="true">IF(OR(E283="",E283="!!!",F283="NEW"),"",COUNTBLANK(OFFSET(A$1,,,SUMPRODUCT(MAX(ROW(E$2:E277)*(E283=E$2:E277)))))-COUNTBLANK(OFFSET(A$1,,,SUMPRODUCT(MAX(ROW(E$1:E276)*(E283=E$1:E276))))))</f>
        <v/>
      </c>
      <c r="K283" s="26" t="str">
        <f aca="false">IF(OR(E283="",E283="!!!",F283="NEW"),"",INDEX(J$1:J276,SUMPRODUCT(MAX(ROW(E$1:E276)*(E283=E$1:E276)))))</f>
        <v/>
      </c>
      <c r="L283" s="27"/>
    </row>
    <row r="284" customFormat="false" ht="15" hidden="false" customHeight="false" outlineLevel="0" collapsed="false">
      <c r="A284" s="20" t="s">
        <v>385</v>
      </c>
      <c r="B284" s="28" t="s">
        <v>206</v>
      </c>
      <c r="C284" s="28" t="s">
        <v>207</v>
      </c>
      <c r="D284" s="28" t="s">
        <v>198</v>
      </c>
      <c r="E284" s="21" t="s">
        <v>358</v>
      </c>
      <c r="F284" s="22" t="s">
        <v>226</v>
      </c>
      <c r="G284" s="23" t="s">
        <v>227</v>
      </c>
      <c r="H284" s="24"/>
      <c r="I284" s="25" t="str">
        <f aca="false">IF(OR(E284="",E284="!!!",F284="NEW"),"",INDEX(B$2:B277,-1+SUMPRODUCT(MAX(ROW(E$2:E277)*(E284=E$2:E277)))))</f>
        <v>OBJ_3</v>
      </c>
      <c r="J284" s="26" t="n">
        <f aca="true">IF(OR(E284="",E284="!!!",F284="NEW"),"",COUNTBLANK(OFFSET(A$1,,,SUMPRODUCT(MAX(ROW(E$2:E278)*(E284=E$2:E278)))))-COUNTBLANK(OFFSET(A$1,,,SUMPRODUCT(MAX(ROW(E$1:E277)*(E284=E$1:E277))))))</f>
        <v>0</v>
      </c>
      <c r="K284" s="26" t="str">
        <f aca="false">IF(OR(E284="",E284="!!!",F284="NEW"),"",INDEX(J$1:J277,SUMPRODUCT(MAX(ROW(E$1:E277)*(E284=E$1:E277)))))</f>
        <v/>
      </c>
      <c r="L284" s="27"/>
    </row>
    <row r="285" customFormat="false" ht="15" hidden="false" customHeight="false" outlineLevel="0" collapsed="false">
      <c r="A285" s="20" t="s">
        <v>386</v>
      </c>
      <c r="B285" s="28" t="s">
        <v>222</v>
      </c>
      <c r="E285" s="21"/>
      <c r="F285" s="22"/>
      <c r="G285" s="23"/>
      <c r="H285" s="24"/>
      <c r="I285" s="25" t="str">
        <f aca="false">IF(OR(E285="",E285="!!!",F285="NEW"),"",INDEX(B$2:B278,-1+SUMPRODUCT(MAX(ROW(E$2:E278)*(E285=E$2:E278)))))</f>
        <v/>
      </c>
      <c r="J285" s="26" t="str">
        <f aca="true">IF(OR(E285="",E285="!!!",F285="NEW"),"",COUNTBLANK(OFFSET(A$1,,,SUMPRODUCT(MAX(ROW(E$2:E279)*(E285=E$2:E279)))))-COUNTBLANK(OFFSET(A$1,,,SUMPRODUCT(MAX(ROW(E$1:E278)*(E285=E$1:E278))))))</f>
        <v/>
      </c>
      <c r="K285" s="26" t="str">
        <f aca="false">IF(OR(E285="",E285="!!!",F285="NEW"),"",INDEX(J$1:J278,SUMPRODUCT(MAX(ROW(E$1:E278)*(E285=E$1:E278)))))</f>
        <v/>
      </c>
      <c r="L285" s="27"/>
    </row>
    <row r="286" customFormat="false" ht="15" hidden="false" customHeight="false" outlineLevel="0" collapsed="false">
      <c r="A286" s="20" t="s">
        <v>262</v>
      </c>
      <c r="E286" s="21"/>
      <c r="F286" s="22"/>
      <c r="G286" s="23"/>
      <c r="H286" s="24"/>
      <c r="I286" s="25" t="str">
        <f aca="false">IF(OR(E286="",E286="!!!",F286="NEW"),"",INDEX(B$2:B279,-1+SUMPRODUCT(MAX(ROW(E$2:E279)*(E286=E$2:E279)))))</f>
        <v/>
      </c>
      <c r="J286" s="26" t="str">
        <f aca="true">IF(OR(E286="",E286="!!!",F286="NEW"),"",COUNTBLANK(OFFSET(A$1,,,SUMPRODUCT(MAX(ROW(E$2:E280)*(E286=E$2:E280)))))-COUNTBLANK(OFFSET(A$1,,,SUMPRODUCT(MAX(ROW(E$1:E279)*(E286=E$1:E279))))))</f>
        <v/>
      </c>
      <c r="K286" s="26" t="str">
        <f aca="false">IF(OR(E286="",E286="!!!",F286="NEW"),"",INDEX(J$1:J279,SUMPRODUCT(MAX(ROW(E$1:E279)*(E286=E$1:E279)))))</f>
        <v/>
      </c>
      <c r="L286" s="27"/>
    </row>
    <row r="287" customFormat="false" ht="15" hidden="false" customHeight="false" outlineLevel="0" collapsed="false">
      <c r="A287" s="20" t="s">
        <v>387</v>
      </c>
      <c r="E287" s="21"/>
      <c r="F287" s="22"/>
      <c r="G287" s="23"/>
      <c r="H287" s="24"/>
      <c r="I287" s="25" t="str">
        <f aca="false">IF(OR(E287="",E287="!!!",F287="NEW"),"",INDEX(B$2:B280,-1+SUMPRODUCT(MAX(ROW(E$2:E280)*(E287=E$2:E280)))))</f>
        <v/>
      </c>
      <c r="J287" s="26" t="str">
        <f aca="true">IF(OR(E287="",E287="!!!",F287="NEW"),"",COUNTBLANK(OFFSET(A$1,,,SUMPRODUCT(MAX(ROW(E$2:E281)*(E287=E$2:E281)))))-COUNTBLANK(OFFSET(A$1,,,SUMPRODUCT(MAX(ROW(E$1:E280)*(E287=E$1:E280))))))</f>
        <v/>
      </c>
      <c r="K287" s="26" t="str">
        <f aca="false">IF(OR(E287="",E287="!!!",F287="NEW"),"",INDEX(J$1:J280,SUMPRODUCT(MAX(ROW(E$1:E280)*(E287=E$1:E280)))))</f>
        <v/>
      </c>
      <c r="L287" s="27"/>
    </row>
    <row r="288" customFormat="false" ht="15" hidden="false" customHeight="false" outlineLevel="0" collapsed="false">
      <c r="A288" s="20" t="s">
        <v>308</v>
      </c>
      <c r="E288" s="21"/>
      <c r="F288" s="22"/>
      <c r="G288" s="23"/>
      <c r="H288" s="24"/>
      <c r="I288" s="25" t="str">
        <f aca="false">IF(OR(E288="",E288="!!!",F288="NEW"),"",INDEX(B$2:B281,-1+SUMPRODUCT(MAX(ROW(E$2:E281)*(E288=E$2:E281)))))</f>
        <v/>
      </c>
      <c r="J288" s="26" t="str">
        <f aca="true">IF(OR(E288="",E288="!!!",F288="NEW"),"",COUNTBLANK(OFFSET(A$1,,,SUMPRODUCT(MAX(ROW(E$2:E282)*(E288=E$2:E282)))))-COUNTBLANK(OFFSET(A$1,,,SUMPRODUCT(MAX(ROW(E$1:E281)*(E288=E$1:E281))))))</f>
        <v/>
      </c>
      <c r="K288" s="26" t="str">
        <f aca="false">IF(OR(E288="",E288="!!!",F288="NEW"),"",INDEX(J$1:J281,SUMPRODUCT(MAX(ROW(E$1:E281)*(E288=E$1:E281)))))</f>
        <v/>
      </c>
      <c r="L288" s="27"/>
    </row>
    <row r="289" customFormat="false" ht="15" hidden="false" customHeight="false" outlineLevel="0" collapsed="false">
      <c r="A289" s="20" t="s">
        <v>388</v>
      </c>
      <c r="E289" s="21"/>
      <c r="F289" s="22"/>
      <c r="G289" s="23"/>
      <c r="H289" s="24"/>
      <c r="I289" s="25" t="str">
        <f aca="false">IF(OR(E289="",E289="!!!",F289="NEW"),"",INDEX(B$2:B282,-1+SUMPRODUCT(MAX(ROW(E$2:E282)*(E289=E$2:E282)))))</f>
        <v/>
      </c>
      <c r="J289" s="26" t="str">
        <f aca="true">IF(OR(E289="",E289="!!!",F289="NEW"),"",COUNTBLANK(OFFSET(A$1,,,SUMPRODUCT(MAX(ROW(E$2:E283)*(E289=E$2:E283)))))-COUNTBLANK(OFFSET(A$1,,,SUMPRODUCT(MAX(ROW(E$1:E282)*(E289=E$1:E282))))))</f>
        <v/>
      </c>
      <c r="K289" s="26" t="str">
        <f aca="false">IF(OR(E289="",E289="!!!",F289="NEW"),"",INDEX(J$1:J282,SUMPRODUCT(MAX(ROW(E$1:E282)*(E289=E$1:E282)))))</f>
        <v/>
      </c>
      <c r="L289" s="27"/>
    </row>
    <row r="290" customFormat="false" ht="15" hidden="false" customHeight="false" outlineLevel="0" collapsed="false">
      <c r="A290" s="20" t="s">
        <v>355</v>
      </c>
      <c r="E290" s="21"/>
      <c r="F290" s="22"/>
      <c r="G290" s="23"/>
      <c r="H290" s="24"/>
      <c r="I290" s="25" t="str">
        <f aca="false">IF(OR(E290="",E290="!!!",F290="NEW"),"",INDEX(B$2:B283,-1+SUMPRODUCT(MAX(ROW(E$2:E283)*(E290=E$2:E283)))))</f>
        <v/>
      </c>
      <c r="J290" s="26" t="str">
        <f aca="true">IF(OR(E290="",E290="!!!",F290="NEW"),"",COUNTBLANK(OFFSET(A$1,,,SUMPRODUCT(MAX(ROW(E$2:E284)*(E290=E$2:E284)))))-COUNTBLANK(OFFSET(A$1,,,SUMPRODUCT(MAX(ROW(E$1:E283)*(E290=E$1:E283))))))</f>
        <v/>
      </c>
      <c r="K290" s="26" t="str">
        <f aca="false">IF(OR(E290="",E290="!!!",F290="NEW"),"",INDEX(J$1:J283,SUMPRODUCT(MAX(ROW(E$1:E283)*(E290=E$1:E283)))))</f>
        <v/>
      </c>
      <c r="L290" s="27"/>
    </row>
    <row r="291" customFormat="false" ht="15" hidden="false" customHeight="false" outlineLevel="0" collapsed="false">
      <c r="A291" s="20" t="s">
        <v>328</v>
      </c>
      <c r="B291" s="28" t="s">
        <v>215</v>
      </c>
      <c r="C291" s="28" t="s">
        <v>197</v>
      </c>
      <c r="D291" s="28" t="s">
        <v>198</v>
      </c>
      <c r="E291" s="21" t="s">
        <v>208</v>
      </c>
      <c r="F291" s="22" t="s">
        <v>226</v>
      </c>
      <c r="G291" s="23" t="s">
        <v>247</v>
      </c>
      <c r="H291" s="24"/>
      <c r="I291" s="25" t="str">
        <f aca="false">IF(OR(E291="",E291="!!!",F291="NEW"),"",INDEX(B$2:B284,-1+SUMPRODUCT(MAX(ROW(E$2:E284)*(E291=E$2:E284)))))</f>
        <v>SBJ_2</v>
      </c>
      <c r="J291" s="26" t="n">
        <f aca="true">IF(OR(E291="",E291="!!!",F291="NEW"),"",COUNTBLANK(OFFSET(A$1,,,SUMPRODUCT(MAX(ROW(E$2:E285)*(E291=E$2:E285)))))-COUNTBLANK(OFFSET(A$1,,,SUMPRODUCT(MAX(ROW(E$1:E284)*(E291=E$1:E284))))))</f>
        <v>0</v>
      </c>
      <c r="K291" s="26" t="n">
        <f aca="false">IF(OR(E291="",E291="!!!",F291="NEW"),"",INDEX(J$1:J284,SUMPRODUCT(MAX(ROW(E$1:E284)*(E291=E$1:E284)))))</f>
        <v>0</v>
      </c>
      <c r="L291" s="27"/>
    </row>
    <row r="292" customFormat="false" ht="15" hidden="false" customHeight="false" outlineLevel="0" collapsed="false">
      <c r="A292" s="20" t="s">
        <v>209</v>
      </c>
      <c r="E292" s="21"/>
      <c r="F292" s="22"/>
      <c r="G292" s="23"/>
      <c r="H292" s="24"/>
      <c r="I292" s="25" t="str">
        <f aca="false">IF(OR(E292="",E292="!!!",F292="NEW"),"",INDEX(B$2:B285,-1+SUMPRODUCT(MAX(ROW(E$2:E285)*(E292=E$2:E285)))))</f>
        <v/>
      </c>
      <c r="J292" s="26" t="str">
        <f aca="true">IF(OR(E292="",E292="!!!",F292="NEW"),"",COUNTBLANK(OFFSET(A$1,,,SUMPRODUCT(MAX(ROW(E$2:E286)*(E292=E$2:E286)))))-COUNTBLANK(OFFSET(A$1,,,SUMPRODUCT(MAX(ROW(E$1:E285)*(E292=E$1:E285))))))</f>
        <v/>
      </c>
      <c r="K292" s="26" t="str">
        <f aca="false">IF(OR(E292="",E292="!!!",F292="NEW"),"",INDEX(J$1:J285,SUMPRODUCT(MAX(ROW(E$1:E285)*(E292=E$1:E285)))))</f>
        <v/>
      </c>
      <c r="L292" s="27"/>
    </row>
    <row r="293" customFormat="false" ht="15" hidden="false" customHeight="false" outlineLevel="0" collapsed="false">
      <c r="A293" s="20" t="s">
        <v>204</v>
      </c>
      <c r="E293" s="21"/>
      <c r="F293" s="22"/>
      <c r="G293" s="23"/>
      <c r="H293" s="24"/>
      <c r="I293" s="25" t="str">
        <f aca="false">IF(OR(E293="",E293="!!!",F293="NEW"),"",INDEX(B$2:B286,-1+SUMPRODUCT(MAX(ROW(E$2:E286)*(E293=E$2:E286)))))</f>
        <v/>
      </c>
      <c r="J293" s="26" t="str">
        <f aca="true">IF(OR(E293="",E293="!!!",F293="NEW"),"",COUNTBLANK(OFFSET(A$1,,,SUMPRODUCT(MAX(ROW(E$2:E287)*(E293=E$2:E287)))))-COUNTBLANK(OFFSET(A$1,,,SUMPRODUCT(MAX(ROW(E$1:E286)*(E293=E$1:E286))))))</f>
        <v/>
      </c>
      <c r="K293" s="26" t="str">
        <f aca="false">IF(OR(E293="",E293="!!!",F293="NEW"),"",INDEX(J$1:J286,SUMPRODUCT(MAX(ROW(E$1:E286)*(E293=E$1:E286)))))</f>
        <v/>
      </c>
      <c r="L293" s="27"/>
    </row>
    <row r="294" customFormat="false" ht="15" hidden="false" customHeight="false" outlineLevel="0" collapsed="false">
      <c r="A294" s="20" t="s">
        <v>389</v>
      </c>
      <c r="B294" s="28" t="s">
        <v>206</v>
      </c>
      <c r="C294" s="28" t="s">
        <v>207</v>
      </c>
      <c r="D294" s="28" t="s">
        <v>198</v>
      </c>
      <c r="E294" s="21" t="s">
        <v>208</v>
      </c>
      <c r="F294" s="22" t="s">
        <v>226</v>
      </c>
      <c r="G294" s="23" t="s">
        <v>227</v>
      </c>
      <c r="H294" s="24"/>
      <c r="I294" s="25" t="str">
        <f aca="false">IF(OR(E294="",E294="!!!",F294="NEW"),"",INDEX(B$2:B287,-1+SUMPRODUCT(MAX(ROW(E$2:E287)*(E294=E$2:E287)))))</f>
        <v>SBJ_2</v>
      </c>
      <c r="J294" s="26" t="n">
        <f aca="true">IF(OR(E294="",E294="!!!",F294="NEW"),"",COUNTBLANK(OFFSET(A$1,,,SUMPRODUCT(MAX(ROW(E$2:E288)*(E294=E$2:E288)))))-COUNTBLANK(OFFSET(A$1,,,SUMPRODUCT(MAX(ROW(E$1:E287)*(E294=E$1:E287))))))</f>
        <v>0</v>
      </c>
      <c r="K294" s="26" t="n">
        <f aca="false">IF(OR(E294="",E294="!!!",F294="NEW"),"",INDEX(J$1:J287,SUMPRODUCT(MAX(ROW(E$1:E287)*(E294=E$1:E287)))))</f>
        <v>0</v>
      </c>
      <c r="L294" s="27"/>
    </row>
    <row r="295" customFormat="false" ht="15" hidden="false" customHeight="false" outlineLevel="0" collapsed="false">
      <c r="A295" s="20" t="s">
        <v>209</v>
      </c>
      <c r="E295" s="21"/>
      <c r="F295" s="22"/>
      <c r="G295" s="23"/>
      <c r="H295" s="24"/>
      <c r="I295" s="25" t="str">
        <f aca="false">IF(OR(E295="",E295="!!!",F295="NEW"),"",INDEX(B$2:B288,-1+SUMPRODUCT(MAX(ROW(E$2:E288)*(E295=E$2:E288)))))</f>
        <v/>
      </c>
      <c r="J295" s="26" t="str">
        <f aca="true">IF(OR(E295="",E295="!!!",F295="NEW"),"",COUNTBLANK(OFFSET(A$1,,,SUMPRODUCT(MAX(ROW(E$2:E289)*(E295=E$2:E289)))))-COUNTBLANK(OFFSET(A$1,,,SUMPRODUCT(MAX(ROW(E$1:E288)*(E295=E$1:E288))))))</f>
        <v/>
      </c>
      <c r="K295" s="26" t="str">
        <f aca="false">IF(OR(E295="",E295="!!!",F295="NEW"),"",INDEX(J$1:J288,SUMPRODUCT(MAX(ROW(E$1:E288)*(E295=E$1:E288)))))</f>
        <v/>
      </c>
      <c r="L295" s="27"/>
    </row>
    <row r="296" customFormat="false" ht="15" hidden="false" customHeight="false" outlineLevel="0" collapsed="false">
      <c r="A296" s="20" t="s">
        <v>386</v>
      </c>
      <c r="B296" s="28" t="s">
        <v>270</v>
      </c>
      <c r="E296" s="21"/>
      <c r="F296" s="22"/>
      <c r="G296" s="23"/>
      <c r="H296" s="24"/>
      <c r="I296" s="25" t="str">
        <f aca="false">IF(OR(E296="",E296="!!!",F296="NEW"),"",INDEX(B$2:B289,-1+SUMPRODUCT(MAX(ROW(E$2:E289)*(E296=E$2:E289)))))</f>
        <v/>
      </c>
      <c r="J296" s="26" t="str">
        <f aca="true">IF(OR(E296="",E296="!!!",F296="NEW"),"",COUNTBLANK(OFFSET(A$1,,,SUMPRODUCT(MAX(ROW(E$2:E290)*(E296=E$2:E290)))))-COUNTBLANK(OFFSET(A$1,,,SUMPRODUCT(MAX(ROW(E$1:E289)*(E296=E$1:E289))))))</f>
        <v/>
      </c>
      <c r="K296" s="26" t="str">
        <f aca="false">IF(OR(E296="",E296="!!!",F296="NEW"),"",INDEX(J$1:J289,SUMPRODUCT(MAX(ROW(E$1:E289)*(E296=E$1:E289)))))</f>
        <v/>
      </c>
      <c r="L296" s="27"/>
    </row>
    <row r="297" customFormat="false" ht="15" hidden="false" customHeight="false" outlineLevel="0" collapsed="false">
      <c r="A297" s="20" t="s">
        <v>359</v>
      </c>
      <c r="E297" s="21"/>
      <c r="F297" s="22"/>
      <c r="G297" s="23"/>
      <c r="H297" s="24"/>
      <c r="I297" s="25" t="str">
        <f aca="false">IF(OR(E297="",E297="!!!",F297="NEW"),"",INDEX(B$2:B290,-1+SUMPRODUCT(MAX(ROW(E$2:E290)*(E297=E$2:E290)))))</f>
        <v/>
      </c>
      <c r="J297" s="26" t="str">
        <f aca="true">IF(OR(E297="",E297="!!!",F297="NEW"),"",COUNTBLANK(OFFSET(A$1,,,SUMPRODUCT(MAX(ROW(E$2:E291)*(E297=E$2:E291)))))-COUNTBLANK(OFFSET(A$1,,,SUMPRODUCT(MAX(ROW(E$1:E290)*(E297=E$1:E290))))))</f>
        <v/>
      </c>
      <c r="K297" s="26" t="str">
        <f aca="false">IF(OR(E297="",E297="!!!",F297="NEW"),"",INDEX(J$1:J290,SUMPRODUCT(MAX(ROW(E$1:E290)*(E297=E$1:E290)))))</f>
        <v/>
      </c>
      <c r="L297" s="27"/>
    </row>
    <row r="298" customFormat="false" ht="15" hidden="false" customHeight="false" outlineLevel="0" collapsed="false">
      <c r="A298" s="20" t="s">
        <v>390</v>
      </c>
      <c r="E298" s="21"/>
      <c r="F298" s="22"/>
      <c r="G298" s="23"/>
      <c r="H298" s="24"/>
      <c r="I298" s="25" t="str">
        <f aca="false">IF(OR(E298="",E298="!!!",F298="NEW"),"",INDEX(B$2:B291,-1+SUMPRODUCT(MAX(ROW(E$2:E291)*(E298=E$2:E291)))))</f>
        <v/>
      </c>
      <c r="J298" s="26" t="str">
        <f aca="true">IF(OR(E298="",E298="!!!",F298="NEW"),"",COUNTBLANK(OFFSET(A$1,,,SUMPRODUCT(MAX(ROW(E$2:E292)*(E298=E$2:E292)))))-COUNTBLANK(OFFSET(A$1,,,SUMPRODUCT(MAX(ROW(E$1:E291)*(E298=E$1:E291))))))</f>
        <v/>
      </c>
      <c r="K298" s="26" t="str">
        <f aca="false">IF(OR(E298="",E298="!!!",F298="NEW"),"",INDEX(J$1:J291,SUMPRODUCT(MAX(ROW(E$1:E291)*(E298=E$1:E291)))))</f>
        <v/>
      </c>
      <c r="L298" s="27"/>
    </row>
    <row r="299" customFormat="false" ht="15" hidden="false" customHeight="false" outlineLevel="0" collapsed="false">
      <c r="A299" s="20" t="s">
        <v>204</v>
      </c>
      <c r="E299" s="21"/>
      <c r="F299" s="22"/>
      <c r="G299" s="23"/>
      <c r="H299" s="24"/>
      <c r="I299" s="25" t="str">
        <f aca="false">IF(OR(E299="",E299="!!!",F299="NEW"),"",INDEX(B$2:B292,-1+SUMPRODUCT(MAX(ROW(E$2:E292)*(E299=E$2:E292)))))</f>
        <v/>
      </c>
      <c r="J299" s="26" t="str">
        <f aca="true">IF(OR(E299="",E299="!!!",F299="NEW"),"",COUNTBLANK(OFFSET(A$1,,,SUMPRODUCT(MAX(ROW(E$2:E293)*(E299=E$2:E293)))))-COUNTBLANK(OFFSET(A$1,,,SUMPRODUCT(MAX(ROW(E$1:E292)*(E299=E$1:E292))))))</f>
        <v/>
      </c>
      <c r="K299" s="26" t="str">
        <f aca="false">IF(OR(E299="",E299="!!!",F299="NEW"),"",INDEX(J$1:J292,SUMPRODUCT(MAX(ROW(E$1:E292)*(E299=E$1:E292)))))</f>
        <v/>
      </c>
      <c r="L299" s="27"/>
    </row>
    <row r="300" customFormat="false" ht="15" hidden="false" customHeight="false" outlineLevel="0" collapsed="false">
      <c r="A300" s="20" t="s">
        <v>391</v>
      </c>
      <c r="B300" s="28" t="s">
        <v>240</v>
      </c>
      <c r="C300" s="28" t="s">
        <v>207</v>
      </c>
      <c r="D300" s="28" t="s">
        <v>198</v>
      </c>
      <c r="E300" s="21"/>
      <c r="F300" s="22" t="s">
        <v>392</v>
      </c>
      <c r="G300" s="23"/>
      <c r="H300" s="24"/>
      <c r="I300" s="25" t="str">
        <f aca="false">IF(OR(E300="",E300="!!!",F300="NEW"),"",INDEX(B$2:B293,-1+SUMPRODUCT(MAX(ROW(E$2:E293)*(E300=E$2:E293)))))</f>
        <v/>
      </c>
      <c r="J300" s="26" t="str">
        <f aca="true">IF(OR(E300="",E300="!!!",F300="NEW"),"",COUNTBLANK(OFFSET(A$1,,,SUMPRODUCT(MAX(ROW(E$2:E294)*(E300=E$2:E294)))))-COUNTBLANK(OFFSET(A$1,,,SUMPRODUCT(MAX(ROW(E$1:E293)*(E300=E$1:E293))))))</f>
        <v/>
      </c>
      <c r="K300" s="26" t="str">
        <f aca="false">IF(OR(E300="",E300="!!!",F300="NEW"),"",INDEX(J$1:J293,SUMPRODUCT(MAX(ROW(E$1:E293)*(E300=E$1:E293)))))</f>
        <v/>
      </c>
      <c r="L300" s="27"/>
    </row>
    <row r="301" customFormat="false" ht="15" hidden="false" customHeight="false" outlineLevel="0" collapsed="false">
      <c r="A301" s="20" t="s">
        <v>217</v>
      </c>
      <c r="E301" s="21"/>
      <c r="F301" s="22"/>
      <c r="G301" s="23"/>
      <c r="H301" s="24"/>
      <c r="I301" s="25" t="str">
        <f aca="false">IF(OR(E301="",E301="!!!",F301="NEW"),"",INDEX(B$2:B294,-1+SUMPRODUCT(MAX(ROW(E$2:E294)*(E301=E$2:E294)))))</f>
        <v/>
      </c>
      <c r="J301" s="26" t="str">
        <f aca="true">IF(OR(E301="",E301="!!!",F301="NEW"),"",COUNTBLANK(OFFSET(A$1,,,SUMPRODUCT(MAX(ROW(E$2:E295)*(E301=E$2:E295)))))-COUNTBLANK(OFFSET(A$1,,,SUMPRODUCT(MAX(ROW(E$1:E294)*(E301=E$1:E294))))))</f>
        <v/>
      </c>
      <c r="K301" s="26" t="str">
        <f aca="false">IF(OR(E301="",E301="!!!",F301="NEW"),"",INDEX(J$1:J294,SUMPRODUCT(MAX(ROW(E$1:E294)*(E301=E$1:E294)))))</f>
        <v/>
      </c>
      <c r="L301" s="27"/>
    </row>
    <row r="302" customFormat="false" ht="15" hidden="false" customHeight="false" outlineLevel="0" collapsed="false">
      <c r="A302" s="20" t="s">
        <v>204</v>
      </c>
      <c r="E302" s="21"/>
      <c r="F302" s="22"/>
      <c r="G302" s="23"/>
      <c r="H302" s="24"/>
      <c r="I302" s="25" t="str">
        <f aca="false">IF(OR(E302="",E302="!!!",F302="NEW"),"",INDEX(B$2:B295,-1+SUMPRODUCT(MAX(ROW(E$2:E295)*(E302=E$2:E295)))))</f>
        <v/>
      </c>
      <c r="J302" s="26" t="str">
        <f aca="true">IF(OR(E302="",E302="!!!",F302="NEW"),"",COUNTBLANK(OFFSET(A$1,,,SUMPRODUCT(MAX(ROW(E$2:E296)*(E302=E$2:E296)))))-COUNTBLANK(OFFSET(A$1,,,SUMPRODUCT(MAX(ROW(E$1:E295)*(E302=E$1:E295))))))</f>
        <v/>
      </c>
      <c r="K302" s="26" t="str">
        <f aca="false">IF(OR(E302="",E302="!!!",F302="NEW"),"",INDEX(J$1:J295,SUMPRODUCT(MAX(ROW(E$1:E295)*(E302=E$1:E295)))))</f>
        <v/>
      </c>
      <c r="L302" s="27"/>
    </row>
    <row r="303" customFormat="false" ht="15" hidden="false" customHeight="false" outlineLevel="0" collapsed="false">
      <c r="A303" s="20" t="s">
        <v>393</v>
      </c>
      <c r="B303" s="28" t="s">
        <v>310</v>
      </c>
      <c r="C303" s="28" t="s">
        <v>207</v>
      </c>
      <c r="D303" s="28" t="s">
        <v>198</v>
      </c>
      <c r="E303" s="21"/>
      <c r="F303" s="22" t="s">
        <v>392</v>
      </c>
      <c r="G303" s="23"/>
      <c r="H303" s="24"/>
      <c r="I303" s="25" t="str">
        <f aca="false">IF(OR(E303="",E303="!!!",F303="NEW"),"",INDEX(B$2:B296,-1+SUMPRODUCT(MAX(ROW(E$2:E296)*(E303=E$2:E296)))))</f>
        <v/>
      </c>
      <c r="J303" s="26" t="str">
        <f aca="true">IF(OR(E303="",E303="!!!",F303="NEW"),"",COUNTBLANK(OFFSET(A$1,,,SUMPRODUCT(MAX(ROW(E$2:E297)*(E303=E$2:E297)))))-COUNTBLANK(OFFSET(A$1,,,SUMPRODUCT(MAX(ROW(E$1:E296)*(E303=E$1:E296))))))</f>
        <v/>
      </c>
      <c r="K303" s="26" t="str">
        <f aca="false">IF(OR(E303="",E303="!!!",F303="NEW"),"",INDEX(J$1:J296,SUMPRODUCT(MAX(ROW(E$1:E296)*(E303=E$1:E296)))))</f>
        <v/>
      </c>
      <c r="L303" s="27"/>
    </row>
    <row r="304" customFormat="false" ht="15" hidden="false" customHeight="false" outlineLevel="0" collapsed="false">
      <c r="A304" s="20" t="s">
        <v>244</v>
      </c>
      <c r="E304" s="21"/>
      <c r="F304" s="22"/>
      <c r="G304" s="23"/>
      <c r="H304" s="24"/>
      <c r="I304" s="25" t="str">
        <f aca="false">IF(OR(E304="",E304="!!!",F304="NEW"),"",INDEX(B$2:B297,-1+SUMPRODUCT(MAX(ROW(E$2:E297)*(E304=E$2:E297)))))</f>
        <v/>
      </c>
      <c r="J304" s="26" t="str">
        <f aca="true">IF(OR(E304="",E304="!!!",F304="NEW"),"",COUNTBLANK(OFFSET(A$1,,,SUMPRODUCT(MAX(ROW(E$2:E298)*(E304=E$2:E298)))))-COUNTBLANK(OFFSET(A$1,,,SUMPRODUCT(MAX(ROW(E$1:E297)*(E304=E$1:E297))))))</f>
        <v/>
      </c>
      <c r="K304" s="26" t="str">
        <f aca="false">IF(OR(E304="",E304="!!!",F304="NEW"),"",INDEX(J$1:J297,SUMPRODUCT(MAX(ROW(E$1:E297)*(E304=E$1:E297)))))</f>
        <v/>
      </c>
      <c r="L304" s="27"/>
    </row>
    <row r="305" customFormat="false" ht="15" hidden="false" customHeight="false" outlineLevel="0" collapsed="false">
      <c r="A305" s="20" t="s">
        <v>384</v>
      </c>
      <c r="E305" s="21"/>
      <c r="F305" s="22"/>
      <c r="G305" s="23"/>
      <c r="H305" s="24"/>
      <c r="I305" s="25" t="str">
        <f aca="false">IF(OR(E305="",E305="!!!",F305="NEW"),"",INDEX(B$2:B298,-1+SUMPRODUCT(MAX(ROW(E$2:E298)*(E305=E$2:E298)))))</f>
        <v/>
      </c>
      <c r="J305" s="26" t="str">
        <f aca="true">IF(OR(E305="",E305="!!!",F305="NEW"),"",COUNTBLANK(OFFSET(A$1,,,SUMPRODUCT(MAX(ROW(E$2:E299)*(E305=E$2:E299)))))-COUNTBLANK(OFFSET(A$1,,,SUMPRODUCT(MAX(ROW(E$1:E298)*(E305=E$1:E298))))))</f>
        <v/>
      </c>
      <c r="K305" s="26" t="str">
        <f aca="false">IF(OR(E305="",E305="!!!",F305="NEW"),"",INDEX(J$1:J298,SUMPRODUCT(MAX(ROW(E$1:E298)*(E305=E$1:E298)))))</f>
        <v/>
      </c>
      <c r="L305" s="27"/>
    </row>
    <row r="306" customFormat="false" ht="15" hidden="false" customHeight="false" outlineLevel="0" collapsed="false">
      <c r="A306" s="20"/>
      <c r="E306" s="21"/>
      <c r="F306" s="22"/>
      <c r="G306" s="23"/>
      <c r="H306" s="24"/>
      <c r="I306" s="25" t="str">
        <f aca="false">IF(OR(E306="",E306="!!!",F306="NEW"),"",INDEX(B$2:B299,-1+SUMPRODUCT(MAX(ROW(E$2:E299)*(E306=E$2:E299)))))</f>
        <v/>
      </c>
      <c r="J306" s="26" t="str">
        <f aca="true">IF(OR(E306="",E306="!!!",F306="NEW"),"",COUNTBLANK(OFFSET(A$1,,,SUMPRODUCT(MAX(ROW(E$2:E300)*(E306=E$2:E300)))))-COUNTBLANK(OFFSET(A$1,,,SUMPRODUCT(MAX(ROW(E$1:E299)*(E306=E$1:E299))))))</f>
        <v/>
      </c>
      <c r="K306" s="26" t="str">
        <f aca="false">IF(OR(E306="",E306="!!!",F306="NEW"),"",INDEX(J$1:J299,SUMPRODUCT(MAX(ROW(E$1:E299)*(E306=E$1:E299)))))</f>
        <v/>
      </c>
      <c r="L306" s="27"/>
    </row>
    <row r="307" customFormat="false" ht="15" hidden="false" customHeight="false" outlineLevel="0" collapsed="false">
      <c r="A307" s="20" t="s">
        <v>311</v>
      </c>
      <c r="E307" s="21"/>
      <c r="F307" s="22"/>
      <c r="G307" s="23"/>
      <c r="H307" s="24"/>
      <c r="I307" s="25" t="str">
        <f aca="false">IF(OR(E307="",E307="!!!",F307="NEW"),"",INDEX(B$2:B300,-1+SUMPRODUCT(MAX(ROW(E$2:E300)*(E307=E$2:E300)))))</f>
        <v/>
      </c>
      <c r="J307" s="26" t="str">
        <f aca="true">IF(OR(E307="",E307="!!!",F307="NEW"),"",COUNTBLANK(OFFSET(A$1,,,SUMPRODUCT(MAX(ROW(E$2:E301)*(E307=E$2:E301)))))-COUNTBLANK(OFFSET(A$1,,,SUMPRODUCT(MAX(ROW(E$1:E300)*(E307=E$1:E300))))))</f>
        <v/>
      </c>
      <c r="K307" s="26" t="str">
        <f aca="false">IF(OR(E307="",E307="!!!",F307="NEW"),"",INDEX(J$1:J300,SUMPRODUCT(MAX(ROW(E$1:E300)*(E307=E$1:E300)))))</f>
        <v/>
      </c>
      <c r="L307" s="27"/>
    </row>
    <row r="308" customFormat="false" ht="15" hidden="false" customHeight="false" outlineLevel="0" collapsed="false">
      <c r="A308" s="20" t="s">
        <v>394</v>
      </c>
      <c r="E308" s="21"/>
      <c r="F308" s="22"/>
      <c r="G308" s="23"/>
      <c r="H308" s="24"/>
      <c r="I308" s="25" t="str">
        <f aca="false">IF(OR(E308="",E308="!!!",F308="NEW"),"",INDEX(B$2:B301,-1+SUMPRODUCT(MAX(ROW(E$2:E301)*(E308=E$2:E301)))))</f>
        <v/>
      </c>
      <c r="J308" s="26" t="str">
        <f aca="true">IF(OR(E308="",E308="!!!",F308="NEW"),"",COUNTBLANK(OFFSET(A$1,,,SUMPRODUCT(MAX(ROW(E$2:E302)*(E308=E$2:E302)))))-COUNTBLANK(OFFSET(A$1,,,SUMPRODUCT(MAX(ROW(E$1:E301)*(E308=E$1:E301))))))</f>
        <v/>
      </c>
      <c r="K308" s="26" t="str">
        <f aca="false">IF(OR(E308="",E308="!!!",F308="NEW"),"",INDEX(J$1:J301,SUMPRODUCT(MAX(ROW(E$1:E301)*(E308=E$1:E301)))))</f>
        <v/>
      </c>
      <c r="L308" s="27"/>
    </row>
    <row r="309" customFormat="false" ht="15" hidden="false" customHeight="false" outlineLevel="0" collapsed="false">
      <c r="A309" s="20" t="s">
        <v>395</v>
      </c>
      <c r="E309" s="21"/>
      <c r="F309" s="22"/>
      <c r="G309" s="23"/>
      <c r="H309" s="24"/>
      <c r="I309" s="25" t="str">
        <f aca="false">IF(OR(E309="",E309="!!!",F309="NEW"),"",INDEX(B$2:B302,-1+SUMPRODUCT(MAX(ROW(E$2:E302)*(E309=E$2:E302)))))</f>
        <v/>
      </c>
      <c r="J309" s="26" t="str">
        <f aca="true">IF(OR(E309="",E309="!!!",F309="NEW"),"",COUNTBLANK(OFFSET(A$1,,,SUMPRODUCT(MAX(ROW(E$2:E303)*(E309=E$2:E303)))))-COUNTBLANK(OFFSET(A$1,,,SUMPRODUCT(MAX(ROW(E$1:E302)*(E309=E$1:E302))))))</f>
        <v/>
      </c>
      <c r="K309" s="26" t="str">
        <f aca="false">IF(OR(E309="",E309="!!!",F309="NEW"),"",INDEX(J$1:J302,SUMPRODUCT(MAX(ROW(E$1:E302)*(E309=E$1:E302)))))</f>
        <v/>
      </c>
      <c r="L309" s="27"/>
    </row>
    <row r="310" customFormat="false" ht="15" hidden="false" customHeight="false" outlineLevel="0" collapsed="false">
      <c r="A310" s="20" t="s">
        <v>383</v>
      </c>
      <c r="E310" s="21"/>
      <c r="F310" s="22"/>
      <c r="G310" s="23"/>
      <c r="H310" s="24"/>
      <c r="I310" s="25" t="str">
        <f aca="false">IF(OR(E310="",E310="!!!",F310="NEW"),"",INDEX(B$2:B303,-1+SUMPRODUCT(MAX(ROW(E$2:E303)*(E310=E$2:E303)))))</f>
        <v/>
      </c>
      <c r="J310" s="26" t="str">
        <f aca="true">IF(OR(E310="",E310="!!!",F310="NEW"),"",COUNTBLANK(OFFSET(A$1,,,SUMPRODUCT(MAX(ROW(E$2:E304)*(E310=E$2:E304)))))-COUNTBLANK(OFFSET(A$1,,,SUMPRODUCT(MAX(ROW(E$1:E303)*(E310=E$1:E303))))))</f>
        <v/>
      </c>
      <c r="K310" s="26" t="str">
        <f aca="false">IF(OR(E310="",E310="!!!",F310="NEW"),"",INDEX(J$1:J303,SUMPRODUCT(MAX(ROW(E$1:E303)*(E310=E$1:E303)))))</f>
        <v/>
      </c>
      <c r="L310" s="27"/>
    </row>
    <row r="311" customFormat="false" ht="15" hidden="false" customHeight="false" outlineLevel="0" collapsed="false">
      <c r="A311" s="20" t="s">
        <v>396</v>
      </c>
      <c r="B311" s="28" t="s">
        <v>196</v>
      </c>
      <c r="C311" s="28" t="s">
        <v>325</v>
      </c>
      <c r="E311" s="21"/>
      <c r="F311" s="22"/>
      <c r="G311" s="23"/>
      <c r="H311" s="24"/>
      <c r="I311" s="25" t="str">
        <f aca="false">IF(OR(E311="",E311="!!!",F311="NEW"),"",INDEX(B$2:B304,-1+SUMPRODUCT(MAX(ROW(E$2:E304)*(E311=E$2:E304)))))</f>
        <v/>
      </c>
      <c r="J311" s="26" t="str">
        <f aca="true">IF(OR(E311="",E311="!!!",F311="NEW"),"",COUNTBLANK(OFFSET(A$1,,,SUMPRODUCT(MAX(ROW(E$2:E305)*(E311=E$2:E305)))))-COUNTBLANK(OFFSET(A$1,,,SUMPRODUCT(MAX(ROW(E$1:E304)*(E311=E$1:E304))))))</f>
        <v/>
      </c>
      <c r="K311" s="26" t="str">
        <f aca="false">IF(OR(E311="",E311="!!!",F311="NEW"),"",INDEX(J$1:J304,SUMPRODUCT(MAX(ROW(E$1:E304)*(E311=E$1:E304)))))</f>
        <v/>
      </c>
      <c r="L311" s="27"/>
    </row>
    <row r="312" customFormat="false" ht="15" hidden="false" customHeight="false" outlineLevel="0" collapsed="false">
      <c r="A312" s="20" t="s">
        <v>236</v>
      </c>
      <c r="E312" s="21"/>
      <c r="F312" s="22"/>
      <c r="G312" s="23"/>
      <c r="H312" s="24"/>
      <c r="I312" s="25" t="str">
        <f aca="false">IF(OR(E312="",E312="!!!",F312="NEW"),"",INDEX(B$2:B305,-1+SUMPRODUCT(MAX(ROW(E$2:E305)*(E312=E$2:E305)))))</f>
        <v/>
      </c>
      <c r="J312" s="26" t="str">
        <f aca="true">IF(OR(E312="",E312="!!!",F312="NEW"),"",COUNTBLANK(OFFSET(A$1,,,SUMPRODUCT(MAX(ROW(E$2:E306)*(E312=E$2:E306)))))-COUNTBLANK(OFFSET(A$1,,,SUMPRODUCT(MAX(ROW(E$1:E305)*(E312=E$1:E305))))))</f>
        <v/>
      </c>
      <c r="K312" s="26" t="str">
        <f aca="false">IF(OR(E312="",E312="!!!",F312="NEW"),"",INDEX(J$1:J305,SUMPRODUCT(MAX(ROW(E$1:E305)*(E312=E$1:E305)))))</f>
        <v/>
      </c>
      <c r="L312" s="27"/>
    </row>
    <row r="313" customFormat="false" ht="15" hidden="false" customHeight="false" outlineLevel="0" collapsed="false">
      <c r="A313" s="20" t="s">
        <v>397</v>
      </c>
      <c r="B313" s="28" t="s">
        <v>215</v>
      </c>
      <c r="C313" s="28" t="s">
        <v>251</v>
      </c>
      <c r="E313" s="21"/>
      <c r="F313" s="22"/>
      <c r="G313" s="23"/>
      <c r="H313" s="24"/>
      <c r="I313" s="25" t="str">
        <f aca="false">IF(OR(E313="",E313="!!!",F313="NEW"),"",INDEX(B$2:B306,-1+SUMPRODUCT(MAX(ROW(E$2:E306)*(E313=E$2:E306)))))</f>
        <v/>
      </c>
      <c r="J313" s="26" t="str">
        <f aca="true">IF(OR(E313="",E313="!!!",F313="NEW"),"",COUNTBLANK(OFFSET(A$1,,,SUMPRODUCT(MAX(ROW(E$2:E307)*(E313=E$2:E307)))))-COUNTBLANK(OFFSET(A$1,,,SUMPRODUCT(MAX(ROW(E$1:E306)*(E313=E$1:E306))))))</f>
        <v/>
      </c>
      <c r="K313" s="26" t="str">
        <f aca="false">IF(OR(E313="",E313="!!!",F313="NEW"),"",INDEX(J$1:J306,SUMPRODUCT(MAX(ROW(E$1:E306)*(E313=E$1:E306)))))</f>
        <v/>
      </c>
      <c r="L313" s="27"/>
    </row>
    <row r="314" customFormat="false" ht="15" hidden="false" customHeight="false" outlineLevel="0" collapsed="false">
      <c r="A314" s="20" t="s">
        <v>206</v>
      </c>
      <c r="E314" s="21"/>
      <c r="F314" s="22"/>
      <c r="G314" s="23"/>
      <c r="H314" s="24"/>
      <c r="I314" s="25" t="str">
        <f aca="false">IF(OR(E314="",E314="!!!",F314="NEW"),"",INDEX(B$2:B307,-1+SUMPRODUCT(MAX(ROW(E$2:E307)*(E314=E$2:E307)))))</f>
        <v/>
      </c>
      <c r="J314" s="26" t="str">
        <f aca="true">IF(OR(E314="",E314="!!!",F314="NEW"),"",COUNTBLANK(OFFSET(A$1,,,SUMPRODUCT(MAX(ROW(E$2:E308)*(E314=E$2:E308)))))-COUNTBLANK(OFFSET(A$1,,,SUMPRODUCT(MAX(ROW(E$1:E307)*(E314=E$1:E307))))))</f>
        <v/>
      </c>
      <c r="K314" s="26" t="str">
        <f aca="false">IF(OR(E314="",E314="!!!",F314="NEW"),"",INDEX(J$1:J307,SUMPRODUCT(MAX(ROW(E$1:E307)*(E314=E$1:E307)))))</f>
        <v/>
      </c>
      <c r="L314" s="27"/>
    </row>
    <row r="315" customFormat="false" ht="15" hidden="false" customHeight="false" outlineLevel="0" collapsed="false">
      <c r="A315" s="20" t="s">
        <v>209</v>
      </c>
      <c r="E315" s="21"/>
      <c r="F315" s="22"/>
      <c r="G315" s="23"/>
      <c r="H315" s="24"/>
      <c r="I315" s="25" t="str">
        <f aca="false">IF(OR(E315="",E315="!!!",F315="NEW"),"",INDEX(B$2:B308,-1+SUMPRODUCT(MAX(ROW(E$2:E308)*(E315=E$2:E308)))))</f>
        <v/>
      </c>
      <c r="J315" s="26" t="str">
        <f aca="true">IF(OR(E315="",E315="!!!",F315="NEW"),"",COUNTBLANK(OFFSET(A$1,,,SUMPRODUCT(MAX(ROW(E$2:E309)*(E315=E$2:E309)))))-COUNTBLANK(OFFSET(A$1,,,SUMPRODUCT(MAX(ROW(E$1:E308)*(E315=E$1:E308))))))</f>
        <v/>
      </c>
      <c r="K315" s="26" t="str">
        <f aca="false">IF(OR(E315="",E315="!!!",F315="NEW"),"",INDEX(J$1:J308,SUMPRODUCT(MAX(ROW(E$1:E308)*(E315=E$1:E308)))))</f>
        <v/>
      </c>
      <c r="L315" s="27"/>
    </row>
    <row r="316" customFormat="false" ht="15" hidden="false" customHeight="false" outlineLevel="0" collapsed="false">
      <c r="A316" s="20" t="s">
        <v>259</v>
      </c>
      <c r="E316" s="21"/>
      <c r="F316" s="22"/>
      <c r="G316" s="23"/>
      <c r="H316" s="24"/>
      <c r="I316" s="25" t="str">
        <f aca="false">IF(OR(E316="",E316="!!!",F316="NEW"),"",INDEX(B$2:B309,-1+SUMPRODUCT(MAX(ROW(E$2:E309)*(E316=E$2:E309)))))</f>
        <v/>
      </c>
      <c r="J316" s="26" t="str">
        <f aca="true">IF(OR(E316="",E316="!!!",F316="NEW"),"",COUNTBLANK(OFFSET(A$1,,,SUMPRODUCT(MAX(ROW(E$2:E310)*(E316=E$2:E310)))))-COUNTBLANK(OFFSET(A$1,,,SUMPRODUCT(MAX(ROW(E$1:E309)*(E316=E$1:E309))))))</f>
        <v/>
      </c>
      <c r="K316" s="26" t="str">
        <f aca="false">IF(OR(E316="",E316="!!!",F316="NEW"),"",INDEX(J$1:J309,SUMPRODUCT(MAX(ROW(E$1:E309)*(E316=E$1:E309)))))</f>
        <v/>
      </c>
      <c r="L316" s="27"/>
    </row>
    <row r="317" customFormat="false" ht="15" hidden="false" customHeight="false" outlineLevel="0" collapsed="false">
      <c r="A317" s="20" t="s">
        <v>398</v>
      </c>
      <c r="E317" s="21"/>
      <c r="F317" s="22"/>
      <c r="G317" s="23"/>
      <c r="H317" s="24"/>
      <c r="I317" s="25" t="str">
        <f aca="false">IF(OR(E317="",E317="!!!",F317="NEW"),"",INDEX(B$2:B310,-1+SUMPRODUCT(MAX(ROW(E$2:E310)*(E317=E$2:E310)))))</f>
        <v/>
      </c>
      <c r="J317" s="26" t="str">
        <f aca="true">IF(OR(E317="",E317="!!!",F317="NEW"),"",COUNTBLANK(OFFSET(A$1,,,SUMPRODUCT(MAX(ROW(E$2:E311)*(E317=E$2:E311)))))-COUNTBLANK(OFFSET(A$1,,,SUMPRODUCT(MAX(ROW(E$1:E310)*(E317=E$1:E310))))))</f>
        <v/>
      </c>
      <c r="K317" s="26" t="str">
        <f aca="false">IF(OR(E317="",E317="!!!",F317="NEW"),"",INDEX(J$1:J310,SUMPRODUCT(MAX(ROW(E$1:E310)*(E317=E$1:E310)))))</f>
        <v/>
      </c>
      <c r="L317" s="27"/>
    </row>
    <row r="318" customFormat="false" ht="15" hidden="false" customHeight="false" outlineLevel="0" collapsed="false">
      <c r="A318" s="20" t="s">
        <v>383</v>
      </c>
      <c r="E318" s="21"/>
      <c r="F318" s="22"/>
      <c r="G318" s="23"/>
      <c r="H318" s="24"/>
      <c r="I318" s="25" t="str">
        <f aca="false">IF(OR(E318="",E318="!!!",F318="NEW"),"",INDEX(B$2:B311,-1+SUMPRODUCT(MAX(ROW(E$2:E311)*(E318=E$2:E311)))))</f>
        <v/>
      </c>
      <c r="J318" s="26" t="str">
        <f aca="true">IF(OR(E318="",E318="!!!",F318="NEW"),"",COUNTBLANK(OFFSET(A$1,,,SUMPRODUCT(MAX(ROW(E$2:E312)*(E318=E$2:E312)))))-COUNTBLANK(OFFSET(A$1,,,SUMPRODUCT(MAX(ROW(E$1:E311)*(E318=E$1:E311))))))</f>
        <v/>
      </c>
      <c r="K318" s="26" t="str">
        <f aca="false">IF(OR(E318="",E318="!!!",F318="NEW"),"",INDEX(J$1:J311,SUMPRODUCT(MAX(ROW(E$1:E311)*(E318=E$1:E311)))))</f>
        <v/>
      </c>
      <c r="L318" s="27"/>
    </row>
    <row r="319" customFormat="false" ht="15" hidden="false" customHeight="false" outlineLevel="0" collapsed="false">
      <c r="A319" s="20" t="s">
        <v>302</v>
      </c>
      <c r="E319" s="21"/>
      <c r="F319" s="22"/>
      <c r="G319" s="23"/>
      <c r="H319" s="24"/>
      <c r="I319" s="25" t="str">
        <f aca="false">IF(OR(E319="",E319="!!!",F319="NEW"),"",INDEX(B$2:B312,-1+SUMPRODUCT(MAX(ROW(E$2:E312)*(E319=E$2:E312)))))</f>
        <v/>
      </c>
      <c r="J319" s="26" t="str">
        <f aca="true">IF(OR(E319="",E319="!!!",F319="NEW"),"",COUNTBLANK(OFFSET(A$1,,,SUMPRODUCT(MAX(ROW(E$2:E313)*(E319=E$2:E313)))))-COUNTBLANK(OFFSET(A$1,,,SUMPRODUCT(MAX(ROW(E$1:E312)*(E319=E$1:E312))))))</f>
        <v/>
      </c>
      <c r="K319" s="26" t="str">
        <f aca="false">IF(OR(E319="",E319="!!!",F319="NEW"),"",INDEX(J$1:J312,SUMPRODUCT(MAX(ROW(E$1:E312)*(E319=E$1:E312)))))</f>
        <v/>
      </c>
      <c r="L319" s="27"/>
    </row>
    <row r="320" customFormat="false" ht="15" hidden="false" customHeight="false" outlineLevel="0" collapsed="false">
      <c r="A320" s="20" t="s">
        <v>399</v>
      </c>
      <c r="E320" s="21"/>
      <c r="F320" s="22"/>
      <c r="G320" s="23"/>
      <c r="H320" s="24"/>
      <c r="I320" s="25" t="str">
        <f aca="false">IF(OR(E320="",E320="!!!",F320="NEW"),"",INDEX(B$2:B313,-1+SUMPRODUCT(MAX(ROW(E$2:E313)*(E320=E$2:E313)))))</f>
        <v/>
      </c>
      <c r="J320" s="26" t="str">
        <f aca="true">IF(OR(E320="",E320="!!!",F320="NEW"),"",COUNTBLANK(OFFSET(A$1,,,SUMPRODUCT(MAX(ROW(E$2:E314)*(E320=E$2:E314)))))-COUNTBLANK(OFFSET(A$1,,,SUMPRODUCT(MAX(ROW(E$1:E313)*(E320=E$1:E313))))))</f>
        <v/>
      </c>
      <c r="K320" s="26" t="str">
        <f aca="false">IF(OR(E320="",E320="!!!",F320="NEW"),"",INDEX(J$1:J313,SUMPRODUCT(MAX(ROW(E$1:E313)*(E320=E$1:E313)))))</f>
        <v/>
      </c>
      <c r="L320" s="27"/>
    </row>
    <row r="321" customFormat="false" ht="15" hidden="false" customHeight="false" outlineLevel="0" collapsed="false">
      <c r="A321" s="20" t="s">
        <v>206</v>
      </c>
      <c r="E321" s="21"/>
      <c r="F321" s="22"/>
      <c r="G321" s="23"/>
      <c r="H321" s="24"/>
      <c r="I321" s="25" t="str">
        <f aca="false">IF(OR(E321="",E321="!!!",F321="NEW"),"",INDEX(B$2:B314,-1+SUMPRODUCT(MAX(ROW(E$2:E314)*(E321=E$2:E314)))))</f>
        <v/>
      </c>
      <c r="J321" s="26" t="str">
        <f aca="true">IF(OR(E321="",E321="!!!",F321="NEW"),"",COUNTBLANK(OFFSET(A$1,,,SUMPRODUCT(MAX(ROW(E$2:E315)*(E321=E$2:E315)))))-COUNTBLANK(OFFSET(A$1,,,SUMPRODUCT(MAX(ROW(E$1:E314)*(E321=E$1:E314))))))</f>
        <v/>
      </c>
      <c r="K321" s="26" t="str">
        <f aca="false">IF(OR(E321="",E321="!!!",F321="NEW"),"",INDEX(J$1:J314,SUMPRODUCT(MAX(ROW(E$1:E314)*(E321=E$1:E314)))))</f>
        <v/>
      </c>
      <c r="L321" s="27"/>
    </row>
    <row r="322" customFormat="false" ht="15" hidden="false" customHeight="false" outlineLevel="0" collapsed="false">
      <c r="A322" s="20" t="s">
        <v>327</v>
      </c>
      <c r="B322" s="28" t="s">
        <v>222</v>
      </c>
      <c r="C322" s="28" t="s">
        <v>352</v>
      </c>
      <c r="E322" s="21"/>
      <c r="F322" s="22"/>
      <c r="G322" s="23"/>
      <c r="H322" s="24"/>
      <c r="I322" s="25" t="str">
        <f aca="false">IF(OR(E322="",E322="!!!",F322="NEW"),"",INDEX(B$2:B315,-1+SUMPRODUCT(MAX(ROW(E$2:E315)*(E322=E$2:E315)))))</f>
        <v/>
      </c>
      <c r="J322" s="26" t="str">
        <f aca="true">IF(OR(E322="",E322="!!!",F322="NEW"),"",COUNTBLANK(OFFSET(A$1,,,SUMPRODUCT(MAX(ROW(E$2:E316)*(E322=E$2:E316)))))-COUNTBLANK(OFFSET(A$1,,,SUMPRODUCT(MAX(ROW(E$1:E315)*(E322=E$1:E315))))))</f>
        <v/>
      </c>
      <c r="K322" s="26" t="str">
        <f aca="false">IF(OR(E322="",E322="!!!",F322="NEW"),"",INDEX(J$1:J315,SUMPRODUCT(MAX(ROW(E$1:E315)*(E322=E$1:E315)))))</f>
        <v/>
      </c>
      <c r="L322" s="27"/>
    </row>
    <row r="323" customFormat="false" ht="15" hidden="false" customHeight="false" outlineLevel="0" collapsed="false">
      <c r="A323" s="20" t="s">
        <v>400</v>
      </c>
      <c r="E323" s="21"/>
      <c r="F323" s="22"/>
      <c r="G323" s="23"/>
      <c r="H323" s="24"/>
      <c r="I323" s="25" t="str">
        <f aca="false">IF(OR(E323="",E323="!!!",F323="NEW"),"",INDEX(B$2:B316,-1+SUMPRODUCT(MAX(ROW(E$2:E316)*(E323=E$2:E316)))))</f>
        <v/>
      </c>
      <c r="J323" s="26" t="str">
        <f aca="true">IF(OR(E323="",E323="!!!",F323="NEW"),"",COUNTBLANK(OFFSET(A$1,,,SUMPRODUCT(MAX(ROW(E$2:E317)*(E323=E$2:E317)))))-COUNTBLANK(OFFSET(A$1,,,SUMPRODUCT(MAX(ROW(E$1:E316)*(E323=E$1:E316))))))</f>
        <v/>
      </c>
      <c r="K323" s="26" t="str">
        <f aca="false">IF(OR(E323="",E323="!!!",F323="NEW"),"",INDEX(J$1:J316,SUMPRODUCT(MAX(ROW(E$1:E316)*(E323=E$1:E316)))))</f>
        <v/>
      </c>
      <c r="L323" s="27"/>
    </row>
    <row r="324" customFormat="false" ht="15" hidden="false" customHeight="false" outlineLevel="0" collapsed="false">
      <c r="A324" s="20" t="s">
        <v>401</v>
      </c>
      <c r="B324" s="28" t="s">
        <v>219</v>
      </c>
      <c r="C324" s="28" t="s">
        <v>251</v>
      </c>
      <c r="E324" s="21"/>
      <c r="F324" s="22"/>
      <c r="G324" s="23"/>
      <c r="H324" s="24"/>
      <c r="I324" s="25" t="str">
        <f aca="false">IF(OR(E324="",E324="!!!",F324="NEW"),"",INDEX(B$2:B317,-1+SUMPRODUCT(MAX(ROW(E$2:E317)*(E324=E$2:E317)))))</f>
        <v/>
      </c>
      <c r="J324" s="26" t="str">
        <f aca="true">IF(OR(E324="",E324="!!!",F324="NEW"),"",COUNTBLANK(OFFSET(A$1,,,SUMPRODUCT(MAX(ROW(E$2:E318)*(E324=E$2:E318)))))-COUNTBLANK(OFFSET(A$1,,,SUMPRODUCT(MAX(ROW(E$1:E317)*(E324=E$1:E317))))))</f>
        <v/>
      </c>
      <c r="K324" s="26" t="str">
        <f aca="false">IF(OR(E324="",E324="!!!",F324="NEW"),"",INDEX(J$1:J317,SUMPRODUCT(MAX(ROW(E$1:E317)*(E324=E$1:E317)))))</f>
        <v/>
      </c>
      <c r="L324" s="27"/>
    </row>
    <row r="325" customFormat="false" ht="15" hidden="false" customHeight="false" outlineLevel="0" collapsed="false">
      <c r="A325" s="20" t="s">
        <v>209</v>
      </c>
      <c r="E325" s="21"/>
      <c r="F325" s="22"/>
      <c r="G325" s="23"/>
      <c r="H325" s="24"/>
      <c r="I325" s="25" t="str">
        <f aca="false">IF(OR(E325="",E325="!!!",F325="NEW"),"",INDEX(B$2:B318,-1+SUMPRODUCT(MAX(ROW(E$2:E318)*(E325=E$2:E318)))))</f>
        <v/>
      </c>
      <c r="J325" s="26" t="str">
        <f aca="true">IF(OR(E325="",E325="!!!",F325="NEW"),"",COUNTBLANK(OFFSET(A$1,,,SUMPRODUCT(MAX(ROW(E$2:E319)*(E325=E$2:E319)))))-COUNTBLANK(OFFSET(A$1,,,SUMPRODUCT(MAX(ROW(E$1:E318)*(E325=E$1:E318))))))</f>
        <v/>
      </c>
      <c r="K325" s="26" t="str">
        <f aca="false">IF(OR(E325="",E325="!!!",F325="NEW"),"",INDEX(J$1:J318,SUMPRODUCT(MAX(ROW(E$1:E318)*(E325=E$1:E318)))))</f>
        <v/>
      </c>
      <c r="L325" s="27"/>
    </row>
    <row r="326" customFormat="false" ht="15" hidden="false" customHeight="false" outlineLevel="0" collapsed="false">
      <c r="A326" s="20" t="s">
        <v>285</v>
      </c>
      <c r="B326" s="28" t="s">
        <v>222</v>
      </c>
      <c r="C326" s="28" t="s">
        <v>268</v>
      </c>
      <c r="D326" s="28" t="s">
        <v>198</v>
      </c>
      <c r="E326" s="21" t="s">
        <v>402</v>
      </c>
      <c r="F326" s="22" t="s">
        <v>200</v>
      </c>
      <c r="G326" s="23" t="s">
        <v>212</v>
      </c>
      <c r="H326" s="24"/>
      <c r="I326" s="25" t="str">
        <f aca="false">IF(OR(E326="",E326="!!!",F326="NEW"),"",INDEX(B$2:B319,-1+SUMPRODUCT(MAX(ROW(E$2:E319)*(E326=E$2:E319)))))</f>
        <v/>
      </c>
      <c r="J326" s="26" t="str">
        <f aca="true">IF(OR(E326="",E326="!!!",F326="NEW"),"",COUNTBLANK(OFFSET(A$1,,,SUMPRODUCT(MAX(ROW(E$2:E320)*(E326=E$2:E320)))))-COUNTBLANK(OFFSET(A$1,,,SUMPRODUCT(MAX(ROW(E$1:E319)*(E326=E$1:E319))))))</f>
        <v/>
      </c>
      <c r="K326" s="26" t="str">
        <f aca="false">IF(OR(E326="",E326="!!!",F326="NEW"),"",INDEX(J$1:J319,SUMPRODUCT(MAX(ROW(E$1:E319)*(E326=E$1:E319)))))</f>
        <v/>
      </c>
      <c r="L326" s="27"/>
    </row>
    <row r="327" customFormat="false" ht="15" hidden="false" customHeight="false" outlineLevel="0" collapsed="false">
      <c r="A327" s="20" t="s">
        <v>383</v>
      </c>
      <c r="E327" s="21"/>
      <c r="F327" s="22"/>
      <c r="G327" s="23"/>
      <c r="H327" s="24"/>
      <c r="I327" s="25" t="str">
        <f aca="false">IF(OR(E327="",E327="!!!",F327="NEW"),"",INDEX(B$2:B320,-1+SUMPRODUCT(MAX(ROW(E$2:E320)*(E327=E$2:E320)))))</f>
        <v/>
      </c>
      <c r="J327" s="26" t="str">
        <f aca="true">IF(OR(E327="",E327="!!!",F327="NEW"),"",COUNTBLANK(OFFSET(A$1,,,SUMPRODUCT(MAX(ROW(E$2:E321)*(E327=E$2:E321)))))-COUNTBLANK(OFFSET(A$1,,,SUMPRODUCT(MAX(ROW(E$1:E320)*(E327=E$1:E320))))))</f>
        <v/>
      </c>
      <c r="K327" s="26" t="str">
        <f aca="false">IF(OR(E327="",E327="!!!",F327="NEW"),"",INDEX(J$1:J320,SUMPRODUCT(MAX(ROW(E$1:E320)*(E327=E$1:E320)))))</f>
        <v/>
      </c>
      <c r="L327" s="27"/>
    </row>
    <row r="328" customFormat="false" ht="15" hidden="false" customHeight="false" outlineLevel="0" collapsed="false">
      <c r="A328" s="20" t="s">
        <v>403</v>
      </c>
      <c r="E328" s="21"/>
      <c r="F328" s="22"/>
      <c r="G328" s="23"/>
      <c r="H328" s="24"/>
      <c r="I328" s="25" t="str">
        <f aca="false">IF(OR(E328="",E328="!!!",F328="NEW"),"",INDEX(B$2:B321,-1+SUMPRODUCT(MAX(ROW(E$2:E321)*(E328=E$2:E321)))))</f>
        <v/>
      </c>
      <c r="J328" s="26" t="str">
        <f aca="true">IF(OR(E328="",E328="!!!",F328="NEW"),"",COUNTBLANK(OFFSET(A$1,,,SUMPRODUCT(MAX(ROW(E$2:E322)*(E328=E$2:E322)))))-COUNTBLANK(OFFSET(A$1,,,SUMPRODUCT(MAX(ROW(E$1:E321)*(E328=E$1:E321))))))</f>
        <v/>
      </c>
      <c r="K328" s="26" t="str">
        <f aca="false">IF(OR(E328="",E328="!!!",F328="NEW"),"",INDEX(J$1:J321,SUMPRODUCT(MAX(ROW(E$1:E321)*(E328=E$1:E321)))))</f>
        <v/>
      </c>
      <c r="L328" s="27"/>
    </row>
    <row r="329" customFormat="false" ht="15" hidden="false" customHeight="false" outlineLevel="0" collapsed="false">
      <c r="A329" s="20" t="s">
        <v>404</v>
      </c>
      <c r="E329" s="21"/>
      <c r="F329" s="22"/>
      <c r="G329" s="23"/>
      <c r="H329" s="24"/>
      <c r="I329" s="25" t="str">
        <f aca="false">IF(OR(E329="",E329="!!!",F329="NEW"),"",INDEX(B$2:B322,-1+SUMPRODUCT(MAX(ROW(E$2:E322)*(E329=E$2:E322)))))</f>
        <v/>
      </c>
      <c r="J329" s="26" t="str">
        <f aca="true">IF(OR(E329="",E329="!!!",F329="NEW"),"",COUNTBLANK(OFFSET(A$1,,,SUMPRODUCT(MAX(ROW(E$2:E323)*(E329=E$2:E323)))))-COUNTBLANK(OFFSET(A$1,,,SUMPRODUCT(MAX(ROW(E$1:E322)*(E329=E$1:E322))))))</f>
        <v/>
      </c>
      <c r="K329" s="26" t="str">
        <f aca="false">IF(OR(E329="",E329="!!!",F329="NEW"),"",INDEX(J$1:J322,SUMPRODUCT(MAX(ROW(E$1:E322)*(E329=E$1:E322)))))</f>
        <v/>
      </c>
      <c r="L329" s="27"/>
    </row>
    <row r="330" customFormat="false" ht="15" hidden="false" customHeight="false" outlineLevel="0" collapsed="false">
      <c r="A330" s="20" t="s">
        <v>277</v>
      </c>
      <c r="B330" s="28" t="s">
        <v>215</v>
      </c>
      <c r="C330" s="28" t="s">
        <v>251</v>
      </c>
      <c r="E330" s="21"/>
      <c r="F330" s="22"/>
      <c r="G330" s="23"/>
      <c r="H330" s="24"/>
      <c r="I330" s="25" t="str">
        <f aca="false">IF(OR(E330="",E330="!!!",F330="NEW"),"",INDEX(B$2:B323,-1+SUMPRODUCT(MAX(ROW(E$2:E323)*(E330=E$2:E323)))))</f>
        <v/>
      </c>
      <c r="J330" s="26" t="str">
        <f aca="true">IF(OR(E330="",E330="!!!",F330="NEW"),"",COUNTBLANK(OFFSET(A$1,,,SUMPRODUCT(MAX(ROW(E$2:E324)*(E330=E$2:E324)))))-COUNTBLANK(OFFSET(A$1,,,SUMPRODUCT(MAX(ROW(E$1:E323)*(E330=E$1:E323))))))</f>
        <v/>
      </c>
      <c r="K330" s="26" t="str">
        <f aca="false">IF(OR(E330="",E330="!!!",F330="NEW"),"",INDEX(J$1:J323,SUMPRODUCT(MAX(ROW(E$1:E323)*(E330=E$1:E323)))))</f>
        <v/>
      </c>
      <c r="L330" s="27"/>
    </row>
    <row r="331" customFormat="false" ht="15" hidden="false" customHeight="false" outlineLevel="0" collapsed="false">
      <c r="A331" s="20" t="s">
        <v>209</v>
      </c>
      <c r="E331" s="21"/>
      <c r="F331" s="22"/>
      <c r="G331" s="23"/>
      <c r="H331" s="24"/>
      <c r="I331" s="25" t="str">
        <f aca="false">IF(OR(E331="",E331="!!!",F331="NEW"),"",INDEX(B$2:B324,-1+SUMPRODUCT(MAX(ROW(E$2:E324)*(E331=E$2:E324)))))</f>
        <v/>
      </c>
      <c r="J331" s="26" t="str">
        <f aca="true">IF(OR(E331="",E331="!!!",F331="NEW"),"",COUNTBLANK(OFFSET(A$1,,,SUMPRODUCT(MAX(ROW(E$2:E325)*(E331=E$2:E325)))))-COUNTBLANK(OFFSET(A$1,,,SUMPRODUCT(MAX(ROW(E$1:E324)*(E331=E$1:E324))))))</f>
        <v/>
      </c>
      <c r="K331" s="26" t="str">
        <f aca="false">IF(OR(E331="",E331="!!!",F331="NEW"),"",INDEX(J$1:J324,SUMPRODUCT(MAX(ROW(E$1:E324)*(E331=E$1:E324)))))</f>
        <v/>
      </c>
      <c r="L331" s="27"/>
    </row>
    <row r="332" customFormat="false" ht="15" hidden="false" customHeight="false" outlineLevel="0" collapsed="false">
      <c r="A332" s="20" t="s">
        <v>355</v>
      </c>
      <c r="E332" s="21"/>
      <c r="F332" s="22"/>
      <c r="G332" s="23"/>
      <c r="H332" s="24"/>
      <c r="I332" s="25" t="str">
        <f aca="false">IF(OR(E332="",E332="!!!",F332="NEW"),"",INDEX(B$2:B325,-1+SUMPRODUCT(MAX(ROW(E$2:E325)*(E332=E$2:E325)))))</f>
        <v/>
      </c>
      <c r="J332" s="26" t="str">
        <f aca="true">IF(OR(E332="",E332="!!!",F332="NEW"),"",COUNTBLANK(OFFSET(A$1,,,SUMPRODUCT(MAX(ROW(E$2:E326)*(E332=E$2:E326)))))-COUNTBLANK(OFFSET(A$1,,,SUMPRODUCT(MAX(ROW(E$1:E325)*(E332=E$1:E325))))))</f>
        <v/>
      </c>
      <c r="K332" s="26" t="str">
        <f aca="false">IF(OR(E332="",E332="!!!",F332="NEW"),"",INDEX(J$1:J325,SUMPRODUCT(MAX(ROW(E$1:E325)*(E332=E$1:E325)))))</f>
        <v/>
      </c>
      <c r="L332" s="27"/>
    </row>
    <row r="333" customFormat="false" ht="15" hidden="false" customHeight="false" outlineLevel="0" collapsed="false">
      <c r="A333" s="20" t="s">
        <v>386</v>
      </c>
      <c r="E333" s="21"/>
      <c r="F333" s="22"/>
      <c r="G333" s="23"/>
      <c r="H333" s="24"/>
      <c r="I333" s="25" t="str">
        <f aca="false">IF(OR(E333="",E333="!!!",F333="NEW"),"",INDEX(B$2:B326,-1+SUMPRODUCT(MAX(ROW(E$2:E326)*(E333=E$2:E326)))))</f>
        <v/>
      </c>
      <c r="J333" s="26" t="str">
        <f aca="true">IF(OR(E333="",E333="!!!",F333="NEW"),"",COUNTBLANK(OFFSET(A$1,,,SUMPRODUCT(MAX(ROW(E$2:E327)*(E333=E$2:E327)))))-COUNTBLANK(OFFSET(A$1,,,SUMPRODUCT(MAX(ROW(E$1:E326)*(E333=E$1:E326))))))</f>
        <v/>
      </c>
      <c r="K333" s="26" t="str">
        <f aca="false">IF(OR(E333="",E333="!!!",F333="NEW"),"",INDEX(J$1:J326,SUMPRODUCT(MAX(ROW(E$1:E326)*(E333=E$1:E326)))))</f>
        <v/>
      </c>
      <c r="L333" s="27"/>
    </row>
    <row r="334" customFormat="false" ht="15" hidden="false" customHeight="false" outlineLevel="0" collapsed="false">
      <c r="A334" s="20" t="s">
        <v>344</v>
      </c>
      <c r="B334" s="28" t="s">
        <v>273</v>
      </c>
      <c r="C334" s="28" t="s">
        <v>197</v>
      </c>
      <c r="D334" s="28" t="s">
        <v>198</v>
      </c>
      <c r="E334" s="21" t="s">
        <v>405</v>
      </c>
      <c r="F334" s="22" t="s">
        <v>200</v>
      </c>
      <c r="G334" s="23" t="s">
        <v>212</v>
      </c>
      <c r="H334" s="24"/>
      <c r="I334" s="25" t="str">
        <f aca="false">IF(OR(E334="",E334="!!!",F334="NEW"),"",INDEX(B$2:B327,-1+SUMPRODUCT(MAX(ROW(E$2:E327)*(E334=E$2:E327)))))</f>
        <v/>
      </c>
      <c r="J334" s="26" t="str">
        <f aca="true">IF(OR(E334="",E334="!!!",F334="NEW"),"",COUNTBLANK(OFFSET(A$1,,,SUMPRODUCT(MAX(ROW(E$2:E328)*(E334=E$2:E328)))))-COUNTBLANK(OFFSET(A$1,,,SUMPRODUCT(MAX(ROW(E$1:E327)*(E334=E$1:E327))))))</f>
        <v/>
      </c>
      <c r="K334" s="26" t="str">
        <f aca="false">IF(OR(E334="",E334="!!!",F334="NEW"),"",INDEX(J$1:J327,SUMPRODUCT(MAX(ROW(E$1:E327)*(E334=E$1:E327)))))</f>
        <v/>
      </c>
      <c r="L334" s="27"/>
    </row>
    <row r="335" customFormat="false" ht="15" hidden="false" customHeight="false" outlineLevel="0" collapsed="false">
      <c r="A335" s="20" t="s">
        <v>406</v>
      </c>
      <c r="E335" s="21"/>
      <c r="F335" s="22"/>
      <c r="G335" s="23"/>
      <c r="H335" s="24"/>
      <c r="I335" s="25" t="str">
        <f aca="false">IF(OR(E335="",E335="!!!",F335="NEW"),"",INDEX(B$2:B328,-1+SUMPRODUCT(MAX(ROW(E$2:E328)*(E335=E$2:E328)))))</f>
        <v/>
      </c>
      <c r="J335" s="26" t="str">
        <f aca="true">IF(OR(E335="",E335="!!!",F335="NEW"),"",COUNTBLANK(OFFSET(A$1,,,SUMPRODUCT(MAX(ROW(E$2:E329)*(E335=E$2:E329)))))-COUNTBLANK(OFFSET(A$1,,,SUMPRODUCT(MAX(ROW(E$1:E328)*(E335=E$1:E328))))))</f>
        <v/>
      </c>
      <c r="K335" s="26" t="str">
        <f aca="false">IF(OR(E335="",E335="!!!",F335="NEW"),"",INDEX(J$1:J328,SUMPRODUCT(MAX(ROW(E$1:E328)*(E335=E$1:E328)))))</f>
        <v/>
      </c>
      <c r="L335" s="27"/>
    </row>
    <row r="336" customFormat="false" ht="15" hidden="false" customHeight="false" outlineLevel="0" collapsed="false">
      <c r="A336" s="20" t="s">
        <v>68</v>
      </c>
      <c r="E336" s="21"/>
      <c r="F336" s="22"/>
      <c r="G336" s="23"/>
      <c r="H336" s="24"/>
      <c r="I336" s="25" t="str">
        <f aca="false">IF(OR(E336="",E336="!!!",F336="NEW"),"",INDEX(B$2:B329,-1+SUMPRODUCT(MAX(ROW(E$2:E329)*(E336=E$2:E329)))))</f>
        <v/>
      </c>
      <c r="J336" s="26" t="str">
        <f aca="true">IF(OR(E336="",E336="!!!",F336="NEW"),"",COUNTBLANK(OFFSET(A$1,,,SUMPRODUCT(MAX(ROW(E$2:E330)*(E336=E$2:E330)))))-COUNTBLANK(OFFSET(A$1,,,SUMPRODUCT(MAX(ROW(E$1:E329)*(E336=E$1:E329))))))</f>
        <v/>
      </c>
      <c r="K336" s="26" t="str">
        <f aca="false">IF(OR(E336="",E336="!!!",F336="NEW"),"",INDEX(J$1:J329,SUMPRODUCT(MAX(ROW(E$1:E329)*(E336=E$1:E329)))))</f>
        <v/>
      </c>
      <c r="L336" s="27"/>
    </row>
    <row r="337" customFormat="false" ht="15" hidden="false" customHeight="false" outlineLevel="0" collapsed="false">
      <c r="A337" s="20" t="s">
        <v>407</v>
      </c>
      <c r="E337" s="21"/>
      <c r="F337" s="22"/>
      <c r="G337" s="23"/>
      <c r="H337" s="24"/>
      <c r="I337" s="25" t="str">
        <f aca="false">IF(OR(E337="",E337="!!!",F337="NEW"),"",INDEX(B$2:B330,-1+SUMPRODUCT(MAX(ROW(E$2:E330)*(E337=E$2:E330)))))</f>
        <v/>
      </c>
      <c r="J337" s="26" t="str">
        <f aca="true">IF(OR(E337="",E337="!!!",F337="NEW"),"",COUNTBLANK(OFFSET(A$1,,,SUMPRODUCT(MAX(ROW(E$2:E331)*(E337=E$2:E331)))))-COUNTBLANK(OFFSET(A$1,,,SUMPRODUCT(MAX(ROW(E$1:E330)*(E337=E$1:E330))))))</f>
        <v/>
      </c>
      <c r="K337" s="26" t="str">
        <f aca="false">IF(OR(E337="",E337="!!!",F337="NEW"),"",INDEX(J$1:J330,SUMPRODUCT(MAX(ROW(E$1:E330)*(E337=E$1:E330)))))</f>
        <v/>
      </c>
      <c r="L337" s="27"/>
    </row>
    <row r="338" customFormat="false" ht="15" hidden="false" customHeight="false" outlineLevel="0" collapsed="false">
      <c r="A338" s="20" t="s">
        <v>408</v>
      </c>
      <c r="E338" s="21"/>
      <c r="F338" s="22"/>
      <c r="G338" s="23"/>
      <c r="H338" s="24"/>
      <c r="I338" s="25" t="str">
        <f aca="false">IF(OR(E338="",E338="!!!",F338="NEW"),"",INDEX(B$2:B331,-1+SUMPRODUCT(MAX(ROW(E$2:E331)*(E338=E$2:E331)))))</f>
        <v/>
      </c>
      <c r="J338" s="26" t="str">
        <f aca="true">IF(OR(E338="",E338="!!!",F338="NEW"),"",COUNTBLANK(OFFSET(A$1,,,SUMPRODUCT(MAX(ROW(E$2:E332)*(E338=E$2:E332)))))-COUNTBLANK(OFFSET(A$1,,,SUMPRODUCT(MAX(ROW(E$1:E331)*(E338=E$1:E331))))))</f>
        <v/>
      </c>
      <c r="K338" s="26" t="str">
        <f aca="false">IF(OR(E338="",E338="!!!",F338="NEW"),"",INDEX(J$1:J331,SUMPRODUCT(MAX(ROW(E$1:E331)*(E338=E$1:E331)))))</f>
        <v/>
      </c>
      <c r="L338" s="27"/>
    </row>
    <row r="339" customFormat="false" ht="15" hidden="false" customHeight="false" outlineLevel="0" collapsed="false">
      <c r="A339" s="20" t="s">
        <v>320</v>
      </c>
      <c r="E339" s="21"/>
      <c r="F339" s="22"/>
      <c r="G339" s="23"/>
      <c r="H339" s="24"/>
      <c r="I339" s="25" t="str">
        <f aca="false">IF(OR(E339="",E339="!!!",F339="NEW"),"",INDEX(B$2:B332,-1+SUMPRODUCT(MAX(ROW(E$2:E332)*(E339=E$2:E332)))))</f>
        <v/>
      </c>
      <c r="J339" s="26" t="str">
        <f aca="true">IF(OR(E339="",E339="!!!",F339="NEW"),"",COUNTBLANK(OFFSET(A$1,,,SUMPRODUCT(MAX(ROW(E$2:E333)*(E339=E$2:E333)))))-COUNTBLANK(OFFSET(A$1,,,SUMPRODUCT(MAX(ROW(E$1:E332)*(E339=E$1:E332))))))</f>
        <v/>
      </c>
      <c r="K339" s="26" t="str">
        <f aca="false">IF(OR(E339="",E339="!!!",F339="NEW"),"",INDEX(J$1:J332,SUMPRODUCT(MAX(ROW(E$1:E332)*(E339=E$1:E332)))))</f>
        <v/>
      </c>
      <c r="L339" s="27"/>
    </row>
    <row r="340" customFormat="false" ht="15" hidden="false" customHeight="false" outlineLevel="0" collapsed="false">
      <c r="A340" s="20"/>
      <c r="E340" s="21"/>
      <c r="F340" s="22"/>
      <c r="G340" s="23"/>
      <c r="H340" s="24"/>
      <c r="I340" s="25" t="str">
        <f aca="false">IF(OR(E340="",E340="!!!",F340="NEW"),"",INDEX(B$2:B333,-1+SUMPRODUCT(MAX(ROW(E$2:E333)*(E340=E$2:E333)))))</f>
        <v/>
      </c>
      <c r="J340" s="26" t="str">
        <f aca="true">IF(OR(E340="",E340="!!!",F340="NEW"),"",COUNTBLANK(OFFSET(A$1,,,SUMPRODUCT(MAX(ROW(E$2:E334)*(E340=E$2:E334)))))-COUNTBLANK(OFFSET(A$1,,,SUMPRODUCT(MAX(ROW(E$1:E333)*(E340=E$1:E333))))))</f>
        <v/>
      </c>
      <c r="K340" s="26" t="str">
        <f aca="false">IF(OR(E340="",E340="!!!",F340="NEW"),"",INDEX(J$1:J333,SUMPRODUCT(MAX(ROW(E$1:E333)*(E340=E$1:E333)))))</f>
        <v/>
      </c>
      <c r="L340" s="27"/>
    </row>
    <row r="341" customFormat="false" ht="15" hidden="false" customHeight="false" outlineLevel="0" collapsed="false">
      <c r="A341" s="20" t="s">
        <v>409</v>
      </c>
      <c r="E341" s="21"/>
      <c r="F341" s="22"/>
      <c r="G341" s="23"/>
      <c r="H341" s="24"/>
      <c r="I341" s="25" t="str">
        <f aca="false">IF(OR(E341="",E341="!!!",F341="NEW"),"",INDEX(B$2:B334,-1+SUMPRODUCT(MAX(ROW(E$2:E334)*(E341=E$2:E334)))))</f>
        <v/>
      </c>
      <c r="J341" s="26" t="str">
        <f aca="true">IF(OR(E341="",E341="!!!",F341="NEW"),"",COUNTBLANK(OFFSET(A$1,,,SUMPRODUCT(MAX(ROW(E$2:E335)*(E341=E$2:E335)))))-COUNTBLANK(OFFSET(A$1,,,SUMPRODUCT(MAX(ROW(E$1:E334)*(E341=E$1:E334))))))</f>
        <v/>
      </c>
      <c r="K341" s="26" t="str">
        <f aca="false">IF(OR(E341="",E341="!!!",F341="NEW"),"",INDEX(J$1:J334,SUMPRODUCT(MAX(ROW(E$1:E334)*(E341=E$1:E334)))))</f>
        <v/>
      </c>
      <c r="L341" s="27"/>
    </row>
    <row r="342" customFormat="false" ht="15" hidden="false" customHeight="false" outlineLevel="0" collapsed="false">
      <c r="A342" s="20" t="s">
        <v>410</v>
      </c>
      <c r="E342" s="21"/>
      <c r="F342" s="22"/>
      <c r="G342" s="23"/>
      <c r="H342" s="24"/>
      <c r="I342" s="25" t="str">
        <f aca="false">IF(OR(E342="",E342="!!!",F342="NEW"),"",INDEX(B$2:B335,-1+SUMPRODUCT(MAX(ROW(E$2:E335)*(E342=E$2:E335)))))</f>
        <v/>
      </c>
      <c r="J342" s="26" t="str">
        <f aca="true">IF(OR(E342="",E342="!!!",F342="NEW"),"",COUNTBLANK(OFFSET(A$1,,,SUMPRODUCT(MAX(ROW(E$2:E336)*(E342=E$2:E336)))))-COUNTBLANK(OFFSET(A$1,,,SUMPRODUCT(MAX(ROW(E$1:E335)*(E342=E$1:E335))))))</f>
        <v/>
      </c>
      <c r="K342" s="26" t="str">
        <f aca="false">IF(OR(E342="",E342="!!!",F342="NEW"),"",INDEX(J$1:J335,SUMPRODUCT(MAX(ROW(E$1:E335)*(E342=E$1:E335)))))</f>
        <v/>
      </c>
      <c r="L342" s="27"/>
    </row>
    <row r="343" customFormat="false" ht="15" hidden="false" customHeight="false" outlineLevel="0" collapsed="false">
      <c r="A343" s="20" t="s">
        <v>411</v>
      </c>
      <c r="E343" s="21"/>
      <c r="F343" s="22"/>
      <c r="G343" s="23"/>
      <c r="H343" s="24"/>
      <c r="I343" s="25" t="str">
        <f aca="false">IF(OR(E343="",E343="!!!",F343="NEW"),"",INDEX(B$2:B336,-1+SUMPRODUCT(MAX(ROW(E$2:E336)*(E343=E$2:E336)))))</f>
        <v/>
      </c>
      <c r="J343" s="26" t="str">
        <f aca="true">IF(OR(E343="",E343="!!!",F343="NEW"),"",COUNTBLANK(OFFSET(A$1,,,SUMPRODUCT(MAX(ROW(E$2:E337)*(E343=E$2:E337)))))-COUNTBLANK(OFFSET(A$1,,,SUMPRODUCT(MAX(ROW(E$1:E336)*(E343=E$1:E336))))))</f>
        <v/>
      </c>
      <c r="K343" s="26" t="str">
        <f aca="false">IF(OR(E343="",E343="!!!",F343="NEW"),"",INDEX(J$1:J336,SUMPRODUCT(MAX(ROW(E$1:E336)*(E343=E$1:E336)))))</f>
        <v/>
      </c>
      <c r="L343" s="27"/>
    </row>
    <row r="344" customFormat="false" ht="15" hidden="false" customHeight="false" outlineLevel="0" collapsed="false">
      <c r="A344" s="20" t="s">
        <v>195</v>
      </c>
      <c r="B344" s="28" t="s">
        <v>222</v>
      </c>
      <c r="C344" s="28" t="s">
        <v>197</v>
      </c>
      <c r="D344" s="28" t="s">
        <v>198</v>
      </c>
      <c r="E344" s="21" t="s">
        <v>314</v>
      </c>
      <c r="F344" s="22" t="s">
        <v>226</v>
      </c>
      <c r="G344" s="23" t="s">
        <v>201</v>
      </c>
      <c r="H344" s="24"/>
      <c r="I344" s="25" t="str">
        <f aca="false">IF(OR(E344="",E344="!!!",F344="NEW"),"",INDEX(B$2:B337,-1+SUMPRODUCT(MAX(ROW(E$2:E337)*(E344=E$2:E337)))))</f>
        <v>other_4</v>
      </c>
      <c r="J344" s="26" t="n">
        <f aca="true">IF(OR(E344="",E344="!!!",F344="NEW"),"",COUNTBLANK(OFFSET(A$1,,,SUMPRODUCT(MAX(ROW(E$2:E338)*(E344=E$2:E338)))))-COUNTBLANK(OFFSET(A$1,,,SUMPRODUCT(MAX(ROW(E$1:E337)*(E344=E$1:E337))))))</f>
        <v>0</v>
      </c>
      <c r="K344" s="26" t="n">
        <f aca="false">IF(OR(E344="",E344="!!!",F344="NEW"),"",INDEX(J$1:J337,SUMPRODUCT(MAX(ROW(E$1:E337)*(E344=E$1:E337)))))</f>
        <v>0</v>
      </c>
      <c r="L344" s="27"/>
    </row>
    <row r="345" customFormat="false" ht="15" hidden="false" customHeight="false" outlineLevel="0" collapsed="false">
      <c r="A345" s="20" t="s">
        <v>412</v>
      </c>
      <c r="E345" s="21"/>
      <c r="F345" s="22"/>
      <c r="G345" s="23"/>
      <c r="H345" s="24"/>
      <c r="I345" s="25" t="str">
        <f aca="false">IF(OR(E345="",E345="!!!",F345="NEW"),"",INDEX(B$2:B338,-1+SUMPRODUCT(MAX(ROW(E$2:E338)*(E345=E$2:E338)))))</f>
        <v/>
      </c>
      <c r="J345" s="26" t="str">
        <f aca="true">IF(OR(E345="",E345="!!!",F345="NEW"),"",COUNTBLANK(OFFSET(A$1,,,SUMPRODUCT(MAX(ROW(E$2:E339)*(E345=E$2:E339)))))-COUNTBLANK(OFFSET(A$1,,,SUMPRODUCT(MAX(ROW(E$1:E338)*(E345=E$1:E338))))))</f>
        <v/>
      </c>
      <c r="K345" s="26" t="str">
        <f aca="false">IF(OR(E345="",E345="!!!",F345="NEW"),"",INDEX(J$1:J338,SUMPRODUCT(MAX(ROW(E$1:E338)*(E345=E$1:E338)))))</f>
        <v/>
      </c>
      <c r="L345" s="27"/>
    </row>
    <row r="346" customFormat="false" ht="15" hidden="false" customHeight="false" outlineLevel="0" collapsed="false">
      <c r="A346" s="20" t="s">
        <v>204</v>
      </c>
      <c r="E346" s="21"/>
      <c r="F346" s="22"/>
      <c r="G346" s="23"/>
      <c r="H346" s="24"/>
      <c r="I346" s="25" t="str">
        <f aca="false">IF(OR(E346="",E346="!!!",F346="NEW"),"",INDEX(B$2:B339,-1+SUMPRODUCT(MAX(ROW(E$2:E339)*(E346=E$2:E339)))))</f>
        <v/>
      </c>
      <c r="J346" s="26" t="str">
        <f aca="true">IF(OR(E346="",E346="!!!",F346="NEW"),"",COUNTBLANK(OFFSET(A$1,,,SUMPRODUCT(MAX(ROW(E$2:E340)*(E346=E$2:E340)))))-COUNTBLANK(OFFSET(A$1,,,SUMPRODUCT(MAX(ROW(E$1:E339)*(E346=E$1:E339))))))</f>
        <v/>
      </c>
      <c r="K346" s="26" t="str">
        <f aca="false">IF(OR(E346="",E346="!!!",F346="NEW"),"",INDEX(J$1:J339,SUMPRODUCT(MAX(ROW(E$1:E339)*(E346=E$1:E339)))))</f>
        <v/>
      </c>
      <c r="L346" s="27"/>
    </row>
    <row r="347" customFormat="false" ht="15" hidden="false" customHeight="false" outlineLevel="0" collapsed="false">
      <c r="A347" s="20" t="s">
        <v>413</v>
      </c>
      <c r="B347" s="28" t="s">
        <v>234</v>
      </c>
      <c r="C347" s="28" t="s">
        <v>289</v>
      </c>
      <c r="D347" s="28" t="s">
        <v>198</v>
      </c>
      <c r="E347" s="21" t="s">
        <v>414</v>
      </c>
      <c r="F347" s="22" t="s">
        <v>200</v>
      </c>
      <c r="G347" s="23" t="s">
        <v>212</v>
      </c>
      <c r="H347" s="24"/>
      <c r="I347" s="25" t="str">
        <f aca="false">IF(OR(E347="",E347="!!!",F347="NEW"),"",INDEX(B$2:B340,-1+SUMPRODUCT(MAX(ROW(E$2:E340)*(E347=E$2:E340)))))</f>
        <v/>
      </c>
      <c r="J347" s="26" t="str">
        <f aca="true">IF(OR(E347="",E347="!!!",F347="NEW"),"",COUNTBLANK(OFFSET(A$1,,,SUMPRODUCT(MAX(ROW(E$2:E341)*(E347=E$2:E341)))))-COUNTBLANK(OFFSET(A$1,,,SUMPRODUCT(MAX(ROW(E$1:E340)*(E347=E$1:E340))))))</f>
        <v/>
      </c>
      <c r="K347" s="26" t="str">
        <f aca="false">IF(OR(E347="",E347="!!!",F347="NEW"),"",INDEX(J$1:J340,SUMPRODUCT(MAX(ROW(E$1:E340)*(E347=E$1:E340)))))</f>
        <v/>
      </c>
      <c r="L347" s="27"/>
    </row>
    <row r="348" customFormat="false" ht="15" hidden="false" customHeight="false" outlineLevel="0" collapsed="false">
      <c r="A348" s="20" t="s">
        <v>217</v>
      </c>
      <c r="E348" s="21"/>
      <c r="F348" s="22"/>
      <c r="G348" s="23"/>
      <c r="H348" s="24"/>
      <c r="I348" s="25" t="str">
        <f aca="false">IF(OR(E348="",E348="!!!",F348="NEW"),"",INDEX(B$2:B341,-1+SUMPRODUCT(MAX(ROW(E$2:E341)*(E348=E$2:E341)))))</f>
        <v/>
      </c>
      <c r="J348" s="26" t="str">
        <f aca="true">IF(OR(E348="",E348="!!!",F348="NEW"),"",COUNTBLANK(OFFSET(A$1,,,SUMPRODUCT(MAX(ROW(E$2:E342)*(E348=E$2:E342)))))-COUNTBLANK(OFFSET(A$1,,,SUMPRODUCT(MAX(ROW(E$1:E341)*(E348=E$1:E341))))))</f>
        <v/>
      </c>
      <c r="K348" s="26" t="str">
        <f aca="false">IF(OR(E348="",E348="!!!",F348="NEW"),"",INDEX(J$1:J341,SUMPRODUCT(MAX(ROW(E$1:E341)*(E348=E$1:E341)))))</f>
        <v/>
      </c>
      <c r="L348" s="27"/>
    </row>
    <row r="349" customFormat="false" ht="15" hidden="false" customHeight="false" outlineLevel="0" collapsed="false">
      <c r="A349" s="20" t="s">
        <v>334</v>
      </c>
      <c r="B349" s="28" t="s">
        <v>219</v>
      </c>
      <c r="C349" s="28" t="s">
        <v>223</v>
      </c>
      <c r="D349" s="28" t="s">
        <v>198</v>
      </c>
      <c r="E349" s="21" t="s">
        <v>334</v>
      </c>
      <c r="F349" s="22" t="s">
        <v>226</v>
      </c>
      <c r="G349" s="23" t="s">
        <v>201</v>
      </c>
      <c r="H349" s="24"/>
      <c r="I349" s="25" t="str">
        <f aca="false">IF(OR(E349="",E349="!!!",F349="NEW"),"",INDEX(B$2:B342,-1+SUMPRODUCT(MAX(ROW(E$2:E342)*(E349=E$2:E342)))))</f>
        <v>SBJ_2</v>
      </c>
      <c r="J349" s="26" t="n">
        <f aca="true">IF(OR(E349="",E349="!!!",F349="NEW"),"",COUNTBLANK(OFFSET(A$1,,,SUMPRODUCT(MAX(ROW(E$2:E343)*(E349=E$2:E343)))))-COUNTBLANK(OFFSET(A$1,,,SUMPRODUCT(MAX(ROW(E$1:E342)*(E349=E$1:E342))))))</f>
        <v>0</v>
      </c>
      <c r="K349" s="26" t="str">
        <f aca="false">IF(OR(E349="",E349="!!!",F349="NEW"),"",INDEX(J$1:J342,SUMPRODUCT(MAX(ROW(E$1:E342)*(E349=E$1:E342)))))</f>
        <v/>
      </c>
      <c r="L349" s="27"/>
    </row>
    <row r="350" customFormat="false" ht="15" hidden="false" customHeight="false" outlineLevel="0" collapsed="false">
      <c r="A350" s="20" t="s">
        <v>213</v>
      </c>
      <c r="E350" s="21"/>
      <c r="F350" s="22"/>
      <c r="G350" s="23"/>
      <c r="H350" s="24"/>
      <c r="I350" s="25" t="str">
        <f aca="false">IF(OR(E350="",E350="!!!",F350="NEW"),"",INDEX(B$2:B343,-1+SUMPRODUCT(MAX(ROW(E$2:E343)*(E350=E$2:E343)))))</f>
        <v/>
      </c>
      <c r="J350" s="26" t="str">
        <f aca="true">IF(OR(E350="",E350="!!!",F350="NEW"),"",COUNTBLANK(OFFSET(A$1,,,SUMPRODUCT(MAX(ROW(E$2:E344)*(E350=E$2:E344)))))-COUNTBLANK(OFFSET(A$1,,,SUMPRODUCT(MAX(ROW(E$1:E343)*(E350=E$1:E343))))))</f>
        <v/>
      </c>
      <c r="K350" s="26" t="str">
        <f aca="false">IF(OR(E350="",E350="!!!",F350="NEW"),"",INDEX(J$1:J343,SUMPRODUCT(MAX(ROW(E$1:E343)*(E350=E$1:E343)))))</f>
        <v/>
      </c>
      <c r="L350" s="27"/>
    </row>
    <row r="351" customFormat="false" ht="15" hidden="false" customHeight="false" outlineLevel="0" collapsed="false">
      <c r="A351" s="20" t="s">
        <v>306</v>
      </c>
      <c r="B351" s="28" t="s">
        <v>310</v>
      </c>
      <c r="C351" s="28" t="s">
        <v>223</v>
      </c>
      <c r="D351" s="28" t="s">
        <v>198</v>
      </c>
      <c r="E351" s="21" t="s">
        <v>306</v>
      </c>
      <c r="F351" s="22" t="s">
        <v>226</v>
      </c>
      <c r="G351" s="23" t="s">
        <v>201</v>
      </c>
      <c r="H351" s="24"/>
      <c r="I351" s="25" t="str">
        <f aca="false">IF(OR(E351="",E351="!!!",F351="NEW"),"",INDEX(B$2:B344,-1+SUMPRODUCT(MAX(ROW(E$2:E344)*(E351=E$2:E344)))))</f>
        <v>other_2</v>
      </c>
      <c r="J351" s="26" t="n">
        <f aca="true">IF(OR(E351="",E351="!!!",F351="NEW"),"",COUNTBLANK(OFFSET(A$1,,,SUMPRODUCT(MAX(ROW(E$2:E345)*(E351=E$2:E345)))))-COUNTBLANK(OFFSET(A$1,,,SUMPRODUCT(MAX(ROW(E$1:E344)*(E351=E$1:E344))))))</f>
        <v>0</v>
      </c>
      <c r="K351" s="26" t="str">
        <f aca="false">IF(OR(E351="",E351="!!!",F351="NEW"),"",INDEX(J$1:J344,SUMPRODUCT(MAX(ROW(E$1:E344)*(E351=E$1:E344)))))</f>
        <v/>
      </c>
      <c r="L351" s="27"/>
    </row>
    <row r="352" customFormat="false" ht="15" hidden="false" customHeight="false" outlineLevel="0" collapsed="false">
      <c r="A352" s="20" t="s">
        <v>209</v>
      </c>
      <c r="E352" s="21"/>
      <c r="F352" s="22"/>
      <c r="G352" s="23"/>
      <c r="H352" s="24"/>
      <c r="I352" s="25" t="str">
        <f aca="false">IF(OR(E352="",E352="!!!",F352="NEW"),"",INDEX(B$2:B345,-1+SUMPRODUCT(MAX(ROW(E$2:E345)*(E352=E$2:E345)))))</f>
        <v/>
      </c>
      <c r="J352" s="26" t="str">
        <f aca="true">IF(OR(E352="",E352="!!!",F352="NEW"),"",COUNTBLANK(OFFSET(A$1,,,SUMPRODUCT(MAX(ROW(E$2:E346)*(E352=E$2:E346)))))-COUNTBLANK(OFFSET(A$1,,,SUMPRODUCT(MAX(ROW(E$1:E345)*(E352=E$1:E345))))))</f>
        <v/>
      </c>
      <c r="K352" s="26" t="str">
        <f aca="false">IF(OR(E352="",E352="!!!",F352="NEW"),"",INDEX(J$1:J345,SUMPRODUCT(MAX(ROW(E$1:E345)*(E352=E$1:E345)))))</f>
        <v/>
      </c>
      <c r="L352" s="27"/>
    </row>
    <row r="353" customFormat="false" ht="15" hidden="false" customHeight="false" outlineLevel="0" collapsed="false">
      <c r="A353" s="20" t="s">
        <v>213</v>
      </c>
      <c r="E353" s="21"/>
      <c r="F353" s="22"/>
      <c r="G353" s="23"/>
      <c r="H353" s="24"/>
      <c r="I353" s="25" t="str">
        <f aca="false">IF(OR(E353="",E353="!!!",F353="NEW"),"",INDEX(B$2:B346,-1+SUMPRODUCT(MAX(ROW(E$2:E346)*(E353=E$2:E346)))))</f>
        <v/>
      </c>
      <c r="J353" s="26" t="str">
        <f aca="true">IF(OR(E353="",E353="!!!",F353="NEW"),"",COUNTBLANK(OFFSET(A$1,,,SUMPRODUCT(MAX(ROW(E$2:E347)*(E353=E$2:E347)))))-COUNTBLANK(OFFSET(A$1,,,SUMPRODUCT(MAX(ROW(E$1:E346)*(E353=E$1:E346))))))</f>
        <v/>
      </c>
      <c r="K353" s="26" t="str">
        <f aca="false">IF(OR(E353="",E353="!!!",F353="NEW"),"",INDEX(J$1:J346,SUMPRODUCT(MAX(ROW(E$1:E346)*(E353=E$1:E346)))))</f>
        <v/>
      </c>
      <c r="L353" s="27"/>
    </row>
    <row r="354" customFormat="false" ht="15" hidden="false" customHeight="false" outlineLevel="0" collapsed="false">
      <c r="A354" s="20" t="s">
        <v>315</v>
      </c>
      <c r="E354" s="21"/>
      <c r="F354" s="22"/>
      <c r="G354" s="23"/>
      <c r="H354" s="24"/>
      <c r="I354" s="25" t="str">
        <f aca="false">IF(OR(E354="",E354="!!!",F354="NEW"),"",INDEX(B$2:B347,-1+SUMPRODUCT(MAX(ROW(E$2:E347)*(E354=E$2:E347)))))</f>
        <v/>
      </c>
      <c r="J354" s="26" t="str">
        <f aca="true">IF(OR(E354="",E354="!!!",F354="NEW"),"",COUNTBLANK(OFFSET(A$1,,,SUMPRODUCT(MAX(ROW(E$2:E348)*(E354=E$2:E348)))))-COUNTBLANK(OFFSET(A$1,,,SUMPRODUCT(MAX(ROW(E$1:E347)*(E354=E$1:E347))))))</f>
        <v/>
      </c>
      <c r="K354" s="26" t="str">
        <f aca="false">IF(OR(E354="",E354="!!!",F354="NEW"),"",INDEX(J$1:J347,SUMPRODUCT(MAX(ROW(E$1:E347)*(E354=E$1:E347)))))</f>
        <v/>
      </c>
      <c r="L354" s="27"/>
    </row>
    <row r="355" customFormat="false" ht="15" hidden="false" customHeight="false" outlineLevel="0" collapsed="false">
      <c r="A355" s="20" t="s">
        <v>415</v>
      </c>
      <c r="E355" s="21"/>
      <c r="F355" s="22"/>
      <c r="G355" s="23"/>
      <c r="H355" s="24"/>
      <c r="I355" s="25" t="str">
        <f aca="false">IF(OR(E355="",E355="!!!",F355="NEW"),"",INDEX(B$2:B348,-1+SUMPRODUCT(MAX(ROW(E$2:E348)*(E355=E$2:E348)))))</f>
        <v/>
      </c>
      <c r="J355" s="26" t="str">
        <f aca="true">IF(OR(E355="",E355="!!!",F355="NEW"),"",COUNTBLANK(OFFSET(A$1,,,SUMPRODUCT(MAX(ROW(E$2:E349)*(E355=E$2:E349)))))-COUNTBLANK(OFFSET(A$1,,,SUMPRODUCT(MAX(ROW(E$1:E348)*(E355=E$1:E348))))))</f>
        <v/>
      </c>
      <c r="K355" s="26" t="str">
        <f aca="false">IF(OR(E355="",E355="!!!",F355="NEW"),"",INDEX(J$1:J348,SUMPRODUCT(MAX(ROW(E$1:E348)*(E355=E$1:E348)))))</f>
        <v/>
      </c>
      <c r="L355" s="27"/>
    </row>
    <row r="356" customFormat="false" ht="15" hidden="false" customHeight="false" outlineLevel="0" collapsed="false">
      <c r="A356" s="20" t="s">
        <v>285</v>
      </c>
      <c r="E356" s="21"/>
      <c r="F356" s="22"/>
      <c r="G356" s="23"/>
      <c r="H356" s="24"/>
      <c r="I356" s="25" t="str">
        <f aca="false">IF(OR(E356="",E356="!!!",F356="NEW"),"",INDEX(B$2:B349,-1+SUMPRODUCT(MAX(ROW(E$2:E349)*(E356=E$2:E349)))))</f>
        <v/>
      </c>
      <c r="J356" s="26" t="str">
        <f aca="true">IF(OR(E356="",E356="!!!",F356="NEW"),"",COUNTBLANK(OFFSET(A$1,,,SUMPRODUCT(MAX(ROW(E$2:E350)*(E356=E$2:E350)))))-COUNTBLANK(OFFSET(A$1,,,SUMPRODUCT(MAX(ROW(E$1:E349)*(E356=E$1:E349))))))</f>
        <v/>
      </c>
      <c r="K356" s="26" t="str">
        <f aca="false">IF(OR(E356="",E356="!!!",F356="NEW"),"",INDEX(J$1:J349,SUMPRODUCT(MAX(ROW(E$1:E349)*(E356=E$1:E349)))))</f>
        <v/>
      </c>
      <c r="L356" s="27"/>
    </row>
    <row r="357" customFormat="false" ht="15" hidden="false" customHeight="false" outlineLevel="0" collapsed="false">
      <c r="A357" s="20" t="s">
        <v>195</v>
      </c>
      <c r="B357" s="28" t="s">
        <v>273</v>
      </c>
      <c r="C357" s="28" t="s">
        <v>197</v>
      </c>
      <c r="D357" s="28" t="s">
        <v>198</v>
      </c>
      <c r="E357" s="21" t="s">
        <v>199</v>
      </c>
      <c r="F357" s="22" t="s">
        <v>226</v>
      </c>
      <c r="G357" s="23" t="s">
        <v>201</v>
      </c>
      <c r="H357" s="24"/>
      <c r="I357" s="25" t="str">
        <f aca="false">IF(OR(E357="",E357="!!!",F357="NEW"),"",INDEX(B$2:B350,-1+SUMPRODUCT(MAX(ROW(E$2:E350)*(E357=E$2:E350)))))</f>
        <v>SBJ_2</v>
      </c>
      <c r="J357" s="26" t="n">
        <f aca="true">IF(OR(E357="",E357="!!!",F357="NEW"),"",COUNTBLANK(OFFSET(A$1,,,SUMPRODUCT(MAX(ROW(E$2:E351)*(E357=E$2:E351)))))-COUNTBLANK(OFFSET(A$1,,,SUMPRODUCT(MAX(ROW(E$1:E350)*(E357=E$1:E350))))))</f>
        <v>0</v>
      </c>
      <c r="K357" s="26" t="n">
        <f aca="false">IF(OR(E357="",E357="!!!",F357="NEW"),"",INDEX(J$1:J350,SUMPRODUCT(MAX(ROW(E$1:E350)*(E357=E$1:E350)))))</f>
        <v>0</v>
      </c>
      <c r="L357" s="27"/>
    </row>
    <row r="358" customFormat="false" ht="15" hidden="false" customHeight="false" outlineLevel="0" collapsed="false">
      <c r="A358" s="20" t="s">
        <v>293</v>
      </c>
      <c r="E358" s="21"/>
      <c r="F358" s="22"/>
      <c r="G358" s="23"/>
      <c r="H358" s="24"/>
      <c r="I358" s="25" t="str">
        <f aca="false">IF(OR(E358="",E358="!!!",F358="NEW"),"",INDEX(B$2:B351,-1+SUMPRODUCT(MAX(ROW(E$2:E351)*(E358=E$2:E351)))))</f>
        <v/>
      </c>
      <c r="J358" s="26" t="str">
        <f aca="true">IF(OR(E358="",E358="!!!",F358="NEW"),"",COUNTBLANK(OFFSET(A$1,,,SUMPRODUCT(MAX(ROW(E$2:E352)*(E358=E$2:E352)))))-COUNTBLANK(OFFSET(A$1,,,SUMPRODUCT(MAX(ROW(E$1:E351)*(E358=E$1:E351))))))</f>
        <v/>
      </c>
      <c r="K358" s="26" t="str">
        <f aca="false">IF(OR(E358="",E358="!!!",F358="NEW"),"",INDEX(J$1:J351,SUMPRODUCT(MAX(ROW(E$1:E351)*(E358=E$1:E351)))))</f>
        <v/>
      </c>
      <c r="L358" s="27"/>
    </row>
    <row r="359" customFormat="false" ht="15" hidden="false" customHeight="false" outlineLevel="0" collapsed="false">
      <c r="A359" s="20" t="s">
        <v>416</v>
      </c>
      <c r="E359" s="21"/>
      <c r="F359" s="22"/>
      <c r="G359" s="23"/>
      <c r="H359" s="24"/>
      <c r="I359" s="25" t="str">
        <f aca="false">IF(OR(E359="",E359="!!!",F359="NEW"),"",INDEX(B$2:B352,-1+SUMPRODUCT(MAX(ROW(E$2:E352)*(E359=E$2:E352)))))</f>
        <v/>
      </c>
      <c r="J359" s="26" t="str">
        <f aca="true">IF(OR(E359="",E359="!!!",F359="NEW"),"",COUNTBLANK(OFFSET(A$1,,,SUMPRODUCT(MAX(ROW(E$2:E353)*(E359=E$2:E353)))))-COUNTBLANK(OFFSET(A$1,,,SUMPRODUCT(MAX(ROW(E$1:E352)*(E359=E$1:E352))))))</f>
        <v/>
      </c>
      <c r="K359" s="26" t="str">
        <f aca="false">IF(OR(E359="",E359="!!!",F359="NEW"),"",INDEX(J$1:J352,SUMPRODUCT(MAX(ROW(E$1:E352)*(E359=E$1:E352)))))</f>
        <v/>
      </c>
      <c r="L359" s="27"/>
    </row>
    <row r="360" customFormat="false" ht="15" hidden="false" customHeight="false" outlineLevel="0" collapsed="false">
      <c r="A360" s="20" t="s">
        <v>213</v>
      </c>
      <c r="E360" s="21"/>
      <c r="F360" s="22"/>
      <c r="G360" s="23"/>
      <c r="H360" s="24"/>
      <c r="I360" s="25" t="str">
        <f aca="false">IF(OR(E360="",E360="!!!",F360="NEW"),"",INDEX(B$2:B353,-1+SUMPRODUCT(MAX(ROW(E$2:E353)*(E360=E$2:E353)))))</f>
        <v/>
      </c>
      <c r="J360" s="26" t="str">
        <f aca="true">IF(OR(E360="",E360="!!!",F360="NEW"),"",COUNTBLANK(OFFSET(A$1,,,SUMPRODUCT(MAX(ROW(E$2:E354)*(E360=E$2:E354)))))-COUNTBLANK(OFFSET(A$1,,,SUMPRODUCT(MAX(ROW(E$1:E353)*(E360=E$1:E353))))))</f>
        <v/>
      </c>
      <c r="K360" s="26" t="str">
        <f aca="false">IF(OR(E360="",E360="!!!",F360="NEW"),"",INDEX(J$1:J353,SUMPRODUCT(MAX(ROW(E$1:E353)*(E360=E$1:E353)))))</f>
        <v/>
      </c>
      <c r="L360" s="27"/>
    </row>
    <row r="361" customFormat="false" ht="15" hidden="false" customHeight="false" outlineLevel="0" collapsed="false">
      <c r="A361" s="20" t="s">
        <v>417</v>
      </c>
      <c r="E361" s="21"/>
      <c r="F361" s="22"/>
      <c r="G361" s="23"/>
      <c r="H361" s="24"/>
      <c r="I361" s="25" t="str">
        <f aca="false">IF(OR(E361="",E361="!!!",F361="NEW"),"",INDEX(B$2:B354,-1+SUMPRODUCT(MAX(ROW(E$2:E354)*(E361=E$2:E354)))))</f>
        <v/>
      </c>
      <c r="J361" s="26" t="str">
        <f aca="true">IF(OR(E361="",E361="!!!",F361="NEW"),"",COUNTBLANK(OFFSET(A$1,,,SUMPRODUCT(MAX(ROW(E$2:E355)*(E361=E$2:E355)))))-COUNTBLANK(OFFSET(A$1,,,SUMPRODUCT(MAX(ROW(E$1:E354)*(E361=E$1:E354))))))</f>
        <v/>
      </c>
      <c r="K361" s="26" t="str">
        <f aca="false">IF(OR(E361="",E361="!!!",F361="NEW"),"",INDEX(J$1:J354,SUMPRODUCT(MAX(ROW(E$1:E354)*(E361=E$1:E354)))))</f>
        <v/>
      </c>
      <c r="L361" s="27"/>
    </row>
    <row r="362" customFormat="false" ht="15" hidden="false" customHeight="false" outlineLevel="0" collapsed="false">
      <c r="A362" s="20" t="s">
        <v>277</v>
      </c>
      <c r="B362" s="28" t="s">
        <v>219</v>
      </c>
      <c r="C362" s="28" t="s">
        <v>251</v>
      </c>
      <c r="E362" s="21"/>
      <c r="F362" s="22"/>
      <c r="G362" s="23"/>
      <c r="H362" s="24"/>
      <c r="I362" s="25" t="str">
        <f aca="false">IF(OR(E362="",E362="!!!",F362="NEW"),"",INDEX(B$2:B355,-1+SUMPRODUCT(MAX(ROW(E$2:E355)*(E362=E$2:E355)))))</f>
        <v/>
      </c>
      <c r="J362" s="26" t="str">
        <f aca="true">IF(OR(E362="",E362="!!!",F362="NEW"),"",COUNTBLANK(OFFSET(A$1,,,SUMPRODUCT(MAX(ROW(E$2:E356)*(E362=E$2:E356)))))-COUNTBLANK(OFFSET(A$1,,,SUMPRODUCT(MAX(ROW(E$1:E355)*(E362=E$1:E355))))))</f>
        <v/>
      </c>
      <c r="K362" s="26" t="str">
        <f aca="false">IF(OR(E362="",E362="!!!",F362="NEW"),"",INDEX(J$1:J355,SUMPRODUCT(MAX(ROW(E$1:E355)*(E362=E$1:E355)))))</f>
        <v/>
      </c>
      <c r="L362" s="27"/>
    </row>
    <row r="363" customFormat="false" ht="15" hidden="false" customHeight="false" outlineLevel="0" collapsed="false">
      <c r="A363" s="20" t="s">
        <v>209</v>
      </c>
      <c r="E363" s="21"/>
      <c r="F363" s="22"/>
      <c r="G363" s="23"/>
      <c r="H363" s="24"/>
      <c r="I363" s="25" t="str">
        <f aca="false">IF(OR(E363="",E363="!!!",F363="NEW"),"",INDEX(B$2:B356,-1+SUMPRODUCT(MAX(ROW(E$2:E356)*(E363=E$2:E356)))))</f>
        <v/>
      </c>
      <c r="J363" s="26" t="str">
        <f aca="true">IF(OR(E363="",E363="!!!",F363="NEW"),"",COUNTBLANK(OFFSET(A$1,,,SUMPRODUCT(MAX(ROW(E$2:E357)*(E363=E$2:E357)))))-COUNTBLANK(OFFSET(A$1,,,SUMPRODUCT(MAX(ROW(E$1:E356)*(E363=E$1:E356))))))</f>
        <v/>
      </c>
      <c r="K363" s="26" t="str">
        <f aca="false">IF(OR(E363="",E363="!!!",F363="NEW"),"",INDEX(J$1:J356,SUMPRODUCT(MAX(ROW(E$1:E356)*(E363=E$1:E356)))))</f>
        <v/>
      </c>
      <c r="L363" s="27"/>
    </row>
    <row r="364" customFormat="false" ht="15" hidden="false" customHeight="false" outlineLevel="0" collapsed="false">
      <c r="A364" s="20" t="s">
        <v>195</v>
      </c>
      <c r="B364" s="28" t="s">
        <v>196</v>
      </c>
      <c r="C364" s="28" t="s">
        <v>197</v>
      </c>
      <c r="D364" s="28" t="s">
        <v>198</v>
      </c>
      <c r="E364" s="21" t="s">
        <v>314</v>
      </c>
      <c r="F364" s="22" t="s">
        <v>226</v>
      </c>
      <c r="G364" s="23" t="s">
        <v>227</v>
      </c>
      <c r="H364" s="24"/>
      <c r="I364" s="25" t="str">
        <f aca="false">IF(OR(E364="",E364="!!!",F364="NEW"),"",INDEX(B$2:B357,-1+SUMPRODUCT(MAX(ROW(E$2:E357)*(E364=E$2:E357)))))</f>
        <v>SBJ_2</v>
      </c>
      <c r="J364" s="26" t="n">
        <f aca="true">IF(OR(E364="",E364="!!!",F364="NEW"),"",COUNTBLANK(OFFSET(A$1,,,SUMPRODUCT(MAX(ROW(E$2:E358)*(E364=E$2:E358)))))-COUNTBLANK(OFFSET(A$1,,,SUMPRODUCT(MAX(ROW(E$1:E357)*(E364=E$1:E357))))))</f>
        <v>0</v>
      </c>
      <c r="K364" s="26" t="n">
        <f aca="false">IF(OR(E364="",E364="!!!",F364="NEW"),"",INDEX(J$1:J357,SUMPRODUCT(MAX(ROW(E$1:E357)*(E364=E$1:E357)))))</f>
        <v>0</v>
      </c>
      <c r="L364" s="27"/>
    </row>
    <row r="365" customFormat="false" ht="15" hidden="false" customHeight="false" outlineLevel="0" collapsed="false">
      <c r="A365" s="20" t="s">
        <v>418</v>
      </c>
      <c r="E365" s="21"/>
      <c r="F365" s="22"/>
      <c r="G365" s="23"/>
      <c r="H365" s="24"/>
      <c r="I365" s="25" t="str">
        <f aca="false">IF(OR(E365="",E365="!!!",F365="NEW"),"",INDEX(B$2:B358,-1+SUMPRODUCT(MAX(ROW(E$2:E358)*(E365=E$2:E358)))))</f>
        <v/>
      </c>
      <c r="J365" s="26" t="str">
        <f aca="true">IF(OR(E365="",E365="!!!",F365="NEW"),"",COUNTBLANK(OFFSET(A$1,,,SUMPRODUCT(MAX(ROW(E$2:E359)*(E365=E$2:E359)))))-COUNTBLANK(OFFSET(A$1,,,SUMPRODUCT(MAX(ROW(E$1:E358)*(E365=E$1:E358))))))</f>
        <v/>
      </c>
      <c r="K365" s="26" t="str">
        <f aca="false">IF(OR(E365="",E365="!!!",F365="NEW"),"",INDEX(J$1:J358,SUMPRODUCT(MAX(ROW(E$1:E358)*(E365=E$1:E358)))))</f>
        <v/>
      </c>
      <c r="L365" s="27"/>
    </row>
    <row r="366" customFormat="false" ht="15" hidden="false" customHeight="false" outlineLevel="0" collapsed="false">
      <c r="A366" s="20" t="s">
        <v>244</v>
      </c>
      <c r="E366" s="21"/>
      <c r="F366" s="22"/>
      <c r="G366" s="23"/>
      <c r="H366" s="24"/>
      <c r="I366" s="25" t="str">
        <f aca="false">IF(OR(E366="",E366="!!!",F366="NEW"),"",INDEX(B$2:B359,-1+SUMPRODUCT(MAX(ROW(E$2:E359)*(E366=E$2:E359)))))</f>
        <v/>
      </c>
      <c r="J366" s="26" t="str">
        <f aca="true">IF(OR(E366="",E366="!!!",F366="NEW"),"",COUNTBLANK(OFFSET(A$1,,,SUMPRODUCT(MAX(ROW(E$2:E360)*(E366=E$2:E360)))))-COUNTBLANK(OFFSET(A$1,,,SUMPRODUCT(MAX(ROW(E$1:E359)*(E366=E$1:E359))))))</f>
        <v/>
      </c>
      <c r="K366" s="26" t="str">
        <f aca="false">IF(OR(E366="",E366="!!!",F366="NEW"),"",INDEX(J$1:J359,SUMPRODUCT(MAX(ROW(E$1:E359)*(E366=E$1:E359)))))</f>
        <v/>
      </c>
      <c r="L366" s="27"/>
    </row>
    <row r="367" customFormat="false" ht="15" hidden="false" customHeight="false" outlineLevel="0" collapsed="false">
      <c r="A367" s="20"/>
      <c r="E367" s="21"/>
      <c r="F367" s="22"/>
      <c r="G367" s="23"/>
      <c r="H367" s="24"/>
      <c r="I367" s="25" t="str">
        <f aca="false">IF(OR(E367="",E367="!!!",F367="NEW"),"",INDEX(B$2:B360,-1+SUMPRODUCT(MAX(ROW(E$2:E360)*(E367=E$2:E360)))))</f>
        <v/>
      </c>
      <c r="J367" s="26" t="str">
        <f aca="true">IF(OR(E367="",E367="!!!",F367="NEW"),"",COUNTBLANK(OFFSET(A$1,,,SUMPRODUCT(MAX(ROW(E$2:E361)*(E367=E$2:E361)))))-COUNTBLANK(OFFSET(A$1,,,SUMPRODUCT(MAX(ROW(E$1:E360)*(E367=E$1:E360))))))</f>
        <v/>
      </c>
      <c r="K367" s="26" t="str">
        <f aca="false">IF(OR(E367="",E367="!!!",F367="NEW"),"",INDEX(J$1:J360,SUMPRODUCT(MAX(ROW(E$1:E360)*(E367=E$1:E360)))))</f>
        <v/>
      </c>
      <c r="L367" s="27"/>
    </row>
    <row r="368" customFormat="false" ht="15" hidden="false" customHeight="false" outlineLevel="0" collapsed="false">
      <c r="A368" s="20" t="s">
        <v>419</v>
      </c>
      <c r="E368" s="21"/>
      <c r="F368" s="22"/>
      <c r="G368" s="23"/>
      <c r="H368" s="24"/>
      <c r="I368" s="25" t="str">
        <f aca="false">IF(OR(E368="",E368="!!!",F368="NEW"),"",INDEX(B$2:B361,-1+SUMPRODUCT(MAX(ROW(E$2:E361)*(E368=E$2:E361)))))</f>
        <v/>
      </c>
      <c r="J368" s="26" t="str">
        <f aca="true">IF(OR(E368="",E368="!!!",F368="NEW"),"",COUNTBLANK(OFFSET(A$1,,,SUMPRODUCT(MAX(ROW(E$2:E362)*(E368=E$2:E362)))))-COUNTBLANK(OFFSET(A$1,,,SUMPRODUCT(MAX(ROW(E$1:E361)*(E368=E$1:E361))))))</f>
        <v/>
      </c>
      <c r="K368" s="26" t="str">
        <f aca="false">IF(OR(E368="",E368="!!!",F368="NEW"),"",INDEX(J$1:J361,SUMPRODUCT(MAX(ROW(E$1:E361)*(E368=E$1:E361)))))</f>
        <v/>
      </c>
      <c r="L368" s="27"/>
    </row>
    <row r="369" customFormat="false" ht="15" hidden="false" customHeight="false" outlineLevel="0" collapsed="false">
      <c r="A369" s="20" t="s">
        <v>246</v>
      </c>
      <c r="B369" s="28" t="s">
        <v>196</v>
      </c>
      <c r="C369" s="28" t="s">
        <v>197</v>
      </c>
      <c r="D369" s="28" t="s">
        <v>198</v>
      </c>
      <c r="E369" s="21" t="s">
        <v>314</v>
      </c>
      <c r="F369" s="22" t="s">
        <v>226</v>
      </c>
      <c r="G369" s="23" t="s">
        <v>227</v>
      </c>
      <c r="H369" s="24"/>
      <c r="I369" s="25" t="str">
        <f aca="false">IF(OR(E369="",E369="!!!",F369="NEW"),"",INDEX(B$2:B362,-1+SUMPRODUCT(MAX(ROW(E$2:E362)*(E369=E$2:E362)))))</f>
        <v>SBJ_2</v>
      </c>
      <c r="J369" s="26" t="n">
        <f aca="true">IF(OR(E369="",E369="!!!",F369="NEW"),"",COUNTBLANK(OFFSET(A$1,,,SUMPRODUCT(MAX(ROW(E$2:E363)*(E369=E$2:E363)))))-COUNTBLANK(OFFSET(A$1,,,SUMPRODUCT(MAX(ROW(E$1:E362)*(E369=E$1:E362))))))</f>
        <v>0</v>
      </c>
      <c r="K369" s="26" t="n">
        <f aca="false">IF(OR(E369="",E369="!!!",F369="NEW"),"",INDEX(J$1:J362,SUMPRODUCT(MAX(ROW(E$1:E362)*(E369=E$1:E362)))))</f>
        <v>0</v>
      </c>
      <c r="L369" s="27"/>
    </row>
    <row r="370" customFormat="false" ht="15" hidden="false" customHeight="false" outlineLevel="0" collapsed="false">
      <c r="A370" s="20" t="s">
        <v>420</v>
      </c>
      <c r="E370" s="21"/>
      <c r="F370" s="22"/>
      <c r="G370" s="23"/>
      <c r="H370" s="24"/>
      <c r="I370" s="25" t="str">
        <f aca="false">IF(OR(E370="",E370="!!!",F370="NEW"),"",INDEX(B$2:B363,-1+SUMPRODUCT(MAX(ROW(E$2:E363)*(E370=E$2:E363)))))</f>
        <v/>
      </c>
      <c r="J370" s="26" t="str">
        <f aca="true">IF(OR(E370="",E370="!!!",F370="NEW"),"",COUNTBLANK(OFFSET(A$1,,,SUMPRODUCT(MAX(ROW(E$2:E364)*(E370=E$2:E364)))))-COUNTBLANK(OFFSET(A$1,,,SUMPRODUCT(MAX(ROW(E$1:E363)*(E370=E$1:E363))))))</f>
        <v/>
      </c>
      <c r="K370" s="26" t="str">
        <f aca="false">IF(OR(E370="",E370="!!!",F370="NEW"),"",INDEX(J$1:J363,SUMPRODUCT(MAX(ROW(E$1:E363)*(E370=E$1:E363)))))</f>
        <v/>
      </c>
      <c r="L370" s="27"/>
    </row>
    <row r="371" customFormat="false" ht="15" hidden="false" customHeight="false" outlineLevel="0" collapsed="false">
      <c r="A371" s="20" t="s">
        <v>285</v>
      </c>
      <c r="E371" s="21"/>
      <c r="F371" s="22"/>
      <c r="G371" s="23"/>
      <c r="H371" s="24"/>
      <c r="I371" s="25" t="str">
        <f aca="false">IF(OR(E371="",E371="!!!",F371="NEW"),"",INDEX(B$2:B364,-1+SUMPRODUCT(MAX(ROW(E$2:E364)*(E371=E$2:E364)))))</f>
        <v/>
      </c>
      <c r="J371" s="26" t="str">
        <f aca="true">IF(OR(E371="",E371="!!!",F371="NEW"),"",COUNTBLANK(OFFSET(A$1,,,SUMPRODUCT(MAX(ROW(E$2:E365)*(E371=E$2:E365)))))-COUNTBLANK(OFFSET(A$1,,,SUMPRODUCT(MAX(ROW(E$1:E364)*(E371=E$1:E364))))))</f>
        <v/>
      </c>
      <c r="K371" s="26" t="str">
        <f aca="false">IF(OR(E371="",E371="!!!",F371="NEW"),"",INDEX(J$1:J364,SUMPRODUCT(MAX(ROW(E$1:E364)*(E371=E$1:E364)))))</f>
        <v/>
      </c>
      <c r="L371" s="27"/>
    </row>
    <row r="372" customFormat="false" ht="15" hidden="false" customHeight="false" outlineLevel="0" collapsed="false">
      <c r="A372" s="20" t="s">
        <v>195</v>
      </c>
      <c r="B372" s="28" t="s">
        <v>222</v>
      </c>
      <c r="C372" s="28" t="s">
        <v>197</v>
      </c>
      <c r="D372" s="28" t="s">
        <v>198</v>
      </c>
      <c r="E372" s="21" t="s">
        <v>199</v>
      </c>
      <c r="F372" s="22" t="s">
        <v>226</v>
      </c>
      <c r="G372" s="23" t="s">
        <v>247</v>
      </c>
      <c r="H372" s="24"/>
      <c r="I372" s="25" t="str">
        <f aca="false">IF(OR(E372="",E372="!!!",F372="NEW"),"",INDEX(B$2:B365,-1+SUMPRODUCT(MAX(ROW(E$2:E365)*(E372=E$2:E365)))))</f>
        <v>SBJ_4</v>
      </c>
      <c r="J372" s="26" t="n">
        <f aca="true">IF(OR(E372="",E372="!!!",F372="NEW"),"",COUNTBLANK(OFFSET(A$1,,,SUMPRODUCT(MAX(ROW(E$2:E366)*(E372=E$2:E366)))))-COUNTBLANK(OFFSET(A$1,,,SUMPRODUCT(MAX(ROW(E$1:E365)*(E372=E$1:E365))))))</f>
        <v>0</v>
      </c>
      <c r="K372" s="26" t="n">
        <f aca="false">IF(OR(E372="",E372="!!!",F372="NEW"),"",INDEX(J$1:J365,SUMPRODUCT(MAX(ROW(E$1:E365)*(E372=E$1:E365)))))</f>
        <v>0</v>
      </c>
      <c r="L372" s="27"/>
    </row>
    <row r="373" customFormat="false" ht="15" hidden="false" customHeight="false" outlineLevel="0" collapsed="false">
      <c r="A373" s="20" t="s">
        <v>315</v>
      </c>
      <c r="E373" s="21"/>
      <c r="F373" s="22"/>
      <c r="G373" s="23"/>
      <c r="H373" s="24"/>
      <c r="I373" s="25" t="str">
        <f aca="false">IF(OR(E373="",E373="!!!",F373="NEW"),"",INDEX(B$2:B366,-1+SUMPRODUCT(MAX(ROW(E$2:E366)*(E373=E$2:E366)))))</f>
        <v/>
      </c>
      <c r="J373" s="26" t="str">
        <f aca="true">IF(OR(E373="",E373="!!!",F373="NEW"),"",COUNTBLANK(OFFSET(A$1,,,SUMPRODUCT(MAX(ROW(E$2:E367)*(E373=E$2:E367)))))-COUNTBLANK(OFFSET(A$1,,,SUMPRODUCT(MAX(ROW(E$1:E366)*(E373=E$1:E366))))))</f>
        <v/>
      </c>
      <c r="K373" s="26" t="str">
        <f aca="false">IF(OR(E373="",E373="!!!",F373="NEW"),"",INDEX(J$1:J366,SUMPRODUCT(MAX(ROW(E$1:E366)*(E373=E$1:E366)))))</f>
        <v/>
      </c>
      <c r="L373" s="27"/>
    </row>
    <row r="374" customFormat="false" ht="15" hidden="false" customHeight="false" outlineLevel="0" collapsed="false">
      <c r="A374" s="20" t="s">
        <v>360</v>
      </c>
      <c r="E374" s="21"/>
      <c r="F374" s="22"/>
      <c r="G374" s="23"/>
      <c r="H374" s="24"/>
      <c r="I374" s="25" t="str">
        <f aca="false">IF(OR(E374="",E374="!!!",F374="NEW"),"",INDEX(B$2:B367,-1+SUMPRODUCT(MAX(ROW(E$2:E367)*(E374=E$2:E367)))))</f>
        <v/>
      </c>
      <c r="J374" s="26" t="str">
        <f aca="true">IF(OR(E374="",E374="!!!",F374="NEW"),"",COUNTBLANK(OFFSET(A$1,,,SUMPRODUCT(MAX(ROW(E$2:E368)*(E374=E$2:E368)))))-COUNTBLANK(OFFSET(A$1,,,SUMPRODUCT(MAX(ROW(E$1:E367)*(E374=E$1:E367))))))</f>
        <v/>
      </c>
      <c r="K374" s="26" t="str">
        <f aca="false">IF(OR(E374="",E374="!!!",F374="NEW"),"",INDEX(J$1:J367,SUMPRODUCT(MAX(ROW(E$1:E367)*(E374=E$1:E367)))))</f>
        <v/>
      </c>
      <c r="L374" s="27"/>
    </row>
    <row r="375" customFormat="false" ht="15" hidden="false" customHeight="false" outlineLevel="0" collapsed="false">
      <c r="A375" s="20" t="s">
        <v>304</v>
      </c>
      <c r="E375" s="21"/>
      <c r="F375" s="22"/>
      <c r="G375" s="23"/>
      <c r="H375" s="24"/>
      <c r="I375" s="25" t="str">
        <f aca="false">IF(OR(E375="",E375="!!!",F375="NEW"),"",INDEX(B$2:B368,-1+SUMPRODUCT(MAX(ROW(E$2:E368)*(E375=E$2:E368)))))</f>
        <v/>
      </c>
      <c r="J375" s="26" t="str">
        <f aca="true">IF(OR(E375="",E375="!!!",F375="NEW"),"",COUNTBLANK(OFFSET(A$1,,,SUMPRODUCT(MAX(ROW(E$2:E369)*(E375=E$2:E369)))))-COUNTBLANK(OFFSET(A$1,,,SUMPRODUCT(MAX(ROW(E$1:E368)*(E375=E$1:E368))))))</f>
        <v/>
      </c>
      <c r="K375" s="26" t="str">
        <f aca="false">IF(OR(E375="",E375="!!!",F375="NEW"),"",INDEX(J$1:J368,SUMPRODUCT(MAX(ROW(E$1:E368)*(E375=E$1:E368)))))</f>
        <v/>
      </c>
      <c r="L375" s="27"/>
    </row>
    <row r="376" customFormat="false" ht="15" hidden="false" customHeight="false" outlineLevel="0" collapsed="false">
      <c r="A376" s="20" t="s">
        <v>237</v>
      </c>
      <c r="B376" s="28" t="s">
        <v>206</v>
      </c>
      <c r="C376" s="28" t="s">
        <v>223</v>
      </c>
      <c r="D376" s="28" t="s">
        <v>198</v>
      </c>
      <c r="E376" s="21" t="s">
        <v>237</v>
      </c>
      <c r="F376" s="22" t="s">
        <v>226</v>
      </c>
      <c r="G376" s="23" t="s">
        <v>201</v>
      </c>
      <c r="H376" s="24"/>
      <c r="I376" s="25" t="str">
        <f aca="false">IF(OR(E376="",E376="!!!",F376="NEW"),"",INDEX(B$2:B369,-1+SUMPRODUCT(MAX(ROW(E$2:E369)*(E376=E$2:E369)))))</f>
        <v>other_4</v>
      </c>
      <c r="J376" s="26" t="n">
        <f aca="true">IF(OR(E376="",E376="!!!",F376="NEW"),"",COUNTBLANK(OFFSET(A$1,,,SUMPRODUCT(MAX(ROW(E$2:E370)*(E376=E$2:E370)))))-COUNTBLANK(OFFSET(A$1,,,SUMPRODUCT(MAX(ROW(E$1:E369)*(E376=E$1:E369))))))</f>
        <v>0</v>
      </c>
      <c r="K376" s="26" t="n">
        <f aca="false">IF(OR(E376="",E376="!!!",F376="NEW"),"",INDEX(J$1:J369,SUMPRODUCT(MAX(ROW(E$1:E369)*(E376=E$1:E369)))))</f>
        <v>0</v>
      </c>
      <c r="L376" s="27"/>
    </row>
    <row r="377" customFormat="false" ht="15" hidden="false" customHeight="false" outlineLevel="0" collapsed="false">
      <c r="A377" s="20" t="s">
        <v>244</v>
      </c>
      <c r="E377" s="21"/>
      <c r="F377" s="22"/>
      <c r="G377" s="23"/>
      <c r="H377" s="24"/>
      <c r="I377" s="25" t="str">
        <f aca="false">IF(OR(E377="",E377="!!!",F377="NEW"),"",INDEX(B$2:B370,-1+SUMPRODUCT(MAX(ROW(E$2:E370)*(E377=E$2:E370)))))</f>
        <v/>
      </c>
      <c r="J377" s="26" t="str">
        <f aca="true">IF(OR(E377="",E377="!!!",F377="NEW"),"",COUNTBLANK(OFFSET(A$1,,,SUMPRODUCT(MAX(ROW(E$2:E371)*(E377=E$2:E371)))))-COUNTBLANK(OFFSET(A$1,,,SUMPRODUCT(MAX(ROW(E$1:E370)*(E377=E$1:E370))))))</f>
        <v/>
      </c>
      <c r="K377" s="26" t="str">
        <f aca="false">IF(OR(E377="",E377="!!!",F377="NEW"),"",INDEX(J$1:J370,SUMPRODUCT(MAX(ROW(E$1:E370)*(E377=E$1:E370)))))</f>
        <v/>
      </c>
      <c r="L377" s="27"/>
    </row>
    <row r="378" customFormat="false" ht="15" hidden="false" customHeight="false" outlineLevel="0" collapsed="false">
      <c r="A378" s="20"/>
      <c r="E378" s="21"/>
      <c r="F378" s="22"/>
      <c r="G378" s="23"/>
      <c r="H378" s="24"/>
      <c r="I378" s="25" t="str">
        <f aca="false">IF(OR(E378="",E378="!!!",F378="NEW"),"",INDEX(B$2:B371,-1+SUMPRODUCT(MAX(ROW(E$2:E371)*(E378=E$2:E371)))))</f>
        <v/>
      </c>
      <c r="J378" s="26" t="str">
        <f aca="true">IF(OR(E378="",E378="!!!",F378="NEW"),"",COUNTBLANK(OFFSET(A$1,,,SUMPRODUCT(MAX(ROW(E$2:E372)*(E378=E$2:E372)))))-COUNTBLANK(OFFSET(A$1,,,SUMPRODUCT(MAX(ROW(E$1:E371)*(E378=E$1:E371))))))</f>
        <v/>
      </c>
      <c r="K378" s="26" t="str">
        <f aca="false">IF(OR(E378="",E378="!!!",F378="NEW"),"",INDEX(J$1:J371,SUMPRODUCT(MAX(ROW(E$1:E371)*(E378=E$1:E371)))))</f>
        <v/>
      </c>
      <c r="L378" s="27"/>
    </row>
    <row r="379" customFormat="false" ht="15" hidden="false" customHeight="false" outlineLevel="0" collapsed="false">
      <c r="A379" s="20" t="s">
        <v>421</v>
      </c>
      <c r="E379" s="21"/>
      <c r="F379" s="22"/>
      <c r="G379" s="23"/>
      <c r="H379" s="24"/>
      <c r="I379" s="25" t="str">
        <f aca="false">IF(OR(E379="",E379="!!!",F379="NEW"),"",INDEX(B$2:B372,-1+SUMPRODUCT(MAX(ROW(E$2:E372)*(E379=E$2:E372)))))</f>
        <v/>
      </c>
      <c r="J379" s="26" t="str">
        <f aca="true">IF(OR(E379="",E379="!!!",F379="NEW"),"",COUNTBLANK(OFFSET(A$1,,,SUMPRODUCT(MAX(ROW(E$2:E373)*(E379=E$2:E373)))))-COUNTBLANK(OFFSET(A$1,,,SUMPRODUCT(MAX(ROW(E$1:E372)*(E379=E$1:E372))))))</f>
        <v/>
      </c>
      <c r="K379" s="26" t="str">
        <f aca="false">IF(OR(E379="",E379="!!!",F379="NEW"),"",INDEX(J$1:J372,SUMPRODUCT(MAX(ROW(E$1:E372)*(E379=E$1:E372)))))</f>
        <v/>
      </c>
      <c r="L379" s="27"/>
    </row>
    <row r="380" customFormat="false" ht="15" hidden="false" customHeight="false" outlineLevel="0" collapsed="false">
      <c r="A380" s="20" t="s">
        <v>422</v>
      </c>
      <c r="E380" s="21"/>
      <c r="F380" s="22"/>
      <c r="G380" s="23"/>
      <c r="H380" s="24"/>
      <c r="I380" s="25" t="str">
        <f aca="false">IF(OR(E380="",E380="!!!",F380="NEW"),"",INDEX(B$2:B373,-1+SUMPRODUCT(MAX(ROW(E$2:E373)*(E380=E$2:E373)))))</f>
        <v/>
      </c>
      <c r="J380" s="26" t="str">
        <f aca="true">IF(OR(E380="",E380="!!!",F380="NEW"),"",COUNTBLANK(OFFSET(A$1,,,SUMPRODUCT(MAX(ROW(E$2:E374)*(E380=E$2:E374)))))-COUNTBLANK(OFFSET(A$1,,,SUMPRODUCT(MAX(ROW(E$1:E373)*(E380=E$1:E373))))))</f>
        <v/>
      </c>
      <c r="K380" s="26" t="str">
        <f aca="false">IF(OR(E380="",E380="!!!",F380="NEW"),"",INDEX(J$1:J373,SUMPRODUCT(MAX(ROW(E$1:E373)*(E380=E$1:E373)))))</f>
        <v/>
      </c>
      <c r="L380" s="27"/>
    </row>
    <row r="381" customFormat="false" ht="15" hidden="false" customHeight="false" outlineLevel="0" collapsed="false">
      <c r="A381" s="20" t="s">
        <v>204</v>
      </c>
      <c r="E381" s="21"/>
      <c r="F381" s="22"/>
      <c r="G381" s="23"/>
      <c r="H381" s="24"/>
      <c r="I381" s="25" t="str">
        <f aca="false">IF(OR(E381="",E381="!!!",F381="NEW"),"",INDEX(B$2:B374,-1+SUMPRODUCT(MAX(ROW(E$2:E374)*(E381=E$2:E374)))))</f>
        <v/>
      </c>
      <c r="J381" s="26" t="str">
        <f aca="true">IF(OR(E381="",E381="!!!",F381="NEW"),"",COUNTBLANK(OFFSET(A$1,,,SUMPRODUCT(MAX(ROW(E$2:E375)*(E381=E$2:E375)))))-COUNTBLANK(OFFSET(A$1,,,SUMPRODUCT(MAX(ROW(E$1:E374)*(E381=E$1:E374))))))</f>
        <v/>
      </c>
      <c r="K381" s="26" t="str">
        <f aca="false">IF(OR(E381="",E381="!!!",F381="NEW"),"",INDEX(J$1:J374,SUMPRODUCT(MAX(ROW(E$1:E374)*(E381=E$1:E374)))))</f>
        <v/>
      </c>
      <c r="L381" s="27"/>
    </row>
    <row r="382" customFormat="false" ht="15" hidden="false" customHeight="false" outlineLevel="0" collapsed="false">
      <c r="A382" s="20" t="s">
        <v>354</v>
      </c>
      <c r="B382" s="28" t="s">
        <v>234</v>
      </c>
      <c r="C382" s="28" t="s">
        <v>207</v>
      </c>
      <c r="D382" s="28" t="s">
        <v>198</v>
      </c>
      <c r="E382" s="21" t="s">
        <v>358</v>
      </c>
      <c r="F382" s="22" t="s">
        <v>226</v>
      </c>
      <c r="G382" s="23" t="s">
        <v>201</v>
      </c>
      <c r="H382" s="24"/>
      <c r="I382" s="25" t="str">
        <f aca="false">IF(OR(E382="",E382="!!!",F382="NEW"),"",INDEX(B$2:B375,-1+SUMPRODUCT(MAX(ROW(E$2:E375)*(E382=E$2:E375)))))</f>
        <v>other</v>
      </c>
      <c r="J382" s="26" t="n">
        <f aca="true">IF(OR(E382="",E382="!!!",F382="NEW"),"",COUNTBLANK(OFFSET(A$1,,,SUMPRODUCT(MAX(ROW(E$2:E376)*(E382=E$2:E376)))))-COUNTBLANK(OFFSET(A$1,,,SUMPRODUCT(MAX(ROW(E$1:E375)*(E382=E$1:E375))))))</f>
        <v>0</v>
      </c>
      <c r="K382" s="26" t="n">
        <f aca="false">IF(OR(E382="",E382="!!!",F382="NEW"),"",INDEX(J$1:J375,SUMPRODUCT(MAX(ROW(E$1:E375)*(E382=E$1:E375)))))</f>
        <v>0</v>
      </c>
      <c r="L382" s="27"/>
    </row>
    <row r="383" customFormat="false" ht="15" hidden="false" customHeight="false" outlineLevel="0" collapsed="false">
      <c r="A383" s="20" t="s">
        <v>269</v>
      </c>
      <c r="B383" s="28" t="s">
        <v>273</v>
      </c>
      <c r="E383" s="21"/>
      <c r="F383" s="22"/>
      <c r="G383" s="23"/>
      <c r="H383" s="24"/>
      <c r="I383" s="25" t="str">
        <f aca="false">IF(OR(E383="",E383="!!!",F383="NEW"),"",INDEX(B$2:B376,-1+SUMPRODUCT(MAX(ROW(E$2:E376)*(E383=E$2:E376)))))</f>
        <v/>
      </c>
      <c r="J383" s="26" t="str">
        <f aca="true">IF(OR(E383="",E383="!!!",F383="NEW"),"",COUNTBLANK(OFFSET(A$1,,,SUMPRODUCT(MAX(ROW(E$2:E377)*(E383=E$2:E377)))))-COUNTBLANK(OFFSET(A$1,,,SUMPRODUCT(MAX(ROW(E$1:E376)*(E383=E$1:E376))))))</f>
        <v/>
      </c>
      <c r="K383" s="26" t="str">
        <f aca="false">IF(OR(E383="",E383="!!!",F383="NEW"),"",INDEX(J$1:J376,SUMPRODUCT(MAX(ROW(E$1:E376)*(E383=E$1:E376)))))</f>
        <v/>
      </c>
      <c r="L383" s="27"/>
    </row>
    <row r="384" customFormat="false" ht="15" hidden="false" customHeight="false" outlineLevel="0" collapsed="false">
      <c r="A384" s="20" t="s">
        <v>262</v>
      </c>
      <c r="E384" s="21"/>
      <c r="F384" s="22"/>
      <c r="G384" s="23"/>
      <c r="H384" s="24"/>
      <c r="I384" s="25" t="str">
        <f aca="false">IF(OR(E384="",E384="!!!",F384="NEW"),"",INDEX(B$2:B377,-1+SUMPRODUCT(MAX(ROW(E$2:E377)*(E384=E$2:E377)))))</f>
        <v/>
      </c>
      <c r="J384" s="26" t="str">
        <f aca="true">IF(OR(E384="",E384="!!!",F384="NEW"),"",COUNTBLANK(OFFSET(A$1,,,SUMPRODUCT(MAX(ROW(E$2:E378)*(E384=E$2:E378)))))-COUNTBLANK(OFFSET(A$1,,,SUMPRODUCT(MAX(ROW(E$1:E377)*(E384=E$1:E377))))))</f>
        <v/>
      </c>
      <c r="K384" s="26" t="str">
        <f aca="false">IF(OR(E384="",E384="!!!",F384="NEW"),"",INDEX(J$1:J377,SUMPRODUCT(MAX(ROW(E$1:E377)*(E384=E$1:E377)))))</f>
        <v/>
      </c>
      <c r="L384" s="27"/>
    </row>
    <row r="385" customFormat="false" ht="15" hidden="false" customHeight="false" outlineLevel="0" collapsed="false">
      <c r="A385" s="20" t="s">
        <v>361</v>
      </c>
      <c r="E385" s="21"/>
      <c r="F385" s="22"/>
      <c r="G385" s="23"/>
      <c r="H385" s="24"/>
      <c r="I385" s="25" t="str">
        <f aca="false">IF(OR(E385="",E385="!!!",F385="NEW"),"",INDEX(B$2:B378,-1+SUMPRODUCT(MAX(ROW(E$2:E378)*(E385=E$2:E378)))))</f>
        <v/>
      </c>
      <c r="J385" s="26" t="str">
        <f aca="true">IF(OR(E385="",E385="!!!",F385="NEW"),"",COUNTBLANK(OFFSET(A$1,,,SUMPRODUCT(MAX(ROW(E$2:E379)*(E385=E$2:E379)))))-COUNTBLANK(OFFSET(A$1,,,SUMPRODUCT(MAX(ROW(E$1:E378)*(E385=E$1:E378))))))</f>
        <v/>
      </c>
      <c r="K385" s="26" t="str">
        <f aca="false">IF(OR(E385="",E385="!!!",F385="NEW"),"",INDEX(J$1:J378,SUMPRODUCT(MAX(ROW(E$1:E378)*(E385=E$1:E378)))))</f>
        <v/>
      </c>
      <c r="L385" s="27"/>
    </row>
    <row r="386" customFormat="false" ht="15" hidden="false" customHeight="false" outlineLevel="0" collapsed="false">
      <c r="A386" s="20" t="s">
        <v>423</v>
      </c>
      <c r="E386" s="21"/>
      <c r="F386" s="22"/>
      <c r="G386" s="23"/>
      <c r="H386" s="24"/>
      <c r="I386" s="25" t="str">
        <f aca="false">IF(OR(E386="",E386="!!!",F386="NEW"),"",INDEX(B$2:B379,-1+SUMPRODUCT(MAX(ROW(E$2:E379)*(E386=E$2:E379)))))</f>
        <v/>
      </c>
      <c r="J386" s="26" t="str">
        <f aca="true">IF(OR(E386="",E386="!!!",F386="NEW"),"",COUNTBLANK(OFFSET(A$1,,,SUMPRODUCT(MAX(ROW(E$2:E380)*(E386=E$2:E380)))))-COUNTBLANK(OFFSET(A$1,,,SUMPRODUCT(MAX(ROW(E$1:E379)*(E386=E$1:E379))))))</f>
        <v/>
      </c>
      <c r="K386" s="26" t="str">
        <f aca="false">IF(OR(E386="",E386="!!!",F386="NEW"),"",INDEX(J$1:J379,SUMPRODUCT(MAX(ROW(E$1:E379)*(E386=E$1:E379)))))</f>
        <v/>
      </c>
      <c r="L386" s="27"/>
    </row>
    <row r="387" customFormat="false" ht="15" hidden="false" customHeight="false" outlineLevel="0" collapsed="false">
      <c r="A387" s="20" t="s">
        <v>304</v>
      </c>
      <c r="E387" s="21"/>
      <c r="F387" s="22"/>
      <c r="G387" s="23"/>
      <c r="H387" s="24"/>
      <c r="I387" s="25" t="str">
        <f aca="false">IF(OR(E387="",E387="!!!",F387="NEW"),"",INDEX(B$2:B380,-1+SUMPRODUCT(MAX(ROW(E$2:E380)*(E387=E$2:E380)))))</f>
        <v/>
      </c>
      <c r="J387" s="26" t="str">
        <f aca="true">IF(OR(E387="",E387="!!!",F387="NEW"),"",COUNTBLANK(OFFSET(A$1,,,SUMPRODUCT(MAX(ROW(E$2:E381)*(E387=E$2:E381)))))-COUNTBLANK(OFFSET(A$1,,,SUMPRODUCT(MAX(ROW(E$1:E380)*(E387=E$1:E380))))))</f>
        <v/>
      </c>
      <c r="K387" s="26" t="str">
        <f aca="false">IF(OR(E387="",E387="!!!",F387="NEW"),"",INDEX(J$1:J380,SUMPRODUCT(MAX(ROW(E$1:E380)*(E387=E$1:E380)))))</f>
        <v/>
      </c>
      <c r="L387" s="27"/>
    </row>
    <row r="388" customFormat="false" ht="15" hidden="false" customHeight="false" outlineLevel="0" collapsed="false">
      <c r="A388" s="20" t="s">
        <v>225</v>
      </c>
      <c r="B388" s="28" t="s">
        <v>365</v>
      </c>
      <c r="C388" s="28" t="s">
        <v>197</v>
      </c>
      <c r="D388" s="28" t="s">
        <v>198</v>
      </c>
      <c r="E388" s="21" t="s">
        <v>199</v>
      </c>
      <c r="F388" s="22" t="s">
        <v>226</v>
      </c>
      <c r="G388" s="23" t="s">
        <v>227</v>
      </c>
      <c r="H388" s="24"/>
      <c r="I388" s="25" t="str">
        <f aca="false">IF(OR(E388="",E388="!!!",F388="NEW"),"",INDEX(B$2:B381,-1+SUMPRODUCT(MAX(ROW(E$2:E381)*(E388=E$2:E381)))))</f>
        <v>SBJ_2</v>
      </c>
      <c r="J388" s="26" t="n">
        <f aca="true">IF(OR(E388="",E388="!!!",F388="NEW"),"",COUNTBLANK(OFFSET(A$1,,,SUMPRODUCT(MAX(ROW(E$2:E382)*(E388=E$2:E382)))))-COUNTBLANK(OFFSET(A$1,,,SUMPRODUCT(MAX(ROW(E$1:E381)*(E388=E$1:E381))))))</f>
        <v>0</v>
      </c>
      <c r="K388" s="26" t="n">
        <f aca="false">IF(OR(E388="",E388="!!!",F388="NEW"),"",INDEX(J$1:J381,SUMPRODUCT(MAX(ROW(E$1:E381)*(E388=E$1:E381)))))</f>
        <v>0</v>
      </c>
      <c r="L388" s="27"/>
    </row>
    <row r="389" customFormat="false" ht="15" hidden="false" customHeight="false" outlineLevel="0" collapsed="false">
      <c r="A389" s="20" t="s">
        <v>209</v>
      </c>
      <c r="E389" s="21"/>
      <c r="F389" s="22"/>
      <c r="G389" s="23"/>
      <c r="H389" s="24"/>
      <c r="I389" s="25" t="str">
        <f aca="false">IF(OR(E389="",E389="!!!",F389="NEW"),"",INDEX(B$2:B382,-1+SUMPRODUCT(MAX(ROW(E$2:E382)*(E389=E$2:E382)))))</f>
        <v/>
      </c>
      <c r="J389" s="26" t="str">
        <f aca="true">IF(OR(E389="",E389="!!!",F389="NEW"),"",COUNTBLANK(OFFSET(A$1,,,SUMPRODUCT(MAX(ROW(E$2:E383)*(E389=E$2:E383)))))-COUNTBLANK(OFFSET(A$1,,,SUMPRODUCT(MAX(ROW(E$1:E382)*(E389=E$1:E382))))))</f>
        <v/>
      </c>
      <c r="K389" s="26" t="str">
        <f aca="false">IF(OR(E389="",E389="!!!",F389="NEW"),"",INDEX(J$1:J382,SUMPRODUCT(MAX(ROW(E$1:E382)*(E389=E$1:E382)))))</f>
        <v/>
      </c>
      <c r="L389" s="27"/>
    </row>
    <row r="390" customFormat="false" ht="15" hidden="false" customHeight="false" outlineLevel="0" collapsed="false">
      <c r="A390" s="20" t="s">
        <v>195</v>
      </c>
      <c r="B390" s="28" t="s">
        <v>196</v>
      </c>
      <c r="C390" s="28" t="s">
        <v>197</v>
      </c>
      <c r="D390" s="28" t="s">
        <v>198</v>
      </c>
      <c r="E390" s="21" t="s">
        <v>314</v>
      </c>
      <c r="F390" s="22" t="s">
        <v>226</v>
      </c>
      <c r="G390" s="23" t="s">
        <v>227</v>
      </c>
      <c r="H390" s="24"/>
      <c r="I390" s="25" t="str">
        <f aca="false">IF(OR(E390="",E390="!!!",F390="NEW"),"",INDEX(B$2:B383,-1+SUMPRODUCT(MAX(ROW(E$2:E383)*(E390=E$2:E383)))))</f>
        <v>SBJ</v>
      </c>
      <c r="J390" s="26" t="n">
        <f aca="true">IF(OR(E390="",E390="!!!",F390="NEW"),"",COUNTBLANK(OFFSET(A$1,,,SUMPRODUCT(MAX(ROW(E$2:E384)*(E390=E$2:E384)))))-COUNTBLANK(OFFSET(A$1,,,SUMPRODUCT(MAX(ROW(E$1:E383)*(E390=E$1:E383))))))</f>
        <v>0</v>
      </c>
      <c r="K390" s="26" t="n">
        <f aca="false">IF(OR(E390="",E390="!!!",F390="NEW"),"",INDEX(J$1:J383,SUMPRODUCT(MAX(ROW(E$1:E383)*(E390=E$1:E383)))))</f>
        <v>0</v>
      </c>
      <c r="L390" s="27"/>
    </row>
    <row r="391" customFormat="false" ht="15" hidden="false" customHeight="false" outlineLevel="0" collapsed="false">
      <c r="A391" s="20" t="s">
        <v>424</v>
      </c>
      <c r="E391" s="21"/>
      <c r="F391" s="22"/>
      <c r="G391" s="23"/>
      <c r="H391" s="24"/>
      <c r="I391" s="25" t="str">
        <f aca="false">IF(OR(E391="",E391="!!!",F391="NEW"),"",INDEX(B$2:B384,-1+SUMPRODUCT(MAX(ROW(E$2:E384)*(E391=E$2:E384)))))</f>
        <v/>
      </c>
      <c r="J391" s="26" t="str">
        <f aca="true">IF(OR(E391="",E391="!!!",F391="NEW"),"",COUNTBLANK(OFFSET(A$1,,,SUMPRODUCT(MAX(ROW(E$2:E385)*(E391=E$2:E385)))))-COUNTBLANK(OFFSET(A$1,,,SUMPRODUCT(MAX(ROW(E$1:E384)*(E391=E$1:E384))))))</f>
        <v/>
      </c>
      <c r="K391" s="26" t="str">
        <f aca="false">IF(OR(E391="",E391="!!!",F391="NEW"),"",INDEX(J$1:J384,SUMPRODUCT(MAX(ROW(E$1:E384)*(E391=E$1:E384)))))</f>
        <v/>
      </c>
      <c r="L391" s="27"/>
    </row>
    <row r="392" customFormat="false" ht="15" hidden="false" customHeight="false" outlineLevel="0" collapsed="false">
      <c r="A392" s="20" t="s">
        <v>49</v>
      </c>
      <c r="E392" s="21"/>
      <c r="F392" s="22"/>
      <c r="G392" s="23"/>
      <c r="H392" s="24"/>
      <c r="I392" s="25" t="str">
        <f aca="false">IF(OR(E392="",E392="!!!",F392="NEW"),"",INDEX(B$2:B385,-1+SUMPRODUCT(MAX(ROW(E$2:E385)*(E392=E$2:E385)))))</f>
        <v/>
      </c>
      <c r="J392" s="26" t="str">
        <f aca="true">IF(OR(E392="",E392="!!!",F392="NEW"),"",COUNTBLANK(OFFSET(A$1,,,SUMPRODUCT(MAX(ROW(E$2:E386)*(E392=E$2:E386)))))-COUNTBLANK(OFFSET(A$1,,,SUMPRODUCT(MAX(ROW(E$1:E385)*(E392=E$1:E385))))))</f>
        <v/>
      </c>
      <c r="K392" s="26" t="str">
        <f aca="false">IF(OR(E392="",E392="!!!",F392="NEW"),"",INDEX(J$1:J385,SUMPRODUCT(MAX(ROW(E$1:E385)*(E392=E$1:E385)))))</f>
        <v/>
      </c>
      <c r="L392" s="27"/>
    </row>
    <row r="393" customFormat="false" ht="15" hidden="false" customHeight="false" outlineLevel="0" collapsed="false">
      <c r="A393" s="20" t="s">
        <v>425</v>
      </c>
      <c r="B393" s="28" t="s">
        <v>250</v>
      </c>
      <c r="C393" s="28" t="s">
        <v>426</v>
      </c>
      <c r="D393" s="28" t="s">
        <v>198</v>
      </c>
      <c r="E393" s="21"/>
      <c r="F393" s="22" t="s">
        <v>427</v>
      </c>
      <c r="G393" s="23"/>
      <c r="H393" s="24"/>
      <c r="I393" s="25" t="str">
        <f aca="false">IF(OR(E393="",E393="!!!",F393="NEW"),"",INDEX(B$2:B386,-1+SUMPRODUCT(MAX(ROW(E$2:E386)*(E393=E$2:E386)))))</f>
        <v/>
      </c>
      <c r="J393" s="26" t="str">
        <f aca="true">IF(OR(E393="",E393="!!!",F393="NEW"),"",COUNTBLANK(OFFSET(A$1,,,SUMPRODUCT(MAX(ROW(E$2:E387)*(E393=E$2:E387)))))-COUNTBLANK(OFFSET(A$1,,,SUMPRODUCT(MAX(ROW(E$1:E386)*(E393=E$1:E386))))))</f>
        <v/>
      </c>
      <c r="K393" s="26" t="str">
        <f aca="false">IF(OR(E393="",E393="!!!",F393="NEW"),"",INDEX(J$1:J386,SUMPRODUCT(MAX(ROW(E$1:E386)*(E393=E$1:E386)))))</f>
        <v/>
      </c>
      <c r="L393" s="27"/>
    </row>
    <row r="394" customFormat="false" ht="15" hidden="false" customHeight="false" outlineLevel="0" collapsed="false">
      <c r="A394" s="20" t="s">
        <v>428</v>
      </c>
      <c r="E394" s="21"/>
      <c r="F394" s="22"/>
      <c r="G394" s="23"/>
      <c r="H394" s="24"/>
      <c r="I394" s="25" t="str">
        <f aca="false">IF(OR(E394="",E394="!!!",F394="NEW"),"",INDEX(B$2:B387,-1+SUMPRODUCT(MAX(ROW(E$2:E387)*(E394=E$2:E387)))))</f>
        <v/>
      </c>
      <c r="J394" s="26" t="str">
        <f aca="true">IF(OR(E394="",E394="!!!",F394="NEW"),"",COUNTBLANK(OFFSET(A$1,,,SUMPRODUCT(MAX(ROW(E$2:E388)*(E394=E$2:E388)))))-COUNTBLANK(OFFSET(A$1,,,SUMPRODUCT(MAX(ROW(E$1:E387)*(E394=E$1:E387))))))</f>
        <v/>
      </c>
      <c r="K394" s="26" t="str">
        <f aca="false">IF(OR(E394="",E394="!!!",F394="NEW"),"",INDEX(J$1:J387,SUMPRODUCT(MAX(ROW(E$1:E387)*(E394=E$1:E387)))))</f>
        <v/>
      </c>
      <c r="L394" s="27"/>
    </row>
    <row r="395" customFormat="false" ht="15" hidden="false" customHeight="false" outlineLevel="0" collapsed="false">
      <c r="A395" s="20" t="s">
        <v>260</v>
      </c>
      <c r="B395" s="28" t="s">
        <v>215</v>
      </c>
      <c r="C395" s="28" t="s">
        <v>197</v>
      </c>
      <c r="D395" s="28" t="s">
        <v>198</v>
      </c>
      <c r="E395" s="21" t="s">
        <v>274</v>
      </c>
      <c r="F395" s="22" t="s">
        <v>226</v>
      </c>
      <c r="G395" s="23" t="s">
        <v>201</v>
      </c>
      <c r="H395" s="24"/>
      <c r="I395" s="25" t="str">
        <f aca="false">IF(OR(E395="",E395="!!!",F395="NEW"),"",INDEX(B$2:B388,-1+SUMPRODUCT(MAX(ROW(E$2:E388)*(E395=E$2:E388)))))</f>
        <v>SBJ_4</v>
      </c>
      <c r="J395" s="26" t="n">
        <f aca="true">IF(OR(E395="",E395="!!!",F395="NEW"),"",COUNTBLANK(OFFSET(A$1,,,SUMPRODUCT(MAX(ROW(E$2:E389)*(E395=E$2:E389)))))-COUNTBLANK(OFFSET(A$1,,,SUMPRODUCT(MAX(ROW(E$1:E388)*(E395=E$1:E388))))))</f>
        <v>0</v>
      </c>
      <c r="K395" s="26" t="str">
        <f aca="false">IF(OR(E395="",E395="!!!",F395="NEW"),"",INDEX(J$1:J388,SUMPRODUCT(MAX(ROW(E$1:E388)*(E395=E$1:E388)))))</f>
        <v/>
      </c>
      <c r="L395" s="27"/>
    </row>
    <row r="396" customFormat="false" ht="15" hidden="false" customHeight="false" outlineLevel="0" collapsed="false">
      <c r="A396" s="20" t="s">
        <v>244</v>
      </c>
      <c r="E396" s="21"/>
      <c r="F396" s="22"/>
      <c r="G396" s="23"/>
      <c r="H396" s="24"/>
      <c r="I396" s="25" t="str">
        <f aca="false">IF(OR(E396="",E396="!!!",F396="NEW"),"",INDEX(B$2:B389,-1+SUMPRODUCT(MAX(ROW(E$2:E389)*(E396=E$2:E389)))))</f>
        <v/>
      </c>
      <c r="J396" s="26" t="str">
        <f aca="true">IF(OR(E396="",E396="!!!",F396="NEW"),"",COUNTBLANK(OFFSET(A$1,,,SUMPRODUCT(MAX(ROW(E$2:E390)*(E396=E$2:E390)))))-COUNTBLANK(OFFSET(A$1,,,SUMPRODUCT(MAX(ROW(E$1:E389)*(E396=E$1:E389))))))</f>
        <v/>
      </c>
      <c r="K396" s="26" t="str">
        <f aca="false">IF(OR(E396="",E396="!!!",F396="NEW"),"",INDEX(J$1:J389,SUMPRODUCT(MAX(ROW(E$1:E389)*(E396=E$1:E389)))))</f>
        <v/>
      </c>
      <c r="L396" s="27"/>
    </row>
    <row r="397" customFormat="false" ht="15" hidden="false" customHeight="false" outlineLevel="0" collapsed="false">
      <c r="A397" s="20"/>
      <c r="E397" s="21"/>
      <c r="F397" s="22"/>
      <c r="G397" s="23"/>
      <c r="H397" s="24"/>
      <c r="I397" s="25" t="str">
        <f aca="false">IF(OR(E397="",E397="!!!",F397="NEW"),"",INDEX(B$2:B390,-1+SUMPRODUCT(MAX(ROW(E$2:E390)*(E397=E$2:E390)))))</f>
        <v/>
      </c>
      <c r="J397" s="26" t="str">
        <f aca="true">IF(OR(E397="",E397="!!!",F397="NEW"),"",COUNTBLANK(OFFSET(A$1,,,SUMPRODUCT(MAX(ROW(E$2:E391)*(E397=E$2:E391)))))-COUNTBLANK(OFFSET(A$1,,,SUMPRODUCT(MAX(ROW(E$1:E390)*(E397=E$1:E390))))))</f>
        <v/>
      </c>
      <c r="K397" s="26" t="str">
        <f aca="false">IF(OR(E397="",E397="!!!",F397="NEW"),"",INDEX(J$1:J390,SUMPRODUCT(MAX(ROW(E$1:E390)*(E397=E$1:E390)))))</f>
        <v/>
      </c>
      <c r="L397" s="27"/>
    </row>
    <row r="398" customFormat="false" ht="15" hidden="false" customHeight="false" outlineLevel="0" collapsed="false">
      <c r="A398" s="20" t="s">
        <v>429</v>
      </c>
      <c r="E398" s="21"/>
      <c r="F398" s="22"/>
      <c r="G398" s="23"/>
      <c r="H398" s="24"/>
      <c r="I398" s="25" t="str">
        <f aca="false">IF(OR(E398="",E398="!!!",F398="NEW"),"",INDEX(B$2:B392,-1+SUMPRODUCT(MAX(ROW(E$2:E392)*(E398=E$2:E392)))))</f>
        <v/>
      </c>
      <c r="J398" s="26" t="str">
        <f aca="true">IF(OR(E398="",E398="!!!",F398="NEW"),"",COUNTBLANK(OFFSET(A$1,,,SUMPRODUCT(MAX(ROW(E$2:E393)*(E398=E$2:E393)))))-COUNTBLANK(OFFSET(A$1,,,SUMPRODUCT(MAX(ROW(E$1:E392)*(E398=E$1:E392))))))</f>
        <v/>
      </c>
      <c r="K398" s="26" t="str">
        <f aca="false">IF(OR(E398="",E398="!!!",F398="NEW"),"",INDEX(J$1:J392,SUMPRODUCT(MAX(ROW(E$1:E392)*(E398=E$1:E392)))))</f>
        <v/>
      </c>
      <c r="L398" s="27"/>
    </row>
    <row r="399" customFormat="false" ht="15" hidden="false" customHeight="false" outlineLevel="0" collapsed="false">
      <c r="A399" s="20" t="s">
        <v>266</v>
      </c>
      <c r="E399" s="21"/>
      <c r="F399" s="22"/>
      <c r="G399" s="23"/>
      <c r="H399" s="24"/>
      <c r="I399" s="25" t="str">
        <f aca="false">IF(OR(E399="",E399="!!!",F399="NEW"),"",INDEX(B$2:B393,-1+SUMPRODUCT(MAX(ROW(E$2:E393)*(E399=E$2:E393)))))</f>
        <v/>
      </c>
      <c r="J399" s="26" t="str">
        <f aca="true">IF(OR(E399="",E399="!!!",F399="NEW"),"",COUNTBLANK(OFFSET(A$1,,,SUMPRODUCT(MAX(ROW(E$2:E394)*(E399=E$2:E394)))))-COUNTBLANK(OFFSET(A$1,,,SUMPRODUCT(MAX(ROW(E$1:E393)*(E399=E$1:E393))))))</f>
        <v/>
      </c>
      <c r="K399" s="26" t="str">
        <f aca="false">IF(OR(E399="",E399="!!!",F399="NEW"),"",INDEX(J$1:J393,SUMPRODUCT(MAX(ROW(E$1:E393)*(E399=E$1:E393)))))</f>
        <v/>
      </c>
      <c r="L399" s="27"/>
    </row>
    <row r="400" customFormat="false" ht="15" hidden="false" customHeight="false" outlineLevel="0" collapsed="false">
      <c r="A400" s="20" t="s">
        <v>411</v>
      </c>
      <c r="E400" s="21"/>
      <c r="F400" s="22"/>
      <c r="G400" s="23"/>
      <c r="H400" s="24"/>
      <c r="I400" s="25" t="str">
        <f aca="false">IF(OR(E400="",E400="!!!",F400="NEW"),"",INDEX(B$2:B394,-1+SUMPRODUCT(MAX(ROW(E$2:E394)*(E400=E$2:E394)))))</f>
        <v/>
      </c>
      <c r="J400" s="26" t="str">
        <f aca="true">IF(OR(E400="",E400="!!!",F400="NEW"),"",COUNTBLANK(OFFSET(A$1,,,SUMPRODUCT(MAX(ROW(E$2:E395)*(E400=E$2:E395)))))-COUNTBLANK(OFFSET(A$1,,,SUMPRODUCT(MAX(ROW(E$1:E394)*(E400=E$1:E394))))))</f>
        <v/>
      </c>
      <c r="K400" s="26" t="str">
        <f aca="false">IF(OR(E400="",E400="!!!",F400="NEW"),"",INDEX(J$1:J394,SUMPRODUCT(MAX(ROW(E$1:E394)*(E400=E$1:E394)))))</f>
        <v/>
      </c>
      <c r="L400" s="27"/>
    </row>
    <row r="401" customFormat="false" ht="15" hidden="false" customHeight="false" outlineLevel="0" collapsed="false">
      <c r="A401" s="20" t="s">
        <v>195</v>
      </c>
      <c r="B401" s="28" t="s">
        <v>222</v>
      </c>
      <c r="C401" s="28" t="s">
        <v>197</v>
      </c>
      <c r="D401" s="28" t="s">
        <v>198</v>
      </c>
      <c r="E401" s="21" t="s">
        <v>314</v>
      </c>
      <c r="F401" s="22" t="s">
        <v>226</v>
      </c>
      <c r="G401" s="23" t="s">
        <v>227</v>
      </c>
      <c r="H401" s="24"/>
      <c r="I401" s="25" t="str">
        <f aca="false">IF(OR(E401="",E401="!!!",F401="NEW"),"",INDEX(B$2:B395,-1+SUMPRODUCT(MAX(ROW(E$2:E395)*(E401=E$2:E395)))))</f>
        <v>SBJ</v>
      </c>
      <c r="J401" s="26" t="n">
        <f aca="true">IF(OR(E401="",E401="!!!",F401="NEW"),"",COUNTBLANK(OFFSET(A$1,,,SUMPRODUCT(MAX(ROW(E$2:E396)*(E401=E$2:E396)))))-COUNTBLANK(OFFSET(A$1,,,SUMPRODUCT(MAX(ROW(E$1:E395)*(E401=E$1:E395))))))</f>
        <v>0</v>
      </c>
      <c r="K401" s="26" t="n">
        <f aca="false">IF(OR(E401="",E401="!!!",F401="NEW"),"",INDEX(J$1:J395,SUMPRODUCT(MAX(ROW(E$1:E395)*(E401=E$1:E395)))))</f>
        <v>0</v>
      </c>
      <c r="L401" s="27"/>
    </row>
    <row r="402" customFormat="false" ht="15" hidden="false" customHeight="false" outlineLevel="0" collapsed="false">
      <c r="A402" s="20" t="s">
        <v>315</v>
      </c>
      <c r="E402" s="21"/>
      <c r="F402" s="22"/>
      <c r="G402" s="23"/>
      <c r="H402" s="24"/>
      <c r="I402" s="25" t="str">
        <f aca="false">IF(OR(E402="",E402="!!!",F402="NEW"),"",INDEX(B$2:B396,-1+SUMPRODUCT(MAX(ROW(E$2:E396)*(E402=E$2:E396)))))</f>
        <v/>
      </c>
      <c r="J402" s="26" t="str">
        <f aca="true">IF(OR(E402="",E402="!!!",F402="NEW"),"",COUNTBLANK(OFFSET(A$1,,,SUMPRODUCT(MAX(ROW(E$2:E397)*(E402=E$2:E397)))))-COUNTBLANK(OFFSET(A$1,,,SUMPRODUCT(MAX(ROW(E$1:E396)*(E402=E$1:E396))))))</f>
        <v/>
      </c>
      <c r="K402" s="26" t="str">
        <f aca="false">IF(OR(E402="",E402="!!!",F402="NEW"),"",INDEX(J$1:J396,SUMPRODUCT(MAX(ROW(E$1:E396)*(E402=E$1:E396)))))</f>
        <v/>
      </c>
      <c r="L402" s="27"/>
    </row>
    <row r="403" customFormat="false" ht="15" hidden="false" customHeight="false" outlineLevel="0" collapsed="false">
      <c r="A403" s="20" t="s">
        <v>430</v>
      </c>
      <c r="E403" s="21"/>
      <c r="F403" s="22"/>
      <c r="G403" s="23"/>
      <c r="H403" s="24"/>
      <c r="I403" s="25" t="str">
        <f aca="false">IF(OR(E403="",E403="!!!",F403="NEW"),"",INDEX(B$2:B397,-1+SUMPRODUCT(MAX(ROW(E$2:E397)*(E403=E$2:E397)))))</f>
        <v/>
      </c>
      <c r="J403" s="26" t="str">
        <f aca="true">IF(OR(E403="",E403="!!!",F403="NEW"),"",COUNTBLANK(OFFSET(A$1,,,SUMPRODUCT(MAX(ROW(E$2:E398)*(E403=E$2:E398)))))-COUNTBLANK(OFFSET(A$1,,,SUMPRODUCT(MAX(ROW(E$1:E397)*(E403=E$1:E397))))))</f>
        <v/>
      </c>
      <c r="K403" s="26" t="str">
        <f aca="false">IF(OR(E403="",E403="!!!",F403="NEW"),"",INDEX(J$1:J397,SUMPRODUCT(MAX(ROW(E$1:E397)*(E403=E$1:E397)))))</f>
        <v/>
      </c>
      <c r="L403" s="27"/>
    </row>
    <row r="404" customFormat="false" ht="15" hidden="false" customHeight="false" outlineLevel="0" collapsed="false">
      <c r="A404" s="20" t="s">
        <v>225</v>
      </c>
      <c r="B404" s="28" t="s">
        <v>234</v>
      </c>
      <c r="C404" s="28" t="s">
        <v>197</v>
      </c>
      <c r="D404" s="28" t="s">
        <v>198</v>
      </c>
      <c r="E404" s="21" t="s">
        <v>199</v>
      </c>
      <c r="F404" s="22" t="s">
        <v>226</v>
      </c>
      <c r="G404" s="23" t="s">
        <v>227</v>
      </c>
      <c r="H404" s="24"/>
      <c r="I404" s="25" t="str">
        <f aca="false">IF(OR(E404="",E404="!!!",F404="NEW"),"",INDEX(B$2:B398,-1+SUMPRODUCT(MAX(ROW(E$2:E398)*(E404=E$2:E398)))))</f>
        <v>other_5</v>
      </c>
      <c r="J404" s="26" t="n">
        <f aca="true">IF(OR(E404="",E404="!!!",F404="NEW"),"",COUNTBLANK(OFFSET(A$1,,,SUMPRODUCT(MAX(ROW(E$2:E399)*(E404=E$2:E399)))))-COUNTBLANK(OFFSET(A$1,,,SUMPRODUCT(MAX(ROW(E$1:E398)*(E404=E$1:E398))))))</f>
        <v>0</v>
      </c>
      <c r="K404" s="26" t="n">
        <f aca="false">IF(OR(E404="",E404="!!!",F404="NEW"),"",INDEX(J$1:J398,SUMPRODUCT(MAX(ROW(E$1:E398)*(E404=E$1:E398)))))</f>
        <v>0</v>
      </c>
      <c r="L404" s="27"/>
    </row>
    <row r="405" customFormat="false" ht="15" hidden="false" customHeight="false" outlineLevel="0" collapsed="false">
      <c r="A405" s="20" t="s">
        <v>203</v>
      </c>
      <c r="E405" s="21"/>
      <c r="F405" s="22"/>
      <c r="G405" s="23"/>
      <c r="H405" s="24"/>
      <c r="I405" s="25" t="str">
        <f aca="false">IF(OR(E405="",E405="!!!",F405="NEW"),"",INDEX(B$2:B399,-1+SUMPRODUCT(MAX(ROW(E$2:E399)*(E405=E$2:E399)))))</f>
        <v/>
      </c>
      <c r="J405" s="26" t="str">
        <f aca="true">IF(OR(E405="",E405="!!!",F405="NEW"),"",COUNTBLANK(OFFSET(A$1,,,SUMPRODUCT(MAX(ROW(E$2:E400)*(E405=E$2:E400)))))-COUNTBLANK(OFFSET(A$1,,,SUMPRODUCT(MAX(ROW(E$1:E399)*(E405=E$1:E399))))))</f>
        <v/>
      </c>
      <c r="K405" s="26" t="str">
        <f aca="false">IF(OR(E405="",E405="!!!",F405="NEW"),"",INDEX(J$1:J399,SUMPRODUCT(MAX(ROW(E$1:E399)*(E405=E$1:E399)))))</f>
        <v/>
      </c>
      <c r="L405" s="27"/>
    </row>
    <row r="406" customFormat="false" ht="15" hidden="false" customHeight="false" outlineLevel="0" collapsed="false">
      <c r="A406" s="20" t="s">
        <v>431</v>
      </c>
      <c r="E406" s="21"/>
      <c r="F406" s="22"/>
      <c r="G406" s="23"/>
      <c r="H406" s="24"/>
      <c r="I406" s="25" t="str">
        <f aca="false">IF(OR(E406="",E406="!!!",F406="NEW"),"",INDEX(B$2:B400,-1+SUMPRODUCT(MAX(ROW(E$2:E400)*(E406=E$2:E400)))))</f>
        <v/>
      </c>
      <c r="J406" s="26" t="str">
        <f aca="true">IF(OR(E406="",E406="!!!",F406="NEW"),"",COUNTBLANK(OFFSET(A$1,,,SUMPRODUCT(MAX(ROW(E$2:E401)*(E406=E$2:E401)))))-COUNTBLANK(OFFSET(A$1,,,SUMPRODUCT(MAX(ROW(E$1:E400)*(E406=E$1:E400))))))</f>
        <v/>
      </c>
      <c r="K406" s="26" t="str">
        <f aca="false">IF(OR(E406="",E406="!!!",F406="NEW"),"",INDEX(J$1:J400,SUMPRODUCT(MAX(ROW(E$1:E400)*(E406=E$1:E400)))))</f>
        <v/>
      </c>
      <c r="L406" s="27"/>
    </row>
    <row r="407" customFormat="false" ht="15" hidden="false" customHeight="false" outlineLevel="0" collapsed="false">
      <c r="A407" s="20" t="s">
        <v>432</v>
      </c>
      <c r="E407" s="21"/>
      <c r="F407" s="22"/>
      <c r="G407" s="23"/>
      <c r="H407" s="24"/>
      <c r="I407" s="25" t="str">
        <f aca="false">IF(OR(E407="",E407="!!!",F407="NEW"),"",INDEX(B$2:B401,-1+SUMPRODUCT(MAX(ROW(E$2:E401)*(E407=E$2:E401)))))</f>
        <v/>
      </c>
      <c r="J407" s="26" t="str">
        <f aca="true">IF(OR(E407="",E407="!!!",F407="NEW"),"",COUNTBLANK(OFFSET(A$1,,,SUMPRODUCT(MAX(ROW(E$2:E402)*(E407=E$2:E402)))))-COUNTBLANK(OFFSET(A$1,,,SUMPRODUCT(MAX(ROW(E$1:E401)*(E407=E$1:E401))))))</f>
        <v/>
      </c>
      <c r="K407" s="26" t="str">
        <f aca="false">IF(OR(E407="",E407="!!!",F407="NEW"),"",INDEX(J$1:J401,SUMPRODUCT(MAX(ROW(E$1:E401)*(E407=E$1:E401)))))</f>
        <v/>
      </c>
      <c r="L407" s="27"/>
    </row>
    <row r="408" customFormat="false" ht="15" hidden="false" customHeight="false" outlineLevel="0" collapsed="false">
      <c r="A408" s="20" t="s">
        <v>433</v>
      </c>
      <c r="E408" s="21"/>
      <c r="F408" s="22"/>
      <c r="G408" s="23"/>
      <c r="H408" s="24"/>
      <c r="I408" s="25" t="str">
        <f aca="false">IF(OR(E408="",E408="!!!",F408="NEW"),"",INDEX(B$2:B402,-1+SUMPRODUCT(MAX(ROW(E$2:E402)*(E408=E$2:E402)))))</f>
        <v/>
      </c>
      <c r="J408" s="26" t="str">
        <f aca="true">IF(OR(E408="",E408="!!!",F408="NEW"),"",COUNTBLANK(OFFSET(A$1,,,SUMPRODUCT(MAX(ROW(E$2:E403)*(E408=E$2:E403)))))-COUNTBLANK(OFFSET(A$1,,,SUMPRODUCT(MAX(ROW(E$1:E402)*(E408=E$1:E402))))))</f>
        <v/>
      </c>
      <c r="K408" s="26" t="str">
        <f aca="false">IF(OR(E408="",E408="!!!",F408="NEW"),"",INDEX(J$1:J402,SUMPRODUCT(MAX(ROW(E$1:E402)*(E408=E$1:E402)))))</f>
        <v/>
      </c>
      <c r="L408" s="27"/>
    </row>
    <row r="409" customFormat="false" ht="15" hidden="false" customHeight="false" outlineLevel="0" collapsed="false">
      <c r="A409" s="20" t="s">
        <v>217</v>
      </c>
      <c r="E409" s="21"/>
      <c r="F409" s="22"/>
      <c r="G409" s="23"/>
      <c r="H409" s="24"/>
      <c r="I409" s="25" t="str">
        <f aca="false">IF(OR(E409="",E409="!!!",F409="NEW"),"",INDEX(B$2:B403,-1+SUMPRODUCT(MAX(ROW(E$2:E403)*(E409=E$2:E403)))))</f>
        <v/>
      </c>
      <c r="J409" s="26" t="str">
        <f aca="true">IF(OR(E409="",E409="!!!",F409="NEW"),"",COUNTBLANK(OFFSET(A$1,,,SUMPRODUCT(MAX(ROW(E$2:E404)*(E409=E$2:E404)))))-COUNTBLANK(OFFSET(A$1,,,SUMPRODUCT(MAX(ROW(E$1:E403)*(E409=E$1:E403))))))</f>
        <v/>
      </c>
      <c r="K409" s="26" t="str">
        <f aca="false">IF(OR(E409="",E409="!!!",F409="NEW"),"",INDEX(J$1:J403,SUMPRODUCT(MAX(ROW(E$1:E403)*(E409=E$1:E403)))))</f>
        <v/>
      </c>
      <c r="L409" s="27"/>
    </row>
    <row r="410" customFormat="false" ht="15" hidden="false" customHeight="false" outlineLevel="0" collapsed="false">
      <c r="A410" s="20" t="s">
        <v>204</v>
      </c>
      <c r="E410" s="21"/>
      <c r="F410" s="22"/>
      <c r="G410" s="23"/>
      <c r="H410" s="24"/>
      <c r="I410" s="25" t="str">
        <f aca="false">IF(OR(E410="",E410="!!!",F410="NEW"),"",INDEX(B$2:B404,-1+SUMPRODUCT(MAX(ROW(E$2:E404)*(E410=E$2:E404)))))</f>
        <v/>
      </c>
      <c r="J410" s="26" t="str">
        <f aca="true">IF(OR(E410="",E410="!!!",F410="NEW"),"",COUNTBLANK(OFFSET(A$1,,,SUMPRODUCT(MAX(ROW(E$2:E405)*(E410=E$2:E405)))))-COUNTBLANK(OFFSET(A$1,,,SUMPRODUCT(MAX(ROW(E$1:E404)*(E410=E$1:E404))))))</f>
        <v/>
      </c>
      <c r="K410" s="26" t="str">
        <f aca="false">IF(OR(E410="",E410="!!!",F410="NEW"),"",INDEX(J$1:J404,SUMPRODUCT(MAX(ROW(E$1:E404)*(E410=E$1:E404)))))</f>
        <v/>
      </c>
      <c r="L410" s="27"/>
    </row>
    <row r="411" customFormat="false" ht="15" hidden="false" customHeight="false" outlineLevel="0" collapsed="false">
      <c r="A411" s="20" t="s">
        <v>434</v>
      </c>
      <c r="B411" s="28" t="s">
        <v>219</v>
      </c>
      <c r="C411" s="28" t="s">
        <v>207</v>
      </c>
      <c r="D411" s="28" t="s">
        <v>198</v>
      </c>
      <c r="E411" s="21" t="s">
        <v>435</v>
      </c>
      <c r="F411" s="22" t="s">
        <v>200</v>
      </c>
      <c r="G411" s="23" t="s">
        <v>212</v>
      </c>
      <c r="H411" s="24"/>
      <c r="I411" s="25" t="str">
        <f aca="false">IF(OR(E411="",E411="!!!",F411="NEW"),"",INDEX(B$2:B405,-1+SUMPRODUCT(MAX(ROW(E$2:E405)*(E411=E$2:E405)))))</f>
        <v/>
      </c>
      <c r="J411" s="26" t="str">
        <f aca="true">IF(OR(E411="",E411="!!!",F411="NEW"),"",COUNTBLANK(OFFSET(A$1,,,SUMPRODUCT(MAX(ROW(E$2:E406)*(E411=E$2:E406)))))-COUNTBLANK(OFFSET(A$1,,,SUMPRODUCT(MAX(ROW(E$1:E405)*(E411=E$1:E405))))))</f>
        <v/>
      </c>
      <c r="K411" s="26" t="str">
        <f aca="false">IF(OR(E411="",E411="!!!",F411="NEW"),"",INDEX(J$1:J405,SUMPRODUCT(MAX(ROW(E$1:E405)*(E411=E$1:E405)))))</f>
        <v/>
      </c>
      <c r="L411" s="27"/>
    </row>
    <row r="412" customFormat="false" ht="15" hidden="false" customHeight="false" outlineLevel="0" collapsed="false">
      <c r="A412" s="20" t="s">
        <v>209</v>
      </c>
      <c r="E412" s="21"/>
      <c r="F412" s="22"/>
      <c r="G412" s="23"/>
      <c r="H412" s="24"/>
      <c r="I412" s="25" t="str">
        <f aca="false">IF(OR(E412="",E412="!!!",F412="NEW"),"",INDEX(B$2:B406,-1+SUMPRODUCT(MAX(ROW(E$2:E406)*(E412=E$2:E406)))))</f>
        <v/>
      </c>
      <c r="J412" s="26" t="str">
        <f aca="true">IF(OR(E412="",E412="!!!",F412="NEW"),"",COUNTBLANK(OFFSET(A$1,,,SUMPRODUCT(MAX(ROW(E$2:E407)*(E412=E$2:E407)))))-COUNTBLANK(OFFSET(A$1,,,SUMPRODUCT(MAX(ROW(E$1:E406)*(E412=E$1:E406))))))</f>
        <v/>
      </c>
      <c r="K412" s="26" t="str">
        <f aca="false">IF(OR(E412="",E412="!!!",F412="NEW"),"",INDEX(J$1:J406,SUMPRODUCT(MAX(ROW(E$1:E406)*(E412=E$1:E406)))))</f>
        <v/>
      </c>
      <c r="L412" s="27"/>
    </row>
    <row r="413" customFormat="false" ht="15" hidden="false" customHeight="false" outlineLevel="0" collapsed="false">
      <c r="A413" s="20" t="s">
        <v>195</v>
      </c>
      <c r="B413" s="28" t="s">
        <v>196</v>
      </c>
      <c r="C413" s="28" t="s">
        <v>197</v>
      </c>
      <c r="D413" s="28" t="s">
        <v>198</v>
      </c>
      <c r="E413" s="21" t="s">
        <v>314</v>
      </c>
      <c r="F413" s="22" t="s">
        <v>226</v>
      </c>
      <c r="G413" s="23" t="s">
        <v>227</v>
      </c>
      <c r="H413" s="24"/>
      <c r="I413" s="25" t="str">
        <f aca="false">IF(OR(E413="",E413="!!!",F413="NEW"),"",INDEX(B$2:B407,-1+SUMPRODUCT(MAX(ROW(E$2:E407)*(E413=E$2:E407)))))</f>
        <v>SBJ_2</v>
      </c>
      <c r="J413" s="26" t="n">
        <f aca="true">IF(OR(E413="",E413="!!!",F413="NEW"),"",COUNTBLANK(OFFSET(A$1,,,SUMPRODUCT(MAX(ROW(E$2:E408)*(E413=E$2:E408)))))-COUNTBLANK(OFFSET(A$1,,,SUMPRODUCT(MAX(ROW(E$1:E407)*(E413=E$1:E407))))))</f>
        <v>0</v>
      </c>
      <c r="K413" s="26" t="n">
        <f aca="false">IF(OR(E413="",E413="!!!",F413="NEW"),"",INDEX(J$1:J407,SUMPRODUCT(MAX(ROW(E$1:E407)*(E413=E$1:E407)))))</f>
        <v>0</v>
      </c>
      <c r="L413" s="27"/>
    </row>
    <row r="414" customFormat="false" ht="15" hidden="false" customHeight="false" outlineLevel="0" collapsed="false">
      <c r="A414" s="20" t="s">
        <v>436</v>
      </c>
      <c r="E414" s="21"/>
      <c r="F414" s="22"/>
      <c r="G414" s="23"/>
      <c r="H414" s="24"/>
      <c r="I414" s="25" t="str">
        <f aca="false">IF(OR(E414="",E414="!!!",F414="NEW"),"",INDEX(B$2:B408,-1+SUMPRODUCT(MAX(ROW(E$2:E408)*(E414=E$2:E408)))))</f>
        <v/>
      </c>
      <c r="J414" s="26" t="str">
        <f aca="true">IF(OR(E414="",E414="!!!",F414="NEW"),"",COUNTBLANK(OFFSET(A$1,,,SUMPRODUCT(MAX(ROW(E$2:E409)*(E414=E$2:E409)))))-COUNTBLANK(OFFSET(A$1,,,SUMPRODUCT(MAX(ROW(E$1:E408)*(E414=E$1:E408))))))</f>
        <v/>
      </c>
      <c r="K414" s="26" t="str">
        <f aca="false">IF(OR(E414="",E414="!!!",F414="NEW"),"",INDEX(J$1:J408,SUMPRODUCT(MAX(ROW(E$1:E408)*(E414=E$1:E408)))))</f>
        <v/>
      </c>
      <c r="L414" s="27"/>
    </row>
    <row r="415" customFormat="false" ht="15" hidden="false" customHeight="false" outlineLevel="0" collapsed="false">
      <c r="A415" s="20" t="s">
        <v>404</v>
      </c>
      <c r="E415" s="21"/>
      <c r="F415" s="22"/>
      <c r="G415" s="23"/>
      <c r="H415" s="24"/>
      <c r="I415" s="25" t="str">
        <f aca="false">IF(OR(E415="",E415="!!!",F415="NEW"),"",INDEX(B$2:B409,-1+SUMPRODUCT(MAX(ROW(E$2:E409)*(E415=E$2:E409)))))</f>
        <v/>
      </c>
      <c r="J415" s="26" t="str">
        <f aca="true">IF(OR(E415="",E415="!!!",F415="NEW"),"",COUNTBLANK(OFFSET(A$1,,,SUMPRODUCT(MAX(ROW(E$2:E410)*(E415=E$2:E410)))))-COUNTBLANK(OFFSET(A$1,,,SUMPRODUCT(MAX(ROW(E$1:E409)*(E415=E$1:E409))))))</f>
        <v/>
      </c>
      <c r="K415" s="26" t="str">
        <f aca="false">IF(OR(E415="",E415="!!!",F415="NEW"),"",INDEX(J$1:J409,SUMPRODUCT(MAX(ROW(E$1:E409)*(E415=E$1:E409)))))</f>
        <v/>
      </c>
      <c r="L415" s="27"/>
    </row>
    <row r="416" customFormat="false" ht="15" hidden="false" customHeight="false" outlineLevel="0" collapsed="false">
      <c r="A416" s="20" t="s">
        <v>437</v>
      </c>
      <c r="E416" s="21"/>
      <c r="F416" s="22"/>
      <c r="G416" s="23"/>
      <c r="H416" s="24"/>
      <c r="I416" s="25" t="str">
        <f aca="false">IF(OR(E416="",E416="!!!",F416="NEW"),"",INDEX(B$2:B410,-1+SUMPRODUCT(MAX(ROW(E$2:E410)*(E416=E$2:E410)))))</f>
        <v/>
      </c>
      <c r="J416" s="26" t="str">
        <f aca="true">IF(OR(E416="",E416="!!!",F416="NEW"),"",COUNTBLANK(OFFSET(A$1,,,SUMPRODUCT(MAX(ROW(E$2:E411)*(E416=E$2:E411)))))-COUNTBLANK(OFFSET(A$1,,,SUMPRODUCT(MAX(ROW(E$1:E410)*(E416=E$1:E410))))))</f>
        <v/>
      </c>
      <c r="K416" s="26" t="str">
        <f aca="false">IF(OR(E416="",E416="!!!",F416="NEW"),"",INDEX(J$1:J410,SUMPRODUCT(MAX(ROW(E$1:E410)*(E416=E$1:E410)))))</f>
        <v/>
      </c>
      <c r="L416" s="27"/>
    </row>
    <row r="417" customFormat="false" ht="15" hidden="false" customHeight="false" outlineLevel="0" collapsed="false">
      <c r="A417" s="20" t="s">
        <v>209</v>
      </c>
      <c r="E417" s="21"/>
      <c r="F417" s="22"/>
      <c r="G417" s="23"/>
      <c r="H417" s="24"/>
      <c r="I417" s="25" t="str">
        <f aca="false">IF(OR(E417="",E417="!!!",F417="NEW"),"",INDEX(B$2:B411,-1+SUMPRODUCT(MAX(ROW(E$2:E411)*(E417=E$2:E411)))))</f>
        <v/>
      </c>
      <c r="J417" s="26" t="str">
        <f aca="true">IF(OR(E417="",E417="!!!",F417="NEW"),"",COUNTBLANK(OFFSET(A$1,,,SUMPRODUCT(MAX(ROW(E$2:E412)*(E417=E$2:E412)))))-COUNTBLANK(OFFSET(A$1,,,SUMPRODUCT(MAX(ROW(E$1:E411)*(E417=E$1:E411))))))</f>
        <v/>
      </c>
      <c r="K417" s="26" t="str">
        <f aca="false">IF(OR(E417="",E417="!!!",F417="NEW"),"",INDEX(J$1:J411,SUMPRODUCT(MAX(ROW(E$1:E411)*(E417=E$1:E411)))))</f>
        <v/>
      </c>
      <c r="L417" s="27"/>
    </row>
    <row r="418" customFormat="false" ht="15" hidden="false" customHeight="false" outlineLevel="0" collapsed="false">
      <c r="A418" s="20"/>
    </row>
    <row r="419" customFormat="false" ht="15" hidden="false" customHeight="false" outlineLevel="0" collapsed="false">
      <c r="A419" s="20" t="s">
        <v>311</v>
      </c>
    </row>
    <row r="420" customFormat="false" ht="15" hidden="false" customHeight="false" outlineLevel="0" collapsed="false">
      <c r="A420" s="20" t="s">
        <v>438</v>
      </c>
    </row>
    <row r="421" customFormat="false" ht="15" hidden="false" customHeight="false" outlineLevel="0" collapsed="false">
      <c r="A421" s="20" t="s">
        <v>439</v>
      </c>
      <c r="E421" s="21"/>
      <c r="F421" s="22"/>
      <c r="G421" s="23"/>
      <c r="H421" s="24"/>
      <c r="I421" s="25" t="str">
        <f aca="false">IF(OR(E421="",E421="!!!",F421="NEW"),"",INDEX(B$2:B412,-1+SUMPRODUCT(MAX(ROW(E$2:E412)*(E421=E$2:E412)))))</f>
        <v/>
      </c>
      <c r="J421" s="26" t="str">
        <f aca="true">IF(OR(E421="",E421="!!!",F421="NEW"),"",COUNTBLANK(OFFSET(A$1,,,SUMPRODUCT(MAX(ROW(E$2:E413)*(E421=E$2:E413)))))-COUNTBLANK(OFFSET(A$1,,,SUMPRODUCT(MAX(ROW(E$1:E412)*(E421=E$1:E412))))))</f>
        <v/>
      </c>
      <c r="K421" s="26" t="str">
        <f aca="false">IF(OR(E421="",E421="!!!",F421="NEW"),"",INDEX(J$1:J412,SUMPRODUCT(MAX(ROW(E$1:E412)*(E421=E$1:E412)))))</f>
        <v/>
      </c>
      <c r="L421" s="27"/>
    </row>
    <row r="422" customFormat="false" ht="15" hidden="false" customHeight="false" outlineLevel="0" collapsed="false">
      <c r="A422" s="20" t="s">
        <v>209</v>
      </c>
      <c r="E422" s="21"/>
      <c r="F422" s="22"/>
      <c r="G422" s="23"/>
      <c r="H422" s="24"/>
      <c r="I422" s="25" t="str">
        <f aca="false">IF(OR(E422="",E422="!!!",F422="NEW"),"",INDEX(B$2:B413,-1+SUMPRODUCT(MAX(ROW(E$2:E413)*(E422=E$2:E413)))))</f>
        <v/>
      </c>
      <c r="J422" s="26" t="str">
        <f aca="true">IF(OR(E422="",E422="!!!",F422="NEW"),"",COUNTBLANK(OFFSET(A$1,,,SUMPRODUCT(MAX(ROW(E$2:E414)*(E422=E$2:E414)))))-COUNTBLANK(OFFSET(A$1,,,SUMPRODUCT(MAX(ROW(E$1:E413)*(E422=E$1:E413))))))</f>
        <v/>
      </c>
      <c r="K422" s="26" t="str">
        <f aca="false">IF(OR(E422="",E422="!!!",F422="NEW"),"",INDEX(J$1:J413,SUMPRODUCT(MAX(ROW(E$1:E413)*(E422=E$1:E413)))))</f>
        <v/>
      </c>
      <c r="L422" s="27"/>
    </row>
    <row r="423" customFormat="false" ht="15" hidden="false" customHeight="false" outlineLevel="0" collapsed="false">
      <c r="A423" s="20" t="s">
        <v>320</v>
      </c>
      <c r="E423" s="21"/>
      <c r="F423" s="22"/>
      <c r="G423" s="23"/>
      <c r="H423" s="24"/>
      <c r="I423" s="25" t="str">
        <f aca="false">IF(OR(E423="",E423="!!!",F423="NEW"),"",INDEX(B$2:B414,-1+SUMPRODUCT(MAX(ROW(E$2:E414)*(E423=E$2:E414)))))</f>
        <v/>
      </c>
      <c r="J423" s="26" t="str">
        <f aca="true">IF(OR(E423="",E423="!!!",F423="NEW"),"",COUNTBLANK(OFFSET(A$1,,,SUMPRODUCT(MAX(ROW(E$2:E415)*(E423=E$2:E415)))))-COUNTBLANK(OFFSET(A$1,,,SUMPRODUCT(MAX(ROW(E$1:E414)*(E423=E$1:E414))))))</f>
        <v/>
      </c>
      <c r="K423" s="26" t="str">
        <f aca="false">IF(OR(E423="",E423="!!!",F423="NEW"),"",INDEX(J$1:J414,SUMPRODUCT(MAX(ROW(E$1:E414)*(E423=E$1:E414)))))</f>
        <v/>
      </c>
      <c r="L423" s="27"/>
    </row>
    <row r="424" customFormat="false" ht="15" hidden="false" customHeight="false" outlineLevel="0" collapsed="false">
      <c r="A424" s="20" t="s">
        <v>440</v>
      </c>
      <c r="B424" s="28" t="s">
        <v>234</v>
      </c>
      <c r="C424" s="28" t="s">
        <v>323</v>
      </c>
      <c r="E424" s="21"/>
      <c r="F424" s="22"/>
      <c r="G424" s="23"/>
      <c r="H424" s="24"/>
      <c r="I424" s="25" t="str">
        <f aca="false">IF(OR(E424="",E424="!!!",F424="NEW"),"",INDEX(B$2:B415,-1+SUMPRODUCT(MAX(ROW(E$2:E415)*(E424=E$2:E415)))))</f>
        <v/>
      </c>
      <c r="J424" s="26" t="str">
        <f aca="true">IF(OR(E424="",E424="!!!",F424="NEW"),"",COUNTBLANK(OFFSET(A$1,,,SUMPRODUCT(MAX(ROW(E$2:E416)*(E424=E$2:E416)))))-COUNTBLANK(OFFSET(A$1,,,SUMPRODUCT(MAX(ROW(E$1:E415)*(E424=E$1:E415))))))</f>
        <v/>
      </c>
      <c r="K424" s="26" t="str">
        <f aca="false">IF(OR(E424="",E424="!!!",F424="NEW"),"",INDEX(J$1:J415,SUMPRODUCT(MAX(ROW(E$1:E415)*(E424=E$1:E415)))))</f>
        <v/>
      </c>
      <c r="L424" s="27"/>
    </row>
    <row r="425" customFormat="false" ht="15" hidden="false" customHeight="false" outlineLevel="0" collapsed="false">
      <c r="A425" s="20" t="s">
        <v>441</v>
      </c>
      <c r="E425" s="21"/>
      <c r="F425" s="22"/>
      <c r="G425" s="23"/>
      <c r="H425" s="24"/>
      <c r="I425" s="25" t="str">
        <f aca="false">IF(OR(E425="",E425="!!!",F425="NEW"),"",INDEX(B$2:B416,-1+SUMPRODUCT(MAX(ROW(E$2:E416)*(E425=E$2:E416)))))</f>
        <v/>
      </c>
      <c r="J425" s="26" t="str">
        <f aca="true">IF(OR(E425="",E425="!!!",F425="NEW"),"",COUNTBLANK(OFFSET(A$1,,,SUMPRODUCT(MAX(ROW(E$2:E417)*(E425=E$2:E417)))))-COUNTBLANK(OFFSET(A$1,,,SUMPRODUCT(MAX(ROW(E$1:E416)*(E425=E$1:E416))))))</f>
        <v/>
      </c>
      <c r="K425" s="26" t="str">
        <f aca="false">IF(OR(E425="",E425="!!!",F425="NEW"),"",INDEX(J$1:J416,SUMPRODUCT(MAX(ROW(E$1:E416)*(E425=E$1:E416)))))</f>
        <v/>
      </c>
      <c r="L425" s="27"/>
    </row>
    <row r="426" customFormat="false" ht="15" hidden="false" customHeight="false" outlineLevel="0" collapsed="false">
      <c r="A426" s="20" t="s">
        <v>344</v>
      </c>
      <c r="B426" s="28" t="s">
        <v>222</v>
      </c>
      <c r="C426" s="28" t="s">
        <v>197</v>
      </c>
      <c r="D426" s="28" t="s">
        <v>198</v>
      </c>
      <c r="E426" s="21" t="s">
        <v>314</v>
      </c>
      <c r="F426" s="22" t="s">
        <v>226</v>
      </c>
      <c r="G426" s="23" t="s">
        <v>227</v>
      </c>
      <c r="H426" s="24"/>
      <c r="I426" s="25" t="str">
        <f aca="false">IF(OR(E426="",E426="!!!",F426="NEW"),"",INDEX(B$2:B417,-1+SUMPRODUCT(MAX(ROW(E$2:E417)*(E426=E$2:E417)))))</f>
        <v>SBJ</v>
      </c>
      <c r="J426" s="26" t="n">
        <f aca="true">IF(OR(E426="",E426="!!!",F426="NEW"),"",COUNTBLANK(OFFSET(A$1,,,SUMPRODUCT(MAX(ROW(E$2:E418)*(E426=E$2:E418)))))-COUNTBLANK(OFFSET(A$1,,,SUMPRODUCT(MAX(ROW(E$1:E417)*(E426=E$1:E417))))))</f>
        <v>0</v>
      </c>
      <c r="K426" s="26" t="n">
        <f aca="false">IF(OR(E426="",E426="!!!",F426="NEW"),"",INDEX(J$1:J417,SUMPRODUCT(MAX(ROW(E$1:E417)*(E426=E$1:E417)))))</f>
        <v>0</v>
      </c>
      <c r="L426" s="27"/>
    </row>
    <row r="427" customFormat="false" ht="15" hidden="false" customHeight="false" outlineLevel="0" collapsed="false">
      <c r="A427" s="20" t="s">
        <v>60</v>
      </c>
      <c r="E427" s="21"/>
      <c r="F427" s="22"/>
      <c r="G427" s="23"/>
      <c r="H427" s="24"/>
      <c r="I427" s="25" t="str">
        <f aca="false">IF(OR(E427="",E427="!!!",F427="NEW"),"",INDEX(B$2:B418,-1+SUMPRODUCT(MAX(ROW(E$2:E418)*(E427=E$2:E418)))))</f>
        <v/>
      </c>
      <c r="J427" s="26" t="str">
        <f aca="true">IF(OR(E427="",E427="!!!",F427="NEW"),"",COUNTBLANK(OFFSET(A$1,,,SUMPRODUCT(MAX(ROW(E$2:E419)*(E427=E$2:E419)))))-COUNTBLANK(OFFSET(A$1,,,SUMPRODUCT(MAX(ROW(E$1:E418)*(E427=E$1:E418))))))</f>
        <v/>
      </c>
      <c r="K427" s="26" t="str">
        <f aca="false">IF(OR(E427="",E427="!!!",F427="NEW"),"",INDEX(J$1:J418,SUMPRODUCT(MAX(ROW(E$1:E418)*(E427=E$1:E418)))))</f>
        <v/>
      </c>
      <c r="L427" s="27"/>
    </row>
    <row r="428" customFormat="false" ht="15" hidden="false" customHeight="false" outlineLevel="0" collapsed="false">
      <c r="A428" s="20" t="s">
        <v>203</v>
      </c>
      <c r="E428" s="21"/>
      <c r="F428" s="22"/>
      <c r="G428" s="23"/>
      <c r="H428" s="24"/>
      <c r="I428" s="25" t="str">
        <f aca="false">IF(OR(E428="",E428="!!!",F428="NEW"),"",INDEX(B$2:B419,-1+SUMPRODUCT(MAX(ROW(E$2:E419)*(E428=E$2:E419)))))</f>
        <v/>
      </c>
      <c r="J428" s="26" t="str">
        <f aca="true">IF(OR(E428="",E428="!!!",F428="NEW"),"",COUNTBLANK(OFFSET(A$1,,,SUMPRODUCT(MAX(ROW(E$2:E420)*(E428=E$2:E420)))))-COUNTBLANK(OFFSET(A$1,,,SUMPRODUCT(MAX(ROW(E$1:E419)*(E428=E$1:E419))))))</f>
        <v/>
      </c>
      <c r="K428" s="26" t="str">
        <f aca="false">IF(OR(E428="",E428="!!!",F428="NEW"),"",INDEX(J$1:J419,SUMPRODUCT(MAX(ROW(E$1:E419)*(E428=E$1:E419)))))</f>
        <v/>
      </c>
      <c r="L428" s="27"/>
    </row>
    <row r="429" customFormat="false" ht="15" hidden="false" customHeight="false" outlineLevel="0" collapsed="false">
      <c r="A429" s="20" t="s">
        <v>442</v>
      </c>
      <c r="E429" s="21"/>
      <c r="F429" s="22"/>
      <c r="G429" s="23"/>
      <c r="H429" s="24"/>
      <c r="I429" s="25" t="str">
        <f aca="false">IF(OR(E429="",E429="!!!",F429="NEW"),"",INDEX(B$2:B420,-1+SUMPRODUCT(MAX(ROW(E$2:E420)*(E429=E$2:E420)))))</f>
        <v/>
      </c>
      <c r="J429" s="26" t="str">
        <f aca="true">IF(OR(E429="",E429="!!!",F429="NEW"),"",COUNTBLANK(OFFSET(A$1,,,SUMPRODUCT(MAX(ROW(E$2:E421)*(E429=E$2:E421)))))-COUNTBLANK(OFFSET(A$1,,,SUMPRODUCT(MAX(ROW(E$1:E420)*(E429=E$1:E420))))))</f>
        <v/>
      </c>
      <c r="K429" s="26" t="str">
        <f aca="false">IF(OR(E429="",E429="!!!",F429="NEW"),"",INDEX(J$1:J420,SUMPRODUCT(MAX(ROW(E$1:E420)*(E429=E$1:E420)))))</f>
        <v/>
      </c>
      <c r="L429" s="27"/>
    </row>
    <row r="430" customFormat="false" ht="15" hidden="false" customHeight="false" outlineLevel="0" collapsed="false">
      <c r="A430" s="20" t="s">
        <v>277</v>
      </c>
      <c r="B430" s="28" t="s">
        <v>215</v>
      </c>
      <c r="C430" s="28" t="s">
        <v>357</v>
      </c>
      <c r="D430" s="28" t="s">
        <v>198</v>
      </c>
      <c r="E430" s="21" t="s">
        <v>199</v>
      </c>
      <c r="F430" s="22" t="s">
        <v>226</v>
      </c>
      <c r="G430" s="23" t="s">
        <v>201</v>
      </c>
      <c r="H430" s="24"/>
      <c r="I430" s="25" t="str">
        <f aca="false">IF(OR(E430="",E430="!!!",F430="NEW"),"",INDEX(B$2:B421,-1+SUMPRODUCT(MAX(ROW(E$2:E421)*(E430=E$2:E421)))))</f>
        <v>OBJ_2</v>
      </c>
      <c r="J430" s="26" t="n">
        <f aca="true">IF(OR(E430="",E430="!!!",F430="NEW"),"",COUNTBLANK(OFFSET(A$1,,,SUMPRODUCT(MAX(ROW(E$2:E422)*(E430=E$2:E422)))))-COUNTBLANK(OFFSET(A$1,,,SUMPRODUCT(MAX(ROW(E$1:E421)*(E430=E$1:E421))))))</f>
        <v>0</v>
      </c>
      <c r="K430" s="26" t="n">
        <f aca="false">IF(OR(E430="",E430="!!!",F430="NEW"),"",INDEX(J$1:J421,SUMPRODUCT(MAX(ROW(E$1:E421)*(E430=E$1:E421)))))</f>
        <v>0</v>
      </c>
      <c r="L430" s="27"/>
    </row>
    <row r="431" customFormat="false" ht="15" hidden="false" customHeight="false" outlineLevel="0" collapsed="false">
      <c r="A431" s="20" t="s">
        <v>331</v>
      </c>
      <c r="E431" s="21"/>
      <c r="F431" s="22"/>
      <c r="G431" s="23"/>
      <c r="H431" s="24"/>
      <c r="I431" s="25" t="str">
        <f aca="false">IF(OR(E431="",E431="!!!",F431="NEW"),"",INDEX(B$2:B422,-1+SUMPRODUCT(MAX(ROW(E$2:E422)*(E431=E$2:E422)))))</f>
        <v/>
      </c>
      <c r="J431" s="26" t="str">
        <f aca="true">IF(OR(E431="",E431="!!!",F431="NEW"),"",COUNTBLANK(OFFSET(A$1,,,SUMPRODUCT(MAX(ROW(E$2:E423)*(E431=E$2:E423)))))-COUNTBLANK(OFFSET(A$1,,,SUMPRODUCT(MAX(ROW(E$1:E422)*(E431=E$1:E422))))))</f>
        <v/>
      </c>
      <c r="K431" s="26" t="str">
        <f aca="false">IF(OR(E431="",E431="!!!",F431="NEW"),"",INDEX(J$1:J422,SUMPRODUCT(MAX(ROW(E$1:E422)*(E431=E$1:E422)))))</f>
        <v/>
      </c>
      <c r="L431" s="27"/>
    </row>
    <row r="432" customFormat="false" ht="15" hidden="false" customHeight="false" outlineLevel="0" collapsed="false">
      <c r="A432" s="20"/>
      <c r="E432" s="21"/>
      <c r="F432" s="22"/>
      <c r="G432" s="23"/>
      <c r="H432" s="24"/>
      <c r="I432" s="25" t="str">
        <f aca="false">IF(OR(E432="",E432="!!!",F432="NEW"),"",INDEX(B$2:B423,-1+SUMPRODUCT(MAX(ROW(E$2:E423)*(E432=E$2:E423)))))</f>
        <v/>
      </c>
      <c r="J432" s="26" t="str">
        <f aca="true">IF(OR(E432="",E432="!!!",F432="NEW"),"",COUNTBLANK(OFFSET(A$1,,,SUMPRODUCT(MAX(ROW(E$2:E424)*(E432=E$2:E424)))))-COUNTBLANK(OFFSET(A$1,,,SUMPRODUCT(MAX(ROW(E$1:E423)*(E432=E$1:E423))))))</f>
        <v/>
      </c>
      <c r="K432" s="26" t="str">
        <f aca="false">IF(OR(E432="",E432="!!!",F432="NEW"),"",INDEX(J$1:J423,SUMPRODUCT(MAX(ROW(E$1:E423)*(E432=E$1:E423)))))</f>
        <v/>
      </c>
      <c r="L432" s="27"/>
    </row>
    <row r="433" customFormat="false" ht="15" hidden="false" customHeight="false" outlineLevel="0" collapsed="false">
      <c r="A433" s="20" t="s">
        <v>443</v>
      </c>
      <c r="E433" s="21"/>
      <c r="F433" s="22"/>
      <c r="G433" s="23"/>
      <c r="H433" s="24"/>
      <c r="I433" s="25" t="str">
        <f aca="false">IF(OR(E433="",E433="!!!",F433="NEW"),"",INDEX(B$2:B424,-1+SUMPRODUCT(MAX(ROW(E$2:E424)*(E433=E$2:E424)))))</f>
        <v/>
      </c>
      <c r="J433" s="26" t="str">
        <f aca="true">IF(OR(E433="",E433="!!!",F433="NEW"),"",COUNTBLANK(OFFSET(A$1,,,SUMPRODUCT(MAX(ROW(E$2:E425)*(E433=E$2:E425)))))-COUNTBLANK(OFFSET(A$1,,,SUMPRODUCT(MAX(ROW(E$1:E424)*(E433=E$1:E424))))))</f>
        <v/>
      </c>
      <c r="K433" s="26" t="str">
        <f aca="false">IF(OR(E433="",E433="!!!",F433="NEW"),"",INDEX(J$1:J424,SUMPRODUCT(MAX(ROW(E$1:E424)*(E433=E$1:E424)))))</f>
        <v/>
      </c>
      <c r="L433" s="27"/>
    </row>
    <row r="434" customFormat="false" ht="15" hidden="false" customHeight="false" outlineLevel="0" collapsed="false">
      <c r="A434" s="20" t="s">
        <v>444</v>
      </c>
      <c r="E434" s="21"/>
      <c r="F434" s="22"/>
      <c r="G434" s="23"/>
      <c r="H434" s="24"/>
      <c r="I434" s="25" t="str">
        <f aca="false">IF(OR(E434="",E434="!!!",F434="NEW"),"",INDEX(B$2:B425,-1+SUMPRODUCT(MAX(ROW(E$2:E425)*(E434=E$2:E425)))))</f>
        <v/>
      </c>
      <c r="J434" s="26" t="str">
        <f aca="true">IF(OR(E434="",E434="!!!",F434="NEW"),"",COUNTBLANK(OFFSET(A$1,,,SUMPRODUCT(MAX(ROW(E$2:E426)*(E434=E$2:E426)))))-COUNTBLANK(OFFSET(A$1,,,SUMPRODUCT(MAX(ROW(E$1:E425)*(E434=E$1:E425))))))</f>
        <v/>
      </c>
      <c r="K434" s="26" t="str">
        <f aca="false">IF(OR(E434="",E434="!!!",F434="NEW"),"",INDEX(J$1:J425,SUMPRODUCT(MAX(ROW(E$1:E425)*(E434=E$1:E425)))))</f>
        <v/>
      </c>
      <c r="L434" s="27"/>
    </row>
    <row r="435" customFormat="false" ht="15" hidden="false" customHeight="false" outlineLevel="0" collapsed="false">
      <c r="A435" s="20" t="s">
        <v>445</v>
      </c>
      <c r="E435" s="21"/>
      <c r="F435" s="22"/>
      <c r="G435" s="23"/>
      <c r="H435" s="24"/>
      <c r="I435" s="25" t="str">
        <f aca="false">IF(OR(E435="",E435="!!!",F435="NEW"),"",INDEX(B$2:B426,-1+SUMPRODUCT(MAX(ROW(E$2:E426)*(E435=E$2:E426)))))</f>
        <v/>
      </c>
      <c r="J435" s="26" t="str">
        <f aca="true">IF(OR(E435="",E435="!!!",F435="NEW"),"",COUNTBLANK(OFFSET(A$1,,,SUMPRODUCT(MAX(ROW(E$2:E427)*(E435=E$2:E427)))))-COUNTBLANK(OFFSET(A$1,,,SUMPRODUCT(MAX(ROW(E$1:E426)*(E435=E$1:E426))))))</f>
        <v/>
      </c>
      <c r="K435" s="26" t="str">
        <f aca="false">IF(OR(E435="",E435="!!!",F435="NEW"),"",INDEX(J$1:J426,SUMPRODUCT(MAX(ROW(E$1:E426)*(E435=E$1:E426)))))</f>
        <v/>
      </c>
      <c r="L435" s="27"/>
    </row>
    <row r="436" customFormat="false" ht="15" hidden="false" customHeight="false" outlineLevel="0" collapsed="false">
      <c r="A436" s="20" t="s">
        <v>349</v>
      </c>
      <c r="E436" s="21"/>
      <c r="F436" s="22"/>
      <c r="G436" s="23"/>
      <c r="H436" s="24"/>
      <c r="I436" s="25" t="str">
        <f aca="false">IF(OR(E436="",E436="!!!",F436="NEW"),"",INDEX(B$2:B427,-1+SUMPRODUCT(MAX(ROW(E$2:E427)*(E436=E$2:E427)))))</f>
        <v/>
      </c>
      <c r="J436" s="26" t="str">
        <f aca="true">IF(OR(E436="",E436="!!!",F436="NEW"),"",COUNTBLANK(OFFSET(A$1,,,SUMPRODUCT(MAX(ROW(E$2:E428)*(E436=E$2:E428)))))-COUNTBLANK(OFFSET(A$1,,,SUMPRODUCT(MAX(ROW(E$1:E427)*(E436=E$1:E427))))))</f>
        <v/>
      </c>
      <c r="K436" s="26" t="str">
        <f aca="false">IF(OR(E436="",E436="!!!",F436="NEW"),"",INDEX(J$1:J427,SUMPRODUCT(MAX(ROW(E$1:E427)*(E436=E$1:E427)))))</f>
        <v/>
      </c>
      <c r="L436" s="27"/>
    </row>
    <row r="437" customFormat="false" ht="15" hidden="false" customHeight="false" outlineLevel="0" collapsed="false">
      <c r="A437" s="20" t="s">
        <v>446</v>
      </c>
      <c r="E437" s="21"/>
      <c r="F437" s="22"/>
      <c r="G437" s="23"/>
      <c r="H437" s="24"/>
      <c r="I437" s="25" t="str">
        <f aca="false">IF(OR(E437="",E437="!!!",F437="NEW"),"",INDEX(B$2:B428,-1+SUMPRODUCT(MAX(ROW(E$2:E428)*(E437=E$2:E428)))))</f>
        <v/>
      </c>
      <c r="J437" s="26" t="str">
        <f aca="true">IF(OR(E437="",E437="!!!",F437="NEW"),"",COUNTBLANK(OFFSET(A$1,,,SUMPRODUCT(MAX(ROW(E$2:E429)*(E437=E$2:E429)))))-COUNTBLANK(OFFSET(A$1,,,SUMPRODUCT(MAX(ROW(E$1:E428)*(E437=E$1:E428))))))</f>
        <v/>
      </c>
      <c r="K437" s="26" t="str">
        <f aca="false">IF(OR(E437="",E437="!!!",F437="NEW"),"",INDEX(J$1:J428,SUMPRODUCT(MAX(ROW(E$1:E428)*(E437=E$1:E428)))))</f>
        <v/>
      </c>
      <c r="L437" s="27"/>
    </row>
    <row r="438" customFormat="false" ht="15" hidden="false" customHeight="false" outlineLevel="0" collapsed="false">
      <c r="A438" s="20" t="s">
        <v>447</v>
      </c>
      <c r="B438" s="28" t="s">
        <v>234</v>
      </c>
      <c r="C438" s="28" t="s">
        <v>352</v>
      </c>
      <c r="E438" s="21"/>
      <c r="F438" s="22"/>
      <c r="G438" s="23"/>
      <c r="H438" s="24"/>
      <c r="I438" s="25" t="str">
        <f aca="false">IF(OR(E438="",E438="!!!",F438="NEW"),"",INDEX(B$2:B429,-1+SUMPRODUCT(MAX(ROW(E$2:E429)*(E438=E$2:E429)))))</f>
        <v/>
      </c>
      <c r="J438" s="26" t="str">
        <f aca="true">IF(OR(E438="",E438="!!!",F438="NEW"),"",COUNTBLANK(OFFSET(A$1,,,SUMPRODUCT(MAX(ROW(E$2:E430)*(E438=E$2:E430)))))-COUNTBLANK(OFFSET(A$1,,,SUMPRODUCT(MAX(ROW(E$1:E429)*(E438=E$1:E429))))))</f>
        <v/>
      </c>
      <c r="K438" s="26" t="str">
        <f aca="false">IF(OR(E438="",E438="!!!",F438="NEW"),"",INDEX(J$1:J429,SUMPRODUCT(MAX(ROW(E$1:E429)*(E438=E$1:E429)))))</f>
        <v/>
      </c>
      <c r="L438" s="27"/>
    </row>
    <row r="439" customFormat="false" ht="15" hidden="false" customHeight="false" outlineLevel="0" collapsed="false">
      <c r="A439" s="20" t="s">
        <v>359</v>
      </c>
      <c r="E439" s="21"/>
      <c r="F439" s="22"/>
      <c r="G439" s="23"/>
      <c r="H439" s="24"/>
      <c r="I439" s="25" t="str">
        <f aca="false">IF(OR(E439="",E439="!!!",F439="NEW"),"",INDEX(B$2:B430,-1+SUMPRODUCT(MAX(ROW(E$2:E430)*(E439=E$2:E430)))))</f>
        <v/>
      </c>
      <c r="J439" s="26" t="str">
        <f aca="true">IF(OR(E439="",E439="!!!",F439="NEW"),"",COUNTBLANK(OFFSET(A$1,,,SUMPRODUCT(MAX(ROW(E$2:E431)*(E439=E$2:E431)))))-COUNTBLANK(OFFSET(A$1,,,SUMPRODUCT(MAX(ROW(E$1:E430)*(E439=E$1:E430))))))</f>
        <v/>
      </c>
      <c r="K439" s="26" t="str">
        <f aca="false">IF(OR(E439="",E439="!!!",F439="NEW"),"",INDEX(J$1:J430,SUMPRODUCT(MAX(ROW(E$1:E430)*(E439=E$1:E430)))))</f>
        <v/>
      </c>
      <c r="L439" s="27"/>
    </row>
    <row r="440" customFormat="false" ht="15" hidden="false" customHeight="false" outlineLevel="0" collapsed="false">
      <c r="A440" s="20" t="s">
        <v>360</v>
      </c>
      <c r="E440" s="21"/>
      <c r="F440" s="22"/>
      <c r="G440" s="23"/>
      <c r="H440" s="24"/>
      <c r="I440" s="25" t="str">
        <f aca="false">IF(OR(E440="",E440="!!!",F440="NEW"),"",INDEX(B$2:B431,-1+SUMPRODUCT(MAX(ROW(E$2:E431)*(E440=E$2:E431)))))</f>
        <v/>
      </c>
      <c r="J440" s="26" t="str">
        <f aca="true">IF(OR(E440="",E440="!!!",F440="NEW"),"",COUNTBLANK(OFFSET(A$1,,,SUMPRODUCT(MAX(ROW(E$2:E432)*(E440=E$2:E432)))))-COUNTBLANK(OFFSET(A$1,,,SUMPRODUCT(MAX(ROW(E$1:E431)*(E440=E$1:E431))))))</f>
        <v/>
      </c>
      <c r="K440" s="26" t="str">
        <f aca="false">IF(OR(E440="",E440="!!!",F440="NEW"),"",INDEX(J$1:J431,SUMPRODUCT(MAX(ROW(E$1:E431)*(E440=E$1:E431)))))</f>
        <v/>
      </c>
      <c r="L440" s="27"/>
    </row>
    <row r="441" customFormat="false" ht="15" hidden="false" customHeight="false" outlineLevel="0" collapsed="false">
      <c r="A441" s="20" t="s">
        <v>329</v>
      </c>
      <c r="E441" s="21"/>
      <c r="F441" s="22"/>
      <c r="G441" s="23"/>
      <c r="H441" s="24"/>
      <c r="I441" s="25" t="str">
        <f aca="false">IF(OR(E441="",E441="!!!",F441="NEW"),"",INDEX(B$2:B432,-1+SUMPRODUCT(MAX(ROW(E$2:E432)*(E441=E$2:E432)))))</f>
        <v/>
      </c>
      <c r="J441" s="26" t="str">
        <f aca="true">IF(OR(E441="",E441="!!!",F441="NEW"),"",COUNTBLANK(OFFSET(A$1,,,SUMPRODUCT(MAX(ROW(E$2:E433)*(E441=E$2:E433)))))-COUNTBLANK(OFFSET(A$1,,,SUMPRODUCT(MAX(ROW(E$1:E432)*(E441=E$1:E432))))))</f>
        <v/>
      </c>
      <c r="K441" s="26" t="str">
        <f aca="false">IF(OR(E441="",E441="!!!",F441="NEW"),"",INDEX(J$1:J432,SUMPRODUCT(MAX(ROW(E$1:E432)*(E441=E$1:E432)))))</f>
        <v/>
      </c>
      <c r="L441" s="27"/>
    </row>
    <row r="442" customFormat="false" ht="15" hidden="false" customHeight="false" outlineLevel="0" collapsed="false">
      <c r="A442" s="20" t="s">
        <v>448</v>
      </c>
      <c r="E442" s="21"/>
      <c r="F442" s="22"/>
      <c r="G442" s="23"/>
      <c r="H442" s="24"/>
      <c r="I442" s="25" t="str">
        <f aca="false">IF(OR(E442="",E442="!!!",F442="NEW"),"",INDEX(B$2:B433,-1+SUMPRODUCT(MAX(ROW(E$2:E433)*(E442=E$2:E433)))))</f>
        <v/>
      </c>
      <c r="J442" s="26" t="str">
        <f aca="true">IF(OR(E442="",E442="!!!",F442="NEW"),"",COUNTBLANK(OFFSET(A$1,,,SUMPRODUCT(MAX(ROW(E$2:E434)*(E442=E$2:E434)))))-COUNTBLANK(OFFSET(A$1,,,SUMPRODUCT(MAX(ROW(E$1:E433)*(E442=E$1:E433))))))</f>
        <v/>
      </c>
      <c r="K442" s="26" t="str">
        <f aca="false">IF(OR(E442="",E442="!!!",F442="NEW"),"",INDEX(J$1:J433,SUMPRODUCT(MAX(ROW(E$1:E433)*(E442=E$1:E433)))))</f>
        <v/>
      </c>
      <c r="L442" s="27"/>
    </row>
    <row r="443" customFormat="false" ht="15" hidden="false" customHeight="false" outlineLevel="0" collapsed="false">
      <c r="A443" s="20" t="s">
        <v>225</v>
      </c>
      <c r="B443" s="28" t="s">
        <v>206</v>
      </c>
      <c r="C443" s="28" t="s">
        <v>197</v>
      </c>
      <c r="D443" s="28" t="s">
        <v>198</v>
      </c>
      <c r="E443" s="21" t="s">
        <v>199</v>
      </c>
      <c r="F443" s="22" t="s">
        <v>226</v>
      </c>
      <c r="G443" s="23" t="s">
        <v>247</v>
      </c>
      <c r="H443" s="24" t="s">
        <v>189</v>
      </c>
      <c r="I443" s="25" t="str">
        <f aca="false">IF(OR(E443="",E443="!!!",F443="NEW"),"",INDEX(B$2:B434,-1+SUMPRODUCT(MAX(ROW(E$2:E434)*(E443=E$2:E434)))))</f>
        <v>other_2</v>
      </c>
      <c r="J443" s="26" t="n">
        <f aca="true">IF(OR(E443="",E443="!!!",F443="NEW"),"",COUNTBLANK(OFFSET(A$1,,,SUMPRODUCT(MAX(ROW(E$2:E435)*(E443=E$2:E435)))))-COUNTBLANK(OFFSET(A$1,,,SUMPRODUCT(MAX(ROW(E$1:E434)*(E443=E$1:E434))))))</f>
        <v>0</v>
      </c>
      <c r="K443" s="26" t="n">
        <f aca="false">IF(OR(E443="",E443="!!!",F443="NEW"),"",INDEX(J$1:J434,SUMPRODUCT(MAX(ROW(E$1:E434)*(E443=E$1:E434)))))</f>
        <v>0</v>
      </c>
      <c r="L443" s="27"/>
    </row>
    <row r="444" customFormat="false" ht="15" hidden="false" customHeight="false" outlineLevel="0" collapsed="false">
      <c r="A444" s="20" t="s">
        <v>209</v>
      </c>
      <c r="E444" s="21"/>
      <c r="F444" s="22"/>
      <c r="G444" s="23"/>
      <c r="H444" s="24"/>
      <c r="I444" s="25" t="str">
        <f aca="false">IF(OR(E444="",E444="!!!",F444="NEW"),"",INDEX(B$2:B435,-1+SUMPRODUCT(MAX(ROW(E$2:E435)*(E444=E$2:E435)))))</f>
        <v/>
      </c>
      <c r="J444" s="26" t="str">
        <f aca="true">IF(OR(E444="",E444="!!!",F444="NEW"),"",COUNTBLANK(OFFSET(A$1,,,SUMPRODUCT(MAX(ROW(E$2:E436)*(E444=E$2:E436)))))-COUNTBLANK(OFFSET(A$1,,,SUMPRODUCT(MAX(ROW(E$1:E435)*(E444=E$1:E435))))))</f>
        <v/>
      </c>
      <c r="K444" s="26" t="str">
        <f aca="false">IF(OR(E444="",E444="!!!",F444="NEW"),"",INDEX(J$1:J435,SUMPRODUCT(MAX(ROW(E$1:E435)*(E444=E$1:E435)))))</f>
        <v/>
      </c>
      <c r="L444" s="27"/>
    </row>
    <row r="445" customFormat="false" ht="15" hidden="false" customHeight="false" outlineLevel="0" collapsed="false">
      <c r="A445" s="20" t="s">
        <v>308</v>
      </c>
      <c r="E445" s="21"/>
      <c r="F445" s="22"/>
      <c r="G445" s="23"/>
      <c r="H445" s="24"/>
      <c r="I445" s="25" t="str">
        <f aca="false">IF(OR(E445="",E445="!!!",F445="NEW"),"",INDEX(B$2:B436,-1+SUMPRODUCT(MAX(ROW(E$2:E436)*(E445=E$2:E436)))))</f>
        <v/>
      </c>
      <c r="J445" s="26" t="str">
        <f aca="true">IF(OR(E445="",E445="!!!",F445="NEW"),"",COUNTBLANK(OFFSET(A$1,,,SUMPRODUCT(MAX(ROW(E$2:E437)*(E445=E$2:E437)))))-COUNTBLANK(OFFSET(A$1,,,SUMPRODUCT(MAX(ROW(E$1:E436)*(E445=E$1:E436))))))</f>
        <v/>
      </c>
      <c r="K445" s="26" t="str">
        <f aca="false">IF(OR(E445="",E445="!!!",F445="NEW"),"",INDEX(J$1:J436,SUMPRODUCT(MAX(ROW(E$1:E436)*(E445=E$1:E436)))))</f>
        <v/>
      </c>
      <c r="L445" s="27"/>
    </row>
    <row r="446" customFormat="false" ht="15" hidden="false" customHeight="false" outlineLevel="0" collapsed="false">
      <c r="A446" s="20" t="s">
        <v>449</v>
      </c>
      <c r="E446" s="21"/>
      <c r="F446" s="22"/>
      <c r="G446" s="23"/>
      <c r="H446" s="24"/>
      <c r="I446" s="25" t="str">
        <f aca="false">IF(OR(E446="",E446="!!!",F446="NEW"),"",INDEX(B$2:B437,-1+SUMPRODUCT(MAX(ROW(E$2:E437)*(E446=E$2:E437)))))</f>
        <v/>
      </c>
      <c r="J446" s="26" t="str">
        <f aca="true">IF(OR(E446="",E446="!!!",F446="NEW"),"",COUNTBLANK(OFFSET(A$1,,,SUMPRODUCT(MAX(ROW(E$2:E438)*(E446=E$2:E438)))))-COUNTBLANK(OFFSET(A$1,,,SUMPRODUCT(MAX(ROW(E$1:E437)*(E446=E$1:E437))))))</f>
        <v/>
      </c>
      <c r="K446" s="26" t="str">
        <f aca="false">IF(OR(E446="",E446="!!!",F446="NEW"),"",INDEX(J$1:J437,SUMPRODUCT(MAX(ROW(E$1:E437)*(E446=E$1:E437)))))</f>
        <v/>
      </c>
      <c r="L446" s="27"/>
    </row>
    <row r="447" customFormat="false" ht="15" hidden="false" customHeight="false" outlineLevel="0" collapsed="false">
      <c r="A447" s="20" t="s">
        <v>68</v>
      </c>
      <c r="E447" s="21"/>
      <c r="F447" s="22"/>
      <c r="G447" s="23"/>
      <c r="H447" s="24"/>
      <c r="I447" s="25" t="str">
        <f aca="false">IF(OR(E447="",E447="!!!",F447="NEW"),"",INDEX(B$2:B438,-1+SUMPRODUCT(MAX(ROW(E$2:E438)*(E447=E$2:E438)))))</f>
        <v/>
      </c>
      <c r="J447" s="26" t="str">
        <f aca="true">IF(OR(E447="",E447="!!!",F447="NEW"),"",COUNTBLANK(OFFSET(A$1,,,SUMPRODUCT(MAX(ROW(E$2:E439)*(E447=E$2:E439)))))-COUNTBLANK(OFFSET(A$1,,,SUMPRODUCT(MAX(ROW(E$1:E438)*(E447=E$1:E438))))))</f>
        <v/>
      </c>
      <c r="K447" s="26" t="str">
        <f aca="false">IF(OR(E447="",E447="!!!",F447="NEW"),"",INDEX(J$1:J438,SUMPRODUCT(MAX(ROW(E$1:E438)*(E447=E$1:E438)))))</f>
        <v/>
      </c>
      <c r="L447" s="27"/>
    </row>
    <row r="448" customFormat="false" ht="15" hidden="false" customHeight="false" outlineLevel="0" collapsed="false">
      <c r="A448" s="20" t="s">
        <v>450</v>
      </c>
      <c r="E448" s="21"/>
      <c r="F448" s="22"/>
      <c r="G448" s="23"/>
      <c r="H448" s="24"/>
      <c r="I448" s="25" t="str">
        <f aca="false">IF(OR(E448="",E448="!!!",F448="NEW"),"",INDEX(B$2:B439,-1+SUMPRODUCT(MAX(ROW(E$2:E439)*(E448=E$2:E439)))))</f>
        <v/>
      </c>
      <c r="J448" s="26" t="str">
        <f aca="true">IF(OR(E448="",E448="!!!",F448="NEW"),"",COUNTBLANK(OFFSET(A$1,,,SUMPRODUCT(MAX(ROW(E$2:E440)*(E448=E$2:E440)))))-COUNTBLANK(OFFSET(A$1,,,SUMPRODUCT(MAX(ROW(E$1:E439)*(E448=E$1:E439))))))</f>
        <v/>
      </c>
      <c r="K448" s="26" t="str">
        <f aca="false">IF(OR(E448="",E448="!!!",F448="NEW"),"",INDEX(J$1:J439,SUMPRODUCT(MAX(ROW(E$1:E439)*(E448=E$1:E439)))))</f>
        <v/>
      </c>
      <c r="L448" s="27"/>
    </row>
    <row r="449" customFormat="false" ht="15" hidden="false" customHeight="false" outlineLevel="0" collapsed="false">
      <c r="A449" s="20" t="s">
        <v>451</v>
      </c>
      <c r="E449" s="21"/>
      <c r="F449" s="22"/>
      <c r="G449" s="23"/>
      <c r="H449" s="24"/>
      <c r="I449" s="25" t="str">
        <f aca="false">IF(OR(E449="",E449="!!!",F449="NEW"),"",INDEX(B$2:B440,-1+SUMPRODUCT(MAX(ROW(E$2:E440)*(E449=E$2:E440)))))</f>
        <v/>
      </c>
      <c r="J449" s="26" t="str">
        <f aca="true">IF(OR(E449="",E449="!!!",F449="NEW"),"",COUNTBLANK(OFFSET(A$1,,,SUMPRODUCT(MAX(ROW(E$2:E441)*(E449=E$2:E441)))))-COUNTBLANK(OFFSET(A$1,,,SUMPRODUCT(MAX(ROW(E$1:E440)*(E449=E$1:E440))))))</f>
        <v/>
      </c>
      <c r="K449" s="26" t="str">
        <f aca="false">IF(OR(E449="",E449="!!!",F449="NEW"),"",INDEX(J$1:J440,SUMPRODUCT(MAX(ROW(E$1:E440)*(E449=E$1:E440)))))</f>
        <v/>
      </c>
      <c r="L449" s="27"/>
    </row>
    <row r="450" customFormat="false" ht="15" hidden="false" customHeight="false" outlineLevel="0" collapsed="false">
      <c r="A450" s="20" t="s">
        <v>355</v>
      </c>
      <c r="E450" s="21"/>
      <c r="F450" s="22"/>
      <c r="G450" s="23"/>
      <c r="H450" s="24"/>
      <c r="I450" s="25" t="str">
        <f aca="false">IF(OR(E450="",E450="!!!",F450="NEW"),"",INDEX(B$2:B441,-1+SUMPRODUCT(MAX(ROW(E$2:E441)*(E450=E$2:E441)))))</f>
        <v/>
      </c>
      <c r="J450" s="26" t="str">
        <f aca="true">IF(OR(E450="",E450="!!!",F450="NEW"),"",COUNTBLANK(OFFSET(A$1,,,SUMPRODUCT(MAX(ROW(E$2:E442)*(E450=E$2:E442)))))-COUNTBLANK(OFFSET(A$1,,,SUMPRODUCT(MAX(ROW(E$1:E441)*(E450=E$1:E441))))))</f>
        <v/>
      </c>
      <c r="K450" s="26" t="str">
        <f aca="false">IF(OR(E450="",E450="!!!",F450="NEW"),"",INDEX(J$1:J441,SUMPRODUCT(MAX(ROW(E$1:E441)*(E450=E$1:E441)))))</f>
        <v/>
      </c>
      <c r="L450" s="27"/>
    </row>
    <row r="451" customFormat="false" ht="15" hidden="false" customHeight="false" outlineLevel="0" collapsed="false">
      <c r="A451" s="20" t="s">
        <v>364</v>
      </c>
      <c r="E451" s="21"/>
      <c r="F451" s="22"/>
      <c r="G451" s="23"/>
      <c r="H451" s="24"/>
      <c r="I451" s="25" t="str">
        <f aca="false">IF(OR(E451="",E451="!!!",F451="NEW"),"",INDEX(B$2:B442,-1+SUMPRODUCT(MAX(ROW(E$2:E442)*(E451=E$2:E442)))))</f>
        <v/>
      </c>
      <c r="J451" s="26" t="str">
        <f aca="true">IF(OR(E451="",E451="!!!",F451="NEW"),"",COUNTBLANK(OFFSET(A$1,,,SUMPRODUCT(MAX(ROW(E$2:E443)*(E451=E$2:E443)))))-COUNTBLANK(OFFSET(A$1,,,SUMPRODUCT(MAX(ROW(E$1:E442)*(E451=E$1:E442))))))</f>
        <v/>
      </c>
      <c r="K451" s="26" t="str">
        <f aca="false">IF(OR(E451="",E451="!!!",F451="NEW"),"",INDEX(J$1:J442,SUMPRODUCT(MAX(ROW(E$1:E442)*(E451=E$1:E442)))))</f>
        <v/>
      </c>
      <c r="L451" s="27"/>
    </row>
    <row r="452" customFormat="false" ht="15" hidden="false" customHeight="false" outlineLevel="0" collapsed="false">
      <c r="A452" s="20" t="s">
        <v>269</v>
      </c>
      <c r="B452" s="28" t="s">
        <v>273</v>
      </c>
      <c r="E452" s="21"/>
      <c r="F452" s="22"/>
      <c r="G452" s="23"/>
      <c r="H452" s="24"/>
      <c r="I452" s="25" t="str">
        <f aca="false">IF(OR(E452="",E452="!!!",F452="NEW"),"",INDEX(B$2:B443,-1+SUMPRODUCT(MAX(ROW(E$2:E443)*(E452=E$2:E443)))))</f>
        <v/>
      </c>
      <c r="J452" s="26" t="str">
        <f aca="true">IF(OR(E452="",E452="!!!",F452="NEW"),"",COUNTBLANK(OFFSET(A$1,,,SUMPRODUCT(MAX(ROW(E$2:E444)*(E452=E$2:E444)))))-COUNTBLANK(OFFSET(A$1,,,SUMPRODUCT(MAX(ROW(E$1:E443)*(E452=E$1:E443))))))</f>
        <v/>
      </c>
      <c r="K452" s="26" t="str">
        <f aca="false">IF(OR(E452="",E452="!!!",F452="NEW"),"",INDEX(J$1:J443,SUMPRODUCT(MAX(ROW(E$1:E443)*(E452=E$1:E443)))))</f>
        <v/>
      </c>
      <c r="L452" s="27"/>
    </row>
    <row r="453" customFormat="false" ht="15" hidden="false" customHeight="false" outlineLevel="0" collapsed="false">
      <c r="A453" s="20" t="s">
        <v>452</v>
      </c>
      <c r="E453" s="21"/>
      <c r="F453" s="22"/>
      <c r="G453" s="23"/>
      <c r="H453" s="24"/>
      <c r="I453" s="25" t="str">
        <f aca="false">IF(OR(E453="",E453="!!!",F453="NEW"),"",INDEX(B$2:B444,-1+SUMPRODUCT(MAX(ROW(E$2:E444)*(E453=E$2:E444)))))</f>
        <v/>
      </c>
      <c r="J453" s="26" t="str">
        <f aca="true">IF(OR(E453="",E453="!!!",F453="NEW"),"",COUNTBLANK(OFFSET(A$1,,,SUMPRODUCT(MAX(ROW(E$2:E445)*(E453=E$2:E445)))))-COUNTBLANK(OFFSET(A$1,,,SUMPRODUCT(MAX(ROW(E$1:E444)*(E453=E$1:E444))))))</f>
        <v/>
      </c>
      <c r="K453" s="26" t="str">
        <f aca="false">IF(OR(E453="",E453="!!!",F453="NEW"),"",INDEX(J$1:J444,SUMPRODUCT(MAX(ROW(E$1:E444)*(E453=E$1:E444)))))</f>
        <v/>
      </c>
      <c r="L453" s="27"/>
    </row>
    <row r="454" customFormat="false" ht="15" hidden="false" customHeight="false" outlineLevel="0" collapsed="false">
      <c r="A454" s="20" t="s">
        <v>236</v>
      </c>
      <c r="E454" s="21"/>
      <c r="F454" s="22"/>
      <c r="G454" s="23"/>
      <c r="H454" s="24"/>
      <c r="I454" s="25" t="str">
        <f aca="false">IF(OR(E454="",E454="!!!",F454="NEW"),"",INDEX(B$2:B445,-1+SUMPRODUCT(MAX(ROW(E$2:E445)*(E454=E$2:E445)))))</f>
        <v/>
      </c>
      <c r="J454" s="26" t="str">
        <f aca="true">IF(OR(E454="",E454="!!!",F454="NEW"),"",COUNTBLANK(OFFSET(A$1,,,SUMPRODUCT(MAX(ROW(E$2:E446)*(E454=E$2:E446)))))-COUNTBLANK(OFFSET(A$1,,,SUMPRODUCT(MAX(ROW(E$1:E445)*(E454=E$1:E445))))))</f>
        <v/>
      </c>
      <c r="K454" s="26" t="str">
        <f aca="false">IF(OR(E454="",E454="!!!",F454="NEW"),"",INDEX(J$1:J445,SUMPRODUCT(MAX(ROW(E$1:E445)*(E454=E$1:E445)))))</f>
        <v/>
      </c>
      <c r="L454" s="27"/>
    </row>
    <row r="455" customFormat="false" ht="15" hidden="false" customHeight="false" outlineLevel="0" collapsed="false">
      <c r="A455" s="20" t="s">
        <v>296</v>
      </c>
      <c r="B455" s="28" t="s">
        <v>310</v>
      </c>
      <c r="C455" s="28" t="s">
        <v>223</v>
      </c>
      <c r="D455" s="28" t="s">
        <v>198</v>
      </c>
      <c r="E455" s="21" t="s">
        <v>296</v>
      </c>
      <c r="F455" s="22" t="s">
        <v>226</v>
      </c>
      <c r="G455" s="23" t="s">
        <v>201</v>
      </c>
      <c r="H455" s="24"/>
      <c r="I455" s="25" t="str">
        <f aca="false">IF(OR(E455="",E455="!!!",F455="NEW"),"",INDEX(B$2:B446,-1+SUMPRODUCT(MAX(ROW(E$2:E446)*(E455=E$2:E446)))))</f>
        <v>other</v>
      </c>
      <c r="J455" s="26" t="n">
        <f aca="true">IF(OR(E455="",E455="!!!",F455="NEW"),"",COUNTBLANK(OFFSET(A$1,,,SUMPRODUCT(MAX(ROW(E$2:E447)*(E455=E$2:E447)))))-COUNTBLANK(OFFSET(A$1,,,SUMPRODUCT(MAX(ROW(E$1:E446)*(E455=E$1:E446))))))</f>
        <v>0</v>
      </c>
      <c r="K455" s="26" t="n">
        <f aca="false">IF(OR(E455="",E455="!!!",F455="NEW"),"",INDEX(J$1:J446,SUMPRODUCT(MAX(ROW(E$1:E446)*(E455=E$1:E446)))))</f>
        <v>0</v>
      </c>
      <c r="L455" s="27"/>
    </row>
    <row r="456" customFormat="false" ht="15" hidden="false" customHeight="false" outlineLevel="0" collapsed="false">
      <c r="A456" s="20" t="s">
        <v>209</v>
      </c>
      <c r="E456" s="21"/>
      <c r="F456" s="22"/>
      <c r="G456" s="23"/>
      <c r="H456" s="24"/>
      <c r="I456" s="25" t="str">
        <f aca="false">IF(OR(E456="",E456="!!!",F456="NEW"),"",INDEX(B$2:B447,-1+SUMPRODUCT(MAX(ROW(E$2:E447)*(E456=E$2:E447)))))</f>
        <v/>
      </c>
      <c r="J456" s="26" t="str">
        <f aca="true">IF(OR(E456="",E456="!!!",F456="NEW"),"",COUNTBLANK(OFFSET(A$1,,,SUMPRODUCT(MAX(ROW(E$2:E448)*(E456=E$2:E448)))))-COUNTBLANK(OFFSET(A$1,,,SUMPRODUCT(MAX(ROW(E$1:E447)*(E456=E$1:E447))))))</f>
        <v/>
      </c>
      <c r="K456" s="26" t="str">
        <f aca="false">IF(OR(E456="",E456="!!!",F456="NEW"),"",INDEX(J$1:J447,SUMPRODUCT(MAX(ROW(E$1:E447)*(E456=E$1:E447)))))</f>
        <v/>
      </c>
      <c r="L456" s="27"/>
    </row>
    <row r="457" customFormat="false" ht="15" hidden="false" customHeight="false" outlineLevel="0" collapsed="false">
      <c r="A457" s="20" t="s">
        <v>213</v>
      </c>
      <c r="E457" s="21"/>
      <c r="F457" s="22"/>
      <c r="G457" s="23"/>
      <c r="H457" s="24"/>
      <c r="I457" s="25" t="str">
        <f aca="false">IF(OR(E457="",E457="!!!",F457="NEW"),"",INDEX(B$2:B448,-1+SUMPRODUCT(MAX(ROW(E$2:E448)*(E457=E$2:E448)))))</f>
        <v/>
      </c>
      <c r="J457" s="26" t="str">
        <f aca="true">IF(OR(E457="",E457="!!!",F457="NEW"),"",COUNTBLANK(OFFSET(A$1,,,SUMPRODUCT(MAX(ROW(E$2:E449)*(E457=E$2:E449)))))-COUNTBLANK(OFFSET(A$1,,,SUMPRODUCT(MAX(ROW(E$1:E448)*(E457=E$1:E448))))))</f>
        <v/>
      </c>
      <c r="K457" s="26" t="str">
        <f aca="false">IF(OR(E457="",E457="!!!",F457="NEW"),"",INDEX(J$1:J448,SUMPRODUCT(MAX(ROW(E$1:E448)*(E457=E$1:E448)))))</f>
        <v/>
      </c>
      <c r="L457" s="27"/>
    </row>
    <row r="458" customFormat="false" ht="15" hidden="false" customHeight="false" outlineLevel="0" collapsed="false">
      <c r="A458" s="20" t="s">
        <v>344</v>
      </c>
      <c r="B458" s="28" t="s">
        <v>222</v>
      </c>
      <c r="C458" s="28" t="s">
        <v>197</v>
      </c>
      <c r="D458" s="28" t="s">
        <v>198</v>
      </c>
      <c r="E458" s="21" t="s">
        <v>314</v>
      </c>
      <c r="F458" s="22" t="s">
        <v>226</v>
      </c>
      <c r="G458" s="23" t="s">
        <v>247</v>
      </c>
      <c r="H458" s="24"/>
      <c r="I458" s="25" t="str">
        <f aca="false">IF(OR(E458="",E458="!!!",F458="NEW"),"",INDEX(B$2:B449,-1+SUMPRODUCT(MAX(ROW(E$2:E449)*(E458=E$2:E449)))))</f>
        <v>SBJ_2</v>
      </c>
      <c r="J458" s="26" t="n">
        <f aca="true">IF(OR(E458="",E458="!!!",F458="NEW"),"",COUNTBLANK(OFFSET(A$1,,,SUMPRODUCT(MAX(ROW(E$2:E450)*(E458=E$2:E450)))))-COUNTBLANK(OFFSET(A$1,,,SUMPRODUCT(MAX(ROW(E$1:E449)*(E458=E$1:E449))))))</f>
        <v>0</v>
      </c>
      <c r="K458" s="26" t="n">
        <f aca="false">IF(OR(E458="",E458="!!!",F458="NEW"),"",INDEX(J$1:J449,SUMPRODUCT(MAX(ROW(E$1:E449)*(E458=E$1:E449)))))</f>
        <v>0</v>
      </c>
      <c r="L458" s="27"/>
    </row>
    <row r="459" customFormat="false" ht="15" hidden="false" customHeight="false" outlineLevel="0" collapsed="false">
      <c r="A459" s="20" t="s">
        <v>453</v>
      </c>
      <c r="E459" s="21"/>
      <c r="F459" s="22"/>
      <c r="G459" s="23"/>
      <c r="H459" s="24"/>
      <c r="I459" s="25" t="str">
        <f aca="false">IF(OR(E459="",E459="!!!",F459="NEW"),"",INDEX(B$2:B450,-1+SUMPRODUCT(MAX(ROW(E$2:E450)*(E459=E$2:E450)))))</f>
        <v/>
      </c>
      <c r="J459" s="26" t="str">
        <f aca="true">IF(OR(E459="",E459="!!!",F459="NEW"),"",COUNTBLANK(OFFSET(A$1,,,SUMPRODUCT(MAX(ROW(E$2:E451)*(E459=E$2:E451)))))-COUNTBLANK(OFFSET(A$1,,,SUMPRODUCT(MAX(ROW(E$1:E450)*(E459=E$1:E450))))))</f>
        <v/>
      </c>
      <c r="K459" s="26" t="str">
        <f aca="false">IF(OR(E459="",E459="!!!",F459="NEW"),"",INDEX(J$1:J450,SUMPRODUCT(MAX(ROW(E$1:E450)*(E459=E$1:E450)))))</f>
        <v/>
      </c>
      <c r="L459" s="27"/>
    </row>
    <row r="460" customFormat="false" ht="15" hidden="false" customHeight="false" outlineLevel="0" collapsed="false">
      <c r="A460" s="20" t="s">
        <v>454</v>
      </c>
      <c r="E460" s="21"/>
      <c r="F460" s="22"/>
      <c r="G460" s="23"/>
      <c r="H460" s="24"/>
      <c r="I460" s="25" t="str">
        <f aca="false">IF(OR(E460="",E460="!!!",F460="NEW"),"",INDEX(B$2:B451,-1+SUMPRODUCT(MAX(ROW(E$2:E451)*(E460=E$2:E451)))))</f>
        <v/>
      </c>
      <c r="J460" s="26" t="str">
        <f aca="true">IF(OR(E460="",E460="!!!",F460="NEW"),"",COUNTBLANK(OFFSET(A$1,,,SUMPRODUCT(MAX(ROW(E$2:E452)*(E460=E$2:E452)))))-COUNTBLANK(OFFSET(A$1,,,SUMPRODUCT(MAX(ROW(E$1:E451)*(E460=E$1:E451))))))</f>
        <v/>
      </c>
      <c r="K460" s="26" t="str">
        <f aca="false">IF(OR(E460="",E460="!!!",F460="NEW"),"",INDEX(J$1:J451,SUMPRODUCT(MAX(ROW(E$1:E451)*(E460=E$1:E451)))))</f>
        <v/>
      </c>
      <c r="L460" s="27"/>
    </row>
    <row r="461" customFormat="false" ht="15" hidden="false" customHeight="false" outlineLevel="0" collapsed="false">
      <c r="A461" s="20" t="s">
        <v>455</v>
      </c>
      <c r="E461" s="21"/>
      <c r="F461" s="22"/>
      <c r="G461" s="23"/>
      <c r="H461" s="24"/>
      <c r="I461" s="25" t="str">
        <f aca="false">IF(OR(E461="",E461="!!!",F461="NEW"),"",INDEX(B$2:B452,-1+SUMPRODUCT(MAX(ROW(E$2:E452)*(E461=E$2:E452)))))</f>
        <v/>
      </c>
      <c r="J461" s="26" t="str">
        <f aca="true">IF(OR(E461="",E461="!!!",F461="NEW"),"",COUNTBLANK(OFFSET(A$1,,,SUMPRODUCT(MAX(ROW(E$2:E453)*(E461=E$2:E453)))))-COUNTBLANK(OFFSET(A$1,,,SUMPRODUCT(MAX(ROW(E$1:E452)*(E461=E$1:E452))))))</f>
        <v/>
      </c>
      <c r="K461" s="26" t="str">
        <f aca="false">IF(OR(E461="",E461="!!!",F461="NEW"),"",INDEX(J$1:J452,SUMPRODUCT(MAX(ROW(E$1:E452)*(E461=E$1:E452)))))</f>
        <v/>
      </c>
      <c r="L461" s="27"/>
    </row>
    <row r="462" customFormat="false" ht="15" hidden="false" customHeight="false" outlineLevel="0" collapsed="false">
      <c r="A462" s="20" t="s">
        <v>260</v>
      </c>
      <c r="B462" s="28" t="s">
        <v>234</v>
      </c>
      <c r="C462" s="28" t="s">
        <v>197</v>
      </c>
      <c r="D462" s="28" t="s">
        <v>198</v>
      </c>
      <c r="E462" s="21" t="s">
        <v>456</v>
      </c>
      <c r="F462" s="22" t="s">
        <v>200</v>
      </c>
      <c r="G462" s="23" t="s">
        <v>212</v>
      </c>
      <c r="H462" s="24"/>
      <c r="I462" s="25" t="str">
        <f aca="false">IF(OR(E462="",E462="!!!",F462="NEW"),"",INDEX(B$2:B453,-1+SUMPRODUCT(MAX(ROW(E$2:E453)*(E462=E$2:E453)))))</f>
        <v/>
      </c>
      <c r="J462" s="26" t="str">
        <f aca="true">IF(OR(E462="",E462="!!!",F462="NEW"),"",COUNTBLANK(OFFSET(A$1,,,SUMPRODUCT(MAX(ROW(E$2:E454)*(E462=E$2:E454)))))-COUNTBLANK(OFFSET(A$1,,,SUMPRODUCT(MAX(ROW(E$1:E453)*(E462=E$1:E453))))))</f>
        <v/>
      </c>
      <c r="K462" s="26" t="str">
        <f aca="false">IF(OR(E462="",E462="!!!",F462="NEW"),"",INDEX(J$1:J453,SUMPRODUCT(MAX(ROW(E$1:E453)*(E462=E$1:E453)))))</f>
        <v/>
      </c>
      <c r="L462" s="27"/>
    </row>
    <row r="463" customFormat="false" ht="15" hidden="false" customHeight="false" outlineLevel="0" collapsed="false">
      <c r="A463" s="20" t="s">
        <v>244</v>
      </c>
      <c r="E463" s="21"/>
      <c r="F463" s="22"/>
      <c r="G463" s="23"/>
      <c r="H463" s="24"/>
      <c r="I463" s="25" t="str">
        <f aca="false">IF(OR(E463="",E463="!!!",F463="NEW"),"",INDEX(B$2:B454,-1+SUMPRODUCT(MAX(ROW(E$2:E454)*(E463=E$2:E454)))))</f>
        <v/>
      </c>
      <c r="J463" s="26" t="str">
        <f aca="true">IF(OR(E463="",E463="!!!",F463="NEW"),"",COUNTBLANK(OFFSET(A$1,,,SUMPRODUCT(MAX(ROW(E$2:E455)*(E463=E$2:E455)))))-COUNTBLANK(OFFSET(A$1,,,SUMPRODUCT(MAX(ROW(E$1:E454)*(E463=E$1:E454))))))</f>
        <v/>
      </c>
      <c r="K463" s="26" t="str">
        <f aca="false">IF(OR(E463="",E463="!!!",F463="NEW"),"",INDEX(J$1:J454,SUMPRODUCT(MAX(ROW(E$1:E454)*(E463=E$1:E454)))))</f>
        <v/>
      </c>
      <c r="L463" s="27"/>
    </row>
    <row r="464" customFormat="false" ht="15" hidden="false" customHeight="false" outlineLevel="0" collapsed="false">
      <c r="A464" s="20"/>
      <c r="E464" s="21"/>
      <c r="F464" s="22"/>
      <c r="G464" s="23"/>
      <c r="H464" s="24"/>
      <c r="I464" s="25" t="str">
        <f aca="false">IF(OR(E464="",E464="!!!",F464="NEW"),"",INDEX(B$2:B455,-1+SUMPRODUCT(MAX(ROW(E$2:E455)*(E464=E$2:E455)))))</f>
        <v/>
      </c>
      <c r="J464" s="26" t="str">
        <f aca="true">IF(OR(E464="",E464="!!!",F464="NEW"),"",COUNTBLANK(OFFSET(A$1,,,SUMPRODUCT(MAX(ROW(E$2:E456)*(E464=E$2:E456)))))-COUNTBLANK(OFFSET(A$1,,,SUMPRODUCT(MAX(ROW(E$1:E455)*(E464=E$1:E455))))))</f>
        <v/>
      </c>
      <c r="K464" s="26" t="str">
        <f aca="false">IF(OR(E464="",E464="!!!",F464="NEW"),"",INDEX(J$1:J455,SUMPRODUCT(MAX(ROW(E$1:E455)*(E464=E$1:E455)))))</f>
        <v/>
      </c>
      <c r="L464" s="27"/>
    </row>
    <row r="465" customFormat="false" ht="15" hidden="false" customHeight="false" outlineLevel="0" collapsed="false">
      <c r="A465" s="20" t="s">
        <v>311</v>
      </c>
      <c r="E465" s="21"/>
      <c r="F465" s="22"/>
      <c r="G465" s="23"/>
      <c r="H465" s="24"/>
      <c r="I465" s="25" t="str">
        <f aca="false">IF(OR(E465="",E465="!!!",F465="NEW"),"",INDEX(B$2:B456,-1+SUMPRODUCT(MAX(ROW(E$2:E456)*(E465=E$2:E456)))))</f>
        <v/>
      </c>
      <c r="J465" s="26" t="str">
        <f aca="true">IF(OR(E465="",E465="!!!",F465="NEW"),"",COUNTBLANK(OFFSET(A$1,,,SUMPRODUCT(MAX(ROW(E$2:E457)*(E465=E$2:E457)))))-COUNTBLANK(OFFSET(A$1,,,SUMPRODUCT(MAX(ROW(E$1:E456)*(E465=E$1:E456))))))</f>
        <v/>
      </c>
      <c r="K465" s="26" t="str">
        <f aca="false">IF(OR(E465="",E465="!!!",F465="NEW"),"",INDEX(J$1:J456,SUMPRODUCT(MAX(ROW(E$1:E456)*(E465=E$1:E456)))))</f>
        <v/>
      </c>
      <c r="L465" s="27"/>
    </row>
    <row r="466" customFormat="false" ht="15" hidden="false" customHeight="false" outlineLevel="0" collapsed="false">
      <c r="A466" s="20" t="s">
        <v>457</v>
      </c>
      <c r="E466" s="21"/>
      <c r="F466" s="22"/>
      <c r="G466" s="23"/>
      <c r="H466" s="24"/>
      <c r="I466" s="25" t="str">
        <f aca="false">IF(OR(E466="",E466="!!!",F466="NEW"),"",INDEX(B$2:B457,-1+SUMPRODUCT(MAX(ROW(E$2:E457)*(E466=E$2:E457)))))</f>
        <v/>
      </c>
      <c r="J466" s="26" t="str">
        <f aca="true">IF(OR(E466="",E466="!!!",F466="NEW"),"",COUNTBLANK(OFFSET(A$1,,,SUMPRODUCT(MAX(ROW(E$2:E458)*(E466=E$2:E458)))))-COUNTBLANK(OFFSET(A$1,,,SUMPRODUCT(MAX(ROW(E$1:E457)*(E466=E$1:E457))))))</f>
        <v/>
      </c>
      <c r="K466" s="26" t="str">
        <f aca="false">IF(OR(E466="",E466="!!!",F466="NEW"),"",INDEX(J$1:J457,SUMPRODUCT(MAX(ROW(E$1:E457)*(E466=E$1:E457)))))</f>
        <v/>
      </c>
      <c r="L466" s="27"/>
    </row>
    <row r="467" customFormat="false" ht="15" hidden="false" customHeight="false" outlineLevel="0" collapsed="false">
      <c r="A467" s="20" t="s">
        <v>266</v>
      </c>
      <c r="E467" s="21"/>
      <c r="F467" s="22"/>
      <c r="G467" s="23"/>
      <c r="H467" s="24"/>
      <c r="I467" s="25" t="str">
        <f aca="false">IF(OR(E467="",E467="!!!",F467="NEW"),"",INDEX(B$2:B458,-1+SUMPRODUCT(MAX(ROW(E$2:E458)*(E467=E$2:E458)))))</f>
        <v/>
      </c>
      <c r="J467" s="26" t="str">
        <f aca="true">IF(OR(E467="",E467="!!!",F467="NEW"),"",COUNTBLANK(OFFSET(A$1,,,SUMPRODUCT(MAX(ROW(E$2:E459)*(E467=E$2:E459)))))-COUNTBLANK(OFFSET(A$1,,,SUMPRODUCT(MAX(ROW(E$1:E458)*(E467=E$1:E458))))))</f>
        <v/>
      </c>
      <c r="K467" s="26" t="str">
        <f aca="false">IF(OR(E467="",E467="!!!",F467="NEW"),"",INDEX(J$1:J458,SUMPRODUCT(MAX(ROW(E$1:E458)*(E467=E$1:E458)))))</f>
        <v/>
      </c>
      <c r="L467" s="27"/>
    </row>
    <row r="468" customFormat="false" ht="15" hidden="false" customHeight="false" outlineLevel="0" collapsed="false">
      <c r="A468" s="20" t="s">
        <v>458</v>
      </c>
      <c r="E468" s="21"/>
      <c r="F468" s="22"/>
      <c r="G468" s="23"/>
      <c r="H468" s="24"/>
      <c r="I468" s="25" t="str">
        <f aca="false">IF(OR(E468="",E468="!!!",F468="NEW"),"",INDEX(B$2:B459,-1+SUMPRODUCT(MAX(ROW(E$2:E459)*(E468=E$2:E459)))))</f>
        <v/>
      </c>
      <c r="J468" s="26" t="str">
        <f aca="true">IF(OR(E468="",E468="!!!",F468="NEW"),"",COUNTBLANK(OFFSET(A$1,,,SUMPRODUCT(MAX(ROW(E$2:E460)*(E468=E$2:E460)))))-COUNTBLANK(OFFSET(A$1,,,SUMPRODUCT(MAX(ROW(E$1:E459)*(E468=E$1:E459))))))</f>
        <v/>
      </c>
      <c r="K468" s="26" t="str">
        <f aca="false">IF(OR(E468="",E468="!!!",F468="NEW"),"",INDEX(J$1:J459,SUMPRODUCT(MAX(ROW(E$1:E459)*(E468=E$1:E459)))))</f>
        <v/>
      </c>
      <c r="L468" s="27"/>
    </row>
    <row r="469" customFormat="false" ht="15" hidden="false" customHeight="false" outlineLevel="0" collapsed="false">
      <c r="A469" s="20" t="s">
        <v>285</v>
      </c>
      <c r="E469" s="21"/>
      <c r="F469" s="22"/>
      <c r="G469" s="23"/>
      <c r="H469" s="24"/>
      <c r="I469" s="25" t="str">
        <f aca="false">IF(OR(E469="",E469="!!!",F469="NEW"),"",INDEX(B$2:B460,-1+SUMPRODUCT(MAX(ROW(E$2:E460)*(E469=E$2:E460)))))</f>
        <v/>
      </c>
      <c r="J469" s="26" t="str">
        <f aca="true">IF(OR(E469="",E469="!!!",F469="NEW"),"",COUNTBLANK(OFFSET(A$1,,,SUMPRODUCT(MAX(ROW(E$2:E461)*(E469=E$2:E461)))))-COUNTBLANK(OFFSET(A$1,,,SUMPRODUCT(MAX(ROW(E$1:E460)*(E469=E$1:E460))))))</f>
        <v/>
      </c>
      <c r="K469" s="26" t="str">
        <f aca="false">IF(OR(E469="",E469="!!!",F469="NEW"),"",INDEX(J$1:J460,SUMPRODUCT(MAX(ROW(E$1:E460)*(E469=E$1:E460)))))</f>
        <v/>
      </c>
      <c r="L469" s="27"/>
    </row>
    <row r="470" customFormat="false" ht="15" hidden="false" customHeight="false" outlineLevel="0" collapsed="false">
      <c r="A470" s="20" t="s">
        <v>330</v>
      </c>
      <c r="B470" s="28" t="s">
        <v>222</v>
      </c>
      <c r="C470" s="28" t="s">
        <v>268</v>
      </c>
      <c r="D470" s="28" t="s">
        <v>198</v>
      </c>
      <c r="E470" s="21" t="s">
        <v>274</v>
      </c>
      <c r="F470" s="22" t="s">
        <v>226</v>
      </c>
      <c r="G470" s="23" t="s">
        <v>201</v>
      </c>
      <c r="H470" s="24"/>
      <c r="I470" s="25" t="str">
        <f aca="false">IF(OR(E470="",E470="!!!",F470="NEW"),"",INDEX(B$2:B461,-1+SUMPRODUCT(MAX(ROW(E$2:E461)*(E470=E$2:E461)))))</f>
        <v>other_2</v>
      </c>
      <c r="J470" s="26" t="n">
        <f aca="true">IF(OR(E470="",E470="!!!",F470="NEW"),"",COUNTBLANK(OFFSET(A$1,,,SUMPRODUCT(MAX(ROW(E$2:E462)*(E470=E$2:E462)))))-COUNTBLANK(OFFSET(A$1,,,SUMPRODUCT(MAX(ROW(E$1:E461)*(E470=E$1:E461))))))</f>
        <v>0</v>
      </c>
      <c r="K470" s="26" t="n">
        <f aca="false">IF(OR(E470="",E470="!!!",F470="NEW"),"",INDEX(J$1:J461,SUMPRODUCT(MAX(ROW(E$1:E461)*(E470=E$1:E461)))))</f>
        <v>0</v>
      </c>
      <c r="L470" s="27"/>
    </row>
    <row r="471" customFormat="false" ht="15" hidden="false" customHeight="false" outlineLevel="0" collapsed="false">
      <c r="A471" s="20" t="s">
        <v>459</v>
      </c>
      <c r="E471" s="21"/>
      <c r="F471" s="22"/>
      <c r="G471" s="23"/>
      <c r="H471" s="24"/>
      <c r="I471" s="25" t="str">
        <f aca="false">IF(OR(E471="",E471="!!!",F471="NEW"),"",INDEX(B$2:B462,-1+SUMPRODUCT(MAX(ROW(E$2:E462)*(E471=E$2:E462)))))</f>
        <v/>
      </c>
      <c r="J471" s="26" t="str">
        <f aca="true">IF(OR(E471="",E471="!!!",F471="NEW"),"",COUNTBLANK(OFFSET(A$1,,,SUMPRODUCT(MAX(ROW(E$2:E463)*(E471=E$2:E463)))))-COUNTBLANK(OFFSET(A$1,,,SUMPRODUCT(MAX(ROW(E$1:E462)*(E471=E$1:E462))))))</f>
        <v/>
      </c>
      <c r="K471" s="26" t="str">
        <f aca="false">IF(OR(E471="",E471="!!!",F471="NEW"),"",INDEX(J$1:J462,SUMPRODUCT(MAX(ROW(E$1:E462)*(E471=E$1:E462)))))</f>
        <v/>
      </c>
      <c r="L471" s="27"/>
    </row>
    <row r="472" customFormat="false" ht="15" hidden="false" customHeight="false" outlineLevel="0" collapsed="false">
      <c r="A472" s="20" t="s">
        <v>460</v>
      </c>
      <c r="E472" s="21"/>
      <c r="F472" s="22"/>
      <c r="G472" s="23"/>
      <c r="H472" s="24"/>
      <c r="I472" s="25" t="str">
        <f aca="false">IF(OR(E472="",E472="!!!",F472="NEW"),"",INDEX(B$2:B463,-1+SUMPRODUCT(MAX(ROW(E$2:E463)*(E472=E$2:E463)))))</f>
        <v/>
      </c>
      <c r="J472" s="26" t="str">
        <f aca="true">IF(OR(E472="",E472="!!!",F472="NEW"),"",COUNTBLANK(OFFSET(A$1,,,SUMPRODUCT(MAX(ROW(E$2:E464)*(E472=E$2:E464)))))-COUNTBLANK(OFFSET(A$1,,,SUMPRODUCT(MAX(ROW(E$1:E463)*(E472=E$1:E463))))))</f>
        <v/>
      </c>
      <c r="K472" s="26" t="str">
        <f aca="false">IF(OR(E472="",E472="!!!",F472="NEW"),"",INDEX(J$1:J463,SUMPRODUCT(MAX(ROW(E$1:E463)*(E472=E$1:E463)))))</f>
        <v/>
      </c>
      <c r="L472" s="27"/>
    </row>
    <row r="473" customFormat="false" ht="15" hidden="false" customHeight="false" outlineLevel="0" collapsed="false">
      <c r="A473" s="20" t="s">
        <v>461</v>
      </c>
      <c r="E473" s="21"/>
      <c r="F473" s="22"/>
      <c r="G473" s="23"/>
      <c r="H473" s="24"/>
      <c r="I473" s="25" t="str">
        <f aca="false">IF(OR(E473="",E473="!!!",F473="NEW"),"",INDEX(B$2:B464,-1+SUMPRODUCT(MAX(ROW(E$2:E464)*(E473=E$2:E464)))))</f>
        <v/>
      </c>
      <c r="J473" s="26" t="str">
        <f aca="true">IF(OR(E473="",E473="!!!",F473="NEW"),"",COUNTBLANK(OFFSET(A$1,,,SUMPRODUCT(MAX(ROW(E$2:E465)*(E473=E$2:E465)))))-COUNTBLANK(OFFSET(A$1,,,SUMPRODUCT(MAX(ROW(E$1:E464)*(E473=E$1:E464))))))</f>
        <v/>
      </c>
      <c r="K473" s="26" t="str">
        <f aca="false">IF(OR(E473="",E473="!!!",F473="NEW"),"",INDEX(J$1:J464,SUMPRODUCT(MAX(ROW(E$1:E464)*(E473=E$1:E464)))))</f>
        <v/>
      </c>
      <c r="L473" s="27"/>
    </row>
    <row r="474" customFormat="false" ht="15" hidden="false" customHeight="false" outlineLevel="0" collapsed="false">
      <c r="A474" s="20" t="s">
        <v>404</v>
      </c>
      <c r="E474" s="21"/>
      <c r="F474" s="22"/>
      <c r="G474" s="23"/>
      <c r="H474" s="24"/>
      <c r="I474" s="25" t="str">
        <f aca="false">IF(OR(E474="",E474="!!!",F474="NEW"),"",INDEX(B$2:B465,-1+SUMPRODUCT(MAX(ROW(E$2:E465)*(E474=E$2:E465)))))</f>
        <v/>
      </c>
      <c r="J474" s="26" t="str">
        <f aca="true">IF(OR(E474="",E474="!!!",F474="NEW"),"",COUNTBLANK(OFFSET(A$1,,,SUMPRODUCT(MAX(ROW(E$2:E466)*(E474=E$2:E466)))))-COUNTBLANK(OFFSET(A$1,,,SUMPRODUCT(MAX(ROW(E$1:E465)*(E474=E$1:E465))))))</f>
        <v/>
      </c>
      <c r="K474" s="26" t="str">
        <f aca="false">IF(OR(E474="",E474="!!!",F474="NEW"),"",INDEX(J$1:J465,SUMPRODUCT(MAX(ROW(E$1:E465)*(E474=E$1:E465)))))</f>
        <v/>
      </c>
      <c r="L474" s="27"/>
    </row>
    <row r="475" customFormat="false" ht="15" hidden="false" customHeight="false" outlineLevel="0" collapsed="false">
      <c r="A475" s="20" t="s">
        <v>204</v>
      </c>
      <c r="E475" s="21"/>
      <c r="F475" s="22"/>
      <c r="G475" s="23"/>
      <c r="H475" s="24"/>
      <c r="I475" s="25" t="str">
        <f aca="false">IF(OR(E475="",E475="!!!",F475="NEW"),"",INDEX(B$2:B466,-1+SUMPRODUCT(MAX(ROW(E$2:E466)*(E475=E$2:E466)))))</f>
        <v/>
      </c>
      <c r="J475" s="26" t="str">
        <f aca="true">IF(OR(E475="",E475="!!!",F475="NEW"),"",COUNTBLANK(OFFSET(A$1,,,SUMPRODUCT(MAX(ROW(E$2:E467)*(E475=E$2:E467)))))-COUNTBLANK(OFFSET(A$1,,,SUMPRODUCT(MAX(ROW(E$1:E466)*(E475=E$1:E466))))))</f>
        <v/>
      </c>
      <c r="K475" s="26" t="str">
        <f aca="false">IF(OR(E475="",E475="!!!",F475="NEW"),"",INDEX(J$1:J466,SUMPRODUCT(MAX(ROW(E$1:E466)*(E475=E$1:E466)))))</f>
        <v/>
      </c>
      <c r="L475" s="27"/>
    </row>
    <row r="476" customFormat="false" ht="15" hidden="false" customHeight="false" outlineLevel="0" collapsed="false">
      <c r="A476" s="20" t="s">
        <v>205</v>
      </c>
      <c r="B476" s="28" t="s">
        <v>215</v>
      </c>
      <c r="C476" s="28" t="s">
        <v>207</v>
      </c>
      <c r="D476" s="28" t="s">
        <v>198</v>
      </c>
      <c r="E476" s="21" t="s">
        <v>462</v>
      </c>
      <c r="F476" s="22" t="s">
        <v>200</v>
      </c>
      <c r="G476" s="23" t="s">
        <v>201</v>
      </c>
      <c r="H476" s="24"/>
      <c r="I476" s="25" t="str">
        <f aca="false">IF(OR(E476="",E476="!!!",F476="NEW"),"",INDEX(B$2:B467,-1+SUMPRODUCT(MAX(ROW(E$2:E467)*(E476=E$2:E467)))))</f>
        <v/>
      </c>
      <c r="J476" s="26" t="str">
        <f aca="true">IF(OR(E476="",E476="!!!",F476="NEW"),"",COUNTBLANK(OFFSET(A$1,,,SUMPRODUCT(MAX(ROW(E$2:E468)*(E476=E$2:E468)))))-COUNTBLANK(OFFSET(A$1,,,SUMPRODUCT(MAX(ROW(E$1:E467)*(E476=E$1:E467))))))</f>
        <v/>
      </c>
      <c r="K476" s="26" t="str">
        <f aca="false">IF(OR(E476="",E476="!!!",F476="NEW"),"",INDEX(J$1:J467,SUMPRODUCT(MAX(ROW(E$1:E467)*(E476=E$1:E467)))))</f>
        <v/>
      </c>
      <c r="L476" s="27"/>
    </row>
    <row r="477" customFormat="false" ht="15" hidden="false" customHeight="false" outlineLevel="0" collapsed="false">
      <c r="A477" s="20" t="s">
        <v>209</v>
      </c>
      <c r="E477" s="21"/>
      <c r="F477" s="22"/>
      <c r="G477" s="23"/>
      <c r="H477" s="24"/>
      <c r="I477" s="25" t="str">
        <f aca="false">IF(OR(E477="",E477="!!!",F477="NEW"),"",INDEX(B$2:B468,-1+SUMPRODUCT(MAX(ROW(E$2:E468)*(E477=E$2:E468)))))</f>
        <v/>
      </c>
      <c r="J477" s="26" t="str">
        <f aca="true">IF(OR(E477="",E477="!!!",F477="NEW"),"",COUNTBLANK(OFFSET(A$1,,,SUMPRODUCT(MAX(ROW(E$2:E469)*(E477=E$2:E469)))))-COUNTBLANK(OFFSET(A$1,,,SUMPRODUCT(MAX(ROW(E$1:E468)*(E477=E$1:E468))))))</f>
        <v/>
      </c>
      <c r="K477" s="26" t="str">
        <f aca="false">IF(OR(E477="",E477="!!!",F477="NEW"),"",INDEX(J$1:J468,SUMPRODUCT(MAX(ROW(E$1:E468)*(E477=E$1:E468)))))</f>
        <v/>
      </c>
      <c r="L477" s="27"/>
    </row>
    <row r="478" customFormat="false" ht="15" hidden="false" customHeight="false" outlineLevel="0" collapsed="false">
      <c r="A478" s="20" t="s">
        <v>95</v>
      </c>
      <c r="E478" s="21"/>
      <c r="F478" s="22"/>
      <c r="G478" s="23"/>
      <c r="H478" s="24"/>
      <c r="I478" s="25" t="str">
        <f aca="false">IF(OR(E478="",E478="!!!",F478="NEW"),"",INDEX(B$2:B469,-1+SUMPRODUCT(MAX(ROW(E$2:E469)*(E478=E$2:E469)))))</f>
        <v/>
      </c>
      <c r="J478" s="26" t="str">
        <f aca="true">IF(OR(E478="",E478="!!!",F478="NEW"),"",COUNTBLANK(OFFSET(A$1,,,SUMPRODUCT(MAX(ROW(E$2:E470)*(E478=E$2:E470)))))-COUNTBLANK(OFFSET(A$1,,,SUMPRODUCT(MAX(ROW(E$1:E469)*(E478=E$1:E469))))))</f>
        <v/>
      </c>
      <c r="K478" s="26" t="str">
        <f aca="false">IF(OR(E478="",E478="!!!",F478="NEW"),"",INDEX(J$1:J469,SUMPRODUCT(MAX(ROW(E$1:E469)*(E478=E$1:E469)))))</f>
        <v/>
      </c>
      <c r="L478" s="27"/>
    </row>
    <row r="479" customFormat="false" ht="15" hidden="false" customHeight="false" outlineLevel="0" collapsed="false">
      <c r="A479" s="20" t="s">
        <v>463</v>
      </c>
      <c r="B479" s="28" t="s">
        <v>250</v>
      </c>
      <c r="C479" s="28" t="s">
        <v>197</v>
      </c>
      <c r="D479" s="28" t="s">
        <v>198</v>
      </c>
      <c r="E479" s="21"/>
      <c r="F479" s="22"/>
      <c r="G479" s="23"/>
      <c r="H479" s="24"/>
      <c r="I479" s="25" t="str">
        <f aca="false">IF(OR(E479="",E479="!!!",F479="NEW"),"",INDEX(B$2:B470,-1+SUMPRODUCT(MAX(ROW(E$2:E470)*(E479=E$2:E470)))))</f>
        <v/>
      </c>
      <c r="J479" s="26" t="str">
        <f aca="true">IF(OR(E479="",E479="!!!",F479="NEW"),"",COUNTBLANK(OFFSET(A$1,,,SUMPRODUCT(MAX(ROW(E$2:E471)*(E479=E$2:E471)))))-COUNTBLANK(OFFSET(A$1,,,SUMPRODUCT(MAX(ROW(E$1:E470)*(E479=E$1:E470))))))</f>
        <v/>
      </c>
      <c r="K479" s="26" t="str">
        <f aca="false">IF(OR(E479="",E479="!!!",F479="NEW"),"",INDEX(J$1:J470,SUMPRODUCT(MAX(ROW(E$1:E470)*(E479=E$1:E470)))))</f>
        <v/>
      </c>
      <c r="L479" s="27"/>
    </row>
    <row r="480" customFormat="false" ht="15" hidden="false" customHeight="false" outlineLevel="0" collapsed="false">
      <c r="A480" s="20" t="s">
        <v>464</v>
      </c>
      <c r="E480" s="21"/>
      <c r="F480" s="22"/>
      <c r="G480" s="23"/>
      <c r="H480" s="24"/>
      <c r="I480" s="25" t="str">
        <f aca="false">IF(OR(E480="",E480="!!!",F480="NEW"),"",INDEX(B$2:B471,-1+SUMPRODUCT(MAX(ROW(E$2:E471)*(E480=E$2:E471)))))</f>
        <v/>
      </c>
      <c r="J480" s="26" t="str">
        <f aca="true">IF(OR(E480="",E480="!!!",F480="NEW"),"",COUNTBLANK(OFFSET(A$1,,,SUMPRODUCT(MAX(ROW(E$2:E472)*(E480=E$2:E472)))))-COUNTBLANK(OFFSET(A$1,,,SUMPRODUCT(MAX(ROW(E$1:E471)*(E480=E$1:E471))))))</f>
        <v/>
      </c>
      <c r="K480" s="26" t="str">
        <f aca="false">IF(OR(E480="",E480="!!!",F480="NEW"),"",INDEX(J$1:J471,SUMPRODUCT(MAX(ROW(E$1:E471)*(E480=E$1:E471)))))</f>
        <v/>
      </c>
      <c r="L480" s="27"/>
    </row>
    <row r="481" customFormat="false" ht="15" hidden="false" customHeight="false" outlineLevel="0" collapsed="false">
      <c r="A481" s="20" t="s">
        <v>225</v>
      </c>
      <c r="B481" s="28" t="s">
        <v>234</v>
      </c>
      <c r="C481" s="28" t="s">
        <v>197</v>
      </c>
      <c r="D481" s="28" t="s">
        <v>198</v>
      </c>
      <c r="E481" s="21" t="s">
        <v>199</v>
      </c>
      <c r="F481" s="22" t="s">
        <v>226</v>
      </c>
      <c r="G481" s="23" t="s">
        <v>227</v>
      </c>
      <c r="H481" s="24" t="s">
        <v>189</v>
      </c>
      <c r="I481" s="25" t="str">
        <f aca="false">IF(OR(E481="",E481="!!!",F481="NEW"),"",INDEX(B$2:B472,-1+SUMPRODUCT(MAX(ROW(E$2:E472)*(E481=E$2:E472)))))</f>
        <v>other</v>
      </c>
      <c r="J481" s="26" t="n">
        <f aca="true">IF(OR(E481="",E481="!!!",F481="NEW"),"",COUNTBLANK(OFFSET(A$1,,,SUMPRODUCT(MAX(ROW(E$2:E473)*(E481=E$2:E473)))))-COUNTBLANK(OFFSET(A$1,,,SUMPRODUCT(MAX(ROW(E$1:E472)*(E481=E$1:E472))))))</f>
        <v>0</v>
      </c>
      <c r="K481" s="26" t="n">
        <f aca="false">IF(OR(E481="",E481="!!!",F481="NEW"),"",INDEX(J$1:J472,SUMPRODUCT(MAX(ROW(E$1:E472)*(E481=E$1:E472)))))</f>
        <v>0</v>
      </c>
      <c r="L481" s="27"/>
    </row>
    <row r="482" customFormat="false" ht="15" hidden="false" customHeight="false" outlineLevel="0" collapsed="false">
      <c r="A482" s="20" t="s">
        <v>209</v>
      </c>
      <c r="E482" s="21"/>
      <c r="F482" s="22"/>
      <c r="G482" s="23"/>
      <c r="H482" s="24"/>
      <c r="I482" s="25" t="str">
        <f aca="false">IF(OR(E482="",E482="!!!",F482="NEW"),"",INDEX(B$2:B473,-1+SUMPRODUCT(MAX(ROW(E$2:E473)*(E482=E$2:E473)))))</f>
        <v/>
      </c>
      <c r="J482" s="26" t="str">
        <f aca="true">IF(OR(E482="",E482="!!!",F482="NEW"),"",COUNTBLANK(OFFSET(A$1,,,SUMPRODUCT(MAX(ROW(E$2:E474)*(E482=E$2:E474)))))-COUNTBLANK(OFFSET(A$1,,,SUMPRODUCT(MAX(ROW(E$1:E473)*(E482=E$1:E473))))))</f>
        <v/>
      </c>
      <c r="K482" s="26" t="str">
        <f aca="false">IF(OR(E482="",E482="!!!",F482="NEW"),"",INDEX(J$1:J473,SUMPRODUCT(MAX(ROW(E$1:E473)*(E482=E$1:E473)))))</f>
        <v/>
      </c>
      <c r="L482" s="27"/>
    </row>
    <row r="483" customFormat="false" ht="15" hidden="false" customHeight="false" outlineLevel="0" collapsed="false">
      <c r="A483" s="20" t="s">
        <v>285</v>
      </c>
      <c r="E483" s="21"/>
      <c r="F483" s="22"/>
      <c r="G483" s="23"/>
      <c r="H483" s="24"/>
      <c r="I483" s="25" t="str">
        <f aca="false">IF(OR(E483="",E483="!!!",F483="NEW"),"",INDEX(B$2:B474,-1+SUMPRODUCT(MAX(ROW(E$2:E474)*(E483=E$2:E474)))))</f>
        <v/>
      </c>
      <c r="J483" s="26" t="str">
        <f aca="true">IF(OR(E483="",E483="!!!",F483="NEW"),"",COUNTBLANK(OFFSET(A$1,,,SUMPRODUCT(MAX(ROW(E$2:E475)*(E483=E$2:E475)))))-COUNTBLANK(OFFSET(A$1,,,SUMPRODUCT(MAX(ROW(E$1:E474)*(E483=E$1:E474))))))</f>
        <v/>
      </c>
      <c r="K483" s="26" t="str">
        <f aca="false">IF(OR(E483="",E483="!!!",F483="NEW"),"",INDEX(J$1:J474,SUMPRODUCT(MAX(ROW(E$1:E474)*(E483=E$1:E474)))))</f>
        <v/>
      </c>
      <c r="L483" s="27"/>
    </row>
    <row r="484" customFormat="false" ht="15" hidden="false" customHeight="false" outlineLevel="0" collapsed="false">
      <c r="A484" s="20" t="s">
        <v>242</v>
      </c>
      <c r="E484" s="21"/>
      <c r="F484" s="22"/>
      <c r="G484" s="23"/>
      <c r="H484" s="24"/>
      <c r="I484" s="25" t="str">
        <f aca="false">IF(OR(E484="",E484="!!!",F484="NEW"),"",INDEX(B$2:B475,-1+SUMPRODUCT(MAX(ROW(E$2:E475)*(E484=E$2:E475)))))</f>
        <v/>
      </c>
      <c r="J484" s="26" t="str">
        <f aca="true">IF(OR(E484="",E484="!!!",F484="NEW"),"",COUNTBLANK(OFFSET(A$1,,,SUMPRODUCT(MAX(ROW(E$2:E476)*(E484=E$2:E476)))))-COUNTBLANK(OFFSET(A$1,,,SUMPRODUCT(MAX(ROW(E$1:E475)*(E484=E$1:E475))))))</f>
        <v/>
      </c>
      <c r="K484" s="26" t="str">
        <f aca="false">IF(OR(E484="",E484="!!!",F484="NEW"),"",INDEX(J$1:J475,SUMPRODUCT(MAX(ROW(E$1:E475)*(E484=E$1:E475)))))</f>
        <v/>
      </c>
      <c r="L484" s="27"/>
    </row>
    <row r="485" customFormat="false" ht="15" hidden="false" customHeight="false" outlineLevel="0" collapsed="false">
      <c r="A485" s="20" t="s">
        <v>263</v>
      </c>
      <c r="E485" s="21"/>
      <c r="F485" s="22"/>
      <c r="G485" s="23"/>
      <c r="H485" s="24"/>
      <c r="I485" s="25" t="str">
        <f aca="false">IF(OR(E485="",E485="!!!",F485="NEW"),"",INDEX(B$2:B476,-1+SUMPRODUCT(MAX(ROW(E$2:E476)*(E485=E$2:E476)))))</f>
        <v/>
      </c>
      <c r="J485" s="26" t="str">
        <f aca="true">IF(OR(E485="",E485="!!!",F485="NEW"),"",COUNTBLANK(OFFSET(A$1,,,SUMPRODUCT(MAX(ROW(E$2:E477)*(E485=E$2:E477)))))-COUNTBLANK(OFFSET(A$1,,,SUMPRODUCT(MAX(ROW(E$1:E476)*(E485=E$1:E476))))))</f>
        <v/>
      </c>
      <c r="K485" s="26" t="str">
        <f aca="false">IF(OR(E485="",E485="!!!",F485="NEW"),"",INDEX(J$1:J476,SUMPRODUCT(MAX(ROW(E$1:E476)*(E485=E$1:E476)))))</f>
        <v/>
      </c>
      <c r="L485" s="27"/>
    </row>
    <row r="486" customFormat="false" ht="15" hidden="false" customHeight="false" outlineLevel="0" collapsed="false">
      <c r="A486" s="20" t="s">
        <v>252</v>
      </c>
      <c r="E486" s="21"/>
      <c r="F486" s="22"/>
      <c r="G486" s="23"/>
      <c r="H486" s="24"/>
      <c r="I486" s="25" t="str">
        <f aca="false">IF(OR(E486="",E486="!!!",F486="NEW"),"",INDEX(B$2:B477,-1+SUMPRODUCT(MAX(ROW(E$2:E477)*(E486=E$2:E477)))))</f>
        <v/>
      </c>
      <c r="J486" s="26" t="str">
        <f aca="true">IF(OR(E486="",E486="!!!",F486="NEW"),"",COUNTBLANK(OFFSET(A$1,,,SUMPRODUCT(MAX(ROW(E$2:E478)*(E486=E$2:E478)))))-COUNTBLANK(OFFSET(A$1,,,SUMPRODUCT(MAX(ROW(E$1:E477)*(E486=E$1:E477))))))</f>
        <v/>
      </c>
      <c r="K486" s="26" t="str">
        <f aca="false">IF(OR(E486="",E486="!!!",F486="NEW"),"",INDEX(J$1:J477,SUMPRODUCT(MAX(ROW(E$1:E477)*(E486=E$1:E477)))))</f>
        <v/>
      </c>
      <c r="L486" s="27"/>
    </row>
    <row r="487" customFormat="false" ht="15" hidden="false" customHeight="false" outlineLevel="0" collapsed="false">
      <c r="A487" s="20" t="s">
        <v>195</v>
      </c>
      <c r="B487" s="28" t="s">
        <v>222</v>
      </c>
      <c r="C487" s="28" t="s">
        <v>197</v>
      </c>
      <c r="D487" s="28" t="s">
        <v>198</v>
      </c>
      <c r="E487" s="21" t="s">
        <v>199</v>
      </c>
      <c r="F487" s="22" t="s">
        <v>226</v>
      </c>
      <c r="G487" s="23" t="s">
        <v>227</v>
      </c>
      <c r="H487" s="24"/>
      <c r="I487" s="25" t="str">
        <f aca="false">IF(OR(E487="",E487="!!!",F487="NEW"),"",INDEX(B$2:B478,-1+SUMPRODUCT(MAX(ROW(E$2:E478)*(E487=E$2:E478)))))</f>
        <v>other</v>
      </c>
      <c r="J487" s="26" t="n">
        <f aca="true">IF(OR(E487="",E487="!!!",F487="NEW"),"",COUNTBLANK(OFFSET(A$1,,,SUMPRODUCT(MAX(ROW(E$2:E479)*(E487=E$2:E479)))))-COUNTBLANK(OFFSET(A$1,,,SUMPRODUCT(MAX(ROW(E$1:E478)*(E487=E$1:E478))))))</f>
        <v>0</v>
      </c>
      <c r="K487" s="26" t="n">
        <f aca="false">IF(OR(E487="",E487="!!!",F487="NEW"),"",INDEX(J$1:J478,SUMPRODUCT(MAX(ROW(E$1:E478)*(E487=E$1:E478)))))</f>
        <v>0</v>
      </c>
      <c r="L487" s="27"/>
    </row>
    <row r="488" customFormat="false" ht="15" hidden="false" customHeight="false" outlineLevel="0" collapsed="false">
      <c r="A488" s="20" t="s">
        <v>60</v>
      </c>
      <c r="E488" s="21"/>
      <c r="F488" s="22"/>
      <c r="G488" s="23"/>
      <c r="H488" s="24"/>
      <c r="I488" s="25" t="str">
        <f aca="false">IF(OR(E488="",E488="!!!",F488="NEW"),"",INDEX(B$2:B479,-1+SUMPRODUCT(MAX(ROW(E$2:E479)*(E488=E$2:E479)))))</f>
        <v/>
      </c>
      <c r="J488" s="26" t="str">
        <f aca="true">IF(OR(E488="",E488="!!!",F488="NEW"),"",COUNTBLANK(OFFSET(A$1,,,SUMPRODUCT(MAX(ROW(E$2:E480)*(E488=E$2:E480)))))-COUNTBLANK(OFFSET(A$1,,,SUMPRODUCT(MAX(ROW(E$1:E479)*(E488=E$1:E479))))))</f>
        <v/>
      </c>
      <c r="K488" s="26" t="str">
        <f aca="false">IF(OR(E488="",E488="!!!",F488="NEW"),"",INDEX(J$1:J479,SUMPRODUCT(MAX(ROW(E$1:E479)*(E488=E$1:E479)))))</f>
        <v/>
      </c>
      <c r="L488" s="27"/>
    </row>
    <row r="489" customFormat="false" ht="15" hidden="false" customHeight="false" outlineLevel="0" collapsed="false">
      <c r="A489" s="20" t="s">
        <v>454</v>
      </c>
      <c r="E489" s="21"/>
      <c r="F489" s="22"/>
      <c r="G489" s="23"/>
      <c r="H489" s="24"/>
      <c r="I489" s="25" t="str">
        <f aca="false">IF(OR(E489="",E489="!!!",F489="NEW"),"",INDEX(B$2:B480,-1+SUMPRODUCT(MAX(ROW(E$2:E480)*(E489=E$2:E480)))))</f>
        <v/>
      </c>
      <c r="J489" s="26" t="str">
        <f aca="true">IF(OR(E489="",E489="!!!",F489="NEW"),"",COUNTBLANK(OFFSET(A$1,,,SUMPRODUCT(MAX(ROW(E$2:E481)*(E489=E$2:E481)))))-COUNTBLANK(OFFSET(A$1,,,SUMPRODUCT(MAX(ROW(E$1:E480)*(E489=E$1:E480))))))</f>
        <v/>
      </c>
      <c r="K489" s="26" t="str">
        <f aca="false">IF(OR(E489="",E489="!!!",F489="NEW"),"",INDEX(J$1:J480,SUMPRODUCT(MAX(ROW(E$1:E480)*(E489=E$1:E480)))))</f>
        <v/>
      </c>
      <c r="L489" s="27"/>
    </row>
    <row r="490" customFormat="false" ht="15" hidden="false" customHeight="false" outlineLevel="0" collapsed="false">
      <c r="A490" s="20" t="s">
        <v>13</v>
      </c>
      <c r="E490" s="21"/>
      <c r="F490" s="22"/>
      <c r="G490" s="23"/>
      <c r="H490" s="24"/>
      <c r="I490" s="25" t="str">
        <f aca="false">IF(OR(E490="",E490="!!!",F490="NEW"),"",INDEX(B$2:B481,-1+SUMPRODUCT(MAX(ROW(E$2:E481)*(E490=E$2:E481)))))</f>
        <v/>
      </c>
      <c r="J490" s="26" t="str">
        <f aca="true">IF(OR(E490="",E490="!!!",F490="NEW"),"",COUNTBLANK(OFFSET(A$1,,,SUMPRODUCT(MAX(ROW(E$2:E482)*(E490=E$2:E482)))))-COUNTBLANK(OFFSET(A$1,,,SUMPRODUCT(MAX(ROW(E$1:E481)*(E490=E$1:E481))))))</f>
        <v/>
      </c>
      <c r="K490" s="26" t="str">
        <f aca="false">IF(OR(E490="",E490="!!!",F490="NEW"),"",INDEX(J$1:J481,SUMPRODUCT(MAX(ROW(E$1:E481)*(E490=E$1:E481)))))</f>
        <v/>
      </c>
      <c r="L490" s="27"/>
    </row>
    <row r="491" customFormat="false" ht="15" hidden="false" customHeight="false" outlineLevel="0" collapsed="false">
      <c r="A491" s="20" t="s">
        <v>203</v>
      </c>
      <c r="E491" s="21"/>
      <c r="F491" s="22"/>
      <c r="G491" s="23"/>
      <c r="H491" s="24"/>
      <c r="I491" s="25" t="str">
        <f aca="false">IF(OR(E491="",E491="!!!",F491="NEW"),"",INDEX(B$2:B482,-1+SUMPRODUCT(MAX(ROW(E$2:E482)*(E491=E$2:E482)))))</f>
        <v/>
      </c>
      <c r="J491" s="26" t="str">
        <f aca="true">IF(OR(E491="",E491="!!!",F491="NEW"),"",COUNTBLANK(OFFSET(A$1,,,SUMPRODUCT(MAX(ROW(E$2:E483)*(E491=E$2:E483)))))-COUNTBLANK(OFFSET(A$1,,,SUMPRODUCT(MAX(ROW(E$1:E482)*(E491=E$1:E482))))))</f>
        <v/>
      </c>
      <c r="K491" s="26" t="str">
        <f aca="false">IF(OR(E491="",E491="!!!",F491="NEW"),"",INDEX(J$1:J482,SUMPRODUCT(MAX(ROW(E$1:E482)*(E491=E$1:E482)))))</f>
        <v/>
      </c>
      <c r="L491" s="27"/>
    </row>
    <row r="492" customFormat="false" ht="15" hidden="false" customHeight="false" outlineLevel="0" collapsed="false">
      <c r="A492" s="20" t="s">
        <v>465</v>
      </c>
      <c r="B492" s="28" t="s">
        <v>215</v>
      </c>
      <c r="C492" s="28" t="s">
        <v>466</v>
      </c>
      <c r="E492" s="21"/>
      <c r="F492" s="22"/>
      <c r="G492" s="23"/>
      <c r="H492" s="24"/>
      <c r="I492" s="25" t="str">
        <f aca="false">IF(OR(E492="",E492="!!!",F492="NEW"),"",INDEX(B$2:B483,-1+SUMPRODUCT(MAX(ROW(E$2:E483)*(E492=E$2:E483)))))</f>
        <v/>
      </c>
      <c r="J492" s="26" t="str">
        <f aca="true">IF(OR(E492="",E492="!!!",F492="NEW"),"",COUNTBLANK(OFFSET(A$1,,,SUMPRODUCT(MAX(ROW(E$2:E484)*(E492=E$2:E484)))))-COUNTBLANK(OFFSET(A$1,,,SUMPRODUCT(MAX(ROW(E$1:E483)*(E492=E$1:E483))))))</f>
        <v/>
      </c>
      <c r="K492" s="26" t="str">
        <f aca="false">IF(OR(E492="",E492="!!!",F492="NEW"),"",INDEX(J$1:J483,SUMPRODUCT(MAX(ROW(E$1:E483)*(E492=E$1:E483)))))</f>
        <v/>
      </c>
      <c r="L492" s="27"/>
    </row>
    <row r="493" customFormat="false" ht="15" hidden="false" customHeight="false" outlineLevel="0" collapsed="false">
      <c r="A493" s="20" t="s">
        <v>236</v>
      </c>
      <c r="E493" s="21"/>
      <c r="F493" s="22"/>
      <c r="G493" s="23"/>
      <c r="H493" s="24"/>
      <c r="I493" s="25" t="str">
        <f aca="false">IF(OR(E493="",E493="!!!",F493="NEW"),"",INDEX(B$2:B484,-1+SUMPRODUCT(MAX(ROW(E$2:E484)*(E493=E$2:E484)))))</f>
        <v/>
      </c>
      <c r="J493" s="26" t="str">
        <f aca="true">IF(OR(E493="",E493="!!!",F493="NEW"),"",COUNTBLANK(OFFSET(A$1,,,SUMPRODUCT(MAX(ROW(E$2:E485)*(E493=E$2:E485)))))-COUNTBLANK(OFFSET(A$1,,,SUMPRODUCT(MAX(ROW(E$1:E484)*(E493=E$1:E484))))))</f>
        <v/>
      </c>
      <c r="K493" s="26" t="str">
        <f aca="false">IF(OR(E493="",E493="!!!",F493="NEW"),"",INDEX(J$1:J484,SUMPRODUCT(MAX(ROW(E$1:E484)*(E493=E$1:E484)))))</f>
        <v/>
      </c>
      <c r="L493" s="27"/>
    </row>
    <row r="494" customFormat="false" ht="15" hidden="false" customHeight="false" outlineLevel="0" collapsed="false">
      <c r="A494" s="20" t="s">
        <v>330</v>
      </c>
      <c r="E494" s="21"/>
      <c r="F494" s="22"/>
      <c r="G494" s="23"/>
      <c r="H494" s="24"/>
      <c r="I494" s="25" t="str">
        <f aca="false">IF(OR(E494="",E494="!!!",F494="NEW"),"",INDEX(B$2:B485,-1+SUMPRODUCT(MAX(ROW(E$2:E485)*(E494=E$2:E485)))))</f>
        <v/>
      </c>
      <c r="J494" s="26" t="str">
        <f aca="true">IF(OR(E494="",E494="!!!",F494="NEW"),"",COUNTBLANK(OFFSET(A$1,,,SUMPRODUCT(MAX(ROW(E$2:E486)*(E494=E$2:E486)))))-COUNTBLANK(OFFSET(A$1,,,SUMPRODUCT(MAX(ROW(E$1:E485)*(E494=E$1:E485))))))</f>
        <v/>
      </c>
      <c r="K494" s="26" t="str">
        <f aca="false">IF(OR(E494="",E494="!!!",F494="NEW"),"",INDEX(J$1:J485,SUMPRODUCT(MAX(ROW(E$1:E485)*(E494=E$1:E485)))))</f>
        <v/>
      </c>
      <c r="L494" s="27"/>
    </row>
    <row r="495" customFormat="false" ht="15" hidden="false" customHeight="false" outlineLevel="0" collapsed="false">
      <c r="A495" s="20" t="s">
        <v>327</v>
      </c>
      <c r="B495" s="28" t="s">
        <v>215</v>
      </c>
      <c r="C495" s="28" t="s">
        <v>357</v>
      </c>
      <c r="D495" s="28" t="s">
        <v>198</v>
      </c>
      <c r="E495" s="21" t="s">
        <v>237</v>
      </c>
      <c r="F495" s="22" t="s">
        <v>226</v>
      </c>
      <c r="G495" s="23" t="s">
        <v>201</v>
      </c>
      <c r="H495" s="24"/>
      <c r="I495" s="25" t="str">
        <f aca="false">IF(OR(E495="",E495="!!!",F495="NEW"),"",INDEX(B$2:B486,-1+SUMPRODUCT(MAX(ROW(E$2:E486)*(E495=E$2:E486)))))</f>
        <v>other</v>
      </c>
      <c r="J495" s="26" t="n">
        <f aca="true">IF(OR(E495="",E495="!!!",F495="NEW"),"",COUNTBLANK(OFFSET(A$1,,,SUMPRODUCT(MAX(ROW(E$2:E487)*(E495=E$2:E487)))))-COUNTBLANK(OFFSET(A$1,,,SUMPRODUCT(MAX(ROW(E$1:E486)*(E495=E$1:E486))))))</f>
        <v>0</v>
      </c>
      <c r="K495" s="26" t="n">
        <f aca="false">IF(OR(E495="",E495="!!!",F495="NEW"),"",INDEX(J$1:J486,SUMPRODUCT(MAX(ROW(E$1:E486)*(E495=E$1:E486)))))</f>
        <v>0</v>
      </c>
      <c r="L495" s="27"/>
    </row>
    <row r="496" customFormat="false" ht="15" hidden="false" customHeight="false" outlineLevel="0" collapsed="false">
      <c r="A496" s="20" t="s">
        <v>244</v>
      </c>
      <c r="E496" s="21"/>
      <c r="F496" s="22"/>
      <c r="G496" s="23"/>
      <c r="H496" s="24"/>
      <c r="I496" s="25" t="str">
        <f aca="false">IF(OR(E496="",E496="!!!",F496="NEW"),"",INDEX(B$2:B487,-1+SUMPRODUCT(MAX(ROW(E$2:E487)*(E496=E$2:E487)))))</f>
        <v/>
      </c>
      <c r="J496" s="26" t="str">
        <f aca="true">IF(OR(E496="",E496="!!!",F496="NEW"),"",COUNTBLANK(OFFSET(A$1,,,SUMPRODUCT(MAX(ROW(E$2:E488)*(E496=E$2:E488)))))-COUNTBLANK(OFFSET(A$1,,,SUMPRODUCT(MAX(ROW(E$1:E487)*(E496=E$1:E487))))))</f>
        <v/>
      </c>
      <c r="K496" s="26" t="str">
        <f aca="false">IF(OR(E496="",E496="!!!",F496="NEW"),"",INDEX(J$1:J487,SUMPRODUCT(MAX(ROW(E$1:E487)*(E496=E$1:E487)))))</f>
        <v/>
      </c>
      <c r="L496" s="27"/>
    </row>
    <row r="497" customFormat="false" ht="15" hidden="false" customHeight="false" outlineLevel="0" collapsed="false">
      <c r="A497" s="20" t="s">
        <v>320</v>
      </c>
      <c r="E497" s="21"/>
      <c r="F497" s="22"/>
      <c r="G497" s="23"/>
      <c r="H497" s="24"/>
      <c r="I497" s="25" t="str">
        <f aca="false">IF(OR(E497="",E497="!!!",F497="NEW"),"",INDEX(B$2:B488,-1+SUMPRODUCT(MAX(ROW(E$2:E488)*(E497=E$2:E488)))))</f>
        <v/>
      </c>
      <c r="J497" s="26" t="str">
        <f aca="true">IF(OR(E497="",E497="!!!",F497="NEW"),"",COUNTBLANK(OFFSET(A$1,,,SUMPRODUCT(MAX(ROW(E$2:E489)*(E497=E$2:E489)))))-COUNTBLANK(OFFSET(A$1,,,SUMPRODUCT(MAX(ROW(E$1:E488)*(E497=E$1:E488))))))</f>
        <v/>
      </c>
      <c r="K497" s="26" t="str">
        <f aca="false">IF(OR(E497="",E497="!!!",F497="NEW"),"",INDEX(J$1:J488,SUMPRODUCT(MAX(ROW(E$1:E488)*(E497=E$1:E488)))))</f>
        <v/>
      </c>
      <c r="L497" s="27"/>
    </row>
    <row r="498" customFormat="false" ht="15" hidden="false" customHeight="false" outlineLevel="0" collapsed="false">
      <c r="A498" s="20"/>
      <c r="E498" s="21"/>
      <c r="F498" s="22"/>
      <c r="G498" s="23"/>
      <c r="H498" s="24"/>
      <c r="I498" s="25" t="str">
        <f aca="false">IF(OR(E498="",E498="!!!",F498="NEW"),"",INDEX(B$2:B489,-1+SUMPRODUCT(MAX(ROW(E$2:E489)*(E498=E$2:E489)))))</f>
        <v/>
      </c>
      <c r="J498" s="26" t="str">
        <f aca="true">IF(OR(E498="",E498="!!!",F498="NEW"),"",COUNTBLANK(OFFSET(A$1,,,SUMPRODUCT(MAX(ROW(E$2:E490)*(E498=E$2:E490)))))-COUNTBLANK(OFFSET(A$1,,,SUMPRODUCT(MAX(ROW(E$1:E489)*(E498=E$1:E489))))))</f>
        <v/>
      </c>
      <c r="K498" s="26" t="str">
        <f aca="false">IF(OR(E498="",E498="!!!",F498="NEW"),"",INDEX(J$1:J489,SUMPRODUCT(MAX(ROW(E$1:E489)*(E498=E$1:E489)))))</f>
        <v/>
      </c>
      <c r="L498" s="27"/>
    </row>
    <row r="499" customFormat="false" ht="15" hidden="false" customHeight="false" outlineLevel="0" collapsed="false">
      <c r="A499" s="20" t="s">
        <v>467</v>
      </c>
      <c r="E499" s="21"/>
      <c r="F499" s="22"/>
      <c r="G499" s="23"/>
      <c r="H499" s="24"/>
      <c r="I499" s="25" t="str">
        <f aca="false">IF(OR(E499="",E499="!!!",F499="NEW"),"",INDEX(B$2:B490,-1+SUMPRODUCT(MAX(ROW(E$2:E490)*(E499=E$2:E490)))))</f>
        <v/>
      </c>
      <c r="J499" s="26" t="str">
        <f aca="true">IF(OR(E499="",E499="!!!",F499="NEW"),"",COUNTBLANK(OFFSET(A$1,,,SUMPRODUCT(MAX(ROW(E$2:E491)*(E499=E$2:E491)))))-COUNTBLANK(OFFSET(A$1,,,SUMPRODUCT(MAX(ROW(E$1:E490)*(E499=E$1:E490))))))</f>
        <v/>
      </c>
      <c r="K499" s="26" t="str">
        <f aca="false">IF(OR(E499="",E499="!!!",F499="NEW"),"",INDEX(J$1:J490,SUMPRODUCT(MAX(ROW(E$1:E490)*(E499=E$1:E490)))))</f>
        <v/>
      </c>
      <c r="L499" s="27"/>
    </row>
    <row r="500" customFormat="false" ht="15" hidden="false" customHeight="false" outlineLevel="0" collapsed="false">
      <c r="A500" s="20" t="s">
        <v>246</v>
      </c>
      <c r="B500" s="28" t="s">
        <v>196</v>
      </c>
      <c r="C500" s="28" t="s">
        <v>197</v>
      </c>
      <c r="D500" s="28" t="s">
        <v>198</v>
      </c>
      <c r="E500" s="21" t="s">
        <v>314</v>
      </c>
      <c r="F500" s="22" t="s">
        <v>226</v>
      </c>
      <c r="G500" s="23" t="s">
        <v>247</v>
      </c>
      <c r="H500" s="24"/>
      <c r="I500" s="25" t="str">
        <f aca="false">IF(OR(E500="",E500="!!!",F500="NEW"),"",INDEX(B$2:B491,-1+SUMPRODUCT(MAX(ROW(E$2:E491)*(E500=E$2:E491)))))</f>
        <v>SBJ_2</v>
      </c>
      <c r="J500" s="26" t="n">
        <f aca="true">IF(OR(E500="",E500="!!!",F500="NEW"),"",COUNTBLANK(OFFSET(A$1,,,SUMPRODUCT(MAX(ROW(E$2:E492)*(E500=E$2:E492)))))-COUNTBLANK(OFFSET(A$1,,,SUMPRODUCT(MAX(ROW(E$1:E491)*(E500=E$1:E491))))))</f>
        <v>0</v>
      </c>
      <c r="K500" s="26" t="n">
        <f aca="false">IF(OR(E500="",E500="!!!",F500="NEW"),"",INDEX(J$1:J491,SUMPRODUCT(MAX(ROW(E$1:E491)*(E500=E$1:E491)))))</f>
        <v>0</v>
      </c>
      <c r="L500" s="27"/>
    </row>
    <row r="501" customFormat="false" ht="15" hidden="false" customHeight="false" outlineLevel="0" collapsed="false">
      <c r="A501" s="20" t="s">
        <v>468</v>
      </c>
      <c r="E501" s="21"/>
      <c r="F501" s="22"/>
      <c r="G501" s="23"/>
      <c r="H501" s="24"/>
      <c r="I501" s="25" t="str">
        <f aca="false">IF(OR(E501="",E501="!!!",F501="NEW"),"",INDEX(B$2:B492,-1+SUMPRODUCT(MAX(ROW(E$2:E492)*(E501=E$2:E492)))))</f>
        <v/>
      </c>
      <c r="J501" s="26" t="str">
        <f aca="true">IF(OR(E501="",E501="!!!",F501="NEW"),"",COUNTBLANK(OFFSET(A$1,,,SUMPRODUCT(MAX(ROW(E$2:E493)*(E501=E$2:E493)))))-COUNTBLANK(OFFSET(A$1,,,SUMPRODUCT(MAX(ROW(E$1:E492)*(E501=E$1:E492))))))</f>
        <v/>
      </c>
      <c r="K501" s="26" t="str">
        <f aca="false">IF(OR(E501="",E501="!!!",F501="NEW"),"",INDEX(J$1:J492,SUMPRODUCT(MAX(ROW(E$1:E492)*(E501=E$1:E492)))))</f>
        <v/>
      </c>
      <c r="L501" s="27"/>
    </row>
    <row r="502" customFormat="false" ht="15" hidden="false" customHeight="false" outlineLevel="0" collapsed="false">
      <c r="A502" s="20" t="s">
        <v>225</v>
      </c>
      <c r="B502" s="28" t="s">
        <v>250</v>
      </c>
      <c r="C502" s="28" t="s">
        <v>197</v>
      </c>
      <c r="D502" s="28" t="s">
        <v>198</v>
      </c>
      <c r="E502" s="21" t="s">
        <v>199</v>
      </c>
      <c r="F502" s="22" t="s">
        <v>226</v>
      </c>
      <c r="G502" s="23" t="s">
        <v>247</v>
      </c>
      <c r="H502" s="24"/>
      <c r="I502" s="25" t="str">
        <f aca="false">IF(OR(E502="",E502="!!!",F502="NEW"),"",INDEX(B$2:B493,-1+SUMPRODUCT(MAX(ROW(E$2:E493)*(E502=E$2:E493)))))</f>
        <v>SBJ_2</v>
      </c>
      <c r="J502" s="26" t="n">
        <f aca="true">IF(OR(E502="",E502="!!!",F502="NEW"),"",COUNTBLANK(OFFSET(A$1,,,SUMPRODUCT(MAX(ROW(E$2:E494)*(E502=E$2:E494)))))-COUNTBLANK(OFFSET(A$1,,,SUMPRODUCT(MAX(ROW(E$1:E493)*(E502=E$1:E493))))))</f>
        <v>0</v>
      </c>
      <c r="K502" s="26" t="n">
        <f aca="false">IF(OR(E502="",E502="!!!",F502="NEW"),"",INDEX(J$1:J493,SUMPRODUCT(MAX(ROW(E$1:E493)*(E502=E$1:E493)))))</f>
        <v>0</v>
      </c>
      <c r="L502" s="27"/>
    </row>
    <row r="503" customFormat="false" ht="15" hidden="false" customHeight="false" outlineLevel="0" collapsed="false">
      <c r="A503" s="20" t="s">
        <v>209</v>
      </c>
      <c r="E503" s="21"/>
      <c r="F503" s="22"/>
      <c r="G503" s="23"/>
      <c r="H503" s="24"/>
      <c r="I503" s="25" t="str">
        <f aca="false">IF(OR(E503="",E503="!!!",F503="NEW"),"",INDEX(B$2:B494,-1+SUMPRODUCT(MAX(ROW(E$2:E494)*(E503=E$2:E494)))))</f>
        <v/>
      </c>
      <c r="J503" s="26" t="str">
        <f aca="true">IF(OR(E503="",E503="!!!",F503="NEW"),"",COUNTBLANK(OFFSET(A$1,,,SUMPRODUCT(MAX(ROW(E$2:E495)*(E503=E$2:E495)))))-COUNTBLANK(OFFSET(A$1,,,SUMPRODUCT(MAX(ROW(E$1:E494)*(E503=E$1:E494))))))</f>
        <v/>
      </c>
      <c r="K503" s="26" t="str">
        <f aca="false">IF(OR(E503="",E503="!!!",F503="NEW"),"",INDEX(J$1:J494,SUMPRODUCT(MAX(ROW(E$1:E494)*(E503=E$1:E494)))))</f>
        <v/>
      </c>
      <c r="L503" s="27"/>
    </row>
    <row r="504" customFormat="false" ht="15" hidden="false" customHeight="false" outlineLevel="0" collapsed="false">
      <c r="A504" s="20" t="s">
        <v>213</v>
      </c>
      <c r="E504" s="21"/>
      <c r="F504" s="22"/>
      <c r="G504" s="23"/>
      <c r="H504" s="24"/>
      <c r="I504" s="25" t="str">
        <f aca="false">IF(OR(E504="",E504="!!!",F504="NEW"),"",INDEX(B$2:B495,-1+SUMPRODUCT(MAX(ROW(E$2:E495)*(E504=E$2:E495)))))</f>
        <v/>
      </c>
      <c r="J504" s="26" t="str">
        <f aca="true">IF(OR(E504="",E504="!!!",F504="NEW"),"",COUNTBLANK(OFFSET(A$1,,,SUMPRODUCT(MAX(ROW(E$2:E496)*(E504=E$2:E496)))))-COUNTBLANK(OFFSET(A$1,,,SUMPRODUCT(MAX(ROW(E$1:E495)*(E504=E$1:E495))))))</f>
        <v/>
      </c>
      <c r="K504" s="26" t="str">
        <f aca="false">IF(OR(E504="",E504="!!!",F504="NEW"),"",INDEX(J$1:J495,SUMPRODUCT(MAX(ROW(E$1:E495)*(E504=E$1:E495)))))</f>
        <v/>
      </c>
      <c r="L504" s="27"/>
    </row>
    <row r="505" customFormat="false" ht="15" hidden="false" customHeight="false" outlineLevel="0" collapsed="false">
      <c r="A505" s="20" t="s">
        <v>430</v>
      </c>
      <c r="E505" s="21"/>
      <c r="F505" s="22"/>
      <c r="G505" s="23"/>
      <c r="H505" s="24"/>
      <c r="I505" s="25" t="str">
        <f aca="false">IF(OR(E505="",E505="!!!",F505="NEW"),"",INDEX(B$2:B496,-1+SUMPRODUCT(MAX(ROW(E$2:E496)*(E505=E$2:E496)))))</f>
        <v/>
      </c>
      <c r="J505" s="26" t="str">
        <f aca="true">IF(OR(E505="",E505="!!!",F505="NEW"),"",COUNTBLANK(OFFSET(A$1,,,SUMPRODUCT(MAX(ROW(E$2:E497)*(E505=E$2:E497)))))-COUNTBLANK(OFFSET(A$1,,,SUMPRODUCT(MAX(ROW(E$1:E496)*(E505=E$1:E496))))))</f>
        <v/>
      </c>
      <c r="K505" s="26" t="str">
        <f aca="false">IF(OR(E505="",E505="!!!",F505="NEW"),"",INDEX(J$1:J496,SUMPRODUCT(MAX(ROW(E$1:E496)*(E505=E$1:E496)))))</f>
        <v/>
      </c>
      <c r="L505" s="27"/>
    </row>
    <row r="506" customFormat="false" ht="15" hidden="false" customHeight="false" outlineLevel="0" collapsed="false">
      <c r="A506" s="20" t="s">
        <v>225</v>
      </c>
      <c r="B506" s="28" t="s">
        <v>234</v>
      </c>
      <c r="C506" s="28" t="s">
        <v>197</v>
      </c>
      <c r="D506" s="28" t="s">
        <v>198</v>
      </c>
      <c r="E506" s="21" t="s">
        <v>199</v>
      </c>
      <c r="F506" s="22" t="s">
        <v>226</v>
      </c>
      <c r="G506" s="23" t="s">
        <v>227</v>
      </c>
      <c r="H506" s="24"/>
      <c r="I506" s="25" t="str">
        <f aca="false">IF(OR(E506="",E506="!!!",F506="NEW"),"",INDEX(B$2:B497,-1+SUMPRODUCT(MAX(ROW(E$2:E497)*(E506=E$2:E497)))))</f>
        <v>SBJ_2</v>
      </c>
      <c r="J506" s="26" t="n">
        <f aca="true">IF(OR(E506="",E506="!!!",F506="NEW"),"",COUNTBLANK(OFFSET(A$1,,,SUMPRODUCT(MAX(ROW(E$2:E498)*(E506=E$2:E498)))))-COUNTBLANK(OFFSET(A$1,,,SUMPRODUCT(MAX(ROW(E$1:E497)*(E506=E$1:E497))))))</f>
        <v>0</v>
      </c>
      <c r="K506" s="26" t="n">
        <f aca="false">IF(OR(E506="",E506="!!!",F506="NEW"),"",INDEX(J$1:J497,SUMPRODUCT(MAX(ROW(E$1:E497)*(E506=E$1:E497)))))</f>
        <v>0</v>
      </c>
      <c r="L506" s="27"/>
    </row>
    <row r="507" customFormat="false" ht="15" hidden="false" customHeight="false" outlineLevel="0" collapsed="false">
      <c r="A507" s="20" t="s">
        <v>469</v>
      </c>
      <c r="E507" s="21"/>
      <c r="F507" s="22"/>
      <c r="G507" s="23"/>
      <c r="H507" s="24"/>
      <c r="I507" s="25" t="str">
        <f aca="false">IF(OR(E507="",E507="!!!",F507="NEW"),"",INDEX(B$2:B498,-1+SUMPRODUCT(MAX(ROW(E$2:E498)*(E507=E$2:E498)))))</f>
        <v/>
      </c>
      <c r="J507" s="26" t="str">
        <f aca="true">IF(OR(E507="",E507="!!!",F507="NEW"),"",COUNTBLANK(OFFSET(A$1,,,SUMPRODUCT(MAX(ROW(E$2:E499)*(E507=E$2:E499)))))-COUNTBLANK(OFFSET(A$1,,,SUMPRODUCT(MAX(ROW(E$1:E498)*(E507=E$1:E498))))))</f>
        <v/>
      </c>
      <c r="K507" s="26" t="str">
        <f aca="false">IF(OR(E507="",E507="!!!",F507="NEW"),"",INDEX(J$1:J498,SUMPRODUCT(MAX(ROW(E$1:E498)*(E507=E$1:E498)))))</f>
        <v/>
      </c>
      <c r="L507" s="27"/>
    </row>
    <row r="508" customFormat="false" ht="15" hidden="false" customHeight="false" outlineLevel="0" collapsed="false">
      <c r="A508" s="20" t="s">
        <v>203</v>
      </c>
      <c r="E508" s="21"/>
      <c r="F508" s="22"/>
      <c r="G508" s="23"/>
      <c r="H508" s="24"/>
      <c r="I508" s="25" t="str">
        <f aca="false">IF(OR(E508="",E508="!!!",F508="NEW"),"",INDEX(B$2:B499,-1+SUMPRODUCT(MAX(ROW(E$2:E499)*(E508=E$2:E499)))))</f>
        <v/>
      </c>
      <c r="J508" s="26" t="str">
        <f aca="true">IF(OR(E508="",E508="!!!",F508="NEW"),"",COUNTBLANK(OFFSET(A$1,,,SUMPRODUCT(MAX(ROW(E$2:E500)*(E508=E$2:E500)))))-COUNTBLANK(OFFSET(A$1,,,SUMPRODUCT(MAX(ROW(E$1:E499)*(E508=E$1:E499))))))</f>
        <v/>
      </c>
      <c r="K508" s="26" t="str">
        <f aca="false">IF(OR(E508="",E508="!!!",F508="NEW"),"",INDEX(J$1:J499,SUMPRODUCT(MAX(ROW(E$1:E499)*(E508=E$1:E499)))))</f>
        <v/>
      </c>
      <c r="L508" s="27"/>
    </row>
    <row r="509" customFormat="false" ht="15" hidden="false" customHeight="false" outlineLevel="0" collapsed="false">
      <c r="A509" s="20" t="s">
        <v>13</v>
      </c>
      <c r="E509" s="21"/>
      <c r="F509" s="22"/>
      <c r="G509" s="23"/>
      <c r="H509" s="24"/>
      <c r="I509" s="25" t="str">
        <f aca="false">IF(OR(E509="",E509="!!!",F509="NEW"),"",INDEX(B$2:B500,-1+SUMPRODUCT(MAX(ROW(E$2:E500)*(E509=E$2:E500)))))</f>
        <v/>
      </c>
      <c r="J509" s="26" t="str">
        <f aca="true">IF(OR(E509="",E509="!!!",F509="NEW"),"",COUNTBLANK(OFFSET(A$1,,,SUMPRODUCT(MAX(ROW(E$2:E501)*(E509=E$2:E501)))))-COUNTBLANK(OFFSET(A$1,,,SUMPRODUCT(MAX(ROW(E$1:E500)*(E509=E$1:E500))))))</f>
        <v/>
      </c>
      <c r="K509" s="26" t="str">
        <f aca="false">IF(OR(E509="",E509="!!!",F509="NEW"),"",INDEX(J$1:J500,SUMPRODUCT(MAX(ROW(E$1:E500)*(E509=E$1:E500)))))</f>
        <v/>
      </c>
      <c r="L509" s="27"/>
    </row>
    <row r="510" customFormat="false" ht="15" hidden="false" customHeight="false" outlineLevel="0" collapsed="false">
      <c r="A510" s="20" t="s">
        <v>470</v>
      </c>
      <c r="E510" s="21"/>
      <c r="F510" s="22"/>
      <c r="G510" s="23"/>
      <c r="H510" s="24"/>
      <c r="I510" s="25" t="str">
        <f aca="false">IF(OR(E510="",E510="!!!",F510="NEW"),"",INDEX(B$2:B501,-1+SUMPRODUCT(MAX(ROW(E$2:E501)*(E510=E$2:E501)))))</f>
        <v/>
      </c>
      <c r="J510" s="26" t="str">
        <f aca="true">IF(OR(E510="",E510="!!!",F510="NEW"),"",COUNTBLANK(OFFSET(A$1,,,SUMPRODUCT(MAX(ROW(E$2:E502)*(E510=E$2:E502)))))-COUNTBLANK(OFFSET(A$1,,,SUMPRODUCT(MAX(ROW(E$1:E501)*(E510=E$1:E501))))))</f>
        <v/>
      </c>
      <c r="K510" s="26" t="str">
        <f aca="false">IF(OR(E510="",E510="!!!",F510="NEW"),"",INDEX(J$1:J501,SUMPRODUCT(MAX(ROW(E$1:E501)*(E510=E$1:E501)))))</f>
        <v/>
      </c>
      <c r="L510" s="27"/>
    </row>
    <row r="511" customFormat="false" ht="15" hidden="false" customHeight="false" outlineLevel="0" collapsed="false">
      <c r="A511" s="20" t="s">
        <v>364</v>
      </c>
      <c r="E511" s="21"/>
      <c r="F511" s="22"/>
      <c r="G511" s="23"/>
      <c r="H511" s="24"/>
      <c r="I511" s="25" t="str">
        <f aca="false">IF(OR(E511="",E511="!!!",F511="NEW"),"",INDEX(B$2:B502,-1+SUMPRODUCT(MAX(ROW(E$2:E502)*(E511=E$2:E502)))))</f>
        <v/>
      </c>
      <c r="J511" s="26" t="str">
        <f aca="true">IF(OR(E511="",E511="!!!",F511="NEW"),"",COUNTBLANK(OFFSET(A$1,,,SUMPRODUCT(MAX(ROW(E$2:E503)*(E511=E$2:E503)))))-COUNTBLANK(OFFSET(A$1,,,SUMPRODUCT(MAX(ROW(E$1:E502)*(E511=E$1:E502))))))</f>
        <v/>
      </c>
      <c r="K511" s="26" t="str">
        <f aca="false">IF(OR(E511="",E511="!!!",F511="NEW"),"",INDEX(J$1:J502,SUMPRODUCT(MAX(ROW(E$1:E502)*(E511=E$1:E502)))))</f>
        <v/>
      </c>
      <c r="L511" s="27"/>
    </row>
    <row r="512" customFormat="false" ht="15" hidden="false" customHeight="false" outlineLevel="0" collapsed="false">
      <c r="A512" s="20" t="s">
        <v>471</v>
      </c>
      <c r="E512" s="21"/>
      <c r="F512" s="22"/>
      <c r="G512" s="23"/>
      <c r="H512" s="24"/>
      <c r="I512" s="25" t="str">
        <f aca="false">IF(OR(E512="",E512="!!!",F512="NEW"),"",INDEX(B$2:B503,-1+SUMPRODUCT(MAX(ROW(E$2:E503)*(E512=E$2:E503)))))</f>
        <v/>
      </c>
      <c r="J512" s="26" t="str">
        <f aca="true">IF(OR(E512="",E512="!!!",F512="NEW"),"",COUNTBLANK(OFFSET(A$1,,,SUMPRODUCT(MAX(ROW(E$2:E504)*(E512=E$2:E504)))))-COUNTBLANK(OFFSET(A$1,,,SUMPRODUCT(MAX(ROW(E$1:E503)*(E512=E$1:E503))))))</f>
        <v/>
      </c>
      <c r="K512" s="26" t="str">
        <f aca="false">IF(OR(E512="",E512="!!!",F512="NEW"),"",INDEX(J$1:J503,SUMPRODUCT(MAX(ROW(E$1:E503)*(E512=E$1:E503)))))</f>
        <v/>
      </c>
      <c r="L512" s="27"/>
    </row>
    <row r="513" customFormat="false" ht="15" hidden="false" customHeight="false" outlineLevel="0" collapsed="false">
      <c r="A513" s="20" t="s">
        <v>472</v>
      </c>
      <c r="B513" s="28" t="s">
        <v>219</v>
      </c>
      <c r="C513" s="28" t="s">
        <v>352</v>
      </c>
      <c r="E513" s="21"/>
      <c r="F513" s="22"/>
      <c r="G513" s="23"/>
      <c r="H513" s="24"/>
      <c r="I513" s="25" t="str">
        <f aca="false">IF(OR(E513="",E513="!!!",F513="NEW"),"",INDEX(B$2:B504,-1+SUMPRODUCT(MAX(ROW(E$2:E504)*(E513=E$2:E504)))))</f>
        <v/>
      </c>
      <c r="J513" s="26" t="str">
        <f aca="true">IF(OR(E513="",E513="!!!",F513="NEW"),"",COUNTBLANK(OFFSET(A$1,,,SUMPRODUCT(MAX(ROW(E$2:E505)*(E513=E$2:E505)))))-COUNTBLANK(OFFSET(A$1,,,SUMPRODUCT(MAX(ROW(E$1:E504)*(E513=E$1:E504))))))</f>
        <v/>
      </c>
      <c r="K513" s="26" t="str">
        <f aca="false">IF(OR(E513="",E513="!!!",F513="NEW"),"",INDEX(J$1:J504,SUMPRODUCT(MAX(ROW(E$1:E504)*(E513=E$1:E504)))))</f>
        <v/>
      </c>
      <c r="L513" s="27"/>
    </row>
    <row r="514" customFormat="false" ht="15" hidden="false" customHeight="false" outlineLevel="0" collapsed="false">
      <c r="A514" s="20" t="s">
        <v>236</v>
      </c>
      <c r="E514" s="21"/>
      <c r="F514" s="22"/>
      <c r="G514" s="23"/>
      <c r="H514" s="24"/>
      <c r="I514" s="25" t="str">
        <f aca="false">IF(OR(E514="",E514="!!!",F514="NEW"),"",INDEX(B$2:B505,-1+SUMPRODUCT(MAX(ROW(E$2:E505)*(E514=E$2:E505)))))</f>
        <v/>
      </c>
      <c r="J514" s="26" t="str">
        <f aca="true">IF(OR(E514="",E514="!!!",F514="NEW"),"",COUNTBLANK(OFFSET(A$1,,,SUMPRODUCT(MAX(ROW(E$2:E506)*(E514=E$2:E506)))))-COUNTBLANK(OFFSET(A$1,,,SUMPRODUCT(MAX(ROW(E$1:E505)*(E514=E$1:E505))))))</f>
        <v/>
      </c>
      <c r="K514" s="26" t="str">
        <f aca="false">IF(OR(E514="",E514="!!!",F514="NEW"),"",INDEX(J$1:J505,SUMPRODUCT(MAX(ROW(E$1:E505)*(E514=E$1:E505)))))</f>
        <v/>
      </c>
      <c r="L514" s="27"/>
    </row>
    <row r="515" customFormat="false" ht="15" hidden="false" customHeight="false" outlineLevel="0" collapsed="false">
      <c r="A515" s="20" t="s">
        <v>204</v>
      </c>
      <c r="E515" s="21"/>
      <c r="F515" s="22"/>
      <c r="G515" s="23"/>
      <c r="H515" s="24"/>
      <c r="I515" s="25" t="str">
        <f aca="false">IF(OR(E515="",E515="!!!",F515="NEW"),"",INDEX(B$2:B506,-1+SUMPRODUCT(MAX(ROW(E$2:E506)*(E515=E$2:E506)))))</f>
        <v/>
      </c>
      <c r="J515" s="26" t="str">
        <f aca="true">IF(OR(E515="",E515="!!!",F515="NEW"),"",COUNTBLANK(OFFSET(A$1,,,SUMPRODUCT(MAX(ROW(E$2:E507)*(E515=E$2:E507)))))-COUNTBLANK(OFFSET(A$1,,,SUMPRODUCT(MAX(ROW(E$1:E506)*(E515=E$1:E506))))))</f>
        <v/>
      </c>
      <c r="K515" s="26" t="str">
        <f aca="false">IF(OR(E515="",E515="!!!",F515="NEW"),"",INDEX(J$1:J506,SUMPRODUCT(MAX(ROW(E$1:E506)*(E515=E$1:E506)))))</f>
        <v/>
      </c>
      <c r="L515" s="27"/>
    </row>
    <row r="516" customFormat="false" ht="15" hidden="false" customHeight="false" outlineLevel="0" collapsed="false">
      <c r="A516" s="20" t="s">
        <v>327</v>
      </c>
      <c r="B516" s="28" t="s">
        <v>310</v>
      </c>
      <c r="C516" s="28" t="s">
        <v>289</v>
      </c>
      <c r="D516" s="28" t="s">
        <v>198</v>
      </c>
      <c r="E516" s="21" t="s">
        <v>237</v>
      </c>
      <c r="F516" s="22" t="s">
        <v>226</v>
      </c>
      <c r="G516" s="23" t="s">
        <v>247</v>
      </c>
      <c r="H516" s="24" t="s">
        <v>189</v>
      </c>
      <c r="I516" s="25" t="str">
        <f aca="false">IF(OR(E516="",E516="!!!",F516="NEW"),"",INDEX(B$2:B507,-1+SUMPRODUCT(MAX(ROW(E$2:E507)*(E516=E$2:E507)))))</f>
        <v>other_2</v>
      </c>
      <c r="J516" s="26" t="n">
        <f aca="true">IF(OR(E516="",E516="!!!",F516="NEW"),"",COUNTBLANK(OFFSET(A$1,,,SUMPRODUCT(MAX(ROW(E$2:E508)*(E516=E$2:E508)))))-COUNTBLANK(OFFSET(A$1,,,SUMPRODUCT(MAX(ROW(E$1:E507)*(E516=E$1:E507))))))</f>
        <v>0</v>
      </c>
      <c r="K516" s="26" t="n">
        <f aca="false">IF(OR(E516="",E516="!!!",F516="NEW"),"",INDEX(J$1:J507,SUMPRODUCT(MAX(ROW(E$1:E507)*(E516=E$1:E507)))))</f>
        <v>0</v>
      </c>
      <c r="L516" s="27"/>
    </row>
    <row r="517" customFormat="false" ht="15" hidden="false" customHeight="false" outlineLevel="0" collapsed="false">
      <c r="A517" s="20" t="s">
        <v>217</v>
      </c>
      <c r="E517" s="21"/>
      <c r="F517" s="22"/>
      <c r="G517" s="23"/>
      <c r="H517" s="24"/>
      <c r="I517" s="25" t="str">
        <f aca="false">IF(OR(E517="",E517="!!!",F517="NEW"),"",INDEX(B$2:B508,-1+SUMPRODUCT(MAX(ROW(E$2:E508)*(E517=E$2:E508)))))</f>
        <v/>
      </c>
      <c r="J517" s="26" t="str">
        <f aca="true">IF(OR(E517="",E517="!!!",F517="NEW"),"",COUNTBLANK(OFFSET(A$1,,,SUMPRODUCT(MAX(ROW(E$2:E509)*(E517=E$2:E509)))))-COUNTBLANK(OFFSET(A$1,,,SUMPRODUCT(MAX(ROW(E$1:E508)*(E517=E$1:E508))))))</f>
        <v/>
      </c>
      <c r="K517" s="26" t="str">
        <f aca="false">IF(OR(E517="",E517="!!!",F517="NEW"),"",INDEX(J$1:J508,SUMPRODUCT(MAX(ROW(E$1:E508)*(E517=E$1:E508)))))</f>
        <v/>
      </c>
      <c r="L517" s="27"/>
    </row>
    <row r="518" customFormat="false" ht="15" hidden="false" customHeight="false" outlineLevel="0" collapsed="false">
      <c r="A518" s="20" t="s">
        <v>237</v>
      </c>
      <c r="B518" s="28" t="s">
        <v>365</v>
      </c>
      <c r="C518" s="28" t="s">
        <v>223</v>
      </c>
      <c r="D518" s="28" t="s">
        <v>198</v>
      </c>
      <c r="E518" s="21" t="s">
        <v>237</v>
      </c>
      <c r="F518" s="22" t="s">
        <v>226</v>
      </c>
      <c r="G518" s="23" t="s">
        <v>247</v>
      </c>
      <c r="H518" s="24"/>
      <c r="I518" s="25" t="str">
        <f aca="false">IF(OR(E518="",E518="!!!",F518="NEW"),"",INDEX(B$2:B509,-1+SUMPRODUCT(MAX(ROW(E$2:E509)*(E518=E$2:E509)))))</f>
        <v>other_2</v>
      </c>
      <c r="J518" s="26" t="n">
        <f aca="true">IF(OR(E518="",E518="!!!",F518="NEW"),"",COUNTBLANK(OFFSET(A$1,,,SUMPRODUCT(MAX(ROW(E$2:E510)*(E518=E$2:E510)))))-COUNTBLANK(OFFSET(A$1,,,SUMPRODUCT(MAX(ROW(E$1:E509)*(E518=E$1:E509))))))</f>
        <v>0</v>
      </c>
      <c r="K518" s="26" t="n">
        <f aca="false">IF(OR(E518="",E518="!!!",F518="NEW"),"",INDEX(J$1:J509,SUMPRODUCT(MAX(ROW(E$1:E509)*(E518=E$1:E509)))))</f>
        <v>0</v>
      </c>
      <c r="L518" s="27"/>
    </row>
    <row r="519" customFormat="false" ht="15" hidden="false" customHeight="false" outlineLevel="0" collapsed="false">
      <c r="A519" s="20" t="s">
        <v>244</v>
      </c>
      <c r="E519" s="21"/>
      <c r="F519" s="22"/>
      <c r="G519" s="23"/>
      <c r="H519" s="24"/>
      <c r="I519" s="25" t="str">
        <f aca="false">IF(OR(E519="",E519="!!!",F519="NEW"),"",INDEX(B$2:B510,-1+SUMPRODUCT(MAX(ROW(E$2:E510)*(E519=E$2:E510)))))</f>
        <v/>
      </c>
      <c r="J519" s="26" t="str">
        <f aca="true">IF(OR(E519="",E519="!!!",F519="NEW"),"",COUNTBLANK(OFFSET(A$1,,,SUMPRODUCT(MAX(ROW(E$2:E511)*(E519=E$2:E511)))))-COUNTBLANK(OFFSET(A$1,,,SUMPRODUCT(MAX(ROW(E$1:E510)*(E519=E$1:E510))))))</f>
        <v/>
      </c>
      <c r="K519" s="26" t="str">
        <f aca="false">IF(OR(E519="",E519="!!!",F519="NEW"),"",INDEX(J$1:J510,SUMPRODUCT(MAX(ROW(E$1:E510)*(E519=E$1:E510)))))</f>
        <v/>
      </c>
      <c r="L519" s="27"/>
    </row>
    <row r="520" customFormat="false" ht="15" hidden="false" customHeight="false" outlineLevel="0" collapsed="false">
      <c r="A520" s="20"/>
      <c r="E520" s="21"/>
      <c r="F520" s="22"/>
      <c r="G520" s="23"/>
      <c r="H520" s="24"/>
      <c r="I520" s="25" t="str">
        <f aca="false">IF(OR(E520="",E520="!!!",F520="NEW"),"",INDEX(B$2:B511,-1+SUMPRODUCT(MAX(ROW(E$2:E511)*(E520=E$2:E511)))))</f>
        <v/>
      </c>
      <c r="J520" s="26" t="str">
        <f aca="true">IF(OR(E520="",E520="!!!",F520="NEW"),"",COUNTBLANK(OFFSET(A$1,,,SUMPRODUCT(MAX(ROW(E$2:E512)*(E520=E$2:E512)))))-COUNTBLANK(OFFSET(A$1,,,SUMPRODUCT(MAX(ROW(E$1:E511)*(E520=E$1:E511))))))</f>
        <v/>
      </c>
      <c r="K520" s="26" t="str">
        <f aca="false">IF(OR(E520="",E520="!!!",F520="NEW"),"",INDEX(J$1:J511,SUMPRODUCT(MAX(ROW(E$1:E511)*(E520=E$1:E511)))))</f>
        <v/>
      </c>
      <c r="L520" s="27"/>
    </row>
    <row r="521" customFormat="false" ht="15" hidden="false" customHeight="false" outlineLevel="0" collapsed="false">
      <c r="A521" s="20" t="s">
        <v>311</v>
      </c>
      <c r="E521" s="21"/>
      <c r="F521" s="22"/>
      <c r="G521" s="23"/>
      <c r="H521" s="24"/>
      <c r="I521" s="25" t="str">
        <f aca="false">IF(OR(E521="",E521="!!!",F521="NEW"),"",INDEX(B$2:B512,-1+SUMPRODUCT(MAX(ROW(E$2:E512)*(E521=E$2:E512)))))</f>
        <v/>
      </c>
      <c r="J521" s="26" t="str">
        <f aca="true">IF(OR(E521="",E521="!!!",F521="NEW"),"",COUNTBLANK(OFFSET(A$1,,,SUMPRODUCT(MAX(ROW(E$2:E513)*(E521=E$2:E513)))))-COUNTBLANK(OFFSET(A$1,,,SUMPRODUCT(MAX(ROW(E$1:E512)*(E521=E$1:E512))))))</f>
        <v/>
      </c>
      <c r="K521" s="26" t="str">
        <f aca="false">IF(OR(E521="",E521="!!!",F521="NEW"),"",INDEX(J$1:J512,SUMPRODUCT(MAX(ROW(E$1:E512)*(E521=E$1:E512)))))</f>
        <v/>
      </c>
      <c r="L521" s="27"/>
    </row>
    <row r="522" customFormat="false" ht="15" hidden="false" customHeight="false" outlineLevel="0" collapsed="false">
      <c r="A522" s="20" t="s">
        <v>473</v>
      </c>
      <c r="E522" s="21"/>
      <c r="F522" s="22"/>
      <c r="G522" s="23"/>
      <c r="H522" s="24"/>
      <c r="I522" s="25" t="str">
        <f aca="false">IF(OR(E522="",E522="!!!",F522="NEW"),"",INDEX(B$2:B513,-1+SUMPRODUCT(MAX(ROW(E$2:E513)*(E522=E$2:E513)))))</f>
        <v/>
      </c>
      <c r="J522" s="26" t="str">
        <f aca="true">IF(OR(E522="",E522="!!!",F522="NEW"),"",COUNTBLANK(OFFSET(A$1,,,SUMPRODUCT(MAX(ROW(E$2:E514)*(E522=E$2:E514)))))-COUNTBLANK(OFFSET(A$1,,,SUMPRODUCT(MAX(ROW(E$1:E513)*(E522=E$1:E513))))))</f>
        <v/>
      </c>
      <c r="K522" s="26" t="str">
        <f aca="false">IF(OR(E522="",E522="!!!",F522="NEW"),"",INDEX(J$1:J513,SUMPRODUCT(MAX(ROW(E$1:E513)*(E522=E$1:E513)))))</f>
        <v/>
      </c>
      <c r="L522" s="27"/>
    </row>
    <row r="523" customFormat="false" ht="15" hidden="false" customHeight="false" outlineLevel="0" collapsed="false">
      <c r="A523" s="20" t="s">
        <v>266</v>
      </c>
      <c r="E523" s="21"/>
      <c r="F523" s="22"/>
      <c r="G523" s="23"/>
      <c r="H523" s="24"/>
      <c r="I523" s="25" t="str">
        <f aca="false">IF(OR(E523="",E523="!!!",F523="NEW"),"",INDEX(B$2:B514,-1+SUMPRODUCT(MAX(ROW(E$2:E514)*(E523=E$2:E514)))))</f>
        <v/>
      </c>
      <c r="J523" s="26" t="str">
        <f aca="true">IF(OR(E523="",E523="!!!",F523="NEW"),"",COUNTBLANK(OFFSET(A$1,,,SUMPRODUCT(MAX(ROW(E$2:E515)*(E523=E$2:E515)))))-COUNTBLANK(OFFSET(A$1,,,SUMPRODUCT(MAX(ROW(E$1:E514)*(E523=E$1:E514))))))</f>
        <v/>
      </c>
      <c r="K523" s="26" t="str">
        <f aca="false">IF(OR(E523="",E523="!!!",F523="NEW"),"",INDEX(J$1:J514,SUMPRODUCT(MAX(ROW(E$1:E514)*(E523=E$1:E514)))))</f>
        <v/>
      </c>
      <c r="L523" s="27"/>
    </row>
    <row r="524" customFormat="false" ht="15" hidden="false" customHeight="false" outlineLevel="0" collapsed="false">
      <c r="A524" s="20" t="s">
        <v>334</v>
      </c>
      <c r="B524" s="28" t="s">
        <v>196</v>
      </c>
      <c r="C524" s="28" t="s">
        <v>223</v>
      </c>
      <c r="D524" s="28" t="s">
        <v>198</v>
      </c>
      <c r="E524" s="21" t="s">
        <v>334</v>
      </c>
      <c r="F524" s="22" t="s">
        <v>226</v>
      </c>
      <c r="G524" s="23" t="s">
        <v>201</v>
      </c>
      <c r="H524" s="24"/>
      <c r="I524" s="25" t="str">
        <f aca="false">IF(OR(E524="",E524="!!!",F524="NEW"),"",INDEX(B$2:B515,-1+SUMPRODUCT(MAX(ROW(E$2:E515)*(E524=E$2:E515)))))</f>
        <v>other_3</v>
      </c>
      <c r="J524" s="26" t="n">
        <f aca="true">IF(OR(E524="",E524="!!!",F524="NEW"),"",COUNTBLANK(OFFSET(A$1,,,SUMPRODUCT(MAX(ROW(E$2:E516)*(E524=E$2:E516)))))-COUNTBLANK(OFFSET(A$1,,,SUMPRODUCT(MAX(ROW(E$1:E515)*(E524=E$1:E515))))))</f>
        <v>0</v>
      </c>
      <c r="K524" s="26" t="n">
        <f aca="false">IF(OR(E524="",E524="!!!",F524="NEW"),"",INDEX(J$1:J515,SUMPRODUCT(MAX(ROW(E$1:E515)*(E524=E$1:E515)))))</f>
        <v>0</v>
      </c>
      <c r="L524" s="27"/>
    </row>
    <row r="525" customFormat="false" ht="15" hidden="false" customHeight="false" outlineLevel="0" collapsed="false">
      <c r="A525" s="20" t="s">
        <v>213</v>
      </c>
      <c r="E525" s="21"/>
      <c r="F525" s="22"/>
      <c r="G525" s="23"/>
      <c r="H525" s="24"/>
      <c r="I525" s="25" t="str">
        <f aca="false">IF(OR(E525="",E525="!!!",F525="NEW"),"",INDEX(B$2:B516,-1+SUMPRODUCT(MAX(ROW(E$2:E516)*(E525=E$2:E516)))))</f>
        <v/>
      </c>
      <c r="J525" s="26" t="str">
        <f aca="true">IF(OR(E525="",E525="!!!",F525="NEW"),"",COUNTBLANK(OFFSET(A$1,,,SUMPRODUCT(MAX(ROW(E$2:E517)*(E525=E$2:E517)))))-COUNTBLANK(OFFSET(A$1,,,SUMPRODUCT(MAX(ROW(E$1:E516)*(E525=E$1:E516))))))</f>
        <v/>
      </c>
      <c r="K525" s="26" t="str">
        <f aca="false">IF(OR(E525="",E525="!!!",F525="NEW"),"",INDEX(J$1:J516,SUMPRODUCT(MAX(ROW(E$1:E516)*(E525=E$1:E516)))))</f>
        <v/>
      </c>
      <c r="L525" s="27"/>
    </row>
    <row r="526" customFormat="false" ht="15" hidden="false" customHeight="false" outlineLevel="0" collapsed="false">
      <c r="A526" s="20" t="s">
        <v>306</v>
      </c>
      <c r="B526" s="28" t="s">
        <v>215</v>
      </c>
      <c r="C526" s="28" t="s">
        <v>223</v>
      </c>
      <c r="D526" s="28" t="s">
        <v>198</v>
      </c>
      <c r="E526" s="21" t="s">
        <v>306</v>
      </c>
      <c r="F526" s="22" t="s">
        <v>226</v>
      </c>
      <c r="G526" s="23" t="s">
        <v>201</v>
      </c>
      <c r="H526" s="24"/>
      <c r="I526" s="25" t="str">
        <f aca="false">IF(OR(E526="",E526="!!!",F526="NEW"),"",INDEX(B$2:B517,-1+SUMPRODUCT(MAX(ROW(E$2:E517)*(E526=E$2:E517)))))</f>
        <v>other_4</v>
      </c>
      <c r="J526" s="26" t="n">
        <f aca="true">IF(OR(E526="",E526="!!!",F526="NEW"),"",COUNTBLANK(OFFSET(A$1,,,SUMPRODUCT(MAX(ROW(E$2:E518)*(E526=E$2:E518)))))-COUNTBLANK(OFFSET(A$1,,,SUMPRODUCT(MAX(ROW(E$1:E517)*(E526=E$1:E517))))))</f>
        <v>0</v>
      </c>
      <c r="K526" s="26" t="n">
        <f aca="false">IF(OR(E526="",E526="!!!",F526="NEW"),"",INDEX(J$1:J517,SUMPRODUCT(MAX(ROW(E$1:E517)*(E526=E$1:E517)))))</f>
        <v>0</v>
      </c>
      <c r="L526" s="27"/>
    </row>
    <row r="527" customFormat="false" ht="15" hidden="false" customHeight="false" outlineLevel="0" collapsed="false">
      <c r="A527" s="20" t="s">
        <v>474</v>
      </c>
      <c r="E527" s="21"/>
      <c r="F527" s="22"/>
      <c r="G527" s="23"/>
      <c r="H527" s="24"/>
      <c r="I527" s="25" t="str">
        <f aca="false">IF(OR(E527="",E527="!!!",F527="NEW"),"",INDEX(B$2:B518,-1+SUMPRODUCT(MAX(ROW(E$2:E518)*(E527=E$2:E518)))))</f>
        <v/>
      </c>
      <c r="J527" s="26" t="str">
        <f aca="true">IF(OR(E527="",E527="!!!",F527="NEW"),"",COUNTBLANK(OFFSET(A$1,,,SUMPRODUCT(MAX(ROW(E$2:E519)*(E527=E$2:E519)))))-COUNTBLANK(OFFSET(A$1,,,SUMPRODUCT(MAX(ROW(E$1:E518)*(E527=E$1:E518))))))</f>
        <v/>
      </c>
      <c r="K527" s="26" t="str">
        <f aca="false">IF(OR(E527="",E527="!!!",F527="NEW"),"",INDEX(J$1:J518,SUMPRODUCT(MAX(ROW(E$1:E518)*(E527=E$1:E518)))))</f>
        <v/>
      </c>
      <c r="L527" s="27"/>
    </row>
    <row r="528" customFormat="false" ht="15" hidden="false" customHeight="false" outlineLevel="0" collapsed="false">
      <c r="A528" s="20" t="s">
        <v>225</v>
      </c>
      <c r="B528" s="28" t="s">
        <v>250</v>
      </c>
      <c r="C528" s="28" t="s">
        <v>197</v>
      </c>
      <c r="D528" s="28" t="s">
        <v>198</v>
      </c>
      <c r="E528" s="21" t="s">
        <v>314</v>
      </c>
      <c r="F528" s="22" t="s">
        <v>226</v>
      </c>
      <c r="G528" s="23" t="s">
        <v>227</v>
      </c>
      <c r="H528" s="24"/>
      <c r="I528" s="25" t="str">
        <f aca="false">IF(OR(E528="",E528="!!!",F528="NEW"),"",INDEX(B$2:B519,-1+SUMPRODUCT(MAX(ROW(E$2:E519)*(E528=E$2:E519)))))</f>
        <v>SBJ</v>
      </c>
      <c r="J528" s="26" t="n">
        <f aca="true">IF(OR(E528="",E528="!!!",F528="NEW"),"",COUNTBLANK(OFFSET(A$1,,,SUMPRODUCT(MAX(ROW(E$2:E520)*(E528=E$2:E520)))))-COUNTBLANK(OFFSET(A$1,,,SUMPRODUCT(MAX(ROW(E$1:E519)*(E528=E$1:E519))))))</f>
        <v>0</v>
      </c>
      <c r="K528" s="26" t="n">
        <f aca="false">IF(OR(E528="",E528="!!!",F528="NEW"),"",INDEX(J$1:J519,SUMPRODUCT(MAX(ROW(E$1:E519)*(E528=E$1:E519)))))</f>
        <v>0</v>
      </c>
      <c r="L528" s="27"/>
    </row>
    <row r="529" customFormat="false" ht="15" hidden="false" customHeight="false" outlineLevel="0" collapsed="false">
      <c r="A529" s="20" t="s">
        <v>209</v>
      </c>
      <c r="E529" s="21"/>
      <c r="F529" s="22"/>
      <c r="G529" s="23"/>
      <c r="H529" s="24"/>
      <c r="I529" s="25" t="str">
        <f aca="false">IF(OR(E529="",E529="!!!",F529="NEW"),"",INDEX(B$2:B520,-1+SUMPRODUCT(MAX(ROW(E$2:E520)*(E529=E$2:E520)))))</f>
        <v/>
      </c>
      <c r="J529" s="26" t="str">
        <f aca="true">IF(OR(E529="",E529="!!!",F529="NEW"),"",COUNTBLANK(OFFSET(A$1,,,SUMPRODUCT(MAX(ROW(E$2:E521)*(E529=E$2:E521)))))-COUNTBLANK(OFFSET(A$1,,,SUMPRODUCT(MAX(ROW(E$1:E520)*(E529=E$1:E520))))))</f>
        <v/>
      </c>
      <c r="K529" s="26" t="str">
        <f aca="false">IF(OR(E529="",E529="!!!",F529="NEW"),"",INDEX(J$1:J520,SUMPRODUCT(MAX(ROW(E$1:E520)*(E529=E$1:E520)))))</f>
        <v/>
      </c>
      <c r="L529" s="27"/>
    </row>
    <row r="530" customFormat="false" ht="15" hidden="false" customHeight="false" outlineLevel="0" collapsed="false">
      <c r="A530" s="20" t="s">
        <v>320</v>
      </c>
      <c r="E530" s="21"/>
      <c r="F530" s="22"/>
      <c r="G530" s="23"/>
      <c r="H530" s="24"/>
      <c r="I530" s="25" t="str">
        <f aca="false">IF(OR(E530="",E530="!!!",F530="NEW"),"",INDEX(B$2:B521,-1+SUMPRODUCT(MAX(ROW(E$2:E521)*(E530=E$2:E521)))))</f>
        <v/>
      </c>
      <c r="J530" s="26" t="str">
        <f aca="true">IF(OR(E530="",E530="!!!",F530="NEW"),"",COUNTBLANK(OFFSET(A$1,,,SUMPRODUCT(MAX(ROW(E$2:E522)*(E530=E$2:E522)))))-COUNTBLANK(OFFSET(A$1,,,SUMPRODUCT(MAX(ROW(E$1:E521)*(E530=E$1:E521))))))</f>
        <v/>
      </c>
      <c r="K530" s="26" t="str">
        <f aca="false">IF(OR(E530="",E530="!!!",F530="NEW"),"",INDEX(J$1:J521,SUMPRODUCT(MAX(ROW(E$1:E521)*(E530=E$1:E521)))))</f>
        <v/>
      </c>
      <c r="L530" s="27"/>
    </row>
    <row r="531" customFormat="false" ht="15" hidden="false" customHeight="false" outlineLevel="0" collapsed="false">
      <c r="A531" s="20" t="s">
        <v>475</v>
      </c>
      <c r="E531" s="21"/>
      <c r="F531" s="22"/>
      <c r="G531" s="23"/>
      <c r="H531" s="24"/>
      <c r="I531" s="25" t="str">
        <f aca="false">IF(OR(E531="",E531="!!!",F531="NEW"),"",INDEX(B$2:B522,-1+SUMPRODUCT(MAX(ROW(E$2:E522)*(E531=E$2:E522)))))</f>
        <v/>
      </c>
      <c r="J531" s="26" t="str">
        <f aca="true">IF(OR(E531="",E531="!!!",F531="NEW"),"",COUNTBLANK(OFFSET(A$1,,,SUMPRODUCT(MAX(ROW(E$2:E523)*(E531=E$2:E523)))))-COUNTBLANK(OFFSET(A$1,,,SUMPRODUCT(MAX(ROW(E$1:E522)*(E531=E$1:E522))))))</f>
        <v/>
      </c>
      <c r="K531" s="26" t="str">
        <f aca="false">IF(OR(E531="",E531="!!!",F531="NEW"),"",INDEX(J$1:J522,SUMPRODUCT(MAX(ROW(E$1:E522)*(E531=E$1:E522)))))</f>
        <v/>
      </c>
      <c r="L531" s="27"/>
    </row>
    <row r="532" customFormat="false" ht="15" hidden="false" customHeight="false" outlineLevel="0" collapsed="false">
      <c r="A532" s="20" t="s">
        <v>260</v>
      </c>
      <c r="B532" s="28" t="s">
        <v>222</v>
      </c>
      <c r="C532" s="28" t="s">
        <v>197</v>
      </c>
      <c r="D532" s="28" t="s">
        <v>198</v>
      </c>
      <c r="E532" s="21"/>
      <c r="F532" s="22" t="s">
        <v>261</v>
      </c>
      <c r="G532" s="23"/>
      <c r="H532" s="24"/>
      <c r="I532" s="25" t="str">
        <f aca="false">IF(OR(E532="",E532="!!!",F532="NEW"),"",INDEX(B$2:B523,-1+SUMPRODUCT(MAX(ROW(E$2:E523)*(E532=E$2:E523)))))</f>
        <v/>
      </c>
      <c r="J532" s="26" t="str">
        <f aca="true">IF(OR(E532="",E532="!!!",F532="NEW"),"",COUNTBLANK(OFFSET(A$1,,,SUMPRODUCT(MAX(ROW(E$2:E524)*(E532=E$2:E524)))))-COUNTBLANK(OFFSET(A$1,,,SUMPRODUCT(MAX(ROW(E$1:E523)*(E532=E$1:E523))))))</f>
        <v/>
      </c>
      <c r="K532" s="26" t="str">
        <f aca="false">IF(OR(E532="",E532="!!!",F532="NEW"),"",INDEX(J$1:J523,SUMPRODUCT(MAX(ROW(E$1:E523)*(E532=E$1:E523)))))</f>
        <v/>
      </c>
      <c r="L532" s="27"/>
    </row>
    <row r="533" customFormat="false" ht="15" hidden="false" customHeight="false" outlineLevel="0" collapsed="false">
      <c r="A533" s="20" t="s">
        <v>383</v>
      </c>
      <c r="E533" s="21"/>
      <c r="F533" s="22"/>
      <c r="G533" s="23"/>
      <c r="H533" s="24"/>
      <c r="I533" s="25" t="str">
        <f aca="false">IF(OR(E533="",E533="!!!",F533="NEW"),"",INDEX(B$2:B524,-1+SUMPRODUCT(MAX(ROW(E$2:E524)*(E533=E$2:E524)))))</f>
        <v/>
      </c>
      <c r="J533" s="26" t="str">
        <f aca="true">IF(OR(E533="",E533="!!!",F533="NEW"),"",COUNTBLANK(OFFSET(A$1,,,SUMPRODUCT(MAX(ROW(E$2:E525)*(E533=E$2:E525)))))-COUNTBLANK(OFFSET(A$1,,,SUMPRODUCT(MAX(ROW(E$1:E524)*(E533=E$1:E524))))))</f>
        <v/>
      </c>
      <c r="K533" s="26" t="str">
        <f aca="false">IF(OR(E533="",E533="!!!",F533="NEW"),"",INDEX(J$1:J524,SUMPRODUCT(MAX(ROW(E$1:E524)*(E533=E$1:E524)))))</f>
        <v/>
      </c>
      <c r="L533" s="27"/>
    </row>
    <row r="534" customFormat="false" ht="15" hidden="false" customHeight="false" outlineLevel="0" collapsed="false">
      <c r="A534" s="20" t="s">
        <v>476</v>
      </c>
      <c r="E534" s="21"/>
      <c r="F534" s="22"/>
      <c r="G534" s="23"/>
      <c r="H534" s="24"/>
      <c r="I534" s="25" t="str">
        <f aca="false">IF(OR(E534="",E534="!!!",F534="NEW"),"",INDEX(B$2:B525,-1+SUMPRODUCT(MAX(ROW(E$2:E525)*(E534=E$2:E525)))))</f>
        <v/>
      </c>
      <c r="J534" s="26" t="str">
        <f aca="true">IF(OR(E534="",E534="!!!",F534="NEW"),"",COUNTBLANK(OFFSET(A$1,,,SUMPRODUCT(MAX(ROW(E$2:E526)*(E534=E$2:E526)))))-COUNTBLANK(OFFSET(A$1,,,SUMPRODUCT(MAX(ROW(E$1:E525)*(E534=E$1:E525))))))</f>
        <v/>
      </c>
      <c r="K534" s="26" t="str">
        <f aca="false">IF(OR(E534="",E534="!!!",F534="NEW"),"",INDEX(J$1:J525,SUMPRODUCT(MAX(ROW(E$1:E525)*(E534=E$1:E525)))))</f>
        <v/>
      </c>
      <c r="L534" s="27"/>
    </row>
    <row r="535" customFormat="false" ht="15" hidden="false" customHeight="false" outlineLevel="0" collapsed="false">
      <c r="A535" s="20" t="s">
        <v>236</v>
      </c>
      <c r="E535" s="21"/>
      <c r="F535" s="22"/>
      <c r="G535" s="23"/>
      <c r="H535" s="24"/>
      <c r="I535" s="25" t="str">
        <f aca="false">IF(OR(E535="",E535="!!!",F535="NEW"),"",INDEX(B$2:B526,-1+SUMPRODUCT(MAX(ROW(E$2:E526)*(E535=E$2:E526)))))</f>
        <v/>
      </c>
      <c r="J535" s="26" t="str">
        <f aca="true">IF(OR(E535="",E535="!!!",F535="NEW"),"",COUNTBLANK(OFFSET(A$1,,,SUMPRODUCT(MAX(ROW(E$2:E527)*(E535=E$2:E527)))))-COUNTBLANK(OFFSET(A$1,,,SUMPRODUCT(MAX(ROW(E$1:E526)*(E535=E$1:E526))))))</f>
        <v/>
      </c>
      <c r="K535" s="26" t="str">
        <f aca="false">IF(OR(E535="",E535="!!!",F535="NEW"),"",INDEX(J$1:J526,SUMPRODUCT(MAX(ROW(E$1:E526)*(E535=E$1:E526)))))</f>
        <v/>
      </c>
      <c r="L535" s="27"/>
    </row>
    <row r="536" customFormat="false" ht="15" hidden="false" customHeight="false" outlineLevel="0" collapsed="false">
      <c r="A536" s="20" t="s">
        <v>204</v>
      </c>
      <c r="E536" s="21"/>
      <c r="F536" s="22"/>
      <c r="G536" s="23"/>
      <c r="H536" s="24"/>
      <c r="I536" s="25" t="str">
        <f aca="false">IF(OR(E536="",E536="!!!",F536="NEW"),"",INDEX(B$2:B527,-1+SUMPRODUCT(MAX(ROW(E$2:E527)*(E536=E$2:E527)))))</f>
        <v/>
      </c>
      <c r="J536" s="26" t="str">
        <f aca="true">IF(OR(E536="",E536="!!!",F536="NEW"),"",COUNTBLANK(OFFSET(A$1,,,SUMPRODUCT(MAX(ROW(E$2:E528)*(E536=E$2:E528)))))-COUNTBLANK(OFFSET(A$1,,,SUMPRODUCT(MAX(ROW(E$1:E527)*(E536=E$1:E527))))))</f>
        <v/>
      </c>
      <c r="K536" s="26" t="str">
        <f aca="false">IF(OR(E536="",E536="!!!",F536="NEW"),"",INDEX(J$1:J527,SUMPRODUCT(MAX(ROW(E$1:E527)*(E536=E$1:E527)))))</f>
        <v/>
      </c>
      <c r="L536" s="27"/>
    </row>
    <row r="537" customFormat="false" ht="15" hidden="false" customHeight="false" outlineLevel="0" collapsed="false">
      <c r="A537" s="20" t="s">
        <v>477</v>
      </c>
      <c r="B537" s="28" t="s">
        <v>215</v>
      </c>
      <c r="C537" s="28" t="s">
        <v>289</v>
      </c>
      <c r="D537" s="28" t="s">
        <v>198</v>
      </c>
      <c r="E537" s="21" t="s">
        <v>478</v>
      </c>
      <c r="F537" s="22" t="s">
        <v>200</v>
      </c>
      <c r="G537" s="23" t="s">
        <v>212</v>
      </c>
      <c r="H537" s="24"/>
      <c r="I537" s="25" t="str">
        <f aca="false">IF(OR(E537="",E537="!!!",F537="NEW"),"",INDEX(B$2:B528,-1+SUMPRODUCT(MAX(ROW(E$2:E528)*(E537=E$2:E528)))))</f>
        <v/>
      </c>
      <c r="J537" s="26" t="str">
        <f aca="true">IF(OR(E537="",E537="!!!",F537="NEW"),"",COUNTBLANK(OFFSET(A$1,,,SUMPRODUCT(MAX(ROW(E$2:E529)*(E537=E$2:E529)))))-COUNTBLANK(OFFSET(A$1,,,SUMPRODUCT(MAX(ROW(E$1:E528)*(E537=E$1:E528))))))</f>
        <v/>
      </c>
      <c r="K537" s="26" t="str">
        <f aca="false">IF(OR(E537="",E537="!!!",F537="NEW"),"",INDEX(J$1:J528,SUMPRODUCT(MAX(ROW(E$1:E528)*(E537=E$1:E528)))))</f>
        <v/>
      </c>
      <c r="L537" s="27"/>
    </row>
    <row r="538" customFormat="false" ht="15" hidden="false" customHeight="false" outlineLevel="0" collapsed="false">
      <c r="A538" s="20" t="s">
        <v>217</v>
      </c>
      <c r="E538" s="21"/>
      <c r="F538" s="22"/>
      <c r="G538" s="23"/>
      <c r="H538" s="24"/>
      <c r="I538" s="25" t="str">
        <f aca="false">IF(OR(E538="",E538="!!!",F538="NEW"),"",INDEX(B$2:B529,-1+SUMPRODUCT(MAX(ROW(E$2:E529)*(E538=E$2:E529)))))</f>
        <v/>
      </c>
      <c r="J538" s="26" t="str">
        <f aca="true">IF(OR(E538="",E538="!!!",F538="NEW"),"",COUNTBLANK(OFFSET(A$1,,,SUMPRODUCT(MAX(ROW(E$2:E530)*(E538=E$2:E530)))))-COUNTBLANK(OFFSET(A$1,,,SUMPRODUCT(MAX(ROW(E$1:E529)*(E538=E$1:E529))))))</f>
        <v/>
      </c>
      <c r="K538" s="26" t="str">
        <f aca="false">IF(OR(E538="",E538="!!!",F538="NEW"),"",INDEX(J$1:J529,SUMPRODUCT(MAX(ROW(E$1:E529)*(E538=E$1:E529)))))</f>
        <v/>
      </c>
      <c r="L538" s="27"/>
    </row>
    <row r="539" customFormat="false" ht="15" hidden="false" customHeight="false" outlineLevel="0" collapsed="false">
      <c r="A539" s="20" t="s">
        <v>372</v>
      </c>
      <c r="B539" s="28" t="s">
        <v>219</v>
      </c>
      <c r="C539" s="28" t="s">
        <v>223</v>
      </c>
      <c r="D539" s="28" t="s">
        <v>198</v>
      </c>
      <c r="E539" s="21" t="s">
        <v>372</v>
      </c>
      <c r="F539" s="22" t="s">
        <v>226</v>
      </c>
      <c r="G539" s="23" t="s">
        <v>201</v>
      </c>
      <c r="H539" s="24"/>
      <c r="I539" s="25" t="str">
        <f aca="false">IF(OR(E539="",E539="!!!",F539="NEW"),"",INDEX(B$2:B530,-1+SUMPRODUCT(MAX(ROW(E$2:E530)*(E539=E$2:E530)))))</f>
        <v>SBJ_4</v>
      </c>
      <c r="J539" s="26" t="n">
        <f aca="true">IF(OR(E539="",E539="!!!",F539="NEW"),"",COUNTBLANK(OFFSET(A$1,,,SUMPRODUCT(MAX(ROW(E$2:E531)*(E539=E$2:E531)))))-COUNTBLANK(OFFSET(A$1,,,SUMPRODUCT(MAX(ROW(E$1:E530)*(E539=E$1:E530))))))</f>
        <v>0</v>
      </c>
      <c r="K539" s="26" t="str">
        <f aca="false">IF(OR(E539="",E539="!!!",F539="NEW"),"",INDEX(J$1:J530,SUMPRODUCT(MAX(ROW(E$1:E530)*(E539=E$1:E530)))))</f>
        <v/>
      </c>
      <c r="L539" s="27"/>
    </row>
    <row r="540" customFormat="false" ht="15" hidden="false" customHeight="false" outlineLevel="0" collapsed="false">
      <c r="A540" s="20" t="s">
        <v>203</v>
      </c>
      <c r="E540" s="21"/>
      <c r="F540" s="22"/>
      <c r="G540" s="23"/>
      <c r="H540" s="24"/>
      <c r="I540" s="25" t="str">
        <f aca="false">IF(OR(E540="",E540="!!!",F540="NEW"),"",INDEX(B$2:B531,-1+SUMPRODUCT(MAX(ROW(E$2:E531)*(E540=E$2:E531)))))</f>
        <v/>
      </c>
      <c r="J540" s="26" t="str">
        <f aca="true">IF(OR(E540="",E540="!!!",F540="NEW"),"",COUNTBLANK(OFFSET(A$1,,,SUMPRODUCT(MAX(ROW(E$2:E532)*(E540=E$2:E532)))))-COUNTBLANK(OFFSET(A$1,,,SUMPRODUCT(MAX(ROW(E$1:E531)*(E540=E$1:E531))))))</f>
        <v/>
      </c>
      <c r="K540" s="26" t="str">
        <f aca="false">IF(OR(E540="",E540="!!!",F540="NEW"),"",INDEX(J$1:J531,SUMPRODUCT(MAX(ROW(E$1:E531)*(E540=E$1:E531)))))</f>
        <v/>
      </c>
      <c r="L540" s="27"/>
    </row>
    <row r="541" customFormat="false" ht="15" hidden="false" customHeight="false" outlineLevel="0" collapsed="false">
      <c r="A541" s="20" t="s">
        <v>479</v>
      </c>
      <c r="E541" s="21"/>
      <c r="F541" s="22"/>
      <c r="G541" s="23"/>
      <c r="H541" s="24"/>
      <c r="I541" s="25" t="str">
        <f aca="false">IF(OR(E541="",E541="!!!",F541="NEW"),"",INDEX(B$2:B532,-1+SUMPRODUCT(MAX(ROW(E$2:E532)*(E541=E$2:E532)))))</f>
        <v/>
      </c>
      <c r="J541" s="26" t="str">
        <f aca="true">IF(OR(E541="",E541="!!!",F541="NEW"),"",COUNTBLANK(OFFSET(A$1,,,SUMPRODUCT(MAX(ROW(E$2:E533)*(E541=E$2:E533)))))-COUNTBLANK(OFFSET(A$1,,,SUMPRODUCT(MAX(ROW(E$1:E532)*(E541=E$1:E532))))))</f>
        <v/>
      </c>
      <c r="K541" s="26" t="str">
        <f aca="false">IF(OR(E541="",E541="!!!",F541="NEW"),"",INDEX(J$1:J532,SUMPRODUCT(MAX(ROW(E$1:E532)*(E541=E$1:E532)))))</f>
        <v/>
      </c>
      <c r="L541" s="27"/>
    </row>
    <row r="542" customFormat="false" ht="15" hidden="false" customHeight="false" outlineLevel="0" collapsed="false">
      <c r="A542" s="20" t="s">
        <v>203</v>
      </c>
      <c r="E542" s="21"/>
      <c r="F542" s="22"/>
      <c r="G542" s="23"/>
      <c r="H542" s="24"/>
      <c r="I542" s="25" t="str">
        <f aca="false">IF(OR(E542="",E542="!!!",F542="NEW"),"",INDEX(B$2:B533,-1+SUMPRODUCT(MAX(ROW(E$2:E533)*(E542=E$2:E533)))))</f>
        <v/>
      </c>
      <c r="J542" s="26" t="str">
        <f aca="true">IF(OR(E542="",E542="!!!",F542="NEW"),"",COUNTBLANK(OFFSET(A$1,,,SUMPRODUCT(MAX(ROW(E$2:E534)*(E542=E$2:E534)))))-COUNTBLANK(OFFSET(A$1,,,SUMPRODUCT(MAX(ROW(E$1:E533)*(E542=E$1:E533))))))</f>
        <v/>
      </c>
      <c r="K542" s="26" t="str">
        <f aca="false">IF(OR(E542="",E542="!!!",F542="NEW"),"",INDEX(J$1:J533,SUMPRODUCT(MAX(ROW(E$1:E533)*(E542=E$1:E533)))))</f>
        <v/>
      </c>
      <c r="L542" s="27"/>
    </row>
    <row r="543" customFormat="false" ht="15" hidden="false" customHeight="false" outlineLevel="0" collapsed="false">
      <c r="A543" s="20" t="s">
        <v>328</v>
      </c>
      <c r="B543" s="28" t="s">
        <v>219</v>
      </c>
      <c r="C543" s="28" t="s">
        <v>197</v>
      </c>
      <c r="D543" s="28" t="s">
        <v>198</v>
      </c>
      <c r="E543" s="21" t="s">
        <v>314</v>
      </c>
      <c r="F543" s="22" t="s">
        <v>226</v>
      </c>
      <c r="G543" s="23" t="s">
        <v>227</v>
      </c>
      <c r="H543" s="24"/>
      <c r="I543" s="25" t="str">
        <f aca="false">IF(OR(E543="",E543="!!!",F543="NEW"),"",INDEX(B$2:B534,-1+SUMPRODUCT(MAX(ROW(E$2:E534)*(E543=E$2:E534)))))</f>
        <v>OBJ</v>
      </c>
      <c r="J543" s="26" t="n">
        <f aca="true">IF(OR(E543="",E543="!!!",F543="NEW"),"",COUNTBLANK(OFFSET(A$1,,,SUMPRODUCT(MAX(ROW(E$2:E535)*(E543=E$2:E535)))))-COUNTBLANK(OFFSET(A$1,,,SUMPRODUCT(MAX(ROW(E$1:E534)*(E543=E$1:E534))))))</f>
        <v>0</v>
      </c>
      <c r="K543" s="26" t="n">
        <f aca="false">IF(OR(E543="",E543="!!!",F543="NEW"),"",INDEX(J$1:J534,SUMPRODUCT(MAX(ROW(E$1:E534)*(E543=E$1:E534)))))</f>
        <v>0</v>
      </c>
      <c r="L543" s="27"/>
    </row>
    <row r="544" customFormat="false" ht="15" hidden="false" customHeight="false" outlineLevel="0" collapsed="false">
      <c r="A544" s="20" t="s">
        <v>480</v>
      </c>
      <c r="E544" s="21"/>
      <c r="F544" s="22"/>
      <c r="G544" s="23"/>
      <c r="H544" s="24"/>
      <c r="I544" s="25" t="str">
        <f aca="false">IF(OR(E544="",E544="!!!",F544="NEW"),"",INDEX(B$2:B535,-1+SUMPRODUCT(MAX(ROW(E$2:E535)*(E544=E$2:E535)))))</f>
        <v/>
      </c>
      <c r="J544" s="26" t="str">
        <f aca="true">IF(OR(E544="",E544="!!!",F544="NEW"),"",COUNTBLANK(OFFSET(A$1,,,SUMPRODUCT(MAX(ROW(E$2:E536)*(E544=E$2:E536)))))-COUNTBLANK(OFFSET(A$1,,,SUMPRODUCT(MAX(ROW(E$1:E535)*(E544=E$1:E535))))))</f>
        <v/>
      </c>
      <c r="K544" s="26" t="str">
        <f aca="false">IF(OR(E544="",E544="!!!",F544="NEW"),"",INDEX(J$1:J535,SUMPRODUCT(MAX(ROW(E$1:E535)*(E544=E$1:E535)))))</f>
        <v/>
      </c>
      <c r="L544" s="27"/>
    </row>
    <row r="545" customFormat="false" ht="15" hidden="false" customHeight="false" outlineLevel="0" collapsed="false">
      <c r="A545" s="20" t="s">
        <v>481</v>
      </c>
      <c r="E545" s="21"/>
      <c r="F545" s="22"/>
      <c r="G545" s="23"/>
      <c r="H545" s="24"/>
      <c r="I545" s="25" t="str">
        <f aca="false">IF(OR(E545="",E545="!!!",F545="NEW"),"",INDEX(B$2:B536,-1+SUMPRODUCT(MAX(ROW(E$2:E536)*(E545=E$2:E536)))))</f>
        <v/>
      </c>
      <c r="J545" s="26" t="str">
        <f aca="true">IF(OR(E545="",E545="!!!",F545="NEW"),"",COUNTBLANK(OFFSET(A$1,,,SUMPRODUCT(MAX(ROW(E$2:E537)*(E545=E$2:E537)))))-COUNTBLANK(OFFSET(A$1,,,SUMPRODUCT(MAX(ROW(E$1:E536)*(E545=E$1:E536))))))</f>
        <v/>
      </c>
      <c r="K545" s="26" t="str">
        <f aca="false">IF(OR(E545="",E545="!!!",F545="NEW"),"",INDEX(J$1:J536,SUMPRODUCT(MAX(ROW(E$1:E536)*(E545=E$1:E536)))))</f>
        <v/>
      </c>
      <c r="L545" s="27"/>
    </row>
    <row r="546" customFormat="false" ht="15" hidden="false" customHeight="false" outlineLevel="0" collapsed="false">
      <c r="A546" s="20" t="s">
        <v>203</v>
      </c>
      <c r="E546" s="21"/>
      <c r="F546" s="22"/>
      <c r="G546" s="23"/>
      <c r="H546" s="24"/>
      <c r="I546" s="25" t="str">
        <f aca="false">IF(OR(E546="",E546="!!!",F546="NEW"),"",INDEX(B$2:B537,-1+SUMPRODUCT(MAX(ROW(E$2:E537)*(E546=E$2:E537)))))</f>
        <v/>
      </c>
      <c r="J546" s="26" t="str">
        <f aca="true">IF(OR(E546="",E546="!!!",F546="NEW"),"",COUNTBLANK(OFFSET(A$1,,,SUMPRODUCT(MAX(ROW(E$2:E538)*(E546=E$2:E538)))))-COUNTBLANK(OFFSET(A$1,,,SUMPRODUCT(MAX(ROW(E$1:E537)*(E546=E$1:E537))))))</f>
        <v/>
      </c>
      <c r="K546" s="26" t="str">
        <f aca="false">IF(OR(E546="",E546="!!!",F546="NEW"),"",INDEX(J$1:J537,SUMPRODUCT(MAX(ROW(E$1:E537)*(E546=E$1:E537)))))</f>
        <v/>
      </c>
      <c r="L546" s="27"/>
    </row>
    <row r="547" customFormat="false" ht="15" hidden="false" customHeight="false" outlineLevel="0" collapsed="false">
      <c r="A547" s="20" t="s">
        <v>372</v>
      </c>
      <c r="B547" s="28" t="s">
        <v>219</v>
      </c>
      <c r="C547" s="28" t="s">
        <v>223</v>
      </c>
      <c r="D547" s="28" t="s">
        <v>198</v>
      </c>
      <c r="E547" s="21" t="s">
        <v>372</v>
      </c>
      <c r="F547" s="22" t="s">
        <v>226</v>
      </c>
      <c r="G547" s="23" t="s">
        <v>227</v>
      </c>
      <c r="H547" s="24"/>
      <c r="I547" s="25" t="str">
        <f aca="false">IF(OR(E547="",E547="!!!",F547="NEW"),"",INDEX(B$2:B538,-1+SUMPRODUCT(MAX(ROW(E$2:E538)*(E547=E$2:E538)))))</f>
        <v>SBJ_4</v>
      </c>
      <c r="J547" s="26" t="n">
        <f aca="true">IF(OR(E547="",E547="!!!",F547="NEW"),"",COUNTBLANK(OFFSET(A$1,,,SUMPRODUCT(MAX(ROW(E$2:E539)*(E547=E$2:E539)))))-COUNTBLANK(OFFSET(A$1,,,SUMPRODUCT(MAX(ROW(E$1:E538)*(E547=E$1:E538))))))</f>
        <v>11</v>
      </c>
      <c r="K547" s="26" t="str">
        <f aca="false">IF(OR(E547="",E547="!!!",F547="NEW"),"",INDEX(J$1:J538,SUMPRODUCT(MAX(ROW(E$1:E538)*(E547=E$1:E538)))))</f>
        <v/>
      </c>
      <c r="L547" s="27"/>
    </row>
    <row r="548" customFormat="false" ht="15" hidden="false" customHeight="false" outlineLevel="0" collapsed="false">
      <c r="A548" s="20" t="s">
        <v>209</v>
      </c>
      <c r="E548" s="21"/>
      <c r="F548" s="22"/>
      <c r="G548" s="23"/>
      <c r="H548" s="24"/>
      <c r="I548" s="25" t="str">
        <f aca="false">IF(OR(E548="",E548="!!!",F548="NEW"),"",INDEX(B$2:B539,-1+SUMPRODUCT(MAX(ROW(E$2:E539)*(E548=E$2:E539)))))</f>
        <v/>
      </c>
      <c r="J548" s="26" t="str">
        <f aca="true">IF(OR(E548="",E548="!!!",F548="NEW"),"",COUNTBLANK(OFFSET(A$1,,,SUMPRODUCT(MAX(ROW(E$2:E540)*(E548=E$2:E540)))))-COUNTBLANK(OFFSET(A$1,,,SUMPRODUCT(MAX(ROW(E$1:E539)*(E548=E$1:E539))))))</f>
        <v/>
      </c>
      <c r="K548" s="26" t="str">
        <f aca="false">IF(OR(E548="",E548="!!!",F548="NEW"),"",INDEX(J$1:J539,SUMPRODUCT(MAX(ROW(E$1:E539)*(E548=E$1:E539)))))</f>
        <v/>
      </c>
      <c r="L548" s="27"/>
    </row>
    <row r="549" customFormat="false" ht="15" hidden="false" customHeight="false" outlineLevel="0" collapsed="false">
      <c r="A549" s="20" t="s">
        <v>482</v>
      </c>
      <c r="B549" s="28" t="s">
        <v>215</v>
      </c>
      <c r="C549" s="28" t="s">
        <v>251</v>
      </c>
      <c r="E549" s="21"/>
      <c r="F549" s="22"/>
      <c r="G549" s="23"/>
      <c r="H549" s="24"/>
      <c r="I549" s="25" t="str">
        <f aca="false">IF(OR(E549="",E549="!!!",F549="NEW"),"",INDEX(B$2:B540,-1+SUMPRODUCT(MAX(ROW(E$2:E540)*(E549=E$2:E540)))))</f>
        <v/>
      </c>
      <c r="J549" s="26" t="str">
        <f aca="true">IF(OR(E549="",E549="!!!",F549="NEW"),"",COUNTBLANK(OFFSET(A$1,,,SUMPRODUCT(MAX(ROW(E$2:E541)*(E549=E$2:E541)))))-COUNTBLANK(OFFSET(A$1,,,SUMPRODUCT(MAX(ROW(E$1:E540)*(E549=E$1:E540))))))</f>
        <v/>
      </c>
      <c r="K549" s="26" t="str">
        <f aca="false">IF(OR(E549="",E549="!!!",F549="NEW"),"",INDEX(J$1:J540,SUMPRODUCT(MAX(ROW(E$1:E540)*(E549=E$1:E540)))))</f>
        <v/>
      </c>
      <c r="L549" s="27"/>
    </row>
    <row r="550" customFormat="false" ht="15" hidden="false" customHeight="false" outlineLevel="0" collapsed="false">
      <c r="A550" s="20" t="s">
        <v>259</v>
      </c>
      <c r="E550" s="21"/>
      <c r="F550" s="22"/>
      <c r="G550" s="23"/>
      <c r="H550" s="24"/>
      <c r="I550" s="25" t="str">
        <f aca="false">IF(OR(E550="",E550="!!!",F550="NEW"),"",INDEX(B$2:B541,-1+SUMPRODUCT(MAX(ROW(E$2:E541)*(E550=E$2:E541)))))</f>
        <v/>
      </c>
      <c r="J550" s="26" t="str">
        <f aca="true">IF(OR(E550="",E550="!!!",F550="NEW"),"",COUNTBLANK(OFFSET(A$1,,,SUMPRODUCT(MAX(ROW(E$2:E542)*(E550=E$2:E542)))))-COUNTBLANK(OFFSET(A$1,,,SUMPRODUCT(MAX(ROW(E$1:E541)*(E550=E$1:E541))))))</f>
        <v/>
      </c>
      <c r="K550" s="26" t="str">
        <f aca="false">IF(OR(E550="",E550="!!!",F550="NEW"),"",INDEX(J$1:J541,SUMPRODUCT(MAX(ROW(E$1:E541)*(E550=E$1:E541)))))</f>
        <v/>
      </c>
      <c r="L550" s="27"/>
    </row>
    <row r="551" customFormat="false" ht="15" hidden="false" customHeight="false" outlineLevel="0" collapsed="false">
      <c r="A551" s="20" t="s">
        <v>483</v>
      </c>
      <c r="E551" s="21"/>
      <c r="F551" s="22"/>
      <c r="G551" s="23"/>
      <c r="H551" s="24"/>
      <c r="I551" s="25" t="str">
        <f aca="false">IF(OR(E551="",E551="!!!",F551="NEW"),"",INDEX(B$2:B542,-1+SUMPRODUCT(MAX(ROW(E$2:E542)*(E551=E$2:E542)))))</f>
        <v/>
      </c>
      <c r="J551" s="26" t="str">
        <f aca="true">IF(OR(E551="",E551="!!!",F551="NEW"),"",COUNTBLANK(OFFSET(A$1,,,SUMPRODUCT(MAX(ROW(E$2:E543)*(E551=E$2:E543)))))-COUNTBLANK(OFFSET(A$1,,,SUMPRODUCT(MAX(ROW(E$1:E542)*(E551=E$1:E542))))))</f>
        <v/>
      </c>
      <c r="K551" s="26" t="str">
        <f aca="false">IF(OR(E551="",E551="!!!",F551="NEW"),"",INDEX(J$1:J542,SUMPRODUCT(MAX(ROW(E$1:E542)*(E551=E$1:E542)))))</f>
        <v/>
      </c>
      <c r="L551" s="27"/>
    </row>
    <row r="552" customFormat="false" ht="15" hidden="false" customHeight="false" outlineLevel="0" collapsed="false">
      <c r="A552" s="20" t="s">
        <v>209</v>
      </c>
      <c r="E552" s="21"/>
      <c r="F552" s="22"/>
      <c r="G552" s="23"/>
      <c r="H552" s="24"/>
      <c r="I552" s="25" t="str">
        <f aca="false">IF(OR(E552="",E552="!!!",F552="NEW"),"",INDEX(B$2:B543,-1+SUMPRODUCT(MAX(ROW(E$2:E543)*(E552=E$2:E543)))))</f>
        <v/>
      </c>
      <c r="J552" s="26" t="str">
        <f aca="true">IF(OR(E552="",E552="!!!",F552="NEW"),"",COUNTBLANK(OFFSET(A$1,,,SUMPRODUCT(MAX(ROW(E$2:E544)*(E552=E$2:E544)))))-COUNTBLANK(OFFSET(A$1,,,SUMPRODUCT(MAX(ROW(E$1:E543)*(E552=E$1:E543))))))</f>
        <v/>
      </c>
      <c r="K552" s="26" t="str">
        <f aca="false">IF(OR(E552="",E552="!!!",F552="NEW"),"",INDEX(J$1:J543,SUMPRODUCT(MAX(ROW(E$1:E543)*(E552=E$1:E543)))))</f>
        <v/>
      </c>
      <c r="L552" s="27"/>
    </row>
    <row r="553" customFormat="false" ht="15" hidden="false" customHeight="false" outlineLevel="0" collapsed="false">
      <c r="A553" s="20"/>
    </row>
    <row r="554" customFormat="false" ht="15" hidden="false" customHeight="false" outlineLevel="0" collapsed="false">
      <c r="A554" s="20" t="s">
        <v>311</v>
      </c>
    </row>
    <row r="555" customFormat="false" ht="15" hidden="false" customHeight="false" outlineLevel="0" collapsed="false">
      <c r="A555" s="20" t="s">
        <v>484</v>
      </c>
    </row>
    <row r="556" customFormat="false" ht="15" hidden="false" customHeight="false" outlineLevel="0" collapsed="false">
      <c r="A556" s="20" t="s">
        <v>259</v>
      </c>
      <c r="E556" s="21"/>
      <c r="F556" s="22"/>
      <c r="G556" s="23"/>
      <c r="H556" s="24"/>
      <c r="I556" s="25" t="str">
        <f aca="false">IF(OR(E556="",E556="!!!",F556="NEW"),"",INDEX(B$2:B544,-1+SUMPRODUCT(MAX(ROW(E$2:E544)*(E556=E$2:E544)))))</f>
        <v/>
      </c>
      <c r="J556" s="26" t="str">
        <f aca="true">IF(OR(E556="",E556="!!!",F556="NEW"),"",COUNTBLANK(OFFSET(A$1,,,SUMPRODUCT(MAX(ROW(E$2:E545)*(E556=E$2:E545)))))-COUNTBLANK(OFFSET(A$1,,,SUMPRODUCT(MAX(ROW(E$1:E544)*(E556=E$1:E544))))))</f>
        <v/>
      </c>
      <c r="K556" s="26" t="str">
        <f aca="false">IF(OR(E556="",E556="!!!",F556="NEW"),"",INDEX(J$1:J544,SUMPRODUCT(MAX(ROW(E$1:E544)*(E556=E$1:E544)))))</f>
        <v/>
      </c>
      <c r="L556" s="27"/>
    </row>
    <row r="557" customFormat="false" ht="15" hidden="false" customHeight="false" outlineLevel="0" collapsed="false">
      <c r="A557" s="20" t="s">
        <v>344</v>
      </c>
      <c r="B557" s="28" t="s">
        <v>196</v>
      </c>
      <c r="C557" s="28" t="s">
        <v>197</v>
      </c>
      <c r="D557" s="28" t="s">
        <v>198</v>
      </c>
      <c r="E557" s="21" t="s">
        <v>199</v>
      </c>
      <c r="F557" s="22" t="s">
        <v>226</v>
      </c>
      <c r="G557" s="23" t="s">
        <v>247</v>
      </c>
      <c r="H557" s="24"/>
      <c r="I557" s="25" t="str">
        <f aca="false">IF(OR(E557="",E557="!!!",F557="NEW"),"",INDEX(B$2:B545,-1+SUMPRODUCT(MAX(ROW(E$2:E545)*(E557=E$2:E545)))))</f>
        <v>OBJ_2</v>
      </c>
      <c r="J557" s="26" t="n">
        <f aca="true">IF(OR(E557="",E557="!!!",F557="NEW"),"",COUNTBLANK(OFFSET(A$1,,,SUMPRODUCT(MAX(ROW(E$2:E546)*(E557=E$2:E546)))))-COUNTBLANK(OFFSET(A$1,,,SUMPRODUCT(MAX(ROW(E$1:E545)*(E557=E$1:E545))))))</f>
        <v>0</v>
      </c>
      <c r="K557" s="26" t="n">
        <f aca="false">IF(OR(E557="",E557="!!!",F557="NEW"),"",INDEX(J$1:J545,SUMPRODUCT(MAX(ROW(E$1:E545)*(E557=E$1:E545)))))</f>
        <v>0</v>
      </c>
      <c r="L557" s="27"/>
    </row>
    <row r="558" customFormat="false" ht="15" hidden="false" customHeight="false" outlineLevel="0" collapsed="false">
      <c r="A558" s="20" t="s">
        <v>453</v>
      </c>
      <c r="E558" s="21"/>
      <c r="F558" s="22"/>
      <c r="G558" s="23"/>
      <c r="H558" s="24"/>
      <c r="I558" s="25" t="str">
        <f aca="false">IF(OR(E558="",E558="!!!",F558="NEW"),"",INDEX(B$2:B546,-1+SUMPRODUCT(MAX(ROW(E$2:E546)*(E558=E$2:E546)))))</f>
        <v/>
      </c>
      <c r="J558" s="26" t="str">
        <f aca="true">IF(OR(E558="",E558="!!!",F558="NEW"),"",COUNTBLANK(OFFSET(A$1,,,SUMPRODUCT(MAX(ROW(E$2:E547)*(E558=E$2:E547)))))-COUNTBLANK(OFFSET(A$1,,,SUMPRODUCT(MAX(ROW(E$1:E546)*(E558=E$1:E546))))))</f>
        <v/>
      </c>
      <c r="K558" s="26" t="str">
        <f aca="false">IF(OR(E558="",E558="!!!",F558="NEW"),"",INDEX(J$1:J546,SUMPRODUCT(MAX(ROW(E$1:E546)*(E558=E$1:E546)))))</f>
        <v/>
      </c>
      <c r="L558" s="27"/>
    </row>
    <row r="559" customFormat="false" ht="15" hidden="false" customHeight="false" outlineLevel="0" collapsed="false">
      <c r="A559" s="20" t="s">
        <v>454</v>
      </c>
      <c r="E559" s="21"/>
      <c r="F559" s="22"/>
      <c r="G559" s="23"/>
      <c r="H559" s="24"/>
      <c r="I559" s="25" t="str">
        <f aca="false">IF(OR(E559="",E559="!!!",F559="NEW"),"",INDEX(B$2:B547,-1+SUMPRODUCT(MAX(ROW(E$2:E547)*(E559=E$2:E547)))))</f>
        <v/>
      </c>
      <c r="J559" s="26" t="str">
        <f aca="true">IF(OR(E559="",E559="!!!",F559="NEW"),"",COUNTBLANK(OFFSET(A$1,,,SUMPRODUCT(MAX(ROW(E$2:E548)*(E559=E$2:E548)))))-COUNTBLANK(OFFSET(A$1,,,SUMPRODUCT(MAX(ROW(E$1:E547)*(E559=E$1:E547))))))</f>
        <v/>
      </c>
      <c r="K559" s="26" t="str">
        <f aca="false">IF(OR(E559="",E559="!!!",F559="NEW"),"",INDEX(J$1:J547,SUMPRODUCT(MAX(ROW(E$1:E547)*(E559=E$1:E547)))))</f>
        <v/>
      </c>
      <c r="L559" s="27"/>
    </row>
    <row r="560" customFormat="false" ht="15" hidden="false" customHeight="false" outlineLevel="0" collapsed="false">
      <c r="A560" s="20" t="s">
        <v>485</v>
      </c>
      <c r="E560" s="21"/>
      <c r="F560" s="22"/>
      <c r="G560" s="23"/>
      <c r="H560" s="24"/>
      <c r="I560" s="25" t="str">
        <f aca="false">IF(OR(E560="",E560="!!!",F560="NEW"),"",INDEX(B$2:B548,-1+SUMPRODUCT(MAX(ROW(E$2:E548)*(E560=E$2:E548)))))</f>
        <v/>
      </c>
      <c r="J560" s="26" t="str">
        <f aca="true">IF(OR(E560="",E560="!!!",F560="NEW"),"",COUNTBLANK(OFFSET(A$1,,,SUMPRODUCT(MAX(ROW(E$2:E549)*(E560=E$2:E549)))))-COUNTBLANK(OFFSET(A$1,,,SUMPRODUCT(MAX(ROW(E$1:E548)*(E560=E$1:E548))))))</f>
        <v/>
      </c>
      <c r="K560" s="26" t="str">
        <f aca="false">IF(OR(E560="",E560="!!!",F560="NEW"),"",INDEX(J$1:J548,SUMPRODUCT(MAX(ROW(E$1:E548)*(E560=E$1:E548)))))</f>
        <v/>
      </c>
      <c r="L560" s="27"/>
    </row>
    <row r="561" customFormat="false" ht="15" hidden="false" customHeight="false" outlineLevel="0" collapsed="false">
      <c r="A561" s="20" t="s">
        <v>486</v>
      </c>
      <c r="E561" s="21"/>
      <c r="F561" s="22"/>
      <c r="G561" s="23"/>
      <c r="H561" s="24"/>
      <c r="I561" s="25" t="str">
        <f aca="false">IF(OR(E561="",E561="!!!",F561="NEW"),"",INDEX(B$2:B549,-1+SUMPRODUCT(MAX(ROW(E$2:E549)*(E561=E$2:E549)))))</f>
        <v/>
      </c>
      <c r="J561" s="26" t="str">
        <f aca="true">IF(OR(E561="",E561="!!!",F561="NEW"),"",COUNTBLANK(OFFSET(A$1,,,SUMPRODUCT(MAX(ROW(E$2:E550)*(E561=E$2:E550)))))-COUNTBLANK(OFFSET(A$1,,,SUMPRODUCT(MAX(ROW(E$1:E549)*(E561=E$1:E549))))))</f>
        <v/>
      </c>
      <c r="K561" s="26" t="str">
        <f aca="false">IF(OR(E561="",E561="!!!",F561="NEW"),"",INDEX(J$1:J549,SUMPRODUCT(MAX(ROW(E$1:E549)*(E561=E$1:E549)))))</f>
        <v/>
      </c>
      <c r="L561" s="27"/>
    </row>
    <row r="562" customFormat="false" ht="15" hidden="false" customHeight="false" outlineLevel="0" collapsed="false">
      <c r="A562" s="20" t="s">
        <v>204</v>
      </c>
      <c r="E562" s="21"/>
      <c r="F562" s="22"/>
      <c r="G562" s="23"/>
      <c r="H562" s="24"/>
      <c r="I562" s="25" t="str">
        <f aca="false">IF(OR(E562="",E562="!!!",F562="NEW"),"",INDEX(B$2:B550,-1+SUMPRODUCT(MAX(ROW(E$2:E550)*(E562=E$2:E550)))))</f>
        <v/>
      </c>
      <c r="J562" s="26" t="str">
        <f aca="true">IF(OR(E562="",E562="!!!",F562="NEW"),"",COUNTBLANK(OFFSET(A$1,,,SUMPRODUCT(MAX(ROW(E$2:E551)*(E562=E$2:E551)))))-COUNTBLANK(OFFSET(A$1,,,SUMPRODUCT(MAX(ROW(E$1:E550)*(E562=E$1:E550))))))</f>
        <v/>
      </c>
      <c r="K562" s="26" t="str">
        <f aca="false">IF(OR(E562="",E562="!!!",F562="NEW"),"",INDEX(J$1:J550,SUMPRODUCT(MAX(ROW(E$1:E550)*(E562=E$1:E550)))))</f>
        <v/>
      </c>
      <c r="L562" s="27"/>
    </row>
    <row r="563" customFormat="false" ht="15" hidden="false" customHeight="false" outlineLevel="0" collapsed="false">
      <c r="A563" s="20" t="s">
        <v>487</v>
      </c>
      <c r="B563" s="28" t="s">
        <v>234</v>
      </c>
      <c r="C563" s="28" t="s">
        <v>207</v>
      </c>
      <c r="D563" s="28" t="s">
        <v>198</v>
      </c>
      <c r="E563" s="21" t="s">
        <v>274</v>
      </c>
      <c r="F563" s="22" t="s">
        <v>226</v>
      </c>
      <c r="G563" s="23" t="s">
        <v>247</v>
      </c>
      <c r="H563" s="24"/>
      <c r="I563" s="25" t="str">
        <f aca="false">IF(OR(E563="",E563="!!!",F563="NEW"),"",INDEX(B$2:B551,-1+SUMPRODUCT(MAX(ROW(E$2:E551)*(E563=E$2:E551)))))</f>
        <v>SBJ_2</v>
      </c>
      <c r="J563" s="26" t="n">
        <f aca="true">IF(OR(E563="",E563="!!!",F563="NEW"),"",COUNTBLANK(OFFSET(A$1,,,SUMPRODUCT(MAX(ROW(E$2:E552)*(E563=E$2:E552)))))-COUNTBLANK(OFFSET(A$1,,,SUMPRODUCT(MAX(ROW(E$1:E551)*(E563=E$1:E551))))))</f>
        <v>0</v>
      </c>
      <c r="K563" s="26" t="n">
        <f aca="false">IF(OR(E563="",E563="!!!",F563="NEW"),"",INDEX(J$1:J551,SUMPRODUCT(MAX(ROW(E$1:E551)*(E563=E$1:E551)))))</f>
        <v>0</v>
      </c>
      <c r="L563" s="27"/>
    </row>
    <row r="564" customFormat="false" ht="15" hidden="false" customHeight="false" outlineLevel="0" collapsed="false">
      <c r="A564" s="20" t="s">
        <v>386</v>
      </c>
      <c r="B564" s="28" t="s">
        <v>371</v>
      </c>
      <c r="E564" s="21"/>
      <c r="F564" s="22"/>
      <c r="G564" s="23"/>
      <c r="H564" s="24"/>
      <c r="I564" s="25" t="str">
        <f aca="false">IF(OR(E564="",E564="!!!",F564="NEW"),"",INDEX(B$2:B552,-1+SUMPRODUCT(MAX(ROW(E$2:E552)*(E564=E$2:E552)))))</f>
        <v/>
      </c>
      <c r="J564" s="26" t="str">
        <f aca="true">IF(OR(E564="",E564="!!!",F564="NEW"),"",COUNTBLANK(OFFSET(A$1,,,SUMPRODUCT(MAX(ROW(E$2:E553)*(E564=E$2:E553)))))-COUNTBLANK(OFFSET(A$1,,,SUMPRODUCT(MAX(ROW(E$1:E552)*(E564=E$1:E552))))))</f>
        <v/>
      </c>
      <c r="K564" s="26" t="str">
        <f aca="false">IF(OR(E564="",E564="!!!",F564="NEW"),"",INDEX(J$1:J552,SUMPRODUCT(MAX(ROW(E$1:E552)*(E564=E$1:E552)))))</f>
        <v/>
      </c>
      <c r="L564" s="27"/>
    </row>
    <row r="565" customFormat="false" ht="15" hidden="false" customHeight="false" outlineLevel="0" collapsed="false">
      <c r="A565" s="20" t="s">
        <v>344</v>
      </c>
      <c r="B565" s="28" t="s">
        <v>273</v>
      </c>
      <c r="C565" s="28" t="s">
        <v>197</v>
      </c>
      <c r="D565" s="28" t="s">
        <v>198</v>
      </c>
      <c r="E565" s="21" t="s">
        <v>199</v>
      </c>
      <c r="F565" s="22" t="s">
        <v>226</v>
      </c>
      <c r="G565" s="23" t="s">
        <v>227</v>
      </c>
      <c r="H565" s="24"/>
      <c r="I565" s="25" t="str">
        <f aca="false">IF(OR(E565="",E565="!!!",F565="NEW"),"",INDEX(B$2:B553,-1+SUMPRODUCT(MAX(ROW(E$2:E553)*(E565=E$2:E553)))))</f>
        <v>OBJ_2</v>
      </c>
      <c r="J565" s="26" t="n">
        <f aca="true">IF(OR(E565="",E565="!!!",F565="NEW"),"",COUNTBLANK(OFFSET(A$1,,,SUMPRODUCT(MAX(ROW(E$2:E554)*(E565=E$2:E554)))))-COUNTBLANK(OFFSET(A$1,,,SUMPRODUCT(MAX(ROW(E$1:E553)*(E565=E$1:E553))))))</f>
        <v>0</v>
      </c>
      <c r="K565" s="26" t="n">
        <f aca="false">IF(OR(E565="",E565="!!!",F565="NEW"),"",INDEX(J$1:J553,SUMPRODUCT(MAX(ROW(E$1:E553)*(E565=E$1:E553)))))</f>
        <v>0</v>
      </c>
      <c r="L565" s="27"/>
    </row>
    <row r="566" customFormat="false" ht="15" hidden="false" customHeight="false" outlineLevel="0" collapsed="false">
      <c r="A566" s="20" t="s">
        <v>412</v>
      </c>
      <c r="E566" s="21"/>
      <c r="F566" s="22"/>
      <c r="G566" s="23"/>
      <c r="H566" s="24"/>
      <c r="I566" s="25" t="str">
        <f aca="false">IF(OR(E566="",E566="!!!",F566="NEW"),"",INDEX(B$2:B554,-1+SUMPRODUCT(MAX(ROW(E$2:E554)*(E566=E$2:E554)))))</f>
        <v/>
      </c>
      <c r="J566" s="26" t="str">
        <f aca="true">IF(OR(E566="",E566="!!!",F566="NEW"),"",COUNTBLANK(OFFSET(A$1,,,SUMPRODUCT(MAX(ROW(E$2:E555)*(E566=E$2:E555)))))-COUNTBLANK(OFFSET(A$1,,,SUMPRODUCT(MAX(ROW(E$1:E554)*(E566=E$1:E554))))))</f>
        <v/>
      </c>
      <c r="K566" s="26" t="str">
        <f aca="false">IF(OR(E566="",E566="!!!",F566="NEW"),"",INDEX(J$1:J554,SUMPRODUCT(MAX(ROW(E$1:E554)*(E566=E$1:E554)))))</f>
        <v/>
      </c>
      <c r="L566" s="27"/>
    </row>
    <row r="567" customFormat="false" ht="15" hidden="false" customHeight="false" outlineLevel="0" collapsed="false">
      <c r="A567" s="20" t="s">
        <v>213</v>
      </c>
      <c r="E567" s="21"/>
      <c r="F567" s="22"/>
      <c r="G567" s="23"/>
      <c r="H567" s="24"/>
      <c r="I567" s="25" t="str">
        <f aca="false">IF(OR(E567="",E567="!!!",F567="NEW"),"",INDEX(B$2:B555,-1+SUMPRODUCT(MAX(ROW(E$2:E555)*(E567=E$2:E555)))))</f>
        <v/>
      </c>
      <c r="J567" s="26" t="str">
        <f aca="true">IF(OR(E567="",E567="!!!",F567="NEW"),"",COUNTBLANK(OFFSET(A$1,,,SUMPRODUCT(MAX(ROW(E$2:E556)*(E567=E$2:E556)))))-COUNTBLANK(OFFSET(A$1,,,SUMPRODUCT(MAX(ROW(E$1:E555)*(E567=E$1:E555))))))</f>
        <v/>
      </c>
      <c r="K567" s="26" t="str">
        <f aca="false">IF(OR(E567="",E567="!!!",F567="NEW"),"",INDEX(J$1:J555,SUMPRODUCT(MAX(ROW(E$1:E555)*(E567=E$1:E555)))))</f>
        <v/>
      </c>
      <c r="L567" s="27"/>
    </row>
    <row r="568" customFormat="false" ht="15" hidden="false" customHeight="false" outlineLevel="0" collapsed="false">
      <c r="A568" s="20" t="s">
        <v>271</v>
      </c>
      <c r="E568" s="21"/>
      <c r="F568" s="22"/>
      <c r="G568" s="23"/>
      <c r="H568" s="24"/>
      <c r="I568" s="25" t="str">
        <f aca="false">IF(OR(E568="",E568="!!!",F568="NEW"),"",INDEX(B$2:B556,-1+SUMPRODUCT(MAX(ROW(E$2:E556)*(E568=E$2:E556)))))</f>
        <v/>
      </c>
      <c r="J568" s="26" t="str">
        <f aca="true">IF(OR(E568="",E568="!!!",F568="NEW"),"",COUNTBLANK(OFFSET(A$1,,,SUMPRODUCT(MAX(ROW(E$2:E557)*(E568=E$2:E557)))))-COUNTBLANK(OFFSET(A$1,,,SUMPRODUCT(MAX(ROW(E$1:E556)*(E568=E$1:E556))))))</f>
        <v/>
      </c>
      <c r="K568" s="26" t="str">
        <f aca="false">IF(OR(E568="",E568="!!!",F568="NEW"),"",INDEX(J$1:J556,SUMPRODUCT(MAX(ROW(E$1:E556)*(E568=E$1:E556)))))</f>
        <v/>
      </c>
      <c r="L568" s="27"/>
    </row>
    <row r="569" customFormat="false" ht="15" hidden="false" customHeight="false" outlineLevel="0" collapsed="false">
      <c r="A569" s="20" t="s">
        <v>244</v>
      </c>
      <c r="E569" s="21"/>
      <c r="F569" s="22"/>
      <c r="G569" s="23"/>
      <c r="H569" s="24"/>
      <c r="I569" s="25" t="str">
        <f aca="false">IF(OR(E569="",E569="!!!",F569="NEW"),"",INDEX(B$2:B557,-1+SUMPRODUCT(MAX(ROW(E$2:E557)*(E569=E$2:E557)))))</f>
        <v/>
      </c>
      <c r="J569" s="26" t="str">
        <f aca="true">IF(OR(E569="",E569="!!!",F569="NEW"),"",COUNTBLANK(OFFSET(A$1,,,SUMPRODUCT(MAX(ROW(E$2:E558)*(E569=E$2:E558)))))-COUNTBLANK(OFFSET(A$1,,,SUMPRODUCT(MAX(ROW(E$1:E557)*(E569=E$1:E557))))))</f>
        <v/>
      </c>
      <c r="K569" s="26" t="str">
        <f aca="false">IF(OR(E569="",E569="!!!",F569="NEW"),"",INDEX(J$1:J557,SUMPRODUCT(MAX(ROW(E$1:E557)*(E569=E$1:E557)))))</f>
        <v/>
      </c>
      <c r="L569" s="27"/>
    </row>
    <row r="570" customFormat="false" ht="15" hidden="false" customHeight="false" outlineLevel="0" collapsed="false">
      <c r="A570" s="20" t="s">
        <v>320</v>
      </c>
      <c r="E570" s="21"/>
      <c r="F570" s="22"/>
      <c r="G570" s="23"/>
      <c r="H570" s="24"/>
      <c r="I570" s="25" t="str">
        <f aca="false">IF(OR(E570="",E570="!!!",F570="NEW"),"",INDEX(B$2:B558,-1+SUMPRODUCT(MAX(ROW(E$2:E558)*(E570=E$2:E558)))))</f>
        <v/>
      </c>
      <c r="J570" s="26" t="str">
        <f aca="true">IF(OR(E570="",E570="!!!",F570="NEW"),"",COUNTBLANK(OFFSET(A$1,,,SUMPRODUCT(MAX(ROW(E$2:E559)*(E570=E$2:E559)))))-COUNTBLANK(OFFSET(A$1,,,SUMPRODUCT(MAX(ROW(E$1:E558)*(E570=E$1:E558))))))</f>
        <v/>
      </c>
      <c r="K570" s="26" t="str">
        <f aca="false">IF(OR(E570="",E570="!!!",F570="NEW"),"",INDEX(J$1:J558,SUMPRODUCT(MAX(ROW(E$1:E558)*(E570=E$1:E558)))))</f>
        <v/>
      </c>
      <c r="L570" s="27"/>
    </row>
    <row r="571" customFormat="false" ht="15" hidden="false" customHeight="false" outlineLevel="0" collapsed="false">
      <c r="A571" s="20"/>
      <c r="E571" s="21"/>
      <c r="F571" s="22"/>
      <c r="G571" s="23"/>
      <c r="H571" s="24"/>
      <c r="I571" s="25" t="str">
        <f aca="false">IF(OR(E571="",E571="!!!",F571="NEW"),"",INDEX(B$2:B559,-1+SUMPRODUCT(MAX(ROW(E$2:E559)*(E571=E$2:E559)))))</f>
        <v/>
      </c>
      <c r="J571" s="26" t="str">
        <f aca="true">IF(OR(E571="",E571="!!!",F571="NEW"),"",COUNTBLANK(OFFSET(A$1,,,SUMPRODUCT(MAX(ROW(E$2:E560)*(E571=E$2:E560)))))-COUNTBLANK(OFFSET(A$1,,,SUMPRODUCT(MAX(ROW(E$1:E559)*(E571=E$1:E559))))))</f>
        <v/>
      </c>
      <c r="K571" s="26" t="str">
        <f aca="false">IF(OR(E571="",E571="!!!",F571="NEW"),"",INDEX(J$1:J559,SUMPRODUCT(MAX(ROW(E$1:E559)*(E571=E$1:E559)))))</f>
        <v/>
      </c>
      <c r="L571" s="27"/>
    </row>
    <row r="572" customFormat="false" ht="15" hidden="false" customHeight="false" outlineLevel="0" collapsed="false">
      <c r="A572" s="20" t="s">
        <v>488</v>
      </c>
      <c r="E572" s="21"/>
      <c r="F572" s="22"/>
      <c r="G572" s="23"/>
      <c r="H572" s="24"/>
      <c r="I572" s="25" t="str">
        <f aca="false">IF(OR(E572="",E572="!!!",F572="NEW"),"",INDEX(B$2:B560,-1+SUMPRODUCT(MAX(ROW(E$2:E560)*(E572=E$2:E560)))))</f>
        <v/>
      </c>
      <c r="J572" s="26" t="str">
        <f aca="true">IF(OR(E572="",E572="!!!",F572="NEW"),"",COUNTBLANK(OFFSET(A$1,,,SUMPRODUCT(MAX(ROW(E$2:E561)*(E572=E$2:E561)))))-COUNTBLANK(OFFSET(A$1,,,SUMPRODUCT(MAX(ROW(E$1:E560)*(E572=E$1:E560))))))</f>
        <v/>
      </c>
      <c r="K572" s="26" t="str">
        <f aca="false">IF(OR(E572="",E572="!!!",F572="NEW"),"",INDEX(J$1:J560,SUMPRODUCT(MAX(ROW(E$1:E560)*(E572=E$1:E560)))))</f>
        <v/>
      </c>
      <c r="L572" s="27"/>
    </row>
    <row r="573" customFormat="false" ht="15" hidden="false" customHeight="false" outlineLevel="0" collapsed="false">
      <c r="A573" s="20" t="s">
        <v>313</v>
      </c>
      <c r="E573" s="21"/>
      <c r="F573" s="22"/>
      <c r="G573" s="23"/>
      <c r="H573" s="24"/>
      <c r="I573" s="25" t="str">
        <f aca="false">IF(OR(E573="",E573="!!!",F573="NEW"),"",INDEX(B$2:B561,-1+SUMPRODUCT(MAX(ROW(E$2:E561)*(E573=E$2:E561)))))</f>
        <v/>
      </c>
      <c r="J573" s="26" t="str">
        <f aca="true">IF(OR(E573="",E573="!!!",F573="NEW"),"",COUNTBLANK(OFFSET(A$1,,,SUMPRODUCT(MAX(ROW(E$2:E562)*(E573=E$2:E562)))))-COUNTBLANK(OFFSET(A$1,,,SUMPRODUCT(MAX(ROW(E$1:E561)*(E573=E$1:E561))))))</f>
        <v/>
      </c>
      <c r="K573" s="26" t="str">
        <f aca="false">IF(OR(E573="",E573="!!!",F573="NEW"),"",INDEX(J$1:J561,SUMPRODUCT(MAX(ROW(E$1:E561)*(E573=E$1:E561)))))</f>
        <v/>
      </c>
      <c r="L573" s="27"/>
    </row>
    <row r="574" customFormat="false" ht="15" hidden="false" customHeight="false" outlineLevel="0" collapsed="false">
      <c r="A574" s="20" t="s">
        <v>195</v>
      </c>
      <c r="B574" s="28" t="s">
        <v>222</v>
      </c>
      <c r="C574" s="28" t="s">
        <v>197</v>
      </c>
      <c r="D574" s="28" t="s">
        <v>198</v>
      </c>
      <c r="E574" s="21" t="s">
        <v>314</v>
      </c>
      <c r="F574" s="22" t="s">
        <v>226</v>
      </c>
      <c r="G574" s="23" t="s">
        <v>247</v>
      </c>
      <c r="H574" s="24"/>
      <c r="I574" s="25" t="str">
        <f aca="false">IF(OR(E574="",E574="!!!",F574="NEW"),"",INDEX(B$2:B562,-1+SUMPRODUCT(MAX(ROW(E$2:E562)*(E574=E$2:E562)))))</f>
        <v>other_3</v>
      </c>
      <c r="J574" s="26" t="n">
        <f aca="true">IF(OR(E574="",E574="!!!",F574="NEW"),"",COUNTBLANK(OFFSET(A$1,,,SUMPRODUCT(MAX(ROW(E$2:E563)*(E574=E$2:E563)))))-COUNTBLANK(OFFSET(A$1,,,SUMPRODUCT(MAX(ROW(E$1:E562)*(E574=E$1:E562))))))</f>
        <v>0</v>
      </c>
      <c r="K574" s="26" t="n">
        <f aca="false">IF(OR(E574="",E574="!!!",F574="NEW"),"",INDEX(J$1:J562,SUMPRODUCT(MAX(ROW(E$1:E562)*(E574=E$1:E562)))))</f>
        <v>0</v>
      </c>
      <c r="L574" s="27"/>
    </row>
    <row r="575" customFormat="false" ht="15" hidden="false" customHeight="false" outlineLevel="0" collapsed="false">
      <c r="A575" s="20" t="s">
        <v>315</v>
      </c>
      <c r="E575" s="21"/>
      <c r="F575" s="22"/>
      <c r="G575" s="23"/>
      <c r="H575" s="24"/>
      <c r="I575" s="25" t="str">
        <f aca="false">IF(OR(E575="",E575="!!!",F575="NEW"),"",INDEX(B$2:B563,-1+SUMPRODUCT(MAX(ROW(E$2:E563)*(E575=E$2:E563)))))</f>
        <v/>
      </c>
      <c r="J575" s="26" t="str">
        <f aca="true">IF(OR(E575="",E575="!!!",F575="NEW"),"",COUNTBLANK(OFFSET(A$1,,,SUMPRODUCT(MAX(ROW(E$2:E564)*(E575=E$2:E564)))))-COUNTBLANK(OFFSET(A$1,,,SUMPRODUCT(MAX(ROW(E$1:E563)*(E575=E$1:E563))))))</f>
        <v/>
      </c>
      <c r="K575" s="26" t="str">
        <f aca="false">IF(OR(E575="",E575="!!!",F575="NEW"),"",INDEX(J$1:J563,SUMPRODUCT(MAX(ROW(E$1:E563)*(E575=E$1:E563)))))</f>
        <v/>
      </c>
      <c r="L575" s="27"/>
    </row>
    <row r="576" customFormat="false" ht="15" hidden="false" customHeight="false" outlineLevel="0" collapsed="false">
      <c r="A576" s="20" t="s">
        <v>461</v>
      </c>
      <c r="E576" s="21"/>
      <c r="F576" s="22"/>
      <c r="G576" s="23"/>
      <c r="H576" s="24"/>
      <c r="I576" s="25" t="str">
        <f aca="false">IF(OR(E576="",E576="!!!",F576="NEW"),"",INDEX(B$2:B564,-1+SUMPRODUCT(MAX(ROW(E$2:E564)*(E576=E$2:E564)))))</f>
        <v/>
      </c>
      <c r="J576" s="26" t="str">
        <f aca="true">IF(OR(E576="",E576="!!!",F576="NEW"),"",COUNTBLANK(OFFSET(A$1,,,SUMPRODUCT(MAX(ROW(E$2:E565)*(E576=E$2:E565)))))-COUNTBLANK(OFFSET(A$1,,,SUMPRODUCT(MAX(ROW(E$1:E564)*(E576=E$1:E564))))))</f>
        <v/>
      </c>
      <c r="K576" s="26" t="str">
        <f aca="false">IF(OR(E576="",E576="!!!",F576="NEW"),"",INDEX(J$1:J564,SUMPRODUCT(MAX(ROW(E$1:E564)*(E576=E$1:E564)))))</f>
        <v/>
      </c>
      <c r="L576" s="27"/>
    </row>
    <row r="577" customFormat="false" ht="15" hidden="false" customHeight="false" outlineLevel="0" collapsed="false">
      <c r="A577" s="20" t="s">
        <v>489</v>
      </c>
      <c r="E577" s="21"/>
      <c r="F577" s="22"/>
      <c r="G577" s="23"/>
      <c r="H577" s="24"/>
      <c r="I577" s="25" t="str">
        <f aca="false">IF(OR(E577="",E577="!!!",F577="NEW"),"",INDEX(B$2:B565,-1+SUMPRODUCT(MAX(ROW(E$2:E565)*(E577=E$2:E565)))))</f>
        <v/>
      </c>
      <c r="J577" s="26" t="str">
        <f aca="true">IF(OR(E577="",E577="!!!",F577="NEW"),"",COUNTBLANK(OFFSET(A$1,,,SUMPRODUCT(MAX(ROW(E$2:E566)*(E577=E$2:E566)))))-COUNTBLANK(OFFSET(A$1,,,SUMPRODUCT(MAX(ROW(E$1:E565)*(E577=E$1:E565))))))</f>
        <v/>
      </c>
      <c r="K577" s="26" t="str">
        <f aca="false">IF(OR(E577="",E577="!!!",F577="NEW"),"",INDEX(J$1:J565,SUMPRODUCT(MAX(ROW(E$1:E565)*(E577=E$1:E565)))))</f>
        <v/>
      </c>
      <c r="L577" s="27"/>
    </row>
    <row r="578" customFormat="false" ht="15" hidden="false" customHeight="false" outlineLevel="0" collapsed="false">
      <c r="A578" s="20" t="s">
        <v>225</v>
      </c>
      <c r="B578" s="28" t="s">
        <v>234</v>
      </c>
      <c r="C578" s="28" t="s">
        <v>197</v>
      </c>
      <c r="D578" s="28" t="s">
        <v>198</v>
      </c>
      <c r="E578" s="21" t="s">
        <v>199</v>
      </c>
      <c r="F578" s="22" t="s">
        <v>226</v>
      </c>
      <c r="G578" s="23" t="s">
        <v>247</v>
      </c>
      <c r="H578" s="24" t="s">
        <v>189</v>
      </c>
      <c r="I578" s="25" t="str">
        <f aca="false">IF(OR(E578="",E578="!!!",F578="NEW"),"",INDEX(B$2:B566,-1+SUMPRODUCT(MAX(ROW(E$2:E566)*(E578=E$2:E566)))))</f>
        <v>SBJ_4</v>
      </c>
      <c r="J578" s="26" t="n">
        <f aca="true">IF(OR(E578="",E578="!!!",F578="NEW"),"",COUNTBLANK(OFFSET(A$1,,,SUMPRODUCT(MAX(ROW(E$2:E567)*(E578=E$2:E567)))))-COUNTBLANK(OFFSET(A$1,,,SUMPRODUCT(MAX(ROW(E$1:E566)*(E578=E$1:E566))))))</f>
        <v>0</v>
      </c>
      <c r="K578" s="26" t="n">
        <f aca="false">IF(OR(E578="",E578="!!!",F578="NEW"),"",INDEX(J$1:J566,SUMPRODUCT(MAX(ROW(E$1:E566)*(E578=E$1:E566)))))</f>
        <v>0</v>
      </c>
      <c r="L578" s="27"/>
    </row>
    <row r="579" customFormat="false" ht="15" hidden="false" customHeight="false" outlineLevel="0" collapsed="false">
      <c r="A579" s="20" t="s">
        <v>209</v>
      </c>
      <c r="E579" s="21"/>
      <c r="F579" s="22"/>
      <c r="G579" s="23"/>
      <c r="H579" s="24"/>
      <c r="I579" s="25" t="str">
        <f aca="false">IF(OR(E579="",E579="!!!",F579="NEW"),"",INDEX(B$2:B567,-1+SUMPRODUCT(MAX(ROW(E$2:E567)*(E579=E$2:E567)))))</f>
        <v/>
      </c>
      <c r="J579" s="26" t="str">
        <f aca="true">IF(OR(E579="",E579="!!!",F579="NEW"),"",COUNTBLANK(OFFSET(A$1,,,SUMPRODUCT(MAX(ROW(E$2:E568)*(E579=E$2:E568)))))-COUNTBLANK(OFFSET(A$1,,,SUMPRODUCT(MAX(ROW(E$1:E567)*(E579=E$1:E567))))))</f>
        <v/>
      </c>
      <c r="K579" s="26" t="str">
        <f aca="false">IF(OR(E579="",E579="!!!",F579="NEW"),"",INDEX(J$1:J567,SUMPRODUCT(MAX(ROW(E$1:E567)*(E579=E$1:E567)))))</f>
        <v/>
      </c>
      <c r="L579" s="27"/>
    </row>
    <row r="580" customFormat="false" ht="15" hidden="false" customHeight="false" outlineLevel="0" collapsed="false">
      <c r="A580" s="20" t="s">
        <v>195</v>
      </c>
      <c r="B580" s="28" t="s">
        <v>196</v>
      </c>
      <c r="C580" s="28" t="s">
        <v>197</v>
      </c>
      <c r="D580" s="28" t="s">
        <v>198</v>
      </c>
      <c r="E580" s="21" t="s">
        <v>314</v>
      </c>
      <c r="F580" s="22" t="s">
        <v>226</v>
      </c>
      <c r="G580" s="23" t="s">
        <v>227</v>
      </c>
      <c r="H580" s="24"/>
      <c r="I580" s="25" t="str">
        <f aca="false">IF(OR(E580="",E580="!!!",F580="NEW"),"",INDEX(B$2:B568,-1+SUMPRODUCT(MAX(ROW(E$2:E568)*(E580=E$2:E568)))))</f>
        <v>other_3</v>
      </c>
      <c r="J580" s="26" t="n">
        <f aca="true">IF(OR(E580="",E580="!!!",F580="NEW"),"",COUNTBLANK(OFFSET(A$1,,,SUMPRODUCT(MAX(ROW(E$2:E569)*(E580=E$2:E569)))))-COUNTBLANK(OFFSET(A$1,,,SUMPRODUCT(MAX(ROW(E$1:E568)*(E580=E$1:E568))))))</f>
        <v>0</v>
      </c>
      <c r="K580" s="26" t="n">
        <f aca="false">IF(OR(E580="",E580="!!!",F580="NEW"),"",INDEX(J$1:J568,SUMPRODUCT(MAX(ROW(E$1:E568)*(E580=E$1:E568)))))</f>
        <v>0</v>
      </c>
      <c r="L580" s="27"/>
    </row>
    <row r="581" customFormat="false" ht="15" hidden="false" customHeight="false" outlineLevel="0" collapsed="false">
      <c r="A581" s="20" t="s">
        <v>95</v>
      </c>
      <c r="E581" s="21"/>
      <c r="F581" s="22"/>
      <c r="G581" s="23"/>
      <c r="H581" s="24"/>
      <c r="I581" s="25" t="str">
        <f aca="false">IF(OR(E581="",E581="!!!",F581="NEW"),"",INDEX(B$2:B569,-1+SUMPRODUCT(MAX(ROW(E$2:E569)*(E581=E$2:E569)))))</f>
        <v/>
      </c>
      <c r="J581" s="26" t="str">
        <f aca="true">IF(OR(E581="",E581="!!!",F581="NEW"),"",COUNTBLANK(OFFSET(A$1,,,SUMPRODUCT(MAX(ROW(E$2:E570)*(E581=E$2:E570)))))-COUNTBLANK(OFFSET(A$1,,,SUMPRODUCT(MAX(ROW(E$1:E569)*(E581=E$1:E569))))))</f>
        <v/>
      </c>
      <c r="K581" s="26" t="str">
        <f aca="false">IF(OR(E581="",E581="!!!",F581="NEW"),"",INDEX(J$1:J569,SUMPRODUCT(MAX(ROW(E$1:E569)*(E581=E$1:E569)))))</f>
        <v/>
      </c>
      <c r="L581" s="27"/>
    </row>
    <row r="582" customFormat="false" ht="15" hidden="false" customHeight="false" outlineLevel="0" collapsed="false">
      <c r="A582" s="20" t="s">
        <v>225</v>
      </c>
      <c r="B582" s="28" t="s">
        <v>250</v>
      </c>
      <c r="C582" s="28" t="s">
        <v>197</v>
      </c>
      <c r="D582" s="28" t="s">
        <v>198</v>
      </c>
      <c r="E582" s="21" t="s">
        <v>199</v>
      </c>
      <c r="F582" s="22" t="s">
        <v>226</v>
      </c>
      <c r="G582" s="23" t="s">
        <v>227</v>
      </c>
      <c r="H582" s="24"/>
      <c r="I582" s="25" t="str">
        <f aca="false">IF(OR(E582="",E582="!!!",F582="NEW"),"",INDEX(B$2:B570,-1+SUMPRODUCT(MAX(ROW(E$2:E570)*(E582=E$2:E570)))))</f>
        <v>SBJ_4</v>
      </c>
      <c r="J582" s="26" t="n">
        <f aca="true">IF(OR(E582="",E582="!!!",F582="NEW"),"",COUNTBLANK(OFFSET(A$1,,,SUMPRODUCT(MAX(ROW(E$2:E571)*(E582=E$2:E571)))))-COUNTBLANK(OFFSET(A$1,,,SUMPRODUCT(MAX(ROW(E$1:E570)*(E582=E$1:E570))))))</f>
        <v>0</v>
      </c>
      <c r="K582" s="26" t="n">
        <f aca="false">IF(OR(E582="",E582="!!!",F582="NEW"),"",INDEX(J$1:J570,SUMPRODUCT(MAX(ROW(E$1:E570)*(E582=E$1:E570)))))</f>
        <v>0</v>
      </c>
      <c r="L582" s="27"/>
    </row>
    <row r="583" customFormat="false" ht="15" hidden="false" customHeight="false" outlineLevel="0" collapsed="false">
      <c r="A583" s="20" t="s">
        <v>431</v>
      </c>
      <c r="E583" s="21"/>
      <c r="F583" s="22"/>
      <c r="G583" s="23"/>
      <c r="H583" s="24"/>
      <c r="I583" s="25" t="str">
        <f aca="false">IF(OR(E583="",E583="!!!",F583="NEW"),"",INDEX(B$2:B571,-1+SUMPRODUCT(MAX(ROW(E$2:E571)*(E583=E$2:E571)))))</f>
        <v/>
      </c>
      <c r="J583" s="26" t="str">
        <f aca="true">IF(OR(E583="",E583="!!!",F583="NEW"),"",COUNTBLANK(OFFSET(A$1,,,SUMPRODUCT(MAX(ROW(E$2:E572)*(E583=E$2:E572)))))-COUNTBLANK(OFFSET(A$1,,,SUMPRODUCT(MAX(ROW(E$1:E571)*(E583=E$1:E571))))))</f>
        <v/>
      </c>
      <c r="K583" s="26" t="str">
        <f aca="false">IF(OR(E583="",E583="!!!",F583="NEW"),"",INDEX(J$1:J571,SUMPRODUCT(MAX(ROW(E$1:E571)*(E583=E$1:E571)))))</f>
        <v/>
      </c>
      <c r="L583" s="27"/>
    </row>
    <row r="584" customFormat="false" ht="15" hidden="false" customHeight="false" outlineLevel="0" collapsed="false">
      <c r="A584" s="20" t="s">
        <v>209</v>
      </c>
      <c r="E584" s="21"/>
      <c r="F584" s="22"/>
      <c r="G584" s="23"/>
      <c r="H584" s="24"/>
      <c r="I584" s="25" t="str">
        <f aca="false">IF(OR(E584="",E584="!!!",F584="NEW"),"",INDEX(B$2:B572,-1+SUMPRODUCT(MAX(ROW(E$2:E572)*(E584=E$2:E572)))))</f>
        <v/>
      </c>
      <c r="J584" s="26" t="str">
        <f aca="true">IF(OR(E584="",E584="!!!",F584="NEW"),"",COUNTBLANK(OFFSET(A$1,,,SUMPRODUCT(MAX(ROW(E$2:E573)*(E584=E$2:E573)))))-COUNTBLANK(OFFSET(A$1,,,SUMPRODUCT(MAX(ROW(E$1:E572)*(E584=E$1:E572))))))</f>
        <v/>
      </c>
      <c r="K584" s="26" t="str">
        <f aca="false">IF(OR(E584="",E584="!!!",F584="NEW"),"",INDEX(J$1:J572,SUMPRODUCT(MAX(ROW(E$1:E572)*(E584=E$1:E572)))))</f>
        <v/>
      </c>
      <c r="L584" s="27"/>
    </row>
    <row r="585" customFormat="false" ht="15" hidden="false" customHeight="false" outlineLevel="0" collapsed="false">
      <c r="A585" s="20" t="s">
        <v>490</v>
      </c>
      <c r="E585" s="21"/>
      <c r="F585" s="22"/>
      <c r="G585" s="23"/>
      <c r="H585" s="24"/>
      <c r="I585" s="25" t="str">
        <f aca="false">IF(OR(E585="",E585="!!!",F585="NEW"),"",INDEX(B$2:B573,-1+SUMPRODUCT(MAX(ROW(E$2:E573)*(E585=E$2:E573)))))</f>
        <v/>
      </c>
      <c r="J585" s="26" t="str">
        <f aca="true">IF(OR(E585="",E585="!!!",F585="NEW"),"",COUNTBLANK(OFFSET(A$1,,,SUMPRODUCT(MAX(ROW(E$2:E574)*(E585=E$2:E574)))))-COUNTBLANK(OFFSET(A$1,,,SUMPRODUCT(MAX(ROW(E$1:E573)*(E585=E$1:E573))))))</f>
        <v/>
      </c>
      <c r="K585" s="26" t="str">
        <f aca="false">IF(OR(E585="",E585="!!!",F585="NEW"),"",INDEX(J$1:J573,SUMPRODUCT(MAX(ROW(E$1:E573)*(E585=E$1:E573)))))</f>
        <v/>
      </c>
      <c r="L585" s="27"/>
    </row>
    <row r="586" customFormat="false" ht="15" hidden="false" customHeight="false" outlineLevel="0" collapsed="false">
      <c r="A586" s="20" t="s">
        <v>460</v>
      </c>
      <c r="E586" s="21"/>
      <c r="F586" s="22"/>
      <c r="G586" s="23"/>
      <c r="H586" s="24"/>
      <c r="I586" s="25" t="str">
        <f aca="false">IF(OR(E586="",E586="!!!",F586="NEW"),"",INDEX(B$2:B574,-1+SUMPRODUCT(MAX(ROW(E$2:E574)*(E586=E$2:E574)))))</f>
        <v/>
      </c>
      <c r="J586" s="26" t="str">
        <f aca="true">IF(OR(E586="",E586="!!!",F586="NEW"),"",COUNTBLANK(OFFSET(A$1,,,SUMPRODUCT(MAX(ROW(E$2:E575)*(E586=E$2:E575)))))-COUNTBLANK(OFFSET(A$1,,,SUMPRODUCT(MAX(ROW(E$1:E574)*(E586=E$1:E574))))))</f>
        <v/>
      </c>
      <c r="K586" s="26" t="str">
        <f aca="false">IF(OR(E586="",E586="!!!",F586="NEW"),"",INDEX(J$1:J574,SUMPRODUCT(MAX(ROW(E$1:E574)*(E586=E$1:E574)))))</f>
        <v/>
      </c>
      <c r="L586" s="27"/>
    </row>
    <row r="587" customFormat="false" ht="15" hidden="false" customHeight="false" outlineLevel="0" collapsed="false">
      <c r="A587" s="20" t="s">
        <v>491</v>
      </c>
      <c r="B587" s="28" t="s">
        <v>240</v>
      </c>
      <c r="C587" s="28" t="s">
        <v>492</v>
      </c>
      <c r="E587" s="21"/>
      <c r="F587" s="22"/>
      <c r="G587" s="23"/>
      <c r="H587" s="24"/>
      <c r="I587" s="25" t="str">
        <f aca="false">IF(OR(E587="",E587="!!!",F587="NEW"),"",INDEX(B$2:B575,-1+SUMPRODUCT(MAX(ROW(E$2:E575)*(E587=E$2:E575)))))</f>
        <v/>
      </c>
      <c r="J587" s="26" t="str">
        <f aca="true">IF(OR(E587="",E587="!!!",F587="NEW"),"",COUNTBLANK(OFFSET(A$1,,,SUMPRODUCT(MAX(ROW(E$2:E576)*(E587=E$2:E576)))))-COUNTBLANK(OFFSET(A$1,,,SUMPRODUCT(MAX(ROW(E$1:E575)*(E587=E$1:E575))))))</f>
        <v/>
      </c>
      <c r="K587" s="26" t="str">
        <f aca="false">IF(OR(E587="",E587="!!!",F587="NEW"),"",INDEX(J$1:J575,SUMPRODUCT(MAX(ROW(E$1:E575)*(E587=E$1:E575)))))</f>
        <v/>
      </c>
      <c r="L587" s="27"/>
    </row>
    <row r="588" customFormat="false" ht="15" hidden="false" customHeight="false" outlineLevel="0" collapsed="false">
      <c r="A588" s="20" t="s">
        <v>203</v>
      </c>
      <c r="E588" s="21"/>
      <c r="F588" s="22"/>
      <c r="G588" s="23"/>
      <c r="H588" s="24"/>
      <c r="I588" s="25" t="str">
        <f aca="false">IF(OR(E588="",E588="!!!",F588="NEW"),"",INDEX(B$2:B576,-1+SUMPRODUCT(MAX(ROW(E$2:E576)*(E588=E$2:E576)))))</f>
        <v/>
      </c>
      <c r="J588" s="26" t="str">
        <f aca="true">IF(OR(E588="",E588="!!!",F588="NEW"),"",COUNTBLANK(OFFSET(A$1,,,SUMPRODUCT(MAX(ROW(E$2:E577)*(E588=E$2:E577)))))-COUNTBLANK(OFFSET(A$1,,,SUMPRODUCT(MAX(ROW(E$1:E576)*(E588=E$1:E576))))))</f>
        <v/>
      </c>
      <c r="K588" s="26" t="str">
        <f aca="false">IF(OR(E588="",E588="!!!",F588="NEW"),"",INDEX(J$1:J576,SUMPRODUCT(MAX(ROW(E$1:E576)*(E588=E$1:E576)))))</f>
        <v/>
      </c>
      <c r="L588" s="27"/>
    </row>
    <row r="589" customFormat="false" ht="15" hidden="false" customHeight="false" outlineLevel="0" collapsed="false">
      <c r="A589" s="20" t="s">
        <v>493</v>
      </c>
      <c r="E589" s="21"/>
      <c r="F589" s="22"/>
      <c r="G589" s="23"/>
      <c r="H589" s="24"/>
      <c r="I589" s="25" t="str">
        <f aca="false">IF(OR(E589="",E589="!!!",F589="NEW"),"",INDEX(B$2:B577,-1+SUMPRODUCT(MAX(ROW(E$2:E577)*(E589=E$2:E577)))))</f>
        <v/>
      </c>
      <c r="J589" s="26" t="str">
        <f aca="true">IF(OR(E589="",E589="!!!",F589="NEW"),"",COUNTBLANK(OFFSET(A$1,,,SUMPRODUCT(MAX(ROW(E$2:E578)*(E589=E$2:E578)))))-COUNTBLANK(OFFSET(A$1,,,SUMPRODUCT(MAX(ROW(E$1:E577)*(E589=E$1:E577))))))</f>
        <v/>
      </c>
      <c r="K589" s="26" t="str">
        <f aca="false">IF(OR(E589="",E589="!!!",F589="NEW"),"",INDEX(J$1:J577,SUMPRODUCT(MAX(ROW(E$1:E577)*(E589=E$1:E577)))))</f>
        <v/>
      </c>
      <c r="L589" s="27"/>
    </row>
    <row r="590" customFormat="false" ht="15" hidden="false" customHeight="false" outlineLevel="0" collapsed="false">
      <c r="A590" s="20" t="s">
        <v>225</v>
      </c>
      <c r="B590" s="28" t="s">
        <v>494</v>
      </c>
      <c r="C590" s="28" t="s">
        <v>197</v>
      </c>
      <c r="D590" s="28" t="s">
        <v>198</v>
      </c>
      <c r="E590" s="21" t="s">
        <v>199</v>
      </c>
      <c r="F590" s="22" t="s">
        <v>226</v>
      </c>
      <c r="G590" s="23" t="s">
        <v>227</v>
      </c>
      <c r="H590" s="24"/>
      <c r="I590" s="25" t="str">
        <f aca="false">IF(OR(E590="",E590="!!!",F590="NEW"),"",INDEX(B$2:B578,-1+SUMPRODUCT(MAX(ROW(E$2:E578)*(E590=E$2:E578)))))</f>
        <v>OBJ_2</v>
      </c>
      <c r="J590" s="26" t="n">
        <f aca="true">IF(OR(E590="",E590="!!!",F590="NEW"),"",COUNTBLANK(OFFSET(A$1,,,SUMPRODUCT(MAX(ROW(E$2:E579)*(E590=E$2:E579)))))-COUNTBLANK(OFFSET(A$1,,,SUMPRODUCT(MAX(ROW(E$1:E578)*(E590=E$1:E578))))))</f>
        <v>0</v>
      </c>
      <c r="K590" s="26" t="n">
        <f aca="false">IF(OR(E590="",E590="!!!",F590="NEW"),"",INDEX(J$1:J578,SUMPRODUCT(MAX(ROW(E$1:E578)*(E590=E$1:E578)))))</f>
        <v>0</v>
      </c>
      <c r="L590" s="27"/>
    </row>
    <row r="591" customFormat="false" ht="15" hidden="false" customHeight="false" outlineLevel="0" collapsed="false">
      <c r="A591" s="20" t="s">
        <v>209</v>
      </c>
      <c r="E591" s="21"/>
      <c r="F591" s="22"/>
      <c r="G591" s="23"/>
      <c r="H591" s="24"/>
      <c r="I591" s="25" t="str">
        <f aca="false">IF(OR(E591="",E591="!!!",F591="NEW"),"",INDEX(B$2:B579,-1+SUMPRODUCT(MAX(ROW(E$2:E579)*(E591=E$2:E579)))))</f>
        <v/>
      </c>
      <c r="J591" s="26" t="str">
        <f aca="true">IF(OR(E591="",E591="!!!",F591="NEW"),"",COUNTBLANK(OFFSET(A$1,,,SUMPRODUCT(MAX(ROW(E$2:E580)*(E591=E$2:E580)))))-COUNTBLANK(OFFSET(A$1,,,SUMPRODUCT(MAX(ROW(E$1:E579)*(E591=E$1:E579))))))</f>
        <v/>
      </c>
      <c r="K591" s="26" t="str">
        <f aca="false">IF(OR(E591="",E591="!!!",F591="NEW"),"",INDEX(J$1:J579,SUMPRODUCT(MAX(ROW(E$1:E579)*(E591=E$1:E579)))))</f>
        <v/>
      </c>
      <c r="L591" s="27"/>
    </row>
    <row r="592" customFormat="false" ht="15" hidden="false" customHeight="false" outlineLevel="0" collapsed="false">
      <c r="A592" s="20" t="s">
        <v>231</v>
      </c>
      <c r="E592" s="21"/>
      <c r="F592" s="22"/>
      <c r="G592" s="23"/>
      <c r="H592" s="24"/>
      <c r="I592" s="25" t="str">
        <f aca="false">IF(OR(E592="",E592="!!!",F592="NEW"),"",INDEX(B$2:B580,-1+SUMPRODUCT(MAX(ROW(E$2:E580)*(E592=E$2:E580)))))</f>
        <v/>
      </c>
      <c r="J592" s="26" t="str">
        <f aca="true">IF(OR(E592="",E592="!!!",F592="NEW"),"",COUNTBLANK(OFFSET(A$1,,,SUMPRODUCT(MAX(ROW(E$2:E581)*(E592=E$2:E581)))))-COUNTBLANK(OFFSET(A$1,,,SUMPRODUCT(MAX(ROW(E$1:E580)*(E592=E$1:E580))))))</f>
        <v/>
      </c>
      <c r="K592" s="26" t="str">
        <f aca="false">IF(OR(E592="",E592="!!!",F592="NEW"),"",INDEX(J$1:J580,SUMPRODUCT(MAX(ROW(E$1:E580)*(E592=E$1:E580)))))</f>
        <v/>
      </c>
      <c r="L592" s="27"/>
    </row>
    <row r="593" customFormat="false" ht="15" hidden="false" customHeight="false" outlineLevel="0" collapsed="false">
      <c r="A593" s="20" t="s">
        <v>217</v>
      </c>
      <c r="E593" s="21"/>
      <c r="F593" s="22"/>
      <c r="G593" s="23"/>
      <c r="H593" s="24"/>
      <c r="I593" s="25" t="str">
        <f aca="false">IF(OR(E593="",E593="!!!",F593="NEW"),"",INDEX(B$2:B581,-1+SUMPRODUCT(MAX(ROW(E$2:E581)*(E593=E$2:E581)))))</f>
        <v/>
      </c>
      <c r="J593" s="26" t="str">
        <f aca="true">IF(OR(E593="",E593="!!!",F593="NEW"),"",COUNTBLANK(OFFSET(A$1,,,SUMPRODUCT(MAX(ROW(E$2:E582)*(E593=E$2:E582)))))-COUNTBLANK(OFFSET(A$1,,,SUMPRODUCT(MAX(ROW(E$1:E581)*(E593=E$1:E581))))))</f>
        <v/>
      </c>
      <c r="K593" s="26" t="str">
        <f aca="false">IF(OR(E593="",E593="!!!",F593="NEW"),"",INDEX(J$1:J581,SUMPRODUCT(MAX(ROW(E$1:E581)*(E593=E$1:E581)))))</f>
        <v/>
      </c>
      <c r="L593" s="27"/>
    </row>
    <row r="594" customFormat="false" ht="15" hidden="false" customHeight="false" outlineLevel="0" collapsed="false">
      <c r="A594" s="20" t="s">
        <v>204</v>
      </c>
      <c r="E594" s="21"/>
      <c r="F594" s="22"/>
      <c r="G594" s="23"/>
      <c r="H594" s="24"/>
      <c r="I594" s="25" t="str">
        <f aca="false">IF(OR(E594="",E594="!!!",F594="NEW"),"",INDEX(B$2:B582,-1+SUMPRODUCT(MAX(ROW(E$2:E582)*(E594=E$2:E582)))))</f>
        <v/>
      </c>
      <c r="J594" s="26" t="str">
        <f aca="true">IF(OR(E594="",E594="!!!",F594="NEW"),"",COUNTBLANK(OFFSET(A$1,,,SUMPRODUCT(MAX(ROW(E$2:E583)*(E594=E$2:E583)))))-COUNTBLANK(OFFSET(A$1,,,SUMPRODUCT(MAX(ROW(E$1:E582)*(E594=E$1:E582))))))</f>
        <v/>
      </c>
      <c r="K594" s="26" t="str">
        <f aca="false">IF(OR(E594="",E594="!!!",F594="NEW"),"",INDEX(J$1:J582,SUMPRODUCT(MAX(ROW(E$1:E582)*(E594=E$1:E582)))))</f>
        <v/>
      </c>
      <c r="L594" s="27"/>
    </row>
    <row r="595" customFormat="false" ht="15" hidden="false" customHeight="false" outlineLevel="0" collapsed="false">
      <c r="A595" s="20" t="s">
        <v>205</v>
      </c>
      <c r="B595" s="28" t="s">
        <v>206</v>
      </c>
      <c r="C595" s="28" t="s">
        <v>207</v>
      </c>
      <c r="D595" s="28" t="s">
        <v>198</v>
      </c>
      <c r="E595" s="21" t="s">
        <v>208</v>
      </c>
      <c r="F595" s="22" t="s">
        <v>226</v>
      </c>
      <c r="G595" s="23" t="s">
        <v>201</v>
      </c>
      <c r="H595" s="24"/>
      <c r="I595" s="25" t="str">
        <f aca="false">IF(OR(E595="",E595="!!!",F595="NEW"),"",INDEX(B$2:B583,-1+SUMPRODUCT(MAX(ROW(E$2:E583)*(E595=E$2:E583)))))</f>
        <v>other</v>
      </c>
      <c r="J595" s="26" t="n">
        <f aca="true">IF(OR(E595="",E595="!!!",F595="NEW"),"",COUNTBLANK(OFFSET(A$1,,,SUMPRODUCT(MAX(ROW(E$2:E584)*(E595=E$2:E584)))))-COUNTBLANK(OFFSET(A$1,,,SUMPRODUCT(MAX(ROW(E$1:E583)*(E595=E$1:E583))))))</f>
        <v>0</v>
      </c>
      <c r="K595" s="26" t="n">
        <f aca="false">IF(OR(E595="",E595="!!!",F595="NEW"),"",INDEX(J$1:J583,SUMPRODUCT(MAX(ROW(E$1:E583)*(E595=E$1:E583)))))</f>
        <v>0</v>
      </c>
      <c r="L595" s="27"/>
    </row>
    <row r="596" customFormat="false" ht="15" hidden="false" customHeight="false" outlineLevel="0" collapsed="false">
      <c r="A596" s="20" t="s">
        <v>495</v>
      </c>
      <c r="E596" s="21"/>
      <c r="F596" s="22"/>
      <c r="G596" s="23"/>
      <c r="H596" s="24"/>
      <c r="I596" s="25" t="str">
        <f aca="false">IF(OR(E596="",E596="!!!",F596="NEW"),"",INDEX(B$2:B584,-1+SUMPRODUCT(MAX(ROW(E$2:E584)*(E596=E$2:E584)))))</f>
        <v/>
      </c>
      <c r="J596" s="26" t="str">
        <f aca="true">IF(OR(E596="",E596="!!!",F596="NEW"),"",COUNTBLANK(OFFSET(A$1,,,SUMPRODUCT(MAX(ROW(E$2:E585)*(E596=E$2:E585)))))-COUNTBLANK(OFFSET(A$1,,,SUMPRODUCT(MAX(ROW(E$1:E584)*(E596=E$1:E584))))))</f>
        <v/>
      </c>
      <c r="K596" s="26" t="str">
        <f aca="false">IF(OR(E596="",E596="!!!",F596="NEW"),"",INDEX(J$1:J584,SUMPRODUCT(MAX(ROW(E$1:E584)*(E596=E$1:E584)))))</f>
        <v/>
      </c>
      <c r="L596" s="27"/>
    </row>
    <row r="597" customFormat="false" ht="15" hidden="false" customHeight="false" outlineLevel="0" collapsed="false">
      <c r="A597" s="20" t="s">
        <v>259</v>
      </c>
      <c r="E597" s="21"/>
      <c r="F597" s="22"/>
      <c r="G597" s="23"/>
      <c r="H597" s="24"/>
      <c r="I597" s="25" t="str">
        <f aca="false">IF(OR(E597="",E597="!!!",F597="NEW"),"",INDEX(B$2:B585,-1+SUMPRODUCT(MAX(ROW(E$2:E585)*(E597=E$2:E585)))))</f>
        <v/>
      </c>
      <c r="J597" s="26" t="str">
        <f aca="true">IF(OR(E597="",E597="!!!",F597="NEW"),"",COUNTBLANK(OFFSET(A$1,,,SUMPRODUCT(MAX(ROW(E$2:E586)*(E597=E$2:E586)))))-COUNTBLANK(OFFSET(A$1,,,SUMPRODUCT(MAX(ROW(E$1:E585)*(E597=E$1:E585))))))</f>
        <v/>
      </c>
      <c r="K597" s="26" t="str">
        <f aca="false">IF(OR(E597="",E597="!!!",F597="NEW"),"",INDEX(J$1:J585,SUMPRODUCT(MAX(ROW(E$1:E585)*(E597=E$1:E585)))))</f>
        <v/>
      </c>
      <c r="L597" s="27"/>
    </row>
    <row r="598" customFormat="false" ht="15" hidden="false" customHeight="false" outlineLevel="0" collapsed="false">
      <c r="A598" s="20" t="s">
        <v>496</v>
      </c>
      <c r="B598" s="28" t="s">
        <v>206</v>
      </c>
      <c r="C598" s="28" t="s">
        <v>466</v>
      </c>
      <c r="E598" s="21"/>
      <c r="F598" s="22"/>
      <c r="G598" s="23"/>
      <c r="H598" s="24"/>
      <c r="I598" s="25" t="str">
        <f aca="false">IF(OR(E598="",E598="!!!",F598="NEW"),"",INDEX(B$2:B586,-1+SUMPRODUCT(MAX(ROW(E$2:E586)*(E598=E$2:E586)))))</f>
        <v/>
      </c>
      <c r="J598" s="26" t="str">
        <f aca="true">IF(OR(E598="",E598="!!!",F598="NEW"),"",COUNTBLANK(OFFSET(A$1,,,SUMPRODUCT(MAX(ROW(E$2:E587)*(E598=E$2:E587)))))-COUNTBLANK(OFFSET(A$1,,,SUMPRODUCT(MAX(ROW(E$1:E586)*(E598=E$1:E586))))))</f>
        <v/>
      </c>
      <c r="K598" s="26" t="str">
        <f aca="false">IF(OR(E598="",E598="!!!",F598="NEW"),"",INDEX(J$1:J586,SUMPRODUCT(MAX(ROW(E$1:E586)*(E598=E$1:E586)))))</f>
        <v/>
      </c>
      <c r="L598" s="27"/>
    </row>
    <row r="599" customFormat="false" ht="15" hidden="false" customHeight="false" outlineLevel="0" collapsed="false">
      <c r="A599" s="20" t="s">
        <v>497</v>
      </c>
      <c r="E599" s="21"/>
      <c r="F599" s="22"/>
      <c r="G599" s="23"/>
      <c r="H599" s="24"/>
      <c r="I599" s="25" t="str">
        <f aca="false">IF(OR(E599="",E599="!!!",F599="NEW"),"",INDEX(B$2:B587,-1+SUMPRODUCT(MAX(ROW(E$2:E587)*(E599=E$2:E587)))))</f>
        <v/>
      </c>
      <c r="J599" s="26" t="str">
        <f aca="true">IF(OR(E599="",E599="!!!",F599="NEW"),"",COUNTBLANK(OFFSET(A$1,,,SUMPRODUCT(MAX(ROW(E$2:E588)*(E599=E$2:E588)))))-COUNTBLANK(OFFSET(A$1,,,SUMPRODUCT(MAX(ROW(E$1:E587)*(E599=E$1:E587))))))</f>
        <v/>
      </c>
      <c r="K599" s="26" t="str">
        <f aca="false">IF(OR(E599="",E599="!!!",F599="NEW"),"",INDEX(J$1:J587,SUMPRODUCT(MAX(ROW(E$1:E587)*(E599=E$1:E587)))))</f>
        <v/>
      </c>
      <c r="L599" s="27"/>
    </row>
    <row r="600" customFormat="false" ht="15" hidden="false" customHeight="false" outlineLevel="0" collapsed="false">
      <c r="A600" s="20" t="s">
        <v>372</v>
      </c>
      <c r="B600" s="28" t="s">
        <v>219</v>
      </c>
      <c r="C600" s="28" t="s">
        <v>223</v>
      </c>
      <c r="D600" s="28" t="s">
        <v>198</v>
      </c>
      <c r="E600" s="21" t="s">
        <v>372</v>
      </c>
      <c r="F600" s="22" t="s">
        <v>226</v>
      </c>
      <c r="G600" s="23" t="s">
        <v>247</v>
      </c>
      <c r="H600" s="24"/>
      <c r="I600" s="25" t="str">
        <f aca="false">IF(OR(E600="",E600="!!!",F600="NEW"),"",INDEX(B$2:B588,-1+SUMPRODUCT(MAX(ROW(E$2:E588)*(E600=E$2:E588)))))</f>
        <v>other_3</v>
      </c>
      <c r="J600" s="26" t="n">
        <f aca="true">IF(OR(E600="",E600="!!!",F600="NEW"),"",COUNTBLANK(OFFSET(A$1,,,SUMPRODUCT(MAX(ROW(E$2:E589)*(E600=E$2:E589)))))-COUNTBLANK(OFFSET(A$1,,,SUMPRODUCT(MAX(ROW(E$1:E588)*(E600=E$1:E588))))))</f>
        <v>0</v>
      </c>
      <c r="K600" s="26" t="n">
        <f aca="false">IF(OR(E600="",E600="!!!",F600="NEW"),"",INDEX(J$1:J588,SUMPRODUCT(MAX(ROW(E$1:E588)*(E600=E$1:E588)))))</f>
        <v>11</v>
      </c>
      <c r="L600" s="27"/>
    </row>
    <row r="601" customFormat="false" ht="15" hidden="false" customHeight="false" outlineLevel="0" collapsed="false">
      <c r="A601" s="20" t="s">
        <v>259</v>
      </c>
      <c r="E601" s="21"/>
      <c r="F601" s="22"/>
      <c r="G601" s="23"/>
      <c r="H601" s="24"/>
      <c r="I601" s="25" t="str">
        <f aca="false">IF(OR(E601="",E601="!!!",F601="NEW"),"",INDEX(B$2:B589,-1+SUMPRODUCT(MAX(ROW(E$2:E589)*(E601=E$2:E589)))))</f>
        <v/>
      </c>
      <c r="J601" s="26" t="str">
        <f aca="true">IF(OR(E601="",E601="!!!",F601="NEW"),"",COUNTBLANK(OFFSET(A$1,,,SUMPRODUCT(MAX(ROW(E$2:E590)*(E601=E$2:E590)))))-COUNTBLANK(OFFSET(A$1,,,SUMPRODUCT(MAX(ROW(E$1:E589)*(E601=E$1:E589))))))</f>
        <v/>
      </c>
      <c r="K601" s="26" t="str">
        <f aca="false">IF(OR(E601="",E601="!!!",F601="NEW"),"",INDEX(J$1:J589,SUMPRODUCT(MAX(ROW(E$1:E589)*(E601=E$1:E589)))))</f>
        <v/>
      </c>
      <c r="L601" s="27"/>
    </row>
    <row r="602" customFormat="false" ht="15" hidden="false" customHeight="false" outlineLevel="0" collapsed="false">
      <c r="A602" s="20" t="s">
        <v>285</v>
      </c>
      <c r="B602" s="28" t="s">
        <v>494</v>
      </c>
      <c r="E602" s="21"/>
      <c r="F602" s="22"/>
      <c r="G602" s="23"/>
      <c r="H602" s="24"/>
      <c r="I602" s="25" t="str">
        <f aca="false">IF(OR(E602="",E602="!!!",F602="NEW"),"",INDEX(B$2:B590,-1+SUMPRODUCT(MAX(ROW(E$2:E590)*(E602=E$2:E590)))))</f>
        <v/>
      </c>
      <c r="J602" s="26" t="str">
        <f aca="true">IF(OR(E602="",E602="!!!",F602="NEW"),"",COUNTBLANK(OFFSET(A$1,,,SUMPRODUCT(MAX(ROW(E$2:E591)*(E602=E$2:E591)))))-COUNTBLANK(OFFSET(A$1,,,SUMPRODUCT(MAX(ROW(E$1:E590)*(E602=E$1:E590))))))</f>
        <v/>
      </c>
      <c r="K602" s="26" t="str">
        <f aca="false">IF(OR(E602="",E602="!!!",F602="NEW"),"",INDEX(J$1:J590,SUMPRODUCT(MAX(ROW(E$1:E590)*(E602=E$1:E590)))))</f>
        <v/>
      </c>
      <c r="L602" s="27"/>
    </row>
    <row r="603" customFormat="false" ht="15" hidden="false" customHeight="false" outlineLevel="0" collapsed="false">
      <c r="A603" s="20" t="s">
        <v>386</v>
      </c>
      <c r="B603" s="28" t="s">
        <v>498</v>
      </c>
      <c r="E603" s="21"/>
      <c r="F603" s="22"/>
      <c r="G603" s="23"/>
      <c r="H603" s="24"/>
      <c r="I603" s="25" t="str">
        <f aca="false">IF(OR(E603="",E603="!!!",F603="NEW"),"",INDEX(B$2:B591,-1+SUMPRODUCT(MAX(ROW(E$2:E591)*(E603=E$2:E591)))))</f>
        <v/>
      </c>
      <c r="J603" s="26" t="str">
        <f aca="true">IF(OR(E603="",E603="!!!",F603="NEW"),"",COUNTBLANK(OFFSET(A$1,,,SUMPRODUCT(MAX(ROW(E$2:E592)*(E603=E$2:E592)))))-COUNTBLANK(OFFSET(A$1,,,SUMPRODUCT(MAX(ROW(E$1:E591)*(E603=E$1:E591))))))</f>
        <v/>
      </c>
      <c r="K603" s="26" t="str">
        <f aca="false">IF(OR(E603="",E603="!!!",F603="NEW"),"",INDEX(J$1:J591,SUMPRODUCT(MAX(ROW(E$1:E591)*(E603=E$1:E591)))))</f>
        <v/>
      </c>
      <c r="L603" s="27"/>
    </row>
    <row r="604" customFormat="false" ht="15" hidden="false" customHeight="false" outlineLevel="0" collapsed="false">
      <c r="A604" s="20" t="s">
        <v>262</v>
      </c>
      <c r="E604" s="21"/>
      <c r="F604" s="22"/>
      <c r="G604" s="23"/>
      <c r="H604" s="24"/>
      <c r="I604" s="25" t="str">
        <f aca="false">IF(OR(E604="",E604="!!!",F604="NEW"),"",INDEX(B$2:B592,-1+SUMPRODUCT(MAX(ROW(E$2:E592)*(E604=E$2:E592)))))</f>
        <v/>
      </c>
      <c r="J604" s="26" t="str">
        <f aca="true">IF(OR(E604="",E604="!!!",F604="NEW"),"",COUNTBLANK(OFFSET(A$1,,,SUMPRODUCT(MAX(ROW(E$2:E593)*(E604=E$2:E593)))))-COUNTBLANK(OFFSET(A$1,,,SUMPRODUCT(MAX(ROW(E$1:E592)*(E604=E$1:E592))))))</f>
        <v/>
      </c>
      <c r="K604" s="26" t="str">
        <f aca="false">IF(OR(E604="",E604="!!!",F604="NEW"),"",INDEX(J$1:J592,SUMPRODUCT(MAX(ROW(E$1:E592)*(E604=E$1:E592)))))</f>
        <v/>
      </c>
      <c r="L604" s="27"/>
    </row>
    <row r="605" customFormat="false" ht="15" hidden="false" customHeight="false" outlineLevel="0" collapsed="false">
      <c r="A605" s="20" t="s">
        <v>329</v>
      </c>
      <c r="E605" s="21"/>
      <c r="F605" s="22"/>
      <c r="G605" s="23"/>
      <c r="H605" s="24"/>
      <c r="I605" s="25" t="str">
        <f aca="false">IF(OR(E605="",E605="!!!",F605="NEW"),"",INDEX(B$2:B593,-1+SUMPRODUCT(MAX(ROW(E$2:E593)*(E605=E$2:E593)))))</f>
        <v/>
      </c>
      <c r="J605" s="26" t="str">
        <f aca="true">IF(OR(E605="",E605="!!!",F605="NEW"),"",COUNTBLANK(OFFSET(A$1,,,SUMPRODUCT(MAX(ROW(E$2:E594)*(E605=E$2:E594)))))-COUNTBLANK(OFFSET(A$1,,,SUMPRODUCT(MAX(ROW(E$1:E593)*(E605=E$1:E593))))))</f>
        <v/>
      </c>
      <c r="K605" s="26" t="str">
        <f aca="false">IF(OR(E605="",E605="!!!",F605="NEW"),"",INDEX(J$1:J593,SUMPRODUCT(MAX(ROW(E$1:E593)*(E605=E$1:E593)))))</f>
        <v/>
      </c>
      <c r="L605" s="27"/>
    </row>
    <row r="606" customFormat="false" ht="15" hidden="false" customHeight="false" outlineLevel="0" collapsed="false">
      <c r="A606" s="20" t="s">
        <v>244</v>
      </c>
      <c r="E606" s="21"/>
      <c r="F606" s="22"/>
      <c r="G606" s="23"/>
      <c r="H606" s="24"/>
      <c r="I606" s="25" t="str">
        <f aca="false">IF(OR(E606="",E606="!!!",F606="NEW"),"",INDEX(B$2:B594,-1+SUMPRODUCT(MAX(ROW(E$2:E594)*(E606=E$2:E594)))))</f>
        <v/>
      </c>
      <c r="J606" s="26" t="str">
        <f aca="true">IF(OR(E606="",E606="!!!",F606="NEW"),"",COUNTBLANK(OFFSET(A$1,,,SUMPRODUCT(MAX(ROW(E$2:E595)*(E606=E$2:E595)))))-COUNTBLANK(OFFSET(A$1,,,SUMPRODUCT(MAX(ROW(E$1:E594)*(E606=E$1:E594))))))</f>
        <v/>
      </c>
      <c r="K606" s="26" t="str">
        <f aca="false">IF(OR(E606="",E606="!!!",F606="NEW"),"",INDEX(J$1:J594,SUMPRODUCT(MAX(ROW(E$1:E594)*(E606=E$1:E594)))))</f>
        <v/>
      </c>
      <c r="L606" s="27"/>
    </row>
    <row r="607" customFormat="false" ht="15" hidden="false" customHeight="false" outlineLevel="0" collapsed="false">
      <c r="A607" s="20"/>
      <c r="E607" s="21"/>
      <c r="F607" s="22"/>
      <c r="G607" s="23"/>
      <c r="H607" s="24"/>
      <c r="I607" s="25" t="str">
        <f aca="false">IF(OR(E607="",E607="!!!",F607="NEW"),"",INDEX(B$2:B595,-1+SUMPRODUCT(MAX(ROW(E$2:E595)*(E607=E$2:E595)))))</f>
        <v/>
      </c>
      <c r="J607" s="26" t="str">
        <f aca="true">IF(OR(E607="",E607="!!!",F607="NEW"),"",COUNTBLANK(OFFSET(A$1,,,SUMPRODUCT(MAX(ROW(E$2:E596)*(E607=E$2:E596)))))-COUNTBLANK(OFFSET(A$1,,,SUMPRODUCT(MAX(ROW(E$1:E595)*(E607=E$1:E595))))))</f>
        <v/>
      </c>
      <c r="K607" s="26" t="str">
        <f aca="false">IF(OR(E607="",E607="!!!",F607="NEW"),"",INDEX(J$1:J595,SUMPRODUCT(MAX(ROW(E$1:E595)*(E607=E$1:E595)))))</f>
        <v/>
      </c>
      <c r="L607" s="27"/>
    </row>
    <row r="608" customFormat="false" ht="15" hidden="false" customHeight="false" outlineLevel="0" collapsed="false">
      <c r="A608" s="20" t="s">
        <v>499</v>
      </c>
      <c r="E608" s="21"/>
      <c r="F608" s="22"/>
      <c r="G608" s="23"/>
      <c r="H608" s="24"/>
      <c r="I608" s="25" t="str">
        <f aca="false">IF(OR(E608="",E608="!!!",F608="NEW"),"",INDEX(B$2:B596,-1+SUMPRODUCT(MAX(ROW(E$2:E596)*(E608=E$2:E596)))))</f>
        <v/>
      </c>
      <c r="J608" s="26" t="str">
        <f aca="true">IF(OR(E608="",E608="!!!",F608="NEW"),"",COUNTBLANK(OFFSET(A$1,,,SUMPRODUCT(MAX(ROW(E$2:E597)*(E608=E$2:E597)))))-COUNTBLANK(OFFSET(A$1,,,SUMPRODUCT(MAX(ROW(E$1:E596)*(E608=E$1:E596))))))</f>
        <v/>
      </c>
      <c r="K608" s="26" t="str">
        <f aca="false">IF(OR(E608="",E608="!!!",F608="NEW"),"",INDEX(J$1:J596,SUMPRODUCT(MAX(ROW(E$1:E596)*(E608=E$1:E596)))))</f>
        <v/>
      </c>
      <c r="L608" s="27"/>
    </row>
    <row r="609" customFormat="false" ht="15" hidden="false" customHeight="false" outlineLevel="0" collapsed="false">
      <c r="A609" s="20" t="s">
        <v>500</v>
      </c>
      <c r="E609" s="21"/>
      <c r="F609" s="22"/>
      <c r="G609" s="23"/>
      <c r="H609" s="24"/>
      <c r="I609" s="25" t="str">
        <f aca="false">IF(OR(E609="",E609="!!!",F609="NEW"),"",INDEX(B$2:B597,-1+SUMPRODUCT(MAX(ROW(E$2:E597)*(E609=E$2:E597)))))</f>
        <v/>
      </c>
      <c r="J609" s="26" t="str">
        <f aca="true">IF(OR(E609="",E609="!!!",F609="NEW"),"",COUNTBLANK(OFFSET(A$1,,,SUMPRODUCT(MAX(ROW(E$2:E598)*(E609=E$2:E598)))))-COUNTBLANK(OFFSET(A$1,,,SUMPRODUCT(MAX(ROW(E$1:E597)*(E609=E$1:E597))))))</f>
        <v/>
      </c>
      <c r="K609" s="26" t="str">
        <f aca="false">IF(OR(E609="",E609="!!!",F609="NEW"),"",INDEX(J$1:J597,SUMPRODUCT(MAX(ROW(E$1:E597)*(E609=E$1:E597)))))</f>
        <v/>
      </c>
      <c r="L609" s="27"/>
    </row>
    <row r="610" customFormat="false" ht="15" hidden="false" customHeight="false" outlineLevel="0" collapsed="false">
      <c r="A610" s="20" t="s">
        <v>204</v>
      </c>
      <c r="E610" s="21"/>
      <c r="F610" s="22"/>
      <c r="G610" s="23"/>
      <c r="H610" s="24"/>
      <c r="I610" s="25" t="str">
        <f aca="false">IF(OR(E610="",E610="!!!",F610="NEW"),"",INDEX(B$2:B598,-1+SUMPRODUCT(MAX(ROW(E$2:E598)*(E610=E$2:E598)))))</f>
        <v/>
      </c>
      <c r="J610" s="26" t="str">
        <f aca="true">IF(OR(E610="",E610="!!!",F610="NEW"),"",COUNTBLANK(OFFSET(A$1,,,SUMPRODUCT(MAX(ROW(E$2:E599)*(E610=E$2:E599)))))-COUNTBLANK(OFFSET(A$1,,,SUMPRODUCT(MAX(ROW(E$1:E598)*(E610=E$1:E598))))))</f>
        <v/>
      </c>
      <c r="K610" s="26" t="str">
        <f aca="false">IF(OR(E610="",E610="!!!",F610="NEW"),"",INDEX(J$1:J598,SUMPRODUCT(MAX(ROW(E$1:E598)*(E610=E$1:E598)))))</f>
        <v/>
      </c>
      <c r="L610" s="27"/>
    </row>
    <row r="611" customFormat="false" ht="15" hidden="false" customHeight="false" outlineLevel="0" collapsed="false">
      <c r="A611" s="20" t="s">
        <v>354</v>
      </c>
      <c r="B611" s="28" t="s">
        <v>196</v>
      </c>
      <c r="C611" s="28" t="s">
        <v>207</v>
      </c>
      <c r="D611" s="28" t="s">
        <v>198</v>
      </c>
      <c r="E611" s="21" t="s">
        <v>358</v>
      </c>
      <c r="F611" s="22" t="s">
        <v>226</v>
      </c>
      <c r="G611" s="23" t="s">
        <v>201</v>
      </c>
      <c r="H611" s="24"/>
      <c r="I611" s="25" t="str">
        <f aca="false">IF(OR(E611="",E611="!!!",F611="NEW"),"",INDEX(B$2:B599,-1+SUMPRODUCT(MAX(ROW(E$2:E599)*(E611=E$2:E599)))))</f>
        <v>OBJ_2</v>
      </c>
      <c r="J611" s="26" t="n">
        <f aca="true">IF(OR(E611="",E611="!!!",F611="NEW"),"",COUNTBLANK(OFFSET(A$1,,,SUMPRODUCT(MAX(ROW(E$2:E600)*(E611=E$2:E600)))))-COUNTBLANK(OFFSET(A$1,,,SUMPRODUCT(MAX(ROW(E$1:E599)*(E611=E$1:E599))))))</f>
        <v>0</v>
      </c>
      <c r="K611" s="26" t="n">
        <f aca="false">IF(OR(E611="",E611="!!!",F611="NEW"),"",INDEX(J$1:J599,SUMPRODUCT(MAX(ROW(E$1:E599)*(E611=E$1:E599)))))</f>
        <v>0</v>
      </c>
      <c r="L611" s="27"/>
    </row>
    <row r="612" customFormat="false" ht="15" hidden="false" customHeight="false" outlineLevel="0" collapsed="false">
      <c r="A612" s="20" t="s">
        <v>252</v>
      </c>
      <c r="E612" s="21"/>
      <c r="F612" s="22"/>
      <c r="G612" s="23"/>
      <c r="H612" s="24"/>
      <c r="I612" s="25" t="str">
        <f aca="false">IF(OR(E612="",E612="!!!",F612="NEW"),"",INDEX(B$2:B600,-1+SUMPRODUCT(MAX(ROW(E$2:E600)*(E612=E$2:E600)))))</f>
        <v/>
      </c>
      <c r="J612" s="26" t="str">
        <f aca="true">IF(OR(E612="",E612="!!!",F612="NEW"),"",COUNTBLANK(OFFSET(A$1,,,SUMPRODUCT(MAX(ROW(E$2:E601)*(E612=E$2:E601)))))-COUNTBLANK(OFFSET(A$1,,,SUMPRODUCT(MAX(ROW(E$1:E600)*(E612=E$1:E600))))))</f>
        <v/>
      </c>
      <c r="K612" s="26" t="str">
        <f aca="false">IF(OR(E612="",E612="!!!",F612="NEW"),"",INDEX(J$1:J600,SUMPRODUCT(MAX(ROW(E$1:E600)*(E612=E$1:E600)))))</f>
        <v/>
      </c>
      <c r="L612" s="27"/>
    </row>
    <row r="613" customFormat="false" ht="15" hidden="false" customHeight="false" outlineLevel="0" collapsed="false">
      <c r="A613" s="20" t="s">
        <v>369</v>
      </c>
      <c r="E613" s="21"/>
      <c r="F613" s="22"/>
      <c r="G613" s="23"/>
      <c r="H613" s="24"/>
      <c r="I613" s="25" t="str">
        <f aca="false">IF(OR(E613="",E613="!!!",F613="NEW"),"",INDEX(B$2:B601,-1+SUMPRODUCT(MAX(ROW(E$2:E601)*(E613=E$2:E601)))))</f>
        <v/>
      </c>
      <c r="J613" s="26" t="str">
        <f aca="true">IF(OR(E613="",E613="!!!",F613="NEW"),"",COUNTBLANK(OFFSET(A$1,,,SUMPRODUCT(MAX(ROW(E$2:E602)*(E613=E$2:E602)))))-COUNTBLANK(OFFSET(A$1,,,SUMPRODUCT(MAX(ROW(E$1:E601)*(E613=E$1:E601))))))</f>
        <v/>
      </c>
      <c r="K613" s="26" t="str">
        <f aca="false">IF(OR(E613="",E613="!!!",F613="NEW"),"",INDEX(J$1:J601,SUMPRODUCT(MAX(ROW(E$1:E601)*(E613=E$1:E601)))))</f>
        <v/>
      </c>
      <c r="L613" s="27"/>
    </row>
    <row r="614" customFormat="false" ht="15" hidden="false" customHeight="false" outlineLevel="0" collapsed="false">
      <c r="A614" s="20" t="s">
        <v>330</v>
      </c>
      <c r="E614" s="21"/>
      <c r="F614" s="22"/>
      <c r="G614" s="23"/>
      <c r="H614" s="24"/>
      <c r="I614" s="25" t="str">
        <f aca="false">IF(OR(E614="",E614="!!!",F614="NEW"),"",INDEX(B$2:B602,-1+SUMPRODUCT(MAX(ROW(E$2:E602)*(E614=E$2:E602)))))</f>
        <v/>
      </c>
      <c r="J614" s="26" t="str">
        <f aca="true">IF(OR(E614="",E614="!!!",F614="NEW"),"",COUNTBLANK(OFFSET(A$1,,,SUMPRODUCT(MAX(ROW(E$2:E603)*(E614=E$2:E603)))))-COUNTBLANK(OFFSET(A$1,,,SUMPRODUCT(MAX(ROW(E$1:E602)*(E614=E$1:E602))))))</f>
        <v/>
      </c>
      <c r="K614" s="26" t="str">
        <f aca="false">IF(OR(E614="",E614="!!!",F614="NEW"),"",INDEX(J$1:J602,SUMPRODUCT(MAX(ROW(E$1:E602)*(E614=E$1:E602)))))</f>
        <v/>
      </c>
      <c r="L614" s="27"/>
    </row>
    <row r="615" customFormat="false" ht="15" hidden="false" customHeight="false" outlineLevel="0" collapsed="false">
      <c r="A615" s="20" t="s">
        <v>447</v>
      </c>
      <c r="B615" s="28" t="s">
        <v>270</v>
      </c>
      <c r="C615" s="28" t="s">
        <v>357</v>
      </c>
      <c r="D615" s="28" t="s">
        <v>198</v>
      </c>
      <c r="E615" s="21" t="s">
        <v>456</v>
      </c>
      <c r="F615" s="22" t="s">
        <v>226</v>
      </c>
      <c r="G615" s="23" t="s">
        <v>201</v>
      </c>
      <c r="H615" s="24"/>
      <c r="I615" s="25" t="str">
        <f aca="false">IF(OR(E615="",E615="!!!",F615="NEW"),"",INDEX(B$2:B603,-1+SUMPRODUCT(MAX(ROW(E$2:E603)*(E615=E$2:E603)))))</f>
        <v>OBJ_2</v>
      </c>
      <c r="J615" s="26" t="n">
        <f aca="true">IF(OR(E615="",E615="!!!",F615="NEW"),"",COUNTBLANK(OFFSET(A$1,,,SUMPRODUCT(MAX(ROW(E$2:E604)*(E615=E$2:E604)))))-COUNTBLANK(OFFSET(A$1,,,SUMPRODUCT(MAX(ROW(E$1:E603)*(E615=E$1:E603))))))</f>
        <v>0</v>
      </c>
      <c r="K615" s="26" t="str">
        <f aca="false">IF(OR(E615="",E615="!!!",F615="NEW"),"",INDEX(J$1:J603,SUMPRODUCT(MAX(ROW(E$1:E603)*(E615=E$1:E603)))))</f>
        <v/>
      </c>
      <c r="L615" s="27"/>
    </row>
    <row r="616" customFormat="false" ht="15" hidden="false" customHeight="false" outlineLevel="0" collapsed="false">
      <c r="A616" s="20" t="s">
        <v>217</v>
      </c>
      <c r="E616" s="21"/>
      <c r="F616" s="22"/>
      <c r="G616" s="23"/>
      <c r="H616" s="24"/>
      <c r="I616" s="25" t="str">
        <f aca="false">IF(OR(E616="",E616="!!!",F616="NEW"),"",INDEX(B$2:B604,-1+SUMPRODUCT(MAX(ROW(E$2:E604)*(E616=E$2:E604)))))</f>
        <v/>
      </c>
      <c r="J616" s="26" t="str">
        <f aca="true">IF(OR(E616="",E616="!!!",F616="NEW"),"",COUNTBLANK(OFFSET(A$1,,,SUMPRODUCT(MAX(ROW(E$2:E605)*(E616=E$2:E605)))))-COUNTBLANK(OFFSET(A$1,,,SUMPRODUCT(MAX(ROW(E$1:E604)*(E616=E$1:E604))))))</f>
        <v/>
      </c>
      <c r="K616" s="26" t="str">
        <f aca="false">IF(OR(E616="",E616="!!!",F616="NEW"),"",INDEX(J$1:J604,SUMPRODUCT(MAX(ROW(E$1:E604)*(E616=E$1:E604)))))</f>
        <v/>
      </c>
      <c r="L616" s="27"/>
    </row>
    <row r="617" customFormat="false" ht="15" hidden="false" customHeight="false" outlineLevel="0" collapsed="false">
      <c r="A617" s="20" t="s">
        <v>501</v>
      </c>
      <c r="B617" s="28" t="s">
        <v>310</v>
      </c>
      <c r="C617" s="28" t="s">
        <v>251</v>
      </c>
      <c r="E617" s="21"/>
      <c r="F617" s="22"/>
      <c r="G617" s="23"/>
      <c r="H617" s="24"/>
      <c r="I617" s="25" t="str">
        <f aca="false">IF(OR(E617="",E617="!!!",F617="NEW"),"",INDEX(B$2:B605,-1+SUMPRODUCT(MAX(ROW(E$2:E605)*(E617=E$2:E605)))))</f>
        <v/>
      </c>
      <c r="J617" s="26" t="str">
        <f aca="true">IF(OR(E617="",E617="!!!",F617="NEW"),"",COUNTBLANK(OFFSET(A$1,,,SUMPRODUCT(MAX(ROW(E$2:E606)*(E617=E$2:E606)))))-COUNTBLANK(OFFSET(A$1,,,SUMPRODUCT(MAX(ROW(E$1:E605)*(E617=E$1:E605))))))</f>
        <v/>
      </c>
      <c r="K617" s="26" t="str">
        <f aca="false">IF(OR(E617="",E617="!!!",F617="NEW"),"",INDEX(J$1:J605,SUMPRODUCT(MAX(ROW(E$1:E605)*(E617=E$1:E605)))))</f>
        <v/>
      </c>
      <c r="L617" s="27"/>
    </row>
    <row r="618" customFormat="false" ht="15" hidden="false" customHeight="false" outlineLevel="0" collapsed="false">
      <c r="A618" s="20" t="s">
        <v>262</v>
      </c>
      <c r="E618" s="21"/>
      <c r="F618" s="22"/>
      <c r="G618" s="23"/>
      <c r="H618" s="24"/>
      <c r="I618" s="25" t="str">
        <f aca="false">IF(OR(E618="",E618="!!!",F618="NEW"),"",INDEX(B$2:B606,-1+SUMPRODUCT(MAX(ROW(E$2:E606)*(E618=E$2:E606)))))</f>
        <v/>
      </c>
      <c r="J618" s="26" t="str">
        <f aca="true">IF(OR(E618="",E618="!!!",F618="NEW"),"",COUNTBLANK(OFFSET(A$1,,,SUMPRODUCT(MAX(ROW(E$2:E607)*(E618=E$2:E607)))))-COUNTBLANK(OFFSET(A$1,,,SUMPRODUCT(MAX(ROW(E$1:E606)*(E618=E$1:E606))))))</f>
        <v/>
      </c>
      <c r="K618" s="26" t="str">
        <f aca="false">IF(OR(E618="",E618="!!!",F618="NEW"),"",INDEX(J$1:J606,SUMPRODUCT(MAX(ROW(E$1:E606)*(E618=E$1:E606)))))</f>
        <v/>
      </c>
      <c r="L618" s="27"/>
    </row>
    <row r="619" customFormat="false" ht="15" hidden="false" customHeight="false" outlineLevel="0" collapsed="false">
      <c r="A619" s="20" t="s">
        <v>502</v>
      </c>
      <c r="E619" s="21"/>
      <c r="F619" s="22"/>
      <c r="G619" s="23"/>
      <c r="H619" s="24"/>
      <c r="I619" s="25" t="str">
        <f aca="false">IF(OR(E619="",E619="!!!",F619="NEW"),"",INDEX(B$2:B607,-1+SUMPRODUCT(MAX(ROW(E$2:E607)*(E619=E$2:E607)))))</f>
        <v/>
      </c>
      <c r="J619" s="26" t="str">
        <f aca="true">IF(OR(E619="",E619="!!!",F619="NEW"),"",COUNTBLANK(OFFSET(A$1,,,SUMPRODUCT(MAX(ROW(E$2:E608)*(E619=E$2:E608)))))-COUNTBLANK(OFFSET(A$1,,,SUMPRODUCT(MAX(ROW(E$1:E607)*(E619=E$1:E607))))))</f>
        <v/>
      </c>
      <c r="K619" s="26" t="str">
        <f aca="false">IF(OR(E619="",E619="!!!",F619="NEW"),"",INDEX(J$1:J607,SUMPRODUCT(MAX(ROW(E$1:E607)*(E619=E$1:E607)))))</f>
        <v/>
      </c>
      <c r="L619" s="27"/>
    </row>
    <row r="620" customFormat="false" ht="15" hidden="false" customHeight="false" outlineLevel="0" collapsed="false">
      <c r="A620" s="20" t="s">
        <v>262</v>
      </c>
      <c r="E620" s="21"/>
      <c r="F620" s="22"/>
      <c r="G620" s="23"/>
      <c r="H620" s="24"/>
      <c r="I620" s="25" t="str">
        <f aca="false">IF(OR(E620="",E620="!!!",F620="NEW"),"",INDEX(B$2:B608,-1+SUMPRODUCT(MAX(ROW(E$2:E608)*(E620=E$2:E608)))))</f>
        <v/>
      </c>
      <c r="J620" s="26" t="str">
        <f aca="true">IF(OR(E620="",E620="!!!",F620="NEW"),"",COUNTBLANK(OFFSET(A$1,,,SUMPRODUCT(MAX(ROW(E$2:E609)*(E620=E$2:E609)))))-COUNTBLANK(OFFSET(A$1,,,SUMPRODUCT(MAX(ROW(E$1:E608)*(E620=E$1:E608))))))</f>
        <v/>
      </c>
      <c r="K620" s="26" t="str">
        <f aca="false">IF(OR(E620="",E620="!!!",F620="NEW"),"",INDEX(J$1:J608,SUMPRODUCT(MAX(ROW(E$1:E608)*(E620=E$1:E608)))))</f>
        <v/>
      </c>
      <c r="L620" s="27"/>
    </row>
    <row r="621" customFormat="false" ht="15" hidden="false" customHeight="false" outlineLevel="0" collapsed="false">
      <c r="A621" s="20" t="s">
        <v>503</v>
      </c>
      <c r="E621" s="21"/>
      <c r="F621" s="22"/>
      <c r="G621" s="23"/>
      <c r="H621" s="24"/>
      <c r="I621" s="25" t="str">
        <f aca="false">IF(OR(E621="",E621="!!!",F621="NEW"),"",INDEX(B$2:B609,-1+SUMPRODUCT(MAX(ROW(E$2:E609)*(E621=E$2:E609)))))</f>
        <v/>
      </c>
      <c r="J621" s="26" t="str">
        <f aca="true">IF(OR(E621="",E621="!!!",F621="NEW"),"",COUNTBLANK(OFFSET(A$1,,,SUMPRODUCT(MAX(ROW(E$2:E610)*(E621=E$2:E610)))))-COUNTBLANK(OFFSET(A$1,,,SUMPRODUCT(MAX(ROW(E$1:E609)*(E621=E$1:E609))))))</f>
        <v/>
      </c>
      <c r="K621" s="26" t="str">
        <f aca="false">IF(OR(E621="",E621="!!!",F621="NEW"),"",INDEX(J$1:J609,SUMPRODUCT(MAX(ROW(E$1:E609)*(E621=E$1:E609)))))</f>
        <v/>
      </c>
      <c r="L621" s="27"/>
    </row>
    <row r="622" customFormat="false" ht="15" hidden="false" customHeight="false" outlineLevel="0" collapsed="false">
      <c r="A622" s="20" t="s">
        <v>481</v>
      </c>
      <c r="E622" s="21"/>
      <c r="F622" s="22"/>
      <c r="G622" s="23"/>
      <c r="H622" s="24"/>
      <c r="I622" s="25" t="str">
        <f aca="false">IF(OR(E622="",E622="!!!",F622="NEW"),"",INDEX(B$2:B610,-1+SUMPRODUCT(MAX(ROW(E$2:E610)*(E622=E$2:E610)))))</f>
        <v/>
      </c>
      <c r="J622" s="26" t="str">
        <f aca="true">IF(OR(E622="",E622="!!!",F622="NEW"),"",COUNTBLANK(OFFSET(A$1,,,SUMPRODUCT(MAX(ROW(E$2:E611)*(E622=E$2:E611)))))-COUNTBLANK(OFFSET(A$1,,,SUMPRODUCT(MAX(ROW(E$1:E610)*(E622=E$1:E610))))))</f>
        <v/>
      </c>
      <c r="K622" s="26" t="str">
        <f aca="false">IF(OR(E622="",E622="!!!",F622="NEW"),"",INDEX(J$1:J610,SUMPRODUCT(MAX(ROW(E$1:E610)*(E622=E$1:E610)))))</f>
        <v/>
      </c>
      <c r="L622" s="27"/>
    </row>
    <row r="623" customFormat="false" ht="15" hidden="false" customHeight="false" outlineLevel="0" collapsed="false">
      <c r="A623" s="20" t="s">
        <v>504</v>
      </c>
      <c r="E623" s="21"/>
      <c r="F623" s="22"/>
      <c r="G623" s="23"/>
      <c r="H623" s="24"/>
      <c r="I623" s="25" t="str">
        <f aca="false">IF(OR(E623="",E623="!!!",F623="NEW"),"",INDEX(B$2:B611,-1+SUMPRODUCT(MAX(ROW(E$2:E611)*(E623=E$2:E611)))))</f>
        <v/>
      </c>
      <c r="J623" s="26" t="str">
        <f aca="true">IF(OR(E623="",E623="!!!",F623="NEW"),"",COUNTBLANK(OFFSET(A$1,,,SUMPRODUCT(MAX(ROW(E$2:E612)*(E623=E$2:E612)))))-COUNTBLANK(OFFSET(A$1,,,SUMPRODUCT(MAX(ROW(E$1:E611)*(E623=E$1:E611))))))</f>
        <v/>
      </c>
      <c r="K623" s="26" t="str">
        <f aca="false">IF(OR(E623="",E623="!!!",F623="NEW"),"",INDEX(J$1:J611,SUMPRODUCT(MAX(ROW(E$1:E611)*(E623=E$1:E611)))))</f>
        <v/>
      </c>
      <c r="L623" s="27"/>
    </row>
    <row r="624" customFormat="false" ht="15" hidden="false" customHeight="false" outlineLevel="0" collapsed="false">
      <c r="A624" s="20" t="s">
        <v>505</v>
      </c>
      <c r="B624" s="28" t="s">
        <v>206</v>
      </c>
      <c r="C624" s="28" t="s">
        <v>492</v>
      </c>
      <c r="E624" s="21"/>
      <c r="F624" s="22"/>
      <c r="G624" s="23"/>
      <c r="H624" s="24"/>
      <c r="I624" s="25" t="str">
        <f aca="false">IF(OR(E624="",E624="!!!",F624="NEW"),"",INDEX(B$2:B612,-1+SUMPRODUCT(MAX(ROW(E$2:E612)*(E624=E$2:E612)))))</f>
        <v/>
      </c>
      <c r="J624" s="26" t="str">
        <f aca="true">IF(OR(E624="",E624="!!!",F624="NEW"),"",COUNTBLANK(OFFSET(A$1,,,SUMPRODUCT(MAX(ROW(E$2:E613)*(E624=E$2:E613)))))-COUNTBLANK(OFFSET(A$1,,,SUMPRODUCT(MAX(ROW(E$1:E612)*(E624=E$1:E612))))))</f>
        <v/>
      </c>
      <c r="K624" s="26" t="str">
        <f aca="false">IF(OR(E624="",E624="!!!",F624="NEW"),"",INDEX(J$1:J612,SUMPRODUCT(MAX(ROW(E$1:E612)*(E624=E$1:E612)))))</f>
        <v/>
      </c>
      <c r="L624" s="27"/>
    </row>
    <row r="625" customFormat="false" ht="15" hidden="false" customHeight="false" outlineLevel="0" collapsed="false">
      <c r="A625" s="20" t="s">
        <v>506</v>
      </c>
      <c r="E625" s="21"/>
      <c r="F625" s="22"/>
      <c r="G625" s="23"/>
      <c r="H625" s="24"/>
      <c r="I625" s="25" t="str">
        <f aca="false">IF(OR(E625="",E625="!!!",F625="NEW"),"",INDEX(B$2:B613,-1+SUMPRODUCT(MAX(ROW(E$2:E613)*(E625=E$2:E613)))))</f>
        <v/>
      </c>
      <c r="J625" s="26" t="str">
        <f aca="true">IF(OR(E625="",E625="!!!",F625="NEW"),"",COUNTBLANK(OFFSET(A$1,,,SUMPRODUCT(MAX(ROW(E$2:E614)*(E625=E$2:E614)))))-COUNTBLANK(OFFSET(A$1,,,SUMPRODUCT(MAX(ROW(E$1:E613)*(E625=E$1:E613))))))</f>
        <v/>
      </c>
      <c r="K625" s="26" t="str">
        <f aca="false">IF(OR(E625="",E625="!!!",F625="NEW"),"",INDEX(J$1:J613,SUMPRODUCT(MAX(ROW(E$1:E613)*(E625=E$1:E613)))))</f>
        <v/>
      </c>
      <c r="L625" s="27"/>
    </row>
    <row r="626" customFormat="false" ht="15" hidden="false" customHeight="false" outlineLevel="0" collapsed="false">
      <c r="A626" s="20" t="s">
        <v>244</v>
      </c>
      <c r="E626" s="21"/>
      <c r="F626" s="22"/>
      <c r="G626" s="23"/>
      <c r="H626" s="24"/>
      <c r="I626" s="25" t="str">
        <f aca="false">IF(OR(E626="",E626="!!!",F626="NEW"),"",INDEX(B$2:B614,-1+SUMPRODUCT(MAX(ROW(E$2:E614)*(E626=E$2:E614)))))</f>
        <v/>
      </c>
      <c r="J626" s="26" t="str">
        <f aca="true">IF(OR(E626="",E626="!!!",F626="NEW"),"",COUNTBLANK(OFFSET(A$1,,,SUMPRODUCT(MAX(ROW(E$2:E615)*(E626=E$2:E615)))))-COUNTBLANK(OFFSET(A$1,,,SUMPRODUCT(MAX(ROW(E$1:E614)*(E626=E$1:E614))))))</f>
        <v/>
      </c>
      <c r="K626" s="26" t="str">
        <f aca="false">IF(OR(E626="",E626="!!!",F626="NEW"),"",INDEX(J$1:J614,SUMPRODUCT(MAX(ROW(E$1:E614)*(E626=E$1:E614)))))</f>
        <v/>
      </c>
      <c r="L626" s="27"/>
    </row>
    <row r="627" customFormat="false" ht="15" hidden="false" customHeight="false" outlineLevel="0" collapsed="false">
      <c r="A627" s="20"/>
      <c r="E627" s="21"/>
      <c r="F627" s="22"/>
      <c r="G627" s="23"/>
      <c r="H627" s="24"/>
      <c r="I627" s="25" t="str">
        <f aca="false">IF(OR(E627="",E627="!!!",F627="NEW"),"",INDEX(B$2:B615,-1+SUMPRODUCT(MAX(ROW(E$2:E615)*(E627=E$2:E615)))))</f>
        <v/>
      </c>
      <c r="J627" s="26" t="str">
        <f aca="true">IF(OR(E627="",E627="!!!",F627="NEW"),"",COUNTBLANK(OFFSET(A$1,,,SUMPRODUCT(MAX(ROW(E$2:E616)*(E627=E$2:E616)))))-COUNTBLANK(OFFSET(A$1,,,SUMPRODUCT(MAX(ROW(E$1:E615)*(E627=E$1:E615))))))</f>
        <v/>
      </c>
      <c r="K627" s="26" t="str">
        <f aca="false">IF(OR(E627="",E627="!!!",F627="NEW"),"",INDEX(J$1:J615,SUMPRODUCT(MAX(ROW(E$1:E615)*(E627=E$1:E615)))))</f>
        <v/>
      </c>
      <c r="L627" s="27"/>
    </row>
    <row r="628" customFormat="false" ht="15" hidden="false" customHeight="false" outlineLevel="0" collapsed="false">
      <c r="A628" s="20" t="s">
        <v>507</v>
      </c>
      <c r="E628" s="21"/>
      <c r="F628" s="22"/>
      <c r="G628" s="23"/>
      <c r="H628" s="24"/>
      <c r="I628" s="25" t="str">
        <f aca="false">IF(OR(E628="",E628="!!!",F628="NEW"),"",INDEX(B$2:B616,-1+SUMPRODUCT(MAX(ROW(E$2:E616)*(E628=E$2:E616)))))</f>
        <v/>
      </c>
      <c r="J628" s="26" t="str">
        <f aca="true">IF(OR(E628="",E628="!!!",F628="NEW"),"",COUNTBLANK(OFFSET(A$1,,,SUMPRODUCT(MAX(ROW(E$2:E617)*(E628=E$2:E617)))))-COUNTBLANK(OFFSET(A$1,,,SUMPRODUCT(MAX(ROW(E$1:E616)*(E628=E$1:E616))))))</f>
        <v/>
      </c>
      <c r="K628" s="26" t="str">
        <f aca="false">IF(OR(E628="",E628="!!!",F628="NEW"),"",INDEX(J$1:J616,SUMPRODUCT(MAX(ROW(E$1:E616)*(E628=E$1:E616)))))</f>
        <v/>
      </c>
      <c r="L628" s="27"/>
    </row>
    <row r="629" customFormat="false" ht="15" hidden="false" customHeight="false" outlineLevel="0" collapsed="false">
      <c r="A629" s="20" t="s">
        <v>508</v>
      </c>
      <c r="E629" s="21"/>
      <c r="F629" s="22"/>
      <c r="G629" s="23"/>
      <c r="H629" s="24"/>
      <c r="I629" s="25" t="str">
        <f aca="false">IF(OR(E629="",E629="!!!",F629="NEW"),"",INDEX(B$2:B617,-1+SUMPRODUCT(MAX(ROW(E$2:E617)*(E629=E$2:E617)))))</f>
        <v/>
      </c>
      <c r="J629" s="26" t="str">
        <f aca="true">IF(OR(E629="",E629="!!!",F629="NEW"),"",COUNTBLANK(OFFSET(A$1,,,SUMPRODUCT(MAX(ROW(E$2:E618)*(E629=E$2:E618)))))-COUNTBLANK(OFFSET(A$1,,,SUMPRODUCT(MAX(ROW(E$1:E617)*(E629=E$1:E617))))))</f>
        <v/>
      </c>
      <c r="K629" s="26" t="str">
        <f aca="false">IF(OR(E629="",E629="!!!",F629="NEW"),"",INDEX(J$1:J617,SUMPRODUCT(MAX(ROW(E$1:E617)*(E629=E$1:E617)))))</f>
        <v/>
      </c>
      <c r="L629" s="27"/>
    </row>
    <row r="630" customFormat="false" ht="15" hidden="false" customHeight="false" outlineLevel="0" collapsed="false">
      <c r="A630" s="20" t="s">
        <v>95</v>
      </c>
      <c r="E630" s="21"/>
      <c r="F630" s="22"/>
      <c r="G630" s="23"/>
      <c r="H630" s="24"/>
      <c r="I630" s="25" t="str">
        <f aca="false">IF(OR(E630="",E630="!!!",F630="NEW"),"",INDEX(B$2:B618,-1+SUMPRODUCT(MAX(ROW(E$2:E618)*(E630=E$2:E618)))))</f>
        <v/>
      </c>
      <c r="J630" s="26" t="str">
        <f aca="true">IF(OR(E630="",E630="!!!",F630="NEW"),"",COUNTBLANK(OFFSET(A$1,,,SUMPRODUCT(MAX(ROW(E$2:E619)*(E630=E$2:E619)))))-COUNTBLANK(OFFSET(A$1,,,SUMPRODUCT(MAX(ROW(E$1:E618)*(E630=E$1:E618))))))</f>
        <v/>
      </c>
      <c r="K630" s="26" t="str">
        <f aca="false">IF(OR(E630="",E630="!!!",F630="NEW"),"",INDEX(J$1:J618,SUMPRODUCT(MAX(ROW(E$1:E618)*(E630=E$1:E618)))))</f>
        <v/>
      </c>
      <c r="L630" s="27"/>
    </row>
    <row r="631" customFormat="false" ht="15" hidden="false" customHeight="false" outlineLevel="0" collapsed="false">
      <c r="A631" s="20" t="s">
        <v>431</v>
      </c>
      <c r="E631" s="21"/>
      <c r="F631" s="22"/>
      <c r="G631" s="23"/>
      <c r="H631" s="24"/>
      <c r="I631" s="25" t="str">
        <f aca="false">IF(OR(E631="",E631="!!!",F631="NEW"),"",INDEX(B$2:B619,-1+SUMPRODUCT(MAX(ROW(E$2:E619)*(E631=E$2:E619)))))</f>
        <v/>
      </c>
      <c r="J631" s="26" t="str">
        <f aca="true">IF(OR(E631="",E631="!!!",F631="NEW"),"",COUNTBLANK(OFFSET(A$1,,,SUMPRODUCT(MAX(ROW(E$2:E620)*(E631=E$2:E620)))))-COUNTBLANK(OFFSET(A$1,,,SUMPRODUCT(MAX(ROW(E$1:E619)*(E631=E$1:E619))))))</f>
        <v/>
      </c>
      <c r="K631" s="26" t="str">
        <f aca="false">IF(OR(E631="",E631="!!!",F631="NEW"),"",INDEX(J$1:J619,SUMPRODUCT(MAX(ROW(E$1:E619)*(E631=E$1:E619)))))</f>
        <v/>
      </c>
      <c r="L631" s="27"/>
    </row>
    <row r="632" customFormat="false" ht="15" hidden="false" customHeight="false" outlineLevel="0" collapsed="false">
      <c r="A632" s="20" t="s">
        <v>209</v>
      </c>
      <c r="E632" s="21"/>
      <c r="F632" s="22"/>
      <c r="G632" s="23"/>
      <c r="H632" s="24"/>
      <c r="I632" s="25" t="str">
        <f aca="false">IF(OR(E632="",E632="!!!",F632="NEW"),"",INDEX(B$2:B620,-1+SUMPRODUCT(MAX(ROW(E$2:E620)*(E632=E$2:E620)))))</f>
        <v/>
      </c>
      <c r="J632" s="26" t="str">
        <f aca="true">IF(OR(E632="",E632="!!!",F632="NEW"),"",COUNTBLANK(OFFSET(A$1,,,SUMPRODUCT(MAX(ROW(E$2:E621)*(E632=E$2:E621)))))-COUNTBLANK(OFFSET(A$1,,,SUMPRODUCT(MAX(ROW(E$1:E620)*(E632=E$1:E620))))))</f>
        <v/>
      </c>
      <c r="K632" s="26" t="str">
        <f aca="false">IF(OR(E632="",E632="!!!",F632="NEW"),"",INDEX(J$1:J620,SUMPRODUCT(MAX(ROW(E$1:E620)*(E632=E$1:E620)))))</f>
        <v/>
      </c>
      <c r="L632" s="27"/>
    </row>
    <row r="633" customFormat="false" ht="15" hidden="false" customHeight="false" outlineLevel="0" collapsed="false">
      <c r="A633" s="20" t="s">
        <v>195</v>
      </c>
      <c r="B633" s="28" t="s">
        <v>222</v>
      </c>
      <c r="C633" s="28" t="s">
        <v>197</v>
      </c>
      <c r="D633" s="28" t="s">
        <v>198</v>
      </c>
      <c r="E633" s="21" t="s">
        <v>199</v>
      </c>
      <c r="F633" s="22" t="s">
        <v>226</v>
      </c>
      <c r="G633" s="23" t="s">
        <v>247</v>
      </c>
      <c r="H633" s="24"/>
      <c r="I633" s="25" t="str">
        <f aca="false">IF(OR(E633="",E633="!!!",F633="NEW"),"",INDEX(B$2:B621,-1+SUMPRODUCT(MAX(ROW(E$2:E621)*(E633=E$2:E621)))))</f>
        <v>OBJ_5</v>
      </c>
      <c r="J633" s="26" t="n">
        <f aca="true">IF(OR(E633="",E633="!!!",F633="NEW"),"",COUNTBLANK(OFFSET(A$1,,,SUMPRODUCT(MAX(ROW(E$2:E622)*(E633=E$2:E622)))))-COUNTBLANK(OFFSET(A$1,,,SUMPRODUCT(MAX(ROW(E$1:E621)*(E633=E$1:E621))))))</f>
        <v>0</v>
      </c>
      <c r="K633" s="26" t="n">
        <f aca="false">IF(OR(E633="",E633="!!!",F633="NEW"),"",INDEX(J$1:J621,SUMPRODUCT(MAX(ROW(E$1:E621)*(E633=E$1:E621)))))</f>
        <v>0</v>
      </c>
      <c r="L633" s="27"/>
    </row>
    <row r="634" customFormat="false" ht="15" hidden="false" customHeight="false" outlineLevel="0" collapsed="false">
      <c r="A634" s="20" t="s">
        <v>224</v>
      </c>
      <c r="E634" s="21"/>
      <c r="F634" s="22"/>
      <c r="G634" s="23"/>
      <c r="H634" s="24"/>
      <c r="I634" s="25" t="str">
        <f aca="false">IF(OR(E634="",E634="!!!",F634="NEW"),"",INDEX(B$2:B622,-1+SUMPRODUCT(MAX(ROW(E$2:E622)*(E634=E$2:E622)))))</f>
        <v/>
      </c>
      <c r="J634" s="26" t="str">
        <f aca="true">IF(OR(E634="",E634="!!!",F634="NEW"),"",COUNTBLANK(OFFSET(A$1,,,SUMPRODUCT(MAX(ROW(E$2:E623)*(E634=E$2:E623)))))-COUNTBLANK(OFFSET(A$1,,,SUMPRODUCT(MAX(ROW(E$1:E622)*(E634=E$1:E622))))))</f>
        <v/>
      </c>
      <c r="K634" s="26" t="str">
        <f aca="false">IF(OR(E634="",E634="!!!",F634="NEW"),"",INDEX(J$1:J622,SUMPRODUCT(MAX(ROW(E$1:E622)*(E634=E$1:E622)))))</f>
        <v/>
      </c>
      <c r="L634" s="27"/>
    </row>
    <row r="635" customFormat="false" ht="15" hidden="false" customHeight="false" outlineLevel="0" collapsed="false">
      <c r="A635" s="20" t="s">
        <v>203</v>
      </c>
      <c r="E635" s="21"/>
      <c r="F635" s="22"/>
      <c r="G635" s="23"/>
      <c r="H635" s="24"/>
      <c r="I635" s="25" t="str">
        <f aca="false">IF(OR(E635="",E635="!!!",F635="NEW"),"",INDEX(B$2:B623,-1+SUMPRODUCT(MAX(ROW(E$2:E623)*(E635=E$2:E623)))))</f>
        <v/>
      </c>
      <c r="J635" s="26" t="str">
        <f aca="true">IF(OR(E635="",E635="!!!",F635="NEW"),"",COUNTBLANK(OFFSET(A$1,,,SUMPRODUCT(MAX(ROW(E$2:E624)*(E635=E$2:E624)))))-COUNTBLANK(OFFSET(A$1,,,SUMPRODUCT(MAX(ROW(E$1:E623)*(E635=E$1:E623))))))</f>
        <v/>
      </c>
      <c r="K635" s="26" t="str">
        <f aca="false">IF(OR(E635="",E635="!!!",F635="NEW"),"",INDEX(J$1:J623,SUMPRODUCT(MAX(ROW(E$1:E623)*(E635=E$1:E623)))))</f>
        <v/>
      </c>
      <c r="L635" s="27"/>
    </row>
    <row r="636" customFormat="false" ht="15" hidden="false" customHeight="false" outlineLevel="0" collapsed="false">
      <c r="A636" s="20" t="s">
        <v>286</v>
      </c>
      <c r="B636" s="28" t="s">
        <v>219</v>
      </c>
      <c r="C636" s="28" t="s">
        <v>287</v>
      </c>
      <c r="D636" s="28" t="s">
        <v>198</v>
      </c>
      <c r="E636" s="21" t="s">
        <v>199</v>
      </c>
      <c r="F636" s="22" t="s">
        <v>226</v>
      </c>
      <c r="G636" s="23" t="s">
        <v>227</v>
      </c>
      <c r="H636" s="24"/>
      <c r="I636" s="25" t="str">
        <f aca="false">IF(OR(E636="",E636="!!!",F636="NEW"),"",INDEX(B$2:B624,-1+SUMPRODUCT(MAX(ROW(E$2:E624)*(E636=E$2:E624)))))</f>
        <v>OBJ_5</v>
      </c>
      <c r="J636" s="26" t="n">
        <f aca="true">IF(OR(E636="",E636="!!!",F636="NEW"),"",COUNTBLANK(OFFSET(A$1,,,SUMPRODUCT(MAX(ROW(E$2:E625)*(E636=E$2:E625)))))-COUNTBLANK(OFFSET(A$1,,,SUMPRODUCT(MAX(ROW(E$1:E624)*(E636=E$1:E624))))))</f>
        <v>0</v>
      </c>
      <c r="K636" s="26" t="n">
        <f aca="false">IF(OR(E636="",E636="!!!",F636="NEW"),"",INDEX(J$1:J624,SUMPRODUCT(MAX(ROW(E$1:E624)*(E636=E$1:E624)))))</f>
        <v>0</v>
      </c>
      <c r="L636" s="27"/>
    </row>
    <row r="637" customFormat="false" ht="15" hidden="false" customHeight="false" outlineLevel="0" collapsed="false">
      <c r="A637" s="20" t="s">
        <v>509</v>
      </c>
      <c r="E637" s="21"/>
      <c r="F637" s="22"/>
      <c r="G637" s="23"/>
      <c r="H637" s="24"/>
      <c r="I637" s="25" t="str">
        <f aca="false">IF(OR(E637="",E637="!!!",F637="NEW"),"",INDEX(B$2:B625,-1+SUMPRODUCT(MAX(ROW(E$2:E625)*(E637=E$2:E625)))))</f>
        <v/>
      </c>
      <c r="J637" s="26" t="str">
        <f aca="true">IF(OR(E637="",E637="!!!",F637="NEW"),"",COUNTBLANK(OFFSET(A$1,,,SUMPRODUCT(MAX(ROW(E$2:E626)*(E637=E$2:E626)))))-COUNTBLANK(OFFSET(A$1,,,SUMPRODUCT(MAX(ROW(E$1:E625)*(E637=E$1:E625))))))</f>
        <v/>
      </c>
      <c r="K637" s="26" t="str">
        <f aca="false">IF(OR(E637="",E637="!!!",F637="NEW"),"",INDEX(J$1:J625,SUMPRODUCT(MAX(ROW(E$1:E625)*(E637=E$1:E625)))))</f>
        <v/>
      </c>
      <c r="L637" s="27"/>
    </row>
    <row r="638" customFormat="false" ht="15" hidden="false" customHeight="false" outlineLevel="0" collapsed="false">
      <c r="A638" s="20" t="s">
        <v>510</v>
      </c>
      <c r="B638" s="28" t="s">
        <v>215</v>
      </c>
      <c r="C638" s="28" t="s">
        <v>289</v>
      </c>
      <c r="D638" s="28" t="s">
        <v>198</v>
      </c>
      <c r="E638" s="21" t="s">
        <v>511</v>
      </c>
      <c r="F638" s="22" t="s">
        <v>200</v>
      </c>
      <c r="G638" s="23" t="s">
        <v>201</v>
      </c>
      <c r="H638" s="24"/>
      <c r="I638" s="25" t="str">
        <f aca="false">IF(OR(E638="",E638="!!!",F638="NEW"),"",INDEX(B$2:B626,-1+SUMPRODUCT(MAX(ROW(E$2:E626)*(E638=E$2:E626)))))</f>
        <v/>
      </c>
      <c r="J638" s="26" t="str">
        <f aca="true">IF(OR(E638="",E638="!!!",F638="NEW"),"",COUNTBLANK(OFFSET(A$1,,,SUMPRODUCT(MAX(ROW(E$2:E627)*(E638=E$2:E627)))))-COUNTBLANK(OFFSET(A$1,,,SUMPRODUCT(MAX(ROW(E$1:E626)*(E638=E$1:E626))))))</f>
        <v/>
      </c>
      <c r="K638" s="26" t="str">
        <f aca="false">IF(OR(E638="",E638="!!!",F638="NEW"),"",INDEX(J$1:J626,SUMPRODUCT(MAX(ROW(E$1:E626)*(E638=E$1:E626)))))</f>
        <v/>
      </c>
      <c r="L638" s="27"/>
    </row>
    <row r="639" customFormat="false" ht="15" hidden="false" customHeight="false" outlineLevel="0" collapsed="false">
      <c r="A639" s="20" t="s">
        <v>209</v>
      </c>
      <c r="E639" s="21"/>
      <c r="F639" s="22"/>
      <c r="G639" s="23"/>
      <c r="H639" s="24"/>
      <c r="I639" s="25" t="str">
        <f aca="false">IF(OR(E639="",E639="!!!",F639="NEW"),"",INDEX(B$2:B627,-1+SUMPRODUCT(MAX(ROW(E$2:E627)*(E639=E$2:E627)))))</f>
        <v/>
      </c>
      <c r="J639" s="26" t="str">
        <f aca="true">IF(OR(E639="",E639="!!!",F639="NEW"),"",COUNTBLANK(OFFSET(A$1,,,SUMPRODUCT(MAX(ROW(E$2:E628)*(E639=E$2:E628)))))-COUNTBLANK(OFFSET(A$1,,,SUMPRODUCT(MAX(ROW(E$1:E627)*(E639=E$1:E627))))))</f>
        <v/>
      </c>
      <c r="K639" s="26" t="str">
        <f aca="false">IF(OR(E639="",E639="!!!",F639="NEW"),"",INDEX(J$1:J627,SUMPRODUCT(MAX(ROW(E$1:E627)*(E639=E$1:E627)))))</f>
        <v/>
      </c>
      <c r="L639" s="27"/>
    </row>
    <row r="640" customFormat="false" ht="15" hidden="false" customHeight="false" outlineLevel="0" collapsed="false">
      <c r="A640" s="20" t="s">
        <v>213</v>
      </c>
      <c r="E640" s="21"/>
      <c r="F640" s="22"/>
      <c r="G640" s="23"/>
      <c r="H640" s="24"/>
      <c r="I640" s="25" t="str">
        <f aca="false">IF(OR(E640="",E640="!!!",F640="NEW"),"",INDEX(B$2:B628,-1+SUMPRODUCT(MAX(ROW(E$2:E628)*(E640=E$2:E628)))))</f>
        <v/>
      </c>
      <c r="J640" s="26" t="str">
        <f aca="true">IF(OR(E640="",E640="!!!",F640="NEW"),"",COUNTBLANK(OFFSET(A$1,,,SUMPRODUCT(MAX(ROW(E$2:E629)*(E640=E$2:E629)))))-COUNTBLANK(OFFSET(A$1,,,SUMPRODUCT(MAX(ROW(E$1:E628)*(E640=E$1:E628))))))</f>
        <v/>
      </c>
      <c r="K640" s="26" t="str">
        <f aca="false">IF(OR(E640="",E640="!!!",F640="NEW"),"",INDEX(J$1:J628,SUMPRODUCT(MAX(ROW(E$1:E628)*(E640=E$1:E628)))))</f>
        <v/>
      </c>
      <c r="L640" s="27"/>
    </row>
    <row r="641" customFormat="false" ht="15" hidden="false" customHeight="false" outlineLevel="0" collapsed="false">
      <c r="A641" s="20" t="s">
        <v>512</v>
      </c>
      <c r="E641" s="21"/>
      <c r="F641" s="22"/>
      <c r="G641" s="23"/>
      <c r="H641" s="24"/>
      <c r="I641" s="25" t="str">
        <f aca="false">IF(OR(E641="",E641="!!!",F641="NEW"),"",INDEX(B$2:B629,-1+SUMPRODUCT(MAX(ROW(E$2:E629)*(E641=E$2:E629)))))</f>
        <v/>
      </c>
      <c r="J641" s="26" t="str">
        <f aca="true">IF(OR(E641="",E641="!!!",F641="NEW"),"",COUNTBLANK(OFFSET(A$1,,,SUMPRODUCT(MAX(ROW(E$2:E630)*(E641=E$2:E630)))))-COUNTBLANK(OFFSET(A$1,,,SUMPRODUCT(MAX(ROW(E$1:E629)*(E641=E$1:E629))))))</f>
        <v/>
      </c>
      <c r="K641" s="26" t="str">
        <f aca="false">IF(OR(E641="",E641="!!!",F641="NEW"),"",INDEX(J$1:J629,SUMPRODUCT(MAX(ROW(E$1:E629)*(E641=E$1:E629)))))</f>
        <v/>
      </c>
      <c r="L641" s="27"/>
    </row>
    <row r="642" customFormat="false" ht="15" hidden="false" customHeight="false" outlineLevel="0" collapsed="false">
      <c r="A642" s="20" t="s">
        <v>364</v>
      </c>
      <c r="E642" s="21"/>
      <c r="F642" s="22"/>
      <c r="G642" s="23"/>
      <c r="H642" s="24"/>
      <c r="I642" s="25" t="str">
        <f aca="false">IF(OR(E642="",E642="!!!",F642="NEW"),"",INDEX(B$2:B630,-1+SUMPRODUCT(MAX(ROW(E$2:E630)*(E642=E$2:E630)))))</f>
        <v/>
      </c>
      <c r="J642" s="26" t="str">
        <f aca="true">IF(OR(E642="",E642="!!!",F642="NEW"),"",COUNTBLANK(OFFSET(A$1,,,SUMPRODUCT(MAX(ROW(E$2:E631)*(E642=E$2:E631)))))-COUNTBLANK(OFFSET(A$1,,,SUMPRODUCT(MAX(ROW(E$1:E630)*(E642=E$1:E630))))))</f>
        <v/>
      </c>
      <c r="K642" s="26" t="str">
        <f aca="false">IF(OR(E642="",E642="!!!",F642="NEW"),"",INDEX(J$1:J630,SUMPRODUCT(MAX(ROW(E$1:E630)*(E642=E$1:E630)))))</f>
        <v/>
      </c>
      <c r="L642" s="27"/>
    </row>
    <row r="643" customFormat="false" ht="15" hidden="false" customHeight="false" outlineLevel="0" collapsed="false">
      <c r="A643" s="20" t="s">
        <v>285</v>
      </c>
      <c r="E643" s="21"/>
      <c r="F643" s="22"/>
      <c r="G643" s="23"/>
      <c r="H643" s="24"/>
      <c r="I643" s="25" t="str">
        <f aca="false">IF(OR(E643="",E643="!!!",F643="NEW"),"",INDEX(B$2:B631,-1+SUMPRODUCT(MAX(ROW(E$2:E631)*(E643=E$2:E631)))))</f>
        <v/>
      </c>
      <c r="J643" s="26" t="str">
        <f aca="true">IF(OR(E643="",E643="!!!",F643="NEW"),"",COUNTBLANK(OFFSET(A$1,,,SUMPRODUCT(MAX(ROW(E$2:E632)*(E643=E$2:E632)))))-COUNTBLANK(OFFSET(A$1,,,SUMPRODUCT(MAX(ROW(E$1:E631)*(E643=E$1:E631))))))</f>
        <v/>
      </c>
      <c r="K643" s="26" t="str">
        <f aca="false">IF(OR(E643="",E643="!!!",F643="NEW"),"",INDEX(J$1:J631,SUMPRODUCT(MAX(ROW(E$1:E631)*(E643=E$1:E631)))))</f>
        <v/>
      </c>
      <c r="L643" s="27"/>
    </row>
    <row r="644" customFormat="false" ht="15" hidden="false" customHeight="false" outlineLevel="0" collapsed="false">
      <c r="A644" s="20" t="s">
        <v>204</v>
      </c>
      <c r="E644" s="21"/>
      <c r="F644" s="22"/>
      <c r="G644" s="23"/>
      <c r="H644" s="24"/>
      <c r="I644" s="25" t="str">
        <f aca="false">IF(OR(E644="",E644="!!!",F644="NEW"),"",INDEX(B$2:B632,-1+SUMPRODUCT(MAX(ROW(E$2:E632)*(E644=E$2:E632)))))</f>
        <v/>
      </c>
      <c r="J644" s="26" t="str">
        <f aca="true">IF(OR(E644="",E644="!!!",F644="NEW"),"",COUNTBLANK(OFFSET(A$1,,,SUMPRODUCT(MAX(ROW(E$2:E633)*(E644=E$2:E633)))))-COUNTBLANK(OFFSET(A$1,,,SUMPRODUCT(MAX(ROW(E$1:E632)*(E644=E$1:E632))))))</f>
        <v/>
      </c>
      <c r="K644" s="26" t="str">
        <f aca="false">IF(OR(E644="",E644="!!!",F644="NEW"),"",INDEX(J$1:J632,SUMPRODUCT(MAX(ROW(E$1:E632)*(E644=E$1:E632)))))</f>
        <v/>
      </c>
      <c r="L644" s="27"/>
    </row>
    <row r="645" customFormat="false" ht="15" hidden="false" customHeight="false" outlineLevel="0" collapsed="false">
      <c r="A645" s="20" t="s">
        <v>513</v>
      </c>
      <c r="E645" s="21"/>
      <c r="F645" s="22"/>
      <c r="G645" s="23"/>
      <c r="H645" s="24"/>
      <c r="I645" s="25" t="str">
        <f aca="false">IF(OR(E645="",E645="!!!",F645="NEW"),"",INDEX(B$2:B633,-1+SUMPRODUCT(MAX(ROW(E$2:E633)*(E645=E$2:E633)))))</f>
        <v/>
      </c>
      <c r="J645" s="26" t="str">
        <f aca="true">IF(OR(E645="",E645="!!!",F645="NEW"),"",COUNTBLANK(OFFSET(A$1,,,SUMPRODUCT(MAX(ROW(E$2:E634)*(E645=E$2:E634)))))-COUNTBLANK(OFFSET(A$1,,,SUMPRODUCT(MAX(ROW(E$1:E633)*(E645=E$1:E633))))))</f>
        <v/>
      </c>
      <c r="K645" s="26" t="str">
        <f aca="false">IF(OR(E645="",E645="!!!",F645="NEW"),"",INDEX(J$1:J633,SUMPRODUCT(MAX(ROW(E$1:E633)*(E645=E$1:E633)))))</f>
        <v/>
      </c>
      <c r="L645" s="27"/>
    </row>
    <row r="646" customFormat="false" ht="15" hidden="false" customHeight="false" outlineLevel="0" collapsed="false">
      <c r="A646" s="20" t="s">
        <v>210</v>
      </c>
      <c r="B646" s="28" t="s">
        <v>215</v>
      </c>
      <c r="C646" s="28" t="s">
        <v>207</v>
      </c>
      <c r="D646" s="28" t="s">
        <v>198</v>
      </c>
      <c r="E646" s="21" t="s">
        <v>314</v>
      </c>
      <c r="F646" s="22" t="s">
        <v>226</v>
      </c>
      <c r="G646" s="23" t="s">
        <v>247</v>
      </c>
      <c r="H646" s="24"/>
      <c r="I646" s="25" t="str">
        <f aca="false">IF(OR(E646="",E646="!!!",F646="NEW"),"",INDEX(B$2:B634,-1+SUMPRODUCT(MAX(ROW(E$2:E634)*(E646=E$2:E634)))))</f>
        <v>SBJ</v>
      </c>
      <c r="J646" s="26" t="n">
        <f aca="true">IF(OR(E646="",E646="!!!",F646="NEW"),"",COUNTBLANK(OFFSET(A$1,,,SUMPRODUCT(MAX(ROW(E$2:E635)*(E646=E$2:E635)))))-COUNTBLANK(OFFSET(A$1,,,SUMPRODUCT(MAX(ROW(E$1:E634)*(E646=E$1:E634))))))</f>
        <v>0</v>
      </c>
      <c r="K646" s="26" t="n">
        <f aca="false">IF(OR(E646="",E646="!!!",F646="NEW"),"",INDEX(J$1:J634,SUMPRODUCT(MAX(ROW(E$1:E634)*(E646=E$1:E634)))))</f>
        <v>0</v>
      </c>
      <c r="L646" s="27"/>
    </row>
    <row r="647" customFormat="false" ht="15" hidden="false" customHeight="false" outlineLevel="0" collapsed="false">
      <c r="A647" s="20" t="s">
        <v>213</v>
      </c>
      <c r="E647" s="21"/>
      <c r="F647" s="22"/>
      <c r="G647" s="23"/>
      <c r="H647" s="24"/>
      <c r="I647" s="25" t="str">
        <f aca="false">IF(OR(E647="",E647="!!!",F647="NEW"),"",INDEX(B$2:B635,-1+SUMPRODUCT(MAX(ROW(E$2:E635)*(E647=E$2:E635)))))</f>
        <v/>
      </c>
      <c r="J647" s="26" t="str">
        <f aca="true">IF(OR(E647="",E647="!!!",F647="NEW"),"",COUNTBLANK(OFFSET(A$1,,,SUMPRODUCT(MAX(ROW(E$2:E636)*(E647=E$2:E636)))))-COUNTBLANK(OFFSET(A$1,,,SUMPRODUCT(MAX(ROW(E$1:E635)*(E647=E$1:E635))))))</f>
        <v/>
      </c>
      <c r="K647" s="26" t="str">
        <f aca="false">IF(OR(E647="",E647="!!!",F647="NEW"),"",INDEX(J$1:J635,SUMPRODUCT(MAX(ROW(E$1:E635)*(E647=E$1:E635)))))</f>
        <v/>
      </c>
      <c r="L647" s="27"/>
    </row>
    <row r="648" customFormat="false" ht="15" hidden="false" customHeight="false" outlineLevel="0" collapsed="false">
      <c r="A648" s="20" t="s">
        <v>204</v>
      </c>
      <c r="E648" s="21"/>
      <c r="F648" s="22"/>
      <c r="G648" s="23"/>
      <c r="H648" s="24"/>
      <c r="I648" s="25" t="str">
        <f aca="false">IF(OR(E648="",E648="!!!",F648="NEW"),"",INDEX(B$2:B636,-1+SUMPRODUCT(MAX(ROW(E$2:E636)*(E648=E$2:E636)))))</f>
        <v/>
      </c>
      <c r="J648" s="26" t="str">
        <f aca="true">IF(OR(E648="",E648="!!!",F648="NEW"),"",COUNTBLANK(OFFSET(A$1,,,SUMPRODUCT(MAX(ROW(E$2:E637)*(E648=E$2:E637)))))-COUNTBLANK(OFFSET(A$1,,,SUMPRODUCT(MAX(ROW(E$1:E636)*(E648=E$1:E636))))))</f>
        <v/>
      </c>
      <c r="K648" s="26" t="str">
        <f aca="false">IF(OR(E648="",E648="!!!",F648="NEW"),"",INDEX(J$1:J636,SUMPRODUCT(MAX(ROW(E$1:E636)*(E648=E$1:E636)))))</f>
        <v/>
      </c>
      <c r="L648" s="27"/>
    </row>
    <row r="649" customFormat="false" ht="15" hidden="false" customHeight="false" outlineLevel="0" collapsed="false">
      <c r="A649" s="20" t="s">
        <v>291</v>
      </c>
      <c r="B649" s="28" t="s">
        <v>273</v>
      </c>
      <c r="C649" s="28" t="s">
        <v>207</v>
      </c>
      <c r="D649" s="28" t="s">
        <v>198</v>
      </c>
      <c r="E649" s="21" t="s">
        <v>314</v>
      </c>
      <c r="F649" s="22" t="s">
        <v>226</v>
      </c>
      <c r="G649" s="23" t="s">
        <v>227</v>
      </c>
      <c r="H649" s="24"/>
      <c r="I649" s="25" t="str">
        <f aca="false">IF(OR(E649="",E649="!!!",F649="NEW"),"",INDEX(B$2:B637,-1+SUMPRODUCT(MAX(ROW(E$2:E637)*(E649=E$2:E637)))))</f>
        <v>SBJ</v>
      </c>
      <c r="J649" s="26" t="n">
        <f aca="true">IF(OR(E649="",E649="!!!",F649="NEW"),"",COUNTBLANK(OFFSET(A$1,,,SUMPRODUCT(MAX(ROW(E$2:E638)*(E649=E$2:E638)))))-COUNTBLANK(OFFSET(A$1,,,SUMPRODUCT(MAX(ROW(E$1:E637)*(E649=E$1:E637))))))</f>
        <v>0</v>
      </c>
      <c r="K649" s="26" t="n">
        <f aca="false">IF(OR(E649="",E649="!!!",F649="NEW"),"",INDEX(J$1:J637,SUMPRODUCT(MAX(ROW(E$1:E637)*(E649=E$1:E637)))))</f>
        <v>0</v>
      </c>
      <c r="L649" s="27"/>
    </row>
    <row r="650" customFormat="false" ht="15" hidden="false" customHeight="false" outlineLevel="0" collapsed="false">
      <c r="A650" s="20" t="s">
        <v>315</v>
      </c>
      <c r="E650" s="21"/>
      <c r="F650" s="22"/>
      <c r="G650" s="23"/>
      <c r="H650" s="24"/>
      <c r="I650" s="25" t="str">
        <f aca="false">IF(OR(E650="",E650="!!!",F650="NEW"),"",INDEX(B$2:B638,-1+SUMPRODUCT(MAX(ROW(E$2:E638)*(E650=E$2:E638)))))</f>
        <v/>
      </c>
      <c r="J650" s="26" t="str">
        <f aca="true">IF(OR(E650="",E650="!!!",F650="NEW"),"",COUNTBLANK(OFFSET(A$1,,,SUMPRODUCT(MAX(ROW(E$2:E639)*(E650=E$2:E639)))))-COUNTBLANK(OFFSET(A$1,,,SUMPRODUCT(MAX(ROW(E$1:E638)*(E650=E$1:E638))))))</f>
        <v/>
      </c>
      <c r="K650" s="26" t="str">
        <f aca="false">IF(OR(E650="",E650="!!!",F650="NEW"),"",INDEX(J$1:J638,SUMPRODUCT(MAX(ROW(E$1:E638)*(E650=E$1:E638)))))</f>
        <v/>
      </c>
      <c r="L650" s="27"/>
    </row>
    <row r="651" customFormat="false" ht="15" hidden="false" customHeight="false" outlineLevel="0" collapsed="false">
      <c r="A651" s="20" t="s">
        <v>339</v>
      </c>
      <c r="E651" s="21"/>
      <c r="F651" s="22"/>
      <c r="G651" s="23"/>
      <c r="H651" s="24"/>
      <c r="I651" s="25" t="str">
        <f aca="false">IF(OR(E651="",E651="!!!",F651="NEW"),"",INDEX(B$2:B639,-1+SUMPRODUCT(MAX(ROW(E$2:E639)*(E651=E$2:E639)))))</f>
        <v/>
      </c>
      <c r="J651" s="26" t="str">
        <f aca="true">IF(OR(E651="",E651="!!!",F651="NEW"),"",COUNTBLANK(OFFSET(A$1,,,SUMPRODUCT(MAX(ROW(E$2:E640)*(E651=E$2:E640)))))-COUNTBLANK(OFFSET(A$1,,,SUMPRODUCT(MAX(ROW(E$1:E639)*(E651=E$1:E639))))))</f>
        <v/>
      </c>
      <c r="K651" s="26" t="str">
        <f aca="false">IF(OR(E651="",E651="!!!",F651="NEW"),"",INDEX(J$1:J639,SUMPRODUCT(MAX(ROW(E$1:E639)*(E651=E$1:E639)))))</f>
        <v/>
      </c>
      <c r="L651" s="27"/>
    </row>
    <row r="652" customFormat="false" ht="15" hidden="false" customHeight="false" outlineLevel="0" collapsed="false">
      <c r="A652" s="20" t="s">
        <v>203</v>
      </c>
      <c r="E652" s="21"/>
      <c r="F652" s="22"/>
      <c r="G652" s="23"/>
      <c r="H652" s="24"/>
      <c r="I652" s="25" t="str">
        <f aca="false">IF(OR(E652="",E652="!!!",F652="NEW"),"",INDEX(B$2:B640,-1+SUMPRODUCT(MAX(ROW(E$2:E640)*(E652=E$2:E640)))))</f>
        <v/>
      </c>
      <c r="J652" s="26" t="str">
        <f aca="true">IF(OR(E652="",E652="!!!",F652="NEW"),"",COUNTBLANK(OFFSET(A$1,,,SUMPRODUCT(MAX(ROW(E$2:E641)*(E652=E$2:E641)))))-COUNTBLANK(OFFSET(A$1,,,SUMPRODUCT(MAX(ROW(E$1:E640)*(E652=E$1:E640))))))</f>
        <v/>
      </c>
      <c r="K652" s="26" t="str">
        <f aca="false">IF(OR(E652="",E652="!!!",F652="NEW"),"",INDEX(J$1:J640,SUMPRODUCT(MAX(ROW(E$1:E640)*(E652=E$1:E640)))))</f>
        <v/>
      </c>
      <c r="L652" s="27"/>
    </row>
    <row r="653" customFormat="false" ht="15" hidden="false" customHeight="false" outlineLevel="0" collapsed="false">
      <c r="A653" s="20" t="s">
        <v>225</v>
      </c>
      <c r="B653" s="28" t="s">
        <v>310</v>
      </c>
      <c r="C653" s="28" t="s">
        <v>197</v>
      </c>
      <c r="D653" s="28" t="s">
        <v>198</v>
      </c>
      <c r="E653" s="21" t="s">
        <v>199</v>
      </c>
      <c r="F653" s="22" t="s">
        <v>226</v>
      </c>
      <c r="G653" s="23" t="s">
        <v>227</v>
      </c>
      <c r="H653" s="24"/>
      <c r="I653" s="25" t="str">
        <f aca="false">IF(OR(E653="",E653="!!!",F653="NEW"),"",INDEX(B$2:B641,-1+SUMPRODUCT(MAX(ROW(E$2:E641)*(E653=E$2:E641)))))</f>
        <v>other_3</v>
      </c>
      <c r="J653" s="26" t="n">
        <f aca="true">IF(OR(E653="",E653="!!!",F653="NEW"),"",COUNTBLANK(OFFSET(A$1,,,SUMPRODUCT(MAX(ROW(E$2:E642)*(E653=E$2:E642)))))-COUNTBLANK(OFFSET(A$1,,,SUMPRODUCT(MAX(ROW(E$1:E641)*(E653=E$1:E641))))))</f>
        <v>0</v>
      </c>
      <c r="K653" s="26" t="n">
        <f aca="false">IF(OR(E653="",E653="!!!",F653="NEW"),"",INDEX(J$1:J641,SUMPRODUCT(MAX(ROW(E$1:E641)*(E653=E$1:E641)))))</f>
        <v>0</v>
      </c>
      <c r="L653" s="27"/>
    </row>
    <row r="654" customFormat="false" ht="15" hidden="false" customHeight="false" outlineLevel="0" collapsed="false">
      <c r="A654" s="20" t="s">
        <v>244</v>
      </c>
      <c r="E654" s="21"/>
      <c r="F654" s="22"/>
      <c r="G654" s="23"/>
      <c r="H654" s="24"/>
      <c r="I654" s="25" t="str">
        <f aca="false">IF(OR(E654="",E654="!!!",F654="NEW"),"",INDEX(B$2:B642,-1+SUMPRODUCT(MAX(ROW(E$2:E642)*(E654=E$2:E642)))))</f>
        <v/>
      </c>
      <c r="J654" s="26" t="str">
        <f aca="true">IF(OR(E654="",E654="!!!",F654="NEW"),"",COUNTBLANK(OFFSET(A$1,,,SUMPRODUCT(MAX(ROW(E$2:E643)*(E654=E$2:E643)))))-COUNTBLANK(OFFSET(A$1,,,SUMPRODUCT(MAX(ROW(E$1:E642)*(E654=E$1:E642))))))</f>
        <v/>
      </c>
      <c r="K654" s="26" t="str">
        <f aca="false">IF(OR(E654="",E654="!!!",F654="NEW"),"",INDEX(J$1:J642,SUMPRODUCT(MAX(ROW(E$1:E642)*(E654=E$1:E642)))))</f>
        <v/>
      </c>
      <c r="L654" s="27"/>
    </row>
    <row r="655" customFormat="false" ht="15" hidden="false" customHeight="false" outlineLevel="0" collapsed="false">
      <c r="A655" s="20"/>
      <c r="E655" s="21"/>
      <c r="F655" s="22"/>
      <c r="G655" s="23"/>
      <c r="H655" s="24"/>
      <c r="I655" s="25" t="str">
        <f aca="false">IF(OR(E655="",E655="!!!",F655="NEW"),"",INDEX(B$2:B643,-1+SUMPRODUCT(MAX(ROW(E$2:E643)*(E655=E$2:E643)))))</f>
        <v/>
      </c>
      <c r="J655" s="26" t="str">
        <f aca="true">IF(OR(E655="",E655="!!!",F655="NEW"),"",COUNTBLANK(OFFSET(A$1,,,SUMPRODUCT(MAX(ROW(E$2:E644)*(E655=E$2:E644)))))-COUNTBLANK(OFFSET(A$1,,,SUMPRODUCT(MAX(ROW(E$1:E643)*(E655=E$1:E643))))))</f>
        <v/>
      </c>
      <c r="K655" s="26" t="str">
        <f aca="false">IF(OR(E655="",E655="!!!",F655="NEW"),"",INDEX(J$1:J643,SUMPRODUCT(MAX(ROW(E$1:E643)*(E655=E$1:E643)))))</f>
        <v/>
      </c>
      <c r="L655" s="27"/>
    </row>
    <row r="656" customFormat="false" ht="15" hidden="false" customHeight="false" outlineLevel="0" collapsed="false">
      <c r="A656" s="20" t="s">
        <v>311</v>
      </c>
    </row>
    <row r="657" customFormat="false" ht="15" hidden="false" customHeight="false" outlineLevel="0" collapsed="false">
      <c r="A657" s="20" t="s">
        <v>514</v>
      </c>
      <c r="E657" s="21"/>
      <c r="F657" s="22"/>
      <c r="G657" s="23"/>
      <c r="H657" s="24"/>
      <c r="I657" s="25" t="str">
        <f aca="false">IF(OR(E657="",E657="!!!",F657="NEW"),"",INDEX(B$2:B645,-1+SUMPRODUCT(MAX(ROW(E$2:E645)*(E657=E$2:E645)))))</f>
        <v/>
      </c>
      <c r="J657" s="26" t="str">
        <f aca="true">IF(OR(E657="",E657="!!!",F657="NEW"),"",COUNTBLANK(OFFSET(A$1,,,SUMPRODUCT(MAX(ROW(E$2:E646)*(E657=E$2:E646)))))-COUNTBLANK(OFFSET(A$1,,,SUMPRODUCT(MAX(ROW(E$1:E645)*(E657=E$1:E645))))))</f>
        <v/>
      </c>
      <c r="K657" s="26" t="str">
        <f aca="false">IF(OR(E657="",E657="!!!",F657="NEW"),"",INDEX(J$1:J645,SUMPRODUCT(MAX(ROW(E$1:E645)*(E657=E$1:E645)))))</f>
        <v/>
      </c>
      <c r="L657" s="27"/>
    </row>
    <row r="658" customFormat="false" ht="15" hidden="false" customHeight="false" outlineLevel="0" collapsed="false">
      <c r="A658" s="20" t="s">
        <v>313</v>
      </c>
      <c r="E658" s="21"/>
      <c r="F658" s="22"/>
      <c r="G658" s="23"/>
      <c r="H658" s="24"/>
      <c r="I658" s="25" t="str">
        <f aca="false">IF(OR(E658="",E658="!!!",F658="NEW"),"",INDEX(B$2:B646,-1+SUMPRODUCT(MAX(ROW(E$2:E646)*(E658=E$2:E646)))))</f>
        <v/>
      </c>
      <c r="J658" s="26" t="str">
        <f aca="true">IF(OR(E658="",E658="!!!",F658="NEW"),"",COUNTBLANK(OFFSET(A$1,,,SUMPRODUCT(MAX(ROW(E$2:E647)*(E658=E$2:E647)))))-COUNTBLANK(OFFSET(A$1,,,SUMPRODUCT(MAX(ROW(E$1:E646)*(E658=E$1:E646))))))</f>
        <v/>
      </c>
      <c r="K658" s="26" t="str">
        <f aca="false">IF(OR(E658="",E658="!!!",F658="NEW"),"",INDEX(J$1:J646,SUMPRODUCT(MAX(ROW(E$1:E646)*(E658=E$1:E646)))))</f>
        <v/>
      </c>
      <c r="L658" s="27"/>
    </row>
    <row r="659" customFormat="false" ht="15" hidden="false" customHeight="false" outlineLevel="0" collapsed="false">
      <c r="A659" s="20" t="s">
        <v>195</v>
      </c>
      <c r="B659" s="28" t="s">
        <v>270</v>
      </c>
      <c r="C659" s="28" t="s">
        <v>197</v>
      </c>
      <c r="D659" s="28" t="s">
        <v>198</v>
      </c>
      <c r="E659" s="21" t="s">
        <v>511</v>
      </c>
      <c r="F659" s="22" t="s">
        <v>226</v>
      </c>
      <c r="G659" s="23" t="s">
        <v>247</v>
      </c>
      <c r="H659" s="24" t="s">
        <v>189</v>
      </c>
      <c r="I659" s="25" t="str">
        <f aca="false">IF(OR(E659="",E659="!!!",F659="NEW"),"",INDEX(B$2:B647,-1+SUMPRODUCT(MAX(ROW(E$2:E647)*(E659=E$2:E647)))))</f>
        <v>other_2</v>
      </c>
      <c r="J659" s="26" t="n">
        <f aca="true">IF(OR(E659="",E659="!!!",F659="NEW"),"",COUNTBLANK(OFFSET(A$1,,,SUMPRODUCT(MAX(ROW(E$2:E648)*(E659=E$2:E648)))))-COUNTBLANK(OFFSET(A$1,,,SUMPRODUCT(MAX(ROW(E$1:E647)*(E659=E$1:E647))))))</f>
        <v>0</v>
      </c>
      <c r="K659" s="26" t="str">
        <f aca="false">IF(OR(E659="",E659="!!!",F659="NEW"),"",INDEX(J$1:J647,SUMPRODUCT(MAX(ROW(E$1:E647)*(E659=E$1:E647)))))</f>
        <v/>
      </c>
      <c r="L659" s="27"/>
    </row>
    <row r="660" customFormat="false" ht="15" hidden="false" customHeight="false" outlineLevel="0" collapsed="false">
      <c r="A660" s="20" t="s">
        <v>271</v>
      </c>
      <c r="E660" s="21"/>
      <c r="F660" s="22"/>
      <c r="G660" s="23"/>
      <c r="H660" s="24"/>
      <c r="I660" s="25" t="str">
        <f aca="false">IF(OR(E660="",E660="!!!",F660="NEW"),"",INDEX(B$2:B648,-1+SUMPRODUCT(MAX(ROW(E$2:E648)*(E660=E$2:E648)))))</f>
        <v/>
      </c>
      <c r="J660" s="26" t="str">
        <f aca="true">IF(OR(E660="",E660="!!!",F660="NEW"),"",COUNTBLANK(OFFSET(A$1,,,SUMPRODUCT(MAX(ROW(E$2:E649)*(E660=E$2:E649)))))-COUNTBLANK(OFFSET(A$1,,,SUMPRODUCT(MAX(ROW(E$1:E648)*(E660=E$1:E648))))))</f>
        <v/>
      </c>
      <c r="K660" s="26" t="str">
        <f aca="false">IF(OR(E660="",E660="!!!",F660="NEW"),"",INDEX(J$1:J648,SUMPRODUCT(MAX(ROW(E$1:E648)*(E660=E$1:E648)))))</f>
        <v/>
      </c>
      <c r="L660" s="27"/>
    </row>
    <row r="661" customFormat="false" ht="15" hidden="false" customHeight="false" outlineLevel="0" collapsed="false">
      <c r="A661" s="20" t="s">
        <v>260</v>
      </c>
      <c r="B661" s="28" t="s">
        <v>240</v>
      </c>
      <c r="C661" s="28" t="s">
        <v>197</v>
      </c>
      <c r="D661" s="28" t="s">
        <v>198</v>
      </c>
      <c r="E661" s="21" t="s">
        <v>515</v>
      </c>
      <c r="F661" s="22" t="s">
        <v>200</v>
      </c>
      <c r="G661" s="23" t="s">
        <v>212</v>
      </c>
      <c r="H661" s="24"/>
      <c r="I661" s="25" t="str">
        <f aca="false">IF(OR(E661="",E661="!!!",F661="NEW"),"",INDEX(B$2:B649,-1+SUMPRODUCT(MAX(ROW(E$2:E649)*(E661=E$2:E649)))))</f>
        <v/>
      </c>
      <c r="J661" s="26" t="str">
        <f aca="true">IF(OR(E661="",E661="!!!",F661="NEW"),"",COUNTBLANK(OFFSET(A$1,,,SUMPRODUCT(MAX(ROW(E$2:E650)*(E661=E$2:E650)))))-COUNTBLANK(OFFSET(A$1,,,SUMPRODUCT(MAX(ROW(E$1:E649)*(E661=E$1:E649))))))</f>
        <v/>
      </c>
      <c r="K661" s="26" t="str">
        <f aca="false">IF(OR(E661="",E661="!!!",F661="NEW"),"",INDEX(J$1:J649,SUMPRODUCT(MAX(ROW(E$1:E649)*(E661=E$1:E649)))))</f>
        <v/>
      </c>
      <c r="L661" s="27"/>
    </row>
    <row r="662" customFormat="false" ht="15" hidden="false" customHeight="false" outlineLevel="0" collapsed="false">
      <c r="A662" s="20" t="s">
        <v>209</v>
      </c>
      <c r="E662" s="21"/>
      <c r="F662" s="22"/>
      <c r="G662" s="23"/>
      <c r="H662" s="24"/>
      <c r="I662" s="25" t="str">
        <f aca="false">IF(OR(E662="",E662="!!!",F662="NEW"),"",INDEX(B$2:B650,-1+SUMPRODUCT(MAX(ROW(E$2:E650)*(E662=E$2:E650)))))</f>
        <v/>
      </c>
      <c r="J662" s="26" t="str">
        <f aca="true">IF(OR(E662="",E662="!!!",F662="NEW"),"",COUNTBLANK(OFFSET(A$1,,,SUMPRODUCT(MAX(ROW(E$2:E651)*(E662=E$2:E651)))))-COUNTBLANK(OFFSET(A$1,,,SUMPRODUCT(MAX(ROW(E$1:E650)*(E662=E$1:E650))))))</f>
        <v/>
      </c>
      <c r="K662" s="26" t="str">
        <f aca="false">IF(OR(E662="",E662="!!!",F662="NEW"),"",INDEX(J$1:J650,SUMPRODUCT(MAX(ROW(E$1:E650)*(E662=E$1:E650)))))</f>
        <v/>
      </c>
      <c r="L662" s="27"/>
    </row>
    <row r="663" customFormat="false" ht="15" hidden="false" customHeight="false" outlineLevel="0" collapsed="false">
      <c r="A663" s="20" t="s">
        <v>195</v>
      </c>
      <c r="B663" s="28" t="s">
        <v>222</v>
      </c>
      <c r="C663" s="28" t="s">
        <v>197</v>
      </c>
      <c r="D663" s="28" t="s">
        <v>198</v>
      </c>
      <c r="E663" s="21" t="s">
        <v>511</v>
      </c>
      <c r="F663" s="22" t="s">
        <v>226</v>
      </c>
      <c r="G663" s="23" t="s">
        <v>227</v>
      </c>
      <c r="H663" s="24"/>
      <c r="I663" s="25" t="str">
        <f aca="false">IF(OR(E663="",E663="!!!",F663="NEW"),"",INDEX(B$2:B651,-1+SUMPRODUCT(MAX(ROW(E$2:E651)*(E663=E$2:E651)))))</f>
        <v>other_2</v>
      </c>
      <c r="J663" s="26" t="n">
        <f aca="true">IF(OR(E663="",E663="!!!",F663="NEW"),"",COUNTBLANK(OFFSET(A$1,,,SUMPRODUCT(MAX(ROW(E$2:E652)*(E663=E$2:E652)))))-COUNTBLANK(OFFSET(A$1,,,SUMPRODUCT(MAX(ROW(E$1:E651)*(E663=E$1:E651))))))</f>
        <v>0</v>
      </c>
      <c r="K663" s="26" t="str">
        <f aca="false">IF(OR(E663="",E663="!!!",F663="NEW"),"",INDEX(J$1:J651,SUMPRODUCT(MAX(ROW(E$1:E651)*(E663=E$1:E651)))))</f>
        <v/>
      </c>
      <c r="L663" s="27"/>
    </row>
    <row r="664" customFormat="false" ht="15" hidden="false" customHeight="false" outlineLevel="0" collapsed="false">
      <c r="A664" s="20" t="s">
        <v>516</v>
      </c>
      <c r="E664" s="21"/>
      <c r="F664" s="22"/>
      <c r="G664" s="23"/>
      <c r="H664" s="24"/>
      <c r="I664" s="25" t="str">
        <f aca="false">IF(OR(E664="",E664="!!!",F664="NEW"),"",INDEX(B$2:B652,-1+SUMPRODUCT(MAX(ROW(E$2:E652)*(E664=E$2:E652)))))</f>
        <v/>
      </c>
      <c r="J664" s="26" t="str">
        <f aca="true">IF(OR(E664="",E664="!!!",F664="NEW"),"",COUNTBLANK(OFFSET(A$1,,,SUMPRODUCT(MAX(ROW(E$2:E653)*(E664=E$2:E653)))))-COUNTBLANK(OFFSET(A$1,,,SUMPRODUCT(MAX(ROW(E$1:E652)*(E664=E$1:E652))))))</f>
        <v/>
      </c>
      <c r="K664" s="26" t="str">
        <f aca="false">IF(OR(E664="",E664="!!!",F664="NEW"),"",INDEX(J$1:J652,SUMPRODUCT(MAX(ROW(E$1:E652)*(E664=E$1:E652)))))</f>
        <v/>
      </c>
      <c r="L664" s="27"/>
    </row>
    <row r="665" customFormat="false" ht="15" hidden="false" customHeight="false" outlineLevel="0" collapsed="false">
      <c r="A665" s="20" t="s">
        <v>517</v>
      </c>
      <c r="E665" s="21"/>
      <c r="F665" s="22"/>
      <c r="G665" s="23"/>
      <c r="H665" s="24"/>
      <c r="I665" s="25" t="str">
        <f aca="false">IF(OR(E665="",E665="!!!",F665="NEW"),"",INDEX(B$2:B653,-1+SUMPRODUCT(MAX(ROW(E$2:E653)*(E665=E$2:E653)))))</f>
        <v/>
      </c>
      <c r="J665" s="26" t="str">
        <f aca="true">IF(OR(E665="",E665="!!!",F665="NEW"),"",COUNTBLANK(OFFSET(A$1,,,SUMPRODUCT(MAX(ROW(E$2:E654)*(E665=E$2:E654)))))-COUNTBLANK(OFFSET(A$1,,,SUMPRODUCT(MAX(ROW(E$1:E653)*(E665=E$1:E653))))))</f>
        <v/>
      </c>
      <c r="K665" s="26" t="str">
        <f aca="false">IF(OR(E665="",E665="!!!",F665="NEW"),"",INDEX(J$1:J653,SUMPRODUCT(MAX(ROW(E$1:E653)*(E665=E$1:E653)))))</f>
        <v/>
      </c>
      <c r="L665" s="27"/>
    </row>
    <row r="666" customFormat="false" ht="15" hidden="false" customHeight="false" outlineLevel="0" collapsed="false">
      <c r="A666" s="20" t="s">
        <v>286</v>
      </c>
      <c r="B666" s="28" t="s">
        <v>219</v>
      </c>
      <c r="C666" s="28" t="s">
        <v>287</v>
      </c>
      <c r="D666" s="28" t="s">
        <v>198</v>
      </c>
      <c r="E666" s="21" t="s">
        <v>511</v>
      </c>
      <c r="F666" s="22" t="s">
        <v>226</v>
      </c>
      <c r="G666" s="23" t="s">
        <v>227</v>
      </c>
      <c r="H666" s="24"/>
      <c r="I666" s="25" t="str">
        <f aca="false">IF(OR(E666="",E666="!!!",F666="NEW"),"",INDEX(B$2:B654,-1+SUMPRODUCT(MAX(ROW(E$2:E654)*(E666=E$2:E654)))))</f>
        <v>other_2</v>
      </c>
      <c r="J666" s="26" t="n">
        <f aca="true">IF(OR(E666="",E666="!!!",F666="NEW"),"",COUNTBLANK(OFFSET(A$1,,,SUMPRODUCT(MAX(ROW(E$2:E655)*(E666=E$2:E655)))))-COUNTBLANK(OFFSET(A$1,,,SUMPRODUCT(MAX(ROW(E$1:E654)*(E666=E$1:E654))))))</f>
        <v>0</v>
      </c>
      <c r="K666" s="26" t="str">
        <f aca="false">IF(OR(E666="",E666="!!!",F666="NEW"),"",INDEX(J$1:J654,SUMPRODUCT(MAX(ROW(E$1:E654)*(E666=E$1:E654)))))</f>
        <v/>
      </c>
      <c r="L666" s="27"/>
    </row>
    <row r="667" customFormat="false" ht="15" hidden="false" customHeight="false" outlineLevel="0" collapsed="false">
      <c r="A667" s="20" t="s">
        <v>518</v>
      </c>
      <c r="B667" s="28" t="s">
        <v>234</v>
      </c>
      <c r="C667" s="28" t="s">
        <v>289</v>
      </c>
      <c r="D667" s="28" t="s">
        <v>198</v>
      </c>
      <c r="E667" s="21" t="s">
        <v>519</v>
      </c>
      <c r="F667" s="22" t="s">
        <v>200</v>
      </c>
      <c r="G667" s="23" t="s">
        <v>212</v>
      </c>
      <c r="H667" s="24"/>
      <c r="I667" s="25" t="str">
        <f aca="false">IF(OR(E667="",E667="!!!",F667="NEW"),"",INDEX(B$2:B655,-1+SUMPRODUCT(MAX(ROW(E$2:E655)*(E667=E$2:E655)))))</f>
        <v/>
      </c>
      <c r="J667" s="26" t="str">
        <f aca="true">IF(OR(E667="",E667="!!!",F667="NEW"),"",COUNTBLANK(OFFSET(A$1,,,SUMPRODUCT(MAX(ROW(E$2:E656)*(E667=E$2:E656)))))-COUNTBLANK(OFFSET(A$1,,,SUMPRODUCT(MAX(ROW(E$1:E655)*(E667=E$1:E655))))))</f>
        <v/>
      </c>
      <c r="K667" s="26" t="str">
        <f aca="false">IF(OR(E667="",E667="!!!",F667="NEW"),"",INDEX(J$1:J655,SUMPRODUCT(MAX(ROW(E$1:E655)*(E667=E$1:E655)))))</f>
        <v/>
      </c>
      <c r="L667" s="27"/>
    </row>
    <row r="668" customFormat="false" ht="15" hidden="false" customHeight="false" outlineLevel="0" collapsed="false">
      <c r="A668" s="20" t="s">
        <v>203</v>
      </c>
      <c r="E668" s="21"/>
      <c r="F668" s="22"/>
      <c r="G668" s="23"/>
      <c r="H668" s="24"/>
      <c r="I668" s="25" t="str">
        <f aca="false">IF(OR(E668="",E668="!!!",F668="NEW"),"",INDEX(B$2:B656,-1+SUMPRODUCT(MAX(ROW(E$2:E656)*(E668=E$2:E656)))))</f>
        <v/>
      </c>
      <c r="J668" s="26" t="str">
        <f aca="true">IF(OR(E668="",E668="!!!",F668="NEW"),"",COUNTBLANK(OFFSET(A$1,,,SUMPRODUCT(MAX(ROW(E$2:E657)*(E668=E$2:E657)))))-COUNTBLANK(OFFSET(A$1,,,SUMPRODUCT(MAX(ROW(E$1:E656)*(E668=E$1:E656))))))</f>
        <v/>
      </c>
      <c r="K668" s="26" t="str">
        <f aca="false">IF(OR(E668="",E668="!!!",F668="NEW"),"",INDEX(J$1:J656,SUMPRODUCT(MAX(ROW(E$1:E656)*(E668=E$1:E656)))))</f>
        <v/>
      </c>
      <c r="L668" s="27"/>
    </row>
    <row r="669" customFormat="false" ht="15" hidden="false" customHeight="false" outlineLevel="0" collapsed="false">
      <c r="A669" s="20" t="s">
        <v>372</v>
      </c>
      <c r="B669" s="28" t="s">
        <v>215</v>
      </c>
      <c r="C669" s="28" t="s">
        <v>223</v>
      </c>
      <c r="D669" s="28" t="s">
        <v>198</v>
      </c>
      <c r="E669" s="21" t="s">
        <v>372</v>
      </c>
      <c r="F669" s="22" t="s">
        <v>226</v>
      </c>
      <c r="G669" s="23" t="s">
        <v>201</v>
      </c>
      <c r="H669" s="24"/>
      <c r="I669" s="25" t="str">
        <f aca="false">IF(OR(E669="",E669="!!!",F669="NEW"),"",INDEX(B$2:B657,-1+SUMPRODUCT(MAX(ROW(E$2:E657)*(E669=E$2:E657)))))</f>
        <v>other_3</v>
      </c>
      <c r="J669" s="26" t="n">
        <f aca="true">IF(OR(E669="",E669="!!!",F669="NEW"),"",COUNTBLANK(OFFSET(A$1,,,SUMPRODUCT(MAX(ROW(E$2:E658)*(E669=E$2:E658)))))-COUNTBLANK(OFFSET(A$1,,,SUMPRODUCT(MAX(ROW(E$1:E657)*(E669=E$1:E657))))))</f>
        <v>0</v>
      </c>
      <c r="K669" s="26" t="n">
        <f aca="false">IF(OR(E669="",E669="!!!",F669="NEW"),"",INDEX(J$1:J657,SUMPRODUCT(MAX(ROW(E$1:E657)*(E669=E$1:E657)))))</f>
        <v>0</v>
      </c>
      <c r="L669" s="27"/>
    </row>
    <row r="670" customFormat="false" ht="15" hidden="false" customHeight="false" outlineLevel="0" collapsed="false">
      <c r="A670" s="20" t="s">
        <v>304</v>
      </c>
      <c r="E670" s="21"/>
      <c r="F670" s="22"/>
      <c r="G670" s="23"/>
      <c r="H670" s="24"/>
      <c r="I670" s="25" t="str">
        <f aca="false">IF(OR(E670="",E670="!!!",F670="NEW"),"",INDEX(B$2:B658,-1+SUMPRODUCT(MAX(ROW(E$2:E658)*(E670=E$2:E658)))))</f>
        <v/>
      </c>
      <c r="J670" s="26" t="str">
        <f aca="true">IF(OR(E670="",E670="!!!",F670="NEW"),"",COUNTBLANK(OFFSET(A$1,,,SUMPRODUCT(MAX(ROW(E$2:E659)*(E670=E$2:E659)))))-COUNTBLANK(OFFSET(A$1,,,SUMPRODUCT(MAX(ROW(E$1:E658)*(E670=E$1:E658))))))</f>
        <v/>
      </c>
      <c r="K670" s="26" t="str">
        <f aca="false">IF(OR(E670="",E670="!!!",F670="NEW"),"",INDEX(J$1:J658,SUMPRODUCT(MAX(ROW(E$1:E658)*(E670=E$1:E658)))))</f>
        <v/>
      </c>
      <c r="L670" s="27"/>
    </row>
    <row r="671" customFormat="false" ht="15" hidden="false" customHeight="false" outlineLevel="0" collapsed="false">
      <c r="A671" s="20" t="s">
        <v>520</v>
      </c>
      <c r="E671" s="21"/>
      <c r="F671" s="22"/>
      <c r="G671" s="23"/>
      <c r="H671" s="24"/>
      <c r="I671" s="25" t="str">
        <f aca="false">IF(OR(E671="",E671="!!!",F671="NEW"),"",INDEX(B$2:B659,-1+SUMPRODUCT(MAX(ROW(E$2:E659)*(E671=E$2:E659)))))</f>
        <v/>
      </c>
      <c r="J671" s="26" t="str">
        <f aca="true">IF(OR(E671="",E671="!!!",F671="NEW"),"",COUNTBLANK(OFFSET(A$1,,,SUMPRODUCT(MAX(ROW(E$2:E660)*(E671=E$2:E660)))))-COUNTBLANK(OFFSET(A$1,,,SUMPRODUCT(MAX(ROW(E$1:E659)*(E671=E$1:E659))))))</f>
        <v/>
      </c>
      <c r="K671" s="26" t="str">
        <f aca="false">IF(OR(E671="",E671="!!!",F671="NEW"),"",INDEX(J$1:J659,SUMPRODUCT(MAX(ROW(E$1:E659)*(E671=E$1:E659)))))</f>
        <v/>
      </c>
      <c r="L671" s="27"/>
    </row>
    <row r="672" customFormat="false" ht="15" hidden="false" customHeight="false" outlineLevel="0" collapsed="false">
      <c r="A672" s="20" t="s">
        <v>521</v>
      </c>
      <c r="B672" s="28" t="s">
        <v>215</v>
      </c>
      <c r="C672" s="28" t="s">
        <v>492</v>
      </c>
      <c r="E672" s="21"/>
      <c r="F672" s="22"/>
      <c r="G672" s="23"/>
      <c r="H672" s="24"/>
      <c r="I672" s="25" t="str">
        <f aca="false">IF(OR(E672="",E672="!!!",F672="NEW"),"",INDEX(B$2:B660,-1+SUMPRODUCT(MAX(ROW(E$2:E660)*(E672=E$2:E660)))))</f>
        <v/>
      </c>
      <c r="J672" s="26" t="str">
        <f aca="true">IF(OR(E672="",E672="!!!",F672="NEW"),"",COUNTBLANK(OFFSET(A$1,,,SUMPRODUCT(MAX(ROW(E$2:E661)*(E672=E$2:E661)))))-COUNTBLANK(OFFSET(A$1,,,SUMPRODUCT(MAX(ROW(E$1:E660)*(E672=E$1:E660))))))</f>
        <v/>
      </c>
      <c r="K672" s="26" t="str">
        <f aca="false">IF(OR(E672="",E672="!!!",F672="NEW"),"",INDEX(J$1:J660,SUMPRODUCT(MAX(ROW(E$1:E660)*(E672=E$1:E660)))))</f>
        <v/>
      </c>
      <c r="L672" s="27"/>
    </row>
    <row r="673" customFormat="false" ht="15" hidden="false" customHeight="false" outlineLevel="0" collapsed="false">
      <c r="A673" s="20" t="s">
        <v>209</v>
      </c>
      <c r="E673" s="21"/>
      <c r="F673" s="22"/>
      <c r="G673" s="23"/>
      <c r="H673" s="24"/>
      <c r="I673" s="25" t="str">
        <f aca="false">IF(OR(E673="",E673="!!!",F673="NEW"),"",INDEX(B$2:B661,-1+SUMPRODUCT(MAX(ROW(E$2:E661)*(E673=E$2:E661)))))</f>
        <v/>
      </c>
      <c r="J673" s="26" t="str">
        <f aca="true">IF(OR(E673="",E673="!!!",F673="NEW"),"",COUNTBLANK(OFFSET(A$1,,,SUMPRODUCT(MAX(ROW(E$2:E662)*(E673=E$2:E662)))))-COUNTBLANK(OFFSET(A$1,,,SUMPRODUCT(MAX(ROW(E$1:E661)*(E673=E$1:E661))))))</f>
        <v/>
      </c>
      <c r="K673" s="26" t="str">
        <f aca="false">IF(OR(E673="",E673="!!!",F673="NEW"),"",INDEX(J$1:J661,SUMPRODUCT(MAX(ROW(E$1:E661)*(E673=E$1:E661)))))</f>
        <v/>
      </c>
      <c r="L673" s="27"/>
    </row>
    <row r="674" customFormat="false" ht="15" hidden="false" customHeight="false" outlineLevel="0" collapsed="false">
      <c r="A674" s="20" t="s">
        <v>213</v>
      </c>
      <c r="E674" s="21"/>
      <c r="F674" s="22"/>
      <c r="G674" s="23"/>
      <c r="H674" s="24"/>
      <c r="I674" s="25" t="str">
        <f aca="false">IF(OR(E674="",E674="!!!",F674="NEW"),"",INDEX(B$2:B662,-1+SUMPRODUCT(MAX(ROW(E$2:E662)*(E674=E$2:E662)))))</f>
        <v/>
      </c>
      <c r="J674" s="26" t="str">
        <f aca="true">IF(OR(E674="",E674="!!!",F674="NEW"),"",COUNTBLANK(OFFSET(A$1,,,SUMPRODUCT(MAX(ROW(E$2:E663)*(E674=E$2:E663)))))-COUNTBLANK(OFFSET(A$1,,,SUMPRODUCT(MAX(ROW(E$1:E662)*(E674=E$1:E662))))))</f>
        <v/>
      </c>
      <c r="K674" s="26" t="str">
        <f aca="false">IF(OR(E674="",E674="!!!",F674="NEW"),"",INDEX(J$1:J662,SUMPRODUCT(MAX(ROW(E$1:E662)*(E674=E$1:E662)))))</f>
        <v/>
      </c>
      <c r="L674" s="27"/>
    </row>
    <row r="675" customFormat="false" ht="15" hidden="false" customHeight="false" outlineLevel="0" collapsed="false">
      <c r="A675" s="20" t="s">
        <v>339</v>
      </c>
      <c r="E675" s="21"/>
      <c r="F675" s="22"/>
      <c r="G675" s="23"/>
      <c r="H675" s="24"/>
      <c r="I675" s="25" t="str">
        <f aca="false">IF(OR(E675="",E675="!!!",F675="NEW"),"",INDEX(B$2:B663,-1+SUMPRODUCT(MAX(ROW(E$2:E663)*(E675=E$2:E663)))))</f>
        <v/>
      </c>
      <c r="J675" s="26" t="str">
        <f aca="true">IF(OR(E675="",E675="!!!",F675="NEW"),"",COUNTBLANK(OFFSET(A$1,,,SUMPRODUCT(MAX(ROW(E$2:E664)*(E675=E$2:E664)))))-COUNTBLANK(OFFSET(A$1,,,SUMPRODUCT(MAX(ROW(E$1:E663)*(E675=E$1:E663))))))</f>
        <v/>
      </c>
      <c r="K675" s="26" t="str">
        <f aca="false">IF(OR(E675="",E675="!!!",F675="NEW"),"",INDEX(J$1:J663,SUMPRODUCT(MAX(ROW(E$1:E663)*(E675=E$1:E663)))))</f>
        <v/>
      </c>
      <c r="L675" s="27"/>
    </row>
    <row r="676" customFormat="false" ht="15" hidden="false" customHeight="false" outlineLevel="0" collapsed="false">
      <c r="A676" s="20" t="s">
        <v>209</v>
      </c>
      <c r="E676" s="21"/>
      <c r="F676" s="22"/>
      <c r="G676" s="23"/>
      <c r="H676" s="24"/>
      <c r="I676" s="25" t="str">
        <f aca="false">IF(OR(E676="",E676="!!!",F676="NEW"),"",INDEX(B$2:B664,-1+SUMPRODUCT(MAX(ROW(E$2:E664)*(E676=E$2:E664)))))</f>
        <v/>
      </c>
      <c r="J676" s="26" t="str">
        <f aca="true">IF(OR(E676="",E676="!!!",F676="NEW"),"",COUNTBLANK(OFFSET(A$1,,,SUMPRODUCT(MAX(ROW(E$2:E665)*(E676=E$2:E665)))))-COUNTBLANK(OFFSET(A$1,,,SUMPRODUCT(MAX(ROW(E$1:E664)*(E676=E$1:E664))))))</f>
        <v/>
      </c>
      <c r="K676" s="26" t="str">
        <f aca="false">IF(OR(E676="",E676="!!!",F676="NEW"),"",INDEX(J$1:J664,SUMPRODUCT(MAX(ROW(E$1:E664)*(E676=E$1:E664)))))</f>
        <v/>
      </c>
      <c r="L676" s="27"/>
    </row>
    <row r="677" customFormat="false" ht="15" hidden="false" customHeight="false" outlineLevel="0" collapsed="false">
      <c r="A677" s="20" t="s">
        <v>320</v>
      </c>
      <c r="E677" s="21"/>
      <c r="F677" s="22"/>
      <c r="G677" s="23"/>
      <c r="H677" s="24"/>
      <c r="I677" s="25" t="str">
        <f aca="false">IF(OR(E677="",E677="!!!",F677="NEW"),"",INDEX(B$2:B665,-1+SUMPRODUCT(MAX(ROW(E$2:E665)*(E677=E$2:E665)))))</f>
        <v/>
      </c>
      <c r="J677" s="26" t="str">
        <f aca="true">IF(OR(E677="",E677="!!!",F677="NEW"),"",COUNTBLANK(OFFSET(A$1,,,SUMPRODUCT(MAX(ROW(E$2:E666)*(E677=E$2:E666)))))-COUNTBLANK(OFFSET(A$1,,,SUMPRODUCT(MAX(ROW(E$1:E665)*(E677=E$1:E665))))))</f>
        <v/>
      </c>
      <c r="K677" s="26" t="str">
        <f aca="false">IF(OR(E677="",E677="!!!",F677="NEW"),"",INDEX(J$1:J665,SUMPRODUCT(MAX(ROW(E$1:E665)*(E677=E$1:E665)))))</f>
        <v/>
      </c>
      <c r="L677" s="27"/>
    </row>
    <row r="678" customFormat="false" ht="15" hidden="false" customHeight="false" outlineLevel="0" collapsed="false">
      <c r="A678" s="20" t="s">
        <v>17</v>
      </c>
      <c r="E678" s="21"/>
      <c r="F678" s="22"/>
      <c r="G678" s="23"/>
      <c r="H678" s="24"/>
      <c r="I678" s="25" t="str">
        <f aca="false">IF(OR(E678="",E678="!!!",F678="NEW"),"",INDEX(B$2:B666,-1+SUMPRODUCT(MAX(ROW(E$2:E666)*(E678=E$2:E666)))))</f>
        <v/>
      </c>
      <c r="J678" s="26" t="str">
        <f aca="true">IF(OR(E678="",E678="!!!",F678="NEW"),"",COUNTBLANK(OFFSET(A$1,,,SUMPRODUCT(MAX(ROW(E$2:E667)*(E678=E$2:E667)))))-COUNTBLANK(OFFSET(A$1,,,SUMPRODUCT(MAX(ROW(E$1:E666)*(E678=E$1:E666))))))</f>
        <v/>
      </c>
      <c r="K678" s="26" t="str">
        <f aca="false">IF(OR(E678="",E678="!!!",F678="NEW"),"",INDEX(J$1:J666,SUMPRODUCT(MAX(ROW(E$1:E666)*(E678=E$1:E666)))))</f>
        <v/>
      </c>
      <c r="L678" s="27"/>
    </row>
    <row r="679" customFormat="false" ht="15" hidden="false" customHeight="false" outlineLevel="0" collapsed="false">
      <c r="A679" s="20" t="s">
        <v>522</v>
      </c>
      <c r="B679" s="28" t="s">
        <v>206</v>
      </c>
      <c r="C679" s="28" t="s">
        <v>223</v>
      </c>
      <c r="D679" s="28" t="s">
        <v>198</v>
      </c>
      <c r="E679" s="21" t="s">
        <v>372</v>
      </c>
      <c r="F679" s="22" t="s">
        <v>226</v>
      </c>
      <c r="G679" s="23" t="s">
        <v>227</v>
      </c>
      <c r="H679" s="24"/>
      <c r="I679" s="25" t="str">
        <f aca="false">IF(OR(E679="",E679="!!!",F679="NEW"),"",INDEX(B$2:B667,-1+SUMPRODUCT(MAX(ROW(E$2:E667)*(E679=E$2:E667)))))</f>
        <v>other_3</v>
      </c>
      <c r="J679" s="26" t="n">
        <f aca="true">IF(OR(E679="",E679="!!!",F679="NEW"),"",COUNTBLANK(OFFSET(A$1,,,SUMPRODUCT(MAX(ROW(E$2:E668)*(E679=E$2:E668)))))-COUNTBLANK(OFFSET(A$1,,,SUMPRODUCT(MAX(ROW(E$1:E667)*(E679=E$1:E667))))))</f>
        <v>0</v>
      </c>
      <c r="K679" s="26" t="n">
        <f aca="false">IF(OR(E679="",E679="!!!",F679="NEW"),"",INDEX(J$1:J667,SUMPRODUCT(MAX(ROW(E$1:E667)*(E679=E$1:E667)))))</f>
        <v>0</v>
      </c>
      <c r="L679" s="27"/>
    </row>
    <row r="680" customFormat="false" ht="15" hidden="false" customHeight="false" outlineLevel="0" collapsed="false">
      <c r="A680" s="20" t="s">
        <v>209</v>
      </c>
      <c r="E680" s="21"/>
      <c r="F680" s="22"/>
      <c r="G680" s="23"/>
      <c r="H680" s="24"/>
      <c r="I680" s="25" t="str">
        <f aca="false">IF(OR(E680="",E680="!!!",F680="NEW"),"",INDEX(B$2:B668,-1+SUMPRODUCT(MAX(ROW(E$2:E668)*(E680=E$2:E668)))))</f>
        <v/>
      </c>
      <c r="J680" s="26" t="str">
        <f aca="true">IF(OR(E680="",E680="!!!",F680="NEW"),"",COUNTBLANK(OFFSET(A$1,,,SUMPRODUCT(MAX(ROW(E$2:E669)*(E680=E$2:E669)))))-COUNTBLANK(OFFSET(A$1,,,SUMPRODUCT(MAX(ROW(E$1:E668)*(E680=E$1:E668))))))</f>
        <v/>
      </c>
      <c r="K680" s="26" t="str">
        <f aca="false">IF(OR(E680="",E680="!!!",F680="NEW"),"",INDEX(J$1:J668,SUMPRODUCT(MAX(ROW(E$1:E668)*(E680=E$1:E668)))))</f>
        <v/>
      </c>
      <c r="L680" s="27"/>
    </row>
    <row r="681" customFormat="false" ht="15" hidden="false" customHeight="false" outlineLevel="0" collapsed="false">
      <c r="A681" s="20" t="s">
        <v>328</v>
      </c>
      <c r="B681" s="28" t="s">
        <v>270</v>
      </c>
      <c r="C681" s="28" t="s">
        <v>197</v>
      </c>
      <c r="D681" s="28" t="s">
        <v>198</v>
      </c>
      <c r="E681" s="21" t="s">
        <v>372</v>
      </c>
      <c r="F681" s="22" t="s">
        <v>226</v>
      </c>
      <c r="G681" s="23" t="s">
        <v>227</v>
      </c>
      <c r="H681" s="24"/>
      <c r="I681" s="25" t="str">
        <f aca="false">IF(OR(E681="",E681="!!!",F681="NEW"),"",INDEX(B$2:B669,-1+SUMPRODUCT(MAX(ROW(E$2:E669)*(E681=E$2:E669)))))</f>
        <v>other_2</v>
      </c>
      <c r="J681" s="26" t="n">
        <f aca="true">IF(OR(E681="",E681="!!!",F681="NEW"),"",COUNTBLANK(OFFSET(A$1,,,SUMPRODUCT(MAX(ROW(E$2:E670)*(E681=E$2:E670)))))-COUNTBLANK(OFFSET(A$1,,,SUMPRODUCT(MAX(ROW(E$1:E669)*(E681=E$1:E669))))))</f>
        <v>0</v>
      </c>
      <c r="K681" s="26" t="n">
        <f aca="false">IF(OR(E681="",E681="!!!",F681="NEW"),"",INDEX(J$1:J669,SUMPRODUCT(MAX(ROW(E$1:E669)*(E681=E$1:E669)))))</f>
        <v>0</v>
      </c>
      <c r="L681" s="27"/>
    </row>
    <row r="682" customFormat="false" ht="15" hidden="false" customHeight="false" outlineLevel="0" collapsed="false">
      <c r="A682" s="20" t="s">
        <v>345</v>
      </c>
      <c r="E682" s="21"/>
      <c r="F682" s="22"/>
      <c r="G682" s="23"/>
      <c r="H682" s="24"/>
      <c r="I682" s="25" t="str">
        <f aca="false">IF(OR(E682="",E682="!!!",F682="NEW"),"",INDEX(B$2:B670,-1+SUMPRODUCT(MAX(ROW(E$2:E670)*(E682=E$2:E670)))))</f>
        <v/>
      </c>
      <c r="J682" s="26" t="str">
        <f aca="true">IF(OR(E682="",E682="!!!",F682="NEW"),"",COUNTBLANK(OFFSET(A$1,,,SUMPRODUCT(MAX(ROW(E$2:E671)*(E682=E$2:E671)))))-COUNTBLANK(OFFSET(A$1,,,SUMPRODUCT(MAX(ROW(E$1:E670)*(E682=E$1:E670))))))</f>
        <v/>
      </c>
      <c r="K682" s="26" t="str">
        <f aca="false">IF(OR(E682="",E682="!!!",F682="NEW"),"",INDEX(J$1:J670,SUMPRODUCT(MAX(ROW(E$1:E670)*(E682=E$1:E670)))))</f>
        <v/>
      </c>
      <c r="L682" s="27"/>
    </row>
    <row r="683" customFormat="false" ht="15" hidden="false" customHeight="false" outlineLevel="0" collapsed="false">
      <c r="A683" s="20" t="s">
        <v>372</v>
      </c>
      <c r="B683" s="28" t="s">
        <v>215</v>
      </c>
      <c r="C683" s="28" t="s">
        <v>223</v>
      </c>
      <c r="D683" s="28" t="s">
        <v>198</v>
      </c>
      <c r="E683" s="21" t="s">
        <v>372</v>
      </c>
      <c r="F683" s="22" t="s">
        <v>226</v>
      </c>
      <c r="G683" s="23" t="s">
        <v>227</v>
      </c>
      <c r="H683" s="24"/>
      <c r="I683" s="25" t="str">
        <f aca="false">IF(OR(E683="",E683="!!!",F683="NEW"),"",INDEX(B$2:B671,-1+SUMPRODUCT(MAX(ROW(E$2:E671)*(E683=E$2:E671)))))</f>
        <v>other_2</v>
      </c>
      <c r="J683" s="26" t="n">
        <f aca="true">IF(OR(E683="",E683="!!!",F683="NEW"),"",COUNTBLANK(OFFSET(A$1,,,SUMPRODUCT(MAX(ROW(E$2:E672)*(E683=E$2:E672)))))-COUNTBLANK(OFFSET(A$1,,,SUMPRODUCT(MAX(ROW(E$1:E671)*(E683=E$1:E671))))))</f>
        <v>0</v>
      </c>
      <c r="K683" s="26" t="n">
        <f aca="false">IF(OR(E683="",E683="!!!",F683="NEW"),"",INDEX(J$1:J671,SUMPRODUCT(MAX(ROW(E$1:E671)*(E683=E$1:E671)))))</f>
        <v>0</v>
      </c>
      <c r="L683" s="27"/>
    </row>
    <row r="684" customFormat="false" ht="15" hidden="false" customHeight="false" outlineLevel="0" collapsed="false">
      <c r="A684" s="20" t="s">
        <v>209</v>
      </c>
      <c r="E684" s="21"/>
      <c r="F684" s="22"/>
      <c r="G684" s="23"/>
      <c r="H684" s="24"/>
      <c r="I684" s="25" t="str">
        <f aca="false">IF(OR(E684="",E684="!!!",F684="NEW"),"",INDEX(B$2:B672,-1+SUMPRODUCT(MAX(ROW(E$2:E672)*(E684=E$2:E672)))))</f>
        <v/>
      </c>
      <c r="J684" s="26" t="str">
        <f aca="true">IF(OR(E684="",E684="!!!",F684="NEW"),"",COUNTBLANK(OFFSET(A$1,,,SUMPRODUCT(MAX(ROW(E$2:E673)*(E684=E$2:E673)))))-COUNTBLANK(OFFSET(A$1,,,SUMPRODUCT(MAX(ROW(E$1:E672)*(E684=E$1:E672))))))</f>
        <v/>
      </c>
      <c r="K684" s="26" t="str">
        <f aca="false">IF(OR(E684="",E684="!!!",F684="NEW"),"",INDEX(J$1:J672,SUMPRODUCT(MAX(ROW(E$1:E672)*(E684=E$1:E672)))))</f>
        <v/>
      </c>
      <c r="L684" s="27"/>
    </row>
    <row r="685" customFormat="false" ht="15" hidden="false" customHeight="false" outlineLevel="0" collapsed="false">
      <c r="A685" s="20" t="s">
        <v>269</v>
      </c>
      <c r="B685" s="28" t="s">
        <v>270</v>
      </c>
      <c r="E685" s="21"/>
      <c r="F685" s="22"/>
      <c r="G685" s="23"/>
      <c r="H685" s="24"/>
      <c r="I685" s="25" t="str">
        <f aca="false">IF(OR(E685="",E685="!!!",F685="NEW"),"",INDEX(B$2:B673,-1+SUMPRODUCT(MAX(ROW(E$2:E673)*(E685=E$2:E673)))))</f>
        <v/>
      </c>
      <c r="J685" s="26" t="str">
        <f aca="true">IF(OR(E685="",E685="!!!",F685="NEW"),"",COUNTBLANK(OFFSET(A$1,,,SUMPRODUCT(MAX(ROW(E$2:E674)*(E685=E$2:E674)))))-COUNTBLANK(OFFSET(A$1,,,SUMPRODUCT(MAX(ROW(E$1:E673)*(E685=E$1:E673))))))</f>
        <v/>
      </c>
      <c r="K685" s="26" t="str">
        <f aca="false">IF(OR(E685="",E685="!!!",F685="NEW"),"",INDEX(J$1:J673,SUMPRODUCT(MAX(ROW(E$1:E673)*(E685=E$1:E673)))))</f>
        <v/>
      </c>
      <c r="L685" s="27"/>
    </row>
    <row r="686" customFormat="false" ht="15" hidden="false" customHeight="false" outlineLevel="0" collapsed="false">
      <c r="A686" s="20" t="s">
        <v>523</v>
      </c>
      <c r="E686" s="21"/>
      <c r="F686" s="22"/>
      <c r="G686" s="23"/>
      <c r="H686" s="24"/>
      <c r="I686" s="25" t="str">
        <f aca="false">IF(OR(E686="",E686="!!!",F686="NEW"),"",INDEX(B$2:B674,-1+SUMPRODUCT(MAX(ROW(E$2:E674)*(E686=E$2:E674)))))</f>
        <v/>
      </c>
      <c r="J686" s="26" t="str">
        <f aca="true">IF(OR(E686="",E686="!!!",F686="NEW"),"",COUNTBLANK(OFFSET(A$1,,,SUMPRODUCT(MAX(ROW(E$2:E675)*(E686=E$2:E675)))))-COUNTBLANK(OFFSET(A$1,,,SUMPRODUCT(MAX(ROW(E$1:E674)*(E686=E$1:E674))))))</f>
        <v/>
      </c>
      <c r="K686" s="26" t="str">
        <f aca="false">IF(OR(E686="",E686="!!!",F686="NEW"),"",INDEX(J$1:J674,SUMPRODUCT(MAX(ROW(E$1:E674)*(E686=E$1:E674)))))</f>
        <v/>
      </c>
      <c r="L686" s="27"/>
    </row>
    <row r="687" customFormat="false" ht="15" hidden="false" customHeight="false" outlineLevel="0" collapsed="false">
      <c r="A687" s="20" t="s">
        <v>204</v>
      </c>
      <c r="E687" s="21"/>
      <c r="F687" s="22"/>
      <c r="G687" s="23"/>
      <c r="H687" s="24"/>
      <c r="I687" s="25" t="str">
        <f aca="false">IF(OR(E687="",E687="!!!",F687="NEW"),"",INDEX(B$2:B675,-1+SUMPRODUCT(MAX(ROW(E$2:E675)*(E687=E$2:E675)))))</f>
        <v/>
      </c>
      <c r="J687" s="26" t="str">
        <f aca="true">IF(OR(E687="",E687="!!!",F687="NEW"),"",COUNTBLANK(OFFSET(A$1,,,SUMPRODUCT(MAX(ROW(E$2:E676)*(E687=E$2:E676)))))-COUNTBLANK(OFFSET(A$1,,,SUMPRODUCT(MAX(ROW(E$1:E675)*(E687=E$1:E675))))))</f>
        <v/>
      </c>
      <c r="K687" s="26" t="str">
        <f aca="false">IF(OR(E687="",E687="!!!",F687="NEW"),"",INDEX(J$1:J675,SUMPRODUCT(MAX(ROW(E$1:E675)*(E687=E$1:E675)))))</f>
        <v/>
      </c>
      <c r="L687" s="27"/>
    </row>
    <row r="688" customFormat="false" ht="15" hidden="false" customHeight="false" outlineLevel="0" collapsed="false">
      <c r="A688" s="20" t="s">
        <v>401</v>
      </c>
      <c r="B688" s="28" t="s">
        <v>240</v>
      </c>
      <c r="C688" s="28" t="s">
        <v>207</v>
      </c>
      <c r="D688" s="28" t="s">
        <v>198</v>
      </c>
      <c r="E688" s="21" t="s">
        <v>524</v>
      </c>
      <c r="F688" s="22" t="s">
        <v>200</v>
      </c>
      <c r="G688" s="23" t="s">
        <v>212</v>
      </c>
      <c r="H688" s="24"/>
      <c r="I688" s="25" t="str">
        <f aca="false">IF(OR(E688="",E688="!!!",F688="NEW"),"",INDEX(B$2:B676,-1+SUMPRODUCT(MAX(ROW(E$2:E676)*(E688=E$2:E676)))))</f>
        <v/>
      </c>
      <c r="J688" s="26" t="str">
        <f aca="true">IF(OR(E688="",E688="!!!",F688="NEW"),"",COUNTBLANK(OFFSET(A$1,,,SUMPRODUCT(MAX(ROW(E$2:E677)*(E688=E$2:E677)))))-COUNTBLANK(OFFSET(A$1,,,SUMPRODUCT(MAX(ROW(E$1:E676)*(E688=E$1:E676))))))</f>
        <v/>
      </c>
      <c r="K688" s="26" t="str">
        <f aca="false">IF(OR(E688="",E688="!!!",F688="NEW"),"",INDEX(J$1:J676,SUMPRODUCT(MAX(ROW(E$1:E676)*(E688=E$1:E676)))))</f>
        <v/>
      </c>
      <c r="L688" s="27"/>
    </row>
    <row r="689" customFormat="false" ht="15" hidden="false" customHeight="false" outlineLevel="0" collapsed="false">
      <c r="A689" s="20" t="s">
        <v>209</v>
      </c>
      <c r="E689" s="21"/>
      <c r="F689" s="22"/>
      <c r="G689" s="23"/>
      <c r="H689" s="24"/>
      <c r="I689" s="25" t="str">
        <f aca="false">IF(OR(E689="",E689="!!!",F689="NEW"),"",INDEX(B$2:B677,-1+SUMPRODUCT(MAX(ROW(E$2:E677)*(E689=E$2:E677)))))</f>
        <v/>
      </c>
      <c r="J689" s="26" t="str">
        <f aca="true">IF(OR(E689="",E689="!!!",F689="NEW"),"",COUNTBLANK(OFFSET(A$1,,,SUMPRODUCT(MAX(ROW(E$2:E678)*(E689=E$2:E678)))))-COUNTBLANK(OFFSET(A$1,,,SUMPRODUCT(MAX(ROW(E$1:E677)*(E689=E$1:E677))))))</f>
        <v/>
      </c>
      <c r="K689" s="26" t="str">
        <f aca="false">IF(OR(E689="",E689="!!!",F689="NEW"),"",INDEX(J$1:J677,SUMPRODUCT(MAX(ROW(E$1:E677)*(E689=E$1:E677)))))</f>
        <v/>
      </c>
      <c r="L689" s="27"/>
    </row>
    <row r="690" customFormat="false" ht="15" hidden="false" customHeight="false" outlineLevel="0" collapsed="false">
      <c r="A690" s="20" t="s">
        <v>204</v>
      </c>
      <c r="E690" s="21"/>
      <c r="F690" s="22"/>
      <c r="G690" s="23"/>
      <c r="H690" s="24"/>
      <c r="I690" s="25" t="str">
        <f aca="false">IF(OR(E690="",E690="!!!",F690="NEW"),"",INDEX(B$2:B678,-1+SUMPRODUCT(MAX(ROW(E$2:E678)*(E690=E$2:E678)))))</f>
        <v/>
      </c>
      <c r="J690" s="26" t="str">
        <f aca="true">IF(OR(E690="",E690="!!!",F690="NEW"),"",COUNTBLANK(OFFSET(A$1,,,SUMPRODUCT(MAX(ROW(E$2:E679)*(E690=E$2:E679)))))-COUNTBLANK(OFFSET(A$1,,,SUMPRODUCT(MAX(ROW(E$1:E678)*(E690=E$1:E678))))))</f>
        <v/>
      </c>
      <c r="K690" s="26" t="str">
        <f aca="false">IF(OR(E690="",E690="!!!",F690="NEW"),"",INDEX(J$1:J678,SUMPRODUCT(MAX(ROW(E$1:E678)*(E690=E$1:E678)))))</f>
        <v/>
      </c>
      <c r="L690" s="27"/>
    </row>
    <row r="691" customFormat="false" ht="15" hidden="false" customHeight="false" outlineLevel="0" collapsed="false">
      <c r="A691" s="20" t="s">
        <v>525</v>
      </c>
      <c r="B691" s="28" t="s">
        <v>215</v>
      </c>
      <c r="C691" s="28" t="s">
        <v>207</v>
      </c>
      <c r="D691" s="28" t="s">
        <v>198</v>
      </c>
      <c r="E691" s="21" t="s">
        <v>526</v>
      </c>
      <c r="F691" s="22" t="s">
        <v>200</v>
      </c>
      <c r="G691" s="23" t="s">
        <v>201</v>
      </c>
      <c r="H691" s="24"/>
      <c r="I691" s="25" t="str">
        <f aca="false">IF(OR(E691="",E691="!!!",F691="NEW"),"",INDEX(B$2:B679,-1+SUMPRODUCT(MAX(ROW(E$2:E679)*(E691=E$2:E679)))))</f>
        <v/>
      </c>
      <c r="J691" s="26" t="str">
        <f aca="true">IF(OR(E691="",E691="!!!",F691="NEW"),"",COUNTBLANK(OFFSET(A$1,,,SUMPRODUCT(MAX(ROW(E$2:E680)*(E691=E$2:E680)))))-COUNTBLANK(OFFSET(A$1,,,SUMPRODUCT(MAX(ROW(E$1:E679)*(E691=E$1:E679))))))</f>
        <v/>
      </c>
      <c r="K691" s="26" t="str">
        <f aca="false">IF(OR(E691="",E691="!!!",F691="NEW"),"",INDEX(J$1:J679,SUMPRODUCT(MAX(ROW(E$1:E679)*(E691=E$1:E679)))))</f>
        <v/>
      </c>
      <c r="L691" s="27"/>
    </row>
    <row r="692" customFormat="false" ht="15" hidden="false" customHeight="false" outlineLevel="0" collapsed="false">
      <c r="A692" s="20" t="s">
        <v>209</v>
      </c>
      <c r="E692" s="21"/>
      <c r="F692" s="22"/>
      <c r="G692" s="23"/>
      <c r="H692" s="24"/>
      <c r="I692" s="25" t="str">
        <f aca="false">IF(OR(E692="",E692="!!!",F692="NEW"),"",INDEX(B$2:B680,-1+SUMPRODUCT(MAX(ROW(E$2:E680)*(E692=E$2:E680)))))</f>
        <v/>
      </c>
      <c r="J692" s="26" t="str">
        <f aca="true">IF(OR(E692="",E692="!!!",F692="NEW"),"",COUNTBLANK(OFFSET(A$1,,,SUMPRODUCT(MAX(ROW(E$2:E681)*(E692=E$2:E681)))))-COUNTBLANK(OFFSET(A$1,,,SUMPRODUCT(MAX(ROW(E$1:E680)*(E692=E$1:E680))))))</f>
        <v/>
      </c>
      <c r="K692" s="26" t="str">
        <f aca="false">IF(OR(E692="",E692="!!!",F692="NEW"),"",INDEX(J$1:J680,SUMPRODUCT(MAX(ROW(E$1:E680)*(E692=E$1:E680)))))</f>
        <v/>
      </c>
      <c r="L692" s="27"/>
    </row>
    <row r="693" customFormat="false" ht="15" hidden="false" customHeight="false" outlineLevel="0" collapsed="false">
      <c r="A693" s="20" t="s">
        <v>204</v>
      </c>
      <c r="E693" s="21"/>
      <c r="F693" s="22"/>
      <c r="G693" s="23"/>
      <c r="H693" s="24"/>
      <c r="I693" s="25" t="str">
        <f aca="false">IF(OR(E693="",E693="!!!",F693="NEW"),"",INDEX(B$2:B681,-1+SUMPRODUCT(MAX(ROW(E$2:E681)*(E693=E$2:E681)))))</f>
        <v/>
      </c>
      <c r="J693" s="26" t="str">
        <f aca="true">IF(OR(E693="",E693="!!!",F693="NEW"),"",COUNTBLANK(OFFSET(A$1,,,SUMPRODUCT(MAX(ROW(E$2:E682)*(E693=E$2:E682)))))-COUNTBLANK(OFFSET(A$1,,,SUMPRODUCT(MAX(ROW(E$1:E681)*(E693=E$1:E681))))))</f>
        <v/>
      </c>
      <c r="K693" s="26" t="str">
        <f aca="false">IF(OR(E693="",E693="!!!",F693="NEW"),"",INDEX(J$1:J681,SUMPRODUCT(MAX(ROW(E$1:E681)*(E693=E$1:E681)))))</f>
        <v/>
      </c>
      <c r="L693" s="27"/>
    </row>
    <row r="694" customFormat="false" ht="15" hidden="false" customHeight="false" outlineLevel="0" collapsed="false">
      <c r="A694" s="20" t="s">
        <v>527</v>
      </c>
      <c r="B694" s="28" t="s">
        <v>219</v>
      </c>
      <c r="C694" s="28" t="s">
        <v>207</v>
      </c>
      <c r="D694" s="28" t="s">
        <v>198</v>
      </c>
      <c r="E694" s="21" t="s">
        <v>528</v>
      </c>
      <c r="F694" s="22" t="s">
        <v>200</v>
      </c>
      <c r="G694" s="23" t="s">
        <v>212</v>
      </c>
      <c r="H694" s="24"/>
      <c r="I694" s="25" t="str">
        <f aca="false">IF(OR(E694="",E694="!!!",F694="NEW"),"",INDEX(B$2:B682,-1+SUMPRODUCT(MAX(ROW(E$2:E682)*(E694=E$2:E682)))))</f>
        <v/>
      </c>
      <c r="J694" s="26" t="str">
        <f aca="true">IF(OR(E694="",E694="!!!",F694="NEW"),"",COUNTBLANK(OFFSET(A$1,,,SUMPRODUCT(MAX(ROW(E$2:E683)*(E694=E$2:E683)))))-COUNTBLANK(OFFSET(A$1,,,SUMPRODUCT(MAX(ROW(E$1:E682)*(E694=E$1:E682))))))</f>
        <v/>
      </c>
      <c r="K694" s="26" t="str">
        <f aca="false">IF(OR(E694="",E694="!!!",F694="NEW"),"",INDEX(J$1:J682,SUMPRODUCT(MAX(ROW(E$1:E682)*(E694=E$1:E682)))))</f>
        <v/>
      </c>
      <c r="L694" s="27"/>
    </row>
    <row r="695" customFormat="false" ht="15" hidden="false" customHeight="false" outlineLevel="0" collapsed="false">
      <c r="A695" s="20" t="s">
        <v>209</v>
      </c>
      <c r="E695" s="21"/>
      <c r="F695" s="22"/>
      <c r="G695" s="23"/>
      <c r="H695" s="24"/>
      <c r="I695" s="25" t="str">
        <f aca="false">IF(OR(E695="",E695="!!!",F695="NEW"),"",INDEX(B$2:B683,-1+SUMPRODUCT(MAX(ROW(E$2:E683)*(E695=E$2:E683)))))</f>
        <v/>
      </c>
      <c r="J695" s="26" t="str">
        <f aca="true">IF(OR(E695="",E695="!!!",F695="NEW"),"",COUNTBLANK(OFFSET(A$1,,,SUMPRODUCT(MAX(ROW(E$2:E684)*(E695=E$2:E684)))))-COUNTBLANK(OFFSET(A$1,,,SUMPRODUCT(MAX(ROW(E$1:E683)*(E695=E$1:E683))))))</f>
        <v/>
      </c>
      <c r="K695" s="26" t="str">
        <f aca="false">IF(OR(E695="",E695="!!!",F695="NEW"),"",INDEX(J$1:J683,SUMPRODUCT(MAX(ROW(E$1:E683)*(E695=E$1:E683)))))</f>
        <v/>
      </c>
      <c r="L695" s="27"/>
    </row>
    <row r="696" customFormat="false" ht="15" hidden="false" customHeight="false" outlineLevel="0" collapsed="false">
      <c r="A696" s="20" t="s">
        <v>213</v>
      </c>
      <c r="E696" s="21"/>
      <c r="F696" s="22"/>
      <c r="G696" s="23"/>
      <c r="H696" s="24"/>
      <c r="I696" s="25" t="str">
        <f aca="false">IF(OR(E696="",E696="!!!",F696="NEW"),"",INDEX(B$2:B684,-1+SUMPRODUCT(MAX(ROW(E$2:E684)*(E696=E$2:E684)))))</f>
        <v/>
      </c>
      <c r="J696" s="26" t="str">
        <f aca="true">IF(OR(E696="",E696="!!!",F696="NEW"),"",COUNTBLANK(OFFSET(A$1,,,SUMPRODUCT(MAX(ROW(E$2:E685)*(E696=E$2:E685)))))-COUNTBLANK(OFFSET(A$1,,,SUMPRODUCT(MAX(ROW(E$1:E684)*(E696=E$1:E684))))))</f>
        <v/>
      </c>
      <c r="K696" s="26" t="str">
        <f aca="false">IF(OR(E696="",E696="!!!",F696="NEW"),"",INDEX(J$1:J684,SUMPRODUCT(MAX(ROW(E$1:E684)*(E696=E$1:E684)))))</f>
        <v/>
      </c>
      <c r="L696" s="27"/>
    </row>
    <row r="697" customFormat="false" ht="15" hidden="false" customHeight="false" outlineLevel="0" collapsed="false">
      <c r="A697" s="20" t="s">
        <v>364</v>
      </c>
      <c r="E697" s="21"/>
      <c r="F697" s="22"/>
      <c r="G697" s="23"/>
      <c r="H697" s="24"/>
      <c r="I697" s="25" t="str">
        <f aca="false">IF(OR(E697="",E697="!!!",F697="NEW"),"",INDEX(B$2:B685,-1+SUMPRODUCT(MAX(ROW(E$2:E685)*(E697=E$2:E685)))))</f>
        <v/>
      </c>
      <c r="J697" s="26" t="str">
        <f aca="true">IF(OR(E697="",E697="!!!",F697="NEW"),"",COUNTBLANK(OFFSET(A$1,,,SUMPRODUCT(MAX(ROW(E$2:E686)*(E697=E$2:E686)))))-COUNTBLANK(OFFSET(A$1,,,SUMPRODUCT(MAX(ROW(E$1:E685)*(E697=E$1:E685))))))</f>
        <v/>
      </c>
      <c r="K697" s="26" t="str">
        <f aca="false">IF(OR(E697="",E697="!!!",F697="NEW"),"",INDEX(J$1:J685,SUMPRODUCT(MAX(ROW(E$1:E685)*(E697=E$1:E685)))))</f>
        <v/>
      </c>
      <c r="L697" s="27"/>
    </row>
    <row r="698" customFormat="false" ht="15" hidden="false" customHeight="false" outlineLevel="0" collapsed="false">
      <c r="A698" s="20" t="s">
        <v>285</v>
      </c>
      <c r="B698" s="28" t="s">
        <v>270</v>
      </c>
      <c r="C698" s="28" t="s">
        <v>268</v>
      </c>
      <c r="D698" s="28" t="s">
        <v>198</v>
      </c>
      <c r="E698" s="21"/>
      <c r="F698" s="22" t="s">
        <v>261</v>
      </c>
      <c r="G698" s="23"/>
      <c r="H698" s="24"/>
      <c r="I698" s="25" t="str">
        <f aca="false">IF(OR(E698="",E698="!!!",F698="NEW"),"",INDEX(B$2:B686,-1+SUMPRODUCT(MAX(ROW(E$2:E686)*(E698=E$2:E686)))))</f>
        <v/>
      </c>
      <c r="J698" s="26" t="str">
        <f aca="true">IF(OR(E698="",E698="!!!",F698="NEW"),"",COUNTBLANK(OFFSET(A$1,,,SUMPRODUCT(MAX(ROW(E$2:E687)*(E698=E$2:E687)))))-COUNTBLANK(OFFSET(A$1,,,SUMPRODUCT(MAX(ROW(E$1:E686)*(E698=E$1:E686))))))</f>
        <v/>
      </c>
      <c r="K698" s="26" t="str">
        <f aca="false">IF(OR(E698="",E698="!!!",F698="NEW"),"",INDEX(J$1:J686,SUMPRODUCT(MAX(ROW(E$1:E686)*(E698=E$1:E686)))))</f>
        <v/>
      </c>
      <c r="L698" s="27"/>
    </row>
    <row r="699" customFormat="false" ht="15" hidden="false" customHeight="false" outlineLevel="0" collapsed="false">
      <c r="A699" s="20" t="s">
        <v>383</v>
      </c>
      <c r="E699" s="21"/>
      <c r="F699" s="22"/>
      <c r="G699" s="23"/>
      <c r="H699" s="24"/>
      <c r="I699" s="25" t="str">
        <f aca="false">IF(OR(E699="",E699="!!!",F699="NEW"),"",INDEX(B$2:B687,-1+SUMPRODUCT(MAX(ROW(E$2:E687)*(E699=E$2:E687)))))</f>
        <v/>
      </c>
      <c r="J699" s="26" t="str">
        <f aca="true">IF(OR(E699="",E699="!!!",F699="NEW"),"",COUNTBLANK(OFFSET(A$1,,,SUMPRODUCT(MAX(ROW(E$2:E688)*(E699=E$2:E688)))))-COUNTBLANK(OFFSET(A$1,,,SUMPRODUCT(MAX(ROW(E$1:E687)*(E699=E$1:E687))))))</f>
        <v/>
      </c>
      <c r="K699" s="26" t="str">
        <f aca="false">IF(OR(E699="",E699="!!!",F699="NEW"),"",INDEX(J$1:J687,SUMPRODUCT(MAX(ROW(E$1:E687)*(E699=E$1:E687)))))</f>
        <v/>
      </c>
      <c r="L699" s="27"/>
    </row>
    <row r="700" customFormat="false" ht="15" hidden="false" customHeight="false" outlineLevel="0" collapsed="false">
      <c r="A700" s="20" t="s">
        <v>236</v>
      </c>
      <c r="E700" s="21"/>
      <c r="F700" s="22"/>
      <c r="G700" s="23"/>
      <c r="H700" s="24"/>
      <c r="I700" s="25" t="str">
        <f aca="false">IF(OR(E700="",E700="!!!",F700="NEW"),"",INDEX(B$2:B688,-1+SUMPRODUCT(MAX(ROW(E$2:E688)*(E700=E$2:E688)))))</f>
        <v/>
      </c>
      <c r="J700" s="26" t="str">
        <f aca="true">IF(OR(E700="",E700="!!!",F700="NEW"),"",COUNTBLANK(OFFSET(A$1,,,SUMPRODUCT(MAX(ROW(E$2:E689)*(E700=E$2:E689)))))-COUNTBLANK(OFFSET(A$1,,,SUMPRODUCT(MAX(ROW(E$1:E688)*(E700=E$1:E688))))))</f>
        <v/>
      </c>
      <c r="K700" s="26" t="str">
        <f aca="false">IF(OR(E700="",E700="!!!",F700="NEW"),"",INDEX(J$1:J688,SUMPRODUCT(MAX(ROW(E$1:E688)*(E700=E$1:E688)))))</f>
        <v/>
      </c>
      <c r="L700" s="27"/>
    </row>
    <row r="701" customFormat="false" ht="15" hidden="false" customHeight="false" outlineLevel="0" collapsed="false">
      <c r="A701" s="20" t="s">
        <v>225</v>
      </c>
      <c r="B701" s="28" t="s">
        <v>215</v>
      </c>
      <c r="C701" s="28" t="s">
        <v>197</v>
      </c>
      <c r="D701" s="28" t="s">
        <v>198</v>
      </c>
      <c r="E701" s="21" t="s">
        <v>462</v>
      </c>
      <c r="F701" s="22" t="s">
        <v>226</v>
      </c>
      <c r="G701" s="23" t="s">
        <v>201</v>
      </c>
      <c r="H701" s="24"/>
      <c r="I701" s="25" t="str">
        <f aca="false">IF(OR(E701="",E701="!!!",F701="NEW"),"",INDEX(B$2:B689,-1+SUMPRODUCT(MAX(ROW(E$2:E689)*(E701=E$2:E689)))))</f>
        <v>other_2</v>
      </c>
      <c r="J701" s="26" t="n">
        <f aca="true">IF(OR(E701="",E701="!!!",F701="NEW"),"",COUNTBLANK(OFFSET(A$1,,,SUMPRODUCT(MAX(ROW(E$2:E690)*(E701=E$2:E690)))))-COUNTBLANK(OFFSET(A$1,,,SUMPRODUCT(MAX(ROW(E$1:E689)*(E701=E$1:E689))))))</f>
        <v>0</v>
      </c>
      <c r="K701" s="26" t="str">
        <f aca="false">IF(OR(E701="",E701="!!!",F701="NEW"),"",INDEX(J$1:J689,SUMPRODUCT(MAX(ROW(E$1:E689)*(E701=E$1:E689)))))</f>
        <v/>
      </c>
      <c r="L701" s="27"/>
    </row>
    <row r="702" customFormat="false" ht="15" hidden="false" customHeight="false" outlineLevel="0" collapsed="false">
      <c r="A702" s="20" t="s">
        <v>495</v>
      </c>
      <c r="E702" s="21"/>
      <c r="F702" s="22"/>
      <c r="G702" s="23"/>
      <c r="H702" s="24"/>
      <c r="I702" s="25" t="str">
        <f aca="false">IF(OR(E702="",E702="!!!",F702="NEW"),"",INDEX(B$2:B690,-1+SUMPRODUCT(MAX(ROW(E$2:E690)*(E702=E$2:E690)))))</f>
        <v/>
      </c>
      <c r="J702" s="26" t="str">
        <f aca="true">IF(OR(E702="",E702="!!!",F702="NEW"),"",COUNTBLANK(OFFSET(A$1,,,SUMPRODUCT(MAX(ROW(E$2:E691)*(E702=E$2:E691)))))-COUNTBLANK(OFFSET(A$1,,,SUMPRODUCT(MAX(ROW(E$1:E690)*(E702=E$1:E690))))))</f>
        <v/>
      </c>
      <c r="K702" s="26" t="str">
        <f aca="false">IF(OR(E702="",E702="!!!",F702="NEW"),"",INDEX(J$1:J690,SUMPRODUCT(MAX(ROW(E$1:E690)*(E702=E$1:E690)))))</f>
        <v/>
      </c>
      <c r="L702" s="27"/>
    </row>
    <row r="703" customFormat="false" ht="15" hidden="false" customHeight="false" outlineLevel="0" collapsed="false">
      <c r="A703" s="20"/>
    </row>
    <row r="704" customFormat="false" ht="15" hidden="false" customHeight="false" outlineLevel="0" collapsed="false">
      <c r="A704" s="20" t="s">
        <v>529</v>
      </c>
    </row>
    <row r="705" customFormat="false" ht="15" hidden="false" customHeight="false" outlineLevel="0" collapsed="false">
      <c r="A705" s="20" t="s">
        <v>269</v>
      </c>
      <c r="B705" s="28" t="s">
        <v>196</v>
      </c>
      <c r="C705" s="28" t="s">
        <v>323</v>
      </c>
      <c r="E705" s="21"/>
      <c r="F705" s="22"/>
      <c r="G705" s="23"/>
      <c r="H705" s="24"/>
      <c r="I705" s="25" t="str">
        <f aca="false">IF(OR(E705="",E705="!!!",F705="NEW"),"",INDEX(B$2:B691,-1+SUMPRODUCT(MAX(ROW(E$2:E691)*(E705=E$2:E691)))))</f>
        <v/>
      </c>
      <c r="J705" s="26" t="str">
        <f aca="true">IF(OR(E705="",E705="!!!",F705="NEW"),"",COUNTBLANK(OFFSET(A$1,,,SUMPRODUCT(MAX(ROW(E$2:E692)*(E705=E$2:E692)))))-COUNTBLANK(OFFSET(A$1,,,SUMPRODUCT(MAX(ROW(E$1:E691)*(E705=E$1:E691))))))</f>
        <v/>
      </c>
      <c r="K705" s="26" t="str">
        <f aca="false">IF(OR(E705="",E705="!!!",F705="NEW"),"",INDEX(J$1:J691,SUMPRODUCT(MAX(ROW(E$1:E691)*(E705=E$1:E691)))))</f>
        <v/>
      </c>
      <c r="L705" s="27"/>
    </row>
    <row r="706" customFormat="false" ht="15" hidden="false" customHeight="false" outlineLevel="0" collapsed="false">
      <c r="A706" s="20" t="s">
        <v>355</v>
      </c>
      <c r="E706" s="21"/>
      <c r="F706" s="22"/>
      <c r="G706" s="23"/>
      <c r="H706" s="24"/>
      <c r="I706" s="25" t="str">
        <f aca="false">IF(OR(E706="",E706="!!!",F706="NEW"),"",INDEX(B$2:B692,-1+SUMPRODUCT(MAX(ROW(E$2:E692)*(E706=E$2:E692)))))</f>
        <v/>
      </c>
      <c r="J706" s="26" t="str">
        <f aca="true">IF(OR(E706="",E706="!!!",F706="NEW"),"",COUNTBLANK(OFFSET(A$1,,,SUMPRODUCT(MAX(ROW(E$2:E693)*(E706=E$2:E693)))))-COUNTBLANK(OFFSET(A$1,,,SUMPRODUCT(MAX(ROW(E$1:E692)*(E706=E$1:E692))))))</f>
        <v/>
      </c>
      <c r="K706" s="26" t="str">
        <f aca="false">IF(OR(E706="",E706="!!!",F706="NEW"),"",INDEX(J$1:J692,SUMPRODUCT(MAX(ROW(E$1:E692)*(E706=E$1:E692)))))</f>
        <v/>
      </c>
      <c r="L706" s="27"/>
    </row>
    <row r="707" customFormat="false" ht="15" hidden="false" customHeight="false" outlineLevel="0" collapsed="false">
      <c r="A707" s="20" t="s">
        <v>204</v>
      </c>
      <c r="E707" s="21"/>
      <c r="F707" s="22"/>
      <c r="G707" s="23"/>
      <c r="H707" s="24"/>
      <c r="I707" s="25" t="str">
        <f aca="false">IF(OR(E707="",E707="!!!",F707="NEW"),"",INDEX(B$2:B693,-1+SUMPRODUCT(MAX(ROW(E$2:E693)*(E707=E$2:E693)))))</f>
        <v/>
      </c>
      <c r="J707" s="26" t="str">
        <f aca="true">IF(OR(E707="",E707="!!!",F707="NEW"),"",COUNTBLANK(OFFSET(A$1,,,SUMPRODUCT(MAX(ROW(E$2:E694)*(E707=E$2:E694)))))-COUNTBLANK(OFFSET(A$1,,,SUMPRODUCT(MAX(ROW(E$1:E693)*(E707=E$1:E693))))))</f>
        <v/>
      </c>
      <c r="K707" s="26" t="str">
        <f aca="false">IF(OR(E707="",E707="!!!",F707="NEW"),"",INDEX(J$1:J693,SUMPRODUCT(MAX(ROW(E$1:E693)*(E707=E$1:E693)))))</f>
        <v/>
      </c>
      <c r="L707" s="27"/>
    </row>
    <row r="708" customFormat="false" ht="15" hidden="false" customHeight="false" outlineLevel="0" collapsed="false">
      <c r="A708" s="20" t="s">
        <v>530</v>
      </c>
      <c r="B708" s="28" t="s">
        <v>215</v>
      </c>
      <c r="C708" s="28" t="s">
        <v>289</v>
      </c>
      <c r="D708" s="28" t="s">
        <v>198</v>
      </c>
      <c r="E708" s="21" t="s">
        <v>531</v>
      </c>
      <c r="F708" s="22" t="s">
        <v>200</v>
      </c>
      <c r="G708" s="23" t="s">
        <v>212</v>
      </c>
      <c r="H708" s="24"/>
      <c r="I708" s="25" t="str">
        <f aca="false">IF(OR(E708="",E708="!!!",F708="NEW"),"",INDEX(B$2:B694,-1+SUMPRODUCT(MAX(ROW(E$2:E694)*(E708=E$2:E694)))))</f>
        <v/>
      </c>
      <c r="J708" s="26" t="str">
        <f aca="true">IF(OR(E708="",E708="!!!",F708="NEW"),"",COUNTBLANK(OFFSET(A$1,,,SUMPRODUCT(MAX(ROW(E$2:E695)*(E708=E$2:E695)))))-COUNTBLANK(OFFSET(A$1,,,SUMPRODUCT(MAX(ROW(E$1:E694)*(E708=E$1:E694))))))</f>
        <v/>
      </c>
      <c r="K708" s="26" t="str">
        <f aca="false">IF(OR(E708="",E708="!!!",F708="NEW"),"",INDEX(J$1:J694,SUMPRODUCT(MAX(ROW(E$1:E694)*(E708=E$1:E694)))))</f>
        <v/>
      </c>
      <c r="L708" s="27"/>
    </row>
    <row r="709" customFormat="false" ht="15" hidden="false" customHeight="false" outlineLevel="0" collapsed="false">
      <c r="A709" s="20" t="s">
        <v>217</v>
      </c>
      <c r="E709" s="21"/>
      <c r="F709" s="22"/>
      <c r="G709" s="23"/>
      <c r="H709" s="24"/>
      <c r="I709" s="25" t="str">
        <f aca="false">IF(OR(E709="",E709="!!!",F709="NEW"),"",INDEX(B$2:B695,-1+SUMPRODUCT(MAX(ROW(E$2:E695)*(E709=E$2:E695)))))</f>
        <v/>
      </c>
      <c r="J709" s="26" t="str">
        <f aca="true">IF(OR(E709="",E709="!!!",F709="NEW"),"",COUNTBLANK(OFFSET(A$1,,,SUMPRODUCT(MAX(ROW(E$2:E696)*(E709=E$2:E696)))))-COUNTBLANK(OFFSET(A$1,,,SUMPRODUCT(MAX(ROW(E$1:E695)*(E709=E$1:E695))))))</f>
        <v/>
      </c>
      <c r="K709" s="26" t="str">
        <f aca="false">IF(OR(E709="",E709="!!!",F709="NEW"),"",INDEX(J$1:J695,SUMPRODUCT(MAX(ROW(E$1:E695)*(E709=E$1:E695)))))</f>
        <v/>
      </c>
      <c r="L709" s="27"/>
    </row>
    <row r="710" customFormat="false" ht="15" hidden="false" customHeight="false" outlineLevel="0" collapsed="false">
      <c r="A710" s="20" t="s">
        <v>532</v>
      </c>
      <c r="B710" s="28" t="s">
        <v>310</v>
      </c>
      <c r="C710" s="28" t="s">
        <v>287</v>
      </c>
      <c r="D710" s="28" t="s">
        <v>198</v>
      </c>
      <c r="E710" s="21" t="s">
        <v>372</v>
      </c>
      <c r="F710" s="22" t="s">
        <v>226</v>
      </c>
      <c r="G710" s="23" t="s">
        <v>227</v>
      </c>
      <c r="H710" s="24"/>
      <c r="I710" s="25" t="str">
        <f aca="false">IF(OR(E710="",E710="!!!",F710="NEW"),"",INDEX(B$2:B696,-1+SUMPRODUCT(MAX(ROW(E$2:E696)*(E710=E$2:E696)))))</f>
        <v>other_2</v>
      </c>
      <c r="J710" s="26" t="n">
        <f aca="true">IF(OR(E710="",E710="!!!",F710="NEW"),"",COUNTBLANK(OFFSET(A$1,,,SUMPRODUCT(MAX(ROW(E$2:E697)*(E710=E$2:E697)))))-COUNTBLANK(OFFSET(A$1,,,SUMPRODUCT(MAX(ROW(E$1:E696)*(E710=E$1:E696))))))</f>
        <v>0</v>
      </c>
      <c r="K710" s="26" t="n">
        <f aca="false">IF(OR(E710="",E710="!!!",F710="NEW"),"",INDEX(J$1:J696,SUMPRODUCT(MAX(ROW(E$1:E696)*(E710=E$1:E696)))))</f>
        <v>0</v>
      </c>
      <c r="L710" s="27"/>
    </row>
    <row r="711" customFormat="false" ht="15" hidden="false" customHeight="false" outlineLevel="0" collapsed="false">
      <c r="A711" s="20" t="s">
        <v>533</v>
      </c>
      <c r="B711" s="28" t="s">
        <v>219</v>
      </c>
      <c r="C711" s="28" t="s">
        <v>289</v>
      </c>
      <c r="D711" s="28" t="s">
        <v>198</v>
      </c>
      <c r="E711" s="21" t="s">
        <v>534</v>
      </c>
      <c r="F711" s="22" t="s">
        <v>200</v>
      </c>
      <c r="G711" s="23" t="s">
        <v>201</v>
      </c>
      <c r="H711" s="24"/>
      <c r="I711" s="25" t="str">
        <f aca="false">IF(OR(E711="",E711="!!!",F711="NEW"),"",INDEX(B$2:B697,-1+SUMPRODUCT(MAX(ROW(E$2:E697)*(E711=E$2:E697)))))</f>
        <v/>
      </c>
      <c r="J711" s="26" t="str">
        <f aca="true">IF(OR(E711="",E711="!!!",F711="NEW"),"",COUNTBLANK(OFFSET(A$1,,,SUMPRODUCT(MAX(ROW(E$2:E698)*(E711=E$2:E698)))))-COUNTBLANK(OFFSET(A$1,,,SUMPRODUCT(MAX(ROW(E$1:E697)*(E711=E$1:E697))))))</f>
        <v/>
      </c>
      <c r="K711" s="26" t="str">
        <f aca="false">IF(OR(E711="",E711="!!!",F711="NEW"),"",INDEX(J$1:J697,SUMPRODUCT(MAX(ROW(E$1:E697)*(E711=E$1:E697)))))</f>
        <v/>
      </c>
      <c r="L711" s="27"/>
    </row>
    <row r="712" customFormat="false" ht="15" hidden="false" customHeight="false" outlineLevel="0" collapsed="false">
      <c r="A712" s="20" t="s">
        <v>209</v>
      </c>
      <c r="E712" s="21"/>
      <c r="F712" s="22"/>
      <c r="G712" s="23"/>
      <c r="H712" s="24"/>
      <c r="I712" s="25" t="str">
        <f aca="false">IF(OR(E712="",E712="!!!",F712="NEW"),"",INDEX(B$2:B698,-1+SUMPRODUCT(MAX(ROW(E$2:E698)*(E712=E$2:E698)))))</f>
        <v/>
      </c>
      <c r="J712" s="26" t="str">
        <f aca="true">IF(OR(E712="",E712="!!!",F712="NEW"),"",COUNTBLANK(OFFSET(A$1,,,SUMPRODUCT(MAX(ROW(E$2:E699)*(E712=E$2:E699)))))-COUNTBLANK(OFFSET(A$1,,,SUMPRODUCT(MAX(ROW(E$1:E698)*(E712=E$1:E698))))))</f>
        <v/>
      </c>
      <c r="K712" s="26" t="str">
        <f aca="false">IF(OR(E712="",E712="!!!",F712="NEW"),"",INDEX(J$1:J698,SUMPRODUCT(MAX(ROW(E$1:E698)*(E712=E$1:E698)))))</f>
        <v/>
      </c>
      <c r="L712" s="27"/>
    </row>
    <row r="713" customFormat="false" ht="15" hidden="false" customHeight="false" outlineLevel="0" collapsed="false">
      <c r="A713" s="20" t="s">
        <v>534</v>
      </c>
      <c r="B713" s="28" t="s">
        <v>310</v>
      </c>
      <c r="C713" s="28" t="s">
        <v>223</v>
      </c>
      <c r="D713" s="28" t="s">
        <v>198</v>
      </c>
      <c r="E713" s="21" t="s">
        <v>534</v>
      </c>
      <c r="F713" s="22" t="s">
        <v>200</v>
      </c>
      <c r="G713" s="23" t="s">
        <v>227</v>
      </c>
      <c r="H713" s="24"/>
      <c r="I713" s="25" t="str">
        <f aca="false">IF(OR(E713="",E713="!!!",F713="NEW"),"",INDEX(B$2:B699,-1+SUMPRODUCT(MAX(ROW(E$2:E699)*(E713=E$2:E699)))))</f>
        <v/>
      </c>
      <c r="J713" s="26" t="str">
        <f aca="true">IF(OR(E713="",E713="!!!",F713="NEW"),"",COUNTBLANK(OFFSET(A$1,,,SUMPRODUCT(MAX(ROW(E$2:E700)*(E713=E$2:E700)))))-COUNTBLANK(OFFSET(A$1,,,SUMPRODUCT(MAX(ROW(E$1:E699)*(E713=E$1:E699))))))</f>
        <v/>
      </c>
      <c r="K713" s="26" t="str">
        <f aca="false">IF(OR(E713="",E713="!!!",F713="NEW"),"",INDEX(J$1:J699,SUMPRODUCT(MAX(ROW(E$1:E699)*(E713=E$1:E699)))))</f>
        <v/>
      </c>
      <c r="L713" s="27"/>
    </row>
    <row r="714" customFormat="false" ht="15" hidden="false" customHeight="false" outlineLevel="0" collapsed="false">
      <c r="A714" s="20" t="s">
        <v>209</v>
      </c>
      <c r="E714" s="21"/>
      <c r="F714" s="22"/>
      <c r="G714" s="23"/>
      <c r="H714" s="24"/>
      <c r="I714" s="25" t="str">
        <f aca="false">IF(OR(E714="",E714="!!!",F714="NEW"),"",INDEX(B$2:B700,-1+SUMPRODUCT(MAX(ROW(E$2:E700)*(E714=E$2:E700)))))</f>
        <v/>
      </c>
      <c r="J714" s="26" t="str">
        <f aca="true">IF(OR(E714="",E714="!!!",F714="NEW"),"",COUNTBLANK(OFFSET(A$1,,,SUMPRODUCT(MAX(ROW(E$2:E701)*(E714=E$2:E701)))))-COUNTBLANK(OFFSET(A$1,,,SUMPRODUCT(MAX(ROW(E$1:E700)*(E714=E$1:E700))))))</f>
        <v/>
      </c>
      <c r="K714" s="26" t="str">
        <f aca="false">IF(OR(E714="",E714="!!!",F714="NEW"),"",INDEX(J$1:J700,SUMPRODUCT(MAX(ROW(E$1:E700)*(E714=E$1:E700)))))</f>
        <v/>
      </c>
      <c r="L714" s="27"/>
    </row>
    <row r="715" customFormat="false" ht="15" hidden="false" customHeight="false" outlineLevel="0" collapsed="false">
      <c r="A715" s="20" t="s">
        <v>339</v>
      </c>
      <c r="E715" s="21"/>
      <c r="F715" s="22"/>
      <c r="G715" s="23"/>
      <c r="H715" s="24"/>
      <c r="I715" s="25" t="str">
        <f aca="false">IF(OR(E715="",E715="!!!",F715="NEW"),"",INDEX(B$2:B701,-1+SUMPRODUCT(MAX(ROW(E$2:E701)*(E715=E$2:E701)))))</f>
        <v/>
      </c>
      <c r="J715" s="26" t="str">
        <f aca="true">IF(OR(E715="",E715="!!!",F715="NEW"),"",COUNTBLANK(OFFSET(A$1,,,SUMPRODUCT(MAX(ROW(E$2:E702)*(E715=E$2:E702)))))-COUNTBLANK(OFFSET(A$1,,,SUMPRODUCT(MAX(ROW(E$1:E701)*(E715=E$1:E701))))))</f>
        <v/>
      </c>
      <c r="K715" s="26" t="str">
        <f aca="false">IF(OR(E715="",E715="!!!",F715="NEW"),"",INDEX(J$1:J701,SUMPRODUCT(MAX(ROW(E$1:E701)*(E715=E$1:E701)))))</f>
        <v/>
      </c>
      <c r="L715" s="27"/>
    </row>
    <row r="716" customFormat="false" ht="15" hidden="false" customHeight="false" outlineLevel="0" collapsed="false">
      <c r="A716" s="20" t="s">
        <v>209</v>
      </c>
      <c r="E716" s="21"/>
      <c r="F716" s="22"/>
      <c r="G716" s="23"/>
      <c r="H716" s="24"/>
      <c r="I716" s="25" t="str">
        <f aca="false">IF(OR(E716="",E716="!!!",F716="NEW"),"",INDEX(B$2:B702,-1+SUMPRODUCT(MAX(ROW(E$2:E702)*(E716=E$2:E702)))))</f>
        <v/>
      </c>
      <c r="J716" s="26" t="str">
        <f aca="true">IF(OR(E716="",E716="!!!",F716="NEW"),"",COUNTBLANK(OFFSET(A$1,,,SUMPRODUCT(MAX(ROW(E$2:E703)*(E716=E$2:E703)))))-COUNTBLANK(OFFSET(A$1,,,SUMPRODUCT(MAX(ROW(E$1:E702)*(E716=E$1:E702))))))</f>
        <v/>
      </c>
      <c r="K716" s="26" t="str">
        <f aca="false">IF(OR(E716="",E716="!!!",F716="NEW"),"",INDEX(J$1:J702,SUMPRODUCT(MAX(ROW(E$1:E702)*(E716=E$1:E702)))))</f>
        <v/>
      </c>
      <c r="L716" s="27"/>
    </row>
    <row r="717" customFormat="false" ht="15" hidden="false" customHeight="false" outlineLevel="0" collapsed="false">
      <c r="A717" s="20" t="s">
        <v>384</v>
      </c>
      <c r="E717" s="21"/>
      <c r="F717" s="22"/>
      <c r="G717" s="23"/>
      <c r="H717" s="24"/>
      <c r="I717" s="25" t="str">
        <f aca="false">IF(OR(E717="",E717="!!!",F717="NEW"),"",INDEX(B$2:B703,-1+SUMPRODUCT(MAX(ROW(E$2:E703)*(E717=E$2:E703)))))</f>
        <v/>
      </c>
      <c r="J717" s="26" t="str">
        <f aca="true">IF(OR(E717="",E717="!!!",F717="NEW"),"",COUNTBLANK(OFFSET(A$1,,,SUMPRODUCT(MAX(ROW(E$2:E704)*(E717=E$2:E704)))))-COUNTBLANK(OFFSET(A$1,,,SUMPRODUCT(MAX(ROW(E$1:E703)*(E717=E$1:E703))))))</f>
        <v/>
      </c>
      <c r="K717" s="26" t="str">
        <f aca="false">IF(OR(E717="",E717="!!!",F717="NEW"),"",INDEX(J$1:J703,SUMPRODUCT(MAX(ROW(E$1:E703)*(E717=E$1:E703)))))</f>
        <v/>
      </c>
      <c r="L717" s="27"/>
    </row>
    <row r="718" customFormat="false" ht="15" hidden="false" customHeight="false" outlineLevel="0" collapsed="false">
      <c r="A718" s="20" t="s">
        <v>535</v>
      </c>
      <c r="E718" s="21"/>
      <c r="F718" s="22"/>
      <c r="G718" s="23"/>
      <c r="H718" s="24"/>
      <c r="I718" s="25" t="str">
        <f aca="false">IF(OR(E718="",E718="!!!",F718="NEW"),"",INDEX(B$2:B704,-1+SUMPRODUCT(MAX(ROW(E$2:E704)*(E718=E$2:E704)))))</f>
        <v/>
      </c>
      <c r="J718" s="26" t="str">
        <f aca="true">IF(OR(E718="",E718="!!!",F718="NEW"),"",COUNTBLANK(OFFSET(A$1,,,SUMPRODUCT(MAX(ROW(E$2:E705)*(E718=E$2:E705)))))-COUNTBLANK(OFFSET(A$1,,,SUMPRODUCT(MAX(ROW(E$1:E704)*(E718=E$1:E704))))))</f>
        <v/>
      </c>
      <c r="K718" s="26" t="str">
        <f aca="false">IF(OR(E718="",E718="!!!",F718="NEW"),"",INDEX(J$1:J704,SUMPRODUCT(MAX(ROW(E$1:E704)*(E718=E$1:E704)))))</f>
        <v/>
      </c>
      <c r="L718" s="27"/>
    </row>
    <row r="719" customFormat="false" ht="15" hidden="false" customHeight="false" outlineLevel="0" collapsed="false">
      <c r="A719" s="20" t="s">
        <v>60</v>
      </c>
      <c r="E719" s="21"/>
      <c r="F719" s="22"/>
      <c r="G719" s="23"/>
      <c r="H719" s="24"/>
      <c r="I719" s="25" t="str">
        <f aca="false">IF(OR(E719="",E719="!!!",F719="NEW"),"",INDEX(B$2:B705,-1+SUMPRODUCT(MAX(ROW(E$2:E705)*(E719=E$2:E705)))))</f>
        <v/>
      </c>
      <c r="J719" s="26" t="str">
        <f aca="true">IF(OR(E719="",E719="!!!",F719="NEW"),"",COUNTBLANK(OFFSET(A$1,,,SUMPRODUCT(MAX(ROW(E$2:E706)*(E719=E$2:E706)))))-COUNTBLANK(OFFSET(A$1,,,SUMPRODUCT(MAX(ROW(E$1:E705)*(E719=E$1:E705))))))</f>
        <v/>
      </c>
      <c r="K719" s="26" t="str">
        <f aca="false">IF(OR(E719="",E719="!!!",F719="NEW"),"",INDEX(J$1:J705,SUMPRODUCT(MAX(ROW(E$1:E705)*(E719=E$1:E705)))))</f>
        <v/>
      </c>
      <c r="L719" s="27"/>
    </row>
    <row r="720" customFormat="false" ht="15" hidden="false" customHeight="false" outlineLevel="0" collapsed="false">
      <c r="A720" s="20" t="s">
        <v>204</v>
      </c>
      <c r="E720" s="21"/>
      <c r="F720" s="22"/>
      <c r="G720" s="23"/>
      <c r="H720" s="24"/>
      <c r="I720" s="25" t="str">
        <f aca="false">IF(OR(E720="",E720="!!!",F720="NEW"),"",INDEX(B$2:B706,-1+SUMPRODUCT(MAX(ROW(E$2:E706)*(E720=E$2:E706)))))</f>
        <v/>
      </c>
      <c r="J720" s="26" t="str">
        <f aca="true">IF(OR(E720="",E720="!!!",F720="NEW"),"",COUNTBLANK(OFFSET(A$1,,,SUMPRODUCT(MAX(ROW(E$2:E707)*(E720=E$2:E707)))))-COUNTBLANK(OFFSET(A$1,,,SUMPRODUCT(MAX(ROW(E$1:E706)*(E720=E$1:E706))))))</f>
        <v/>
      </c>
      <c r="K720" s="26" t="str">
        <f aca="false">IF(OR(E720="",E720="!!!",F720="NEW"),"",INDEX(J$1:J706,SUMPRODUCT(MAX(ROW(E$1:E706)*(E720=E$1:E706)))))</f>
        <v/>
      </c>
      <c r="L720" s="27"/>
    </row>
    <row r="721" customFormat="false" ht="15" hidden="false" customHeight="false" outlineLevel="0" collapsed="false">
      <c r="A721" s="20" t="s">
        <v>536</v>
      </c>
      <c r="E721" s="21"/>
      <c r="F721" s="22"/>
      <c r="G721" s="23"/>
      <c r="H721" s="24"/>
      <c r="I721" s="25" t="str">
        <f aca="false">IF(OR(E721="",E721="!!!",F721="NEW"),"",INDEX(B$2:B707,-1+SUMPRODUCT(MAX(ROW(E$2:E707)*(E721=E$2:E707)))))</f>
        <v/>
      </c>
      <c r="J721" s="26" t="str">
        <f aca="true">IF(OR(E721="",E721="!!!",F721="NEW"),"",COUNTBLANK(OFFSET(A$1,,,SUMPRODUCT(MAX(ROW(E$2:E708)*(E721=E$2:E708)))))-COUNTBLANK(OFFSET(A$1,,,SUMPRODUCT(MAX(ROW(E$1:E707)*(E721=E$1:E707))))))</f>
        <v/>
      </c>
      <c r="K721" s="26" t="str">
        <f aca="false">IF(OR(E721="",E721="!!!",F721="NEW"),"",INDEX(J$1:J707,SUMPRODUCT(MAX(ROW(E$1:E707)*(E721=E$1:E707)))))</f>
        <v/>
      </c>
      <c r="L721" s="27"/>
    </row>
    <row r="722" customFormat="false" ht="15" hidden="false" customHeight="false" outlineLevel="0" collapsed="false">
      <c r="A722" s="20" t="s">
        <v>537</v>
      </c>
      <c r="B722" s="28" t="s">
        <v>234</v>
      </c>
      <c r="C722" s="28" t="s">
        <v>207</v>
      </c>
      <c r="D722" s="28" t="s">
        <v>198</v>
      </c>
      <c r="E722" s="21" t="s">
        <v>538</v>
      </c>
      <c r="F722" s="22" t="s">
        <v>200</v>
      </c>
      <c r="G722" s="23" t="s">
        <v>212</v>
      </c>
      <c r="H722" s="24"/>
      <c r="I722" s="25" t="str">
        <f aca="false">IF(OR(E722="",E722="!!!",F722="NEW"),"",INDEX(B$2:B708,-1+SUMPRODUCT(MAX(ROW(E$2:E708)*(E722=E$2:E708)))))</f>
        <v/>
      </c>
      <c r="J722" s="26" t="str">
        <f aca="true">IF(OR(E722="",E722="!!!",F722="NEW"),"",COUNTBLANK(OFFSET(A$1,,,SUMPRODUCT(MAX(ROW(E$2:E709)*(E722=E$2:E709)))))-COUNTBLANK(OFFSET(A$1,,,SUMPRODUCT(MAX(ROW(E$1:E708)*(E722=E$1:E708))))))</f>
        <v/>
      </c>
      <c r="K722" s="26" t="str">
        <f aca="false">IF(OR(E722="",E722="!!!",F722="NEW"),"",INDEX(J$1:J708,SUMPRODUCT(MAX(ROW(E$1:E708)*(E722=E$1:E708)))))</f>
        <v/>
      </c>
      <c r="L722" s="27"/>
    </row>
    <row r="723" customFormat="false" ht="15" hidden="false" customHeight="false" outlineLevel="0" collapsed="false">
      <c r="A723" s="20" t="s">
        <v>209</v>
      </c>
      <c r="E723" s="21"/>
      <c r="F723" s="22"/>
      <c r="G723" s="23"/>
      <c r="H723" s="24"/>
      <c r="I723" s="25" t="str">
        <f aca="false">IF(OR(E723="",E723="!!!",F723="NEW"),"",INDEX(B$2:B709,-1+SUMPRODUCT(MAX(ROW(E$2:E709)*(E723=E$2:E709)))))</f>
        <v/>
      </c>
      <c r="J723" s="26" t="str">
        <f aca="true">IF(OR(E723="",E723="!!!",F723="NEW"),"",COUNTBLANK(OFFSET(A$1,,,SUMPRODUCT(MAX(ROW(E$2:E710)*(E723=E$2:E710)))))-COUNTBLANK(OFFSET(A$1,,,SUMPRODUCT(MAX(ROW(E$1:E709)*(E723=E$1:E709))))))</f>
        <v/>
      </c>
      <c r="K723" s="26" t="str">
        <f aca="false">IF(OR(E723="",E723="!!!",F723="NEW"),"",INDEX(J$1:J709,SUMPRODUCT(MAX(ROW(E$1:E709)*(E723=E$1:E709)))))</f>
        <v/>
      </c>
      <c r="L723" s="27"/>
    </row>
    <row r="724" customFormat="false" ht="15" hidden="false" customHeight="false" outlineLevel="0" collapsed="false">
      <c r="A724" s="20" t="s">
        <v>213</v>
      </c>
      <c r="E724" s="21"/>
      <c r="F724" s="22"/>
      <c r="G724" s="23"/>
      <c r="H724" s="24"/>
      <c r="I724" s="25" t="str">
        <f aca="false">IF(OR(E724="",E724="!!!",F724="NEW"),"",INDEX(B$2:B710,-1+SUMPRODUCT(MAX(ROW(E$2:E710)*(E724=E$2:E710)))))</f>
        <v/>
      </c>
      <c r="J724" s="26" t="str">
        <f aca="true">IF(OR(E724="",E724="!!!",F724="NEW"),"",COUNTBLANK(OFFSET(A$1,,,SUMPRODUCT(MAX(ROW(E$2:E711)*(E724=E$2:E711)))))-COUNTBLANK(OFFSET(A$1,,,SUMPRODUCT(MAX(ROW(E$1:E710)*(E724=E$1:E710))))))</f>
        <v/>
      </c>
      <c r="K724" s="26" t="str">
        <f aca="false">IF(OR(E724="",E724="!!!",F724="NEW"),"",INDEX(J$1:J710,SUMPRODUCT(MAX(ROW(E$1:E710)*(E724=E$1:E710)))))</f>
        <v/>
      </c>
      <c r="L724" s="27"/>
    </row>
    <row r="725" customFormat="false" ht="15" hidden="false" customHeight="false" outlineLevel="0" collapsed="false">
      <c r="A725" s="20" t="s">
        <v>204</v>
      </c>
      <c r="E725" s="21"/>
      <c r="F725" s="22"/>
      <c r="G725" s="23"/>
      <c r="H725" s="24"/>
      <c r="I725" s="25" t="str">
        <f aca="false">IF(OR(E725="",E725="!!!",F725="NEW"),"",INDEX(B$2:B711,-1+SUMPRODUCT(MAX(ROW(E$2:E711)*(E725=E$2:E711)))))</f>
        <v/>
      </c>
      <c r="J725" s="26" t="str">
        <f aca="true">IF(OR(E725="",E725="!!!",F725="NEW"),"",COUNTBLANK(OFFSET(A$1,,,SUMPRODUCT(MAX(ROW(E$2:E712)*(E725=E$2:E712)))))-COUNTBLANK(OFFSET(A$1,,,SUMPRODUCT(MAX(ROW(E$1:E711)*(E725=E$1:E711))))))</f>
        <v/>
      </c>
      <c r="K725" s="26" t="str">
        <f aca="false">IF(OR(E725="",E725="!!!",F725="NEW"),"",INDEX(J$1:J711,SUMPRODUCT(MAX(ROW(E$1:E711)*(E725=E$1:E711)))))</f>
        <v/>
      </c>
      <c r="L725" s="27"/>
    </row>
    <row r="726" customFormat="false" ht="15" hidden="false" customHeight="false" outlineLevel="0" collapsed="false">
      <c r="A726" s="20" t="s">
        <v>539</v>
      </c>
      <c r="B726" s="28" t="s">
        <v>270</v>
      </c>
      <c r="C726" s="28" t="s">
        <v>207</v>
      </c>
      <c r="D726" s="28" t="s">
        <v>198</v>
      </c>
      <c r="E726" s="21" t="s">
        <v>462</v>
      </c>
      <c r="F726" s="22" t="s">
        <v>226</v>
      </c>
      <c r="G726" s="23" t="s">
        <v>227</v>
      </c>
      <c r="H726" s="24"/>
      <c r="I726" s="25" t="str">
        <f aca="false">IF(OR(E726="",E726="!!!",F726="NEW"),"",INDEX(B$2:B712,-1+SUMPRODUCT(MAX(ROW(E$2:E712)*(E726=E$2:E712)))))</f>
        <v>other_2</v>
      </c>
      <c r="J726" s="26" t="n">
        <f aca="true">IF(OR(E726="",E726="!!!",F726="NEW"),"",COUNTBLANK(OFFSET(A$1,,,SUMPRODUCT(MAX(ROW(E$2:E713)*(E726=E$2:E713)))))-COUNTBLANK(OFFSET(A$1,,,SUMPRODUCT(MAX(ROW(E$1:E712)*(E726=E$1:E712))))))</f>
        <v>0</v>
      </c>
      <c r="K726" s="26" t="n">
        <f aca="false">IF(OR(E726="",E726="!!!",F726="NEW"),"",INDEX(J$1:J712,SUMPRODUCT(MAX(ROW(E$1:E712)*(E726=E$1:E712)))))</f>
        <v>0</v>
      </c>
      <c r="L726" s="27"/>
    </row>
    <row r="727" customFormat="false" ht="15" hidden="false" customHeight="false" outlineLevel="0" collapsed="false">
      <c r="A727" s="20" t="s">
        <v>540</v>
      </c>
      <c r="E727" s="21"/>
      <c r="F727" s="22"/>
      <c r="G727" s="23"/>
      <c r="H727" s="24"/>
      <c r="I727" s="25" t="str">
        <f aca="false">IF(OR(E727="",E727="!!!",F727="NEW"),"",INDEX(B$2:B713,-1+SUMPRODUCT(MAX(ROW(E$2:E713)*(E727=E$2:E713)))))</f>
        <v/>
      </c>
      <c r="J727" s="26" t="str">
        <f aca="true">IF(OR(E727="",E727="!!!",F727="NEW"),"",COUNTBLANK(OFFSET(A$1,,,SUMPRODUCT(MAX(ROW(E$2:E714)*(E727=E$2:E714)))))-COUNTBLANK(OFFSET(A$1,,,SUMPRODUCT(MAX(ROW(E$1:E713)*(E727=E$1:E713))))))</f>
        <v/>
      </c>
      <c r="K727" s="26" t="str">
        <f aca="false">IF(OR(E727="",E727="!!!",F727="NEW"),"",INDEX(J$1:J713,SUMPRODUCT(MAX(ROW(E$1:E713)*(E727=E$1:E713)))))</f>
        <v/>
      </c>
      <c r="L727" s="27"/>
    </row>
    <row r="728" customFormat="false" ht="15" hidden="false" customHeight="false" outlineLevel="0" collapsed="false">
      <c r="A728" s="20" t="s">
        <v>349</v>
      </c>
      <c r="E728" s="21"/>
      <c r="F728" s="22"/>
      <c r="G728" s="23"/>
      <c r="H728" s="24"/>
      <c r="I728" s="25" t="str">
        <f aca="false">IF(OR(E728="",E728="!!!",F728="NEW"),"",INDEX(B$2:B714,-1+SUMPRODUCT(MAX(ROW(E$2:E714)*(E728=E$2:E714)))))</f>
        <v/>
      </c>
      <c r="J728" s="26" t="str">
        <f aca="true">IF(OR(E728="",E728="!!!",F728="NEW"),"",COUNTBLANK(OFFSET(A$1,,,SUMPRODUCT(MAX(ROW(E$2:E715)*(E728=E$2:E715)))))-COUNTBLANK(OFFSET(A$1,,,SUMPRODUCT(MAX(ROW(E$1:E714)*(E728=E$1:E714))))))</f>
        <v/>
      </c>
      <c r="K728" s="26" t="str">
        <f aca="false">IF(OR(E728="",E728="!!!",F728="NEW"),"",INDEX(J$1:J714,SUMPRODUCT(MAX(ROW(E$1:E714)*(E728=E$1:E714)))))</f>
        <v/>
      </c>
      <c r="L728" s="27"/>
    </row>
    <row r="729" customFormat="false" ht="15" hidden="false" customHeight="false" outlineLevel="0" collapsed="false">
      <c r="A729" s="20" t="s">
        <v>541</v>
      </c>
      <c r="E729" s="21"/>
      <c r="F729" s="22"/>
      <c r="G729" s="23"/>
      <c r="H729" s="24"/>
      <c r="I729" s="25" t="str">
        <f aca="false">IF(OR(E729="",E729="!!!",F729="NEW"),"",INDEX(B$2:B715,-1+SUMPRODUCT(MAX(ROW(E$2:E715)*(E729=E$2:E715)))))</f>
        <v/>
      </c>
      <c r="J729" s="26" t="str">
        <f aca="true">IF(OR(E729="",E729="!!!",F729="NEW"),"",COUNTBLANK(OFFSET(A$1,,,SUMPRODUCT(MAX(ROW(E$2:E716)*(E729=E$2:E716)))))-COUNTBLANK(OFFSET(A$1,,,SUMPRODUCT(MAX(ROW(E$1:E715)*(E729=E$1:E715))))))</f>
        <v/>
      </c>
      <c r="K729" s="26" t="str">
        <f aca="false">IF(OR(E729="",E729="!!!",F729="NEW"),"",INDEX(J$1:J715,SUMPRODUCT(MAX(ROW(E$1:E715)*(E729=E$1:E715)))))</f>
        <v/>
      </c>
      <c r="L729" s="27"/>
    </row>
    <row r="730" customFormat="false" ht="15" hidden="false" customHeight="false" outlineLevel="0" collapsed="false">
      <c r="A730" s="20" t="s">
        <v>542</v>
      </c>
      <c r="B730" s="28" t="s">
        <v>240</v>
      </c>
      <c r="C730" s="28" t="s">
        <v>352</v>
      </c>
      <c r="E730" s="21"/>
      <c r="F730" s="22"/>
      <c r="G730" s="23"/>
      <c r="H730" s="24"/>
      <c r="I730" s="25" t="str">
        <f aca="false">IF(OR(E730="",E730="!!!",F730="NEW"),"",INDEX(B$2:B716,-1+SUMPRODUCT(MAX(ROW(E$2:E716)*(E730=E$2:E716)))))</f>
        <v/>
      </c>
      <c r="J730" s="26" t="str">
        <f aca="true">IF(OR(E730="",E730="!!!",F730="NEW"),"",COUNTBLANK(OFFSET(A$1,,,SUMPRODUCT(MAX(ROW(E$2:E717)*(E730=E$2:E717)))))-COUNTBLANK(OFFSET(A$1,,,SUMPRODUCT(MAX(ROW(E$1:E716)*(E730=E$1:E716))))))</f>
        <v/>
      </c>
      <c r="K730" s="26" t="str">
        <f aca="false">IF(OR(E730="",E730="!!!",F730="NEW"),"",INDEX(J$1:J716,SUMPRODUCT(MAX(ROW(E$1:E716)*(E730=E$1:E716)))))</f>
        <v/>
      </c>
      <c r="L730" s="27"/>
    </row>
    <row r="731" customFormat="false" ht="15" hidden="false" customHeight="false" outlineLevel="0" collapsed="false">
      <c r="A731" s="20" t="s">
        <v>331</v>
      </c>
      <c r="E731" s="21"/>
      <c r="F731" s="22"/>
      <c r="G731" s="23"/>
      <c r="H731" s="24"/>
      <c r="I731" s="25" t="str">
        <f aca="false">IF(OR(E731="",E731="!!!",F731="NEW"),"",INDEX(B$2:B717,-1+SUMPRODUCT(MAX(ROW(E$2:E717)*(E731=E$2:E717)))))</f>
        <v/>
      </c>
      <c r="J731" s="26" t="str">
        <f aca="true">IF(OR(E731="",E731="!!!",F731="NEW"),"",COUNTBLANK(OFFSET(A$1,,,SUMPRODUCT(MAX(ROW(E$2:E718)*(E731=E$2:E718)))))-COUNTBLANK(OFFSET(A$1,,,SUMPRODUCT(MAX(ROW(E$1:E717)*(E731=E$1:E717))))))</f>
        <v/>
      </c>
      <c r="K731" s="26" t="str">
        <f aca="false">IF(OR(E731="",E731="!!!",F731="NEW"),"",INDEX(J$1:J717,SUMPRODUCT(MAX(ROW(E$1:E717)*(E731=E$1:E717)))))</f>
        <v/>
      </c>
      <c r="L731" s="27"/>
    </row>
    <row r="732" customFormat="false" ht="15" hidden="false" customHeight="false" outlineLevel="0" collapsed="false">
      <c r="A732" s="20"/>
      <c r="E732" s="21"/>
      <c r="F732" s="22"/>
      <c r="G732" s="23"/>
      <c r="H732" s="24"/>
      <c r="I732" s="25" t="str">
        <f aca="false">IF(OR(E732="",E732="!!!",F732="NEW"),"",INDEX(B$2:B718,-1+SUMPRODUCT(MAX(ROW(E$2:E718)*(E732=E$2:E718)))))</f>
        <v/>
      </c>
      <c r="J732" s="26" t="str">
        <f aca="true">IF(OR(E732="",E732="!!!",F732="NEW"),"",COUNTBLANK(OFFSET(A$1,,,SUMPRODUCT(MAX(ROW(E$2:E719)*(E732=E$2:E719)))))-COUNTBLANK(OFFSET(A$1,,,SUMPRODUCT(MAX(ROW(E$1:E718)*(E732=E$1:E718))))))</f>
        <v/>
      </c>
      <c r="K732" s="26" t="str">
        <f aca="false">IF(OR(E732="",E732="!!!",F732="NEW"),"",INDEX(J$1:J718,SUMPRODUCT(MAX(ROW(E$1:E718)*(E732=E$1:E718)))))</f>
        <v/>
      </c>
      <c r="L732" s="27"/>
    </row>
    <row r="733" customFormat="false" ht="15" hidden="false" customHeight="false" outlineLevel="0" collapsed="false">
      <c r="A733" s="20" t="s">
        <v>543</v>
      </c>
      <c r="E733" s="21"/>
      <c r="F733" s="22"/>
      <c r="G733" s="23"/>
      <c r="H733" s="24"/>
      <c r="I733" s="25" t="str">
        <f aca="false">IF(OR(E733="",E733="!!!",F733="NEW"),"",INDEX(B$2:B719,-1+SUMPRODUCT(MAX(ROW(E$2:E719)*(E733=E$2:E719)))))</f>
        <v/>
      </c>
      <c r="J733" s="26" t="str">
        <f aca="true">IF(OR(E733="",E733="!!!",F733="NEW"),"",COUNTBLANK(OFFSET(A$1,,,SUMPRODUCT(MAX(ROW(E$2:E720)*(E733=E$2:E720)))))-COUNTBLANK(OFFSET(A$1,,,SUMPRODUCT(MAX(ROW(E$1:E719)*(E733=E$1:E719))))))</f>
        <v/>
      </c>
      <c r="K733" s="26" t="str">
        <f aca="false">IF(OR(E733="",E733="!!!",F733="NEW"),"",INDEX(J$1:J719,SUMPRODUCT(MAX(ROW(E$1:E719)*(E733=E$1:E719)))))</f>
        <v/>
      </c>
      <c r="L733" s="27"/>
    </row>
    <row r="734" customFormat="false" ht="15" hidden="false" customHeight="false" outlineLevel="0" collapsed="false">
      <c r="A734" s="20" t="s">
        <v>544</v>
      </c>
      <c r="E734" s="21"/>
      <c r="F734" s="22"/>
      <c r="G734" s="23"/>
      <c r="H734" s="24"/>
      <c r="I734" s="25" t="str">
        <f aca="false">IF(OR(E734="",E734="!!!",F734="NEW"),"",INDEX(B$2:B720,-1+SUMPRODUCT(MAX(ROW(E$2:E720)*(E734=E$2:E720)))))</f>
        <v/>
      </c>
      <c r="J734" s="26" t="str">
        <f aca="true">IF(OR(E734="",E734="!!!",F734="NEW"),"",COUNTBLANK(OFFSET(A$1,,,SUMPRODUCT(MAX(ROW(E$2:E721)*(E734=E$2:E721)))))-COUNTBLANK(OFFSET(A$1,,,SUMPRODUCT(MAX(ROW(E$1:E720)*(E734=E$1:E720))))))</f>
        <v/>
      </c>
      <c r="K734" s="26" t="str">
        <f aca="false">IF(OR(E734="",E734="!!!",F734="NEW"),"",INDEX(J$1:J720,SUMPRODUCT(MAX(ROW(E$1:E720)*(E734=E$1:E720)))))</f>
        <v/>
      </c>
      <c r="L734" s="27"/>
    </row>
    <row r="735" customFormat="false" ht="15" hidden="false" customHeight="false" outlineLevel="0" collapsed="false">
      <c r="A735" s="20" t="s">
        <v>545</v>
      </c>
      <c r="B735" s="28" t="s">
        <v>196</v>
      </c>
      <c r="C735" s="28" t="s">
        <v>207</v>
      </c>
      <c r="D735" s="28" t="s">
        <v>198</v>
      </c>
      <c r="E735" s="21" t="s">
        <v>546</v>
      </c>
      <c r="F735" s="22" t="s">
        <v>200</v>
      </c>
      <c r="G735" s="23" t="s">
        <v>212</v>
      </c>
      <c r="H735" s="24"/>
      <c r="I735" s="25" t="str">
        <f aca="false">IF(OR(E735="",E735="!!!",F735="NEW"),"",INDEX(B$2:B721,-1+SUMPRODUCT(MAX(ROW(E$2:E721)*(E735=E$2:E721)))))</f>
        <v/>
      </c>
      <c r="J735" s="26" t="str">
        <f aca="true">IF(OR(E735="",E735="!!!",F735="NEW"),"",COUNTBLANK(OFFSET(A$1,,,SUMPRODUCT(MAX(ROW(E$2:E722)*(E735=E$2:E722)))))-COUNTBLANK(OFFSET(A$1,,,SUMPRODUCT(MAX(ROW(E$1:E721)*(E735=E$1:E721))))))</f>
        <v/>
      </c>
      <c r="K735" s="26" t="str">
        <f aca="false">IF(OR(E735="",E735="!!!",F735="NEW"),"",INDEX(J$1:J721,SUMPRODUCT(MAX(ROW(E$1:E721)*(E735=E$1:E721)))))</f>
        <v/>
      </c>
      <c r="L735" s="27"/>
    </row>
    <row r="736" customFormat="false" ht="15" hidden="false" customHeight="false" outlineLevel="0" collapsed="false">
      <c r="A736" s="20" t="s">
        <v>217</v>
      </c>
      <c r="E736" s="21"/>
      <c r="F736" s="22"/>
      <c r="G736" s="23"/>
      <c r="H736" s="24"/>
      <c r="I736" s="25" t="str">
        <f aca="false">IF(OR(E736="",E736="!!!",F736="NEW"),"",INDEX(B$2:B722,-1+SUMPRODUCT(MAX(ROW(E$2:E722)*(E736=E$2:E722)))))</f>
        <v/>
      </c>
      <c r="J736" s="26" t="str">
        <f aca="true">IF(OR(E736="",E736="!!!",F736="NEW"),"",COUNTBLANK(OFFSET(A$1,,,SUMPRODUCT(MAX(ROW(E$2:E723)*(E736=E$2:E723)))))-COUNTBLANK(OFFSET(A$1,,,SUMPRODUCT(MAX(ROW(E$1:E722)*(E736=E$1:E722))))))</f>
        <v/>
      </c>
      <c r="K736" s="26" t="str">
        <f aca="false">IF(OR(E736="",E736="!!!",F736="NEW"),"",INDEX(J$1:J722,SUMPRODUCT(MAX(ROW(E$1:E722)*(E736=E$1:E722)))))</f>
        <v/>
      </c>
      <c r="L736" s="27"/>
    </row>
    <row r="737" customFormat="false" ht="15" hidden="false" customHeight="false" outlineLevel="0" collapsed="false">
      <c r="A737" s="20" t="s">
        <v>204</v>
      </c>
      <c r="E737" s="21"/>
      <c r="F737" s="22"/>
      <c r="G737" s="23"/>
      <c r="H737" s="24"/>
      <c r="I737" s="25" t="str">
        <f aca="false">IF(OR(E737="",E737="!!!",F737="NEW"),"",INDEX(B$2:B723,-1+SUMPRODUCT(MAX(ROW(E$2:E723)*(E737=E$2:E723)))))</f>
        <v/>
      </c>
      <c r="J737" s="26" t="str">
        <f aca="true">IF(OR(E737="",E737="!!!",F737="NEW"),"",COUNTBLANK(OFFSET(A$1,,,SUMPRODUCT(MAX(ROW(E$2:E724)*(E737=E$2:E724)))))-COUNTBLANK(OFFSET(A$1,,,SUMPRODUCT(MAX(ROW(E$1:E723)*(E737=E$1:E723))))))</f>
        <v/>
      </c>
      <c r="K737" s="26" t="str">
        <f aca="false">IF(OR(E737="",E737="!!!",F737="NEW"),"",INDEX(J$1:J723,SUMPRODUCT(MAX(ROW(E$1:E723)*(E737=E$1:E723)))))</f>
        <v/>
      </c>
      <c r="L737" s="27"/>
    </row>
    <row r="738" customFormat="false" ht="15" hidden="false" customHeight="false" outlineLevel="0" collapsed="false">
      <c r="A738" s="20" t="s">
        <v>525</v>
      </c>
      <c r="B738" s="28" t="s">
        <v>215</v>
      </c>
      <c r="C738" s="28" t="s">
        <v>207</v>
      </c>
      <c r="D738" s="28" t="s">
        <v>198</v>
      </c>
      <c r="E738" s="21" t="s">
        <v>526</v>
      </c>
      <c r="F738" s="22" t="s">
        <v>226</v>
      </c>
      <c r="G738" s="23" t="s">
        <v>247</v>
      </c>
      <c r="H738" s="24"/>
      <c r="I738" s="25" t="str">
        <f aca="false">IF(OR(E738="",E738="!!!",F738="NEW"),"",INDEX(B$2:B724,-1+SUMPRODUCT(MAX(ROW(E$2:E724)*(E738=E$2:E724)))))</f>
        <v>other_2</v>
      </c>
      <c r="J738" s="26" t="n">
        <f aca="true">IF(OR(E738="",E738="!!!",F738="NEW"),"",COUNTBLANK(OFFSET(A$1,,,SUMPRODUCT(MAX(ROW(E$2:E725)*(E738=E$2:E725)))))-COUNTBLANK(OFFSET(A$1,,,SUMPRODUCT(MAX(ROW(E$1:E724)*(E738=E$1:E724))))))</f>
        <v>0</v>
      </c>
      <c r="K738" s="26" t="str">
        <f aca="false">IF(OR(E738="",E738="!!!",F738="NEW"),"",INDEX(J$1:J724,SUMPRODUCT(MAX(ROW(E$1:E724)*(E738=E$1:E724)))))</f>
        <v/>
      </c>
      <c r="L738" s="27"/>
    </row>
    <row r="739" customFormat="false" ht="15" hidden="false" customHeight="false" outlineLevel="0" collapsed="false">
      <c r="A739" s="20" t="s">
        <v>125</v>
      </c>
      <c r="E739" s="21"/>
      <c r="F739" s="22"/>
      <c r="G739" s="23"/>
      <c r="H739" s="24"/>
      <c r="I739" s="25" t="str">
        <f aca="false">IF(OR(E739="",E739="!!!",F739="NEW"),"",INDEX(B$2:B725,-1+SUMPRODUCT(MAX(ROW(E$2:E725)*(E739=E$2:E725)))))</f>
        <v/>
      </c>
      <c r="J739" s="26" t="str">
        <f aca="true">IF(OR(E739="",E739="!!!",F739="NEW"),"",COUNTBLANK(OFFSET(A$1,,,SUMPRODUCT(MAX(ROW(E$2:E726)*(E739=E$2:E726)))))-COUNTBLANK(OFFSET(A$1,,,SUMPRODUCT(MAX(ROW(E$1:E725)*(E739=E$1:E725))))))</f>
        <v/>
      </c>
      <c r="K739" s="26" t="str">
        <f aca="false">IF(OR(E739="",E739="!!!",F739="NEW"),"",INDEX(J$1:J725,SUMPRODUCT(MAX(ROW(E$1:E725)*(E739=E$1:E725)))))</f>
        <v/>
      </c>
      <c r="L739" s="27"/>
    </row>
    <row r="740" customFormat="false" ht="15" hidden="false" customHeight="false" outlineLevel="0" collapsed="false">
      <c r="A740" s="20" t="s">
        <v>349</v>
      </c>
      <c r="E740" s="21"/>
      <c r="F740" s="22"/>
      <c r="G740" s="23"/>
      <c r="H740" s="24"/>
      <c r="I740" s="25" t="str">
        <f aca="false">IF(OR(E740="",E740="!!!",F740="NEW"),"",INDEX(B$2:B726,-1+SUMPRODUCT(MAX(ROW(E$2:E726)*(E740=E$2:E726)))))</f>
        <v/>
      </c>
      <c r="J740" s="26" t="str">
        <f aca="true">IF(OR(E740="",E740="!!!",F740="NEW"),"",COUNTBLANK(OFFSET(A$1,,,SUMPRODUCT(MAX(ROW(E$2:E727)*(E740=E$2:E727)))))-COUNTBLANK(OFFSET(A$1,,,SUMPRODUCT(MAX(ROW(E$1:E726)*(E740=E$1:E726))))))</f>
        <v/>
      </c>
      <c r="K740" s="26" t="str">
        <f aca="false">IF(OR(E740="",E740="!!!",F740="NEW"),"",INDEX(J$1:J726,SUMPRODUCT(MAX(ROW(E$1:E726)*(E740=E$1:E726)))))</f>
        <v/>
      </c>
      <c r="L740" s="27"/>
    </row>
    <row r="741" customFormat="false" ht="15" hidden="false" customHeight="false" outlineLevel="0" collapsed="false">
      <c r="A741" s="20" t="s">
        <v>376</v>
      </c>
      <c r="B741" s="28" t="s">
        <v>250</v>
      </c>
      <c r="C741" s="28" t="s">
        <v>352</v>
      </c>
      <c r="E741" s="21"/>
      <c r="F741" s="22"/>
      <c r="G741" s="23"/>
      <c r="H741" s="24"/>
      <c r="I741" s="25" t="str">
        <f aca="false">IF(OR(E741="",E741="!!!",F741="NEW"),"",INDEX(B$2:B727,-1+SUMPRODUCT(MAX(ROW(E$2:E727)*(E741=E$2:E727)))))</f>
        <v/>
      </c>
      <c r="J741" s="26" t="str">
        <f aca="true">IF(OR(E741="",E741="!!!",F741="NEW"),"",COUNTBLANK(OFFSET(A$1,,,SUMPRODUCT(MAX(ROW(E$2:E728)*(E741=E$2:E728)))))-COUNTBLANK(OFFSET(A$1,,,SUMPRODUCT(MAX(ROW(E$1:E727)*(E741=E$1:E727))))))</f>
        <v/>
      </c>
      <c r="K741" s="26" t="str">
        <f aca="false">IF(OR(E741="",E741="!!!",F741="NEW"),"",INDEX(J$1:J727,SUMPRODUCT(MAX(ROW(E$1:E727)*(E741=E$1:E727)))))</f>
        <v/>
      </c>
      <c r="L741" s="27"/>
    </row>
    <row r="742" customFormat="false" ht="15" hidden="false" customHeight="false" outlineLevel="0" collapsed="false">
      <c r="A742" s="20" t="s">
        <v>209</v>
      </c>
      <c r="E742" s="21"/>
      <c r="F742" s="22"/>
      <c r="G742" s="23"/>
      <c r="H742" s="24"/>
      <c r="I742" s="25" t="str">
        <f aca="false">IF(OR(E742="",E742="!!!",F742="NEW"),"",INDEX(B$2:B728,-1+SUMPRODUCT(MAX(ROW(E$2:E728)*(E742=E$2:E728)))))</f>
        <v/>
      </c>
      <c r="J742" s="26" t="str">
        <f aca="true">IF(OR(E742="",E742="!!!",F742="NEW"),"",COUNTBLANK(OFFSET(A$1,,,SUMPRODUCT(MAX(ROW(E$2:E729)*(E742=E$2:E729)))))-COUNTBLANK(OFFSET(A$1,,,SUMPRODUCT(MAX(ROW(E$1:E728)*(E742=E$1:E728))))))</f>
        <v/>
      </c>
      <c r="K742" s="26" t="str">
        <f aca="false">IF(OR(E742="",E742="!!!",F742="NEW"),"",INDEX(J$1:J728,SUMPRODUCT(MAX(ROW(E$1:E728)*(E742=E$1:E728)))))</f>
        <v/>
      </c>
      <c r="L742" s="27"/>
    </row>
    <row r="743" customFormat="false" ht="15" hidden="false" customHeight="false" outlineLevel="0" collapsed="false">
      <c r="A743" s="20" t="s">
        <v>213</v>
      </c>
      <c r="E743" s="21"/>
      <c r="F743" s="22"/>
      <c r="G743" s="23"/>
      <c r="H743" s="24"/>
      <c r="I743" s="25" t="str">
        <f aca="false">IF(OR(E743="",E743="!!!",F743="NEW"),"",INDEX(B$2:B729,-1+SUMPRODUCT(MAX(ROW(E$2:E729)*(E743=E$2:E729)))))</f>
        <v/>
      </c>
      <c r="J743" s="26" t="str">
        <f aca="true">IF(OR(E743="",E743="!!!",F743="NEW"),"",COUNTBLANK(OFFSET(A$1,,,SUMPRODUCT(MAX(ROW(E$2:E730)*(E743=E$2:E730)))))-COUNTBLANK(OFFSET(A$1,,,SUMPRODUCT(MAX(ROW(E$1:E729)*(E743=E$1:E729))))))</f>
        <v/>
      </c>
      <c r="K743" s="26" t="str">
        <f aca="false">IF(OR(E743="",E743="!!!",F743="NEW"),"",INDEX(J$1:J729,SUMPRODUCT(MAX(ROW(E$1:E729)*(E743=E$1:E729)))))</f>
        <v/>
      </c>
      <c r="L743" s="27"/>
    </row>
    <row r="744" customFormat="false" ht="15" hidden="false" customHeight="false" outlineLevel="0" collapsed="false">
      <c r="A744" s="20" t="s">
        <v>204</v>
      </c>
      <c r="E744" s="21"/>
      <c r="F744" s="22"/>
      <c r="G744" s="23"/>
      <c r="H744" s="24"/>
      <c r="I744" s="25" t="str">
        <f aca="false">IF(OR(E744="",E744="!!!",F744="NEW"),"",INDEX(B$2:B730,-1+SUMPRODUCT(MAX(ROW(E$2:E730)*(E744=E$2:E730)))))</f>
        <v/>
      </c>
      <c r="J744" s="26" t="str">
        <f aca="true">IF(OR(E744="",E744="!!!",F744="NEW"),"",COUNTBLANK(OFFSET(A$1,,,SUMPRODUCT(MAX(ROW(E$2:E731)*(E744=E$2:E731)))))-COUNTBLANK(OFFSET(A$1,,,SUMPRODUCT(MAX(ROW(E$1:E730)*(E744=E$1:E730))))))</f>
        <v/>
      </c>
      <c r="K744" s="26" t="str">
        <f aca="false">IF(OR(E744="",E744="!!!",F744="NEW"),"",INDEX(J$1:J730,SUMPRODUCT(MAX(ROW(E$1:E730)*(E744=E$1:E730)))))</f>
        <v/>
      </c>
      <c r="L744" s="27"/>
    </row>
    <row r="745" customFormat="false" ht="15" hidden="false" customHeight="false" outlineLevel="0" collapsed="false">
      <c r="A745" s="20" t="s">
        <v>288</v>
      </c>
      <c r="B745" s="28" t="s">
        <v>222</v>
      </c>
      <c r="C745" s="28" t="s">
        <v>207</v>
      </c>
      <c r="D745" s="28" t="s">
        <v>198</v>
      </c>
      <c r="E745" s="21" t="s">
        <v>547</v>
      </c>
      <c r="F745" s="22" t="s">
        <v>200</v>
      </c>
      <c r="G745" s="23" t="s">
        <v>212</v>
      </c>
      <c r="H745" s="24"/>
      <c r="I745" s="25" t="str">
        <f aca="false">IF(OR(E745="",E745="!!!",F745="NEW"),"",INDEX(B$2:B731,-1+SUMPRODUCT(MAX(ROW(E$2:E731)*(E745=E$2:E731)))))</f>
        <v/>
      </c>
      <c r="J745" s="26" t="str">
        <f aca="true">IF(OR(E745="",E745="!!!",F745="NEW"),"",COUNTBLANK(OFFSET(A$1,,,SUMPRODUCT(MAX(ROW(E$2:E732)*(E745=E$2:E732)))))-COUNTBLANK(OFFSET(A$1,,,SUMPRODUCT(MAX(ROW(E$1:E731)*(E745=E$1:E731))))))</f>
        <v/>
      </c>
      <c r="K745" s="26" t="str">
        <f aca="false">IF(OR(E745="",E745="!!!",F745="NEW"),"",INDEX(J$1:J731,SUMPRODUCT(MAX(ROW(E$1:E731)*(E745=E$1:E731)))))</f>
        <v/>
      </c>
      <c r="L745" s="27"/>
    </row>
    <row r="746" customFormat="false" ht="15" hidden="false" customHeight="false" outlineLevel="0" collapsed="false">
      <c r="A746" s="20" t="s">
        <v>125</v>
      </c>
      <c r="E746" s="21"/>
      <c r="F746" s="22"/>
      <c r="G746" s="23"/>
      <c r="H746" s="24"/>
      <c r="I746" s="25" t="str">
        <f aca="false">IF(OR(E746="",E746="!!!",F746="NEW"),"",INDEX(B$2:B732,-1+SUMPRODUCT(MAX(ROW(E$2:E732)*(E746=E$2:E732)))))</f>
        <v/>
      </c>
      <c r="J746" s="26" t="str">
        <f aca="true">IF(OR(E746="",E746="!!!",F746="NEW"),"",COUNTBLANK(OFFSET(A$1,,,SUMPRODUCT(MAX(ROW(E$2:E733)*(E746=E$2:E733)))))-COUNTBLANK(OFFSET(A$1,,,SUMPRODUCT(MAX(ROW(E$1:E732)*(E746=E$1:E732))))))</f>
        <v/>
      </c>
      <c r="K746" s="26" t="str">
        <f aca="false">IF(OR(E746="",E746="!!!",F746="NEW"),"",INDEX(J$1:J732,SUMPRODUCT(MAX(ROW(E$1:E732)*(E746=E$1:E732)))))</f>
        <v/>
      </c>
      <c r="L746" s="27"/>
    </row>
    <row r="747" customFormat="false" ht="15" hidden="false" customHeight="false" outlineLevel="0" collapsed="false">
      <c r="A747" s="20" t="s">
        <v>434</v>
      </c>
      <c r="B747" s="28" t="s">
        <v>234</v>
      </c>
      <c r="C747" s="28" t="s">
        <v>251</v>
      </c>
      <c r="E747" s="21"/>
      <c r="F747" s="22"/>
      <c r="G747" s="23"/>
      <c r="H747" s="24"/>
      <c r="I747" s="25" t="str">
        <f aca="false">IF(OR(E747="",E747="!!!",F747="NEW"),"",INDEX(B$2:B733,-1+SUMPRODUCT(MAX(ROW(E$2:E733)*(E747=E$2:E733)))))</f>
        <v/>
      </c>
      <c r="J747" s="26" t="str">
        <f aca="true">IF(OR(E747="",E747="!!!",F747="NEW"),"",COUNTBLANK(OFFSET(A$1,,,SUMPRODUCT(MAX(ROW(E$2:E734)*(E747=E$2:E734)))))-COUNTBLANK(OFFSET(A$1,,,SUMPRODUCT(MAX(ROW(E$1:E733)*(E747=E$1:E733))))))</f>
        <v/>
      </c>
      <c r="K747" s="26" t="str">
        <f aca="false">IF(OR(E747="",E747="!!!",F747="NEW"),"",INDEX(J$1:J733,SUMPRODUCT(MAX(ROW(E$1:E733)*(E747=E$1:E733)))))</f>
        <v/>
      </c>
      <c r="L747" s="27"/>
    </row>
    <row r="748" customFormat="false" ht="15" hidden="false" customHeight="false" outlineLevel="0" collapsed="false">
      <c r="A748" s="20" t="s">
        <v>295</v>
      </c>
      <c r="E748" s="21"/>
      <c r="F748" s="22"/>
      <c r="G748" s="23"/>
      <c r="H748" s="24"/>
      <c r="I748" s="25" t="str">
        <f aca="false">IF(OR(E748="",E748="!!!",F748="NEW"),"",INDEX(B$2:B734,-1+SUMPRODUCT(MAX(ROW(E$2:E734)*(E748=E$2:E734)))))</f>
        <v/>
      </c>
      <c r="J748" s="26" t="str">
        <f aca="true">IF(OR(E748="",E748="!!!",F748="NEW"),"",COUNTBLANK(OFFSET(A$1,,,SUMPRODUCT(MAX(ROW(E$2:E735)*(E748=E$2:E735)))))-COUNTBLANK(OFFSET(A$1,,,SUMPRODUCT(MAX(ROW(E$1:E734)*(E748=E$1:E734))))))</f>
        <v/>
      </c>
      <c r="K748" s="26" t="str">
        <f aca="false">IF(OR(E748="",E748="!!!",F748="NEW"),"",INDEX(J$1:J734,SUMPRODUCT(MAX(ROW(E$1:E734)*(E748=E$1:E734)))))</f>
        <v/>
      </c>
      <c r="L748" s="27"/>
    </row>
    <row r="749" customFormat="false" ht="15" hidden="false" customHeight="false" outlineLevel="0" collapsed="false">
      <c r="A749" s="20" t="s">
        <v>209</v>
      </c>
      <c r="E749" s="21"/>
      <c r="F749" s="22"/>
      <c r="G749" s="23"/>
      <c r="H749" s="24"/>
      <c r="I749" s="25" t="str">
        <f aca="false">IF(OR(E749="",E749="!!!",F749="NEW"),"",INDEX(B$2:B735,-1+SUMPRODUCT(MAX(ROW(E$2:E735)*(E749=E$2:E735)))))</f>
        <v/>
      </c>
      <c r="J749" s="26" t="str">
        <f aca="true">IF(OR(E749="",E749="!!!",F749="NEW"),"",COUNTBLANK(OFFSET(A$1,,,SUMPRODUCT(MAX(ROW(E$2:E736)*(E749=E$2:E736)))))-COUNTBLANK(OFFSET(A$1,,,SUMPRODUCT(MAX(ROW(E$1:E735)*(E749=E$1:E735))))))</f>
        <v/>
      </c>
      <c r="K749" s="26" t="str">
        <f aca="false">IF(OR(E749="",E749="!!!",F749="NEW"),"",INDEX(J$1:J735,SUMPRODUCT(MAX(ROW(E$1:E735)*(E749=E$1:E735)))))</f>
        <v/>
      </c>
      <c r="L749" s="27"/>
    </row>
    <row r="750" customFormat="false" ht="15" hidden="false" customHeight="false" outlineLevel="0" collapsed="false">
      <c r="A750" s="20" t="s">
        <v>428</v>
      </c>
      <c r="E750" s="21"/>
      <c r="F750" s="22"/>
      <c r="G750" s="23"/>
      <c r="H750" s="24"/>
      <c r="I750" s="25" t="str">
        <f aca="false">IF(OR(E750="",E750="!!!",F750="NEW"),"",INDEX(B$2:B736,-1+SUMPRODUCT(MAX(ROW(E$2:E736)*(E750=E$2:E736)))))</f>
        <v/>
      </c>
      <c r="J750" s="26" t="str">
        <f aca="true">IF(OR(E750="",E750="!!!",F750="NEW"),"",COUNTBLANK(OFFSET(A$1,,,SUMPRODUCT(MAX(ROW(E$2:E737)*(E750=E$2:E737)))))-COUNTBLANK(OFFSET(A$1,,,SUMPRODUCT(MAX(ROW(E$1:E736)*(E750=E$1:E736))))))</f>
        <v/>
      </c>
      <c r="K750" s="26" t="str">
        <f aca="false">IF(OR(E750="",E750="!!!",F750="NEW"),"",INDEX(J$1:J736,SUMPRODUCT(MAX(ROW(E$1:E736)*(E750=E$1:E736)))))</f>
        <v/>
      </c>
      <c r="L750" s="27"/>
    </row>
    <row r="751" customFormat="false" ht="15" hidden="false" customHeight="false" outlineLevel="0" collapsed="false">
      <c r="A751" s="20" t="s">
        <v>204</v>
      </c>
      <c r="E751" s="21"/>
      <c r="F751" s="22"/>
      <c r="G751" s="23"/>
      <c r="H751" s="24"/>
      <c r="I751" s="25" t="str">
        <f aca="false">IF(OR(E751="",E751="!!!",F751="NEW"),"",INDEX(B$2:B737,-1+SUMPRODUCT(MAX(ROW(E$2:E737)*(E751=E$2:E737)))))</f>
        <v/>
      </c>
      <c r="J751" s="26" t="str">
        <f aca="true">IF(OR(E751="",E751="!!!",F751="NEW"),"",COUNTBLANK(OFFSET(A$1,,,SUMPRODUCT(MAX(ROW(E$2:E738)*(E751=E$2:E738)))))-COUNTBLANK(OFFSET(A$1,,,SUMPRODUCT(MAX(ROW(E$1:E737)*(E751=E$1:E737))))))</f>
        <v/>
      </c>
      <c r="K751" s="26" t="str">
        <f aca="false">IF(OR(E751="",E751="!!!",F751="NEW"),"",INDEX(J$1:J737,SUMPRODUCT(MAX(ROW(E$1:E737)*(E751=E$1:E737)))))</f>
        <v/>
      </c>
      <c r="L751" s="27"/>
    </row>
    <row r="752" customFormat="false" ht="15" hidden="false" customHeight="false" outlineLevel="0" collapsed="false">
      <c r="A752" s="20" t="s">
        <v>522</v>
      </c>
      <c r="B752" s="28" t="s">
        <v>206</v>
      </c>
      <c r="C752" s="28" t="s">
        <v>223</v>
      </c>
      <c r="D752" s="28" t="s">
        <v>198</v>
      </c>
      <c r="E752" s="21" t="s">
        <v>372</v>
      </c>
      <c r="F752" s="22" t="s">
        <v>226</v>
      </c>
      <c r="G752" s="23" t="s">
        <v>247</v>
      </c>
      <c r="H752" s="24" t="s">
        <v>189</v>
      </c>
      <c r="I752" s="25" t="str">
        <f aca="false">IF(OR(E752="",E752="!!!",F752="NEW"),"",INDEX(B$2:B738,-1+SUMPRODUCT(MAX(ROW(E$2:E738)*(E752=E$2:E738)))))</f>
        <v>other_4</v>
      </c>
      <c r="J752" s="26" t="n">
        <f aca="true">IF(OR(E752="",E752="!!!",F752="NEW"),"",COUNTBLANK(OFFSET(A$1,,,SUMPRODUCT(MAX(ROW(E$2:E739)*(E752=E$2:E739)))))-COUNTBLANK(OFFSET(A$1,,,SUMPRODUCT(MAX(ROW(E$1:E738)*(E752=E$1:E738))))))</f>
        <v>0</v>
      </c>
      <c r="K752" s="26" t="n">
        <f aca="false">IF(OR(E752="",E752="!!!",F752="NEW"),"",INDEX(J$1:J738,SUMPRODUCT(MAX(ROW(E$1:E738)*(E752=E$1:E738)))))</f>
        <v>0</v>
      </c>
      <c r="L752" s="27"/>
    </row>
    <row r="753" customFormat="false" ht="15" hidden="false" customHeight="false" outlineLevel="0" collapsed="false">
      <c r="A753" s="20" t="s">
        <v>209</v>
      </c>
      <c r="E753" s="21"/>
      <c r="F753" s="22"/>
      <c r="G753" s="23"/>
      <c r="H753" s="24"/>
      <c r="I753" s="25" t="str">
        <f aca="false">IF(OR(E753="",E753="!!!",F753="NEW"),"",INDEX(B$2:B739,-1+SUMPRODUCT(MAX(ROW(E$2:E739)*(E753=E$2:E739)))))</f>
        <v/>
      </c>
      <c r="J753" s="26" t="str">
        <f aca="true">IF(OR(E753="",E753="!!!",F753="NEW"),"",COUNTBLANK(OFFSET(A$1,,,SUMPRODUCT(MAX(ROW(E$2:E740)*(E753=E$2:E740)))))-COUNTBLANK(OFFSET(A$1,,,SUMPRODUCT(MAX(ROW(E$1:E739)*(E753=E$1:E739))))))</f>
        <v/>
      </c>
      <c r="K753" s="26" t="str">
        <f aca="false">IF(OR(E753="",E753="!!!",F753="NEW"),"",INDEX(J$1:J739,SUMPRODUCT(MAX(ROW(E$1:E739)*(E753=E$1:E739)))))</f>
        <v/>
      </c>
      <c r="L753" s="27"/>
    </row>
    <row r="754" customFormat="false" ht="15" hidden="false" customHeight="false" outlineLevel="0" collapsed="false">
      <c r="A754" s="20" t="s">
        <v>213</v>
      </c>
      <c r="E754" s="21"/>
      <c r="F754" s="22"/>
      <c r="G754" s="23"/>
      <c r="H754" s="24"/>
      <c r="I754" s="25" t="str">
        <f aca="false">IF(OR(E754="",E754="!!!",F754="NEW"),"",INDEX(B$2:B740,-1+SUMPRODUCT(MAX(ROW(E$2:E740)*(E754=E$2:E740)))))</f>
        <v/>
      </c>
      <c r="J754" s="26" t="str">
        <f aca="true">IF(OR(E754="",E754="!!!",F754="NEW"),"",COUNTBLANK(OFFSET(A$1,,,SUMPRODUCT(MAX(ROW(E$2:E741)*(E754=E$2:E741)))))-COUNTBLANK(OFFSET(A$1,,,SUMPRODUCT(MAX(ROW(E$1:E740)*(E754=E$1:E740))))))</f>
        <v/>
      </c>
      <c r="K754" s="26" t="str">
        <f aca="false">IF(OR(E754="",E754="!!!",F754="NEW"),"",INDEX(J$1:J740,SUMPRODUCT(MAX(ROW(E$1:E740)*(E754=E$1:E740)))))</f>
        <v/>
      </c>
      <c r="L754" s="27"/>
    </row>
    <row r="755" customFormat="false" ht="15" hidden="false" customHeight="false" outlineLevel="0" collapsed="false">
      <c r="A755" s="20" t="s">
        <v>428</v>
      </c>
      <c r="E755" s="21"/>
      <c r="F755" s="22"/>
      <c r="G755" s="23"/>
      <c r="H755" s="24"/>
      <c r="I755" s="25" t="str">
        <f aca="false">IF(OR(E755="",E755="!!!",F755="NEW"),"",INDEX(B$2:B741,-1+SUMPRODUCT(MAX(ROW(E$2:E741)*(E755=E$2:E741)))))</f>
        <v/>
      </c>
      <c r="J755" s="26" t="str">
        <f aca="true">IF(OR(E755="",E755="!!!",F755="NEW"),"",COUNTBLANK(OFFSET(A$1,,,SUMPRODUCT(MAX(ROW(E$2:E742)*(E755=E$2:E742)))))-COUNTBLANK(OFFSET(A$1,,,SUMPRODUCT(MAX(ROW(E$1:E741)*(E755=E$1:E741))))))</f>
        <v/>
      </c>
      <c r="K755" s="26" t="str">
        <f aca="false">IF(OR(E755="",E755="!!!",F755="NEW"),"",INDEX(J$1:J741,SUMPRODUCT(MAX(ROW(E$1:E741)*(E755=E$1:E741)))))</f>
        <v/>
      </c>
      <c r="L755" s="27"/>
    </row>
    <row r="756" customFormat="false" ht="15" hidden="false" customHeight="false" outlineLevel="0" collapsed="false">
      <c r="A756" s="20" t="s">
        <v>548</v>
      </c>
      <c r="B756" s="28" t="s">
        <v>219</v>
      </c>
      <c r="C756" s="28" t="s">
        <v>287</v>
      </c>
      <c r="D756" s="28" t="s">
        <v>198</v>
      </c>
      <c r="E756" s="21" t="s">
        <v>372</v>
      </c>
      <c r="F756" s="22" t="s">
        <v>226</v>
      </c>
      <c r="G756" s="23" t="s">
        <v>227</v>
      </c>
      <c r="H756" s="24"/>
      <c r="I756" s="25" t="str">
        <f aca="false">IF(OR(E756="",E756="!!!",F756="NEW"),"",INDEX(B$2:B742,-1+SUMPRODUCT(MAX(ROW(E$2:E742)*(E756=E$2:E742)))))</f>
        <v>other_4</v>
      </c>
      <c r="J756" s="26" t="n">
        <f aca="true">IF(OR(E756="",E756="!!!",F756="NEW"),"",COUNTBLANK(OFFSET(A$1,,,SUMPRODUCT(MAX(ROW(E$2:E743)*(E756=E$2:E743)))))-COUNTBLANK(OFFSET(A$1,,,SUMPRODUCT(MAX(ROW(E$1:E742)*(E756=E$1:E742))))))</f>
        <v>0</v>
      </c>
      <c r="K756" s="26" t="n">
        <f aca="false">IF(OR(E756="",E756="!!!",F756="NEW"),"",INDEX(J$1:J742,SUMPRODUCT(MAX(ROW(E$1:E742)*(E756=E$1:E742)))))</f>
        <v>0</v>
      </c>
      <c r="L756" s="27"/>
    </row>
    <row r="757" customFormat="false" ht="15" hidden="false" customHeight="false" outlineLevel="0" collapsed="false">
      <c r="A757" s="20" t="s">
        <v>367</v>
      </c>
      <c r="B757" s="28" t="s">
        <v>215</v>
      </c>
      <c r="C757" s="28" t="s">
        <v>289</v>
      </c>
      <c r="D757" s="28" t="s">
        <v>198</v>
      </c>
      <c r="E757" s="21" t="s">
        <v>237</v>
      </c>
      <c r="F757" s="22" t="s">
        <v>226</v>
      </c>
      <c r="G757" s="23" t="s">
        <v>201</v>
      </c>
      <c r="H757" s="24"/>
      <c r="I757" s="25" t="str">
        <f aca="false">IF(OR(E757="",E757="!!!",F757="NEW"),"",INDEX(B$2:B743,-1+SUMPRODUCT(MAX(ROW(E$2:E743)*(E757=E$2:E743)))))</f>
        <v>other_5</v>
      </c>
      <c r="J757" s="26" t="n">
        <f aca="true">IF(OR(E757="",E757="!!!",F757="NEW"),"",COUNTBLANK(OFFSET(A$1,,,SUMPRODUCT(MAX(ROW(E$2:E744)*(E757=E$2:E744)))))-COUNTBLANK(OFFSET(A$1,,,SUMPRODUCT(MAX(ROW(E$1:E743)*(E757=E$1:E743))))))</f>
        <v>0</v>
      </c>
      <c r="K757" s="26" t="n">
        <f aca="false">IF(OR(E757="",E757="!!!",F757="NEW"),"",INDEX(J$1:J743,SUMPRODUCT(MAX(ROW(E$1:E743)*(E757=E$1:E743)))))</f>
        <v>0</v>
      </c>
      <c r="L757" s="27"/>
    </row>
    <row r="758" customFormat="false" ht="15" hidden="false" customHeight="false" outlineLevel="0" collapsed="false">
      <c r="A758" s="20" t="s">
        <v>244</v>
      </c>
      <c r="E758" s="21"/>
      <c r="F758" s="22"/>
      <c r="G758" s="23"/>
      <c r="H758" s="24"/>
      <c r="I758" s="25" t="str">
        <f aca="false">IF(OR(E758="",E758="!!!",F758="NEW"),"",INDEX(B$2:B744,-1+SUMPRODUCT(MAX(ROW(E$2:E744)*(E758=E$2:E744)))))</f>
        <v/>
      </c>
      <c r="J758" s="26" t="str">
        <f aca="true">IF(OR(E758="",E758="!!!",F758="NEW"),"",COUNTBLANK(OFFSET(A$1,,,SUMPRODUCT(MAX(ROW(E$2:E745)*(E758=E$2:E745)))))-COUNTBLANK(OFFSET(A$1,,,SUMPRODUCT(MAX(ROW(E$1:E744)*(E758=E$1:E744))))))</f>
        <v/>
      </c>
      <c r="K758" s="26" t="str">
        <f aca="false">IF(OR(E758="",E758="!!!",F758="NEW"),"",INDEX(J$1:J744,SUMPRODUCT(MAX(ROW(E$1:E744)*(E758=E$1:E744)))))</f>
        <v/>
      </c>
      <c r="L758" s="27"/>
    </row>
    <row r="759" customFormat="false" ht="15" hidden="false" customHeight="false" outlineLevel="0" collapsed="false">
      <c r="A759" s="20" t="s">
        <v>384</v>
      </c>
      <c r="E759" s="21"/>
      <c r="F759" s="22"/>
      <c r="G759" s="23"/>
      <c r="H759" s="24"/>
      <c r="I759" s="25" t="str">
        <f aca="false">IF(OR(E759="",E759="!!!",F759="NEW"),"",INDEX(B$2:B745,-1+SUMPRODUCT(MAX(ROW(E$2:E745)*(E759=E$2:E745)))))</f>
        <v/>
      </c>
      <c r="J759" s="26" t="str">
        <f aca="true">IF(OR(E759="",E759="!!!",F759="NEW"),"",COUNTBLANK(OFFSET(A$1,,,SUMPRODUCT(MAX(ROW(E$2:E746)*(E759=E$2:E746)))))-COUNTBLANK(OFFSET(A$1,,,SUMPRODUCT(MAX(ROW(E$1:E745)*(E759=E$1:E745))))))</f>
        <v/>
      </c>
      <c r="K759" s="26" t="str">
        <f aca="false">IF(OR(E759="",E759="!!!",F759="NEW"),"",INDEX(J$1:J745,SUMPRODUCT(MAX(ROW(E$1:E745)*(E759=E$1:E745)))))</f>
        <v/>
      </c>
      <c r="L759" s="27"/>
    </row>
    <row r="760" customFormat="false" ht="15" hidden="false" customHeight="false" outlineLevel="0" collapsed="false">
      <c r="A760" s="20"/>
      <c r="E760" s="21"/>
      <c r="F760" s="22"/>
      <c r="G760" s="23"/>
      <c r="H760" s="24"/>
      <c r="I760" s="25" t="str">
        <f aca="false">IF(OR(E760="",E760="!!!",F760="NEW"),"",INDEX(B$2:B746,-1+SUMPRODUCT(MAX(ROW(E$2:E746)*(E760=E$2:E746)))))</f>
        <v/>
      </c>
      <c r="J760" s="26" t="str">
        <f aca="true">IF(OR(E760="",E760="!!!",F760="NEW"),"",COUNTBLANK(OFFSET(A$1,,,SUMPRODUCT(MAX(ROW(E$2:E747)*(E760=E$2:E747)))))-COUNTBLANK(OFFSET(A$1,,,SUMPRODUCT(MAX(ROW(E$1:E746)*(E760=E$1:E746))))))</f>
        <v/>
      </c>
      <c r="K760" s="26" t="str">
        <f aca="false">IF(OR(E760="",E760="!!!",F760="NEW"),"",INDEX(J$1:J746,SUMPRODUCT(MAX(ROW(E$1:E746)*(E760=E$1:E746)))))</f>
        <v/>
      </c>
      <c r="L760" s="27"/>
    </row>
    <row r="761" customFormat="false" ht="15" hidden="false" customHeight="false" outlineLevel="0" collapsed="false">
      <c r="A761" s="20" t="s">
        <v>311</v>
      </c>
      <c r="E761" s="21"/>
      <c r="F761" s="22"/>
      <c r="G761" s="23"/>
      <c r="H761" s="24"/>
      <c r="I761" s="25" t="str">
        <f aca="false">IF(OR(E761="",E761="!!!",F761="NEW"),"",INDEX(B$2:B747,-1+SUMPRODUCT(MAX(ROW(E$2:E747)*(E761=E$2:E747)))))</f>
        <v/>
      </c>
      <c r="J761" s="26" t="str">
        <f aca="true">IF(OR(E761="",E761="!!!",F761="NEW"),"",COUNTBLANK(OFFSET(A$1,,,SUMPRODUCT(MAX(ROW(E$2:E748)*(E761=E$2:E748)))))-COUNTBLANK(OFFSET(A$1,,,SUMPRODUCT(MAX(ROW(E$1:E747)*(E761=E$1:E747))))))</f>
        <v/>
      </c>
      <c r="K761" s="26" t="str">
        <f aca="false">IF(OR(E761="",E761="!!!",F761="NEW"),"",INDEX(J$1:J747,SUMPRODUCT(MAX(ROW(E$1:E747)*(E761=E$1:E747)))))</f>
        <v/>
      </c>
      <c r="L761" s="27"/>
    </row>
    <row r="762" customFormat="false" ht="15" hidden="false" customHeight="false" outlineLevel="0" collapsed="false">
      <c r="A762" s="20" t="s">
        <v>549</v>
      </c>
      <c r="E762" s="21"/>
      <c r="F762" s="22"/>
      <c r="G762" s="23"/>
      <c r="H762" s="24"/>
      <c r="I762" s="25" t="str">
        <f aca="false">IF(OR(E762="",E762="!!!",F762="NEW"),"",INDEX(B$2:B748,-1+SUMPRODUCT(MAX(ROW(E$2:E748)*(E762=E$2:E748)))))</f>
        <v/>
      </c>
      <c r="J762" s="26" t="str">
        <f aca="true">IF(OR(E762="",E762="!!!",F762="NEW"),"",COUNTBLANK(OFFSET(A$1,,,SUMPRODUCT(MAX(ROW(E$2:E749)*(E762=E$2:E749)))))-COUNTBLANK(OFFSET(A$1,,,SUMPRODUCT(MAX(ROW(E$1:E748)*(E762=E$1:E748))))))</f>
        <v/>
      </c>
      <c r="K762" s="26" t="str">
        <f aca="false">IF(OR(E762="",E762="!!!",F762="NEW"),"",INDEX(J$1:J748,SUMPRODUCT(MAX(ROW(E$1:E748)*(E762=E$1:E748)))))</f>
        <v/>
      </c>
      <c r="L762" s="27"/>
    </row>
    <row r="763" customFormat="false" ht="15" hidden="false" customHeight="false" outlineLevel="0" collapsed="false">
      <c r="A763" s="20" t="s">
        <v>320</v>
      </c>
      <c r="E763" s="21"/>
      <c r="F763" s="22"/>
      <c r="G763" s="23"/>
      <c r="H763" s="24"/>
      <c r="I763" s="25" t="str">
        <f aca="false">IF(OR(E763="",E763="!!!",F763="NEW"),"",INDEX(B$2:B749,-1+SUMPRODUCT(MAX(ROW(E$2:E749)*(E763=E$2:E749)))))</f>
        <v/>
      </c>
      <c r="J763" s="26" t="str">
        <f aca="true">IF(OR(E763="",E763="!!!",F763="NEW"),"",COUNTBLANK(OFFSET(A$1,,,SUMPRODUCT(MAX(ROW(E$2:E750)*(E763=E$2:E750)))))-COUNTBLANK(OFFSET(A$1,,,SUMPRODUCT(MAX(ROW(E$1:E749)*(E763=E$1:E749))))))</f>
        <v/>
      </c>
      <c r="K763" s="26" t="str">
        <f aca="false">IF(OR(E763="",E763="!!!",F763="NEW"),"",INDEX(J$1:J749,SUMPRODUCT(MAX(ROW(E$1:E749)*(E763=E$1:E749)))))</f>
        <v/>
      </c>
      <c r="L763" s="27"/>
    </row>
    <row r="764" customFormat="false" ht="15" hidden="false" customHeight="false" outlineLevel="0" collapsed="false">
      <c r="A764" s="20" t="s">
        <v>500</v>
      </c>
      <c r="E764" s="21"/>
      <c r="F764" s="22"/>
      <c r="G764" s="23"/>
      <c r="H764" s="24"/>
      <c r="I764" s="25" t="str">
        <f aca="false">IF(OR(E764="",E764="!!!",F764="NEW"),"",INDEX(B$2:B750,-1+SUMPRODUCT(MAX(ROW(E$2:E750)*(E764=E$2:E750)))))</f>
        <v/>
      </c>
      <c r="J764" s="26" t="str">
        <f aca="true">IF(OR(E764="",E764="!!!",F764="NEW"),"",COUNTBLANK(OFFSET(A$1,,,SUMPRODUCT(MAX(ROW(E$2:E751)*(E764=E$2:E751)))))-COUNTBLANK(OFFSET(A$1,,,SUMPRODUCT(MAX(ROW(E$1:E750)*(E764=E$1:E750))))))</f>
        <v/>
      </c>
      <c r="K764" s="26" t="str">
        <f aca="false">IF(OR(E764="",E764="!!!",F764="NEW"),"",INDEX(J$1:J750,SUMPRODUCT(MAX(ROW(E$1:E750)*(E764=E$1:E750)))))</f>
        <v/>
      </c>
      <c r="L764" s="27"/>
    </row>
    <row r="765" customFormat="false" ht="15" hidden="false" customHeight="false" outlineLevel="0" collapsed="false">
      <c r="A765" s="20" t="s">
        <v>550</v>
      </c>
      <c r="E765" s="21"/>
      <c r="F765" s="22"/>
      <c r="G765" s="23"/>
      <c r="H765" s="24"/>
      <c r="I765" s="25" t="str">
        <f aca="false">IF(OR(E765="",E765="!!!",F765="NEW"),"",INDEX(B$2:B751,-1+SUMPRODUCT(MAX(ROW(E$2:E751)*(E765=E$2:E751)))))</f>
        <v/>
      </c>
      <c r="J765" s="26" t="str">
        <f aca="true">IF(OR(E765="",E765="!!!",F765="NEW"),"",COUNTBLANK(OFFSET(A$1,,,SUMPRODUCT(MAX(ROW(E$2:E752)*(E765=E$2:E752)))))-COUNTBLANK(OFFSET(A$1,,,SUMPRODUCT(MAX(ROW(E$1:E751)*(E765=E$1:E751))))))</f>
        <v/>
      </c>
      <c r="K765" s="26" t="str">
        <f aca="false">IF(OR(E765="",E765="!!!",F765="NEW"),"",INDEX(J$1:J751,SUMPRODUCT(MAX(ROW(E$1:E751)*(E765=E$1:E751)))))</f>
        <v/>
      </c>
      <c r="L765" s="27"/>
    </row>
    <row r="766" customFormat="false" ht="15" hidden="false" customHeight="false" outlineLevel="0" collapsed="false">
      <c r="A766" s="20" t="s">
        <v>209</v>
      </c>
      <c r="E766" s="21"/>
      <c r="F766" s="22"/>
      <c r="G766" s="23"/>
      <c r="H766" s="24"/>
      <c r="I766" s="25" t="str">
        <f aca="false">IF(OR(E766="",E766="!!!",F766="NEW"),"",INDEX(B$2:B752,-1+SUMPRODUCT(MAX(ROW(E$2:E752)*(E766=E$2:E752)))))</f>
        <v/>
      </c>
      <c r="J766" s="26" t="str">
        <f aca="true">IF(OR(E766="",E766="!!!",F766="NEW"),"",COUNTBLANK(OFFSET(A$1,,,SUMPRODUCT(MAX(ROW(E$2:E753)*(E766=E$2:E753)))))-COUNTBLANK(OFFSET(A$1,,,SUMPRODUCT(MAX(ROW(E$1:E752)*(E766=E$1:E752))))))</f>
        <v/>
      </c>
      <c r="K766" s="26" t="str">
        <f aca="false">IF(OR(E766="",E766="!!!",F766="NEW"),"",INDEX(J$1:J752,SUMPRODUCT(MAX(ROW(E$1:E752)*(E766=E$1:E752)))))</f>
        <v/>
      </c>
      <c r="L766" s="27"/>
    </row>
    <row r="767" customFormat="false" ht="15" hidden="false" customHeight="false" outlineLevel="0" collapsed="false">
      <c r="A767" s="20" t="s">
        <v>236</v>
      </c>
      <c r="E767" s="21"/>
      <c r="F767" s="22"/>
      <c r="G767" s="23"/>
      <c r="H767" s="24"/>
      <c r="I767" s="25" t="str">
        <f aca="false">IF(OR(E767="",E767="!!!",F767="NEW"),"",INDEX(B$2:B753,-1+SUMPRODUCT(MAX(ROW(E$2:E753)*(E767=E$2:E753)))))</f>
        <v/>
      </c>
      <c r="J767" s="26" t="str">
        <f aca="true">IF(OR(E767="",E767="!!!",F767="NEW"),"",COUNTBLANK(OFFSET(A$1,,,SUMPRODUCT(MAX(ROW(E$2:E754)*(E767=E$2:E754)))))-COUNTBLANK(OFFSET(A$1,,,SUMPRODUCT(MAX(ROW(E$1:E753)*(E767=E$1:E753))))))</f>
        <v/>
      </c>
      <c r="K767" s="26" t="str">
        <f aca="false">IF(OR(E767="",E767="!!!",F767="NEW"),"",INDEX(J$1:J753,SUMPRODUCT(MAX(ROW(E$1:E753)*(E767=E$1:E753)))))</f>
        <v/>
      </c>
      <c r="L767" s="27"/>
    </row>
    <row r="768" customFormat="false" ht="15" hidden="false" customHeight="false" outlineLevel="0" collapsed="false">
      <c r="A768" s="20" t="s">
        <v>330</v>
      </c>
      <c r="E768" s="21"/>
      <c r="F768" s="22"/>
      <c r="G768" s="23"/>
      <c r="H768" s="24"/>
      <c r="I768" s="25" t="str">
        <f aca="false">IF(OR(E768="",E768="!!!",F768="NEW"),"",INDEX(B$2:B754,-1+SUMPRODUCT(MAX(ROW(E$2:E754)*(E768=E$2:E754)))))</f>
        <v/>
      </c>
      <c r="J768" s="26" t="str">
        <f aca="true">IF(OR(E768="",E768="!!!",F768="NEW"),"",COUNTBLANK(OFFSET(A$1,,,SUMPRODUCT(MAX(ROW(E$2:E755)*(E768=E$2:E755)))))-COUNTBLANK(OFFSET(A$1,,,SUMPRODUCT(MAX(ROW(E$1:E754)*(E768=E$1:E754))))))</f>
        <v/>
      </c>
      <c r="K768" s="26" t="str">
        <f aca="false">IF(OR(E768="",E768="!!!",F768="NEW"),"",INDEX(J$1:J754,SUMPRODUCT(MAX(ROW(E$1:E754)*(E768=E$1:E754)))))</f>
        <v/>
      </c>
      <c r="L768" s="27"/>
    </row>
    <row r="769" customFormat="false" ht="15" hidden="false" customHeight="false" outlineLevel="0" collapsed="false">
      <c r="A769" s="20" t="s">
        <v>551</v>
      </c>
      <c r="B769" s="28" t="s">
        <v>206</v>
      </c>
      <c r="C769" s="28" t="s">
        <v>357</v>
      </c>
      <c r="D769" s="28" t="s">
        <v>198</v>
      </c>
      <c r="E769" s="21" t="s">
        <v>296</v>
      </c>
      <c r="F769" s="22" t="s">
        <v>226</v>
      </c>
      <c r="G769" s="23" t="s">
        <v>201</v>
      </c>
      <c r="H769" s="24"/>
      <c r="I769" s="25" t="str">
        <f aca="false">IF(OR(E769="",E769="!!!",F769="NEW"),"",INDEX(B$2:B755,-1+SUMPRODUCT(MAX(ROW(E$2:E755)*(E769=E$2:E755)))))</f>
        <v>other_4</v>
      </c>
      <c r="J769" s="26" t="n">
        <f aca="true">IF(OR(E769="",E769="!!!",F769="NEW"),"",COUNTBLANK(OFFSET(A$1,,,SUMPRODUCT(MAX(ROW(E$2:E756)*(E769=E$2:E756)))))-COUNTBLANK(OFFSET(A$1,,,SUMPRODUCT(MAX(ROW(E$1:E755)*(E769=E$1:E755))))))</f>
        <v>0</v>
      </c>
      <c r="K769" s="26" t="n">
        <f aca="false">IF(OR(E769="",E769="!!!",F769="NEW"),"",INDEX(J$1:J755,SUMPRODUCT(MAX(ROW(E$1:E755)*(E769=E$1:E755)))))</f>
        <v>0</v>
      </c>
      <c r="L769" s="27"/>
    </row>
    <row r="770" customFormat="false" ht="15" hidden="false" customHeight="false" outlineLevel="0" collapsed="false">
      <c r="A770" s="20" t="s">
        <v>428</v>
      </c>
      <c r="E770" s="21"/>
      <c r="F770" s="22"/>
      <c r="G770" s="23"/>
      <c r="H770" s="24"/>
      <c r="I770" s="25" t="str">
        <f aca="false">IF(OR(E770="",E770="!!!",F770="NEW"),"",INDEX(B$2:B756,-1+SUMPRODUCT(MAX(ROW(E$2:E756)*(E770=E$2:E756)))))</f>
        <v/>
      </c>
      <c r="J770" s="26" t="str">
        <f aca="true">IF(OR(E770="",E770="!!!",F770="NEW"),"",COUNTBLANK(OFFSET(A$1,,,SUMPRODUCT(MAX(ROW(E$2:E757)*(E770=E$2:E757)))))-COUNTBLANK(OFFSET(A$1,,,SUMPRODUCT(MAX(ROW(E$1:E756)*(E770=E$1:E756))))))</f>
        <v/>
      </c>
      <c r="K770" s="26" t="str">
        <f aca="false">IF(OR(E770="",E770="!!!",F770="NEW"),"",INDEX(J$1:J756,SUMPRODUCT(MAX(ROW(E$1:E756)*(E770=E$1:E756)))))</f>
        <v/>
      </c>
      <c r="L770" s="27"/>
    </row>
    <row r="771" customFormat="false" ht="15" hidden="false" customHeight="false" outlineLevel="0" collapsed="false">
      <c r="A771" s="20" t="s">
        <v>532</v>
      </c>
      <c r="B771" s="28" t="s">
        <v>219</v>
      </c>
      <c r="C771" s="28" t="s">
        <v>287</v>
      </c>
      <c r="D771" s="28" t="s">
        <v>198</v>
      </c>
      <c r="E771" s="21" t="s">
        <v>372</v>
      </c>
      <c r="F771" s="22" t="s">
        <v>226</v>
      </c>
      <c r="G771" s="23" t="s">
        <v>247</v>
      </c>
      <c r="H771" s="24"/>
      <c r="I771" s="25" t="str">
        <f aca="false">IF(OR(E771="",E771="!!!",F771="NEW"),"",INDEX(B$2:B757,-1+SUMPRODUCT(MAX(ROW(E$2:E757)*(E771=E$2:E757)))))</f>
        <v>other_3</v>
      </c>
      <c r="J771" s="26" t="n">
        <f aca="true">IF(OR(E771="",E771="!!!",F771="NEW"),"",COUNTBLANK(OFFSET(A$1,,,SUMPRODUCT(MAX(ROW(E$2:E758)*(E771=E$2:E758)))))-COUNTBLANK(OFFSET(A$1,,,SUMPRODUCT(MAX(ROW(E$1:E757)*(E771=E$1:E757))))))</f>
        <v>0</v>
      </c>
      <c r="K771" s="26" t="n">
        <f aca="false">IF(OR(E771="",E771="!!!",F771="NEW"),"",INDEX(J$1:J757,SUMPRODUCT(MAX(ROW(E$1:E757)*(E771=E$1:E757)))))</f>
        <v>0</v>
      </c>
      <c r="L771" s="27"/>
    </row>
    <row r="772" customFormat="false" ht="15" hidden="false" customHeight="false" outlineLevel="0" collapsed="false">
      <c r="A772" s="20" t="s">
        <v>552</v>
      </c>
      <c r="E772" s="21"/>
      <c r="F772" s="22"/>
      <c r="G772" s="23"/>
      <c r="H772" s="24"/>
      <c r="I772" s="25" t="str">
        <f aca="false">IF(OR(E772="",E772="!!!",F772="NEW"),"",INDEX(B$2:B758,-1+SUMPRODUCT(MAX(ROW(E$2:E758)*(E772=E$2:E758)))))</f>
        <v/>
      </c>
      <c r="J772" s="26" t="str">
        <f aca="true">IF(OR(E772="",E772="!!!",F772="NEW"),"",COUNTBLANK(OFFSET(A$1,,,SUMPRODUCT(MAX(ROW(E$2:E759)*(E772=E$2:E759)))))-COUNTBLANK(OFFSET(A$1,,,SUMPRODUCT(MAX(ROW(E$1:E758)*(E772=E$1:E758))))))</f>
        <v/>
      </c>
      <c r="K772" s="26" t="str">
        <f aca="false">IF(OR(E772="",E772="!!!",F772="NEW"),"",INDEX(J$1:J758,SUMPRODUCT(MAX(ROW(E$1:E758)*(E772=E$1:E758)))))</f>
        <v/>
      </c>
      <c r="L772" s="27"/>
    </row>
    <row r="773" customFormat="false" ht="15" hidden="false" customHeight="false" outlineLevel="0" collapsed="false">
      <c r="A773" s="20" t="s">
        <v>533</v>
      </c>
      <c r="B773" s="28" t="s">
        <v>215</v>
      </c>
      <c r="C773" s="28" t="s">
        <v>289</v>
      </c>
      <c r="D773" s="28" t="s">
        <v>198</v>
      </c>
      <c r="E773" s="21" t="s">
        <v>237</v>
      </c>
      <c r="F773" s="22" t="s">
        <v>226</v>
      </c>
      <c r="G773" s="23" t="s">
        <v>247</v>
      </c>
      <c r="H773" s="24" t="s">
        <v>189</v>
      </c>
      <c r="I773" s="25" t="str">
        <f aca="false">IF(OR(E773="",E773="!!!",F773="NEW"),"",INDEX(B$2:B759,-1+SUMPRODUCT(MAX(ROW(E$2:E759)*(E773=E$2:E759)))))</f>
        <v>other_2</v>
      </c>
      <c r="J773" s="26" t="n">
        <f aca="true">IF(OR(E773="",E773="!!!",F773="NEW"),"",COUNTBLANK(OFFSET(A$1,,,SUMPRODUCT(MAX(ROW(E$2:E760)*(E773=E$2:E760)))))-COUNTBLANK(OFFSET(A$1,,,SUMPRODUCT(MAX(ROW(E$1:E759)*(E773=E$1:E759))))))</f>
        <v>0</v>
      </c>
      <c r="K773" s="26" t="n">
        <f aca="false">IF(OR(E773="",E773="!!!",F773="NEW"),"",INDEX(J$1:J759,SUMPRODUCT(MAX(ROW(E$1:E759)*(E773=E$1:E759)))))</f>
        <v>0</v>
      </c>
      <c r="L773" s="27"/>
    </row>
    <row r="774" customFormat="false" ht="15" hidden="false" customHeight="false" outlineLevel="0" collapsed="false">
      <c r="A774" s="20" t="s">
        <v>209</v>
      </c>
      <c r="E774" s="21"/>
      <c r="F774" s="22"/>
      <c r="G774" s="23"/>
      <c r="H774" s="24"/>
      <c r="I774" s="25" t="str">
        <f aca="false">IF(OR(E774="",E774="!!!",F774="NEW"),"",INDEX(B$2:B760,-1+SUMPRODUCT(MAX(ROW(E$2:E760)*(E774=E$2:E760)))))</f>
        <v/>
      </c>
      <c r="J774" s="26" t="str">
        <f aca="true">IF(OR(E774="",E774="!!!",F774="NEW"),"",COUNTBLANK(OFFSET(A$1,,,SUMPRODUCT(MAX(ROW(E$2:E761)*(E774=E$2:E761)))))-COUNTBLANK(OFFSET(A$1,,,SUMPRODUCT(MAX(ROW(E$1:E760)*(E774=E$1:E760))))))</f>
        <v/>
      </c>
      <c r="K774" s="26" t="str">
        <f aca="false">IF(OR(E774="",E774="!!!",F774="NEW"),"",INDEX(J$1:J760,SUMPRODUCT(MAX(ROW(E$1:E760)*(E774=E$1:E760)))))</f>
        <v/>
      </c>
      <c r="L774" s="27"/>
    </row>
    <row r="775" customFormat="false" ht="15" hidden="false" customHeight="false" outlineLevel="0" collapsed="false">
      <c r="A775" s="20" t="s">
        <v>237</v>
      </c>
      <c r="B775" s="28" t="s">
        <v>219</v>
      </c>
      <c r="C775" s="28" t="s">
        <v>223</v>
      </c>
      <c r="D775" s="28" t="s">
        <v>198</v>
      </c>
      <c r="E775" s="21" t="s">
        <v>237</v>
      </c>
      <c r="F775" s="22" t="s">
        <v>226</v>
      </c>
      <c r="G775" s="23" t="s">
        <v>227</v>
      </c>
      <c r="H775" s="24"/>
      <c r="I775" s="25" t="str">
        <f aca="false">IF(OR(E775="",E775="!!!",F775="NEW"),"",INDEX(B$2:B761,-1+SUMPRODUCT(MAX(ROW(E$2:E761)*(E775=E$2:E761)))))</f>
        <v>other_2</v>
      </c>
      <c r="J775" s="26" t="n">
        <f aca="true">IF(OR(E775="",E775="!!!",F775="NEW"),"",COUNTBLANK(OFFSET(A$1,,,SUMPRODUCT(MAX(ROW(E$2:E762)*(E775=E$2:E762)))))-COUNTBLANK(OFFSET(A$1,,,SUMPRODUCT(MAX(ROW(E$1:E761)*(E775=E$1:E761))))))</f>
        <v>0</v>
      </c>
      <c r="K775" s="26" t="n">
        <f aca="false">IF(OR(E775="",E775="!!!",F775="NEW"),"",INDEX(J$1:J761,SUMPRODUCT(MAX(ROW(E$1:E761)*(E775=E$1:E761)))))</f>
        <v>0</v>
      </c>
      <c r="L775" s="27"/>
    </row>
    <row r="776" customFormat="false" ht="15" hidden="false" customHeight="false" outlineLevel="0" collapsed="false">
      <c r="A776" s="20" t="s">
        <v>209</v>
      </c>
      <c r="E776" s="21"/>
      <c r="F776" s="22"/>
      <c r="G776" s="23"/>
      <c r="H776" s="24"/>
      <c r="I776" s="25" t="str">
        <f aca="false">IF(OR(E776="",E776="!!!",F776="NEW"),"",INDEX(B$2:B762,-1+SUMPRODUCT(MAX(ROW(E$2:E762)*(E776=E$2:E762)))))</f>
        <v/>
      </c>
      <c r="J776" s="26" t="str">
        <f aca="true">IF(OR(E776="",E776="!!!",F776="NEW"),"",COUNTBLANK(OFFSET(A$1,,,SUMPRODUCT(MAX(ROW(E$2:E763)*(E776=E$2:E763)))))-COUNTBLANK(OFFSET(A$1,,,SUMPRODUCT(MAX(ROW(E$1:E762)*(E776=E$1:E762))))))</f>
        <v/>
      </c>
      <c r="K776" s="26" t="str">
        <f aca="false">IF(OR(E776="",E776="!!!",F776="NEW"),"",INDEX(J$1:J762,SUMPRODUCT(MAX(ROW(E$1:E762)*(E776=E$1:E762)))))</f>
        <v/>
      </c>
      <c r="L776" s="27"/>
    </row>
    <row r="777" customFormat="false" ht="15" hidden="false" customHeight="false" outlineLevel="0" collapsed="false">
      <c r="A777" s="20" t="s">
        <v>369</v>
      </c>
      <c r="B777" s="28" t="s">
        <v>371</v>
      </c>
      <c r="E777" s="21"/>
      <c r="F777" s="22"/>
      <c r="G777" s="23"/>
      <c r="H777" s="24"/>
      <c r="I777" s="25" t="str">
        <f aca="false">IF(OR(E777="",E777="!!!",F777="NEW"),"",INDEX(B$2:B763,-1+SUMPRODUCT(MAX(ROW(E$2:E763)*(E777=E$2:E763)))))</f>
        <v/>
      </c>
      <c r="J777" s="26" t="str">
        <f aca="true">IF(OR(E777="",E777="!!!",F777="NEW"),"",COUNTBLANK(OFFSET(A$1,,,SUMPRODUCT(MAX(ROW(E$2:E764)*(E777=E$2:E764)))))-COUNTBLANK(OFFSET(A$1,,,SUMPRODUCT(MAX(ROW(E$1:E763)*(E777=E$1:E763))))))</f>
        <v/>
      </c>
      <c r="K777" s="26" t="str">
        <f aca="false">IF(OR(E777="",E777="!!!",F777="NEW"),"",INDEX(J$1:J763,SUMPRODUCT(MAX(ROW(E$1:E763)*(E777=E$1:E763)))))</f>
        <v/>
      </c>
      <c r="L777" s="27"/>
    </row>
    <row r="778" customFormat="false" ht="15" hidden="false" customHeight="false" outlineLevel="0" collapsed="false">
      <c r="A778" s="20" t="s">
        <v>328</v>
      </c>
      <c r="B778" s="28" t="s">
        <v>273</v>
      </c>
      <c r="C778" s="28" t="s">
        <v>197</v>
      </c>
      <c r="D778" s="28" t="s">
        <v>198</v>
      </c>
      <c r="E778" s="21" t="s">
        <v>372</v>
      </c>
      <c r="F778" s="22" t="s">
        <v>226</v>
      </c>
      <c r="G778" s="23" t="s">
        <v>227</v>
      </c>
      <c r="H778" s="24"/>
      <c r="I778" s="25" t="str">
        <f aca="false">IF(OR(E778="",E778="!!!",F778="NEW"),"",INDEX(B$2:B764,-1+SUMPRODUCT(MAX(ROW(E$2:E764)*(E778=E$2:E764)))))</f>
        <v>other_3</v>
      </c>
      <c r="J778" s="26" t="n">
        <f aca="true">IF(OR(E778="",E778="!!!",F778="NEW"),"",COUNTBLANK(OFFSET(A$1,,,SUMPRODUCT(MAX(ROW(E$2:E765)*(E778=E$2:E765)))))-COUNTBLANK(OFFSET(A$1,,,SUMPRODUCT(MAX(ROW(E$1:E764)*(E778=E$1:E764))))))</f>
        <v>0</v>
      </c>
      <c r="K778" s="26" t="n">
        <f aca="false">IF(OR(E778="",E778="!!!",F778="NEW"),"",INDEX(J$1:J764,SUMPRODUCT(MAX(ROW(E$1:E764)*(E778=E$1:E764)))))</f>
        <v>0</v>
      </c>
      <c r="L778" s="27"/>
    </row>
    <row r="779" customFormat="false" ht="15" hidden="false" customHeight="false" outlineLevel="0" collapsed="false">
      <c r="A779" s="20" t="s">
        <v>553</v>
      </c>
      <c r="E779" s="21"/>
      <c r="F779" s="22"/>
      <c r="G779" s="23"/>
      <c r="H779" s="24"/>
      <c r="I779" s="25" t="str">
        <f aca="false">IF(OR(E779="",E779="!!!",F779="NEW"),"",INDEX(B$2:B765,-1+SUMPRODUCT(MAX(ROW(E$2:E765)*(E779=E$2:E765)))))</f>
        <v/>
      </c>
      <c r="J779" s="26" t="str">
        <f aca="true">IF(OR(E779="",E779="!!!",F779="NEW"),"",COUNTBLANK(OFFSET(A$1,,,SUMPRODUCT(MAX(ROW(E$2:E766)*(E779=E$2:E766)))))-COUNTBLANK(OFFSET(A$1,,,SUMPRODUCT(MAX(ROW(E$1:E765)*(E779=E$1:E765))))))</f>
        <v/>
      </c>
      <c r="K779" s="26" t="str">
        <f aca="false">IF(OR(E779="",E779="!!!",F779="NEW"),"",INDEX(J$1:J765,SUMPRODUCT(MAX(ROW(E$1:E765)*(E779=E$1:E765)))))</f>
        <v/>
      </c>
      <c r="L779" s="27"/>
    </row>
    <row r="780" customFormat="false" ht="15" hidden="false" customHeight="false" outlineLevel="0" collapsed="false">
      <c r="A780" s="20" t="s">
        <v>209</v>
      </c>
      <c r="E780" s="21"/>
      <c r="F780" s="22"/>
      <c r="G780" s="23"/>
      <c r="H780" s="24"/>
      <c r="I780" s="25" t="str">
        <f aca="false">IF(OR(E780="",E780="!!!",F780="NEW"),"",INDEX(B$2:B766,-1+SUMPRODUCT(MAX(ROW(E$2:E766)*(E780=E$2:E766)))))</f>
        <v/>
      </c>
      <c r="J780" s="26" t="str">
        <f aca="true">IF(OR(E780="",E780="!!!",F780="NEW"),"",COUNTBLANK(OFFSET(A$1,,,SUMPRODUCT(MAX(ROW(E$2:E767)*(E780=E$2:E767)))))-COUNTBLANK(OFFSET(A$1,,,SUMPRODUCT(MAX(ROW(E$1:E766)*(E780=E$1:E766))))))</f>
        <v/>
      </c>
      <c r="K780" s="26" t="str">
        <f aca="false">IF(OR(E780="",E780="!!!",F780="NEW"),"",INDEX(J$1:J766,SUMPRODUCT(MAX(ROW(E$1:E766)*(E780=E$1:E766)))))</f>
        <v/>
      </c>
      <c r="L780" s="27"/>
    </row>
    <row r="781" customFormat="false" ht="15" hidden="false" customHeight="false" outlineLevel="0" collapsed="false">
      <c r="A781" s="20" t="s">
        <v>554</v>
      </c>
      <c r="E781" s="21"/>
      <c r="F781" s="22"/>
      <c r="G781" s="23"/>
      <c r="H781" s="24"/>
      <c r="I781" s="25" t="str">
        <f aca="false">IF(OR(E781="",E781="!!!",F781="NEW"),"",INDEX(B$2:B767,-1+SUMPRODUCT(MAX(ROW(E$2:E767)*(E781=E$2:E767)))))</f>
        <v/>
      </c>
      <c r="J781" s="26" t="str">
        <f aca="true">IF(OR(E781="",E781="!!!",F781="NEW"),"",COUNTBLANK(OFFSET(A$1,,,SUMPRODUCT(MAX(ROW(E$2:E768)*(E781=E$2:E768)))))-COUNTBLANK(OFFSET(A$1,,,SUMPRODUCT(MAX(ROW(E$1:E767)*(E781=E$1:E767))))))</f>
        <v/>
      </c>
      <c r="K781" s="26" t="str">
        <f aca="false">IF(OR(E781="",E781="!!!",F781="NEW"),"",INDEX(J$1:J767,SUMPRODUCT(MAX(ROW(E$1:E767)*(E781=E$1:E767)))))</f>
        <v/>
      </c>
      <c r="L781" s="27"/>
    </row>
    <row r="782" customFormat="false" ht="15" hidden="false" customHeight="false" outlineLevel="0" collapsed="false">
      <c r="A782" s="20" t="s">
        <v>555</v>
      </c>
      <c r="B782" s="28" t="s">
        <v>371</v>
      </c>
      <c r="C782" s="28" t="s">
        <v>223</v>
      </c>
      <c r="D782" s="28" t="s">
        <v>198</v>
      </c>
      <c r="E782" s="21" t="s">
        <v>555</v>
      </c>
      <c r="F782" s="22" t="s">
        <v>200</v>
      </c>
      <c r="G782" s="23" t="s">
        <v>212</v>
      </c>
      <c r="H782" s="24"/>
      <c r="I782" s="25" t="str">
        <f aca="false">IF(OR(E782="",E782="!!!",F782="NEW"),"",INDEX(B$2:B768,-1+SUMPRODUCT(MAX(ROW(E$2:E768)*(E782=E$2:E768)))))</f>
        <v/>
      </c>
      <c r="J782" s="26" t="str">
        <f aca="true">IF(OR(E782="",E782="!!!",F782="NEW"),"",COUNTBLANK(OFFSET(A$1,,,SUMPRODUCT(MAX(ROW(E$2:E769)*(E782=E$2:E769)))))-COUNTBLANK(OFFSET(A$1,,,SUMPRODUCT(MAX(ROW(E$1:E768)*(E782=E$1:E768))))))</f>
        <v/>
      </c>
      <c r="K782" s="26" t="str">
        <f aca="false">IF(OR(E782="",E782="!!!",F782="NEW"),"",INDEX(J$1:J768,SUMPRODUCT(MAX(ROW(E$1:E768)*(E782=E$1:E768)))))</f>
        <v/>
      </c>
      <c r="L782" s="27"/>
    </row>
    <row r="783" customFormat="false" ht="15" hidden="false" customHeight="false" outlineLevel="0" collapsed="false">
      <c r="A783" s="20" t="s">
        <v>213</v>
      </c>
      <c r="E783" s="21"/>
      <c r="F783" s="22"/>
      <c r="G783" s="23"/>
      <c r="H783" s="24"/>
      <c r="I783" s="25" t="str">
        <f aca="false">IF(OR(E783="",E783="!!!",F783="NEW"),"",INDEX(B$2:B769,-1+SUMPRODUCT(MAX(ROW(E$2:E769)*(E783=E$2:E769)))))</f>
        <v/>
      </c>
      <c r="J783" s="26" t="str">
        <f aca="true">IF(OR(E783="",E783="!!!",F783="NEW"),"",COUNTBLANK(OFFSET(A$1,,,SUMPRODUCT(MAX(ROW(E$2:E770)*(E783=E$2:E770)))))-COUNTBLANK(OFFSET(A$1,,,SUMPRODUCT(MAX(ROW(E$1:E769)*(E783=E$1:E769))))))</f>
        <v/>
      </c>
      <c r="K783" s="26" t="str">
        <f aca="false">IF(OR(E783="",E783="!!!",F783="NEW"),"",INDEX(J$1:J769,SUMPRODUCT(MAX(ROW(E$1:E769)*(E783=E$1:E769)))))</f>
        <v/>
      </c>
      <c r="L783" s="27"/>
    </row>
    <row r="784" customFormat="false" ht="15" hidden="false" customHeight="false" outlineLevel="0" collapsed="false">
      <c r="A784" s="20" t="s">
        <v>556</v>
      </c>
      <c r="B784" s="28" t="s">
        <v>365</v>
      </c>
      <c r="C784" s="28" t="s">
        <v>223</v>
      </c>
      <c r="D784" s="28" t="s">
        <v>198</v>
      </c>
      <c r="E784" s="21" t="s">
        <v>557</v>
      </c>
      <c r="F784" s="22" t="s">
        <v>200</v>
      </c>
      <c r="G784" s="23" t="s">
        <v>201</v>
      </c>
      <c r="H784" s="24"/>
      <c r="I784" s="25" t="str">
        <f aca="false">IF(OR(E784="",E784="!!!",F784="NEW"),"",INDEX(B$2:B770,-1+SUMPRODUCT(MAX(ROW(E$2:E770)*(E784=E$2:E770)))))</f>
        <v/>
      </c>
      <c r="J784" s="26" t="str">
        <f aca="true">IF(OR(E784="",E784="!!!",F784="NEW"),"",COUNTBLANK(OFFSET(A$1,,,SUMPRODUCT(MAX(ROW(E$2:E771)*(E784=E$2:E771)))))-COUNTBLANK(OFFSET(A$1,,,SUMPRODUCT(MAX(ROW(E$1:E770)*(E784=E$1:E770))))))</f>
        <v/>
      </c>
      <c r="K784" s="26" t="str">
        <f aca="false">IF(OR(E784="",E784="!!!",F784="NEW"),"",INDEX(J$1:J770,SUMPRODUCT(MAX(ROW(E$1:E770)*(E784=E$1:E770)))))</f>
        <v/>
      </c>
      <c r="L784" s="27"/>
    </row>
    <row r="785" customFormat="false" ht="15" hidden="false" customHeight="false" outlineLevel="0" collapsed="false">
      <c r="A785" s="20" t="s">
        <v>557</v>
      </c>
      <c r="E785" s="21"/>
      <c r="F785" s="22"/>
      <c r="G785" s="23"/>
      <c r="H785" s="24"/>
      <c r="I785" s="25" t="str">
        <f aca="false">IF(OR(E785="",E785="!!!",F785="NEW"),"",INDEX(B$2:B771,-1+SUMPRODUCT(MAX(ROW(E$2:E771)*(E785=E$2:E771)))))</f>
        <v/>
      </c>
      <c r="J785" s="26" t="str">
        <f aca="true">IF(OR(E785="",E785="!!!",F785="NEW"),"",COUNTBLANK(OFFSET(A$1,,,SUMPRODUCT(MAX(ROW(E$2:E772)*(E785=E$2:E772)))))-COUNTBLANK(OFFSET(A$1,,,SUMPRODUCT(MAX(ROW(E$1:E771)*(E785=E$1:E771))))))</f>
        <v/>
      </c>
      <c r="K785" s="26" t="str">
        <f aca="false">IF(OR(E785="",E785="!!!",F785="NEW"),"",INDEX(J$1:J771,SUMPRODUCT(MAX(ROW(E$1:E771)*(E785=E$1:E771)))))</f>
        <v/>
      </c>
      <c r="L785" s="27"/>
    </row>
    <row r="786" customFormat="false" ht="15" hidden="false" customHeight="false" outlineLevel="0" collapsed="false">
      <c r="A786" s="20" t="s">
        <v>209</v>
      </c>
      <c r="E786" s="21"/>
      <c r="F786" s="22"/>
      <c r="G786" s="23"/>
      <c r="H786" s="24"/>
      <c r="I786" s="25" t="str">
        <f aca="false">IF(OR(E786="",E786="!!!",F786="NEW"),"",INDEX(B$2:B772,-1+SUMPRODUCT(MAX(ROW(E$2:E772)*(E786=E$2:E772)))))</f>
        <v/>
      </c>
      <c r="J786" s="26" t="str">
        <f aca="true">IF(OR(E786="",E786="!!!",F786="NEW"),"",COUNTBLANK(OFFSET(A$1,,,SUMPRODUCT(MAX(ROW(E$2:E773)*(E786=E$2:E773)))))-COUNTBLANK(OFFSET(A$1,,,SUMPRODUCT(MAX(ROW(E$1:E772)*(E786=E$1:E772))))))</f>
        <v/>
      </c>
      <c r="K786" s="26" t="str">
        <f aca="false">IF(OR(E786="",E786="!!!",F786="NEW"),"",INDEX(J$1:J772,SUMPRODUCT(MAX(ROW(E$1:E772)*(E786=E$1:E772)))))</f>
        <v/>
      </c>
      <c r="L786" s="27"/>
    </row>
    <row r="787" customFormat="false" ht="15" hidden="false" customHeight="false" outlineLevel="0" collapsed="false">
      <c r="A787" s="20" t="s">
        <v>304</v>
      </c>
      <c r="E787" s="21"/>
      <c r="F787" s="22"/>
      <c r="G787" s="23"/>
      <c r="H787" s="24"/>
      <c r="I787" s="25" t="str">
        <f aca="false">IF(OR(E787="",E787="!!!",F787="NEW"),"",INDEX(B$2:B773,-1+SUMPRODUCT(MAX(ROW(E$2:E773)*(E787=E$2:E773)))))</f>
        <v/>
      </c>
      <c r="J787" s="26" t="str">
        <f aca="true">IF(OR(E787="",E787="!!!",F787="NEW"),"",COUNTBLANK(OFFSET(A$1,,,SUMPRODUCT(MAX(ROW(E$2:E774)*(E787=E$2:E774)))))-COUNTBLANK(OFFSET(A$1,,,SUMPRODUCT(MAX(ROW(E$1:E773)*(E787=E$1:E773))))))</f>
        <v/>
      </c>
      <c r="K787" s="26" t="str">
        <f aca="false">IF(OR(E787="",E787="!!!",F787="NEW"),"",INDEX(J$1:J773,SUMPRODUCT(MAX(ROW(E$1:E773)*(E787=E$1:E773)))))</f>
        <v/>
      </c>
      <c r="L787" s="27"/>
    </row>
    <row r="788" customFormat="false" ht="15" hidden="false" customHeight="false" outlineLevel="0" collapsed="false">
      <c r="A788" s="20" t="s">
        <v>204</v>
      </c>
      <c r="E788" s="21"/>
      <c r="F788" s="22"/>
      <c r="G788" s="23"/>
      <c r="H788" s="24"/>
      <c r="I788" s="25" t="str">
        <f aca="false">IF(OR(E788="",E788="!!!",F788="NEW"),"",INDEX(B$2:B774,-1+SUMPRODUCT(MAX(ROW(E$2:E774)*(E788=E$2:E774)))))</f>
        <v/>
      </c>
      <c r="J788" s="26" t="str">
        <f aca="true">IF(OR(E788="",E788="!!!",F788="NEW"),"",COUNTBLANK(OFFSET(A$1,,,SUMPRODUCT(MAX(ROW(E$2:E775)*(E788=E$2:E775)))))-COUNTBLANK(OFFSET(A$1,,,SUMPRODUCT(MAX(ROW(E$1:E774)*(E788=E$1:E774))))))</f>
        <v/>
      </c>
      <c r="K788" s="26" t="str">
        <f aca="false">IF(OR(E788="",E788="!!!",F788="NEW"),"",INDEX(J$1:J774,SUMPRODUCT(MAX(ROW(E$1:E774)*(E788=E$1:E774)))))</f>
        <v/>
      </c>
      <c r="L788" s="27"/>
    </row>
    <row r="789" customFormat="false" ht="15" hidden="false" customHeight="false" outlineLevel="0" collapsed="false">
      <c r="A789" s="20" t="s">
        <v>558</v>
      </c>
      <c r="B789" s="28" t="s">
        <v>365</v>
      </c>
      <c r="C789" s="28" t="s">
        <v>207</v>
      </c>
      <c r="D789" s="28" t="s">
        <v>198</v>
      </c>
      <c r="E789" s="21" t="s">
        <v>558</v>
      </c>
      <c r="F789" s="22" t="s">
        <v>200</v>
      </c>
      <c r="G789" s="23" t="s">
        <v>212</v>
      </c>
      <c r="H789" s="24"/>
      <c r="I789" s="25" t="str">
        <f aca="false">IF(OR(E789="",E789="!!!",F789="NEW"),"",INDEX(B$2:B775,-1+SUMPRODUCT(MAX(ROW(E$2:E775)*(E789=E$2:E775)))))</f>
        <v/>
      </c>
      <c r="J789" s="26" t="str">
        <f aca="true">IF(OR(E789="",E789="!!!",F789="NEW"),"",COUNTBLANK(OFFSET(A$1,,,SUMPRODUCT(MAX(ROW(E$2:E776)*(E789=E$2:E776)))))-COUNTBLANK(OFFSET(A$1,,,SUMPRODUCT(MAX(ROW(E$1:E775)*(E789=E$1:E775))))))</f>
        <v/>
      </c>
      <c r="K789" s="26" t="str">
        <f aca="false">IF(OR(E789="",E789="!!!",F789="NEW"),"",INDEX(J$1:J775,SUMPRODUCT(MAX(ROW(E$1:E775)*(E789=E$1:E775)))))</f>
        <v/>
      </c>
      <c r="L789" s="27"/>
    </row>
    <row r="790" customFormat="false" ht="15" hidden="false" customHeight="false" outlineLevel="0" collapsed="false">
      <c r="A790" s="20" t="s">
        <v>213</v>
      </c>
      <c r="E790" s="21"/>
      <c r="F790" s="22"/>
      <c r="G790" s="23"/>
      <c r="H790" s="24"/>
      <c r="I790" s="25" t="str">
        <f aca="false">IF(OR(E790="",E790="!!!",F790="NEW"),"",INDEX(B$2:B776,-1+SUMPRODUCT(MAX(ROW(E$2:E776)*(E790=E$2:E776)))))</f>
        <v/>
      </c>
      <c r="J790" s="26" t="str">
        <f aca="true">IF(OR(E790="",E790="!!!",F790="NEW"),"",COUNTBLANK(OFFSET(A$1,,,SUMPRODUCT(MAX(ROW(E$2:E777)*(E790=E$2:E777)))))-COUNTBLANK(OFFSET(A$1,,,SUMPRODUCT(MAX(ROW(E$1:E776)*(E790=E$1:E776))))))</f>
        <v/>
      </c>
      <c r="K790" s="26" t="str">
        <f aca="false">IF(OR(E790="",E790="!!!",F790="NEW"),"",INDEX(J$1:J776,SUMPRODUCT(MAX(ROW(E$1:E776)*(E790=E$1:E776)))))</f>
        <v/>
      </c>
      <c r="L790" s="27"/>
    </row>
    <row r="791" customFormat="false" ht="15" hidden="false" customHeight="false" outlineLevel="0" collapsed="false">
      <c r="A791" s="20" t="s">
        <v>204</v>
      </c>
      <c r="E791" s="21"/>
      <c r="F791" s="22"/>
      <c r="G791" s="23"/>
      <c r="H791" s="24"/>
      <c r="I791" s="25" t="str">
        <f aca="false">IF(OR(E791="",E791="!!!",F791="NEW"),"",INDEX(B$2:B777,-1+SUMPRODUCT(MAX(ROW(E$2:E777)*(E791=E$2:E777)))))</f>
        <v/>
      </c>
      <c r="J791" s="26" t="str">
        <f aca="true">IF(OR(E791="",E791="!!!",F791="NEW"),"",COUNTBLANK(OFFSET(A$1,,,SUMPRODUCT(MAX(ROW(E$2:E778)*(E791=E$2:E778)))))-COUNTBLANK(OFFSET(A$1,,,SUMPRODUCT(MAX(ROW(E$1:E777)*(E791=E$1:E777))))))</f>
        <v/>
      </c>
      <c r="K791" s="26" t="str">
        <f aca="false">IF(OR(E791="",E791="!!!",F791="NEW"),"",INDEX(J$1:J777,SUMPRODUCT(MAX(ROW(E$1:E777)*(E791=E$1:E777)))))</f>
        <v/>
      </c>
      <c r="L791" s="27"/>
    </row>
    <row r="792" customFormat="false" ht="15" hidden="false" customHeight="false" outlineLevel="0" collapsed="false">
      <c r="A792" s="20" t="s">
        <v>205</v>
      </c>
      <c r="B792" s="28" t="s">
        <v>365</v>
      </c>
      <c r="C792" s="28" t="s">
        <v>289</v>
      </c>
      <c r="D792" s="28" t="s">
        <v>198</v>
      </c>
      <c r="E792" s="21" t="s">
        <v>559</v>
      </c>
      <c r="F792" s="22" t="s">
        <v>200</v>
      </c>
      <c r="G792" s="23" t="s">
        <v>212</v>
      </c>
      <c r="H792" s="24"/>
      <c r="I792" s="25" t="str">
        <f aca="false">IF(OR(E792="",E792="!!!",F792="NEW"),"",INDEX(B$2:B778,-1+SUMPRODUCT(MAX(ROW(E$2:E778)*(E792=E$2:E778)))))</f>
        <v/>
      </c>
      <c r="J792" s="26" t="str">
        <f aca="true">IF(OR(E792="",E792="!!!",F792="NEW"),"",COUNTBLANK(OFFSET(A$1,,,SUMPRODUCT(MAX(ROW(E$2:E779)*(E792=E$2:E779)))))-COUNTBLANK(OFFSET(A$1,,,SUMPRODUCT(MAX(ROW(E$1:E778)*(E792=E$1:E778))))))</f>
        <v/>
      </c>
      <c r="K792" s="26" t="str">
        <f aca="false">IF(OR(E792="",E792="!!!",F792="NEW"),"",INDEX(J$1:J778,SUMPRODUCT(MAX(ROW(E$1:E778)*(E792=E$1:E778)))))</f>
        <v/>
      </c>
      <c r="L792" s="27"/>
    </row>
    <row r="793" customFormat="false" ht="15" hidden="false" customHeight="false" outlineLevel="0" collapsed="false">
      <c r="A793" s="20" t="s">
        <v>217</v>
      </c>
      <c r="E793" s="21"/>
      <c r="F793" s="22"/>
      <c r="G793" s="23"/>
      <c r="H793" s="24"/>
      <c r="I793" s="25" t="str">
        <f aca="false">IF(OR(E793="",E793="!!!",F793="NEW"),"",INDEX(B$2:B779,-1+SUMPRODUCT(MAX(ROW(E$2:E779)*(E793=E$2:E779)))))</f>
        <v/>
      </c>
      <c r="J793" s="26" t="str">
        <f aca="true">IF(OR(E793="",E793="!!!",F793="NEW"),"",COUNTBLANK(OFFSET(A$1,,,SUMPRODUCT(MAX(ROW(E$2:E780)*(E793=E$2:E780)))))-COUNTBLANK(OFFSET(A$1,,,SUMPRODUCT(MAX(ROW(E$1:E779)*(E793=E$1:E779))))))</f>
        <v/>
      </c>
      <c r="K793" s="26" t="str">
        <f aca="false">IF(OR(E793="",E793="!!!",F793="NEW"),"",INDEX(J$1:J779,SUMPRODUCT(MAX(ROW(E$1:E779)*(E793=E$1:E779)))))</f>
        <v/>
      </c>
      <c r="L793" s="27"/>
    </row>
    <row r="794" customFormat="false" ht="15" hidden="false" customHeight="false" outlineLevel="0" collapsed="false">
      <c r="A794" s="20" t="s">
        <v>341</v>
      </c>
      <c r="B794" s="28" t="s">
        <v>560</v>
      </c>
      <c r="C794" s="28" t="s">
        <v>223</v>
      </c>
      <c r="D794" s="28" t="s">
        <v>198</v>
      </c>
      <c r="E794" s="21" t="s">
        <v>559</v>
      </c>
      <c r="F794" s="22" t="s">
        <v>200</v>
      </c>
      <c r="G794" s="23" t="s">
        <v>227</v>
      </c>
      <c r="H794" s="24"/>
      <c r="I794" s="25" t="str">
        <f aca="false">IF(OR(E794="",E794="!!!",F794="NEW"),"",INDEX(B$2:B780,-1+SUMPRODUCT(MAX(ROW(E$2:E780)*(E794=E$2:E780)))))</f>
        <v/>
      </c>
      <c r="J794" s="26" t="str">
        <f aca="true">IF(OR(E794="",E794="!!!",F794="NEW"),"",COUNTBLANK(OFFSET(A$1,,,SUMPRODUCT(MAX(ROW(E$2:E781)*(E794=E$2:E781)))))-COUNTBLANK(OFFSET(A$1,,,SUMPRODUCT(MAX(ROW(E$1:E780)*(E794=E$1:E780))))))</f>
        <v/>
      </c>
      <c r="K794" s="26" t="str">
        <f aca="false">IF(OR(E794="",E794="!!!",F794="NEW"),"",INDEX(J$1:J780,SUMPRODUCT(MAX(ROW(E$1:E780)*(E794=E$1:E780)))))</f>
        <v/>
      </c>
      <c r="L794" s="27"/>
    </row>
    <row r="795" customFormat="false" ht="15" hidden="false" customHeight="false" outlineLevel="0" collapsed="false">
      <c r="A795" s="20" t="s">
        <v>209</v>
      </c>
      <c r="E795" s="21"/>
      <c r="F795" s="22"/>
      <c r="G795" s="23"/>
      <c r="H795" s="24"/>
      <c r="I795" s="25" t="str">
        <f aca="false">IF(OR(E795="",E795="!!!",F795="NEW"),"",INDEX(B$2:B781,-1+SUMPRODUCT(MAX(ROW(E$2:E781)*(E795=E$2:E781)))))</f>
        <v/>
      </c>
      <c r="J795" s="26" t="str">
        <f aca="true">IF(OR(E795="",E795="!!!",F795="NEW"),"",COUNTBLANK(OFFSET(A$1,,,SUMPRODUCT(MAX(ROW(E$2:E782)*(E795=E$2:E782)))))-COUNTBLANK(OFFSET(A$1,,,SUMPRODUCT(MAX(ROW(E$1:E781)*(E795=E$1:E781))))))</f>
        <v/>
      </c>
      <c r="K795" s="26" t="str">
        <f aca="false">IF(OR(E795="",E795="!!!",F795="NEW"),"",INDEX(J$1:J781,SUMPRODUCT(MAX(ROW(E$1:E781)*(E795=E$1:E781)))))</f>
        <v/>
      </c>
      <c r="L795" s="27"/>
    </row>
    <row r="796" customFormat="false" ht="15" hidden="false" customHeight="false" outlineLevel="0" collapsed="false">
      <c r="A796" s="20" t="s">
        <v>293</v>
      </c>
      <c r="E796" s="21"/>
      <c r="F796" s="22"/>
      <c r="G796" s="23"/>
      <c r="H796" s="24"/>
      <c r="I796" s="25" t="str">
        <f aca="false">IF(OR(E796="",E796="!!!",F796="NEW"),"",INDEX(B$2:B782,-1+SUMPRODUCT(MAX(ROW(E$2:E782)*(E796=E$2:E782)))))</f>
        <v/>
      </c>
      <c r="J796" s="26" t="str">
        <f aca="true">IF(OR(E796="",E796="!!!",F796="NEW"),"",COUNTBLANK(OFFSET(A$1,,,SUMPRODUCT(MAX(ROW(E$2:E783)*(E796=E$2:E783)))))-COUNTBLANK(OFFSET(A$1,,,SUMPRODUCT(MAX(ROW(E$1:E782)*(E796=E$1:E782))))))</f>
        <v/>
      </c>
      <c r="K796" s="26" t="str">
        <f aca="false">IF(OR(E796="",E796="!!!",F796="NEW"),"",INDEX(J$1:J782,SUMPRODUCT(MAX(ROW(E$1:E782)*(E796=E$1:E782)))))</f>
        <v/>
      </c>
      <c r="L796" s="27"/>
    </row>
    <row r="797" customFormat="false" ht="15" hidden="false" customHeight="false" outlineLevel="0" collapsed="false">
      <c r="A797" s="20" t="s">
        <v>294</v>
      </c>
      <c r="E797" s="21"/>
      <c r="F797" s="22"/>
      <c r="G797" s="23"/>
      <c r="H797" s="24"/>
      <c r="I797" s="25" t="str">
        <f aca="false">IF(OR(E797="",E797="!!!",F797="NEW"),"",INDEX(B$2:B783,-1+SUMPRODUCT(MAX(ROW(E$2:E783)*(E797=E$2:E783)))))</f>
        <v/>
      </c>
      <c r="J797" s="26" t="str">
        <f aca="true">IF(OR(E797="",E797="!!!",F797="NEW"),"",COUNTBLANK(OFFSET(A$1,,,SUMPRODUCT(MAX(ROW(E$2:E784)*(E797=E$2:E784)))))-COUNTBLANK(OFFSET(A$1,,,SUMPRODUCT(MAX(ROW(E$1:E783)*(E797=E$1:E783))))))</f>
        <v/>
      </c>
      <c r="K797" s="26" t="str">
        <f aca="false">IF(OR(E797="",E797="!!!",F797="NEW"),"",INDEX(J$1:J783,SUMPRODUCT(MAX(ROW(E$1:E783)*(E797=E$1:E783)))))</f>
        <v/>
      </c>
      <c r="L797" s="27"/>
    </row>
    <row r="798" customFormat="false" ht="15" hidden="false" customHeight="false" outlineLevel="0" collapsed="false">
      <c r="A798" s="20" t="s">
        <v>295</v>
      </c>
      <c r="E798" s="21"/>
      <c r="F798" s="22"/>
      <c r="G798" s="23"/>
      <c r="H798" s="24"/>
      <c r="I798" s="25" t="str">
        <f aca="false">IF(OR(E798="",E798="!!!",F798="NEW"),"",INDEX(B$2:B784,-1+SUMPRODUCT(MAX(ROW(E$2:E784)*(E798=E$2:E784)))))</f>
        <v/>
      </c>
      <c r="J798" s="26" t="str">
        <f aca="true">IF(OR(E798="",E798="!!!",F798="NEW"),"",COUNTBLANK(OFFSET(A$1,,,SUMPRODUCT(MAX(ROW(E$2:E785)*(E798=E$2:E785)))))-COUNTBLANK(OFFSET(A$1,,,SUMPRODUCT(MAX(ROW(E$1:E784)*(E798=E$1:E784))))))</f>
        <v/>
      </c>
      <c r="K798" s="26" t="str">
        <f aca="false">IF(OR(E798="",E798="!!!",F798="NEW"),"",INDEX(J$1:J784,SUMPRODUCT(MAX(ROW(E$1:E784)*(E798=E$1:E784)))))</f>
        <v/>
      </c>
      <c r="L798" s="27"/>
    </row>
    <row r="799" customFormat="false" ht="15" hidden="false" customHeight="false" outlineLevel="0" collapsed="false">
      <c r="A799" s="20"/>
    </row>
    <row r="800" customFormat="false" ht="15" hidden="false" customHeight="false" outlineLevel="0" collapsed="false">
      <c r="A800" s="20" t="s">
        <v>561</v>
      </c>
    </row>
    <row r="801" customFormat="false" ht="15" hidden="false" customHeight="false" outlineLevel="0" collapsed="false">
      <c r="A801" s="20" t="s">
        <v>203</v>
      </c>
      <c r="E801" s="21"/>
      <c r="F801" s="22"/>
      <c r="G801" s="23"/>
      <c r="H801" s="24"/>
      <c r="I801" s="25" t="str">
        <f aca="false">IF(OR(E801="",E801="!!!",F801="NEW"),"",INDEX(B$2:B785,-1+SUMPRODUCT(MAX(ROW(E$2:E785)*(E801=E$2:E785)))))</f>
        <v/>
      </c>
      <c r="J801" s="26" t="str">
        <f aca="true">IF(OR(E801="",E801="!!!",F801="NEW"),"",COUNTBLANK(OFFSET(A$1,,,SUMPRODUCT(MAX(ROW(E$2:E786)*(E801=E$2:E786)))))-COUNTBLANK(OFFSET(A$1,,,SUMPRODUCT(MAX(ROW(E$1:E785)*(E801=E$1:E785))))))</f>
        <v/>
      </c>
      <c r="K801" s="26" t="str">
        <f aca="false">IF(OR(E801="",E801="!!!",F801="NEW"),"",INDEX(J$1:J785,SUMPRODUCT(MAX(ROW(E$1:E785)*(E801=E$1:E785)))))</f>
        <v/>
      </c>
      <c r="L801" s="27"/>
    </row>
    <row r="802" customFormat="false" ht="15" hidden="false" customHeight="false" outlineLevel="0" collapsed="false">
      <c r="A802" s="20" t="s">
        <v>60</v>
      </c>
      <c r="E802" s="21"/>
      <c r="F802" s="22"/>
      <c r="G802" s="23"/>
      <c r="H802" s="24"/>
      <c r="I802" s="25" t="str">
        <f aca="false">IF(OR(E802="",E802="!!!",F802="NEW"),"",INDEX(B$2:B786,-1+SUMPRODUCT(MAX(ROW(E$2:E786)*(E802=E$2:E786)))))</f>
        <v/>
      </c>
      <c r="J802" s="26" t="str">
        <f aca="true">IF(OR(E802="",E802="!!!",F802="NEW"),"",COUNTBLANK(OFFSET(A$1,,,SUMPRODUCT(MAX(ROW(E$2:E787)*(E802=E$2:E787)))))-COUNTBLANK(OFFSET(A$1,,,SUMPRODUCT(MAX(ROW(E$1:E786)*(E802=E$1:E786))))))</f>
        <v/>
      </c>
      <c r="K802" s="26" t="str">
        <f aca="false">IF(OR(E802="",E802="!!!",F802="NEW"),"",INDEX(J$1:J786,SUMPRODUCT(MAX(ROW(E$1:E786)*(E802=E$1:E786)))))</f>
        <v/>
      </c>
      <c r="L802" s="27"/>
    </row>
    <row r="803" customFormat="false" ht="15" hidden="false" customHeight="false" outlineLevel="0" collapsed="false">
      <c r="A803" s="20" t="s">
        <v>562</v>
      </c>
      <c r="B803" s="28" t="s">
        <v>215</v>
      </c>
      <c r="C803" s="28" t="s">
        <v>323</v>
      </c>
      <c r="E803" s="21"/>
      <c r="F803" s="22"/>
      <c r="G803" s="23"/>
      <c r="H803" s="24"/>
      <c r="I803" s="25" t="str">
        <f aca="false">IF(OR(E803="",E803="!!!",F803="NEW"),"",INDEX(B$2:B787,-1+SUMPRODUCT(MAX(ROW(E$2:E787)*(E803=E$2:E787)))))</f>
        <v/>
      </c>
      <c r="J803" s="26" t="str">
        <f aca="true">IF(OR(E803="",E803="!!!",F803="NEW"),"",COUNTBLANK(OFFSET(A$1,,,SUMPRODUCT(MAX(ROW(E$2:E788)*(E803=E$2:E788)))))-COUNTBLANK(OFFSET(A$1,,,SUMPRODUCT(MAX(ROW(E$1:E787)*(E803=E$1:E787))))))</f>
        <v/>
      </c>
      <c r="K803" s="26" t="str">
        <f aca="false">IF(OR(E803="",E803="!!!",F803="NEW"),"",INDEX(J$1:J787,SUMPRODUCT(MAX(ROW(E$1:E787)*(E803=E$1:E787)))))</f>
        <v/>
      </c>
      <c r="L803" s="27"/>
    </row>
    <row r="804" customFormat="false" ht="15" hidden="false" customHeight="false" outlineLevel="0" collapsed="false">
      <c r="A804" s="20" t="s">
        <v>532</v>
      </c>
      <c r="B804" s="28" t="s">
        <v>215</v>
      </c>
      <c r="C804" s="28" t="s">
        <v>287</v>
      </c>
      <c r="D804" s="28" t="s">
        <v>198</v>
      </c>
      <c r="E804" s="21" t="s">
        <v>372</v>
      </c>
      <c r="F804" s="22" t="s">
        <v>226</v>
      </c>
      <c r="G804" s="23" t="s">
        <v>227</v>
      </c>
      <c r="H804" s="24"/>
      <c r="I804" s="25" t="str">
        <f aca="false">IF(OR(E804="",E804="!!!",F804="NEW"),"",INDEX(B$2:B788,-1+SUMPRODUCT(MAX(ROW(E$2:E788)*(E804=E$2:E788)))))</f>
        <v>SBJ_4</v>
      </c>
      <c r="J804" s="26" t="n">
        <f aca="true">IF(OR(E804="",E804="!!!",F804="NEW"),"",COUNTBLANK(OFFSET(A$1,,,SUMPRODUCT(MAX(ROW(E$2:E789)*(E804=E$2:E789)))))-COUNTBLANK(OFFSET(A$1,,,SUMPRODUCT(MAX(ROW(E$1:E788)*(E804=E$1:E788))))))</f>
        <v>0</v>
      </c>
      <c r="K804" s="26" t="n">
        <f aca="false">IF(OR(E804="",E804="!!!",F804="NEW"),"",INDEX(J$1:J788,SUMPRODUCT(MAX(ROW(E$1:E788)*(E804=E$1:E788)))))</f>
        <v>0</v>
      </c>
      <c r="L804" s="27"/>
    </row>
    <row r="805" customFormat="false" ht="15" hidden="false" customHeight="false" outlineLevel="0" collapsed="false">
      <c r="A805" s="20" t="s">
        <v>563</v>
      </c>
      <c r="B805" s="28" t="s">
        <v>250</v>
      </c>
      <c r="C805" s="28" t="s">
        <v>289</v>
      </c>
      <c r="D805" s="28" t="s">
        <v>198</v>
      </c>
      <c r="E805" s="21" t="s">
        <v>564</v>
      </c>
      <c r="F805" s="22" t="s">
        <v>200</v>
      </c>
      <c r="G805" s="23" t="s">
        <v>201</v>
      </c>
      <c r="H805" s="24"/>
      <c r="I805" s="25" t="str">
        <f aca="false">IF(OR(E805="",E805="!!!",F805="NEW"),"",INDEX(B$2:B789,-1+SUMPRODUCT(MAX(ROW(E$2:E789)*(E805=E$2:E789)))))</f>
        <v/>
      </c>
      <c r="J805" s="26" t="str">
        <f aca="true">IF(OR(E805="",E805="!!!",F805="NEW"),"",COUNTBLANK(OFFSET(A$1,,,SUMPRODUCT(MAX(ROW(E$2:E790)*(E805=E$2:E790)))))-COUNTBLANK(OFFSET(A$1,,,SUMPRODUCT(MAX(ROW(E$1:E789)*(E805=E$1:E789))))))</f>
        <v/>
      </c>
      <c r="K805" s="26" t="str">
        <f aca="false">IF(OR(E805="",E805="!!!",F805="NEW"),"",INDEX(J$1:J789,SUMPRODUCT(MAX(ROW(E$1:E789)*(E805=E$1:E789)))))</f>
        <v/>
      </c>
      <c r="L805" s="27"/>
    </row>
    <row r="806" customFormat="false" ht="15" hidden="false" customHeight="false" outlineLevel="0" collapsed="false">
      <c r="A806" s="20" t="s">
        <v>213</v>
      </c>
      <c r="E806" s="21"/>
      <c r="F806" s="22"/>
      <c r="G806" s="23"/>
      <c r="H806" s="24"/>
      <c r="I806" s="25" t="str">
        <f aca="false">IF(OR(E806="",E806="!!!",F806="NEW"),"",INDEX(B$2:B790,-1+SUMPRODUCT(MAX(ROW(E$2:E790)*(E806=E$2:E790)))))</f>
        <v/>
      </c>
      <c r="J806" s="26" t="str">
        <f aca="true">IF(OR(E806="",E806="!!!",F806="NEW"),"",COUNTBLANK(OFFSET(A$1,,,SUMPRODUCT(MAX(ROW(E$2:E791)*(E806=E$2:E791)))))-COUNTBLANK(OFFSET(A$1,,,SUMPRODUCT(MAX(ROW(E$1:E790)*(E806=E$1:E790))))))</f>
        <v/>
      </c>
      <c r="K806" s="26" t="str">
        <f aca="false">IF(OR(E806="",E806="!!!",F806="NEW"),"",INDEX(J$1:J790,SUMPRODUCT(MAX(ROW(E$1:E790)*(E806=E$1:E790)))))</f>
        <v/>
      </c>
      <c r="L806" s="27"/>
    </row>
    <row r="807" customFormat="false" ht="15" hidden="false" customHeight="false" outlineLevel="0" collapsed="false">
      <c r="A807" s="20" t="s">
        <v>532</v>
      </c>
      <c r="B807" s="28" t="s">
        <v>219</v>
      </c>
      <c r="C807" s="28" t="s">
        <v>287</v>
      </c>
      <c r="D807" s="28" t="s">
        <v>198</v>
      </c>
      <c r="E807" s="21" t="s">
        <v>372</v>
      </c>
      <c r="F807" s="22" t="s">
        <v>226</v>
      </c>
      <c r="G807" s="23" t="s">
        <v>227</v>
      </c>
      <c r="H807" s="24"/>
      <c r="I807" s="25" t="str">
        <f aca="false">IF(OR(E807="",E807="!!!",F807="NEW"),"",INDEX(B$2:B791,-1+SUMPRODUCT(MAX(ROW(E$2:E791)*(E807=E$2:E791)))))</f>
        <v>SBJ_4</v>
      </c>
      <c r="J807" s="26" t="n">
        <f aca="true">IF(OR(E807="",E807="!!!",F807="NEW"),"",COUNTBLANK(OFFSET(A$1,,,SUMPRODUCT(MAX(ROW(E$2:E792)*(E807=E$2:E792)))))-COUNTBLANK(OFFSET(A$1,,,SUMPRODUCT(MAX(ROW(E$1:E791)*(E807=E$1:E791))))))</f>
        <v>0</v>
      </c>
      <c r="K807" s="26" t="n">
        <f aca="false">IF(OR(E807="",E807="!!!",F807="NEW"),"",INDEX(J$1:J791,SUMPRODUCT(MAX(ROW(E$1:E791)*(E807=E$1:E791)))))</f>
        <v>0</v>
      </c>
      <c r="L807" s="27"/>
    </row>
    <row r="808" customFormat="false" ht="15" hidden="false" customHeight="false" outlineLevel="0" collapsed="false">
      <c r="A808" s="20" t="s">
        <v>434</v>
      </c>
      <c r="B808" s="28" t="s">
        <v>215</v>
      </c>
      <c r="C808" s="28" t="s">
        <v>289</v>
      </c>
      <c r="D808" s="28" t="s">
        <v>198</v>
      </c>
      <c r="E808" s="21" t="s">
        <v>565</v>
      </c>
      <c r="F808" s="22" t="s">
        <v>200</v>
      </c>
      <c r="G808" s="23" t="s">
        <v>212</v>
      </c>
      <c r="H808" s="24"/>
      <c r="I808" s="25" t="str">
        <f aca="false">IF(OR(E808="",E808="!!!",F808="NEW"),"",INDEX(B$2:B792,-1+SUMPRODUCT(MAX(ROW(E$2:E792)*(E808=E$2:E792)))))</f>
        <v/>
      </c>
      <c r="J808" s="26" t="str">
        <f aca="true">IF(OR(E808="",E808="!!!",F808="NEW"),"",COUNTBLANK(OFFSET(A$1,,,SUMPRODUCT(MAX(ROW(E$2:E793)*(E808=E$2:E793)))))-COUNTBLANK(OFFSET(A$1,,,SUMPRODUCT(MAX(ROW(E$1:E792)*(E808=E$1:E792))))))</f>
        <v/>
      </c>
      <c r="K808" s="26" t="str">
        <f aca="false">IF(OR(E808="",E808="!!!",F808="NEW"),"",INDEX(J$1:J792,SUMPRODUCT(MAX(ROW(E$1:E792)*(E808=E$1:E792)))))</f>
        <v/>
      </c>
      <c r="L808" s="27"/>
    </row>
    <row r="809" customFormat="false" ht="15" hidden="false" customHeight="false" outlineLevel="0" collapsed="false">
      <c r="A809" s="20" t="s">
        <v>566</v>
      </c>
      <c r="E809" s="21"/>
      <c r="F809" s="22"/>
      <c r="G809" s="23"/>
      <c r="H809" s="24"/>
      <c r="I809" s="25" t="str">
        <f aca="false">IF(OR(E809="",E809="!!!",F809="NEW"),"",INDEX(B$2:B793,-1+SUMPRODUCT(MAX(ROW(E$2:E793)*(E809=E$2:E793)))))</f>
        <v/>
      </c>
      <c r="J809" s="26" t="str">
        <f aca="true">IF(OR(E809="",E809="!!!",F809="NEW"),"",COUNTBLANK(OFFSET(A$1,,,SUMPRODUCT(MAX(ROW(E$2:E794)*(E809=E$2:E794)))))-COUNTBLANK(OFFSET(A$1,,,SUMPRODUCT(MAX(ROW(E$1:E793)*(E809=E$1:E793))))))</f>
        <v/>
      </c>
      <c r="K809" s="26" t="str">
        <f aca="false">IF(OR(E809="",E809="!!!",F809="NEW"),"",INDEX(J$1:J793,SUMPRODUCT(MAX(ROW(E$1:E793)*(E809=E$1:E793)))))</f>
        <v/>
      </c>
      <c r="L809" s="27"/>
    </row>
    <row r="810" customFormat="false" ht="15" hidden="false" customHeight="false" outlineLevel="0" collapsed="false">
      <c r="A810" s="20" t="s">
        <v>203</v>
      </c>
      <c r="E810" s="21"/>
      <c r="F810" s="22"/>
      <c r="G810" s="23"/>
      <c r="H810" s="24"/>
      <c r="I810" s="25" t="str">
        <f aca="false">IF(OR(E810="",E810="!!!",F810="NEW"),"",INDEX(B$2:B794,-1+SUMPRODUCT(MAX(ROW(E$2:E794)*(E810=E$2:E794)))))</f>
        <v/>
      </c>
      <c r="J810" s="26" t="str">
        <f aca="true">IF(OR(E810="",E810="!!!",F810="NEW"),"",COUNTBLANK(OFFSET(A$1,,,SUMPRODUCT(MAX(ROW(E$2:E795)*(E810=E$2:E795)))))-COUNTBLANK(OFFSET(A$1,,,SUMPRODUCT(MAX(ROW(E$1:E794)*(E810=E$1:E794))))))</f>
        <v/>
      </c>
      <c r="K810" s="26" t="str">
        <f aca="false">IF(OR(E810="",E810="!!!",F810="NEW"),"",INDEX(J$1:J794,SUMPRODUCT(MAX(ROW(E$1:E794)*(E810=E$1:E794)))))</f>
        <v/>
      </c>
      <c r="L810" s="27"/>
    </row>
    <row r="811" customFormat="false" ht="15" hidden="false" customHeight="false" outlineLevel="0" collapsed="false">
      <c r="A811" s="20" t="s">
        <v>33</v>
      </c>
      <c r="E811" s="21"/>
      <c r="F811" s="22"/>
      <c r="G811" s="23"/>
      <c r="H811" s="24"/>
      <c r="I811" s="25" t="str">
        <f aca="false">IF(OR(E811="",E811="!!!",F811="NEW"),"",INDEX(B$2:B795,-1+SUMPRODUCT(MAX(ROW(E$2:E795)*(E811=E$2:E795)))))</f>
        <v/>
      </c>
      <c r="J811" s="26" t="str">
        <f aca="true">IF(OR(E811="",E811="!!!",F811="NEW"),"",COUNTBLANK(OFFSET(A$1,,,SUMPRODUCT(MAX(ROW(E$2:E796)*(E811=E$2:E796)))))-COUNTBLANK(OFFSET(A$1,,,SUMPRODUCT(MAX(ROW(E$1:E795)*(E811=E$1:E795))))))</f>
        <v/>
      </c>
      <c r="K811" s="26" t="str">
        <f aca="false">IF(OR(E811="",E811="!!!",F811="NEW"),"",INDEX(J$1:J795,SUMPRODUCT(MAX(ROW(E$1:E795)*(E811=E$1:E795)))))</f>
        <v/>
      </c>
      <c r="L811" s="27"/>
    </row>
    <row r="812" customFormat="false" ht="15" hidden="false" customHeight="false" outlineLevel="0" collapsed="false">
      <c r="A812" s="20" t="s">
        <v>244</v>
      </c>
      <c r="E812" s="21"/>
      <c r="F812" s="22"/>
      <c r="G812" s="23"/>
      <c r="H812" s="24"/>
      <c r="I812" s="25" t="str">
        <f aca="false">IF(OR(E812="",E812="!!!",F812="NEW"),"",INDEX(B$2:B796,-1+SUMPRODUCT(MAX(ROW(E$2:E796)*(E812=E$2:E796)))))</f>
        <v/>
      </c>
      <c r="J812" s="26" t="str">
        <f aca="true">IF(OR(E812="",E812="!!!",F812="NEW"),"",COUNTBLANK(OFFSET(A$1,,,SUMPRODUCT(MAX(ROW(E$2:E797)*(E812=E$2:E797)))))-COUNTBLANK(OFFSET(A$1,,,SUMPRODUCT(MAX(ROW(E$1:E796)*(E812=E$1:E796))))))</f>
        <v/>
      </c>
      <c r="K812" s="26" t="str">
        <f aca="false">IF(OR(E812="",E812="!!!",F812="NEW"),"",INDEX(J$1:J796,SUMPRODUCT(MAX(ROW(E$1:E796)*(E812=E$1:E796)))))</f>
        <v/>
      </c>
      <c r="L812" s="27"/>
    </row>
    <row r="813" customFormat="false" ht="15" hidden="false" customHeight="false" outlineLevel="0" collapsed="false">
      <c r="A813" s="20"/>
      <c r="E813" s="21"/>
      <c r="F813" s="22"/>
      <c r="G813" s="23"/>
      <c r="H813" s="24"/>
      <c r="I813" s="25" t="str">
        <f aca="false">IF(OR(E813="",E813="!!!",F813="NEW"),"",INDEX(B$2:B797,-1+SUMPRODUCT(MAX(ROW(E$2:E797)*(E813=E$2:E797)))))</f>
        <v/>
      </c>
      <c r="J813" s="26" t="str">
        <f aca="true">IF(OR(E813="",E813="!!!",F813="NEW"),"",COUNTBLANK(OFFSET(A$1,,,SUMPRODUCT(MAX(ROW(E$2:E798)*(E813=E$2:E798)))))-COUNTBLANK(OFFSET(A$1,,,SUMPRODUCT(MAX(ROW(E$1:E797)*(E813=E$1:E797))))))</f>
        <v/>
      </c>
      <c r="K813" s="26" t="str">
        <f aca="false">IF(OR(E813="",E813="!!!",F813="NEW"),"",INDEX(J$1:J797,SUMPRODUCT(MAX(ROW(E$1:E797)*(E813=E$1:E797)))))</f>
        <v/>
      </c>
      <c r="L813" s="27"/>
    </row>
    <row r="814" customFormat="false" ht="15" hidden="false" customHeight="false" outlineLevel="0" collapsed="false">
      <c r="A814" s="20" t="s">
        <v>567</v>
      </c>
      <c r="E814" s="21"/>
      <c r="F814" s="22"/>
      <c r="G814" s="23"/>
      <c r="H814" s="24"/>
      <c r="I814" s="25" t="str">
        <f aca="false">IF(OR(E814="",E814="!!!",F814="NEW"),"",INDEX(B$2:B799,-1+SUMPRODUCT(MAX(ROW(E$2:E799)*(E814=E$2:E799)))))</f>
        <v/>
      </c>
      <c r="J814" s="26" t="str">
        <f aca="true">IF(OR(E814="",E814="!!!",F814="NEW"),"",COUNTBLANK(OFFSET(A$1,,,SUMPRODUCT(MAX(ROW(E$2:E800)*(E814=E$2:E800)))))-COUNTBLANK(OFFSET(A$1,,,SUMPRODUCT(MAX(ROW(E$1:E799)*(E814=E$1:E799))))))</f>
        <v/>
      </c>
      <c r="K814" s="26" t="str">
        <f aca="false">IF(OR(E814="",E814="!!!",F814="NEW"),"",INDEX(J$1:J799,SUMPRODUCT(MAX(ROW(E$1:E799)*(E814=E$1:E799)))))</f>
        <v/>
      </c>
      <c r="L814" s="27"/>
    </row>
    <row r="815" customFormat="false" ht="15" hidden="false" customHeight="false" outlineLevel="0" collapsed="false">
      <c r="A815" s="20" t="s">
        <v>410</v>
      </c>
      <c r="E815" s="21"/>
      <c r="F815" s="22"/>
      <c r="G815" s="23"/>
      <c r="H815" s="24"/>
      <c r="I815" s="25" t="str">
        <f aca="false">IF(OR(E815="",E815="!!!",F815="NEW"),"",INDEX(B$2:B800,-1+SUMPRODUCT(MAX(ROW(E$2:E800)*(E815=E$2:E800)))))</f>
        <v/>
      </c>
      <c r="J815" s="26" t="str">
        <f aca="true">IF(OR(E815="",E815="!!!",F815="NEW"),"",COUNTBLANK(OFFSET(A$1,,,SUMPRODUCT(MAX(ROW(E$2:E801)*(E815=E$2:E801)))))-COUNTBLANK(OFFSET(A$1,,,SUMPRODUCT(MAX(ROW(E$1:E800)*(E815=E$1:E800))))))</f>
        <v/>
      </c>
      <c r="K815" s="26" t="str">
        <f aca="false">IF(OR(E815="",E815="!!!",F815="NEW"),"",INDEX(J$1:J800,SUMPRODUCT(MAX(ROW(E$1:E800)*(E815=E$1:E800)))))</f>
        <v/>
      </c>
      <c r="L815" s="27"/>
    </row>
    <row r="816" customFormat="false" ht="15" hidden="false" customHeight="false" outlineLevel="0" collapsed="false">
      <c r="A816" s="20" t="s">
        <v>209</v>
      </c>
      <c r="E816" s="21"/>
      <c r="F816" s="22"/>
      <c r="G816" s="23"/>
      <c r="H816" s="24"/>
      <c r="I816" s="25" t="str">
        <f aca="false">IF(OR(E816="",E816="!!!",F816="NEW"),"",INDEX(B$2:B801,-1+SUMPRODUCT(MAX(ROW(E$2:E801)*(E816=E$2:E801)))))</f>
        <v/>
      </c>
      <c r="J816" s="26" t="str">
        <f aca="true">IF(OR(E816="",E816="!!!",F816="NEW"),"",COUNTBLANK(OFFSET(A$1,,,SUMPRODUCT(MAX(ROW(E$2:E802)*(E816=E$2:E802)))))-COUNTBLANK(OFFSET(A$1,,,SUMPRODUCT(MAX(ROW(E$1:E801)*(E816=E$1:E801))))))</f>
        <v/>
      </c>
      <c r="K816" s="26" t="str">
        <f aca="false">IF(OR(E816="",E816="!!!",F816="NEW"),"",INDEX(J$1:J801,SUMPRODUCT(MAX(ROW(E$1:E801)*(E816=E$1:E801)))))</f>
        <v/>
      </c>
      <c r="L816" s="27"/>
    </row>
    <row r="817" customFormat="false" ht="15" hidden="false" customHeight="false" outlineLevel="0" collapsed="false">
      <c r="A817" s="20" t="s">
        <v>522</v>
      </c>
      <c r="B817" s="28" t="s">
        <v>196</v>
      </c>
      <c r="C817" s="28" t="s">
        <v>223</v>
      </c>
      <c r="D817" s="28" t="s">
        <v>198</v>
      </c>
      <c r="E817" s="21" t="s">
        <v>372</v>
      </c>
      <c r="F817" s="22" t="s">
        <v>226</v>
      </c>
      <c r="G817" s="23" t="s">
        <v>247</v>
      </c>
      <c r="H817" s="24" t="s">
        <v>189</v>
      </c>
      <c r="I817" s="25" t="str">
        <f aca="false">IF(OR(E817="",E817="!!!",F817="NEW"),"",INDEX(B$2:B802,-1+SUMPRODUCT(MAX(ROW(E$2:E802)*(E817=E$2:E802)))))</f>
        <v>SBJ_4</v>
      </c>
      <c r="J817" s="26" t="n">
        <f aca="true">IF(OR(E817="",E817="!!!",F817="NEW"),"",COUNTBLANK(OFFSET(A$1,,,SUMPRODUCT(MAX(ROW(E$2:E803)*(E817=E$2:E803)))))-COUNTBLANK(OFFSET(A$1,,,SUMPRODUCT(MAX(ROW(E$1:E802)*(E817=E$1:E802))))))</f>
        <v>0</v>
      </c>
      <c r="K817" s="26" t="n">
        <f aca="false">IF(OR(E817="",E817="!!!",F817="NEW"),"",INDEX(J$1:J802,SUMPRODUCT(MAX(ROW(E$1:E802)*(E817=E$1:E802)))))</f>
        <v>0</v>
      </c>
      <c r="L817" s="27"/>
    </row>
    <row r="818" customFormat="false" ht="15" hidden="false" customHeight="false" outlineLevel="0" collapsed="false">
      <c r="A818" s="20" t="s">
        <v>209</v>
      </c>
      <c r="E818" s="21"/>
      <c r="F818" s="22"/>
      <c r="G818" s="23"/>
      <c r="H818" s="24"/>
      <c r="I818" s="25" t="str">
        <f aca="false">IF(OR(E818="",E818="!!!",F818="NEW"),"",INDEX(B$2:B803,-1+SUMPRODUCT(MAX(ROW(E$2:E803)*(E818=E$2:E803)))))</f>
        <v/>
      </c>
      <c r="J818" s="26" t="str">
        <f aca="true">IF(OR(E818="",E818="!!!",F818="NEW"),"",COUNTBLANK(OFFSET(A$1,,,SUMPRODUCT(MAX(ROW(E$2:E804)*(E818=E$2:E804)))))-COUNTBLANK(OFFSET(A$1,,,SUMPRODUCT(MAX(ROW(E$1:E803)*(E818=E$1:E803))))))</f>
        <v/>
      </c>
      <c r="K818" s="26" t="str">
        <f aca="false">IF(OR(E818="",E818="!!!",F818="NEW"),"",INDEX(J$1:J803,SUMPRODUCT(MAX(ROW(E$1:E803)*(E818=E$1:E803)))))</f>
        <v/>
      </c>
      <c r="L818" s="27"/>
    </row>
    <row r="819" customFormat="false" ht="15" hidden="false" customHeight="false" outlineLevel="0" collapsed="false">
      <c r="A819" s="20" t="s">
        <v>137</v>
      </c>
      <c r="E819" s="21"/>
      <c r="F819" s="22"/>
      <c r="G819" s="23"/>
      <c r="H819" s="24"/>
      <c r="I819" s="25" t="str">
        <f aca="false">IF(OR(E819="",E819="!!!",F819="NEW"),"",INDEX(B$2:B804,-1+SUMPRODUCT(MAX(ROW(E$2:E804)*(E819=E$2:E804)))))</f>
        <v/>
      </c>
      <c r="J819" s="26" t="str">
        <f aca="true">IF(OR(E819="",E819="!!!",F819="NEW"),"",COUNTBLANK(OFFSET(A$1,,,SUMPRODUCT(MAX(ROW(E$2:E805)*(E819=E$2:E805)))))-COUNTBLANK(OFFSET(A$1,,,SUMPRODUCT(MAX(ROW(E$1:E804)*(E819=E$1:E804))))))</f>
        <v/>
      </c>
      <c r="K819" s="26" t="str">
        <f aca="false">IF(OR(E819="",E819="!!!",F819="NEW"),"",INDEX(J$1:J804,SUMPRODUCT(MAX(ROW(E$1:E804)*(E819=E$1:E804)))))</f>
        <v/>
      </c>
      <c r="L819" s="27"/>
    </row>
    <row r="820" customFormat="false" ht="15" hidden="false" customHeight="false" outlineLevel="0" collapsed="false">
      <c r="A820" s="20" t="s">
        <v>470</v>
      </c>
      <c r="E820" s="21"/>
      <c r="F820" s="22"/>
      <c r="G820" s="23"/>
      <c r="H820" s="24"/>
      <c r="I820" s="25" t="str">
        <f aca="false">IF(OR(E820="",E820="!!!",F820="NEW"),"",INDEX(B$2:B805,-1+SUMPRODUCT(MAX(ROW(E$2:E805)*(E820=E$2:E805)))))</f>
        <v/>
      </c>
      <c r="J820" s="26" t="str">
        <f aca="true">IF(OR(E820="",E820="!!!",F820="NEW"),"",COUNTBLANK(OFFSET(A$1,,,SUMPRODUCT(MAX(ROW(E$2:E806)*(E820=E$2:E806)))))-COUNTBLANK(OFFSET(A$1,,,SUMPRODUCT(MAX(ROW(E$1:E805)*(E820=E$1:E805))))))</f>
        <v/>
      </c>
      <c r="K820" s="26" t="str">
        <f aca="false">IF(OR(E820="",E820="!!!",F820="NEW"),"",INDEX(J$1:J805,SUMPRODUCT(MAX(ROW(E$1:E805)*(E820=E$1:E805)))))</f>
        <v/>
      </c>
      <c r="L820" s="27"/>
    </row>
    <row r="821" customFormat="false" ht="15" hidden="false" customHeight="false" outlineLevel="0" collapsed="false">
      <c r="A821" s="20" t="s">
        <v>286</v>
      </c>
      <c r="B821" s="28" t="s">
        <v>215</v>
      </c>
      <c r="C821" s="28" t="s">
        <v>287</v>
      </c>
      <c r="D821" s="28" t="s">
        <v>198</v>
      </c>
      <c r="E821" s="21" t="s">
        <v>559</v>
      </c>
      <c r="F821" s="22" t="s">
        <v>226</v>
      </c>
      <c r="G821" s="23" t="s">
        <v>247</v>
      </c>
      <c r="H821" s="24"/>
      <c r="I821" s="25" t="str">
        <f aca="false">IF(OR(E821="",E821="!!!",F821="NEW"),"",INDEX(B$2:B806,-1+SUMPRODUCT(MAX(ROW(E$2:E806)*(E821=E$2:E806)))))</f>
        <v>other_6</v>
      </c>
      <c r="J821" s="26" t="n">
        <f aca="true">IF(OR(E821="",E821="!!!",F821="NEW"),"",COUNTBLANK(OFFSET(A$1,,,SUMPRODUCT(MAX(ROW(E$2:E807)*(E821=E$2:E807)))))-COUNTBLANK(OFFSET(A$1,,,SUMPRODUCT(MAX(ROW(E$1:E806)*(E821=E$1:E806))))))</f>
        <v>0</v>
      </c>
      <c r="K821" s="26" t="str">
        <f aca="false">IF(OR(E821="",E821="!!!",F821="NEW"),"",INDEX(J$1:J806,SUMPRODUCT(MAX(ROW(E$1:E806)*(E821=E$1:E806)))))</f>
        <v/>
      </c>
      <c r="L821" s="27"/>
    </row>
    <row r="822" customFormat="false" ht="15" hidden="false" customHeight="false" outlineLevel="0" collapsed="false">
      <c r="A822" s="20" t="s">
        <v>568</v>
      </c>
      <c r="B822" s="28" t="s">
        <v>206</v>
      </c>
      <c r="C822" s="28" t="s">
        <v>289</v>
      </c>
      <c r="D822" s="28" t="s">
        <v>198</v>
      </c>
      <c r="E822" s="21" t="s">
        <v>569</v>
      </c>
      <c r="F822" s="22" t="s">
        <v>200</v>
      </c>
      <c r="G822" s="23" t="s">
        <v>212</v>
      </c>
      <c r="H822" s="24"/>
      <c r="I822" s="25" t="str">
        <f aca="false">IF(OR(E822="",E822="!!!",F822="NEW"),"",INDEX(B$2:B807,-1+SUMPRODUCT(MAX(ROW(E$2:E807)*(E822=E$2:E807)))))</f>
        <v/>
      </c>
      <c r="J822" s="26" t="str">
        <f aca="true">IF(OR(E822="",E822="!!!",F822="NEW"),"",COUNTBLANK(OFFSET(A$1,,,SUMPRODUCT(MAX(ROW(E$2:E808)*(E822=E$2:E808)))))-COUNTBLANK(OFFSET(A$1,,,SUMPRODUCT(MAX(ROW(E$1:E807)*(E822=E$1:E807))))))</f>
        <v/>
      </c>
      <c r="K822" s="26" t="str">
        <f aca="false">IF(OR(E822="",E822="!!!",F822="NEW"),"",INDEX(J$1:J807,SUMPRODUCT(MAX(ROW(E$1:E807)*(E822=E$1:E807)))))</f>
        <v/>
      </c>
      <c r="L822" s="27"/>
    </row>
    <row r="823" customFormat="false" ht="15" hidden="false" customHeight="false" outlineLevel="0" collapsed="false">
      <c r="A823" s="20" t="s">
        <v>209</v>
      </c>
      <c r="E823" s="21"/>
      <c r="F823" s="22"/>
      <c r="G823" s="23"/>
      <c r="H823" s="24"/>
      <c r="I823" s="25" t="str">
        <f aca="false">IF(OR(E823="",E823="!!!",F823="NEW"),"",INDEX(B$2:B808,-1+SUMPRODUCT(MAX(ROW(E$2:E808)*(E823=E$2:E808)))))</f>
        <v/>
      </c>
      <c r="J823" s="26" t="str">
        <f aca="true">IF(OR(E823="",E823="!!!",F823="NEW"),"",COUNTBLANK(OFFSET(A$1,,,SUMPRODUCT(MAX(ROW(E$2:E809)*(E823=E$2:E809)))))-COUNTBLANK(OFFSET(A$1,,,SUMPRODUCT(MAX(ROW(E$1:E808)*(E823=E$1:E808))))))</f>
        <v/>
      </c>
      <c r="K823" s="26" t="str">
        <f aca="false">IF(OR(E823="",E823="!!!",F823="NEW"),"",INDEX(J$1:J808,SUMPRODUCT(MAX(ROW(E$1:E808)*(E823=E$1:E808)))))</f>
        <v/>
      </c>
      <c r="L823" s="27"/>
    </row>
    <row r="824" customFormat="false" ht="15" hidden="false" customHeight="false" outlineLevel="0" collapsed="false">
      <c r="A824" s="20" t="s">
        <v>213</v>
      </c>
      <c r="E824" s="21"/>
      <c r="F824" s="22"/>
      <c r="G824" s="23"/>
      <c r="H824" s="24"/>
      <c r="I824" s="25" t="str">
        <f aca="false">IF(OR(E824="",E824="!!!",F824="NEW"),"",INDEX(B$2:B809,-1+SUMPRODUCT(MAX(ROW(E$2:E809)*(E824=E$2:E809)))))</f>
        <v/>
      </c>
      <c r="J824" s="26" t="str">
        <f aca="true">IF(OR(E824="",E824="!!!",F824="NEW"),"",COUNTBLANK(OFFSET(A$1,,,SUMPRODUCT(MAX(ROW(E$2:E810)*(E824=E$2:E810)))))-COUNTBLANK(OFFSET(A$1,,,SUMPRODUCT(MAX(ROW(E$1:E809)*(E824=E$1:E809))))))</f>
        <v/>
      </c>
      <c r="K824" s="26" t="str">
        <f aca="false">IF(OR(E824="",E824="!!!",F824="NEW"),"",INDEX(J$1:J809,SUMPRODUCT(MAX(ROW(E$1:E809)*(E824=E$1:E809)))))</f>
        <v/>
      </c>
      <c r="L824" s="27"/>
    </row>
    <row r="825" customFormat="false" ht="15" hidden="false" customHeight="false" outlineLevel="0" collapsed="false">
      <c r="A825" s="20" t="s">
        <v>570</v>
      </c>
      <c r="B825" s="28" t="s">
        <v>215</v>
      </c>
      <c r="C825" s="28" t="s">
        <v>251</v>
      </c>
      <c r="E825" s="21"/>
      <c r="F825" s="22"/>
      <c r="G825" s="23"/>
      <c r="H825" s="24"/>
      <c r="I825" s="25" t="str">
        <f aca="false">IF(OR(E825="",E825="!!!",F825="NEW"),"",INDEX(B$2:B810,-1+SUMPRODUCT(MAX(ROW(E$2:E810)*(E825=E$2:E810)))))</f>
        <v/>
      </c>
      <c r="J825" s="26" t="str">
        <f aca="true">IF(OR(E825="",E825="!!!",F825="NEW"),"",COUNTBLANK(OFFSET(A$1,,,SUMPRODUCT(MAX(ROW(E$2:E811)*(E825=E$2:E811)))))-COUNTBLANK(OFFSET(A$1,,,SUMPRODUCT(MAX(ROW(E$1:E810)*(E825=E$1:E810))))))</f>
        <v/>
      </c>
      <c r="K825" s="26" t="str">
        <f aca="false">IF(OR(E825="",E825="!!!",F825="NEW"),"",INDEX(J$1:J810,SUMPRODUCT(MAX(ROW(E$1:E810)*(E825=E$1:E810)))))</f>
        <v/>
      </c>
      <c r="L825" s="27"/>
    </row>
    <row r="826" customFormat="false" ht="15" hidden="false" customHeight="false" outlineLevel="0" collapsed="false">
      <c r="A826" s="20" t="s">
        <v>203</v>
      </c>
      <c r="E826" s="21"/>
      <c r="F826" s="22"/>
      <c r="G826" s="23"/>
      <c r="H826" s="24"/>
      <c r="I826" s="25" t="str">
        <f aca="false">IF(OR(E826="",E826="!!!",F826="NEW"),"",INDEX(B$2:B811,-1+SUMPRODUCT(MAX(ROW(E$2:E811)*(E826=E$2:E811)))))</f>
        <v/>
      </c>
      <c r="J826" s="26" t="str">
        <f aca="true">IF(OR(E826="",E826="!!!",F826="NEW"),"",COUNTBLANK(OFFSET(A$1,,,SUMPRODUCT(MAX(ROW(E$2:E812)*(E826=E$2:E812)))))-COUNTBLANK(OFFSET(A$1,,,SUMPRODUCT(MAX(ROW(E$1:E811)*(E826=E$1:E811))))))</f>
        <v/>
      </c>
      <c r="K826" s="26" t="str">
        <f aca="false">IF(OR(E826="",E826="!!!",F826="NEW"),"",INDEX(J$1:J811,SUMPRODUCT(MAX(ROW(E$1:E811)*(E826=E$1:E811)))))</f>
        <v/>
      </c>
      <c r="L826" s="27"/>
    </row>
    <row r="827" customFormat="false" ht="15" hidden="false" customHeight="false" outlineLevel="0" collapsed="false">
      <c r="A827" s="20" t="s">
        <v>532</v>
      </c>
      <c r="B827" s="28" t="s">
        <v>219</v>
      </c>
      <c r="C827" s="28" t="s">
        <v>287</v>
      </c>
      <c r="D827" s="28" t="s">
        <v>198</v>
      </c>
      <c r="E827" s="21" t="s">
        <v>372</v>
      </c>
      <c r="F827" s="22" t="s">
        <v>226</v>
      </c>
      <c r="G827" s="23" t="s">
        <v>227</v>
      </c>
      <c r="H827" s="24"/>
      <c r="I827" s="25" t="str">
        <f aca="false">IF(OR(E827="",E827="!!!",F827="NEW"),"",INDEX(B$2:B812,-1+SUMPRODUCT(MAX(ROW(E$2:E812)*(E827=E$2:E812)))))</f>
        <v>other_3</v>
      </c>
      <c r="J827" s="26" t="n">
        <f aca="true">IF(OR(E827="",E827="!!!",F827="NEW"),"",COUNTBLANK(OFFSET(A$1,,,SUMPRODUCT(MAX(ROW(E$2:E813)*(E827=E$2:E813)))))-COUNTBLANK(OFFSET(A$1,,,SUMPRODUCT(MAX(ROW(E$1:E812)*(E827=E$1:E812))))))</f>
        <v>0</v>
      </c>
      <c r="K827" s="26" t="n">
        <f aca="false">IF(OR(E827="",E827="!!!",F827="NEW"),"",INDEX(J$1:J812,SUMPRODUCT(MAX(ROW(E$1:E812)*(E827=E$1:E812)))))</f>
        <v>0</v>
      </c>
      <c r="L827" s="27"/>
    </row>
    <row r="828" customFormat="false" ht="15" hidden="false" customHeight="false" outlineLevel="0" collapsed="false">
      <c r="A828" s="20" t="s">
        <v>571</v>
      </c>
      <c r="B828" s="28" t="s">
        <v>215</v>
      </c>
      <c r="C828" s="28" t="s">
        <v>289</v>
      </c>
      <c r="D828" s="28" t="s">
        <v>198</v>
      </c>
      <c r="E828" s="21" t="s">
        <v>511</v>
      </c>
      <c r="F828" s="22" t="s">
        <v>226</v>
      </c>
      <c r="G828" s="23" t="s">
        <v>201</v>
      </c>
      <c r="H828" s="24"/>
      <c r="I828" s="25" t="str">
        <f aca="false">IF(OR(E828="",E828="!!!",F828="NEW"),"",INDEX(B$2:B813,-1+SUMPRODUCT(MAX(ROW(E$2:E813)*(E828=E$2:E813)))))</f>
        <v>other_3</v>
      </c>
      <c r="J828" s="26" t="n">
        <f aca="true">IF(OR(E828="",E828="!!!",F828="NEW"),"",COUNTBLANK(OFFSET(A$1,,,SUMPRODUCT(MAX(ROW(E$2:E814)*(E828=E$2:E814)))))-COUNTBLANK(OFFSET(A$1,,,SUMPRODUCT(MAX(ROW(E$1:E813)*(E828=E$1:E813))))))</f>
        <v>0</v>
      </c>
      <c r="K828" s="26" t="n">
        <f aca="false">IF(OR(E828="",E828="!!!",F828="NEW"),"",INDEX(J$1:J813,SUMPRODUCT(MAX(ROW(E$1:E813)*(E828=E$1:E813)))))</f>
        <v>0</v>
      </c>
      <c r="L828" s="27"/>
    </row>
    <row r="829" customFormat="false" ht="15" hidden="false" customHeight="false" outlineLevel="0" collapsed="false">
      <c r="A829" s="20" t="s">
        <v>203</v>
      </c>
      <c r="E829" s="21"/>
      <c r="F829" s="22"/>
      <c r="G829" s="23"/>
      <c r="H829" s="24"/>
      <c r="I829" s="25" t="str">
        <f aca="false">IF(OR(E829="",E829="!!!",F829="NEW"),"",INDEX(B$2:B814,-1+SUMPRODUCT(MAX(ROW(E$2:E814)*(E829=E$2:E814)))))</f>
        <v/>
      </c>
      <c r="J829" s="26" t="str">
        <f aca="true">IF(OR(E829="",E829="!!!",F829="NEW"),"",COUNTBLANK(OFFSET(A$1,,,SUMPRODUCT(MAX(ROW(E$2:E815)*(E829=E$2:E815)))))-COUNTBLANK(OFFSET(A$1,,,SUMPRODUCT(MAX(ROW(E$1:E814)*(E829=E$1:E814))))))</f>
        <v/>
      </c>
      <c r="K829" s="26" t="str">
        <f aca="false">IF(OR(E829="",E829="!!!",F829="NEW"),"",INDEX(J$1:J814,SUMPRODUCT(MAX(ROW(E$1:E814)*(E829=E$1:E814)))))</f>
        <v/>
      </c>
      <c r="L829" s="27"/>
    </row>
    <row r="830" customFormat="false" ht="15" hidden="false" customHeight="false" outlineLevel="0" collapsed="false">
      <c r="A830" s="20" t="s">
        <v>13</v>
      </c>
      <c r="E830" s="21"/>
      <c r="F830" s="22"/>
      <c r="G830" s="23"/>
      <c r="H830" s="24"/>
      <c r="I830" s="25" t="str">
        <f aca="false">IF(OR(E830="",E830="!!!",F830="NEW"),"",INDEX(B$2:B815,-1+SUMPRODUCT(MAX(ROW(E$2:E815)*(E830=E$2:E815)))))</f>
        <v/>
      </c>
      <c r="J830" s="26" t="str">
        <f aca="true">IF(OR(E830="",E830="!!!",F830="NEW"),"",COUNTBLANK(OFFSET(A$1,,,SUMPRODUCT(MAX(ROW(E$2:E816)*(E830=E$2:E816)))))-COUNTBLANK(OFFSET(A$1,,,SUMPRODUCT(MAX(ROW(E$1:E815)*(E830=E$1:E815))))))</f>
        <v/>
      </c>
      <c r="K830" s="26" t="str">
        <f aca="false">IF(OR(E830="",E830="!!!",F830="NEW"),"",INDEX(J$1:J815,SUMPRODUCT(MAX(ROW(E$1:E815)*(E830=E$1:E815)))))</f>
        <v/>
      </c>
      <c r="L830" s="27"/>
    </row>
    <row r="831" customFormat="false" ht="15" hidden="false" customHeight="false" outlineLevel="0" collapsed="false">
      <c r="A831" s="20" t="s">
        <v>532</v>
      </c>
      <c r="B831" s="28" t="s">
        <v>219</v>
      </c>
      <c r="C831" s="28" t="s">
        <v>287</v>
      </c>
      <c r="D831" s="28" t="s">
        <v>198</v>
      </c>
      <c r="E831" s="21" t="s">
        <v>372</v>
      </c>
      <c r="F831" s="22" t="s">
        <v>226</v>
      </c>
      <c r="G831" s="23" t="s">
        <v>227</v>
      </c>
      <c r="H831" s="24"/>
      <c r="I831" s="25" t="str">
        <f aca="false">IF(OR(E831="",E831="!!!",F831="NEW"),"",INDEX(B$2:B816,-1+SUMPRODUCT(MAX(ROW(E$2:E816)*(E831=E$2:E816)))))</f>
        <v>other_3</v>
      </c>
      <c r="J831" s="26" t="n">
        <f aca="true">IF(OR(E831="",E831="!!!",F831="NEW"),"",COUNTBLANK(OFFSET(A$1,,,SUMPRODUCT(MAX(ROW(E$2:E817)*(E831=E$2:E817)))))-COUNTBLANK(OFFSET(A$1,,,SUMPRODUCT(MAX(ROW(E$1:E816)*(E831=E$1:E816))))))</f>
        <v>1</v>
      </c>
      <c r="K831" s="26" t="n">
        <f aca="false">IF(OR(E831="",E831="!!!",F831="NEW"),"",INDEX(J$1:J816,SUMPRODUCT(MAX(ROW(E$1:E816)*(E831=E$1:E816)))))</f>
        <v>0</v>
      </c>
      <c r="L831" s="27"/>
    </row>
    <row r="832" customFormat="false" ht="15" hidden="false" customHeight="false" outlineLevel="0" collapsed="false">
      <c r="A832" s="20" t="s">
        <v>272</v>
      </c>
      <c r="B832" s="28" t="s">
        <v>234</v>
      </c>
      <c r="C832" s="28" t="s">
        <v>289</v>
      </c>
      <c r="D832" s="28" t="s">
        <v>198</v>
      </c>
      <c r="E832" s="21" t="s">
        <v>572</v>
      </c>
      <c r="F832" s="22" t="s">
        <v>200</v>
      </c>
      <c r="G832" s="23" t="s">
        <v>201</v>
      </c>
      <c r="H832" s="24"/>
      <c r="I832" s="25" t="str">
        <f aca="false">IF(OR(E832="",E832="!!!",F832="NEW"),"",INDEX(B$2:B817,-1+SUMPRODUCT(MAX(ROW(E$2:E817)*(E832=E$2:E817)))))</f>
        <v/>
      </c>
      <c r="J832" s="26" t="str">
        <f aca="true">IF(OR(E832="",E832="!!!",F832="NEW"),"",COUNTBLANK(OFFSET(A$1,,,SUMPRODUCT(MAX(ROW(E$2:E818)*(E832=E$2:E818)))))-COUNTBLANK(OFFSET(A$1,,,SUMPRODUCT(MAX(ROW(E$1:E817)*(E832=E$1:E817))))))</f>
        <v/>
      </c>
      <c r="K832" s="26" t="str">
        <f aca="false">IF(OR(E832="",E832="!!!",F832="NEW"),"",INDEX(J$1:J817,SUMPRODUCT(MAX(ROW(E$1:E817)*(E832=E$1:E817)))))</f>
        <v/>
      </c>
      <c r="L832" s="27"/>
    </row>
    <row r="833" customFormat="false" ht="15" hidden="false" customHeight="false" outlineLevel="0" collapsed="false">
      <c r="A833" s="20" t="s">
        <v>304</v>
      </c>
      <c r="E833" s="21"/>
      <c r="F833" s="22"/>
      <c r="G833" s="23"/>
      <c r="H833" s="24"/>
      <c r="I833" s="25" t="str">
        <f aca="false">IF(OR(E833="",E833="!!!",F833="NEW"),"",INDEX(B$2:B818,-1+SUMPRODUCT(MAX(ROW(E$2:E818)*(E833=E$2:E818)))))</f>
        <v/>
      </c>
      <c r="J833" s="26" t="str">
        <f aca="true">IF(OR(E833="",E833="!!!",F833="NEW"),"",COUNTBLANK(OFFSET(A$1,,,SUMPRODUCT(MAX(ROW(E$2:E819)*(E833=E$2:E819)))))-COUNTBLANK(OFFSET(A$1,,,SUMPRODUCT(MAX(ROW(E$1:E818)*(E833=E$1:E818))))))</f>
        <v/>
      </c>
      <c r="K833" s="26" t="str">
        <f aca="false">IF(OR(E833="",E833="!!!",F833="NEW"),"",INDEX(J$1:J818,SUMPRODUCT(MAX(ROW(E$1:E818)*(E833=E$1:E818)))))</f>
        <v/>
      </c>
      <c r="L833" s="27"/>
    </row>
    <row r="834" customFormat="false" ht="15" hidden="false" customHeight="false" outlineLevel="0" collapsed="false">
      <c r="A834" s="20" t="s">
        <v>364</v>
      </c>
      <c r="E834" s="21"/>
      <c r="F834" s="22"/>
      <c r="G834" s="23"/>
      <c r="H834" s="24"/>
      <c r="I834" s="25" t="str">
        <f aca="false">IF(OR(E834="",E834="!!!",F834="NEW"),"",INDEX(B$2:B819,-1+SUMPRODUCT(MAX(ROW(E$2:E819)*(E834=E$2:E819)))))</f>
        <v/>
      </c>
      <c r="J834" s="26" t="str">
        <f aca="true">IF(OR(E834="",E834="!!!",F834="NEW"),"",COUNTBLANK(OFFSET(A$1,,,SUMPRODUCT(MAX(ROW(E$2:E820)*(E834=E$2:E820)))))-COUNTBLANK(OFFSET(A$1,,,SUMPRODUCT(MAX(ROW(E$1:E819)*(E834=E$1:E819))))))</f>
        <v/>
      </c>
      <c r="K834" s="26" t="str">
        <f aca="false">IF(OR(E834="",E834="!!!",F834="NEW"),"",INDEX(J$1:J819,SUMPRODUCT(MAX(ROW(E$1:E819)*(E834=E$1:E819)))))</f>
        <v/>
      </c>
      <c r="L834" s="27"/>
    </row>
    <row r="835" customFormat="false" ht="15" hidden="false" customHeight="false" outlineLevel="0" collapsed="false">
      <c r="A835" s="20" t="s">
        <v>413</v>
      </c>
      <c r="B835" s="28" t="s">
        <v>219</v>
      </c>
      <c r="C835" s="28" t="s">
        <v>352</v>
      </c>
      <c r="E835" s="21"/>
      <c r="F835" s="22"/>
      <c r="G835" s="23"/>
      <c r="H835" s="24"/>
      <c r="I835" s="25" t="str">
        <f aca="false">IF(OR(E835="",E835="!!!",F835="NEW"),"",INDEX(B$2:B820,-1+SUMPRODUCT(MAX(ROW(E$2:E820)*(E835=E$2:E820)))))</f>
        <v/>
      </c>
      <c r="J835" s="26" t="str">
        <f aca="true">IF(OR(E835="",E835="!!!",F835="NEW"),"",COUNTBLANK(OFFSET(A$1,,,SUMPRODUCT(MAX(ROW(E$2:E821)*(E835=E$2:E821)))))-COUNTBLANK(OFFSET(A$1,,,SUMPRODUCT(MAX(ROW(E$1:E820)*(E835=E$1:E820))))))</f>
        <v/>
      </c>
      <c r="K835" s="26" t="str">
        <f aca="false">IF(OR(E835="",E835="!!!",F835="NEW"),"",INDEX(J$1:J820,SUMPRODUCT(MAX(ROW(E$1:E820)*(E835=E$1:E820)))))</f>
        <v/>
      </c>
      <c r="L835" s="27"/>
    </row>
    <row r="836" customFormat="false" ht="15" hidden="false" customHeight="false" outlineLevel="0" collapsed="false">
      <c r="A836" s="20" t="s">
        <v>209</v>
      </c>
      <c r="E836" s="21"/>
      <c r="F836" s="22"/>
      <c r="G836" s="23"/>
      <c r="H836" s="24"/>
      <c r="I836" s="25" t="str">
        <f aca="false">IF(OR(E836="",E836="!!!",F836="NEW"),"",INDEX(B$2:B821,-1+SUMPRODUCT(MAX(ROW(E$2:E821)*(E836=E$2:E821)))))</f>
        <v/>
      </c>
      <c r="J836" s="26" t="str">
        <f aca="true">IF(OR(E836="",E836="!!!",F836="NEW"),"",COUNTBLANK(OFFSET(A$1,,,SUMPRODUCT(MAX(ROW(E$2:E822)*(E836=E$2:E822)))))-COUNTBLANK(OFFSET(A$1,,,SUMPRODUCT(MAX(ROW(E$1:E821)*(E836=E$1:E821))))))</f>
        <v/>
      </c>
      <c r="K836" s="26" t="str">
        <f aca="false">IF(OR(E836="",E836="!!!",F836="NEW"),"",INDEX(J$1:J821,SUMPRODUCT(MAX(ROW(E$1:E821)*(E836=E$1:E821)))))</f>
        <v/>
      </c>
      <c r="L836" s="27"/>
    </row>
    <row r="837" customFormat="false" ht="15" hidden="false" customHeight="false" outlineLevel="0" collapsed="false">
      <c r="A837" s="20"/>
    </row>
    <row r="838" customFormat="false" ht="15" hidden="false" customHeight="false" outlineLevel="0" collapsed="false">
      <c r="A838" s="20" t="s">
        <v>311</v>
      </c>
    </row>
    <row r="839" customFormat="false" ht="15" hidden="false" customHeight="false" outlineLevel="0" collapsed="false">
      <c r="A839" s="20" t="s">
        <v>573</v>
      </c>
    </row>
    <row r="840" customFormat="false" ht="15" hidden="false" customHeight="false" outlineLevel="0" collapsed="false">
      <c r="A840" s="20" t="s">
        <v>574</v>
      </c>
      <c r="E840" s="21"/>
      <c r="F840" s="22"/>
      <c r="G840" s="23"/>
      <c r="H840" s="24"/>
      <c r="I840" s="25" t="str">
        <f aca="false">IF(OR(E840="",E840="!!!",F840="NEW"),"",INDEX(B$2:B822,-1+SUMPRODUCT(MAX(ROW(E$2:E822)*(E840=E$2:E822)))))</f>
        <v/>
      </c>
      <c r="J840" s="26" t="str">
        <f aca="true">IF(OR(E840="",E840="!!!",F840="NEW"),"",COUNTBLANK(OFFSET(A$1,,,SUMPRODUCT(MAX(ROW(E$2:E823)*(E840=E$2:E823)))))-COUNTBLANK(OFFSET(A$1,,,SUMPRODUCT(MAX(ROW(E$1:E822)*(E840=E$1:E822))))))</f>
        <v/>
      </c>
      <c r="K840" s="26" t="str">
        <f aca="false">IF(OR(E840="",E840="!!!",F840="NEW"),"",INDEX(J$1:J822,SUMPRODUCT(MAX(ROW(E$1:E822)*(E840=E$1:E822)))))</f>
        <v/>
      </c>
      <c r="L840" s="27"/>
    </row>
    <row r="841" customFormat="false" ht="15" hidden="false" customHeight="false" outlineLevel="0" collapsed="false">
      <c r="A841" s="20" t="s">
        <v>328</v>
      </c>
      <c r="B841" s="28" t="s">
        <v>196</v>
      </c>
      <c r="C841" s="28" t="s">
        <v>197</v>
      </c>
      <c r="D841" s="28" t="s">
        <v>198</v>
      </c>
      <c r="E841" s="21" t="s">
        <v>372</v>
      </c>
      <c r="F841" s="22" t="s">
        <v>226</v>
      </c>
      <c r="G841" s="23" t="s">
        <v>227</v>
      </c>
      <c r="H841" s="24"/>
      <c r="I841" s="25" t="str">
        <f aca="false">IF(OR(E841="",E841="!!!",F841="NEW"),"",INDEX(B$2:B823,-1+SUMPRODUCT(MAX(ROW(E$2:E823)*(E841=E$2:E823)))))</f>
        <v>SBJ</v>
      </c>
      <c r="J841" s="26" t="n">
        <f aca="true">IF(OR(E841="",E841="!!!",F841="NEW"),"",COUNTBLANK(OFFSET(A$1,,,SUMPRODUCT(MAX(ROW(E$2:E824)*(E841=E$2:E824)))))-COUNTBLANK(OFFSET(A$1,,,SUMPRODUCT(MAX(ROW(E$1:E823)*(E841=E$1:E823))))))</f>
        <v>0</v>
      </c>
      <c r="K841" s="26" t="n">
        <f aca="false">IF(OR(E841="",E841="!!!",F841="NEW"),"",INDEX(J$1:J823,SUMPRODUCT(MAX(ROW(E$1:E823)*(E841=E$1:E823)))))</f>
        <v>0</v>
      </c>
      <c r="L841" s="27"/>
    </row>
    <row r="842" customFormat="false" ht="15" hidden="false" customHeight="false" outlineLevel="0" collapsed="false">
      <c r="A842" s="20" t="s">
        <v>142</v>
      </c>
      <c r="E842" s="21"/>
      <c r="F842" s="22"/>
      <c r="G842" s="23"/>
      <c r="H842" s="24"/>
      <c r="I842" s="25" t="str">
        <f aca="false">IF(OR(E842="",E842="!!!",F842="NEW"),"",INDEX(B$2:B824,-1+SUMPRODUCT(MAX(ROW(E$2:E824)*(E842=E$2:E824)))))</f>
        <v/>
      </c>
      <c r="J842" s="26" t="str">
        <f aca="true">IF(OR(E842="",E842="!!!",F842="NEW"),"",COUNTBLANK(OFFSET(A$1,,,SUMPRODUCT(MAX(ROW(E$2:E825)*(E842=E$2:E825)))))-COUNTBLANK(OFFSET(A$1,,,SUMPRODUCT(MAX(ROW(E$1:E824)*(E842=E$1:E824))))))</f>
        <v/>
      </c>
      <c r="K842" s="26" t="str">
        <f aca="false">IF(OR(E842="",E842="!!!",F842="NEW"),"",INDEX(J$1:J824,SUMPRODUCT(MAX(ROW(E$1:E824)*(E842=E$1:E824)))))</f>
        <v/>
      </c>
      <c r="L842" s="27"/>
    </row>
    <row r="843" customFormat="false" ht="15" hidden="false" customHeight="false" outlineLevel="0" collapsed="false">
      <c r="A843" s="20" t="s">
        <v>433</v>
      </c>
      <c r="E843" s="21"/>
      <c r="F843" s="22"/>
      <c r="G843" s="23"/>
      <c r="H843" s="24"/>
      <c r="I843" s="25" t="str">
        <f aca="false">IF(OR(E843="",E843="!!!",F843="NEW"),"",INDEX(B$2:B825,-1+SUMPRODUCT(MAX(ROW(E$2:E825)*(E843=E$2:E825)))))</f>
        <v/>
      </c>
      <c r="J843" s="26" t="str">
        <f aca="true">IF(OR(E843="",E843="!!!",F843="NEW"),"",COUNTBLANK(OFFSET(A$1,,,SUMPRODUCT(MAX(ROW(E$2:E826)*(E843=E$2:E826)))))-COUNTBLANK(OFFSET(A$1,,,SUMPRODUCT(MAX(ROW(E$1:E825)*(E843=E$1:E825))))))</f>
        <v/>
      </c>
      <c r="K843" s="26" t="str">
        <f aca="false">IF(OR(E843="",E843="!!!",F843="NEW"),"",INDEX(J$1:J825,SUMPRODUCT(MAX(ROW(E$1:E825)*(E843=E$1:E825)))))</f>
        <v/>
      </c>
      <c r="L843" s="27"/>
    </row>
    <row r="844" customFormat="false" ht="15" hidden="false" customHeight="false" outlineLevel="0" collapsed="false">
      <c r="A844" s="20" t="s">
        <v>532</v>
      </c>
      <c r="B844" s="28" t="s">
        <v>215</v>
      </c>
      <c r="C844" s="28" t="s">
        <v>287</v>
      </c>
      <c r="D844" s="28" t="s">
        <v>198</v>
      </c>
      <c r="E844" s="21" t="s">
        <v>372</v>
      </c>
      <c r="F844" s="22" t="s">
        <v>226</v>
      </c>
      <c r="G844" s="23" t="s">
        <v>227</v>
      </c>
      <c r="H844" s="24"/>
      <c r="I844" s="25" t="str">
        <f aca="false">IF(OR(E844="",E844="!!!",F844="NEW"),"",INDEX(B$2:B826,-1+SUMPRODUCT(MAX(ROW(E$2:E826)*(E844=E$2:E826)))))</f>
        <v>SBJ</v>
      </c>
      <c r="J844" s="26" t="n">
        <f aca="true">IF(OR(E844="",E844="!!!",F844="NEW"),"",COUNTBLANK(OFFSET(A$1,,,SUMPRODUCT(MAX(ROW(E$2:E827)*(E844=E$2:E827)))))-COUNTBLANK(OFFSET(A$1,,,SUMPRODUCT(MAX(ROW(E$1:E826)*(E844=E$1:E826))))))</f>
        <v>0</v>
      </c>
      <c r="K844" s="26" t="n">
        <f aca="false">IF(OR(E844="",E844="!!!",F844="NEW"),"",INDEX(J$1:J826,SUMPRODUCT(MAX(ROW(E$1:E826)*(E844=E$1:E826)))))</f>
        <v>0</v>
      </c>
      <c r="L844" s="27"/>
    </row>
    <row r="845" customFormat="false" ht="15" hidden="false" customHeight="false" outlineLevel="0" collapsed="false">
      <c r="A845" s="20" t="s">
        <v>563</v>
      </c>
      <c r="B845" s="28" t="s">
        <v>206</v>
      </c>
      <c r="C845" s="28" t="s">
        <v>289</v>
      </c>
      <c r="D845" s="28" t="s">
        <v>198</v>
      </c>
      <c r="E845" s="21" t="s">
        <v>564</v>
      </c>
      <c r="F845" s="22" t="s">
        <v>226</v>
      </c>
      <c r="G845" s="23" t="s">
        <v>247</v>
      </c>
      <c r="H845" s="24"/>
      <c r="I845" s="25" t="str">
        <f aca="false">IF(OR(E845="",E845="!!!",F845="NEW"),"",INDEX(B$2:B827,-1+SUMPRODUCT(MAX(ROW(E$2:E827)*(E845=E$2:E827)))))</f>
        <v>OBJ</v>
      </c>
      <c r="J845" s="26" t="n">
        <f aca="true">IF(OR(E845="",E845="!!!",F845="NEW"),"",COUNTBLANK(OFFSET(A$1,,,SUMPRODUCT(MAX(ROW(E$2:E828)*(E845=E$2:E828)))))-COUNTBLANK(OFFSET(A$1,,,SUMPRODUCT(MAX(ROW(E$1:E827)*(E845=E$1:E827))))))</f>
        <v>0</v>
      </c>
      <c r="K845" s="26" t="str">
        <f aca="false">IF(OR(E845="",E845="!!!",F845="NEW"),"",INDEX(J$1:J827,SUMPRODUCT(MAX(ROW(E$1:E827)*(E845=E$1:E827)))))</f>
        <v/>
      </c>
      <c r="L845" s="27"/>
    </row>
    <row r="846" customFormat="false" ht="15" hidden="false" customHeight="false" outlineLevel="0" collapsed="false">
      <c r="A846" s="20" t="s">
        <v>203</v>
      </c>
      <c r="E846" s="21"/>
      <c r="F846" s="22"/>
      <c r="G846" s="23"/>
      <c r="H846" s="24"/>
      <c r="I846" s="25" t="str">
        <f aca="false">IF(OR(E846="",E846="!!!",F846="NEW"),"",INDEX(B$2:B828,-1+SUMPRODUCT(MAX(ROW(E$2:E828)*(E846=E$2:E828)))))</f>
        <v/>
      </c>
      <c r="J846" s="26" t="str">
        <f aca="true">IF(OR(E846="",E846="!!!",F846="NEW"),"",COUNTBLANK(OFFSET(A$1,,,SUMPRODUCT(MAX(ROW(E$2:E829)*(E846=E$2:E829)))))-COUNTBLANK(OFFSET(A$1,,,SUMPRODUCT(MAX(ROW(E$1:E828)*(E846=E$1:E828))))))</f>
        <v/>
      </c>
      <c r="K846" s="26" t="str">
        <f aca="false">IF(OR(E846="",E846="!!!",F846="NEW"),"",INDEX(J$1:J828,SUMPRODUCT(MAX(ROW(E$1:E828)*(E846=E$1:E828)))))</f>
        <v/>
      </c>
      <c r="L846" s="27"/>
    </row>
    <row r="847" customFormat="false" ht="15" hidden="false" customHeight="false" outlineLevel="0" collapsed="false">
      <c r="A847" s="20" t="s">
        <v>575</v>
      </c>
      <c r="E847" s="21"/>
      <c r="F847" s="22"/>
      <c r="G847" s="23"/>
      <c r="H847" s="24"/>
      <c r="I847" s="25" t="str">
        <f aca="false">IF(OR(E847="",E847="!!!",F847="NEW"),"",INDEX(B$2:B829,-1+SUMPRODUCT(MAX(ROW(E$2:E829)*(E847=E$2:E829)))))</f>
        <v/>
      </c>
      <c r="J847" s="26" t="str">
        <f aca="true">IF(OR(E847="",E847="!!!",F847="NEW"),"",COUNTBLANK(OFFSET(A$1,,,SUMPRODUCT(MAX(ROW(E$2:E830)*(E847=E$2:E830)))))-COUNTBLANK(OFFSET(A$1,,,SUMPRODUCT(MAX(ROW(E$1:E829)*(E847=E$1:E829))))))</f>
        <v/>
      </c>
      <c r="K847" s="26" t="str">
        <f aca="false">IF(OR(E847="",E847="!!!",F847="NEW"),"",INDEX(J$1:J829,SUMPRODUCT(MAX(ROW(E$1:E829)*(E847=E$1:E829)))))</f>
        <v/>
      </c>
      <c r="L847" s="27"/>
    </row>
    <row r="848" customFormat="false" ht="15" hidden="false" customHeight="false" outlineLevel="0" collapsed="false">
      <c r="A848" s="20" t="s">
        <v>495</v>
      </c>
      <c r="E848" s="21"/>
      <c r="F848" s="22"/>
      <c r="G848" s="23"/>
      <c r="H848" s="24"/>
      <c r="I848" s="25" t="str">
        <f aca="false">IF(OR(E848="",E848="!!!",F848="NEW"),"",INDEX(B$2:B830,-1+SUMPRODUCT(MAX(ROW(E$2:E830)*(E848=E$2:E830)))))</f>
        <v/>
      </c>
      <c r="J848" s="26" t="str">
        <f aca="true">IF(OR(E848="",E848="!!!",F848="NEW"),"",COUNTBLANK(OFFSET(A$1,,,SUMPRODUCT(MAX(ROW(E$2:E831)*(E848=E$2:E831)))))-COUNTBLANK(OFFSET(A$1,,,SUMPRODUCT(MAX(ROW(E$1:E830)*(E848=E$1:E830))))))</f>
        <v/>
      </c>
      <c r="K848" s="26" t="str">
        <f aca="false">IF(OR(E848="",E848="!!!",F848="NEW"),"",INDEX(J$1:J830,SUMPRODUCT(MAX(ROW(E$1:E830)*(E848=E$1:E830)))))</f>
        <v/>
      </c>
      <c r="L848" s="27"/>
    </row>
    <row r="849" customFormat="false" ht="15" hidden="false" customHeight="false" outlineLevel="0" collapsed="false">
      <c r="A849" s="20" t="s">
        <v>213</v>
      </c>
      <c r="E849" s="21"/>
      <c r="F849" s="22"/>
      <c r="G849" s="23"/>
      <c r="H849" s="24"/>
      <c r="I849" s="25" t="str">
        <f aca="false">IF(OR(E849="",E849="!!!",F849="NEW"),"",INDEX(B$2:B831,-1+SUMPRODUCT(MAX(ROW(E$2:E831)*(E849=E$2:E831)))))</f>
        <v/>
      </c>
      <c r="J849" s="26" t="str">
        <f aca="true">IF(OR(E849="",E849="!!!",F849="NEW"),"",COUNTBLANK(OFFSET(A$1,,,SUMPRODUCT(MAX(ROW(E$2:E832)*(E849=E$2:E832)))))-COUNTBLANK(OFFSET(A$1,,,SUMPRODUCT(MAX(ROW(E$1:E831)*(E849=E$1:E831))))))</f>
        <v/>
      </c>
      <c r="K849" s="26" t="str">
        <f aca="false">IF(OR(E849="",E849="!!!",F849="NEW"),"",INDEX(J$1:J831,SUMPRODUCT(MAX(ROW(E$1:E831)*(E849=E$1:E831)))))</f>
        <v/>
      </c>
      <c r="L849" s="27"/>
    </row>
    <row r="850" customFormat="false" ht="15" hidden="false" customHeight="false" outlineLevel="0" collapsed="false">
      <c r="A850" s="20" t="s">
        <v>285</v>
      </c>
      <c r="E850" s="21"/>
      <c r="F850" s="22"/>
      <c r="G850" s="23"/>
      <c r="H850" s="24"/>
      <c r="I850" s="25" t="str">
        <f aca="false">IF(OR(E850="",E850="!!!",F850="NEW"),"",INDEX(B$2:B832,-1+SUMPRODUCT(MAX(ROW(E$2:E832)*(E850=E$2:E832)))))</f>
        <v/>
      </c>
      <c r="J850" s="26" t="str">
        <f aca="true">IF(OR(E850="",E850="!!!",F850="NEW"),"",COUNTBLANK(OFFSET(A$1,,,SUMPRODUCT(MAX(ROW(E$2:E833)*(E850=E$2:E833)))))-COUNTBLANK(OFFSET(A$1,,,SUMPRODUCT(MAX(ROW(E$1:E832)*(E850=E$1:E832))))))</f>
        <v/>
      </c>
      <c r="K850" s="26" t="str">
        <f aca="false">IF(OR(E850="",E850="!!!",F850="NEW"),"",INDEX(J$1:J832,SUMPRODUCT(MAX(ROW(E$1:E832)*(E850=E$1:E832)))))</f>
        <v/>
      </c>
      <c r="L850" s="27"/>
    </row>
    <row r="851" customFormat="false" ht="15" hidden="false" customHeight="false" outlineLevel="0" collapsed="false">
      <c r="A851" s="20" t="s">
        <v>576</v>
      </c>
      <c r="B851" s="28" t="s">
        <v>222</v>
      </c>
      <c r="C851" s="28" t="s">
        <v>251</v>
      </c>
      <c r="E851" s="21"/>
      <c r="F851" s="22"/>
      <c r="G851" s="23"/>
      <c r="H851" s="24"/>
      <c r="I851" s="25" t="str">
        <f aca="false">IF(OR(E851="",E851="!!!",F851="NEW"),"",INDEX(B$2:B833,-1+SUMPRODUCT(MAX(ROW(E$2:E833)*(E851=E$2:E833)))))</f>
        <v/>
      </c>
      <c r="J851" s="26" t="str">
        <f aca="true">IF(OR(E851="",E851="!!!",F851="NEW"),"",COUNTBLANK(OFFSET(A$1,,,SUMPRODUCT(MAX(ROW(E$2:E834)*(E851=E$2:E834)))))-COUNTBLANK(OFFSET(A$1,,,SUMPRODUCT(MAX(ROW(E$1:E833)*(E851=E$1:E833))))))</f>
        <v/>
      </c>
      <c r="K851" s="26" t="str">
        <f aca="false">IF(OR(E851="",E851="!!!",F851="NEW"),"",INDEX(J$1:J833,SUMPRODUCT(MAX(ROW(E$1:E833)*(E851=E$1:E833)))))</f>
        <v/>
      </c>
      <c r="L851" s="27"/>
    </row>
    <row r="852" customFormat="false" ht="15" hidden="false" customHeight="false" outlineLevel="0" collapsed="false">
      <c r="A852" s="20" t="s">
        <v>213</v>
      </c>
      <c r="E852" s="21"/>
      <c r="F852" s="22"/>
      <c r="G852" s="23"/>
      <c r="H852" s="24"/>
      <c r="I852" s="25" t="str">
        <f aca="false">IF(OR(E852="",E852="!!!",F852="NEW"),"",INDEX(B$2:B834,-1+SUMPRODUCT(MAX(ROW(E$2:E834)*(E852=E$2:E834)))))</f>
        <v/>
      </c>
      <c r="J852" s="26" t="str">
        <f aca="true">IF(OR(E852="",E852="!!!",F852="NEW"),"",COUNTBLANK(OFFSET(A$1,,,SUMPRODUCT(MAX(ROW(E$2:E835)*(E852=E$2:E835)))))-COUNTBLANK(OFFSET(A$1,,,SUMPRODUCT(MAX(ROW(E$1:E834)*(E852=E$1:E834))))))</f>
        <v/>
      </c>
      <c r="K852" s="26" t="str">
        <f aca="false">IF(OR(E852="",E852="!!!",F852="NEW"),"",INDEX(J$1:J834,SUMPRODUCT(MAX(ROW(E$1:E834)*(E852=E$1:E834)))))</f>
        <v/>
      </c>
      <c r="L852" s="27"/>
    </row>
    <row r="853" customFormat="false" ht="15" hidden="false" customHeight="false" outlineLevel="0" collapsed="false">
      <c r="A853" s="20" t="s">
        <v>577</v>
      </c>
      <c r="B853" s="28" t="s">
        <v>219</v>
      </c>
      <c r="C853" s="28" t="s">
        <v>251</v>
      </c>
      <c r="E853" s="21"/>
      <c r="F853" s="22"/>
      <c r="G853" s="23"/>
      <c r="H853" s="24"/>
      <c r="I853" s="25" t="str">
        <f aca="false">IF(OR(E853="",E853="!!!",F853="NEW"),"",INDEX(B$2:B835,-1+SUMPRODUCT(MAX(ROW(E$2:E835)*(E853=E$2:E835)))))</f>
        <v/>
      </c>
      <c r="J853" s="26" t="str">
        <f aca="true">IF(OR(E853="",E853="!!!",F853="NEW"),"",COUNTBLANK(OFFSET(A$1,,,SUMPRODUCT(MAX(ROW(E$2:E836)*(E853=E$2:E836)))))-COUNTBLANK(OFFSET(A$1,,,SUMPRODUCT(MAX(ROW(E$1:E835)*(E853=E$1:E835))))))</f>
        <v/>
      </c>
      <c r="K853" s="26" t="str">
        <f aca="false">IF(OR(E853="",E853="!!!",F853="NEW"),"",INDEX(J$1:J835,SUMPRODUCT(MAX(ROW(E$1:E835)*(E853=E$1:E835)))))</f>
        <v/>
      </c>
      <c r="L853" s="27"/>
    </row>
    <row r="854" customFormat="false" ht="15" hidden="false" customHeight="false" outlineLevel="0" collapsed="false">
      <c r="A854" s="20" t="s">
        <v>578</v>
      </c>
      <c r="E854" s="21"/>
      <c r="F854" s="22"/>
      <c r="G854" s="23"/>
      <c r="H854" s="24"/>
      <c r="I854" s="25" t="str">
        <f aca="false">IF(OR(E854="",E854="!!!",F854="NEW"),"",INDEX(B$2:B836,-1+SUMPRODUCT(MAX(ROW(E$2:E836)*(E854=E$2:E836)))))</f>
        <v/>
      </c>
      <c r="J854" s="26" t="str">
        <f aca="true">IF(OR(E854="",E854="!!!",F854="NEW"),"",COUNTBLANK(OFFSET(A$1,,,SUMPRODUCT(MAX(ROW(E$2:E837)*(E854=E$2:E837)))))-COUNTBLANK(OFFSET(A$1,,,SUMPRODUCT(MAX(ROW(E$1:E836)*(E854=E$1:E836))))))</f>
        <v/>
      </c>
      <c r="K854" s="26" t="str">
        <f aca="false">IF(OR(E854="",E854="!!!",F854="NEW"),"",INDEX(J$1:J836,SUMPRODUCT(MAX(ROW(E$1:E836)*(E854=E$1:E836)))))</f>
        <v/>
      </c>
      <c r="L854" s="27"/>
    </row>
    <row r="855" customFormat="false" ht="15" hidden="false" customHeight="false" outlineLevel="0" collapsed="false">
      <c r="A855" s="20" t="s">
        <v>68</v>
      </c>
      <c r="E855" s="21"/>
      <c r="F855" s="22"/>
      <c r="G855" s="23"/>
      <c r="H855" s="24"/>
      <c r="I855" s="25" t="str">
        <f aca="false">IF(OR(E855="",E855="!!!",F855="NEW"),"",INDEX(B$2:B837,-1+SUMPRODUCT(MAX(ROW(E$2:E837)*(E855=E$2:E837)))))</f>
        <v/>
      </c>
      <c r="J855" s="26" t="str">
        <f aca="true">IF(OR(E855="",E855="!!!",F855="NEW"),"",COUNTBLANK(OFFSET(A$1,,,SUMPRODUCT(MAX(ROW(E$2:E838)*(E855=E$2:E838)))))-COUNTBLANK(OFFSET(A$1,,,SUMPRODUCT(MAX(ROW(E$1:E837)*(E855=E$1:E837))))))</f>
        <v/>
      </c>
      <c r="K855" s="26" t="str">
        <f aca="false">IF(OR(E855="",E855="!!!",F855="NEW"),"",INDEX(J$1:J837,SUMPRODUCT(MAX(ROW(E$1:E837)*(E855=E$1:E837)))))</f>
        <v/>
      </c>
      <c r="L855" s="27"/>
    </row>
    <row r="856" customFormat="false" ht="15" hidden="false" customHeight="false" outlineLevel="0" collapsed="false">
      <c r="A856" s="20" t="s">
        <v>329</v>
      </c>
      <c r="E856" s="21"/>
      <c r="F856" s="22"/>
      <c r="G856" s="23"/>
      <c r="H856" s="24"/>
      <c r="I856" s="25" t="str">
        <f aca="false">IF(OR(E856="",E856="!!!",F856="NEW"),"",INDEX(B$2:B838,-1+SUMPRODUCT(MAX(ROW(E$2:E838)*(E856=E$2:E838)))))</f>
        <v/>
      </c>
      <c r="J856" s="26" t="str">
        <f aca="true">IF(OR(E856="",E856="!!!",F856="NEW"),"",COUNTBLANK(OFFSET(A$1,,,SUMPRODUCT(MAX(ROW(E$2:E839)*(E856=E$2:E839)))))-COUNTBLANK(OFFSET(A$1,,,SUMPRODUCT(MAX(ROW(E$1:E838)*(E856=E$1:E838))))))</f>
        <v/>
      </c>
      <c r="K856" s="26" t="str">
        <f aca="false">IF(OR(E856="",E856="!!!",F856="NEW"),"",INDEX(J$1:J838,SUMPRODUCT(MAX(ROW(E$1:E838)*(E856=E$1:E838)))))</f>
        <v/>
      </c>
      <c r="L856" s="27"/>
    </row>
    <row r="857" customFormat="false" ht="15" hidden="false" customHeight="false" outlineLevel="0" collapsed="false">
      <c r="A857" s="20" t="s">
        <v>448</v>
      </c>
      <c r="E857" s="21"/>
      <c r="F857" s="22"/>
      <c r="G857" s="23"/>
      <c r="H857" s="24"/>
      <c r="I857" s="25" t="str">
        <f aca="false">IF(OR(E857="",E857="!!!",F857="NEW"),"",INDEX(B$2:B839,-1+SUMPRODUCT(MAX(ROW(E$2:E839)*(E857=E$2:E839)))))</f>
        <v/>
      </c>
      <c r="J857" s="26" t="str">
        <f aca="true">IF(OR(E857="",E857="!!!",F857="NEW"),"",COUNTBLANK(OFFSET(A$1,,,SUMPRODUCT(MAX(ROW(E$2:E840)*(E857=E$2:E840)))))-COUNTBLANK(OFFSET(A$1,,,SUMPRODUCT(MAX(ROW(E$1:E839)*(E857=E$1:E839))))))</f>
        <v/>
      </c>
      <c r="K857" s="26" t="str">
        <f aca="false">IF(OR(E857="",E857="!!!",F857="NEW"),"",INDEX(J$1:J839,SUMPRODUCT(MAX(ROW(E$1:E839)*(E857=E$1:E839)))))</f>
        <v/>
      </c>
      <c r="L857" s="27"/>
    </row>
    <row r="858" customFormat="false" ht="15" hidden="false" customHeight="false" outlineLevel="0" collapsed="false">
      <c r="A858" s="20" t="s">
        <v>204</v>
      </c>
      <c r="E858" s="21"/>
      <c r="F858" s="22"/>
      <c r="G858" s="23"/>
      <c r="H858" s="24"/>
      <c r="I858" s="25" t="str">
        <f aca="false">IF(OR(E858="",E858="!!!",F858="NEW"),"",INDEX(B$2:B840,-1+SUMPRODUCT(MAX(ROW(E$2:E840)*(E858=E$2:E840)))))</f>
        <v/>
      </c>
      <c r="J858" s="26" t="str">
        <f aca="true">IF(OR(E858="",E858="!!!",F858="NEW"),"",COUNTBLANK(OFFSET(A$1,,,SUMPRODUCT(MAX(ROW(E$2:E841)*(E858=E$2:E841)))))-COUNTBLANK(OFFSET(A$1,,,SUMPRODUCT(MAX(ROW(E$1:E840)*(E858=E$1:E840))))))</f>
        <v/>
      </c>
      <c r="K858" s="26" t="str">
        <f aca="false">IF(OR(E858="",E858="!!!",F858="NEW"),"",INDEX(J$1:J840,SUMPRODUCT(MAX(ROW(E$1:E840)*(E858=E$1:E840)))))</f>
        <v/>
      </c>
      <c r="L858" s="27"/>
    </row>
    <row r="859" customFormat="false" ht="15" hidden="false" customHeight="false" outlineLevel="0" collapsed="false">
      <c r="A859" s="20" t="s">
        <v>327</v>
      </c>
      <c r="B859" s="28" t="s">
        <v>215</v>
      </c>
      <c r="C859" s="28" t="s">
        <v>289</v>
      </c>
      <c r="D859" s="28" t="s">
        <v>198</v>
      </c>
      <c r="E859" s="21" t="s">
        <v>237</v>
      </c>
      <c r="F859" s="22" t="s">
        <v>226</v>
      </c>
      <c r="G859" s="23" t="s">
        <v>247</v>
      </c>
      <c r="H859" s="24"/>
      <c r="I859" s="25" t="str">
        <f aca="false">IF(OR(E859="",E859="!!!",F859="NEW"),"",INDEX(B$2:B841,-1+SUMPRODUCT(MAX(ROW(E$2:E841)*(E859=E$2:E841)))))</f>
        <v>other_3</v>
      </c>
      <c r="J859" s="26" t="n">
        <f aca="true">IF(OR(E859="",E859="!!!",F859="NEW"),"",COUNTBLANK(OFFSET(A$1,,,SUMPRODUCT(MAX(ROW(E$2:E842)*(E859=E$2:E842)))))-COUNTBLANK(OFFSET(A$1,,,SUMPRODUCT(MAX(ROW(E$1:E841)*(E859=E$1:E841))))))</f>
        <v>0</v>
      </c>
      <c r="K859" s="26" t="n">
        <f aca="false">IF(OR(E859="",E859="!!!",F859="NEW"),"",INDEX(J$1:J841,SUMPRODUCT(MAX(ROW(E$1:E841)*(E859=E$1:E841)))))</f>
        <v>0</v>
      </c>
      <c r="L859" s="27"/>
    </row>
    <row r="860" customFormat="false" ht="15" hidden="false" customHeight="false" outlineLevel="0" collapsed="false">
      <c r="A860" s="20" t="s">
        <v>217</v>
      </c>
      <c r="E860" s="21"/>
      <c r="F860" s="22"/>
      <c r="G860" s="23"/>
      <c r="H860" s="24"/>
      <c r="I860" s="25" t="str">
        <f aca="false">IF(OR(E860="",E860="!!!",F860="NEW"),"",INDEX(B$2:B842,-1+SUMPRODUCT(MAX(ROW(E$2:E842)*(E860=E$2:E842)))))</f>
        <v/>
      </c>
      <c r="J860" s="26" t="str">
        <f aca="true">IF(OR(E860="",E860="!!!",F860="NEW"),"",COUNTBLANK(OFFSET(A$1,,,SUMPRODUCT(MAX(ROW(E$2:E843)*(E860=E$2:E843)))))-COUNTBLANK(OFFSET(A$1,,,SUMPRODUCT(MAX(ROW(E$1:E842)*(E860=E$1:E842))))))</f>
        <v/>
      </c>
      <c r="K860" s="26" t="str">
        <f aca="false">IF(OR(E860="",E860="!!!",F860="NEW"),"",INDEX(J$1:J842,SUMPRODUCT(MAX(ROW(E$1:E842)*(E860=E$1:E842)))))</f>
        <v/>
      </c>
      <c r="L860" s="27"/>
    </row>
    <row r="861" customFormat="false" ht="15" hidden="false" customHeight="false" outlineLevel="0" collapsed="false">
      <c r="A861" s="20" t="s">
        <v>532</v>
      </c>
      <c r="B861" s="28" t="s">
        <v>310</v>
      </c>
      <c r="C861" s="28" t="s">
        <v>287</v>
      </c>
      <c r="D861" s="28" t="s">
        <v>198</v>
      </c>
      <c r="E861" s="21" t="s">
        <v>372</v>
      </c>
      <c r="F861" s="22" t="s">
        <v>226</v>
      </c>
      <c r="G861" s="23" t="s">
        <v>227</v>
      </c>
      <c r="H861" s="24"/>
      <c r="I861" s="25" t="str">
        <f aca="false">IF(OR(E861="",E861="!!!",F861="NEW"),"",INDEX(B$2:B843,-1+SUMPRODUCT(MAX(ROW(E$2:E843)*(E861=E$2:E843)))))</f>
        <v>SBJ</v>
      </c>
      <c r="J861" s="26" t="n">
        <f aca="true">IF(OR(E861="",E861="!!!",F861="NEW"),"",COUNTBLANK(OFFSET(A$1,,,SUMPRODUCT(MAX(ROW(E$2:E844)*(E861=E$2:E844)))))-COUNTBLANK(OFFSET(A$1,,,SUMPRODUCT(MAX(ROW(E$1:E843)*(E861=E$1:E843))))))</f>
        <v>0</v>
      </c>
      <c r="K861" s="26" t="n">
        <f aca="false">IF(OR(E861="",E861="!!!",F861="NEW"),"",INDEX(J$1:J843,SUMPRODUCT(MAX(ROW(E$1:E843)*(E861=E$1:E843)))))</f>
        <v>0</v>
      </c>
      <c r="L861" s="27"/>
    </row>
    <row r="862" customFormat="false" ht="15" hidden="false" customHeight="false" outlineLevel="0" collapsed="false">
      <c r="A862" s="20" t="s">
        <v>552</v>
      </c>
      <c r="E862" s="21"/>
      <c r="F862" s="22"/>
      <c r="G862" s="23"/>
      <c r="H862" s="24"/>
      <c r="I862" s="25" t="str">
        <f aca="false">IF(OR(E862="",E862="!!!",F862="NEW"),"",INDEX(B$2:B844,-1+SUMPRODUCT(MAX(ROW(E$2:E844)*(E862=E$2:E844)))))</f>
        <v/>
      </c>
      <c r="J862" s="26" t="str">
        <f aca="true">IF(OR(E862="",E862="!!!",F862="NEW"),"",COUNTBLANK(OFFSET(A$1,,,SUMPRODUCT(MAX(ROW(E$2:E845)*(E862=E$2:E845)))))-COUNTBLANK(OFFSET(A$1,,,SUMPRODUCT(MAX(ROW(E$1:E844)*(E862=E$1:E844))))))</f>
        <v/>
      </c>
      <c r="K862" s="26" t="str">
        <f aca="false">IF(OR(E862="",E862="!!!",F862="NEW"),"",INDEX(J$1:J844,SUMPRODUCT(MAX(ROW(E$1:E844)*(E862=E$1:E844)))))</f>
        <v/>
      </c>
      <c r="L862" s="27"/>
    </row>
    <row r="863" customFormat="false" ht="15" hidden="false" customHeight="false" outlineLevel="0" collapsed="false">
      <c r="A863" s="20" t="s">
        <v>579</v>
      </c>
      <c r="E863" s="21"/>
      <c r="F863" s="22"/>
      <c r="G863" s="23"/>
      <c r="H863" s="24"/>
      <c r="I863" s="25" t="str">
        <f aca="false">IF(OR(E863="",E863="!!!",F863="NEW"),"",INDEX(B$2:B845,-1+SUMPRODUCT(MAX(ROW(E$2:E845)*(E863=E$2:E845)))))</f>
        <v/>
      </c>
      <c r="J863" s="26" t="str">
        <f aca="true">IF(OR(E863="",E863="!!!",F863="NEW"),"",COUNTBLANK(OFFSET(A$1,,,SUMPRODUCT(MAX(ROW(E$2:E846)*(E863=E$2:E846)))))-COUNTBLANK(OFFSET(A$1,,,SUMPRODUCT(MAX(ROW(E$1:E845)*(E863=E$1:E845))))))</f>
        <v/>
      </c>
      <c r="K863" s="26" t="str">
        <f aca="false">IF(OR(E863="",E863="!!!",F863="NEW"),"",INDEX(J$1:J845,SUMPRODUCT(MAX(ROW(E$1:E845)*(E863=E$1:E845)))))</f>
        <v/>
      </c>
      <c r="L863" s="27"/>
    </row>
    <row r="864" customFormat="false" ht="15" hidden="false" customHeight="false" outlineLevel="0" collapsed="false">
      <c r="A864" s="20" t="s">
        <v>237</v>
      </c>
      <c r="B864" s="28" t="s">
        <v>219</v>
      </c>
      <c r="C864" s="28" t="s">
        <v>223</v>
      </c>
      <c r="D864" s="28" t="s">
        <v>198</v>
      </c>
      <c r="E864" s="21" t="s">
        <v>237</v>
      </c>
      <c r="F864" s="22" t="s">
        <v>226</v>
      </c>
      <c r="G864" s="23" t="s">
        <v>247</v>
      </c>
      <c r="H864" s="24"/>
      <c r="I864" s="25" t="str">
        <f aca="false">IF(OR(E864="",E864="!!!",F864="NEW"),"",INDEX(B$2:B846,-1+SUMPRODUCT(MAX(ROW(E$2:E846)*(E864=E$2:E846)))))</f>
        <v>other_3</v>
      </c>
      <c r="J864" s="26" t="n">
        <f aca="true">IF(OR(E864="",E864="!!!",F864="NEW"),"",COUNTBLANK(OFFSET(A$1,,,SUMPRODUCT(MAX(ROW(E$2:E847)*(E864=E$2:E847)))))-COUNTBLANK(OFFSET(A$1,,,SUMPRODUCT(MAX(ROW(E$1:E846)*(E864=E$1:E846))))))</f>
        <v>0</v>
      </c>
      <c r="K864" s="26" t="n">
        <f aca="false">IF(OR(E864="",E864="!!!",F864="NEW"),"",INDEX(J$1:J846,SUMPRODUCT(MAX(ROW(E$1:E846)*(E864=E$1:E846)))))</f>
        <v>0</v>
      </c>
      <c r="L864" s="27"/>
    </row>
    <row r="865" customFormat="false" ht="15" hidden="false" customHeight="false" outlineLevel="0" collapsed="false">
      <c r="A865" s="20" t="s">
        <v>244</v>
      </c>
      <c r="E865" s="21"/>
      <c r="F865" s="22"/>
      <c r="G865" s="23"/>
      <c r="H865" s="24"/>
      <c r="I865" s="25" t="str">
        <f aca="false">IF(OR(E865="",E865="!!!",F865="NEW"),"",INDEX(B$2:B847,-1+SUMPRODUCT(MAX(ROW(E$2:E847)*(E865=E$2:E847)))))</f>
        <v/>
      </c>
      <c r="J865" s="26" t="str">
        <f aca="true">IF(OR(E865="",E865="!!!",F865="NEW"),"",COUNTBLANK(OFFSET(A$1,,,SUMPRODUCT(MAX(ROW(E$2:E848)*(E865=E$2:E848)))))-COUNTBLANK(OFFSET(A$1,,,SUMPRODUCT(MAX(ROW(E$1:E847)*(E865=E$1:E847))))))</f>
        <v/>
      </c>
      <c r="K865" s="26" t="str">
        <f aca="false">IF(OR(E865="",E865="!!!",F865="NEW"),"",INDEX(J$1:J847,SUMPRODUCT(MAX(ROW(E$1:E847)*(E865=E$1:E847)))))</f>
        <v/>
      </c>
      <c r="L865" s="27"/>
    </row>
    <row r="866" customFormat="false" ht="15" hidden="false" customHeight="false" outlineLevel="0" collapsed="false">
      <c r="A866" s="20" t="s">
        <v>320</v>
      </c>
      <c r="E866" s="21"/>
      <c r="F866" s="22"/>
      <c r="G866" s="23"/>
      <c r="H866" s="24"/>
      <c r="I866" s="25" t="str">
        <f aca="false">IF(OR(E866="",E866="!!!",F866="NEW"),"",INDEX(B$2:B848,-1+SUMPRODUCT(MAX(ROW(E$2:E848)*(E866=E$2:E848)))))</f>
        <v/>
      </c>
      <c r="J866" s="26" t="str">
        <f aca="true">IF(OR(E866="",E866="!!!",F866="NEW"),"",COUNTBLANK(OFFSET(A$1,,,SUMPRODUCT(MAX(ROW(E$2:E849)*(E866=E$2:E849)))))-COUNTBLANK(OFFSET(A$1,,,SUMPRODUCT(MAX(ROW(E$1:E848)*(E866=E$1:E848))))))</f>
        <v/>
      </c>
      <c r="K866" s="26" t="str">
        <f aca="false">IF(OR(E866="",E866="!!!",F866="NEW"),"",INDEX(J$1:J848,SUMPRODUCT(MAX(ROW(E$1:E848)*(E866=E$1:E848)))))</f>
        <v/>
      </c>
      <c r="L866" s="27"/>
    </row>
    <row r="867" customFormat="false" ht="15" hidden="false" customHeight="false" outlineLevel="0" collapsed="false">
      <c r="A867" s="20"/>
      <c r="E867" s="21"/>
      <c r="F867" s="22"/>
      <c r="G867" s="23"/>
      <c r="H867" s="24"/>
      <c r="I867" s="25" t="str">
        <f aca="false">IF(OR(E867="",E867="!!!",F867="NEW"),"",INDEX(B$2:B849,-1+SUMPRODUCT(MAX(ROW(E$2:E849)*(E867=E$2:E849)))))</f>
        <v/>
      </c>
      <c r="J867" s="26" t="str">
        <f aca="true">IF(OR(E867="",E867="!!!",F867="NEW"),"",COUNTBLANK(OFFSET(A$1,,,SUMPRODUCT(MAX(ROW(E$2:E850)*(E867=E$2:E850)))))-COUNTBLANK(OFFSET(A$1,,,SUMPRODUCT(MAX(ROW(E$1:E849)*(E867=E$1:E849))))))</f>
        <v/>
      </c>
      <c r="K867" s="26" t="str">
        <f aca="false">IF(OR(E867="",E867="!!!",F867="NEW"),"",INDEX(J$1:J849,SUMPRODUCT(MAX(ROW(E$1:E849)*(E867=E$1:E849)))))</f>
        <v/>
      </c>
      <c r="L867" s="27"/>
    </row>
    <row r="868" customFormat="false" ht="15" hidden="false" customHeight="false" outlineLevel="0" collapsed="false">
      <c r="A868" s="20" t="s">
        <v>580</v>
      </c>
      <c r="E868" s="21"/>
      <c r="F868" s="22"/>
      <c r="G868" s="23"/>
      <c r="H868" s="24"/>
      <c r="I868" s="25" t="str">
        <f aca="false">IF(OR(E868="",E868="!!!",F868="NEW"),"",INDEX(B$2:B850,-1+SUMPRODUCT(MAX(ROW(E$2:E850)*(E868=E$2:E850)))))</f>
        <v/>
      </c>
      <c r="J868" s="26" t="str">
        <f aca="true">IF(OR(E868="",E868="!!!",F868="NEW"),"",COUNTBLANK(OFFSET(A$1,,,SUMPRODUCT(MAX(ROW(E$2:E851)*(E868=E$2:E851)))))-COUNTBLANK(OFFSET(A$1,,,SUMPRODUCT(MAX(ROW(E$1:E850)*(E868=E$1:E850))))))</f>
        <v/>
      </c>
      <c r="K868" s="26" t="str">
        <f aca="false">IF(OR(E868="",E868="!!!",F868="NEW"),"",INDEX(J$1:J850,SUMPRODUCT(MAX(ROW(E$1:E850)*(E868=E$1:E850)))))</f>
        <v/>
      </c>
      <c r="L868" s="27"/>
    </row>
    <row r="869" customFormat="false" ht="15" hidden="false" customHeight="false" outlineLevel="0" collapsed="false">
      <c r="A869" s="20" t="s">
        <v>313</v>
      </c>
      <c r="E869" s="21"/>
      <c r="F869" s="22"/>
      <c r="G869" s="23"/>
      <c r="H869" s="24"/>
      <c r="I869" s="25" t="str">
        <f aca="false">IF(OR(E869="",E869="!!!",F869="NEW"),"",INDEX(B$2:B851,-1+SUMPRODUCT(MAX(ROW(E$2:E851)*(E869=E$2:E851)))))</f>
        <v/>
      </c>
      <c r="J869" s="26" t="str">
        <f aca="true">IF(OR(E869="",E869="!!!",F869="NEW"),"",COUNTBLANK(OFFSET(A$1,,,SUMPRODUCT(MAX(ROW(E$2:E852)*(E869=E$2:E852)))))-COUNTBLANK(OFFSET(A$1,,,SUMPRODUCT(MAX(ROW(E$1:E851)*(E869=E$1:E851))))))</f>
        <v/>
      </c>
      <c r="K869" s="26" t="str">
        <f aca="false">IF(OR(E869="",E869="!!!",F869="NEW"),"",INDEX(J$1:J851,SUMPRODUCT(MAX(ROW(E$1:E851)*(E869=E$1:E851)))))</f>
        <v/>
      </c>
      <c r="L869" s="27"/>
    </row>
    <row r="870" customFormat="false" ht="15" hidden="false" customHeight="false" outlineLevel="0" collapsed="false">
      <c r="A870" s="20" t="s">
        <v>195</v>
      </c>
      <c r="B870" s="28" t="s">
        <v>222</v>
      </c>
      <c r="C870" s="28" t="s">
        <v>197</v>
      </c>
      <c r="D870" s="28" t="s">
        <v>198</v>
      </c>
      <c r="E870" s="21" t="s">
        <v>511</v>
      </c>
      <c r="F870" s="22" t="s">
        <v>226</v>
      </c>
      <c r="G870" s="23" t="s">
        <v>247</v>
      </c>
      <c r="H870" s="24" t="s">
        <v>189</v>
      </c>
      <c r="I870" s="25" t="str">
        <f aca="false">IF(OR(E870="",E870="!!!",F870="NEW"),"",INDEX(B$2:B852,-1+SUMPRODUCT(MAX(ROW(E$2:E852)*(E870=E$2:E852)))))</f>
        <v>other_2</v>
      </c>
      <c r="J870" s="26" t="n">
        <f aca="true">IF(OR(E870="",E870="!!!",F870="NEW"),"",COUNTBLANK(OFFSET(A$1,,,SUMPRODUCT(MAX(ROW(E$2:E853)*(E870=E$2:E853)))))-COUNTBLANK(OFFSET(A$1,,,SUMPRODUCT(MAX(ROW(E$1:E852)*(E870=E$1:E852))))))</f>
        <v>0</v>
      </c>
      <c r="K870" s="26" t="n">
        <f aca="false">IF(OR(E870="",E870="!!!",F870="NEW"),"",INDEX(J$1:J852,SUMPRODUCT(MAX(ROW(E$1:E852)*(E870=E$1:E852)))))</f>
        <v>0</v>
      </c>
      <c r="L870" s="27"/>
    </row>
    <row r="871" customFormat="false" ht="15" hidden="false" customHeight="false" outlineLevel="0" collapsed="false">
      <c r="A871" s="20" t="s">
        <v>315</v>
      </c>
      <c r="E871" s="21"/>
      <c r="F871" s="22"/>
      <c r="G871" s="23"/>
      <c r="H871" s="24"/>
      <c r="I871" s="25" t="str">
        <f aca="false">IF(OR(E871="",E871="!!!",F871="NEW"),"",INDEX(B$2:B853,-1+SUMPRODUCT(MAX(ROW(E$2:E853)*(E871=E$2:E853)))))</f>
        <v/>
      </c>
      <c r="J871" s="26" t="str">
        <f aca="true">IF(OR(E871="",E871="!!!",F871="NEW"),"",COUNTBLANK(OFFSET(A$1,,,SUMPRODUCT(MAX(ROW(E$2:E854)*(E871=E$2:E854)))))-COUNTBLANK(OFFSET(A$1,,,SUMPRODUCT(MAX(ROW(E$1:E853)*(E871=E$1:E853))))))</f>
        <v/>
      </c>
      <c r="K871" s="26" t="str">
        <f aca="false">IF(OR(E871="",E871="!!!",F871="NEW"),"",INDEX(J$1:J853,SUMPRODUCT(MAX(ROW(E$1:E853)*(E871=E$1:E853)))))</f>
        <v/>
      </c>
      <c r="L871" s="27"/>
    </row>
    <row r="872" customFormat="false" ht="15" hidden="false" customHeight="false" outlineLevel="0" collapsed="false">
      <c r="A872" s="20" t="s">
        <v>581</v>
      </c>
      <c r="E872" s="21"/>
      <c r="F872" s="22"/>
      <c r="G872" s="23"/>
      <c r="H872" s="24"/>
      <c r="I872" s="25" t="str">
        <f aca="false">IF(OR(E872="",E872="!!!",F872="NEW"),"",INDEX(B$2:B854,-1+SUMPRODUCT(MAX(ROW(E$2:E854)*(E872=E$2:E854)))))</f>
        <v/>
      </c>
      <c r="J872" s="26" t="str">
        <f aca="true">IF(OR(E872="",E872="!!!",F872="NEW"),"",COUNTBLANK(OFFSET(A$1,,,SUMPRODUCT(MAX(ROW(E$2:E855)*(E872=E$2:E855)))))-COUNTBLANK(OFFSET(A$1,,,SUMPRODUCT(MAX(ROW(E$1:E854)*(E872=E$1:E854))))))</f>
        <v/>
      </c>
      <c r="K872" s="26" t="str">
        <f aca="false">IF(OR(E872="",E872="!!!",F872="NEW"),"",INDEX(J$1:J854,SUMPRODUCT(MAX(ROW(E$1:E854)*(E872=E$1:E854)))))</f>
        <v/>
      </c>
      <c r="L872" s="27"/>
    </row>
    <row r="873" customFormat="false" ht="15" hidden="false" customHeight="false" outlineLevel="0" collapsed="false">
      <c r="A873" s="20" t="s">
        <v>209</v>
      </c>
      <c r="E873" s="21"/>
      <c r="F873" s="22"/>
      <c r="G873" s="23"/>
      <c r="H873" s="24"/>
      <c r="I873" s="25" t="str">
        <f aca="false">IF(OR(E873="",E873="!!!",F873="NEW"),"",INDEX(B$2:B855,-1+SUMPRODUCT(MAX(ROW(E$2:E855)*(E873=E$2:E855)))))</f>
        <v/>
      </c>
      <c r="J873" s="26" t="str">
        <f aca="true">IF(OR(E873="",E873="!!!",F873="NEW"),"",COUNTBLANK(OFFSET(A$1,,,SUMPRODUCT(MAX(ROW(E$2:E856)*(E873=E$2:E856)))))-COUNTBLANK(OFFSET(A$1,,,SUMPRODUCT(MAX(ROW(E$1:E855)*(E873=E$1:E855))))))</f>
        <v/>
      </c>
      <c r="K873" s="26" t="str">
        <f aca="false">IF(OR(E873="",E873="!!!",F873="NEW"),"",INDEX(J$1:J855,SUMPRODUCT(MAX(ROW(E$1:E855)*(E873=E$1:E855)))))</f>
        <v/>
      </c>
      <c r="L873" s="27"/>
    </row>
    <row r="874" customFormat="false" ht="15" hidden="false" customHeight="false" outlineLevel="0" collapsed="false">
      <c r="A874" s="20" t="s">
        <v>204</v>
      </c>
      <c r="E874" s="21"/>
      <c r="F874" s="22"/>
      <c r="G874" s="23"/>
      <c r="H874" s="24"/>
      <c r="I874" s="25" t="str">
        <f aca="false">IF(OR(E874="",E874="!!!",F874="NEW"),"",INDEX(B$2:B856,-1+SUMPRODUCT(MAX(ROW(E$2:E856)*(E874=E$2:E856)))))</f>
        <v/>
      </c>
      <c r="J874" s="26" t="str">
        <f aca="true">IF(OR(E874="",E874="!!!",F874="NEW"),"",COUNTBLANK(OFFSET(A$1,,,SUMPRODUCT(MAX(ROW(E$2:E857)*(E874=E$2:E857)))))-COUNTBLANK(OFFSET(A$1,,,SUMPRODUCT(MAX(ROW(E$1:E856)*(E874=E$1:E856))))))</f>
        <v/>
      </c>
      <c r="K874" s="26" t="str">
        <f aca="false">IF(OR(E874="",E874="!!!",F874="NEW"),"",INDEX(J$1:J856,SUMPRODUCT(MAX(ROW(E$1:E856)*(E874=E$1:E856)))))</f>
        <v/>
      </c>
      <c r="L874" s="27"/>
    </row>
    <row r="875" customFormat="false" ht="15" hidden="false" customHeight="false" outlineLevel="0" collapsed="false">
      <c r="A875" s="20" t="s">
        <v>582</v>
      </c>
      <c r="B875" s="28" t="s">
        <v>196</v>
      </c>
      <c r="C875" s="28" t="s">
        <v>207</v>
      </c>
      <c r="D875" s="28" t="s">
        <v>198</v>
      </c>
      <c r="E875" s="21" t="s">
        <v>583</v>
      </c>
      <c r="F875" s="22" t="s">
        <v>200</v>
      </c>
      <c r="G875" s="23" t="s">
        <v>201</v>
      </c>
      <c r="H875" s="24"/>
      <c r="I875" s="25" t="str">
        <f aca="false">IF(OR(E875="",E875="!!!",F875="NEW"),"",INDEX(B$2:B857,-1+SUMPRODUCT(MAX(ROW(E$2:E857)*(E875=E$2:E857)))))</f>
        <v/>
      </c>
      <c r="J875" s="26" t="str">
        <f aca="true">IF(OR(E875="",E875="!!!",F875="NEW"),"",COUNTBLANK(OFFSET(A$1,,,SUMPRODUCT(MAX(ROW(E$2:E858)*(E875=E$2:E858)))))-COUNTBLANK(OFFSET(A$1,,,SUMPRODUCT(MAX(ROW(E$1:E857)*(E875=E$1:E857))))))</f>
        <v/>
      </c>
      <c r="K875" s="26" t="str">
        <f aca="false">IF(OR(E875="",E875="!!!",F875="NEW"),"",INDEX(J$1:J857,SUMPRODUCT(MAX(ROW(E$1:E857)*(E875=E$1:E857)))))</f>
        <v/>
      </c>
      <c r="L875" s="27"/>
    </row>
    <row r="876" customFormat="false" ht="15" hidden="false" customHeight="false" outlineLevel="0" collapsed="false">
      <c r="A876" s="20" t="s">
        <v>262</v>
      </c>
      <c r="E876" s="21"/>
      <c r="F876" s="22"/>
      <c r="G876" s="23"/>
      <c r="H876" s="24"/>
      <c r="I876" s="25" t="str">
        <f aca="false">IF(OR(E876="",E876="!!!",F876="NEW"),"",INDEX(B$2:B858,-1+SUMPRODUCT(MAX(ROW(E$2:E858)*(E876=E$2:E858)))))</f>
        <v/>
      </c>
      <c r="J876" s="26" t="str">
        <f aca="true">IF(OR(E876="",E876="!!!",F876="NEW"),"",COUNTBLANK(OFFSET(A$1,,,SUMPRODUCT(MAX(ROW(E$2:E859)*(E876=E$2:E859)))))-COUNTBLANK(OFFSET(A$1,,,SUMPRODUCT(MAX(ROW(E$1:E858)*(E876=E$1:E858))))))</f>
        <v/>
      </c>
      <c r="K876" s="26" t="str">
        <f aca="false">IF(OR(E876="",E876="!!!",F876="NEW"),"",INDEX(J$1:J858,SUMPRODUCT(MAX(ROW(E$1:E858)*(E876=E$1:E858)))))</f>
        <v/>
      </c>
      <c r="L876" s="27"/>
    </row>
    <row r="877" customFormat="false" ht="15" hidden="false" customHeight="false" outlineLevel="0" collapsed="false">
      <c r="A877" s="20" t="s">
        <v>584</v>
      </c>
      <c r="E877" s="21"/>
      <c r="F877" s="22"/>
      <c r="G877" s="23"/>
      <c r="H877" s="24"/>
      <c r="I877" s="25" t="str">
        <f aca="false">IF(OR(E877="",E877="!!!",F877="NEW"),"",INDEX(B$2:B859,-1+SUMPRODUCT(MAX(ROW(E$2:E859)*(E877=E$2:E859)))))</f>
        <v/>
      </c>
      <c r="J877" s="26" t="str">
        <f aca="true">IF(OR(E877="",E877="!!!",F877="NEW"),"",COUNTBLANK(OFFSET(A$1,,,SUMPRODUCT(MAX(ROW(E$2:E860)*(E877=E$2:E860)))))-COUNTBLANK(OFFSET(A$1,,,SUMPRODUCT(MAX(ROW(E$1:E859)*(E877=E$1:E859))))))</f>
        <v/>
      </c>
      <c r="K877" s="26" t="str">
        <f aca="false">IF(OR(E877="",E877="!!!",F877="NEW"),"",INDEX(J$1:J859,SUMPRODUCT(MAX(ROW(E$1:E859)*(E877=E$1:E859)))))</f>
        <v/>
      </c>
      <c r="L877" s="27"/>
    </row>
    <row r="878" customFormat="false" ht="15" hidden="false" customHeight="false" outlineLevel="0" collapsed="false">
      <c r="A878" s="20" t="s">
        <v>585</v>
      </c>
      <c r="E878" s="21"/>
      <c r="F878" s="22"/>
      <c r="G878" s="23"/>
      <c r="H878" s="24"/>
      <c r="I878" s="25" t="str">
        <f aca="false">IF(OR(E878="",E878="!!!",F878="NEW"),"",INDEX(B$2:B860,-1+SUMPRODUCT(MAX(ROW(E$2:E860)*(E878=E$2:E860)))))</f>
        <v/>
      </c>
      <c r="J878" s="26" t="str">
        <f aca="true">IF(OR(E878="",E878="!!!",F878="NEW"),"",COUNTBLANK(OFFSET(A$1,,,SUMPRODUCT(MAX(ROW(E$2:E861)*(E878=E$2:E861)))))-COUNTBLANK(OFFSET(A$1,,,SUMPRODUCT(MAX(ROW(E$1:E860)*(E878=E$1:E860))))))</f>
        <v/>
      </c>
      <c r="K878" s="26" t="str">
        <f aca="false">IF(OR(E878="",E878="!!!",F878="NEW"),"",INDEX(J$1:J860,SUMPRODUCT(MAX(ROW(E$1:E860)*(E878=E$1:E860)))))</f>
        <v/>
      </c>
      <c r="L878" s="27"/>
    </row>
    <row r="879" customFormat="false" ht="15" hidden="false" customHeight="false" outlineLevel="0" collapsed="false">
      <c r="A879" s="20" t="s">
        <v>195</v>
      </c>
      <c r="B879" s="28" t="s">
        <v>222</v>
      </c>
      <c r="C879" s="28" t="s">
        <v>197</v>
      </c>
      <c r="D879" s="28" t="s">
        <v>198</v>
      </c>
      <c r="E879" s="21" t="s">
        <v>511</v>
      </c>
      <c r="F879" s="22" t="s">
        <v>226</v>
      </c>
      <c r="G879" s="23" t="s">
        <v>227</v>
      </c>
      <c r="H879" s="24"/>
      <c r="I879" s="25" t="str">
        <f aca="false">IF(OR(E879="",E879="!!!",F879="NEW"),"",INDEX(B$2:B861,-1+SUMPRODUCT(MAX(ROW(E$2:E861)*(E879=E$2:E861)))))</f>
        <v>other_2</v>
      </c>
      <c r="J879" s="26" t="n">
        <f aca="true">IF(OR(E879="",E879="!!!",F879="NEW"),"",COUNTBLANK(OFFSET(A$1,,,SUMPRODUCT(MAX(ROW(E$2:E862)*(E879=E$2:E862)))))-COUNTBLANK(OFFSET(A$1,,,SUMPRODUCT(MAX(ROW(E$1:E861)*(E879=E$1:E861))))))</f>
        <v>0</v>
      </c>
      <c r="K879" s="26" t="n">
        <f aca="false">IF(OR(E879="",E879="!!!",F879="NEW"),"",INDEX(J$1:J861,SUMPRODUCT(MAX(ROW(E$1:E861)*(E879=E$1:E861)))))</f>
        <v>0</v>
      </c>
      <c r="L879" s="27"/>
    </row>
    <row r="880" customFormat="false" ht="15" hidden="false" customHeight="false" outlineLevel="0" collapsed="false">
      <c r="A880" s="20" t="s">
        <v>293</v>
      </c>
      <c r="E880" s="21"/>
      <c r="F880" s="22"/>
      <c r="G880" s="23"/>
      <c r="H880" s="24"/>
      <c r="I880" s="25" t="str">
        <f aca="false">IF(OR(E880="",E880="!!!",F880="NEW"),"",INDEX(B$2:B862,-1+SUMPRODUCT(MAX(ROW(E$2:E862)*(E880=E$2:E862)))))</f>
        <v/>
      </c>
      <c r="J880" s="26" t="str">
        <f aca="true">IF(OR(E880="",E880="!!!",F880="NEW"),"",COUNTBLANK(OFFSET(A$1,,,SUMPRODUCT(MAX(ROW(E$2:E863)*(E880=E$2:E863)))))-COUNTBLANK(OFFSET(A$1,,,SUMPRODUCT(MAX(ROW(E$1:E862)*(E880=E$1:E862))))))</f>
        <v/>
      </c>
      <c r="K880" s="26" t="str">
        <f aca="false">IF(OR(E880="",E880="!!!",F880="NEW"),"",INDEX(J$1:J862,SUMPRODUCT(MAX(ROW(E$1:E862)*(E880=E$1:E862)))))</f>
        <v/>
      </c>
      <c r="L880" s="27"/>
    </row>
    <row r="881" customFormat="false" ht="15" hidden="false" customHeight="false" outlineLevel="0" collapsed="false">
      <c r="A881" s="20" t="s">
        <v>294</v>
      </c>
      <c r="E881" s="21"/>
      <c r="F881" s="22"/>
      <c r="G881" s="23"/>
      <c r="H881" s="24"/>
      <c r="I881" s="25" t="str">
        <f aca="false">IF(OR(E881="",E881="!!!",F881="NEW"),"",INDEX(B$2:B863,-1+SUMPRODUCT(MAX(ROW(E$2:E863)*(E881=E$2:E863)))))</f>
        <v/>
      </c>
      <c r="J881" s="26" t="str">
        <f aca="true">IF(OR(E881="",E881="!!!",F881="NEW"),"",COUNTBLANK(OFFSET(A$1,,,SUMPRODUCT(MAX(ROW(E$2:E864)*(E881=E$2:E864)))))-COUNTBLANK(OFFSET(A$1,,,SUMPRODUCT(MAX(ROW(E$1:E863)*(E881=E$1:E863))))))</f>
        <v/>
      </c>
      <c r="K881" s="26" t="str">
        <f aca="false">IF(OR(E881="",E881="!!!",F881="NEW"),"",INDEX(J$1:J863,SUMPRODUCT(MAX(ROW(E$1:E863)*(E881=E$1:E863)))))</f>
        <v/>
      </c>
      <c r="L881" s="27"/>
    </row>
    <row r="882" customFormat="false" ht="15" hidden="false" customHeight="false" outlineLevel="0" collapsed="false">
      <c r="A882" s="20" t="s">
        <v>295</v>
      </c>
      <c r="E882" s="21"/>
      <c r="F882" s="22"/>
      <c r="G882" s="23"/>
      <c r="H882" s="24"/>
      <c r="I882" s="25" t="str">
        <f aca="false">IF(OR(E882="",E882="!!!",F882="NEW"),"",INDEX(B$2:B864,-1+SUMPRODUCT(MAX(ROW(E$2:E864)*(E882=E$2:E864)))))</f>
        <v/>
      </c>
      <c r="J882" s="26" t="str">
        <f aca="true">IF(OR(E882="",E882="!!!",F882="NEW"),"",COUNTBLANK(OFFSET(A$1,,,SUMPRODUCT(MAX(ROW(E$2:E865)*(E882=E$2:E865)))))-COUNTBLANK(OFFSET(A$1,,,SUMPRODUCT(MAX(ROW(E$1:E864)*(E882=E$1:E864))))))</f>
        <v/>
      </c>
      <c r="K882" s="26" t="str">
        <f aca="false">IF(OR(E882="",E882="!!!",F882="NEW"),"",INDEX(J$1:J864,SUMPRODUCT(MAX(ROW(E$1:E864)*(E882=E$1:E864)))))</f>
        <v/>
      </c>
      <c r="L882" s="27"/>
    </row>
    <row r="883" customFormat="false" ht="15" hidden="false" customHeight="false" outlineLevel="0" collapsed="false">
      <c r="A883" s="20" t="s">
        <v>244</v>
      </c>
      <c r="E883" s="21"/>
      <c r="F883" s="22"/>
      <c r="G883" s="23"/>
      <c r="H883" s="24"/>
      <c r="I883" s="25" t="str">
        <f aca="false">IF(OR(E883="",E883="!!!",F883="NEW"),"",INDEX(B$2:B865,-1+SUMPRODUCT(MAX(ROW(E$2:E865)*(E883=E$2:E865)))))</f>
        <v/>
      </c>
      <c r="J883" s="26" t="str">
        <f aca="true">IF(OR(E883="",E883="!!!",F883="NEW"),"",COUNTBLANK(OFFSET(A$1,,,SUMPRODUCT(MAX(ROW(E$2:E866)*(E883=E$2:E866)))))-COUNTBLANK(OFFSET(A$1,,,SUMPRODUCT(MAX(ROW(E$1:E865)*(E883=E$1:E865))))))</f>
        <v/>
      </c>
      <c r="K883" s="26" t="str">
        <f aca="false">IF(OR(E883="",E883="!!!",F883="NEW"),"",INDEX(J$1:J865,SUMPRODUCT(MAX(ROW(E$1:E865)*(E883=E$1:E865)))))</f>
        <v/>
      </c>
      <c r="L883" s="27"/>
    </row>
    <row r="884" customFormat="false" ht="15" hidden="false" customHeight="false" outlineLevel="0" collapsed="false">
      <c r="A884" s="20"/>
      <c r="E884" s="21"/>
      <c r="F884" s="22"/>
      <c r="G884" s="23"/>
      <c r="H884" s="24"/>
      <c r="I884" s="25" t="str">
        <f aca="false">IF(OR(E884="",E884="!!!",F884="NEW"),"",INDEX(B$2:B866,-1+SUMPRODUCT(MAX(ROW(E$2:E866)*(E884=E$2:E866)))))</f>
        <v/>
      </c>
      <c r="J884" s="26" t="str">
        <f aca="true">IF(OR(E884="",E884="!!!",F884="NEW"),"",COUNTBLANK(OFFSET(A$1,,,SUMPRODUCT(MAX(ROW(E$2:E867)*(E884=E$2:E867)))))-COUNTBLANK(OFFSET(A$1,,,SUMPRODUCT(MAX(ROW(E$1:E866)*(E884=E$1:E866))))))</f>
        <v/>
      </c>
      <c r="K884" s="26" t="str">
        <f aca="false">IF(OR(E884="",E884="!!!",F884="NEW"),"",INDEX(J$1:J866,SUMPRODUCT(MAX(ROW(E$1:E866)*(E884=E$1:E866)))))</f>
        <v/>
      </c>
      <c r="L884" s="27"/>
    </row>
    <row r="885" customFormat="false" ht="15" hidden="false" customHeight="false" outlineLevel="0" collapsed="false">
      <c r="A885" s="20" t="s">
        <v>586</v>
      </c>
      <c r="E885" s="21"/>
      <c r="F885" s="22"/>
      <c r="G885" s="23"/>
      <c r="H885" s="24"/>
      <c r="I885" s="25" t="str">
        <f aca="false">IF(OR(E885="",E885="!!!",F885="NEW"),"",INDEX(B$2:B867,-1+SUMPRODUCT(MAX(ROW(E$2:E867)*(E885=E$2:E867)))))</f>
        <v/>
      </c>
      <c r="J885" s="26" t="str">
        <f aca="true">IF(OR(E885="",E885="!!!",F885="NEW"),"",COUNTBLANK(OFFSET(A$1,,,SUMPRODUCT(MAX(ROW(E$2:E868)*(E885=E$2:E868)))))-COUNTBLANK(OFFSET(A$1,,,SUMPRODUCT(MAX(ROW(E$1:E867)*(E885=E$1:E867))))))</f>
        <v/>
      </c>
      <c r="K885" s="26" t="str">
        <f aca="false">IF(OR(E885="",E885="!!!",F885="NEW"),"",INDEX(J$1:J867,SUMPRODUCT(MAX(ROW(E$1:E867)*(E885=E$1:E867)))))</f>
        <v/>
      </c>
      <c r="L885" s="27"/>
    </row>
    <row r="886" customFormat="false" ht="15" hidden="false" customHeight="false" outlineLevel="0" collapsed="false">
      <c r="A886" s="20" t="s">
        <v>246</v>
      </c>
      <c r="B886" s="28" t="s">
        <v>196</v>
      </c>
      <c r="C886" s="28" t="s">
        <v>197</v>
      </c>
      <c r="D886" s="28" t="s">
        <v>198</v>
      </c>
      <c r="E886" s="21" t="s">
        <v>511</v>
      </c>
      <c r="F886" s="22" t="s">
        <v>226</v>
      </c>
      <c r="G886" s="23" t="s">
        <v>247</v>
      </c>
      <c r="H886" s="24" t="s">
        <v>189</v>
      </c>
      <c r="I886" s="25" t="str">
        <f aca="false">IF(OR(E886="",E886="!!!",F886="NEW"),"",INDEX(B$2:B868,-1+SUMPRODUCT(MAX(ROW(E$2:E868)*(E886=E$2:E868)))))</f>
        <v>other_2</v>
      </c>
      <c r="J886" s="26" t="n">
        <f aca="true">IF(OR(E886="",E886="!!!",F886="NEW"),"",COUNTBLANK(OFFSET(A$1,,,SUMPRODUCT(MAX(ROW(E$2:E869)*(E886=E$2:E869)))))-COUNTBLANK(OFFSET(A$1,,,SUMPRODUCT(MAX(ROW(E$1:E868)*(E886=E$1:E868))))))</f>
        <v>0</v>
      </c>
      <c r="K886" s="26" t="n">
        <f aca="false">IF(OR(E886="",E886="!!!",F886="NEW"),"",INDEX(J$1:J868,SUMPRODUCT(MAX(ROW(E$1:E868)*(E886=E$1:E868)))))</f>
        <v>0</v>
      </c>
      <c r="L886" s="27"/>
    </row>
    <row r="887" customFormat="false" ht="15" hidden="false" customHeight="false" outlineLevel="0" collapsed="false">
      <c r="A887" s="20" t="s">
        <v>293</v>
      </c>
      <c r="E887" s="21"/>
      <c r="F887" s="22"/>
      <c r="G887" s="23"/>
      <c r="H887" s="24"/>
      <c r="I887" s="25" t="str">
        <f aca="false">IF(OR(E887="",E887="!!!",F887="NEW"),"",INDEX(B$2:B869,-1+SUMPRODUCT(MAX(ROW(E$2:E869)*(E887=E$2:E869)))))</f>
        <v/>
      </c>
      <c r="J887" s="26" t="str">
        <f aca="true">IF(OR(E887="",E887="!!!",F887="NEW"),"",COUNTBLANK(OFFSET(A$1,,,SUMPRODUCT(MAX(ROW(E$2:E870)*(E887=E$2:E870)))))-COUNTBLANK(OFFSET(A$1,,,SUMPRODUCT(MAX(ROW(E$1:E869)*(E887=E$1:E869))))))</f>
        <v/>
      </c>
      <c r="K887" s="26" t="str">
        <f aca="false">IF(OR(E887="",E887="!!!",F887="NEW"),"",INDEX(J$1:J869,SUMPRODUCT(MAX(ROW(E$1:E869)*(E887=E$1:E869)))))</f>
        <v/>
      </c>
      <c r="L887" s="27"/>
    </row>
    <row r="888" customFormat="false" ht="15" hidden="false" customHeight="false" outlineLevel="0" collapsed="false">
      <c r="A888" s="20" t="s">
        <v>364</v>
      </c>
      <c r="E888" s="21"/>
      <c r="F888" s="22"/>
      <c r="G888" s="23"/>
      <c r="H888" s="24"/>
      <c r="I888" s="25" t="str">
        <f aca="false">IF(OR(E888="",E888="!!!",F888="NEW"),"",INDEX(B$2:B870,-1+SUMPRODUCT(MAX(ROW(E$2:E870)*(E888=E$2:E870)))))</f>
        <v/>
      </c>
      <c r="J888" s="26" t="str">
        <f aca="true">IF(OR(E888="",E888="!!!",F888="NEW"),"",COUNTBLANK(OFFSET(A$1,,,SUMPRODUCT(MAX(ROW(E$2:E871)*(E888=E$2:E871)))))-COUNTBLANK(OFFSET(A$1,,,SUMPRODUCT(MAX(ROW(E$1:E870)*(E888=E$1:E870))))))</f>
        <v/>
      </c>
      <c r="K888" s="26" t="str">
        <f aca="false">IF(OR(E888="",E888="!!!",F888="NEW"),"",INDEX(J$1:J870,SUMPRODUCT(MAX(ROW(E$1:E870)*(E888=E$1:E870)))))</f>
        <v/>
      </c>
      <c r="L888" s="27"/>
    </row>
    <row r="889" customFormat="false" ht="15" hidden="false" customHeight="false" outlineLevel="0" collapsed="false">
      <c r="A889" s="20" t="s">
        <v>335</v>
      </c>
      <c r="E889" s="21"/>
      <c r="F889" s="22"/>
      <c r="G889" s="23"/>
      <c r="H889" s="24"/>
      <c r="I889" s="25" t="str">
        <f aca="false">IF(OR(E889="",E889="!!!",F889="NEW"),"",INDEX(B$2:B871,-1+SUMPRODUCT(MAX(ROW(E$2:E871)*(E889=E$2:E871)))))</f>
        <v/>
      </c>
      <c r="J889" s="26" t="str">
        <f aca="true">IF(OR(E889="",E889="!!!",F889="NEW"),"",COUNTBLANK(OFFSET(A$1,,,SUMPRODUCT(MAX(ROW(E$2:E872)*(E889=E$2:E872)))))-COUNTBLANK(OFFSET(A$1,,,SUMPRODUCT(MAX(ROW(E$1:E871)*(E889=E$1:E871))))))</f>
        <v/>
      </c>
      <c r="K889" s="26" t="str">
        <f aca="false">IF(OR(E889="",E889="!!!",F889="NEW"),"",INDEX(J$1:J871,SUMPRODUCT(MAX(ROW(E$1:E871)*(E889=E$1:E871)))))</f>
        <v/>
      </c>
      <c r="L889" s="27"/>
    </row>
    <row r="890" customFormat="false" ht="15" hidden="false" customHeight="false" outlineLevel="0" collapsed="false">
      <c r="A890" s="20" t="s">
        <v>304</v>
      </c>
      <c r="E890" s="21"/>
      <c r="F890" s="22"/>
      <c r="G890" s="23"/>
      <c r="H890" s="24"/>
      <c r="I890" s="25" t="str">
        <f aca="false">IF(OR(E890="",E890="!!!",F890="NEW"),"",INDEX(B$2:B872,-1+SUMPRODUCT(MAX(ROW(E$2:E872)*(E890=E$2:E872)))))</f>
        <v/>
      </c>
      <c r="J890" s="26" t="str">
        <f aca="true">IF(OR(E890="",E890="!!!",F890="NEW"),"",COUNTBLANK(OFFSET(A$1,,,SUMPRODUCT(MAX(ROW(E$2:E873)*(E890=E$2:E873)))))-COUNTBLANK(OFFSET(A$1,,,SUMPRODUCT(MAX(ROW(E$1:E872)*(E890=E$1:E872))))))</f>
        <v/>
      </c>
      <c r="K890" s="26" t="str">
        <f aca="false">IF(OR(E890="",E890="!!!",F890="NEW"),"",INDEX(J$1:J872,SUMPRODUCT(MAX(ROW(E$1:E872)*(E890=E$1:E872)))))</f>
        <v/>
      </c>
      <c r="L890" s="27"/>
    </row>
    <row r="891" customFormat="false" ht="15" hidden="false" customHeight="false" outlineLevel="0" collapsed="false">
      <c r="A891" s="20" t="s">
        <v>204</v>
      </c>
      <c r="E891" s="21"/>
      <c r="F891" s="22"/>
      <c r="G891" s="23"/>
      <c r="H891" s="24"/>
      <c r="I891" s="25" t="str">
        <f aca="false">IF(OR(E891="",E891="!!!",F891="NEW"),"",INDEX(B$2:B873,-1+SUMPRODUCT(MAX(ROW(E$2:E873)*(E891=E$2:E873)))))</f>
        <v/>
      </c>
      <c r="J891" s="26" t="str">
        <f aca="true">IF(OR(E891="",E891="!!!",F891="NEW"),"",COUNTBLANK(OFFSET(A$1,,,SUMPRODUCT(MAX(ROW(E$2:E874)*(E891=E$2:E874)))))-COUNTBLANK(OFFSET(A$1,,,SUMPRODUCT(MAX(ROW(E$1:E873)*(E891=E$1:E873))))))</f>
        <v/>
      </c>
      <c r="K891" s="26" t="str">
        <f aca="false">IF(OR(E891="",E891="!!!",F891="NEW"),"",INDEX(J$1:J873,SUMPRODUCT(MAX(ROW(E$1:E873)*(E891=E$1:E873)))))</f>
        <v/>
      </c>
      <c r="L891" s="27"/>
    </row>
    <row r="892" customFormat="false" ht="15" hidden="false" customHeight="false" outlineLevel="0" collapsed="false">
      <c r="A892" s="20" t="s">
        <v>336</v>
      </c>
      <c r="E892" s="21"/>
      <c r="F892" s="22"/>
      <c r="G892" s="23"/>
      <c r="H892" s="24"/>
      <c r="I892" s="25" t="str">
        <f aca="false">IF(OR(E892="",E892="!!!",F892="NEW"),"",INDEX(B$2:B874,-1+SUMPRODUCT(MAX(ROW(E$2:E874)*(E892=E$2:E874)))))</f>
        <v/>
      </c>
      <c r="J892" s="26" t="str">
        <f aca="true">IF(OR(E892="",E892="!!!",F892="NEW"),"",COUNTBLANK(OFFSET(A$1,,,SUMPRODUCT(MAX(ROW(E$2:E875)*(E892=E$2:E875)))))-COUNTBLANK(OFFSET(A$1,,,SUMPRODUCT(MAX(ROW(E$1:E874)*(E892=E$1:E874))))))</f>
        <v/>
      </c>
      <c r="K892" s="26" t="str">
        <f aca="false">IF(OR(E892="",E892="!!!",F892="NEW"),"",INDEX(J$1:J874,SUMPRODUCT(MAX(ROW(E$1:E874)*(E892=E$1:E874)))))</f>
        <v/>
      </c>
      <c r="L892" s="27"/>
    </row>
    <row r="893" customFormat="false" ht="15" hidden="false" customHeight="false" outlineLevel="0" collapsed="false">
      <c r="A893" s="20" t="s">
        <v>337</v>
      </c>
      <c r="B893" s="28" t="s">
        <v>206</v>
      </c>
      <c r="C893" s="28" t="s">
        <v>207</v>
      </c>
      <c r="D893" s="28" t="s">
        <v>198</v>
      </c>
      <c r="E893" s="21" t="s">
        <v>338</v>
      </c>
      <c r="F893" s="22" t="s">
        <v>226</v>
      </c>
      <c r="G893" s="23" t="s">
        <v>201</v>
      </c>
      <c r="H893" s="24"/>
      <c r="I893" s="25" t="str">
        <f aca="false">IF(OR(E893="",E893="!!!",F893="NEW"),"",INDEX(B$2:B875,-1+SUMPRODUCT(MAX(ROW(E$2:E875)*(E893=E$2:E875)))))</f>
        <v>other_2</v>
      </c>
      <c r="J893" s="26" t="n">
        <f aca="true">IF(OR(E893="",E893="!!!",F893="NEW"),"",COUNTBLANK(OFFSET(A$1,,,SUMPRODUCT(MAX(ROW(E$2:E876)*(E893=E$2:E876)))))-COUNTBLANK(OFFSET(A$1,,,SUMPRODUCT(MAX(ROW(E$1:E875)*(E893=E$1:E875))))))</f>
        <v>0</v>
      </c>
      <c r="K893" s="26" t="str">
        <f aca="false">IF(OR(E893="",E893="!!!",F893="NEW"),"",INDEX(J$1:J875,SUMPRODUCT(MAX(ROW(E$1:E875)*(E893=E$1:E875)))))</f>
        <v/>
      </c>
      <c r="L893" s="27"/>
    </row>
    <row r="894" customFormat="false" ht="15" hidden="false" customHeight="false" outlineLevel="0" collapsed="false">
      <c r="A894" s="20" t="s">
        <v>209</v>
      </c>
      <c r="E894" s="21"/>
      <c r="F894" s="22"/>
      <c r="G894" s="23"/>
      <c r="H894" s="24"/>
      <c r="I894" s="25" t="str">
        <f aca="false">IF(OR(E894="",E894="!!!",F894="NEW"),"",INDEX(B$2:B876,-1+SUMPRODUCT(MAX(ROW(E$2:E876)*(E894=E$2:E876)))))</f>
        <v/>
      </c>
      <c r="J894" s="26" t="str">
        <f aca="true">IF(OR(E894="",E894="!!!",F894="NEW"),"",COUNTBLANK(OFFSET(A$1,,,SUMPRODUCT(MAX(ROW(E$2:E877)*(E894=E$2:E877)))))-COUNTBLANK(OFFSET(A$1,,,SUMPRODUCT(MAX(ROW(E$1:E876)*(E894=E$1:E876))))))</f>
        <v/>
      </c>
      <c r="K894" s="26" t="str">
        <f aca="false">IF(OR(E894="",E894="!!!",F894="NEW"),"",INDEX(J$1:J876,SUMPRODUCT(MAX(ROW(E$1:E876)*(E894=E$1:E876)))))</f>
        <v/>
      </c>
      <c r="L894" s="27"/>
    </row>
    <row r="895" customFormat="false" ht="15" hidden="false" customHeight="false" outlineLevel="0" collapsed="false">
      <c r="A895" s="20" t="s">
        <v>213</v>
      </c>
      <c r="E895" s="21"/>
      <c r="F895" s="22"/>
      <c r="G895" s="23"/>
      <c r="H895" s="24"/>
      <c r="I895" s="25" t="str">
        <f aca="false">IF(OR(E895="",E895="!!!",F895="NEW"),"",INDEX(B$2:B877,-1+SUMPRODUCT(MAX(ROW(E$2:E877)*(E895=E$2:E877)))))</f>
        <v/>
      </c>
      <c r="J895" s="26" t="str">
        <f aca="true">IF(OR(E895="",E895="!!!",F895="NEW"),"",COUNTBLANK(OFFSET(A$1,,,SUMPRODUCT(MAX(ROW(E$2:E878)*(E895=E$2:E878)))))-COUNTBLANK(OFFSET(A$1,,,SUMPRODUCT(MAX(ROW(E$1:E877)*(E895=E$1:E877))))))</f>
        <v/>
      </c>
      <c r="K895" s="26" t="str">
        <f aca="false">IF(OR(E895="",E895="!!!",F895="NEW"),"",INDEX(J$1:J877,SUMPRODUCT(MAX(ROW(E$1:E877)*(E895=E$1:E877)))))</f>
        <v/>
      </c>
      <c r="L895" s="27"/>
    </row>
    <row r="896" customFormat="false" ht="15" hidden="false" customHeight="false" outlineLevel="0" collapsed="false">
      <c r="A896" s="20" t="s">
        <v>195</v>
      </c>
      <c r="B896" s="28" t="s">
        <v>222</v>
      </c>
      <c r="C896" s="28" t="s">
        <v>197</v>
      </c>
      <c r="D896" s="28" t="s">
        <v>198</v>
      </c>
      <c r="E896" s="21" t="s">
        <v>511</v>
      </c>
      <c r="F896" s="22" t="s">
        <v>226</v>
      </c>
      <c r="G896" s="23" t="s">
        <v>227</v>
      </c>
      <c r="H896" s="24"/>
      <c r="I896" s="25" t="str">
        <f aca="false">IF(OR(E896="",E896="!!!",F896="NEW"),"",INDEX(B$2:B878,-1+SUMPRODUCT(MAX(ROW(E$2:E878)*(E896=E$2:E878)))))</f>
        <v>SBJ_2</v>
      </c>
      <c r="J896" s="26" t="n">
        <f aca="true">IF(OR(E896="",E896="!!!",F896="NEW"),"",COUNTBLANK(OFFSET(A$1,,,SUMPRODUCT(MAX(ROW(E$2:E879)*(E896=E$2:E879)))))-COUNTBLANK(OFFSET(A$1,,,SUMPRODUCT(MAX(ROW(E$1:E878)*(E896=E$1:E878))))))</f>
        <v>0</v>
      </c>
      <c r="K896" s="26" t="n">
        <f aca="false">IF(OR(E896="",E896="!!!",F896="NEW"),"",INDEX(J$1:J878,SUMPRODUCT(MAX(ROW(E$1:E878)*(E896=E$1:E878)))))</f>
        <v>0</v>
      </c>
      <c r="L896" s="27"/>
    </row>
    <row r="897" customFormat="false" ht="15" hidden="false" customHeight="false" outlineLevel="0" collapsed="false">
      <c r="A897" s="20" t="s">
        <v>202</v>
      </c>
      <c r="E897" s="21"/>
      <c r="F897" s="22"/>
      <c r="G897" s="23"/>
      <c r="H897" s="24"/>
      <c r="I897" s="25" t="str">
        <f aca="false">IF(OR(E897="",E897="!!!",F897="NEW"),"",INDEX(B$2:B879,-1+SUMPRODUCT(MAX(ROW(E$2:E879)*(E897=E$2:E879)))))</f>
        <v/>
      </c>
      <c r="J897" s="26" t="str">
        <f aca="true">IF(OR(E897="",E897="!!!",F897="NEW"),"",COUNTBLANK(OFFSET(A$1,,,SUMPRODUCT(MAX(ROW(E$2:E880)*(E897=E$2:E880)))))-COUNTBLANK(OFFSET(A$1,,,SUMPRODUCT(MAX(ROW(E$1:E879)*(E897=E$1:E879))))))</f>
        <v/>
      </c>
      <c r="K897" s="26" t="str">
        <f aca="false">IF(OR(E897="",E897="!!!",F897="NEW"),"",INDEX(J$1:J879,SUMPRODUCT(MAX(ROW(E$1:E879)*(E897=E$1:E879)))))</f>
        <v/>
      </c>
      <c r="L897" s="27"/>
    </row>
    <row r="898" customFormat="false" ht="15" hidden="false" customHeight="false" outlineLevel="0" collapsed="false">
      <c r="A898" s="20" t="s">
        <v>204</v>
      </c>
      <c r="E898" s="21"/>
      <c r="F898" s="22"/>
      <c r="G898" s="23"/>
      <c r="H898" s="24"/>
      <c r="I898" s="25" t="str">
        <f aca="false">IF(OR(E898="",E898="!!!",F898="NEW"),"",INDEX(B$2:B880,-1+SUMPRODUCT(MAX(ROW(E$2:E880)*(E898=E$2:E880)))))</f>
        <v/>
      </c>
      <c r="J898" s="26" t="str">
        <f aca="true">IF(OR(E898="",E898="!!!",F898="NEW"),"",COUNTBLANK(OFFSET(A$1,,,SUMPRODUCT(MAX(ROW(E$2:E881)*(E898=E$2:E881)))))-COUNTBLANK(OFFSET(A$1,,,SUMPRODUCT(MAX(ROW(E$1:E880)*(E898=E$1:E880))))))</f>
        <v/>
      </c>
      <c r="K898" s="26" t="str">
        <f aca="false">IF(OR(E898="",E898="!!!",F898="NEW"),"",INDEX(J$1:J880,SUMPRODUCT(MAX(ROW(E$1:E880)*(E898=E$1:E880)))))</f>
        <v/>
      </c>
      <c r="L898" s="27"/>
    </row>
    <row r="899" customFormat="false" ht="15" hidden="false" customHeight="false" outlineLevel="0" collapsed="false">
      <c r="A899" s="20" t="s">
        <v>272</v>
      </c>
      <c r="B899" s="28" t="s">
        <v>234</v>
      </c>
      <c r="C899" s="28" t="s">
        <v>289</v>
      </c>
      <c r="D899" s="28" t="s">
        <v>198</v>
      </c>
      <c r="E899" s="21" t="s">
        <v>572</v>
      </c>
      <c r="F899" s="22" t="s">
        <v>226</v>
      </c>
      <c r="G899" s="23" t="s">
        <v>247</v>
      </c>
      <c r="H899" s="24"/>
      <c r="I899" s="25" t="str">
        <f aca="false">IF(OR(E899="",E899="!!!",F899="NEW"),"",INDEX(B$2:B881,-1+SUMPRODUCT(MAX(ROW(E$2:E881)*(E899=E$2:E881)))))</f>
        <v>OBJ_2</v>
      </c>
      <c r="J899" s="26" t="n">
        <f aca="true">IF(OR(E899="",E899="!!!",F899="NEW"),"",COUNTBLANK(OFFSET(A$1,,,SUMPRODUCT(MAX(ROW(E$2:E882)*(E899=E$2:E882)))))-COUNTBLANK(OFFSET(A$1,,,SUMPRODUCT(MAX(ROW(E$1:E881)*(E899=E$1:E881))))))</f>
        <v>0</v>
      </c>
      <c r="K899" s="26" t="str">
        <f aca="false">IF(OR(E899="",E899="!!!",F899="NEW"),"",INDEX(J$1:J881,SUMPRODUCT(MAX(ROW(E$1:E881)*(E899=E$1:E881)))))</f>
        <v/>
      </c>
      <c r="L899" s="27"/>
    </row>
    <row r="900" customFormat="false" ht="15" hidden="false" customHeight="false" outlineLevel="0" collapsed="false">
      <c r="A900" s="20" t="s">
        <v>217</v>
      </c>
      <c r="E900" s="21"/>
      <c r="F900" s="22"/>
      <c r="G900" s="23"/>
      <c r="H900" s="24"/>
      <c r="I900" s="25" t="str">
        <f aca="false">IF(OR(E900="",E900="!!!",F900="NEW"),"",INDEX(B$2:B882,-1+SUMPRODUCT(MAX(ROW(E$2:E882)*(E900=E$2:E882)))))</f>
        <v/>
      </c>
      <c r="J900" s="26" t="str">
        <f aca="true">IF(OR(E900="",E900="!!!",F900="NEW"),"",COUNTBLANK(OFFSET(A$1,,,SUMPRODUCT(MAX(ROW(E$2:E883)*(E900=E$2:E883)))))-COUNTBLANK(OFFSET(A$1,,,SUMPRODUCT(MAX(ROW(E$1:E882)*(E900=E$1:E882))))))</f>
        <v/>
      </c>
      <c r="K900" s="26" t="str">
        <f aca="false">IF(OR(E900="",E900="!!!",F900="NEW"),"",INDEX(J$1:J882,SUMPRODUCT(MAX(ROW(E$1:E882)*(E900=E$1:E882)))))</f>
        <v/>
      </c>
      <c r="L900" s="27"/>
    </row>
    <row r="901" customFormat="false" ht="15" hidden="false" customHeight="false" outlineLevel="0" collapsed="false">
      <c r="A901" s="20" t="s">
        <v>372</v>
      </c>
      <c r="B901" s="28" t="s">
        <v>219</v>
      </c>
      <c r="C901" s="28" t="s">
        <v>223</v>
      </c>
      <c r="D901" s="28" t="s">
        <v>198</v>
      </c>
      <c r="E901" s="21" t="s">
        <v>372</v>
      </c>
      <c r="F901" s="22" t="s">
        <v>226</v>
      </c>
      <c r="G901" s="23" t="s">
        <v>247</v>
      </c>
      <c r="H901" s="24"/>
      <c r="I901" s="25" t="str">
        <f aca="false">IF(OR(E901="",E901="!!!",F901="NEW"),"",INDEX(B$2:B883,-1+SUMPRODUCT(MAX(ROW(E$2:E883)*(E901=E$2:E883)))))</f>
        <v>other_4</v>
      </c>
      <c r="J901" s="26" t="n">
        <f aca="true">IF(OR(E901="",E901="!!!",F901="NEW"),"",COUNTBLANK(OFFSET(A$1,,,SUMPRODUCT(MAX(ROW(E$2:E884)*(E901=E$2:E884)))))-COUNTBLANK(OFFSET(A$1,,,SUMPRODUCT(MAX(ROW(E$1:E883)*(E901=E$1:E883))))))</f>
        <v>0</v>
      </c>
      <c r="K901" s="26" t="n">
        <f aca="false">IF(OR(E901="",E901="!!!",F901="NEW"),"",INDEX(J$1:J883,SUMPRODUCT(MAX(ROW(E$1:E883)*(E901=E$1:E883)))))</f>
        <v>0</v>
      </c>
      <c r="L901" s="27"/>
    </row>
    <row r="902" customFormat="false" ht="15" hidden="false" customHeight="false" outlineLevel="0" collapsed="false">
      <c r="A902" s="20" t="s">
        <v>304</v>
      </c>
      <c r="E902" s="21"/>
      <c r="F902" s="22"/>
      <c r="G902" s="23"/>
      <c r="H902" s="24"/>
      <c r="I902" s="25" t="str">
        <f aca="false">IF(OR(E902="",E902="!!!",F902="NEW"),"",INDEX(B$2:B884,-1+SUMPRODUCT(MAX(ROW(E$2:E884)*(E902=E$2:E884)))))</f>
        <v/>
      </c>
      <c r="J902" s="26" t="str">
        <f aca="true">IF(OR(E902="",E902="!!!",F902="NEW"),"",COUNTBLANK(OFFSET(A$1,,,SUMPRODUCT(MAX(ROW(E$2:E885)*(E902=E$2:E885)))))-COUNTBLANK(OFFSET(A$1,,,SUMPRODUCT(MAX(ROW(E$1:E884)*(E902=E$1:E884))))))</f>
        <v/>
      </c>
      <c r="K902" s="26" t="str">
        <f aca="false">IF(OR(E902="",E902="!!!",F902="NEW"),"",INDEX(J$1:J884,SUMPRODUCT(MAX(ROW(E$1:E884)*(E902=E$1:E884)))))</f>
        <v/>
      </c>
      <c r="L902" s="27"/>
    </row>
    <row r="903" customFormat="false" ht="15" hidden="false" customHeight="false" outlineLevel="0" collapsed="false">
      <c r="A903" s="20" t="s">
        <v>413</v>
      </c>
      <c r="B903" s="28" t="s">
        <v>215</v>
      </c>
      <c r="C903" s="28" t="s">
        <v>251</v>
      </c>
      <c r="E903" s="21"/>
      <c r="F903" s="22"/>
      <c r="G903" s="23"/>
      <c r="H903" s="24"/>
      <c r="I903" s="25" t="str">
        <f aca="false">IF(OR(E903="",E903="!!!",F903="NEW"),"",INDEX(B$2:B885,-1+SUMPRODUCT(MAX(ROW(E$2:E885)*(E903=E$2:E885)))))</f>
        <v/>
      </c>
      <c r="J903" s="26" t="str">
        <f aca="true">IF(OR(E903="",E903="!!!",F903="NEW"),"",COUNTBLANK(OFFSET(A$1,,,SUMPRODUCT(MAX(ROW(E$2:E886)*(E903=E$2:E886)))))-COUNTBLANK(OFFSET(A$1,,,SUMPRODUCT(MAX(ROW(E$1:E885)*(E903=E$1:E885))))))</f>
        <v/>
      </c>
      <c r="K903" s="26" t="str">
        <f aca="false">IF(OR(E903="",E903="!!!",F903="NEW"),"",INDEX(J$1:J885,SUMPRODUCT(MAX(ROW(E$1:E885)*(E903=E$1:E885)))))</f>
        <v/>
      </c>
      <c r="L903" s="27"/>
    </row>
    <row r="904" customFormat="false" ht="15" hidden="false" customHeight="false" outlineLevel="0" collapsed="false">
      <c r="A904" s="20" t="s">
        <v>244</v>
      </c>
      <c r="E904" s="21"/>
      <c r="F904" s="22"/>
      <c r="G904" s="23"/>
      <c r="H904" s="24"/>
      <c r="I904" s="25" t="str">
        <f aca="false">IF(OR(E904="",E904="!!!",F904="NEW"),"",INDEX(B$2:B886,-1+SUMPRODUCT(MAX(ROW(E$2:E886)*(E904=E$2:E886)))))</f>
        <v/>
      </c>
      <c r="J904" s="26" t="str">
        <f aca="true">IF(OR(E904="",E904="!!!",F904="NEW"),"",COUNTBLANK(OFFSET(A$1,,,SUMPRODUCT(MAX(ROW(E$2:E887)*(E904=E$2:E887)))))-COUNTBLANK(OFFSET(A$1,,,SUMPRODUCT(MAX(ROW(E$1:E886)*(E904=E$1:E886))))))</f>
        <v/>
      </c>
      <c r="K904" s="26" t="str">
        <f aca="false">IF(OR(E904="",E904="!!!",F904="NEW"),"",INDEX(J$1:J886,SUMPRODUCT(MAX(ROW(E$1:E886)*(E904=E$1:E886)))))</f>
        <v/>
      </c>
      <c r="L904" s="27"/>
    </row>
    <row r="905" customFormat="false" ht="15" hidden="false" customHeight="false" outlineLevel="0" collapsed="false">
      <c r="A905" s="20"/>
      <c r="E905" s="21"/>
      <c r="F905" s="22"/>
      <c r="G905" s="23"/>
      <c r="H905" s="24"/>
      <c r="I905" s="25" t="str">
        <f aca="false">IF(OR(E905="",E905="!!!",F905="NEW"),"",INDEX(B$2:B887,-1+SUMPRODUCT(MAX(ROW(E$2:E887)*(E905=E$2:E887)))))</f>
        <v/>
      </c>
      <c r="J905" s="26" t="str">
        <f aca="true">IF(OR(E905="",E905="!!!",F905="NEW"),"",COUNTBLANK(OFFSET(A$1,,,SUMPRODUCT(MAX(ROW(E$2:E888)*(E905=E$2:E888)))))-COUNTBLANK(OFFSET(A$1,,,SUMPRODUCT(MAX(ROW(E$1:E887)*(E905=E$1:E887))))))</f>
        <v/>
      </c>
      <c r="K905" s="26" t="str">
        <f aca="false">IF(OR(E905="",E905="!!!",F905="NEW"),"",INDEX(J$1:J887,SUMPRODUCT(MAX(ROW(E$1:E887)*(E905=E$1:E887)))))</f>
        <v/>
      </c>
      <c r="L905" s="27"/>
    </row>
    <row r="906" customFormat="false" ht="15" hidden="false" customHeight="false" outlineLevel="0" collapsed="false">
      <c r="A906" s="20" t="s">
        <v>587</v>
      </c>
      <c r="E906" s="21"/>
      <c r="F906" s="22"/>
      <c r="G906" s="23"/>
      <c r="H906" s="24"/>
      <c r="I906" s="25" t="str">
        <f aca="false">IF(OR(E906="",E906="!!!",F906="NEW"),"",INDEX(B$2:B888,-1+SUMPRODUCT(MAX(ROW(E$2:E888)*(E906=E$2:E888)))))</f>
        <v/>
      </c>
      <c r="J906" s="26" t="str">
        <f aca="true">IF(OR(E906="",E906="!!!",F906="NEW"),"",COUNTBLANK(OFFSET(A$1,,,SUMPRODUCT(MAX(ROW(E$2:E889)*(E906=E$2:E889)))))-COUNTBLANK(OFFSET(A$1,,,SUMPRODUCT(MAX(ROW(E$1:E888)*(E906=E$1:E888))))))</f>
        <v/>
      </c>
      <c r="K906" s="26" t="str">
        <f aca="false">IF(OR(E906="",E906="!!!",F906="NEW"),"",INDEX(J$1:J888,SUMPRODUCT(MAX(ROW(E$1:E888)*(E906=E$1:E888)))))</f>
        <v/>
      </c>
      <c r="L906" s="27"/>
    </row>
    <row r="907" customFormat="false" ht="15" hidden="false" customHeight="false" outlineLevel="0" collapsed="false">
      <c r="A907" s="20" t="s">
        <v>544</v>
      </c>
      <c r="E907" s="21"/>
      <c r="F907" s="22"/>
      <c r="G907" s="23"/>
      <c r="H907" s="24"/>
      <c r="I907" s="25" t="str">
        <f aca="false">IF(OR(E907="",E907="!!!",F907="NEW"),"",INDEX(B$2:B889,-1+SUMPRODUCT(MAX(ROW(E$2:E889)*(E907=E$2:E889)))))</f>
        <v/>
      </c>
      <c r="J907" s="26" t="str">
        <f aca="true">IF(OR(E907="",E907="!!!",F907="NEW"),"",COUNTBLANK(OFFSET(A$1,,,SUMPRODUCT(MAX(ROW(E$2:E890)*(E907=E$2:E890)))))-COUNTBLANK(OFFSET(A$1,,,SUMPRODUCT(MAX(ROW(E$1:E889)*(E907=E$1:E889))))))</f>
        <v/>
      </c>
      <c r="K907" s="26" t="str">
        <f aca="false">IF(OR(E907="",E907="!!!",F907="NEW"),"",INDEX(J$1:J889,SUMPRODUCT(MAX(ROW(E$1:E889)*(E907=E$1:E889)))))</f>
        <v/>
      </c>
      <c r="L907" s="27"/>
    </row>
    <row r="908" customFormat="false" ht="15" hidden="false" customHeight="false" outlineLevel="0" collapsed="false">
      <c r="A908" s="20" t="s">
        <v>153</v>
      </c>
      <c r="B908" s="28" t="s">
        <v>206</v>
      </c>
      <c r="C908" s="28" t="s">
        <v>289</v>
      </c>
      <c r="D908" s="28" t="s">
        <v>198</v>
      </c>
      <c r="E908" s="21" t="s">
        <v>588</v>
      </c>
      <c r="F908" s="22" t="s">
        <v>200</v>
      </c>
      <c r="G908" s="23" t="s">
        <v>201</v>
      </c>
      <c r="H908" s="24"/>
      <c r="I908" s="25" t="str">
        <f aca="false">IF(OR(E908="",E908="!!!",F908="NEW"),"",INDEX(B$2:B890,-1+SUMPRODUCT(MAX(ROW(E$2:E890)*(E908=E$2:E890)))))</f>
        <v/>
      </c>
      <c r="J908" s="26" t="str">
        <f aca="true">IF(OR(E908="",E908="!!!",F908="NEW"),"",COUNTBLANK(OFFSET(A$1,,,SUMPRODUCT(MAX(ROW(E$2:E891)*(E908=E$2:E891)))))-COUNTBLANK(OFFSET(A$1,,,SUMPRODUCT(MAX(ROW(E$1:E890)*(E908=E$1:E890))))))</f>
        <v/>
      </c>
      <c r="K908" s="26" t="str">
        <f aca="false">IF(OR(E908="",E908="!!!",F908="NEW"),"",INDEX(J$1:J890,SUMPRODUCT(MAX(ROW(E$1:E890)*(E908=E$1:E890)))))</f>
        <v/>
      </c>
      <c r="L908" s="27"/>
    </row>
    <row r="909" customFormat="false" ht="15" hidden="false" customHeight="false" outlineLevel="0" collapsed="false">
      <c r="A909" s="20" t="s">
        <v>217</v>
      </c>
      <c r="E909" s="21"/>
      <c r="F909" s="22"/>
      <c r="G909" s="23"/>
      <c r="H909" s="24"/>
      <c r="I909" s="25" t="str">
        <f aca="false">IF(OR(E909="",E909="!!!",F909="NEW"),"",INDEX(B$2:B891,-1+SUMPRODUCT(MAX(ROW(E$2:E891)*(E909=E$2:E891)))))</f>
        <v/>
      </c>
      <c r="J909" s="26" t="str">
        <f aca="true">IF(OR(E909="",E909="!!!",F909="NEW"),"",COUNTBLANK(OFFSET(A$1,,,SUMPRODUCT(MAX(ROW(E$2:E892)*(E909=E$2:E892)))))-COUNTBLANK(OFFSET(A$1,,,SUMPRODUCT(MAX(ROW(E$1:E891)*(E909=E$1:E891))))))</f>
        <v/>
      </c>
      <c r="K909" s="26" t="str">
        <f aca="false">IF(OR(E909="",E909="!!!",F909="NEW"),"",INDEX(J$1:J891,SUMPRODUCT(MAX(ROW(E$1:E891)*(E909=E$1:E891)))))</f>
        <v/>
      </c>
      <c r="L909" s="27"/>
    </row>
    <row r="910" customFormat="false" ht="15" hidden="false" customHeight="false" outlineLevel="0" collapsed="false">
      <c r="A910" s="20" t="s">
        <v>267</v>
      </c>
      <c r="B910" s="28" t="s">
        <v>206</v>
      </c>
      <c r="C910" s="28" t="s">
        <v>268</v>
      </c>
      <c r="D910" s="28" t="s">
        <v>198</v>
      </c>
      <c r="E910" s="21" t="s">
        <v>511</v>
      </c>
      <c r="F910" s="22" t="s">
        <v>226</v>
      </c>
      <c r="G910" s="23" t="s">
        <v>247</v>
      </c>
      <c r="H910" s="24" t="s">
        <v>189</v>
      </c>
      <c r="I910" s="25" t="str">
        <f aca="false">IF(OR(E910="",E910="!!!",F910="NEW"),"",INDEX(B$2:B892,-1+SUMPRODUCT(MAX(ROW(E$2:E892)*(E910=E$2:E892)))))</f>
        <v>SBJ</v>
      </c>
      <c r="J910" s="26" t="n">
        <f aca="true">IF(OR(E910="",E910="!!!",F910="NEW"),"",COUNTBLANK(OFFSET(A$1,,,SUMPRODUCT(MAX(ROW(E$2:E893)*(E910=E$2:E893)))))-COUNTBLANK(OFFSET(A$1,,,SUMPRODUCT(MAX(ROW(E$1:E892)*(E910=E$1:E892))))))</f>
        <v>0</v>
      </c>
      <c r="K910" s="26" t="n">
        <f aca="false">IF(OR(E910="",E910="!!!",F910="NEW"),"",INDEX(J$1:J892,SUMPRODUCT(MAX(ROW(E$1:E892)*(E910=E$1:E892)))))</f>
        <v>0</v>
      </c>
      <c r="L910" s="27"/>
    </row>
    <row r="911" customFormat="false" ht="15" hidden="false" customHeight="false" outlineLevel="0" collapsed="false">
      <c r="A911" s="20" t="s">
        <v>269</v>
      </c>
      <c r="B911" s="28" t="s">
        <v>270</v>
      </c>
      <c r="E911" s="21"/>
      <c r="F911" s="22"/>
      <c r="G911" s="23"/>
      <c r="H911" s="24"/>
      <c r="I911" s="25" t="str">
        <f aca="false">IF(OR(E911="",E911="!!!",F911="NEW"),"",INDEX(B$2:B893,-1+SUMPRODUCT(MAX(ROW(E$2:E893)*(E911=E$2:E893)))))</f>
        <v/>
      </c>
      <c r="J911" s="26" t="str">
        <f aca="true">IF(OR(E911="",E911="!!!",F911="NEW"),"",COUNTBLANK(OFFSET(A$1,,,SUMPRODUCT(MAX(ROW(E$2:E894)*(E911=E$2:E894)))))-COUNTBLANK(OFFSET(A$1,,,SUMPRODUCT(MAX(ROW(E$1:E893)*(E911=E$1:E893))))))</f>
        <v/>
      </c>
      <c r="K911" s="26" t="str">
        <f aca="false">IF(OR(E911="",E911="!!!",F911="NEW"),"",INDEX(J$1:J893,SUMPRODUCT(MAX(ROW(E$1:E893)*(E911=E$1:E893)))))</f>
        <v/>
      </c>
      <c r="L911" s="27"/>
    </row>
    <row r="912" customFormat="false" ht="15" hidden="false" customHeight="false" outlineLevel="0" collapsed="false">
      <c r="A912" s="20" t="s">
        <v>275</v>
      </c>
      <c r="E912" s="21"/>
      <c r="F912" s="22"/>
      <c r="G912" s="23"/>
      <c r="H912" s="24"/>
      <c r="I912" s="25" t="str">
        <f aca="false">IF(OR(E912="",E912="!!!",F912="NEW"),"",INDEX(B$2:B894,-1+SUMPRODUCT(MAX(ROW(E$2:E894)*(E912=E$2:E894)))))</f>
        <v/>
      </c>
      <c r="J912" s="26" t="str">
        <f aca="true">IF(OR(E912="",E912="!!!",F912="NEW"),"",COUNTBLANK(OFFSET(A$1,,,SUMPRODUCT(MAX(ROW(E$2:E895)*(E912=E$2:E895)))))-COUNTBLANK(OFFSET(A$1,,,SUMPRODUCT(MAX(ROW(E$1:E894)*(E912=E$1:E894))))))</f>
        <v/>
      </c>
      <c r="K912" s="26" t="str">
        <f aca="false">IF(OR(E912="",E912="!!!",F912="NEW"),"",INDEX(J$1:J894,SUMPRODUCT(MAX(ROW(E$1:E894)*(E912=E$1:E894)))))</f>
        <v/>
      </c>
      <c r="L912" s="27"/>
    </row>
    <row r="913" customFormat="false" ht="15" hidden="false" customHeight="false" outlineLevel="0" collapsed="false">
      <c r="A913" s="20" t="s">
        <v>293</v>
      </c>
      <c r="E913" s="21"/>
      <c r="F913" s="22"/>
      <c r="G913" s="23"/>
      <c r="H913" s="24"/>
      <c r="I913" s="25" t="str">
        <f aca="false">IF(OR(E913="",E913="!!!",F913="NEW"),"",INDEX(B$2:B895,-1+SUMPRODUCT(MAX(ROW(E$2:E895)*(E913=E$2:E895)))))</f>
        <v/>
      </c>
      <c r="J913" s="26" t="str">
        <f aca="true">IF(OR(E913="",E913="!!!",F913="NEW"),"",COUNTBLANK(OFFSET(A$1,,,SUMPRODUCT(MAX(ROW(E$2:E896)*(E913=E$2:E896)))))-COUNTBLANK(OFFSET(A$1,,,SUMPRODUCT(MAX(ROW(E$1:E895)*(E913=E$1:E895))))))</f>
        <v/>
      </c>
      <c r="K913" s="26" t="str">
        <f aca="false">IF(OR(E913="",E913="!!!",F913="NEW"),"",INDEX(J$1:J895,SUMPRODUCT(MAX(ROW(E$1:E895)*(E913=E$1:E895)))))</f>
        <v/>
      </c>
      <c r="L913" s="27"/>
    </row>
    <row r="914" customFormat="false" ht="15" hidden="false" customHeight="false" outlineLevel="0" collapsed="false">
      <c r="A914" s="20" t="s">
        <v>217</v>
      </c>
      <c r="E914" s="21"/>
      <c r="F914" s="22"/>
      <c r="G914" s="23"/>
      <c r="H914" s="24"/>
      <c r="I914" s="25" t="str">
        <f aca="false">IF(OR(E914="",E914="!!!",F914="NEW"),"",INDEX(B$2:B896,-1+SUMPRODUCT(MAX(ROW(E$2:E896)*(E914=E$2:E896)))))</f>
        <v/>
      </c>
      <c r="J914" s="26" t="str">
        <f aca="true">IF(OR(E914="",E914="!!!",F914="NEW"),"",COUNTBLANK(OFFSET(A$1,,,SUMPRODUCT(MAX(ROW(E$2:E897)*(E914=E$2:E897)))))-COUNTBLANK(OFFSET(A$1,,,SUMPRODUCT(MAX(ROW(E$1:E896)*(E914=E$1:E896))))))</f>
        <v/>
      </c>
      <c r="K914" s="26" t="str">
        <f aca="false">IF(OR(E914="",E914="!!!",F914="NEW"),"",INDEX(J$1:J896,SUMPRODUCT(MAX(ROW(E$1:E896)*(E914=E$1:E896)))))</f>
        <v/>
      </c>
      <c r="L914" s="27"/>
    </row>
    <row r="915" customFormat="false" ht="15" hidden="false" customHeight="false" outlineLevel="0" collapsed="false">
      <c r="A915" s="20" t="s">
        <v>520</v>
      </c>
      <c r="E915" s="21"/>
      <c r="F915" s="22"/>
      <c r="G915" s="23"/>
      <c r="H915" s="24"/>
      <c r="I915" s="25" t="str">
        <f aca="false">IF(OR(E915="",E915="!!!",F915="NEW"),"",INDEX(B$2:B897,-1+SUMPRODUCT(MAX(ROW(E$2:E897)*(E915=E$2:E897)))))</f>
        <v/>
      </c>
      <c r="J915" s="26" t="str">
        <f aca="true">IF(OR(E915="",E915="!!!",F915="NEW"),"",COUNTBLANK(OFFSET(A$1,,,SUMPRODUCT(MAX(ROW(E$2:E898)*(E915=E$2:E898)))))-COUNTBLANK(OFFSET(A$1,,,SUMPRODUCT(MAX(ROW(E$1:E897)*(E915=E$1:E897))))))</f>
        <v/>
      </c>
      <c r="K915" s="26" t="str">
        <f aca="false">IF(OR(E915="",E915="!!!",F915="NEW"),"",INDEX(J$1:J897,SUMPRODUCT(MAX(ROW(E$1:E897)*(E915=E$1:E897)))))</f>
        <v/>
      </c>
      <c r="L915" s="27"/>
    </row>
    <row r="916" customFormat="false" ht="15" hidden="false" customHeight="false" outlineLevel="0" collapsed="false">
      <c r="A916" s="20" t="s">
        <v>589</v>
      </c>
      <c r="B916" s="28" t="s">
        <v>219</v>
      </c>
      <c r="C916" s="28" t="s">
        <v>492</v>
      </c>
      <c r="E916" s="21"/>
      <c r="F916" s="22"/>
      <c r="G916" s="23"/>
      <c r="H916" s="24"/>
      <c r="I916" s="25" t="str">
        <f aca="false">IF(OR(E916="",E916="!!!",F916="NEW"),"",INDEX(B$2:B898,-1+SUMPRODUCT(MAX(ROW(E$2:E898)*(E916=E$2:E898)))))</f>
        <v/>
      </c>
      <c r="J916" s="26" t="str">
        <f aca="true">IF(OR(E916="",E916="!!!",F916="NEW"),"",COUNTBLANK(OFFSET(A$1,,,SUMPRODUCT(MAX(ROW(E$2:E899)*(E916=E$2:E899)))))-COUNTBLANK(OFFSET(A$1,,,SUMPRODUCT(MAX(ROW(E$1:E898)*(E916=E$1:E898))))))</f>
        <v/>
      </c>
      <c r="K916" s="26" t="str">
        <f aca="false">IF(OR(E916="",E916="!!!",F916="NEW"),"",INDEX(J$1:J898,SUMPRODUCT(MAX(ROW(E$1:E898)*(E916=E$1:E898)))))</f>
        <v/>
      </c>
      <c r="L916" s="27"/>
    </row>
    <row r="917" customFormat="false" ht="15" hidden="false" customHeight="false" outlineLevel="0" collapsed="false">
      <c r="A917" s="20" t="s">
        <v>213</v>
      </c>
      <c r="E917" s="21"/>
      <c r="F917" s="22"/>
      <c r="G917" s="23"/>
      <c r="H917" s="24"/>
      <c r="I917" s="25" t="str">
        <f aca="false">IF(OR(E917="",E917="!!!",F917="NEW"),"",INDEX(B$2:B899,-1+SUMPRODUCT(MAX(ROW(E$2:E899)*(E917=E$2:E899)))))</f>
        <v/>
      </c>
      <c r="J917" s="26" t="str">
        <f aca="true">IF(OR(E917="",E917="!!!",F917="NEW"),"",COUNTBLANK(OFFSET(A$1,,,SUMPRODUCT(MAX(ROW(E$2:E900)*(E917=E$2:E900)))))-COUNTBLANK(OFFSET(A$1,,,SUMPRODUCT(MAX(ROW(E$1:E899)*(E917=E$1:E899))))))</f>
        <v/>
      </c>
      <c r="K917" s="26" t="str">
        <f aca="false">IF(OR(E917="",E917="!!!",F917="NEW"),"",INDEX(J$1:J899,SUMPRODUCT(MAX(ROW(E$1:E899)*(E917=E$1:E899)))))</f>
        <v/>
      </c>
      <c r="L917" s="27"/>
    </row>
    <row r="918" customFormat="false" ht="15" hidden="false" customHeight="false" outlineLevel="0" collapsed="false">
      <c r="A918" s="20" t="s">
        <v>590</v>
      </c>
      <c r="B918" s="28" t="s">
        <v>310</v>
      </c>
      <c r="C918" s="28" t="s">
        <v>251</v>
      </c>
      <c r="E918" s="21"/>
      <c r="F918" s="22"/>
      <c r="G918" s="23"/>
      <c r="H918" s="24"/>
      <c r="I918" s="25" t="str">
        <f aca="false">IF(OR(E918="",E918="!!!",F918="NEW"),"",INDEX(B$2:B900,-1+SUMPRODUCT(MAX(ROW(E$2:E900)*(E918=E$2:E900)))))</f>
        <v/>
      </c>
      <c r="J918" s="26" t="str">
        <f aca="true">IF(OR(E918="",E918="!!!",F918="NEW"),"",COUNTBLANK(OFFSET(A$1,,,SUMPRODUCT(MAX(ROW(E$2:E901)*(E918=E$2:E901)))))-COUNTBLANK(OFFSET(A$1,,,SUMPRODUCT(MAX(ROW(E$1:E900)*(E918=E$1:E900))))))</f>
        <v/>
      </c>
      <c r="K918" s="26" t="str">
        <f aca="false">IF(OR(E918="",E918="!!!",F918="NEW"),"",INDEX(J$1:J900,SUMPRODUCT(MAX(ROW(E$1:E900)*(E918=E$1:E900)))))</f>
        <v/>
      </c>
      <c r="L918" s="27"/>
    </row>
    <row r="919" customFormat="false" ht="15" hidden="false" customHeight="false" outlineLevel="0" collapsed="false">
      <c r="A919" s="20" t="s">
        <v>244</v>
      </c>
      <c r="E919" s="21"/>
      <c r="F919" s="22"/>
      <c r="G919" s="23"/>
      <c r="H919" s="24"/>
      <c r="I919" s="25" t="str">
        <f aca="false">IF(OR(E919="",E919="!!!",F919="NEW"),"",INDEX(B$2:B901,-1+SUMPRODUCT(MAX(ROW(E$2:E901)*(E919=E$2:E901)))))</f>
        <v/>
      </c>
      <c r="J919" s="26" t="str">
        <f aca="true">IF(OR(E919="",E919="!!!",F919="NEW"),"",COUNTBLANK(OFFSET(A$1,,,SUMPRODUCT(MAX(ROW(E$2:E902)*(E919=E$2:E902)))))-COUNTBLANK(OFFSET(A$1,,,SUMPRODUCT(MAX(ROW(E$1:E901)*(E919=E$1:E901))))))</f>
        <v/>
      </c>
      <c r="K919" s="26" t="str">
        <f aca="false">IF(OR(E919="",E919="!!!",F919="NEW"),"",INDEX(J$1:J901,SUMPRODUCT(MAX(ROW(E$1:E901)*(E919=E$1:E901)))))</f>
        <v/>
      </c>
      <c r="L919" s="27"/>
    </row>
    <row r="920" customFormat="false" ht="15" hidden="false" customHeight="false" outlineLevel="0" collapsed="false">
      <c r="A920" s="20"/>
      <c r="E920" s="21"/>
      <c r="F920" s="22"/>
      <c r="G920" s="23"/>
      <c r="H920" s="24"/>
      <c r="I920" s="25" t="str">
        <f aca="false">IF(OR(E920="",E920="!!!",F920="NEW"),"",INDEX(B$2:B902,-1+SUMPRODUCT(MAX(ROW(E$2:E902)*(E920=E$2:E902)))))</f>
        <v/>
      </c>
      <c r="J920" s="26" t="str">
        <f aca="true">IF(OR(E920="",E920="!!!",F920="NEW"),"",COUNTBLANK(OFFSET(A$1,,,SUMPRODUCT(MAX(ROW(E$2:E903)*(E920=E$2:E903)))))-COUNTBLANK(OFFSET(A$1,,,SUMPRODUCT(MAX(ROW(E$1:E902)*(E920=E$1:E902))))))</f>
        <v/>
      </c>
      <c r="K920" s="26" t="str">
        <f aca="false">IF(OR(E920="",E920="!!!",F920="NEW"),"",INDEX(J$1:J902,SUMPRODUCT(MAX(ROW(E$1:E902)*(E920=E$1:E902)))))</f>
        <v/>
      </c>
      <c r="L920" s="27"/>
    </row>
    <row r="921" customFormat="false" ht="15" hidden="false" customHeight="false" outlineLevel="0" collapsed="false">
      <c r="A921" s="20" t="s">
        <v>591</v>
      </c>
      <c r="E921" s="21"/>
      <c r="F921" s="22"/>
      <c r="G921" s="23"/>
      <c r="H921" s="24"/>
      <c r="I921" s="25" t="str">
        <f aca="false">IF(OR(E921="",E921="!!!",F921="NEW"),"",INDEX(B$2:B903,-1+SUMPRODUCT(MAX(ROW(E$2:E903)*(E921=E$2:E903)))))</f>
        <v/>
      </c>
      <c r="J921" s="26" t="str">
        <f aca="true">IF(OR(E921="",E921="!!!",F921="NEW"),"",COUNTBLANK(OFFSET(A$1,,,SUMPRODUCT(MAX(ROW(E$2:E904)*(E921=E$2:E904)))))-COUNTBLANK(OFFSET(A$1,,,SUMPRODUCT(MAX(ROW(E$1:E903)*(E921=E$1:E903))))))</f>
        <v/>
      </c>
      <c r="K921" s="26" t="str">
        <f aca="false">IF(OR(E921="",E921="!!!",F921="NEW"),"",INDEX(J$1:J903,SUMPRODUCT(MAX(ROW(E$1:E903)*(E921=E$1:E903)))))</f>
        <v/>
      </c>
      <c r="L921" s="27"/>
    </row>
    <row r="922" customFormat="false" ht="15" hidden="false" customHeight="false" outlineLevel="0" collapsed="false">
      <c r="A922" s="20" t="s">
        <v>592</v>
      </c>
      <c r="E922" s="21"/>
      <c r="F922" s="22"/>
      <c r="G922" s="23"/>
      <c r="H922" s="24"/>
      <c r="I922" s="25" t="str">
        <f aca="false">IF(OR(E922="",E922="!!!",F922="NEW"),"",INDEX(B$2:B904,-1+SUMPRODUCT(MAX(ROW(E$2:E904)*(E922=E$2:E904)))))</f>
        <v/>
      </c>
      <c r="J922" s="26" t="str">
        <f aca="true">IF(OR(E922="",E922="!!!",F922="NEW"),"",COUNTBLANK(OFFSET(A$1,,,SUMPRODUCT(MAX(ROW(E$2:E905)*(E922=E$2:E905)))))-COUNTBLANK(OFFSET(A$1,,,SUMPRODUCT(MAX(ROW(E$1:E904)*(E922=E$1:E904))))))</f>
        <v/>
      </c>
      <c r="K922" s="26" t="str">
        <f aca="false">IF(OR(E922="",E922="!!!",F922="NEW"),"",INDEX(J$1:J904,SUMPRODUCT(MAX(ROW(E$1:E904)*(E922=E$1:E904)))))</f>
        <v/>
      </c>
      <c r="L922" s="27"/>
    </row>
    <row r="923" customFormat="false" ht="15" hidden="false" customHeight="false" outlineLevel="0" collapsed="false">
      <c r="A923" s="20" t="s">
        <v>520</v>
      </c>
      <c r="B923" s="28" t="s">
        <v>196</v>
      </c>
      <c r="C923" s="28" t="s">
        <v>289</v>
      </c>
      <c r="D923" s="28" t="s">
        <v>198</v>
      </c>
      <c r="E923" s="21" t="s">
        <v>511</v>
      </c>
      <c r="F923" s="22" t="s">
        <v>226</v>
      </c>
      <c r="G923" s="23" t="s">
        <v>227</v>
      </c>
      <c r="H923" s="24" t="s">
        <v>189</v>
      </c>
      <c r="I923" s="25" t="str">
        <f aca="false">IF(OR(E923="",E923="!!!",F923="NEW"),"",INDEX(B$2:B905,-1+SUMPRODUCT(MAX(ROW(E$2:E905)*(E923=E$2:E905)))))</f>
        <v>SBJ_2</v>
      </c>
      <c r="J923" s="26" t="n">
        <f aca="true">IF(OR(E923="",E923="!!!",F923="NEW"),"",COUNTBLANK(OFFSET(A$1,,,SUMPRODUCT(MAX(ROW(E$2:E906)*(E923=E$2:E906)))))-COUNTBLANK(OFFSET(A$1,,,SUMPRODUCT(MAX(ROW(E$1:E905)*(E923=E$1:E905))))))</f>
        <v>0</v>
      </c>
      <c r="K923" s="26" t="n">
        <f aca="false">IF(OR(E923="",E923="!!!",F923="NEW"),"",INDEX(J$1:J905,SUMPRODUCT(MAX(ROW(E$1:E905)*(E923=E$1:E905)))))</f>
        <v>0</v>
      </c>
      <c r="L923" s="27"/>
    </row>
    <row r="924" customFormat="false" ht="15" hidden="false" customHeight="false" outlineLevel="0" collapsed="false">
      <c r="A924" s="20" t="s">
        <v>217</v>
      </c>
      <c r="E924" s="21"/>
      <c r="F924" s="22"/>
      <c r="G924" s="23"/>
      <c r="H924" s="24"/>
      <c r="I924" s="25" t="str">
        <f aca="false">IF(OR(E924="",E924="!!!",F924="NEW"),"",INDEX(B$2:B906,-1+SUMPRODUCT(MAX(ROW(E$2:E906)*(E924=E$2:E906)))))</f>
        <v/>
      </c>
      <c r="J924" s="26" t="str">
        <f aca="true">IF(OR(E924="",E924="!!!",F924="NEW"),"",COUNTBLANK(OFFSET(A$1,,,SUMPRODUCT(MAX(ROW(E$2:E907)*(E924=E$2:E907)))))-COUNTBLANK(OFFSET(A$1,,,SUMPRODUCT(MAX(ROW(E$1:E906)*(E924=E$1:E906))))))</f>
        <v/>
      </c>
      <c r="K924" s="26" t="str">
        <f aca="false">IF(OR(E924="",E924="!!!",F924="NEW"),"",INDEX(J$1:J906,SUMPRODUCT(MAX(ROW(E$1:E906)*(E924=E$1:E906)))))</f>
        <v/>
      </c>
      <c r="L924" s="27"/>
    </row>
    <row r="925" customFormat="false" ht="15" hidden="false" customHeight="false" outlineLevel="0" collapsed="false">
      <c r="A925" s="20" t="s">
        <v>225</v>
      </c>
      <c r="B925" s="28" t="s">
        <v>215</v>
      </c>
      <c r="C925" s="28" t="s">
        <v>197</v>
      </c>
      <c r="D925" s="28" t="s">
        <v>198</v>
      </c>
      <c r="E925" s="21" t="s">
        <v>511</v>
      </c>
      <c r="F925" s="22" t="s">
        <v>226</v>
      </c>
      <c r="G925" s="23" t="s">
        <v>227</v>
      </c>
      <c r="H925" s="24"/>
      <c r="I925" s="25" t="str">
        <f aca="false">IF(OR(E925="",E925="!!!",F925="NEW"),"",INDEX(B$2:B907,-1+SUMPRODUCT(MAX(ROW(E$2:E907)*(E925=E$2:E907)))))</f>
        <v>SBJ_2</v>
      </c>
      <c r="J925" s="26" t="n">
        <f aca="true">IF(OR(E925="",E925="!!!",F925="NEW"),"",COUNTBLANK(OFFSET(A$1,,,SUMPRODUCT(MAX(ROW(E$2:E908)*(E925=E$2:E908)))))-COUNTBLANK(OFFSET(A$1,,,SUMPRODUCT(MAX(ROW(E$1:E907)*(E925=E$1:E907))))))</f>
        <v>0</v>
      </c>
      <c r="K925" s="26" t="n">
        <f aca="false">IF(OR(E925="",E925="!!!",F925="NEW"),"",INDEX(J$1:J907,SUMPRODUCT(MAX(ROW(E$1:E907)*(E925=E$1:E907)))))</f>
        <v>0</v>
      </c>
      <c r="L925" s="27"/>
    </row>
    <row r="926" customFormat="false" ht="15" hidden="false" customHeight="false" outlineLevel="0" collapsed="false">
      <c r="A926" s="20" t="s">
        <v>593</v>
      </c>
      <c r="E926" s="21"/>
      <c r="F926" s="22"/>
      <c r="G926" s="23"/>
      <c r="H926" s="24"/>
      <c r="I926" s="25" t="str">
        <f aca="false">IF(OR(E926="",E926="!!!",F926="NEW"),"",INDEX(B$2:B908,-1+SUMPRODUCT(MAX(ROW(E$2:E908)*(E926=E$2:E908)))))</f>
        <v/>
      </c>
      <c r="J926" s="26" t="str">
        <f aca="true">IF(OR(E926="",E926="!!!",F926="NEW"),"",COUNTBLANK(OFFSET(A$1,,,SUMPRODUCT(MAX(ROW(E$2:E909)*(E926=E$2:E909)))))-COUNTBLANK(OFFSET(A$1,,,SUMPRODUCT(MAX(ROW(E$1:E908)*(E926=E$1:E908))))))</f>
        <v/>
      </c>
      <c r="K926" s="26" t="str">
        <f aca="false">IF(OR(E926="",E926="!!!",F926="NEW"),"",INDEX(J$1:J908,SUMPRODUCT(MAX(ROW(E$1:E908)*(E926=E$1:E908)))))</f>
        <v/>
      </c>
      <c r="L926" s="27"/>
    </row>
    <row r="927" customFormat="false" ht="15" hidden="false" customHeight="false" outlineLevel="0" collapsed="false">
      <c r="A927" s="20" t="s">
        <v>285</v>
      </c>
      <c r="E927" s="21"/>
      <c r="F927" s="22"/>
      <c r="G927" s="23"/>
      <c r="H927" s="24"/>
      <c r="I927" s="25" t="str">
        <f aca="false">IF(OR(E927="",E927="!!!",F927="NEW"),"",INDEX(B$2:B909,-1+SUMPRODUCT(MAX(ROW(E$2:E909)*(E927=E$2:E909)))))</f>
        <v/>
      </c>
      <c r="J927" s="26" t="str">
        <f aca="true">IF(OR(E927="",E927="!!!",F927="NEW"),"",COUNTBLANK(OFFSET(A$1,,,SUMPRODUCT(MAX(ROW(E$2:E910)*(E927=E$2:E910)))))-COUNTBLANK(OFFSET(A$1,,,SUMPRODUCT(MAX(ROW(E$1:E909)*(E927=E$1:E909))))))</f>
        <v/>
      </c>
      <c r="K927" s="26" t="str">
        <f aca="false">IF(OR(E927="",E927="!!!",F927="NEW"),"",INDEX(J$1:J909,SUMPRODUCT(MAX(ROW(E$1:E909)*(E927=E$1:E909)))))</f>
        <v/>
      </c>
      <c r="L927" s="27"/>
    </row>
    <row r="928" customFormat="false" ht="15" hidden="false" customHeight="false" outlineLevel="0" collapsed="false">
      <c r="A928" s="20" t="s">
        <v>594</v>
      </c>
      <c r="B928" s="28" t="s">
        <v>222</v>
      </c>
      <c r="C928" s="28" t="s">
        <v>426</v>
      </c>
      <c r="D928" s="28" t="s">
        <v>198</v>
      </c>
      <c r="E928" s="21"/>
      <c r="F928" s="22" t="s">
        <v>427</v>
      </c>
      <c r="G928" s="23"/>
      <c r="H928" s="24"/>
      <c r="I928" s="25" t="str">
        <f aca="false">IF(OR(E928="",E928="!!!",F928="NEW"),"",INDEX(B$2:B910,-1+SUMPRODUCT(MAX(ROW(E$2:E910)*(E928=E$2:E910)))))</f>
        <v/>
      </c>
      <c r="J928" s="26" t="str">
        <f aca="true">IF(OR(E928="",E928="!!!",F928="NEW"),"",COUNTBLANK(OFFSET(A$1,,,SUMPRODUCT(MAX(ROW(E$2:E911)*(E928=E$2:E911)))))-COUNTBLANK(OFFSET(A$1,,,SUMPRODUCT(MAX(ROW(E$1:E910)*(E928=E$1:E910))))))</f>
        <v/>
      </c>
      <c r="K928" s="26" t="str">
        <f aca="false">IF(OR(E928="",E928="!!!",F928="NEW"),"",INDEX(J$1:J910,SUMPRODUCT(MAX(ROW(E$1:E910)*(E928=E$1:E910)))))</f>
        <v/>
      </c>
      <c r="L928" s="27"/>
    </row>
    <row r="929" customFormat="false" ht="15" hidden="false" customHeight="false" outlineLevel="0" collapsed="false">
      <c r="A929" s="20" t="s">
        <v>217</v>
      </c>
      <c r="E929" s="21"/>
      <c r="F929" s="22"/>
      <c r="G929" s="23"/>
      <c r="H929" s="24"/>
      <c r="I929" s="25" t="str">
        <f aca="false">IF(OR(E929="",E929="!!!",F929="NEW"),"",INDEX(B$2:B911,-1+SUMPRODUCT(MAX(ROW(E$2:E911)*(E929=E$2:E911)))))</f>
        <v/>
      </c>
      <c r="J929" s="26" t="str">
        <f aca="true">IF(OR(E929="",E929="!!!",F929="NEW"),"",COUNTBLANK(OFFSET(A$1,,,SUMPRODUCT(MAX(ROW(E$2:E912)*(E929=E$2:E912)))))-COUNTBLANK(OFFSET(A$1,,,SUMPRODUCT(MAX(ROW(E$1:E911)*(E929=E$1:E911))))))</f>
        <v/>
      </c>
      <c r="K929" s="26" t="str">
        <f aca="false">IF(OR(E929="",E929="!!!",F929="NEW"),"",INDEX(J$1:J911,SUMPRODUCT(MAX(ROW(E$1:E911)*(E929=E$1:E911)))))</f>
        <v/>
      </c>
      <c r="L929" s="27"/>
    </row>
    <row r="930" customFormat="false" ht="15" hidden="false" customHeight="false" outlineLevel="0" collapsed="false">
      <c r="A930" s="20" t="s">
        <v>204</v>
      </c>
      <c r="E930" s="21"/>
      <c r="F930" s="22"/>
      <c r="G930" s="23"/>
      <c r="H930" s="24"/>
      <c r="I930" s="25" t="str">
        <f aca="false">IF(OR(E930="",E930="!!!",F930="NEW"),"",INDEX(B$2:B912,-1+SUMPRODUCT(MAX(ROW(E$2:E912)*(E930=E$2:E912)))))</f>
        <v/>
      </c>
      <c r="J930" s="26" t="str">
        <f aca="true">IF(OR(E930="",E930="!!!",F930="NEW"),"",COUNTBLANK(OFFSET(A$1,,,SUMPRODUCT(MAX(ROW(E$2:E913)*(E930=E$2:E913)))))-COUNTBLANK(OFFSET(A$1,,,SUMPRODUCT(MAX(ROW(E$1:E912)*(E930=E$1:E912))))))</f>
        <v/>
      </c>
      <c r="K930" s="26" t="str">
        <f aca="false">IF(OR(E930="",E930="!!!",F930="NEW"),"",INDEX(J$1:J912,SUMPRODUCT(MAX(ROW(E$1:E912)*(E930=E$1:E912)))))</f>
        <v/>
      </c>
      <c r="L930" s="27"/>
    </row>
    <row r="931" customFormat="false" ht="15" hidden="false" customHeight="false" outlineLevel="0" collapsed="false">
      <c r="A931" s="20" t="s">
        <v>487</v>
      </c>
      <c r="B931" s="28" t="s">
        <v>219</v>
      </c>
      <c r="C931" s="28" t="s">
        <v>207</v>
      </c>
      <c r="D931" s="28" t="s">
        <v>198</v>
      </c>
      <c r="E931" s="21" t="s">
        <v>595</v>
      </c>
      <c r="F931" s="22" t="s">
        <v>200</v>
      </c>
      <c r="G931" s="23" t="s">
        <v>212</v>
      </c>
      <c r="H931" s="24"/>
      <c r="I931" s="25" t="str">
        <f aca="false">IF(OR(E931="",E931="!!!",F931="NEW"),"",INDEX(B$2:B913,-1+SUMPRODUCT(MAX(ROW(E$2:E913)*(E931=E$2:E913)))))</f>
        <v/>
      </c>
      <c r="J931" s="26" t="str">
        <f aca="true">IF(OR(E931="",E931="!!!",F931="NEW"),"",COUNTBLANK(OFFSET(A$1,,,SUMPRODUCT(MAX(ROW(E$2:E914)*(E931=E$2:E914)))))-COUNTBLANK(OFFSET(A$1,,,SUMPRODUCT(MAX(ROW(E$1:E913)*(E931=E$1:E913))))))</f>
        <v/>
      </c>
      <c r="K931" s="26" t="str">
        <f aca="false">IF(OR(E931="",E931="!!!",F931="NEW"),"",INDEX(J$1:J913,SUMPRODUCT(MAX(ROW(E$1:E913)*(E931=E$1:E913)))))</f>
        <v/>
      </c>
      <c r="L931" s="27"/>
    </row>
    <row r="932" customFormat="false" ht="15" hidden="false" customHeight="false" outlineLevel="0" collapsed="false">
      <c r="A932" s="20" t="s">
        <v>386</v>
      </c>
      <c r="B932" s="28" t="s">
        <v>494</v>
      </c>
      <c r="E932" s="21"/>
      <c r="F932" s="22"/>
      <c r="G932" s="23"/>
      <c r="H932" s="24"/>
      <c r="I932" s="25" t="str">
        <f aca="false">IF(OR(E932="",E932="!!!",F932="NEW"),"",INDEX(B$2:B914,-1+SUMPRODUCT(MAX(ROW(E$2:E914)*(E932=E$2:E914)))))</f>
        <v/>
      </c>
      <c r="J932" s="26" t="str">
        <f aca="true">IF(OR(E932="",E932="!!!",F932="NEW"),"",COUNTBLANK(OFFSET(A$1,,,SUMPRODUCT(MAX(ROW(E$2:E915)*(E932=E$2:E915)))))-COUNTBLANK(OFFSET(A$1,,,SUMPRODUCT(MAX(ROW(E$1:E914)*(E932=E$1:E914))))))</f>
        <v/>
      </c>
      <c r="K932" s="26" t="str">
        <f aca="false">IF(OR(E932="",E932="!!!",F932="NEW"),"",INDEX(J$1:J914,SUMPRODUCT(MAX(ROW(E$1:E914)*(E932=E$1:E914)))))</f>
        <v/>
      </c>
      <c r="L932" s="27"/>
    </row>
    <row r="933" customFormat="false" ht="15" hidden="false" customHeight="false" outlineLevel="0" collapsed="false">
      <c r="A933" s="20" t="s">
        <v>596</v>
      </c>
      <c r="B933" s="28" t="s">
        <v>498</v>
      </c>
      <c r="C933" s="28" t="s">
        <v>197</v>
      </c>
      <c r="D933" s="28" t="s">
        <v>198</v>
      </c>
      <c r="E933" s="21" t="s">
        <v>511</v>
      </c>
      <c r="F933" s="22" t="s">
        <v>226</v>
      </c>
      <c r="G933" s="23" t="s">
        <v>227</v>
      </c>
      <c r="H933" s="24"/>
      <c r="I933" s="25" t="str">
        <f aca="false">IF(OR(E933="",E933="!!!",F933="NEW"),"",INDEX(B$2:B915,-1+SUMPRODUCT(MAX(ROW(E$2:E915)*(E933=E$2:E915)))))</f>
        <v>other</v>
      </c>
      <c r="J933" s="26" t="n">
        <f aca="true">IF(OR(E933="",E933="!!!",F933="NEW"),"",COUNTBLANK(OFFSET(A$1,,,SUMPRODUCT(MAX(ROW(E$2:E916)*(E933=E$2:E916)))))-COUNTBLANK(OFFSET(A$1,,,SUMPRODUCT(MAX(ROW(E$1:E915)*(E933=E$1:E915))))))</f>
        <v>0</v>
      </c>
      <c r="K933" s="26" t="n">
        <f aca="false">IF(OR(E933="",E933="!!!",F933="NEW"),"",INDEX(J$1:J915,SUMPRODUCT(MAX(ROW(E$1:E915)*(E933=E$1:E915)))))</f>
        <v>0</v>
      </c>
      <c r="L933" s="27"/>
    </row>
    <row r="934" customFormat="false" ht="15" hidden="false" customHeight="false" outlineLevel="0" collapsed="false">
      <c r="A934" s="20" t="s">
        <v>597</v>
      </c>
      <c r="E934" s="21"/>
      <c r="F934" s="22"/>
      <c r="G934" s="23"/>
      <c r="H934" s="24"/>
      <c r="I934" s="25" t="str">
        <f aca="false">IF(OR(E934="",E934="!!!",F934="NEW"),"",INDEX(B$2:B916,-1+SUMPRODUCT(MAX(ROW(E$2:E916)*(E934=E$2:E916)))))</f>
        <v/>
      </c>
      <c r="J934" s="26" t="str">
        <f aca="true">IF(OR(E934="",E934="!!!",F934="NEW"),"",COUNTBLANK(OFFSET(A$1,,,SUMPRODUCT(MAX(ROW(E$2:E917)*(E934=E$2:E917)))))-COUNTBLANK(OFFSET(A$1,,,SUMPRODUCT(MAX(ROW(E$1:E916)*(E934=E$1:E916))))))</f>
        <v/>
      </c>
      <c r="K934" s="26" t="str">
        <f aca="false">IF(OR(E934="",E934="!!!",F934="NEW"),"",INDEX(J$1:J916,SUMPRODUCT(MAX(ROW(E$1:E916)*(E934=E$1:E916)))))</f>
        <v/>
      </c>
      <c r="L934" s="27"/>
    </row>
    <row r="935" customFormat="false" ht="15" hidden="false" customHeight="false" outlineLevel="0" collapsed="false">
      <c r="A935" s="20" t="s">
        <v>262</v>
      </c>
      <c r="E935" s="21"/>
      <c r="F935" s="22"/>
      <c r="G935" s="23"/>
      <c r="H935" s="24"/>
      <c r="I935" s="25" t="str">
        <f aca="false">IF(OR(E935="",E935="!!!",F935="NEW"),"",INDEX(B$2:B917,-1+SUMPRODUCT(MAX(ROW(E$2:E917)*(E935=E$2:E917)))))</f>
        <v/>
      </c>
      <c r="J935" s="26" t="str">
        <f aca="true">IF(OR(E935="",E935="!!!",F935="NEW"),"",COUNTBLANK(OFFSET(A$1,,,SUMPRODUCT(MAX(ROW(E$2:E918)*(E935=E$2:E918)))))-COUNTBLANK(OFFSET(A$1,,,SUMPRODUCT(MAX(ROW(E$1:E917)*(E935=E$1:E917))))))</f>
        <v/>
      </c>
      <c r="K935" s="26" t="str">
        <f aca="false">IF(OR(E935="",E935="!!!",F935="NEW"),"",INDEX(J$1:J917,SUMPRODUCT(MAX(ROW(E$1:E917)*(E935=E$1:E917)))))</f>
        <v/>
      </c>
      <c r="L935" s="27"/>
    </row>
    <row r="936" customFormat="false" ht="15" hidden="false" customHeight="false" outlineLevel="0" collapsed="false">
      <c r="A936" s="20" t="s">
        <v>548</v>
      </c>
      <c r="B936" s="28" t="s">
        <v>215</v>
      </c>
      <c r="C936" s="28" t="s">
        <v>287</v>
      </c>
      <c r="D936" s="28" t="s">
        <v>198</v>
      </c>
      <c r="E936" s="21" t="s">
        <v>511</v>
      </c>
      <c r="F936" s="22" t="s">
        <v>226</v>
      </c>
      <c r="G936" s="23" t="s">
        <v>227</v>
      </c>
      <c r="H936" s="24"/>
      <c r="I936" s="25" t="str">
        <f aca="false">IF(OR(E936="",E936="!!!",F936="NEW"),"",INDEX(B$2:B918,-1+SUMPRODUCT(MAX(ROW(E$2:E918)*(E936=E$2:E918)))))</f>
        <v>other</v>
      </c>
      <c r="J936" s="26" t="n">
        <f aca="true">IF(OR(E936="",E936="!!!",F936="NEW"),"",COUNTBLANK(OFFSET(A$1,,,SUMPRODUCT(MAX(ROW(E$2:E919)*(E936=E$2:E919)))))-COUNTBLANK(OFFSET(A$1,,,SUMPRODUCT(MAX(ROW(E$1:E918)*(E936=E$1:E918))))))</f>
        <v>0</v>
      </c>
      <c r="K936" s="26" t="n">
        <f aca="false">IF(OR(E936="",E936="!!!",F936="NEW"),"",INDEX(J$1:J918,SUMPRODUCT(MAX(ROW(E$1:E918)*(E936=E$1:E918)))))</f>
        <v>0</v>
      </c>
      <c r="L936" s="27"/>
    </row>
    <row r="937" customFormat="false" ht="15" hidden="false" customHeight="false" outlineLevel="0" collapsed="false">
      <c r="A937" s="20" t="s">
        <v>509</v>
      </c>
      <c r="E937" s="21"/>
      <c r="F937" s="22"/>
      <c r="G937" s="23"/>
      <c r="H937" s="24"/>
      <c r="I937" s="25" t="str">
        <f aca="false">IF(OR(E937="",E937="!!!",F937="NEW"),"",INDEX(B$2:B919,-1+SUMPRODUCT(MAX(ROW(E$2:E919)*(E937=E$2:E919)))))</f>
        <v/>
      </c>
      <c r="J937" s="26" t="str">
        <f aca="true">IF(OR(E937="",E937="!!!",F937="NEW"),"",COUNTBLANK(OFFSET(A$1,,,SUMPRODUCT(MAX(ROW(E$2:E920)*(E937=E$2:E920)))))-COUNTBLANK(OFFSET(A$1,,,SUMPRODUCT(MAX(ROW(E$1:E919)*(E937=E$1:E919))))))</f>
        <v/>
      </c>
      <c r="K937" s="26" t="str">
        <f aca="false">IF(OR(E937="",E937="!!!",F937="NEW"),"",INDEX(J$1:J919,SUMPRODUCT(MAX(ROW(E$1:E919)*(E937=E$1:E919)))))</f>
        <v/>
      </c>
      <c r="L937" s="27"/>
    </row>
    <row r="938" customFormat="false" ht="15" hidden="false" customHeight="false" outlineLevel="0" collapsed="false">
      <c r="A938" s="20" t="s">
        <v>209</v>
      </c>
      <c r="E938" s="21"/>
      <c r="F938" s="22"/>
      <c r="G938" s="23"/>
      <c r="H938" s="24"/>
      <c r="I938" s="25" t="str">
        <f aca="false">IF(OR(E938="",E938="!!!",F938="NEW"),"",INDEX(B$2:B920,-1+SUMPRODUCT(MAX(ROW(E$2:E920)*(E938=E$2:E920)))))</f>
        <v/>
      </c>
      <c r="J938" s="26" t="str">
        <f aca="true">IF(OR(E938="",E938="!!!",F938="NEW"),"",COUNTBLANK(OFFSET(A$1,,,SUMPRODUCT(MAX(ROW(E$2:E921)*(E938=E$2:E921)))))-COUNTBLANK(OFFSET(A$1,,,SUMPRODUCT(MAX(ROW(E$1:E920)*(E938=E$1:E920))))))</f>
        <v/>
      </c>
      <c r="K938" s="26" t="str">
        <f aca="false">IF(OR(E938="",E938="!!!",F938="NEW"),"",INDEX(J$1:J920,SUMPRODUCT(MAX(ROW(E$1:E920)*(E938=E$1:E920)))))</f>
        <v/>
      </c>
      <c r="L938" s="27"/>
    </row>
    <row r="939" customFormat="false" ht="15" hidden="false" customHeight="false" outlineLevel="0" collapsed="false">
      <c r="A939" s="20" t="s">
        <v>598</v>
      </c>
      <c r="E939" s="21"/>
      <c r="F939" s="22"/>
      <c r="G939" s="23"/>
      <c r="H939" s="24"/>
      <c r="I939" s="25" t="str">
        <f aca="false">IF(OR(E939="",E939="!!!",F939="NEW"),"",INDEX(B$2:B921,-1+SUMPRODUCT(MAX(ROW(E$2:E921)*(E939=E$2:E921)))))</f>
        <v/>
      </c>
      <c r="J939" s="26" t="str">
        <f aca="true">IF(OR(E939="",E939="!!!",F939="NEW"),"",COUNTBLANK(OFFSET(A$1,,,SUMPRODUCT(MAX(ROW(E$2:E922)*(E939=E$2:E922)))))-COUNTBLANK(OFFSET(A$1,,,SUMPRODUCT(MAX(ROW(E$1:E921)*(E939=E$1:E921))))))</f>
        <v/>
      </c>
      <c r="K939" s="26" t="str">
        <f aca="false">IF(OR(E939="",E939="!!!",F939="NEW"),"",INDEX(J$1:J921,SUMPRODUCT(MAX(ROW(E$1:E921)*(E939=E$1:E921)))))</f>
        <v/>
      </c>
      <c r="L939" s="27"/>
    </row>
    <row r="940" customFormat="false" ht="15" hidden="false" customHeight="false" outlineLevel="0" collapsed="false">
      <c r="A940" s="20" t="s">
        <v>195</v>
      </c>
      <c r="B940" s="28" t="s">
        <v>222</v>
      </c>
      <c r="C940" s="28" t="s">
        <v>197</v>
      </c>
      <c r="D940" s="28" t="s">
        <v>198</v>
      </c>
      <c r="E940" s="21" t="s">
        <v>511</v>
      </c>
      <c r="F940" s="22" t="s">
        <v>226</v>
      </c>
      <c r="G940" s="23" t="s">
        <v>227</v>
      </c>
      <c r="H940" s="24"/>
      <c r="I940" s="25" t="str">
        <f aca="false">IF(OR(E940="",E940="!!!",F940="NEW"),"",INDEX(B$2:B922,-1+SUMPRODUCT(MAX(ROW(E$2:E922)*(E940=E$2:E922)))))</f>
        <v>other</v>
      </c>
      <c r="J940" s="26" t="n">
        <f aca="true">IF(OR(E940="",E940="!!!",F940="NEW"),"",COUNTBLANK(OFFSET(A$1,,,SUMPRODUCT(MAX(ROW(E$2:E923)*(E940=E$2:E923)))))-COUNTBLANK(OFFSET(A$1,,,SUMPRODUCT(MAX(ROW(E$1:E922)*(E940=E$1:E922))))))</f>
        <v>1</v>
      </c>
      <c r="K940" s="26" t="n">
        <f aca="false">IF(OR(E940="",E940="!!!",F940="NEW"),"",INDEX(J$1:J922,SUMPRODUCT(MAX(ROW(E$1:E922)*(E940=E$1:E922)))))</f>
        <v>0</v>
      </c>
      <c r="L940" s="27"/>
    </row>
    <row r="941" customFormat="false" ht="15" hidden="false" customHeight="false" outlineLevel="0" collapsed="false">
      <c r="A941" s="20" t="s">
        <v>315</v>
      </c>
      <c r="E941" s="21"/>
      <c r="F941" s="22"/>
      <c r="G941" s="23"/>
      <c r="H941" s="24"/>
      <c r="I941" s="25" t="str">
        <f aca="false">IF(OR(E941="",E941="!!!",F941="NEW"),"",INDEX(B$2:B923,-1+SUMPRODUCT(MAX(ROW(E$2:E923)*(E941=E$2:E923)))))</f>
        <v/>
      </c>
      <c r="J941" s="26" t="str">
        <f aca="true">IF(OR(E941="",E941="!!!",F941="NEW"),"",COUNTBLANK(OFFSET(A$1,,,SUMPRODUCT(MAX(ROW(E$2:E924)*(E941=E$2:E924)))))-COUNTBLANK(OFFSET(A$1,,,SUMPRODUCT(MAX(ROW(E$1:E923)*(E941=E$1:E923))))))</f>
        <v/>
      </c>
      <c r="K941" s="26" t="str">
        <f aca="false">IF(OR(E941="",E941="!!!",F941="NEW"),"",INDEX(J$1:J923,SUMPRODUCT(MAX(ROW(E$1:E923)*(E941=E$1:E923)))))</f>
        <v/>
      </c>
      <c r="L941" s="27"/>
    </row>
    <row r="942" customFormat="false" ht="15" hidden="false" customHeight="false" outlineLevel="0" collapsed="false">
      <c r="A942" s="20" t="s">
        <v>364</v>
      </c>
      <c r="E942" s="21"/>
      <c r="F942" s="22"/>
      <c r="G942" s="23"/>
      <c r="H942" s="24"/>
      <c r="I942" s="25" t="str">
        <f aca="false">IF(OR(E942="",E942="!!!",F942="NEW"),"",INDEX(B$2:B924,-1+SUMPRODUCT(MAX(ROW(E$2:E924)*(E942=E$2:E924)))))</f>
        <v/>
      </c>
      <c r="J942" s="26" t="str">
        <f aca="true">IF(OR(E942="",E942="!!!",F942="NEW"),"",COUNTBLANK(OFFSET(A$1,,,SUMPRODUCT(MAX(ROW(E$2:E925)*(E942=E$2:E925)))))-COUNTBLANK(OFFSET(A$1,,,SUMPRODUCT(MAX(ROW(E$1:E924)*(E942=E$1:E924))))))</f>
        <v/>
      </c>
      <c r="K942" s="26" t="str">
        <f aca="false">IF(OR(E942="",E942="!!!",F942="NEW"),"",INDEX(J$1:J924,SUMPRODUCT(MAX(ROW(E$1:E924)*(E942=E$1:E924)))))</f>
        <v/>
      </c>
      <c r="L942" s="27"/>
    </row>
    <row r="943" customFormat="false" ht="15" hidden="false" customHeight="false" outlineLevel="0" collapsed="false">
      <c r="A943" s="20" t="s">
        <v>487</v>
      </c>
      <c r="B943" s="28" t="s">
        <v>234</v>
      </c>
      <c r="C943" s="28" t="s">
        <v>352</v>
      </c>
      <c r="E943" s="21"/>
      <c r="F943" s="22"/>
      <c r="G943" s="23"/>
      <c r="H943" s="24"/>
      <c r="I943" s="25" t="str">
        <f aca="false">IF(OR(E943="",E943="!!!",F943="NEW"),"",INDEX(B$2:B925,-1+SUMPRODUCT(MAX(ROW(E$2:E925)*(E943=E$2:E925)))))</f>
        <v/>
      </c>
      <c r="J943" s="26" t="str">
        <f aca="true">IF(OR(E943="",E943="!!!",F943="NEW"),"",COUNTBLANK(OFFSET(A$1,,,SUMPRODUCT(MAX(ROW(E$2:E926)*(E943=E$2:E926)))))-COUNTBLANK(OFFSET(A$1,,,SUMPRODUCT(MAX(ROW(E$1:E925)*(E943=E$1:E925))))))</f>
        <v/>
      </c>
      <c r="K943" s="26" t="str">
        <f aca="false">IF(OR(E943="",E943="!!!",F943="NEW"),"",INDEX(J$1:J925,SUMPRODUCT(MAX(ROW(E$1:E925)*(E943=E$1:E925)))))</f>
        <v/>
      </c>
      <c r="L943" s="27"/>
    </row>
    <row r="944" customFormat="false" ht="15" hidden="false" customHeight="false" outlineLevel="0" collapsed="false">
      <c r="A944" s="20" t="s">
        <v>236</v>
      </c>
      <c r="E944" s="21"/>
      <c r="F944" s="22"/>
      <c r="G944" s="23"/>
      <c r="H944" s="24"/>
      <c r="I944" s="25" t="str">
        <f aca="false">IF(OR(E944="",E944="!!!",F944="NEW"),"",INDEX(B$2:B926,-1+SUMPRODUCT(MAX(ROW(E$2:E926)*(E944=E$2:E926)))))</f>
        <v/>
      </c>
      <c r="J944" s="26" t="str">
        <f aca="true">IF(OR(E944="",E944="!!!",F944="NEW"),"",COUNTBLANK(OFFSET(A$1,,,SUMPRODUCT(MAX(ROW(E$2:E927)*(E944=E$2:E927)))))-COUNTBLANK(OFFSET(A$1,,,SUMPRODUCT(MAX(ROW(E$1:E926)*(E944=E$1:E926))))))</f>
        <v/>
      </c>
      <c r="K944" s="26" t="str">
        <f aca="false">IF(OR(E944="",E944="!!!",F944="NEW"),"",INDEX(J$1:J926,SUMPRODUCT(MAX(ROW(E$1:E926)*(E944=E$1:E926)))))</f>
        <v/>
      </c>
      <c r="L944" s="27"/>
    </row>
    <row r="945" customFormat="false" ht="15" hidden="false" customHeight="false" outlineLevel="0" collapsed="false">
      <c r="A945" s="20" t="s">
        <v>599</v>
      </c>
      <c r="E945" s="21"/>
      <c r="F945" s="22"/>
      <c r="G945" s="23"/>
      <c r="H945" s="24"/>
      <c r="I945" s="25" t="str">
        <f aca="false">IF(OR(E945="",E945="!!!",F945="NEW"),"",INDEX(B$2:B927,-1+SUMPRODUCT(MAX(ROW(E$2:E927)*(E945=E$2:E927)))))</f>
        <v/>
      </c>
      <c r="J945" s="26" t="str">
        <f aca="true">IF(OR(E945="",E945="!!!",F945="NEW"),"",COUNTBLANK(OFFSET(A$1,,,SUMPRODUCT(MAX(ROW(E$2:E928)*(E945=E$2:E928)))))-COUNTBLANK(OFFSET(A$1,,,SUMPRODUCT(MAX(ROW(E$1:E927)*(E945=E$1:E927))))))</f>
        <v/>
      </c>
      <c r="K945" s="26" t="str">
        <f aca="false">IF(OR(E945="",E945="!!!",F945="NEW"),"",INDEX(J$1:J927,SUMPRODUCT(MAX(ROW(E$1:E927)*(E945=E$1:E927)))))</f>
        <v/>
      </c>
      <c r="L945" s="27"/>
    </row>
    <row r="946" customFormat="false" ht="15" hidden="false" customHeight="false" outlineLevel="0" collapsed="false">
      <c r="A946" s="20" t="s">
        <v>244</v>
      </c>
      <c r="E946" s="21"/>
      <c r="F946" s="22"/>
      <c r="G946" s="23"/>
      <c r="H946" s="24"/>
      <c r="I946" s="25" t="str">
        <f aca="false">IF(OR(E946="",E946="!!!",F946="NEW"),"",INDEX(B$2:B928,-1+SUMPRODUCT(MAX(ROW(E$2:E928)*(E946=E$2:E928)))))</f>
        <v/>
      </c>
      <c r="J946" s="26" t="str">
        <f aca="true">IF(OR(E946="",E946="!!!",F946="NEW"),"",COUNTBLANK(OFFSET(A$1,,,SUMPRODUCT(MAX(ROW(E$2:E929)*(E946=E$2:E929)))))-COUNTBLANK(OFFSET(A$1,,,SUMPRODUCT(MAX(ROW(E$1:E928)*(E946=E$1:E928))))))</f>
        <v/>
      </c>
      <c r="K946" s="26" t="str">
        <f aca="false">IF(OR(E946="",E946="!!!",F946="NEW"),"",INDEX(J$1:J928,SUMPRODUCT(MAX(ROW(E$1:E928)*(E946=E$1:E928)))))</f>
        <v/>
      </c>
      <c r="L946" s="27"/>
    </row>
    <row r="947" customFormat="false" ht="15" hidden="false" customHeight="false" outlineLevel="0" collapsed="false">
      <c r="A947" s="20"/>
      <c r="E947" s="21"/>
      <c r="F947" s="22"/>
      <c r="G947" s="23"/>
      <c r="H947" s="24"/>
      <c r="I947" s="25" t="str">
        <f aca="false">IF(OR(E947="",E947="!!!",F947="NEW"),"",INDEX(B$2:B929,-1+SUMPRODUCT(MAX(ROW(E$2:E929)*(E947=E$2:E929)))))</f>
        <v/>
      </c>
      <c r="J947" s="26" t="str">
        <f aca="true">IF(OR(E947="",E947="!!!",F947="NEW"),"",COUNTBLANK(OFFSET(A$1,,,SUMPRODUCT(MAX(ROW(E$2:E930)*(E947=E$2:E930)))))-COUNTBLANK(OFFSET(A$1,,,SUMPRODUCT(MAX(ROW(E$1:E929)*(E947=E$1:E929))))))</f>
        <v/>
      </c>
      <c r="K947" s="26" t="str">
        <f aca="false">IF(OR(E947="",E947="!!!",F947="NEW"),"",INDEX(J$1:J929,SUMPRODUCT(MAX(ROW(E$1:E929)*(E947=E$1:E929)))))</f>
        <v/>
      </c>
      <c r="L947" s="27"/>
    </row>
    <row r="948" customFormat="false" ht="15" hidden="false" customHeight="false" outlineLevel="0" collapsed="false">
      <c r="A948" s="20" t="s">
        <v>600</v>
      </c>
      <c r="E948" s="21"/>
      <c r="F948" s="22"/>
      <c r="G948" s="23"/>
      <c r="H948" s="24"/>
      <c r="I948" s="25" t="str">
        <f aca="false">IF(OR(E948="",E948="!!!",F948="NEW"),"",INDEX(B$2:B930,-1+SUMPRODUCT(MAX(ROW(E$2:E930)*(E948=E$2:E930)))))</f>
        <v/>
      </c>
      <c r="J948" s="26" t="str">
        <f aca="true">IF(OR(E948="",E948="!!!",F948="NEW"),"",COUNTBLANK(OFFSET(A$1,,,SUMPRODUCT(MAX(ROW(E$2:E931)*(E948=E$2:E931)))))-COUNTBLANK(OFFSET(A$1,,,SUMPRODUCT(MAX(ROW(E$1:E930)*(E948=E$1:E930))))))</f>
        <v/>
      </c>
      <c r="K948" s="26" t="str">
        <f aca="false">IF(OR(E948="",E948="!!!",F948="NEW"),"",INDEX(J$1:J930,SUMPRODUCT(MAX(ROW(E$1:E930)*(E948=E$1:E930)))))</f>
        <v/>
      </c>
      <c r="L948" s="27"/>
    </row>
    <row r="949" customFormat="false" ht="15" hidden="false" customHeight="false" outlineLevel="0" collapsed="false">
      <c r="A949" s="20" t="s">
        <v>601</v>
      </c>
      <c r="E949" s="21"/>
      <c r="F949" s="22"/>
      <c r="G949" s="23"/>
      <c r="H949" s="24"/>
      <c r="I949" s="25" t="str">
        <f aca="false">IF(OR(E949="",E949="!!!",F949="NEW"),"",INDEX(B$2:B931,-1+SUMPRODUCT(MAX(ROW(E$2:E931)*(E949=E$2:E931)))))</f>
        <v/>
      </c>
      <c r="J949" s="26" t="str">
        <f aca="true">IF(OR(E949="",E949="!!!",F949="NEW"),"",COUNTBLANK(OFFSET(A$1,,,SUMPRODUCT(MAX(ROW(E$2:E932)*(E949=E$2:E932)))))-COUNTBLANK(OFFSET(A$1,,,SUMPRODUCT(MAX(ROW(E$1:E931)*(E949=E$1:E931))))))</f>
        <v/>
      </c>
      <c r="K949" s="26" t="str">
        <f aca="false">IF(OR(E949="",E949="!!!",F949="NEW"),"",INDEX(J$1:J931,SUMPRODUCT(MAX(ROW(E$1:E931)*(E949=E$1:E931)))))</f>
        <v/>
      </c>
      <c r="L949" s="27"/>
    </row>
    <row r="950" customFormat="false" ht="15" hidden="false" customHeight="false" outlineLevel="0" collapsed="false">
      <c r="A950" s="20" t="s">
        <v>602</v>
      </c>
      <c r="E950" s="21"/>
      <c r="F950" s="22"/>
      <c r="G950" s="23"/>
      <c r="H950" s="24"/>
      <c r="I950" s="25" t="str">
        <f aca="false">IF(OR(E950="",E950="!!!",F950="NEW"),"",INDEX(B$2:B932,-1+SUMPRODUCT(MAX(ROW(E$2:E932)*(E950=E$2:E932)))))</f>
        <v/>
      </c>
      <c r="J950" s="26" t="str">
        <f aca="true">IF(OR(E950="",E950="!!!",F950="NEW"),"",COUNTBLANK(OFFSET(A$1,,,SUMPRODUCT(MAX(ROW(E$2:E933)*(E950=E$2:E933)))))-COUNTBLANK(OFFSET(A$1,,,SUMPRODUCT(MAX(ROW(E$1:E932)*(E950=E$1:E932))))))</f>
        <v/>
      </c>
      <c r="K950" s="26" t="str">
        <f aca="false">IF(OR(E950="",E950="!!!",F950="NEW"),"",INDEX(J$1:J932,SUMPRODUCT(MAX(ROW(E$1:E932)*(E950=E$1:E932)))))</f>
        <v/>
      </c>
      <c r="L950" s="27"/>
    </row>
    <row r="951" customFormat="false" ht="15" hidden="false" customHeight="false" outlineLevel="0" collapsed="false">
      <c r="A951" s="20" t="s">
        <v>324</v>
      </c>
      <c r="B951" s="28" t="s">
        <v>206</v>
      </c>
      <c r="C951" s="28" t="s">
        <v>251</v>
      </c>
      <c r="E951" s="21"/>
      <c r="F951" s="22"/>
      <c r="G951" s="23"/>
      <c r="H951" s="24"/>
      <c r="I951" s="25" t="str">
        <f aca="false">IF(OR(E951="",E951="!!!",F951="NEW"),"",INDEX(B$2:B933,-1+SUMPRODUCT(MAX(ROW(E$2:E933)*(E951=E$2:E933)))))</f>
        <v/>
      </c>
      <c r="J951" s="26" t="str">
        <f aca="true">IF(OR(E951="",E951="!!!",F951="NEW"),"",COUNTBLANK(OFFSET(A$1,,,SUMPRODUCT(MAX(ROW(E$2:E934)*(E951=E$2:E934)))))-COUNTBLANK(OFFSET(A$1,,,SUMPRODUCT(MAX(ROW(E$1:E933)*(E951=E$1:E933))))))</f>
        <v/>
      </c>
      <c r="K951" s="26" t="str">
        <f aca="false">IF(OR(E951="",E951="!!!",F951="NEW"),"",INDEX(J$1:J933,SUMPRODUCT(MAX(ROW(E$1:E933)*(E951=E$1:E933)))))</f>
        <v/>
      </c>
      <c r="L951" s="27"/>
    </row>
    <row r="952" customFormat="false" ht="15" hidden="false" customHeight="false" outlineLevel="0" collapsed="false">
      <c r="A952" s="20" t="s">
        <v>209</v>
      </c>
      <c r="E952" s="21"/>
      <c r="F952" s="22"/>
      <c r="G952" s="23"/>
      <c r="H952" s="24"/>
      <c r="I952" s="25" t="str">
        <f aca="false">IF(OR(E952="",E952="!!!",F952="NEW"),"",INDEX(B$2:B934,-1+SUMPRODUCT(MAX(ROW(E$2:E934)*(E952=E$2:E934)))))</f>
        <v/>
      </c>
      <c r="J952" s="26" t="str">
        <f aca="true">IF(OR(E952="",E952="!!!",F952="NEW"),"",COUNTBLANK(OFFSET(A$1,,,SUMPRODUCT(MAX(ROW(E$2:E935)*(E952=E$2:E935)))))-COUNTBLANK(OFFSET(A$1,,,SUMPRODUCT(MAX(ROW(E$1:E934)*(E952=E$1:E934))))))</f>
        <v/>
      </c>
      <c r="K952" s="26" t="str">
        <f aca="false">IF(OR(E952="",E952="!!!",F952="NEW"),"",INDEX(J$1:J934,SUMPRODUCT(MAX(ROW(E$1:E934)*(E952=E$1:E934)))))</f>
        <v/>
      </c>
      <c r="L952" s="27"/>
    </row>
    <row r="953" customFormat="false" ht="15" hidden="false" customHeight="false" outlineLevel="0" collapsed="false">
      <c r="A953" s="20" t="s">
        <v>204</v>
      </c>
      <c r="E953" s="21"/>
      <c r="F953" s="22"/>
      <c r="G953" s="23"/>
      <c r="H953" s="24"/>
      <c r="I953" s="25" t="str">
        <f aca="false">IF(OR(E953="",E953="!!!",F953="NEW"),"",INDEX(B$2:B935,-1+SUMPRODUCT(MAX(ROW(E$2:E935)*(E953=E$2:E935)))))</f>
        <v/>
      </c>
      <c r="J953" s="26" t="str">
        <f aca="true">IF(OR(E953="",E953="!!!",F953="NEW"),"",COUNTBLANK(OFFSET(A$1,,,SUMPRODUCT(MAX(ROW(E$2:E936)*(E953=E$2:E936)))))-COUNTBLANK(OFFSET(A$1,,,SUMPRODUCT(MAX(ROW(E$1:E935)*(E953=E$1:E935))))))</f>
        <v/>
      </c>
      <c r="K953" s="26" t="str">
        <f aca="false">IF(OR(E953="",E953="!!!",F953="NEW"),"",INDEX(J$1:J935,SUMPRODUCT(MAX(ROW(E$1:E935)*(E953=E$1:E935)))))</f>
        <v/>
      </c>
      <c r="L953" s="27"/>
    </row>
    <row r="954" customFormat="false" ht="15" hidden="false" customHeight="false" outlineLevel="0" collapsed="false">
      <c r="A954" s="20" t="s">
        <v>603</v>
      </c>
      <c r="B954" s="28" t="s">
        <v>196</v>
      </c>
      <c r="C954" s="28" t="s">
        <v>207</v>
      </c>
      <c r="D954" s="28" t="s">
        <v>198</v>
      </c>
      <c r="E954" s="21" t="s">
        <v>511</v>
      </c>
      <c r="F954" s="22" t="s">
        <v>226</v>
      </c>
      <c r="G954" s="23" t="s">
        <v>201</v>
      </c>
      <c r="H954" s="24" t="s">
        <v>189</v>
      </c>
      <c r="I954" s="25" t="str">
        <f aca="false">IF(OR(E954="",E954="!!!",F954="NEW"),"",INDEX(B$2:B936,-1+SUMPRODUCT(MAX(ROW(E$2:E936)*(E954=E$2:E936)))))</f>
        <v>other_2</v>
      </c>
      <c r="J954" s="26" t="n">
        <f aca="true">IF(OR(E954="",E954="!!!",F954="NEW"),"",COUNTBLANK(OFFSET(A$1,,,SUMPRODUCT(MAX(ROW(E$2:E937)*(E954=E$2:E937)))))-COUNTBLANK(OFFSET(A$1,,,SUMPRODUCT(MAX(ROW(E$1:E936)*(E954=E$1:E936))))))</f>
        <v>0</v>
      </c>
      <c r="K954" s="26" t="n">
        <f aca="false">IF(OR(E954="",E954="!!!",F954="NEW"),"",INDEX(J$1:J936,SUMPRODUCT(MAX(ROW(E$1:E936)*(E954=E$1:E936)))))</f>
        <v>0</v>
      </c>
      <c r="L954" s="27"/>
    </row>
    <row r="955" customFormat="false" ht="15" hidden="false" customHeight="false" outlineLevel="0" collapsed="false">
      <c r="A955" s="20" t="s">
        <v>604</v>
      </c>
      <c r="E955" s="21"/>
      <c r="F955" s="22"/>
      <c r="G955" s="23"/>
      <c r="H955" s="24"/>
      <c r="I955" s="25" t="str">
        <f aca="false">IF(OR(E955="",E955="!!!",F955="NEW"),"",INDEX(B$2:B937,-1+SUMPRODUCT(MAX(ROW(E$2:E937)*(E955=E$2:E937)))))</f>
        <v/>
      </c>
      <c r="J955" s="26" t="str">
        <f aca="true">IF(OR(E955="",E955="!!!",F955="NEW"),"",COUNTBLANK(OFFSET(A$1,,,SUMPRODUCT(MAX(ROW(E$2:E938)*(E955=E$2:E938)))))-COUNTBLANK(OFFSET(A$1,,,SUMPRODUCT(MAX(ROW(E$1:E937)*(E955=E$1:E937))))))</f>
        <v/>
      </c>
      <c r="K955" s="26" t="str">
        <f aca="false">IF(OR(E955="",E955="!!!",F955="NEW"),"",INDEX(J$1:J937,SUMPRODUCT(MAX(ROW(E$1:E937)*(E955=E$1:E937)))))</f>
        <v/>
      </c>
      <c r="L955" s="27"/>
    </row>
    <row r="956" customFormat="false" ht="15" hidden="false" customHeight="false" outlineLevel="0" collapsed="false">
      <c r="A956" s="20" t="s">
        <v>286</v>
      </c>
      <c r="B956" s="28" t="s">
        <v>215</v>
      </c>
      <c r="C956" s="28" t="s">
        <v>287</v>
      </c>
      <c r="D956" s="28" t="s">
        <v>198</v>
      </c>
      <c r="E956" s="21" t="s">
        <v>511</v>
      </c>
      <c r="F956" s="22" t="s">
        <v>226</v>
      </c>
      <c r="G956" s="23" t="s">
        <v>227</v>
      </c>
      <c r="H956" s="24"/>
      <c r="I956" s="25" t="str">
        <f aca="false">IF(OR(E956="",E956="!!!",F956="NEW"),"",INDEX(B$2:B938,-1+SUMPRODUCT(MAX(ROW(E$2:E938)*(E956=E$2:E938)))))</f>
        <v>other_2</v>
      </c>
      <c r="J956" s="26" t="n">
        <f aca="true">IF(OR(E956="",E956="!!!",F956="NEW"),"",COUNTBLANK(OFFSET(A$1,,,SUMPRODUCT(MAX(ROW(E$2:E939)*(E956=E$2:E939)))))-COUNTBLANK(OFFSET(A$1,,,SUMPRODUCT(MAX(ROW(E$1:E938)*(E956=E$1:E938))))))</f>
        <v>0</v>
      </c>
      <c r="K956" s="26" t="n">
        <f aca="false">IF(OR(E956="",E956="!!!",F956="NEW"),"",INDEX(J$1:J938,SUMPRODUCT(MAX(ROW(E$1:E938)*(E956=E$1:E938)))))</f>
        <v>0</v>
      </c>
      <c r="L956" s="27"/>
    </row>
    <row r="957" customFormat="false" ht="15" hidden="false" customHeight="false" outlineLevel="0" collapsed="false">
      <c r="A957" s="20" t="s">
        <v>605</v>
      </c>
      <c r="B957" s="28" t="s">
        <v>250</v>
      </c>
      <c r="C957" s="28" t="s">
        <v>289</v>
      </c>
      <c r="D957" s="28" t="s">
        <v>198</v>
      </c>
      <c r="E957" s="21" t="s">
        <v>606</v>
      </c>
      <c r="F957" s="22" t="s">
        <v>200</v>
      </c>
      <c r="G957" s="23" t="s">
        <v>212</v>
      </c>
      <c r="H957" s="24"/>
      <c r="I957" s="25" t="str">
        <f aca="false">IF(OR(E957="",E957="!!!",F957="NEW"),"",INDEX(B$2:B939,-1+SUMPRODUCT(MAX(ROW(E$2:E939)*(E957=E$2:E939)))))</f>
        <v/>
      </c>
      <c r="J957" s="26" t="str">
        <f aca="true">IF(OR(E957="",E957="!!!",F957="NEW"),"",COUNTBLANK(OFFSET(A$1,,,SUMPRODUCT(MAX(ROW(E$2:E940)*(E957=E$2:E940)))))-COUNTBLANK(OFFSET(A$1,,,SUMPRODUCT(MAX(ROW(E$1:E939)*(E957=E$1:E939))))))</f>
        <v/>
      </c>
      <c r="K957" s="26" t="str">
        <f aca="false">IF(OR(E957="",E957="!!!",F957="NEW"),"",INDEX(J$1:J939,SUMPRODUCT(MAX(ROW(E$1:E939)*(E957=E$1:E939)))))</f>
        <v/>
      </c>
      <c r="L957" s="27"/>
    </row>
    <row r="958" customFormat="false" ht="15" hidden="false" customHeight="false" outlineLevel="0" collapsed="false">
      <c r="A958" s="20" t="s">
        <v>217</v>
      </c>
      <c r="E958" s="21"/>
      <c r="F958" s="22"/>
      <c r="G958" s="23"/>
      <c r="H958" s="24"/>
      <c r="I958" s="25" t="str">
        <f aca="false">IF(OR(E958="",E958="!!!",F958="NEW"),"",INDEX(B$2:B940,-1+SUMPRODUCT(MAX(ROW(E$2:E940)*(E958=E$2:E940)))))</f>
        <v/>
      </c>
      <c r="J958" s="26" t="str">
        <f aca="true">IF(OR(E958="",E958="!!!",F958="NEW"),"",COUNTBLANK(OFFSET(A$1,,,SUMPRODUCT(MAX(ROW(E$2:E941)*(E958=E$2:E941)))))-COUNTBLANK(OFFSET(A$1,,,SUMPRODUCT(MAX(ROW(E$1:E940)*(E958=E$1:E940))))))</f>
        <v/>
      </c>
      <c r="K958" s="26" t="str">
        <f aca="false">IF(OR(E958="",E958="!!!",F958="NEW"),"",INDEX(J$1:J940,SUMPRODUCT(MAX(ROW(E$1:E940)*(E958=E$1:E940)))))</f>
        <v/>
      </c>
      <c r="L958" s="27"/>
    </row>
    <row r="959" customFormat="false" ht="15" hidden="false" customHeight="false" outlineLevel="0" collapsed="false">
      <c r="A959" s="20" t="s">
        <v>204</v>
      </c>
      <c r="E959" s="21"/>
      <c r="F959" s="22"/>
      <c r="G959" s="23"/>
      <c r="H959" s="24"/>
      <c r="I959" s="25" t="str">
        <f aca="false">IF(OR(E959="",E959="!!!",F959="NEW"),"",INDEX(B$2:B941,-1+SUMPRODUCT(MAX(ROW(E$2:E941)*(E959=E$2:E941)))))</f>
        <v/>
      </c>
      <c r="J959" s="26" t="str">
        <f aca="true">IF(OR(E959="",E959="!!!",F959="NEW"),"",COUNTBLANK(OFFSET(A$1,,,SUMPRODUCT(MAX(ROW(E$2:E942)*(E959=E$2:E942)))))-COUNTBLANK(OFFSET(A$1,,,SUMPRODUCT(MAX(ROW(E$1:E941)*(E959=E$1:E941))))))</f>
        <v/>
      </c>
      <c r="K959" s="26" t="str">
        <f aca="false">IF(OR(E959="",E959="!!!",F959="NEW"),"",INDEX(J$1:J941,SUMPRODUCT(MAX(ROW(E$1:E941)*(E959=E$1:E941)))))</f>
        <v/>
      </c>
      <c r="L959" s="27"/>
    </row>
    <row r="960" customFormat="false" ht="15" hidden="false" customHeight="false" outlineLevel="0" collapsed="false">
      <c r="A960" s="20" t="s">
        <v>239</v>
      </c>
      <c r="B960" s="28" t="s">
        <v>215</v>
      </c>
      <c r="C960" s="28" t="s">
        <v>289</v>
      </c>
      <c r="D960" s="28" t="s">
        <v>198</v>
      </c>
      <c r="E960" s="21" t="s">
        <v>241</v>
      </c>
      <c r="F960" s="22" t="s">
        <v>226</v>
      </c>
      <c r="G960" s="23" t="s">
        <v>201</v>
      </c>
      <c r="H960" s="24"/>
      <c r="I960" s="25" t="str">
        <f aca="false">IF(OR(E960="",E960="!!!",F960="NEW"),"",INDEX(B$2:B942,-1+SUMPRODUCT(MAX(ROW(E$2:E942)*(E960=E$2:E942)))))</f>
        <v>OBJ_3</v>
      </c>
      <c r="J960" s="26" t="n">
        <f aca="true">IF(OR(E960="",E960="!!!",F960="NEW"),"",COUNTBLANK(OFFSET(A$1,,,SUMPRODUCT(MAX(ROW(E$2:E943)*(E960=E$2:E943)))))-COUNTBLANK(OFFSET(A$1,,,SUMPRODUCT(MAX(ROW(E$1:E942)*(E960=E$1:E942))))))</f>
        <v>0</v>
      </c>
      <c r="K960" s="26" t="str">
        <f aca="false">IF(OR(E960="",E960="!!!",F960="NEW"),"",INDEX(J$1:J942,SUMPRODUCT(MAX(ROW(E$1:E942)*(E960=E$1:E942)))))</f>
        <v/>
      </c>
      <c r="L960" s="27"/>
    </row>
    <row r="961" customFormat="false" ht="15" hidden="false" customHeight="false" outlineLevel="0" collapsed="false">
      <c r="A961" s="20" t="s">
        <v>217</v>
      </c>
      <c r="E961" s="21"/>
      <c r="F961" s="22"/>
      <c r="G961" s="23"/>
      <c r="H961" s="24"/>
      <c r="I961" s="25" t="str">
        <f aca="false">IF(OR(E961="",E961="!!!",F961="NEW"),"",INDEX(B$2:B943,-1+SUMPRODUCT(MAX(ROW(E$2:E943)*(E961=E$2:E943)))))</f>
        <v/>
      </c>
      <c r="J961" s="26" t="str">
        <f aca="true">IF(OR(E961="",E961="!!!",F961="NEW"),"",COUNTBLANK(OFFSET(A$1,,,SUMPRODUCT(MAX(ROW(E$2:E944)*(E961=E$2:E944)))))-COUNTBLANK(OFFSET(A$1,,,SUMPRODUCT(MAX(ROW(E$1:E943)*(E961=E$1:E943))))))</f>
        <v/>
      </c>
      <c r="K961" s="26" t="str">
        <f aca="false">IF(OR(E961="",E961="!!!",F961="NEW"),"",INDEX(J$1:J943,SUMPRODUCT(MAX(ROW(E$1:E943)*(E961=E$1:E943)))))</f>
        <v/>
      </c>
      <c r="L961" s="27"/>
    </row>
    <row r="962" customFormat="false" ht="15" hidden="false" customHeight="false" outlineLevel="0" collapsed="false">
      <c r="A962" s="20" t="s">
        <v>204</v>
      </c>
      <c r="E962" s="21"/>
      <c r="F962" s="22"/>
      <c r="G962" s="23"/>
      <c r="H962" s="24"/>
      <c r="I962" s="25" t="str">
        <f aca="false">IF(OR(E962="",E962="!!!",F962="NEW"),"",INDEX(B$2:B944,-1+SUMPRODUCT(MAX(ROW(E$2:E944)*(E962=E$2:E944)))))</f>
        <v/>
      </c>
      <c r="J962" s="26" t="str">
        <f aca="true">IF(OR(E962="",E962="!!!",F962="NEW"),"",COUNTBLANK(OFFSET(A$1,,,SUMPRODUCT(MAX(ROW(E$2:E945)*(E962=E$2:E945)))))-COUNTBLANK(OFFSET(A$1,,,SUMPRODUCT(MAX(ROW(E$1:E944)*(E962=E$1:E944))))))</f>
        <v/>
      </c>
      <c r="K962" s="26" t="str">
        <f aca="false">IF(OR(E962="",E962="!!!",F962="NEW"),"",INDEX(J$1:J944,SUMPRODUCT(MAX(ROW(E$1:E944)*(E962=E$1:E944)))))</f>
        <v/>
      </c>
      <c r="L962" s="27"/>
    </row>
    <row r="963" customFormat="false" ht="15" hidden="false" customHeight="false" outlineLevel="0" collapsed="false">
      <c r="A963" s="20" t="s">
        <v>522</v>
      </c>
      <c r="E963" s="21"/>
      <c r="F963" s="22"/>
      <c r="G963" s="23"/>
      <c r="H963" s="24"/>
      <c r="I963" s="25" t="str">
        <f aca="false">IF(OR(E963="",E963="!!!",F963="NEW"),"",INDEX(B$2:B945,-1+SUMPRODUCT(MAX(ROW(E$2:E945)*(E963=E$2:E945)))))</f>
        <v/>
      </c>
      <c r="J963" s="26" t="str">
        <f aca="true">IF(OR(E963="",E963="!!!",F963="NEW"),"",COUNTBLANK(OFFSET(A$1,,,SUMPRODUCT(MAX(ROW(E$2:E946)*(E963=E$2:E946)))))-COUNTBLANK(OFFSET(A$1,,,SUMPRODUCT(MAX(ROW(E$1:E945)*(E963=E$1:E945))))))</f>
        <v/>
      </c>
      <c r="K963" s="26" t="str">
        <f aca="false">IF(OR(E963="",E963="!!!",F963="NEW"),"",INDEX(J$1:J945,SUMPRODUCT(MAX(ROW(E$1:E945)*(E963=E$1:E945)))))</f>
        <v/>
      </c>
      <c r="L963" s="27"/>
    </row>
    <row r="964" customFormat="false" ht="15" hidden="false" customHeight="false" outlineLevel="0" collapsed="false">
      <c r="A964" s="20" t="s">
        <v>237</v>
      </c>
      <c r="B964" s="28" t="s">
        <v>219</v>
      </c>
      <c r="C964" s="28" t="s">
        <v>223</v>
      </c>
      <c r="D964" s="28" t="s">
        <v>198</v>
      </c>
      <c r="E964" s="21" t="s">
        <v>237</v>
      </c>
      <c r="F964" s="22" t="s">
        <v>226</v>
      </c>
      <c r="G964" s="23" t="s">
        <v>201</v>
      </c>
      <c r="H964" s="24"/>
      <c r="I964" s="25" t="str">
        <f aca="false">IF(OR(E964="",E964="!!!",F964="NEW"),"",INDEX(B$2:B946,-1+SUMPRODUCT(MAX(ROW(E$2:E946)*(E964=E$2:E946)))))</f>
        <v>other_3</v>
      </c>
      <c r="J964" s="26" t="n">
        <f aca="true">IF(OR(E964="",E964="!!!",F964="NEW"),"",COUNTBLANK(OFFSET(A$1,,,SUMPRODUCT(MAX(ROW(E$2:E947)*(E964=E$2:E947)))))-COUNTBLANK(OFFSET(A$1,,,SUMPRODUCT(MAX(ROW(E$1:E946)*(E964=E$1:E946))))))</f>
        <v>0</v>
      </c>
      <c r="K964" s="26" t="n">
        <f aca="false">IF(OR(E964="",E964="!!!",F964="NEW"),"",INDEX(J$1:J946,SUMPRODUCT(MAX(ROW(E$1:E946)*(E964=E$1:E946)))))</f>
        <v>0</v>
      </c>
      <c r="L964" s="27"/>
    </row>
    <row r="965" customFormat="false" ht="15" hidden="false" customHeight="false" outlineLevel="0" collapsed="false">
      <c r="A965" s="20" t="s">
        <v>244</v>
      </c>
      <c r="E965" s="21"/>
      <c r="F965" s="22"/>
      <c r="G965" s="23"/>
      <c r="H965" s="24"/>
      <c r="I965" s="25" t="str">
        <f aca="false">IF(OR(E965="",E965="!!!",F965="NEW"),"",INDEX(B$2:B947,-1+SUMPRODUCT(MAX(ROW(E$2:E947)*(E965=E$2:E947)))))</f>
        <v/>
      </c>
      <c r="J965" s="26" t="str">
        <f aca="true">IF(OR(E965="",E965="!!!",F965="NEW"),"",COUNTBLANK(OFFSET(A$1,,,SUMPRODUCT(MAX(ROW(E$2:E948)*(E965=E$2:E948)))))-COUNTBLANK(OFFSET(A$1,,,SUMPRODUCT(MAX(ROW(E$1:E947)*(E965=E$1:E947))))))</f>
        <v/>
      </c>
      <c r="K965" s="26" t="str">
        <f aca="false">IF(OR(E965="",E965="!!!",F965="NEW"),"",INDEX(J$1:J947,SUMPRODUCT(MAX(ROW(E$1:E947)*(E965=E$1:E947)))))</f>
        <v/>
      </c>
      <c r="L965" s="27"/>
    </row>
    <row r="966" customFormat="false" ht="15" hidden="false" customHeight="false" outlineLevel="0" collapsed="false">
      <c r="A966" s="20"/>
      <c r="E966" s="21"/>
      <c r="F966" s="22"/>
      <c r="G966" s="23"/>
      <c r="H966" s="24"/>
      <c r="I966" s="25" t="str">
        <f aca="false">IF(OR(E966="",E966="!!!",F966="NEW"),"",INDEX(B$2:B948,-1+SUMPRODUCT(MAX(ROW(E$2:E948)*(E966=E$2:E948)))))</f>
        <v/>
      </c>
      <c r="J966" s="26" t="str">
        <f aca="true">IF(OR(E966="",E966="!!!",F966="NEW"),"",COUNTBLANK(OFFSET(A$1,,,SUMPRODUCT(MAX(ROW(E$2:E949)*(E966=E$2:E949)))))-COUNTBLANK(OFFSET(A$1,,,SUMPRODUCT(MAX(ROW(E$1:E948)*(E966=E$1:E948))))))</f>
        <v/>
      </c>
      <c r="K966" s="26" t="str">
        <f aca="false">IF(OR(E966="",E966="!!!",F966="NEW"),"",INDEX(J$1:J948,SUMPRODUCT(MAX(ROW(E$1:E948)*(E966=E$1:E948)))))</f>
        <v/>
      </c>
      <c r="L966" s="27"/>
    </row>
    <row r="967" customFormat="false" ht="15" hidden="false" customHeight="false" outlineLevel="0" collapsed="false">
      <c r="A967" s="20" t="s">
        <v>607</v>
      </c>
      <c r="E967" s="21"/>
      <c r="F967" s="22"/>
      <c r="G967" s="23"/>
      <c r="H967" s="24"/>
      <c r="I967" s="25" t="str">
        <f aca="false">IF(OR(E967="",E967="!!!",F967="NEW"),"",INDEX(B$2:B949,-1+SUMPRODUCT(MAX(ROW(E$2:E949)*(E967=E$2:E949)))))</f>
        <v/>
      </c>
      <c r="J967" s="26" t="str">
        <f aca="true">IF(OR(E967="",E967="!!!",F967="NEW"),"",COUNTBLANK(OFFSET(A$1,,,SUMPRODUCT(MAX(ROW(E$2:E950)*(E967=E$2:E950)))))-COUNTBLANK(OFFSET(A$1,,,SUMPRODUCT(MAX(ROW(E$1:E949)*(E967=E$1:E949))))))</f>
        <v/>
      </c>
      <c r="K967" s="26" t="str">
        <f aca="false">IF(OR(E967="",E967="!!!",F967="NEW"),"",INDEX(J$1:J949,SUMPRODUCT(MAX(ROW(E$1:E949)*(E967=E$1:E949)))))</f>
        <v/>
      </c>
      <c r="L967" s="27"/>
    </row>
    <row r="968" customFormat="false" ht="15" hidden="false" customHeight="false" outlineLevel="0" collapsed="false">
      <c r="A968" s="20" t="s">
        <v>608</v>
      </c>
      <c r="E968" s="21"/>
      <c r="F968" s="22"/>
      <c r="G968" s="23"/>
      <c r="H968" s="24"/>
      <c r="I968" s="25" t="str">
        <f aca="false">IF(OR(E968="",E968="!!!",F968="NEW"),"",INDEX(B$2:B950,-1+SUMPRODUCT(MAX(ROW(E$2:E950)*(E968=E$2:E950)))))</f>
        <v/>
      </c>
      <c r="J968" s="26" t="str">
        <f aca="true">IF(OR(E968="",E968="!!!",F968="NEW"),"",COUNTBLANK(OFFSET(A$1,,,SUMPRODUCT(MAX(ROW(E$2:E951)*(E968=E$2:E951)))))-COUNTBLANK(OFFSET(A$1,,,SUMPRODUCT(MAX(ROW(E$1:E950)*(E968=E$1:E950))))))</f>
        <v/>
      </c>
      <c r="K968" s="26" t="str">
        <f aca="false">IF(OR(E968="",E968="!!!",F968="NEW"),"",INDEX(J$1:J950,SUMPRODUCT(MAX(ROW(E$1:E950)*(E968=E$1:E950)))))</f>
        <v/>
      </c>
      <c r="L968" s="27"/>
    </row>
    <row r="969" customFormat="false" ht="15" hidden="false" customHeight="false" outlineLevel="0" collapsed="false">
      <c r="A969" s="20" t="s">
        <v>609</v>
      </c>
      <c r="B969" s="28" t="s">
        <v>196</v>
      </c>
      <c r="C969" s="28" t="s">
        <v>251</v>
      </c>
      <c r="E969" s="21"/>
      <c r="F969" s="22"/>
      <c r="G969" s="23"/>
      <c r="H969" s="24"/>
      <c r="I969" s="25" t="str">
        <f aca="false">IF(OR(E969="",E969="!!!",F969="NEW"),"",INDEX(B$2:B951,-1+SUMPRODUCT(MAX(ROW(E$2:E951)*(E969=E$2:E951)))))</f>
        <v/>
      </c>
      <c r="J969" s="26" t="str">
        <f aca="true">IF(OR(E969="",E969="!!!",F969="NEW"),"",COUNTBLANK(OFFSET(A$1,,,SUMPRODUCT(MAX(ROW(E$2:E952)*(E969=E$2:E952)))))-COUNTBLANK(OFFSET(A$1,,,SUMPRODUCT(MAX(ROW(E$1:E951)*(E969=E$1:E951))))))</f>
        <v/>
      </c>
      <c r="K969" s="26" t="str">
        <f aca="false">IF(OR(E969="",E969="!!!",F969="NEW"),"",INDEX(J$1:J951,SUMPRODUCT(MAX(ROW(E$1:E951)*(E969=E$1:E951)))))</f>
        <v/>
      </c>
      <c r="L969" s="27"/>
    </row>
    <row r="970" customFormat="false" ht="15" hidden="false" customHeight="false" outlineLevel="0" collapsed="false">
      <c r="A970" s="20" t="s">
        <v>262</v>
      </c>
      <c r="E970" s="21"/>
      <c r="F970" s="22"/>
      <c r="G970" s="23"/>
      <c r="H970" s="24"/>
      <c r="I970" s="25" t="str">
        <f aca="false">IF(OR(E970="",E970="!!!",F970="NEW"),"",INDEX(B$2:B952,-1+SUMPRODUCT(MAX(ROW(E$2:E952)*(E970=E$2:E952)))))</f>
        <v/>
      </c>
      <c r="J970" s="26" t="str">
        <f aca="true">IF(OR(E970="",E970="!!!",F970="NEW"),"",COUNTBLANK(OFFSET(A$1,,,SUMPRODUCT(MAX(ROW(E$2:E953)*(E970=E$2:E953)))))-COUNTBLANK(OFFSET(A$1,,,SUMPRODUCT(MAX(ROW(E$1:E952)*(E970=E$1:E952))))))</f>
        <v/>
      </c>
      <c r="K970" s="26" t="str">
        <f aca="false">IF(OR(E970="",E970="!!!",F970="NEW"),"",INDEX(J$1:J952,SUMPRODUCT(MAX(ROW(E$1:E952)*(E970=E$1:E952)))))</f>
        <v/>
      </c>
      <c r="L970" s="27"/>
    </row>
    <row r="971" customFormat="false" ht="15" hidden="false" customHeight="false" outlineLevel="0" collapsed="false">
      <c r="A971" s="20" t="s">
        <v>252</v>
      </c>
      <c r="E971" s="21"/>
      <c r="F971" s="22"/>
      <c r="G971" s="23"/>
      <c r="H971" s="24"/>
      <c r="I971" s="25" t="str">
        <f aca="false">IF(OR(E971="",E971="!!!",F971="NEW"),"",INDEX(B$2:B953,-1+SUMPRODUCT(MAX(ROW(E$2:E953)*(E971=E$2:E953)))))</f>
        <v/>
      </c>
      <c r="J971" s="26" t="str">
        <f aca="true">IF(OR(E971="",E971="!!!",F971="NEW"),"",COUNTBLANK(OFFSET(A$1,,,SUMPRODUCT(MAX(ROW(E$2:E954)*(E971=E$2:E954)))))-COUNTBLANK(OFFSET(A$1,,,SUMPRODUCT(MAX(ROW(E$1:E953)*(E971=E$1:E953))))))</f>
        <v/>
      </c>
      <c r="K971" s="26" t="str">
        <f aca="false">IF(OR(E971="",E971="!!!",F971="NEW"),"",INDEX(J$1:J953,SUMPRODUCT(MAX(ROW(E$1:E953)*(E971=E$1:E953)))))</f>
        <v/>
      </c>
      <c r="L971" s="27"/>
    </row>
    <row r="972" customFormat="false" ht="15" hidden="false" customHeight="false" outlineLevel="0" collapsed="false">
      <c r="A972" s="20" t="s">
        <v>225</v>
      </c>
      <c r="B972" s="28" t="s">
        <v>206</v>
      </c>
      <c r="C972" s="28" t="s">
        <v>197</v>
      </c>
      <c r="D972" s="28" t="s">
        <v>198</v>
      </c>
      <c r="E972" s="21" t="s">
        <v>511</v>
      </c>
      <c r="F972" s="22" t="s">
        <v>226</v>
      </c>
      <c r="G972" s="23" t="s">
        <v>247</v>
      </c>
      <c r="H972" s="24" t="s">
        <v>189</v>
      </c>
      <c r="I972" s="25" t="str">
        <f aca="false">IF(OR(E972="",E972="!!!",F972="NEW"),"",INDEX(B$2:B954,-1+SUMPRODUCT(MAX(ROW(E$2:E954)*(E972=E$2:E954)))))</f>
        <v>SBJ</v>
      </c>
      <c r="J972" s="26" t="n">
        <f aca="true">IF(OR(E972="",E972="!!!",F972="NEW"),"",COUNTBLANK(OFFSET(A$1,,,SUMPRODUCT(MAX(ROW(E$2:E955)*(E972=E$2:E955)))))-COUNTBLANK(OFFSET(A$1,,,SUMPRODUCT(MAX(ROW(E$1:E954)*(E972=E$1:E954))))))</f>
        <v>0</v>
      </c>
      <c r="K972" s="26" t="n">
        <f aca="false">IF(OR(E972="",E972="!!!",F972="NEW"),"",INDEX(J$1:J954,SUMPRODUCT(MAX(ROW(E$1:E954)*(E972=E$1:E954)))))</f>
        <v>0</v>
      </c>
      <c r="L972" s="27"/>
    </row>
    <row r="973" customFormat="false" ht="15" hidden="false" customHeight="false" outlineLevel="0" collapsed="false">
      <c r="A973" s="20" t="s">
        <v>364</v>
      </c>
      <c r="E973" s="21"/>
      <c r="F973" s="22"/>
      <c r="G973" s="23"/>
      <c r="H973" s="24"/>
      <c r="I973" s="25" t="str">
        <f aca="false">IF(OR(E973="",E973="!!!",F973="NEW"),"",INDEX(B$2:B955,-1+SUMPRODUCT(MAX(ROW(E$2:E955)*(E973=E$2:E955)))))</f>
        <v/>
      </c>
      <c r="J973" s="26" t="str">
        <f aca="true">IF(OR(E973="",E973="!!!",F973="NEW"),"",COUNTBLANK(OFFSET(A$1,,,SUMPRODUCT(MAX(ROW(E$2:E956)*(E973=E$2:E956)))))-COUNTBLANK(OFFSET(A$1,,,SUMPRODUCT(MAX(ROW(E$1:E955)*(E973=E$1:E955))))))</f>
        <v/>
      </c>
      <c r="K973" s="26" t="str">
        <f aca="false">IF(OR(E973="",E973="!!!",F973="NEW"),"",INDEX(J$1:J955,SUMPRODUCT(MAX(ROW(E$1:E955)*(E973=E$1:E955)))))</f>
        <v/>
      </c>
      <c r="L973" s="27"/>
    </row>
    <row r="974" customFormat="false" ht="15" hidden="false" customHeight="false" outlineLevel="0" collapsed="false">
      <c r="A974" s="20" t="s">
        <v>244</v>
      </c>
      <c r="E974" s="21"/>
      <c r="F974" s="22"/>
      <c r="G974" s="23"/>
      <c r="H974" s="24"/>
      <c r="I974" s="25" t="str">
        <f aca="false">IF(OR(E974="",E974="!!!",F974="NEW"),"",INDEX(B$2:B956,-1+SUMPRODUCT(MAX(ROW(E$2:E956)*(E974=E$2:E956)))))</f>
        <v/>
      </c>
      <c r="J974" s="26" t="str">
        <f aca="true">IF(OR(E974="",E974="!!!",F974="NEW"),"",COUNTBLANK(OFFSET(A$1,,,SUMPRODUCT(MAX(ROW(E$2:E957)*(E974=E$2:E957)))))-COUNTBLANK(OFFSET(A$1,,,SUMPRODUCT(MAX(ROW(E$1:E956)*(E974=E$1:E956))))))</f>
        <v/>
      </c>
      <c r="K974" s="26" t="str">
        <f aca="false">IF(OR(E974="",E974="!!!",F974="NEW"),"",INDEX(J$1:J956,SUMPRODUCT(MAX(ROW(E$1:E956)*(E974=E$1:E956)))))</f>
        <v/>
      </c>
      <c r="L974" s="27"/>
    </row>
    <row r="975" customFormat="false" ht="15" hidden="false" customHeight="false" outlineLevel="0" collapsed="false">
      <c r="A975" s="20"/>
      <c r="E975" s="21"/>
      <c r="F975" s="22"/>
      <c r="G975" s="23"/>
      <c r="H975" s="24"/>
      <c r="I975" s="25" t="str">
        <f aca="false">IF(OR(E975="",E975="!!!",F975="NEW"),"",INDEX(B$2:B957,-1+SUMPRODUCT(MAX(ROW(E$2:E957)*(E975=E$2:E957)))))</f>
        <v/>
      </c>
      <c r="J975" s="26" t="str">
        <f aca="true">IF(OR(E975="",E975="!!!",F975="NEW"),"",COUNTBLANK(OFFSET(A$1,,,SUMPRODUCT(MAX(ROW(E$2:E958)*(E975=E$2:E958)))))-COUNTBLANK(OFFSET(A$1,,,SUMPRODUCT(MAX(ROW(E$1:E957)*(E975=E$1:E957))))))</f>
        <v/>
      </c>
      <c r="K975" s="26" t="str">
        <f aca="false">IF(OR(E975="",E975="!!!",F975="NEW"),"",INDEX(J$1:J957,SUMPRODUCT(MAX(ROW(E$1:E957)*(E975=E$1:E957)))))</f>
        <v/>
      </c>
      <c r="L975" s="27"/>
    </row>
    <row r="976" customFormat="false" ht="15" hidden="false" customHeight="false" outlineLevel="0" collapsed="false">
      <c r="A976" s="20" t="s">
        <v>610</v>
      </c>
      <c r="E976" s="21"/>
      <c r="F976" s="22"/>
      <c r="G976" s="23"/>
      <c r="H976" s="24"/>
      <c r="I976" s="25" t="str">
        <f aca="false">IF(OR(E976="",E976="!!!",F976="NEW"),"",INDEX(B$2:B958,-1+SUMPRODUCT(MAX(ROW(E$2:E958)*(E976=E$2:E958)))))</f>
        <v/>
      </c>
      <c r="J976" s="26" t="str">
        <f aca="true">IF(OR(E976="",E976="!!!",F976="NEW"),"",COUNTBLANK(OFFSET(A$1,,,SUMPRODUCT(MAX(ROW(E$2:E959)*(E976=E$2:E959)))))-COUNTBLANK(OFFSET(A$1,,,SUMPRODUCT(MAX(ROW(E$1:E958)*(E976=E$1:E958))))))</f>
        <v/>
      </c>
      <c r="K976" s="26" t="str">
        <f aca="false">IF(OR(E976="",E976="!!!",F976="NEW"),"",INDEX(J$1:J958,SUMPRODUCT(MAX(ROW(E$1:E958)*(E976=E$1:E958)))))</f>
        <v/>
      </c>
      <c r="L976" s="27"/>
    </row>
    <row r="977" customFormat="false" ht="15" hidden="false" customHeight="false" outlineLevel="0" collapsed="false">
      <c r="A977" s="20" t="s">
        <v>500</v>
      </c>
      <c r="E977" s="21"/>
      <c r="F977" s="22"/>
      <c r="G977" s="23"/>
      <c r="H977" s="24"/>
      <c r="I977" s="25" t="str">
        <f aca="false">IF(OR(E977="",E977="!!!",F977="NEW"),"",INDEX(B$2:B959,-1+SUMPRODUCT(MAX(ROW(E$2:E959)*(E977=E$2:E959)))))</f>
        <v/>
      </c>
      <c r="J977" s="26" t="str">
        <f aca="true">IF(OR(E977="",E977="!!!",F977="NEW"),"",COUNTBLANK(OFFSET(A$1,,,SUMPRODUCT(MAX(ROW(E$2:E960)*(E977=E$2:E960)))))-COUNTBLANK(OFFSET(A$1,,,SUMPRODUCT(MAX(ROW(E$1:E959)*(E977=E$1:E959))))))</f>
        <v/>
      </c>
      <c r="K977" s="26" t="str">
        <f aca="false">IF(OR(E977="",E977="!!!",F977="NEW"),"",INDEX(J$1:J959,SUMPRODUCT(MAX(ROW(E$1:E959)*(E977=E$1:E959)))))</f>
        <v/>
      </c>
      <c r="L977" s="27"/>
    </row>
    <row r="978" customFormat="false" ht="15" hidden="false" customHeight="false" outlineLevel="0" collapsed="false">
      <c r="A978" s="20" t="s">
        <v>398</v>
      </c>
      <c r="E978" s="21"/>
      <c r="F978" s="22"/>
      <c r="G978" s="23"/>
      <c r="H978" s="24"/>
      <c r="I978" s="25" t="str">
        <f aca="false">IF(OR(E978="",E978="!!!",F978="NEW"),"",INDEX(B$2:B960,-1+SUMPRODUCT(MAX(ROW(E$2:E960)*(E978=E$2:E960)))))</f>
        <v/>
      </c>
      <c r="J978" s="26" t="str">
        <f aca="true">IF(OR(E978="",E978="!!!",F978="NEW"),"",COUNTBLANK(OFFSET(A$1,,,SUMPRODUCT(MAX(ROW(E$2:E961)*(E978=E$2:E961)))))-COUNTBLANK(OFFSET(A$1,,,SUMPRODUCT(MAX(ROW(E$1:E960)*(E978=E$1:E960))))))</f>
        <v/>
      </c>
      <c r="K978" s="26" t="str">
        <f aca="false">IF(OR(E978="",E978="!!!",F978="NEW"),"",INDEX(J$1:J960,SUMPRODUCT(MAX(ROW(E$1:E960)*(E978=E$1:E960)))))</f>
        <v/>
      </c>
      <c r="L978" s="27"/>
    </row>
    <row r="979" customFormat="false" ht="15" hidden="false" customHeight="false" outlineLevel="0" collapsed="false">
      <c r="A979" s="20" t="s">
        <v>262</v>
      </c>
      <c r="E979" s="21"/>
      <c r="F979" s="22"/>
      <c r="G979" s="23"/>
      <c r="H979" s="24"/>
      <c r="I979" s="25" t="str">
        <f aca="false">IF(OR(E979="",E979="!!!",F979="NEW"),"",INDEX(B$2:B961,-1+SUMPRODUCT(MAX(ROW(E$2:E961)*(E979=E$2:E961)))))</f>
        <v/>
      </c>
      <c r="J979" s="26" t="str">
        <f aca="true">IF(OR(E979="",E979="!!!",F979="NEW"),"",COUNTBLANK(OFFSET(A$1,,,SUMPRODUCT(MAX(ROW(E$2:E962)*(E979=E$2:E962)))))-COUNTBLANK(OFFSET(A$1,,,SUMPRODUCT(MAX(ROW(E$1:E961)*(E979=E$1:E961))))))</f>
        <v/>
      </c>
      <c r="K979" s="26" t="str">
        <f aca="false">IF(OR(E979="",E979="!!!",F979="NEW"),"",INDEX(J$1:J961,SUMPRODUCT(MAX(ROW(E$1:E961)*(E979=E$1:E961)))))</f>
        <v/>
      </c>
      <c r="L979" s="27"/>
    </row>
    <row r="980" customFormat="false" ht="15" hidden="false" customHeight="false" outlineLevel="0" collapsed="false">
      <c r="A980" s="20" t="s">
        <v>302</v>
      </c>
      <c r="B980" s="28" t="s">
        <v>206</v>
      </c>
      <c r="C980" s="28" t="s">
        <v>303</v>
      </c>
      <c r="D980" s="28" t="s">
        <v>198</v>
      </c>
      <c r="E980" s="21"/>
      <c r="F980" s="22" t="s">
        <v>261</v>
      </c>
      <c r="G980" s="23"/>
      <c r="H980" s="24"/>
      <c r="I980" s="25" t="str">
        <f aca="false">IF(OR(E980="",E980="!!!",F980="NEW"),"",INDEX(B$2:B962,-1+SUMPRODUCT(MAX(ROW(E$2:E962)*(E980=E$2:E962)))))</f>
        <v/>
      </c>
      <c r="J980" s="26" t="str">
        <f aca="true">IF(OR(E980="",E980="!!!",F980="NEW"),"",COUNTBLANK(OFFSET(A$1,,,SUMPRODUCT(MAX(ROW(E$2:E963)*(E980=E$2:E963)))))-COUNTBLANK(OFFSET(A$1,,,SUMPRODUCT(MAX(ROW(E$1:E962)*(E980=E$1:E962))))))</f>
        <v/>
      </c>
      <c r="K980" s="26" t="str">
        <f aca="false">IF(OR(E980="",E980="!!!",F980="NEW"),"",INDEX(J$1:J962,SUMPRODUCT(MAX(ROW(E$1:E962)*(E980=E$1:E962)))))</f>
        <v/>
      </c>
      <c r="L980" s="27"/>
    </row>
    <row r="981" customFormat="false" ht="15" hidden="false" customHeight="false" outlineLevel="0" collapsed="false">
      <c r="A981" s="20" t="s">
        <v>404</v>
      </c>
      <c r="E981" s="21"/>
      <c r="F981" s="22"/>
      <c r="G981" s="23"/>
      <c r="H981" s="24"/>
      <c r="I981" s="25" t="str">
        <f aca="false">IF(OR(E981="",E981="!!!",F981="NEW"),"",INDEX(B$2:B963,-1+SUMPRODUCT(MAX(ROW(E$2:E963)*(E981=E$2:E963)))))</f>
        <v/>
      </c>
      <c r="J981" s="26" t="str">
        <f aca="true">IF(OR(E981="",E981="!!!",F981="NEW"),"",COUNTBLANK(OFFSET(A$1,,,SUMPRODUCT(MAX(ROW(E$2:E964)*(E981=E$2:E964)))))-COUNTBLANK(OFFSET(A$1,,,SUMPRODUCT(MAX(ROW(E$1:E963)*(E981=E$1:E963))))))</f>
        <v/>
      </c>
      <c r="K981" s="26" t="str">
        <f aca="false">IF(OR(E981="",E981="!!!",F981="NEW"),"",INDEX(J$1:J963,SUMPRODUCT(MAX(ROW(E$1:E963)*(E981=E$1:E963)))))</f>
        <v/>
      </c>
      <c r="L981" s="27"/>
    </row>
    <row r="982" customFormat="false" ht="15" hidden="false" customHeight="false" outlineLevel="0" collapsed="false">
      <c r="A982" s="20" t="s">
        <v>225</v>
      </c>
      <c r="B982" s="28" t="s">
        <v>215</v>
      </c>
      <c r="C982" s="28" t="s">
        <v>197</v>
      </c>
      <c r="D982" s="28" t="s">
        <v>198</v>
      </c>
      <c r="E982" s="21" t="s">
        <v>511</v>
      </c>
      <c r="F982" s="22" t="s">
        <v>226</v>
      </c>
      <c r="G982" s="23" t="s">
        <v>227</v>
      </c>
      <c r="H982" s="24" t="s">
        <v>189</v>
      </c>
      <c r="I982" s="25" t="str">
        <f aca="false">IF(OR(E982="",E982="!!!",F982="NEW"),"",INDEX(B$2:B964,-1+SUMPRODUCT(MAX(ROW(E$2:E964)*(E982=E$2:E964)))))</f>
        <v>other_2</v>
      </c>
      <c r="J982" s="26" t="n">
        <f aca="true">IF(OR(E982="",E982="!!!",F982="NEW"),"",COUNTBLANK(OFFSET(A$1,,,SUMPRODUCT(MAX(ROW(E$2:E965)*(E982=E$2:E965)))))-COUNTBLANK(OFFSET(A$1,,,SUMPRODUCT(MAX(ROW(E$1:E964)*(E982=E$1:E964))))))</f>
        <v>0</v>
      </c>
      <c r="K982" s="26" t="n">
        <f aca="false">IF(OR(E982="",E982="!!!",F982="NEW"),"",INDEX(J$1:J964,SUMPRODUCT(MAX(ROW(E$1:E964)*(E982=E$1:E964)))))</f>
        <v>0</v>
      </c>
      <c r="L982" s="27"/>
    </row>
    <row r="983" customFormat="false" ht="15" hidden="false" customHeight="false" outlineLevel="0" collapsed="false">
      <c r="A983" s="20" t="s">
        <v>399</v>
      </c>
      <c r="E983" s="21"/>
      <c r="F983" s="22"/>
      <c r="G983" s="23"/>
      <c r="H983" s="24"/>
      <c r="I983" s="25" t="str">
        <f aca="false">IF(OR(E983="",E983="!!!",F983="NEW"),"",INDEX(B$2:B965,-1+SUMPRODUCT(MAX(ROW(E$2:E965)*(E983=E$2:E965)))))</f>
        <v/>
      </c>
      <c r="J983" s="26" t="str">
        <f aca="true">IF(OR(E983="",E983="!!!",F983="NEW"),"",COUNTBLANK(OFFSET(A$1,,,SUMPRODUCT(MAX(ROW(E$2:E966)*(E983=E$2:E966)))))-COUNTBLANK(OFFSET(A$1,,,SUMPRODUCT(MAX(ROW(E$1:E965)*(E983=E$1:E965))))))</f>
        <v/>
      </c>
      <c r="K983" s="26" t="str">
        <f aca="false">IF(OR(E983="",E983="!!!",F983="NEW"),"",INDEX(J$1:J965,SUMPRODUCT(MAX(ROW(E$1:E965)*(E983=E$1:E965)))))</f>
        <v/>
      </c>
      <c r="L983" s="27"/>
    </row>
    <row r="984" customFormat="false" ht="15" hidden="false" customHeight="false" outlineLevel="0" collapsed="false">
      <c r="A984" s="20" t="s">
        <v>269</v>
      </c>
      <c r="B984" s="28" t="s">
        <v>270</v>
      </c>
      <c r="E984" s="21"/>
      <c r="F984" s="22"/>
      <c r="G984" s="23"/>
      <c r="H984" s="24"/>
      <c r="I984" s="25" t="str">
        <f aca="false">IF(OR(E984="",E984="!!!",F984="NEW"),"",INDEX(B$2:B966,-1+SUMPRODUCT(MAX(ROW(E$2:E966)*(E984=E$2:E966)))))</f>
        <v/>
      </c>
      <c r="J984" s="26" t="str">
        <f aca="true">IF(OR(E984="",E984="!!!",F984="NEW"),"",COUNTBLANK(OFFSET(A$1,,,SUMPRODUCT(MAX(ROW(E$2:E967)*(E984=E$2:E967)))))-COUNTBLANK(OFFSET(A$1,,,SUMPRODUCT(MAX(ROW(E$1:E966)*(E984=E$1:E966))))))</f>
        <v/>
      </c>
      <c r="K984" s="26" t="str">
        <f aca="false">IF(OR(E984="",E984="!!!",F984="NEW"),"",INDEX(J$1:J966,SUMPRODUCT(MAX(ROW(E$1:E966)*(E984=E$1:E966)))))</f>
        <v/>
      </c>
      <c r="L984" s="27"/>
    </row>
    <row r="985" customFormat="false" ht="15" hidden="false" customHeight="false" outlineLevel="0" collapsed="false">
      <c r="A985" s="20" t="s">
        <v>611</v>
      </c>
      <c r="E985" s="21"/>
      <c r="F985" s="22"/>
      <c r="G985" s="23"/>
      <c r="H985" s="24"/>
      <c r="I985" s="25" t="str">
        <f aca="false">IF(OR(E985="",E985="!!!",F985="NEW"),"",INDEX(B$2:B967,-1+SUMPRODUCT(MAX(ROW(E$2:E967)*(E985=E$2:E967)))))</f>
        <v/>
      </c>
      <c r="J985" s="26" t="str">
        <f aca="true">IF(OR(E985="",E985="!!!",F985="NEW"),"",COUNTBLANK(OFFSET(A$1,,,SUMPRODUCT(MAX(ROW(E$2:E968)*(E985=E$2:E968)))))-COUNTBLANK(OFFSET(A$1,,,SUMPRODUCT(MAX(ROW(E$1:E967)*(E985=E$1:E967))))))</f>
        <v/>
      </c>
      <c r="K985" s="26" t="str">
        <f aca="false">IF(OR(E985="",E985="!!!",F985="NEW"),"",INDEX(J$1:J967,SUMPRODUCT(MAX(ROW(E$1:E967)*(E985=E$1:E967)))))</f>
        <v/>
      </c>
      <c r="L985" s="27"/>
    </row>
    <row r="986" customFormat="false" ht="15" hidden="false" customHeight="false" outlineLevel="0" collapsed="false">
      <c r="A986" s="20" t="s">
        <v>209</v>
      </c>
      <c r="E986" s="21"/>
      <c r="F986" s="22"/>
      <c r="G986" s="23"/>
      <c r="H986" s="24"/>
      <c r="I986" s="25" t="str">
        <f aca="false">IF(OR(E986="",E986="!!!",F986="NEW"),"",INDEX(B$2:B968,-1+SUMPRODUCT(MAX(ROW(E$2:E968)*(E986=E$2:E968)))))</f>
        <v/>
      </c>
      <c r="J986" s="26" t="str">
        <f aca="true">IF(OR(E986="",E986="!!!",F986="NEW"),"",COUNTBLANK(OFFSET(A$1,,,SUMPRODUCT(MAX(ROW(E$2:E969)*(E986=E$2:E969)))))-COUNTBLANK(OFFSET(A$1,,,SUMPRODUCT(MAX(ROW(E$1:E968)*(E986=E$1:E968))))))</f>
        <v/>
      </c>
      <c r="K986" s="26" t="str">
        <f aca="false">IF(OR(E986="",E986="!!!",F986="NEW"),"",INDEX(J$1:J968,SUMPRODUCT(MAX(ROW(E$1:E968)*(E986=E$1:E968)))))</f>
        <v/>
      </c>
      <c r="L986" s="27"/>
    </row>
    <row r="987" customFormat="false" ht="15" hidden="false" customHeight="false" outlineLevel="0" collapsed="false">
      <c r="A987" s="20" t="s">
        <v>259</v>
      </c>
      <c r="E987" s="21"/>
      <c r="F987" s="22"/>
      <c r="G987" s="23"/>
      <c r="H987" s="24"/>
      <c r="I987" s="25" t="str">
        <f aca="false">IF(OR(E987="",E987="!!!",F987="NEW"),"",INDEX(B$2:B969,-1+SUMPRODUCT(MAX(ROW(E$2:E969)*(E987=E$2:E969)))))</f>
        <v/>
      </c>
      <c r="J987" s="26" t="str">
        <f aca="true">IF(OR(E987="",E987="!!!",F987="NEW"),"",COUNTBLANK(OFFSET(A$1,,,SUMPRODUCT(MAX(ROW(E$2:E970)*(E987=E$2:E970)))))-COUNTBLANK(OFFSET(A$1,,,SUMPRODUCT(MAX(ROW(E$1:E969)*(E987=E$1:E969))))))</f>
        <v/>
      </c>
      <c r="K987" s="26" t="str">
        <f aca="false">IF(OR(E987="",E987="!!!",F987="NEW"),"",INDEX(J$1:J969,SUMPRODUCT(MAX(ROW(E$1:E969)*(E987=E$1:E969)))))</f>
        <v/>
      </c>
      <c r="L987" s="27"/>
    </row>
    <row r="988" customFormat="false" ht="15" hidden="false" customHeight="false" outlineLevel="0" collapsed="false">
      <c r="A988" s="20" t="s">
        <v>308</v>
      </c>
      <c r="E988" s="21"/>
      <c r="F988" s="22"/>
      <c r="G988" s="23"/>
      <c r="H988" s="24"/>
      <c r="I988" s="25" t="str">
        <f aca="false">IF(OR(E988="",E988="!!!",F988="NEW"),"",INDEX(B$2:B970,-1+SUMPRODUCT(MAX(ROW(E$2:E970)*(E988=E$2:E970)))))</f>
        <v/>
      </c>
      <c r="J988" s="26" t="str">
        <f aca="true">IF(OR(E988="",E988="!!!",F988="NEW"),"",COUNTBLANK(OFFSET(A$1,,,SUMPRODUCT(MAX(ROW(E$2:E971)*(E988=E$2:E971)))))-COUNTBLANK(OFFSET(A$1,,,SUMPRODUCT(MAX(ROW(E$1:E970)*(E988=E$1:E970))))))</f>
        <v/>
      </c>
      <c r="K988" s="26" t="str">
        <f aca="false">IF(OR(E988="",E988="!!!",F988="NEW"),"",INDEX(J$1:J970,SUMPRODUCT(MAX(ROW(E$1:E970)*(E988=E$1:E970)))))</f>
        <v/>
      </c>
      <c r="L988" s="27"/>
    </row>
    <row r="989" customFormat="false" ht="15" hidden="false" customHeight="false" outlineLevel="0" collapsed="false">
      <c r="A989" s="20" t="s">
        <v>29</v>
      </c>
      <c r="E989" s="21"/>
      <c r="F989" s="22"/>
      <c r="G989" s="23"/>
      <c r="H989" s="24"/>
      <c r="I989" s="25" t="str">
        <f aca="false">IF(OR(E989="",E989="!!!",F989="NEW"),"",INDEX(B$2:B971,-1+SUMPRODUCT(MAX(ROW(E$2:E971)*(E989=E$2:E971)))))</f>
        <v/>
      </c>
      <c r="J989" s="26" t="str">
        <f aca="true">IF(OR(E989="",E989="!!!",F989="NEW"),"",COUNTBLANK(OFFSET(A$1,,,SUMPRODUCT(MAX(ROW(E$2:E972)*(E989=E$2:E972)))))-COUNTBLANK(OFFSET(A$1,,,SUMPRODUCT(MAX(ROW(E$1:E971)*(E989=E$1:E971))))))</f>
        <v/>
      </c>
      <c r="K989" s="26" t="str">
        <f aca="false">IF(OR(E989="",E989="!!!",F989="NEW"),"",INDEX(J$1:J971,SUMPRODUCT(MAX(ROW(E$1:E971)*(E989=E$1:E971)))))</f>
        <v/>
      </c>
      <c r="L989" s="27"/>
    </row>
    <row r="990" customFormat="false" ht="15" hidden="false" customHeight="false" outlineLevel="0" collapsed="false">
      <c r="A990" s="20" t="s">
        <v>308</v>
      </c>
      <c r="E990" s="21"/>
      <c r="F990" s="22"/>
      <c r="G990" s="23"/>
      <c r="H990" s="24"/>
      <c r="I990" s="25" t="str">
        <f aca="false">IF(OR(E990="",E990="!!!",F990="NEW"),"",INDEX(B$2:B972,-1+SUMPRODUCT(MAX(ROW(E$2:E972)*(E990=E$2:E972)))))</f>
        <v/>
      </c>
      <c r="J990" s="26" t="str">
        <f aca="true">IF(OR(E990="",E990="!!!",F990="NEW"),"",COUNTBLANK(OFFSET(A$1,,,SUMPRODUCT(MAX(ROW(E$2:E973)*(E990=E$2:E973)))))-COUNTBLANK(OFFSET(A$1,,,SUMPRODUCT(MAX(ROW(E$1:E972)*(E990=E$1:E972))))))</f>
        <v/>
      </c>
      <c r="K990" s="26" t="str">
        <f aca="false">IF(OR(E990="",E990="!!!",F990="NEW"),"",INDEX(J$1:J972,SUMPRODUCT(MAX(ROW(E$1:E972)*(E990=E$1:E972)))))</f>
        <v/>
      </c>
      <c r="L990" s="27"/>
    </row>
    <row r="991" customFormat="false" ht="15" hidden="false" customHeight="false" outlineLevel="0" collapsed="false">
      <c r="A991" s="20" t="s">
        <v>293</v>
      </c>
      <c r="E991" s="21"/>
      <c r="F991" s="22"/>
      <c r="G991" s="23"/>
      <c r="H991" s="24"/>
      <c r="I991" s="25" t="str">
        <f aca="false">IF(OR(E991="",E991="!!!",F991="NEW"),"",INDEX(B$2:B973,-1+SUMPRODUCT(MAX(ROW(E$2:E973)*(E991=E$2:E973)))))</f>
        <v/>
      </c>
      <c r="J991" s="26" t="str">
        <f aca="true">IF(OR(E991="",E991="!!!",F991="NEW"),"",COUNTBLANK(OFFSET(A$1,,,SUMPRODUCT(MAX(ROW(E$2:E974)*(E991=E$2:E974)))))-COUNTBLANK(OFFSET(A$1,,,SUMPRODUCT(MAX(ROW(E$1:E973)*(E991=E$1:E973))))))</f>
        <v/>
      </c>
      <c r="K991" s="26" t="str">
        <f aca="false">IF(OR(E991="",E991="!!!",F991="NEW"),"",INDEX(J$1:J973,SUMPRODUCT(MAX(ROW(E$1:E973)*(E991=E$1:E973)))))</f>
        <v/>
      </c>
      <c r="L991" s="27"/>
    </row>
    <row r="992" customFormat="false" ht="15" hidden="false" customHeight="false" outlineLevel="0" collapsed="false">
      <c r="A992" s="20" t="s">
        <v>612</v>
      </c>
      <c r="B992" s="28" t="s">
        <v>273</v>
      </c>
      <c r="C992" s="28" t="s">
        <v>251</v>
      </c>
      <c r="E992" s="21"/>
      <c r="F992" s="22"/>
      <c r="G992" s="23"/>
      <c r="H992" s="24"/>
      <c r="I992" s="25" t="str">
        <f aca="false">IF(OR(E992="",E992="!!!",F992="NEW"),"",INDEX(B$2:B974,-1+SUMPRODUCT(MAX(ROW(E$2:E974)*(E992=E$2:E974)))))</f>
        <v/>
      </c>
      <c r="J992" s="26" t="str">
        <f aca="true">IF(OR(E992="",E992="!!!",F992="NEW"),"",COUNTBLANK(OFFSET(A$1,,,SUMPRODUCT(MAX(ROW(E$2:E975)*(E992=E$2:E975)))))-COUNTBLANK(OFFSET(A$1,,,SUMPRODUCT(MAX(ROW(E$1:E974)*(E992=E$1:E974))))))</f>
        <v/>
      </c>
      <c r="K992" s="26" t="str">
        <f aca="false">IF(OR(E992="",E992="!!!",F992="NEW"),"",INDEX(J$1:J974,SUMPRODUCT(MAX(ROW(E$1:E974)*(E992=E$1:E974)))))</f>
        <v/>
      </c>
      <c r="L992" s="27"/>
    </row>
    <row r="993" customFormat="false" ht="15" hidden="false" customHeight="false" outlineLevel="0" collapsed="false">
      <c r="A993" s="20" t="s">
        <v>217</v>
      </c>
      <c r="E993" s="21"/>
      <c r="F993" s="22"/>
      <c r="G993" s="23"/>
      <c r="H993" s="24"/>
      <c r="I993" s="25" t="str">
        <f aca="false">IF(OR(E993="",E993="!!!",F993="NEW"),"",INDEX(B$2:B975,-1+SUMPRODUCT(MAX(ROW(E$2:E975)*(E993=E$2:E975)))))</f>
        <v/>
      </c>
      <c r="J993" s="26" t="str">
        <f aca="true">IF(OR(E993="",E993="!!!",F993="NEW"),"",COUNTBLANK(OFFSET(A$1,,,SUMPRODUCT(MAX(ROW(E$2:E976)*(E993=E$2:E976)))))-COUNTBLANK(OFFSET(A$1,,,SUMPRODUCT(MAX(ROW(E$1:E975)*(E993=E$1:E975))))))</f>
        <v/>
      </c>
      <c r="K993" s="26" t="str">
        <f aca="false">IF(OR(E993="",E993="!!!",F993="NEW"),"",INDEX(J$1:J975,SUMPRODUCT(MAX(ROW(E$1:E975)*(E993=E$1:E975)))))</f>
        <v/>
      </c>
      <c r="L993" s="27"/>
    </row>
    <row r="994" customFormat="false" ht="15" hidden="false" customHeight="false" outlineLevel="0" collapsed="false">
      <c r="A994" s="20" t="s">
        <v>613</v>
      </c>
      <c r="B994" s="28" t="s">
        <v>365</v>
      </c>
      <c r="C994" s="28" t="s">
        <v>251</v>
      </c>
      <c r="E994" s="21"/>
      <c r="F994" s="22"/>
      <c r="G994" s="23"/>
      <c r="H994" s="24"/>
      <c r="I994" s="25" t="str">
        <f aca="false">IF(OR(E994="",E994="!!!",F994="NEW"),"",INDEX(B$2:B976,-1+SUMPRODUCT(MAX(ROW(E$2:E976)*(E994=E$2:E976)))))</f>
        <v/>
      </c>
      <c r="J994" s="26" t="str">
        <f aca="true">IF(OR(E994="",E994="!!!",F994="NEW"),"",COUNTBLANK(OFFSET(A$1,,,SUMPRODUCT(MAX(ROW(E$2:E977)*(E994=E$2:E977)))))-COUNTBLANK(OFFSET(A$1,,,SUMPRODUCT(MAX(ROW(E$1:E976)*(E994=E$1:E976))))))</f>
        <v/>
      </c>
      <c r="K994" s="26" t="str">
        <f aca="false">IF(OR(E994="",E994="!!!",F994="NEW"),"",INDEX(J$1:J976,SUMPRODUCT(MAX(ROW(E$1:E976)*(E994=E$1:E976)))))</f>
        <v/>
      </c>
      <c r="L994" s="27"/>
    </row>
    <row r="995" customFormat="false" ht="15" hidden="false" customHeight="false" outlineLevel="0" collapsed="false">
      <c r="A995" s="20" t="s">
        <v>326</v>
      </c>
      <c r="E995" s="21"/>
      <c r="F995" s="22"/>
      <c r="G995" s="23"/>
      <c r="H995" s="24"/>
      <c r="I995" s="25" t="str">
        <f aca="false">IF(OR(E995="",E995="!!!",F995="NEW"),"",INDEX(B$2:B977,-1+SUMPRODUCT(MAX(ROW(E$2:E977)*(E995=E$2:E977)))))</f>
        <v/>
      </c>
      <c r="J995" s="26" t="str">
        <f aca="true">IF(OR(E995="",E995="!!!",F995="NEW"),"",COUNTBLANK(OFFSET(A$1,,,SUMPRODUCT(MAX(ROW(E$2:E978)*(E995=E$2:E978)))))-COUNTBLANK(OFFSET(A$1,,,SUMPRODUCT(MAX(ROW(E$1:E977)*(E995=E$1:E977))))))</f>
        <v/>
      </c>
      <c r="K995" s="26" t="str">
        <f aca="false">IF(OR(E995="",E995="!!!",F995="NEW"),"",INDEX(J$1:J977,SUMPRODUCT(MAX(ROW(E$1:E977)*(E995=E$1:E977)))))</f>
        <v/>
      </c>
      <c r="L995" s="27"/>
    </row>
    <row r="996" customFormat="false" ht="15" hidden="false" customHeight="false" outlineLevel="0" collapsed="false">
      <c r="A996" s="20" t="s">
        <v>614</v>
      </c>
      <c r="B996" s="28" t="s">
        <v>560</v>
      </c>
      <c r="C996" s="28" t="s">
        <v>251</v>
      </c>
      <c r="E996" s="21"/>
      <c r="F996" s="22"/>
      <c r="G996" s="23"/>
      <c r="H996" s="24"/>
      <c r="I996" s="25" t="str">
        <f aca="false">IF(OR(E996="",E996="!!!",F996="NEW"),"",INDEX(B$2:B978,-1+SUMPRODUCT(MAX(ROW(E$2:E978)*(E996=E$2:E978)))))</f>
        <v/>
      </c>
      <c r="J996" s="26" t="str">
        <f aca="true">IF(OR(E996="",E996="!!!",F996="NEW"),"",COUNTBLANK(OFFSET(A$1,,,SUMPRODUCT(MAX(ROW(E$2:E979)*(E996=E$2:E979)))))-COUNTBLANK(OFFSET(A$1,,,SUMPRODUCT(MAX(ROW(E$1:E978)*(E996=E$1:E978))))))</f>
        <v/>
      </c>
      <c r="K996" s="26" t="str">
        <f aca="false">IF(OR(E996="",E996="!!!",F996="NEW"),"",INDEX(J$1:J978,SUMPRODUCT(MAX(ROW(E$1:E978)*(E996=E$1:E978)))))</f>
        <v/>
      </c>
      <c r="L996" s="27"/>
    </row>
    <row r="997" customFormat="false" ht="15" hidden="false" customHeight="false" outlineLevel="0" collapsed="false">
      <c r="A997" s="20" t="s">
        <v>615</v>
      </c>
      <c r="E997" s="21"/>
      <c r="F997" s="22"/>
      <c r="G997" s="23"/>
      <c r="H997" s="24"/>
      <c r="I997" s="25" t="str">
        <f aca="false">IF(OR(E997="",E997="!!!",F997="NEW"),"",INDEX(B$2:B979,-1+SUMPRODUCT(MAX(ROW(E$2:E979)*(E997=E$2:E979)))))</f>
        <v/>
      </c>
      <c r="J997" s="26" t="str">
        <f aca="true">IF(OR(E997="",E997="!!!",F997="NEW"),"",COUNTBLANK(OFFSET(A$1,,,SUMPRODUCT(MAX(ROW(E$2:E980)*(E997=E$2:E980)))))-COUNTBLANK(OFFSET(A$1,,,SUMPRODUCT(MAX(ROW(E$1:E979)*(E997=E$1:E979))))))</f>
        <v/>
      </c>
      <c r="K997" s="26" t="str">
        <f aca="false">IF(OR(E997="",E997="!!!",F997="NEW"),"",INDEX(J$1:J979,SUMPRODUCT(MAX(ROW(E$1:E979)*(E997=E$1:E979)))))</f>
        <v/>
      </c>
      <c r="L997" s="27"/>
    </row>
    <row r="998" customFormat="false" ht="15" hidden="false" customHeight="false" outlineLevel="0" collapsed="false">
      <c r="A998" s="20" t="s">
        <v>225</v>
      </c>
      <c r="B998" s="28" t="s">
        <v>371</v>
      </c>
      <c r="C998" s="28" t="s">
        <v>197</v>
      </c>
      <c r="D998" s="28" t="s">
        <v>198</v>
      </c>
      <c r="E998" s="21" t="s">
        <v>616</v>
      </c>
      <c r="F998" s="22" t="s">
        <v>200</v>
      </c>
      <c r="G998" s="23" t="s">
        <v>212</v>
      </c>
      <c r="H998" s="24"/>
      <c r="I998" s="25" t="str">
        <f aca="false">IF(OR(E998="",E998="!!!",F998="NEW"),"",INDEX(B$2:B980,-1+SUMPRODUCT(MAX(ROW(E$2:E980)*(E998=E$2:E980)))))</f>
        <v/>
      </c>
      <c r="J998" s="26" t="str">
        <f aca="true">IF(OR(E998="",E998="!!!",F998="NEW"),"",COUNTBLANK(OFFSET(A$1,,,SUMPRODUCT(MAX(ROW(E$2:E981)*(E998=E$2:E981)))))-COUNTBLANK(OFFSET(A$1,,,SUMPRODUCT(MAX(ROW(E$1:E980)*(E998=E$1:E980))))))</f>
        <v/>
      </c>
      <c r="K998" s="26" t="str">
        <f aca="false">IF(OR(E998="",E998="!!!",F998="NEW"),"",INDEX(J$1:J980,SUMPRODUCT(MAX(ROW(E$1:E980)*(E998=E$1:E980)))))</f>
        <v/>
      </c>
      <c r="L998" s="27"/>
    </row>
    <row r="999" customFormat="false" ht="15" hidden="false" customHeight="false" outlineLevel="0" collapsed="false">
      <c r="A999" s="20" t="s">
        <v>209</v>
      </c>
      <c r="E999" s="21"/>
      <c r="F999" s="22"/>
      <c r="G999" s="23"/>
      <c r="H999" s="24"/>
      <c r="I999" s="25" t="str">
        <f aca="false">IF(OR(E999="",E999="!!!",F999="NEW"),"",INDEX(B$2:B981,-1+SUMPRODUCT(MAX(ROW(E$2:E981)*(E999=E$2:E981)))))</f>
        <v/>
      </c>
      <c r="J999" s="26" t="str">
        <f aca="true">IF(OR(E999="",E999="!!!",F999="NEW"),"",COUNTBLANK(OFFSET(A$1,,,SUMPRODUCT(MAX(ROW(E$2:E982)*(E999=E$2:E982)))))-COUNTBLANK(OFFSET(A$1,,,SUMPRODUCT(MAX(ROW(E$1:E981)*(E999=E$1:E981))))))</f>
        <v/>
      </c>
      <c r="K999" s="26" t="str">
        <f aca="false">IF(OR(E999="",E999="!!!",F999="NEW"),"",INDEX(J$1:J981,SUMPRODUCT(MAX(ROW(E$1:E981)*(E999=E$1:E981)))))</f>
        <v/>
      </c>
      <c r="L999" s="27"/>
    </row>
    <row r="1000" customFormat="false" ht="15" hidden="false" customHeight="false" outlineLevel="0" collapsed="false">
      <c r="A1000" s="20" t="s">
        <v>213</v>
      </c>
      <c r="E1000" s="21"/>
      <c r="F1000" s="22"/>
      <c r="G1000" s="23"/>
      <c r="H1000" s="24"/>
      <c r="I1000" s="25" t="str">
        <f aca="false">IF(OR(E1000="",E1000="!!!",F1000="NEW"),"",INDEX(B$2:B982,-1+SUMPRODUCT(MAX(ROW(E$2:E982)*(E1000=E$2:E982)))))</f>
        <v/>
      </c>
      <c r="J1000" s="26" t="str">
        <f aca="true">IF(OR(E1000="",E1000="!!!",F1000="NEW"),"",COUNTBLANK(OFFSET(A$1,,,SUMPRODUCT(MAX(ROW(E$2:E983)*(E1000=E$2:E983)))))-COUNTBLANK(OFFSET(A$1,,,SUMPRODUCT(MAX(ROW(E$1:E982)*(E1000=E$1:E982))))))</f>
        <v/>
      </c>
      <c r="K1000" s="26" t="str">
        <f aca="false">IF(OR(E1000="",E1000="!!!",F1000="NEW"),"",INDEX(J$1:J982,SUMPRODUCT(MAX(ROW(E$1:E982)*(E1000=E$1:E982)))))</f>
        <v/>
      </c>
      <c r="L1000" s="27"/>
    </row>
    <row r="1001" customFormat="false" ht="15" hidden="false" customHeight="false" outlineLevel="0" collapsed="false">
      <c r="A1001" s="20" t="s">
        <v>617</v>
      </c>
      <c r="E1001" s="21"/>
      <c r="F1001" s="22"/>
      <c r="G1001" s="23"/>
      <c r="H1001" s="24"/>
      <c r="I1001" s="25" t="str">
        <f aca="false">IF(OR(E1001="",E1001="!!!",F1001="NEW"),"",INDEX(B$2:B983,-1+SUMPRODUCT(MAX(ROW(E$2:E983)*(E1001=E$2:E983)))))</f>
        <v/>
      </c>
      <c r="J1001" s="26" t="str">
        <f aca="true">IF(OR(E1001="",E1001="!!!",F1001="NEW"),"",COUNTBLANK(OFFSET(A$1,,,SUMPRODUCT(MAX(ROW(E$2:E984)*(E1001=E$2:E984)))))-COUNTBLANK(OFFSET(A$1,,,SUMPRODUCT(MAX(ROW(E$1:E983)*(E1001=E$1:E983))))))</f>
        <v/>
      </c>
      <c r="K1001" s="26" t="str">
        <f aca="false">IF(OR(E1001="",E1001="!!!",F1001="NEW"),"",INDEX(J$1:J983,SUMPRODUCT(MAX(ROW(E$1:E983)*(E1001=E$1:E983)))))</f>
        <v/>
      </c>
      <c r="L1001" s="27"/>
    </row>
    <row r="1002" customFormat="false" ht="15" hidden="false" customHeight="false" outlineLevel="0" collapsed="false">
      <c r="A1002" s="20" t="s">
        <v>204</v>
      </c>
      <c r="E1002" s="21"/>
      <c r="F1002" s="22"/>
      <c r="G1002" s="23"/>
      <c r="H1002" s="24"/>
      <c r="I1002" s="25" t="str">
        <f aca="false">IF(OR(E1002="",E1002="!!!",F1002="NEW"),"",INDEX(B$2:B984,-1+SUMPRODUCT(MAX(ROW(E$2:E984)*(E1002=E$2:E984)))))</f>
        <v/>
      </c>
      <c r="J1002" s="26" t="str">
        <f aca="true">IF(OR(E1002="",E1002="!!!",F1002="NEW"),"",COUNTBLANK(OFFSET(A$1,,,SUMPRODUCT(MAX(ROW(E$2:E985)*(E1002=E$2:E985)))))-COUNTBLANK(OFFSET(A$1,,,SUMPRODUCT(MAX(ROW(E$1:E984)*(E1002=E$1:E984))))))</f>
        <v/>
      </c>
      <c r="K1002" s="26" t="str">
        <f aca="false">IF(OR(E1002="",E1002="!!!",F1002="NEW"),"",INDEX(J$1:J984,SUMPRODUCT(MAX(ROW(E$1:E984)*(E1002=E$1:E984)))))</f>
        <v/>
      </c>
      <c r="L1002" s="27"/>
    </row>
    <row r="1003" customFormat="false" ht="15" hidden="false" customHeight="false" outlineLevel="0" collapsed="false">
      <c r="A1003" s="20" t="s">
        <v>618</v>
      </c>
      <c r="B1003" s="28" t="s">
        <v>371</v>
      </c>
      <c r="C1003" s="28" t="s">
        <v>207</v>
      </c>
      <c r="D1003" s="28" t="s">
        <v>198</v>
      </c>
      <c r="E1003" s="21" t="s">
        <v>619</v>
      </c>
      <c r="F1003" s="22" t="s">
        <v>200</v>
      </c>
      <c r="G1003" s="23" t="s">
        <v>212</v>
      </c>
      <c r="H1003" s="24"/>
      <c r="I1003" s="25" t="str">
        <f aca="false">IF(OR(E1003="",E1003="!!!",F1003="NEW"),"",INDEX(B$2:B985,-1+SUMPRODUCT(MAX(ROW(E$2:E985)*(E1003=E$2:E985)))))</f>
        <v/>
      </c>
      <c r="J1003" s="26" t="str">
        <f aca="true">IF(OR(E1003="",E1003="!!!",F1003="NEW"),"",COUNTBLANK(OFFSET(A$1,,,SUMPRODUCT(MAX(ROW(E$2:E986)*(E1003=E$2:E986)))))-COUNTBLANK(OFFSET(A$1,,,SUMPRODUCT(MAX(ROW(E$1:E985)*(E1003=E$1:E985))))))</f>
        <v/>
      </c>
      <c r="K1003" s="26" t="str">
        <f aca="false">IF(OR(E1003="",E1003="!!!",F1003="NEW"),"",INDEX(J$1:J985,SUMPRODUCT(MAX(ROW(E$1:E985)*(E1003=E$1:E985)))))</f>
        <v/>
      </c>
      <c r="L1003" s="27"/>
    </row>
    <row r="1004" customFormat="false" ht="15" hidden="false" customHeight="false" outlineLevel="0" collapsed="false">
      <c r="A1004" s="20" t="s">
        <v>217</v>
      </c>
      <c r="E1004" s="21"/>
      <c r="F1004" s="22"/>
      <c r="G1004" s="23"/>
      <c r="H1004" s="24"/>
      <c r="I1004" s="25" t="str">
        <f aca="false">IF(OR(E1004="",E1004="!!!",F1004="NEW"),"",INDEX(B$2:B986,-1+SUMPRODUCT(MAX(ROW(E$2:E986)*(E1004=E$2:E986)))))</f>
        <v/>
      </c>
      <c r="J1004" s="26" t="str">
        <f aca="true">IF(OR(E1004="",E1004="!!!",F1004="NEW"),"",COUNTBLANK(OFFSET(A$1,,,SUMPRODUCT(MAX(ROW(E$2:E987)*(E1004=E$2:E987)))))-COUNTBLANK(OFFSET(A$1,,,SUMPRODUCT(MAX(ROW(E$1:E986)*(E1004=E$1:E986))))))</f>
        <v/>
      </c>
      <c r="K1004" s="26" t="str">
        <f aca="false">IF(OR(E1004="",E1004="!!!",F1004="NEW"),"",INDEX(J$1:J986,SUMPRODUCT(MAX(ROW(E$1:E986)*(E1004=E$1:E986)))))</f>
        <v/>
      </c>
      <c r="L1004" s="27"/>
    </row>
    <row r="1005" customFormat="false" ht="15" hidden="false" customHeight="false" outlineLevel="0" collapsed="false">
      <c r="A1005" s="20" t="s">
        <v>204</v>
      </c>
      <c r="E1005" s="21"/>
      <c r="F1005" s="22"/>
      <c r="G1005" s="23"/>
      <c r="H1005" s="24"/>
      <c r="I1005" s="25" t="str">
        <f aca="false">IF(OR(E1005="",E1005="!!!",F1005="NEW"),"",INDEX(B$2:B987,-1+SUMPRODUCT(MAX(ROW(E$2:E987)*(E1005=E$2:E987)))))</f>
        <v/>
      </c>
      <c r="J1005" s="26" t="str">
        <f aca="true">IF(OR(E1005="",E1005="!!!",F1005="NEW"),"",COUNTBLANK(OFFSET(A$1,,,SUMPRODUCT(MAX(ROW(E$2:E988)*(E1005=E$2:E988)))))-COUNTBLANK(OFFSET(A$1,,,SUMPRODUCT(MAX(ROW(E$1:E987)*(E1005=E$1:E987))))))</f>
        <v/>
      </c>
      <c r="K1005" s="26" t="str">
        <f aca="false">IF(OR(E1005="",E1005="!!!",F1005="NEW"),"",INDEX(J$1:J987,SUMPRODUCT(MAX(ROW(E$1:E987)*(E1005=E$1:E987)))))</f>
        <v/>
      </c>
      <c r="L1005" s="27"/>
    </row>
    <row r="1006" customFormat="false" ht="15" hidden="false" customHeight="false" outlineLevel="0" collapsed="false">
      <c r="A1006" s="20" t="s">
        <v>487</v>
      </c>
      <c r="B1006" s="28" t="s">
        <v>365</v>
      </c>
      <c r="C1006" s="28" t="s">
        <v>207</v>
      </c>
      <c r="D1006" s="28" t="s">
        <v>198</v>
      </c>
      <c r="E1006" s="21" t="s">
        <v>616</v>
      </c>
      <c r="F1006" s="22" t="s">
        <v>200</v>
      </c>
      <c r="G1006" s="23" t="s">
        <v>227</v>
      </c>
      <c r="H1006" s="24"/>
      <c r="I1006" s="25" t="str">
        <f aca="false">IF(OR(E1006="",E1006="!!!",F1006="NEW"),"",INDEX(B$2:B988,-1+SUMPRODUCT(MAX(ROW(E$2:E988)*(E1006=E$2:E988)))))</f>
        <v/>
      </c>
      <c r="J1006" s="26" t="str">
        <f aca="true">IF(OR(E1006="",E1006="!!!",F1006="NEW"),"",COUNTBLANK(OFFSET(A$1,,,SUMPRODUCT(MAX(ROW(E$2:E989)*(E1006=E$2:E989)))))-COUNTBLANK(OFFSET(A$1,,,SUMPRODUCT(MAX(ROW(E$1:E988)*(E1006=E$1:E988))))))</f>
        <v/>
      </c>
      <c r="K1006" s="26" t="str">
        <f aca="false">IF(OR(E1006="",E1006="!!!",F1006="NEW"),"",INDEX(J$1:J988,SUMPRODUCT(MAX(ROW(E$1:E988)*(E1006=E$1:E988)))))</f>
        <v/>
      </c>
      <c r="L1006" s="27"/>
    </row>
    <row r="1007" customFormat="false" ht="15" hidden="false" customHeight="false" outlineLevel="0" collapsed="false">
      <c r="A1007" s="20" t="s">
        <v>285</v>
      </c>
      <c r="B1007" s="28" t="s">
        <v>620</v>
      </c>
      <c r="E1007" s="21"/>
      <c r="F1007" s="22"/>
      <c r="G1007" s="23"/>
      <c r="H1007" s="24"/>
      <c r="I1007" s="25" t="str">
        <f aca="false">IF(OR(E1007="",E1007="!!!",F1007="NEW"),"",INDEX(B$2:B989,-1+SUMPRODUCT(MAX(ROW(E$2:E989)*(E1007=E$2:E989)))))</f>
        <v/>
      </c>
      <c r="J1007" s="26" t="str">
        <f aca="true">IF(OR(E1007="",E1007="!!!",F1007="NEW"),"",COUNTBLANK(OFFSET(A$1,,,SUMPRODUCT(MAX(ROW(E$2:E990)*(E1007=E$2:E990)))))-COUNTBLANK(OFFSET(A$1,,,SUMPRODUCT(MAX(ROW(E$1:E989)*(E1007=E$1:E989))))))</f>
        <v/>
      </c>
      <c r="K1007" s="26" t="str">
        <f aca="false">IF(OR(E1007="",E1007="!!!",F1007="NEW"),"",INDEX(J$1:J989,SUMPRODUCT(MAX(ROW(E$1:E989)*(E1007=E$1:E989)))))</f>
        <v/>
      </c>
      <c r="L1007" s="27"/>
    </row>
    <row r="1008" customFormat="false" ht="15" hidden="false" customHeight="false" outlineLevel="0" collapsed="false">
      <c r="A1008" s="20" t="s">
        <v>293</v>
      </c>
      <c r="E1008" s="21"/>
      <c r="F1008" s="22"/>
      <c r="G1008" s="23"/>
      <c r="H1008" s="24"/>
      <c r="I1008" s="25" t="str">
        <f aca="false">IF(OR(E1008="",E1008="!!!",F1008="NEW"),"",INDEX(B$2:B990,-1+SUMPRODUCT(MAX(ROW(E$2:E990)*(E1008=E$2:E990)))))</f>
        <v/>
      </c>
      <c r="J1008" s="26" t="str">
        <f aca="true">IF(OR(E1008="",E1008="!!!",F1008="NEW"),"",COUNTBLANK(OFFSET(A$1,,,SUMPRODUCT(MAX(ROW(E$2:E991)*(E1008=E$2:E991)))))-COUNTBLANK(OFFSET(A$1,,,SUMPRODUCT(MAX(ROW(E$1:E990)*(E1008=E$1:E990))))))</f>
        <v/>
      </c>
      <c r="K1008" s="26" t="str">
        <f aca="false">IF(OR(E1008="",E1008="!!!",F1008="NEW"),"",INDEX(J$1:J990,SUMPRODUCT(MAX(ROW(E$1:E990)*(E1008=E$1:E990)))))</f>
        <v/>
      </c>
      <c r="L1008" s="27"/>
    </row>
    <row r="1009" customFormat="false" ht="15" hidden="false" customHeight="false" outlineLevel="0" collapsed="false">
      <c r="A1009" s="20" t="s">
        <v>615</v>
      </c>
      <c r="E1009" s="21"/>
      <c r="F1009" s="22"/>
      <c r="G1009" s="23"/>
      <c r="H1009" s="24"/>
      <c r="I1009" s="25" t="str">
        <f aca="false">IF(OR(E1009="",E1009="!!!",F1009="NEW"),"",INDEX(B$2:B991,-1+SUMPRODUCT(MAX(ROW(E$2:E991)*(E1009=E$2:E991)))))</f>
        <v/>
      </c>
      <c r="J1009" s="26" t="str">
        <f aca="true">IF(OR(E1009="",E1009="!!!",F1009="NEW"),"",COUNTBLANK(OFFSET(A$1,,,SUMPRODUCT(MAX(ROW(E$2:E992)*(E1009=E$2:E992)))))-COUNTBLANK(OFFSET(A$1,,,SUMPRODUCT(MAX(ROW(E$1:E991)*(E1009=E$1:E991))))))</f>
        <v/>
      </c>
      <c r="K1009" s="26" t="str">
        <f aca="false">IF(OR(E1009="",E1009="!!!",F1009="NEW"),"",INDEX(J$1:J991,SUMPRODUCT(MAX(ROW(E$1:E991)*(E1009=E$1:E991)))))</f>
        <v/>
      </c>
      <c r="L1009" s="27"/>
    </row>
    <row r="1010" customFormat="false" ht="15" hidden="false" customHeight="false" outlineLevel="0" collapsed="false">
      <c r="A1010" s="20" t="s">
        <v>209</v>
      </c>
      <c r="E1010" s="21"/>
      <c r="F1010" s="22"/>
      <c r="G1010" s="23"/>
      <c r="H1010" s="24"/>
      <c r="I1010" s="25" t="str">
        <f aca="false">IF(OR(E1010="",E1010="!!!",F1010="NEW"),"",INDEX(B$2:B992,-1+SUMPRODUCT(MAX(ROW(E$2:E992)*(E1010=E$2:E992)))))</f>
        <v/>
      </c>
      <c r="J1010" s="26" t="str">
        <f aca="true">IF(OR(E1010="",E1010="!!!",F1010="NEW"),"",COUNTBLANK(OFFSET(A$1,,,SUMPRODUCT(MAX(ROW(E$2:E993)*(E1010=E$2:E993)))))-COUNTBLANK(OFFSET(A$1,,,SUMPRODUCT(MAX(ROW(E$1:E992)*(E1010=E$1:E992))))))</f>
        <v/>
      </c>
      <c r="K1010" s="26" t="str">
        <f aca="false">IF(OR(E1010="",E1010="!!!",F1010="NEW"),"",INDEX(J$1:J992,SUMPRODUCT(MAX(ROW(E$1:E992)*(E1010=E$1:E992)))))</f>
        <v/>
      </c>
      <c r="L1010" s="27"/>
    </row>
    <row r="1011" customFormat="false" ht="15" hidden="false" customHeight="false" outlineLevel="0" collapsed="false">
      <c r="A1011" s="20"/>
    </row>
    <row r="1012" customFormat="false" ht="15" hidden="false" customHeight="false" outlineLevel="0" collapsed="false">
      <c r="A1012" s="20" t="s">
        <v>621</v>
      </c>
    </row>
    <row r="1013" customFormat="false" ht="15" hidden="false" customHeight="false" outlineLevel="0" collapsed="false">
      <c r="A1013" s="20" t="s">
        <v>213</v>
      </c>
      <c r="E1013" s="21"/>
      <c r="F1013" s="22"/>
      <c r="G1013" s="23"/>
      <c r="H1013" s="24"/>
      <c r="I1013" s="25" t="str">
        <f aca="false">IF(OR(E1013="",E1013="!!!",F1013="NEW"),"",INDEX(B$2:B993,-1+SUMPRODUCT(MAX(ROW(E$2:E993)*(E1013=E$2:E993)))))</f>
        <v/>
      </c>
      <c r="J1013" s="26" t="str">
        <f aca="true">IF(OR(E1013="",E1013="!!!",F1013="NEW"),"",COUNTBLANK(OFFSET(A$1,,,SUMPRODUCT(MAX(ROW(E$2:E994)*(E1013=E$2:E994)))))-COUNTBLANK(OFFSET(A$1,,,SUMPRODUCT(MAX(ROW(E$1:E993)*(E1013=E$1:E993))))))</f>
        <v/>
      </c>
      <c r="K1013" s="26" t="str">
        <f aca="false">IF(OR(E1013="",E1013="!!!",F1013="NEW"),"",INDEX(J$1:J993,SUMPRODUCT(MAX(ROW(E$1:E993)*(E1013=E$1:E993)))))</f>
        <v/>
      </c>
      <c r="L1013" s="27"/>
    </row>
    <row r="1014" customFormat="false" ht="15" hidden="false" customHeight="false" outlineLevel="0" collapsed="false">
      <c r="A1014" s="20" t="s">
        <v>248</v>
      </c>
      <c r="E1014" s="21"/>
      <c r="F1014" s="22"/>
      <c r="G1014" s="23"/>
      <c r="H1014" s="24"/>
      <c r="I1014" s="25" t="str">
        <f aca="false">IF(OR(E1014="",E1014="!!!",F1014="NEW"),"",INDEX(B$2:B994,-1+SUMPRODUCT(MAX(ROW(E$2:E994)*(E1014=E$2:E994)))))</f>
        <v/>
      </c>
      <c r="J1014" s="26" t="str">
        <f aca="true">IF(OR(E1014="",E1014="!!!",F1014="NEW"),"",COUNTBLANK(OFFSET(A$1,,,SUMPRODUCT(MAX(ROW(E$2:E995)*(E1014=E$2:E995)))))-COUNTBLANK(OFFSET(A$1,,,SUMPRODUCT(MAX(ROW(E$1:E994)*(E1014=E$1:E994))))))</f>
        <v/>
      </c>
      <c r="K1014" s="26" t="str">
        <f aca="false">IF(OR(E1014="",E1014="!!!",F1014="NEW"),"",INDEX(J$1:J994,SUMPRODUCT(MAX(ROW(E$1:E994)*(E1014=E$1:E994)))))</f>
        <v/>
      </c>
      <c r="L1014" s="27"/>
    </row>
    <row r="1015" customFormat="false" ht="15" hidden="false" customHeight="false" outlineLevel="0" collapsed="false">
      <c r="A1015" s="20" t="s">
        <v>225</v>
      </c>
      <c r="B1015" s="28" t="s">
        <v>240</v>
      </c>
      <c r="C1015" s="28" t="s">
        <v>197</v>
      </c>
      <c r="D1015" s="28" t="s">
        <v>198</v>
      </c>
      <c r="E1015" s="21" t="s">
        <v>619</v>
      </c>
      <c r="F1015" s="22" t="s">
        <v>200</v>
      </c>
      <c r="G1015" s="23" t="s">
        <v>227</v>
      </c>
      <c r="H1015" s="24"/>
      <c r="I1015" s="25" t="str">
        <f aca="false">IF(OR(E1015="",E1015="!!!",F1015="NEW"),"",INDEX(B$2:B995,-1+SUMPRODUCT(MAX(ROW(E$2:E995)*(E1015=E$2:E995)))))</f>
        <v/>
      </c>
      <c r="J1015" s="26" t="str">
        <f aca="true">IF(OR(E1015="",E1015="!!!",F1015="NEW"),"",COUNTBLANK(OFFSET(A$1,,,SUMPRODUCT(MAX(ROW(E$2:E996)*(E1015=E$2:E996)))))-COUNTBLANK(OFFSET(A$1,,,SUMPRODUCT(MAX(ROW(E$1:E995)*(E1015=E$1:E995))))))</f>
        <v/>
      </c>
      <c r="K1015" s="26" t="str">
        <f aca="false">IF(OR(E1015="",E1015="!!!",F1015="NEW"),"",INDEX(J$1:J995,SUMPRODUCT(MAX(ROW(E$1:E995)*(E1015=E$1:E995)))))</f>
        <v/>
      </c>
      <c r="L1015" s="27"/>
    </row>
    <row r="1016" customFormat="false" ht="15" hidden="false" customHeight="false" outlineLevel="0" collapsed="false">
      <c r="A1016" s="20" t="s">
        <v>470</v>
      </c>
      <c r="E1016" s="21"/>
      <c r="F1016" s="22"/>
      <c r="G1016" s="23"/>
      <c r="H1016" s="24"/>
      <c r="I1016" s="25" t="str">
        <f aca="false">IF(OR(E1016="",E1016="!!!",F1016="NEW"),"",INDEX(B$2:B996,-1+SUMPRODUCT(MAX(ROW(E$2:E996)*(E1016=E$2:E996)))))</f>
        <v/>
      </c>
      <c r="J1016" s="26" t="str">
        <f aca="true">IF(OR(E1016="",E1016="!!!",F1016="NEW"),"",COUNTBLANK(OFFSET(A$1,,,SUMPRODUCT(MAX(ROW(E$2:E997)*(E1016=E$2:E997)))))-COUNTBLANK(OFFSET(A$1,,,SUMPRODUCT(MAX(ROW(E$1:E996)*(E1016=E$1:E996))))))</f>
        <v/>
      </c>
      <c r="K1016" s="26" t="str">
        <f aca="false">IF(OR(E1016="",E1016="!!!",F1016="NEW"),"",INDEX(J$1:J996,SUMPRODUCT(MAX(ROW(E$1:E996)*(E1016=E$1:E996)))))</f>
        <v/>
      </c>
      <c r="L1016" s="27"/>
    </row>
    <row r="1017" customFormat="false" ht="15" hidden="false" customHeight="false" outlineLevel="0" collapsed="false">
      <c r="A1017" s="20" t="s">
        <v>204</v>
      </c>
      <c r="E1017" s="21"/>
      <c r="F1017" s="22"/>
      <c r="G1017" s="23"/>
      <c r="H1017" s="24"/>
      <c r="I1017" s="25" t="str">
        <f aca="false">IF(OR(E1017="",E1017="!!!",F1017="NEW"),"",INDEX(B$2:B997,-1+SUMPRODUCT(MAX(ROW(E$2:E997)*(E1017=E$2:E997)))))</f>
        <v/>
      </c>
      <c r="J1017" s="26" t="str">
        <f aca="true">IF(OR(E1017="",E1017="!!!",F1017="NEW"),"",COUNTBLANK(OFFSET(A$1,,,SUMPRODUCT(MAX(ROW(E$2:E998)*(E1017=E$2:E998)))))-COUNTBLANK(OFFSET(A$1,,,SUMPRODUCT(MAX(ROW(E$1:E997)*(E1017=E$1:E997))))))</f>
        <v/>
      </c>
      <c r="K1017" s="26" t="str">
        <f aca="false">IF(OR(E1017="",E1017="!!!",F1017="NEW"),"",INDEX(J$1:J997,SUMPRODUCT(MAX(ROW(E$1:E997)*(E1017=E$1:E997)))))</f>
        <v/>
      </c>
      <c r="L1017" s="27"/>
    </row>
    <row r="1018" customFormat="false" ht="15" hidden="false" customHeight="false" outlineLevel="0" collapsed="false">
      <c r="A1018" s="20" t="s">
        <v>603</v>
      </c>
      <c r="B1018" s="28" t="s">
        <v>215</v>
      </c>
      <c r="C1018" s="28" t="s">
        <v>207</v>
      </c>
      <c r="D1018" s="28" t="s">
        <v>198</v>
      </c>
      <c r="E1018" s="21" t="s">
        <v>511</v>
      </c>
      <c r="F1018" s="22" t="s">
        <v>226</v>
      </c>
      <c r="G1018" s="23" t="s">
        <v>227</v>
      </c>
      <c r="H1018" s="24"/>
      <c r="I1018" s="25" t="str">
        <f aca="false">IF(OR(E1018="",E1018="!!!",F1018="NEW"),"",INDEX(B$2:B998,-1+SUMPRODUCT(MAX(ROW(E$2:E998)*(E1018=E$2:E998)))))</f>
        <v>other_2</v>
      </c>
      <c r="J1018" s="26" t="n">
        <f aca="true">IF(OR(E1018="",E1018="!!!",F1018="NEW"),"",COUNTBLANK(OFFSET(A$1,,,SUMPRODUCT(MAX(ROW(E$2:E999)*(E1018=E$2:E999)))))-COUNTBLANK(OFFSET(A$1,,,SUMPRODUCT(MAX(ROW(E$1:E998)*(E1018=E$1:E998))))))</f>
        <v>0</v>
      </c>
      <c r="K1018" s="26" t="n">
        <f aca="false">IF(OR(E1018="",E1018="!!!",F1018="NEW"),"",INDEX(J$1:J998,SUMPRODUCT(MAX(ROW(E$1:E998)*(E1018=E$1:E998)))))</f>
        <v>0</v>
      </c>
      <c r="L1018" s="27"/>
    </row>
    <row r="1019" customFormat="false" ht="15" hidden="false" customHeight="false" outlineLevel="0" collapsed="false">
      <c r="A1019" s="20" t="s">
        <v>384</v>
      </c>
      <c r="E1019" s="21"/>
      <c r="F1019" s="22"/>
      <c r="G1019" s="23"/>
      <c r="H1019" s="24"/>
      <c r="I1019" s="25" t="str">
        <f aca="false">IF(OR(E1019="",E1019="!!!",F1019="NEW"),"",INDEX(B$2:B999,-1+SUMPRODUCT(MAX(ROW(E$2:E999)*(E1019=E$2:E999)))))</f>
        <v/>
      </c>
      <c r="J1019" s="26" t="str">
        <f aca="true">IF(OR(E1019="",E1019="!!!",F1019="NEW"),"",COUNTBLANK(OFFSET(A$1,,,SUMPRODUCT(MAX(ROW(E$2:E1000)*(E1019=E$2:E1000)))))-COUNTBLANK(OFFSET(A$1,,,SUMPRODUCT(MAX(ROW(E$1:E999)*(E1019=E$1:E999))))))</f>
        <v/>
      </c>
      <c r="K1019" s="26" t="str">
        <f aca="false">IF(OR(E1019="",E1019="!!!",F1019="NEW"),"",INDEX(J$1:J999,SUMPRODUCT(MAX(ROW(E$1:E999)*(E1019=E$1:E999)))))</f>
        <v/>
      </c>
      <c r="L1019" s="27"/>
    </row>
    <row r="1020" customFormat="false" ht="15" hidden="false" customHeight="false" outlineLevel="0" collapsed="false">
      <c r="A1020" s="20" t="s">
        <v>622</v>
      </c>
      <c r="B1020" s="28" t="s">
        <v>196</v>
      </c>
      <c r="C1020" s="28" t="s">
        <v>289</v>
      </c>
      <c r="D1020" s="28" t="s">
        <v>198</v>
      </c>
      <c r="E1020" s="21" t="s">
        <v>623</v>
      </c>
      <c r="F1020" s="22" t="s">
        <v>200</v>
      </c>
      <c r="G1020" s="23" t="s">
        <v>212</v>
      </c>
      <c r="H1020" s="24"/>
      <c r="I1020" s="25" t="str">
        <f aca="false">IF(OR(E1020="",E1020="!!!",F1020="NEW"),"",INDEX(B$2:B1000,-1+SUMPRODUCT(MAX(ROW(E$2:E1000)*(E1020=E$2:E1000)))))</f>
        <v/>
      </c>
      <c r="J1020" s="26" t="str">
        <f aca="true">IF(OR(E1020="",E1020="!!!",F1020="NEW"),"",COUNTBLANK(OFFSET(A$1,,,SUMPRODUCT(MAX(ROW(E$2:E1001)*(E1020=E$2:E1001)))))-COUNTBLANK(OFFSET(A$1,,,SUMPRODUCT(MAX(ROW(E$1:E1000)*(E1020=E$1:E1000))))))</f>
        <v/>
      </c>
      <c r="K1020" s="26" t="str">
        <f aca="false">IF(OR(E1020="",E1020="!!!",F1020="NEW"),"",INDEX(J$1:J1000,SUMPRODUCT(MAX(ROW(E$1:E1000)*(E1020=E$1:E1000)))))</f>
        <v/>
      </c>
      <c r="L1020" s="27"/>
    </row>
    <row r="1021" customFormat="false" ht="15" hidden="false" customHeight="false" outlineLevel="0" collapsed="false">
      <c r="A1021" s="20" t="s">
        <v>209</v>
      </c>
      <c r="E1021" s="21"/>
      <c r="F1021" s="22"/>
      <c r="G1021" s="23"/>
      <c r="H1021" s="24"/>
      <c r="I1021" s="25" t="str">
        <f aca="false">IF(OR(E1021="",E1021="!!!",F1021="NEW"),"",INDEX(B$2:B1001,-1+SUMPRODUCT(MAX(ROW(E$2:E1001)*(E1021=E$2:E1001)))))</f>
        <v/>
      </c>
      <c r="J1021" s="26" t="str">
        <f aca="true">IF(OR(E1021="",E1021="!!!",F1021="NEW"),"",COUNTBLANK(OFFSET(A$1,,,SUMPRODUCT(MAX(ROW(E$2:E1002)*(E1021=E$2:E1002)))))-COUNTBLANK(OFFSET(A$1,,,SUMPRODUCT(MAX(ROW(E$1:E1001)*(E1021=E$1:E1001))))))</f>
        <v/>
      </c>
      <c r="K1021" s="26" t="str">
        <f aca="false">IF(OR(E1021="",E1021="!!!",F1021="NEW"),"",INDEX(J$1:J1001,SUMPRODUCT(MAX(ROW(E$1:E1001)*(E1021=E$1:E1001)))))</f>
        <v/>
      </c>
      <c r="L1021" s="27"/>
    </row>
    <row r="1022" customFormat="false" ht="15" hidden="false" customHeight="false" outlineLevel="0" collapsed="false">
      <c r="A1022" s="20" t="s">
        <v>213</v>
      </c>
      <c r="E1022" s="21"/>
      <c r="F1022" s="22"/>
      <c r="G1022" s="23"/>
      <c r="H1022" s="24"/>
      <c r="I1022" s="25" t="str">
        <f aca="false">IF(OR(E1022="",E1022="!!!",F1022="NEW"),"",INDEX(B$2:B1002,-1+SUMPRODUCT(MAX(ROW(E$2:E1002)*(E1022=E$2:E1002)))))</f>
        <v/>
      </c>
      <c r="J1022" s="26" t="str">
        <f aca="true">IF(OR(E1022="",E1022="!!!",F1022="NEW"),"",COUNTBLANK(OFFSET(A$1,,,SUMPRODUCT(MAX(ROW(E$2:E1003)*(E1022=E$2:E1003)))))-COUNTBLANK(OFFSET(A$1,,,SUMPRODUCT(MAX(ROW(E$1:E1002)*(E1022=E$1:E1002))))))</f>
        <v/>
      </c>
      <c r="K1022" s="26" t="str">
        <f aca="false">IF(OR(E1022="",E1022="!!!",F1022="NEW"),"",INDEX(J$1:J1002,SUMPRODUCT(MAX(ROW(E$1:E1002)*(E1022=E$1:E1002)))))</f>
        <v/>
      </c>
      <c r="L1022" s="27"/>
    </row>
    <row r="1023" customFormat="false" ht="15" hidden="false" customHeight="false" outlineLevel="0" collapsed="false">
      <c r="A1023" s="20" t="s">
        <v>624</v>
      </c>
      <c r="B1023" s="28" t="s">
        <v>215</v>
      </c>
      <c r="C1023" s="28" t="s">
        <v>251</v>
      </c>
      <c r="E1023" s="21"/>
      <c r="F1023" s="22"/>
      <c r="G1023" s="23"/>
      <c r="H1023" s="24"/>
      <c r="I1023" s="25" t="str">
        <f aca="false">IF(OR(E1023="",E1023="!!!",F1023="NEW"),"",INDEX(B$2:B1003,-1+SUMPRODUCT(MAX(ROW(E$2:E1003)*(E1023=E$2:E1003)))))</f>
        <v/>
      </c>
      <c r="J1023" s="26" t="str">
        <f aca="true">IF(OR(E1023="",E1023="!!!",F1023="NEW"),"",COUNTBLANK(OFFSET(A$1,,,SUMPRODUCT(MAX(ROW(E$2:E1004)*(E1023=E$2:E1004)))))-COUNTBLANK(OFFSET(A$1,,,SUMPRODUCT(MAX(ROW(E$1:E1003)*(E1023=E$1:E1003))))))</f>
        <v/>
      </c>
      <c r="K1023" s="26" t="str">
        <f aca="false">IF(OR(E1023="",E1023="!!!",F1023="NEW"),"",INDEX(J$1:J1003,SUMPRODUCT(MAX(ROW(E$1:E1003)*(E1023=E$1:E1003)))))</f>
        <v/>
      </c>
      <c r="L1023" s="27"/>
    </row>
    <row r="1024" customFormat="false" ht="15" hidden="false" customHeight="false" outlineLevel="0" collapsed="false">
      <c r="A1024" s="20" t="s">
        <v>262</v>
      </c>
      <c r="E1024" s="21"/>
      <c r="F1024" s="22"/>
      <c r="G1024" s="23"/>
      <c r="H1024" s="24"/>
      <c r="I1024" s="25" t="str">
        <f aca="false">IF(OR(E1024="",E1024="!!!",F1024="NEW"),"",INDEX(B$2:B1004,-1+SUMPRODUCT(MAX(ROW(E$2:E1004)*(E1024=E$2:E1004)))))</f>
        <v/>
      </c>
      <c r="J1024" s="26" t="str">
        <f aca="true">IF(OR(E1024="",E1024="!!!",F1024="NEW"),"",COUNTBLANK(OFFSET(A$1,,,SUMPRODUCT(MAX(ROW(E$2:E1005)*(E1024=E$2:E1005)))))-COUNTBLANK(OFFSET(A$1,,,SUMPRODUCT(MAX(ROW(E$1:E1004)*(E1024=E$1:E1004))))))</f>
        <v/>
      </c>
      <c r="K1024" s="26" t="str">
        <f aca="false">IF(OR(E1024="",E1024="!!!",F1024="NEW"),"",INDEX(J$1:J1004,SUMPRODUCT(MAX(ROW(E$1:E1004)*(E1024=E$1:E1004)))))</f>
        <v/>
      </c>
      <c r="L1024" s="27"/>
    </row>
    <row r="1025" customFormat="false" ht="15" hidden="false" customHeight="false" outlineLevel="0" collapsed="false">
      <c r="A1025" s="20" t="s">
        <v>523</v>
      </c>
      <c r="E1025" s="21"/>
      <c r="F1025" s="22"/>
      <c r="G1025" s="23"/>
      <c r="H1025" s="24"/>
      <c r="I1025" s="25" t="str">
        <f aca="false">IF(OR(E1025="",E1025="!!!",F1025="NEW"),"",INDEX(B$2:B1005,-1+SUMPRODUCT(MAX(ROW(E$2:E1005)*(E1025=E$2:E1005)))))</f>
        <v/>
      </c>
      <c r="J1025" s="26" t="str">
        <f aca="true">IF(OR(E1025="",E1025="!!!",F1025="NEW"),"",COUNTBLANK(OFFSET(A$1,,,SUMPRODUCT(MAX(ROW(E$2:E1006)*(E1025=E$2:E1006)))))-COUNTBLANK(OFFSET(A$1,,,SUMPRODUCT(MAX(ROW(E$1:E1005)*(E1025=E$1:E1005))))))</f>
        <v/>
      </c>
      <c r="K1025" s="26" t="str">
        <f aca="false">IF(OR(E1025="",E1025="!!!",F1025="NEW"),"",INDEX(J$1:J1005,SUMPRODUCT(MAX(ROW(E$1:E1005)*(E1025=E$1:E1005)))))</f>
        <v/>
      </c>
      <c r="L1025" s="27"/>
    </row>
    <row r="1026" customFormat="false" ht="15" hidden="false" customHeight="false" outlineLevel="0" collapsed="false">
      <c r="A1026" s="20" t="s">
        <v>203</v>
      </c>
      <c r="E1026" s="21"/>
      <c r="F1026" s="22"/>
      <c r="G1026" s="23"/>
      <c r="H1026" s="24"/>
      <c r="I1026" s="25" t="str">
        <f aca="false">IF(OR(E1026="",E1026="!!!",F1026="NEW"),"",INDEX(B$2:B1006,-1+SUMPRODUCT(MAX(ROW(E$2:E1006)*(E1026=E$2:E1006)))))</f>
        <v/>
      </c>
      <c r="J1026" s="26" t="str">
        <f aca="true">IF(OR(E1026="",E1026="!!!",F1026="NEW"),"",COUNTBLANK(OFFSET(A$1,,,SUMPRODUCT(MAX(ROW(E$2:E1007)*(E1026=E$2:E1007)))))-COUNTBLANK(OFFSET(A$1,,,SUMPRODUCT(MAX(ROW(E$1:E1006)*(E1026=E$1:E1006))))))</f>
        <v/>
      </c>
      <c r="K1026" s="26" t="str">
        <f aca="false">IF(OR(E1026="",E1026="!!!",F1026="NEW"),"",INDEX(J$1:J1006,SUMPRODUCT(MAX(ROW(E$1:E1006)*(E1026=E$1:E1006)))))</f>
        <v/>
      </c>
      <c r="L1026" s="27"/>
    </row>
    <row r="1027" customFormat="false" ht="15" hidden="false" customHeight="false" outlineLevel="0" collapsed="false">
      <c r="A1027" s="20" t="s">
        <v>625</v>
      </c>
      <c r="E1027" s="21"/>
      <c r="F1027" s="22"/>
      <c r="G1027" s="23"/>
      <c r="H1027" s="24"/>
      <c r="I1027" s="25" t="str">
        <f aca="false">IF(OR(E1027="",E1027="!!!",F1027="NEW"),"",INDEX(B$2:B1007,-1+SUMPRODUCT(MAX(ROW(E$2:E1007)*(E1027=E$2:E1007)))))</f>
        <v/>
      </c>
      <c r="J1027" s="26" t="str">
        <f aca="true">IF(OR(E1027="",E1027="!!!",F1027="NEW"),"",COUNTBLANK(OFFSET(A$1,,,SUMPRODUCT(MAX(ROW(E$2:E1008)*(E1027=E$2:E1008)))))-COUNTBLANK(OFFSET(A$1,,,SUMPRODUCT(MAX(ROW(E$1:E1007)*(E1027=E$1:E1007))))))</f>
        <v/>
      </c>
      <c r="K1027" s="26" t="str">
        <f aca="false">IF(OR(E1027="",E1027="!!!",F1027="NEW"),"",INDEX(J$1:J1007,SUMPRODUCT(MAX(ROW(E$1:E1007)*(E1027=E$1:E1007)))))</f>
        <v/>
      </c>
      <c r="L1027" s="27"/>
    </row>
    <row r="1028" customFormat="false" ht="15" hidden="false" customHeight="false" outlineLevel="0" collapsed="false">
      <c r="A1028" s="20" t="s">
        <v>209</v>
      </c>
      <c r="E1028" s="21"/>
      <c r="F1028" s="22"/>
      <c r="G1028" s="23"/>
      <c r="H1028" s="24"/>
      <c r="I1028" s="25" t="str">
        <f aca="false">IF(OR(E1028="",E1028="!!!",F1028="NEW"),"",INDEX(B$2:B1008,-1+SUMPRODUCT(MAX(ROW(E$2:E1008)*(E1028=E$2:E1008)))))</f>
        <v/>
      </c>
      <c r="J1028" s="26" t="str">
        <f aca="true">IF(OR(E1028="",E1028="!!!",F1028="NEW"),"",COUNTBLANK(OFFSET(A$1,,,SUMPRODUCT(MAX(ROW(E$2:E1009)*(E1028=E$2:E1009)))))-COUNTBLANK(OFFSET(A$1,,,SUMPRODUCT(MAX(ROW(E$1:E1008)*(E1028=E$1:E1008))))))</f>
        <v/>
      </c>
      <c r="K1028" s="26" t="str">
        <f aca="false">IF(OR(E1028="",E1028="!!!",F1028="NEW"),"",INDEX(J$1:J1008,SUMPRODUCT(MAX(ROW(E$1:E1008)*(E1028=E$1:E1008)))))</f>
        <v/>
      </c>
      <c r="L1028" s="27"/>
    </row>
    <row r="1029" customFormat="false" ht="15" hidden="false" customHeight="false" outlineLevel="0" collapsed="false">
      <c r="A1029" s="20" t="s">
        <v>626</v>
      </c>
      <c r="E1029" s="21"/>
      <c r="F1029" s="22"/>
      <c r="G1029" s="23"/>
      <c r="H1029" s="24"/>
      <c r="I1029" s="25" t="str">
        <f aca="false">IF(OR(E1029="",E1029="!!!",F1029="NEW"),"",INDEX(B$2:B1009,-1+SUMPRODUCT(MAX(ROW(E$2:E1009)*(E1029=E$2:E1009)))))</f>
        <v/>
      </c>
      <c r="J1029" s="26" t="str">
        <f aca="true">IF(OR(E1029="",E1029="!!!",F1029="NEW"),"",COUNTBLANK(OFFSET(A$1,,,SUMPRODUCT(MAX(ROW(E$2:E1010)*(E1029=E$2:E1010)))))-COUNTBLANK(OFFSET(A$1,,,SUMPRODUCT(MAX(ROW(E$1:E1009)*(E1029=E$1:E1009))))))</f>
        <v/>
      </c>
      <c r="K1029" s="26" t="str">
        <f aca="false">IF(OR(E1029="",E1029="!!!",F1029="NEW"),"",INDEX(J$1:J1009,SUMPRODUCT(MAX(ROW(E$1:E1009)*(E1029=E$1:E1009)))))</f>
        <v/>
      </c>
      <c r="L1029" s="27"/>
    </row>
    <row r="1030" customFormat="false" ht="15" hidden="false" customHeight="false" outlineLevel="0" collapsed="false">
      <c r="A1030" s="20" t="s">
        <v>308</v>
      </c>
      <c r="E1030" s="21"/>
      <c r="F1030" s="22"/>
      <c r="G1030" s="23"/>
      <c r="H1030" s="24"/>
      <c r="I1030" s="25" t="str">
        <f aca="false">IF(OR(E1030="",E1030="!!!",F1030="NEW"),"",INDEX(B$2:B1010,-1+SUMPRODUCT(MAX(ROW(E$2:E1010)*(E1030=E$2:E1010)))))</f>
        <v/>
      </c>
      <c r="J1030" s="26" t="str">
        <f aca="true">IF(OR(E1030="",E1030="!!!",F1030="NEW"),"",COUNTBLANK(OFFSET(A$1,,,SUMPRODUCT(MAX(ROW(E$2:E1011)*(E1030=E$2:E1011)))))-COUNTBLANK(OFFSET(A$1,,,SUMPRODUCT(MAX(ROW(E$1:E1010)*(E1030=E$1:E1010))))))</f>
        <v/>
      </c>
      <c r="K1030" s="26" t="str">
        <f aca="false">IF(OR(E1030="",E1030="!!!",F1030="NEW"),"",INDEX(J$1:J1010,SUMPRODUCT(MAX(ROW(E$1:E1010)*(E1030=E$1:E1010)))))</f>
        <v/>
      </c>
      <c r="L1030" s="27"/>
    </row>
    <row r="1031" customFormat="false" ht="15" hidden="false" customHeight="false" outlineLevel="0" collapsed="false">
      <c r="A1031" s="20" t="s">
        <v>465</v>
      </c>
      <c r="B1031" s="28" t="s">
        <v>222</v>
      </c>
      <c r="C1031" s="28" t="s">
        <v>466</v>
      </c>
      <c r="E1031" s="21"/>
      <c r="F1031" s="22"/>
      <c r="G1031" s="23"/>
      <c r="H1031" s="24"/>
      <c r="I1031" s="25" t="str">
        <f aca="false">IF(OR(E1031="",E1031="!!!",F1031="NEW"),"",INDEX(B$2:B1011,-1+SUMPRODUCT(MAX(ROW(E$2:E1011)*(E1031=E$2:E1011)))))</f>
        <v/>
      </c>
      <c r="J1031" s="26" t="str">
        <f aca="true">IF(OR(E1031="",E1031="!!!",F1031="NEW"),"",COUNTBLANK(OFFSET(A$1,,,SUMPRODUCT(MAX(ROW(E$2:E1012)*(E1031=E$2:E1012)))))-COUNTBLANK(OFFSET(A$1,,,SUMPRODUCT(MAX(ROW(E$1:E1011)*(E1031=E$1:E1011))))))</f>
        <v/>
      </c>
      <c r="K1031" s="26" t="str">
        <f aca="false">IF(OR(E1031="",E1031="!!!",F1031="NEW"),"",INDEX(J$1:J1011,SUMPRODUCT(MAX(ROW(E$1:E1011)*(E1031=E$1:E1011)))))</f>
        <v/>
      </c>
      <c r="L1031" s="27"/>
    </row>
    <row r="1032" customFormat="false" ht="15" hidden="false" customHeight="false" outlineLevel="0" collapsed="false">
      <c r="A1032" s="20" t="s">
        <v>315</v>
      </c>
      <c r="E1032" s="21"/>
      <c r="F1032" s="22"/>
      <c r="G1032" s="23"/>
      <c r="H1032" s="24"/>
      <c r="I1032" s="25" t="str">
        <f aca="false">IF(OR(E1032="",E1032="!!!",F1032="NEW"),"",INDEX(B$2:B1012,-1+SUMPRODUCT(MAX(ROW(E$2:E1012)*(E1032=E$2:E1012)))))</f>
        <v/>
      </c>
      <c r="J1032" s="26" t="str">
        <f aca="true">IF(OR(E1032="",E1032="!!!",F1032="NEW"),"",COUNTBLANK(OFFSET(A$1,,,SUMPRODUCT(MAX(ROW(E$2:E1013)*(E1032=E$2:E1013)))))-COUNTBLANK(OFFSET(A$1,,,SUMPRODUCT(MAX(ROW(E$1:E1012)*(E1032=E$1:E1012))))))</f>
        <v/>
      </c>
      <c r="K1032" s="26" t="str">
        <f aca="false">IF(OR(E1032="",E1032="!!!",F1032="NEW"),"",INDEX(J$1:J1012,SUMPRODUCT(MAX(ROW(E$1:E1012)*(E1032=E$1:E1012)))))</f>
        <v/>
      </c>
      <c r="L1032" s="27"/>
    </row>
    <row r="1033" customFormat="false" ht="15" hidden="false" customHeight="false" outlineLevel="0" collapsed="false">
      <c r="A1033" s="20" t="s">
        <v>627</v>
      </c>
      <c r="E1033" s="21"/>
      <c r="F1033" s="22"/>
      <c r="G1033" s="23"/>
      <c r="H1033" s="24"/>
      <c r="I1033" s="25" t="str">
        <f aca="false">IF(OR(E1033="",E1033="!!!",F1033="NEW"),"",INDEX(B$2:B1013,-1+SUMPRODUCT(MAX(ROW(E$2:E1013)*(E1033=E$2:E1013)))))</f>
        <v/>
      </c>
      <c r="J1033" s="26" t="str">
        <f aca="true">IF(OR(E1033="",E1033="!!!",F1033="NEW"),"",COUNTBLANK(OFFSET(A$1,,,SUMPRODUCT(MAX(ROW(E$2:E1014)*(E1033=E$2:E1014)))))-COUNTBLANK(OFFSET(A$1,,,SUMPRODUCT(MAX(ROW(E$1:E1013)*(E1033=E$1:E1013))))))</f>
        <v/>
      </c>
      <c r="K1033" s="26" t="str">
        <f aca="false">IF(OR(E1033="",E1033="!!!",F1033="NEW"),"",INDEX(J$1:J1013,SUMPRODUCT(MAX(ROW(E$1:E1013)*(E1033=E$1:E1013)))))</f>
        <v/>
      </c>
      <c r="L1033" s="27"/>
    </row>
    <row r="1034" customFormat="false" ht="15" hidden="false" customHeight="false" outlineLevel="0" collapsed="false">
      <c r="A1034" s="20" t="s">
        <v>244</v>
      </c>
      <c r="E1034" s="21"/>
      <c r="F1034" s="22"/>
      <c r="G1034" s="23"/>
      <c r="H1034" s="24"/>
      <c r="I1034" s="25" t="str">
        <f aca="false">IF(OR(E1034="",E1034="!!!",F1034="NEW"),"",INDEX(B$2:B1014,-1+SUMPRODUCT(MAX(ROW(E$2:E1014)*(E1034=E$2:E1014)))))</f>
        <v/>
      </c>
      <c r="J1034" s="26" t="str">
        <f aca="true">IF(OR(E1034="",E1034="!!!",F1034="NEW"),"",COUNTBLANK(OFFSET(A$1,,,SUMPRODUCT(MAX(ROW(E$2:E1015)*(E1034=E$2:E1015)))))-COUNTBLANK(OFFSET(A$1,,,SUMPRODUCT(MAX(ROW(E$1:E1014)*(E1034=E$1:E1014))))))</f>
        <v/>
      </c>
      <c r="K1034" s="26" t="str">
        <f aca="false">IF(OR(E1034="",E1034="!!!",F1034="NEW"),"",INDEX(J$1:J1014,SUMPRODUCT(MAX(ROW(E$1:E1014)*(E1034=E$1:E1014)))))</f>
        <v/>
      </c>
      <c r="L1034" s="27"/>
    </row>
    <row r="1035" customFormat="false" ht="15" hidden="false" customHeight="false" outlineLevel="0" collapsed="false">
      <c r="A1035" s="20"/>
      <c r="E1035" s="21"/>
      <c r="F1035" s="22"/>
      <c r="G1035" s="23"/>
      <c r="H1035" s="24"/>
      <c r="I1035" s="25" t="str">
        <f aca="false">IF(OR(E1035="",E1035="!!!",F1035="NEW"),"",INDEX(B$2:B1015,-1+SUMPRODUCT(MAX(ROW(E$2:E1015)*(E1035=E$2:E1015)))))</f>
        <v/>
      </c>
      <c r="J1035" s="26" t="str">
        <f aca="true">IF(OR(E1035="",E1035="!!!",F1035="NEW"),"",COUNTBLANK(OFFSET(A$1,,,SUMPRODUCT(MAX(ROW(E$2:E1016)*(E1035=E$2:E1016)))))-COUNTBLANK(OFFSET(A$1,,,SUMPRODUCT(MAX(ROW(E$1:E1015)*(E1035=E$1:E1015))))))</f>
        <v/>
      </c>
      <c r="K1035" s="26" t="str">
        <f aca="false">IF(OR(E1035="",E1035="!!!",F1035="NEW"),"",INDEX(J$1:J1015,SUMPRODUCT(MAX(ROW(E$1:E1015)*(E1035=E$1:E1015)))))</f>
        <v/>
      </c>
      <c r="L1035" s="27"/>
    </row>
    <row r="1036" customFormat="false" ht="15" hidden="false" customHeight="false" outlineLevel="0" collapsed="false">
      <c r="A1036" s="20" t="s">
        <v>628</v>
      </c>
      <c r="E1036" s="21"/>
      <c r="F1036" s="22"/>
      <c r="G1036" s="23"/>
      <c r="H1036" s="24"/>
      <c r="I1036" s="25" t="str">
        <f aca="false">IF(OR(E1036="",E1036="!!!",F1036="NEW"),"",INDEX(B$2:B1016,-1+SUMPRODUCT(MAX(ROW(E$2:E1016)*(E1036=E$2:E1016)))))</f>
        <v/>
      </c>
      <c r="J1036" s="26" t="str">
        <f aca="true">IF(OR(E1036="",E1036="!!!",F1036="NEW"),"",COUNTBLANK(OFFSET(A$1,,,SUMPRODUCT(MAX(ROW(E$2:E1017)*(E1036=E$2:E1017)))))-COUNTBLANK(OFFSET(A$1,,,SUMPRODUCT(MAX(ROW(E$1:E1016)*(E1036=E$1:E1016))))))</f>
        <v/>
      </c>
      <c r="K1036" s="26" t="str">
        <f aca="false">IF(OR(E1036="",E1036="!!!",F1036="NEW"),"",INDEX(J$1:J1016,SUMPRODUCT(MAX(ROW(E$1:E1016)*(E1036=E$1:E1016)))))</f>
        <v/>
      </c>
      <c r="L1036" s="27"/>
    </row>
    <row r="1037" customFormat="false" ht="15" hidden="false" customHeight="false" outlineLevel="0" collapsed="false">
      <c r="A1037" s="20" t="s">
        <v>629</v>
      </c>
      <c r="B1037" s="28" t="s">
        <v>206</v>
      </c>
      <c r="C1037" s="28" t="s">
        <v>223</v>
      </c>
      <c r="D1037" s="28" t="s">
        <v>198</v>
      </c>
      <c r="E1037" s="21" t="s">
        <v>629</v>
      </c>
      <c r="F1037" s="22" t="s">
        <v>200</v>
      </c>
      <c r="G1037" s="23" t="s">
        <v>212</v>
      </c>
      <c r="H1037" s="24"/>
      <c r="I1037" s="25" t="str">
        <f aca="false">IF(OR(E1037="",E1037="!!!",F1037="NEW"),"",INDEX(B$2:B1017,-1+SUMPRODUCT(MAX(ROW(E$2:E1017)*(E1037=E$2:E1017)))))</f>
        <v/>
      </c>
      <c r="J1037" s="26" t="str">
        <f aca="true">IF(OR(E1037="",E1037="!!!",F1037="NEW"),"",COUNTBLANK(OFFSET(A$1,,,SUMPRODUCT(MAX(ROW(E$2:E1018)*(E1037=E$2:E1018)))))-COUNTBLANK(OFFSET(A$1,,,SUMPRODUCT(MAX(ROW(E$1:E1017)*(E1037=E$1:E1017))))))</f>
        <v/>
      </c>
      <c r="K1037" s="26" t="str">
        <f aca="false">IF(OR(E1037="",E1037="!!!",F1037="NEW"),"",INDEX(J$1:J1017,SUMPRODUCT(MAX(ROW(E$1:E1017)*(E1037=E$1:E1017)))))</f>
        <v/>
      </c>
      <c r="L1037" s="27"/>
    </row>
    <row r="1038" customFormat="false" ht="15" hidden="false" customHeight="false" outlineLevel="0" collapsed="false">
      <c r="A1038" s="20" t="s">
        <v>209</v>
      </c>
      <c r="E1038" s="21"/>
      <c r="F1038" s="22"/>
      <c r="G1038" s="23"/>
      <c r="H1038" s="24"/>
      <c r="I1038" s="25" t="str">
        <f aca="false">IF(OR(E1038="",E1038="!!!",F1038="NEW"),"",INDEX(B$2:B1018,-1+SUMPRODUCT(MAX(ROW(E$2:E1018)*(E1038=E$2:E1018)))))</f>
        <v/>
      </c>
      <c r="J1038" s="26" t="str">
        <f aca="true">IF(OR(E1038="",E1038="!!!",F1038="NEW"),"",COUNTBLANK(OFFSET(A$1,,,SUMPRODUCT(MAX(ROW(E$2:E1019)*(E1038=E$2:E1019)))))-COUNTBLANK(OFFSET(A$1,,,SUMPRODUCT(MAX(ROW(E$1:E1018)*(E1038=E$1:E1018))))))</f>
        <v/>
      </c>
      <c r="K1038" s="26" t="str">
        <f aca="false">IF(OR(E1038="",E1038="!!!",F1038="NEW"),"",INDEX(J$1:J1018,SUMPRODUCT(MAX(ROW(E$1:E1018)*(E1038=E$1:E1018)))))</f>
        <v/>
      </c>
      <c r="L1038" s="27"/>
    </row>
    <row r="1039" customFormat="false" ht="15" hidden="false" customHeight="false" outlineLevel="0" collapsed="false">
      <c r="A1039" s="20" t="s">
        <v>269</v>
      </c>
      <c r="B1039" s="28" t="s">
        <v>222</v>
      </c>
      <c r="E1039" s="21"/>
      <c r="F1039" s="22"/>
      <c r="G1039" s="23"/>
      <c r="H1039" s="24"/>
      <c r="I1039" s="25" t="str">
        <f aca="false">IF(OR(E1039="",E1039="!!!",F1039="NEW"),"",INDEX(B$2:B1019,-1+SUMPRODUCT(MAX(ROW(E$2:E1019)*(E1039=E$2:E1019)))))</f>
        <v/>
      </c>
      <c r="J1039" s="26" t="str">
        <f aca="true">IF(OR(E1039="",E1039="!!!",F1039="NEW"),"",COUNTBLANK(OFFSET(A$1,,,SUMPRODUCT(MAX(ROW(E$2:E1020)*(E1039=E$2:E1020)))))-COUNTBLANK(OFFSET(A$1,,,SUMPRODUCT(MAX(ROW(E$1:E1019)*(E1039=E$1:E1019))))))</f>
        <v/>
      </c>
      <c r="K1039" s="26" t="str">
        <f aca="false">IF(OR(E1039="",E1039="!!!",F1039="NEW"),"",INDEX(J$1:J1019,SUMPRODUCT(MAX(ROW(E$1:E1019)*(E1039=E$1:E1019)))))</f>
        <v/>
      </c>
      <c r="L1039" s="27"/>
    </row>
    <row r="1040" customFormat="false" ht="15" hidden="false" customHeight="false" outlineLevel="0" collapsed="false">
      <c r="A1040" s="20" t="s">
        <v>355</v>
      </c>
      <c r="E1040" s="21"/>
      <c r="F1040" s="22"/>
      <c r="G1040" s="23"/>
      <c r="H1040" s="24"/>
      <c r="I1040" s="25" t="str">
        <f aca="false">IF(OR(E1040="",E1040="!!!",F1040="NEW"),"",INDEX(B$2:B1020,-1+SUMPRODUCT(MAX(ROW(E$2:E1020)*(E1040=E$2:E1020)))))</f>
        <v/>
      </c>
      <c r="J1040" s="26" t="str">
        <f aca="true">IF(OR(E1040="",E1040="!!!",F1040="NEW"),"",COUNTBLANK(OFFSET(A$1,,,SUMPRODUCT(MAX(ROW(E$2:E1021)*(E1040=E$2:E1021)))))-COUNTBLANK(OFFSET(A$1,,,SUMPRODUCT(MAX(ROW(E$1:E1020)*(E1040=E$1:E1020))))))</f>
        <v/>
      </c>
      <c r="K1040" s="26" t="str">
        <f aca="false">IF(OR(E1040="",E1040="!!!",F1040="NEW"),"",INDEX(J$1:J1020,SUMPRODUCT(MAX(ROW(E$1:E1020)*(E1040=E$1:E1020)))))</f>
        <v/>
      </c>
      <c r="L1040" s="27"/>
    </row>
    <row r="1041" customFormat="false" ht="15" hidden="false" customHeight="false" outlineLevel="0" collapsed="false">
      <c r="A1041" s="20" t="s">
        <v>204</v>
      </c>
      <c r="E1041" s="21"/>
      <c r="F1041" s="22"/>
      <c r="G1041" s="23"/>
      <c r="H1041" s="24"/>
      <c r="I1041" s="25" t="str">
        <f aca="false">IF(OR(E1041="",E1041="!!!",F1041="NEW"),"",INDEX(B$2:B1021,-1+SUMPRODUCT(MAX(ROW(E$2:E1021)*(E1041=E$2:E1021)))))</f>
        <v/>
      </c>
      <c r="J1041" s="26" t="str">
        <f aca="true">IF(OR(E1041="",E1041="!!!",F1041="NEW"),"",COUNTBLANK(OFFSET(A$1,,,SUMPRODUCT(MAX(ROW(E$2:E1022)*(E1041=E$2:E1022)))))-COUNTBLANK(OFFSET(A$1,,,SUMPRODUCT(MAX(ROW(E$1:E1021)*(E1041=E$1:E1021))))))</f>
        <v/>
      </c>
      <c r="K1041" s="26" t="str">
        <f aca="false">IF(OR(E1041="",E1041="!!!",F1041="NEW"),"",INDEX(J$1:J1021,SUMPRODUCT(MAX(ROW(E$1:E1021)*(E1041=E$1:E1021)))))</f>
        <v/>
      </c>
      <c r="L1041" s="27"/>
    </row>
    <row r="1042" customFormat="false" ht="15" hidden="false" customHeight="false" outlineLevel="0" collapsed="false">
      <c r="A1042" s="20" t="s">
        <v>603</v>
      </c>
      <c r="B1042" s="28" t="s">
        <v>215</v>
      </c>
      <c r="C1042" s="28" t="s">
        <v>207</v>
      </c>
      <c r="D1042" s="28" t="s">
        <v>198</v>
      </c>
      <c r="E1042" s="21" t="s">
        <v>511</v>
      </c>
      <c r="F1042" s="22" t="s">
        <v>226</v>
      </c>
      <c r="G1042" s="23" t="s">
        <v>247</v>
      </c>
      <c r="H1042" s="24" t="s">
        <v>189</v>
      </c>
      <c r="I1042" s="25" t="str">
        <f aca="false">IF(OR(E1042="",E1042="!!!",F1042="NEW"),"",INDEX(B$2:B1022,-1+SUMPRODUCT(MAX(ROW(E$2:E1022)*(E1042=E$2:E1022)))))</f>
        <v>other_2</v>
      </c>
      <c r="J1042" s="26" t="n">
        <f aca="true">IF(OR(E1042="",E1042="!!!",F1042="NEW"),"",COUNTBLANK(OFFSET(A$1,,,SUMPRODUCT(MAX(ROW(E$2:E1023)*(E1042=E$2:E1023)))))-COUNTBLANK(OFFSET(A$1,,,SUMPRODUCT(MAX(ROW(E$1:E1022)*(E1042=E$1:E1022))))))</f>
        <v>0</v>
      </c>
      <c r="K1042" s="26" t="n">
        <f aca="false">IF(OR(E1042="",E1042="!!!",F1042="NEW"),"",INDEX(J$1:J1022,SUMPRODUCT(MAX(ROW(E$1:E1022)*(E1042=E$1:E1022)))))</f>
        <v>0</v>
      </c>
      <c r="L1042" s="27"/>
    </row>
    <row r="1043" customFormat="false" ht="15" hidden="false" customHeight="false" outlineLevel="0" collapsed="false">
      <c r="A1043" s="20" t="s">
        <v>262</v>
      </c>
      <c r="E1043" s="21"/>
      <c r="F1043" s="22"/>
      <c r="G1043" s="23"/>
      <c r="H1043" s="24"/>
      <c r="I1043" s="25" t="str">
        <f aca="false">IF(OR(E1043="",E1043="!!!",F1043="NEW"),"",INDEX(B$2:B1023,-1+SUMPRODUCT(MAX(ROW(E$2:E1023)*(E1043=E$2:E1023)))))</f>
        <v/>
      </c>
      <c r="J1043" s="26" t="str">
        <f aca="true">IF(OR(E1043="",E1043="!!!",F1043="NEW"),"",COUNTBLANK(OFFSET(A$1,,,SUMPRODUCT(MAX(ROW(E$2:E1024)*(E1043=E$2:E1024)))))-COUNTBLANK(OFFSET(A$1,,,SUMPRODUCT(MAX(ROW(E$1:E1023)*(E1043=E$1:E1023))))))</f>
        <v/>
      </c>
      <c r="K1043" s="26" t="str">
        <f aca="false">IF(OR(E1043="",E1043="!!!",F1043="NEW"),"",INDEX(J$1:J1023,SUMPRODUCT(MAX(ROW(E$1:E1023)*(E1043=E$1:E1023)))))</f>
        <v/>
      </c>
      <c r="L1043" s="27"/>
    </row>
    <row r="1044" customFormat="false" ht="15" hidden="false" customHeight="false" outlineLevel="0" collapsed="false">
      <c r="A1044" s="20" t="s">
        <v>630</v>
      </c>
      <c r="E1044" s="21"/>
      <c r="F1044" s="22"/>
      <c r="G1044" s="23"/>
      <c r="H1044" s="24"/>
      <c r="I1044" s="25" t="str">
        <f aca="false">IF(OR(E1044="",E1044="!!!",F1044="NEW"),"",INDEX(B$2:B1024,-1+SUMPRODUCT(MAX(ROW(E$2:E1024)*(E1044=E$2:E1024)))))</f>
        <v/>
      </c>
      <c r="J1044" s="26" t="str">
        <f aca="true">IF(OR(E1044="",E1044="!!!",F1044="NEW"),"",COUNTBLANK(OFFSET(A$1,,,SUMPRODUCT(MAX(ROW(E$2:E1025)*(E1044=E$2:E1025)))))-COUNTBLANK(OFFSET(A$1,,,SUMPRODUCT(MAX(ROW(E$1:E1024)*(E1044=E$1:E1024))))))</f>
        <v/>
      </c>
      <c r="K1044" s="26" t="str">
        <f aca="false">IF(OR(E1044="",E1044="!!!",F1044="NEW"),"",INDEX(J$1:J1024,SUMPRODUCT(MAX(ROW(E$1:E1024)*(E1044=E$1:E1024)))))</f>
        <v/>
      </c>
      <c r="L1044" s="27"/>
    </row>
    <row r="1045" customFormat="false" ht="15" hidden="false" customHeight="false" outlineLevel="0" collapsed="false">
      <c r="A1045" s="20" t="s">
        <v>631</v>
      </c>
      <c r="B1045" s="28" t="s">
        <v>215</v>
      </c>
      <c r="C1045" s="28" t="s">
        <v>223</v>
      </c>
      <c r="D1045" s="28" t="s">
        <v>198</v>
      </c>
      <c r="E1045" s="21" t="s">
        <v>629</v>
      </c>
      <c r="F1045" s="22" t="s">
        <v>200</v>
      </c>
      <c r="G1045" s="23" t="s">
        <v>227</v>
      </c>
      <c r="H1045" s="24"/>
      <c r="I1045" s="25" t="str">
        <f aca="false">IF(OR(E1045="",E1045="!!!",F1045="NEW"),"",INDEX(B$2:B1025,-1+SUMPRODUCT(MAX(ROW(E$2:E1025)*(E1045=E$2:E1025)))))</f>
        <v/>
      </c>
      <c r="J1045" s="26" t="str">
        <f aca="true">IF(OR(E1045="",E1045="!!!",F1045="NEW"),"",COUNTBLANK(OFFSET(A$1,,,SUMPRODUCT(MAX(ROW(E$2:E1026)*(E1045=E$2:E1026)))))-COUNTBLANK(OFFSET(A$1,,,SUMPRODUCT(MAX(ROW(E$1:E1025)*(E1045=E$1:E1025))))))</f>
        <v/>
      </c>
      <c r="K1045" s="26" t="str">
        <f aca="false">IF(OR(E1045="",E1045="!!!",F1045="NEW"),"",INDEX(J$1:J1025,SUMPRODUCT(MAX(ROW(E$1:E1025)*(E1045=E$1:E1025)))))</f>
        <v/>
      </c>
      <c r="L1045" s="27"/>
    </row>
    <row r="1046" customFormat="false" ht="15" hidden="false" customHeight="false" outlineLevel="0" collapsed="false">
      <c r="A1046" s="20" t="s">
        <v>632</v>
      </c>
      <c r="E1046" s="21"/>
      <c r="F1046" s="22"/>
      <c r="G1046" s="23"/>
      <c r="H1046" s="24"/>
      <c r="I1046" s="25" t="str">
        <f aca="false">IF(OR(E1046="",E1046="!!!",F1046="NEW"),"",INDEX(B$2:B1026,-1+SUMPRODUCT(MAX(ROW(E$2:E1026)*(E1046=E$2:E1026)))))</f>
        <v/>
      </c>
      <c r="J1046" s="26" t="str">
        <f aca="true">IF(OR(E1046="",E1046="!!!",F1046="NEW"),"",COUNTBLANK(OFFSET(A$1,,,SUMPRODUCT(MAX(ROW(E$2:E1027)*(E1046=E$2:E1027)))))-COUNTBLANK(OFFSET(A$1,,,SUMPRODUCT(MAX(ROW(E$1:E1026)*(E1046=E$1:E1026))))))</f>
        <v/>
      </c>
      <c r="K1046" s="26" t="str">
        <f aca="false">IF(OR(E1046="",E1046="!!!",F1046="NEW"),"",INDEX(J$1:J1026,SUMPRODUCT(MAX(ROW(E$1:E1026)*(E1046=E$1:E1026)))))</f>
        <v/>
      </c>
      <c r="L1046" s="27"/>
    </row>
    <row r="1047" customFormat="false" ht="15" hidden="false" customHeight="false" outlineLevel="0" collapsed="false">
      <c r="A1047" s="20" t="s">
        <v>386</v>
      </c>
      <c r="B1047" s="28" t="s">
        <v>273</v>
      </c>
      <c r="C1047" s="28" t="s">
        <v>323</v>
      </c>
      <c r="E1047" s="21"/>
      <c r="F1047" s="22"/>
      <c r="G1047" s="23"/>
      <c r="H1047" s="24"/>
      <c r="I1047" s="25" t="str">
        <f aca="false">IF(OR(E1047="",E1047="!!!",F1047="NEW"),"",INDEX(B$2:B1027,-1+SUMPRODUCT(MAX(ROW(E$2:E1027)*(E1047=E$2:E1027)))))</f>
        <v/>
      </c>
      <c r="J1047" s="26" t="str">
        <f aca="true">IF(OR(E1047="",E1047="!!!",F1047="NEW"),"",COUNTBLANK(OFFSET(A$1,,,SUMPRODUCT(MAX(ROW(E$2:E1028)*(E1047=E$2:E1028)))))-COUNTBLANK(OFFSET(A$1,,,SUMPRODUCT(MAX(ROW(E$1:E1027)*(E1047=E$1:E1027))))))</f>
        <v/>
      </c>
      <c r="K1047" s="26" t="str">
        <f aca="false">IF(OR(E1047="",E1047="!!!",F1047="NEW"),"",INDEX(J$1:J1027,SUMPRODUCT(MAX(ROW(E$1:E1027)*(E1047=E$1:E1027)))))</f>
        <v/>
      </c>
      <c r="L1047" s="27"/>
    </row>
    <row r="1048" customFormat="false" ht="15" hidden="false" customHeight="false" outlineLevel="0" collapsed="false">
      <c r="A1048" s="20" t="s">
        <v>383</v>
      </c>
      <c r="E1048" s="21"/>
      <c r="F1048" s="22"/>
      <c r="G1048" s="23"/>
      <c r="H1048" s="24"/>
      <c r="I1048" s="25" t="str">
        <f aca="false">IF(OR(E1048="",E1048="!!!",F1048="NEW"),"",INDEX(B$2:B1028,-1+SUMPRODUCT(MAX(ROW(E$2:E1028)*(E1048=E$2:E1028)))))</f>
        <v/>
      </c>
      <c r="J1048" s="26" t="str">
        <f aca="true">IF(OR(E1048="",E1048="!!!",F1048="NEW"),"",COUNTBLANK(OFFSET(A$1,,,SUMPRODUCT(MAX(ROW(E$2:E1029)*(E1048=E$2:E1029)))))-COUNTBLANK(OFFSET(A$1,,,SUMPRODUCT(MAX(ROW(E$1:E1028)*(E1048=E$1:E1028))))))</f>
        <v/>
      </c>
      <c r="K1048" s="26" t="str">
        <f aca="false">IF(OR(E1048="",E1048="!!!",F1048="NEW"),"",INDEX(J$1:J1028,SUMPRODUCT(MAX(ROW(E$1:E1028)*(E1048=E$1:E1028)))))</f>
        <v/>
      </c>
      <c r="L1048" s="27"/>
    </row>
    <row r="1049" customFormat="false" ht="15" hidden="false" customHeight="false" outlineLevel="0" collapsed="false">
      <c r="A1049" s="20" t="s">
        <v>209</v>
      </c>
      <c r="E1049" s="21"/>
      <c r="F1049" s="22"/>
      <c r="G1049" s="23"/>
      <c r="H1049" s="24"/>
      <c r="I1049" s="25" t="str">
        <f aca="false">IF(OR(E1049="",E1049="!!!",F1049="NEW"),"",INDEX(B$2:B1029,-1+SUMPRODUCT(MAX(ROW(E$2:E1029)*(E1049=E$2:E1029)))))</f>
        <v/>
      </c>
      <c r="J1049" s="26" t="str">
        <f aca="true">IF(OR(E1049="",E1049="!!!",F1049="NEW"),"",COUNTBLANK(OFFSET(A$1,,,SUMPRODUCT(MAX(ROW(E$2:E1030)*(E1049=E$2:E1030)))))-COUNTBLANK(OFFSET(A$1,,,SUMPRODUCT(MAX(ROW(E$1:E1029)*(E1049=E$1:E1029))))))</f>
        <v/>
      </c>
      <c r="K1049" s="26" t="str">
        <f aca="false">IF(OR(E1049="",E1049="!!!",F1049="NEW"),"",INDEX(J$1:J1029,SUMPRODUCT(MAX(ROW(E$1:E1029)*(E1049=E$1:E1029)))))</f>
        <v/>
      </c>
      <c r="L1049" s="27"/>
    </row>
    <row r="1050" customFormat="false" ht="15" hidden="false" customHeight="false" outlineLevel="0" collapsed="false">
      <c r="A1050" s="20" t="s">
        <v>229</v>
      </c>
      <c r="E1050" s="21"/>
      <c r="F1050" s="22"/>
      <c r="G1050" s="23"/>
      <c r="H1050" s="24"/>
      <c r="I1050" s="25" t="str">
        <f aca="false">IF(OR(E1050="",E1050="!!!",F1050="NEW"),"",INDEX(B$2:B1030,-1+SUMPRODUCT(MAX(ROW(E$2:E1030)*(E1050=E$2:E1030)))))</f>
        <v/>
      </c>
      <c r="J1050" s="26" t="str">
        <f aca="true">IF(OR(E1050="",E1050="!!!",F1050="NEW"),"",COUNTBLANK(OFFSET(A$1,,,SUMPRODUCT(MAX(ROW(E$2:E1031)*(E1050=E$2:E1031)))))-COUNTBLANK(OFFSET(A$1,,,SUMPRODUCT(MAX(ROW(E$1:E1030)*(E1050=E$1:E1030))))))</f>
        <v/>
      </c>
      <c r="K1050" s="26" t="str">
        <f aca="false">IF(OR(E1050="",E1050="!!!",F1050="NEW"),"",INDEX(J$1:J1030,SUMPRODUCT(MAX(ROW(E$1:E1030)*(E1050=E$1:E1030)))))</f>
        <v/>
      </c>
      <c r="L1050" s="27"/>
    </row>
    <row r="1051" customFormat="false" ht="15" hidden="false" customHeight="false" outlineLevel="0" collapsed="false">
      <c r="A1051" s="20" t="s">
        <v>633</v>
      </c>
      <c r="E1051" s="21"/>
      <c r="F1051" s="22"/>
      <c r="G1051" s="23"/>
      <c r="H1051" s="24"/>
      <c r="I1051" s="25" t="str">
        <f aca="false">IF(OR(E1051="",E1051="!!!",F1051="NEW"),"",INDEX(B$2:B1031,-1+SUMPRODUCT(MAX(ROW(E$2:E1031)*(E1051=E$2:E1031)))))</f>
        <v/>
      </c>
      <c r="J1051" s="26" t="str">
        <f aca="true">IF(OR(E1051="",E1051="!!!",F1051="NEW"),"",COUNTBLANK(OFFSET(A$1,,,SUMPRODUCT(MAX(ROW(E$2:E1032)*(E1051=E$2:E1032)))))-COUNTBLANK(OFFSET(A$1,,,SUMPRODUCT(MAX(ROW(E$1:E1031)*(E1051=E$1:E1031))))))</f>
        <v/>
      </c>
      <c r="K1051" s="26" t="str">
        <f aca="false">IF(OR(E1051="",E1051="!!!",F1051="NEW"),"",INDEX(J$1:J1031,SUMPRODUCT(MAX(ROW(E$1:E1031)*(E1051=E$1:E1031)))))</f>
        <v/>
      </c>
      <c r="L1051" s="27"/>
    </row>
    <row r="1052" customFormat="false" ht="15" hidden="false" customHeight="false" outlineLevel="0" collapsed="false">
      <c r="A1052" s="20" t="s">
        <v>209</v>
      </c>
      <c r="E1052" s="21"/>
      <c r="F1052" s="22"/>
      <c r="G1052" s="23"/>
      <c r="H1052" s="24"/>
      <c r="I1052" s="25" t="str">
        <f aca="false">IF(OR(E1052="",E1052="!!!",F1052="NEW"),"",INDEX(B$2:B1032,-1+SUMPRODUCT(MAX(ROW(E$2:E1032)*(E1052=E$2:E1032)))))</f>
        <v/>
      </c>
      <c r="J1052" s="26" t="str">
        <f aca="true">IF(OR(E1052="",E1052="!!!",F1052="NEW"),"",COUNTBLANK(OFFSET(A$1,,,SUMPRODUCT(MAX(ROW(E$2:E1033)*(E1052=E$2:E1033)))))-COUNTBLANK(OFFSET(A$1,,,SUMPRODUCT(MAX(ROW(E$1:E1032)*(E1052=E$1:E1032))))))</f>
        <v/>
      </c>
      <c r="K1052" s="26" t="str">
        <f aca="false">IF(OR(E1052="",E1052="!!!",F1052="NEW"),"",INDEX(J$1:J1032,SUMPRODUCT(MAX(ROW(E$1:E1032)*(E1052=E$1:E1032)))))</f>
        <v/>
      </c>
      <c r="L1052" s="27"/>
    </row>
    <row r="1053" customFormat="false" ht="15" hidden="false" customHeight="false" outlineLevel="0" collapsed="false">
      <c r="A1053" s="20" t="s">
        <v>634</v>
      </c>
      <c r="B1053" s="28" t="s">
        <v>310</v>
      </c>
      <c r="C1053" s="28" t="s">
        <v>223</v>
      </c>
      <c r="D1053" s="28" t="s">
        <v>198</v>
      </c>
      <c r="E1053" s="21" t="s">
        <v>629</v>
      </c>
      <c r="F1053" s="22" t="s">
        <v>200</v>
      </c>
      <c r="G1053" s="23" t="s">
        <v>227</v>
      </c>
      <c r="H1053" s="24"/>
      <c r="I1053" s="25" t="str">
        <f aca="false">IF(OR(E1053="",E1053="!!!",F1053="NEW"),"",INDEX(B$2:B1033,-1+SUMPRODUCT(MAX(ROW(E$2:E1033)*(E1053=E$2:E1033)))))</f>
        <v/>
      </c>
      <c r="J1053" s="26" t="str">
        <f aca="true">IF(OR(E1053="",E1053="!!!",F1053="NEW"),"",COUNTBLANK(OFFSET(A$1,,,SUMPRODUCT(MAX(ROW(E$2:E1034)*(E1053=E$2:E1034)))))-COUNTBLANK(OFFSET(A$1,,,SUMPRODUCT(MAX(ROW(E$1:E1033)*(E1053=E$1:E1033))))))</f>
        <v/>
      </c>
      <c r="K1053" s="26" t="str">
        <f aca="false">IF(OR(E1053="",E1053="!!!",F1053="NEW"),"",INDEX(J$1:J1033,SUMPRODUCT(MAX(ROW(E$1:E1033)*(E1053=E$1:E1033)))))</f>
        <v/>
      </c>
      <c r="L1053" s="27"/>
    </row>
    <row r="1054" customFormat="false" ht="15" hidden="false" customHeight="false" outlineLevel="0" collapsed="false">
      <c r="A1054" s="20" t="s">
        <v>217</v>
      </c>
      <c r="E1054" s="21"/>
      <c r="F1054" s="22"/>
      <c r="G1054" s="23"/>
      <c r="H1054" s="24"/>
      <c r="I1054" s="25" t="str">
        <f aca="false">IF(OR(E1054="",E1054="!!!",F1054="NEW"),"",INDEX(B$2:B1034,-1+SUMPRODUCT(MAX(ROW(E$2:E1034)*(E1054=E$2:E1034)))))</f>
        <v/>
      </c>
      <c r="J1054" s="26" t="str">
        <f aca="true">IF(OR(E1054="",E1054="!!!",F1054="NEW"),"",COUNTBLANK(OFFSET(A$1,,,SUMPRODUCT(MAX(ROW(E$2:E1035)*(E1054=E$2:E1035)))))-COUNTBLANK(OFFSET(A$1,,,SUMPRODUCT(MAX(ROW(E$1:E1034)*(E1054=E$1:E1034))))))</f>
        <v/>
      </c>
      <c r="K1054" s="26" t="str">
        <f aca="false">IF(OR(E1054="",E1054="!!!",F1054="NEW"),"",INDEX(J$1:J1034,SUMPRODUCT(MAX(ROW(E$1:E1034)*(E1054=E$1:E1034)))))</f>
        <v/>
      </c>
      <c r="L1054" s="27"/>
    </row>
    <row r="1055" customFormat="false" ht="15" hidden="false" customHeight="false" outlineLevel="0" collapsed="false">
      <c r="A1055" s="20" t="s">
        <v>635</v>
      </c>
      <c r="B1055" s="28" t="s">
        <v>365</v>
      </c>
      <c r="C1055" s="28" t="s">
        <v>223</v>
      </c>
      <c r="D1055" s="28" t="s">
        <v>198</v>
      </c>
      <c r="E1055" s="21" t="s">
        <v>629</v>
      </c>
      <c r="F1055" s="22" t="s">
        <v>200</v>
      </c>
      <c r="G1055" s="23" t="s">
        <v>227</v>
      </c>
      <c r="H1055" s="24"/>
      <c r="I1055" s="25" t="str">
        <f aca="false">IF(OR(E1055="",E1055="!!!",F1055="NEW"),"",INDEX(B$2:B1035,-1+SUMPRODUCT(MAX(ROW(E$2:E1035)*(E1055=E$2:E1035)))))</f>
        <v/>
      </c>
      <c r="J1055" s="26" t="str">
        <f aca="true">IF(OR(E1055="",E1055="!!!",F1055="NEW"),"",COUNTBLANK(OFFSET(A$1,,,SUMPRODUCT(MAX(ROW(E$2:E1036)*(E1055=E$2:E1036)))))-COUNTBLANK(OFFSET(A$1,,,SUMPRODUCT(MAX(ROW(E$1:E1035)*(E1055=E$1:E1035))))))</f>
        <v/>
      </c>
      <c r="K1055" s="26" t="str">
        <f aca="false">IF(OR(E1055="",E1055="!!!",F1055="NEW"),"",INDEX(J$1:J1035,SUMPRODUCT(MAX(ROW(E$1:E1035)*(E1055=E$1:E1035)))))</f>
        <v/>
      </c>
      <c r="L1055" s="27"/>
    </row>
    <row r="1056" customFormat="false" ht="15" hidden="false" customHeight="false" outlineLevel="0" collapsed="false">
      <c r="A1056" s="20" t="s">
        <v>636</v>
      </c>
      <c r="E1056" s="21"/>
      <c r="F1056" s="22"/>
      <c r="G1056" s="23"/>
      <c r="H1056" s="24"/>
      <c r="I1056" s="25" t="str">
        <f aca="false">IF(OR(E1056="",E1056="!!!",F1056="NEW"),"",INDEX(B$2:B1036,-1+SUMPRODUCT(MAX(ROW(E$2:E1036)*(E1056=E$2:E1036)))))</f>
        <v/>
      </c>
      <c r="J1056" s="26" t="str">
        <f aca="true">IF(OR(E1056="",E1056="!!!",F1056="NEW"),"",COUNTBLANK(OFFSET(A$1,,,SUMPRODUCT(MAX(ROW(E$2:E1037)*(E1056=E$2:E1037)))))-COUNTBLANK(OFFSET(A$1,,,SUMPRODUCT(MAX(ROW(E$1:E1036)*(E1056=E$1:E1036))))))</f>
        <v/>
      </c>
      <c r="K1056" s="26" t="str">
        <f aca="false">IF(OR(E1056="",E1056="!!!",F1056="NEW"),"",INDEX(J$1:J1036,SUMPRODUCT(MAX(ROW(E$1:E1036)*(E1056=E$1:E1036)))))</f>
        <v/>
      </c>
      <c r="L1056" s="27"/>
    </row>
    <row r="1057" customFormat="false" ht="15" hidden="false" customHeight="false" outlineLevel="0" collapsed="false">
      <c r="A1057" s="20" t="s">
        <v>209</v>
      </c>
      <c r="E1057" s="21"/>
      <c r="F1057" s="22"/>
      <c r="G1057" s="23"/>
      <c r="H1057" s="24"/>
      <c r="I1057" s="25" t="str">
        <f aca="false">IF(OR(E1057="",E1057="!!!",F1057="NEW"),"",INDEX(B$2:B1037,-1+SUMPRODUCT(MAX(ROW(E$2:E1037)*(E1057=E$2:E1037)))))</f>
        <v/>
      </c>
      <c r="J1057" s="26" t="str">
        <f aca="true">IF(OR(E1057="",E1057="!!!",F1057="NEW"),"",COUNTBLANK(OFFSET(A$1,,,SUMPRODUCT(MAX(ROW(E$2:E1038)*(E1057=E$2:E1038)))))-COUNTBLANK(OFFSET(A$1,,,SUMPRODUCT(MAX(ROW(E$1:E1037)*(E1057=E$1:E1037))))))</f>
        <v/>
      </c>
      <c r="K1057" s="26" t="str">
        <f aca="false">IF(OR(E1057="",E1057="!!!",F1057="NEW"),"",INDEX(J$1:J1037,SUMPRODUCT(MAX(ROW(E$1:E1037)*(E1057=E$1:E1037)))))</f>
        <v/>
      </c>
      <c r="L1057" s="27"/>
    </row>
    <row r="1058" customFormat="false" ht="15" hidden="false" customHeight="false" outlineLevel="0" collapsed="false">
      <c r="A1058" s="20" t="s">
        <v>349</v>
      </c>
      <c r="E1058" s="21"/>
      <c r="F1058" s="22"/>
      <c r="G1058" s="23"/>
      <c r="H1058" s="24"/>
      <c r="I1058" s="25" t="str">
        <f aca="false">IF(OR(E1058="",E1058="!!!",F1058="NEW"),"",INDEX(B$2:B1038,-1+SUMPRODUCT(MAX(ROW(E$2:E1038)*(E1058=E$2:E1038)))))</f>
        <v/>
      </c>
      <c r="J1058" s="26" t="str">
        <f aca="true">IF(OR(E1058="",E1058="!!!",F1058="NEW"),"",COUNTBLANK(OFFSET(A$1,,,SUMPRODUCT(MAX(ROW(E$2:E1039)*(E1058=E$2:E1039)))))-COUNTBLANK(OFFSET(A$1,,,SUMPRODUCT(MAX(ROW(E$1:E1038)*(E1058=E$1:E1038))))))</f>
        <v/>
      </c>
      <c r="K1058" s="26" t="str">
        <f aca="false">IF(OR(E1058="",E1058="!!!",F1058="NEW"),"",INDEX(J$1:J1038,SUMPRODUCT(MAX(ROW(E$1:E1038)*(E1058=E$1:E1038)))))</f>
        <v/>
      </c>
      <c r="L1058" s="27"/>
    </row>
    <row r="1059" customFormat="false" ht="15" hidden="false" customHeight="false" outlineLevel="0" collapsed="false">
      <c r="A1059" s="20" t="s">
        <v>637</v>
      </c>
      <c r="B1059" s="28" t="s">
        <v>310</v>
      </c>
      <c r="C1059" s="28" t="s">
        <v>223</v>
      </c>
      <c r="D1059" s="28" t="s">
        <v>198</v>
      </c>
      <c r="E1059" s="21" t="s">
        <v>637</v>
      </c>
      <c r="F1059" s="22" t="s">
        <v>200</v>
      </c>
      <c r="G1059" s="23" t="s">
        <v>212</v>
      </c>
      <c r="H1059" s="24"/>
      <c r="I1059" s="25" t="str">
        <f aca="false">IF(OR(E1059="",E1059="!!!",F1059="NEW"),"",INDEX(B$2:B1039,-1+SUMPRODUCT(MAX(ROW(E$2:E1039)*(E1059=E$2:E1039)))))</f>
        <v/>
      </c>
      <c r="J1059" s="26" t="str">
        <f aca="true">IF(OR(E1059="",E1059="!!!",F1059="NEW"),"",COUNTBLANK(OFFSET(A$1,,,SUMPRODUCT(MAX(ROW(E$2:E1040)*(E1059=E$2:E1040)))))-COUNTBLANK(OFFSET(A$1,,,SUMPRODUCT(MAX(ROW(E$1:E1039)*(E1059=E$1:E1039))))))</f>
        <v/>
      </c>
      <c r="K1059" s="26" t="str">
        <f aca="false">IF(OR(E1059="",E1059="!!!",F1059="NEW"),"",INDEX(J$1:J1039,SUMPRODUCT(MAX(ROW(E$1:E1039)*(E1059=E$1:E1039)))))</f>
        <v/>
      </c>
      <c r="L1059" s="27"/>
    </row>
    <row r="1060" customFormat="false" ht="15" hidden="false" customHeight="false" outlineLevel="0" collapsed="false">
      <c r="A1060" s="20" t="s">
        <v>209</v>
      </c>
      <c r="E1060" s="21"/>
      <c r="F1060" s="22"/>
      <c r="G1060" s="23"/>
      <c r="H1060" s="24"/>
      <c r="I1060" s="25" t="str">
        <f aca="false">IF(OR(E1060="",E1060="!!!",F1060="NEW"),"",INDEX(B$2:B1040,-1+SUMPRODUCT(MAX(ROW(E$2:E1040)*(E1060=E$2:E1040)))))</f>
        <v/>
      </c>
      <c r="J1060" s="26" t="str">
        <f aca="true">IF(OR(E1060="",E1060="!!!",F1060="NEW"),"",COUNTBLANK(OFFSET(A$1,,,SUMPRODUCT(MAX(ROW(E$2:E1041)*(E1060=E$2:E1041)))))-COUNTBLANK(OFFSET(A$1,,,SUMPRODUCT(MAX(ROW(E$1:E1040)*(E1060=E$1:E1040))))))</f>
        <v/>
      </c>
      <c r="K1060" s="26" t="str">
        <f aca="false">IF(OR(E1060="",E1060="!!!",F1060="NEW"),"",INDEX(J$1:J1040,SUMPRODUCT(MAX(ROW(E$1:E1040)*(E1060=E$1:E1040)))))</f>
        <v/>
      </c>
      <c r="L1060" s="27"/>
    </row>
    <row r="1061" customFormat="false" ht="15" hidden="false" customHeight="false" outlineLevel="0" collapsed="false">
      <c r="A1061" s="20" t="s">
        <v>349</v>
      </c>
      <c r="E1061" s="21"/>
      <c r="F1061" s="22"/>
      <c r="G1061" s="23"/>
      <c r="H1061" s="24"/>
      <c r="I1061" s="25" t="str">
        <f aca="false">IF(OR(E1061="",E1061="!!!",F1061="NEW"),"",INDEX(B$2:B1041,-1+SUMPRODUCT(MAX(ROW(E$2:E1041)*(E1061=E$2:E1041)))))</f>
        <v/>
      </c>
      <c r="J1061" s="26" t="str">
        <f aca="true">IF(OR(E1061="",E1061="!!!",F1061="NEW"),"",COUNTBLANK(OFFSET(A$1,,,SUMPRODUCT(MAX(ROW(E$2:E1042)*(E1061=E$2:E1042)))))-COUNTBLANK(OFFSET(A$1,,,SUMPRODUCT(MAX(ROW(E$1:E1041)*(E1061=E$1:E1041))))))</f>
        <v/>
      </c>
      <c r="K1061" s="26" t="str">
        <f aca="false">IF(OR(E1061="",E1061="!!!",F1061="NEW"),"",INDEX(J$1:J1041,SUMPRODUCT(MAX(ROW(E$1:E1041)*(E1061=E$1:E1041)))))</f>
        <v/>
      </c>
      <c r="L1061" s="27"/>
    </row>
    <row r="1062" customFormat="false" ht="15" hidden="false" customHeight="false" outlineLevel="0" collapsed="false">
      <c r="A1062" s="20" t="s">
        <v>354</v>
      </c>
      <c r="B1062" s="28" t="s">
        <v>310</v>
      </c>
      <c r="C1062" s="28" t="s">
        <v>289</v>
      </c>
      <c r="D1062" s="28" t="s">
        <v>198</v>
      </c>
      <c r="E1062" s="21" t="s">
        <v>629</v>
      </c>
      <c r="F1062" s="22" t="s">
        <v>226</v>
      </c>
      <c r="G1062" s="23" t="s">
        <v>227</v>
      </c>
      <c r="H1062" s="24"/>
      <c r="I1062" s="25" t="str">
        <f aca="false">IF(OR(E1062="",E1062="!!!",F1062="NEW"),"",INDEX(B$2:B1042,-1+SUMPRODUCT(MAX(ROW(E$2:E1042)*(E1062=E$2:E1042)))))</f>
        <v>other</v>
      </c>
      <c r="J1062" s="26" t="n">
        <f aca="true">IF(OR(E1062="",E1062="!!!",F1062="NEW"),"",COUNTBLANK(OFFSET(A$1,,,SUMPRODUCT(MAX(ROW(E$2:E1043)*(E1062=E$2:E1043)))))-COUNTBLANK(OFFSET(A$1,,,SUMPRODUCT(MAX(ROW(E$1:E1042)*(E1062=E$1:E1042))))))</f>
        <v>0</v>
      </c>
      <c r="K1062" s="26" t="str">
        <f aca="false">IF(OR(E1062="",E1062="!!!",F1062="NEW"),"",INDEX(J$1:J1042,SUMPRODUCT(MAX(ROW(E$1:E1042)*(E1062=E$1:E1042)))))</f>
        <v/>
      </c>
      <c r="L1062" s="27"/>
    </row>
    <row r="1063" customFormat="false" ht="15" hidden="false" customHeight="false" outlineLevel="0" collapsed="false">
      <c r="A1063" s="20" t="s">
        <v>217</v>
      </c>
      <c r="E1063" s="21"/>
      <c r="F1063" s="22"/>
      <c r="G1063" s="23"/>
      <c r="H1063" s="24"/>
      <c r="I1063" s="25" t="str">
        <f aca="false">IF(OR(E1063="",E1063="!!!",F1063="NEW"),"",INDEX(B$2:B1043,-1+SUMPRODUCT(MAX(ROW(E$2:E1043)*(E1063=E$2:E1043)))))</f>
        <v/>
      </c>
      <c r="J1063" s="26" t="str">
        <f aca="true">IF(OR(E1063="",E1063="!!!",F1063="NEW"),"",COUNTBLANK(OFFSET(A$1,,,SUMPRODUCT(MAX(ROW(E$2:E1044)*(E1063=E$2:E1044)))))-COUNTBLANK(OFFSET(A$1,,,SUMPRODUCT(MAX(ROW(E$1:E1043)*(E1063=E$1:E1043))))))</f>
        <v/>
      </c>
      <c r="K1063" s="26" t="str">
        <f aca="false">IF(OR(E1063="",E1063="!!!",F1063="NEW"),"",INDEX(J$1:J1043,SUMPRODUCT(MAX(ROW(E$1:E1043)*(E1063=E$1:E1043)))))</f>
        <v/>
      </c>
      <c r="L1063" s="27"/>
    </row>
    <row r="1064" customFormat="false" ht="15" hidden="false" customHeight="false" outlineLevel="0" collapsed="false">
      <c r="A1064" s="20" t="s">
        <v>638</v>
      </c>
      <c r="B1064" s="28" t="s">
        <v>365</v>
      </c>
      <c r="C1064" s="28" t="s">
        <v>223</v>
      </c>
      <c r="D1064" s="28" t="s">
        <v>198</v>
      </c>
      <c r="E1064" s="21" t="s">
        <v>638</v>
      </c>
      <c r="F1064" s="22" t="s">
        <v>200</v>
      </c>
      <c r="G1064" s="23" t="s">
        <v>212</v>
      </c>
      <c r="H1064" s="24"/>
      <c r="I1064" s="25" t="str">
        <f aca="false">IF(OR(E1064="",E1064="!!!",F1064="NEW"),"",INDEX(B$2:B1044,-1+SUMPRODUCT(MAX(ROW(E$2:E1044)*(E1064=E$2:E1044)))))</f>
        <v/>
      </c>
      <c r="J1064" s="26" t="str">
        <f aca="true">IF(OR(E1064="",E1064="!!!",F1064="NEW"),"",COUNTBLANK(OFFSET(A$1,,,SUMPRODUCT(MAX(ROW(E$2:E1045)*(E1064=E$2:E1045)))))-COUNTBLANK(OFFSET(A$1,,,SUMPRODUCT(MAX(ROW(E$1:E1044)*(E1064=E$1:E1044))))))</f>
        <v/>
      </c>
      <c r="K1064" s="26" t="str">
        <f aca="false">IF(OR(E1064="",E1064="!!!",F1064="NEW"),"",INDEX(J$1:J1044,SUMPRODUCT(MAX(ROW(E$1:E1044)*(E1064=E$1:E1044)))))</f>
        <v/>
      </c>
      <c r="L1064" s="27"/>
    </row>
    <row r="1065" customFormat="false" ht="15" hidden="false" customHeight="false" outlineLevel="0" collapsed="false">
      <c r="A1065" s="20" t="s">
        <v>355</v>
      </c>
      <c r="E1065" s="21"/>
      <c r="F1065" s="22"/>
      <c r="G1065" s="23"/>
      <c r="H1065" s="24"/>
      <c r="I1065" s="25" t="str">
        <f aca="false">IF(OR(E1065="",E1065="!!!",F1065="NEW"),"",INDEX(B$2:B1045,-1+SUMPRODUCT(MAX(ROW(E$2:E1045)*(E1065=E$2:E1045)))))</f>
        <v/>
      </c>
      <c r="J1065" s="26" t="str">
        <f aca="true">IF(OR(E1065="",E1065="!!!",F1065="NEW"),"",COUNTBLANK(OFFSET(A$1,,,SUMPRODUCT(MAX(ROW(E$2:E1046)*(E1065=E$2:E1046)))))-COUNTBLANK(OFFSET(A$1,,,SUMPRODUCT(MAX(ROW(E$1:E1045)*(E1065=E$1:E1045))))))</f>
        <v/>
      </c>
      <c r="K1065" s="26" t="str">
        <f aca="false">IF(OR(E1065="",E1065="!!!",F1065="NEW"),"",INDEX(J$1:J1045,SUMPRODUCT(MAX(ROW(E$1:E1045)*(E1065=E$1:E1045)))))</f>
        <v/>
      </c>
      <c r="L1065" s="27"/>
    </row>
    <row r="1066" customFormat="false" ht="15" hidden="false" customHeight="false" outlineLevel="0" collapsed="false">
      <c r="A1066" s="20" t="s">
        <v>639</v>
      </c>
      <c r="B1066" s="28" t="s">
        <v>365</v>
      </c>
      <c r="C1066" s="28" t="s">
        <v>251</v>
      </c>
      <c r="E1066" s="21"/>
      <c r="F1066" s="22"/>
      <c r="G1066" s="23"/>
      <c r="H1066" s="24"/>
      <c r="I1066" s="25" t="str">
        <f aca="false">IF(OR(E1066="",E1066="!!!",F1066="NEW"),"",INDEX(B$2:B1046,-1+SUMPRODUCT(MAX(ROW(E$2:E1046)*(E1066=E$2:E1046)))))</f>
        <v/>
      </c>
      <c r="J1066" s="26" t="str">
        <f aca="true">IF(OR(E1066="",E1066="!!!",F1066="NEW"),"",COUNTBLANK(OFFSET(A$1,,,SUMPRODUCT(MAX(ROW(E$2:E1047)*(E1066=E$2:E1047)))))-COUNTBLANK(OFFSET(A$1,,,SUMPRODUCT(MAX(ROW(E$1:E1046)*(E1066=E$1:E1046))))))</f>
        <v/>
      </c>
      <c r="K1066" s="26" t="str">
        <f aca="false">IF(OR(E1066="",E1066="!!!",F1066="NEW"),"",INDEX(J$1:J1046,SUMPRODUCT(MAX(ROW(E$1:E1046)*(E1066=E$1:E1046)))))</f>
        <v/>
      </c>
      <c r="L1066" s="27"/>
    </row>
    <row r="1067" customFormat="false" ht="15" hidden="false" customHeight="false" outlineLevel="0" collapsed="false">
      <c r="A1067" s="20" t="s">
        <v>209</v>
      </c>
      <c r="E1067" s="21"/>
      <c r="F1067" s="22"/>
      <c r="G1067" s="23"/>
      <c r="H1067" s="24"/>
      <c r="I1067" s="25" t="str">
        <f aca="false">IF(OR(E1067="",E1067="!!!",F1067="NEW"),"",INDEX(B$2:B1047,-1+SUMPRODUCT(MAX(ROW(E$2:E1047)*(E1067=E$2:E1047)))))</f>
        <v/>
      </c>
      <c r="J1067" s="26" t="str">
        <f aca="true">IF(OR(E1067="",E1067="!!!",F1067="NEW"),"",COUNTBLANK(OFFSET(A$1,,,SUMPRODUCT(MAX(ROW(E$2:E1048)*(E1067=E$2:E1048)))))-COUNTBLANK(OFFSET(A$1,,,SUMPRODUCT(MAX(ROW(E$1:E1047)*(E1067=E$1:E1047))))))</f>
        <v/>
      </c>
      <c r="K1067" s="26" t="str">
        <f aca="false">IF(OR(E1067="",E1067="!!!",F1067="NEW"),"",INDEX(J$1:J1047,SUMPRODUCT(MAX(ROW(E$1:E1047)*(E1067=E$1:E1047)))))</f>
        <v/>
      </c>
      <c r="L1067" s="27"/>
    </row>
    <row r="1068" customFormat="false" ht="15" hidden="false" customHeight="false" outlineLevel="0" collapsed="false">
      <c r="A1068" s="20"/>
    </row>
    <row r="1069" customFormat="false" ht="15" hidden="false" customHeight="false" outlineLevel="0" collapsed="false">
      <c r="A1069" s="20" t="s">
        <v>640</v>
      </c>
    </row>
    <row r="1070" customFormat="false" ht="15" hidden="false" customHeight="false" outlineLevel="0" collapsed="false">
      <c r="A1070" s="20" t="s">
        <v>641</v>
      </c>
      <c r="E1070" s="21"/>
      <c r="F1070" s="22"/>
      <c r="G1070" s="23"/>
      <c r="H1070" s="24"/>
      <c r="I1070" s="25" t="str">
        <f aca="false">IF(OR(E1070="",E1070="!!!",F1070="NEW"),"",INDEX(B$2:B1048,-1+SUMPRODUCT(MAX(ROW(E$2:E1048)*(E1070=E$2:E1048)))))</f>
        <v/>
      </c>
      <c r="J1070" s="26" t="str">
        <f aca="true">IF(OR(E1070="",E1070="!!!",F1070="NEW"),"",COUNTBLANK(OFFSET(A$1,,,SUMPRODUCT(MAX(ROW(E$2:E1049)*(E1070=E$2:E1049)))))-COUNTBLANK(OFFSET(A$1,,,SUMPRODUCT(MAX(ROW(E$1:E1048)*(E1070=E$1:E1048))))))</f>
        <v/>
      </c>
      <c r="K1070" s="26" t="str">
        <f aca="false">IF(OR(E1070="",E1070="!!!",F1070="NEW"),"",INDEX(J$1:J1048,SUMPRODUCT(MAX(ROW(E$1:E1048)*(E1070=E$1:E1048)))))</f>
        <v/>
      </c>
      <c r="L1070" s="27"/>
    </row>
    <row r="1071" customFormat="false" ht="15" hidden="false" customHeight="false" outlineLevel="0" collapsed="false">
      <c r="A1071" s="20" t="s">
        <v>349</v>
      </c>
      <c r="E1071" s="21"/>
      <c r="F1071" s="22"/>
      <c r="G1071" s="23"/>
      <c r="H1071" s="24"/>
      <c r="I1071" s="25" t="str">
        <f aca="false">IF(OR(E1071="",E1071="!!!",F1071="NEW"),"",INDEX(B$2:B1049,-1+SUMPRODUCT(MAX(ROW(E$2:E1049)*(E1071=E$2:E1049)))))</f>
        <v/>
      </c>
      <c r="J1071" s="26" t="str">
        <f aca="true">IF(OR(E1071="",E1071="!!!",F1071="NEW"),"",COUNTBLANK(OFFSET(A$1,,,SUMPRODUCT(MAX(ROW(E$2:E1050)*(E1071=E$2:E1050)))))-COUNTBLANK(OFFSET(A$1,,,SUMPRODUCT(MAX(ROW(E$1:E1049)*(E1071=E$1:E1049))))))</f>
        <v/>
      </c>
      <c r="K1071" s="26" t="str">
        <f aca="false">IF(OR(E1071="",E1071="!!!",F1071="NEW"),"",INDEX(J$1:J1049,SUMPRODUCT(MAX(ROW(E$1:E1049)*(E1071=E$1:E1049)))))</f>
        <v/>
      </c>
      <c r="L1071" s="27"/>
    </row>
    <row r="1072" customFormat="false" ht="15" hidden="false" customHeight="false" outlineLevel="0" collapsed="false">
      <c r="A1072" s="20" t="s">
        <v>642</v>
      </c>
      <c r="B1072" s="28" t="s">
        <v>250</v>
      </c>
      <c r="C1072" s="28" t="s">
        <v>352</v>
      </c>
      <c r="E1072" s="21"/>
      <c r="F1072" s="22"/>
      <c r="G1072" s="23"/>
      <c r="H1072" s="24"/>
      <c r="I1072" s="25" t="str">
        <f aca="false">IF(OR(E1072="",E1072="!!!",F1072="NEW"),"",INDEX(B$2:B1050,-1+SUMPRODUCT(MAX(ROW(E$2:E1050)*(E1072=E$2:E1050)))))</f>
        <v/>
      </c>
      <c r="J1072" s="26" t="str">
        <f aca="true">IF(OR(E1072="",E1072="!!!",F1072="NEW"),"",COUNTBLANK(OFFSET(A$1,,,SUMPRODUCT(MAX(ROW(E$2:E1051)*(E1072=E$2:E1051)))))-COUNTBLANK(OFFSET(A$1,,,SUMPRODUCT(MAX(ROW(E$1:E1050)*(E1072=E$1:E1050))))))</f>
        <v/>
      </c>
      <c r="K1072" s="26" t="str">
        <f aca="false">IF(OR(E1072="",E1072="!!!",F1072="NEW"),"",INDEX(J$1:J1050,SUMPRODUCT(MAX(ROW(E$1:E1050)*(E1072=E$1:E1050)))))</f>
        <v/>
      </c>
      <c r="L1072" s="27"/>
    </row>
    <row r="1073" customFormat="false" ht="15" hidden="false" customHeight="false" outlineLevel="0" collapsed="false">
      <c r="A1073" s="20" t="s">
        <v>209</v>
      </c>
      <c r="E1073" s="21"/>
      <c r="F1073" s="22"/>
      <c r="G1073" s="23"/>
      <c r="H1073" s="24"/>
      <c r="I1073" s="25" t="str">
        <f aca="false">IF(OR(E1073="",E1073="!!!",F1073="NEW"),"",INDEX(B$2:B1051,-1+SUMPRODUCT(MAX(ROW(E$2:E1051)*(E1073=E$2:E1051)))))</f>
        <v/>
      </c>
      <c r="J1073" s="26" t="str">
        <f aca="true">IF(OR(E1073="",E1073="!!!",F1073="NEW"),"",COUNTBLANK(OFFSET(A$1,,,SUMPRODUCT(MAX(ROW(E$2:E1052)*(E1073=E$2:E1052)))))-COUNTBLANK(OFFSET(A$1,,,SUMPRODUCT(MAX(ROW(E$1:E1051)*(E1073=E$1:E1051))))))</f>
        <v/>
      </c>
      <c r="K1073" s="26" t="str">
        <f aca="false">IF(OR(E1073="",E1073="!!!",F1073="NEW"),"",INDEX(J$1:J1051,SUMPRODUCT(MAX(ROW(E$1:E1051)*(E1073=E$1:E1051)))))</f>
        <v/>
      </c>
      <c r="L1073" s="27"/>
    </row>
    <row r="1074" customFormat="false" ht="15" hidden="false" customHeight="false" outlineLevel="0" collapsed="false">
      <c r="A1074" s="20" t="s">
        <v>615</v>
      </c>
      <c r="E1074" s="21"/>
      <c r="F1074" s="22"/>
      <c r="G1074" s="23"/>
      <c r="H1074" s="24"/>
      <c r="I1074" s="25" t="str">
        <f aca="false">IF(OR(E1074="",E1074="!!!",F1074="NEW"),"",INDEX(B$2:B1052,-1+SUMPRODUCT(MAX(ROW(E$2:E1052)*(E1074=E$2:E1052)))))</f>
        <v/>
      </c>
      <c r="J1074" s="26" t="str">
        <f aca="true">IF(OR(E1074="",E1074="!!!",F1074="NEW"),"",COUNTBLANK(OFFSET(A$1,,,SUMPRODUCT(MAX(ROW(E$2:E1053)*(E1074=E$2:E1053)))))-COUNTBLANK(OFFSET(A$1,,,SUMPRODUCT(MAX(ROW(E$1:E1052)*(E1074=E$1:E1052))))))</f>
        <v/>
      </c>
      <c r="K1074" s="26" t="str">
        <f aca="false">IF(OR(E1074="",E1074="!!!",F1074="NEW"),"",INDEX(J$1:J1052,SUMPRODUCT(MAX(ROW(E$1:E1052)*(E1074=E$1:E1052)))))</f>
        <v/>
      </c>
      <c r="L1074" s="27"/>
    </row>
    <row r="1075" customFormat="false" ht="15" hidden="false" customHeight="false" outlineLevel="0" collapsed="false">
      <c r="A1075" s="20" t="s">
        <v>260</v>
      </c>
      <c r="B1075" s="28" t="s">
        <v>234</v>
      </c>
      <c r="C1075" s="28" t="s">
        <v>197</v>
      </c>
      <c r="D1075" s="28" t="s">
        <v>198</v>
      </c>
      <c r="E1075" s="21" t="s">
        <v>643</v>
      </c>
      <c r="F1075" s="22" t="s">
        <v>200</v>
      </c>
      <c r="G1075" s="23" t="s">
        <v>212</v>
      </c>
      <c r="H1075" s="24"/>
      <c r="I1075" s="25" t="str">
        <f aca="false">IF(OR(E1075="",E1075="!!!",F1075="NEW"),"",INDEX(B$2:B1053,-1+SUMPRODUCT(MAX(ROW(E$2:E1053)*(E1075=E$2:E1053)))))</f>
        <v/>
      </c>
      <c r="J1075" s="26" t="str">
        <f aca="true">IF(OR(E1075="",E1075="!!!",F1075="NEW"),"",COUNTBLANK(OFFSET(A$1,,,SUMPRODUCT(MAX(ROW(E$2:E1054)*(E1075=E$2:E1054)))))-COUNTBLANK(OFFSET(A$1,,,SUMPRODUCT(MAX(ROW(E$1:E1053)*(E1075=E$1:E1053))))))</f>
        <v/>
      </c>
      <c r="K1075" s="26" t="str">
        <f aca="false">IF(OR(E1075="",E1075="!!!",F1075="NEW"),"",INDEX(J$1:J1053,SUMPRODUCT(MAX(ROW(E$1:E1053)*(E1075=E$1:E1053)))))</f>
        <v/>
      </c>
      <c r="L1075" s="27"/>
    </row>
    <row r="1076" customFormat="false" ht="15" hidden="false" customHeight="false" outlineLevel="0" collapsed="false">
      <c r="A1076" s="20" t="s">
        <v>209</v>
      </c>
      <c r="E1076" s="21"/>
      <c r="F1076" s="22"/>
      <c r="G1076" s="23"/>
      <c r="H1076" s="24"/>
      <c r="I1076" s="25" t="str">
        <f aca="false">IF(OR(E1076="",E1076="!!!",F1076="NEW"),"",INDEX(B$2:B1054,-1+SUMPRODUCT(MAX(ROW(E$2:E1054)*(E1076=E$2:E1054)))))</f>
        <v/>
      </c>
      <c r="J1076" s="26" t="str">
        <f aca="true">IF(OR(E1076="",E1076="!!!",F1076="NEW"),"",COUNTBLANK(OFFSET(A$1,,,SUMPRODUCT(MAX(ROW(E$2:E1055)*(E1076=E$2:E1055)))))-COUNTBLANK(OFFSET(A$1,,,SUMPRODUCT(MAX(ROW(E$1:E1054)*(E1076=E$1:E1054))))))</f>
        <v/>
      </c>
      <c r="K1076" s="26" t="str">
        <f aca="false">IF(OR(E1076="",E1076="!!!",F1076="NEW"),"",INDEX(J$1:J1054,SUMPRODUCT(MAX(ROW(E$1:E1054)*(E1076=E$1:E1054)))))</f>
        <v/>
      </c>
      <c r="L1076" s="27"/>
    </row>
    <row r="1077" customFormat="false" ht="15" hidden="false" customHeight="false" outlineLevel="0" collapsed="false">
      <c r="A1077" s="20" t="s">
        <v>213</v>
      </c>
      <c r="E1077" s="21"/>
      <c r="F1077" s="22"/>
      <c r="G1077" s="23"/>
      <c r="H1077" s="24"/>
      <c r="I1077" s="25" t="str">
        <f aca="false">IF(OR(E1077="",E1077="!!!",F1077="NEW"),"",INDEX(B$2:B1055,-1+SUMPRODUCT(MAX(ROW(E$2:E1055)*(E1077=E$2:E1055)))))</f>
        <v/>
      </c>
      <c r="J1077" s="26" t="str">
        <f aca="true">IF(OR(E1077="",E1077="!!!",F1077="NEW"),"",COUNTBLANK(OFFSET(A$1,,,SUMPRODUCT(MAX(ROW(E$2:E1056)*(E1077=E$2:E1056)))))-COUNTBLANK(OFFSET(A$1,,,SUMPRODUCT(MAX(ROW(E$1:E1055)*(E1077=E$1:E1055))))))</f>
        <v/>
      </c>
      <c r="K1077" s="26" t="str">
        <f aca="false">IF(OR(E1077="",E1077="!!!",F1077="NEW"),"",INDEX(J$1:J1055,SUMPRODUCT(MAX(ROW(E$1:E1055)*(E1077=E$1:E1055)))))</f>
        <v/>
      </c>
      <c r="L1077" s="27"/>
    </row>
    <row r="1078" customFormat="false" ht="15" hidden="false" customHeight="false" outlineLevel="0" collapsed="false">
      <c r="A1078" s="20" t="s">
        <v>617</v>
      </c>
      <c r="E1078" s="21"/>
      <c r="F1078" s="22"/>
      <c r="G1078" s="23"/>
      <c r="H1078" s="24"/>
      <c r="I1078" s="25" t="str">
        <f aca="false">IF(OR(E1078="",E1078="!!!",F1078="NEW"),"",INDEX(B$2:B1056,-1+SUMPRODUCT(MAX(ROW(E$2:E1056)*(E1078=E$2:E1056)))))</f>
        <v/>
      </c>
      <c r="J1078" s="26" t="str">
        <f aca="true">IF(OR(E1078="",E1078="!!!",F1078="NEW"),"",COUNTBLANK(OFFSET(A$1,,,SUMPRODUCT(MAX(ROW(E$2:E1057)*(E1078=E$2:E1057)))))-COUNTBLANK(OFFSET(A$1,,,SUMPRODUCT(MAX(ROW(E$1:E1056)*(E1078=E$1:E1056))))))</f>
        <v/>
      </c>
      <c r="K1078" s="26" t="str">
        <f aca="false">IF(OR(E1078="",E1078="!!!",F1078="NEW"),"",INDEX(J$1:J1056,SUMPRODUCT(MAX(ROW(E$1:E1056)*(E1078=E$1:E1056)))))</f>
        <v/>
      </c>
      <c r="L1078" s="27"/>
    </row>
    <row r="1079" customFormat="false" ht="15" hidden="false" customHeight="false" outlineLevel="0" collapsed="false">
      <c r="A1079" s="20" t="s">
        <v>204</v>
      </c>
      <c r="E1079" s="21"/>
      <c r="F1079" s="22"/>
      <c r="G1079" s="23"/>
      <c r="H1079" s="24"/>
      <c r="I1079" s="25" t="str">
        <f aca="false">IF(OR(E1079="",E1079="!!!",F1079="NEW"),"",INDEX(B$2:B1057,-1+SUMPRODUCT(MAX(ROW(E$2:E1057)*(E1079=E$2:E1057)))))</f>
        <v/>
      </c>
      <c r="J1079" s="26" t="str">
        <f aca="true">IF(OR(E1079="",E1079="!!!",F1079="NEW"),"",COUNTBLANK(OFFSET(A$1,,,SUMPRODUCT(MAX(ROW(E$2:E1058)*(E1079=E$2:E1058)))))-COUNTBLANK(OFFSET(A$1,,,SUMPRODUCT(MAX(ROW(E$1:E1057)*(E1079=E$1:E1057))))))</f>
        <v/>
      </c>
      <c r="K1079" s="26" t="str">
        <f aca="false">IF(OR(E1079="",E1079="!!!",F1079="NEW"),"",INDEX(J$1:J1057,SUMPRODUCT(MAX(ROW(E$1:E1057)*(E1079=E$1:E1057)))))</f>
        <v/>
      </c>
      <c r="L1079" s="27"/>
    </row>
    <row r="1080" customFormat="false" ht="15" hidden="false" customHeight="false" outlineLevel="0" collapsed="false">
      <c r="A1080" s="20" t="s">
        <v>644</v>
      </c>
      <c r="B1080" s="28" t="s">
        <v>234</v>
      </c>
      <c r="C1080" s="28" t="s">
        <v>207</v>
      </c>
      <c r="D1080" s="28" t="s">
        <v>198</v>
      </c>
      <c r="E1080" s="21" t="s">
        <v>645</v>
      </c>
      <c r="F1080" s="22" t="s">
        <v>200</v>
      </c>
      <c r="G1080" s="23" t="s">
        <v>212</v>
      </c>
      <c r="H1080" s="24"/>
      <c r="I1080" s="25" t="str">
        <f aca="false">IF(OR(E1080="",E1080="!!!",F1080="NEW"),"",INDEX(B$2:B1058,-1+SUMPRODUCT(MAX(ROW(E$2:E1058)*(E1080=E$2:E1058)))))</f>
        <v/>
      </c>
      <c r="J1080" s="26" t="str">
        <f aca="true">IF(OR(E1080="",E1080="!!!",F1080="NEW"),"",COUNTBLANK(OFFSET(A$1,,,SUMPRODUCT(MAX(ROW(E$2:E1059)*(E1080=E$2:E1059)))))-COUNTBLANK(OFFSET(A$1,,,SUMPRODUCT(MAX(ROW(E$1:E1058)*(E1080=E$1:E1058))))))</f>
        <v/>
      </c>
      <c r="K1080" s="26" t="str">
        <f aca="false">IF(OR(E1080="",E1080="!!!",F1080="NEW"),"",INDEX(J$1:J1058,SUMPRODUCT(MAX(ROW(E$1:E1058)*(E1080=E$1:E1058)))))</f>
        <v/>
      </c>
      <c r="L1080" s="27"/>
    </row>
    <row r="1081" customFormat="false" ht="15" hidden="false" customHeight="false" outlineLevel="0" collapsed="false">
      <c r="A1081" s="20" t="s">
        <v>213</v>
      </c>
      <c r="E1081" s="21"/>
      <c r="F1081" s="22"/>
      <c r="G1081" s="23"/>
      <c r="H1081" s="24"/>
      <c r="I1081" s="25" t="str">
        <f aca="false">IF(OR(E1081="",E1081="!!!",F1081="NEW"),"",INDEX(B$2:B1059,-1+SUMPRODUCT(MAX(ROW(E$2:E1059)*(E1081=E$2:E1059)))))</f>
        <v/>
      </c>
      <c r="J1081" s="26" t="str">
        <f aca="true">IF(OR(E1081="",E1081="!!!",F1081="NEW"),"",COUNTBLANK(OFFSET(A$1,,,SUMPRODUCT(MAX(ROW(E$2:E1060)*(E1081=E$2:E1060)))))-COUNTBLANK(OFFSET(A$1,,,SUMPRODUCT(MAX(ROW(E$1:E1059)*(E1081=E$1:E1059))))))</f>
        <v/>
      </c>
      <c r="K1081" s="26" t="str">
        <f aca="false">IF(OR(E1081="",E1081="!!!",F1081="NEW"),"",INDEX(J$1:J1059,SUMPRODUCT(MAX(ROW(E$1:E1059)*(E1081=E$1:E1059)))))</f>
        <v/>
      </c>
      <c r="L1081" s="27"/>
    </row>
    <row r="1082" customFormat="false" ht="15" hidden="false" customHeight="false" outlineLevel="0" collapsed="false">
      <c r="A1082" s="20" t="s">
        <v>248</v>
      </c>
      <c r="E1082" s="21"/>
      <c r="F1082" s="22"/>
      <c r="G1082" s="23"/>
      <c r="H1082" s="24"/>
      <c r="I1082" s="25" t="str">
        <f aca="false">IF(OR(E1082="",E1082="!!!",F1082="NEW"),"",INDEX(B$2:B1060,-1+SUMPRODUCT(MAX(ROW(E$2:E1060)*(E1082=E$2:E1060)))))</f>
        <v/>
      </c>
      <c r="J1082" s="26" t="str">
        <f aca="true">IF(OR(E1082="",E1082="!!!",F1082="NEW"),"",COUNTBLANK(OFFSET(A$1,,,SUMPRODUCT(MAX(ROW(E$2:E1061)*(E1082=E$2:E1061)))))-COUNTBLANK(OFFSET(A$1,,,SUMPRODUCT(MAX(ROW(E$1:E1060)*(E1082=E$1:E1060))))))</f>
        <v/>
      </c>
      <c r="K1082" s="26" t="str">
        <f aca="false">IF(OR(E1082="",E1082="!!!",F1082="NEW"),"",INDEX(J$1:J1060,SUMPRODUCT(MAX(ROW(E$1:E1060)*(E1082=E$1:E1060)))))</f>
        <v/>
      </c>
      <c r="L1082" s="27"/>
    </row>
    <row r="1083" customFormat="false" ht="15" hidden="false" customHeight="false" outlineLevel="0" collapsed="false">
      <c r="A1083" s="20" t="s">
        <v>260</v>
      </c>
      <c r="B1083" s="28" t="s">
        <v>234</v>
      </c>
      <c r="C1083" s="28" t="s">
        <v>197</v>
      </c>
      <c r="D1083" s="28" t="s">
        <v>198</v>
      </c>
      <c r="E1083" s="21" t="s">
        <v>645</v>
      </c>
      <c r="F1083" s="22" t="s">
        <v>200</v>
      </c>
      <c r="G1083" s="23" t="s">
        <v>227</v>
      </c>
      <c r="H1083" s="24"/>
      <c r="I1083" s="25" t="str">
        <f aca="false">IF(OR(E1083="",E1083="!!!",F1083="NEW"),"",INDEX(B$2:B1061,-1+SUMPRODUCT(MAX(ROW(E$2:E1061)*(E1083=E$2:E1061)))))</f>
        <v/>
      </c>
      <c r="J1083" s="26" t="str">
        <f aca="true">IF(OR(E1083="",E1083="!!!",F1083="NEW"),"",COUNTBLANK(OFFSET(A$1,,,SUMPRODUCT(MAX(ROW(E$2:E1062)*(E1083=E$2:E1062)))))-COUNTBLANK(OFFSET(A$1,,,SUMPRODUCT(MAX(ROW(E$1:E1061)*(E1083=E$1:E1061))))))</f>
        <v/>
      </c>
      <c r="K1083" s="26" t="str">
        <f aca="false">IF(OR(E1083="",E1083="!!!",F1083="NEW"),"",INDEX(J$1:J1061,SUMPRODUCT(MAX(ROW(E$1:E1061)*(E1083=E$1:E1061)))))</f>
        <v/>
      </c>
      <c r="L1083" s="27"/>
    </row>
    <row r="1084" customFormat="false" ht="15" hidden="false" customHeight="false" outlineLevel="0" collapsed="false">
      <c r="A1084" s="20" t="s">
        <v>470</v>
      </c>
      <c r="E1084" s="21"/>
      <c r="F1084" s="22"/>
      <c r="G1084" s="23"/>
      <c r="H1084" s="24"/>
      <c r="I1084" s="25" t="str">
        <f aca="false">IF(OR(E1084="",E1084="!!!",F1084="NEW"),"",INDEX(B$2:B1062,-1+SUMPRODUCT(MAX(ROW(E$2:E1062)*(E1084=E$2:E1062)))))</f>
        <v/>
      </c>
      <c r="J1084" s="26" t="str">
        <f aca="true">IF(OR(E1084="",E1084="!!!",F1084="NEW"),"",COUNTBLANK(OFFSET(A$1,,,SUMPRODUCT(MAX(ROW(E$2:E1063)*(E1084=E$2:E1063)))))-COUNTBLANK(OFFSET(A$1,,,SUMPRODUCT(MAX(ROW(E$1:E1062)*(E1084=E$1:E1062))))))</f>
        <v/>
      </c>
      <c r="K1084" s="26" t="str">
        <f aca="false">IF(OR(E1084="",E1084="!!!",F1084="NEW"),"",INDEX(J$1:J1062,SUMPRODUCT(MAX(ROW(E$1:E1062)*(E1084=E$1:E1062)))))</f>
        <v/>
      </c>
      <c r="L1084" s="27"/>
    </row>
    <row r="1085" customFormat="false" ht="15" hidden="false" customHeight="false" outlineLevel="0" collapsed="false">
      <c r="A1085" s="20" t="s">
        <v>204</v>
      </c>
      <c r="E1085" s="21"/>
      <c r="F1085" s="22"/>
      <c r="G1085" s="23"/>
      <c r="H1085" s="24"/>
      <c r="I1085" s="25" t="str">
        <f aca="false">IF(OR(E1085="",E1085="!!!",F1085="NEW"),"",INDEX(B$2:B1063,-1+SUMPRODUCT(MAX(ROW(E$2:E1063)*(E1085=E$2:E1063)))))</f>
        <v/>
      </c>
      <c r="J1085" s="26" t="str">
        <f aca="true">IF(OR(E1085="",E1085="!!!",F1085="NEW"),"",COUNTBLANK(OFFSET(A$1,,,SUMPRODUCT(MAX(ROW(E$2:E1064)*(E1085=E$2:E1064)))))-COUNTBLANK(OFFSET(A$1,,,SUMPRODUCT(MAX(ROW(E$1:E1063)*(E1085=E$1:E1063))))))</f>
        <v/>
      </c>
      <c r="K1085" s="26" t="str">
        <f aca="false">IF(OR(E1085="",E1085="!!!",F1085="NEW"),"",INDEX(J$1:J1063,SUMPRODUCT(MAX(ROW(E$1:E1063)*(E1085=E$1:E1063)))))</f>
        <v/>
      </c>
      <c r="L1085" s="27"/>
    </row>
    <row r="1086" customFormat="false" ht="15" hidden="false" customHeight="false" outlineLevel="0" collapsed="false">
      <c r="A1086" s="20" t="s">
        <v>603</v>
      </c>
      <c r="B1086" s="28" t="s">
        <v>219</v>
      </c>
      <c r="C1086" s="28" t="s">
        <v>207</v>
      </c>
      <c r="D1086" s="28" t="s">
        <v>198</v>
      </c>
      <c r="E1086" s="21" t="s">
        <v>511</v>
      </c>
      <c r="F1086" s="22" t="s">
        <v>226</v>
      </c>
      <c r="G1086" s="23" t="s">
        <v>227</v>
      </c>
      <c r="H1086" s="24"/>
      <c r="I1086" s="25" t="str">
        <f aca="false">IF(OR(E1086="",E1086="!!!",F1086="NEW"),"",INDEX(B$2:B1064,-1+SUMPRODUCT(MAX(ROW(E$2:E1064)*(E1086=E$2:E1064)))))</f>
        <v>other_2</v>
      </c>
      <c r="J1086" s="26" t="n">
        <f aca="true">IF(OR(E1086="",E1086="!!!",F1086="NEW"),"",COUNTBLANK(OFFSET(A$1,,,SUMPRODUCT(MAX(ROW(E$2:E1065)*(E1086=E$2:E1065)))))-COUNTBLANK(OFFSET(A$1,,,SUMPRODUCT(MAX(ROW(E$1:E1064)*(E1086=E$1:E1064))))))</f>
        <v>0</v>
      </c>
      <c r="K1086" s="26" t="n">
        <f aca="false">IF(OR(E1086="",E1086="!!!",F1086="NEW"),"",INDEX(J$1:J1064,SUMPRODUCT(MAX(ROW(E$1:E1064)*(E1086=E$1:E1064)))))</f>
        <v>0</v>
      </c>
      <c r="L1086" s="27"/>
    </row>
    <row r="1087" customFormat="false" ht="15" hidden="false" customHeight="false" outlineLevel="0" collapsed="false">
      <c r="A1087" s="20" t="s">
        <v>384</v>
      </c>
      <c r="E1087" s="21"/>
      <c r="F1087" s="22"/>
      <c r="G1087" s="23"/>
      <c r="H1087" s="24"/>
      <c r="I1087" s="25" t="str">
        <f aca="false">IF(OR(E1087="",E1087="!!!",F1087="NEW"),"",INDEX(B$2:B1065,-1+SUMPRODUCT(MAX(ROW(E$2:E1065)*(E1087=E$2:E1065)))))</f>
        <v/>
      </c>
      <c r="J1087" s="26" t="str">
        <f aca="true">IF(OR(E1087="",E1087="!!!",F1087="NEW"),"",COUNTBLANK(OFFSET(A$1,,,SUMPRODUCT(MAX(ROW(E$2:E1066)*(E1087=E$2:E1066)))))-COUNTBLANK(OFFSET(A$1,,,SUMPRODUCT(MAX(ROW(E$1:E1065)*(E1087=E$1:E1065))))))</f>
        <v/>
      </c>
      <c r="K1087" s="26" t="str">
        <f aca="false">IF(OR(E1087="",E1087="!!!",F1087="NEW"),"",INDEX(J$1:J1065,SUMPRODUCT(MAX(ROW(E$1:E1065)*(E1087=E$1:E1065)))))</f>
        <v/>
      </c>
      <c r="L1087" s="27"/>
    </row>
    <row r="1088" customFormat="false" ht="15" hidden="false" customHeight="false" outlineLevel="0" collapsed="false">
      <c r="A1088" s="20" t="s">
        <v>622</v>
      </c>
      <c r="B1088" s="28" t="s">
        <v>215</v>
      </c>
      <c r="C1088" s="28" t="s">
        <v>289</v>
      </c>
      <c r="D1088" s="28" t="s">
        <v>198</v>
      </c>
      <c r="E1088" s="21" t="s">
        <v>623</v>
      </c>
      <c r="F1088" s="22" t="s">
        <v>226</v>
      </c>
      <c r="G1088" s="23" t="s">
        <v>247</v>
      </c>
      <c r="H1088" s="24"/>
      <c r="I1088" s="25" t="str">
        <f aca="false">IF(OR(E1088="",E1088="!!!",F1088="NEW"),"",INDEX(B$2:B1066,-1+SUMPRODUCT(MAX(ROW(E$2:E1066)*(E1088=E$2:E1066)))))</f>
        <v>SBJ</v>
      </c>
      <c r="J1088" s="26" t="n">
        <f aca="true">IF(OR(E1088="",E1088="!!!",F1088="NEW"),"",COUNTBLANK(OFFSET(A$1,,,SUMPRODUCT(MAX(ROW(E$2:E1067)*(E1088=E$2:E1067)))))-COUNTBLANK(OFFSET(A$1,,,SUMPRODUCT(MAX(ROW(E$1:E1066)*(E1088=E$1:E1066))))))</f>
        <v>0</v>
      </c>
      <c r="K1088" s="26" t="str">
        <f aca="false">IF(OR(E1088="",E1088="!!!",F1088="NEW"),"",INDEX(J$1:J1066,SUMPRODUCT(MAX(ROW(E$1:E1066)*(E1088=E$1:E1066)))))</f>
        <v/>
      </c>
      <c r="L1088" s="27"/>
    </row>
    <row r="1089" customFormat="false" ht="15" hidden="false" customHeight="false" outlineLevel="0" collapsed="false">
      <c r="A1089" s="20" t="s">
        <v>244</v>
      </c>
      <c r="E1089" s="21"/>
      <c r="F1089" s="22"/>
      <c r="G1089" s="23"/>
      <c r="H1089" s="24"/>
      <c r="I1089" s="25" t="str">
        <f aca="false">IF(OR(E1089="",E1089="!!!",F1089="NEW"),"",INDEX(B$2:B1067,-1+SUMPRODUCT(MAX(ROW(E$2:E1067)*(E1089=E$2:E1067)))))</f>
        <v/>
      </c>
      <c r="J1089" s="26" t="str">
        <f aca="true">IF(OR(E1089="",E1089="!!!",F1089="NEW"),"",COUNTBLANK(OFFSET(A$1,,,SUMPRODUCT(MAX(ROW(E$2:E1068)*(E1089=E$2:E1068)))))-COUNTBLANK(OFFSET(A$1,,,SUMPRODUCT(MAX(ROW(E$1:E1067)*(E1089=E$1:E1067))))))</f>
        <v/>
      </c>
      <c r="K1089" s="26" t="str">
        <f aca="false">IF(OR(E1089="",E1089="!!!",F1089="NEW"),"",INDEX(J$1:J1067,SUMPRODUCT(MAX(ROW(E$1:E1067)*(E1089=E$1:E1067)))))</f>
        <v/>
      </c>
      <c r="L1089" s="27"/>
    </row>
    <row r="1090" customFormat="false" ht="15" hidden="false" customHeight="false" outlineLevel="0" collapsed="false">
      <c r="A1090" s="20"/>
      <c r="E1090" s="21"/>
      <c r="F1090" s="22"/>
      <c r="G1090" s="23"/>
      <c r="H1090" s="24"/>
      <c r="I1090" s="25" t="str">
        <f aca="false">IF(OR(E1090="",E1090="!!!",F1090="NEW"),"",INDEX(B$2:B1068,-1+SUMPRODUCT(MAX(ROW(E$2:E1068)*(E1090=E$2:E1068)))))</f>
        <v/>
      </c>
      <c r="J1090" s="26" t="str">
        <f aca="true">IF(OR(E1090="",E1090="!!!",F1090="NEW"),"",COUNTBLANK(OFFSET(A$1,,,SUMPRODUCT(MAX(ROW(E$2:E1069)*(E1090=E$2:E1069)))))-COUNTBLANK(OFFSET(A$1,,,SUMPRODUCT(MAX(ROW(E$1:E1068)*(E1090=E$1:E1068))))))</f>
        <v/>
      </c>
      <c r="K1090" s="26" t="str">
        <f aca="false">IF(OR(E1090="",E1090="!!!",F1090="NEW"),"",INDEX(J$1:J1068,SUMPRODUCT(MAX(ROW(E$1:E1068)*(E1090=E$1:E1068)))))</f>
        <v/>
      </c>
      <c r="L1090" s="27"/>
    </row>
  </sheetData>
  <autoFilter ref="A1:L1090"/>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6</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2026-01-14T15:59:54Z</dcterms:created>
  <dc:creator/>
  <dc:description/>
  <dc:language>en-US</dc:language>
  <cp:lastModifiedBy/>
  <dcterms:modified xsi:type="dcterms:W3CDTF">2026-01-14T17:08:52Z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